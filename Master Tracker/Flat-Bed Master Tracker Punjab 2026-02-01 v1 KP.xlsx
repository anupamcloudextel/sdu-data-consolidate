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etorg1056155.sharepoint.com/sites/BIS-MasterTrackers/Shared Documents/Master Trackers/Wireline/SDU/Master Tracker/"/>
    </mc:Choice>
  </mc:AlternateContent>
  <xr:revisionPtr revIDLastSave="2046" documentId="11_807E594573C2759E3C21E57A123EAC0DF6310937" xr6:coauthVersionLast="47" xr6:coauthVersionMax="47" xr10:uidLastSave="{96159187-F8E9-4E9F-B2C8-F7BA00A786AD}"/>
  <bookViews>
    <workbookView xWindow="-120" yWindow="-120" windowWidth="20730" windowHeight="11040" tabRatio="796" firstSheet="2" activeTab="8" xr2:uid="{00000000-000D-0000-FFFF-FFFF00000000}"/>
  </bookViews>
  <sheets>
    <sheet name="Terminologies" sheetId="1" r:id="rId1"/>
    <sheet name="Instructions" sheetId="2" r:id="rId2"/>
    <sheet name="Route-Details" sheetId="4" r:id="rId3"/>
    <sheet name="Node Details" sheetId="5" r:id="rId4"/>
    <sheet name="Other Material" sheetId="6" r:id="rId5"/>
    <sheet name="Other Services" sheetId="7" r:id="rId6"/>
    <sheet name="PO Details" sheetId="9" r:id="rId7"/>
    <sheet name="Other Revenue" sheetId="10" r:id="rId8"/>
    <sheet name="HP" sheetId="8" r:id="rId9"/>
  </sheets>
  <definedNames>
    <definedName name="_xlnm._FilterDatabase" localSheetId="8" hidden="1">HP!$A$2:$CE$2</definedName>
    <definedName name="_xlnm._FilterDatabase" localSheetId="4" hidden="1">'Other Material'!$A$2:$X$1926</definedName>
    <definedName name="_xlnm._FilterDatabase" localSheetId="5" hidden="1">'Other Services'!$A$2:$Z$1736</definedName>
    <definedName name="_xlnm._FilterDatabase" localSheetId="2" hidden="1">'Route-Details'!$A$2:$BD$331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2" i="4" l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556" i="5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E556" i="5"/>
  <c r="F556" i="5"/>
  <c r="G556" i="5"/>
  <c r="H556" i="5"/>
  <c r="I556" i="5"/>
  <c r="J556" i="5"/>
  <c r="E557" i="5"/>
  <c r="F557" i="5"/>
  <c r="G557" i="5"/>
  <c r="H557" i="5"/>
  <c r="I557" i="5"/>
  <c r="J557" i="5"/>
  <c r="E558" i="5"/>
  <c r="F558" i="5"/>
  <c r="G558" i="5"/>
  <c r="H558" i="5"/>
  <c r="I558" i="5"/>
  <c r="J558" i="5"/>
  <c r="E559" i="5"/>
  <c r="F559" i="5"/>
  <c r="G559" i="5"/>
  <c r="H559" i="5"/>
  <c r="I559" i="5"/>
  <c r="J559" i="5"/>
  <c r="E560" i="5"/>
  <c r="F560" i="5"/>
  <c r="G560" i="5"/>
  <c r="H560" i="5"/>
  <c r="I560" i="5"/>
  <c r="J560" i="5"/>
  <c r="E561" i="5"/>
  <c r="F561" i="5"/>
  <c r="G561" i="5"/>
  <c r="H561" i="5"/>
  <c r="I561" i="5"/>
  <c r="J561" i="5"/>
  <c r="E562" i="5"/>
  <c r="F562" i="5"/>
  <c r="G562" i="5"/>
  <c r="H562" i="5"/>
  <c r="I562" i="5"/>
  <c r="J562" i="5"/>
  <c r="E563" i="5"/>
  <c r="F563" i="5"/>
  <c r="G563" i="5"/>
  <c r="H563" i="5"/>
  <c r="I563" i="5"/>
  <c r="J563" i="5"/>
  <c r="E564" i="5"/>
  <c r="F564" i="5"/>
  <c r="G564" i="5"/>
  <c r="H564" i="5"/>
  <c r="I564" i="5"/>
  <c r="J564" i="5"/>
  <c r="E565" i="5"/>
  <c r="F565" i="5"/>
  <c r="G565" i="5"/>
  <c r="H565" i="5"/>
  <c r="I565" i="5"/>
  <c r="J565" i="5"/>
  <c r="E566" i="5"/>
  <c r="F566" i="5"/>
  <c r="G566" i="5"/>
  <c r="H566" i="5"/>
  <c r="I566" i="5"/>
  <c r="J566" i="5"/>
  <c r="E567" i="5"/>
  <c r="F567" i="5"/>
  <c r="G567" i="5"/>
  <c r="H567" i="5"/>
  <c r="I567" i="5"/>
  <c r="J567" i="5"/>
  <c r="E568" i="5"/>
  <c r="F568" i="5"/>
  <c r="G568" i="5"/>
  <c r="H568" i="5"/>
  <c r="I568" i="5"/>
  <c r="J568" i="5"/>
  <c r="E569" i="5"/>
  <c r="F569" i="5"/>
  <c r="G569" i="5"/>
  <c r="H569" i="5"/>
  <c r="I569" i="5"/>
  <c r="J569" i="5"/>
  <c r="E570" i="5"/>
  <c r="F570" i="5"/>
  <c r="G570" i="5"/>
  <c r="H570" i="5"/>
  <c r="I570" i="5"/>
  <c r="J570" i="5"/>
  <c r="E571" i="5"/>
  <c r="F571" i="5"/>
  <c r="G571" i="5"/>
  <c r="H571" i="5"/>
  <c r="I571" i="5"/>
  <c r="J571" i="5"/>
  <c r="E572" i="5"/>
  <c r="F572" i="5"/>
  <c r="G572" i="5"/>
  <c r="H572" i="5"/>
  <c r="I572" i="5"/>
  <c r="J572" i="5"/>
  <c r="E573" i="5"/>
  <c r="F573" i="5"/>
  <c r="G573" i="5"/>
  <c r="H573" i="5"/>
  <c r="I573" i="5"/>
  <c r="J573" i="5"/>
  <c r="E574" i="5"/>
  <c r="F574" i="5"/>
  <c r="G574" i="5"/>
  <c r="H574" i="5"/>
  <c r="I574" i="5"/>
  <c r="J574" i="5"/>
  <c r="E575" i="5"/>
  <c r="F575" i="5"/>
  <c r="G575" i="5"/>
  <c r="H575" i="5"/>
  <c r="I575" i="5"/>
  <c r="J575" i="5"/>
  <c r="E576" i="5"/>
  <c r="F576" i="5"/>
  <c r="G576" i="5"/>
  <c r="H576" i="5"/>
  <c r="I576" i="5"/>
  <c r="J576" i="5"/>
  <c r="E577" i="5"/>
  <c r="F577" i="5"/>
  <c r="G577" i="5"/>
  <c r="H577" i="5"/>
  <c r="I577" i="5"/>
  <c r="J577" i="5"/>
  <c r="E578" i="5"/>
  <c r="F578" i="5"/>
  <c r="G578" i="5"/>
  <c r="H578" i="5"/>
  <c r="I578" i="5"/>
  <c r="J578" i="5"/>
  <c r="E579" i="5"/>
  <c r="F579" i="5"/>
  <c r="G579" i="5"/>
  <c r="H579" i="5"/>
  <c r="I579" i="5"/>
  <c r="J579" i="5"/>
  <c r="E580" i="5"/>
  <c r="F580" i="5"/>
  <c r="G580" i="5"/>
  <c r="H580" i="5"/>
  <c r="I580" i="5"/>
  <c r="J580" i="5"/>
  <c r="E581" i="5"/>
  <c r="F581" i="5"/>
  <c r="G581" i="5"/>
  <c r="H581" i="5"/>
  <c r="I581" i="5"/>
  <c r="J581" i="5"/>
  <c r="E582" i="5"/>
  <c r="F582" i="5"/>
  <c r="G582" i="5"/>
  <c r="H582" i="5"/>
  <c r="I582" i="5"/>
  <c r="J582" i="5"/>
  <c r="E583" i="5"/>
  <c r="F583" i="5"/>
  <c r="G583" i="5"/>
  <c r="H583" i="5"/>
  <c r="I583" i="5"/>
  <c r="J583" i="5"/>
  <c r="E584" i="5"/>
  <c r="F584" i="5"/>
  <c r="G584" i="5"/>
  <c r="H584" i="5"/>
  <c r="I584" i="5"/>
  <c r="J584" i="5"/>
  <c r="E585" i="5"/>
  <c r="F585" i="5"/>
  <c r="G585" i="5"/>
  <c r="H585" i="5"/>
  <c r="I585" i="5"/>
  <c r="J585" i="5"/>
  <c r="E586" i="5"/>
  <c r="F586" i="5"/>
  <c r="G586" i="5"/>
  <c r="H586" i="5"/>
  <c r="I586" i="5"/>
  <c r="J586" i="5"/>
  <c r="E587" i="5"/>
  <c r="F587" i="5"/>
  <c r="G587" i="5"/>
  <c r="H587" i="5"/>
  <c r="I587" i="5"/>
  <c r="J587" i="5"/>
  <c r="E588" i="5"/>
  <c r="F588" i="5"/>
  <c r="G588" i="5"/>
  <c r="H588" i="5"/>
  <c r="I588" i="5"/>
  <c r="J588" i="5"/>
  <c r="E589" i="5"/>
  <c r="F589" i="5"/>
  <c r="G589" i="5"/>
  <c r="H589" i="5"/>
  <c r="I589" i="5"/>
  <c r="J589" i="5"/>
  <c r="E590" i="5"/>
  <c r="F590" i="5"/>
  <c r="G590" i="5"/>
  <c r="H590" i="5"/>
  <c r="I590" i="5"/>
  <c r="J590" i="5"/>
  <c r="E591" i="5"/>
  <c r="F591" i="5"/>
  <c r="G591" i="5"/>
  <c r="H591" i="5"/>
  <c r="I591" i="5"/>
  <c r="J591" i="5"/>
  <c r="E592" i="5"/>
  <c r="F592" i="5"/>
  <c r="G592" i="5"/>
  <c r="H592" i="5"/>
  <c r="I592" i="5"/>
  <c r="J592" i="5"/>
  <c r="E593" i="5"/>
  <c r="F593" i="5"/>
  <c r="G593" i="5"/>
  <c r="H593" i="5"/>
  <c r="I593" i="5"/>
  <c r="J593" i="5"/>
  <c r="E594" i="5"/>
  <c r="F594" i="5"/>
  <c r="G594" i="5"/>
  <c r="H594" i="5"/>
  <c r="I594" i="5"/>
  <c r="J594" i="5"/>
  <c r="E595" i="5"/>
  <c r="F595" i="5"/>
  <c r="G595" i="5"/>
  <c r="H595" i="5"/>
  <c r="I595" i="5"/>
  <c r="J595" i="5"/>
  <c r="E596" i="5"/>
  <c r="F596" i="5"/>
  <c r="G596" i="5"/>
  <c r="H596" i="5"/>
  <c r="I596" i="5"/>
  <c r="J596" i="5"/>
  <c r="E597" i="5"/>
  <c r="F597" i="5"/>
  <c r="G597" i="5"/>
  <c r="H597" i="5"/>
  <c r="I597" i="5"/>
  <c r="J597" i="5"/>
  <c r="E598" i="5"/>
  <c r="F598" i="5"/>
  <c r="G598" i="5"/>
  <c r="H598" i="5"/>
  <c r="I598" i="5"/>
  <c r="J598" i="5"/>
  <c r="E599" i="5"/>
  <c r="F599" i="5"/>
  <c r="G599" i="5"/>
  <c r="H599" i="5"/>
  <c r="I599" i="5"/>
  <c r="J599" i="5"/>
  <c r="E600" i="5"/>
  <c r="F600" i="5"/>
  <c r="G600" i="5"/>
  <c r="H600" i="5"/>
  <c r="I600" i="5"/>
  <c r="J600" i="5"/>
  <c r="E601" i="5"/>
  <c r="F601" i="5"/>
  <c r="G601" i="5"/>
  <c r="H601" i="5"/>
  <c r="I601" i="5"/>
  <c r="J601" i="5"/>
  <c r="E602" i="5"/>
  <c r="E1687" i="7" s="1"/>
  <c r="F602" i="5"/>
  <c r="G602" i="5"/>
  <c r="H602" i="5"/>
  <c r="I602" i="5"/>
  <c r="J602" i="5"/>
  <c r="D1687" i="7" s="1"/>
  <c r="E603" i="5"/>
  <c r="F603" i="5"/>
  <c r="G603" i="5"/>
  <c r="H603" i="5"/>
  <c r="I603" i="5"/>
  <c r="J603" i="5"/>
  <c r="E604" i="5"/>
  <c r="F604" i="5"/>
  <c r="G604" i="5"/>
  <c r="H604" i="5"/>
  <c r="I604" i="5"/>
  <c r="J604" i="5"/>
  <c r="E605" i="5"/>
  <c r="F605" i="5"/>
  <c r="G605" i="5"/>
  <c r="H605" i="5"/>
  <c r="I605" i="5"/>
  <c r="J605" i="5"/>
  <c r="E606" i="5"/>
  <c r="F606" i="5"/>
  <c r="G606" i="5"/>
  <c r="H606" i="5"/>
  <c r="I606" i="5"/>
  <c r="J606" i="5"/>
  <c r="E607" i="5"/>
  <c r="F607" i="5"/>
  <c r="G607" i="5"/>
  <c r="H607" i="5"/>
  <c r="I607" i="5"/>
  <c r="J607" i="5"/>
  <c r="E608" i="5"/>
  <c r="F608" i="5"/>
  <c r="G608" i="5"/>
  <c r="H608" i="5"/>
  <c r="I608" i="5"/>
  <c r="J608" i="5"/>
  <c r="E609" i="5"/>
  <c r="F609" i="5"/>
  <c r="G609" i="5"/>
  <c r="H609" i="5"/>
  <c r="I609" i="5"/>
  <c r="J609" i="5"/>
  <c r="E610" i="5"/>
  <c r="F610" i="5"/>
  <c r="G610" i="5"/>
  <c r="H610" i="5"/>
  <c r="I610" i="5"/>
  <c r="J610" i="5"/>
  <c r="E611" i="5"/>
  <c r="F611" i="5"/>
  <c r="G611" i="5"/>
  <c r="H611" i="5"/>
  <c r="I611" i="5"/>
  <c r="J611" i="5"/>
  <c r="E612" i="5"/>
  <c r="F612" i="5"/>
  <c r="G612" i="5"/>
  <c r="H612" i="5"/>
  <c r="I612" i="5"/>
  <c r="J612" i="5"/>
  <c r="E613" i="5"/>
  <c r="F613" i="5"/>
  <c r="G613" i="5"/>
  <c r="H613" i="5"/>
  <c r="I613" i="5"/>
  <c r="J613" i="5"/>
  <c r="E614" i="5"/>
  <c r="F614" i="5"/>
  <c r="G614" i="5"/>
  <c r="H614" i="5"/>
  <c r="I614" i="5"/>
  <c r="J614" i="5"/>
  <c r="E615" i="5"/>
  <c r="F615" i="5"/>
  <c r="G615" i="5"/>
  <c r="H615" i="5"/>
  <c r="I615" i="5"/>
  <c r="J615" i="5"/>
  <c r="E616" i="5"/>
  <c r="F616" i="5"/>
  <c r="G616" i="5"/>
  <c r="H616" i="5"/>
  <c r="I616" i="5"/>
  <c r="J616" i="5"/>
  <c r="E617" i="5"/>
  <c r="F617" i="5"/>
  <c r="G617" i="5"/>
  <c r="H617" i="5"/>
  <c r="I617" i="5"/>
  <c r="J617" i="5"/>
  <c r="E618" i="5"/>
  <c r="E1698" i="7" s="1"/>
  <c r="F618" i="5"/>
  <c r="G618" i="5"/>
  <c r="H618" i="5"/>
  <c r="I618" i="5"/>
  <c r="J618" i="5"/>
  <c r="D1698" i="7" s="1"/>
  <c r="E619" i="5"/>
  <c r="F619" i="5"/>
  <c r="G619" i="5"/>
  <c r="H619" i="5"/>
  <c r="I619" i="5"/>
  <c r="J619" i="5"/>
  <c r="E620" i="5"/>
  <c r="E1700" i="7" s="1"/>
  <c r="F620" i="5"/>
  <c r="G620" i="5"/>
  <c r="H620" i="5"/>
  <c r="I620" i="5"/>
  <c r="J620" i="5"/>
  <c r="D1700" i="7" s="1"/>
  <c r="E621" i="5"/>
  <c r="F621" i="5"/>
  <c r="G621" i="5"/>
  <c r="H621" i="5"/>
  <c r="I621" i="5"/>
  <c r="J621" i="5"/>
  <c r="E622" i="5"/>
  <c r="F622" i="5"/>
  <c r="G622" i="5"/>
  <c r="H622" i="5"/>
  <c r="I622" i="5"/>
  <c r="J622" i="5"/>
  <c r="E623" i="5"/>
  <c r="F623" i="5"/>
  <c r="G623" i="5"/>
  <c r="H623" i="5"/>
  <c r="I623" i="5"/>
  <c r="J623" i="5"/>
  <c r="E624" i="5"/>
  <c r="F624" i="5"/>
  <c r="G624" i="5"/>
  <c r="H624" i="5"/>
  <c r="I624" i="5"/>
  <c r="J624" i="5"/>
  <c r="E625" i="5"/>
  <c r="F625" i="5"/>
  <c r="G625" i="5"/>
  <c r="H625" i="5"/>
  <c r="I625" i="5"/>
  <c r="J625" i="5"/>
  <c r="E626" i="5"/>
  <c r="E1703" i="7" s="1"/>
  <c r="F626" i="5"/>
  <c r="G626" i="5"/>
  <c r="H626" i="5"/>
  <c r="I626" i="5"/>
  <c r="J626" i="5"/>
  <c r="D1703" i="7" s="1"/>
  <c r="E627" i="5"/>
  <c r="F627" i="5"/>
  <c r="G627" i="5"/>
  <c r="H627" i="5"/>
  <c r="I627" i="5"/>
  <c r="J627" i="5"/>
  <c r="E628" i="5"/>
  <c r="F628" i="5"/>
  <c r="G628" i="5"/>
  <c r="H628" i="5"/>
  <c r="I628" i="5"/>
  <c r="J628" i="5"/>
  <c r="E629" i="5"/>
  <c r="F629" i="5"/>
  <c r="G629" i="5"/>
  <c r="H629" i="5"/>
  <c r="I629" i="5"/>
  <c r="J629" i="5"/>
  <c r="E630" i="5"/>
  <c r="E1706" i="7" s="1"/>
  <c r="F630" i="5"/>
  <c r="G630" i="5"/>
  <c r="H630" i="5"/>
  <c r="I630" i="5"/>
  <c r="J630" i="5"/>
  <c r="D1706" i="7" s="1"/>
  <c r="E631" i="5"/>
  <c r="E1707" i="7" s="1"/>
  <c r="F631" i="5"/>
  <c r="G631" i="5"/>
  <c r="H631" i="5"/>
  <c r="I631" i="5"/>
  <c r="J631" i="5"/>
  <c r="E632" i="5"/>
  <c r="F632" i="5"/>
  <c r="G632" i="5"/>
  <c r="H632" i="5"/>
  <c r="I632" i="5"/>
  <c r="J632" i="5"/>
  <c r="E633" i="5"/>
  <c r="F633" i="5"/>
  <c r="G633" i="5"/>
  <c r="H633" i="5"/>
  <c r="I633" i="5"/>
  <c r="J633" i="5"/>
  <c r="E634" i="5"/>
  <c r="F634" i="5"/>
  <c r="G634" i="5"/>
  <c r="H634" i="5"/>
  <c r="I634" i="5"/>
  <c r="J634" i="5"/>
  <c r="E635" i="5"/>
  <c r="F635" i="5"/>
  <c r="G635" i="5"/>
  <c r="H635" i="5"/>
  <c r="I635" i="5"/>
  <c r="J635" i="5"/>
  <c r="E636" i="5"/>
  <c r="F636" i="5"/>
  <c r="G636" i="5"/>
  <c r="H636" i="5"/>
  <c r="I636" i="5"/>
  <c r="J636" i="5"/>
  <c r="E637" i="5"/>
  <c r="F637" i="5"/>
  <c r="G637" i="5"/>
  <c r="H637" i="5"/>
  <c r="I637" i="5"/>
  <c r="J637" i="5"/>
  <c r="E638" i="5"/>
  <c r="F638" i="5"/>
  <c r="G638" i="5"/>
  <c r="H638" i="5"/>
  <c r="I638" i="5"/>
  <c r="J638" i="5"/>
  <c r="E639" i="5"/>
  <c r="F639" i="5"/>
  <c r="G639" i="5"/>
  <c r="H639" i="5"/>
  <c r="I639" i="5"/>
  <c r="J639" i="5"/>
  <c r="E640" i="5"/>
  <c r="F640" i="5"/>
  <c r="G640" i="5"/>
  <c r="H640" i="5"/>
  <c r="I640" i="5"/>
  <c r="J640" i="5"/>
  <c r="E641" i="5"/>
  <c r="F641" i="5"/>
  <c r="G641" i="5"/>
  <c r="H641" i="5"/>
  <c r="I641" i="5"/>
  <c r="J641" i="5"/>
  <c r="E642" i="5"/>
  <c r="F642" i="5"/>
  <c r="G642" i="5"/>
  <c r="H642" i="5"/>
  <c r="I642" i="5"/>
  <c r="J642" i="5"/>
  <c r="E643" i="5"/>
  <c r="F643" i="5"/>
  <c r="G643" i="5"/>
  <c r="H643" i="5"/>
  <c r="I643" i="5"/>
  <c r="J643" i="5"/>
  <c r="E644" i="5"/>
  <c r="F644" i="5"/>
  <c r="G644" i="5"/>
  <c r="H644" i="5"/>
  <c r="I644" i="5"/>
  <c r="J644" i="5"/>
  <c r="E645" i="5"/>
  <c r="F645" i="5"/>
  <c r="G645" i="5"/>
  <c r="H645" i="5"/>
  <c r="I645" i="5"/>
  <c r="J645" i="5"/>
  <c r="E646" i="5"/>
  <c r="F646" i="5"/>
  <c r="G646" i="5"/>
  <c r="H646" i="5"/>
  <c r="I646" i="5"/>
  <c r="J646" i="5"/>
  <c r="E647" i="5"/>
  <c r="F647" i="5"/>
  <c r="G647" i="5"/>
  <c r="H647" i="5"/>
  <c r="I647" i="5"/>
  <c r="J647" i="5"/>
  <c r="E648" i="5"/>
  <c r="F648" i="5"/>
  <c r="G648" i="5"/>
  <c r="H648" i="5"/>
  <c r="I648" i="5"/>
  <c r="J648" i="5"/>
  <c r="E649" i="5"/>
  <c r="F649" i="5"/>
  <c r="G649" i="5"/>
  <c r="H649" i="5"/>
  <c r="I649" i="5"/>
  <c r="J649" i="5"/>
  <c r="E650" i="5"/>
  <c r="F650" i="5"/>
  <c r="G650" i="5"/>
  <c r="H650" i="5"/>
  <c r="I650" i="5"/>
  <c r="J650" i="5"/>
  <c r="E651" i="5"/>
  <c r="F651" i="5"/>
  <c r="G651" i="5"/>
  <c r="H651" i="5"/>
  <c r="I651" i="5"/>
  <c r="J651" i="5"/>
  <c r="E652" i="5"/>
  <c r="F652" i="5"/>
  <c r="G652" i="5"/>
  <c r="H652" i="5"/>
  <c r="I652" i="5"/>
  <c r="J652" i="5"/>
  <c r="E653" i="5"/>
  <c r="F653" i="5"/>
  <c r="G653" i="5"/>
  <c r="H653" i="5"/>
  <c r="I653" i="5"/>
  <c r="J653" i="5"/>
  <c r="E654" i="5"/>
  <c r="F654" i="5"/>
  <c r="G654" i="5"/>
  <c r="H654" i="5"/>
  <c r="I654" i="5"/>
  <c r="J654" i="5"/>
  <c r="E655" i="5"/>
  <c r="F655" i="5"/>
  <c r="G655" i="5"/>
  <c r="H655" i="5"/>
  <c r="I655" i="5"/>
  <c r="J655" i="5"/>
  <c r="E656" i="5"/>
  <c r="F656" i="5"/>
  <c r="G656" i="5"/>
  <c r="H656" i="5"/>
  <c r="I656" i="5"/>
  <c r="J656" i="5"/>
  <c r="E657" i="5"/>
  <c r="F657" i="5"/>
  <c r="G657" i="5"/>
  <c r="H657" i="5"/>
  <c r="I657" i="5"/>
  <c r="J657" i="5"/>
  <c r="E658" i="5"/>
  <c r="F658" i="5"/>
  <c r="G658" i="5"/>
  <c r="H658" i="5"/>
  <c r="I658" i="5"/>
  <c r="J658" i="5"/>
  <c r="E659" i="5"/>
  <c r="F659" i="5"/>
  <c r="G659" i="5"/>
  <c r="H659" i="5"/>
  <c r="I659" i="5"/>
  <c r="J659" i="5"/>
  <c r="E660" i="5"/>
  <c r="F660" i="5"/>
  <c r="G660" i="5"/>
  <c r="H660" i="5"/>
  <c r="I660" i="5"/>
  <c r="J660" i="5"/>
  <c r="E661" i="5"/>
  <c r="F661" i="5"/>
  <c r="G661" i="5"/>
  <c r="H661" i="5"/>
  <c r="I661" i="5"/>
  <c r="J661" i="5"/>
  <c r="E662" i="5"/>
  <c r="F662" i="5"/>
  <c r="G662" i="5"/>
  <c r="H662" i="5"/>
  <c r="I662" i="5"/>
  <c r="J662" i="5"/>
  <c r="E663" i="5"/>
  <c r="F663" i="5"/>
  <c r="G663" i="5"/>
  <c r="H663" i="5"/>
  <c r="I663" i="5"/>
  <c r="J663" i="5"/>
  <c r="E664" i="5"/>
  <c r="F664" i="5"/>
  <c r="G664" i="5"/>
  <c r="H664" i="5"/>
  <c r="I664" i="5"/>
  <c r="J664" i="5"/>
  <c r="E665" i="5"/>
  <c r="F665" i="5"/>
  <c r="G665" i="5"/>
  <c r="H665" i="5"/>
  <c r="I665" i="5"/>
  <c r="J665" i="5"/>
  <c r="E666" i="5"/>
  <c r="F666" i="5"/>
  <c r="G666" i="5"/>
  <c r="H666" i="5"/>
  <c r="I666" i="5"/>
  <c r="J666" i="5"/>
  <c r="E667" i="5"/>
  <c r="F667" i="5"/>
  <c r="G667" i="5"/>
  <c r="H667" i="5"/>
  <c r="I667" i="5"/>
  <c r="J667" i="5"/>
  <c r="E668" i="5"/>
  <c r="F668" i="5"/>
  <c r="G668" i="5"/>
  <c r="H668" i="5"/>
  <c r="I668" i="5"/>
  <c r="J668" i="5"/>
  <c r="E669" i="5"/>
  <c r="E1729" i="7" s="1"/>
  <c r="F669" i="5"/>
  <c r="G669" i="5"/>
  <c r="H669" i="5"/>
  <c r="I669" i="5"/>
  <c r="J669" i="5"/>
  <c r="D1729" i="7" s="1"/>
  <c r="E670" i="5"/>
  <c r="E1730" i="7" s="1"/>
  <c r="F670" i="5"/>
  <c r="G670" i="5"/>
  <c r="H670" i="5"/>
  <c r="I670" i="5"/>
  <c r="J670" i="5"/>
  <c r="D1730" i="7" s="1"/>
  <c r="E671" i="5"/>
  <c r="F671" i="5"/>
  <c r="G671" i="5"/>
  <c r="H671" i="5"/>
  <c r="I671" i="5"/>
  <c r="J671" i="5"/>
  <c r="E672" i="5"/>
  <c r="F672" i="5"/>
  <c r="G672" i="5"/>
  <c r="H672" i="5"/>
  <c r="I672" i="5"/>
  <c r="J672" i="5"/>
  <c r="E673" i="5"/>
  <c r="F673" i="5"/>
  <c r="G673" i="5"/>
  <c r="H673" i="5"/>
  <c r="I673" i="5"/>
  <c r="J673" i="5"/>
  <c r="E674" i="5"/>
  <c r="F674" i="5"/>
  <c r="G674" i="5"/>
  <c r="H674" i="5"/>
  <c r="I674" i="5"/>
  <c r="J674" i="5"/>
  <c r="E675" i="5"/>
  <c r="F675" i="5"/>
  <c r="G675" i="5"/>
  <c r="H675" i="5"/>
  <c r="I675" i="5"/>
  <c r="J675" i="5"/>
  <c r="E676" i="5"/>
  <c r="F676" i="5"/>
  <c r="G676" i="5"/>
  <c r="H676" i="5"/>
  <c r="I676" i="5"/>
  <c r="J676" i="5"/>
  <c r="C1700" i="7"/>
  <c r="BA263" i="4"/>
  <c r="BB263" i="4"/>
  <c r="BC263" i="4" s="1"/>
  <c r="BA264" i="4"/>
  <c r="BB264" i="4"/>
  <c r="BA265" i="4"/>
  <c r="BB265" i="4"/>
  <c r="BC265" i="4" s="1"/>
  <c r="BA266" i="4"/>
  <c r="BB266" i="4"/>
  <c r="BA267" i="4"/>
  <c r="BB267" i="4"/>
  <c r="BA268" i="4"/>
  <c r="BB268" i="4"/>
  <c r="BA269" i="4"/>
  <c r="BB269" i="4"/>
  <c r="BA270" i="4"/>
  <c r="BB270" i="4"/>
  <c r="BA271" i="4"/>
  <c r="BB271" i="4"/>
  <c r="BA272" i="4"/>
  <c r="BB272" i="4"/>
  <c r="BA273" i="4"/>
  <c r="BB273" i="4"/>
  <c r="BA274" i="4"/>
  <c r="BB274" i="4"/>
  <c r="BA275" i="4"/>
  <c r="BB275" i="4"/>
  <c r="BA276" i="4"/>
  <c r="BB276" i="4"/>
  <c r="BA277" i="4"/>
  <c r="BB277" i="4"/>
  <c r="BA278" i="4"/>
  <c r="BB278" i="4"/>
  <c r="BA279" i="4"/>
  <c r="BB279" i="4"/>
  <c r="BA280" i="4"/>
  <c r="BB280" i="4"/>
  <c r="BA281" i="4"/>
  <c r="BB281" i="4"/>
  <c r="BA282" i="4"/>
  <c r="BB282" i="4"/>
  <c r="BA283" i="4"/>
  <c r="BB283" i="4"/>
  <c r="BA284" i="4"/>
  <c r="BB284" i="4"/>
  <c r="BA285" i="4"/>
  <c r="BB285" i="4"/>
  <c r="BA286" i="4"/>
  <c r="BB286" i="4"/>
  <c r="BA287" i="4"/>
  <c r="BB287" i="4"/>
  <c r="BA288" i="4"/>
  <c r="BB288" i="4"/>
  <c r="BA289" i="4"/>
  <c r="BB289" i="4"/>
  <c r="BA290" i="4"/>
  <c r="BB290" i="4"/>
  <c r="BA291" i="4"/>
  <c r="BB291" i="4"/>
  <c r="BA292" i="4"/>
  <c r="BB292" i="4"/>
  <c r="BA293" i="4"/>
  <c r="BB293" i="4"/>
  <c r="BA294" i="4"/>
  <c r="BB294" i="4"/>
  <c r="BA295" i="4"/>
  <c r="BB295" i="4"/>
  <c r="BA296" i="4"/>
  <c r="BB296" i="4"/>
  <c r="BA297" i="4"/>
  <c r="BB297" i="4"/>
  <c r="BA298" i="4"/>
  <c r="BB298" i="4"/>
  <c r="BA299" i="4"/>
  <c r="BB299" i="4"/>
  <c r="BA300" i="4"/>
  <c r="BB300" i="4"/>
  <c r="BA301" i="4"/>
  <c r="BB301" i="4"/>
  <c r="BA302" i="4"/>
  <c r="BB302" i="4"/>
  <c r="BA303" i="4"/>
  <c r="BB303" i="4"/>
  <c r="BA304" i="4"/>
  <c r="BB304" i="4"/>
  <c r="BA305" i="4"/>
  <c r="BB305" i="4"/>
  <c r="BA306" i="4"/>
  <c r="BB306" i="4"/>
  <c r="BA307" i="4"/>
  <c r="BB307" i="4"/>
  <c r="BA308" i="4"/>
  <c r="BB308" i="4"/>
  <c r="BA309" i="4"/>
  <c r="BB309" i="4"/>
  <c r="BA310" i="4"/>
  <c r="BB310" i="4"/>
  <c r="BA311" i="4"/>
  <c r="BB311" i="4"/>
  <c r="BA312" i="4"/>
  <c r="BB312" i="4"/>
  <c r="BA313" i="4"/>
  <c r="BB313" i="4"/>
  <c r="BA314" i="4"/>
  <c r="BB314" i="4"/>
  <c r="BA315" i="4"/>
  <c r="BB315" i="4"/>
  <c r="BA316" i="4"/>
  <c r="BB316" i="4"/>
  <c r="BA317" i="4"/>
  <c r="BB317" i="4"/>
  <c r="BA318" i="4"/>
  <c r="BB318" i="4"/>
  <c r="BA319" i="4"/>
  <c r="BB319" i="4"/>
  <c r="BA320" i="4"/>
  <c r="BB320" i="4"/>
  <c r="BA321" i="4"/>
  <c r="BB321" i="4"/>
  <c r="BA322" i="4"/>
  <c r="BB322" i="4"/>
  <c r="BA323" i="4"/>
  <c r="BB323" i="4"/>
  <c r="BA324" i="4"/>
  <c r="BB324" i="4"/>
  <c r="BA325" i="4"/>
  <c r="BB325" i="4"/>
  <c r="BA326" i="4"/>
  <c r="BB326" i="4"/>
  <c r="BA327" i="4"/>
  <c r="BB327" i="4"/>
  <c r="BA328" i="4"/>
  <c r="BB328" i="4"/>
  <c r="BA329" i="4"/>
  <c r="BB329" i="4"/>
  <c r="BA330" i="4"/>
  <c r="BB330" i="4"/>
  <c r="BA331" i="4"/>
  <c r="BB331" i="4"/>
  <c r="BA262" i="4"/>
  <c r="BB262" i="4"/>
  <c r="AV263" i="4"/>
  <c r="AW263" i="4" s="1"/>
  <c r="AV264" i="4"/>
  <c r="AW264" i="4" s="1"/>
  <c r="AV265" i="4"/>
  <c r="AW265" i="4" s="1"/>
  <c r="AV266" i="4"/>
  <c r="AW266" i="4" s="1"/>
  <c r="AV267" i="4"/>
  <c r="AW267" i="4" s="1"/>
  <c r="AV268" i="4"/>
  <c r="AW268" i="4" s="1"/>
  <c r="AV269" i="4"/>
  <c r="AW269" i="4" s="1"/>
  <c r="AV270" i="4"/>
  <c r="AW270" i="4" s="1"/>
  <c r="AV271" i="4"/>
  <c r="AW271" i="4" s="1"/>
  <c r="AV272" i="4"/>
  <c r="AW272" i="4" s="1"/>
  <c r="AV273" i="4"/>
  <c r="AW273" i="4" s="1"/>
  <c r="AV274" i="4"/>
  <c r="AW274" i="4" s="1"/>
  <c r="AV275" i="4"/>
  <c r="AW275" i="4" s="1"/>
  <c r="AV276" i="4"/>
  <c r="AW276" i="4" s="1"/>
  <c r="AV277" i="4"/>
  <c r="AW277" i="4" s="1"/>
  <c r="AV278" i="4"/>
  <c r="AW278" i="4" s="1"/>
  <c r="AV279" i="4"/>
  <c r="AW279" i="4" s="1"/>
  <c r="AV280" i="4"/>
  <c r="AW280" i="4" s="1"/>
  <c r="AV281" i="4"/>
  <c r="AW281" i="4" s="1"/>
  <c r="AV282" i="4"/>
  <c r="AW282" i="4" s="1"/>
  <c r="AV283" i="4"/>
  <c r="AW283" i="4" s="1"/>
  <c r="AV284" i="4"/>
  <c r="AW284" i="4" s="1"/>
  <c r="AV285" i="4"/>
  <c r="AW285" i="4" s="1"/>
  <c r="AV286" i="4"/>
  <c r="AW286" i="4" s="1"/>
  <c r="AV287" i="4"/>
  <c r="AW287" i="4" s="1"/>
  <c r="AV288" i="4"/>
  <c r="AW288" i="4" s="1"/>
  <c r="AV289" i="4"/>
  <c r="AW289" i="4" s="1"/>
  <c r="AV290" i="4"/>
  <c r="AW290" i="4" s="1"/>
  <c r="AV291" i="4"/>
  <c r="AW291" i="4" s="1"/>
  <c r="AV292" i="4"/>
  <c r="AW292" i="4" s="1"/>
  <c r="AV293" i="4"/>
  <c r="AW293" i="4" s="1"/>
  <c r="AV294" i="4"/>
  <c r="AW294" i="4" s="1"/>
  <c r="AV295" i="4"/>
  <c r="AW295" i="4" s="1"/>
  <c r="AV296" i="4"/>
  <c r="AW296" i="4" s="1"/>
  <c r="AV297" i="4"/>
  <c r="AW297" i="4" s="1"/>
  <c r="AV298" i="4"/>
  <c r="AW298" i="4" s="1"/>
  <c r="AV299" i="4"/>
  <c r="AW299" i="4" s="1"/>
  <c r="AV300" i="4"/>
  <c r="AW300" i="4" s="1"/>
  <c r="AV301" i="4"/>
  <c r="AW301" i="4" s="1"/>
  <c r="AV302" i="4"/>
  <c r="AW302" i="4" s="1"/>
  <c r="AV303" i="4"/>
  <c r="AW303" i="4" s="1"/>
  <c r="AV304" i="4"/>
  <c r="AW304" i="4" s="1"/>
  <c r="AV305" i="4"/>
  <c r="AW305" i="4" s="1"/>
  <c r="AV306" i="4"/>
  <c r="AW306" i="4" s="1"/>
  <c r="AV307" i="4"/>
  <c r="AW307" i="4" s="1"/>
  <c r="AV308" i="4"/>
  <c r="AW308" i="4" s="1"/>
  <c r="AV309" i="4"/>
  <c r="AW309" i="4" s="1"/>
  <c r="AV310" i="4"/>
  <c r="AW310" i="4" s="1"/>
  <c r="AV311" i="4"/>
  <c r="AW311" i="4" s="1"/>
  <c r="AV312" i="4"/>
  <c r="AW312" i="4" s="1"/>
  <c r="AV313" i="4"/>
  <c r="AW313" i="4" s="1"/>
  <c r="AV314" i="4"/>
  <c r="AW314" i="4" s="1"/>
  <c r="AV315" i="4"/>
  <c r="AW315" i="4" s="1"/>
  <c r="AV316" i="4"/>
  <c r="AW316" i="4" s="1"/>
  <c r="AV317" i="4"/>
  <c r="AW317" i="4" s="1"/>
  <c r="AV318" i="4"/>
  <c r="AW318" i="4" s="1"/>
  <c r="AV319" i="4"/>
  <c r="AW319" i="4" s="1"/>
  <c r="AV320" i="4"/>
  <c r="AW320" i="4" s="1"/>
  <c r="AV321" i="4"/>
  <c r="AW321" i="4" s="1"/>
  <c r="AV322" i="4"/>
  <c r="AW322" i="4" s="1"/>
  <c r="AV323" i="4"/>
  <c r="AW323" i="4" s="1"/>
  <c r="AV324" i="4"/>
  <c r="AW324" i="4" s="1"/>
  <c r="AV325" i="4"/>
  <c r="AW325" i="4" s="1"/>
  <c r="AV326" i="4"/>
  <c r="AW326" i="4" s="1"/>
  <c r="AV327" i="4"/>
  <c r="AW327" i="4" s="1"/>
  <c r="AV328" i="4"/>
  <c r="AW328" i="4" s="1"/>
  <c r="AV329" i="4"/>
  <c r="AW329" i="4" s="1"/>
  <c r="AV330" i="4"/>
  <c r="AW330" i="4" s="1"/>
  <c r="AV331" i="4"/>
  <c r="AW331" i="4" s="1"/>
  <c r="AV262" i="4"/>
  <c r="AW262" i="4" s="1"/>
  <c r="AN263" i="4"/>
  <c r="AQ263" i="4"/>
  <c r="AN264" i="4"/>
  <c r="AQ264" i="4"/>
  <c r="AN265" i="4"/>
  <c r="AQ265" i="4"/>
  <c r="AN266" i="4"/>
  <c r="AQ266" i="4"/>
  <c r="AN267" i="4"/>
  <c r="AQ267" i="4"/>
  <c r="AN268" i="4"/>
  <c r="AQ268" i="4"/>
  <c r="AN269" i="4"/>
  <c r="AQ269" i="4"/>
  <c r="AN270" i="4"/>
  <c r="AQ270" i="4"/>
  <c r="AN271" i="4"/>
  <c r="AQ271" i="4"/>
  <c r="AN272" i="4"/>
  <c r="AQ272" i="4"/>
  <c r="AN273" i="4"/>
  <c r="AQ273" i="4"/>
  <c r="AN274" i="4"/>
  <c r="AQ274" i="4"/>
  <c r="AN275" i="4"/>
  <c r="AQ275" i="4"/>
  <c r="AN276" i="4"/>
  <c r="AQ276" i="4"/>
  <c r="AN277" i="4"/>
  <c r="AQ277" i="4"/>
  <c r="AN278" i="4"/>
  <c r="AQ278" i="4"/>
  <c r="AN279" i="4"/>
  <c r="AQ279" i="4"/>
  <c r="AN280" i="4"/>
  <c r="AQ280" i="4"/>
  <c r="AN281" i="4"/>
  <c r="AQ281" i="4"/>
  <c r="AN282" i="4"/>
  <c r="AQ282" i="4"/>
  <c r="AN283" i="4"/>
  <c r="AQ283" i="4"/>
  <c r="AN284" i="4"/>
  <c r="AQ284" i="4"/>
  <c r="AN285" i="4"/>
  <c r="AQ285" i="4"/>
  <c r="AN286" i="4"/>
  <c r="AQ286" i="4"/>
  <c r="AN287" i="4"/>
  <c r="AQ287" i="4"/>
  <c r="AN288" i="4"/>
  <c r="AQ288" i="4"/>
  <c r="AN289" i="4"/>
  <c r="AQ289" i="4"/>
  <c r="AN290" i="4"/>
  <c r="AQ290" i="4"/>
  <c r="AN291" i="4"/>
  <c r="AQ291" i="4"/>
  <c r="AN292" i="4"/>
  <c r="AQ292" i="4"/>
  <c r="AN293" i="4"/>
  <c r="AQ293" i="4"/>
  <c r="AN294" i="4"/>
  <c r="AQ294" i="4"/>
  <c r="AN295" i="4"/>
  <c r="AQ295" i="4"/>
  <c r="AN296" i="4"/>
  <c r="AQ296" i="4"/>
  <c r="AN297" i="4"/>
  <c r="AQ297" i="4"/>
  <c r="AN298" i="4"/>
  <c r="AQ298" i="4"/>
  <c r="AN299" i="4"/>
  <c r="AQ299" i="4"/>
  <c r="AN300" i="4"/>
  <c r="AQ300" i="4"/>
  <c r="AN301" i="4"/>
  <c r="AQ301" i="4"/>
  <c r="AN302" i="4"/>
  <c r="AQ302" i="4"/>
  <c r="AN303" i="4"/>
  <c r="AQ303" i="4"/>
  <c r="AN304" i="4"/>
  <c r="AQ304" i="4"/>
  <c r="AN305" i="4"/>
  <c r="AQ305" i="4"/>
  <c r="AN306" i="4"/>
  <c r="AQ306" i="4"/>
  <c r="AN307" i="4"/>
  <c r="AQ307" i="4"/>
  <c r="AN308" i="4"/>
  <c r="AQ308" i="4"/>
  <c r="AN309" i="4"/>
  <c r="AQ309" i="4"/>
  <c r="AN310" i="4"/>
  <c r="AQ310" i="4"/>
  <c r="AN311" i="4"/>
  <c r="AQ311" i="4"/>
  <c r="AN312" i="4"/>
  <c r="AQ312" i="4"/>
  <c r="AN313" i="4"/>
  <c r="AQ313" i="4"/>
  <c r="AN314" i="4"/>
  <c r="AQ314" i="4"/>
  <c r="AN315" i="4"/>
  <c r="AQ315" i="4"/>
  <c r="AN316" i="4"/>
  <c r="AQ316" i="4"/>
  <c r="AN317" i="4"/>
  <c r="AQ317" i="4"/>
  <c r="AN318" i="4"/>
  <c r="AQ318" i="4"/>
  <c r="AN319" i="4"/>
  <c r="AQ319" i="4"/>
  <c r="AN320" i="4"/>
  <c r="AQ320" i="4"/>
  <c r="AN321" i="4"/>
  <c r="AQ321" i="4"/>
  <c r="AN322" i="4"/>
  <c r="AQ322" i="4"/>
  <c r="AN323" i="4"/>
  <c r="AQ323" i="4"/>
  <c r="AN324" i="4"/>
  <c r="AQ324" i="4"/>
  <c r="AN325" i="4"/>
  <c r="AQ325" i="4"/>
  <c r="AN326" i="4"/>
  <c r="AQ326" i="4"/>
  <c r="AN327" i="4"/>
  <c r="AQ327" i="4"/>
  <c r="AN328" i="4"/>
  <c r="AQ328" i="4"/>
  <c r="AN329" i="4"/>
  <c r="AQ329" i="4"/>
  <c r="AN330" i="4"/>
  <c r="AQ330" i="4"/>
  <c r="AN331" i="4"/>
  <c r="AQ331" i="4"/>
  <c r="AN262" i="4"/>
  <c r="AQ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262" i="4"/>
  <c r="A1420" i="7"/>
  <c r="A1421" i="7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C1687" i="7"/>
  <c r="C1698" i="7"/>
  <c r="C1703" i="7"/>
  <c r="C1706" i="7"/>
  <c r="C1707" i="7"/>
  <c r="D1707" i="7"/>
  <c r="C1729" i="7"/>
  <c r="C1730" i="7"/>
  <c r="P1421" i="7"/>
  <c r="Q1421" i="7" s="1"/>
  <c r="U1421" i="7"/>
  <c r="V1421" i="7"/>
  <c r="P1422" i="7"/>
  <c r="Q1422" i="7" s="1"/>
  <c r="U1422" i="7"/>
  <c r="V1422" i="7"/>
  <c r="P1423" i="7"/>
  <c r="Q1423" i="7" s="1"/>
  <c r="U1423" i="7"/>
  <c r="W1423" i="7" s="1"/>
  <c r="V1423" i="7"/>
  <c r="P1424" i="7"/>
  <c r="Q1424" i="7" s="1"/>
  <c r="U1424" i="7"/>
  <c r="V1424" i="7"/>
  <c r="P1425" i="7"/>
  <c r="Q1425" i="7" s="1"/>
  <c r="U1425" i="7"/>
  <c r="V1425" i="7"/>
  <c r="P1426" i="7"/>
  <c r="Q1426" i="7" s="1"/>
  <c r="U1426" i="7"/>
  <c r="V1426" i="7"/>
  <c r="P1427" i="7"/>
  <c r="Q1427" i="7" s="1"/>
  <c r="U1427" i="7"/>
  <c r="W1427" i="7" s="1"/>
  <c r="V1427" i="7"/>
  <c r="P1428" i="7"/>
  <c r="Q1428" i="7" s="1"/>
  <c r="U1428" i="7"/>
  <c r="V1428" i="7"/>
  <c r="P1429" i="7"/>
  <c r="Q1429" i="7" s="1"/>
  <c r="U1429" i="7"/>
  <c r="V1429" i="7"/>
  <c r="P1430" i="7"/>
  <c r="Q1430" i="7" s="1"/>
  <c r="U1430" i="7"/>
  <c r="V1430" i="7"/>
  <c r="P1431" i="7"/>
  <c r="Q1431" i="7" s="1"/>
  <c r="U1431" i="7"/>
  <c r="V1431" i="7"/>
  <c r="P1432" i="7"/>
  <c r="Q1432" i="7" s="1"/>
  <c r="U1432" i="7"/>
  <c r="V1432" i="7"/>
  <c r="P1433" i="7"/>
  <c r="Q1433" i="7" s="1"/>
  <c r="U1433" i="7"/>
  <c r="V1433" i="7"/>
  <c r="W1433" i="7" s="1"/>
  <c r="P1434" i="7"/>
  <c r="Q1434" i="7" s="1"/>
  <c r="U1434" i="7"/>
  <c r="V1434" i="7"/>
  <c r="P1435" i="7"/>
  <c r="Q1435" i="7" s="1"/>
  <c r="U1435" i="7"/>
  <c r="V1435" i="7"/>
  <c r="P1436" i="7"/>
  <c r="Q1436" i="7" s="1"/>
  <c r="U1436" i="7"/>
  <c r="V1436" i="7"/>
  <c r="P1437" i="7"/>
  <c r="Q1437" i="7" s="1"/>
  <c r="U1437" i="7"/>
  <c r="V1437" i="7"/>
  <c r="P1438" i="7"/>
  <c r="Q1438" i="7" s="1"/>
  <c r="U1438" i="7"/>
  <c r="V1438" i="7"/>
  <c r="P1439" i="7"/>
  <c r="Q1439" i="7" s="1"/>
  <c r="U1439" i="7"/>
  <c r="V1439" i="7"/>
  <c r="P1440" i="7"/>
  <c r="Q1440" i="7" s="1"/>
  <c r="U1440" i="7"/>
  <c r="V1440" i="7"/>
  <c r="P1441" i="7"/>
  <c r="Q1441" i="7" s="1"/>
  <c r="U1441" i="7"/>
  <c r="V1441" i="7"/>
  <c r="P1442" i="7"/>
  <c r="Q1442" i="7" s="1"/>
  <c r="U1442" i="7"/>
  <c r="V1442" i="7"/>
  <c r="P1443" i="7"/>
  <c r="Q1443" i="7" s="1"/>
  <c r="U1443" i="7"/>
  <c r="V1443" i="7"/>
  <c r="P1444" i="7"/>
  <c r="Q1444" i="7" s="1"/>
  <c r="U1444" i="7"/>
  <c r="V1444" i="7"/>
  <c r="P1445" i="7"/>
  <c r="Q1445" i="7" s="1"/>
  <c r="U1445" i="7"/>
  <c r="V1445" i="7"/>
  <c r="W1445" i="7" s="1"/>
  <c r="P1446" i="7"/>
  <c r="Q1446" i="7" s="1"/>
  <c r="U1446" i="7"/>
  <c r="V1446" i="7"/>
  <c r="P1447" i="7"/>
  <c r="Q1447" i="7" s="1"/>
  <c r="U1447" i="7"/>
  <c r="V1447" i="7"/>
  <c r="P1448" i="7"/>
  <c r="Q1448" i="7" s="1"/>
  <c r="U1448" i="7"/>
  <c r="V1448" i="7"/>
  <c r="P1449" i="7"/>
  <c r="Q1449" i="7" s="1"/>
  <c r="U1449" i="7"/>
  <c r="V1449" i="7"/>
  <c r="W1449" i="7" s="1"/>
  <c r="P1450" i="7"/>
  <c r="Q1450" i="7" s="1"/>
  <c r="U1450" i="7"/>
  <c r="V1450" i="7"/>
  <c r="P1451" i="7"/>
  <c r="Q1451" i="7" s="1"/>
  <c r="U1451" i="7"/>
  <c r="W1451" i="7" s="1"/>
  <c r="V1451" i="7"/>
  <c r="P1452" i="7"/>
  <c r="Q1452" i="7" s="1"/>
  <c r="U1452" i="7"/>
  <c r="V1452" i="7"/>
  <c r="P1453" i="7"/>
  <c r="Q1453" i="7" s="1"/>
  <c r="U1453" i="7"/>
  <c r="V1453" i="7"/>
  <c r="P1454" i="7"/>
  <c r="Q1454" i="7" s="1"/>
  <c r="U1454" i="7"/>
  <c r="V1454" i="7"/>
  <c r="P1455" i="7"/>
  <c r="Q1455" i="7" s="1"/>
  <c r="U1455" i="7"/>
  <c r="W1455" i="7" s="1"/>
  <c r="V1455" i="7"/>
  <c r="P1456" i="7"/>
  <c r="Q1456" i="7" s="1"/>
  <c r="U1456" i="7"/>
  <c r="V1456" i="7"/>
  <c r="P1457" i="7"/>
  <c r="Q1457" i="7" s="1"/>
  <c r="U1457" i="7"/>
  <c r="V1457" i="7"/>
  <c r="P1458" i="7"/>
  <c r="Q1458" i="7" s="1"/>
  <c r="U1458" i="7"/>
  <c r="V1458" i="7"/>
  <c r="P1459" i="7"/>
  <c r="Q1459" i="7" s="1"/>
  <c r="U1459" i="7"/>
  <c r="W1459" i="7" s="1"/>
  <c r="V1459" i="7"/>
  <c r="P1460" i="7"/>
  <c r="Q1460" i="7" s="1"/>
  <c r="U1460" i="7"/>
  <c r="V1460" i="7"/>
  <c r="P1461" i="7"/>
  <c r="Q1461" i="7" s="1"/>
  <c r="U1461" i="7"/>
  <c r="V1461" i="7"/>
  <c r="P1462" i="7"/>
  <c r="Q1462" i="7" s="1"/>
  <c r="U1462" i="7"/>
  <c r="V1462" i="7"/>
  <c r="P1463" i="7"/>
  <c r="Q1463" i="7" s="1"/>
  <c r="U1463" i="7"/>
  <c r="V1463" i="7"/>
  <c r="P1464" i="7"/>
  <c r="Q1464" i="7" s="1"/>
  <c r="U1464" i="7"/>
  <c r="V1464" i="7"/>
  <c r="P1465" i="7"/>
  <c r="Q1465" i="7" s="1"/>
  <c r="U1465" i="7"/>
  <c r="V1465" i="7"/>
  <c r="P1466" i="7"/>
  <c r="Q1466" i="7" s="1"/>
  <c r="U1466" i="7"/>
  <c r="V1466" i="7"/>
  <c r="P1467" i="7"/>
  <c r="Q1467" i="7" s="1"/>
  <c r="U1467" i="7"/>
  <c r="V1467" i="7"/>
  <c r="P1468" i="7"/>
  <c r="Q1468" i="7" s="1"/>
  <c r="U1468" i="7"/>
  <c r="V1468" i="7"/>
  <c r="P1469" i="7"/>
  <c r="Q1469" i="7" s="1"/>
  <c r="U1469" i="7"/>
  <c r="V1469" i="7"/>
  <c r="P1470" i="7"/>
  <c r="Q1470" i="7" s="1"/>
  <c r="U1470" i="7"/>
  <c r="V1470" i="7"/>
  <c r="P1471" i="7"/>
  <c r="Q1471" i="7" s="1"/>
  <c r="U1471" i="7"/>
  <c r="V1471" i="7"/>
  <c r="P1472" i="7"/>
  <c r="Q1472" i="7" s="1"/>
  <c r="U1472" i="7"/>
  <c r="V1472" i="7"/>
  <c r="P1473" i="7"/>
  <c r="Q1473" i="7" s="1"/>
  <c r="U1473" i="7"/>
  <c r="V1473" i="7"/>
  <c r="P1474" i="7"/>
  <c r="Q1474" i="7" s="1"/>
  <c r="U1474" i="7"/>
  <c r="V1474" i="7"/>
  <c r="P1475" i="7"/>
  <c r="Q1475" i="7" s="1"/>
  <c r="U1475" i="7"/>
  <c r="V1475" i="7"/>
  <c r="P1476" i="7"/>
  <c r="Q1476" i="7" s="1"/>
  <c r="U1476" i="7"/>
  <c r="V1476" i="7"/>
  <c r="P1477" i="7"/>
  <c r="Q1477" i="7" s="1"/>
  <c r="U1477" i="7"/>
  <c r="V1477" i="7"/>
  <c r="W1477" i="7" s="1"/>
  <c r="P1478" i="7"/>
  <c r="Q1478" i="7" s="1"/>
  <c r="U1478" i="7"/>
  <c r="V1478" i="7"/>
  <c r="P1479" i="7"/>
  <c r="Q1479" i="7" s="1"/>
  <c r="U1479" i="7"/>
  <c r="V1479" i="7"/>
  <c r="P1480" i="7"/>
  <c r="Q1480" i="7" s="1"/>
  <c r="U1480" i="7"/>
  <c r="V1480" i="7"/>
  <c r="P1481" i="7"/>
  <c r="Q1481" i="7" s="1"/>
  <c r="U1481" i="7"/>
  <c r="V1481" i="7"/>
  <c r="W1481" i="7" s="1"/>
  <c r="P1482" i="7"/>
  <c r="Q1482" i="7" s="1"/>
  <c r="U1482" i="7"/>
  <c r="V1482" i="7"/>
  <c r="P1483" i="7"/>
  <c r="Q1483" i="7" s="1"/>
  <c r="U1483" i="7"/>
  <c r="V1483" i="7"/>
  <c r="P1484" i="7"/>
  <c r="Q1484" i="7" s="1"/>
  <c r="U1484" i="7"/>
  <c r="V1484" i="7"/>
  <c r="P1485" i="7"/>
  <c r="Q1485" i="7" s="1"/>
  <c r="U1485" i="7"/>
  <c r="V1485" i="7"/>
  <c r="P1486" i="7"/>
  <c r="Q1486" i="7" s="1"/>
  <c r="U1486" i="7"/>
  <c r="V1486" i="7"/>
  <c r="P1487" i="7"/>
  <c r="Q1487" i="7" s="1"/>
  <c r="U1487" i="7"/>
  <c r="V1487" i="7"/>
  <c r="P1488" i="7"/>
  <c r="Q1488" i="7" s="1"/>
  <c r="U1488" i="7"/>
  <c r="V1488" i="7"/>
  <c r="P1489" i="7"/>
  <c r="Q1489" i="7" s="1"/>
  <c r="U1489" i="7"/>
  <c r="V1489" i="7"/>
  <c r="P1490" i="7"/>
  <c r="Q1490" i="7" s="1"/>
  <c r="U1490" i="7"/>
  <c r="V1490" i="7"/>
  <c r="P1491" i="7"/>
  <c r="Q1491" i="7" s="1"/>
  <c r="U1491" i="7"/>
  <c r="V1491" i="7"/>
  <c r="P1492" i="7"/>
  <c r="Q1492" i="7" s="1"/>
  <c r="U1492" i="7"/>
  <c r="V1492" i="7"/>
  <c r="P1493" i="7"/>
  <c r="Q1493" i="7" s="1"/>
  <c r="U1493" i="7"/>
  <c r="V1493" i="7"/>
  <c r="P1494" i="7"/>
  <c r="Q1494" i="7" s="1"/>
  <c r="U1494" i="7"/>
  <c r="V1494" i="7"/>
  <c r="P1495" i="7"/>
  <c r="Q1495" i="7" s="1"/>
  <c r="U1495" i="7"/>
  <c r="V1495" i="7"/>
  <c r="P1496" i="7"/>
  <c r="Q1496" i="7" s="1"/>
  <c r="U1496" i="7"/>
  <c r="V1496" i="7"/>
  <c r="P1497" i="7"/>
  <c r="Q1497" i="7" s="1"/>
  <c r="U1497" i="7"/>
  <c r="V1497" i="7"/>
  <c r="P1498" i="7"/>
  <c r="Q1498" i="7" s="1"/>
  <c r="U1498" i="7"/>
  <c r="V1498" i="7"/>
  <c r="P1499" i="7"/>
  <c r="Q1499" i="7" s="1"/>
  <c r="U1499" i="7"/>
  <c r="V1499" i="7"/>
  <c r="P1500" i="7"/>
  <c r="Q1500" i="7" s="1"/>
  <c r="U1500" i="7"/>
  <c r="V1500" i="7"/>
  <c r="P1501" i="7"/>
  <c r="Q1501" i="7" s="1"/>
  <c r="U1501" i="7"/>
  <c r="V1501" i="7"/>
  <c r="P1502" i="7"/>
  <c r="Q1502" i="7" s="1"/>
  <c r="U1502" i="7"/>
  <c r="V1502" i="7"/>
  <c r="P1503" i="7"/>
  <c r="Q1503" i="7" s="1"/>
  <c r="U1503" i="7"/>
  <c r="V1503" i="7"/>
  <c r="P1504" i="7"/>
  <c r="Q1504" i="7" s="1"/>
  <c r="U1504" i="7"/>
  <c r="V1504" i="7"/>
  <c r="P1505" i="7"/>
  <c r="Q1505" i="7" s="1"/>
  <c r="U1505" i="7"/>
  <c r="V1505" i="7"/>
  <c r="P1506" i="7"/>
  <c r="Q1506" i="7" s="1"/>
  <c r="U1506" i="7"/>
  <c r="V1506" i="7"/>
  <c r="P1507" i="7"/>
  <c r="Q1507" i="7" s="1"/>
  <c r="U1507" i="7"/>
  <c r="V1507" i="7"/>
  <c r="P1508" i="7"/>
  <c r="Q1508" i="7" s="1"/>
  <c r="U1508" i="7"/>
  <c r="V1508" i="7"/>
  <c r="P1509" i="7"/>
  <c r="Q1509" i="7" s="1"/>
  <c r="U1509" i="7"/>
  <c r="V1509" i="7"/>
  <c r="P1510" i="7"/>
  <c r="Q1510" i="7" s="1"/>
  <c r="U1510" i="7"/>
  <c r="V1510" i="7"/>
  <c r="P1511" i="7"/>
  <c r="Q1511" i="7" s="1"/>
  <c r="U1511" i="7"/>
  <c r="V1511" i="7"/>
  <c r="P1512" i="7"/>
  <c r="Q1512" i="7" s="1"/>
  <c r="U1512" i="7"/>
  <c r="V1512" i="7"/>
  <c r="P1513" i="7"/>
  <c r="Q1513" i="7"/>
  <c r="U1513" i="7"/>
  <c r="V1513" i="7"/>
  <c r="P1514" i="7"/>
  <c r="Q1514" i="7"/>
  <c r="U1514" i="7"/>
  <c r="V1514" i="7"/>
  <c r="P1515" i="7"/>
  <c r="Q1515" i="7"/>
  <c r="U1515" i="7"/>
  <c r="V1515" i="7"/>
  <c r="P1516" i="7"/>
  <c r="Q1516" i="7" s="1"/>
  <c r="U1516" i="7"/>
  <c r="V1516" i="7"/>
  <c r="P1517" i="7"/>
  <c r="Q1517" i="7" s="1"/>
  <c r="U1517" i="7"/>
  <c r="V1517" i="7"/>
  <c r="P1518" i="7"/>
  <c r="Q1518" i="7" s="1"/>
  <c r="U1518" i="7"/>
  <c r="V1518" i="7"/>
  <c r="P1519" i="7"/>
  <c r="Q1519" i="7" s="1"/>
  <c r="U1519" i="7"/>
  <c r="V1519" i="7"/>
  <c r="P1520" i="7"/>
  <c r="Q1520" i="7" s="1"/>
  <c r="U1520" i="7"/>
  <c r="V1520" i="7"/>
  <c r="W1520" i="7" s="1"/>
  <c r="P1521" i="7"/>
  <c r="Q1521" i="7" s="1"/>
  <c r="U1521" i="7"/>
  <c r="V1521" i="7"/>
  <c r="P1522" i="7"/>
  <c r="Q1522" i="7" s="1"/>
  <c r="U1522" i="7"/>
  <c r="W1522" i="7" s="1"/>
  <c r="V1522" i="7"/>
  <c r="P1523" i="7"/>
  <c r="Q1523" i="7" s="1"/>
  <c r="U1523" i="7"/>
  <c r="V1523" i="7"/>
  <c r="P1524" i="7"/>
  <c r="Q1524" i="7" s="1"/>
  <c r="U1524" i="7"/>
  <c r="V1524" i="7"/>
  <c r="P1525" i="7"/>
  <c r="Q1525" i="7" s="1"/>
  <c r="U1525" i="7"/>
  <c r="V1525" i="7"/>
  <c r="P1526" i="7"/>
  <c r="Q1526" i="7" s="1"/>
  <c r="U1526" i="7"/>
  <c r="W1526" i="7" s="1"/>
  <c r="V1526" i="7"/>
  <c r="P1527" i="7"/>
  <c r="Q1527" i="7" s="1"/>
  <c r="U1527" i="7"/>
  <c r="V1527" i="7"/>
  <c r="P1528" i="7"/>
  <c r="Q1528" i="7" s="1"/>
  <c r="U1528" i="7"/>
  <c r="V1528" i="7"/>
  <c r="P1529" i="7"/>
  <c r="Q1529" i="7" s="1"/>
  <c r="U1529" i="7"/>
  <c r="V1529" i="7"/>
  <c r="P1530" i="7"/>
  <c r="Q1530" i="7" s="1"/>
  <c r="U1530" i="7"/>
  <c r="W1530" i="7" s="1"/>
  <c r="V1530" i="7"/>
  <c r="P1531" i="7"/>
  <c r="Q1531" i="7" s="1"/>
  <c r="U1531" i="7"/>
  <c r="V1531" i="7"/>
  <c r="P1532" i="7"/>
  <c r="Q1532" i="7" s="1"/>
  <c r="U1532" i="7"/>
  <c r="V1532" i="7"/>
  <c r="W1532" i="7" s="1"/>
  <c r="P1533" i="7"/>
  <c r="Q1533" i="7" s="1"/>
  <c r="U1533" i="7"/>
  <c r="V1533" i="7"/>
  <c r="P1534" i="7"/>
  <c r="Q1534" i="7" s="1"/>
  <c r="U1534" i="7"/>
  <c r="V1534" i="7"/>
  <c r="P1535" i="7"/>
  <c r="Q1535" i="7" s="1"/>
  <c r="U1535" i="7"/>
  <c r="V1535" i="7"/>
  <c r="P1536" i="7"/>
  <c r="Q1536" i="7" s="1"/>
  <c r="U1536" i="7"/>
  <c r="V1536" i="7"/>
  <c r="P1537" i="7"/>
  <c r="Q1537" i="7" s="1"/>
  <c r="U1537" i="7"/>
  <c r="V1537" i="7"/>
  <c r="P1538" i="7"/>
  <c r="Q1538" i="7" s="1"/>
  <c r="U1538" i="7"/>
  <c r="W1538" i="7" s="1"/>
  <c r="V1538" i="7"/>
  <c r="P1539" i="7"/>
  <c r="Q1539" i="7" s="1"/>
  <c r="U1539" i="7"/>
  <c r="V1539" i="7"/>
  <c r="P1540" i="7"/>
  <c r="Q1540" i="7" s="1"/>
  <c r="U1540" i="7"/>
  <c r="V1540" i="7"/>
  <c r="P1541" i="7"/>
  <c r="Q1541" i="7" s="1"/>
  <c r="U1541" i="7"/>
  <c r="V1541" i="7"/>
  <c r="P1542" i="7"/>
  <c r="Q1542" i="7" s="1"/>
  <c r="U1542" i="7"/>
  <c r="W1542" i="7" s="1"/>
  <c r="V1542" i="7"/>
  <c r="P1543" i="7"/>
  <c r="Q1543" i="7" s="1"/>
  <c r="U1543" i="7"/>
  <c r="V1543" i="7"/>
  <c r="P1544" i="7"/>
  <c r="Q1544" i="7" s="1"/>
  <c r="U1544" i="7"/>
  <c r="V1544" i="7"/>
  <c r="W1544" i="7" s="1"/>
  <c r="P1545" i="7"/>
  <c r="Q1545" i="7" s="1"/>
  <c r="U1545" i="7"/>
  <c r="V1545" i="7"/>
  <c r="P1546" i="7"/>
  <c r="Q1546" i="7" s="1"/>
  <c r="U1546" i="7"/>
  <c r="V1546" i="7"/>
  <c r="P1547" i="7"/>
  <c r="Q1547" i="7" s="1"/>
  <c r="U1547" i="7"/>
  <c r="V1547" i="7"/>
  <c r="P1548" i="7"/>
  <c r="Q1548" i="7" s="1"/>
  <c r="U1548" i="7"/>
  <c r="V1548" i="7"/>
  <c r="P1549" i="7"/>
  <c r="Q1549" i="7" s="1"/>
  <c r="U1549" i="7"/>
  <c r="V1549" i="7"/>
  <c r="P1550" i="7"/>
  <c r="Q1550" i="7" s="1"/>
  <c r="U1550" i="7"/>
  <c r="V1550" i="7"/>
  <c r="P1551" i="7"/>
  <c r="Q1551" i="7" s="1"/>
  <c r="U1551" i="7"/>
  <c r="V1551" i="7"/>
  <c r="P1552" i="7"/>
  <c r="Q1552" i="7" s="1"/>
  <c r="U1552" i="7"/>
  <c r="V1552" i="7"/>
  <c r="P1553" i="7"/>
  <c r="Q1553" i="7" s="1"/>
  <c r="U1553" i="7"/>
  <c r="V1553" i="7"/>
  <c r="P1554" i="7"/>
  <c r="Q1554" i="7" s="1"/>
  <c r="U1554" i="7"/>
  <c r="V1554" i="7"/>
  <c r="P1555" i="7"/>
  <c r="Q1555" i="7" s="1"/>
  <c r="U1555" i="7"/>
  <c r="V1555" i="7"/>
  <c r="P1556" i="7"/>
  <c r="Q1556" i="7" s="1"/>
  <c r="U1556" i="7"/>
  <c r="V1556" i="7"/>
  <c r="P1557" i="7"/>
  <c r="Q1557" i="7" s="1"/>
  <c r="U1557" i="7"/>
  <c r="V1557" i="7"/>
  <c r="P1558" i="7"/>
  <c r="Q1558" i="7" s="1"/>
  <c r="U1558" i="7"/>
  <c r="V1558" i="7"/>
  <c r="P1559" i="7"/>
  <c r="Q1559" i="7" s="1"/>
  <c r="U1559" i="7"/>
  <c r="V1559" i="7"/>
  <c r="W1559" i="7" s="1"/>
  <c r="P1560" i="7"/>
  <c r="Q1560" i="7" s="1"/>
  <c r="U1560" i="7"/>
  <c r="V1560" i="7"/>
  <c r="P1561" i="7"/>
  <c r="Q1561" i="7" s="1"/>
  <c r="U1561" i="7"/>
  <c r="V1561" i="7"/>
  <c r="P1562" i="7"/>
  <c r="Q1562" i="7" s="1"/>
  <c r="U1562" i="7"/>
  <c r="V1562" i="7"/>
  <c r="P1563" i="7"/>
  <c r="Q1563" i="7" s="1"/>
  <c r="U1563" i="7"/>
  <c r="V1563" i="7"/>
  <c r="W1563" i="7" s="1"/>
  <c r="P1564" i="7"/>
  <c r="Q1564" i="7" s="1"/>
  <c r="U1564" i="7"/>
  <c r="V1564" i="7"/>
  <c r="P1565" i="7"/>
  <c r="Q1565" i="7" s="1"/>
  <c r="U1565" i="7"/>
  <c r="V1565" i="7"/>
  <c r="P1566" i="7"/>
  <c r="Q1566" i="7" s="1"/>
  <c r="U1566" i="7"/>
  <c r="V1566" i="7"/>
  <c r="P1567" i="7"/>
  <c r="Q1567" i="7" s="1"/>
  <c r="U1567" i="7"/>
  <c r="V1567" i="7"/>
  <c r="W1567" i="7" s="1"/>
  <c r="P1568" i="7"/>
  <c r="Q1568" i="7" s="1"/>
  <c r="U1568" i="7"/>
  <c r="V1568" i="7"/>
  <c r="P1569" i="7"/>
  <c r="Q1569" i="7" s="1"/>
  <c r="U1569" i="7"/>
  <c r="V1569" i="7"/>
  <c r="P1570" i="7"/>
  <c r="Q1570" i="7" s="1"/>
  <c r="U1570" i="7"/>
  <c r="V1570" i="7"/>
  <c r="P1571" i="7"/>
  <c r="Q1571" i="7" s="1"/>
  <c r="U1571" i="7"/>
  <c r="V1571" i="7"/>
  <c r="W1571" i="7" s="1"/>
  <c r="P1572" i="7"/>
  <c r="Q1572" i="7" s="1"/>
  <c r="U1572" i="7"/>
  <c r="V1572" i="7"/>
  <c r="P1573" i="7"/>
  <c r="Q1573" i="7" s="1"/>
  <c r="U1573" i="7"/>
  <c r="V1573" i="7"/>
  <c r="P1574" i="7"/>
  <c r="Q1574" i="7" s="1"/>
  <c r="U1574" i="7"/>
  <c r="V1574" i="7"/>
  <c r="P1575" i="7"/>
  <c r="Q1575" i="7" s="1"/>
  <c r="U1575" i="7"/>
  <c r="V1575" i="7"/>
  <c r="P1576" i="7"/>
  <c r="Q1576" i="7" s="1"/>
  <c r="U1576" i="7"/>
  <c r="V1576" i="7"/>
  <c r="P1577" i="7"/>
  <c r="Q1577" i="7" s="1"/>
  <c r="U1577" i="7"/>
  <c r="V1577" i="7"/>
  <c r="P1578" i="7"/>
  <c r="Q1578" i="7" s="1"/>
  <c r="U1578" i="7"/>
  <c r="V1578" i="7"/>
  <c r="P1579" i="7"/>
  <c r="Q1579" i="7" s="1"/>
  <c r="U1579" i="7"/>
  <c r="V1579" i="7"/>
  <c r="P1580" i="7"/>
  <c r="Q1580" i="7" s="1"/>
  <c r="U1580" i="7"/>
  <c r="V1580" i="7"/>
  <c r="P1581" i="7"/>
  <c r="Q1581" i="7" s="1"/>
  <c r="U1581" i="7"/>
  <c r="V1581" i="7"/>
  <c r="P1582" i="7"/>
  <c r="Q1582" i="7" s="1"/>
  <c r="U1582" i="7"/>
  <c r="V1582" i="7"/>
  <c r="P1583" i="7"/>
  <c r="Q1583" i="7" s="1"/>
  <c r="U1583" i="7"/>
  <c r="V1583" i="7"/>
  <c r="P1584" i="7"/>
  <c r="Q1584" i="7" s="1"/>
  <c r="U1584" i="7"/>
  <c r="V1584" i="7"/>
  <c r="P1585" i="7"/>
  <c r="Q1585" i="7" s="1"/>
  <c r="U1585" i="7"/>
  <c r="V1585" i="7"/>
  <c r="P1586" i="7"/>
  <c r="Q1586" i="7" s="1"/>
  <c r="U1586" i="7"/>
  <c r="V1586" i="7"/>
  <c r="P1587" i="7"/>
  <c r="Q1587" i="7" s="1"/>
  <c r="U1587" i="7"/>
  <c r="V1587" i="7"/>
  <c r="P1588" i="7"/>
  <c r="Q1588" i="7" s="1"/>
  <c r="U1588" i="7"/>
  <c r="V1588" i="7"/>
  <c r="P1589" i="7"/>
  <c r="Q1589" i="7" s="1"/>
  <c r="U1589" i="7"/>
  <c r="V1589" i="7"/>
  <c r="P1590" i="7"/>
  <c r="Q1590" i="7" s="1"/>
  <c r="U1590" i="7"/>
  <c r="V1590" i="7"/>
  <c r="W1590" i="7" s="1"/>
  <c r="P1591" i="7"/>
  <c r="Q1591" i="7" s="1"/>
  <c r="U1591" i="7"/>
  <c r="V1591" i="7"/>
  <c r="W1591" i="7" s="1"/>
  <c r="P1592" i="7"/>
  <c r="Q1592" i="7" s="1"/>
  <c r="U1592" i="7"/>
  <c r="V1592" i="7"/>
  <c r="P1593" i="7"/>
  <c r="Q1593" i="7" s="1"/>
  <c r="U1593" i="7"/>
  <c r="V1593" i="7"/>
  <c r="P1594" i="7"/>
  <c r="Q1594" i="7" s="1"/>
  <c r="U1594" i="7"/>
  <c r="V1594" i="7"/>
  <c r="P1595" i="7"/>
  <c r="Q1595" i="7" s="1"/>
  <c r="U1595" i="7"/>
  <c r="V1595" i="7"/>
  <c r="P1596" i="7"/>
  <c r="Q1596" i="7" s="1"/>
  <c r="U1596" i="7"/>
  <c r="V1596" i="7"/>
  <c r="P1597" i="7"/>
  <c r="Q1597" i="7" s="1"/>
  <c r="U1597" i="7"/>
  <c r="V1597" i="7"/>
  <c r="P1598" i="7"/>
  <c r="Q1598" i="7" s="1"/>
  <c r="U1598" i="7"/>
  <c r="V1598" i="7"/>
  <c r="P1599" i="7"/>
  <c r="Q1599" i="7" s="1"/>
  <c r="U1599" i="7"/>
  <c r="V1599" i="7"/>
  <c r="P1600" i="7"/>
  <c r="Q1600" i="7" s="1"/>
  <c r="U1600" i="7"/>
  <c r="V1600" i="7"/>
  <c r="P1601" i="7"/>
  <c r="Q1601" i="7" s="1"/>
  <c r="U1601" i="7"/>
  <c r="V1601" i="7"/>
  <c r="P1602" i="7"/>
  <c r="Q1602" i="7" s="1"/>
  <c r="U1602" i="7"/>
  <c r="V1602" i="7"/>
  <c r="P1603" i="7"/>
  <c r="Q1603" i="7" s="1"/>
  <c r="U1603" i="7"/>
  <c r="V1603" i="7"/>
  <c r="P1604" i="7"/>
  <c r="Q1604" i="7" s="1"/>
  <c r="U1604" i="7"/>
  <c r="V1604" i="7"/>
  <c r="W1604" i="7" s="1"/>
  <c r="P1605" i="7"/>
  <c r="Q1605" i="7" s="1"/>
  <c r="U1605" i="7"/>
  <c r="V1605" i="7"/>
  <c r="P1606" i="7"/>
  <c r="Q1606" i="7" s="1"/>
  <c r="U1606" i="7"/>
  <c r="V1606" i="7"/>
  <c r="P1607" i="7"/>
  <c r="Q1607" i="7" s="1"/>
  <c r="U1607" i="7"/>
  <c r="V1607" i="7"/>
  <c r="P1608" i="7"/>
  <c r="Q1608" i="7" s="1"/>
  <c r="U1608" i="7"/>
  <c r="V1608" i="7"/>
  <c r="P1609" i="7"/>
  <c r="Q1609" i="7" s="1"/>
  <c r="U1609" i="7"/>
  <c r="V1609" i="7"/>
  <c r="P1610" i="7"/>
  <c r="Q1610" i="7" s="1"/>
  <c r="U1610" i="7"/>
  <c r="V1610" i="7"/>
  <c r="P1611" i="7"/>
  <c r="Q1611" i="7" s="1"/>
  <c r="U1611" i="7"/>
  <c r="V1611" i="7"/>
  <c r="P1612" i="7"/>
  <c r="Q1612" i="7" s="1"/>
  <c r="U1612" i="7"/>
  <c r="V1612" i="7"/>
  <c r="W1612" i="7" s="1"/>
  <c r="P1613" i="7"/>
  <c r="Q1613" i="7" s="1"/>
  <c r="U1613" i="7"/>
  <c r="V1613" i="7"/>
  <c r="P1614" i="7"/>
  <c r="Q1614" i="7" s="1"/>
  <c r="U1614" i="7"/>
  <c r="V1614" i="7"/>
  <c r="P1615" i="7"/>
  <c r="Q1615" i="7" s="1"/>
  <c r="U1615" i="7"/>
  <c r="V1615" i="7"/>
  <c r="P1616" i="7"/>
  <c r="Q1616" i="7" s="1"/>
  <c r="U1616" i="7"/>
  <c r="V1616" i="7"/>
  <c r="P1617" i="7"/>
  <c r="Q1617" i="7" s="1"/>
  <c r="U1617" i="7"/>
  <c r="V1617" i="7"/>
  <c r="P1618" i="7"/>
  <c r="Q1618" i="7" s="1"/>
  <c r="U1618" i="7"/>
  <c r="V1618" i="7"/>
  <c r="P1619" i="7"/>
  <c r="Q1619" i="7" s="1"/>
  <c r="U1619" i="7"/>
  <c r="V1619" i="7"/>
  <c r="P1620" i="7"/>
  <c r="Q1620" i="7" s="1"/>
  <c r="U1620" i="7"/>
  <c r="V1620" i="7"/>
  <c r="W1620" i="7" s="1"/>
  <c r="P1621" i="7"/>
  <c r="Q1621" i="7" s="1"/>
  <c r="U1621" i="7"/>
  <c r="V1621" i="7"/>
  <c r="P1622" i="7"/>
  <c r="Q1622" i="7" s="1"/>
  <c r="U1622" i="7"/>
  <c r="V1622" i="7"/>
  <c r="P1623" i="7"/>
  <c r="Q1623" i="7" s="1"/>
  <c r="U1623" i="7"/>
  <c r="V1623" i="7"/>
  <c r="P1624" i="7"/>
  <c r="Q1624" i="7" s="1"/>
  <c r="U1624" i="7"/>
  <c r="V1624" i="7"/>
  <c r="P1625" i="7"/>
  <c r="Q1625" i="7" s="1"/>
  <c r="U1625" i="7"/>
  <c r="V1625" i="7"/>
  <c r="P1626" i="7"/>
  <c r="Q1626" i="7" s="1"/>
  <c r="U1626" i="7"/>
  <c r="V1626" i="7"/>
  <c r="P1627" i="7"/>
  <c r="Q1627" i="7" s="1"/>
  <c r="U1627" i="7"/>
  <c r="V1627" i="7"/>
  <c r="P1628" i="7"/>
  <c r="Q1628" i="7" s="1"/>
  <c r="U1628" i="7"/>
  <c r="V1628" i="7"/>
  <c r="W1628" i="7" s="1"/>
  <c r="P1629" i="7"/>
  <c r="Q1629" i="7" s="1"/>
  <c r="U1629" i="7"/>
  <c r="V1629" i="7"/>
  <c r="P1630" i="7"/>
  <c r="Q1630" i="7" s="1"/>
  <c r="U1630" i="7"/>
  <c r="V1630" i="7"/>
  <c r="P1631" i="7"/>
  <c r="Q1631" i="7" s="1"/>
  <c r="U1631" i="7"/>
  <c r="V1631" i="7"/>
  <c r="P1632" i="7"/>
  <c r="Q1632" i="7" s="1"/>
  <c r="U1632" i="7"/>
  <c r="V1632" i="7"/>
  <c r="P1633" i="7"/>
  <c r="Q1633" i="7" s="1"/>
  <c r="U1633" i="7"/>
  <c r="V1633" i="7"/>
  <c r="P1634" i="7"/>
  <c r="Q1634" i="7" s="1"/>
  <c r="U1634" i="7"/>
  <c r="V1634" i="7"/>
  <c r="P1635" i="7"/>
  <c r="Q1635" i="7" s="1"/>
  <c r="U1635" i="7"/>
  <c r="V1635" i="7"/>
  <c r="P1636" i="7"/>
  <c r="Q1636" i="7" s="1"/>
  <c r="U1636" i="7"/>
  <c r="V1636" i="7"/>
  <c r="P1637" i="7"/>
  <c r="Q1637" i="7" s="1"/>
  <c r="U1637" i="7"/>
  <c r="V1637" i="7"/>
  <c r="P1638" i="7"/>
  <c r="Q1638" i="7" s="1"/>
  <c r="U1638" i="7"/>
  <c r="V1638" i="7"/>
  <c r="P1639" i="7"/>
  <c r="Q1639" i="7" s="1"/>
  <c r="U1639" i="7"/>
  <c r="V1639" i="7"/>
  <c r="P1640" i="7"/>
  <c r="Q1640" i="7" s="1"/>
  <c r="U1640" i="7"/>
  <c r="V1640" i="7"/>
  <c r="P1641" i="7"/>
  <c r="Q1641" i="7" s="1"/>
  <c r="U1641" i="7"/>
  <c r="V1641" i="7"/>
  <c r="P1642" i="7"/>
  <c r="Q1642" i="7" s="1"/>
  <c r="U1642" i="7"/>
  <c r="V1642" i="7"/>
  <c r="P1643" i="7"/>
  <c r="Q1643" i="7" s="1"/>
  <c r="U1643" i="7"/>
  <c r="V1643" i="7"/>
  <c r="P1644" i="7"/>
  <c r="Q1644" i="7" s="1"/>
  <c r="U1644" i="7"/>
  <c r="V1644" i="7"/>
  <c r="W1644" i="7" s="1"/>
  <c r="P1645" i="7"/>
  <c r="Q1645" i="7" s="1"/>
  <c r="U1645" i="7"/>
  <c r="V1645" i="7"/>
  <c r="P1646" i="7"/>
  <c r="Q1646" i="7" s="1"/>
  <c r="U1646" i="7"/>
  <c r="V1646" i="7"/>
  <c r="P1647" i="7"/>
  <c r="Q1647" i="7" s="1"/>
  <c r="U1647" i="7"/>
  <c r="V1647" i="7"/>
  <c r="P1648" i="7"/>
  <c r="Q1648" i="7" s="1"/>
  <c r="U1648" i="7"/>
  <c r="V1648" i="7"/>
  <c r="P1649" i="7"/>
  <c r="Q1649" i="7" s="1"/>
  <c r="U1649" i="7"/>
  <c r="V1649" i="7"/>
  <c r="P1650" i="7"/>
  <c r="Q1650" i="7" s="1"/>
  <c r="U1650" i="7"/>
  <c r="V1650" i="7"/>
  <c r="P1651" i="7"/>
  <c r="Q1651" i="7" s="1"/>
  <c r="U1651" i="7"/>
  <c r="V1651" i="7"/>
  <c r="P1652" i="7"/>
  <c r="Q1652" i="7" s="1"/>
  <c r="U1652" i="7"/>
  <c r="V1652" i="7"/>
  <c r="W1652" i="7" s="1"/>
  <c r="P1653" i="7"/>
  <c r="Q1653" i="7" s="1"/>
  <c r="U1653" i="7"/>
  <c r="V1653" i="7"/>
  <c r="P1654" i="7"/>
  <c r="Q1654" i="7" s="1"/>
  <c r="U1654" i="7"/>
  <c r="W1654" i="7" s="1"/>
  <c r="V1654" i="7"/>
  <c r="P1655" i="7"/>
  <c r="Q1655" i="7" s="1"/>
  <c r="U1655" i="7"/>
  <c r="W1655" i="7" s="1"/>
  <c r="V1655" i="7"/>
  <c r="P1656" i="7"/>
  <c r="Q1656" i="7" s="1"/>
  <c r="U1656" i="7"/>
  <c r="V1656" i="7"/>
  <c r="P1657" i="7"/>
  <c r="Q1657" i="7" s="1"/>
  <c r="U1657" i="7"/>
  <c r="W1657" i="7" s="1"/>
  <c r="V1657" i="7"/>
  <c r="P1658" i="7"/>
  <c r="Q1658" i="7" s="1"/>
  <c r="U1658" i="7"/>
  <c r="V1658" i="7"/>
  <c r="P1659" i="7"/>
  <c r="Q1659" i="7" s="1"/>
  <c r="U1659" i="7"/>
  <c r="V1659" i="7"/>
  <c r="W1659" i="7" s="1"/>
  <c r="P1660" i="7"/>
  <c r="Q1660" i="7" s="1"/>
  <c r="U1660" i="7"/>
  <c r="V1660" i="7"/>
  <c r="P1661" i="7"/>
  <c r="Q1661" i="7" s="1"/>
  <c r="U1661" i="7"/>
  <c r="W1661" i="7" s="1"/>
  <c r="V1661" i="7"/>
  <c r="P1662" i="7"/>
  <c r="Q1662" i="7" s="1"/>
  <c r="U1662" i="7"/>
  <c r="V1662" i="7"/>
  <c r="P1663" i="7"/>
  <c r="Q1663" i="7" s="1"/>
  <c r="U1663" i="7"/>
  <c r="V1663" i="7"/>
  <c r="W1663" i="7" s="1"/>
  <c r="P1664" i="7"/>
  <c r="Q1664" i="7" s="1"/>
  <c r="U1664" i="7"/>
  <c r="V1664" i="7"/>
  <c r="P1665" i="7"/>
  <c r="Q1665" i="7" s="1"/>
  <c r="U1665" i="7"/>
  <c r="W1665" i="7" s="1"/>
  <c r="V1665" i="7"/>
  <c r="P1666" i="7"/>
  <c r="Q1666" i="7" s="1"/>
  <c r="U1666" i="7"/>
  <c r="V1666" i="7"/>
  <c r="P1667" i="7"/>
  <c r="Q1667" i="7" s="1"/>
  <c r="U1667" i="7"/>
  <c r="V1667" i="7"/>
  <c r="P1668" i="7"/>
  <c r="Q1668" i="7" s="1"/>
  <c r="U1668" i="7"/>
  <c r="V1668" i="7"/>
  <c r="P1669" i="7"/>
  <c r="Q1669" i="7" s="1"/>
  <c r="U1669" i="7"/>
  <c r="V1669" i="7"/>
  <c r="P1670" i="7"/>
  <c r="Q1670" i="7" s="1"/>
  <c r="U1670" i="7"/>
  <c r="V1670" i="7"/>
  <c r="P1671" i="7"/>
  <c r="Q1671" i="7" s="1"/>
  <c r="U1671" i="7"/>
  <c r="V1671" i="7"/>
  <c r="P1672" i="7"/>
  <c r="Q1672" i="7" s="1"/>
  <c r="U1672" i="7"/>
  <c r="V1672" i="7"/>
  <c r="P1673" i="7"/>
  <c r="Q1673" i="7" s="1"/>
  <c r="U1673" i="7"/>
  <c r="V1673" i="7"/>
  <c r="P1674" i="7"/>
  <c r="Q1674" i="7" s="1"/>
  <c r="U1674" i="7"/>
  <c r="V1674" i="7"/>
  <c r="W1674" i="7" s="1"/>
  <c r="P1675" i="7"/>
  <c r="Q1675" i="7" s="1"/>
  <c r="U1675" i="7"/>
  <c r="V1675" i="7"/>
  <c r="W1675" i="7" s="1"/>
  <c r="P1676" i="7"/>
  <c r="Q1676" i="7" s="1"/>
  <c r="U1676" i="7"/>
  <c r="V1676" i="7"/>
  <c r="P1677" i="7"/>
  <c r="Q1677" i="7" s="1"/>
  <c r="U1677" i="7"/>
  <c r="V1677" i="7"/>
  <c r="P1678" i="7"/>
  <c r="Q1678" i="7" s="1"/>
  <c r="U1678" i="7"/>
  <c r="V1678" i="7"/>
  <c r="W1678" i="7" s="1"/>
  <c r="P1679" i="7"/>
  <c r="Q1679" i="7" s="1"/>
  <c r="U1679" i="7"/>
  <c r="V1679" i="7"/>
  <c r="P1680" i="7"/>
  <c r="Q1680" i="7" s="1"/>
  <c r="U1680" i="7"/>
  <c r="V1680" i="7"/>
  <c r="P1681" i="7"/>
  <c r="Q1681" i="7" s="1"/>
  <c r="U1681" i="7"/>
  <c r="V1681" i="7"/>
  <c r="P1682" i="7"/>
  <c r="Q1682" i="7" s="1"/>
  <c r="U1682" i="7"/>
  <c r="V1682" i="7"/>
  <c r="P1683" i="7"/>
  <c r="Q1683" i="7" s="1"/>
  <c r="U1683" i="7"/>
  <c r="V1683" i="7"/>
  <c r="P1684" i="7"/>
  <c r="Q1684" i="7" s="1"/>
  <c r="U1684" i="7"/>
  <c r="V1684" i="7"/>
  <c r="P1685" i="7"/>
  <c r="Q1685" i="7" s="1"/>
  <c r="U1685" i="7"/>
  <c r="W1685" i="7" s="1"/>
  <c r="V1685" i="7"/>
  <c r="P1686" i="7"/>
  <c r="Q1686" i="7"/>
  <c r="U1686" i="7"/>
  <c r="V1686" i="7"/>
  <c r="P1687" i="7"/>
  <c r="Q1687" i="7"/>
  <c r="U1687" i="7"/>
  <c r="W1687" i="7" s="1"/>
  <c r="V1687" i="7"/>
  <c r="P1688" i="7"/>
  <c r="Q1688" i="7"/>
  <c r="U1688" i="7"/>
  <c r="V1688" i="7"/>
  <c r="P1689" i="7"/>
  <c r="Q1689" i="7" s="1"/>
  <c r="U1689" i="7"/>
  <c r="V1689" i="7"/>
  <c r="P1690" i="7"/>
  <c r="Q1690" i="7" s="1"/>
  <c r="U1690" i="7"/>
  <c r="V1690" i="7"/>
  <c r="W1690" i="7" s="1"/>
  <c r="P1691" i="7"/>
  <c r="Q1691" i="7" s="1"/>
  <c r="U1691" i="7"/>
  <c r="V1691" i="7"/>
  <c r="P1692" i="7"/>
  <c r="Q1692" i="7" s="1"/>
  <c r="U1692" i="7"/>
  <c r="V1692" i="7"/>
  <c r="P1693" i="7"/>
  <c r="Q1693" i="7" s="1"/>
  <c r="U1693" i="7"/>
  <c r="V1693" i="7"/>
  <c r="P1694" i="7"/>
  <c r="Q1694" i="7" s="1"/>
  <c r="U1694" i="7"/>
  <c r="V1694" i="7"/>
  <c r="W1694" i="7" s="1"/>
  <c r="P1695" i="7"/>
  <c r="Q1695" i="7" s="1"/>
  <c r="U1695" i="7"/>
  <c r="V1695" i="7"/>
  <c r="P1696" i="7"/>
  <c r="Q1696" i="7" s="1"/>
  <c r="U1696" i="7"/>
  <c r="W1696" i="7" s="1"/>
  <c r="V1696" i="7"/>
  <c r="P1697" i="7"/>
  <c r="Q1697" i="7" s="1"/>
  <c r="U1697" i="7"/>
  <c r="V1697" i="7"/>
  <c r="P1698" i="7"/>
  <c r="Q1698" i="7" s="1"/>
  <c r="U1698" i="7"/>
  <c r="V1698" i="7"/>
  <c r="P1699" i="7"/>
  <c r="Q1699" i="7" s="1"/>
  <c r="U1699" i="7"/>
  <c r="V1699" i="7"/>
  <c r="P1700" i="7"/>
  <c r="Q1700" i="7" s="1"/>
  <c r="U1700" i="7"/>
  <c r="V1700" i="7"/>
  <c r="P1701" i="7"/>
  <c r="Q1701" i="7" s="1"/>
  <c r="U1701" i="7"/>
  <c r="V1701" i="7"/>
  <c r="P1702" i="7"/>
  <c r="Q1702" i="7" s="1"/>
  <c r="U1702" i="7"/>
  <c r="V1702" i="7"/>
  <c r="P1703" i="7"/>
  <c r="Q1703" i="7" s="1"/>
  <c r="U1703" i="7"/>
  <c r="V1703" i="7"/>
  <c r="P1704" i="7"/>
  <c r="Q1704" i="7" s="1"/>
  <c r="U1704" i="7"/>
  <c r="V1704" i="7"/>
  <c r="W1704" i="7" s="1"/>
  <c r="P1705" i="7"/>
  <c r="Q1705" i="7" s="1"/>
  <c r="U1705" i="7"/>
  <c r="V1705" i="7"/>
  <c r="W1705" i="7" s="1"/>
  <c r="P1706" i="7"/>
  <c r="Q1706" i="7" s="1"/>
  <c r="U1706" i="7"/>
  <c r="V1706" i="7"/>
  <c r="P1707" i="7"/>
  <c r="Q1707" i="7" s="1"/>
  <c r="U1707" i="7"/>
  <c r="V1707" i="7"/>
  <c r="P1708" i="7"/>
  <c r="Q1708" i="7" s="1"/>
  <c r="U1708" i="7"/>
  <c r="V1708" i="7"/>
  <c r="P1709" i="7"/>
  <c r="Q1709" i="7" s="1"/>
  <c r="U1709" i="7"/>
  <c r="V1709" i="7"/>
  <c r="P1710" i="7"/>
  <c r="Q1710" i="7" s="1"/>
  <c r="U1710" i="7"/>
  <c r="V1710" i="7"/>
  <c r="P1711" i="7"/>
  <c r="Q1711" i="7" s="1"/>
  <c r="U1711" i="7"/>
  <c r="V1711" i="7"/>
  <c r="P1712" i="7"/>
  <c r="Q1712" i="7" s="1"/>
  <c r="U1712" i="7"/>
  <c r="V1712" i="7"/>
  <c r="P1713" i="7"/>
  <c r="Q1713" i="7" s="1"/>
  <c r="U1713" i="7"/>
  <c r="V1713" i="7"/>
  <c r="P1714" i="7"/>
  <c r="Q1714" i="7" s="1"/>
  <c r="U1714" i="7"/>
  <c r="V1714" i="7"/>
  <c r="P1715" i="7"/>
  <c r="Q1715" i="7" s="1"/>
  <c r="U1715" i="7"/>
  <c r="V1715" i="7"/>
  <c r="P1716" i="7"/>
  <c r="Q1716" i="7" s="1"/>
  <c r="U1716" i="7"/>
  <c r="V1716" i="7"/>
  <c r="P1717" i="7"/>
  <c r="Q1717" i="7" s="1"/>
  <c r="U1717" i="7"/>
  <c r="V1717" i="7"/>
  <c r="P1718" i="7"/>
  <c r="Q1718" i="7" s="1"/>
  <c r="U1718" i="7"/>
  <c r="V1718" i="7"/>
  <c r="P1719" i="7"/>
  <c r="Q1719" i="7" s="1"/>
  <c r="U1719" i="7"/>
  <c r="V1719" i="7"/>
  <c r="P1720" i="7"/>
  <c r="Q1720" i="7" s="1"/>
  <c r="U1720" i="7"/>
  <c r="V1720" i="7"/>
  <c r="P1721" i="7"/>
  <c r="Q1721" i="7" s="1"/>
  <c r="U1721" i="7"/>
  <c r="V1721" i="7"/>
  <c r="P1722" i="7"/>
  <c r="Q1722" i="7" s="1"/>
  <c r="U1722" i="7"/>
  <c r="V1722" i="7"/>
  <c r="P1723" i="7"/>
  <c r="Q1723" i="7" s="1"/>
  <c r="U1723" i="7"/>
  <c r="V1723" i="7"/>
  <c r="P1724" i="7"/>
  <c r="Q1724" i="7" s="1"/>
  <c r="U1724" i="7"/>
  <c r="V1724" i="7"/>
  <c r="P1725" i="7"/>
  <c r="Q1725" i="7" s="1"/>
  <c r="U1725" i="7"/>
  <c r="V1725" i="7"/>
  <c r="P1726" i="7"/>
  <c r="Q1726" i="7" s="1"/>
  <c r="U1726" i="7"/>
  <c r="V1726" i="7"/>
  <c r="P1727" i="7"/>
  <c r="Q1727" i="7" s="1"/>
  <c r="U1727" i="7"/>
  <c r="V1727" i="7"/>
  <c r="P1728" i="7"/>
  <c r="Q1728" i="7" s="1"/>
  <c r="U1728" i="7"/>
  <c r="V1728" i="7"/>
  <c r="P1729" i="7"/>
  <c r="Q1729" i="7" s="1"/>
  <c r="U1729" i="7"/>
  <c r="V1729" i="7"/>
  <c r="P1730" i="7"/>
  <c r="Q1730" i="7"/>
  <c r="U1730" i="7"/>
  <c r="V1730" i="7"/>
  <c r="P1731" i="7"/>
  <c r="Q1731" i="7"/>
  <c r="U1731" i="7"/>
  <c r="V1731" i="7"/>
  <c r="P1732" i="7"/>
  <c r="Q1732" i="7"/>
  <c r="U1732" i="7"/>
  <c r="V1732" i="7"/>
  <c r="P1733" i="7"/>
  <c r="Q1733" i="7" s="1"/>
  <c r="U1733" i="7"/>
  <c r="V1733" i="7"/>
  <c r="P1734" i="7"/>
  <c r="Q1734" i="7" s="1"/>
  <c r="U1734" i="7"/>
  <c r="V1734" i="7"/>
  <c r="P1735" i="7"/>
  <c r="Q1735" i="7" s="1"/>
  <c r="U1735" i="7"/>
  <c r="V1735" i="7"/>
  <c r="P1736" i="7"/>
  <c r="Q1736" i="7" s="1"/>
  <c r="U1736" i="7"/>
  <c r="V1736" i="7"/>
  <c r="U1420" i="7"/>
  <c r="V1420" i="7"/>
  <c r="P1420" i="7"/>
  <c r="Q1420" i="7" s="1"/>
  <c r="AR266" i="4" l="1"/>
  <c r="BC302" i="4"/>
  <c r="AR330" i="4"/>
  <c r="BC270" i="4"/>
  <c r="BC266" i="4"/>
  <c r="AR295" i="4"/>
  <c r="AR291" i="4"/>
  <c r="AR287" i="4"/>
  <c r="AR285" i="4"/>
  <c r="AR283" i="4"/>
  <c r="AR279" i="4"/>
  <c r="AR275" i="4"/>
  <c r="BC330" i="4"/>
  <c r="BC318" i="4"/>
  <c r="BC314" i="4"/>
  <c r="BC306" i="4"/>
  <c r="BC298" i="4"/>
  <c r="BC286" i="4"/>
  <c r="BC282" i="4"/>
  <c r="BC274" i="4"/>
  <c r="AR262" i="4"/>
  <c r="AR306" i="4"/>
  <c r="AR298" i="4"/>
  <c r="AR274" i="4"/>
  <c r="AR270" i="4"/>
  <c r="BC329" i="4"/>
  <c r="BC327" i="4"/>
  <c r="BC325" i="4"/>
  <c r="BC323" i="4"/>
  <c r="BC321" i="4"/>
  <c r="BC297" i="4"/>
  <c r="BC295" i="4"/>
  <c r="BC293" i="4"/>
  <c r="BC291" i="4"/>
  <c r="BC289" i="4"/>
  <c r="BC287" i="4"/>
  <c r="AR326" i="4"/>
  <c r="AR314" i="4"/>
  <c r="AR310" i="4"/>
  <c r="BC262" i="4"/>
  <c r="BC294" i="4"/>
  <c r="BC292" i="4"/>
  <c r="AR296" i="4"/>
  <c r="AR288" i="4"/>
  <c r="AR284" i="4"/>
  <c r="BC328" i="4"/>
  <c r="BC326" i="4"/>
  <c r="BC324" i="4"/>
  <c r="BC264" i="4"/>
  <c r="BC310" i="4"/>
  <c r="BC280" i="4"/>
  <c r="BC276" i="4"/>
  <c r="BC312" i="4"/>
  <c r="BC308" i="4"/>
  <c r="BC278" i="4"/>
  <c r="AR324" i="4"/>
  <c r="AR322" i="4"/>
  <c r="AR320" i="4"/>
  <c r="AR316" i="4"/>
  <c r="AR302" i="4"/>
  <c r="AR264" i="4"/>
  <c r="BC322" i="4"/>
  <c r="BC313" i="4"/>
  <c r="BC311" i="4"/>
  <c r="BC309" i="4"/>
  <c r="BC307" i="4"/>
  <c r="BC305" i="4"/>
  <c r="BC290" i="4"/>
  <c r="BC281" i="4"/>
  <c r="BC279" i="4"/>
  <c r="BC277" i="4"/>
  <c r="BC275" i="4"/>
  <c r="BC273" i="4"/>
  <c r="BC271" i="4"/>
  <c r="AR327" i="4"/>
  <c r="AR325" i="4"/>
  <c r="AR323" i="4"/>
  <c r="AR319" i="4"/>
  <c r="AR315" i="4"/>
  <c r="AR311" i="4"/>
  <c r="AR307" i="4"/>
  <c r="AR290" i="4"/>
  <c r="AR282" i="4"/>
  <c r="AR278" i="4"/>
  <c r="AR263" i="4"/>
  <c r="AR312" i="4"/>
  <c r="AR308" i="4"/>
  <c r="AR280" i="4"/>
  <c r="AR276" i="4"/>
  <c r="BC320" i="4"/>
  <c r="BC304" i="4"/>
  <c r="BC288" i="4"/>
  <c r="BC272" i="4"/>
  <c r="AR304" i="4"/>
  <c r="AR300" i="4"/>
  <c r="AR294" i="4"/>
  <c r="AR277" i="4"/>
  <c r="AR272" i="4"/>
  <c r="AR268" i="4"/>
  <c r="BC319" i="4"/>
  <c r="BC316" i="4"/>
  <c r="BC303" i="4"/>
  <c r="BC300" i="4"/>
  <c r="BC284" i="4"/>
  <c r="BC268" i="4"/>
  <c r="AR331" i="4"/>
  <c r="AR318" i="4"/>
  <c r="AR303" i="4"/>
  <c r="AR301" i="4"/>
  <c r="AR299" i="4"/>
  <c r="AR292" i="4"/>
  <c r="AR286" i="4"/>
  <c r="AR271" i="4"/>
  <c r="AR269" i="4"/>
  <c r="AR267" i="4"/>
  <c r="BC331" i="4"/>
  <c r="BC317" i="4"/>
  <c r="BC315" i="4"/>
  <c r="BC301" i="4"/>
  <c r="BC299" i="4"/>
  <c r="BC296" i="4"/>
  <c r="BC285" i="4"/>
  <c r="BC283" i="4"/>
  <c r="BC269" i="4"/>
  <c r="BC267" i="4"/>
  <c r="AR317" i="4"/>
  <c r="AR309" i="4"/>
  <c r="AR293" i="4"/>
  <c r="AR328" i="4"/>
  <c r="AR329" i="4"/>
  <c r="AR321" i="4"/>
  <c r="AR313" i="4"/>
  <c r="AR305" i="4"/>
  <c r="AR297" i="4"/>
  <c r="AR289" i="4"/>
  <c r="AR281" i="4"/>
  <c r="AR273" i="4"/>
  <c r="AR265" i="4"/>
  <c r="W1555" i="7"/>
  <c r="W1551" i="7"/>
  <c r="W1547" i="7"/>
  <c r="W1531" i="7"/>
  <c r="W1720" i="7"/>
  <c r="W1719" i="7"/>
  <c r="W1717" i="7"/>
  <c r="W1664" i="7"/>
  <c r="W1638" i="7"/>
  <c r="W1630" i="7"/>
  <c r="W1610" i="7"/>
  <c r="W1606" i="7"/>
  <c r="W1597" i="7"/>
  <c r="W1593" i="7"/>
  <c r="W1583" i="7"/>
  <c r="W1579" i="7"/>
  <c r="W1576" i="7"/>
  <c r="W1557" i="7"/>
  <c r="W1525" i="7"/>
  <c r="W1454" i="7"/>
  <c r="W1450" i="7"/>
  <c r="W1446" i="7"/>
  <c r="W1442" i="7"/>
  <c r="W1438" i="7"/>
  <c r="W1434" i="7"/>
  <c r="W1639" i="7"/>
  <c r="W1611" i="7"/>
  <c r="W1595" i="7"/>
  <c r="W1589" i="7"/>
  <c r="W1452" i="7"/>
  <c r="W1448" i="7"/>
  <c r="W1444" i="7"/>
  <c r="W1666" i="7"/>
  <c r="W1626" i="7"/>
  <c r="W1622" i="7"/>
  <c r="W1618" i="7"/>
  <c r="W1614" i="7"/>
  <c r="W1602" i="7"/>
  <c r="W1598" i="7"/>
  <c r="W1580" i="7"/>
  <c r="W1502" i="7"/>
  <c r="W1724" i="7"/>
  <c r="W1709" i="7"/>
  <c r="W1635" i="7"/>
  <c r="W1627" i="7"/>
  <c r="W1623" i="7"/>
  <c r="W1619" i="7"/>
  <c r="W1566" i="7"/>
  <c r="W1562" i="7"/>
  <c r="W1507" i="7"/>
  <c r="W1503" i="7"/>
  <c r="W1488" i="7"/>
  <c r="W1472" i="7"/>
  <c r="W1670" i="7"/>
  <c r="W1495" i="7"/>
  <c r="W1491" i="7"/>
  <c r="W1487" i="7"/>
  <c r="W1725" i="7"/>
  <c r="W1642" i="7"/>
  <c r="W1572" i="7"/>
  <c r="W1564" i="7"/>
  <c r="W1560" i="7"/>
  <c r="W1677" i="7"/>
  <c r="W1721" i="7"/>
  <c r="W1528" i="7"/>
  <c r="W1440" i="7"/>
  <c r="W1424" i="7"/>
  <c r="W1701" i="7"/>
  <c r="W1667" i="7"/>
  <c r="W1643" i="7"/>
  <c r="W1633" i="7"/>
  <c r="W1524" i="7"/>
  <c r="W1432" i="7"/>
  <c r="W1736" i="7"/>
  <c r="W1735" i="7"/>
  <c r="W1728" i="7"/>
  <c r="W1708" i="7"/>
  <c r="W1695" i="7"/>
  <c r="W1692" i="7"/>
  <c r="W1691" i="7"/>
  <c r="W1684" i="7"/>
  <c r="W1683" i="7"/>
  <c r="W1681" i="7"/>
  <c r="W1676" i="7"/>
  <c r="W1647" i="7"/>
  <c r="W1631" i="7"/>
  <c r="W1617" i="7"/>
  <c r="W1613" i="7"/>
  <c r="W1586" i="7"/>
  <c r="W1540" i="7"/>
  <c r="W1536" i="7"/>
  <c r="W1515" i="7"/>
  <c r="W1513" i="7"/>
  <c r="W1511" i="7"/>
  <c r="W1483" i="7"/>
  <c r="W1482" i="7"/>
  <c r="W1479" i="7"/>
  <c r="W1478" i="7"/>
  <c r="W1475" i="7"/>
  <c r="W1474" i="7"/>
  <c r="W1468" i="7"/>
  <c r="W1467" i="7"/>
  <c r="W1463" i="7"/>
  <c r="W1422" i="7"/>
  <c r="W1726" i="7"/>
  <c r="W1706" i="7"/>
  <c r="W1693" i="7"/>
  <c r="W1689" i="7"/>
  <c r="W1662" i="7"/>
  <c r="W1658" i="7"/>
  <c r="W1615" i="7"/>
  <c r="W1573" i="7"/>
  <c r="W1519" i="7"/>
  <c r="W1516" i="7"/>
  <c r="W1484" i="7"/>
  <c r="W1480" i="7"/>
  <c r="W1476" i="7"/>
  <c r="W1447" i="7"/>
  <c r="W1443" i="7"/>
  <c r="W1731" i="7"/>
  <c r="W1703" i="7"/>
  <c r="W1609" i="7"/>
  <c r="W1587" i="7"/>
  <c r="W1732" i="7"/>
  <c r="W1729" i="7"/>
  <c r="W1723" i="7"/>
  <c r="W1711" i="7"/>
  <c r="W1679" i="7"/>
  <c r="W1649" i="7"/>
  <c r="W1637" i="7"/>
  <c r="W1734" i="7"/>
  <c r="W1733" i="7"/>
  <c r="W1712" i="7"/>
  <c r="W1700" i="7"/>
  <c r="W1699" i="7"/>
  <c r="W1697" i="7"/>
  <c r="W1669" i="7"/>
  <c r="W1650" i="7"/>
  <c r="W1634" i="7"/>
  <c r="W1621" i="7"/>
  <c r="W1607" i="7"/>
  <c r="W1605" i="7"/>
  <c r="W1603" i="7"/>
  <c r="W1599" i="7"/>
  <c r="W1702" i="7"/>
  <c r="W1688" i="7"/>
  <c r="W1686" i="7"/>
  <c r="W1636" i="7"/>
  <c r="W1594" i="7"/>
  <c r="W1582" i="7"/>
  <c r="W1575" i="7"/>
  <c r="W1574" i="7"/>
  <c r="W1570" i="7"/>
  <c r="W1554" i="7"/>
  <c r="W1550" i="7"/>
  <c r="W1546" i="7"/>
  <c r="W1527" i="7"/>
  <c r="W1523" i="7"/>
  <c r="W1510" i="7"/>
  <c r="W1508" i="7"/>
  <c r="W1504" i="7"/>
  <c r="W1494" i="7"/>
  <c r="W1490" i="7"/>
  <c r="W1471" i="7"/>
  <c r="W1470" i="7"/>
  <c r="W1465" i="7"/>
  <c r="W1464" i="7"/>
  <c r="W1458" i="7"/>
  <c r="W1439" i="7"/>
  <c r="W1436" i="7"/>
  <c r="W1435" i="7"/>
  <c r="W1431" i="7"/>
  <c r="W1421" i="7"/>
  <c r="W1420" i="7"/>
  <c r="W1727" i="7"/>
  <c r="W1722" i="7"/>
  <c r="W1716" i="7"/>
  <c r="W1715" i="7"/>
  <c r="W1713" i="7"/>
  <c r="W1710" i="7"/>
  <c r="W1707" i="7"/>
  <c r="W1680" i="7"/>
  <c r="W1673" i="7"/>
  <c r="W1671" i="7"/>
  <c r="W1653" i="7"/>
  <c r="W1651" i="7"/>
  <c r="W1646" i="7"/>
  <c r="W1645" i="7"/>
  <c r="W1641" i="7"/>
  <c r="W1629" i="7"/>
  <c r="W1625" i="7"/>
  <c r="W1601" i="7"/>
  <c r="W1596" i="7"/>
  <c r="W1588" i="7"/>
  <c r="W1578" i="7"/>
  <c r="W1558" i="7"/>
  <c r="W1556" i="7"/>
  <c r="W1552" i="7"/>
  <c r="W1543" i="7"/>
  <c r="W1539" i="7"/>
  <c r="W1535" i="7"/>
  <c r="W1534" i="7"/>
  <c r="W1518" i="7"/>
  <c r="W1514" i="7"/>
  <c r="W1512" i="7"/>
  <c r="W1506" i="7"/>
  <c r="W1499" i="7"/>
  <c r="W1498" i="7"/>
  <c r="W1496" i="7"/>
  <c r="W1493" i="7"/>
  <c r="W1492" i="7"/>
  <c r="W1486" i="7"/>
  <c r="W1466" i="7"/>
  <c r="W1462" i="7"/>
  <c r="W1460" i="7"/>
  <c r="W1456" i="7"/>
  <c r="W1428" i="7"/>
  <c r="W1718" i="7"/>
  <c r="W1672" i="7"/>
  <c r="W1730" i="7"/>
  <c r="W1714" i="7"/>
  <c r="W1698" i="7"/>
  <c r="W1682" i="7"/>
  <c r="W1668" i="7"/>
  <c r="W1660" i="7"/>
  <c r="W1656" i="7"/>
  <c r="W1640" i="7"/>
  <c r="W1624" i="7"/>
  <c r="W1608" i="7"/>
  <c r="W1592" i="7"/>
  <c r="W1568" i="7"/>
  <c r="W1565" i="7"/>
  <c r="W1561" i="7"/>
  <c r="W1648" i="7"/>
  <c r="W1632" i="7"/>
  <c r="W1616" i="7"/>
  <c r="W1600" i="7"/>
  <c r="W1584" i="7"/>
  <c r="W1581" i="7"/>
  <c r="W1577" i="7"/>
  <c r="W1548" i="7"/>
  <c r="W1545" i="7"/>
  <c r="W1541" i="7"/>
  <c r="W1509" i="7"/>
  <c r="W1497" i="7"/>
  <c r="W1430" i="7"/>
  <c r="W1529" i="7"/>
  <c r="W1500" i="7"/>
  <c r="W1461" i="7"/>
  <c r="W1537" i="7"/>
  <c r="W1505" i="7"/>
  <c r="W1473" i="7"/>
  <c r="W1441" i="7"/>
  <c r="W1426" i="7"/>
  <c r="W1425" i="7"/>
  <c r="W1429" i="7"/>
  <c r="W1521" i="7"/>
  <c r="W1489" i="7"/>
  <c r="W1457" i="7"/>
  <c r="W1585" i="7"/>
  <c r="W1569" i="7"/>
  <c r="W1553" i="7"/>
  <c r="W1549" i="7"/>
  <c r="W1533" i="7"/>
  <c r="W1517" i="7"/>
  <c r="W1501" i="7"/>
  <c r="W1485" i="7"/>
  <c r="W1469" i="7"/>
  <c r="W1453" i="7"/>
  <c r="W1437" i="7"/>
  <c r="A1584" i="6"/>
  <c r="A1585" i="6" s="1"/>
  <c r="A1586" i="6" s="1"/>
  <c r="A1587" i="6" s="1"/>
  <c r="A1588" i="6" s="1"/>
  <c r="A1589" i="6" s="1"/>
  <c r="A1590" i="6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W1584" i="6"/>
  <c r="W1585" i="6"/>
  <c r="W1586" i="6"/>
  <c r="W1587" i="6"/>
  <c r="W1588" i="6"/>
  <c r="W1589" i="6"/>
  <c r="W1590" i="6"/>
  <c r="W1591" i="6"/>
  <c r="W1592" i="6"/>
  <c r="W1593" i="6"/>
  <c r="W1594" i="6"/>
  <c r="W1595" i="6"/>
  <c r="W1596" i="6"/>
  <c r="W1597" i="6"/>
  <c r="W1598" i="6"/>
  <c r="W1599" i="6"/>
  <c r="W1600" i="6"/>
  <c r="W1601" i="6"/>
  <c r="W1602" i="6"/>
  <c r="W1603" i="6"/>
  <c r="W1604" i="6"/>
  <c r="W1605" i="6"/>
  <c r="W1606" i="6"/>
  <c r="W1607" i="6"/>
  <c r="W1608" i="6"/>
  <c r="W1609" i="6"/>
  <c r="W1610" i="6"/>
  <c r="W1611" i="6"/>
  <c r="W1612" i="6"/>
  <c r="W1613" i="6"/>
  <c r="W1614" i="6"/>
  <c r="W1615" i="6"/>
  <c r="W1616" i="6"/>
  <c r="W1617" i="6"/>
  <c r="W1618" i="6"/>
  <c r="W1619" i="6"/>
  <c r="W1620" i="6"/>
  <c r="W1621" i="6"/>
  <c r="W1622" i="6"/>
  <c r="W1623" i="6"/>
  <c r="W1624" i="6"/>
  <c r="W1625" i="6"/>
  <c r="W1626" i="6"/>
  <c r="W1627" i="6"/>
  <c r="W1628" i="6"/>
  <c r="W1629" i="6"/>
  <c r="W1630" i="6"/>
  <c r="W1631" i="6"/>
  <c r="W1632" i="6"/>
  <c r="W1633" i="6"/>
  <c r="W1634" i="6"/>
  <c r="W1635" i="6"/>
  <c r="W1636" i="6"/>
  <c r="W1637" i="6"/>
  <c r="W1638" i="6"/>
  <c r="W1639" i="6"/>
  <c r="W1640" i="6"/>
  <c r="W1641" i="6"/>
  <c r="W1642" i="6"/>
  <c r="W1643" i="6"/>
  <c r="W1644" i="6"/>
  <c r="W1645" i="6"/>
  <c r="W1646" i="6"/>
  <c r="W1647" i="6"/>
  <c r="W1648" i="6"/>
  <c r="W1649" i="6"/>
  <c r="W1650" i="6"/>
  <c r="W1651" i="6"/>
  <c r="W1652" i="6"/>
  <c r="W1653" i="6"/>
  <c r="W1654" i="6"/>
  <c r="W1655" i="6"/>
  <c r="W1656" i="6"/>
  <c r="W1657" i="6"/>
  <c r="W1658" i="6"/>
  <c r="W1659" i="6"/>
  <c r="W1660" i="6"/>
  <c r="W1661" i="6"/>
  <c r="W1662" i="6"/>
  <c r="W1663" i="6"/>
  <c r="W1664" i="6"/>
  <c r="W1665" i="6"/>
  <c r="W1666" i="6"/>
  <c r="W1667" i="6"/>
  <c r="W1668" i="6"/>
  <c r="W1669" i="6"/>
  <c r="W1670" i="6"/>
  <c r="W1671" i="6"/>
  <c r="W1672" i="6"/>
  <c r="W1673" i="6"/>
  <c r="W1674" i="6"/>
  <c r="W1675" i="6"/>
  <c r="W1676" i="6"/>
  <c r="W1677" i="6"/>
  <c r="W1678" i="6"/>
  <c r="W1679" i="6"/>
  <c r="W1680" i="6"/>
  <c r="W1681" i="6"/>
  <c r="W1682" i="6"/>
  <c r="W1683" i="6"/>
  <c r="W1684" i="6"/>
  <c r="W1685" i="6"/>
  <c r="W1686" i="6"/>
  <c r="W1687" i="6"/>
  <c r="W1688" i="6"/>
  <c r="W1689" i="6"/>
  <c r="W1690" i="6"/>
  <c r="W1691" i="6"/>
  <c r="W1692" i="6"/>
  <c r="W1693" i="6"/>
  <c r="W1694" i="6"/>
  <c r="W1695" i="6"/>
  <c r="W1696" i="6"/>
  <c r="W1697" i="6"/>
  <c r="W1698" i="6"/>
  <c r="W1699" i="6"/>
  <c r="W1700" i="6"/>
  <c r="W1701" i="6"/>
  <c r="W1702" i="6"/>
  <c r="W1703" i="6"/>
  <c r="W1704" i="6"/>
  <c r="W1705" i="6"/>
  <c r="W1706" i="6"/>
  <c r="W1707" i="6"/>
  <c r="W1708" i="6"/>
  <c r="W1709" i="6"/>
  <c r="W1710" i="6"/>
  <c r="W1711" i="6"/>
  <c r="W1712" i="6"/>
  <c r="W1713" i="6"/>
  <c r="W1714" i="6"/>
  <c r="W1715" i="6"/>
  <c r="W1716" i="6"/>
  <c r="W1717" i="6"/>
  <c r="W1718" i="6"/>
  <c r="W1719" i="6"/>
  <c r="W1720" i="6"/>
  <c r="W1721" i="6"/>
  <c r="W1722" i="6"/>
  <c r="W1723" i="6"/>
  <c r="W1724" i="6"/>
  <c r="W1725" i="6"/>
  <c r="W1726" i="6"/>
  <c r="W1727" i="6"/>
  <c r="W1728" i="6"/>
  <c r="W1729" i="6"/>
  <c r="W1730" i="6"/>
  <c r="W1731" i="6"/>
  <c r="W1732" i="6"/>
  <c r="W1733" i="6"/>
  <c r="W1734" i="6"/>
  <c r="W1735" i="6"/>
  <c r="W1736" i="6"/>
  <c r="W1737" i="6"/>
  <c r="W1738" i="6"/>
  <c r="W1739" i="6"/>
  <c r="W1740" i="6"/>
  <c r="W1741" i="6"/>
  <c r="W1742" i="6"/>
  <c r="W1743" i="6"/>
  <c r="W1744" i="6"/>
  <c r="W1745" i="6"/>
  <c r="W1746" i="6"/>
  <c r="W1747" i="6"/>
  <c r="W1748" i="6"/>
  <c r="W1749" i="6"/>
  <c r="W1750" i="6"/>
  <c r="W1751" i="6"/>
  <c r="W1752" i="6"/>
  <c r="W1753" i="6"/>
  <c r="W1754" i="6"/>
  <c r="W1755" i="6"/>
  <c r="W1756" i="6"/>
  <c r="W1757" i="6"/>
  <c r="W1758" i="6"/>
  <c r="W1759" i="6"/>
  <c r="W1760" i="6"/>
  <c r="W1761" i="6"/>
  <c r="W1762" i="6"/>
  <c r="W1763" i="6"/>
  <c r="W1764" i="6"/>
  <c r="W1765" i="6"/>
  <c r="W1766" i="6"/>
  <c r="W1767" i="6"/>
  <c r="W1768" i="6"/>
  <c r="W1769" i="6"/>
  <c r="W1770" i="6"/>
  <c r="W1771" i="6"/>
  <c r="W1772" i="6"/>
  <c r="W1773" i="6"/>
  <c r="W1774" i="6"/>
  <c r="W1775" i="6"/>
  <c r="W1776" i="6"/>
  <c r="W1777" i="6"/>
  <c r="W1778" i="6"/>
  <c r="W1779" i="6"/>
  <c r="W1780" i="6"/>
  <c r="W1781" i="6"/>
  <c r="W1782" i="6"/>
  <c r="W1783" i="6"/>
  <c r="W1784" i="6"/>
  <c r="W1785" i="6"/>
  <c r="W1786" i="6"/>
  <c r="W1787" i="6"/>
  <c r="W1788" i="6"/>
  <c r="W1789" i="6"/>
  <c r="W1790" i="6"/>
  <c r="W1791" i="6"/>
  <c r="W1792" i="6"/>
  <c r="W1793" i="6"/>
  <c r="W1794" i="6"/>
  <c r="W1795" i="6"/>
  <c r="W1796" i="6"/>
  <c r="W1797" i="6"/>
  <c r="W1798" i="6"/>
  <c r="W1799" i="6"/>
  <c r="W1800" i="6"/>
  <c r="W1801" i="6"/>
  <c r="W1802" i="6"/>
  <c r="W1803" i="6"/>
  <c r="W1804" i="6"/>
  <c r="W1805" i="6"/>
  <c r="W1806" i="6"/>
  <c r="W1807" i="6"/>
  <c r="W1808" i="6"/>
  <c r="W1809" i="6"/>
  <c r="W1810" i="6"/>
  <c r="W1811" i="6"/>
  <c r="W1812" i="6"/>
  <c r="W1813" i="6"/>
  <c r="W1814" i="6"/>
  <c r="W1815" i="6"/>
  <c r="W1816" i="6"/>
  <c r="W1817" i="6"/>
  <c r="W1818" i="6"/>
  <c r="W1819" i="6"/>
  <c r="W1820" i="6"/>
  <c r="W1821" i="6"/>
  <c r="W1822" i="6"/>
  <c r="W1823" i="6"/>
  <c r="W1824" i="6"/>
  <c r="W1825" i="6"/>
  <c r="W1826" i="6"/>
  <c r="W1827" i="6"/>
  <c r="W1828" i="6"/>
  <c r="W1829" i="6"/>
  <c r="W1830" i="6"/>
  <c r="W1831" i="6"/>
  <c r="W1832" i="6"/>
  <c r="W1833" i="6"/>
  <c r="W1834" i="6"/>
  <c r="W1835" i="6"/>
  <c r="W1836" i="6"/>
  <c r="W1837" i="6"/>
  <c r="W1838" i="6"/>
  <c r="W1839" i="6"/>
  <c r="W1840" i="6"/>
  <c r="W1841" i="6"/>
  <c r="W1842" i="6"/>
  <c r="W1843" i="6"/>
  <c r="W1844" i="6"/>
  <c r="W1845" i="6"/>
  <c r="W1846" i="6"/>
  <c r="W1847" i="6"/>
  <c r="W1848" i="6"/>
  <c r="W1849" i="6"/>
  <c r="W1850" i="6"/>
  <c r="W1851" i="6"/>
  <c r="W1852" i="6"/>
  <c r="W1853" i="6"/>
  <c r="W1854" i="6"/>
  <c r="W1855" i="6"/>
  <c r="W1856" i="6"/>
  <c r="W1857" i="6"/>
  <c r="W1858" i="6"/>
  <c r="W1859" i="6"/>
  <c r="W1860" i="6"/>
  <c r="W1861" i="6"/>
  <c r="W1862" i="6"/>
  <c r="W1863" i="6"/>
  <c r="W1864" i="6"/>
  <c r="W1865" i="6"/>
  <c r="W1866" i="6"/>
  <c r="W1867" i="6"/>
  <c r="W1868" i="6"/>
  <c r="W1869" i="6"/>
  <c r="W1870" i="6"/>
  <c r="W1871" i="6"/>
  <c r="W1872" i="6"/>
  <c r="W1873" i="6"/>
  <c r="W1874" i="6"/>
  <c r="W1875" i="6"/>
  <c r="W1876" i="6"/>
  <c r="W1877" i="6"/>
  <c r="W1878" i="6"/>
  <c r="W1879" i="6"/>
  <c r="W1880" i="6"/>
  <c r="W1881" i="6"/>
  <c r="W1882" i="6"/>
  <c r="W1883" i="6"/>
  <c r="W1884" i="6"/>
  <c r="W1885" i="6"/>
  <c r="W1886" i="6"/>
  <c r="W1887" i="6"/>
  <c r="W1888" i="6"/>
  <c r="W1889" i="6"/>
  <c r="W1890" i="6"/>
  <c r="W1891" i="6"/>
  <c r="W1892" i="6"/>
  <c r="W1893" i="6"/>
  <c r="W1894" i="6"/>
  <c r="W1895" i="6"/>
  <c r="W1896" i="6"/>
  <c r="W1897" i="6"/>
  <c r="W1898" i="6"/>
  <c r="W1899" i="6"/>
  <c r="W1900" i="6"/>
  <c r="W1901" i="6"/>
  <c r="W1902" i="6"/>
  <c r="W1903" i="6"/>
  <c r="W1904" i="6"/>
  <c r="W1905" i="6"/>
  <c r="W1906" i="6"/>
  <c r="W1907" i="6"/>
  <c r="W1908" i="6"/>
  <c r="W1909" i="6"/>
  <c r="W1910" i="6"/>
  <c r="W1911" i="6"/>
  <c r="W1912" i="6"/>
  <c r="W1913" i="6"/>
  <c r="W1914" i="6"/>
  <c r="W1915" i="6"/>
  <c r="W1916" i="6"/>
  <c r="W1917" i="6"/>
  <c r="W1918" i="6"/>
  <c r="W1919" i="6"/>
  <c r="W1920" i="6"/>
  <c r="W1921" i="6"/>
  <c r="W1922" i="6"/>
  <c r="W1923" i="6"/>
  <c r="W1924" i="6"/>
  <c r="W1925" i="6"/>
  <c r="W1926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C1584" i="6"/>
  <c r="D1584" i="6"/>
  <c r="E1584" i="6"/>
  <c r="C1585" i="6"/>
  <c r="D1585" i="6"/>
  <c r="E1585" i="6"/>
  <c r="C1586" i="6"/>
  <c r="D1586" i="6"/>
  <c r="E1586" i="6"/>
  <c r="C1587" i="6"/>
  <c r="D1587" i="6"/>
  <c r="E1587" i="6"/>
  <c r="C1588" i="6"/>
  <c r="D1588" i="6"/>
  <c r="E1588" i="6"/>
  <c r="C1589" i="6"/>
  <c r="D1589" i="6"/>
  <c r="E1589" i="6"/>
  <c r="C1590" i="6"/>
  <c r="D1590" i="6"/>
  <c r="E1590" i="6"/>
  <c r="C1591" i="6"/>
  <c r="D1591" i="6"/>
  <c r="E1591" i="6"/>
  <c r="C1592" i="6"/>
  <c r="D1592" i="6"/>
  <c r="E1592" i="6"/>
  <c r="C1593" i="6"/>
  <c r="D1593" i="6"/>
  <c r="E1593" i="6"/>
  <c r="C1594" i="6"/>
  <c r="D1594" i="6"/>
  <c r="E1594" i="6"/>
  <c r="C1595" i="6"/>
  <c r="D1595" i="6"/>
  <c r="E1595" i="6"/>
  <c r="C1596" i="6"/>
  <c r="D1596" i="6"/>
  <c r="E1596" i="6"/>
  <c r="C1597" i="6"/>
  <c r="D1597" i="6"/>
  <c r="E1597" i="6"/>
  <c r="C1598" i="6"/>
  <c r="D1598" i="6"/>
  <c r="E1598" i="6"/>
  <c r="C1599" i="6"/>
  <c r="D1599" i="6"/>
  <c r="E1599" i="6"/>
  <c r="C1600" i="6"/>
  <c r="D1600" i="6"/>
  <c r="E1600" i="6"/>
  <c r="C1601" i="6"/>
  <c r="D1601" i="6"/>
  <c r="E1601" i="6"/>
  <c r="C1602" i="6"/>
  <c r="D1602" i="6"/>
  <c r="E1602" i="6"/>
  <c r="C1603" i="6"/>
  <c r="D1603" i="6"/>
  <c r="E1603" i="6"/>
  <c r="C1604" i="6"/>
  <c r="D1604" i="6"/>
  <c r="E1604" i="6"/>
  <c r="C1605" i="6"/>
  <c r="D1605" i="6"/>
  <c r="E1605" i="6"/>
  <c r="C1606" i="6"/>
  <c r="D1606" i="6"/>
  <c r="E1606" i="6"/>
  <c r="C1607" i="6"/>
  <c r="D1607" i="6"/>
  <c r="E1607" i="6"/>
  <c r="C1608" i="6"/>
  <c r="D1608" i="6"/>
  <c r="E1608" i="6"/>
  <c r="C1609" i="6"/>
  <c r="D1609" i="6"/>
  <c r="E1609" i="6"/>
  <c r="C1610" i="6"/>
  <c r="D1610" i="6"/>
  <c r="E1610" i="6"/>
  <c r="C1611" i="6"/>
  <c r="D1611" i="6"/>
  <c r="E1611" i="6"/>
  <c r="C1612" i="6"/>
  <c r="D1612" i="6"/>
  <c r="E1612" i="6"/>
  <c r="C1613" i="6"/>
  <c r="D1613" i="6"/>
  <c r="E1613" i="6"/>
  <c r="C1614" i="6"/>
  <c r="D1614" i="6"/>
  <c r="E1614" i="6"/>
  <c r="C1615" i="6"/>
  <c r="D1615" i="6"/>
  <c r="E1615" i="6"/>
  <c r="C1616" i="6"/>
  <c r="D1616" i="6"/>
  <c r="E1616" i="6"/>
  <c r="C1617" i="6"/>
  <c r="D1617" i="6"/>
  <c r="E1617" i="6"/>
  <c r="C1618" i="6"/>
  <c r="D1618" i="6"/>
  <c r="E1618" i="6"/>
  <c r="C1619" i="6"/>
  <c r="D1619" i="6"/>
  <c r="E1619" i="6"/>
  <c r="C1620" i="6"/>
  <c r="D1620" i="6"/>
  <c r="E1620" i="6"/>
  <c r="C1621" i="6"/>
  <c r="D1621" i="6"/>
  <c r="E1621" i="6"/>
  <c r="C1622" i="6"/>
  <c r="D1622" i="6"/>
  <c r="E1622" i="6"/>
  <c r="C1623" i="6"/>
  <c r="D1623" i="6"/>
  <c r="E1623" i="6"/>
  <c r="C1624" i="6"/>
  <c r="D1624" i="6"/>
  <c r="E1624" i="6"/>
  <c r="C1625" i="6"/>
  <c r="D1625" i="6"/>
  <c r="E1625" i="6"/>
  <c r="C1626" i="6"/>
  <c r="D1626" i="6"/>
  <c r="E1626" i="6"/>
  <c r="C1627" i="6"/>
  <c r="D1627" i="6"/>
  <c r="E1627" i="6"/>
  <c r="C1628" i="6"/>
  <c r="D1628" i="6"/>
  <c r="E1628" i="6"/>
  <c r="C1629" i="6"/>
  <c r="D1629" i="6"/>
  <c r="E1629" i="6"/>
  <c r="C1630" i="6"/>
  <c r="D1630" i="6"/>
  <c r="E1630" i="6"/>
  <c r="C1631" i="6"/>
  <c r="D1631" i="6"/>
  <c r="E1631" i="6"/>
  <c r="C1632" i="6"/>
  <c r="D1632" i="6"/>
  <c r="E1632" i="6"/>
  <c r="C1633" i="6"/>
  <c r="D1633" i="6"/>
  <c r="E1633" i="6"/>
  <c r="C1634" i="6"/>
  <c r="D1634" i="6"/>
  <c r="E1634" i="6"/>
  <c r="C1635" i="6"/>
  <c r="D1635" i="6"/>
  <c r="E1635" i="6"/>
  <c r="C1636" i="6"/>
  <c r="D1636" i="6"/>
  <c r="E1636" i="6"/>
  <c r="C1637" i="6"/>
  <c r="D1637" i="6"/>
  <c r="E1637" i="6"/>
  <c r="C1638" i="6"/>
  <c r="D1638" i="6"/>
  <c r="E1638" i="6"/>
  <c r="C1639" i="6"/>
  <c r="D1639" i="6"/>
  <c r="E1639" i="6"/>
  <c r="C1640" i="6"/>
  <c r="D1640" i="6"/>
  <c r="E1640" i="6"/>
  <c r="C1641" i="6"/>
  <c r="D1641" i="6"/>
  <c r="E1641" i="6"/>
  <c r="C1642" i="6"/>
  <c r="D1642" i="6"/>
  <c r="E1642" i="6"/>
  <c r="C1643" i="6"/>
  <c r="D1643" i="6"/>
  <c r="E1643" i="6"/>
  <c r="C1644" i="6"/>
  <c r="D1644" i="6"/>
  <c r="E1644" i="6"/>
  <c r="C1645" i="6"/>
  <c r="D1645" i="6"/>
  <c r="E1645" i="6"/>
  <c r="C1646" i="6"/>
  <c r="D1646" i="6"/>
  <c r="E1646" i="6"/>
  <c r="C1647" i="6"/>
  <c r="D1647" i="6"/>
  <c r="E1647" i="6"/>
  <c r="C1648" i="6"/>
  <c r="D1648" i="6"/>
  <c r="E1648" i="6"/>
  <c r="C1649" i="6"/>
  <c r="D1649" i="6"/>
  <c r="E1649" i="6"/>
  <c r="C1650" i="6"/>
  <c r="D1650" i="6"/>
  <c r="E1650" i="6"/>
  <c r="C1651" i="6"/>
  <c r="D1651" i="6"/>
  <c r="E1651" i="6"/>
  <c r="C1652" i="6"/>
  <c r="D1652" i="6"/>
  <c r="E1652" i="6"/>
  <c r="C1653" i="6"/>
  <c r="D1653" i="6"/>
  <c r="E1653" i="6"/>
  <c r="C1654" i="6"/>
  <c r="D1654" i="6"/>
  <c r="E1654" i="6"/>
  <c r="C1655" i="6"/>
  <c r="D1655" i="6"/>
  <c r="E1655" i="6"/>
  <c r="C1656" i="6"/>
  <c r="D1656" i="6"/>
  <c r="E1656" i="6"/>
  <c r="C1657" i="6"/>
  <c r="D1657" i="6"/>
  <c r="E1657" i="6"/>
  <c r="C1658" i="6"/>
  <c r="D1658" i="6"/>
  <c r="E1658" i="6"/>
  <c r="C1659" i="6"/>
  <c r="D1659" i="6"/>
  <c r="E1659" i="6"/>
  <c r="C1660" i="6"/>
  <c r="D1660" i="6"/>
  <c r="E1660" i="6"/>
  <c r="C1661" i="6"/>
  <c r="D1661" i="6"/>
  <c r="E1661" i="6"/>
  <c r="C1662" i="6"/>
  <c r="D1662" i="6"/>
  <c r="E1662" i="6"/>
  <c r="C1663" i="6"/>
  <c r="D1663" i="6"/>
  <c r="E1663" i="6"/>
  <c r="C1664" i="6"/>
  <c r="D1664" i="6"/>
  <c r="E1664" i="6"/>
  <c r="C1665" i="6"/>
  <c r="D1665" i="6"/>
  <c r="E1665" i="6"/>
  <c r="C1666" i="6"/>
  <c r="D1666" i="6"/>
  <c r="E1666" i="6"/>
  <c r="C1667" i="6"/>
  <c r="D1667" i="6"/>
  <c r="E1667" i="6"/>
  <c r="C1668" i="6"/>
  <c r="D1668" i="6"/>
  <c r="E1668" i="6"/>
  <c r="C1669" i="6"/>
  <c r="D1669" i="6"/>
  <c r="E1669" i="6"/>
  <c r="C1670" i="6"/>
  <c r="D1670" i="6"/>
  <c r="E1670" i="6"/>
  <c r="C1671" i="6"/>
  <c r="D1671" i="6"/>
  <c r="E1671" i="6"/>
  <c r="C1672" i="6"/>
  <c r="D1672" i="6"/>
  <c r="E1672" i="6"/>
  <c r="C1673" i="6"/>
  <c r="D1673" i="6"/>
  <c r="E1673" i="6"/>
  <c r="C1674" i="6"/>
  <c r="D1674" i="6"/>
  <c r="E1674" i="6"/>
  <c r="C1675" i="6"/>
  <c r="D1675" i="6"/>
  <c r="E1675" i="6"/>
  <c r="C1676" i="6"/>
  <c r="D1676" i="6"/>
  <c r="E1676" i="6"/>
  <c r="C1677" i="6"/>
  <c r="D1677" i="6"/>
  <c r="E1677" i="6"/>
  <c r="C1678" i="6"/>
  <c r="D1678" i="6"/>
  <c r="E1678" i="6"/>
  <c r="C1679" i="6"/>
  <c r="D1679" i="6"/>
  <c r="E1679" i="6"/>
  <c r="C1680" i="6"/>
  <c r="D1680" i="6"/>
  <c r="E1680" i="6"/>
  <c r="C1681" i="6"/>
  <c r="D1681" i="6"/>
  <c r="E1681" i="6"/>
  <c r="C1682" i="6"/>
  <c r="D1682" i="6"/>
  <c r="E1682" i="6"/>
  <c r="C1683" i="6"/>
  <c r="D1683" i="6"/>
  <c r="E1683" i="6"/>
  <c r="C1684" i="6"/>
  <c r="D1684" i="6"/>
  <c r="E1684" i="6"/>
  <c r="C1685" i="6"/>
  <c r="D1685" i="6"/>
  <c r="E1685" i="6"/>
  <c r="C1686" i="6"/>
  <c r="D1686" i="6"/>
  <c r="E1686" i="6"/>
  <c r="C1687" i="6"/>
  <c r="D1687" i="6"/>
  <c r="E1687" i="6"/>
  <c r="C1688" i="6"/>
  <c r="D1688" i="6"/>
  <c r="E1688" i="6"/>
  <c r="C1689" i="6"/>
  <c r="D1689" i="6"/>
  <c r="E1689" i="6"/>
  <c r="C1690" i="6"/>
  <c r="D1690" i="6"/>
  <c r="E1690" i="6"/>
  <c r="C1691" i="6"/>
  <c r="D1691" i="6"/>
  <c r="E1691" i="6"/>
  <c r="C1692" i="6"/>
  <c r="D1692" i="6"/>
  <c r="E1692" i="6"/>
  <c r="C1693" i="6"/>
  <c r="D1693" i="6"/>
  <c r="E1693" i="6"/>
  <c r="C1694" i="6"/>
  <c r="D1694" i="6"/>
  <c r="E1694" i="6"/>
  <c r="C1695" i="6"/>
  <c r="D1695" i="6"/>
  <c r="E1695" i="6"/>
  <c r="C1696" i="6"/>
  <c r="D1696" i="6"/>
  <c r="E1696" i="6"/>
  <c r="C1697" i="6"/>
  <c r="D1697" i="6"/>
  <c r="E1697" i="6"/>
  <c r="C1698" i="6"/>
  <c r="D1698" i="6"/>
  <c r="E1698" i="6"/>
  <c r="C1699" i="6"/>
  <c r="D1699" i="6"/>
  <c r="E1699" i="6"/>
  <c r="C1700" i="6"/>
  <c r="D1700" i="6"/>
  <c r="E1700" i="6"/>
  <c r="C1701" i="6"/>
  <c r="D1701" i="6"/>
  <c r="E1701" i="6"/>
  <c r="C1702" i="6"/>
  <c r="D1702" i="6"/>
  <c r="E1702" i="6"/>
  <c r="C1703" i="6"/>
  <c r="D1703" i="6"/>
  <c r="E1703" i="6"/>
  <c r="C1704" i="6"/>
  <c r="D1704" i="6"/>
  <c r="E1704" i="6"/>
  <c r="C1705" i="6"/>
  <c r="D1705" i="6"/>
  <c r="E1705" i="6"/>
  <c r="C1706" i="6"/>
  <c r="D1706" i="6"/>
  <c r="E1706" i="6"/>
  <c r="C1707" i="6"/>
  <c r="D1707" i="6"/>
  <c r="E1707" i="6"/>
  <c r="C1708" i="6"/>
  <c r="D1708" i="6"/>
  <c r="E1708" i="6"/>
  <c r="C1709" i="6"/>
  <c r="D1709" i="6"/>
  <c r="E1709" i="6"/>
  <c r="C1710" i="6"/>
  <c r="D1710" i="6"/>
  <c r="E1710" i="6"/>
  <c r="C1711" i="6"/>
  <c r="D1711" i="6"/>
  <c r="E1711" i="6"/>
  <c r="C1712" i="6"/>
  <c r="D1712" i="6"/>
  <c r="E1712" i="6"/>
  <c r="C1713" i="6"/>
  <c r="D1713" i="6"/>
  <c r="E1713" i="6"/>
  <c r="C1714" i="6"/>
  <c r="D1714" i="6"/>
  <c r="E1714" i="6"/>
  <c r="C1715" i="6"/>
  <c r="D1715" i="6"/>
  <c r="E1715" i="6"/>
  <c r="C1716" i="6"/>
  <c r="D1716" i="6"/>
  <c r="E1716" i="6"/>
  <c r="C1717" i="6"/>
  <c r="D1717" i="6"/>
  <c r="E1717" i="6"/>
  <c r="C1718" i="6"/>
  <c r="D1718" i="6"/>
  <c r="E1718" i="6"/>
  <c r="C1719" i="6"/>
  <c r="D1719" i="6"/>
  <c r="E1719" i="6"/>
  <c r="C1720" i="6"/>
  <c r="D1720" i="6"/>
  <c r="E1720" i="6"/>
  <c r="C1721" i="6"/>
  <c r="D1721" i="6"/>
  <c r="E1721" i="6"/>
  <c r="C1722" i="6"/>
  <c r="D1722" i="6"/>
  <c r="E1722" i="6"/>
  <c r="C1723" i="6"/>
  <c r="D1723" i="6"/>
  <c r="E1723" i="6"/>
  <c r="C1724" i="6"/>
  <c r="D1724" i="6"/>
  <c r="E1724" i="6"/>
  <c r="C1725" i="6"/>
  <c r="D1725" i="6"/>
  <c r="E1725" i="6"/>
  <c r="C1726" i="6"/>
  <c r="D1726" i="6"/>
  <c r="E1726" i="6"/>
  <c r="C1727" i="6"/>
  <c r="D1727" i="6"/>
  <c r="E1727" i="6"/>
  <c r="C1728" i="6"/>
  <c r="D1728" i="6"/>
  <c r="E1728" i="6"/>
  <c r="C1729" i="6"/>
  <c r="D1729" i="6"/>
  <c r="E1729" i="6"/>
  <c r="C1730" i="6"/>
  <c r="D1730" i="6"/>
  <c r="E1730" i="6"/>
  <c r="C1731" i="6"/>
  <c r="D1731" i="6"/>
  <c r="E1731" i="6"/>
  <c r="C1732" i="6"/>
  <c r="D1732" i="6"/>
  <c r="E1732" i="6"/>
  <c r="C1733" i="6"/>
  <c r="D1733" i="6"/>
  <c r="E1733" i="6"/>
  <c r="C1734" i="6"/>
  <c r="D1734" i="6"/>
  <c r="E1734" i="6"/>
  <c r="C1735" i="6"/>
  <c r="D1735" i="6"/>
  <c r="E1735" i="6"/>
  <c r="C1736" i="6"/>
  <c r="D1736" i="6"/>
  <c r="E1736" i="6"/>
  <c r="C1737" i="6"/>
  <c r="D1737" i="6"/>
  <c r="E1737" i="6"/>
  <c r="C1738" i="6"/>
  <c r="D1738" i="6"/>
  <c r="E1738" i="6"/>
  <c r="C1739" i="6"/>
  <c r="D1739" i="6"/>
  <c r="E1739" i="6"/>
  <c r="C1740" i="6"/>
  <c r="D1740" i="6"/>
  <c r="E1740" i="6"/>
  <c r="C1741" i="6"/>
  <c r="D1741" i="6"/>
  <c r="E1741" i="6"/>
  <c r="C1742" i="6"/>
  <c r="D1742" i="6"/>
  <c r="E1742" i="6"/>
  <c r="C1743" i="6"/>
  <c r="D1743" i="6"/>
  <c r="E1743" i="6"/>
  <c r="C1744" i="6"/>
  <c r="D1744" i="6"/>
  <c r="E1744" i="6"/>
  <c r="C1745" i="6"/>
  <c r="D1745" i="6"/>
  <c r="E1745" i="6"/>
  <c r="C1746" i="6"/>
  <c r="D1746" i="6"/>
  <c r="E1746" i="6"/>
  <c r="C1747" i="6"/>
  <c r="D1747" i="6"/>
  <c r="E1747" i="6"/>
  <c r="C1748" i="6"/>
  <c r="D1748" i="6"/>
  <c r="E1748" i="6"/>
  <c r="C1749" i="6"/>
  <c r="D1749" i="6"/>
  <c r="E1749" i="6"/>
  <c r="C1750" i="6"/>
  <c r="D1750" i="6"/>
  <c r="E1750" i="6"/>
  <c r="C1751" i="6"/>
  <c r="D1751" i="6"/>
  <c r="E1751" i="6"/>
  <c r="C1752" i="6"/>
  <c r="D1752" i="6"/>
  <c r="E1752" i="6"/>
  <c r="C1753" i="6"/>
  <c r="D1753" i="6"/>
  <c r="E1753" i="6"/>
  <c r="C1754" i="6"/>
  <c r="D1754" i="6"/>
  <c r="E1754" i="6"/>
  <c r="C1755" i="6"/>
  <c r="D1755" i="6"/>
  <c r="E1755" i="6"/>
  <c r="C1756" i="6"/>
  <c r="D1756" i="6"/>
  <c r="E1756" i="6"/>
  <c r="C1757" i="6"/>
  <c r="D1757" i="6"/>
  <c r="E1757" i="6"/>
  <c r="C1758" i="6"/>
  <c r="D1758" i="6"/>
  <c r="E1758" i="6"/>
  <c r="C1759" i="6"/>
  <c r="D1759" i="6"/>
  <c r="E1759" i="6"/>
  <c r="C1760" i="6"/>
  <c r="D1760" i="6"/>
  <c r="E1760" i="6"/>
  <c r="C1761" i="6"/>
  <c r="D1761" i="6"/>
  <c r="E1761" i="6"/>
  <c r="C1762" i="6"/>
  <c r="D1762" i="6"/>
  <c r="E1762" i="6"/>
  <c r="C1763" i="6"/>
  <c r="D1763" i="6"/>
  <c r="E1763" i="6"/>
  <c r="C1764" i="6"/>
  <c r="D1764" i="6"/>
  <c r="E1764" i="6"/>
  <c r="C1765" i="6"/>
  <c r="D1765" i="6"/>
  <c r="E1765" i="6"/>
  <c r="C1766" i="6"/>
  <c r="D1766" i="6"/>
  <c r="E1766" i="6"/>
  <c r="C1767" i="6"/>
  <c r="D1767" i="6"/>
  <c r="E1767" i="6"/>
  <c r="C1768" i="6"/>
  <c r="D1768" i="6"/>
  <c r="E1768" i="6"/>
  <c r="C1769" i="6"/>
  <c r="D1769" i="6"/>
  <c r="E1769" i="6"/>
  <c r="C1770" i="6"/>
  <c r="D1770" i="6"/>
  <c r="E1770" i="6"/>
  <c r="C1771" i="6"/>
  <c r="D1771" i="6"/>
  <c r="E1771" i="6"/>
  <c r="C1772" i="6"/>
  <c r="D1772" i="6"/>
  <c r="E1772" i="6"/>
  <c r="C1773" i="6"/>
  <c r="D1773" i="6"/>
  <c r="E1773" i="6"/>
  <c r="C1774" i="6"/>
  <c r="D1774" i="6"/>
  <c r="E1774" i="6"/>
  <c r="C1775" i="6"/>
  <c r="D1775" i="6"/>
  <c r="E1775" i="6"/>
  <c r="C1776" i="6"/>
  <c r="D1776" i="6"/>
  <c r="E1776" i="6"/>
  <c r="C1777" i="6"/>
  <c r="D1777" i="6"/>
  <c r="E1777" i="6"/>
  <c r="C1778" i="6"/>
  <c r="D1778" i="6"/>
  <c r="E1778" i="6"/>
  <c r="C1779" i="6"/>
  <c r="D1779" i="6"/>
  <c r="E1779" i="6"/>
  <c r="C1780" i="6"/>
  <c r="D1780" i="6"/>
  <c r="E1780" i="6"/>
  <c r="C1781" i="6"/>
  <c r="D1781" i="6"/>
  <c r="E1781" i="6"/>
  <c r="C1782" i="6"/>
  <c r="D1782" i="6"/>
  <c r="E1782" i="6"/>
  <c r="C1783" i="6"/>
  <c r="D1783" i="6"/>
  <c r="E1783" i="6"/>
  <c r="C1784" i="6"/>
  <c r="D1784" i="6"/>
  <c r="E1784" i="6"/>
  <c r="C1785" i="6"/>
  <c r="D1785" i="6"/>
  <c r="E1785" i="6"/>
  <c r="C1786" i="6"/>
  <c r="D1786" i="6"/>
  <c r="E1786" i="6"/>
  <c r="C1787" i="6"/>
  <c r="D1787" i="6"/>
  <c r="E1787" i="6"/>
  <c r="C1788" i="6"/>
  <c r="D1788" i="6"/>
  <c r="E1788" i="6"/>
  <c r="C1789" i="6"/>
  <c r="D1789" i="6"/>
  <c r="E1789" i="6"/>
  <c r="C1790" i="6"/>
  <c r="D1790" i="6"/>
  <c r="E1790" i="6"/>
  <c r="C1791" i="6"/>
  <c r="D1791" i="6"/>
  <c r="E1791" i="6"/>
  <c r="C1792" i="6"/>
  <c r="D1792" i="6"/>
  <c r="E1792" i="6"/>
  <c r="C1793" i="6"/>
  <c r="D1793" i="6"/>
  <c r="E1793" i="6"/>
  <c r="C1794" i="6"/>
  <c r="D1794" i="6"/>
  <c r="E1794" i="6"/>
  <c r="C1795" i="6"/>
  <c r="D1795" i="6"/>
  <c r="E1795" i="6"/>
  <c r="C1796" i="6"/>
  <c r="D1796" i="6"/>
  <c r="E1796" i="6"/>
  <c r="C1797" i="6"/>
  <c r="D1797" i="6"/>
  <c r="E1797" i="6"/>
  <c r="C1798" i="6"/>
  <c r="D1798" i="6"/>
  <c r="E1798" i="6"/>
  <c r="C1799" i="6"/>
  <c r="D1799" i="6"/>
  <c r="E1799" i="6"/>
  <c r="C1800" i="6"/>
  <c r="D1800" i="6"/>
  <c r="E1800" i="6"/>
  <c r="C1801" i="6"/>
  <c r="D1801" i="6"/>
  <c r="E1801" i="6"/>
  <c r="C1802" i="6"/>
  <c r="D1802" i="6"/>
  <c r="E1802" i="6"/>
  <c r="C1803" i="6"/>
  <c r="D1803" i="6"/>
  <c r="E1803" i="6"/>
  <c r="C1804" i="6"/>
  <c r="D1804" i="6"/>
  <c r="E1804" i="6"/>
  <c r="C1805" i="6"/>
  <c r="D1805" i="6"/>
  <c r="E1805" i="6"/>
  <c r="C1806" i="6"/>
  <c r="D1806" i="6"/>
  <c r="E1806" i="6"/>
  <c r="C1807" i="6"/>
  <c r="D1807" i="6"/>
  <c r="E1807" i="6"/>
  <c r="C1808" i="6"/>
  <c r="D1808" i="6"/>
  <c r="E1808" i="6"/>
  <c r="C1809" i="6"/>
  <c r="D1809" i="6"/>
  <c r="E1809" i="6"/>
  <c r="C1810" i="6"/>
  <c r="D1810" i="6"/>
  <c r="E1810" i="6"/>
  <c r="C1811" i="6"/>
  <c r="D1811" i="6"/>
  <c r="E1811" i="6"/>
  <c r="C1812" i="6"/>
  <c r="D1812" i="6"/>
  <c r="E1812" i="6"/>
  <c r="C1813" i="6"/>
  <c r="D1813" i="6"/>
  <c r="E1813" i="6"/>
  <c r="C1814" i="6"/>
  <c r="D1814" i="6"/>
  <c r="E1814" i="6"/>
  <c r="C1815" i="6"/>
  <c r="D1815" i="6"/>
  <c r="E1815" i="6"/>
  <c r="C1816" i="6"/>
  <c r="D1816" i="6"/>
  <c r="E1816" i="6"/>
  <c r="C1817" i="6"/>
  <c r="D1817" i="6"/>
  <c r="E1817" i="6"/>
  <c r="C1818" i="6"/>
  <c r="D1818" i="6"/>
  <c r="E1818" i="6"/>
  <c r="C1819" i="6"/>
  <c r="D1819" i="6"/>
  <c r="E1819" i="6"/>
  <c r="C1820" i="6"/>
  <c r="D1820" i="6"/>
  <c r="E1820" i="6"/>
  <c r="C1821" i="6"/>
  <c r="D1821" i="6"/>
  <c r="E1821" i="6"/>
  <c r="C1822" i="6"/>
  <c r="D1822" i="6"/>
  <c r="E1822" i="6"/>
  <c r="C1823" i="6"/>
  <c r="D1823" i="6"/>
  <c r="E1823" i="6"/>
  <c r="C1824" i="6"/>
  <c r="D1824" i="6"/>
  <c r="E1824" i="6"/>
  <c r="C1825" i="6"/>
  <c r="D1825" i="6"/>
  <c r="E1825" i="6"/>
  <c r="C1826" i="6"/>
  <c r="D1826" i="6"/>
  <c r="E1826" i="6"/>
  <c r="C1827" i="6"/>
  <c r="D1827" i="6"/>
  <c r="E1827" i="6"/>
  <c r="C1828" i="6"/>
  <c r="D1828" i="6"/>
  <c r="E1828" i="6"/>
  <c r="C1829" i="6"/>
  <c r="D1829" i="6"/>
  <c r="E1829" i="6"/>
  <c r="C1830" i="6"/>
  <c r="D1830" i="6"/>
  <c r="E1830" i="6"/>
  <c r="C1831" i="6"/>
  <c r="D1831" i="6"/>
  <c r="E1831" i="6"/>
  <c r="C1832" i="6"/>
  <c r="D1832" i="6"/>
  <c r="E1832" i="6"/>
  <c r="C1833" i="6"/>
  <c r="D1833" i="6"/>
  <c r="E1833" i="6"/>
  <c r="C1834" i="6"/>
  <c r="D1834" i="6"/>
  <c r="E1834" i="6"/>
  <c r="C1835" i="6"/>
  <c r="D1835" i="6"/>
  <c r="E1835" i="6"/>
  <c r="C1836" i="6"/>
  <c r="D1836" i="6"/>
  <c r="E1836" i="6"/>
  <c r="C1837" i="6"/>
  <c r="D1837" i="6"/>
  <c r="E1837" i="6"/>
  <c r="C1838" i="6"/>
  <c r="D1838" i="6"/>
  <c r="E1838" i="6"/>
  <c r="C1839" i="6"/>
  <c r="D1839" i="6"/>
  <c r="E1839" i="6"/>
  <c r="C1840" i="6"/>
  <c r="D1840" i="6"/>
  <c r="E1840" i="6"/>
  <c r="C1841" i="6"/>
  <c r="D1841" i="6"/>
  <c r="E1841" i="6"/>
  <c r="C1842" i="6"/>
  <c r="D1842" i="6"/>
  <c r="E1842" i="6"/>
  <c r="C1843" i="6"/>
  <c r="D1843" i="6"/>
  <c r="E1843" i="6"/>
  <c r="C1844" i="6"/>
  <c r="D1844" i="6"/>
  <c r="E1844" i="6"/>
  <c r="C1845" i="6"/>
  <c r="D1845" i="6"/>
  <c r="E1845" i="6"/>
  <c r="C1846" i="6"/>
  <c r="D1846" i="6"/>
  <c r="E1846" i="6"/>
  <c r="C1847" i="6"/>
  <c r="D1847" i="6"/>
  <c r="E1847" i="6"/>
  <c r="C1848" i="6"/>
  <c r="D1848" i="6"/>
  <c r="E1848" i="6"/>
  <c r="C1849" i="6"/>
  <c r="D1849" i="6"/>
  <c r="E1849" i="6"/>
  <c r="C1850" i="6"/>
  <c r="D1850" i="6"/>
  <c r="E1850" i="6"/>
  <c r="C1851" i="6"/>
  <c r="D1851" i="6"/>
  <c r="E1851" i="6"/>
  <c r="C1852" i="6"/>
  <c r="D1852" i="6"/>
  <c r="E1852" i="6"/>
  <c r="C1853" i="6"/>
  <c r="D1853" i="6"/>
  <c r="E1853" i="6"/>
  <c r="C1854" i="6"/>
  <c r="D1854" i="6"/>
  <c r="E1854" i="6"/>
  <c r="C1855" i="6"/>
  <c r="D1855" i="6"/>
  <c r="E1855" i="6"/>
  <c r="C1856" i="6"/>
  <c r="D1856" i="6"/>
  <c r="E1856" i="6"/>
  <c r="C1857" i="6"/>
  <c r="D1857" i="6"/>
  <c r="E1857" i="6"/>
  <c r="C1858" i="6"/>
  <c r="D1858" i="6"/>
  <c r="E1858" i="6"/>
  <c r="C1859" i="6"/>
  <c r="D1859" i="6"/>
  <c r="E1859" i="6"/>
  <c r="C1860" i="6"/>
  <c r="D1860" i="6"/>
  <c r="E1860" i="6"/>
  <c r="C1861" i="6"/>
  <c r="D1861" i="6"/>
  <c r="E1861" i="6"/>
  <c r="C1862" i="6"/>
  <c r="D1862" i="6"/>
  <c r="E1862" i="6"/>
  <c r="C1863" i="6"/>
  <c r="D1863" i="6"/>
  <c r="E1863" i="6"/>
  <c r="C1864" i="6"/>
  <c r="D1864" i="6"/>
  <c r="E1864" i="6"/>
  <c r="C1865" i="6"/>
  <c r="D1865" i="6"/>
  <c r="E1865" i="6"/>
  <c r="C1866" i="6"/>
  <c r="D1866" i="6"/>
  <c r="E1866" i="6"/>
  <c r="C1867" i="6"/>
  <c r="D1867" i="6"/>
  <c r="E1867" i="6"/>
  <c r="C1868" i="6"/>
  <c r="D1868" i="6"/>
  <c r="E1868" i="6"/>
  <c r="C1869" i="6"/>
  <c r="D1869" i="6"/>
  <c r="E1869" i="6"/>
  <c r="C1870" i="6"/>
  <c r="D1870" i="6"/>
  <c r="E1870" i="6"/>
  <c r="C1871" i="6"/>
  <c r="D1871" i="6"/>
  <c r="E1871" i="6"/>
  <c r="C1872" i="6"/>
  <c r="D1872" i="6"/>
  <c r="E1872" i="6"/>
  <c r="C1873" i="6"/>
  <c r="D1873" i="6"/>
  <c r="E1873" i="6"/>
  <c r="C1874" i="6"/>
  <c r="D1874" i="6"/>
  <c r="E1874" i="6"/>
  <c r="C1875" i="6"/>
  <c r="D1875" i="6"/>
  <c r="E1875" i="6"/>
  <c r="C1876" i="6"/>
  <c r="D1876" i="6"/>
  <c r="E1876" i="6"/>
  <c r="C1877" i="6"/>
  <c r="D1877" i="6"/>
  <c r="E1877" i="6"/>
  <c r="C1878" i="6"/>
  <c r="D1878" i="6"/>
  <c r="E1878" i="6"/>
  <c r="C1879" i="6"/>
  <c r="D1879" i="6"/>
  <c r="E1879" i="6"/>
  <c r="C1880" i="6"/>
  <c r="D1880" i="6"/>
  <c r="E1880" i="6"/>
  <c r="C1881" i="6"/>
  <c r="D1881" i="6"/>
  <c r="E1881" i="6"/>
  <c r="C1882" i="6"/>
  <c r="D1882" i="6"/>
  <c r="E1882" i="6"/>
  <c r="C1883" i="6"/>
  <c r="D1883" i="6"/>
  <c r="E1883" i="6"/>
  <c r="C1884" i="6"/>
  <c r="D1884" i="6"/>
  <c r="E1884" i="6"/>
  <c r="C1885" i="6"/>
  <c r="D1885" i="6"/>
  <c r="E1885" i="6"/>
  <c r="C1886" i="6"/>
  <c r="D1886" i="6"/>
  <c r="E1886" i="6"/>
  <c r="C1887" i="6"/>
  <c r="D1887" i="6"/>
  <c r="E1887" i="6"/>
  <c r="C1888" i="6"/>
  <c r="D1888" i="6"/>
  <c r="E1888" i="6"/>
  <c r="C1889" i="6"/>
  <c r="D1889" i="6"/>
  <c r="E1889" i="6"/>
  <c r="C1890" i="6"/>
  <c r="D1890" i="6"/>
  <c r="E1890" i="6"/>
  <c r="C1891" i="6"/>
  <c r="D1891" i="6"/>
  <c r="E1891" i="6"/>
  <c r="C1892" i="6"/>
  <c r="D1892" i="6"/>
  <c r="E1892" i="6"/>
  <c r="C1893" i="6"/>
  <c r="D1893" i="6"/>
  <c r="E1893" i="6"/>
  <c r="C1894" i="6"/>
  <c r="D1894" i="6"/>
  <c r="E1894" i="6"/>
  <c r="C1895" i="6"/>
  <c r="D1895" i="6"/>
  <c r="E1895" i="6"/>
  <c r="C1896" i="6"/>
  <c r="D1896" i="6"/>
  <c r="E1896" i="6"/>
  <c r="C1897" i="6"/>
  <c r="D1897" i="6"/>
  <c r="E1897" i="6"/>
  <c r="C1898" i="6"/>
  <c r="D1898" i="6"/>
  <c r="E1898" i="6"/>
  <c r="C1899" i="6"/>
  <c r="D1899" i="6"/>
  <c r="E1899" i="6"/>
  <c r="C1900" i="6"/>
  <c r="D1900" i="6"/>
  <c r="E1900" i="6"/>
  <c r="C1901" i="6"/>
  <c r="D1901" i="6"/>
  <c r="E1901" i="6"/>
  <c r="C1902" i="6"/>
  <c r="D1902" i="6"/>
  <c r="E1902" i="6"/>
  <c r="C1903" i="6"/>
  <c r="D1903" i="6"/>
  <c r="E1903" i="6"/>
  <c r="C1904" i="6"/>
  <c r="D1904" i="6"/>
  <c r="E1904" i="6"/>
  <c r="C1905" i="6"/>
  <c r="D1905" i="6"/>
  <c r="E1905" i="6"/>
  <c r="C1906" i="6"/>
  <c r="D1906" i="6"/>
  <c r="E1906" i="6"/>
  <c r="C1907" i="6"/>
  <c r="D1907" i="6"/>
  <c r="E1907" i="6"/>
  <c r="C1908" i="6"/>
  <c r="D1908" i="6"/>
  <c r="E1908" i="6"/>
  <c r="C1909" i="6"/>
  <c r="D1909" i="6"/>
  <c r="E1909" i="6"/>
  <c r="C1910" i="6"/>
  <c r="D1910" i="6"/>
  <c r="E1910" i="6"/>
  <c r="C1911" i="6"/>
  <c r="D1911" i="6"/>
  <c r="E1911" i="6"/>
  <c r="C1912" i="6"/>
  <c r="D1912" i="6"/>
  <c r="E1912" i="6"/>
  <c r="C1913" i="6"/>
  <c r="D1913" i="6"/>
  <c r="E1913" i="6"/>
  <c r="C1914" i="6"/>
  <c r="D1914" i="6"/>
  <c r="E1914" i="6"/>
  <c r="C1915" i="6"/>
  <c r="D1915" i="6"/>
  <c r="E1915" i="6"/>
  <c r="C1916" i="6"/>
  <c r="D1916" i="6"/>
  <c r="E1916" i="6"/>
  <c r="C1917" i="6"/>
  <c r="D1917" i="6"/>
  <c r="E1917" i="6"/>
  <c r="C1918" i="6"/>
  <c r="D1918" i="6"/>
  <c r="E1918" i="6"/>
  <c r="C1919" i="6"/>
  <c r="D1919" i="6"/>
  <c r="E1919" i="6"/>
  <c r="C1920" i="6"/>
  <c r="D1920" i="6"/>
  <c r="E1920" i="6"/>
  <c r="C1921" i="6"/>
  <c r="D1921" i="6"/>
  <c r="E1921" i="6"/>
  <c r="C1922" i="6"/>
  <c r="D1922" i="6"/>
  <c r="E1922" i="6"/>
  <c r="C1923" i="6"/>
  <c r="D1923" i="6"/>
  <c r="E1923" i="6"/>
  <c r="C1924" i="6"/>
  <c r="D1924" i="6"/>
  <c r="E1924" i="6"/>
  <c r="C1925" i="6"/>
  <c r="D1925" i="6"/>
  <c r="E1925" i="6"/>
  <c r="C1926" i="6"/>
  <c r="D1926" i="6"/>
  <c r="E1926" i="6"/>
  <c r="AI185" i="4" l="1"/>
  <c r="AN185" i="4"/>
  <c r="AQ185" i="4"/>
  <c r="AV185" i="4"/>
  <c r="AW185" i="4" s="1"/>
  <c r="BA185" i="4"/>
  <c r="BB185" i="4"/>
  <c r="A379" i="5"/>
  <c r="A380" i="5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H555" i="5"/>
  <c r="BC185" i="4" l="1"/>
  <c r="AR185" i="4"/>
  <c r="AN184" i="4" l="1"/>
  <c r="AQ184" i="4"/>
  <c r="AV184" i="4"/>
  <c r="AW184" i="4" s="1"/>
  <c r="BA184" i="4"/>
  <c r="BB184" i="4"/>
  <c r="AN186" i="4"/>
  <c r="AQ186" i="4"/>
  <c r="AV186" i="4"/>
  <c r="AW186" i="4" s="1"/>
  <c r="BA186" i="4"/>
  <c r="BB186" i="4"/>
  <c r="AN187" i="4"/>
  <c r="AQ187" i="4"/>
  <c r="AV187" i="4"/>
  <c r="AW187" i="4" s="1"/>
  <c r="BA187" i="4"/>
  <c r="BB187" i="4"/>
  <c r="AN188" i="4"/>
  <c r="AQ188" i="4"/>
  <c r="AV188" i="4"/>
  <c r="AW188" i="4" s="1"/>
  <c r="BA188" i="4"/>
  <c r="BB188" i="4"/>
  <c r="AN189" i="4"/>
  <c r="AQ189" i="4"/>
  <c r="AV189" i="4"/>
  <c r="AW189" i="4" s="1"/>
  <c r="BA189" i="4"/>
  <c r="BB189" i="4"/>
  <c r="AN190" i="4"/>
  <c r="AQ190" i="4"/>
  <c r="AV190" i="4"/>
  <c r="AW190" i="4" s="1"/>
  <c r="BA190" i="4"/>
  <c r="BB190" i="4"/>
  <c r="AN191" i="4"/>
  <c r="AQ191" i="4"/>
  <c r="AV191" i="4"/>
  <c r="AW191" i="4" s="1"/>
  <c r="BA191" i="4"/>
  <c r="BB191" i="4"/>
  <c r="AN192" i="4"/>
  <c r="AQ192" i="4"/>
  <c r="AV192" i="4"/>
  <c r="AW192" i="4" s="1"/>
  <c r="BA192" i="4"/>
  <c r="BB192" i="4"/>
  <c r="AN193" i="4"/>
  <c r="AQ193" i="4"/>
  <c r="AV193" i="4"/>
  <c r="AW193" i="4" s="1"/>
  <c r="BA193" i="4"/>
  <c r="BB193" i="4"/>
  <c r="AN194" i="4"/>
  <c r="AQ194" i="4"/>
  <c r="AV194" i="4"/>
  <c r="AW194" i="4" s="1"/>
  <c r="BA194" i="4"/>
  <c r="BB194" i="4"/>
  <c r="AN195" i="4"/>
  <c r="AQ195" i="4"/>
  <c r="AV195" i="4"/>
  <c r="AW195" i="4" s="1"/>
  <c r="BA195" i="4"/>
  <c r="BB195" i="4"/>
  <c r="AN196" i="4"/>
  <c r="AQ196" i="4"/>
  <c r="AV196" i="4"/>
  <c r="AW196" i="4" s="1"/>
  <c r="BA196" i="4"/>
  <c r="BB196" i="4"/>
  <c r="AN197" i="4"/>
  <c r="AQ197" i="4"/>
  <c r="AV197" i="4"/>
  <c r="AW197" i="4" s="1"/>
  <c r="BA197" i="4"/>
  <c r="BB197" i="4"/>
  <c r="AN198" i="4"/>
  <c r="AQ198" i="4"/>
  <c r="AV198" i="4"/>
  <c r="AW198" i="4" s="1"/>
  <c r="BA198" i="4"/>
  <c r="BB198" i="4"/>
  <c r="AN199" i="4"/>
  <c r="AQ199" i="4"/>
  <c r="AV199" i="4"/>
  <c r="AW199" i="4" s="1"/>
  <c r="BA199" i="4"/>
  <c r="BB199" i="4"/>
  <c r="AN200" i="4"/>
  <c r="AQ200" i="4"/>
  <c r="AV200" i="4"/>
  <c r="AW200" i="4" s="1"/>
  <c r="BA200" i="4"/>
  <c r="BB200" i="4"/>
  <c r="AN201" i="4"/>
  <c r="AQ201" i="4"/>
  <c r="AV201" i="4"/>
  <c r="AW201" i="4" s="1"/>
  <c r="BA201" i="4"/>
  <c r="BB201" i="4"/>
  <c r="AN202" i="4"/>
  <c r="AQ202" i="4"/>
  <c r="AV202" i="4"/>
  <c r="AW202" i="4" s="1"/>
  <c r="BA202" i="4"/>
  <c r="BB202" i="4"/>
  <c r="AN203" i="4"/>
  <c r="AQ203" i="4"/>
  <c r="AV203" i="4"/>
  <c r="AW203" i="4" s="1"/>
  <c r="BA203" i="4"/>
  <c r="BB203" i="4"/>
  <c r="AN204" i="4"/>
  <c r="AQ204" i="4"/>
  <c r="AV204" i="4"/>
  <c r="AW204" i="4" s="1"/>
  <c r="BA204" i="4"/>
  <c r="BB204" i="4"/>
  <c r="AN205" i="4"/>
  <c r="AQ205" i="4"/>
  <c r="AV205" i="4"/>
  <c r="AW205" i="4" s="1"/>
  <c r="BA205" i="4"/>
  <c r="BB205" i="4"/>
  <c r="AN206" i="4"/>
  <c r="AQ206" i="4"/>
  <c r="AV206" i="4"/>
  <c r="AW206" i="4" s="1"/>
  <c r="BA206" i="4"/>
  <c r="BB206" i="4"/>
  <c r="AN207" i="4"/>
  <c r="AQ207" i="4"/>
  <c r="AV207" i="4"/>
  <c r="AW207" i="4" s="1"/>
  <c r="BA207" i="4"/>
  <c r="BB207" i="4"/>
  <c r="AN208" i="4"/>
  <c r="AQ208" i="4"/>
  <c r="AV208" i="4"/>
  <c r="AW208" i="4" s="1"/>
  <c r="BA208" i="4"/>
  <c r="BB208" i="4"/>
  <c r="AN209" i="4"/>
  <c r="AQ209" i="4"/>
  <c r="AV209" i="4"/>
  <c r="AW209" i="4" s="1"/>
  <c r="BA209" i="4"/>
  <c r="BB209" i="4"/>
  <c r="AN210" i="4"/>
  <c r="AQ210" i="4"/>
  <c r="AV210" i="4"/>
  <c r="AW210" i="4" s="1"/>
  <c r="BA210" i="4"/>
  <c r="BB210" i="4"/>
  <c r="AN211" i="4"/>
  <c r="AQ211" i="4"/>
  <c r="AV211" i="4"/>
  <c r="AW211" i="4" s="1"/>
  <c r="BA211" i="4"/>
  <c r="BB211" i="4"/>
  <c r="AN212" i="4"/>
  <c r="AQ212" i="4"/>
  <c r="AV212" i="4"/>
  <c r="AW212" i="4" s="1"/>
  <c r="BA212" i="4"/>
  <c r="BB212" i="4"/>
  <c r="AN213" i="4"/>
  <c r="AQ213" i="4"/>
  <c r="AV213" i="4"/>
  <c r="AW213" i="4" s="1"/>
  <c r="BA213" i="4"/>
  <c r="BB213" i="4"/>
  <c r="AN214" i="4"/>
  <c r="AQ214" i="4"/>
  <c r="AV214" i="4"/>
  <c r="AW214" i="4" s="1"/>
  <c r="BA214" i="4"/>
  <c r="BB214" i="4"/>
  <c r="AN215" i="4"/>
  <c r="AQ215" i="4"/>
  <c r="AV215" i="4"/>
  <c r="AW215" i="4" s="1"/>
  <c r="BA215" i="4"/>
  <c r="BB215" i="4"/>
  <c r="AN216" i="4"/>
  <c r="AQ216" i="4"/>
  <c r="AV216" i="4"/>
  <c r="AW216" i="4" s="1"/>
  <c r="BA216" i="4"/>
  <c r="BB216" i="4"/>
  <c r="AN217" i="4"/>
  <c r="AQ217" i="4"/>
  <c r="AV217" i="4"/>
  <c r="AW217" i="4" s="1"/>
  <c r="BA217" i="4"/>
  <c r="BB217" i="4"/>
  <c r="AN218" i="4"/>
  <c r="AQ218" i="4"/>
  <c r="AV218" i="4"/>
  <c r="AW218" i="4" s="1"/>
  <c r="BA218" i="4"/>
  <c r="BB218" i="4"/>
  <c r="AN219" i="4"/>
  <c r="AQ219" i="4"/>
  <c r="AV219" i="4"/>
  <c r="AW219" i="4" s="1"/>
  <c r="BA219" i="4"/>
  <c r="BB219" i="4"/>
  <c r="AN220" i="4"/>
  <c r="AQ220" i="4"/>
  <c r="AV220" i="4"/>
  <c r="AW220" i="4" s="1"/>
  <c r="BA220" i="4"/>
  <c r="BB220" i="4"/>
  <c r="AN221" i="4"/>
  <c r="AQ221" i="4"/>
  <c r="AV221" i="4"/>
  <c r="AW221" i="4" s="1"/>
  <c r="BA221" i="4"/>
  <c r="BB221" i="4"/>
  <c r="AN222" i="4"/>
  <c r="AQ222" i="4"/>
  <c r="AV222" i="4"/>
  <c r="AW222" i="4" s="1"/>
  <c r="BA222" i="4"/>
  <c r="BB222" i="4"/>
  <c r="AN223" i="4"/>
  <c r="AQ223" i="4"/>
  <c r="AV223" i="4"/>
  <c r="AW223" i="4" s="1"/>
  <c r="BA223" i="4"/>
  <c r="BB223" i="4"/>
  <c r="AN224" i="4"/>
  <c r="AQ224" i="4"/>
  <c r="AV224" i="4"/>
  <c r="AW224" i="4" s="1"/>
  <c r="BA224" i="4"/>
  <c r="BB224" i="4"/>
  <c r="AN225" i="4"/>
  <c r="AQ225" i="4"/>
  <c r="AV225" i="4"/>
  <c r="AW225" i="4" s="1"/>
  <c r="BA225" i="4"/>
  <c r="BB225" i="4"/>
  <c r="AN226" i="4"/>
  <c r="AQ226" i="4"/>
  <c r="AV226" i="4"/>
  <c r="AW226" i="4" s="1"/>
  <c r="BA226" i="4"/>
  <c r="BB226" i="4"/>
  <c r="AN227" i="4"/>
  <c r="AQ227" i="4"/>
  <c r="AV227" i="4"/>
  <c r="AW227" i="4" s="1"/>
  <c r="BA227" i="4"/>
  <c r="BB227" i="4"/>
  <c r="AN228" i="4"/>
  <c r="AQ228" i="4"/>
  <c r="AV228" i="4"/>
  <c r="AW228" i="4" s="1"/>
  <c r="BA228" i="4"/>
  <c r="BB228" i="4"/>
  <c r="AN229" i="4"/>
  <c r="AQ229" i="4"/>
  <c r="AV229" i="4"/>
  <c r="AW229" i="4" s="1"/>
  <c r="BA229" i="4"/>
  <c r="BB229" i="4"/>
  <c r="AN230" i="4"/>
  <c r="AQ230" i="4"/>
  <c r="AV230" i="4"/>
  <c r="AW230" i="4" s="1"/>
  <c r="BA230" i="4"/>
  <c r="BB230" i="4"/>
  <c r="AN231" i="4"/>
  <c r="AQ231" i="4"/>
  <c r="AV231" i="4"/>
  <c r="AW231" i="4" s="1"/>
  <c r="BA231" i="4"/>
  <c r="BB231" i="4"/>
  <c r="AN232" i="4"/>
  <c r="AQ232" i="4"/>
  <c r="AV232" i="4"/>
  <c r="AW232" i="4" s="1"/>
  <c r="BA232" i="4"/>
  <c r="BB232" i="4"/>
  <c r="AN233" i="4"/>
  <c r="AQ233" i="4"/>
  <c r="AV233" i="4"/>
  <c r="AW233" i="4" s="1"/>
  <c r="BA233" i="4"/>
  <c r="BB233" i="4"/>
  <c r="AN234" i="4"/>
  <c r="AQ234" i="4"/>
  <c r="AV234" i="4"/>
  <c r="AW234" i="4" s="1"/>
  <c r="BA234" i="4"/>
  <c r="BB234" i="4"/>
  <c r="AN235" i="4"/>
  <c r="AQ235" i="4"/>
  <c r="AV235" i="4"/>
  <c r="AW235" i="4" s="1"/>
  <c r="BA235" i="4"/>
  <c r="BB235" i="4"/>
  <c r="AN236" i="4"/>
  <c r="AQ236" i="4"/>
  <c r="AV236" i="4"/>
  <c r="AW236" i="4" s="1"/>
  <c r="BA236" i="4"/>
  <c r="BB236" i="4"/>
  <c r="AN237" i="4"/>
  <c r="AQ237" i="4"/>
  <c r="AV237" i="4"/>
  <c r="AW237" i="4" s="1"/>
  <c r="BA237" i="4"/>
  <c r="BB237" i="4"/>
  <c r="AN238" i="4"/>
  <c r="AQ238" i="4"/>
  <c r="AV238" i="4"/>
  <c r="AW238" i="4" s="1"/>
  <c r="BA238" i="4"/>
  <c r="BB238" i="4"/>
  <c r="AN239" i="4"/>
  <c r="AQ239" i="4"/>
  <c r="AV239" i="4"/>
  <c r="AW239" i="4" s="1"/>
  <c r="BA239" i="4"/>
  <c r="BB239" i="4"/>
  <c r="AN240" i="4"/>
  <c r="AQ240" i="4"/>
  <c r="AV240" i="4"/>
  <c r="AW240" i="4" s="1"/>
  <c r="BA240" i="4"/>
  <c r="BB240" i="4"/>
  <c r="AN241" i="4"/>
  <c r="AQ241" i="4"/>
  <c r="AV241" i="4"/>
  <c r="AW241" i="4" s="1"/>
  <c r="BA241" i="4"/>
  <c r="BB241" i="4"/>
  <c r="AN242" i="4"/>
  <c r="AQ242" i="4"/>
  <c r="AV242" i="4"/>
  <c r="AW242" i="4" s="1"/>
  <c r="BA242" i="4"/>
  <c r="BB242" i="4"/>
  <c r="AN243" i="4"/>
  <c r="AQ243" i="4"/>
  <c r="AV243" i="4"/>
  <c r="AW243" i="4" s="1"/>
  <c r="BA243" i="4"/>
  <c r="BB243" i="4"/>
  <c r="AN244" i="4"/>
  <c r="AQ244" i="4"/>
  <c r="AV244" i="4"/>
  <c r="AW244" i="4" s="1"/>
  <c r="BA244" i="4"/>
  <c r="BB244" i="4"/>
  <c r="AN245" i="4"/>
  <c r="AQ245" i="4"/>
  <c r="AV245" i="4"/>
  <c r="AW245" i="4" s="1"/>
  <c r="BA245" i="4"/>
  <c r="BB245" i="4"/>
  <c r="AN246" i="4"/>
  <c r="AQ246" i="4"/>
  <c r="AV246" i="4"/>
  <c r="AW246" i="4" s="1"/>
  <c r="BA246" i="4"/>
  <c r="BB246" i="4"/>
  <c r="AN247" i="4"/>
  <c r="AQ247" i="4"/>
  <c r="AV247" i="4"/>
  <c r="AW247" i="4" s="1"/>
  <c r="BA247" i="4"/>
  <c r="BB247" i="4"/>
  <c r="AN248" i="4"/>
  <c r="AQ248" i="4"/>
  <c r="AV248" i="4"/>
  <c r="AW248" i="4" s="1"/>
  <c r="BA248" i="4"/>
  <c r="BB248" i="4"/>
  <c r="AN249" i="4"/>
  <c r="AQ249" i="4"/>
  <c r="AV249" i="4"/>
  <c r="AW249" i="4" s="1"/>
  <c r="BA249" i="4"/>
  <c r="BB249" i="4"/>
  <c r="AN250" i="4"/>
  <c r="AQ250" i="4"/>
  <c r="AV250" i="4"/>
  <c r="AW250" i="4" s="1"/>
  <c r="BA250" i="4"/>
  <c r="BB250" i="4"/>
  <c r="AN251" i="4"/>
  <c r="AQ251" i="4"/>
  <c r="AV251" i="4"/>
  <c r="AW251" i="4" s="1"/>
  <c r="BA251" i="4"/>
  <c r="BB251" i="4"/>
  <c r="AN252" i="4"/>
  <c r="AQ252" i="4"/>
  <c r="AV252" i="4"/>
  <c r="AW252" i="4" s="1"/>
  <c r="BA252" i="4"/>
  <c r="BB252" i="4"/>
  <c r="AN253" i="4"/>
  <c r="AQ253" i="4"/>
  <c r="AV253" i="4"/>
  <c r="AW253" i="4" s="1"/>
  <c r="BA253" i="4"/>
  <c r="BB253" i="4"/>
  <c r="AN254" i="4"/>
  <c r="AQ254" i="4"/>
  <c r="AV254" i="4"/>
  <c r="AW254" i="4" s="1"/>
  <c r="BA254" i="4"/>
  <c r="BB254" i="4"/>
  <c r="AN255" i="4"/>
  <c r="AQ255" i="4"/>
  <c r="AV255" i="4"/>
  <c r="AW255" i="4" s="1"/>
  <c r="BA255" i="4"/>
  <c r="BB255" i="4"/>
  <c r="AN256" i="4"/>
  <c r="AQ256" i="4"/>
  <c r="AV256" i="4"/>
  <c r="AW256" i="4" s="1"/>
  <c r="BA256" i="4"/>
  <c r="BB256" i="4"/>
  <c r="AN257" i="4"/>
  <c r="AQ257" i="4"/>
  <c r="AV257" i="4"/>
  <c r="AW257" i="4" s="1"/>
  <c r="BA257" i="4"/>
  <c r="BB257" i="4"/>
  <c r="AN258" i="4"/>
  <c r="AQ258" i="4"/>
  <c r="AV258" i="4"/>
  <c r="AW258" i="4" s="1"/>
  <c r="BA258" i="4"/>
  <c r="BB258" i="4"/>
  <c r="AN259" i="4"/>
  <c r="AQ259" i="4"/>
  <c r="AV259" i="4"/>
  <c r="AW259" i="4" s="1"/>
  <c r="BA259" i="4"/>
  <c r="BB259" i="4"/>
  <c r="AN260" i="4"/>
  <c r="AQ260" i="4"/>
  <c r="AV260" i="4"/>
  <c r="AW260" i="4" s="1"/>
  <c r="BA260" i="4"/>
  <c r="BB260" i="4"/>
  <c r="AN261" i="4"/>
  <c r="AQ261" i="4"/>
  <c r="AV261" i="4"/>
  <c r="AW261" i="4" s="1"/>
  <c r="BA261" i="4"/>
  <c r="BB261" i="4"/>
  <c r="BA183" i="4"/>
  <c r="BB183" i="4"/>
  <c r="AV183" i="4"/>
  <c r="AW183" i="4" s="1"/>
  <c r="AN183" i="4"/>
  <c r="AQ183" i="4"/>
  <c r="AI184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183" i="4"/>
  <c r="V1419" i="7"/>
  <c r="U1419" i="7"/>
  <c r="P1419" i="7"/>
  <c r="Q1419" i="7" s="1"/>
  <c r="K1419" i="7"/>
  <c r="P958" i="7"/>
  <c r="Q958" i="7" s="1"/>
  <c r="U958" i="7"/>
  <c r="V958" i="7"/>
  <c r="P959" i="7"/>
  <c r="Q959" i="7" s="1"/>
  <c r="U959" i="7"/>
  <c r="V959" i="7"/>
  <c r="P960" i="7"/>
  <c r="Q960" i="7" s="1"/>
  <c r="U960" i="7"/>
  <c r="V960" i="7"/>
  <c r="P961" i="7"/>
  <c r="Q961" i="7" s="1"/>
  <c r="U961" i="7"/>
  <c r="V961" i="7"/>
  <c r="P962" i="7"/>
  <c r="Q962" i="7" s="1"/>
  <c r="U962" i="7"/>
  <c r="V962" i="7"/>
  <c r="P963" i="7"/>
  <c r="Q963" i="7" s="1"/>
  <c r="U963" i="7"/>
  <c r="V963" i="7"/>
  <c r="P964" i="7"/>
  <c r="Q964" i="7" s="1"/>
  <c r="U964" i="7"/>
  <c r="V964" i="7"/>
  <c r="P965" i="7"/>
  <c r="Q965" i="7" s="1"/>
  <c r="U965" i="7"/>
  <c r="V965" i="7"/>
  <c r="P966" i="7"/>
  <c r="Q966" i="7" s="1"/>
  <c r="U966" i="7"/>
  <c r="V966" i="7"/>
  <c r="P967" i="7"/>
  <c r="Q967" i="7" s="1"/>
  <c r="U967" i="7"/>
  <c r="V967" i="7"/>
  <c r="P968" i="7"/>
  <c r="Q968" i="7" s="1"/>
  <c r="U968" i="7"/>
  <c r="V968" i="7"/>
  <c r="P969" i="7"/>
  <c r="Q969" i="7" s="1"/>
  <c r="U969" i="7"/>
  <c r="V969" i="7"/>
  <c r="P970" i="7"/>
  <c r="Q970" i="7" s="1"/>
  <c r="U970" i="7"/>
  <c r="V970" i="7"/>
  <c r="P971" i="7"/>
  <c r="Q971" i="7" s="1"/>
  <c r="U971" i="7"/>
  <c r="V971" i="7"/>
  <c r="P972" i="7"/>
  <c r="Q972" i="7" s="1"/>
  <c r="U972" i="7"/>
  <c r="V972" i="7"/>
  <c r="P973" i="7"/>
  <c r="Q973" i="7" s="1"/>
  <c r="U973" i="7"/>
  <c r="V973" i="7"/>
  <c r="P974" i="7"/>
  <c r="Q974" i="7" s="1"/>
  <c r="U974" i="7"/>
  <c r="V974" i="7"/>
  <c r="P975" i="7"/>
  <c r="Q975" i="7" s="1"/>
  <c r="U975" i="7"/>
  <c r="V975" i="7"/>
  <c r="P976" i="7"/>
  <c r="Q976" i="7" s="1"/>
  <c r="U976" i="7"/>
  <c r="V976" i="7"/>
  <c r="P977" i="7"/>
  <c r="Q977" i="7" s="1"/>
  <c r="U977" i="7"/>
  <c r="V977" i="7"/>
  <c r="P978" i="7"/>
  <c r="Q978" i="7" s="1"/>
  <c r="U978" i="7"/>
  <c r="V978" i="7"/>
  <c r="P979" i="7"/>
  <c r="Q979" i="7" s="1"/>
  <c r="U979" i="7"/>
  <c r="V979" i="7"/>
  <c r="P980" i="7"/>
  <c r="Q980" i="7" s="1"/>
  <c r="U980" i="7"/>
  <c r="V980" i="7"/>
  <c r="P981" i="7"/>
  <c r="Q981" i="7" s="1"/>
  <c r="U981" i="7"/>
  <c r="V981" i="7"/>
  <c r="P982" i="7"/>
  <c r="Q982" i="7" s="1"/>
  <c r="U982" i="7"/>
  <c r="V982" i="7"/>
  <c r="P983" i="7"/>
  <c r="Q983" i="7" s="1"/>
  <c r="U983" i="7"/>
  <c r="V983" i="7"/>
  <c r="P984" i="7"/>
  <c r="Q984" i="7" s="1"/>
  <c r="U984" i="7"/>
  <c r="V984" i="7"/>
  <c r="P985" i="7"/>
  <c r="Q985" i="7" s="1"/>
  <c r="U985" i="7"/>
  <c r="V985" i="7"/>
  <c r="P986" i="7"/>
  <c r="Q986" i="7" s="1"/>
  <c r="U986" i="7"/>
  <c r="V986" i="7"/>
  <c r="P987" i="7"/>
  <c r="Q987" i="7" s="1"/>
  <c r="U987" i="7"/>
  <c r="V987" i="7"/>
  <c r="P988" i="7"/>
  <c r="Q988" i="7" s="1"/>
  <c r="U988" i="7"/>
  <c r="V988" i="7"/>
  <c r="P989" i="7"/>
  <c r="Q989" i="7" s="1"/>
  <c r="U989" i="7"/>
  <c r="V989" i="7"/>
  <c r="P990" i="7"/>
  <c r="Q990" i="7" s="1"/>
  <c r="U990" i="7"/>
  <c r="V990" i="7"/>
  <c r="P991" i="7"/>
  <c r="Q991" i="7" s="1"/>
  <c r="U991" i="7"/>
  <c r="V991" i="7"/>
  <c r="P992" i="7"/>
  <c r="Q992" i="7" s="1"/>
  <c r="U992" i="7"/>
  <c r="V992" i="7"/>
  <c r="P993" i="7"/>
  <c r="Q993" i="7" s="1"/>
  <c r="U993" i="7"/>
  <c r="V993" i="7"/>
  <c r="P994" i="7"/>
  <c r="Q994" i="7" s="1"/>
  <c r="U994" i="7"/>
  <c r="V994" i="7"/>
  <c r="P995" i="7"/>
  <c r="Q995" i="7" s="1"/>
  <c r="U995" i="7"/>
  <c r="V995" i="7"/>
  <c r="P996" i="7"/>
  <c r="Q996" i="7" s="1"/>
  <c r="U996" i="7"/>
  <c r="V996" i="7"/>
  <c r="P997" i="7"/>
  <c r="Q997" i="7" s="1"/>
  <c r="U997" i="7"/>
  <c r="V997" i="7"/>
  <c r="P998" i="7"/>
  <c r="Q998" i="7" s="1"/>
  <c r="U998" i="7"/>
  <c r="V998" i="7"/>
  <c r="P999" i="7"/>
  <c r="Q999" i="7" s="1"/>
  <c r="U999" i="7"/>
  <c r="V999" i="7"/>
  <c r="P1000" i="7"/>
  <c r="Q1000" i="7" s="1"/>
  <c r="U1000" i="7"/>
  <c r="V1000" i="7"/>
  <c r="P1001" i="7"/>
  <c r="Q1001" i="7" s="1"/>
  <c r="U1001" i="7"/>
  <c r="V1001" i="7"/>
  <c r="P1002" i="7"/>
  <c r="Q1002" i="7" s="1"/>
  <c r="U1002" i="7"/>
  <c r="V1002" i="7"/>
  <c r="P1003" i="7"/>
  <c r="Q1003" i="7" s="1"/>
  <c r="U1003" i="7"/>
  <c r="V1003" i="7"/>
  <c r="P1004" i="7"/>
  <c r="Q1004" i="7" s="1"/>
  <c r="U1004" i="7"/>
  <c r="V1004" i="7"/>
  <c r="P1005" i="7"/>
  <c r="Q1005" i="7" s="1"/>
  <c r="U1005" i="7"/>
  <c r="V1005" i="7"/>
  <c r="P1006" i="7"/>
  <c r="Q1006" i="7" s="1"/>
  <c r="U1006" i="7"/>
  <c r="V1006" i="7"/>
  <c r="P1007" i="7"/>
  <c r="Q1007" i="7" s="1"/>
  <c r="U1007" i="7"/>
  <c r="V1007" i="7"/>
  <c r="P1008" i="7"/>
  <c r="Q1008" i="7" s="1"/>
  <c r="U1008" i="7"/>
  <c r="V1008" i="7"/>
  <c r="P1009" i="7"/>
  <c r="Q1009" i="7" s="1"/>
  <c r="U1009" i="7"/>
  <c r="V1009" i="7"/>
  <c r="P1010" i="7"/>
  <c r="Q1010" i="7" s="1"/>
  <c r="U1010" i="7"/>
  <c r="V1010" i="7"/>
  <c r="P1011" i="7"/>
  <c r="Q1011" i="7" s="1"/>
  <c r="U1011" i="7"/>
  <c r="V1011" i="7"/>
  <c r="P1012" i="7"/>
  <c r="Q1012" i="7" s="1"/>
  <c r="U1012" i="7"/>
  <c r="V1012" i="7"/>
  <c r="P1013" i="7"/>
  <c r="Q1013" i="7" s="1"/>
  <c r="U1013" i="7"/>
  <c r="V1013" i="7"/>
  <c r="P1014" i="7"/>
  <c r="Q1014" i="7" s="1"/>
  <c r="U1014" i="7"/>
  <c r="V1014" i="7"/>
  <c r="P1015" i="7"/>
  <c r="Q1015" i="7" s="1"/>
  <c r="U1015" i="7"/>
  <c r="V1015" i="7"/>
  <c r="P1016" i="7"/>
  <c r="Q1016" i="7" s="1"/>
  <c r="U1016" i="7"/>
  <c r="V1016" i="7"/>
  <c r="P1017" i="7"/>
  <c r="Q1017" i="7" s="1"/>
  <c r="U1017" i="7"/>
  <c r="V1017" i="7"/>
  <c r="P1018" i="7"/>
  <c r="Q1018" i="7" s="1"/>
  <c r="U1018" i="7"/>
  <c r="V1018" i="7"/>
  <c r="P1019" i="7"/>
  <c r="Q1019" i="7" s="1"/>
  <c r="U1019" i="7"/>
  <c r="V1019" i="7"/>
  <c r="P1020" i="7"/>
  <c r="Q1020" i="7" s="1"/>
  <c r="U1020" i="7"/>
  <c r="V1020" i="7"/>
  <c r="P1021" i="7"/>
  <c r="Q1021" i="7" s="1"/>
  <c r="U1021" i="7"/>
  <c r="V1021" i="7"/>
  <c r="P1022" i="7"/>
  <c r="Q1022" i="7" s="1"/>
  <c r="U1022" i="7"/>
  <c r="V1022" i="7"/>
  <c r="P1023" i="7"/>
  <c r="Q1023" i="7" s="1"/>
  <c r="U1023" i="7"/>
  <c r="V1023" i="7"/>
  <c r="P1024" i="7"/>
  <c r="Q1024" i="7" s="1"/>
  <c r="U1024" i="7"/>
  <c r="V1024" i="7"/>
  <c r="P1025" i="7"/>
  <c r="Q1025" i="7" s="1"/>
  <c r="U1025" i="7"/>
  <c r="V1025" i="7"/>
  <c r="P1026" i="7"/>
  <c r="Q1026" i="7" s="1"/>
  <c r="U1026" i="7"/>
  <c r="V1026" i="7"/>
  <c r="P1027" i="7"/>
  <c r="Q1027" i="7" s="1"/>
  <c r="U1027" i="7"/>
  <c r="V1027" i="7"/>
  <c r="P1028" i="7"/>
  <c r="Q1028" i="7" s="1"/>
  <c r="U1028" i="7"/>
  <c r="V1028" i="7"/>
  <c r="P1029" i="7"/>
  <c r="Q1029" i="7" s="1"/>
  <c r="U1029" i="7"/>
  <c r="V1029" i="7"/>
  <c r="P1030" i="7"/>
  <c r="Q1030" i="7" s="1"/>
  <c r="U1030" i="7"/>
  <c r="V1030" i="7"/>
  <c r="P1031" i="7"/>
  <c r="Q1031" i="7" s="1"/>
  <c r="U1031" i="7"/>
  <c r="V1031" i="7"/>
  <c r="P1032" i="7"/>
  <c r="Q1032" i="7" s="1"/>
  <c r="U1032" i="7"/>
  <c r="V1032" i="7"/>
  <c r="P1033" i="7"/>
  <c r="Q1033" i="7" s="1"/>
  <c r="U1033" i="7"/>
  <c r="V1033" i="7"/>
  <c r="P1034" i="7"/>
  <c r="Q1034" i="7" s="1"/>
  <c r="U1034" i="7"/>
  <c r="V1034" i="7"/>
  <c r="P1035" i="7"/>
  <c r="Q1035" i="7" s="1"/>
  <c r="U1035" i="7"/>
  <c r="V1035" i="7"/>
  <c r="P1036" i="7"/>
  <c r="Q1036" i="7" s="1"/>
  <c r="U1036" i="7"/>
  <c r="V1036" i="7"/>
  <c r="P1037" i="7"/>
  <c r="Q1037" i="7" s="1"/>
  <c r="U1037" i="7"/>
  <c r="V1037" i="7"/>
  <c r="P1038" i="7"/>
  <c r="Q1038" i="7" s="1"/>
  <c r="U1038" i="7"/>
  <c r="V1038" i="7"/>
  <c r="P1039" i="7"/>
  <c r="Q1039" i="7" s="1"/>
  <c r="U1039" i="7"/>
  <c r="V1039" i="7"/>
  <c r="P1040" i="7"/>
  <c r="Q1040" i="7" s="1"/>
  <c r="U1040" i="7"/>
  <c r="V1040" i="7"/>
  <c r="P1041" i="7"/>
  <c r="Q1041" i="7" s="1"/>
  <c r="U1041" i="7"/>
  <c r="V1041" i="7"/>
  <c r="P1042" i="7"/>
  <c r="Q1042" i="7" s="1"/>
  <c r="U1042" i="7"/>
  <c r="V1042" i="7"/>
  <c r="P1043" i="7"/>
  <c r="Q1043" i="7" s="1"/>
  <c r="U1043" i="7"/>
  <c r="V1043" i="7"/>
  <c r="P1044" i="7"/>
  <c r="Q1044" i="7" s="1"/>
  <c r="U1044" i="7"/>
  <c r="V1044" i="7"/>
  <c r="P1045" i="7"/>
  <c r="Q1045" i="7" s="1"/>
  <c r="U1045" i="7"/>
  <c r="V1045" i="7"/>
  <c r="P1046" i="7"/>
  <c r="Q1046" i="7" s="1"/>
  <c r="U1046" i="7"/>
  <c r="V1046" i="7"/>
  <c r="P1047" i="7"/>
  <c r="Q1047" i="7" s="1"/>
  <c r="U1047" i="7"/>
  <c r="V1047" i="7"/>
  <c r="P1048" i="7"/>
  <c r="Q1048" i="7" s="1"/>
  <c r="U1048" i="7"/>
  <c r="V1048" i="7"/>
  <c r="P1049" i="7"/>
  <c r="Q1049" i="7" s="1"/>
  <c r="U1049" i="7"/>
  <c r="V1049" i="7"/>
  <c r="P1050" i="7"/>
  <c r="Q1050" i="7" s="1"/>
  <c r="U1050" i="7"/>
  <c r="V1050" i="7"/>
  <c r="P1051" i="7"/>
  <c r="Q1051" i="7" s="1"/>
  <c r="U1051" i="7"/>
  <c r="V1051" i="7"/>
  <c r="P1052" i="7"/>
  <c r="Q1052" i="7" s="1"/>
  <c r="U1052" i="7"/>
  <c r="V1052" i="7"/>
  <c r="P1053" i="7"/>
  <c r="Q1053" i="7" s="1"/>
  <c r="U1053" i="7"/>
  <c r="V1053" i="7"/>
  <c r="P1054" i="7"/>
  <c r="Q1054" i="7" s="1"/>
  <c r="U1054" i="7"/>
  <c r="V1054" i="7"/>
  <c r="P1055" i="7"/>
  <c r="Q1055" i="7" s="1"/>
  <c r="U1055" i="7"/>
  <c r="V1055" i="7"/>
  <c r="P1056" i="7"/>
  <c r="Q1056" i="7" s="1"/>
  <c r="U1056" i="7"/>
  <c r="V1056" i="7"/>
  <c r="P1057" i="7"/>
  <c r="Q1057" i="7" s="1"/>
  <c r="U1057" i="7"/>
  <c r="V1057" i="7"/>
  <c r="P1058" i="7"/>
  <c r="Q1058" i="7" s="1"/>
  <c r="U1058" i="7"/>
  <c r="V1058" i="7"/>
  <c r="P1059" i="7"/>
  <c r="Q1059" i="7" s="1"/>
  <c r="U1059" i="7"/>
  <c r="V1059" i="7"/>
  <c r="P1060" i="7"/>
  <c r="Q1060" i="7" s="1"/>
  <c r="U1060" i="7"/>
  <c r="V1060" i="7"/>
  <c r="P1061" i="7"/>
  <c r="Q1061" i="7" s="1"/>
  <c r="U1061" i="7"/>
  <c r="V1061" i="7"/>
  <c r="P1062" i="7"/>
  <c r="Q1062" i="7" s="1"/>
  <c r="U1062" i="7"/>
  <c r="V1062" i="7"/>
  <c r="P1063" i="7"/>
  <c r="Q1063" i="7" s="1"/>
  <c r="U1063" i="7"/>
  <c r="V1063" i="7"/>
  <c r="P1064" i="7"/>
  <c r="Q1064" i="7" s="1"/>
  <c r="U1064" i="7"/>
  <c r="V1064" i="7"/>
  <c r="P1065" i="7"/>
  <c r="Q1065" i="7" s="1"/>
  <c r="U1065" i="7"/>
  <c r="V1065" i="7"/>
  <c r="P1066" i="7"/>
  <c r="Q1066" i="7" s="1"/>
  <c r="U1066" i="7"/>
  <c r="V1066" i="7"/>
  <c r="P1067" i="7"/>
  <c r="Q1067" i="7" s="1"/>
  <c r="U1067" i="7"/>
  <c r="V1067" i="7"/>
  <c r="P1068" i="7"/>
  <c r="Q1068" i="7" s="1"/>
  <c r="U1068" i="7"/>
  <c r="V1068" i="7"/>
  <c r="P1069" i="7"/>
  <c r="Q1069" i="7" s="1"/>
  <c r="U1069" i="7"/>
  <c r="V1069" i="7"/>
  <c r="P1070" i="7"/>
  <c r="Q1070" i="7" s="1"/>
  <c r="U1070" i="7"/>
  <c r="V1070" i="7"/>
  <c r="P1071" i="7"/>
  <c r="Q1071" i="7" s="1"/>
  <c r="U1071" i="7"/>
  <c r="V1071" i="7"/>
  <c r="P1072" i="7"/>
  <c r="Q1072" i="7" s="1"/>
  <c r="U1072" i="7"/>
  <c r="V1072" i="7"/>
  <c r="P1073" i="7"/>
  <c r="Q1073" i="7" s="1"/>
  <c r="U1073" i="7"/>
  <c r="V1073" i="7"/>
  <c r="P1074" i="7"/>
  <c r="Q1074" i="7" s="1"/>
  <c r="U1074" i="7"/>
  <c r="V1074" i="7"/>
  <c r="P1075" i="7"/>
  <c r="Q1075" i="7" s="1"/>
  <c r="U1075" i="7"/>
  <c r="V1075" i="7"/>
  <c r="P1076" i="7"/>
  <c r="Q1076" i="7" s="1"/>
  <c r="U1076" i="7"/>
  <c r="V1076" i="7"/>
  <c r="P1077" i="7"/>
  <c r="Q1077" i="7" s="1"/>
  <c r="U1077" i="7"/>
  <c r="V1077" i="7"/>
  <c r="P1078" i="7"/>
  <c r="Q1078" i="7" s="1"/>
  <c r="U1078" i="7"/>
  <c r="V1078" i="7"/>
  <c r="P1079" i="7"/>
  <c r="Q1079" i="7" s="1"/>
  <c r="U1079" i="7"/>
  <c r="V1079" i="7"/>
  <c r="P1080" i="7"/>
  <c r="Q1080" i="7" s="1"/>
  <c r="U1080" i="7"/>
  <c r="V1080" i="7"/>
  <c r="P1081" i="7"/>
  <c r="Q1081" i="7" s="1"/>
  <c r="U1081" i="7"/>
  <c r="V1081" i="7"/>
  <c r="P1082" i="7"/>
  <c r="Q1082" i="7" s="1"/>
  <c r="U1082" i="7"/>
  <c r="V1082" i="7"/>
  <c r="P1083" i="7"/>
  <c r="Q1083" i="7" s="1"/>
  <c r="U1083" i="7"/>
  <c r="V1083" i="7"/>
  <c r="P1084" i="7"/>
  <c r="Q1084" i="7" s="1"/>
  <c r="U1084" i="7"/>
  <c r="V1084" i="7"/>
  <c r="P1085" i="7"/>
  <c r="Q1085" i="7" s="1"/>
  <c r="U1085" i="7"/>
  <c r="V1085" i="7"/>
  <c r="P1086" i="7"/>
  <c r="Q1086" i="7" s="1"/>
  <c r="U1086" i="7"/>
  <c r="V1086" i="7"/>
  <c r="P1087" i="7"/>
  <c r="Q1087" i="7" s="1"/>
  <c r="U1087" i="7"/>
  <c r="V1087" i="7"/>
  <c r="P1088" i="7"/>
  <c r="Q1088" i="7" s="1"/>
  <c r="U1088" i="7"/>
  <c r="V1088" i="7"/>
  <c r="P1089" i="7"/>
  <c r="Q1089" i="7" s="1"/>
  <c r="U1089" i="7"/>
  <c r="V1089" i="7"/>
  <c r="P1090" i="7"/>
  <c r="Q1090" i="7" s="1"/>
  <c r="U1090" i="7"/>
  <c r="V1090" i="7"/>
  <c r="P1091" i="7"/>
  <c r="Q1091" i="7" s="1"/>
  <c r="U1091" i="7"/>
  <c r="V1091" i="7"/>
  <c r="P1092" i="7"/>
  <c r="Q1092" i="7" s="1"/>
  <c r="U1092" i="7"/>
  <c r="V1092" i="7"/>
  <c r="P1093" i="7"/>
  <c r="Q1093" i="7" s="1"/>
  <c r="U1093" i="7"/>
  <c r="V1093" i="7"/>
  <c r="P1094" i="7"/>
  <c r="Q1094" i="7" s="1"/>
  <c r="U1094" i="7"/>
  <c r="V1094" i="7"/>
  <c r="P1095" i="7"/>
  <c r="Q1095" i="7" s="1"/>
  <c r="U1095" i="7"/>
  <c r="V1095" i="7"/>
  <c r="P1096" i="7"/>
  <c r="Q1096" i="7" s="1"/>
  <c r="U1096" i="7"/>
  <c r="V1096" i="7"/>
  <c r="P1097" i="7"/>
  <c r="Q1097" i="7" s="1"/>
  <c r="U1097" i="7"/>
  <c r="V1097" i="7"/>
  <c r="P1098" i="7"/>
  <c r="Q1098" i="7" s="1"/>
  <c r="U1098" i="7"/>
  <c r="V1098" i="7"/>
  <c r="P1099" i="7"/>
  <c r="Q1099" i="7" s="1"/>
  <c r="U1099" i="7"/>
  <c r="V1099" i="7"/>
  <c r="P1100" i="7"/>
  <c r="Q1100" i="7" s="1"/>
  <c r="U1100" i="7"/>
  <c r="V1100" i="7"/>
  <c r="P1101" i="7"/>
  <c r="Q1101" i="7" s="1"/>
  <c r="U1101" i="7"/>
  <c r="V1101" i="7"/>
  <c r="P1102" i="7"/>
  <c r="Q1102" i="7" s="1"/>
  <c r="U1102" i="7"/>
  <c r="V1102" i="7"/>
  <c r="P1103" i="7"/>
  <c r="Q1103" i="7" s="1"/>
  <c r="U1103" i="7"/>
  <c r="V1103" i="7"/>
  <c r="P1104" i="7"/>
  <c r="Q1104" i="7" s="1"/>
  <c r="U1104" i="7"/>
  <c r="V1104" i="7"/>
  <c r="P1105" i="7"/>
  <c r="Q1105" i="7" s="1"/>
  <c r="U1105" i="7"/>
  <c r="V1105" i="7"/>
  <c r="P1106" i="7"/>
  <c r="Q1106" i="7" s="1"/>
  <c r="U1106" i="7"/>
  <c r="V1106" i="7"/>
  <c r="P1107" i="7"/>
  <c r="Q1107" i="7" s="1"/>
  <c r="U1107" i="7"/>
  <c r="V1107" i="7"/>
  <c r="P1108" i="7"/>
  <c r="Q1108" i="7" s="1"/>
  <c r="U1108" i="7"/>
  <c r="V1108" i="7"/>
  <c r="P1109" i="7"/>
  <c r="Q1109" i="7" s="1"/>
  <c r="U1109" i="7"/>
  <c r="V1109" i="7"/>
  <c r="P1110" i="7"/>
  <c r="Q1110" i="7" s="1"/>
  <c r="U1110" i="7"/>
  <c r="V1110" i="7"/>
  <c r="W1110" i="7" s="1"/>
  <c r="P1111" i="7"/>
  <c r="Q1111" i="7" s="1"/>
  <c r="U1111" i="7"/>
  <c r="V1111" i="7"/>
  <c r="P1112" i="7"/>
  <c r="Q1112" i="7" s="1"/>
  <c r="U1112" i="7"/>
  <c r="V1112" i="7"/>
  <c r="P1113" i="7"/>
  <c r="Q1113" i="7" s="1"/>
  <c r="U1113" i="7"/>
  <c r="V1113" i="7"/>
  <c r="P1114" i="7"/>
  <c r="Q1114" i="7" s="1"/>
  <c r="U1114" i="7"/>
  <c r="V1114" i="7"/>
  <c r="P1115" i="7"/>
  <c r="Q1115" i="7" s="1"/>
  <c r="U1115" i="7"/>
  <c r="V1115" i="7"/>
  <c r="P1116" i="7"/>
  <c r="Q1116" i="7" s="1"/>
  <c r="U1116" i="7"/>
  <c r="V1116" i="7"/>
  <c r="P1117" i="7"/>
  <c r="Q1117" i="7" s="1"/>
  <c r="U1117" i="7"/>
  <c r="V1117" i="7"/>
  <c r="P1118" i="7"/>
  <c r="Q1118" i="7" s="1"/>
  <c r="U1118" i="7"/>
  <c r="V1118" i="7"/>
  <c r="P1119" i="7"/>
  <c r="Q1119" i="7" s="1"/>
  <c r="U1119" i="7"/>
  <c r="V1119" i="7"/>
  <c r="P1120" i="7"/>
  <c r="Q1120" i="7" s="1"/>
  <c r="U1120" i="7"/>
  <c r="V1120" i="7"/>
  <c r="P1121" i="7"/>
  <c r="Q1121" i="7" s="1"/>
  <c r="U1121" i="7"/>
  <c r="V1121" i="7"/>
  <c r="P1122" i="7"/>
  <c r="Q1122" i="7" s="1"/>
  <c r="U1122" i="7"/>
  <c r="V1122" i="7"/>
  <c r="P1123" i="7"/>
  <c r="Q1123" i="7" s="1"/>
  <c r="U1123" i="7"/>
  <c r="V1123" i="7"/>
  <c r="P1124" i="7"/>
  <c r="Q1124" i="7" s="1"/>
  <c r="U1124" i="7"/>
  <c r="V1124" i="7"/>
  <c r="P1125" i="7"/>
  <c r="Q1125" i="7" s="1"/>
  <c r="U1125" i="7"/>
  <c r="V1125" i="7"/>
  <c r="P1126" i="7"/>
  <c r="Q1126" i="7" s="1"/>
  <c r="U1126" i="7"/>
  <c r="V1126" i="7"/>
  <c r="P1127" i="7"/>
  <c r="Q1127" i="7" s="1"/>
  <c r="U1127" i="7"/>
  <c r="V1127" i="7"/>
  <c r="P1128" i="7"/>
  <c r="Q1128" i="7" s="1"/>
  <c r="U1128" i="7"/>
  <c r="V1128" i="7"/>
  <c r="P1129" i="7"/>
  <c r="Q1129" i="7" s="1"/>
  <c r="U1129" i="7"/>
  <c r="V1129" i="7"/>
  <c r="P1130" i="7"/>
  <c r="Q1130" i="7" s="1"/>
  <c r="U1130" i="7"/>
  <c r="V1130" i="7"/>
  <c r="P1131" i="7"/>
  <c r="Q1131" i="7" s="1"/>
  <c r="U1131" i="7"/>
  <c r="V1131" i="7"/>
  <c r="P1132" i="7"/>
  <c r="Q1132" i="7" s="1"/>
  <c r="U1132" i="7"/>
  <c r="V1132" i="7"/>
  <c r="P1133" i="7"/>
  <c r="Q1133" i="7" s="1"/>
  <c r="U1133" i="7"/>
  <c r="V1133" i="7"/>
  <c r="P1134" i="7"/>
  <c r="Q1134" i="7" s="1"/>
  <c r="U1134" i="7"/>
  <c r="V1134" i="7"/>
  <c r="P1135" i="7"/>
  <c r="Q1135" i="7" s="1"/>
  <c r="U1135" i="7"/>
  <c r="V1135" i="7"/>
  <c r="P1136" i="7"/>
  <c r="Q1136" i="7" s="1"/>
  <c r="U1136" i="7"/>
  <c r="V1136" i="7"/>
  <c r="P1137" i="7"/>
  <c r="Q1137" i="7" s="1"/>
  <c r="U1137" i="7"/>
  <c r="V1137" i="7"/>
  <c r="P1138" i="7"/>
  <c r="Q1138" i="7" s="1"/>
  <c r="U1138" i="7"/>
  <c r="V1138" i="7"/>
  <c r="P1139" i="7"/>
  <c r="Q1139" i="7" s="1"/>
  <c r="U1139" i="7"/>
  <c r="V1139" i="7"/>
  <c r="P1140" i="7"/>
  <c r="Q1140" i="7" s="1"/>
  <c r="U1140" i="7"/>
  <c r="V1140" i="7"/>
  <c r="P1141" i="7"/>
  <c r="Q1141" i="7" s="1"/>
  <c r="U1141" i="7"/>
  <c r="V1141" i="7"/>
  <c r="P1142" i="7"/>
  <c r="Q1142" i="7" s="1"/>
  <c r="U1142" i="7"/>
  <c r="V1142" i="7"/>
  <c r="P1143" i="7"/>
  <c r="Q1143" i="7" s="1"/>
  <c r="U1143" i="7"/>
  <c r="V1143" i="7"/>
  <c r="P1144" i="7"/>
  <c r="Q1144" i="7" s="1"/>
  <c r="U1144" i="7"/>
  <c r="V1144" i="7"/>
  <c r="P1145" i="7"/>
  <c r="Q1145" i="7" s="1"/>
  <c r="U1145" i="7"/>
  <c r="V1145" i="7"/>
  <c r="P1146" i="7"/>
  <c r="Q1146" i="7" s="1"/>
  <c r="U1146" i="7"/>
  <c r="V1146" i="7"/>
  <c r="P1147" i="7"/>
  <c r="Q1147" i="7" s="1"/>
  <c r="U1147" i="7"/>
  <c r="V1147" i="7"/>
  <c r="P1148" i="7"/>
  <c r="Q1148" i="7" s="1"/>
  <c r="U1148" i="7"/>
  <c r="V1148" i="7"/>
  <c r="P1149" i="7"/>
  <c r="Q1149" i="7" s="1"/>
  <c r="U1149" i="7"/>
  <c r="V1149" i="7"/>
  <c r="P1150" i="7"/>
  <c r="Q1150" i="7" s="1"/>
  <c r="U1150" i="7"/>
  <c r="V1150" i="7"/>
  <c r="P1151" i="7"/>
  <c r="Q1151" i="7" s="1"/>
  <c r="U1151" i="7"/>
  <c r="V1151" i="7"/>
  <c r="P1152" i="7"/>
  <c r="Q1152" i="7" s="1"/>
  <c r="U1152" i="7"/>
  <c r="V1152" i="7"/>
  <c r="P1153" i="7"/>
  <c r="Q1153" i="7" s="1"/>
  <c r="U1153" i="7"/>
  <c r="V1153" i="7"/>
  <c r="P1154" i="7"/>
  <c r="Q1154" i="7" s="1"/>
  <c r="U1154" i="7"/>
  <c r="V1154" i="7"/>
  <c r="P1155" i="7"/>
  <c r="Q1155" i="7" s="1"/>
  <c r="U1155" i="7"/>
  <c r="V1155" i="7"/>
  <c r="P1156" i="7"/>
  <c r="Q1156" i="7" s="1"/>
  <c r="U1156" i="7"/>
  <c r="V1156" i="7"/>
  <c r="P1157" i="7"/>
  <c r="Q1157" i="7" s="1"/>
  <c r="U1157" i="7"/>
  <c r="V1157" i="7"/>
  <c r="P1158" i="7"/>
  <c r="Q1158" i="7" s="1"/>
  <c r="U1158" i="7"/>
  <c r="V1158" i="7"/>
  <c r="P1159" i="7"/>
  <c r="Q1159" i="7" s="1"/>
  <c r="U1159" i="7"/>
  <c r="V1159" i="7"/>
  <c r="P1160" i="7"/>
  <c r="Q1160" i="7" s="1"/>
  <c r="U1160" i="7"/>
  <c r="V1160" i="7"/>
  <c r="P1161" i="7"/>
  <c r="Q1161" i="7" s="1"/>
  <c r="U1161" i="7"/>
  <c r="V1161" i="7"/>
  <c r="P1162" i="7"/>
  <c r="Q1162" i="7" s="1"/>
  <c r="U1162" i="7"/>
  <c r="V1162" i="7"/>
  <c r="P1163" i="7"/>
  <c r="Q1163" i="7" s="1"/>
  <c r="U1163" i="7"/>
  <c r="V1163" i="7"/>
  <c r="P1164" i="7"/>
  <c r="Q1164" i="7" s="1"/>
  <c r="U1164" i="7"/>
  <c r="V1164" i="7"/>
  <c r="P1165" i="7"/>
  <c r="Q1165" i="7" s="1"/>
  <c r="U1165" i="7"/>
  <c r="V1165" i="7"/>
  <c r="P1166" i="7"/>
  <c r="Q1166" i="7" s="1"/>
  <c r="U1166" i="7"/>
  <c r="V1166" i="7"/>
  <c r="P1167" i="7"/>
  <c r="Q1167" i="7" s="1"/>
  <c r="U1167" i="7"/>
  <c r="V1167" i="7"/>
  <c r="P1168" i="7"/>
  <c r="Q1168" i="7" s="1"/>
  <c r="U1168" i="7"/>
  <c r="V1168" i="7"/>
  <c r="P1169" i="7"/>
  <c r="Q1169" i="7" s="1"/>
  <c r="U1169" i="7"/>
  <c r="V1169" i="7"/>
  <c r="P1170" i="7"/>
  <c r="Q1170" i="7" s="1"/>
  <c r="U1170" i="7"/>
  <c r="V1170" i="7"/>
  <c r="P1171" i="7"/>
  <c r="Q1171" i="7" s="1"/>
  <c r="U1171" i="7"/>
  <c r="V1171" i="7"/>
  <c r="P1172" i="7"/>
  <c r="Q1172" i="7" s="1"/>
  <c r="U1172" i="7"/>
  <c r="V1172" i="7"/>
  <c r="P1173" i="7"/>
  <c r="Q1173" i="7" s="1"/>
  <c r="U1173" i="7"/>
  <c r="V1173" i="7"/>
  <c r="P1174" i="7"/>
  <c r="Q1174" i="7" s="1"/>
  <c r="U1174" i="7"/>
  <c r="V1174" i="7"/>
  <c r="P1175" i="7"/>
  <c r="Q1175" i="7" s="1"/>
  <c r="U1175" i="7"/>
  <c r="V1175" i="7"/>
  <c r="P1176" i="7"/>
  <c r="Q1176" i="7" s="1"/>
  <c r="U1176" i="7"/>
  <c r="V1176" i="7"/>
  <c r="P1177" i="7"/>
  <c r="Q1177" i="7" s="1"/>
  <c r="U1177" i="7"/>
  <c r="V1177" i="7"/>
  <c r="P1178" i="7"/>
  <c r="Q1178" i="7" s="1"/>
  <c r="U1178" i="7"/>
  <c r="V1178" i="7"/>
  <c r="P1179" i="7"/>
  <c r="Q1179" i="7" s="1"/>
  <c r="U1179" i="7"/>
  <c r="V1179" i="7"/>
  <c r="P1180" i="7"/>
  <c r="Q1180" i="7" s="1"/>
  <c r="U1180" i="7"/>
  <c r="V1180" i="7"/>
  <c r="P1181" i="7"/>
  <c r="Q1181" i="7" s="1"/>
  <c r="U1181" i="7"/>
  <c r="V1181" i="7"/>
  <c r="P1182" i="7"/>
  <c r="Q1182" i="7" s="1"/>
  <c r="U1182" i="7"/>
  <c r="V1182" i="7"/>
  <c r="P1183" i="7"/>
  <c r="Q1183" i="7" s="1"/>
  <c r="U1183" i="7"/>
  <c r="V1183" i="7"/>
  <c r="P1184" i="7"/>
  <c r="Q1184" i="7" s="1"/>
  <c r="U1184" i="7"/>
  <c r="V1184" i="7"/>
  <c r="P1185" i="7"/>
  <c r="Q1185" i="7" s="1"/>
  <c r="U1185" i="7"/>
  <c r="V1185" i="7"/>
  <c r="P1186" i="7"/>
  <c r="Q1186" i="7" s="1"/>
  <c r="U1186" i="7"/>
  <c r="V1186" i="7"/>
  <c r="P1187" i="7"/>
  <c r="Q1187" i="7" s="1"/>
  <c r="U1187" i="7"/>
  <c r="V1187" i="7"/>
  <c r="P1188" i="7"/>
  <c r="Q1188" i="7" s="1"/>
  <c r="U1188" i="7"/>
  <c r="V1188" i="7"/>
  <c r="P1189" i="7"/>
  <c r="Q1189" i="7" s="1"/>
  <c r="U1189" i="7"/>
  <c r="V1189" i="7"/>
  <c r="P1190" i="7"/>
  <c r="Q1190" i="7" s="1"/>
  <c r="U1190" i="7"/>
  <c r="V1190" i="7"/>
  <c r="P1191" i="7"/>
  <c r="Q1191" i="7" s="1"/>
  <c r="U1191" i="7"/>
  <c r="V1191" i="7"/>
  <c r="P1192" i="7"/>
  <c r="Q1192" i="7" s="1"/>
  <c r="U1192" i="7"/>
  <c r="V1192" i="7"/>
  <c r="P1193" i="7"/>
  <c r="Q1193" i="7" s="1"/>
  <c r="U1193" i="7"/>
  <c r="V1193" i="7"/>
  <c r="P1194" i="7"/>
  <c r="Q1194" i="7" s="1"/>
  <c r="U1194" i="7"/>
  <c r="V1194" i="7"/>
  <c r="P1195" i="7"/>
  <c r="Q1195" i="7" s="1"/>
  <c r="U1195" i="7"/>
  <c r="V1195" i="7"/>
  <c r="P1196" i="7"/>
  <c r="Q1196" i="7" s="1"/>
  <c r="U1196" i="7"/>
  <c r="V1196" i="7"/>
  <c r="P1197" i="7"/>
  <c r="Q1197" i="7" s="1"/>
  <c r="U1197" i="7"/>
  <c r="V1197" i="7"/>
  <c r="P1198" i="7"/>
  <c r="Q1198" i="7" s="1"/>
  <c r="U1198" i="7"/>
  <c r="V1198" i="7"/>
  <c r="P1199" i="7"/>
  <c r="Q1199" i="7" s="1"/>
  <c r="U1199" i="7"/>
  <c r="V1199" i="7"/>
  <c r="P1200" i="7"/>
  <c r="Q1200" i="7" s="1"/>
  <c r="U1200" i="7"/>
  <c r="V1200" i="7"/>
  <c r="P1201" i="7"/>
  <c r="Q1201" i="7" s="1"/>
  <c r="U1201" i="7"/>
  <c r="V1201" i="7"/>
  <c r="P1202" i="7"/>
  <c r="Q1202" i="7" s="1"/>
  <c r="U1202" i="7"/>
  <c r="V1202" i="7"/>
  <c r="P1203" i="7"/>
  <c r="Q1203" i="7" s="1"/>
  <c r="U1203" i="7"/>
  <c r="V1203" i="7"/>
  <c r="P1204" i="7"/>
  <c r="Q1204" i="7" s="1"/>
  <c r="U1204" i="7"/>
  <c r="V1204" i="7"/>
  <c r="P1205" i="7"/>
  <c r="Q1205" i="7" s="1"/>
  <c r="U1205" i="7"/>
  <c r="V1205" i="7"/>
  <c r="P1206" i="7"/>
  <c r="Q1206" i="7" s="1"/>
  <c r="U1206" i="7"/>
  <c r="V1206" i="7"/>
  <c r="P1207" i="7"/>
  <c r="Q1207" i="7" s="1"/>
  <c r="U1207" i="7"/>
  <c r="V1207" i="7"/>
  <c r="P1208" i="7"/>
  <c r="Q1208" i="7" s="1"/>
  <c r="U1208" i="7"/>
  <c r="V1208" i="7"/>
  <c r="P1209" i="7"/>
  <c r="Q1209" i="7" s="1"/>
  <c r="U1209" i="7"/>
  <c r="V1209" i="7"/>
  <c r="P1210" i="7"/>
  <c r="Q1210" i="7" s="1"/>
  <c r="U1210" i="7"/>
  <c r="V1210" i="7"/>
  <c r="P1211" i="7"/>
  <c r="Q1211" i="7" s="1"/>
  <c r="U1211" i="7"/>
  <c r="V1211" i="7"/>
  <c r="P1212" i="7"/>
  <c r="Q1212" i="7" s="1"/>
  <c r="U1212" i="7"/>
  <c r="V1212" i="7"/>
  <c r="P1213" i="7"/>
  <c r="Q1213" i="7" s="1"/>
  <c r="U1213" i="7"/>
  <c r="V1213" i="7"/>
  <c r="P1214" i="7"/>
  <c r="Q1214" i="7" s="1"/>
  <c r="U1214" i="7"/>
  <c r="V1214" i="7"/>
  <c r="P1215" i="7"/>
  <c r="Q1215" i="7" s="1"/>
  <c r="U1215" i="7"/>
  <c r="V1215" i="7"/>
  <c r="P1216" i="7"/>
  <c r="Q1216" i="7" s="1"/>
  <c r="U1216" i="7"/>
  <c r="V1216" i="7"/>
  <c r="P1217" i="7"/>
  <c r="Q1217" i="7" s="1"/>
  <c r="U1217" i="7"/>
  <c r="V1217" i="7"/>
  <c r="P1218" i="7"/>
  <c r="Q1218" i="7" s="1"/>
  <c r="U1218" i="7"/>
  <c r="V1218" i="7"/>
  <c r="P1219" i="7"/>
  <c r="Q1219" i="7" s="1"/>
  <c r="U1219" i="7"/>
  <c r="V1219" i="7"/>
  <c r="P1220" i="7"/>
  <c r="Q1220" i="7" s="1"/>
  <c r="U1220" i="7"/>
  <c r="V1220" i="7"/>
  <c r="P1221" i="7"/>
  <c r="Q1221" i="7" s="1"/>
  <c r="U1221" i="7"/>
  <c r="V1221" i="7"/>
  <c r="P1222" i="7"/>
  <c r="Q1222" i="7" s="1"/>
  <c r="U1222" i="7"/>
  <c r="V1222" i="7"/>
  <c r="P1223" i="7"/>
  <c r="Q1223" i="7" s="1"/>
  <c r="U1223" i="7"/>
  <c r="V1223" i="7"/>
  <c r="P1224" i="7"/>
  <c r="Q1224" i="7" s="1"/>
  <c r="U1224" i="7"/>
  <c r="V1224" i="7"/>
  <c r="P1225" i="7"/>
  <c r="Q1225" i="7" s="1"/>
  <c r="U1225" i="7"/>
  <c r="V1225" i="7"/>
  <c r="P1226" i="7"/>
  <c r="Q1226" i="7" s="1"/>
  <c r="U1226" i="7"/>
  <c r="V1226" i="7"/>
  <c r="P1227" i="7"/>
  <c r="Q1227" i="7" s="1"/>
  <c r="U1227" i="7"/>
  <c r="V1227" i="7"/>
  <c r="P1228" i="7"/>
  <c r="Q1228" i="7" s="1"/>
  <c r="U1228" i="7"/>
  <c r="V1228" i="7"/>
  <c r="P1229" i="7"/>
  <c r="Q1229" i="7" s="1"/>
  <c r="U1229" i="7"/>
  <c r="V1229" i="7"/>
  <c r="P1230" i="7"/>
  <c r="Q1230" i="7" s="1"/>
  <c r="U1230" i="7"/>
  <c r="V1230" i="7"/>
  <c r="P1231" i="7"/>
  <c r="Q1231" i="7" s="1"/>
  <c r="U1231" i="7"/>
  <c r="V1231" i="7"/>
  <c r="P1232" i="7"/>
  <c r="Q1232" i="7" s="1"/>
  <c r="U1232" i="7"/>
  <c r="V1232" i="7"/>
  <c r="P1233" i="7"/>
  <c r="Q1233" i="7" s="1"/>
  <c r="U1233" i="7"/>
  <c r="V1233" i="7"/>
  <c r="P1234" i="7"/>
  <c r="Q1234" i="7" s="1"/>
  <c r="U1234" i="7"/>
  <c r="V1234" i="7"/>
  <c r="P1235" i="7"/>
  <c r="Q1235" i="7" s="1"/>
  <c r="U1235" i="7"/>
  <c r="V1235" i="7"/>
  <c r="P1236" i="7"/>
  <c r="Q1236" i="7" s="1"/>
  <c r="U1236" i="7"/>
  <c r="V1236" i="7"/>
  <c r="P1237" i="7"/>
  <c r="Q1237" i="7" s="1"/>
  <c r="U1237" i="7"/>
  <c r="V1237" i="7"/>
  <c r="P1238" i="7"/>
  <c r="Q1238" i="7" s="1"/>
  <c r="U1238" i="7"/>
  <c r="V1238" i="7"/>
  <c r="P1239" i="7"/>
  <c r="Q1239" i="7" s="1"/>
  <c r="U1239" i="7"/>
  <c r="V1239" i="7"/>
  <c r="P1240" i="7"/>
  <c r="Q1240" i="7" s="1"/>
  <c r="U1240" i="7"/>
  <c r="V1240" i="7"/>
  <c r="P1241" i="7"/>
  <c r="Q1241" i="7" s="1"/>
  <c r="U1241" i="7"/>
  <c r="V1241" i="7"/>
  <c r="P1242" i="7"/>
  <c r="Q1242" i="7" s="1"/>
  <c r="U1242" i="7"/>
  <c r="V1242" i="7"/>
  <c r="P1243" i="7"/>
  <c r="Q1243" i="7" s="1"/>
  <c r="U1243" i="7"/>
  <c r="V1243" i="7"/>
  <c r="P1244" i="7"/>
  <c r="Q1244" i="7" s="1"/>
  <c r="U1244" i="7"/>
  <c r="V1244" i="7"/>
  <c r="P1245" i="7"/>
  <c r="Q1245" i="7" s="1"/>
  <c r="U1245" i="7"/>
  <c r="V1245" i="7"/>
  <c r="P1246" i="7"/>
  <c r="Q1246" i="7" s="1"/>
  <c r="U1246" i="7"/>
  <c r="V1246" i="7"/>
  <c r="P1247" i="7"/>
  <c r="Q1247" i="7" s="1"/>
  <c r="U1247" i="7"/>
  <c r="V1247" i="7"/>
  <c r="P1248" i="7"/>
  <c r="Q1248" i="7" s="1"/>
  <c r="U1248" i="7"/>
  <c r="V1248" i="7"/>
  <c r="P1249" i="7"/>
  <c r="Q1249" i="7" s="1"/>
  <c r="U1249" i="7"/>
  <c r="V1249" i="7"/>
  <c r="P1250" i="7"/>
  <c r="Q1250" i="7" s="1"/>
  <c r="U1250" i="7"/>
  <c r="V1250" i="7"/>
  <c r="P1251" i="7"/>
  <c r="Q1251" i="7" s="1"/>
  <c r="U1251" i="7"/>
  <c r="V1251" i="7"/>
  <c r="P1252" i="7"/>
  <c r="Q1252" i="7" s="1"/>
  <c r="U1252" i="7"/>
  <c r="V1252" i="7"/>
  <c r="P1253" i="7"/>
  <c r="Q1253" i="7" s="1"/>
  <c r="U1253" i="7"/>
  <c r="V1253" i="7"/>
  <c r="P1254" i="7"/>
  <c r="Q1254" i="7" s="1"/>
  <c r="U1254" i="7"/>
  <c r="V1254" i="7"/>
  <c r="P1255" i="7"/>
  <c r="Q1255" i="7" s="1"/>
  <c r="U1255" i="7"/>
  <c r="V1255" i="7"/>
  <c r="P1256" i="7"/>
  <c r="Q1256" i="7" s="1"/>
  <c r="U1256" i="7"/>
  <c r="V1256" i="7"/>
  <c r="P1257" i="7"/>
  <c r="Q1257" i="7" s="1"/>
  <c r="U1257" i="7"/>
  <c r="V1257" i="7"/>
  <c r="P1258" i="7"/>
  <c r="Q1258" i="7" s="1"/>
  <c r="U1258" i="7"/>
  <c r="V1258" i="7"/>
  <c r="P1259" i="7"/>
  <c r="Q1259" i="7" s="1"/>
  <c r="U1259" i="7"/>
  <c r="V1259" i="7"/>
  <c r="P1260" i="7"/>
  <c r="Q1260" i="7" s="1"/>
  <c r="U1260" i="7"/>
  <c r="V1260" i="7"/>
  <c r="P1261" i="7"/>
  <c r="Q1261" i="7" s="1"/>
  <c r="U1261" i="7"/>
  <c r="V1261" i="7"/>
  <c r="P1262" i="7"/>
  <c r="Q1262" i="7" s="1"/>
  <c r="U1262" i="7"/>
  <c r="V1262" i="7"/>
  <c r="P1263" i="7"/>
  <c r="Q1263" i="7" s="1"/>
  <c r="U1263" i="7"/>
  <c r="V1263" i="7"/>
  <c r="P1264" i="7"/>
  <c r="Q1264" i="7" s="1"/>
  <c r="U1264" i="7"/>
  <c r="V1264" i="7"/>
  <c r="P1265" i="7"/>
  <c r="Q1265" i="7" s="1"/>
  <c r="U1265" i="7"/>
  <c r="V1265" i="7"/>
  <c r="P1266" i="7"/>
  <c r="Q1266" i="7" s="1"/>
  <c r="U1266" i="7"/>
  <c r="V1266" i="7"/>
  <c r="P1267" i="7"/>
  <c r="Q1267" i="7" s="1"/>
  <c r="U1267" i="7"/>
  <c r="V1267" i="7"/>
  <c r="P1268" i="7"/>
  <c r="Q1268" i="7" s="1"/>
  <c r="U1268" i="7"/>
  <c r="V1268" i="7"/>
  <c r="P1269" i="7"/>
  <c r="Q1269" i="7" s="1"/>
  <c r="U1269" i="7"/>
  <c r="V1269" i="7"/>
  <c r="P1270" i="7"/>
  <c r="Q1270" i="7" s="1"/>
  <c r="U1270" i="7"/>
  <c r="V1270" i="7"/>
  <c r="P1271" i="7"/>
  <c r="Q1271" i="7" s="1"/>
  <c r="U1271" i="7"/>
  <c r="V1271" i="7"/>
  <c r="P1272" i="7"/>
  <c r="Q1272" i="7" s="1"/>
  <c r="U1272" i="7"/>
  <c r="V1272" i="7"/>
  <c r="P1273" i="7"/>
  <c r="Q1273" i="7" s="1"/>
  <c r="U1273" i="7"/>
  <c r="V1273" i="7"/>
  <c r="P1274" i="7"/>
  <c r="Q1274" i="7" s="1"/>
  <c r="U1274" i="7"/>
  <c r="V1274" i="7"/>
  <c r="P1275" i="7"/>
  <c r="Q1275" i="7" s="1"/>
  <c r="U1275" i="7"/>
  <c r="V1275" i="7"/>
  <c r="P1276" i="7"/>
  <c r="Q1276" i="7" s="1"/>
  <c r="U1276" i="7"/>
  <c r="V1276" i="7"/>
  <c r="P1277" i="7"/>
  <c r="Q1277" i="7" s="1"/>
  <c r="U1277" i="7"/>
  <c r="V1277" i="7"/>
  <c r="P1278" i="7"/>
  <c r="Q1278" i="7" s="1"/>
  <c r="U1278" i="7"/>
  <c r="V1278" i="7"/>
  <c r="P1279" i="7"/>
  <c r="Q1279" i="7" s="1"/>
  <c r="U1279" i="7"/>
  <c r="V1279" i="7"/>
  <c r="P1280" i="7"/>
  <c r="Q1280" i="7" s="1"/>
  <c r="U1280" i="7"/>
  <c r="V1280" i="7"/>
  <c r="P1281" i="7"/>
  <c r="Q1281" i="7" s="1"/>
  <c r="U1281" i="7"/>
  <c r="V1281" i="7"/>
  <c r="P1282" i="7"/>
  <c r="Q1282" i="7" s="1"/>
  <c r="U1282" i="7"/>
  <c r="V1282" i="7"/>
  <c r="P1283" i="7"/>
  <c r="Q1283" i="7" s="1"/>
  <c r="U1283" i="7"/>
  <c r="V1283" i="7"/>
  <c r="P1284" i="7"/>
  <c r="Q1284" i="7" s="1"/>
  <c r="U1284" i="7"/>
  <c r="V1284" i="7"/>
  <c r="P1285" i="7"/>
  <c r="Q1285" i="7" s="1"/>
  <c r="U1285" i="7"/>
  <c r="V1285" i="7"/>
  <c r="P1286" i="7"/>
  <c r="Q1286" i="7" s="1"/>
  <c r="U1286" i="7"/>
  <c r="V1286" i="7"/>
  <c r="P1287" i="7"/>
  <c r="Q1287" i="7" s="1"/>
  <c r="U1287" i="7"/>
  <c r="V1287" i="7"/>
  <c r="P1288" i="7"/>
  <c r="Q1288" i="7" s="1"/>
  <c r="U1288" i="7"/>
  <c r="V1288" i="7"/>
  <c r="P1289" i="7"/>
  <c r="Q1289" i="7" s="1"/>
  <c r="U1289" i="7"/>
  <c r="V1289" i="7"/>
  <c r="P1290" i="7"/>
  <c r="Q1290" i="7" s="1"/>
  <c r="U1290" i="7"/>
  <c r="V1290" i="7"/>
  <c r="P1291" i="7"/>
  <c r="Q1291" i="7" s="1"/>
  <c r="U1291" i="7"/>
  <c r="V1291" i="7"/>
  <c r="P1292" i="7"/>
  <c r="Q1292" i="7" s="1"/>
  <c r="U1292" i="7"/>
  <c r="V1292" i="7"/>
  <c r="P1293" i="7"/>
  <c r="Q1293" i="7" s="1"/>
  <c r="U1293" i="7"/>
  <c r="V1293" i="7"/>
  <c r="P1294" i="7"/>
  <c r="Q1294" i="7" s="1"/>
  <c r="U1294" i="7"/>
  <c r="V1294" i="7"/>
  <c r="P1295" i="7"/>
  <c r="Q1295" i="7" s="1"/>
  <c r="U1295" i="7"/>
  <c r="V1295" i="7"/>
  <c r="P1296" i="7"/>
  <c r="Q1296" i="7" s="1"/>
  <c r="U1296" i="7"/>
  <c r="V1296" i="7"/>
  <c r="P1297" i="7"/>
  <c r="Q1297" i="7" s="1"/>
  <c r="U1297" i="7"/>
  <c r="V1297" i="7"/>
  <c r="P1298" i="7"/>
  <c r="Q1298" i="7" s="1"/>
  <c r="U1298" i="7"/>
  <c r="V1298" i="7"/>
  <c r="P1299" i="7"/>
  <c r="Q1299" i="7" s="1"/>
  <c r="U1299" i="7"/>
  <c r="V1299" i="7"/>
  <c r="P1300" i="7"/>
  <c r="Q1300" i="7" s="1"/>
  <c r="U1300" i="7"/>
  <c r="V1300" i="7"/>
  <c r="P1301" i="7"/>
  <c r="Q1301" i="7" s="1"/>
  <c r="U1301" i="7"/>
  <c r="V1301" i="7"/>
  <c r="P1302" i="7"/>
  <c r="Q1302" i="7" s="1"/>
  <c r="U1302" i="7"/>
  <c r="V1302" i="7"/>
  <c r="P1303" i="7"/>
  <c r="Q1303" i="7" s="1"/>
  <c r="U1303" i="7"/>
  <c r="V1303" i="7"/>
  <c r="P1304" i="7"/>
  <c r="Q1304" i="7" s="1"/>
  <c r="U1304" i="7"/>
  <c r="V1304" i="7"/>
  <c r="P1305" i="7"/>
  <c r="Q1305" i="7" s="1"/>
  <c r="U1305" i="7"/>
  <c r="V1305" i="7"/>
  <c r="P1306" i="7"/>
  <c r="Q1306" i="7" s="1"/>
  <c r="U1306" i="7"/>
  <c r="V1306" i="7"/>
  <c r="P1307" i="7"/>
  <c r="Q1307" i="7" s="1"/>
  <c r="U1307" i="7"/>
  <c r="V1307" i="7"/>
  <c r="P1308" i="7"/>
  <c r="Q1308" i="7" s="1"/>
  <c r="U1308" i="7"/>
  <c r="V1308" i="7"/>
  <c r="P1309" i="7"/>
  <c r="Q1309" i="7" s="1"/>
  <c r="U1309" i="7"/>
  <c r="V1309" i="7"/>
  <c r="P1310" i="7"/>
  <c r="Q1310" i="7" s="1"/>
  <c r="U1310" i="7"/>
  <c r="V1310" i="7"/>
  <c r="P1311" i="7"/>
  <c r="Q1311" i="7" s="1"/>
  <c r="U1311" i="7"/>
  <c r="V1311" i="7"/>
  <c r="P1312" i="7"/>
  <c r="Q1312" i="7" s="1"/>
  <c r="U1312" i="7"/>
  <c r="V1312" i="7"/>
  <c r="P1313" i="7"/>
  <c r="Q1313" i="7" s="1"/>
  <c r="U1313" i="7"/>
  <c r="V1313" i="7"/>
  <c r="P1314" i="7"/>
  <c r="Q1314" i="7" s="1"/>
  <c r="U1314" i="7"/>
  <c r="V1314" i="7"/>
  <c r="P1315" i="7"/>
  <c r="Q1315" i="7" s="1"/>
  <c r="U1315" i="7"/>
  <c r="V1315" i="7"/>
  <c r="P1316" i="7"/>
  <c r="Q1316" i="7" s="1"/>
  <c r="U1316" i="7"/>
  <c r="V1316" i="7"/>
  <c r="P1317" i="7"/>
  <c r="Q1317" i="7" s="1"/>
  <c r="U1317" i="7"/>
  <c r="V1317" i="7"/>
  <c r="P1318" i="7"/>
  <c r="Q1318" i="7" s="1"/>
  <c r="U1318" i="7"/>
  <c r="V1318" i="7"/>
  <c r="P1319" i="7"/>
  <c r="Q1319" i="7" s="1"/>
  <c r="U1319" i="7"/>
  <c r="V1319" i="7"/>
  <c r="P1320" i="7"/>
  <c r="Q1320" i="7" s="1"/>
  <c r="U1320" i="7"/>
  <c r="V1320" i="7"/>
  <c r="P1321" i="7"/>
  <c r="Q1321" i="7" s="1"/>
  <c r="U1321" i="7"/>
  <c r="V1321" i="7"/>
  <c r="P1322" i="7"/>
  <c r="Q1322" i="7" s="1"/>
  <c r="U1322" i="7"/>
  <c r="V1322" i="7"/>
  <c r="P1323" i="7"/>
  <c r="Q1323" i="7" s="1"/>
  <c r="U1323" i="7"/>
  <c r="V1323" i="7"/>
  <c r="P1324" i="7"/>
  <c r="Q1324" i="7" s="1"/>
  <c r="U1324" i="7"/>
  <c r="V1324" i="7"/>
  <c r="P1325" i="7"/>
  <c r="Q1325" i="7" s="1"/>
  <c r="U1325" i="7"/>
  <c r="V1325" i="7"/>
  <c r="P1326" i="7"/>
  <c r="Q1326" i="7" s="1"/>
  <c r="U1326" i="7"/>
  <c r="V1326" i="7"/>
  <c r="P1327" i="7"/>
  <c r="Q1327" i="7" s="1"/>
  <c r="U1327" i="7"/>
  <c r="V1327" i="7"/>
  <c r="P1328" i="7"/>
  <c r="Q1328" i="7" s="1"/>
  <c r="U1328" i="7"/>
  <c r="V1328" i="7"/>
  <c r="P1329" i="7"/>
  <c r="Q1329" i="7" s="1"/>
  <c r="U1329" i="7"/>
  <c r="V1329" i="7"/>
  <c r="P1330" i="7"/>
  <c r="Q1330" i="7" s="1"/>
  <c r="U1330" i="7"/>
  <c r="V1330" i="7"/>
  <c r="P1331" i="7"/>
  <c r="Q1331" i="7" s="1"/>
  <c r="U1331" i="7"/>
  <c r="V1331" i="7"/>
  <c r="P1332" i="7"/>
  <c r="Q1332" i="7" s="1"/>
  <c r="U1332" i="7"/>
  <c r="V1332" i="7"/>
  <c r="P1333" i="7"/>
  <c r="Q1333" i="7" s="1"/>
  <c r="U1333" i="7"/>
  <c r="V1333" i="7"/>
  <c r="P1334" i="7"/>
  <c r="Q1334" i="7" s="1"/>
  <c r="U1334" i="7"/>
  <c r="V1334" i="7"/>
  <c r="P1335" i="7"/>
  <c r="Q1335" i="7" s="1"/>
  <c r="U1335" i="7"/>
  <c r="V1335" i="7"/>
  <c r="P1336" i="7"/>
  <c r="Q1336" i="7" s="1"/>
  <c r="U1336" i="7"/>
  <c r="V1336" i="7"/>
  <c r="P1337" i="7"/>
  <c r="Q1337" i="7" s="1"/>
  <c r="U1337" i="7"/>
  <c r="V1337" i="7"/>
  <c r="P1338" i="7"/>
  <c r="Q1338" i="7" s="1"/>
  <c r="U1338" i="7"/>
  <c r="V1338" i="7"/>
  <c r="P1339" i="7"/>
  <c r="Q1339" i="7" s="1"/>
  <c r="U1339" i="7"/>
  <c r="V1339" i="7"/>
  <c r="P1340" i="7"/>
  <c r="Q1340" i="7" s="1"/>
  <c r="U1340" i="7"/>
  <c r="V1340" i="7"/>
  <c r="P1341" i="7"/>
  <c r="Q1341" i="7" s="1"/>
  <c r="U1341" i="7"/>
  <c r="V1341" i="7"/>
  <c r="P1342" i="7"/>
  <c r="Q1342" i="7" s="1"/>
  <c r="U1342" i="7"/>
  <c r="V1342" i="7"/>
  <c r="P1343" i="7"/>
  <c r="Q1343" i="7" s="1"/>
  <c r="U1343" i="7"/>
  <c r="V1343" i="7"/>
  <c r="P1344" i="7"/>
  <c r="Q1344" i="7" s="1"/>
  <c r="U1344" i="7"/>
  <c r="V1344" i="7"/>
  <c r="P1345" i="7"/>
  <c r="Q1345" i="7" s="1"/>
  <c r="U1345" i="7"/>
  <c r="V1345" i="7"/>
  <c r="P1346" i="7"/>
  <c r="Q1346" i="7" s="1"/>
  <c r="U1346" i="7"/>
  <c r="V1346" i="7"/>
  <c r="P1347" i="7"/>
  <c r="Q1347" i="7" s="1"/>
  <c r="U1347" i="7"/>
  <c r="V1347" i="7"/>
  <c r="P1348" i="7"/>
  <c r="Q1348" i="7" s="1"/>
  <c r="U1348" i="7"/>
  <c r="V1348" i="7"/>
  <c r="P1349" i="7"/>
  <c r="Q1349" i="7" s="1"/>
  <c r="U1349" i="7"/>
  <c r="V1349" i="7"/>
  <c r="P1350" i="7"/>
  <c r="Q1350" i="7" s="1"/>
  <c r="U1350" i="7"/>
  <c r="V1350" i="7"/>
  <c r="P1351" i="7"/>
  <c r="Q1351" i="7" s="1"/>
  <c r="U1351" i="7"/>
  <c r="V1351" i="7"/>
  <c r="P1352" i="7"/>
  <c r="Q1352" i="7" s="1"/>
  <c r="U1352" i="7"/>
  <c r="V1352" i="7"/>
  <c r="P1353" i="7"/>
  <c r="Q1353" i="7" s="1"/>
  <c r="U1353" i="7"/>
  <c r="V1353" i="7"/>
  <c r="P1354" i="7"/>
  <c r="Q1354" i="7" s="1"/>
  <c r="U1354" i="7"/>
  <c r="V1354" i="7"/>
  <c r="P1355" i="7"/>
  <c r="Q1355" i="7" s="1"/>
  <c r="U1355" i="7"/>
  <c r="V1355" i="7"/>
  <c r="P1356" i="7"/>
  <c r="Q1356" i="7" s="1"/>
  <c r="U1356" i="7"/>
  <c r="V1356" i="7"/>
  <c r="P1357" i="7"/>
  <c r="Q1357" i="7" s="1"/>
  <c r="U1357" i="7"/>
  <c r="V1357" i="7"/>
  <c r="P1358" i="7"/>
  <c r="Q1358" i="7" s="1"/>
  <c r="U1358" i="7"/>
  <c r="V1358" i="7"/>
  <c r="P1359" i="7"/>
  <c r="Q1359" i="7" s="1"/>
  <c r="U1359" i="7"/>
  <c r="V1359" i="7"/>
  <c r="P1360" i="7"/>
  <c r="Q1360" i="7" s="1"/>
  <c r="U1360" i="7"/>
  <c r="V1360" i="7"/>
  <c r="P1361" i="7"/>
  <c r="Q1361" i="7" s="1"/>
  <c r="U1361" i="7"/>
  <c r="V1361" i="7"/>
  <c r="P1362" i="7"/>
  <c r="Q1362" i="7" s="1"/>
  <c r="U1362" i="7"/>
  <c r="V1362" i="7"/>
  <c r="P1363" i="7"/>
  <c r="Q1363" i="7" s="1"/>
  <c r="U1363" i="7"/>
  <c r="V1363" i="7"/>
  <c r="P1364" i="7"/>
  <c r="Q1364" i="7" s="1"/>
  <c r="U1364" i="7"/>
  <c r="V1364" i="7"/>
  <c r="P1365" i="7"/>
  <c r="Q1365" i="7" s="1"/>
  <c r="U1365" i="7"/>
  <c r="V1365" i="7"/>
  <c r="P1366" i="7"/>
  <c r="Q1366" i="7" s="1"/>
  <c r="U1366" i="7"/>
  <c r="V1366" i="7"/>
  <c r="P1367" i="7"/>
  <c r="Q1367" i="7" s="1"/>
  <c r="U1367" i="7"/>
  <c r="V1367" i="7"/>
  <c r="P1368" i="7"/>
  <c r="Q1368" i="7" s="1"/>
  <c r="U1368" i="7"/>
  <c r="V1368" i="7"/>
  <c r="P1369" i="7"/>
  <c r="Q1369" i="7" s="1"/>
  <c r="U1369" i="7"/>
  <c r="V1369" i="7"/>
  <c r="P1370" i="7"/>
  <c r="Q1370" i="7" s="1"/>
  <c r="U1370" i="7"/>
  <c r="V1370" i="7"/>
  <c r="P1371" i="7"/>
  <c r="Q1371" i="7" s="1"/>
  <c r="U1371" i="7"/>
  <c r="V1371" i="7"/>
  <c r="P1372" i="7"/>
  <c r="Q1372" i="7" s="1"/>
  <c r="U1372" i="7"/>
  <c r="V1372" i="7"/>
  <c r="P1373" i="7"/>
  <c r="Q1373" i="7" s="1"/>
  <c r="U1373" i="7"/>
  <c r="V1373" i="7"/>
  <c r="P1374" i="7"/>
  <c r="Q1374" i="7" s="1"/>
  <c r="U1374" i="7"/>
  <c r="V1374" i="7"/>
  <c r="P1375" i="7"/>
  <c r="Q1375" i="7" s="1"/>
  <c r="U1375" i="7"/>
  <c r="V1375" i="7"/>
  <c r="P1376" i="7"/>
  <c r="Q1376" i="7" s="1"/>
  <c r="U1376" i="7"/>
  <c r="V1376" i="7"/>
  <c r="P1377" i="7"/>
  <c r="Q1377" i="7" s="1"/>
  <c r="U1377" i="7"/>
  <c r="V1377" i="7"/>
  <c r="P1378" i="7"/>
  <c r="Q1378" i="7" s="1"/>
  <c r="U1378" i="7"/>
  <c r="V1378" i="7"/>
  <c r="P1379" i="7"/>
  <c r="Q1379" i="7" s="1"/>
  <c r="U1379" i="7"/>
  <c r="V1379" i="7"/>
  <c r="P1380" i="7"/>
  <c r="Q1380" i="7" s="1"/>
  <c r="U1380" i="7"/>
  <c r="V1380" i="7"/>
  <c r="P1381" i="7"/>
  <c r="Q1381" i="7" s="1"/>
  <c r="U1381" i="7"/>
  <c r="V1381" i="7"/>
  <c r="P1382" i="7"/>
  <c r="Q1382" i="7" s="1"/>
  <c r="U1382" i="7"/>
  <c r="V1382" i="7"/>
  <c r="P1383" i="7"/>
  <c r="Q1383" i="7" s="1"/>
  <c r="U1383" i="7"/>
  <c r="V1383" i="7"/>
  <c r="P1384" i="7"/>
  <c r="Q1384" i="7" s="1"/>
  <c r="U1384" i="7"/>
  <c r="V1384" i="7"/>
  <c r="P1385" i="7"/>
  <c r="Q1385" i="7" s="1"/>
  <c r="U1385" i="7"/>
  <c r="V1385" i="7"/>
  <c r="P1386" i="7"/>
  <c r="Q1386" i="7" s="1"/>
  <c r="U1386" i="7"/>
  <c r="V1386" i="7"/>
  <c r="P1387" i="7"/>
  <c r="Q1387" i="7" s="1"/>
  <c r="U1387" i="7"/>
  <c r="V1387" i="7"/>
  <c r="P1388" i="7"/>
  <c r="Q1388" i="7" s="1"/>
  <c r="U1388" i="7"/>
  <c r="V1388" i="7"/>
  <c r="P1389" i="7"/>
  <c r="Q1389" i="7" s="1"/>
  <c r="U1389" i="7"/>
  <c r="V1389" i="7"/>
  <c r="P1390" i="7"/>
  <c r="Q1390" i="7" s="1"/>
  <c r="U1390" i="7"/>
  <c r="V1390" i="7"/>
  <c r="P1391" i="7"/>
  <c r="Q1391" i="7" s="1"/>
  <c r="U1391" i="7"/>
  <c r="V1391" i="7"/>
  <c r="P1392" i="7"/>
  <c r="Q1392" i="7" s="1"/>
  <c r="U1392" i="7"/>
  <c r="V1392" i="7"/>
  <c r="P1393" i="7"/>
  <c r="Q1393" i="7" s="1"/>
  <c r="U1393" i="7"/>
  <c r="V1393" i="7"/>
  <c r="P1394" i="7"/>
  <c r="Q1394" i="7" s="1"/>
  <c r="U1394" i="7"/>
  <c r="V1394" i="7"/>
  <c r="P1395" i="7"/>
  <c r="Q1395" i="7" s="1"/>
  <c r="U1395" i="7"/>
  <c r="V1395" i="7"/>
  <c r="P1396" i="7"/>
  <c r="Q1396" i="7" s="1"/>
  <c r="U1396" i="7"/>
  <c r="V1396" i="7"/>
  <c r="P1397" i="7"/>
  <c r="Q1397" i="7" s="1"/>
  <c r="U1397" i="7"/>
  <c r="V1397" i="7"/>
  <c r="P1398" i="7"/>
  <c r="Q1398" i="7" s="1"/>
  <c r="U1398" i="7"/>
  <c r="V1398" i="7"/>
  <c r="P1399" i="7"/>
  <c r="Q1399" i="7" s="1"/>
  <c r="U1399" i="7"/>
  <c r="V1399" i="7"/>
  <c r="P1400" i="7"/>
  <c r="Q1400" i="7" s="1"/>
  <c r="U1400" i="7"/>
  <c r="V1400" i="7"/>
  <c r="P1401" i="7"/>
  <c r="Q1401" i="7" s="1"/>
  <c r="U1401" i="7"/>
  <c r="V1401" i="7"/>
  <c r="P1402" i="7"/>
  <c r="Q1402" i="7" s="1"/>
  <c r="U1402" i="7"/>
  <c r="V1402" i="7"/>
  <c r="P1403" i="7"/>
  <c r="Q1403" i="7" s="1"/>
  <c r="U1403" i="7"/>
  <c r="V1403" i="7"/>
  <c r="P1404" i="7"/>
  <c r="Q1404" i="7" s="1"/>
  <c r="U1404" i="7"/>
  <c r="V1404" i="7"/>
  <c r="P1405" i="7"/>
  <c r="Q1405" i="7" s="1"/>
  <c r="U1405" i="7"/>
  <c r="V1405" i="7"/>
  <c r="P1406" i="7"/>
  <c r="Q1406" i="7" s="1"/>
  <c r="U1406" i="7"/>
  <c r="V1406" i="7"/>
  <c r="P1407" i="7"/>
  <c r="Q1407" i="7" s="1"/>
  <c r="U1407" i="7"/>
  <c r="V1407" i="7"/>
  <c r="P1408" i="7"/>
  <c r="Q1408" i="7" s="1"/>
  <c r="U1408" i="7"/>
  <c r="V1408" i="7"/>
  <c r="P1409" i="7"/>
  <c r="Q1409" i="7" s="1"/>
  <c r="U1409" i="7"/>
  <c r="V1409" i="7"/>
  <c r="P1410" i="7"/>
  <c r="Q1410" i="7" s="1"/>
  <c r="U1410" i="7"/>
  <c r="V1410" i="7"/>
  <c r="P1411" i="7"/>
  <c r="Q1411" i="7" s="1"/>
  <c r="U1411" i="7"/>
  <c r="V1411" i="7"/>
  <c r="P1412" i="7"/>
  <c r="Q1412" i="7" s="1"/>
  <c r="U1412" i="7"/>
  <c r="V1412" i="7"/>
  <c r="P1413" i="7"/>
  <c r="Q1413" i="7" s="1"/>
  <c r="U1413" i="7"/>
  <c r="V1413" i="7"/>
  <c r="P1414" i="7"/>
  <c r="Q1414" i="7" s="1"/>
  <c r="U1414" i="7"/>
  <c r="V1414" i="7"/>
  <c r="P1415" i="7"/>
  <c r="Q1415" i="7" s="1"/>
  <c r="U1415" i="7"/>
  <c r="V1415" i="7"/>
  <c r="P1416" i="7"/>
  <c r="Q1416" i="7" s="1"/>
  <c r="U1416" i="7"/>
  <c r="V1416" i="7"/>
  <c r="P1417" i="7"/>
  <c r="Q1417" i="7" s="1"/>
  <c r="U1417" i="7"/>
  <c r="V1417" i="7"/>
  <c r="P1418" i="7"/>
  <c r="Q1418" i="7" s="1"/>
  <c r="U1418" i="7"/>
  <c r="V1418" i="7"/>
  <c r="U957" i="7"/>
  <c r="V957" i="7"/>
  <c r="P957" i="7"/>
  <c r="Q957" i="7" s="1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957" i="7"/>
  <c r="K1207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1242" i="6"/>
  <c r="W1243" i="6"/>
  <c r="W1244" i="6"/>
  <c r="W1245" i="6"/>
  <c r="W1246" i="6"/>
  <c r="W1247" i="6"/>
  <c r="W1248" i="6"/>
  <c r="W1249" i="6"/>
  <c r="W1250" i="6"/>
  <c r="W1251" i="6"/>
  <c r="W1252" i="6"/>
  <c r="W1253" i="6"/>
  <c r="W1254" i="6"/>
  <c r="W1255" i="6"/>
  <c r="W1256" i="6"/>
  <c r="W1257" i="6"/>
  <c r="W1258" i="6"/>
  <c r="W1259" i="6"/>
  <c r="W1260" i="6"/>
  <c r="W1261" i="6"/>
  <c r="W1262" i="6"/>
  <c r="W1263" i="6"/>
  <c r="W1264" i="6"/>
  <c r="W1265" i="6"/>
  <c r="W1266" i="6"/>
  <c r="W1267" i="6"/>
  <c r="W1268" i="6"/>
  <c r="W1269" i="6"/>
  <c r="W1270" i="6"/>
  <c r="W1271" i="6"/>
  <c r="W1272" i="6"/>
  <c r="W1273" i="6"/>
  <c r="W1274" i="6"/>
  <c r="W1275" i="6"/>
  <c r="W1276" i="6"/>
  <c r="W1277" i="6"/>
  <c r="W1278" i="6"/>
  <c r="W1279" i="6"/>
  <c r="W1280" i="6"/>
  <c r="W1281" i="6"/>
  <c r="W1282" i="6"/>
  <c r="W1283" i="6"/>
  <c r="W1284" i="6"/>
  <c r="W1285" i="6"/>
  <c r="W1286" i="6"/>
  <c r="W1287" i="6"/>
  <c r="W1288" i="6"/>
  <c r="W1289" i="6"/>
  <c r="W1290" i="6"/>
  <c r="W1291" i="6"/>
  <c r="W1292" i="6"/>
  <c r="W1293" i="6"/>
  <c r="W1294" i="6"/>
  <c r="W1295" i="6"/>
  <c r="W1296" i="6"/>
  <c r="W1297" i="6"/>
  <c r="W1298" i="6"/>
  <c r="W1299" i="6"/>
  <c r="W1300" i="6"/>
  <c r="W1301" i="6"/>
  <c r="W1302" i="6"/>
  <c r="W1303" i="6"/>
  <c r="W1304" i="6"/>
  <c r="W1305" i="6"/>
  <c r="W1306" i="6"/>
  <c r="W1307" i="6"/>
  <c r="W1308" i="6"/>
  <c r="W1309" i="6"/>
  <c r="W1310" i="6"/>
  <c r="W1311" i="6"/>
  <c r="W1312" i="6"/>
  <c r="W1313" i="6"/>
  <c r="W1314" i="6"/>
  <c r="W1315" i="6"/>
  <c r="W1316" i="6"/>
  <c r="W1317" i="6"/>
  <c r="W1318" i="6"/>
  <c r="W1319" i="6"/>
  <c r="W1320" i="6"/>
  <c r="W1321" i="6"/>
  <c r="W1322" i="6"/>
  <c r="W1323" i="6"/>
  <c r="W1324" i="6"/>
  <c r="W1325" i="6"/>
  <c r="W1326" i="6"/>
  <c r="W1327" i="6"/>
  <c r="W1328" i="6"/>
  <c r="W1329" i="6"/>
  <c r="W1330" i="6"/>
  <c r="W1331" i="6"/>
  <c r="W1332" i="6"/>
  <c r="W1333" i="6"/>
  <c r="W1334" i="6"/>
  <c r="W1335" i="6"/>
  <c r="W1336" i="6"/>
  <c r="W1337" i="6"/>
  <c r="W1338" i="6"/>
  <c r="W1339" i="6"/>
  <c r="W1340" i="6"/>
  <c r="W1341" i="6"/>
  <c r="W1342" i="6"/>
  <c r="W1343" i="6"/>
  <c r="W1344" i="6"/>
  <c r="W1345" i="6"/>
  <c r="W1346" i="6"/>
  <c r="W1347" i="6"/>
  <c r="W1348" i="6"/>
  <c r="W1349" i="6"/>
  <c r="W1350" i="6"/>
  <c r="W1351" i="6"/>
  <c r="W1352" i="6"/>
  <c r="W1353" i="6"/>
  <c r="W1354" i="6"/>
  <c r="W1355" i="6"/>
  <c r="W1356" i="6"/>
  <c r="W1357" i="6"/>
  <c r="W1358" i="6"/>
  <c r="W1359" i="6"/>
  <c r="W1360" i="6"/>
  <c r="W1361" i="6"/>
  <c r="W1362" i="6"/>
  <c r="W1363" i="6"/>
  <c r="W1364" i="6"/>
  <c r="W1365" i="6"/>
  <c r="W1366" i="6"/>
  <c r="W1367" i="6"/>
  <c r="W1368" i="6"/>
  <c r="W1369" i="6"/>
  <c r="W1370" i="6"/>
  <c r="W1371" i="6"/>
  <c r="W1372" i="6"/>
  <c r="W1373" i="6"/>
  <c r="W1374" i="6"/>
  <c r="W1375" i="6"/>
  <c r="W1376" i="6"/>
  <c r="W1377" i="6"/>
  <c r="W1378" i="6"/>
  <c r="W1379" i="6"/>
  <c r="W1380" i="6"/>
  <c r="W1381" i="6"/>
  <c r="W1382" i="6"/>
  <c r="W1383" i="6"/>
  <c r="W1384" i="6"/>
  <c r="W1385" i="6"/>
  <c r="W1386" i="6"/>
  <c r="W1387" i="6"/>
  <c r="W1388" i="6"/>
  <c r="W1389" i="6"/>
  <c r="W1390" i="6"/>
  <c r="W1391" i="6"/>
  <c r="W1392" i="6"/>
  <c r="W1393" i="6"/>
  <c r="W1394" i="6"/>
  <c r="W1395" i="6"/>
  <c r="W1396" i="6"/>
  <c r="W1397" i="6"/>
  <c r="W1398" i="6"/>
  <c r="W1399" i="6"/>
  <c r="W1400" i="6"/>
  <c r="W1401" i="6"/>
  <c r="W1402" i="6"/>
  <c r="W1403" i="6"/>
  <c r="W1404" i="6"/>
  <c r="W1405" i="6"/>
  <c r="W1406" i="6"/>
  <c r="W1407" i="6"/>
  <c r="W1408" i="6"/>
  <c r="W1409" i="6"/>
  <c r="W1410" i="6"/>
  <c r="W1411" i="6"/>
  <c r="W1412" i="6"/>
  <c r="W1413" i="6"/>
  <c r="W1414" i="6"/>
  <c r="W1415" i="6"/>
  <c r="W1416" i="6"/>
  <c r="W1417" i="6"/>
  <c r="W1418" i="6"/>
  <c r="W1419" i="6"/>
  <c r="W1420" i="6"/>
  <c r="W1421" i="6"/>
  <c r="W1422" i="6"/>
  <c r="W1423" i="6"/>
  <c r="W1424" i="6"/>
  <c r="W1425" i="6"/>
  <c r="W1426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1444" i="6"/>
  <c r="W1445" i="6"/>
  <c r="W1446" i="6"/>
  <c r="W1447" i="6"/>
  <c r="W1448" i="6"/>
  <c r="W1449" i="6"/>
  <c r="W1450" i="6"/>
  <c r="W1451" i="6"/>
  <c r="W1452" i="6"/>
  <c r="W1453" i="6"/>
  <c r="W1454" i="6"/>
  <c r="W1455" i="6"/>
  <c r="W1456" i="6"/>
  <c r="W1457" i="6"/>
  <c r="W1458" i="6"/>
  <c r="W1459" i="6"/>
  <c r="W1460" i="6"/>
  <c r="W1461" i="6"/>
  <c r="W1462" i="6"/>
  <c r="W1463" i="6"/>
  <c r="W1464" i="6"/>
  <c r="W1465" i="6"/>
  <c r="W1466" i="6"/>
  <c r="W1467" i="6"/>
  <c r="W1468" i="6"/>
  <c r="W1469" i="6"/>
  <c r="W1470" i="6"/>
  <c r="W1471" i="6"/>
  <c r="W1472" i="6"/>
  <c r="W1473" i="6"/>
  <c r="W1474" i="6"/>
  <c r="W1475" i="6"/>
  <c r="W1476" i="6"/>
  <c r="W1477" i="6"/>
  <c r="W1478" i="6"/>
  <c r="W1479" i="6"/>
  <c r="W1480" i="6"/>
  <c r="W1481" i="6"/>
  <c r="W1482" i="6"/>
  <c r="W1483" i="6"/>
  <c r="W1484" i="6"/>
  <c r="W1485" i="6"/>
  <c r="W1486" i="6"/>
  <c r="W1487" i="6"/>
  <c r="W1488" i="6"/>
  <c r="W1489" i="6"/>
  <c r="W1490" i="6"/>
  <c r="W1491" i="6"/>
  <c r="W1492" i="6"/>
  <c r="W1493" i="6"/>
  <c r="W1494" i="6"/>
  <c r="W1495" i="6"/>
  <c r="W1496" i="6"/>
  <c r="W1497" i="6"/>
  <c r="W1498" i="6"/>
  <c r="W1499" i="6"/>
  <c r="W1500" i="6"/>
  <c r="W1501" i="6"/>
  <c r="W1502" i="6"/>
  <c r="W1503" i="6"/>
  <c r="W1504" i="6"/>
  <c r="W1505" i="6"/>
  <c r="W1506" i="6"/>
  <c r="W1507" i="6"/>
  <c r="W1508" i="6"/>
  <c r="W1509" i="6"/>
  <c r="W1510" i="6"/>
  <c r="W1511" i="6"/>
  <c r="W1512" i="6"/>
  <c r="W1513" i="6"/>
  <c r="W1514" i="6"/>
  <c r="W1515" i="6"/>
  <c r="W1516" i="6"/>
  <c r="W1517" i="6"/>
  <c r="W1518" i="6"/>
  <c r="W1519" i="6"/>
  <c r="W1520" i="6"/>
  <c r="W1521" i="6"/>
  <c r="W1522" i="6"/>
  <c r="W1523" i="6"/>
  <c r="W1524" i="6"/>
  <c r="W1525" i="6"/>
  <c r="W1526" i="6"/>
  <c r="W1527" i="6"/>
  <c r="W1528" i="6"/>
  <c r="W1529" i="6"/>
  <c r="W1530" i="6"/>
  <c r="W1531" i="6"/>
  <c r="W1532" i="6"/>
  <c r="W1533" i="6"/>
  <c r="W1534" i="6"/>
  <c r="W1535" i="6"/>
  <c r="W1536" i="6"/>
  <c r="W1537" i="6"/>
  <c r="W1538" i="6"/>
  <c r="W1539" i="6"/>
  <c r="W1540" i="6"/>
  <c r="W1541" i="6"/>
  <c r="W1542" i="6"/>
  <c r="W1543" i="6"/>
  <c r="W1544" i="6"/>
  <c r="W1545" i="6"/>
  <c r="W1546" i="6"/>
  <c r="W1547" i="6"/>
  <c r="W1548" i="6"/>
  <c r="W1549" i="6"/>
  <c r="W1550" i="6"/>
  <c r="W1551" i="6"/>
  <c r="W1552" i="6"/>
  <c r="W1553" i="6"/>
  <c r="W1554" i="6"/>
  <c r="W1555" i="6"/>
  <c r="W1556" i="6"/>
  <c r="W1557" i="6"/>
  <c r="W1558" i="6"/>
  <c r="W1559" i="6"/>
  <c r="W1560" i="6"/>
  <c r="W1561" i="6"/>
  <c r="W1562" i="6"/>
  <c r="W1563" i="6"/>
  <c r="W1564" i="6"/>
  <c r="W1565" i="6"/>
  <c r="W1566" i="6"/>
  <c r="W1567" i="6"/>
  <c r="W1568" i="6"/>
  <c r="W1569" i="6"/>
  <c r="W1570" i="6"/>
  <c r="W1571" i="6"/>
  <c r="W1572" i="6"/>
  <c r="W1573" i="6"/>
  <c r="W1574" i="6"/>
  <c r="W1575" i="6"/>
  <c r="W1576" i="6"/>
  <c r="W1577" i="6"/>
  <c r="W1578" i="6"/>
  <c r="W1579" i="6"/>
  <c r="W1580" i="6"/>
  <c r="W1581" i="6"/>
  <c r="W1582" i="6"/>
  <c r="W1583" i="6"/>
  <c r="W1081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081" i="6"/>
  <c r="W1094" i="7" l="1"/>
  <c r="AR248" i="4"/>
  <c r="BC245" i="4"/>
  <c r="AR240" i="4"/>
  <c r="BC248" i="4"/>
  <c r="BC240" i="4"/>
  <c r="BC247" i="4"/>
  <c r="AR246" i="4"/>
  <c r="BC239" i="4"/>
  <c r="AR238" i="4"/>
  <c r="AR260" i="4"/>
  <c r="AR256" i="4"/>
  <c r="AR252" i="4"/>
  <c r="BC208" i="4"/>
  <c r="AR261" i="4"/>
  <c r="AR257" i="4"/>
  <c r="BC224" i="4"/>
  <c r="AR216" i="4"/>
  <c r="AR200" i="4"/>
  <c r="AR196" i="4"/>
  <c r="BC192" i="4"/>
  <c r="AR188" i="4"/>
  <c r="BC216" i="4"/>
  <c r="AR245" i="4"/>
  <c r="AR241" i="4"/>
  <c r="AR229" i="4"/>
  <c r="AR225" i="4"/>
  <c r="AR213" i="4"/>
  <c r="AR209" i="4"/>
  <c r="AR197" i="4"/>
  <c r="AR193" i="4"/>
  <c r="BC200" i="4"/>
  <c r="AR232" i="4"/>
  <c r="AR228" i="4"/>
  <c r="AR220" i="4"/>
  <c r="BC215" i="4"/>
  <c r="AR214" i="4"/>
  <c r="BC207" i="4"/>
  <c r="AR206" i="4"/>
  <c r="BC232" i="4"/>
  <c r="BC213" i="4"/>
  <c r="AR208" i="4"/>
  <c r="BC256" i="4"/>
  <c r="BC228" i="4"/>
  <c r="BC196" i="4"/>
  <c r="BC183" i="4"/>
  <c r="BC255" i="4"/>
  <c r="AR254" i="4"/>
  <c r="AR244" i="4"/>
  <c r="AR236" i="4"/>
  <c r="BC231" i="4"/>
  <c r="AR230" i="4"/>
  <c r="BC223" i="4"/>
  <c r="AR222" i="4"/>
  <c r="AR212" i="4"/>
  <c r="AR204" i="4"/>
  <c r="BC199" i="4"/>
  <c r="AR198" i="4"/>
  <c r="BC191" i="4"/>
  <c r="AR190" i="4"/>
  <c r="BC261" i="4"/>
  <c r="BC244" i="4"/>
  <c r="BC229" i="4"/>
  <c r="AR224" i="4"/>
  <c r="BC212" i="4"/>
  <c r="AR192" i="4"/>
  <c r="BC252" i="4"/>
  <c r="BC236" i="4"/>
  <c r="BC220" i="4"/>
  <c r="BC204" i="4"/>
  <c r="BC197" i="4"/>
  <c r="BC188" i="4"/>
  <c r="AR253" i="4"/>
  <c r="AR249" i="4"/>
  <c r="AR237" i="4"/>
  <c r="AR233" i="4"/>
  <c r="AR221" i="4"/>
  <c r="AR217" i="4"/>
  <c r="AR205" i="4"/>
  <c r="AR201" i="4"/>
  <c r="AR189" i="4"/>
  <c r="AR184" i="4"/>
  <c r="BC260" i="4"/>
  <c r="BC253" i="4"/>
  <c r="BC237" i="4"/>
  <c r="BC221" i="4"/>
  <c r="BC205" i="4"/>
  <c r="BC189" i="4"/>
  <c r="BC259" i="4"/>
  <c r="AR258" i="4"/>
  <c r="BC251" i="4"/>
  <c r="AR250" i="4"/>
  <c r="BC243" i="4"/>
  <c r="AR242" i="4"/>
  <c r="BC235" i="4"/>
  <c r="AR234" i="4"/>
  <c r="BC227" i="4"/>
  <c r="AR226" i="4"/>
  <c r="BC219" i="4"/>
  <c r="AR218" i="4"/>
  <c r="BC211" i="4"/>
  <c r="AR210" i="4"/>
  <c r="BC203" i="4"/>
  <c r="AR202" i="4"/>
  <c r="BC195" i="4"/>
  <c r="AR194" i="4"/>
  <c r="BC187" i="4"/>
  <c r="AR186" i="4"/>
  <c r="AR183" i="4"/>
  <c r="BC257" i="4"/>
  <c r="BC249" i="4"/>
  <c r="BC241" i="4"/>
  <c r="BC233" i="4"/>
  <c r="BC225" i="4"/>
  <c r="BC217" i="4"/>
  <c r="BC209" i="4"/>
  <c r="BC201" i="4"/>
  <c r="BC193" i="4"/>
  <c r="BC184" i="4"/>
  <c r="BC258" i="4"/>
  <c r="BC254" i="4"/>
  <c r="BC250" i="4"/>
  <c r="BC246" i="4"/>
  <c r="BC242" i="4"/>
  <c r="BC238" i="4"/>
  <c r="BC234" i="4"/>
  <c r="BC230" i="4"/>
  <c r="BC226" i="4"/>
  <c r="BC222" i="4"/>
  <c r="BC218" i="4"/>
  <c r="BC214" i="4"/>
  <c r="BC210" i="4"/>
  <c r="BC206" i="4"/>
  <c r="BC202" i="4"/>
  <c r="BC198" i="4"/>
  <c r="BC194" i="4"/>
  <c r="BC190" i="4"/>
  <c r="BC186" i="4"/>
  <c r="AR259" i="4"/>
  <c r="AR255" i="4"/>
  <c r="AR251" i="4"/>
  <c r="AR247" i="4"/>
  <c r="AR243" i="4"/>
  <c r="AR239" i="4"/>
  <c r="AR235" i="4"/>
  <c r="AR231" i="4"/>
  <c r="AR227" i="4"/>
  <c r="AR223" i="4"/>
  <c r="AR219" i="4"/>
  <c r="AR215" i="4"/>
  <c r="AR211" i="4"/>
  <c r="AR207" i="4"/>
  <c r="AR203" i="4"/>
  <c r="AR199" i="4"/>
  <c r="AR195" i="4"/>
  <c r="AR191" i="4"/>
  <c r="AR187" i="4"/>
  <c r="W1400" i="7"/>
  <c r="W1388" i="7"/>
  <c r="W1116" i="7"/>
  <c r="W1149" i="7"/>
  <c r="W1167" i="7"/>
  <c r="W1151" i="7"/>
  <c r="W1292" i="7"/>
  <c r="W1288" i="7"/>
  <c r="W1284" i="7"/>
  <c r="W1268" i="7"/>
  <c r="W1260" i="7"/>
  <c r="W1256" i="7"/>
  <c r="W1252" i="7"/>
  <c r="W1240" i="7"/>
  <c r="W977" i="7"/>
  <c r="W969" i="7"/>
  <c r="W965" i="7"/>
  <c r="W1111" i="7"/>
  <c r="W1147" i="7"/>
  <c r="W1119" i="7"/>
  <c r="W1028" i="7"/>
  <c r="W1004" i="7"/>
  <c r="W992" i="7"/>
  <c r="W988" i="7"/>
  <c r="W980" i="7"/>
  <c r="W1145" i="7"/>
  <c r="W1140" i="7"/>
  <c r="W1132" i="7"/>
  <c r="W1118" i="7"/>
  <c r="W1113" i="7"/>
  <c r="W1088" i="7"/>
  <c r="W1044" i="7"/>
  <c r="W1023" i="7"/>
  <c r="W983" i="7"/>
  <c r="W1419" i="7"/>
  <c r="W1363" i="7"/>
  <c r="W1403" i="7"/>
  <c r="W1383" i="7"/>
  <c r="W1375" i="7"/>
  <c r="W1371" i="7"/>
  <c r="W1318" i="7"/>
  <c r="W1314" i="7"/>
  <c r="W1339" i="7"/>
  <c r="W1331" i="7"/>
  <c r="W1295" i="7"/>
  <c r="W1275" i="7"/>
  <c r="W1231" i="7"/>
  <c r="W1107" i="7"/>
  <c r="W1095" i="7"/>
  <c r="W1051" i="7"/>
  <c r="W1205" i="7"/>
  <c r="W1394" i="7"/>
  <c r="W1191" i="7"/>
  <c r="W1009" i="7"/>
  <c r="W981" i="7"/>
  <c r="W1364" i="7"/>
  <c r="W1299" i="7"/>
  <c r="W1211" i="7"/>
  <c r="W1207" i="7"/>
  <c r="W1203" i="7"/>
  <c r="W1087" i="7"/>
  <c r="W1012" i="7"/>
  <c r="W1089" i="7"/>
  <c r="W1065" i="7"/>
  <c r="W957" i="7"/>
  <c r="W1412" i="7"/>
  <c r="W1350" i="7"/>
  <c r="W1346" i="7"/>
  <c r="W1338" i="7"/>
  <c r="W1259" i="7"/>
  <c r="W1255" i="7"/>
  <c r="W1251" i="7"/>
  <c r="W1247" i="7"/>
  <c r="W1239" i="7"/>
  <c r="W1230" i="7"/>
  <c r="W1226" i="7"/>
  <c r="W1222" i="7"/>
  <c r="W1197" i="7"/>
  <c r="W1186" i="7"/>
  <c r="W1176" i="7"/>
  <c r="W1172" i="7"/>
  <c r="W1164" i="7"/>
  <c r="W1156" i="7"/>
  <c r="W1084" i="7"/>
  <c r="W1080" i="7"/>
  <c r="W1071" i="7"/>
  <c r="W1068" i="7"/>
  <c r="W1067" i="7"/>
  <c r="W1064" i="7"/>
  <c r="W1047" i="7"/>
  <c r="W1041" i="7"/>
  <c r="W1032" i="7"/>
  <c r="W1015" i="7"/>
  <c r="W1001" i="7"/>
  <c r="W998" i="7"/>
  <c r="W976" i="7"/>
  <c r="W972" i="7"/>
  <c r="W968" i="7"/>
  <c r="W960" i="7"/>
  <c r="W1415" i="7"/>
  <c r="W1399" i="7"/>
  <c r="W1382" i="7"/>
  <c r="W1374" i="7"/>
  <c r="W1304" i="7"/>
  <c r="W1300" i="7"/>
  <c r="W1291" i="7"/>
  <c r="W1287" i="7"/>
  <c r="W1244" i="7"/>
  <c r="W1199" i="7"/>
  <c r="W1189" i="7"/>
  <c r="W1070" i="7"/>
  <c r="W1066" i="7"/>
  <c r="W1060" i="7"/>
  <c r="W1058" i="7"/>
  <c r="W1052" i="7"/>
  <c r="W1039" i="7"/>
  <c r="W1022" i="7"/>
  <c r="W1014" i="7"/>
  <c r="W996" i="7"/>
  <c r="W991" i="7"/>
  <c r="W1410" i="7"/>
  <c r="W1396" i="7"/>
  <c r="W1384" i="7"/>
  <c r="W1348" i="7"/>
  <c r="W1340" i="7"/>
  <c r="W1332" i="7"/>
  <c r="W1311" i="7"/>
  <c r="W1276" i="7"/>
  <c r="W1272" i="7"/>
  <c r="W1195" i="7"/>
  <c r="W1187" i="7"/>
  <c r="W1159" i="7"/>
  <c r="W1148" i="7"/>
  <c r="W1092" i="7"/>
  <c r="W1072" i="7"/>
  <c r="W1007" i="7"/>
  <c r="W993" i="7"/>
  <c r="W1416" i="7"/>
  <c r="W1236" i="7"/>
  <c r="W1200" i="7"/>
  <c r="W1160" i="7"/>
  <c r="W1143" i="7"/>
  <c r="W1121" i="7"/>
  <c r="W1097" i="7"/>
  <c r="W1073" i="7"/>
  <c r="W1056" i="7"/>
  <c r="W1046" i="7"/>
  <c r="W1035" i="7"/>
  <c r="W1008" i="7"/>
  <c r="W999" i="7"/>
  <c r="W973" i="7"/>
  <c r="W1417" i="7"/>
  <c r="W1391" i="7"/>
  <c r="W1387" i="7"/>
  <c r="W1370" i="7"/>
  <c r="W1315" i="7"/>
  <c r="W1283" i="7"/>
  <c r="W1279" i="7"/>
  <c r="W1257" i="7"/>
  <c r="W1243" i="7"/>
  <c r="W1227" i="7"/>
  <c r="W1223" i="7"/>
  <c r="W1219" i="7"/>
  <c r="W1216" i="7"/>
  <c r="W1212" i="7"/>
  <c r="W1208" i="7"/>
  <c r="W1204" i="7"/>
  <c r="W1193" i="7"/>
  <c r="W1171" i="7"/>
  <c r="W1144" i="7"/>
  <c r="W1128" i="7"/>
  <c r="W1104" i="7"/>
  <c r="W1079" i="7"/>
  <c r="W1063" i="7"/>
  <c r="W1062" i="7"/>
  <c r="W1048" i="7"/>
  <c r="W1038" i="7"/>
  <c r="W1025" i="7"/>
  <c r="W1006" i="7"/>
  <c r="W1000" i="7"/>
  <c r="W984" i="7"/>
  <c r="W974" i="7"/>
  <c r="W970" i="7"/>
  <c r="W1411" i="7"/>
  <c r="W1408" i="7"/>
  <c r="W1404" i="7"/>
  <c r="W1395" i="7"/>
  <c r="W1392" i="7"/>
  <c r="W1379" i="7"/>
  <c r="W1376" i="7"/>
  <c r="W1373" i="7"/>
  <c r="W1372" i="7"/>
  <c r="W1365" i="7"/>
  <c r="W1359" i="7"/>
  <c r="W1354" i="7"/>
  <c r="W1347" i="7"/>
  <c r="W1342" i="7"/>
  <c r="W1317" i="7"/>
  <c r="W1316" i="7"/>
  <c r="W1310" i="7"/>
  <c r="W1307" i="7"/>
  <c r="W1306" i="7"/>
  <c r="W1296" i="7"/>
  <c r="W1289" i="7"/>
  <c r="W1273" i="7"/>
  <c r="W1271" i="7"/>
  <c r="W1270" i="7"/>
  <c r="W1413" i="7"/>
  <c r="W1389" i="7"/>
  <c r="W1360" i="7"/>
  <c r="W1335" i="7"/>
  <c r="W1324" i="7"/>
  <c r="W1308" i="7"/>
  <c r="W1263" i="7"/>
  <c r="W1261" i="7"/>
  <c r="W1319" i="7"/>
  <c r="W1303" i="7"/>
  <c r="W1301" i="7"/>
  <c r="W1293" i="7"/>
  <c r="W1285" i="7"/>
  <c r="W1280" i="7"/>
  <c r="W1277" i="7"/>
  <c r="W1267" i="7"/>
  <c r="W1264" i="7"/>
  <c r="W1253" i="7"/>
  <c r="W1245" i="7"/>
  <c r="W1228" i="7"/>
  <c r="W1220" i="7"/>
  <c r="W1192" i="7"/>
  <c r="W1183" i="7"/>
  <c r="W1182" i="7"/>
  <c r="W1168" i="7"/>
  <c r="W1163" i="7"/>
  <c r="W1162" i="7"/>
  <c r="W1157" i="7"/>
  <c r="W1131" i="7"/>
  <c r="W1130" i="7"/>
  <c r="W1124" i="7"/>
  <c r="W1122" i="7"/>
  <c r="W1120" i="7"/>
  <c r="W1112" i="7"/>
  <c r="W1103" i="7"/>
  <c r="W1101" i="7"/>
  <c r="W1086" i="7"/>
  <c r="W1081" i="7"/>
  <c r="W1076" i="7"/>
  <c r="W1075" i="7"/>
  <c r="W1055" i="7"/>
  <c r="W1053" i="7"/>
  <c r="W1040" i="7"/>
  <c r="W1031" i="7"/>
  <c r="W1026" i="7"/>
  <c r="W1020" i="7"/>
  <c r="W1017" i="7"/>
  <c r="W982" i="7"/>
  <c r="W964" i="7"/>
  <c r="W961" i="7"/>
  <c r="W1248" i="7"/>
  <c r="W1241" i="7"/>
  <c r="W1237" i="7"/>
  <c r="W1235" i="7"/>
  <c r="W1234" i="7"/>
  <c r="W1224" i="7"/>
  <c r="W1215" i="7"/>
  <c r="W1213" i="7"/>
  <c r="W1209" i="7"/>
  <c r="W1196" i="7"/>
  <c r="W1188" i="7"/>
  <c r="W1179" i="7"/>
  <c r="W1178" i="7"/>
  <c r="W1175" i="7"/>
  <c r="W1173" i="7"/>
  <c r="W1165" i="7"/>
  <c r="W1161" i="7"/>
  <c r="W1155" i="7"/>
  <c r="W1152" i="7"/>
  <c r="W1142" i="7"/>
  <c r="W1139" i="7"/>
  <c r="W1136" i="7"/>
  <c r="W1134" i="7"/>
  <c r="W1127" i="7"/>
  <c r="W1125" i="7"/>
  <c r="W1105" i="7"/>
  <c r="W1100" i="7"/>
  <c r="W1098" i="7"/>
  <c r="W1096" i="7"/>
  <c r="W1078" i="7"/>
  <c r="W1074" i="7"/>
  <c r="W1057" i="7"/>
  <c r="W1033" i="7"/>
  <c r="W1024" i="7"/>
  <c r="W990" i="7"/>
  <c r="W985" i="7"/>
  <c r="W967" i="7"/>
  <c r="W1401" i="7"/>
  <c r="W1397" i="7"/>
  <c r="W1367" i="7"/>
  <c r="W1356" i="7"/>
  <c r="W1349" i="7"/>
  <c r="W1341" i="7"/>
  <c r="W1327" i="7"/>
  <c r="W1407" i="7"/>
  <c r="W1405" i="7"/>
  <c r="W1385" i="7"/>
  <c r="W1381" i="7"/>
  <c r="W1377" i="7"/>
  <c r="W1351" i="7"/>
  <c r="W1343" i="7"/>
  <c r="W1333" i="7"/>
  <c r="W1328" i="7"/>
  <c r="W1322" i="7"/>
  <c r="W1406" i="7"/>
  <c r="W1390" i="7"/>
  <c r="W1302" i="7"/>
  <c r="W1266" i="7"/>
  <c r="W1262" i="7"/>
  <c r="W1258" i="7"/>
  <c r="W1254" i="7"/>
  <c r="W1218" i="7"/>
  <c r="W1214" i="7"/>
  <c r="W1210" i="7"/>
  <c r="W1174" i="7"/>
  <c r="W1170" i="7"/>
  <c r="W1138" i="7"/>
  <c r="W1115" i="7"/>
  <c r="W1109" i="7"/>
  <c r="W1091" i="7"/>
  <c r="W1077" i="7"/>
  <c r="W1069" i="7"/>
  <c r="W1037" i="7"/>
  <c r="W1011" i="7"/>
  <c r="W1003" i="7"/>
  <c r="W995" i="7"/>
  <c r="W959" i="7"/>
  <c r="W1418" i="7"/>
  <c r="W1402" i="7"/>
  <c r="W1386" i="7"/>
  <c r="W1358" i="7"/>
  <c r="W1326" i="7"/>
  <c r="W1298" i="7"/>
  <c r="W1294" i="7"/>
  <c r="W1290" i="7"/>
  <c r="W1286" i="7"/>
  <c r="W1250" i="7"/>
  <c r="W1246" i="7"/>
  <c r="W1242" i="7"/>
  <c r="W1206" i="7"/>
  <c r="W1166" i="7"/>
  <c r="W1158" i="7"/>
  <c r="W1117" i="7"/>
  <c r="W1093" i="7"/>
  <c r="W1027" i="7"/>
  <c r="W1013" i="7"/>
  <c r="W1005" i="7"/>
  <c r="W997" i="7"/>
  <c r="W963" i="7"/>
  <c r="W1414" i="7"/>
  <c r="W1409" i="7"/>
  <c r="W1398" i="7"/>
  <c r="W1393" i="7"/>
  <c r="W1380" i="7"/>
  <c r="W1378" i="7"/>
  <c r="W1366" i="7"/>
  <c r="W1362" i="7"/>
  <c r="W1355" i="7"/>
  <c r="W1352" i="7"/>
  <c r="W1344" i="7"/>
  <c r="W1334" i="7"/>
  <c r="W1330" i="7"/>
  <c r="W1323" i="7"/>
  <c r="W1320" i="7"/>
  <c r="W1312" i="7"/>
  <c r="W1309" i="7"/>
  <c r="W1305" i="7"/>
  <c r="W1282" i="7"/>
  <c r="W1278" i="7"/>
  <c r="W1274" i="7"/>
  <c r="W1269" i="7"/>
  <c r="W1238" i="7"/>
  <c r="W1232" i="7"/>
  <c r="W1229" i="7"/>
  <c r="W1225" i="7"/>
  <c r="W1221" i="7"/>
  <c r="W1202" i="7"/>
  <c r="W1198" i="7"/>
  <c r="W1194" i="7"/>
  <c r="W1190" i="7"/>
  <c r="W1184" i="7"/>
  <c r="W1181" i="7"/>
  <c r="W1180" i="7"/>
  <c r="W1135" i="7"/>
  <c r="W1133" i="7"/>
  <c r="W1129" i="7"/>
  <c r="W1126" i="7"/>
  <c r="W1123" i="7"/>
  <c r="W1108" i="7"/>
  <c r="W1106" i="7"/>
  <c r="W1102" i="7"/>
  <c r="W1099" i="7"/>
  <c r="W1090" i="7"/>
  <c r="W1036" i="7"/>
  <c r="W1034" i="7"/>
  <c r="W1030" i="7"/>
  <c r="W1029" i="7"/>
  <c r="W1016" i="7"/>
  <c r="W1010" i="7"/>
  <c r="W1002" i="7"/>
  <c r="W994" i="7"/>
  <c r="W1177" i="7"/>
  <c r="W1154" i="7"/>
  <c r="W1150" i="7"/>
  <c r="W1146" i="7"/>
  <c r="W1141" i="7"/>
  <c r="W1085" i="7"/>
  <c r="W1083" i="7"/>
  <c r="W1061" i="7"/>
  <c r="W1059" i="7"/>
  <c r="W1054" i="7"/>
  <c r="W1049" i="7"/>
  <c r="W1045" i="7"/>
  <c r="W1043" i="7"/>
  <c r="W1021" i="7"/>
  <c r="W1019" i="7"/>
  <c r="W989" i="7"/>
  <c r="W987" i="7"/>
  <c r="W979" i="7"/>
  <c r="W975" i="7"/>
  <c r="W971" i="7"/>
  <c r="W966" i="7"/>
  <c r="W1368" i="7"/>
  <c r="W1357" i="7"/>
  <c r="W1336" i="7"/>
  <c r="W1325" i="7"/>
  <c r="W1042" i="7"/>
  <c r="W1369" i="7"/>
  <c r="W1361" i="7"/>
  <c r="W1353" i="7"/>
  <c r="W1345" i="7"/>
  <c r="W1337" i="7"/>
  <c r="W1329" i="7"/>
  <c r="W1321" i="7"/>
  <c r="W1313" i="7"/>
  <c r="W1297" i="7"/>
  <c r="W1281" i="7"/>
  <c r="W1265" i="7"/>
  <c r="W1249" i="7"/>
  <c r="W1233" i="7"/>
  <c r="W1217" i="7"/>
  <c r="W1201" i="7"/>
  <c r="W1185" i="7"/>
  <c r="W1169" i="7"/>
  <c r="W1153" i="7"/>
  <c r="W1137" i="7"/>
  <c r="W1114" i="7"/>
  <c r="W1082" i="7"/>
  <c r="W1050" i="7"/>
  <c r="W1018" i="7"/>
  <c r="W986" i="7"/>
  <c r="W958" i="7"/>
  <c r="W978" i="7"/>
  <c r="W962" i="7"/>
  <c r="AI15" i="4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" i="8"/>
  <c r="Q11" i="8"/>
  <c r="Q12" i="8"/>
  <c r="Q13" i="8"/>
  <c r="Q14" i="8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186" i="5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Q88" i="4" l="1"/>
  <c r="AV88" i="4"/>
  <c r="AW88" i="4" s="1"/>
  <c r="BA88" i="4"/>
  <c r="BB88" i="4"/>
  <c r="AQ89" i="4"/>
  <c r="AV89" i="4"/>
  <c r="AW89" i="4" s="1"/>
  <c r="BA89" i="4"/>
  <c r="BB89" i="4"/>
  <c r="AQ90" i="4"/>
  <c r="AV90" i="4"/>
  <c r="AW90" i="4" s="1"/>
  <c r="BA90" i="4"/>
  <c r="BB90" i="4"/>
  <c r="AQ91" i="4"/>
  <c r="AV91" i="4"/>
  <c r="AW91" i="4" s="1"/>
  <c r="BA91" i="4"/>
  <c r="BB91" i="4"/>
  <c r="AQ92" i="4"/>
  <c r="AV92" i="4"/>
  <c r="AW92" i="4" s="1"/>
  <c r="BA92" i="4"/>
  <c r="BB92" i="4"/>
  <c r="AQ93" i="4"/>
  <c r="AV93" i="4"/>
  <c r="AW93" i="4" s="1"/>
  <c r="BA93" i="4"/>
  <c r="BB93" i="4"/>
  <c r="AQ94" i="4"/>
  <c r="AV94" i="4"/>
  <c r="AW94" i="4" s="1"/>
  <c r="BA94" i="4"/>
  <c r="BB94" i="4"/>
  <c r="AQ95" i="4"/>
  <c r="AV95" i="4"/>
  <c r="AW95" i="4" s="1"/>
  <c r="BA95" i="4"/>
  <c r="BB95" i="4"/>
  <c r="AQ96" i="4"/>
  <c r="AV96" i="4"/>
  <c r="AW96" i="4" s="1"/>
  <c r="BA96" i="4"/>
  <c r="BB96" i="4"/>
  <c r="AQ97" i="4"/>
  <c r="AV97" i="4"/>
  <c r="AW97" i="4" s="1"/>
  <c r="BA97" i="4"/>
  <c r="BB97" i="4"/>
  <c r="AQ98" i="4"/>
  <c r="AV98" i="4"/>
  <c r="AW98" i="4" s="1"/>
  <c r="BA98" i="4"/>
  <c r="BB98" i="4"/>
  <c r="AQ99" i="4"/>
  <c r="AV99" i="4"/>
  <c r="AW99" i="4" s="1"/>
  <c r="BA99" i="4"/>
  <c r="BB99" i="4"/>
  <c r="AQ100" i="4"/>
  <c r="AV100" i="4"/>
  <c r="AW100" i="4" s="1"/>
  <c r="BA100" i="4"/>
  <c r="BB100" i="4"/>
  <c r="AQ101" i="4"/>
  <c r="AV101" i="4"/>
  <c r="AW101" i="4" s="1"/>
  <c r="BA101" i="4"/>
  <c r="BB101" i="4"/>
  <c r="AQ102" i="4"/>
  <c r="AV102" i="4"/>
  <c r="AW102" i="4" s="1"/>
  <c r="BA102" i="4"/>
  <c r="BB102" i="4"/>
  <c r="AQ103" i="4"/>
  <c r="AV103" i="4"/>
  <c r="AW103" i="4" s="1"/>
  <c r="BA103" i="4"/>
  <c r="BB103" i="4"/>
  <c r="AQ104" i="4"/>
  <c r="AV104" i="4"/>
  <c r="AW104" i="4" s="1"/>
  <c r="BA104" i="4"/>
  <c r="BB104" i="4"/>
  <c r="AQ105" i="4"/>
  <c r="AV105" i="4"/>
  <c r="AW105" i="4" s="1"/>
  <c r="BA105" i="4"/>
  <c r="BB105" i="4"/>
  <c r="AQ106" i="4"/>
  <c r="AV106" i="4"/>
  <c r="AW106" i="4" s="1"/>
  <c r="BA106" i="4"/>
  <c r="BB106" i="4"/>
  <c r="AQ107" i="4"/>
  <c r="AV107" i="4"/>
  <c r="AW107" i="4" s="1"/>
  <c r="BA107" i="4"/>
  <c r="BB107" i="4"/>
  <c r="AQ108" i="4"/>
  <c r="AV108" i="4"/>
  <c r="AW108" i="4" s="1"/>
  <c r="BA108" i="4"/>
  <c r="BB108" i="4"/>
  <c r="AQ109" i="4"/>
  <c r="AV109" i="4"/>
  <c r="AW109" i="4" s="1"/>
  <c r="BA109" i="4"/>
  <c r="BB109" i="4"/>
  <c r="AQ110" i="4"/>
  <c r="AV110" i="4"/>
  <c r="AW110" i="4" s="1"/>
  <c r="BA110" i="4"/>
  <c r="BB110" i="4"/>
  <c r="AQ111" i="4"/>
  <c r="AV111" i="4"/>
  <c r="AW111" i="4" s="1"/>
  <c r="BA111" i="4"/>
  <c r="BB111" i="4"/>
  <c r="AQ112" i="4"/>
  <c r="AV112" i="4"/>
  <c r="AW112" i="4" s="1"/>
  <c r="BA112" i="4"/>
  <c r="BB112" i="4"/>
  <c r="AQ113" i="4"/>
  <c r="AV113" i="4"/>
  <c r="AW113" i="4" s="1"/>
  <c r="BA113" i="4"/>
  <c r="BB113" i="4"/>
  <c r="AQ114" i="4"/>
  <c r="AV114" i="4"/>
  <c r="AW114" i="4" s="1"/>
  <c r="BA114" i="4"/>
  <c r="BB114" i="4"/>
  <c r="AQ115" i="4"/>
  <c r="AV115" i="4"/>
  <c r="AW115" i="4" s="1"/>
  <c r="BA115" i="4"/>
  <c r="BB115" i="4"/>
  <c r="AQ116" i="4"/>
  <c r="AV116" i="4"/>
  <c r="AW116" i="4" s="1"/>
  <c r="BA116" i="4"/>
  <c r="BB116" i="4"/>
  <c r="AQ117" i="4"/>
  <c r="AV117" i="4"/>
  <c r="AW117" i="4" s="1"/>
  <c r="BA117" i="4"/>
  <c r="BB117" i="4"/>
  <c r="AQ118" i="4"/>
  <c r="AV118" i="4"/>
  <c r="AW118" i="4" s="1"/>
  <c r="BA118" i="4"/>
  <c r="BB118" i="4"/>
  <c r="AQ119" i="4"/>
  <c r="AV119" i="4"/>
  <c r="AW119" i="4" s="1"/>
  <c r="BA119" i="4"/>
  <c r="BB119" i="4"/>
  <c r="AQ120" i="4"/>
  <c r="AV120" i="4"/>
  <c r="AW120" i="4" s="1"/>
  <c r="BA120" i="4"/>
  <c r="BB120" i="4"/>
  <c r="AQ121" i="4"/>
  <c r="AV121" i="4"/>
  <c r="AW121" i="4" s="1"/>
  <c r="BA121" i="4"/>
  <c r="BB121" i="4"/>
  <c r="AQ122" i="4"/>
  <c r="AV122" i="4"/>
  <c r="AW122" i="4" s="1"/>
  <c r="BA122" i="4"/>
  <c r="BB122" i="4"/>
  <c r="AQ123" i="4"/>
  <c r="AV123" i="4"/>
  <c r="AW123" i="4" s="1"/>
  <c r="BA123" i="4"/>
  <c r="BB123" i="4"/>
  <c r="AQ124" i="4"/>
  <c r="AV124" i="4"/>
  <c r="AW124" i="4" s="1"/>
  <c r="BA124" i="4"/>
  <c r="BB124" i="4"/>
  <c r="AQ125" i="4"/>
  <c r="AV125" i="4"/>
  <c r="AW125" i="4" s="1"/>
  <c r="BA125" i="4"/>
  <c r="BB125" i="4"/>
  <c r="AQ126" i="4"/>
  <c r="AV126" i="4"/>
  <c r="AW126" i="4" s="1"/>
  <c r="BA126" i="4"/>
  <c r="BB126" i="4"/>
  <c r="AQ127" i="4"/>
  <c r="AV127" i="4"/>
  <c r="AW127" i="4" s="1"/>
  <c r="BA127" i="4"/>
  <c r="BB127" i="4"/>
  <c r="AQ128" i="4"/>
  <c r="AV128" i="4"/>
  <c r="AW128" i="4" s="1"/>
  <c r="BA128" i="4"/>
  <c r="BB128" i="4"/>
  <c r="AQ129" i="4"/>
  <c r="AV129" i="4"/>
  <c r="AW129" i="4" s="1"/>
  <c r="BA129" i="4"/>
  <c r="BB129" i="4"/>
  <c r="AQ130" i="4"/>
  <c r="AV130" i="4"/>
  <c r="AW130" i="4" s="1"/>
  <c r="BA130" i="4"/>
  <c r="BB130" i="4"/>
  <c r="AQ131" i="4"/>
  <c r="AV131" i="4"/>
  <c r="AW131" i="4" s="1"/>
  <c r="BA131" i="4"/>
  <c r="BB131" i="4"/>
  <c r="AQ132" i="4"/>
  <c r="AV132" i="4"/>
  <c r="AW132" i="4" s="1"/>
  <c r="BA132" i="4"/>
  <c r="BB132" i="4"/>
  <c r="AQ133" i="4"/>
  <c r="AV133" i="4"/>
  <c r="AW133" i="4" s="1"/>
  <c r="BA133" i="4"/>
  <c r="BB133" i="4"/>
  <c r="AQ134" i="4"/>
  <c r="AV134" i="4"/>
  <c r="AW134" i="4" s="1"/>
  <c r="BA134" i="4"/>
  <c r="BB134" i="4"/>
  <c r="AQ135" i="4"/>
  <c r="AV135" i="4"/>
  <c r="AW135" i="4" s="1"/>
  <c r="BA135" i="4"/>
  <c r="BB135" i="4"/>
  <c r="AQ136" i="4"/>
  <c r="AV136" i="4"/>
  <c r="AW136" i="4" s="1"/>
  <c r="BA136" i="4"/>
  <c r="BB136" i="4"/>
  <c r="AQ137" i="4"/>
  <c r="AV137" i="4"/>
  <c r="AW137" i="4" s="1"/>
  <c r="BA137" i="4"/>
  <c r="BB137" i="4"/>
  <c r="AQ138" i="4"/>
  <c r="AV138" i="4"/>
  <c r="AW138" i="4" s="1"/>
  <c r="BA138" i="4"/>
  <c r="BB138" i="4"/>
  <c r="AQ139" i="4"/>
  <c r="AV139" i="4"/>
  <c r="AW139" i="4" s="1"/>
  <c r="BA139" i="4"/>
  <c r="BB139" i="4"/>
  <c r="AQ140" i="4"/>
  <c r="AV140" i="4"/>
  <c r="AW140" i="4" s="1"/>
  <c r="BA140" i="4"/>
  <c r="BB140" i="4"/>
  <c r="AQ141" i="4"/>
  <c r="AV141" i="4"/>
  <c r="AW141" i="4" s="1"/>
  <c r="BA141" i="4"/>
  <c r="BB141" i="4"/>
  <c r="AQ142" i="4"/>
  <c r="AV142" i="4"/>
  <c r="AW142" i="4" s="1"/>
  <c r="BA142" i="4"/>
  <c r="BB142" i="4"/>
  <c r="AQ143" i="4"/>
  <c r="AV143" i="4"/>
  <c r="AW143" i="4" s="1"/>
  <c r="BA143" i="4"/>
  <c r="BB143" i="4"/>
  <c r="AQ144" i="4"/>
  <c r="AV144" i="4"/>
  <c r="AW144" i="4" s="1"/>
  <c r="BA144" i="4"/>
  <c r="BB144" i="4"/>
  <c r="AQ145" i="4"/>
  <c r="AV145" i="4"/>
  <c r="AW145" i="4" s="1"/>
  <c r="BA145" i="4"/>
  <c r="BB145" i="4"/>
  <c r="AQ146" i="4"/>
  <c r="AV146" i="4"/>
  <c r="AW146" i="4" s="1"/>
  <c r="BA146" i="4"/>
  <c r="BB146" i="4"/>
  <c r="AQ147" i="4"/>
  <c r="AV147" i="4"/>
  <c r="AW147" i="4" s="1"/>
  <c r="BA147" i="4"/>
  <c r="BB147" i="4"/>
  <c r="AQ148" i="4"/>
  <c r="AV148" i="4"/>
  <c r="AW148" i="4" s="1"/>
  <c r="BA148" i="4"/>
  <c r="BB148" i="4"/>
  <c r="AQ149" i="4"/>
  <c r="AV149" i="4"/>
  <c r="AW149" i="4" s="1"/>
  <c r="BA149" i="4"/>
  <c r="BB149" i="4"/>
  <c r="AQ150" i="4"/>
  <c r="AV150" i="4"/>
  <c r="AW150" i="4" s="1"/>
  <c r="BA150" i="4"/>
  <c r="BB150" i="4"/>
  <c r="AQ151" i="4"/>
  <c r="AV151" i="4"/>
  <c r="AW151" i="4" s="1"/>
  <c r="BA151" i="4"/>
  <c r="BB151" i="4"/>
  <c r="AQ152" i="4"/>
  <c r="AV152" i="4"/>
  <c r="AW152" i="4" s="1"/>
  <c r="BA152" i="4"/>
  <c r="BB152" i="4"/>
  <c r="AQ153" i="4"/>
  <c r="AV153" i="4"/>
  <c r="AW153" i="4" s="1"/>
  <c r="BA153" i="4"/>
  <c r="BB153" i="4"/>
  <c r="AQ154" i="4"/>
  <c r="AV154" i="4"/>
  <c r="AW154" i="4" s="1"/>
  <c r="BA154" i="4"/>
  <c r="BB154" i="4"/>
  <c r="AQ155" i="4"/>
  <c r="AV155" i="4"/>
  <c r="AW155" i="4" s="1"/>
  <c r="BA155" i="4"/>
  <c r="BB155" i="4"/>
  <c r="AQ156" i="4"/>
  <c r="AV156" i="4"/>
  <c r="AW156" i="4" s="1"/>
  <c r="BA156" i="4"/>
  <c r="BB156" i="4"/>
  <c r="AQ157" i="4"/>
  <c r="AV157" i="4"/>
  <c r="AW157" i="4" s="1"/>
  <c r="BA157" i="4"/>
  <c r="BB157" i="4"/>
  <c r="AQ158" i="4"/>
  <c r="AV158" i="4"/>
  <c r="AW158" i="4" s="1"/>
  <c r="BA158" i="4"/>
  <c r="BB158" i="4"/>
  <c r="AQ159" i="4"/>
  <c r="AV159" i="4"/>
  <c r="AW159" i="4" s="1"/>
  <c r="BA159" i="4"/>
  <c r="BB159" i="4"/>
  <c r="AQ160" i="4"/>
  <c r="AV160" i="4"/>
  <c r="AW160" i="4" s="1"/>
  <c r="BA160" i="4"/>
  <c r="BB160" i="4"/>
  <c r="AQ161" i="4"/>
  <c r="AV161" i="4"/>
  <c r="AW161" i="4" s="1"/>
  <c r="BA161" i="4"/>
  <c r="BB161" i="4"/>
  <c r="AQ162" i="4"/>
  <c r="AV162" i="4"/>
  <c r="AW162" i="4" s="1"/>
  <c r="BA162" i="4"/>
  <c r="BB162" i="4"/>
  <c r="AQ163" i="4"/>
  <c r="AV163" i="4"/>
  <c r="AW163" i="4" s="1"/>
  <c r="BA163" i="4"/>
  <c r="BB163" i="4"/>
  <c r="AQ164" i="4"/>
  <c r="AV164" i="4"/>
  <c r="AW164" i="4" s="1"/>
  <c r="BA164" i="4"/>
  <c r="BB164" i="4"/>
  <c r="AQ165" i="4"/>
  <c r="AV165" i="4"/>
  <c r="AW165" i="4" s="1"/>
  <c r="BA165" i="4"/>
  <c r="BB165" i="4"/>
  <c r="AQ166" i="4"/>
  <c r="AV166" i="4"/>
  <c r="AW166" i="4" s="1"/>
  <c r="BA166" i="4"/>
  <c r="BB166" i="4"/>
  <c r="AQ167" i="4"/>
  <c r="AV167" i="4"/>
  <c r="AW167" i="4" s="1"/>
  <c r="BA167" i="4"/>
  <c r="BB167" i="4"/>
  <c r="AQ168" i="4"/>
  <c r="AV168" i="4"/>
  <c r="AW168" i="4" s="1"/>
  <c r="BA168" i="4"/>
  <c r="BB168" i="4"/>
  <c r="AQ169" i="4"/>
  <c r="AV169" i="4"/>
  <c r="AW169" i="4" s="1"/>
  <c r="BA169" i="4"/>
  <c r="BB169" i="4"/>
  <c r="AQ170" i="4"/>
  <c r="AV170" i="4"/>
  <c r="AW170" i="4" s="1"/>
  <c r="BA170" i="4"/>
  <c r="BB170" i="4"/>
  <c r="AQ171" i="4"/>
  <c r="AV171" i="4"/>
  <c r="AW171" i="4" s="1"/>
  <c r="BA171" i="4"/>
  <c r="BB171" i="4"/>
  <c r="AQ172" i="4"/>
  <c r="AV172" i="4"/>
  <c r="AW172" i="4" s="1"/>
  <c r="BA172" i="4"/>
  <c r="BB172" i="4"/>
  <c r="AQ173" i="4"/>
  <c r="AV173" i="4"/>
  <c r="AW173" i="4" s="1"/>
  <c r="BA173" i="4"/>
  <c r="BB173" i="4"/>
  <c r="AQ174" i="4"/>
  <c r="AV174" i="4"/>
  <c r="AW174" i="4" s="1"/>
  <c r="BA174" i="4"/>
  <c r="BB174" i="4"/>
  <c r="AQ175" i="4"/>
  <c r="AV175" i="4"/>
  <c r="AW175" i="4" s="1"/>
  <c r="BA175" i="4"/>
  <c r="BB175" i="4"/>
  <c r="AQ176" i="4"/>
  <c r="AV176" i="4"/>
  <c r="AW176" i="4" s="1"/>
  <c r="BA176" i="4"/>
  <c r="BB176" i="4"/>
  <c r="AQ177" i="4"/>
  <c r="AV177" i="4"/>
  <c r="AW177" i="4" s="1"/>
  <c r="BA177" i="4"/>
  <c r="BB177" i="4"/>
  <c r="AQ178" i="4"/>
  <c r="AV178" i="4"/>
  <c r="AW178" i="4" s="1"/>
  <c r="BA178" i="4"/>
  <c r="BB178" i="4"/>
  <c r="AQ179" i="4"/>
  <c r="AV179" i="4"/>
  <c r="AW179" i="4" s="1"/>
  <c r="BA179" i="4"/>
  <c r="BB179" i="4"/>
  <c r="AQ180" i="4"/>
  <c r="AV180" i="4"/>
  <c r="AW180" i="4" s="1"/>
  <c r="BA180" i="4"/>
  <c r="BB180" i="4"/>
  <c r="AQ181" i="4"/>
  <c r="AV181" i="4"/>
  <c r="AW181" i="4" s="1"/>
  <c r="BA181" i="4"/>
  <c r="BB181" i="4"/>
  <c r="AQ182" i="4"/>
  <c r="AV182" i="4"/>
  <c r="AW182" i="4" s="1"/>
  <c r="BA182" i="4"/>
  <c r="BB182" i="4"/>
  <c r="BA87" i="4"/>
  <c r="BB87" i="4"/>
  <c r="AV87" i="4"/>
  <c r="AW87" i="4" s="1"/>
  <c r="AN87" i="4"/>
  <c r="AQ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87" i="4"/>
  <c r="K924" i="7"/>
  <c r="K836" i="7"/>
  <c r="P453" i="7"/>
  <c r="Q453" i="7" s="1"/>
  <c r="U453" i="7"/>
  <c r="V453" i="7"/>
  <c r="P454" i="7"/>
  <c r="Q454" i="7" s="1"/>
  <c r="U454" i="7"/>
  <c r="V454" i="7"/>
  <c r="P455" i="7"/>
  <c r="Q455" i="7" s="1"/>
  <c r="U455" i="7"/>
  <c r="V455" i="7"/>
  <c r="P456" i="7"/>
  <c r="Q456" i="7" s="1"/>
  <c r="U456" i="7"/>
  <c r="V456" i="7"/>
  <c r="P457" i="7"/>
  <c r="Q457" i="7" s="1"/>
  <c r="U457" i="7"/>
  <c r="V457" i="7"/>
  <c r="P458" i="7"/>
  <c r="Q458" i="7" s="1"/>
  <c r="U458" i="7"/>
  <c r="V458" i="7"/>
  <c r="P459" i="7"/>
  <c r="Q459" i="7" s="1"/>
  <c r="U459" i="7"/>
  <c r="V459" i="7"/>
  <c r="P460" i="7"/>
  <c r="Q460" i="7" s="1"/>
  <c r="U460" i="7"/>
  <c r="V460" i="7"/>
  <c r="P461" i="7"/>
  <c r="Q461" i="7" s="1"/>
  <c r="U461" i="7"/>
  <c r="V461" i="7"/>
  <c r="P462" i="7"/>
  <c r="Q462" i="7" s="1"/>
  <c r="U462" i="7"/>
  <c r="V462" i="7"/>
  <c r="P463" i="7"/>
  <c r="Q463" i="7" s="1"/>
  <c r="U463" i="7"/>
  <c r="V463" i="7"/>
  <c r="P464" i="7"/>
  <c r="Q464" i="7" s="1"/>
  <c r="U464" i="7"/>
  <c r="V464" i="7"/>
  <c r="P465" i="7"/>
  <c r="Q465" i="7" s="1"/>
  <c r="U465" i="7"/>
  <c r="V465" i="7"/>
  <c r="P466" i="7"/>
  <c r="Q466" i="7" s="1"/>
  <c r="U466" i="7"/>
  <c r="V466" i="7"/>
  <c r="P467" i="7"/>
  <c r="Q467" i="7" s="1"/>
  <c r="U467" i="7"/>
  <c r="V467" i="7"/>
  <c r="P468" i="7"/>
  <c r="Q468" i="7" s="1"/>
  <c r="U468" i="7"/>
  <c r="V468" i="7"/>
  <c r="P469" i="7"/>
  <c r="Q469" i="7" s="1"/>
  <c r="U469" i="7"/>
  <c r="V469" i="7"/>
  <c r="P470" i="7"/>
  <c r="Q470" i="7" s="1"/>
  <c r="U470" i="7"/>
  <c r="V470" i="7"/>
  <c r="P471" i="7"/>
  <c r="Q471" i="7" s="1"/>
  <c r="U471" i="7"/>
  <c r="V471" i="7"/>
  <c r="P472" i="7"/>
  <c r="Q472" i="7" s="1"/>
  <c r="U472" i="7"/>
  <c r="V472" i="7"/>
  <c r="P473" i="7"/>
  <c r="Q473" i="7" s="1"/>
  <c r="U473" i="7"/>
  <c r="V473" i="7"/>
  <c r="P474" i="7"/>
  <c r="Q474" i="7" s="1"/>
  <c r="U474" i="7"/>
  <c r="V474" i="7"/>
  <c r="P475" i="7"/>
  <c r="Q475" i="7" s="1"/>
  <c r="U475" i="7"/>
  <c r="V475" i="7"/>
  <c r="P476" i="7"/>
  <c r="Q476" i="7" s="1"/>
  <c r="U476" i="7"/>
  <c r="V476" i="7"/>
  <c r="P477" i="7"/>
  <c r="Q477" i="7" s="1"/>
  <c r="U477" i="7"/>
  <c r="V477" i="7"/>
  <c r="P478" i="7"/>
  <c r="Q478" i="7" s="1"/>
  <c r="U478" i="7"/>
  <c r="V478" i="7"/>
  <c r="P479" i="7"/>
  <c r="Q479" i="7" s="1"/>
  <c r="U479" i="7"/>
  <c r="V479" i="7"/>
  <c r="P480" i="7"/>
  <c r="Q480" i="7" s="1"/>
  <c r="U480" i="7"/>
  <c r="V480" i="7"/>
  <c r="P481" i="7"/>
  <c r="Q481" i="7" s="1"/>
  <c r="U481" i="7"/>
  <c r="V481" i="7"/>
  <c r="P482" i="7"/>
  <c r="Q482" i="7" s="1"/>
  <c r="U482" i="7"/>
  <c r="V482" i="7"/>
  <c r="P483" i="7"/>
  <c r="Q483" i="7" s="1"/>
  <c r="U483" i="7"/>
  <c r="V483" i="7"/>
  <c r="P484" i="7"/>
  <c r="Q484" i="7" s="1"/>
  <c r="U484" i="7"/>
  <c r="V484" i="7"/>
  <c r="P485" i="7"/>
  <c r="Q485" i="7" s="1"/>
  <c r="U485" i="7"/>
  <c r="V485" i="7"/>
  <c r="P486" i="7"/>
  <c r="Q486" i="7" s="1"/>
  <c r="U486" i="7"/>
  <c r="V486" i="7"/>
  <c r="P487" i="7"/>
  <c r="Q487" i="7" s="1"/>
  <c r="U487" i="7"/>
  <c r="V487" i="7"/>
  <c r="P488" i="7"/>
  <c r="Q488" i="7" s="1"/>
  <c r="U488" i="7"/>
  <c r="V488" i="7"/>
  <c r="P489" i="7"/>
  <c r="Q489" i="7" s="1"/>
  <c r="U489" i="7"/>
  <c r="V489" i="7"/>
  <c r="P490" i="7"/>
  <c r="Q490" i="7" s="1"/>
  <c r="U490" i="7"/>
  <c r="V490" i="7"/>
  <c r="P491" i="7"/>
  <c r="Q491" i="7" s="1"/>
  <c r="U491" i="7"/>
  <c r="V491" i="7"/>
  <c r="P492" i="7"/>
  <c r="Q492" i="7" s="1"/>
  <c r="U492" i="7"/>
  <c r="V492" i="7"/>
  <c r="P493" i="7"/>
  <c r="Q493" i="7" s="1"/>
  <c r="U493" i="7"/>
  <c r="V493" i="7"/>
  <c r="P494" i="7"/>
  <c r="Q494" i="7" s="1"/>
  <c r="U494" i="7"/>
  <c r="V494" i="7"/>
  <c r="P495" i="7"/>
  <c r="Q495" i="7" s="1"/>
  <c r="U495" i="7"/>
  <c r="V495" i="7"/>
  <c r="P496" i="7"/>
  <c r="Q496" i="7" s="1"/>
  <c r="U496" i="7"/>
  <c r="V496" i="7"/>
  <c r="P497" i="7"/>
  <c r="Q497" i="7" s="1"/>
  <c r="U497" i="7"/>
  <c r="V497" i="7"/>
  <c r="P498" i="7"/>
  <c r="Q498" i="7" s="1"/>
  <c r="U498" i="7"/>
  <c r="V498" i="7"/>
  <c r="P499" i="7"/>
  <c r="Q499" i="7" s="1"/>
  <c r="U499" i="7"/>
  <c r="V499" i="7"/>
  <c r="P500" i="7"/>
  <c r="Q500" i="7" s="1"/>
  <c r="U500" i="7"/>
  <c r="V500" i="7"/>
  <c r="P501" i="7"/>
  <c r="Q501" i="7" s="1"/>
  <c r="U501" i="7"/>
  <c r="V501" i="7"/>
  <c r="P502" i="7"/>
  <c r="Q502" i="7" s="1"/>
  <c r="U502" i="7"/>
  <c r="V502" i="7"/>
  <c r="P503" i="7"/>
  <c r="Q503" i="7" s="1"/>
  <c r="U503" i="7"/>
  <c r="V503" i="7"/>
  <c r="P504" i="7"/>
  <c r="Q504" i="7" s="1"/>
  <c r="U504" i="7"/>
  <c r="V504" i="7"/>
  <c r="P505" i="7"/>
  <c r="Q505" i="7" s="1"/>
  <c r="U505" i="7"/>
  <c r="V505" i="7"/>
  <c r="P506" i="7"/>
  <c r="Q506" i="7" s="1"/>
  <c r="U506" i="7"/>
  <c r="V506" i="7"/>
  <c r="P507" i="7"/>
  <c r="Q507" i="7" s="1"/>
  <c r="U507" i="7"/>
  <c r="V507" i="7"/>
  <c r="P508" i="7"/>
  <c r="Q508" i="7" s="1"/>
  <c r="U508" i="7"/>
  <c r="V508" i="7"/>
  <c r="P509" i="7"/>
  <c r="Q509" i="7" s="1"/>
  <c r="U509" i="7"/>
  <c r="V509" i="7"/>
  <c r="P510" i="7"/>
  <c r="Q510" i="7" s="1"/>
  <c r="U510" i="7"/>
  <c r="V510" i="7"/>
  <c r="P511" i="7"/>
  <c r="Q511" i="7" s="1"/>
  <c r="U511" i="7"/>
  <c r="V511" i="7"/>
  <c r="P512" i="7"/>
  <c r="Q512" i="7" s="1"/>
  <c r="U512" i="7"/>
  <c r="V512" i="7"/>
  <c r="P513" i="7"/>
  <c r="Q513" i="7" s="1"/>
  <c r="U513" i="7"/>
  <c r="V513" i="7"/>
  <c r="P514" i="7"/>
  <c r="Q514" i="7" s="1"/>
  <c r="U514" i="7"/>
  <c r="V514" i="7"/>
  <c r="P515" i="7"/>
  <c r="Q515" i="7" s="1"/>
  <c r="U515" i="7"/>
  <c r="V515" i="7"/>
  <c r="P516" i="7"/>
  <c r="Q516" i="7" s="1"/>
  <c r="U516" i="7"/>
  <c r="V516" i="7"/>
  <c r="P517" i="7"/>
  <c r="Q517" i="7" s="1"/>
  <c r="U517" i="7"/>
  <c r="V517" i="7"/>
  <c r="P518" i="7"/>
  <c r="Q518" i="7" s="1"/>
  <c r="U518" i="7"/>
  <c r="V518" i="7"/>
  <c r="P519" i="7"/>
  <c r="Q519" i="7" s="1"/>
  <c r="U519" i="7"/>
  <c r="V519" i="7"/>
  <c r="P520" i="7"/>
  <c r="Q520" i="7" s="1"/>
  <c r="U520" i="7"/>
  <c r="V520" i="7"/>
  <c r="P521" i="7"/>
  <c r="Q521" i="7" s="1"/>
  <c r="U521" i="7"/>
  <c r="V521" i="7"/>
  <c r="P522" i="7"/>
  <c r="Q522" i="7" s="1"/>
  <c r="U522" i="7"/>
  <c r="V522" i="7"/>
  <c r="P523" i="7"/>
  <c r="Q523" i="7" s="1"/>
  <c r="U523" i="7"/>
  <c r="V523" i="7"/>
  <c r="P524" i="7"/>
  <c r="Q524" i="7" s="1"/>
  <c r="U524" i="7"/>
  <c r="V524" i="7"/>
  <c r="P525" i="7"/>
  <c r="Q525" i="7" s="1"/>
  <c r="U525" i="7"/>
  <c r="V525" i="7"/>
  <c r="P526" i="7"/>
  <c r="Q526" i="7" s="1"/>
  <c r="U526" i="7"/>
  <c r="V526" i="7"/>
  <c r="P527" i="7"/>
  <c r="Q527" i="7" s="1"/>
  <c r="U527" i="7"/>
  <c r="V527" i="7"/>
  <c r="P528" i="7"/>
  <c r="Q528" i="7" s="1"/>
  <c r="U528" i="7"/>
  <c r="V528" i="7"/>
  <c r="P529" i="7"/>
  <c r="Q529" i="7" s="1"/>
  <c r="U529" i="7"/>
  <c r="V529" i="7"/>
  <c r="P530" i="7"/>
  <c r="Q530" i="7" s="1"/>
  <c r="U530" i="7"/>
  <c r="V530" i="7"/>
  <c r="P531" i="7"/>
  <c r="Q531" i="7" s="1"/>
  <c r="U531" i="7"/>
  <c r="V531" i="7"/>
  <c r="P532" i="7"/>
  <c r="Q532" i="7" s="1"/>
  <c r="U532" i="7"/>
  <c r="V532" i="7"/>
  <c r="P533" i="7"/>
  <c r="Q533" i="7" s="1"/>
  <c r="U533" i="7"/>
  <c r="V533" i="7"/>
  <c r="P534" i="7"/>
  <c r="Q534" i="7" s="1"/>
  <c r="U534" i="7"/>
  <c r="V534" i="7"/>
  <c r="P535" i="7"/>
  <c r="Q535" i="7" s="1"/>
  <c r="U535" i="7"/>
  <c r="V535" i="7"/>
  <c r="P536" i="7"/>
  <c r="Q536" i="7" s="1"/>
  <c r="U536" i="7"/>
  <c r="V536" i="7"/>
  <c r="P537" i="7"/>
  <c r="Q537" i="7" s="1"/>
  <c r="U537" i="7"/>
  <c r="V537" i="7"/>
  <c r="P538" i="7"/>
  <c r="Q538" i="7" s="1"/>
  <c r="U538" i="7"/>
  <c r="V538" i="7"/>
  <c r="P539" i="7"/>
  <c r="Q539" i="7" s="1"/>
  <c r="U539" i="7"/>
  <c r="V539" i="7"/>
  <c r="P540" i="7"/>
  <c r="Q540" i="7" s="1"/>
  <c r="U540" i="7"/>
  <c r="V540" i="7"/>
  <c r="P541" i="7"/>
  <c r="Q541" i="7" s="1"/>
  <c r="U541" i="7"/>
  <c r="V541" i="7"/>
  <c r="P542" i="7"/>
  <c r="Q542" i="7" s="1"/>
  <c r="U542" i="7"/>
  <c r="V542" i="7"/>
  <c r="P543" i="7"/>
  <c r="Q543" i="7" s="1"/>
  <c r="U543" i="7"/>
  <c r="V543" i="7"/>
  <c r="P544" i="7"/>
  <c r="Q544" i="7" s="1"/>
  <c r="U544" i="7"/>
  <c r="V544" i="7"/>
  <c r="P545" i="7"/>
  <c r="Q545" i="7" s="1"/>
  <c r="U545" i="7"/>
  <c r="V545" i="7"/>
  <c r="P546" i="7"/>
  <c r="Q546" i="7" s="1"/>
  <c r="U546" i="7"/>
  <c r="V546" i="7"/>
  <c r="P547" i="7"/>
  <c r="Q547" i="7" s="1"/>
  <c r="U547" i="7"/>
  <c r="V547" i="7"/>
  <c r="P548" i="7"/>
  <c r="Q548" i="7" s="1"/>
  <c r="U548" i="7"/>
  <c r="V548" i="7"/>
  <c r="P549" i="7"/>
  <c r="Q549" i="7" s="1"/>
  <c r="U549" i="7"/>
  <c r="V549" i="7"/>
  <c r="P550" i="7"/>
  <c r="Q550" i="7" s="1"/>
  <c r="U550" i="7"/>
  <c r="V550" i="7"/>
  <c r="P551" i="7"/>
  <c r="Q551" i="7" s="1"/>
  <c r="U551" i="7"/>
  <c r="V551" i="7"/>
  <c r="P552" i="7"/>
  <c r="Q552" i="7" s="1"/>
  <c r="U552" i="7"/>
  <c r="V552" i="7"/>
  <c r="P553" i="7"/>
  <c r="Q553" i="7" s="1"/>
  <c r="U553" i="7"/>
  <c r="V553" i="7"/>
  <c r="P554" i="7"/>
  <c r="Q554" i="7" s="1"/>
  <c r="U554" i="7"/>
  <c r="V554" i="7"/>
  <c r="P555" i="7"/>
  <c r="Q555" i="7" s="1"/>
  <c r="U555" i="7"/>
  <c r="V555" i="7"/>
  <c r="P556" i="7"/>
  <c r="Q556" i="7" s="1"/>
  <c r="U556" i="7"/>
  <c r="V556" i="7"/>
  <c r="P557" i="7"/>
  <c r="Q557" i="7" s="1"/>
  <c r="U557" i="7"/>
  <c r="V557" i="7"/>
  <c r="P558" i="7"/>
  <c r="Q558" i="7" s="1"/>
  <c r="U558" i="7"/>
  <c r="V558" i="7"/>
  <c r="P559" i="7"/>
  <c r="Q559" i="7" s="1"/>
  <c r="U559" i="7"/>
  <c r="V559" i="7"/>
  <c r="P560" i="7"/>
  <c r="Q560" i="7" s="1"/>
  <c r="U560" i="7"/>
  <c r="V560" i="7"/>
  <c r="P561" i="7"/>
  <c r="Q561" i="7" s="1"/>
  <c r="U561" i="7"/>
  <c r="V561" i="7"/>
  <c r="P562" i="7"/>
  <c r="Q562" i="7" s="1"/>
  <c r="U562" i="7"/>
  <c r="V562" i="7"/>
  <c r="P563" i="7"/>
  <c r="Q563" i="7" s="1"/>
  <c r="U563" i="7"/>
  <c r="V563" i="7"/>
  <c r="P564" i="7"/>
  <c r="Q564" i="7" s="1"/>
  <c r="U564" i="7"/>
  <c r="V564" i="7"/>
  <c r="P565" i="7"/>
  <c r="Q565" i="7" s="1"/>
  <c r="U565" i="7"/>
  <c r="V565" i="7"/>
  <c r="P566" i="7"/>
  <c r="Q566" i="7" s="1"/>
  <c r="U566" i="7"/>
  <c r="V566" i="7"/>
  <c r="P567" i="7"/>
  <c r="Q567" i="7" s="1"/>
  <c r="U567" i="7"/>
  <c r="V567" i="7"/>
  <c r="P568" i="7"/>
  <c r="Q568" i="7" s="1"/>
  <c r="U568" i="7"/>
  <c r="V568" i="7"/>
  <c r="P569" i="7"/>
  <c r="Q569" i="7" s="1"/>
  <c r="U569" i="7"/>
  <c r="V569" i="7"/>
  <c r="P570" i="7"/>
  <c r="Q570" i="7" s="1"/>
  <c r="U570" i="7"/>
  <c r="V570" i="7"/>
  <c r="P571" i="7"/>
  <c r="Q571" i="7" s="1"/>
  <c r="U571" i="7"/>
  <c r="V571" i="7"/>
  <c r="P572" i="7"/>
  <c r="Q572" i="7" s="1"/>
  <c r="U572" i="7"/>
  <c r="V572" i="7"/>
  <c r="P573" i="7"/>
  <c r="Q573" i="7" s="1"/>
  <c r="U573" i="7"/>
  <c r="V573" i="7"/>
  <c r="P574" i="7"/>
  <c r="Q574" i="7" s="1"/>
  <c r="U574" i="7"/>
  <c r="V574" i="7"/>
  <c r="P575" i="7"/>
  <c r="Q575" i="7" s="1"/>
  <c r="U575" i="7"/>
  <c r="V575" i="7"/>
  <c r="P576" i="7"/>
  <c r="Q576" i="7" s="1"/>
  <c r="U576" i="7"/>
  <c r="V576" i="7"/>
  <c r="P577" i="7"/>
  <c r="Q577" i="7" s="1"/>
  <c r="U577" i="7"/>
  <c r="V577" i="7"/>
  <c r="P578" i="7"/>
  <c r="Q578" i="7" s="1"/>
  <c r="U578" i="7"/>
  <c r="V578" i="7"/>
  <c r="P579" i="7"/>
  <c r="Q579" i="7" s="1"/>
  <c r="U579" i="7"/>
  <c r="V579" i="7"/>
  <c r="P580" i="7"/>
  <c r="Q580" i="7" s="1"/>
  <c r="U580" i="7"/>
  <c r="V580" i="7"/>
  <c r="P581" i="7"/>
  <c r="Q581" i="7" s="1"/>
  <c r="U581" i="7"/>
  <c r="V581" i="7"/>
  <c r="P582" i="7"/>
  <c r="Q582" i="7" s="1"/>
  <c r="U582" i="7"/>
  <c r="V582" i="7"/>
  <c r="P583" i="7"/>
  <c r="Q583" i="7" s="1"/>
  <c r="U583" i="7"/>
  <c r="V583" i="7"/>
  <c r="P584" i="7"/>
  <c r="Q584" i="7" s="1"/>
  <c r="U584" i="7"/>
  <c r="V584" i="7"/>
  <c r="P585" i="7"/>
  <c r="Q585" i="7" s="1"/>
  <c r="U585" i="7"/>
  <c r="V585" i="7"/>
  <c r="P586" i="7"/>
  <c r="Q586" i="7" s="1"/>
  <c r="U586" i="7"/>
  <c r="V586" i="7"/>
  <c r="P587" i="7"/>
  <c r="Q587" i="7" s="1"/>
  <c r="U587" i="7"/>
  <c r="V587" i="7"/>
  <c r="P588" i="7"/>
  <c r="Q588" i="7" s="1"/>
  <c r="U588" i="7"/>
  <c r="V588" i="7"/>
  <c r="P589" i="7"/>
  <c r="Q589" i="7" s="1"/>
  <c r="U589" i="7"/>
  <c r="V589" i="7"/>
  <c r="P590" i="7"/>
  <c r="Q590" i="7" s="1"/>
  <c r="U590" i="7"/>
  <c r="V590" i="7"/>
  <c r="P591" i="7"/>
  <c r="Q591" i="7" s="1"/>
  <c r="U591" i="7"/>
  <c r="V591" i="7"/>
  <c r="P592" i="7"/>
  <c r="Q592" i="7" s="1"/>
  <c r="U592" i="7"/>
  <c r="V592" i="7"/>
  <c r="P593" i="7"/>
  <c r="Q593" i="7" s="1"/>
  <c r="U593" i="7"/>
  <c r="V593" i="7"/>
  <c r="P594" i="7"/>
  <c r="Q594" i="7" s="1"/>
  <c r="U594" i="7"/>
  <c r="V594" i="7"/>
  <c r="P595" i="7"/>
  <c r="Q595" i="7" s="1"/>
  <c r="U595" i="7"/>
  <c r="V595" i="7"/>
  <c r="P596" i="7"/>
  <c r="Q596" i="7" s="1"/>
  <c r="U596" i="7"/>
  <c r="V596" i="7"/>
  <c r="P597" i="7"/>
  <c r="Q597" i="7" s="1"/>
  <c r="U597" i="7"/>
  <c r="V597" i="7"/>
  <c r="P598" i="7"/>
  <c r="Q598" i="7" s="1"/>
  <c r="U598" i="7"/>
  <c r="V598" i="7"/>
  <c r="P599" i="7"/>
  <c r="Q599" i="7" s="1"/>
  <c r="U599" i="7"/>
  <c r="V599" i="7"/>
  <c r="P600" i="7"/>
  <c r="Q600" i="7" s="1"/>
  <c r="U600" i="7"/>
  <c r="V600" i="7"/>
  <c r="P601" i="7"/>
  <c r="Q601" i="7" s="1"/>
  <c r="U601" i="7"/>
  <c r="V601" i="7"/>
  <c r="P602" i="7"/>
  <c r="Q602" i="7" s="1"/>
  <c r="U602" i="7"/>
  <c r="V602" i="7"/>
  <c r="P603" i="7"/>
  <c r="Q603" i="7" s="1"/>
  <c r="U603" i="7"/>
  <c r="V603" i="7"/>
  <c r="P604" i="7"/>
  <c r="Q604" i="7" s="1"/>
  <c r="U604" i="7"/>
  <c r="V604" i="7"/>
  <c r="P605" i="7"/>
  <c r="Q605" i="7" s="1"/>
  <c r="U605" i="7"/>
  <c r="V605" i="7"/>
  <c r="P606" i="7"/>
  <c r="Q606" i="7" s="1"/>
  <c r="U606" i="7"/>
  <c r="V606" i="7"/>
  <c r="P607" i="7"/>
  <c r="Q607" i="7" s="1"/>
  <c r="U607" i="7"/>
  <c r="V607" i="7"/>
  <c r="P608" i="7"/>
  <c r="Q608" i="7" s="1"/>
  <c r="U608" i="7"/>
  <c r="V608" i="7"/>
  <c r="P609" i="7"/>
  <c r="Q609" i="7" s="1"/>
  <c r="U609" i="7"/>
  <c r="V609" i="7"/>
  <c r="P610" i="7"/>
  <c r="Q610" i="7" s="1"/>
  <c r="U610" i="7"/>
  <c r="V610" i="7"/>
  <c r="P611" i="7"/>
  <c r="Q611" i="7" s="1"/>
  <c r="U611" i="7"/>
  <c r="V611" i="7"/>
  <c r="P612" i="7"/>
  <c r="Q612" i="7" s="1"/>
  <c r="U612" i="7"/>
  <c r="V612" i="7"/>
  <c r="P613" i="7"/>
  <c r="Q613" i="7" s="1"/>
  <c r="U613" i="7"/>
  <c r="V613" i="7"/>
  <c r="P614" i="7"/>
  <c r="Q614" i="7" s="1"/>
  <c r="U614" i="7"/>
  <c r="V614" i="7"/>
  <c r="P615" i="7"/>
  <c r="Q615" i="7" s="1"/>
  <c r="U615" i="7"/>
  <c r="V615" i="7"/>
  <c r="P616" i="7"/>
  <c r="Q616" i="7" s="1"/>
  <c r="U616" i="7"/>
  <c r="V616" i="7"/>
  <c r="P617" i="7"/>
  <c r="Q617" i="7" s="1"/>
  <c r="U617" i="7"/>
  <c r="V617" i="7"/>
  <c r="P618" i="7"/>
  <c r="Q618" i="7" s="1"/>
  <c r="U618" i="7"/>
  <c r="V618" i="7"/>
  <c r="P619" i="7"/>
  <c r="Q619" i="7" s="1"/>
  <c r="U619" i="7"/>
  <c r="V619" i="7"/>
  <c r="P620" i="7"/>
  <c r="Q620" i="7" s="1"/>
  <c r="U620" i="7"/>
  <c r="V620" i="7"/>
  <c r="P621" i="7"/>
  <c r="Q621" i="7" s="1"/>
  <c r="U621" i="7"/>
  <c r="V621" i="7"/>
  <c r="P622" i="7"/>
  <c r="Q622" i="7" s="1"/>
  <c r="U622" i="7"/>
  <c r="V622" i="7"/>
  <c r="P623" i="7"/>
  <c r="Q623" i="7" s="1"/>
  <c r="U623" i="7"/>
  <c r="V623" i="7"/>
  <c r="P624" i="7"/>
  <c r="Q624" i="7" s="1"/>
  <c r="U624" i="7"/>
  <c r="V624" i="7"/>
  <c r="P625" i="7"/>
  <c r="Q625" i="7" s="1"/>
  <c r="U625" i="7"/>
  <c r="V625" i="7"/>
  <c r="P626" i="7"/>
  <c r="Q626" i="7" s="1"/>
  <c r="U626" i="7"/>
  <c r="V626" i="7"/>
  <c r="P627" i="7"/>
  <c r="Q627" i="7" s="1"/>
  <c r="U627" i="7"/>
  <c r="V627" i="7"/>
  <c r="P628" i="7"/>
  <c r="Q628" i="7" s="1"/>
  <c r="U628" i="7"/>
  <c r="V628" i="7"/>
  <c r="P629" i="7"/>
  <c r="Q629" i="7" s="1"/>
  <c r="U629" i="7"/>
  <c r="V629" i="7"/>
  <c r="P630" i="7"/>
  <c r="Q630" i="7" s="1"/>
  <c r="U630" i="7"/>
  <c r="V630" i="7"/>
  <c r="P631" i="7"/>
  <c r="Q631" i="7" s="1"/>
  <c r="U631" i="7"/>
  <c r="V631" i="7"/>
  <c r="P632" i="7"/>
  <c r="Q632" i="7" s="1"/>
  <c r="U632" i="7"/>
  <c r="V632" i="7"/>
  <c r="P633" i="7"/>
  <c r="Q633" i="7" s="1"/>
  <c r="U633" i="7"/>
  <c r="V633" i="7"/>
  <c r="P634" i="7"/>
  <c r="Q634" i="7" s="1"/>
  <c r="U634" i="7"/>
  <c r="V634" i="7"/>
  <c r="P635" i="7"/>
  <c r="Q635" i="7" s="1"/>
  <c r="U635" i="7"/>
  <c r="V635" i="7"/>
  <c r="P636" i="7"/>
  <c r="Q636" i="7" s="1"/>
  <c r="U636" i="7"/>
  <c r="V636" i="7"/>
  <c r="P637" i="7"/>
  <c r="Q637" i="7" s="1"/>
  <c r="U637" i="7"/>
  <c r="V637" i="7"/>
  <c r="P638" i="7"/>
  <c r="Q638" i="7" s="1"/>
  <c r="U638" i="7"/>
  <c r="V638" i="7"/>
  <c r="P639" i="7"/>
  <c r="Q639" i="7" s="1"/>
  <c r="U639" i="7"/>
  <c r="V639" i="7"/>
  <c r="P640" i="7"/>
  <c r="Q640" i="7" s="1"/>
  <c r="U640" i="7"/>
  <c r="V640" i="7"/>
  <c r="P641" i="7"/>
  <c r="Q641" i="7" s="1"/>
  <c r="U641" i="7"/>
  <c r="V641" i="7"/>
  <c r="P642" i="7"/>
  <c r="Q642" i="7" s="1"/>
  <c r="U642" i="7"/>
  <c r="V642" i="7"/>
  <c r="P643" i="7"/>
  <c r="Q643" i="7" s="1"/>
  <c r="U643" i="7"/>
  <c r="V643" i="7"/>
  <c r="P644" i="7"/>
  <c r="Q644" i="7" s="1"/>
  <c r="U644" i="7"/>
  <c r="V644" i="7"/>
  <c r="P645" i="7"/>
  <c r="Q645" i="7" s="1"/>
  <c r="U645" i="7"/>
  <c r="V645" i="7"/>
  <c r="P646" i="7"/>
  <c r="Q646" i="7" s="1"/>
  <c r="U646" i="7"/>
  <c r="V646" i="7"/>
  <c r="P647" i="7"/>
  <c r="Q647" i="7" s="1"/>
  <c r="U647" i="7"/>
  <c r="V647" i="7"/>
  <c r="P648" i="7"/>
  <c r="Q648" i="7" s="1"/>
  <c r="U648" i="7"/>
  <c r="V648" i="7"/>
  <c r="P649" i="7"/>
  <c r="Q649" i="7" s="1"/>
  <c r="U649" i="7"/>
  <c r="V649" i="7"/>
  <c r="P650" i="7"/>
  <c r="Q650" i="7" s="1"/>
  <c r="U650" i="7"/>
  <c r="V650" i="7"/>
  <c r="P651" i="7"/>
  <c r="Q651" i="7" s="1"/>
  <c r="U651" i="7"/>
  <c r="V651" i="7"/>
  <c r="P652" i="7"/>
  <c r="Q652" i="7" s="1"/>
  <c r="U652" i="7"/>
  <c r="V652" i="7"/>
  <c r="P653" i="7"/>
  <c r="Q653" i="7" s="1"/>
  <c r="U653" i="7"/>
  <c r="V653" i="7"/>
  <c r="P654" i="7"/>
  <c r="Q654" i="7" s="1"/>
  <c r="U654" i="7"/>
  <c r="V654" i="7"/>
  <c r="P655" i="7"/>
  <c r="Q655" i="7" s="1"/>
  <c r="U655" i="7"/>
  <c r="V655" i="7"/>
  <c r="P656" i="7"/>
  <c r="Q656" i="7" s="1"/>
  <c r="U656" i="7"/>
  <c r="V656" i="7"/>
  <c r="P657" i="7"/>
  <c r="Q657" i="7" s="1"/>
  <c r="U657" i="7"/>
  <c r="V657" i="7"/>
  <c r="P658" i="7"/>
  <c r="Q658" i="7" s="1"/>
  <c r="U658" i="7"/>
  <c r="V658" i="7"/>
  <c r="P659" i="7"/>
  <c r="Q659" i="7" s="1"/>
  <c r="U659" i="7"/>
  <c r="V659" i="7"/>
  <c r="P660" i="7"/>
  <c r="Q660" i="7" s="1"/>
  <c r="U660" i="7"/>
  <c r="V660" i="7"/>
  <c r="P661" i="7"/>
  <c r="Q661" i="7" s="1"/>
  <c r="U661" i="7"/>
  <c r="V661" i="7"/>
  <c r="P662" i="7"/>
  <c r="Q662" i="7" s="1"/>
  <c r="U662" i="7"/>
  <c r="V662" i="7"/>
  <c r="P663" i="7"/>
  <c r="Q663" i="7" s="1"/>
  <c r="U663" i="7"/>
  <c r="V663" i="7"/>
  <c r="P664" i="7"/>
  <c r="Q664" i="7" s="1"/>
  <c r="U664" i="7"/>
  <c r="V664" i="7"/>
  <c r="P665" i="7"/>
  <c r="Q665" i="7" s="1"/>
  <c r="U665" i="7"/>
  <c r="V665" i="7"/>
  <c r="P666" i="7"/>
  <c r="Q666" i="7" s="1"/>
  <c r="U666" i="7"/>
  <c r="V666" i="7"/>
  <c r="P667" i="7"/>
  <c r="Q667" i="7" s="1"/>
  <c r="U667" i="7"/>
  <c r="V667" i="7"/>
  <c r="P668" i="7"/>
  <c r="Q668" i="7" s="1"/>
  <c r="U668" i="7"/>
  <c r="V668" i="7"/>
  <c r="P669" i="7"/>
  <c r="Q669" i="7" s="1"/>
  <c r="U669" i="7"/>
  <c r="V669" i="7"/>
  <c r="P670" i="7"/>
  <c r="Q670" i="7" s="1"/>
  <c r="U670" i="7"/>
  <c r="V670" i="7"/>
  <c r="P671" i="7"/>
  <c r="Q671" i="7" s="1"/>
  <c r="U671" i="7"/>
  <c r="V671" i="7"/>
  <c r="P672" i="7"/>
  <c r="Q672" i="7" s="1"/>
  <c r="U672" i="7"/>
  <c r="V672" i="7"/>
  <c r="P673" i="7"/>
  <c r="Q673" i="7" s="1"/>
  <c r="U673" i="7"/>
  <c r="V673" i="7"/>
  <c r="P674" i="7"/>
  <c r="Q674" i="7" s="1"/>
  <c r="U674" i="7"/>
  <c r="V674" i="7"/>
  <c r="P675" i="7"/>
  <c r="Q675" i="7" s="1"/>
  <c r="U675" i="7"/>
  <c r="V675" i="7"/>
  <c r="P676" i="7"/>
  <c r="Q676" i="7" s="1"/>
  <c r="U676" i="7"/>
  <c r="V676" i="7"/>
  <c r="P677" i="7"/>
  <c r="Q677" i="7" s="1"/>
  <c r="U677" i="7"/>
  <c r="V677" i="7"/>
  <c r="P678" i="7"/>
  <c r="Q678" i="7" s="1"/>
  <c r="U678" i="7"/>
  <c r="V678" i="7"/>
  <c r="P679" i="7"/>
  <c r="Q679" i="7" s="1"/>
  <c r="U679" i="7"/>
  <c r="V679" i="7"/>
  <c r="P680" i="7"/>
  <c r="Q680" i="7" s="1"/>
  <c r="U680" i="7"/>
  <c r="V680" i="7"/>
  <c r="P681" i="7"/>
  <c r="Q681" i="7" s="1"/>
  <c r="U681" i="7"/>
  <c r="V681" i="7"/>
  <c r="P682" i="7"/>
  <c r="Q682" i="7" s="1"/>
  <c r="U682" i="7"/>
  <c r="V682" i="7"/>
  <c r="P683" i="7"/>
  <c r="Q683" i="7" s="1"/>
  <c r="U683" i="7"/>
  <c r="V683" i="7"/>
  <c r="P684" i="7"/>
  <c r="Q684" i="7" s="1"/>
  <c r="U684" i="7"/>
  <c r="V684" i="7"/>
  <c r="P685" i="7"/>
  <c r="Q685" i="7" s="1"/>
  <c r="U685" i="7"/>
  <c r="V685" i="7"/>
  <c r="P686" i="7"/>
  <c r="Q686" i="7" s="1"/>
  <c r="U686" i="7"/>
  <c r="V686" i="7"/>
  <c r="P687" i="7"/>
  <c r="Q687" i="7" s="1"/>
  <c r="U687" i="7"/>
  <c r="V687" i="7"/>
  <c r="P688" i="7"/>
  <c r="Q688" i="7" s="1"/>
  <c r="U688" i="7"/>
  <c r="V688" i="7"/>
  <c r="P689" i="7"/>
  <c r="Q689" i="7" s="1"/>
  <c r="U689" i="7"/>
  <c r="V689" i="7"/>
  <c r="P690" i="7"/>
  <c r="Q690" i="7" s="1"/>
  <c r="U690" i="7"/>
  <c r="V690" i="7"/>
  <c r="P691" i="7"/>
  <c r="Q691" i="7" s="1"/>
  <c r="U691" i="7"/>
  <c r="V691" i="7"/>
  <c r="P692" i="7"/>
  <c r="Q692" i="7" s="1"/>
  <c r="U692" i="7"/>
  <c r="V692" i="7"/>
  <c r="P693" i="7"/>
  <c r="Q693" i="7" s="1"/>
  <c r="U693" i="7"/>
  <c r="V693" i="7"/>
  <c r="P694" i="7"/>
  <c r="Q694" i="7" s="1"/>
  <c r="U694" i="7"/>
  <c r="V694" i="7"/>
  <c r="P695" i="7"/>
  <c r="Q695" i="7" s="1"/>
  <c r="U695" i="7"/>
  <c r="V695" i="7"/>
  <c r="P696" i="7"/>
  <c r="Q696" i="7" s="1"/>
  <c r="U696" i="7"/>
  <c r="V696" i="7"/>
  <c r="P697" i="7"/>
  <c r="Q697" i="7" s="1"/>
  <c r="U697" i="7"/>
  <c r="V697" i="7"/>
  <c r="P698" i="7"/>
  <c r="Q698" i="7" s="1"/>
  <c r="U698" i="7"/>
  <c r="V698" i="7"/>
  <c r="P699" i="7"/>
  <c r="Q699" i="7" s="1"/>
  <c r="U699" i="7"/>
  <c r="V699" i="7"/>
  <c r="P700" i="7"/>
  <c r="Q700" i="7" s="1"/>
  <c r="U700" i="7"/>
  <c r="V700" i="7"/>
  <c r="P701" i="7"/>
  <c r="Q701" i="7" s="1"/>
  <c r="U701" i="7"/>
  <c r="V701" i="7"/>
  <c r="P702" i="7"/>
  <c r="Q702" i="7" s="1"/>
  <c r="U702" i="7"/>
  <c r="V702" i="7"/>
  <c r="P703" i="7"/>
  <c r="Q703" i="7" s="1"/>
  <c r="U703" i="7"/>
  <c r="V703" i="7"/>
  <c r="P704" i="7"/>
  <c r="Q704" i="7" s="1"/>
  <c r="U704" i="7"/>
  <c r="V704" i="7"/>
  <c r="P705" i="7"/>
  <c r="Q705" i="7" s="1"/>
  <c r="U705" i="7"/>
  <c r="V705" i="7"/>
  <c r="P706" i="7"/>
  <c r="Q706" i="7" s="1"/>
  <c r="U706" i="7"/>
  <c r="V706" i="7"/>
  <c r="P707" i="7"/>
  <c r="Q707" i="7" s="1"/>
  <c r="U707" i="7"/>
  <c r="V707" i="7"/>
  <c r="P708" i="7"/>
  <c r="Q708" i="7" s="1"/>
  <c r="U708" i="7"/>
  <c r="V708" i="7"/>
  <c r="P709" i="7"/>
  <c r="Q709" i="7" s="1"/>
  <c r="U709" i="7"/>
  <c r="V709" i="7"/>
  <c r="P710" i="7"/>
  <c r="Q710" i="7" s="1"/>
  <c r="U710" i="7"/>
  <c r="V710" i="7"/>
  <c r="P711" i="7"/>
  <c r="Q711" i="7" s="1"/>
  <c r="U711" i="7"/>
  <c r="V711" i="7"/>
  <c r="P712" i="7"/>
  <c r="Q712" i="7" s="1"/>
  <c r="U712" i="7"/>
  <c r="V712" i="7"/>
  <c r="P713" i="7"/>
  <c r="Q713" i="7" s="1"/>
  <c r="U713" i="7"/>
  <c r="V713" i="7"/>
  <c r="P714" i="7"/>
  <c r="Q714" i="7" s="1"/>
  <c r="U714" i="7"/>
  <c r="V714" i="7"/>
  <c r="P715" i="7"/>
  <c r="Q715" i="7" s="1"/>
  <c r="U715" i="7"/>
  <c r="V715" i="7"/>
  <c r="P716" i="7"/>
  <c r="Q716" i="7" s="1"/>
  <c r="U716" i="7"/>
  <c r="V716" i="7"/>
  <c r="P717" i="7"/>
  <c r="Q717" i="7" s="1"/>
  <c r="U717" i="7"/>
  <c r="V717" i="7"/>
  <c r="P718" i="7"/>
  <c r="Q718" i="7" s="1"/>
  <c r="U718" i="7"/>
  <c r="V718" i="7"/>
  <c r="P719" i="7"/>
  <c r="Q719" i="7" s="1"/>
  <c r="U719" i="7"/>
  <c r="V719" i="7"/>
  <c r="P720" i="7"/>
  <c r="Q720" i="7" s="1"/>
  <c r="U720" i="7"/>
  <c r="V720" i="7"/>
  <c r="P721" i="7"/>
  <c r="Q721" i="7" s="1"/>
  <c r="U721" i="7"/>
  <c r="V721" i="7"/>
  <c r="P722" i="7"/>
  <c r="Q722" i="7" s="1"/>
  <c r="U722" i="7"/>
  <c r="V722" i="7"/>
  <c r="P723" i="7"/>
  <c r="Q723" i="7" s="1"/>
  <c r="U723" i="7"/>
  <c r="V723" i="7"/>
  <c r="P724" i="7"/>
  <c r="Q724" i="7" s="1"/>
  <c r="U724" i="7"/>
  <c r="V724" i="7"/>
  <c r="P725" i="7"/>
  <c r="Q725" i="7" s="1"/>
  <c r="U725" i="7"/>
  <c r="V725" i="7"/>
  <c r="P726" i="7"/>
  <c r="Q726" i="7" s="1"/>
  <c r="U726" i="7"/>
  <c r="V726" i="7"/>
  <c r="P727" i="7"/>
  <c r="Q727" i="7" s="1"/>
  <c r="U727" i="7"/>
  <c r="V727" i="7"/>
  <c r="P728" i="7"/>
  <c r="Q728" i="7" s="1"/>
  <c r="U728" i="7"/>
  <c r="V728" i="7"/>
  <c r="P729" i="7"/>
  <c r="Q729" i="7" s="1"/>
  <c r="U729" i="7"/>
  <c r="V729" i="7"/>
  <c r="P730" i="7"/>
  <c r="Q730" i="7" s="1"/>
  <c r="U730" i="7"/>
  <c r="V730" i="7"/>
  <c r="P731" i="7"/>
  <c r="Q731" i="7" s="1"/>
  <c r="U731" i="7"/>
  <c r="V731" i="7"/>
  <c r="P732" i="7"/>
  <c r="Q732" i="7" s="1"/>
  <c r="U732" i="7"/>
  <c r="V732" i="7"/>
  <c r="P733" i="7"/>
  <c r="Q733" i="7" s="1"/>
  <c r="U733" i="7"/>
  <c r="V733" i="7"/>
  <c r="P734" i="7"/>
  <c r="Q734" i="7" s="1"/>
  <c r="U734" i="7"/>
  <c r="V734" i="7"/>
  <c r="P735" i="7"/>
  <c r="Q735" i="7" s="1"/>
  <c r="U735" i="7"/>
  <c r="V735" i="7"/>
  <c r="P736" i="7"/>
  <c r="Q736" i="7" s="1"/>
  <c r="U736" i="7"/>
  <c r="V736" i="7"/>
  <c r="P737" i="7"/>
  <c r="Q737" i="7" s="1"/>
  <c r="U737" i="7"/>
  <c r="V737" i="7"/>
  <c r="P738" i="7"/>
  <c r="Q738" i="7" s="1"/>
  <c r="U738" i="7"/>
  <c r="V738" i="7"/>
  <c r="P739" i="7"/>
  <c r="Q739" i="7" s="1"/>
  <c r="U739" i="7"/>
  <c r="V739" i="7"/>
  <c r="P740" i="7"/>
  <c r="Q740" i="7" s="1"/>
  <c r="U740" i="7"/>
  <c r="V740" i="7"/>
  <c r="P741" i="7"/>
  <c r="Q741" i="7" s="1"/>
  <c r="U741" i="7"/>
  <c r="V741" i="7"/>
  <c r="P742" i="7"/>
  <c r="Q742" i="7" s="1"/>
  <c r="U742" i="7"/>
  <c r="V742" i="7"/>
  <c r="P743" i="7"/>
  <c r="Q743" i="7" s="1"/>
  <c r="U743" i="7"/>
  <c r="V743" i="7"/>
  <c r="P744" i="7"/>
  <c r="Q744" i="7" s="1"/>
  <c r="U744" i="7"/>
  <c r="V744" i="7"/>
  <c r="P745" i="7"/>
  <c r="Q745" i="7" s="1"/>
  <c r="U745" i="7"/>
  <c r="V745" i="7"/>
  <c r="P746" i="7"/>
  <c r="Q746" i="7" s="1"/>
  <c r="U746" i="7"/>
  <c r="V746" i="7"/>
  <c r="P747" i="7"/>
  <c r="Q747" i="7" s="1"/>
  <c r="U747" i="7"/>
  <c r="V747" i="7"/>
  <c r="P748" i="7"/>
  <c r="Q748" i="7" s="1"/>
  <c r="U748" i="7"/>
  <c r="V748" i="7"/>
  <c r="P749" i="7"/>
  <c r="Q749" i="7" s="1"/>
  <c r="U749" i="7"/>
  <c r="V749" i="7"/>
  <c r="P750" i="7"/>
  <c r="Q750" i="7" s="1"/>
  <c r="U750" i="7"/>
  <c r="V750" i="7"/>
  <c r="P751" i="7"/>
  <c r="Q751" i="7" s="1"/>
  <c r="U751" i="7"/>
  <c r="V751" i="7"/>
  <c r="P752" i="7"/>
  <c r="Q752" i="7" s="1"/>
  <c r="U752" i="7"/>
  <c r="V752" i="7"/>
  <c r="P753" i="7"/>
  <c r="Q753" i="7" s="1"/>
  <c r="U753" i="7"/>
  <c r="V753" i="7"/>
  <c r="P754" i="7"/>
  <c r="Q754" i="7" s="1"/>
  <c r="U754" i="7"/>
  <c r="V754" i="7"/>
  <c r="P755" i="7"/>
  <c r="Q755" i="7" s="1"/>
  <c r="U755" i="7"/>
  <c r="V755" i="7"/>
  <c r="P756" i="7"/>
  <c r="Q756" i="7" s="1"/>
  <c r="U756" i="7"/>
  <c r="V756" i="7"/>
  <c r="P757" i="7"/>
  <c r="Q757" i="7" s="1"/>
  <c r="U757" i="7"/>
  <c r="V757" i="7"/>
  <c r="P758" i="7"/>
  <c r="Q758" i="7" s="1"/>
  <c r="U758" i="7"/>
  <c r="V758" i="7"/>
  <c r="P759" i="7"/>
  <c r="Q759" i="7" s="1"/>
  <c r="U759" i="7"/>
  <c r="V759" i="7"/>
  <c r="P760" i="7"/>
  <c r="Q760" i="7" s="1"/>
  <c r="U760" i="7"/>
  <c r="V760" i="7"/>
  <c r="P761" i="7"/>
  <c r="Q761" i="7" s="1"/>
  <c r="U761" i="7"/>
  <c r="V761" i="7"/>
  <c r="P762" i="7"/>
  <c r="Q762" i="7" s="1"/>
  <c r="U762" i="7"/>
  <c r="V762" i="7"/>
  <c r="P763" i="7"/>
  <c r="Q763" i="7" s="1"/>
  <c r="U763" i="7"/>
  <c r="V763" i="7"/>
  <c r="P764" i="7"/>
  <c r="Q764" i="7" s="1"/>
  <c r="U764" i="7"/>
  <c r="V764" i="7"/>
  <c r="P765" i="7"/>
  <c r="Q765" i="7" s="1"/>
  <c r="U765" i="7"/>
  <c r="V765" i="7"/>
  <c r="P766" i="7"/>
  <c r="Q766" i="7" s="1"/>
  <c r="U766" i="7"/>
  <c r="V766" i="7"/>
  <c r="P767" i="7"/>
  <c r="Q767" i="7" s="1"/>
  <c r="U767" i="7"/>
  <c r="V767" i="7"/>
  <c r="P768" i="7"/>
  <c r="Q768" i="7" s="1"/>
  <c r="U768" i="7"/>
  <c r="V768" i="7"/>
  <c r="P769" i="7"/>
  <c r="Q769" i="7" s="1"/>
  <c r="U769" i="7"/>
  <c r="V769" i="7"/>
  <c r="P770" i="7"/>
  <c r="Q770" i="7" s="1"/>
  <c r="U770" i="7"/>
  <c r="V770" i="7"/>
  <c r="P771" i="7"/>
  <c r="Q771" i="7" s="1"/>
  <c r="U771" i="7"/>
  <c r="V771" i="7"/>
  <c r="P772" i="7"/>
  <c r="Q772" i="7" s="1"/>
  <c r="U772" i="7"/>
  <c r="V772" i="7"/>
  <c r="P773" i="7"/>
  <c r="Q773" i="7" s="1"/>
  <c r="U773" i="7"/>
  <c r="V773" i="7"/>
  <c r="P774" i="7"/>
  <c r="Q774" i="7" s="1"/>
  <c r="U774" i="7"/>
  <c r="V774" i="7"/>
  <c r="P775" i="7"/>
  <c r="Q775" i="7" s="1"/>
  <c r="U775" i="7"/>
  <c r="V775" i="7"/>
  <c r="P776" i="7"/>
  <c r="Q776" i="7" s="1"/>
  <c r="U776" i="7"/>
  <c r="V776" i="7"/>
  <c r="P777" i="7"/>
  <c r="Q777" i="7" s="1"/>
  <c r="U777" i="7"/>
  <c r="V777" i="7"/>
  <c r="P778" i="7"/>
  <c r="Q778" i="7" s="1"/>
  <c r="U778" i="7"/>
  <c r="V778" i="7"/>
  <c r="P779" i="7"/>
  <c r="Q779" i="7" s="1"/>
  <c r="U779" i="7"/>
  <c r="V779" i="7"/>
  <c r="P780" i="7"/>
  <c r="Q780" i="7" s="1"/>
  <c r="U780" i="7"/>
  <c r="V780" i="7"/>
  <c r="P781" i="7"/>
  <c r="Q781" i="7" s="1"/>
  <c r="U781" i="7"/>
  <c r="V781" i="7"/>
  <c r="P782" i="7"/>
  <c r="Q782" i="7" s="1"/>
  <c r="U782" i="7"/>
  <c r="V782" i="7"/>
  <c r="P783" i="7"/>
  <c r="Q783" i="7" s="1"/>
  <c r="U783" i="7"/>
  <c r="V783" i="7"/>
  <c r="P784" i="7"/>
  <c r="Q784" i="7" s="1"/>
  <c r="U784" i="7"/>
  <c r="V784" i="7"/>
  <c r="P785" i="7"/>
  <c r="Q785" i="7" s="1"/>
  <c r="U785" i="7"/>
  <c r="V785" i="7"/>
  <c r="P786" i="7"/>
  <c r="Q786" i="7" s="1"/>
  <c r="U786" i="7"/>
  <c r="V786" i="7"/>
  <c r="P787" i="7"/>
  <c r="Q787" i="7" s="1"/>
  <c r="U787" i="7"/>
  <c r="V787" i="7"/>
  <c r="P788" i="7"/>
  <c r="Q788" i="7" s="1"/>
  <c r="U788" i="7"/>
  <c r="V788" i="7"/>
  <c r="P789" i="7"/>
  <c r="Q789" i="7" s="1"/>
  <c r="U789" i="7"/>
  <c r="V789" i="7"/>
  <c r="P790" i="7"/>
  <c r="Q790" i="7" s="1"/>
  <c r="U790" i="7"/>
  <c r="V790" i="7"/>
  <c r="P791" i="7"/>
  <c r="Q791" i="7" s="1"/>
  <c r="U791" i="7"/>
  <c r="V791" i="7"/>
  <c r="P792" i="7"/>
  <c r="Q792" i="7" s="1"/>
  <c r="U792" i="7"/>
  <c r="V792" i="7"/>
  <c r="P793" i="7"/>
  <c r="Q793" i="7" s="1"/>
  <c r="U793" i="7"/>
  <c r="V793" i="7"/>
  <c r="P794" i="7"/>
  <c r="Q794" i="7" s="1"/>
  <c r="U794" i="7"/>
  <c r="V794" i="7"/>
  <c r="P795" i="7"/>
  <c r="Q795" i="7" s="1"/>
  <c r="U795" i="7"/>
  <c r="V795" i="7"/>
  <c r="P796" i="7"/>
  <c r="Q796" i="7" s="1"/>
  <c r="U796" i="7"/>
  <c r="V796" i="7"/>
  <c r="P797" i="7"/>
  <c r="Q797" i="7" s="1"/>
  <c r="U797" i="7"/>
  <c r="V797" i="7"/>
  <c r="P798" i="7"/>
  <c r="Q798" i="7" s="1"/>
  <c r="U798" i="7"/>
  <c r="V798" i="7"/>
  <c r="P799" i="7"/>
  <c r="Q799" i="7" s="1"/>
  <c r="U799" i="7"/>
  <c r="V799" i="7"/>
  <c r="P800" i="7"/>
  <c r="Q800" i="7" s="1"/>
  <c r="U800" i="7"/>
  <c r="V800" i="7"/>
  <c r="P801" i="7"/>
  <c r="Q801" i="7" s="1"/>
  <c r="U801" i="7"/>
  <c r="V801" i="7"/>
  <c r="P802" i="7"/>
  <c r="Q802" i="7" s="1"/>
  <c r="U802" i="7"/>
  <c r="V802" i="7"/>
  <c r="P803" i="7"/>
  <c r="Q803" i="7" s="1"/>
  <c r="U803" i="7"/>
  <c r="V803" i="7"/>
  <c r="P804" i="7"/>
  <c r="Q804" i="7" s="1"/>
  <c r="U804" i="7"/>
  <c r="V804" i="7"/>
  <c r="P805" i="7"/>
  <c r="Q805" i="7" s="1"/>
  <c r="U805" i="7"/>
  <c r="V805" i="7"/>
  <c r="P806" i="7"/>
  <c r="Q806" i="7" s="1"/>
  <c r="U806" i="7"/>
  <c r="V806" i="7"/>
  <c r="P807" i="7"/>
  <c r="Q807" i="7" s="1"/>
  <c r="U807" i="7"/>
  <c r="V807" i="7"/>
  <c r="P808" i="7"/>
  <c r="Q808" i="7" s="1"/>
  <c r="U808" i="7"/>
  <c r="V808" i="7"/>
  <c r="P809" i="7"/>
  <c r="Q809" i="7" s="1"/>
  <c r="U809" i="7"/>
  <c r="V809" i="7"/>
  <c r="P810" i="7"/>
  <c r="Q810" i="7" s="1"/>
  <c r="U810" i="7"/>
  <c r="V810" i="7"/>
  <c r="P811" i="7"/>
  <c r="Q811" i="7" s="1"/>
  <c r="U811" i="7"/>
  <c r="V811" i="7"/>
  <c r="P812" i="7"/>
  <c r="Q812" i="7" s="1"/>
  <c r="U812" i="7"/>
  <c r="V812" i="7"/>
  <c r="P813" i="7"/>
  <c r="Q813" i="7" s="1"/>
  <c r="U813" i="7"/>
  <c r="V813" i="7"/>
  <c r="P814" i="7"/>
  <c r="Q814" i="7" s="1"/>
  <c r="U814" i="7"/>
  <c r="V814" i="7"/>
  <c r="P815" i="7"/>
  <c r="Q815" i="7" s="1"/>
  <c r="U815" i="7"/>
  <c r="V815" i="7"/>
  <c r="P816" i="7"/>
  <c r="Q816" i="7" s="1"/>
  <c r="U816" i="7"/>
  <c r="V816" i="7"/>
  <c r="P817" i="7"/>
  <c r="Q817" i="7" s="1"/>
  <c r="U817" i="7"/>
  <c r="V817" i="7"/>
  <c r="P818" i="7"/>
  <c r="Q818" i="7" s="1"/>
  <c r="U818" i="7"/>
  <c r="V818" i="7"/>
  <c r="P819" i="7"/>
  <c r="Q819" i="7" s="1"/>
  <c r="U819" i="7"/>
  <c r="V819" i="7"/>
  <c r="P820" i="7"/>
  <c r="Q820" i="7" s="1"/>
  <c r="U820" i="7"/>
  <c r="V820" i="7"/>
  <c r="P821" i="7"/>
  <c r="Q821" i="7" s="1"/>
  <c r="U821" i="7"/>
  <c r="V821" i="7"/>
  <c r="P822" i="7"/>
  <c r="Q822" i="7" s="1"/>
  <c r="U822" i="7"/>
  <c r="V822" i="7"/>
  <c r="P823" i="7"/>
  <c r="Q823" i="7" s="1"/>
  <c r="U823" i="7"/>
  <c r="V823" i="7"/>
  <c r="P824" i="7"/>
  <c r="Q824" i="7" s="1"/>
  <c r="U824" i="7"/>
  <c r="V824" i="7"/>
  <c r="P825" i="7"/>
  <c r="Q825" i="7" s="1"/>
  <c r="U825" i="7"/>
  <c r="V825" i="7"/>
  <c r="P826" i="7"/>
  <c r="Q826" i="7" s="1"/>
  <c r="U826" i="7"/>
  <c r="V826" i="7"/>
  <c r="P827" i="7"/>
  <c r="Q827" i="7" s="1"/>
  <c r="U827" i="7"/>
  <c r="V827" i="7"/>
  <c r="P828" i="7"/>
  <c r="Q828" i="7" s="1"/>
  <c r="U828" i="7"/>
  <c r="V828" i="7"/>
  <c r="P829" i="7"/>
  <c r="Q829" i="7" s="1"/>
  <c r="U829" i="7"/>
  <c r="V829" i="7"/>
  <c r="P830" i="7"/>
  <c r="Q830" i="7" s="1"/>
  <c r="U830" i="7"/>
  <c r="V830" i="7"/>
  <c r="P831" i="7"/>
  <c r="Q831" i="7" s="1"/>
  <c r="U831" i="7"/>
  <c r="V831" i="7"/>
  <c r="P832" i="7"/>
  <c r="Q832" i="7" s="1"/>
  <c r="U832" i="7"/>
  <c r="V832" i="7"/>
  <c r="P833" i="7"/>
  <c r="Q833" i="7" s="1"/>
  <c r="U833" i="7"/>
  <c r="V833" i="7"/>
  <c r="P834" i="7"/>
  <c r="Q834" i="7" s="1"/>
  <c r="U834" i="7"/>
  <c r="V834" i="7"/>
  <c r="P835" i="7"/>
  <c r="Q835" i="7" s="1"/>
  <c r="U835" i="7"/>
  <c r="V835" i="7"/>
  <c r="P836" i="7"/>
  <c r="Q836" i="7" s="1"/>
  <c r="U836" i="7"/>
  <c r="V836" i="7"/>
  <c r="P837" i="7"/>
  <c r="Q837" i="7" s="1"/>
  <c r="U837" i="7"/>
  <c r="V837" i="7"/>
  <c r="P838" i="7"/>
  <c r="Q838" i="7" s="1"/>
  <c r="U838" i="7"/>
  <c r="V838" i="7"/>
  <c r="P839" i="7"/>
  <c r="Q839" i="7" s="1"/>
  <c r="U839" i="7"/>
  <c r="V839" i="7"/>
  <c r="P840" i="7"/>
  <c r="Q840" i="7" s="1"/>
  <c r="U840" i="7"/>
  <c r="V840" i="7"/>
  <c r="P841" i="7"/>
  <c r="Q841" i="7" s="1"/>
  <c r="U841" i="7"/>
  <c r="V841" i="7"/>
  <c r="P842" i="7"/>
  <c r="Q842" i="7" s="1"/>
  <c r="U842" i="7"/>
  <c r="V842" i="7"/>
  <c r="P843" i="7"/>
  <c r="Q843" i="7" s="1"/>
  <c r="U843" i="7"/>
  <c r="V843" i="7"/>
  <c r="P844" i="7"/>
  <c r="Q844" i="7" s="1"/>
  <c r="U844" i="7"/>
  <c r="V844" i="7"/>
  <c r="P845" i="7"/>
  <c r="Q845" i="7" s="1"/>
  <c r="U845" i="7"/>
  <c r="V845" i="7"/>
  <c r="P846" i="7"/>
  <c r="Q846" i="7" s="1"/>
  <c r="U846" i="7"/>
  <c r="V846" i="7"/>
  <c r="P847" i="7"/>
  <c r="Q847" i="7" s="1"/>
  <c r="U847" i="7"/>
  <c r="V847" i="7"/>
  <c r="P848" i="7"/>
  <c r="Q848" i="7" s="1"/>
  <c r="U848" i="7"/>
  <c r="V848" i="7"/>
  <c r="P849" i="7"/>
  <c r="Q849" i="7" s="1"/>
  <c r="U849" i="7"/>
  <c r="V849" i="7"/>
  <c r="P850" i="7"/>
  <c r="Q850" i="7" s="1"/>
  <c r="U850" i="7"/>
  <c r="V850" i="7"/>
  <c r="P851" i="7"/>
  <c r="Q851" i="7" s="1"/>
  <c r="U851" i="7"/>
  <c r="V851" i="7"/>
  <c r="P852" i="7"/>
  <c r="Q852" i="7" s="1"/>
  <c r="U852" i="7"/>
  <c r="V852" i="7"/>
  <c r="P853" i="7"/>
  <c r="Q853" i="7" s="1"/>
  <c r="U853" i="7"/>
  <c r="V853" i="7"/>
  <c r="P854" i="7"/>
  <c r="Q854" i="7" s="1"/>
  <c r="U854" i="7"/>
  <c r="V854" i="7"/>
  <c r="P855" i="7"/>
  <c r="Q855" i="7" s="1"/>
  <c r="U855" i="7"/>
  <c r="V855" i="7"/>
  <c r="P856" i="7"/>
  <c r="Q856" i="7" s="1"/>
  <c r="U856" i="7"/>
  <c r="V856" i="7"/>
  <c r="P857" i="7"/>
  <c r="Q857" i="7" s="1"/>
  <c r="U857" i="7"/>
  <c r="V857" i="7"/>
  <c r="P858" i="7"/>
  <c r="Q858" i="7" s="1"/>
  <c r="U858" i="7"/>
  <c r="V858" i="7"/>
  <c r="P859" i="7"/>
  <c r="Q859" i="7" s="1"/>
  <c r="U859" i="7"/>
  <c r="V859" i="7"/>
  <c r="P860" i="7"/>
  <c r="Q860" i="7" s="1"/>
  <c r="U860" i="7"/>
  <c r="V860" i="7"/>
  <c r="P861" i="7"/>
  <c r="Q861" i="7" s="1"/>
  <c r="U861" i="7"/>
  <c r="V861" i="7"/>
  <c r="P862" i="7"/>
  <c r="Q862" i="7" s="1"/>
  <c r="U862" i="7"/>
  <c r="V862" i="7"/>
  <c r="P863" i="7"/>
  <c r="Q863" i="7" s="1"/>
  <c r="U863" i="7"/>
  <c r="V863" i="7"/>
  <c r="P864" i="7"/>
  <c r="Q864" i="7" s="1"/>
  <c r="U864" i="7"/>
  <c r="V864" i="7"/>
  <c r="P865" i="7"/>
  <c r="Q865" i="7" s="1"/>
  <c r="U865" i="7"/>
  <c r="V865" i="7"/>
  <c r="P866" i="7"/>
  <c r="Q866" i="7" s="1"/>
  <c r="U866" i="7"/>
  <c r="V866" i="7"/>
  <c r="P867" i="7"/>
  <c r="Q867" i="7" s="1"/>
  <c r="U867" i="7"/>
  <c r="V867" i="7"/>
  <c r="P868" i="7"/>
  <c r="Q868" i="7" s="1"/>
  <c r="U868" i="7"/>
  <c r="V868" i="7"/>
  <c r="P869" i="7"/>
  <c r="Q869" i="7" s="1"/>
  <c r="U869" i="7"/>
  <c r="V869" i="7"/>
  <c r="P870" i="7"/>
  <c r="Q870" i="7" s="1"/>
  <c r="U870" i="7"/>
  <c r="V870" i="7"/>
  <c r="P871" i="7"/>
  <c r="Q871" i="7" s="1"/>
  <c r="U871" i="7"/>
  <c r="V871" i="7"/>
  <c r="P872" i="7"/>
  <c r="Q872" i="7" s="1"/>
  <c r="U872" i="7"/>
  <c r="V872" i="7"/>
  <c r="P873" i="7"/>
  <c r="Q873" i="7" s="1"/>
  <c r="U873" i="7"/>
  <c r="V873" i="7"/>
  <c r="P874" i="7"/>
  <c r="Q874" i="7" s="1"/>
  <c r="U874" i="7"/>
  <c r="V874" i="7"/>
  <c r="P875" i="7"/>
  <c r="Q875" i="7" s="1"/>
  <c r="U875" i="7"/>
  <c r="V875" i="7"/>
  <c r="P876" i="7"/>
  <c r="Q876" i="7" s="1"/>
  <c r="U876" i="7"/>
  <c r="V876" i="7"/>
  <c r="P877" i="7"/>
  <c r="Q877" i="7" s="1"/>
  <c r="U877" i="7"/>
  <c r="V877" i="7"/>
  <c r="P878" i="7"/>
  <c r="Q878" i="7" s="1"/>
  <c r="U878" i="7"/>
  <c r="V878" i="7"/>
  <c r="P879" i="7"/>
  <c r="Q879" i="7" s="1"/>
  <c r="U879" i="7"/>
  <c r="V879" i="7"/>
  <c r="P880" i="7"/>
  <c r="Q880" i="7" s="1"/>
  <c r="U880" i="7"/>
  <c r="V880" i="7"/>
  <c r="P881" i="7"/>
  <c r="Q881" i="7" s="1"/>
  <c r="U881" i="7"/>
  <c r="V881" i="7"/>
  <c r="P882" i="7"/>
  <c r="Q882" i="7" s="1"/>
  <c r="U882" i="7"/>
  <c r="V882" i="7"/>
  <c r="P883" i="7"/>
  <c r="Q883" i="7" s="1"/>
  <c r="U883" i="7"/>
  <c r="V883" i="7"/>
  <c r="P884" i="7"/>
  <c r="Q884" i="7" s="1"/>
  <c r="U884" i="7"/>
  <c r="V884" i="7"/>
  <c r="P885" i="7"/>
  <c r="Q885" i="7" s="1"/>
  <c r="U885" i="7"/>
  <c r="V885" i="7"/>
  <c r="P886" i="7"/>
  <c r="Q886" i="7" s="1"/>
  <c r="U886" i="7"/>
  <c r="V886" i="7"/>
  <c r="P887" i="7"/>
  <c r="Q887" i="7" s="1"/>
  <c r="U887" i="7"/>
  <c r="V887" i="7"/>
  <c r="P888" i="7"/>
  <c r="Q888" i="7" s="1"/>
  <c r="U888" i="7"/>
  <c r="V888" i="7"/>
  <c r="P889" i="7"/>
  <c r="Q889" i="7" s="1"/>
  <c r="U889" i="7"/>
  <c r="V889" i="7"/>
  <c r="P890" i="7"/>
  <c r="Q890" i="7" s="1"/>
  <c r="U890" i="7"/>
  <c r="V890" i="7"/>
  <c r="P891" i="7"/>
  <c r="Q891" i="7" s="1"/>
  <c r="U891" i="7"/>
  <c r="V891" i="7"/>
  <c r="P892" i="7"/>
  <c r="Q892" i="7" s="1"/>
  <c r="U892" i="7"/>
  <c r="V892" i="7"/>
  <c r="P893" i="7"/>
  <c r="Q893" i="7" s="1"/>
  <c r="U893" i="7"/>
  <c r="V893" i="7"/>
  <c r="P894" i="7"/>
  <c r="Q894" i="7" s="1"/>
  <c r="U894" i="7"/>
  <c r="V894" i="7"/>
  <c r="P895" i="7"/>
  <c r="Q895" i="7" s="1"/>
  <c r="U895" i="7"/>
  <c r="V895" i="7"/>
  <c r="P896" i="7"/>
  <c r="Q896" i="7" s="1"/>
  <c r="U896" i="7"/>
  <c r="V896" i="7"/>
  <c r="P897" i="7"/>
  <c r="Q897" i="7" s="1"/>
  <c r="U897" i="7"/>
  <c r="V897" i="7"/>
  <c r="P898" i="7"/>
  <c r="Q898" i="7" s="1"/>
  <c r="U898" i="7"/>
  <c r="V898" i="7"/>
  <c r="P899" i="7"/>
  <c r="Q899" i="7" s="1"/>
  <c r="U899" i="7"/>
  <c r="V899" i="7"/>
  <c r="P900" i="7"/>
  <c r="Q900" i="7" s="1"/>
  <c r="U900" i="7"/>
  <c r="V900" i="7"/>
  <c r="P901" i="7"/>
  <c r="Q901" i="7" s="1"/>
  <c r="U901" i="7"/>
  <c r="V901" i="7"/>
  <c r="P902" i="7"/>
  <c r="Q902" i="7" s="1"/>
  <c r="U902" i="7"/>
  <c r="V902" i="7"/>
  <c r="P903" i="7"/>
  <c r="Q903" i="7" s="1"/>
  <c r="U903" i="7"/>
  <c r="V903" i="7"/>
  <c r="P904" i="7"/>
  <c r="Q904" i="7" s="1"/>
  <c r="U904" i="7"/>
  <c r="V904" i="7"/>
  <c r="P905" i="7"/>
  <c r="Q905" i="7" s="1"/>
  <c r="U905" i="7"/>
  <c r="V905" i="7"/>
  <c r="P906" i="7"/>
  <c r="Q906" i="7" s="1"/>
  <c r="U906" i="7"/>
  <c r="V906" i="7"/>
  <c r="P907" i="7"/>
  <c r="Q907" i="7" s="1"/>
  <c r="U907" i="7"/>
  <c r="V907" i="7"/>
  <c r="P908" i="7"/>
  <c r="Q908" i="7" s="1"/>
  <c r="U908" i="7"/>
  <c r="V908" i="7"/>
  <c r="P909" i="7"/>
  <c r="Q909" i="7" s="1"/>
  <c r="U909" i="7"/>
  <c r="V909" i="7"/>
  <c r="P910" i="7"/>
  <c r="Q910" i="7" s="1"/>
  <c r="U910" i="7"/>
  <c r="V910" i="7"/>
  <c r="P911" i="7"/>
  <c r="Q911" i="7" s="1"/>
  <c r="U911" i="7"/>
  <c r="V911" i="7"/>
  <c r="P912" i="7"/>
  <c r="Q912" i="7" s="1"/>
  <c r="U912" i="7"/>
  <c r="V912" i="7"/>
  <c r="P913" i="7"/>
  <c r="Q913" i="7" s="1"/>
  <c r="U913" i="7"/>
  <c r="V913" i="7"/>
  <c r="P914" i="7"/>
  <c r="Q914" i="7" s="1"/>
  <c r="U914" i="7"/>
  <c r="V914" i="7"/>
  <c r="P915" i="7"/>
  <c r="Q915" i="7" s="1"/>
  <c r="U915" i="7"/>
  <c r="V915" i="7"/>
  <c r="P916" i="7"/>
  <c r="Q916" i="7" s="1"/>
  <c r="U916" i="7"/>
  <c r="V916" i="7"/>
  <c r="P917" i="7"/>
  <c r="Q917" i="7" s="1"/>
  <c r="U917" i="7"/>
  <c r="V917" i="7"/>
  <c r="P918" i="7"/>
  <c r="Q918" i="7" s="1"/>
  <c r="U918" i="7"/>
  <c r="V918" i="7"/>
  <c r="P919" i="7"/>
  <c r="Q919" i="7" s="1"/>
  <c r="U919" i="7"/>
  <c r="V919" i="7"/>
  <c r="P920" i="7"/>
  <c r="Q920" i="7" s="1"/>
  <c r="U920" i="7"/>
  <c r="V920" i="7"/>
  <c r="P921" i="7"/>
  <c r="Q921" i="7" s="1"/>
  <c r="U921" i="7"/>
  <c r="V921" i="7"/>
  <c r="P922" i="7"/>
  <c r="Q922" i="7" s="1"/>
  <c r="U922" i="7"/>
  <c r="V922" i="7"/>
  <c r="P923" i="7"/>
  <c r="Q923" i="7" s="1"/>
  <c r="U923" i="7"/>
  <c r="V923" i="7"/>
  <c r="P925" i="7"/>
  <c r="Q925" i="7" s="1"/>
  <c r="U925" i="7"/>
  <c r="V925" i="7"/>
  <c r="P926" i="7"/>
  <c r="Q926" i="7" s="1"/>
  <c r="U926" i="7"/>
  <c r="V926" i="7"/>
  <c r="P927" i="7"/>
  <c r="Q927" i="7" s="1"/>
  <c r="U927" i="7"/>
  <c r="V927" i="7"/>
  <c r="P928" i="7"/>
  <c r="Q928" i="7" s="1"/>
  <c r="U928" i="7"/>
  <c r="V928" i="7"/>
  <c r="P929" i="7"/>
  <c r="Q929" i="7" s="1"/>
  <c r="U929" i="7"/>
  <c r="V929" i="7"/>
  <c r="P930" i="7"/>
  <c r="Q930" i="7" s="1"/>
  <c r="U930" i="7"/>
  <c r="V930" i="7"/>
  <c r="P931" i="7"/>
  <c r="Q931" i="7" s="1"/>
  <c r="U931" i="7"/>
  <c r="V931" i="7"/>
  <c r="P932" i="7"/>
  <c r="Q932" i="7" s="1"/>
  <c r="U932" i="7"/>
  <c r="V932" i="7"/>
  <c r="P933" i="7"/>
  <c r="Q933" i="7" s="1"/>
  <c r="U933" i="7"/>
  <c r="V933" i="7"/>
  <c r="P934" i="7"/>
  <c r="Q934" i="7" s="1"/>
  <c r="U934" i="7"/>
  <c r="V934" i="7"/>
  <c r="P935" i="7"/>
  <c r="Q935" i="7" s="1"/>
  <c r="U935" i="7"/>
  <c r="V935" i="7"/>
  <c r="P936" i="7"/>
  <c r="Q936" i="7" s="1"/>
  <c r="U936" i="7"/>
  <c r="V936" i="7"/>
  <c r="P937" i="7"/>
  <c r="Q937" i="7" s="1"/>
  <c r="U937" i="7"/>
  <c r="V937" i="7"/>
  <c r="P938" i="7"/>
  <c r="Q938" i="7" s="1"/>
  <c r="U938" i="7"/>
  <c r="V938" i="7"/>
  <c r="P939" i="7"/>
  <c r="Q939" i="7" s="1"/>
  <c r="U939" i="7"/>
  <c r="V939" i="7"/>
  <c r="P940" i="7"/>
  <c r="Q940" i="7" s="1"/>
  <c r="U940" i="7"/>
  <c r="V940" i="7"/>
  <c r="P941" i="7"/>
  <c r="Q941" i="7" s="1"/>
  <c r="U941" i="7"/>
  <c r="V941" i="7"/>
  <c r="P942" i="7"/>
  <c r="Q942" i="7" s="1"/>
  <c r="U942" i="7"/>
  <c r="V942" i="7"/>
  <c r="P943" i="7"/>
  <c r="Q943" i="7" s="1"/>
  <c r="U943" i="7"/>
  <c r="V943" i="7"/>
  <c r="P944" i="7"/>
  <c r="Q944" i="7" s="1"/>
  <c r="U944" i="7"/>
  <c r="V944" i="7"/>
  <c r="P945" i="7"/>
  <c r="Q945" i="7" s="1"/>
  <c r="U945" i="7"/>
  <c r="V945" i="7"/>
  <c r="P946" i="7"/>
  <c r="Q946" i="7" s="1"/>
  <c r="U946" i="7"/>
  <c r="V946" i="7"/>
  <c r="P947" i="7"/>
  <c r="Q947" i="7" s="1"/>
  <c r="U947" i="7"/>
  <c r="V947" i="7"/>
  <c r="P948" i="7"/>
  <c r="Q948" i="7" s="1"/>
  <c r="U948" i="7"/>
  <c r="V948" i="7"/>
  <c r="P949" i="7"/>
  <c r="Q949" i="7" s="1"/>
  <c r="U949" i="7"/>
  <c r="V949" i="7"/>
  <c r="P950" i="7"/>
  <c r="Q950" i="7" s="1"/>
  <c r="U950" i="7"/>
  <c r="V950" i="7"/>
  <c r="P951" i="7"/>
  <c r="Q951" i="7" s="1"/>
  <c r="U951" i="7"/>
  <c r="V951" i="7"/>
  <c r="P952" i="7"/>
  <c r="Q952" i="7" s="1"/>
  <c r="U952" i="7"/>
  <c r="V952" i="7"/>
  <c r="P953" i="7"/>
  <c r="Q953" i="7" s="1"/>
  <c r="U953" i="7"/>
  <c r="V953" i="7"/>
  <c r="P954" i="7"/>
  <c r="Q954" i="7" s="1"/>
  <c r="U954" i="7"/>
  <c r="V954" i="7"/>
  <c r="P955" i="7"/>
  <c r="Q955" i="7" s="1"/>
  <c r="U955" i="7"/>
  <c r="V955" i="7"/>
  <c r="P956" i="7"/>
  <c r="Q956" i="7" s="1"/>
  <c r="U956" i="7"/>
  <c r="V956" i="7"/>
  <c r="P924" i="7"/>
  <c r="Q924" i="7" s="1"/>
  <c r="U924" i="7"/>
  <c r="V924" i="7"/>
  <c r="P452" i="7"/>
  <c r="Q452" i="7" s="1"/>
  <c r="U452" i="7"/>
  <c r="V452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BC159" i="4" l="1"/>
  <c r="BC155" i="4"/>
  <c r="AR154" i="4"/>
  <c r="BC143" i="4"/>
  <c r="BC139" i="4"/>
  <c r="BC135" i="4"/>
  <c r="BC131" i="4"/>
  <c r="BC127" i="4"/>
  <c r="BC123" i="4"/>
  <c r="BC119" i="4"/>
  <c r="BC115" i="4"/>
  <c r="BC111" i="4"/>
  <c r="BC107" i="4"/>
  <c r="BC103" i="4"/>
  <c r="BC99" i="4"/>
  <c r="BC95" i="4"/>
  <c r="BC91" i="4"/>
  <c r="BC181" i="4"/>
  <c r="BC169" i="4"/>
  <c r="AR151" i="4"/>
  <c r="BC88" i="4"/>
  <c r="AR149" i="4"/>
  <c r="BC146" i="4"/>
  <c r="BC142" i="4"/>
  <c r="BC138" i="4"/>
  <c r="BC134" i="4"/>
  <c r="BC130" i="4"/>
  <c r="BC126" i="4"/>
  <c r="BC122" i="4"/>
  <c r="BC118" i="4"/>
  <c r="BC114" i="4"/>
  <c r="BC110" i="4"/>
  <c r="BC106" i="4"/>
  <c r="BC102" i="4"/>
  <c r="BC98" i="4"/>
  <c r="BC94" i="4"/>
  <c r="BC90" i="4"/>
  <c r="BC153" i="4"/>
  <c r="AR148" i="4"/>
  <c r="AR89" i="4"/>
  <c r="BC165" i="4"/>
  <c r="BC167" i="4"/>
  <c r="BC180" i="4"/>
  <c r="BC176" i="4"/>
  <c r="AR176" i="4"/>
  <c r="AR161" i="4"/>
  <c r="AR160" i="4"/>
  <c r="BC179" i="4"/>
  <c r="BC175" i="4"/>
  <c r="AR171" i="4"/>
  <c r="BC168" i="4"/>
  <c r="AR159" i="4"/>
  <c r="BC145" i="4"/>
  <c r="BC141" i="4"/>
  <c r="BC137" i="4"/>
  <c r="BC133" i="4"/>
  <c r="BC129" i="4"/>
  <c r="BC125" i="4"/>
  <c r="BC121" i="4"/>
  <c r="BC117" i="4"/>
  <c r="BC113" i="4"/>
  <c r="BC109" i="4"/>
  <c r="BC105" i="4"/>
  <c r="BC101" i="4"/>
  <c r="BC97" i="4"/>
  <c r="BC93" i="4"/>
  <c r="AR172" i="4"/>
  <c r="AR150" i="4"/>
  <c r="AR87" i="4"/>
  <c r="AR178" i="4"/>
  <c r="BC172" i="4"/>
  <c r="AR166" i="4"/>
  <c r="BC164" i="4"/>
  <c r="BC163" i="4"/>
  <c r="AR162" i="4"/>
  <c r="BC157" i="4"/>
  <c r="AR156" i="4"/>
  <c r="AR153" i="4"/>
  <c r="AR152" i="4"/>
  <c r="AR88" i="4"/>
  <c r="BC173" i="4"/>
  <c r="BC170" i="4"/>
  <c r="AR169" i="4"/>
  <c r="BC156" i="4"/>
  <c r="AR147" i="4"/>
  <c r="BC144" i="4"/>
  <c r="AR143" i="4"/>
  <c r="BC140" i="4"/>
  <c r="AR139" i="4"/>
  <c r="BC136" i="4"/>
  <c r="AR135" i="4"/>
  <c r="BC132" i="4"/>
  <c r="AR131" i="4"/>
  <c r="BC128" i="4"/>
  <c r="AR127" i="4"/>
  <c r="BC124" i="4"/>
  <c r="AR123" i="4"/>
  <c r="BC120" i="4"/>
  <c r="AR119" i="4"/>
  <c r="BC116" i="4"/>
  <c r="AR115" i="4"/>
  <c r="BC112" i="4"/>
  <c r="AR111" i="4"/>
  <c r="BC108" i="4"/>
  <c r="AR107" i="4"/>
  <c r="BC104" i="4"/>
  <c r="AR103" i="4"/>
  <c r="BC100" i="4"/>
  <c r="AR99" i="4"/>
  <c r="BC96" i="4"/>
  <c r="AR95" i="4"/>
  <c r="BC92" i="4"/>
  <c r="AR91" i="4"/>
  <c r="BC89" i="4"/>
  <c r="AR182" i="4"/>
  <c r="AR180" i="4"/>
  <c r="BC178" i="4"/>
  <c r="BC177" i="4"/>
  <c r="BC171" i="4"/>
  <c r="AR170" i="4"/>
  <c r="AR168" i="4"/>
  <c r="AR165" i="4"/>
  <c r="BC162" i="4"/>
  <c r="BC154" i="4"/>
  <c r="BC152" i="4"/>
  <c r="BC149" i="4"/>
  <c r="AR145" i="4"/>
  <c r="AR144" i="4"/>
  <c r="AR142" i="4"/>
  <c r="AR137" i="4"/>
  <c r="AR136" i="4"/>
  <c r="AR134" i="4"/>
  <c r="AR129" i="4"/>
  <c r="AR128" i="4"/>
  <c r="AR126" i="4"/>
  <c r="AR121" i="4"/>
  <c r="AR120" i="4"/>
  <c r="AR118" i="4"/>
  <c r="AR113" i="4"/>
  <c r="AR112" i="4"/>
  <c r="AR110" i="4"/>
  <c r="AR105" i="4"/>
  <c r="AR104" i="4"/>
  <c r="AR102" i="4"/>
  <c r="AR97" i="4"/>
  <c r="AR96" i="4"/>
  <c r="AR94" i="4"/>
  <c r="BC182" i="4"/>
  <c r="BC87" i="4"/>
  <c r="BC174" i="4"/>
  <c r="AR174" i="4"/>
  <c r="AR167" i="4"/>
  <c r="AR164" i="4"/>
  <c r="AR163" i="4"/>
  <c r="BC161" i="4"/>
  <c r="BC160" i="4"/>
  <c r="AR158" i="4"/>
  <c r="AR157" i="4"/>
  <c r="AR155" i="4"/>
  <c r="BC151" i="4"/>
  <c r="BC148" i="4"/>
  <c r="BC147" i="4"/>
  <c r="AR146" i="4"/>
  <c r="AR141" i="4"/>
  <c r="AR140" i="4"/>
  <c r="AR138" i="4"/>
  <c r="AR133" i="4"/>
  <c r="AR132" i="4"/>
  <c r="AR130" i="4"/>
  <c r="AR125" i="4"/>
  <c r="AR124" i="4"/>
  <c r="AR122" i="4"/>
  <c r="AR117" i="4"/>
  <c r="AR116" i="4"/>
  <c r="AR114" i="4"/>
  <c r="AR109" i="4"/>
  <c r="AR108" i="4"/>
  <c r="AR106" i="4"/>
  <c r="AR101" i="4"/>
  <c r="AR100" i="4"/>
  <c r="AR98" i="4"/>
  <c r="AR93" i="4"/>
  <c r="AR92" i="4"/>
  <c r="AR90" i="4"/>
  <c r="AR179" i="4"/>
  <c r="AR175" i="4"/>
  <c r="BC166" i="4"/>
  <c r="BC150" i="4"/>
  <c r="AR181" i="4"/>
  <c r="AR177" i="4"/>
  <c r="AR173" i="4"/>
  <c r="BC158" i="4"/>
  <c r="W808" i="7"/>
  <c r="W792" i="7"/>
  <c r="W776" i="7"/>
  <c r="W760" i="7"/>
  <c r="W625" i="7"/>
  <c r="W564" i="7"/>
  <c r="W556" i="7"/>
  <c r="W552" i="7"/>
  <c r="W540" i="7"/>
  <c r="W532" i="7"/>
  <c r="W520" i="7"/>
  <c r="W930" i="7"/>
  <c r="W702" i="7"/>
  <c r="W639" i="7"/>
  <c r="W931" i="7"/>
  <c r="W743" i="7"/>
  <c r="W684" i="7"/>
  <c r="W660" i="7"/>
  <c r="W647" i="7"/>
  <c r="W626" i="7"/>
  <c r="W655" i="7"/>
  <c r="W693" i="7"/>
  <c r="W687" i="7"/>
  <c r="W902" i="7"/>
  <c r="W886" i="7"/>
  <c r="W878" i="7"/>
  <c r="W874" i="7"/>
  <c r="W870" i="7"/>
  <c r="W866" i="7"/>
  <c r="W862" i="7"/>
  <c r="W858" i="7"/>
  <c r="W854" i="7"/>
  <c r="W842" i="7"/>
  <c r="W838" i="7"/>
  <c r="W766" i="7"/>
  <c r="W741" i="7"/>
  <c r="W654" i="7"/>
  <c r="W653" i="7"/>
  <c r="W910" i="7"/>
  <c r="W685" i="7"/>
  <c r="W622" i="7"/>
  <c r="W569" i="7"/>
  <c r="W557" i="7"/>
  <c r="W541" i="7"/>
  <c r="W504" i="7"/>
  <c r="W471" i="7"/>
  <c r="W901" i="7"/>
  <c r="W720" i="7"/>
  <c r="W476" i="7"/>
  <c r="W472" i="7"/>
  <c r="W456" i="7"/>
  <c r="W942" i="7"/>
  <c r="W584" i="7"/>
  <c r="W506" i="7"/>
  <c r="W498" i="7"/>
  <c r="W494" i="7"/>
  <c r="W947" i="7"/>
  <c r="W946" i="7"/>
  <c r="W724" i="7"/>
  <c r="W909" i="7"/>
  <c r="W906" i="7"/>
  <c r="W888" i="7"/>
  <c r="W880" i="7"/>
  <c r="W872" i="7"/>
  <c r="W848" i="7"/>
  <c r="W840" i="7"/>
  <c r="W836" i="7"/>
  <c r="W726" i="7"/>
  <c r="W725" i="7"/>
  <c r="W679" i="7"/>
  <c r="W623" i="7"/>
  <c r="W587" i="7"/>
  <c r="W571" i="7"/>
  <c r="W554" i="7"/>
  <c r="W542" i="7"/>
  <c r="W493" i="7"/>
  <c r="W488" i="7"/>
  <c r="W833" i="7"/>
  <c r="W832" i="7"/>
  <c r="W831" i="7"/>
  <c r="W825" i="7"/>
  <c r="W824" i="7"/>
  <c r="W823" i="7"/>
  <c r="W817" i="7"/>
  <c r="W816" i="7"/>
  <c r="W815" i="7"/>
  <c r="W809" i="7"/>
  <c r="W799" i="7"/>
  <c r="W793" i="7"/>
  <c r="W783" i="7"/>
  <c r="W777" i="7"/>
  <c r="W767" i="7"/>
  <c r="W761" i="7"/>
  <c r="W744" i="7"/>
  <c r="W719" i="7"/>
  <c r="W709" i="7"/>
  <c r="W705" i="7"/>
  <c r="W694" i="7"/>
  <c r="W686" i="7"/>
  <c r="W676" i="7"/>
  <c r="W673" i="7"/>
  <c r="W661" i="7"/>
  <c r="W657" i="7"/>
  <c r="W648" i="7"/>
  <c r="W835" i="7"/>
  <c r="W829" i="7"/>
  <c r="W828" i="7"/>
  <c r="W827" i="7"/>
  <c r="W821" i="7"/>
  <c r="W820" i="7"/>
  <c r="W819" i="7"/>
  <c r="W813" i="7"/>
  <c r="W812" i="7"/>
  <c r="W807" i="7"/>
  <c r="W801" i="7"/>
  <c r="W791" i="7"/>
  <c r="W785" i="7"/>
  <c r="W775" i="7"/>
  <c r="W769" i="7"/>
  <c r="W759" i="7"/>
  <c r="W734" i="7"/>
  <c r="W721" i="7"/>
  <c r="W716" i="7"/>
  <c r="W663" i="7"/>
  <c r="W953" i="7"/>
  <c r="W732" i="7"/>
  <c r="W643" i="7"/>
  <c r="W598" i="7"/>
  <c r="W490" i="7"/>
  <c r="W954" i="7"/>
  <c r="W926" i="7"/>
  <c r="W921" i="7"/>
  <c r="W913" i="7"/>
  <c r="W897" i="7"/>
  <c r="W748" i="7"/>
  <c r="W747" i="7"/>
  <c r="W695" i="7"/>
  <c r="W627" i="7"/>
  <c r="W604" i="7"/>
  <c r="W570" i="7"/>
  <c r="W548" i="7"/>
  <c r="W500" i="7"/>
  <c r="W943" i="7"/>
  <c r="W939" i="7"/>
  <c r="W920" i="7"/>
  <c r="W731" i="7"/>
  <c r="W620" i="7"/>
  <c r="W956" i="7"/>
  <c r="W927" i="7"/>
  <c r="W922" i="7"/>
  <c r="W905" i="7"/>
  <c r="W898" i="7"/>
  <c r="W800" i="7"/>
  <c r="W784" i="7"/>
  <c r="W774" i="7"/>
  <c r="W768" i="7"/>
  <c r="W758" i="7"/>
  <c r="W749" i="7"/>
  <c r="W742" i="7"/>
  <c r="W727" i="7"/>
  <c r="W717" i="7"/>
  <c r="W713" i="7"/>
  <c r="W708" i="7"/>
  <c r="W703" i="7"/>
  <c r="W692" i="7"/>
  <c r="W689" i="7"/>
  <c r="W681" i="7"/>
  <c r="W669" i="7"/>
  <c r="W662" i="7"/>
  <c r="W588" i="7"/>
  <c r="W580" i="7"/>
  <c r="W562" i="7"/>
  <c r="W558" i="7"/>
  <c r="W536" i="7"/>
  <c r="W519" i="7"/>
  <c r="W458" i="7"/>
  <c r="W638" i="7"/>
  <c r="W637" i="7"/>
  <c r="W633" i="7"/>
  <c r="W619" i="7"/>
  <c r="W609" i="7"/>
  <c r="W568" i="7"/>
  <c r="W563" i="7"/>
  <c r="W553" i="7"/>
  <c r="W544" i="7"/>
  <c r="W535" i="7"/>
  <c r="W516" i="7"/>
  <c r="W499" i="7"/>
  <c r="W489" i="7"/>
  <c r="W475" i="7"/>
  <c r="W457" i="7"/>
  <c r="W642" i="7"/>
  <c r="W641" i="7"/>
  <c r="W631" i="7"/>
  <c r="W607" i="7"/>
  <c r="W583" i="7"/>
  <c r="W560" i="7"/>
  <c r="W547" i="7"/>
  <c r="W533" i="7"/>
  <c r="W505" i="7"/>
  <c r="W496" i="7"/>
  <c r="W468" i="7"/>
  <c r="W955" i="7"/>
  <c r="W948" i="7"/>
  <c r="W938" i="7"/>
  <c r="W937" i="7"/>
  <c r="W932" i="7"/>
  <c r="W914" i="7"/>
  <c r="W911" i="7"/>
  <c r="W903" i="7"/>
  <c r="W896" i="7"/>
  <c r="W887" i="7"/>
  <c r="W871" i="7"/>
  <c r="W849" i="7"/>
  <c r="W839" i="7"/>
  <c r="W834" i="7"/>
  <c r="W826" i="7"/>
  <c r="W818" i="7"/>
  <c r="W810" i="7"/>
  <c r="W802" i="7"/>
  <c r="W794" i="7"/>
  <c r="W786" i="7"/>
  <c r="W904" i="7"/>
  <c r="W894" i="7"/>
  <c r="W882" i="7"/>
  <c r="W846" i="7"/>
  <c r="W811" i="7"/>
  <c r="W805" i="7"/>
  <c r="W804" i="7"/>
  <c r="W803" i="7"/>
  <c r="W797" i="7"/>
  <c r="W796" i="7"/>
  <c r="W795" i="7"/>
  <c r="W789" i="7"/>
  <c r="W788" i="7"/>
  <c r="W787" i="7"/>
  <c r="W781" i="7"/>
  <c r="W780" i="7"/>
  <c r="W779" i="7"/>
  <c r="W773" i="7"/>
  <c r="W950" i="7"/>
  <c r="W934" i="7"/>
  <c r="W928" i="7"/>
  <c r="W923" i="7"/>
  <c r="W907" i="7"/>
  <c r="W899" i="7"/>
  <c r="W889" i="7"/>
  <c r="W879" i="7"/>
  <c r="W873" i="7"/>
  <c r="W841" i="7"/>
  <c r="W830" i="7"/>
  <c r="W822" i="7"/>
  <c r="W814" i="7"/>
  <c r="W806" i="7"/>
  <c r="W798" i="7"/>
  <c r="W790" i="7"/>
  <c r="W782" i="7"/>
  <c r="W751" i="7"/>
  <c r="W733" i="7"/>
  <c r="W700" i="7"/>
  <c r="W699" i="7"/>
  <c r="W688" i="7"/>
  <c r="W680" i="7"/>
  <c r="W671" i="7"/>
  <c r="W664" i="7"/>
  <c r="W651" i="7"/>
  <c r="W646" i="7"/>
  <c r="W645" i="7"/>
  <c r="W640" i="7"/>
  <c r="W634" i="7"/>
  <c r="W624" i="7"/>
  <c r="W617" i="7"/>
  <c r="W611" i="7"/>
  <c r="W602" i="7"/>
  <c r="W596" i="7"/>
  <c r="W593" i="7"/>
  <c r="W576" i="7"/>
  <c r="W574" i="7"/>
  <c r="W565" i="7"/>
  <c r="W551" i="7"/>
  <c r="W538" i="7"/>
  <c r="W528" i="7"/>
  <c r="W526" i="7"/>
  <c r="W521" i="7"/>
  <c r="W515" i="7"/>
  <c r="W509" i="7"/>
  <c r="W508" i="7"/>
  <c r="W503" i="7"/>
  <c r="W491" i="7"/>
  <c r="W484" i="7"/>
  <c r="W482" i="7"/>
  <c r="W477" i="7"/>
  <c r="W474" i="7"/>
  <c r="W464" i="7"/>
  <c r="W462" i="7"/>
  <c r="W453" i="7"/>
  <c r="W778" i="7"/>
  <c r="W770" i="7"/>
  <c r="W762" i="7"/>
  <c r="W756" i="7"/>
  <c r="W753" i="7"/>
  <c r="W735" i="7"/>
  <c r="W728" i="7"/>
  <c r="W701" i="7"/>
  <c r="W772" i="7"/>
  <c r="W771" i="7"/>
  <c r="W765" i="7"/>
  <c r="W764" i="7"/>
  <c r="W763" i="7"/>
  <c r="W757" i="7"/>
  <c r="W750" i="7"/>
  <c r="W740" i="7"/>
  <c r="W737" i="7"/>
  <c r="W718" i="7"/>
  <c r="W711" i="7"/>
  <c r="W696" i="7"/>
  <c r="W670" i="7"/>
  <c r="W668" i="7"/>
  <c r="W667" i="7"/>
  <c r="W656" i="7"/>
  <c r="W650" i="7"/>
  <c r="W649" i="7"/>
  <c r="W635" i="7"/>
  <c r="W632" i="7"/>
  <c r="W615" i="7"/>
  <c r="W612" i="7"/>
  <c r="W601" i="7"/>
  <c r="W595" i="7"/>
  <c r="W594" i="7"/>
  <c r="W591" i="7"/>
  <c r="W585" i="7"/>
  <c r="W579" i="7"/>
  <c r="W573" i="7"/>
  <c r="W572" i="7"/>
  <c r="W567" i="7"/>
  <c r="W555" i="7"/>
  <c r="W537" i="7"/>
  <c r="W531" i="7"/>
  <c r="W530" i="7"/>
  <c r="W525" i="7"/>
  <c r="W524" i="7"/>
  <c r="W522" i="7"/>
  <c r="W512" i="7"/>
  <c r="W510" i="7"/>
  <c r="W501" i="7"/>
  <c r="W492" i="7"/>
  <c r="W487" i="7"/>
  <c r="W480" i="7"/>
  <c r="W478" i="7"/>
  <c r="W473" i="7"/>
  <c r="W467" i="7"/>
  <c r="W460" i="7"/>
  <c r="W455" i="7"/>
  <c r="W951" i="7"/>
  <c r="W881" i="7"/>
  <c r="W865" i="7"/>
  <c r="W864" i="7"/>
  <c r="W863" i="7"/>
  <c r="W857" i="7"/>
  <c r="W856" i="7"/>
  <c r="W855" i="7"/>
  <c r="W847" i="7"/>
  <c r="W935" i="7"/>
  <c r="W917" i="7"/>
  <c r="W915" i="7"/>
  <c r="W890" i="7"/>
  <c r="W850" i="7"/>
  <c r="W944" i="7"/>
  <c r="W940" i="7"/>
  <c r="W918" i="7"/>
  <c r="W893" i="7"/>
  <c r="W891" i="7"/>
  <c r="W885" i="7"/>
  <c r="W884" i="7"/>
  <c r="W883" i="7"/>
  <c r="W877" i="7"/>
  <c r="W876" i="7"/>
  <c r="W875" i="7"/>
  <c r="W869" i="7"/>
  <c r="W868" i="7"/>
  <c r="W867" i="7"/>
  <c r="W861" i="7"/>
  <c r="W860" i="7"/>
  <c r="W859" i="7"/>
  <c r="W853" i="7"/>
  <c r="W852" i="7"/>
  <c r="W851" i="7"/>
  <c r="W845" i="7"/>
  <c r="W844" i="7"/>
  <c r="W843" i="7"/>
  <c r="W837" i="7"/>
  <c r="W933" i="7"/>
  <c r="W916" i="7"/>
  <c r="W755" i="7"/>
  <c r="W707" i="7"/>
  <c r="W606" i="7"/>
  <c r="W945" i="7"/>
  <c r="W929" i="7"/>
  <c r="W912" i="7"/>
  <c r="W739" i="7"/>
  <c r="W614" i="7"/>
  <c r="W590" i="7"/>
  <c r="W578" i="7"/>
  <c r="W546" i="7"/>
  <c r="W514" i="7"/>
  <c r="W466" i="7"/>
  <c r="W949" i="7"/>
  <c r="W892" i="7"/>
  <c r="W452" i="7"/>
  <c r="W924" i="7"/>
  <c r="W952" i="7"/>
  <c r="W941" i="7"/>
  <c r="W936" i="7"/>
  <c r="W925" i="7"/>
  <c r="W919" i="7"/>
  <c r="W908" i="7"/>
  <c r="W900" i="7"/>
  <c r="W895" i="7"/>
  <c r="W752" i="7"/>
  <c r="W745" i="7"/>
  <c r="W712" i="7"/>
  <c r="W677" i="7"/>
  <c r="W675" i="7"/>
  <c r="W630" i="7"/>
  <c r="W629" i="7"/>
  <c r="W599" i="7"/>
  <c r="W581" i="7"/>
  <c r="W549" i="7"/>
  <c r="W517" i="7"/>
  <c r="W485" i="7"/>
  <c r="W483" i="7"/>
  <c r="W469" i="7"/>
  <c r="W715" i="7"/>
  <c r="W683" i="7"/>
  <c r="W616" i="7"/>
  <c r="W608" i="7"/>
  <c r="W603" i="7"/>
  <c r="W600" i="7"/>
  <c r="W592" i="7"/>
  <c r="W582" i="7"/>
  <c r="W566" i="7"/>
  <c r="W550" i="7"/>
  <c r="W539" i="7"/>
  <c r="W534" i="7"/>
  <c r="W523" i="7"/>
  <c r="W518" i="7"/>
  <c r="W507" i="7"/>
  <c r="W502" i="7"/>
  <c r="W486" i="7"/>
  <c r="W470" i="7"/>
  <c r="W461" i="7"/>
  <c r="W459" i="7"/>
  <c r="W454" i="7"/>
  <c r="W736" i="7"/>
  <c r="W729" i="7"/>
  <c r="W723" i="7"/>
  <c r="W710" i="7"/>
  <c r="W704" i="7"/>
  <c r="W697" i="7"/>
  <c r="W691" i="7"/>
  <c r="W678" i="7"/>
  <c r="W672" i="7"/>
  <c r="W665" i="7"/>
  <c r="W659" i="7"/>
  <c r="W652" i="7"/>
  <c r="W644" i="7"/>
  <c r="W636" i="7"/>
  <c r="W628" i="7"/>
  <c r="W621" i="7"/>
  <c r="W618" i="7"/>
  <c r="W613" i="7"/>
  <c r="W610" i="7"/>
  <c r="W605" i="7"/>
  <c r="W597" i="7"/>
  <c r="W589" i="7"/>
  <c r="W586" i="7"/>
  <c r="W577" i="7"/>
  <c r="W575" i="7"/>
  <c r="W561" i="7"/>
  <c r="W559" i="7"/>
  <c r="W545" i="7"/>
  <c r="W543" i="7"/>
  <c r="W529" i="7"/>
  <c r="W527" i="7"/>
  <c r="W513" i="7"/>
  <c r="W511" i="7"/>
  <c r="W497" i="7"/>
  <c r="W495" i="7"/>
  <c r="W481" i="7"/>
  <c r="W479" i="7"/>
  <c r="W465" i="7"/>
  <c r="W463" i="7"/>
  <c r="W754" i="7"/>
  <c r="W746" i="7"/>
  <c r="W738" i="7"/>
  <c r="W730" i="7"/>
  <c r="W722" i="7"/>
  <c r="W714" i="7"/>
  <c r="W706" i="7"/>
  <c r="W698" i="7"/>
  <c r="W690" i="7"/>
  <c r="W682" i="7"/>
  <c r="W674" i="7"/>
  <c r="W666" i="7"/>
  <c r="W658" i="7"/>
  <c r="L12" i="8" l="1"/>
  <c r="M12" i="8"/>
  <c r="N12" i="8" s="1"/>
  <c r="L13" i="8"/>
  <c r="M13" i="8"/>
  <c r="N13" i="8"/>
  <c r="L14" i="8"/>
  <c r="M14" i="8"/>
  <c r="N14" i="8" s="1"/>
  <c r="AI85" i="4"/>
  <c r="AN85" i="4"/>
  <c r="AQ85" i="4"/>
  <c r="AV85" i="4"/>
  <c r="AW85" i="4" s="1"/>
  <c r="BA85" i="4"/>
  <c r="BB85" i="4"/>
  <c r="A41" i="5"/>
  <c r="A42" i="5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C385" i="6"/>
  <c r="C389" i="6"/>
  <c r="C121" i="6"/>
  <c r="C397" i="6"/>
  <c r="C429" i="6"/>
  <c r="C153" i="6"/>
  <c r="C155" i="6"/>
  <c r="C180" i="6"/>
  <c r="C331" i="6"/>
  <c r="C208" i="6"/>
  <c r="C216" i="6"/>
  <c r="C363" i="6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6" i="4"/>
  <c r="AN18" i="4"/>
  <c r="AQ18" i="4"/>
  <c r="AN19" i="4"/>
  <c r="AQ19" i="4"/>
  <c r="AN20" i="4"/>
  <c r="AQ20" i="4"/>
  <c r="AN21" i="4"/>
  <c r="AQ21" i="4"/>
  <c r="AN22" i="4"/>
  <c r="AQ22" i="4"/>
  <c r="AN23" i="4"/>
  <c r="AQ23" i="4"/>
  <c r="AN24" i="4"/>
  <c r="AQ24" i="4"/>
  <c r="AN25" i="4"/>
  <c r="AQ25" i="4"/>
  <c r="AN26" i="4"/>
  <c r="AQ26" i="4"/>
  <c r="AN27" i="4"/>
  <c r="AQ27" i="4"/>
  <c r="AN28" i="4"/>
  <c r="AQ28" i="4"/>
  <c r="AN29" i="4"/>
  <c r="AQ29" i="4"/>
  <c r="AN30" i="4"/>
  <c r="AQ30" i="4"/>
  <c r="AN31" i="4"/>
  <c r="AQ31" i="4"/>
  <c r="AN32" i="4"/>
  <c r="AQ32" i="4"/>
  <c r="AN33" i="4"/>
  <c r="AQ33" i="4"/>
  <c r="AN34" i="4"/>
  <c r="AQ34" i="4"/>
  <c r="AN35" i="4"/>
  <c r="AQ35" i="4"/>
  <c r="AN36" i="4"/>
  <c r="AQ36" i="4"/>
  <c r="AN37" i="4"/>
  <c r="AQ37" i="4"/>
  <c r="AN38" i="4"/>
  <c r="AQ38" i="4"/>
  <c r="AN39" i="4"/>
  <c r="AQ39" i="4"/>
  <c r="AN40" i="4"/>
  <c r="AQ40" i="4"/>
  <c r="AN41" i="4"/>
  <c r="AQ41" i="4"/>
  <c r="AN42" i="4"/>
  <c r="AQ42" i="4"/>
  <c r="AN43" i="4"/>
  <c r="AQ43" i="4"/>
  <c r="AN44" i="4"/>
  <c r="AQ44" i="4"/>
  <c r="AN45" i="4"/>
  <c r="AQ45" i="4"/>
  <c r="AN46" i="4"/>
  <c r="AQ46" i="4"/>
  <c r="AN47" i="4"/>
  <c r="AQ47" i="4"/>
  <c r="AN48" i="4"/>
  <c r="AQ48" i="4"/>
  <c r="AN49" i="4"/>
  <c r="AQ49" i="4"/>
  <c r="AN50" i="4"/>
  <c r="AQ50" i="4"/>
  <c r="AN51" i="4"/>
  <c r="AQ51" i="4"/>
  <c r="AN52" i="4"/>
  <c r="AQ52" i="4"/>
  <c r="AN53" i="4"/>
  <c r="AQ53" i="4"/>
  <c r="AN54" i="4"/>
  <c r="AQ54" i="4"/>
  <c r="AN55" i="4"/>
  <c r="AQ55" i="4"/>
  <c r="AN56" i="4"/>
  <c r="AQ56" i="4"/>
  <c r="AN57" i="4"/>
  <c r="AQ57" i="4"/>
  <c r="AN58" i="4"/>
  <c r="AQ58" i="4"/>
  <c r="AN59" i="4"/>
  <c r="AQ59" i="4"/>
  <c r="AN60" i="4"/>
  <c r="AQ60" i="4"/>
  <c r="AN61" i="4"/>
  <c r="AQ61" i="4"/>
  <c r="AN62" i="4"/>
  <c r="AQ62" i="4"/>
  <c r="AN63" i="4"/>
  <c r="AQ63" i="4"/>
  <c r="AN64" i="4"/>
  <c r="AQ64" i="4"/>
  <c r="AN65" i="4"/>
  <c r="AQ65" i="4"/>
  <c r="AN66" i="4"/>
  <c r="AQ66" i="4"/>
  <c r="AN67" i="4"/>
  <c r="AQ67" i="4"/>
  <c r="AN68" i="4"/>
  <c r="AQ68" i="4"/>
  <c r="AN69" i="4"/>
  <c r="AQ69" i="4"/>
  <c r="AN70" i="4"/>
  <c r="AQ70" i="4"/>
  <c r="AN71" i="4"/>
  <c r="AQ71" i="4"/>
  <c r="AN72" i="4"/>
  <c r="AQ72" i="4"/>
  <c r="AN73" i="4"/>
  <c r="AQ73" i="4"/>
  <c r="AN74" i="4"/>
  <c r="AQ74" i="4"/>
  <c r="AN75" i="4"/>
  <c r="AQ75" i="4"/>
  <c r="AN76" i="4"/>
  <c r="AQ76" i="4"/>
  <c r="AN77" i="4"/>
  <c r="AQ77" i="4"/>
  <c r="AN78" i="4"/>
  <c r="AQ78" i="4"/>
  <c r="AN79" i="4"/>
  <c r="AQ79" i="4"/>
  <c r="AN80" i="4"/>
  <c r="AQ80" i="4"/>
  <c r="AN81" i="4"/>
  <c r="AQ81" i="4"/>
  <c r="AN82" i="4"/>
  <c r="AQ82" i="4"/>
  <c r="AN83" i="4"/>
  <c r="AQ83" i="4"/>
  <c r="AN84" i="4"/>
  <c r="AQ84" i="4"/>
  <c r="AN86" i="4"/>
  <c r="AQ86" i="4"/>
  <c r="AV18" i="4"/>
  <c r="AW18" i="4" s="1"/>
  <c r="BA18" i="4"/>
  <c r="BB18" i="4"/>
  <c r="AV19" i="4"/>
  <c r="AW19" i="4" s="1"/>
  <c r="BA19" i="4"/>
  <c r="BB19" i="4"/>
  <c r="AV20" i="4"/>
  <c r="AW20" i="4" s="1"/>
  <c r="BA20" i="4"/>
  <c r="BB20" i="4"/>
  <c r="AV21" i="4"/>
  <c r="AW21" i="4" s="1"/>
  <c r="BA21" i="4"/>
  <c r="BB21" i="4"/>
  <c r="AV22" i="4"/>
  <c r="AW22" i="4" s="1"/>
  <c r="BA22" i="4"/>
  <c r="BB22" i="4"/>
  <c r="AV23" i="4"/>
  <c r="AW23" i="4" s="1"/>
  <c r="BA23" i="4"/>
  <c r="BB23" i="4"/>
  <c r="AV24" i="4"/>
  <c r="AW24" i="4" s="1"/>
  <c r="BA24" i="4"/>
  <c r="BB24" i="4"/>
  <c r="AV25" i="4"/>
  <c r="AW25" i="4" s="1"/>
  <c r="BA25" i="4"/>
  <c r="BB25" i="4"/>
  <c r="AV26" i="4"/>
  <c r="AW26" i="4" s="1"/>
  <c r="BA26" i="4"/>
  <c r="BB26" i="4"/>
  <c r="AV27" i="4"/>
  <c r="AW27" i="4" s="1"/>
  <c r="BA27" i="4"/>
  <c r="BB27" i="4"/>
  <c r="AV28" i="4"/>
  <c r="AW28" i="4" s="1"/>
  <c r="BA28" i="4"/>
  <c r="BB28" i="4"/>
  <c r="AV29" i="4"/>
  <c r="AW29" i="4" s="1"/>
  <c r="BA29" i="4"/>
  <c r="BB29" i="4"/>
  <c r="AV30" i="4"/>
  <c r="AW30" i="4" s="1"/>
  <c r="BA30" i="4"/>
  <c r="BB30" i="4"/>
  <c r="AV31" i="4"/>
  <c r="AW31" i="4" s="1"/>
  <c r="BA31" i="4"/>
  <c r="BB31" i="4"/>
  <c r="AV32" i="4"/>
  <c r="AW32" i="4" s="1"/>
  <c r="BA32" i="4"/>
  <c r="BB32" i="4"/>
  <c r="AV33" i="4"/>
  <c r="AW33" i="4" s="1"/>
  <c r="BA33" i="4"/>
  <c r="BB33" i="4"/>
  <c r="AV34" i="4"/>
  <c r="AW34" i="4" s="1"/>
  <c r="BA34" i="4"/>
  <c r="BB34" i="4"/>
  <c r="AV35" i="4"/>
  <c r="AW35" i="4" s="1"/>
  <c r="BA35" i="4"/>
  <c r="BB35" i="4"/>
  <c r="AV36" i="4"/>
  <c r="AW36" i="4" s="1"/>
  <c r="BA36" i="4"/>
  <c r="BB36" i="4"/>
  <c r="AV37" i="4"/>
  <c r="AW37" i="4" s="1"/>
  <c r="BA37" i="4"/>
  <c r="BB37" i="4"/>
  <c r="AV38" i="4"/>
  <c r="AW38" i="4" s="1"/>
  <c r="BA38" i="4"/>
  <c r="BB38" i="4"/>
  <c r="AV39" i="4"/>
  <c r="AW39" i="4" s="1"/>
  <c r="BA39" i="4"/>
  <c r="BB39" i="4"/>
  <c r="AV40" i="4"/>
  <c r="AW40" i="4" s="1"/>
  <c r="BA40" i="4"/>
  <c r="BB40" i="4"/>
  <c r="AV41" i="4"/>
  <c r="AW41" i="4" s="1"/>
  <c r="BA41" i="4"/>
  <c r="BB41" i="4"/>
  <c r="AV42" i="4"/>
  <c r="AW42" i="4" s="1"/>
  <c r="BA42" i="4"/>
  <c r="BB42" i="4"/>
  <c r="AV43" i="4"/>
  <c r="AW43" i="4" s="1"/>
  <c r="BA43" i="4"/>
  <c r="BB43" i="4"/>
  <c r="AV44" i="4"/>
  <c r="AW44" i="4" s="1"/>
  <c r="BA44" i="4"/>
  <c r="BB44" i="4"/>
  <c r="AV45" i="4"/>
  <c r="AW45" i="4" s="1"/>
  <c r="BA45" i="4"/>
  <c r="BB45" i="4"/>
  <c r="AV46" i="4"/>
  <c r="AW46" i="4" s="1"/>
  <c r="BA46" i="4"/>
  <c r="BB46" i="4"/>
  <c r="AV47" i="4"/>
  <c r="AW47" i="4" s="1"/>
  <c r="BA47" i="4"/>
  <c r="BB47" i="4"/>
  <c r="AV48" i="4"/>
  <c r="AW48" i="4" s="1"/>
  <c r="BA48" i="4"/>
  <c r="BB48" i="4"/>
  <c r="AV49" i="4"/>
  <c r="AW49" i="4" s="1"/>
  <c r="BA49" i="4"/>
  <c r="BB49" i="4"/>
  <c r="AV50" i="4"/>
  <c r="AW50" i="4" s="1"/>
  <c r="BA50" i="4"/>
  <c r="BB50" i="4"/>
  <c r="AV51" i="4"/>
  <c r="AW51" i="4" s="1"/>
  <c r="BA51" i="4"/>
  <c r="BB51" i="4"/>
  <c r="AV52" i="4"/>
  <c r="AW52" i="4" s="1"/>
  <c r="BA52" i="4"/>
  <c r="BB52" i="4"/>
  <c r="AV53" i="4"/>
  <c r="AW53" i="4" s="1"/>
  <c r="BA53" i="4"/>
  <c r="BB53" i="4"/>
  <c r="AV54" i="4"/>
  <c r="AW54" i="4" s="1"/>
  <c r="BA54" i="4"/>
  <c r="BB54" i="4"/>
  <c r="AV55" i="4"/>
  <c r="AW55" i="4" s="1"/>
  <c r="BA55" i="4"/>
  <c r="BB55" i="4"/>
  <c r="AV56" i="4"/>
  <c r="AW56" i="4" s="1"/>
  <c r="BA56" i="4"/>
  <c r="BB56" i="4"/>
  <c r="AV57" i="4"/>
  <c r="AW57" i="4" s="1"/>
  <c r="BA57" i="4"/>
  <c r="BB57" i="4"/>
  <c r="AV58" i="4"/>
  <c r="AW58" i="4" s="1"/>
  <c r="BA58" i="4"/>
  <c r="BB58" i="4"/>
  <c r="AV59" i="4"/>
  <c r="AW59" i="4" s="1"/>
  <c r="BA59" i="4"/>
  <c r="BB59" i="4"/>
  <c r="AV60" i="4"/>
  <c r="AW60" i="4" s="1"/>
  <c r="BA60" i="4"/>
  <c r="BB60" i="4"/>
  <c r="AV61" i="4"/>
  <c r="AW61" i="4" s="1"/>
  <c r="BA61" i="4"/>
  <c r="BB61" i="4"/>
  <c r="AV62" i="4"/>
  <c r="AW62" i="4" s="1"/>
  <c r="BA62" i="4"/>
  <c r="BB62" i="4"/>
  <c r="AV63" i="4"/>
  <c r="AW63" i="4" s="1"/>
  <c r="BA63" i="4"/>
  <c r="BB63" i="4"/>
  <c r="AV64" i="4"/>
  <c r="AW64" i="4" s="1"/>
  <c r="BA64" i="4"/>
  <c r="BB64" i="4"/>
  <c r="AV65" i="4"/>
  <c r="AW65" i="4" s="1"/>
  <c r="BA65" i="4"/>
  <c r="BB65" i="4"/>
  <c r="AV66" i="4"/>
  <c r="AW66" i="4" s="1"/>
  <c r="BA66" i="4"/>
  <c r="BB66" i="4"/>
  <c r="AV67" i="4"/>
  <c r="AW67" i="4" s="1"/>
  <c r="BA67" i="4"/>
  <c r="BB67" i="4"/>
  <c r="AV68" i="4"/>
  <c r="AW68" i="4" s="1"/>
  <c r="BA68" i="4"/>
  <c r="BB68" i="4"/>
  <c r="AV69" i="4"/>
  <c r="AW69" i="4" s="1"/>
  <c r="BA69" i="4"/>
  <c r="BB69" i="4"/>
  <c r="AV70" i="4"/>
  <c r="AW70" i="4" s="1"/>
  <c r="BA70" i="4"/>
  <c r="BB70" i="4"/>
  <c r="AV71" i="4"/>
  <c r="AW71" i="4" s="1"/>
  <c r="BA71" i="4"/>
  <c r="BB71" i="4"/>
  <c r="AV72" i="4"/>
  <c r="AW72" i="4" s="1"/>
  <c r="BA72" i="4"/>
  <c r="BB72" i="4"/>
  <c r="AV73" i="4"/>
  <c r="AW73" i="4" s="1"/>
  <c r="BA73" i="4"/>
  <c r="BB73" i="4"/>
  <c r="AV74" i="4"/>
  <c r="AW74" i="4" s="1"/>
  <c r="BA74" i="4"/>
  <c r="BB74" i="4"/>
  <c r="AV75" i="4"/>
  <c r="AW75" i="4" s="1"/>
  <c r="BA75" i="4"/>
  <c r="BB75" i="4"/>
  <c r="AV76" i="4"/>
  <c r="AW76" i="4" s="1"/>
  <c r="BA76" i="4"/>
  <c r="BB76" i="4"/>
  <c r="AV77" i="4"/>
  <c r="AW77" i="4" s="1"/>
  <c r="BA77" i="4"/>
  <c r="BB77" i="4"/>
  <c r="AV78" i="4"/>
  <c r="AW78" i="4" s="1"/>
  <c r="BA78" i="4"/>
  <c r="BB78" i="4"/>
  <c r="AV79" i="4"/>
  <c r="AW79" i="4" s="1"/>
  <c r="BA79" i="4"/>
  <c r="BB79" i="4"/>
  <c r="AV80" i="4"/>
  <c r="AW80" i="4" s="1"/>
  <c r="BA80" i="4"/>
  <c r="BB80" i="4"/>
  <c r="AV81" i="4"/>
  <c r="AW81" i="4" s="1"/>
  <c r="BA81" i="4"/>
  <c r="BB81" i="4"/>
  <c r="AV82" i="4"/>
  <c r="AW82" i="4" s="1"/>
  <c r="BA82" i="4"/>
  <c r="BB82" i="4"/>
  <c r="AV83" i="4"/>
  <c r="AW83" i="4" s="1"/>
  <c r="BA83" i="4"/>
  <c r="BB83" i="4"/>
  <c r="AV84" i="4"/>
  <c r="AW84" i="4" s="1"/>
  <c r="BA84" i="4"/>
  <c r="BB84" i="4"/>
  <c r="AV86" i="4"/>
  <c r="AW86" i="4" s="1"/>
  <c r="BA86" i="4"/>
  <c r="BB86" i="4"/>
  <c r="K381" i="7"/>
  <c r="P93" i="7"/>
  <c r="Q93" i="7" s="1"/>
  <c r="U93" i="7"/>
  <c r="V93" i="7"/>
  <c r="P94" i="7"/>
  <c r="Q94" i="7" s="1"/>
  <c r="U94" i="7"/>
  <c r="V94" i="7"/>
  <c r="P95" i="7"/>
  <c r="Q95" i="7" s="1"/>
  <c r="U95" i="7"/>
  <c r="V95" i="7"/>
  <c r="P96" i="7"/>
  <c r="Q96" i="7" s="1"/>
  <c r="U96" i="7"/>
  <c r="V96" i="7"/>
  <c r="P97" i="7"/>
  <c r="Q97" i="7" s="1"/>
  <c r="U97" i="7"/>
  <c r="V97" i="7"/>
  <c r="P98" i="7"/>
  <c r="Q98" i="7" s="1"/>
  <c r="U98" i="7"/>
  <c r="V98" i="7"/>
  <c r="P99" i="7"/>
  <c r="Q99" i="7" s="1"/>
  <c r="U99" i="7"/>
  <c r="V99" i="7"/>
  <c r="P100" i="7"/>
  <c r="Q100" i="7" s="1"/>
  <c r="U100" i="7"/>
  <c r="V100" i="7"/>
  <c r="P101" i="7"/>
  <c r="Q101" i="7" s="1"/>
  <c r="U101" i="7"/>
  <c r="V101" i="7"/>
  <c r="P102" i="7"/>
  <c r="Q102" i="7" s="1"/>
  <c r="U102" i="7"/>
  <c r="V102" i="7"/>
  <c r="P103" i="7"/>
  <c r="Q103" i="7" s="1"/>
  <c r="U103" i="7"/>
  <c r="V103" i="7"/>
  <c r="P104" i="7"/>
  <c r="Q104" i="7" s="1"/>
  <c r="U104" i="7"/>
  <c r="V104" i="7"/>
  <c r="P105" i="7"/>
  <c r="Q105" i="7" s="1"/>
  <c r="U105" i="7"/>
  <c r="V105" i="7"/>
  <c r="P106" i="7"/>
  <c r="Q106" i="7" s="1"/>
  <c r="U106" i="7"/>
  <c r="V106" i="7"/>
  <c r="P107" i="7"/>
  <c r="Q107" i="7" s="1"/>
  <c r="U107" i="7"/>
  <c r="V107" i="7"/>
  <c r="P108" i="7"/>
  <c r="Q108" i="7" s="1"/>
  <c r="U108" i="7"/>
  <c r="V108" i="7"/>
  <c r="P109" i="7"/>
  <c r="Q109" i="7" s="1"/>
  <c r="U109" i="7"/>
  <c r="V109" i="7"/>
  <c r="P110" i="7"/>
  <c r="Q110" i="7" s="1"/>
  <c r="U110" i="7"/>
  <c r="V110" i="7"/>
  <c r="P111" i="7"/>
  <c r="Q111" i="7" s="1"/>
  <c r="U111" i="7"/>
  <c r="V111" i="7"/>
  <c r="P112" i="7"/>
  <c r="Q112" i="7" s="1"/>
  <c r="U112" i="7"/>
  <c r="V112" i="7"/>
  <c r="P113" i="7"/>
  <c r="Q113" i="7" s="1"/>
  <c r="U113" i="7"/>
  <c r="V113" i="7"/>
  <c r="P114" i="7"/>
  <c r="Q114" i="7" s="1"/>
  <c r="U114" i="7"/>
  <c r="V114" i="7"/>
  <c r="P115" i="7"/>
  <c r="Q115" i="7" s="1"/>
  <c r="U115" i="7"/>
  <c r="V115" i="7"/>
  <c r="P116" i="7"/>
  <c r="Q116" i="7" s="1"/>
  <c r="U116" i="7"/>
  <c r="V116" i="7"/>
  <c r="P117" i="7"/>
  <c r="Q117" i="7" s="1"/>
  <c r="U117" i="7"/>
  <c r="V117" i="7"/>
  <c r="P118" i="7"/>
  <c r="Q118" i="7" s="1"/>
  <c r="U118" i="7"/>
  <c r="V118" i="7"/>
  <c r="P119" i="7"/>
  <c r="Q119" i="7" s="1"/>
  <c r="U119" i="7"/>
  <c r="V119" i="7"/>
  <c r="P120" i="7"/>
  <c r="Q120" i="7" s="1"/>
  <c r="U120" i="7"/>
  <c r="V120" i="7"/>
  <c r="P121" i="7"/>
  <c r="Q121" i="7" s="1"/>
  <c r="U121" i="7"/>
  <c r="V121" i="7"/>
  <c r="P122" i="7"/>
  <c r="Q122" i="7" s="1"/>
  <c r="U122" i="7"/>
  <c r="V122" i="7"/>
  <c r="P123" i="7"/>
  <c r="Q123" i="7" s="1"/>
  <c r="U123" i="7"/>
  <c r="V123" i="7"/>
  <c r="P124" i="7"/>
  <c r="Q124" i="7" s="1"/>
  <c r="U124" i="7"/>
  <c r="V124" i="7"/>
  <c r="P125" i="7"/>
  <c r="Q125" i="7" s="1"/>
  <c r="U125" i="7"/>
  <c r="V125" i="7"/>
  <c r="P126" i="7"/>
  <c r="Q126" i="7" s="1"/>
  <c r="U126" i="7"/>
  <c r="V126" i="7"/>
  <c r="P127" i="7"/>
  <c r="Q127" i="7" s="1"/>
  <c r="U127" i="7"/>
  <c r="V127" i="7"/>
  <c r="P128" i="7"/>
  <c r="Q128" i="7" s="1"/>
  <c r="U128" i="7"/>
  <c r="V128" i="7"/>
  <c r="P129" i="7"/>
  <c r="Q129" i="7" s="1"/>
  <c r="U129" i="7"/>
  <c r="V129" i="7"/>
  <c r="P130" i="7"/>
  <c r="Q130" i="7" s="1"/>
  <c r="U130" i="7"/>
  <c r="V130" i="7"/>
  <c r="P131" i="7"/>
  <c r="Q131" i="7" s="1"/>
  <c r="U131" i="7"/>
  <c r="V131" i="7"/>
  <c r="P132" i="7"/>
  <c r="Q132" i="7" s="1"/>
  <c r="U132" i="7"/>
  <c r="V132" i="7"/>
  <c r="P133" i="7"/>
  <c r="Q133" i="7" s="1"/>
  <c r="U133" i="7"/>
  <c r="V133" i="7"/>
  <c r="P134" i="7"/>
  <c r="Q134" i="7" s="1"/>
  <c r="U134" i="7"/>
  <c r="V134" i="7"/>
  <c r="P135" i="7"/>
  <c r="Q135" i="7" s="1"/>
  <c r="U135" i="7"/>
  <c r="V135" i="7"/>
  <c r="P136" i="7"/>
  <c r="Q136" i="7" s="1"/>
  <c r="U136" i="7"/>
  <c r="V136" i="7"/>
  <c r="P137" i="7"/>
  <c r="Q137" i="7" s="1"/>
  <c r="U137" i="7"/>
  <c r="V137" i="7"/>
  <c r="P138" i="7"/>
  <c r="Q138" i="7" s="1"/>
  <c r="U138" i="7"/>
  <c r="V138" i="7"/>
  <c r="P139" i="7"/>
  <c r="Q139" i="7" s="1"/>
  <c r="U139" i="7"/>
  <c r="V139" i="7"/>
  <c r="P140" i="7"/>
  <c r="Q140" i="7" s="1"/>
  <c r="U140" i="7"/>
  <c r="V140" i="7"/>
  <c r="P141" i="7"/>
  <c r="Q141" i="7" s="1"/>
  <c r="U141" i="7"/>
  <c r="V141" i="7"/>
  <c r="P142" i="7"/>
  <c r="Q142" i="7" s="1"/>
  <c r="U142" i="7"/>
  <c r="V142" i="7"/>
  <c r="P143" i="7"/>
  <c r="Q143" i="7" s="1"/>
  <c r="U143" i="7"/>
  <c r="V143" i="7"/>
  <c r="P144" i="7"/>
  <c r="Q144" i="7" s="1"/>
  <c r="U144" i="7"/>
  <c r="V144" i="7"/>
  <c r="P145" i="7"/>
  <c r="Q145" i="7" s="1"/>
  <c r="U145" i="7"/>
  <c r="V145" i="7"/>
  <c r="P146" i="7"/>
  <c r="Q146" i="7" s="1"/>
  <c r="U146" i="7"/>
  <c r="V146" i="7"/>
  <c r="P147" i="7"/>
  <c r="Q147" i="7" s="1"/>
  <c r="U147" i="7"/>
  <c r="V147" i="7"/>
  <c r="P148" i="7"/>
  <c r="Q148" i="7" s="1"/>
  <c r="U148" i="7"/>
  <c r="V148" i="7"/>
  <c r="P149" i="7"/>
  <c r="Q149" i="7" s="1"/>
  <c r="U149" i="7"/>
  <c r="V149" i="7"/>
  <c r="P150" i="7"/>
  <c r="Q150" i="7" s="1"/>
  <c r="U150" i="7"/>
  <c r="V150" i="7"/>
  <c r="P151" i="7"/>
  <c r="Q151" i="7" s="1"/>
  <c r="U151" i="7"/>
  <c r="V151" i="7"/>
  <c r="P152" i="7"/>
  <c r="Q152" i="7" s="1"/>
  <c r="U152" i="7"/>
  <c r="V152" i="7"/>
  <c r="P153" i="7"/>
  <c r="Q153" i="7" s="1"/>
  <c r="U153" i="7"/>
  <c r="V153" i="7"/>
  <c r="P154" i="7"/>
  <c r="Q154" i="7" s="1"/>
  <c r="U154" i="7"/>
  <c r="V154" i="7"/>
  <c r="P155" i="7"/>
  <c r="Q155" i="7" s="1"/>
  <c r="U155" i="7"/>
  <c r="V155" i="7"/>
  <c r="P156" i="7"/>
  <c r="Q156" i="7" s="1"/>
  <c r="U156" i="7"/>
  <c r="V156" i="7"/>
  <c r="P157" i="7"/>
  <c r="Q157" i="7" s="1"/>
  <c r="U157" i="7"/>
  <c r="V157" i="7"/>
  <c r="P158" i="7"/>
  <c r="Q158" i="7" s="1"/>
  <c r="U158" i="7"/>
  <c r="V158" i="7"/>
  <c r="P159" i="7"/>
  <c r="Q159" i="7" s="1"/>
  <c r="U159" i="7"/>
  <c r="V159" i="7"/>
  <c r="P160" i="7"/>
  <c r="Q160" i="7" s="1"/>
  <c r="U160" i="7"/>
  <c r="V160" i="7"/>
  <c r="P161" i="7"/>
  <c r="Q161" i="7" s="1"/>
  <c r="U161" i="7"/>
  <c r="V161" i="7"/>
  <c r="P162" i="7"/>
  <c r="Q162" i="7" s="1"/>
  <c r="U162" i="7"/>
  <c r="V162" i="7"/>
  <c r="P163" i="7"/>
  <c r="Q163" i="7" s="1"/>
  <c r="U163" i="7"/>
  <c r="V163" i="7"/>
  <c r="P164" i="7"/>
  <c r="Q164" i="7" s="1"/>
  <c r="U164" i="7"/>
  <c r="V164" i="7"/>
  <c r="P165" i="7"/>
  <c r="Q165" i="7" s="1"/>
  <c r="U165" i="7"/>
  <c r="V165" i="7"/>
  <c r="P166" i="7"/>
  <c r="Q166" i="7" s="1"/>
  <c r="U166" i="7"/>
  <c r="V166" i="7"/>
  <c r="P167" i="7"/>
  <c r="Q167" i="7" s="1"/>
  <c r="U167" i="7"/>
  <c r="V167" i="7"/>
  <c r="P168" i="7"/>
  <c r="Q168" i="7" s="1"/>
  <c r="U168" i="7"/>
  <c r="V168" i="7"/>
  <c r="P169" i="7"/>
  <c r="Q169" i="7" s="1"/>
  <c r="U169" i="7"/>
  <c r="V169" i="7"/>
  <c r="P170" i="7"/>
  <c r="Q170" i="7" s="1"/>
  <c r="U170" i="7"/>
  <c r="V170" i="7"/>
  <c r="P171" i="7"/>
  <c r="Q171" i="7" s="1"/>
  <c r="U171" i="7"/>
  <c r="V171" i="7"/>
  <c r="P172" i="7"/>
  <c r="Q172" i="7" s="1"/>
  <c r="U172" i="7"/>
  <c r="V172" i="7"/>
  <c r="P173" i="7"/>
  <c r="Q173" i="7" s="1"/>
  <c r="U173" i="7"/>
  <c r="V173" i="7"/>
  <c r="P174" i="7"/>
  <c r="Q174" i="7" s="1"/>
  <c r="U174" i="7"/>
  <c r="V174" i="7"/>
  <c r="P175" i="7"/>
  <c r="Q175" i="7" s="1"/>
  <c r="U175" i="7"/>
  <c r="V175" i="7"/>
  <c r="P176" i="7"/>
  <c r="Q176" i="7" s="1"/>
  <c r="U176" i="7"/>
  <c r="V176" i="7"/>
  <c r="P177" i="7"/>
  <c r="Q177" i="7" s="1"/>
  <c r="U177" i="7"/>
  <c r="V177" i="7"/>
  <c r="P178" i="7"/>
  <c r="Q178" i="7" s="1"/>
  <c r="U178" i="7"/>
  <c r="V178" i="7"/>
  <c r="P179" i="7"/>
  <c r="Q179" i="7" s="1"/>
  <c r="U179" i="7"/>
  <c r="V179" i="7"/>
  <c r="P180" i="7"/>
  <c r="Q180" i="7" s="1"/>
  <c r="U180" i="7"/>
  <c r="V180" i="7"/>
  <c r="P181" i="7"/>
  <c r="Q181" i="7" s="1"/>
  <c r="U181" i="7"/>
  <c r="V181" i="7"/>
  <c r="P182" i="7"/>
  <c r="Q182" i="7" s="1"/>
  <c r="U182" i="7"/>
  <c r="V182" i="7"/>
  <c r="P183" i="7"/>
  <c r="Q183" i="7" s="1"/>
  <c r="U183" i="7"/>
  <c r="V183" i="7"/>
  <c r="P184" i="7"/>
  <c r="Q184" i="7" s="1"/>
  <c r="U184" i="7"/>
  <c r="V184" i="7"/>
  <c r="P185" i="7"/>
  <c r="Q185" i="7" s="1"/>
  <c r="U185" i="7"/>
  <c r="V185" i="7"/>
  <c r="P186" i="7"/>
  <c r="Q186" i="7" s="1"/>
  <c r="U186" i="7"/>
  <c r="V186" i="7"/>
  <c r="P187" i="7"/>
  <c r="Q187" i="7" s="1"/>
  <c r="U187" i="7"/>
  <c r="V187" i="7"/>
  <c r="P188" i="7"/>
  <c r="Q188" i="7" s="1"/>
  <c r="U188" i="7"/>
  <c r="V188" i="7"/>
  <c r="P189" i="7"/>
  <c r="Q189" i="7" s="1"/>
  <c r="U189" i="7"/>
  <c r="V189" i="7"/>
  <c r="P190" i="7"/>
  <c r="Q190" i="7" s="1"/>
  <c r="U190" i="7"/>
  <c r="V190" i="7"/>
  <c r="P191" i="7"/>
  <c r="Q191" i="7" s="1"/>
  <c r="U191" i="7"/>
  <c r="V191" i="7"/>
  <c r="P192" i="7"/>
  <c r="Q192" i="7" s="1"/>
  <c r="U192" i="7"/>
  <c r="V192" i="7"/>
  <c r="P193" i="7"/>
  <c r="Q193" i="7" s="1"/>
  <c r="U193" i="7"/>
  <c r="V193" i="7"/>
  <c r="P194" i="7"/>
  <c r="Q194" i="7" s="1"/>
  <c r="U194" i="7"/>
  <c r="V194" i="7"/>
  <c r="P195" i="7"/>
  <c r="Q195" i="7" s="1"/>
  <c r="U195" i="7"/>
  <c r="V195" i="7"/>
  <c r="P196" i="7"/>
  <c r="Q196" i="7" s="1"/>
  <c r="U196" i="7"/>
  <c r="V196" i="7"/>
  <c r="P197" i="7"/>
  <c r="Q197" i="7" s="1"/>
  <c r="U197" i="7"/>
  <c r="V197" i="7"/>
  <c r="P198" i="7"/>
  <c r="Q198" i="7" s="1"/>
  <c r="U198" i="7"/>
  <c r="V198" i="7"/>
  <c r="P199" i="7"/>
  <c r="Q199" i="7" s="1"/>
  <c r="U199" i="7"/>
  <c r="V199" i="7"/>
  <c r="P200" i="7"/>
  <c r="Q200" i="7" s="1"/>
  <c r="U200" i="7"/>
  <c r="V200" i="7"/>
  <c r="P201" i="7"/>
  <c r="Q201" i="7" s="1"/>
  <c r="U201" i="7"/>
  <c r="V201" i="7"/>
  <c r="P202" i="7"/>
  <c r="Q202" i="7" s="1"/>
  <c r="U202" i="7"/>
  <c r="V202" i="7"/>
  <c r="P203" i="7"/>
  <c r="Q203" i="7" s="1"/>
  <c r="U203" i="7"/>
  <c r="V203" i="7"/>
  <c r="P204" i="7"/>
  <c r="Q204" i="7" s="1"/>
  <c r="U204" i="7"/>
  <c r="V204" i="7"/>
  <c r="P205" i="7"/>
  <c r="Q205" i="7" s="1"/>
  <c r="U205" i="7"/>
  <c r="V205" i="7"/>
  <c r="P206" i="7"/>
  <c r="Q206" i="7" s="1"/>
  <c r="U206" i="7"/>
  <c r="V206" i="7"/>
  <c r="P207" i="7"/>
  <c r="Q207" i="7" s="1"/>
  <c r="U207" i="7"/>
  <c r="V207" i="7"/>
  <c r="P208" i="7"/>
  <c r="Q208" i="7" s="1"/>
  <c r="U208" i="7"/>
  <c r="V208" i="7"/>
  <c r="P209" i="7"/>
  <c r="Q209" i="7" s="1"/>
  <c r="U209" i="7"/>
  <c r="V209" i="7"/>
  <c r="P210" i="7"/>
  <c r="Q210" i="7" s="1"/>
  <c r="U210" i="7"/>
  <c r="V210" i="7"/>
  <c r="P211" i="7"/>
  <c r="Q211" i="7" s="1"/>
  <c r="U211" i="7"/>
  <c r="V211" i="7"/>
  <c r="P212" i="7"/>
  <c r="Q212" i="7" s="1"/>
  <c r="U212" i="7"/>
  <c r="V212" i="7"/>
  <c r="P213" i="7"/>
  <c r="Q213" i="7" s="1"/>
  <c r="U213" i="7"/>
  <c r="V213" i="7"/>
  <c r="P214" i="7"/>
  <c r="Q214" i="7" s="1"/>
  <c r="U214" i="7"/>
  <c r="V214" i="7"/>
  <c r="P215" i="7"/>
  <c r="Q215" i="7" s="1"/>
  <c r="U215" i="7"/>
  <c r="V215" i="7"/>
  <c r="P216" i="7"/>
  <c r="Q216" i="7" s="1"/>
  <c r="U216" i="7"/>
  <c r="V216" i="7"/>
  <c r="P217" i="7"/>
  <c r="Q217" i="7" s="1"/>
  <c r="U217" i="7"/>
  <c r="V217" i="7"/>
  <c r="P218" i="7"/>
  <c r="Q218" i="7" s="1"/>
  <c r="U218" i="7"/>
  <c r="V218" i="7"/>
  <c r="P219" i="7"/>
  <c r="Q219" i="7" s="1"/>
  <c r="U219" i="7"/>
  <c r="V219" i="7"/>
  <c r="P220" i="7"/>
  <c r="Q220" i="7" s="1"/>
  <c r="U220" i="7"/>
  <c r="V220" i="7"/>
  <c r="P221" i="7"/>
  <c r="Q221" i="7" s="1"/>
  <c r="U221" i="7"/>
  <c r="V221" i="7"/>
  <c r="P222" i="7"/>
  <c r="Q222" i="7" s="1"/>
  <c r="U222" i="7"/>
  <c r="V222" i="7"/>
  <c r="P223" i="7"/>
  <c r="Q223" i="7" s="1"/>
  <c r="U223" i="7"/>
  <c r="V223" i="7"/>
  <c r="P224" i="7"/>
  <c r="Q224" i="7" s="1"/>
  <c r="U224" i="7"/>
  <c r="V224" i="7"/>
  <c r="P225" i="7"/>
  <c r="Q225" i="7" s="1"/>
  <c r="U225" i="7"/>
  <c r="V225" i="7"/>
  <c r="P226" i="7"/>
  <c r="Q226" i="7" s="1"/>
  <c r="U226" i="7"/>
  <c r="V226" i="7"/>
  <c r="P227" i="7"/>
  <c r="Q227" i="7" s="1"/>
  <c r="U227" i="7"/>
  <c r="V227" i="7"/>
  <c r="P228" i="7"/>
  <c r="Q228" i="7" s="1"/>
  <c r="U228" i="7"/>
  <c r="V228" i="7"/>
  <c r="P229" i="7"/>
  <c r="Q229" i="7" s="1"/>
  <c r="U229" i="7"/>
  <c r="V229" i="7"/>
  <c r="P230" i="7"/>
  <c r="Q230" i="7" s="1"/>
  <c r="U230" i="7"/>
  <c r="V230" i="7"/>
  <c r="P231" i="7"/>
  <c r="Q231" i="7" s="1"/>
  <c r="U231" i="7"/>
  <c r="V231" i="7"/>
  <c r="P232" i="7"/>
  <c r="Q232" i="7" s="1"/>
  <c r="U232" i="7"/>
  <c r="V232" i="7"/>
  <c r="P233" i="7"/>
  <c r="Q233" i="7" s="1"/>
  <c r="U233" i="7"/>
  <c r="V233" i="7"/>
  <c r="P234" i="7"/>
  <c r="Q234" i="7" s="1"/>
  <c r="U234" i="7"/>
  <c r="V234" i="7"/>
  <c r="P235" i="7"/>
  <c r="Q235" i="7" s="1"/>
  <c r="U235" i="7"/>
  <c r="V235" i="7"/>
  <c r="P236" i="7"/>
  <c r="Q236" i="7" s="1"/>
  <c r="U236" i="7"/>
  <c r="V236" i="7"/>
  <c r="P237" i="7"/>
  <c r="Q237" i="7" s="1"/>
  <c r="U237" i="7"/>
  <c r="V237" i="7"/>
  <c r="P238" i="7"/>
  <c r="Q238" i="7" s="1"/>
  <c r="U238" i="7"/>
  <c r="V238" i="7"/>
  <c r="P239" i="7"/>
  <c r="Q239" i="7" s="1"/>
  <c r="U239" i="7"/>
  <c r="V239" i="7"/>
  <c r="P240" i="7"/>
  <c r="Q240" i="7" s="1"/>
  <c r="U240" i="7"/>
  <c r="V240" i="7"/>
  <c r="P241" i="7"/>
  <c r="Q241" i="7" s="1"/>
  <c r="U241" i="7"/>
  <c r="V241" i="7"/>
  <c r="P242" i="7"/>
  <c r="Q242" i="7" s="1"/>
  <c r="U242" i="7"/>
  <c r="V242" i="7"/>
  <c r="P243" i="7"/>
  <c r="Q243" i="7" s="1"/>
  <c r="U243" i="7"/>
  <c r="V243" i="7"/>
  <c r="P244" i="7"/>
  <c r="Q244" i="7" s="1"/>
  <c r="U244" i="7"/>
  <c r="V244" i="7"/>
  <c r="P245" i="7"/>
  <c r="Q245" i="7" s="1"/>
  <c r="U245" i="7"/>
  <c r="V245" i="7"/>
  <c r="P246" i="7"/>
  <c r="Q246" i="7" s="1"/>
  <c r="U246" i="7"/>
  <c r="V246" i="7"/>
  <c r="P247" i="7"/>
  <c r="Q247" i="7" s="1"/>
  <c r="U247" i="7"/>
  <c r="V247" i="7"/>
  <c r="P248" i="7"/>
  <c r="Q248" i="7" s="1"/>
  <c r="U248" i="7"/>
  <c r="V248" i="7"/>
  <c r="P249" i="7"/>
  <c r="Q249" i="7" s="1"/>
  <c r="U249" i="7"/>
  <c r="V249" i="7"/>
  <c r="P250" i="7"/>
  <c r="Q250" i="7" s="1"/>
  <c r="U250" i="7"/>
  <c r="V250" i="7"/>
  <c r="P251" i="7"/>
  <c r="Q251" i="7" s="1"/>
  <c r="U251" i="7"/>
  <c r="V251" i="7"/>
  <c r="P252" i="7"/>
  <c r="Q252" i="7" s="1"/>
  <c r="U252" i="7"/>
  <c r="V252" i="7"/>
  <c r="P253" i="7"/>
  <c r="Q253" i="7" s="1"/>
  <c r="U253" i="7"/>
  <c r="V253" i="7"/>
  <c r="P254" i="7"/>
  <c r="Q254" i="7" s="1"/>
  <c r="U254" i="7"/>
  <c r="V254" i="7"/>
  <c r="P255" i="7"/>
  <c r="Q255" i="7" s="1"/>
  <c r="U255" i="7"/>
  <c r="V255" i="7"/>
  <c r="P256" i="7"/>
  <c r="Q256" i="7" s="1"/>
  <c r="U256" i="7"/>
  <c r="V256" i="7"/>
  <c r="P257" i="7"/>
  <c r="Q257" i="7" s="1"/>
  <c r="U257" i="7"/>
  <c r="V257" i="7"/>
  <c r="P258" i="7"/>
  <c r="Q258" i="7" s="1"/>
  <c r="U258" i="7"/>
  <c r="V258" i="7"/>
  <c r="P259" i="7"/>
  <c r="Q259" i="7" s="1"/>
  <c r="U259" i="7"/>
  <c r="V259" i="7"/>
  <c r="P260" i="7"/>
  <c r="Q260" i="7" s="1"/>
  <c r="U260" i="7"/>
  <c r="V260" i="7"/>
  <c r="P261" i="7"/>
  <c r="Q261" i="7" s="1"/>
  <c r="U261" i="7"/>
  <c r="V261" i="7"/>
  <c r="P262" i="7"/>
  <c r="Q262" i="7" s="1"/>
  <c r="U262" i="7"/>
  <c r="V262" i="7"/>
  <c r="P263" i="7"/>
  <c r="Q263" i="7" s="1"/>
  <c r="U263" i="7"/>
  <c r="V263" i="7"/>
  <c r="P264" i="7"/>
  <c r="Q264" i="7" s="1"/>
  <c r="U264" i="7"/>
  <c r="V264" i="7"/>
  <c r="P265" i="7"/>
  <c r="Q265" i="7" s="1"/>
  <c r="U265" i="7"/>
  <c r="V265" i="7"/>
  <c r="P266" i="7"/>
  <c r="Q266" i="7" s="1"/>
  <c r="U266" i="7"/>
  <c r="V266" i="7"/>
  <c r="P267" i="7"/>
  <c r="Q267" i="7" s="1"/>
  <c r="U267" i="7"/>
  <c r="V267" i="7"/>
  <c r="P268" i="7"/>
  <c r="Q268" i="7" s="1"/>
  <c r="U268" i="7"/>
  <c r="V268" i="7"/>
  <c r="P269" i="7"/>
  <c r="Q269" i="7" s="1"/>
  <c r="U269" i="7"/>
  <c r="V269" i="7"/>
  <c r="P270" i="7"/>
  <c r="Q270" i="7" s="1"/>
  <c r="U270" i="7"/>
  <c r="V270" i="7"/>
  <c r="P271" i="7"/>
  <c r="Q271" i="7" s="1"/>
  <c r="U271" i="7"/>
  <c r="V271" i="7"/>
  <c r="P272" i="7"/>
  <c r="Q272" i="7" s="1"/>
  <c r="U272" i="7"/>
  <c r="V272" i="7"/>
  <c r="P273" i="7"/>
  <c r="Q273" i="7" s="1"/>
  <c r="U273" i="7"/>
  <c r="V273" i="7"/>
  <c r="P274" i="7"/>
  <c r="Q274" i="7" s="1"/>
  <c r="U274" i="7"/>
  <c r="V274" i="7"/>
  <c r="P275" i="7"/>
  <c r="Q275" i="7" s="1"/>
  <c r="U275" i="7"/>
  <c r="V275" i="7"/>
  <c r="P276" i="7"/>
  <c r="Q276" i="7" s="1"/>
  <c r="U276" i="7"/>
  <c r="V276" i="7"/>
  <c r="P277" i="7"/>
  <c r="Q277" i="7" s="1"/>
  <c r="U277" i="7"/>
  <c r="V277" i="7"/>
  <c r="P278" i="7"/>
  <c r="Q278" i="7" s="1"/>
  <c r="U278" i="7"/>
  <c r="V278" i="7"/>
  <c r="P279" i="7"/>
  <c r="Q279" i="7" s="1"/>
  <c r="U279" i="7"/>
  <c r="V279" i="7"/>
  <c r="P280" i="7"/>
  <c r="Q280" i="7" s="1"/>
  <c r="U280" i="7"/>
  <c r="V280" i="7"/>
  <c r="P281" i="7"/>
  <c r="Q281" i="7" s="1"/>
  <c r="U281" i="7"/>
  <c r="V281" i="7"/>
  <c r="P282" i="7"/>
  <c r="Q282" i="7" s="1"/>
  <c r="U282" i="7"/>
  <c r="V282" i="7"/>
  <c r="P283" i="7"/>
  <c r="Q283" i="7" s="1"/>
  <c r="U283" i="7"/>
  <c r="V283" i="7"/>
  <c r="P284" i="7"/>
  <c r="Q284" i="7" s="1"/>
  <c r="U284" i="7"/>
  <c r="V284" i="7"/>
  <c r="P285" i="7"/>
  <c r="Q285" i="7" s="1"/>
  <c r="U285" i="7"/>
  <c r="V285" i="7"/>
  <c r="P286" i="7"/>
  <c r="Q286" i="7" s="1"/>
  <c r="U286" i="7"/>
  <c r="V286" i="7"/>
  <c r="P287" i="7"/>
  <c r="Q287" i="7" s="1"/>
  <c r="U287" i="7"/>
  <c r="V287" i="7"/>
  <c r="P288" i="7"/>
  <c r="Q288" i="7" s="1"/>
  <c r="U288" i="7"/>
  <c r="V288" i="7"/>
  <c r="P289" i="7"/>
  <c r="Q289" i="7" s="1"/>
  <c r="U289" i="7"/>
  <c r="V289" i="7"/>
  <c r="P290" i="7"/>
  <c r="Q290" i="7" s="1"/>
  <c r="U290" i="7"/>
  <c r="V290" i="7"/>
  <c r="P291" i="7"/>
  <c r="Q291" i="7" s="1"/>
  <c r="U291" i="7"/>
  <c r="V291" i="7"/>
  <c r="P292" i="7"/>
  <c r="Q292" i="7" s="1"/>
  <c r="U292" i="7"/>
  <c r="V292" i="7"/>
  <c r="P293" i="7"/>
  <c r="Q293" i="7" s="1"/>
  <c r="U293" i="7"/>
  <c r="V293" i="7"/>
  <c r="P294" i="7"/>
  <c r="Q294" i="7" s="1"/>
  <c r="U294" i="7"/>
  <c r="V294" i="7"/>
  <c r="P295" i="7"/>
  <c r="Q295" i="7" s="1"/>
  <c r="U295" i="7"/>
  <c r="V295" i="7"/>
  <c r="P296" i="7"/>
  <c r="Q296" i="7" s="1"/>
  <c r="U296" i="7"/>
  <c r="V296" i="7"/>
  <c r="P297" i="7"/>
  <c r="Q297" i="7" s="1"/>
  <c r="U297" i="7"/>
  <c r="V297" i="7"/>
  <c r="P298" i="7"/>
  <c r="Q298" i="7" s="1"/>
  <c r="U298" i="7"/>
  <c r="V298" i="7"/>
  <c r="P299" i="7"/>
  <c r="Q299" i="7" s="1"/>
  <c r="U299" i="7"/>
  <c r="V299" i="7"/>
  <c r="P300" i="7"/>
  <c r="Q300" i="7" s="1"/>
  <c r="U300" i="7"/>
  <c r="V300" i="7"/>
  <c r="P301" i="7"/>
  <c r="Q301" i="7" s="1"/>
  <c r="U301" i="7"/>
  <c r="V301" i="7"/>
  <c r="P302" i="7"/>
  <c r="Q302" i="7" s="1"/>
  <c r="U302" i="7"/>
  <c r="V302" i="7"/>
  <c r="P303" i="7"/>
  <c r="Q303" i="7" s="1"/>
  <c r="U303" i="7"/>
  <c r="V303" i="7"/>
  <c r="P304" i="7"/>
  <c r="Q304" i="7" s="1"/>
  <c r="U304" i="7"/>
  <c r="V304" i="7"/>
  <c r="P305" i="7"/>
  <c r="Q305" i="7" s="1"/>
  <c r="U305" i="7"/>
  <c r="V305" i="7"/>
  <c r="P306" i="7"/>
  <c r="Q306" i="7" s="1"/>
  <c r="U306" i="7"/>
  <c r="V306" i="7"/>
  <c r="P307" i="7"/>
  <c r="Q307" i="7" s="1"/>
  <c r="U307" i="7"/>
  <c r="V307" i="7"/>
  <c r="P308" i="7"/>
  <c r="Q308" i="7" s="1"/>
  <c r="U308" i="7"/>
  <c r="V308" i="7"/>
  <c r="P309" i="7"/>
  <c r="Q309" i="7" s="1"/>
  <c r="U309" i="7"/>
  <c r="V309" i="7"/>
  <c r="P310" i="7"/>
  <c r="Q310" i="7" s="1"/>
  <c r="U310" i="7"/>
  <c r="V310" i="7"/>
  <c r="P311" i="7"/>
  <c r="Q311" i="7" s="1"/>
  <c r="U311" i="7"/>
  <c r="V311" i="7"/>
  <c r="P312" i="7"/>
  <c r="Q312" i="7" s="1"/>
  <c r="U312" i="7"/>
  <c r="V312" i="7"/>
  <c r="P313" i="7"/>
  <c r="Q313" i="7" s="1"/>
  <c r="U313" i="7"/>
  <c r="V313" i="7"/>
  <c r="P314" i="7"/>
  <c r="Q314" i="7" s="1"/>
  <c r="U314" i="7"/>
  <c r="V314" i="7"/>
  <c r="P315" i="7"/>
  <c r="Q315" i="7" s="1"/>
  <c r="U315" i="7"/>
  <c r="V315" i="7"/>
  <c r="P316" i="7"/>
  <c r="Q316" i="7" s="1"/>
  <c r="U316" i="7"/>
  <c r="V316" i="7"/>
  <c r="P317" i="7"/>
  <c r="Q317" i="7" s="1"/>
  <c r="U317" i="7"/>
  <c r="V317" i="7"/>
  <c r="P318" i="7"/>
  <c r="Q318" i="7" s="1"/>
  <c r="U318" i="7"/>
  <c r="V318" i="7"/>
  <c r="P319" i="7"/>
  <c r="Q319" i="7" s="1"/>
  <c r="U319" i="7"/>
  <c r="V319" i="7"/>
  <c r="P320" i="7"/>
  <c r="Q320" i="7" s="1"/>
  <c r="U320" i="7"/>
  <c r="V320" i="7"/>
  <c r="P321" i="7"/>
  <c r="Q321" i="7" s="1"/>
  <c r="U321" i="7"/>
  <c r="V321" i="7"/>
  <c r="P322" i="7"/>
  <c r="Q322" i="7" s="1"/>
  <c r="U322" i="7"/>
  <c r="V322" i="7"/>
  <c r="P323" i="7"/>
  <c r="Q323" i="7" s="1"/>
  <c r="U323" i="7"/>
  <c r="V323" i="7"/>
  <c r="P324" i="7"/>
  <c r="Q324" i="7" s="1"/>
  <c r="U324" i="7"/>
  <c r="V324" i="7"/>
  <c r="P325" i="7"/>
  <c r="Q325" i="7" s="1"/>
  <c r="U325" i="7"/>
  <c r="V325" i="7"/>
  <c r="P326" i="7"/>
  <c r="Q326" i="7" s="1"/>
  <c r="U326" i="7"/>
  <c r="V326" i="7"/>
  <c r="P327" i="7"/>
  <c r="Q327" i="7" s="1"/>
  <c r="U327" i="7"/>
  <c r="V327" i="7"/>
  <c r="P328" i="7"/>
  <c r="Q328" i="7" s="1"/>
  <c r="U328" i="7"/>
  <c r="V328" i="7"/>
  <c r="P329" i="7"/>
  <c r="Q329" i="7" s="1"/>
  <c r="U329" i="7"/>
  <c r="V329" i="7"/>
  <c r="P330" i="7"/>
  <c r="Q330" i="7" s="1"/>
  <c r="U330" i="7"/>
  <c r="V330" i="7"/>
  <c r="P331" i="7"/>
  <c r="Q331" i="7" s="1"/>
  <c r="U331" i="7"/>
  <c r="V331" i="7"/>
  <c r="P332" i="7"/>
  <c r="Q332" i="7" s="1"/>
  <c r="U332" i="7"/>
  <c r="V332" i="7"/>
  <c r="P333" i="7"/>
  <c r="Q333" i="7" s="1"/>
  <c r="U333" i="7"/>
  <c r="V333" i="7"/>
  <c r="P334" i="7"/>
  <c r="Q334" i="7" s="1"/>
  <c r="U334" i="7"/>
  <c r="V334" i="7"/>
  <c r="P335" i="7"/>
  <c r="Q335" i="7" s="1"/>
  <c r="U335" i="7"/>
  <c r="V335" i="7"/>
  <c r="P336" i="7"/>
  <c r="Q336" i="7" s="1"/>
  <c r="U336" i="7"/>
  <c r="V336" i="7"/>
  <c r="P337" i="7"/>
  <c r="Q337" i="7" s="1"/>
  <c r="U337" i="7"/>
  <c r="V337" i="7"/>
  <c r="P338" i="7"/>
  <c r="Q338" i="7" s="1"/>
  <c r="U338" i="7"/>
  <c r="V338" i="7"/>
  <c r="P339" i="7"/>
  <c r="Q339" i="7" s="1"/>
  <c r="U339" i="7"/>
  <c r="V339" i="7"/>
  <c r="P340" i="7"/>
  <c r="Q340" i="7" s="1"/>
  <c r="U340" i="7"/>
  <c r="V340" i="7"/>
  <c r="P341" i="7"/>
  <c r="Q341" i="7" s="1"/>
  <c r="U341" i="7"/>
  <c r="V341" i="7"/>
  <c r="P342" i="7"/>
  <c r="Q342" i="7" s="1"/>
  <c r="U342" i="7"/>
  <c r="V342" i="7"/>
  <c r="P343" i="7"/>
  <c r="Q343" i="7" s="1"/>
  <c r="U343" i="7"/>
  <c r="V343" i="7"/>
  <c r="P344" i="7"/>
  <c r="Q344" i="7" s="1"/>
  <c r="U344" i="7"/>
  <c r="V344" i="7"/>
  <c r="P345" i="7"/>
  <c r="Q345" i="7" s="1"/>
  <c r="U345" i="7"/>
  <c r="V345" i="7"/>
  <c r="P346" i="7"/>
  <c r="Q346" i="7" s="1"/>
  <c r="U346" i="7"/>
  <c r="V346" i="7"/>
  <c r="P347" i="7"/>
  <c r="Q347" i="7" s="1"/>
  <c r="U347" i="7"/>
  <c r="V347" i="7"/>
  <c r="P348" i="7"/>
  <c r="Q348" i="7" s="1"/>
  <c r="U348" i="7"/>
  <c r="V348" i="7"/>
  <c r="P349" i="7"/>
  <c r="Q349" i="7" s="1"/>
  <c r="U349" i="7"/>
  <c r="V349" i="7"/>
  <c r="P350" i="7"/>
  <c r="Q350" i="7" s="1"/>
  <c r="U350" i="7"/>
  <c r="V350" i="7"/>
  <c r="P351" i="7"/>
  <c r="Q351" i="7" s="1"/>
  <c r="U351" i="7"/>
  <c r="V351" i="7"/>
  <c r="P352" i="7"/>
  <c r="Q352" i="7" s="1"/>
  <c r="U352" i="7"/>
  <c r="V352" i="7"/>
  <c r="P353" i="7"/>
  <c r="Q353" i="7" s="1"/>
  <c r="U353" i="7"/>
  <c r="V353" i="7"/>
  <c r="P354" i="7"/>
  <c r="Q354" i="7" s="1"/>
  <c r="U354" i="7"/>
  <c r="V354" i="7"/>
  <c r="P355" i="7"/>
  <c r="Q355" i="7" s="1"/>
  <c r="U355" i="7"/>
  <c r="V355" i="7"/>
  <c r="P356" i="7"/>
  <c r="Q356" i="7" s="1"/>
  <c r="U356" i="7"/>
  <c r="V356" i="7"/>
  <c r="P357" i="7"/>
  <c r="Q357" i="7" s="1"/>
  <c r="U357" i="7"/>
  <c r="V357" i="7"/>
  <c r="P358" i="7"/>
  <c r="Q358" i="7" s="1"/>
  <c r="U358" i="7"/>
  <c r="V358" i="7"/>
  <c r="P359" i="7"/>
  <c r="Q359" i="7" s="1"/>
  <c r="U359" i="7"/>
  <c r="V359" i="7"/>
  <c r="P360" i="7"/>
  <c r="Q360" i="7" s="1"/>
  <c r="U360" i="7"/>
  <c r="V360" i="7"/>
  <c r="P361" i="7"/>
  <c r="Q361" i="7" s="1"/>
  <c r="U361" i="7"/>
  <c r="V361" i="7"/>
  <c r="P362" i="7"/>
  <c r="Q362" i="7" s="1"/>
  <c r="U362" i="7"/>
  <c r="V362" i="7"/>
  <c r="P363" i="7"/>
  <c r="Q363" i="7" s="1"/>
  <c r="U363" i="7"/>
  <c r="V363" i="7"/>
  <c r="P364" i="7"/>
  <c r="Q364" i="7" s="1"/>
  <c r="U364" i="7"/>
  <c r="V364" i="7"/>
  <c r="P365" i="7"/>
  <c r="Q365" i="7" s="1"/>
  <c r="U365" i="7"/>
  <c r="V365" i="7"/>
  <c r="P366" i="7"/>
  <c r="Q366" i="7" s="1"/>
  <c r="U366" i="7"/>
  <c r="V366" i="7"/>
  <c r="P367" i="7"/>
  <c r="Q367" i="7" s="1"/>
  <c r="U367" i="7"/>
  <c r="V367" i="7"/>
  <c r="P368" i="7"/>
  <c r="Q368" i="7" s="1"/>
  <c r="U368" i="7"/>
  <c r="V368" i="7"/>
  <c r="P369" i="7"/>
  <c r="Q369" i="7" s="1"/>
  <c r="U369" i="7"/>
  <c r="V369" i="7"/>
  <c r="P370" i="7"/>
  <c r="Q370" i="7" s="1"/>
  <c r="U370" i="7"/>
  <c r="V370" i="7"/>
  <c r="P371" i="7"/>
  <c r="Q371" i="7" s="1"/>
  <c r="U371" i="7"/>
  <c r="V371" i="7"/>
  <c r="P372" i="7"/>
  <c r="Q372" i="7" s="1"/>
  <c r="U372" i="7"/>
  <c r="V372" i="7"/>
  <c r="P373" i="7"/>
  <c r="Q373" i="7" s="1"/>
  <c r="U373" i="7"/>
  <c r="V373" i="7"/>
  <c r="P374" i="7"/>
  <c r="Q374" i="7" s="1"/>
  <c r="U374" i="7"/>
  <c r="V374" i="7"/>
  <c r="P375" i="7"/>
  <c r="Q375" i="7" s="1"/>
  <c r="U375" i="7"/>
  <c r="V375" i="7"/>
  <c r="P376" i="7"/>
  <c r="Q376" i="7" s="1"/>
  <c r="U376" i="7"/>
  <c r="V376" i="7"/>
  <c r="P377" i="7"/>
  <c r="Q377" i="7" s="1"/>
  <c r="U377" i="7"/>
  <c r="V377" i="7"/>
  <c r="P378" i="7"/>
  <c r="Q378" i="7" s="1"/>
  <c r="U378" i="7"/>
  <c r="V378" i="7"/>
  <c r="P379" i="7"/>
  <c r="Q379" i="7" s="1"/>
  <c r="U379" i="7"/>
  <c r="V379" i="7"/>
  <c r="P380" i="7"/>
  <c r="Q380" i="7" s="1"/>
  <c r="U380" i="7"/>
  <c r="V380" i="7"/>
  <c r="P381" i="7"/>
  <c r="Q381" i="7" s="1"/>
  <c r="U381" i="7"/>
  <c r="V381" i="7"/>
  <c r="P382" i="7"/>
  <c r="Q382" i="7" s="1"/>
  <c r="U382" i="7"/>
  <c r="V382" i="7"/>
  <c r="P383" i="7"/>
  <c r="Q383" i="7" s="1"/>
  <c r="U383" i="7"/>
  <c r="V383" i="7"/>
  <c r="P384" i="7"/>
  <c r="Q384" i="7" s="1"/>
  <c r="U384" i="7"/>
  <c r="V384" i="7"/>
  <c r="P385" i="7"/>
  <c r="Q385" i="7" s="1"/>
  <c r="U385" i="7"/>
  <c r="V385" i="7"/>
  <c r="P386" i="7"/>
  <c r="Q386" i="7" s="1"/>
  <c r="U386" i="7"/>
  <c r="V386" i="7"/>
  <c r="P387" i="7"/>
  <c r="Q387" i="7" s="1"/>
  <c r="U387" i="7"/>
  <c r="V387" i="7"/>
  <c r="P388" i="7"/>
  <c r="Q388" i="7" s="1"/>
  <c r="U388" i="7"/>
  <c r="V388" i="7"/>
  <c r="P389" i="7"/>
  <c r="Q389" i="7" s="1"/>
  <c r="U389" i="7"/>
  <c r="V389" i="7"/>
  <c r="P390" i="7"/>
  <c r="Q390" i="7" s="1"/>
  <c r="U390" i="7"/>
  <c r="V390" i="7"/>
  <c r="P391" i="7"/>
  <c r="Q391" i="7" s="1"/>
  <c r="U391" i="7"/>
  <c r="V391" i="7"/>
  <c r="P392" i="7"/>
  <c r="Q392" i="7" s="1"/>
  <c r="U392" i="7"/>
  <c r="V392" i="7"/>
  <c r="P393" i="7"/>
  <c r="Q393" i="7" s="1"/>
  <c r="U393" i="7"/>
  <c r="V393" i="7"/>
  <c r="P394" i="7"/>
  <c r="Q394" i="7" s="1"/>
  <c r="U394" i="7"/>
  <c r="V394" i="7"/>
  <c r="P395" i="7"/>
  <c r="Q395" i="7" s="1"/>
  <c r="U395" i="7"/>
  <c r="V395" i="7"/>
  <c r="P396" i="7"/>
  <c r="Q396" i="7" s="1"/>
  <c r="U396" i="7"/>
  <c r="V396" i="7"/>
  <c r="P397" i="7"/>
  <c r="Q397" i="7" s="1"/>
  <c r="U397" i="7"/>
  <c r="V397" i="7"/>
  <c r="P398" i="7"/>
  <c r="Q398" i="7" s="1"/>
  <c r="U398" i="7"/>
  <c r="V398" i="7"/>
  <c r="P399" i="7"/>
  <c r="Q399" i="7" s="1"/>
  <c r="U399" i="7"/>
  <c r="V399" i="7"/>
  <c r="P400" i="7"/>
  <c r="Q400" i="7" s="1"/>
  <c r="U400" i="7"/>
  <c r="V400" i="7"/>
  <c r="P401" i="7"/>
  <c r="Q401" i="7" s="1"/>
  <c r="U401" i="7"/>
  <c r="V401" i="7"/>
  <c r="P402" i="7"/>
  <c r="Q402" i="7" s="1"/>
  <c r="U402" i="7"/>
  <c r="V402" i="7"/>
  <c r="P403" i="7"/>
  <c r="Q403" i="7" s="1"/>
  <c r="U403" i="7"/>
  <c r="V403" i="7"/>
  <c r="P404" i="7"/>
  <c r="Q404" i="7" s="1"/>
  <c r="U404" i="7"/>
  <c r="V404" i="7"/>
  <c r="P405" i="7"/>
  <c r="Q405" i="7" s="1"/>
  <c r="U405" i="7"/>
  <c r="V405" i="7"/>
  <c r="P406" i="7"/>
  <c r="Q406" i="7" s="1"/>
  <c r="U406" i="7"/>
  <c r="V406" i="7"/>
  <c r="P407" i="7"/>
  <c r="Q407" i="7" s="1"/>
  <c r="U407" i="7"/>
  <c r="V407" i="7"/>
  <c r="P408" i="7"/>
  <c r="Q408" i="7" s="1"/>
  <c r="U408" i="7"/>
  <c r="V408" i="7"/>
  <c r="P409" i="7"/>
  <c r="Q409" i="7" s="1"/>
  <c r="U409" i="7"/>
  <c r="V409" i="7"/>
  <c r="P410" i="7"/>
  <c r="Q410" i="7" s="1"/>
  <c r="U410" i="7"/>
  <c r="V410" i="7"/>
  <c r="P411" i="7"/>
  <c r="Q411" i="7" s="1"/>
  <c r="U411" i="7"/>
  <c r="V411" i="7"/>
  <c r="P412" i="7"/>
  <c r="Q412" i="7" s="1"/>
  <c r="U412" i="7"/>
  <c r="V412" i="7"/>
  <c r="P413" i="7"/>
  <c r="Q413" i="7" s="1"/>
  <c r="U413" i="7"/>
  <c r="V413" i="7"/>
  <c r="P414" i="7"/>
  <c r="Q414" i="7" s="1"/>
  <c r="U414" i="7"/>
  <c r="V414" i="7"/>
  <c r="P415" i="7"/>
  <c r="Q415" i="7" s="1"/>
  <c r="U415" i="7"/>
  <c r="V415" i="7"/>
  <c r="P416" i="7"/>
  <c r="Q416" i="7" s="1"/>
  <c r="U416" i="7"/>
  <c r="V416" i="7"/>
  <c r="P417" i="7"/>
  <c r="Q417" i="7" s="1"/>
  <c r="U417" i="7"/>
  <c r="V417" i="7"/>
  <c r="P418" i="7"/>
  <c r="Q418" i="7" s="1"/>
  <c r="U418" i="7"/>
  <c r="V418" i="7"/>
  <c r="P419" i="7"/>
  <c r="Q419" i="7" s="1"/>
  <c r="U419" i="7"/>
  <c r="V419" i="7"/>
  <c r="P420" i="7"/>
  <c r="Q420" i="7" s="1"/>
  <c r="U420" i="7"/>
  <c r="V420" i="7"/>
  <c r="P421" i="7"/>
  <c r="Q421" i="7" s="1"/>
  <c r="U421" i="7"/>
  <c r="V421" i="7"/>
  <c r="P422" i="7"/>
  <c r="Q422" i="7" s="1"/>
  <c r="U422" i="7"/>
  <c r="V422" i="7"/>
  <c r="P423" i="7"/>
  <c r="Q423" i="7" s="1"/>
  <c r="U423" i="7"/>
  <c r="V423" i="7"/>
  <c r="P424" i="7"/>
  <c r="Q424" i="7" s="1"/>
  <c r="U424" i="7"/>
  <c r="V424" i="7"/>
  <c r="P425" i="7"/>
  <c r="Q425" i="7" s="1"/>
  <c r="U425" i="7"/>
  <c r="V425" i="7"/>
  <c r="P426" i="7"/>
  <c r="Q426" i="7" s="1"/>
  <c r="U426" i="7"/>
  <c r="V426" i="7"/>
  <c r="P427" i="7"/>
  <c r="Q427" i="7" s="1"/>
  <c r="U427" i="7"/>
  <c r="V427" i="7"/>
  <c r="P428" i="7"/>
  <c r="Q428" i="7" s="1"/>
  <c r="U428" i="7"/>
  <c r="V428" i="7"/>
  <c r="P429" i="7"/>
  <c r="Q429" i="7" s="1"/>
  <c r="U429" i="7"/>
  <c r="V429" i="7"/>
  <c r="P430" i="7"/>
  <c r="Q430" i="7" s="1"/>
  <c r="U430" i="7"/>
  <c r="V430" i="7"/>
  <c r="P431" i="7"/>
  <c r="Q431" i="7" s="1"/>
  <c r="U431" i="7"/>
  <c r="V431" i="7"/>
  <c r="P432" i="7"/>
  <c r="Q432" i="7" s="1"/>
  <c r="U432" i="7"/>
  <c r="V432" i="7"/>
  <c r="P433" i="7"/>
  <c r="Q433" i="7" s="1"/>
  <c r="U433" i="7"/>
  <c r="V433" i="7"/>
  <c r="P434" i="7"/>
  <c r="Q434" i="7" s="1"/>
  <c r="U434" i="7"/>
  <c r="V434" i="7"/>
  <c r="P435" i="7"/>
  <c r="Q435" i="7" s="1"/>
  <c r="U435" i="7"/>
  <c r="V435" i="7"/>
  <c r="P436" i="7"/>
  <c r="Q436" i="7" s="1"/>
  <c r="U436" i="7"/>
  <c r="V436" i="7"/>
  <c r="P437" i="7"/>
  <c r="Q437" i="7" s="1"/>
  <c r="U437" i="7"/>
  <c r="V437" i="7"/>
  <c r="P438" i="7"/>
  <c r="Q438" i="7" s="1"/>
  <c r="U438" i="7"/>
  <c r="V438" i="7"/>
  <c r="P439" i="7"/>
  <c r="Q439" i="7" s="1"/>
  <c r="U439" i="7"/>
  <c r="V439" i="7"/>
  <c r="P440" i="7"/>
  <c r="Q440" i="7" s="1"/>
  <c r="U440" i="7"/>
  <c r="V440" i="7"/>
  <c r="P441" i="7"/>
  <c r="Q441" i="7" s="1"/>
  <c r="U441" i="7"/>
  <c r="V441" i="7"/>
  <c r="P442" i="7"/>
  <c r="Q442" i="7" s="1"/>
  <c r="U442" i="7"/>
  <c r="V442" i="7"/>
  <c r="P443" i="7"/>
  <c r="Q443" i="7" s="1"/>
  <c r="U443" i="7"/>
  <c r="V443" i="7"/>
  <c r="P444" i="7"/>
  <c r="Q444" i="7" s="1"/>
  <c r="U444" i="7"/>
  <c r="V444" i="7"/>
  <c r="P445" i="7"/>
  <c r="Q445" i="7" s="1"/>
  <c r="U445" i="7"/>
  <c r="V445" i="7"/>
  <c r="P446" i="7"/>
  <c r="Q446" i="7" s="1"/>
  <c r="U446" i="7"/>
  <c r="V446" i="7"/>
  <c r="P447" i="7"/>
  <c r="Q447" i="7" s="1"/>
  <c r="U447" i="7"/>
  <c r="V447" i="7"/>
  <c r="P448" i="7"/>
  <c r="Q448" i="7" s="1"/>
  <c r="U448" i="7"/>
  <c r="V448" i="7"/>
  <c r="P449" i="7"/>
  <c r="Q449" i="7" s="1"/>
  <c r="U449" i="7"/>
  <c r="V449" i="7"/>
  <c r="P450" i="7"/>
  <c r="Q450" i="7" s="1"/>
  <c r="U450" i="7"/>
  <c r="V450" i="7"/>
  <c r="P451" i="7"/>
  <c r="Q451" i="7" s="1"/>
  <c r="U451" i="7"/>
  <c r="V451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93" i="7"/>
  <c r="C111" i="6"/>
  <c r="C112" i="6"/>
  <c r="C114" i="6"/>
  <c r="C115" i="6"/>
  <c r="C118" i="6"/>
  <c r="C120" i="6"/>
  <c r="C122" i="6"/>
  <c r="C123" i="6"/>
  <c r="C124" i="6"/>
  <c r="C125" i="6"/>
  <c r="C127" i="6"/>
  <c r="C128" i="6"/>
  <c r="C129" i="6"/>
  <c r="C131" i="6"/>
  <c r="C132" i="6"/>
  <c r="C133" i="6"/>
  <c r="C135" i="6"/>
  <c r="C136" i="6"/>
  <c r="C138" i="6"/>
  <c r="C139" i="6"/>
  <c r="C140" i="6"/>
  <c r="C142" i="6"/>
  <c r="C143" i="6"/>
  <c r="C146" i="6"/>
  <c r="C147" i="6"/>
  <c r="C148" i="6"/>
  <c r="C150" i="6"/>
  <c r="C151" i="6"/>
  <c r="C154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70" i="6"/>
  <c r="C171" i="6"/>
  <c r="C172" i="6"/>
  <c r="C174" i="6"/>
  <c r="C175" i="6"/>
  <c r="C176" i="6"/>
  <c r="C178" i="6"/>
  <c r="C179" i="6"/>
  <c r="C182" i="6"/>
  <c r="C183" i="6"/>
  <c r="C184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9" i="6"/>
  <c r="C200" i="6"/>
  <c r="C202" i="6"/>
  <c r="C203" i="6"/>
  <c r="C204" i="6"/>
  <c r="C206" i="6"/>
  <c r="C207" i="6"/>
  <c r="C210" i="6"/>
  <c r="C211" i="6"/>
  <c r="C212" i="6"/>
  <c r="C214" i="6"/>
  <c r="C215" i="6"/>
  <c r="C217" i="6"/>
  <c r="C218" i="6"/>
  <c r="C219" i="6"/>
  <c r="C220" i="6"/>
  <c r="C221" i="6"/>
  <c r="C222" i="6"/>
  <c r="C223" i="6"/>
  <c r="C224" i="6"/>
  <c r="C225" i="6"/>
  <c r="C227" i="6"/>
  <c r="C228" i="6"/>
  <c r="C229" i="6"/>
  <c r="C231" i="6"/>
  <c r="C232" i="6"/>
  <c r="C234" i="6"/>
  <c r="C235" i="6"/>
  <c r="C236" i="6"/>
  <c r="C238" i="6"/>
  <c r="C239" i="6"/>
  <c r="C240" i="6"/>
  <c r="C242" i="6"/>
  <c r="C243" i="6"/>
  <c r="C244" i="6"/>
  <c r="C245" i="6"/>
  <c r="C246" i="6"/>
  <c r="C247" i="6"/>
  <c r="C248" i="6"/>
  <c r="C250" i="6"/>
  <c r="C251" i="6"/>
  <c r="C252" i="6"/>
  <c r="C254" i="6"/>
  <c r="C255" i="6"/>
  <c r="C256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1" i="6"/>
  <c r="C272" i="6"/>
  <c r="C273" i="6"/>
  <c r="C275" i="6"/>
  <c r="C276" i="6"/>
  <c r="C277" i="6"/>
  <c r="C278" i="6"/>
  <c r="C279" i="6"/>
  <c r="C280" i="6"/>
  <c r="C282" i="6"/>
  <c r="C283" i="6"/>
  <c r="C284" i="6"/>
  <c r="C286" i="6"/>
  <c r="C287" i="6"/>
  <c r="C290" i="6"/>
  <c r="C291" i="6"/>
  <c r="C292" i="6"/>
  <c r="C294" i="6"/>
  <c r="C295" i="6"/>
  <c r="C297" i="6"/>
  <c r="C298" i="6"/>
  <c r="C299" i="6"/>
  <c r="C300" i="6"/>
  <c r="C301" i="6"/>
  <c r="C303" i="6"/>
  <c r="C304" i="6"/>
  <c r="C305" i="6"/>
  <c r="C307" i="6"/>
  <c r="C308" i="6"/>
  <c r="C309" i="6"/>
  <c r="C311" i="6"/>
  <c r="C312" i="6"/>
  <c r="C314" i="6"/>
  <c r="C315" i="6"/>
  <c r="C316" i="6"/>
  <c r="C318" i="6"/>
  <c r="C319" i="6"/>
  <c r="C320" i="6"/>
  <c r="C322" i="6"/>
  <c r="C323" i="6"/>
  <c r="C324" i="6"/>
  <c r="C326" i="6"/>
  <c r="C327" i="6"/>
  <c r="C330" i="6"/>
  <c r="C332" i="6"/>
  <c r="C333" i="6"/>
  <c r="C334" i="6"/>
  <c r="C336" i="6"/>
  <c r="C337" i="6"/>
  <c r="C338" i="6"/>
  <c r="C339" i="6"/>
  <c r="C340" i="6"/>
  <c r="C341" i="6"/>
  <c r="C342" i="6"/>
  <c r="C343" i="6"/>
  <c r="C344" i="6"/>
  <c r="C346" i="6"/>
  <c r="C347" i="6"/>
  <c r="C348" i="6"/>
  <c r="C350" i="6"/>
  <c r="C351" i="6"/>
  <c r="C352" i="6"/>
  <c r="C354" i="6"/>
  <c r="C355" i="6"/>
  <c r="C358" i="6"/>
  <c r="C359" i="6"/>
  <c r="C360" i="6"/>
  <c r="C361" i="6"/>
  <c r="C362" i="6"/>
  <c r="C364" i="6"/>
  <c r="C365" i="6"/>
  <c r="C366" i="6"/>
  <c r="C368" i="6"/>
  <c r="C369" i="6"/>
  <c r="C370" i="6"/>
  <c r="C371" i="6"/>
  <c r="C372" i="6"/>
  <c r="C373" i="6"/>
  <c r="C374" i="6"/>
  <c r="C375" i="6"/>
  <c r="C376" i="6"/>
  <c r="C378" i="6"/>
  <c r="C379" i="6"/>
  <c r="C380" i="6"/>
  <c r="C382" i="6"/>
  <c r="C383" i="6"/>
  <c r="C384" i="6"/>
  <c r="C386" i="6"/>
  <c r="C387" i="6"/>
  <c r="C388" i="6"/>
  <c r="C390" i="6"/>
  <c r="C391" i="6"/>
  <c r="C392" i="6"/>
  <c r="C394" i="6"/>
  <c r="C395" i="6"/>
  <c r="C396" i="6"/>
  <c r="C398" i="6"/>
  <c r="C399" i="6"/>
  <c r="C400" i="6"/>
  <c r="C402" i="6"/>
  <c r="C403" i="6"/>
  <c r="C404" i="6"/>
  <c r="C406" i="6"/>
  <c r="C407" i="6"/>
  <c r="C408" i="6"/>
  <c r="C410" i="6"/>
  <c r="C411" i="6"/>
  <c r="C412" i="6"/>
  <c r="C414" i="6"/>
  <c r="C415" i="6"/>
  <c r="C416" i="6"/>
  <c r="C418" i="6"/>
  <c r="C419" i="6"/>
  <c r="C420" i="6"/>
  <c r="C422" i="6"/>
  <c r="C423" i="6"/>
  <c r="C424" i="6"/>
  <c r="C426" i="6"/>
  <c r="C427" i="6"/>
  <c r="C428" i="6"/>
  <c r="C430" i="6"/>
  <c r="C431" i="6"/>
  <c r="C432" i="6"/>
  <c r="C434" i="6"/>
  <c r="C435" i="6"/>
  <c r="C436" i="6"/>
  <c r="C438" i="6"/>
  <c r="C439" i="6"/>
  <c r="C440" i="6"/>
  <c r="C442" i="6"/>
  <c r="C443" i="6"/>
  <c r="C444" i="6"/>
  <c r="C446" i="6"/>
  <c r="C447" i="6"/>
  <c r="C448" i="6"/>
  <c r="C450" i="6"/>
  <c r="C451" i="6"/>
  <c r="C452" i="6"/>
  <c r="C454" i="6"/>
  <c r="C455" i="6"/>
  <c r="C456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P111" i="6"/>
  <c r="Q111" i="6" s="1"/>
  <c r="P112" i="6"/>
  <c r="Q112" i="6" s="1"/>
  <c r="P113" i="6"/>
  <c r="Q113" i="6" s="1"/>
  <c r="P114" i="6"/>
  <c r="Q114" i="6" s="1"/>
  <c r="P115" i="6"/>
  <c r="Q115" i="6" s="1"/>
  <c r="P116" i="6"/>
  <c r="Q116" i="6" s="1"/>
  <c r="P117" i="6"/>
  <c r="Q117" i="6" s="1"/>
  <c r="P118" i="6"/>
  <c r="Q118" i="6" s="1"/>
  <c r="P119" i="6"/>
  <c r="Q119" i="6" s="1"/>
  <c r="P120" i="6"/>
  <c r="Q120" i="6" s="1"/>
  <c r="P121" i="6"/>
  <c r="Q121" i="6" s="1"/>
  <c r="P122" i="6"/>
  <c r="Q122" i="6" s="1"/>
  <c r="P123" i="6"/>
  <c r="Q123" i="6" s="1"/>
  <c r="P124" i="6"/>
  <c r="Q124" i="6" s="1"/>
  <c r="P125" i="6"/>
  <c r="Q125" i="6" s="1"/>
  <c r="P126" i="6"/>
  <c r="Q126" i="6" s="1"/>
  <c r="P127" i="6"/>
  <c r="Q127" i="6" s="1"/>
  <c r="P128" i="6"/>
  <c r="Q128" i="6" s="1"/>
  <c r="P129" i="6"/>
  <c r="Q129" i="6" s="1"/>
  <c r="P130" i="6"/>
  <c r="Q130" i="6" s="1"/>
  <c r="P131" i="6"/>
  <c r="Q131" i="6" s="1"/>
  <c r="P132" i="6"/>
  <c r="Q132" i="6" s="1"/>
  <c r="P133" i="6"/>
  <c r="Q133" i="6" s="1"/>
  <c r="P134" i="6"/>
  <c r="Q134" i="6" s="1"/>
  <c r="P135" i="6"/>
  <c r="Q135" i="6" s="1"/>
  <c r="P136" i="6"/>
  <c r="Q136" i="6" s="1"/>
  <c r="P137" i="6"/>
  <c r="Q137" i="6" s="1"/>
  <c r="P138" i="6"/>
  <c r="Q138" i="6" s="1"/>
  <c r="P139" i="6"/>
  <c r="Q139" i="6" s="1"/>
  <c r="P140" i="6"/>
  <c r="Q140" i="6" s="1"/>
  <c r="P141" i="6"/>
  <c r="Q141" i="6" s="1"/>
  <c r="P142" i="6"/>
  <c r="Q142" i="6" s="1"/>
  <c r="P143" i="6"/>
  <c r="Q143" i="6" s="1"/>
  <c r="P144" i="6"/>
  <c r="Q144" i="6" s="1"/>
  <c r="P145" i="6"/>
  <c r="Q145" i="6" s="1"/>
  <c r="P146" i="6"/>
  <c r="Q146" i="6" s="1"/>
  <c r="P147" i="6"/>
  <c r="Q147" i="6" s="1"/>
  <c r="P148" i="6"/>
  <c r="Q148" i="6" s="1"/>
  <c r="P149" i="6"/>
  <c r="Q149" i="6" s="1"/>
  <c r="P150" i="6"/>
  <c r="Q150" i="6" s="1"/>
  <c r="P151" i="6"/>
  <c r="Q151" i="6" s="1"/>
  <c r="P152" i="6"/>
  <c r="Q152" i="6" s="1"/>
  <c r="P153" i="6"/>
  <c r="Q153" i="6" s="1"/>
  <c r="P154" i="6"/>
  <c r="Q154" i="6" s="1"/>
  <c r="P155" i="6"/>
  <c r="Q155" i="6" s="1"/>
  <c r="P156" i="6"/>
  <c r="Q156" i="6" s="1"/>
  <c r="P157" i="6"/>
  <c r="Q157" i="6" s="1"/>
  <c r="P158" i="6"/>
  <c r="Q158" i="6" s="1"/>
  <c r="P159" i="6"/>
  <c r="Q159" i="6" s="1"/>
  <c r="P160" i="6"/>
  <c r="Q160" i="6" s="1"/>
  <c r="P161" i="6"/>
  <c r="Q161" i="6" s="1"/>
  <c r="P162" i="6"/>
  <c r="Q162" i="6" s="1"/>
  <c r="P163" i="6"/>
  <c r="Q163" i="6" s="1"/>
  <c r="P164" i="6"/>
  <c r="Q164" i="6" s="1"/>
  <c r="P165" i="6"/>
  <c r="Q165" i="6" s="1"/>
  <c r="P166" i="6"/>
  <c r="Q166" i="6" s="1"/>
  <c r="P167" i="6"/>
  <c r="Q167" i="6" s="1"/>
  <c r="P168" i="6"/>
  <c r="Q168" i="6" s="1"/>
  <c r="P169" i="6"/>
  <c r="Q169" i="6" s="1"/>
  <c r="P170" i="6"/>
  <c r="Q170" i="6" s="1"/>
  <c r="P171" i="6"/>
  <c r="Q171" i="6" s="1"/>
  <c r="P172" i="6"/>
  <c r="Q172" i="6" s="1"/>
  <c r="P173" i="6"/>
  <c r="Q173" i="6" s="1"/>
  <c r="P174" i="6"/>
  <c r="Q174" i="6" s="1"/>
  <c r="P175" i="6"/>
  <c r="Q175" i="6" s="1"/>
  <c r="P176" i="6"/>
  <c r="Q176" i="6" s="1"/>
  <c r="P177" i="6"/>
  <c r="Q177" i="6" s="1"/>
  <c r="P178" i="6"/>
  <c r="Q178" i="6" s="1"/>
  <c r="P179" i="6"/>
  <c r="Q179" i="6" s="1"/>
  <c r="P180" i="6"/>
  <c r="Q180" i="6" s="1"/>
  <c r="P181" i="6"/>
  <c r="Q181" i="6" s="1"/>
  <c r="P182" i="6"/>
  <c r="Q182" i="6" s="1"/>
  <c r="P183" i="6"/>
  <c r="Q183" i="6" s="1"/>
  <c r="P184" i="6"/>
  <c r="Q184" i="6" s="1"/>
  <c r="P185" i="6"/>
  <c r="Q185" i="6" s="1"/>
  <c r="P186" i="6"/>
  <c r="Q186" i="6" s="1"/>
  <c r="P187" i="6"/>
  <c r="Q187" i="6" s="1"/>
  <c r="P188" i="6"/>
  <c r="Q188" i="6" s="1"/>
  <c r="P189" i="6"/>
  <c r="Q189" i="6" s="1"/>
  <c r="P190" i="6"/>
  <c r="Q190" i="6" s="1"/>
  <c r="P191" i="6"/>
  <c r="Q191" i="6" s="1"/>
  <c r="P192" i="6"/>
  <c r="Q192" i="6" s="1"/>
  <c r="P193" i="6"/>
  <c r="Q193" i="6" s="1"/>
  <c r="P194" i="6"/>
  <c r="Q194" i="6" s="1"/>
  <c r="P195" i="6"/>
  <c r="Q195" i="6" s="1"/>
  <c r="P196" i="6"/>
  <c r="Q196" i="6" s="1"/>
  <c r="P197" i="6"/>
  <c r="Q197" i="6" s="1"/>
  <c r="P198" i="6"/>
  <c r="Q198" i="6" s="1"/>
  <c r="P199" i="6"/>
  <c r="Q199" i="6" s="1"/>
  <c r="P200" i="6"/>
  <c r="Q200" i="6" s="1"/>
  <c r="P201" i="6"/>
  <c r="Q201" i="6" s="1"/>
  <c r="P202" i="6"/>
  <c r="Q202" i="6" s="1"/>
  <c r="P203" i="6"/>
  <c r="Q203" i="6" s="1"/>
  <c r="P204" i="6"/>
  <c r="Q204" i="6" s="1"/>
  <c r="P205" i="6"/>
  <c r="Q205" i="6" s="1"/>
  <c r="P206" i="6"/>
  <c r="Q206" i="6" s="1"/>
  <c r="P207" i="6"/>
  <c r="Q207" i="6" s="1"/>
  <c r="P208" i="6"/>
  <c r="Q208" i="6" s="1"/>
  <c r="P209" i="6"/>
  <c r="Q209" i="6" s="1"/>
  <c r="P210" i="6"/>
  <c r="Q210" i="6" s="1"/>
  <c r="P211" i="6"/>
  <c r="Q211" i="6" s="1"/>
  <c r="P212" i="6"/>
  <c r="Q212" i="6" s="1"/>
  <c r="P213" i="6"/>
  <c r="Q213" i="6" s="1"/>
  <c r="P214" i="6"/>
  <c r="Q214" i="6" s="1"/>
  <c r="P215" i="6"/>
  <c r="Q215" i="6" s="1"/>
  <c r="P216" i="6"/>
  <c r="Q216" i="6" s="1"/>
  <c r="P217" i="6"/>
  <c r="Q217" i="6" s="1"/>
  <c r="P218" i="6"/>
  <c r="Q218" i="6" s="1"/>
  <c r="P219" i="6"/>
  <c r="Q219" i="6" s="1"/>
  <c r="P220" i="6"/>
  <c r="Q220" i="6" s="1"/>
  <c r="P221" i="6"/>
  <c r="Q221" i="6" s="1"/>
  <c r="P222" i="6"/>
  <c r="Q222" i="6" s="1"/>
  <c r="P223" i="6"/>
  <c r="Q223" i="6" s="1"/>
  <c r="P224" i="6"/>
  <c r="Q224" i="6" s="1"/>
  <c r="P225" i="6"/>
  <c r="Q225" i="6" s="1"/>
  <c r="P226" i="6"/>
  <c r="Q226" i="6" s="1"/>
  <c r="P227" i="6"/>
  <c r="Q227" i="6" s="1"/>
  <c r="P228" i="6"/>
  <c r="Q228" i="6" s="1"/>
  <c r="P229" i="6"/>
  <c r="Q229" i="6" s="1"/>
  <c r="P230" i="6"/>
  <c r="Q230" i="6" s="1"/>
  <c r="P231" i="6"/>
  <c r="Q231" i="6" s="1"/>
  <c r="P232" i="6"/>
  <c r="Q232" i="6" s="1"/>
  <c r="P233" i="6"/>
  <c r="Q233" i="6" s="1"/>
  <c r="P234" i="6"/>
  <c r="Q234" i="6" s="1"/>
  <c r="P235" i="6"/>
  <c r="Q235" i="6" s="1"/>
  <c r="P236" i="6"/>
  <c r="Q236" i="6" s="1"/>
  <c r="P237" i="6"/>
  <c r="Q237" i="6" s="1"/>
  <c r="P238" i="6"/>
  <c r="Q238" i="6" s="1"/>
  <c r="P239" i="6"/>
  <c r="Q239" i="6" s="1"/>
  <c r="P240" i="6"/>
  <c r="Q240" i="6" s="1"/>
  <c r="P241" i="6"/>
  <c r="Q241" i="6" s="1"/>
  <c r="P242" i="6"/>
  <c r="Q242" i="6" s="1"/>
  <c r="P243" i="6"/>
  <c r="Q243" i="6" s="1"/>
  <c r="P244" i="6"/>
  <c r="Q244" i="6" s="1"/>
  <c r="P245" i="6"/>
  <c r="Q245" i="6" s="1"/>
  <c r="P246" i="6"/>
  <c r="Q246" i="6" s="1"/>
  <c r="P247" i="6"/>
  <c r="Q247" i="6" s="1"/>
  <c r="P248" i="6"/>
  <c r="Q248" i="6" s="1"/>
  <c r="P249" i="6"/>
  <c r="Q249" i="6" s="1"/>
  <c r="P250" i="6"/>
  <c r="Q250" i="6" s="1"/>
  <c r="P251" i="6"/>
  <c r="Q251" i="6" s="1"/>
  <c r="P252" i="6"/>
  <c r="Q252" i="6" s="1"/>
  <c r="P253" i="6"/>
  <c r="Q253" i="6" s="1"/>
  <c r="P254" i="6"/>
  <c r="Q254" i="6" s="1"/>
  <c r="P255" i="6"/>
  <c r="Q255" i="6" s="1"/>
  <c r="P256" i="6"/>
  <c r="Q256" i="6" s="1"/>
  <c r="P257" i="6"/>
  <c r="Q257" i="6" s="1"/>
  <c r="P258" i="6"/>
  <c r="Q258" i="6" s="1"/>
  <c r="P259" i="6"/>
  <c r="Q259" i="6" s="1"/>
  <c r="P260" i="6"/>
  <c r="Q260" i="6" s="1"/>
  <c r="P261" i="6"/>
  <c r="Q261" i="6" s="1"/>
  <c r="P262" i="6"/>
  <c r="Q262" i="6" s="1"/>
  <c r="P263" i="6"/>
  <c r="Q263" i="6" s="1"/>
  <c r="P264" i="6"/>
  <c r="Q264" i="6" s="1"/>
  <c r="P265" i="6"/>
  <c r="Q265" i="6" s="1"/>
  <c r="P266" i="6"/>
  <c r="Q266" i="6" s="1"/>
  <c r="P267" i="6"/>
  <c r="Q267" i="6" s="1"/>
  <c r="P268" i="6"/>
  <c r="Q268" i="6" s="1"/>
  <c r="P269" i="6"/>
  <c r="Q269" i="6" s="1"/>
  <c r="P270" i="6"/>
  <c r="Q270" i="6" s="1"/>
  <c r="P271" i="6"/>
  <c r="Q271" i="6" s="1"/>
  <c r="P272" i="6"/>
  <c r="Q272" i="6" s="1"/>
  <c r="P273" i="6"/>
  <c r="Q273" i="6" s="1"/>
  <c r="P274" i="6"/>
  <c r="Q274" i="6" s="1"/>
  <c r="P275" i="6"/>
  <c r="Q275" i="6" s="1"/>
  <c r="P276" i="6"/>
  <c r="Q276" i="6" s="1"/>
  <c r="P277" i="6"/>
  <c r="Q277" i="6" s="1"/>
  <c r="P278" i="6"/>
  <c r="Q278" i="6" s="1"/>
  <c r="P279" i="6"/>
  <c r="Q279" i="6" s="1"/>
  <c r="P280" i="6"/>
  <c r="Q280" i="6" s="1"/>
  <c r="P281" i="6"/>
  <c r="Q281" i="6" s="1"/>
  <c r="P282" i="6"/>
  <c r="Q282" i="6" s="1"/>
  <c r="P283" i="6"/>
  <c r="Q283" i="6" s="1"/>
  <c r="P284" i="6"/>
  <c r="Q284" i="6" s="1"/>
  <c r="P285" i="6"/>
  <c r="Q285" i="6" s="1"/>
  <c r="P286" i="6"/>
  <c r="Q286" i="6" s="1"/>
  <c r="P287" i="6"/>
  <c r="Q287" i="6" s="1"/>
  <c r="P288" i="6"/>
  <c r="Q288" i="6" s="1"/>
  <c r="P289" i="6"/>
  <c r="Q289" i="6" s="1"/>
  <c r="P290" i="6"/>
  <c r="Q290" i="6" s="1"/>
  <c r="P291" i="6"/>
  <c r="Q291" i="6" s="1"/>
  <c r="P292" i="6"/>
  <c r="Q292" i="6" s="1"/>
  <c r="P293" i="6"/>
  <c r="Q293" i="6" s="1"/>
  <c r="P294" i="6"/>
  <c r="Q294" i="6" s="1"/>
  <c r="P295" i="6"/>
  <c r="Q295" i="6" s="1"/>
  <c r="P296" i="6"/>
  <c r="Q296" i="6" s="1"/>
  <c r="P297" i="6"/>
  <c r="Q297" i="6" s="1"/>
  <c r="P298" i="6"/>
  <c r="Q298" i="6" s="1"/>
  <c r="P299" i="6"/>
  <c r="Q299" i="6" s="1"/>
  <c r="P300" i="6"/>
  <c r="Q300" i="6" s="1"/>
  <c r="P301" i="6"/>
  <c r="Q301" i="6" s="1"/>
  <c r="P302" i="6"/>
  <c r="Q302" i="6" s="1"/>
  <c r="P303" i="6"/>
  <c r="Q303" i="6" s="1"/>
  <c r="P304" i="6"/>
  <c r="Q304" i="6" s="1"/>
  <c r="P305" i="6"/>
  <c r="Q305" i="6" s="1"/>
  <c r="P306" i="6"/>
  <c r="Q306" i="6" s="1"/>
  <c r="P307" i="6"/>
  <c r="Q307" i="6" s="1"/>
  <c r="P308" i="6"/>
  <c r="Q308" i="6" s="1"/>
  <c r="P309" i="6"/>
  <c r="Q309" i="6" s="1"/>
  <c r="P310" i="6"/>
  <c r="Q310" i="6" s="1"/>
  <c r="P311" i="6"/>
  <c r="Q311" i="6" s="1"/>
  <c r="P312" i="6"/>
  <c r="Q312" i="6" s="1"/>
  <c r="P313" i="6"/>
  <c r="Q313" i="6" s="1"/>
  <c r="P314" i="6"/>
  <c r="Q314" i="6" s="1"/>
  <c r="P315" i="6"/>
  <c r="Q315" i="6" s="1"/>
  <c r="P316" i="6"/>
  <c r="Q316" i="6" s="1"/>
  <c r="P317" i="6"/>
  <c r="Q317" i="6" s="1"/>
  <c r="P318" i="6"/>
  <c r="Q318" i="6" s="1"/>
  <c r="P319" i="6"/>
  <c r="Q319" i="6" s="1"/>
  <c r="P320" i="6"/>
  <c r="Q320" i="6" s="1"/>
  <c r="P321" i="6"/>
  <c r="Q321" i="6" s="1"/>
  <c r="P322" i="6"/>
  <c r="Q322" i="6" s="1"/>
  <c r="P323" i="6"/>
  <c r="Q323" i="6" s="1"/>
  <c r="P324" i="6"/>
  <c r="Q324" i="6" s="1"/>
  <c r="P325" i="6"/>
  <c r="Q325" i="6" s="1"/>
  <c r="P326" i="6"/>
  <c r="Q326" i="6" s="1"/>
  <c r="P327" i="6"/>
  <c r="Q327" i="6" s="1"/>
  <c r="P328" i="6"/>
  <c r="Q328" i="6" s="1"/>
  <c r="P329" i="6"/>
  <c r="Q329" i="6" s="1"/>
  <c r="P330" i="6"/>
  <c r="Q330" i="6" s="1"/>
  <c r="P331" i="6"/>
  <c r="Q331" i="6" s="1"/>
  <c r="P332" i="6"/>
  <c r="Q332" i="6" s="1"/>
  <c r="P333" i="6"/>
  <c r="Q333" i="6" s="1"/>
  <c r="P334" i="6"/>
  <c r="Q334" i="6" s="1"/>
  <c r="P335" i="6"/>
  <c r="Q335" i="6" s="1"/>
  <c r="P336" i="6"/>
  <c r="Q336" i="6" s="1"/>
  <c r="P337" i="6"/>
  <c r="Q337" i="6" s="1"/>
  <c r="P338" i="6"/>
  <c r="Q338" i="6" s="1"/>
  <c r="P339" i="6"/>
  <c r="Q339" i="6" s="1"/>
  <c r="P340" i="6"/>
  <c r="Q340" i="6" s="1"/>
  <c r="P341" i="6"/>
  <c r="Q341" i="6" s="1"/>
  <c r="P342" i="6"/>
  <c r="Q342" i="6" s="1"/>
  <c r="P343" i="6"/>
  <c r="Q343" i="6" s="1"/>
  <c r="P344" i="6"/>
  <c r="Q344" i="6" s="1"/>
  <c r="P345" i="6"/>
  <c r="Q345" i="6" s="1"/>
  <c r="P346" i="6"/>
  <c r="Q346" i="6" s="1"/>
  <c r="P347" i="6"/>
  <c r="Q347" i="6" s="1"/>
  <c r="P348" i="6"/>
  <c r="Q348" i="6" s="1"/>
  <c r="P349" i="6"/>
  <c r="Q349" i="6" s="1"/>
  <c r="P350" i="6"/>
  <c r="Q350" i="6" s="1"/>
  <c r="P351" i="6"/>
  <c r="Q351" i="6" s="1"/>
  <c r="P352" i="6"/>
  <c r="Q352" i="6" s="1"/>
  <c r="P353" i="6"/>
  <c r="Q353" i="6" s="1"/>
  <c r="P354" i="6"/>
  <c r="Q354" i="6" s="1"/>
  <c r="P355" i="6"/>
  <c r="Q355" i="6" s="1"/>
  <c r="P356" i="6"/>
  <c r="Q356" i="6" s="1"/>
  <c r="P357" i="6"/>
  <c r="Q357" i="6" s="1"/>
  <c r="P358" i="6"/>
  <c r="Q358" i="6" s="1"/>
  <c r="P359" i="6"/>
  <c r="Q359" i="6" s="1"/>
  <c r="P360" i="6"/>
  <c r="Q360" i="6" s="1"/>
  <c r="P361" i="6"/>
  <c r="Q361" i="6" s="1"/>
  <c r="P362" i="6"/>
  <c r="Q362" i="6" s="1"/>
  <c r="P363" i="6"/>
  <c r="Q363" i="6" s="1"/>
  <c r="P364" i="6"/>
  <c r="Q364" i="6" s="1"/>
  <c r="P365" i="6"/>
  <c r="Q365" i="6" s="1"/>
  <c r="P366" i="6"/>
  <c r="Q366" i="6" s="1"/>
  <c r="P367" i="6"/>
  <c r="Q367" i="6" s="1"/>
  <c r="P368" i="6"/>
  <c r="Q368" i="6" s="1"/>
  <c r="P369" i="6"/>
  <c r="Q369" i="6" s="1"/>
  <c r="P370" i="6"/>
  <c r="Q370" i="6" s="1"/>
  <c r="P371" i="6"/>
  <c r="Q371" i="6" s="1"/>
  <c r="P372" i="6"/>
  <c r="Q372" i="6" s="1"/>
  <c r="P373" i="6"/>
  <c r="Q373" i="6" s="1"/>
  <c r="P374" i="6"/>
  <c r="Q374" i="6" s="1"/>
  <c r="P375" i="6"/>
  <c r="Q375" i="6" s="1"/>
  <c r="P376" i="6"/>
  <c r="Q376" i="6" s="1"/>
  <c r="P377" i="6"/>
  <c r="Q377" i="6" s="1"/>
  <c r="P378" i="6"/>
  <c r="Q378" i="6" s="1"/>
  <c r="P379" i="6"/>
  <c r="Q379" i="6" s="1"/>
  <c r="P380" i="6"/>
  <c r="Q380" i="6" s="1"/>
  <c r="P381" i="6"/>
  <c r="Q381" i="6" s="1"/>
  <c r="P382" i="6"/>
  <c r="Q382" i="6" s="1"/>
  <c r="P383" i="6"/>
  <c r="Q383" i="6" s="1"/>
  <c r="P384" i="6"/>
  <c r="Q384" i="6" s="1"/>
  <c r="P385" i="6"/>
  <c r="Q385" i="6" s="1"/>
  <c r="P386" i="6"/>
  <c r="Q386" i="6" s="1"/>
  <c r="P387" i="6"/>
  <c r="Q387" i="6" s="1"/>
  <c r="P388" i="6"/>
  <c r="Q388" i="6" s="1"/>
  <c r="P389" i="6"/>
  <c r="Q389" i="6" s="1"/>
  <c r="P390" i="6"/>
  <c r="Q390" i="6" s="1"/>
  <c r="P391" i="6"/>
  <c r="Q391" i="6" s="1"/>
  <c r="P392" i="6"/>
  <c r="Q392" i="6" s="1"/>
  <c r="P393" i="6"/>
  <c r="Q393" i="6" s="1"/>
  <c r="P394" i="6"/>
  <c r="Q394" i="6" s="1"/>
  <c r="P395" i="6"/>
  <c r="Q395" i="6" s="1"/>
  <c r="P396" i="6"/>
  <c r="Q396" i="6" s="1"/>
  <c r="P397" i="6"/>
  <c r="Q397" i="6" s="1"/>
  <c r="P398" i="6"/>
  <c r="Q398" i="6" s="1"/>
  <c r="P399" i="6"/>
  <c r="Q399" i="6" s="1"/>
  <c r="P400" i="6"/>
  <c r="Q400" i="6" s="1"/>
  <c r="P401" i="6"/>
  <c r="Q401" i="6" s="1"/>
  <c r="P402" i="6"/>
  <c r="Q402" i="6" s="1"/>
  <c r="P403" i="6"/>
  <c r="Q403" i="6" s="1"/>
  <c r="P404" i="6"/>
  <c r="Q404" i="6" s="1"/>
  <c r="P405" i="6"/>
  <c r="Q405" i="6" s="1"/>
  <c r="P406" i="6"/>
  <c r="Q406" i="6" s="1"/>
  <c r="P407" i="6"/>
  <c r="Q407" i="6" s="1"/>
  <c r="P408" i="6"/>
  <c r="Q408" i="6" s="1"/>
  <c r="P409" i="6"/>
  <c r="Q409" i="6" s="1"/>
  <c r="P410" i="6"/>
  <c r="Q410" i="6" s="1"/>
  <c r="P411" i="6"/>
  <c r="Q411" i="6" s="1"/>
  <c r="P412" i="6"/>
  <c r="Q412" i="6" s="1"/>
  <c r="P413" i="6"/>
  <c r="Q413" i="6" s="1"/>
  <c r="P414" i="6"/>
  <c r="Q414" i="6" s="1"/>
  <c r="P415" i="6"/>
  <c r="Q415" i="6" s="1"/>
  <c r="P416" i="6"/>
  <c r="Q416" i="6" s="1"/>
  <c r="P417" i="6"/>
  <c r="Q417" i="6" s="1"/>
  <c r="P418" i="6"/>
  <c r="Q418" i="6" s="1"/>
  <c r="P419" i="6"/>
  <c r="Q419" i="6" s="1"/>
  <c r="P420" i="6"/>
  <c r="Q420" i="6" s="1"/>
  <c r="P421" i="6"/>
  <c r="Q421" i="6" s="1"/>
  <c r="P422" i="6"/>
  <c r="Q422" i="6" s="1"/>
  <c r="P423" i="6"/>
  <c r="Q423" i="6" s="1"/>
  <c r="P424" i="6"/>
  <c r="Q424" i="6" s="1"/>
  <c r="P425" i="6"/>
  <c r="Q425" i="6" s="1"/>
  <c r="P426" i="6"/>
  <c r="Q426" i="6" s="1"/>
  <c r="P427" i="6"/>
  <c r="Q427" i="6" s="1"/>
  <c r="P428" i="6"/>
  <c r="Q428" i="6" s="1"/>
  <c r="P429" i="6"/>
  <c r="Q429" i="6" s="1"/>
  <c r="P430" i="6"/>
  <c r="Q430" i="6" s="1"/>
  <c r="P431" i="6"/>
  <c r="Q431" i="6" s="1"/>
  <c r="P432" i="6"/>
  <c r="Q432" i="6" s="1"/>
  <c r="P433" i="6"/>
  <c r="Q433" i="6" s="1"/>
  <c r="P434" i="6"/>
  <c r="Q434" i="6" s="1"/>
  <c r="P435" i="6"/>
  <c r="Q435" i="6" s="1"/>
  <c r="P436" i="6"/>
  <c r="Q436" i="6" s="1"/>
  <c r="P437" i="6"/>
  <c r="Q437" i="6" s="1"/>
  <c r="P438" i="6"/>
  <c r="Q438" i="6" s="1"/>
  <c r="P439" i="6"/>
  <c r="Q439" i="6" s="1"/>
  <c r="P440" i="6"/>
  <c r="Q440" i="6" s="1"/>
  <c r="P441" i="6"/>
  <c r="Q441" i="6" s="1"/>
  <c r="P442" i="6"/>
  <c r="Q442" i="6" s="1"/>
  <c r="P443" i="6"/>
  <c r="Q443" i="6" s="1"/>
  <c r="P444" i="6"/>
  <c r="Q444" i="6" s="1"/>
  <c r="P445" i="6"/>
  <c r="Q445" i="6" s="1"/>
  <c r="P446" i="6"/>
  <c r="Q446" i="6" s="1"/>
  <c r="P447" i="6"/>
  <c r="Q447" i="6" s="1"/>
  <c r="P448" i="6"/>
  <c r="Q448" i="6" s="1"/>
  <c r="P449" i="6"/>
  <c r="Q449" i="6" s="1"/>
  <c r="P450" i="6"/>
  <c r="Q450" i="6" s="1"/>
  <c r="P451" i="6"/>
  <c r="Q451" i="6" s="1"/>
  <c r="P452" i="6"/>
  <c r="Q452" i="6" s="1"/>
  <c r="P453" i="6"/>
  <c r="Q453" i="6" s="1"/>
  <c r="P454" i="6"/>
  <c r="Q454" i="6" s="1"/>
  <c r="P455" i="6"/>
  <c r="Q455" i="6" s="1"/>
  <c r="P456" i="6"/>
  <c r="Q456" i="6" s="1"/>
  <c r="P457" i="6"/>
  <c r="Q457" i="6" s="1"/>
  <c r="P458" i="6"/>
  <c r="Q458" i="6" s="1"/>
  <c r="P459" i="6"/>
  <c r="Q459" i="6" s="1"/>
  <c r="P460" i="6"/>
  <c r="Q460" i="6" s="1"/>
  <c r="P461" i="6"/>
  <c r="Q461" i="6" s="1"/>
  <c r="P462" i="6"/>
  <c r="Q462" i="6" s="1"/>
  <c r="P463" i="6"/>
  <c r="Q463" i="6" s="1"/>
  <c r="P464" i="6"/>
  <c r="Q464" i="6" s="1"/>
  <c r="P465" i="6"/>
  <c r="Q465" i="6" s="1"/>
  <c r="P466" i="6"/>
  <c r="Q466" i="6" s="1"/>
  <c r="P467" i="6"/>
  <c r="Q467" i="6" s="1"/>
  <c r="P468" i="6"/>
  <c r="Q468" i="6" s="1"/>
  <c r="P469" i="6"/>
  <c r="Q469" i="6" s="1"/>
  <c r="P470" i="6"/>
  <c r="Q470" i="6" s="1"/>
  <c r="P471" i="6"/>
  <c r="Q471" i="6" s="1"/>
  <c r="P472" i="6"/>
  <c r="Q472" i="6" s="1"/>
  <c r="P473" i="6"/>
  <c r="Q473" i="6" s="1"/>
  <c r="P474" i="6"/>
  <c r="Q474" i="6" s="1"/>
  <c r="P475" i="6"/>
  <c r="Q475" i="6" s="1"/>
  <c r="P476" i="6"/>
  <c r="Q476" i="6" s="1"/>
  <c r="P477" i="6"/>
  <c r="Q477" i="6" s="1"/>
  <c r="P478" i="6"/>
  <c r="Q478" i="6" s="1"/>
  <c r="P479" i="6"/>
  <c r="Q479" i="6" s="1"/>
  <c r="P480" i="6"/>
  <c r="Q480" i="6" s="1"/>
  <c r="P481" i="6"/>
  <c r="Q481" i="6" s="1"/>
  <c r="P482" i="6"/>
  <c r="Q482" i="6" s="1"/>
  <c r="P483" i="6"/>
  <c r="Q483" i="6" s="1"/>
  <c r="P484" i="6"/>
  <c r="Q484" i="6" s="1"/>
  <c r="P485" i="6"/>
  <c r="Q485" i="6" s="1"/>
  <c r="P486" i="6"/>
  <c r="Q486" i="6" s="1"/>
  <c r="P487" i="6"/>
  <c r="Q487" i="6" s="1"/>
  <c r="P488" i="6"/>
  <c r="Q488" i="6" s="1"/>
  <c r="P489" i="6"/>
  <c r="Q489" i="6" s="1"/>
  <c r="P490" i="6"/>
  <c r="Q490" i="6" s="1"/>
  <c r="P491" i="6"/>
  <c r="Q491" i="6" s="1"/>
  <c r="P492" i="6"/>
  <c r="Q492" i="6" s="1"/>
  <c r="P493" i="6"/>
  <c r="Q493" i="6" s="1"/>
  <c r="P494" i="6"/>
  <c r="Q494" i="6" s="1"/>
  <c r="P495" i="6"/>
  <c r="Q495" i="6" s="1"/>
  <c r="P496" i="6"/>
  <c r="Q496" i="6" s="1"/>
  <c r="P497" i="6"/>
  <c r="Q497" i="6" s="1"/>
  <c r="P498" i="6"/>
  <c r="Q498" i="6" s="1"/>
  <c r="P499" i="6"/>
  <c r="Q499" i="6" s="1"/>
  <c r="P500" i="6"/>
  <c r="Q500" i="6" s="1"/>
  <c r="P501" i="6"/>
  <c r="Q501" i="6" s="1"/>
  <c r="P502" i="6"/>
  <c r="Q502" i="6" s="1"/>
  <c r="P503" i="6"/>
  <c r="Q503" i="6" s="1"/>
  <c r="P504" i="6"/>
  <c r="Q504" i="6" s="1"/>
  <c r="P505" i="6"/>
  <c r="Q505" i="6" s="1"/>
  <c r="P506" i="6"/>
  <c r="Q506" i="6" s="1"/>
  <c r="P507" i="6"/>
  <c r="Q507" i="6" s="1"/>
  <c r="P508" i="6"/>
  <c r="Q508" i="6" s="1"/>
  <c r="P509" i="6"/>
  <c r="Q509" i="6" s="1"/>
  <c r="P510" i="6"/>
  <c r="Q510" i="6" s="1"/>
  <c r="P511" i="6"/>
  <c r="Q511" i="6" s="1"/>
  <c r="P512" i="6"/>
  <c r="Q512" i="6" s="1"/>
  <c r="P513" i="6"/>
  <c r="Q513" i="6" s="1"/>
  <c r="P514" i="6"/>
  <c r="Q514" i="6" s="1"/>
  <c r="P515" i="6"/>
  <c r="Q515" i="6" s="1"/>
  <c r="P516" i="6"/>
  <c r="Q516" i="6" s="1"/>
  <c r="P517" i="6"/>
  <c r="Q517" i="6" s="1"/>
  <c r="P518" i="6"/>
  <c r="Q518" i="6" s="1"/>
  <c r="P519" i="6"/>
  <c r="Q519" i="6" s="1"/>
  <c r="P520" i="6"/>
  <c r="Q520" i="6" s="1"/>
  <c r="P521" i="6"/>
  <c r="Q521" i="6" s="1"/>
  <c r="P522" i="6"/>
  <c r="Q522" i="6" s="1"/>
  <c r="P523" i="6"/>
  <c r="Q523" i="6" s="1"/>
  <c r="P524" i="6"/>
  <c r="Q524" i="6" s="1"/>
  <c r="P525" i="6"/>
  <c r="Q525" i="6" s="1"/>
  <c r="P526" i="6"/>
  <c r="Q526" i="6" s="1"/>
  <c r="U111" i="6"/>
  <c r="V111" i="6"/>
  <c r="U112" i="6"/>
  <c r="V112" i="6"/>
  <c r="U113" i="6"/>
  <c r="V113" i="6"/>
  <c r="U114" i="6"/>
  <c r="V114" i="6"/>
  <c r="U115" i="6"/>
  <c r="V115" i="6"/>
  <c r="U116" i="6"/>
  <c r="V116" i="6"/>
  <c r="U117" i="6"/>
  <c r="V117" i="6"/>
  <c r="U118" i="6"/>
  <c r="V118" i="6"/>
  <c r="U119" i="6"/>
  <c r="V119" i="6"/>
  <c r="U120" i="6"/>
  <c r="V120" i="6"/>
  <c r="U121" i="6"/>
  <c r="V121" i="6"/>
  <c r="U122" i="6"/>
  <c r="V122" i="6"/>
  <c r="U123" i="6"/>
  <c r="V123" i="6"/>
  <c r="U124" i="6"/>
  <c r="V124" i="6"/>
  <c r="U125" i="6"/>
  <c r="V125" i="6"/>
  <c r="U126" i="6"/>
  <c r="V126" i="6"/>
  <c r="U127" i="6"/>
  <c r="V127" i="6"/>
  <c r="U128" i="6"/>
  <c r="V128" i="6"/>
  <c r="U129" i="6"/>
  <c r="V129" i="6"/>
  <c r="U130" i="6"/>
  <c r="V130" i="6"/>
  <c r="U131" i="6"/>
  <c r="V131" i="6"/>
  <c r="U132" i="6"/>
  <c r="V132" i="6"/>
  <c r="U133" i="6"/>
  <c r="V133" i="6"/>
  <c r="U134" i="6"/>
  <c r="V134" i="6"/>
  <c r="U135" i="6"/>
  <c r="V135" i="6"/>
  <c r="U136" i="6"/>
  <c r="V136" i="6"/>
  <c r="U137" i="6"/>
  <c r="V137" i="6"/>
  <c r="U138" i="6"/>
  <c r="V138" i="6"/>
  <c r="U139" i="6"/>
  <c r="V139" i="6"/>
  <c r="U140" i="6"/>
  <c r="V140" i="6"/>
  <c r="U141" i="6"/>
  <c r="V141" i="6"/>
  <c r="U142" i="6"/>
  <c r="V142" i="6"/>
  <c r="U143" i="6"/>
  <c r="V143" i="6"/>
  <c r="U144" i="6"/>
  <c r="V144" i="6"/>
  <c r="U145" i="6"/>
  <c r="V145" i="6"/>
  <c r="U146" i="6"/>
  <c r="V146" i="6"/>
  <c r="U147" i="6"/>
  <c r="V147" i="6"/>
  <c r="U148" i="6"/>
  <c r="V148" i="6"/>
  <c r="U149" i="6"/>
  <c r="V149" i="6"/>
  <c r="U150" i="6"/>
  <c r="V150" i="6"/>
  <c r="U151" i="6"/>
  <c r="V151" i="6"/>
  <c r="U152" i="6"/>
  <c r="V152" i="6"/>
  <c r="U153" i="6"/>
  <c r="V153" i="6"/>
  <c r="U154" i="6"/>
  <c r="V154" i="6"/>
  <c r="U155" i="6"/>
  <c r="V155" i="6"/>
  <c r="U156" i="6"/>
  <c r="V156" i="6"/>
  <c r="U157" i="6"/>
  <c r="V157" i="6"/>
  <c r="U158" i="6"/>
  <c r="V158" i="6"/>
  <c r="U159" i="6"/>
  <c r="V159" i="6"/>
  <c r="U160" i="6"/>
  <c r="V160" i="6"/>
  <c r="U161" i="6"/>
  <c r="V161" i="6"/>
  <c r="U162" i="6"/>
  <c r="V162" i="6"/>
  <c r="U163" i="6"/>
  <c r="V163" i="6"/>
  <c r="U164" i="6"/>
  <c r="V164" i="6"/>
  <c r="U165" i="6"/>
  <c r="V165" i="6"/>
  <c r="U166" i="6"/>
  <c r="V166" i="6"/>
  <c r="U167" i="6"/>
  <c r="V167" i="6"/>
  <c r="U168" i="6"/>
  <c r="V168" i="6"/>
  <c r="U169" i="6"/>
  <c r="V169" i="6"/>
  <c r="U170" i="6"/>
  <c r="V170" i="6"/>
  <c r="U171" i="6"/>
  <c r="V171" i="6"/>
  <c r="U172" i="6"/>
  <c r="V172" i="6"/>
  <c r="U173" i="6"/>
  <c r="V173" i="6"/>
  <c r="U174" i="6"/>
  <c r="V174" i="6"/>
  <c r="U175" i="6"/>
  <c r="V175" i="6"/>
  <c r="U176" i="6"/>
  <c r="V176" i="6"/>
  <c r="U177" i="6"/>
  <c r="V177" i="6"/>
  <c r="U178" i="6"/>
  <c r="V178" i="6"/>
  <c r="U179" i="6"/>
  <c r="V179" i="6"/>
  <c r="U180" i="6"/>
  <c r="V180" i="6"/>
  <c r="U181" i="6"/>
  <c r="V181" i="6"/>
  <c r="U182" i="6"/>
  <c r="V182" i="6"/>
  <c r="U183" i="6"/>
  <c r="V183" i="6"/>
  <c r="U184" i="6"/>
  <c r="V184" i="6"/>
  <c r="U185" i="6"/>
  <c r="V185" i="6"/>
  <c r="U186" i="6"/>
  <c r="V186" i="6"/>
  <c r="U187" i="6"/>
  <c r="V187" i="6"/>
  <c r="U188" i="6"/>
  <c r="V188" i="6"/>
  <c r="U189" i="6"/>
  <c r="V189" i="6"/>
  <c r="U190" i="6"/>
  <c r="V190" i="6"/>
  <c r="U191" i="6"/>
  <c r="V191" i="6"/>
  <c r="U192" i="6"/>
  <c r="V192" i="6"/>
  <c r="U193" i="6"/>
  <c r="V193" i="6"/>
  <c r="U194" i="6"/>
  <c r="V194" i="6"/>
  <c r="U195" i="6"/>
  <c r="V195" i="6"/>
  <c r="U196" i="6"/>
  <c r="V196" i="6"/>
  <c r="U197" i="6"/>
  <c r="V197" i="6"/>
  <c r="U198" i="6"/>
  <c r="V198" i="6"/>
  <c r="U199" i="6"/>
  <c r="V199" i="6"/>
  <c r="U200" i="6"/>
  <c r="V200" i="6"/>
  <c r="U201" i="6"/>
  <c r="V201" i="6"/>
  <c r="U202" i="6"/>
  <c r="V202" i="6"/>
  <c r="U203" i="6"/>
  <c r="V203" i="6"/>
  <c r="U204" i="6"/>
  <c r="V204" i="6"/>
  <c r="U205" i="6"/>
  <c r="V205" i="6"/>
  <c r="U206" i="6"/>
  <c r="V206" i="6"/>
  <c r="U207" i="6"/>
  <c r="V207" i="6"/>
  <c r="U208" i="6"/>
  <c r="V208" i="6"/>
  <c r="U209" i="6"/>
  <c r="V209" i="6"/>
  <c r="U210" i="6"/>
  <c r="V210" i="6"/>
  <c r="U211" i="6"/>
  <c r="V211" i="6"/>
  <c r="U212" i="6"/>
  <c r="V212" i="6"/>
  <c r="U213" i="6"/>
  <c r="V213" i="6"/>
  <c r="U214" i="6"/>
  <c r="V214" i="6"/>
  <c r="U215" i="6"/>
  <c r="V215" i="6"/>
  <c r="U216" i="6"/>
  <c r="V216" i="6"/>
  <c r="U217" i="6"/>
  <c r="V217" i="6"/>
  <c r="U218" i="6"/>
  <c r="V218" i="6"/>
  <c r="U219" i="6"/>
  <c r="V219" i="6"/>
  <c r="U220" i="6"/>
  <c r="V220" i="6"/>
  <c r="U221" i="6"/>
  <c r="V221" i="6"/>
  <c r="U222" i="6"/>
  <c r="V222" i="6"/>
  <c r="U223" i="6"/>
  <c r="V223" i="6"/>
  <c r="U224" i="6"/>
  <c r="V224" i="6"/>
  <c r="U225" i="6"/>
  <c r="V225" i="6"/>
  <c r="U226" i="6"/>
  <c r="V226" i="6"/>
  <c r="U227" i="6"/>
  <c r="V227" i="6"/>
  <c r="U228" i="6"/>
  <c r="V228" i="6"/>
  <c r="U229" i="6"/>
  <c r="V229" i="6"/>
  <c r="U230" i="6"/>
  <c r="V230" i="6"/>
  <c r="U231" i="6"/>
  <c r="V231" i="6"/>
  <c r="U232" i="6"/>
  <c r="V232" i="6"/>
  <c r="U233" i="6"/>
  <c r="V233" i="6"/>
  <c r="U234" i="6"/>
  <c r="V234" i="6"/>
  <c r="U235" i="6"/>
  <c r="V235" i="6"/>
  <c r="U236" i="6"/>
  <c r="V236" i="6"/>
  <c r="U237" i="6"/>
  <c r="V237" i="6"/>
  <c r="U238" i="6"/>
  <c r="V238" i="6"/>
  <c r="U239" i="6"/>
  <c r="V239" i="6"/>
  <c r="U240" i="6"/>
  <c r="V240" i="6"/>
  <c r="U241" i="6"/>
  <c r="V241" i="6"/>
  <c r="U242" i="6"/>
  <c r="V242" i="6"/>
  <c r="U243" i="6"/>
  <c r="V243" i="6"/>
  <c r="U244" i="6"/>
  <c r="V244" i="6"/>
  <c r="U245" i="6"/>
  <c r="V245" i="6"/>
  <c r="U246" i="6"/>
  <c r="V246" i="6"/>
  <c r="U247" i="6"/>
  <c r="V247" i="6"/>
  <c r="U248" i="6"/>
  <c r="V248" i="6"/>
  <c r="U249" i="6"/>
  <c r="V249" i="6"/>
  <c r="U250" i="6"/>
  <c r="V250" i="6"/>
  <c r="U251" i="6"/>
  <c r="V251" i="6"/>
  <c r="U252" i="6"/>
  <c r="V252" i="6"/>
  <c r="U253" i="6"/>
  <c r="V253" i="6"/>
  <c r="U254" i="6"/>
  <c r="V254" i="6"/>
  <c r="U255" i="6"/>
  <c r="V255" i="6"/>
  <c r="U256" i="6"/>
  <c r="V256" i="6"/>
  <c r="U257" i="6"/>
  <c r="V257" i="6"/>
  <c r="U258" i="6"/>
  <c r="V258" i="6"/>
  <c r="U259" i="6"/>
  <c r="V259" i="6"/>
  <c r="U260" i="6"/>
  <c r="V260" i="6"/>
  <c r="U261" i="6"/>
  <c r="V261" i="6"/>
  <c r="U262" i="6"/>
  <c r="V262" i="6"/>
  <c r="U263" i="6"/>
  <c r="V263" i="6"/>
  <c r="U264" i="6"/>
  <c r="V264" i="6"/>
  <c r="U265" i="6"/>
  <c r="V265" i="6"/>
  <c r="U266" i="6"/>
  <c r="V266" i="6"/>
  <c r="U267" i="6"/>
  <c r="V267" i="6"/>
  <c r="U268" i="6"/>
  <c r="V268" i="6"/>
  <c r="U269" i="6"/>
  <c r="V269" i="6"/>
  <c r="U270" i="6"/>
  <c r="V270" i="6"/>
  <c r="U271" i="6"/>
  <c r="V271" i="6"/>
  <c r="U272" i="6"/>
  <c r="V272" i="6"/>
  <c r="U273" i="6"/>
  <c r="V273" i="6"/>
  <c r="U274" i="6"/>
  <c r="V274" i="6"/>
  <c r="U275" i="6"/>
  <c r="V275" i="6"/>
  <c r="U276" i="6"/>
  <c r="V276" i="6"/>
  <c r="U277" i="6"/>
  <c r="V277" i="6"/>
  <c r="U278" i="6"/>
  <c r="V278" i="6"/>
  <c r="U279" i="6"/>
  <c r="V279" i="6"/>
  <c r="U280" i="6"/>
  <c r="V280" i="6"/>
  <c r="U281" i="6"/>
  <c r="V281" i="6"/>
  <c r="U282" i="6"/>
  <c r="V282" i="6"/>
  <c r="U283" i="6"/>
  <c r="V283" i="6"/>
  <c r="U284" i="6"/>
  <c r="V284" i="6"/>
  <c r="U285" i="6"/>
  <c r="V285" i="6"/>
  <c r="U286" i="6"/>
  <c r="V286" i="6"/>
  <c r="U287" i="6"/>
  <c r="V287" i="6"/>
  <c r="U288" i="6"/>
  <c r="V288" i="6"/>
  <c r="U289" i="6"/>
  <c r="V289" i="6"/>
  <c r="U290" i="6"/>
  <c r="V290" i="6"/>
  <c r="U291" i="6"/>
  <c r="V291" i="6"/>
  <c r="U292" i="6"/>
  <c r="V292" i="6"/>
  <c r="U293" i="6"/>
  <c r="V293" i="6"/>
  <c r="U294" i="6"/>
  <c r="V294" i="6"/>
  <c r="U295" i="6"/>
  <c r="V295" i="6"/>
  <c r="U296" i="6"/>
  <c r="V296" i="6"/>
  <c r="U297" i="6"/>
  <c r="V297" i="6"/>
  <c r="U298" i="6"/>
  <c r="V298" i="6"/>
  <c r="U299" i="6"/>
  <c r="V299" i="6"/>
  <c r="U300" i="6"/>
  <c r="V300" i="6"/>
  <c r="U301" i="6"/>
  <c r="V301" i="6"/>
  <c r="U302" i="6"/>
  <c r="V302" i="6"/>
  <c r="U303" i="6"/>
  <c r="V303" i="6"/>
  <c r="U304" i="6"/>
  <c r="V304" i="6"/>
  <c r="U305" i="6"/>
  <c r="V305" i="6"/>
  <c r="U306" i="6"/>
  <c r="V306" i="6"/>
  <c r="U307" i="6"/>
  <c r="V307" i="6"/>
  <c r="U308" i="6"/>
  <c r="V308" i="6"/>
  <c r="U309" i="6"/>
  <c r="V309" i="6"/>
  <c r="U310" i="6"/>
  <c r="V310" i="6"/>
  <c r="U311" i="6"/>
  <c r="V311" i="6"/>
  <c r="U312" i="6"/>
  <c r="V312" i="6"/>
  <c r="U313" i="6"/>
  <c r="V313" i="6"/>
  <c r="U314" i="6"/>
  <c r="V314" i="6"/>
  <c r="U315" i="6"/>
  <c r="V315" i="6"/>
  <c r="U316" i="6"/>
  <c r="V316" i="6"/>
  <c r="U317" i="6"/>
  <c r="V317" i="6"/>
  <c r="U318" i="6"/>
  <c r="V318" i="6"/>
  <c r="U319" i="6"/>
  <c r="V319" i="6"/>
  <c r="U320" i="6"/>
  <c r="V320" i="6"/>
  <c r="U321" i="6"/>
  <c r="V321" i="6"/>
  <c r="U322" i="6"/>
  <c r="V322" i="6"/>
  <c r="U323" i="6"/>
  <c r="V323" i="6"/>
  <c r="U324" i="6"/>
  <c r="V324" i="6"/>
  <c r="U325" i="6"/>
  <c r="V325" i="6"/>
  <c r="U326" i="6"/>
  <c r="V326" i="6"/>
  <c r="U327" i="6"/>
  <c r="V327" i="6"/>
  <c r="U328" i="6"/>
  <c r="V328" i="6"/>
  <c r="U329" i="6"/>
  <c r="V329" i="6"/>
  <c r="U330" i="6"/>
  <c r="V330" i="6"/>
  <c r="U331" i="6"/>
  <c r="V331" i="6"/>
  <c r="U332" i="6"/>
  <c r="V332" i="6"/>
  <c r="U333" i="6"/>
  <c r="V333" i="6"/>
  <c r="U334" i="6"/>
  <c r="V334" i="6"/>
  <c r="U335" i="6"/>
  <c r="V335" i="6"/>
  <c r="U336" i="6"/>
  <c r="V336" i="6"/>
  <c r="U337" i="6"/>
  <c r="V337" i="6"/>
  <c r="U338" i="6"/>
  <c r="V338" i="6"/>
  <c r="U339" i="6"/>
  <c r="V339" i="6"/>
  <c r="U340" i="6"/>
  <c r="V340" i="6"/>
  <c r="U341" i="6"/>
  <c r="V341" i="6"/>
  <c r="U342" i="6"/>
  <c r="V342" i="6"/>
  <c r="U343" i="6"/>
  <c r="V343" i="6"/>
  <c r="U344" i="6"/>
  <c r="V344" i="6"/>
  <c r="U345" i="6"/>
  <c r="V345" i="6"/>
  <c r="U346" i="6"/>
  <c r="V346" i="6"/>
  <c r="U347" i="6"/>
  <c r="V347" i="6"/>
  <c r="U348" i="6"/>
  <c r="V348" i="6"/>
  <c r="U349" i="6"/>
  <c r="V349" i="6"/>
  <c r="U350" i="6"/>
  <c r="V350" i="6"/>
  <c r="U351" i="6"/>
  <c r="V351" i="6"/>
  <c r="U352" i="6"/>
  <c r="V352" i="6"/>
  <c r="U353" i="6"/>
  <c r="V353" i="6"/>
  <c r="U354" i="6"/>
  <c r="V354" i="6"/>
  <c r="U355" i="6"/>
  <c r="V355" i="6"/>
  <c r="U356" i="6"/>
  <c r="V356" i="6"/>
  <c r="U357" i="6"/>
  <c r="V357" i="6"/>
  <c r="U358" i="6"/>
  <c r="V358" i="6"/>
  <c r="U359" i="6"/>
  <c r="V359" i="6"/>
  <c r="U360" i="6"/>
  <c r="V360" i="6"/>
  <c r="U361" i="6"/>
  <c r="V361" i="6"/>
  <c r="U362" i="6"/>
  <c r="V362" i="6"/>
  <c r="U363" i="6"/>
  <c r="V363" i="6"/>
  <c r="U364" i="6"/>
  <c r="V364" i="6"/>
  <c r="U365" i="6"/>
  <c r="V365" i="6"/>
  <c r="U366" i="6"/>
  <c r="V366" i="6"/>
  <c r="U367" i="6"/>
  <c r="V367" i="6"/>
  <c r="U368" i="6"/>
  <c r="V368" i="6"/>
  <c r="U369" i="6"/>
  <c r="V369" i="6"/>
  <c r="U370" i="6"/>
  <c r="V370" i="6"/>
  <c r="U371" i="6"/>
  <c r="V371" i="6"/>
  <c r="U372" i="6"/>
  <c r="V372" i="6"/>
  <c r="U373" i="6"/>
  <c r="V373" i="6"/>
  <c r="U374" i="6"/>
  <c r="V374" i="6"/>
  <c r="U375" i="6"/>
  <c r="V375" i="6"/>
  <c r="U376" i="6"/>
  <c r="V376" i="6"/>
  <c r="U377" i="6"/>
  <c r="V377" i="6"/>
  <c r="U378" i="6"/>
  <c r="V378" i="6"/>
  <c r="U379" i="6"/>
  <c r="V379" i="6"/>
  <c r="U380" i="6"/>
  <c r="V380" i="6"/>
  <c r="U381" i="6"/>
  <c r="V381" i="6"/>
  <c r="U382" i="6"/>
  <c r="V382" i="6"/>
  <c r="U383" i="6"/>
  <c r="V383" i="6"/>
  <c r="U384" i="6"/>
  <c r="V384" i="6"/>
  <c r="U385" i="6"/>
  <c r="V385" i="6"/>
  <c r="U386" i="6"/>
  <c r="V386" i="6"/>
  <c r="U387" i="6"/>
  <c r="V387" i="6"/>
  <c r="U388" i="6"/>
  <c r="V388" i="6"/>
  <c r="U389" i="6"/>
  <c r="V389" i="6"/>
  <c r="U390" i="6"/>
  <c r="V390" i="6"/>
  <c r="U391" i="6"/>
  <c r="V391" i="6"/>
  <c r="U392" i="6"/>
  <c r="V392" i="6"/>
  <c r="U393" i="6"/>
  <c r="V393" i="6"/>
  <c r="U394" i="6"/>
  <c r="V394" i="6"/>
  <c r="U395" i="6"/>
  <c r="V395" i="6"/>
  <c r="U396" i="6"/>
  <c r="V396" i="6"/>
  <c r="U397" i="6"/>
  <c r="V397" i="6"/>
  <c r="U398" i="6"/>
  <c r="V398" i="6"/>
  <c r="U399" i="6"/>
  <c r="V399" i="6"/>
  <c r="U400" i="6"/>
  <c r="V400" i="6"/>
  <c r="U401" i="6"/>
  <c r="V401" i="6"/>
  <c r="U402" i="6"/>
  <c r="V402" i="6"/>
  <c r="U403" i="6"/>
  <c r="V403" i="6"/>
  <c r="U404" i="6"/>
  <c r="V404" i="6"/>
  <c r="U405" i="6"/>
  <c r="V405" i="6"/>
  <c r="U406" i="6"/>
  <c r="V406" i="6"/>
  <c r="U407" i="6"/>
  <c r="V407" i="6"/>
  <c r="U408" i="6"/>
  <c r="V408" i="6"/>
  <c r="U409" i="6"/>
  <c r="V409" i="6"/>
  <c r="U410" i="6"/>
  <c r="V410" i="6"/>
  <c r="U411" i="6"/>
  <c r="V411" i="6"/>
  <c r="U412" i="6"/>
  <c r="V412" i="6"/>
  <c r="U413" i="6"/>
  <c r="V413" i="6"/>
  <c r="U414" i="6"/>
  <c r="V414" i="6"/>
  <c r="U415" i="6"/>
  <c r="V415" i="6"/>
  <c r="U416" i="6"/>
  <c r="V416" i="6"/>
  <c r="U417" i="6"/>
  <c r="V417" i="6"/>
  <c r="U418" i="6"/>
  <c r="V418" i="6"/>
  <c r="U419" i="6"/>
  <c r="V419" i="6"/>
  <c r="U420" i="6"/>
  <c r="V420" i="6"/>
  <c r="U421" i="6"/>
  <c r="V421" i="6"/>
  <c r="U422" i="6"/>
  <c r="V422" i="6"/>
  <c r="U423" i="6"/>
  <c r="V423" i="6"/>
  <c r="U424" i="6"/>
  <c r="V424" i="6"/>
  <c r="U425" i="6"/>
  <c r="V425" i="6"/>
  <c r="U426" i="6"/>
  <c r="V426" i="6"/>
  <c r="U427" i="6"/>
  <c r="V427" i="6"/>
  <c r="U428" i="6"/>
  <c r="V428" i="6"/>
  <c r="U429" i="6"/>
  <c r="V429" i="6"/>
  <c r="U430" i="6"/>
  <c r="V430" i="6"/>
  <c r="U431" i="6"/>
  <c r="V431" i="6"/>
  <c r="U432" i="6"/>
  <c r="V432" i="6"/>
  <c r="U433" i="6"/>
  <c r="V433" i="6"/>
  <c r="U434" i="6"/>
  <c r="V434" i="6"/>
  <c r="U435" i="6"/>
  <c r="V435" i="6"/>
  <c r="U436" i="6"/>
  <c r="V436" i="6"/>
  <c r="U437" i="6"/>
  <c r="V437" i="6"/>
  <c r="U438" i="6"/>
  <c r="V438" i="6"/>
  <c r="U439" i="6"/>
  <c r="V439" i="6"/>
  <c r="U440" i="6"/>
  <c r="V440" i="6"/>
  <c r="U441" i="6"/>
  <c r="V441" i="6"/>
  <c r="U442" i="6"/>
  <c r="V442" i="6"/>
  <c r="U443" i="6"/>
  <c r="V443" i="6"/>
  <c r="U444" i="6"/>
  <c r="V444" i="6"/>
  <c r="U445" i="6"/>
  <c r="V445" i="6"/>
  <c r="U446" i="6"/>
  <c r="V446" i="6"/>
  <c r="U447" i="6"/>
  <c r="V447" i="6"/>
  <c r="U448" i="6"/>
  <c r="V448" i="6"/>
  <c r="U449" i="6"/>
  <c r="V449" i="6"/>
  <c r="U450" i="6"/>
  <c r="V450" i="6"/>
  <c r="U451" i="6"/>
  <c r="V451" i="6"/>
  <c r="U452" i="6"/>
  <c r="V452" i="6"/>
  <c r="U453" i="6"/>
  <c r="V453" i="6"/>
  <c r="U454" i="6"/>
  <c r="V454" i="6"/>
  <c r="U455" i="6"/>
  <c r="V455" i="6"/>
  <c r="U456" i="6"/>
  <c r="V456" i="6"/>
  <c r="U457" i="6"/>
  <c r="V457" i="6"/>
  <c r="U458" i="6"/>
  <c r="V458" i="6"/>
  <c r="U459" i="6"/>
  <c r="V459" i="6"/>
  <c r="U460" i="6"/>
  <c r="V460" i="6"/>
  <c r="U461" i="6"/>
  <c r="V461" i="6"/>
  <c r="U462" i="6"/>
  <c r="V462" i="6"/>
  <c r="U463" i="6"/>
  <c r="V463" i="6"/>
  <c r="U464" i="6"/>
  <c r="V464" i="6"/>
  <c r="U465" i="6"/>
  <c r="V465" i="6"/>
  <c r="U466" i="6"/>
  <c r="V466" i="6"/>
  <c r="U467" i="6"/>
  <c r="V467" i="6"/>
  <c r="U468" i="6"/>
  <c r="V468" i="6"/>
  <c r="U469" i="6"/>
  <c r="V469" i="6"/>
  <c r="U470" i="6"/>
  <c r="V470" i="6"/>
  <c r="U471" i="6"/>
  <c r="V471" i="6"/>
  <c r="U472" i="6"/>
  <c r="V472" i="6"/>
  <c r="U473" i="6"/>
  <c r="V473" i="6"/>
  <c r="U474" i="6"/>
  <c r="V474" i="6"/>
  <c r="U475" i="6"/>
  <c r="V475" i="6"/>
  <c r="U476" i="6"/>
  <c r="V476" i="6"/>
  <c r="U477" i="6"/>
  <c r="V477" i="6"/>
  <c r="U478" i="6"/>
  <c r="V478" i="6"/>
  <c r="U479" i="6"/>
  <c r="V479" i="6"/>
  <c r="U480" i="6"/>
  <c r="V480" i="6"/>
  <c r="U481" i="6"/>
  <c r="V481" i="6"/>
  <c r="U482" i="6"/>
  <c r="V482" i="6"/>
  <c r="U483" i="6"/>
  <c r="V483" i="6"/>
  <c r="U484" i="6"/>
  <c r="V484" i="6"/>
  <c r="U485" i="6"/>
  <c r="V485" i="6"/>
  <c r="U486" i="6"/>
  <c r="V486" i="6"/>
  <c r="U487" i="6"/>
  <c r="V487" i="6"/>
  <c r="U488" i="6"/>
  <c r="V488" i="6"/>
  <c r="U489" i="6"/>
  <c r="V489" i="6"/>
  <c r="U490" i="6"/>
  <c r="V490" i="6"/>
  <c r="U491" i="6"/>
  <c r="V491" i="6"/>
  <c r="U492" i="6"/>
  <c r="V492" i="6"/>
  <c r="U493" i="6"/>
  <c r="V493" i="6"/>
  <c r="U494" i="6"/>
  <c r="V494" i="6"/>
  <c r="U495" i="6"/>
  <c r="V495" i="6"/>
  <c r="U496" i="6"/>
  <c r="V496" i="6"/>
  <c r="U497" i="6"/>
  <c r="V497" i="6"/>
  <c r="U498" i="6"/>
  <c r="V498" i="6"/>
  <c r="U499" i="6"/>
  <c r="V499" i="6"/>
  <c r="U500" i="6"/>
  <c r="V500" i="6"/>
  <c r="U501" i="6"/>
  <c r="V501" i="6"/>
  <c r="U502" i="6"/>
  <c r="V502" i="6"/>
  <c r="U503" i="6"/>
  <c r="V503" i="6"/>
  <c r="U504" i="6"/>
  <c r="V504" i="6"/>
  <c r="U505" i="6"/>
  <c r="V505" i="6"/>
  <c r="U506" i="6"/>
  <c r="V506" i="6"/>
  <c r="U507" i="6"/>
  <c r="V507" i="6"/>
  <c r="U508" i="6"/>
  <c r="V508" i="6"/>
  <c r="U509" i="6"/>
  <c r="V509" i="6"/>
  <c r="U510" i="6"/>
  <c r="V510" i="6"/>
  <c r="U511" i="6"/>
  <c r="V511" i="6"/>
  <c r="U512" i="6"/>
  <c r="V512" i="6"/>
  <c r="U513" i="6"/>
  <c r="V513" i="6"/>
  <c r="U514" i="6"/>
  <c r="V514" i="6"/>
  <c r="U515" i="6"/>
  <c r="V515" i="6"/>
  <c r="U516" i="6"/>
  <c r="V516" i="6"/>
  <c r="U517" i="6"/>
  <c r="V517" i="6"/>
  <c r="U518" i="6"/>
  <c r="V518" i="6"/>
  <c r="U519" i="6"/>
  <c r="V519" i="6"/>
  <c r="U520" i="6"/>
  <c r="V520" i="6"/>
  <c r="U521" i="6"/>
  <c r="V521" i="6"/>
  <c r="U522" i="6"/>
  <c r="V522" i="6"/>
  <c r="U523" i="6"/>
  <c r="V523" i="6"/>
  <c r="U524" i="6"/>
  <c r="V524" i="6"/>
  <c r="U525" i="6"/>
  <c r="V525" i="6"/>
  <c r="U526" i="6"/>
  <c r="V526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111" i="6"/>
  <c r="W428" i="7" l="1"/>
  <c r="W372" i="7"/>
  <c r="W356" i="7"/>
  <c r="W352" i="7"/>
  <c r="W348" i="7"/>
  <c r="W324" i="7"/>
  <c r="W320" i="7"/>
  <c r="W312" i="7"/>
  <c r="W308" i="7"/>
  <c r="W419" i="7"/>
  <c r="W411" i="7"/>
  <c r="W387" i="7"/>
  <c r="W379" i="7"/>
  <c r="W355" i="7"/>
  <c r="W347" i="7"/>
  <c r="W323" i="7"/>
  <c r="W315" i="7"/>
  <c r="W136" i="7"/>
  <c r="W268" i="7"/>
  <c r="W264" i="7"/>
  <c r="W260" i="7"/>
  <c r="W250" i="7"/>
  <c r="W107" i="7"/>
  <c r="W99" i="7"/>
  <c r="AR85" i="4"/>
  <c r="BC85" i="4"/>
  <c r="W449" i="7"/>
  <c r="W194" i="7"/>
  <c r="W143" i="7"/>
  <c r="W139" i="7"/>
  <c r="W119" i="7"/>
  <c r="W115" i="7"/>
  <c r="W207" i="7"/>
  <c r="W95" i="7"/>
  <c r="W197" i="6"/>
  <c r="W195" i="6"/>
  <c r="W193" i="6"/>
  <c r="W191" i="6"/>
  <c r="W189" i="6"/>
  <c r="W187" i="6"/>
  <c r="W181" i="6"/>
  <c r="W179" i="6"/>
  <c r="W177" i="6"/>
  <c r="W175" i="6"/>
  <c r="W173" i="6"/>
  <c r="W171" i="6"/>
  <c r="W165" i="6"/>
  <c r="W163" i="6"/>
  <c r="W161" i="6"/>
  <c r="W159" i="6"/>
  <c r="W157" i="6"/>
  <c r="W151" i="6"/>
  <c r="W149" i="6"/>
  <c r="W147" i="6"/>
  <c r="W143" i="6"/>
  <c r="W141" i="6"/>
  <c r="AR70" i="4"/>
  <c r="AR66" i="4"/>
  <c r="AR62" i="4"/>
  <c r="AR58" i="4"/>
  <c r="AR54" i="4"/>
  <c r="C367" i="6"/>
  <c r="C356" i="6"/>
  <c r="C335" i="6"/>
  <c r="C328" i="6"/>
  <c r="C296" i="6"/>
  <c r="C230" i="6"/>
  <c r="C226" i="6"/>
  <c r="C198" i="6"/>
  <c r="C152" i="6"/>
  <c r="C253" i="6"/>
  <c r="C213" i="6"/>
  <c r="C357" i="6"/>
  <c r="C209" i="6"/>
  <c r="C353" i="6"/>
  <c r="C185" i="6"/>
  <c r="C329" i="6"/>
  <c r="C181" i="6"/>
  <c r="C325" i="6"/>
  <c r="C149" i="6"/>
  <c r="C293" i="6"/>
  <c r="C145" i="6"/>
  <c r="C289" i="6"/>
  <c r="C134" i="6"/>
  <c r="C241" i="6"/>
  <c r="C116" i="6"/>
  <c r="C113" i="6"/>
  <c r="C257" i="6"/>
  <c r="C237" i="6"/>
  <c r="C381" i="6"/>
  <c r="C233" i="6"/>
  <c r="C377" i="6"/>
  <c r="C205" i="6"/>
  <c r="C349" i="6"/>
  <c r="C201" i="6"/>
  <c r="C345" i="6"/>
  <c r="C249" i="6"/>
  <c r="C177" i="6"/>
  <c r="C321" i="6"/>
  <c r="C457" i="6"/>
  <c r="C173" i="6"/>
  <c r="C317" i="6"/>
  <c r="C453" i="6"/>
  <c r="C169" i="6"/>
  <c r="C313" i="6"/>
  <c r="C449" i="6"/>
  <c r="C445" i="6"/>
  <c r="C441" i="6"/>
  <c r="C437" i="6"/>
  <c r="C433" i="6"/>
  <c r="C425" i="6"/>
  <c r="C144" i="6"/>
  <c r="C421" i="6"/>
  <c r="C141" i="6"/>
  <c r="C285" i="6"/>
  <c r="C417" i="6"/>
  <c r="C137" i="6"/>
  <c r="C281" i="6"/>
  <c r="C413" i="6"/>
  <c r="C409" i="6"/>
  <c r="C130" i="6"/>
  <c r="C405" i="6"/>
  <c r="C126" i="6"/>
  <c r="C401" i="6"/>
  <c r="C119" i="6"/>
  <c r="C393" i="6"/>
  <c r="C310" i="6"/>
  <c r="C306" i="6"/>
  <c r="C302" i="6"/>
  <c r="C288" i="6"/>
  <c r="C274" i="6"/>
  <c r="C270" i="6"/>
  <c r="C117" i="6"/>
  <c r="BC62" i="4"/>
  <c r="BC30" i="4"/>
  <c r="BC65" i="4"/>
  <c r="AR73" i="4"/>
  <c r="AR65" i="4"/>
  <c r="AR63" i="4"/>
  <c r="AR61" i="4"/>
  <c r="AR59" i="4"/>
  <c r="AR49" i="4"/>
  <c r="AR41" i="4"/>
  <c r="AR33" i="4"/>
  <c r="AR31" i="4"/>
  <c r="AR29" i="4"/>
  <c r="AR27" i="4"/>
  <c r="AR50" i="4"/>
  <c r="BC64" i="4"/>
  <c r="BC60" i="4"/>
  <c r="BC48" i="4"/>
  <c r="BC36" i="4"/>
  <c r="AR82" i="4"/>
  <c r="BC69" i="4"/>
  <c r="BC32" i="4"/>
  <c r="BC74" i="4"/>
  <c r="BC70" i="4"/>
  <c r="BC66" i="4"/>
  <c r="BC61" i="4"/>
  <c r="BC57" i="4"/>
  <c r="BC29" i="4"/>
  <c r="BC53" i="4"/>
  <c r="BC25" i="4"/>
  <c r="BC58" i="4"/>
  <c r="BC54" i="4"/>
  <c r="BC49" i="4"/>
  <c r="BC41" i="4"/>
  <c r="BC37" i="4"/>
  <c r="BC20" i="4"/>
  <c r="BC81" i="4"/>
  <c r="BC46" i="4"/>
  <c r="BC38" i="4"/>
  <c r="BC21" i="4"/>
  <c r="AR81" i="4"/>
  <c r="BC75" i="4"/>
  <c r="BC33" i="4"/>
  <c r="BC86" i="4"/>
  <c r="BC77" i="4"/>
  <c r="BC72" i="4"/>
  <c r="BC28" i="4"/>
  <c r="AR57" i="4"/>
  <c r="AR25" i="4"/>
  <c r="BC44" i="4"/>
  <c r="AR38" i="4"/>
  <c r="AR34" i="4"/>
  <c r="AR30" i="4"/>
  <c r="AR28" i="4"/>
  <c r="AR26" i="4"/>
  <c r="AR22" i="4"/>
  <c r="AR20" i="4"/>
  <c r="AR18" i="4"/>
  <c r="BC45" i="4"/>
  <c r="AR86" i="4"/>
  <c r="AR53" i="4"/>
  <c r="AR19" i="4"/>
  <c r="BC27" i="4"/>
  <c r="AR77" i="4"/>
  <c r="AR75" i="4"/>
  <c r="AR45" i="4"/>
  <c r="AR43" i="4"/>
  <c r="AR83" i="4"/>
  <c r="AR55" i="4"/>
  <c r="AR51" i="4"/>
  <c r="AR21" i="4"/>
  <c r="BC84" i="4"/>
  <c r="BC82" i="4"/>
  <c r="BC80" i="4"/>
  <c r="BC73" i="4"/>
  <c r="BC68" i="4"/>
  <c r="BC55" i="4"/>
  <c r="BC52" i="4"/>
  <c r="BC43" i="4"/>
  <c r="BC40" i="4"/>
  <c r="BC34" i="4"/>
  <c r="BC24" i="4"/>
  <c r="AR78" i="4"/>
  <c r="AR76" i="4"/>
  <c r="AR74" i="4"/>
  <c r="AR71" i="4"/>
  <c r="AR69" i="4"/>
  <c r="AR67" i="4"/>
  <c r="AR46" i="4"/>
  <c r="AR42" i="4"/>
  <c r="AR39" i="4"/>
  <c r="AR37" i="4"/>
  <c r="AR35" i="4"/>
  <c r="BC83" i="4"/>
  <c r="BC79" i="4"/>
  <c r="BC63" i="4"/>
  <c r="BC56" i="4"/>
  <c r="BC50" i="4"/>
  <c r="BC39" i="4"/>
  <c r="AR84" i="4"/>
  <c r="AR68" i="4"/>
  <c r="AR60" i="4"/>
  <c r="AR52" i="4"/>
  <c r="AR44" i="4"/>
  <c r="AR36" i="4"/>
  <c r="BC67" i="4"/>
  <c r="BC59" i="4"/>
  <c r="BC35" i="4"/>
  <c r="AR79" i="4"/>
  <c r="AR47" i="4"/>
  <c r="AR23" i="4"/>
  <c r="BC78" i="4"/>
  <c r="BC76" i="4"/>
  <c r="BC71" i="4"/>
  <c r="BC51" i="4"/>
  <c r="BC47" i="4"/>
  <c r="BC42" i="4"/>
  <c r="BC31" i="4"/>
  <c r="BC26" i="4"/>
  <c r="BC23" i="4"/>
  <c r="BC22" i="4"/>
  <c r="BC19" i="4"/>
  <c r="BC18" i="4"/>
  <c r="AR80" i="4"/>
  <c r="AR72" i="4"/>
  <c r="AR64" i="4"/>
  <c r="AR56" i="4"/>
  <c r="AR48" i="4"/>
  <c r="AR40" i="4"/>
  <c r="AR32" i="4"/>
  <c r="AR24" i="4"/>
  <c r="W210" i="7"/>
  <c r="W110" i="7"/>
  <c r="W102" i="7"/>
  <c r="W199" i="7"/>
  <c r="W429" i="7"/>
  <c r="W288" i="7"/>
  <c r="W202" i="7"/>
  <c r="W443" i="7"/>
  <c r="W425" i="7"/>
  <c r="W404" i="7"/>
  <c r="W304" i="7"/>
  <c r="W296" i="7"/>
  <c r="W292" i="7"/>
  <c r="W284" i="7"/>
  <c r="W280" i="7"/>
  <c r="W273" i="7"/>
  <c r="W247" i="7"/>
  <c r="W243" i="7"/>
  <c r="W235" i="7"/>
  <c r="W227" i="7"/>
  <c r="W223" i="7"/>
  <c r="W193" i="7"/>
  <c r="W146" i="7"/>
  <c r="W130" i="7"/>
  <c r="W450" i="7"/>
  <c r="W298" i="7"/>
  <c r="W240" i="7"/>
  <c r="W232" i="7"/>
  <c r="W182" i="7"/>
  <c r="W174" i="7"/>
  <c r="W166" i="7"/>
  <c r="W151" i="7"/>
  <c r="W135" i="7"/>
  <c r="W209" i="7"/>
  <c r="W201" i="7"/>
  <c r="W196" i="7"/>
  <c r="W129" i="7"/>
  <c r="W437" i="7"/>
  <c r="W413" i="7"/>
  <c r="W405" i="7"/>
  <c r="W381" i="7"/>
  <c r="W373" i="7"/>
  <c r="W340" i="7"/>
  <c r="W303" i="7"/>
  <c r="W267" i="7"/>
  <c r="W263" i="7"/>
  <c r="W203" i="7"/>
  <c r="W176" i="7"/>
  <c r="W168" i="7"/>
  <c r="W447" i="7"/>
  <c r="W431" i="7"/>
  <c r="W423" i="7"/>
  <c r="W399" i="7"/>
  <c r="W391" i="7"/>
  <c r="W349" i="7"/>
  <c r="W341" i="7"/>
  <c r="W317" i="7"/>
  <c r="W309" i="7"/>
  <c r="W300" i="7"/>
  <c r="W291" i="7"/>
  <c r="W246" i="7"/>
  <c r="W238" i="7"/>
  <c r="W230" i="7"/>
  <c r="W216" i="7"/>
  <c r="W204" i="7"/>
  <c r="W186" i="7"/>
  <c r="W142" i="7"/>
  <c r="W112" i="7"/>
  <c r="W104" i="7"/>
  <c r="W448" i="7"/>
  <c r="W444" i="7"/>
  <c r="W440" i="7"/>
  <c r="W436" i="7"/>
  <c r="W433" i="7"/>
  <c r="W420" i="7"/>
  <c r="W416" i="7"/>
  <c r="W412" i="7"/>
  <c r="W408" i="7"/>
  <c r="W388" i="7"/>
  <c r="W384" i="7"/>
  <c r="W380" i="7"/>
  <c r="W376" i="7"/>
  <c r="W367" i="7"/>
  <c r="W359" i="7"/>
  <c r="W335" i="7"/>
  <c r="W327" i="7"/>
  <c r="W297" i="7"/>
  <c r="W293" i="7"/>
  <c r="W281" i="7"/>
  <c r="W258" i="7"/>
  <c r="W183" i="7"/>
  <c r="W179" i="7"/>
  <c r="W171" i="7"/>
  <c r="W163" i="7"/>
  <c r="W159" i="7"/>
  <c r="W156" i="7"/>
  <c r="W132" i="7"/>
  <c r="W122" i="7"/>
  <c r="W439" i="7"/>
  <c r="W427" i="7"/>
  <c r="W424" i="7"/>
  <c r="W415" i="7"/>
  <c r="W407" i="7"/>
  <c r="W397" i="7"/>
  <c r="W389" i="7"/>
  <c r="W371" i="7"/>
  <c r="W368" i="7"/>
  <c r="W364" i="7"/>
  <c r="W363" i="7"/>
  <c r="W360" i="7"/>
  <c r="W351" i="7"/>
  <c r="W343" i="7"/>
  <c r="W333" i="7"/>
  <c r="W325" i="7"/>
  <c r="W316" i="7"/>
  <c r="W307" i="7"/>
  <c r="W294" i="7"/>
  <c r="W272" i="7"/>
  <c r="W269" i="7"/>
  <c r="W265" i="7"/>
  <c r="W255" i="7"/>
  <c r="W252" i="7"/>
  <c r="W242" i="7"/>
  <c r="W234" i="7"/>
  <c r="W226" i="7"/>
  <c r="W225" i="7"/>
  <c r="W218" i="7"/>
  <c r="W214" i="7"/>
  <c r="W195" i="7"/>
  <c r="W184" i="7"/>
  <c r="W175" i="7"/>
  <c r="W172" i="7"/>
  <c r="W167" i="7"/>
  <c r="W164" i="7"/>
  <c r="W154" i="7"/>
  <c r="W150" i="7"/>
  <c r="W147" i="7"/>
  <c r="W138" i="7"/>
  <c r="W127" i="7"/>
  <c r="W124" i="7"/>
  <c r="W114" i="7"/>
  <c r="W106" i="7"/>
  <c r="W98" i="7"/>
  <c r="W97" i="7"/>
  <c r="W445" i="7"/>
  <c r="W441" i="7"/>
  <c r="W421" i="7"/>
  <c r="W403" i="7"/>
  <c r="W400" i="7"/>
  <c r="W396" i="7"/>
  <c r="W395" i="7"/>
  <c r="W383" i="7"/>
  <c r="W375" i="7"/>
  <c r="W365" i="7"/>
  <c r="W357" i="7"/>
  <c r="W339" i="7"/>
  <c r="W336" i="7"/>
  <c r="W332" i="7"/>
  <c r="W331" i="7"/>
  <c r="W328" i="7"/>
  <c r="W319" i="7"/>
  <c r="W311" i="7"/>
  <c r="W287" i="7"/>
  <c r="W282" i="7"/>
  <c r="W277" i="7"/>
  <c r="W259" i="7"/>
  <c r="W256" i="7"/>
  <c r="W248" i="7"/>
  <c r="W239" i="7"/>
  <c r="W236" i="7"/>
  <c r="W231" i="7"/>
  <c r="W228" i="7"/>
  <c r="W220" i="7"/>
  <c r="W211" i="7"/>
  <c r="W205" i="7"/>
  <c r="W197" i="7"/>
  <c r="W191" i="7"/>
  <c r="W188" i="7"/>
  <c r="W178" i="7"/>
  <c r="W170" i="7"/>
  <c r="W162" i="7"/>
  <c r="W161" i="7"/>
  <c r="W152" i="7"/>
  <c r="W144" i="7"/>
  <c r="W140" i="7"/>
  <c r="W134" i="7"/>
  <c r="W131" i="7"/>
  <c r="W120" i="7"/>
  <c r="W116" i="7"/>
  <c r="W108" i="7"/>
  <c r="W100" i="7"/>
  <c r="W451" i="7"/>
  <c r="W446" i="7"/>
  <c r="W442" i="7"/>
  <c r="W432" i="7"/>
  <c r="W430" i="7"/>
  <c r="W426" i="7"/>
  <c r="W422" i="7"/>
  <c r="W417" i="7"/>
  <c r="W406" i="7"/>
  <c r="W401" i="7"/>
  <c r="W390" i="7"/>
  <c r="W385" i="7"/>
  <c r="W374" i="7"/>
  <c r="W369" i="7"/>
  <c r="W358" i="7"/>
  <c r="W353" i="7"/>
  <c r="W342" i="7"/>
  <c r="W337" i="7"/>
  <c r="W326" i="7"/>
  <c r="W321" i="7"/>
  <c r="W310" i="7"/>
  <c r="W305" i="7"/>
  <c r="W301" i="7"/>
  <c r="W299" i="7"/>
  <c r="W295" i="7"/>
  <c r="W289" i="7"/>
  <c r="W285" i="7"/>
  <c r="W283" i="7"/>
  <c r="W279" i="7"/>
  <c r="W215" i="7"/>
  <c r="W438" i="7"/>
  <c r="W392" i="7"/>
  <c r="W344" i="7"/>
  <c r="W435" i="7"/>
  <c r="W414" i="7"/>
  <c r="W409" i="7"/>
  <c r="W398" i="7"/>
  <c r="W393" i="7"/>
  <c r="W382" i="7"/>
  <c r="W377" i="7"/>
  <c r="W366" i="7"/>
  <c r="W361" i="7"/>
  <c r="W350" i="7"/>
  <c r="W345" i="7"/>
  <c r="W334" i="7"/>
  <c r="W329" i="7"/>
  <c r="W318" i="7"/>
  <c r="W313" i="7"/>
  <c r="W276" i="7"/>
  <c r="W111" i="7"/>
  <c r="W103" i="7"/>
  <c r="W278" i="7"/>
  <c r="W266" i="7"/>
  <c r="W262" i="7"/>
  <c r="W261" i="7"/>
  <c r="W251" i="7"/>
  <c r="W249" i="7"/>
  <c r="W244" i="7"/>
  <c r="W224" i="7"/>
  <c r="W222" i="7"/>
  <c r="W187" i="7"/>
  <c r="W185" i="7"/>
  <c r="W180" i="7"/>
  <c r="W160" i="7"/>
  <c r="W158" i="7"/>
  <c r="W145" i="7"/>
  <c r="W141" i="7"/>
  <c r="W137" i="7"/>
  <c r="W133" i="7"/>
  <c r="W123" i="7"/>
  <c r="W121" i="7"/>
  <c r="W96" i="7"/>
  <c r="W94" i="7"/>
  <c r="W257" i="7"/>
  <c r="W208" i="7"/>
  <c r="W206" i="7"/>
  <c r="W200" i="7"/>
  <c r="W198" i="7"/>
  <c r="W118" i="7"/>
  <c r="W275" i="7"/>
  <c r="W271" i="7"/>
  <c r="W254" i="7"/>
  <c r="W241" i="7"/>
  <c r="W237" i="7"/>
  <c r="W233" i="7"/>
  <c r="W229" i="7"/>
  <c r="W219" i="7"/>
  <c r="W217" i="7"/>
  <c r="W212" i="7"/>
  <c r="W192" i="7"/>
  <c r="W190" i="7"/>
  <c r="W177" i="7"/>
  <c r="W173" i="7"/>
  <c r="W169" i="7"/>
  <c r="W165" i="7"/>
  <c r="W155" i="7"/>
  <c r="W153" i="7"/>
  <c r="W148" i="7"/>
  <c r="W128" i="7"/>
  <c r="W126" i="7"/>
  <c r="W113" i="7"/>
  <c r="W109" i="7"/>
  <c r="W105" i="7"/>
  <c r="W101" i="7"/>
  <c r="W434" i="7"/>
  <c r="W306" i="7"/>
  <c r="W290" i="7"/>
  <c r="W274" i="7"/>
  <c r="W253" i="7"/>
  <c r="W221" i="7"/>
  <c r="W189" i="7"/>
  <c r="W157" i="7"/>
  <c r="W125" i="7"/>
  <c r="W93" i="7"/>
  <c r="W418" i="7"/>
  <c r="W410" i="7"/>
  <c r="W402" i="7"/>
  <c r="W394" i="7"/>
  <c r="W386" i="7"/>
  <c r="W378" i="7"/>
  <c r="W370" i="7"/>
  <c r="W362" i="7"/>
  <c r="W354" i="7"/>
  <c r="W346" i="7"/>
  <c r="W338" i="7"/>
  <c r="W330" i="7"/>
  <c r="W322" i="7"/>
  <c r="W314" i="7"/>
  <c r="W302" i="7"/>
  <c r="W286" i="7"/>
  <c r="W270" i="7"/>
  <c r="W245" i="7"/>
  <c r="W213" i="7"/>
  <c r="W181" i="7"/>
  <c r="W149" i="7"/>
  <c r="W117" i="7"/>
  <c r="W378" i="6"/>
  <c r="W250" i="6"/>
  <c r="W202" i="6"/>
  <c r="W198" i="6"/>
  <c r="W190" i="6"/>
  <c r="W174" i="6"/>
  <c r="W166" i="6"/>
  <c r="W158" i="6"/>
  <c r="W494" i="6"/>
  <c r="W446" i="6"/>
  <c r="W408" i="6"/>
  <c r="W406" i="6"/>
  <c r="W400" i="6"/>
  <c r="W390" i="6"/>
  <c r="W384" i="6"/>
  <c r="W449" i="6"/>
  <c r="W405" i="6"/>
  <c r="W403" i="6"/>
  <c r="W401" i="6"/>
  <c r="W399" i="6"/>
  <c r="W397" i="6"/>
  <c r="W395" i="6"/>
  <c r="W393" i="6"/>
  <c r="W389" i="6"/>
  <c r="W387" i="6"/>
  <c r="W385" i="6"/>
  <c r="W383" i="6"/>
  <c r="W381" i="6"/>
  <c r="W379" i="6"/>
  <c r="W346" i="6"/>
  <c r="W342" i="6"/>
  <c r="W334" i="6"/>
  <c r="W326" i="6"/>
  <c r="W318" i="6"/>
  <c r="W282" i="6"/>
  <c r="W278" i="6"/>
  <c r="W270" i="6"/>
  <c r="W262" i="6"/>
  <c r="W466" i="6"/>
  <c r="W442" i="6"/>
  <c r="W430" i="6"/>
  <c r="W426" i="6"/>
  <c r="W362" i="6"/>
  <c r="W314" i="6"/>
  <c r="W298" i="6"/>
  <c r="W526" i="6"/>
  <c r="W498" i="6"/>
  <c r="W473" i="6"/>
  <c r="W457" i="6"/>
  <c r="W341" i="6"/>
  <c r="W339" i="6"/>
  <c r="W337" i="6"/>
  <c r="W335" i="6"/>
  <c r="W333" i="6"/>
  <c r="W331" i="6"/>
  <c r="W325" i="6"/>
  <c r="W323" i="6"/>
  <c r="W321" i="6"/>
  <c r="W319" i="6"/>
  <c r="W317" i="6"/>
  <c r="W315" i="6"/>
  <c r="W277" i="6"/>
  <c r="W275" i="6"/>
  <c r="W273" i="6"/>
  <c r="W271" i="6"/>
  <c r="W269" i="6"/>
  <c r="W267" i="6"/>
  <c r="W261" i="6"/>
  <c r="W259" i="6"/>
  <c r="W257" i="6"/>
  <c r="W255" i="6"/>
  <c r="W234" i="6"/>
  <c r="W138" i="6"/>
  <c r="W134" i="6"/>
  <c r="W132" i="6"/>
  <c r="W122" i="6"/>
  <c r="W118" i="6"/>
  <c r="W116" i="6"/>
  <c r="W254" i="6"/>
  <c r="W253" i="6"/>
  <c r="W251" i="6"/>
  <c r="W522" i="6"/>
  <c r="W520" i="6"/>
  <c r="W514" i="6"/>
  <c r="W512" i="6"/>
  <c r="W506" i="6"/>
  <c r="W504" i="6"/>
  <c r="W482" i="6"/>
  <c r="W480" i="6"/>
  <c r="W468" i="6"/>
  <c r="W392" i="6"/>
  <c r="W374" i="6"/>
  <c r="W366" i="6"/>
  <c r="W358" i="6"/>
  <c r="W350" i="6"/>
  <c r="W309" i="6"/>
  <c r="W307" i="6"/>
  <c r="W305" i="6"/>
  <c r="W303" i="6"/>
  <c r="W301" i="6"/>
  <c r="W299" i="6"/>
  <c r="W293" i="6"/>
  <c r="W291" i="6"/>
  <c r="W289" i="6"/>
  <c r="W287" i="6"/>
  <c r="W285" i="6"/>
  <c r="W283" i="6"/>
  <c r="W266" i="6"/>
  <c r="W246" i="6"/>
  <c r="W238" i="6"/>
  <c r="W230" i="6"/>
  <c r="W222" i="6"/>
  <c r="W206" i="6"/>
  <c r="W131" i="6"/>
  <c r="W127" i="6"/>
  <c r="W125" i="6"/>
  <c r="W115" i="6"/>
  <c r="W111" i="6"/>
  <c r="W436" i="6"/>
  <c r="W432" i="6"/>
  <c r="W420" i="6"/>
  <c r="W416" i="6"/>
  <c r="W410" i="6"/>
  <c r="W373" i="6"/>
  <c r="W371" i="6"/>
  <c r="W369" i="6"/>
  <c r="W367" i="6"/>
  <c r="W365" i="6"/>
  <c r="W363" i="6"/>
  <c r="W357" i="6"/>
  <c r="W355" i="6"/>
  <c r="W353" i="6"/>
  <c r="W351" i="6"/>
  <c r="W349" i="6"/>
  <c r="W347" i="6"/>
  <c r="W330" i="6"/>
  <c r="W310" i="6"/>
  <c r="W302" i="6"/>
  <c r="W294" i="6"/>
  <c r="W286" i="6"/>
  <c r="W245" i="6"/>
  <c r="W243" i="6"/>
  <c r="W241" i="6"/>
  <c r="W239" i="6"/>
  <c r="W237" i="6"/>
  <c r="W235" i="6"/>
  <c r="W229" i="6"/>
  <c r="W227" i="6"/>
  <c r="W225" i="6"/>
  <c r="W223" i="6"/>
  <c r="W221" i="6"/>
  <c r="W219" i="6"/>
  <c r="W213" i="6"/>
  <c r="W211" i="6"/>
  <c r="W209" i="6"/>
  <c r="W207" i="6"/>
  <c r="W205" i="6"/>
  <c r="W203" i="6"/>
  <c r="W170" i="6"/>
  <c r="W489" i="6"/>
  <c r="W487" i="6"/>
  <c r="W485" i="6"/>
  <c r="W481" i="6"/>
  <c r="W479" i="6"/>
  <c r="W477" i="6"/>
  <c r="W452" i="6"/>
  <c r="W441" i="6"/>
  <c r="W439" i="6"/>
  <c r="W437" i="6"/>
  <c r="W425" i="6"/>
  <c r="W423" i="6"/>
  <c r="W421" i="6"/>
  <c r="W417" i="6"/>
  <c r="W415" i="6"/>
  <c r="W413" i="6"/>
  <c r="W411" i="6"/>
  <c r="W409" i="6"/>
  <c r="W521" i="6"/>
  <c r="W519" i="6"/>
  <c r="W517" i="6"/>
  <c r="W515" i="6"/>
  <c r="W509" i="6"/>
  <c r="W507" i="6"/>
  <c r="W505" i="6"/>
  <c r="W503" i="6"/>
  <c r="W501" i="6"/>
  <c r="W499" i="6"/>
  <c r="W471" i="6"/>
  <c r="W469" i="6"/>
  <c r="W462" i="6"/>
  <c r="W456" i="6"/>
  <c r="W447" i="6"/>
  <c r="W433" i="6"/>
  <c r="W429" i="6"/>
  <c r="W422" i="6"/>
  <c r="W414" i="6"/>
  <c r="W412" i="6"/>
  <c r="W386" i="6"/>
  <c r="W354" i="6"/>
  <c r="W352" i="6"/>
  <c r="W322" i="6"/>
  <c r="W320" i="6"/>
  <c r="W290" i="6"/>
  <c r="W288" i="6"/>
  <c r="W258" i="6"/>
  <c r="W256" i="6"/>
  <c r="W226" i="6"/>
  <c r="W224" i="6"/>
  <c r="W218" i="6"/>
  <c r="W214" i="6"/>
  <c r="W210" i="6"/>
  <c r="W208" i="6"/>
  <c r="W162" i="6"/>
  <c r="W160" i="6"/>
  <c r="W154" i="6"/>
  <c r="W146" i="6"/>
  <c r="W142" i="6"/>
  <c r="W140" i="6"/>
  <c r="W123" i="6"/>
  <c r="W117" i="6"/>
  <c r="W114" i="6"/>
  <c r="W518" i="6"/>
  <c r="W510" i="6"/>
  <c r="W502" i="6"/>
  <c r="W493" i="6"/>
  <c r="W486" i="6"/>
  <c r="W478" i="6"/>
  <c r="W476" i="6"/>
  <c r="W474" i="6"/>
  <c r="W472" i="6"/>
  <c r="W465" i="6"/>
  <c r="W463" i="6"/>
  <c r="W461" i="6"/>
  <c r="W450" i="6"/>
  <c r="W448" i="6"/>
  <c r="W438" i="6"/>
  <c r="W402" i="6"/>
  <c r="W370" i="6"/>
  <c r="W368" i="6"/>
  <c r="W338" i="6"/>
  <c r="W336" i="6"/>
  <c r="W306" i="6"/>
  <c r="W304" i="6"/>
  <c r="W274" i="6"/>
  <c r="W272" i="6"/>
  <c r="W242" i="6"/>
  <c r="W240" i="6"/>
  <c r="W194" i="6"/>
  <c r="W192" i="6"/>
  <c r="W186" i="6"/>
  <c r="W182" i="6"/>
  <c r="W178" i="6"/>
  <c r="W176" i="6"/>
  <c r="W155" i="6"/>
  <c r="W139" i="6"/>
  <c r="W133" i="6"/>
  <c r="W130" i="6"/>
  <c r="W126" i="6"/>
  <c r="W124" i="6"/>
  <c r="W150" i="6"/>
  <c r="W500" i="6"/>
  <c r="W460" i="6"/>
  <c r="W458" i="6"/>
  <c r="W382" i="6"/>
  <c r="W380" i="6"/>
  <c r="W348" i="6"/>
  <c r="W316" i="6"/>
  <c r="W284" i="6"/>
  <c r="W252" i="6"/>
  <c r="W220" i="6"/>
  <c r="W188" i="6"/>
  <c r="W156" i="6"/>
  <c r="W470" i="6"/>
  <c r="W434" i="6"/>
  <c r="W525" i="6"/>
  <c r="W523" i="6"/>
  <c r="W516" i="6"/>
  <c r="W484" i="6"/>
  <c r="W424" i="6"/>
  <c r="W398" i="6"/>
  <c r="W396" i="6"/>
  <c r="W394" i="6"/>
  <c r="W364" i="6"/>
  <c r="W332" i="6"/>
  <c r="W300" i="6"/>
  <c r="W268" i="6"/>
  <c r="W236" i="6"/>
  <c r="W204" i="6"/>
  <c r="W172" i="6"/>
  <c r="W153" i="6"/>
  <c r="W148" i="6"/>
  <c r="W135" i="6"/>
  <c r="W119" i="6"/>
  <c r="W496" i="6"/>
  <c r="W454" i="6"/>
  <c r="W444" i="6"/>
  <c r="W418" i="6"/>
  <c r="W376" i="6"/>
  <c r="W360" i="6"/>
  <c r="W344" i="6"/>
  <c r="W328" i="6"/>
  <c r="W312" i="6"/>
  <c r="W296" i="6"/>
  <c r="W280" i="6"/>
  <c r="W264" i="6"/>
  <c r="W248" i="6"/>
  <c r="W232" i="6"/>
  <c r="W216" i="6"/>
  <c r="W200" i="6"/>
  <c r="W184" i="6"/>
  <c r="W168" i="6"/>
  <c r="W144" i="6"/>
  <c r="W136" i="6"/>
  <c r="W128" i="6"/>
  <c r="W120" i="6"/>
  <c r="W112" i="6"/>
  <c r="W524" i="6"/>
  <c r="W513" i="6"/>
  <c r="W511" i="6"/>
  <c r="W508" i="6"/>
  <c r="W497" i="6"/>
  <c r="W495" i="6"/>
  <c r="W492" i="6"/>
  <c r="W490" i="6"/>
  <c r="W488" i="6"/>
  <c r="W464" i="6"/>
  <c r="W455" i="6"/>
  <c r="W453" i="6"/>
  <c r="W445" i="6"/>
  <c r="W440" i="6"/>
  <c r="W431" i="6"/>
  <c r="W428" i="6"/>
  <c r="W407" i="6"/>
  <c r="W404" i="6"/>
  <c r="W391" i="6"/>
  <c r="W388" i="6"/>
  <c r="W377" i="6"/>
  <c r="W375" i="6"/>
  <c r="W372" i="6"/>
  <c r="W361" i="6"/>
  <c r="W359" i="6"/>
  <c r="W356" i="6"/>
  <c r="W345" i="6"/>
  <c r="W343" i="6"/>
  <c r="W340" i="6"/>
  <c r="W329" i="6"/>
  <c r="W327" i="6"/>
  <c r="W324" i="6"/>
  <c r="W313" i="6"/>
  <c r="W311" i="6"/>
  <c r="W308" i="6"/>
  <c r="W297" i="6"/>
  <c r="W295" i="6"/>
  <c r="W292" i="6"/>
  <c r="W281" i="6"/>
  <c r="W279" i="6"/>
  <c r="W276" i="6"/>
  <c r="W265" i="6"/>
  <c r="W263" i="6"/>
  <c r="W260" i="6"/>
  <c r="W249" i="6"/>
  <c r="W247" i="6"/>
  <c r="W244" i="6"/>
  <c r="W233" i="6"/>
  <c r="W231" i="6"/>
  <c r="W228" i="6"/>
  <c r="W217" i="6"/>
  <c r="W215" i="6"/>
  <c r="W212" i="6"/>
  <c r="W201" i="6"/>
  <c r="W199" i="6"/>
  <c r="W196" i="6"/>
  <c r="W185" i="6"/>
  <c r="W183" i="6"/>
  <c r="W180" i="6"/>
  <c r="W169" i="6"/>
  <c r="W167" i="6"/>
  <c r="W164" i="6"/>
  <c r="W152" i="6"/>
  <c r="W145" i="6"/>
  <c r="W137" i="6"/>
  <c r="W129" i="6"/>
  <c r="W121" i="6"/>
  <c r="W113" i="6"/>
  <c r="W491" i="6"/>
  <c r="W475" i="6"/>
  <c r="W459" i="6"/>
  <c r="W443" i="6"/>
  <c r="W427" i="6"/>
  <c r="W483" i="6"/>
  <c r="W467" i="6"/>
  <c r="W451" i="6"/>
  <c r="W435" i="6"/>
  <c r="W419" i="6"/>
  <c r="Q7" i="8" l="1"/>
  <c r="Q8" i="8"/>
  <c r="Q9" i="8"/>
  <c r="Q10" i="8"/>
  <c r="L8" i="8"/>
  <c r="M8" i="8"/>
  <c r="L9" i="8"/>
  <c r="M9" i="8" s="1"/>
  <c r="L10" i="8"/>
  <c r="M10" i="8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N15" i="4"/>
  <c r="AQ15" i="4"/>
  <c r="AV15" i="4"/>
  <c r="AW15" i="4" s="1"/>
  <c r="BA15" i="4"/>
  <c r="BB15" i="4"/>
  <c r="P78" i="7"/>
  <c r="Q78" i="7" s="1"/>
  <c r="U78" i="7"/>
  <c r="V78" i="7"/>
  <c r="P79" i="7"/>
  <c r="Q79" i="7" s="1"/>
  <c r="U79" i="7"/>
  <c r="V79" i="7"/>
  <c r="P80" i="7"/>
  <c r="Q80" i="7" s="1"/>
  <c r="U80" i="7"/>
  <c r="V80" i="7"/>
  <c r="P81" i="7"/>
  <c r="Q81" i="7" s="1"/>
  <c r="U81" i="7"/>
  <c r="V81" i="7"/>
  <c r="P82" i="7"/>
  <c r="Q82" i="7" s="1"/>
  <c r="U82" i="7"/>
  <c r="V82" i="7"/>
  <c r="P83" i="7"/>
  <c r="Q83" i="7" s="1"/>
  <c r="U83" i="7"/>
  <c r="V83" i="7"/>
  <c r="P84" i="7"/>
  <c r="Q84" i="7" s="1"/>
  <c r="U84" i="7"/>
  <c r="V84" i="7"/>
  <c r="P85" i="7"/>
  <c r="Q85" i="7" s="1"/>
  <c r="U85" i="7"/>
  <c r="V85" i="7"/>
  <c r="P86" i="7"/>
  <c r="Q86" i="7" s="1"/>
  <c r="U86" i="7"/>
  <c r="V86" i="7"/>
  <c r="P87" i="7"/>
  <c r="Q87" i="7" s="1"/>
  <c r="U87" i="7"/>
  <c r="V87" i="7"/>
  <c r="P88" i="7"/>
  <c r="Q88" i="7" s="1"/>
  <c r="U88" i="7"/>
  <c r="V88" i="7"/>
  <c r="P89" i="7"/>
  <c r="Q89" i="7" s="1"/>
  <c r="U89" i="7"/>
  <c r="V89" i="7"/>
  <c r="P90" i="7"/>
  <c r="Q90" i="7" s="1"/>
  <c r="U90" i="7"/>
  <c r="V90" i="7"/>
  <c r="P91" i="7"/>
  <c r="Q91" i="7" s="1"/>
  <c r="U91" i="7"/>
  <c r="V91" i="7"/>
  <c r="P92" i="7"/>
  <c r="Q92" i="7" s="1"/>
  <c r="U92" i="7"/>
  <c r="V92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78" i="7"/>
  <c r="A185" i="4" l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R15" i="4"/>
  <c r="W84" i="7"/>
  <c r="W80" i="7"/>
  <c r="W92" i="7"/>
  <c r="W83" i="7"/>
  <c r="W78" i="7"/>
  <c r="W89" i="7"/>
  <c r="W85" i="7"/>
  <c r="W91" i="7"/>
  <c r="W88" i="7"/>
  <c r="W86" i="7"/>
  <c r="W81" i="7"/>
  <c r="BC15" i="4"/>
  <c r="W90" i="7"/>
  <c r="W79" i="7"/>
  <c r="W87" i="7"/>
  <c r="W82" i="7"/>
  <c r="U4" i="7" l="1"/>
  <c r="V4" i="7"/>
  <c r="U5" i="7"/>
  <c r="V5" i="7"/>
  <c r="U6" i="7"/>
  <c r="V6" i="7"/>
  <c r="U7" i="7"/>
  <c r="V7" i="7"/>
  <c r="U8" i="7"/>
  <c r="V8" i="7"/>
  <c r="U9" i="7"/>
  <c r="V9" i="7"/>
  <c r="U10" i="7"/>
  <c r="V10" i="7"/>
  <c r="U11" i="7"/>
  <c r="V11" i="7"/>
  <c r="U12" i="7"/>
  <c r="V12" i="7"/>
  <c r="U13" i="7"/>
  <c r="V13" i="7"/>
  <c r="U14" i="7"/>
  <c r="V14" i="7"/>
  <c r="U15" i="7"/>
  <c r="V15" i="7"/>
  <c r="U16" i="7"/>
  <c r="V16" i="7"/>
  <c r="U17" i="7"/>
  <c r="V17" i="7"/>
  <c r="U18" i="7"/>
  <c r="V18" i="7"/>
  <c r="U19" i="7"/>
  <c r="V19" i="7"/>
  <c r="U20" i="7"/>
  <c r="V20" i="7"/>
  <c r="U21" i="7"/>
  <c r="V21" i="7"/>
  <c r="U22" i="7"/>
  <c r="V22" i="7"/>
  <c r="U23" i="7"/>
  <c r="V23" i="7"/>
  <c r="U24" i="7"/>
  <c r="V24" i="7"/>
  <c r="U25" i="7"/>
  <c r="V25" i="7"/>
  <c r="U26" i="7"/>
  <c r="V26" i="7"/>
  <c r="U27" i="7"/>
  <c r="V27" i="7"/>
  <c r="U28" i="7"/>
  <c r="V28" i="7"/>
  <c r="U29" i="7"/>
  <c r="V29" i="7"/>
  <c r="U30" i="7"/>
  <c r="V30" i="7"/>
  <c r="U31" i="7"/>
  <c r="V31" i="7"/>
  <c r="U32" i="7"/>
  <c r="V32" i="7"/>
  <c r="U33" i="7"/>
  <c r="V33" i="7"/>
  <c r="U34" i="7"/>
  <c r="V34" i="7"/>
  <c r="U35" i="7"/>
  <c r="V35" i="7"/>
  <c r="U36" i="7"/>
  <c r="V36" i="7"/>
  <c r="U37" i="7"/>
  <c r="V37" i="7"/>
  <c r="U38" i="7"/>
  <c r="V38" i="7"/>
  <c r="U39" i="7"/>
  <c r="V39" i="7"/>
  <c r="U40" i="7"/>
  <c r="V40" i="7"/>
  <c r="U41" i="7"/>
  <c r="V41" i="7"/>
  <c r="U42" i="7"/>
  <c r="V42" i="7"/>
  <c r="U43" i="7"/>
  <c r="V43" i="7"/>
  <c r="U44" i="7"/>
  <c r="V44" i="7"/>
  <c r="U45" i="7"/>
  <c r="V45" i="7"/>
  <c r="U46" i="7"/>
  <c r="V46" i="7"/>
  <c r="U47" i="7"/>
  <c r="V47" i="7"/>
  <c r="U48" i="7"/>
  <c r="V48" i="7"/>
  <c r="U49" i="7"/>
  <c r="V49" i="7"/>
  <c r="U50" i="7"/>
  <c r="V50" i="7"/>
  <c r="U51" i="7"/>
  <c r="V51" i="7"/>
  <c r="U52" i="7"/>
  <c r="V52" i="7"/>
  <c r="U53" i="7"/>
  <c r="V53" i="7"/>
  <c r="U54" i="7"/>
  <c r="V54" i="7"/>
  <c r="U55" i="7"/>
  <c r="V55" i="7"/>
  <c r="U56" i="7"/>
  <c r="V56" i="7"/>
  <c r="U57" i="7"/>
  <c r="V57" i="7"/>
  <c r="U58" i="7"/>
  <c r="V58" i="7"/>
  <c r="U59" i="7"/>
  <c r="V59" i="7"/>
  <c r="U60" i="7"/>
  <c r="V60" i="7"/>
  <c r="U61" i="7"/>
  <c r="V61" i="7"/>
  <c r="U62" i="7"/>
  <c r="V62" i="7"/>
  <c r="U63" i="7"/>
  <c r="V63" i="7"/>
  <c r="U64" i="7"/>
  <c r="V64" i="7"/>
  <c r="U65" i="7"/>
  <c r="V65" i="7"/>
  <c r="U66" i="7"/>
  <c r="V66" i="7"/>
  <c r="U67" i="7"/>
  <c r="V67" i="7"/>
  <c r="U68" i="7"/>
  <c r="V68" i="7"/>
  <c r="U69" i="7"/>
  <c r="V69" i="7"/>
  <c r="U70" i="7"/>
  <c r="V70" i="7"/>
  <c r="U71" i="7"/>
  <c r="V71" i="7"/>
  <c r="U72" i="7"/>
  <c r="V72" i="7"/>
  <c r="U73" i="7"/>
  <c r="V73" i="7"/>
  <c r="U74" i="7"/>
  <c r="V74" i="7"/>
  <c r="U75" i="7"/>
  <c r="V75" i="7"/>
  <c r="U76" i="7"/>
  <c r="V76" i="7"/>
  <c r="U77" i="7"/>
  <c r="V77" i="7"/>
  <c r="V3" i="7"/>
  <c r="U3" i="7"/>
  <c r="P4" i="7"/>
  <c r="Q4" i="7" s="1"/>
  <c r="P5" i="7"/>
  <c r="Q5" i="7" s="1"/>
  <c r="P6" i="7"/>
  <c r="Q6" i="7" s="1"/>
  <c r="P7" i="7"/>
  <c r="Q7" i="7" s="1"/>
  <c r="P8" i="7"/>
  <c r="Q8" i="7" s="1"/>
  <c r="P9" i="7"/>
  <c r="Q9" i="7" s="1"/>
  <c r="P10" i="7"/>
  <c r="Q10" i="7" s="1"/>
  <c r="P11" i="7"/>
  <c r="Q11" i="7" s="1"/>
  <c r="P12" i="7"/>
  <c r="Q12" i="7" s="1"/>
  <c r="P13" i="7"/>
  <c r="Q13" i="7" s="1"/>
  <c r="P14" i="7"/>
  <c r="Q14" i="7" s="1"/>
  <c r="P15" i="7"/>
  <c r="Q15" i="7" s="1"/>
  <c r="P16" i="7"/>
  <c r="Q16" i="7" s="1"/>
  <c r="P17" i="7"/>
  <c r="Q17" i="7" s="1"/>
  <c r="P18" i="7"/>
  <c r="Q18" i="7" s="1"/>
  <c r="P19" i="7"/>
  <c r="Q19" i="7" s="1"/>
  <c r="P20" i="7"/>
  <c r="Q20" i="7" s="1"/>
  <c r="P21" i="7"/>
  <c r="Q21" i="7" s="1"/>
  <c r="P22" i="7"/>
  <c r="Q22" i="7" s="1"/>
  <c r="P23" i="7"/>
  <c r="Q23" i="7" s="1"/>
  <c r="P24" i="7"/>
  <c r="Q24" i="7" s="1"/>
  <c r="P25" i="7"/>
  <c r="Q25" i="7" s="1"/>
  <c r="P26" i="7"/>
  <c r="Q26" i="7" s="1"/>
  <c r="P27" i="7"/>
  <c r="Q27" i="7" s="1"/>
  <c r="P28" i="7"/>
  <c r="Q28" i="7" s="1"/>
  <c r="P29" i="7"/>
  <c r="Q29" i="7" s="1"/>
  <c r="P30" i="7"/>
  <c r="Q30" i="7" s="1"/>
  <c r="P31" i="7"/>
  <c r="Q31" i="7" s="1"/>
  <c r="P32" i="7"/>
  <c r="Q32" i="7" s="1"/>
  <c r="P33" i="7"/>
  <c r="Q33" i="7" s="1"/>
  <c r="P34" i="7"/>
  <c r="Q34" i="7" s="1"/>
  <c r="P35" i="7"/>
  <c r="Q35" i="7" s="1"/>
  <c r="P36" i="7"/>
  <c r="Q36" i="7" s="1"/>
  <c r="P37" i="7"/>
  <c r="Q37" i="7" s="1"/>
  <c r="P38" i="7"/>
  <c r="Q38" i="7" s="1"/>
  <c r="P39" i="7"/>
  <c r="Q39" i="7" s="1"/>
  <c r="P40" i="7"/>
  <c r="Q40" i="7" s="1"/>
  <c r="P41" i="7"/>
  <c r="Q41" i="7" s="1"/>
  <c r="P42" i="7"/>
  <c r="Q42" i="7" s="1"/>
  <c r="P43" i="7"/>
  <c r="Q43" i="7" s="1"/>
  <c r="P44" i="7"/>
  <c r="Q44" i="7" s="1"/>
  <c r="P45" i="7"/>
  <c r="Q45" i="7" s="1"/>
  <c r="P46" i="7"/>
  <c r="Q46" i="7" s="1"/>
  <c r="P47" i="7"/>
  <c r="Q47" i="7" s="1"/>
  <c r="P48" i="7"/>
  <c r="Q48" i="7" s="1"/>
  <c r="P49" i="7"/>
  <c r="Q49" i="7" s="1"/>
  <c r="P50" i="7"/>
  <c r="Q50" i="7" s="1"/>
  <c r="P51" i="7"/>
  <c r="Q51" i="7" s="1"/>
  <c r="P52" i="7"/>
  <c r="Q52" i="7" s="1"/>
  <c r="P53" i="7"/>
  <c r="Q53" i="7" s="1"/>
  <c r="P54" i="7"/>
  <c r="Q54" i="7" s="1"/>
  <c r="P55" i="7"/>
  <c r="Q55" i="7" s="1"/>
  <c r="P56" i="7"/>
  <c r="Q56" i="7" s="1"/>
  <c r="P57" i="7"/>
  <c r="Q57" i="7" s="1"/>
  <c r="P58" i="7"/>
  <c r="Q58" i="7" s="1"/>
  <c r="P59" i="7"/>
  <c r="Q59" i="7" s="1"/>
  <c r="P60" i="7"/>
  <c r="Q60" i="7" s="1"/>
  <c r="P61" i="7"/>
  <c r="Q61" i="7" s="1"/>
  <c r="P62" i="7"/>
  <c r="Q62" i="7" s="1"/>
  <c r="P63" i="7"/>
  <c r="Q63" i="7" s="1"/>
  <c r="P64" i="7"/>
  <c r="Q64" i="7" s="1"/>
  <c r="P65" i="7"/>
  <c r="Q65" i="7" s="1"/>
  <c r="P66" i="7"/>
  <c r="Q66" i="7" s="1"/>
  <c r="P67" i="7"/>
  <c r="Q67" i="7" s="1"/>
  <c r="P68" i="7"/>
  <c r="Q68" i="7" s="1"/>
  <c r="P69" i="7"/>
  <c r="Q69" i="7" s="1"/>
  <c r="P70" i="7"/>
  <c r="Q70" i="7" s="1"/>
  <c r="P71" i="7"/>
  <c r="Q71" i="7" s="1"/>
  <c r="P72" i="7"/>
  <c r="Q72" i="7" s="1"/>
  <c r="P73" i="7"/>
  <c r="Q73" i="7" s="1"/>
  <c r="P74" i="7"/>
  <c r="Q74" i="7" s="1"/>
  <c r="P75" i="7"/>
  <c r="Q75" i="7" s="1"/>
  <c r="P76" i="7"/>
  <c r="Q76" i="7" s="1"/>
  <c r="P77" i="7"/>
  <c r="Q77" i="7" s="1"/>
  <c r="AF40" i="5"/>
  <c r="AK40" i="5"/>
  <c r="AO40" i="5" s="1"/>
  <c r="AN40" i="5"/>
  <c r="AS40" i="5"/>
  <c r="AT40" i="5"/>
  <c r="AX40" i="5"/>
  <c r="AY40" i="5"/>
  <c r="A40" i="5"/>
  <c r="W71" i="7" l="1"/>
  <c r="W67" i="7"/>
  <c r="W63" i="7"/>
  <c r="W55" i="7"/>
  <c r="W51" i="7"/>
  <c r="W7" i="7"/>
  <c r="W72" i="7"/>
  <c r="W70" i="7"/>
  <c r="W66" i="7"/>
  <c r="W64" i="7"/>
  <c r="W56" i="7"/>
  <c r="W54" i="7"/>
  <c r="W16" i="7"/>
  <c r="W14" i="7"/>
  <c r="W10" i="7"/>
  <c r="W8" i="7"/>
  <c r="AZ40" i="5"/>
  <c r="W48" i="7"/>
  <c r="W44" i="7"/>
  <c r="W28" i="7"/>
  <c r="W50" i="7"/>
  <c r="W60" i="7"/>
  <c r="W42" i="7"/>
  <c r="W40" i="7"/>
  <c r="W38" i="7"/>
  <c r="W34" i="7"/>
  <c r="W32" i="7"/>
  <c r="W24" i="7"/>
  <c r="W22" i="7"/>
  <c r="W18" i="7"/>
  <c r="W75" i="7"/>
  <c r="W39" i="7"/>
  <c r="W35" i="7"/>
  <c r="W31" i="7"/>
  <c r="W23" i="7"/>
  <c r="W19" i="7"/>
  <c r="W4" i="7"/>
  <c r="W76" i="7"/>
  <c r="W74" i="7"/>
  <c r="W59" i="7"/>
  <c r="W52" i="7"/>
  <c r="W46" i="7"/>
  <c r="W27" i="7"/>
  <c r="W20" i="7"/>
  <c r="W12" i="7"/>
  <c r="W6" i="7"/>
  <c r="W68" i="7"/>
  <c r="W62" i="7"/>
  <c r="W58" i="7"/>
  <c r="W47" i="7"/>
  <c r="W43" i="7"/>
  <c r="W36" i="7"/>
  <c r="W30" i="7"/>
  <c r="W26" i="7"/>
  <c r="W15" i="7"/>
  <c r="W11" i="7"/>
  <c r="W61" i="7"/>
  <c r="W53" i="7"/>
  <c r="W45" i="7"/>
  <c r="W37" i="7"/>
  <c r="W29" i="7"/>
  <c r="W21" i="7"/>
  <c r="W13" i="7"/>
  <c r="W5" i="7"/>
  <c r="W69" i="7"/>
  <c r="W3" i="7"/>
  <c r="W73" i="7"/>
  <c r="W65" i="7"/>
  <c r="W57" i="7"/>
  <c r="W49" i="7"/>
  <c r="W41" i="7"/>
  <c r="W33" i="7"/>
  <c r="W25" i="7"/>
  <c r="W17" i="7"/>
  <c r="W9" i="7"/>
  <c r="W77" i="7"/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" i="5"/>
  <c r="Q4" i="8" l="1"/>
  <c r="Q5" i="8"/>
  <c r="Q6" i="8"/>
  <c r="Q3" i="8"/>
  <c r="O9" i="9" l="1"/>
  <c r="O8" i="9"/>
  <c r="O7" i="9"/>
  <c r="O6" i="9"/>
  <c r="O5" i="9"/>
  <c r="O4" i="9"/>
  <c r="O3" i="9"/>
  <c r="O2" i="9"/>
  <c r="A3" i="10"/>
  <c r="A4" i="10" s="1"/>
  <c r="A5" i="10" s="1"/>
  <c r="A6" i="10" s="1"/>
  <c r="A7" i="10" s="1"/>
  <c r="A8" i="10" s="1"/>
  <c r="A9" i="10" s="1"/>
  <c r="A3" i="9"/>
  <c r="A4" i="9" s="1"/>
  <c r="A5" i="9" s="1"/>
  <c r="A6" i="9" s="1"/>
  <c r="A7" i="9" s="1"/>
  <c r="A8" i="9" s="1"/>
  <c r="A9" i="9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L299" i="8"/>
  <c r="M299" i="8" s="1"/>
  <c r="N299" i="8" s="1"/>
  <c r="A299" i="8"/>
  <c r="L298" i="8"/>
  <c r="M298" i="8" s="1"/>
  <c r="N298" i="8" s="1"/>
  <c r="A298" i="8"/>
  <c r="L297" i="8"/>
  <c r="M297" i="8" s="1"/>
  <c r="N297" i="8" s="1"/>
  <c r="A297" i="8"/>
  <c r="L296" i="8"/>
  <c r="M296" i="8" s="1"/>
  <c r="N296" i="8" s="1"/>
  <c r="A296" i="8"/>
  <c r="L295" i="8"/>
  <c r="M295" i="8" s="1"/>
  <c r="N295" i="8" s="1"/>
  <c r="A295" i="8"/>
  <c r="L294" i="8"/>
  <c r="M294" i="8" s="1"/>
  <c r="N294" i="8" s="1"/>
  <c r="A294" i="8"/>
  <c r="L293" i="8"/>
  <c r="M293" i="8" s="1"/>
  <c r="N293" i="8" s="1"/>
  <c r="A293" i="8"/>
  <c r="L292" i="8"/>
  <c r="M292" i="8" s="1"/>
  <c r="N292" i="8" s="1"/>
  <c r="A292" i="8"/>
  <c r="L291" i="8"/>
  <c r="M291" i="8" s="1"/>
  <c r="N291" i="8" s="1"/>
  <c r="A291" i="8"/>
  <c r="M290" i="8"/>
  <c r="N290" i="8" s="1"/>
  <c r="L290" i="8"/>
  <c r="A290" i="8"/>
  <c r="L289" i="8"/>
  <c r="M289" i="8" s="1"/>
  <c r="N289" i="8" s="1"/>
  <c r="A289" i="8"/>
  <c r="L288" i="8"/>
  <c r="M288" i="8" s="1"/>
  <c r="N288" i="8" s="1"/>
  <c r="A288" i="8"/>
  <c r="L287" i="8"/>
  <c r="M287" i="8" s="1"/>
  <c r="N287" i="8" s="1"/>
  <c r="A287" i="8"/>
  <c r="L286" i="8"/>
  <c r="M286" i="8" s="1"/>
  <c r="N286" i="8" s="1"/>
  <c r="A286" i="8"/>
  <c r="L285" i="8"/>
  <c r="M285" i="8" s="1"/>
  <c r="N285" i="8" s="1"/>
  <c r="A285" i="8"/>
  <c r="L284" i="8"/>
  <c r="M284" i="8" s="1"/>
  <c r="N284" i="8" s="1"/>
  <c r="A284" i="8"/>
  <c r="L283" i="8"/>
  <c r="M283" i="8" s="1"/>
  <c r="N283" i="8" s="1"/>
  <c r="A283" i="8"/>
  <c r="L282" i="8"/>
  <c r="M282" i="8" s="1"/>
  <c r="N282" i="8" s="1"/>
  <c r="A282" i="8"/>
  <c r="L281" i="8"/>
  <c r="M281" i="8" s="1"/>
  <c r="N281" i="8" s="1"/>
  <c r="A281" i="8"/>
  <c r="L280" i="8"/>
  <c r="M280" i="8" s="1"/>
  <c r="N280" i="8" s="1"/>
  <c r="A280" i="8"/>
  <c r="L279" i="8"/>
  <c r="M279" i="8" s="1"/>
  <c r="N279" i="8" s="1"/>
  <c r="A279" i="8"/>
  <c r="L278" i="8"/>
  <c r="M278" i="8" s="1"/>
  <c r="N278" i="8" s="1"/>
  <c r="A278" i="8"/>
  <c r="L277" i="8"/>
  <c r="M277" i="8" s="1"/>
  <c r="N277" i="8" s="1"/>
  <c r="A277" i="8"/>
  <c r="L276" i="8"/>
  <c r="M276" i="8" s="1"/>
  <c r="N276" i="8" s="1"/>
  <c r="A276" i="8"/>
  <c r="L275" i="8"/>
  <c r="M275" i="8" s="1"/>
  <c r="N275" i="8" s="1"/>
  <c r="A275" i="8"/>
  <c r="L274" i="8"/>
  <c r="M274" i="8" s="1"/>
  <c r="N274" i="8" s="1"/>
  <c r="A274" i="8"/>
  <c r="L273" i="8"/>
  <c r="M273" i="8" s="1"/>
  <c r="N273" i="8" s="1"/>
  <c r="A273" i="8"/>
  <c r="L272" i="8"/>
  <c r="M272" i="8" s="1"/>
  <c r="N272" i="8" s="1"/>
  <c r="A272" i="8"/>
  <c r="L271" i="8"/>
  <c r="M271" i="8" s="1"/>
  <c r="N271" i="8" s="1"/>
  <c r="A271" i="8"/>
  <c r="L270" i="8"/>
  <c r="M270" i="8" s="1"/>
  <c r="N270" i="8" s="1"/>
  <c r="A270" i="8"/>
  <c r="L269" i="8"/>
  <c r="M269" i="8" s="1"/>
  <c r="N269" i="8" s="1"/>
  <c r="A269" i="8"/>
  <c r="L268" i="8"/>
  <c r="M268" i="8" s="1"/>
  <c r="N268" i="8" s="1"/>
  <c r="A268" i="8"/>
  <c r="L267" i="8"/>
  <c r="M267" i="8" s="1"/>
  <c r="N267" i="8" s="1"/>
  <c r="A267" i="8"/>
  <c r="L266" i="8"/>
  <c r="M266" i="8" s="1"/>
  <c r="N266" i="8" s="1"/>
  <c r="A266" i="8"/>
  <c r="L265" i="8"/>
  <c r="M265" i="8" s="1"/>
  <c r="N265" i="8" s="1"/>
  <c r="A265" i="8"/>
  <c r="L264" i="8"/>
  <c r="M264" i="8" s="1"/>
  <c r="N264" i="8" s="1"/>
  <c r="A264" i="8"/>
  <c r="L263" i="8"/>
  <c r="M263" i="8" s="1"/>
  <c r="N263" i="8" s="1"/>
  <c r="A263" i="8"/>
  <c r="L262" i="8"/>
  <c r="M262" i="8" s="1"/>
  <c r="N262" i="8" s="1"/>
  <c r="A262" i="8"/>
  <c r="L261" i="8"/>
  <c r="M261" i="8" s="1"/>
  <c r="N261" i="8" s="1"/>
  <c r="A261" i="8"/>
  <c r="L260" i="8"/>
  <c r="M260" i="8" s="1"/>
  <c r="N260" i="8" s="1"/>
  <c r="A260" i="8"/>
  <c r="L259" i="8"/>
  <c r="M259" i="8" s="1"/>
  <c r="N259" i="8" s="1"/>
  <c r="A259" i="8"/>
  <c r="L258" i="8"/>
  <c r="M258" i="8" s="1"/>
  <c r="N258" i="8" s="1"/>
  <c r="A258" i="8"/>
  <c r="L257" i="8"/>
  <c r="M257" i="8" s="1"/>
  <c r="N257" i="8" s="1"/>
  <c r="A257" i="8"/>
  <c r="L256" i="8"/>
  <c r="M256" i="8" s="1"/>
  <c r="N256" i="8" s="1"/>
  <c r="A256" i="8"/>
  <c r="L255" i="8"/>
  <c r="M255" i="8" s="1"/>
  <c r="N255" i="8" s="1"/>
  <c r="A255" i="8"/>
  <c r="L254" i="8"/>
  <c r="M254" i="8" s="1"/>
  <c r="N254" i="8" s="1"/>
  <c r="A254" i="8"/>
  <c r="L253" i="8"/>
  <c r="M253" i="8" s="1"/>
  <c r="N253" i="8" s="1"/>
  <c r="A253" i="8"/>
  <c r="L252" i="8"/>
  <c r="M252" i="8" s="1"/>
  <c r="N252" i="8" s="1"/>
  <c r="A252" i="8"/>
  <c r="L251" i="8"/>
  <c r="M251" i="8" s="1"/>
  <c r="N251" i="8" s="1"/>
  <c r="A251" i="8"/>
  <c r="L250" i="8"/>
  <c r="M250" i="8" s="1"/>
  <c r="N250" i="8" s="1"/>
  <c r="A250" i="8"/>
  <c r="L249" i="8"/>
  <c r="M249" i="8" s="1"/>
  <c r="N249" i="8" s="1"/>
  <c r="A249" i="8"/>
  <c r="L248" i="8"/>
  <c r="M248" i="8" s="1"/>
  <c r="N248" i="8" s="1"/>
  <c r="A248" i="8"/>
  <c r="L247" i="8"/>
  <c r="M247" i="8" s="1"/>
  <c r="N247" i="8" s="1"/>
  <c r="A247" i="8"/>
  <c r="L246" i="8"/>
  <c r="M246" i="8" s="1"/>
  <c r="N246" i="8" s="1"/>
  <c r="A246" i="8"/>
  <c r="L245" i="8"/>
  <c r="M245" i="8" s="1"/>
  <c r="N245" i="8" s="1"/>
  <c r="A245" i="8"/>
  <c r="L244" i="8"/>
  <c r="M244" i="8" s="1"/>
  <c r="N244" i="8" s="1"/>
  <c r="A244" i="8"/>
  <c r="L243" i="8"/>
  <c r="M243" i="8" s="1"/>
  <c r="N243" i="8" s="1"/>
  <c r="A243" i="8"/>
  <c r="L242" i="8"/>
  <c r="M242" i="8" s="1"/>
  <c r="N242" i="8" s="1"/>
  <c r="A242" i="8"/>
  <c r="L241" i="8"/>
  <c r="M241" i="8" s="1"/>
  <c r="N241" i="8" s="1"/>
  <c r="A241" i="8"/>
  <c r="L240" i="8"/>
  <c r="M240" i="8" s="1"/>
  <c r="N240" i="8" s="1"/>
  <c r="A240" i="8"/>
  <c r="L239" i="8"/>
  <c r="M239" i="8" s="1"/>
  <c r="N239" i="8" s="1"/>
  <c r="A239" i="8"/>
  <c r="L238" i="8"/>
  <c r="M238" i="8" s="1"/>
  <c r="N238" i="8" s="1"/>
  <c r="A238" i="8"/>
  <c r="L237" i="8"/>
  <c r="M237" i="8" s="1"/>
  <c r="N237" i="8" s="1"/>
  <c r="A237" i="8"/>
  <c r="L236" i="8"/>
  <c r="M236" i="8" s="1"/>
  <c r="N236" i="8" s="1"/>
  <c r="A236" i="8"/>
  <c r="L235" i="8"/>
  <c r="M235" i="8" s="1"/>
  <c r="N235" i="8" s="1"/>
  <c r="A235" i="8"/>
  <c r="L234" i="8"/>
  <c r="M234" i="8" s="1"/>
  <c r="N234" i="8" s="1"/>
  <c r="A234" i="8"/>
  <c r="L233" i="8"/>
  <c r="M233" i="8" s="1"/>
  <c r="N233" i="8" s="1"/>
  <c r="A233" i="8"/>
  <c r="L232" i="8"/>
  <c r="M232" i="8" s="1"/>
  <c r="N232" i="8" s="1"/>
  <c r="A232" i="8"/>
  <c r="L231" i="8"/>
  <c r="M231" i="8" s="1"/>
  <c r="N231" i="8" s="1"/>
  <c r="A231" i="8"/>
  <c r="L230" i="8"/>
  <c r="M230" i="8" s="1"/>
  <c r="N230" i="8" s="1"/>
  <c r="A230" i="8"/>
  <c r="L229" i="8"/>
  <c r="M229" i="8" s="1"/>
  <c r="N229" i="8" s="1"/>
  <c r="A229" i="8"/>
  <c r="L228" i="8"/>
  <c r="M228" i="8" s="1"/>
  <c r="N228" i="8" s="1"/>
  <c r="A228" i="8"/>
  <c r="L227" i="8"/>
  <c r="M227" i="8" s="1"/>
  <c r="N227" i="8" s="1"/>
  <c r="A227" i="8"/>
  <c r="L226" i="8"/>
  <c r="M226" i="8" s="1"/>
  <c r="N226" i="8" s="1"/>
  <c r="A226" i="8"/>
  <c r="L225" i="8"/>
  <c r="M225" i="8" s="1"/>
  <c r="N225" i="8" s="1"/>
  <c r="A225" i="8"/>
  <c r="L224" i="8"/>
  <c r="M224" i="8" s="1"/>
  <c r="N224" i="8" s="1"/>
  <c r="A224" i="8"/>
  <c r="L223" i="8"/>
  <c r="M223" i="8" s="1"/>
  <c r="N223" i="8" s="1"/>
  <c r="A223" i="8"/>
  <c r="L222" i="8"/>
  <c r="M222" i="8" s="1"/>
  <c r="N222" i="8" s="1"/>
  <c r="A222" i="8"/>
  <c r="L221" i="8"/>
  <c r="M221" i="8" s="1"/>
  <c r="N221" i="8" s="1"/>
  <c r="A221" i="8"/>
  <c r="L220" i="8"/>
  <c r="M220" i="8" s="1"/>
  <c r="N220" i="8" s="1"/>
  <c r="A220" i="8"/>
  <c r="L219" i="8"/>
  <c r="M219" i="8" s="1"/>
  <c r="N219" i="8" s="1"/>
  <c r="A219" i="8"/>
  <c r="L218" i="8"/>
  <c r="M218" i="8" s="1"/>
  <c r="N218" i="8" s="1"/>
  <c r="A218" i="8"/>
  <c r="L217" i="8"/>
  <c r="M217" i="8" s="1"/>
  <c r="N217" i="8" s="1"/>
  <c r="A217" i="8"/>
  <c r="L216" i="8"/>
  <c r="M216" i="8" s="1"/>
  <c r="N216" i="8" s="1"/>
  <c r="A216" i="8"/>
  <c r="L215" i="8"/>
  <c r="M215" i="8" s="1"/>
  <c r="N215" i="8" s="1"/>
  <c r="A215" i="8"/>
  <c r="L214" i="8"/>
  <c r="M214" i="8" s="1"/>
  <c r="N214" i="8" s="1"/>
  <c r="A214" i="8"/>
  <c r="L213" i="8"/>
  <c r="M213" i="8" s="1"/>
  <c r="N213" i="8" s="1"/>
  <c r="A213" i="8"/>
  <c r="L212" i="8"/>
  <c r="M212" i="8" s="1"/>
  <c r="N212" i="8" s="1"/>
  <c r="A212" i="8"/>
  <c r="L211" i="8"/>
  <c r="M211" i="8" s="1"/>
  <c r="N211" i="8" s="1"/>
  <c r="A211" i="8"/>
  <c r="L210" i="8"/>
  <c r="M210" i="8" s="1"/>
  <c r="N210" i="8" s="1"/>
  <c r="A210" i="8"/>
  <c r="L209" i="8"/>
  <c r="M209" i="8" s="1"/>
  <c r="N209" i="8" s="1"/>
  <c r="A209" i="8"/>
  <c r="L208" i="8"/>
  <c r="M208" i="8" s="1"/>
  <c r="N208" i="8" s="1"/>
  <c r="A208" i="8"/>
  <c r="L207" i="8"/>
  <c r="M207" i="8" s="1"/>
  <c r="N207" i="8" s="1"/>
  <c r="A207" i="8"/>
  <c r="L206" i="8"/>
  <c r="M206" i="8" s="1"/>
  <c r="N206" i="8" s="1"/>
  <c r="A206" i="8"/>
  <c r="L205" i="8"/>
  <c r="M205" i="8" s="1"/>
  <c r="N205" i="8" s="1"/>
  <c r="A205" i="8"/>
  <c r="L204" i="8"/>
  <c r="M204" i="8" s="1"/>
  <c r="N204" i="8" s="1"/>
  <c r="A204" i="8"/>
  <c r="L203" i="8"/>
  <c r="M203" i="8" s="1"/>
  <c r="N203" i="8" s="1"/>
  <c r="A203" i="8"/>
  <c r="L202" i="8"/>
  <c r="M202" i="8" s="1"/>
  <c r="N202" i="8" s="1"/>
  <c r="A202" i="8"/>
  <c r="L201" i="8"/>
  <c r="M201" i="8" s="1"/>
  <c r="N201" i="8" s="1"/>
  <c r="A201" i="8"/>
  <c r="L200" i="8"/>
  <c r="M200" i="8" s="1"/>
  <c r="N200" i="8" s="1"/>
  <c r="A200" i="8"/>
  <c r="L199" i="8"/>
  <c r="M199" i="8" s="1"/>
  <c r="N199" i="8" s="1"/>
  <c r="A199" i="8"/>
  <c r="L198" i="8"/>
  <c r="M198" i="8" s="1"/>
  <c r="N198" i="8" s="1"/>
  <c r="A198" i="8"/>
  <c r="L197" i="8"/>
  <c r="M197" i="8" s="1"/>
  <c r="N197" i="8" s="1"/>
  <c r="A197" i="8"/>
  <c r="L196" i="8"/>
  <c r="M196" i="8" s="1"/>
  <c r="N196" i="8" s="1"/>
  <c r="A196" i="8"/>
  <c r="L195" i="8"/>
  <c r="M195" i="8" s="1"/>
  <c r="N195" i="8" s="1"/>
  <c r="A195" i="8"/>
  <c r="L194" i="8"/>
  <c r="M194" i="8" s="1"/>
  <c r="N194" i="8" s="1"/>
  <c r="A194" i="8"/>
  <c r="L193" i="8"/>
  <c r="M193" i="8" s="1"/>
  <c r="N193" i="8" s="1"/>
  <c r="A193" i="8"/>
  <c r="L192" i="8"/>
  <c r="M192" i="8" s="1"/>
  <c r="N192" i="8" s="1"/>
  <c r="A192" i="8"/>
  <c r="L191" i="8"/>
  <c r="M191" i="8" s="1"/>
  <c r="N191" i="8" s="1"/>
  <c r="A191" i="8"/>
  <c r="L190" i="8"/>
  <c r="M190" i="8" s="1"/>
  <c r="N190" i="8" s="1"/>
  <c r="A190" i="8"/>
  <c r="L189" i="8"/>
  <c r="M189" i="8" s="1"/>
  <c r="N189" i="8" s="1"/>
  <c r="A189" i="8"/>
  <c r="L188" i="8"/>
  <c r="M188" i="8" s="1"/>
  <c r="N188" i="8" s="1"/>
  <c r="A188" i="8"/>
  <c r="L187" i="8"/>
  <c r="M187" i="8" s="1"/>
  <c r="N187" i="8" s="1"/>
  <c r="A187" i="8"/>
  <c r="L186" i="8"/>
  <c r="M186" i="8" s="1"/>
  <c r="N186" i="8" s="1"/>
  <c r="A186" i="8"/>
  <c r="L185" i="8"/>
  <c r="M185" i="8" s="1"/>
  <c r="N185" i="8" s="1"/>
  <c r="A185" i="8"/>
  <c r="L184" i="8"/>
  <c r="M184" i="8" s="1"/>
  <c r="N184" i="8" s="1"/>
  <c r="A184" i="8"/>
  <c r="L183" i="8"/>
  <c r="M183" i="8" s="1"/>
  <c r="N183" i="8" s="1"/>
  <c r="A183" i="8"/>
  <c r="L182" i="8"/>
  <c r="M182" i="8" s="1"/>
  <c r="N182" i="8" s="1"/>
  <c r="A182" i="8"/>
  <c r="L181" i="8"/>
  <c r="M181" i="8" s="1"/>
  <c r="N181" i="8" s="1"/>
  <c r="A181" i="8"/>
  <c r="L180" i="8"/>
  <c r="M180" i="8" s="1"/>
  <c r="N180" i="8" s="1"/>
  <c r="A180" i="8"/>
  <c r="L179" i="8"/>
  <c r="M179" i="8" s="1"/>
  <c r="N179" i="8" s="1"/>
  <c r="A179" i="8"/>
  <c r="L178" i="8"/>
  <c r="M178" i="8" s="1"/>
  <c r="N178" i="8" s="1"/>
  <c r="A178" i="8"/>
  <c r="L177" i="8"/>
  <c r="M177" i="8" s="1"/>
  <c r="N177" i="8" s="1"/>
  <c r="A177" i="8"/>
  <c r="L176" i="8"/>
  <c r="M176" i="8" s="1"/>
  <c r="N176" i="8" s="1"/>
  <c r="A176" i="8"/>
  <c r="L175" i="8"/>
  <c r="M175" i="8" s="1"/>
  <c r="N175" i="8" s="1"/>
  <c r="A175" i="8"/>
  <c r="L174" i="8"/>
  <c r="M174" i="8" s="1"/>
  <c r="N174" i="8" s="1"/>
  <c r="A174" i="8"/>
  <c r="L173" i="8"/>
  <c r="M173" i="8" s="1"/>
  <c r="N173" i="8" s="1"/>
  <c r="A173" i="8"/>
  <c r="L172" i="8"/>
  <c r="M172" i="8" s="1"/>
  <c r="N172" i="8" s="1"/>
  <c r="A172" i="8"/>
  <c r="L171" i="8"/>
  <c r="M171" i="8" s="1"/>
  <c r="N171" i="8" s="1"/>
  <c r="A171" i="8"/>
  <c r="L170" i="8"/>
  <c r="M170" i="8" s="1"/>
  <c r="N170" i="8" s="1"/>
  <c r="A170" i="8"/>
  <c r="L169" i="8"/>
  <c r="M169" i="8" s="1"/>
  <c r="N169" i="8" s="1"/>
  <c r="A169" i="8"/>
  <c r="L168" i="8"/>
  <c r="M168" i="8" s="1"/>
  <c r="N168" i="8" s="1"/>
  <c r="A168" i="8"/>
  <c r="L167" i="8"/>
  <c r="M167" i="8" s="1"/>
  <c r="N167" i="8" s="1"/>
  <c r="A167" i="8"/>
  <c r="L166" i="8"/>
  <c r="M166" i="8" s="1"/>
  <c r="N166" i="8" s="1"/>
  <c r="A166" i="8"/>
  <c r="L165" i="8"/>
  <c r="M165" i="8" s="1"/>
  <c r="N165" i="8" s="1"/>
  <c r="A165" i="8"/>
  <c r="L164" i="8"/>
  <c r="M164" i="8" s="1"/>
  <c r="N164" i="8" s="1"/>
  <c r="A164" i="8"/>
  <c r="L163" i="8"/>
  <c r="M163" i="8" s="1"/>
  <c r="N163" i="8" s="1"/>
  <c r="A163" i="8"/>
  <c r="L162" i="8"/>
  <c r="M162" i="8" s="1"/>
  <c r="N162" i="8" s="1"/>
  <c r="A162" i="8"/>
  <c r="L161" i="8"/>
  <c r="M161" i="8" s="1"/>
  <c r="N161" i="8" s="1"/>
  <c r="A161" i="8"/>
  <c r="L160" i="8"/>
  <c r="M160" i="8" s="1"/>
  <c r="N160" i="8" s="1"/>
  <c r="A160" i="8"/>
  <c r="L159" i="8"/>
  <c r="M159" i="8" s="1"/>
  <c r="N159" i="8" s="1"/>
  <c r="A159" i="8"/>
  <c r="L158" i="8"/>
  <c r="M158" i="8" s="1"/>
  <c r="N158" i="8" s="1"/>
  <c r="A158" i="8"/>
  <c r="L157" i="8"/>
  <c r="M157" i="8" s="1"/>
  <c r="N157" i="8" s="1"/>
  <c r="A157" i="8"/>
  <c r="L156" i="8"/>
  <c r="M156" i="8" s="1"/>
  <c r="N156" i="8" s="1"/>
  <c r="A156" i="8"/>
  <c r="L155" i="8"/>
  <c r="M155" i="8" s="1"/>
  <c r="N155" i="8" s="1"/>
  <c r="A155" i="8"/>
  <c r="L154" i="8"/>
  <c r="M154" i="8" s="1"/>
  <c r="N154" i="8" s="1"/>
  <c r="A154" i="8"/>
  <c r="L153" i="8"/>
  <c r="M153" i="8" s="1"/>
  <c r="N153" i="8" s="1"/>
  <c r="A153" i="8"/>
  <c r="L152" i="8"/>
  <c r="M152" i="8" s="1"/>
  <c r="N152" i="8" s="1"/>
  <c r="A152" i="8"/>
  <c r="L151" i="8"/>
  <c r="M151" i="8" s="1"/>
  <c r="N151" i="8" s="1"/>
  <c r="A151" i="8"/>
  <c r="L150" i="8"/>
  <c r="M150" i="8" s="1"/>
  <c r="N150" i="8" s="1"/>
  <c r="A150" i="8"/>
  <c r="L149" i="8"/>
  <c r="M149" i="8" s="1"/>
  <c r="N149" i="8" s="1"/>
  <c r="A149" i="8"/>
  <c r="L148" i="8"/>
  <c r="M148" i="8" s="1"/>
  <c r="N148" i="8" s="1"/>
  <c r="A148" i="8"/>
  <c r="L147" i="8"/>
  <c r="M147" i="8" s="1"/>
  <c r="N147" i="8" s="1"/>
  <c r="A147" i="8"/>
  <c r="L146" i="8"/>
  <c r="M146" i="8" s="1"/>
  <c r="N146" i="8" s="1"/>
  <c r="A146" i="8"/>
  <c r="L145" i="8"/>
  <c r="M145" i="8" s="1"/>
  <c r="N145" i="8" s="1"/>
  <c r="A145" i="8"/>
  <c r="L144" i="8"/>
  <c r="M144" i="8" s="1"/>
  <c r="N144" i="8" s="1"/>
  <c r="A144" i="8"/>
  <c r="L143" i="8"/>
  <c r="M143" i="8" s="1"/>
  <c r="N143" i="8" s="1"/>
  <c r="A143" i="8"/>
  <c r="L142" i="8"/>
  <c r="M142" i="8" s="1"/>
  <c r="N142" i="8" s="1"/>
  <c r="A142" i="8"/>
  <c r="L141" i="8"/>
  <c r="M141" i="8" s="1"/>
  <c r="N141" i="8" s="1"/>
  <c r="A141" i="8"/>
  <c r="L140" i="8"/>
  <c r="M140" i="8" s="1"/>
  <c r="N140" i="8" s="1"/>
  <c r="A140" i="8"/>
  <c r="L139" i="8"/>
  <c r="M139" i="8" s="1"/>
  <c r="N139" i="8" s="1"/>
  <c r="A139" i="8"/>
  <c r="L138" i="8"/>
  <c r="M138" i="8" s="1"/>
  <c r="N138" i="8" s="1"/>
  <c r="A138" i="8"/>
  <c r="L137" i="8"/>
  <c r="M137" i="8" s="1"/>
  <c r="N137" i="8" s="1"/>
  <c r="A137" i="8"/>
  <c r="L136" i="8"/>
  <c r="M136" i="8" s="1"/>
  <c r="N136" i="8" s="1"/>
  <c r="A136" i="8"/>
  <c r="L135" i="8"/>
  <c r="M135" i="8" s="1"/>
  <c r="N135" i="8" s="1"/>
  <c r="A135" i="8"/>
  <c r="L134" i="8"/>
  <c r="M134" i="8" s="1"/>
  <c r="N134" i="8" s="1"/>
  <c r="A134" i="8"/>
  <c r="L133" i="8"/>
  <c r="M133" i="8" s="1"/>
  <c r="N133" i="8" s="1"/>
  <c r="A133" i="8"/>
  <c r="L132" i="8"/>
  <c r="M132" i="8" s="1"/>
  <c r="N132" i="8" s="1"/>
  <c r="A132" i="8"/>
  <c r="L131" i="8"/>
  <c r="M131" i="8" s="1"/>
  <c r="N131" i="8" s="1"/>
  <c r="A131" i="8"/>
  <c r="L130" i="8"/>
  <c r="M130" i="8" s="1"/>
  <c r="N130" i="8" s="1"/>
  <c r="A130" i="8"/>
  <c r="L129" i="8"/>
  <c r="M129" i="8" s="1"/>
  <c r="N129" i="8" s="1"/>
  <c r="A129" i="8"/>
  <c r="L128" i="8"/>
  <c r="M128" i="8" s="1"/>
  <c r="N128" i="8" s="1"/>
  <c r="A128" i="8"/>
  <c r="L127" i="8"/>
  <c r="M127" i="8" s="1"/>
  <c r="N127" i="8" s="1"/>
  <c r="A127" i="8"/>
  <c r="L126" i="8"/>
  <c r="M126" i="8" s="1"/>
  <c r="N126" i="8" s="1"/>
  <c r="A126" i="8"/>
  <c r="L125" i="8"/>
  <c r="M125" i="8" s="1"/>
  <c r="N125" i="8" s="1"/>
  <c r="A125" i="8"/>
  <c r="L124" i="8"/>
  <c r="M124" i="8" s="1"/>
  <c r="N124" i="8" s="1"/>
  <c r="A124" i="8"/>
  <c r="L123" i="8"/>
  <c r="M123" i="8" s="1"/>
  <c r="N123" i="8" s="1"/>
  <c r="A123" i="8"/>
  <c r="L122" i="8"/>
  <c r="M122" i="8" s="1"/>
  <c r="N122" i="8" s="1"/>
  <c r="A122" i="8"/>
  <c r="L121" i="8"/>
  <c r="M121" i="8" s="1"/>
  <c r="N121" i="8" s="1"/>
  <c r="A121" i="8"/>
  <c r="L120" i="8"/>
  <c r="M120" i="8" s="1"/>
  <c r="N120" i="8" s="1"/>
  <c r="A120" i="8"/>
  <c r="L119" i="8"/>
  <c r="M119" i="8" s="1"/>
  <c r="N119" i="8" s="1"/>
  <c r="A119" i="8"/>
  <c r="L118" i="8"/>
  <c r="M118" i="8" s="1"/>
  <c r="N118" i="8" s="1"/>
  <c r="A118" i="8"/>
  <c r="L117" i="8"/>
  <c r="M117" i="8" s="1"/>
  <c r="N117" i="8" s="1"/>
  <c r="A117" i="8"/>
  <c r="L116" i="8"/>
  <c r="M116" i="8" s="1"/>
  <c r="N116" i="8" s="1"/>
  <c r="A116" i="8"/>
  <c r="L115" i="8"/>
  <c r="M115" i="8" s="1"/>
  <c r="N115" i="8" s="1"/>
  <c r="A115" i="8"/>
  <c r="L114" i="8"/>
  <c r="M114" i="8" s="1"/>
  <c r="N114" i="8" s="1"/>
  <c r="A114" i="8"/>
  <c r="L113" i="8"/>
  <c r="M113" i="8" s="1"/>
  <c r="N113" i="8" s="1"/>
  <c r="A113" i="8"/>
  <c r="L112" i="8"/>
  <c r="M112" i="8" s="1"/>
  <c r="N112" i="8" s="1"/>
  <c r="A112" i="8"/>
  <c r="L111" i="8"/>
  <c r="M111" i="8" s="1"/>
  <c r="N111" i="8" s="1"/>
  <c r="A111" i="8"/>
  <c r="L110" i="8"/>
  <c r="M110" i="8" s="1"/>
  <c r="N110" i="8" s="1"/>
  <c r="A110" i="8"/>
  <c r="L109" i="8"/>
  <c r="M109" i="8" s="1"/>
  <c r="N109" i="8" s="1"/>
  <c r="A109" i="8"/>
  <c r="L108" i="8"/>
  <c r="M108" i="8" s="1"/>
  <c r="N108" i="8" s="1"/>
  <c r="A108" i="8"/>
  <c r="L107" i="8"/>
  <c r="M107" i="8" s="1"/>
  <c r="N107" i="8" s="1"/>
  <c r="A107" i="8"/>
  <c r="L106" i="8"/>
  <c r="M106" i="8" s="1"/>
  <c r="N106" i="8" s="1"/>
  <c r="A106" i="8"/>
  <c r="L105" i="8"/>
  <c r="M105" i="8" s="1"/>
  <c r="N105" i="8" s="1"/>
  <c r="A105" i="8"/>
  <c r="L104" i="8"/>
  <c r="M104" i="8" s="1"/>
  <c r="N104" i="8" s="1"/>
  <c r="A104" i="8"/>
  <c r="L103" i="8"/>
  <c r="M103" i="8" s="1"/>
  <c r="N103" i="8" s="1"/>
  <c r="A103" i="8"/>
  <c r="L102" i="8"/>
  <c r="M102" i="8" s="1"/>
  <c r="N102" i="8" s="1"/>
  <c r="A102" i="8"/>
  <c r="L101" i="8"/>
  <c r="M101" i="8" s="1"/>
  <c r="N101" i="8" s="1"/>
  <c r="A101" i="8"/>
  <c r="L100" i="8"/>
  <c r="M100" i="8" s="1"/>
  <c r="N100" i="8" s="1"/>
  <c r="A100" i="8"/>
  <c r="L99" i="8"/>
  <c r="M99" i="8" s="1"/>
  <c r="N99" i="8" s="1"/>
  <c r="A99" i="8"/>
  <c r="L98" i="8"/>
  <c r="M98" i="8" s="1"/>
  <c r="N98" i="8" s="1"/>
  <c r="A98" i="8"/>
  <c r="L97" i="8"/>
  <c r="M97" i="8" s="1"/>
  <c r="N97" i="8" s="1"/>
  <c r="A97" i="8"/>
  <c r="L96" i="8"/>
  <c r="M96" i="8" s="1"/>
  <c r="N96" i="8" s="1"/>
  <c r="A96" i="8"/>
  <c r="L95" i="8"/>
  <c r="M95" i="8" s="1"/>
  <c r="N95" i="8" s="1"/>
  <c r="A95" i="8"/>
  <c r="L94" i="8"/>
  <c r="M94" i="8" s="1"/>
  <c r="N94" i="8" s="1"/>
  <c r="A94" i="8"/>
  <c r="L93" i="8"/>
  <c r="M93" i="8" s="1"/>
  <c r="N93" i="8" s="1"/>
  <c r="A93" i="8"/>
  <c r="L92" i="8"/>
  <c r="M92" i="8" s="1"/>
  <c r="N92" i="8" s="1"/>
  <c r="A92" i="8"/>
  <c r="L91" i="8"/>
  <c r="M91" i="8" s="1"/>
  <c r="N91" i="8" s="1"/>
  <c r="A91" i="8"/>
  <c r="L90" i="8"/>
  <c r="M90" i="8" s="1"/>
  <c r="N90" i="8" s="1"/>
  <c r="A90" i="8"/>
  <c r="L89" i="8"/>
  <c r="M89" i="8" s="1"/>
  <c r="N89" i="8" s="1"/>
  <c r="A89" i="8"/>
  <c r="L88" i="8"/>
  <c r="M88" i="8" s="1"/>
  <c r="N88" i="8" s="1"/>
  <c r="A88" i="8"/>
  <c r="L87" i="8"/>
  <c r="M87" i="8" s="1"/>
  <c r="N87" i="8" s="1"/>
  <c r="A87" i="8"/>
  <c r="L86" i="8"/>
  <c r="M86" i="8" s="1"/>
  <c r="N86" i="8" s="1"/>
  <c r="A86" i="8"/>
  <c r="L85" i="8"/>
  <c r="M85" i="8" s="1"/>
  <c r="N85" i="8" s="1"/>
  <c r="A85" i="8"/>
  <c r="L84" i="8"/>
  <c r="M84" i="8" s="1"/>
  <c r="N84" i="8" s="1"/>
  <c r="A84" i="8"/>
  <c r="L83" i="8"/>
  <c r="M83" i="8" s="1"/>
  <c r="N83" i="8" s="1"/>
  <c r="A83" i="8"/>
  <c r="L82" i="8"/>
  <c r="M82" i="8" s="1"/>
  <c r="N82" i="8" s="1"/>
  <c r="A82" i="8"/>
  <c r="L81" i="8"/>
  <c r="M81" i="8" s="1"/>
  <c r="N81" i="8" s="1"/>
  <c r="A81" i="8"/>
  <c r="L80" i="8"/>
  <c r="M80" i="8" s="1"/>
  <c r="N80" i="8" s="1"/>
  <c r="A80" i="8"/>
  <c r="L79" i="8"/>
  <c r="M79" i="8" s="1"/>
  <c r="N79" i="8" s="1"/>
  <c r="A79" i="8"/>
  <c r="L78" i="8"/>
  <c r="M78" i="8" s="1"/>
  <c r="N78" i="8" s="1"/>
  <c r="A78" i="8"/>
  <c r="L77" i="8"/>
  <c r="M77" i="8" s="1"/>
  <c r="N77" i="8" s="1"/>
  <c r="A77" i="8"/>
  <c r="L76" i="8"/>
  <c r="M76" i="8" s="1"/>
  <c r="N76" i="8" s="1"/>
  <c r="A76" i="8"/>
  <c r="L75" i="8"/>
  <c r="M75" i="8" s="1"/>
  <c r="N75" i="8" s="1"/>
  <c r="A75" i="8"/>
  <c r="L74" i="8"/>
  <c r="M74" i="8" s="1"/>
  <c r="N74" i="8" s="1"/>
  <c r="A74" i="8"/>
  <c r="L73" i="8"/>
  <c r="M73" i="8" s="1"/>
  <c r="N73" i="8" s="1"/>
  <c r="A73" i="8"/>
  <c r="L72" i="8"/>
  <c r="M72" i="8" s="1"/>
  <c r="N72" i="8" s="1"/>
  <c r="A72" i="8"/>
  <c r="L71" i="8"/>
  <c r="M71" i="8" s="1"/>
  <c r="N71" i="8" s="1"/>
  <c r="A71" i="8"/>
  <c r="L70" i="8"/>
  <c r="M70" i="8" s="1"/>
  <c r="N70" i="8" s="1"/>
  <c r="A70" i="8"/>
  <c r="L69" i="8"/>
  <c r="M69" i="8" s="1"/>
  <c r="N69" i="8" s="1"/>
  <c r="A69" i="8"/>
  <c r="L68" i="8"/>
  <c r="M68" i="8" s="1"/>
  <c r="N68" i="8" s="1"/>
  <c r="A68" i="8"/>
  <c r="L67" i="8"/>
  <c r="M67" i="8" s="1"/>
  <c r="N67" i="8" s="1"/>
  <c r="A67" i="8"/>
  <c r="L66" i="8"/>
  <c r="M66" i="8" s="1"/>
  <c r="N66" i="8" s="1"/>
  <c r="A66" i="8"/>
  <c r="L65" i="8"/>
  <c r="M65" i="8" s="1"/>
  <c r="N65" i="8" s="1"/>
  <c r="A65" i="8"/>
  <c r="L64" i="8"/>
  <c r="M64" i="8" s="1"/>
  <c r="N64" i="8" s="1"/>
  <c r="A64" i="8"/>
  <c r="L63" i="8"/>
  <c r="M63" i="8" s="1"/>
  <c r="N63" i="8" s="1"/>
  <c r="A63" i="8"/>
  <c r="L62" i="8"/>
  <c r="M62" i="8" s="1"/>
  <c r="N62" i="8" s="1"/>
  <c r="A62" i="8"/>
  <c r="L61" i="8"/>
  <c r="M61" i="8" s="1"/>
  <c r="N61" i="8" s="1"/>
  <c r="A61" i="8"/>
  <c r="L60" i="8"/>
  <c r="M60" i="8" s="1"/>
  <c r="N60" i="8" s="1"/>
  <c r="A60" i="8"/>
  <c r="L59" i="8"/>
  <c r="M59" i="8" s="1"/>
  <c r="N59" i="8" s="1"/>
  <c r="A59" i="8"/>
  <c r="L58" i="8"/>
  <c r="M58" i="8" s="1"/>
  <c r="N58" i="8" s="1"/>
  <c r="A58" i="8"/>
  <c r="L57" i="8"/>
  <c r="M57" i="8" s="1"/>
  <c r="N57" i="8" s="1"/>
  <c r="A57" i="8"/>
  <c r="L56" i="8"/>
  <c r="M56" i="8" s="1"/>
  <c r="N56" i="8" s="1"/>
  <c r="A56" i="8"/>
  <c r="L55" i="8"/>
  <c r="M55" i="8" s="1"/>
  <c r="N55" i="8" s="1"/>
  <c r="A55" i="8"/>
  <c r="L54" i="8"/>
  <c r="M54" i="8" s="1"/>
  <c r="N54" i="8" s="1"/>
  <c r="A54" i="8"/>
  <c r="L53" i="8"/>
  <c r="M53" i="8" s="1"/>
  <c r="N53" i="8" s="1"/>
  <c r="A53" i="8"/>
  <c r="L52" i="8"/>
  <c r="M52" i="8" s="1"/>
  <c r="N52" i="8" s="1"/>
  <c r="A52" i="8"/>
  <c r="L51" i="8"/>
  <c r="M51" i="8" s="1"/>
  <c r="N51" i="8" s="1"/>
  <c r="A51" i="8"/>
  <c r="L50" i="8"/>
  <c r="M50" i="8" s="1"/>
  <c r="N50" i="8" s="1"/>
  <c r="A50" i="8"/>
  <c r="L49" i="8"/>
  <c r="M49" i="8" s="1"/>
  <c r="N49" i="8" s="1"/>
  <c r="A49" i="8"/>
  <c r="L48" i="8"/>
  <c r="M48" i="8" s="1"/>
  <c r="N48" i="8" s="1"/>
  <c r="A48" i="8"/>
  <c r="L47" i="8"/>
  <c r="M47" i="8" s="1"/>
  <c r="N47" i="8" s="1"/>
  <c r="A47" i="8"/>
  <c r="L46" i="8"/>
  <c r="M46" i="8" s="1"/>
  <c r="N46" i="8" s="1"/>
  <c r="A46" i="8"/>
  <c r="L45" i="8"/>
  <c r="M45" i="8" s="1"/>
  <c r="N45" i="8" s="1"/>
  <c r="A45" i="8"/>
  <c r="L44" i="8"/>
  <c r="M44" i="8" s="1"/>
  <c r="N44" i="8" s="1"/>
  <c r="A44" i="8"/>
  <c r="L43" i="8"/>
  <c r="M43" i="8" s="1"/>
  <c r="N43" i="8" s="1"/>
  <c r="A43" i="8"/>
  <c r="L42" i="8"/>
  <c r="M42" i="8" s="1"/>
  <c r="N42" i="8" s="1"/>
  <c r="A42" i="8"/>
  <c r="L41" i="8"/>
  <c r="M41" i="8" s="1"/>
  <c r="N41" i="8" s="1"/>
  <c r="A41" i="8"/>
  <c r="L40" i="8"/>
  <c r="M40" i="8" s="1"/>
  <c r="N40" i="8" s="1"/>
  <c r="A40" i="8"/>
  <c r="L39" i="8"/>
  <c r="M39" i="8" s="1"/>
  <c r="N39" i="8" s="1"/>
  <c r="A39" i="8"/>
  <c r="L38" i="8"/>
  <c r="M38" i="8" s="1"/>
  <c r="N38" i="8" s="1"/>
  <c r="A38" i="8"/>
  <c r="L37" i="8"/>
  <c r="M37" i="8" s="1"/>
  <c r="N37" i="8" s="1"/>
  <c r="A37" i="8"/>
  <c r="L36" i="8"/>
  <c r="M36" i="8" s="1"/>
  <c r="N36" i="8" s="1"/>
  <c r="A36" i="8"/>
  <c r="L35" i="8"/>
  <c r="M35" i="8" s="1"/>
  <c r="N35" i="8" s="1"/>
  <c r="A35" i="8"/>
  <c r="L34" i="8"/>
  <c r="M34" i="8" s="1"/>
  <c r="N34" i="8" s="1"/>
  <c r="A34" i="8"/>
  <c r="L33" i="8"/>
  <c r="M33" i="8" s="1"/>
  <c r="N33" i="8" s="1"/>
  <c r="A33" i="8"/>
  <c r="L32" i="8"/>
  <c r="M32" i="8" s="1"/>
  <c r="N32" i="8" s="1"/>
  <c r="A32" i="8"/>
  <c r="L31" i="8"/>
  <c r="M31" i="8" s="1"/>
  <c r="N31" i="8" s="1"/>
  <c r="A31" i="8"/>
  <c r="L30" i="8"/>
  <c r="M30" i="8" s="1"/>
  <c r="N30" i="8" s="1"/>
  <c r="A30" i="8"/>
  <c r="L29" i="8"/>
  <c r="M29" i="8" s="1"/>
  <c r="N29" i="8" s="1"/>
  <c r="A29" i="8"/>
  <c r="L28" i="8"/>
  <c r="M28" i="8" s="1"/>
  <c r="N28" i="8" s="1"/>
  <c r="A28" i="8"/>
  <c r="L27" i="8"/>
  <c r="M27" i="8" s="1"/>
  <c r="N27" i="8" s="1"/>
  <c r="A27" i="8"/>
  <c r="L26" i="8"/>
  <c r="M26" i="8" s="1"/>
  <c r="N26" i="8" s="1"/>
  <c r="A26" i="8"/>
  <c r="L25" i="8"/>
  <c r="M25" i="8" s="1"/>
  <c r="N25" i="8" s="1"/>
  <c r="A25" i="8"/>
  <c r="L24" i="8"/>
  <c r="M24" i="8" s="1"/>
  <c r="N24" i="8" s="1"/>
  <c r="A24" i="8"/>
  <c r="L23" i="8"/>
  <c r="M23" i="8" s="1"/>
  <c r="N23" i="8" s="1"/>
  <c r="A23" i="8"/>
  <c r="L22" i="8"/>
  <c r="M22" i="8" s="1"/>
  <c r="N22" i="8" s="1"/>
  <c r="L21" i="8"/>
  <c r="M21" i="8" s="1"/>
  <c r="N21" i="8" s="1"/>
  <c r="L20" i="8"/>
  <c r="M20" i="8" s="1"/>
  <c r="N20" i="8" s="1"/>
  <c r="A20" i="8"/>
  <c r="A21" i="8" s="1"/>
  <c r="A22" i="8" s="1"/>
  <c r="L19" i="8"/>
  <c r="M19" i="8" s="1"/>
  <c r="N19" i="8" s="1"/>
  <c r="A19" i="8"/>
  <c r="L18" i="8"/>
  <c r="M18" i="8" s="1"/>
  <c r="N18" i="8" s="1"/>
  <c r="L17" i="8"/>
  <c r="M17" i="8" s="1"/>
  <c r="N17" i="8" s="1"/>
  <c r="L16" i="8"/>
  <c r="M16" i="8" s="1"/>
  <c r="N16" i="8" s="1"/>
  <c r="A16" i="8"/>
  <c r="A17" i="8" s="1"/>
  <c r="A18" i="8" s="1"/>
  <c r="L15" i="8"/>
  <c r="M15" i="8" s="1"/>
  <c r="N15" i="8" s="1"/>
  <c r="A15" i="8"/>
  <c r="A12" i="8"/>
  <c r="A13" i="8" s="1"/>
  <c r="A14" i="8" s="1"/>
  <c r="L11" i="8"/>
  <c r="M11" i="8" s="1"/>
  <c r="N11" i="8" s="1"/>
  <c r="A11" i="8"/>
  <c r="N10" i="8"/>
  <c r="A10" i="8"/>
  <c r="N9" i="8"/>
  <c r="A9" i="8"/>
  <c r="N8" i="8"/>
  <c r="A8" i="8"/>
  <c r="L7" i="8"/>
  <c r="M7" i="8" s="1"/>
  <c r="N7" i="8" s="1"/>
  <c r="A7" i="8"/>
  <c r="L6" i="8"/>
  <c r="M6" i="8" s="1"/>
  <c r="N6" i="8" s="1"/>
  <c r="L5" i="8"/>
  <c r="M5" i="8" s="1"/>
  <c r="N5" i="8" s="1"/>
  <c r="L4" i="8"/>
  <c r="M4" i="8" s="1"/>
  <c r="N4" i="8" s="1"/>
  <c r="A4" i="8"/>
  <c r="A5" i="8" s="1"/>
  <c r="A6" i="8" s="1"/>
  <c r="L3" i="8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P3" i="7"/>
  <c r="Q3" i="7" s="1"/>
  <c r="K3" i="7"/>
  <c r="I1" i="7"/>
  <c r="E1" i="7"/>
  <c r="D1" i="7"/>
  <c r="C1" i="7"/>
  <c r="V110" i="6"/>
  <c r="U110" i="6"/>
  <c r="P110" i="6"/>
  <c r="Q110" i="6" s="1"/>
  <c r="K110" i="6"/>
  <c r="V109" i="6"/>
  <c r="U109" i="6"/>
  <c r="P109" i="6"/>
  <c r="Q109" i="6" s="1"/>
  <c r="K109" i="6"/>
  <c r="V108" i="6"/>
  <c r="U108" i="6"/>
  <c r="P108" i="6"/>
  <c r="Q108" i="6" s="1"/>
  <c r="K108" i="6"/>
  <c r="V107" i="6"/>
  <c r="U107" i="6"/>
  <c r="P107" i="6"/>
  <c r="Q107" i="6" s="1"/>
  <c r="K107" i="6"/>
  <c r="V106" i="6"/>
  <c r="U106" i="6"/>
  <c r="P106" i="6"/>
  <c r="Q106" i="6" s="1"/>
  <c r="K106" i="6"/>
  <c r="V105" i="6"/>
  <c r="U105" i="6"/>
  <c r="P105" i="6"/>
  <c r="Q105" i="6" s="1"/>
  <c r="K105" i="6"/>
  <c r="V104" i="6"/>
  <c r="U104" i="6"/>
  <c r="P104" i="6"/>
  <c r="Q104" i="6" s="1"/>
  <c r="K104" i="6"/>
  <c r="V103" i="6"/>
  <c r="U103" i="6"/>
  <c r="P103" i="6"/>
  <c r="Q103" i="6" s="1"/>
  <c r="K103" i="6"/>
  <c r="V102" i="6"/>
  <c r="U102" i="6"/>
  <c r="P102" i="6"/>
  <c r="Q102" i="6" s="1"/>
  <c r="K102" i="6"/>
  <c r="V101" i="6"/>
  <c r="U101" i="6"/>
  <c r="P101" i="6"/>
  <c r="Q101" i="6" s="1"/>
  <c r="K101" i="6"/>
  <c r="V100" i="6"/>
  <c r="U100" i="6"/>
  <c r="P100" i="6"/>
  <c r="Q100" i="6" s="1"/>
  <c r="K100" i="6"/>
  <c r="V99" i="6"/>
  <c r="U99" i="6"/>
  <c r="P99" i="6"/>
  <c r="Q99" i="6" s="1"/>
  <c r="K99" i="6"/>
  <c r="V98" i="6"/>
  <c r="U98" i="6"/>
  <c r="P98" i="6"/>
  <c r="Q98" i="6" s="1"/>
  <c r="K98" i="6"/>
  <c r="V97" i="6"/>
  <c r="U97" i="6"/>
  <c r="P97" i="6"/>
  <c r="Q97" i="6" s="1"/>
  <c r="K97" i="6"/>
  <c r="V96" i="6"/>
  <c r="U96" i="6"/>
  <c r="P96" i="6"/>
  <c r="Q96" i="6" s="1"/>
  <c r="K96" i="6"/>
  <c r="V95" i="6"/>
  <c r="U95" i="6"/>
  <c r="P95" i="6"/>
  <c r="Q95" i="6" s="1"/>
  <c r="K95" i="6"/>
  <c r="V94" i="6"/>
  <c r="U94" i="6"/>
  <c r="P94" i="6"/>
  <c r="Q94" i="6" s="1"/>
  <c r="K94" i="6"/>
  <c r="V93" i="6"/>
  <c r="U93" i="6"/>
  <c r="P93" i="6"/>
  <c r="Q93" i="6" s="1"/>
  <c r="K93" i="6"/>
  <c r="V92" i="6"/>
  <c r="U92" i="6"/>
  <c r="P92" i="6"/>
  <c r="Q92" i="6" s="1"/>
  <c r="K92" i="6"/>
  <c r="V91" i="6"/>
  <c r="U91" i="6"/>
  <c r="P91" i="6"/>
  <c r="Q91" i="6" s="1"/>
  <c r="K91" i="6"/>
  <c r="V90" i="6"/>
  <c r="U90" i="6"/>
  <c r="P90" i="6"/>
  <c r="Q90" i="6" s="1"/>
  <c r="K90" i="6"/>
  <c r="V89" i="6"/>
  <c r="U89" i="6"/>
  <c r="P89" i="6"/>
  <c r="Q89" i="6" s="1"/>
  <c r="K89" i="6"/>
  <c r="V88" i="6"/>
  <c r="U88" i="6"/>
  <c r="P88" i="6"/>
  <c r="Q88" i="6" s="1"/>
  <c r="K88" i="6"/>
  <c r="V87" i="6"/>
  <c r="U87" i="6"/>
  <c r="P87" i="6"/>
  <c r="Q87" i="6" s="1"/>
  <c r="K87" i="6"/>
  <c r="V86" i="6"/>
  <c r="U86" i="6"/>
  <c r="P86" i="6"/>
  <c r="Q86" i="6" s="1"/>
  <c r="K86" i="6"/>
  <c r="V85" i="6"/>
  <c r="U85" i="6"/>
  <c r="P85" i="6"/>
  <c r="Q85" i="6" s="1"/>
  <c r="K85" i="6"/>
  <c r="V84" i="6"/>
  <c r="U84" i="6"/>
  <c r="P84" i="6"/>
  <c r="Q84" i="6" s="1"/>
  <c r="K84" i="6"/>
  <c r="V83" i="6"/>
  <c r="U83" i="6"/>
  <c r="P83" i="6"/>
  <c r="Q83" i="6" s="1"/>
  <c r="K83" i="6"/>
  <c r="V82" i="6"/>
  <c r="U82" i="6"/>
  <c r="P82" i="6"/>
  <c r="Q82" i="6" s="1"/>
  <c r="K82" i="6"/>
  <c r="V81" i="6"/>
  <c r="U81" i="6"/>
  <c r="P81" i="6"/>
  <c r="Q81" i="6" s="1"/>
  <c r="K81" i="6"/>
  <c r="V80" i="6"/>
  <c r="U80" i="6"/>
  <c r="P80" i="6"/>
  <c r="Q80" i="6" s="1"/>
  <c r="K80" i="6"/>
  <c r="V79" i="6"/>
  <c r="U79" i="6"/>
  <c r="P79" i="6"/>
  <c r="Q79" i="6" s="1"/>
  <c r="K79" i="6"/>
  <c r="V78" i="6"/>
  <c r="U78" i="6"/>
  <c r="P78" i="6"/>
  <c r="Q78" i="6" s="1"/>
  <c r="K78" i="6"/>
  <c r="V77" i="6"/>
  <c r="U77" i="6"/>
  <c r="P77" i="6"/>
  <c r="Q77" i="6" s="1"/>
  <c r="K77" i="6"/>
  <c r="V76" i="6"/>
  <c r="U76" i="6"/>
  <c r="P76" i="6"/>
  <c r="Q76" i="6" s="1"/>
  <c r="K76" i="6"/>
  <c r="V75" i="6"/>
  <c r="U75" i="6"/>
  <c r="P75" i="6"/>
  <c r="Q75" i="6" s="1"/>
  <c r="K75" i="6"/>
  <c r="V74" i="6"/>
  <c r="U74" i="6"/>
  <c r="P74" i="6"/>
  <c r="Q74" i="6" s="1"/>
  <c r="K74" i="6"/>
  <c r="V73" i="6"/>
  <c r="U73" i="6"/>
  <c r="P73" i="6"/>
  <c r="Q73" i="6" s="1"/>
  <c r="K73" i="6"/>
  <c r="V72" i="6"/>
  <c r="U72" i="6"/>
  <c r="P72" i="6"/>
  <c r="Q72" i="6" s="1"/>
  <c r="K72" i="6"/>
  <c r="V71" i="6"/>
  <c r="U71" i="6"/>
  <c r="P71" i="6"/>
  <c r="Q71" i="6" s="1"/>
  <c r="K71" i="6"/>
  <c r="V70" i="6"/>
  <c r="U70" i="6"/>
  <c r="P70" i="6"/>
  <c r="Q70" i="6" s="1"/>
  <c r="K70" i="6"/>
  <c r="V69" i="6"/>
  <c r="U69" i="6"/>
  <c r="P69" i="6"/>
  <c r="Q69" i="6" s="1"/>
  <c r="K69" i="6"/>
  <c r="V68" i="6"/>
  <c r="U68" i="6"/>
  <c r="P68" i="6"/>
  <c r="Q68" i="6" s="1"/>
  <c r="K68" i="6"/>
  <c r="V67" i="6"/>
  <c r="U67" i="6"/>
  <c r="P67" i="6"/>
  <c r="Q67" i="6" s="1"/>
  <c r="K67" i="6"/>
  <c r="V66" i="6"/>
  <c r="U66" i="6"/>
  <c r="P66" i="6"/>
  <c r="Q66" i="6" s="1"/>
  <c r="K66" i="6"/>
  <c r="V65" i="6"/>
  <c r="U65" i="6"/>
  <c r="P65" i="6"/>
  <c r="Q65" i="6" s="1"/>
  <c r="K65" i="6"/>
  <c r="V64" i="6"/>
  <c r="U64" i="6"/>
  <c r="P64" i="6"/>
  <c r="Q64" i="6" s="1"/>
  <c r="K64" i="6"/>
  <c r="V63" i="6"/>
  <c r="U63" i="6"/>
  <c r="P63" i="6"/>
  <c r="Q63" i="6" s="1"/>
  <c r="K63" i="6"/>
  <c r="V62" i="6"/>
  <c r="U62" i="6"/>
  <c r="P62" i="6"/>
  <c r="Q62" i="6" s="1"/>
  <c r="K62" i="6"/>
  <c r="V61" i="6"/>
  <c r="U61" i="6"/>
  <c r="P61" i="6"/>
  <c r="Q61" i="6" s="1"/>
  <c r="K61" i="6"/>
  <c r="V60" i="6"/>
  <c r="U60" i="6"/>
  <c r="P60" i="6"/>
  <c r="Q60" i="6" s="1"/>
  <c r="K60" i="6"/>
  <c r="V59" i="6"/>
  <c r="U59" i="6"/>
  <c r="P59" i="6"/>
  <c r="Q59" i="6" s="1"/>
  <c r="K59" i="6"/>
  <c r="V58" i="6"/>
  <c r="U58" i="6"/>
  <c r="P58" i="6"/>
  <c r="Q58" i="6" s="1"/>
  <c r="K58" i="6"/>
  <c r="V57" i="6"/>
  <c r="U57" i="6"/>
  <c r="P57" i="6"/>
  <c r="Q57" i="6" s="1"/>
  <c r="K57" i="6"/>
  <c r="V56" i="6"/>
  <c r="U56" i="6"/>
  <c r="P56" i="6"/>
  <c r="Q56" i="6" s="1"/>
  <c r="K56" i="6"/>
  <c r="V55" i="6"/>
  <c r="U55" i="6"/>
  <c r="P55" i="6"/>
  <c r="Q55" i="6" s="1"/>
  <c r="K55" i="6"/>
  <c r="V54" i="6"/>
  <c r="U54" i="6"/>
  <c r="P54" i="6"/>
  <c r="Q54" i="6" s="1"/>
  <c r="K54" i="6"/>
  <c r="V53" i="6"/>
  <c r="U53" i="6"/>
  <c r="P53" i="6"/>
  <c r="Q53" i="6" s="1"/>
  <c r="K53" i="6"/>
  <c r="V52" i="6"/>
  <c r="U52" i="6"/>
  <c r="P52" i="6"/>
  <c r="Q52" i="6" s="1"/>
  <c r="K52" i="6"/>
  <c r="V51" i="6"/>
  <c r="U51" i="6"/>
  <c r="P51" i="6"/>
  <c r="Q51" i="6" s="1"/>
  <c r="K51" i="6"/>
  <c r="V50" i="6"/>
  <c r="U50" i="6"/>
  <c r="P50" i="6"/>
  <c r="Q50" i="6" s="1"/>
  <c r="K50" i="6"/>
  <c r="V49" i="6"/>
  <c r="U49" i="6"/>
  <c r="P49" i="6"/>
  <c r="Q49" i="6" s="1"/>
  <c r="K49" i="6"/>
  <c r="V48" i="6"/>
  <c r="U48" i="6"/>
  <c r="P48" i="6"/>
  <c r="Q48" i="6" s="1"/>
  <c r="K48" i="6"/>
  <c r="V47" i="6"/>
  <c r="U47" i="6"/>
  <c r="P47" i="6"/>
  <c r="Q47" i="6" s="1"/>
  <c r="K47" i="6"/>
  <c r="V46" i="6"/>
  <c r="U46" i="6"/>
  <c r="P46" i="6"/>
  <c r="Q46" i="6" s="1"/>
  <c r="K46" i="6"/>
  <c r="V45" i="6"/>
  <c r="U45" i="6"/>
  <c r="P45" i="6"/>
  <c r="Q45" i="6" s="1"/>
  <c r="K45" i="6"/>
  <c r="V44" i="6"/>
  <c r="U44" i="6"/>
  <c r="P44" i="6"/>
  <c r="Q44" i="6" s="1"/>
  <c r="K44" i="6"/>
  <c r="V43" i="6"/>
  <c r="U43" i="6"/>
  <c r="P43" i="6"/>
  <c r="Q43" i="6" s="1"/>
  <c r="K43" i="6"/>
  <c r="V42" i="6"/>
  <c r="U42" i="6"/>
  <c r="P42" i="6"/>
  <c r="Q42" i="6" s="1"/>
  <c r="K42" i="6"/>
  <c r="V41" i="6"/>
  <c r="U41" i="6"/>
  <c r="P41" i="6"/>
  <c r="Q41" i="6" s="1"/>
  <c r="K41" i="6"/>
  <c r="V40" i="6"/>
  <c r="U40" i="6"/>
  <c r="P40" i="6"/>
  <c r="Q40" i="6" s="1"/>
  <c r="K40" i="6"/>
  <c r="V39" i="6"/>
  <c r="U39" i="6"/>
  <c r="P39" i="6"/>
  <c r="Q39" i="6" s="1"/>
  <c r="K39" i="6"/>
  <c r="V38" i="6"/>
  <c r="U38" i="6"/>
  <c r="P38" i="6"/>
  <c r="Q38" i="6" s="1"/>
  <c r="K38" i="6"/>
  <c r="V37" i="6"/>
  <c r="U37" i="6"/>
  <c r="P37" i="6"/>
  <c r="Q37" i="6" s="1"/>
  <c r="K37" i="6"/>
  <c r="V36" i="6"/>
  <c r="U36" i="6"/>
  <c r="P36" i="6"/>
  <c r="Q36" i="6" s="1"/>
  <c r="K36" i="6"/>
  <c r="V35" i="6"/>
  <c r="U35" i="6"/>
  <c r="P35" i="6"/>
  <c r="Q35" i="6" s="1"/>
  <c r="K35" i="6"/>
  <c r="V34" i="6"/>
  <c r="U34" i="6"/>
  <c r="P34" i="6"/>
  <c r="Q34" i="6" s="1"/>
  <c r="K34" i="6"/>
  <c r="V33" i="6"/>
  <c r="U33" i="6"/>
  <c r="P33" i="6"/>
  <c r="Q33" i="6" s="1"/>
  <c r="K33" i="6"/>
  <c r="V32" i="6"/>
  <c r="U32" i="6"/>
  <c r="P32" i="6"/>
  <c r="Q32" i="6" s="1"/>
  <c r="K32" i="6"/>
  <c r="V31" i="6"/>
  <c r="U31" i="6"/>
  <c r="P31" i="6"/>
  <c r="Q31" i="6" s="1"/>
  <c r="K31" i="6"/>
  <c r="V30" i="6"/>
  <c r="U30" i="6"/>
  <c r="P30" i="6"/>
  <c r="Q30" i="6" s="1"/>
  <c r="K30" i="6"/>
  <c r="V29" i="6"/>
  <c r="U29" i="6"/>
  <c r="P29" i="6"/>
  <c r="Q29" i="6" s="1"/>
  <c r="K29" i="6"/>
  <c r="V28" i="6"/>
  <c r="U28" i="6"/>
  <c r="P28" i="6"/>
  <c r="Q28" i="6" s="1"/>
  <c r="K28" i="6"/>
  <c r="V27" i="6"/>
  <c r="U27" i="6"/>
  <c r="P27" i="6"/>
  <c r="Q27" i="6" s="1"/>
  <c r="K27" i="6"/>
  <c r="V26" i="6"/>
  <c r="U26" i="6"/>
  <c r="P26" i="6"/>
  <c r="Q26" i="6" s="1"/>
  <c r="K26" i="6"/>
  <c r="V25" i="6"/>
  <c r="U25" i="6"/>
  <c r="P25" i="6"/>
  <c r="Q25" i="6" s="1"/>
  <c r="K25" i="6"/>
  <c r="V24" i="6"/>
  <c r="U24" i="6"/>
  <c r="P24" i="6"/>
  <c r="Q24" i="6" s="1"/>
  <c r="K24" i="6"/>
  <c r="V23" i="6"/>
  <c r="U23" i="6"/>
  <c r="P23" i="6"/>
  <c r="Q23" i="6" s="1"/>
  <c r="K23" i="6"/>
  <c r="V22" i="6"/>
  <c r="U22" i="6"/>
  <c r="P22" i="6"/>
  <c r="Q22" i="6" s="1"/>
  <c r="K22" i="6"/>
  <c r="V21" i="6"/>
  <c r="U21" i="6"/>
  <c r="P21" i="6"/>
  <c r="Q21" i="6" s="1"/>
  <c r="K21" i="6"/>
  <c r="V20" i="6"/>
  <c r="U20" i="6"/>
  <c r="P20" i="6"/>
  <c r="Q20" i="6" s="1"/>
  <c r="K20" i="6"/>
  <c r="V19" i="6"/>
  <c r="U19" i="6"/>
  <c r="P19" i="6"/>
  <c r="Q19" i="6" s="1"/>
  <c r="K19" i="6"/>
  <c r="V18" i="6"/>
  <c r="U18" i="6"/>
  <c r="P18" i="6"/>
  <c r="Q18" i="6" s="1"/>
  <c r="K18" i="6"/>
  <c r="V17" i="6"/>
  <c r="U17" i="6"/>
  <c r="P17" i="6"/>
  <c r="Q17" i="6" s="1"/>
  <c r="K17" i="6"/>
  <c r="V16" i="6"/>
  <c r="U16" i="6"/>
  <c r="P16" i="6"/>
  <c r="Q16" i="6" s="1"/>
  <c r="K16" i="6"/>
  <c r="V15" i="6"/>
  <c r="U15" i="6"/>
  <c r="P15" i="6"/>
  <c r="Q15" i="6" s="1"/>
  <c r="K15" i="6"/>
  <c r="V14" i="6"/>
  <c r="U14" i="6"/>
  <c r="P14" i="6"/>
  <c r="Q14" i="6" s="1"/>
  <c r="K14" i="6"/>
  <c r="V13" i="6"/>
  <c r="U13" i="6"/>
  <c r="P13" i="6"/>
  <c r="Q13" i="6" s="1"/>
  <c r="K13" i="6"/>
  <c r="V12" i="6"/>
  <c r="U12" i="6"/>
  <c r="P12" i="6"/>
  <c r="Q12" i="6" s="1"/>
  <c r="K12" i="6"/>
  <c r="V11" i="6"/>
  <c r="U11" i="6"/>
  <c r="P11" i="6"/>
  <c r="Q11" i="6" s="1"/>
  <c r="K11" i="6"/>
  <c r="V10" i="6"/>
  <c r="U10" i="6"/>
  <c r="P10" i="6"/>
  <c r="Q10" i="6" s="1"/>
  <c r="K10" i="6"/>
  <c r="V9" i="6"/>
  <c r="U9" i="6"/>
  <c r="P9" i="6"/>
  <c r="Q9" i="6" s="1"/>
  <c r="K9" i="6"/>
  <c r="V8" i="6"/>
  <c r="U8" i="6"/>
  <c r="P8" i="6"/>
  <c r="Q8" i="6" s="1"/>
  <c r="K8" i="6"/>
  <c r="V7" i="6"/>
  <c r="U7" i="6"/>
  <c r="P7" i="6"/>
  <c r="Q7" i="6" s="1"/>
  <c r="K7" i="6"/>
  <c r="V6" i="6"/>
  <c r="U6" i="6"/>
  <c r="P6" i="6"/>
  <c r="Q6" i="6" s="1"/>
  <c r="K6" i="6"/>
  <c r="V5" i="6"/>
  <c r="U5" i="6"/>
  <c r="P5" i="6"/>
  <c r="Q5" i="6" s="1"/>
  <c r="K5" i="6"/>
  <c r="V4" i="6"/>
  <c r="U4" i="6"/>
  <c r="P4" i="6"/>
  <c r="Q4" i="6" s="1"/>
  <c r="K4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V3" i="6"/>
  <c r="U3" i="6"/>
  <c r="P3" i="6"/>
  <c r="Q3" i="6" s="1"/>
  <c r="K3" i="6"/>
  <c r="I1" i="6"/>
  <c r="E1" i="6"/>
  <c r="D1" i="6"/>
  <c r="C97" i="6"/>
  <c r="AY39" i="5"/>
  <c r="AX39" i="5"/>
  <c r="AS39" i="5"/>
  <c r="AT39" i="5" s="1"/>
  <c r="AN39" i="5"/>
  <c r="AK39" i="5"/>
  <c r="AF39" i="5"/>
  <c r="AY38" i="5"/>
  <c r="AX38" i="5"/>
  <c r="AT38" i="5"/>
  <c r="AS38" i="5"/>
  <c r="AN38" i="5"/>
  <c r="AK38" i="5"/>
  <c r="AO38" i="5" s="1"/>
  <c r="AF38" i="5"/>
  <c r="AY37" i="5"/>
  <c r="AX37" i="5"/>
  <c r="AS37" i="5"/>
  <c r="AT37" i="5" s="1"/>
  <c r="AN37" i="5"/>
  <c r="AK37" i="5"/>
  <c r="AF37" i="5"/>
  <c r="AY36" i="5"/>
  <c r="AX36" i="5"/>
  <c r="AS36" i="5"/>
  <c r="AT36" i="5" s="1"/>
  <c r="AN36" i="5"/>
  <c r="AK36" i="5"/>
  <c r="AF36" i="5"/>
  <c r="AY35" i="5"/>
  <c r="AX35" i="5"/>
  <c r="AS35" i="5"/>
  <c r="AT35" i="5" s="1"/>
  <c r="AN35" i="5"/>
  <c r="AO35" i="5" s="1"/>
  <c r="AK35" i="5"/>
  <c r="AF35" i="5"/>
  <c r="AY34" i="5"/>
  <c r="AX34" i="5"/>
  <c r="AS34" i="5"/>
  <c r="AT34" i="5" s="1"/>
  <c r="AN34" i="5"/>
  <c r="AK34" i="5"/>
  <c r="AF34" i="5"/>
  <c r="AY33" i="5"/>
  <c r="AX33" i="5"/>
  <c r="AS33" i="5"/>
  <c r="AT33" i="5" s="1"/>
  <c r="AN33" i="5"/>
  <c r="AO33" i="5" s="1"/>
  <c r="AK33" i="5"/>
  <c r="AF33" i="5"/>
  <c r="AY32" i="5"/>
  <c r="AX32" i="5"/>
  <c r="AS32" i="5"/>
  <c r="AT32" i="5" s="1"/>
  <c r="AN32" i="5"/>
  <c r="AK32" i="5"/>
  <c r="AF32" i="5"/>
  <c r="AY31" i="5"/>
  <c r="AX31" i="5"/>
  <c r="AS31" i="5"/>
  <c r="AT31" i="5" s="1"/>
  <c r="AN31" i="5"/>
  <c r="AK31" i="5"/>
  <c r="AF31" i="5"/>
  <c r="AY30" i="5"/>
  <c r="AX30" i="5"/>
  <c r="AS30" i="5"/>
  <c r="AT30" i="5" s="1"/>
  <c r="AN30" i="5"/>
  <c r="AO30" i="5" s="1"/>
  <c r="AK30" i="5"/>
  <c r="AF30" i="5"/>
  <c r="AY29" i="5"/>
  <c r="AX29" i="5"/>
  <c r="AS29" i="5"/>
  <c r="AT29" i="5" s="1"/>
  <c r="AN29" i="5"/>
  <c r="AK29" i="5"/>
  <c r="AF29" i="5"/>
  <c r="AY28" i="5"/>
  <c r="AZ28" i="5" s="1"/>
  <c r="AX28" i="5"/>
  <c r="AS28" i="5"/>
  <c r="AT28" i="5" s="1"/>
  <c r="AN28" i="5"/>
  <c r="AK28" i="5"/>
  <c r="AF28" i="5"/>
  <c r="AY27" i="5"/>
  <c r="AX27" i="5"/>
  <c r="AT27" i="5"/>
  <c r="AS27" i="5"/>
  <c r="AN27" i="5"/>
  <c r="AK27" i="5"/>
  <c r="AF27" i="5"/>
  <c r="AY26" i="5"/>
  <c r="AX26" i="5"/>
  <c r="AS26" i="5"/>
  <c r="AT26" i="5" s="1"/>
  <c r="AN26" i="5"/>
  <c r="AO26" i="5" s="1"/>
  <c r="AK26" i="5"/>
  <c r="AF26" i="5"/>
  <c r="AY25" i="5"/>
  <c r="AX25" i="5"/>
  <c r="AS25" i="5"/>
  <c r="AT25" i="5" s="1"/>
  <c r="AN25" i="5"/>
  <c r="AO25" i="5" s="1"/>
  <c r="AK25" i="5"/>
  <c r="AF25" i="5"/>
  <c r="AY24" i="5"/>
  <c r="AX24" i="5"/>
  <c r="AS24" i="5"/>
  <c r="AT24" i="5" s="1"/>
  <c r="AN24" i="5"/>
  <c r="AK24" i="5"/>
  <c r="AF24" i="5"/>
  <c r="AY23" i="5"/>
  <c r="AX23" i="5"/>
  <c r="AS23" i="5"/>
  <c r="AT23" i="5" s="1"/>
  <c r="AN23" i="5"/>
  <c r="AO23" i="5" s="1"/>
  <c r="AK23" i="5"/>
  <c r="AF23" i="5"/>
  <c r="AY22" i="5"/>
  <c r="AX22" i="5"/>
  <c r="AS22" i="5"/>
  <c r="AT22" i="5" s="1"/>
  <c r="AN22" i="5"/>
  <c r="AK22" i="5"/>
  <c r="AF22" i="5"/>
  <c r="AY21" i="5"/>
  <c r="AX21" i="5"/>
  <c r="AS21" i="5"/>
  <c r="AT21" i="5" s="1"/>
  <c r="AN21" i="5"/>
  <c r="AK21" i="5"/>
  <c r="AO21" i="5" s="1"/>
  <c r="AF21" i="5"/>
  <c r="AY20" i="5"/>
  <c r="AX20" i="5"/>
  <c r="AS20" i="5"/>
  <c r="AT20" i="5" s="1"/>
  <c r="AN20" i="5"/>
  <c r="AO20" i="5" s="1"/>
  <c r="AK20" i="5"/>
  <c r="AF20" i="5"/>
  <c r="AY19" i="5"/>
  <c r="AX19" i="5"/>
  <c r="AS19" i="5"/>
  <c r="AT19" i="5" s="1"/>
  <c r="AN19" i="5"/>
  <c r="AK19" i="5"/>
  <c r="AF19" i="5"/>
  <c r="AY18" i="5"/>
  <c r="AX18" i="5"/>
  <c r="AS18" i="5"/>
  <c r="AT18" i="5" s="1"/>
  <c r="AN18" i="5"/>
  <c r="AK18" i="5"/>
  <c r="AF18" i="5"/>
  <c r="AY17" i="5"/>
  <c r="AX17" i="5"/>
  <c r="AS17" i="5"/>
  <c r="AT17" i="5" s="1"/>
  <c r="AN17" i="5"/>
  <c r="AK17" i="5"/>
  <c r="AF17" i="5"/>
  <c r="AY16" i="5"/>
  <c r="AZ16" i="5" s="1"/>
  <c r="AX16" i="5"/>
  <c r="AS16" i="5"/>
  <c r="AT16" i="5" s="1"/>
  <c r="AN16" i="5"/>
  <c r="AK16" i="5"/>
  <c r="AF16" i="5"/>
  <c r="AY15" i="5"/>
  <c r="AX15" i="5"/>
  <c r="AT15" i="5"/>
  <c r="AS15" i="5"/>
  <c r="AN15" i="5"/>
  <c r="AK15" i="5"/>
  <c r="AF15" i="5"/>
  <c r="AY14" i="5"/>
  <c r="AX14" i="5"/>
  <c r="AS14" i="5"/>
  <c r="AT14" i="5" s="1"/>
  <c r="AN14" i="5"/>
  <c r="AO14" i="5" s="1"/>
  <c r="AK14" i="5"/>
  <c r="AF14" i="5"/>
  <c r="AY13" i="5"/>
  <c r="AX13" i="5"/>
  <c r="AS13" i="5"/>
  <c r="AT13" i="5" s="1"/>
  <c r="AN13" i="5"/>
  <c r="AK13" i="5"/>
  <c r="AO13" i="5" s="1"/>
  <c r="AF13" i="5"/>
  <c r="AY12" i="5"/>
  <c r="AX12" i="5"/>
  <c r="AS12" i="5"/>
  <c r="AT12" i="5" s="1"/>
  <c r="AN12" i="5"/>
  <c r="AK12" i="5"/>
  <c r="AF12" i="5"/>
  <c r="AY11" i="5"/>
  <c r="AX11" i="5"/>
  <c r="AS11" i="5"/>
  <c r="AT11" i="5" s="1"/>
  <c r="AN11" i="5"/>
  <c r="AK11" i="5"/>
  <c r="AF11" i="5"/>
  <c r="AY10" i="5"/>
  <c r="AX10" i="5"/>
  <c r="AS10" i="5"/>
  <c r="AT10" i="5" s="1"/>
  <c r="AN10" i="5"/>
  <c r="AK10" i="5"/>
  <c r="AO10" i="5" s="1"/>
  <c r="AF10" i="5"/>
  <c r="AY9" i="5"/>
  <c r="AX9" i="5"/>
  <c r="AS9" i="5"/>
  <c r="AT9" i="5" s="1"/>
  <c r="AN9" i="5"/>
  <c r="AO9" i="5" s="1"/>
  <c r="AK9" i="5"/>
  <c r="AF9" i="5"/>
  <c r="AY8" i="5"/>
  <c r="AX8" i="5"/>
  <c r="AS8" i="5"/>
  <c r="AT8" i="5" s="1"/>
  <c r="AN8" i="5"/>
  <c r="AK8" i="5"/>
  <c r="AF8" i="5"/>
  <c r="AY7" i="5"/>
  <c r="AX7" i="5"/>
  <c r="AS7" i="5"/>
  <c r="AT7" i="5" s="1"/>
  <c r="AN7" i="5"/>
  <c r="AK7" i="5"/>
  <c r="AF7" i="5"/>
  <c r="AY6" i="5"/>
  <c r="AX6" i="5"/>
  <c r="AS6" i="5"/>
  <c r="AT6" i="5" s="1"/>
  <c r="AN6" i="5"/>
  <c r="AK6" i="5"/>
  <c r="AF6" i="5"/>
  <c r="AY5" i="5"/>
  <c r="AX5" i="5"/>
  <c r="AS5" i="5"/>
  <c r="AT5" i="5" s="1"/>
  <c r="AN5" i="5"/>
  <c r="AK5" i="5"/>
  <c r="AO5" i="5" s="1"/>
  <c r="AF5" i="5"/>
  <c r="AY4" i="5"/>
  <c r="AZ4" i="5" s="1"/>
  <c r="AX4" i="5"/>
  <c r="AS4" i="5"/>
  <c r="AT4" i="5" s="1"/>
  <c r="AN4" i="5"/>
  <c r="AK4" i="5"/>
  <c r="AF4" i="5"/>
  <c r="AY3" i="5"/>
  <c r="AX3" i="5"/>
  <c r="AS3" i="5"/>
  <c r="AT3" i="5" s="1"/>
  <c r="AN3" i="5"/>
  <c r="AK3" i="5"/>
  <c r="AF3" i="5"/>
  <c r="S1" i="5"/>
  <c r="J1" i="5"/>
  <c r="I1" i="5"/>
  <c r="H1" i="5"/>
  <c r="G1" i="5"/>
  <c r="F1" i="5"/>
  <c r="E1" i="5"/>
  <c r="BA17" i="4"/>
  <c r="AV17" i="4"/>
  <c r="AQ17" i="4"/>
  <c r="BA16" i="4"/>
  <c r="AV16" i="4"/>
  <c r="AQ16" i="4"/>
  <c r="BA14" i="4"/>
  <c r="AV14" i="4"/>
  <c r="AQ14" i="4"/>
  <c r="BA13" i="4"/>
  <c r="AV13" i="4"/>
  <c r="AQ13" i="4"/>
  <c r="BA12" i="4"/>
  <c r="AV12" i="4"/>
  <c r="AQ12" i="4"/>
  <c r="BA11" i="4"/>
  <c r="AV11" i="4"/>
  <c r="AQ11" i="4"/>
  <c r="BA10" i="4"/>
  <c r="AV10" i="4"/>
  <c r="AQ10" i="4"/>
  <c r="BA9" i="4"/>
  <c r="AV9" i="4"/>
  <c r="AQ9" i="4"/>
  <c r="AI9" i="4"/>
  <c r="BA8" i="4"/>
  <c r="AV8" i="4"/>
  <c r="AQ8" i="4"/>
  <c r="BA7" i="4"/>
  <c r="AV7" i="4"/>
  <c r="AQ7" i="4"/>
  <c r="BA6" i="4"/>
  <c r="AV6" i="4"/>
  <c r="AQ6" i="4"/>
  <c r="BA5" i="4"/>
  <c r="AV5" i="4"/>
  <c r="AQ5" i="4"/>
  <c r="BA4" i="4"/>
  <c r="AV4" i="4"/>
  <c r="AQ4" i="4"/>
  <c r="BA3" i="4"/>
  <c r="AV3" i="4"/>
  <c r="AQ3" i="4"/>
  <c r="O1" i="4"/>
  <c r="C1421" i="7" l="1"/>
  <c r="C1425" i="7"/>
  <c r="C1429" i="7"/>
  <c r="C1433" i="7"/>
  <c r="C1437" i="7"/>
  <c r="C1441" i="7"/>
  <c r="C1445" i="7"/>
  <c r="C1449" i="7"/>
  <c r="C1453" i="7"/>
  <c r="C1457" i="7"/>
  <c r="C1461" i="7"/>
  <c r="C1465" i="7"/>
  <c r="C1469" i="7"/>
  <c r="C1473" i="7"/>
  <c r="C1477" i="7"/>
  <c r="C1481" i="7"/>
  <c r="C1485" i="7"/>
  <c r="C1489" i="7"/>
  <c r="C1493" i="7"/>
  <c r="C1420" i="7"/>
  <c r="C1424" i="7"/>
  <c r="C1428" i="7"/>
  <c r="C1432" i="7"/>
  <c r="C1436" i="7"/>
  <c r="C1440" i="7"/>
  <c r="C1444" i="7"/>
  <c r="C1448" i="7"/>
  <c r="C1452" i="7"/>
  <c r="C1456" i="7"/>
  <c r="C1460" i="7"/>
  <c r="C1464" i="7"/>
  <c r="C1468" i="7"/>
  <c r="C1472" i="7"/>
  <c r="C1476" i="7"/>
  <c r="C1480" i="7"/>
  <c r="C1484" i="7"/>
  <c r="C1488" i="7"/>
  <c r="C1492" i="7"/>
  <c r="C1496" i="7"/>
  <c r="C1500" i="7"/>
  <c r="C1504" i="7"/>
  <c r="C1508" i="7"/>
  <c r="C1512" i="7"/>
  <c r="C1516" i="7"/>
  <c r="C1520" i="7"/>
  <c r="C1524" i="7"/>
  <c r="C1528" i="7"/>
  <c r="C1532" i="7"/>
  <c r="C1422" i="7"/>
  <c r="C1430" i="7"/>
  <c r="C1438" i="7"/>
  <c r="C1446" i="7"/>
  <c r="C1454" i="7"/>
  <c r="C1462" i="7"/>
  <c r="C1470" i="7"/>
  <c r="C1478" i="7"/>
  <c r="C1486" i="7"/>
  <c r="C1494" i="7"/>
  <c r="C1498" i="7"/>
  <c r="C1505" i="7"/>
  <c r="C1507" i="7"/>
  <c r="C1514" i="7"/>
  <c r="C1521" i="7"/>
  <c r="C1523" i="7"/>
  <c r="C1530" i="7"/>
  <c r="C1536" i="7"/>
  <c r="C1540" i="7"/>
  <c r="C1544" i="7"/>
  <c r="C1548" i="7"/>
  <c r="C1552" i="7"/>
  <c r="C1556" i="7"/>
  <c r="C1560" i="7"/>
  <c r="C1564" i="7"/>
  <c r="C1568" i="7"/>
  <c r="C1572" i="7"/>
  <c r="C1576" i="7"/>
  <c r="C1580" i="7"/>
  <c r="C1423" i="7"/>
  <c r="C1431" i="7"/>
  <c r="C1439" i="7"/>
  <c r="C1447" i="7"/>
  <c r="C1455" i="7"/>
  <c r="C1463" i="7"/>
  <c r="C1471" i="7"/>
  <c r="C1479" i="7"/>
  <c r="C1487" i="7"/>
  <c r="C1495" i="7"/>
  <c r="C1502" i="7"/>
  <c r="C1509" i="7"/>
  <c r="C1511" i="7"/>
  <c r="C1518" i="7"/>
  <c r="C1525" i="7"/>
  <c r="C1527" i="7"/>
  <c r="C1535" i="7"/>
  <c r="C1539" i="7"/>
  <c r="C1543" i="7"/>
  <c r="C1547" i="7"/>
  <c r="C1551" i="7"/>
  <c r="C1555" i="7"/>
  <c r="C1559" i="7"/>
  <c r="C1563" i="7"/>
  <c r="C1567" i="7"/>
  <c r="C1571" i="7"/>
  <c r="C1575" i="7"/>
  <c r="C1435" i="7"/>
  <c r="C1451" i="7"/>
  <c r="C1467" i="7"/>
  <c r="C1483" i="7"/>
  <c r="C1501" i="7"/>
  <c r="C1519" i="7"/>
  <c r="C1526" i="7"/>
  <c r="C1533" i="7"/>
  <c r="C1541" i="7"/>
  <c r="C1549" i="7"/>
  <c r="C1557" i="7"/>
  <c r="C1565" i="7"/>
  <c r="C1573" i="7"/>
  <c r="C1581" i="7"/>
  <c r="C1585" i="7"/>
  <c r="C1589" i="7"/>
  <c r="C1593" i="7"/>
  <c r="C1597" i="7"/>
  <c r="C1601" i="7"/>
  <c r="C1605" i="7"/>
  <c r="C1609" i="7"/>
  <c r="C1613" i="7"/>
  <c r="C1617" i="7"/>
  <c r="C1621" i="7"/>
  <c r="C1625" i="7"/>
  <c r="C1629" i="7"/>
  <c r="C1633" i="7"/>
  <c r="C1637" i="7"/>
  <c r="C1641" i="7"/>
  <c r="C1645" i="7"/>
  <c r="C1649" i="7"/>
  <c r="C1653" i="7"/>
  <c r="C1657" i="7"/>
  <c r="C1661" i="7"/>
  <c r="C1665" i="7"/>
  <c r="C1669" i="7"/>
  <c r="C1673" i="7"/>
  <c r="C1677" i="7"/>
  <c r="C1681" i="7"/>
  <c r="C1685" i="7"/>
  <c r="C1426" i="7"/>
  <c r="C1442" i="7"/>
  <c r="C1458" i="7"/>
  <c r="C1474" i="7"/>
  <c r="C1490" i="7"/>
  <c r="C1499" i="7"/>
  <c r="C1506" i="7"/>
  <c r="C1513" i="7"/>
  <c r="C1531" i="7"/>
  <c r="C1534" i="7"/>
  <c r="C1542" i="7"/>
  <c r="C1550" i="7"/>
  <c r="C1558" i="7"/>
  <c r="C1566" i="7"/>
  <c r="C1574" i="7"/>
  <c r="C1578" i="7"/>
  <c r="C1584" i="7"/>
  <c r="C1588" i="7"/>
  <c r="C1592" i="7"/>
  <c r="C1596" i="7"/>
  <c r="C1600" i="7"/>
  <c r="C1604" i="7"/>
  <c r="C1608" i="7"/>
  <c r="C1612" i="7"/>
  <c r="C1616" i="7"/>
  <c r="C1620" i="7"/>
  <c r="C1624" i="7"/>
  <c r="C1628" i="7"/>
  <c r="C1632" i="7"/>
  <c r="C1636" i="7"/>
  <c r="C1640" i="7"/>
  <c r="C1644" i="7"/>
  <c r="C1648" i="7"/>
  <c r="C1652" i="7"/>
  <c r="C1656" i="7"/>
  <c r="C1660" i="7"/>
  <c r="C1664" i="7"/>
  <c r="C1668" i="7"/>
  <c r="C1672" i="7"/>
  <c r="C1676" i="7"/>
  <c r="C1680" i="7"/>
  <c r="C1684" i="7"/>
  <c r="C1688" i="7"/>
  <c r="C1692" i="7"/>
  <c r="C1696" i="7"/>
  <c r="C1427" i="7"/>
  <c r="C1443" i="7"/>
  <c r="C1459" i="7"/>
  <c r="C1475" i="7"/>
  <c r="C1491" i="7"/>
  <c r="C1503" i="7"/>
  <c r="C1510" i="7"/>
  <c r="C1517" i="7"/>
  <c r="C1537" i="7"/>
  <c r="C1545" i="7"/>
  <c r="C1553" i="7"/>
  <c r="C1561" i="7"/>
  <c r="C1569" i="7"/>
  <c r="C1583" i="7"/>
  <c r="C1587" i="7"/>
  <c r="C1591" i="7"/>
  <c r="C1595" i="7"/>
  <c r="C1599" i="7"/>
  <c r="C1603" i="7"/>
  <c r="C1607" i="7"/>
  <c r="C1611" i="7"/>
  <c r="C1615" i="7"/>
  <c r="C1619" i="7"/>
  <c r="C1623" i="7"/>
  <c r="C1627" i="7"/>
  <c r="C1631" i="7"/>
  <c r="C1635" i="7"/>
  <c r="C1482" i="7"/>
  <c r="C1515" i="7"/>
  <c r="C1529" i="7"/>
  <c r="C1562" i="7"/>
  <c r="C1586" i="7"/>
  <c r="C1602" i="7"/>
  <c r="C1618" i="7"/>
  <c r="C1634" i="7"/>
  <c r="C1643" i="7"/>
  <c r="C1651" i="7"/>
  <c r="C1659" i="7"/>
  <c r="C1667" i="7"/>
  <c r="C1675" i="7"/>
  <c r="C1683" i="7"/>
  <c r="C1693" i="7"/>
  <c r="C1695" i="7"/>
  <c r="C1701" i="7"/>
  <c r="C1705" i="7"/>
  <c r="C1709" i="7"/>
  <c r="C1713" i="7"/>
  <c r="C1717" i="7"/>
  <c r="C1721" i="7"/>
  <c r="C1725" i="7"/>
  <c r="C1733" i="7"/>
  <c r="C1699" i="7"/>
  <c r="C1715" i="7"/>
  <c r="C1723" i="7"/>
  <c r="C1731" i="7"/>
  <c r="C1434" i="7"/>
  <c r="C1497" i="7"/>
  <c r="C1579" i="7"/>
  <c r="C1642" i="7"/>
  <c r="C1674" i="7"/>
  <c r="C1682" i="7"/>
  <c r="C1689" i="7"/>
  <c r="C1466" i="7"/>
  <c r="C1554" i="7"/>
  <c r="C1582" i="7"/>
  <c r="C1598" i="7"/>
  <c r="C1614" i="7"/>
  <c r="C1630" i="7"/>
  <c r="C1638" i="7"/>
  <c r="C1646" i="7"/>
  <c r="C1654" i="7"/>
  <c r="C1662" i="7"/>
  <c r="C1670" i="7"/>
  <c r="C1678" i="7"/>
  <c r="C1686" i="7"/>
  <c r="C1690" i="7"/>
  <c r="C1697" i="7"/>
  <c r="C1704" i="7"/>
  <c r="C1708" i="7"/>
  <c r="C1712" i="7"/>
  <c r="C1716" i="7"/>
  <c r="C1720" i="7"/>
  <c r="C1724" i="7"/>
  <c r="C1728" i="7"/>
  <c r="C1732" i="7"/>
  <c r="C1736" i="7"/>
  <c r="C1694" i="7"/>
  <c r="C1711" i="7"/>
  <c r="C1719" i="7"/>
  <c r="C1727" i="7"/>
  <c r="C1735" i="7"/>
  <c r="C1622" i="7"/>
  <c r="C1691" i="7"/>
  <c r="C1450" i="7"/>
  <c r="C1522" i="7"/>
  <c r="C1546" i="7"/>
  <c r="C1577" i="7"/>
  <c r="C1594" i="7"/>
  <c r="C1610" i="7"/>
  <c r="C1626" i="7"/>
  <c r="C1639" i="7"/>
  <c r="C1647" i="7"/>
  <c r="C1655" i="7"/>
  <c r="C1663" i="7"/>
  <c r="C1671" i="7"/>
  <c r="C1679" i="7"/>
  <c r="C1538" i="7"/>
  <c r="C1570" i="7"/>
  <c r="C1590" i="7"/>
  <c r="C1606" i="7"/>
  <c r="C1650" i="7"/>
  <c r="C1658" i="7"/>
  <c r="C1666" i="7"/>
  <c r="C1702" i="7"/>
  <c r="C1710" i="7"/>
  <c r="C1714" i="7"/>
  <c r="C1718" i="7"/>
  <c r="C1722" i="7"/>
  <c r="C1726" i="7"/>
  <c r="C1734" i="7"/>
  <c r="D1422" i="7"/>
  <c r="D1426" i="7"/>
  <c r="D1430" i="7"/>
  <c r="D1434" i="7"/>
  <c r="D1438" i="7"/>
  <c r="D1442" i="7"/>
  <c r="D1446" i="7"/>
  <c r="D1450" i="7"/>
  <c r="D1454" i="7"/>
  <c r="D1458" i="7"/>
  <c r="D1462" i="7"/>
  <c r="D1466" i="7"/>
  <c r="D1470" i="7"/>
  <c r="D1474" i="7"/>
  <c r="D1478" i="7"/>
  <c r="D1482" i="7"/>
  <c r="D1486" i="7"/>
  <c r="D1490" i="7"/>
  <c r="D1494" i="7"/>
  <c r="D1421" i="7"/>
  <c r="D1425" i="7"/>
  <c r="D1429" i="7"/>
  <c r="D1433" i="7"/>
  <c r="D1437" i="7"/>
  <c r="D1441" i="7"/>
  <c r="D1445" i="7"/>
  <c r="D1449" i="7"/>
  <c r="D1453" i="7"/>
  <c r="D1457" i="7"/>
  <c r="D1461" i="7"/>
  <c r="D1465" i="7"/>
  <c r="D1469" i="7"/>
  <c r="D1473" i="7"/>
  <c r="D1477" i="7"/>
  <c r="D1481" i="7"/>
  <c r="D1485" i="7"/>
  <c r="D1489" i="7"/>
  <c r="D1493" i="7"/>
  <c r="D1497" i="7"/>
  <c r="D1501" i="7"/>
  <c r="D1505" i="7"/>
  <c r="D1509" i="7"/>
  <c r="D1513" i="7"/>
  <c r="D1517" i="7"/>
  <c r="D1521" i="7"/>
  <c r="D1525" i="7"/>
  <c r="D1529" i="7"/>
  <c r="D1427" i="7"/>
  <c r="D1435" i="7"/>
  <c r="D1443" i="7"/>
  <c r="D1451" i="7"/>
  <c r="D1459" i="7"/>
  <c r="D1467" i="7"/>
  <c r="D1475" i="7"/>
  <c r="D1483" i="7"/>
  <c r="D1491" i="7"/>
  <c r="D1496" i="7"/>
  <c r="D1503" i="7"/>
  <c r="D1510" i="7"/>
  <c r="D1512" i="7"/>
  <c r="D1519" i="7"/>
  <c r="D1526" i="7"/>
  <c r="D1528" i="7"/>
  <c r="D1533" i="7"/>
  <c r="D1537" i="7"/>
  <c r="D1541" i="7"/>
  <c r="D1545" i="7"/>
  <c r="D1549" i="7"/>
  <c r="D1553" i="7"/>
  <c r="D1557" i="7"/>
  <c r="D1561" i="7"/>
  <c r="D1565" i="7"/>
  <c r="D1569" i="7"/>
  <c r="D1573" i="7"/>
  <c r="D1577" i="7"/>
  <c r="D1420" i="7"/>
  <c r="D1428" i="7"/>
  <c r="D1436" i="7"/>
  <c r="D1444" i="7"/>
  <c r="D1452" i="7"/>
  <c r="D1460" i="7"/>
  <c r="D1468" i="7"/>
  <c r="D1476" i="7"/>
  <c r="D1484" i="7"/>
  <c r="D1492" i="7"/>
  <c r="D1498" i="7"/>
  <c r="D1500" i="7"/>
  <c r="D1507" i="7"/>
  <c r="D1514" i="7"/>
  <c r="D1516" i="7"/>
  <c r="D1523" i="7"/>
  <c r="D1530" i="7"/>
  <c r="D1532" i="7"/>
  <c r="D1536" i="7"/>
  <c r="D1540" i="7"/>
  <c r="D1544" i="7"/>
  <c r="D1548" i="7"/>
  <c r="D1552" i="7"/>
  <c r="D1556" i="7"/>
  <c r="D1560" i="7"/>
  <c r="D1564" i="7"/>
  <c r="D1568" i="7"/>
  <c r="D1572" i="7"/>
  <c r="D1424" i="7"/>
  <c r="D1440" i="7"/>
  <c r="D1456" i="7"/>
  <c r="D1472" i="7"/>
  <c r="D1488" i="7"/>
  <c r="D1508" i="7"/>
  <c r="D1515" i="7"/>
  <c r="D1522" i="7"/>
  <c r="D1538" i="7"/>
  <c r="D1546" i="7"/>
  <c r="D1554" i="7"/>
  <c r="D1562" i="7"/>
  <c r="D1570" i="7"/>
  <c r="D1579" i="7"/>
  <c r="D1582" i="7"/>
  <c r="D1586" i="7"/>
  <c r="D1590" i="7"/>
  <c r="D1594" i="7"/>
  <c r="D1598" i="7"/>
  <c r="D1602" i="7"/>
  <c r="D1606" i="7"/>
  <c r="D1610" i="7"/>
  <c r="D1614" i="7"/>
  <c r="D1618" i="7"/>
  <c r="D1622" i="7"/>
  <c r="D1626" i="7"/>
  <c r="D1630" i="7"/>
  <c r="D1634" i="7"/>
  <c r="D1638" i="7"/>
  <c r="D1642" i="7"/>
  <c r="D1646" i="7"/>
  <c r="D1650" i="7"/>
  <c r="D1654" i="7"/>
  <c r="D1658" i="7"/>
  <c r="D1662" i="7"/>
  <c r="D1666" i="7"/>
  <c r="D1670" i="7"/>
  <c r="D1674" i="7"/>
  <c r="D1678" i="7"/>
  <c r="D1682" i="7"/>
  <c r="D1686" i="7"/>
  <c r="D1431" i="7"/>
  <c r="D1447" i="7"/>
  <c r="D1463" i="7"/>
  <c r="D1479" i="7"/>
  <c r="D1495" i="7"/>
  <c r="D1502" i="7"/>
  <c r="D1520" i="7"/>
  <c r="D1527" i="7"/>
  <c r="D1539" i="7"/>
  <c r="D1547" i="7"/>
  <c r="D1555" i="7"/>
  <c r="D1563" i="7"/>
  <c r="D1571" i="7"/>
  <c r="D1576" i="7"/>
  <c r="D1581" i="7"/>
  <c r="D1585" i="7"/>
  <c r="D1589" i="7"/>
  <c r="D1593" i="7"/>
  <c r="D1597" i="7"/>
  <c r="D1601" i="7"/>
  <c r="D1605" i="7"/>
  <c r="D1609" i="7"/>
  <c r="D1613" i="7"/>
  <c r="D1617" i="7"/>
  <c r="D1621" i="7"/>
  <c r="D1625" i="7"/>
  <c r="D1629" i="7"/>
  <c r="D1633" i="7"/>
  <c r="D1637" i="7"/>
  <c r="D1641" i="7"/>
  <c r="D1645" i="7"/>
  <c r="D1649" i="7"/>
  <c r="D1653" i="7"/>
  <c r="D1657" i="7"/>
  <c r="D1661" i="7"/>
  <c r="D1665" i="7"/>
  <c r="D1669" i="7"/>
  <c r="D1673" i="7"/>
  <c r="D1677" i="7"/>
  <c r="D1681" i="7"/>
  <c r="D1685" i="7"/>
  <c r="D1689" i="7"/>
  <c r="D1693" i="7"/>
  <c r="D1697" i="7"/>
  <c r="D1432" i="7"/>
  <c r="D1448" i="7"/>
  <c r="D1464" i="7"/>
  <c r="D1480" i="7"/>
  <c r="D1499" i="7"/>
  <c r="D1506" i="7"/>
  <c r="D1524" i="7"/>
  <c r="D1531" i="7"/>
  <c r="D1534" i="7"/>
  <c r="D1542" i="7"/>
  <c r="D1550" i="7"/>
  <c r="D1558" i="7"/>
  <c r="D1566" i="7"/>
  <c r="D1574" i="7"/>
  <c r="D1578" i="7"/>
  <c r="D1580" i="7"/>
  <c r="D1584" i="7"/>
  <c r="D1588" i="7"/>
  <c r="D1592" i="7"/>
  <c r="D1596" i="7"/>
  <c r="D1600" i="7"/>
  <c r="D1604" i="7"/>
  <c r="D1608" i="7"/>
  <c r="D1612" i="7"/>
  <c r="D1616" i="7"/>
  <c r="D1620" i="7"/>
  <c r="D1624" i="7"/>
  <c r="D1628" i="7"/>
  <c r="D1632" i="7"/>
  <c r="D1439" i="7"/>
  <c r="D1551" i="7"/>
  <c r="D1591" i="7"/>
  <c r="D1607" i="7"/>
  <c r="D1623" i="7"/>
  <c r="D1640" i="7"/>
  <c r="D1648" i="7"/>
  <c r="D1656" i="7"/>
  <c r="D1664" i="7"/>
  <c r="D1672" i="7"/>
  <c r="D1680" i="7"/>
  <c r="D1691" i="7"/>
  <c r="D1702" i="7"/>
  <c r="D1710" i="7"/>
  <c r="D1714" i="7"/>
  <c r="D1718" i="7"/>
  <c r="D1722" i="7"/>
  <c r="D1726" i="7"/>
  <c r="D1734" i="7"/>
  <c r="D1690" i="7"/>
  <c r="D1692" i="7"/>
  <c r="D1704" i="7"/>
  <c r="D1712" i="7"/>
  <c r="D1720" i="7"/>
  <c r="D1728" i="7"/>
  <c r="D1736" i="7"/>
  <c r="D1595" i="7"/>
  <c r="D1611" i="7"/>
  <c r="D1627" i="7"/>
  <c r="D1647" i="7"/>
  <c r="D1655" i="7"/>
  <c r="D1663" i="7"/>
  <c r="D1694" i="7"/>
  <c r="D1711" i="7"/>
  <c r="D1715" i="7"/>
  <c r="D1719" i="7"/>
  <c r="D1723" i="7"/>
  <c r="D1727" i="7"/>
  <c r="D1731" i="7"/>
  <c r="D1735" i="7"/>
  <c r="D1423" i="7"/>
  <c r="D1487" i="7"/>
  <c r="D1504" i="7"/>
  <c r="D1518" i="7"/>
  <c r="D1543" i="7"/>
  <c r="D1575" i="7"/>
  <c r="D1587" i="7"/>
  <c r="D1603" i="7"/>
  <c r="D1619" i="7"/>
  <c r="D1635" i="7"/>
  <c r="D1643" i="7"/>
  <c r="D1651" i="7"/>
  <c r="D1659" i="7"/>
  <c r="D1667" i="7"/>
  <c r="D1675" i="7"/>
  <c r="D1683" i="7"/>
  <c r="D1688" i="7"/>
  <c r="D1695" i="7"/>
  <c r="D1701" i="7"/>
  <c r="D1705" i="7"/>
  <c r="D1709" i="7"/>
  <c r="D1713" i="7"/>
  <c r="D1717" i="7"/>
  <c r="D1721" i="7"/>
  <c r="D1725" i="7"/>
  <c r="D1733" i="7"/>
  <c r="D1708" i="7"/>
  <c r="D1716" i="7"/>
  <c r="D1724" i="7"/>
  <c r="D1732" i="7"/>
  <c r="D1559" i="7"/>
  <c r="D1696" i="7"/>
  <c r="D1699" i="7"/>
  <c r="D1471" i="7"/>
  <c r="D1535" i="7"/>
  <c r="D1567" i="7"/>
  <c r="D1583" i="7"/>
  <c r="D1599" i="7"/>
  <c r="D1615" i="7"/>
  <c r="D1631" i="7"/>
  <c r="D1636" i="7"/>
  <c r="D1644" i="7"/>
  <c r="D1652" i="7"/>
  <c r="D1660" i="7"/>
  <c r="D1668" i="7"/>
  <c r="D1676" i="7"/>
  <c r="D1684" i="7"/>
  <c r="D1455" i="7"/>
  <c r="D1511" i="7"/>
  <c r="D1639" i="7"/>
  <c r="D1671" i="7"/>
  <c r="D1679" i="7"/>
  <c r="E1423" i="7"/>
  <c r="E1427" i="7"/>
  <c r="E1431" i="7"/>
  <c r="E1435" i="7"/>
  <c r="E1439" i="7"/>
  <c r="E1443" i="7"/>
  <c r="E1447" i="7"/>
  <c r="E1451" i="7"/>
  <c r="E1455" i="7"/>
  <c r="E1459" i="7"/>
  <c r="E1463" i="7"/>
  <c r="E1467" i="7"/>
  <c r="E1471" i="7"/>
  <c r="E1475" i="7"/>
  <c r="E1479" i="7"/>
  <c r="E1483" i="7"/>
  <c r="E1487" i="7"/>
  <c r="E1491" i="7"/>
  <c r="E1422" i="7"/>
  <c r="E1426" i="7"/>
  <c r="E1430" i="7"/>
  <c r="E1434" i="7"/>
  <c r="E1438" i="7"/>
  <c r="E1442" i="7"/>
  <c r="E1446" i="7"/>
  <c r="E1450" i="7"/>
  <c r="E1454" i="7"/>
  <c r="E1458" i="7"/>
  <c r="E1462" i="7"/>
  <c r="E1466" i="7"/>
  <c r="E1470" i="7"/>
  <c r="E1474" i="7"/>
  <c r="E1478" i="7"/>
  <c r="E1482" i="7"/>
  <c r="E1486" i="7"/>
  <c r="E1490" i="7"/>
  <c r="E1494" i="7"/>
  <c r="E1498" i="7"/>
  <c r="E1502" i="7"/>
  <c r="E1506" i="7"/>
  <c r="E1510" i="7"/>
  <c r="E1514" i="7"/>
  <c r="E1518" i="7"/>
  <c r="E1522" i="7"/>
  <c r="E1526" i="7"/>
  <c r="E1530" i="7"/>
  <c r="E1424" i="7"/>
  <c r="E1432" i="7"/>
  <c r="E1440" i="7"/>
  <c r="E1448" i="7"/>
  <c r="E1456" i="7"/>
  <c r="E1464" i="7"/>
  <c r="E1472" i="7"/>
  <c r="E1480" i="7"/>
  <c r="E1488" i="7"/>
  <c r="E1499" i="7"/>
  <c r="E1501" i="7"/>
  <c r="E1508" i="7"/>
  <c r="E1515" i="7"/>
  <c r="E1517" i="7"/>
  <c r="E1524" i="7"/>
  <c r="E1531" i="7"/>
  <c r="E1534" i="7"/>
  <c r="E1538" i="7"/>
  <c r="E1542" i="7"/>
  <c r="E1546" i="7"/>
  <c r="E1550" i="7"/>
  <c r="E1554" i="7"/>
  <c r="E1558" i="7"/>
  <c r="E1562" i="7"/>
  <c r="E1566" i="7"/>
  <c r="E1570" i="7"/>
  <c r="E1574" i="7"/>
  <c r="E1578" i="7"/>
  <c r="E1425" i="7"/>
  <c r="E1433" i="7"/>
  <c r="E1441" i="7"/>
  <c r="E1449" i="7"/>
  <c r="E1457" i="7"/>
  <c r="E1465" i="7"/>
  <c r="E1473" i="7"/>
  <c r="E1481" i="7"/>
  <c r="E1489" i="7"/>
  <c r="E1496" i="7"/>
  <c r="E1503" i="7"/>
  <c r="E1505" i="7"/>
  <c r="E1512" i="7"/>
  <c r="E1519" i="7"/>
  <c r="E1521" i="7"/>
  <c r="E1528" i="7"/>
  <c r="E1533" i="7"/>
  <c r="E1537" i="7"/>
  <c r="E1541" i="7"/>
  <c r="E1545" i="7"/>
  <c r="E1549" i="7"/>
  <c r="E1553" i="7"/>
  <c r="E1557" i="7"/>
  <c r="E1561" i="7"/>
  <c r="E1565" i="7"/>
  <c r="E1569" i="7"/>
  <c r="E1573" i="7"/>
  <c r="E1429" i="7"/>
  <c r="E1445" i="7"/>
  <c r="E1461" i="7"/>
  <c r="E1477" i="7"/>
  <c r="E1493" i="7"/>
  <c r="E1497" i="7"/>
  <c r="E1504" i="7"/>
  <c r="E1511" i="7"/>
  <c r="E1529" i="7"/>
  <c r="E1535" i="7"/>
  <c r="E1543" i="7"/>
  <c r="E1551" i="7"/>
  <c r="E1559" i="7"/>
  <c r="E1567" i="7"/>
  <c r="E1575" i="7"/>
  <c r="E1577" i="7"/>
  <c r="E1583" i="7"/>
  <c r="E1587" i="7"/>
  <c r="E1591" i="7"/>
  <c r="E1595" i="7"/>
  <c r="E1599" i="7"/>
  <c r="E1603" i="7"/>
  <c r="E1607" i="7"/>
  <c r="E1611" i="7"/>
  <c r="E1615" i="7"/>
  <c r="E1619" i="7"/>
  <c r="E1623" i="7"/>
  <c r="E1627" i="7"/>
  <c r="E1631" i="7"/>
  <c r="E1635" i="7"/>
  <c r="E1639" i="7"/>
  <c r="E1643" i="7"/>
  <c r="E1647" i="7"/>
  <c r="E1651" i="7"/>
  <c r="E1655" i="7"/>
  <c r="E1659" i="7"/>
  <c r="E1663" i="7"/>
  <c r="E1667" i="7"/>
  <c r="E1671" i="7"/>
  <c r="E1675" i="7"/>
  <c r="E1679" i="7"/>
  <c r="E1683" i="7"/>
  <c r="E1420" i="7"/>
  <c r="E1436" i="7"/>
  <c r="E1452" i="7"/>
  <c r="E1468" i="7"/>
  <c r="E1484" i="7"/>
  <c r="E1509" i="7"/>
  <c r="E1516" i="7"/>
  <c r="E1523" i="7"/>
  <c r="E1536" i="7"/>
  <c r="E1544" i="7"/>
  <c r="E1552" i="7"/>
  <c r="E1560" i="7"/>
  <c r="E1568" i="7"/>
  <c r="E1579" i="7"/>
  <c r="E1582" i="7"/>
  <c r="E1586" i="7"/>
  <c r="E1590" i="7"/>
  <c r="E1594" i="7"/>
  <c r="E1598" i="7"/>
  <c r="E1602" i="7"/>
  <c r="E1606" i="7"/>
  <c r="E1610" i="7"/>
  <c r="E1614" i="7"/>
  <c r="E1618" i="7"/>
  <c r="E1622" i="7"/>
  <c r="E1626" i="7"/>
  <c r="E1630" i="7"/>
  <c r="E1634" i="7"/>
  <c r="E1638" i="7"/>
  <c r="E1642" i="7"/>
  <c r="E1646" i="7"/>
  <c r="E1650" i="7"/>
  <c r="E1654" i="7"/>
  <c r="E1658" i="7"/>
  <c r="E1662" i="7"/>
  <c r="E1666" i="7"/>
  <c r="E1670" i="7"/>
  <c r="E1674" i="7"/>
  <c r="E1678" i="7"/>
  <c r="E1682" i="7"/>
  <c r="E1686" i="7"/>
  <c r="E1690" i="7"/>
  <c r="E1694" i="7"/>
  <c r="E1421" i="7"/>
  <c r="E1437" i="7"/>
  <c r="E1453" i="7"/>
  <c r="E1469" i="7"/>
  <c r="E1485" i="7"/>
  <c r="E1495" i="7"/>
  <c r="E1513" i="7"/>
  <c r="E1520" i="7"/>
  <c r="E1527" i="7"/>
  <c r="E1539" i="7"/>
  <c r="E1547" i="7"/>
  <c r="E1555" i="7"/>
  <c r="E1563" i="7"/>
  <c r="E1571" i="7"/>
  <c r="E1576" i="7"/>
  <c r="E1581" i="7"/>
  <c r="E1585" i="7"/>
  <c r="E1589" i="7"/>
  <c r="E1593" i="7"/>
  <c r="E1597" i="7"/>
  <c r="E1601" i="7"/>
  <c r="E1605" i="7"/>
  <c r="E1609" i="7"/>
  <c r="E1613" i="7"/>
  <c r="E1617" i="7"/>
  <c r="E1621" i="7"/>
  <c r="E1625" i="7"/>
  <c r="E1629" i="7"/>
  <c r="E1633" i="7"/>
  <c r="E1460" i="7"/>
  <c r="E1500" i="7"/>
  <c r="E1540" i="7"/>
  <c r="E1572" i="7"/>
  <c r="E1580" i="7"/>
  <c r="E1596" i="7"/>
  <c r="E1612" i="7"/>
  <c r="E1628" i="7"/>
  <c r="E1637" i="7"/>
  <c r="E1645" i="7"/>
  <c r="E1653" i="7"/>
  <c r="E1661" i="7"/>
  <c r="E1669" i="7"/>
  <c r="E1677" i="7"/>
  <c r="E1685" i="7"/>
  <c r="E1689" i="7"/>
  <c r="E1696" i="7"/>
  <c r="E1699" i="7"/>
  <c r="E1711" i="7"/>
  <c r="E1715" i="7"/>
  <c r="E1719" i="7"/>
  <c r="E1723" i="7"/>
  <c r="E1727" i="7"/>
  <c r="E1731" i="7"/>
  <c r="E1735" i="7"/>
  <c r="E1695" i="7"/>
  <c r="E1701" i="7"/>
  <c r="E1709" i="7"/>
  <c r="E1717" i="7"/>
  <c r="E1725" i="7"/>
  <c r="E1733" i="7"/>
  <c r="E1548" i="7"/>
  <c r="E1692" i="7"/>
  <c r="E1704" i="7"/>
  <c r="E1708" i="7"/>
  <c r="E1444" i="7"/>
  <c r="E1532" i="7"/>
  <c r="E1564" i="7"/>
  <c r="E1592" i="7"/>
  <c r="E1608" i="7"/>
  <c r="E1624" i="7"/>
  <c r="E1640" i="7"/>
  <c r="E1648" i="7"/>
  <c r="E1656" i="7"/>
  <c r="E1664" i="7"/>
  <c r="E1672" i="7"/>
  <c r="E1680" i="7"/>
  <c r="E1691" i="7"/>
  <c r="E1693" i="7"/>
  <c r="E1702" i="7"/>
  <c r="E1710" i="7"/>
  <c r="E1714" i="7"/>
  <c r="E1718" i="7"/>
  <c r="E1722" i="7"/>
  <c r="E1726" i="7"/>
  <c r="E1734" i="7"/>
  <c r="E1688" i="7"/>
  <c r="E1697" i="7"/>
  <c r="E1705" i="7"/>
  <c r="E1713" i="7"/>
  <c r="E1721" i="7"/>
  <c r="E1476" i="7"/>
  <c r="E1525" i="7"/>
  <c r="E1584" i="7"/>
  <c r="E1600" i="7"/>
  <c r="E1636" i="7"/>
  <c r="E1644" i="7"/>
  <c r="E1652" i="7"/>
  <c r="E1660" i="7"/>
  <c r="E1668" i="7"/>
  <c r="E1676" i="7"/>
  <c r="E1684" i="7"/>
  <c r="E1712" i="7"/>
  <c r="E1716" i="7"/>
  <c r="E1720" i="7"/>
  <c r="E1724" i="7"/>
  <c r="E1728" i="7"/>
  <c r="E1732" i="7"/>
  <c r="E1736" i="7"/>
  <c r="E1428" i="7"/>
  <c r="E1492" i="7"/>
  <c r="E1507" i="7"/>
  <c r="E1556" i="7"/>
  <c r="E1588" i="7"/>
  <c r="E1604" i="7"/>
  <c r="E1620" i="7"/>
  <c r="E1641" i="7"/>
  <c r="E1649" i="7"/>
  <c r="E1657" i="7"/>
  <c r="E1665" i="7"/>
  <c r="E1673" i="7"/>
  <c r="E1681" i="7"/>
  <c r="E1616" i="7"/>
  <c r="E1632" i="7"/>
  <c r="E380" i="5"/>
  <c r="E1409" i="6" s="1"/>
  <c r="E382" i="5"/>
  <c r="E1311" i="7" s="1"/>
  <c r="E384" i="5"/>
  <c r="E1261" i="6" s="1"/>
  <c r="E386" i="5"/>
  <c r="E1082" i="6" s="1"/>
  <c r="E388" i="5"/>
  <c r="E1142" i="7" s="1"/>
  <c r="E390" i="5"/>
  <c r="E1419" i="6" s="1"/>
  <c r="E392" i="5"/>
  <c r="E1421" i="6" s="1"/>
  <c r="E394" i="5"/>
  <c r="E1118" i="6" s="1"/>
  <c r="E396" i="5"/>
  <c r="E1425" i="6" s="1"/>
  <c r="E398" i="5"/>
  <c r="E1273" i="6" s="1"/>
  <c r="E400" i="5"/>
  <c r="E1274" i="6" s="1"/>
  <c r="E402" i="5"/>
  <c r="E1125" i="6" s="1"/>
  <c r="E404" i="5"/>
  <c r="E978" i="7" s="1"/>
  <c r="E406" i="5"/>
  <c r="E1129" i="6" s="1"/>
  <c r="E408" i="5"/>
  <c r="E1281" i="6" s="1"/>
  <c r="E410" i="5"/>
  <c r="E1439" i="6" s="1"/>
  <c r="E412" i="5"/>
  <c r="E1133" i="6" s="1"/>
  <c r="E414" i="5"/>
  <c r="E1135" i="6" s="1"/>
  <c r="E416" i="5"/>
  <c r="E1170" i="7" s="1"/>
  <c r="E418" i="5"/>
  <c r="E1290" i="6" s="1"/>
  <c r="E420" i="5"/>
  <c r="E1449" i="6" s="1"/>
  <c r="E422" i="5"/>
  <c r="E1176" i="7" s="1"/>
  <c r="E424" i="5"/>
  <c r="E1144" i="6" s="1"/>
  <c r="E426" i="5"/>
  <c r="E1297" i="6" s="1"/>
  <c r="E428" i="5"/>
  <c r="E1333" i="7" s="1"/>
  <c r="E430" i="5"/>
  <c r="E1184" i="7" s="1"/>
  <c r="E379" i="5"/>
  <c r="E1081" i="6" s="1"/>
  <c r="E381" i="5"/>
  <c r="E1258" i="6" s="1"/>
  <c r="E383" i="5"/>
  <c r="E1109" i="6" s="1"/>
  <c r="E385" i="5"/>
  <c r="E1262" i="6" s="1"/>
  <c r="E387" i="5"/>
  <c r="E1416" i="6" s="1"/>
  <c r="E389" i="5"/>
  <c r="E1265" i="6" s="1"/>
  <c r="E391" i="5"/>
  <c r="E1110" i="7" s="1"/>
  <c r="E393" i="5"/>
  <c r="E1147" i="7" s="1"/>
  <c r="E395" i="5"/>
  <c r="E1149" i="7" s="1"/>
  <c r="E397" i="5"/>
  <c r="E1272" i="6" s="1"/>
  <c r="E399" i="5"/>
  <c r="E1428" i="6" s="1"/>
  <c r="E401" i="5"/>
  <c r="E1124" i="6" s="1"/>
  <c r="E403" i="5"/>
  <c r="E1126" i="6" s="1"/>
  <c r="E405" i="5"/>
  <c r="E1159" i="7" s="1"/>
  <c r="E407" i="5"/>
  <c r="E1436" i="6" s="1"/>
  <c r="E409" i="5"/>
  <c r="E1131" i="6" s="1"/>
  <c r="E411" i="5"/>
  <c r="E1086" i="6" s="1"/>
  <c r="E413" i="5"/>
  <c r="E1134" i="6" s="1"/>
  <c r="E415" i="5"/>
  <c r="E1136" i="6" s="1"/>
  <c r="E417" i="5"/>
  <c r="E1446" i="6" s="1"/>
  <c r="E419" i="5"/>
  <c r="E1087" i="6" s="1"/>
  <c r="E421" i="5"/>
  <c r="E1141" i="6" s="1"/>
  <c r="E423" i="5"/>
  <c r="E1294" i="6" s="1"/>
  <c r="E425" i="5"/>
  <c r="E1145" i="6" s="1"/>
  <c r="E427" i="5"/>
  <c r="E1456" i="6" s="1"/>
  <c r="E429" i="5"/>
  <c r="E1458" i="6" s="1"/>
  <c r="E431" i="5"/>
  <c r="E1001" i="7" s="1"/>
  <c r="E434" i="5"/>
  <c r="E1004" i="7" s="1"/>
  <c r="E435" i="5"/>
  <c r="E1339" i="7" s="1"/>
  <c r="E436" i="5"/>
  <c r="E1306" i="6" s="1"/>
  <c r="E438" i="5"/>
  <c r="E1341" i="7" s="1"/>
  <c r="E440" i="5"/>
  <c r="E1158" i="6" s="1"/>
  <c r="E442" i="5"/>
  <c r="E1160" i="6" s="1"/>
  <c r="E444" i="5"/>
  <c r="E1473" i="6" s="1"/>
  <c r="E446" i="5"/>
  <c r="E1390" i="7" s="1"/>
  <c r="E448" i="5"/>
  <c r="E1165" i="6" s="1"/>
  <c r="E450" i="5"/>
  <c r="E1018" i="7" s="1"/>
  <c r="E437" i="5"/>
  <c r="E1466" i="6" s="1"/>
  <c r="E445" i="5"/>
  <c r="E1353" i="7" s="1"/>
  <c r="E454" i="5"/>
  <c r="E1355" i="7" s="1"/>
  <c r="E455" i="5"/>
  <c r="E1171" i="6" s="1"/>
  <c r="E462" i="5"/>
  <c r="E1491" i="6" s="1"/>
  <c r="E463" i="5"/>
  <c r="E470" i="5"/>
  <c r="E1035" i="7" s="1"/>
  <c r="E471" i="5"/>
  <c r="E1036" i="7" s="1"/>
  <c r="E443" i="5"/>
  <c r="E1161" i="6" s="1"/>
  <c r="E456" i="5"/>
  <c r="E1485" i="6" s="1"/>
  <c r="E457" i="5"/>
  <c r="E1024" i="7" s="1"/>
  <c r="E464" i="5"/>
  <c r="E1493" i="6" s="1"/>
  <c r="E465" i="5"/>
  <c r="E1180" i="6" s="1"/>
  <c r="E472" i="5"/>
  <c r="E473" i="5"/>
  <c r="E1187" i="6" s="1"/>
  <c r="E477" i="5"/>
  <c r="E1190" i="6" s="1"/>
  <c r="E479" i="5"/>
  <c r="E1508" i="6" s="1"/>
  <c r="E481" i="5"/>
  <c r="E483" i="5"/>
  <c r="E1346" i="6" s="1"/>
  <c r="E485" i="5"/>
  <c r="E1239" i="7" s="1"/>
  <c r="E487" i="5"/>
  <c r="E1198" i="6" s="1"/>
  <c r="E489" i="5"/>
  <c r="E1518" i="6" s="1"/>
  <c r="E491" i="5"/>
  <c r="E1202" i="6" s="1"/>
  <c r="E493" i="5"/>
  <c r="E1372" i="7" s="1"/>
  <c r="E495" i="5"/>
  <c r="E1056" i="7" s="1"/>
  <c r="E497" i="5"/>
  <c r="E1058" i="7" s="1"/>
  <c r="E499" i="5"/>
  <c r="E1253" i="7" s="1"/>
  <c r="E501" i="5"/>
  <c r="E1210" i="6" s="1"/>
  <c r="E503" i="5"/>
  <c r="E1257" i="7" s="1"/>
  <c r="E505" i="5"/>
  <c r="E1365" i="6" s="1"/>
  <c r="E507" i="5"/>
  <c r="E1366" i="6" s="1"/>
  <c r="E509" i="5"/>
  <c r="E1368" i="6" s="1"/>
  <c r="E511" i="5"/>
  <c r="E1540" i="6" s="1"/>
  <c r="E432" i="5"/>
  <c r="E441" i="5"/>
  <c r="E1470" i="6" s="1"/>
  <c r="E449" i="5"/>
  <c r="E1203" i="7" s="1"/>
  <c r="E451" i="5"/>
  <c r="E1352" i="7" s="1"/>
  <c r="E458" i="5"/>
  <c r="E1487" i="6" s="1"/>
  <c r="E459" i="5"/>
  <c r="E1213" i="7" s="1"/>
  <c r="E466" i="5"/>
  <c r="E1181" i="6" s="1"/>
  <c r="E467" i="5"/>
  <c r="E1182" i="6" s="1"/>
  <c r="E474" i="5"/>
  <c r="E1363" i="7" s="1"/>
  <c r="E475" i="5"/>
  <c r="E1229" i="7" s="1"/>
  <c r="E433" i="5"/>
  <c r="E1187" i="7" s="1"/>
  <c r="E439" i="5"/>
  <c r="E1157" i="6" s="1"/>
  <c r="E447" i="5"/>
  <c r="E1476" i="6" s="1"/>
  <c r="E452" i="5"/>
  <c r="E1091" i="6" s="1"/>
  <c r="E453" i="5"/>
  <c r="E1482" i="6" s="1"/>
  <c r="E460" i="5"/>
  <c r="E1489" i="6" s="1"/>
  <c r="E461" i="5"/>
  <c r="E468" i="5"/>
  <c r="E1093" i="6" s="1"/>
  <c r="E469" i="5"/>
  <c r="E1334" i="6" s="1"/>
  <c r="E476" i="5"/>
  <c r="E1189" i="6" s="1"/>
  <c r="E478" i="5"/>
  <c r="E1042" i="7" s="1"/>
  <c r="E480" i="5"/>
  <c r="E1044" i="7" s="1"/>
  <c r="E482" i="5"/>
  <c r="E1095" i="6" s="1"/>
  <c r="E484" i="5"/>
  <c r="E1196" i="6" s="1"/>
  <c r="E486" i="5"/>
  <c r="E488" i="5"/>
  <c r="E1517" i="6" s="1"/>
  <c r="E490" i="5"/>
  <c r="E1052" i="7" s="1"/>
  <c r="E492" i="5"/>
  <c r="E1354" i="6" s="1"/>
  <c r="E494" i="5"/>
  <c r="E1355" i="6" s="1"/>
  <c r="E496" i="5"/>
  <c r="E1525" i="6" s="1"/>
  <c r="E498" i="5"/>
  <c r="E1098" i="6" s="1"/>
  <c r="E500" i="5"/>
  <c r="E1209" i="6" s="1"/>
  <c r="E506" i="5"/>
  <c r="E508" i="5"/>
  <c r="E1067" i="7" s="1"/>
  <c r="E513" i="5"/>
  <c r="E1221" i="6" s="1"/>
  <c r="E515" i="5"/>
  <c r="E1100" i="6" s="1"/>
  <c r="E517" i="5"/>
  <c r="E519" i="5"/>
  <c r="E1077" i="7" s="1"/>
  <c r="E521" i="5"/>
  <c r="E1378" i="6" s="1"/>
  <c r="E523" i="5"/>
  <c r="E1380" i="6" s="1"/>
  <c r="E525" i="5"/>
  <c r="E1102" i="6" s="1"/>
  <c r="E527" i="5"/>
  <c r="E1281" i="7" s="1"/>
  <c r="E529" i="5"/>
  <c r="E1385" i="6" s="1"/>
  <c r="E531" i="5"/>
  <c r="E1236" i="6" s="1"/>
  <c r="E533" i="5"/>
  <c r="E1238" i="6" s="1"/>
  <c r="E535" i="5"/>
  <c r="E1239" i="6" s="1"/>
  <c r="E537" i="5"/>
  <c r="E1241" i="6" s="1"/>
  <c r="E553" i="5"/>
  <c r="E1255" i="6" s="1"/>
  <c r="E555" i="5"/>
  <c r="E1417" i="7" s="1"/>
  <c r="E504" i="5"/>
  <c r="E1064" i="7" s="1"/>
  <c r="E510" i="5"/>
  <c r="E1218" i="6" s="1"/>
  <c r="E539" i="5"/>
  <c r="E1568" i="6" s="1"/>
  <c r="E543" i="5"/>
  <c r="E1572" i="6" s="1"/>
  <c r="E545" i="5"/>
  <c r="E1574" i="6" s="1"/>
  <c r="E549" i="5"/>
  <c r="E1251" i="6" s="1"/>
  <c r="E551" i="5"/>
  <c r="E1253" i="6" s="1"/>
  <c r="E502" i="5"/>
  <c r="E1211" i="6" s="1"/>
  <c r="E512" i="5"/>
  <c r="E1071" i="7" s="1"/>
  <c r="E514" i="5"/>
  <c r="E1073" i="7" s="1"/>
  <c r="E516" i="5"/>
  <c r="E1223" i="6" s="1"/>
  <c r="E518" i="5"/>
  <c r="E1076" i="7" s="1"/>
  <c r="E520" i="5"/>
  <c r="E1101" i="6" s="1"/>
  <c r="E522" i="5"/>
  <c r="E1551" i="6" s="1"/>
  <c r="E524" i="5"/>
  <c r="E1230" i="6" s="1"/>
  <c r="E526" i="5"/>
  <c r="E1555" i="6" s="1"/>
  <c r="E528" i="5"/>
  <c r="E1084" i="7" s="1"/>
  <c r="E530" i="5"/>
  <c r="E1559" i="6" s="1"/>
  <c r="E532" i="5"/>
  <c r="E1237" i="6" s="1"/>
  <c r="E534" i="5"/>
  <c r="E536" i="5"/>
  <c r="E1290" i="7" s="1"/>
  <c r="E538" i="5"/>
  <c r="E1292" i="7" s="1"/>
  <c r="E540" i="5"/>
  <c r="E1395" i="6" s="1"/>
  <c r="E542" i="5"/>
  <c r="E1396" i="6" s="1"/>
  <c r="E544" i="5"/>
  <c r="E1398" i="6" s="1"/>
  <c r="E546" i="5"/>
  <c r="E1100" i="7" s="1"/>
  <c r="E548" i="5"/>
  <c r="E1250" i="6" s="1"/>
  <c r="E550" i="5"/>
  <c r="E552" i="5"/>
  <c r="E1254" i="6" s="1"/>
  <c r="E554" i="5"/>
  <c r="E1308" i="7" s="1"/>
  <c r="E541" i="5"/>
  <c r="E1104" i="6" s="1"/>
  <c r="E547" i="5"/>
  <c r="E1576" i="6" s="1"/>
  <c r="I380" i="5"/>
  <c r="I382" i="5"/>
  <c r="I384" i="5"/>
  <c r="I386" i="5"/>
  <c r="I388" i="5"/>
  <c r="I390" i="5"/>
  <c r="I392" i="5"/>
  <c r="I394" i="5"/>
  <c r="I396" i="5"/>
  <c r="I398" i="5"/>
  <c r="I400" i="5"/>
  <c r="I402" i="5"/>
  <c r="I404" i="5"/>
  <c r="I406" i="5"/>
  <c r="I408" i="5"/>
  <c r="I410" i="5"/>
  <c r="I412" i="5"/>
  <c r="I414" i="5"/>
  <c r="I416" i="5"/>
  <c r="I418" i="5"/>
  <c r="I420" i="5"/>
  <c r="I422" i="5"/>
  <c r="I424" i="5"/>
  <c r="I426" i="5"/>
  <c r="I428" i="5"/>
  <c r="I430" i="5"/>
  <c r="I379" i="5"/>
  <c r="I381" i="5"/>
  <c r="I383" i="5"/>
  <c r="I385" i="5"/>
  <c r="I387" i="5"/>
  <c r="I389" i="5"/>
  <c r="I391" i="5"/>
  <c r="I393" i="5"/>
  <c r="I395" i="5"/>
  <c r="I397" i="5"/>
  <c r="I399" i="5"/>
  <c r="I401" i="5"/>
  <c r="I403" i="5"/>
  <c r="I405" i="5"/>
  <c r="I407" i="5"/>
  <c r="I409" i="5"/>
  <c r="I411" i="5"/>
  <c r="I413" i="5"/>
  <c r="I415" i="5"/>
  <c r="I417" i="5"/>
  <c r="I419" i="5"/>
  <c r="I421" i="5"/>
  <c r="I423" i="5"/>
  <c r="I425" i="5"/>
  <c r="I427" i="5"/>
  <c r="I429" i="5"/>
  <c r="I431" i="5"/>
  <c r="I436" i="5"/>
  <c r="I438" i="5"/>
  <c r="I440" i="5"/>
  <c r="I442" i="5"/>
  <c r="I444" i="5"/>
  <c r="I446" i="5"/>
  <c r="I448" i="5"/>
  <c r="I432" i="5"/>
  <c r="I433" i="5"/>
  <c r="I439" i="5"/>
  <c r="I447" i="5"/>
  <c r="I456" i="5"/>
  <c r="I457" i="5"/>
  <c r="I464" i="5"/>
  <c r="I465" i="5"/>
  <c r="I472" i="5"/>
  <c r="I473" i="5"/>
  <c r="I434" i="5"/>
  <c r="I437" i="5"/>
  <c r="I445" i="5"/>
  <c r="I450" i="5"/>
  <c r="I451" i="5"/>
  <c r="I458" i="5"/>
  <c r="I459" i="5"/>
  <c r="I466" i="5"/>
  <c r="I467" i="5"/>
  <c r="I474" i="5"/>
  <c r="I475" i="5"/>
  <c r="I477" i="5"/>
  <c r="I479" i="5"/>
  <c r="I481" i="5"/>
  <c r="I483" i="5"/>
  <c r="I485" i="5"/>
  <c r="I487" i="5"/>
  <c r="I489" i="5"/>
  <c r="I491" i="5"/>
  <c r="I493" i="5"/>
  <c r="I495" i="5"/>
  <c r="I497" i="5"/>
  <c r="I499" i="5"/>
  <c r="I501" i="5"/>
  <c r="I503" i="5"/>
  <c r="I505" i="5"/>
  <c r="I507" i="5"/>
  <c r="I509" i="5"/>
  <c r="I511" i="5"/>
  <c r="I435" i="5"/>
  <c r="I443" i="5"/>
  <c r="I452" i="5"/>
  <c r="I453" i="5"/>
  <c r="I460" i="5"/>
  <c r="I461" i="5"/>
  <c r="I468" i="5"/>
  <c r="I469" i="5"/>
  <c r="I441" i="5"/>
  <c r="I449" i="5"/>
  <c r="I454" i="5"/>
  <c r="I455" i="5"/>
  <c r="I462" i="5"/>
  <c r="I463" i="5"/>
  <c r="I470" i="5"/>
  <c r="I471" i="5"/>
  <c r="I476" i="5"/>
  <c r="I478" i="5"/>
  <c r="I480" i="5"/>
  <c r="I482" i="5"/>
  <c r="I484" i="5"/>
  <c r="I486" i="5"/>
  <c r="I488" i="5"/>
  <c r="I490" i="5"/>
  <c r="I492" i="5"/>
  <c r="I494" i="5"/>
  <c r="I496" i="5"/>
  <c r="I498" i="5"/>
  <c r="I500" i="5"/>
  <c r="I510" i="5"/>
  <c r="I513" i="5"/>
  <c r="I515" i="5"/>
  <c r="I517" i="5"/>
  <c r="I519" i="5"/>
  <c r="I521" i="5"/>
  <c r="I523" i="5"/>
  <c r="I525" i="5"/>
  <c r="I527" i="5"/>
  <c r="I529" i="5"/>
  <c r="I531" i="5"/>
  <c r="I533" i="5"/>
  <c r="I535" i="5"/>
  <c r="I541" i="5"/>
  <c r="I543" i="5"/>
  <c r="I547" i="5"/>
  <c r="I504" i="5"/>
  <c r="I506" i="5"/>
  <c r="I512" i="5"/>
  <c r="I514" i="5"/>
  <c r="I516" i="5"/>
  <c r="I518" i="5"/>
  <c r="I520" i="5"/>
  <c r="I522" i="5"/>
  <c r="I524" i="5"/>
  <c r="I526" i="5"/>
  <c r="I528" i="5"/>
  <c r="I530" i="5"/>
  <c r="I532" i="5"/>
  <c r="I534" i="5"/>
  <c r="I536" i="5"/>
  <c r="I538" i="5"/>
  <c r="I540" i="5"/>
  <c r="I542" i="5"/>
  <c r="I544" i="5"/>
  <c r="I546" i="5"/>
  <c r="I548" i="5"/>
  <c r="I550" i="5"/>
  <c r="I552" i="5"/>
  <c r="I554" i="5"/>
  <c r="I502" i="5"/>
  <c r="I508" i="5"/>
  <c r="I537" i="5"/>
  <c r="I539" i="5"/>
  <c r="I545" i="5"/>
  <c r="I549" i="5"/>
  <c r="I551" i="5"/>
  <c r="I553" i="5"/>
  <c r="I555" i="5"/>
  <c r="F380" i="5"/>
  <c r="F382" i="5"/>
  <c r="F384" i="5"/>
  <c r="F386" i="5"/>
  <c r="F388" i="5"/>
  <c r="F390" i="5"/>
  <c r="F392" i="5"/>
  <c r="F394" i="5"/>
  <c r="F396" i="5"/>
  <c r="F398" i="5"/>
  <c r="F400" i="5"/>
  <c r="F402" i="5"/>
  <c r="F404" i="5"/>
  <c r="F406" i="5"/>
  <c r="F408" i="5"/>
  <c r="F410" i="5"/>
  <c r="F412" i="5"/>
  <c r="F414" i="5"/>
  <c r="F416" i="5"/>
  <c r="F418" i="5"/>
  <c r="F420" i="5"/>
  <c r="F422" i="5"/>
  <c r="F424" i="5"/>
  <c r="F426" i="5"/>
  <c r="F428" i="5"/>
  <c r="F430" i="5"/>
  <c r="F432" i="5"/>
  <c r="F434" i="5"/>
  <c r="F383" i="5"/>
  <c r="F391" i="5"/>
  <c r="F399" i="5"/>
  <c r="F407" i="5"/>
  <c r="F415" i="5"/>
  <c r="F423" i="5"/>
  <c r="F431" i="5"/>
  <c r="F433" i="5"/>
  <c r="F437" i="5"/>
  <c r="F439" i="5"/>
  <c r="F441" i="5"/>
  <c r="F443" i="5"/>
  <c r="F445" i="5"/>
  <c r="F447" i="5"/>
  <c r="F449" i="5"/>
  <c r="F381" i="5"/>
  <c r="F389" i="5"/>
  <c r="F397" i="5"/>
  <c r="F405" i="5"/>
  <c r="F413" i="5"/>
  <c r="F421" i="5"/>
  <c r="F429" i="5"/>
  <c r="F435" i="5"/>
  <c r="F379" i="5"/>
  <c r="F387" i="5"/>
  <c r="F395" i="5"/>
  <c r="F403" i="5"/>
  <c r="F411" i="5"/>
  <c r="F419" i="5"/>
  <c r="F427" i="5"/>
  <c r="F436" i="5"/>
  <c r="F438" i="5"/>
  <c r="F440" i="5"/>
  <c r="F442" i="5"/>
  <c r="F444" i="5"/>
  <c r="F446" i="5"/>
  <c r="F448" i="5"/>
  <c r="F450" i="5"/>
  <c r="F452" i="5"/>
  <c r="F454" i="5"/>
  <c r="F456" i="5"/>
  <c r="F458" i="5"/>
  <c r="F460" i="5"/>
  <c r="F462" i="5"/>
  <c r="F464" i="5"/>
  <c r="F466" i="5"/>
  <c r="F468" i="5"/>
  <c r="F470" i="5"/>
  <c r="F472" i="5"/>
  <c r="F474" i="5"/>
  <c r="F385" i="5"/>
  <c r="F417" i="5"/>
  <c r="F453" i="5"/>
  <c r="F461" i="5"/>
  <c r="F469" i="5"/>
  <c r="F476" i="5"/>
  <c r="F478" i="5"/>
  <c r="F480" i="5"/>
  <c r="F482" i="5"/>
  <c r="F484" i="5"/>
  <c r="F486" i="5"/>
  <c r="F488" i="5"/>
  <c r="F490" i="5"/>
  <c r="F492" i="5"/>
  <c r="F494" i="5"/>
  <c r="F496" i="5"/>
  <c r="F498" i="5"/>
  <c r="F500" i="5"/>
  <c r="F502" i="5"/>
  <c r="F504" i="5"/>
  <c r="F409" i="5"/>
  <c r="F455" i="5"/>
  <c r="F463" i="5"/>
  <c r="F471" i="5"/>
  <c r="F401" i="5"/>
  <c r="F457" i="5"/>
  <c r="F465" i="5"/>
  <c r="F473" i="5"/>
  <c r="F477" i="5"/>
  <c r="F479" i="5"/>
  <c r="F481" i="5"/>
  <c r="F483" i="5"/>
  <c r="F485" i="5"/>
  <c r="F487" i="5"/>
  <c r="F489" i="5"/>
  <c r="F491" i="5"/>
  <c r="F493" i="5"/>
  <c r="F495" i="5"/>
  <c r="F497" i="5"/>
  <c r="F499" i="5"/>
  <c r="F501" i="5"/>
  <c r="F503" i="5"/>
  <c r="F505" i="5"/>
  <c r="F393" i="5"/>
  <c r="F425" i="5"/>
  <c r="F451" i="5"/>
  <c r="F459" i="5"/>
  <c r="F467" i="5"/>
  <c r="F475" i="5"/>
  <c r="F507" i="5"/>
  <c r="F506" i="5"/>
  <c r="F508" i="5"/>
  <c r="F509" i="5"/>
  <c r="F513" i="5"/>
  <c r="F515" i="5"/>
  <c r="F517" i="5"/>
  <c r="F519" i="5"/>
  <c r="F521" i="5"/>
  <c r="F523" i="5"/>
  <c r="F525" i="5"/>
  <c r="F527" i="5"/>
  <c r="F529" i="5"/>
  <c r="F531" i="5"/>
  <c r="F533" i="5"/>
  <c r="F535" i="5"/>
  <c r="F537" i="5"/>
  <c r="F539" i="5"/>
  <c r="F541" i="5"/>
  <c r="F543" i="5"/>
  <c r="F545" i="5"/>
  <c r="F547" i="5"/>
  <c r="F549" i="5"/>
  <c r="F551" i="5"/>
  <c r="F553" i="5"/>
  <c r="F555" i="5"/>
  <c r="F510" i="5"/>
  <c r="F511" i="5"/>
  <c r="F512" i="5"/>
  <c r="F514" i="5"/>
  <c r="F516" i="5"/>
  <c r="F518" i="5"/>
  <c r="F520" i="5"/>
  <c r="F522" i="5"/>
  <c r="F524" i="5"/>
  <c r="F526" i="5"/>
  <c r="F528" i="5"/>
  <c r="F530" i="5"/>
  <c r="F532" i="5"/>
  <c r="F534" i="5"/>
  <c r="F536" i="5"/>
  <c r="F538" i="5"/>
  <c r="F540" i="5"/>
  <c r="F542" i="5"/>
  <c r="F544" i="5"/>
  <c r="F546" i="5"/>
  <c r="F548" i="5"/>
  <c r="F550" i="5"/>
  <c r="F552" i="5"/>
  <c r="F554" i="5"/>
  <c r="J380" i="5"/>
  <c r="D1257" i="6" s="1"/>
  <c r="J382" i="5"/>
  <c r="J384" i="5"/>
  <c r="D1413" i="6" s="1"/>
  <c r="J386" i="5"/>
  <c r="D1140" i="7" s="1"/>
  <c r="J388" i="5"/>
  <c r="J390" i="5"/>
  <c r="D1316" i="7" s="1"/>
  <c r="J392" i="5"/>
  <c r="D1267" i="6" s="1"/>
  <c r="J394" i="5"/>
  <c r="D1423" i="6" s="1"/>
  <c r="J396" i="5"/>
  <c r="D1271" i="6" s="1"/>
  <c r="J398" i="5"/>
  <c r="D1427" i="6" s="1"/>
  <c r="J400" i="5"/>
  <c r="D974" i="7" s="1"/>
  <c r="J402" i="5"/>
  <c r="D976" i="7" s="1"/>
  <c r="J404" i="5"/>
  <c r="D1433" i="6" s="1"/>
  <c r="J406" i="5"/>
  <c r="J408" i="5"/>
  <c r="D1162" i="7" s="1"/>
  <c r="J410" i="5"/>
  <c r="D983" i="7" s="1"/>
  <c r="J412" i="5"/>
  <c r="D984" i="7" s="1"/>
  <c r="J414" i="5"/>
  <c r="D1286" i="6" s="1"/>
  <c r="J416" i="5"/>
  <c r="D1288" i="6" s="1"/>
  <c r="J418" i="5"/>
  <c r="D1172" i="7" s="1"/>
  <c r="J420" i="5"/>
  <c r="J422" i="5"/>
  <c r="J424" i="5"/>
  <c r="D1331" i="7" s="1"/>
  <c r="J426" i="5"/>
  <c r="J428" i="5"/>
  <c r="D1088" i="6" s="1"/>
  <c r="J430" i="5"/>
  <c r="J432" i="5"/>
  <c r="D1002" i="7" s="1"/>
  <c r="J434" i="5"/>
  <c r="D1304" i="6" s="1"/>
  <c r="J385" i="5"/>
  <c r="D1139" i="7" s="1"/>
  <c r="J393" i="5"/>
  <c r="J401" i="5"/>
  <c r="D1430" i="6" s="1"/>
  <c r="J409" i="5"/>
  <c r="D1163" i="7" s="1"/>
  <c r="J417" i="5"/>
  <c r="D1326" i="7" s="1"/>
  <c r="J425" i="5"/>
  <c r="D1296" i="6" s="1"/>
  <c r="J435" i="5"/>
  <c r="D1305" i="6" s="1"/>
  <c r="J437" i="5"/>
  <c r="D1340" i="7" s="1"/>
  <c r="J439" i="5"/>
  <c r="D1342" i="7" s="1"/>
  <c r="J441" i="5"/>
  <c r="J443" i="5"/>
  <c r="D1472" i="6" s="1"/>
  <c r="J445" i="5"/>
  <c r="D1090" i="6" s="1"/>
  <c r="J447" i="5"/>
  <c r="D1476" i="6" s="1"/>
  <c r="J449" i="5"/>
  <c r="D1317" i="6" s="1"/>
  <c r="J383" i="5"/>
  <c r="D1260" i="6" s="1"/>
  <c r="J391" i="5"/>
  <c r="D1317" i="7" s="1"/>
  <c r="J399" i="5"/>
  <c r="D1428" i="6" s="1"/>
  <c r="J407" i="5"/>
  <c r="D1085" i="6" s="1"/>
  <c r="J415" i="5"/>
  <c r="D1136" i="6" s="1"/>
  <c r="J423" i="5"/>
  <c r="D994" i="7" s="1"/>
  <c r="J381" i="5"/>
  <c r="D1410" i="6" s="1"/>
  <c r="J389" i="5"/>
  <c r="D1143" i="7" s="1"/>
  <c r="J397" i="5"/>
  <c r="D1272" i="6" s="1"/>
  <c r="J405" i="5"/>
  <c r="D979" i="7" s="1"/>
  <c r="J413" i="5"/>
  <c r="J421" i="5"/>
  <c r="D992" i="7" s="1"/>
  <c r="J429" i="5"/>
  <c r="D999" i="7" s="1"/>
  <c r="J431" i="5"/>
  <c r="D1185" i="7" s="1"/>
  <c r="J436" i="5"/>
  <c r="J438" i="5"/>
  <c r="D1007" i="7" s="1"/>
  <c r="J440" i="5"/>
  <c r="D1309" i="6" s="1"/>
  <c r="J442" i="5"/>
  <c r="D1311" i="6" s="1"/>
  <c r="J444" i="5"/>
  <c r="D1473" i="6" s="1"/>
  <c r="J446" i="5"/>
  <c r="D1314" i="6" s="1"/>
  <c r="J448" i="5"/>
  <c r="D1202" i="7" s="1"/>
  <c r="J450" i="5"/>
  <c r="D1318" i="6" s="1"/>
  <c r="J452" i="5"/>
  <c r="D1481" i="6" s="1"/>
  <c r="J454" i="5"/>
  <c r="J456" i="5"/>
  <c r="D1485" i="6" s="1"/>
  <c r="J458" i="5"/>
  <c r="D1025" i="7" s="1"/>
  <c r="J460" i="5"/>
  <c r="D1358" i="7" s="1"/>
  <c r="J462" i="5"/>
  <c r="J464" i="5"/>
  <c r="D1218" i="7" s="1"/>
  <c r="J466" i="5"/>
  <c r="D1220" i="7" s="1"/>
  <c r="J468" i="5"/>
  <c r="D1497" i="6" s="1"/>
  <c r="J470" i="5"/>
  <c r="D1184" i="6" s="1"/>
  <c r="J472" i="5"/>
  <c r="D1186" i="6" s="1"/>
  <c r="J474" i="5"/>
  <c r="D1094" i="6" s="1"/>
  <c r="J395" i="5"/>
  <c r="J427" i="5"/>
  <c r="D1181" i="7" s="1"/>
  <c r="J433" i="5"/>
  <c r="D1303" i="6" s="1"/>
  <c r="J455" i="5"/>
  <c r="D1356" i="7" s="1"/>
  <c r="J463" i="5"/>
  <c r="D1217" i="7" s="1"/>
  <c r="J471" i="5"/>
  <c r="J476" i="5"/>
  <c r="D1364" i="7" s="1"/>
  <c r="J478" i="5"/>
  <c r="D1042" i="7" s="1"/>
  <c r="J480" i="5"/>
  <c r="J482" i="5"/>
  <c r="J484" i="5"/>
  <c r="D1347" i="6" s="1"/>
  <c r="J486" i="5"/>
  <c r="D1515" i="6" s="1"/>
  <c r="J488" i="5"/>
  <c r="D1517" i="6" s="1"/>
  <c r="J490" i="5"/>
  <c r="J492" i="5"/>
  <c r="D1521" i="6" s="1"/>
  <c r="J494" i="5"/>
  <c r="D1355" i="6" s="1"/>
  <c r="J496" i="5"/>
  <c r="D1357" i="6" s="1"/>
  <c r="J498" i="5"/>
  <c r="D1252" i="7" s="1"/>
  <c r="J500" i="5"/>
  <c r="D1254" i="7" s="1"/>
  <c r="J502" i="5"/>
  <c r="D1062" i="7" s="1"/>
  <c r="J504" i="5"/>
  <c r="D1213" i="6" s="1"/>
  <c r="J387" i="5"/>
  <c r="J419" i="5"/>
  <c r="D1173" i="7" s="1"/>
  <c r="J457" i="5"/>
  <c r="D1324" i="6" s="1"/>
  <c r="J465" i="5"/>
  <c r="D1494" i="6" s="1"/>
  <c r="J473" i="5"/>
  <c r="D1227" i="7" s="1"/>
  <c r="J379" i="5"/>
  <c r="D1408" i="6" s="1"/>
  <c r="J411" i="5"/>
  <c r="D1440" i="6" s="1"/>
  <c r="J451" i="5"/>
  <c r="D1480" i="6" s="1"/>
  <c r="J459" i="5"/>
  <c r="D1213" i="7" s="1"/>
  <c r="J467" i="5"/>
  <c r="D1221" i="7" s="1"/>
  <c r="J475" i="5"/>
  <c r="D1039" i="7" s="1"/>
  <c r="J477" i="5"/>
  <c r="D1506" i="6" s="1"/>
  <c r="J479" i="5"/>
  <c r="D1043" i="7" s="1"/>
  <c r="J481" i="5"/>
  <c r="D1045" i="7" s="1"/>
  <c r="J483" i="5"/>
  <c r="D1512" i="6" s="1"/>
  <c r="J485" i="5"/>
  <c r="D1096" i="6" s="1"/>
  <c r="J487" i="5"/>
  <c r="D1369" i="7" s="1"/>
  <c r="J489" i="5"/>
  <c r="D1200" i="6" s="1"/>
  <c r="J491" i="5"/>
  <c r="D1520" i="6" s="1"/>
  <c r="J493" i="5"/>
  <c r="J495" i="5"/>
  <c r="D1356" i="6" s="1"/>
  <c r="J497" i="5"/>
  <c r="D1375" i="7" s="1"/>
  <c r="J499" i="5"/>
  <c r="D1253" i="7" s="1"/>
  <c r="J501" i="5"/>
  <c r="D1361" i="6" s="1"/>
  <c r="J503" i="5"/>
  <c r="J505" i="5"/>
  <c r="D1259" i="7" s="1"/>
  <c r="J403" i="5"/>
  <c r="D1277" i="6" s="1"/>
  <c r="J453" i="5"/>
  <c r="D1482" i="6" s="1"/>
  <c r="J461" i="5"/>
  <c r="D1215" i="7" s="1"/>
  <c r="J469" i="5"/>
  <c r="D1183" i="6" s="1"/>
  <c r="J508" i="5"/>
  <c r="D1537" i="6" s="1"/>
  <c r="J509" i="5"/>
  <c r="D1068" i="7" s="1"/>
  <c r="J510" i="5"/>
  <c r="D1369" i="6" s="1"/>
  <c r="J511" i="5"/>
  <c r="D1265" i="7" s="1"/>
  <c r="J513" i="5"/>
  <c r="D1072" i="7" s="1"/>
  <c r="J515" i="5"/>
  <c r="D1544" i="6" s="1"/>
  <c r="J517" i="5"/>
  <c r="D1075" i="7" s="1"/>
  <c r="J519" i="5"/>
  <c r="D1077" i="7" s="1"/>
  <c r="J521" i="5"/>
  <c r="D1275" i="7" s="1"/>
  <c r="J523" i="5"/>
  <c r="D1552" i="6" s="1"/>
  <c r="J525" i="5"/>
  <c r="D1395" i="7" s="1"/>
  <c r="J527" i="5"/>
  <c r="D1383" i="6" s="1"/>
  <c r="J529" i="5"/>
  <c r="D1558" i="6" s="1"/>
  <c r="J531" i="5"/>
  <c r="D1285" i="7" s="1"/>
  <c r="J533" i="5"/>
  <c r="D1389" i="6" s="1"/>
  <c r="J535" i="5"/>
  <c r="D1289" i="7" s="1"/>
  <c r="J537" i="5"/>
  <c r="D1092" i="7" s="1"/>
  <c r="J539" i="5"/>
  <c r="D1394" i="6" s="1"/>
  <c r="J541" i="5"/>
  <c r="D1570" i="6" s="1"/>
  <c r="J543" i="5"/>
  <c r="D1097" i="7" s="1"/>
  <c r="J545" i="5"/>
  <c r="D1248" i="6" s="1"/>
  <c r="J547" i="5"/>
  <c r="D1105" i="6" s="1"/>
  <c r="J549" i="5"/>
  <c r="J551" i="5"/>
  <c r="D1580" i="6" s="1"/>
  <c r="J553" i="5"/>
  <c r="D1106" i="7" s="1"/>
  <c r="J555" i="5"/>
  <c r="D1419" i="7" s="1"/>
  <c r="J506" i="5"/>
  <c r="D1126" i="7" s="1"/>
  <c r="J507" i="5"/>
  <c r="D1366" i="6" s="1"/>
  <c r="J512" i="5"/>
  <c r="D1541" i="6" s="1"/>
  <c r="J514" i="5"/>
  <c r="J516" i="5"/>
  <c r="D1223" i="6" s="1"/>
  <c r="J518" i="5"/>
  <c r="J520" i="5"/>
  <c r="D1549" i="6" s="1"/>
  <c r="J522" i="5"/>
  <c r="J524" i="5"/>
  <c r="D1081" i="7" s="1"/>
  <c r="J526" i="5"/>
  <c r="D1231" i="6" s="1"/>
  <c r="J528" i="5"/>
  <c r="D1398" i="7" s="1"/>
  <c r="J530" i="5"/>
  <c r="D1235" i="6" s="1"/>
  <c r="J532" i="5"/>
  <c r="D1286" i="7" s="1"/>
  <c r="J534" i="5"/>
  <c r="D1103" i="6" s="1"/>
  <c r="J536" i="5"/>
  <c r="D1403" i="7" s="1"/>
  <c r="J538" i="5"/>
  <c r="D1292" i="7" s="1"/>
  <c r="J540" i="5"/>
  <c r="J542" i="5"/>
  <c r="D1407" i="7" s="1"/>
  <c r="J544" i="5"/>
  <c r="D1573" i="6" s="1"/>
  <c r="J546" i="5"/>
  <c r="D1575" i="6" s="1"/>
  <c r="J548" i="5"/>
  <c r="D1401" i="6" s="1"/>
  <c r="J550" i="5"/>
  <c r="D1413" i="7" s="1"/>
  <c r="J552" i="5"/>
  <c r="D1306" i="7" s="1"/>
  <c r="J554" i="5"/>
  <c r="G379" i="5"/>
  <c r="G381" i="5"/>
  <c r="G383" i="5"/>
  <c r="G385" i="5"/>
  <c r="G387" i="5"/>
  <c r="G389" i="5"/>
  <c r="G391" i="5"/>
  <c r="G393" i="5"/>
  <c r="G395" i="5"/>
  <c r="G397" i="5"/>
  <c r="G399" i="5"/>
  <c r="G401" i="5"/>
  <c r="G403" i="5"/>
  <c r="G405" i="5"/>
  <c r="G407" i="5"/>
  <c r="G409" i="5"/>
  <c r="G411" i="5"/>
  <c r="G413" i="5"/>
  <c r="G415" i="5"/>
  <c r="G417" i="5"/>
  <c r="G419" i="5"/>
  <c r="G421" i="5"/>
  <c r="G423" i="5"/>
  <c r="G425" i="5"/>
  <c r="G427" i="5"/>
  <c r="G429" i="5"/>
  <c r="G431" i="5"/>
  <c r="G380" i="5"/>
  <c r="G382" i="5"/>
  <c r="G384" i="5"/>
  <c r="G386" i="5"/>
  <c r="G388" i="5"/>
  <c r="G390" i="5"/>
  <c r="G392" i="5"/>
  <c r="G394" i="5"/>
  <c r="G396" i="5"/>
  <c r="G398" i="5"/>
  <c r="G400" i="5"/>
  <c r="G402" i="5"/>
  <c r="G404" i="5"/>
  <c r="G406" i="5"/>
  <c r="G408" i="5"/>
  <c r="G410" i="5"/>
  <c r="G412" i="5"/>
  <c r="G414" i="5"/>
  <c r="G416" i="5"/>
  <c r="G418" i="5"/>
  <c r="G420" i="5"/>
  <c r="G422" i="5"/>
  <c r="G424" i="5"/>
  <c r="G426" i="5"/>
  <c r="G428" i="5"/>
  <c r="G430" i="5"/>
  <c r="G432" i="5"/>
  <c r="G433" i="5"/>
  <c r="G434" i="5"/>
  <c r="G437" i="5"/>
  <c r="G439" i="5"/>
  <c r="G441" i="5"/>
  <c r="G443" i="5"/>
  <c r="G445" i="5"/>
  <c r="G447" i="5"/>
  <c r="G449" i="5"/>
  <c r="G435" i="5"/>
  <c r="G442" i="5"/>
  <c r="G450" i="5"/>
  <c r="G451" i="5"/>
  <c r="G452" i="5"/>
  <c r="G459" i="5"/>
  <c r="G460" i="5"/>
  <c r="G467" i="5"/>
  <c r="G468" i="5"/>
  <c r="G475" i="5"/>
  <c r="G440" i="5"/>
  <c r="G448" i="5"/>
  <c r="G453" i="5"/>
  <c r="G454" i="5"/>
  <c r="G461" i="5"/>
  <c r="G462" i="5"/>
  <c r="G469" i="5"/>
  <c r="G470" i="5"/>
  <c r="G476" i="5"/>
  <c r="G478" i="5"/>
  <c r="G480" i="5"/>
  <c r="G482" i="5"/>
  <c r="G484" i="5"/>
  <c r="G486" i="5"/>
  <c r="G488" i="5"/>
  <c r="G490" i="5"/>
  <c r="G492" i="5"/>
  <c r="G494" i="5"/>
  <c r="G496" i="5"/>
  <c r="G498" i="5"/>
  <c r="G500" i="5"/>
  <c r="G502" i="5"/>
  <c r="G504" i="5"/>
  <c r="G506" i="5"/>
  <c r="G508" i="5"/>
  <c r="G510" i="5"/>
  <c r="G438" i="5"/>
  <c r="G446" i="5"/>
  <c r="G455" i="5"/>
  <c r="G456" i="5"/>
  <c r="G463" i="5"/>
  <c r="G464" i="5"/>
  <c r="G471" i="5"/>
  <c r="G472" i="5"/>
  <c r="G436" i="5"/>
  <c r="G444" i="5"/>
  <c r="G457" i="5"/>
  <c r="G458" i="5"/>
  <c r="G465" i="5"/>
  <c r="G466" i="5"/>
  <c r="G473" i="5"/>
  <c r="G474" i="5"/>
  <c r="G477" i="5"/>
  <c r="G479" i="5"/>
  <c r="G481" i="5"/>
  <c r="G483" i="5"/>
  <c r="G485" i="5"/>
  <c r="G487" i="5"/>
  <c r="G489" i="5"/>
  <c r="G491" i="5"/>
  <c r="G493" i="5"/>
  <c r="G495" i="5"/>
  <c r="G497" i="5"/>
  <c r="G499" i="5"/>
  <c r="G501" i="5"/>
  <c r="G503" i="5"/>
  <c r="G512" i="5"/>
  <c r="G514" i="5"/>
  <c r="G516" i="5"/>
  <c r="G518" i="5"/>
  <c r="G520" i="5"/>
  <c r="G522" i="5"/>
  <c r="G524" i="5"/>
  <c r="G526" i="5"/>
  <c r="G528" i="5"/>
  <c r="G530" i="5"/>
  <c r="G532" i="5"/>
  <c r="G534" i="5"/>
  <c r="G536" i="5"/>
  <c r="G550" i="5"/>
  <c r="G507" i="5"/>
  <c r="G540" i="5"/>
  <c r="G546" i="5"/>
  <c r="G552" i="5"/>
  <c r="G554" i="5"/>
  <c r="G509" i="5"/>
  <c r="G513" i="5"/>
  <c r="G515" i="5"/>
  <c r="G517" i="5"/>
  <c r="G519" i="5"/>
  <c r="G521" i="5"/>
  <c r="G523" i="5"/>
  <c r="G525" i="5"/>
  <c r="G527" i="5"/>
  <c r="G529" i="5"/>
  <c r="G531" i="5"/>
  <c r="G533" i="5"/>
  <c r="G535" i="5"/>
  <c r="G537" i="5"/>
  <c r="G539" i="5"/>
  <c r="G541" i="5"/>
  <c r="G543" i="5"/>
  <c r="G545" i="5"/>
  <c r="G547" i="5"/>
  <c r="G549" i="5"/>
  <c r="G551" i="5"/>
  <c r="G553" i="5"/>
  <c r="G555" i="5"/>
  <c r="G505" i="5"/>
  <c r="G511" i="5"/>
  <c r="G538" i="5"/>
  <c r="G542" i="5"/>
  <c r="G544" i="5"/>
  <c r="G548" i="5"/>
  <c r="H379" i="5"/>
  <c r="H381" i="5"/>
  <c r="H383" i="5"/>
  <c r="H385" i="5"/>
  <c r="H387" i="5"/>
  <c r="H389" i="5"/>
  <c r="H391" i="5"/>
  <c r="H393" i="5"/>
  <c r="H395" i="5"/>
  <c r="H397" i="5"/>
  <c r="H399" i="5"/>
  <c r="H401" i="5"/>
  <c r="H403" i="5"/>
  <c r="H405" i="5"/>
  <c r="H407" i="5"/>
  <c r="H409" i="5"/>
  <c r="H411" i="5"/>
  <c r="H413" i="5"/>
  <c r="H415" i="5"/>
  <c r="H417" i="5"/>
  <c r="H419" i="5"/>
  <c r="H421" i="5"/>
  <c r="H423" i="5"/>
  <c r="H425" i="5"/>
  <c r="H427" i="5"/>
  <c r="H429" i="5"/>
  <c r="H431" i="5"/>
  <c r="H433" i="5"/>
  <c r="H435" i="5"/>
  <c r="H380" i="5"/>
  <c r="H388" i="5"/>
  <c r="H396" i="5"/>
  <c r="H404" i="5"/>
  <c r="H412" i="5"/>
  <c r="H420" i="5"/>
  <c r="H428" i="5"/>
  <c r="H436" i="5"/>
  <c r="H438" i="5"/>
  <c r="H440" i="5"/>
  <c r="H442" i="5"/>
  <c r="H444" i="5"/>
  <c r="H446" i="5"/>
  <c r="H448" i="5"/>
  <c r="H450" i="5"/>
  <c r="H386" i="5"/>
  <c r="H394" i="5"/>
  <c r="H402" i="5"/>
  <c r="H410" i="5"/>
  <c r="H418" i="5"/>
  <c r="H426" i="5"/>
  <c r="H432" i="5"/>
  <c r="H384" i="5"/>
  <c r="H392" i="5"/>
  <c r="H400" i="5"/>
  <c r="H408" i="5"/>
  <c r="H416" i="5"/>
  <c r="H424" i="5"/>
  <c r="H434" i="5"/>
  <c r="H437" i="5"/>
  <c r="H439" i="5"/>
  <c r="H441" i="5"/>
  <c r="H443" i="5"/>
  <c r="H445" i="5"/>
  <c r="H447" i="5"/>
  <c r="H449" i="5"/>
  <c r="H451" i="5"/>
  <c r="H453" i="5"/>
  <c r="H455" i="5"/>
  <c r="H457" i="5"/>
  <c r="H459" i="5"/>
  <c r="H461" i="5"/>
  <c r="H463" i="5"/>
  <c r="H465" i="5"/>
  <c r="H467" i="5"/>
  <c r="H469" i="5"/>
  <c r="H471" i="5"/>
  <c r="H473" i="5"/>
  <c r="H475" i="5"/>
  <c r="H406" i="5"/>
  <c r="H458" i="5"/>
  <c r="H466" i="5"/>
  <c r="H474" i="5"/>
  <c r="H477" i="5"/>
  <c r="H479" i="5"/>
  <c r="H481" i="5"/>
  <c r="H483" i="5"/>
  <c r="H485" i="5"/>
  <c r="H487" i="5"/>
  <c r="H489" i="5"/>
  <c r="H491" i="5"/>
  <c r="H493" i="5"/>
  <c r="H495" i="5"/>
  <c r="H497" i="5"/>
  <c r="H499" i="5"/>
  <c r="H501" i="5"/>
  <c r="H503" i="5"/>
  <c r="H505" i="5"/>
  <c r="H398" i="5"/>
  <c r="H430" i="5"/>
  <c r="H452" i="5"/>
  <c r="H460" i="5"/>
  <c r="H468" i="5"/>
  <c r="H390" i="5"/>
  <c r="H422" i="5"/>
  <c r="H454" i="5"/>
  <c r="H462" i="5"/>
  <c r="H470" i="5"/>
  <c r="H476" i="5"/>
  <c r="H478" i="5"/>
  <c r="H480" i="5"/>
  <c r="H482" i="5"/>
  <c r="H484" i="5"/>
  <c r="H486" i="5"/>
  <c r="H488" i="5"/>
  <c r="H490" i="5"/>
  <c r="H492" i="5"/>
  <c r="H494" i="5"/>
  <c r="H496" i="5"/>
  <c r="H498" i="5"/>
  <c r="H500" i="5"/>
  <c r="H502" i="5"/>
  <c r="H504" i="5"/>
  <c r="H506" i="5"/>
  <c r="H382" i="5"/>
  <c r="H414" i="5"/>
  <c r="H456" i="5"/>
  <c r="H464" i="5"/>
  <c r="H472" i="5"/>
  <c r="H511" i="5"/>
  <c r="H512" i="5"/>
  <c r="H514" i="5"/>
  <c r="H516" i="5"/>
  <c r="H518" i="5"/>
  <c r="H520" i="5"/>
  <c r="H522" i="5"/>
  <c r="H524" i="5"/>
  <c r="H526" i="5"/>
  <c r="H528" i="5"/>
  <c r="H530" i="5"/>
  <c r="H532" i="5"/>
  <c r="H534" i="5"/>
  <c r="H536" i="5"/>
  <c r="H538" i="5"/>
  <c r="H540" i="5"/>
  <c r="H542" i="5"/>
  <c r="H544" i="5"/>
  <c r="H546" i="5"/>
  <c r="H548" i="5"/>
  <c r="H550" i="5"/>
  <c r="H552" i="5"/>
  <c r="H554" i="5"/>
  <c r="H507" i="5"/>
  <c r="H508" i="5"/>
  <c r="H509" i="5"/>
  <c r="H510" i="5"/>
  <c r="H513" i="5"/>
  <c r="H515" i="5"/>
  <c r="H517" i="5"/>
  <c r="H519" i="5"/>
  <c r="H521" i="5"/>
  <c r="H523" i="5"/>
  <c r="H525" i="5"/>
  <c r="H527" i="5"/>
  <c r="H529" i="5"/>
  <c r="H531" i="5"/>
  <c r="H533" i="5"/>
  <c r="H535" i="5"/>
  <c r="H537" i="5"/>
  <c r="H539" i="5"/>
  <c r="H541" i="5"/>
  <c r="H543" i="5"/>
  <c r="H545" i="5"/>
  <c r="H547" i="5"/>
  <c r="H549" i="5"/>
  <c r="H551" i="5"/>
  <c r="H553" i="5"/>
  <c r="H378" i="5"/>
  <c r="D1082" i="6"/>
  <c r="C957" i="7"/>
  <c r="C961" i="7"/>
  <c r="C965" i="7"/>
  <c r="C969" i="7"/>
  <c r="C973" i="7"/>
  <c r="C977" i="7"/>
  <c r="C981" i="7"/>
  <c r="C985" i="7"/>
  <c r="C989" i="7"/>
  <c r="C1419" i="7"/>
  <c r="C960" i="7"/>
  <c r="C964" i="7"/>
  <c r="C968" i="7"/>
  <c r="C972" i="7"/>
  <c r="C976" i="7"/>
  <c r="C980" i="7"/>
  <c r="C984" i="7"/>
  <c r="C988" i="7"/>
  <c r="C992" i="7"/>
  <c r="C996" i="7"/>
  <c r="C1000" i="7"/>
  <c r="C1004" i="7"/>
  <c r="C1008" i="7"/>
  <c r="C1012" i="7"/>
  <c r="C1016" i="7"/>
  <c r="C1020" i="7"/>
  <c r="C1024" i="7"/>
  <c r="C1028" i="7"/>
  <c r="C1032" i="7"/>
  <c r="C1036" i="7"/>
  <c r="C1040" i="7"/>
  <c r="C1044" i="7"/>
  <c r="C1048" i="7"/>
  <c r="C1052" i="7"/>
  <c r="C1056" i="7"/>
  <c r="C1060" i="7"/>
  <c r="C1064" i="7"/>
  <c r="C1068" i="7"/>
  <c r="C959" i="7"/>
  <c r="C963" i="7"/>
  <c r="C967" i="7"/>
  <c r="C971" i="7"/>
  <c r="C975" i="7"/>
  <c r="C979" i="7"/>
  <c r="C983" i="7"/>
  <c r="C987" i="7"/>
  <c r="C991" i="7"/>
  <c r="C995" i="7"/>
  <c r="C999" i="7"/>
  <c r="C1003" i="7"/>
  <c r="C1007" i="7"/>
  <c r="C1011" i="7"/>
  <c r="C1015" i="7"/>
  <c r="C966" i="7"/>
  <c r="C982" i="7"/>
  <c r="C994" i="7"/>
  <c r="C1002" i="7"/>
  <c r="C1010" i="7"/>
  <c r="C1018" i="7"/>
  <c r="C1025" i="7"/>
  <c r="C1027" i="7"/>
  <c r="C1034" i="7"/>
  <c r="C1041" i="7"/>
  <c r="C1043" i="7"/>
  <c r="C1050" i="7"/>
  <c r="C1057" i="7"/>
  <c r="C1059" i="7"/>
  <c r="C1066" i="7"/>
  <c r="C1072" i="7"/>
  <c r="C1076" i="7"/>
  <c r="C1080" i="7"/>
  <c r="C1084" i="7"/>
  <c r="C1088" i="7"/>
  <c r="C1092" i="7"/>
  <c r="C1096" i="7"/>
  <c r="C1100" i="7"/>
  <c r="C1104" i="7"/>
  <c r="C1108" i="7"/>
  <c r="C1112" i="7"/>
  <c r="C1116" i="7"/>
  <c r="C1120" i="7"/>
  <c r="C962" i="7"/>
  <c r="C978" i="7"/>
  <c r="C997" i="7"/>
  <c r="C1005" i="7"/>
  <c r="C1013" i="7"/>
  <c r="C1022" i="7"/>
  <c r="C1029" i="7"/>
  <c r="C1031" i="7"/>
  <c r="C1038" i="7"/>
  <c r="C1045" i="7"/>
  <c r="C1047" i="7"/>
  <c r="C1054" i="7"/>
  <c r="C1061" i="7"/>
  <c r="C1063" i="7"/>
  <c r="C1071" i="7"/>
  <c r="C1075" i="7"/>
  <c r="C1079" i="7"/>
  <c r="C1083" i="7"/>
  <c r="C1087" i="7"/>
  <c r="C1091" i="7"/>
  <c r="C1095" i="7"/>
  <c r="C1099" i="7"/>
  <c r="C1103" i="7"/>
  <c r="C1107" i="7"/>
  <c r="C1111" i="7"/>
  <c r="C1115" i="7"/>
  <c r="C1119" i="7"/>
  <c r="C1123" i="7"/>
  <c r="C958" i="7"/>
  <c r="C974" i="7"/>
  <c r="C990" i="7"/>
  <c r="C998" i="7"/>
  <c r="C970" i="7"/>
  <c r="C1006" i="7"/>
  <c r="C1035" i="7"/>
  <c r="C1042" i="7"/>
  <c r="C1049" i="7"/>
  <c r="C1067" i="7"/>
  <c r="C1070" i="7"/>
  <c r="C1078" i="7"/>
  <c r="C1086" i="7"/>
  <c r="C1094" i="7"/>
  <c r="C1102" i="7"/>
  <c r="C1110" i="7"/>
  <c r="C1118" i="7"/>
  <c r="C1126" i="7"/>
  <c r="C1130" i="7"/>
  <c r="C1134" i="7"/>
  <c r="C1138" i="7"/>
  <c r="C1142" i="7"/>
  <c r="C1146" i="7"/>
  <c r="C1150" i="7"/>
  <c r="C1154" i="7"/>
  <c r="C1158" i="7"/>
  <c r="C1162" i="7"/>
  <c r="C1166" i="7"/>
  <c r="C1170" i="7"/>
  <c r="C1174" i="7"/>
  <c r="C1178" i="7"/>
  <c r="C1182" i="7"/>
  <c r="C1186" i="7"/>
  <c r="C1190" i="7"/>
  <c r="C1194" i="7"/>
  <c r="C1198" i="7"/>
  <c r="C1202" i="7"/>
  <c r="C1206" i="7"/>
  <c r="C1210" i="7"/>
  <c r="C1214" i="7"/>
  <c r="C1218" i="7"/>
  <c r="C1222" i="7"/>
  <c r="C1226" i="7"/>
  <c r="C1230" i="7"/>
  <c r="C1234" i="7"/>
  <c r="C1238" i="7"/>
  <c r="C1242" i="7"/>
  <c r="C1246" i="7"/>
  <c r="C1250" i="7"/>
  <c r="C1254" i="7"/>
  <c r="C1258" i="7"/>
  <c r="C1262" i="7"/>
  <c r="C1266" i="7"/>
  <c r="C1270" i="7"/>
  <c r="C1274" i="7"/>
  <c r="C1278" i="7"/>
  <c r="C1282" i="7"/>
  <c r="C1286" i="7"/>
  <c r="C1290" i="7"/>
  <c r="C1294" i="7"/>
  <c r="C993" i="7"/>
  <c r="C1001" i="7"/>
  <c r="C1017" i="7"/>
  <c r="C1021" i="7"/>
  <c r="C1039" i="7"/>
  <c r="C1046" i="7"/>
  <c r="C1053" i="7"/>
  <c r="C1073" i="7"/>
  <c r="C1081" i="7"/>
  <c r="C1089" i="7"/>
  <c r="C1097" i="7"/>
  <c r="C1105" i="7"/>
  <c r="C1113" i="7"/>
  <c r="C1121" i="7"/>
  <c r="C1125" i="7"/>
  <c r="C1129" i="7"/>
  <c r="C1133" i="7"/>
  <c r="C1137" i="7"/>
  <c r="C1141" i="7"/>
  <c r="C1145" i="7"/>
  <c r="C1149" i="7"/>
  <c r="C1153" i="7"/>
  <c r="C1157" i="7"/>
  <c r="C1161" i="7"/>
  <c r="C1165" i="7"/>
  <c r="C1169" i="7"/>
  <c r="C1173" i="7"/>
  <c r="C1177" i="7"/>
  <c r="C1181" i="7"/>
  <c r="C1185" i="7"/>
  <c r="C1189" i="7"/>
  <c r="C1193" i="7"/>
  <c r="C1197" i="7"/>
  <c r="C1201" i="7"/>
  <c r="C1205" i="7"/>
  <c r="C1209" i="7"/>
  <c r="C1213" i="7"/>
  <c r="C1217" i="7"/>
  <c r="C1221" i="7"/>
  <c r="C1225" i="7"/>
  <c r="C1229" i="7"/>
  <c r="C1233" i="7"/>
  <c r="C1237" i="7"/>
  <c r="C1241" i="7"/>
  <c r="C1245" i="7"/>
  <c r="C1249" i="7"/>
  <c r="C1253" i="7"/>
  <c r="C1257" i="7"/>
  <c r="C1261" i="7"/>
  <c r="C1265" i="7"/>
  <c r="C1269" i="7"/>
  <c r="C1273" i="7"/>
  <c r="C1277" i="7"/>
  <c r="C1281" i="7"/>
  <c r="C1285" i="7"/>
  <c r="C1289" i="7"/>
  <c r="C1293" i="7"/>
  <c r="C1014" i="7"/>
  <c r="C1019" i="7"/>
  <c r="C1026" i="7"/>
  <c r="C1033" i="7"/>
  <c r="C1051" i="7"/>
  <c r="C1058" i="7"/>
  <c r="C1065" i="7"/>
  <c r="C1062" i="7"/>
  <c r="C1077" i="7"/>
  <c r="C1093" i="7"/>
  <c r="C1109" i="7"/>
  <c r="C1124" i="7"/>
  <c r="C1127" i="7"/>
  <c r="C1135" i="7"/>
  <c r="C1143" i="7"/>
  <c r="C1151" i="7"/>
  <c r="C1159" i="7"/>
  <c r="C1167" i="7"/>
  <c r="C1175" i="7"/>
  <c r="C1183" i="7"/>
  <c r="C1191" i="7"/>
  <c r="C1199" i="7"/>
  <c r="C1207" i="7"/>
  <c r="C1215" i="7"/>
  <c r="C1223" i="7"/>
  <c r="C1231" i="7"/>
  <c r="C1239" i="7"/>
  <c r="C1247" i="7"/>
  <c r="C1255" i="7"/>
  <c r="C1263" i="7"/>
  <c r="C1271" i="7"/>
  <c r="C1279" i="7"/>
  <c r="C1287" i="7"/>
  <c r="C1295" i="7"/>
  <c r="C1297" i="7"/>
  <c r="C1301" i="7"/>
  <c r="C1305" i="7"/>
  <c r="C1309" i="7"/>
  <c r="C1313" i="7"/>
  <c r="C1317" i="7"/>
  <c r="C1321" i="7"/>
  <c r="C1325" i="7"/>
  <c r="C1329" i="7"/>
  <c r="C1333" i="7"/>
  <c r="C1337" i="7"/>
  <c r="C1341" i="7"/>
  <c r="C1345" i="7"/>
  <c r="C1349" i="7"/>
  <c r="C1353" i="7"/>
  <c r="C1357" i="7"/>
  <c r="C1361" i="7"/>
  <c r="C1365" i="7"/>
  <c r="C1369" i="7"/>
  <c r="C1373" i="7"/>
  <c r="C1377" i="7"/>
  <c r="C1381" i="7"/>
  <c r="C1385" i="7"/>
  <c r="C1389" i="7"/>
  <c r="C1393" i="7"/>
  <c r="C1397" i="7"/>
  <c r="C1401" i="7"/>
  <c r="C1405" i="7"/>
  <c r="C1409" i="7"/>
  <c r="C1413" i="7"/>
  <c r="C1417" i="7"/>
  <c r="C1023" i="7"/>
  <c r="C1037" i="7"/>
  <c r="C1074" i="7"/>
  <c r="C1090" i="7"/>
  <c r="C1106" i="7"/>
  <c r="C1122" i="7"/>
  <c r="C1128" i="7"/>
  <c r="C1136" i="7"/>
  <c r="C1144" i="7"/>
  <c r="C1152" i="7"/>
  <c r="C1160" i="7"/>
  <c r="C1168" i="7"/>
  <c r="C1176" i="7"/>
  <c r="C1184" i="7"/>
  <c r="C1192" i="7"/>
  <c r="C1200" i="7"/>
  <c r="C1208" i="7"/>
  <c r="C1216" i="7"/>
  <c r="C1224" i="7"/>
  <c r="C1232" i="7"/>
  <c r="C1240" i="7"/>
  <c r="C1248" i="7"/>
  <c r="C1256" i="7"/>
  <c r="C1264" i="7"/>
  <c r="C1272" i="7"/>
  <c r="C1280" i="7"/>
  <c r="C1288" i="7"/>
  <c r="C1296" i="7"/>
  <c r="C1300" i="7"/>
  <c r="C1304" i="7"/>
  <c r="C1308" i="7"/>
  <c r="C1312" i="7"/>
  <c r="C1316" i="7"/>
  <c r="C1320" i="7"/>
  <c r="C1324" i="7"/>
  <c r="C1328" i="7"/>
  <c r="C1332" i="7"/>
  <c r="C1336" i="7"/>
  <c r="C1340" i="7"/>
  <c r="C1344" i="7"/>
  <c r="C1348" i="7"/>
  <c r="C1352" i="7"/>
  <c r="C1356" i="7"/>
  <c r="C1360" i="7"/>
  <c r="C1364" i="7"/>
  <c r="C1368" i="7"/>
  <c r="C1372" i="7"/>
  <c r="C1376" i="7"/>
  <c r="C1380" i="7"/>
  <c r="C1384" i="7"/>
  <c r="C1388" i="7"/>
  <c r="C1392" i="7"/>
  <c r="C1396" i="7"/>
  <c r="C1400" i="7"/>
  <c r="C1404" i="7"/>
  <c r="C1408" i="7"/>
  <c r="C1412" i="7"/>
  <c r="C1416" i="7"/>
  <c r="C1009" i="7"/>
  <c r="C1055" i="7"/>
  <c r="C1069" i="7"/>
  <c r="C1085" i="7"/>
  <c r="C1101" i="7"/>
  <c r="C1117" i="7"/>
  <c r="C1131" i="7"/>
  <c r="C1139" i="7"/>
  <c r="C1147" i="7"/>
  <c r="C1155" i="7"/>
  <c r="C1163" i="7"/>
  <c r="C1171" i="7"/>
  <c r="C1179" i="7"/>
  <c r="C1187" i="7"/>
  <c r="C1195" i="7"/>
  <c r="C1203" i="7"/>
  <c r="C1211" i="7"/>
  <c r="C1219" i="7"/>
  <c r="C1227" i="7"/>
  <c r="C1235" i="7"/>
  <c r="C1243" i="7"/>
  <c r="C1251" i="7"/>
  <c r="C1259" i="7"/>
  <c r="C1267" i="7"/>
  <c r="C1275" i="7"/>
  <c r="C1283" i="7"/>
  <c r="C1291" i="7"/>
  <c r="C1299" i="7"/>
  <c r="C1030" i="7"/>
  <c r="C1098" i="7"/>
  <c r="C1132" i="7"/>
  <c r="C1164" i="7"/>
  <c r="C1196" i="7"/>
  <c r="C1228" i="7"/>
  <c r="C1260" i="7"/>
  <c r="C1292" i="7"/>
  <c r="C1306" i="7"/>
  <c r="C1314" i="7"/>
  <c r="C1322" i="7"/>
  <c r="C1330" i="7"/>
  <c r="C1338" i="7"/>
  <c r="C1346" i="7"/>
  <c r="C1354" i="7"/>
  <c r="C1362" i="7"/>
  <c r="C1370" i="7"/>
  <c r="C1378" i="7"/>
  <c r="C1386" i="7"/>
  <c r="C1394" i="7"/>
  <c r="C1402" i="7"/>
  <c r="C1410" i="7"/>
  <c r="C1418" i="7"/>
  <c r="C1082" i="7"/>
  <c r="C1156" i="7"/>
  <c r="C1188" i="7"/>
  <c r="C1220" i="7"/>
  <c r="C1252" i="7"/>
  <c r="C1284" i="7"/>
  <c r="C1307" i="7"/>
  <c r="C1315" i="7"/>
  <c r="C1323" i="7"/>
  <c r="C1331" i="7"/>
  <c r="C1339" i="7"/>
  <c r="C1347" i="7"/>
  <c r="C1355" i="7"/>
  <c r="C1363" i="7"/>
  <c r="C1371" i="7"/>
  <c r="C1379" i="7"/>
  <c r="C1387" i="7"/>
  <c r="C1395" i="7"/>
  <c r="C1403" i="7"/>
  <c r="C1411" i="7"/>
  <c r="C986" i="7"/>
  <c r="C1148" i="7"/>
  <c r="C1180" i="7"/>
  <c r="C1212" i="7"/>
  <c r="C1244" i="7"/>
  <c r="C1276" i="7"/>
  <c r="C1302" i="7"/>
  <c r="C1310" i="7"/>
  <c r="C1318" i="7"/>
  <c r="C1326" i="7"/>
  <c r="C1334" i="7"/>
  <c r="C1342" i="7"/>
  <c r="C1350" i="7"/>
  <c r="C1358" i="7"/>
  <c r="C1366" i="7"/>
  <c r="C1374" i="7"/>
  <c r="C1382" i="7"/>
  <c r="C1390" i="7"/>
  <c r="C1398" i="7"/>
  <c r="C1406" i="7"/>
  <c r="C1414" i="7"/>
  <c r="C1236" i="7"/>
  <c r="C1327" i="7"/>
  <c r="C1359" i="7"/>
  <c r="C1391" i="7"/>
  <c r="C1335" i="7"/>
  <c r="C1114" i="7"/>
  <c r="C1204" i="7"/>
  <c r="C1319" i="7"/>
  <c r="C1351" i="7"/>
  <c r="C1383" i="7"/>
  <c r="C1415" i="7"/>
  <c r="C1268" i="7"/>
  <c r="C1399" i="7"/>
  <c r="C1172" i="7"/>
  <c r="C1298" i="7"/>
  <c r="C1311" i="7"/>
  <c r="C1343" i="7"/>
  <c r="C1375" i="7"/>
  <c r="C1407" i="7"/>
  <c r="C1140" i="7"/>
  <c r="C1303" i="7"/>
  <c r="C1367" i="7"/>
  <c r="C853" i="7"/>
  <c r="C854" i="7"/>
  <c r="E1083" i="6"/>
  <c r="E1111" i="6"/>
  <c r="E1115" i="6"/>
  <c r="E1138" i="6"/>
  <c r="E1142" i="6"/>
  <c r="E1149" i="6"/>
  <c r="E1153" i="6"/>
  <c r="E1296" i="6"/>
  <c r="E1300" i="6"/>
  <c r="E1275" i="6"/>
  <c r="E1108" i="6"/>
  <c r="E1282" i="6"/>
  <c r="E1286" i="6"/>
  <c r="E1411" i="6"/>
  <c r="E1414" i="6"/>
  <c r="E1427" i="6"/>
  <c r="E1435" i="6"/>
  <c r="E1451" i="6"/>
  <c r="E1459" i="6"/>
  <c r="E1454" i="6"/>
  <c r="E959" i="7"/>
  <c r="E966" i="7"/>
  <c r="E982" i="7"/>
  <c r="E989" i="7"/>
  <c r="E993" i="7"/>
  <c r="E1000" i="7"/>
  <c r="E1136" i="7"/>
  <c r="E1160" i="7"/>
  <c r="E1168" i="7"/>
  <c r="E1188" i="7"/>
  <c r="E1139" i="7"/>
  <c r="E1171" i="7"/>
  <c r="E980" i="7"/>
  <c r="E1338" i="7"/>
  <c r="E1316" i="7"/>
  <c r="W3" i="6"/>
  <c r="E255" i="5"/>
  <c r="E610" i="6" s="1"/>
  <c r="E291" i="5"/>
  <c r="E994" i="6" s="1"/>
  <c r="E325" i="5"/>
  <c r="E1028" i="6" s="1"/>
  <c r="E329" i="5"/>
  <c r="E674" i="6" s="1"/>
  <c r="E333" i="5"/>
  <c r="E678" i="6" s="1"/>
  <c r="E337" i="5"/>
  <c r="E681" i="6" s="1"/>
  <c r="E341" i="5"/>
  <c r="E588" i="7" s="1"/>
  <c r="E345" i="5"/>
  <c r="E546" i="6" s="1"/>
  <c r="E349" i="5"/>
  <c r="E938" i="7" s="1"/>
  <c r="E353" i="5"/>
  <c r="E940" i="7" s="1"/>
  <c r="E357" i="5"/>
  <c r="E1060" i="6" s="1"/>
  <c r="E361" i="5"/>
  <c r="E943" i="7" s="1"/>
  <c r="E365" i="5"/>
  <c r="E1068" i="6" s="1"/>
  <c r="E369" i="5"/>
  <c r="E1072" i="6" s="1"/>
  <c r="E373" i="5"/>
  <c r="E714" i="6" s="1"/>
  <c r="E377" i="5"/>
  <c r="E1080" i="6" s="1"/>
  <c r="E315" i="5"/>
  <c r="E662" i="6" s="1"/>
  <c r="E323" i="5"/>
  <c r="E781" i="7" s="1"/>
  <c r="E327" i="5"/>
  <c r="E785" i="7" s="1"/>
  <c r="E331" i="5"/>
  <c r="E676" i="6" s="1"/>
  <c r="E335" i="5"/>
  <c r="E680" i="6" s="1"/>
  <c r="E339" i="5"/>
  <c r="E930" i="7" s="1"/>
  <c r="E343" i="5"/>
  <c r="E687" i="6" s="1"/>
  <c r="E347" i="5"/>
  <c r="E351" i="5"/>
  <c r="E809" i="7" s="1"/>
  <c r="E355" i="5"/>
  <c r="E601" i="7" s="1"/>
  <c r="E359" i="5"/>
  <c r="E871" i="6" s="1"/>
  <c r="E363" i="5"/>
  <c r="E367" i="5"/>
  <c r="E709" i="6" s="1"/>
  <c r="E371" i="5"/>
  <c r="E829" i="7" s="1"/>
  <c r="E271" i="5"/>
  <c r="E794" i="6" s="1"/>
  <c r="E297" i="5"/>
  <c r="E755" i="7" s="1"/>
  <c r="E313" i="5"/>
  <c r="E660" i="6" s="1"/>
  <c r="E282" i="5"/>
  <c r="E740" i="7" s="1"/>
  <c r="E305" i="5"/>
  <c r="E763" i="7" s="1"/>
  <c r="E299" i="5"/>
  <c r="E1002" i="6" s="1"/>
  <c r="E321" i="5"/>
  <c r="E570" i="7" s="1"/>
  <c r="E247" i="5"/>
  <c r="E705" i="7" s="1"/>
  <c r="E307" i="5"/>
  <c r="E1010" i="6" s="1"/>
  <c r="E375" i="5"/>
  <c r="E289" i="5"/>
  <c r="E992" i="6" s="1"/>
  <c r="E314" i="5"/>
  <c r="E564" i="7" s="1"/>
  <c r="E290" i="5"/>
  <c r="E543" i="7" s="1"/>
  <c r="E246" i="5"/>
  <c r="E298" i="5"/>
  <c r="E550" i="7" s="1"/>
  <c r="E242" i="5"/>
  <c r="E868" i="7" s="1"/>
  <c r="E218" i="5"/>
  <c r="E190" i="5"/>
  <c r="E552" i="6" s="1"/>
  <c r="E281" i="5"/>
  <c r="E535" i="7" s="1"/>
  <c r="E273" i="5"/>
  <c r="E976" i="6" s="1"/>
  <c r="E257" i="5"/>
  <c r="E514" i="7" s="1"/>
  <c r="E245" i="5"/>
  <c r="E771" i="6" s="1"/>
  <c r="E221" i="5"/>
  <c r="E679" i="7" s="1"/>
  <c r="E193" i="5"/>
  <c r="E554" i="6" s="1"/>
  <c r="E378" i="5"/>
  <c r="E370" i="5"/>
  <c r="E711" i="6" s="1"/>
  <c r="E362" i="5"/>
  <c r="E874" i="6" s="1"/>
  <c r="E354" i="5"/>
  <c r="E697" i="6" s="1"/>
  <c r="E346" i="5"/>
  <c r="E592" i="7" s="1"/>
  <c r="E322" i="5"/>
  <c r="E838" i="6" s="1"/>
  <c r="E258" i="5"/>
  <c r="E716" i="7" s="1"/>
  <c r="E262" i="5"/>
  <c r="E965" i="6" s="1"/>
  <c r="E230" i="5"/>
  <c r="E688" i="7" s="1"/>
  <c r="E202" i="5"/>
  <c r="E660" i="7" s="1"/>
  <c r="E277" i="5"/>
  <c r="E890" i="7" s="1"/>
  <c r="E205" i="5"/>
  <c r="E735" i="6" s="1"/>
  <c r="E201" i="5"/>
  <c r="E562" i="6" s="1"/>
  <c r="E376" i="5"/>
  <c r="E372" i="5"/>
  <c r="E953" i="7" s="1"/>
  <c r="E358" i="5"/>
  <c r="E547" i="6" s="1"/>
  <c r="E344" i="5"/>
  <c r="E1047" i="6" s="1"/>
  <c r="E340" i="5"/>
  <c r="E587" i="7" s="1"/>
  <c r="E241" i="5"/>
  <c r="E237" i="5"/>
  <c r="E764" i="6" s="1"/>
  <c r="E197" i="5"/>
  <c r="E900" i="6" s="1"/>
  <c r="E189" i="5"/>
  <c r="E454" i="7" s="1"/>
  <c r="E368" i="5"/>
  <c r="E643" i="7" s="1"/>
  <c r="E364" i="5"/>
  <c r="E706" i="6" s="1"/>
  <c r="E350" i="5"/>
  <c r="E596" i="7" s="1"/>
  <c r="E334" i="5"/>
  <c r="E926" i="7" s="1"/>
  <c r="E326" i="5"/>
  <c r="E575" i="7" s="1"/>
  <c r="E270" i="5"/>
  <c r="E888" i="7" s="1"/>
  <c r="E238" i="5"/>
  <c r="E210" i="5"/>
  <c r="E194" i="5"/>
  <c r="E458" i="7" s="1"/>
  <c r="E312" i="5"/>
  <c r="E829" i="6" s="1"/>
  <c r="E296" i="5"/>
  <c r="E900" i="7" s="1"/>
  <c r="E276" i="5"/>
  <c r="E734" i="7" s="1"/>
  <c r="E264" i="5"/>
  <c r="E787" i="6" s="1"/>
  <c r="E244" i="5"/>
  <c r="E770" i="6" s="1"/>
  <c r="E274" i="5"/>
  <c r="E529" i="7" s="1"/>
  <c r="E302" i="5"/>
  <c r="E760" i="7" s="1"/>
  <c r="E250" i="5"/>
  <c r="E874" i="7" s="1"/>
  <c r="E214" i="5"/>
  <c r="E743" i="6" s="1"/>
  <c r="E186" i="5"/>
  <c r="E306" i="5"/>
  <c r="E557" i="7" s="1"/>
  <c r="E226" i="5"/>
  <c r="E487" i="7" s="1"/>
  <c r="E269" i="5"/>
  <c r="E727" i="7" s="1"/>
  <c r="E265" i="5"/>
  <c r="E723" i="7" s="1"/>
  <c r="E261" i="5"/>
  <c r="E964" i="6" s="1"/>
  <c r="E253" i="5"/>
  <c r="E956" i="6" s="1"/>
  <c r="E233" i="5"/>
  <c r="E493" i="7" s="1"/>
  <c r="E229" i="5"/>
  <c r="E490" i="7" s="1"/>
  <c r="E225" i="5"/>
  <c r="E374" i="5"/>
  <c r="E885" i="6" s="1"/>
  <c r="E360" i="5"/>
  <c r="E872" i="6" s="1"/>
  <c r="E356" i="5"/>
  <c r="E869" i="6" s="1"/>
  <c r="E342" i="5"/>
  <c r="E686" i="6" s="1"/>
  <c r="E285" i="5"/>
  <c r="E988" i="6" s="1"/>
  <c r="E249" i="5"/>
  <c r="E952" i="6" s="1"/>
  <c r="E217" i="5"/>
  <c r="E479" i="7" s="1"/>
  <c r="E213" i="5"/>
  <c r="E671" i="7" s="1"/>
  <c r="E209" i="5"/>
  <c r="E739" i="6" s="1"/>
  <c r="E366" i="5"/>
  <c r="E708" i="6" s="1"/>
  <c r="E352" i="5"/>
  <c r="E598" i="7" s="1"/>
  <c r="E348" i="5"/>
  <c r="E338" i="5"/>
  <c r="E1041" i="6" s="1"/>
  <c r="E330" i="5"/>
  <c r="E845" i="6" s="1"/>
  <c r="E294" i="5"/>
  <c r="E752" i="7" s="1"/>
  <c r="E254" i="5"/>
  <c r="E712" i="7" s="1"/>
  <c r="E328" i="5"/>
  <c r="E843" i="6" s="1"/>
  <c r="E222" i="5"/>
  <c r="E324" i="5"/>
  <c r="E918" i="7" s="1"/>
  <c r="E292" i="5"/>
  <c r="E642" i="6" s="1"/>
  <c r="E288" i="5"/>
  <c r="E638" i="6" s="1"/>
  <c r="E236" i="5"/>
  <c r="E866" i="7" s="1"/>
  <c r="E232" i="5"/>
  <c r="E863" i="7" s="1"/>
  <c r="E204" i="5"/>
  <c r="E624" i="7" s="1"/>
  <c r="E200" i="5"/>
  <c r="E317" i="5"/>
  <c r="E1020" i="6" s="1"/>
  <c r="E293" i="5"/>
  <c r="E546" i="7" s="1"/>
  <c r="E266" i="5"/>
  <c r="E884" i="7" s="1"/>
  <c r="E332" i="5"/>
  <c r="E677" i="6" s="1"/>
  <c r="E198" i="5"/>
  <c r="E559" i="6" s="1"/>
  <c r="E308" i="5"/>
  <c r="E542" i="6" s="1"/>
  <c r="E304" i="5"/>
  <c r="E300" i="5"/>
  <c r="E272" i="5"/>
  <c r="E228" i="5"/>
  <c r="E686" i="7" s="1"/>
  <c r="E224" i="5"/>
  <c r="E752" i="6" s="1"/>
  <c r="E196" i="5"/>
  <c r="E557" i="6" s="1"/>
  <c r="E192" i="5"/>
  <c r="E723" i="6" s="1"/>
  <c r="E309" i="5"/>
  <c r="E559" i="7" s="1"/>
  <c r="E318" i="5"/>
  <c r="E776" i="7" s="1"/>
  <c r="E234" i="5"/>
  <c r="E937" i="6" s="1"/>
  <c r="E259" i="5"/>
  <c r="E783" i="6" s="1"/>
  <c r="E231" i="5"/>
  <c r="E492" i="7" s="1"/>
  <c r="E223" i="5"/>
  <c r="E926" i="6" s="1"/>
  <c r="E215" i="5"/>
  <c r="E574" i="6" s="1"/>
  <c r="E207" i="5"/>
  <c r="E737" i="6" s="1"/>
  <c r="E295" i="5"/>
  <c r="E753" i="7" s="1"/>
  <c r="E220" i="5"/>
  <c r="E678" i="7" s="1"/>
  <c r="E188" i="5"/>
  <c r="E646" i="7" s="1"/>
  <c r="E206" i="5"/>
  <c r="E909" i="6" s="1"/>
  <c r="E283" i="5"/>
  <c r="E894" i="7" s="1"/>
  <c r="E239" i="5"/>
  <c r="E766" i="6" s="1"/>
  <c r="E195" i="5"/>
  <c r="E459" i="7" s="1"/>
  <c r="E303" i="5"/>
  <c r="E279" i="5"/>
  <c r="E982" i="6" s="1"/>
  <c r="E243" i="5"/>
  <c r="E869" i="7" s="1"/>
  <c r="E227" i="5"/>
  <c r="E930" i="6" s="1"/>
  <c r="E336" i="5"/>
  <c r="E310" i="5"/>
  <c r="E827" i="6" s="1"/>
  <c r="E320" i="5"/>
  <c r="E316" i="5"/>
  <c r="E833" i="6" s="1"/>
  <c r="E284" i="5"/>
  <c r="E635" i="6" s="1"/>
  <c r="E280" i="5"/>
  <c r="E738" i="7" s="1"/>
  <c r="E216" i="5"/>
  <c r="E267" i="5"/>
  <c r="E203" i="5"/>
  <c r="E734" i="6" s="1"/>
  <c r="E187" i="5"/>
  <c r="E890" i="6" s="1"/>
  <c r="E278" i="5"/>
  <c r="E532" i="7" s="1"/>
  <c r="E235" i="5"/>
  <c r="E865" i="7" s="1"/>
  <c r="E211" i="5"/>
  <c r="E741" i="6" s="1"/>
  <c r="E286" i="5"/>
  <c r="E634" i="7" s="1"/>
  <c r="E268" i="5"/>
  <c r="E260" i="5"/>
  <c r="E963" i="6" s="1"/>
  <c r="E256" i="5"/>
  <c r="E959" i="6" s="1"/>
  <c r="E252" i="5"/>
  <c r="E607" i="6" s="1"/>
  <c r="E248" i="5"/>
  <c r="E240" i="5"/>
  <c r="E867" i="7" s="1"/>
  <c r="E212" i="5"/>
  <c r="E208" i="5"/>
  <c r="E849" i="7" s="1"/>
  <c r="E301" i="5"/>
  <c r="E219" i="5"/>
  <c r="E199" i="5"/>
  <c r="E191" i="5"/>
  <c r="E528" i="6" s="1"/>
  <c r="E319" i="5"/>
  <c r="E263" i="5"/>
  <c r="E275" i="5"/>
  <c r="E797" i="6" s="1"/>
  <c r="E251" i="5"/>
  <c r="E875" i="7" s="1"/>
  <c r="E311" i="5"/>
  <c r="E287" i="5"/>
  <c r="E896" i="7" s="1"/>
  <c r="G260" i="5"/>
  <c r="G302" i="5"/>
  <c r="G312" i="5"/>
  <c r="G320" i="5"/>
  <c r="G326" i="5"/>
  <c r="G330" i="5"/>
  <c r="G334" i="5"/>
  <c r="G338" i="5"/>
  <c r="G342" i="5"/>
  <c r="G346" i="5"/>
  <c r="G350" i="5"/>
  <c r="G354" i="5"/>
  <c r="G358" i="5"/>
  <c r="G362" i="5"/>
  <c r="G366" i="5"/>
  <c r="G370" i="5"/>
  <c r="G374" i="5"/>
  <c r="G378" i="5"/>
  <c r="G275" i="5"/>
  <c r="G296" i="5"/>
  <c r="G304" i="5"/>
  <c r="G268" i="5"/>
  <c r="G328" i="5"/>
  <c r="G344" i="5"/>
  <c r="G332" i="5"/>
  <c r="G348" i="5"/>
  <c r="G364" i="5"/>
  <c r="G376" i="5"/>
  <c r="G279" i="5"/>
  <c r="G336" i="5"/>
  <c r="G352" i="5"/>
  <c r="G368" i="5"/>
  <c r="G340" i="5"/>
  <c r="G356" i="5"/>
  <c r="G360" i="5"/>
  <c r="G318" i="5"/>
  <c r="G288" i="5"/>
  <c r="G372" i="5"/>
  <c r="G262" i="5"/>
  <c r="G242" i="5"/>
  <c r="G230" i="5"/>
  <c r="G202" i="5"/>
  <c r="G274" i="5"/>
  <c r="G278" i="5"/>
  <c r="G246" i="5"/>
  <c r="G285" i="5"/>
  <c r="G265" i="5"/>
  <c r="G253" i="5"/>
  <c r="G237" i="5"/>
  <c r="G229" i="5"/>
  <c r="G209" i="5"/>
  <c r="G201" i="5"/>
  <c r="G375" i="5"/>
  <c r="G367" i="5"/>
  <c r="G359" i="5"/>
  <c r="G351" i="5"/>
  <c r="G343" i="5"/>
  <c r="G218" i="5"/>
  <c r="G190" i="5"/>
  <c r="G317" i="5"/>
  <c r="G301" i="5"/>
  <c r="G281" i="5"/>
  <c r="G241" i="5"/>
  <c r="G197" i="5"/>
  <c r="G193" i="5"/>
  <c r="G189" i="5"/>
  <c r="G365" i="5"/>
  <c r="G361" i="5"/>
  <c r="G347" i="5"/>
  <c r="G321" i="5"/>
  <c r="G305" i="5"/>
  <c r="G289" i="5"/>
  <c r="G277" i="5"/>
  <c r="G273" i="5"/>
  <c r="G269" i="5"/>
  <c r="G261" i="5"/>
  <c r="G233" i="5"/>
  <c r="G225" i="5"/>
  <c r="G371" i="5"/>
  <c r="G357" i="5"/>
  <c r="G353" i="5"/>
  <c r="G339" i="5"/>
  <c r="G331" i="5"/>
  <c r="G280" i="5"/>
  <c r="G256" i="5"/>
  <c r="G236" i="5"/>
  <c r="G228" i="5"/>
  <c r="G220" i="5"/>
  <c r="G212" i="5"/>
  <c r="G204" i="5"/>
  <c r="G196" i="5"/>
  <c r="G188" i="5"/>
  <c r="G314" i="5"/>
  <c r="G298" i="5"/>
  <c r="G282" i="5"/>
  <c r="G186" i="5"/>
  <c r="G323" i="5"/>
  <c r="G319" i="5"/>
  <c r="G315" i="5"/>
  <c r="G311" i="5"/>
  <c r="G307" i="5"/>
  <c r="G303" i="5"/>
  <c r="G299" i="5"/>
  <c r="G226" i="5"/>
  <c r="G309" i="5"/>
  <c r="G293" i="5"/>
  <c r="G257" i="5"/>
  <c r="G249" i="5"/>
  <c r="G245" i="5"/>
  <c r="G221" i="5"/>
  <c r="G217" i="5"/>
  <c r="G213" i="5"/>
  <c r="G377" i="5"/>
  <c r="G363" i="5"/>
  <c r="G349" i="5"/>
  <c r="G345" i="5"/>
  <c r="G258" i="5"/>
  <c r="G313" i="5"/>
  <c r="G297" i="5"/>
  <c r="G205" i="5"/>
  <c r="G373" i="5"/>
  <c r="G369" i="5"/>
  <c r="G355" i="5"/>
  <c r="G341" i="5"/>
  <c r="G335" i="5"/>
  <c r="G327" i="5"/>
  <c r="G333" i="5"/>
  <c r="G270" i="5"/>
  <c r="G222" i="5"/>
  <c r="G210" i="5"/>
  <c r="G232" i="5"/>
  <c r="G200" i="5"/>
  <c r="G244" i="5"/>
  <c r="G266" i="5"/>
  <c r="G250" i="5"/>
  <c r="G337" i="5"/>
  <c r="G198" i="5"/>
  <c r="G194" i="5"/>
  <c r="G224" i="5"/>
  <c r="G192" i="5"/>
  <c r="G290" i="5"/>
  <c r="G234" i="5"/>
  <c r="G214" i="5"/>
  <c r="G294" i="5"/>
  <c r="G295" i="5"/>
  <c r="G291" i="5"/>
  <c r="G287" i="5"/>
  <c r="G267" i="5"/>
  <c r="G247" i="5"/>
  <c r="G239" i="5"/>
  <c r="G203" i="5"/>
  <c r="G195" i="5"/>
  <c r="G187" i="5"/>
  <c r="G316" i="5"/>
  <c r="G283" i="5"/>
  <c r="G252" i="5"/>
  <c r="G216" i="5"/>
  <c r="G306" i="5"/>
  <c r="G206" i="5"/>
  <c r="G235" i="5"/>
  <c r="G227" i="5"/>
  <c r="G324" i="5"/>
  <c r="G292" i="5"/>
  <c r="G263" i="5"/>
  <c r="G325" i="5"/>
  <c r="G276" i="5"/>
  <c r="G272" i="5"/>
  <c r="G264" i="5"/>
  <c r="G255" i="5"/>
  <c r="G243" i="5"/>
  <c r="G219" i="5"/>
  <c r="G211" i="5"/>
  <c r="G251" i="5"/>
  <c r="G199" i="5"/>
  <c r="G329" i="5"/>
  <c r="G254" i="5"/>
  <c r="G238" i="5"/>
  <c r="G286" i="5"/>
  <c r="G284" i="5"/>
  <c r="G248" i="5"/>
  <c r="G240" i="5"/>
  <c r="G208" i="5"/>
  <c r="G322" i="5"/>
  <c r="G310" i="5"/>
  <c r="G207" i="5"/>
  <c r="G215" i="5"/>
  <c r="G191" i="5"/>
  <c r="G300" i="5"/>
  <c r="G271" i="5"/>
  <c r="G259" i="5"/>
  <c r="G223" i="5"/>
  <c r="G308" i="5"/>
  <c r="G231" i="5"/>
  <c r="H335" i="5"/>
  <c r="H351" i="5"/>
  <c r="H367" i="5"/>
  <c r="H228" i="5"/>
  <c r="H327" i="5"/>
  <c r="H343" i="5"/>
  <c r="H359" i="5"/>
  <c r="H375" i="5"/>
  <c r="H331" i="5"/>
  <c r="H347" i="5"/>
  <c r="H363" i="5"/>
  <c r="H339" i="5"/>
  <c r="H371" i="5"/>
  <c r="H355" i="5"/>
  <c r="H321" i="5"/>
  <c r="H257" i="5"/>
  <c r="H261" i="5"/>
  <c r="H229" i="5"/>
  <c r="H201" i="5"/>
  <c r="H377" i="5"/>
  <c r="H345" i="5"/>
  <c r="H305" i="5"/>
  <c r="H273" i="5"/>
  <c r="H365" i="5"/>
  <c r="H320" i="5"/>
  <c r="H316" i="5"/>
  <c r="H312" i="5"/>
  <c r="H308" i="5"/>
  <c r="H304" i="5"/>
  <c r="H300" i="5"/>
  <c r="H296" i="5"/>
  <c r="H292" i="5"/>
  <c r="H288" i="5"/>
  <c r="H284" i="5"/>
  <c r="H256" i="5"/>
  <c r="H244" i="5"/>
  <c r="H224" i="5"/>
  <c r="H220" i="5"/>
  <c r="H216" i="5"/>
  <c r="H313" i="5"/>
  <c r="H277" i="5"/>
  <c r="H241" i="5"/>
  <c r="H289" i="5"/>
  <c r="H245" i="5"/>
  <c r="H297" i="5"/>
  <c r="H217" i="5"/>
  <c r="H189" i="5"/>
  <c r="H225" i="5"/>
  <c r="H248" i="5"/>
  <c r="H236" i="5"/>
  <c r="H188" i="5"/>
  <c r="H280" i="5"/>
  <c r="H208" i="5"/>
  <c r="H293" i="5"/>
  <c r="H253" i="5"/>
  <c r="H221" i="5"/>
  <c r="H197" i="5"/>
  <c r="H373" i="5"/>
  <c r="H323" i="5"/>
  <c r="H319" i="5"/>
  <c r="H303" i="5"/>
  <c r="H287" i="5"/>
  <c r="H279" i="5"/>
  <c r="H259" i="5"/>
  <c r="H247" i="5"/>
  <c r="H370" i="5"/>
  <c r="H362" i="5"/>
  <c r="H354" i="5"/>
  <c r="H346" i="5"/>
  <c r="H338" i="5"/>
  <c r="H330" i="5"/>
  <c r="H265" i="5"/>
  <c r="H233" i="5"/>
  <c r="H205" i="5"/>
  <c r="H329" i="5"/>
  <c r="H361" i="5"/>
  <c r="H276" i="5"/>
  <c r="H272" i="5"/>
  <c r="H240" i="5"/>
  <c r="H212" i="5"/>
  <c r="H200" i="5"/>
  <c r="H192" i="5"/>
  <c r="H268" i="5"/>
  <c r="H264" i="5"/>
  <c r="H260" i="5"/>
  <c r="H252" i="5"/>
  <c r="H232" i="5"/>
  <c r="H204" i="5"/>
  <c r="H269" i="5"/>
  <c r="H285" i="5"/>
  <c r="H333" i="5"/>
  <c r="H283" i="5"/>
  <c r="H267" i="5"/>
  <c r="H263" i="5"/>
  <c r="H255" i="5"/>
  <c r="H215" i="5"/>
  <c r="H211" i="5"/>
  <c r="H376" i="5"/>
  <c r="H372" i="5"/>
  <c r="H358" i="5"/>
  <c r="H344" i="5"/>
  <c r="H340" i="5"/>
  <c r="H326" i="5"/>
  <c r="H281" i="5"/>
  <c r="H237" i="5"/>
  <c r="H357" i="5"/>
  <c r="H251" i="5"/>
  <c r="H243" i="5"/>
  <c r="H239" i="5"/>
  <c r="H235" i="5"/>
  <c r="H207" i="5"/>
  <c r="H203" i="5"/>
  <c r="H368" i="5"/>
  <c r="H364" i="5"/>
  <c r="H350" i="5"/>
  <c r="H336" i="5"/>
  <c r="H332" i="5"/>
  <c r="H349" i="5"/>
  <c r="H322" i="5"/>
  <c r="H306" i="5"/>
  <c r="H270" i="5"/>
  <c r="H258" i="5"/>
  <c r="H238" i="5"/>
  <c r="H234" i="5"/>
  <c r="H226" i="5"/>
  <c r="H218" i="5"/>
  <c r="H210" i="5"/>
  <c r="H231" i="5"/>
  <c r="H199" i="5"/>
  <c r="H374" i="5"/>
  <c r="H356" i="5"/>
  <c r="H328" i="5"/>
  <c r="H317" i="5"/>
  <c r="H301" i="5"/>
  <c r="H249" i="5"/>
  <c r="H310" i="5"/>
  <c r="H294" i="5"/>
  <c r="H286" i="5"/>
  <c r="H282" i="5"/>
  <c r="H266" i="5"/>
  <c r="H246" i="5"/>
  <c r="H353" i="5"/>
  <c r="H314" i="5"/>
  <c r="H298" i="5"/>
  <c r="H254" i="5"/>
  <c r="H198" i="5"/>
  <c r="H209" i="5"/>
  <c r="H325" i="5"/>
  <c r="H299" i="5"/>
  <c r="H295" i="5"/>
  <c r="H291" i="5"/>
  <c r="H227" i="5"/>
  <c r="H195" i="5"/>
  <c r="H360" i="5"/>
  <c r="H342" i="5"/>
  <c r="H324" i="5"/>
  <c r="H290" i="5"/>
  <c r="H341" i="5"/>
  <c r="H278" i="5"/>
  <c r="H309" i="5"/>
  <c r="H193" i="5"/>
  <c r="H315" i="5"/>
  <c r="H311" i="5"/>
  <c r="H307" i="5"/>
  <c r="H275" i="5"/>
  <c r="H271" i="5"/>
  <c r="H223" i="5"/>
  <c r="H219" i="5"/>
  <c r="H191" i="5"/>
  <c r="H187" i="5"/>
  <c r="H366" i="5"/>
  <c r="H352" i="5"/>
  <c r="H348" i="5"/>
  <c r="H334" i="5"/>
  <c r="H213" i="5"/>
  <c r="H242" i="5"/>
  <c r="H337" i="5"/>
  <c r="H274" i="5"/>
  <c r="H262" i="5"/>
  <c r="H250" i="5"/>
  <c r="H230" i="5"/>
  <c r="H186" i="5"/>
  <c r="H302" i="5"/>
  <c r="H206" i="5"/>
  <c r="H190" i="5"/>
  <c r="H196" i="5"/>
  <c r="H369" i="5"/>
  <c r="H222" i="5"/>
  <c r="H318" i="5"/>
  <c r="H214" i="5"/>
  <c r="H202" i="5"/>
  <c r="H194" i="5"/>
  <c r="I291" i="5"/>
  <c r="I307" i="5"/>
  <c r="I323" i="5"/>
  <c r="I280" i="5"/>
  <c r="I311" i="5"/>
  <c r="I319" i="5"/>
  <c r="I295" i="5"/>
  <c r="I303" i="5"/>
  <c r="I276" i="5"/>
  <c r="I299" i="5"/>
  <c r="I315" i="5"/>
  <c r="I287" i="5"/>
  <c r="I249" i="5"/>
  <c r="I324" i="5"/>
  <c r="I262" i="5"/>
  <c r="I230" i="5"/>
  <c r="I202" i="5"/>
  <c r="I306" i="5"/>
  <c r="I314" i="5"/>
  <c r="I242" i="5"/>
  <c r="I290" i="5"/>
  <c r="I274" i="5"/>
  <c r="I246" i="5"/>
  <c r="I277" i="5"/>
  <c r="I269" i="5"/>
  <c r="I241" i="5"/>
  <c r="I233" i="5"/>
  <c r="I213" i="5"/>
  <c r="I205" i="5"/>
  <c r="I197" i="5"/>
  <c r="I372" i="5"/>
  <c r="I364" i="5"/>
  <c r="I356" i="5"/>
  <c r="I348" i="5"/>
  <c r="I340" i="5"/>
  <c r="I298" i="5"/>
  <c r="I278" i="5"/>
  <c r="I218" i="5"/>
  <c r="I190" i="5"/>
  <c r="I217" i="5"/>
  <c r="I209" i="5"/>
  <c r="I368" i="5"/>
  <c r="I354" i="5"/>
  <c r="I350" i="5"/>
  <c r="I322" i="5"/>
  <c r="I281" i="5"/>
  <c r="I201" i="5"/>
  <c r="I193" i="5"/>
  <c r="I378" i="5"/>
  <c r="I374" i="5"/>
  <c r="I360" i="5"/>
  <c r="I346" i="5"/>
  <c r="I342" i="5"/>
  <c r="I336" i="5"/>
  <c r="I328" i="5"/>
  <c r="I301" i="5"/>
  <c r="I286" i="5"/>
  <c r="I316" i="5"/>
  <c r="I300" i="5"/>
  <c r="I268" i="5"/>
  <c r="I256" i="5"/>
  <c r="I236" i="5"/>
  <c r="I228" i="5"/>
  <c r="I220" i="5"/>
  <c r="I212" i="5"/>
  <c r="I204" i="5"/>
  <c r="I196" i="5"/>
  <c r="I188" i="5"/>
  <c r="I318" i="5"/>
  <c r="I258" i="5"/>
  <c r="I273" i="5"/>
  <c r="I237" i="5"/>
  <c r="I189" i="5"/>
  <c r="I370" i="5"/>
  <c r="I366" i="5"/>
  <c r="I352" i="5"/>
  <c r="I226" i="5"/>
  <c r="I261" i="5"/>
  <c r="I253" i="5"/>
  <c r="I245" i="5"/>
  <c r="I229" i="5"/>
  <c r="I225" i="5"/>
  <c r="I221" i="5"/>
  <c r="I376" i="5"/>
  <c r="I362" i="5"/>
  <c r="I358" i="5"/>
  <c r="I344" i="5"/>
  <c r="I332" i="5"/>
  <c r="I317" i="5"/>
  <c r="I285" i="5"/>
  <c r="I310" i="5"/>
  <c r="I338" i="5"/>
  <c r="I293" i="5"/>
  <c r="I238" i="5"/>
  <c r="I260" i="5"/>
  <c r="I252" i="5"/>
  <c r="I248" i="5"/>
  <c r="I244" i="5"/>
  <c r="I240" i="5"/>
  <c r="I208" i="5"/>
  <c r="I326" i="5"/>
  <c r="I257" i="5"/>
  <c r="I294" i="5"/>
  <c r="I254" i="5"/>
  <c r="I222" i="5"/>
  <c r="I210" i="5"/>
  <c r="I296" i="5"/>
  <c r="I292" i="5"/>
  <c r="I288" i="5"/>
  <c r="I232" i="5"/>
  <c r="I200" i="5"/>
  <c r="I302" i="5"/>
  <c r="I266" i="5"/>
  <c r="I250" i="5"/>
  <c r="I283" i="5"/>
  <c r="I271" i="5"/>
  <c r="I251" i="5"/>
  <c r="I199" i="5"/>
  <c r="I191" i="5"/>
  <c r="I373" i="5"/>
  <c r="I365" i="5"/>
  <c r="I357" i="5"/>
  <c r="I349" i="5"/>
  <c r="I341" i="5"/>
  <c r="I333" i="5"/>
  <c r="I325" i="5"/>
  <c r="I305" i="5"/>
  <c r="I224" i="5"/>
  <c r="I192" i="5"/>
  <c r="I284" i="5"/>
  <c r="I234" i="5"/>
  <c r="I186" i="5"/>
  <c r="I259" i="5"/>
  <c r="I247" i="5"/>
  <c r="I223" i="5"/>
  <c r="I215" i="5"/>
  <c r="I207" i="5"/>
  <c r="I371" i="5"/>
  <c r="I355" i="5"/>
  <c r="I347" i="5"/>
  <c r="I339" i="5"/>
  <c r="I313" i="5"/>
  <c r="I255" i="5"/>
  <c r="I239" i="5"/>
  <c r="I203" i="5"/>
  <c r="I330" i="5"/>
  <c r="I270" i="5"/>
  <c r="I198" i="5"/>
  <c r="I194" i="5"/>
  <c r="I312" i="5"/>
  <c r="I308" i="5"/>
  <c r="I304" i="5"/>
  <c r="I214" i="5"/>
  <c r="I279" i="5"/>
  <c r="I231" i="5"/>
  <c r="I363" i="5"/>
  <c r="I331" i="5"/>
  <c r="I267" i="5"/>
  <c r="I334" i="5"/>
  <c r="I309" i="5"/>
  <c r="I320" i="5"/>
  <c r="I264" i="5"/>
  <c r="I216" i="5"/>
  <c r="I265" i="5"/>
  <c r="I282" i="5"/>
  <c r="I206" i="5"/>
  <c r="I275" i="5"/>
  <c r="I337" i="5"/>
  <c r="I243" i="5"/>
  <c r="I219" i="5"/>
  <c r="I367" i="5"/>
  <c r="I351" i="5"/>
  <c r="I335" i="5"/>
  <c r="I297" i="5"/>
  <c r="I263" i="5"/>
  <c r="I195" i="5"/>
  <c r="I361" i="5"/>
  <c r="I345" i="5"/>
  <c r="I329" i="5"/>
  <c r="I359" i="5"/>
  <c r="I343" i="5"/>
  <c r="I211" i="5"/>
  <c r="I353" i="5"/>
  <c r="I321" i="5"/>
  <c r="I272" i="5"/>
  <c r="I227" i="5"/>
  <c r="I377" i="5"/>
  <c r="I289" i="5"/>
  <c r="I327" i="5"/>
  <c r="I187" i="5"/>
  <c r="I235" i="5"/>
  <c r="I375" i="5"/>
  <c r="I369" i="5"/>
  <c r="F340" i="5"/>
  <c r="F356" i="5"/>
  <c r="F372" i="5"/>
  <c r="F332" i="5"/>
  <c r="F348" i="5"/>
  <c r="F364" i="5"/>
  <c r="F207" i="5"/>
  <c r="F336" i="5"/>
  <c r="F352" i="5"/>
  <c r="F368" i="5"/>
  <c r="F360" i="5"/>
  <c r="F344" i="5"/>
  <c r="F328" i="5"/>
  <c r="F376" i="5"/>
  <c r="F298" i="5"/>
  <c r="F218" i="5"/>
  <c r="F190" i="5"/>
  <c r="F378" i="5"/>
  <c r="F346" i="5"/>
  <c r="F322" i="5"/>
  <c r="F258" i="5"/>
  <c r="F226" i="5"/>
  <c r="F277" i="5"/>
  <c r="F269" i="5"/>
  <c r="F249" i="5"/>
  <c r="F209" i="5"/>
  <c r="F201" i="5"/>
  <c r="F189" i="5"/>
  <c r="F262" i="5"/>
  <c r="F230" i="5"/>
  <c r="F202" i="5"/>
  <c r="F306" i="5"/>
  <c r="F274" i="5"/>
  <c r="F314" i="5"/>
  <c r="F278" i="5"/>
  <c r="F242" i="5"/>
  <c r="F290" i="5"/>
  <c r="F246" i="5"/>
  <c r="F309" i="5"/>
  <c r="F293" i="5"/>
  <c r="F265" i="5"/>
  <c r="F261" i="5"/>
  <c r="F257" i="5"/>
  <c r="F253" i="5"/>
  <c r="F245" i="5"/>
  <c r="F233" i="5"/>
  <c r="F229" i="5"/>
  <c r="F225" i="5"/>
  <c r="F221" i="5"/>
  <c r="F213" i="5"/>
  <c r="F362" i="5"/>
  <c r="F313" i="5"/>
  <c r="F297" i="5"/>
  <c r="F217" i="5"/>
  <c r="F205" i="5"/>
  <c r="F310" i="5"/>
  <c r="F338" i="5"/>
  <c r="F308" i="5"/>
  <c r="F292" i="5"/>
  <c r="F284" i="5"/>
  <c r="F252" i="5"/>
  <c r="F240" i="5"/>
  <c r="F232" i="5"/>
  <c r="F224" i="5"/>
  <c r="F216" i="5"/>
  <c r="F208" i="5"/>
  <c r="F200" i="5"/>
  <c r="F192" i="5"/>
  <c r="F373" i="5"/>
  <c r="F365" i="5"/>
  <c r="F357" i="5"/>
  <c r="F349" i="5"/>
  <c r="F341" i="5"/>
  <c r="F333" i="5"/>
  <c r="F325" i="5"/>
  <c r="F350" i="5"/>
  <c r="F317" i="5"/>
  <c r="F301" i="5"/>
  <c r="F285" i="5"/>
  <c r="F281" i="5"/>
  <c r="F197" i="5"/>
  <c r="F366" i="5"/>
  <c r="F321" i="5"/>
  <c r="F305" i="5"/>
  <c r="F289" i="5"/>
  <c r="F273" i="5"/>
  <c r="F241" i="5"/>
  <c r="F237" i="5"/>
  <c r="F193" i="5"/>
  <c r="F286" i="5"/>
  <c r="F194" i="5"/>
  <c r="F358" i="5"/>
  <c r="F320" i="5"/>
  <c r="F316" i="5"/>
  <c r="F312" i="5"/>
  <c r="F280" i="5"/>
  <c r="F276" i="5"/>
  <c r="F272" i="5"/>
  <c r="F220" i="5"/>
  <c r="F188" i="5"/>
  <c r="F369" i="5"/>
  <c r="F355" i="5"/>
  <c r="F351" i="5"/>
  <c r="F337" i="5"/>
  <c r="F330" i="5"/>
  <c r="F324" i="5"/>
  <c r="F268" i="5"/>
  <c r="F264" i="5"/>
  <c r="F260" i="5"/>
  <c r="F256" i="5"/>
  <c r="F248" i="5"/>
  <c r="F212" i="5"/>
  <c r="F375" i="5"/>
  <c r="F361" i="5"/>
  <c r="F347" i="5"/>
  <c r="F343" i="5"/>
  <c r="F329" i="5"/>
  <c r="F282" i="5"/>
  <c r="F334" i="5"/>
  <c r="F319" i="5"/>
  <c r="F303" i="5"/>
  <c r="F275" i="5"/>
  <c r="F263" i="5"/>
  <c r="F251" i="5"/>
  <c r="F231" i="5"/>
  <c r="F223" i="5"/>
  <c r="F215" i="5"/>
  <c r="F203" i="5"/>
  <c r="F195" i="5"/>
  <c r="F187" i="5"/>
  <c r="F204" i="5"/>
  <c r="F371" i="5"/>
  <c r="F367" i="5"/>
  <c r="F353" i="5"/>
  <c r="F339" i="5"/>
  <c r="F335" i="5"/>
  <c r="F266" i="5"/>
  <c r="F354" i="5"/>
  <c r="F323" i="5"/>
  <c r="F307" i="5"/>
  <c r="F271" i="5"/>
  <c r="F259" i="5"/>
  <c r="F235" i="5"/>
  <c r="F227" i="5"/>
  <c r="F219" i="5"/>
  <c r="F211" i="5"/>
  <c r="F239" i="5"/>
  <c r="F326" i="5"/>
  <c r="F186" i="5"/>
  <c r="F311" i="5"/>
  <c r="F295" i="5"/>
  <c r="F287" i="5"/>
  <c r="F283" i="5"/>
  <c r="F267" i="5"/>
  <c r="F247" i="5"/>
  <c r="F294" i="5"/>
  <c r="F254" i="5"/>
  <c r="F238" i="5"/>
  <c r="F222" i="5"/>
  <c r="F342" i="5"/>
  <c r="F288" i="5"/>
  <c r="F244" i="5"/>
  <c r="F236" i="5"/>
  <c r="F270" i="5"/>
  <c r="F210" i="5"/>
  <c r="F198" i="5"/>
  <c r="F374" i="5"/>
  <c r="F304" i="5"/>
  <c r="F300" i="5"/>
  <c r="F296" i="5"/>
  <c r="F228" i="5"/>
  <c r="F196" i="5"/>
  <c r="F377" i="5"/>
  <c r="F363" i="5"/>
  <c r="F359" i="5"/>
  <c r="F345" i="5"/>
  <c r="F331" i="5"/>
  <c r="F327" i="5"/>
  <c r="F318" i="5"/>
  <c r="F302" i="5"/>
  <c r="F250" i="5"/>
  <c r="F234" i="5"/>
  <c r="F370" i="5"/>
  <c r="F291" i="5"/>
  <c r="F214" i="5"/>
  <c r="F315" i="5"/>
  <c r="F279" i="5"/>
  <c r="F206" i="5"/>
  <c r="F199" i="5"/>
  <c r="F255" i="5"/>
  <c r="F243" i="5"/>
  <c r="F299" i="5"/>
  <c r="F191" i="5"/>
  <c r="J328" i="5"/>
  <c r="J344" i="5"/>
  <c r="J360" i="5"/>
  <c r="J376" i="5"/>
  <c r="D1079" i="6" s="1"/>
  <c r="J336" i="5"/>
  <c r="D545" i="6" s="1"/>
  <c r="J352" i="5"/>
  <c r="D810" i="7" s="1"/>
  <c r="J368" i="5"/>
  <c r="D643" i="7" s="1"/>
  <c r="J324" i="5"/>
  <c r="D670" i="6" s="1"/>
  <c r="J340" i="5"/>
  <c r="D684" i="6" s="1"/>
  <c r="J356" i="5"/>
  <c r="D1059" i="6" s="1"/>
  <c r="J372" i="5"/>
  <c r="D1075" i="6" s="1"/>
  <c r="J364" i="5"/>
  <c r="D1067" i="6" s="1"/>
  <c r="J348" i="5"/>
  <c r="D937" i="7" s="1"/>
  <c r="J332" i="5"/>
  <c r="D1035" i="6" s="1"/>
  <c r="J314" i="5"/>
  <c r="D772" i="7" s="1"/>
  <c r="J278" i="5"/>
  <c r="D736" i="7" s="1"/>
  <c r="J290" i="5"/>
  <c r="D748" i="7" s="1"/>
  <c r="J298" i="5"/>
  <c r="D1001" i="6" s="1"/>
  <c r="J218" i="5"/>
  <c r="D577" i="6" s="1"/>
  <c r="J190" i="5"/>
  <c r="J261" i="5"/>
  <c r="J237" i="5"/>
  <c r="J229" i="5"/>
  <c r="J193" i="5"/>
  <c r="D651" i="7" s="1"/>
  <c r="J242" i="5"/>
  <c r="D768" i="6" s="1"/>
  <c r="J366" i="5"/>
  <c r="D878" i="6" s="1"/>
  <c r="J322" i="5"/>
  <c r="D571" i="7" s="1"/>
  <c r="J258" i="5"/>
  <c r="D782" i="6" s="1"/>
  <c r="J262" i="5"/>
  <c r="D519" i="7" s="1"/>
  <c r="J230" i="5"/>
  <c r="D933" i="6" s="1"/>
  <c r="J202" i="5"/>
  <c r="D466" i="7" s="1"/>
  <c r="J378" i="5"/>
  <c r="D836" i="7" s="1"/>
  <c r="J346" i="5"/>
  <c r="D859" i="6" s="1"/>
  <c r="J362" i="5"/>
  <c r="D704" i="6" s="1"/>
  <c r="J321" i="5"/>
  <c r="D837" i="6" s="1"/>
  <c r="J305" i="5"/>
  <c r="J289" i="5"/>
  <c r="D992" i="6" s="1"/>
  <c r="J285" i="5"/>
  <c r="D806" i="6" s="1"/>
  <c r="J273" i="5"/>
  <c r="J269" i="5"/>
  <c r="D622" i="6" s="1"/>
  <c r="J241" i="5"/>
  <c r="J274" i="5"/>
  <c r="D977" i="6" s="1"/>
  <c r="J246" i="5"/>
  <c r="D534" i="6" s="1"/>
  <c r="J226" i="5"/>
  <c r="D754" i="6" s="1"/>
  <c r="J309" i="5"/>
  <c r="D1012" i="6" s="1"/>
  <c r="J293" i="5"/>
  <c r="J265" i="5"/>
  <c r="D968" i="6" s="1"/>
  <c r="J257" i="5"/>
  <c r="D781" i="6" s="1"/>
  <c r="J253" i="5"/>
  <c r="D511" i="7" s="1"/>
  <c r="J249" i="5"/>
  <c r="D873" i="7" s="1"/>
  <c r="J245" i="5"/>
  <c r="D948" i="6" s="1"/>
  <c r="J233" i="5"/>
  <c r="J225" i="5"/>
  <c r="D683" i="7" s="1"/>
  <c r="J221" i="5"/>
  <c r="J213" i="5"/>
  <c r="D475" i="7" s="1"/>
  <c r="J217" i="5"/>
  <c r="D920" i="6" s="1"/>
  <c r="J270" i="5"/>
  <c r="D623" i="6" s="1"/>
  <c r="J238" i="5"/>
  <c r="D498" i="7" s="1"/>
  <c r="J210" i="5"/>
  <c r="D913" i="6" s="1"/>
  <c r="J194" i="5"/>
  <c r="D725" i="6" s="1"/>
  <c r="J326" i="5"/>
  <c r="D575" i="7" s="1"/>
  <c r="J312" i="5"/>
  <c r="D829" i="6" s="1"/>
  <c r="J296" i="5"/>
  <c r="D900" i="7" s="1"/>
  <c r="J272" i="5"/>
  <c r="D795" i="6" s="1"/>
  <c r="J264" i="5"/>
  <c r="D967" i="6" s="1"/>
  <c r="J244" i="5"/>
  <c r="D870" i="7" s="1"/>
  <c r="J375" i="5"/>
  <c r="D716" i="6" s="1"/>
  <c r="J367" i="5"/>
  <c r="D825" i="7" s="1"/>
  <c r="J359" i="5"/>
  <c r="D604" i="7" s="1"/>
  <c r="J351" i="5"/>
  <c r="D809" i="7" s="1"/>
  <c r="J343" i="5"/>
  <c r="D857" i="6" s="1"/>
  <c r="J335" i="5"/>
  <c r="D850" i="6" s="1"/>
  <c r="J327" i="5"/>
  <c r="D1030" i="6" s="1"/>
  <c r="J302" i="5"/>
  <c r="D820" i="6" s="1"/>
  <c r="J250" i="5"/>
  <c r="D953" i="6" s="1"/>
  <c r="J214" i="5"/>
  <c r="D476" i="7" s="1"/>
  <c r="J370" i="5"/>
  <c r="D614" i="7" s="1"/>
  <c r="J354" i="5"/>
  <c r="D600" i="7" s="1"/>
  <c r="J338" i="5"/>
  <c r="D1041" i="6" s="1"/>
  <c r="J313" i="5"/>
  <c r="D660" i="6" s="1"/>
  <c r="J297" i="5"/>
  <c r="D816" i="6" s="1"/>
  <c r="J209" i="5"/>
  <c r="D472" i="7" s="1"/>
  <c r="J205" i="5"/>
  <c r="J306" i="5"/>
  <c r="J317" i="5"/>
  <c r="D1020" i="6" s="1"/>
  <c r="J301" i="5"/>
  <c r="D541" i="6" s="1"/>
  <c r="J281" i="5"/>
  <c r="D984" i="6" s="1"/>
  <c r="J277" i="5"/>
  <c r="J201" i="5"/>
  <c r="D465" i="7" s="1"/>
  <c r="J197" i="5"/>
  <c r="J189" i="5"/>
  <c r="J294" i="5"/>
  <c r="D644" i="6" s="1"/>
  <c r="J254" i="5"/>
  <c r="D712" i="7" s="1"/>
  <c r="J310" i="5"/>
  <c r="D1013" i="6" s="1"/>
  <c r="J198" i="5"/>
  <c r="J308" i="5"/>
  <c r="D1011" i="6" s="1"/>
  <c r="J304" i="5"/>
  <c r="D762" i="7" s="1"/>
  <c r="J300" i="5"/>
  <c r="D649" i="6" s="1"/>
  <c r="J228" i="5"/>
  <c r="D686" i="7" s="1"/>
  <c r="J224" i="5"/>
  <c r="D752" i="6" s="1"/>
  <c r="J196" i="5"/>
  <c r="D654" i="7" s="1"/>
  <c r="J192" i="5"/>
  <c r="J365" i="5"/>
  <c r="D1068" i="6" s="1"/>
  <c r="J361" i="5"/>
  <c r="D703" i="6" s="1"/>
  <c r="J347" i="5"/>
  <c r="D936" i="7" s="1"/>
  <c r="J333" i="5"/>
  <c r="J329" i="5"/>
  <c r="J318" i="5"/>
  <c r="J234" i="5"/>
  <c r="D591" i="6" s="1"/>
  <c r="J286" i="5"/>
  <c r="D634" i="7" s="1"/>
  <c r="J320" i="5"/>
  <c r="D778" i="7" s="1"/>
  <c r="J316" i="5"/>
  <c r="D774" i="7" s="1"/>
  <c r="J284" i="5"/>
  <c r="D805" i="6" s="1"/>
  <c r="J280" i="5"/>
  <c r="D801" i="6" s="1"/>
  <c r="J276" i="5"/>
  <c r="D734" i="7" s="1"/>
  <c r="J220" i="5"/>
  <c r="D749" i="6" s="1"/>
  <c r="J216" i="5"/>
  <c r="D919" i="6" s="1"/>
  <c r="J188" i="5"/>
  <c r="D720" i="6" s="1"/>
  <c r="J371" i="5"/>
  <c r="D829" i="7" s="1"/>
  <c r="J357" i="5"/>
  <c r="D870" i="6" s="1"/>
  <c r="J353" i="5"/>
  <c r="J339" i="5"/>
  <c r="D853" i="6" s="1"/>
  <c r="J325" i="5"/>
  <c r="J206" i="5"/>
  <c r="D566" i="6" s="1"/>
  <c r="J358" i="5"/>
  <c r="D816" i="7" s="1"/>
  <c r="J315" i="5"/>
  <c r="D1018" i="6" s="1"/>
  <c r="J299" i="5"/>
  <c r="J279" i="5"/>
  <c r="D533" i="7" s="1"/>
  <c r="J255" i="5"/>
  <c r="D513" i="7" s="1"/>
  <c r="J243" i="5"/>
  <c r="D502" i="7" s="1"/>
  <c r="J212" i="5"/>
  <c r="D915" i="6" s="1"/>
  <c r="J363" i="5"/>
  <c r="D875" i="6" s="1"/>
  <c r="J349" i="5"/>
  <c r="D807" i="7" s="1"/>
  <c r="J345" i="5"/>
  <c r="D1048" i="6" s="1"/>
  <c r="J331" i="5"/>
  <c r="D1034" i="6" s="1"/>
  <c r="J330" i="5"/>
  <c r="D675" i="6" s="1"/>
  <c r="J303" i="5"/>
  <c r="D761" i="7" s="1"/>
  <c r="J275" i="5"/>
  <c r="D530" i="7" s="1"/>
  <c r="J263" i="5"/>
  <c r="D966" i="6" s="1"/>
  <c r="J251" i="5"/>
  <c r="D509" i="7" s="1"/>
  <c r="J203" i="5"/>
  <c r="D467" i="7" s="1"/>
  <c r="J199" i="5"/>
  <c r="D902" i="6" s="1"/>
  <c r="J195" i="5"/>
  <c r="D653" i="7" s="1"/>
  <c r="J191" i="5"/>
  <c r="D623" i="7" s="1"/>
  <c r="J187" i="5"/>
  <c r="J271" i="5"/>
  <c r="D624" i="6" s="1"/>
  <c r="J235" i="5"/>
  <c r="D762" i="6" s="1"/>
  <c r="J227" i="5"/>
  <c r="D930" i="6" s="1"/>
  <c r="J219" i="5"/>
  <c r="D677" i="7" s="1"/>
  <c r="J215" i="5"/>
  <c r="D918" i="6" s="1"/>
  <c r="J207" i="5"/>
  <c r="D848" i="7" s="1"/>
  <c r="J374" i="5"/>
  <c r="D885" i="6" s="1"/>
  <c r="J268" i="5"/>
  <c r="D726" i="7" s="1"/>
  <c r="J260" i="5"/>
  <c r="J256" i="5"/>
  <c r="D535" i="6" s="1"/>
  <c r="J252" i="5"/>
  <c r="D777" i="6" s="1"/>
  <c r="J248" i="5"/>
  <c r="D506" i="7" s="1"/>
  <c r="J240" i="5"/>
  <c r="J208" i="5"/>
  <c r="D471" i="7" s="1"/>
  <c r="J377" i="5"/>
  <c r="J282" i="5"/>
  <c r="D633" i="6" s="1"/>
  <c r="J342" i="5"/>
  <c r="D933" i="7" s="1"/>
  <c r="J319" i="5"/>
  <c r="D835" i="6" s="1"/>
  <c r="J307" i="5"/>
  <c r="D655" i="6" s="1"/>
  <c r="J223" i="5"/>
  <c r="D857" i="7" s="1"/>
  <c r="J222" i="5"/>
  <c r="D626" i="7" s="1"/>
  <c r="J334" i="5"/>
  <c r="D926" i="7" s="1"/>
  <c r="J292" i="5"/>
  <c r="D995" i="6" s="1"/>
  <c r="J288" i="5"/>
  <c r="D746" i="7" s="1"/>
  <c r="J236" i="5"/>
  <c r="D939" i="6" s="1"/>
  <c r="J232" i="5"/>
  <c r="J204" i="5"/>
  <c r="D907" i="6" s="1"/>
  <c r="J200" i="5"/>
  <c r="J373" i="5"/>
  <c r="D1076" i="6" s="1"/>
  <c r="J369" i="5"/>
  <c r="D1072" i="6" s="1"/>
  <c r="J355" i="5"/>
  <c r="D868" i="6" s="1"/>
  <c r="J341" i="5"/>
  <c r="D588" i="7" s="1"/>
  <c r="J337" i="5"/>
  <c r="D851" i="6" s="1"/>
  <c r="J266" i="5"/>
  <c r="D789" i="6" s="1"/>
  <c r="J323" i="5"/>
  <c r="D839" i="6" s="1"/>
  <c r="J259" i="5"/>
  <c r="D881" i="7" s="1"/>
  <c r="J231" i="5"/>
  <c r="D934" i="6" s="1"/>
  <c r="J211" i="5"/>
  <c r="J295" i="5"/>
  <c r="D998" i="6" s="1"/>
  <c r="J267" i="5"/>
  <c r="D885" i="7" s="1"/>
  <c r="J311" i="5"/>
  <c r="D1014" i="6" s="1"/>
  <c r="J291" i="5"/>
  <c r="D544" i="7" s="1"/>
  <c r="J186" i="5"/>
  <c r="J287" i="5"/>
  <c r="D540" i="7" s="1"/>
  <c r="J239" i="5"/>
  <c r="J350" i="5"/>
  <c r="J283" i="5"/>
  <c r="D986" i="6" s="1"/>
  <c r="J247" i="5"/>
  <c r="D705" i="7" s="1"/>
  <c r="E530" i="6"/>
  <c r="C453" i="7"/>
  <c r="C457" i="7"/>
  <c r="C461" i="7"/>
  <c r="C465" i="7"/>
  <c r="C469" i="7"/>
  <c r="C473" i="7"/>
  <c r="C477" i="7"/>
  <c r="C481" i="7"/>
  <c r="C485" i="7"/>
  <c r="C489" i="7"/>
  <c r="C493" i="7"/>
  <c r="C497" i="7"/>
  <c r="C501" i="7"/>
  <c r="C505" i="7"/>
  <c r="C509" i="7"/>
  <c r="C513" i="7"/>
  <c r="C517" i="7"/>
  <c r="C521" i="7"/>
  <c r="C525" i="7"/>
  <c r="C529" i="7"/>
  <c r="C533" i="7"/>
  <c r="C537" i="7"/>
  <c r="C541" i="7"/>
  <c r="C545" i="7"/>
  <c r="C549" i="7"/>
  <c r="C553" i="7"/>
  <c r="C557" i="7"/>
  <c r="C561" i="7"/>
  <c r="C565" i="7"/>
  <c r="C569" i="7"/>
  <c r="C573" i="7"/>
  <c r="C452" i="7"/>
  <c r="C456" i="7"/>
  <c r="C460" i="7"/>
  <c r="C464" i="7"/>
  <c r="C468" i="7"/>
  <c r="C472" i="7"/>
  <c r="C476" i="7"/>
  <c r="C480" i="7"/>
  <c r="C484" i="7"/>
  <c r="C488" i="7"/>
  <c r="C492" i="7"/>
  <c r="C496" i="7"/>
  <c r="C500" i="7"/>
  <c r="C504" i="7"/>
  <c r="C508" i="7"/>
  <c r="C512" i="7"/>
  <c r="C516" i="7"/>
  <c r="C520" i="7"/>
  <c r="C524" i="7"/>
  <c r="C528" i="7"/>
  <c r="C532" i="7"/>
  <c r="C536" i="7"/>
  <c r="C540" i="7"/>
  <c r="C544" i="7"/>
  <c r="C548" i="7"/>
  <c r="C552" i="7"/>
  <c r="C556" i="7"/>
  <c r="C560" i="7"/>
  <c r="C564" i="7"/>
  <c r="C568" i="7"/>
  <c r="C572" i="7"/>
  <c r="C455" i="7"/>
  <c r="C459" i="7"/>
  <c r="C463" i="7"/>
  <c r="C467" i="7"/>
  <c r="C471" i="7"/>
  <c r="C475" i="7"/>
  <c r="C479" i="7"/>
  <c r="C483" i="7"/>
  <c r="C487" i="7"/>
  <c r="C491" i="7"/>
  <c r="C495" i="7"/>
  <c r="C499" i="7"/>
  <c r="C503" i="7"/>
  <c r="C507" i="7"/>
  <c r="C511" i="7"/>
  <c r="C515" i="7"/>
  <c r="C519" i="7"/>
  <c r="C523" i="7"/>
  <c r="C527" i="7"/>
  <c r="C531" i="7"/>
  <c r="C535" i="7"/>
  <c r="C539" i="7"/>
  <c r="C543" i="7"/>
  <c r="C547" i="7"/>
  <c r="C551" i="7"/>
  <c r="C555" i="7"/>
  <c r="C559" i="7"/>
  <c r="C563" i="7"/>
  <c r="C567" i="7"/>
  <c r="C571" i="7"/>
  <c r="C454" i="7"/>
  <c r="C458" i="7"/>
  <c r="C462" i="7"/>
  <c r="C466" i="7"/>
  <c r="C470" i="7"/>
  <c r="C474" i="7"/>
  <c r="C478" i="7"/>
  <c r="C482" i="7"/>
  <c r="C486" i="7"/>
  <c r="C490" i="7"/>
  <c r="C494" i="7"/>
  <c r="C498" i="7"/>
  <c r="C502" i="7"/>
  <c r="C506" i="7"/>
  <c r="C510" i="7"/>
  <c r="C514" i="7"/>
  <c r="C518" i="7"/>
  <c r="C522" i="7"/>
  <c r="C526" i="7"/>
  <c r="C530" i="7"/>
  <c r="C534" i="7"/>
  <c r="C538" i="7"/>
  <c r="C542" i="7"/>
  <c r="C546" i="7"/>
  <c r="C550" i="7"/>
  <c r="C554" i="7"/>
  <c r="C558" i="7"/>
  <c r="C562" i="7"/>
  <c r="C570" i="7"/>
  <c r="C575" i="7"/>
  <c r="C579" i="7"/>
  <c r="C583" i="7"/>
  <c r="C587" i="7"/>
  <c r="C591" i="7"/>
  <c r="C595" i="7"/>
  <c r="C599" i="7"/>
  <c r="C603" i="7"/>
  <c r="C607" i="7"/>
  <c r="C611" i="7"/>
  <c r="C615" i="7"/>
  <c r="C619" i="7"/>
  <c r="C623" i="7"/>
  <c r="C627" i="7"/>
  <c r="C631" i="7"/>
  <c r="C635" i="7"/>
  <c r="C639" i="7"/>
  <c r="C643" i="7"/>
  <c r="C647" i="7"/>
  <c r="C651" i="7"/>
  <c r="C655" i="7"/>
  <c r="C659" i="7"/>
  <c r="C663" i="7"/>
  <c r="C667" i="7"/>
  <c r="C671" i="7"/>
  <c r="C675" i="7"/>
  <c r="C679" i="7"/>
  <c r="C683" i="7"/>
  <c r="C687" i="7"/>
  <c r="C691" i="7"/>
  <c r="C695" i="7"/>
  <c r="C699" i="7"/>
  <c r="C703" i="7"/>
  <c r="C707" i="7"/>
  <c r="C711" i="7"/>
  <c r="C715" i="7"/>
  <c r="C719" i="7"/>
  <c r="C723" i="7"/>
  <c r="C727" i="7"/>
  <c r="C731" i="7"/>
  <c r="C735" i="7"/>
  <c r="C739" i="7"/>
  <c r="C743" i="7"/>
  <c r="C747" i="7"/>
  <c r="C751" i="7"/>
  <c r="C755" i="7"/>
  <c r="C759" i="7"/>
  <c r="C763" i="7"/>
  <c r="C767" i="7"/>
  <c r="C771" i="7"/>
  <c r="C775" i="7"/>
  <c r="C779" i="7"/>
  <c r="C783" i="7"/>
  <c r="C787" i="7"/>
  <c r="C791" i="7"/>
  <c r="C795" i="7"/>
  <c r="C566" i="7"/>
  <c r="C574" i="7"/>
  <c r="C578" i="7"/>
  <c r="C582" i="7"/>
  <c r="C586" i="7"/>
  <c r="C590" i="7"/>
  <c r="C594" i="7"/>
  <c r="C598" i="7"/>
  <c r="C602" i="7"/>
  <c r="C606" i="7"/>
  <c r="C610" i="7"/>
  <c r="C614" i="7"/>
  <c r="C618" i="7"/>
  <c r="C622" i="7"/>
  <c r="C626" i="7"/>
  <c r="C630" i="7"/>
  <c r="C634" i="7"/>
  <c r="C638" i="7"/>
  <c r="C642" i="7"/>
  <c r="C646" i="7"/>
  <c r="C650" i="7"/>
  <c r="C654" i="7"/>
  <c r="C658" i="7"/>
  <c r="C662" i="7"/>
  <c r="C666" i="7"/>
  <c r="C670" i="7"/>
  <c r="C674" i="7"/>
  <c r="C678" i="7"/>
  <c r="C682" i="7"/>
  <c r="C686" i="7"/>
  <c r="C690" i="7"/>
  <c r="C694" i="7"/>
  <c r="C698" i="7"/>
  <c r="C702" i="7"/>
  <c r="C706" i="7"/>
  <c r="C710" i="7"/>
  <c r="C714" i="7"/>
  <c r="C718" i="7"/>
  <c r="C722" i="7"/>
  <c r="C726" i="7"/>
  <c r="C730" i="7"/>
  <c r="C734" i="7"/>
  <c r="C738" i="7"/>
  <c r="C742" i="7"/>
  <c r="C746" i="7"/>
  <c r="C750" i="7"/>
  <c r="C754" i="7"/>
  <c r="C758" i="7"/>
  <c r="C762" i="7"/>
  <c r="C766" i="7"/>
  <c r="C770" i="7"/>
  <c r="C774" i="7"/>
  <c r="C778" i="7"/>
  <c r="C782" i="7"/>
  <c r="C786" i="7"/>
  <c r="C790" i="7"/>
  <c r="C794" i="7"/>
  <c r="C577" i="7"/>
  <c r="C581" i="7"/>
  <c r="C585" i="7"/>
  <c r="C589" i="7"/>
  <c r="C593" i="7"/>
  <c r="C597" i="7"/>
  <c r="C601" i="7"/>
  <c r="C605" i="7"/>
  <c r="C609" i="7"/>
  <c r="C613" i="7"/>
  <c r="C617" i="7"/>
  <c r="C621" i="7"/>
  <c r="C625" i="7"/>
  <c r="C629" i="7"/>
  <c r="C633" i="7"/>
  <c r="C637" i="7"/>
  <c r="C641" i="7"/>
  <c r="C645" i="7"/>
  <c r="C649" i="7"/>
  <c r="C653" i="7"/>
  <c r="C657" i="7"/>
  <c r="C661" i="7"/>
  <c r="C665" i="7"/>
  <c r="C669" i="7"/>
  <c r="C673" i="7"/>
  <c r="C677" i="7"/>
  <c r="C681" i="7"/>
  <c r="C685" i="7"/>
  <c r="C689" i="7"/>
  <c r="C693" i="7"/>
  <c r="C697" i="7"/>
  <c r="C701" i="7"/>
  <c r="C705" i="7"/>
  <c r="C709" i="7"/>
  <c r="C713" i="7"/>
  <c r="C717" i="7"/>
  <c r="C721" i="7"/>
  <c r="C725" i="7"/>
  <c r="C729" i="7"/>
  <c r="C733" i="7"/>
  <c r="C737" i="7"/>
  <c r="C741" i="7"/>
  <c r="C745" i="7"/>
  <c r="C749" i="7"/>
  <c r="C753" i="7"/>
  <c r="C757" i="7"/>
  <c r="C761" i="7"/>
  <c r="C765" i="7"/>
  <c r="C769" i="7"/>
  <c r="C773" i="7"/>
  <c r="C777" i="7"/>
  <c r="C781" i="7"/>
  <c r="C785" i="7"/>
  <c r="C789" i="7"/>
  <c r="C793" i="7"/>
  <c r="C797" i="7"/>
  <c r="C576" i="7"/>
  <c r="C580" i="7"/>
  <c r="C584" i="7"/>
  <c r="C588" i="7"/>
  <c r="C592" i="7"/>
  <c r="C596" i="7"/>
  <c r="C600" i="7"/>
  <c r="C604" i="7"/>
  <c r="C608" i="7"/>
  <c r="C612" i="7"/>
  <c r="C616" i="7"/>
  <c r="C620" i="7"/>
  <c r="C624" i="7"/>
  <c r="C628" i="7"/>
  <c r="C632" i="7"/>
  <c r="C636" i="7"/>
  <c r="C640" i="7"/>
  <c r="C644" i="7"/>
  <c r="C648" i="7"/>
  <c r="C652" i="7"/>
  <c r="C656" i="7"/>
  <c r="C660" i="7"/>
  <c r="C664" i="7"/>
  <c r="C668" i="7"/>
  <c r="C672" i="7"/>
  <c r="C676" i="7"/>
  <c r="C680" i="7"/>
  <c r="C684" i="7"/>
  <c r="C688" i="7"/>
  <c r="C692" i="7"/>
  <c r="C696" i="7"/>
  <c r="C700" i="7"/>
  <c r="C704" i="7"/>
  <c r="C708" i="7"/>
  <c r="C712" i="7"/>
  <c r="C716" i="7"/>
  <c r="C720" i="7"/>
  <c r="C724" i="7"/>
  <c r="C728" i="7"/>
  <c r="C732" i="7"/>
  <c r="C736" i="7"/>
  <c r="C740" i="7"/>
  <c r="C744" i="7"/>
  <c r="C748" i="7"/>
  <c r="C752" i="7"/>
  <c r="C756" i="7"/>
  <c r="C760" i="7"/>
  <c r="C764" i="7"/>
  <c r="C768" i="7"/>
  <c r="C772" i="7"/>
  <c r="C776" i="7"/>
  <c r="C780" i="7"/>
  <c r="C784" i="7"/>
  <c r="C788" i="7"/>
  <c r="C792" i="7"/>
  <c r="C796" i="7"/>
  <c r="C800" i="7"/>
  <c r="C804" i="7"/>
  <c r="C808" i="7"/>
  <c r="C812" i="7"/>
  <c r="C816" i="7"/>
  <c r="C820" i="7"/>
  <c r="C824" i="7"/>
  <c r="C828" i="7"/>
  <c r="C832" i="7"/>
  <c r="C836" i="7"/>
  <c r="C840" i="7"/>
  <c r="C844" i="7"/>
  <c r="C848" i="7"/>
  <c r="C852" i="7"/>
  <c r="C799" i="7"/>
  <c r="C803" i="7"/>
  <c r="C807" i="7"/>
  <c r="C811" i="7"/>
  <c r="C815" i="7"/>
  <c r="C819" i="7"/>
  <c r="C823" i="7"/>
  <c r="C827" i="7"/>
  <c r="C831" i="7"/>
  <c r="C835" i="7"/>
  <c r="C839" i="7"/>
  <c r="C843" i="7"/>
  <c r="C847" i="7"/>
  <c r="C851" i="7"/>
  <c r="C798" i="7"/>
  <c r="C802" i="7"/>
  <c r="C806" i="7"/>
  <c r="C810" i="7"/>
  <c r="C814" i="7"/>
  <c r="C818" i="7"/>
  <c r="C822" i="7"/>
  <c r="C826" i="7"/>
  <c r="C830" i="7"/>
  <c r="C834" i="7"/>
  <c r="C838" i="7"/>
  <c r="C842" i="7"/>
  <c r="C846" i="7"/>
  <c r="C850" i="7"/>
  <c r="C858" i="7"/>
  <c r="C862" i="7"/>
  <c r="C866" i="7"/>
  <c r="C870" i="7"/>
  <c r="C874" i="7"/>
  <c r="C878" i="7"/>
  <c r="C882" i="7"/>
  <c r="C886" i="7"/>
  <c r="C890" i="7"/>
  <c r="C894" i="7"/>
  <c r="C898" i="7"/>
  <c r="C902" i="7"/>
  <c r="C906" i="7"/>
  <c r="C910" i="7"/>
  <c r="C914" i="7"/>
  <c r="C918" i="7"/>
  <c r="C922" i="7"/>
  <c r="C926" i="7"/>
  <c r="C930" i="7"/>
  <c r="C934" i="7"/>
  <c r="C938" i="7"/>
  <c r="C942" i="7"/>
  <c r="C946" i="7"/>
  <c r="C950" i="7"/>
  <c r="C954" i="7"/>
  <c r="C801" i="7"/>
  <c r="C805" i="7"/>
  <c r="C809" i="7"/>
  <c r="C813" i="7"/>
  <c r="C817" i="7"/>
  <c r="C821" i="7"/>
  <c r="C825" i="7"/>
  <c r="C829" i="7"/>
  <c r="C833" i="7"/>
  <c r="C837" i="7"/>
  <c r="C841" i="7"/>
  <c r="C845" i="7"/>
  <c r="C849" i="7"/>
  <c r="C859" i="7"/>
  <c r="C861" i="7"/>
  <c r="C868" i="7"/>
  <c r="C875" i="7"/>
  <c r="C877" i="7"/>
  <c r="C884" i="7"/>
  <c r="C891" i="7"/>
  <c r="C893" i="7"/>
  <c r="C900" i="7"/>
  <c r="C907" i="7"/>
  <c r="C909" i="7"/>
  <c r="C916" i="7"/>
  <c r="C923" i="7"/>
  <c r="C925" i="7"/>
  <c r="C932" i="7"/>
  <c r="C939" i="7"/>
  <c r="C941" i="7"/>
  <c r="C948" i="7"/>
  <c r="C955" i="7"/>
  <c r="C856" i="7"/>
  <c r="C863" i="7"/>
  <c r="C865" i="7"/>
  <c r="C872" i="7"/>
  <c r="C879" i="7"/>
  <c r="C881" i="7"/>
  <c r="C888" i="7"/>
  <c r="C895" i="7"/>
  <c r="C897" i="7"/>
  <c r="C904" i="7"/>
  <c r="C911" i="7"/>
  <c r="C913" i="7"/>
  <c r="C920" i="7"/>
  <c r="C927" i="7"/>
  <c r="C929" i="7"/>
  <c r="C936" i="7"/>
  <c r="C943" i="7"/>
  <c r="C945" i="7"/>
  <c r="C952" i="7"/>
  <c r="C860" i="7"/>
  <c r="C867" i="7"/>
  <c r="C869" i="7"/>
  <c r="C876" i="7"/>
  <c r="C883" i="7"/>
  <c r="C885" i="7"/>
  <c r="C892" i="7"/>
  <c r="C899" i="7"/>
  <c r="C901" i="7"/>
  <c r="C908" i="7"/>
  <c r="C915" i="7"/>
  <c r="C917" i="7"/>
  <c r="C924" i="7"/>
  <c r="C931" i="7"/>
  <c r="C933" i="7"/>
  <c r="C940" i="7"/>
  <c r="C947" i="7"/>
  <c r="C949" i="7"/>
  <c r="C956" i="7"/>
  <c r="C855" i="7"/>
  <c r="C857" i="7"/>
  <c r="C864" i="7"/>
  <c r="C871" i="7"/>
  <c r="C873" i="7"/>
  <c r="C880" i="7"/>
  <c r="C887" i="7"/>
  <c r="C889" i="7"/>
  <c r="C896" i="7"/>
  <c r="C903" i="7"/>
  <c r="C905" i="7"/>
  <c r="C912" i="7"/>
  <c r="C919" i="7"/>
  <c r="C921" i="7"/>
  <c r="C928" i="7"/>
  <c r="C935" i="7"/>
  <c r="C937" i="7"/>
  <c r="C944" i="7"/>
  <c r="C951" i="7"/>
  <c r="C953" i="7"/>
  <c r="E42" i="5"/>
  <c r="E384" i="6" s="1"/>
  <c r="E44" i="5"/>
  <c r="E257" i="6" s="1"/>
  <c r="E46" i="5"/>
  <c r="E240" i="6" s="1"/>
  <c r="E48" i="5"/>
  <c r="E98" i="7" s="1"/>
  <c r="E50" i="5"/>
  <c r="E262" i="6" s="1"/>
  <c r="E52" i="5"/>
  <c r="E390" i="7" s="1"/>
  <c r="E54" i="5"/>
  <c r="E266" i="6" s="1"/>
  <c r="E56" i="5"/>
  <c r="E223" i="7" s="1"/>
  <c r="E58" i="5"/>
  <c r="E269" i="6" s="1"/>
  <c r="E60" i="5"/>
  <c r="E402" i="6" s="1"/>
  <c r="E62" i="5"/>
  <c r="E273" i="6" s="1"/>
  <c r="E64" i="5"/>
  <c r="E397" i="7" s="1"/>
  <c r="E66" i="5"/>
  <c r="E115" i="7" s="1"/>
  <c r="E68" i="5"/>
  <c r="E410" i="6" s="1"/>
  <c r="E41" i="5"/>
  <c r="E383" i="6" s="1"/>
  <c r="E43" i="5"/>
  <c r="E112" i="6" s="1"/>
  <c r="E45" i="5"/>
  <c r="E241" i="7" s="1"/>
  <c r="E47" i="5"/>
  <c r="E115" i="6" s="1"/>
  <c r="E49" i="5"/>
  <c r="E117" i="6" s="1"/>
  <c r="E51" i="5"/>
  <c r="E247" i="7" s="1"/>
  <c r="E53" i="5"/>
  <c r="E249" i="7" s="1"/>
  <c r="E55" i="5"/>
  <c r="E105" i="7" s="1"/>
  <c r="E57" i="5"/>
  <c r="E106" i="7" s="1"/>
  <c r="E59" i="5"/>
  <c r="E270" i="6" s="1"/>
  <c r="E61" i="5"/>
  <c r="E128" i="6" s="1"/>
  <c r="E63" i="5"/>
  <c r="E259" i="7" s="1"/>
  <c r="E65" i="5"/>
  <c r="E407" i="6" s="1"/>
  <c r="E67" i="5"/>
  <c r="E399" i="7" s="1"/>
  <c r="E69" i="5"/>
  <c r="E265" i="7" s="1"/>
  <c r="E71" i="5"/>
  <c r="E267" i="7" s="1"/>
  <c r="E73" i="5"/>
  <c r="E139" i="6" s="1"/>
  <c r="E75" i="5"/>
  <c r="E271" i="7" s="1"/>
  <c r="E77" i="5"/>
  <c r="E273" i="7" s="1"/>
  <c r="E79" i="5"/>
  <c r="E288" i="6" s="1"/>
  <c r="E81" i="5"/>
  <c r="E277" i="7" s="1"/>
  <c r="E83" i="5"/>
  <c r="E130" i="7" s="1"/>
  <c r="E85" i="5"/>
  <c r="E150" i="6" s="1"/>
  <c r="E87" i="5"/>
  <c r="E283" i="7" s="1"/>
  <c r="E89" i="5"/>
  <c r="E297" i="6" s="1"/>
  <c r="E91" i="5"/>
  <c r="E155" i="6" s="1"/>
  <c r="E70" i="5"/>
  <c r="E78" i="5"/>
  <c r="E225" i="7" s="1"/>
  <c r="E86" i="5"/>
  <c r="E151" i="6" s="1"/>
  <c r="E94" i="5"/>
  <c r="E409" i="7" s="1"/>
  <c r="E96" i="5"/>
  <c r="E303" i="6" s="1"/>
  <c r="E97" i="5"/>
  <c r="E304" i="6" s="1"/>
  <c r="E76" i="5"/>
  <c r="E418" i="6" s="1"/>
  <c r="E84" i="5"/>
  <c r="E131" i="7" s="1"/>
  <c r="E93" i="5"/>
  <c r="E435" i="6" s="1"/>
  <c r="E98" i="5"/>
  <c r="E305" i="6" s="1"/>
  <c r="E100" i="5"/>
  <c r="E163" i="6" s="1"/>
  <c r="E102" i="5"/>
  <c r="E104" i="5"/>
  <c r="E446" i="6" s="1"/>
  <c r="E106" i="5"/>
  <c r="E415" i="7" s="1"/>
  <c r="E108" i="5"/>
  <c r="E450" i="6" s="1"/>
  <c r="E110" i="5"/>
  <c r="E172" i="6" s="1"/>
  <c r="E112" i="5"/>
  <c r="E156" i="7" s="1"/>
  <c r="E114" i="5"/>
  <c r="E176" i="6" s="1"/>
  <c r="E116" i="5"/>
  <c r="E322" i="6" s="1"/>
  <c r="E118" i="5"/>
  <c r="E120" i="5"/>
  <c r="E316" i="7" s="1"/>
  <c r="E122" i="5"/>
  <c r="E327" i="6" s="1"/>
  <c r="E124" i="5"/>
  <c r="E167" i="7" s="1"/>
  <c r="E126" i="5"/>
  <c r="E322" i="7" s="1"/>
  <c r="E128" i="5"/>
  <c r="E470" i="6" s="1"/>
  <c r="E130" i="5"/>
  <c r="E326" i="7" s="1"/>
  <c r="E132" i="5"/>
  <c r="E192" i="6" s="1"/>
  <c r="E134" i="5"/>
  <c r="E194" i="6" s="1"/>
  <c r="E136" i="5"/>
  <c r="E478" i="6" s="1"/>
  <c r="E138" i="5"/>
  <c r="E197" i="6" s="1"/>
  <c r="E140" i="5"/>
  <c r="E232" i="7" s="1"/>
  <c r="E142" i="5"/>
  <c r="E182" i="7" s="1"/>
  <c r="E144" i="5"/>
  <c r="E346" i="6" s="1"/>
  <c r="E74" i="5"/>
  <c r="E270" i="7" s="1"/>
  <c r="E82" i="5"/>
  <c r="E278" i="7" s="1"/>
  <c r="E90" i="5"/>
  <c r="E92" i="5"/>
  <c r="E72" i="5"/>
  <c r="E138" i="6" s="1"/>
  <c r="E80" i="5"/>
  <c r="E127" i="7" s="1"/>
  <c r="E99" i="5"/>
  <c r="E144" i="7" s="1"/>
  <c r="E107" i="5"/>
  <c r="E169" i="6" s="1"/>
  <c r="E115" i="5"/>
  <c r="E422" i="7" s="1"/>
  <c r="E123" i="5"/>
  <c r="E184" i="6" s="1"/>
  <c r="E131" i="5"/>
  <c r="E432" i="7" s="1"/>
  <c r="E145" i="5"/>
  <c r="E347" i="6" s="1"/>
  <c r="E147" i="5"/>
  <c r="E489" i="6" s="1"/>
  <c r="E149" i="5"/>
  <c r="E438" i="7" s="1"/>
  <c r="E151" i="5"/>
  <c r="E153" i="5"/>
  <c r="E192" i="7" s="1"/>
  <c r="E155" i="5"/>
  <c r="E194" i="7" s="1"/>
  <c r="E157" i="5"/>
  <c r="E159" i="5"/>
  <c r="E360" i="6" s="1"/>
  <c r="E161" i="5"/>
  <c r="E217" i="6" s="1"/>
  <c r="E163" i="5"/>
  <c r="E505" i="6" s="1"/>
  <c r="E165" i="5"/>
  <c r="E203" i="7" s="1"/>
  <c r="E167" i="5"/>
  <c r="E205" i="7" s="1"/>
  <c r="E169" i="5"/>
  <c r="E368" i="6" s="1"/>
  <c r="E171" i="5"/>
  <c r="E367" i="7" s="1"/>
  <c r="E173" i="5"/>
  <c r="E515" i="6" s="1"/>
  <c r="E175" i="5"/>
  <c r="E517" i="6" s="1"/>
  <c r="E177" i="5"/>
  <c r="E373" i="7" s="1"/>
  <c r="E179" i="5"/>
  <c r="E377" i="6" s="1"/>
  <c r="E181" i="5"/>
  <c r="E377" i="7" s="1"/>
  <c r="E183" i="5"/>
  <c r="E379" i="7" s="1"/>
  <c r="E185" i="5"/>
  <c r="E451" i="7" s="1"/>
  <c r="E105" i="5"/>
  <c r="E228" i="7" s="1"/>
  <c r="E113" i="5"/>
  <c r="E157" i="7" s="1"/>
  <c r="E121" i="5"/>
  <c r="E426" i="7" s="1"/>
  <c r="E129" i="5"/>
  <c r="E471" i="6" s="1"/>
  <c r="E137" i="5"/>
  <c r="E196" i="6" s="1"/>
  <c r="E139" i="5"/>
  <c r="E335" i="7" s="1"/>
  <c r="E143" i="5"/>
  <c r="E201" i="6" s="1"/>
  <c r="E103" i="5"/>
  <c r="E166" i="6" s="1"/>
  <c r="E111" i="5"/>
  <c r="E307" i="7" s="1"/>
  <c r="E119" i="5"/>
  <c r="E461" i="6" s="1"/>
  <c r="E127" i="5"/>
  <c r="E331" i="6" s="1"/>
  <c r="E135" i="5"/>
  <c r="E231" i="7" s="1"/>
  <c r="E146" i="5"/>
  <c r="E488" i="6" s="1"/>
  <c r="E148" i="5"/>
  <c r="E350" i="6" s="1"/>
  <c r="E150" i="5"/>
  <c r="E346" i="7" s="1"/>
  <c r="E152" i="5"/>
  <c r="E191" i="7" s="1"/>
  <c r="E154" i="5"/>
  <c r="E211" i="6" s="1"/>
  <c r="E156" i="5"/>
  <c r="E352" i="7" s="1"/>
  <c r="E158" i="5"/>
  <c r="E160" i="5"/>
  <c r="E502" i="6" s="1"/>
  <c r="E162" i="5"/>
  <c r="E218" i="6" s="1"/>
  <c r="E164" i="5"/>
  <c r="E202" i="7" s="1"/>
  <c r="E166" i="5"/>
  <c r="E222" i="6" s="1"/>
  <c r="E168" i="5"/>
  <c r="E253" i="6" s="1"/>
  <c r="E170" i="5"/>
  <c r="E369" i="6" s="1"/>
  <c r="E172" i="5"/>
  <c r="E227" i="6" s="1"/>
  <c r="E174" i="5"/>
  <c r="E211" i="7" s="1"/>
  <c r="E176" i="5"/>
  <c r="E213" i="7" s="1"/>
  <c r="E178" i="5"/>
  <c r="E376" i="6" s="1"/>
  <c r="E180" i="5"/>
  <c r="E216" i="7" s="1"/>
  <c r="E182" i="5"/>
  <c r="E524" i="6" s="1"/>
  <c r="E184" i="5"/>
  <c r="E380" i="7" s="1"/>
  <c r="E88" i="5"/>
  <c r="E244" i="6" s="1"/>
  <c r="E95" i="5"/>
  <c r="E140" i="7" s="1"/>
  <c r="E101" i="5"/>
  <c r="E146" i="7" s="1"/>
  <c r="E109" i="5"/>
  <c r="E153" i="7" s="1"/>
  <c r="E117" i="5"/>
  <c r="E459" i="6" s="1"/>
  <c r="E125" i="5"/>
  <c r="E467" i="6" s="1"/>
  <c r="E133" i="5"/>
  <c r="E329" i="7" s="1"/>
  <c r="E141" i="5"/>
  <c r="E199" i="6" s="1"/>
  <c r="I42" i="5"/>
  <c r="I44" i="5"/>
  <c r="I46" i="5"/>
  <c r="I48" i="5"/>
  <c r="I50" i="5"/>
  <c r="I52" i="5"/>
  <c r="I54" i="5"/>
  <c r="I56" i="5"/>
  <c r="I58" i="5"/>
  <c r="I60" i="5"/>
  <c r="I62" i="5"/>
  <c r="I64" i="5"/>
  <c r="I66" i="5"/>
  <c r="I41" i="5"/>
  <c r="I43" i="5"/>
  <c r="I45" i="5"/>
  <c r="I47" i="5"/>
  <c r="I49" i="5"/>
  <c r="I51" i="5"/>
  <c r="I53" i="5"/>
  <c r="I55" i="5"/>
  <c r="I57" i="5"/>
  <c r="I59" i="5"/>
  <c r="I61" i="5"/>
  <c r="I63" i="5"/>
  <c r="I65" i="5"/>
  <c r="I67" i="5"/>
  <c r="I69" i="5"/>
  <c r="I71" i="5"/>
  <c r="I73" i="5"/>
  <c r="I75" i="5"/>
  <c r="I77" i="5"/>
  <c r="I79" i="5"/>
  <c r="I81" i="5"/>
  <c r="I83" i="5"/>
  <c r="I85" i="5"/>
  <c r="I87" i="5"/>
  <c r="I89" i="5"/>
  <c r="I72" i="5"/>
  <c r="I80" i="5"/>
  <c r="I88" i="5"/>
  <c r="I92" i="5"/>
  <c r="I70" i="5"/>
  <c r="I78" i="5"/>
  <c r="I86" i="5"/>
  <c r="I91" i="5"/>
  <c r="I98" i="5"/>
  <c r="I100" i="5"/>
  <c r="I102" i="5"/>
  <c r="I104" i="5"/>
  <c r="I106" i="5"/>
  <c r="I108" i="5"/>
  <c r="I110" i="5"/>
  <c r="I112" i="5"/>
  <c r="I114" i="5"/>
  <c r="I116" i="5"/>
  <c r="I118" i="5"/>
  <c r="I120" i="5"/>
  <c r="I122" i="5"/>
  <c r="I124" i="5"/>
  <c r="I126" i="5"/>
  <c r="I128" i="5"/>
  <c r="I130" i="5"/>
  <c r="I132" i="5"/>
  <c r="I134" i="5"/>
  <c r="I136" i="5"/>
  <c r="I138" i="5"/>
  <c r="I140" i="5"/>
  <c r="I142" i="5"/>
  <c r="I68" i="5"/>
  <c r="I76" i="5"/>
  <c r="I84" i="5"/>
  <c r="I94" i="5"/>
  <c r="I95" i="5"/>
  <c r="I90" i="5"/>
  <c r="I101" i="5"/>
  <c r="I109" i="5"/>
  <c r="I117" i="5"/>
  <c r="I125" i="5"/>
  <c r="I133" i="5"/>
  <c r="I145" i="5"/>
  <c r="I147" i="5"/>
  <c r="I149" i="5"/>
  <c r="I151" i="5"/>
  <c r="I153" i="5"/>
  <c r="I155" i="5"/>
  <c r="I157" i="5"/>
  <c r="I159" i="5"/>
  <c r="I161" i="5"/>
  <c r="I163" i="5"/>
  <c r="I165" i="5"/>
  <c r="I167" i="5"/>
  <c r="I169" i="5"/>
  <c r="I171" i="5"/>
  <c r="I173" i="5"/>
  <c r="I175" i="5"/>
  <c r="I177" i="5"/>
  <c r="I179" i="5"/>
  <c r="I181" i="5"/>
  <c r="I183" i="5"/>
  <c r="I185" i="5"/>
  <c r="I82" i="5"/>
  <c r="I96" i="5"/>
  <c r="I99" i="5"/>
  <c r="I107" i="5"/>
  <c r="I115" i="5"/>
  <c r="I123" i="5"/>
  <c r="I131" i="5"/>
  <c r="I141" i="5"/>
  <c r="I74" i="5"/>
  <c r="I93" i="5"/>
  <c r="I97" i="5"/>
  <c r="I105" i="5"/>
  <c r="I113" i="5"/>
  <c r="I121" i="5"/>
  <c r="I129" i="5"/>
  <c r="I137" i="5"/>
  <c r="I144" i="5"/>
  <c r="I146" i="5"/>
  <c r="I148" i="5"/>
  <c r="I150" i="5"/>
  <c r="I152" i="5"/>
  <c r="I154" i="5"/>
  <c r="I156" i="5"/>
  <c r="I158" i="5"/>
  <c r="I160" i="5"/>
  <c r="I162" i="5"/>
  <c r="I164" i="5"/>
  <c r="I166" i="5"/>
  <c r="I168" i="5"/>
  <c r="I170" i="5"/>
  <c r="I172" i="5"/>
  <c r="I174" i="5"/>
  <c r="I176" i="5"/>
  <c r="I178" i="5"/>
  <c r="I180" i="5"/>
  <c r="I182" i="5"/>
  <c r="I184" i="5"/>
  <c r="I103" i="5"/>
  <c r="I111" i="5"/>
  <c r="I119" i="5"/>
  <c r="I127" i="5"/>
  <c r="I135" i="5"/>
  <c r="I139" i="5"/>
  <c r="I143" i="5"/>
  <c r="J40" i="5"/>
  <c r="J42" i="5"/>
  <c r="D383" i="7" s="1"/>
  <c r="J44" i="5"/>
  <c r="D257" i="6" s="1"/>
  <c r="J46" i="5"/>
  <c r="D384" i="7" s="1"/>
  <c r="J48" i="5"/>
  <c r="D244" i="7" s="1"/>
  <c r="J50" i="5"/>
  <c r="J52" i="5"/>
  <c r="D264" i="6" s="1"/>
  <c r="J54" i="5"/>
  <c r="D104" i="7" s="1"/>
  <c r="J56" i="5"/>
  <c r="D223" i="7" s="1"/>
  <c r="J58" i="5"/>
  <c r="D400" i="6" s="1"/>
  <c r="J60" i="5"/>
  <c r="D127" i="6" s="1"/>
  <c r="J62" i="5"/>
  <c r="D273" i="6" s="1"/>
  <c r="J64" i="5"/>
  <c r="D260" i="7" s="1"/>
  <c r="J66" i="5"/>
  <c r="D277" i="6" s="1"/>
  <c r="J68" i="5"/>
  <c r="D116" i="7" s="1"/>
  <c r="J70" i="5"/>
  <c r="D412" i="6" s="1"/>
  <c r="J72" i="5"/>
  <c r="D268" i="7" s="1"/>
  <c r="J74" i="5"/>
  <c r="D270" i="7" s="1"/>
  <c r="J76" i="5"/>
  <c r="D142" i="6" s="1"/>
  <c r="J78" i="5"/>
  <c r="D243" i="6" s="1"/>
  <c r="J80" i="5"/>
  <c r="D145" i="6" s="1"/>
  <c r="J82" i="5"/>
  <c r="D278" i="7" s="1"/>
  <c r="J84" i="5"/>
  <c r="D131" i="7" s="1"/>
  <c r="J86" i="5"/>
  <c r="D133" i="7" s="1"/>
  <c r="J88" i="5"/>
  <c r="D407" i="7" s="1"/>
  <c r="J90" i="5"/>
  <c r="J92" i="5"/>
  <c r="D300" i="6" s="1"/>
  <c r="J94" i="5"/>
  <c r="D245" i="6" s="1"/>
  <c r="J96" i="5"/>
  <c r="D292" i="7" s="1"/>
  <c r="J41" i="5"/>
  <c r="D221" i="7" s="1"/>
  <c r="J43" i="5"/>
  <c r="D94" i="7" s="1"/>
  <c r="J45" i="5"/>
  <c r="D258" i="6" s="1"/>
  <c r="J47" i="5"/>
  <c r="J49" i="5"/>
  <c r="J51" i="5"/>
  <c r="D263" i="6" s="1"/>
  <c r="J53" i="5"/>
  <c r="D103" i="7" s="1"/>
  <c r="J55" i="5"/>
  <c r="D251" i="7" s="1"/>
  <c r="J57" i="5"/>
  <c r="D106" i="7" s="1"/>
  <c r="J59" i="5"/>
  <c r="D394" i="7" s="1"/>
  <c r="J61" i="5"/>
  <c r="D128" i="6" s="1"/>
  <c r="J63" i="5"/>
  <c r="J65" i="5"/>
  <c r="J67" i="5"/>
  <c r="D399" i="7" s="1"/>
  <c r="J69" i="5"/>
  <c r="D279" i="6" s="1"/>
  <c r="J71" i="5"/>
  <c r="D267" i="7" s="1"/>
  <c r="J73" i="5"/>
  <c r="D121" i="7" s="1"/>
  <c r="J75" i="5"/>
  <c r="D123" i="7" s="1"/>
  <c r="J77" i="5"/>
  <c r="D125" i="7" s="1"/>
  <c r="J79" i="5"/>
  <c r="J81" i="5"/>
  <c r="D405" i="7" s="1"/>
  <c r="J83" i="5"/>
  <c r="D292" i="6" s="1"/>
  <c r="J85" i="5"/>
  <c r="D132" i="7" s="1"/>
  <c r="J87" i="5"/>
  <c r="D283" i="7" s="1"/>
  <c r="J89" i="5"/>
  <c r="J91" i="5"/>
  <c r="J93" i="5"/>
  <c r="D301" i="6" s="1"/>
  <c r="J97" i="5"/>
  <c r="J99" i="5"/>
  <c r="D441" i="6" s="1"/>
  <c r="J101" i="5"/>
  <c r="D164" i="6" s="1"/>
  <c r="J103" i="5"/>
  <c r="D166" i="6" s="1"/>
  <c r="J105" i="5"/>
  <c r="D228" i="7" s="1"/>
  <c r="J107" i="5"/>
  <c r="J109" i="5"/>
  <c r="D451" i="6" s="1"/>
  <c r="J111" i="5"/>
  <c r="D307" i="7" s="1"/>
  <c r="J113" i="5"/>
  <c r="D319" i="6" s="1"/>
  <c r="J115" i="5"/>
  <c r="D321" i="6" s="1"/>
  <c r="J117" i="5"/>
  <c r="D313" i="7" s="1"/>
  <c r="J119" i="5"/>
  <c r="D324" i="6" s="1"/>
  <c r="J121" i="5"/>
  <c r="D182" i="6" s="1"/>
  <c r="J123" i="5"/>
  <c r="D319" i="7" s="1"/>
  <c r="J125" i="5"/>
  <c r="D467" i="6" s="1"/>
  <c r="J127" i="5"/>
  <c r="D169" i="7" s="1"/>
  <c r="J129" i="5"/>
  <c r="D325" i="7" s="1"/>
  <c r="J131" i="5"/>
  <c r="J133" i="5"/>
  <c r="D193" i="6" s="1"/>
  <c r="J135" i="5"/>
  <c r="D477" i="6" s="1"/>
  <c r="J137" i="5"/>
  <c r="D178" i="7" s="1"/>
  <c r="J139" i="5"/>
  <c r="D180" i="7" s="1"/>
  <c r="J141" i="5"/>
  <c r="D483" i="6" s="1"/>
  <c r="J143" i="5"/>
  <c r="D345" i="6" s="1"/>
  <c r="J98" i="5"/>
  <c r="D143" i="7" s="1"/>
  <c r="J100" i="5"/>
  <c r="D163" i="6" s="1"/>
  <c r="J102" i="5"/>
  <c r="D309" i="6" s="1"/>
  <c r="J104" i="5"/>
  <c r="D446" i="6" s="1"/>
  <c r="J106" i="5"/>
  <c r="J108" i="5"/>
  <c r="D304" i="7" s="1"/>
  <c r="J110" i="5"/>
  <c r="D172" i="6" s="1"/>
  <c r="J112" i="5"/>
  <c r="D454" i="6" s="1"/>
  <c r="J114" i="5"/>
  <c r="D158" i="7" s="1"/>
  <c r="J116" i="5"/>
  <c r="D312" i="7" s="1"/>
  <c r="J118" i="5"/>
  <c r="D460" i="6" s="1"/>
  <c r="J120" i="5"/>
  <c r="D181" i="6" s="1"/>
  <c r="J122" i="5"/>
  <c r="D165" i="7" s="1"/>
  <c r="J124" i="5"/>
  <c r="D466" i="6" s="1"/>
  <c r="J126" i="5"/>
  <c r="D330" i="6" s="1"/>
  <c r="J128" i="5"/>
  <c r="D470" i="6" s="1"/>
  <c r="J130" i="5"/>
  <c r="D172" i="7" s="1"/>
  <c r="J132" i="5"/>
  <c r="D328" i="7" s="1"/>
  <c r="J134" i="5"/>
  <c r="D476" i="6" s="1"/>
  <c r="J136" i="5"/>
  <c r="D339" i="6" s="1"/>
  <c r="J95" i="5"/>
  <c r="D291" i="7" s="1"/>
  <c r="J138" i="5"/>
  <c r="D179" i="7" s="1"/>
  <c r="J142" i="5"/>
  <c r="D484" i="6" s="1"/>
  <c r="J145" i="5"/>
  <c r="D185" i="7" s="1"/>
  <c r="J147" i="5"/>
  <c r="D187" i="7" s="1"/>
  <c r="J149" i="5"/>
  <c r="D233" i="7" s="1"/>
  <c r="J151" i="5"/>
  <c r="D493" i="6" s="1"/>
  <c r="J153" i="5"/>
  <c r="D440" i="7" s="1"/>
  <c r="J155" i="5"/>
  <c r="J157" i="5"/>
  <c r="J159" i="5"/>
  <c r="D501" i="6" s="1"/>
  <c r="J161" i="5"/>
  <c r="D361" i="6" s="1"/>
  <c r="J163" i="5"/>
  <c r="D359" i="7" s="1"/>
  <c r="J165" i="5"/>
  <c r="D221" i="6" s="1"/>
  <c r="J167" i="5"/>
  <c r="D367" i="6" s="1"/>
  <c r="J169" i="5"/>
  <c r="D365" i="7" s="1"/>
  <c r="J171" i="5"/>
  <c r="J173" i="5"/>
  <c r="D369" i="7" s="1"/>
  <c r="J175" i="5"/>
  <c r="D374" i="6" s="1"/>
  <c r="J177" i="5"/>
  <c r="D254" i="6" s="1"/>
  <c r="J179" i="5"/>
  <c r="J181" i="5"/>
  <c r="D523" i="6" s="1"/>
  <c r="J183" i="5"/>
  <c r="D237" i="6" s="1"/>
  <c r="J185" i="5"/>
  <c r="J140" i="5"/>
  <c r="D336" i="7" s="1"/>
  <c r="J144" i="5"/>
  <c r="J146" i="5"/>
  <c r="D488" i="6" s="1"/>
  <c r="J148" i="5"/>
  <c r="D350" i="6" s="1"/>
  <c r="J150" i="5"/>
  <c r="J152" i="5"/>
  <c r="D348" i="7" s="1"/>
  <c r="J154" i="5"/>
  <c r="D211" i="6" s="1"/>
  <c r="J156" i="5"/>
  <c r="D352" i="7" s="1"/>
  <c r="J158" i="5"/>
  <c r="D197" i="7" s="1"/>
  <c r="J160" i="5"/>
  <c r="J162" i="5"/>
  <c r="D218" i="6" s="1"/>
  <c r="J164" i="5"/>
  <c r="D202" i="7" s="1"/>
  <c r="J166" i="5"/>
  <c r="J168" i="5"/>
  <c r="D253" i="6" s="1"/>
  <c r="J170" i="5"/>
  <c r="D207" i="7" s="1"/>
  <c r="J172" i="5"/>
  <c r="D209" i="7" s="1"/>
  <c r="J174" i="5"/>
  <c r="D370" i="7" s="1"/>
  <c r="J176" i="5"/>
  <c r="D372" i="7" s="1"/>
  <c r="J178" i="5"/>
  <c r="D214" i="7" s="1"/>
  <c r="J180" i="5"/>
  <c r="D216" i="7" s="1"/>
  <c r="J182" i="5"/>
  <c r="D450" i="7" s="1"/>
  <c r="J184" i="5"/>
  <c r="G40" i="5"/>
  <c r="G41" i="5"/>
  <c r="G43" i="5"/>
  <c r="G45" i="5"/>
  <c r="G47" i="5"/>
  <c r="G49" i="5"/>
  <c r="G51" i="5"/>
  <c r="G53" i="5"/>
  <c r="G55" i="5"/>
  <c r="G57" i="5"/>
  <c r="G59" i="5"/>
  <c r="G61" i="5"/>
  <c r="G63" i="5"/>
  <c r="G65" i="5"/>
  <c r="G67" i="5"/>
  <c r="G42" i="5"/>
  <c r="G44" i="5"/>
  <c r="G46" i="5"/>
  <c r="G48" i="5"/>
  <c r="G50" i="5"/>
  <c r="G52" i="5"/>
  <c r="G54" i="5"/>
  <c r="G56" i="5"/>
  <c r="G58" i="5"/>
  <c r="G60" i="5"/>
  <c r="G62" i="5"/>
  <c r="G64" i="5"/>
  <c r="G66" i="5"/>
  <c r="G68" i="5"/>
  <c r="G70" i="5"/>
  <c r="G72" i="5"/>
  <c r="G74" i="5"/>
  <c r="G76" i="5"/>
  <c r="G78" i="5"/>
  <c r="G80" i="5"/>
  <c r="G82" i="5"/>
  <c r="G84" i="5"/>
  <c r="G86" i="5"/>
  <c r="G88" i="5"/>
  <c r="G90" i="5"/>
  <c r="G75" i="5"/>
  <c r="G83" i="5"/>
  <c r="G91" i="5"/>
  <c r="G73" i="5"/>
  <c r="G81" i="5"/>
  <c r="G89" i="5"/>
  <c r="G94" i="5"/>
  <c r="G95" i="5"/>
  <c r="G96" i="5"/>
  <c r="G99" i="5"/>
  <c r="G101" i="5"/>
  <c r="G103" i="5"/>
  <c r="G105" i="5"/>
  <c r="G107" i="5"/>
  <c r="G109" i="5"/>
  <c r="G111" i="5"/>
  <c r="G113" i="5"/>
  <c r="G115" i="5"/>
  <c r="G117" i="5"/>
  <c r="G119" i="5"/>
  <c r="G121" i="5"/>
  <c r="G123" i="5"/>
  <c r="G125" i="5"/>
  <c r="G127" i="5"/>
  <c r="G129" i="5"/>
  <c r="G131" i="5"/>
  <c r="G133" i="5"/>
  <c r="G135" i="5"/>
  <c r="G137" i="5"/>
  <c r="G139" i="5"/>
  <c r="G141" i="5"/>
  <c r="G143" i="5"/>
  <c r="G71" i="5"/>
  <c r="G79" i="5"/>
  <c r="G87" i="5"/>
  <c r="G93" i="5"/>
  <c r="G97" i="5"/>
  <c r="G69" i="5"/>
  <c r="G104" i="5"/>
  <c r="G112" i="5"/>
  <c r="G120" i="5"/>
  <c r="G128" i="5"/>
  <c r="G136" i="5"/>
  <c r="G146" i="5"/>
  <c r="G148" i="5"/>
  <c r="G150" i="5"/>
  <c r="G152" i="5"/>
  <c r="G154" i="5"/>
  <c r="G156" i="5"/>
  <c r="G158" i="5"/>
  <c r="G160" i="5"/>
  <c r="G162" i="5"/>
  <c r="G164" i="5"/>
  <c r="G166" i="5"/>
  <c r="G168" i="5"/>
  <c r="G170" i="5"/>
  <c r="G172" i="5"/>
  <c r="G174" i="5"/>
  <c r="G176" i="5"/>
  <c r="G178" i="5"/>
  <c r="G180" i="5"/>
  <c r="G182" i="5"/>
  <c r="G184" i="5"/>
  <c r="G92" i="5"/>
  <c r="G102" i="5"/>
  <c r="G110" i="5"/>
  <c r="G118" i="5"/>
  <c r="G126" i="5"/>
  <c r="G134" i="5"/>
  <c r="G140" i="5"/>
  <c r="G144" i="5"/>
  <c r="G85" i="5"/>
  <c r="G100" i="5"/>
  <c r="G108" i="5"/>
  <c r="G116" i="5"/>
  <c r="G124" i="5"/>
  <c r="G132" i="5"/>
  <c r="G145" i="5"/>
  <c r="G147" i="5"/>
  <c r="G149" i="5"/>
  <c r="G151" i="5"/>
  <c r="G153" i="5"/>
  <c r="G155" i="5"/>
  <c r="G157" i="5"/>
  <c r="G159" i="5"/>
  <c r="G161" i="5"/>
  <c r="G163" i="5"/>
  <c r="G165" i="5"/>
  <c r="G167" i="5"/>
  <c r="G169" i="5"/>
  <c r="G171" i="5"/>
  <c r="G173" i="5"/>
  <c r="G175" i="5"/>
  <c r="G177" i="5"/>
  <c r="G179" i="5"/>
  <c r="G181" i="5"/>
  <c r="G183" i="5"/>
  <c r="G185" i="5"/>
  <c r="G77" i="5"/>
  <c r="G98" i="5"/>
  <c r="G106" i="5"/>
  <c r="G114" i="5"/>
  <c r="G122" i="5"/>
  <c r="G130" i="5"/>
  <c r="G138" i="5"/>
  <c r="G142" i="5"/>
  <c r="I37" i="5"/>
  <c r="F40" i="5"/>
  <c r="F42" i="5"/>
  <c r="F44" i="5"/>
  <c r="F46" i="5"/>
  <c r="F48" i="5"/>
  <c r="F50" i="5"/>
  <c r="F52" i="5"/>
  <c r="F54" i="5"/>
  <c r="F56" i="5"/>
  <c r="F58" i="5"/>
  <c r="F60" i="5"/>
  <c r="F62" i="5"/>
  <c r="F64" i="5"/>
  <c r="F66" i="5"/>
  <c r="F68" i="5"/>
  <c r="F70" i="5"/>
  <c r="F72" i="5"/>
  <c r="F74" i="5"/>
  <c r="F76" i="5"/>
  <c r="F78" i="5"/>
  <c r="F80" i="5"/>
  <c r="F82" i="5"/>
  <c r="F84" i="5"/>
  <c r="F86" i="5"/>
  <c r="F88" i="5"/>
  <c r="F90" i="5"/>
  <c r="F92" i="5"/>
  <c r="F94" i="5"/>
  <c r="F96" i="5"/>
  <c r="F41" i="5"/>
  <c r="F43" i="5"/>
  <c r="F45" i="5"/>
  <c r="F47" i="5"/>
  <c r="F49" i="5"/>
  <c r="F51" i="5"/>
  <c r="F53" i="5"/>
  <c r="F55" i="5"/>
  <c r="F57" i="5"/>
  <c r="F59" i="5"/>
  <c r="F61" i="5"/>
  <c r="F63" i="5"/>
  <c r="F65" i="5"/>
  <c r="F67" i="5"/>
  <c r="F69" i="5"/>
  <c r="F71" i="5"/>
  <c r="F73" i="5"/>
  <c r="F75" i="5"/>
  <c r="F77" i="5"/>
  <c r="F79" i="5"/>
  <c r="F81" i="5"/>
  <c r="F83" i="5"/>
  <c r="F85" i="5"/>
  <c r="F87" i="5"/>
  <c r="F89" i="5"/>
  <c r="F91" i="5"/>
  <c r="F93" i="5"/>
  <c r="F95" i="5"/>
  <c r="F99" i="5"/>
  <c r="F101" i="5"/>
  <c r="F103" i="5"/>
  <c r="F105" i="5"/>
  <c r="F107" i="5"/>
  <c r="F109" i="5"/>
  <c r="F111" i="5"/>
  <c r="F113" i="5"/>
  <c r="F115" i="5"/>
  <c r="F117" i="5"/>
  <c r="F119" i="5"/>
  <c r="F121" i="5"/>
  <c r="F123" i="5"/>
  <c r="F125" i="5"/>
  <c r="F127" i="5"/>
  <c r="F129" i="5"/>
  <c r="F131" i="5"/>
  <c r="F133" i="5"/>
  <c r="F135" i="5"/>
  <c r="F137" i="5"/>
  <c r="F139" i="5"/>
  <c r="F141" i="5"/>
  <c r="F143" i="5"/>
  <c r="F97" i="5"/>
  <c r="F98" i="5"/>
  <c r="F100" i="5"/>
  <c r="F102" i="5"/>
  <c r="F104" i="5"/>
  <c r="F106" i="5"/>
  <c r="F108" i="5"/>
  <c r="F110" i="5"/>
  <c r="F112" i="5"/>
  <c r="F114" i="5"/>
  <c r="F116" i="5"/>
  <c r="F118" i="5"/>
  <c r="F120" i="5"/>
  <c r="F122" i="5"/>
  <c r="F124" i="5"/>
  <c r="F126" i="5"/>
  <c r="F128" i="5"/>
  <c r="F130" i="5"/>
  <c r="F132" i="5"/>
  <c r="F134" i="5"/>
  <c r="F136" i="5"/>
  <c r="F138" i="5"/>
  <c r="F140" i="5"/>
  <c r="F144" i="5"/>
  <c r="F145" i="5"/>
  <c r="F147" i="5"/>
  <c r="F149" i="5"/>
  <c r="F151" i="5"/>
  <c r="F153" i="5"/>
  <c r="F155" i="5"/>
  <c r="F157" i="5"/>
  <c r="F159" i="5"/>
  <c r="F161" i="5"/>
  <c r="F163" i="5"/>
  <c r="F165" i="5"/>
  <c r="F167" i="5"/>
  <c r="F169" i="5"/>
  <c r="F171" i="5"/>
  <c r="F173" i="5"/>
  <c r="F175" i="5"/>
  <c r="F177" i="5"/>
  <c r="F179" i="5"/>
  <c r="F181" i="5"/>
  <c r="F183" i="5"/>
  <c r="F185" i="5"/>
  <c r="F142" i="5"/>
  <c r="F146" i="5"/>
  <c r="F148" i="5"/>
  <c r="F150" i="5"/>
  <c r="F152" i="5"/>
  <c r="F154" i="5"/>
  <c r="F156" i="5"/>
  <c r="F158" i="5"/>
  <c r="F160" i="5"/>
  <c r="F162" i="5"/>
  <c r="F164" i="5"/>
  <c r="F166" i="5"/>
  <c r="F168" i="5"/>
  <c r="F170" i="5"/>
  <c r="F172" i="5"/>
  <c r="F174" i="5"/>
  <c r="F176" i="5"/>
  <c r="F178" i="5"/>
  <c r="F180" i="5"/>
  <c r="F182" i="5"/>
  <c r="F184" i="5"/>
  <c r="H41" i="5"/>
  <c r="H43" i="5"/>
  <c r="H45" i="5"/>
  <c r="H47" i="5"/>
  <c r="H49" i="5"/>
  <c r="H51" i="5"/>
  <c r="H53" i="5"/>
  <c r="H55" i="5"/>
  <c r="H57" i="5"/>
  <c r="H59" i="5"/>
  <c r="H61" i="5"/>
  <c r="H63" i="5"/>
  <c r="H65" i="5"/>
  <c r="H67" i="5"/>
  <c r="H69" i="5"/>
  <c r="H71" i="5"/>
  <c r="H73" i="5"/>
  <c r="H75" i="5"/>
  <c r="H77" i="5"/>
  <c r="H79" i="5"/>
  <c r="H81" i="5"/>
  <c r="H83" i="5"/>
  <c r="H85" i="5"/>
  <c r="H87" i="5"/>
  <c r="H89" i="5"/>
  <c r="H91" i="5"/>
  <c r="H93" i="5"/>
  <c r="H95" i="5"/>
  <c r="H97" i="5"/>
  <c r="H42" i="5"/>
  <c r="H44" i="5"/>
  <c r="H46" i="5"/>
  <c r="H48" i="5"/>
  <c r="H50" i="5"/>
  <c r="H52" i="5"/>
  <c r="H54" i="5"/>
  <c r="H56" i="5"/>
  <c r="H58" i="5"/>
  <c r="H60" i="5"/>
  <c r="H62" i="5"/>
  <c r="H64" i="5"/>
  <c r="H66" i="5"/>
  <c r="H68" i="5"/>
  <c r="H70" i="5"/>
  <c r="H72" i="5"/>
  <c r="H74" i="5"/>
  <c r="H76" i="5"/>
  <c r="H78" i="5"/>
  <c r="H80" i="5"/>
  <c r="H82" i="5"/>
  <c r="H84" i="5"/>
  <c r="H86" i="5"/>
  <c r="H88" i="5"/>
  <c r="H90" i="5"/>
  <c r="H92" i="5"/>
  <c r="H94" i="5"/>
  <c r="H98" i="5"/>
  <c r="H100" i="5"/>
  <c r="H102" i="5"/>
  <c r="H104" i="5"/>
  <c r="H106" i="5"/>
  <c r="H108" i="5"/>
  <c r="H110" i="5"/>
  <c r="H112" i="5"/>
  <c r="H114" i="5"/>
  <c r="H116" i="5"/>
  <c r="H118" i="5"/>
  <c r="H120" i="5"/>
  <c r="H122" i="5"/>
  <c r="H124" i="5"/>
  <c r="H126" i="5"/>
  <c r="H128" i="5"/>
  <c r="H130" i="5"/>
  <c r="H132" i="5"/>
  <c r="H134" i="5"/>
  <c r="H136" i="5"/>
  <c r="H138" i="5"/>
  <c r="H140" i="5"/>
  <c r="H142" i="5"/>
  <c r="H144" i="5"/>
  <c r="H96" i="5"/>
  <c r="H99" i="5"/>
  <c r="H101" i="5"/>
  <c r="H103" i="5"/>
  <c r="H105" i="5"/>
  <c r="H107" i="5"/>
  <c r="H109" i="5"/>
  <c r="H111" i="5"/>
  <c r="H113" i="5"/>
  <c r="H115" i="5"/>
  <c r="H117" i="5"/>
  <c r="H119" i="5"/>
  <c r="H121" i="5"/>
  <c r="H123" i="5"/>
  <c r="H125" i="5"/>
  <c r="H127" i="5"/>
  <c r="H129" i="5"/>
  <c r="H131" i="5"/>
  <c r="H133" i="5"/>
  <c r="H135" i="5"/>
  <c r="H137" i="5"/>
  <c r="H141" i="5"/>
  <c r="H146" i="5"/>
  <c r="H148" i="5"/>
  <c r="H150" i="5"/>
  <c r="H152" i="5"/>
  <c r="H154" i="5"/>
  <c r="H156" i="5"/>
  <c r="H158" i="5"/>
  <c r="H160" i="5"/>
  <c r="H162" i="5"/>
  <c r="H164" i="5"/>
  <c r="H166" i="5"/>
  <c r="H168" i="5"/>
  <c r="H170" i="5"/>
  <c r="H172" i="5"/>
  <c r="H174" i="5"/>
  <c r="H176" i="5"/>
  <c r="H178" i="5"/>
  <c r="H180" i="5"/>
  <c r="H182" i="5"/>
  <c r="H184" i="5"/>
  <c r="H139" i="5"/>
  <c r="H143" i="5"/>
  <c r="H145" i="5"/>
  <c r="H147" i="5"/>
  <c r="H149" i="5"/>
  <c r="H151" i="5"/>
  <c r="H153" i="5"/>
  <c r="H155" i="5"/>
  <c r="H157" i="5"/>
  <c r="H159" i="5"/>
  <c r="H161" i="5"/>
  <c r="H163" i="5"/>
  <c r="H165" i="5"/>
  <c r="H167" i="5"/>
  <c r="H169" i="5"/>
  <c r="H171" i="5"/>
  <c r="H173" i="5"/>
  <c r="H175" i="5"/>
  <c r="H177" i="5"/>
  <c r="H179" i="5"/>
  <c r="H181" i="5"/>
  <c r="H183" i="5"/>
  <c r="H40" i="5"/>
  <c r="I3" i="5"/>
  <c r="D117" i="6"/>
  <c r="D119" i="6"/>
  <c r="D121" i="6"/>
  <c r="C400" i="7"/>
  <c r="C132" i="7"/>
  <c r="C228" i="7"/>
  <c r="C319" i="7"/>
  <c r="C332" i="7"/>
  <c r="C194" i="7"/>
  <c r="C205" i="7"/>
  <c r="C212" i="7"/>
  <c r="C103" i="7"/>
  <c r="C110" i="7"/>
  <c r="C114" i="7"/>
  <c r="C141" i="7"/>
  <c r="C150" i="7"/>
  <c r="C177" i="7"/>
  <c r="C182" i="7"/>
  <c r="C186" i="7"/>
  <c r="C199" i="7"/>
  <c r="C203" i="7"/>
  <c r="C210" i="7"/>
  <c r="C233" i="7"/>
  <c r="C101" i="7"/>
  <c r="C255" i="7"/>
  <c r="C267" i="7"/>
  <c r="C288" i="7"/>
  <c r="C155" i="7"/>
  <c r="C180" i="7"/>
  <c r="C196" i="7"/>
  <c r="C208" i="7"/>
  <c r="C372" i="7"/>
  <c r="C98" i="7"/>
  <c r="C118" i="7"/>
  <c r="C136" i="7"/>
  <c r="C138" i="7"/>
  <c r="C143" i="7"/>
  <c r="C145" i="7"/>
  <c r="C154" i="7"/>
  <c r="C158" i="7"/>
  <c r="C162" i="7"/>
  <c r="C168" i="7"/>
  <c r="C179" i="7"/>
  <c r="C181" i="7"/>
  <c r="C185" i="7"/>
  <c r="C190" i="7"/>
  <c r="C198" i="7"/>
  <c r="C214" i="7"/>
  <c r="C218" i="7"/>
  <c r="C222" i="7"/>
  <c r="C226" i="7"/>
  <c r="C248" i="7"/>
  <c r="C256" i="7"/>
  <c r="C403" i="7"/>
  <c r="C284" i="7"/>
  <c r="C292" i="7"/>
  <c r="C173" i="7"/>
  <c r="C183" i="7"/>
  <c r="C368" i="7"/>
  <c r="C236" i="7"/>
  <c r="C93" i="7"/>
  <c r="C100" i="7"/>
  <c r="C102" i="7"/>
  <c r="C107" i="7"/>
  <c r="C109" i="7"/>
  <c r="C117" i="7"/>
  <c r="C122" i="7"/>
  <c r="C133" i="7"/>
  <c r="C135" i="7"/>
  <c r="C142" i="7"/>
  <c r="C147" i="7"/>
  <c r="C149" i="7"/>
  <c r="C151" i="7"/>
  <c r="C153" i="7"/>
  <c r="C157" i="7"/>
  <c r="C172" i="7"/>
  <c r="C176" i="7"/>
  <c r="C178" i="7"/>
  <c r="C187" i="7"/>
  <c r="C207" i="7"/>
  <c r="C209" i="7"/>
  <c r="C217" i="7"/>
  <c r="C221" i="7"/>
  <c r="C230" i="7"/>
  <c r="C128" i="7"/>
  <c r="C300" i="7"/>
  <c r="C331" i="7"/>
  <c r="C448" i="7"/>
  <c r="C115" i="7"/>
  <c r="C139" i="7"/>
  <c r="C146" i="7"/>
  <c r="C161" i="7"/>
  <c r="C169" i="7"/>
  <c r="C206" i="7"/>
  <c r="C213" i="7"/>
  <c r="C229" i="7"/>
  <c r="C251" i="7"/>
  <c r="C253" i="7"/>
  <c r="C257" i="7"/>
  <c r="C262" i="7"/>
  <c r="C266" i="7"/>
  <c r="C270" i="7"/>
  <c r="C283" i="7"/>
  <c r="C285" i="7"/>
  <c r="C289" i="7"/>
  <c r="C294" i="7"/>
  <c r="C298" i="7"/>
  <c r="C302" i="7"/>
  <c r="C323" i="7"/>
  <c r="C325" i="7"/>
  <c r="C329" i="7"/>
  <c r="C333" i="7"/>
  <c r="C338" i="7"/>
  <c r="C342" i="7"/>
  <c r="C346" i="7"/>
  <c r="C353" i="7"/>
  <c r="C358" i="7"/>
  <c r="C362" i="7"/>
  <c r="C366" i="7"/>
  <c r="C219" i="7"/>
  <c r="C95" i="7"/>
  <c r="C125" i="7"/>
  <c r="C171" i="7"/>
  <c r="C193" i="7"/>
  <c r="C200" i="7"/>
  <c r="C223" i="7"/>
  <c r="C238" i="7"/>
  <c r="C259" i="7"/>
  <c r="C261" i="7"/>
  <c r="C265" i="7"/>
  <c r="C269" i="7"/>
  <c r="C274" i="7"/>
  <c r="C278" i="7"/>
  <c r="C282" i="7"/>
  <c r="C291" i="7"/>
  <c r="C293" i="7"/>
  <c r="C297" i="7"/>
  <c r="C301" i="7"/>
  <c r="C306" i="7"/>
  <c r="C310" i="7"/>
  <c r="C314" i="7"/>
  <c r="C335" i="7"/>
  <c r="C337" i="7"/>
  <c r="C341" i="7"/>
  <c r="C345" i="7"/>
  <c r="C350" i="7"/>
  <c r="C355" i="7"/>
  <c r="C357" i="7"/>
  <c r="C164" i="7"/>
  <c r="C104" i="7"/>
  <c r="C111" i="7"/>
  <c r="C119" i="7"/>
  <c r="C165" i="7"/>
  <c r="C195" i="7"/>
  <c r="C225" i="7"/>
  <c r="C242" i="7"/>
  <c r="C246" i="7"/>
  <c r="C250" i="7"/>
  <c r="C271" i="7"/>
  <c r="C273" i="7"/>
  <c r="C277" i="7"/>
  <c r="C281" i="7"/>
  <c r="C303" i="7"/>
  <c r="C305" i="7"/>
  <c r="C309" i="7"/>
  <c r="C313" i="7"/>
  <c r="C318" i="7"/>
  <c r="C322" i="7"/>
  <c r="C347" i="7"/>
  <c r="C349" i="7"/>
  <c r="C175" i="7"/>
  <c r="C204" i="7"/>
  <c r="C258" i="7"/>
  <c r="C326" i="7"/>
  <c r="C334" i="7"/>
  <c r="C390" i="7"/>
  <c r="C392" i="7"/>
  <c r="C398" i="7"/>
  <c r="C405" i="7"/>
  <c r="C407" i="7"/>
  <c r="C409" i="7"/>
  <c r="C421" i="7"/>
  <c r="C423" i="7"/>
  <c r="C426" i="7"/>
  <c r="C431" i="7"/>
  <c r="C433" i="7"/>
  <c r="C437" i="7"/>
  <c r="C447" i="7"/>
  <c r="C450" i="7"/>
  <c r="C79" i="7"/>
  <c r="C83" i="7"/>
  <c r="C87" i="7"/>
  <c r="C91" i="7"/>
  <c r="C121" i="7"/>
  <c r="C211" i="7"/>
  <c r="C237" i="7"/>
  <c r="C245" i="7"/>
  <c r="C290" i="7"/>
  <c r="C321" i="7"/>
  <c r="C361" i="7"/>
  <c r="C370" i="7"/>
  <c r="C374" i="7"/>
  <c r="C378" i="7"/>
  <c r="C383" i="7"/>
  <c r="C385" i="7"/>
  <c r="C387" i="7"/>
  <c r="C389" i="7"/>
  <c r="C402" i="7"/>
  <c r="C415" i="7"/>
  <c r="C417" i="7"/>
  <c r="C425" i="7"/>
  <c r="C435" i="7"/>
  <c r="C441" i="7"/>
  <c r="C449" i="7"/>
  <c r="C80" i="7"/>
  <c r="C84" i="7"/>
  <c r="C88" i="7"/>
  <c r="C92" i="7"/>
  <c r="C99" i="7"/>
  <c r="C129" i="7"/>
  <c r="C159" i="7"/>
  <c r="C189" i="7"/>
  <c r="C239" i="7"/>
  <c r="C254" i="7"/>
  <c r="C315" i="7"/>
  <c r="C330" i="7"/>
  <c r="C369" i="7"/>
  <c r="C373" i="7"/>
  <c r="C377" i="7"/>
  <c r="C382" i="7"/>
  <c r="C391" i="7"/>
  <c r="C393" i="7"/>
  <c r="C395" i="7"/>
  <c r="C397" i="7"/>
  <c r="C404" i="7"/>
  <c r="C410" i="7"/>
  <c r="C414" i="7"/>
  <c r="C430" i="7"/>
  <c r="C443" i="7"/>
  <c r="C446" i="7"/>
  <c r="C451" i="7"/>
  <c r="C81" i="7"/>
  <c r="C85" i="7"/>
  <c r="C89" i="7"/>
  <c r="C167" i="7"/>
  <c r="C249" i="7"/>
  <c r="C379" i="7"/>
  <c r="C386" i="7"/>
  <c r="C401" i="7"/>
  <c r="C424" i="7"/>
  <c r="C438" i="7"/>
  <c r="C86" i="7"/>
  <c r="C197" i="7"/>
  <c r="C286" i="7"/>
  <c r="C317" i="7"/>
  <c r="C365" i="7"/>
  <c r="C381" i="7"/>
  <c r="C418" i="7"/>
  <c r="C90" i="7"/>
  <c r="C106" i="7"/>
  <c r="C227" i="7"/>
  <c r="C354" i="7"/>
  <c r="C367" i="7"/>
  <c r="C413" i="7"/>
  <c r="C427" i="7"/>
  <c r="C442" i="7"/>
  <c r="C78" i="7"/>
  <c r="C429" i="7"/>
  <c r="C96" i="7"/>
  <c r="C260" i="7"/>
  <c r="C384" i="7"/>
  <c r="C82" i="7"/>
  <c r="C241" i="7"/>
  <c r="C434" i="7"/>
  <c r="C243" i="7"/>
  <c r="C220" i="7"/>
  <c r="C364" i="7"/>
  <c r="C356" i="7"/>
  <c r="C439" i="7"/>
  <c r="C344" i="7"/>
  <c r="C394" i="7"/>
  <c r="C105" i="7"/>
  <c r="C380" i="7"/>
  <c r="C444" i="7"/>
  <c r="C184" i="7"/>
  <c r="C371" i="7"/>
  <c r="C216" i="7"/>
  <c r="C445" i="7"/>
  <c r="C336" i="7"/>
  <c r="C324" i="7"/>
  <c r="C308" i="7"/>
  <c r="C296" i="7"/>
  <c r="C406" i="7"/>
  <c r="C127" i="7"/>
  <c r="C120" i="7"/>
  <c r="C343" i="7"/>
  <c r="C327" i="7"/>
  <c r="C422" i="7"/>
  <c r="C419" i="7"/>
  <c r="C416" i="7"/>
  <c r="C148" i="7"/>
  <c r="C137" i="7"/>
  <c r="C247" i="7"/>
  <c r="C339" i="7"/>
  <c r="C235" i="7"/>
  <c r="C126" i="7"/>
  <c r="C440" i="7"/>
  <c r="C94" i="7"/>
  <c r="C360" i="7"/>
  <c r="C264" i="7"/>
  <c r="C359" i="7"/>
  <c r="C311" i="7"/>
  <c r="C295" i="7"/>
  <c r="C192" i="7"/>
  <c r="C307" i="7"/>
  <c r="C376" i="7"/>
  <c r="C234" i="7"/>
  <c r="C348" i="7"/>
  <c r="C188" i="7"/>
  <c r="C436" i="7"/>
  <c r="C170" i="7"/>
  <c r="C316" i="7"/>
  <c r="C160" i="7"/>
  <c r="C420" i="7"/>
  <c r="C412" i="7"/>
  <c r="C268" i="7"/>
  <c r="C252" i="7"/>
  <c r="C240" i="7"/>
  <c r="C231" i="7"/>
  <c r="C428" i="7"/>
  <c r="C140" i="7"/>
  <c r="C224" i="7"/>
  <c r="C112" i="7"/>
  <c r="C108" i="7"/>
  <c r="C411" i="7"/>
  <c r="C299" i="7"/>
  <c r="C202" i="7"/>
  <c r="C123" i="7"/>
  <c r="C388" i="7"/>
  <c r="C174" i="7"/>
  <c r="C304" i="7"/>
  <c r="C375" i="7"/>
  <c r="C279" i="7"/>
  <c r="C399" i="7"/>
  <c r="C131" i="7"/>
  <c r="C97" i="7"/>
  <c r="C352" i="7"/>
  <c r="C191" i="7"/>
  <c r="C340" i="7"/>
  <c r="C328" i="7"/>
  <c r="C320" i="7"/>
  <c r="C163" i="7"/>
  <c r="C312" i="7"/>
  <c r="C152" i="7"/>
  <c r="C280" i="7"/>
  <c r="C276" i="7"/>
  <c r="C124" i="7"/>
  <c r="C116" i="7"/>
  <c r="C215" i="7"/>
  <c r="C201" i="7"/>
  <c r="C166" i="7"/>
  <c r="C144" i="7"/>
  <c r="C130" i="7"/>
  <c r="C263" i="7"/>
  <c r="C396" i="7"/>
  <c r="C363" i="7"/>
  <c r="C287" i="7"/>
  <c r="C134" i="7"/>
  <c r="C113" i="7"/>
  <c r="C232" i="7"/>
  <c r="C156" i="7"/>
  <c r="C272" i="7"/>
  <c r="C432" i="7"/>
  <c r="C408" i="7"/>
  <c r="C275" i="7"/>
  <c r="C244" i="7"/>
  <c r="C351" i="7"/>
  <c r="H17" i="5"/>
  <c r="H39" i="5"/>
  <c r="E24" i="5"/>
  <c r="E61" i="7" s="1"/>
  <c r="E40" i="5"/>
  <c r="I29" i="5"/>
  <c r="I40" i="5"/>
  <c r="H13" i="5"/>
  <c r="W97" i="6"/>
  <c r="W7" i="6"/>
  <c r="W31" i="6"/>
  <c r="W33" i="6"/>
  <c r="W40" i="6"/>
  <c r="W42" i="6"/>
  <c r="W44" i="6"/>
  <c r="W46" i="6"/>
  <c r="W56" i="6"/>
  <c r="W60" i="6"/>
  <c r="W71" i="6"/>
  <c r="W72" i="6"/>
  <c r="W76" i="6"/>
  <c r="W77" i="6"/>
  <c r="W79" i="6"/>
  <c r="W81" i="6"/>
  <c r="W84" i="6"/>
  <c r="W93" i="6"/>
  <c r="W18" i="6"/>
  <c r="W26" i="6"/>
  <c r="W30" i="6"/>
  <c r="W35" i="6"/>
  <c r="W41" i="6"/>
  <c r="W49" i="6"/>
  <c r="W51" i="6"/>
  <c r="W53" i="6"/>
  <c r="W57" i="6"/>
  <c r="W62" i="6"/>
  <c r="W78" i="6"/>
  <c r="AO6" i="5"/>
  <c r="AZ15" i="5"/>
  <c r="AZ19" i="5"/>
  <c r="AZ24" i="5"/>
  <c r="M3" i="8"/>
  <c r="N3" i="8" s="1"/>
  <c r="W58" i="6"/>
  <c r="W66" i="6"/>
  <c r="W15" i="6"/>
  <c r="W17" i="6"/>
  <c r="W19" i="6"/>
  <c r="W21" i="6"/>
  <c r="W25" i="6"/>
  <c r="W29" i="6"/>
  <c r="W39" i="6"/>
  <c r="W96" i="6"/>
  <c r="W98" i="6"/>
  <c r="W100" i="6"/>
  <c r="W50" i="6"/>
  <c r="W65" i="6"/>
  <c r="W67" i="6"/>
  <c r="W69" i="6"/>
  <c r="W10" i="6"/>
  <c r="W12" i="6"/>
  <c r="W14" i="6"/>
  <c r="W83" i="6"/>
  <c r="W85" i="6"/>
  <c r="W89" i="6"/>
  <c r="W105" i="6"/>
  <c r="W107" i="6"/>
  <c r="AZ7" i="5"/>
  <c r="AO19" i="5"/>
  <c r="AO29" i="5"/>
  <c r="AO18" i="5"/>
  <c r="AO15" i="5"/>
  <c r="AZ27" i="5"/>
  <c r="AZ36" i="5"/>
  <c r="AO3" i="5"/>
  <c r="AO22" i="5"/>
  <c r="AO37" i="5"/>
  <c r="AO34" i="5"/>
  <c r="AO12" i="5"/>
  <c r="AO17" i="5"/>
  <c r="C56" i="7"/>
  <c r="K1" i="7"/>
  <c r="W8" i="6"/>
  <c r="W16" i="6"/>
  <c r="W20" i="6"/>
  <c r="W22" i="6"/>
  <c r="W28" i="6"/>
  <c r="W32" i="6"/>
  <c r="W59" i="6"/>
  <c r="W61" i="6"/>
  <c r="W82" i="6"/>
  <c r="W86" i="6"/>
  <c r="W88" i="6"/>
  <c r="W90" i="6"/>
  <c r="W92" i="6"/>
  <c r="W94" i="6"/>
  <c r="W34" i="6"/>
  <c r="W38" i="6"/>
  <c r="W73" i="6"/>
  <c r="W75" i="6"/>
  <c r="W102" i="6"/>
  <c r="W104" i="6"/>
  <c r="W106" i="6"/>
  <c r="W108" i="6"/>
  <c r="W110" i="6"/>
  <c r="W54" i="6"/>
  <c r="W87" i="6"/>
  <c r="W91" i="6"/>
  <c r="W9" i="6"/>
  <c r="W11" i="6"/>
  <c r="W27" i="6"/>
  <c r="K1" i="6"/>
  <c r="W37" i="6"/>
  <c r="W43" i="6"/>
  <c r="W45" i="6"/>
  <c r="W55" i="6"/>
  <c r="W70" i="6"/>
  <c r="W74" i="6"/>
  <c r="AZ12" i="5"/>
  <c r="AZ23" i="5"/>
  <c r="AO27" i="5"/>
  <c r="AZ32" i="5"/>
  <c r="AZ35" i="5"/>
  <c r="C40" i="7"/>
  <c r="AO7" i="5"/>
  <c r="AO8" i="5"/>
  <c r="AZ11" i="5"/>
  <c r="AO16" i="5"/>
  <c r="AZ20" i="5"/>
  <c r="AZ31" i="5"/>
  <c r="G33" i="5"/>
  <c r="I34" i="5"/>
  <c r="AO39" i="5"/>
  <c r="AO28" i="5"/>
  <c r="G21" i="5"/>
  <c r="AO4" i="5"/>
  <c r="AZ8" i="5"/>
  <c r="G20" i="5"/>
  <c r="AO24" i="5"/>
  <c r="G29" i="5"/>
  <c r="AO36" i="5"/>
  <c r="C9" i="7"/>
  <c r="C6" i="7"/>
  <c r="G32" i="5"/>
  <c r="G8" i="5"/>
  <c r="AO11" i="5"/>
  <c r="AO31" i="5"/>
  <c r="AO32" i="5"/>
  <c r="AZ39" i="5"/>
  <c r="C20" i="7"/>
  <c r="I17" i="5"/>
  <c r="F28" i="5"/>
  <c r="I26" i="5"/>
  <c r="F12" i="5"/>
  <c r="G28" i="5"/>
  <c r="I22" i="5"/>
  <c r="C12" i="7"/>
  <c r="C18" i="7"/>
  <c r="C28" i="7"/>
  <c r="C15" i="6"/>
  <c r="C36" i="6"/>
  <c r="C84" i="6"/>
  <c r="C8" i="7"/>
  <c r="C14" i="7"/>
  <c r="C17" i="7"/>
  <c r="C32" i="7"/>
  <c r="C44" i="7"/>
  <c r="C74" i="7"/>
  <c r="C19" i="6"/>
  <c r="C52" i="6"/>
  <c r="C5" i="7"/>
  <c r="C73" i="7"/>
  <c r="C16" i="7"/>
  <c r="C24" i="7"/>
  <c r="C48" i="7"/>
  <c r="C4" i="7"/>
  <c r="C10" i="7"/>
  <c r="C13" i="7"/>
  <c r="C36" i="7"/>
  <c r="C18" i="6"/>
  <c r="C52" i="7"/>
  <c r="J32" i="5"/>
  <c r="D66" i="6" s="1"/>
  <c r="J19" i="5"/>
  <c r="D83" i="7" s="1"/>
  <c r="E20" i="5"/>
  <c r="E84" i="7" s="1"/>
  <c r="J35" i="5"/>
  <c r="E36" i="5"/>
  <c r="J38" i="5"/>
  <c r="D35" i="6" s="1"/>
  <c r="J21" i="5"/>
  <c r="D85" i="7" s="1"/>
  <c r="J22" i="5"/>
  <c r="J25" i="5"/>
  <c r="D96" i="6" s="1"/>
  <c r="F4" i="5"/>
  <c r="G5" i="5"/>
  <c r="J23" i="5"/>
  <c r="D60" i="7" s="1"/>
  <c r="J24" i="5"/>
  <c r="D22" i="7" s="1"/>
  <c r="J26" i="5"/>
  <c r="D87" i="7" s="1"/>
  <c r="J5" i="5"/>
  <c r="D4" i="6" s="1"/>
  <c r="J30" i="5"/>
  <c r="D27" i="6" s="1"/>
  <c r="J10" i="5"/>
  <c r="J3" i="5"/>
  <c r="J36" i="5"/>
  <c r="J4" i="5"/>
  <c r="D41" i="7" s="1"/>
  <c r="J6" i="5"/>
  <c r="D42" i="6" s="1"/>
  <c r="J27" i="5"/>
  <c r="D24" i="6" s="1"/>
  <c r="J7" i="5"/>
  <c r="D44" i="7" s="1"/>
  <c r="E8" i="5"/>
  <c r="E7" i="7" s="1"/>
  <c r="I9" i="5"/>
  <c r="J31" i="5"/>
  <c r="D28" i="7" s="1"/>
  <c r="E32" i="5"/>
  <c r="E66" i="6" s="1"/>
  <c r="J9" i="5"/>
  <c r="J12" i="5"/>
  <c r="D11" i="6" s="1"/>
  <c r="J13" i="5"/>
  <c r="D84" i="6" s="1"/>
  <c r="J14" i="5"/>
  <c r="J16" i="5"/>
  <c r="D14" i="6" s="1"/>
  <c r="J17" i="5"/>
  <c r="D54" i="7" s="1"/>
  <c r="J18" i="5"/>
  <c r="J33" i="5"/>
  <c r="AI5" i="4"/>
  <c r="AI13" i="4"/>
  <c r="AW9" i="4"/>
  <c r="F16" i="5"/>
  <c r="W1" i="4"/>
  <c r="F20" i="5"/>
  <c r="F8" i="5"/>
  <c r="F5" i="5"/>
  <c r="F32" i="5"/>
  <c r="F14" i="5"/>
  <c r="F10" i="5"/>
  <c r="F3" i="5"/>
  <c r="F36" i="5"/>
  <c r="F9" i="5"/>
  <c r="F6" i="5"/>
  <c r="H3" i="5"/>
  <c r="H29" i="5"/>
  <c r="H21" i="5"/>
  <c r="H5" i="5"/>
  <c r="H37" i="5"/>
  <c r="H9" i="5"/>
  <c r="H33" i="5"/>
  <c r="F24" i="5"/>
  <c r="H25" i="5"/>
  <c r="E4" i="5"/>
  <c r="E3" i="7" s="1"/>
  <c r="I10" i="5"/>
  <c r="I21" i="5"/>
  <c r="I38" i="5"/>
  <c r="I33" i="5"/>
  <c r="I18" i="5"/>
  <c r="I6" i="5"/>
  <c r="I30" i="5"/>
  <c r="I25" i="5"/>
  <c r="I5" i="5"/>
  <c r="I13" i="5"/>
  <c r="I14" i="5"/>
  <c r="E16" i="5"/>
  <c r="E87" i="6" s="1"/>
  <c r="E12" i="5"/>
  <c r="E48" i="6" s="1"/>
  <c r="E28" i="5"/>
  <c r="J8" i="5"/>
  <c r="D7" i="6" s="1"/>
  <c r="G9" i="5"/>
  <c r="G12" i="5"/>
  <c r="G13" i="5"/>
  <c r="G16" i="5"/>
  <c r="G17" i="5"/>
  <c r="J20" i="5"/>
  <c r="J29" i="5"/>
  <c r="D88" i="7" s="1"/>
  <c r="J34" i="5"/>
  <c r="D90" i="7" s="1"/>
  <c r="J39" i="5"/>
  <c r="D36" i="7" s="1"/>
  <c r="G36" i="5"/>
  <c r="G37" i="5"/>
  <c r="G4" i="5"/>
  <c r="J11" i="5"/>
  <c r="D47" i="6" s="1"/>
  <c r="J15" i="5"/>
  <c r="D50" i="6" s="1"/>
  <c r="G24" i="5"/>
  <c r="G25" i="5"/>
  <c r="J28" i="5"/>
  <c r="D25" i="7" s="1"/>
  <c r="J37" i="5"/>
  <c r="D74" i="7" s="1"/>
  <c r="W13" i="6"/>
  <c r="C44" i="6"/>
  <c r="C76" i="6"/>
  <c r="W99" i="6"/>
  <c r="W5" i="6"/>
  <c r="W24" i="6"/>
  <c r="W47" i="6"/>
  <c r="W52" i="6"/>
  <c r="W64" i="6"/>
  <c r="W101" i="6"/>
  <c r="C68" i="6"/>
  <c r="W103" i="6"/>
  <c r="W4" i="6"/>
  <c r="C28" i="6"/>
  <c r="C90" i="6"/>
  <c r="Q1" i="6"/>
  <c r="C13" i="6"/>
  <c r="C20" i="6"/>
  <c r="C35" i="6"/>
  <c r="C60" i="6"/>
  <c r="W6" i="6"/>
  <c r="C16" i="6"/>
  <c r="W23" i="6"/>
  <c r="C27" i="6"/>
  <c r="W36" i="6"/>
  <c r="W48" i="6"/>
  <c r="W63" i="6"/>
  <c r="W68" i="6"/>
  <c r="W80" i="6"/>
  <c r="W95" i="6"/>
  <c r="W109" i="6"/>
  <c r="AI10" i="4"/>
  <c r="AI12" i="4"/>
  <c r="AW12" i="4"/>
  <c r="AI4" i="4"/>
  <c r="AW4" i="4"/>
  <c r="AI8" i="4"/>
  <c r="AW8" i="4"/>
  <c r="AI16" i="4"/>
  <c r="AI11" i="4"/>
  <c r="X1" i="4"/>
  <c r="AI6" i="4"/>
  <c r="AI14" i="4"/>
  <c r="AI7" i="4"/>
  <c r="AI17" i="4"/>
  <c r="E3" i="5"/>
  <c r="AZ6" i="5"/>
  <c r="AZ10" i="5"/>
  <c r="AZ14" i="5"/>
  <c r="AZ18" i="5"/>
  <c r="AZ22" i="5"/>
  <c r="AZ26" i="5"/>
  <c r="AZ30" i="5"/>
  <c r="AZ34" i="5"/>
  <c r="AZ38" i="5"/>
  <c r="E7" i="5"/>
  <c r="E6" i="6" s="1"/>
  <c r="G3" i="5"/>
  <c r="H4" i="5"/>
  <c r="AZ5" i="5"/>
  <c r="F7" i="5"/>
  <c r="H8" i="5"/>
  <c r="AZ9" i="5"/>
  <c r="F11" i="5"/>
  <c r="H12" i="5"/>
  <c r="AZ13" i="5"/>
  <c r="F15" i="5"/>
  <c r="H16" i="5"/>
  <c r="AZ17" i="5"/>
  <c r="F19" i="5"/>
  <c r="H20" i="5"/>
  <c r="AZ21" i="5"/>
  <c r="F23" i="5"/>
  <c r="H24" i="5"/>
  <c r="AZ25" i="5"/>
  <c r="F27" i="5"/>
  <c r="H28" i="5"/>
  <c r="AZ29" i="5"/>
  <c r="F31" i="5"/>
  <c r="H32" i="5"/>
  <c r="AZ33" i="5"/>
  <c r="F35" i="5"/>
  <c r="H36" i="5"/>
  <c r="AZ37" i="5"/>
  <c r="F39" i="5"/>
  <c r="E11" i="5"/>
  <c r="AW5" i="4"/>
  <c r="AW13" i="4"/>
  <c r="I4" i="5"/>
  <c r="E6" i="5"/>
  <c r="E43" i="7" s="1"/>
  <c r="G7" i="5"/>
  <c r="I8" i="5"/>
  <c r="E10" i="5"/>
  <c r="G11" i="5"/>
  <c r="I12" i="5"/>
  <c r="E14" i="5"/>
  <c r="E81" i="7" s="1"/>
  <c r="G15" i="5"/>
  <c r="I16" i="5"/>
  <c r="E18" i="5"/>
  <c r="G19" i="5"/>
  <c r="I20" i="5"/>
  <c r="E22" i="5"/>
  <c r="G23" i="5"/>
  <c r="I24" i="5"/>
  <c r="E26" i="5"/>
  <c r="G27" i="5"/>
  <c r="I28" i="5"/>
  <c r="E30" i="5"/>
  <c r="E27" i="6" s="1"/>
  <c r="G31" i="5"/>
  <c r="I32" i="5"/>
  <c r="E34" i="5"/>
  <c r="G35" i="5"/>
  <c r="I36" i="5"/>
  <c r="E38" i="5"/>
  <c r="E109" i="6" s="1"/>
  <c r="G39" i="5"/>
  <c r="E15" i="5"/>
  <c r="E13" i="6" s="1"/>
  <c r="E19" i="5"/>
  <c r="E54" i="6" s="1"/>
  <c r="E23" i="5"/>
  <c r="E27" i="5"/>
  <c r="E24" i="6" s="1"/>
  <c r="E31" i="5"/>
  <c r="E68" i="7" s="1"/>
  <c r="E35" i="5"/>
  <c r="E39" i="5"/>
  <c r="E110" i="6" s="1"/>
  <c r="H7" i="5"/>
  <c r="H11" i="5"/>
  <c r="H15" i="5"/>
  <c r="F18" i="5"/>
  <c r="H19" i="5"/>
  <c r="F22" i="5"/>
  <c r="H23" i="5"/>
  <c r="F26" i="5"/>
  <c r="H27" i="5"/>
  <c r="F30" i="5"/>
  <c r="H31" i="5"/>
  <c r="F34" i="5"/>
  <c r="H35" i="5"/>
  <c r="F38" i="5"/>
  <c r="AZ3" i="5"/>
  <c r="E5" i="5"/>
  <c r="E4" i="7" s="1"/>
  <c r="G6" i="5"/>
  <c r="I7" i="5"/>
  <c r="E9" i="5"/>
  <c r="G10" i="5"/>
  <c r="I11" i="5"/>
  <c r="E13" i="5"/>
  <c r="G14" i="5"/>
  <c r="I15" i="5"/>
  <c r="E17" i="5"/>
  <c r="E88" i="6" s="1"/>
  <c r="G18" i="5"/>
  <c r="I19" i="5"/>
  <c r="E21" i="5"/>
  <c r="E85" i="7" s="1"/>
  <c r="G22" i="5"/>
  <c r="I23" i="5"/>
  <c r="E25" i="5"/>
  <c r="E62" i="7" s="1"/>
  <c r="G26" i="5"/>
  <c r="I27" i="5"/>
  <c r="E29" i="5"/>
  <c r="G30" i="5"/>
  <c r="I31" i="5"/>
  <c r="E33" i="5"/>
  <c r="E89" i="7" s="1"/>
  <c r="G34" i="5"/>
  <c r="I35" i="5"/>
  <c r="E37" i="5"/>
  <c r="E34" i="7" s="1"/>
  <c r="G38" i="5"/>
  <c r="I39" i="5"/>
  <c r="H6" i="5"/>
  <c r="H10" i="5"/>
  <c r="F13" i="5"/>
  <c r="H14" i="5"/>
  <c r="F17" i="5"/>
  <c r="H18" i="5"/>
  <c r="F21" i="5"/>
  <c r="H22" i="5"/>
  <c r="F25" i="5"/>
  <c r="H26" i="5"/>
  <c r="F29" i="5"/>
  <c r="H30" i="5"/>
  <c r="F33" i="5"/>
  <c r="H34" i="5"/>
  <c r="F37" i="5"/>
  <c r="H38" i="5"/>
  <c r="C11" i="6"/>
  <c r="C14" i="6"/>
  <c r="C21" i="6"/>
  <c r="C29" i="6"/>
  <c r="C37" i="6"/>
  <c r="C45" i="6"/>
  <c r="C53" i="6"/>
  <c r="C61" i="6"/>
  <c r="C69" i="6"/>
  <c r="C77" i="6"/>
  <c r="C85" i="6"/>
  <c r="C43" i="6"/>
  <c r="C51" i="6"/>
  <c r="C59" i="6"/>
  <c r="C67" i="6"/>
  <c r="C75" i="6"/>
  <c r="C83" i="6"/>
  <c r="C89" i="6"/>
  <c r="C94" i="6"/>
  <c r="C102" i="6"/>
  <c r="C110" i="6"/>
  <c r="C3" i="6"/>
  <c r="C4" i="6"/>
  <c r="C17" i="6"/>
  <c r="C26" i="6"/>
  <c r="C34" i="6"/>
  <c r="C42" i="6"/>
  <c r="C50" i="6"/>
  <c r="C58" i="6"/>
  <c r="C66" i="6"/>
  <c r="C74" i="6"/>
  <c r="C82" i="6"/>
  <c r="C88" i="6"/>
  <c r="C93" i="6"/>
  <c r="C98" i="6"/>
  <c r="C6" i="6"/>
  <c r="C25" i="6"/>
  <c r="C33" i="6"/>
  <c r="C41" i="6"/>
  <c r="C49" i="6"/>
  <c r="C57" i="6"/>
  <c r="C65" i="6"/>
  <c r="C73" i="6"/>
  <c r="C81" i="6"/>
  <c r="C92" i="6"/>
  <c r="C109" i="6"/>
  <c r="C105" i="6"/>
  <c r="C101" i="6"/>
  <c r="C108" i="6"/>
  <c r="C104" i="6"/>
  <c r="C107" i="6"/>
  <c r="C103" i="6"/>
  <c r="C99" i="6"/>
  <c r="C95" i="6"/>
  <c r="C91" i="6"/>
  <c r="C87" i="6"/>
  <c r="C5" i="6"/>
  <c r="C8" i="6"/>
  <c r="C24" i="6"/>
  <c r="C32" i="6"/>
  <c r="C40" i="6"/>
  <c r="C48" i="6"/>
  <c r="C56" i="6"/>
  <c r="C64" i="6"/>
  <c r="C72" i="6"/>
  <c r="C80" i="6"/>
  <c r="C96" i="6"/>
  <c r="C7" i="6"/>
  <c r="C10" i="6"/>
  <c r="C23" i="6"/>
  <c r="C31" i="6"/>
  <c r="C39" i="6"/>
  <c r="C47" i="6"/>
  <c r="C55" i="6"/>
  <c r="C63" i="6"/>
  <c r="C71" i="6"/>
  <c r="C79" i="6"/>
  <c r="C100" i="6"/>
  <c r="C106" i="6"/>
  <c r="C9" i="6"/>
  <c r="C12" i="6"/>
  <c r="C22" i="6"/>
  <c r="C30" i="6"/>
  <c r="C38" i="6"/>
  <c r="C46" i="6"/>
  <c r="C54" i="6"/>
  <c r="C62" i="6"/>
  <c r="C70" i="6"/>
  <c r="C78" i="6"/>
  <c r="C86" i="6"/>
  <c r="Q1" i="7"/>
  <c r="V1" i="7"/>
  <c r="C21" i="7"/>
  <c r="C25" i="7"/>
  <c r="C29" i="7"/>
  <c r="C33" i="7"/>
  <c r="C37" i="7"/>
  <c r="C41" i="7"/>
  <c r="C45" i="7"/>
  <c r="C49" i="7"/>
  <c r="C53" i="7"/>
  <c r="C57" i="7"/>
  <c r="C68" i="7"/>
  <c r="C64" i="7"/>
  <c r="C69" i="7"/>
  <c r="C70" i="7"/>
  <c r="C22" i="7"/>
  <c r="C26" i="7"/>
  <c r="C30" i="7"/>
  <c r="C34" i="7"/>
  <c r="C38" i="7"/>
  <c r="C42" i="7"/>
  <c r="C46" i="7"/>
  <c r="C50" i="7"/>
  <c r="C54" i="7"/>
  <c r="C58" i="7"/>
  <c r="C60" i="7"/>
  <c r="C65" i="7"/>
  <c r="C66" i="7"/>
  <c r="C76" i="7"/>
  <c r="C61" i="7"/>
  <c r="C62" i="7"/>
  <c r="C77" i="7"/>
  <c r="C75" i="7"/>
  <c r="C71" i="7"/>
  <c r="C67" i="7"/>
  <c r="C63" i="7"/>
  <c r="C59" i="7"/>
  <c r="C3" i="7"/>
  <c r="C7" i="7"/>
  <c r="C11" i="7"/>
  <c r="C15" i="7"/>
  <c r="C19" i="7"/>
  <c r="C23" i="7"/>
  <c r="C27" i="7"/>
  <c r="C31" i="7"/>
  <c r="C35" i="7"/>
  <c r="C39" i="7"/>
  <c r="C43" i="7"/>
  <c r="C47" i="7"/>
  <c r="C51" i="7"/>
  <c r="C55" i="7"/>
  <c r="C72" i="7"/>
  <c r="E1329" i="7" l="1"/>
  <c r="E1335" i="7"/>
  <c r="E1163" i="7"/>
  <c r="E1152" i="7"/>
  <c r="E968" i="7"/>
  <c r="E973" i="7"/>
  <c r="E962" i="7"/>
  <c r="E1293" i="6"/>
  <c r="E1443" i="6"/>
  <c r="E1422" i="6"/>
  <c r="E1289" i="6"/>
  <c r="E1266" i="6"/>
  <c r="E1259" i="6"/>
  <c r="E1280" i="6"/>
  <c r="E1122" i="6"/>
  <c r="E1332" i="7"/>
  <c r="E1155" i="7"/>
  <c r="E1144" i="7"/>
  <c r="E996" i="7"/>
  <c r="E986" i="7"/>
  <c r="E975" i="7"/>
  <c r="E1463" i="6"/>
  <c r="E1438" i="6"/>
  <c r="E1304" i="6"/>
  <c r="E1268" i="6"/>
  <c r="E1117" i="6"/>
  <c r="E1085" i="6"/>
  <c r="E1295" i="6"/>
  <c r="E1320" i="7"/>
  <c r="E1326" i="7"/>
  <c r="E1179" i="7"/>
  <c r="E1430" i="6"/>
  <c r="E1137" i="6"/>
  <c r="E1424" i="6"/>
  <c r="E1162" i="7"/>
  <c r="E1134" i="7"/>
  <c r="E984" i="7"/>
  <c r="E1150" i="7"/>
  <c r="E1174" i="7"/>
  <c r="E1260" i="6"/>
  <c r="E1177" i="7"/>
  <c r="E1111" i="7"/>
  <c r="E1161" i="7"/>
  <c r="E960" i="7"/>
  <c r="E994" i="7"/>
  <c r="E1457" i="6"/>
  <c r="E1460" i="6"/>
  <c r="E1278" i="6"/>
  <c r="E1120" i="6"/>
  <c r="E1412" i="6"/>
  <c r="E1284" i="6"/>
  <c r="E1158" i="7"/>
  <c r="E1145" i="7"/>
  <c r="E1112" i="7"/>
  <c r="E1257" i="6"/>
  <c r="E1182" i="7"/>
  <c r="E1324" i="7"/>
  <c r="E1327" i="7"/>
  <c r="E991" i="7"/>
  <c r="E1433" i="6"/>
  <c r="E1271" i="6"/>
  <c r="E1317" i="7"/>
  <c r="E971" i="7"/>
  <c r="E1417" i="6"/>
  <c r="E1088" i="6"/>
  <c r="E1113" i="6"/>
  <c r="E1312" i="7"/>
  <c r="E1166" i="7"/>
  <c r="E964" i="7"/>
  <c r="E1314" i="7"/>
  <c r="E1319" i="7"/>
  <c r="E1169" i="7"/>
  <c r="E1137" i="7"/>
  <c r="E1115" i="7"/>
  <c r="E1452" i="6"/>
  <c r="E1140" i="6"/>
  <c r="E1291" i="6"/>
  <c r="E1420" i="6"/>
  <c r="E1264" i="6"/>
  <c r="E1150" i="6"/>
  <c r="E1106" i="6"/>
  <c r="E1127" i="6"/>
  <c r="E1287" i="6"/>
  <c r="E987" i="7"/>
  <c r="E1301" i="6"/>
  <c r="E1444" i="6"/>
  <c r="E1143" i="6"/>
  <c r="E1336" i="7"/>
  <c r="E1330" i="7"/>
  <c r="E1185" i="7"/>
  <c r="E1153" i="7"/>
  <c r="E957" i="7"/>
  <c r="E1441" i="6"/>
  <c r="E1084" i="6"/>
  <c r="E970" i="7"/>
  <c r="E1429" i="6"/>
  <c r="E1189" i="7"/>
  <c r="E1005" i="7"/>
  <c r="E967" i="7"/>
  <c r="E1464" i="6"/>
  <c r="E1325" i="7"/>
  <c r="E1114" i="7"/>
  <c r="E1413" i="6"/>
  <c r="E1119" i="6"/>
  <c r="E1141" i="7"/>
  <c r="E1154" i="7"/>
  <c r="E995" i="7"/>
  <c r="E1448" i="6"/>
  <c r="E1110" i="6"/>
  <c r="E1173" i="7"/>
  <c r="E1178" i="7"/>
  <c r="E1331" i="7"/>
  <c r="E974" i="7"/>
  <c r="E963" i="7"/>
  <c r="E1305" i="6"/>
  <c r="E1298" i="6"/>
  <c r="E1440" i="6"/>
  <c r="E1154" i="6"/>
  <c r="E1130" i="6"/>
  <c r="E1123" i="6"/>
  <c r="E1496" i="6"/>
  <c r="E1132" i="7"/>
  <c r="E1354" i="7"/>
  <c r="E1261" i="7"/>
  <c r="D1246" i="7"/>
  <c r="E1309" i="6"/>
  <c r="E1215" i="6"/>
  <c r="D1510" i="6"/>
  <c r="E1039" i="7"/>
  <c r="E1469" i="6"/>
  <c r="E1339" i="6"/>
  <c r="E1343" i="7"/>
  <c r="E1573" i="6"/>
  <c r="E1250" i="7"/>
  <c r="E1289" i="7"/>
  <c r="E1118" i="7"/>
  <c r="D1280" i="7"/>
  <c r="D1121" i="6"/>
  <c r="E1382" i="7"/>
  <c r="E1194" i="7"/>
  <c r="E1415" i="7"/>
  <c r="E1046" i="7"/>
  <c r="E1533" i="6"/>
  <c r="E1405" i="6"/>
  <c r="E1509" i="6"/>
  <c r="E1282" i="7"/>
  <c r="E1053" i="7"/>
  <c r="D1243" i="7"/>
  <c r="E1556" i="6"/>
  <c r="E1350" i="6"/>
  <c r="E1232" i="6"/>
  <c r="D1382" i="6"/>
  <c r="E1206" i="7"/>
  <c r="E1245" i="7"/>
  <c r="E1370" i="7"/>
  <c r="E1266" i="7"/>
  <c r="E1391" i="7"/>
  <c r="E1273" i="7"/>
  <c r="E1120" i="7"/>
  <c r="E1090" i="7"/>
  <c r="E979" i="7"/>
  <c r="D1357" i="7"/>
  <c r="D1033" i="7"/>
  <c r="E1357" i="6"/>
  <c r="E1537" i="6"/>
  <c r="E1549" i="6"/>
  <c r="E1324" i="6"/>
  <c r="E1206" i="6"/>
  <c r="D1563" i="6"/>
  <c r="E1385" i="7"/>
  <c r="E1381" i="7"/>
  <c r="E1262" i="7"/>
  <c r="E1298" i="7"/>
  <c r="E1234" i="7"/>
  <c r="E1227" i="7"/>
  <c r="E1083" i="7"/>
  <c r="E1016" i="7"/>
  <c r="E1009" i="7"/>
  <c r="E1026" i="7"/>
  <c r="D1312" i="7"/>
  <c r="D1346" i="7"/>
  <c r="D1034" i="7"/>
  <c r="E1481" i="6"/>
  <c r="E1486" i="6"/>
  <c r="E1502" i="6"/>
  <c r="E1528" i="6"/>
  <c r="E1353" i="6"/>
  <c r="E1383" i="6"/>
  <c r="E1175" i="6"/>
  <c r="D1360" i="6"/>
  <c r="D1116" i="6"/>
  <c r="E1108" i="7"/>
  <c r="E1165" i="7"/>
  <c r="E1322" i="7"/>
  <c r="E1146" i="7"/>
  <c r="E1113" i="7"/>
  <c r="E988" i="7"/>
  <c r="E981" i="7"/>
  <c r="E1445" i="6"/>
  <c r="E1437" i="6"/>
  <c r="E1277" i="6"/>
  <c r="E1539" i="6"/>
  <c r="E1447" i="6"/>
  <c r="E1116" i="6"/>
  <c r="E1267" i="6"/>
  <c r="E1288" i="6"/>
  <c r="E1384" i="7"/>
  <c r="E1133" i="7"/>
  <c r="E985" i="7"/>
  <c r="E1408" i="6"/>
  <c r="E1309" i="7"/>
  <c r="E1157" i="7"/>
  <c r="E1318" i="7"/>
  <c r="E1270" i="6"/>
  <c r="E1112" i="6"/>
  <c r="E1263" i="6"/>
  <c r="E1432" i="6"/>
  <c r="E1147" i="6"/>
  <c r="E1193" i="7"/>
  <c r="E1119" i="7"/>
  <c r="D1061" i="7"/>
  <c r="E1544" i="6"/>
  <c r="E1192" i="6"/>
  <c r="E1177" i="6"/>
  <c r="E1414" i="7"/>
  <c r="E1346" i="7"/>
  <c r="E969" i="7"/>
  <c r="D1171" i="7"/>
  <c r="E1139" i="6"/>
  <c r="E1107" i="6"/>
  <c r="E1278" i="7"/>
  <c r="E1340" i="7"/>
  <c r="E1270" i="7"/>
  <c r="E1269" i="7"/>
  <c r="E1307" i="7"/>
  <c r="E1151" i="7"/>
  <c r="E1148" i="7"/>
  <c r="E1013" i="7"/>
  <c r="E997" i="7"/>
  <c r="E965" i="7"/>
  <c r="E1148" i="6"/>
  <c r="E1132" i="6"/>
  <c r="E1312" i="6"/>
  <c r="E1181" i="7"/>
  <c r="E1310" i="7"/>
  <c r="E1138" i="7"/>
  <c r="E1323" i="7"/>
  <c r="E1167" i="7"/>
  <c r="E1268" i="7"/>
  <c r="E977" i="7"/>
  <c r="E961" i="7"/>
  <c r="E998" i="7"/>
  <c r="D1374" i="7"/>
  <c r="E1453" i="6"/>
  <c r="E1494" i="6"/>
  <c r="E1516" i="6"/>
  <c r="E1322" i="6"/>
  <c r="D1204" i="7"/>
  <c r="D1085" i="7"/>
  <c r="D1071" i="7"/>
  <c r="D1256" i="7"/>
  <c r="E1471" i="6"/>
  <c r="E1405" i="7"/>
  <c r="E1086" i="7"/>
  <c r="D1347" i="7"/>
  <c r="D1283" i="7"/>
  <c r="E1234" i="6"/>
  <c r="D1414" i="7"/>
  <c r="D1138" i="7"/>
  <c r="D1223" i="7"/>
  <c r="D1012" i="7"/>
  <c r="D1429" i="6"/>
  <c r="D1169" i="7"/>
  <c r="D1090" i="7"/>
  <c r="D1297" i="7"/>
  <c r="D1054" i="7"/>
  <c r="D1070" i="7"/>
  <c r="D1203" i="7"/>
  <c r="D1108" i="7"/>
  <c r="D972" i="7"/>
  <c r="D1505" i="6"/>
  <c r="D1337" i="6"/>
  <c r="D1246" i="6"/>
  <c r="D1287" i="6"/>
  <c r="D1110" i="6"/>
  <c r="D1273" i="7"/>
  <c r="D1325" i="7"/>
  <c r="D1226" i="7"/>
  <c r="D1354" i="6"/>
  <c r="E1201" i="7"/>
  <c r="E1200" i="7"/>
  <c r="E1023" i="7"/>
  <c r="D1371" i="7"/>
  <c r="D1384" i="7"/>
  <c r="D1296" i="7"/>
  <c r="D1381" i="7"/>
  <c r="D1003" i="7"/>
  <c r="D1186" i="7"/>
  <c r="D1187" i="7"/>
  <c r="D1096" i="7"/>
  <c r="D1469" i="6"/>
  <c r="D1365" i="6"/>
  <c r="D1556" i="6"/>
  <c r="D1261" i="6"/>
  <c r="D1152" i="6"/>
  <c r="D1209" i="6"/>
  <c r="D1005" i="7"/>
  <c r="D1203" i="6"/>
  <c r="E1409" i="7"/>
  <c r="E1344" i="7"/>
  <c r="E1222" i="7"/>
  <c r="E1397" i="7"/>
  <c r="E1398" i="7"/>
  <c r="E1362" i="7"/>
  <c r="E1258" i="7"/>
  <c r="E1202" i="7"/>
  <c r="E1195" i="7"/>
  <c r="E1057" i="7"/>
  <c r="E1098" i="7"/>
  <c r="E1066" i="7"/>
  <c r="D1396" i="7"/>
  <c r="D1360" i="7"/>
  <c r="D1288" i="7"/>
  <c r="D1337" i="7"/>
  <c r="D1261" i="7"/>
  <c r="D1133" i="7"/>
  <c r="D1082" i="7"/>
  <c r="D1170" i="7"/>
  <c r="D1130" i="7"/>
  <c r="D1151" i="7"/>
  <c r="D1104" i="7"/>
  <c r="D1023" i="7"/>
  <c r="D988" i="7"/>
  <c r="D961" i="7"/>
  <c r="E1497" i="6"/>
  <c r="E1390" i="6"/>
  <c r="E1564" i="6"/>
  <c r="E1536" i="6"/>
  <c r="E1512" i="6"/>
  <c r="E1338" i="6"/>
  <c r="E1216" i="6"/>
  <c r="E1367" i="6"/>
  <c r="E1364" i="6"/>
  <c r="E1248" i="6"/>
  <c r="D1444" i="6"/>
  <c r="D1462" i="6"/>
  <c r="D1081" i="6"/>
  <c r="D1579" i="6"/>
  <c r="D1103" i="7"/>
  <c r="D1403" i="6"/>
  <c r="D1252" i="6"/>
  <c r="D1571" i="6"/>
  <c r="D1245" i="6"/>
  <c r="D1376" i="6"/>
  <c r="D1076" i="7"/>
  <c r="D1272" i="7"/>
  <c r="D1547" i="6"/>
  <c r="D1215" i="6"/>
  <c r="D1536" i="6"/>
  <c r="D1253" i="6"/>
  <c r="D1404" i="6"/>
  <c r="D1305" i="7"/>
  <c r="D1572" i="6"/>
  <c r="D1397" i="6"/>
  <c r="D1239" i="6"/>
  <c r="D1390" i="6"/>
  <c r="D1564" i="6"/>
  <c r="D1232" i="6"/>
  <c r="D1397" i="7"/>
  <c r="D1281" i="7"/>
  <c r="D1377" i="6"/>
  <c r="D1226" i="6"/>
  <c r="D1219" i="6"/>
  <c r="D1370" i="6"/>
  <c r="D1334" i="6"/>
  <c r="D1498" i="6"/>
  <c r="D1214" i="6"/>
  <c r="D1534" i="6"/>
  <c r="D1207" i="6"/>
  <c r="D1358" i="6"/>
  <c r="D1251" i="7"/>
  <c r="D1351" i="6"/>
  <c r="D1518" i="6"/>
  <c r="D1051" i="7"/>
  <c r="D1194" i="6"/>
  <c r="D1345" i="6"/>
  <c r="D1333" i="6"/>
  <c r="D1496" i="6"/>
  <c r="D1182" i="6"/>
  <c r="D1087" i="6"/>
  <c r="D1114" i="7"/>
  <c r="D1529" i="6"/>
  <c r="D1060" i="7"/>
  <c r="D1196" i="6"/>
  <c r="D1513" i="6"/>
  <c r="D1238" i="7"/>
  <c r="D1340" i="6"/>
  <c r="D1040" i="7"/>
  <c r="D1189" i="6"/>
  <c r="D1501" i="6"/>
  <c r="D1037" i="7"/>
  <c r="D1330" i="6"/>
  <c r="D1030" i="7"/>
  <c r="D1493" i="6"/>
  <c r="D1172" i="6"/>
  <c r="D1210" i="7"/>
  <c r="D1323" i="6"/>
  <c r="D1165" i="6"/>
  <c r="D1316" i="6"/>
  <c r="D1477" i="6"/>
  <c r="D1016" i="7"/>
  <c r="D1349" i="7"/>
  <c r="D1458" i="6"/>
  <c r="D1299" i="6"/>
  <c r="D1148" i="6"/>
  <c r="D960" i="7"/>
  <c r="D1137" i="7"/>
  <c r="D1109" i="6"/>
  <c r="D1412" i="6"/>
  <c r="D1197" i="7"/>
  <c r="D1312" i="6"/>
  <c r="D1154" i="6"/>
  <c r="D1339" i="7"/>
  <c r="D1464" i="6"/>
  <c r="D1124" i="6"/>
  <c r="D1155" i="7"/>
  <c r="D1320" i="7"/>
  <c r="D1275" i="6"/>
  <c r="D1151" i="6"/>
  <c r="D1461" i="6"/>
  <c r="D1295" i="6"/>
  <c r="D995" i="7"/>
  <c r="D1178" i="7"/>
  <c r="D1137" i="6"/>
  <c r="D1445" i="6"/>
  <c r="D1130" i="6"/>
  <c r="D1281" i="6"/>
  <c r="D1437" i="6"/>
  <c r="D981" i="7"/>
  <c r="D1123" i="6"/>
  <c r="D1274" i="6"/>
  <c r="D967" i="7"/>
  <c r="D1146" i="7"/>
  <c r="D1421" i="6"/>
  <c r="E1391" i="6"/>
  <c r="E1091" i="7"/>
  <c r="E1240" i="6"/>
  <c r="E1233" i="6"/>
  <c r="E1557" i="6"/>
  <c r="E1384" i="6"/>
  <c r="E1220" i="6"/>
  <c r="E1541" i="6"/>
  <c r="E1371" i="6"/>
  <c r="E1377" i="6"/>
  <c r="E1226" i="6"/>
  <c r="E1050" i="7"/>
  <c r="E1199" i="6"/>
  <c r="E1344" i="6"/>
  <c r="E1193" i="6"/>
  <c r="E1188" i="6"/>
  <c r="E1504" i="6"/>
  <c r="E1326" i="6"/>
  <c r="E1488" i="6"/>
  <c r="E1010" i="7"/>
  <c r="E1159" i="6"/>
  <c r="E1310" i="6"/>
  <c r="E1359" i="6"/>
  <c r="E1208" i="6"/>
  <c r="E1059" i="7"/>
  <c r="E1173" i="6"/>
  <c r="E1211" i="7"/>
  <c r="E1499" i="6"/>
  <c r="E1224" i="7"/>
  <c r="E1335" i="6"/>
  <c r="E1021" i="7"/>
  <c r="E1321" i="6"/>
  <c r="E1477" i="6"/>
  <c r="E1316" i="6"/>
  <c r="E1408" i="7"/>
  <c r="E1349" i="7"/>
  <c r="E1237" i="7"/>
  <c r="E1374" i="7"/>
  <c r="E1306" i="7"/>
  <c r="E1274" i="7"/>
  <c r="E1242" i="7"/>
  <c r="E1403" i="7"/>
  <c r="E1299" i="7"/>
  <c r="E1099" i="7"/>
  <c r="E1208" i="7"/>
  <c r="E1128" i="7"/>
  <c r="E1105" i="7"/>
  <c r="E1038" i="7"/>
  <c r="D1324" i="7"/>
  <c r="D1058" i="7"/>
  <c r="D1304" i="7"/>
  <c r="D1343" i="7"/>
  <c r="D1377" i="7"/>
  <c r="D1309" i="7"/>
  <c r="D1189" i="7"/>
  <c r="D1402" i="7"/>
  <c r="D1334" i="7"/>
  <c r="D1047" i="7"/>
  <c r="D1230" i="7"/>
  <c r="D1194" i="7"/>
  <c r="D1154" i="7"/>
  <c r="D975" i="7"/>
  <c r="D1235" i="7"/>
  <c r="D1183" i="7"/>
  <c r="D1083" i="7"/>
  <c r="D1066" i="7"/>
  <c r="D987" i="7"/>
  <c r="D1065" i="7"/>
  <c r="D1009" i="7"/>
  <c r="E1581" i="6"/>
  <c r="E1399" i="6"/>
  <c r="E1483" i="6"/>
  <c r="E1565" i="6"/>
  <c r="E1548" i="6"/>
  <c r="E1520" i="6"/>
  <c r="E1184" i="6"/>
  <c r="E1247" i="6"/>
  <c r="E1213" i="6"/>
  <c r="E1170" i="6"/>
  <c r="E1195" i="6"/>
  <c r="D1453" i="6"/>
  <c r="D1540" i="6"/>
  <c r="D1526" i="6"/>
  <c r="D1396" i="6"/>
  <c r="D1179" i="6"/>
  <c r="D1225" i="6"/>
  <c r="D1302" i="6"/>
  <c r="D1144" i="6"/>
  <c r="D1161" i="6"/>
  <c r="D1158" i="6"/>
  <c r="E948" i="6"/>
  <c r="E1190" i="7"/>
  <c r="E1406" i="7"/>
  <c r="E1249" i="7"/>
  <c r="E1033" i="7"/>
  <c r="E1275" i="7"/>
  <c r="E1191" i="7"/>
  <c r="D1145" i="7"/>
  <c r="D1032" i="7"/>
  <c r="E1465" i="6"/>
  <c r="E1480" i="6"/>
  <c r="E1313" i="6"/>
  <c r="E1279" i="6"/>
  <c r="E1116" i="7"/>
  <c r="E1008" i="7"/>
  <c r="E1063" i="7"/>
  <c r="E1220" i="7"/>
  <c r="E1104" i="7"/>
  <c r="E1081" i="7"/>
  <c r="D1392" i="7"/>
  <c r="D1409" i="7"/>
  <c r="D1245" i="7"/>
  <c r="D1266" i="7"/>
  <c r="D1001" i="7"/>
  <c r="E1513" i="6"/>
  <c r="E1577" i="6"/>
  <c r="E1545" i="6"/>
  <c r="E1500" i="6"/>
  <c r="E1472" i="6"/>
  <c r="E1162" i="6"/>
  <c r="E1146" i="6"/>
  <c r="E1376" i="7"/>
  <c r="E1365" i="7"/>
  <c r="E1356" i="7"/>
  <c r="E1125" i="7"/>
  <c r="E1061" i="7"/>
  <c r="E1291" i="7"/>
  <c r="E1231" i="7"/>
  <c r="E1284" i="7"/>
  <c r="E1124" i="7"/>
  <c r="E1072" i="7"/>
  <c r="E1085" i="7"/>
  <c r="D1307" i="7"/>
  <c r="D1209" i="7"/>
  <c r="D1399" i="7"/>
  <c r="D1345" i="7"/>
  <c r="D1330" i="7"/>
  <c r="D1156" i="7"/>
  <c r="D1282" i="7"/>
  <c r="D1110" i="7"/>
  <c r="D1211" i="7"/>
  <c r="D1091" i="7"/>
  <c r="D1084" i="7"/>
  <c r="D1055" i="7"/>
  <c r="D1004" i="7"/>
  <c r="E1522" i="6"/>
  <c r="E1543" i="6"/>
  <c r="E1484" i="6"/>
  <c r="D1474" i="6"/>
  <c r="E1393" i="7"/>
  <c r="E1300" i="7"/>
  <c r="E1123" i="7"/>
  <c r="E1225" i="7"/>
  <c r="E1263" i="7"/>
  <c r="E1107" i="7"/>
  <c r="E1252" i="7"/>
  <c r="E1041" i="7"/>
  <c r="E1102" i="7"/>
  <c r="E1074" i="7"/>
  <c r="D1351" i="7"/>
  <c r="D1128" i="7"/>
  <c r="D1157" i="7"/>
  <c r="D1196" i="7"/>
  <c r="D1098" i="7"/>
  <c r="D1258" i="7"/>
  <c r="D1067" i="7"/>
  <c r="D1267" i="7"/>
  <c r="D1191" i="7"/>
  <c r="D1159" i="7"/>
  <c r="D1024" i="7"/>
  <c r="D1121" i="7"/>
  <c r="D1053" i="7"/>
  <c r="D1029" i="7"/>
  <c r="E1558" i="6"/>
  <c r="E1527" i="6"/>
  <c r="E1407" i="6"/>
  <c r="D1385" i="6"/>
  <c r="D1574" i="6"/>
  <c r="D1131" i="6"/>
  <c r="D1197" i="6"/>
  <c r="D1202" i="6"/>
  <c r="E683" i="6"/>
  <c r="E1412" i="7"/>
  <c r="E1378" i="7"/>
  <c r="E1068" i="7"/>
  <c r="E1247" i="7"/>
  <c r="E1236" i="7"/>
  <c r="E1204" i="7"/>
  <c r="E1069" i="7"/>
  <c r="E1017" i="7"/>
  <c r="E1034" i="7"/>
  <c r="D1379" i="7"/>
  <c r="D1385" i="7"/>
  <c r="D1321" i="7"/>
  <c r="D1382" i="7"/>
  <c r="D1164" i="7"/>
  <c r="D1099" i="7"/>
  <c r="D1011" i="7"/>
  <c r="D1105" i="7"/>
  <c r="D977" i="7"/>
  <c r="E1530" i="6"/>
  <c r="E1361" i="6"/>
  <c r="E1311" i="6"/>
  <c r="E1332" i="6"/>
  <c r="E1097" i="6"/>
  <c r="D1367" i="6"/>
  <c r="D1150" i="6"/>
  <c r="D1302" i="7"/>
  <c r="E1321" i="7"/>
  <c r="E1286" i="7"/>
  <c r="E1230" i="7"/>
  <c r="E1238" i="7"/>
  <c r="E1095" i="7"/>
  <c r="E1342" i="7"/>
  <c r="E1387" i="7"/>
  <c r="E1241" i="7"/>
  <c r="E1219" i="7"/>
  <c r="E1183" i="7"/>
  <c r="E1031" i="7"/>
  <c r="E1164" i="7"/>
  <c r="E992" i="7"/>
  <c r="E1109" i="7"/>
  <c r="E1094" i="7"/>
  <c r="E1070" i="7"/>
  <c r="D1417" i="7"/>
  <c r="E1415" i="6"/>
  <c r="E1349" i="6"/>
  <c r="E1423" i="6"/>
  <c r="E1431" i="6"/>
  <c r="E1560" i="6"/>
  <c r="E1092" i="6"/>
  <c r="E1387" i="6"/>
  <c r="E1363" i="6"/>
  <c r="E1404" i="6"/>
  <c r="E1360" i="6"/>
  <c r="E1328" i="6"/>
  <c r="E1308" i="6"/>
  <c r="E1292" i="6"/>
  <c r="E1276" i="6"/>
  <c r="E1155" i="6"/>
  <c r="E1313" i="7"/>
  <c r="E1246" i="7"/>
  <c r="E1400" i="7"/>
  <c r="E1198" i="7"/>
  <c r="E1277" i="7"/>
  <c r="E1205" i="7"/>
  <c r="E1411" i="7"/>
  <c r="E1047" i="7"/>
  <c r="E1043" i="7"/>
  <c r="E1295" i="7"/>
  <c r="E1135" i="7"/>
  <c r="E1180" i="7"/>
  <c r="E972" i="7"/>
  <c r="E1106" i="7"/>
  <c r="E1028" i="7"/>
  <c r="E1014" i="7"/>
  <c r="E983" i="7"/>
  <c r="D1376" i="7"/>
  <c r="D1242" i="7"/>
  <c r="E1553" i="6"/>
  <c r="E1410" i="6"/>
  <c r="E1450" i="6"/>
  <c r="E1374" i="6"/>
  <c r="E1269" i="6"/>
  <c r="E1418" i="6"/>
  <c r="E1212" i="6"/>
  <c r="E1299" i="6"/>
  <c r="E1283" i="6"/>
  <c r="E1243" i="6"/>
  <c r="E1388" i="6"/>
  <c r="E1356" i="6"/>
  <c r="E1089" i="6"/>
  <c r="E1219" i="6"/>
  <c r="D966" i="7"/>
  <c r="E935" i="7"/>
  <c r="E1379" i="7"/>
  <c r="D1328" i="7"/>
  <c r="D1152" i="7"/>
  <c r="E606" i="7"/>
  <c r="E1156" i="6"/>
  <c r="E871" i="7"/>
  <c r="E704" i="7"/>
  <c r="E1078" i="6"/>
  <c r="E716" i="6"/>
  <c r="E875" i="6"/>
  <c r="E945" i="7"/>
  <c r="E593" i="7"/>
  <c r="E1050" i="6"/>
  <c r="D1244" i="6"/>
  <c r="D1095" i="7"/>
  <c r="D1099" i="6"/>
  <c r="D1380" i="7"/>
  <c r="D1412" i="7"/>
  <c r="D1578" i="6"/>
  <c r="D1129" i="7"/>
  <c r="D1279" i="7"/>
  <c r="D1063" i="7"/>
  <c r="D1257" i="7"/>
  <c r="D963" i="7"/>
  <c r="D1416" i="6"/>
  <c r="D1352" i="6"/>
  <c r="D1052" i="7"/>
  <c r="D1244" i="7"/>
  <c r="D1236" i="7"/>
  <c r="D1367" i="7"/>
  <c r="D1122" i="7"/>
  <c r="D1036" i="7"/>
  <c r="D1225" i="7"/>
  <c r="D1028" i="7"/>
  <c r="D1216" i="7"/>
  <c r="D1321" i="6"/>
  <c r="D1170" i="6"/>
  <c r="D1114" i="6"/>
  <c r="D1265" i="6"/>
  <c r="D965" i="7"/>
  <c r="D1470" i="6"/>
  <c r="D1310" i="6"/>
  <c r="D1147" i="7"/>
  <c r="D968" i="7"/>
  <c r="D1335" i="7"/>
  <c r="D1184" i="7"/>
  <c r="D1176" i="7"/>
  <c r="D1329" i="7"/>
  <c r="D993" i="7"/>
  <c r="D1435" i="6"/>
  <c r="D1129" i="6"/>
  <c r="D1108" i="6"/>
  <c r="D1311" i="7"/>
  <c r="E1103" i="7"/>
  <c r="E1579" i="6"/>
  <c r="E1563" i="6"/>
  <c r="E1103" i="6"/>
  <c r="E1280" i="7"/>
  <c r="E1082" i="7"/>
  <c r="E1231" i="6"/>
  <c r="E1225" i="6"/>
  <c r="E1272" i="7"/>
  <c r="E1389" i="6"/>
  <c r="E1089" i="7"/>
  <c r="E1224" i="6"/>
  <c r="E1271" i="7"/>
  <c r="E1546" i="6"/>
  <c r="E1099" i="6"/>
  <c r="E1535" i="6"/>
  <c r="E1348" i="6"/>
  <c r="E1048" i="7"/>
  <c r="E1515" i="6"/>
  <c r="E1507" i="6"/>
  <c r="E1232" i="7"/>
  <c r="E1342" i="6"/>
  <c r="E1215" i="7"/>
  <c r="E1027" i="7"/>
  <c r="E1002" i="7"/>
  <c r="E1151" i="6"/>
  <c r="E1214" i="6"/>
  <c r="E1065" i="7"/>
  <c r="E1207" i="6"/>
  <c r="E1358" i="6"/>
  <c r="E1345" i="6"/>
  <c r="E1510" i="6"/>
  <c r="E1186" i="6"/>
  <c r="E1337" i="6"/>
  <c r="E1037" i="7"/>
  <c r="E1492" i="6"/>
  <c r="E1178" i="6"/>
  <c r="E1359" i="7"/>
  <c r="E1474" i="6"/>
  <c r="E1199" i="7"/>
  <c r="E1214" i="7"/>
  <c r="E1369" i="7"/>
  <c r="E1416" i="7"/>
  <c r="E1328" i="7"/>
  <c r="E1254" i="7"/>
  <c r="E1373" i="7"/>
  <c r="E1294" i="7"/>
  <c r="E1364" i="7"/>
  <c r="E1293" i="7"/>
  <c r="E1197" i="7"/>
  <c r="E1040" i="7"/>
  <c r="E1358" i="7"/>
  <c r="E1265" i="7"/>
  <c r="E1233" i="7"/>
  <c r="E1087" i="7"/>
  <c r="E1131" i="7"/>
  <c r="E1216" i="7"/>
  <c r="E1172" i="7"/>
  <c r="E1156" i="7"/>
  <c r="E1140" i="7"/>
  <c r="E1088" i="7"/>
  <c r="E999" i="7"/>
  <c r="E1019" i="7"/>
  <c r="E976" i="7"/>
  <c r="E1054" i="7"/>
  <c r="E990" i="7"/>
  <c r="E958" i="7"/>
  <c r="D1219" i="7"/>
  <c r="D1115" i="7"/>
  <c r="D1013" i="7"/>
  <c r="E1561" i="6"/>
  <c r="E1529" i="6"/>
  <c r="E1434" i="6"/>
  <c r="E1370" i="6"/>
  <c r="E1333" i="6"/>
  <c r="E1285" i="6"/>
  <c r="E1521" i="6"/>
  <c r="E1394" i="6"/>
  <c r="E1532" i="6"/>
  <c r="E1468" i="6"/>
  <c r="E1381" i="6"/>
  <c r="E1128" i="6"/>
  <c r="E1347" i="6"/>
  <c r="E1331" i="6"/>
  <c r="E1121" i="6"/>
  <c r="E1114" i="6"/>
  <c r="E1203" i="6"/>
  <c r="E1377" i="7"/>
  <c r="E1361" i="7"/>
  <c r="E1305" i="7"/>
  <c r="E1285" i="7"/>
  <c r="E1221" i="7"/>
  <c r="E1394" i="7"/>
  <c r="E1334" i="7"/>
  <c r="E1302" i="7"/>
  <c r="E1315" i="7"/>
  <c r="E1175" i="7"/>
  <c r="E1143" i="7"/>
  <c r="E1127" i="7"/>
  <c r="E1049" i="7"/>
  <c r="E1080" i="7"/>
  <c r="E1060" i="7"/>
  <c r="E1012" i="7"/>
  <c r="E1006" i="7"/>
  <c r="D1348" i="7"/>
  <c r="D1352" i="7"/>
  <c r="D1310" i="7"/>
  <c r="D1031" i="7"/>
  <c r="D1120" i="7"/>
  <c r="D1050" i="7"/>
  <c r="E1505" i="6"/>
  <c r="E1426" i="6"/>
  <c r="E1229" i="6"/>
  <c r="E1582" i="6"/>
  <c r="E1455" i="6"/>
  <c r="E1406" i="6"/>
  <c r="E1442" i="6"/>
  <c r="E1580" i="6"/>
  <c r="E1343" i="6"/>
  <c r="E1340" i="6"/>
  <c r="D1399" i="6"/>
  <c r="D1227" i="6"/>
  <c r="E1419" i="7"/>
  <c r="E1126" i="7"/>
  <c r="E1357" i="7"/>
  <c r="E1396" i="7"/>
  <c r="E1301" i="7"/>
  <c r="E1418" i="7"/>
  <c r="E1402" i="7"/>
  <c r="E1366" i="7"/>
  <c r="E1130" i="7"/>
  <c r="E1395" i="7"/>
  <c r="E1375" i="7"/>
  <c r="E1129" i="7"/>
  <c r="E1287" i="7"/>
  <c r="E1243" i="7"/>
  <c r="E1288" i="7"/>
  <c r="E1248" i="7"/>
  <c r="E1228" i="7"/>
  <c r="E1212" i="7"/>
  <c r="E1192" i="7"/>
  <c r="E1015" i="7"/>
  <c r="D1241" i="7"/>
  <c r="D1303" i="7"/>
  <c r="D1264" i="7"/>
  <c r="D1208" i="7"/>
  <c r="D1144" i="7"/>
  <c r="D1389" i="7"/>
  <c r="D1373" i="7"/>
  <c r="D1141" i="7"/>
  <c r="D1390" i="7"/>
  <c r="D1350" i="7"/>
  <c r="D998" i="7"/>
  <c r="D1295" i="7"/>
  <c r="D1271" i="7"/>
  <c r="D1195" i="7"/>
  <c r="D1179" i="7"/>
  <c r="D1056" i="7"/>
  <c r="D1112" i="7"/>
  <c r="D1027" i="7"/>
  <c r="D1089" i="7"/>
  <c r="D1069" i="7"/>
  <c r="D1000" i="7"/>
  <c r="D1049" i="7"/>
  <c r="E1534" i="6"/>
  <c r="E1490" i="6"/>
  <c r="E1382" i="6"/>
  <c r="E1362" i="6"/>
  <c r="E1325" i="6"/>
  <c r="E1245" i="6"/>
  <c r="E1571" i="6"/>
  <c r="E1547" i="6"/>
  <c r="E1531" i="6"/>
  <c r="E1503" i="6"/>
  <c r="E1329" i="6"/>
  <c r="E1176" i="6"/>
  <c r="E1327" i="6"/>
  <c r="E1307" i="6"/>
  <c r="E1197" i="6"/>
  <c r="E1105" i="6"/>
  <c r="E1174" i="6"/>
  <c r="E1094" i="6"/>
  <c r="D1418" i="6"/>
  <c r="D1535" i="6"/>
  <c r="D1104" i="6"/>
  <c r="D1395" i="6"/>
  <c r="D1259" i="6"/>
  <c r="D1205" i="6"/>
  <c r="D1185" i="6"/>
  <c r="D1166" i="6"/>
  <c r="E1401" i="7"/>
  <c r="E1304" i="7"/>
  <c r="E1388" i="7"/>
  <c r="E1348" i="7"/>
  <c r="E1297" i="7"/>
  <c r="E1226" i="7"/>
  <c r="E1186" i="7"/>
  <c r="E1371" i="7"/>
  <c r="E1347" i="7"/>
  <c r="E1279" i="7"/>
  <c r="E1259" i="7"/>
  <c r="E1235" i="7"/>
  <c r="E1260" i="7"/>
  <c r="E1240" i="7"/>
  <c r="E1096" i="7"/>
  <c r="E1121" i="7"/>
  <c r="E1007" i="7"/>
  <c r="E1051" i="7"/>
  <c r="D1014" i="7"/>
  <c r="D1161" i="7"/>
  <c r="D1233" i="7"/>
  <c r="D1200" i="7"/>
  <c r="D1168" i="7"/>
  <c r="D1136" i="7"/>
  <c r="D1074" i="7"/>
  <c r="D1341" i="7"/>
  <c r="D1260" i="7"/>
  <c r="D959" i="7"/>
  <c r="D1278" i="7"/>
  <c r="D1102" i="7"/>
  <c r="D1035" i="7"/>
  <c r="D1287" i="7"/>
  <c r="D1175" i="7"/>
  <c r="D1131" i="7"/>
  <c r="D1038" i="7"/>
  <c r="D1010" i="7"/>
  <c r="D996" i="7"/>
  <c r="D980" i="7"/>
  <c r="D1021" i="7"/>
  <c r="D986" i="7"/>
  <c r="E1461" i="6"/>
  <c r="E1526" i="6"/>
  <c r="E1501" i="6"/>
  <c r="E1562" i="6"/>
  <c r="E1467" i="6"/>
  <c r="E1403" i="6"/>
  <c r="E1302" i="6"/>
  <c r="E1172" i="6"/>
  <c r="E1375" i="6"/>
  <c r="E1323" i="6"/>
  <c r="E1376" i="6"/>
  <c r="E1252" i="6"/>
  <c r="E1194" i="6"/>
  <c r="E1090" i="6"/>
  <c r="D1519" i="6"/>
  <c r="D1292" i="6"/>
  <c r="D1338" i="6"/>
  <c r="D1443" i="6"/>
  <c r="D1335" i="6"/>
  <c r="D1201" i="6"/>
  <c r="E1296" i="7"/>
  <c r="E1413" i="7"/>
  <c r="E1380" i="7"/>
  <c r="E1410" i="7"/>
  <c r="E1210" i="7"/>
  <c r="E1407" i="7"/>
  <c r="E1217" i="7"/>
  <c r="E1029" i="7"/>
  <c r="E1251" i="7"/>
  <c r="E1075" i="7"/>
  <c r="E1256" i="7"/>
  <c r="E1045" i="7"/>
  <c r="E1117" i="7"/>
  <c r="E1097" i="7"/>
  <c r="E1055" i="7"/>
  <c r="E1025" i="7"/>
  <c r="E1062" i="7"/>
  <c r="D1388" i="7"/>
  <c r="D1332" i="7"/>
  <c r="D1411" i="7"/>
  <c r="D1355" i="7"/>
  <c r="D1315" i="7"/>
  <c r="D1344" i="7"/>
  <c r="D1249" i="7"/>
  <c r="D1224" i="7"/>
  <c r="D1192" i="7"/>
  <c r="D1160" i="7"/>
  <c r="D1026" i="7"/>
  <c r="D1401" i="7"/>
  <c r="D1125" i="7"/>
  <c r="D1406" i="7"/>
  <c r="D1294" i="7"/>
  <c r="D1270" i="7"/>
  <c r="D1101" i="7"/>
  <c r="D1017" i="7"/>
  <c r="D973" i="7"/>
  <c r="E1554" i="6"/>
  <c r="E1397" i="6"/>
  <c r="E1523" i="6"/>
  <c r="E1246" i="6"/>
  <c r="E1204" i="6"/>
  <c r="E1164" i="6"/>
  <c r="E1315" i="6"/>
  <c r="E1191" i="6"/>
  <c r="D1499" i="6"/>
  <c r="D1486" i="6"/>
  <c r="D1460" i="6"/>
  <c r="D1438" i="6"/>
  <c r="D1221" i="6"/>
  <c r="D1282" i="6"/>
  <c r="D1371" i="6"/>
  <c r="D1173" i="6"/>
  <c r="D1174" i="6"/>
  <c r="D1086" i="6"/>
  <c r="E803" i="7"/>
  <c r="E641" i="7"/>
  <c r="E816" i="6"/>
  <c r="E718" i="6"/>
  <c r="E1368" i="7"/>
  <c r="E1389" i="7"/>
  <c r="E1404" i="7"/>
  <c r="E1386" i="7"/>
  <c r="E1218" i="7"/>
  <c r="E1003" i="7"/>
  <c r="E1255" i="7"/>
  <c r="E1223" i="7"/>
  <c r="E1207" i="7"/>
  <c r="E1011" i="7"/>
  <c r="E1264" i="7"/>
  <c r="E1122" i="7"/>
  <c r="E1020" i="7"/>
  <c r="E1093" i="7"/>
  <c r="E1078" i="7"/>
  <c r="E1022" i="7"/>
  <c r="D1404" i="7"/>
  <c r="D1391" i="7"/>
  <c r="D1299" i="7"/>
  <c r="D1248" i="7"/>
  <c r="D1353" i="7"/>
  <c r="D1229" i="7"/>
  <c r="D1366" i="7"/>
  <c r="D1228" i="7"/>
  <c r="D1188" i="7"/>
  <c r="D1022" i="7"/>
  <c r="D1290" i="7"/>
  <c r="D1274" i="7"/>
  <c r="D1116" i="7"/>
  <c r="D1117" i="7"/>
  <c r="D1048" i="7"/>
  <c r="D969" i="7"/>
  <c r="D982" i="7"/>
  <c r="E1341" i="6"/>
  <c r="E1578" i="6"/>
  <c r="E1550" i="6"/>
  <c r="E1506" i="6"/>
  <c r="E1575" i="6"/>
  <c r="E1495" i="6"/>
  <c r="E1402" i="6"/>
  <c r="E1369" i="6"/>
  <c r="E1249" i="6"/>
  <c r="E1318" i="6"/>
  <c r="E1379" i="6"/>
  <c r="E1227" i="6"/>
  <c r="E1400" i="6"/>
  <c r="D1191" i="6"/>
  <c r="D1434" i="6"/>
  <c r="D1550" i="6"/>
  <c r="D1479" i="6"/>
  <c r="D1398" i="6"/>
  <c r="D1101" i="6"/>
  <c r="D1118" i="6"/>
  <c r="E805" i="7"/>
  <c r="E629" i="7"/>
  <c r="E1073" i="6"/>
  <c r="E1345" i="7"/>
  <c r="E1337" i="7"/>
  <c r="E1092" i="7"/>
  <c r="E1392" i="7"/>
  <c r="E1360" i="7"/>
  <c r="E1079" i="7"/>
  <c r="E1350" i="7"/>
  <c r="E1399" i="7"/>
  <c r="E1383" i="7"/>
  <c r="E1367" i="7"/>
  <c r="E1351" i="7"/>
  <c r="E1303" i="7"/>
  <c r="E1209" i="7"/>
  <c r="E1283" i="7"/>
  <c r="E1267" i="7"/>
  <c r="E1276" i="7"/>
  <c r="E1244" i="7"/>
  <c r="E1196" i="7"/>
  <c r="E1032" i="7"/>
  <c r="D1363" i="7"/>
  <c r="D1408" i="7"/>
  <c r="D1415" i="7"/>
  <c r="D1300" i="7"/>
  <c r="D1240" i="7"/>
  <c r="D1078" i="7"/>
  <c r="D1199" i="7"/>
  <c r="D1018" i="7"/>
  <c r="D1113" i="7"/>
  <c r="E1538" i="6"/>
  <c r="E1511" i="6"/>
  <c r="E1217" i="6"/>
  <c r="E1228" i="6"/>
  <c r="D1167" i="6"/>
  <c r="D1523" i="6"/>
  <c r="D1471" i="6"/>
  <c r="D1220" i="6"/>
  <c r="D1378" i="6"/>
  <c r="D1234" i="6"/>
  <c r="D1405" i="6"/>
  <c r="D1581" i="6"/>
  <c r="D1254" i="6"/>
  <c r="D1247" i="6"/>
  <c r="D1298" i="7"/>
  <c r="D1240" i="6"/>
  <c r="D1391" i="6"/>
  <c r="D1233" i="6"/>
  <c r="D1384" i="6"/>
  <c r="D1557" i="6"/>
  <c r="D1406" i="6"/>
  <c r="D1582" i="6"/>
  <c r="D1416" i="7"/>
  <c r="D1255" i="6"/>
  <c r="D1291" i="7"/>
  <c r="D1241" i="6"/>
  <c r="D1566" i="6"/>
  <c r="D1372" i="6"/>
  <c r="D1386" i="7"/>
  <c r="D1262" i="7"/>
  <c r="D1216" i="6"/>
  <c r="D1126" i="6"/>
  <c r="D1322" i="7"/>
  <c r="D1432" i="6"/>
  <c r="D1208" i="6"/>
  <c r="D1059" i="7"/>
  <c r="D1359" i="6"/>
  <c r="D1528" i="6"/>
  <c r="D1195" i="6"/>
  <c r="D1046" i="7"/>
  <c r="D1237" i="7"/>
  <c r="D1346" i="6"/>
  <c r="D1188" i="6"/>
  <c r="D1504" i="6"/>
  <c r="D1339" i="6"/>
  <c r="D1165" i="7"/>
  <c r="D1323" i="7"/>
  <c r="D1362" i="6"/>
  <c r="D1531" i="6"/>
  <c r="D1211" i="6"/>
  <c r="D1342" i="6"/>
  <c r="D1507" i="6"/>
  <c r="D1232" i="7"/>
  <c r="D1322" i="6"/>
  <c r="D1171" i="6"/>
  <c r="D1332" i="6"/>
  <c r="D1495" i="6"/>
  <c r="D1325" i="6"/>
  <c r="D1487" i="6"/>
  <c r="D1212" i="7"/>
  <c r="D1336" i="7"/>
  <c r="D1301" i="6"/>
  <c r="D1128" i="6"/>
  <c r="D1279" i="6"/>
  <c r="D1177" i="7"/>
  <c r="D1294" i="6"/>
  <c r="D1143" i="6"/>
  <c r="D1452" i="6"/>
  <c r="D1420" i="6"/>
  <c r="D1083" i="6"/>
  <c r="D1089" i="6"/>
  <c r="D1466" i="6"/>
  <c r="D1153" i="6"/>
  <c r="D1338" i="7"/>
  <c r="D1463" i="6"/>
  <c r="D1297" i="6"/>
  <c r="D1455" i="6"/>
  <c r="D997" i="7"/>
  <c r="D1180" i="7"/>
  <c r="D1146" i="6"/>
  <c r="D1290" i="6"/>
  <c r="D1139" i="6"/>
  <c r="D990" i="7"/>
  <c r="D1439" i="6"/>
  <c r="D1132" i="6"/>
  <c r="D1125" i="6"/>
  <c r="D1276" i="6"/>
  <c r="D1148" i="7"/>
  <c r="D1269" i="6"/>
  <c r="D1109" i="7"/>
  <c r="D1313" i="7"/>
  <c r="D1415" i="6"/>
  <c r="E1583" i="6"/>
  <c r="E1256" i="6"/>
  <c r="E1393" i="6"/>
  <c r="E1567" i="6"/>
  <c r="E1242" i="6"/>
  <c r="E1386" i="6"/>
  <c r="E1235" i="6"/>
  <c r="E1222" i="6"/>
  <c r="E1373" i="6"/>
  <c r="E1566" i="6"/>
  <c r="E1392" i="6"/>
  <c r="E1542" i="6"/>
  <c r="E1372" i="6"/>
  <c r="E1201" i="6"/>
  <c r="E1352" i="6"/>
  <c r="E1519" i="6"/>
  <c r="E1498" i="6"/>
  <c r="E1183" i="6"/>
  <c r="E1320" i="6"/>
  <c r="E1169" i="6"/>
  <c r="E1462" i="6"/>
  <c r="E1303" i="6"/>
  <c r="E1152" i="6"/>
  <c r="E1166" i="6"/>
  <c r="E1317" i="6"/>
  <c r="E1478" i="6"/>
  <c r="E1514" i="6"/>
  <c r="E1096" i="6"/>
  <c r="E1179" i="6"/>
  <c r="E1030" i="7"/>
  <c r="E1330" i="6"/>
  <c r="E1336" i="6"/>
  <c r="E1185" i="6"/>
  <c r="E1479" i="6"/>
  <c r="E1167" i="6"/>
  <c r="D1484" i="6"/>
  <c r="D1565" i="6"/>
  <c r="D1542" i="6"/>
  <c r="D1392" i="6"/>
  <c r="D1503" i="6"/>
  <c r="D1447" i="6"/>
  <c r="D1348" i="6"/>
  <c r="D1353" i="6"/>
  <c r="D1204" i="6"/>
  <c r="D1160" i="6"/>
  <c r="D1431" i="6"/>
  <c r="D1283" i="6"/>
  <c r="D1181" i="6"/>
  <c r="D1407" i="6"/>
  <c r="D1583" i="6"/>
  <c r="D1256" i="6"/>
  <c r="D1393" i="6"/>
  <c r="D1242" i="6"/>
  <c r="D1567" i="6"/>
  <c r="D1276" i="7"/>
  <c r="D1228" i="6"/>
  <c r="D1543" i="6"/>
  <c r="D1373" i="6"/>
  <c r="D1560" i="6"/>
  <c r="D1387" i="6"/>
  <c r="D1236" i="6"/>
  <c r="D1538" i="6"/>
  <c r="D1368" i="6"/>
  <c r="D1217" i="6"/>
  <c r="D1210" i="6"/>
  <c r="D1530" i="6"/>
  <c r="D1522" i="6"/>
  <c r="D1097" i="6"/>
  <c r="D1331" i="6"/>
  <c r="D1180" i="6"/>
  <c r="D1193" i="6"/>
  <c r="D1509" i="6"/>
  <c r="D1344" i="6"/>
  <c r="D1178" i="6"/>
  <c r="D1329" i="6"/>
  <c r="D1424" i="6"/>
  <c r="D1270" i="6"/>
  <c r="D1092" i="6"/>
  <c r="D1489" i="6"/>
  <c r="D1162" i="6"/>
  <c r="D1313" i="6"/>
  <c r="D1465" i="6"/>
  <c r="D1306" i="6"/>
  <c r="D1155" i="6"/>
  <c r="D1285" i="6"/>
  <c r="D1442" i="6"/>
  <c r="D1308" i="6"/>
  <c r="D1157" i="6"/>
  <c r="D1138" i="6"/>
  <c r="D1446" i="6"/>
  <c r="D1262" i="6"/>
  <c r="D1414" i="6"/>
  <c r="D1140" i="6"/>
  <c r="D1291" i="6"/>
  <c r="D1133" i="6"/>
  <c r="D1441" i="6"/>
  <c r="D1417" i="6"/>
  <c r="D1113" i="6"/>
  <c r="D1264" i="6"/>
  <c r="E1319" i="6"/>
  <c r="E1168" i="6"/>
  <c r="E1205" i="6"/>
  <c r="E1524" i="6"/>
  <c r="E1101" i="7"/>
  <c r="D1372" i="7"/>
  <c r="D1044" i="7"/>
  <c r="D1359" i="7"/>
  <c r="D1327" i="7"/>
  <c r="D1365" i="7"/>
  <c r="D1333" i="7"/>
  <c r="D1301" i="7"/>
  <c r="D1277" i="7"/>
  <c r="D1149" i="7"/>
  <c r="D1111" i="7"/>
  <c r="D1418" i="7"/>
  <c r="D1370" i="7"/>
  <c r="D1354" i="7"/>
  <c r="D1284" i="7"/>
  <c r="D1222" i="7"/>
  <c r="D1206" i="7"/>
  <c r="D1190" i="7"/>
  <c r="D1174" i="7"/>
  <c r="D1158" i="7"/>
  <c r="D1142" i="7"/>
  <c r="D1263" i="7"/>
  <c r="D1247" i="7"/>
  <c r="D1231" i="7"/>
  <c r="D1167" i="7"/>
  <c r="D1135" i="7"/>
  <c r="D1100" i="7"/>
  <c r="D1080" i="7"/>
  <c r="D1020" i="7"/>
  <c r="D1064" i="7"/>
  <c r="D991" i="7"/>
  <c r="D964" i="7"/>
  <c r="D1057" i="7"/>
  <c r="D1041" i="7"/>
  <c r="D978" i="7"/>
  <c r="D962" i="7"/>
  <c r="E1569" i="6"/>
  <c r="E1552" i="6"/>
  <c r="E1401" i="6"/>
  <c r="D1524" i="6"/>
  <c r="D1159" i="6"/>
  <c r="D1107" i="6"/>
  <c r="D1525" i="6"/>
  <c r="D1514" i="6"/>
  <c r="D1364" i="6"/>
  <c r="D1135" i="6"/>
  <c r="D1468" i="6"/>
  <c r="D1559" i="6"/>
  <c r="D1284" i="6"/>
  <c r="D1163" i="6"/>
  <c r="D1249" i="6"/>
  <c r="D1229" i="6"/>
  <c r="D1386" i="6"/>
  <c r="D1350" i="6"/>
  <c r="D1278" i="6"/>
  <c r="D1222" i="6"/>
  <c r="D1168" i="6"/>
  <c r="D1100" i="6"/>
  <c r="D1411" i="6"/>
  <c r="D1319" i="6"/>
  <c r="D1145" i="6"/>
  <c r="D1093" i="6"/>
  <c r="D1206" i="6"/>
  <c r="D1134" i="6"/>
  <c r="D1106" i="6"/>
  <c r="D1193" i="7"/>
  <c r="D1387" i="7"/>
  <c r="D1087" i="7"/>
  <c r="D1400" i="7"/>
  <c r="D1368" i="7"/>
  <c r="D1383" i="7"/>
  <c r="D1319" i="7"/>
  <c r="D1153" i="7"/>
  <c r="D1393" i="7"/>
  <c r="D1361" i="7"/>
  <c r="D1269" i="7"/>
  <c r="D1205" i="7"/>
  <c r="D1318" i="7"/>
  <c r="D1268" i="7"/>
  <c r="D1250" i="7"/>
  <c r="D1234" i="7"/>
  <c r="D1123" i="7"/>
  <c r="D1094" i="7"/>
  <c r="D1015" i="7"/>
  <c r="D1008" i="7"/>
  <c r="D989" i="7"/>
  <c r="D957" i="7"/>
  <c r="D958" i="7"/>
  <c r="E1570" i="6"/>
  <c r="E1244" i="6"/>
  <c r="D1576" i="6"/>
  <c r="D1127" i="6"/>
  <c r="D1320" i="6"/>
  <c r="D1280" i="6"/>
  <c r="D1091" i="6"/>
  <c r="D1409" i="6"/>
  <c r="D1569" i="6"/>
  <c r="D1562" i="6"/>
  <c r="D1478" i="6"/>
  <c r="D1454" i="6"/>
  <c r="D1199" i="6"/>
  <c r="D1119" i="6"/>
  <c r="D1551" i="6"/>
  <c r="D1483" i="6"/>
  <c r="D1238" i="6"/>
  <c r="D1164" i="6"/>
  <c r="D1120" i="6"/>
  <c r="D1084" i="6"/>
  <c r="D1315" i="6"/>
  <c r="D1243" i="6"/>
  <c r="D1169" i="6"/>
  <c r="D1308" i="7"/>
  <c r="D1201" i="7"/>
  <c r="D1119" i="7"/>
  <c r="D1405" i="7"/>
  <c r="D1293" i="7"/>
  <c r="D1079" i="7"/>
  <c r="D1410" i="7"/>
  <c r="D1394" i="7"/>
  <c r="D1378" i="7"/>
  <c r="D1362" i="7"/>
  <c r="D1314" i="7"/>
  <c r="D1132" i="7"/>
  <c r="D1019" i="7"/>
  <c r="D1214" i="7"/>
  <c r="D1198" i="7"/>
  <c r="D1182" i="7"/>
  <c r="D1166" i="7"/>
  <c r="D1150" i="7"/>
  <c r="D1134" i="7"/>
  <c r="D1118" i="7"/>
  <c r="D1086" i="7"/>
  <c r="D1006" i="7"/>
  <c r="D1255" i="7"/>
  <c r="D1239" i="7"/>
  <c r="D1207" i="7"/>
  <c r="D1127" i="7"/>
  <c r="D1124" i="7"/>
  <c r="D1073" i="7"/>
  <c r="D971" i="7"/>
  <c r="D985" i="7"/>
  <c r="D970" i="7"/>
  <c r="D1568" i="6"/>
  <c r="D1457" i="6"/>
  <c r="D1111" i="6"/>
  <c r="D1400" i="6"/>
  <c r="D1380" i="6"/>
  <c r="D1425" i="6"/>
  <c r="D1341" i="6"/>
  <c r="D1289" i="6"/>
  <c r="D1258" i="6"/>
  <c r="D1379" i="6"/>
  <c r="D1190" i="6"/>
  <c r="D1250" i="6"/>
  <c r="D1577" i="6"/>
  <c r="D1237" i="6"/>
  <c r="D1388" i="6"/>
  <c r="D1230" i="6"/>
  <c r="D1553" i="6"/>
  <c r="D1381" i="6"/>
  <c r="D1374" i="6"/>
  <c r="D1545" i="6"/>
  <c r="D1251" i="6"/>
  <c r="D1402" i="6"/>
  <c r="D1554" i="6"/>
  <c r="D1102" i="6"/>
  <c r="D1375" i="6"/>
  <c r="D1546" i="6"/>
  <c r="D1224" i="6"/>
  <c r="D1539" i="6"/>
  <c r="D1218" i="6"/>
  <c r="D1327" i="6"/>
  <c r="D1176" i="6"/>
  <c r="D1363" i="6"/>
  <c r="D1212" i="6"/>
  <c r="D1532" i="6"/>
  <c r="D1349" i="6"/>
  <c r="D1198" i="6"/>
  <c r="D1343" i="6"/>
  <c r="D1192" i="6"/>
  <c r="D1508" i="6"/>
  <c r="D1488" i="6"/>
  <c r="D1326" i="6"/>
  <c r="D1175" i="6"/>
  <c r="D1187" i="6"/>
  <c r="D1502" i="6"/>
  <c r="D1263" i="6"/>
  <c r="D1112" i="6"/>
  <c r="D1098" i="6"/>
  <c r="D1527" i="6"/>
  <c r="D1511" i="6"/>
  <c r="D1095" i="6"/>
  <c r="D1336" i="6"/>
  <c r="D1500" i="6"/>
  <c r="D1298" i="6"/>
  <c r="D1456" i="6"/>
  <c r="D1491" i="6"/>
  <c r="D1177" i="6"/>
  <c r="D1328" i="6"/>
  <c r="D1156" i="6"/>
  <c r="D1307" i="6"/>
  <c r="D1467" i="6"/>
  <c r="D1141" i="6"/>
  <c r="D1450" i="6"/>
  <c r="D1117" i="6"/>
  <c r="D1268" i="6"/>
  <c r="D1422" i="6"/>
  <c r="D1149" i="6"/>
  <c r="D1300" i="6"/>
  <c r="D1293" i="6"/>
  <c r="D1142" i="6"/>
  <c r="D1451" i="6"/>
  <c r="D1273" i="6"/>
  <c r="D1122" i="6"/>
  <c r="D1266" i="6"/>
  <c r="D1419" i="6"/>
  <c r="D1115" i="6"/>
  <c r="E1351" i="6"/>
  <c r="E1200" i="6"/>
  <c r="E1163" i="6"/>
  <c r="E1314" i="6"/>
  <c r="E1475" i="6"/>
  <c r="E956" i="7"/>
  <c r="E789" i="7"/>
  <c r="E1064" i="6"/>
  <c r="E703" i="6"/>
  <c r="E646" i="6"/>
  <c r="D1107" i="7"/>
  <c r="D1088" i="7"/>
  <c r="D1093" i="7"/>
  <c r="D1548" i="6"/>
  <c r="D1516" i="6"/>
  <c r="D1492" i="6"/>
  <c r="D1561" i="6"/>
  <c r="D1449" i="6"/>
  <c r="D1426" i="6"/>
  <c r="D1448" i="6"/>
  <c r="D1533" i="6"/>
  <c r="D1490" i="6"/>
  <c r="D1436" i="6"/>
  <c r="D1555" i="6"/>
  <c r="D1475" i="6"/>
  <c r="D1459" i="6"/>
  <c r="D1147" i="6"/>
  <c r="E839" i="7"/>
  <c r="E707" i="6"/>
  <c r="E950" i="7"/>
  <c r="E797" i="7"/>
  <c r="E700" i="7"/>
  <c r="E615" i="7"/>
  <c r="E851" i="6"/>
  <c r="E572" i="7"/>
  <c r="E505" i="7"/>
  <c r="E712" i="6"/>
  <c r="E917" i="7"/>
  <c r="E749" i="7"/>
  <c r="E880" i="6"/>
  <c r="E595" i="7"/>
  <c r="E483" i="7"/>
  <c r="E958" i="6"/>
  <c r="E902" i="7"/>
  <c r="E828" i="7"/>
  <c r="E787" i="7"/>
  <c r="E579" i="7"/>
  <c r="E612" i="7"/>
  <c r="E757" i="7"/>
  <c r="E577" i="7"/>
  <c r="E455" i="7"/>
  <c r="E886" i="6"/>
  <c r="E1048" i="6"/>
  <c r="E864" i="6"/>
  <c r="E881" i="6"/>
  <c r="E648" i="6"/>
  <c r="E923" i="7"/>
  <c r="E835" i="7"/>
  <c r="E833" i="7"/>
  <c r="E703" i="7"/>
  <c r="E608" i="7"/>
  <c r="E504" i="7"/>
  <c r="E1054" i="6"/>
  <c r="E818" i="6"/>
  <c r="E1000" i="6"/>
  <c r="E860" i="6"/>
  <c r="E873" i="6"/>
  <c r="E601" i="6"/>
  <c r="E722" i="6"/>
  <c r="D616" i="6"/>
  <c r="E711" i="7"/>
  <c r="E654" i="7"/>
  <c r="E542" i="7"/>
  <c r="E991" i="6"/>
  <c r="E775" i="6"/>
  <c r="E632" i="6"/>
  <c r="E921" i="7"/>
  <c r="E901" i="7"/>
  <c r="E819" i="7"/>
  <c r="E936" i="7"/>
  <c r="E825" i="7"/>
  <c r="E614" i="7"/>
  <c r="E771" i="7"/>
  <c r="E619" i="7"/>
  <c r="E692" i="7"/>
  <c r="E621" i="7"/>
  <c r="E549" i="7"/>
  <c r="E563" i="7"/>
  <c r="E1034" i="6"/>
  <c r="E846" i="6"/>
  <c r="E879" i="6"/>
  <c r="E1032" i="6"/>
  <c r="E888" i="6"/>
  <c r="E844" i="6"/>
  <c r="E949" i="6"/>
  <c r="E809" i="6"/>
  <c r="E705" i="6"/>
  <c r="E690" i="6"/>
  <c r="E534" i="6"/>
  <c r="D1049" i="6"/>
  <c r="E951" i="7"/>
  <c r="E807" i="7"/>
  <c r="E916" i="7"/>
  <c r="E821" i="7"/>
  <c r="E610" i="7"/>
  <c r="E756" i="7"/>
  <c r="E648" i="7"/>
  <c r="E793" i="7"/>
  <c r="E713" i="7"/>
  <c r="E513" i="7"/>
  <c r="E551" i="7"/>
  <c r="E1066" i="6"/>
  <c r="E830" i="6"/>
  <c r="E1016" i="6"/>
  <c r="E832" i="6"/>
  <c r="E893" i="6"/>
  <c r="E647" i="6"/>
  <c r="D780" i="6"/>
  <c r="D821" i="6"/>
  <c r="D691" i="6"/>
  <c r="E830" i="7"/>
  <c r="D859" i="7"/>
  <c r="E961" i="6"/>
  <c r="E617" i="6"/>
  <c r="E704" i="6"/>
  <c r="D583" i="6"/>
  <c r="E718" i="7"/>
  <c r="E735" i="7"/>
  <c r="E508" i="7"/>
  <c r="E1077" i="6"/>
  <c r="E1075" i="6"/>
  <c r="D881" i="6"/>
  <c r="E861" i="7"/>
  <c r="E607" i="7"/>
  <c r="E1065" i="6"/>
  <c r="E632" i="7"/>
  <c r="E1026" i="6"/>
  <c r="E1056" i="6"/>
  <c r="E661" i="6"/>
  <c r="E710" i="6"/>
  <c r="E598" i="6"/>
  <c r="D871" i="6"/>
  <c r="D951" i="6"/>
  <c r="D805" i="7"/>
  <c r="D962" i="6"/>
  <c r="D732" i="6"/>
  <c r="D740" i="7"/>
  <c r="E594" i="6"/>
  <c r="E889" i="7"/>
  <c r="E827" i="7"/>
  <c r="E651" i="7"/>
  <c r="E613" i="7"/>
  <c r="E839" i="6"/>
  <c r="E1040" i="6"/>
  <c r="D862" i="6"/>
  <c r="E897" i="7"/>
  <c r="E795" i="7"/>
  <c r="E584" i="7"/>
  <c r="E544" i="7"/>
  <c r="E1042" i="6"/>
  <c r="E853" i="6"/>
  <c r="E669" i="6"/>
  <c r="D965" i="6"/>
  <c r="D773" i="6"/>
  <c r="D786" i="6"/>
  <c r="D783" i="6"/>
  <c r="D808" i="6"/>
  <c r="D711" i="6"/>
  <c r="D640" i="6"/>
  <c r="E947" i="7"/>
  <c r="E911" i="7"/>
  <c r="E880" i="7"/>
  <c r="E722" i="7"/>
  <c r="E791" i="7"/>
  <c r="E743" i="7"/>
  <c r="E667" i="7"/>
  <c r="E685" i="7"/>
  <c r="E581" i="7"/>
  <c r="E520" i="7"/>
  <c r="E565" i="7"/>
  <c r="E1070" i="6"/>
  <c r="E850" i="6"/>
  <c r="E778" i="6"/>
  <c r="E883" i="6"/>
  <c r="E755" i="6"/>
  <c r="E980" i="6"/>
  <c r="E848" i="6"/>
  <c r="E780" i="6"/>
  <c r="E1001" i="6"/>
  <c r="E533" i="6"/>
  <c r="D1029" i="6"/>
  <c r="D793" i="6"/>
  <c r="D854" i="6"/>
  <c r="D904" i="6"/>
  <c r="D727" i="6"/>
  <c r="D544" i="6"/>
  <c r="E925" i="7"/>
  <c r="E823" i="7"/>
  <c r="E820" i="7"/>
  <c r="E790" i="7"/>
  <c r="E583" i="7"/>
  <c r="E773" i="7"/>
  <c r="E585" i="7"/>
  <c r="E460" i="7"/>
  <c r="D594" i="7"/>
  <c r="E862" i="6"/>
  <c r="E899" i="6"/>
  <c r="E1036" i="6"/>
  <c r="E924" i="6"/>
  <c r="E1029" i="6"/>
  <c r="E897" i="6"/>
  <c r="E877" i="6"/>
  <c r="E750" i="6"/>
  <c r="D1006" i="6"/>
  <c r="D791" i="6"/>
  <c r="D593" i="7"/>
  <c r="D494" i="7"/>
  <c r="D865" i="6"/>
  <c r="D580" i="7"/>
  <c r="D1069" i="6"/>
  <c r="E611" i="7"/>
  <c r="D950" i="6"/>
  <c r="D991" i="6"/>
  <c r="D807" i="6"/>
  <c r="D564" i="6"/>
  <c r="D602" i="6"/>
  <c r="D613" i="6"/>
  <c r="E873" i="7"/>
  <c r="E1015" i="6"/>
  <c r="E702" i="6"/>
  <c r="D770" i="6"/>
  <c r="E942" i="7"/>
  <c r="E887" i="7"/>
  <c r="E770" i="7"/>
  <c r="E788" i="7"/>
  <c r="E724" i="6"/>
  <c r="E896" i="6"/>
  <c r="E537" i="6"/>
  <c r="E731" i="7"/>
  <c r="E945" i="6"/>
  <c r="E501" i="7"/>
  <c r="E831" i="6"/>
  <c r="E772" i="7"/>
  <c r="E602" i="6"/>
  <c r="E772" i="6"/>
  <c r="E950" i="6"/>
  <c r="E633" i="6"/>
  <c r="E985" i="6"/>
  <c r="E893" i="7"/>
  <c r="E882" i="6"/>
  <c r="E952" i="7"/>
  <c r="E698" i="6"/>
  <c r="E868" i="6"/>
  <c r="E1058" i="6"/>
  <c r="E813" i="7"/>
  <c r="E866" i="6"/>
  <c r="E696" i="6"/>
  <c r="E599" i="7"/>
  <c r="E811" i="7"/>
  <c r="E641" i="6"/>
  <c r="E811" i="6"/>
  <c r="D718" i="7"/>
  <c r="D784" i="6"/>
  <c r="D643" i="6"/>
  <c r="D546" i="7"/>
  <c r="E560" i="6"/>
  <c r="E730" i="6"/>
  <c r="E1039" i="6"/>
  <c r="E794" i="7"/>
  <c r="E975" i="6"/>
  <c r="E528" i="7"/>
  <c r="E925" i="6"/>
  <c r="E626" i="7"/>
  <c r="D1065" i="6"/>
  <c r="E816" i="7"/>
  <c r="E642" i="7"/>
  <c r="E526" i="7"/>
  <c r="D507" i="7"/>
  <c r="D751" i="6"/>
  <c r="D581" i="6"/>
  <c r="D719" i="6"/>
  <c r="D890" i="6"/>
  <c r="D866" i="6"/>
  <c r="D696" i="6"/>
  <c r="D944" i="6"/>
  <c r="D767" i="6"/>
  <c r="D592" i="7"/>
  <c r="D804" i="7"/>
  <c r="D689" i="6"/>
  <c r="D964" i="6"/>
  <c r="D615" i="6"/>
  <c r="E540" i="7"/>
  <c r="E745" i="7"/>
  <c r="E536" i="6"/>
  <c r="E882" i="7"/>
  <c r="E578" i="6"/>
  <c r="E677" i="7"/>
  <c r="E649" i="6"/>
  <c r="E758" i="7"/>
  <c r="E1031" i="6"/>
  <c r="E576" i="7"/>
  <c r="E955" i="7"/>
  <c r="E832" i="7"/>
  <c r="E929" i="6"/>
  <c r="E684" i="7"/>
  <c r="E548" i="6"/>
  <c r="E949" i="7"/>
  <c r="E699" i="7"/>
  <c r="E597" i="6"/>
  <c r="E767" i="6"/>
  <c r="E500" i="7"/>
  <c r="E713" i="6"/>
  <c r="E616" i="7"/>
  <c r="E802" i="6"/>
  <c r="E892" i="7"/>
  <c r="E639" i="6"/>
  <c r="E747" i="7"/>
  <c r="E837" i="6"/>
  <c r="E1024" i="6"/>
  <c r="E694" i="6"/>
  <c r="E597" i="7"/>
  <c r="E1038" i="6"/>
  <c r="E927" i="7"/>
  <c r="D858" i="6"/>
  <c r="D591" i="7"/>
  <c r="E915" i="6"/>
  <c r="E670" i="7"/>
  <c r="E651" i="6"/>
  <c r="E1006" i="6"/>
  <c r="E593" i="6"/>
  <c r="E939" i="6"/>
  <c r="E786" i="6"/>
  <c r="E519" i="7"/>
  <c r="E948" i="7"/>
  <c r="E669" i="7"/>
  <c r="E497" i="7"/>
  <c r="E616" i="6"/>
  <c r="D731" i="6"/>
  <c r="D903" i="6"/>
  <c r="D486" i="7"/>
  <c r="D928" i="6"/>
  <c r="D559" i="7"/>
  <c r="D826" i="6"/>
  <c r="D809" i="6"/>
  <c r="D639" i="6"/>
  <c r="D501" i="7"/>
  <c r="D598" i="6"/>
  <c r="D587" i="7"/>
  <c r="D1043" i="6"/>
  <c r="D673" i="6"/>
  <c r="D843" i="6"/>
  <c r="D1061" i="6"/>
  <c r="D941" i="6"/>
  <c r="D753" i="6"/>
  <c r="D926" i="6"/>
  <c r="D810" i="6"/>
  <c r="D971" i="6"/>
  <c r="D847" i="6"/>
  <c r="D1044" i="6"/>
  <c r="D860" i="6"/>
  <c r="D638" i="6"/>
  <c r="D620" i="6"/>
  <c r="D656" i="6"/>
  <c r="D575" i="6"/>
  <c r="D557" i="6"/>
  <c r="E886" i="7"/>
  <c r="E944" i="7"/>
  <c r="E912" i="7"/>
  <c r="E860" i="7"/>
  <c r="E774" i="7"/>
  <c r="E694" i="7"/>
  <c r="E618" i="7"/>
  <c r="E586" i="7"/>
  <c r="E779" i="7"/>
  <c r="E739" i="7"/>
  <c r="E691" i="7"/>
  <c r="E796" i="7"/>
  <c r="E728" i="7"/>
  <c r="E672" i="7"/>
  <c r="E609" i="7"/>
  <c r="E536" i="7"/>
  <c r="E468" i="7"/>
  <c r="E525" i="7"/>
  <c r="E457" i="7"/>
  <c r="E474" i="7"/>
  <c r="E511" i="7"/>
  <c r="D920" i="7"/>
  <c r="D773" i="7"/>
  <c r="D595" i="7"/>
  <c r="D542" i="7"/>
  <c r="E1074" i="6"/>
  <c r="E1018" i="6"/>
  <c r="E842" i="6"/>
  <c r="E754" i="6"/>
  <c r="E967" i="6"/>
  <c r="E803" i="6"/>
  <c r="E1052" i="6"/>
  <c r="E984" i="6"/>
  <c r="E944" i="6"/>
  <c r="E876" i="6"/>
  <c r="E768" i="6"/>
  <c r="E1017" i="6"/>
  <c r="E817" i="6"/>
  <c r="E667" i="6"/>
  <c r="E580" i="6"/>
  <c r="E692" i="6"/>
  <c r="E636" i="6"/>
  <c r="E584" i="6"/>
  <c r="E627" i="6"/>
  <c r="E802" i="7"/>
  <c r="D1045" i="6"/>
  <c r="D884" i="6"/>
  <c r="D758" i="7"/>
  <c r="E110" i="7"/>
  <c r="D1005" i="6"/>
  <c r="D817" i="6"/>
  <c r="D758" i="6"/>
  <c r="D867" i="6"/>
  <c r="D952" i="6"/>
  <c r="D595" i="6"/>
  <c r="E847" i="7"/>
  <c r="E928" i="7"/>
  <c r="E840" i="7"/>
  <c r="E842" i="7"/>
  <c r="E640" i="7"/>
  <c r="E665" i="7"/>
  <c r="D729" i="7"/>
  <c r="D491" i="7"/>
  <c r="E910" i="6"/>
  <c r="E1063" i="6"/>
  <c r="E1033" i="6"/>
  <c r="E675" i="6"/>
  <c r="E543" i="6"/>
  <c r="E573" i="6"/>
  <c r="E571" i="6"/>
  <c r="D869" i="6"/>
  <c r="D765" i="6"/>
  <c r="D794" i="6"/>
  <c r="D1055" i="6"/>
  <c r="D1040" i="6"/>
  <c r="D686" i="6"/>
  <c r="D657" i="6"/>
  <c r="E843" i="7"/>
  <c r="E707" i="7"/>
  <c r="E680" i="7"/>
  <c r="D944" i="7"/>
  <c r="D800" i="7"/>
  <c r="D584" i="7"/>
  <c r="D553" i="7"/>
  <c r="E962" i="6"/>
  <c r="E906" i="6"/>
  <c r="E947" i="6"/>
  <c r="E917" i="6"/>
  <c r="E736" i="6"/>
  <c r="E604" i="6"/>
  <c r="E600" i="6"/>
  <c r="E565" i="6"/>
  <c r="E941" i="7"/>
  <c r="D989" i="6"/>
  <c r="D813" i="6"/>
  <c r="D1054" i="6"/>
  <c r="D874" i="6"/>
  <c r="D739" i="6"/>
  <c r="D819" i="6"/>
  <c r="D912" i="6"/>
  <c r="D856" i="6"/>
  <c r="D627" i="6"/>
  <c r="E922" i="7"/>
  <c r="E881" i="7"/>
  <c r="E946" i="7"/>
  <c r="E878" i="7"/>
  <c r="E856" i="7"/>
  <c r="E812" i="7"/>
  <c r="E850" i="7"/>
  <c r="E822" i="7"/>
  <c r="E742" i="7"/>
  <c r="E714" i="7"/>
  <c r="E638" i="7"/>
  <c r="E578" i="7"/>
  <c r="E720" i="7"/>
  <c r="E664" i="7"/>
  <c r="E600" i="7"/>
  <c r="E761" i="7"/>
  <c r="E733" i="7"/>
  <c r="E661" i="7"/>
  <c r="E625" i="7"/>
  <c r="E605" i="7"/>
  <c r="E516" i="7"/>
  <c r="E496" i="7"/>
  <c r="E456" i="7"/>
  <c r="E562" i="7"/>
  <c r="E538" i="7"/>
  <c r="E470" i="7"/>
  <c r="E507" i="7"/>
  <c r="E467" i="7"/>
  <c r="D856" i="7"/>
  <c r="D814" i="7"/>
  <c r="D702" i="7"/>
  <c r="D667" i="7"/>
  <c r="D527" i="7"/>
  <c r="D552" i="7"/>
  <c r="E1069" i="6"/>
  <c r="E1067" i="6"/>
  <c r="E987" i="6"/>
  <c r="E867" i="6"/>
  <c r="E1057" i="6"/>
  <c r="E901" i="6"/>
  <c r="E805" i="6"/>
  <c r="E659" i="6"/>
  <c r="E535" i="6"/>
  <c r="E531" i="6"/>
  <c r="D1057" i="6"/>
  <c r="D769" i="6"/>
  <c r="D774" i="6"/>
  <c r="D695" i="6"/>
  <c r="D604" i="6"/>
  <c r="E913" i="7"/>
  <c r="E870" i="7"/>
  <c r="E910" i="7"/>
  <c r="E904" i="7"/>
  <c r="E848" i="7"/>
  <c r="E824" i="7"/>
  <c r="E846" i="7"/>
  <c r="E818" i="7"/>
  <c r="E730" i="7"/>
  <c r="E702" i="7"/>
  <c r="E650" i="7"/>
  <c r="E630" i="7"/>
  <c r="E775" i="7"/>
  <c r="E695" i="7"/>
  <c r="E663" i="7"/>
  <c r="E656" i="7"/>
  <c r="E717" i="7"/>
  <c r="E657" i="7"/>
  <c r="E476" i="7"/>
  <c r="E469" i="7"/>
  <c r="E554" i="7"/>
  <c r="E530" i="7"/>
  <c r="E462" i="7"/>
  <c r="E503" i="7"/>
  <c r="E463" i="7"/>
  <c r="D589" i="7"/>
  <c r="D607" i="7"/>
  <c r="D523" i="7"/>
  <c r="D484" i="7"/>
  <c r="E1061" i="6"/>
  <c r="E978" i="6"/>
  <c r="E914" i="6"/>
  <c r="E878" i="6"/>
  <c r="E763" i="6"/>
  <c r="E940" i="6"/>
  <c r="E821" i="6"/>
  <c r="E625" i="6"/>
  <c r="E1062" i="6"/>
  <c r="E1046" i="6"/>
  <c r="E1030" i="6"/>
  <c r="E954" i="7"/>
  <c r="E666" i="7"/>
  <c r="E602" i="7"/>
  <c r="E659" i="7"/>
  <c r="E748" i="7"/>
  <c r="E427" i="6"/>
  <c r="D893" i="7"/>
  <c r="D725" i="7"/>
  <c r="D505" i="7"/>
  <c r="E400" i="7"/>
  <c r="E907" i="7"/>
  <c r="E627" i="7"/>
  <c r="D680" i="7"/>
  <c r="E931" i="7"/>
  <c r="D747" i="6"/>
  <c r="E858" i="7"/>
  <c r="E934" i="7"/>
  <c r="E765" i="7"/>
  <c r="E510" i="7"/>
  <c r="D912" i="7"/>
  <c r="E960" i="6"/>
  <c r="E685" i="6"/>
  <c r="E618" i="6"/>
  <c r="E586" i="6"/>
  <c r="E899" i="7"/>
  <c r="E817" i="7"/>
  <c r="E801" i="7"/>
  <c r="E838" i="7"/>
  <c r="E814" i="7"/>
  <c r="E782" i="7"/>
  <c r="E754" i="7"/>
  <c r="E639" i="7"/>
  <c r="E591" i="7"/>
  <c r="E768" i="7"/>
  <c r="E560" i="7"/>
  <c r="E534" i="7"/>
  <c r="E855" i="6"/>
  <c r="E800" i="6"/>
  <c r="E825" i="6"/>
  <c r="D555" i="6"/>
  <c r="D1025" i="6"/>
  <c r="D1071" i="6"/>
  <c r="D960" i="6"/>
  <c r="E933" i="7"/>
  <c r="E932" i="7"/>
  <c r="E675" i="7"/>
  <c r="E623" i="7"/>
  <c r="E732" i="7"/>
  <c r="E737" i="7"/>
  <c r="E637" i="7"/>
  <c r="E617" i="7"/>
  <c r="E548" i="7"/>
  <c r="E954" i="6"/>
  <c r="E870" i="6"/>
  <c r="E1008" i="6"/>
  <c r="E884" i="6"/>
  <c r="D894" i="6"/>
  <c r="D905" i="6"/>
  <c r="D931" i="6"/>
  <c r="D1024" i="6"/>
  <c r="D726" i="6"/>
  <c r="E906" i="7"/>
  <c r="E883" i="7"/>
  <c r="E831" i="7"/>
  <c r="E815" i="7"/>
  <c r="E799" i="7"/>
  <c r="E766" i="7"/>
  <c r="E461" i="7"/>
  <c r="E1076" i="6"/>
  <c r="E1044" i="6"/>
  <c r="E751" i="6"/>
  <c r="E1025" i="6"/>
  <c r="D1066" i="6"/>
  <c r="D611" i="6"/>
  <c r="E898" i="7"/>
  <c r="E662" i="7"/>
  <c r="E582" i="7"/>
  <c r="E792" i="7"/>
  <c r="E736" i="7"/>
  <c r="E681" i="7"/>
  <c r="D1064" i="6"/>
  <c r="D1060" i="6"/>
  <c r="E800" i="7"/>
  <c r="E798" i="7"/>
  <c r="E682" i="7"/>
  <c r="D616" i="7"/>
  <c r="D482" i="7"/>
  <c r="E1045" i="6"/>
  <c r="D1019" i="6"/>
  <c r="D709" i="6"/>
  <c r="E857" i="7"/>
  <c r="E750" i="7"/>
  <c r="E697" i="7"/>
  <c r="E849" i="6"/>
  <c r="D901" i="7"/>
  <c r="D806" i="7"/>
  <c r="D852" i="7"/>
  <c r="D817" i="7"/>
  <c r="D745" i="7"/>
  <c r="D681" i="7"/>
  <c r="D794" i="7"/>
  <c r="D642" i="7"/>
  <c r="D747" i="7"/>
  <c r="D659" i="7"/>
  <c r="D700" i="7"/>
  <c r="D543" i="7"/>
  <c r="D520" i="7"/>
  <c r="D554" i="7"/>
  <c r="E966" i="6"/>
  <c r="E383" i="7"/>
  <c r="E96" i="7"/>
  <c r="E125" i="6"/>
  <c r="E133" i="6"/>
  <c r="D1056" i="6"/>
  <c r="D985" i="6"/>
  <c r="D957" i="6"/>
  <c r="D937" i="6"/>
  <c r="D785" i="6"/>
  <c r="D761" i="6"/>
  <c r="D990" i="6"/>
  <c r="D958" i="6"/>
  <c r="D922" i="6"/>
  <c r="D842" i="6"/>
  <c r="D778" i="6"/>
  <c r="D1039" i="6"/>
  <c r="D1007" i="6"/>
  <c r="D803" i="6"/>
  <c r="D779" i="6"/>
  <c r="D1052" i="6"/>
  <c r="D772" i="6"/>
  <c r="D690" i="6"/>
  <c r="D651" i="6"/>
  <c r="D672" i="6"/>
  <c r="D562" i="6"/>
  <c r="D608" i="6"/>
  <c r="D609" i="6"/>
  <c r="E721" i="7"/>
  <c r="E653" i="7"/>
  <c r="E517" i="7"/>
  <c r="D938" i="7"/>
  <c r="D868" i="7"/>
  <c r="D896" i="7"/>
  <c r="D951" i="7"/>
  <c r="D828" i="7"/>
  <c r="D661" i="7"/>
  <c r="D711" i="7"/>
  <c r="D784" i="7"/>
  <c r="D512" i="7"/>
  <c r="D541" i="7"/>
  <c r="E784" i="6"/>
  <c r="E748" i="6"/>
  <c r="E727" i="6"/>
  <c r="E287" i="6"/>
  <c r="D717" i="7"/>
  <c r="D516" i="7"/>
  <c r="D799" i="7"/>
  <c r="D685" i="6"/>
  <c r="D932" i="7"/>
  <c r="D464" i="7"/>
  <c r="D844" i="7"/>
  <c r="D872" i="7"/>
  <c r="D706" i="7"/>
  <c r="D524" i="7"/>
  <c r="D621" i="6"/>
  <c r="D452" i="7"/>
  <c r="D549" i="6"/>
  <c r="D645" i="7"/>
  <c r="D599" i="7"/>
  <c r="D811" i="7"/>
  <c r="D940" i="7"/>
  <c r="D478" i="7"/>
  <c r="D674" i="7"/>
  <c r="D538" i="7"/>
  <c r="D742" i="7"/>
  <c r="D692" i="7"/>
  <c r="D864" i="7"/>
  <c r="D555" i="7"/>
  <c r="D905" i="7"/>
  <c r="D775" i="7"/>
  <c r="D638" i="7"/>
  <c r="D913" i="7"/>
  <c r="D543" i="6"/>
  <c r="D549" i="7"/>
  <c r="D755" i="7"/>
  <c r="D639" i="7"/>
  <c r="D785" i="7"/>
  <c r="D722" i="7"/>
  <c r="D886" i="7"/>
  <c r="D728" i="7"/>
  <c r="D888" i="7"/>
  <c r="D500" i="7"/>
  <c r="D597" i="6"/>
  <c r="D699" i="7"/>
  <c r="D719" i="7"/>
  <c r="D518" i="7"/>
  <c r="D931" i="7"/>
  <c r="D798" i="7"/>
  <c r="D640" i="7"/>
  <c r="D928" i="7"/>
  <c r="D576" i="7"/>
  <c r="D786" i="7"/>
  <c r="E637" i="6"/>
  <c r="E807" i="6"/>
  <c r="E990" i="6"/>
  <c r="E943" i="6"/>
  <c r="E628" i="7"/>
  <c r="E938" i="6"/>
  <c r="E693" i="7"/>
  <c r="E592" i="6"/>
  <c r="E762" i="6"/>
  <c r="E495" i="7"/>
  <c r="E523" i="7"/>
  <c r="E885" i="7"/>
  <c r="E620" i="6"/>
  <c r="E970" i="6"/>
  <c r="E725" i="7"/>
  <c r="E566" i="7"/>
  <c r="E1019" i="6"/>
  <c r="E585" i="6"/>
  <c r="E488" i="7"/>
  <c r="E556" i="6"/>
  <c r="E898" i="6"/>
  <c r="E726" i="6"/>
  <c r="E550" i="6"/>
  <c r="E720" i="6"/>
  <c r="E891" i="6"/>
  <c r="E453" i="7"/>
  <c r="E744" i="6"/>
  <c r="E918" i="6"/>
  <c r="E673" i="7"/>
  <c r="E851" i="7"/>
  <c r="E477" i="7"/>
  <c r="E591" i="6"/>
  <c r="E494" i="7"/>
  <c r="E864" i="7"/>
  <c r="E1003" i="6"/>
  <c r="E552" i="7"/>
  <c r="E819" i="6"/>
  <c r="E1035" i="6"/>
  <c r="E847" i="6"/>
  <c r="E580" i="7"/>
  <c r="E731" i="6"/>
  <c r="E903" i="6"/>
  <c r="E658" i="7"/>
  <c r="E844" i="7"/>
  <c r="E464" i="7"/>
  <c r="E541" i="7"/>
  <c r="E746" i="7"/>
  <c r="E673" i="6"/>
  <c r="E786" i="7"/>
  <c r="E929" i="7"/>
  <c r="E682" i="6"/>
  <c r="E852" i="6"/>
  <c r="E912" i="6"/>
  <c r="E472" i="7"/>
  <c r="E569" i="6"/>
  <c r="E806" i="6"/>
  <c r="E539" i="7"/>
  <c r="E877" i="7"/>
  <c r="E608" i="6"/>
  <c r="E708" i="7"/>
  <c r="E953" i="6"/>
  <c r="E725" i="6"/>
  <c r="E555" i="6"/>
  <c r="E652" i="7"/>
  <c r="E784" i="7"/>
  <c r="E672" i="6"/>
  <c r="E1071" i="6"/>
  <c r="E826" i="7"/>
  <c r="E538" i="6"/>
  <c r="E633" i="7"/>
  <c r="E612" i="6"/>
  <c r="E782" i="6"/>
  <c r="E515" i="7"/>
  <c r="E238" i="7"/>
  <c r="E114" i="6"/>
  <c r="E111" i="6"/>
  <c r="E300" i="7"/>
  <c r="E167" i="6"/>
  <c r="E258" i="6"/>
  <c r="D1073" i="6"/>
  <c r="D993" i="6"/>
  <c r="D973" i="6"/>
  <c r="D945" i="6"/>
  <c r="D861" i="6"/>
  <c r="D1062" i="6"/>
  <c r="D970" i="6"/>
  <c r="D906" i="6"/>
  <c r="D822" i="6"/>
  <c r="D790" i="6"/>
  <c r="D745" i="6"/>
  <c r="D1050" i="6"/>
  <c r="D1051" i="6"/>
  <c r="D1031" i="6"/>
  <c r="D987" i="6"/>
  <c r="D899" i="6"/>
  <c r="D855" i="6"/>
  <c r="D787" i="6"/>
  <c r="D1000" i="6"/>
  <c r="D956" i="6"/>
  <c r="D734" i="6"/>
  <c r="D646" i="6"/>
  <c r="D603" i="6"/>
  <c r="D547" i="6"/>
  <c r="D635" i="6"/>
  <c r="D748" i="6"/>
  <c r="D692" i="6"/>
  <c r="D652" i="6"/>
  <c r="D610" i="6"/>
  <c r="D578" i="6"/>
  <c r="D701" i="6"/>
  <c r="D637" i="6"/>
  <c r="D617" i="6"/>
  <c r="D561" i="6"/>
  <c r="E698" i="7"/>
  <c r="E631" i="7"/>
  <c r="E481" i="7"/>
  <c r="D942" i="7"/>
  <c r="D904" i="7"/>
  <c r="D877" i="7"/>
  <c r="D713" i="7"/>
  <c r="D658" i="7"/>
  <c r="D767" i="7"/>
  <c r="D720" i="7"/>
  <c r="D536" i="7"/>
  <c r="D460" i="7"/>
  <c r="D481" i="7"/>
  <c r="D526" i="7"/>
  <c r="E922" i="6"/>
  <c r="E790" i="6"/>
  <c r="E808" i="6"/>
  <c r="E761" i="6"/>
  <c r="E715" i="6"/>
  <c r="E663" i="6"/>
  <c r="E561" i="6"/>
  <c r="E605" i="6"/>
  <c r="E614" i="6"/>
  <c r="D757" i="7"/>
  <c r="D551" i="7"/>
  <c r="D671" i="6"/>
  <c r="D783" i="7"/>
  <c r="D462" i="7"/>
  <c r="D842" i="7"/>
  <c r="D632" i="7"/>
  <c r="D731" i="7"/>
  <c r="D889" i="7"/>
  <c r="D687" i="7"/>
  <c r="D932" i="6"/>
  <c r="D702" i="6"/>
  <c r="D605" i="7"/>
  <c r="E709" i="7"/>
  <c r="E509" i="7"/>
  <c r="E911" i="6"/>
  <c r="E738" i="6"/>
  <c r="E471" i="7"/>
  <c r="E568" i="6"/>
  <c r="E777" i="6"/>
  <c r="E710" i="7"/>
  <c r="E876" i="7"/>
  <c r="E989" i="6"/>
  <c r="E895" i="7"/>
  <c r="E539" i="6"/>
  <c r="E744" i="7"/>
  <c r="E719" i="6"/>
  <c r="E549" i="6"/>
  <c r="E452" i="7"/>
  <c r="E645" i="7"/>
  <c r="E631" i="6"/>
  <c r="E801" i="6"/>
  <c r="E983" i="6"/>
  <c r="E891" i="7"/>
  <c r="E657" i="6"/>
  <c r="E1013" i="6"/>
  <c r="E908" i="7"/>
  <c r="E634" i="6"/>
  <c r="E537" i="7"/>
  <c r="E741" i="7"/>
  <c r="E998" i="6"/>
  <c r="E635" i="7"/>
  <c r="E759" i="6"/>
  <c r="E589" i="6"/>
  <c r="E689" i="7"/>
  <c r="E656" i="6"/>
  <c r="E1012" i="6"/>
  <c r="E767" i="7"/>
  <c r="E489" i="7"/>
  <c r="E862" i="7"/>
  <c r="E813" i="6"/>
  <c r="E643" i="6"/>
  <c r="E996" i="6"/>
  <c r="E751" i="7"/>
  <c r="E935" i="6"/>
  <c r="E690" i="7"/>
  <c r="E840" i="6"/>
  <c r="E1027" i="6"/>
  <c r="E573" i="7"/>
  <c r="E644" i="6"/>
  <c r="E547" i="7"/>
  <c r="E695" i="6"/>
  <c r="E865" i="6"/>
  <c r="E810" i="7"/>
  <c r="E939" i="7"/>
  <c r="E1059" i="6"/>
  <c r="E699" i="6"/>
  <c r="E587" i="6"/>
  <c r="E932" i="6"/>
  <c r="E687" i="7"/>
  <c r="E968" i="6"/>
  <c r="E521" i="7"/>
  <c r="E527" i="6"/>
  <c r="E622" i="7"/>
  <c r="E837" i="7"/>
  <c r="E644" i="7"/>
  <c r="E626" i="6"/>
  <c r="E796" i="6"/>
  <c r="E815" i="6"/>
  <c r="E645" i="6"/>
  <c r="E999" i="6"/>
  <c r="E498" i="7"/>
  <c r="E595" i="6"/>
  <c r="E696" i="7"/>
  <c r="E863" i="6"/>
  <c r="E1053" i="6"/>
  <c r="E808" i="7"/>
  <c r="E558" i="6"/>
  <c r="E655" i="7"/>
  <c r="E841" i="7"/>
  <c r="E688" i="6"/>
  <c r="E858" i="6"/>
  <c r="E904" i="6"/>
  <c r="E465" i="7"/>
  <c r="E933" i="6"/>
  <c r="E758" i="6"/>
  <c r="E491" i="7"/>
  <c r="E689" i="6"/>
  <c r="E859" i="6"/>
  <c r="E804" i="7"/>
  <c r="E853" i="7"/>
  <c r="E836" i="7"/>
  <c r="E924" i="7"/>
  <c r="E715" i="7"/>
  <c r="E879" i="7"/>
  <c r="E577" i="6"/>
  <c r="E921" i="6"/>
  <c r="E480" i="7"/>
  <c r="E676" i="7"/>
  <c r="E855" i="7"/>
  <c r="E747" i="6"/>
  <c r="E640" i="6"/>
  <c r="E810" i="6"/>
  <c r="E655" i="6"/>
  <c r="E558" i="7"/>
  <c r="E653" i="6"/>
  <c r="E823" i="6"/>
  <c r="E556" i="7"/>
  <c r="E624" i="6"/>
  <c r="E974" i="6"/>
  <c r="E527" i="7"/>
  <c r="E729" i="7"/>
  <c r="E701" i="6"/>
  <c r="E604" i="7"/>
  <c r="E857" i="6"/>
  <c r="E590" i="7"/>
  <c r="E544" i="6"/>
  <c r="E920" i="7"/>
  <c r="E700" i="6"/>
  <c r="E603" i="7"/>
  <c r="E671" i="6"/>
  <c r="E783" i="7"/>
  <c r="E919" i="7"/>
  <c r="E841" i="6"/>
  <c r="E574" i="7"/>
  <c r="D1017" i="6"/>
  <c r="D949" i="6"/>
  <c r="D901" i="6"/>
  <c r="D849" i="6"/>
  <c r="D825" i="6"/>
  <c r="D1026" i="6"/>
  <c r="D1002" i="6"/>
  <c r="D938" i="6"/>
  <c r="D729" i="6"/>
  <c r="D1046" i="6"/>
  <c r="D883" i="6"/>
  <c r="D771" i="6"/>
  <c r="D698" i="6"/>
  <c r="D559" i="6"/>
  <c r="E649" i="7"/>
  <c r="E533" i="7"/>
  <c r="D833" i="7"/>
  <c r="D613" i="7"/>
  <c r="D670" i="7"/>
  <c r="D582" i="7"/>
  <c r="E986" i="6"/>
  <c r="E955" i="6"/>
  <c r="E931" i="6"/>
  <c r="E756" i="6"/>
  <c r="E993" i="6"/>
  <c r="E746" i="6"/>
  <c r="E540" i="6"/>
  <c r="D1033" i="6"/>
  <c r="D921" i="6"/>
  <c r="D897" i="6"/>
  <c r="D845" i="6"/>
  <c r="D886" i="6"/>
  <c r="D838" i="6"/>
  <c r="D1074" i="6"/>
  <c r="D648" i="6"/>
  <c r="D625" i="6"/>
  <c r="D789" i="7"/>
  <c r="D749" i="7"/>
  <c r="D574" i="7"/>
  <c r="D660" i="7"/>
  <c r="D532" i="7"/>
  <c r="D489" i="7"/>
  <c r="E894" i="6"/>
  <c r="E814" i="6"/>
  <c r="E804" i="6"/>
  <c r="E1049" i="6"/>
  <c r="E889" i="6"/>
  <c r="E757" i="6"/>
  <c r="E588" i="6"/>
  <c r="E532" i="6"/>
  <c r="E670" i="6"/>
  <c r="E630" i="6"/>
  <c r="D757" i="6"/>
  <c r="D737" i="6"/>
  <c r="D572" i="6"/>
  <c r="D855" i="7"/>
  <c r="D671" i="7"/>
  <c r="D792" i="7"/>
  <c r="D548" i="7"/>
  <c r="D894" i="7"/>
  <c r="D634" i="6"/>
  <c r="D804" i="6"/>
  <c r="D622" i="7"/>
  <c r="D644" i="7"/>
  <c r="D1080" i="6"/>
  <c r="D888" i="6"/>
  <c r="D567" i="7"/>
  <c r="D776" i="7"/>
  <c r="D538" i="6"/>
  <c r="D980" i="6"/>
  <c r="D764" i="7"/>
  <c r="D654" i="6"/>
  <c r="D854" i="7"/>
  <c r="D576" i="6"/>
  <c r="D590" i="6"/>
  <c r="D760" i="6"/>
  <c r="D556" i="7"/>
  <c r="D1008" i="6"/>
  <c r="D552" i="6"/>
  <c r="D722" i="6"/>
  <c r="D620" i="7"/>
  <c r="D887" i="6"/>
  <c r="E665" i="6"/>
  <c r="E777" i="7"/>
  <c r="E568" i="7"/>
  <c r="E914" i="7"/>
  <c r="E1004" i="6"/>
  <c r="E903" i="7"/>
  <c r="E791" i="6"/>
  <c r="E726" i="7"/>
  <c r="E852" i="7"/>
  <c r="E919" i="6"/>
  <c r="E836" i="6"/>
  <c r="E778" i="7"/>
  <c r="E946" i="6"/>
  <c r="E502" i="7"/>
  <c r="E581" i="6"/>
  <c r="E484" i="7"/>
  <c r="E652" i="6"/>
  <c r="E762" i="7"/>
  <c r="E619" i="6"/>
  <c r="E969" i="6"/>
  <c r="E724" i="7"/>
  <c r="E806" i="7"/>
  <c r="E937" i="7"/>
  <c r="E583" i="6"/>
  <c r="E683" i="7"/>
  <c r="E753" i="6"/>
  <c r="E486" i="7"/>
  <c r="E518" i="7"/>
  <c r="E719" i="7"/>
  <c r="D997" i="6"/>
  <c r="D981" i="6"/>
  <c r="D961" i="6"/>
  <c r="D929" i="6"/>
  <c r="D909" i="6"/>
  <c r="D893" i="6"/>
  <c r="D873" i="6"/>
  <c r="D1038" i="6"/>
  <c r="D982" i="6"/>
  <c r="D834" i="6"/>
  <c r="D814" i="6"/>
  <c r="D1058" i="6"/>
  <c r="D955" i="6"/>
  <c r="D927" i="6"/>
  <c r="D823" i="6"/>
  <c r="D799" i="6"/>
  <c r="D755" i="6"/>
  <c r="D972" i="6"/>
  <c r="D936" i="6"/>
  <c r="D800" i="6"/>
  <c r="D776" i="6"/>
  <c r="D746" i="6"/>
  <c r="D718" i="6"/>
  <c r="D630" i="6"/>
  <c r="D606" i="6"/>
  <c r="D736" i="6"/>
  <c r="D669" i="6"/>
  <c r="D709" i="7"/>
  <c r="D479" i="7"/>
  <c r="D566" i="7"/>
  <c r="D1009" i="6"/>
  <c r="D889" i="6"/>
  <c r="D833" i="6"/>
  <c r="D1070" i="6"/>
  <c r="D954" i="6"/>
  <c r="D830" i="6"/>
  <c r="D743" i="6"/>
  <c r="D975" i="6"/>
  <c r="D923" i="6"/>
  <c r="D879" i="6"/>
  <c r="D1016" i="6"/>
  <c r="D876" i="6"/>
  <c r="D840" i="6"/>
  <c r="D812" i="6"/>
  <c r="D792" i="6"/>
  <c r="D706" i="6"/>
  <c r="D642" i="6"/>
  <c r="D582" i="6"/>
  <c r="D663" i="6"/>
  <c r="D664" i="6"/>
  <c r="D945" i="7"/>
  <c r="D911" i="7"/>
  <c r="D839" i="7"/>
  <c r="D782" i="7"/>
  <c r="D763" i="7"/>
  <c r="D672" i="7"/>
  <c r="D557" i="7"/>
  <c r="D1077" i="6"/>
  <c r="D1021" i="6"/>
  <c r="D917" i="6"/>
  <c r="D1010" i="6"/>
  <c r="D1027" i="6"/>
  <c r="D896" i="6"/>
  <c r="D824" i="6"/>
  <c r="D724" i="6"/>
  <c r="D717" i="6"/>
  <c r="D653" i="6"/>
  <c r="D629" i="6"/>
  <c r="D573" i="6"/>
  <c r="D875" i="7"/>
  <c r="D675" i="7"/>
  <c r="D612" i="7"/>
  <c r="D741" i="7"/>
  <c r="D537" i="7"/>
  <c r="D837" i="7"/>
  <c r="D527" i="6"/>
  <c r="D753" i="7"/>
  <c r="D635" i="7"/>
  <c r="D540" i="6"/>
  <c r="D572" i="7"/>
  <c r="D917" i="7"/>
  <c r="D781" i="7"/>
  <c r="D813" i="7"/>
  <c r="D601" i="7"/>
  <c r="D529" i="6"/>
  <c r="D624" i="7"/>
  <c r="D662" i="7"/>
  <c r="D845" i="7"/>
  <c r="D545" i="7"/>
  <c r="D898" i="7"/>
  <c r="D750" i="7"/>
  <c r="D558" i="7"/>
  <c r="D765" i="7"/>
  <c r="D835" i="7"/>
  <c r="D621" i="7"/>
  <c r="D510" i="7"/>
  <c r="D607" i="6"/>
  <c r="D710" i="7"/>
  <c r="D876" i="7"/>
  <c r="D955" i="7"/>
  <c r="D715" i="6"/>
  <c r="D618" i="7"/>
  <c r="D832" i="7"/>
  <c r="D861" i="7"/>
  <c r="D488" i="7"/>
  <c r="D585" i="6"/>
  <c r="D685" i="7"/>
  <c r="D649" i="7"/>
  <c r="D528" i="6"/>
  <c r="D838" i="7"/>
  <c r="D578" i="7"/>
  <c r="D922" i="7"/>
  <c r="D788" i="7"/>
  <c r="D821" i="7"/>
  <c r="D705" i="6"/>
  <c r="D608" i="7"/>
  <c r="D469" i="7"/>
  <c r="D847" i="7"/>
  <c r="D664" i="7"/>
  <c r="D700" i="6"/>
  <c r="D603" i="7"/>
  <c r="D815" i="7"/>
  <c r="D678" i="7"/>
  <c r="D579" i="6"/>
  <c r="D819" i="7"/>
  <c r="D606" i="7"/>
  <c r="D943" i="7"/>
  <c r="D485" i="7"/>
  <c r="D858" i="7"/>
  <c r="D682" i="7"/>
  <c r="D766" i="7"/>
  <c r="D542" i="6"/>
  <c r="D637" i="7"/>
  <c r="D907" i="7"/>
  <c r="D547" i="7"/>
  <c r="D752" i="7"/>
  <c r="D735" i="7"/>
  <c r="D890" i="7"/>
  <c r="D633" i="7"/>
  <c r="D563" i="7"/>
  <c r="D771" i="7"/>
  <c r="D583" i="7"/>
  <c r="D927" i="7"/>
  <c r="D680" i="6"/>
  <c r="D793" i="7"/>
  <c r="D730" i="7"/>
  <c r="D528" i="7"/>
  <c r="D652" i="7"/>
  <c r="D458" i="7"/>
  <c r="D493" i="7"/>
  <c r="D691" i="7"/>
  <c r="D514" i="7"/>
  <c r="D879" i="7"/>
  <c r="D715" i="7"/>
  <c r="D684" i="7"/>
  <c r="D487" i="7"/>
  <c r="D860" i="7"/>
  <c r="D584" i="6"/>
  <c r="D727" i="7"/>
  <c r="D525" i="7"/>
  <c r="D887" i="7"/>
  <c r="D853" i="7"/>
  <c r="D924" i="7"/>
  <c r="D515" i="7"/>
  <c r="D612" i="6"/>
  <c r="D880" i="7"/>
  <c r="D457" i="7"/>
  <c r="D554" i="6"/>
  <c r="D455" i="7"/>
  <c r="D648" i="7"/>
  <c r="D609" i="7"/>
  <c r="D822" i="7"/>
  <c r="D946" i="7"/>
  <c r="D918" i="7"/>
  <c r="D573" i="7"/>
  <c r="E658" i="6"/>
  <c r="E561" i="7"/>
  <c r="E909" i="7"/>
  <c r="E828" i="6"/>
  <c r="E769" i="7"/>
  <c r="E1014" i="6"/>
  <c r="E1022" i="6"/>
  <c r="E835" i="6"/>
  <c r="E636" i="7"/>
  <c r="E759" i="7"/>
  <c r="E541" i="6"/>
  <c r="E603" i="6"/>
  <c r="E506" i="7"/>
  <c r="E706" i="7"/>
  <c r="E872" i="7"/>
  <c r="E951" i="6"/>
  <c r="E621" i="6"/>
  <c r="E971" i="6"/>
  <c r="E524" i="7"/>
  <c r="E799" i="6"/>
  <c r="E981" i="6"/>
  <c r="E629" i="6"/>
  <c r="E674" i="7"/>
  <c r="E478" i="7"/>
  <c r="E745" i="6"/>
  <c r="E575" i="6"/>
  <c r="E915" i="7"/>
  <c r="E569" i="7"/>
  <c r="E599" i="6"/>
  <c r="E701" i="7"/>
  <c r="E769" i="6"/>
  <c r="E596" i="6"/>
  <c r="E499" i="7"/>
  <c r="E942" i="6"/>
  <c r="E579" i="6"/>
  <c r="E923" i="6"/>
  <c r="E482" i="7"/>
  <c r="E664" i="6"/>
  <c r="E567" i="7"/>
  <c r="E927" i="6"/>
  <c r="E485" i="7"/>
  <c r="E1007" i="6"/>
  <c r="E905" i="7"/>
  <c r="E822" i="6"/>
  <c r="E555" i="7"/>
  <c r="E522" i="7"/>
  <c r="E789" i="6"/>
  <c r="E845" i="7"/>
  <c r="E529" i="6"/>
  <c r="E907" i="6"/>
  <c r="E545" i="7"/>
  <c r="E812" i="6"/>
  <c r="E995" i="6"/>
  <c r="E957" i="6"/>
  <c r="E609" i="6"/>
  <c r="E779" i="6"/>
  <c r="E512" i="7"/>
  <c r="E861" i="6"/>
  <c r="E691" i="6"/>
  <c r="E1051" i="6"/>
  <c r="E594" i="7"/>
  <c r="E742" i="6"/>
  <c r="E572" i="6"/>
  <c r="E916" i="6"/>
  <c r="E475" i="7"/>
  <c r="E856" i="6"/>
  <c r="E589" i="7"/>
  <c r="E928" i="6"/>
  <c r="E859" i="7"/>
  <c r="E785" i="6"/>
  <c r="E615" i="6"/>
  <c r="E824" i="6"/>
  <c r="E1009" i="6"/>
  <c r="E764" i="7"/>
  <c r="E654" i="6"/>
  <c r="E820" i="6"/>
  <c r="E553" i="7"/>
  <c r="E798" i="6"/>
  <c r="E531" i="7"/>
  <c r="E628" i="6"/>
  <c r="E979" i="6"/>
  <c r="E570" i="6"/>
  <c r="E668" i="7"/>
  <c r="E913" i="6"/>
  <c r="E740" i="6"/>
  <c r="E473" i="7"/>
  <c r="E721" i="6"/>
  <c r="E647" i="7"/>
  <c r="E551" i="6"/>
  <c r="E892" i="6"/>
  <c r="E854" i="6"/>
  <c r="E684" i="6"/>
  <c r="E1043" i="6"/>
  <c r="E1079" i="6"/>
  <c r="E620" i="7"/>
  <c r="E834" i="7"/>
  <c r="E717" i="6"/>
  <c r="E887" i="6"/>
  <c r="E563" i="6"/>
  <c r="E733" i="6"/>
  <c r="E905" i="6"/>
  <c r="E466" i="7"/>
  <c r="E571" i="7"/>
  <c r="E668" i="6"/>
  <c r="E780" i="7"/>
  <c r="D693" i="6"/>
  <c r="D808" i="7"/>
  <c r="D474" i="7"/>
  <c r="D571" i="6"/>
  <c r="D741" i="6"/>
  <c r="D522" i="7"/>
  <c r="D884" i="7"/>
  <c r="D619" i="6"/>
  <c r="D724" i="7"/>
  <c r="D710" i="6"/>
  <c r="D880" i="6"/>
  <c r="D827" i="7"/>
  <c r="D690" i="7"/>
  <c r="D532" i="6"/>
  <c r="D863" i="7"/>
  <c r="D935" i="6"/>
  <c r="D914" i="7"/>
  <c r="D665" i="6"/>
  <c r="D568" i="6"/>
  <c r="D738" i="6"/>
  <c r="D630" i="7"/>
  <c r="D714" i="7"/>
  <c r="D470" i="7"/>
  <c r="D665" i="7"/>
  <c r="D567" i="6"/>
  <c r="D865" i="7"/>
  <c r="D495" i="7"/>
  <c r="D592" i="6"/>
  <c r="D459" i="7"/>
  <c r="D556" i="6"/>
  <c r="D631" i="7"/>
  <c r="D721" i="7"/>
  <c r="D882" i="7"/>
  <c r="D536" i="6"/>
  <c r="D676" i="6"/>
  <c r="D579" i="7"/>
  <c r="D625" i="7"/>
  <c r="D850" i="7"/>
  <c r="D530" i="6"/>
  <c r="D615" i="7"/>
  <c r="D952" i="7"/>
  <c r="D712" i="6"/>
  <c r="D531" i="7"/>
  <c r="D628" i="6"/>
  <c r="D915" i="7"/>
  <c r="D666" i="6"/>
  <c r="D569" i="7"/>
  <c r="D577" i="7"/>
  <c r="D844" i="6"/>
  <c r="D674" i="6"/>
  <c r="D610" i="7"/>
  <c r="D947" i="7"/>
  <c r="D707" i="6"/>
  <c r="D823" i="7"/>
  <c r="D862" i="7"/>
  <c r="D756" i="6"/>
  <c r="D647" i="7"/>
  <c r="D892" i="6"/>
  <c r="D454" i="7"/>
  <c r="D551" i="6"/>
  <c r="D892" i="7"/>
  <c r="D739" i="7"/>
  <c r="D663" i="7"/>
  <c r="D908" i="6"/>
  <c r="D846" i="7"/>
  <c r="D468" i="7"/>
  <c r="D565" i="6"/>
  <c r="D796" i="7"/>
  <c r="D929" i="7"/>
  <c r="D682" i="6"/>
  <c r="D585" i="7"/>
  <c r="D852" i="6"/>
  <c r="D508" i="7"/>
  <c r="D775" i="6"/>
  <c r="D708" i="7"/>
  <c r="D605" i="6"/>
  <c r="D801" i="7"/>
  <c r="D934" i="7"/>
  <c r="D590" i="7"/>
  <c r="D687" i="6"/>
  <c r="D956" i="7"/>
  <c r="D619" i="7"/>
  <c r="D754" i="7"/>
  <c r="D645" i="6"/>
  <c r="D999" i="6"/>
  <c r="D668" i="7"/>
  <c r="D740" i="6"/>
  <c r="D504" i="7"/>
  <c r="D601" i="6"/>
  <c r="D703" i="7"/>
  <c r="D883" i="7"/>
  <c r="D521" i="7"/>
  <c r="D788" i="6"/>
  <c r="D618" i="6"/>
  <c r="D704" i="7"/>
  <c r="D871" i="7"/>
  <c r="D570" i="7"/>
  <c r="D667" i="6"/>
  <c r="D779" i="7"/>
  <c r="D916" i="7"/>
  <c r="D733" i="6"/>
  <c r="D563" i="6"/>
  <c r="D780" i="7"/>
  <c r="D668" i="6"/>
  <c r="D490" i="7"/>
  <c r="D587" i="6"/>
  <c r="D661" i="6"/>
  <c r="D564" i="7"/>
  <c r="D830" i="7"/>
  <c r="D953" i="7"/>
  <c r="D713" i="6"/>
  <c r="D826" i="7"/>
  <c r="D949" i="7"/>
  <c r="D548" i="6"/>
  <c r="D818" i="7"/>
  <c r="D1063" i="6"/>
  <c r="D596" i="7"/>
  <c r="D499" i="7"/>
  <c r="D596" i="6"/>
  <c r="D561" i="7"/>
  <c r="D769" i="7"/>
  <c r="D828" i="6"/>
  <c r="D909" i="7"/>
  <c r="D658" i="6"/>
  <c r="D492" i="7"/>
  <c r="D689" i="7"/>
  <c r="D759" i="6"/>
  <c r="D795" i="7"/>
  <c r="D681" i="6"/>
  <c r="D714" i="6"/>
  <c r="D617" i="7"/>
  <c r="D593" i="6"/>
  <c r="D694" i="7"/>
  <c r="D867" i="7"/>
  <c r="D628" i="7"/>
  <c r="D698" i="7"/>
  <c r="D533" i="6"/>
  <c r="D517" i="7"/>
  <c r="D614" i="6"/>
  <c r="D673" i="7"/>
  <c r="D851" i="7"/>
  <c r="D477" i="7"/>
  <c r="D744" i="6"/>
  <c r="D657" i="7"/>
  <c r="D730" i="6"/>
  <c r="D843" i="7"/>
  <c r="D560" i="6"/>
  <c r="D463" i="7"/>
  <c r="D641" i="7"/>
  <c r="D803" i="7"/>
  <c r="D546" i="6"/>
  <c r="D869" i="7"/>
  <c r="D701" i="7"/>
  <c r="D599" i="6"/>
  <c r="D565" i="7"/>
  <c r="D832" i="6"/>
  <c r="D797" i="7"/>
  <c r="D586" i="7"/>
  <c r="D683" i="6"/>
  <c r="D930" i="7"/>
  <c r="D453" i="7"/>
  <c r="D646" i="7"/>
  <c r="D738" i="7"/>
  <c r="D534" i="7"/>
  <c r="D983" i="6"/>
  <c r="D891" i="7"/>
  <c r="D631" i="6"/>
  <c r="D539" i="6"/>
  <c r="D744" i="7"/>
  <c r="D791" i="7"/>
  <c r="D925" i="7"/>
  <c r="D581" i="7"/>
  <c r="D848" i="6"/>
  <c r="D1036" i="6"/>
  <c r="D678" i="6"/>
  <c r="D723" i="6"/>
  <c r="D840" i="7"/>
  <c r="D560" i="7"/>
  <c r="D768" i="7"/>
  <c r="D655" i="7"/>
  <c r="D841" i="7"/>
  <c r="D558" i="6"/>
  <c r="D900" i="6"/>
  <c r="D461" i="7"/>
  <c r="D728" i="6"/>
  <c r="D636" i="7"/>
  <c r="D759" i="7"/>
  <c r="D1004" i="6"/>
  <c r="D812" i="7"/>
  <c r="D941" i="7"/>
  <c r="D697" i="6"/>
  <c r="D650" i="6"/>
  <c r="D760" i="7"/>
  <c r="D597" i="7"/>
  <c r="D694" i="6"/>
  <c r="D864" i="6"/>
  <c r="D503" i="7"/>
  <c r="D600" i="6"/>
  <c r="D770" i="7"/>
  <c r="D910" i="7"/>
  <c r="D659" i="6"/>
  <c r="D1015" i="6"/>
  <c r="D483" i="7"/>
  <c r="D679" i="7"/>
  <c r="D924" i="6"/>
  <c r="D580" i="6"/>
  <c r="D750" i="6"/>
  <c r="D529" i="7"/>
  <c r="D732" i="7"/>
  <c r="D626" i="6"/>
  <c r="D796" i="6"/>
  <c r="D743" i="7"/>
  <c r="D539" i="7"/>
  <c r="D636" i="6"/>
  <c r="D988" i="6"/>
  <c r="D688" i="7"/>
  <c r="D588" i="6"/>
  <c r="D948" i="7"/>
  <c r="D708" i="6"/>
  <c r="D611" i="7"/>
  <c r="D824" i="7"/>
  <c r="D497" i="7"/>
  <c r="D695" i="7"/>
  <c r="D594" i="6"/>
  <c r="D764" i="6"/>
  <c r="D940" i="6"/>
  <c r="D902" i="7"/>
  <c r="D550" i="7"/>
  <c r="D647" i="6"/>
  <c r="D677" i="6"/>
  <c r="D790" i="7"/>
  <c r="D602" i="7"/>
  <c r="D699" i="6"/>
  <c r="D802" i="7"/>
  <c r="D688" i="6"/>
  <c r="D1047" i="6"/>
  <c r="D1053" i="6"/>
  <c r="D1037" i="6"/>
  <c r="D925" i="6"/>
  <c r="D877" i="6"/>
  <c r="D797" i="6"/>
  <c r="D1078" i="6"/>
  <c r="D1042" i="6"/>
  <c r="D994" i="6"/>
  <c r="D978" i="6"/>
  <c r="D946" i="6"/>
  <c r="D914" i="6"/>
  <c r="D898" i="6"/>
  <c r="D882" i="6"/>
  <c r="D818" i="6"/>
  <c r="D802" i="6"/>
  <c r="D735" i="6"/>
  <c r="D1023" i="6"/>
  <c r="D1003" i="6"/>
  <c r="D979" i="6"/>
  <c r="D963" i="6"/>
  <c r="D947" i="6"/>
  <c r="D911" i="6"/>
  <c r="D895" i="6"/>
  <c r="D863" i="6"/>
  <c r="D831" i="6"/>
  <c r="D815" i="6"/>
  <c r="D763" i="6"/>
  <c r="D1032" i="6"/>
  <c r="D996" i="6"/>
  <c r="D976" i="6"/>
  <c r="D872" i="6"/>
  <c r="D662" i="6"/>
  <c r="D550" i="6"/>
  <c r="D531" i="6"/>
  <c r="D679" i="6"/>
  <c r="D586" i="6"/>
  <c r="D570" i="6"/>
  <c r="D641" i="6"/>
  <c r="D553" i="6"/>
  <c r="D537" i="6"/>
  <c r="D954" i="7"/>
  <c r="D897" i="7"/>
  <c r="D874" i="7"/>
  <c r="D950" i="7"/>
  <c r="D866" i="7"/>
  <c r="D939" i="7"/>
  <c r="D923" i="7"/>
  <c r="D903" i="7"/>
  <c r="D820" i="7"/>
  <c r="D849" i="7"/>
  <c r="D697" i="7"/>
  <c r="D629" i="7"/>
  <c r="D666" i="7"/>
  <c r="D650" i="7"/>
  <c r="D598" i="7"/>
  <c r="D751" i="7"/>
  <c r="D723" i="7"/>
  <c r="D707" i="7"/>
  <c r="D756" i="7"/>
  <c r="D676" i="7"/>
  <c r="D656" i="7"/>
  <c r="D480" i="7"/>
  <c r="D456" i="7"/>
  <c r="D473" i="7"/>
  <c r="D562" i="7"/>
  <c r="D969" i="6"/>
  <c r="D841" i="6"/>
  <c r="D1022" i="6"/>
  <c r="D974" i="6"/>
  <c r="D942" i="6"/>
  <c r="D910" i="6"/>
  <c r="D846" i="6"/>
  <c r="D798" i="6"/>
  <c r="D766" i="6"/>
  <c r="D959" i="6"/>
  <c r="D943" i="6"/>
  <c r="D891" i="6"/>
  <c r="D827" i="6"/>
  <c r="D811" i="6"/>
  <c r="D1028" i="6"/>
  <c r="D916" i="6"/>
  <c r="D836" i="6"/>
  <c r="D742" i="6"/>
  <c r="D574" i="6"/>
  <c r="D632" i="6"/>
  <c r="D721" i="6"/>
  <c r="D589" i="6"/>
  <c r="D569" i="6"/>
  <c r="D908" i="7"/>
  <c r="D878" i="7"/>
  <c r="D921" i="7"/>
  <c r="D935" i="7"/>
  <c r="D919" i="7"/>
  <c r="D895" i="7"/>
  <c r="D831" i="7"/>
  <c r="D777" i="7"/>
  <c r="D733" i="7"/>
  <c r="D693" i="7"/>
  <c r="D669" i="7"/>
  <c r="D787" i="7"/>
  <c r="D627" i="7"/>
  <c r="D696" i="7"/>
  <c r="D535" i="7"/>
  <c r="D568" i="7"/>
  <c r="D496" i="7"/>
  <c r="E606" i="6"/>
  <c r="E776" i="6"/>
  <c r="E854" i="7"/>
  <c r="E576" i="6"/>
  <c r="E920" i="6"/>
  <c r="E765" i="6"/>
  <c r="E941" i="6"/>
  <c r="E611" i="6"/>
  <c r="E781" i="6"/>
  <c r="E553" i="6"/>
  <c r="E895" i="6"/>
  <c r="E590" i="6"/>
  <c r="E760" i="6"/>
  <c r="E936" i="6"/>
  <c r="E622" i="6"/>
  <c r="E792" i="6"/>
  <c r="E623" i="6"/>
  <c r="E973" i="6"/>
  <c r="D906" i="7"/>
  <c r="D834" i="7"/>
  <c r="D899" i="7"/>
  <c r="D737" i="7"/>
  <c r="D716" i="7"/>
  <c r="E934" i="6"/>
  <c r="E902" i="6"/>
  <c r="E826" i="6"/>
  <c r="E774" i="6"/>
  <c r="E1011" i="6"/>
  <c r="E795" i="6"/>
  <c r="E1055" i="6"/>
  <c r="E972" i="6"/>
  <c r="E908" i="6"/>
  <c r="E788" i="6"/>
  <c r="E997" i="6"/>
  <c r="E977" i="6"/>
  <c r="E793" i="6"/>
  <c r="E773" i="6"/>
  <c r="E732" i="6"/>
  <c r="E564" i="6"/>
  <c r="E545" i="6"/>
  <c r="E728" i="6"/>
  <c r="E567" i="6"/>
  <c r="E749" i="6"/>
  <c r="E729" i="6"/>
  <c r="E693" i="6"/>
  <c r="E613" i="6"/>
  <c r="E582" i="6"/>
  <c r="E566" i="6"/>
  <c r="E666" i="6"/>
  <c r="E1023" i="6"/>
  <c r="E1021" i="6"/>
  <c r="E834" i="6"/>
  <c r="E650" i="6"/>
  <c r="E1005" i="6"/>
  <c r="E679" i="6"/>
  <c r="E1037" i="6"/>
  <c r="E393" i="7"/>
  <c r="E262" i="7"/>
  <c r="E93" i="7"/>
  <c r="E279" i="6"/>
  <c r="E387" i="6"/>
  <c r="E447" i="6"/>
  <c r="E386" i="6"/>
  <c r="E126" i="7"/>
  <c r="E134" i="7"/>
  <c r="E293" i="7"/>
  <c r="E274" i="7"/>
  <c r="E240" i="7"/>
  <c r="E120" i="6"/>
  <c r="E161" i="6"/>
  <c r="D155" i="7"/>
  <c r="E267" i="6"/>
  <c r="E448" i="6"/>
  <c r="E410" i="7"/>
  <c r="E392" i="7"/>
  <c r="E149" i="7"/>
  <c r="E107" i="7"/>
  <c r="E117" i="7"/>
  <c r="E408" i="6"/>
  <c r="E255" i="6"/>
  <c r="E272" i="6"/>
  <c r="E265" i="6"/>
  <c r="E121" i="6"/>
  <c r="E243" i="7"/>
  <c r="E143" i="7"/>
  <c r="E405" i="6"/>
  <c r="E420" i="6"/>
  <c r="E264" i="6"/>
  <c r="E421" i="6"/>
  <c r="E160" i="6"/>
  <c r="E256" i="7"/>
  <c r="E109" i="7"/>
  <c r="E243" i="6"/>
  <c r="E168" i="6"/>
  <c r="E389" i="6"/>
  <c r="E152" i="6"/>
  <c r="E340" i="6"/>
  <c r="D495" i="6"/>
  <c r="E464" i="6"/>
  <c r="E366" i="7"/>
  <c r="E375" i="7"/>
  <c r="D316" i="7"/>
  <c r="E479" i="6"/>
  <c r="E348" i="6"/>
  <c r="D266" i="6"/>
  <c r="E284" i="7"/>
  <c r="E334" i="7"/>
  <c r="E179" i="7"/>
  <c r="D419" i="7"/>
  <c r="E317" i="6"/>
  <c r="D428" i="6"/>
  <c r="E343" i="7"/>
  <c r="E268" i="7"/>
  <c r="E284" i="6"/>
  <c r="E226" i="6"/>
  <c r="D265" i="6"/>
  <c r="D429" i="7"/>
  <c r="E439" i="7"/>
  <c r="E257" i="7"/>
  <c r="E292" i="7"/>
  <c r="E100" i="7"/>
  <c r="E103" i="7"/>
  <c r="E125" i="7"/>
  <c r="E403" i="6"/>
  <c r="E395" i="6"/>
  <c r="E400" i="6"/>
  <c r="E411" i="6"/>
  <c r="E277" i="6"/>
  <c r="E157" i="6"/>
  <c r="E419" i="6"/>
  <c r="E332" i="6"/>
  <c r="E135" i="6"/>
  <c r="D124" i="7"/>
  <c r="E392" i="6"/>
  <c r="D134" i="6"/>
  <c r="E385" i="7"/>
  <c r="E246" i="7"/>
  <c r="E254" i="7"/>
  <c r="E141" i="7"/>
  <c r="E118" i="6"/>
  <c r="E143" i="6"/>
  <c r="D425" i="7"/>
  <c r="D498" i="6"/>
  <c r="D403" i="6"/>
  <c r="E396" i="6"/>
  <c r="D213" i="6"/>
  <c r="D371" i="7"/>
  <c r="D156" i="6"/>
  <c r="D409" i="6"/>
  <c r="E324" i="7"/>
  <c r="E446" i="7"/>
  <c r="E170" i="7"/>
  <c r="E235" i="7"/>
  <c r="D175" i="7"/>
  <c r="D179" i="6"/>
  <c r="D418" i="6"/>
  <c r="D141" i="6"/>
  <c r="E357" i="7"/>
  <c r="E349" i="7"/>
  <c r="E494" i="6"/>
  <c r="D242" i="6"/>
  <c r="E413" i="7"/>
  <c r="E440" i="7"/>
  <c r="D338" i="7"/>
  <c r="E99" i="7"/>
  <c r="E423" i="6"/>
  <c r="E272" i="7"/>
  <c r="E399" i="6"/>
  <c r="E437" i="7"/>
  <c r="E299" i="7"/>
  <c r="E331" i="7"/>
  <c r="E185" i="7"/>
  <c r="D102" i="7"/>
  <c r="D161" i="7"/>
  <c r="D355" i="7"/>
  <c r="E477" i="6"/>
  <c r="E249" i="6"/>
  <c r="E462" i="6"/>
  <c r="D186" i="6"/>
  <c r="D385" i="6"/>
  <c r="D315" i="6"/>
  <c r="E449" i="7"/>
  <c r="E435" i="7"/>
  <c r="E381" i="7"/>
  <c r="E181" i="7"/>
  <c r="E348" i="7"/>
  <c r="E305" i="7"/>
  <c r="E177" i="7"/>
  <c r="D298" i="7"/>
  <c r="D200" i="7"/>
  <c r="D358" i="7"/>
  <c r="D389" i="7"/>
  <c r="E449" i="6"/>
  <c r="E318" i="6"/>
  <c r="D113" i="6"/>
  <c r="D468" i="6"/>
  <c r="D337" i="6"/>
  <c r="D216" i="6"/>
  <c r="D270" i="6"/>
  <c r="D126" i="6"/>
  <c r="E332" i="7"/>
  <c r="E430" i="7"/>
  <c r="E434" i="7"/>
  <c r="E206" i="7"/>
  <c r="D272" i="7"/>
  <c r="D101" i="7"/>
  <c r="D369" i="6"/>
  <c r="D204" i="6"/>
  <c r="D517" i="6"/>
  <c r="D393" i="6"/>
  <c r="D112" i="6"/>
  <c r="E420" i="7"/>
  <c r="E447" i="7"/>
  <c r="E433" i="7"/>
  <c r="E372" i="7"/>
  <c r="E341" i="7"/>
  <c r="E236" i="7"/>
  <c r="E308" i="7"/>
  <c r="E364" i="7"/>
  <c r="D366" i="7"/>
  <c r="D153" i="7"/>
  <c r="E483" i="6"/>
  <c r="E510" i="6"/>
  <c r="E445" i="6"/>
  <c r="E188" i="6"/>
  <c r="D225" i="6"/>
  <c r="D512" i="6"/>
  <c r="D417" i="6"/>
  <c r="D248" i="6"/>
  <c r="E407" i="7"/>
  <c r="E165" i="7"/>
  <c r="D266" i="7"/>
  <c r="D368" i="7"/>
  <c r="D331" i="7"/>
  <c r="D199" i="7"/>
  <c r="E321" i="6"/>
  <c r="E183" i="6"/>
  <c r="D388" i="6"/>
  <c r="D249" i="6"/>
  <c r="E419" i="7"/>
  <c r="E401" i="7"/>
  <c r="E333" i="7"/>
  <c r="D250" i="7"/>
  <c r="D315" i="7"/>
  <c r="E520" i="6"/>
  <c r="E472" i="6"/>
  <c r="E334" i="6"/>
  <c r="E246" i="6"/>
  <c r="D136" i="6"/>
  <c r="D220" i="6"/>
  <c r="D354" i="6"/>
  <c r="D324" i="7"/>
  <c r="D339" i="7"/>
  <c r="D503" i="6"/>
  <c r="D404" i="6"/>
  <c r="D111" i="7"/>
  <c r="D332" i="7"/>
  <c r="D289" i="7"/>
  <c r="D231" i="7"/>
  <c r="D151" i="6"/>
  <c r="D332" i="6"/>
  <c r="D114" i="6"/>
  <c r="E242" i="7"/>
  <c r="E285" i="7"/>
  <c r="E133" i="7"/>
  <c r="E268" i="6"/>
  <c r="E114" i="7"/>
  <c r="E129" i="6"/>
  <c r="E398" i="7"/>
  <c r="E261" i="7"/>
  <c r="E282" i="7"/>
  <c r="E304" i="7"/>
  <c r="E128" i="7"/>
  <c r="E111" i="7"/>
  <c r="E239" i="6"/>
  <c r="E290" i="6"/>
  <c r="E395" i="7"/>
  <c r="E412" i="7"/>
  <c r="E431" i="7"/>
  <c r="E350" i="7"/>
  <c r="E427" i="7"/>
  <c r="E382" i="7"/>
  <c r="E250" i="7"/>
  <c r="E248" i="7"/>
  <c r="E172" i="7"/>
  <c r="E342" i="7"/>
  <c r="E294" i="7"/>
  <c r="E245" i="7"/>
  <c r="E275" i="7"/>
  <c r="E201" i="7"/>
  <c r="E145" i="7"/>
  <c r="E120" i="7"/>
  <c r="E119" i="7"/>
  <c r="E193" i="7"/>
  <c r="E95" i="7"/>
  <c r="D222" i="7"/>
  <c r="D195" i="7"/>
  <c r="D404" i="7"/>
  <c r="D434" i="7"/>
  <c r="D447" i="7"/>
  <c r="D357" i="7"/>
  <c r="D282" i="7"/>
  <c r="D236" i="7"/>
  <c r="D139" i="7"/>
  <c r="E276" i="6"/>
  <c r="E453" i="6"/>
  <c r="E122" i="6"/>
  <c r="E521" i="6"/>
  <c r="E295" i="6"/>
  <c r="E428" i="6"/>
  <c r="E355" i="6"/>
  <c r="E312" i="6"/>
  <c r="E274" i="6"/>
  <c r="E190" i="6"/>
  <c r="E140" i="6"/>
  <c r="E416" i="6"/>
  <c r="E370" i="6"/>
  <c r="E283" i="6"/>
  <c r="E127" i="6"/>
  <c r="E429" i="6"/>
  <c r="E394" i="6"/>
  <c r="E356" i="6"/>
  <c r="E278" i="6"/>
  <c r="E219" i="6"/>
  <c r="E146" i="6"/>
  <c r="E137" i="6"/>
  <c r="E123" i="6"/>
  <c r="E113" i="6"/>
  <c r="D462" i="6"/>
  <c r="D174" i="6"/>
  <c r="D122" i="6"/>
  <c r="D234" i="6"/>
  <c r="D487" i="6"/>
  <c r="D435" i="6"/>
  <c r="D210" i="6"/>
  <c r="D280" i="6"/>
  <c r="D157" i="6"/>
  <c r="D129" i="6"/>
  <c r="E388" i="7"/>
  <c r="E296" i="7"/>
  <c r="E152" i="7"/>
  <c r="E307" i="6"/>
  <c r="E442" i="6"/>
  <c r="E391" i="6"/>
  <c r="E170" i="6"/>
  <c r="E404" i="7"/>
  <c r="E402" i="7"/>
  <c r="E417" i="7"/>
  <c r="E358" i="7"/>
  <c r="E396" i="7"/>
  <c r="E386" i="7"/>
  <c r="E302" i="7"/>
  <c r="E207" i="7"/>
  <c r="E102" i="7"/>
  <c r="E237" i="7"/>
  <c r="E222" i="7"/>
  <c r="E124" i="7"/>
  <c r="E186" i="7"/>
  <c r="E150" i="7"/>
  <c r="E121" i="7"/>
  <c r="E221" i="7"/>
  <c r="E142" i="7"/>
  <c r="E97" i="7"/>
  <c r="D386" i="7"/>
  <c r="D258" i="7"/>
  <c r="D308" i="7"/>
  <c r="D376" i="7"/>
  <c r="D225" i="7"/>
  <c r="D242" i="7"/>
  <c r="D349" i="7"/>
  <c r="D299" i="7"/>
  <c r="D257" i="7"/>
  <c r="D249" i="7"/>
  <c r="E286" i="6"/>
  <c r="E496" i="6"/>
  <c r="E271" i="6"/>
  <c r="E512" i="6"/>
  <c r="E440" i="6"/>
  <c r="E413" i="6"/>
  <c r="E362" i="6"/>
  <c r="E314" i="6"/>
  <c r="E261" i="6"/>
  <c r="E232" i="6"/>
  <c r="E431" i="6"/>
  <c r="E296" i="6"/>
  <c r="E259" i="6"/>
  <c r="E205" i="6"/>
  <c r="E144" i="6"/>
  <c r="E497" i="6"/>
  <c r="E439" i="6"/>
  <c r="E281" i="6"/>
  <c r="E247" i="6"/>
  <c r="E142" i="6"/>
  <c r="E132" i="6"/>
  <c r="D240" i="6"/>
  <c r="D188" i="6"/>
  <c r="D506" i="6"/>
  <c r="D378" i="6"/>
  <c r="D318" i="6"/>
  <c r="D519" i="6"/>
  <c r="D217" i="6"/>
  <c r="D310" i="6"/>
  <c r="D154" i="7"/>
  <c r="D147" i="7"/>
  <c r="D186" i="7"/>
  <c r="D190" i="7"/>
  <c r="E202" i="6"/>
  <c r="E171" i="6"/>
  <c r="D194" i="6"/>
  <c r="D452" i="6"/>
  <c r="D410" i="6"/>
  <c r="D352" i="6"/>
  <c r="D343" i="6"/>
  <c r="D148" i="6"/>
  <c r="D176" i="7"/>
  <c r="D330" i="7"/>
  <c r="D247" i="7"/>
  <c r="D212" i="7"/>
  <c r="E519" i="6"/>
  <c r="E511" i="6"/>
  <c r="E254" i="6"/>
  <c r="E311" i="6"/>
  <c r="D338" i="6"/>
  <c r="D286" i="6"/>
  <c r="D230" i="6"/>
  <c r="D443" i="6"/>
  <c r="D376" i="6"/>
  <c r="D520" i="6"/>
  <c r="D374" i="7"/>
  <c r="D232" i="6"/>
  <c r="D504" i="6"/>
  <c r="D362" i="6"/>
  <c r="D355" i="6"/>
  <c r="D496" i="6"/>
  <c r="D350" i="7"/>
  <c r="D193" i="7"/>
  <c r="D348" i="6"/>
  <c r="D342" i="7"/>
  <c r="D381" i="6"/>
  <c r="D525" i="6"/>
  <c r="D219" i="7"/>
  <c r="D379" i="7"/>
  <c r="D363" i="7"/>
  <c r="D223" i="6"/>
  <c r="D509" i="6"/>
  <c r="D205" i="7"/>
  <c r="D198" i="7"/>
  <c r="D360" i="6"/>
  <c r="D208" i="6"/>
  <c r="D347" i="7"/>
  <c r="D344" i="6"/>
  <c r="D200" i="6"/>
  <c r="D182" i="7"/>
  <c r="D322" i="7"/>
  <c r="D168" i="7"/>
  <c r="D323" i="6"/>
  <c r="D314" i="7"/>
  <c r="D424" i="7"/>
  <c r="D316" i="6"/>
  <c r="D306" i="7"/>
  <c r="D418" i="7"/>
  <c r="D444" i="6"/>
  <c r="D165" i="6"/>
  <c r="D337" i="7"/>
  <c r="D199" i="6"/>
  <c r="D181" i="7"/>
  <c r="D475" i="6"/>
  <c r="D329" i="7"/>
  <c r="D230" i="7"/>
  <c r="D321" i="7"/>
  <c r="D459" i="6"/>
  <c r="D247" i="6"/>
  <c r="D229" i="7"/>
  <c r="D423" i="7"/>
  <c r="D171" i="6"/>
  <c r="D305" i="7"/>
  <c r="D146" i="7"/>
  <c r="D308" i="6"/>
  <c r="D297" i="7"/>
  <c r="D299" i="6"/>
  <c r="D287" i="7"/>
  <c r="D155" i="6"/>
  <c r="D433" i="6"/>
  <c r="D408" i="7"/>
  <c r="D137" i="7"/>
  <c r="D130" i="7"/>
  <c r="D279" i="7"/>
  <c r="D425" i="6"/>
  <c r="D403" i="7"/>
  <c r="D271" i="7"/>
  <c r="D285" i="6"/>
  <c r="D224" i="7"/>
  <c r="D263" i="7"/>
  <c r="D401" i="6"/>
  <c r="D108" i="7"/>
  <c r="D255" i="7"/>
  <c r="D256" i="6"/>
  <c r="D239" i="7"/>
  <c r="D434" i="6"/>
  <c r="D138" i="7"/>
  <c r="D288" i="7"/>
  <c r="D293" i="6"/>
  <c r="D280" i="7"/>
  <c r="D426" i="6"/>
  <c r="D149" i="6"/>
  <c r="D406" i="7"/>
  <c r="D264" i="7"/>
  <c r="D278" i="6"/>
  <c r="D402" i="6"/>
  <c r="D271" i="6"/>
  <c r="D109" i="7"/>
  <c r="D256" i="7"/>
  <c r="D395" i="7"/>
  <c r="D394" i="6"/>
  <c r="D120" i="6"/>
  <c r="D248" i="7"/>
  <c r="D390" i="7"/>
  <c r="D240" i="7"/>
  <c r="D386" i="6"/>
  <c r="D95" i="7"/>
  <c r="E337" i="7"/>
  <c r="E343" i="6"/>
  <c r="E315" i="6"/>
  <c r="E451" i="6"/>
  <c r="E382" i="6"/>
  <c r="E526" i="6"/>
  <c r="E220" i="7"/>
  <c r="E238" i="6"/>
  <c r="E231" i="6"/>
  <c r="E375" i="6"/>
  <c r="E518" i="6"/>
  <c r="E252" i="6"/>
  <c r="E444" i="7"/>
  <c r="E234" i="7"/>
  <c r="E356" i="7"/>
  <c r="E353" i="6"/>
  <c r="E209" i="6"/>
  <c r="E148" i="7"/>
  <c r="E310" i="6"/>
  <c r="E189" i="6"/>
  <c r="E333" i="6"/>
  <c r="E171" i="7"/>
  <c r="E325" i="7"/>
  <c r="E224" i="6"/>
  <c r="E365" i="7"/>
  <c r="E199" i="7"/>
  <c r="E361" i="6"/>
  <c r="E503" i="6"/>
  <c r="E354" i="6"/>
  <c r="E495" i="6"/>
  <c r="E210" i="6"/>
  <c r="E487" i="6"/>
  <c r="E203" i="6"/>
  <c r="E313" i="6"/>
  <c r="E303" i="7"/>
  <c r="E416" i="7"/>
  <c r="E151" i="7"/>
  <c r="E300" i="6"/>
  <c r="E288" i="7"/>
  <c r="E434" i="6"/>
  <c r="E156" i="6"/>
  <c r="E138" i="7"/>
  <c r="E486" i="6"/>
  <c r="E340" i="7"/>
  <c r="E184" i="7"/>
  <c r="E339" i="6"/>
  <c r="E195" i="6"/>
  <c r="E181" i="6"/>
  <c r="E163" i="7"/>
  <c r="E325" i="6"/>
  <c r="E174" i="6"/>
  <c r="E454" i="6"/>
  <c r="E301" i="6"/>
  <c r="E289" i="7"/>
  <c r="E139" i="7"/>
  <c r="E159" i="6"/>
  <c r="E438" i="6"/>
  <c r="E136" i="6"/>
  <c r="E412" i="6"/>
  <c r="E280" i="6"/>
  <c r="E118" i="7"/>
  <c r="E266" i="7"/>
  <c r="E132" i="7"/>
  <c r="E281" i="7"/>
  <c r="E294" i="6"/>
  <c r="E301" i="7"/>
  <c r="E318" i="7"/>
  <c r="E226" i="7"/>
  <c r="E229" i="7"/>
  <c r="E178" i="7"/>
  <c r="D118" i="7"/>
  <c r="D420" i="7"/>
  <c r="D183" i="7"/>
  <c r="D96" i="7"/>
  <c r="E363" i="6"/>
  <c r="E349" i="6"/>
  <c r="E233" i="6"/>
  <c r="E124" i="6"/>
  <c r="D357" i="6"/>
  <c r="D522" i="6"/>
  <c r="D195" i="6"/>
  <c r="D453" i="6"/>
  <c r="D461" i="6"/>
  <c r="D272" i="6"/>
  <c r="D317" i="6"/>
  <c r="D224" i="6"/>
  <c r="D127" i="7"/>
  <c r="E291" i="7"/>
  <c r="D105" i="7"/>
  <c r="E436" i="7"/>
  <c r="E158" i="7"/>
  <c r="E320" i="6"/>
  <c r="E456" i="6"/>
  <c r="E310" i="7"/>
  <c r="E423" i="7"/>
  <c r="E405" i="7"/>
  <c r="E269" i="7"/>
  <c r="E421" i="7"/>
  <c r="E414" i="7"/>
  <c r="E384" i="7"/>
  <c r="E359" i="7"/>
  <c r="E253" i="7"/>
  <c r="E313" i="7"/>
  <c r="E258" i="7"/>
  <c r="E122" i="7"/>
  <c r="E208" i="7"/>
  <c r="E215" i="7"/>
  <c r="E187" i="7"/>
  <c r="E135" i="7"/>
  <c r="E104" i="7"/>
  <c r="D445" i="7"/>
  <c r="D170" i="7"/>
  <c r="D441" i="7"/>
  <c r="D177" i="7"/>
  <c r="D290" i="7"/>
  <c r="D413" i="7"/>
  <c r="D192" i="7"/>
  <c r="D148" i="7"/>
  <c r="E204" i="6"/>
  <c r="E415" i="6"/>
  <c r="E225" i="6"/>
  <c r="E513" i="6"/>
  <c r="E430" i="6"/>
  <c r="E388" i="6"/>
  <c r="E404" i="6"/>
  <c r="E153" i="6"/>
  <c r="D295" i="6"/>
  <c r="D364" i="6"/>
  <c r="D485" i="6"/>
  <c r="D201" i="6"/>
  <c r="D387" i="6"/>
  <c r="D445" i="6"/>
  <c r="D173" i="6"/>
  <c r="E474" i="6"/>
  <c r="D433" i="7"/>
  <c r="E442" i="7"/>
  <c r="E353" i="7"/>
  <c r="D514" i="6"/>
  <c r="D227" i="6"/>
  <c r="D490" i="6"/>
  <c r="D188" i="7"/>
  <c r="D344" i="7"/>
  <c r="D381" i="7"/>
  <c r="D451" i="7"/>
  <c r="D368" i="6"/>
  <c r="D511" i="6"/>
  <c r="D206" i="7"/>
  <c r="D203" i="6"/>
  <c r="D347" i="6"/>
  <c r="D437" i="7"/>
  <c r="D478" i="6"/>
  <c r="D435" i="7"/>
  <c r="D167" i="6"/>
  <c r="D311" i="6"/>
  <c r="D149" i="7"/>
  <c r="D300" i="7"/>
  <c r="D331" i="6"/>
  <c r="D187" i="6"/>
  <c r="D323" i="7"/>
  <c r="D294" i="6"/>
  <c r="D427" i="6"/>
  <c r="D281" i="7"/>
  <c r="D287" i="6"/>
  <c r="D143" i="6"/>
  <c r="D411" i="6"/>
  <c r="D117" i="7"/>
  <c r="D265" i="7"/>
  <c r="D400" i="7"/>
  <c r="D436" i="6"/>
  <c r="D227" i="7"/>
  <c r="D420" i="6"/>
  <c r="D274" i="7"/>
  <c r="E214" i="7"/>
  <c r="E374" i="7"/>
  <c r="E504" i="6"/>
  <c r="E200" i="7"/>
  <c r="E173" i="6"/>
  <c r="E155" i="7"/>
  <c r="E212" i="6"/>
  <c r="E351" i="7"/>
  <c r="E457" i="6"/>
  <c r="E177" i="6"/>
  <c r="E159" i="7"/>
  <c r="E311" i="7"/>
  <c r="E414" i="6"/>
  <c r="E282" i="6"/>
  <c r="E341" i="6"/>
  <c r="E480" i="6"/>
  <c r="E130" i="6"/>
  <c r="E112" i="7"/>
  <c r="E397" i="6"/>
  <c r="E251" i="7"/>
  <c r="E134" i="6"/>
  <c r="E116" i="7"/>
  <c r="E264" i="7"/>
  <c r="D163" i="7"/>
  <c r="D156" i="7"/>
  <c r="D360" i="7"/>
  <c r="D409" i="7"/>
  <c r="D430" i="7"/>
  <c r="D373" i="7"/>
  <c r="D449" i="7"/>
  <c r="D273" i="7"/>
  <c r="D341" i="7"/>
  <c r="D241" i="7"/>
  <c r="D162" i="7"/>
  <c r="D110" i="7"/>
  <c r="D206" i="6"/>
  <c r="D325" i="6"/>
  <c r="D371" i="6"/>
  <c r="D180" i="6"/>
  <c r="D419" i="6"/>
  <c r="D150" i="6"/>
  <c r="D469" i="6"/>
  <c r="D395" i="6"/>
  <c r="D396" i="6"/>
  <c r="D135" i="6"/>
  <c r="E327" i="7"/>
  <c r="E368" i="7"/>
  <c r="E166" i="7"/>
  <c r="E217" i="7"/>
  <c r="E180" i="7"/>
  <c r="D141" i="7"/>
  <c r="D333" i="7"/>
  <c r="E379" i="6"/>
  <c r="E425" i="7"/>
  <c r="E309" i="7"/>
  <c r="D218" i="7"/>
  <c r="E248" i="6"/>
  <c r="E330" i="7"/>
  <c r="E193" i="6"/>
  <c r="E441" i="7"/>
  <c r="E345" i="7"/>
  <c r="E355" i="7"/>
  <c r="E255" i="7"/>
  <c r="E244" i="7"/>
  <c r="E344" i="7"/>
  <c r="D436" i="7"/>
  <c r="D378" i="7"/>
  <c r="D427" i="7"/>
  <c r="D309" i="7"/>
  <c r="E206" i="6"/>
  <c r="E372" i="6"/>
  <c r="E221" i="6"/>
  <c r="E408" i="7"/>
  <c r="E428" i="7"/>
  <c r="E448" i="7"/>
  <c r="E209" i="7"/>
  <c r="E315" i="7"/>
  <c r="D410" i="7"/>
  <c r="E378" i="6"/>
  <c r="E499" i="6"/>
  <c r="E289" i="6"/>
  <c r="E455" i="6"/>
  <c r="E389" i="7"/>
  <c r="E363" i="7"/>
  <c r="E450" i="7"/>
  <c r="E411" i="7"/>
  <c r="E394" i="7"/>
  <c r="E418" i="7"/>
  <c r="E371" i="7"/>
  <c r="E306" i="7"/>
  <c r="E176" i="7"/>
  <c r="E218" i="7"/>
  <c r="E137" i="7"/>
  <c r="D422" i="7"/>
  <c r="E178" i="6"/>
  <c r="E361" i="7"/>
  <c r="E387" i="7"/>
  <c r="E378" i="7"/>
  <c r="E445" i="7"/>
  <c r="E429" i="7"/>
  <c r="E376" i="7"/>
  <c r="E328" i="7"/>
  <c r="E369" i="7"/>
  <c r="E320" i="7"/>
  <c r="E319" i="7"/>
  <c r="E239" i="7"/>
  <c r="E196" i="7"/>
  <c r="E174" i="7"/>
  <c r="E123" i="7"/>
  <c r="E108" i="7"/>
  <c r="D276" i="7"/>
  <c r="D318" i="7"/>
  <c r="D391" i="7"/>
  <c r="D252" i="7"/>
  <c r="D113" i="7"/>
  <c r="D343" i="7"/>
  <c r="D119" i="7"/>
  <c r="E466" i="6"/>
  <c r="E336" i="6"/>
  <c r="E391" i="7"/>
  <c r="E113" i="7"/>
  <c r="E317" i="7"/>
  <c r="D294" i="7"/>
  <c r="D438" i="7"/>
  <c r="D157" i="7"/>
  <c r="D162" i="6"/>
  <c r="D382" i="6"/>
  <c r="D238" i="6"/>
  <c r="D380" i="7"/>
  <c r="D502" i="6"/>
  <c r="D356" i="7"/>
  <c r="D340" i="7"/>
  <c r="D486" i="6"/>
  <c r="D228" i="6"/>
  <c r="D210" i="7"/>
  <c r="D499" i="6"/>
  <c r="D196" i="7"/>
  <c r="D474" i="6"/>
  <c r="D336" i="6"/>
  <c r="D178" i="6"/>
  <c r="D322" i="6"/>
  <c r="D160" i="7"/>
  <c r="D432" i="7"/>
  <c r="D335" i="6"/>
  <c r="D166" i="7"/>
  <c r="D428" i="7"/>
  <c r="D177" i="6"/>
  <c r="D159" i="7"/>
  <c r="D276" i="6"/>
  <c r="D114" i="7"/>
  <c r="D99" i="7"/>
  <c r="D245" i="7"/>
  <c r="D298" i="6"/>
  <c r="D432" i="6"/>
  <c r="D286" i="7"/>
  <c r="D393" i="7"/>
  <c r="D254" i="7"/>
  <c r="D392" i="7"/>
  <c r="D262" i="6"/>
  <c r="D118" i="6"/>
  <c r="E337" i="6"/>
  <c r="E175" i="7"/>
  <c r="E359" i="6"/>
  <c r="E197" i="7"/>
  <c r="E351" i="6"/>
  <c r="E189" i="7"/>
  <c r="E381" i="6"/>
  <c r="E219" i="7"/>
  <c r="E374" i="6"/>
  <c r="E212" i="7"/>
  <c r="E501" i="6"/>
  <c r="E216" i="6"/>
  <c r="E198" i="7"/>
  <c r="E190" i="7"/>
  <c r="E347" i="7"/>
  <c r="E208" i="6"/>
  <c r="E191" i="6"/>
  <c r="E335" i="6"/>
  <c r="E173" i="7"/>
  <c r="E154" i="6"/>
  <c r="E298" i="6"/>
  <c r="E186" i="6"/>
  <c r="E168" i="7"/>
  <c r="E460" i="6"/>
  <c r="E323" i="6"/>
  <c r="E161" i="7"/>
  <c r="E309" i="6"/>
  <c r="E298" i="7"/>
  <c r="E444" i="6"/>
  <c r="E436" i="6"/>
  <c r="E227" i="7"/>
  <c r="E290" i="7"/>
  <c r="E148" i="6"/>
  <c r="E279" i="7"/>
  <c r="E242" i="6"/>
  <c r="E224" i="7"/>
  <c r="E119" i="6"/>
  <c r="E101" i="7"/>
  <c r="E263" i="6"/>
  <c r="E398" i="6"/>
  <c r="E241" i="6"/>
  <c r="E164" i="7"/>
  <c r="E169" i="7"/>
  <c r="D295" i="7"/>
  <c r="D353" i="7"/>
  <c r="D327" i="7"/>
  <c r="D237" i="7"/>
  <c r="D173" i="7"/>
  <c r="E468" i="6"/>
  <c r="E432" i="6"/>
  <c r="E385" i="6"/>
  <c r="E245" i="6"/>
  <c r="E230" i="6"/>
  <c r="E401" i="6"/>
  <c r="E207" i="6"/>
  <c r="D214" i="6"/>
  <c r="D268" i="6"/>
  <c r="D380" i="6"/>
  <c r="D524" i="6"/>
  <c r="D516" i="6"/>
  <c r="D211" i="7"/>
  <c r="D204" i="7"/>
  <c r="D362" i="7"/>
  <c r="D500" i="6"/>
  <c r="D443" i="7"/>
  <c r="D354" i="7"/>
  <c r="D189" i="7"/>
  <c r="D207" i="6"/>
  <c r="D346" i="7"/>
  <c r="D250" i="6"/>
  <c r="D232" i="7"/>
  <c r="D377" i="6"/>
  <c r="D215" i="7"/>
  <c r="D375" i="7"/>
  <c r="D370" i="6"/>
  <c r="D367" i="7"/>
  <c r="D212" i="6"/>
  <c r="D351" i="7"/>
  <c r="D356" i="6"/>
  <c r="D431" i="7"/>
  <c r="D326" i="7"/>
  <c r="D472" i="6"/>
  <c r="D456" i="6"/>
  <c r="D310" i="7"/>
  <c r="D176" i="6"/>
  <c r="D421" i="7"/>
  <c r="D150" i="7"/>
  <c r="D415" i="7"/>
  <c r="D302" i="7"/>
  <c r="D471" i="6"/>
  <c r="D333" i="6"/>
  <c r="D189" i="6"/>
  <c r="D463" i="6"/>
  <c r="D326" i="6"/>
  <c r="D164" i="7"/>
  <c r="D426" i="7"/>
  <c r="D317" i="7"/>
  <c r="D455" i="6"/>
  <c r="D175" i="6"/>
  <c r="D301" i="7"/>
  <c r="D414" i="7"/>
  <c r="D160" i="6"/>
  <c r="D142" i="7"/>
  <c r="D293" i="7"/>
  <c r="D296" i="6"/>
  <c r="D134" i="7"/>
  <c r="D152" i="6"/>
  <c r="D421" i="6"/>
  <c r="D275" i="7"/>
  <c r="D144" i="6"/>
  <c r="D126" i="7"/>
  <c r="D130" i="6"/>
  <c r="D112" i="7"/>
  <c r="D259" i="7"/>
  <c r="D396" i="7"/>
  <c r="D243" i="7"/>
  <c r="D97" i="7"/>
  <c r="D303" i="6"/>
  <c r="D438" i="6"/>
  <c r="D226" i="7"/>
  <c r="D284" i="7"/>
  <c r="D282" i="6"/>
  <c r="D120" i="7"/>
  <c r="D401" i="7"/>
  <c r="D275" i="6"/>
  <c r="D397" i="7"/>
  <c r="D387" i="7"/>
  <c r="D98" i="7"/>
  <c r="E321" i="7"/>
  <c r="E230" i="7"/>
  <c r="E302" i="6"/>
  <c r="E437" i="6"/>
  <c r="E158" i="6"/>
  <c r="E234" i="6"/>
  <c r="E522" i="6"/>
  <c r="E371" i="6"/>
  <c r="E514" i="6"/>
  <c r="E360" i="7"/>
  <c r="E220" i="6"/>
  <c r="E498" i="6"/>
  <c r="E195" i="7"/>
  <c r="E188" i="7"/>
  <c r="E490" i="6"/>
  <c r="E180" i="6"/>
  <c r="E162" i="7"/>
  <c r="E324" i="6"/>
  <c r="E481" i="6"/>
  <c r="E342" i="6"/>
  <c r="E198" i="6"/>
  <c r="E235" i="6"/>
  <c r="E523" i="6"/>
  <c r="E228" i="6"/>
  <c r="E210" i="7"/>
  <c r="E365" i="6"/>
  <c r="E507" i="6"/>
  <c r="E251" i="6"/>
  <c r="E491" i="6"/>
  <c r="E233" i="7"/>
  <c r="E145" i="6"/>
  <c r="E422" i="6"/>
  <c r="E276" i="7"/>
  <c r="E424" i="6"/>
  <c r="E129" i="7"/>
  <c r="E482" i="6"/>
  <c r="E250" i="6"/>
  <c r="E336" i="7"/>
  <c r="E443" i="7"/>
  <c r="E406" i="7"/>
  <c r="E370" i="7"/>
  <c r="E362" i="7"/>
  <c r="E314" i="7"/>
  <c r="E287" i="7"/>
  <c r="E338" i="7"/>
  <c r="E280" i="7"/>
  <c r="E260" i="7"/>
  <c r="E204" i="7"/>
  <c r="D412" i="7"/>
  <c r="D174" i="7"/>
  <c r="D377" i="7"/>
  <c r="D311" i="7"/>
  <c r="D335" i="7"/>
  <c r="D261" i="7"/>
  <c r="D201" i="7"/>
  <c r="E469" i="6"/>
  <c r="D131" i="6"/>
  <c r="D159" i="6"/>
  <c r="D241" i="6"/>
  <c r="D513" i="6"/>
  <c r="D288" i="6"/>
  <c r="D205" i="6"/>
  <c r="E263" i="7"/>
  <c r="E339" i="7"/>
  <c r="E403" i="7"/>
  <c r="E297" i="7"/>
  <c r="E252" i="7"/>
  <c r="E424" i="7"/>
  <c r="E295" i="7"/>
  <c r="E323" i="7"/>
  <c r="E147" i="7"/>
  <c r="E354" i="7"/>
  <c r="E286" i="7"/>
  <c r="E183" i="7"/>
  <c r="E154" i="7"/>
  <c r="E136" i="7"/>
  <c r="E94" i="7"/>
  <c r="D213" i="7"/>
  <c r="D129" i="7"/>
  <c r="D448" i="7"/>
  <c r="D361" i="7"/>
  <c r="D442" i="7"/>
  <c r="D411" i="7"/>
  <c r="D269" i="7"/>
  <c r="D128" i="7"/>
  <c r="E492" i="6"/>
  <c r="E393" i="6"/>
  <c r="E179" i="6"/>
  <c r="E126" i="6"/>
  <c r="D236" i="6"/>
  <c r="D398" i="6"/>
  <c r="D416" i="6"/>
  <c r="D422" i="6"/>
  <c r="E160" i="7"/>
  <c r="E458" i="6"/>
  <c r="E312" i="7"/>
  <c r="D231" i="6"/>
  <c r="D375" i="6"/>
  <c r="D518" i="6"/>
  <c r="D353" i="6"/>
  <c r="D494" i="6"/>
  <c r="D202" i="6"/>
  <c r="D346" i="6"/>
  <c r="D372" i="6"/>
  <c r="D515" i="6"/>
  <c r="D491" i="6"/>
  <c r="D251" i="6"/>
  <c r="D480" i="6"/>
  <c r="D197" i="6"/>
  <c r="D185" i="6"/>
  <c r="D329" i="6"/>
  <c r="D170" i="6"/>
  <c r="D450" i="6"/>
  <c r="D342" i="6"/>
  <c r="D481" i="6"/>
  <c r="D198" i="6"/>
  <c r="D328" i="6"/>
  <c r="D465" i="6"/>
  <c r="D169" i="6"/>
  <c r="D449" i="6"/>
  <c r="D313" i="6"/>
  <c r="D153" i="6"/>
  <c r="D431" i="6"/>
  <c r="D146" i="6"/>
  <c r="D423" i="6"/>
  <c r="D290" i="6"/>
  <c r="D283" i="6"/>
  <c r="D415" i="6"/>
  <c r="D139" i="6"/>
  <c r="D261" i="6"/>
  <c r="D391" i="6"/>
  <c r="D239" i="6"/>
  <c r="D383" i="6"/>
  <c r="D424" i="6"/>
  <c r="D291" i="6"/>
  <c r="D284" i="6"/>
  <c r="D140" i="6"/>
  <c r="D269" i="6"/>
  <c r="D125" i="6"/>
  <c r="D255" i="6"/>
  <c r="D384" i="6"/>
  <c r="E443" i="6"/>
  <c r="E308" i="6"/>
  <c r="E380" i="6"/>
  <c r="E236" i="6"/>
  <c r="E229" i="6"/>
  <c r="E373" i="6"/>
  <c r="E485" i="6"/>
  <c r="E345" i="6"/>
  <c r="E326" i="6"/>
  <c r="E182" i="6"/>
  <c r="E367" i="6"/>
  <c r="E223" i="6"/>
  <c r="E352" i="6"/>
  <c r="E493" i="6"/>
  <c r="E306" i="6"/>
  <c r="E162" i="6"/>
  <c r="E200" i="6"/>
  <c r="E484" i="6"/>
  <c r="E344" i="6"/>
  <c r="E149" i="6"/>
  <c r="E293" i="6"/>
  <c r="E285" i="6"/>
  <c r="E417" i="6"/>
  <c r="E131" i="6"/>
  <c r="E406" i="6"/>
  <c r="E116" i="6"/>
  <c r="E390" i="6"/>
  <c r="D458" i="6"/>
  <c r="D192" i="6"/>
  <c r="D314" i="6"/>
  <c r="D297" i="6"/>
  <c r="D473" i="6"/>
  <c r="D399" i="6"/>
  <c r="D306" i="6"/>
  <c r="D235" i="6"/>
  <c r="D124" i="6"/>
  <c r="D366" i="6"/>
  <c r="D508" i="6"/>
  <c r="D222" i="6"/>
  <c r="D492" i="6"/>
  <c r="D351" i="6"/>
  <c r="D219" i="6"/>
  <c r="D505" i="6"/>
  <c r="D349" i="6"/>
  <c r="D489" i="6"/>
  <c r="D302" i="6"/>
  <c r="D437" i="6"/>
  <c r="D334" i="6"/>
  <c r="D190" i="6"/>
  <c r="D327" i="6"/>
  <c r="D464" i="6"/>
  <c r="D448" i="6"/>
  <c r="D168" i="6"/>
  <c r="D312" i="6"/>
  <c r="D440" i="6"/>
  <c r="D305" i="6"/>
  <c r="D161" i="6"/>
  <c r="D196" i="6"/>
  <c r="D340" i="6"/>
  <c r="D479" i="6"/>
  <c r="D447" i="6"/>
  <c r="D246" i="6"/>
  <c r="D413" i="6"/>
  <c r="D137" i="6"/>
  <c r="D397" i="6"/>
  <c r="D267" i="6"/>
  <c r="D115" i="6"/>
  <c r="D259" i="6"/>
  <c r="D389" i="6"/>
  <c r="D244" i="6"/>
  <c r="D430" i="6"/>
  <c r="D260" i="6"/>
  <c r="D116" i="6"/>
  <c r="E364" i="6"/>
  <c r="E506" i="6"/>
  <c r="E213" i="6"/>
  <c r="E357" i="6"/>
  <c r="E175" i="6"/>
  <c r="E319" i="6"/>
  <c r="E358" i="6"/>
  <c r="E214" i="6"/>
  <c r="E465" i="6"/>
  <c r="E328" i="6"/>
  <c r="E147" i="6"/>
  <c r="E291" i="6"/>
  <c r="E185" i="6"/>
  <c r="E329" i="6"/>
  <c r="D122" i="7"/>
  <c r="D100" i="7"/>
  <c r="D246" i="7"/>
  <c r="D417" i="7"/>
  <c r="D234" i="7"/>
  <c r="D334" i="7"/>
  <c r="D385" i="7"/>
  <c r="D152" i="7"/>
  <c r="D184" i="7"/>
  <c r="D235" i="7"/>
  <c r="D136" i="7"/>
  <c r="D364" i="7"/>
  <c r="D115" i="7"/>
  <c r="D416" i="7"/>
  <c r="D398" i="7"/>
  <c r="D303" i="7"/>
  <c r="D144" i="7"/>
  <c r="D217" i="7"/>
  <c r="D285" i="7"/>
  <c r="D253" i="7"/>
  <c r="D140" i="7"/>
  <c r="D203" i="7"/>
  <c r="D194" i="7"/>
  <c r="D208" i="7"/>
  <c r="D171" i="7"/>
  <c r="E508" i="6"/>
  <c r="E366" i="6"/>
  <c r="E260" i="6"/>
  <c r="E509" i="6"/>
  <c r="E463" i="6"/>
  <c r="E187" i="6"/>
  <c r="E476" i="6"/>
  <c r="E516" i="6"/>
  <c r="E425" i="6"/>
  <c r="E338" i="6"/>
  <c r="E256" i="6"/>
  <c r="E215" i="6"/>
  <c r="E452" i="6"/>
  <c r="E433" i="6"/>
  <c r="E409" i="6"/>
  <c r="E292" i="6"/>
  <c r="E237" i="6"/>
  <c r="E441" i="6"/>
  <c r="E426" i="6"/>
  <c r="E330" i="6"/>
  <c r="D373" i="6"/>
  <c r="D289" i="6"/>
  <c r="D320" i="6"/>
  <c r="D154" i="6"/>
  <c r="D229" i="6"/>
  <c r="D442" i="6"/>
  <c r="D133" i="6"/>
  <c r="D510" i="6"/>
  <c r="D526" i="6"/>
  <c r="D439" i="6"/>
  <c r="D281" i="6"/>
  <c r="D132" i="6"/>
  <c r="D497" i="6"/>
  <c r="D407" i="6"/>
  <c r="D233" i="6"/>
  <c r="D408" i="6"/>
  <c r="D390" i="6"/>
  <c r="D147" i="6"/>
  <c r="D379" i="6"/>
  <c r="D507" i="6"/>
  <c r="D304" i="6"/>
  <c r="D252" i="6"/>
  <c r="D226" i="6"/>
  <c r="D191" i="6"/>
  <c r="D158" i="6"/>
  <c r="D123" i="6"/>
  <c r="D262" i="7"/>
  <c r="D444" i="7"/>
  <c r="D320" i="7"/>
  <c r="D439" i="7"/>
  <c r="D446" i="7"/>
  <c r="D220" i="7"/>
  <c r="D238" i="7"/>
  <c r="D107" i="7"/>
  <c r="D296" i="7"/>
  <c r="D191" i="7"/>
  <c r="D145" i="7"/>
  <c r="D167" i="7"/>
  <c r="D382" i="7"/>
  <c r="D388" i="7"/>
  <c r="D402" i="7"/>
  <c r="D277" i="7"/>
  <c r="D151" i="7"/>
  <c r="D345" i="7"/>
  <c r="D135" i="7"/>
  <c r="D93" i="7"/>
  <c r="E316" i="6"/>
  <c r="E525" i="6"/>
  <c r="E500" i="6"/>
  <c r="E141" i="6"/>
  <c r="E475" i="6"/>
  <c r="E165" i="6"/>
  <c r="E299" i="6"/>
  <c r="E473" i="6"/>
  <c r="E275" i="6"/>
  <c r="E164" i="6"/>
  <c r="D138" i="6"/>
  <c r="D111" i="6"/>
  <c r="D414" i="6"/>
  <c r="D341" i="6"/>
  <c r="D215" i="6"/>
  <c r="D392" i="6"/>
  <c r="D307" i="6"/>
  <c r="D482" i="6"/>
  <c r="D359" i="6"/>
  <c r="D406" i="6"/>
  <c r="D209" i="6"/>
  <c r="D183" i="6"/>
  <c r="D457" i="6"/>
  <c r="D363" i="6"/>
  <c r="D429" i="6"/>
  <c r="D358" i="6"/>
  <c r="D521" i="6"/>
  <c r="D405" i="6"/>
  <c r="D274" i="6"/>
  <c r="D365" i="6"/>
  <c r="D184" i="6"/>
  <c r="E22" i="7"/>
  <c r="E20" i="6"/>
  <c r="D19" i="7"/>
  <c r="E57" i="7"/>
  <c r="D90" i="6"/>
  <c r="D75" i="7"/>
  <c r="D17" i="6"/>
  <c r="D39" i="6"/>
  <c r="D39" i="7"/>
  <c r="D109" i="6"/>
  <c r="D35" i="7"/>
  <c r="D63" i="7"/>
  <c r="D54" i="6"/>
  <c r="D4" i="7"/>
  <c r="D78" i="6"/>
  <c r="D76" i="6"/>
  <c r="D58" i="7"/>
  <c r="D42" i="7"/>
  <c r="E55" i="6"/>
  <c r="D92" i="6"/>
  <c r="D19" i="6"/>
  <c r="E93" i="6"/>
  <c r="E86" i="7"/>
  <c r="D45" i="6"/>
  <c r="D79" i="7"/>
  <c r="D57" i="6"/>
  <c r="D86" i="7"/>
  <c r="D72" i="7"/>
  <c r="D91" i="7"/>
  <c r="E29" i="6"/>
  <c r="E90" i="7"/>
  <c r="E53" i="6"/>
  <c r="E82" i="7"/>
  <c r="E37" i="6"/>
  <c r="E78" i="7"/>
  <c r="D30" i="6"/>
  <c r="D89" i="7"/>
  <c r="D51" i="7"/>
  <c r="D81" i="7"/>
  <c r="D70" i="6"/>
  <c r="D92" i="7"/>
  <c r="D37" i="6"/>
  <c r="D78" i="7"/>
  <c r="E45" i="6"/>
  <c r="E79" i="7"/>
  <c r="D89" i="6"/>
  <c r="D82" i="7"/>
  <c r="E100" i="6"/>
  <c r="E88" i="7"/>
  <c r="E32" i="7"/>
  <c r="E91" i="7"/>
  <c r="E17" i="6"/>
  <c r="E83" i="7"/>
  <c r="E22" i="6"/>
  <c r="E87" i="7"/>
  <c r="E9" i="7"/>
  <c r="E80" i="7"/>
  <c r="D18" i="6"/>
  <c r="D84" i="7"/>
  <c r="D47" i="7"/>
  <c r="D80" i="7"/>
  <c r="E107" i="6"/>
  <c r="E92" i="7"/>
  <c r="D3" i="7"/>
  <c r="D59" i="7"/>
  <c r="D33" i="6"/>
  <c r="D73" i="7"/>
  <c r="D33" i="7"/>
  <c r="D69" i="6"/>
  <c r="D51" i="6"/>
  <c r="D27" i="7"/>
  <c r="D53" i="7"/>
  <c r="D21" i="6"/>
  <c r="D3" i="6"/>
  <c r="D20" i="6"/>
  <c r="D64" i="6"/>
  <c r="D46" i="6"/>
  <c r="E66" i="7"/>
  <c r="D37" i="7"/>
  <c r="D68" i="7"/>
  <c r="D40" i="7"/>
  <c r="D16" i="7"/>
  <c r="D28" i="6"/>
  <c r="D5" i="7"/>
  <c r="D18" i="7"/>
  <c r="D5" i="6"/>
  <c r="D61" i="7"/>
  <c r="D24" i="7"/>
  <c r="D64" i="7"/>
  <c r="D61" i="6"/>
  <c r="E5" i="7"/>
  <c r="E94" i="6"/>
  <c r="D23" i="6"/>
  <c r="E31" i="7"/>
  <c r="D23" i="7"/>
  <c r="E33" i="7"/>
  <c r="D103" i="6"/>
  <c r="D82" i="6"/>
  <c r="D14" i="7"/>
  <c r="E28" i="7"/>
  <c r="E41" i="7"/>
  <c r="D93" i="6"/>
  <c r="D94" i="6"/>
  <c r="D87" i="6"/>
  <c r="D80" i="6"/>
  <c r="E61" i="6"/>
  <c r="D46" i="7"/>
  <c r="D21" i="7"/>
  <c r="D20" i="7"/>
  <c r="E71" i="7"/>
  <c r="E31" i="6"/>
  <c r="D106" i="6"/>
  <c r="D40" i="6"/>
  <c r="E75" i="6"/>
  <c r="D50" i="7"/>
  <c r="D12" i="6"/>
  <c r="D12" i="7"/>
  <c r="E11" i="7"/>
  <c r="D49" i="6"/>
  <c r="D55" i="6"/>
  <c r="D108" i="6"/>
  <c r="D16" i="6"/>
  <c r="D11" i="7"/>
  <c r="D10" i="7"/>
  <c r="E55" i="7"/>
  <c r="D53" i="6"/>
  <c r="D77" i="6"/>
  <c r="D22" i="6"/>
  <c r="D86" i="6"/>
  <c r="D59" i="6"/>
  <c r="D52" i="6"/>
  <c r="E68" i="6"/>
  <c r="D95" i="6"/>
  <c r="D55" i="7"/>
  <c r="D71" i="7"/>
  <c r="E16" i="7"/>
  <c r="E21" i="7"/>
  <c r="D71" i="6"/>
  <c r="E83" i="6"/>
  <c r="D91" i="6"/>
  <c r="E54" i="7"/>
  <c r="D58" i="6"/>
  <c r="E84" i="6"/>
  <c r="E6" i="7"/>
  <c r="D85" i="6"/>
  <c r="D67" i="6"/>
  <c r="E97" i="6"/>
  <c r="E105" i="6"/>
  <c r="E12" i="6"/>
  <c r="D70" i="7"/>
  <c r="D26" i="7"/>
  <c r="E52" i="7"/>
  <c r="D60" i="6"/>
  <c r="D38" i="7"/>
  <c r="D30" i="7"/>
  <c r="E62" i="6"/>
  <c r="E51" i="7"/>
  <c r="E101" i="6"/>
  <c r="E16" i="6"/>
  <c r="E85" i="6"/>
  <c r="E27" i="7"/>
  <c r="E9" i="6"/>
  <c r="E34" i="6"/>
  <c r="E46" i="6"/>
  <c r="D88" i="6"/>
  <c r="E41" i="6"/>
  <c r="E67" i="6"/>
  <c r="E30" i="7"/>
  <c r="E70" i="7"/>
  <c r="E19" i="7"/>
  <c r="D10" i="6"/>
  <c r="E35" i="6"/>
  <c r="E21" i="6"/>
  <c r="D62" i="6"/>
  <c r="E28" i="6"/>
  <c r="D31" i="6"/>
  <c r="D63" i="6"/>
  <c r="E63" i="7"/>
  <c r="E76" i="7"/>
  <c r="E47" i="7"/>
  <c r="E36" i="6"/>
  <c r="D65" i="7"/>
  <c r="E56" i="7"/>
  <c r="E17" i="7"/>
  <c r="E75" i="7"/>
  <c r="E47" i="6"/>
  <c r="E72" i="6"/>
  <c r="D105" i="6"/>
  <c r="D26" i="6"/>
  <c r="E96" i="6"/>
  <c r="E40" i="6"/>
  <c r="E15" i="6"/>
  <c r="E56" i="6"/>
  <c r="E58" i="6"/>
  <c r="D99" i="6"/>
  <c r="E42" i="7"/>
  <c r="E108" i="6"/>
  <c r="E60" i="6"/>
  <c r="E64" i="7"/>
  <c r="E30" i="6"/>
  <c r="E49" i="6"/>
  <c r="E49" i="7"/>
  <c r="E59" i="7"/>
  <c r="E32" i="6"/>
  <c r="E98" i="6"/>
  <c r="E4" i="6"/>
  <c r="E70" i="6"/>
  <c r="E74" i="7"/>
  <c r="E51" i="6"/>
  <c r="E24" i="7"/>
  <c r="E90" i="6"/>
  <c r="D57" i="7"/>
  <c r="D104" i="6"/>
  <c r="D38" i="6"/>
  <c r="E43" i="6"/>
  <c r="E81" i="6"/>
  <c r="E15" i="7"/>
  <c r="E14" i="6"/>
  <c r="E80" i="6"/>
  <c r="E25" i="6"/>
  <c r="E52" i="6"/>
  <c r="E5" i="6"/>
  <c r="E71" i="6"/>
  <c r="D69" i="7"/>
  <c r="D65" i="6"/>
  <c r="D9" i="7"/>
  <c r="D43" i="7"/>
  <c r="D25" i="6"/>
  <c r="E46" i="7"/>
  <c r="E53" i="7"/>
  <c r="E35" i="7"/>
  <c r="E102" i="6"/>
  <c r="W1" i="7"/>
  <c r="D29" i="6"/>
  <c r="E38" i="7"/>
  <c r="E104" i="6"/>
  <c r="D73" i="6"/>
  <c r="D7" i="7"/>
  <c r="E39" i="6"/>
  <c r="E44" i="7"/>
  <c r="D75" i="6"/>
  <c r="E44" i="6"/>
  <c r="D29" i="7"/>
  <c r="D9" i="6"/>
  <c r="D43" i="6"/>
  <c r="E38" i="6"/>
  <c r="D77" i="7"/>
  <c r="E39" i="7"/>
  <c r="E23" i="6"/>
  <c r="D31" i="7"/>
  <c r="D45" i="7"/>
  <c r="E72" i="7"/>
  <c r="E36" i="7"/>
  <c r="E45" i="7"/>
  <c r="E14" i="7"/>
  <c r="E50" i="7"/>
  <c r="D74" i="6"/>
  <c r="D68" i="6"/>
  <c r="E73" i="6"/>
  <c r="E59" i="6"/>
  <c r="E73" i="7"/>
  <c r="E18" i="7"/>
  <c r="E79" i="6"/>
  <c r="D97" i="6"/>
  <c r="D66" i="7"/>
  <c r="D8" i="6"/>
  <c r="D101" i="6"/>
  <c r="E65" i="6"/>
  <c r="E50" i="6"/>
  <c r="E18" i="6"/>
  <c r="E69" i="6"/>
  <c r="E13" i="7"/>
  <c r="E7" i="6"/>
  <c r="D36" i="6"/>
  <c r="E3" i="6"/>
  <c r="E69" i="7"/>
  <c r="E77" i="7"/>
  <c r="D48" i="7"/>
  <c r="D8" i="7"/>
  <c r="D79" i="6"/>
  <c r="D48" i="6"/>
  <c r="D13" i="7"/>
  <c r="D13" i="6"/>
  <c r="D102" i="6"/>
  <c r="D100" i="6"/>
  <c r="E91" i="6"/>
  <c r="D107" i="6"/>
  <c r="E42" i="6"/>
  <c r="D56" i="7"/>
  <c r="D41" i="6"/>
  <c r="D83" i="6"/>
  <c r="D56" i="6"/>
  <c r="D17" i="7"/>
  <c r="D49" i="7"/>
  <c r="D52" i="7"/>
  <c r="E95" i="6"/>
  <c r="E25" i="7"/>
  <c r="D98" i="6"/>
  <c r="E86" i="6"/>
  <c r="E20" i="7"/>
  <c r="E58" i="7"/>
  <c r="E29" i="7"/>
  <c r="D34" i="6"/>
  <c r="E82" i="6"/>
  <c r="E19" i="6"/>
  <c r="D15" i="7"/>
  <c r="D67" i="7"/>
  <c r="D32" i="6"/>
  <c r="D6" i="6"/>
  <c r="E76" i="6"/>
  <c r="D32" i="7"/>
  <c r="E37" i="7"/>
  <c r="E65" i="7"/>
  <c r="E26" i="7"/>
  <c r="D15" i="6"/>
  <c r="D72" i="6"/>
  <c r="E92" i="6"/>
  <c r="D76" i="7"/>
  <c r="D6" i="7"/>
  <c r="D81" i="6"/>
  <c r="D44" i="6"/>
  <c r="D62" i="7"/>
  <c r="D34" i="7"/>
  <c r="D110" i="6"/>
  <c r="E40" i="7"/>
  <c r="E106" i="6"/>
  <c r="E103" i="6"/>
  <c r="E10" i="7"/>
  <c r="E26" i="6"/>
  <c r="E48" i="7"/>
  <c r="E10" i="6"/>
  <c r="BB9" i="4"/>
  <c r="BC9" i="4" s="1"/>
  <c r="AN9" i="4"/>
  <c r="AR9" i="4" s="1"/>
  <c r="BB13" i="4"/>
  <c r="BC13" i="4" s="1"/>
  <c r="AN13" i="4"/>
  <c r="AR13" i="4" s="1"/>
  <c r="BB5" i="4"/>
  <c r="BC5" i="4" s="1"/>
  <c r="AN5" i="4"/>
  <c r="AR5" i="4" s="1"/>
  <c r="E23" i="7"/>
  <c r="E74" i="6"/>
  <c r="E89" i="6"/>
  <c r="AN17" i="4"/>
  <c r="AR17" i="4" s="1"/>
  <c r="BB17" i="4"/>
  <c r="BC17" i="4" s="1"/>
  <c r="E60" i="7"/>
  <c r="E57" i="6"/>
  <c r="AN6" i="4"/>
  <c r="AR6" i="4" s="1"/>
  <c r="AW6" i="4"/>
  <c r="BB6" i="4"/>
  <c r="BC6" i="4" s="1"/>
  <c r="BB16" i="4"/>
  <c r="BC16" i="4" s="1"/>
  <c r="AN16" i="4"/>
  <c r="AR16" i="4" s="1"/>
  <c r="AW16" i="4"/>
  <c r="E8" i="7"/>
  <c r="E64" i="6"/>
  <c r="AN7" i="4"/>
  <c r="AR7" i="4" s="1"/>
  <c r="AW7" i="4"/>
  <c r="BB7" i="4"/>
  <c r="BC7" i="4" s="1"/>
  <c r="AW17" i="4"/>
  <c r="AE1" i="4"/>
  <c r="AI3" i="4"/>
  <c r="E12" i="7"/>
  <c r="BB12" i="4"/>
  <c r="BC12" i="4" s="1"/>
  <c r="AN12" i="4"/>
  <c r="AR12" i="4" s="1"/>
  <c r="E8" i="6"/>
  <c r="E78" i="6"/>
  <c r="E77" i="6"/>
  <c r="E11" i="6"/>
  <c r="BB8" i="4"/>
  <c r="BC8" i="4" s="1"/>
  <c r="AN8" i="4"/>
  <c r="AR8" i="4" s="1"/>
  <c r="E67" i="7"/>
  <c r="E63" i="6"/>
  <c r="E33" i="6"/>
  <c r="E99" i="6"/>
  <c r="AN11" i="4"/>
  <c r="AR11" i="4" s="1"/>
  <c r="BB11" i="4"/>
  <c r="BC11" i="4" s="1"/>
  <c r="AW11" i="4"/>
  <c r="AN14" i="4"/>
  <c r="AR14" i="4" s="1"/>
  <c r="BB14" i="4"/>
  <c r="BC14" i="4" s="1"/>
  <c r="AW14" i="4"/>
  <c r="AN4" i="4"/>
  <c r="AR4" i="4" s="1"/>
  <c r="BB4" i="4"/>
  <c r="BC4" i="4" s="1"/>
  <c r="AN10" i="4"/>
  <c r="AR10" i="4" s="1"/>
  <c r="BB10" i="4"/>
  <c r="BC10" i="4" s="1"/>
  <c r="AW10" i="4"/>
  <c r="AN3" i="4" l="1"/>
  <c r="AR3" i="4" s="1"/>
  <c r="AL1" i="4"/>
  <c r="BB3" i="4"/>
  <c r="AW3" i="4"/>
  <c r="BB1" i="4" l="1"/>
  <c r="BC3" i="4"/>
  <c r="BC1" i="4" s="1"/>
  <c r="H185" i="5" l="1"/>
</calcChain>
</file>

<file path=xl/sharedStrings.xml><?xml version="1.0" encoding="utf-8"?>
<sst xmlns="http://schemas.openxmlformats.org/spreadsheetml/2006/main" count="30607" uniqueCount="1306">
  <si>
    <t>Sr No</t>
  </si>
  <si>
    <t>Particulars</t>
  </si>
  <si>
    <t>Each Region will have a unique Area Name, OLT ID &amp; Cluster ID.</t>
  </si>
  <si>
    <t>Every FAT/OLD/FDC/JC will have a unique ID.</t>
  </si>
  <si>
    <t>Each entity as mentioned in above pt, will have a separate row &amp; respective entry in the tracker</t>
  </si>
  <si>
    <t>Item Name</t>
  </si>
  <si>
    <t>Kindly refer Terminologies sheet for model understanding. Alternatively you can also use respective SLDs for the same</t>
  </si>
  <si>
    <t>FDC</t>
  </si>
  <si>
    <t>For filling the trackers, regional teams will have to fill cells where Headings are not highlighted.</t>
  </si>
  <si>
    <t>FAT Box</t>
  </si>
  <si>
    <t>Central Team will be filling data for cells where Headings are highlighted in Yellow</t>
  </si>
  <si>
    <t>Duct</t>
  </si>
  <si>
    <t>Kindly do not fill any cell where headings are highlighted in Green.</t>
  </si>
  <si>
    <t>Primary Splitter</t>
  </si>
  <si>
    <t>For all FAT/FDC there will be an entry of separate row in "Node Details" sheet.</t>
  </si>
  <si>
    <t>Any extension of current path,route will be treated as a new route.</t>
  </si>
  <si>
    <t>Any new branch getting deployed from same common FAT/FDC which is not part of existing route shall be treated as a New Route.</t>
  </si>
  <si>
    <t>Fiber Material &amp; Fiber Execution service details are to be entered in "Route Details" &amp; "Node Details" sheet only.</t>
  </si>
  <si>
    <t>Tracker has to be filled all routes that are RFS/Deployed irrespective of Sign-off.</t>
  </si>
  <si>
    <t>Billing start date will be HOTO date, when penetration % is &gt;=50%</t>
  </si>
  <si>
    <t>Secondary Splitter</t>
  </si>
  <si>
    <t>Kindly enter date in DD_MMM_YYYY format for all columns where date has to be entered.</t>
  </si>
  <si>
    <t>Pigtail</t>
  </si>
  <si>
    <t>Kindly do not alter format of the sheet, i.e add or delete rows/columns or do any formatting changes.</t>
  </si>
  <si>
    <t>Patch Cords</t>
  </si>
  <si>
    <t>Tiffin Box</t>
  </si>
  <si>
    <t>FMS</t>
  </si>
  <si>
    <t>Unique Route ID</t>
  </si>
  <si>
    <t>FDC/FAT Unique ID (Start Point)</t>
  </si>
  <si>
    <t>Start point Latlong</t>
  </si>
  <si>
    <t>FDC/FAT Unique ID (End Point)</t>
  </si>
  <si>
    <t>End point Latlong</t>
  </si>
  <si>
    <t>Customer</t>
  </si>
  <si>
    <t>Area Name</t>
  </si>
  <si>
    <t>City</t>
  </si>
  <si>
    <t>Telecom Circle</t>
  </si>
  <si>
    <t>State</t>
  </si>
  <si>
    <t>OLT ID</t>
  </si>
  <si>
    <t>Cluster ID</t>
  </si>
  <si>
    <t>Online AT Date (Delivered)</t>
  </si>
  <si>
    <t>Online AT Length (Delivered)</t>
  </si>
  <si>
    <t>HOTO Date</t>
  </si>
  <si>
    <t>HOTO Signoff Date</t>
  </si>
  <si>
    <t>Start Date (Date from which we can bill)</t>
  </si>
  <si>
    <t>Lock-in Period</t>
  </si>
  <si>
    <t>Surrender Date</t>
  </si>
  <si>
    <t>Fresh Delivery/Renewal</t>
  </si>
  <si>
    <t>Fiber Capacity</t>
  </si>
  <si>
    <t>OTDR length (in meters)</t>
  </si>
  <si>
    <t>Customer Billable length (in meters)</t>
  </si>
  <si>
    <t>Customer PO no</t>
  </si>
  <si>
    <t>PO length</t>
  </si>
  <si>
    <t>PO Date</t>
  </si>
  <si>
    <t>PO Rate</t>
  </si>
  <si>
    <t>Fiber length deployed/used (in meters)</t>
  </si>
  <si>
    <t>Fiber Type</t>
  </si>
  <si>
    <t>Fiber Rate per meter (incl Freight)</t>
  </si>
  <si>
    <t>Fiber Material Cost</t>
  </si>
  <si>
    <t>Execution Vendor Name</t>
  </si>
  <si>
    <t>Vendor Billable Length (Fiber laying)</t>
  </si>
  <si>
    <t>Fiber Laying Rate</t>
  </si>
  <si>
    <t>Fiber Laying/Execution Cost</t>
  </si>
  <si>
    <t>OTM Length</t>
  </si>
  <si>
    <t>OTM Execution Rate</t>
  </si>
  <si>
    <t>OTM Cost</t>
  </si>
  <si>
    <t>Total Vendor Cost</t>
  </si>
  <si>
    <t>Vendor PO No</t>
  </si>
  <si>
    <t>Vendor PO Date</t>
  </si>
  <si>
    <t>Vendor PO Rate</t>
  </si>
  <si>
    <t>Vendor PO Cost</t>
  </si>
  <si>
    <t>Vendor Invoice No</t>
  </si>
  <si>
    <t>Vendor Invoice Date</t>
  </si>
  <si>
    <t>Vendor Invoice Rate</t>
  </si>
  <si>
    <t>Vendor Invoiced length</t>
  </si>
  <si>
    <t>Invoice Amt</t>
  </si>
  <si>
    <t>Route no</t>
  </si>
  <si>
    <t>Remark</t>
  </si>
  <si>
    <t>Remark2</t>
  </si>
  <si>
    <t>000000AXZ-0000AXZ01</t>
  </si>
  <si>
    <t>AXZ</t>
  </si>
  <si>
    <t>AXZ01</t>
  </si>
  <si>
    <t>Airtel</t>
  </si>
  <si>
    <t>DARIA</t>
  </si>
  <si>
    <t>Chandigarh</t>
  </si>
  <si>
    <t>Punjab</t>
  </si>
  <si>
    <t>Fresh</t>
  </si>
  <si>
    <t>24F</t>
  </si>
  <si>
    <t xml:space="preserve">PO awaited </t>
  </si>
  <si>
    <t>UA</t>
  </si>
  <si>
    <t>DROR Services Private Limited</t>
  </si>
  <si>
    <t>ET-PO-PUN-2604-0017</t>
  </si>
  <si>
    <t>DSHR/2026-27/131</t>
  </si>
  <si>
    <t>R-1</t>
  </si>
  <si>
    <t>FY 2025-26 H2 Data</t>
  </si>
  <si>
    <t>000000AXZ-0000AXZ03</t>
  </si>
  <si>
    <t>AXZ03</t>
  </si>
  <si>
    <t>R-2</t>
  </si>
  <si>
    <t>0000AXZ01-AXZ010101</t>
  </si>
  <si>
    <t>AXZ010101</t>
  </si>
  <si>
    <t>12F</t>
  </si>
  <si>
    <t>R-3</t>
  </si>
  <si>
    <t>0000AXZ01-AXZ010102</t>
  </si>
  <si>
    <t xml:space="preserve">AXZ01 </t>
  </si>
  <si>
    <t>AXZ010102</t>
  </si>
  <si>
    <t>R-4</t>
  </si>
  <si>
    <t>0000AXZ01-AXZ010105</t>
  </si>
  <si>
    <t>AXZ010105</t>
  </si>
  <si>
    <t>R-5</t>
  </si>
  <si>
    <t>0000AXZ01-AXZ010202</t>
  </si>
  <si>
    <t>AXZ010202</t>
  </si>
  <si>
    <t>R-6</t>
  </si>
  <si>
    <t>0000AXZ02-AXZ020101</t>
  </si>
  <si>
    <t>AXZ02</t>
  </si>
  <si>
    <t>AXZ020101</t>
  </si>
  <si>
    <t>R-7</t>
  </si>
  <si>
    <t>0000AXZ02-AXZ020103</t>
  </si>
  <si>
    <t>AXZ020103</t>
  </si>
  <si>
    <t>R-8</t>
  </si>
  <si>
    <t>0000AXZ02-AXZ020203</t>
  </si>
  <si>
    <t>AXZ020203</t>
  </si>
  <si>
    <t>R-9</t>
  </si>
  <si>
    <t>0000AXZ03-AXZ030101</t>
  </si>
  <si>
    <t>AXZ030101</t>
  </si>
  <si>
    <t>R-10</t>
  </si>
  <si>
    <t>0000AXZ03-AXZ030102</t>
  </si>
  <si>
    <t>AXZ030102</t>
  </si>
  <si>
    <t>R-11</t>
  </si>
  <si>
    <t>0000AXZ03-AXZ030104</t>
  </si>
  <si>
    <t>AXZ030104</t>
  </si>
  <si>
    <t>R-12</t>
  </si>
  <si>
    <t>AXZ030104-AXZ030106</t>
  </si>
  <si>
    <t>AXZ030106</t>
  </si>
  <si>
    <t>R-15</t>
  </si>
  <si>
    <t>0000AXZ03-AXZ030201</t>
  </si>
  <si>
    <t>AXZ030201</t>
  </si>
  <si>
    <t>R-13</t>
  </si>
  <si>
    <t>AXZ030201-AXZ030205</t>
  </si>
  <si>
    <t>AXZ030205</t>
  </si>
  <si>
    <t>R-14</t>
  </si>
  <si>
    <t>000000AXY-0000AXY12</t>
  </si>
  <si>
    <t>AXY</t>
  </si>
  <si>
    <t>AXY12</t>
  </si>
  <si>
    <t>48F</t>
  </si>
  <si>
    <t>ET-PO-PUN-2604-0016</t>
  </si>
  <si>
    <t>Invoice Awaited</t>
  </si>
  <si>
    <t>Consumption and RFS done in March 2026 but signoff done in April 2026</t>
  </si>
  <si>
    <t>000000AXY-0000AXY17</t>
  </si>
  <si>
    <t>AXY17</t>
  </si>
  <si>
    <t>000000AXY-0000AXY01</t>
  </si>
  <si>
    <t>AXY01</t>
  </si>
  <si>
    <t>0000AXY04-0000AXY05</t>
  </si>
  <si>
    <t>AXY04</t>
  </si>
  <si>
    <t>AXY05</t>
  </si>
  <si>
    <t>0000AXY02-0000AXY03</t>
  </si>
  <si>
    <t>AXY02</t>
  </si>
  <si>
    <t>AXY03</t>
  </si>
  <si>
    <t>0000AXY01-AXY010101</t>
  </si>
  <si>
    <t>AXY010101</t>
  </si>
  <si>
    <t>0000AXY01-AXY010104</t>
  </si>
  <si>
    <t xml:space="preserve">AXY01 </t>
  </si>
  <si>
    <t>AXY010104</t>
  </si>
  <si>
    <t>0000AXY01-AXY010102</t>
  </si>
  <si>
    <t>AXY010102</t>
  </si>
  <si>
    <t>0000AXY03-AXY030101</t>
  </si>
  <si>
    <t>AXY030101</t>
  </si>
  <si>
    <t>0000AXY03-AXY030104</t>
  </si>
  <si>
    <t>AXY030104</t>
  </si>
  <si>
    <t>AXY030103-AXY030105</t>
  </si>
  <si>
    <t>AXY030103</t>
  </si>
  <si>
    <t>AXY030105</t>
  </si>
  <si>
    <t>0000AXY03-AXY030108</t>
  </si>
  <si>
    <t xml:space="preserve">AXY03  </t>
  </si>
  <si>
    <t>AXY030108</t>
  </si>
  <si>
    <t>AXY030107-AXY030201</t>
  </si>
  <si>
    <t>AXY030107</t>
  </si>
  <si>
    <t>AXY030201</t>
  </si>
  <si>
    <t>AXY030201-AXY030204</t>
  </si>
  <si>
    <t>AXY030204</t>
  </si>
  <si>
    <t>0000AXY04-AXY040101</t>
  </si>
  <si>
    <t>AXY040101</t>
  </si>
  <si>
    <t>0000AXY04-00AXY-FMS</t>
  </si>
  <si>
    <t>AXY-FMS</t>
  </si>
  <si>
    <t>R-16</t>
  </si>
  <si>
    <t>00AXY-FMS-AXY040108</t>
  </si>
  <si>
    <t>AXY040108</t>
  </si>
  <si>
    <t>R-17</t>
  </si>
  <si>
    <t>0000AXY04-AXY040201</t>
  </si>
  <si>
    <t>AXY040201</t>
  </si>
  <si>
    <t>R-18</t>
  </si>
  <si>
    <t>AXY040201-AXY040204</t>
  </si>
  <si>
    <t xml:space="preserve">AXY040201  </t>
  </si>
  <si>
    <t>AXY040204</t>
  </si>
  <si>
    <t>R-19</t>
  </si>
  <si>
    <t>0000AXY05-AXY050101</t>
  </si>
  <si>
    <t>AXY050101</t>
  </si>
  <si>
    <t>R-20</t>
  </si>
  <si>
    <t>0000AXY5 -AXY050104</t>
  </si>
  <si>
    <t xml:space="preserve">AXY5 </t>
  </si>
  <si>
    <t>AXY050104</t>
  </si>
  <si>
    <t>R-21</t>
  </si>
  <si>
    <t>0000AXY05-AXY050107</t>
  </si>
  <si>
    <t>AXY050107</t>
  </si>
  <si>
    <t>R-22</t>
  </si>
  <si>
    <t>AXY050105-AXY050202</t>
  </si>
  <si>
    <t>AXY050105</t>
  </si>
  <si>
    <t>AXY050202</t>
  </si>
  <si>
    <t>R-23</t>
  </si>
  <si>
    <t>0000AXY06-AXY060102</t>
  </si>
  <si>
    <t>AXY06</t>
  </si>
  <si>
    <t>AXY060102</t>
  </si>
  <si>
    <t>R-24</t>
  </si>
  <si>
    <t>0000AXY06-AXY060105</t>
  </si>
  <si>
    <t>AXY060105</t>
  </si>
  <si>
    <t>R-25</t>
  </si>
  <si>
    <t>0000AXY06-AXY060201</t>
  </si>
  <si>
    <t>AXY060201</t>
  </si>
  <si>
    <t>R-26</t>
  </si>
  <si>
    <t>0000AXY07-AXY070101</t>
  </si>
  <si>
    <t>AXY07</t>
  </si>
  <si>
    <t>AXY070101</t>
  </si>
  <si>
    <t>R-27</t>
  </si>
  <si>
    <t>0000AXY07-AXY070102</t>
  </si>
  <si>
    <t>AXY070102</t>
  </si>
  <si>
    <t>R-28</t>
  </si>
  <si>
    <t>0000AXY07-AXY070105</t>
  </si>
  <si>
    <t xml:space="preserve">AXY07  </t>
  </si>
  <si>
    <t>AXY070105</t>
  </si>
  <si>
    <t>R-29</t>
  </si>
  <si>
    <t>0000AXY08-AXY080105</t>
  </si>
  <si>
    <t xml:space="preserve">AXY08  </t>
  </si>
  <si>
    <t>AXY080105</t>
  </si>
  <si>
    <t>R-30</t>
  </si>
  <si>
    <t>0000AXY08-AXY080106</t>
  </si>
  <si>
    <t>AXY080106</t>
  </si>
  <si>
    <t>R-31</t>
  </si>
  <si>
    <t>0000AXY08-AXY080104</t>
  </si>
  <si>
    <t>AXY080104</t>
  </si>
  <si>
    <t>R-32</t>
  </si>
  <si>
    <t>0000AXY08-AXY080103</t>
  </si>
  <si>
    <t>AXY080103</t>
  </si>
  <si>
    <t>R-33</t>
  </si>
  <si>
    <t>AXY080106-AXY080203</t>
  </si>
  <si>
    <t xml:space="preserve">AXY080106  </t>
  </si>
  <si>
    <t>AXY080203</t>
  </si>
  <si>
    <t>R-34</t>
  </si>
  <si>
    <t>AXY080106-AXY080201</t>
  </si>
  <si>
    <t>AXY080201</t>
  </si>
  <si>
    <t>R-35</t>
  </si>
  <si>
    <t>0000AXY09-AXY090201</t>
  </si>
  <si>
    <t xml:space="preserve">AXY09 </t>
  </si>
  <si>
    <t>AXY090201</t>
  </si>
  <si>
    <t>R-36</t>
  </si>
  <si>
    <t>0000AXY09-AXY090101</t>
  </si>
  <si>
    <t xml:space="preserve">AXY09  </t>
  </si>
  <si>
    <t>AXY090101</t>
  </si>
  <si>
    <t>R-37</t>
  </si>
  <si>
    <t>0000AXY09-AXY090105</t>
  </si>
  <si>
    <t>AXY090105</t>
  </si>
  <si>
    <t>R-38</t>
  </si>
  <si>
    <t>AXY090201-AXY090204</t>
  </si>
  <si>
    <t xml:space="preserve">AXY090201  </t>
  </si>
  <si>
    <t>AXY090204</t>
  </si>
  <si>
    <t>R-39</t>
  </si>
  <si>
    <t>0000AXY10-AXY100104</t>
  </si>
  <si>
    <t xml:space="preserve">AXY10  </t>
  </si>
  <si>
    <t>AXY100104</t>
  </si>
  <si>
    <t>R-40</t>
  </si>
  <si>
    <t>0000AXY10-AXY100105</t>
  </si>
  <si>
    <t xml:space="preserve">AXY10 </t>
  </si>
  <si>
    <t>AXY100105</t>
  </si>
  <si>
    <t>R-41</t>
  </si>
  <si>
    <t>AXY100106-AXY100201</t>
  </si>
  <si>
    <t xml:space="preserve">AXY100106  </t>
  </si>
  <si>
    <t>AXY100201</t>
  </si>
  <si>
    <t>R-42</t>
  </si>
  <si>
    <t>0000AXY11-AXY110102</t>
  </si>
  <si>
    <t xml:space="preserve">AXY11  </t>
  </si>
  <si>
    <t>AXY110102</t>
  </si>
  <si>
    <t>R-43</t>
  </si>
  <si>
    <t>0000AXY11-AXY110107</t>
  </si>
  <si>
    <t>AXY110107</t>
  </si>
  <si>
    <t>R-44</t>
  </si>
  <si>
    <t>AXY110103-AXY110106</t>
  </si>
  <si>
    <t xml:space="preserve">AXY110103 </t>
  </si>
  <si>
    <t>AXY110106</t>
  </si>
  <si>
    <t>R-45</t>
  </si>
  <si>
    <t>AXY110107-AXY110202</t>
  </si>
  <si>
    <t>AXY110202</t>
  </si>
  <si>
    <t>R-46</t>
  </si>
  <si>
    <t>AXY110108-AXY110201</t>
  </si>
  <si>
    <t xml:space="preserve">AXY110108  </t>
  </si>
  <si>
    <t>AXY110201</t>
  </si>
  <si>
    <t>R-47</t>
  </si>
  <si>
    <t>0000AXY12-AXY120101</t>
  </si>
  <si>
    <t xml:space="preserve">AXY12 </t>
  </si>
  <si>
    <t>AXY120101</t>
  </si>
  <si>
    <t>R-48</t>
  </si>
  <si>
    <t>0000AXY12-AXY120102</t>
  </si>
  <si>
    <t xml:space="preserve">AXY12  </t>
  </si>
  <si>
    <t>AXY120102</t>
  </si>
  <si>
    <t>R-49</t>
  </si>
  <si>
    <t>0000AXY12-AXY120105</t>
  </si>
  <si>
    <t>AXY120105</t>
  </si>
  <si>
    <t>R-50</t>
  </si>
  <si>
    <t>0000AXY13-AXY130101</t>
  </si>
  <si>
    <t xml:space="preserve">AXY13  </t>
  </si>
  <si>
    <t>AXY130101</t>
  </si>
  <si>
    <t>R-51</t>
  </si>
  <si>
    <t>0000AXY13-AXY130104</t>
  </si>
  <si>
    <t>AXY130104</t>
  </si>
  <si>
    <t>R-52</t>
  </si>
  <si>
    <t>0000AXY13-AXY130108</t>
  </si>
  <si>
    <t>AXY130108</t>
  </si>
  <si>
    <t>R-53</t>
  </si>
  <si>
    <t>0000AXY14-AXY140102</t>
  </si>
  <si>
    <t xml:space="preserve">AXY14  </t>
  </si>
  <si>
    <t>AXY140102</t>
  </si>
  <si>
    <t>R-54</t>
  </si>
  <si>
    <t>0000AXY14-AXY140101</t>
  </si>
  <si>
    <t>AXY140101</t>
  </si>
  <si>
    <t>R-55</t>
  </si>
  <si>
    <t>0000AXY14-AXY140202</t>
  </si>
  <si>
    <t>AXY140202</t>
  </si>
  <si>
    <t>R-56</t>
  </si>
  <si>
    <t>AXY140202-AXY140203</t>
  </si>
  <si>
    <t xml:space="preserve">AXY140202  </t>
  </si>
  <si>
    <t>AXY140203</t>
  </si>
  <si>
    <t>R-57</t>
  </si>
  <si>
    <t>AXY140108-AXY140104</t>
  </si>
  <si>
    <t xml:space="preserve">AXY140108 </t>
  </si>
  <si>
    <t>AXY140104</t>
  </si>
  <si>
    <t>DSHR/2026-27/130</t>
  </si>
  <si>
    <t>R-58</t>
  </si>
  <si>
    <t>0000AXY15-AXY150103</t>
  </si>
  <si>
    <t xml:space="preserve">AXY15  </t>
  </si>
  <si>
    <t>AXY150103</t>
  </si>
  <si>
    <t>R-59</t>
  </si>
  <si>
    <t>0000AXY15-AXY150104</t>
  </si>
  <si>
    <t xml:space="preserve">AXY15 </t>
  </si>
  <si>
    <t>AXY150104</t>
  </si>
  <si>
    <t>R-60</t>
  </si>
  <si>
    <t>0000AXY15-AXY150108</t>
  </si>
  <si>
    <t>AXY150108</t>
  </si>
  <si>
    <t>R-61</t>
  </si>
  <si>
    <t>0000AXY16-AXY160104</t>
  </si>
  <si>
    <t xml:space="preserve">AXY16  </t>
  </si>
  <si>
    <t>AXY160104</t>
  </si>
  <si>
    <t>R-62</t>
  </si>
  <si>
    <t>0000AXY16-AXY160103</t>
  </si>
  <si>
    <t>AXY160103</t>
  </si>
  <si>
    <t>R-63</t>
  </si>
  <si>
    <t>0000AXY16-AXY160107</t>
  </si>
  <si>
    <t>AXY160107</t>
  </si>
  <si>
    <t>R-64</t>
  </si>
  <si>
    <t>0000AXY16-AXY160108</t>
  </si>
  <si>
    <t>AXY160108</t>
  </si>
  <si>
    <t>R-65</t>
  </si>
  <si>
    <t>0000AXY17-AXY170101</t>
  </si>
  <si>
    <t xml:space="preserve">AXY17  </t>
  </si>
  <si>
    <t>AXY170101</t>
  </si>
  <si>
    <t>R-66</t>
  </si>
  <si>
    <t>0000AXY17-AXY170107</t>
  </si>
  <si>
    <t>AXY170107</t>
  </si>
  <si>
    <t>R-67</t>
  </si>
  <si>
    <t>0000AXY17-AXY170201</t>
  </si>
  <si>
    <t>AXY170201</t>
  </si>
  <si>
    <t>R-69</t>
  </si>
  <si>
    <t>AXY170103-AXY170107</t>
  </si>
  <si>
    <t xml:space="preserve">AXY170103  </t>
  </si>
  <si>
    <t>R-68</t>
  </si>
  <si>
    <t>000000AXW-0000AXW05</t>
  </si>
  <si>
    <t>AXW</t>
  </si>
  <si>
    <t>AXW05</t>
  </si>
  <si>
    <t>ET-PO-PUN-2605-0006</t>
  </si>
  <si>
    <t>DSHR/2026-27/157</t>
  </si>
  <si>
    <t>0000AXW01-0000AXW07</t>
  </si>
  <si>
    <t>AXW01</t>
  </si>
  <si>
    <t>AXW07</t>
  </si>
  <si>
    <t>000000AXW-0000AXW17</t>
  </si>
  <si>
    <t>AXW17</t>
  </si>
  <si>
    <t>000000AXW-0000AXW12</t>
  </si>
  <si>
    <t>AXW12</t>
  </si>
  <si>
    <t>0000AXW10-0000AXW15</t>
  </si>
  <si>
    <t>AXW10</t>
  </si>
  <si>
    <t>AXW15</t>
  </si>
  <si>
    <t>0000AXW16-0000AXW20</t>
  </si>
  <si>
    <t>AXW16</t>
  </si>
  <si>
    <t>AXW20</t>
  </si>
  <si>
    <t>0000AXW19-0000AXW22</t>
  </si>
  <si>
    <t>AXW19</t>
  </si>
  <si>
    <t>AXW22</t>
  </si>
  <si>
    <t>0000AXW01-AXW010101</t>
  </si>
  <si>
    <t>AXW010101</t>
  </si>
  <si>
    <t>0000AXW01-AXW010105</t>
  </si>
  <si>
    <t>AXW010105</t>
  </si>
  <si>
    <t>0000AXW02-AXW020105</t>
  </si>
  <si>
    <t>AXW02</t>
  </si>
  <si>
    <t>AXW020105</t>
  </si>
  <si>
    <t>0000AXW02-AXW020101</t>
  </si>
  <si>
    <t>AXW020101</t>
  </si>
  <si>
    <t>0000AXW02-AXW020106</t>
  </si>
  <si>
    <t>AXW020106</t>
  </si>
  <si>
    <t>AXW020106-AXW020108</t>
  </si>
  <si>
    <t>AXW020108</t>
  </si>
  <si>
    <t>AXW020106-AXW020203</t>
  </si>
  <si>
    <t>AXW020203</t>
  </si>
  <si>
    <t>0000AXW03-AXW030104</t>
  </si>
  <si>
    <t>AXW03</t>
  </si>
  <si>
    <t>AXW030104</t>
  </si>
  <si>
    <t>AXW030104-AXW030105</t>
  </si>
  <si>
    <t>AXW030105</t>
  </si>
  <si>
    <t>AXW030104-AXW030108</t>
  </si>
  <si>
    <t>AXW030108</t>
  </si>
  <si>
    <t>0000AXW04-AXW040102</t>
  </si>
  <si>
    <t>AXW04</t>
  </si>
  <si>
    <t>AXW040102</t>
  </si>
  <si>
    <t>0000AXW04-AXW040105</t>
  </si>
  <si>
    <t>AXW040105</t>
  </si>
  <si>
    <t>00AXW-FMS-AXW040201</t>
  </si>
  <si>
    <t>AXW-FMS</t>
  </si>
  <si>
    <t>AXW040201</t>
  </si>
  <si>
    <t>00AXW-FMS-AXW040202</t>
  </si>
  <si>
    <t>AXW040202</t>
  </si>
  <si>
    <t>0000AXW05-AXW050101</t>
  </si>
  <si>
    <t>AXW050101</t>
  </si>
  <si>
    <t>0000AXW05-AXW050102</t>
  </si>
  <si>
    <t>AXW050102</t>
  </si>
  <si>
    <t>0000AXW05-AXW050105</t>
  </si>
  <si>
    <t>AXW050105</t>
  </si>
  <si>
    <t>0000AXW05-AXW050204</t>
  </si>
  <si>
    <t>AXW050204</t>
  </si>
  <si>
    <t>0000AXW06-AXW060101</t>
  </si>
  <si>
    <t>AXW06</t>
  </si>
  <si>
    <t>AXW060101</t>
  </si>
  <si>
    <t>0000AXW06-AXW060103</t>
  </si>
  <si>
    <t>AXW060103</t>
  </si>
  <si>
    <t>AXW060103-AXW060107</t>
  </si>
  <si>
    <t>AXW060107</t>
  </si>
  <si>
    <t>0000AXW07-AXW070101</t>
  </si>
  <si>
    <t>AXW070101</t>
  </si>
  <si>
    <t>0000AXW07-AXW070103</t>
  </si>
  <si>
    <t>AXW070103</t>
  </si>
  <si>
    <t>0000AXW07-AXW070106</t>
  </si>
  <si>
    <t>AXW070106</t>
  </si>
  <si>
    <t>0000AXW08-AXW080101</t>
  </si>
  <si>
    <t>AXW08</t>
  </si>
  <si>
    <t>AXW080101</t>
  </si>
  <si>
    <t>0000AXW08-AXW080103</t>
  </si>
  <si>
    <t>AXW080103</t>
  </si>
  <si>
    <t>AXW080103-AXW080105</t>
  </si>
  <si>
    <t>AXW080105</t>
  </si>
  <si>
    <t>0000AXW08-AXW080106</t>
  </si>
  <si>
    <t>AXW080106</t>
  </si>
  <si>
    <t>AXW080106-AXW080108</t>
  </si>
  <si>
    <t>AXW080108</t>
  </si>
  <si>
    <t>AXW080106-AXW080202</t>
  </si>
  <si>
    <t>AXW080202</t>
  </si>
  <si>
    <t>0000AXW09-AXW090101</t>
  </si>
  <si>
    <t>AXW09</t>
  </si>
  <si>
    <t>AXW090101</t>
  </si>
  <si>
    <t>0000AXW09-AXW090102</t>
  </si>
  <si>
    <t>AXW090102</t>
  </si>
  <si>
    <t>0000AXW09-AXW090106</t>
  </si>
  <si>
    <t>AXW090106</t>
  </si>
  <si>
    <t>0000AXW10-AXW100107</t>
  </si>
  <si>
    <t>AXW100107</t>
  </si>
  <si>
    <t>0000AXW10-AXW100102</t>
  </si>
  <si>
    <t>AXW100102</t>
  </si>
  <si>
    <t>0000AXW10-AXW100105</t>
  </si>
  <si>
    <t>AXW100105</t>
  </si>
  <si>
    <t>AXW100101-AXW100201</t>
  </si>
  <si>
    <t>AXW100101</t>
  </si>
  <si>
    <t>AXW100201</t>
  </si>
  <si>
    <t>0000AXW11-AXW110101</t>
  </si>
  <si>
    <t>AXW11</t>
  </si>
  <si>
    <t>AXW110101</t>
  </si>
  <si>
    <t>0000AXW11-AXW110103</t>
  </si>
  <si>
    <t>AXW110103</t>
  </si>
  <si>
    <t>0000AXW12-AXW120101</t>
  </si>
  <si>
    <t>AXW120101</t>
  </si>
  <si>
    <t>0000AXW12-AXW120102</t>
  </si>
  <si>
    <t>AXW120102</t>
  </si>
  <si>
    <t>0000AXW12-AXW120106</t>
  </si>
  <si>
    <t>AXW120106</t>
  </si>
  <si>
    <t>AXW120106-AXW120108</t>
  </si>
  <si>
    <t>AXW120108</t>
  </si>
  <si>
    <t>0000AXW13-AXW130108</t>
  </si>
  <si>
    <t>AXW13</t>
  </si>
  <si>
    <t>AXW130108</t>
  </si>
  <si>
    <t>0000AXW13-AXW130102</t>
  </si>
  <si>
    <t>AXW130102</t>
  </si>
  <si>
    <t>0000AXW13-AXW130104</t>
  </si>
  <si>
    <t>AXW130104</t>
  </si>
  <si>
    <t>0000AXW14-AXW140101</t>
  </si>
  <si>
    <t>AXW14</t>
  </si>
  <si>
    <t>AXW140101</t>
  </si>
  <si>
    <t>0000AXW14-AXW140103</t>
  </si>
  <si>
    <t>AXW140103</t>
  </si>
  <si>
    <t>AXW140102-AXW140105</t>
  </si>
  <si>
    <t>AXW140102</t>
  </si>
  <si>
    <t>AXW140105</t>
  </si>
  <si>
    <t>0000AXW15-AXW150101</t>
  </si>
  <si>
    <t>AXW150101</t>
  </si>
  <si>
    <t>0000AXW15-AXW150103</t>
  </si>
  <si>
    <t>AXW150103</t>
  </si>
  <si>
    <t>AXW150102-AXW150104</t>
  </si>
  <si>
    <t>AXW150102</t>
  </si>
  <si>
    <t>AXW150104</t>
  </si>
  <si>
    <t>0000AXW15-AXW150105</t>
  </si>
  <si>
    <t>AXW150105</t>
  </si>
  <si>
    <t>0000AXW15-AXW150106</t>
  </si>
  <si>
    <t>AXW150106</t>
  </si>
  <si>
    <t>0000AXW16-AXW160101</t>
  </si>
  <si>
    <t>AXW160101</t>
  </si>
  <si>
    <t>0000AXW16-AXW160102</t>
  </si>
  <si>
    <t>AXW160102</t>
  </si>
  <si>
    <t>0000AXW16-AXW160104</t>
  </si>
  <si>
    <t>AXW160104</t>
  </si>
  <si>
    <t>0000AXW16-AXW160105</t>
  </si>
  <si>
    <t>AXW160105</t>
  </si>
  <si>
    <t>AXW160105-AXW160106</t>
  </si>
  <si>
    <t>AXW160106</t>
  </si>
  <si>
    <t>AXW160106-AXW160108</t>
  </si>
  <si>
    <t>AXW160108</t>
  </si>
  <si>
    <t>0000AXW17-AXW170101</t>
  </si>
  <si>
    <t>AXW170101</t>
  </si>
  <si>
    <t>0000AXW17-AXW170105</t>
  </si>
  <si>
    <t>AXW170105</t>
  </si>
  <si>
    <t>0000AXW17-AXW170201</t>
  </si>
  <si>
    <t>AXW170201</t>
  </si>
  <si>
    <t>R-70</t>
  </si>
  <si>
    <t>0000AXW18-AXW180101</t>
  </si>
  <si>
    <t>AXW18</t>
  </si>
  <si>
    <t>AXW180101</t>
  </si>
  <si>
    <t>PO Awaited</t>
  </si>
  <si>
    <t>R-71</t>
  </si>
  <si>
    <t>0000AXW18-AXW180105</t>
  </si>
  <si>
    <t>AXW180105</t>
  </si>
  <si>
    <t>R-72</t>
  </si>
  <si>
    <t>0000AXW18-AXW180106</t>
  </si>
  <si>
    <t>AXW180106</t>
  </si>
  <si>
    <t>R-73</t>
  </si>
  <si>
    <t>AXW180106-AXW180108</t>
  </si>
  <si>
    <t>AXW180108</t>
  </si>
  <si>
    <t>R-74</t>
  </si>
  <si>
    <t>0000AXW19-AXW190101</t>
  </si>
  <si>
    <t>AXW190101</t>
  </si>
  <si>
    <t>R-75</t>
  </si>
  <si>
    <t>0000AXW19-AXW190104</t>
  </si>
  <si>
    <t>AXW190104</t>
  </si>
  <si>
    <t>R-76</t>
  </si>
  <si>
    <t>0000AXW19-AXW190108</t>
  </si>
  <si>
    <t>AXW190108</t>
  </si>
  <si>
    <t>R-77</t>
  </si>
  <si>
    <t>0000AXW20-AXW200101</t>
  </si>
  <si>
    <t>AXW200101</t>
  </si>
  <si>
    <t>R-78</t>
  </si>
  <si>
    <t>0000AXW20-AXW200107</t>
  </si>
  <si>
    <t>AXW200107</t>
  </si>
  <si>
    <t>R-79</t>
  </si>
  <si>
    <t>AXW200104-AXW200106</t>
  </si>
  <si>
    <t>AXW200104</t>
  </si>
  <si>
    <t>AXW200106</t>
  </si>
  <si>
    <t>R-80</t>
  </si>
  <si>
    <t>AXW200107-AXW200201</t>
  </si>
  <si>
    <t>AXW200201</t>
  </si>
  <si>
    <t>R-81</t>
  </si>
  <si>
    <t>AXW200107-AXW200203</t>
  </si>
  <si>
    <t>AXW200203</t>
  </si>
  <si>
    <t>R-82</t>
  </si>
  <si>
    <t>0000AXW20-AXW200204</t>
  </si>
  <si>
    <t>AXW200204</t>
  </si>
  <si>
    <t>R-83</t>
  </si>
  <si>
    <t>0000AXW21-AXW210101</t>
  </si>
  <si>
    <t>AXW21</t>
  </si>
  <si>
    <t>AXW210101</t>
  </si>
  <si>
    <t>R-84</t>
  </si>
  <si>
    <t>0000AXW21-AXW210102</t>
  </si>
  <si>
    <t>AXW210102</t>
  </si>
  <si>
    <t>R-85</t>
  </si>
  <si>
    <t>0000AXW21-AXW210105</t>
  </si>
  <si>
    <t>AXW210105</t>
  </si>
  <si>
    <t>R-86</t>
  </si>
  <si>
    <t>AXW210105-AXW210107</t>
  </si>
  <si>
    <t>AXW210107</t>
  </si>
  <si>
    <t>R-87</t>
  </si>
  <si>
    <t>AXW210103-AXW210108</t>
  </si>
  <si>
    <t>AXW210103</t>
  </si>
  <si>
    <t>AXW210108</t>
  </si>
  <si>
    <t>R-88</t>
  </si>
  <si>
    <t>0000AXW21-AXW210201</t>
  </si>
  <si>
    <t>AXW210201</t>
  </si>
  <si>
    <t>R-89</t>
  </si>
  <si>
    <t>0000AXW22-AXW220103</t>
  </si>
  <si>
    <t>AXW220103</t>
  </si>
  <si>
    <t>R-90</t>
  </si>
  <si>
    <t>0000AXW22-AXW220104</t>
  </si>
  <si>
    <t>AXW220104</t>
  </si>
  <si>
    <t>R-91</t>
  </si>
  <si>
    <t>AXW220104-AXW220106</t>
  </si>
  <si>
    <t>AXW220106</t>
  </si>
  <si>
    <t>R-92</t>
  </si>
  <si>
    <t>0000AXW22-AXW220107</t>
  </si>
  <si>
    <t>AXW220107</t>
  </si>
  <si>
    <t>R-93</t>
  </si>
  <si>
    <t>AXW220107-AXW220202</t>
  </si>
  <si>
    <t>AXW220202</t>
  </si>
  <si>
    <t>R-94</t>
  </si>
  <si>
    <t>0000AXW22-00AXW-FMS</t>
  </si>
  <si>
    <t>R-95</t>
  </si>
  <si>
    <t>0000AXW02-AXW020204</t>
  </si>
  <si>
    <t>AXW020204</t>
  </si>
  <si>
    <t>R-96</t>
  </si>
  <si>
    <t>000000CM3-0000CM310</t>
  </si>
  <si>
    <t>CM3</t>
  </si>
  <si>
    <t>CM310</t>
  </si>
  <si>
    <t>Mani Majra</t>
  </si>
  <si>
    <t>ET-PO-PUN-2604-0018</t>
  </si>
  <si>
    <t>DSHR/2026-27/158</t>
  </si>
  <si>
    <t>FY 2026-76 H1 Data</t>
  </si>
  <si>
    <t>000000CM3-0000CM325</t>
  </si>
  <si>
    <t>CM325</t>
  </si>
  <si>
    <t>ET-PO-PUN-2605-0008</t>
  </si>
  <si>
    <t>0000CM313-0000CM315</t>
  </si>
  <si>
    <t>CM313</t>
  </si>
  <si>
    <t>CM315</t>
  </si>
  <si>
    <t>0000CM314-0000CM316</t>
  </si>
  <si>
    <t>CM314</t>
  </si>
  <si>
    <t>CM316</t>
  </si>
  <si>
    <t>0000CM304-0000CM305</t>
  </si>
  <si>
    <t>CM304</t>
  </si>
  <si>
    <t>CM305</t>
  </si>
  <si>
    <t>6F</t>
  </si>
  <si>
    <t>0000CM306-0000CM307</t>
  </si>
  <si>
    <t>CM306</t>
  </si>
  <si>
    <t>CM307</t>
  </si>
  <si>
    <t>0000CM301-CM3010102</t>
  </si>
  <si>
    <t>CM301</t>
  </si>
  <si>
    <t>CM3010102</t>
  </si>
  <si>
    <t>0000CM301-CM3010101</t>
  </si>
  <si>
    <t>CM3010101</t>
  </si>
  <si>
    <t>0000CM301-CM3010106</t>
  </si>
  <si>
    <t>CM3010106</t>
  </si>
  <si>
    <t>0000CM302-CM3020101</t>
  </si>
  <si>
    <t>CM302</t>
  </si>
  <si>
    <t>CM3020101</t>
  </si>
  <si>
    <t>0000CM302-CM3020104</t>
  </si>
  <si>
    <t>CM3020104</t>
  </si>
  <si>
    <t>0000CM303-CM3030105</t>
  </si>
  <si>
    <t>CM303</t>
  </si>
  <si>
    <t>CM3030105</t>
  </si>
  <si>
    <t>0000CM303-CM3030102</t>
  </si>
  <si>
    <t>CM3030102</t>
  </si>
  <si>
    <t>0000CM303-CM3030103</t>
  </si>
  <si>
    <t>CM3030103</t>
  </si>
  <si>
    <t>0000CM303-CM3030108</t>
  </si>
  <si>
    <t>CM3030108</t>
  </si>
  <si>
    <t>0000CM304-CM3040101</t>
  </si>
  <si>
    <t>CM3040101</t>
  </si>
  <si>
    <t>0000CM304-CM3040104</t>
  </si>
  <si>
    <t>CM3040104</t>
  </si>
  <si>
    <t>0000CM304-CM3040108</t>
  </si>
  <si>
    <t>CM3040108</t>
  </si>
  <si>
    <t>0000CM305-CM3050102</t>
  </si>
  <si>
    <t>CM3050102</t>
  </si>
  <si>
    <t>0000CM305-CM3050104</t>
  </si>
  <si>
    <t>CM3050104</t>
  </si>
  <si>
    <t>0000CM306-CM3060106</t>
  </si>
  <si>
    <t>CM3060106</t>
  </si>
  <si>
    <t>0000CM606-CM3060108</t>
  </si>
  <si>
    <t>CM606</t>
  </si>
  <si>
    <t>CM3060108</t>
  </si>
  <si>
    <t>0000CM306-CM3060104</t>
  </si>
  <si>
    <t>CM3060104</t>
  </si>
  <si>
    <t>0000CM307-CM3070103</t>
  </si>
  <si>
    <t>CM3070103</t>
  </si>
  <si>
    <t>0000CM307-CM3070105</t>
  </si>
  <si>
    <t>CM3070105</t>
  </si>
  <si>
    <t>CM3070104-CM3070108</t>
  </si>
  <si>
    <t>CM3070104</t>
  </si>
  <si>
    <t>CM3070108</t>
  </si>
  <si>
    <t>0000CM308-CM3080103</t>
  </si>
  <si>
    <t>CM308</t>
  </si>
  <si>
    <t>CM3080103</t>
  </si>
  <si>
    <t>CM3080101-CM3080102</t>
  </si>
  <si>
    <t>CM3080101</t>
  </si>
  <si>
    <t>CM3080102</t>
  </si>
  <si>
    <t>CM3080101-CM3080104</t>
  </si>
  <si>
    <t>CM3080104</t>
  </si>
  <si>
    <t>CM3080101-CM3080108</t>
  </si>
  <si>
    <t>CM3080108</t>
  </si>
  <si>
    <t>0000CM309-CM3090103</t>
  </si>
  <si>
    <t>CM309</t>
  </si>
  <si>
    <t>CM3090103</t>
  </si>
  <si>
    <t>0000CM309-CM3090104</t>
  </si>
  <si>
    <t>CM3090104</t>
  </si>
  <si>
    <t>0000CM309-CM3090107</t>
  </si>
  <si>
    <t>CM3090107</t>
  </si>
  <si>
    <t>0000CM310-CM3100104</t>
  </si>
  <si>
    <t>CM3100104</t>
  </si>
  <si>
    <t>0000CM310-CM3100103</t>
  </si>
  <si>
    <t>CM3100103</t>
  </si>
  <si>
    <t>0000CM310-CM3100106</t>
  </si>
  <si>
    <t>CM3100106</t>
  </si>
  <si>
    <t>0000CM311-CM3110101</t>
  </si>
  <si>
    <t>CM311</t>
  </si>
  <si>
    <t>CM3110101</t>
  </si>
  <si>
    <t>0000CM311-CM3110103</t>
  </si>
  <si>
    <t>CM3110103</t>
  </si>
  <si>
    <t>0000CM311-CM3110107</t>
  </si>
  <si>
    <t>CM3110107</t>
  </si>
  <si>
    <t>0000CM312-CM3120102</t>
  </si>
  <si>
    <t>CM312</t>
  </si>
  <si>
    <t>CM3120102</t>
  </si>
  <si>
    <t>0000CM312-CM3120103</t>
  </si>
  <si>
    <t>CM3120103</t>
  </si>
  <si>
    <t>0000CM312-CM3120104</t>
  </si>
  <si>
    <t>CM3120104</t>
  </si>
  <si>
    <t>0000CM312-CM3120108</t>
  </si>
  <si>
    <t>CM3120108</t>
  </si>
  <si>
    <t>0000CM313-CM3130101</t>
  </si>
  <si>
    <t>CM3130101</t>
  </si>
  <si>
    <t>0000CM313-CM3130107</t>
  </si>
  <si>
    <t>CM3130107</t>
  </si>
  <si>
    <t>0000CM313-CM3130104</t>
  </si>
  <si>
    <t>CM3130104</t>
  </si>
  <si>
    <t>0000CM314-CM3140101</t>
  </si>
  <si>
    <t>CM3140101</t>
  </si>
  <si>
    <t>0000CM314-CM3140108</t>
  </si>
  <si>
    <t>CM3140108</t>
  </si>
  <si>
    <t>0000CM314-CM3140103</t>
  </si>
  <si>
    <t>CM3140103</t>
  </si>
  <si>
    <t>0000CM315-CM3150101</t>
  </si>
  <si>
    <t>CM3150101</t>
  </si>
  <si>
    <t>0000CM315-CM3150104</t>
  </si>
  <si>
    <t>CM3150104</t>
  </si>
  <si>
    <t>0000CM316-CM3160101</t>
  </si>
  <si>
    <t>CM3160101</t>
  </si>
  <si>
    <t>0000CM316-CM3160107</t>
  </si>
  <si>
    <t>CM3160107</t>
  </si>
  <si>
    <t>CM3160106-CM3160108</t>
  </si>
  <si>
    <t>CM3160106</t>
  </si>
  <si>
    <t>CM3160108</t>
  </si>
  <si>
    <t>0000CM316-CM3160104</t>
  </si>
  <si>
    <t>CM3160104</t>
  </si>
  <si>
    <t>0000CM317-CM3170101</t>
  </si>
  <si>
    <t>CM317</t>
  </si>
  <si>
    <t>CM3170101</t>
  </si>
  <si>
    <t>0000CM317-CM3170102</t>
  </si>
  <si>
    <t>CM3170102</t>
  </si>
  <si>
    <t>0000CM317-CM3170104</t>
  </si>
  <si>
    <t>CM3170104</t>
  </si>
  <si>
    <t>0000CM318-CM3180101</t>
  </si>
  <si>
    <t>CM318</t>
  </si>
  <si>
    <t>CM3180101</t>
  </si>
  <si>
    <t>0000CM318-CM3180102</t>
  </si>
  <si>
    <t>CM3180102</t>
  </si>
  <si>
    <t>0000CM318-CM3180108</t>
  </si>
  <si>
    <t>CM3180108</t>
  </si>
  <si>
    <t>0000CM318-CM3180105</t>
  </si>
  <si>
    <t>CM3180105</t>
  </si>
  <si>
    <t>0000CM319-CM3190104</t>
  </si>
  <si>
    <t>CM319</t>
  </si>
  <si>
    <t>CM3190104</t>
  </si>
  <si>
    <t>0000CM319-CM3190108</t>
  </si>
  <si>
    <t>CM3190108</t>
  </si>
  <si>
    <t>0000CM320-CM3200101</t>
  </si>
  <si>
    <t>CM320</t>
  </si>
  <si>
    <t>CM3200101</t>
  </si>
  <si>
    <t>0000CM320-CM3200104</t>
  </si>
  <si>
    <t>CM3200104</t>
  </si>
  <si>
    <t>0000CM321-CM3210104</t>
  </si>
  <si>
    <t>CM321</t>
  </si>
  <si>
    <t>CM3210104</t>
  </si>
  <si>
    <t>0000CM322-CM3220108</t>
  </si>
  <si>
    <t>CM322</t>
  </si>
  <si>
    <t>CM3220108</t>
  </si>
  <si>
    <t>0000CM322-CM3220104</t>
  </si>
  <si>
    <t>CM3220104</t>
  </si>
  <si>
    <t>CM3220102-CM3220103</t>
  </si>
  <si>
    <t>CM3220102</t>
  </si>
  <si>
    <t>CM3220103</t>
  </si>
  <si>
    <t>0000CM323-CM3230101</t>
  </si>
  <si>
    <t>CM323</t>
  </si>
  <si>
    <t>CM3230101</t>
  </si>
  <si>
    <t>0000CM323-CM3230104</t>
  </si>
  <si>
    <t>CM3230104</t>
  </si>
  <si>
    <t>0000CM323-CM3230107</t>
  </si>
  <si>
    <t>CM3230107</t>
  </si>
  <si>
    <t>0000CM324-CM3240101</t>
  </si>
  <si>
    <t>CM324</t>
  </si>
  <si>
    <t>CM3240101</t>
  </si>
  <si>
    <t>0000CM324-CM3240102</t>
  </si>
  <si>
    <t>CM3240102</t>
  </si>
  <si>
    <t>0000CM324-CM3240106</t>
  </si>
  <si>
    <t>CM3240106</t>
  </si>
  <si>
    <t>0000CM325-CM3250103</t>
  </si>
  <si>
    <t>CM3250103</t>
  </si>
  <si>
    <t>0000CM325-CM3250107</t>
  </si>
  <si>
    <t>CM3250107</t>
  </si>
  <si>
    <t>000000CM4-0000CM418</t>
  </si>
  <si>
    <t>CM4</t>
  </si>
  <si>
    <t>CM418</t>
  </si>
  <si>
    <t>Sudhist Infocom Private Limited</t>
  </si>
  <si>
    <t>000000CM4-0000CM408</t>
  </si>
  <si>
    <t>CM408</t>
  </si>
  <si>
    <t>000000CM4-0000CM403</t>
  </si>
  <si>
    <t>CM403</t>
  </si>
  <si>
    <t>0000CM402-0000CM404</t>
  </si>
  <si>
    <t>CM402</t>
  </si>
  <si>
    <t>CM404</t>
  </si>
  <si>
    <t>0000CM411-0000CM412</t>
  </si>
  <si>
    <t>CM411</t>
  </si>
  <si>
    <t>CM412</t>
  </si>
  <si>
    <t>0000CM415-0000CM416</t>
  </si>
  <si>
    <t>CM415</t>
  </si>
  <si>
    <t>CM416</t>
  </si>
  <si>
    <t>000000CM4-0000CM421</t>
  </si>
  <si>
    <t>CM421</t>
  </si>
  <si>
    <t>0000CM401-CM4010101</t>
  </si>
  <si>
    <t>CM401</t>
  </si>
  <si>
    <t>CM4010101</t>
  </si>
  <si>
    <t>0000CM401-CM4010102</t>
  </si>
  <si>
    <t>CM4010102</t>
  </si>
  <si>
    <t>0000CM401-CM4010104</t>
  </si>
  <si>
    <t>CM4010104</t>
  </si>
  <si>
    <t>CM4010106-CM4010108</t>
  </si>
  <si>
    <t>CM4010106</t>
  </si>
  <si>
    <t>CM4010108</t>
  </si>
  <si>
    <t>0000CM402-CM4020104</t>
  </si>
  <si>
    <t>CM4020104</t>
  </si>
  <si>
    <t>0000CM402-CM4020105</t>
  </si>
  <si>
    <t>CM4020105</t>
  </si>
  <si>
    <t>0000CM402-CM4020108</t>
  </si>
  <si>
    <t>CM4020108</t>
  </si>
  <si>
    <t>0000CM403-CM4030101</t>
  </si>
  <si>
    <t>CM4030101</t>
  </si>
  <si>
    <t>0000CM403-CM4030103</t>
  </si>
  <si>
    <t>CM4030103</t>
  </si>
  <si>
    <t>0000CM403-CM4030108</t>
  </si>
  <si>
    <t>CM4030108</t>
  </si>
  <si>
    <t>0000CM404-CM4040105</t>
  </si>
  <si>
    <t>CM4040105</t>
  </si>
  <si>
    <t>0000CM404-CM4040108</t>
  </si>
  <si>
    <t>CM4040108</t>
  </si>
  <si>
    <t>0000CM408-CM4080104</t>
  </si>
  <si>
    <t>CM4080104</t>
  </si>
  <si>
    <t>0000CM408-CM4080108</t>
  </si>
  <si>
    <t>CM4080108</t>
  </si>
  <si>
    <t>0000CM408-CM4080105</t>
  </si>
  <si>
    <t>CM4080105</t>
  </si>
  <si>
    <t>0000CM408-CM4080107</t>
  </si>
  <si>
    <t>CM4080107</t>
  </si>
  <si>
    <t>0000CM409-CM4090103</t>
  </si>
  <si>
    <t>CM409</t>
  </si>
  <si>
    <t>CM4090103</t>
  </si>
  <si>
    <t>0000CM409-CM4090101</t>
  </si>
  <si>
    <t>CM4090101</t>
  </si>
  <si>
    <t>0000CM409-CM4090102</t>
  </si>
  <si>
    <t>CM4090102</t>
  </si>
  <si>
    <t>0000CM409-CM4090104</t>
  </si>
  <si>
    <t>CM4090104</t>
  </si>
  <si>
    <t>0000CM409-CM4090106</t>
  </si>
  <si>
    <t>CM4090106</t>
  </si>
  <si>
    <t>0000CM410-CM4100105</t>
  </si>
  <si>
    <t>CM410</t>
  </si>
  <si>
    <t>CM4100105</t>
  </si>
  <si>
    <t>0000CM410-CM4100106</t>
  </si>
  <si>
    <t>CM4100106</t>
  </si>
  <si>
    <t>0000CM410-CM4100107</t>
  </si>
  <si>
    <t>CM4100107</t>
  </si>
  <si>
    <t>0000CM410-CM4100108</t>
  </si>
  <si>
    <t>CM4100108</t>
  </si>
  <si>
    <t>0000CM410-CM4100103</t>
  </si>
  <si>
    <t>CM4100103</t>
  </si>
  <si>
    <t>0000CM410-CM4100104</t>
  </si>
  <si>
    <t>CM4100104</t>
  </si>
  <si>
    <t>0000CM411-CM4110101</t>
  </si>
  <si>
    <t>CM4110101</t>
  </si>
  <si>
    <t>0000CM411-CM4110104</t>
  </si>
  <si>
    <t>CM4110104</t>
  </si>
  <si>
    <t>0000CM411-CM4110106</t>
  </si>
  <si>
    <t>CM4110106</t>
  </si>
  <si>
    <t>CM4110105-CM4110108</t>
  </si>
  <si>
    <t>CM4110105</t>
  </si>
  <si>
    <t>CM4110108</t>
  </si>
  <si>
    <t>0000CM411-CM4110103</t>
  </si>
  <si>
    <t>CM4110103</t>
  </si>
  <si>
    <t>0000CM412-CM4120101</t>
  </si>
  <si>
    <t>CM4120101</t>
  </si>
  <si>
    <t>0000CM412-CM4120104</t>
  </si>
  <si>
    <t>CM4120104</t>
  </si>
  <si>
    <t>0000CM412-CM4120105</t>
  </si>
  <si>
    <t>CM4120105</t>
  </si>
  <si>
    <t>0000CM412-CM4120108</t>
  </si>
  <si>
    <t>CM4120108</t>
  </si>
  <si>
    <t>0000CM413-CM4130101</t>
  </si>
  <si>
    <t>CM413</t>
  </si>
  <si>
    <t>CM4130101</t>
  </si>
  <si>
    <t>0000CM413-CM4130104</t>
  </si>
  <si>
    <t>CM4130104</t>
  </si>
  <si>
    <t>CM4130103-CM4130107</t>
  </si>
  <si>
    <t>CM4130103</t>
  </si>
  <si>
    <t>CM4130107</t>
  </si>
  <si>
    <t>0000CM414-CM4140101</t>
  </si>
  <si>
    <t>CM414</t>
  </si>
  <si>
    <t>CM4140101</t>
  </si>
  <si>
    <t>0000CM414-CM4140105</t>
  </si>
  <si>
    <t>CM4140105</t>
  </si>
  <si>
    <t>0000CM414-CM4140108</t>
  </si>
  <si>
    <t>CM4140108</t>
  </si>
  <si>
    <t>0000CM415-CM4150101</t>
  </si>
  <si>
    <t>CM4150101</t>
  </si>
  <si>
    <t>0000CM415-CM4150104</t>
  </si>
  <si>
    <t>CM4150104</t>
  </si>
  <si>
    <t>0000CM415-CM4150108</t>
  </si>
  <si>
    <t>CM4150108</t>
  </si>
  <si>
    <t>0000CM416-CM4160101</t>
  </si>
  <si>
    <t>CM4160101</t>
  </si>
  <si>
    <t>0000CM416-CM4160104</t>
  </si>
  <si>
    <t>CM4160104</t>
  </si>
  <si>
    <t>0000CM416-CM4160105</t>
  </si>
  <si>
    <t>CM4160105</t>
  </si>
  <si>
    <t>0000CM418-CM4180101</t>
  </si>
  <si>
    <t>CM4180101</t>
  </si>
  <si>
    <t>0000CM418-CM4180102</t>
  </si>
  <si>
    <t>CM4180102</t>
  </si>
  <si>
    <t>0000CM418-CM4180104</t>
  </si>
  <si>
    <t>CM4180104</t>
  </si>
  <si>
    <t>0000CM418-CM4180108</t>
  </si>
  <si>
    <t>CM4180108</t>
  </si>
  <si>
    <t>0000CM419-CM4190101</t>
  </si>
  <si>
    <t>CM419</t>
  </si>
  <si>
    <t>CM4190101</t>
  </si>
  <si>
    <t>0000CM419-CM4190103</t>
  </si>
  <si>
    <t>CM4190103</t>
  </si>
  <si>
    <t>0000CM419-CM4190108</t>
  </si>
  <si>
    <t>CM4190108</t>
  </si>
  <si>
    <t>0000CM419-CM4190102</t>
  </si>
  <si>
    <t>CM4190102</t>
  </si>
  <si>
    <t>0000CM420-CM4200104</t>
  </si>
  <si>
    <t>CM420</t>
  </si>
  <si>
    <t>CM4200104</t>
  </si>
  <si>
    <t>0000CM420-CM4200102</t>
  </si>
  <si>
    <t>CM4200102</t>
  </si>
  <si>
    <t>0000CM420-CM4200108</t>
  </si>
  <si>
    <t>CM4200108</t>
  </si>
  <si>
    <t>0000CM420-CM4200106</t>
  </si>
  <si>
    <t>CM4200106</t>
  </si>
  <si>
    <t>0000CM421-CM4210101</t>
  </si>
  <si>
    <t>CM4210101</t>
  </si>
  <si>
    <t>0000CM421-CM4210104</t>
  </si>
  <si>
    <t>CM4210104</t>
  </si>
  <si>
    <t>0000CM421-CM4210105</t>
  </si>
  <si>
    <t>CM4210105</t>
  </si>
  <si>
    <t>Latlong</t>
  </si>
  <si>
    <t>Route ID (Route on which FAT/FDC is connected)</t>
  </si>
  <si>
    <t>Any Additional Fiber used for connectivity</t>
  </si>
  <si>
    <t>No</t>
  </si>
  <si>
    <t>AXZ010103</t>
  </si>
  <si>
    <t>AXZ010104</t>
  </si>
  <si>
    <t>AXZ010106</t>
  </si>
  <si>
    <t>AXZ010107</t>
  </si>
  <si>
    <t>AXZ010108</t>
  </si>
  <si>
    <t>AXZ010201</t>
  </si>
  <si>
    <t>AXZ020102</t>
  </si>
  <si>
    <t>AXZ020104</t>
  </si>
  <si>
    <t>AXZ020105</t>
  </si>
  <si>
    <t>AXZ020106</t>
  </si>
  <si>
    <t>AXZ020107</t>
  </si>
  <si>
    <t>AXZ020108</t>
  </si>
  <si>
    <t>AXZ020201</t>
  </si>
  <si>
    <t>AXZ020202</t>
  </si>
  <si>
    <t>AXZ030103</t>
  </si>
  <si>
    <t>AXZ030105</t>
  </si>
  <si>
    <t>AXZ030107</t>
  </si>
  <si>
    <t>AXZ030108</t>
  </si>
  <si>
    <t>AXZ030202</t>
  </si>
  <si>
    <t>AXZ030203</t>
  </si>
  <si>
    <t>AXZ030204</t>
  </si>
  <si>
    <t>AXY010103</t>
  </si>
  <si>
    <t>AXY030203</t>
  </si>
  <si>
    <t>AXY040103</t>
  </si>
  <si>
    <t>AXY040105</t>
  </si>
  <si>
    <t>AXY040106</t>
  </si>
  <si>
    <t>AXY040107</t>
  </si>
  <si>
    <t>AXY040202</t>
  </si>
  <si>
    <t>AXY040203</t>
  </si>
  <si>
    <t>AXY050102</t>
  </si>
  <si>
    <t>AXY050103</t>
  </si>
  <si>
    <t>AXY050106</t>
  </si>
  <si>
    <t>AXY050108</t>
  </si>
  <si>
    <t>AXY050201</t>
  </si>
  <si>
    <t>AXY060101</t>
  </si>
  <si>
    <t>AXY060103</t>
  </si>
  <si>
    <t>AXY060104</t>
  </si>
  <si>
    <t>AXY060106</t>
  </si>
  <si>
    <t>AXY060107</t>
  </si>
  <si>
    <t>AXY060108</t>
  </si>
  <si>
    <t>AXY070103</t>
  </si>
  <si>
    <t>AXY070104</t>
  </si>
  <si>
    <t>AXY08</t>
  </si>
  <si>
    <t>AXY080101</t>
  </si>
  <si>
    <t>AXY080102</t>
  </si>
  <si>
    <t>AXY080202</t>
  </si>
  <si>
    <t>AXY080107</t>
  </si>
  <si>
    <t>AXY09</t>
  </si>
  <si>
    <t>AXY090103</t>
  </si>
  <si>
    <t>AXY090104</t>
  </si>
  <si>
    <t>AXY090106</t>
  </si>
  <si>
    <t>AXY090107</t>
  </si>
  <si>
    <t>AXY090108</t>
  </si>
  <si>
    <t>AXY090202</t>
  </si>
  <si>
    <t>AXY090203</t>
  </si>
  <si>
    <t>AXY10</t>
  </si>
  <si>
    <t>AXY100101</t>
  </si>
  <si>
    <t>AXY100102</t>
  </si>
  <si>
    <t>AXY100106</t>
  </si>
  <si>
    <t>AXY100108</t>
  </si>
  <si>
    <t>AXY11</t>
  </si>
  <si>
    <t>AXY110101</t>
  </si>
  <si>
    <t>AXY110103</t>
  </si>
  <si>
    <t>AXY110105</t>
  </si>
  <si>
    <t>AXY110108</t>
  </si>
  <si>
    <t>AXY120104</t>
  </si>
  <si>
    <t>AXY13</t>
  </si>
  <si>
    <t>AXY130102</t>
  </si>
  <si>
    <t>AXY130103</t>
  </si>
  <si>
    <t>AXY130105</t>
  </si>
  <si>
    <t>AXY130106</t>
  </si>
  <si>
    <t>AXY130107</t>
  </si>
  <si>
    <t>AXY14</t>
  </si>
  <si>
    <t>AXY140103</t>
  </si>
  <si>
    <t>AXY140108</t>
  </si>
  <si>
    <t>AXY140201</t>
  </si>
  <si>
    <t>AXY140106</t>
  </si>
  <si>
    <t>AXY140105</t>
  </si>
  <si>
    <t>AXY15</t>
  </si>
  <si>
    <t>AXY150101</t>
  </si>
  <si>
    <t>AXY150102</t>
  </si>
  <si>
    <t>AXY150105</t>
  </si>
  <si>
    <t>AXY150106</t>
  </si>
  <si>
    <t>AXY16</t>
  </si>
  <si>
    <t>AXY160101</t>
  </si>
  <si>
    <t>AXY160102</t>
  </si>
  <si>
    <t>AXY160105</t>
  </si>
  <si>
    <t>AXY160106</t>
  </si>
  <si>
    <t>AXY170102</t>
  </si>
  <si>
    <t>AXY170103</t>
  </si>
  <si>
    <t>AXY170105</t>
  </si>
  <si>
    <t>AXY170108</t>
  </si>
  <si>
    <t>AXW010103</t>
  </si>
  <si>
    <t>AXW010104</t>
  </si>
  <si>
    <t>AXW020102</t>
  </si>
  <si>
    <t>AXW020103</t>
  </si>
  <si>
    <t>AXW020104</t>
  </si>
  <si>
    <t>AXW020107</t>
  </si>
  <si>
    <t>AXW020201</t>
  </si>
  <si>
    <t>AXW020202</t>
  </si>
  <si>
    <t>AXW030101</t>
  </si>
  <si>
    <t>AXW030102</t>
  </si>
  <si>
    <t>AXW030103</t>
  </si>
  <si>
    <t>AXW030106</t>
  </si>
  <si>
    <t>AXW040101</t>
  </si>
  <si>
    <t>AXW040104</t>
  </si>
  <si>
    <t>AXW040106</t>
  </si>
  <si>
    <t>AXW040107</t>
  </si>
  <si>
    <t>AXW040108</t>
  </si>
  <si>
    <t>AXW050106</t>
  </si>
  <si>
    <t>AXW050107</t>
  </si>
  <si>
    <t>AXW050108</t>
  </si>
  <si>
    <t>AXW050201</t>
  </si>
  <si>
    <t>AXW050203</t>
  </si>
  <si>
    <t>AXW060102</t>
  </si>
  <si>
    <t>AXW060104</t>
  </si>
  <si>
    <t>AXW060105</t>
  </si>
  <si>
    <t>AXW060106</t>
  </si>
  <si>
    <t>AXW070102</t>
  </si>
  <si>
    <t>AXW070105</t>
  </si>
  <si>
    <t>AXW080104</t>
  </si>
  <si>
    <t>AXW080107</t>
  </si>
  <si>
    <t>AXW080201</t>
  </si>
  <si>
    <t>AXW090103</t>
  </si>
  <si>
    <t>AXW090104</t>
  </si>
  <si>
    <t>AXW090105</t>
  </si>
  <si>
    <t>AXW100103</t>
  </si>
  <si>
    <t>AXW100104</t>
  </si>
  <si>
    <t>AXW100106</t>
  </si>
  <si>
    <t>AXW100108</t>
  </si>
  <si>
    <t>AXW110102</t>
  </si>
  <si>
    <t>AXW120103</t>
  </si>
  <si>
    <t>AXW120104</t>
  </si>
  <si>
    <t>AXW120105</t>
  </si>
  <si>
    <t>AXW120107</t>
  </si>
  <si>
    <t>AXW130101</t>
  </si>
  <si>
    <t>AXW130103</t>
  </si>
  <si>
    <t>AXW130105</t>
  </si>
  <si>
    <t>AXW130106</t>
  </si>
  <si>
    <t>AXW130107</t>
  </si>
  <si>
    <t>AXW140104</t>
  </si>
  <si>
    <t>AXW160103</t>
  </si>
  <si>
    <t>AXW160107</t>
  </si>
  <si>
    <t>AXW170102</t>
  </si>
  <si>
    <t>AXW170103</t>
  </si>
  <si>
    <t>AXW170104</t>
  </si>
  <si>
    <t>AXW170106</t>
  </si>
  <si>
    <t>AXW170107</t>
  </si>
  <si>
    <t>AXW170108</t>
  </si>
  <si>
    <t>AXW180102</t>
  </si>
  <si>
    <t>AXW180103</t>
  </si>
  <si>
    <t>AXW180104</t>
  </si>
  <si>
    <t>AXW180107</t>
  </si>
  <si>
    <t>AXW190102</t>
  </si>
  <si>
    <t>AXW190103</t>
  </si>
  <si>
    <t>AXW190105</t>
  </si>
  <si>
    <t>AXW190106</t>
  </si>
  <si>
    <t>AXW190107</t>
  </si>
  <si>
    <t>AXW200102</t>
  </si>
  <si>
    <t>AXW200103</t>
  </si>
  <si>
    <t>AXW200105</t>
  </si>
  <si>
    <t>AXW200108</t>
  </si>
  <si>
    <t>AXW200202</t>
  </si>
  <si>
    <t>AXW210104</t>
  </si>
  <si>
    <t>AXW210106</t>
  </si>
  <si>
    <t>AXW220102</t>
  </si>
  <si>
    <t>AXW220105</t>
  </si>
  <si>
    <t>AXW220108</t>
  </si>
  <si>
    <t>AXW220201</t>
  </si>
  <si>
    <t>FY 2026-27 H1 Data</t>
  </si>
  <si>
    <t>CM3010103</t>
  </si>
  <si>
    <t>CM3010104</t>
  </si>
  <si>
    <t>CM3010105</t>
  </si>
  <si>
    <t>CM3020102</t>
  </si>
  <si>
    <t>CM3020103</t>
  </si>
  <si>
    <t>CM3030101</t>
  </si>
  <si>
    <t>CM3030106</t>
  </si>
  <si>
    <t>CM3030107</t>
  </si>
  <si>
    <t>CM3040102</t>
  </si>
  <si>
    <t>CM3040103</t>
  </si>
  <si>
    <t>CM3040105</t>
  </si>
  <si>
    <t>CM3040106</t>
  </si>
  <si>
    <t>CM3050103</t>
  </si>
  <si>
    <t>CM3060107</t>
  </si>
  <si>
    <t>CM3060101</t>
  </si>
  <si>
    <t>CM3060102</t>
  </si>
  <si>
    <t>CM3060103</t>
  </si>
  <si>
    <t>CM3070101</t>
  </si>
  <si>
    <t>CM3070102</t>
  </si>
  <si>
    <t>CM3070106</t>
  </si>
  <si>
    <t>CM3070107</t>
  </si>
  <si>
    <t>CM3080105</t>
  </si>
  <si>
    <t>CM3080106</t>
  </si>
  <si>
    <t>CM3080107</t>
  </si>
  <si>
    <t>CM3090101</t>
  </si>
  <si>
    <t>CM3090102</t>
  </si>
  <si>
    <t>CM3090105</t>
  </si>
  <si>
    <t>CM3090106</t>
  </si>
  <si>
    <t>CM3100101</t>
  </si>
  <si>
    <t>CM3100102</t>
  </si>
  <si>
    <t>CM3100105</t>
  </si>
  <si>
    <t>CM3110102</t>
  </si>
  <si>
    <t>CM3110104</t>
  </si>
  <si>
    <t>CM3110105</t>
  </si>
  <si>
    <t>CM3110106</t>
  </si>
  <si>
    <t>CM3120105</t>
  </si>
  <si>
    <t>CM3120106</t>
  </si>
  <si>
    <t>CM3120107</t>
  </si>
  <si>
    <t>CM3130106</t>
  </si>
  <si>
    <t>CM3130103</t>
  </si>
  <si>
    <t>CM3140105</t>
  </si>
  <si>
    <t>CM3140106</t>
  </si>
  <si>
    <t>CM3140107</t>
  </si>
  <si>
    <t>CM3140102</t>
  </si>
  <si>
    <t>CM3160105</t>
  </si>
  <si>
    <t>CM3160103</t>
  </si>
  <si>
    <t>CM3170103</t>
  </si>
  <si>
    <t>CM3180103</t>
  </si>
  <si>
    <t>CM3180107</t>
  </si>
  <si>
    <t>CM3180104</t>
  </si>
  <si>
    <t>CM3190101</t>
  </si>
  <si>
    <t>CM3190102</t>
  </si>
  <si>
    <t>CM3190103</t>
  </si>
  <si>
    <t>CM3190105</t>
  </si>
  <si>
    <t>CM3190106</t>
  </si>
  <si>
    <t>CM3190107</t>
  </si>
  <si>
    <t>CM3200102</t>
  </si>
  <si>
    <t>CM3200103</t>
  </si>
  <si>
    <t>CM3210101</t>
  </si>
  <si>
    <t>CM3210102</t>
  </si>
  <si>
    <t>CM3210103</t>
  </si>
  <si>
    <t>CM3220105</t>
  </si>
  <si>
    <t>CM3220106</t>
  </si>
  <si>
    <t>CM3220107</t>
  </si>
  <si>
    <t>CM3220101</t>
  </si>
  <si>
    <t>CM3230102</t>
  </si>
  <si>
    <t>CM3230103</t>
  </si>
  <si>
    <t>CM3230106</t>
  </si>
  <si>
    <t>CM3240104</t>
  </si>
  <si>
    <t>CM3240105</t>
  </si>
  <si>
    <t>CM3250101</t>
  </si>
  <si>
    <t>CM3250102</t>
  </si>
  <si>
    <t>CM3250104</t>
  </si>
  <si>
    <t>CM3250105</t>
  </si>
  <si>
    <t>CM3250106</t>
  </si>
  <si>
    <t>CM4010105</t>
  </si>
  <si>
    <t>CM4010107</t>
  </si>
  <si>
    <t>CM4020101</t>
  </si>
  <si>
    <t>CM4020102</t>
  </si>
  <si>
    <t>CM4020103</t>
  </si>
  <si>
    <t>CM4020106</t>
  </si>
  <si>
    <t>CM4020107</t>
  </si>
  <si>
    <t>CM4030102</t>
  </si>
  <si>
    <t>CM4030106</t>
  </si>
  <si>
    <t>CM4030107</t>
  </si>
  <si>
    <t>CM4040102</t>
  </si>
  <si>
    <t>CM4040106</t>
  </si>
  <si>
    <t>CM4080101</t>
  </si>
  <si>
    <t>CM4080102</t>
  </si>
  <si>
    <t>CM4080103</t>
  </si>
  <si>
    <t>CM4080106</t>
  </si>
  <si>
    <t>CM4090105</t>
  </si>
  <si>
    <t>CM4110107</t>
  </si>
  <si>
    <t>CM4120106</t>
  </si>
  <si>
    <t>CM4140102</t>
  </si>
  <si>
    <t>CM4150103</t>
  </si>
  <si>
    <t>CM4150105</t>
  </si>
  <si>
    <t>CM4150106</t>
  </si>
  <si>
    <t>CM4160102</t>
  </si>
  <si>
    <t>CM4160103</t>
  </si>
  <si>
    <t>CM4180103</t>
  </si>
  <si>
    <t>CM4180105</t>
  </si>
  <si>
    <t>CM4180106</t>
  </si>
  <si>
    <t>CM4180107</t>
  </si>
  <si>
    <t>CM4190104</t>
  </si>
  <si>
    <t>CM4190105</t>
  </si>
  <si>
    <t>CM4190106</t>
  </si>
  <si>
    <t>CM4190107</t>
  </si>
  <si>
    <t>CM4200103</t>
  </si>
  <si>
    <t>CM4200101</t>
  </si>
  <si>
    <t>CM4210102</t>
  </si>
  <si>
    <t>CM4210103</t>
  </si>
  <si>
    <t>FDC/FAT Unique ID</t>
  </si>
  <si>
    <t>Qty used</t>
  </si>
  <si>
    <t>Rate Per Unit</t>
  </si>
  <si>
    <t>Total Cost</t>
  </si>
  <si>
    <t>Installation Date</t>
  </si>
  <si>
    <t>Circle</t>
  </si>
  <si>
    <t>Primary Splitter 2:8</t>
  </si>
  <si>
    <t>Secondary Splitter 1:16</t>
  </si>
  <si>
    <t>Secondary Splitter 1:8</t>
  </si>
  <si>
    <t>Pole Mount Jubilee Clamps</t>
  </si>
  <si>
    <t>Sr. no.</t>
  </si>
  <si>
    <t>Service Name</t>
  </si>
  <si>
    <t>Vendor name</t>
  </si>
  <si>
    <t>FAT Box Installation</t>
  </si>
  <si>
    <t>FDC Installation</t>
  </si>
  <si>
    <t>FAT -Labelling &amp; AT clearance</t>
  </si>
  <si>
    <t>Installation of 48F FMS</t>
  </si>
  <si>
    <t>Extra Core Splicing</t>
  </si>
  <si>
    <t>Installation of 96F FMS</t>
  </si>
  <si>
    <t>Extra core Splicing</t>
  </si>
  <si>
    <t>Sr No.</t>
  </si>
  <si>
    <t>PO No.</t>
  </si>
  <si>
    <t>PO Type (Fresh/Renewal)</t>
  </si>
  <si>
    <t>RSU</t>
  </si>
  <si>
    <t>RSU Name</t>
  </si>
  <si>
    <t>Lockin Period (Yrs)</t>
  </si>
  <si>
    <t>Fiber Rate   (Yr 1)</t>
  </si>
  <si>
    <t>Fiber Rate   (Yr 2)</t>
  </si>
  <si>
    <t>Fiber Rate   (Yr 3)</t>
  </si>
  <si>
    <t>Fiber Rate   (Yr 4)</t>
  </si>
  <si>
    <t>Fiber Rate   (Yr 5)</t>
  </si>
  <si>
    <t>Fiber Length (Mtrs)</t>
  </si>
  <si>
    <t>Hoto Length (Mtrs)</t>
  </si>
  <si>
    <t>FAT Box (nos)</t>
  </si>
  <si>
    <t>Fat Box Rate</t>
  </si>
  <si>
    <t>HP (nos)</t>
  </si>
  <si>
    <t>Pole (nos)</t>
  </si>
  <si>
    <t>Pole Rate</t>
  </si>
  <si>
    <t>Spiltter</t>
  </si>
  <si>
    <t>Spiltter Rate</t>
  </si>
  <si>
    <t>Lockin Period</t>
  </si>
  <si>
    <t>FAT Box Rate</t>
  </si>
  <si>
    <t>Pole</t>
  </si>
  <si>
    <t>Original HOTO</t>
  </si>
  <si>
    <t>1st Revised HOTO</t>
  </si>
  <si>
    <t>2nd Revised HOTO</t>
  </si>
  <si>
    <t>3rd Revised HOTO</t>
  </si>
  <si>
    <t>4th Revised HOTO</t>
  </si>
  <si>
    <t>5th Revised HOTO</t>
  </si>
  <si>
    <t>Cluster Name</t>
  </si>
  <si>
    <t xml:space="preserve"> Fiber Capacity</t>
  </si>
  <si>
    <t>Fiber Length as per HOTO</t>
  </si>
  <si>
    <t>Planned FAT</t>
  </si>
  <si>
    <t>Actual Deployed FAT</t>
  </si>
  <si>
    <t>%Penetration FAT</t>
  </si>
  <si>
    <t>Planned HP</t>
  </si>
  <si>
    <t>Actual Home Pass</t>
  </si>
  <si>
    <t>%Penetration HP</t>
  </si>
  <si>
    <t>Max (HP/FAT) Penetration %</t>
  </si>
  <si>
    <t>Penetration Slab</t>
  </si>
  <si>
    <t>Cluster ID As per Master Tracker</t>
  </si>
  <si>
    <t>check Point</t>
  </si>
  <si>
    <t>Revised HOTO Signoff Received date</t>
  </si>
  <si>
    <t>Revised HOTO Date</t>
  </si>
  <si>
    <t>Revised HOTO Signoff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</si>
</sst>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409]dd\-mmm\-yy;@"/>
    <numFmt numFmtId="166" formatCode="[$-C09]dd\-mmm\-yy;@"/>
    <numFmt numFmtId="167" formatCode="_ * #,##0_ ;_ * \-#,##0_ ;_ * &quot;-&quot;??_ ;_ @_ "/>
    <numFmt numFmtId="168" formatCode="_ * #,##0.0_ ;_ * \-#,##0.0_ ;_ * &quot;-&quot;??_ ;_ @_ "/>
    <numFmt numFmtId="169" formatCode="[$-409]d/mmm/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sz val="9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164" fontId="4" fillId="0" borderId="0"/>
    <xf numFmtId="164" fontId="4" fillId="0" borderId="0"/>
    <xf numFmtId="9" fontId="4" fillId="0" borderId="0"/>
    <xf numFmtId="164" fontId="4" fillId="0" borderId="0"/>
  </cellStyleXfs>
  <cellXfs count="132">
    <xf numFmtId="0" fontId="0" fillId="0" borderId="0" xfId="0"/>
    <xf numFmtId="0" fontId="0" fillId="0" borderId="1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165" fontId="0" fillId="0" borderId="0" xfId="0" applyNumberFormat="1"/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top" wrapText="1"/>
    </xf>
    <xf numFmtId="0" fontId="7" fillId="0" borderId="0" xfId="0" applyFont="1"/>
    <xf numFmtId="0" fontId="7" fillId="0" borderId="8" xfId="0" applyFont="1" applyBorder="1"/>
    <xf numFmtId="164" fontId="0" fillId="0" borderId="0" xfId="2" applyFont="1"/>
    <xf numFmtId="164" fontId="0" fillId="0" borderId="0" xfId="2" applyFont="1" applyAlignment="1">
      <alignment horizontal="left"/>
    </xf>
    <xf numFmtId="164" fontId="0" fillId="0" borderId="0" xfId="2" applyFont="1" applyAlignment="1">
      <alignment horizontal="left" vertical="center"/>
    </xf>
    <xf numFmtId="164" fontId="0" fillId="0" borderId="0" xfId="2" applyFont="1" applyAlignment="1">
      <alignment horizontal="center" vertical="center"/>
    </xf>
    <xf numFmtId="0" fontId="0" fillId="0" borderId="8" xfId="0" applyBorder="1"/>
    <xf numFmtId="0" fontId="5" fillId="4" borderId="8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9" fontId="0" fillId="4" borderId="8" xfId="4" applyFont="1" applyFill="1" applyBorder="1"/>
    <xf numFmtId="9" fontId="0" fillId="4" borderId="8" xfId="4" applyFont="1" applyFill="1" applyBorder="1" applyAlignment="1">
      <alignment horizontal="center"/>
    </xf>
    <xf numFmtId="0" fontId="0" fillId="4" borderId="8" xfId="0" applyFill="1" applyBorder="1"/>
    <xf numFmtId="0" fontId="5" fillId="3" borderId="0" xfId="0" applyFont="1" applyFill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15" fontId="11" fillId="0" borderId="8" xfId="0" applyNumberFormat="1" applyFont="1" applyBorder="1" applyAlignment="1">
      <alignment horizontal="center" vertical="center"/>
    </xf>
    <xf numFmtId="167" fontId="4" fillId="0" borderId="8" xfId="5" applyNumberFormat="1" applyBorder="1"/>
    <xf numFmtId="0" fontId="11" fillId="0" borderId="8" xfId="0" applyFont="1" applyBorder="1" applyAlignment="1">
      <alignment horizontal="left" vertical="center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6" fillId="0" borderId="0" xfId="0" applyFont="1" applyAlignment="1">
      <alignment horizontal="center" vertical="top" wrapText="1"/>
    </xf>
    <xf numFmtId="15" fontId="5" fillId="0" borderId="8" xfId="0" applyNumberFormat="1" applyFont="1" applyBorder="1" applyAlignment="1">
      <alignment horizontal="center" vertical="top" wrapText="1"/>
    </xf>
    <xf numFmtId="15" fontId="0" fillId="0" borderId="0" xfId="0" applyNumberFormat="1" applyAlignment="1">
      <alignment horizontal="centerContinuous" vertical="center"/>
    </xf>
    <xf numFmtId="9" fontId="4" fillId="0" borderId="0" xfId="4" applyAlignment="1">
      <alignment horizontal="centerContinuous" vertical="center"/>
    </xf>
    <xf numFmtId="9" fontId="0" fillId="0" borderId="0" xfId="4" applyFont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7" fillId="4" borderId="8" xfId="0" applyFont="1" applyFill="1" applyBorder="1" applyAlignment="1">
      <alignment horizontal="center"/>
    </xf>
    <xf numFmtId="15" fontId="7" fillId="0" borderId="8" xfId="0" applyNumberFormat="1" applyFont="1" applyBorder="1"/>
    <xf numFmtId="9" fontId="7" fillId="4" borderId="8" xfId="4" applyFont="1" applyFill="1" applyBorder="1"/>
    <xf numFmtId="9" fontId="7" fillId="4" borderId="8" xfId="4" applyFont="1" applyFill="1" applyBorder="1" applyAlignment="1">
      <alignment horizontal="center"/>
    </xf>
    <xf numFmtId="9" fontId="7" fillId="0" borderId="0" xfId="4" applyFont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165" fontId="5" fillId="0" borderId="15" xfId="0" applyNumberFormat="1" applyFont="1" applyBorder="1" applyAlignment="1">
      <alignment horizontal="center" vertical="center" wrapText="1"/>
    </xf>
    <xf numFmtId="15" fontId="5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166" fontId="5" fillId="2" borderId="16" xfId="0" applyNumberFormat="1" applyFont="1" applyFill="1" applyBorder="1" applyAlignment="1">
      <alignment horizontal="center" vertical="center" wrapText="1"/>
    </xf>
    <xf numFmtId="167" fontId="5" fillId="3" borderId="15" xfId="2" applyNumberFormat="1" applyFont="1" applyFill="1" applyBorder="1" applyAlignment="1">
      <alignment horizontal="center" vertical="center" wrapText="1"/>
    </xf>
    <xf numFmtId="165" fontId="5" fillId="0" borderId="16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167" fontId="7" fillId="0" borderId="0" xfId="2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6" fontId="10" fillId="0" borderId="0" xfId="0" applyNumberFormat="1" applyFont="1"/>
    <xf numFmtId="164" fontId="7" fillId="0" borderId="0" xfId="2" applyFont="1"/>
    <xf numFmtId="164" fontId="3" fillId="0" borderId="0" xfId="2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5" fontId="7" fillId="0" borderId="0" xfId="0" applyNumberFormat="1" applyFont="1" applyAlignment="1">
      <alignment horizontal="center" vertical="center"/>
    </xf>
    <xf numFmtId="164" fontId="7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5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7" fontId="3" fillId="0" borderId="0" xfId="2" applyNumberFormat="1" applyFont="1" applyAlignment="1">
      <alignment horizontal="left" vertical="center"/>
    </xf>
    <xf numFmtId="169" fontId="3" fillId="0" borderId="0" xfId="2" applyNumberFormat="1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67" fontId="3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2" borderId="16" xfId="0" applyFont="1" applyFill="1" applyBorder="1" applyAlignment="1">
      <alignment horizontal="center" vertical="center" wrapText="1"/>
    </xf>
    <xf numFmtId="15" fontId="5" fillId="0" borderId="16" xfId="0" applyNumberFormat="1" applyFont="1" applyBorder="1" applyAlignment="1">
      <alignment horizontal="center" vertical="center" wrapText="1"/>
    </xf>
    <xf numFmtId="167" fontId="7" fillId="0" borderId="0" xfId="2" applyNumberFormat="1" applyFont="1" applyAlignment="1">
      <alignment horizontal="left" vertical="center"/>
    </xf>
    <xf numFmtId="168" fontId="3" fillId="0" borderId="0" xfId="2" applyNumberFormat="1" applyFont="1" applyAlignment="1">
      <alignment horizontal="left" vertical="center"/>
    </xf>
    <xf numFmtId="15" fontId="10" fillId="0" borderId="0" xfId="0" applyNumberFormat="1" applyFont="1"/>
    <xf numFmtId="0" fontId="9" fillId="0" borderId="0" xfId="0" applyFont="1" applyAlignment="1">
      <alignment vertical="center"/>
    </xf>
    <xf numFmtId="168" fontId="7" fillId="0" borderId="0" xfId="2" applyNumberFormat="1" applyFont="1" applyAlignment="1">
      <alignment horizontal="left"/>
    </xf>
    <xf numFmtId="168" fontId="7" fillId="0" borderId="0" xfId="2" applyNumberFormat="1" applyFont="1" applyAlignment="1">
      <alignment horizontal="left" vertical="center"/>
    </xf>
    <xf numFmtId="168" fontId="7" fillId="0" borderId="0" xfId="2" applyNumberFormat="1" applyFont="1"/>
    <xf numFmtId="2" fontId="0" fillId="0" borderId="0" xfId="2" applyNumberFormat="1" applyFont="1" applyAlignment="1">
      <alignment horizontal="left" vertical="center"/>
    </xf>
    <xf numFmtId="2" fontId="5" fillId="0" borderId="16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2" fontId="5" fillId="0" borderId="15" xfId="0" applyNumberFormat="1" applyFont="1" applyBorder="1" applyAlignment="1">
      <alignment horizontal="center" vertical="center" wrapText="1"/>
    </xf>
    <xf numFmtId="0" fontId="12" fillId="0" borderId="0" xfId="0" applyFont="1"/>
    <xf numFmtId="15" fontId="12" fillId="0" borderId="0" xfId="0" applyNumberFormat="1" applyFont="1" applyAlignment="1">
      <alignment vertical="center"/>
    </xf>
    <xf numFmtId="167" fontId="11" fillId="0" borderId="0" xfId="2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169" fontId="11" fillId="0" borderId="0" xfId="2" applyNumberFormat="1" applyFont="1" applyAlignment="1">
      <alignment vertical="center"/>
    </xf>
    <xf numFmtId="2" fontId="11" fillId="0" borderId="0" xfId="2" applyNumberFormat="1" applyFont="1" applyAlignment="1">
      <alignment vertical="center"/>
    </xf>
    <xf numFmtId="14" fontId="6" fillId="0" borderId="0" xfId="0" applyNumberFormat="1" applyFont="1"/>
    <xf numFmtId="167" fontId="6" fillId="0" borderId="0" xfId="2" applyNumberFormat="1" applyFont="1" applyAlignment="1">
      <alignment vertical="center"/>
    </xf>
    <xf numFmtId="15" fontId="0" fillId="0" borderId="8" xfId="0" applyNumberFormat="1" applyBorder="1"/>
    <xf numFmtId="167" fontId="11" fillId="0" borderId="0" xfId="2" applyNumberFormat="1" applyFont="1" applyAlignment="1">
      <alignment horizontal="center" vertical="center"/>
    </xf>
    <xf numFmtId="164" fontId="11" fillId="0" borderId="0" xfId="2" applyFont="1" applyAlignment="1">
      <alignment horizontal="left" vertical="center"/>
    </xf>
    <xf numFmtId="15" fontId="0" fillId="0" borderId="0" xfId="0" applyNumberFormat="1" applyAlignment="1">
      <alignment horizontal="left"/>
    </xf>
    <xf numFmtId="165" fontId="5" fillId="5" borderId="11" xfId="0" applyNumberFormat="1" applyFont="1" applyFill="1" applyBorder="1" applyAlignment="1">
      <alignment horizontal="center" vertical="center" wrapText="1"/>
    </xf>
    <xf numFmtId="1" fontId="5" fillId="5" borderId="11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165" fontId="5" fillId="2" borderId="11" xfId="0" applyNumberFormat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left" vertical="center" wrapText="1"/>
    </xf>
  </cellXfs>
  <cellStyles count="6">
    <cellStyle name="Comma" xfId="2" builtinId="3"/>
    <cellStyle name="Comma 2" xfId="3" xr:uid="{00000000-0005-0000-0000-000003000000}"/>
    <cellStyle name="Comma 4" xfId="5" xr:uid="{55C32FD3-13B0-4C1B-A3DD-C4E498C21A7A}"/>
    <cellStyle name="Normal" xfId="0" builtinId="0"/>
    <cellStyle name="Normal 3 3" xfId="1" xr:uid="{00000000-0005-0000-0000-000001000000}"/>
    <cellStyle name="Percent" xfId="4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zoomScale="80" zoomScaleNormal="80"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8"/>
  <sheetViews>
    <sheetView workbookViewId="0">
      <selection sqref="A1:B16"/>
    </sheetView>
  </sheetViews>
  <sheetFormatPr defaultRowHeight="15"/>
  <cols>
    <col min="1" max="1" width="5.7109375" bestFit="1" customWidth="1"/>
    <col min="2" max="2" width="119.28515625" bestFit="1" customWidth="1"/>
  </cols>
  <sheetData>
    <row r="1" spans="1:18" ht="15.75" customHeight="1" thickBot="1">
      <c r="A1" s="6" t="s">
        <v>0</v>
      </c>
      <c r="B1" s="7" t="s">
        <v>1</v>
      </c>
    </row>
    <row r="2" spans="1:18">
      <c r="A2" s="41">
        <v>1</v>
      </c>
      <c r="B2" s="42" t="s">
        <v>2</v>
      </c>
    </row>
    <row r="3" spans="1:18" ht="15.75" customHeight="1" thickBot="1">
      <c r="A3" s="2">
        <f t="shared" ref="A3:A16" si="0">A2+1</f>
        <v>2</v>
      </c>
      <c r="B3" s="3" t="s">
        <v>3</v>
      </c>
    </row>
    <row r="4" spans="1:18" ht="21.6" customHeight="1" thickBot="1">
      <c r="A4" s="2">
        <f t="shared" si="0"/>
        <v>3</v>
      </c>
      <c r="B4" s="3" t="s">
        <v>4</v>
      </c>
      <c r="R4" s="1" t="s">
        <v>5</v>
      </c>
    </row>
    <row r="5" spans="1:18">
      <c r="A5" s="2">
        <f t="shared" si="0"/>
        <v>4</v>
      </c>
      <c r="B5" s="3" t="s">
        <v>6</v>
      </c>
      <c r="R5" s="2" t="s">
        <v>7</v>
      </c>
    </row>
    <row r="6" spans="1:18">
      <c r="A6" s="2">
        <f t="shared" si="0"/>
        <v>5</v>
      </c>
      <c r="B6" s="3" t="s">
        <v>8</v>
      </c>
      <c r="R6" s="2" t="s">
        <v>9</v>
      </c>
    </row>
    <row r="7" spans="1:18">
      <c r="A7" s="2">
        <f t="shared" si="0"/>
        <v>6</v>
      </c>
      <c r="B7" s="3" t="s">
        <v>10</v>
      </c>
      <c r="R7" s="2" t="s">
        <v>11</v>
      </c>
    </row>
    <row r="8" spans="1:18">
      <c r="A8" s="2">
        <f t="shared" si="0"/>
        <v>7</v>
      </c>
      <c r="B8" s="3" t="s">
        <v>12</v>
      </c>
      <c r="R8" s="2" t="s">
        <v>13</v>
      </c>
    </row>
    <row r="9" spans="1:18">
      <c r="A9" s="2">
        <f t="shared" si="0"/>
        <v>8</v>
      </c>
      <c r="B9" s="3" t="s">
        <v>14</v>
      </c>
      <c r="R9" s="2"/>
    </row>
    <row r="10" spans="1:18">
      <c r="A10" s="2">
        <f t="shared" si="0"/>
        <v>9</v>
      </c>
      <c r="B10" s="3" t="s">
        <v>15</v>
      </c>
      <c r="R10" s="2"/>
    </row>
    <row r="11" spans="1:18">
      <c r="A11" s="2">
        <f t="shared" si="0"/>
        <v>10</v>
      </c>
      <c r="B11" s="3" t="s">
        <v>16</v>
      </c>
      <c r="R11" s="2"/>
    </row>
    <row r="12" spans="1:18">
      <c r="A12" s="2">
        <f t="shared" si="0"/>
        <v>11</v>
      </c>
      <c r="B12" s="3" t="s">
        <v>17</v>
      </c>
      <c r="R12" s="2"/>
    </row>
    <row r="13" spans="1:18">
      <c r="A13" s="2">
        <f t="shared" si="0"/>
        <v>12</v>
      </c>
      <c r="B13" s="3" t="s">
        <v>18</v>
      </c>
      <c r="R13" s="2"/>
    </row>
    <row r="14" spans="1:18">
      <c r="A14" s="2">
        <f t="shared" si="0"/>
        <v>13</v>
      </c>
      <c r="B14" s="3" t="s">
        <v>19</v>
      </c>
      <c r="R14" s="2" t="s">
        <v>20</v>
      </c>
    </row>
    <row r="15" spans="1:18" ht="15.75" customHeight="1">
      <c r="A15" s="2">
        <f t="shared" si="0"/>
        <v>14</v>
      </c>
      <c r="B15" s="3" t="s">
        <v>21</v>
      </c>
      <c r="R15" s="2" t="s">
        <v>22</v>
      </c>
    </row>
    <row r="16" spans="1:18" ht="15.75" thickBot="1">
      <c r="A16" s="4">
        <f t="shared" si="0"/>
        <v>15</v>
      </c>
      <c r="B16" s="5" t="s">
        <v>23</v>
      </c>
      <c r="R16" s="2" t="s">
        <v>24</v>
      </c>
    </row>
    <row r="17" spans="18:18">
      <c r="R17" s="2" t="s">
        <v>25</v>
      </c>
    </row>
    <row r="18" spans="18:18">
      <c r="R18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H333"/>
  <sheetViews>
    <sheetView zoomScale="106" zoomScaleNormal="106" workbookViewId="0">
      <pane ySplit="2" topLeftCell="G3" activePane="bottomLeft" state="frozen"/>
      <selection pane="bottomLeft" activeCell="S2" sqref="S2"/>
      <selection activeCell="D110" sqref="D110"/>
    </sheetView>
  </sheetViews>
  <sheetFormatPr defaultColWidth="8.7109375" defaultRowHeight="15"/>
  <cols>
    <col min="1" max="1" width="7.5703125" style="9" bestFit="1" customWidth="1"/>
    <col min="2" max="2" width="23.85546875" style="10" customWidth="1"/>
    <col min="3" max="3" width="14.5703125" style="10" customWidth="1"/>
    <col min="4" max="4" width="21.42578125" style="9" bestFit="1" customWidth="1"/>
    <col min="5" max="5" width="22.5703125" style="10" bestFit="1" customWidth="1"/>
    <col min="6" max="6" width="21.42578125" style="10" customWidth="1"/>
    <col min="7" max="7" width="14.5703125" style="10" customWidth="1"/>
    <col min="8" max="8" width="18.42578125" style="10" customWidth="1"/>
    <col min="9" max="9" width="12.140625" style="10" customWidth="1"/>
    <col min="10" max="11" width="17.42578125" style="10" customWidth="1"/>
    <col min="12" max="13" width="14.5703125" style="10" customWidth="1"/>
    <col min="14" max="14" width="14.5703125" style="11" customWidth="1"/>
    <col min="15" max="15" width="14.5703125" style="10" customWidth="1"/>
    <col min="16" max="16" width="10.140625" style="11" bestFit="1" customWidth="1"/>
    <col min="17" max="17" width="13.5703125" style="11" bestFit="1" customWidth="1"/>
    <col min="18" max="18" width="12" style="11" customWidth="1"/>
    <col min="19" max="19" width="8.7109375" style="10" customWidth="1"/>
    <col min="20" max="20" width="10" style="10" customWidth="1"/>
    <col min="21" max="22" width="8.7109375" style="10" customWidth="1"/>
    <col min="23" max="23" width="12.28515625" style="10" bestFit="1" customWidth="1"/>
    <col min="24" max="24" width="12.42578125" style="10" customWidth="1"/>
    <col min="25" max="25" width="1.7109375" style="10" customWidth="1"/>
    <col min="26" max="26" width="39.140625" style="10" bestFit="1" customWidth="1"/>
    <col min="27" max="27" width="8.7109375" style="10" customWidth="1"/>
    <col min="28" max="28" width="9.42578125" style="16" customWidth="1"/>
    <col min="29" max="29" width="8.7109375" style="108" customWidth="1"/>
    <col min="30" max="30" width="1.7109375" style="10" customWidth="1"/>
    <col min="31" max="31" width="14.5703125" style="10" customWidth="1"/>
    <col min="32" max="32" width="9.42578125" style="10" customWidth="1"/>
    <col min="33" max="33" width="8.7109375" style="10" customWidth="1"/>
    <col min="34" max="34" width="11.7109375" style="108" customWidth="1"/>
    <col min="35" max="35" width="8.7109375" style="10" customWidth="1"/>
    <col min="36" max="36" width="1.7109375" style="10" customWidth="1"/>
    <col min="37" max="37" width="30.140625" style="10" bestFit="1" customWidth="1"/>
    <col min="38" max="38" width="16.42578125" style="10" customWidth="1"/>
    <col min="39" max="44" width="8.7109375" style="10" customWidth="1"/>
    <col min="45" max="45" width="1.7109375" style="10" customWidth="1"/>
    <col min="46" max="46" width="25.85546875" style="10" bestFit="1" customWidth="1"/>
    <col min="47" max="47" width="13.140625" style="11" bestFit="1" customWidth="1"/>
    <col min="48" max="49" width="13.140625" style="10" bestFit="1" customWidth="1"/>
    <col min="50" max="50" width="1.7109375" style="10" customWidth="1"/>
    <col min="51" max="51" width="20" style="10" bestFit="1" customWidth="1"/>
    <col min="52" max="52" width="14.28515625" style="11" bestFit="1" customWidth="1"/>
    <col min="53" max="53" width="14.28515625" style="10" bestFit="1" customWidth="1"/>
    <col min="54" max="54" width="12.85546875" style="10" customWidth="1"/>
    <col min="55" max="55" width="14" style="10" bestFit="1" customWidth="1"/>
    <col min="56" max="56" width="1.7109375" style="10" customWidth="1"/>
    <col min="57" max="57" width="7.28515625" style="10" bestFit="1" customWidth="1"/>
    <col min="58" max="58" width="19.5703125" style="10" bestFit="1" customWidth="1"/>
    <col min="59" max="59" width="14.7109375" style="10" bestFit="1" customWidth="1"/>
    <col min="60" max="16384" width="8.7109375" style="10"/>
  </cols>
  <sheetData>
    <row r="1" spans="1:60" s="28" customFormat="1" ht="15.75" customHeight="1" thickBot="1">
      <c r="A1" s="29"/>
      <c r="D1" s="29"/>
      <c r="O1" s="28">
        <f>SUBTOTAL(9,O3:O1048576)</f>
        <v>38662</v>
      </c>
      <c r="W1" s="28">
        <f>SUBTOTAL(9,W3:W1048576)</f>
        <v>38662</v>
      </c>
      <c r="X1" s="28">
        <f>SUBTOTAL(9,X3:X1048576)</f>
        <v>37231</v>
      </c>
      <c r="AC1" s="106"/>
      <c r="AE1" s="28">
        <f>SUBTOTAL(9,AE3:AE1048576)</f>
        <v>38662</v>
      </c>
      <c r="AH1" s="106"/>
      <c r="AL1" s="28">
        <f>SUBTOTAL(9,AL3:AL1048576)</f>
        <v>37231</v>
      </c>
      <c r="BB1" s="28">
        <f>SUBTOTAL(9,BB3:BB1048576)</f>
        <v>37231</v>
      </c>
      <c r="BC1" s="28">
        <f>SUBTOTAL(9,BC3:BC1048576)</f>
        <v>694861</v>
      </c>
    </row>
    <row r="2" spans="1:60" s="19" customFormat="1" ht="41.1" customHeight="1">
      <c r="A2" s="63" t="s">
        <v>0</v>
      </c>
      <c r="B2" s="64" t="s">
        <v>27</v>
      </c>
      <c r="C2" s="64" t="s">
        <v>28</v>
      </c>
      <c r="D2" s="64" t="s">
        <v>29</v>
      </c>
      <c r="E2" s="64" t="s">
        <v>30</v>
      </c>
      <c r="F2" s="64" t="s">
        <v>31</v>
      </c>
      <c r="G2" s="64" t="s">
        <v>32</v>
      </c>
      <c r="H2" s="64" t="s">
        <v>33</v>
      </c>
      <c r="I2" s="64" t="s">
        <v>34</v>
      </c>
      <c r="J2" s="64" t="s">
        <v>35</v>
      </c>
      <c r="K2" s="64" t="s">
        <v>36</v>
      </c>
      <c r="L2" s="64" t="s">
        <v>37</v>
      </c>
      <c r="M2" s="64" t="s">
        <v>38</v>
      </c>
      <c r="N2" s="125" t="s">
        <v>39</v>
      </c>
      <c r="O2" s="126" t="s">
        <v>40</v>
      </c>
      <c r="P2" s="66" t="s">
        <v>41</v>
      </c>
      <c r="Q2" s="66" t="s">
        <v>42</v>
      </c>
      <c r="R2" s="66" t="s">
        <v>43</v>
      </c>
      <c r="S2" s="64" t="s">
        <v>44</v>
      </c>
      <c r="T2" s="64" t="s">
        <v>45</v>
      </c>
      <c r="U2" s="64" t="s">
        <v>46</v>
      </c>
      <c r="V2" s="64" t="s">
        <v>47</v>
      </c>
      <c r="W2" s="64" t="s">
        <v>48</v>
      </c>
      <c r="X2" s="68" t="s">
        <v>49</v>
      </c>
      <c r="Y2" s="22"/>
      <c r="Z2" s="63" t="s">
        <v>50</v>
      </c>
      <c r="AA2" s="64" t="s">
        <v>51</v>
      </c>
      <c r="AB2" s="73" t="s">
        <v>52</v>
      </c>
      <c r="AC2" s="107" t="s">
        <v>53</v>
      </c>
      <c r="AD2" s="22"/>
      <c r="AE2" s="63" t="s">
        <v>54</v>
      </c>
      <c r="AF2" s="64" t="s">
        <v>55</v>
      </c>
      <c r="AG2" s="64" t="s">
        <v>47</v>
      </c>
      <c r="AH2" s="109" t="s">
        <v>56</v>
      </c>
      <c r="AI2" s="128" t="s">
        <v>57</v>
      </c>
      <c r="AJ2" s="22"/>
      <c r="AK2" s="63" t="s">
        <v>58</v>
      </c>
      <c r="AL2" s="64" t="s">
        <v>59</v>
      </c>
      <c r="AM2" s="64" t="s">
        <v>60</v>
      </c>
      <c r="AN2" s="128" t="s">
        <v>61</v>
      </c>
      <c r="AO2" s="64" t="s">
        <v>62</v>
      </c>
      <c r="AP2" s="64" t="s">
        <v>63</v>
      </c>
      <c r="AQ2" s="128" t="s">
        <v>64</v>
      </c>
      <c r="AR2" s="128" t="s">
        <v>65</v>
      </c>
      <c r="AS2" s="22"/>
      <c r="AT2" s="63" t="s">
        <v>66</v>
      </c>
      <c r="AU2" s="66" t="s">
        <v>67</v>
      </c>
      <c r="AV2" s="129" t="s">
        <v>68</v>
      </c>
      <c r="AW2" s="97" t="s">
        <v>69</v>
      </c>
      <c r="AX2" s="22"/>
      <c r="AY2" s="63" t="s">
        <v>70</v>
      </c>
      <c r="AZ2" s="66" t="s">
        <v>71</v>
      </c>
      <c r="BA2" s="129" t="s">
        <v>72</v>
      </c>
      <c r="BB2" s="129" t="s">
        <v>73</v>
      </c>
      <c r="BC2" s="97" t="s">
        <v>74</v>
      </c>
      <c r="BD2" s="21"/>
      <c r="BE2" s="19" t="s">
        <v>75</v>
      </c>
      <c r="BF2" s="64" t="s">
        <v>27</v>
      </c>
      <c r="BG2" s="19" t="s">
        <v>76</v>
      </c>
      <c r="BH2" s="19" t="s">
        <v>77</v>
      </c>
    </row>
    <row r="3" spans="1:60" s="120" customFormat="1" ht="15" customHeight="1">
      <c r="A3" s="112">
        <v>1</v>
      </c>
      <c r="B3" s="113" t="s">
        <v>78</v>
      </c>
      <c r="C3" s="114" t="s">
        <v>79</v>
      </c>
      <c r="D3" s="122"/>
      <c r="E3" s="113" t="s">
        <v>80</v>
      </c>
      <c r="F3" s="112"/>
      <c r="G3" s="115" t="s">
        <v>81</v>
      </c>
      <c r="H3" s="112" t="s">
        <v>82</v>
      </c>
      <c r="I3" s="114" t="s">
        <v>83</v>
      </c>
      <c r="J3" s="114" t="s">
        <v>84</v>
      </c>
      <c r="K3" s="114" t="s">
        <v>83</v>
      </c>
      <c r="L3" s="113" t="s">
        <v>79</v>
      </c>
      <c r="M3" s="113" t="s">
        <v>79</v>
      </c>
      <c r="N3" s="116">
        <v>46110</v>
      </c>
      <c r="O3" s="114">
        <v>223</v>
      </c>
      <c r="P3" s="116">
        <v>46110</v>
      </c>
      <c r="Q3" s="116">
        <v>46119</v>
      </c>
      <c r="R3" s="116">
        <v>46110</v>
      </c>
      <c r="S3" s="112"/>
      <c r="T3" s="112"/>
      <c r="U3" s="112" t="s">
        <v>85</v>
      </c>
      <c r="V3" s="114" t="s">
        <v>86</v>
      </c>
      <c r="W3" s="114">
        <v>223</v>
      </c>
      <c r="X3" s="114">
        <v>172</v>
      </c>
      <c r="Y3" s="112"/>
      <c r="Z3" s="112" t="s">
        <v>87</v>
      </c>
      <c r="AA3" s="112"/>
      <c r="AB3" s="117"/>
      <c r="AC3" s="118">
        <v>30.5</v>
      </c>
      <c r="AD3" s="112"/>
      <c r="AE3" s="114">
        <v>223</v>
      </c>
      <c r="AF3" s="112" t="s">
        <v>88</v>
      </c>
      <c r="AG3" s="114" t="s">
        <v>86</v>
      </c>
      <c r="AH3" s="118">
        <v>24.5</v>
      </c>
      <c r="AI3" s="112">
        <f t="shared" ref="AI3:AI66" si="0">IF(AE3&lt;&gt;"",AH3*AE3,0)</f>
        <v>5463.5</v>
      </c>
      <c r="AJ3" s="112"/>
      <c r="AK3" s="115" t="s">
        <v>89</v>
      </c>
      <c r="AL3" s="114">
        <v>172</v>
      </c>
      <c r="AM3" s="112">
        <v>18</v>
      </c>
      <c r="AN3" s="112">
        <f t="shared" ref="AN3:AN17" si="1">IF(AL3&lt;&gt;"",AM3*AL3,0)</f>
        <v>3096</v>
      </c>
      <c r="AO3" s="112"/>
      <c r="AP3" s="112"/>
      <c r="AQ3" s="112">
        <f t="shared" ref="AQ3:AQ17" si="2">IF(AO3&lt;&gt;"",AP3*AO3,0)</f>
        <v>0</v>
      </c>
      <c r="AR3" s="112">
        <f t="shared" ref="AR3:AR17" si="3">AQ3+AN3</f>
        <v>3096</v>
      </c>
      <c r="AS3" s="112"/>
      <c r="AT3" s="13" t="s">
        <v>90</v>
      </c>
      <c r="AU3" s="124">
        <v>46141</v>
      </c>
      <c r="AV3" s="112">
        <f t="shared" ref="AV3:AV17" si="4">AM3</f>
        <v>18</v>
      </c>
      <c r="AW3" s="112">
        <f t="shared" ref="AW3:AW17" si="5">AV3*AL3</f>
        <v>3096</v>
      </c>
      <c r="AX3" s="112"/>
      <c r="AY3" s="114" t="s">
        <v>91</v>
      </c>
      <c r="AZ3" s="119">
        <v>46153</v>
      </c>
      <c r="BA3" s="112">
        <f t="shared" ref="BA3:BA17" si="6">AM3</f>
        <v>18</v>
      </c>
      <c r="BB3" s="112">
        <f t="shared" ref="BB3:BB17" si="7">AL3</f>
        <v>172</v>
      </c>
      <c r="BC3" s="112">
        <f t="shared" ref="BC3:BC17" si="8">IF(BB3&lt;&gt;"",BB3*BA3,0)</f>
        <v>3096</v>
      </c>
      <c r="BD3" s="112"/>
      <c r="BE3" s="112" t="s">
        <v>92</v>
      </c>
      <c r="BF3" s="113" t="s">
        <v>78</v>
      </c>
      <c r="BG3" s="120" t="s">
        <v>93</v>
      </c>
    </row>
    <row r="4" spans="1:60" s="120" customFormat="1" ht="15" customHeight="1">
      <c r="A4" s="112">
        <f>A3+1</f>
        <v>2</v>
      </c>
      <c r="B4" s="113" t="s">
        <v>94</v>
      </c>
      <c r="C4" s="113" t="s">
        <v>79</v>
      </c>
      <c r="D4" s="122"/>
      <c r="E4" s="113" t="s">
        <v>95</v>
      </c>
      <c r="F4" s="112"/>
      <c r="G4" s="115" t="s">
        <v>81</v>
      </c>
      <c r="H4" s="112" t="s">
        <v>82</v>
      </c>
      <c r="I4" s="114" t="s">
        <v>83</v>
      </c>
      <c r="J4" s="114" t="s">
        <v>84</v>
      </c>
      <c r="K4" s="114" t="s">
        <v>83</v>
      </c>
      <c r="L4" s="113" t="s">
        <v>79</v>
      </c>
      <c r="M4" s="113" t="s">
        <v>79</v>
      </c>
      <c r="N4" s="116">
        <v>46110</v>
      </c>
      <c r="O4" s="114">
        <v>362</v>
      </c>
      <c r="P4" s="116">
        <v>46110</v>
      </c>
      <c r="Q4" s="116">
        <v>46119</v>
      </c>
      <c r="R4" s="116">
        <v>46110</v>
      </c>
      <c r="S4" s="112"/>
      <c r="T4" s="112"/>
      <c r="U4" s="112" t="s">
        <v>85</v>
      </c>
      <c r="V4" s="114" t="s">
        <v>86</v>
      </c>
      <c r="W4" s="114">
        <v>362</v>
      </c>
      <c r="X4" s="114">
        <v>300</v>
      </c>
      <c r="Y4" s="112"/>
      <c r="Z4" s="112" t="s">
        <v>87</v>
      </c>
      <c r="AA4" s="112"/>
      <c r="AB4" s="117"/>
      <c r="AC4" s="118">
        <v>30.5</v>
      </c>
      <c r="AD4" s="112"/>
      <c r="AE4" s="114">
        <v>362</v>
      </c>
      <c r="AF4" s="112" t="s">
        <v>88</v>
      </c>
      <c r="AG4" s="114" t="s">
        <v>86</v>
      </c>
      <c r="AH4" s="118">
        <v>24.5</v>
      </c>
      <c r="AI4" s="112">
        <f t="shared" si="0"/>
        <v>8869</v>
      </c>
      <c r="AJ4" s="112"/>
      <c r="AK4" s="115" t="s">
        <v>89</v>
      </c>
      <c r="AL4" s="114">
        <v>300</v>
      </c>
      <c r="AM4" s="112">
        <v>18</v>
      </c>
      <c r="AN4" s="112">
        <f t="shared" si="1"/>
        <v>5400</v>
      </c>
      <c r="AO4" s="112"/>
      <c r="AP4" s="112"/>
      <c r="AQ4" s="112">
        <f t="shared" si="2"/>
        <v>0</v>
      </c>
      <c r="AR4" s="112">
        <f t="shared" si="3"/>
        <v>5400</v>
      </c>
      <c r="AS4" s="112"/>
      <c r="AT4" s="13" t="s">
        <v>90</v>
      </c>
      <c r="AU4" s="124">
        <v>46141</v>
      </c>
      <c r="AV4" s="112">
        <f t="shared" si="4"/>
        <v>18</v>
      </c>
      <c r="AW4" s="112">
        <f t="shared" si="5"/>
        <v>5400</v>
      </c>
      <c r="AX4" s="112"/>
      <c r="AY4" s="114" t="s">
        <v>91</v>
      </c>
      <c r="AZ4" s="119">
        <v>46153</v>
      </c>
      <c r="BA4" s="112">
        <f t="shared" si="6"/>
        <v>18</v>
      </c>
      <c r="BB4" s="112">
        <f t="shared" si="7"/>
        <v>300</v>
      </c>
      <c r="BC4" s="112">
        <f t="shared" si="8"/>
        <v>5400</v>
      </c>
      <c r="BD4" s="112"/>
      <c r="BE4" s="112" t="s">
        <v>96</v>
      </c>
      <c r="BF4" s="113" t="s">
        <v>94</v>
      </c>
      <c r="BG4" s="120" t="s">
        <v>93</v>
      </c>
    </row>
    <row r="5" spans="1:60" s="120" customFormat="1" ht="15" customHeight="1">
      <c r="A5" s="112">
        <f t="shared" ref="A5:A68" si="9">A4+1</f>
        <v>3</v>
      </c>
      <c r="B5" s="113" t="s">
        <v>97</v>
      </c>
      <c r="C5" s="114" t="s">
        <v>80</v>
      </c>
      <c r="D5" s="122"/>
      <c r="E5" s="114" t="s">
        <v>98</v>
      </c>
      <c r="F5" s="112"/>
      <c r="G5" s="115" t="s">
        <v>81</v>
      </c>
      <c r="H5" s="112" t="s">
        <v>82</v>
      </c>
      <c r="I5" s="114" t="s">
        <v>83</v>
      </c>
      <c r="J5" s="114" t="s">
        <v>84</v>
      </c>
      <c r="K5" s="114" t="s">
        <v>83</v>
      </c>
      <c r="L5" s="113" t="s">
        <v>79</v>
      </c>
      <c r="M5" s="113" t="s">
        <v>79</v>
      </c>
      <c r="N5" s="116">
        <v>46110</v>
      </c>
      <c r="O5" s="114">
        <v>10</v>
      </c>
      <c r="P5" s="116">
        <v>46110</v>
      </c>
      <c r="Q5" s="116">
        <v>46119</v>
      </c>
      <c r="R5" s="116">
        <v>46110</v>
      </c>
      <c r="S5" s="112"/>
      <c r="T5" s="112"/>
      <c r="U5" s="112" t="s">
        <v>85</v>
      </c>
      <c r="V5" s="114" t="s">
        <v>99</v>
      </c>
      <c r="W5" s="114">
        <v>10</v>
      </c>
      <c r="X5" s="114">
        <v>10</v>
      </c>
      <c r="Y5" s="112"/>
      <c r="Z5" s="112" t="s">
        <v>87</v>
      </c>
      <c r="AA5" s="112"/>
      <c r="AB5" s="117"/>
      <c r="AC5" s="118">
        <v>25.5</v>
      </c>
      <c r="AD5" s="112"/>
      <c r="AE5" s="114">
        <v>10</v>
      </c>
      <c r="AF5" s="112" t="s">
        <v>88</v>
      </c>
      <c r="AG5" s="114" t="s">
        <v>99</v>
      </c>
      <c r="AH5" s="118">
        <v>12.5</v>
      </c>
      <c r="AI5" s="112">
        <f t="shared" si="0"/>
        <v>125</v>
      </c>
      <c r="AJ5" s="112"/>
      <c r="AK5" s="115" t="s">
        <v>89</v>
      </c>
      <c r="AL5" s="114">
        <v>10</v>
      </c>
      <c r="AM5" s="112">
        <v>18</v>
      </c>
      <c r="AN5" s="112">
        <f t="shared" si="1"/>
        <v>180</v>
      </c>
      <c r="AO5" s="112"/>
      <c r="AP5" s="112"/>
      <c r="AQ5" s="112">
        <f t="shared" si="2"/>
        <v>0</v>
      </c>
      <c r="AR5" s="112">
        <f t="shared" si="3"/>
        <v>180</v>
      </c>
      <c r="AS5" s="112"/>
      <c r="AT5" s="13" t="s">
        <v>90</v>
      </c>
      <c r="AU5" s="124">
        <v>46141</v>
      </c>
      <c r="AV5" s="112">
        <f t="shared" si="4"/>
        <v>18</v>
      </c>
      <c r="AW5" s="112">
        <f t="shared" si="5"/>
        <v>180</v>
      </c>
      <c r="AX5" s="112"/>
      <c r="AY5" s="114" t="s">
        <v>91</v>
      </c>
      <c r="AZ5" s="119">
        <v>46153</v>
      </c>
      <c r="BA5" s="112">
        <f t="shared" si="6"/>
        <v>18</v>
      </c>
      <c r="BB5" s="112">
        <f t="shared" si="7"/>
        <v>10</v>
      </c>
      <c r="BC5" s="112">
        <f t="shared" si="8"/>
        <v>180</v>
      </c>
      <c r="BD5" s="112"/>
      <c r="BE5" s="112" t="s">
        <v>100</v>
      </c>
      <c r="BF5" s="113" t="s">
        <v>97</v>
      </c>
      <c r="BG5" s="120" t="s">
        <v>93</v>
      </c>
    </row>
    <row r="6" spans="1:60" s="120" customFormat="1" ht="15" customHeight="1">
      <c r="A6" s="112">
        <f t="shared" si="9"/>
        <v>4</v>
      </c>
      <c r="B6" s="113" t="s">
        <v>101</v>
      </c>
      <c r="C6" s="114" t="s">
        <v>102</v>
      </c>
      <c r="D6" s="122"/>
      <c r="E6" s="114" t="s">
        <v>103</v>
      </c>
      <c r="F6" s="112"/>
      <c r="G6" s="115" t="s">
        <v>81</v>
      </c>
      <c r="H6" s="112" t="s">
        <v>82</v>
      </c>
      <c r="I6" s="114" t="s">
        <v>83</v>
      </c>
      <c r="J6" s="114" t="s">
        <v>84</v>
      </c>
      <c r="K6" s="114" t="s">
        <v>83</v>
      </c>
      <c r="L6" s="113" t="s">
        <v>79</v>
      </c>
      <c r="M6" s="113" t="s">
        <v>79</v>
      </c>
      <c r="N6" s="116">
        <v>46110</v>
      </c>
      <c r="O6" s="114">
        <v>217</v>
      </c>
      <c r="P6" s="116">
        <v>46110</v>
      </c>
      <c r="Q6" s="116">
        <v>46119</v>
      </c>
      <c r="R6" s="116">
        <v>46110</v>
      </c>
      <c r="S6" s="112"/>
      <c r="T6" s="112"/>
      <c r="U6" s="112" t="s">
        <v>85</v>
      </c>
      <c r="V6" s="114" t="s">
        <v>99</v>
      </c>
      <c r="W6" s="114">
        <v>217</v>
      </c>
      <c r="X6" s="114">
        <v>214</v>
      </c>
      <c r="Y6" s="112"/>
      <c r="Z6" s="112" t="s">
        <v>87</v>
      </c>
      <c r="AA6" s="112"/>
      <c r="AB6" s="117"/>
      <c r="AC6" s="118">
        <v>25.5</v>
      </c>
      <c r="AD6" s="112"/>
      <c r="AE6" s="114">
        <v>217</v>
      </c>
      <c r="AF6" s="112" t="s">
        <v>88</v>
      </c>
      <c r="AG6" s="114" t="s">
        <v>99</v>
      </c>
      <c r="AH6" s="118">
        <v>12.5</v>
      </c>
      <c r="AI6" s="112">
        <f t="shared" si="0"/>
        <v>2712.5</v>
      </c>
      <c r="AJ6" s="112"/>
      <c r="AK6" s="115" t="s">
        <v>89</v>
      </c>
      <c r="AL6" s="114">
        <v>214</v>
      </c>
      <c r="AM6" s="112">
        <v>18</v>
      </c>
      <c r="AN6" s="112">
        <f t="shared" si="1"/>
        <v>3852</v>
      </c>
      <c r="AO6" s="112"/>
      <c r="AP6" s="112"/>
      <c r="AQ6" s="112">
        <f t="shared" si="2"/>
        <v>0</v>
      </c>
      <c r="AR6" s="112">
        <f t="shared" si="3"/>
        <v>3852</v>
      </c>
      <c r="AS6" s="112"/>
      <c r="AT6" s="13" t="s">
        <v>90</v>
      </c>
      <c r="AU6" s="124">
        <v>46141</v>
      </c>
      <c r="AV6" s="112">
        <f t="shared" si="4"/>
        <v>18</v>
      </c>
      <c r="AW6" s="112">
        <f t="shared" si="5"/>
        <v>3852</v>
      </c>
      <c r="AX6" s="112"/>
      <c r="AY6" s="114" t="s">
        <v>91</v>
      </c>
      <c r="AZ6" s="119">
        <v>46153</v>
      </c>
      <c r="BA6" s="112">
        <f t="shared" si="6"/>
        <v>18</v>
      </c>
      <c r="BB6" s="112">
        <f t="shared" si="7"/>
        <v>214</v>
      </c>
      <c r="BC6" s="112">
        <f t="shared" si="8"/>
        <v>3852</v>
      </c>
      <c r="BD6" s="112"/>
      <c r="BE6" s="112" t="s">
        <v>104</v>
      </c>
      <c r="BF6" s="113" t="s">
        <v>101</v>
      </c>
      <c r="BG6" s="120" t="s">
        <v>93</v>
      </c>
    </row>
    <row r="7" spans="1:60" s="120" customFormat="1" ht="15" customHeight="1">
      <c r="A7" s="112">
        <f t="shared" si="9"/>
        <v>5</v>
      </c>
      <c r="B7" s="113" t="s">
        <v>105</v>
      </c>
      <c r="C7" s="114" t="s">
        <v>102</v>
      </c>
      <c r="D7" s="122"/>
      <c r="E7" s="114" t="s">
        <v>106</v>
      </c>
      <c r="F7" s="112"/>
      <c r="G7" s="115" t="s">
        <v>81</v>
      </c>
      <c r="H7" s="112" t="s">
        <v>82</v>
      </c>
      <c r="I7" s="114" t="s">
        <v>83</v>
      </c>
      <c r="J7" s="114" t="s">
        <v>84</v>
      </c>
      <c r="K7" s="114" t="s">
        <v>83</v>
      </c>
      <c r="L7" s="113" t="s">
        <v>79</v>
      </c>
      <c r="M7" s="113" t="s">
        <v>79</v>
      </c>
      <c r="N7" s="116">
        <v>46110</v>
      </c>
      <c r="O7" s="114">
        <v>233</v>
      </c>
      <c r="P7" s="116">
        <v>46110</v>
      </c>
      <c r="Q7" s="116">
        <v>46119</v>
      </c>
      <c r="R7" s="116">
        <v>46110</v>
      </c>
      <c r="S7" s="112"/>
      <c r="T7" s="112"/>
      <c r="U7" s="112" t="s">
        <v>85</v>
      </c>
      <c r="V7" s="114" t="s">
        <v>99</v>
      </c>
      <c r="W7" s="114">
        <v>233</v>
      </c>
      <c r="X7" s="114">
        <v>224</v>
      </c>
      <c r="Y7" s="112"/>
      <c r="Z7" s="112" t="s">
        <v>87</v>
      </c>
      <c r="AA7" s="112"/>
      <c r="AB7" s="117"/>
      <c r="AC7" s="118">
        <v>25.5</v>
      </c>
      <c r="AD7" s="112"/>
      <c r="AE7" s="114">
        <v>233</v>
      </c>
      <c r="AF7" s="112" t="s">
        <v>88</v>
      </c>
      <c r="AG7" s="114" t="s">
        <v>99</v>
      </c>
      <c r="AH7" s="118">
        <v>12.5</v>
      </c>
      <c r="AI7" s="112">
        <f t="shared" si="0"/>
        <v>2912.5</v>
      </c>
      <c r="AJ7" s="112"/>
      <c r="AK7" s="115" t="s">
        <v>89</v>
      </c>
      <c r="AL7" s="114">
        <v>224</v>
      </c>
      <c r="AM7" s="112">
        <v>18</v>
      </c>
      <c r="AN7" s="112">
        <f t="shared" si="1"/>
        <v>4032</v>
      </c>
      <c r="AO7" s="112"/>
      <c r="AP7" s="112"/>
      <c r="AQ7" s="112">
        <f t="shared" si="2"/>
        <v>0</v>
      </c>
      <c r="AR7" s="112">
        <f t="shared" si="3"/>
        <v>4032</v>
      </c>
      <c r="AS7" s="112"/>
      <c r="AT7" s="13" t="s">
        <v>90</v>
      </c>
      <c r="AU7" s="124">
        <v>46141</v>
      </c>
      <c r="AV7" s="112">
        <f t="shared" si="4"/>
        <v>18</v>
      </c>
      <c r="AW7" s="112">
        <f t="shared" si="5"/>
        <v>4032</v>
      </c>
      <c r="AX7" s="112"/>
      <c r="AY7" s="114" t="s">
        <v>91</v>
      </c>
      <c r="AZ7" s="119">
        <v>46153</v>
      </c>
      <c r="BA7" s="112">
        <f t="shared" si="6"/>
        <v>18</v>
      </c>
      <c r="BB7" s="112">
        <f t="shared" si="7"/>
        <v>224</v>
      </c>
      <c r="BC7" s="112">
        <f t="shared" si="8"/>
        <v>4032</v>
      </c>
      <c r="BD7" s="112"/>
      <c r="BE7" s="112" t="s">
        <v>107</v>
      </c>
      <c r="BF7" s="113" t="s">
        <v>105</v>
      </c>
      <c r="BG7" s="120" t="s">
        <v>93</v>
      </c>
    </row>
    <row r="8" spans="1:60" s="120" customFormat="1" ht="15" customHeight="1">
      <c r="A8" s="112">
        <f t="shared" si="9"/>
        <v>6</v>
      </c>
      <c r="B8" s="113" t="s">
        <v>108</v>
      </c>
      <c r="C8" s="114" t="s">
        <v>80</v>
      </c>
      <c r="D8" s="122"/>
      <c r="E8" s="114" t="s">
        <v>109</v>
      </c>
      <c r="F8" s="112"/>
      <c r="G8" s="115" t="s">
        <v>81</v>
      </c>
      <c r="H8" s="112" t="s">
        <v>82</v>
      </c>
      <c r="I8" s="114" t="s">
        <v>83</v>
      </c>
      <c r="J8" s="114" t="s">
        <v>84</v>
      </c>
      <c r="K8" s="114" t="s">
        <v>83</v>
      </c>
      <c r="L8" s="113" t="s">
        <v>79</v>
      </c>
      <c r="M8" s="113" t="s">
        <v>79</v>
      </c>
      <c r="N8" s="116">
        <v>46110</v>
      </c>
      <c r="O8" s="114">
        <v>456</v>
      </c>
      <c r="P8" s="116">
        <v>46110</v>
      </c>
      <c r="Q8" s="116">
        <v>46119</v>
      </c>
      <c r="R8" s="116">
        <v>46110</v>
      </c>
      <c r="S8" s="112"/>
      <c r="T8" s="112"/>
      <c r="U8" s="112" t="s">
        <v>85</v>
      </c>
      <c r="V8" s="114" t="s">
        <v>99</v>
      </c>
      <c r="W8" s="114">
        <v>456</v>
      </c>
      <c r="X8" s="114">
        <v>441</v>
      </c>
      <c r="Y8" s="112"/>
      <c r="Z8" s="112" t="s">
        <v>87</v>
      </c>
      <c r="AA8" s="112"/>
      <c r="AB8" s="117"/>
      <c r="AC8" s="118">
        <v>25.5</v>
      </c>
      <c r="AD8" s="112"/>
      <c r="AE8" s="114">
        <v>456</v>
      </c>
      <c r="AF8" s="112" t="s">
        <v>88</v>
      </c>
      <c r="AG8" s="114" t="s">
        <v>99</v>
      </c>
      <c r="AH8" s="118">
        <v>12.5</v>
      </c>
      <c r="AI8" s="112">
        <f t="shared" si="0"/>
        <v>5700</v>
      </c>
      <c r="AJ8" s="112"/>
      <c r="AK8" s="115" t="s">
        <v>89</v>
      </c>
      <c r="AL8" s="114">
        <v>441</v>
      </c>
      <c r="AM8" s="112">
        <v>18</v>
      </c>
      <c r="AN8" s="112">
        <f t="shared" si="1"/>
        <v>7938</v>
      </c>
      <c r="AO8" s="112"/>
      <c r="AP8" s="112"/>
      <c r="AQ8" s="112">
        <f t="shared" si="2"/>
        <v>0</v>
      </c>
      <c r="AR8" s="112">
        <f t="shared" si="3"/>
        <v>7938</v>
      </c>
      <c r="AS8" s="112"/>
      <c r="AT8" s="13" t="s">
        <v>90</v>
      </c>
      <c r="AU8" s="124">
        <v>46141</v>
      </c>
      <c r="AV8" s="112">
        <f t="shared" si="4"/>
        <v>18</v>
      </c>
      <c r="AW8" s="112">
        <f t="shared" si="5"/>
        <v>7938</v>
      </c>
      <c r="AX8" s="112"/>
      <c r="AY8" s="114" t="s">
        <v>91</v>
      </c>
      <c r="AZ8" s="119">
        <v>46153</v>
      </c>
      <c r="BA8" s="112">
        <f t="shared" si="6"/>
        <v>18</v>
      </c>
      <c r="BB8" s="112">
        <f t="shared" si="7"/>
        <v>441</v>
      </c>
      <c r="BC8" s="112">
        <f t="shared" si="8"/>
        <v>7938</v>
      </c>
      <c r="BD8" s="112"/>
      <c r="BE8" s="112" t="s">
        <v>110</v>
      </c>
      <c r="BF8" s="113" t="s">
        <v>108</v>
      </c>
      <c r="BG8" s="120" t="s">
        <v>93</v>
      </c>
    </row>
    <row r="9" spans="1:60" s="120" customFormat="1" ht="15" customHeight="1">
      <c r="A9" s="112">
        <f t="shared" si="9"/>
        <v>7</v>
      </c>
      <c r="B9" s="113" t="s">
        <v>111</v>
      </c>
      <c r="C9" s="114" t="s">
        <v>112</v>
      </c>
      <c r="D9" s="122"/>
      <c r="E9" s="114" t="s">
        <v>113</v>
      </c>
      <c r="F9" s="112"/>
      <c r="G9" s="115" t="s">
        <v>81</v>
      </c>
      <c r="H9" s="112" t="s">
        <v>82</v>
      </c>
      <c r="I9" s="114" t="s">
        <v>83</v>
      </c>
      <c r="J9" s="114" t="s">
        <v>84</v>
      </c>
      <c r="K9" s="114" t="s">
        <v>83</v>
      </c>
      <c r="L9" s="113" t="s">
        <v>79</v>
      </c>
      <c r="M9" s="113" t="s">
        <v>79</v>
      </c>
      <c r="N9" s="116">
        <v>46110</v>
      </c>
      <c r="O9" s="114">
        <v>10</v>
      </c>
      <c r="P9" s="116">
        <v>46110</v>
      </c>
      <c r="Q9" s="116">
        <v>46119</v>
      </c>
      <c r="R9" s="116">
        <v>46110</v>
      </c>
      <c r="S9" s="112"/>
      <c r="T9" s="112"/>
      <c r="U9" s="112" t="s">
        <v>85</v>
      </c>
      <c r="V9" s="114" t="s">
        <v>99</v>
      </c>
      <c r="W9" s="114">
        <v>10</v>
      </c>
      <c r="X9" s="114">
        <v>10</v>
      </c>
      <c r="Y9" s="112"/>
      <c r="Z9" s="112" t="s">
        <v>87</v>
      </c>
      <c r="AA9" s="112"/>
      <c r="AB9" s="117"/>
      <c r="AC9" s="118">
        <v>25.5</v>
      </c>
      <c r="AD9" s="112"/>
      <c r="AE9" s="114">
        <v>10</v>
      </c>
      <c r="AF9" s="112" t="s">
        <v>88</v>
      </c>
      <c r="AG9" s="114" t="s">
        <v>99</v>
      </c>
      <c r="AH9" s="118">
        <v>12.5</v>
      </c>
      <c r="AI9" s="112">
        <f t="shared" si="0"/>
        <v>125</v>
      </c>
      <c r="AJ9" s="112"/>
      <c r="AK9" s="115" t="s">
        <v>89</v>
      </c>
      <c r="AL9" s="114">
        <v>10</v>
      </c>
      <c r="AM9" s="112">
        <v>18</v>
      </c>
      <c r="AN9" s="112">
        <f t="shared" si="1"/>
        <v>180</v>
      </c>
      <c r="AO9" s="112"/>
      <c r="AP9" s="112"/>
      <c r="AQ9" s="112">
        <f t="shared" si="2"/>
        <v>0</v>
      </c>
      <c r="AR9" s="112">
        <f t="shared" si="3"/>
        <v>180</v>
      </c>
      <c r="AS9" s="112"/>
      <c r="AT9" s="13" t="s">
        <v>90</v>
      </c>
      <c r="AU9" s="124">
        <v>46141</v>
      </c>
      <c r="AV9" s="112">
        <f t="shared" si="4"/>
        <v>18</v>
      </c>
      <c r="AW9" s="112">
        <f t="shared" si="5"/>
        <v>180</v>
      </c>
      <c r="AX9" s="112"/>
      <c r="AY9" s="114" t="s">
        <v>91</v>
      </c>
      <c r="AZ9" s="119">
        <v>46153</v>
      </c>
      <c r="BA9" s="112">
        <f t="shared" si="6"/>
        <v>18</v>
      </c>
      <c r="BB9" s="112">
        <f t="shared" si="7"/>
        <v>10</v>
      </c>
      <c r="BC9" s="112">
        <f t="shared" si="8"/>
        <v>180</v>
      </c>
      <c r="BD9" s="112"/>
      <c r="BE9" s="112" t="s">
        <v>114</v>
      </c>
      <c r="BF9" s="113" t="s">
        <v>111</v>
      </c>
      <c r="BG9" s="120" t="s">
        <v>93</v>
      </c>
    </row>
    <row r="10" spans="1:60" s="120" customFormat="1" ht="15" customHeight="1">
      <c r="A10" s="112">
        <f t="shared" si="9"/>
        <v>8</v>
      </c>
      <c r="B10" s="113" t="s">
        <v>115</v>
      </c>
      <c r="C10" s="114" t="s">
        <v>112</v>
      </c>
      <c r="D10" s="122"/>
      <c r="E10" s="114" t="s">
        <v>116</v>
      </c>
      <c r="F10" s="112"/>
      <c r="G10" s="115" t="s">
        <v>81</v>
      </c>
      <c r="H10" s="112" t="s">
        <v>82</v>
      </c>
      <c r="I10" s="114" t="s">
        <v>83</v>
      </c>
      <c r="J10" s="114" t="s">
        <v>84</v>
      </c>
      <c r="K10" s="114" t="s">
        <v>83</v>
      </c>
      <c r="L10" s="113" t="s">
        <v>79</v>
      </c>
      <c r="M10" s="113" t="s">
        <v>79</v>
      </c>
      <c r="N10" s="116">
        <v>46110</v>
      </c>
      <c r="O10" s="114">
        <v>84</v>
      </c>
      <c r="P10" s="116">
        <v>46110</v>
      </c>
      <c r="Q10" s="116">
        <v>46119</v>
      </c>
      <c r="R10" s="116">
        <v>46110</v>
      </c>
      <c r="S10" s="112"/>
      <c r="T10" s="112"/>
      <c r="U10" s="112" t="s">
        <v>85</v>
      </c>
      <c r="V10" s="114" t="s">
        <v>99</v>
      </c>
      <c r="W10" s="114">
        <v>84</v>
      </c>
      <c r="X10" s="114">
        <v>77</v>
      </c>
      <c r="Y10" s="112"/>
      <c r="Z10" s="112" t="s">
        <v>87</v>
      </c>
      <c r="AA10" s="112"/>
      <c r="AB10" s="117"/>
      <c r="AC10" s="118">
        <v>25.5</v>
      </c>
      <c r="AD10" s="112"/>
      <c r="AE10" s="114">
        <v>84</v>
      </c>
      <c r="AF10" s="112" t="s">
        <v>88</v>
      </c>
      <c r="AG10" s="114" t="s">
        <v>99</v>
      </c>
      <c r="AH10" s="118">
        <v>12.5</v>
      </c>
      <c r="AI10" s="112">
        <f t="shared" si="0"/>
        <v>1050</v>
      </c>
      <c r="AJ10" s="112"/>
      <c r="AK10" s="115" t="s">
        <v>89</v>
      </c>
      <c r="AL10" s="114">
        <v>77</v>
      </c>
      <c r="AM10" s="112">
        <v>18</v>
      </c>
      <c r="AN10" s="112">
        <f t="shared" si="1"/>
        <v>1386</v>
      </c>
      <c r="AO10" s="112"/>
      <c r="AP10" s="112"/>
      <c r="AQ10" s="112">
        <f t="shared" si="2"/>
        <v>0</v>
      </c>
      <c r="AR10" s="112">
        <f t="shared" si="3"/>
        <v>1386</v>
      </c>
      <c r="AS10" s="112"/>
      <c r="AT10" s="13" t="s">
        <v>90</v>
      </c>
      <c r="AU10" s="124">
        <v>46141</v>
      </c>
      <c r="AV10" s="112">
        <f t="shared" si="4"/>
        <v>18</v>
      </c>
      <c r="AW10" s="112">
        <f t="shared" si="5"/>
        <v>1386</v>
      </c>
      <c r="AX10" s="112"/>
      <c r="AY10" s="114" t="s">
        <v>91</v>
      </c>
      <c r="AZ10" s="119">
        <v>46153</v>
      </c>
      <c r="BA10" s="112">
        <f t="shared" si="6"/>
        <v>18</v>
      </c>
      <c r="BB10" s="112">
        <f t="shared" si="7"/>
        <v>77</v>
      </c>
      <c r="BC10" s="112">
        <f t="shared" si="8"/>
        <v>1386</v>
      </c>
      <c r="BD10" s="112"/>
      <c r="BE10" s="112" t="s">
        <v>117</v>
      </c>
      <c r="BF10" s="113" t="s">
        <v>115</v>
      </c>
      <c r="BG10" s="120" t="s">
        <v>93</v>
      </c>
    </row>
    <row r="11" spans="1:60" s="120" customFormat="1" ht="15" customHeight="1">
      <c r="A11" s="112">
        <f t="shared" si="9"/>
        <v>9</v>
      </c>
      <c r="B11" s="113" t="s">
        <v>118</v>
      </c>
      <c r="C11" s="114" t="s">
        <v>112</v>
      </c>
      <c r="D11" s="122"/>
      <c r="E11" s="114" t="s">
        <v>119</v>
      </c>
      <c r="F11" s="112"/>
      <c r="G11" s="115" t="s">
        <v>81</v>
      </c>
      <c r="H11" s="112" t="s">
        <v>82</v>
      </c>
      <c r="I11" s="114" t="s">
        <v>83</v>
      </c>
      <c r="J11" s="114" t="s">
        <v>84</v>
      </c>
      <c r="K11" s="114" t="s">
        <v>83</v>
      </c>
      <c r="L11" s="113" t="s">
        <v>79</v>
      </c>
      <c r="M11" s="113" t="s">
        <v>79</v>
      </c>
      <c r="N11" s="116">
        <v>46110</v>
      </c>
      <c r="O11" s="114">
        <v>445</v>
      </c>
      <c r="P11" s="116">
        <v>46110</v>
      </c>
      <c r="Q11" s="116">
        <v>46119</v>
      </c>
      <c r="R11" s="116">
        <v>46110</v>
      </c>
      <c r="S11" s="112"/>
      <c r="T11" s="112"/>
      <c r="U11" s="112" t="s">
        <v>85</v>
      </c>
      <c r="V11" s="114" t="s">
        <v>99</v>
      </c>
      <c r="W11" s="114">
        <v>445</v>
      </c>
      <c r="X11" s="114">
        <v>420</v>
      </c>
      <c r="Y11" s="112"/>
      <c r="Z11" s="112" t="s">
        <v>87</v>
      </c>
      <c r="AA11" s="112"/>
      <c r="AB11" s="117"/>
      <c r="AC11" s="118">
        <v>25.5</v>
      </c>
      <c r="AD11" s="112"/>
      <c r="AE11" s="114">
        <v>445</v>
      </c>
      <c r="AF11" s="112" t="s">
        <v>88</v>
      </c>
      <c r="AG11" s="114" t="s">
        <v>99</v>
      </c>
      <c r="AH11" s="118">
        <v>12.5</v>
      </c>
      <c r="AI11" s="112">
        <f t="shared" si="0"/>
        <v>5562.5</v>
      </c>
      <c r="AJ11" s="112"/>
      <c r="AK11" s="115" t="s">
        <v>89</v>
      </c>
      <c r="AL11" s="114">
        <v>420</v>
      </c>
      <c r="AM11" s="112">
        <v>18</v>
      </c>
      <c r="AN11" s="112">
        <f t="shared" si="1"/>
        <v>7560</v>
      </c>
      <c r="AO11" s="112"/>
      <c r="AP11" s="112"/>
      <c r="AQ11" s="112">
        <f t="shared" si="2"/>
        <v>0</v>
      </c>
      <c r="AR11" s="112">
        <f t="shared" si="3"/>
        <v>7560</v>
      </c>
      <c r="AS11" s="112"/>
      <c r="AT11" s="13" t="s">
        <v>90</v>
      </c>
      <c r="AU11" s="124">
        <v>46141</v>
      </c>
      <c r="AV11" s="112">
        <f t="shared" si="4"/>
        <v>18</v>
      </c>
      <c r="AW11" s="112">
        <f t="shared" si="5"/>
        <v>7560</v>
      </c>
      <c r="AX11" s="112"/>
      <c r="AY11" s="114" t="s">
        <v>91</v>
      </c>
      <c r="AZ11" s="119">
        <v>46153</v>
      </c>
      <c r="BA11" s="112">
        <f t="shared" si="6"/>
        <v>18</v>
      </c>
      <c r="BB11" s="112">
        <f t="shared" si="7"/>
        <v>420</v>
      </c>
      <c r="BC11" s="112">
        <f t="shared" si="8"/>
        <v>7560</v>
      </c>
      <c r="BD11" s="112"/>
      <c r="BE11" s="112" t="s">
        <v>120</v>
      </c>
      <c r="BF11" s="113" t="s">
        <v>118</v>
      </c>
      <c r="BG11" s="120" t="s">
        <v>93</v>
      </c>
    </row>
    <row r="12" spans="1:60" s="120" customFormat="1" ht="15" customHeight="1">
      <c r="A12" s="112">
        <f t="shared" si="9"/>
        <v>10</v>
      </c>
      <c r="B12" s="113" t="s">
        <v>121</v>
      </c>
      <c r="C12" s="114" t="s">
        <v>95</v>
      </c>
      <c r="D12" s="122"/>
      <c r="E12" s="114" t="s">
        <v>122</v>
      </c>
      <c r="F12" s="112"/>
      <c r="G12" s="115" t="s">
        <v>81</v>
      </c>
      <c r="H12" s="112" t="s">
        <v>82</v>
      </c>
      <c r="I12" s="114" t="s">
        <v>83</v>
      </c>
      <c r="J12" s="114" t="s">
        <v>84</v>
      </c>
      <c r="K12" s="114" t="s">
        <v>83</v>
      </c>
      <c r="L12" s="113" t="s">
        <v>79</v>
      </c>
      <c r="M12" s="113" t="s">
        <v>79</v>
      </c>
      <c r="N12" s="116">
        <v>46110</v>
      </c>
      <c r="O12" s="114">
        <v>10</v>
      </c>
      <c r="P12" s="116">
        <v>46110</v>
      </c>
      <c r="Q12" s="116">
        <v>46119</v>
      </c>
      <c r="R12" s="116">
        <v>46110</v>
      </c>
      <c r="S12" s="112"/>
      <c r="T12" s="112"/>
      <c r="U12" s="112" t="s">
        <v>85</v>
      </c>
      <c r="V12" s="114" t="s">
        <v>99</v>
      </c>
      <c r="W12" s="114">
        <v>10</v>
      </c>
      <c r="X12" s="114">
        <v>10</v>
      </c>
      <c r="Y12" s="112"/>
      <c r="Z12" s="112" t="s">
        <v>87</v>
      </c>
      <c r="AA12" s="112"/>
      <c r="AB12" s="117"/>
      <c r="AC12" s="118">
        <v>25.5</v>
      </c>
      <c r="AD12" s="112"/>
      <c r="AE12" s="114">
        <v>10</v>
      </c>
      <c r="AF12" s="112" t="s">
        <v>88</v>
      </c>
      <c r="AG12" s="114" t="s">
        <v>99</v>
      </c>
      <c r="AH12" s="118">
        <v>12.5</v>
      </c>
      <c r="AI12" s="112">
        <f t="shared" si="0"/>
        <v>125</v>
      </c>
      <c r="AJ12" s="112"/>
      <c r="AK12" s="115" t="s">
        <v>89</v>
      </c>
      <c r="AL12" s="114">
        <v>10</v>
      </c>
      <c r="AM12" s="112">
        <v>18</v>
      </c>
      <c r="AN12" s="112">
        <f t="shared" si="1"/>
        <v>180</v>
      </c>
      <c r="AO12" s="112"/>
      <c r="AP12" s="112"/>
      <c r="AQ12" s="112">
        <f t="shared" si="2"/>
        <v>0</v>
      </c>
      <c r="AR12" s="112">
        <f t="shared" si="3"/>
        <v>180</v>
      </c>
      <c r="AS12" s="112"/>
      <c r="AT12" s="13" t="s">
        <v>90</v>
      </c>
      <c r="AU12" s="124">
        <v>46141</v>
      </c>
      <c r="AV12" s="112">
        <f t="shared" si="4"/>
        <v>18</v>
      </c>
      <c r="AW12" s="112">
        <f t="shared" si="5"/>
        <v>180</v>
      </c>
      <c r="AX12" s="112"/>
      <c r="AY12" s="114" t="s">
        <v>91</v>
      </c>
      <c r="AZ12" s="119">
        <v>46153</v>
      </c>
      <c r="BA12" s="112">
        <f t="shared" si="6"/>
        <v>18</v>
      </c>
      <c r="BB12" s="112">
        <f t="shared" si="7"/>
        <v>10</v>
      </c>
      <c r="BC12" s="112">
        <f t="shared" si="8"/>
        <v>180</v>
      </c>
      <c r="BD12" s="112"/>
      <c r="BE12" s="112" t="s">
        <v>123</v>
      </c>
      <c r="BF12" s="113" t="s">
        <v>121</v>
      </c>
      <c r="BG12" s="120" t="s">
        <v>93</v>
      </c>
    </row>
    <row r="13" spans="1:60" s="120" customFormat="1" ht="15" customHeight="1">
      <c r="A13" s="112">
        <f t="shared" si="9"/>
        <v>11</v>
      </c>
      <c r="B13" s="113" t="s">
        <v>124</v>
      </c>
      <c r="C13" s="114" t="s">
        <v>95</v>
      </c>
      <c r="D13" s="122"/>
      <c r="E13" s="114" t="s">
        <v>125</v>
      </c>
      <c r="F13" s="112"/>
      <c r="G13" s="115" t="s">
        <v>81</v>
      </c>
      <c r="H13" s="112" t="s">
        <v>82</v>
      </c>
      <c r="I13" s="114" t="s">
        <v>83</v>
      </c>
      <c r="J13" s="114" t="s">
        <v>84</v>
      </c>
      <c r="K13" s="114" t="s">
        <v>83</v>
      </c>
      <c r="L13" s="113" t="s">
        <v>79</v>
      </c>
      <c r="M13" s="113" t="s">
        <v>79</v>
      </c>
      <c r="N13" s="116">
        <v>46110</v>
      </c>
      <c r="O13" s="114">
        <v>50</v>
      </c>
      <c r="P13" s="116">
        <v>46110</v>
      </c>
      <c r="Q13" s="116">
        <v>46119</v>
      </c>
      <c r="R13" s="116">
        <v>46110</v>
      </c>
      <c r="S13" s="112"/>
      <c r="T13" s="112"/>
      <c r="U13" s="112" t="s">
        <v>85</v>
      </c>
      <c r="V13" s="114" t="s">
        <v>86</v>
      </c>
      <c r="W13" s="114">
        <v>50</v>
      </c>
      <c r="X13" s="114">
        <v>39</v>
      </c>
      <c r="Y13" s="112"/>
      <c r="Z13" s="112" t="s">
        <v>87</v>
      </c>
      <c r="AA13" s="112"/>
      <c r="AB13" s="117"/>
      <c r="AC13" s="118">
        <v>30.5</v>
      </c>
      <c r="AD13" s="112"/>
      <c r="AE13" s="114">
        <v>50</v>
      </c>
      <c r="AF13" s="112" t="s">
        <v>88</v>
      </c>
      <c r="AG13" s="114" t="s">
        <v>86</v>
      </c>
      <c r="AH13" s="118">
        <v>24.5</v>
      </c>
      <c r="AI13" s="112">
        <f t="shared" si="0"/>
        <v>1225</v>
      </c>
      <c r="AJ13" s="112"/>
      <c r="AK13" s="115" t="s">
        <v>89</v>
      </c>
      <c r="AL13" s="114">
        <v>39</v>
      </c>
      <c r="AM13" s="112">
        <v>18</v>
      </c>
      <c r="AN13" s="112">
        <f t="shared" si="1"/>
        <v>702</v>
      </c>
      <c r="AO13" s="112"/>
      <c r="AP13" s="112"/>
      <c r="AQ13" s="112">
        <f t="shared" si="2"/>
        <v>0</v>
      </c>
      <c r="AR13" s="112">
        <f t="shared" si="3"/>
        <v>702</v>
      </c>
      <c r="AS13" s="112"/>
      <c r="AT13" s="13" t="s">
        <v>90</v>
      </c>
      <c r="AU13" s="124">
        <v>46141</v>
      </c>
      <c r="AV13" s="112">
        <f t="shared" si="4"/>
        <v>18</v>
      </c>
      <c r="AW13" s="112">
        <f t="shared" si="5"/>
        <v>702</v>
      </c>
      <c r="AX13" s="112"/>
      <c r="AY13" s="114" t="s">
        <v>91</v>
      </c>
      <c r="AZ13" s="119">
        <v>46153</v>
      </c>
      <c r="BA13" s="112">
        <f t="shared" si="6"/>
        <v>18</v>
      </c>
      <c r="BB13" s="112">
        <f t="shared" si="7"/>
        <v>39</v>
      </c>
      <c r="BC13" s="112">
        <f t="shared" si="8"/>
        <v>702</v>
      </c>
      <c r="BD13" s="112"/>
      <c r="BE13" s="112" t="s">
        <v>126</v>
      </c>
      <c r="BF13" s="113" t="s">
        <v>124</v>
      </c>
      <c r="BG13" s="120" t="s">
        <v>93</v>
      </c>
    </row>
    <row r="14" spans="1:60" s="120" customFormat="1" ht="15" customHeight="1">
      <c r="A14" s="112">
        <f t="shared" si="9"/>
        <v>12</v>
      </c>
      <c r="B14" s="113" t="s">
        <v>127</v>
      </c>
      <c r="C14" s="114" t="s">
        <v>95</v>
      </c>
      <c r="D14" s="122"/>
      <c r="E14" s="114" t="s">
        <v>128</v>
      </c>
      <c r="F14" s="112"/>
      <c r="G14" s="115" t="s">
        <v>81</v>
      </c>
      <c r="H14" s="112" t="s">
        <v>82</v>
      </c>
      <c r="I14" s="114" t="s">
        <v>83</v>
      </c>
      <c r="J14" s="114" t="s">
        <v>84</v>
      </c>
      <c r="K14" s="114" t="s">
        <v>83</v>
      </c>
      <c r="L14" s="113" t="s">
        <v>79</v>
      </c>
      <c r="M14" s="113" t="s">
        <v>79</v>
      </c>
      <c r="N14" s="116">
        <v>46110</v>
      </c>
      <c r="O14" s="114">
        <v>152</v>
      </c>
      <c r="P14" s="116">
        <v>46110</v>
      </c>
      <c r="Q14" s="116">
        <v>46119</v>
      </c>
      <c r="R14" s="116">
        <v>46110</v>
      </c>
      <c r="S14" s="112"/>
      <c r="T14" s="112"/>
      <c r="U14" s="112" t="s">
        <v>85</v>
      </c>
      <c r="V14" s="114" t="s">
        <v>86</v>
      </c>
      <c r="W14" s="114">
        <v>152</v>
      </c>
      <c r="X14" s="114">
        <v>130</v>
      </c>
      <c r="Y14" s="112"/>
      <c r="Z14" s="112" t="s">
        <v>87</v>
      </c>
      <c r="AA14" s="112"/>
      <c r="AB14" s="117"/>
      <c r="AC14" s="118">
        <v>30.5</v>
      </c>
      <c r="AD14" s="112"/>
      <c r="AE14" s="114">
        <v>152</v>
      </c>
      <c r="AF14" s="112" t="s">
        <v>88</v>
      </c>
      <c r="AG14" s="114" t="s">
        <v>86</v>
      </c>
      <c r="AH14" s="118">
        <v>24.5</v>
      </c>
      <c r="AI14" s="112">
        <f t="shared" si="0"/>
        <v>3724</v>
      </c>
      <c r="AJ14" s="112"/>
      <c r="AK14" s="115" t="s">
        <v>89</v>
      </c>
      <c r="AL14" s="114">
        <v>130</v>
      </c>
      <c r="AM14" s="112">
        <v>18</v>
      </c>
      <c r="AN14" s="112">
        <f t="shared" si="1"/>
        <v>2340</v>
      </c>
      <c r="AO14" s="112"/>
      <c r="AP14" s="112"/>
      <c r="AQ14" s="112">
        <f t="shared" si="2"/>
        <v>0</v>
      </c>
      <c r="AR14" s="112">
        <f t="shared" si="3"/>
        <v>2340</v>
      </c>
      <c r="AS14" s="112"/>
      <c r="AT14" s="13" t="s">
        <v>90</v>
      </c>
      <c r="AU14" s="124">
        <v>46141</v>
      </c>
      <c r="AV14" s="112">
        <f t="shared" si="4"/>
        <v>18</v>
      </c>
      <c r="AW14" s="112">
        <f t="shared" si="5"/>
        <v>2340</v>
      </c>
      <c r="AX14" s="112"/>
      <c r="AY14" s="114" t="s">
        <v>91</v>
      </c>
      <c r="AZ14" s="119">
        <v>46153</v>
      </c>
      <c r="BA14" s="112">
        <f t="shared" si="6"/>
        <v>18</v>
      </c>
      <c r="BB14" s="112">
        <f t="shared" si="7"/>
        <v>130</v>
      </c>
      <c r="BC14" s="112">
        <f t="shared" si="8"/>
        <v>2340</v>
      </c>
      <c r="BD14" s="112"/>
      <c r="BE14" s="112" t="s">
        <v>129</v>
      </c>
      <c r="BF14" s="113" t="s">
        <v>127</v>
      </c>
      <c r="BG14" s="120" t="s">
        <v>93</v>
      </c>
    </row>
    <row r="15" spans="1:60" s="120" customFormat="1" ht="15" customHeight="1">
      <c r="A15" s="112">
        <f t="shared" si="9"/>
        <v>13</v>
      </c>
      <c r="B15" s="113" t="s">
        <v>130</v>
      </c>
      <c r="C15" s="110" t="s">
        <v>128</v>
      </c>
      <c r="D15" s="122"/>
      <c r="E15" s="110" t="s">
        <v>131</v>
      </c>
      <c r="F15" s="112"/>
      <c r="G15" s="115" t="s">
        <v>81</v>
      </c>
      <c r="H15" s="112" t="s">
        <v>82</v>
      </c>
      <c r="I15" s="114" t="s">
        <v>83</v>
      </c>
      <c r="J15" s="114" t="s">
        <v>84</v>
      </c>
      <c r="K15" s="114" t="s">
        <v>83</v>
      </c>
      <c r="L15" s="113" t="s">
        <v>79</v>
      </c>
      <c r="M15" s="113" t="s">
        <v>79</v>
      </c>
      <c r="N15" s="116">
        <v>46110</v>
      </c>
      <c r="O15" s="114">
        <v>213</v>
      </c>
      <c r="P15" s="116">
        <v>46110</v>
      </c>
      <c r="Q15" s="116">
        <v>46119</v>
      </c>
      <c r="R15" s="116">
        <v>46110</v>
      </c>
      <c r="S15" s="112"/>
      <c r="T15" s="112"/>
      <c r="U15" s="112" t="s">
        <v>85</v>
      </c>
      <c r="V15" s="114" t="s">
        <v>86</v>
      </c>
      <c r="W15" s="114">
        <v>213</v>
      </c>
      <c r="X15" s="114">
        <v>176</v>
      </c>
      <c r="Y15" s="112"/>
      <c r="Z15" s="112" t="s">
        <v>87</v>
      </c>
      <c r="AA15" s="112"/>
      <c r="AB15" s="117"/>
      <c r="AC15" s="118">
        <v>30.5</v>
      </c>
      <c r="AD15" s="112"/>
      <c r="AE15" s="114">
        <v>213</v>
      </c>
      <c r="AF15" s="112" t="s">
        <v>88</v>
      </c>
      <c r="AG15" s="114" t="s">
        <v>86</v>
      </c>
      <c r="AH15" s="118">
        <v>24.5</v>
      </c>
      <c r="AI15" s="112">
        <f>IF(AE15&lt;&gt;"",AH15*AE15,0)</f>
        <v>5218.5</v>
      </c>
      <c r="AJ15" s="112"/>
      <c r="AK15" s="115" t="s">
        <v>89</v>
      </c>
      <c r="AL15" s="114">
        <v>176</v>
      </c>
      <c r="AM15" s="112">
        <v>18</v>
      </c>
      <c r="AN15" s="112">
        <f t="shared" ref="AN15" si="10">IF(AL15&lt;&gt;"",AM15*AL15,0)</f>
        <v>3168</v>
      </c>
      <c r="AO15" s="112"/>
      <c r="AP15" s="112"/>
      <c r="AQ15" s="112">
        <f t="shared" ref="AQ15" si="11">IF(AO15&lt;&gt;"",AP15*AO15,0)</f>
        <v>0</v>
      </c>
      <c r="AR15" s="112">
        <f t="shared" ref="AR15" si="12">AQ15+AN15</f>
        <v>3168</v>
      </c>
      <c r="AS15" s="112"/>
      <c r="AT15" s="13" t="s">
        <v>90</v>
      </c>
      <c r="AU15" s="124">
        <v>46141</v>
      </c>
      <c r="AV15" s="112">
        <f t="shared" ref="AV15" si="13">AM15</f>
        <v>18</v>
      </c>
      <c r="AW15" s="112">
        <f t="shared" ref="AW15" si="14">AV15*AL15</f>
        <v>3168</v>
      </c>
      <c r="AX15" s="112"/>
      <c r="AY15" s="114" t="s">
        <v>91</v>
      </c>
      <c r="AZ15" s="119">
        <v>46153</v>
      </c>
      <c r="BA15" s="112">
        <f t="shared" ref="BA15" si="15">AM15</f>
        <v>18</v>
      </c>
      <c r="BB15" s="112">
        <f t="shared" ref="BB15" si="16">AL15</f>
        <v>176</v>
      </c>
      <c r="BC15" s="112">
        <f t="shared" ref="BC15" si="17">IF(BB15&lt;&gt;"",BB15*BA15,0)</f>
        <v>3168</v>
      </c>
      <c r="BD15" s="112"/>
      <c r="BE15" s="112" t="s">
        <v>132</v>
      </c>
      <c r="BF15" s="113" t="s">
        <v>130</v>
      </c>
      <c r="BG15" s="120" t="s">
        <v>93</v>
      </c>
    </row>
    <row r="16" spans="1:60" s="120" customFormat="1" ht="15" customHeight="1">
      <c r="A16" s="112">
        <f t="shared" si="9"/>
        <v>14</v>
      </c>
      <c r="B16" s="113" t="s">
        <v>133</v>
      </c>
      <c r="C16" s="114" t="s">
        <v>95</v>
      </c>
      <c r="D16" s="122"/>
      <c r="E16" s="114" t="s">
        <v>134</v>
      </c>
      <c r="F16" s="112"/>
      <c r="G16" s="115" t="s">
        <v>81</v>
      </c>
      <c r="H16" s="112" t="s">
        <v>82</v>
      </c>
      <c r="I16" s="114" t="s">
        <v>83</v>
      </c>
      <c r="J16" s="114" t="s">
        <v>84</v>
      </c>
      <c r="K16" s="114" t="s">
        <v>83</v>
      </c>
      <c r="L16" s="113" t="s">
        <v>79</v>
      </c>
      <c r="M16" s="113" t="s">
        <v>79</v>
      </c>
      <c r="N16" s="116">
        <v>46110</v>
      </c>
      <c r="O16" s="114">
        <v>197</v>
      </c>
      <c r="P16" s="116">
        <v>46110</v>
      </c>
      <c r="Q16" s="116">
        <v>46119</v>
      </c>
      <c r="R16" s="116">
        <v>46110</v>
      </c>
      <c r="S16" s="112"/>
      <c r="T16" s="112"/>
      <c r="U16" s="112" t="s">
        <v>85</v>
      </c>
      <c r="V16" s="114" t="s">
        <v>99</v>
      </c>
      <c r="W16" s="114">
        <v>197</v>
      </c>
      <c r="X16" s="114">
        <v>185</v>
      </c>
      <c r="Y16" s="112"/>
      <c r="Z16" s="112" t="s">
        <v>87</v>
      </c>
      <c r="AA16" s="112"/>
      <c r="AB16" s="117"/>
      <c r="AC16" s="118">
        <v>25.5</v>
      </c>
      <c r="AD16" s="112"/>
      <c r="AE16" s="114">
        <v>197</v>
      </c>
      <c r="AF16" s="112" t="s">
        <v>88</v>
      </c>
      <c r="AG16" s="114" t="s">
        <v>99</v>
      </c>
      <c r="AH16" s="118">
        <v>12.5</v>
      </c>
      <c r="AI16" s="112">
        <f t="shared" si="0"/>
        <v>2462.5</v>
      </c>
      <c r="AJ16" s="112"/>
      <c r="AK16" s="115" t="s">
        <v>89</v>
      </c>
      <c r="AL16" s="114">
        <v>185</v>
      </c>
      <c r="AM16" s="112">
        <v>18</v>
      </c>
      <c r="AN16" s="112">
        <f t="shared" si="1"/>
        <v>3330</v>
      </c>
      <c r="AO16" s="112"/>
      <c r="AP16" s="112"/>
      <c r="AQ16" s="112">
        <f t="shared" si="2"/>
        <v>0</v>
      </c>
      <c r="AR16" s="112">
        <f t="shared" si="3"/>
        <v>3330</v>
      </c>
      <c r="AS16" s="112"/>
      <c r="AT16" s="13" t="s">
        <v>90</v>
      </c>
      <c r="AU16" s="124">
        <v>46141</v>
      </c>
      <c r="AV16" s="112">
        <f t="shared" si="4"/>
        <v>18</v>
      </c>
      <c r="AW16" s="112">
        <f t="shared" si="5"/>
        <v>3330</v>
      </c>
      <c r="AX16" s="112"/>
      <c r="AY16" s="114" t="s">
        <v>91</v>
      </c>
      <c r="AZ16" s="119">
        <v>46153</v>
      </c>
      <c r="BA16" s="112">
        <f t="shared" si="6"/>
        <v>18</v>
      </c>
      <c r="BB16" s="112">
        <f t="shared" si="7"/>
        <v>185</v>
      </c>
      <c r="BC16" s="112">
        <f t="shared" si="8"/>
        <v>3330</v>
      </c>
      <c r="BD16" s="112"/>
      <c r="BE16" s="112" t="s">
        <v>135</v>
      </c>
      <c r="BF16" s="113" t="s">
        <v>133</v>
      </c>
      <c r="BG16" s="120" t="s">
        <v>93</v>
      </c>
    </row>
    <row r="17" spans="1:60" s="120" customFormat="1" ht="15" customHeight="1">
      <c r="A17" s="112">
        <f t="shared" si="9"/>
        <v>15</v>
      </c>
      <c r="B17" s="113" t="s">
        <v>136</v>
      </c>
      <c r="C17" s="114" t="s">
        <v>134</v>
      </c>
      <c r="D17" s="122"/>
      <c r="E17" s="114" t="s">
        <v>137</v>
      </c>
      <c r="F17" s="112"/>
      <c r="G17" s="115" t="s">
        <v>81</v>
      </c>
      <c r="H17" s="112" t="s">
        <v>82</v>
      </c>
      <c r="I17" s="114" t="s">
        <v>83</v>
      </c>
      <c r="J17" s="114" t="s">
        <v>84</v>
      </c>
      <c r="K17" s="114" t="s">
        <v>83</v>
      </c>
      <c r="L17" s="113" t="s">
        <v>79</v>
      </c>
      <c r="M17" s="113" t="s">
        <v>79</v>
      </c>
      <c r="N17" s="116">
        <v>46110</v>
      </c>
      <c r="O17" s="114">
        <v>88</v>
      </c>
      <c r="P17" s="116">
        <v>46110</v>
      </c>
      <c r="Q17" s="116">
        <v>46119</v>
      </c>
      <c r="R17" s="116">
        <v>46110</v>
      </c>
      <c r="S17" s="112"/>
      <c r="T17" s="112"/>
      <c r="U17" s="112" t="s">
        <v>85</v>
      </c>
      <c r="V17" s="114" t="s">
        <v>99</v>
      </c>
      <c r="W17" s="114">
        <v>88</v>
      </c>
      <c r="X17" s="114">
        <v>82</v>
      </c>
      <c r="Y17" s="112"/>
      <c r="Z17" s="112" t="s">
        <v>87</v>
      </c>
      <c r="AA17" s="112"/>
      <c r="AB17" s="117"/>
      <c r="AC17" s="118">
        <v>25.5</v>
      </c>
      <c r="AD17" s="112"/>
      <c r="AE17" s="114">
        <v>88</v>
      </c>
      <c r="AF17" s="112" t="s">
        <v>88</v>
      </c>
      <c r="AG17" s="114" t="s">
        <v>99</v>
      </c>
      <c r="AH17" s="118">
        <v>12.5</v>
      </c>
      <c r="AI17" s="112">
        <f t="shared" si="0"/>
        <v>1100</v>
      </c>
      <c r="AJ17" s="112"/>
      <c r="AK17" s="115" t="s">
        <v>89</v>
      </c>
      <c r="AL17" s="114">
        <v>82</v>
      </c>
      <c r="AM17" s="112">
        <v>18</v>
      </c>
      <c r="AN17" s="112">
        <f t="shared" si="1"/>
        <v>1476</v>
      </c>
      <c r="AO17" s="112"/>
      <c r="AP17" s="112"/>
      <c r="AQ17" s="112">
        <f t="shared" si="2"/>
        <v>0</v>
      </c>
      <c r="AR17" s="112">
        <f t="shared" si="3"/>
        <v>1476</v>
      </c>
      <c r="AS17" s="112"/>
      <c r="AT17" s="13" t="s">
        <v>90</v>
      </c>
      <c r="AU17" s="124">
        <v>46141</v>
      </c>
      <c r="AV17" s="112">
        <f t="shared" si="4"/>
        <v>18</v>
      </c>
      <c r="AW17" s="112">
        <f t="shared" si="5"/>
        <v>1476</v>
      </c>
      <c r="AX17" s="112"/>
      <c r="AY17" s="114" t="s">
        <v>91</v>
      </c>
      <c r="AZ17" s="119">
        <v>46153</v>
      </c>
      <c r="BA17" s="112">
        <f t="shared" si="6"/>
        <v>18</v>
      </c>
      <c r="BB17" s="112">
        <f t="shared" si="7"/>
        <v>82</v>
      </c>
      <c r="BC17" s="112">
        <f t="shared" si="8"/>
        <v>1476</v>
      </c>
      <c r="BD17" s="112"/>
      <c r="BE17" s="112" t="s">
        <v>138</v>
      </c>
      <c r="BF17" s="113" t="s">
        <v>136</v>
      </c>
      <c r="BG17" s="120" t="s">
        <v>93</v>
      </c>
    </row>
    <row r="18" spans="1:60" s="120" customFormat="1" ht="15" customHeight="1">
      <c r="A18" s="112">
        <f t="shared" si="9"/>
        <v>16</v>
      </c>
      <c r="B18" s="113" t="s">
        <v>139</v>
      </c>
      <c r="C18" s="114" t="s">
        <v>140</v>
      </c>
      <c r="D18" s="122"/>
      <c r="E18" s="114" t="s">
        <v>141</v>
      </c>
      <c r="F18" s="112"/>
      <c r="G18" s="115" t="s">
        <v>81</v>
      </c>
      <c r="H18" s="112" t="s">
        <v>82</v>
      </c>
      <c r="I18" s="114" t="s">
        <v>83</v>
      </c>
      <c r="J18" s="114" t="s">
        <v>84</v>
      </c>
      <c r="K18" s="114" t="s">
        <v>83</v>
      </c>
      <c r="L18" s="113" t="s">
        <v>140</v>
      </c>
      <c r="M18" s="113" t="s">
        <v>140</v>
      </c>
      <c r="N18" s="116">
        <v>46112</v>
      </c>
      <c r="O18" s="114">
        <v>931</v>
      </c>
      <c r="P18" s="116">
        <v>46113</v>
      </c>
      <c r="Q18" s="116">
        <v>46125</v>
      </c>
      <c r="R18" s="116">
        <v>46113</v>
      </c>
      <c r="S18" s="112"/>
      <c r="T18" s="112"/>
      <c r="U18" s="112" t="s">
        <v>85</v>
      </c>
      <c r="V18" s="114" t="s">
        <v>142</v>
      </c>
      <c r="W18" s="114">
        <v>931</v>
      </c>
      <c r="X18" s="114">
        <v>811</v>
      </c>
      <c r="Y18" s="112"/>
      <c r="Z18" s="112" t="s">
        <v>87</v>
      </c>
      <c r="AA18" s="112"/>
      <c r="AB18" s="117"/>
      <c r="AC18" s="118">
        <v>35.5</v>
      </c>
      <c r="AD18" s="112"/>
      <c r="AE18" s="114">
        <v>931</v>
      </c>
      <c r="AF18" s="112" t="s">
        <v>88</v>
      </c>
      <c r="AG18" s="114" t="s">
        <v>142</v>
      </c>
      <c r="AH18" s="118">
        <v>38.5</v>
      </c>
      <c r="AI18" s="112">
        <f t="shared" si="0"/>
        <v>35843.5</v>
      </c>
      <c r="AJ18" s="112"/>
      <c r="AK18" s="115" t="s">
        <v>89</v>
      </c>
      <c r="AL18" s="114">
        <v>811</v>
      </c>
      <c r="AM18" s="112">
        <v>20</v>
      </c>
      <c r="AN18" s="112">
        <f t="shared" ref="AN18:AN81" si="18">IF(AL18&lt;&gt;"",AM18*AL18,0)</f>
        <v>16220</v>
      </c>
      <c r="AO18" s="112"/>
      <c r="AP18" s="112"/>
      <c r="AQ18" s="112">
        <f t="shared" ref="AQ18:AQ81" si="19">IF(AO18&lt;&gt;"",AP18*AO18,0)</f>
        <v>0</v>
      </c>
      <c r="AR18" s="112">
        <f t="shared" ref="AR18:AR81" si="20">AQ18+AN18</f>
        <v>16220</v>
      </c>
      <c r="AS18" s="112"/>
      <c r="AT18" s="110" t="s">
        <v>143</v>
      </c>
      <c r="AU18" s="111">
        <v>46141</v>
      </c>
      <c r="AV18" s="112">
        <f t="shared" ref="AV18:AV81" si="21">AM18</f>
        <v>20</v>
      </c>
      <c r="AW18" s="112">
        <f t="shared" ref="AW18:AW81" si="22">AV18*AL18</f>
        <v>16220</v>
      </c>
      <c r="AX18" s="112"/>
      <c r="AY18" s="114" t="s">
        <v>144</v>
      </c>
      <c r="AZ18" s="119"/>
      <c r="BA18" s="112">
        <f t="shared" ref="BA18:BA81" si="23">AM18</f>
        <v>20</v>
      </c>
      <c r="BB18" s="112">
        <f t="shared" ref="BB18:BB81" si="24">AL18</f>
        <v>811</v>
      </c>
      <c r="BC18" s="112">
        <f t="shared" ref="BC18:BC81" si="25">IF(BB18&lt;&gt;"",BB18*BA18,0)</f>
        <v>16220</v>
      </c>
      <c r="BD18" s="112"/>
      <c r="BE18" s="112" t="s">
        <v>92</v>
      </c>
      <c r="BF18" s="113" t="s">
        <v>139</v>
      </c>
      <c r="BG18" s="120" t="s">
        <v>93</v>
      </c>
      <c r="BH18" s="120" t="s">
        <v>145</v>
      </c>
    </row>
    <row r="19" spans="1:60" s="120" customFormat="1" ht="15" customHeight="1">
      <c r="A19" s="112">
        <f t="shared" si="9"/>
        <v>17</v>
      </c>
      <c r="B19" s="113" t="s">
        <v>146</v>
      </c>
      <c r="C19" s="114" t="s">
        <v>140</v>
      </c>
      <c r="D19" s="122"/>
      <c r="E19" s="114" t="s">
        <v>147</v>
      </c>
      <c r="F19" s="112"/>
      <c r="G19" s="115" t="s">
        <v>81</v>
      </c>
      <c r="H19" s="112" t="s">
        <v>82</v>
      </c>
      <c r="I19" s="114" t="s">
        <v>83</v>
      </c>
      <c r="J19" s="114" t="s">
        <v>84</v>
      </c>
      <c r="K19" s="114" t="s">
        <v>83</v>
      </c>
      <c r="L19" s="113" t="s">
        <v>140</v>
      </c>
      <c r="M19" s="113" t="s">
        <v>140</v>
      </c>
      <c r="N19" s="116">
        <v>46112</v>
      </c>
      <c r="O19" s="114">
        <v>654</v>
      </c>
      <c r="P19" s="116">
        <v>46113</v>
      </c>
      <c r="Q19" s="116">
        <v>46125</v>
      </c>
      <c r="R19" s="116">
        <v>46113</v>
      </c>
      <c r="S19" s="112"/>
      <c r="T19" s="112"/>
      <c r="U19" s="112" t="s">
        <v>85</v>
      </c>
      <c r="V19" s="114" t="s">
        <v>142</v>
      </c>
      <c r="W19" s="114">
        <v>654</v>
      </c>
      <c r="X19" s="114">
        <v>589</v>
      </c>
      <c r="Y19" s="112"/>
      <c r="Z19" s="112" t="s">
        <v>87</v>
      </c>
      <c r="AA19" s="112"/>
      <c r="AB19" s="117"/>
      <c r="AC19" s="118">
        <v>35.5</v>
      </c>
      <c r="AD19" s="112"/>
      <c r="AE19" s="114">
        <v>654</v>
      </c>
      <c r="AF19" s="112" t="s">
        <v>88</v>
      </c>
      <c r="AG19" s="114" t="s">
        <v>142</v>
      </c>
      <c r="AH19" s="118">
        <v>38.5</v>
      </c>
      <c r="AI19" s="112">
        <f t="shared" si="0"/>
        <v>25179</v>
      </c>
      <c r="AJ19" s="112"/>
      <c r="AK19" s="115" t="s">
        <v>89</v>
      </c>
      <c r="AL19" s="114">
        <v>589</v>
      </c>
      <c r="AM19" s="112">
        <v>20</v>
      </c>
      <c r="AN19" s="112">
        <f t="shared" si="18"/>
        <v>11780</v>
      </c>
      <c r="AO19" s="112"/>
      <c r="AP19" s="112"/>
      <c r="AQ19" s="112">
        <f t="shared" si="19"/>
        <v>0</v>
      </c>
      <c r="AR19" s="112">
        <f t="shared" si="20"/>
        <v>11780</v>
      </c>
      <c r="AS19" s="112"/>
      <c r="AT19" s="110" t="s">
        <v>143</v>
      </c>
      <c r="AU19" s="111">
        <v>46141</v>
      </c>
      <c r="AV19" s="112">
        <f t="shared" si="21"/>
        <v>20</v>
      </c>
      <c r="AW19" s="112">
        <f t="shared" si="22"/>
        <v>11780</v>
      </c>
      <c r="AX19" s="112"/>
      <c r="AY19" s="114" t="s">
        <v>144</v>
      </c>
      <c r="AZ19" s="119"/>
      <c r="BA19" s="112">
        <f t="shared" si="23"/>
        <v>20</v>
      </c>
      <c r="BB19" s="112">
        <f t="shared" si="24"/>
        <v>589</v>
      </c>
      <c r="BC19" s="112">
        <f t="shared" si="25"/>
        <v>11780</v>
      </c>
      <c r="BD19" s="112"/>
      <c r="BE19" s="112" t="s">
        <v>96</v>
      </c>
      <c r="BF19" s="113" t="s">
        <v>146</v>
      </c>
      <c r="BG19" s="120" t="s">
        <v>93</v>
      </c>
      <c r="BH19" s="120" t="s">
        <v>145</v>
      </c>
    </row>
    <row r="20" spans="1:60" s="120" customFormat="1" ht="15" customHeight="1">
      <c r="A20" s="112">
        <f t="shared" si="9"/>
        <v>18</v>
      </c>
      <c r="B20" s="113" t="s">
        <v>148</v>
      </c>
      <c r="C20" s="114" t="s">
        <v>140</v>
      </c>
      <c r="D20" s="122"/>
      <c r="E20" s="114" t="s">
        <v>149</v>
      </c>
      <c r="F20" s="112"/>
      <c r="G20" s="115" t="s">
        <v>81</v>
      </c>
      <c r="H20" s="112" t="s">
        <v>82</v>
      </c>
      <c r="I20" s="114" t="s">
        <v>83</v>
      </c>
      <c r="J20" s="114" t="s">
        <v>84</v>
      </c>
      <c r="K20" s="114" t="s">
        <v>83</v>
      </c>
      <c r="L20" s="113" t="s">
        <v>140</v>
      </c>
      <c r="M20" s="113" t="s">
        <v>140</v>
      </c>
      <c r="N20" s="116">
        <v>46112</v>
      </c>
      <c r="O20" s="114">
        <v>129</v>
      </c>
      <c r="P20" s="116">
        <v>46113</v>
      </c>
      <c r="Q20" s="116">
        <v>46125</v>
      </c>
      <c r="R20" s="116">
        <v>46113</v>
      </c>
      <c r="S20" s="112"/>
      <c r="T20" s="112"/>
      <c r="U20" s="112" t="s">
        <v>85</v>
      </c>
      <c r="V20" s="114" t="s">
        <v>86</v>
      </c>
      <c r="W20" s="114">
        <v>129</v>
      </c>
      <c r="X20" s="114">
        <v>128</v>
      </c>
      <c r="Y20" s="112"/>
      <c r="Z20" s="112" t="s">
        <v>87</v>
      </c>
      <c r="AA20" s="112"/>
      <c r="AB20" s="117"/>
      <c r="AC20" s="118">
        <v>30.5</v>
      </c>
      <c r="AD20" s="112"/>
      <c r="AE20" s="114">
        <v>129</v>
      </c>
      <c r="AF20" s="112" t="s">
        <v>88</v>
      </c>
      <c r="AG20" s="114" t="s">
        <v>86</v>
      </c>
      <c r="AH20" s="118">
        <v>24.5</v>
      </c>
      <c r="AI20" s="112">
        <f t="shared" si="0"/>
        <v>3160.5</v>
      </c>
      <c r="AJ20" s="112"/>
      <c r="AK20" s="115" t="s">
        <v>89</v>
      </c>
      <c r="AL20" s="114">
        <v>128</v>
      </c>
      <c r="AM20" s="112">
        <v>18</v>
      </c>
      <c r="AN20" s="112">
        <f t="shared" si="18"/>
        <v>2304</v>
      </c>
      <c r="AO20" s="112"/>
      <c r="AP20" s="112"/>
      <c r="AQ20" s="112">
        <f t="shared" si="19"/>
        <v>0</v>
      </c>
      <c r="AR20" s="112">
        <f t="shared" si="20"/>
        <v>2304</v>
      </c>
      <c r="AS20" s="112"/>
      <c r="AT20" s="110" t="s">
        <v>143</v>
      </c>
      <c r="AU20" s="111">
        <v>46141</v>
      </c>
      <c r="AV20" s="112">
        <f t="shared" si="21"/>
        <v>18</v>
      </c>
      <c r="AW20" s="112">
        <f t="shared" si="22"/>
        <v>2304</v>
      </c>
      <c r="AX20" s="112"/>
      <c r="AY20" s="114" t="s">
        <v>144</v>
      </c>
      <c r="AZ20" s="119"/>
      <c r="BA20" s="112">
        <f t="shared" si="23"/>
        <v>18</v>
      </c>
      <c r="BB20" s="112">
        <f t="shared" si="24"/>
        <v>128</v>
      </c>
      <c r="BC20" s="112">
        <f t="shared" si="25"/>
        <v>2304</v>
      </c>
      <c r="BD20" s="112"/>
      <c r="BE20" s="112" t="s">
        <v>100</v>
      </c>
      <c r="BF20" s="113" t="s">
        <v>148</v>
      </c>
      <c r="BG20" s="120" t="s">
        <v>93</v>
      </c>
      <c r="BH20" s="120" t="s">
        <v>145</v>
      </c>
    </row>
    <row r="21" spans="1:60" s="120" customFormat="1" ht="15" customHeight="1">
      <c r="A21" s="112">
        <f t="shared" si="9"/>
        <v>19</v>
      </c>
      <c r="B21" s="113" t="s">
        <v>150</v>
      </c>
      <c r="C21" s="114" t="s">
        <v>151</v>
      </c>
      <c r="D21" s="122"/>
      <c r="E21" s="114" t="s">
        <v>152</v>
      </c>
      <c r="F21" s="112"/>
      <c r="G21" s="115" t="s">
        <v>81</v>
      </c>
      <c r="H21" s="112" t="s">
        <v>82</v>
      </c>
      <c r="I21" s="114" t="s">
        <v>83</v>
      </c>
      <c r="J21" s="114" t="s">
        <v>84</v>
      </c>
      <c r="K21" s="114" t="s">
        <v>83</v>
      </c>
      <c r="L21" s="113" t="s">
        <v>140</v>
      </c>
      <c r="M21" s="113" t="s">
        <v>140</v>
      </c>
      <c r="N21" s="116">
        <v>46112</v>
      </c>
      <c r="O21" s="114">
        <v>109</v>
      </c>
      <c r="P21" s="116">
        <v>46113</v>
      </c>
      <c r="Q21" s="116">
        <v>46125</v>
      </c>
      <c r="R21" s="116">
        <v>46113</v>
      </c>
      <c r="S21" s="112"/>
      <c r="T21" s="112"/>
      <c r="U21" s="112" t="s">
        <v>85</v>
      </c>
      <c r="V21" s="114" t="s">
        <v>86</v>
      </c>
      <c r="W21" s="114">
        <v>109</v>
      </c>
      <c r="X21" s="114">
        <v>110</v>
      </c>
      <c r="Y21" s="112"/>
      <c r="Z21" s="112" t="s">
        <v>87</v>
      </c>
      <c r="AA21" s="112"/>
      <c r="AB21" s="117"/>
      <c r="AC21" s="118">
        <v>30.5</v>
      </c>
      <c r="AD21" s="112"/>
      <c r="AE21" s="114">
        <v>109</v>
      </c>
      <c r="AF21" s="112" t="s">
        <v>88</v>
      </c>
      <c r="AG21" s="114" t="s">
        <v>86</v>
      </c>
      <c r="AH21" s="118">
        <v>24.5</v>
      </c>
      <c r="AI21" s="112">
        <f t="shared" si="0"/>
        <v>2670.5</v>
      </c>
      <c r="AJ21" s="112"/>
      <c r="AK21" s="115" t="s">
        <v>89</v>
      </c>
      <c r="AL21" s="114">
        <v>110</v>
      </c>
      <c r="AM21" s="112">
        <v>18</v>
      </c>
      <c r="AN21" s="112">
        <f t="shared" si="18"/>
        <v>1980</v>
      </c>
      <c r="AO21" s="112"/>
      <c r="AP21" s="112"/>
      <c r="AQ21" s="112">
        <f t="shared" si="19"/>
        <v>0</v>
      </c>
      <c r="AR21" s="112">
        <f t="shared" si="20"/>
        <v>1980</v>
      </c>
      <c r="AS21" s="112"/>
      <c r="AT21" s="110" t="s">
        <v>143</v>
      </c>
      <c r="AU21" s="111">
        <v>46141</v>
      </c>
      <c r="AV21" s="112">
        <f t="shared" si="21"/>
        <v>18</v>
      </c>
      <c r="AW21" s="112">
        <f t="shared" si="22"/>
        <v>1980</v>
      </c>
      <c r="AX21" s="112"/>
      <c r="AY21" s="114" t="s">
        <v>144</v>
      </c>
      <c r="AZ21" s="119"/>
      <c r="BA21" s="112">
        <f t="shared" si="23"/>
        <v>18</v>
      </c>
      <c r="BB21" s="112">
        <f t="shared" si="24"/>
        <v>110</v>
      </c>
      <c r="BC21" s="112">
        <f t="shared" si="25"/>
        <v>1980</v>
      </c>
      <c r="BD21" s="112"/>
      <c r="BE21" s="112" t="s">
        <v>104</v>
      </c>
      <c r="BF21" s="113" t="s">
        <v>150</v>
      </c>
      <c r="BG21" s="120" t="s">
        <v>93</v>
      </c>
      <c r="BH21" s="120" t="s">
        <v>145</v>
      </c>
    </row>
    <row r="22" spans="1:60" s="120" customFormat="1" ht="15" customHeight="1">
      <c r="A22" s="112">
        <f t="shared" si="9"/>
        <v>20</v>
      </c>
      <c r="B22" s="113" t="s">
        <v>153</v>
      </c>
      <c r="C22" s="114" t="s">
        <v>154</v>
      </c>
      <c r="D22" s="122"/>
      <c r="E22" s="114" t="s">
        <v>155</v>
      </c>
      <c r="F22" s="112"/>
      <c r="G22" s="115" t="s">
        <v>81</v>
      </c>
      <c r="H22" s="112" t="s">
        <v>82</v>
      </c>
      <c r="I22" s="114" t="s">
        <v>83</v>
      </c>
      <c r="J22" s="114" t="s">
        <v>84</v>
      </c>
      <c r="K22" s="114" t="s">
        <v>83</v>
      </c>
      <c r="L22" s="113" t="s">
        <v>140</v>
      </c>
      <c r="M22" s="113" t="s">
        <v>140</v>
      </c>
      <c r="N22" s="116">
        <v>46112</v>
      </c>
      <c r="O22" s="114">
        <v>62</v>
      </c>
      <c r="P22" s="116">
        <v>46113</v>
      </c>
      <c r="Q22" s="116">
        <v>46125</v>
      </c>
      <c r="R22" s="116">
        <v>46113</v>
      </c>
      <c r="S22" s="112"/>
      <c r="T22" s="112"/>
      <c r="U22" s="112" t="s">
        <v>85</v>
      </c>
      <c r="V22" s="114" t="s">
        <v>86</v>
      </c>
      <c r="W22" s="114">
        <v>62</v>
      </c>
      <c r="X22" s="114">
        <v>62</v>
      </c>
      <c r="Y22" s="112"/>
      <c r="Z22" s="112" t="s">
        <v>87</v>
      </c>
      <c r="AA22" s="112"/>
      <c r="AB22" s="117"/>
      <c r="AC22" s="118">
        <v>30.5</v>
      </c>
      <c r="AD22" s="112"/>
      <c r="AE22" s="114">
        <v>62</v>
      </c>
      <c r="AF22" s="112" t="s">
        <v>88</v>
      </c>
      <c r="AG22" s="114" t="s">
        <v>86</v>
      </c>
      <c r="AH22" s="118">
        <v>24.5</v>
      </c>
      <c r="AI22" s="112">
        <f t="shared" si="0"/>
        <v>1519</v>
      </c>
      <c r="AJ22" s="112"/>
      <c r="AK22" s="115" t="s">
        <v>89</v>
      </c>
      <c r="AL22" s="114">
        <v>62</v>
      </c>
      <c r="AM22" s="112">
        <v>18</v>
      </c>
      <c r="AN22" s="112">
        <f t="shared" si="18"/>
        <v>1116</v>
      </c>
      <c r="AO22" s="112"/>
      <c r="AP22" s="112"/>
      <c r="AQ22" s="112">
        <f t="shared" si="19"/>
        <v>0</v>
      </c>
      <c r="AR22" s="112">
        <f t="shared" si="20"/>
        <v>1116</v>
      </c>
      <c r="AS22" s="112"/>
      <c r="AT22" s="110" t="s">
        <v>143</v>
      </c>
      <c r="AU22" s="111">
        <v>46141</v>
      </c>
      <c r="AV22" s="112">
        <f t="shared" si="21"/>
        <v>18</v>
      </c>
      <c r="AW22" s="112">
        <f t="shared" si="22"/>
        <v>1116</v>
      </c>
      <c r="AX22" s="112"/>
      <c r="AY22" s="114" t="s">
        <v>144</v>
      </c>
      <c r="AZ22" s="119"/>
      <c r="BA22" s="112">
        <f t="shared" si="23"/>
        <v>18</v>
      </c>
      <c r="BB22" s="112">
        <f t="shared" si="24"/>
        <v>62</v>
      </c>
      <c r="BC22" s="112">
        <f t="shared" si="25"/>
        <v>1116</v>
      </c>
      <c r="BD22" s="112"/>
      <c r="BE22" s="112" t="s">
        <v>107</v>
      </c>
      <c r="BF22" s="113" t="s">
        <v>153</v>
      </c>
      <c r="BG22" s="120" t="s">
        <v>93</v>
      </c>
      <c r="BH22" s="120" t="s">
        <v>145</v>
      </c>
    </row>
    <row r="23" spans="1:60" s="120" customFormat="1" ht="15" customHeight="1">
      <c r="A23" s="112">
        <f t="shared" si="9"/>
        <v>21</v>
      </c>
      <c r="B23" s="113" t="s">
        <v>156</v>
      </c>
      <c r="C23" s="114" t="s">
        <v>149</v>
      </c>
      <c r="D23" s="122"/>
      <c r="E23" s="114" t="s">
        <v>157</v>
      </c>
      <c r="F23" s="112"/>
      <c r="G23" s="115" t="s">
        <v>81</v>
      </c>
      <c r="H23" s="112" t="s">
        <v>82</v>
      </c>
      <c r="I23" s="114" t="s">
        <v>83</v>
      </c>
      <c r="J23" s="114" t="s">
        <v>84</v>
      </c>
      <c r="K23" s="114" t="s">
        <v>83</v>
      </c>
      <c r="L23" s="113" t="s">
        <v>140</v>
      </c>
      <c r="M23" s="113" t="s">
        <v>140</v>
      </c>
      <c r="N23" s="116">
        <v>46112</v>
      </c>
      <c r="O23" s="114">
        <v>10</v>
      </c>
      <c r="P23" s="116">
        <v>46113</v>
      </c>
      <c r="Q23" s="116">
        <v>46125</v>
      </c>
      <c r="R23" s="116">
        <v>46113</v>
      </c>
      <c r="S23" s="112"/>
      <c r="T23" s="112"/>
      <c r="U23" s="112" t="s">
        <v>85</v>
      </c>
      <c r="V23" s="114" t="s">
        <v>99</v>
      </c>
      <c r="W23" s="114">
        <v>10</v>
      </c>
      <c r="X23" s="114">
        <v>10</v>
      </c>
      <c r="Y23" s="112"/>
      <c r="Z23" s="112" t="s">
        <v>87</v>
      </c>
      <c r="AA23" s="112"/>
      <c r="AB23" s="117"/>
      <c r="AC23" s="118">
        <v>25.5</v>
      </c>
      <c r="AD23" s="112"/>
      <c r="AE23" s="114">
        <v>10</v>
      </c>
      <c r="AF23" s="112" t="s">
        <v>88</v>
      </c>
      <c r="AG23" s="114" t="s">
        <v>99</v>
      </c>
      <c r="AH23" s="118">
        <v>12.5</v>
      </c>
      <c r="AI23" s="112">
        <f t="shared" si="0"/>
        <v>125</v>
      </c>
      <c r="AJ23" s="112"/>
      <c r="AK23" s="115" t="s">
        <v>89</v>
      </c>
      <c r="AL23" s="114">
        <v>10</v>
      </c>
      <c r="AM23" s="112">
        <v>18</v>
      </c>
      <c r="AN23" s="112">
        <f t="shared" si="18"/>
        <v>180</v>
      </c>
      <c r="AO23" s="112"/>
      <c r="AP23" s="112"/>
      <c r="AQ23" s="112">
        <f t="shared" si="19"/>
        <v>0</v>
      </c>
      <c r="AR23" s="112">
        <f t="shared" si="20"/>
        <v>180</v>
      </c>
      <c r="AS23" s="112"/>
      <c r="AT23" s="110" t="s">
        <v>143</v>
      </c>
      <c r="AU23" s="111">
        <v>46141</v>
      </c>
      <c r="AV23" s="112">
        <f t="shared" si="21"/>
        <v>18</v>
      </c>
      <c r="AW23" s="112">
        <f t="shared" si="22"/>
        <v>180</v>
      </c>
      <c r="AX23" s="112"/>
      <c r="AY23" s="114" t="s">
        <v>144</v>
      </c>
      <c r="AZ23" s="119"/>
      <c r="BA23" s="112">
        <f t="shared" si="23"/>
        <v>18</v>
      </c>
      <c r="BB23" s="112">
        <f t="shared" si="24"/>
        <v>10</v>
      </c>
      <c r="BC23" s="112">
        <f t="shared" si="25"/>
        <v>180</v>
      </c>
      <c r="BD23" s="112"/>
      <c r="BE23" s="112" t="s">
        <v>110</v>
      </c>
      <c r="BF23" s="113" t="s">
        <v>156</v>
      </c>
      <c r="BG23" s="120" t="s">
        <v>93</v>
      </c>
      <c r="BH23" s="120" t="s">
        <v>145</v>
      </c>
    </row>
    <row r="24" spans="1:60" s="120" customFormat="1" ht="15" customHeight="1">
      <c r="A24" s="112">
        <f t="shared" si="9"/>
        <v>22</v>
      </c>
      <c r="B24" s="113" t="s">
        <v>158</v>
      </c>
      <c r="C24" s="114" t="s">
        <v>159</v>
      </c>
      <c r="D24" s="122"/>
      <c r="E24" s="114" t="s">
        <v>160</v>
      </c>
      <c r="F24" s="112"/>
      <c r="G24" s="115" t="s">
        <v>81</v>
      </c>
      <c r="H24" s="112" t="s">
        <v>82</v>
      </c>
      <c r="I24" s="114" t="s">
        <v>83</v>
      </c>
      <c r="J24" s="114" t="s">
        <v>84</v>
      </c>
      <c r="K24" s="114" t="s">
        <v>83</v>
      </c>
      <c r="L24" s="113" t="s">
        <v>140</v>
      </c>
      <c r="M24" s="113" t="s">
        <v>140</v>
      </c>
      <c r="N24" s="116">
        <v>46112</v>
      </c>
      <c r="O24" s="114">
        <v>114</v>
      </c>
      <c r="P24" s="116">
        <v>46113</v>
      </c>
      <c r="Q24" s="116">
        <v>46125</v>
      </c>
      <c r="R24" s="116">
        <v>46113</v>
      </c>
      <c r="S24" s="112"/>
      <c r="T24" s="112"/>
      <c r="U24" s="112" t="s">
        <v>85</v>
      </c>
      <c r="V24" s="114" t="s">
        <v>99</v>
      </c>
      <c r="W24" s="114">
        <v>114</v>
      </c>
      <c r="X24" s="114">
        <v>106</v>
      </c>
      <c r="Y24" s="112"/>
      <c r="Z24" s="112" t="s">
        <v>87</v>
      </c>
      <c r="AA24" s="112"/>
      <c r="AB24" s="117"/>
      <c r="AC24" s="118">
        <v>25.5</v>
      </c>
      <c r="AD24" s="112"/>
      <c r="AE24" s="114">
        <v>114</v>
      </c>
      <c r="AF24" s="112" t="s">
        <v>88</v>
      </c>
      <c r="AG24" s="114" t="s">
        <v>99</v>
      </c>
      <c r="AH24" s="118">
        <v>12.5</v>
      </c>
      <c r="AI24" s="112">
        <f t="shared" si="0"/>
        <v>1425</v>
      </c>
      <c r="AJ24" s="112"/>
      <c r="AK24" s="115" t="s">
        <v>89</v>
      </c>
      <c r="AL24" s="114">
        <v>106</v>
      </c>
      <c r="AM24" s="112">
        <v>18</v>
      </c>
      <c r="AN24" s="112">
        <f t="shared" si="18"/>
        <v>1908</v>
      </c>
      <c r="AO24" s="112"/>
      <c r="AP24" s="112"/>
      <c r="AQ24" s="112">
        <f t="shared" si="19"/>
        <v>0</v>
      </c>
      <c r="AR24" s="112">
        <f t="shared" si="20"/>
        <v>1908</v>
      </c>
      <c r="AS24" s="112"/>
      <c r="AT24" s="110" t="s">
        <v>143</v>
      </c>
      <c r="AU24" s="111">
        <v>46141</v>
      </c>
      <c r="AV24" s="112">
        <f t="shared" si="21"/>
        <v>18</v>
      </c>
      <c r="AW24" s="112">
        <f t="shared" si="22"/>
        <v>1908</v>
      </c>
      <c r="AX24" s="112"/>
      <c r="AY24" s="114" t="s">
        <v>144</v>
      </c>
      <c r="AZ24" s="119"/>
      <c r="BA24" s="112">
        <f t="shared" si="23"/>
        <v>18</v>
      </c>
      <c r="BB24" s="112">
        <f t="shared" si="24"/>
        <v>106</v>
      </c>
      <c r="BC24" s="112">
        <f t="shared" si="25"/>
        <v>1908</v>
      </c>
      <c r="BD24" s="112"/>
      <c r="BE24" s="112" t="s">
        <v>114</v>
      </c>
      <c r="BF24" s="113" t="s">
        <v>158</v>
      </c>
      <c r="BG24" s="120" t="s">
        <v>93</v>
      </c>
      <c r="BH24" s="120" t="s">
        <v>145</v>
      </c>
    </row>
    <row r="25" spans="1:60" s="120" customFormat="1" ht="15" customHeight="1">
      <c r="A25" s="112">
        <f t="shared" si="9"/>
        <v>23</v>
      </c>
      <c r="B25" s="113" t="s">
        <v>161</v>
      </c>
      <c r="C25" s="114" t="s">
        <v>149</v>
      </c>
      <c r="D25" s="122"/>
      <c r="E25" s="114" t="s">
        <v>162</v>
      </c>
      <c r="F25" s="112"/>
      <c r="G25" s="115" t="s">
        <v>81</v>
      </c>
      <c r="H25" s="112" t="s">
        <v>82</v>
      </c>
      <c r="I25" s="114" t="s">
        <v>83</v>
      </c>
      <c r="J25" s="114" t="s">
        <v>84</v>
      </c>
      <c r="K25" s="114" t="s">
        <v>83</v>
      </c>
      <c r="L25" s="113" t="s">
        <v>140</v>
      </c>
      <c r="M25" s="113" t="s">
        <v>140</v>
      </c>
      <c r="N25" s="116">
        <v>46112</v>
      </c>
      <c r="O25" s="114">
        <v>31</v>
      </c>
      <c r="P25" s="116">
        <v>46113</v>
      </c>
      <c r="Q25" s="116">
        <v>46125</v>
      </c>
      <c r="R25" s="116">
        <v>46113</v>
      </c>
      <c r="S25" s="112"/>
      <c r="T25" s="112"/>
      <c r="U25" s="112" t="s">
        <v>85</v>
      </c>
      <c r="V25" s="114" t="s">
        <v>99</v>
      </c>
      <c r="W25" s="114">
        <v>31</v>
      </c>
      <c r="X25" s="114">
        <v>26</v>
      </c>
      <c r="Y25" s="112"/>
      <c r="Z25" s="112" t="s">
        <v>87</v>
      </c>
      <c r="AA25" s="112"/>
      <c r="AB25" s="117"/>
      <c r="AC25" s="118">
        <v>25.5</v>
      </c>
      <c r="AD25" s="112"/>
      <c r="AE25" s="114">
        <v>31</v>
      </c>
      <c r="AF25" s="112" t="s">
        <v>88</v>
      </c>
      <c r="AG25" s="114" t="s">
        <v>99</v>
      </c>
      <c r="AH25" s="118">
        <v>12.5</v>
      </c>
      <c r="AI25" s="112">
        <f t="shared" si="0"/>
        <v>387.5</v>
      </c>
      <c r="AJ25" s="112"/>
      <c r="AK25" s="115" t="s">
        <v>89</v>
      </c>
      <c r="AL25" s="114">
        <v>26</v>
      </c>
      <c r="AM25" s="112">
        <v>18</v>
      </c>
      <c r="AN25" s="112">
        <f t="shared" si="18"/>
        <v>468</v>
      </c>
      <c r="AO25" s="112"/>
      <c r="AP25" s="112"/>
      <c r="AQ25" s="112">
        <f t="shared" si="19"/>
        <v>0</v>
      </c>
      <c r="AR25" s="112">
        <f t="shared" si="20"/>
        <v>468</v>
      </c>
      <c r="AS25" s="112"/>
      <c r="AT25" s="110" t="s">
        <v>143</v>
      </c>
      <c r="AU25" s="111">
        <v>46141</v>
      </c>
      <c r="AV25" s="112">
        <f t="shared" si="21"/>
        <v>18</v>
      </c>
      <c r="AW25" s="112">
        <f t="shared" si="22"/>
        <v>468</v>
      </c>
      <c r="AX25" s="112"/>
      <c r="AY25" s="114" t="s">
        <v>144</v>
      </c>
      <c r="AZ25" s="119"/>
      <c r="BA25" s="112">
        <f t="shared" si="23"/>
        <v>18</v>
      </c>
      <c r="BB25" s="112">
        <f t="shared" si="24"/>
        <v>26</v>
      </c>
      <c r="BC25" s="112">
        <f t="shared" si="25"/>
        <v>468</v>
      </c>
      <c r="BD25" s="112"/>
      <c r="BE25" s="112" t="s">
        <v>117</v>
      </c>
      <c r="BF25" s="113" t="s">
        <v>161</v>
      </c>
      <c r="BG25" s="120" t="s">
        <v>93</v>
      </c>
      <c r="BH25" s="120" t="s">
        <v>145</v>
      </c>
    </row>
    <row r="26" spans="1:60" s="120" customFormat="1" ht="15" customHeight="1">
      <c r="A26" s="112">
        <f t="shared" si="9"/>
        <v>24</v>
      </c>
      <c r="B26" s="113" t="s">
        <v>163</v>
      </c>
      <c r="C26" s="114" t="s">
        <v>155</v>
      </c>
      <c r="D26" s="122"/>
      <c r="E26" s="114" t="s">
        <v>164</v>
      </c>
      <c r="F26" s="112"/>
      <c r="G26" s="115" t="s">
        <v>81</v>
      </c>
      <c r="H26" s="112" t="s">
        <v>82</v>
      </c>
      <c r="I26" s="114" t="s">
        <v>83</v>
      </c>
      <c r="J26" s="114" t="s">
        <v>84</v>
      </c>
      <c r="K26" s="114" t="s">
        <v>83</v>
      </c>
      <c r="L26" s="113" t="s">
        <v>140</v>
      </c>
      <c r="M26" s="113" t="s">
        <v>140</v>
      </c>
      <c r="N26" s="116">
        <v>46112</v>
      </c>
      <c r="O26" s="114">
        <v>10</v>
      </c>
      <c r="P26" s="116">
        <v>46113</v>
      </c>
      <c r="Q26" s="116">
        <v>46125</v>
      </c>
      <c r="R26" s="116">
        <v>46113</v>
      </c>
      <c r="S26" s="112"/>
      <c r="T26" s="112"/>
      <c r="U26" s="112" t="s">
        <v>85</v>
      </c>
      <c r="V26" s="114" t="s">
        <v>99</v>
      </c>
      <c r="W26" s="114">
        <v>10</v>
      </c>
      <c r="X26" s="114">
        <v>10</v>
      </c>
      <c r="Y26" s="112"/>
      <c r="Z26" s="112" t="s">
        <v>87</v>
      </c>
      <c r="AA26" s="112"/>
      <c r="AB26" s="117"/>
      <c r="AC26" s="118">
        <v>25.5</v>
      </c>
      <c r="AD26" s="112"/>
      <c r="AE26" s="114">
        <v>10</v>
      </c>
      <c r="AF26" s="112" t="s">
        <v>88</v>
      </c>
      <c r="AG26" s="114" t="s">
        <v>99</v>
      </c>
      <c r="AH26" s="118">
        <v>12.5</v>
      </c>
      <c r="AI26" s="112">
        <f t="shared" si="0"/>
        <v>125</v>
      </c>
      <c r="AJ26" s="112"/>
      <c r="AK26" s="115" t="s">
        <v>89</v>
      </c>
      <c r="AL26" s="114">
        <v>10</v>
      </c>
      <c r="AM26" s="112">
        <v>18</v>
      </c>
      <c r="AN26" s="112">
        <f t="shared" si="18"/>
        <v>180</v>
      </c>
      <c r="AO26" s="112"/>
      <c r="AP26" s="112"/>
      <c r="AQ26" s="112">
        <f t="shared" si="19"/>
        <v>0</v>
      </c>
      <c r="AR26" s="112">
        <f t="shared" si="20"/>
        <v>180</v>
      </c>
      <c r="AS26" s="112"/>
      <c r="AT26" s="110" t="s">
        <v>143</v>
      </c>
      <c r="AU26" s="111">
        <v>46141</v>
      </c>
      <c r="AV26" s="112">
        <f t="shared" si="21"/>
        <v>18</v>
      </c>
      <c r="AW26" s="112">
        <f t="shared" si="22"/>
        <v>180</v>
      </c>
      <c r="AX26" s="112"/>
      <c r="AY26" s="114" t="s">
        <v>144</v>
      </c>
      <c r="AZ26" s="119"/>
      <c r="BA26" s="112">
        <f t="shared" si="23"/>
        <v>18</v>
      </c>
      <c r="BB26" s="112">
        <f t="shared" si="24"/>
        <v>10</v>
      </c>
      <c r="BC26" s="112">
        <f t="shared" si="25"/>
        <v>180</v>
      </c>
      <c r="BD26" s="112"/>
      <c r="BE26" s="112" t="s">
        <v>120</v>
      </c>
      <c r="BF26" s="113" t="s">
        <v>163</v>
      </c>
      <c r="BG26" s="120" t="s">
        <v>93</v>
      </c>
      <c r="BH26" s="120" t="s">
        <v>145</v>
      </c>
    </row>
    <row r="27" spans="1:60" s="120" customFormat="1" ht="15" customHeight="1">
      <c r="A27" s="112">
        <f t="shared" si="9"/>
        <v>25</v>
      </c>
      <c r="B27" s="113" t="s">
        <v>165</v>
      </c>
      <c r="C27" s="114" t="s">
        <v>155</v>
      </c>
      <c r="D27" s="122"/>
      <c r="E27" s="114" t="s">
        <v>166</v>
      </c>
      <c r="F27" s="112"/>
      <c r="G27" s="115" t="s">
        <v>81</v>
      </c>
      <c r="H27" s="112" t="s">
        <v>82</v>
      </c>
      <c r="I27" s="114" t="s">
        <v>83</v>
      </c>
      <c r="J27" s="114" t="s">
        <v>84</v>
      </c>
      <c r="K27" s="114" t="s">
        <v>83</v>
      </c>
      <c r="L27" s="113" t="s">
        <v>140</v>
      </c>
      <c r="M27" s="113" t="s">
        <v>140</v>
      </c>
      <c r="N27" s="116">
        <v>46112</v>
      </c>
      <c r="O27" s="114">
        <v>122</v>
      </c>
      <c r="P27" s="116">
        <v>46113</v>
      </c>
      <c r="Q27" s="116">
        <v>46125</v>
      </c>
      <c r="R27" s="116">
        <v>46113</v>
      </c>
      <c r="S27" s="112"/>
      <c r="T27" s="112"/>
      <c r="U27" s="112" t="s">
        <v>85</v>
      </c>
      <c r="V27" s="114" t="s">
        <v>99</v>
      </c>
      <c r="W27" s="114">
        <v>122</v>
      </c>
      <c r="X27" s="114">
        <v>112</v>
      </c>
      <c r="Y27" s="112"/>
      <c r="Z27" s="112" t="s">
        <v>87</v>
      </c>
      <c r="AA27" s="112"/>
      <c r="AB27" s="117"/>
      <c r="AC27" s="118">
        <v>25.5</v>
      </c>
      <c r="AD27" s="112"/>
      <c r="AE27" s="114">
        <v>122</v>
      </c>
      <c r="AF27" s="112" t="s">
        <v>88</v>
      </c>
      <c r="AG27" s="114" t="s">
        <v>99</v>
      </c>
      <c r="AH27" s="118">
        <v>12.5</v>
      </c>
      <c r="AI27" s="112">
        <f t="shared" si="0"/>
        <v>1525</v>
      </c>
      <c r="AJ27" s="112"/>
      <c r="AK27" s="115" t="s">
        <v>89</v>
      </c>
      <c r="AL27" s="114">
        <v>112</v>
      </c>
      <c r="AM27" s="112">
        <v>18</v>
      </c>
      <c r="AN27" s="112">
        <f t="shared" si="18"/>
        <v>2016</v>
      </c>
      <c r="AO27" s="112"/>
      <c r="AP27" s="112"/>
      <c r="AQ27" s="112">
        <f t="shared" si="19"/>
        <v>0</v>
      </c>
      <c r="AR27" s="112">
        <f t="shared" si="20"/>
        <v>2016</v>
      </c>
      <c r="AS27" s="112"/>
      <c r="AT27" s="110" t="s">
        <v>143</v>
      </c>
      <c r="AU27" s="111">
        <v>46141</v>
      </c>
      <c r="AV27" s="112">
        <f t="shared" si="21"/>
        <v>18</v>
      </c>
      <c r="AW27" s="112">
        <f t="shared" si="22"/>
        <v>2016</v>
      </c>
      <c r="AX27" s="112"/>
      <c r="AY27" s="114" t="s">
        <v>144</v>
      </c>
      <c r="AZ27" s="119"/>
      <c r="BA27" s="112">
        <f t="shared" si="23"/>
        <v>18</v>
      </c>
      <c r="BB27" s="112">
        <f t="shared" si="24"/>
        <v>112</v>
      </c>
      <c r="BC27" s="112">
        <f t="shared" si="25"/>
        <v>2016</v>
      </c>
      <c r="BD27" s="112"/>
      <c r="BE27" s="112" t="s">
        <v>123</v>
      </c>
      <c r="BF27" s="113" t="s">
        <v>165</v>
      </c>
      <c r="BG27" s="120" t="s">
        <v>93</v>
      </c>
      <c r="BH27" s="120" t="s">
        <v>145</v>
      </c>
    </row>
    <row r="28" spans="1:60" s="120" customFormat="1" ht="15" customHeight="1">
      <c r="A28" s="112">
        <f t="shared" si="9"/>
        <v>26</v>
      </c>
      <c r="B28" s="113" t="s">
        <v>167</v>
      </c>
      <c r="C28" s="114" t="s">
        <v>168</v>
      </c>
      <c r="D28" s="122"/>
      <c r="E28" s="114" t="s">
        <v>169</v>
      </c>
      <c r="F28" s="112"/>
      <c r="G28" s="115" t="s">
        <v>81</v>
      </c>
      <c r="H28" s="112" t="s">
        <v>82</v>
      </c>
      <c r="I28" s="114" t="s">
        <v>83</v>
      </c>
      <c r="J28" s="114" t="s">
        <v>84</v>
      </c>
      <c r="K28" s="114" t="s">
        <v>83</v>
      </c>
      <c r="L28" s="113" t="s">
        <v>140</v>
      </c>
      <c r="M28" s="113" t="s">
        <v>140</v>
      </c>
      <c r="N28" s="116">
        <v>46112</v>
      </c>
      <c r="O28" s="114">
        <v>33</v>
      </c>
      <c r="P28" s="116">
        <v>46113</v>
      </c>
      <c r="Q28" s="116">
        <v>46125</v>
      </c>
      <c r="R28" s="116">
        <v>46113</v>
      </c>
      <c r="S28" s="112"/>
      <c r="T28" s="112"/>
      <c r="U28" s="112" t="s">
        <v>85</v>
      </c>
      <c r="V28" s="114" t="s">
        <v>99</v>
      </c>
      <c r="W28" s="114">
        <v>33</v>
      </c>
      <c r="X28" s="114">
        <v>28</v>
      </c>
      <c r="Y28" s="112"/>
      <c r="Z28" s="112" t="s">
        <v>87</v>
      </c>
      <c r="AA28" s="112"/>
      <c r="AB28" s="117"/>
      <c r="AC28" s="118">
        <v>25.5</v>
      </c>
      <c r="AD28" s="112"/>
      <c r="AE28" s="114">
        <v>33</v>
      </c>
      <c r="AF28" s="112" t="s">
        <v>88</v>
      </c>
      <c r="AG28" s="114" t="s">
        <v>99</v>
      </c>
      <c r="AH28" s="118">
        <v>12.5</v>
      </c>
      <c r="AI28" s="112">
        <f t="shared" si="0"/>
        <v>412.5</v>
      </c>
      <c r="AJ28" s="112"/>
      <c r="AK28" s="115" t="s">
        <v>89</v>
      </c>
      <c r="AL28" s="114">
        <v>28</v>
      </c>
      <c r="AM28" s="112">
        <v>18</v>
      </c>
      <c r="AN28" s="112">
        <f t="shared" si="18"/>
        <v>504</v>
      </c>
      <c r="AO28" s="112"/>
      <c r="AP28" s="112"/>
      <c r="AQ28" s="112">
        <f t="shared" si="19"/>
        <v>0</v>
      </c>
      <c r="AR28" s="112">
        <f t="shared" si="20"/>
        <v>504</v>
      </c>
      <c r="AS28" s="112"/>
      <c r="AT28" s="110" t="s">
        <v>143</v>
      </c>
      <c r="AU28" s="111">
        <v>46141</v>
      </c>
      <c r="AV28" s="112">
        <f t="shared" si="21"/>
        <v>18</v>
      </c>
      <c r="AW28" s="112">
        <f t="shared" si="22"/>
        <v>504</v>
      </c>
      <c r="AX28" s="112"/>
      <c r="AY28" s="114" t="s">
        <v>144</v>
      </c>
      <c r="AZ28" s="119"/>
      <c r="BA28" s="112">
        <f t="shared" si="23"/>
        <v>18</v>
      </c>
      <c r="BB28" s="112">
        <f t="shared" si="24"/>
        <v>28</v>
      </c>
      <c r="BC28" s="112">
        <f t="shared" si="25"/>
        <v>504</v>
      </c>
      <c r="BD28" s="112"/>
      <c r="BE28" s="112" t="s">
        <v>126</v>
      </c>
      <c r="BF28" s="113" t="s">
        <v>167</v>
      </c>
      <c r="BG28" s="120" t="s">
        <v>93</v>
      </c>
      <c r="BH28" s="120" t="s">
        <v>145</v>
      </c>
    </row>
    <row r="29" spans="1:60" s="120" customFormat="1" ht="15" customHeight="1">
      <c r="A29" s="112">
        <f t="shared" si="9"/>
        <v>27</v>
      </c>
      <c r="B29" s="113" t="s">
        <v>170</v>
      </c>
      <c r="C29" s="114" t="s">
        <v>171</v>
      </c>
      <c r="D29" s="122"/>
      <c r="E29" s="114" t="s">
        <v>172</v>
      </c>
      <c r="F29" s="112"/>
      <c r="G29" s="115" t="s">
        <v>81</v>
      </c>
      <c r="H29" s="112" t="s">
        <v>82</v>
      </c>
      <c r="I29" s="114" t="s">
        <v>83</v>
      </c>
      <c r="J29" s="114" t="s">
        <v>84</v>
      </c>
      <c r="K29" s="114" t="s">
        <v>83</v>
      </c>
      <c r="L29" s="113" t="s">
        <v>140</v>
      </c>
      <c r="M29" s="113" t="s">
        <v>140</v>
      </c>
      <c r="N29" s="116">
        <v>46112</v>
      </c>
      <c r="O29" s="114">
        <v>245</v>
      </c>
      <c r="P29" s="116">
        <v>46113</v>
      </c>
      <c r="Q29" s="116">
        <v>46125</v>
      </c>
      <c r="R29" s="116">
        <v>46113</v>
      </c>
      <c r="S29" s="112"/>
      <c r="T29" s="112"/>
      <c r="U29" s="112" t="s">
        <v>85</v>
      </c>
      <c r="V29" s="114" t="s">
        <v>86</v>
      </c>
      <c r="W29" s="114">
        <v>245</v>
      </c>
      <c r="X29" s="114">
        <v>245</v>
      </c>
      <c r="Y29" s="112"/>
      <c r="Z29" s="112" t="s">
        <v>87</v>
      </c>
      <c r="AA29" s="112"/>
      <c r="AB29" s="117"/>
      <c r="AC29" s="118">
        <v>30.5</v>
      </c>
      <c r="AD29" s="112"/>
      <c r="AE29" s="114">
        <v>245</v>
      </c>
      <c r="AF29" s="112" t="s">
        <v>88</v>
      </c>
      <c r="AG29" s="114" t="s">
        <v>86</v>
      </c>
      <c r="AH29" s="118">
        <v>24.5</v>
      </c>
      <c r="AI29" s="112">
        <f t="shared" si="0"/>
        <v>6002.5</v>
      </c>
      <c r="AJ29" s="112"/>
      <c r="AK29" s="115" t="s">
        <v>89</v>
      </c>
      <c r="AL29" s="114">
        <v>245</v>
      </c>
      <c r="AM29" s="112">
        <v>18</v>
      </c>
      <c r="AN29" s="112">
        <f t="shared" si="18"/>
        <v>4410</v>
      </c>
      <c r="AO29" s="112"/>
      <c r="AP29" s="112"/>
      <c r="AQ29" s="112">
        <f t="shared" si="19"/>
        <v>0</v>
      </c>
      <c r="AR29" s="112">
        <f t="shared" si="20"/>
        <v>4410</v>
      </c>
      <c r="AS29" s="112"/>
      <c r="AT29" s="110" t="s">
        <v>143</v>
      </c>
      <c r="AU29" s="111">
        <v>46141</v>
      </c>
      <c r="AV29" s="112">
        <f t="shared" si="21"/>
        <v>18</v>
      </c>
      <c r="AW29" s="112">
        <f t="shared" si="22"/>
        <v>4410</v>
      </c>
      <c r="AX29" s="112"/>
      <c r="AY29" s="114" t="s">
        <v>144</v>
      </c>
      <c r="AZ29" s="119"/>
      <c r="BA29" s="112">
        <f t="shared" si="23"/>
        <v>18</v>
      </c>
      <c r="BB29" s="112">
        <f t="shared" si="24"/>
        <v>245</v>
      </c>
      <c r="BC29" s="112">
        <f t="shared" si="25"/>
        <v>4410</v>
      </c>
      <c r="BD29" s="112"/>
      <c r="BE29" s="112" t="s">
        <v>129</v>
      </c>
      <c r="BF29" s="113" t="s">
        <v>170</v>
      </c>
      <c r="BG29" s="120" t="s">
        <v>93</v>
      </c>
      <c r="BH29" s="120" t="s">
        <v>145</v>
      </c>
    </row>
    <row r="30" spans="1:60" s="120" customFormat="1" ht="15" customHeight="1">
      <c r="A30" s="112">
        <f t="shared" si="9"/>
        <v>28</v>
      </c>
      <c r="B30" s="113" t="s">
        <v>173</v>
      </c>
      <c r="C30" s="114" t="s">
        <v>174</v>
      </c>
      <c r="D30" s="122"/>
      <c r="E30" s="114" t="s">
        <v>175</v>
      </c>
      <c r="F30" s="112"/>
      <c r="G30" s="115" t="s">
        <v>81</v>
      </c>
      <c r="H30" s="112" t="s">
        <v>82</v>
      </c>
      <c r="I30" s="114" t="s">
        <v>83</v>
      </c>
      <c r="J30" s="114" t="s">
        <v>84</v>
      </c>
      <c r="K30" s="114" t="s">
        <v>83</v>
      </c>
      <c r="L30" s="113" t="s">
        <v>140</v>
      </c>
      <c r="M30" s="113" t="s">
        <v>140</v>
      </c>
      <c r="N30" s="116">
        <v>46112</v>
      </c>
      <c r="O30" s="114">
        <v>27</v>
      </c>
      <c r="P30" s="116">
        <v>46113</v>
      </c>
      <c r="Q30" s="116">
        <v>46125</v>
      </c>
      <c r="R30" s="116">
        <v>46113</v>
      </c>
      <c r="S30" s="112"/>
      <c r="T30" s="112"/>
      <c r="U30" s="112" t="s">
        <v>85</v>
      </c>
      <c r="V30" s="114" t="s">
        <v>86</v>
      </c>
      <c r="W30" s="114">
        <v>27</v>
      </c>
      <c r="X30" s="114">
        <v>27</v>
      </c>
      <c r="Y30" s="112"/>
      <c r="Z30" s="112" t="s">
        <v>87</v>
      </c>
      <c r="AA30" s="112"/>
      <c r="AB30" s="117"/>
      <c r="AC30" s="118">
        <v>30.5</v>
      </c>
      <c r="AD30" s="112"/>
      <c r="AE30" s="114">
        <v>27</v>
      </c>
      <c r="AF30" s="112" t="s">
        <v>88</v>
      </c>
      <c r="AG30" s="114" t="s">
        <v>86</v>
      </c>
      <c r="AH30" s="118">
        <v>24.5</v>
      </c>
      <c r="AI30" s="112">
        <f t="shared" si="0"/>
        <v>661.5</v>
      </c>
      <c r="AJ30" s="112"/>
      <c r="AK30" s="115" t="s">
        <v>89</v>
      </c>
      <c r="AL30" s="114">
        <v>27</v>
      </c>
      <c r="AM30" s="112">
        <v>18</v>
      </c>
      <c r="AN30" s="112">
        <f t="shared" si="18"/>
        <v>486</v>
      </c>
      <c r="AO30" s="112"/>
      <c r="AP30" s="112"/>
      <c r="AQ30" s="112">
        <f t="shared" si="19"/>
        <v>0</v>
      </c>
      <c r="AR30" s="112">
        <f t="shared" si="20"/>
        <v>486</v>
      </c>
      <c r="AS30" s="112"/>
      <c r="AT30" s="110" t="s">
        <v>143</v>
      </c>
      <c r="AU30" s="111">
        <v>46141</v>
      </c>
      <c r="AV30" s="112">
        <f t="shared" si="21"/>
        <v>18</v>
      </c>
      <c r="AW30" s="112">
        <f t="shared" si="22"/>
        <v>486</v>
      </c>
      <c r="AX30" s="112"/>
      <c r="AY30" s="114" t="s">
        <v>144</v>
      </c>
      <c r="AZ30" s="119"/>
      <c r="BA30" s="112">
        <f t="shared" si="23"/>
        <v>18</v>
      </c>
      <c r="BB30" s="112">
        <f t="shared" si="24"/>
        <v>27</v>
      </c>
      <c r="BC30" s="112">
        <f t="shared" si="25"/>
        <v>486</v>
      </c>
      <c r="BD30" s="112"/>
      <c r="BE30" s="112" t="s">
        <v>135</v>
      </c>
      <c r="BF30" s="113" t="s">
        <v>173</v>
      </c>
      <c r="BG30" s="120" t="s">
        <v>93</v>
      </c>
      <c r="BH30" s="120" t="s">
        <v>145</v>
      </c>
    </row>
    <row r="31" spans="1:60" s="120" customFormat="1" ht="15" customHeight="1">
      <c r="A31" s="112">
        <f t="shared" si="9"/>
        <v>29</v>
      </c>
      <c r="B31" s="113" t="s">
        <v>176</v>
      </c>
      <c r="C31" s="114" t="s">
        <v>175</v>
      </c>
      <c r="D31" s="122"/>
      <c r="E31" s="114" t="s">
        <v>177</v>
      </c>
      <c r="F31" s="112"/>
      <c r="G31" s="115" t="s">
        <v>81</v>
      </c>
      <c r="H31" s="112" t="s">
        <v>82</v>
      </c>
      <c r="I31" s="114" t="s">
        <v>83</v>
      </c>
      <c r="J31" s="114" t="s">
        <v>84</v>
      </c>
      <c r="K31" s="114" t="s">
        <v>83</v>
      </c>
      <c r="L31" s="113" t="s">
        <v>140</v>
      </c>
      <c r="M31" s="113" t="s">
        <v>140</v>
      </c>
      <c r="N31" s="116">
        <v>46112</v>
      </c>
      <c r="O31" s="114">
        <v>36</v>
      </c>
      <c r="P31" s="116">
        <v>46113</v>
      </c>
      <c r="Q31" s="116">
        <v>46125</v>
      </c>
      <c r="R31" s="116">
        <v>46113</v>
      </c>
      <c r="S31" s="112"/>
      <c r="T31" s="112"/>
      <c r="U31" s="112" t="s">
        <v>85</v>
      </c>
      <c r="V31" s="114" t="s">
        <v>99</v>
      </c>
      <c r="W31" s="114">
        <v>36</v>
      </c>
      <c r="X31" s="114">
        <v>26</v>
      </c>
      <c r="Y31" s="112"/>
      <c r="Z31" s="112" t="s">
        <v>87</v>
      </c>
      <c r="AA31" s="112"/>
      <c r="AB31" s="117"/>
      <c r="AC31" s="118">
        <v>25.5</v>
      </c>
      <c r="AD31" s="112"/>
      <c r="AE31" s="114">
        <v>36</v>
      </c>
      <c r="AF31" s="112" t="s">
        <v>88</v>
      </c>
      <c r="AG31" s="114" t="s">
        <v>99</v>
      </c>
      <c r="AH31" s="118">
        <v>12.5</v>
      </c>
      <c r="AI31" s="112">
        <f t="shared" si="0"/>
        <v>450</v>
      </c>
      <c r="AJ31" s="112"/>
      <c r="AK31" s="115" t="s">
        <v>89</v>
      </c>
      <c r="AL31" s="114">
        <v>26</v>
      </c>
      <c r="AM31" s="112">
        <v>18</v>
      </c>
      <c r="AN31" s="112">
        <f t="shared" si="18"/>
        <v>468</v>
      </c>
      <c r="AO31" s="112"/>
      <c r="AP31" s="112"/>
      <c r="AQ31" s="112">
        <f t="shared" si="19"/>
        <v>0</v>
      </c>
      <c r="AR31" s="112">
        <f t="shared" si="20"/>
        <v>468</v>
      </c>
      <c r="AS31" s="112"/>
      <c r="AT31" s="110" t="s">
        <v>143</v>
      </c>
      <c r="AU31" s="111">
        <v>46141</v>
      </c>
      <c r="AV31" s="112">
        <f t="shared" si="21"/>
        <v>18</v>
      </c>
      <c r="AW31" s="112">
        <f t="shared" si="22"/>
        <v>468</v>
      </c>
      <c r="AX31" s="112"/>
      <c r="AY31" s="114" t="s">
        <v>144</v>
      </c>
      <c r="AZ31" s="119"/>
      <c r="BA31" s="112">
        <f t="shared" si="23"/>
        <v>18</v>
      </c>
      <c r="BB31" s="112">
        <f t="shared" si="24"/>
        <v>26</v>
      </c>
      <c r="BC31" s="112">
        <f t="shared" si="25"/>
        <v>468</v>
      </c>
      <c r="BD31" s="112"/>
      <c r="BE31" s="112" t="s">
        <v>138</v>
      </c>
      <c r="BF31" s="113" t="s">
        <v>176</v>
      </c>
      <c r="BG31" s="120" t="s">
        <v>93</v>
      </c>
      <c r="BH31" s="120" t="s">
        <v>145</v>
      </c>
    </row>
    <row r="32" spans="1:60" s="120" customFormat="1" ht="15" customHeight="1">
      <c r="A32" s="112">
        <f t="shared" si="9"/>
        <v>30</v>
      </c>
      <c r="B32" s="113" t="s">
        <v>178</v>
      </c>
      <c r="C32" s="114" t="s">
        <v>151</v>
      </c>
      <c r="D32" s="122"/>
      <c r="E32" s="114" t="s">
        <v>179</v>
      </c>
      <c r="F32" s="112"/>
      <c r="G32" s="115" t="s">
        <v>81</v>
      </c>
      <c r="H32" s="112" t="s">
        <v>82</v>
      </c>
      <c r="I32" s="114" t="s">
        <v>83</v>
      </c>
      <c r="J32" s="114" t="s">
        <v>84</v>
      </c>
      <c r="K32" s="114" t="s">
        <v>83</v>
      </c>
      <c r="L32" s="113" t="s">
        <v>140</v>
      </c>
      <c r="M32" s="113" t="s">
        <v>140</v>
      </c>
      <c r="N32" s="116">
        <v>46112</v>
      </c>
      <c r="O32" s="114">
        <v>10</v>
      </c>
      <c r="P32" s="116">
        <v>46113</v>
      </c>
      <c r="Q32" s="116">
        <v>46125</v>
      </c>
      <c r="R32" s="116">
        <v>46113</v>
      </c>
      <c r="S32" s="112"/>
      <c r="T32" s="112"/>
      <c r="U32" s="112" t="s">
        <v>85</v>
      </c>
      <c r="V32" s="114" t="s">
        <v>99</v>
      </c>
      <c r="W32" s="114">
        <v>10</v>
      </c>
      <c r="X32" s="114">
        <v>10</v>
      </c>
      <c r="Y32" s="112"/>
      <c r="Z32" s="112" t="s">
        <v>87</v>
      </c>
      <c r="AA32" s="112"/>
      <c r="AB32" s="117"/>
      <c r="AC32" s="118">
        <v>25.5</v>
      </c>
      <c r="AD32" s="112"/>
      <c r="AE32" s="114">
        <v>10</v>
      </c>
      <c r="AF32" s="112" t="s">
        <v>88</v>
      </c>
      <c r="AG32" s="114" t="s">
        <v>99</v>
      </c>
      <c r="AH32" s="118">
        <v>12.5</v>
      </c>
      <c r="AI32" s="112">
        <f t="shared" si="0"/>
        <v>125</v>
      </c>
      <c r="AJ32" s="112"/>
      <c r="AK32" s="115" t="s">
        <v>89</v>
      </c>
      <c r="AL32" s="114">
        <v>10</v>
      </c>
      <c r="AM32" s="112">
        <v>18</v>
      </c>
      <c r="AN32" s="112">
        <f t="shared" si="18"/>
        <v>180</v>
      </c>
      <c r="AO32" s="112"/>
      <c r="AP32" s="112"/>
      <c r="AQ32" s="112">
        <f t="shared" si="19"/>
        <v>0</v>
      </c>
      <c r="AR32" s="112">
        <f t="shared" si="20"/>
        <v>180</v>
      </c>
      <c r="AS32" s="112"/>
      <c r="AT32" s="110" t="s">
        <v>143</v>
      </c>
      <c r="AU32" s="111">
        <v>46141</v>
      </c>
      <c r="AV32" s="112">
        <f t="shared" si="21"/>
        <v>18</v>
      </c>
      <c r="AW32" s="112">
        <f t="shared" si="22"/>
        <v>180</v>
      </c>
      <c r="AX32" s="112"/>
      <c r="AY32" s="114" t="s">
        <v>144</v>
      </c>
      <c r="AZ32" s="119"/>
      <c r="BA32" s="112">
        <f t="shared" si="23"/>
        <v>18</v>
      </c>
      <c r="BB32" s="112">
        <f t="shared" si="24"/>
        <v>10</v>
      </c>
      <c r="BC32" s="112">
        <f t="shared" si="25"/>
        <v>180</v>
      </c>
      <c r="BD32" s="112"/>
      <c r="BE32" s="112" t="s">
        <v>132</v>
      </c>
      <c r="BF32" s="113" t="s">
        <v>178</v>
      </c>
      <c r="BG32" s="120" t="s">
        <v>93</v>
      </c>
      <c r="BH32" s="120" t="s">
        <v>145</v>
      </c>
    </row>
    <row r="33" spans="1:60" s="120" customFormat="1" ht="15" customHeight="1">
      <c r="A33" s="112">
        <f t="shared" si="9"/>
        <v>31</v>
      </c>
      <c r="B33" s="113" t="s">
        <v>180</v>
      </c>
      <c r="C33" s="114" t="s">
        <v>151</v>
      </c>
      <c r="D33" s="122"/>
      <c r="E33" s="114" t="s">
        <v>181</v>
      </c>
      <c r="F33" s="112"/>
      <c r="G33" s="115" t="s">
        <v>81</v>
      </c>
      <c r="H33" s="112" t="s">
        <v>82</v>
      </c>
      <c r="I33" s="114" t="s">
        <v>83</v>
      </c>
      <c r="J33" s="114" t="s">
        <v>84</v>
      </c>
      <c r="K33" s="114" t="s">
        <v>83</v>
      </c>
      <c r="L33" s="113" t="s">
        <v>140</v>
      </c>
      <c r="M33" s="113" t="s">
        <v>140</v>
      </c>
      <c r="N33" s="116">
        <v>46112</v>
      </c>
      <c r="O33" s="114">
        <v>90</v>
      </c>
      <c r="P33" s="116">
        <v>46113</v>
      </c>
      <c r="Q33" s="116">
        <v>46125</v>
      </c>
      <c r="R33" s="116">
        <v>46113</v>
      </c>
      <c r="S33" s="112"/>
      <c r="T33" s="112"/>
      <c r="U33" s="112" t="s">
        <v>85</v>
      </c>
      <c r="V33" s="114" t="s">
        <v>86</v>
      </c>
      <c r="W33" s="114">
        <v>90</v>
      </c>
      <c r="X33" s="114">
        <v>90</v>
      </c>
      <c r="Y33" s="112"/>
      <c r="Z33" s="112" t="s">
        <v>87</v>
      </c>
      <c r="AA33" s="112"/>
      <c r="AB33" s="117"/>
      <c r="AC33" s="118">
        <v>30.5</v>
      </c>
      <c r="AD33" s="112"/>
      <c r="AE33" s="114">
        <v>90</v>
      </c>
      <c r="AF33" s="112" t="s">
        <v>88</v>
      </c>
      <c r="AG33" s="114" t="s">
        <v>86</v>
      </c>
      <c r="AH33" s="118">
        <v>24.5</v>
      </c>
      <c r="AI33" s="112">
        <f t="shared" si="0"/>
        <v>2205</v>
      </c>
      <c r="AJ33" s="112"/>
      <c r="AK33" s="115" t="s">
        <v>89</v>
      </c>
      <c r="AL33" s="114">
        <v>90</v>
      </c>
      <c r="AM33" s="112">
        <v>18</v>
      </c>
      <c r="AN33" s="112">
        <f t="shared" si="18"/>
        <v>1620</v>
      </c>
      <c r="AO33" s="112"/>
      <c r="AP33" s="112"/>
      <c r="AQ33" s="112">
        <f t="shared" si="19"/>
        <v>0</v>
      </c>
      <c r="AR33" s="112">
        <f t="shared" si="20"/>
        <v>1620</v>
      </c>
      <c r="AS33" s="112"/>
      <c r="AT33" s="110" t="s">
        <v>143</v>
      </c>
      <c r="AU33" s="111">
        <v>46141</v>
      </c>
      <c r="AV33" s="112">
        <f t="shared" si="21"/>
        <v>18</v>
      </c>
      <c r="AW33" s="112">
        <f t="shared" si="22"/>
        <v>1620</v>
      </c>
      <c r="AX33" s="112"/>
      <c r="AY33" s="114" t="s">
        <v>144</v>
      </c>
      <c r="AZ33" s="119"/>
      <c r="BA33" s="112">
        <f t="shared" si="23"/>
        <v>18</v>
      </c>
      <c r="BB33" s="112">
        <f t="shared" si="24"/>
        <v>90</v>
      </c>
      <c r="BC33" s="112">
        <f t="shared" si="25"/>
        <v>1620</v>
      </c>
      <c r="BD33" s="112"/>
      <c r="BE33" s="112" t="s">
        <v>182</v>
      </c>
      <c r="BF33" s="113" t="s">
        <v>180</v>
      </c>
      <c r="BG33" s="120" t="s">
        <v>93</v>
      </c>
      <c r="BH33" s="120" t="s">
        <v>145</v>
      </c>
    </row>
    <row r="34" spans="1:60" s="120" customFormat="1" ht="15" customHeight="1">
      <c r="A34" s="112">
        <f t="shared" si="9"/>
        <v>32</v>
      </c>
      <c r="B34" s="113" t="s">
        <v>183</v>
      </c>
      <c r="C34" s="114" t="s">
        <v>181</v>
      </c>
      <c r="D34" s="122"/>
      <c r="E34" s="114" t="s">
        <v>184</v>
      </c>
      <c r="F34" s="112"/>
      <c r="G34" s="115" t="s">
        <v>81</v>
      </c>
      <c r="H34" s="112" t="s">
        <v>82</v>
      </c>
      <c r="I34" s="114" t="s">
        <v>83</v>
      </c>
      <c r="J34" s="114" t="s">
        <v>84</v>
      </c>
      <c r="K34" s="114" t="s">
        <v>83</v>
      </c>
      <c r="L34" s="113" t="s">
        <v>140</v>
      </c>
      <c r="M34" s="113" t="s">
        <v>140</v>
      </c>
      <c r="N34" s="116">
        <v>46112</v>
      </c>
      <c r="O34" s="114">
        <v>176</v>
      </c>
      <c r="P34" s="116">
        <v>46113</v>
      </c>
      <c r="Q34" s="116">
        <v>46125</v>
      </c>
      <c r="R34" s="116">
        <v>46113</v>
      </c>
      <c r="S34" s="112"/>
      <c r="T34" s="112"/>
      <c r="U34" s="112" t="s">
        <v>85</v>
      </c>
      <c r="V34" s="114" t="s">
        <v>99</v>
      </c>
      <c r="W34" s="114">
        <v>176</v>
      </c>
      <c r="X34" s="114">
        <v>156</v>
      </c>
      <c r="Y34" s="112"/>
      <c r="Z34" s="112" t="s">
        <v>87</v>
      </c>
      <c r="AA34" s="112"/>
      <c r="AB34" s="117"/>
      <c r="AC34" s="118">
        <v>25.5</v>
      </c>
      <c r="AD34" s="112"/>
      <c r="AE34" s="114">
        <v>176</v>
      </c>
      <c r="AF34" s="112" t="s">
        <v>88</v>
      </c>
      <c r="AG34" s="114" t="s">
        <v>99</v>
      </c>
      <c r="AH34" s="118">
        <v>12.5</v>
      </c>
      <c r="AI34" s="112">
        <f t="shared" si="0"/>
        <v>2200</v>
      </c>
      <c r="AJ34" s="112"/>
      <c r="AK34" s="115" t="s">
        <v>89</v>
      </c>
      <c r="AL34" s="114">
        <v>156</v>
      </c>
      <c r="AM34" s="112">
        <v>18</v>
      </c>
      <c r="AN34" s="112">
        <f t="shared" si="18"/>
        <v>2808</v>
      </c>
      <c r="AO34" s="112"/>
      <c r="AP34" s="112"/>
      <c r="AQ34" s="112">
        <f t="shared" si="19"/>
        <v>0</v>
      </c>
      <c r="AR34" s="112">
        <f t="shared" si="20"/>
        <v>2808</v>
      </c>
      <c r="AS34" s="112"/>
      <c r="AT34" s="110" t="s">
        <v>143</v>
      </c>
      <c r="AU34" s="111">
        <v>46141</v>
      </c>
      <c r="AV34" s="112">
        <f t="shared" si="21"/>
        <v>18</v>
      </c>
      <c r="AW34" s="112">
        <f t="shared" si="22"/>
        <v>2808</v>
      </c>
      <c r="AX34" s="112"/>
      <c r="AY34" s="114" t="s">
        <v>144</v>
      </c>
      <c r="AZ34" s="119"/>
      <c r="BA34" s="112">
        <f t="shared" si="23"/>
        <v>18</v>
      </c>
      <c r="BB34" s="112">
        <f t="shared" si="24"/>
        <v>156</v>
      </c>
      <c r="BC34" s="112">
        <f t="shared" si="25"/>
        <v>2808</v>
      </c>
      <c r="BD34" s="112"/>
      <c r="BE34" s="112" t="s">
        <v>185</v>
      </c>
      <c r="BF34" s="113" t="s">
        <v>183</v>
      </c>
      <c r="BG34" s="120" t="s">
        <v>93</v>
      </c>
      <c r="BH34" s="120" t="s">
        <v>145</v>
      </c>
    </row>
    <row r="35" spans="1:60" s="120" customFormat="1" ht="15" customHeight="1">
      <c r="A35" s="112">
        <f t="shared" si="9"/>
        <v>33</v>
      </c>
      <c r="B35" s="113" t="s">
        <v>186</v>
      </c>
      <c r="C35" s="114" t="s">
        <v>151</v>
      </c>
      <c r="D35" s="122"/>
      <c r="E35" s="114" t="s">
        <v>187</v>
      </c>
      <c r="F35" s="112"/>
      <c r="G35" s="115" t="s">
        <v>81</v>
      </c>
      <c r="H35" s="112" t="s">
        <v>82</v>
      </c>
      <c r="I35" s="114" t="s">
        <v>83</v>
      </c>
      <c r="J35" s="114" t="s">
        <v>84</v>
      </c>
      <c r="K35" s="114" t="s">
        <v>83</v>
      </c>
      <c r="L35" s="113" t="s">
        <v>140</v>
      </c>
      <c r="M35" s="113" t="s">
        <v>140</v>
      </c>
      <c r="N35" s="116">
        <v>46112</v>
      </c>
      <c r="O35" s="114">
        <v>38</v>
      </c>
      <c r="P35" s="116">
        <v>46113</v>
      </c>
      <c r="Q35" s="116">
        <v>46125</v>
      </c>
      <c r="R35" s="116">
        <v>46113</v>
      </c>
      <c r="S35" s="112"/>
      <c r="T35" s="112"/>
      <c r="U35" s="112" t="s">
        <v>85</v>
      </c>
      <c r="V35" s="114" t="s">
        <v>86</v>
      </c>
      <c r="W35" s="114">
        <v>38</v>
      </c>
      <c r="X35" s="114">
        <v>37</v>
      </c>
      <c r="Y35" s="112"/>
      <c r="Z35" s="112" t="s">
        <v>87</v>
      </c>
      <c r="AA35" s="112"/>
      <c r="AB35" s="117"/>
      <c r="AC35" s="118">
        <v>30.5</v>
      </c>
      <c r="AD35" s="112"/>
      <c r="AE35" s="114">
        <v>38</v>
      </c>
      <c r="AF35" s="112" t="s">
        <v>88</v>
      </c>
      <c r="AG35" s="114" t="s">
        <v>86</v>
      </c>
      <c r="AH35" s="118">
        <v>24.5</v>
      </c>
      <c r="AI35" s="112">
        <f t="shared" si="0"/>
        <v>931</v>
      </c>
      <c r="AJ35" s="112"/>
      <c r="AK35" s="115" t="s">
        <v>89</v>
      </c>
      <c r="AL35" s="114">
        <v>37</v>
      </c>
      <c r="AM35" s="112">
        <v>18</v>
      </c>
      <c r="AN35" s="112">
        <f t="shared" si="18"/>
        <v>666</v>
      </c>
      <c r="AO35" s="112"/>
      <c r="AP35" s="112"/>
      <c r="AQ35" s="112">
        <f t="shared" si="19"/>
        <v>0</v>
      </c>
      <c r="AR35" s="112">
        <f t="shared" si="20"/>
        <v>666</v>
      </c>
      <c r="AS35" s="112"/>
      <c r="AT35" s="110" t="s">
        <v>143</v>
      </c>
      <c r="AU35" s="111">
        <v>46141</v>
      </c>
      <c r="AV35" s="112">
        <f t="shared" si="21"/>
        <v>18</v>
      </c>
      <c r="AW35" s="112">
        <f t="shared" si="22"/>
        <v>666</v>
      </c>
      <c r="AX35" s="112"/>
      <c r="AY35" s="114" t="s">
        <v>144</v>
      </c>
      <c r="AZ35" s="119"/>
      <c r="BA35" s="112">
        <f t="shared" si="23"/>
        <v>18</v>
      </c>
      <c r="BB35" s="112">
        <f t="shared" si="24"/>
        <v>37</v>
      </c>
      <c r="BC35" s="112">
        <f t="shared" si="25"/>
        <v>666</v>
      </c>
      <c r="BD35" s="112"/>
      <c r="BE35" s="112" t="s">
        <v>188</v>
      </c>
      <c r="BF35" s="113" t="s">
        <v>186</v>
      </c>
      <c r="BG35" s="120" t="s">
        <v>93</v>
      </c>
      <c r="BH35" s="120" t="s">
        <v>145</v>
      </c>
    </row>
    <row r="36" spans="1:60" s="120" customFormat="1" ht="15" customHeight="1">
      <c r="A36" s="112">
        <f t="shared" si="9"/>
        <v>34</v>
      </c>
      <c r="B36" s="113" t="s">
        <v>189</v>
      </c>
      <c r="C36" s="114" t="s">
        <v>190</v>
      </c>
      <c r="D36" s="122"/>
      <c r="E36" s="114" t="s">
        <v>191</v>
      </c>
      <c r="F36" s="112"/>
      <c r="G36" s="115" t="s">
        <v>81</v>
      </c>
      <c r="H36" s="112" t="s">
        <v>82</v>
      </c>
      <c r="I36" s="114" t="s">
        <v>83</v>
      </c>
      <c r="J36" s="114" t="s">
        <v>84</v>
      </c>
      <c r="K36" s="114" t="s">
        <v>83</v>
      </c>
      <c r="L36" s="113" t="s">
        <v>140</v>
      </c>
      <c r="M36" s="113" t="s">
        <v>140</v>
      </c>
      <c r="N36" s="116">
        <v>46112</v>
      </c>
      <c r="O36" s="114">
        <v>88</v>
      </c>
      <c r="P36" s="116">
        <v>46113</v>
      </c>
      <c r="Q36" s="116">
        <v>46125</v>
      </c>
      <c r="R36" s="116">
        <v>46113</v>
      </c>
      <c r="S36" s="112"/>
      <c r="T36" s="112"/>
      <c r="U36" s="112" t="s">
        <v>85</v>
      </c>
      <c r="V36" s="114" t="s">
        <v>99</v>
      </c>
      <c r="W36" s="114">
        <v>88</v>
      </c>
      <c r="X36" s="114">
        <v>73</v>
      </c>
      <c r="Y36" s="112"/>
      <c r="Z36" s="112" t="s">
        <v>87</v>
      </c>
      <c r="AA36" s="112"/>
      <c r="AB36" s="117"/>
      <c r="AC36" s="118">
        <v>25.5</v>
      </c>
      <c r="AD36" s="112"/>
      <c r="AE36" s="114">
        <v>88</v>
      </c>
      <c r="AF36" s="112" t="s">
        <v>88</v>
      </c>
      <c r="AG36" s="114" t="s">
        <v>99</v>
      </c>
      <c r="AH36" s="118">
        <v>12.5</v>
      </c>
      <c r="AI36" s="112">
        <f t="shared" si="0"/>
        <v>1100</v>
      </c>
      <c r="AJ36" s="112"/>
      <c r="AK36" s="115" t="s">
        <v>89</v>
      </c>
      <c r="AL36" s="114">
        <v>73</v>
      </c>
      <c r="AM36" s="112">
        <v>18</v>
      </c>
      <c r="AN36" s="112">
        <f t="shared" si="18"/>
        <v>1314</v>
      </c>
      <c r="AO36" s="112"/>
      <c r="AP36" s="112"/>
      <c r="AQ36" s="112">
        <f t="shared" si="19"/>
        <v>0</v>
      </c>
      <c r="AR36" s="112">
        <f t="shared" si="20"/>
        <v>1314</v>
      </c>
      <c r="AS36" s="112"/>
      <c r="AT36" s="110" t="s">
        <v>143</v>
      </c>
      <c r="AU36" s="111">
        <v>46141</v>
      </c>
      <c r="AV36" s="112">
        <f t="shared" si="21"/>
        <v>18</v>
      </c>
      <c r="AW36" s="112">
        <f t="shared" si="22"/>
        <v>1314</v>
      </c>
      <c r="AX36" s="112"/>
      <c r="AY36" s="114" t="s">
        <v>144</v>
      </c>
      <c r="AZ36" s="119"/>
      <c r="BA36" s="112">
        <f t="shared" si="23"/>
        <v>18</v>
      </c>
      <c r="BB36" s="112">
        <f t="shared" si="24"/>
        <v>73</v>
      </c>
      <c r="BC36" s="112">
        <f t="shared" si="25"/>
        <v>1314</v>
      </c>
      <c r="BD36" s="112"/>
      <c r="BE36" s="112" t="s">
        <v>192</v>
      </c>
      <c r="BF36" s="113" t="s">
        <v>189</v>
      </c>
      <c r="BG36" s="120" t="s">
        <v>93</v>
      </c>
      <c r="BH36" s="120" t="s">
        <v>145</v>
      </c>
    </row>
    <row r="37" spans="1:60" s="120" customFormat="1" ht="15" customHeight="1">
      <c r="A37" s="112">
        <f t="shared" si="9"/>
        <v>35</v>
      </c>
      <c r="B37" s="113" t="s">
        <v>193</v>
      </c>
      <c r="C37" s="114" t="s">
        <v>152</v>
      </c>
      <c r="D37" s="122"/>
      <c r="E37" s="114" t="s">
        <v>194</v>
      </c>
      <c r="F37" s="112"/>
      <c r="G37" s="115" t="s">
        <v>81</v>
      </c>
      <c r="H37" s="112" t="s">
        <v>82</v>
      </c>
      <c r="I37" s="114" t="s">
        <v>83</v>
      </c>
      <c r="J37" s="114" t="s">
        <v>84</v>
      </c>
      <c r="K37" s="114" t="s">
        <v>83</v>
      </c>
      <c r="L37" s="113" t="s">
        <v>140</v>
      </c>
      <c r="M37" s="113" t="s">
        <v>140</v>
      </c>
      <c r="N37" s="116">
        <v>46112</v>
      </c>
      <c r="O37" s="114">
        <v>10</v>
      </c>
      <c r="P37" s="116">
        <v>46113</v>
      </c>
      <c r="Q37" s="116">
        <v>46125</v>
      </c>
      <c r="R37" s="116">
        <v>46113</v>
      </c>
      <c r="S37" s="112"/>
      <c r="T37" s="112"/>
      <c r="U37" s="112" t="s">
        <v>85</v>
      </c>
      <c r="V37" s="114" t="s">
        <v>99</v>
      </c>
      <c r="W37" s="114">
        <v>10</v>
      </c>
      <c r="X37" s="114">
        <v>10</v>
      </c>
      <c r="Y37" s="112"/>
      <c r="Z37" s="112" t="s">
        <v>87</v>
      </c>
      <c r="AA37" s="112"/>
      <c r="AB37" s="117"/>
      <c r="AC37" s="118">
        <v>25.5</v>
      </c>
      <c r="AD37" s="112"/>
      <c r="AE37" s="114">
        <v>10</v>
      </c>
      <c r="AF37" s="112" t="s">
        <v>88</v>
      </c>
      <c r="AG37" s="114" t="s">
        <v>99</v>
      </c>
      <c r="AH37" s="118">
        <v>12.5</v>
      </c>
      <c r="AI37" s="112">
        <f t="shared" si="0"/>
        <v>125</v>
      </c>
      <c r="AJ37" s="112"/>
      <c r="AK37" s="115" t="s">
        <v>89</v>
      </c>
      <c r="AL37" s="114">
        <v>10</v>
      </c>
      <c r="AM37" s="112">
        <v>18</v>
      </c>
      <c r="AN37" s="112">
        <f t="shared" si="18"/>
        <v>180</v>
      </c>
      <c r="AO37" s="112"/>
      <c r="AP37" s="112"/>
      <c r="AQ37" s="112">
        <f t="shared" si="19"/>
        <v>0</v>
      </c>
      <c r="AR37" s="112">
        <f t="shared" si="20"/>
        <v>180</v>
      </c>
      <c r="AS37" s="112"/>
      <c r="AT37" s="110" t="s">
        <v>143</v>
      </c>
      <c r="AU37" s="111">
        <v>46141</v>
      </c>
      <c r="AV37" s="112">
        <f t="shared" si="21"/>
        <v>18</v>
      </c>
      <c r="AW37" s="112">
        <f t="shared" si="22"/>
        <v>180</v>
      </c>
      <c r="AX37" s="112"/>
      <c r="AY37" s="114" t="s">
        <v>144</v>
      </c>
      <c r="AZ37" s="119"/>
      <c r="BA37" s="112">
        <f t="shared" si="23"/>
        <v>18</v>
      </c>
      <c r="BB37" s="112">
        <f t="shared" si="24"/>
        <v>10</v>
      </c>
      <c r="BC37" s="112">
        <f t="shared" si="25"/>
        <v>180</v>
      </c>
      <c r="BD37" s="112"/>
      <c r="BE37" s="112" t="s">
        <v>195</v>
      </c>
      <c r="BF37" s="113" t="s">
        <v>193</v>
      </c>
      <c r="BG37" s="120" t="s">
        <v>93</v>
      </c>
      <c r="BH37" s="120" t="s">
        <v>145</v>
      </c>
    </row>
    <row r="38" spans="1:60" s="120" customFormat="1" ht="15" customHeight="1">
      <c r="A38" s="112">
        <f t="shared" si="9"/>
        <v>36</v>
      </c>
      <c r="B38" s="113" t="s">
        <v>196</v>
      </c>
      <c r="C38" s="114" t="s">
        <v>197</v>
      </c>
      <c r="D38" s="122"/>
      <c r="E38" s="114" t="s">
        <v>198</v>
      </c>
      <c r="F38" s="112"/>
      <c r="G38" s="115" t="s">
        <v>81</v>
      </c>
      <c r="H38" s="112" t="s">
        <v>82</v>
      </c>
      <c r="I38" s="114" t="s">
        <v>83</v>
      </c>
      <c r="J38" s="114" t="s">
        <v>84</v>
      </c>
      <c r="K38" s="114" t="s">
        <v>83</v>
      </c>
      <c r="L38" s="113" t="s">
        <v>140</v>
      </c>
      <c r="M38" s="113" t="s">
        <v>140</v>
      </c>
      <c r="N38" s="116">
        <v>46112</v>
      </c>
      <c r="O38" s="114">
        <v>55</v>
      </c>
      <c r="P38" s="116">
        <v>46113</v>
      </c>
      <c r="Q38" s="116">
        <v>46125</v>
      </c>
      <c r="R38" s="116">
        <v>46113</v>
      </c>
      <c r="S38" s="112"/>
      <c r="T38" s="112"/>
      <c r="U38" s="112" t="s">
        <v>85</v>
      </c>
      <c r="V38" s="114" t="s">
        <v>99</v>
      </c>
      <c r="W38" s="114">
        <v>55</v>
      </c>
      <c r="X38" s="114">
        <v>43</v>
      </c>
      <c r="Y38" s="112"/>
      <c r="Z38" s="112" t="s">
        <v>87</v>
      </c>
      <c r="AA38" s="112"/>
      <c r="AB38" s="117"/>
      <c r="AC38" s="118">
        <v>25.5</v>
      </c>
      <c r="AD38" s="112"/>
      <c r="AE38" s="114">
        <v>55</v>
      </c>
      <c r="AF38" s="112" t="s">
        <v>88</v>
      </c>
      <c r="AG38" s="114" t="s">
        <v>99</v>
      </c>
      <c r="AH38" s="118">
        <v>12.5</v>
      </c>
      <c r="AI38" s="112">
        <f t="shared" si="0"/>
        <v>687.5</v>
      </c>
      <c r="AJ38" s="112"/>
      <c r="AK38" s="115" t="s">
        <v>89</v>
      </c>
      <c r="AL38" s="114">
        <v>43</v>
      </c>
      <c r="AM38" s="112">
        <v>18</v>
      </c>
      <c r="AN38" s="112">
        <f t="shared" si="18"/>
        <v>774</v>
      </c>
      <c r="AO38" s="112"/>
      <c r="AP38" s="112"/>
      <c r="AQ38" s="112">
        <f t="shared" si="19"/>
        <v>0</v>
      </c>
      <c r="AR38" s="112">
        <f t="shared" si="20"/>
        <v>774</v>
      </c>
      <c r="AS38" s="112"/>
      <c r="AT38" s="110" t="s">
        <v>143</v>
      </c>
      <c r="AU38" s="111">
        <v>46141</v>
      </c>
      <c r="AV38" s="112">
        <f t="shared" si="21"/>
        <v>18</v>
      </c>
      <c r="AW38" s="112">
        <f t="shared" si="22"/>
        <v>774</v>
      </c>
      <c r="AX38" s="112"/>
      <c r="AY38" s="114" t="s">
        <v>144</v>
      </c>
      <c r="AZ38" s="119"/>
      <c r="BA38" s="112">
        <f t="shared" si="23"/>
        <v>18</v>
      </c>
      <c r="BB38" s="112">
        <f t="shared" si="24"/>
        <v>43</v>
      </c>
      <c r="BC38" s="112">
        <f t="shared" si="25"/>
        <v>774</v>
      </c>
      <c r="BD38" s="112"/>
      <c r="BE38" s="112" t="s">
        <v>199</v>
      </c>
      <c r="BF38" s="113" t="s">
        <v>196</v>
      </c>
      <c r="BG38" s="120" t="s">
        <v>93</v>
      </c>
      <c r="BH38" s="120" t="s">
        <v>145</v>
      </c>
    </row>
    <row r="39" spans="1:60" s="120" customFormat="1" ht="15" customHeight="1">
      <c r="A39" s="112">
        <f t="shared" si="9"/>
        <v>37</v>
      </c>
      <c r="B39" s="113" t="s">
        <v>200</v>
      </c>
      <c r="C39" s="114" t="s">
        <v>152</v>
      </c>
      <c r="D39" s="122"/>
      <c r="E39" s="114" t="s">
        <v>201</v>
      </c>
      <c r="F39" s="112"/>
      <c r="G39" s="115" t="s">
        <v>81</v>
      </c>
      <c r="H39" s="112" t="s">
        <v>82</v>
      </c>
      <c r="I39" s="114" t="s">
        <v>83</v>
      </c>
      <c r="J39" s="114" t="s">
        <v>84</v>
      </c>
      <c r="K39" s="114" t="s">
        <v>83</v>
      </c>
      <c r="L39" s="113" t="s">
        <v>140</v>
      </c>
      <c r="M39" s="113" t="s">
        <v>140</v>
      </c>
      <c r="N39" s="116">
        <v>46112</v>
      </c>
      <c r="O39" s="114">
        <v>68</v>
      </c>
      <c r="P39" s="116">
        <v>46113</v>
      </c>
      <c r="Q39" s="116">
        <v>46125</v>
      </c>
      <c r="R39" s="116">
        <v>46113</v>
      </c>
      <c r="S39" s="112"/>
      <c r="T39" s="112"/>
      <c r="U39" s="112" t="s">
        <v>85</v>
      </c>
      <c r="V39" s="114" t="s">
        <v>99</v>
      </c>
      <c r="W39" s="114">
        <v>68</v>
      </c>
      <c r="X39" s="114">
        <v>56</v>
      </c>
      <c r="Y39" s="112"/>
      <c r="Z39" s="112" t="s">
        <v>87</v>
      </c>
      <c r="AA39" s="112"/>
      <c r="AB39" s="117"/>
      <c r="AC39" s="118">
        <v>25.5</v>
      </c>
      <c r="AD39" s="112"/>
      <c r="AE39" s="114">
        <v>68</v>
      </c>
      <c r="AF39" s="112" t="s">
        <v>88</v>
      </c>
      <c r="AG39" s="114" t="s">
        <v>99</v>
      </c>
      <c r="AH39" s="118">
        <v>12.5</v>
      </c>
      <c r="AI39" s="112">
        <f t="shared" si="0"/>
        <v>850</v>
      </c>
      <c r="AJ39" s="112"/>
      <c r="AK39" s="115" t="s">
        <v>89</v>
      </c>
      <c r="AL39" s="114">
        <v>56</v>
      </c>
      <c r="AM39" s="112">
        <v>18</v>
      </c>
      <c r="AN39" s="112">
        <f t="shared" si="18"/>
        <v>1008</v>
      </c>
      <c r="AO39" s="112"/>
      <c r="AP39" s="112"/>
      <c r="AQ39" s="112">
        <f t="shared" si="19"/>
        <v>0</v>
      </c>
      <c r="AR39" s="112">
        <f t="shared" si="20"/>
        <v>1008</v>
      </c>
      <c r="AS39" s="112"/>
      <c r="AT39" s="110" t="s">
        <v>143</v>
      </c>
      <c r="AU39" s="111">
        <v>46141</v>
      </c>
      <c r="AV39" s="112">
        <f t="shared" si="21"/>
        <v>18</v>
      </c>
      <c r="AW39" s="112">
        <f t="shared" si="22"/>
        <v>1008</v>
      </c>
      <c r="AX39" s="112"/>
      <c r="AY39" s="114" t="s">
        <v>144</v>
      </c>
      <c r="AZ39" s="119"/>
      <c r="BA39" s="112">
        <f t="shared" si="23"/>
        <v>18</v>
      </c>
      <c r="BB39" s="112">
        <f t="shared" si="24"/>
        <v>56</v>
      </c>
      <c r="BC39" s="112">
        <f t="shared" si="25"/>
        <v>1008</v>
      </c>
      <c r="BD39" s="112"/>
      <c r="BE39" s="112" t="s">
        <v>202</v>
      </c>
      <c r="BF39" s="113" t="s">
        <v>200</v>
      </c>
      <c r="BG39" s="120" t="s">
        <v>93</v>
      </c>
      <c r="BH39" s="120" t="s">
        <v>145</v>
      </c>
    </row>
    <row r="40" spans="1:60" s="120" customFormat="1" ht="15" customHeight="1">
      <c r="A40" s="112">
        <f t="shared" si="9"/>
        <v>38</v>
      </c>
      <c r="B40" s="113" t="s">
        <v>203</v>
      </c>
      <c r="C40" s="114" t="s">
        <v>204</v>
      </c>
      <c r="D40" s="122"/>
      <c r="E40" s="114" t="s">
        <v>205</v>
      </c>
      <c r="F40" s="112"/>
      <c r="G40" s="115" t="s">
        <v>81</v>
      </c>
      <c r="H40" s="112" t="s">
        <v>82</v>
      </c>
      <c r="I40" s="114" t="s">
        <v>83</v>
      </c>
      <c r="J40" s="114" t="s">
        <v>84</v>
      </c>
      <c r="K40" s="114" t="s">
        <v>83</v>
      </c>
      <c r="L40" s="113" t="s">
        <v>140</v>
      </c>
      <c r="M40" s="113" t="s">
        <v>140</v>
      </c>
      <c r="N40" s="116">
        <v>46112</v>
      </c>
      <c r="O40" s="114">
        <v>56</v>
      </c>
      <c r="P40" s="116">
        <v>46113</v>
      </c>
      <c r="Q40" s="116">
        <v>46125</v>
      </c>
      <c r="R40" s="116">
        <v>46113</v>
      </c>
      <c r="S40" s="112"/>
      <c r="T40" s="112"/>
      <c r="U40" s="112" t="s">
        <v>85</v>
      </c>
      <c r="V40" s="114" t="s">
        <v>99</v>
      </c>
      <c r="W40" s="114">
        <v>56</v>
      </c>
      <c r="X40" s="114">
        <v>44</v>
      </c>
      <c r="Y40" s="112"/>
      <c r="Z40" s="112" t="s">
        <v>87</v>
      </c>
      <c r="AA40" s="112"/>
      <c r="AB40" s="117"/>
      <c r="AC40" s="118">
        <v>25.5</v>
      </c>
      <c r="AD40" s="112"/>
      <c r="AE40" s="114">
        <v>56</v>
      </c>
      <c r="AF40" s="112" t="s">
        <v>88</v>
      </c>
      <c r="AG40" s="114" t="s">
        <v>99</v>
      </c>
      <c r="AH40" s="118">
        <v>12.5</v>
      </c>
      <c r="AI40" s="112">
        <f t="shared" si="0"/>
        <v>700</v>
      </c>
      <c r="AJ40" s="112"/>
      <c r="AK40" s="115" t="s">
        <v>89</v>
      </c>
      <c r="AL40" s="114">
        <v>44</v>
      </c>
      <c r="AM40" s="112">
        <v>18</v>
      </c>
      <c r="AN40" s="112">
        <f t="shared" si="18"/>
        <v>792</v>
      </c>
      <c r="AO40" s="112"/>
      <c r="AP40" s="112"/>
      <c r="AQ40" s="112">
        <f t="shared" si="19"/>
        <v>0</v>
      </c>
      <c r="AR40" s="112">
        <f t="shared" si="20"/>
        <v>792</v>
      </c>
      <c r="AS40" s="112"/>
      <c r="AT40" s="110" t="s">
        <v>143</v>
      </c>
      <c r="AU40" s="111">
        <v>46141</v>
      </c>
      <c r="AV40" s="112">
        <f t="shared" si="21"/>
        <v>18</v>
      </c>
      <c r="AW40" s="112">
        <f t="shared" si="22"/>
        <v>792</v>
      </c>
      <c r="AX40" s="112"/>
      <c r="AY40" s="114" t="s">
        <v>144</v>
      </c>
      <c r="AZ40" s="119"/>
      <c r="BA40" s="112">
        <f t="shared" si="23"/>
        <v>18</v>
      </c>
      <c r="BB40" s="112">
        <f t="shared" si="24"/>
        <v>44</v>
      </c>
      <c r="BC40" s="112">
        <f t="shared" si="25"/>
        <v>792</v>
      </c>
      <c r="BD40" s="112"/>
      <c r="BE40" s="112" t="s">
        <v>206</v>
      </c>
      <c r="BF40" s="113" t="s">
        <v>203</v>
      </c>
      <c r="BG40" s="120" t="s">
        <v>93</v>
      </c>
      <c r="BH40" s="120" t="s">
        <v>145</v>
      </c>
    </row>
    <row r="41" spans="1:60" s="120" customFormat="1" ht="15" customHeight="1">
      <c r="A41" s="112">
        <f t="shared" si="9"/>
        <v>39</v>
      </c>
      <c r="B41" s="113" t="s">
        <v>207</v>
      </c>
      <c r="C41" s="114" t="s">
        <v>208</v>
      </c>
      <c r="D41" s="122"/>
      <c r="E41" s="114" t="s">
        <v>209</v>
      </c>
      <c r="F41" s="112"/>
      <c r="G41" s="115" t="s">
        <v>81</v>
      </c>
      <c r="H41" s="112" t="s">
        <v>82</v>
      </c>
      <c r="I41" s="114" t="s">
        <v>83</v>
      </c>
      <c r="J41" s="114" t="s">
        <v>84</v>
      </c>
      <c r="K41" s="114" t="s">
        <v>83</v>
      </c>
      <c r="L41" s="113" t="s">
        <v>140</v>
      </c>
      <c r="M41" s="113" t="s">
        <v>140</v>
      </c>
      <c r="N41" s="116">
        <v>46112</v>
      </c>
      <c r="O41" s="114">
        <v>70</v>
      </c>
      <c r="P41" s="116">
        <v>46113</v>
      </c>
      <c r="Q41" s="116">
        <v>46125</v>
      </c>
      <c r="R41" s="116">
        <v>46113</v>
      </c>
      <c r="S41" s="112"/>
      <c r="T41" s="112"/>
      <c r="U41" s="112" t="s">
        <v>85</v>
      </c>
      <c r="V41" s="114" t="s">
        <v>99</v>
      </c>
      <c r="W41" s="114">
        <v>70</v>
      </c>
      <c r="X41" s="114">
        <v>62</v>
      </c>
      <c r="Y41" s="112"/>
      <c r="Z41" s="112" t="s">
        <v>87</v>
      </c>
      <c r="AA41" s="112"/>
      <c r="AB41" s="117"/>
      <c r="AC41" s="118">
        <v>25.5</v>
      </c>
      <c r="AD41" s="112"/>
      <c r="AE41" s="114">
        <v>70</v>
      </c>
      <c r="AF41" s="112" t="s">
        <v>88</v>
      </c>
      <c r="AG41" s="114" t="s">
        <v>99</v>
      </c>
      <c r="AH41" s="118">
        <v>12.5</v>
      </c>
      <c r="AI41" s="112">
        <f t="shared" si="0"/>
        <v>875</v>
      </c>
      <c r="AJ41" s="112"/>
      <c r="AK41" s="115" t="s">
        <v>89</v>
      </c>
      <c r="AL41" s="114">
        <v>62</v>
      </c>
      <c r="AM41" s="112">
        <v>18</v>
      </c>
      <c r="AN41" s="112">
        <f t="shared" si="18"/>
        <v>1116</v>
      </c>
      <c r="AO41" s="112"/>
      <c r="AP41" s="112"/>
      <c r="AQ41" s="112">
        <f t="shared" si="19"/>
        <v>0</v>
      </c>
      <c r="AR41" s="112">
        <f t="shared" si="20"/>
        <v>1116</v>
      </c>
      <c r="AS41" s="112"/>
      <c r="AT41" s="110" t="s">
        <v>143</v>
      </c>
      <c r="AU41" s="111">
        <v>46141</v>
      </c>
      <c r="AV41" s="112">
        <f t="shared" si="21"/>
        <v>18</v>
      </c>
      <c r="AW41" s="112">
        <f t="shared" si="22"/>
        <v>1116</v>
      </c>
      <c r="AX41" s="112"/>
      <c r="AY41" s="114" t="s">
        <v>144</v>
      </c>
      <c r="AZ41" s="119"/>
      <c r="BA41" s="112">
        <f t="shared" si="23"/>
        <v>18</v>
      </c>
      <c r="BB41" s="112">
        <f t="shared" si="24"/>
        <v>62</v>
      </c>
      <c r="BC41" s="112">
        <f t="shared" si="25"/>
        <v>1116</v>
      </c>
      <c r="BD41" s="112"/>
      <c r="BE41" s="112" t="s">
        <v>210</v>
      </c>
      <c r="BF41" s="113" t="s">
        <v>207</v>
      </c>
      <c r="BG41" s="120" t="s">
        <v>93</v>
      </c>
      <c r="BH41" s="120" t="s">
        <v>145</v>
      </c>
    </row>
    <row r="42" spans="1:60" s="120" customFormat="1" ht="15" customHeight="1">
      <c r="A42" s="112">
        <f t="shared" si="9"/>
        <v>40</v>
      </c>
      <c r="B42" s="113" t="s">
        <v>211</v>
      </c>
      <c r="C42" s="114" t="s">
        <v>208</v>
      </c>
      <c r="D42" s="122"/>
      <c r="E42" s="114" t="s">
        <v>212</v>
      </c>
      <c r="F42" s="112"/>
      <c r="G42" s="115" t="s">
        <v>81</v>
      </c>
      <c r="H42" s="112" t="s">
        <v>82</v>
      </c>
      <c r="I42" s="114" t="s">
        <v>83</v>
      </c>
      <c r="J42" s="114" t="s">
        <v>84</v>
      </c>
      <c r="K42" s="114" t="s">
        <v>83</v>
      </c>
      <c r="L42" s="113" t="s">
        <v>140</v>
      </c>
      <c r="M42" s="113" t="s">
        <v>140</v>
      </c>
      <c r="N42" s="116">
        <v>46112</v>
      </c>
      <c r="O42" s="114">
        <v>118</v>
      </c>
      <c r="P42" s="116">
        <v>46113</v>
      </c>
      <c r="Q42" s="116">
        <v>46125</v>
      </c>
      <c r="R42" s="116">
        <v>46113</v>
      </c>
      <c r="S42" s="112"/>
      <c r="T42" s="112"/>
      <c r="U42" s="112" t="s">
        <v>85</v>
      </c>
      <c r="V42" s="114" t="s">
        <v>99</v>
      </c>
      <c r="W42" s="114">
        <v>118</v>
      </c>
      <c r="X42" s="114">
        <v>106</v>
      </c>
      <c r="Y42" s="112"/>
      <c r="Z42" s="112" t="s">
        <v>87</v>
      </c>
      <c r="AA42" s="112"/>
      <c r="AB42" s="117"/>
      <c r="AC42" s="118">
        <v>25.5</v>
      </c>
      <c r="AD42" s="112"/>
      <c r="AE42" s="114">
        <v>118</v>
      </c>
      <c r="AF42" s="112" t="s">
        <v>88</v>
      </c>
      <c r="AG42" s="114" t="s">
        <v>99</v>
      </c>
      <c r="AH42" s="118">
        <v>12.5</v>
      </c>
      <c r="AI42" s="112">
        <f t="shared" si="0"/>
        <v>1475</v>
      </c>
      <c r="AJ42" s="112"/>
      <c r="AK42" s="115" t="s">
        <v>89</v>
      </c>
      <c r="AL42" s="114">
        <v>106</v>
      </c>
      <c r="AM42" s="112">
        <v>18</v>
      </c>
      <c r="AN42" s="112">
        <f t="shared" si="18"/>
        <v>1908</v>
      </c>
      <c r="AO42" s="112"/>
      <c r="AP42" s="112"/>
      <c r="AQ42" s="112">
        <f t="shared" si="19"/>
        <v>0</v>
      </c>
      <c r="AR42" s="112">
        <f t="shared" si="20"/>
        <v>1908</v>
      </c>
      <c r="AS42" s="112"/>
      <c r="AT42" s="110" t="s">
        <v>143</v>
      </c>
      <c r="AU42" s="111">
        <v>46141</v>
      </c>
      <c r="AV42" s="112">
        <f t="shared" si="21"/>
        <v>18</v>
      </c>
      <c r="AW42" s="112">
        <f t="shared" si="22"/>
        <v>1908</v>
      </c>
      <c r="AX42" s="112"/>
      <c r="AY42" s="114" t="s">
        <v>144</v>
      </c>
      <c r="AZ42" s="119"/>
      <c r="BA42" s="112">
        <f t="shared" si="23"/>
        <v>18</v>
      </c>
      <c r="BB42" s="112">
        <f t="shared" si="24"/>
        <v>106</v>
      </c>
      <c r="BC42" s="112">
        <f t="shared" si="25"/>
        <v>1908</v>
      </c>
      <c r="BD42" s="112"/>
      <c r="BE42" s="112" t="s">
        <v>213</v>
      </c>
      <c r="BF42" s="113" t="s">
        <v>211</v>
      </c>
      <c r="BG42" s="120" t="s">
        <v>93</v>
      </c>
      <c r="BH42" s="120" t="s">
        <v>145</v>
      </c>
    </row>
    <row r="43" spans="1:60" s="120" customFormat="1" ht="15" customHeight="1">
      <c r="A43" s="112">
        <f t="shared" si="9"/>
        <v>41</v>
      </c>
      <c r="B43" s="113" t="s">
        <v>214</v>
      </c>
      <c r="C43" s="114" t="s">
        <v>208</v>
      </c>
      <c r="D43" s="122"/>
      <c r="E43" s="114" t="s">
        <v>215</v>
      </c>
      <c r="F43" s="112"/>
      <c r="G43" s="115" t="s">
        <v>81</v>
      </c>
      <c r="H43" s="112" t="s">
        <v>82</v>
      </c>
      <c r="I43" s="114" t="s">
        <v>83</v>
      </c>
      <c r="J43" s="114" t="s">
        <v>84</v>
      </c>
      <c r="K43" s="114" t="s">
        <v>83</v>
      </c>
      <c r="L43" s="113" t="s">
        <v>140</v>
      </c>
      <c r="M43" s="113" t="s">
        <v>140</v>
      </c>
      <c r="N43" s="116">
        <v>46112</v>
      </c>
      <c r="O43" s="114">
        <v>237</v>
      </c>
      <c r="P43" s="116">
        <v>46113</v>
      </c>
      <c r="Q43" s="116">
        <v>46125</v>
      </c>
      <c r="R43" s="116">
        <v>46113</v>
      </c>
      <c r="S43" s="112"/>
      <c r="T43" s="112"/>
      <c r="U43" s="112" t="s">
        <v>85</v>
      </c>
      <c r="V43" s="114" t="s">
        <v>99</v>
      </c>
      <c r="W43" s="114">
        <v>237</v>
      </c>
      <c r="X43" s="114">
        <v>229</v>
      </c>
      <c r="Y43" s="112"/>
      <c r="Z43" s="112" t="s">
        <v>87</v>
      </c>
      <c r="AA43" s="112"/>
      <c r="AB43" s="117"/>
      <c r="AC43" s="118">
        <v>25.5</v>
      </c>
      <c r="AD43" s="112"/>
      <c r="AE43" s="114">
        <v>237</v>
      </c>
      <c r="AF43" s="112" t="s">
        <v>88</v>
      </c>
      <c r="AG43" s="114" t="s">
        <v>99</v>
      </c>
      <c r="AH43" s="118">
        <v>12.5</v>
      </c>
      <c r="AI43" s="112">
        <f t="shared" si="0"/>
        <v>2962.5</v>
      </c>
      <c r="AJ43" s="112"/>
      <c r="AK43" s="115" t="s">
        <v>89</v>
      </c>
      <c r="AL43" s="114">
        <v>229</v>
      </c>
      <c r="AM43" s="112">
        <v>18</v>
      </c>
      <c r="AN43" s="112">
        <f t="shared" si="18"/>
        <v>4122</v>
      </c>
      <c r="AO43" s="112"/>
      <c r="AP43" s="112"/>
      <c r="AQ43" s="112">
        <f t="shared" si="19"/>
        <v>0</v>
      </c>
      <c r="AR43" s="112">
        <f t="shared" si="20"/>
        <v>4122</v>
      </c>
      <c r="AS43" s="112"/>
      <c r="AT43" s="110" t="s">
        <v>143</v>
      </c>
      <c r="AU43" s="111">
        <v>46141</v>
      </c>
      <c r="AV43" s="112">
        <f t="shared" si="21"/>
        <v>18</v>
      </c>
      <c r="AW43" s="112">
        <f t="shared" si="22"/>
        <v>4122</v>
      </c>
      <c r="AX43" s="112"/>
      <c r="AY43" s="114" t="s">
        <v>144</v>
      </c>
      <c r="AZ43" s="119"/>
      <c r="BA43" s="112">
        <f t="shared" si="23"/>
        <v>18</v>
      </c>
      <c r="BB43" s="112">
        <f t="shared" si="24"/>
        <v>229</v>
      </c>
      <c r="BC43" s="112">
        <f t="shared" si="25"/>
        <v>4122</v>
      </c>
      <c r="BD43" s="112"/>
      <c r="BE43" s="112" t="s">
        <v>216</v>
      </c>
      <c r="BF43" s="113" t="s">
        <v>214</v>
      </c>
      <c r="BG43" s="120" t="s">
        <v>93</v>
      </c>
      <c r="BH43" s="120" t="s">
        <v>145</v>
      </c>
    </row>
    <row r="44" spans="1:60" s="120" customFormat="1" ht="15" customHeight="1">
      <c r="A44" s="112">
        <f t="shared" si="9"/>
        <v>42</v>
      </c>
      <c r="B44" s="113" t="s">
        <v>217</v>
      </c>
      <c r="C44" s="114" t="s">
        <v>218</v>
      </c>
      <c r="D44" s="122"/>
      <c r="E44" s="114" t="s">
        <v>219</v>
      </c>
      <c r="F44" s="112"/>
      <c r="G44" s="115" t="s">
        <v>81</v>
      </c>
      <c r="H44" s="112" t="s">
        <v>82</v>
      </c>
      <c r="I44" s="114" t="s">
        <v>83</v>
      </c>
      <c r="J44" s="114" t="s">
        <v>84</v>
      </c>
      <c r="K44" s="114" t="s">
        <v>83</v>
      </c>
      <c r="L44" s="113" t="s">
        <v>140</v>
      </c>
      <c r="M44" s="113" t="s">
        <v>140</v>
      </c>
      <c r="N44" s="116">
        <v>46112</v>
      </c>
      <c r="O44" s="114">
        <v>10</v>
      </c>
      <c r="P44" s="116">
        <v>46113</v>
      </c>
      <c r="Q44" s="116">
        <v>46125</v>
      </c>
      <c r="R44" s="116">
        <v>46113</v>
      </c>
      <c r="S44" s="112"/>
      <c r="T44" s="112"/>
      <c r="U44" s="112" t="s">
        <v>85</v>
      </c>
      <c r="V44" s="114" t="s">
        <v>99</v>
      </c>
      <c r="W44" s="114">
        <v>10</v>
      </c>
      <c r="X44" s="114">
        <v>10</v>
      </c>
      <c r="Y44" s="112"/>
      <c r="Z44" s="112" t="s">
        <v>87</v>
      </c>
      <c r="AA44" s="112"/>
      <c r="AB44" s="117"/>
      <c r="AC44" s="118">
        <v>25.5</v>
      </c>
      <c r="AD44" s="112"/>
      <c r="AE44" s="114">
        <v>10</v>
      </c>
      <c r="AF44" s="112" t="s">
        <v>88</v>
      </c>
      <c r="AG44" s="114" t="s">
        <v>99</v>
      </c>
      <c r="AH44" s="118">
        <v>12.5</v>
      </c>
      <c r="AI44" s="112">
        <f t="shared" si="0"/>
        <v>125</v>
      </c>
      <c r="AJ44" s="112"/>
      <c r="AK44" s="115" t="s">
        <v>89</v>
      </c>
      <c r="AL44" s="114">
        <v>10</v>
      </c>
      <c r="AM44" s="112">
        <v>18</v>
      </c>
      <c r="AN44" s="112">
        <f t="shared" si="18"/>
        <v>180</v>
      </c>
      <c r="AO44" s="112"/>
      <c r="AP44" s="112"/>
      <c r="AQ44" s="112">
        <f t="shared" si="19"/>
        <v>0</v>
      </c>
      <c r="AR44" s="112">
        <f t="shared" si="20"/>
        <v>180</v>
      </c>
      <c r="AS44" s="112"/>
      <c r="AT44" s="110" t="s">
        <v>143</v>
      </c>
      <c r="AU44" s="111">
        <v>46141</v>
      </c>
      <c r="AV44" s="112">
        <f t="shared" si="21"/>
        <v>18</v>
      </c>
      <c r="AW44" s="112">
        <f t="shared" si="22"/>
        <v>180</v>
      </c>
      <c r="AX44" s="112"/>
      <c r="AY44" s="114" t="s">
        <v>144</v>
      </c>
      <c r="AZ44" s="119"/>
      <c r="BA44" s="112">
        <f t="shared" si="23"/>
        <v>18</v>
      </c>
      <c r="BB44" s="112">
        <f t="shared" si="24"/>
        <v>10</v>
      </c>
      <c r="BC44" s="112">
        <f t="shared" si="25"/>
        <v>180</v>
      </c>
      <c r="BD44" s="112"/>
      <c r="BE44" s="112" t="s">
        <v>220</v>
      </c>
      <c r="BF44" s="113" t="s">
        <v>217</v>
      </c>
      <c r="BG44" s="120" t="s">
        <v>93</v>
      </c>
      <c r="BH44" s="120" t="s">
        <v>145</v>
      </c>
    </row>
    <row r="45" spans="1:60" s="120" customFormat="1" ht="15" customHeight="1">
      <c r="A45" s="112">
        <f t="shared" si="9"/>
        <v>43</v>
      </c>
      <c r="B45" s="113" t="s">
        <v>221</v>
      </c>
      <c r="C45" s="114" t="s">
        <v>218</v>
      </c>
      <c r="D45" s="122"/>
      <c r="E45" s="114" t="s">
        <v>222</v>
      </c>
      <c r="F45" s="112"/>
      <c r="G45" s="115" t="s">
        <v>81</v>
      </c>
      <c r="H45" s="112" t="s">
        <v>82</v>
      </c>
      <c r="I45" s="114" t="s">
        <v>83</v>
      </c>
      <c r="J45" s="114" t="s">
        <v>84</v>
      </c>
      <c r="K45" s="114" t="s">
        <v>83</v>
      </c>
      <c r="L45" s="113" t="s">
        <v>140</v>
      </c>
      <c r="M45" s="113" t="s">
        <v>140</v>
      </c>
      <c r="N45" s="116">
        <v>46112</v>
      </c>
      <c r="O45" s="114">
        <v>73</v>
      </c>
      <c r="P45" s="116">
        <v>46113</v>
      </c>
      <c r="Q45" s="116">
        <v>46125</v>
      </c>
      <c r="R45" s="116">
        <v>46113</v>
      </c>
      <c r="S45" s="112"/>
      <c r="T45" s="112"/>
      <c r="U45" s="112" t="s">
        <v>85</v>
      </c>
      <c r="V45" s="114" t="s">
        <v>99</v>
      </c>
      <c r="W45" s="114">
        <v>73</v>
      </c>
      <c r="X45" s="114">
        <v>71</v>
      </c>
      <c r="Y45" s="112"/>
      <c r="Z45" s="112" t="s">
        <v>87</v>
      </c>
      <c r="AA45" s="112"/>
      <c r="AB45" s="117"/>
      <c r="AC45" s="118">
        <v>25.5</v>
      </c>
      <c r="AD45" s="112"/>
      <c r="AE45" s="114">
        <v>73</v>
      </c>
      <c r="AF45" s="112" t="s">
        <v>88</v>
      </c>
      <c r="AG45" s="114" t="s">
        <v>99</v>
      </c>
      <c r="AH45" s="118">
        <v>12.5</v>
      </c>
      <c r="AI45" s="112">
        <f t="shared" si="0"/>
        <v>912.5</v>
      </c>
      <c r="AJ45" s="112"/>
      <c r="AK45" s="115" t="s">
        <v>89</v>
      </c>
      <c r="AL45" s="114">
        <v>71</v>
      </c>
      <c r="AM45" s="112">
        <v>18</v>
      </c>
      <c r="AN45" s="112">
        <f t="shared" si="18"/>
        <v>1278</v>
      </c>
      <c r="AO45" s="112"/>
      <c r="AP45" s="112"/>
      <c r="AQ45" s="112">
        <f t="shared" si="19"/>
        <v>0</v>
      </c>
      <c r="AR45" s="112">
        <f t="shared" si="20"/>
        <v>1278</v>
      </c>
      <c r="AS45" s="112"/>
      <c r="AT45" s="110" t="s">
        <v>143</v>
      </c>
      <c r="AU45" s="111">
        <v>46141</v>
      </c>
      <c r="AV45" s="112">
        <f t="shared" si="21"/>
        <v>18</v>
      </c>
      <c r="AW45" s="112">
        <f t="shared" si="22"/>
        <v>1278</v>
      </c>
      <c r="AX45" s="112"/>
      <c r="AY45" s="114" t="s">
        <v>144</v>
      </c>
      <c r="AZ45" s="119"/>
      <c r="BA45" s="112">
        <f t="shared" si="23"/>
        <v>18</v>
      </c>
      <c r="BB45" s="112">
        <f t="shared" si="24"/>
        <v>71</v>
      </c>
      <c r="BC45" s="112">
        <f t="shared" si="25"/>
        <v>1278</v>
      </c>
      <c r="BD45" s="112"/>
      <c r="BE45" s="112" t="s">
        <v>223</v>
      </c>
      <c r="BF45" s="113" t="s">
        <v>221</v>
      </c>
      <c r="BG45" s="120" t="s">
        <v>93</v>
      </c>
      <c r="BH45" s="120" t="s">
        <v>145</v>
      </c>
    </row>
    <row r="46" spans="1:60" s="120" customFormat="1" ht="15" customHeight="1">
      <c r="A46" s="112">
        <f t="shared" si="9"/>
        <v>44</v>
      </c>
      <c r="B46" s="113" t="s">
        <v>224</v>
      </c>
      <c r="C46" s="114" t="s">
        <v>225</v>
      </c>
      <c r="D46" s="122"/>
      <c r="E46" s="114" t="s">
        <v>226</v>
      </c>
      <c r="F46" s="112"/>
      <c r="G46" s="115" t="s">
        <v>81</v>
      </c>
      <c r="H46" s="112" t="s">
        <v>82</v>
      </c>
      <c r="I46" s="114" t="s">
        <v>83</v>
      </c>
      <c r="J46" s="114" t="s">
        <v>84</v>
      </c>
      <c r="K46" s="114" t="s">
        <v>83</v>
      </c>
      <c r="L46" s="113" t="s">
        <v>140</v>
      </c>
      <c r="M46" s="113" t="s">
        <v>140</v>
      </c>
      <c r="N46" s="116">
        <v>46112</v>
      </c>
      <c r="O46" s="114">
        <v>156</v>
      </c>
      <c r="P46" s="116">
        <v>46113</v>
      </c>
      <c r="Q46" s="116">
        <v>46125</v>
      </c>
      <c r="R46" s="116">
        <v>46113</v>
      </c>
      <c r="S46" s="112"/>
      <c r="T46" s="112"/>
      <c r="U46" s="112" t="s">
        <v>85</v>
      </c>
      <c r="V46" s="114" t="s">
        <v>99</v>
      </c>
      <c r="W46" s="114">
        <v>156</v>
      </c>
      <c r="X46" s="114">
        <v>150</v>
      </c>
      <c r="Y46" s="112"/>
      <c r="Z46" s="112" t="s">
        <v>87</v>
      </c>
      <c r="AA46" s="112"/>
      <c r="AB46" s="117"/>
      <c r="AC46" s="118">
        <v>25.5</v>
      </c>
      <c r="AD46" s="112"/>
      <c r="AE46" s="114">
        <v>156</v>
      </c>
      <c r="AF46" s="112" t="s">
        <v>88</v>
      </c>
      <c r="AG46" s="114" t="s">
        <v>99</v>
      </c>
      <c r="AH46" s="118">
        <v>12.5</v>
      </c>
      <c r="AI46" s="112">
        <f t="shared" si="0"/>
        <v>1950</v>
      </c>
      <c r="AJ46" s="112"/>
      <c r="AK46" s="115" t="s">
        <v>89</v>
      </c>
      <c r="AL46" s="114">
        <v>150</v>
      </c>
      <c r="AM46" s="112">
        <v>18</v>
      </c>
      <c r="AN46" s="112">
        <f t="shared" si="18"/>
        <v>2700</v>
      </c>
      <c r="AO46" s="112"/>
      <c r="AP46" s="112"/>
      <c r="AQ46" s="112">
        <f t="shared" si="19"/>
        <v>0</v>
      </c>
      <c r="AR46" s="112">
        <f t="shared" si="20"/>
        <v>2700</v>
      </c>
      <c r="AS46" s="112"/>
      <c r="AT46" s="110" t="s">
        <v>143</v>
      </c>
      <c r="AU46" s="111">
        <v>46141</v>
      </c>
      <c r="AV46" s="112">
        <f t="shared" si="21"/>
        <v>18</v>
      </c>
      <c r="AW46" s="112">
        <f t="shared" si="22"/>
        <v>2700</v>
      </c>
      <c r="AX46" s="112"/>
      <c r="AY46" s="114" t="s">
        <v>144</v>
      </c>
      <c r="AZ46" s="119"/>
      <c r="BA46" s="112">
        <f t="shared" si="23"/>
        <v>18</v>
      </c>
      <c r="BB46" s="112">
        <f t="shared" si="24"/>
        <v>150</v>
      </c>
      <c r="BC46" s="112">
        <f t="shared" si="25"/>
        <v>2700</v>
      </c>
      <c r="BD46" s="112"/>
      <c r="BE46" s="112" t="s">
        <v>227</v>
      </c>
      <c r="BF46" s="113" t="s">
        <v>224</v>
      </c>
      <c r="BG46" s="120" t="s">
        <v>93</v>
      </c>
      <c r="BH46" s="120" t="s">
        <v>145</v>
      </c>
    </row>
    <row r="47" spans="1:60" s="120" customFormat="1" ht="15" customHeight="1">
      <c r="A47" s="112">
        <f t="shared" si="9"/>
        <v>45</v>
      </c>
      <c r="B47" s="113" t="s">
        <v>228</v>
      </c>
      <c r="C47" s="114" t="s">
        <v>229</v>
      </c>
      <c r="D47" s="122"/>
      <c r="E47" s="114" t="s">
        <v>230</v>
      </c>
      <c r="F47" s="112"/>
      <c r="G47" s="115" t="s">
        <v>81</v>
      </c>
      <c r="H47" s="112" t="s">
        <v>82</v>
      </c>
      <c r="I47" s="114" t="s">
        <v>83</v>
      </c>
      <c r="J47" s="114" t="s">
        <v>84</v>
      </c>
      <c r="K47" s="114" t="s">
        <v>83</v>
      </c>
      <c r="L47" s="113" t="s">
        <v>140</v>
      </c>
      <c r="M47" s="113" t="s">
        <v>140</v>
      </c>
      <c r="N47" s="116">
        <v>46112</v>
      </c>
      <c r="O47" s="114">
        <v>56</v>
      </c>
      <c r="P47" s="116">
        <v>46113</v>
      </c>
      <c r="Q47" s="116">
        <v>46125</v>
      </c>
      <c r="R47" s="116">
        <v>46113</v>
      </c>
      <c r="S47" s="112"/>
      <c r="T47" s="112"/>
      <c r="U47" s="112" t="s">
        <v>85</v>
      </c>
      <c r="V47" s="114" t="s">
        <v>86</v>
      </c>
      <c r="W47" s="114">
        <v>56</v>
      </c>
      <c r="X47" s="114">
        <v>56</v>
      </c>
      <c r="Y47" s="112"/>
      <c r="Z47" s="112" t="s">
        <v>87</v>
      </c>
      <c r="AA47" s="112"/>
      <c r="AB47" s="117"/>
      <c r="AC47" s="118">
        <v>30.5</v>
      </c>
      <c r="AD47" s="112"/>
      <c r="AE47" s="114">
        <v>56</v>
      </c>
      <c r="AF47" s="112" t="s">
        <v>88</v>
      </c>
      <c r="AG47" s="114" t="s">
        <v>86</v>
      </c>
      <c r="AH47" s="118">
        <v>24.5</v>
      </c>
      <c r="AI47" s="112">
        <f t="shared" si="0"/>
        <v>1372</v>
      </c>
      <c r="AJ47" s="112"/>
      <c r="AK47" s="115" t="s">
        <v>89</v>
      </c>
      <c r="AL47" s="114">
        <v>56</v>
      </c>
      <c r="AM47" s="112">
        <v>18</v>
      </c>
      <c r="AN47" s="112">
        <f t="shared" si="18"/>
        <v>1008</v>
      </c>
      <c r="AO47" s="112"/>
      <c r="AP47" s="112"/>
      <c r="AQ47" s="112">
        <f t="shared" si="19"/>
        <v>0</v>
      </c>
      <c r="AR47" s="112">
        <f t="shared" si="20"/>
        <v>1008</v>
      </c>
      <c r="AS47" s="112"/>
      <c r="AT47" s="110" t="s">
        <v>143</v>
      </c>
      <c r="AU47" s="111">
        <v>46141</v>
      </c>
      <c r="AV47" s="112">
        <f t="shared" si="21"/>
        <v>18</v>
      </c>
      <c r="AW47" s="112">
        <f t="shared" si="22"/>
        <v>1008</v>
      </c>
      <c r="AX47" s="112"/>
      <c r="AY47" s="114" t="s">
        <v>144</v>
      </c>
      <c r="AZ47" s="119"/>
      <c r="BA47" s="112">
        <f t="shared" si="23"/>
        <v>18</v>
      </c>
      <c r="BB47" s="112">
        <f t="shared" si="24"/>
        <v>56</v>
      </c>
      <c r="BC47" s="112">
        <f t="shared" si="25"/>
        <v>1008</v>
      </c>
      <c r="BD47" s="112"/>
      <c r="BE47" s="112" t="s">
        <v>231</v>
      </c>
      <c r="BF47" s="113" t="s">
        <v>228</v>
      </c>
      <c r="BG47" s="120" t="s">
        <v>93</v>
      </c>
      <c r="BH47" s="120" t="s">
        <v>145</v>
      </c>
    </row>
    <row r="48" spans="1:60" s="120" customFormat="1" ht="15" customHeight="1">
      <c r="A48" s="112">
        <f t="shared" si="9"/>
        <v>46</v>
      </c>
      <c r="B48" s="113" t="s">
        <v>232</v>
      </c>
      <c r="C48" s="114" t="s">
        <v>229</v>
      </c>
      <c r="D48" s="122"/>
      <c r="E48" s="114" t="s">
        <v>233</v>
      </c>
      <c r="F48" s="112"/>
      <c r="G48" s="115" t="s">
        <v>81</v>
      </c>
      <c r="H48" s="112" t="s">
        <v>82</v>
      </c>
      <c r="I48" s="114" t="s">
        <v>83</v>
      </c>
      <c r="J48" s="114" t="s">
        <v>84</v>
      </c>
      <c r="K48" s="114" t="s">
        <v>83</v>
      </c>
      <c r="L48" s="113" t="s">
        <v>140</v>
      </c>
      <c r="M48" s="113" t="s">
        <v>140</v>
      </c>
      <c r="N48" s="116">
        <v>46112</v>
      </c>
      <c r="O48" s="114">
        <v>113</v>
      </c>
      <c r="P48" s="116">
        <v>46113</v>
      </c>
      <c r="Q48" s="116">
        <v>46125</v>
      </c>
      <c r="R48" s="116">
        <v>46113</v>
      </c>
      <c r="S48" s="112"/>
      <c r="T48" s="112"/>
      <c r="U48" s="112" t="s">
        <v>85</v>
      </c>
      <c r="V48" s="114" t="s">
        <v>86</v>
      </c>
      <c r="W48" s="114">
        <v>113</v>
      </c>
      <c r="X48" s="114">
        <v>113</v>
      </c>
      <c r="Y48" s="112"/>
      <c r="Z48" s="112" t="s">
        <v>87</v>
      </c>
      <c r="AA48" s="112"/>
      <c r="AB48" s="117"/>
      <c r="AC48" s="118">
        <v>30.5</v>
      </c>
      <c r="AD48" s="112"/>
      <c r="AE48" s="114">
        <v>113</v>
      </c>
      <c r="AF48" s="112" t="s">
        <v>88</v>
      </c>
      <c r="AG48" s="114" t="s">
        <v>86</v>
      </c>
      <c r="AH48" s="118">
        <v>24.5</v>
      </c>
      <c r="AI48" s="112">
        <f t="shared" si="0"/>
        <v>2768.5</v>
      </c>
      <c r="AJ48" s="112"/>
      <c r="AK48" s="115" t="s">
        <v>89</v>
      </c>
      <c r="AL48" s="114">
        <v>113</v>
      </c>
      <c r="AM48" s="112">
        <v>18</v>
      </c>
      <c r="AN48" s="112">
        <f t="shared" si="18"/>
        <v>2034</v>
      </c>
      <c r="AO48" s="112"/>
      <c r="AP48" s="112"/>
      <c r="AQ48" s="112">
        <f t="shared" si="19"/>
        <v>0</v>
      </c>
      <c r="AR48" s="112">
        <f t="shared" si="20"/>
        <v>2034</v>
      </c>
      <c r="AS48" s="112"/>
      <c r="AT48" s="110" t="s">
        <v>143</v>
      </c>
      <c r="AU48" s="111">
        <v>46141</v>
      </c>
      <c r="AV48" s="112">
        <f t="shared" si="21"/>
        <v>18</v>
      </c>
      <c r="AW48" s="112">
        <f t="shared" si="22"/>
        <v>2034</v>
      </c>
      <c r="AX48" s="112"/>
      <c r="AY48" s="114" t="s">
        <v>144</v>
      </c>
      <c r="AZ48" s="119"/>
      <c r="BA48" s="112">
        <f t="shared" si="23"/>
        <v>18</v>
      </c>
      <c r="BB48" s="112">
        <f t="shared" si="24"/>
        <v>113</v>
      </c>
      <c r="BC48" s="112">
        <f t="shared" si="25"/>
        <v>2034</v>
      </c>
      <c r="BD48" s="112"/>
      <c r="BE48" s="112" t="s">
        <v>234</v>
      </c>
      <c r="BF48" s="113" t="s">
        <v>232</v>
      </c>
      <c r="BG48" s="120" t="s">
        <v>93</v>
      </c>
      <c r="BH48" s="120" t="s">
        <v>145</v>
      </c>
    </row>
    <row r="49" spans="1:60" s="120" customFormat="1" ht="15" customHeight="1">
      <c r="A49" s="112">
        <f t="shared" si="9"/>
        <v>47</v>
      </c>
      <c r="B49" s="113" t="s">
        <v>235</v>
      </c>
      <c r="C49" s="114" t="s">
        <v>229</v>
      </c>
      <c r="D49" s="122"/>
      <c r="E49" s="114" t="s">
        <v>236</v>
      </c>
      <c r="F49" s="112"/>
      <c r="G49" s="115" t="s">
        <v>81</v>
      </c>
      <c r="H49" s="112" t="s">
        <v>82</v>
      </c>
      <c r="I49" s="114" t="s">
        <v>83</v>
      </c>
      <c r="J49" s="114" t="s">
        <v>84</v>
      </c>
      <c r="K49" s="114" t="s">
        <v>83</v>
      </c>
      <c r="L49" s="113" t="s">
        <v>140</v>
      </c>
      <c r="M49" s="113" t="s">
        <v>140</v>
      </c>
      <c r="N49" s="116">
        <v>46112</v>
      </c>
      <c r="O49" s="114">
        <v>10</v>
      </c>
      <c r="P49" s="116">
        <v>46113</v>
      </c>
      <c r="Q49" s="116">
        <v>46125</v>
      </c>
      <c r="R49" s="116">
        <v>46113</v>
      </c>
      <c r="S49" s="112"/>
      <c r="T49" s="112"/>
      <c r="U49" s="112" t="s">
        <v>85</v>
      </c>
      <c r="V49" s="114" t="s">
        <v>99</v>
      </c>
      <c r="W49" s="114">
        <v>10</v>
      </c>
      <c r="X49" s="114">
        <v>10</v>
      </c>
      <c r="Y49" s="112"/>
      <c r="Z49" s="112" t="s">
        <v>87</v>
      </c>
      <c r="AA49" s="112"/>
      <c r="AB49" s="117"/>
      <c r="AC49" s="118">
        <v>25.5</v>
      </c>
      <c r="AD49" s="112"/>
      <c r="AE49" s="114">
        <v>10</v>
      </c>
      <c r="AF49" s="112" t="s">
        <v>88</v>
      </c>
      <c r="AG49" s="114" t="s">
        <v>99</v>
      </c>
      <c r="AH49" s="118">
        <v>12.5</v>
      </c>
      <c r="AI49" s="112">
        <f t="shared" si="0"/>
        <v>125</v>
      </c>
      <c r="AJ49" s="112"/>
      <c r="AK49" s="115" t="s">
        <v>89</v>
      </c>
      <c r="AL49" s="114">
        <v>10</v>
      </c>
      <c r="AM49" s="112">
        <v>18</v>
      </c>
      <c r="AN49" s="112">
        <f t="shared" si="18"/>
        <v>180</v>
      </c>
      <c r="AO49" s="112"/>
      <c r="AP49" s="112"/>
      <c r="AQ49" s="112">
        <f t="shared" si="19"/>
        <v>0</v>
      </c>
      <c r="AR49" s="112">
        <f t="shared" si="20"/>
        <v>180</v>
      </c>
      <c r="AS49" s="112"/>
      <c r="AT49" s="110" t="s">
        <v>143</v>
      </c>
      <c r="AU49" s="111">
        <v>46141</v>
      </c>
      <c r="AV49" s="112">
        <f t="shared" si="21"/>
        <v>18</v>
      </c>
      <c r="AW49" s="112">
        <f t="shared" si="22"/>
        <v>180</v>
      </c>
      <c r="AX49" s="112"/>
      <c r="AY49" s="114" t="s">
        <v>144</v>
      </c>
      <c r="AZ49" s="119"/>
      <c r="BA49" s="112">
        <f t="shared" si="23"/>
        <v>18</v>
      </c>
      <c r="BB49" s="112">
        <f t="shared" si="24"/>
        <v>10</v>
      </c>
      <c r="BC49" s="112">
        <f t="shared" si="25"/>
        <v>180</v>
      </c>
      <c r="BD49" s="112"/>
      <c r="BE49" s="112" t="s">
        <v>237</v>
      </c>
      <c r="BF49" s="113" t="s">
        <v>235</v>
      </c>
      <c r="BG49" s="120" t="s">
        <v>93</v>
      </c>
      <c r="BH49" s="120" t="s">
        <v>145</v>
      </c>
    </row>
    <row r="50" spans="1:60" s="120" customFormat="1" ht="15" customHeight="1">
      <c r="A50" s="112">
        <f t="shared" si="9"/>
        <v>48</v>
      </c>
      <c r="B50" s="113" t="s">
        <v>238</v>
      </c>
      <c r="C50" s="114" t="s">
        <v>229</v>
      </c>
      <c r="D50" s="122"/>
      <c r="E50" s="114" t="s">
        <v>239</v>
      </c>
      <c r="F50" s="112"/>
      <c r="G50" s="115" t="s">
        <v>81</v>
      </c>
      <c r="H50" s="112" t="s">
        <v>82</v>
      </c>
      <c r="I50" s="114" t="s">
        <v>83</v>
      </c>
      <c r="J50" s="114" t="s">
        <v>84</v>
      </c>
      <c r="K50" s="114" t="s">
        <v>83</v>
      </c>
      <c r="L50" s="113" t="s">
        <v>140</v>
      </c>
      <c r="M50" s="113" t="s">
        <v>140</v>
      </c>
      <c r="N50" s="116">
        <v>46112</v>
      </c>
      <c r="O50" s="114">
        <v>149</v>
      </c>
      <c r="P50" s="116">
        <v>46113</v>
      </c>
      <c r="Q50" s="116">
        <v>46125</v>
      </c>
      <c r="R50" s="116">
        <v>46113</v>
      </c>
      <c r="S50" s="112"/>
      <c r="T50" s="112"/>
      <c r="U50" s="112" t="s">
        <v>85</v>
      </c>
      <c r="V50" s="114" t="s">
        <v>99</v>
      </c>
      <c r="W50" s="114">
        <v>149</v>
      </c>
      <c r="X50" s="114">
        <v>143</v>
      </c>
      <c r="Y50" s="112"/>
      <c r="Z50" s="112" t="s">
        <v>87</v>
      </c>
      <c r="AA50" s="112"/>
      <c r="AB50" s="117"/>
      <c r="AC50" s="118">
        <v>25.5</v>
      </c>
      <c r="AD50" s="112"/>
      <c r="AE50" s="114">
        <v>149</v>
      </c>
      <c r="AF50" s="112" t="s">
        <v>88</v>
      </c>
      <c r="AG50" s="114" t="s">
        <v>99</v>
      </c>
      <c r="AH50" s="118">
        <v>12.5</v>
      </c>
      <c r="AI50" s="112">
        <f t="shared" si="0"/>
        <v>1862.5</v>
      </c>
      <c r="AJ50" s="112"/>
      <c r="AK50" s="115" t="s">
        <v>89</v>
      </c>
      <c r="AL50" s="114">
        <v>143</v>
      </c>
      <c r="AM50" s="112">
        <v>18</v>
      </c>
      <c r="AN50" s="112">
        <f t="shared" si="18"/>
        <v>2574</v>
      </c>
      <c r="AO50" s="112"/>
      <c r="AP50" s="112"/>
      <c r="AQ50" s="112">
        <f t="shared" si="19"/>
        <v>0</v>
      </c>
      <c r="AR50" s="112">
        <f t="shared" si="20"/>
        <v>2574</v>
      </c>
      <c r="AS50" s="112"/>
      <c r="AT50" s="110" t="s">
        <v>143</v>
      </c>
      <c r="AU50" s="111">
        <v>46141</v>
      </c>
      <c r="AV50" s="112">
        <f t="shared" si="21"/>
        <v>18</v>
      </c>
      <c r="AW50" s="112">
        <f t="shared" si="22"/>
        <v>2574</v>
      </c>
      <c r="AX50" s="112"/>
      <c r="AY50" s="114" t="s">
        <v>144</v>
      </c>
      <c r="AZ50" s="119"/>
      <c r="BA50" s="112">
        <f t="shared" si="23"/>
        <v>18</v>
      </c>
      <c r="BB50" s="112">
        <f t="shared" si="24"/>
        <v>143</v>
      </c>
      <c r="BC50" s="112">
        <f t="shared" si="25"/>
        <v>2574</v>
      </c>
      <c r="BD50" s="112"/>
      <c r="BE50" s="112" t="s">
        <v>240</v>
      </c>
      <c r="BF50" s="113" t="s">
        <v>238</v>
      </c>
      <c r="BG50" s="120" t="s">
        <v>93</v>
      </c>
      <c r="BH50" s="120" t="s">
        <v>145</v>
      </c>
    </row>
    <row r="51" spans="1:60" s="120" customFormat="1" ht="15" customHeight="1">
      <c r="A51" s="112">
        <f t="shared" si="9"/>
        <v>49</v>
      </c>
      <c r="B51" s="113" t="s">
        <v>241</v>
      </c>
      <c r="C51" s="114" t="s">
        <v>242</v>
      </c>
      <c r="D51" s="122"/>
      <c r="E51" s="114" t="s">
        <v>243</v>
      </c>
      <c r="F51" s="112"/>
      <c r="G51" s="115" t="s">
        <v>81</v>
      </c>
      <c r="H51" s="112" t="s">
        <v>82</v>
      </c>
      <c r="I51" s="114" t="s">
        <v>83</v>
      </c>
      <c r="J51" s="114" t="s">
        <v>84</v>
      </c>
      <c r="K51" s="114" t="s">
        <v>83</v>
      </c>
      <c r="L51" s="113" t="s">
        <v>140</v>
      </c>
      <c r="M51" s="113" t="s">
        <v>140</v>
      </c>
      <c r="N51" s="116">
        <v>46112</v>
      </c>
      <c r="O51" s="114">
        <v>97</v>
      </c>
      <c r="P51" s="116">
        <v>46113</v>
      </c>
      <c r="Q51" s="116">
        <v>46125</v>
      </c>
      <c r="R51" s="116">
        <v>46113</v>
      </c>
      <c r="S51" s="112"/>
      <c r="T51" s="112"/>
      <c r="U51" s="112" t="s">
        <v>85</v>
      </c>
      <c r="V51" s="114" t="s">
        <v>99</v>
      </c>
      <c r="W51" s="114">
        <v>97</v>
      </c>
      <c r="X51" s="114">
        <v>93</v>
      </c>
      <c r="Y51" s="112"/>
      <c r="Z51" s="112" t="s">
        <v>87</v>
      </c>
      <c r="AA51" s="112"/>
      <c r="AB51" s="117"/>
      <c r="AC51" s="118">
        <v>25.5</v>
      </c>
      <c r="AD51" s="112"/>
      <c r="AE51" s="114">
        <v>97</v>
      </c>
      <c r="AF51" s="112" t="s">
        <v>88</v>
      </c>
      <c r="AG51" s="114" t="s">
        <v>99</v>
      </c>
      <c r="AH51" s="118">
        <v>12.5</v>
      </c>
      <c r="AI51" s="112">
        <f t="shared" si="0"/>
        <v>1212.5</v>
      </c>
      <c r="AJ51" s="112"/>
      <c r="AK51" s="115" t="s">
        <v>89</v>
      </c>
      <c r="AL51" s="114">
        <v>93</v>
      </c>
      <c r="AM51" s="112">
        <v>18</v>
      </c>
      <c r="AN51" s="112">
        <f t="shared" si="18"/>
        <v>1674</v>
      </c>
      <c r="AO51" s="112"/>
      <c r="AP51" s="112"/>
      <c r="AQ51" s="112">
        <f t="shared" si="19"/>
        <v>0</v>
      </c>
      <c r="AR51" s="112">
        <f t="shared" si="20"/>
        <v>1674</v>
      </c>
      <c r="AS51" s="112"/>
      <c r="AT51" s="110" t="s">
        <v>143</v>
      </c>
      <c r="AU51" s="111">
        <v>46141</v>
      </c>
      <c r="AV51" s="112">
        <f t="shared" si="21"/>
        <v>18</v>
      </c>
      <c r="AW51" s="112">
        <f t="shared" si="22"/>
        <v>1674</v>
      </c>
      <c r="AX51" s="112"/>
      <c r="AY51" s="114" t="s">
        <v>144</v>
      </c>
      <c r="AZ51" s="119"/>
      <c r="BA51" s="112">
        <f t="shared" si="23"/>
        <v>18</v>
      </c>
      <c r="BB51" s="112">
        <f t="shared" si="24"/>
        <v>93</v>
      </c>
      <c r="BC51" s="112">
        <f t="shared" si="25"/>
        <v>1674</v>
      </c>
      <c r="BD51" s="112"/>
      <c r="BE51" s="112" t="s">
        <v>244</v>
      </c>
      <c r="BF51" s="113" t="s">
        <v>241</v>
      </c>
      <c r="BG51" s="120" t="s">
        <v>93</v>
      </c>
      <c r="BH51" s="120" t="s">
        <v>145</v>
      </c>
    </row>
    <row r="52" spans="1:60" s="120" customFormat="1" ht="15" customHeight="1">
      <c r="A52" s="112">
        <f t="shared" si="9"/>
        <v>50</v>
      </c>
      <c r="B52" s="113" t="s">
        <v>245</v>
      </c>
      <c r="C52" s="114" t="s">
        <v>242</v>
      </c>
      <c r="D52" s="122"/>
      <c r="E52" s="114" t="s">
        <v>246</v>
      </c>
      <c r="F52" s="112"/>
      <c r="G52" s="115" t="s">
        <v>81</v>
      </c>
      <c r="H52" s="112" t="s">
        <v>82</v>
      </c>
      <c r="I52" s="114" t="s">
        <v>83</v>
      </c>
      <c r="J52" s="114" t="s">
        <v>84</v>
      </c>
      <c r="K52" s="114" t="s">
        <v>83</v>
      </c>
      <c r="L52" s="113" t="s">
        <v>140</v>
      </c>
      <c r="M52" s="113" t="s">
        <v>140</v>
      </c>
      <c r="N52" s="116">
        <v>46112</v>
      </c>
      <c r="O52" s="114">
        <v>123</v>
      </c>
      <c r="P52" s="116">
        <v>46113</v>
      </c>
      <c r="Q52" s="116">
        <v>46125</v>
      </c>
      <c r="R52" s="116">
        <v>46113</v>
      </c>
      <c r="S52" s="112"/>
      <c r="T52" s="112"/>
      <c r="U52" s="112" t="s">
        <v>85</v>
      </c>
      <c r="V52" s="114" t="s">
        <v>99</v>
      </c>
      <c r="W52" s="114">
        <v>123</v>
      </c>
      <c r="X52" s="114">
        <v>119</v>
      </c>
      <c r="Y52" s="112"/>
      <c r="Z52" s="112" t="s">
        <v>87</v>
      </c>
      <c r="AA52" s="112"/>
      <c r="AB52" s="117"/>
      <c r="AC52" s="118">
        <v>25.5</v>
      </c>
      <c r="AD52" s="112"/>
      <c r="AE52" s="114">
        <v>123</v>
      </c>
      <c r="AF52" s="112" t="s">
        <v>88</v>
      </c>
      <c r="AG52" s="114" t="s">
        <v>99</v>
      </c>
      <c r="AH52" s="118">
        <v>12.5</v>
      </c>
      <c r="AI52" s="112">
        <f t="shared" si="0"/>
        <v>1537.5</v>
      </c>
      <c r="AJ52" s="112"/>
      <c r="AK52" s="115" t="s">
        <v>89</v>
      </c>
      <c r="AL52" s="114">
        <v>119</v>
      </c>
      <c r="AM52" s="112">
        <v>18</v>
      </c>
      <c r="AN52" s="112">
        <f t="shared" si="18"/>
        <v>2142</v>
      </c>
      <c r="AO52" s="112"/>
      <c r="AP52" s="112"/>
      <c r="AQ52" s="112">
        <f t="shared" si="19"/>
        <v>0</v>
      </c>
      <c r="AR52" s="112">
        <f t="shared" si="20"/>
        <v>2142</v>
      </c>
      <c r="AS52" s="112"/>
      <c r="AT52" s="110" t="s">
        <v>143</v>
      </c>
      <c r="AU52" s="111">
        <v>46141</v>
      </c>
      <c r="AV52" s="112">
        <f t="shared" si="21"/>
        <v>18</v>
      </c>
      <c r="AW52" s="112">
        <f t="shared" si="22"/>
        <v>2142</v>
      </c>
      <c r="AX52" s="112"/>
      <c r="AY52" s="114" t="s">
        <v>144</v>
      </c>
      <c r="AZ52" s="119"/>
      <c r="BA52" s="112">
        <f t="shared" si="23"/>
        <v>18</v>
      </c>
      <c r="BB52" s="112">
        <f t="shared" si="24"/>
        <v>119</v>
      </c>
      <c r="BC52" s="112">
        <f t="shared" si="25"/>
        <v>2142</v>
      </c>
      <c r="BD52" s="112"/>
      <c r="BE52" s="112" t="s">
        <v>247</v>
      </c>
      <c r="BF52" s="113" t="s">
        <v>245</v>
      </c>
      <c r="BG52" s="120" t="s">
        <v>93</v>
      </c>
      <c r="BH52" s="120" t="s">
        <v>145</v>
      </c>
    </row>
    <row r="53" spans="1:60" s="120" customFormat="1" ht="15" customHeight="1">
      <c r="A53" s="112">
        <f t="shared" si="9"/>
        <v>51</v>
      </c>
      <c r="B53" s="113" t="s">
        <v>248</v>
      </c>
      <c r="C53" s="114" t="s">
        <v>249</v>
      </c>
      <c r="D53" s="122"/>
      <c r="E53" s="114" t="s">
        <v>250</v>
      </c>
      <c r="F53" s="112"/>
      <c r="G53" s="115" t="s">
        <v>81</v>
      </c>
      <c r="H53" s="112" t="s">
        <v>82</v>
      </c>
      <c r="I53" s="114" t="s">
        <v>83</v>
      </c>
      <c r="J53" s="114" t="s">
        <v>84</v>
      </c>
      <c r="K53" s="114" t="s">
        <v>83</v>
      </c>
      <c r="L53" s="113" t="s">
        <v>140</v>
      </c>
      <c r="M53" s="113" t="s">
        <v>140</v>
      </c>
      <c r="N53" s="116">
        <v>46112</v>
      </c>
      <c r="O53" s="114">
        <v>211</v>
      </c>
      <c r="P53" s="116">
        <v>46113</v>
      </c>
      <c r="Q53" s="116">
        <v>46125</v>
      </c>
      <c r="R53" s="116">
        <v>46113</v>
      </c>
      <c r="S53" s="112"/>
      <c r="T53" s="112"/>
      <c r="U53" s="112" t="s">
        <v>85</v>
      </c>
      <c r="V53" s="114" t="s">
        <v>86</v>
      </c>
      <c r="W53" s="114">
        <v>211</v>
      </c>
      <c r="X53" s="114">
        <v>211</v>
      </c>
      <c r="Y53" s="112"/>
      <c r="Z53" s="112" t="s">
        <v>87</v>
      </c>
      <c r="AA53" s="112"/>
      <c r="AB53" s="117"/>
      <c r="AC53" s="118">
        <v>30.5</v>
      </c>
      <c r="AD53" s="112"/>
      <c r="AE53" s="114">
        <v>211</v>
      </c>
      <c r="AF53" s="112" t="s">
        <v>88</v>
      </c>
      <c r="AG53" s="114" t="s">
        <v>86</v>
      </c>
      <c r="AH53" s="118">
        <v>24.5</v>
      </c>
      <c r="AI53" s="112">
        <f t="shared" si="0"/>
        <v>5169.5</v>
      </c>
      <c r="AJ53" s="112"/>
      <c r="AK53" s="115" t="s">
        <v>89</v>
      </c>
      <c r="AL53" s="114">
        <v>211</v>
      </c>
      <c r="AM53" s="112">
        <v>18</v>
      </c>
      <c r="AN53" s="112">
        <f t="shared" si="18"/>
        <v>3798</v>
      </c>
      <c r="AO53" s="112"/>
      <c r="AP53" s="112"/>
      <c r="AQ53" s="112">
        <f t="shared" si="19"/>
        <v>0</v>
      </c>
      <c r="AR53" s="112">
        <f t="shared" si="20"/>
        <v>3798</v>
      </c>
      <c r="AS53" s="112"/>
      <c r="AT53" s="110" t="s">
        <v>143</v>
      </c>
      <c r="AU53" s="111">
        <v>46141</v>
      </c>
      <c r="AV53" s="112">
        <f t="shared" si="21"/>
        <v>18</v>
      </c>
      <c r="AW53" s="112">
        <f t="shared" si="22"/>
        <v>3798</v>
      </c>
      <c r="AX53" s="112"/>
      <c r="AY53" s="114" t="s">
        <v>144</v>
      </c>
      <c r="AZ53" s="119"/>
      <c r="BA53" s="112">
        <f t="shared" si="23"/>
        <v>18</v>
      </c>
      <c r="BB53" s="112">
        <f t="shared" si="24"/>
        <v>211</v>
      </c>
      <c r="BC53" s="112">
        <f t="shared" si="25"/>
        <v>3798</v>
      </c>
      <c r="BD53" s="112"/>
      <c r="BE53" s="112" t="s">
        <v>251</v>
      </c>
      <c r="BF53" s="113" t="s">
        <v>248</v>
      </c>
      <c r="BG53" s="120" t="s">
        <v>93</v>
      </c>
      <c r="BH53" s="120" t="s">
        <v>145</v>
      </c>
    </row>
    <row r="54" spans="1:60" s="120" customFormat="1" ht="15" customHeight="1">
      <c r="A54" s="112">
        <f t="shared" si="9"/>
        <v>52</v>
      </c>
      <c r="B54" s="113" t="s">
        <v>252</v>
      </c>
      <c r="C54" s="114" t="s">
        <v>253</v>
      </c>
      <c r="D54" s="122"/>
      <c r="E54" s="114" t="s">
        <v>254</v>
      </c>
      <c r="F54" s="112"/>
      <c r="G54" s="115" t="s">
        <v>81</v>
      </c>
      <c r="H54" s="112" t="s">
        <v>82</v>
      </c>
      <c r="I54" s="114" t="s">
        <v>83</v>
      </c>
      <c r="J54" s="114" t="s">
        <v>84</v>
      </c>
      <c r="K54" s="114" t="s">
        <v>83</v>
      </c>
      <c r="L54" s="113" t="s">
        <v>140</v>
      </c>
      <c r="M54" s="113" t="s">
        <v>140</v>
      </c>
      <c r="N54" s="116">
        <v>46112</v>
      </c>
      <c r="O54" s="114">
        <v>10</v>
      </c>
      <c r="P54" s="116">
        <v>46113</v>
      </c>
      <c r="Q54" s="116">
        <v>46125</v>
      </c>
      <c r="R54" s="116">
        <v>46113</v>
      </c>
      <c r="S54" s="112"/>
      <c r="T54" s="112"/>
      <c r="U54" s="112" t="s">
        <v>85</v>
      </c>
      <c r="V54" s="114" t="s">
        <v>99</v>
      </c>
      <c r="W54" s="114">
        <v>10</v>
      </c>
      <c r="X54" s="114">
        <v>10</v>
      </c>
      <c r="Y54" s="112"/>
      <c r="Z54" s="112" t="s">
        <v>87</v>
      </c>
      <c r="AA54" s="112"/>
      <c r="AB54" s="117"/>
      <c r="AC54" s="118">
        <v>25.5</v>
      </c>
      <c r="AD54" s="112"/>
      <c r="AE54" s="114">
        <v>10</v>
      </c>
      <c r="AF54" s="112" t="s">
        <v>88</v>
      </c>
      <c r="AG54" s="114" t="s">
        <v>99</v>
      </c>
      <c r="AH54" s="118">
        <v>12.5</v>
      </c>
      <c r="AI54" s="112">
        <f t="shared" si="0"/>
        <v>125</v>
      </c>
      <c r="AJ54" s="112"/>
      <c r="AK54" s="115" t="s">
        <v>89</v>
      </c>
      <c r="AL54" s="114">
        <v>10</v>
      </c>
      <c r="AM54" s="112">
        <v>18</v>
      </c>
      <c r="AN54" s="112">
        <f t="shared" si="18"/>
        <v>180</v>
      </c>
      <c r="AO54" s="112"/>
      <c r="AP54" s="112"/>
      <c r="AQ54" s="112">
        <f t="shared" si="19"/>
        <v>0</v>
      </c>
      <c r="AR54" s="112">
        <f t="shared" si="20"/>
        <v>180</v>
      </c>
      <c r="AS54" s="112"/>
      <c r="AT54" s="110" t="s">
        <v>143</v>
      </c>
      <c r="AU54" s="111">
        <v>46141</v>
      </c>
      <c r="AV54" s="112">
        <f t="shared" si="21"/>
        <v>18</v>
      </c>
      <c r="AW54" s="112">
        <f t="shared" si="22"/>
        <v>180</v>
      </c>
      <c r="AX54" s="112"/>
      <c r="AY54" s="114" t="s">
        <v>144</v>
      </c>
      <c r="AZ54" s="119"/>
      <c r="BA54" s="112">
        <f t="shared" si="23"/>
        <v>18</v>
      </c>
      <c r="BB54" s="112">
        <f t="shared" si="24"/>
        <v>10</v>
      </c>
      <c r="BC54" s="112">
        <f t="shared" si="25"/>
        <v>180</v>
      </c>
      <c r="BD54" s="112"/>
      <c r="BE54" s="112" t="s">
        <v>255</v>
      </c>
      <c r="BF54" s="113" t="s">
        <v>252</v>
      </c>
      <c r="BG54" s="120" t="s">
        <v>93</v>
      </c>
      <c r="BH54" s="120" t="s">
        <v>145</v>
      </c>
    </row>
    <row r="55" spans="1:60" s="120" customFormat="1" ht="15" customHeight="1">
      <c r="A55" s="112">
        <f t="shared" si="9"/>
        <v>53</v>
      </c>
      <c r="B55" s="113" t="s">
        <v>256</v>
      </c>
      <c r="C55" s="114" t="s">
        <v>253</v>
      </c>
      <c r="D55" s="122"/>
      <c r="E55" s="114" t="s">
        <v>257</v>
      </c>
      <c r="F55" s="112"/>
      <c r="G55" s="115" t="s">
        <v>81</v>
      </c>
      <c r="H55" s="112" t="s">
        <v>82</v>
      </c>
      <c r="I55" s="114" t="s">
        <v>83</v>
      </c>
      <c r="J55" s="114" t="s">
        <v>84</v>
      </c>
      <c r="K55" s="114" t="s">
        <v>83</v>
      </c>
      <c r="L55" s="113" t="s">
        <v>140</v>
      </c>
      <c r="M55" s="113" t="s">
        <v>140</v>
      </c>
      <c r="N55" s="116">
        <v>46112</v>
      </c>
      <c r="O55" s="114">
        <v>178</v>
      </c>
      <c r="P55" s="116">
        <v>46113</v>
      </c>
      <c r="Q55" s="116">
        <v>46125</v>
      </c>
      <c r="R55" s="116">
        <v>46113</v>
      </c>
      <c r="S55" s="112"/>
      <c r="T55" s="112"/>
      <c r="U55" s="112" t="s">
        <v>85</v>
      </c>
      <c r="V55" s="114" t="s">
        <v>99</v>
      </c>
      <c r="W55" s="114">
        <v>178</v>
      </c>
      <c r="X55" s="114">
        <v>172</v>
      </c>
      <c r="Y55" s="112"/>
      <c r="Z55" s="112" t="s">
        <v>87</v>
      </c>
      <c r="AA55" s="112"/>
      <c r="AB55" s="117"/>
      <c r="AC55" s="118">
        <v>25.5</v>
      </c>
      <c r="AD55" s="112"/>
      <c r="AE55" s="114">
        <v>178</v>
      </c>
      <c r="AF55" s="112" t="s">
        <v>88</v>
      </c>
      <c r="AG55" s="114" t="s">
        <v>99</v>
      </c>
      <c r="AH55" s="118">
        <v>12.5</v>
      </c>
      <c r="AI55" s="112">
        <f t="shared" si="0"/>
        <v>2225</v>
      </c>
      <c r="AJ55" s="112"/>
      <c r="AK55" s="115" t="s">
        <v>89</v>
      </c>
      <c r="AL55" s="114">
        <v>172</v>
      </c>
      <c r="AM55" s="112">
        <v>18</v>
      </c>
      <c r="AN55" s="112">
        <f t="shared" si="18"/>
        <v>3096</v>
      </c>
      <c r="AO55" s="112"/>
      <c r="AP55" s="112"/>
      <c r="AQ55" s="112">
        <f t="shared" si="19"/>
        <v>0</v>
      </c>
      <c r="AR55" s="112">
        <f t="shared" si="20"/>
        <v>3096</v>
      </c>
      <c r="AS55" s="112"/>
      <c r="AT55" s="110" t="s">
        <v>143</v>
      </c>
      <c r="AU55" s="111">
        <v>46141</v>
      </c>
      <c r="AV55" s="112">
        <f t="shared" si="21"/>
        <v>18</v>
      </c>
      <c r="AW55" s="112">
        <f t="shared" si="22"/>
        <v>3096</v>
      </c>
      <c r="AX55" s="112"/>
      <c r="AY55" s="114" t="s">
        <v>144</v>
      </c>
      <c r="AZ55" s="119"/>
      <c r="BA55" s="112">
        <f t="shared" si="23"/>
        <v>18</v>
      </c>
      <c r="BB55" s="112">
        <f t="shared" si="24"/>
        <v>172</v>
      </c>
      <c r="BC55" s="112">
        <f t="shared" si="25"/>
        <v>3096</v>
      </c>
      <c r="BD55" s="112"/>
      <c r="BE55" s="112" t="s">
        <v>258</v>
      </c>
      <c r="BF55" s="113" t="s">
        <v>256</v>
      </c>
      <c r="BG55" s="120" t="s">
        <v>93</v>
      </c>
      <c r="BH55" s="120" t="s">
        <v>145</v>
      </c>
    </row>
    <row r="56" spans="1:60" s="120" customFormat="1" ht="15" customHeight="1">
      <c r="A56" s="112">
        <f t="shared" si="9"/>
        <v>54</v>
      </c>
      <c r="B56" s="113" t="s">
        <v>259</v>
      </c>
      <c r="C56" s="114" t="s">
        <v>260</v>
      </c>
      <c r="D56" s="122"/>
      <c r="E56" s="114" t="s">
        <v>261</v>
      </c>
      <c r="F56" s="112"/>
      <c r="G56" s="115" t="s">
        <v>81</v>
      </c>
      <c r="H56" s="112" t="s">
        <v>82</v>
      </c>
      <c r="I56" s="114" t="s">
        <v>83</v>
      </c>
      <c r="J56" s="114" t="s">
        <v>84</v>
      </c>
      <c r="K56" s="114" t="s">
        <v>83</v>
      </c>
      <c r="L56" s="113" t="s">
        <v>140</v>
      </c>
      <c r="M56" s="113" t="s">
        <v>140</v>
      </c>
      <c r="N56" s="116">
        <v>46112</v>
      </c>
      <c r="O56" s="114">
        <v>160</v>
      </c>
      <c r="P56" s="116">
        <v>46113</v>
      </c>
      <c r="Q56" s="116">
        <v>46125</v>
      </c>
      <c r="R56" s="116">
        <v>46113</v>
      </c>
      <c r="S56" s="112"/>
      <c r="T56" s="112"/>
      <c r="U56" s="112" t="s">
        <v>85</v>
      </c>
      <c r="V56" s="114" t="s">
        <v>99</v>
      </c>
      <c r="W56" s="114">
        <v>160</v>
      </c>
      <c r="X56" s="114">
        <v>154</v>
      </c>
      <c r="Y56" s="112"/>
      <c r="Z56" s="112" t="s">
        <v>87</v>
      </c>
      <c r="AA56" s="112"/>
      <c r="AB56" s="117"/>
      <c r="AC56" s="118">
        <v>25.5</v>
      </c>
      <c r="AD56" s="112"/>
      <c r="AE56" s="114">
        <v>160</v>
      </c>
      <c r="AF56" s="112" t="s">
        <v>88</v>
      </c>
      <c r="AG56" s="114" t="s">
        <v>99</v>
      </c>
      <c r="AH56" s="118">
        <v>12.5</v>
      </c>
      <c r="AI56" s="112">
        <f t="shared" si="0"/>
        <v>2000</v>
      </c>
      <c r="AJ56" s="112"/>
      <c r="AK56" s="115" t="s">
        <v>89</v>
      </c>
      <c r="AL56" s="114">
        <v>154</v>
      </c>
      <c r="AM56" s="112">
        <v>18</v>
      </c>
      <c r="AN56" s="112">
        <f t="shared" si="18"/>
        <v>2772</v>
      </c>
      <c r="AO56" s="112"/>
      <c r="AP56" s="112"/>
      <c r="AQ56" s="112">
        <f t="shared" si="19"/>
        <v>0</v>
      </c>
      <c r="AR56" s="112">
        <f t="shared" si="20"/>
        <v>2772</v>
      </c>
      <c r="AS56" s="112"/>
      <c r="AT56" s="110" t="s">
        <v>143</v>
      </c>
      <c r="AU56" s="111">
        <v>46141</v>
      </c>
      <c r="AV56" s="112">
        <f t="shared" si="21"/>
        <v>18</v>
      </c>
      <c r="AW56" s="112">
        <f t="shared" si="22"/>
        <v>2772</v>
      </c>
      <c r="AX56" s="112"/>
      <c r="AY56" s="114" t="s">
        <v>144</v>
      </c>
      <c r="AZ56" s="119"/>
      <c r="BA56" s="112">
        <f t="shared" si="23"/>
        <v>18</v>
      </c>
      <c r="BB56" s="112">
        <f t="shared" si="24"/>
        <v>154</v>
      </c>
      <c r="BC56" s="112">
        <f t="shared" si="25"/>
        <v>2772</v>
      </c>
      <c r="BD56" s="112"/>
      <c r="BE56" s="112" t="s">
        <v>262</v>
      </c>
      <c r="BF56" s="113" t="s">
        <v>259</v>
      </c>
      <c r="BG56" s="120" t="s">
        <v>93</v>
      </c>
      <c r="BH56" s="120" t="s">
        <v>145</v>
      </c>
    </row>
    <row r="57" spans="1:60" s="120" customFormat="1" ht="15" customHeight="1">
      <c r="A57" s="112">
        <f t="shared" si="9"/>
        <v>55</v>
      </c>
      <c r="B57" s="113" t="s">
        <v>263</v>
      </c>
      <c r="C57" s="114" t="s">
        <v>264</v>
      </c>
      <c r="D57" s="122"/>
      <c r="E57" s="114" t="s">
        <v>265</v>
      </c>
      <c r="F57" s="112"/>
      <c r="G57" s="115" t="s">
        <v>81</v>
      </c>
      <c r="H57" s="112" t="s">
        <v>82</v>
      </c>
      <c r="I57" s="114" t="s">
        <v>83</v>
      </c>
      <c r="J57" s="114" t="s">
        <v>84</v>
      </c>
      <c r="K57" s="114" t="s">
        <v>83</v>
      </c>
      <c r="L57" s="113" t="s">
        <v>140</v>
      </c>
      <c r="M57" s="113" t="s">
        <v>140</v>
      </c>
      <c r="N57" s="116">
        <v>46112</v>
      </c>
      <c r="O57" s="114">
        <v>162</v>
      </c>
      <c r="P57" s="116">
        <v>46113</v>
      </c>
      <c r="Q57" s="116">
        <v>46125</v>
      </c>
      <c r="R57" s="116">
        <v>46113</v>
      </c>
      <c r="S57" s="112"/>
      <c r="T57" s="112"/>
      <c r="U57" s="112" t="s">
        <v>85</v>
      </c>
      <c r="V57" s="114" t="s">
        <v>99</v>
      </c>
      <c r="W57" s="114">
        <v>162</v>
      </c>
      <c r="X57" s="114">
        <v>156</v>
      </c>
      <c r="Y57" s="112"/>
      <c r="Z57" s="112" t="s">
        <v>87</v>
      </c>
      <c r="AA57" s="112"/>
      <c r="AB57" s="117"/>
      <c r="AC57" s="118">
        <v>25.5</v>
      </c>
      <c r="AD57" s="112"/>
      <c r="AE57" s="114">
        <v>162</v>
      </c>
      <c r="AF57" s="112" t="s">
        <v>88</v>
      </c>
      <c r="AG57" s="114" t="s">
        <v>99</v>
      </c>
      <c r="AH57" s="118">
        <v>12.5</v>
      </c>
      <c r="AI57" s="112">
        <f t="shared" si="0"/>
        <v>2025</v>
      </c>
      <c r="AJ57" s="112"/>
      <c r="AK57" s="115" t="s">
        <v>89</v>
      </c>
      <c r="AL57" s="114">
        <v>156</v>
      </c>
      <c r="AM57" s="112">
        <v>18</v>
      </c>
      <c r="AN57" s="112">
        <f t="shared" si="18"/>
        <v>2808</v>
      </c>
      <c r="AO57" s="112"/>
      <c r="AP57" s="112"/>
      <c r="AQ57" s="112">
        <f t="shared" si="19"/>
        <v>0</v>
      </c>
      <c r="AR57" s="112">
        <f t="shared" si="20"/>
        <v>2808</v>
      </c>
      <c r="AS57" s="112"/>
      <c r="AT57" s="110" t="s">
        <v>143</v>
      </c>
      <c r="AU57" s="111">
        <v>46141</v>
      </c>
      <c r="AV57" s="112">
        <f t="shared" si="21"/>
        <v>18</v>
      </c>
      <c r="AW57" s="112">
        <f t="shared" si="22"/>
        <v>2808</v>
      </c>
      <c r="AX57" s="112"/>
      <c r="AY57" s="114" t="s">
        <v>144</v>
      </c>
      <c r="AZ57" s="119"/>
      <c r="BA57" s="112">
        <f t="shared" si="23"/>
        <v>18</v>
      </c>
      <c r="BB57" s="112">
        <f t="shared" si="24"/>
        <v>156</v>
      </c>
      <c r="BC57" s="112">
        <f t="shared" si="25"/>
        <v>2808</v>
      </c>
      <c r="BD57" s="112"/>
      <c r="BE57" s="112" t="s">
        <v>266</v>
      </c>
      <c r="BF57" s="113" t="s">
        <v>263</v>
      </c>
      <c r="BG57" s="120" t="s">
        <v>93</v>
      </c>
      <c r="BH57" s="120" t="s">
        <v>145</v>
      </c>
    </row>
    <row r="58" spans="1:60" s="120" customFormat="1" ht="15" customHeight="1">
      <c r="A58" s="112">
        <f t="shared" si="9"/>
        <v>56</v>
      </c>
      <c r="B58" s="113" t="s">
        <v>267</v>
      </c>
      <c r="C58" s="114" t="s">
        <v>268</v>
      </c>
      <c r="D58" s="122"/>
      <c r="E58" s="114" t="s">
        <v>269</v>
      </c>
      <c r="F58" s="112"/>
      <c r="G58" s="115" t="s">
        <v>81</v>
      </c>
      <c r="H58" s="112" t="s">
        <v>82</v>
      </c>
      <c r="I58" s="114" t="s">
        <v>83</v>
      </c>
      <c r="J58" s="114" t="s">
        <v>84</v>
      </c>
      <c r="K58" s="114" t="s">
        <v>83</v>
      </c>
      <c r="L58" s="113" t="s">
        <v>140</v>
      </c>
      <c r="M58" s="113" t="s">
        <v>140</v>
      </c>
      <c r="N58" s="116">
        <v>46112</v>
      </c>
      <c r="O58" s="114">
        <v>86</v>
      </c>
      <c r="P58" s="116">
        <v>46113</v>
      </c>
      <c r="Q58" s="116">
        <v>46125</v>
      </c>
      <c r="R58" s="116">
        <v>46113</v>
      </c>
      <c r="S58" s="112"/>
      <c r="T58" s="112"/>
      <c r="U58" s="112" t="s">
        <v>85</v>
      </c>
      <c r="V58" s="114" t="s">
        <v>99</v>
      </c>
      <c r="W58" s="114">
        <v>86</v>
      </c>
      <c r="X58" s="114">
        <v>82</v>
      </c>
      <c r="Y58" s="112"/>
      <c r="Z58" s="112" t="s">
        <v>87</v>
      </c>
      <c r="AA58" s="112"/>
      <c r="AB58" s="117"/>
      <c r="AC58" s="118">
        <v>25.5</v>
      </c>
      <c r="AD58" s="112"/>
      <c r="AE58" s="114">
        <v>86</v>
      </c>
      <c r="AF58" s="112" t="s">
        <v>88</v>
      </c>
      <c r="AG58" s="114" t="s">
        <v>99</v>
      </c>
      <c r="AH58" s="118">
        <v>12.5</v>
      </c>
      <c r="AI58" s="112">
        <f t="shared" si="0"/>
        <v>1075</v>
      </c>
      <c r="AJ58" s="112"/>
      <c r="AK58" s="115" t="s">
        <v>89</v>
      </c>
      <c r="AL58" s="114">
        <v>82</v>
      </c>
      <c r="AM58" s="112">
        <v>18</v>
      </c>
      <c r="AN58" s="112">
        <f t="shared" si="18"/>
        <v>1476</v>
      </c>
      <c r="AO58" s="112"/>
      <c r="AP58" s="112"/>
      <c r="AQ58" s="112">
        <f t="shared" si="19"/>
        <v>0</v>
      </c>
      <c r="AR58" s="112">
        <f t="shared" si="20"/>
        <v>1476</v>
      </c>
      <c r="AS58" s="112"/>
      <c r="AT58" s="110" t="s">
        <v>143</v>
      </c>
      <c r="AU58" s="111">
        <v>46141</v>
      </c>
      <c r="AV58" s="112">
        <f t="shared" si="21"/>
        <v>18</v>
      </c>
      <c r="AW58" s="112">
        <f t="shared" si="22"/>
        <v>1476</v>
      </c>
      <c r="AX58" s="112"/>
      <c r="AY58" s="114" t="s">
        <v>144</v>
      </c>
      <c r="AZ58" s="119"/>
      <c r="BA58" s="112">
        <f t="shared" si="23"/>
        <v>18</v>
      </c>
      <c r="BB58" s="112">
        <f t="shared" si="24"/>
        <v>82</v>
      </c>
      <c r="BC58" s="112">
        <f t="shared" si="25"/>
        <v>1476</v>
      </c>
      <c r="BD58" s="112"/>
      <c r="BE58" s="112" t="s">
        <v>270</v>
      </c>
      <c r="BF58" s="113" t="s">
        <v>267</v>
      </c>
      <c r="BG58" s="120" t="s">
        <v>93</v>
      </c>
      <c r="BH58" s="120" t="s">
        <v>145</v>
      </c>
    </row>
    <row r="59" spans="1:60" s="120" customFormat="1" ht="15" customHeight="1">
      <c r="A59" s="112">
        <f t="shared" si="9"/>
        <v>57</v>
      </c>
      <c r="B59" s="113" t="s">
        <v>271</v>
      </c>
      <c r="C59" s="114" t="s">
        <v>272</v>
      </c>
      <c r="D59" s="122"/>
      <c r="E59" s="114" t="s">
        <v>273</v>
      </c>
      <c r="F59" s="112"/>
      <c r="G59" s="115" t="s">
        <v>81</v>
      </c>
      <c r="H59" s="112" t="s">
        <v>82</v>
      </c>
      <c r="I59" s="114" t="s">
        <v>83</v>
      </c>
      <c r="J59" s="114" t="s">
        <v>84</v>
      </c>
      <c r="K59" s="114" t="s">
        <v>83</v>
      </c>
      <c r="L59" s="113" t="s">
        <v>140</v>
      </c>
      <c r="M59" s="113" t="s">
        <v>140</v>
      </c>
      <c r="N59" s="116">
        <v>46112</v>
      </c>
      <c r="O59" s="114">
        <v>146</v>
      </c>
      <c r="P59" s="116">
        <v>46113</v>
      </c>
      <c r="Q59" s="116">
        <v>46125</v>
      </c>
      <c r="R59" s="116">
        <v>46113</v>
      </c>
      <c r="S59" s="112"/>
      <c r="T59" s="112"/>
      <c r="U59" s="112" t="s">
        <v>85</v>
      </c>
      <c r="V59" s="114" t="s">
        <v>99</v>
      </c>
      <c r="W59" s="114">
        <v>146</v>
      </c>
      <c r="X59" s="114">
        <v>142</v>
      </c>
      <c r="Y59" s="112"/>
      <c r="Z59" s="112" t="s">
        <v>87</v>
      </c>
      <c r="AA59" s="112"/>
      <c r="AB59" s="117"/>
      <c r="AC59" s="118">
        <v>25.5</v>
      </c>
      <c r="AD59" s="112"/>
      <c r="AE59" s="114">
        <v>146</v>
      </c>
      <c r="AF59" s="112" t="s">
        <v>88</v>
      </c>
      <c r="AG59" s="114" t="s">
        <v>99</v>
      </c>
      <c r="AH59" s="118">
        <v>12.5</v>
      </c>
      <c r="AI59" s="112">
        <f t="shared" si="0"/>
        <v>1825</v>
      </c>
      <c r="AJ59" s="112"/>
      <c r="AK59" s="115" t="s">
        <v>89</v>
      </c>
      <c r="AL59" s="114">
        <v>142</v>
      </c>
      <c r="AM59" s="112">
        <v>18</v>
      </c>
      <c r="AN59" s="112">
        <f t="shared" si="18"/>
        <v>2556</v>
      </c>
      <c r="AO59" s="112"/>
      <c r="AP59" s="112"/>
      <c r="AQ59" s="112">
        <f t="shared" si="19"/>
        <v>0</v>
      </c>
      <c r="AR59" s="112">
        <f t="shared" si="20"/>
        <v>2556</v>
      </c>
      <c r="AS59" s="112"/>
      <c r="AT59" s="110" t="s">
        <v>143</v>
      </c>
      <c r="AU59" s="111">
        <v>46141</v>
      </c>
      <c r="AV59" s="112">
        <f t="shared" si="21"/>
        <v>18</v>
      </c>
      <c r="AW59" s="112">
        <f t="shared" si="22"/>
        <v>2556</v>
      </c>
      <c r="AX59" s="112"/>
      <c r="AY59" s="114" t="s">
        <v>144</v>
      </c>
      <c r="AZ59" s="119"/>
      <c r="BA59" s="112">
        <f t="shared" si="23"/>
        <v>18</v>
      </c>
      <c r="BB59" s="112">
        <f t="shared" si="24"/>
        <v>142</v>
      </c>
      <c r="BC59" s="112">
        <f t="shared" si="25"/>
        <v>2556</v>
      </c>
      <c r="BD59" s="112"/>
      <c r="BE59" s="112" t="s">
        <v>274</v>
      </c>
      <c r="BF59" s="113" t="s">
        <v>271</v>
      </c>
      <c r="BG59" s="120" t="s">
        <v>93</v>
      </c>
      <c r="BH59" s="120" t="s">
        <v>145</v>
      </c>
    </row>
    <row r="60" spans="1:60" s="120" customFormat="1" ht="15" customHeight="1">
      <c r="A60" s="112">
        <f t="shared" si="9"/>
        <v>58</v>
      </c>
      <c r="B60" s="113" t="s">
        <v>275</v>
      </c>
      <c r="C60" s="114" t="s">
        <v>276</v>
      </c>
      <c r="D60" s="122"/>
      <c r="E60" s="114" t="s">
        <v>277</v>
      </c>
      <c r="F60" s="112"/>
      <c r="G60" s="115" t="s">
        <v>81</v>
      </c>
      <c r="H60" s="112" t="s">
        <v>82</v>
      </c>
      <c r="I60" s="114" t="s">
        <v>83</v>
      </c>
      <c r="J60" s="114" t="s">
        <v>84</v>
      </c>
      <c r="K60" s="114" t="s">
        <v>83</v>
      </c>
      <c r="L60" s="113" t="s">
        <v>140</v>
      </c>
      <c r="M60" s="113" t="s">
        <v>140</v>
      </c>
      <c r="N60" s="116">
        <v>46112</v>
      </c>
      <c r="O60" s="114">
        <v>100</v>
      </c>
      <c r="P60" s="116">
        <v>46113</v>
      </c>
      <c r="Q60" s="116">
        <v>46125</v>
      </c>
      <c r="R60" s="116">
        <v>46113</v>
      </c>
      <c r="S60" s="112"/>
      <c r="T60" s="112"/>
      <c r="U60" s="112" t="s">
        <v>85</v>
      </c>
      <c r="V60" s="114" t="s">
        <v>99</v>
      </c>
      <c r="W60" s="114">
        <v>100</v>
      </c>
      <c r="X60" s="114">
        <v>96</v>
      </c>
      <c r="Y60" s="112"/>
      <c r="Z60" s="112" t="s">
        <v>87</v>
      </c>
      <c r="AA60" s="112"/>
      <c r="AB60" s="117"/>
      <c r="AC60" s="118">
        <v>25.5</v>
      </c>
      <c r="AD60" s="112"/>
      <c r="AE60" s="114">
        <v>100</v>
      </c>
      <c r="AF60" s="112" t="s">
        <v>88</v>
      </c>
      <c r="AG60" s="114" t="s">
        <v>99</v>
      </c>
      <c r="AH60" s="118">
        <v>12.5</v>
      </c>
      <c r="AI60" s="112">
        <f t="shared" si="0"/>
        <v>1250</v>
      </c>
      <c r="AJ60" s="112"/>
      <c r="AK60" s="115" t="s">
        <v>89</v>
      </c>
      <c r="AL60" s="114">
        <v>96</v>
      </c>
      <c r="AM60" s="112">
        <v>18</v>
      </c>
      <c r="AN60" s="112">
        <f t="shared" si="18"/>
        <v>1728</v>
      </c>
      <c r="AO60" s="112"/>
      <c r="AP60" s="112"/>
      <c r="AQ60" s="112">
        <f t="shared" si="19"/>
        <v>0</v>
      </c>
      <c r="AR60" s="112">
        <f t="shared" si="20"/>
        <v>1728</v>
      </c>
      <c r="AS60" s="112"/>
      <c r="AT60" s="110" t="s">
        <v>143</v>
      </c>
      <c r="AU60" s="111">
        <v>46141</v>
      </c>
      <c r="AV60" s="112">
        <f t="shared" si="21"/>
        <v>18</v>
      </c>
      <c r="AW60" s="112">
        <f t="shared" si="22"/>
        <v>1728</v>
      </c>
      <c r="AX60" s="112"/>
      <c r="AY60" s="114" t="s">
        <v>144</v>
      </c>
      <c r="AZ60" s="119"/>
      <c r="BA60" s="112">
        <f t="shared" si="23"/>
        <v>18</v>
      </c>
      <c r="BB60" s="112">
        <f t="shared" si="24"/>
        <v>96</v>
      </c>
      <c r="BC60" s="112">
        <f t="shared" si="25"/>
        <v>1728</v>
      </c>
      <c r="BD60" s="112"/>
      <c r="BE60" s="112" t="s">
        <v>278</v>
      </c>
      <c r="BF60" s="113" t="s">
        <v>275</v>
      </c>
      <c r="BG60" s="120" t="s">
        <v>93</v>
      </c>
      <c r="BH60" s="120" t="s">
        <v>145</v>
      </c>
    </row>
    <row r="61" spans="1:60" s="120" customFormat="1" ht="15" customHeight="1">
      <c r="A61" s="112">
        <f t="shared" si="9"/>
        <v>59</v>
      </c>
      <c r="B61" s="113" t="s">
        <v>279</v>
      </c>
      <c r="C61" s="114" t="s">
        <v>276</v>
      </c>
      <c r="D61" s="122"/>
      <c r="E61" s="114" t="s">
        <v>280</v>
      </c>
      <c r="F61" s="112"/>
      <c r="G61" s="115" t="s">
        <v>81</v>
      </c>
      <c r="H61" s="112" t="s">
        <v>82</v>
      </c>
      <c r="I61" s="114" t="s">
        <v>83</v>
      </c>
      <c r="J61" s="114" t="s">
        <v>84</v>
      </c>
      <c r="K61" s="114" t="s">
        <v>83</v>
      </c>
      <c r="L61" s="113" t="s">
        <v>140</v>
      </c>
      <c r="M61" s="113" t="s">
        <v>140</v>
      </c>
      <c r="N61" s="116">
        <v>46112</v>
      </c>
      <c r="O61" s="114">
        <v>116</v>
      </c>
      <c r="P61" s="116">
        <v>46113</v>
      </c>
      <c r="Q61" s="116">
        <v>46125</v>
      </c>
      <c r="R61" s="116">
        <v>46113</v>
      </c>
      <c r="S61" s="112"/>
      <c r="T61" s="112"/>
      <c r="U61" s="112" t="s">
        <v>85</v>
      </c>
      <c r="V61" s="114" t="s">
        <v>86</v>
      </c>
      <c r="W61" s="114">
        <v>116</v>
      </c>
      <c r="X61" s="114">
        <v>116</v>
      </c>
      <c r="Y61" s="112"/>
      <c r="Z61" s="112" t="s">
        <v>87</v>
      </c>
      <c r="AA61" s="112"/>
      <c r="AB61" s="117"/>
      <c r="AC61" s="118">
        <v>30.5</v>
      </c>
      <c r="AD61" s="112"/>
      <c r="AE61" s="114">
        <v>116</v>
      </c>
      <c r="AF61" s="112" t="s">
        <v>88</v>
      </c>
      <c r="AG61" s="114" t="s">
        <v>86</v>
      </c>
      <c r="AH61" s="118">
        <v>24.5</v>
      </c>
      <c r="AI61" s="112">
        <f t="shared" si="0"/>
        <v>2842</v>
      </c>
      <c r="AJ61" s="112"/>
      <c r="AK61" s="115" t="s">
        <v>89</v>
      </c>
      <c r="AL61" s="114">
        <v>116</v>
      </c>
      <c r="AM61" s="112">
        <v>18</v>
      </c>
      <c r="AN61" s="112">
        <f t="shared" si="18"/>
        <v>2088</v>
      </c>
      <c r="AO61" s="112"/>
      <c r="AP61" s="112"/>
      <c r="AQ61" s="112">
        <f t="shared" si="19"/>
        <v>0</v>
      </c>
      <c r="AR61" s="112">
        <f t="shared" si="20"/>
        <v>2088</v>
      </c>
      <c r="AS61" s="112"/>
      <c r="AT61" s="110" t="s">
        <v>143</v>
      </c>
      <c r="AU61" s="111">
        <v>46141</v>
      </c>
      <c r="AV61" s="112">
        <f t="shared" si="21"/>
        <v>18</v>
      </c>
      <c r="AW61" s="112">
        <f t="shared" si="22"/>
        <v>2088</v>
      </c>
      <c r="AX61" s="112"/>
      <c r="AY61" s="114" t="s">
        <v>144</v>
      </c>
      <c r="AZ61" s="119"/>
      <c r="BA61" s="112">
        <f t="shared" si="23"/>
        <v>18</v>
      </c>
      <c r="BB61" s="112">
        <f t="shared" si="24"/>
        <v>116</v>
      </c>
      <c r="BC61" s="112">
        <f t="shared" si="25"/>
        <v>2088</v>
      </c>
      <c r="BD61" s="112"/>
      <c r="BE61" s="112" t="s">
        <v>281</v>
      </c>
      <c r="BF61" s="113" t="s">
        <v>279</v>
      </c>
      <c r="BG61" s="120" t="s">
        <v>93</v>
      </c>
      <c r="BH61" s="120" t="s">
        <v>145</v>
      </c>
    </row>
    <row r="62" spans="1:60" s="120" customFormat="1" ht="15" customHeight="1">
      <c r="A62" s="112">
        <f t="shared" si="9"/>
        <v>60</v>
      </c>
      <c r="B62" s="113" t="s">
        <v>282</v>
      </c>
      <c r="C62" s="114" t="s">
        <v>283</v>
      </c>
      <c r="D62" s="122"/>
      <c r="E62" s="114" t="s">
        <v>284</v>
      </c>
      <c r="F62" s="112"/>
      <c r="G62" s="115" t="s">
        <v>81</v>
      </c>
      <c r="H62" s="112" t="s">
        <v>82</v>
      </c>
      <c r="I62" s="114" t="s">
        <v>83</v>
      </c>
      <c r="J62" s="114" t="s">
        <v>84</v>
      </c>
      <c r="K62" s="114" t="s">
        <v>83</v>
      </c>
      <c r="L62" s="113" t="s">
        <v>140</v>
      </c>
      <c r="M62" s="113" t="s">
        <v>140</v>
      </c>
      <c r="N62" s="116">
        <v>46112</v>
      </c>
      <c r="O62" s="114">
        <v>148</v>
      </c>
      <c r="P62" s="116">
        <v>46113</v>
      </c>
      <c r="Q62" s="116">
        <v>46125</v>
      </c>
      <c r="R62" s="116">
        <v>46113</v>
      </c>
      <c r="S62" s="112"/>
      <c r="T62" s="112"/>
      <c r="U62" s="112" t="s">
        <v>85</v>
      </c>
      <c r="V62" s="114" t="s">
        <v>99</v>
      </c>
      <c r="W62" s="114">
        <v>148</v>
      </c>
      <c r="X62" s="114">
        <v>144</v>
      </c>
      <c r="Y62" s="112"/>
      <c r="Z62" s="112" t="s">
        <v>87</v>
      </c>
      <c r="AA62" s="112"/>
      <c r="AB62" s="117"/>
      <c r="AC62" s="118">
        <v>25.5</v>
      </c>
      <c r="AD62" s="112"/>
      <c r="AE62" s="114">
        <v>148</v>
      </c>
      <c r="AF62" s="112" t="s">
        <v>88</v>
      </c>
      <c r="AG62" s="114" t="s">
        <v>99</v>
      </c>
      <c r="AH62" s="118">
        <v>12.5</v>
      </c>
      <c r="AI62" s="112">
        <f t="shared" si="0"/>
        <v>1850</v>
      </c>
      <c r="AJ62" s="112"/>
      <c r="AK62" s="115" t="s">
        <v>89</v>
      </c>
      <c r="AL62" s="114">
        <v>144</v>
      </c>
      <c r="AM62" s="112">
        <v>18</v>
      </c>
      <c r="AN62" s="112">
        <f t="shared" si="18"/>
        <v>2592</v>
      </c>
      <c r="AO62" s="112"/>
      <c r="AP62" s="112"/>
      <c r="AQ62" s="112">
        <f t="shared" si="19"/>
        <v>0</v>
      </c>
      <c r="AR62" s="112">
        <f t="shared" si="20"/>
        <v>2592</v>
      </c>
      <c r="AS62" s="112"/>
      <c r="AT62" s="110" t="s">
        <v>143</v>
      </c>
      <c r="AU62" s="111">
        <v>46141</v>
      </c>
      <c r="AV62" s="112">
        <f t="shared" si="21"/>
        <v>18</v>
      </c>
      <c r="AW62" s="112">
        <f t="shared" si="22"/>
        <v>2592</v>
      </c>
      <c r="AX62" s="112"/>
      <c r="AY62" s="114" t="s">
        <v>144</v>
      </c>
      <c r="AZ62" s="119"/>
      <c r="BA62" s="112">
        <f t="shared" si="23"/>
        <v>18</v>
      </c>
      <c r="BB62" s="112">
        <f t="shared" si="24"/>
        <v>144</v>
      </c>
      <c r="BC62" s="112">
        <f t="shared" si="25"/>
        <v>2592</v>
      </c>
      <c r="BD62" s="112"/>
      <c r="BE62" s="112" t="s">
        <v>285</v>
      </c>
      <c r="BF62" s="113" t="s">
        <v>282</v>
      </c>
      <c r="BG62" s="120" t="s">
        <v>93</v>
      </c>
      <c r="BH62" s="120" t="s">
        <v>145</v>
      </c>
    </row>
    <row r="63" spans="1:60" s="120" customFormat="1" ht="15" customHeight="1">
      <c r="A63" s="112">
        <f t="shared" si="9"/>
        <v>61</v>
      </c>
      <c r="B63" s="113" t="s">
        <v>286</v>
      </c>
      <c r="C63" s="114" t="s">
        <v>280</v>
      </c>
      <c r="D63" s="122"/>
      <c r="E63" s="114" t="s">
        <v>287</v>
      </c>
      <c r="F63" s="112"/>
      <c r="G63" s="115" t="s">
        <v>81</v>
      </c>
      <c r="H63" s="112" t="s">
        <v>82</v>
      </c>
      <c r="I63" s="114" t="s">
        <v>83</v>
      </c>
      <c r="J63" s="114" t="s">
        <v>84</v>
      </c>
      <c r="K63" s="114" t="s">
        <v>83</v>
      </c>
      <c r="L63" s="113" t="s">
        <v>140</v>
      </c>
      <c r="M63" s="113" t="s">
        <v>140</v>
      </c>
      <c r="N63" s="116">
        <v>46112</v>
      </c>
      <c r="O63" s="114">
        <v>76</v>
      </c>
      <c r="P63" s="116">
        <v>46113</v>
      </c>
      <c r="Q63" s="116">
        <v>46125</v>
      </c>
      <c r="R63" s="116">
        <v>46113</v>
      </c>
      <c r="S63" s="112"/>
      <c r="T63" s="112"/>
      <c r="U63" s="112" t="s">
        <v>85</v>
      </c>
      <c r="V63" s="114" t="s">
        <v>99</v>
      </c>
      <c r="W63" s="114">
        <v>76</v>
      </c>
      <c r="X63" s="114">
        <v>72</v>
      </c>
      <c r="Y63" s="112"/>
      <c r="Z63" s="112" t="s">
        <v>87</v>
      </c>
      <c r="AA63" s="112"/>
      <c r="AB63" s="117"/>
      <c r="AC63" s="118">
        <v>25.5</v>
      </c>
      <c r="AD63" s="112"/>
      <c r="AE63" s="114">
        <v>76</v>
      </c>
      <c r="AF63" s="112" t="s">
        <v>88</v>
      </c>
      <c r="AG63" s="114" t="s">
        <v>99</v>
      </c>
      <c r="AH63" s="118">
        <v>12.5</v>
      </c>
      <c r="AI63" s="112">
        <f t="shared" si="0"/>
        <v>950</v>
      </c>
      <c r="AJ63" s="112"/>
      <c r="AK63" s="115" t="s">
        <v>89</v>
      </c>
      <c r="AL63" s="114">
        <v>72</v>
      </c>
      <c r="AM63" s="112">
        <v>18</v>
      </c>
      <c r="AN63" s="112">
        <f t="shared" si="18"/>
        <v>1296</v>
      </c>
      <c r="AO63" s="112"/>
      <c r="AP63" s="112"/>
      <c r="AQ63" s="112">
        <f t="shared" si="19"/>
        <v>0</v>
      </c>
      <c r="AR63" s="112">
        <f t="shared" si="20"/>
        <v>1296</v>
      </c>
      <c r="AS63" s="112"/>
      <c r="AT63" s="110" t="s">
        <v>143</v>
      </c>
      <c r="AU63" s="111">
        <v>46141</v>
      </c>
      <c r="AV63" s="112">
        <f t="shared" si="21"/>
        <v>18</v>
      </c>
      <c r="AW63" s="112">
        <f t="shared" si="22"/>
        <v>1296</v>
      </c>
      <c r="AX63" s="112"/>
      <c r="AY63" s="114" t="s">
        <v>144</v>
      </c>
      <c r="AZ63" s="119"/>
      <c r="BA63" s="112">
        <f t="shared" si="23"/>
        <v>18</v>
      </c>
      <c r="BB63" s="112">
        <f t="shared" si="24"/>
        <v>72</v>
      </c>
      <c r="BC63" s="112">
        <f t="shared" si="25"/>
        <v>1296</v>
      </c>
      <c r="BD63" s="112"/>
      <c r="BE63" s="112" t="s">
        <v>288</v>
      </c>
      <c r="BF63" s="113" t="s">
        <v>286</v>
      </c>
      <c r="BG63" s="120" t="s">
        <v>93</v>
      </c>
      <c r="BH63" s="120" t="s">
        <v>145</v>
      </c>
    </row>
    <row r="64" spans="1:60" s="120" customFormat="1" ht="15" customHeight="1">
      <c r="A64" s="112">
        <f t="shared" si="9"/>
        <v>62</v>
      </c>
      <c r="B64" s="113" t="s">
        <v>289</v>
      </c>
      <c r="C64" s="114" t="s">
        <v>290</v>
      </c>
      <c r="D64" s="122"/>
      <c r="E64" s="114" t="s">
        <v>291</v>
      </c>
      <c r="F64" s="112"/>
      <c r="G64" s="115" t="s">
        <v>81</v>
      </c>
      <c r="H64" s="112" t="s">
        <v>82</v>
      </c>
      <c r="I64" s="114" t="s">
        <v>83</v>
      </c>
      <c r="J64" s="114" t="s">
        <v>84</v>
      </c>
      <c r="K64" s="114" t="s">
        <v>83</v>
      </c>
      <c r="L64" s="113" t="s">
        <v>140</v>
      </c>
      <c r="M64" s="113" t="s">
        <v>140</v>
      </c>
      <c r="N64" s="116">
        <v>46112</v>
      </c>
      <c r="O64" s="114">
        <v>49</v>
      </c>
      <c r="P64" s="116">
        <v>46113</v>
      </c>
      <c r="Q64" s="116">
        <v>46125</v>
      </c>
      <c r="R64" s="116">
        <v>46113</v>
      </c>
      <c r="S64" s="112"/>
      <c r="T64" s="112"/>
      <c r="U64" s="112" t="s">
        <v>85</v>
      </c>
      <c r="V64" s="114" t="s">
        <v>99</v>
      </c>
      <c r="W64" s="114">
        <v>49</v>
      </c>
      <c r="X64" s="114">
        <v>47</v>
      </c>
      <c r="Y64" s="112"/>
      <c r="Z64" s="112" t="s">
        <v>87</v>
      </c>
      <c r="AA64" s="112"/>
      <c r="AB64" s="117"/>
      <c r="AC64" s="118">
        <v>25.5</v>
      </c>
      <c r="AD64" s="112"/>
      <c r="AE64" s="114">
        <v>49</v>
      </c>
      <c r="AF64" s="112" t="s">
        <v>88</v>
      </c>
      <c r="AG64" s="114" t="s">
        <v>99</v>
      </c>
      <c r="AH64" s="118">
        <v>12.5</v>
      </c>
      <c r="AI64" s="112">
        <f t="shared" si="0"/>
        <v>612.5</v>
      </c>
      <c r="AJ64" s="112"/>
      <c r="AK64" s="115" t="s">
        <v>89</v>
      </c>
      <c r="AL64" s="114">
        <v>47</v>
      </c>
      <c r="AM64" s="112">
        <v>18</v>
      </c>
      <c r="AN64" s="112">
        <f t="shared" si="18"/>
        <v>846</v>
      </c>
      <c r="AO64" s="112"/>
      <c r="AP64" s="112"/>
      <c r="AQ64" s="112">
        <f t="shared" si="19"/>
        <v>0</v>
      </c>
      <c r="AR64" s="112">
        <f t="shared" si="20"/>
        <v>846</v>
      </c>
      <c r="AS64" s="112"/>
      <c r="AT64" s="110" t="s">
        <v>143</v>
      </c>
      <c r="AU64" s="111">
        <v>46141</v>
      </c>
      <c r="AV64" s="112">
        <f t="shared" si="21"/>
        <v>18</v>
      </c>
      <c r="AW64" s="112">
        <f t="shared" si="22"/>
        <v>846</v>
      </c>
      <c r="AX64" s="112"/>
      <c r="AY64" s="114" t="s">
        <v>144</v>
      </c>
      <c r="AZ64" s="119"/>
      <c r="BA64" s="112">
        <f t="shared" si="23"/>
        <v>18</v>
      </c>
      <c r="BB64" s="112">
        <f t="shared" si="24"/>
        <v>47</v>
      </c>
      <c r="BC64" s="112">
        <f t="shared" si="25"/>
        <v>846</v>
      </c>
      <c r="BD64" s="112"/>
      <c r="BE64" s="112" t="s">
        <v>292</v>
      </c>
      <c r="BF64" s="113" t="s">
        <v>289</v>
      </c>
      <c r="BG64" s="120" t="s">
        <v>93</v>
      </c>
      <c r="BH64" s="120" t="s">
        <v>145</v>
      </c>
    </row>
    <row r="65" spans="1:60" s="120" customFormat="1" ht="15" customHeight="1">
      <c r="A65" s="112">
        <f t="shared" si="9"/>
        <v>63</v>
      </c>
      <c r="B65" s="113" t="s">
        <v>293</v>
      </c>
      <c r="C65" s="114" t="s">
        <v>294</v>
      </c>
      <c r="D65" s="122"/>
      <c r="E65" s="114" t="s">
        <v>295</v>
      </c>
      <c r="F65" s="112"/>
      <c r="G65" s="115" t="s">
        <v>81</v>
      </c>
      <c r="H65" s="112" t="s">
        <v>82</v>
      </c>
      <c r="I65" s="114" t="s">
        <v>83</v>
      </c>
      <c r="J65" s="114" t="s">
        <v>84</v>
      </c>
      <c r="K65" s="114" t="s">
        <v>83</v>
      </c>
      <c r="L65" s="113" t="s">
        <v>140</v>
      </c>
      <c r="M65" s="113" t="s">
        <v>140</v>
      </c>
      <c r="N65" s="116">
        <v>46112</v>
      </c>
      <c r="O65" s="114">
        <v>10</v>
      </c>
      <c r="P65" s="116">
        <v>46113</v>
      </c>
      <c r="Q65" s="116">
        <v>46125</v>
      </c>
      <c r="R65" s="116">
        <v>46113</v>
      </c>
      <c r="S65" s="112"/>
      <c r="T65" s="112"/>
      <c r="U65" s="112" t="s">
        <v>85</v>
      </c>
      <c r="V65" s="114" t="s">
        <v>99</v>
      </c>
      <c r="W65" s="114">
        <v>10</v>
      </c>
      <c r="X65" s="114">
        <v>10</v>
      </c>
      <c r="Y65" s="112"/>
      <c r="Z65" s="112" t="s">
        <v>87</v>
      </c>
      <c r="AA65" s="112"/>
      <c r="AB65" s="117"/>
      <c r="AC65" s="118">
        <v>25.5</v>
      </c>
      <c r="AD65" s="112"/>
      <c r="AE65" s="114">
        <v>10</v>
      </c>
      <c r="AF65" s="112" t="s">
        <v>88</v>
      </c>
      <c r="AG65" s="114" t="s">
        <v>99</v>
      </c>
      <c r="AH65" s="118">
        <v>12.5</v>
      </c>
      <c r="AI65" s="112">
        <f t="shared" si="0"/>
        <v>125</v>
      </c>
      <c r="AJ65" s="112"/>
      <c r="AK65" s="115" t="s">
        <v>89</v>
      </c>
      <c r="AL65" s="114">
        <v>10</v>
      </c>
      <c r="AM65" s="112">
        <v>18</v>
      </c>
      <c r="AN65" s="112">
        <f t="shared" si="18"/>
        <v>180</v>
      </c>
      <c r="AO65" s="112"/>
      <c r="AP65" s="112"/>
      <c r="AQ65" s="112">
        <f t="shared" si="19"/>
        <v>0</v>
      </c>
      <c r="AR65" s="112">
        <f t="shared" si="20"/>
        <v>180</v>
      </c>
      <c r="AS65" s="112"/>
      <c r="AT65" s="110" t="s">
        <v>143</v>
      </c>
      <c r="AU65" s="111">
        <v>46141</v>
      </c>
      <c r="AV65" s="112">
        <f t="shared" si="21"/>
        <v>18</v>
      </c>
      <c r="AW65" s="112">
        <f t="shared" si="22"/>
        <v>180</v>
      </c>
      <c r="AX65" s="112"/>
      <c r="AY65" s="114" t="s">
        <v>144</v>
      </c>
      <c r="AZ65" s="119"/>
      <c r="BA65" s="112">
        <f t="shared" si="23"/>
        <v>18</v>
      </c>
      <c r="BB65" s="112">
        <f t="shared" si="24"/>
        <v>10</v>
      </c>
      <c r="BC65" s="112">
        <f t="shared" si="25"/>
        <v>180</v>
      </c>
      <c r="BD65" s="112"/>
      <c r="BE65" s="112" t="s">
        <v>296</v>
      </c>
      <c r="BF65" s="113" t="s">
        <v>293</v>
      </c>
      <c r="BG65" s="120" t="s">
        <v>93</v>
      </c>
      <c r="BH65" s="120" t="s">
        <v>145</v>
      </c>
    </row>
    <row r="66" spans="1:60" s="120" customFormat="1" ht="15" customHeight="1">
      <c r="A66" s="112">
        <f t="shared" si="9"/>
        <v>64</v>
      </c>
      <c r="B66" s="113" t="s">
        <v>297</v>
      </c>
      <c r="C66" s="114" t="s">
        <v>298</v>
      </c>
      <c r="D66" s="122"/>
      <c r="E66" s="114" t="s">
        <v>299</v>
      </c>
      <c r="F66" s="112"/>
      <c r="G66" s="115" t="s">
        <v>81</v>
      </c>
      <c r="H66" s="112" t="s">
        <v>82</v>
      </c>
      <c r="I66" s="114" t="s">
        <v>83</v>
      </c>
      <c r="J66" s="114" t="s">
        <v>84</v>
      </c>
      <c r="K66" s="114" t="s">
        <v>83</v>
      </c>
      <c r="L66" s="113" t="s">
        <v>140</v>
      </c>
      <c r="M66" s="113" t="s">
        <v>140</v>
      </c>
      <c r="N66" s="116">
        <v>46112</v>
      </c>
      <c r="O66" s="114">
        <v>42</v>
      </c>
      <c r="P66" s="116">
        <v>46113</v>
      </c>
      <c r="Q66" s="116">
        <v>46125</v>
      </c>
      <c r="R66" s="116">
        <v>46113</v>
      </c>
      <c r="S66" s="112"/>
      <c r="T66" s="112"/>
      <c r="U66" s="112" t="s">
        <v>85</v>
      </c>
      <c r="V66" s="114" t="s">
        <v>99</v>
      </c>
      <c r="W66" s="114">
        <v>42</v>
      </c>
      <c r="X66" s="114">
        <v>40</v>
      </c>
      <c r="Y66" s="112"/>
      <c r="Z66" s="112" t="s">
        <v>87</v>
      </c>
      <c r="AA66" s="112"/>
      <c r="AB66" s="117"/>
      <c r="AC66" s="118">
        <v>25.5</v>
      </c>
      <c r="AD66" s="112"/>
      <c r="AE66" s="114">
        <v>42</v>
      </c>
      <c r="AF66" s="112" t="s">
        <v>88</v>
      </c>
      <c r="AG66" s="114" t="s">
        <v>99</v>
      </c>
      <c r="AH66" s="118">
        <v>12.5</v>
      </c>
      <c r="AI66" s="112">
        <f t="shared" si="0"/>
        <v>525</v>
      </c>
      <c r="AJ66" s="112"/>
      <c r="AK66" s="115" t="s">
        <v>89</v>
      </c>
      <c r="AL66" s="114">
        <v>40</v>
      </c>
      <c r="AM66" s="112">
        <v>18</v>
      </c>
      <c r="AN66" s="112">
        <f t="shared" si="18"/>
        <v>720</v>
      </c>
      <c r="AO66" s="112"/>
      <c r="AP66" s="112"/>
      <c r="AQ66" s="112">
        <f t="shared" si="19"/>
        <v>0</v>
      </c>
      <c r="AR66" s="112">
        <f t="shared" si="20"/>
        <v>720</v>
      </c>
      <c r="AS66" s="112"/>
      <c r="AT66" s="110" t="s">
        <v>143</v>
      </c>
      <c r="AU66" s="111">
        <v>46141</v>
      </c>
      <c r="AV66" s="112">
        <f t="shared" si="21"/>
        <v>18</v>
      </c>
      <c r="AW66" s="112">
        <f t="shared" si="22"/>
        <v>720</v>
      </c>
      <c r="AX66" s="112"/>
      <c r="AY66" s="114" t="s">
        <v>144</v>
      </c>
      <c r="AZ66" s="119"/>
      <c r="BA66" s="112">
        <f t="shared" si="23"/>
        <v>18</v>
      </c>
      <c r="BB66" s="112">
        <f t="shared" si="24"/>
        <v>40</v>
      </c>
      <c r="BC66" s="112">
        <f t="shared" si="25"/>
        <v>720</v>
      </c>
      <c r="BD66" s="112"/>
      <c r="BE66" s="112" t="s">
        <v>300</v>
      </c>
      <c r="BF66" s="113" t="s">
        <v>297</v>
      </c>
      <c r="BG66" s="120" t="s">
        <v>93</v>
      </c>
      <c r="BH66" s="120" t="s">
        <v>145</v>
      </c>
    </row>
    <row r="67" spans="1:60" s="120" customFormat="1" ht="15" customHeight="1">
      <c r="A67" s="112">
        <f t="shared" si="9"/>
        <v>65</v>
      </c>
      <c r="B67" s="113" t="s">
        <v>301</v>
      </c>
      <c r="C67" s="114" t="s">
        <v>298</v>
      </c>
      <c r="D67" s="122"/>
      <c r="E67" s="114" t="s">
        <v>302</v>
      </c>
      <c r="F67" s="112"/>
      <c r="G67" s="115" t="s">
        <v>81</v>
      </c>
      <c r="H67" s="112" t="s">
        <v>82</v>
      </c>
      <c r="I67" s="114" t="s">
        <v>83</v>
      </c>
      <c r="J67" s="114" t="s">
        <v>84</v>
      </c>
      <c r="K67" s="114" t="s">
        <v>83</v>
      </c>
      <c r="L67" s="113" t="s">
        <v>140</v>
      </c>
      <c r="M67" s="113" t="s">
        <v>140</v>
      </c>
      <c r="N67" s="116">
        <v>46112</v>
      </c>
      <c r="O67" s="114">
        <v>133</v>
      </c>
      <c r="P67" s="116">
        <v>46113</v>
      </c>
      <c r="Q67" s="116">
        <v>46125</v>
      </c>
      <c r="R67" s="116">
        <v>46113</v>
      </c>
      <c r="S67" s="112"/>
      <c r="T67" s="112"/>
      <c r="U67" s="112" t="s">
        <v>85</v>
      </c>
      <c r="V67" s="114" t="s">
        <v>99</v>
      </c>
      <c r="W67" s="114">
        <v>133</v>
      </c>
      <c r="X67" s="114">
        <v>129</v>
      </c>
      <c r="Y67" s="112"/>
      <c r="Z67" s="112" t="s">
        <v>87</v>
      </c>
      <c r="AA67" s="112"/>
      <c r="AB67" s="117"/>
      <c r="AC67" s="118">
        <v>25.5</v>
      </c>
      <c r="AD67" s="112"/>
      <c r="AE67" s="114">
        <v>133</v>
      </c>
      <c r="AF67" s="112" t="s">
        <v>88</v>
      </c>
      <c r="AG67" s="114" t="s">
        <v>99</v>
      </c>
      <c r="AH67" s="118">
        <v>12.5</v>
      </c>
      <c r="AI67" s="112">
        <f t="shared" ref="AI67:AI87" si="26">IF(AE67&lt;&gt;"",AH67*AE67,0)</f>
        <v>1662.5</v>
      </c>
      <c r="AJ67" s="112"/>
      <c r="AK67" s="115" t="s">
        <v>89</v>
      </c>
      <c r="AL67" s="114">
        <v>129</v>
      </c>
      <c r="AM67" s="112">
        <v>18</v>
      </c>
      <c r="AN67" s="112">
        <f t="shared" si="18"/>
        <v>2322</v>
      </c>
      <c r="AO67" s="112"/>
      <c r="AP67" s="112"/>
      <c r="AQ67" s="112">
        <f t="shared" si="19"/>
        <v>0</v>
      </c>
      <c r="AR67" s="112">
        <f t="shared" si="20"/>
        <v>2322</v>
      </c>
      <c r="AS67" s="112"/>
      <c r="AT67" s="110" t="s">
        <v>143</v>
      </c>
      <c r="AU67" s="111">
        <v>46141</v>
      </c>
      <c r="AV67" s="112">
        <f t="shared" si="21"/>
        <v>18</v>
      </c>
      <c r="AW67" s="112">
        <f t="shared" si="22"/>
        <v>2322</v>
      </c>
      <c r="AX67" s="112"/>
      <c r="AY67" s="114" t="s">
        <v>144</v>
      </c>
      <c r="AZ67" s="119"/>
      <c r="BA67" s="112">
        <f t="shared" si="23"/>
        <v>18</v>
      </c>
      <c r="BB67" s="112">
        <f t="shared" si="24"/>
        <v>129</v>
      </c>
      <c r="BC67" s="112">
        <f t="shared" si="25"/>
        <v>2322</v>
      </c>
      <c r="BD67" s="112"/>
      <c r="BE67" s="112" t="s">
        <v>303</v>
      </c>
      <c r="BF67" s="113" t="s">
        <v>301</v>
      </c>
      <c r="BG67" s="120" t="s">
        <v>93</v>
      </c>
      <c r="BH67" s="120" t="s">
        <v>145</v>
      </c>
    </row>
    <row r="68" spans="1:60" s="120" customFormat="1" ht="15" customHeight="1">
      <c r="A68" s="112">
        <f t="shared" si="9"/>
        <v>66</v>
      </c>
      <c r="B68" s="113" t="s">
        <v>304</v>
      </c>
      <c r="C68" s="114" t="s">
        <v>305</v>
      </c>
      <c r="D68" s="122"/>
      <c r="E68" s="114" t="s">
        <v>306</v>
      </c>
      <c r="F68" s="112"/>
      <c r="G68" s="115" t="s">
        <v>81</v>
      </c>
      <c r="H68" s="112" t="s">
        <v>82</v>
      </c>
      <c r="I68" s="114" t="s">
        <v>83</v>
      </c>
      <c r="J68" s="114" t="s">
        <v>84</v>
      </c>
      <c r="K68" s="114" t="s">
        <v>83</v>
      </c>
      <c r="L68" s="113" t="s">
        <v>140</v>
      </c>
      <c r="M68" s="113" t="s">
        <v>140</v>
      </c>
      <c r="N68" s="116">
        <v>46112</v>
      </c>
      <c r="O68" s="114">
        <v>10</v>
      </c>
      <c r="P68" s="116">
        <v>46113</v>
      </c>
      <c r="Q68" s="116">
        <v>46125</v>
      </c>
      <c r="R68" s="116">
        <v>46113</v>
      </c>
      <c r="S68" s="112"/>
      <c r="T68" s="112"/>
      <c r="U68" s="112" t="s">
        <v>85</v>
      </c>
      <c r="V68" s="114" t="s">
        <v>99</v>
      </c>
      <c r="W68" s="114">
        <v>10</v>
      </c>
      <c r="X68" s="114">
        <v>10</v>
      </c>
      <c r="Y68" s="112"/>
      <c r="Z68" s="112" t="s">
        <v>87</v>
      </c>
      <c r="AA68" s="112"/>
      <c r="AB68" s="117"/>
      <c r="AC68" s="118">
        <v>25.5</v>
      </c>
      <c r="AD68" s="112"/>
      <c r="AE68" s="114">
        <v>10</v>
      </c>
      <c r="AF68" s="112" t="s">
        <v>88</v>
      </c>
      <c r="AG68" s="114" t="s">
        <v>99</v>
      </c>
      <c r="AH68" s="118">
        <v>12.5</v>
      </c>
      <c r="AI68" s="112">
        <f t="shared" si="26"/>
        <v>125</v>
      </c>
      <c r="AJ68" s="112"/>
      <c r="AK68" s="115" t="s">
        <v>89</v>
      </c>
      <c r="AL68" s="114">
        <v>10</v>
      </c>
      <c r="AM68" s="112">
        <v>18</v>
      </c>
      <c r="AN68" s="112">
        <f t="shared" si="18"/>
        <v>180</v>
      </c>
      <c r="AO68" s="112"/>
      <c r="AP68" s="112"/>
      <c r="AQ68" s="112">
        <f t="shared" si="19"/>
        <v>0</v>
      </c>
      <c r="AR68" s="112">
        <f t="shared" si="20"/>
        <v>180</v>
      </c>
      <c r="AS68" s="112"/>
      <c r="AT68" s="110" t="s">
        <v>143</v>
      </c>
      <c r="AU68" s="111">
        <v>46141</v>
      </c>
      <c r="AV68" s="112">
        <f t="shared" si="21"/>
        <v>18</v>
      </c>
      <c r="AW68" s="112">
        <f t="shared" si="22"/>
        <v>180</v>
      </c>
      <c r="AX68" s="112"/>
      <c r="AY68" s="114" t="s">
        <v>144</v>
      </c>
      <c r="AZ68" s="119"/>
      <c r="BA68" s="112">
        <f t="shared" si="23"/>
        <v>18</v>
      </c>
      <c r="BB68" s="112">
        <f t="shared" si="24"/>
        <v>10</v>
      </c>
      <c r="BC68" s="112">
        <f t="shared" si="25"/>
        <v>180</v>
      </c>
      <c r="BD68" s="112"/>
      <c r="BE68" s="112" t="s">
        <v>307</v>
      </c>
      <c r="BF68" s="113" t="s">
        <v>304</v>
      </c>
      <c r="BG68" s="120" t="s">
        <v>93</v>
      </c>
      <c r="BH68" s="120" t="s">
        <v>145</v>
      </c>
    </row>
    <row r="69" spans="1:60" s="120" customFormat="1" ht="15" customHeight="1">
      <c r="A69" s="112">
        <f t="shared" ref="A69:A132" si="27">A68+1</f>
        <v>67</v>
      </c>
      <c r="B69" s="113" t="s">
        <v>308</v>
      </c>
      <c r="C69" s="114" t="s">
        <v>305</v>
      </c>
      <c r="D69" s="122"/>
      <c r="E69" s="114" t="s">
        <v>309</v>
      </c>
      <c r="F69" s="112"/>
      <c r="G69" s="115" t="s">
        <v>81</v>
      </c>
      <c r="H69" s="112" t="s">
        <v>82</v>
      </c>
      <c r="I69" s="114" t="s">
        <v>83</v>
      </c>
      <c r="J69" s="114" t="s">
        <v>84</v>
      </c>
      <c r="K69" s="114" t="s">
        <v>83</v>
      </c>
      <c r="L69" s="113" t="s">
        <v>140</v>
      </c>
      <c r="M69" s="113" t="s">
        <v>140</v>
      </c>
      <c r="N69" s="116">
        <v>46112</v>
      </c>
      <c r="O69" s="114">
        <v>186</v>
      </c>
      <c r="P69" s="116">
        <v>46113</v>
      </c>
      <c r="Q69" s="116">
        <v>46125</v>
      </c>
      <c r="R69" s="116">
        <v>46113</v>
      </c>
      <c r="S69" s="112"/>
      <c r="T69" s="112"/>
      <c r="U69" s="112" t="s">
        <v>85</v>
      </c>
      <c r="V69" s="114" t="s">
        <v>99</v>
      </c>
      <c r="W69" s="114">
        <v>186</v>
      </c>
      <c r="X69" s="114">
        <v>180</v>
      </c>
      <c r="Y69" s="112"/>
      <c r="Z69" s="112" t="s">
        <v>87</v>
      </c>
      <c r="AA69" s="112"/>
      <c r="AB69" s="117"/>
      <c r="AC69" s="118">
        <v>25.5</v>
      </c>
      <c r="AD69" s="112"/>
      <c r="AE69" s="114">
        <v>186</v>
      </c>
      <c r="AF69" s="112" t="s">
        <v>88</v>
      </c>
      <c r="AG69" s="114" t="s">
        <v>99</v>
      </c>
      <c r="AH69" s="118">
        <v>12.5</v>
      </c>
      <c r="AI69" s="112">
        <f t="shared" si="26"/>
        <v>2325</v>
      </c>
      <c r="AJ69" s="112"/>
      <c r="AK69" s="115" t="s">
        <v>89</v>
      </c>
      <c r="AL69" s="114">
        <v>180</v>
      </c>
      <c r="AM69" s="112">
        <v>18</v>
      </c>
      <c r="AN69" s="112">
        <f t="shared" si="18"/>
        <v>3240</v>
      </c>
      <c r="AO69" s="112"/>
      <c r="AP69" s="112"/>
      <c r="AQ69" s="112">
        <f t="shared" si="19"/>
        <v>0</v>
      </c>
      <c r="AR69" s="112">
        <f t="shared" si="20"/>
        <v>3240</v>
      </c>
      <c r="AS69" s="112"/>
      <c r="AT69" s="110" t="s">
        <v>143</v>
      </c>
      <c r="AU69" s="111">
        <v>46141</v>
      </c>
      <c r="AV69" s="112">
        <f t="shared" si="21"/>
        <v>18</v>
      </c>
      <c r="AW69" s="112">
        <f t="shared" si="22"/>
        <v>3240</v>
      </c>
      <c r="AX69" s="112"/>
      <c r="AY69" s="114" t="s">
        <v>144</v>
      </c>
      <c r="AZ69" s="119"/>
      <c r="BA69" s="112">
        <f t="shared" si="23"/>
        <v>18</v>
      </c>
      <c r="BB69" s="112">
        <f t="shared" si="24"/>
        <v>180</v>
      </c>
      <c r="BC69" s="112">
        <f t="shared" si="25"/>
        <v>3240</v>
      </c>
      <c r="BD69" s="112"/>
      <c r="BE69" s="112" t="s">
        <v>310</v>
      </c>
      <c r="BF69" s="113" t="s">
        <v>308</v>
      </c>
      <c r="BG69" s="120" t="s">
        <v>93</v>
      </c>
      <c r="BH69" s="120" t="s">
        <v>145</v>
      </c>
    </row>
    <row r="70" spans="1:60" s="120" customFormat="1" ht="15" customHeight="1">
      <c r="A70" s="112">
        <f t="shared" si="27"/>
        <v>68</v>
      </c>
      <c r="B70" s="113" t="s">
        <v>311</v>
      </c>
      <c r="C70" s="114" t="s">
        <v>305</v>
      </c>
      <c r="D70" s="122"/>
      <c r="E70" s="114" t="s">
        <v>312</v>
      </c>
      <c r="F70" s="112"/>
      <c r="G70" s="115" t="s">
        <v>81</v>
      </c>
      <c r="H70" s="112" t="s">
        <v>82</v>
      </c>
      <c r="I70" s="114" t="s">
        <v>83</v>
      </c>
      <c r="J70" s="114" t="s">
        <v>84</v>
      </c>
      <c r="K70" s="114" t="s">
        <v>83</v>
      </c>
      <c r="L70" s="113" t="s">
        <v>140</v>
      </c>
      <c r="M70" s="113" t="s">
        <v>140</v>
      </c>
      <c r="N70" s="116">
        <v>46112</v>
      </c>
      <c r="O70" s="114">
        <v>204</v>
      </c>
      <c r="P70" s="116">
        <v>46113</v>
      </c>
      <c r="Q70" s="116">
        <v>46125</v>
      </c>
      <c r="R70" s="116">
        <v>46113</v>
      </c>
      <c r="S70" s="112"/>
      <c r="T70" s="112"/>
      <c r="U70" s="112" t="s">
        <v>85</v>
      </c>
      <c r="V70" s="114" t="s">
        <v>99</v>
      </c>
      <c r="W70" s="114">
        <v>204</v>
      </c>
      <c r="X70" s="114">
        <v>196</v>
      </c>
      <c r="Y70" s="112"/>
      <c r="Z70" s="112" t="s">
        <v>87</v>
      </c>
      <c r="AA70" s="112"/>
      <c r="AB70" s="117"/>
      <c r="AC70" s="118">
        <v>25.5</v>
      </c>
      <c r="AD70" s="112"/>
      <c r="AE70" s="114">
        <v>204</v>
      </c>
      <c r="AF70" s="112" t="s">
        <v>88</v>
      </c>
      <c r="AG70" s="114" t="s">
        <v>99</v>
      </c>
      <c r="AH70" s="118">
        <v>12.5</v>
      </c>
      <c r="AI70" s="112">
        <f t="shared" si="26"/>
        <v>2550</v>
      </c>
      <c r="AJ70" s="112"/>
      <c r="AK70" s="115" t="s">
        <v>89</v>
      </c>
      <c r="AL70" s="114">
        <v>196</v>
      </c>
      <c r="AM70" s="112">
        <v>18</v>
      </c>
      <c r="AN70" s="112">
        <f t="shared" si="18"/>
        <v>3528</v>
      </c>
      <c r="AO70" s="112"/>
      <c r="AP70" s="112"/>
      <c r="AQ70" s="112">
        <f t="shared" si="19"/>
        <v>0</v>
      </c>
      <c r="AR70" s="112">
        <f t="shared" si="20"/>
        <v>3528</v>
      </c>
      <c r="AS70" s="112"/>
      <c r="AT70" s="110" t="s">
        <v>143</v>
      </c>
      <c r="AU70" s="111">
        <v>46141</v>
      </c>
      <c r="AV70" s="112">
        <f t="shared" si="21"/>
        <v>18</v>
      </c>
      <c r="AW70" s="112">
        <f t="shared" si="22"/>
        <v>3528</v>
      </c>
      <c r="AX70" s="112"/>
      <c r="AY70" s="114" t="s">
        <v>144</v>
      </c>
      <c r="AZ70" s="119"/>
      <c r="BA70" s="112">
        <f t="shared" si="23"/>
        <v>18</v>
      </c>
      <c r="BB70" s="112">
        <f t="shared" si="24"/>
        <v>196</v>
      </c>
      <c r="BC70" s="112">
        <f t="shared" si="25"/>
        <v>3528</v>
      </c>
      <c r="BD70" s="112"/>
      <c r="BE70" s="112" t="s">
        <v>313</v>
      </c>
      <c r="BF70" s="113" t="s">
        <v>311</v>
      </c>
      <c r="BG70" s="120" t="s">
        <v>93</v>
      </c>
      <c r="BH70" s="120" t="s">
        <v>145</v>
      </c>
    </row>
    <row r="71" spans="1:60" s="120" customFormat="1" ht="15" customHeight="1">
      <c r="A71" s="112">
        <f t="shared" si="27"/>
        <v>69</v>
      </c>
      <c r="B71" s="113" t="s">
        <v>314</v>
      </c>
      <c r="C71" s="114" t="s">
        <v>315</v>
      </c>
      <c r="D71" s="122"/>
      <c r="E71" s="114" t="s">
        <v>316</v>
      </c>
      <c r="F71" s="112"/>
      <c r="G71" s="115" t="s">
        <v>81</v>
      </c>
      <c r="H71" s="112" t="s">
        <v>82</v>
      </c>
      <c r="I71" s="114" t="s">
        <v>83</v>
      </c>
      <c r="J71" s="114" t="s">
        <v>84</v>
      </c>
      <c r="K71" s="114" t="s">
        <v>83</v>
      </c>
      <c r="L71" s="113" t="s">
        <v>140</v>
      </c>
      <c r="M71" s="113" t="s">
        <v>140</v>
      </c>
      <c r="N71" s="116">
        <v>46112</v>
      </c>
      <c r="O71" s="114">
        <v>10</v>
      </c>
      <c r="P71" s="116">
        <v>46113</v>
      </c>
      <c r="Q71" s="116">
        <v>46125</v>
      </c>
      <c r="R71" s="116">
        <v>46113</v>
      </c>
      <c r="S71" s="112"/>
      <c r="T71" s="112"/>
      <c r="U71" s="112" t="s">
        <v>85</v>
      </c>
      <c r="V71" s="114" t="s">
        <v>99</v>
      </c>
      <c r="W71" s="114">
        <v>10</v>
      </c>
      <c r="X71" s="114">
        <v>10</v>
      </c>
      <c r="Y71" s="112"/>
      <c r="Z71" s="112" t="s">
        <v>87</v>
      </c>
      <c r="AA71" s="112"/>
      <c r="AB71" s="117"/>
      <c r="AC71" s="118">
        <v>25.5</v>
      </c>
      <c r="AD71" s="112"/>
      <c r="AE71" s="114">
        <v>10</v>
      </c>
      <c r="AF71" s="112" t="s">
        <v>88</v>
      </c>
      <c r="AG71" s="114" t="s">
        <v>99</v>
      </c>
      <c r="AH71" s="118">
        <v>12.5</v>
      </c>
      <c r="AI71" s="112">
        <f t="shared" si="26"/>
        <v>125</v>
      </c>
      <c r="AJ71" s="112"/>
      <c r="AK71" s="115" t="s">
        <v>89</v>
      </c>
      <c r="AL71" s="114">
        <v>10</v>
      </c>
      <c r="AM71" s="112">
        <v>18</v>
      </c>
      <c r="AN71" s="112">
        <f t="shared" si="18"/>
        <v>180</v>
      </c>
      <c r="AO71" s="112"/>
      <c r="AP71" s="112"/>
      <c r="AQ71" s="112">
        <f t="shared" si="19"/>
        <v>0</v>
      </c>
      <c r="AR71" s="112">
        <f t="shared" si="20"/>
        <v>180</v>
      </c>
      <c r="AS71" s="112"/>
      <c r="AT71" s="110" t="s">
        <v>143</v>
      </c>
      <c r="AU71" s="111">
        <v>46141</v>
      </c>
      <c r="AV71" s="112">
        <f t="shared" si="21"/>
        <v>18</v>
      </c>
      <c r="AW71" s="112">
        <f t="shared" si="22"/>
        <v>180</v>
      </c>
      <c r="AX71" s="112"/>
      <c r="AY71" s="114" t="s">
        <v>144</v>
      </c>
      <c r="AZ71" s="119"/>
      <c r="BA71" s="112">
        <f t="shared" si="23"/>
        <v>18</v>
      </c>
      <c r="BB71" s="112">
        <f t="shared" si="24"/>
        <v>10</v>
      </c>
      <c r="BC71" s="112">
        <f t="shared" si="25"/>
        <v>180</v>
      </c>
      <c r="BD71" s="112"/>
      <c r="BE71" s="112" t="s">
        <v>317</v>
      </c>
      <c r="BF71" s="113" t="s">
        <v>314</v>
      </c>
      <c r="BG71" s="120" t="s">
        <v>93</v>
      </c>
      <c r="BH71" s="120" t="s">
        <v>145</v>
      </c>
    </row>
    <row r="72" spans="1:60" s="120" customFormat="1" ht="15" customHeight="1">
      <c r="A72" s="112">
        <f t="shared" si="27"/>
        <v>70</v>
      </c>
      <c r="B72" s="113" t="s">
        <v>318</v>
      </c>
      <c r="C72" s="114" t="s">
        <v>315</v>
      </c>
      <c r="D72" s="122"/>
      <c r="E72" s="114" t="s">
        <v>319</v>
      </c>
      <c r="F72" s="112"/>
      <c r="G72" s="115" t="s">
        <v>81</v>
      </c>
      <c r="H72" s="112" t="s">
        <v>82</v>
      </c>
      <c r="I72" s="114" t="s">
        <v>83</v>
      </c>
      <c r="J72" s="114" t="s">
        <v>84</v>
      </c>
      <c r="K72" s="114" t="s">
        <v>83</v>
      </c>
      <c r="L72" s="113" t="s">
        <v>140</v>
      </c>
      <c r="M72" s="113" t="s">
        <v>140</v>
      </c>
      <c r="N72" s="116">
        <v>46112</v>
      </c>
      <c r="O72" s="114">
        <v>55</v>
      </c>
      <c r="P72" s="116">
        <v>46113</v>
      </c>
      <c r="Q72" s="116">
        <v>46125</v>
      </c>
      <c r="R72" s="116">
        <v>46113</v>
      </c>
      <c r="S72" s="112"/>
      <c r="T72" s="112"/>
      <c r="U72" s="112" t="s">
        <v>85</v>
      </c>
      <c r="V72" s="114" t="s">
        <v>99</v>
      </c>
      <c r="W72" s="114">
        <v>55</v>
      </c>
      <c r="X72" s="114">
        <v>53</v>
      </c>
      <c r="Y72" s="112"/>
      <c r="Z72" s="112" t="s">
        <v>87</v>
      </c>
      <c r="AA72" s="112"/>
      <c r="AB72" s="117"/>
      <c r="AC72" s="118">
        <v>25.5</v>
      </c>
      <c r="AD72" s="112"/>
      <c r="AE72" s="114">
        <v>55</v>
      </c>
      <c r="AF72" s="112" t="s">
        <v>88</v>
      </c>
      <c r="AG72" s="114" t="s">
        <v>99</v>
      </c>
      <c r="AH72" s="118">
        <v>12.5</v>
      </c>
      <c r="AI72" s="112">
        <f t="shared" si="26"/>
        <v>687.5</v>
      </c>
      <c r="AJ72" s="112"/>
      <c r="AK72" s="115" t="s">
        <v>89</v>
      </c>
      <c r="AL72" s="114">
        <v>53</v>
      </c>
      <c r="AM72" s="112">
        <v>18</v>
      </c>
      <c r="AN72" s="112">
        <f t="shared" si="18"/>
        <v>954</v>
      </c>
      <c r="AO72" s="112"/>
      <c r="AP72" s="112"/>
      <c r="AQ72" s="112">
        <f t="shared" si="19"/>
        <v>0</v>
      </c>
      <c r="AR72" s="112">
        <f t="shared" si="20"/>
        <v>954</v>
      </c>
      <c r="AS72" s="112"/>
      <c r="AT72" s="110" t="s">
        <v>143</v>
      </c>
      <c r="AU72" s="111">
        <v>46141</v>
      </c>
      <c r="AV72" s="112">
        <f t="shared" si="21"/>
        <v>18</v>
      </c>
      <c r="AW72" s="112">
        <f t="shared" si="22"/>
        <v>954</v>
      </c>
      <c r="AX72" s="112"/>
      <c r="AY72" s="114" t="s">
        <v>144</v>
      </c>
      <c r="AZ72" s="119"/>
      <c r="BA72" s="112">
        <f t="shared" si="23"/>
        <v>18</v>
      </c>
      <c r="BB72" s="112">
        <f t="shared" si="24"/>
        <v>53</v>
      </c>
      <c r="BC72" s="112">
        <f t="shared" si="25"/>
        <v>954</v>
      </c>
      <c r="BD72" s="112"/>
      <c r="BE72" s="112" t="s">
        <v>320</v>
      </c>
      <c r="BF72" s="113" t="s">
        <v>318</v>
      </c>
      <c r="BG72" s="120" t="s">
        <v>93</v>
      </c>
      <c r="BH72" s="120" t="s">
        <v>145</v>
      </c>
    </row>
    <row r="73" spans="1:60" s="120" customFormat="1" ht="15" customHeight="1">
      <c r="A73" s="112">
        <f t="shared" si="27"/>
        <v>71</v>
      </c>
      <c r="B73" s="113" t="s">
        <v>321</v>
      </c>
      <c r="C73" s="114" t="s">
        <v>315</v>
      </c>
      <c r="D73" s="122"/>
      <c r="E73" s="114" t="s">
        <v>322</v>
      </c>
      <c r="F73" s="112"/>
      <c r="G73" s="115" t="s">
        <v>81</v>
      </c>
      <c r="H73" s="112" t="s">
        <v>82</v>
      </c>
      <c r="I73" s="114" t="s">
        <v>83</v>
      </c>
      <c r="J73" s="114" t="s">
        <v>84</v>
      </c>
      <c r="K73" s="114" t="s">
        <v>83</v>
      </c>
      <c r="L73" s="113" t="s">
        <v>140</v>
      </c>
      <c r="M73" s="113" t="s">
        <v>140</v>
      </c>
      <c r="N73" s="116">
        <v>46112</v>
      </c>
      <c r="O73" s="114">
        <v>168</v>
      </c>
      <c r="P73" s="116">
        <v>46113</v>
      </c>
      <c r="Q73" s="116">
        <v>46125</v>
      </c>
      <c r="R73" s="116">
        <v>46113</v>
      </c>
      <c r="S73" s="112"/>
      <c r="T73" s="112"/>
      <c r="U73" s="112" t="s">
        <v>85</v>
      </c>
      <c r="V73" s="114" t="s">
        <v>86</v>
      </c>
      <c r="W73" s="114">
        <v>168</v>
      </c>
      <c r="X73" s="114">
        <v>168</v>
      </c>
      <c r="Y73" s="112"/>
      <c r="Z73" s="112" t="s">
        <v>87</v>
      </c>
      <c r="AA73" s="112"/>
      <c r="AB73" s="117"/>
      <c r="AC73" s="118">
        <v>30.5</v>
      </c>
      <c r="AD73" s="112"/>
      <c r="AE73" s="114">
        <v>168</v>
      </c>
      <c r="AF73" s="112" t="s">
        <v>88</v>
      </c>
      <c r="AG73" s="114" t="s">
        <v>86</v>
      </c>
      <c r="AH73" s="118">
        <v>24.5</v>
      </c>
      <c r="AI73" s="112">
        <f t="shared" si="26"/>
        <v>4116</v>
      </c>
      <c r="AJ73" s="112"/>
      <c r="AK73" s="115" t="s">
        <v>89</v>
      </c>
      <c r="AL73" s="114">
        <v>168</v>
      </c>
      <c r="AM73" s="112">
        <v>18</v>
      </c>
      <c r="AN73" s="112">
        <f t="shared" si="18"/>
        <v>3024</v>
      </c>
      <c r="AO73" s="112"/>
      <c r="AP73" s="112"/>
      <c r="AQ73" s="112">
        <f t="shared" si="19"/>
        <v>0</v>
      </c>
      <c r="AR73" s="112">
        <f t="shared" si="20"/>
        <v>3024</v>
      </c>
      <c r="AS73" s="112"/>
      <c r="AT73" s="110" t="s">
        <v>143</v>
      </c>
      <c r="AU73" s="111">
        <v>46141</v>
      </c>
      <c r="AV73" s="112">
        <f t="shared" si="21"/>
        <v>18</v>
      </c>
      <c r="AW73" s="112">
        <f t="shared" si="22"/>
        <v>3024</v>
      </c>
      <c r="AX73" s="112"/>
      <c r="AY73" s="114" t="s">
        <v>144</v>
      </c>
      <c r="AZ73" s="119"/>
      <c r="BA73" s="112">
        <f t="shared" si="23"/>
        <v>18</v>
      </c>
      <c r="BB73" s="112">
        <f t="shared" si="24"/>
        <v>168</v>
      </c>
      <c r="BC73" s="112">
        <f t="shared" si="25"/>
        <v>3024</v>
      </c>
      <c r="BD73" s="112"/>
      <c r="BE73" s="112" t="s">
        <v>323</v>
      </c>
      <c r="BF73" s="113" t="s">
        <v>321</v>
      </c>
      <c r="BG73" s="120" t="s">
        <v>93</v>
      </c>
      <c r="BH73" s="120" t="s">
        <v>145</v>
      </c>
    </row>
    <row r="74" spans="1:60" s="120" customFormat="1" ht="15" customHeight="1">
      <c r="A74" s="112">
        <f t="shared" si="27"/>
        <v>72</v>
      </c>
      <c r="B74" s="113" t="s">
        <v>324</v>
      </c>
      <c r="C74" s="114" t="s">
        <v>325</v>
      </c>
      <c r="D74" s="122"/>
      <c r="E74" s="114" t="s">
        <v>326</v>
      </c>
      <c r="F74" s="112"/>
      <c r="G74" s="115" t="s">
        <v>81</v>
      </c>
      <c r="H74" s="112" t="s">
        <v>82</v>
      </c>
      <c r="I74" s="114" t="s">
        <v>83</v>
      </c>
      <c r="J74" s="114" t="s">
        <v>84</v>
      </c>
      <c r="K74" s="114" t="s">
        <v>83</v>
      </c>
      <c r="L74" s="113" t="s">
        <v>140</v>
      </c>
      <c r="M74" s="113" t="s">
        <v>140</v>
      </c>
      <c r="N74" s="116">
        <v>46112</v>
      </c>
      <c r="O74" s="114">
        <v>41</v>
      </c>
      <c r="P74" s="116">
        <v>46113</v>
      </c>
      <c r="Q74" s="116">
        <v>46125</v>
      </c>
      <c r="R74" s="116">
        <v>46113</v>
      </c>
      <c r="S74" s="112"/>
      <c r="T74" s="112"/>
      <c r="U74" s="112" t="s">
        <v>85</v>
      </c>
      <c r="V74" s="114" t="s">
        <v>99</v>
      </c>
      <c r="W74" s="114">
        <v>41</v>
      </c>
      <c r="X74" s="114">
        <v>39</v>
      </c>
      <c r="Y74" s="112"/>
      <c r="Z74" s="112" t="s">
        <v>87</v>
      </c>
      <c r="AA74" s="112"/>
      <c r="AB74" s="117"/>
      <c r="AC74" s="118">
        <v>25.5</v>
      </c>
      <c r="AD74" s="112"/>
      <c r="AE74" s="114">
        <v>41</v>
      </c>
      <c r="AF74" s="112" t="s">
        <v>88</v>
      </c>
      <c r="AG74" s="114" t="s">
        <v>99</v>
      </c>
      <c r="AH74" s="118">
        <v>12.5</v>
      </c>
      <c r="AI74" s="112">
        <f t="shared" si="26"/>
        <v>512.5</v>
      </c>
      <c r="AJ74" s="112"/>
      <c r="AK74" s="115" t="s">
        <v>89</v>
      </c>
      <c r="AL74" s="114">
        <v>39</v>
      </c>
      <c r="AM74" s="112">
        <v>18</v>
      </c>
      <c r="AN74" s="112">
        <f t="shared" si="18"/>
        <v>702</v>
      </c>
      <c r="AO74" s="112"/>
      <c r="AP74" s="112"/>
      <c r="AQ74" s="112">
        <f t="shared" si="19"/>
        <v>0</v>
      </c>
      <c r="AR74" s="112">
        <f t="shared" si="20"/>
        <v>702</v>
      </c>
      <c r="AS74" s="112"/>
      <c r="AT74" s="110" t="s">
        <v>143</v>
      </c>
      <c r="AU74" s="111">
        <v>46141</v>
      </c>
      <c r="AV74" s="112">
        <f t="shared" si="21"/>
        <v>18</v>
      </c>
      <c r="AW74" s="112">
        <f t="shared" si="22"/>
        <v>702</v>
      </c>
      <c r="AX74" s="112"/>
      <c r="AY74" s="114" t="s">
        <v>144</v>
      </c>
      <c r="AZ74" s="119"/>
      <c r="BA74" s="112">
        <f t="shared" si="23"/>
        <v>18</v>
      </c>
      <c r="BB74" s="112">
        <f t="shared" si="24"/>
        <v>39</v>
      </c>
      <c r="BC74" s="112">
        <f t="shared" si="25"/>
        <v>702</v>
      </c>
      <c r="BD74" s="112"/>
      <c r="BE74" s="112" t="s">
        <v>327</v>
      </c>
      <c r="BF74" s="113" t="s">
        <v>324</v>
      </c>
      <c r="BG74" s="120" t="s">
        <v>93</v>
      </c>
      <c r="BH74" s="120" t="s">
        <v>145</v>
      </c>
    </row>
    <row r="75" spans="1:60" s="120" customFormat="1" ht="15" customHeight="1">
      <c r="A75" s="112">
        <f t="shared" si="27"/>
        <v>73</v>
      </c>
      <c r="B75" s="113" t="s">
        <v>328</v>
      </c>
      <c r="C75" s="114" t="s">
        <v>329</v>
      </c>
      <c r="D75" s="122"/>
      <c r="E75" s="114" t="s">
        <v>330</v>
      </c>
      <c r="F75" s="112"/>
      <c r="G75" s="115" t="s">
        <v>81</v>
      </c>
      <c r="H75" s="112" t="s">
        <v>82</v>
      </c>
      <c r="I75" s="114" t="s">
        <v>83</v>
      </c>
      <c r="J75" s="114" t="s">
        <v>84</v>
      </c>
      <c r="K75" s="114" t="s">
        <v>83</v>
      </c>
      <c r="L75" s="113" t="s">
        <v>140</v>
      </c>
      <c r="M75" s="113" t="s">
        <v>140</v>
      </c>
      <c r="N75" s="116">
        <v>46112</v>
      </c>
      <c r="O75" s="114">
        <v>178</v>
      </c>
      <c r="P75" s="116">
        <v>46113</v>
      </c>
      <c r="Q75" s="116">
        <v>46125</v>
      </c>
      <c r="R75" s="116">
        <v>46113</v>
      </c>
      <c r="S75" s="112"/>
      <c r="T75" s="112"/>
      <c r="U75" s="112" t="s">
        <v>85</v>
      </c>
      <c r="V75" s="114" t="s">
        <v>99</v>
      </c>
      <c r="W75" s="114">
        <v>178</v>
      </c>
      <c r="X75" s="114">
        <v>170</v>
      </c>
      <c r="Y75" s="112"/>
      <c r="Z75" s="112" t="s">
        <v>87</v>
      </c>
      <c r="AA75" s="112"/>
      <c r="AB75" s="117"/>
      <c r="AC75" s="118">
        <v>25.5</v>
      </c>
      <c r="AD75" s="112"/>
      <c r="AE75" s="114">
        <v>178</v>
      </c>
      <c r="AF75" s="112" t="s">
        <v>88</v>
      </c>
      <c r="AG75" s="114" t="s">
        <v>99</v>
      </c>
      <c r="AH75" s="118">
        <v>12.5</v>
      </c>
      <c r="AI75" s="112">
        <f t="shared" si="26"/>
        <v>2225</v>
      </c>
      <c r="AJ75" s="112"/>
      <c r="AK75" s="115" t="s">
        <v>89</v>
      </c>
      <c r="AL75" s="114">
        <v>170</v>
      </c>
      <c r="AM75" s="112">
        <v>18</v>
      </c>
      <c r="AN75" s="112">
        <f t="shared" si="18"/>
        <v>3060</v>
      </c>
      <c r="AO75" s="112"/>
      <c r="AP75" s="112"/>
      <c r="AQ75" s="112">
        <f t="shared" si="19"/>
        <v>0</v>
      </c>
      <c r="AR75" s="112">
        <f t="shared" si="20"/>
        <v>3060</v>
      </c>
      <c r="AS75" s="112"/>
      <c r="AT75" s="110" t="s">
        <v>143</v>
      </c>
      <c r="AU75" s="111">
        <v>46141</v>
      </c>
      <c r="AV75" s="112">
        <f t="shared" si="21"/>
        <v>18</v>
      </c>
      <c r="AW75" s="112">
        <f t="shared" si="22"/>
        <v>3060</v>
      </c>
      <c r="AX75" s="112"/>
      <c r="AY75" s="114" t="s">
        <v>331</v>
      </c>
      <c r="AZ75" s="119">
        <v>46153</v>
      </c>
      <c r="BA75" s="112">
        <f t="shared" si="23"/>
        <v>18</v>
      </c>
      <c r="BB75" s="112">
        <f t="shared" si="24"/>
        <v>170</v>
      </c>
      <c r="BC75" s="112">
        <f t="shared" si="25"/>
        <v>3060</v>
      </c>
      <c r="BD75" s="112"/>
      <c r="BE75" s="112" t="s">
        <v>332</v>
      </c>
      <c r="BF75" s="113" t="s">
        <v>328</v>
      </c>
      <c r="BG75" s="120" t="s">
        <v>93</v>
      </c>
      <c r="BH75" s="120" t="s">
        <v>145</v>
      </c>
    </row>
    <row r="76" spans="1:60" s="120" customFormat="1" ht="15" customHeight="1">
      <c r="A76" s="112">
        <f t="shared" si="27"/>
        <v>74</v>
      </c>
      <c r="B76" s="113" t="s">
        <v>333</v>
      </c>
      <c r="C76" s="114" t="s">
        <v>334</v>
      </c>
      <c r="D76" s="122"/>
      <c r="E76" s="114" t="s">
        <v>335</v>
      </c>
      <c r="F76" s="112"/>
      <c r="G76" s="115" t="s">
        <v>81</v>
      </c>
      <c r="H76" s="112" t="s">
        <v>82</v>
      </c>
      <c r="I76" s="114" t="s">
        <v>83</v>
      </c>
      <c r="J76" s="114" t="s">
        <v>84</v>
      </c>
      <c r="K76" s="114" t="s">
        <v>83</v>
      </c>
      <c r="L76" s="113" t="s">
        <v>140</v>
      </c>
      <c r="M76" s="113" t="s">
        <v>140</v>
      </c>
      <c r="N76" s="116">
        <v>46112</v>
      </c>
      <c r="O76" s="114">
        <v>131</v>
      </c>
      <c r="P76" s="116">
        <v>46113</v>
      </c>
      <c r="Q76" s="116">
        <v>46125</v>
      </c>
      <c r="R76" s="116">
        <v>46113</v>
      </c>
      <c r="S76" s="112"/>
      <c r="T76" s="112"/>
      <c r="U76" s="112" t="s">
        <v>85</v>
      </c>
      <c r="V76" s="114" t="s">
        <v>99</v>
      </c>
      <c r="W76" s="114">
        <v>131</v>
      </c>
      <c r="X76" s="114">
        <v>125</v>
      </c>
      <c r="Y76" s="112"/>
      <c r="Z76" s="112" t="s">
        <v>87</v>
      </c>
      <c r="AA76" s="112"/>
      <c r="AB76" s="117"/>
      <c r="AC76" s="118">
        <v>25.5</v>
      </c>
      <c r="AD76" s="112"/>
      <c r="AE76" s="114">
        <v>131</v>
      </c>
      <c r="AF76" s="112" t="s">
        <v>88</v>
      </c>
      <c r="AG76" s="114" t="s">
        <v>99</v>
      </c>
      <c r="AH76" s="118">
        <v>12.5</v>
      </c>
      <c r="AI76" s="112">
        <f t="shared" si="26"/>
        <v>1637.5</v>
      </c>
      <c r="AJ76" s="112"/>
      <c r="AK76" s="115" t="s">
        <v>89</v>
      </c>
      <c r="AL76" s="114">
        <v>125</v>
      </c>
      <c r="AM76" s="112">
        <v>18</v>
      </c>
      <c r="AN76" s="112">
        <f t="shared" si="18"/>
        <v>2250</v>
      </c>
      <c r="AO76" s="112"/>
      <c r="AP76" s="112"/>
      <c r="AQ76" s="112">
        <f t="shared" si="19"/>
        <v>0</v>
      </c>
      <c r="AR76" s="112">
        <f t="shared" si="20"/>
        <v>2250</v>
      </c>
      <c r="AS76" s="112"/>
      <c r="AT76" s="110" t="s">
        <v>143</v>
      </c>
      <c r="AU76" s="111">
        <v>46141</v>
      </c>
      <c r="AV76" s="112">
        <f t="shared" si="21"/>
        <v>18</v>
      </c>
      <c r="AW76" s="112">
        <f t="shared" si="22"/>
        <v>2250</v>
      </c>
      <c r="AX76" s="112"/>
      <c r="AY76" s="114" t="s">
        <v>331</v>
      </c>
      <c r="AZ76" s="119">
        <v>46153</v>
      </c>
      <c r="BA76" s="112">
        <f t="shared" si="23"/>
        <v>18</v>
      </c>
      <c r="BB76" s="112">
        <f t="shared" si="24"/>
        <v>125</v>
      </c>
      <c r="BC76" s="112">
        <f t="shared" si="25"/>
        <v>2250</v>
      </c>
      <c r="BD76" s="112"/>
      <c r="BE76" s="112" t="s">
        <v>336</v>
      </c>
      <c r="BF76" s="113" t="s">
        <v>333</v>
      </c>
      <c r="BG76" s="120" t="s">
        <v>93</v>
      </c>
      <c r="BH76" s="120" t="s">
        <v>145</v>
      </c>
    </row>
    <row r="77" spans="1:60" s="120" customFormat="1" ht="15" customHeight="1">
      <c r="A77" s="112">
        <f t="shared" si="27"/>
        <v>75</v>
      </c>
      <c r="B77" s="113" t="s">
        <v>337</v>
      </c>
      <c r="C77" s="114" t="s">
        <v>338</v>
      </c>
      <c r="D77" s="122"/>
      <c r="E77" s="114" t="s">
        <v>339</v>
      </c>
      <c r="F77" s="112"/>
      <c r="G77" s="115" t="s">
        <v>81</v>
      </c>
      <c r="H77" s="112" t="s">
        <v>82</v>
      </c>
      <c r="I77" s="114" t="s">
        <v>83</v>
      </c>
      <c r="J77" s="114" t="s">
        <v>84</v>
      </c>
      <c r="K77" s="114" t="s">
        <v>83</v>
      </c>
      <c r="L77" s="113" t="s">
        <v>140</v>
      </c>
      <c r="M77" s="113" t="s">
        <v>140</v>
      </c>
      <c r="N77" s="116">
        <v>46112</v>
      </c>
      <c r="O77" s="114">
        <v>10</v>
      </c>
      <c r="P77" s="116">
        <v>46113</v>
      </c>
      <c r="Q77" s="116">
        <v>46125</v>
      </c>
      <c r="R77" s="116">
        <v>46113</v>
      </c>
      <c r="S77" s="112"/>
      <c r="T77" s="112"/>
      <c r="U77" s="112" t="s">
        <v>85</v>
      </c>
      <c r="V77" s="114" t="s">
        <v>99</v>
      </c>
      <c r="W77" s="114">
        <v>10</v>
      </c>
      <c r="X77" s="114">
        <v>10</v>
      </c>
      <c r="Y77" s="112"/>
      <c r="Z77" s="112" t="s">
        <v>87</v>
      </c>
      <c r="AA77" s="112"/>
      <c r="AB77" s="117"/>
      <c r="AC77" s="118">
        <v>25.5</v>
      </c>
      <c r="AD77" s="112"/>
      <c r="AE77" s="114">
        <v>10</v>
      </c>
      <c r="AF77" s="112" t="s">
        <v>88</v>
      </c>
      <c r="AG77" s="114" t="s">
        <v>99</v>
      </c>
      <c r="AH77" s="118">
        <v>12.5</v>
      </c>
      <c r="AI77" s="112">
        <f t="shared" si="26"/>
        <v>125</v>
      </c>
      <c r="AJ77" s="112"/>
      <c r="AK77" s="115" t="s">
        <v>89</v>
      </c>
      <c r="AL77" s="114">
        <v>10</v>
      </c>
      <c r="AM77" s="112">
        <v>18</v>
      </c>
      <c r="AN77" s="112">
        <f t="shared" si="18"/>
        <v>180</v>
      </c>
      <c r="AO77" s="112"/>
      <c r="AP77" s="112"/>
      <c r="AQ77" s="112">
        <f t="shared" si="19"/>
        <v>0</v>
      </c>
      <c r="AR77" s="112">
        <f t="shared" si="20"/>
        <v>180</v>
      </c>
      <c r="AS77" s="112"/>
      <c r="AT77" s="110" t="s">
        <v>143</v>
      </c>
      <c r="AU77" s="111">
        <v>46141</v>
      </c>
      <c r="AV77" s="112">
        <f t="shared" si="21"/>
        <v>18</v>
      </c>
      <c r="AW77" s="112">
        <f t="shared" si="22"/>
        <v>180</v>
      </c>
      <c r="AX77" s="112"/>
      <c r="AY77" s="114" t="s">
        <v>331</v>
      </c>
      <c r="AZ77" s="119">
        <v>46153</v>
      </c>
      <c r="BA77" s="112">
        <f t="shared" si="23"/>
        <v>18</v>
      </c>
      <c r="BB77" s="112">
        <f t="shared" si="24"/>
        <v>10</v>
      </c>
      <c r="BC77" s="112">
        <f t="shared" si="25"/>
        <v>180</v>
      </c>
      <c r="BD77" s="112"/>
      <c r="BE77" s="112" t="s">
        <v>340</v>
      </c>
      <c r="BF77" s="113" t="s">
        <v>337</v>
      </c>
      <c r="BG77" s="120" t="s">
        <v>93</v>
      </c>
      <c r="BH77" s="120" t="s">
        <v>145</v>
      </c>
    </row>
    <row r="78" spans="1:60" s="120" customFormat="1" ht="15" customHeight="1">
      <c r="A78" s="112">
        <f t="shared" si="27"/>
        <v>76</v>
      </c>
      <c r="B78" s="113" t="s">
        <v>341</v>
      </c>
      <c r="C78" s="114" t="s">
        <v>334</v>
      </c>
      <c r="D78" s="122"/>
      <c r="E78" s="114" t="s">
        <v>342</v>
      </c>
      <c r="F78" s="112"/>
      <c r="G78" s="115" t="s">
        <v>81</v>
      </c>
      <c r="H78" s="112" t="s">
        <v>82</v>
      </c>
      <c r="I78" s="114" t="s">
        <v>83</v>
      </c>
      <c r="J78" s="114" t="s">
        <v>84</v>
      </c>
      <c r="K78" s="114" t="s">
        <v>83</v>
      </c>
      <c r="L78" s="113" t="s">
        <v>140</v>
      </c>
      <c r="M78" s="113" t="s">
        <v>140</v>
      </c>
      <c r="N78" s="116">
        <v>46112</v>
      </c>
      <c r="O78" s="114">
        <v>139</v>
      </c>
      <c r="P78" s="116">
        <v>46113</v>
      </c>
      <c r="Q78" s="116">
        <v>46125</v>
      </c>
      <c r="R78" s="116">
        <v>46113</v>
      </c>
      <c r="S78" s="112"/>
      <c r="T78" s="112"/>
      <c r="U78" s="112" t="s">
        <v>85</v>
      </c>
      <c r="V78" s="114" t="s">
        <v>99</v>
      </c>
      <c r="W78" s="114">
        <v>139</v>
      </c>
      <c r="X78" s="114">
        <v>133</v>
      </c>
      <c r="Y78" s="112"/>
      <c r="Z78" s="112" t="s">
        <v>87</v>
      </c>
      <c r="AA78" s="112"/>
      <c r="AB78" s="117"/>
      <c r="AC78" s="118">
        <v>25.5</v>
      </c>
      <c r="AD78" s="112"/>
      <c r="AE78" s="114">
        <v>139</v>
      </c>
      <c r="AF78" s="112" t="s">
        <v>88</v>
      </c>
      <c r="AG78" s="114" t="s">
        <v>99</v>
      </c>
      <c r="AH78" s="118">
        <v>12.5</v>
      </c>
      <c r="AI78" s="112">
        <f t="shared" si="26"/>
        <v>1737.5</v>
      </c>
      <c r="AJ78" s="112"/>
      <c r="AK78" s="115" t="s">
        <v>89</v>
      </c>
      <c r="AL78" s="114">
        <v>133</v>
      </c>
      <c r="AM78" s="112">
        <v>18</v>
      </c>
      <c r="AN78" s="112">
        <f t="shared" si="18"/>
        <v>2394</v>
      </c>
      <c r="AO78" s="112"/>
      <c r="AP78" s="112"/>
      <c r="AQ78" s="112">
        <f t="shared" si="19"/>
        <v>0</v>
      </c>
      <c r="AR78" s="112">
        <f t="shared" si="20"/>
        <v>2394</v>
      </c>
      <c r="AS78" s="112"/>
      <c r="AT78" s="110" t="s">
        <v>143</v>
      </c>
      <c r="AU78" s="111">
        <v>46141</v>
      </c>
      <c r="AV78" s="112">
        <f t="shared" si="21"/>
        <v>18</v>
      </c>
      <c r="AW78" s="112">
        <f t="shared" si="22"/>
        <v>2394</v>
      </c>
      <c r="AX78" s="112"/>
      <c r="AY78" s="114" t="s">
        <v>331</v>
      </c>
      <c r="AZ78" s="119">
        <v>46153</v>
      </c>
      <c r="BA78" s="112">
        <f t="shared" si="23"/>
        <v>18</v>
      </c>
      <c r="BB78" s="112">
        <f t="shared" si="24"/>
        <v>133</v>
      </c>
      <c r="BC78" s="112">
        <f t="shared" si="25"/>
        <v>2394</v>
      </c>
      <c r="BD78" s="112"/>
      <c r="BE78" s="112" t="s">
        <v>343</v>
      </c>
      <c r="BF78" s="113" t="s">
        <v>341</v>
      </c>
      <c r="BG78" s="120" t="s">
        <v>93</v>
      </c>
      <c r="BH78" s="120" t="s">
        <v>145</v>
      </c>
    </row>
    <row r="79" spans="1:60" s="120" customFormat="1" ht="15" customHeight="1">
      <c r="A79" s="112">
        <f t="shared" si="27"/>
        <v>77</v>
      </c>
      <c r="B79" s="113" t="s">
        <v>344</v>
      </c>
      <c r="C79" s="114" t="s">
        <v>345</v>
      </c>
      <c r="D79" s="122"/>
      <c r="E79" s="114" t="s">
        <v>346</v>
      </c>
      <c r="F79" s="112"/>
      <c r="G79" s="115" t="s">
        <v>81</v>
      </c>
      <c r="H79" s="112" t="s">
        <v>82</v>
      </c>
      <c r="I79" s="114" t="s">
        <v>83</v>
      </c>
      <c r="J79" s="114" t="s">
        <v>84</v>
      </c>
      <c r="K79" s="114" t="s">
        <v>83</v>
      </c>
      <c r="L79" s="113" t="s">
        <v>140</v>
      </c>
      <c r="M79" s="113" t="s">
        <v>140</v>
      </c>
      <c r="N79" s="116">
        <v>46112</v>
      </c>
      <c r="O79" s="114">
        <v>10</v>
      </c>
      <c r="P79" s="116">
        <v>46113</v>
      </c>
      <c r="Q79" s="116">
        <v>46125</v>
      </c>
      <c r="R79" s="116">
        <v>46113</v>
      </c>
      <c r="S79" s="112"/>
      <c r="T79" s="112"/>
      <c r="U79" s="112" t="s">
        <v>85</v>
      </c>
      <c r="V79" s="114" t="s">
        <v>99</v>
      </c>
      <c r="W79" s="114">
        <v>10</v>
      </c>
      <c r="X79" s="114">
        <v>10</v>
      </c>
      <c r="Y79" s="112"/>
      <c r="Z79" s="112" t="s">
        <v>87</v>
      </c>
      <c r="AA79" s="112"/>
      <c r="AB79" s="117"/>
      <c r="AC79" s="118">
        <v>25.5</v>
      </c>
      <c r="AD79" s="112"/>
      <c r="AE79" s="114">
        <v>10</v>
      </c>
      <c r="AF79" s="112" t="s">
        <v>88</v>
      </c>
      <c r="AG79" s="114" t="s">
        <v>99</v>
      </c>
      <c r="AH79" s="118">
        <v>12.5</v>
      </c>
      <c r="AI79" s="112">
        <f t="shared" si="26"/>
        <v>125</v>
      </c>
      <c r="AJ79" s="112"/>
      <c r="AK79" s="115" t="s">
        <v>89</v>
      </c>
      <c r="AL79" s="114">
        <v>10</v>
      </c>
      <c r="AM79" s="112">
        <v>18</v>
      </c>
      <c r="AN79" s="112">
        <f t="shared" si="18"/>
        <v>180</v>
      </c>
      <c r="AO79" s="112"/>
      <c r="AP79" s="112"/>
      <c r="AQ79" s="112">
        <f t="shared" si="19"/>
        <v>0</v>
      </c>
      <c r="AR79" s="112">
        <f t="shared" si="20"/>
        <v>180</v>
      </c>
      <c r="AS79" s="112"/>
      <c r="AT79" s="110" t="s">
        <v>143</v>
      </c>
      <c r="AU79" s="111">
        <v>46141</v>
      </c>
      <c r="AV79" s="112">
        <f t="shared" si="21"/>
        <v>18</v>
      </c>
      <c r="AW79" s="112">
        <f t="shared" si="22"/>
        <v>180</v>
      </c>
      <c r="AX79" s="112"/>
      <c r="AY79" s="114" t="s">
        <v>331</v>
      </c>
      <c r="AZ79" s="119">
        <v>46153</v>
      </c>
      <c r="BA79" s="112">
        <f t="shared" si="23"/>
        <v>18</v>
      </c>
      <c r="BB79" s="112">
        <f t="shared" si="24"/>
        <v>10</v>
      </c>
      <c r="BC79" s="112">
        <f t="shared" si="25"/>
        <v>180</v>
      </c>
      <c r="BD79" s="112"/>
      <c r="BE79" s="112" t="s">
        <v>347</v>
      </c>
      <c r="BF79" s="113" t="s">
        <v>344</v>
      </c>
      <c r="BG79" s="120" t="s">
        <v>93</v>
      </c>
      <c r="BH79" s="120" t="s">
        <v>145</v>
      </c>
    </row>
    <row r="80" spans="1:60" s="120" customFormat="1" ht="15" customHeight="1">
      <c r="A80" s="112">
        <f t="shared" si="27"/>
        <v>78</v>
      </c>
      <c r="B80" s="113" t="s">
        <v>348</v>
      </c>
      <c r="C80" s="114" t="s">
        <v>345</v>
      </c>
      <c r="D80" s="122"/>
      <c r="E80" s="114" t="s">
        <v>349</v>
      </c>
      <c r="F80" s="112"/>
      <c r="G80" s="115" t="s">
        <v>81</v>
      </c>
      <c r="H80" s="112" t="s">
        <v>82</v>
      </c>
      <c r="I80" s="114" t="s">
        <v>83</v>
      </c>
      <c r="J80" s="114" t="s">
        <v>84</v>
      </c>
      <c r="K80" s="114" t="s">
        <v>83</v>
      </c>
      <c r="L80" s="113" t="s">
        <v>140</v>
      </c>
      <c r="M80" s="113" t="s">
        <v>140</v>
      </c>
      <c r="N80" s="116">
        <v>46112</v>
      </c>
      <c r="O80" s="114">
        <v>139</v>
      </c>
      <c r="P80" s="116">
        <v>46113</v>
      </c>
      <c r="Q80" s="116">
        <v>46125</v>
      </c>
      <c r="R80" s="116">
        <v>46113</v>
      </c>
      <c r="S80" s="112"/>
      <c r="T80" s="112"/>
      <c r="U80" s="112" t="s">
        <v>85</v>
      </c>
      <c r="V80" s="114" t="s">
        <v>99</v>
      </c>
      <c r="W80" s="114">
        <v>139</v>
      </c>
      <c r="X80" s="114">
        <v>133</v>
      </c>
      <c r="Y80" s="112"/>
      <c r="Z80" s="112" t="s">
        <v>87</v>
      </c>
      <c r="AA80" s="112"/>
      <c r="AB80" s="117"/>
      <c r="AC80" s="118">
        <v>25.5</v>
      </c>
      <c r="AD80" s="112"/>
      <c r="AE80" s="114">
        <v>139</v>
      </c>
      <c r="AF80" s="112" t="s">
        <v>88</v>
      </c>
      <c r="AG80" s="114" t="s">
        <v>99</v>
      </c>
      <c r="AH80" s="118">
        <v>12.5</v>
      </c>
      <c r="AI80" s="112">
        <f t="shared" si="26"/>
        <v>1737.5</v>
      </c>
      <c r="AJ80" s="112"/>
      <c r="AK80" s="115" t="s">
        <v>89</v>
      </c>
      <c r="AL80" s="114">
        <v>133</v>
      </c>
      <c r="AM80" s="112">
        <v>18</v>
      </c>
      <c r="AN80" s="112">
        <f t="shared" si="18"/>
        <v>2394</v>
      </c>
      <c r="AO80" s="112"/>
      <c r="AP80" s="112"/>
      <c r="AQ80" s="112">
        <f t="shared" si="19"/>
        <v>0</v>
      </c>
      <c r="AR80" s="112">
        <f t="shared" si="20"/>
        <v>2394</v>
      </c>
      <c r="AS80" s="112"/>
      <c r="AT80" s="110" t="s">
        <v>143</v>
      </c>
      <c r="AU80" s="111">
        <v>46141</v>
      </c>
      <c r="AV80" s="112">
        <f t="shared" si="21"/>
        <v>18</v>
      </c>
      <c r="AW80" s="112">
        <f t="shared" si="22"/>
        <v>2394</v>
      </c>
      <c r="AX80" s="112"/>
      <c r="AY80" s="114" t="s">
        <v>331</v>
      </c>
      <c r="AZ80" s="119">
        <v>46153</v>
      </c>
      <c r="BA80" s="112">
        <f t="shared" si="23"/>
        <v>18</v>
      </c>
      <c r="BB80" s="112">
        <f t="shared" si="24"/>
        <v>133</v>
      </c>
      <c r="BC80" s="112">
        <f t="shared" si="25"/>
        <v>2394</v>
      </c>
      <c r="BD80" s="112"/>
      <c r="BE80" s="112" t="s">
        <v>350</v>
      </c>
      <c r="BF80" s="113" t="s">
        <v>348</v>
      </c>
      <c r="BG80" s="120" t="s">
        <v>93</v>
      </c>
      <c r="BH80" s="120" t="s">
        <v>145</v>
      </c>
    </row>
    <row r="81" spans="1:60" s="120" customFormat="1" ht="15" customHeight="1">
      <c r="A81" s="112">
        <f t="shared" si="27"/>
        <v>79</v>
      </c>
      <c r="B81" s="113" t="s">
        <v>351</v>
      </c>
      <c r="C81" s="114" t="s">
        <v>345</v>
      </c>
      <c r="D81" s="122"/>
      <c r="E81" s="114" t="s">
        <v>352</v>
      </c>
      <c r="F81" s="112"/>
      <c r="G81" s="115" t="s">
        <v>81</v>
      </c>
      <c r="H81" s="112" t="s">
        <v>82</v>
      </c>
      <c r="I81" s="114" t="s">
        <v>83</v>
      </c>
      <c r="J81" s="114" t="s">
        <v>84</v>
      </c>
      <c r="K81" s="114" t="s">
        <v>83</v>
      </c>
      <c r="L81" s="113" t="s">
        <v>140</v>
      </c>
      <c r="M81" s="113" t="s">
        <v>140</v>
      </c>
      <c r="N81" s="116">
        <v>46112</v>
      </c>
      <c r="O81" s="114">
        <v>133</v>
      </c>
      <c r="P81" s="116">
        <v>46113</v>
      </c>
      <c r="Q81" s="116">
        <v>46125</v>
      </c>
      <c r="R81" s="116">
        <v>46113</v>
      </c>
      <c r="S81" s="112"/>
      <c r="T81" s="112"/>
      <c r="U81" s="112" t="s">
        <v>85</v>
      </c>
      <c r="V81" s="114" t="s">
        <v>99</v>
      </c>
      <c r="W81" s="114">
        <v>133</v>
      </c>
      <c r="X81" s="114">
        <v>127</v>
      </c>
      <c r="Y81" s="112"/>
      <c r="Z81" s="112" t="s">
        <v>87</v>
      </c>
      <c r="AA81" s="112"/>
      <c r="AB81" s="117"/>
      <c r="AC81" s="118">
        <v>25.5</v>
      </c>
      <c r="AD81" s="112"/>
      <c r="AE81" s="114">
        <v>133</v>
      </c>
      <c r="AF81" s="112" t="s">
        <v>88</v>
      </c>
      <c r="AG81" s="114" t="s">
        <v>99</v>
      </c>
      <c r="AH81" s="118">
        <v>12.5</v>
      </c>
      <c r="AI81" s="112">
        <f t="shared" si="26"/>
        <v>1662.5</v>
      </c>
      <c r="AJ81" s="112"/>
      <c r="AK81" s="115" t="s">
        <v>89</v>
      </c>
      <c r="AL81" s="114">
        <v>127</v>
      </c>
      <c r="AM81" s="112">
        <v>18</v>
      </c>
      <c r="AN81" s="112">
        <f t="shared" si="18"/>
        <v>2286</v>
      </c>
      <c r="AO81" s="112"/>
      <c r="AP81" s="112"/>
      <c r="AQ81" s="112">
        <f t="shared" si="19"/>
        <v>0</v>
      </c>
      <c r="AR81" s="112">
        <f t="shared" si="20"/>
        <v>2286</v>
      </c>
      <c r="AS81" s="112"/>
      <c r="AT81" s="110" t="s">
        <v>143</v>
      </c>
      <c r="AU81" s="111">
        <v>46141</v>
      </c>
      <c r="AV81" s="112">
        <f t="shared" si="21"/>
        <v>18</v>
      </c>
      <c r="AW81" s="112">
        <f t="shared" si="22"/>
        <v>2286</v>
      </c>
      <c r="AX81" s="112"/>
      <c r="AY81" s="114" t="s">
        <v>331</v>
      </c>
      <c r="AZ81" s="119">
        <v>46153</v>
      </c>
      <c r="BA81" s="112">
        <f t="shared" si="23"/>
        <v>18</v>
      </c>
      <c r="BB81" s="112">
        <f t="shared" si="24"/>
        <v>127</v>
      </c>
      <c r="BC81" s="112">
        <f t="shared" si="25"/>
        <v>2286</v>
      </c>
      <c r="BD81" s="112"/>
      <c r="BE81" s="112" t="s">
        <v>353</v>
      </c>
      <c r="BF81" s="113" t="s">
        <v>351</v>
      </c>
      <c r="BG81" s="120" t="s">
        <v>93</v>
      </c>
      <c r="BH81" s="120" t="s">
        <v>145</v>
      </c>
    </row>
    <row r="82" spans="1:60" s="120" customFormat="1" ht="15" customHeight="1">
      <c r="A82" s="112">
        <f t="shared" si="27"/>
        <v>80</v>
      </c>
      <c r="B82" s="113" t="s">
        <v>354</v>
      </c>
      <c r="C82" s="114" t="s">
        <v>345</v>
      </c>
      <c r="D82" s="122"/>
      <c r="E82" s="114" t="s">
        <v>355</v>
      </c>
      <c r="F82" s="112"/>
      <c r="G82" s="115" t="s">
        <v>81</v>
      </c>
      <c r="H82" s="112" t="s">
        <v>82</v>
      </c>
      <c r="I82" s="114" t="s">
        <v>83</v>
      </c>
      <c r="J82" s="114" t="s">
        <v>84</v>
      </c>
      <c r="K82" s="114" t="s">
        <v>83</v>
      </c>
      <c r="L82" s="113" t="s">
        <v>140</v>
      </c>
      <c r="M82" s="113" t="s">
        <v>140</v>
      </c>
      <c r="N82" s="116">
        <v>46112</v>
      </c>
      <c r="O82" s="114">
        <v>68</v>
      </c>
      <c r="P82" s="116">
        <v>46113</v>
      </c>
      <c r="Q82" s="116">
        <v>46125</v>
      </c>
      <c r="R82" s="116">
        <v>46113</v>
      </c>
      <c r="S82" s="112"/>
      <c r="T82" s="112"/>
      <c r="U82" s="112" t="s">
        <v>85</v>
      </c>
      <c r="V82" s="114" t="s">
        <v>99</v>
      </c>
      <c r="W82" s="114">
        <v>68</v>
      </c>
      <c r="X82" s="114">
        <v>66</v>
      </c>
      <c r="Y82" s="112"/>
      <c r="Z82" s="112" t="s">
        <v>87</v>
      </c>
      <c r="AA82" s="112"/>
      <c r="AB82" s="117"/>
      <c r="AC82" s="118">
        <v>25.5</v>
      </c>
      <c r="AD82" s="112"/>
      <c r="AE82" s="114">
        <v>68</v>
      </c>
      <c r="AF82" s="112" t="s">
        <v>88</v>
      </c>
      <c r="AG82" s="114" t="s">
        <v>99</v>
      </c>
      <c r="AH82" s="118">
        <v>12.5</v>
      </c>
      <c r="AI82" s="112">
        <f t="shared" si="26"/>
        <v>850</v>
      </c>
      <c r="AJ82" s="112"/>
      <c r="AK82" s="115" t="s">
        <v>89</v>
      </c>
      <c r="AL82" s="114">
        <v>66</v>
      </c>
      <c r="AM82" s="112">
        <v>18</v>
      </c>
      <c r="AN82" s="112">
        <f t="shared" ref="AN82:AN86" si="28">IF(AL82&lt;&gt;"",AM82*AL82,0)</f>
        <v>1188</v>
      </c>
      <c r="AO82" s="112"/>
      <c r="AP82" s="112"/>
      <c r="AQ82" s="112">
        <f t="shared" ref="AQ82:AQ86" si="29">IF(AO82&lt;&gt;"",AP82*AO82,0)</f>
        <v>0</v>
      </c>
      <c r="AR82" s="112">
        <f t="shared" ref="AR82:AR86" si="30">AQ82+AN82</f>
        <v>1188</v>
      </c>
      <c r="AS82" s="112"/>
      <c r="AT82" s="110" t="s">
        <v>143</v>
      </c>
      <c r="AU82" s="111">
        <v>46141</v>
      </c>
      <c r="AV82" s="112">
        <f t="shared" ref="AV82:AV86" si="31">AM82</f>
        <v>18</v>
      </c>
      <c r="AW82" s="112">
        <f t="shared" ref="AW82:AW86" si="32">AV82*AL82</f>
        <v>1188</v>
      </c>
      <c r="AX82" s="112"/>
      <c r="AY82" s="114" t="s">
        <v>331</v>
      </c>
      <c r="AZ82" s="119">
        <v>46153</v>
      </c>
      <c r="BA82" s="112">
        <f t="shared" ref="BA82:BA86" si="33">AM82</f>
        <v>18</v>
      </c>
      <c r="BB82" s="112">
        <f t="shared" ref="BB82:BB86" si="34">AL82</f>
        <v>66</v>
      </c>
      <c r="BC82" s="112">
        <f t="shared" ref="BC82:BC86" si="35">IF(BB82&lt;&gt;"",BB82*BA82,0)</f>
        <v>1188</v>
      </c>
      <c r="BD82" s="112"/>
      <c r="BE82" s="112" t="s">
        <v>356</v>
      </c>
      <c r="BF82" s="113" t="s">
        <v>354</v>
      </c>
      <c r="BG82" s="120" t="s">
        <v>93</v>
      </c>
      <c r="BH82" s="120" t="s">
        <v>145</v>
      </c>
    </row>
    <row r="83" spans="1:60" s="120" customFormat="1" ht="15" customHeight="1">
      <c r="A83" s="112">
        <f t="shared" si="27"/>
        <v>81</v>
      </c>
      <c r="B83" s="113" t="s">
        <v>357</v>
      </c>
      <c r="C83" s="114" t="s">
        <v>358</v>
      </c>
      <c r="D83" s="122"/>
      <c r="E83" s="114" t="s">
        <v>359</v>
      </c>
      <c r="F83" s="112"/>
      <c r="G83" s="115" t="s">
        <v>81</v>
      </c>
      <c r="H83" s="112" t="s">
        <v>82</v>
      </c>
      <c r="I83" s="114" t="s">
        <v>83</v>
      </c>
      <c r="J83" s="114" t="s">
        <v>84</v>
      </c>
      <c r="K83" s="114" t="s">
        <v>83</v>
      </c>
      <c r="L83" s="113" t="s">
        <v>140</v>
      </c>
      <c r="M83" s="113" t="s">
        <v>140</v>
      </c>
      <c r="N83" s="116">
        <v>46112</v>
      </c>
      <c r="O83" s="114">
        <v>10</v>
      </c>
      <c r="P83" s="116">
        <v>46113</v>
      </c>
      <c r="Q83" s="116">
        <v>46125</v>
      </c>
      <c r="R83" s="116">
        <v>46113</v>
      </c>
      <c r="S83" s="112"/>
      <c r="T83" s="112"/>
      <c r="U83" s="112" t="s">
        <v>85</v>
      </c>
      <c r="V83" s="114" t="s">
        <v>99</v>
      </c>
      <c r="W83" s="114">
        <v>10</v>
      </c>
      <c r="X83" s="114">
        <v>10</v>
      </c>
      <c r="Y83" s="112"/>
      <c r="Z83" s="112" t="s">
        <v>87</v>
      </c>
      <c r="AA83" s="112"/>
      <c r="AB83" s="117"/>
      <c r="AC83" s="118">
        <v>25.5</v>
      </c>
      <c r="AD83" s="112"/>
      <c r="AE83" s="114">
        <v>10</v>
      </c>
      <c r="AF83" s="112" t="s">
        <v>88</v>
      </c>
      <c r="AG83" s="114" t="s">
        <v>99</v>
      </c>
      <c r="AH83" s="118">
        <v>12.5</v>
      </c>
      <c r="AI83" s="112">
        <f t="shared" si="26"/>
        <v>125</v>
      </c>
      <c r="AJ83" s="112"/>
      <c r="AK83" s="115" t="s">
        <v>89</v>
      </c>
      <c r="AL83" s="114">
        <v>10</v>
      </c>
      <c r="AM83" s="112">
        <v>18</v>
      </c>
      <c r="AN83" s="112">
        <f t="shared" si="28"/>
        <v>180</v>
      </c>
      <c r="AO83" s="112"/>
      <c r="AP83" s="112"/>
      <c r="AQ83" s="112">
        <f t="shared" si="29"/>
        <v>0</v>
      </c>
      <c r="AR83" s="112">
        <f t="shared" si="30"/>
        <v>180</v>
      </c>
      <c r="AS83" s="112"/>
      <c r="AT83" s="110" t="s">
        <v>143</v>
      </c>
      <c r="AU83" s="111">
        <v>46141</v>
      </c>
      <c r="AV83" s="112">
        <f t="shared" si="31"/>
        <v>18</v>
      </c>
      <c r="AW83" s="112">
        <f t="shared" si="32"/>
        <v>180</v>
      </c>
      <c r="AX83" s="112"/>
      <c r="AY83" s="114" t="s">
        <v>331</v>
      </c>
      <c r="AZ83" s="119">
        <v>46153</v>
      </c>
      <c r="BA83" s="112">
        <f t="shared" si="33"/>
        <v>18</v>
      </c>
      <c r="BB83" s="112">
        <f t="shared" si="34"/>
        <v>10</v>
      </c>
      <c r="BC83" s="112">
        <f t="shared" si="35"/>
        <v>180</v>
      </c>
      <c r="BD83" s="112"/>
      <c r="BE83" s="112" t="s">
        <v>360</v>
      </c>
      <c r="BF83" s="113" t="s">
        <v>357</v>
      </c>
      <c r="BG83" s="120" t="s">
        <v>93</v>
      </c>
      <c r="BH83" s="120" t="s">
        <v>145</v>
      </c>
    </row>
    <row r="84" spans="1:60" s="120" customFormat="1" ht="15" customHeight="1">
      <c r="A84" s="112">
        <f t="shared" si="27"/>
        <v>82</v>
      </c>
      <c r="B84" s="113" t="s">
        <v>361</v>
      </c>
      <c r="C84" s="114" t="s">
        <v>358</v>
      </c>
      <c r="D84" s="122"/>
      <c r="E84" s="114" t="s">
        <v>362</v>
      </c>
      <c r="F84" s="112"/>
      <c r="G84" s="115" t="s">
        <v>81</v>
      </c>
      <c r="H84" s="112" t="s">
        <v>82</v>
      </c>
      <c r="I84" s="114" t="s">
        <v>83</v>
      </c>
      <c r="J84" s="114" t="s">
        <v>84</v>
      </c>
      <c r="K84" s="114" t="s">
        <v>83</v>
      </c>
      <c r="L84" s="113" t="s">
        <v>140</v>
      </c>
      <c r="M84" s="113" t="s">
        <v>140</v>
      </c>
      <c r="N84" s="116">
        <v>46112</v>
      </c>
      <c r="O84" s="114">
        <v>91</v>
      </c>
      <c r="P84" s="116">
        <v>46113</v>
      </c>
      <c r="Q84" s="116">
        <v>46125</v>
      </c>
      <c r="R84" s="116">
        <v>46113</v>
      </c>
      <c r="S84" s="112"/>
      <c r="T84" s="112"/>
      <c r="U84" s="112" t="s">
        <v>85</v>
      </c>
      <c r="V84" s="114" t="s">
        <v>86</v>
      </c>
      <c r="W84" s="114">
        <v>91</v>
      </c>
      <c r="X84" s="114">
        <v>91</v>
      </c>
      <c r="Y84" s="112"/>
      <c r="Z84" s="112" t="s">
        <v>87</v>
      </c>
      <c r="AA84" s="112"/>
      <c r="AB84" s="117"/>
      <c r="AC84" s="118">
        <v>30.5</v>
      </c>
      <c r="AD84" s="112"/>
      <c r="AE84" s="114">
        <v>91</v>
      </c>
      <c r="AF84" s="112" t="s">
        <v>88</v>
      </c>
      <c r="AG84" s="114" t="s">
        <v>86</v>
      </c>
      <c r="AH84" s="118">
        <v>24.5</v>
      </c>
      <c r="AI84" s="112">
        <f t="shared" si="26"/>
        <v>2229.5</v>
      </c>
      <c r="AJ84" s="112"/>
      <c r="AK84" s="115" t="s">
        <v>89</v>
      </c>
      <c r="AL84" s="114">
        <v>91</v>
      </c>
      <c r="AM84" s="112">
        <v>18</v>
      </c>
      <c r="AN84" s="112">
        <f t="shared" si="28"/>
        <v>1638</v>
      </c>
      <c r="AO84" s="112"/>
      <c r="AP84" s="112"/>
      <c r="AQ84" s="112">
        <f t="shared" si="29"/>
        <v>0</v>
      </c>
      <c r="AR84" s="112">
        <f t="shared" si="30"/>
        <v>1638</v>
      </c>
      <c r="AS84" s="112"/>
      <c r="AT84" s="110" t="s">
        <v>143</v>
      </c>
      <c r="AU84" s="111">
        <v>46141</v>
      </c>
      <c r="AV84" s="112">
        <f t="shared" si="31"/>
        <v>18</v>
      </c>
      <c r="AW84" s="112">
        <f t="shared" si="32"/>
        <v>1638</v>
      </c>
      <c r="AX84" s="112"/>
      <c r="AY84" s="114" t="s">
        <v>331</v>
      </c>
      <c r="AZ84" s="119">
        <v>46153</v>
      </c>
      <c r="BA84" s="112">
        <f t="shared" si="33"/>
        <v>18</v>
      </c>
      <c r="BB84" s="112">
        <f t="shared" si="34"/>
        <v>91</v>
      </c>
      <c r="BC84" s="112">
        <f t="shared" si="35"/>
        <v>1638</v>
      </c>
      <c r="BD84" s="112"/>
      <c r="BE84" s="112" t="s">
        <v>363</v>
      </c>
      <c r="BF84" s="113" t="s">
        <v>361</v>
      </c>
      <c r="BG84" s="120" t="s">
        <v>93</v>
      </c>
      <c r="BH84" s="120" t="s">
        <v>145</v>
      </c>
    </row>
    <row r="85" spans="1:60" s="120" customFormat="1" ht="15" customHeight="1">
      <c r="A85" s="112">
        <f t="shared" si="27"/>
        <v>83</v>
      </c>
      <c r="B85" s="113" t="s">
        <v>364</v>
      </c>
      <c r="C85" s="114" t="s">
        <v>358</v>
      </c>
      <c r="D85" s="122"/>
      <c r="E85" s="114" t="s">
        <v>365</v>
      </c>
      <c r="F85" s="112"/>
      <c r="G85" s="115" t="s">
        <v>81</v>
      </c>
      <c r="H85" s="112" t="s">
        <v>82</v>
      </c>
      <c r="I85" s="114" t="s">
        <v>83</v>
      </c>
      <c r="J85" s="114" t="s">
        <v>84</v>
      </c>
      <c r="K85" s="114" t="s">
        <v>83</v>
      </c>
      <c r="L85" s="113" t="s">
        <v>140</v>
      </c>
      <c r="M85" s="113" t="s">
        <v>140</v>
      </c>
      <c r="N85" s="116">
        <v>46112</v>
      </c>
      <c r="O85" s="114">
        <v>110</v>
      </c>
      <c r="P85" s="116">
        <v>46113</v>
      </c>
      <c r="Q85" s="116">
        <v>46125</v>
      </c>
      <c r="R85" s="116">
        <v>46113</v>
      </c>
      <c r="S85" s="112"/>
      <c r="T85" s="112"/>
      <c r="U85" s="112" t="s">
        <v>85</v>
      </c>
      <c r="V85" s="114" t="s">
        <v>99</v>
      </c>
      <c r="W85" s="114">
        <v>110</v>
      </c>
      <c r="X85" s="114">
        <v>104</v>
      </c>
      <c r="Y85" s="112"/>
      <c r="Z85" s="112" t="s">
        <v>87</v>
      </c>
      <c r="AA85" s="112"/>
      <c r="AB85" s="117"/>
      <c r="AC85" s="118">
        <v>25.5</v>
      </c>
      <c r="AD85" s="112"/>
      <c r="AE85" s="114">
        <v>110</v>
      </c>
      <c r="AF85" s="112" t="s">
        <v>88</v>
      </c>
      <c r="AG85" s="114" t="s">
        <v>99</v>
      </c>
      <c r="AH85" s="118">
        <v>12.5</v>
      </c>
      <c r="AI85" s="112">
        <f t="shared" si="26"/>
        <v>1375</v>
      </c>
      <c r="AJ85" s="112"/>
      <c r="AK85" s="115" t="s">
        <v>89</v>
      </c>
      <c r="AL85" s="114">
        <v>104</v>
      </c>
      <c r="AM85" s="112">
        <v>18</v>
      </c>
      <c r="AN85" s="112">
        <f t="shared" ref="AN85" si="36">IF(AL85&lt;&gt;"",AM85*AL85,0)</f>
        <v>1872</v>
      </c>
      <c r="AO85" s="112"/>
      <c r="AP85" s="112"/>
      <c r="AQ85" s="112">
        <f t="shared" ref="AQ85" si="37">IF(AO85&lt;&gt;"",AP85*AO85,0)</f>
        <v>0</v>
      </c>
      <c r="AR85" s="112">
        <f t="shared" ref="AR85" si="38">AQ85+AN85</f>
        <v>1872</v>
      </c>
      <c r="AS85" s="112"/>
      <c r="AT85" s="110" t="s">
        <v>143</v>
      </c>
      <c r="AU85" s="111">
        <v>46141</v>
      </c>
      <c r="AV85" s="112">
        <f t="shared" ref="AV85" si="39">AM85</f>
        <v>18</v>
      </c>
      <c r="AW85" s="112">
        <f t="shared" ref="AW85" si="40">AV85*AL85</f>
        <v>1872</v>
      </c>
      <c r="AX85" s="112"/>
      <c r="AY85" s="114" t="s">
        <v>331</v>
      </c>
      <c r="AZ85" s="119">
        <v>46153</v>
      </c>
      <c r="BA85" s="112">
        <f t="shared" ref="BA85" si="41">AM85</f>
        <v>18</v>
      </c>
      <c r="BB85" s="112">
        <f t="shared" ref="BB85" si="42">AL85</f>
        <v>104</v>
      </c>
      <c r="BC85" s="112">
        <f t="shared" ref="BC85" si="43">IF(BB85&lt;&gt;"",BB85*BA85,0)</f>
        <v>1872</v>
      </c>
      <c r="BD85" s="112"/>
      <c r="BE85" s="112" t="s">
        <v>366</v>
      </c>
      <c r="BF85" s="113" t="s">
        <v>364</v>
      </c>
      <c r="BG85" s="120" t="s">
        <v>93</v>
      </c>
      <c r="BH85" s="120" t="s">
        <v>145</v>
      </c>
    </row>
    <row r="86" spans="1:60" s="120" customFormat="1" ht="15" customHeight="1">
      <c r="A86" s="112">
        <f t="shared" si="27"/>
        <v>84</v>
      </c>
      <c r="B86" s="113" t="s">
        <v>367</v>
      </c>
      <c r="C86" s="114" t="s">
        <v>368</v>
      </c>
      <c r="D86" s="122"/>
      <c r="E86" s="114" t="s">
        <v>362</v>
      </c>
      <c r="F86" s="112"/>
      <c r="G86" s="115" t="s">
        <v>81</v>
      </c>
      <c r="H86" s="112" t="s">
        <v>82</v>
      </c>
      <c r="I86" s="114" t="s">
        <v>83</v>
      </c>
      <c r="J86" s="114" t="s">
        <v>84</v>
      </c>
      <c r="K86" s="114" t="s">
        <v>83</v>
      </c>
      <c r="L86" s="113" t="s">
        <v>140</v>
      </c>
      <c r="M86" s="113" t="s">
        <v>140</v>
      </c>
      <c r="N86" s="116">
        <v>46112</v>
      </c>
      <c r="O86" s="114">
        <v>122</v>
      </c>
      <c r="P86" s="116">
        <v>46113</v>
      </c>
      <c r="Q86" s="116">
        <v>46125</v>
      </c>
      <c r="R86" s="116">
        <v>46113</v>
      </c>
      <c r="S86" s="112"/>
      <c r="T86" s="112"/>
      <c r="U86" s="112" t="s">
        <v>85</v>
      </c>
      <c r="V86" s="114" t="s">
        <v>99</v>
      </c>
      <c r="W86" s="114">
        <v>122</v>
      </c>
      <c r="X86" s="114">
        <v>117</v>
      </c>
      <c r="Y86" s="112"/>
      <c r="Z86" s="112" t="s">
        <v>87</v>
      </c>
      <c r="AA86" s="112"/>
      <c r="AB86" s="117"/>
      <c r="AC86" s="118">
        <v>25.5</v>
      </c>
      <c r="AD86" s="112"/>
      <c r="AE86" s="114">
        <v>122</v>
      </c>
      <c r="AF86" s="112" t="s">
        <v>88</v>
      </c>
      <c r="AG86" s="114" t="s">
        <v>99</v>
      </c>
      <c r="AH86" s="118">
        <v>12.5</v>
      </c>
      <c r="AI86" s="112">
        <f t="shared" si="26"/>
        <v>1525</v>
      </c>
      <c r="AJ86" s="112"/>
      <c r="AK86" s="115" t="s">
        <v>89</v>
      </c>
      <c r="AL86" s="114">
        <v>117</v>
      </c>
      <c r="AM86" s="112">
        <v>18</v>
      </c>
      <c r="AN86" s="112">
        <f t="shared" si="28"/>
        <v>2106</v>
      </c>
      <c r="AO86" s="112"/>
      <c r="AP86" s="112"/>
      <c r="AQ86" s="112">
        <f t="shared" si="29"/>
        <v>0</v>
      </c>
      <c r="AR86" s="112">
        <f t="shared" si="30"/>
        <v>2106</v>
      </c>
      <c r="AS86" s="112"/>
      <c r="AT86" s="110" t="s">
        <v>143</v>
      </c>
      <c r="AU86" s="111">
        <v>46141</v>
      </c>
      <c r="AV86" s="112">
        <f t="shared" si="31"/>
        <v>18</v>
      </c>
      <c r="AW86" s="112">
        <f t="shared" si="32"/>
        <v>2106</v>
      </c>
      <c r="AX86" s="112"/>
      <c r="AY86" s="114" t="s">
        <v>331</v>
      </c>
      <c r="AZ86" s="119">
        <v>46153</v>
      </c>
      <c r="BA86" s="112">
        <f t="shared" si="33"/>
        <v>18</v>
      </c>
      <c r="BB86" s="112">
        <f t="shared" si="34"/>
        <v>117</v>
      </c>
      <c r="BC86" s="112">
        <f t="shared" si="35"/>
        <v>2106</v>
      </c>
      <c r="BD86" s="112"/>
      <c r="BE86" s="112" t="s">
        <v>369</v>
      </c>
      <c r="BF86" s="113" t="s">
        <v>367</v>
      </c>
      <c r="BG86" s="120" t="s">
        <v>93</v>
      </c>
      <c r="BH86" s="120" t="s">
        <v>145</v>
      </c>
    </row>
    <row r="87" spans="1:60" s="120" customFormat="1" ht="15" customHeight="1">
      <c r="A87" s="112">
        <f t="shared" si="27"/>
        <v>85</v>
      </c>
      <c r="B87" s="113" t="s">
        <v>370</v>
      </c>
      <c r="C87" s="114" t="s">
        <v>371</v>
      </c>
      <c r="D87" s="122"/>
      <c r="E87" s="114" t="s">
        <v>372</v>
      </c>
      <c r="F87" s="112"/>
      <c r="G87" s="115" t="s">
        <v>81</v>
      </c>
      <c r="H87" s="112" t="s">
        <v>82</v>
      </c>
      <c r="I87" s="114" t="s">
        <v>83</v>
      </c>
      <c r="J87" s="114" t="s">
        <v>84</v>
      </c>
      <c r="K87" s="114" t="s">
        <v>83</v>
      </c>
      <c r="L87" s="113" t="s">
        <v>371</v>
      </c>
      <c r="M87" s="113" t="s">
        <v>371</v>
      </c>
      <c r="N87" s="116">
        <v>46112</v>
      </c>
      <c r="O87" s="114">
        <v>572</v>
      </c>
      <c r="P87" s="116">
        <v>46114</v>
      </c>
      <c r="Q87" s="116">
        <v>46147</v>
      </c>
      <c r="R87" s="116">
        <v>46114</v>
      </c>
      <c r="S87" s="112"/>
      <c r="T87" s="112"/>
      <c r="U87" s="112" t="s">
        <v>85</v>
      </c>
      <c r="V87" s="114" t="s">
        <v>142</v>
      </c>
      <c r="W87" s="114">
        <v>572</v>
      </c>
      <c r="X87" s="114">
        <v>551</v>
      </c>
      <c r="Y87" s="112"/>
      <c r="Z87" s="112" t="s">
        <v>87</v>
      </c>
      <c r="AA87" s="112"/>
      <c r="AB87" s="117"/>
      <c r="AC87" s="118">
        <v>35.5</v>
      </c>
      <c r="AD87" s="112"/>
      <c r="AE87" s="114">
        <v>572</v>
      </c>
      <c r="AF87" s="112" t="s">
        <v>88</v>
      </c>
      <c r="AG87" s="114" t="s">
        <v>142</v>
      </c>
      <c r="AH87" s="118">
        <v>38.5</v>
      </c>
      <c r="AI87" s="112">
        <f t="shared" si="26"/>
        <v>22022</v>
      </c>
      <c r="AJ87" s="112"/>
      <c r="AK87" s="115" t="s">
        <v>89</v>
      </c>
      <c r="AL87" s="114">
        <v>551</v>
      </c>
      <c r="AM87" s="112">
        <v>20</v>
      </c>
      <c r="AN87" s="112">
        <f t="shared" ref="AN87" si="44">IF(AL87&lt;&gt;"",AM87*AL87,0)</f>
        <v>11020</v>
      </c>
      <c r="AO87" s="112"/>
      <c r="AP87" s="112"/>
      <c r="AQ87" s="112">
        <f t="shared" ref="AQ87" si="45">IF(AO87&lt;&gt;"",AP87*AO87,0)</f>
        <v>0</v>
      </c>
      <c r="AR87" s="112">
        <f t="shared" ref="AR87" si="46">AQ87+AN87</f>
        <v>11020</v>
      </c>
      <c r="AS87" s="112"/>
      <c r="AT87" s="110" t="s">
        <v>373</v>
      </c>
      <c r="AU87" s="111">
        <v>46146</v>
      </c>
      <c r="AV87" s="112">
        <f t="shared" ref="AV87" si="47">AM87</f>
        <v>20</v>
      </c>
      <c r="AW87" s="112">
        <f t="shared" ref="AW87" si="48">AV87*AL87</f>
        <v>11020</v>
      </c>
      <c r="AX87" s="112"/>
      <c r="AY87" s="114" t="s">
        <v>374</v>
      </c>
      <c r="AZ87" s="119">
        <v>46156</v>
      </c>
      <c r="BA87" s="112">
        <f t="shared" ref="BA87" si="49">AM87</f>
        <v>20</v>
      </c>
      <c r="BB87" s="112">
        <f t="shared" ref="BB87" si="50">AL87</f>
        <v>551</v>
      </c>
      <c r="BC87" s="112">
        <f t="shared" ref="BC87" si="51">IF(BB87&lt;&gt;"",BB87*BA87,0)</f>
        <v>11020</v>
      </c>
      <c r="BD87" s="112"/>
      <c r="BE87" s="112" t="s">
        <v>92</v>
      </c>
      <c r="BF87" s="113" t="s">
        <v>370</v>
      </c>
      <c r="BG87" s="120" t="s">
        <v>93</v>
      </c>
      <c r="BH87" s="120" t="s">
        <v>145</v>
      </c>
    </row>
    <row r="88" spans="1:60" s="120" customFormat="1" ht="15" customHeight="1">
      <c r="A88" s="112">
        <f t="shared" si="27"/>
        <v>86</v>
      </c>
      <c r="B88" s="113" t="s">
        <v>375</v>
      </c>
      <c r="C88" s="114" t="s">
        <v>376</v>
      </c>
      <c r="D88" s="122"/>
      <c r="E88" s="114" t="s">
        <v>377</v>
      </c>
      <c r="F88" s="112"/>
      <c r="G88" s="115" t="s">
        <v>81</v>
      </c>
      <c r="H88" s="112" t="s">
        <v>82</v>
      </c>
      <c r="I88" s="114" t="s">
        <v>83</v>
      </c>
      <c r="J88" s="114" t="s">
        <v>84</v>
      </c>
      <c r="K88" s="114" t="s">
        <v>83</v>
      </c>
      <c r="L88" s="113" t="s">
        <v>371</v>
      </c>
      <c r="M88" s="113" t="s">
        <v>371</v>
      </c>
      <c r="N88" s="116">
        <v>46112</v>
      </c>
      <c r="O88" s="114">
        <v>143</v>
      </c>
      <c r="P88" s="116">
        <v>46114</v>
      </c>
      <c r="Q88" s="116">
        <v>46147</v>
      </c>
      <c r="R88" s="116">
        <v>46114</v>
      </c>
      <c r="S88" s="112"/>
      <c r="T88" s="112"/>
      <c r="U88" s="112" t="s">
        <v>85</v>
      </c>
      <c r="V88" s="114" t="s">
        <v>142</v>
      </c>
      <c r="W88" s="114">
        <v>143</v>
      </c>
      <c r="X88" s="114">
        <v>133</v>
      </c>
      <c r="Y88" s="112"/>
      <c r="Z88" s="112" t="s">
        <v>87</v>
      </c>
      <c r="AA88" s="112"/>
      <c r="AB88" s="117"/>
      <c r="AC88" s="118">
        <v>35.5</v>
      </c>
      <c r="AD88" s="112"/>
      <c r="AE88" s="114">
        <v>143</v>
      </c>
      <c r="AF88" s="112" t="s">
        <v>88</v>
      </c>
      <c r="AG88" s="114" t="s">
        <v>142</v>
      </c>
      <c r="AH88" s="118">
        <v>38.5</v>
      </c>
      <c r="AI88" s="112">
        <f t="shared" ref="AI88:AI151" si="52">IF(AE88&lt;&gt;"",AH88*AE88,0)</f>
        <v>5505.5</v>
      </c>
      <c r="AJ88" s="112"/>
      <c r="AK88" s="115" t="s">
        <v>89</v>
      </c>
      <c r="AL88" s="114">
        <v>133</v>
      </c>
      <c r="AM88" s="112">
        <v>20</v>
      </c>
      <c r="AN88" s="112">
        <f t="shared" ref="AN88:AN151" si="53">IF(AL88&lt;&gt;"",AM88*AL88,0)</f>
        <v>2660</v>
      </c>
      <c r="AO88" s="112"/>
      <c r="AP88" s="112"/>
      <c r="AQ88" s="112">
        <f t="shared" ref="AQ88:AQ151" si="54">IF(AO88&lt;&gt;"",AP88*AO88,0)</f>
        <v>0</v>
      </c>
      <c r="AR88" s="112">
        <f t="shared" ref="AR88:AR151" si="55">AQ88+AN88</f>
        <v>2660</v>
      </c>
      <c r="AS88" s="112"/>
      <c r="AT88" s="110" t="s">
        <v>373</v>
      </c>
      <c r="AU88" s="111">
        <v>46146</v>
      </c>
      <c r="AV88" s="112">
        <f t="shared" ref="AV88:AV151" si="56">AM88</f>
        <v>20</v>
      </c>
      <c r="AW88" s="112">
        <f t="shared" ref="AW88:AW151" si="57">AV88*AL88</f>
        <v>2660</v>
      </c>
      <c r="AX88" s="112"/>
      <c r="AY88" s="114" t="s">
        <v>374</v>
      </c>
      <c r="AZ88" s="119">
        <v>46156</v>
      </c>
      <c r="BA88" s="112">
        <f t="shared" ref="BA88:BA151" si="58">AM88</f>
        <v>20</v>
      </c>
      <c r="BB88" s="112">
        <f t="shared" ref="BB88:BB151" si="59">AL88</f>
        <v>133</v>
      </c>
      <c r="BC88" s="112">
        <f t="shared" ref="BC88:BC151" si="60">IF(BB88&lt;&gt;"",BB88*BA88,0)</f>
        <v>2660</v>
      </c>
      <c r="BD88" s="112"/>
      <c r="BE88" s="112" t="s">
        <v>96</v>
      </c>
      <c r="BF88" s="113" t="s">
        <v>375</v>
      </c>
      <c r="BG88" s="120" t="s">
        <v>93</v>
      </c>
      <c r="BH88" s="120" t="s">
        <v>145</v>
      </c>
    </row>
    <row r="89" spans="1:60" s="120" customFormat="1" ht="15" customHeight="1">
      <c r="A89" s="112">
        <f t="shared" si="27"/>
        <v>87</v>
      </c>
      <c r="B89" s="113" t="s">
        <v>378</v>
      </c>
      <c r="C89" s="114" t="s">
        <v>371</v>
      </c>
      <c r="D89" s="122"/>
      <c r="E89" s="114" t="s">
        <v>379</v>
      </c>
      <c r="F89" s="112"/>
      <c r="G89" s="115" t="s">
        <v>81</v>
      </c>
      <c r="H89" s="112" t="s">
        <v>82</v>
      </c>
      <c r="I89" s="114" t="s">
        <v>83</v>
      </c>
      <c r="J89" s="114" t="s">
        <v>84</v>
      </c>
      <c r="K89" s="114" t="s">
        <v>83</v>
      </c>
      <c r="L89" s="113" t="s">
        <v>371</v>
      </c>
      <c r="M89" s="113" t="s">
        <v>371</v>
      </c>
      <c r="N89" s="116">
        <v>46112</v>
      </c>
      <c r="O89" s="114">
        <v>401</v>
      </c>
      <c r="P89" s="116">
        <v>46114</v>
      </c>
      <c r="Q89" s="116">
        <v>46147</v>
      </c>
      <c r="R89" s="116">
        <v>46114</v>
      </c>
      <c r="S89" s="112"/>
      <c r="T89" s="112"/>
      <c r="U89" s="112" t="s">
        <v>85</v>
      </c>
      <c r="V89" s="114" t="s">
        <v>142</v>
      </c>
      <c r="W89" s="114">
        <v>401</v>
      </c>
      <c r="X89" s="114">
        <v>384</v>
      </c>
      <c r="Y89" s="112"/>
      <c r="Z89" s="112" t="s">
        <v>87</v>
      </c>
      <c r="AA89" s="112"/>
      <c r="AB89" s="117"/>
      <c r="AC89" s="118">
        <v>35.5</v>
      </c>
      <c r="AD89" s="112"/>
      <c r="AE89" s="114">
        <v>401</v>
      </c>
      <c r="AF89" s="112" t="s">
        <v>88</v>
      </c>
      <c r="AG89" s="114" t="s">
        <v>142</v>
      </c>
      <c r="AH89" s="118">
        <v>38.5</v>
      </c>
      <c r="AI89" s="112">
        <f t="shared" si="52"/>
        <v>15438.5</v>
      </c>
      <c r="AJ89" s="112"/>
      <c r="AK89" s="115" t="s">
        <v>89</v>
      </c>
      <c r="AL89" s="114">
        <v>384</v>
      </c>
      <c r="AM89" s="112">
        <v>20</v>
      </c>
      <c r="AN89" s="112">
        <f t="shared" si="53"/>
        <v>7680</v>
      </c>
      <c r="AO89" s="112"/>
      <c r="AP89" s="112"/>
      <c r="AQ89" s="112">
        <f t="shared" si="54"/>
        <v>0</v>
      </c>
      <c r="AR89" s="112">
        <f t="shared" si="55"/>
        <v>7680</v>
      </c>
      <c r="AS89" s="112"/>
      <c r="AT89" s="110" t="s">
        <v>373</v>
      </c>
      <c r="AU89" s="111">
        <v>46146</v>
      </c>
      <c r="AV89" s="112">
        <f t="shared" si="56"/>
        <v>20</v>
      </c>
      <c r="AW89" s="112">
        <f t="shared" si="57"/>
        <v>7680</v>
      </c>
      <c r="AX89" s="112"/>
      <c r="AY89" s="114" t="s">
        <v>374</v>
      </c>
      <c r="AZ89" s="119">
        <v>46156</v>
      </c>
      <c r="BA89" s="112">
        <f t="shared" si="58"/>
        <v>20</v>
      </c>
      <c r="BB89" s="112">
        <f t="shared" si="59"/>
        <v>384</v>
      </c>
      <c r="BC89" s="112">
        <f t="shared" si="60"/>
        <v>7680</v>
      </c>
      <c r="BD89" s="112"/>
      <c r="BE89" s="112" t="s">
        <v>100</v>
      </c>
      <c r="BF89" s="113" t="s">
        <v>378</v>
      </c>
      <c r="BG89" s="120" t="s">
        <v>93</v>
      </c>
      <c r="BH89" s="120" t="s">
        <v>145</v>
      </c>
    </row>
    <row r="90" spans="1:60" s="120" customFormat="1" ht="15" customHeight="1">
      <c r="A90" s="112">
        <f t="shared" si="27"/>
        <v>88</v>
      </c>
      <c r="B90" s="113" t="s">
        <v>380</v>
      </c>
      <c r="C90" s="114" t="s">
        <v>371</v>
      </c>
      <c r="D90" s="122"/>
      <c r="E90" s="114" t="s">
        <v>381</v>
      </c>
      <c r="F90" s="112"/>
      <c r="G90" s="115" t="s">
        <v>81</v>
      </c>
      <c r="H90" s="112" t="s">
        <v>82</v>
      </c>
      <c r="I90" s="114" t="s">
        <v>83</v>
      </c>
      <c r="J90" s="114" t="s">
        <v>84</v>
      </c>
      <c r="K90" s="114" t="s">
        <v>83</v>
      </c>
      <c r="L90" s="113" t="s">
        <v>371</v>
      </c>
      <c r="M90" s="113" t="s">
        <v>371</v>
      </c>
      <c r="N90" s="116">
        <v>46112</v>
      </c>
      <c r="O90" s="114">
        <v>573</v>
      </c>
      <c r="P90" s="116">
        <v>46114</v>
      </c>
      <c r="Q90" s="116">
        <v>46147</v>
      </c>
      <c r="R90" s="116">
        <v>46114</v>
      </c>
      <c r="S90" s="112"/>
      <c r="T90" s="112"/>
      <c r="U90" s="112" t="s">
        <v>85</v>
      </c>
      <c r="V90" s="114" t="s">
        <v>142</v>
      </c>
      <c r="W90" s="114">
        <v>573</v>
      </c>
      <c r="X90" s="114">
        <v>552</v>
      </c>
      <c r="Y90" s="112"/>
      <c r="Z90" s="112" t="s">
        <v>87</v>
      </c>
      <c r="AA90" s="112"/>
      <c r="AB90" s="117"/>
      <c r="AC90" s="118">
        <v>35.5</v>
      </c>
      <c r="AD90" s="112"/>
      <c r="AE90" s="114">
        <v>573</v>
      </c>
      <c r="AF90" s="112" t="s">
        <v>88</v>
      </c>
      <c r="AG90" s="114" t="s">
        <v>142</v>
      </c>
      <c r="AH90" s="118">
        <v>38.5</v>
      </c>
      <c r="AI90" s="112">
        <f t="shared" si="52"/>
        <v>22060.5</v>
      </c>
      <c r="AJ90" s="112"/>
      <c r="AK90" s="115" t="s">
        <v>89</v>
      </c>
      <c r="AL90" s="114">
        <v>552</v>
      </c>
      <c r="AM90" s="112">
        <v>20</v>
      </c>
      <c r="AN90" s="112">
        <f t="shared" si="53"/>
        <v>11040</v>
      </c>
      <c r="AO90" s="112"/>
      <c r="AP90" s="112"/>
      <c r="AQ90" s="112">
        <f t="shared" si="54"/>
        <v>0</v>
      </c>
      <c r="AR90" s="112">
        <f t="shared" si="55"/>
        <v>11040</v>
      </c>
      <c r="AS90" s="112"/>
      <c r="AT90" s="110" t="s">
        <v>373</v>
      </c>
      <c r="AU90" s="111">
        <v>46146</v>
      </c>
      <c r="AV90" s="112">
        <f t="shared" si="56"/>
        <v>20</v>
      </c>
      <c r="AW90" s="112">
        <f t="shared" si="57"/>
        <v>11040</v>
      </c>
      <c r="AX90" s="112"/>
      <c r="AY90" s="114" t="s">
        <v>374</v>
      </c>
      <c r="AZ90" s="119">
        <v>46156</v>
      </c>
      <c r="BA90" s="112">
        <f t="shared" si="58"/>
        <v>20</v>
      </c>
      <c r="BB90" s="112">
        <f t="shared" si="59"/>
        <v>552</v>
      </c>
      <c r="BC90" s="112">
        <f t="shared" si="60"/>
        <v>11040</v>
      </c>
      <c r="BD90" s="112"/>
      <c r="BE90" s="112" t="s">
        <v>104</v>
      </c>
      <c r="BF90" s="113" t="s">
        <v>380</v>
      </c>
      <c r="BG90" s="120" t="s">
        <v>93</v>
      </c>
      <c r="BH90" s="120" t="s">
        <v>145</v>
      </c>
    </row>
    <row r="91" spans="1:60" s="120" customFormat="1" ht="15" customHeight="1">
      <c r="A91" s="112">
        <f t="shared" si="27"/>
        <v>89</v>
      </c>
      <c r="B91" s="113" t="s">
        <v>382</v>
      </c>
      <c r="C91" s="114" t="s">
        <v>383</v>
      </c>
      <c r="D91" s="122"/>
      <c r="E91" s="114" t="s">
        <v>384</v>
      </c>
      <c r="F91" s="112"/>
      <c r="G91" s="115" t="s">
        <v>81</v>
      </c>
      <c r="H91" s="112" t="s">
        <v>82</v>
      </c>
      <c r="I91" s="114" t="s">
        <v>83</v>
      </c>
      <c r="J91" s="114" t="s">
        <v>84</v>
      </c>
      <c r="K91" s="114" t="s">
        <v>83</v>
      </c>
      <c r="L91" s="113" t="s">
        <v>371</v>
      </c>
      <c r="M91" s="113" t="s">
        <v>371</v>
      </c>
      <c r="N91" s="116">
        <v>46112</v>
      </c>
      <c r="O91" s="114">
        <v>230</v>
      </c>
      <c r="P91" s="116">
        <v>46114</v>
      </c>
      <c r="Q91" s="116">
        <v>46147</v>
      </c>
      <c r="R91" s="116">
        <v>46114</v>
      </c>
      <c r="S91" s="112"/>
      <c r="T91" s="112"/>
      <c r="U91" s="112" t="s">
        <v>85</v>
      </c>
      <c r="V91" s="114" t="s">
        <v>142</v>
      </c>
      <c r="W91" s="114">
        <v>230</v>
      </c>
      <c r="X91" s="114">
        <v>212</v>
      </c>
      <c r="Y91" s="112"/>
      <c r="Z91" s="112" t="s">
        <v>87</v>
      </c>
      <c r="AA91" s="112"/>
      <c r="AB91" s="117"/>
      <c r="AC91" s="118">
        <v>35.5</v>
      </c>
      <c r="AD91" s="112"/>
      <c r="AE91" s="114">
        <v>230</v>
      </c>
      <c r="AF91" s="112" t="s">
        <v>88</v>
      </c>
      <c r="AG91" s="114" t="s">
        <v>142</v>
      </c>
      <c r="AH91" s="118">
        <v>38.5</v>
      </c>
      <c r="AI91" s="112">
        <f t="shared" si="52"/>
        <v>8855</v>
      </c>
      <c r="AJ91" s="112"/>
      <c r="AK91" s="115" t="s">
        <v>89</v>
      </c>
      <c r="AL91" s="114">
        <v>212</v>
      </c>
      <c r="AM91" s="112">
        <v>20</v>
      </c>
      <c r="AN91" s="112">
        <f t="shared" si="53"/>
        <v>4240</v>
      </c>
      <c r="AO91" s="112"/>
      <c r="AP91" s="112"/>
      <c r="AQ91" s="112">
        <f t="shared" si="54"/>
        <v>0</v>
      </c>
      <c r="AR91" s="112">
        <f t="shared" si="55"/>
        <v>4240</v>
      </c>
      <c r="AS91" s="112"/>
      <c r="AT91" s="110" t="s">
        <v>373</v>
      </c>
      <c r="AU91" s="111">
        <v>46146</v>
      </c>
      <c r="AV91" s="112">
        <f t="shared" si="56"/>
        <v>20</v>
      </c>
      <c r="AW91" s="112">
        <f t="shared" si="57"/>
        <v>4240</v>
      </c>
      <c r="AX91" s="112"/>
      <c r="AY91" s="114" t="s">
        <v>374</v>
      </c>
      <c r="AZ91" s="119">
        <v>46156</v>
      </c>
      <c r="BA91" s="112">
        <f t="shared" si="58"/>
        <v>20</v>
      </c>
      <c r="BB91" s="112">
        <f t="shared" si="59"/>
        <v>212</v>
      </c>
      <c r="BC91" s="112">
        <f t="shared" si="60"/>
        <v>4240</v>
      </c>
      <c r="BD91" s="112"/>
      <c r="BE91" s="112" t="s">
        <v>107</v>
      </c>
      <c r="BF91" s="113" t="s">
        <v>382</v>
      </c>
      <c r="BG91" s="120" t="s">
        <v>93</v>
      </c>
      <c r="BH91" s="120" t="s">
        <v>145</v>
      </c>
    </row>
    <row r="92" spans="1:60" s="120" customFormat="1" ht="15" customHeight="1">
      <c r="A92" s="112">
        <f t="shared" si="27"/>
        <v>90</v>
      </c>
      <c r="B92" s="113" t="s">
        <v>385</v>
      </c>
      <c r="C92" s="114" t="s">
        <v>386</v>
      </c>
      <c r="D92" s="122"/>
      <c r="E92" s="114" t="s">
        <v>387</v>
      </c>
      <c r="F92" s="112"/>
      <c r="G92" s="115" t="s">
        <v>81</v>
      </c>
      <c r="H92" s="112" t="s">
        <v>82</v>
      </c>
      <c r="I92" s="114" t="s">
        <v>83</v>
      </c>
      <c r="J92" s="114" t="s">
        <v>84</v>
      </c>
      <c r="K92" s="114" t="s">
        <v>83</v>
      </c>
      <c r="L92" s="113" t="s">
        <v>371</v>
      </c>
      <c r="M92" s="113" t="s">
        <v>371</v>
      </c>
      <c r="N92" s="116">
        <v>46112</v>
      </c>
      <c r="O92" s="114">
        <v>187</v>
      </c>
      <c r="P92" s="116">
        <v>46114</v>
      </c>
      <c r="Q92" s="116">
        <v>46147</v>
      </c>
      <c r="R92" s="116">
        <v>46114</v>
      </c>
      <c r="S92" s="112"/>
      <c r="T92" s="112"/>
      <c r="U92" s="112" t="s">
        <v>85</v>
      </c>
      <c r="V92" s="114" t="s">
        <v>142</v>
      </c>
      <c r="W92" s="114">
        <v>187</v>
      </c>
      <c r="X92" s="114">
        <v>169</v>
      </c>
      <c r="Y92" s="112"/>
      <c r="Z92" s="112" t="s">
        <v>87</v>
      </c>
      <c r="AA92" s="112"/>
      <c r="AB92" s="117"/>
      <c r="AC92" s="118">
        <v>35.5</v>
      </c>
      <c r="AD92" s="112"/>
      <c r="AE92" s="114">
        <v>187</v>
      </c>
      <c r="AF92" s="112" t="s">
        <v>88</v>
      </c>
      <c r="AG92" s="114" t="s">
        <v>142</v>
      </c>
      <c r="AH92" s="118">
        <v>38.5</v>
      </c>
      <c r="AI92" s="112">
        <f t="shared" si="52"/>
        <v>7199.5</v>
      </c>
      <c r="AJ92" s="112"/>
      <c r="AK92" s="115" t="s">
        <v>89</v>
      </c>
      <c r="AL92" s="114">
        <v>169</v>
      </c>
      <c r="AM92" s="112">
        <v>20</v>
      </c>
      <c r="AN92" s="112">
        <f t="shared" si="53"/>
        <v>3380</v>
      </c>
      <c r="AO92" s="112"/>
      <c r="AP92" s="112"/>
      <c r="AQ92" s="112">
        <f t="shared" si="54"/>
        <v>0</v>
      </c>
      <c r="AR92" s="112">
        <f t="shared" si="55"/>
        <v>3380</v>
      </c>
      <c r="AS92" s="112"/>
      <c r="AT92" s="110" t="s">
        <v>373</v>
      </c>
      <c r="AU92" s="111">
        <v>46146</v>
      </c>
      <c r="AV92" s="112">
        <f t="shared" si="56"/>
        <v>20</v>
      </c>
      <c r="AW92" s="112">
        <f t="shared" si="57"/>
        <v>3380</v>
      </c>
      <c r="AX92" s="112"/>
      <c r="AY92" s="114" t="s">
        <v>374</v>
      </c>
      <c r="AZ92" s="119">
        <v>46156</v>
      </c>
      <c r="BA92" s="112">
        <f t="shared" si="58"/>
        <v>20</v>
      </c>
      <c r="BB92" s="112">
        <f t="shared" si="59"/>
        <v>169</v>
      </c>
      <c r="BC92" s="112">
        <f t="shared" si="60"/>
        <v>3380</v>
      </c>
      <c r="BD92" s="112"/>
      <c r="BE92" s="112" t="s">
        <v>110</v>
      </c>
      <c r="BF92" s="113" t="s">
        <v>385</v>
      </c>
      <c r="BG92" s="120" t="s">
        <v>93</v>
      </c>
      <c r="BH92" s="120" t="s">
        <v>145</v>
      </c>
    </row>
    <row r="93" spans="1:60" s="120" customFormat="1" ht="15" customHeight="1">
      <c r="A93" s="112">
        <f t="shared" si="27"/>
        <v>91</v>
      </c>
      <c r="B93" s="113" t="s">
        <v>388</v>
      </c>
      <c r="C93" s="114" t="s">
        <v>389</v>
      </c>
      <c r="D93" s="122"/>
      <c r="E93" s="114" t="s">
        <v>390</v>
      </c>
      <c r="F93" s="112"/>
      <c r="G93" s="115" t="s">
        <v>81</v>
      </c>
      <c r="H93" s="112" t="s">
        <v>82</v>
      </c>
      <c r="I93" s="114" t="s">
        <v>83</v>
      </c>
      <c r="J93" s="114" t="s">
        <v>84</v>
      </c>
      <c r="K93" s="114" t="s">
        <v>83</v>
      </c>
      <c r="L93" s="113" t="s">
        <v>371</v>
      </c>
      <c r="M93" s="113" t="s">
        <v>371</v>
      </c>
      <c r="N93" s="116">
        <v>46112</v>
      </c>
      <c r="O93" s="114">
        <v>146</v>
      </c>
      <c r="P93" s="116">
        <v>46114</v>
      </c>
      <c r="Q93" s="116">
        <v>46147</v>
      </c>
      <c r="R93" s="116">
        <v>46114</v>
      </c>
      <c r="S93" s="112"/>
      <c r="T93" s="112"/>
      <c r="U93" s="112" t="s">
        <v>85</v>
      </c>
      <c r="V93" s="114" t="s">
        <v>142</v>
      </c>
      <c r="W93" s="114">
        <v>146</v>
      </c>
      <c r="X93" s="114">
        <v>134</v>
      </c>
      <c r="Y93" s="112"/>
      <c r="Z93" s="112" t="s">
        <v>87</v>
      </c>
      <c r="AA93" s="112"/>
      <c r="AB93" s="117"/>
      <c r="AC93" s="118">
        <v>35.5</v>
      </c>
      <c r="AD93" s="112"/>
      <c r="AE93" s="114">
        <v>146</v>
      </c>
      <c r="AF93" s="112" t="s">
        <v>88</v>
      </c>
      <c r="AG93" s="114" t="s">
        <v>142</v>
      </c>
      <c r="AH93" s="118">
        <v>38.5</v>
      </c>
      <c r="AI93" s="112">
        <f t="shared" si="52"/>
        <v>5621</v>
      </c>
      <c r="AJ93" s="112"/>
      <c r="AK93" s="115" t="s">
        <v>89</v>
      </c>
      <c r="AL93" s="114">
        <v>134</v>
      </c>
      <c r="AM93" s="112">
        <v>20</v>
      </c>
      <c r="AN93" s="112">
        <f t="shared" si="53"/>
        <v>2680</v>
      </c>
      <c r="AO93" s="112"/>
      <c r="AP93" s="112"/>
      <c r="AQ93" s="112">
        <f t="shared" si="54"/>
        <v>0</v>
      </c>
      <c r="AR93" s="112">
        <f t="shared" si="55"/>
        <v>2680</v>
      </c>
      <c r="AS93" s="112"/>
      <c r="AT93" s="110" t="s">
        <v>373</v>
      </c>
      <c r="AU93" s="111">
        <v>46146</v>
      </c>
      <c r="AV93" s="112">
        <f t="shared" si="56"/>
        <v>20</v>
      </c>
      <c r="AW93" s="112">
        <f t="shared" si="57"/>
        <v>2680</v>
      </c>
      <c r="AX93" s="112"/>
      <c r="AY93" s="114" t="s">
        <v>374</v>
      </c>
      <c r="AZ93" s="119">
        <v>46156</v>
      </c>
      <c r="BA93" s="112">
        <f t="shared" si="58"/>
        <v>20</v>
      </c>
      <c r="BB93" s="112">
        <f t="shared" si="59"/>
        <v>134</v>
      </c>
      <c r="BC93" s="112">
        <f t="shared" si="60"/>
        <v>2680</v>
      </c>
      <c r="BD93" s="112"/>
      <c r="BE93" s="112" t="s">
        <v>114</v>
      </c>
      <c r="BF93" s="113" t="s">
        <v>388</v>
      </c>
      <c r="BG93" s="120" t="s">
        <v>93</v>
      </c>
      <c r="BH93" s="120" t="s">
        <v>145</v>
      </c>
    </row>
    <row r="94" spans="1:60" s="120" customFormat="1" ht="15" customHeight="1">
      <c r="A94" s="112">
        <f t="shared" si="27"/>
        <v>92</v>
      </c>
      <c r="B94" s="113" t="s">
        <v>391</v>
      </c>
      <c r="C94" s="114" t="s">
        <v>376</v>
      </c>
      <c r="D94" s="122"/>
      <c r="E94" s="114" t="s">
        <v>392</v>
      </c>
      <c r="F94" s="112"/>
      <c r="G94" s="115" t="s">
        <v>81</v>
      </c>
      <c r="H94" s="112" t="s">
        <v>82</v>
      </c>
      <c r="I94" s="114" t="s">
        <v>83</v>
      </c>
      <c r="J94" s="114" t="s">
        <v>84</v>
      </c>
      <c r="K94" s="114" t="s">
        <v>83</v>
      </c>
      <c r="L94" s="113" t="s">
        <v>371</v>
      </c>
      <c r="M94" s="113" t="s">
        <v>371</v>
      </c>
      <c r="N94" s="116">
        <v>46112</v>
      </c>
      <c r="O94" s="114">
        <v>34</v>
      </c>
      <c r="P94" s="116">
        <v>46114</v>
      </c>
      <c r="Q94" s="116">
        <v>46147</v>
      </c>
      <c r="R94" s="116">
        <v>46114</v>
      </c>
      <c r="S94" s="112"/>
      <c r="T94" s="112"/>
      <c r="U94" s="112" t="s">
        <v>85</v>
      </c>
      <c r="V94" s="114" t="s">
        <v>99</v>
      </c>
      <c r="W94" s="114">
        <v>34</v>
      </c>
      <c r="X94" s="114">
        <v>34</v>
      </c>
      <c r="Y94" s="112"/>
      <c r="Z94" s="112" t="s">
        <v>87</v>
      </c>
      <c r="AA94" s="112"/>
      <c r="AB94" s="117"/>
      <c r="AC94" s="118">
        <v>25.5</v>
      </c>
      <c r="AD94" s="112"/>
      <c r="AE94" s="114">
        <v>34</v>
      </c>
      <c r="AF94" s="112" t="s">
        <v>88</v>
      </c>
      <c r="AG94" s="114" t="s">
        <v>99</v>
      </c>
      <c r="AH94" s="118">
        <v>12.5</v>
      </c>
      <c r="AI94" s="112">
        <f t="shared" si="52"/>
        <v>425</v>
      </c>
      <c r="AJ94" s="112"/>
      <c r="AK94" s="115" t="s">
        <v>89</v>
      </c>
      <c r="AL94" s="114">
        <v>34</v>
      </c>
      <c r="AM94" s="112">
        <v>18</v>
      </c>
      <c r="AN94" s="112">
        <f t="shared" si="53"/>
        <v>612</v>
      </c>
      <c r="AO94" s="112"/>
      <c r="AP94" s="112"/>
      <c r="AQ94" s="112">
        <f t="shared" si="54"/>
        <v>0</v>
      </c>
      <c r="AR94" s="112">
        <f t="shared" si="55"/>
        <v>612</v>
      </c>
      <c r="AS94" s="112"/>
      <c r="AT94" s="110" t="s">
        <v>373</v>
      </c>
      <c r="AU94" s="111">
        <v>46146</v>
      </c>
      <c r="AV94" s="112">
        <f t="shared" si="56"/>
        <v>18</v>
      </c>
      <c r="AW94" s="112">
        <f t="shared" si="57"/>
        <v>612</v>
      </c>
      <c r="AX94" s="112"/>
      <c r="AY94" s="114" t="s">
        <v>374</v>
      </c>
      <c r="AZ94" s="119">
        <v>46156</v>
      </c>
      <c r="BA94" s="112">
        <f t="shared" si="58"/>
        <v>18</v>
      </c>
      <c r="BB94" s="112">
        <f t="shared" si="59"/>
        <v>34</v>
      </c>
      <c r="BC94" s="112">
        <f t="shared" si="60"/>
        <v>612</v>
      </c>
      <c r="BD94" s="112"/>
      <c r="BE94" s="112" t="s">
        <v>117</v>
      </c>
      <c r="BF94" s="113" t="s">
        <v>391</v>
      </c>
      <c r="BG94" s="120" t="s">
        <v>93</v>
      </c>
      <c r="BH94" s="120" t="s">
        <v>145</v>
      </c>
    </row>
    <row r="95" spans="1:60" s="120" customFormat="1" ht="15" customHeight="1">
      <c r="A95" s="112">
        <f t="shared" si="27"/>
        <v>93</v>
      </c>
      <c r="B95" s="113" t="s">
        <v>393</v>
      </c>
      <c r="C95" s="114" t="s">
        <v>376</v>
      </c>
      <c r="D95" s="122"/>
      <c r="E95" s="114" t="s">
        <v>394</v>
      </c>
      <c r="F95" s="112"/>
      <c r="G95" s="115" t="s">
        <v>81</v>
      </c>
      <c r="H95" s="112" t="s">
        <v>82</v>
      </c>
      <c r="I95" s="114" t="s">
        <v>83</v>
      </c>
      <c r="J95" s="114" t="s">
        <v>84</v>
      </c>
      <c r="K95" s="114" t="s">
        <v>83</v>
      </c>
      <c r="L95" s="113" t="s">
        <v>371</v>
      </c>
      <c r="M95" s="113" t="s">
        <v>371</v>
      </c>
      <c r="N95" s="116">
        <v>46112</v>
      </c>
      <c r="O95" s="114">
        <v>164</v>
      </c>
      <c r="P95" s="116">
        <v>46114</v>
      </c>
      <c r="Q95" s="116">
        <v>46147</v>
      </c>
      <c r="R95" s="116">
        <v>46114</v>
      </c>
      <c r="S95" s="112"/>
      <c r="T95" s="112"/>
      <c r="U95" s="112" t="s">
        <v>85</v>
      </c>
      <c r="V95" s="114" t="s">
        <v>99</v>
      </c>
      <c r="W95" s="114">
        <v>164</v>
      </c>
      <c r="X95" s="114">
        <v>164</v>
      </c>
      <c r="Y95" s="112"/>
      <c r="Z95" s="112" t="s">
        <v>87</v>
      </c>
      <c r="AA95" s="112"/>
      <c r="AB95" s="117"/>
      <c r="AC95" s="118">
        <v>25.5</v>
      </c>
      <c r="AD95" s="112"/>
      <c r="AE95" s="114">
        <v>164</v>
      </c>
      <c r="AF95" s="112" t="s">
        <v>88</v>
      </c>
      <c r="AG95" s="114" t="s">
        <v>99</v>
      </c>
      <c r="AH95" s="118">
        <v>12.5</v>
      </c>
      <c r="AI95" s="112">
        <f t="shared" si="52"/>
        <v>2050</v>
      </c>
      <c r="AJ95" s="112"/>
      <c r="AK95" s="115" t="s">
        <v>89</v>
      </c>
      <c r="AL95" s="114">
        <v>164</v>
      </c>
      <c r="AM95" s="112">
        <v>18</v>
      </c>
      <c r="AN95" s="112">
        <f t="shared" si="53"/>
        <v>2952</v>
      </c>
      <c r="AO95" s="112"/>
      <c r="AP95" s="112"/>
      <c r="AQ95" s="112">
        <f t="shared" si="54"/>
        <v>0</v>
      </c>
      <c r="AR95" s="112">
        <f t="shared" si="55"/>
        <v>2952</v>
      </c>
      <c r="AS95" s="112"/>
      <c r="AT95" s="110" t="s">
        <v>373</v>
      </c>
      <c r="AU95" s="111">
        <v>46146</v>
      </c>
      <c r="AV95" s="112">
        <f t="shared" si="56"/>
        <v>18</v>
      </c>
      <c r="AW95" s="112">
        <f t="shared" si="57"/>
        <v>2952</v>
      </c>
      <c r="AX95" s="112"/>
      <c r="AY95" s="114" t="s">
        <v>374</v>
      </c>
      <c r="AZ95" s="119">
        <v>46156</v>
      </c>
      <c r="BA95" s="112">
        <f t="shared" si="58"/>
        <v>18</v>
      </c>
      <c r="BB95" s="112">
        <f t="shared" si="59"/>
        <v>164</v>
      </c>
      <c r="BC95" s="112">
        <f t="shared" si="60"/>
        <v>2952</v>
      </c>
      <c r="BD95" s="112"/>
      <c r="BE95" s="112" t="s">
        <v>120</v>
      </c>
      <c r="BF95" s="113" t="s">
        <v>393</v>
      </c>
      <c r="BG95" s="120" t="s">
        <v>93</v>
      </c>
      <c r="BH95" s="120" t="s">
        <v>145</v>
      </c>
    </row>
    <row r="96" spans="1:60" s="120" customFormat="1" ht="15" customHeight="1">
      <c r="A96" s="112">
        <f t="shared" si="27"/>
        <v>94</v>
      </c>
      <c r="B96" s="113" t="s">
        <v>395</v>
      </c>
      <c r="C96" s="114" t="s">
        <v>396</v>
      </c>
      <c r="D96" s="122"/>
      <c r="E96" s="114" t="s">
        <v>397</v>
      </c>
      <c r="F96" s="112"/>
      <c r="G96" s="115" t="s">
        <v>81</v>
      </c>
      <c r="H96" s="112" t="s">
        <v>82</v>
      </c>
      <c r="I96" s="114" t="s">
        <v>83</v>
      </c>
      <c r="J96" s="114" t="s">
        <v>84</v>
      </c>
      <c r="K96" s="114" t="s">
        <v>83</v>
      </c>
      <c r="L96" s="113" t="s">
        <v>371</v>
      </c>
      <c r="M96" s="113" t="s">
        <v>371</v>
      </c>
      <c r="N96" s="116">
        <v>46112</v>
      </c>
      <c r="O96" s="114">
        <v>184</v>
      </c>
      <c r="P96" s="116">
        <v>46114</v>
      </c>
      <c r="Q96" s="116">
        <v>46147</v>
      </c>
      <c r="R96" s="116">
        <v>46114</v>
      </c>
      <c r="S96" s="112"/>
      <c r="T96" s="112"/>
      <c r="U96" s="112" t="s">
        <v>85</v>
      </c>
      <c r="V96" s="114" t="s">
        <v>99</v>
      </c>
      <c r="W96" s="114">
        <v>184</v>
      </c>
      <c r="X96" s="114">
        <v>184</v>
      </c>
      <c r="Y96" s="112"/>
      <c r="Z96" s="112" t="s">
        <v>87</v>
      </c>
      <c r="AA96" s="112"/>
      <c r="AB96" s="117"/>
      <c r="AC96" s="118">
        <v>25.5</v>
      </c>
      <c r="AD96" s="112"/>
      <c r="AE96" s="114">
        <v>184</v>
      </c>
      <c r="AF96" s="112" t="s">
        <v>88</v>
      </c>
      <c r="AG96" s="114" t="s">
        <v>99</v>
      </c>
      <c r="AH96" s="118">
        <v>12.5</v>
      </c>
      <c r="AI96" s="112">
        <f t="shared" si="52"/>
        <v>2300</v>
      </c>
      <c r="AJ96" s="112"/>
      <c r="AK96" s="115" t="s">
        <v>89</v>
      </c>
      <c r="AL96" s="114">
        <v>184</v>
      </c>
      <c r="AM96" s="112">
        <v>18</v>
      </c>
      <c r="AN96" s="112">
        <f t="shared" si="53"/>
        <v>3312</v>
      </c>
      <c r="AO96" s="112"/>
      <c r="AP96" s="112"/>
      <c r="AQ96" s="112">
        <f t="shared" si="54"/>
        <v>0</v>
      </c>
      <c r="AR96" s="112">
        <f t="shared" si="55"/>
        <v>3312</v>
      </c>
      <c r="AS96" s="112"/>
      <c r="AT96" s="110" t="s">
        <v>373</v>
      </c>
      <c r="AU96" s="111">
        <v>46146</v>
      </c>
      <c r="AV96" s="112">
        <f t="shared" si="56"/>
        <v>18</v>
      </c>
      <c r="AW96" s="112">
        <f t="shared" si="57"/>
        <v>3312</v>
      </c>
      <c r="AX96" s="112"/>
      <c r="AY96" s="114" t="s">
        <v>374</v>
      </c>
      <c r="AZ96" s="119">
        <v>46156</v>
      </c>
      <c r="BA96" s="112">
        <f t="shared" si="58"/>
        <v>18</v>
      </c>
      <c r="BB96" s="112">
        <f t="shared" si="59"/>
        <v>184</v>
      </c>
      <c r="BC96" s="112">
        <f t="shared" si="60"/>
        <v>3312</v>
      </c>
      <c r="BD96" s="112"/>
      <c r="BE96" s="112" t="s">
        <v>123</v>
      </c>
      <c r="BF96" s="113" t="s">
        <v>395</v>
      </c>
      <c r="BG96" s="120" t="s">
        <v>93</v>
      </c>
      <c r="BH96" s="120" t="s">
        <v>145</v>
      </c>
    </row>
    <row r="97" spans="1:60" s="120" customFormat="1" ht="15" customHeight="1">
      <c r="A97" s="112">
        <f t="shared" si="27"/>
        <v>95</v>
      </c>
      <c r="B97" s="113" t="s">
        <v>398</v>
      </c>
      <c r="C97" s="114" t="s">
        <v>396</v>
      </c>
      <c r="D97" s="122"/>
      <c r="E97" s="114" t="s">
        <v>399</v>
      </c>
      <c r="F97" s="112"/>
      <c r="G97" s="115" t="s">
        <v>81</v>
      </c>
      <c r="H97" s="112" t="s">
        <v>82</v>
      </c>
      <c r="I97" s="114" t="s">
        <v>83</v>
      </c>
      <c r="J97" s="114" t="s">
        <v>84</v>
      </c>
      <c r="K97" s="114" t="s">
        <v>83</v>
      </c>
      <c r="L97" s="113" t="s">
        <v>371</v>
      </c>
      <c r="M97" s="113" t="s">
        <v>371</v>
      </c>
      <c r="N97" s="116">
        <v>46112</v>
      </c>
      <c r="O97" s="114">
        <v>38</v>
      </c>
      <c r="P97" s="116">
        <v>46114</v>
      </c>
      <c r="Q97" s="116">
        <v>46147</v>
      </c>
      <c r="R97" s="116">
        <v>46114</v>
      </c>
      <c r="S97" s="112"/>
      <c r="T97" s="112"/>
      <c r="U97" s="112" t="s">
        <v>85</v>
      </c>
      <c r="V97" s="114" t="s">
        <v>99</v>
      </c>
      <c r="W97" s="114">
        <v>38</v>
      </c>
      <c r="X97" s="114">
        <v>38</v>
      </c>
      <c r="Y97" s="112"/>
      <c r="Z97" s="112" t="s">
        <v>87</v>
      </c>
      <c r="AA97" s="112"/>
      <c r="AB97" s="117"/>
      <c r="AC97" s="118">
        <v>25.5</v>
      </c>
      <c r="AD97" s="112"/>
      <c r="AE97" s="114">
        <v>38</v>
      </c>
      <c r="AF97" s="112" t="s">
        <v>88</v>
      </c>
      <c r="AG97" s="114" t="s">
        <v>99</v>
      </c>
      <c r="AH97" s="118">
        <v>12.5</v>
      </c>
      <c r="AI97" s="112">
        <f t="shared" si="52"/>
        <v>475</v>
      </c>
      <c r="AJ97" s="112"/>
      <c r="AK97" s="115" t="s">
        <v>89</v>
      </c>
      <c r="AL97" s="114">
        <v>38</v>
      </c>
      <c r="AM97" s="112">
        <v>18</v>
      </c>
      <c r="AN97" s="112">
        <f t="shared" si="53"/>
        <v>684</v>
      </c>
      <c r="AO97" s="112"/>
      <c r="AP97" s="112"/>
      <c r="AQ97" s="112">
        <f t="shared" si="54"/>
        <v>0</v>
      </c>
      <c r="AR97" s="112">
        <f t="shared" si="55"/>
        <v>684</v>
      </c>
      <c r="AS97" s="112"/>
      <c r="AT97" s="110" t="s">
        <v>373</v>
      </c>
      <c r="AU97" s="111">
        <v>46146</v>
      </c>
      <c r="AV97" s="112">
        <f t="shared" si="56"/>
        <v>18</v>
      </c>
      <c r="AW97" s="112">
        <f t="shared" si="57"/>
        <v>684</v>
      </c>
      <c r="AX97" s="112"/>
      <c r="AY97" s="114" t="s">
        <v>374</v>
      </c>
      <c r="AZ97" s="119">
        <v>46156</v>
      </c>
      <c r="BA97" s="112">
        <f t="shared" si="58"/>
        <v>18</v>
      </c>
      <c r="BB97" s="112">
        <f t="shared" si="59"/>
        <v>38</v>
      </c>
      <c r="BC97" s="112">
        <f t="shared" si="60"/>
        <v>684</v>
      </c>
      <c r="BD97" s="112"/>
      <c r="BE97" s="112" t="s">
        <v>126</v>
      </c>
      <c r="BF97" s="113" t="s">
        <v>398</v>
      </c>
      <c r="BG97" s="120" t="s">
        <v>93</v>
      </c>
      <c r="BH97" s="120" t="s">
        <v>145</v>
      </c>
    </row>
    <row r="98" spans="1:60" s="120" customFormat="1" ht="15" customHeight="1">
      <c r="A98" s="112">
        <f t="shared" si="27"/>
        <v>96</v>
      </c>
      <c r="B98" s="113" t="s">
        <v>400</v>
      </c>
      <c r="C98" s="114" t="s">
        <v>396</v>
      </c>
      <c r="D98" s="122"/>
      <c r="E98" s="114" t="s">
        <v>401</v>
      </c>
      <c r="F98" s="112"/>
      <c r="G98" s="115" t="s">
        <v>81</v>
      </c>
      <c r="H98" s="112" t="s">
        <v>82</v>
      </c>
      <c r="I98" s="114" t="s">
        <v>83</v>
      </c>
      <c r="J98" s="114" t="s">
        <v>84</v>
      </c>
      <c r="K98" s="114" t="s">
        <v>83</v>
      </c>
      <c r="L98" s="113" t="s">
        <v>371</v>
      </c>
      <c r="M98" s="113" t="s">
        <v>371</v>
      </c>
      <c r="N98" s="116">
        <v>46112</v>
      </c>
      <c r="O98" s="114">
        <v>178</v>
      </c>
      <c r="P98" s="116">
        <v>46114</v>
      </c>
      <c r="Q98" s="116">
        <v>46147</v>
      </c>
      <c r="R98" s="116">
        <v>46114</v>
      </c>
      <c r="S98" s="112"/>
      <c r="T98" s="112"/>
      <c r="U98" s="112" t="s">
        <v>85</v>
      </c>
      <c r="V98" s="114" t="s">
        <v>86</v>
      </c>
      <c r="W98" s="114">
        <v>178</v>
      </c>
      <c r="X98" s="114">
        <v>173</v>
      </c>
      <c r="Y98" s="112"/>
      <c r="Z98" s="112" t="s">
        <v>87</v>
      </c>
      <c r="AA98" s="112"/>
      <c r="AB98" s="117"/>
      <c r="AC98" s="118">
        <v>30.5</v>
      </c>
      <c r="AD98" s="112"/>
      <c r="AE98" s="114">
        <v>178</v>
      </c>
      <c r="AF98" s="112" t="s">
        <v>88</v>
      </c>
      <c r="AG98" s="114" t="s">
        <v>86</v>
      </c>
      <c r="AH98" s="118">
        <v>24.5</v>
      </c>
      <c r="AI98" s="112">
        <f t="shared" si="52"/>
        <v>4361</v>
      </c>
      <c r="AJ98" s="112"/>
      <c r="AK98" s="115" t="s">
        <v>89</v>
      </c>
      <c r="AL98" s="114">
        <v>173</v>
      </c>
      <c r="AM98" s="112">
        <v>18</v>
      </c>
      <c r="AN98" s="112">
        <f t="shared" si="53"/>
        <v>3114</v>
      </c>
      <c r="AO98" s="112"/>
      <c r="AP98" s="112"/>
      <c r="AQ98" s="112">
        <f t="shared" si="54"/>
        <v>0</v>
      </c>
      <c r="AR98" s="112">
        <f t="shared" si="55"/>
        <v>3114</v>
      </c>
      <c r="AS98" s="112"/>
      <c r="AT98" s="110" t="s">
        <v>373</v>
      </c>
      <c r="AU98" s="111">
        <v>46146</v>
      </c>
      <c r="AV98" s="112">
        <f t="shared" si="56"/>
        <v>18</v>
      </c>
      <c r="AW98" s="112">
        <f t="shared" si="57"/>
        <v>3114</v>
      </c>
      <c r="AX98" s="112"/>
      <c r="AY98" s="114" t="s">
        <v>374</v>
      </c>
      <c r="AZ98" s="119">
        <v>46156</v>
      </c>
      <c r="BA98" s="112">
        <f t="shared" si="58"/>
        <v>18</v>
      </c>
      <c r="BB98" s="112">
        <f t="shared" si="59"/>
        <v>173</v>
      </c>
      <c r="BC98" s="112">
        <f t="shared" si="60"/>
        <v>3114</v>
      </c>
      <c r="BD98" s="112"/>
      <c r="BE98" s="112" t="s">
        <v>129</v>
      </c>
      <c r="BF98" s="113" t="s">
        <v>400</v>
      </c>
      <c r="BG98" s="120" t="s">
        <v>93</v>
      </c>
      <c r="BH98" s="120" t="s">
        <v>145</v>
      </c>
    </row>
    <row r="99" spans="1:60" s="120" customFormat="1" ht="15" customHeight="1">
      <c r="A99" s="112">
        <f t="shared" si="27"/>
        <v>97</v>
      </c>
      <c r="B99" s="113" t="s">
        <v>402</v>
      </c>
      <c r="C99" s="114" t="s">
        <v>401</v>
      </c>
      <c r="D99" s="122"/>
      <c r="E99" s="114" t="s">
        <v>403</v>
      </c>
      <c r="F99" s="112"/>
      <c r="G99" s="115" t="s">
        <v>81</v>
      </c>
      <c r="H99" s="112" t="s">
        <v>82</v>
      </c>
      <c r="I99" s="114" t="s">
        <v>83</v>
      </c>
      <c r="J99" s="114" t="s">
        <v>84</v>
      </c>
      <c r="K99" s="114" t="s">
        <v>83</v>
      </c>
      <c r="L99" s="113" t="s">
        <v>371</v>
      </c>
      <c r="M99" s="113" t="s">
        <v>371</v>
      </c>
      <c r="N99" s="116">
        <v>46112</v>
      </c>
      <c r="O99" s="114">
        <v>86</v>
      </c>
      <c r="P99" s="116">
        <v>46114</v>
      </c>
      <c r="Q99" s="116">
        <v>46147</v>
      </c>
      <c r="R99" s="116">
        <v>46114</v>
      </c>
      <c r="S99" s="112"/>
      <c r="T99" s="112"/>
      <c r="U99" s="112" t="s">
        <v>85</v>
      </c>
      <c r="V99" s="114" t="s">
        <v>99</v>
      </c>
      <c r="W99" s="114">
        <v>86</v>
      </c>
      <c r="X99" s="114">
        <v>86</v>
      </c>
      <c r="Y99" s="112"/>
      <c r="Z99" s="112" t="s">
        <v>87</v>
      </c>
      <c r="AA99" s="112"/>
      <c r="AB99" s="117"/>
      <c r="AC99" s="118">
        <v>25.5</v>
      </c>
      <c r="AD99" s="112"/>
      <c r="AE99" s="114">
        <v>86</v>
      </c>
      <c r="AF99" s="112" t="s">
        <v>88</v>
      </c>
      <c r="AG99" s="114" t="s">
        <v>99</v>
      </c>
      <c r="AH99" s="118">
        <v>12.5</v>
      </c>
      <c r="AI99" s="112">
        <f t="shared" si="52"/>
        <v>1075</v>
      </c>
      <c r="AJ99" s="112"/>
      <c r="AK99" s="115" t="s">
        <v>89</v>
      </c>
      <c r="AL99" s="114">
        <v>86</v>
      </c>
      <c r="AM99" s="112">
        <v>18</v>
      </c>
      <c r="AN99" s="112">
        <f t="shared" si="53"/>
        <v>1548</v>
      </c>
      <c r="AO99" s="112"/>
      <c r="AP99" s="112"/>
      <c r="AQ99" s="112">
        <f t="shared" si="54"/>
        <v>0</v>
      </c>
      <c r="AR99" s="112">
        <f t="shared" si="55"/>
        <v>1548</v>
      </c>
      <c r="AS99" s="112"/>
      <c r="AT99" s="110" t="s">
        <v>373</v>
      </c>
      <c r="AU99" s="111">
        <v>46146</v>
      </c>
      <c r="AV99" s="112">
        <f t="shared" si="56"/>
        <v>18</v>
      </c>
      <c r="AW99" s="112">
        <f t="shared" si="57"/>
        <v>1548</v>
      </c>
      <c r="AX99" s="112"/>
      <c r="AY99" s="114" t="s">
        <v>374</v>
      </c>
      <c r="AZ99" s="119">
        <v>46156</v>
      </c>
      <c r="BA99" s="112">
        <f t="shared" si="58"/>
        <v>18</v>
      </c>
      <c r="BB99" s="112">
        <f t="shared" si="59"/>
        <v>86</v>
      </c>
      <c r="BC99" s="112">
        <f t="shared" si="60"/>
        <v>1548</v>
      </c>
      <c r="BD99" s="112"/>
      <c r="BE99" s="112" t="s">
        <v>135</v>
      </c>
      <c r="BF99" s="113" t="s">
        <v>402</v>
      </c>
      <c r="BG99" s="120" t="s">
        <v>93</v>
      </c>
      <c r="BH99" s="120" t="s">
        <v>145</v>
      </c>
    </row>
    <row r="100" spans="1:60" s="120" customFormat="1" ht="15" customHeight="1">
      <c r="A100" s="112">
        <f t="shared" si="27"/>
        <v>98</v>
      </c>
      <c r="B100" s="113" t="s">
        <v>404</v>
      </c>
      <c r="C100" s="114" t="s">
        <v>401</v>
      </c>
      <c r="D100" s="122"/>
      <c r="E100" s="114" t="s">
        <v>405</v>
      </c>
      <c r="F100" s="112"/>
      <c r="G100" s="115" t="s">
        <v>81</v>
      </c>
      <c r="H100" s="112" t="s">
        <v>82</v>
      </c>
      <c r="I100" s="114" t="s">
        <v>83</v>
      </c>
      <c r="J100" s="114" t="s">
        <v>84</v>
      </c>
      <c r="K100" s="114" t="s">
        <v>83</v>
      </c>
      <c r="L100" s="113" t="s">
        <v>371</v>
      </c>
      <c r="M100" s="113" t="s">
        <v>371</v>
      </c>
      <c r="N100" s="116">
        <v>46112</v>
      </c>
      <c r="O100" s="114">
        <v>174</v>
      </c>
      <c r="P100" s="116">
        <v>46114</v>
      </c>
      <c r="Q100" s="116">
        <v>46147</v>
      </c>
      <c r="R100" s="116">
        <v>46114</v>
      </c>
      <c r="S100" s="112"/>
      <c r="T100" s="112"/>
      <c r="U100" s="112" t="s">
        <v>85</v>
      </c>
      <c r="V100" s="114" t="s">
        <v>99</v>
      </c>
      <c r="W100" s="114">
        <v>174</v>
      </c>
      <c r="X100" s="114">
        <v>177</v>
      </c>
      <c r="Y100" s="112"/>
      <c r="Z100" s="112" t="s">
        <v>87</v>
      </c>
      <c r="AA100" s="112"/>
      <c r="AB100" s="117"/>
      <c r="AC100" s="118">
        <v>25.5</v>
      </c>
      <c r="AD100" s="112"/>
      <c r="AE100" s="114">
        <v>174</v>
      </c>
      <c r="AF100" s="112" t="s">
        <v>88</v>
      </c>
      <c r="AG100" s="114" t="s">
        <v>99</v>
      </c>
      <c r="AH100" s="118">
        <v>12.5</v>
      </c>
      <c r="AI100" s="112">
        <f t="shared" si="52"/>
        <v>2175</v>
      </c>
      <c r="AJ100" s="112"/>
      <c r="AK100" s="115" t="s">
        <v>89</v>
      </c>
      <c r="AL100" s="114">
        <v>177</v>
      </c>
      <c r="AM100" s="112">
        <v>18</v>
      </c>
      <c r="AN100" s="112">
        <f t="shared" si="53"/>
        <v>3186</v>
      </c>
      <c r="AO100" s="112"/>
      <c r="AP100" s="112"/>
      <c r="AQ100" s="112">
        <f t="shared" si="54"/>
        <v>0</v>
      </c>
      <c r="AR100" s="112">
        <f t="shared" si="55"/>
        <v>3186</v>
      </c>
      <c r="AS100" s="112"/>
      <c r="AT100" s="110" t="s">
        <v>373</v>
      </c>
      <c r="AU100" s="111">
        <v>46146</v>
      </c>
      <c r="AV100" s="112">
        <f t="shared" si="56"/>
        <v>18</v>
      </c>
      <c r="AW100" s="112">
        <f t="shared" si="57"/>
        <v>3186</v>
      </c>
      <c r="AX100" s="112"/>
      <c r="AY100" s="114" t="s">
        <v>374</v>
      </c>
      <c r="AZ100" s="119">
        <v>46156</v>
      </c>
      <c r="BA100" s="112">
        <f t="shared" si="58"/>
        <v>18</v>
      </c>
      <c r="BB100" s="112">
        <f t="shared" si="59"/>
        <v>177</v>
      </c>
      <c r="BC100" s="112">
        <f t="shared" si="60"/>
        <v>3186</v>
      </c>
      <c r="BD100" s="112"/>
      <c r="BE100" s="112" t="s">
        <v>138</v>
      </c>
      <c r="BF100" s="113" t="s">
        <v>404</v>
      </c>
      <c r="BG100" s="120" t="s">
        <v>93</v>
      </c>
      <c r="BH100" s="120" t="s">
        <v>145</v>
      </c>
    </row>
    <row r="101" spans="1:60" s="120" customFormat="1" ht="15" customHeight="1">
      <c r="A101" s="112">
        <f t="shared" si="27"/>
        <v>99</v>
      </c>
      <c r="B101" s="113" t="s">
        <v>406</v>
      </c>
      <c r="C101" s="114" t="s">
        <v>407</v>
      </c>
      <c r="D101" s="122"/>
      <c r="E101" s="114" t="s">
        <v>408</v>
      </c>
      <c r="F101" s="112"/>
      <c r="G101" s="115" t="s">
        <v>81</v>
      </c>
      <c r="H101" s="112" t="s">
        <v>82</v>
      </c>
      <c r="I101" s="114" t="s">
        <v>83</v>
      </c>
      <c r="J101" s="114" t="s">
        <v>84</v>
      </c>
      <c r="K101" s="114" t="s">
        <v>83</v>
      </c>
      <c r="L101" s="113" t="s">
        <v>371</v>
      </c>
      <c r="M101" s="113" t="s">
        <v>371</v>
      </c>
      <c r="N101" s="116">
        <v>46112</v>
      </c>
      <c r="O101" s="114">
        <v>143</v>
      </c>
      <c r="P101" s="116">
        <v>46114</v>
      </c>
      <c r="Q101" s="116">
        <v>46147</v>
      </c>
      <c r="R101" s="116">
        <v>46114</v>
      </c>
      <c r="S101" s="112"/>
      <c r="T101" s="112"/>
      <c r="U101" s="112" t="s">
        <v>85</v>
      </c>
      <c r="V101" s="114" t="s">
        <v>86</v>
      </c>
      <c r="W101" s="114">
        <v>143</v>
      </c>
      <c r="X101" s="114">
        <v>123</v>
      </c>
      <c r="Y101" s="112"/>
      <c r="Z101" s="112" t="s">
        <v>87</v>
      </c>
      <c r="AA101" s="112"/>
      <c r="AB101" s="117"/>
      <c r="AC101" s="118">
        <v>30.5</v>
      </c>
      <c r="AD101" s="112"/>
      <c r="AE101" s="114">
        <v>143</v>
      </c>
      <c r="AF101" s="112" t="s">
        <v>88</v>
      </c>
      <c r="AG101" s="114" t="s">
        <v>86</v>
      </c>
      <c r="AH101" s="118">
        <v>24.5</v>
      </c>
      <c r="AI101" s="112">
        <f t="shared" si="52"/>
        <v>3503.5</v>
      </c>
      <c r="AJ101" s="112"/>
      <c r="AK101" s="115" t="s">
        <v>89</v>
      </c>
      <c r="AL101" s="114">
        <v>123</v>
      </c>
      <c r="AM101" s="112">
        <v>18</v>
      </c>
      <c r="AN101" s="112">
        <f t="shared" si="53"/>
        <v>2214</v>
      </c>
      <c r="AO101" s="112"/>
      <c r="AP101" s="112"/>
      <c r="AQ101" s="112">
        <f t="shared" si="54"/>
        <v>0</v>
      </c>
      <c r="AR101" s="112">
        <f t="shared" si="55"/>
        <v>2214</v>
      </c>
      <c r="AS101" s="112"/>
      <c r="AT101" s="110" t="s">
        <v>373</v>
      </c>
      <c r="AU101" s="111">
        <v>46146</v>
      </c>
      <c r="AV101" s="112">
        <f t="shared" si="56"/>
        <v>18</v>
      </c>
      <c r="AW101" s="112">
        <f t="shared" si="57"/>
        <v>2214</v>
      </c>
      <c r="AX101" s="112"/>
      <c r="AY101" s="114" t="s">
        <v>374</v>
      </c>
      <c r="AZ101" s="119">
        <v>46156</v>
      </c>
      <c r="BA101" s="112">
        <f t="shared" si="58"/>
        <v>18</v>
      </c>
      <c r="BB101" s="112">
        <f t="shared" si="59"/>
        <v>123</v>
      </c>
      <c r="BC101" s="112">
        <f t="shared" si="60"/>
        <v>2214</v>
      </c>
      <c r="BD101" s="112"/>
      <c r="BE101" s="112" t="s">
        <v>132</v>
      </c>
      <c r="BF101" s="113" t="s">
        <v>406</v>
      </c>
      <c r="BG101" s="120" t="s">
        <v>93</v>
      </c>
      <c r="BH101" s="120" t="s">
        <v>145</v>
      </c>
    </row>
    <row r="102" spans="1:60" s="120" customFormat="1" ht="15" customHeight="1">
      <c r="A102" s="112">
        <f t="shared" si="27"/>
        <v>100</v>
      </c>
      <c r="B102" s="113" t="s">
        <v>409</v>
      </c>
      <c r="C102" s="114" t="s">
        <v>408</v>
      </c>
      <c r="D102" s="122"/>
      <c r="E102" s="114" t="s">
        <v>410</v>
      </c>
      <c r="F102" s="112"/>
      <c r="G102" s="115" t="s">
        <v>81</v>
      </c>
      <c r="H102" s="112" t="s">
        <v>82</v>
      </c>
      <c r="I102" s="114" t="s">
        <v>83</v>
      </c>
      <c r="J102" s="114" t="s">
        <v>84</v>
      </c>
      <c r="K102" s="114" t="s">
        <v>83</v>
      </c>
      <c r="L102" s="113" t="s">
        <v>371</v>
      </c>
      <c r="M102" s="113" t="s">
        <v>371</v>
      </c>
      <c r="N102" s="116">
        <v>46112</v>
      </c>
      <c r="O102" s="114">
        <v>42</v>
      </c>
      <c r="P102" s="116">
        <v>46114</v>
      </c>
      <c r="Q102" s="116">
        <v>46147</v>
      </c>
      <c r="R102" s="116">
        <v>46114</v>
      </c>
      <c r="S102" s="112"/>
      <c r="T102" s="112"/>
      <c r="U102" s="112" t="s">
        <v>85</v>
      </c>
      <c r="V102" s="114" t="s">
        <v>99</v>
      </c>
      <c r="W102" s="114">
        <v>42</v>
      </c>
      <c r="X102" s="114">
        <v>43</v>
      </c>
      <c r="Y102" s="112"/>
      <c r="Z102" s="112" t="s">
        <v>87</v>
      </c>
      <c r="AA102" s="112"/>
      <c r="AB102" s="117"/>
      <c r="AC102" s="118">
        <v>25.5</v>
      </c>
      <c r="AD102" s="112"/>
      <c r="AE102" s="114">
        <v>42</v>
      </c>
      <c r="AF102" s="112" t="s">
        <v>88</v>
      </c>
      <c r="AG102" s="114" t="s">
        <v>99</v>
      </c>
      <c r="AH102" s="118">
        <v>12.5</v>
      </c>
      <c r="AI102" s="112">
        <f t="shared" si="52"/>
        <v>525</v>
      </c>
      <c r="AJ102" s="112"/>
      <c r="AK102" s="115" t="s">
        <v>89</v>
      </c>
      <c r="AL102" s="114">
        <v>43</v>
      </c>
      <c r="AM102" s="112">
        <v>18</v>
      </c>
      <c r="AN102" s="112">
        <f t="shared" si="53"/>
        <v>774</v>
      </c>
      <c r="AO102" s="112"/>
      <c r="AP102" s="112"/>
      <c r="AQ102" s="112">
        <f t="shared" si="54"/>
        <v>0</v>
      </c>
      <c r="AR102" s="112">
        <f t="shared" si="55"/>
        <v>774</v>
      </c>
      <c r="AS102" s="112"/>
      <c r="AT102" s="110" t="s">
        <v>373</v>
      </c>
      <c r="AU102" s="111">
        <v>46146</v>
      </c>
      <c r="AV102" s="112">
        <f t="shared" si="56"/>
        <v>18</v>
      </c>
      <c r="AW102" s="112">
        <f t="shared" si="57"/>
        <v>774</v>
      </c>
      <c r="AX102" s="112"/>
      <c r="AY102" s="114" t="s">
        <v>374</v>
      </c>
      <c r="AZ102" s="119">
        <v>46156</v>
      </c>
      <c r="BA102" s="112">
        <f t="shared" si="58"/>
        <v>18</v>
      </c>
      <c r="BB102" s="112">
        <f t="shared" si="59"/>
        <v>43</v>
      </c>
      <c r="BC102" s="112">
        <f t="shared" si="60"/>
        <v>774</v>
      </c>
      <c r="BD102" s="112"/>
      <c r="BE102" s="112" t="s">
        <v>182</v>
      </c>
      <c r="BF102" s="113" t="s">
        <v>409</v>
      </c>
      <c r="BG102" s="120" t="s">
        <v>93</v>
      </c>
      <c r="BH102" s="120" t="s">
        <v>145</v>
      </c>
    </row>
    <row r="103" spans="1:60" s="120" customFormat="1" ht="15" customHeight="1">
      <c r="A103" s="112">
        <f t="shared" si="27"/>
        <v>101</v>
      </c>
      <c r="B103" s="113" t="s">
        <v>411</v>
      </c>
      <c r="C103" s="114" t="s">
        <v>408</v>
      </c>
      <c r="D103" s="122"/>
      <c r="E103" s="114" t="s">
        <v>412</v>
      </c>
      <c r="F103" s="112"/>
      <c r="G103" s="115" t="s">
        <v>81</v>
      </c>
      <c r="H103" s="112" t="s">
        <v>82</v>
      </c>
      <c r="I103" s="114" t="s">
        <v>83</v>
      </c>
      <c r="J103" s="114" t="s">
        <v>84</v>
      </c>
      <c r="K103" s="114" t="s">
        <v>83</v>
      </c>
      <c r="L103" s="113" t="s">
        <v>371</v>
      </c>
      <c r="M103" s="113" t="s">
        <v>371</v>
      </c>
      <c r="N103" s="116">
        <v>46112</v>
      </c>
      <c r="O103" s="114">
        <v>96</v>
      </c>
      <c r="P103" s="116">
        <v>46114</v>
      </c>
      <c r="Q103" s="116">
        <v>46147</v>
      </c>
      <c r="R103" s="116">
        <v>46114</v>
      </c>
      <c r="S103" s="112"/>
      <c r="T103" s="112"/>
      <c r="U103" s="112" t="s">
        <v>85</v>
      </c>
      <c r="V103" s="114" t="s">
        <v>99</v>
      </c>
      <c r="W103" s="114">
        <v>96</v>
      </c>
      <c r="X103" s="114">
        <v>98</v>
      </c>
      <c r="Y103" s="112"/>
      <c r="Z103" s="112" t="s">
        <v>87</v>
      </c>
      <c r="AA103" s="112"/>
      <c r="AB103" s="117"/>
      <c r="AC103" s="118">
        <v>25.5</v>
      </c>
      <c r="AD103" s="112"/>
      <c r="AE103" s="114">
        <v>96</v>
      </c>
      <c r="AF103" s="112" t="s">
        <v>88</v>
      </c>
      <c r="AG103" s="114" t="s">
        <v>99</v>
      </c>
      <c r="AH103" s="118">
        <v>12.5</v>
      </c>
      <c r="AI103" s="112">
        <f t="shared" si="52"/>
        <v>1200</v>
      </c>
      <c r="AJ103" s="112"/>
      <c r="AK103" s="115" t="s">
        <v>89</v>
      </c>
      <c r="AL103" s="114">
        <v>98</v>
      </c>
      <c r="AM103" s="112">
        <v>18</v>
      </c>
      <c r="AN103" s="112">
        <f t="shared" si="53"/>
        <v>1764</v>
      </c>
      <c r="AO103" s="112"/>
      <c r="AP103" s="112"/>
      <c r="AQ103" s="112">
        <f t="shared" si="54"/>
        <v>0</v>
      </c>
      <c r="AR103" s="112">
        <f t="shared" si="55"/>
        <v>1764</v>
      </c>
      <c r="AS103" s="112"/>
      <c r="AT103" s="110" t="s">
        <v>373</v>
      </c>
      <c r="AU103" s="111">
        <v>46146</v>
      </c>
      <c r="AV103" s="112">
        <f t="shared" si="56"/>
        <v>18</v>
      </c>
      <c r="AW103" s="112">
        <f t="shared" si="57"/>
        <v>1764</v>
      </c>
      <c r="AX103" s="112"/>
      <c r="AY103" s="114" t="s">
        <v>374</v>
      </c>
      <c r="AZ103" s="119">
        <v>46156</v>
      </c>
      <c r="BA103" s="112">
        <f t="shared" si="58"/>
        <v>18</v>
      </c>
      <c r="BB103" s="112">
        <f t="shared" si="59"/>
        <v>98</v>
      </c>
      <c r="BC103" s="112">
        <f t="shared" si="60"/>
        <v>1764</v>
      </c>
      <c r="BD103" s="112"/>
      <c r="BE103" s="112" t="s">
        <v>185</v>
      </c>
      <c r="BF103" s="113" t="s">
        <v>411</v>
      </c>
      <c r="BG103" s="120" t="s">
        <v>93</v>
      </c>
      <c r="BH103" s="120" t="s">
        <v>145</v>
      </c>
    </row>
    <row r="104" spans="1:60" s="120" customFormat="1" ht="15" customHeight="1">
      <c r="A104" s="112">
        <f t="shared" si="27"/>
        <v>102</v>
      </c>
      <c r="B104" s="113" t="s">
        <v>413</v>
      </c>
      <c r="C104" s="114" t="s">
        <v>414</v>
      </c>
      <c r="D104" s="122"/>
      <c r="E104" s="114" t="s">
        <v>415</v>
      </c>
      <c r="F104" s="112"/>
      <c r="G104" s="115" t="s">
        <v>81</v>
      </c>
      <c r="H104" s="112" t="s">
        <v>82</v>
      </c>
      <c r="I104" s="114" t="s">
        <v>83</v>
      </c>
      <c r="J104" s="114" t="s">
        <v>84</v>
      </c>
      <c r="K104" s="114" t="s">
        <v>83</v>
      </c>
      <c r="L104" s="113" t="s">
        <v>371</v>
      </c>
      <c r="M104" s="113" t="s">
        <v>371</v>
      </c>
      <c r="N104" s="116">
        <v>46112</v>
      </c>
      <c r="O104" s="114">
        <v>22</v>
      </c>
      <c r="P104" s="116">
        <v>46114</v>
      </c>
      <c r="Q104" s="116">
        <v>46147</v>
      </c>
      <c r="R104" s="116">
        <v>46114</v>
      </c>
      <c r="S104" s="112"/>
      <c r="T104" s="112"/>
      <c r="U104" s="112" t="s">
        <v>85</v>
      </c>
      <c r="V104" s="114" t="s">
        <v>99</v>
      </c>
      <c r="W104" s="114">
        <v>22</v>
      </c>
      <c r="X104" s="114">
        <v>22</v>
      </c>
      <c r="Y104" s="112"/>
      <c r="Z104" s="112" t="s">
        <v>87</v>
      </c>
      <c r="AA104" s="112"/>
      <c r="AB104" s="117"/>
      <c r="AC104" s="118">
        <v>25.5</v>
      </c>
      <c r="AD104" s="112"/>
      <c r="AE104" s="114">
        <v>22</v>
      </c>
      <c r="AF104" s="112" t="s">
        <v>88</v>
      </c>
      <c r="AG104" s="114" t="s">
        <v>99</v>
      </c>
      <c r="AH104" s="118">
        <v>12.5</v>
      </c>
      <c r="AI104" s="112">
        <f t="shared" si="52"/>
        <v>275</v>
      </c>
      <c r="AJ104" s="112"/>
      <c r="AK104" s="115" t="s">
        <v>89</v>
      </c>
      <c r="AL104" s="114">
        <v>22</v>
      </c>
      <c r="AM104" s="112">
        <v>18</v>
      </c>
      <c r="AN104" s="112">
        <f t="shared" si="53"/>
        <v>396</v>
      </c>
      <c r="AO104" s="112"/>
      <c r="AP104" s="112"/>
      <c r="AQ104" s="112">
        <f t="shared" si="54"/>
        <v>0</v>
      </c>
      <c r="AR104" s="112">
        <f t="shared" si="55"/>
        <v>396</v>
      </c>
      <c r="AS104" s="112"/>
      <c r="AT104" s="110" t="s">
        <v>373</v>
      </c>
      <c r="AU104" s="111">
        <v>46146</v>
      </c>
      <c r="AV104" s="112">
        <f t="shared" si="56"/>
        <v>18</v>
      </c>
      <c r="AW104" s="112">
        <f t="shared" si="57"/>
        <v>396</v>
      </c>
      <c r="AX104" s="112"/>
      <c r="AY104" s="114" t="s">
        <v>374</v>
      </c>
      <c r="AZ104" s="119">
        <v>46156</v>
      </c>
      <c r="BA104" s="112">
        <f t="shared" si="58"/>
        <v>18</v>
      </c>
      <c r="BB104" s="112">
        <f t="shared" si="59"/>
        <v>22</v>
      </c>
      <c r="BC104" s="112">
        <f t="shared" si="60"/>
        <v>396</v>
      </c>
      <c r="BD104" s="112"/>
      <c r="BE104" s="112" t="s">
        <v>188</v>
      </c>
      <c r="BF104" s="113" t="s">
        <v>413</v>
      </c>
      <c r="BG104" s="120" t="s">
        <v>93</v>
      </c>
      <c r="BH104" s="120" t="s">
        <v>145</v>
      </c>
    </row>
    <row r="105" spans="1:60" s="120" customFormat="1" ht="15" customHeight="1">
      <c r="A105" s="112">
        <f t="shared" si="27"/>
        <v>103</v>
      </c>
      <c r="B105" s="113" t="s">
        <v>416</v>
      </c>
      <c r="C105" s="114" t="s">
        <v>414</v>
      </c>
      <c r="D105" s="122"/>
      <c r="E105" s="114" t="s">
        <v>417</v>
      </c>
      <c r="F105" s="112"/>
      <c r="G105" s="115" t="s">
        <v>81</v>
      </c>
      <c r="H105" s="112" t="s">
        <v>82</v>
      </c>
      <c r="I105" s="114" t="s">
        <v>83</v>
      </c>
      <c r="J105" s="114" t="s">
        <v>84</v>
      </c>
      <c r="K105" s="114" t="s">
        <v>83</v>
      </c>
      <c r="L105" s="113" t="s">
        <v>371</v>
      </c>
      <c r="M105" s="113" t="s">
        <v>371</v>
      </c>
      <c r="N105" s="116">
        <v>46112</v>
      </c>
      <c r="O105" s="114">
        <v>57</v>
      </c>
      <c r="P105" s="116">
        <v>46114</v>
      </c>
      <c r="Q105" s="116">
        <v>46147</v>
      </c>
      <c r="R105" s="116">
        <v>46114</v>
      </c>
      <c r="S105" s="112"/>
      <c r="T105" s="112"/>
      <c r="U105" s="112" t="s">
        <v>85</v>
      </c>
      <c r="V105" s="114" t="s">
        <v>86</v>
      </c>
      <c r="W105" s="114">
        <v>57</v>
      </c>
      <c r="X105" s="114">
        <v>49</v>
      </c>
      <c r="Y105" s="112"/>
      <c r="Z105" s="112" t="s">
        <v>87</v>
      </c>
      <c r="AA105" s="112"/>
      <c r="AB105" s="117"/>
      <c r="AC105" s="118">
        <v>30.5</v>
      </c>
      <c r="AD105" s="112"/>
      <c r="AE105" s="114">
        <v>57</v>
      </c>
      <c r="AF105" s="112" t="s">
        <v>88</v>
      </c>
      <c r="AG105" s="114" t="s">
        <v>86</v>
      </c>
      <c r="AH105" s="118">
        <v>24.5</v>
      </c>
      <c r="AI105" s="112">
        <f t="shared" si="52"/>
        <v>1396.5</v>
      </c>
      <c r="AJ105" s="112"/>
      <c r="AK105" s="115" t="s">
        <v>89</v>
      </c>
      <c r="AL105" s="114">
        <v>49</v>
      </c>
      <c r="AM105" s="112">
        <v>18</v>
      </c>
      <c r="AN105" s="112">
        <f t="shared" si="53"/>
        <v>882</v>
      </c>
      <c r="AO105" s="112"/>
      <c r="AP105" s="112"/>
      <c r="AQ105" s="112">
        <f t="shared" si="54"/>
        <v>0</v>
      </c>
      <c r="AR105" s="112">
        <f t="shared" si="55"/>
        <v>882</v>
      </c>
      <c r="AS105" s="112"/>
      <c r="AT105" s="110" t="s">
        <v>373</v>
      </c>
      <c r="AU105" s="111">
        <v>46146</v>
      </c>
      <c r="AV105" s="112">
        <f t="shared" si="56"/>
        <v>18</v>
      </c>
      <c r="AW105" s="112">
        <f t="shared" si="57"/>
        <v>882</v>
      </c>
      <c r="AX105" s="112"/>
      <c r="AY105" s="114" t="s">
        <v>374</v>
      </c>
      <c r="AZ105" s="119">
        <v>46156</v>
      </c>
      <c r="BA105" s="112">
        <f t="shared" si="58"/>
        <v>18</v>
      </c>
      <c r="BB105" s="112">
        <f t="shared" si="59"/>
        <v>49</v>
      </c>
      <c r="BC105" s="112">
        <f t="shared" si="60"/>
        <v>882</v>
      </c>
      <c r="BD105" s="112"/>
      <c r="BE105" s="112" t="s">
        <v>192</v>
      </c>
      <c r="BF105" s="113" t="s">
        <v>416</v>
      </c>
      <c r="BG105" s="120" t="s">
        <v>93</v>
      </c>
      <c r="BH105" s="120" t="s">
        <v>145</v>
      </c>
    </row>
    <row r="106" spans="1:60" s="120" customFormat="1" ht="15" customHeight="1">
      <c r="A106" s="112">
        <f t="shared" si="27"/>
        <v>104</v>
      </c>
      <c r="B106" s="113" t="s">
        <v>418</v>
      </c>
      <c r="C106" s="114" t="s">
        <v>419</v>
      </c>
      <c r="D106" s="122"/>
      <c r="E106" s="114" t="s">
        <v>420</v>
      </c>
      <c r="F106" s="112"/>
      <c r="G106" s="115" t="s">
        <v>81</v>
      </c>
      <c r="H106" s="112" t="s">
        <v>82</v>
      </c>
      <c r="I106" s="114" t="s">
        <v>83</v>
      </c>
      <c r="J106" s="114" t="s">
        <v>84</v>
      </c>
      <c r="K106" s="114" t="s">
        <v>83</v>
      </c>
      <c r="L106" s="113" t="s">
        <v>371</v>
      </c>
      <c r="M106" s="113" t="s">
        <v>371</v>
      </c>
      <c r="N106" s="116">
        <v>46112</v>
      </c>
      <c r="O106" s="114">
        <v>154</v>
      </c>
      <c r="P106" s="116">
        <v>46114</v>
      </c>
      <c r="Q106" s="116">
        <v>46147</v>
      </c>
      <c r="R106" s="116">
        <v>46114</v>
      </c>
      <c r="S106" s="112"/>
      <c r="T106" s="112"/>
      <c r="U106" s="112" t="s">
        <v>85</v>
      </c>
      <c r="V106" s="114" t="s">
        <v>99</v>
      </c>
      <c r="W106" s="114">
        <v>154</v>
      </c>
      <c r="X106" s="114">
        <v>154</v>
      </c>
      <c r="Y106" s="112"/>
      <c r="Z106" s="112" t="s">
        <v>87</v>
      </c>
      <c r="AA106" s="112"/>
      <c r="AB106" s="117"/>
      <c r="AC106" s="118">
        <v>25.5</v>
      </c>
      <c r="AD106" s="112"/>
      <c r="AE106" s="114">
        <v>154</v>
      </c>
      <c r="AF106" s="112" t="s">
        <v>88</v>
      </c>
      <c r="AG106" s="114" t="s">
        <v>99</v>
      </c>
      <c r="AH106" s="118">
        <v>12.5</v>
      </c>
      <c r="AI106" s="112">
        <f t="shared" si="52"/>
        <v>1925</v>
      </c>
      <c r="AJ106" s="112"/>
      <c r="AK106" s="115" t="s">
        <v>89</v>
      </c>
      <c r="AL106" s="114">
        <v>154</v>
      </c>
      <c r="AM106" s="112">
        <v>18</v>
      </c>
      <c r="AN106" s="112">
        <f t="shared" si="53"/>
        <v>2772</v>
      </c>
      <c r="AO106" s="112"/>
      <c r="AP106" s="112"/>
      <c r="AQ106" s="112">
        <f t="shared" si="54"/>
        <v>0</v>
      </c>
      <c r="AR106" s="112">
        <f t="shared" si="55"/>
        <v>2772</v>
      </c>
      <c r="AS106" s="112"/>
      <c r="AT106" s="110" t="s">
        <v>373</v>
      </c>
      <c r="AU106" s="111">
        <v>46146</v>
      </c>
      <c r="AV106" s="112">
        <f t="shared" si="56"/>
        <v>18</v>
      </c>
      <c r="AW106" s="112">
        <f t="shared" si="57"/>
        <v>2772</v>
      </c>
      <c r="AX106" s="112"/>
      <c r="AY106" s="114" t="s">
        <v>374</v>
      </c>
      <c r="AZ106" s="119">
        <v>46156</v>
      </c>
      <c r="BA106" s="112">
        <f t="shared" si="58"/>
        <v>18</v>
      </c>
      <c r="BB106" s="112">
        <f t="shared" si="59"/>
        <v>154</v>
      </c>
      <c r="BC106" s="112">
        <f t="shared" si="60"/>
        <v>2772</v>
      </c>
      <c r="BD106" s="112"/>
      <c r="BE106" s="112" t="s">
        <v>195</v>
      </c>
      <c r="BF106" s="113" t="s">
        <v>418</v>
      </c>
      <c r="BG106" s="120" t="s">
        <v>93</v>
      </c>
      <c r="BH106" s="120" t="s">
        <v>145</v>
      </c>
    </row>
    <row r="107" spans="1:60" s="120" customFormat="1" ht="15" customHeight="1">
      <c r="A107" s="112">
        <f t="shared" si="27"/>
        <v>105</v>
      </c>
      <c r="B107" s="113" t="s">
        <v>421</v>
      </c>
      <c r="C107" s="114" t="s">
        <v>419</v>
      </c>
      <c r="D107" s="122"/>
      <c r="E107" s="114" t="s">
        <v>422</v>
      </c>
      <c r="F107" s="112"/>
      <c r="G107" s="115" t="s">
        <v>81</v>
      </c>
      <c r="H107" s="112" t="s">
        <v>82</v>
      </c>
      <c r="I107" s="114" t="s">
        <v>83</v>
      </c>
      <c r="J107" s="114" t="s">
        <v>84</v>
      </c>
      <c r="K107" s="114" t="s">
        <v>83</v>
      </c>
      <c r="L107" s="113" t="s">
        <v>371</v>
      </c>
      <c r="M107" s="113" t="s">
        <v>371</v>
      </c>
      <c r="N107" s="116">
        <v>46112</v>
      </c>
      <c r="O107" s="114">
        <v>37</v>
      </c>
      <c r="P107" s="116">
        <v>46114</v>
      </c>
      <c r="Q107" s="116">
        <v>46147</v>
      </c>
      <c r="R107" s="116">
        <v>46114</v>
      </c>
      <c r="S107" s="112"/>
      <c r="T107" s="112"/>
      <c r="U107" s="112" t="s">
        <v>85</v>
      </c>
      <c r="V107" s="114" t="s">
        <v>99</v>
      </c>
      <c r="W107" s="114">
        <v>37</v>
      </c>
      <c r="X107" s="114">
        <v>37</v>
      </c>
      <c r="Y107" s="112"/>
      <c r="Z107" s="112" t="s">
        <v>87</v>
      </c>
      <c r="AA107" s="112"/>
      <c r="AB107" s="117"/>
      <c r="AC107" s="118">
        <v>25.5</v>
      </c>
      <c r="AD107" s="112"/>
      <c r="AE107" s="114">
        <v>37</v>
      </c>
      <c r="AF107" s="112" t="s">
        <v>88</v>
      </c>
      <c r="AG107" s="114" t="s">
        <v>99</v>
      </c>
      <c r="AH107" s="118">
        <v>12.5</v>
      </c>
      <c r="AI107" s="112">
        <f t="shared" si="52"/>
        <v>462.5</v>
      </c>
      <c r="AJ107" s="112"/>
      <c r="AK107" s="115" t="s">
        <v>89</v>
      </c>
      <c r="AL107" s="114">
        <v>37</v>
      </c>
      <c r="AM107" s="112">
        <v>18</v>
      </c>
      <c r="AN107" s="112">
        <f t="shared" si="53"/>
        <v>666</v>
      </c>
      <c r="AO107" s="112"/>
      <c r="AP107" s="112"/>
      <c r="AQ107" s="112">
        <f t="shared" si="54"/>
        <v>0</v>
      </c>
      <c r="AR107" s="112">
        <f t="shared" si="55"/>
        <v>666</v>
      </c>
      <c r="AS107" s="112"/>
      <c r="AT107" s="110" t="s">
        <v>373</v>
      </c>
      <c r="AU107" s="111">
        <v>46146</v>
      </c>
      <c r="AV107" s="112">
        <f t="shared" si="56"/>
        <v>18</v>
      </c>
      <c r="AW107" s="112">
        <f t="shared" si="57"/>
        <v>666</v>
      </c>
      <c r="AX107" s="112"/>
      <c r="AY107" s="114" t="s">
        <v>374</v>
      </c>
      <c r="AZ107" s="119">
        <v>46156</v>
      </c>
      <c r="BA107" s="112">
        <f t="shared" si="58"/>
        <v>18</v>
      </c>
      <c r="BB107" s="112">
        <f t="shared" si="59"/>
        <v>37</v>
      </c>
      <c r="BC107" s="112">
        <f t="shared" si="60"/>
        <v>666</v>
      </c>
      <c r="BD107" s="112"/>
      <c r="BE107" s="112" t="s">
        <v>199</v>
      </c>
      <c r="BF107" s="113" t="s">
        <v>421</v>
      </c>
      <c r="BG107" s="120" t="s">
        <v>93</v>
      </c>
      <c r="BH107" s="120" t="s">
        <v>145</v>
      </c>
    </row>
    <row r="108" spans="1:60" s="120" customFormat="1" ht="15" customHeight="1">
      <c r="A108" s="112">
        <f t="shared" si="27"/>
        <v>106</v>
      </c>
      <c r="B108" s="113" t="s">
        <v>423</v>
      </c>
      <c r="C108" s="114" t="s">
        <v>372</v>
      </c>
      <c r="D108" s="122"/>
      <c r="E108" s="114" t="s">
        <v>424</v>
      </c>
      <c r="F108" s="112"/>
      <c r="G108" s="115" t="s">
        <v>81</v>
      </c>
      <c r="H108" s="112" t="s">
        <v>82</v>
      </c>
      <c r="I108" s="114" t="s">
        <v>83</v>
      </c>
      <c r="J108" s="114" t="s">
        <v>84</v>
      </c>
      <c r="K108" s="114" t="s">
        <v>83</v>
      </c>
      <c r="L108" s="113" t="s">
        <v>371</v>
      </c>
      <c r="M108" s="113" t="s">
        <v>371</v>
      </c>
      <c r="N108" s="116">
        <v>46112</v>
      </c>
      <c r="O108" s="114">
        <v>11</v>
      </c>
      <c r="P108" s="116">
        <v>46114</v>
      </c>
      <c r="Q108" s="116">
        <v>46147</v>
      </c>
      <c r="R108" s="116">
        <v>46114</v>
      </c>
      <c r="S108" s="112"/>
      <c r="T108" s="112"/>
      <c r="U108" s="112" t="s">
        <v>85</v>
      </c>
      <c r="V108" s="114" t="s">
        <v>99</v>
      </c>
      <c r="W108" s="114">
        <v>11</v>
      </c>
      <c r="X108" s="114">
        <v>10</v>
      </c>
      <c r="Y108" s="112"/>
      <c r="Z108" s="112" t="s">
        <v>87</v>
      </c>
      <c r="AA108" s="112"/>
      <c r="AB108" s="117"/>
      <c r="AC108" s="118">
        <v>25.5</v>
      </c>
      <c r="AD108" s="112"/>
      <c r="AE108" s="114">
        <v>11</v>
      </c>
      <c r="AF108" s="112" t="s">
        <v>88</v>
      </c>
      <c r="AG108" s="114" t="s">
        <v>99</v>
      </c>
      <c r="AH108" s="118">
        <v>12.5</v>
      </c>
      <c r="AI108" s="112">
        <f t="shared" si="52"/>
        <v>137.5</v>
      </c>
      <c r="AJ108" s="112"/>
      <c r="AK108" s="115" t="s">
        <v>89</v>
      </c>
      <c r="AL108" s="114">
        <v>10</v>
      </c>
      <c r="AM108" s="112">
        <v>18</v>
      </c>
      <c r="AN108" s="112">
        <f t="shared" si="53"/>
        <v>180</v>
      </c>
      <c r="AO108" s="112"/>
      <c r="AP108" s="112"/>
      <c r="AQ108" s="112">
        <f t="shared" si="54"/>
        <v>0</v>
      </c>
      <c r="AR108" s="112">
        <f t="shared" si="55"/>
        <v>180</v>
      </c>
      <c r="AS108" s="112"/>
      <c r="AT108" s="110" t="s">
        <v>373</v>
      </c>
      <c r="AU108" s="111">
        <v>46146</v>
      </c>
      <c r="AV108" s="112">
        <f t="shared" si="56"/>
        <v>18</v>
      </c>
      <c r="AW108" s="112">
        <f t="shared" si="57"/>
        <v>180</v>
      </c>
      <c r="AX108" s="112"/>
      <c r="AY108" s="114" t="s">
        <v>374</v>
      </c>
      <c r="AZ108" s="119">
        <v>46156</v>
      </c>
      <c r="BA108" s="112">
        <f t="shared" si="58"/>
        <v>18</v>
      </c>
      <c r="BB108" s="112">
        <f t="shared" si="59"/>
        <v>10</v>
      </c>
      <c r="BC108" s="112">
        <f t="shared" si="60"/>
        <v>180</v>
      </c>
      <c r="BD108" s="112"/>
      <c r="BE108" s="112" t="s">
        <v>202</v>
      </c>
      <c r="BF108" s="113" t="s">
        <v>423</v>
      </c>
      <c r="BG108" s="120" t="s">
        <v>93</v>
      </c>
      <c r="BH108" s="120" t="s">
        <v>145</v>
      </c>
    </row>
    <row r="109" spans="1:60" s="120" customFormat="1" ht="15" customHeight="1">
      <c r="A109" s="112">
        <f t="shared" si="27"/>
        <v>107</v>
      </c>
      <c r="B109" s="113" t="s">
        <v>425</v>
      </c>
      <c r="C109" s="114" t="s">
        <v>372</v>
      </c>
      <c r="D109" s="122"/>
      <c r="E109" s="114" t="s">
        <v>426</v>
      </c>
      <c r="F109" s="112"/>
      <c r="G109" s="115" t="s">
        <v>81</v>
      </c>
      <c r="H109" s="112" t="s">
        <v>82</v>
      </c>
      <c r="I109" s="114" t="s">
        <v>83</v>
      </c>
      <c r="J109" s="114" t="s">
        <v>84</v>
      </c>
      <c r="K109" s="114" t="s">
        <v>83</v>
      </c>
      <c r="L109" s="113" t="s">
        <v>371</v>
      </c>
      <c r="M109" s="113" t="s">
        <v>371</v>
      </c>
      <c r="N109" s="116">
        <v>46112</v>
      </c>
      <c r="O109" s="114">
        <v>41</v>
      </c>
      <c r="P109" s="116">
        <v>46114</v>
      </c>
      <c r="Q109" s="116">
        <v>46147</v>
      </c>
      <c r="R109" s="116">
        <v>46114</v>
      </c>
      <c r="S109" s="112"/>
      <c r="T109" s="112"/>
      <c r="U109" s="112" t="s">
        <v>85</v>
      </c>
      <c r="V109" s="114" t="s">
        <v>99</v>
      </c>
      <c r="W109" s="114">
        <v>41</v>
      </c>
      <c r="X109" s="114">
        <v>41</v>
      </c>
      <c r="Y109" s="112"/>
      <c r="Z109" s="112" t="s">
        <v>87</v>
      </c>
      <c r="AA109" s="112"/>
      <c r="AB109" s="117"/>
      <c r="AC109" s="118">
        <v>25.5</v>
      </c>
      <c r="AD109" s="112"/>
      <c r="AE109" s="114">
        <v>41</v>
      </c>
      <c r="AF109" s="112" t="s">
        <v>88</v>
      </c>
      <c r="AG109" s="114" t="s">
        <v>99</v>
      </c>
      <c r="AH109" s="118">
        <v>12.5</v>
      </c>
      <c r="AI109" s="112">
        <f t="shared" si="52"/>
        <v>512.5</v>
      </c>
      <c r="AJ109" s="112"/>
      <c r="AK109" s="115" t="s">
        <v>89</v>
      </c>
      <c r="AL109" s="114">
        <v>41</v>
      </c>
      <c r="AM109" s="112">
        <v>18</v>
      </c>
      <c r="AN109" s="112">
        <f t="shared" si="53"/>
        <v>738</v>
      </c>
      <c r="AO109" s="112"/>
      <c r="AP109" s="112"/>
      <c r="AQ109" s="112">
        <f t="shared" si="54"/>
        <v>0</v>
      </c>
      <c r="AR109" s="112">
        <f t="shared" si="55"/>
        <v>738</v>
      </c>
      <c r="AS109" s="112"/>
      <c r="AT109" s="110" t="s">
        <v>373</v>
      </c>
      <c r="AU109" s="111">
        <v>46146</v>
      </c>
      <c r="AV109" s="112">
        <f t="shared" si="56"/>
        <v>18</v>
      </c>
      <c r="AW109" s="112">
        <f t="shared" si="57"/>
        <v>738</v>
      </c>
      <c r="AX109" s="112"/>
      <c r="AY109" s="114" t="s">
        <v>374</v>
      </c>
      <c r="AZ109" s="119">
        <v>46156</v>
      </c>
      <c r="BA109" s="112">
        <f t="shared" si="58"/>
        <v>18</v>
      </c>
      <c r="BB109" s="112">
        <f t="shared" si="59"/>
        <v>41</v>
      </c>
      <c r="BC109" s="112">
        <f t="shared" si="60"/>
        <v>738</v>
      </c>
      <c r="BD109" s="112"/>
      <c r="BE109" s="112" t="s">
        <v>206</v>
      </c>
      <c r="BF109" s="113" t="s">
        <v>425</v>
      </c>
      <c r="BG109" s="120" t="s">
        <v>93</v>
      </c>
      <c r="BH109" s="120" t="s">
        <v>145</v>
      </c>
    </row>
    <row r="110" spans="1:60" s="120" customFormat="1" ht="15" customHeight="1">
      <c r="A110" s="112">
        <f t="shared" si="27"/>
        <v>108</v>
      </c>
      <c r="B110" s="113" t="s">
        <v>427</v>
      </c>
      <c r="C110" s="114" t="s">
        <v>372</v>
      </c>
      <c r="D110" s="122"/>
      <c r="E110" s="114" t="s">
        <v>428</v>
      </c>
      <c r="F110" s="112"/>
      <c r="G110" s="115" t="s">
        <v>81</v>
      </c>
      <c r="H110" s="112" t="s">
        <v>82</v>
      </c>
      <c r="I110" s="114" t="s">
        <v>83</v>
      </c>
      <c r="J110" s="114" t="s">
        <v>84</v>
      </c>
      <c r="K110" s="114" t="s">
        <v>83</v>
      </c>
      <c r="L110" s="113" t="s">
        <v>371</v>
      </c>
      <c r="M110" s="113" t="s">
        <v>371</v>
      </c>
      <c r="N110" s="116">
        <v>46112</v>
      </c>
      <c r="O110" s="114">
        <v>42</v>
      </c>
      <c r="P110" s="116">
        <v>46114</v>
      </c>
      <c r="Q110" s="116">
        <v>46147</v>
      </c>
      <c r="R110" s="116">
        <v>46114</v>
      </c>
      <c r="S110" s="112"/>
      <c r="T110" s="112"/>
      <c r="U110" s="112" t="s">
        <v>85</v>
      </c>
      <c r="V110" s="114" t="s">
        <v>99</v>
      </c>
      <c r="W110" s="114">
        <v>42</v>
      </c>
      <c r="X110" s="114">
        <v>42</v>
      </c>
      <c r="Y110" s="112"/>
      <c r="Z110" s="112" t="s">
        <v>87</v>
      </c>
      <c r="AA110" s="112"/>
      <c r="AB110" s="117"/>
      <c r="AC110" s="118">
        <v>25.5</v>
      </c>
      <c r="AD110" s="112"/>
      <c r="AE110" s="114">
        <v>42</v>
      </c>
      <c r="AF110" s="112" t="s">
        <v>88</v>
      </c>
      <c r="AG110" s="114" t="s">
        <v>99</v>
      </c>
      <c r="AH110" s="118">
        <v>12.5</v>
      </c>
      <c r="AI110" s="112">
        <f t="shared" si="52"/>
        <v>525</v>
      </c>
      <c r="AJ110" s="112"/>
      <c r="AK110" s="115" t="s">
        <v>89</v>
      </c>
      <c r="AL110" s="114">
        <v>42</v>
      </c>
      <c r="AM110" s="112">
        <v>18</v>
      </c>
      <c r="AN110" s="112">
        <f t="shared" si="53"/>
        <v>756</v>
      </c>
      <c r="AO110" s="112"/>
      <c r="AP110" s="112"/>
      <c r="AQ110" s="112">
        <f t="shared" si="54"/>
        <v>0</v>
      </c>
      <c r="AR110" s="112">
        <f t="shared" si="55"/>
        <v>756</v>
      </c>
      <c r="AS110" s="112"/>
      <c r="AT110" s="110" t="s">
        <v>373</v>
      </c>
      <c r="AU110" s="111">
        <v>46146</v>
      </c>
      <c r="AV110" s="112">
        <f t="shared" si="56"/>
        <v>18</v>
      </c>
      <c r="AW110" s="112">
        <f t="shared" si="57"/>
        <v>756</v>
      </c>
      <c r="AX110" s="112"/>
      <c r="AY110" s="114" t="s">
        <v>374</v>
      </c>
      <c r="AZ110" s="119">
        <v>46156</v>
      </c>
      <c r="BA110" s="112">
        <f t="shared" si="58"/>
        <v>18</v>
      </c>
      <c r="BB110" s="112">
        <f t="shared" si="59"/>
        <v>42</v>
      </c>
      <c r="BC110" s="112">
        <f t="shared" si="60"/>
        <v>756</v>
      </c>
      <c r="BD110" s="112"/>
      <c r="BE110" s="112" t="s">
        <v>210</v>
      </c>
      <c r="BF110" s="113" t="s">
        <v>427</v>
      </c>
      <c r="BG110" s="120" t="s">
        <v>93</v>
      </c>
      <c r="BH110" s="120" t="s">
        <v>145</v>
      </c>
    </row>
    <row r="111" spans="1:60" s="120" customFormat="1" ht="15" customHeight="1">
      <c r="A111" s="112">
        <f t="shared" si="27"/>
        <v>109</v>
      </c>
      <c r="B111" s="113" t="s">
        <v>429</v>
      </c>
      <c r="C111" s="114" t="s">
        <v>372</v>
      </c>
      <c r="D111" s="122"/>
      <c r="E111" s="114" t="s">
        <v>430</v>
      </c>
      <c r="F111" s="112"/>
      <c r="G111" s="115" t="s">
        <v>81</v>
      </c>
      <c r="H111" s="112" t="s">
        <v>82</v>
      </c>
      <c r="I111" s="114" t="s">
        <v>83</v>
      </c>
      <c r="J111" s="114" t="s">
        <v>84</v>
      </c>
      <c r="K111" s="114" t="s">
        <v>83</v>
      </c>
      <c r="L111" s="113" t="s">
        <v>371</v>
      </c>
      <c r="M111" s="113" t="s">
        <v>371</v>
      </c>
      <c r="N111" s="116">
        <v>46112</v>
      </c>
      <c r="O111" s="114">
        <v>255</v>
      </c>
      <c r="P111" s="116">
        <v>46114</v>
      </c>
      <c r="Q111" s="116">
        <v>46147</v>
      </c>
      <c r="R111" s="116">
        <v>46114</v>
      </c>
      <c r="S111" s="112"/>
      <c r="T111" s="112"/>
      <c r="U111" s="112" t="s">
        <v>85</v>
      </c>
      <c r="V111" s="114" t="s">
        <v>99</v>
      </c>
      <c r="W111" s="114">
        <v>255</v>
      </c>
      <c r="X111" s="114">
        <v>255</v>
      </c>
      <c r="Y111" s="112"/>
      <c r="Z111" s="112" t="s">
        <v>87</v>
      </c>
      <c r="AA111" s="112"/>
      <c r="AB111" s="117"/>
      <c r="AC111" s="118">
        <v>25.5</v>
      </c>
      <c r="AD111" s="112"/>
      <c r="AE111" s="114">
        <v>255</v>
      </c>
      <c r="AF111" s="112" t="s">
        <v>88</v>
      </c>
      <c r="AG111" s="114" t="s">
        <v>99</v>
      </c>
      <c r="AH111" s="118">
        <v>12.5</v>
      </c>
      <c r="AI111" s="112">
        <f t="shared" si="52"/>
        <v>3187.5</v>
      </c>
      <c r="AJ111" s="112"/>
      <c r="AK111" s="115" t="s">
        <v>89</v>
      </c>
      <c r="AL111" s="114">
        <v>255</v>
      </c>
      <c r="AM111" s="112">
        <v>18</v>
      </c>
      <c r="AN111" s="112">
        <f t="shared" si="53"/>
        <v>4590</v>
      </c>
      <c r="AO111" s="112"/>
      <c r="AP111" s="112"/>
      <c r="AQ111" s="112">
        <f t="shared" si="54"/>
        <v>0</v>
      </c>
      <c r="AR111" s="112">
        <f t="shared" si="55"/>
        <v>4590</v>
      </c>
      <c r="AS111" s="112"/>
      <c r="AT111" s="110" t="s">
        <v>373</v>
      </c>
      <c r="AU111" s="111">
        <v>46146</v>
      </c>
      <c r="AV111" s="112">
        <f t="shared" si="56"/>
        <v>18</v>
      </c>
      <c r="AW111" s="112">
        <f t="shared" si="57"/>
        <v>4590</v>
      </c>
      <c r="AX111" s="112"/>
      <c r="AY111" s="114" t="s">
        <v>374</v>
      </c>
      <c r="AZ111" s="119">
        <v>46156</v>
      </c>
      <c r="BA111" s="112">
        <f t="shared" si="58"/>
        <v>18</v>
      </c>
      <c r="BB111" s="112">
        <f t="shared" si="59"/>
        <v>255</v>
      </c>
      <c r="BC111" s="112">
        <f t="shared" si="60"/>
        <v>4590</v>
      </c>
      <c r="BD111" s="112"/>
      <c r="BE111" s="112" t="s">
        <v>213</v>
      </c>
      <c r="BF111" s="113" t="s">
        <v>429</v>
      </c>
      <c r="BG111" s="120" t="s">
        <v>93</v>
      </c>
      <c r="BH111" s="120" t="s">
        <v>145</v>
      </c>
    </row>
    <row r="112" spans="1:60" s="120" customFormat="1" ht="15" customHeight="1">
      <c r="A112" s="112">
        <f t="shared" si="27"/>
        <v>110</v>
      </c>
      <c r="B112" s="113" t="s">
        <v>431</v>
      </c>
      <c r="C112" s="114" t="s">
        <v>432</v>
      </c>
      <c r="D112" s="122"/>
      <c r="E112" s="114" t="s">
        <v>433</v>
      </c>
      <c r="F112" s="112"/>
      <c r="G112" s="115" t="s">
        <v>81</v>
      </c>
      <c r="H112" s="112" t="s">
        <v>82</v>
      </c>
      <c r="I112" s="114" t="s">
        <v>83</v>
      </c>
      <c r="J112" s="114" t="s">
        <v>84</v>
      </c>
      <c r="K112" s="114" t="s">
        <v>83</v>
      </c>
      <c r="L112" s="113" t="s">
        <v>371</v>
      </c>
      <c r="M112" s="113" t="s">
        <v>371</v>
      </c>
      <c r="N112" s="116">
        <v>46112</v>
      </c>
      <c r="O112" s="114">
        <v>11</v>
      </c>
      <c r="P112" s="116">
        <v>46114</v>
      </c>
      <c r="Q112" s="116">
        <v>46147</v>
      </c>
      <c r="R112" s="116">
        <v>46114</v>
      </c>
      <c r="S112" s="112"/>
      <c r="T112" s="112"/>
      <c r="U112" s="112" t="s">
        <v>85</v>
      </c>
      <c r="V112" s="114" t="s">
        <v>99</v>
      </c>
      <c r="W112" s="114">
        <v>11</v>
      </c>
      <c r="X112" s="114">
        <v>10</v>
      </c>
      <c r="Y112" s="112"/>
      <c r="Z112" s="112" t="s">
        <v>87</v>
      </c>
      <c r="AA112" s="112"/>
      <c r="AB112" s="117"/>
      <c r="AC112" s="118">
        <v>25.5</v>
      </c>
      <c r="AD112" s="112"/>
      <c r="AE112" s="114">
        <v>11</v>
      </c>
      <c r="AF112" s="112" t="s">
        <v>88</v>
      </c>
      <c r="AG112" s="114" t="s">
        <v>99</v>
      </c>
      <c r="AH112" s="118">
        <v>12.5</v>
      </c>
      <c r="AI112" s="112">
        <f t="shared" si="52"/>
        <v>137.5</v>
      </c>
      <c r="AJ112" s="112"/>
      <c r="AK112" s="115" t="s">
        <v>89</v>
      </c>
      <c r="AL112" s="114">
        <v>10</v>
      </c>
      <c r="AM112" s="112">
        <v>18</v>
      </c>
      <c r="AN112" s="112">
        <f t="shared" si="53"/>
        <v>180</v>
      </c>
      <c r="AO112" s="112"/>
      <c r="AP112" s="112"/>
      <c r="AQ112" s="112">
        <f t="shared" si="54"/>
        <v>0</v>
      </c>
      <c r="AR112" s="112">
        <f t="shared" si="55"/>
        <v>180</v>
      </c>
      <c r="AS112" s="112"/>
      <c r="AT112" s="110" t="s">
        <v>373</v>
      </c>
      <c r="AU112" s="111">
        <v>46146</v>
      </c>
      <c r="AV112" s="112">
        <f t="shared" si="56"/>
        <v>18</v>
      </c>
      <c r="AW112" s="112">
        <f t="shared" si="57"/>
        <v>180</v>
      </c>
      <c r="AX112" s="112"/>
      <c r="AY112" s="114" t="s">
        <v>374</v>
      </c>
      <c r="AZ112" s="119">
        <v>46156</v>
      </c>
      <c r="BA112" s="112">
        <f t="shared" si="58"/>
        <v>18</v>
      </c>
      <c r="BB112" s="112">
        <f t="shared" si="59"/>
        <v>10</v>
      </c>
      <c r="BC112" s="112">
        <f t="shared" si="60"/>
        <v>180</v>
      </c>
      <c r="BD112" s="112"/>
      <c r="BE112" s="112" t="s">
        <v>216</v>
      </c>
      <c r="BF112" s="113" t="s">
        <v>431</v>
      </c>
      <c r="BG112" s="120" t="s">
        <v>93</v>
      </c>
      <c r="BH112" s="120" t="s">
        <v>145</v>
      </c>
    </row>
    <row r="113" spans="1:60" s="120" customFormat="1" ht="15" customHeight="1">
      <c r="A113" s="112">
        <f t="shared" si="27"/>
        <v>111</v>
      </c>
      <c r="B113" s="113" t="s">
        <v>434</v>
      </c>
      <c r="C113" s="114" t="s">
        <v>432</v>
      </c>
      <c r="D113" s="122"/>
      <c r="E113" s="114" t="s">
        <v>435</v>
      </c>
      <c r="F113" s="112"/>
      <c r="G113" s="115" t="s">
        <v>81</v>
      </c>
      <c r="H113" s="112" t="s">
        <v>82</v>
      </c>
      <c r="I113" s="114" t="s">
        <v>83</v>
      </c>
      <c r="J113" s="114" t="s">
        <v>84</v>
      </c>
      <c r="K113" s="114" t="s">
        <v>83</v>
      </c>
      <c r="L113" s="113" t="s">
        <v>371</v>
      </c>
      <c r="M113" s="113" t="s">
        <v>371</v>
      </c>
      <c r="N113" s="116">
        <v>46112</v>
      </c>
      <c r="O113" s="114">
        <v>111</v>
      </c>
      <c r="P113" s="116">
        <v>46114</v>
      </c>
      <c r="Q113" s="116">
        <v>46147</v>
      </c>
      <c r="R113" s="116">
        <v>46114</v>
      </c>
      <c r="S113" s="112"/>
      <c r="T113" s="112"/>
      <c r="U113" s="112" t="s">
        <v>85</v>
      </c>
      <c r="V113" s="114" t="s">
        <v>86</v>
      </c>
      <c r="W113" s="114">
        <v>111</v>
      </c>
      <c r="X113" s="114">
        <v>103</v>
      </c>
      <c r="Y113" s="112"/>
      <c r="Z113" s="112" t="s">
        <v>87</v>
      </c>
      <c r="AA113" s="112"/>
      <c r="AB113" s="117"/>
      <c r="AC113" s="118">
        <v>30.5</v>
      </c>
      <c r="AD113" s="112"/>
      <c r="AE113" s="114">
        <v>111</v>
      </c>
      <c r="AF113" s="112" t="s">
        <v>88</v>
      </c>
      <c r="AG113" s="114" t="s">
        <v>86</v>
      </c>
      <c r="AH113" s="118">
        <v>24.5</v>
      </c>
      <c r="AI113" s="112">
        <f t="shared" si="52"/>
        <v>2719.5</v>
      </c>
      <c r="AJ113" s="112"/>
      <c r="AK113" s="115" t="s">
        <v>89</v>
      </c>
      <c r="AL113" s="114">
        <v>103</v>
      </c>
      <c r="AM113" s="112">
        <v>18</v>
      </c>
      <c r="AN113" s="112">
        <f t="shared" si="53"/>
        <v>1854</v>
      </c>
      <c r="AO113" s="112"/>
      <c r="AP113" s="112"/>
      <c r="AQ113" s="112">
        <f t="shared" si="54"/>
        <v>0</v>
      </c>
      <c r="AR113" s="112">
        <f t="shared" si="55"/>
        <v>1854</v>
      </c>
      <c r="AS113" s="112"/>
      <c r="AT113" s="110" t="s">
        <v>373</v>
      </c>
      <c r="AU113" s="111">
        <v>46146</v>
      </c>
      <c r="AV113" s="112">
        <f t="shared" si="56"/>
        <v>18</v>
      </c>
      <c r="AW113" s="112">
        <f t="shared" si="57"/>
        <v>1854</v>
      </c>
      <c r="AX113" s="112"/>
      <c r="AY113" s="114" t="s">
        <v>374</v>
      </c>
      <c r="AZ113" s="119">
        <v>46156</v>
      </c>
      <c r="BA113" s="112">
        <f t="shared" si="58"/>
        <v>18</v>
      </c>
      <c r="BB113" s="112">
        <f t="shared" si="59"/>
        <v>103</v>
      </c>
      <c r="BC113" s="112">
        <f t="shared" si="60"/>
        <v>1854</v>
      </c>
      <c r="BD113" s="112"/>
      <c r="BE113" s="112" t="s">
        <v>220</v>
      </c>
      <c r="BF113" s="113" t="s">
        <v>434</v>
      </c>
      <c r="BG113" s="120" t="s">
        <v>93</v>
      </c>
      <c r="BH113" s="120" t="s">
        <v>145</v>
      </c>
    </row>
    <row r="114" spans="1:60" s="120" customFormat="1" ht="15" customHeight="1">
      <c r="A114" s="112">
        <f t="shared" si="27"/>
        <v>112</v>
      </c>
      <c r="B114" s="113" t="s">
        <v>436</v>
      </c>
      <c r="C114" s="114" t="s">
        <v>435</v>
      </c>
      <c r="D114" s="122"/>
      <c r="E114" s="114" t="s">
        <v>437</v>
      </c>
      <c r="F114" s="112"/>
      <c r="G114" s="115" t="s">
        <v>81</v>
      </c>
      <c r="H114" s="112" t="s">
        <v>82</v>
      </c>
      <c r="I114" s="114" t="s">
        <v>83</v>
      </c>
      <c r="J114" s="114" t="s">
        <v>84</v>
      </c>
      <c r="K114" s="114" t="s">
        <v>83</v>
      </c>
      <c r="L114" s="113" t="s">
        <v>371</v>
      </c>
      <c r="M114" s="113" t="s">
        <v>371</v>
      </c>
      <c r="N114" s="116">
        <v>46112</v>
      </c>
      <c r="O114" s="114">
        <v>122</v>
      </c>
      <c r="P114" s="116">
        <v>46114</v>
      </c>
      <c r="Q114" s="116">
        <v>46147</v>
      </c>
      <c r="R114" s="116">
        <v>46114</v>
      </c>
      <c r="S114" s="112"/>
      <c r="T114" s="112"/>
      <c r="U114" s="112" t="s">
        <v>85</v>
      </c>
      <c r="V114" s="114" t="s">
        <v>99</v>
      </c>
      <c r="W114" s="114">
        <v>122</v>
      </c>
      <c r="X114" s="114">
        <v>122</v>
      </c>
      <c r="Y114" s="112"/>
      <c r="Z114" s="112" t="s">
        <v>87</v>
      </c>
      <c r="AA114" s="112"/>
      <c r="AB114" s="117"/>
      <c r="AC114" s="118">
        <v>25.5</v>
      </c>
      <c r="AD114" s="112"/>
      <c r="AE114" s="114">
        <v>122</v>
      </c>
      <c r="AF114" s="112" t="s">
        <v>88</v>
      </c>
      <c r="AG114" s="114" t="s">
        <v>99</v>
      </c>
      <c r="AH114" s="118">
        <v>12.5</v>
      </c>
      <c r="AI114" s="112">
        <f t="shared" si="52"/>
        <v>1525</v>
      </c>
      <c r="AJ114" s="112"/>
      <c r="AK114" s="115" t="s">
        <v>89</v>
      </c>
      <c r="AL114" s="114">
        <v>122</v>
      </c>
      <c r="AM114" s="112">
        <v>18</v>
      </c>
      <c r="AN114" s="112">
        <f t="shared" si="53"/>
        <v>2196</v>
      </c>
      <c r="AO114" s="112"/>
      <c r="AP114" s="112"/>
      <c r="AQ114" s="112">
        <f t="shared" si="54"/>
        <v>0</v>
      </c>
      <c r="AR114" s="112">
        <f t="shared" si="55"/>
        <v>2196</v>
      </c>
      <c r="AS114" s="112"/>
      <c r="AT114" s="110" t="s">
        <v>373</v>
      </c>
      <c r="AU114" s="111">
        <v>46146</v>
      </c>
      <c r="AV114" s="112">
        <f t="shared" si="56"/>
        <v>18</v>
      </c>
      <c r="AW114" s="112">
        <f t="shared" si="57"/>
        <v>2196</v>
      </c>
      <c r="AX114" s="112"/>
      <c r="AY114" s="114" t="s">
        <v>374</v>
      </c>
      <c r="AZ114" s="119">
        <v>46156</v>
      </c>
      <c r="BA114" s="112">
        <f t="shared" si="58"/>
        <v>18</v>
      </c>
      <c r="BB114" s="112">
        <f t="shared" si="59"/>
        <v>122</v>
      </c>
      <c r="BC114" s="112">
        <f t="shared" si="60"/>
        <v>2196</v>
      </c>
      <c r="BD114" s="112"/>
      <c r="BE114" s="112" t="s">
        <v>223</v>
      </c>
      <c r="BF114" s="113" t="s">
        <v>436</v>
      </c>
      <c r="BG114" s="120" t="s">
        <v>93</v>
      </c>
      <c r="BH114" s="120" t="s">
        <v>145</v>
      </c>
    </row>
    <row r="115" spans="1:60" s="120" customFormat="1" ht="15" customHeight="1">
      <c r="A115" s="112">
        <f t="shared" si="27"/>
        <v>113</v>
      </c>
      <c r="B115" s="113" t="s">
        <v>438</v>
      </c>
      <c r="C115" s="114" t="s">
        <v>377</v>
      </c>
      <c r="D115" s="122"/>
      <c r="E115" s="114" t="s">
        <v>439</v>
      </c>
      <c r="F115" s="112"/>
      <c r="G115" s="115" t="s">
        <v>81</v>
      </c>
      <c r="H115" s="112" t="s">
        <v>82</v>
      </c>
      <c r="I115" s="114" t="s">
        <v>83</v>
      </c>
      <c r="J115" s="114" t="s">
        <v>84</v>
      </c>
      <c r="K115" s="114" t="s">
        <v>83</v>
      </c>
      <c r="L115" s="113" t="s">
        <v>371</v>
      </c>
      <c r="M115" s="113" t="s">
        <v>371</v>
      </c>
      <c r="N115" s="116">
        <v>46112</v>
      </c>
      <c r="O115" s="114">
        <v>11</v>
      </c>
      <c r="P115" s="116">
        <v>46114</v>
      </c>
      <c r="Q115" s="116">
        <v>46147</v>
      </c>
      <c r="R115" s="116">
        <v>46114</v>
      </c>
      <c r="S115" s="112"/>
      <c r="T115" s="112"/>
      <c r="U115" s="112" t="s">
        <v>85</v>
      </c>
      <c r="V115" s="114" t="s">
        <v>99</v>
      </c>
      <c r="W115" s="114">
        <v>11</v>
      </c>
      <c r="X115" s="114">
        <v>10</v>
      </c>
      <c r="Y115" s="112"/>
      <c r="Z115" s="112" t="s">
        <v>87</v>
      </c>
      <c r="AA115" s="112"/>
      <c r="AB115" s="117"/>
      <c r="AC115" s="118">
        <v>25.5</v>
      </c>
      <c r="AD115" s="112"/>
      <c r="AE115" s="114">
        <v>11</v>
      </c>
      <c r="AF115" s="112" t="s">
        <v>88</v>
      </c>
      <c r="AG115" s="114" t="s">
        <v>99</v>
      </c>
      <c r="AH115" s="118">
        <v>12.5</v>
      </c>
      <c r="AI115" s="112">
        <f t="shared" si="52"/>
        <v>137.5</v>
      </c>
      <c r="AJ115" s="112"/>
      <c r="AK115" s="115" t="s">
        <v>89</v>
      </c>
      <c r="AL115" s="114">
        <v>10</v>
      </c>
      <c r="AM115" s="112">
        <v>18</v>
      </c>
      <c r="AN115" s="112">
        <f t="shared" si="53"/>
        <v>180</v>
      </c>
      <c r="AO115" s="112"/>
      <c r="AP115" s="112"/>
      <c r="AQ115" s="112">
        <f t="shared" si="54"/>
        <v>0</v>
      </c>
      <c r="AR115" s="112">
        <f t="shared" si="55"/>
        <v>180</v>
      </c>
      <c r="AS115" s="112"/>
      <c r="AT115" s="110" t="s">
        <v>373</v>
      </c>
      <c r="AU115" s="111">
        <v>46146</v>
      </c>
      <c r="AV115" s="112">
        <f t="shared" si="56"/>
        <v>18</v>
      </c>
      <c r="AW115" s="112">
        <f t="shared" si="57"/>
        <v>180</v>
      </c>
      <c r="AX115" s="112"/>
      <c r="AY115" s="114" t="s">
        <v>374</v>
      </c>
      <c r="AZ115" s="119">
        <v>46156</v>
      </c>
      <c r="BA115" s="112">
        <f t="shared" si="58"/>
        <v>18</v>
      </c>
      <c r="BB115" s="112">
        <f t="shared" si="59"/>
        <v>10</v>
      </c>
      <c r="BC115" s="112">
        <f t="shared" si="60"/>
        <v>180</v>
      </c>
      <c r="BD115" s="112"/>
      <c r="BE115" s="112" t="s">
        <v>227</v>
      </c>
      <c r="BF115" s="113" t="s">
        <v>438</v>
      </c>
      <c r="BG115" s="120" t="s">
        <v>93</v>
      </c>
      <c r="BH115" s="120" t="s">
        <v>145</v>
      </c>
    </row>
    <row r="116" spans="1:60" s="120" customFormat="1" ht="15" customHeight="1">
      <c r="A116" s="112">
        <f t="shared" si="27"/>
        <v>114</v>
      </c>
      <c r="B116" s="113" t="s">
        <v>440</v>
      </c>
      <c r="C116" s="114" t="s">
        <v>377</v>
      </c>
      <c r="D116" s="122"/>
      <c r="E116" s="114" t="s">
        <v>441</v>
      </c>
      <c r="F116" s="112"/>
      <c r="G116" s="115" t="s">
        <v>81</v>
      </c>
      <c r="H116" s="112" t="s">
        <v>82</v>
      </c>
      <c r="I116" s="114" t="s">
        <v>83</v>
      </c>
      <c r="J116" s="114" t="s">
        <v>84</v>
      </c>
      <c r="K116" s="114" t="s">
        <v>83</v>
      </c>
      <c r="L116" s="113" t="s">
        <v>371</v>
      </c>
      <c r="M116" s="113" t="s">
        <v>371</v>
      </c>
      <c r="N116" s="116">
        <v>46112</v>
      </c>
      <c r="O116" s="114">
        <v>78</v>
      </c>
      <c r="P116" s="116">
        <v>46114</v>
      </c>
      <c r="Q116" s="116">
        <v>46147</v>
      </c>
      <c r="R116" s="116">
        <v>46114</v>
      </c>
      <c r="S116" s="112"/>
      <c r="T116" s="112"/>
      <c r="U116" s="112" t="s">
        <v>85</v>
      </c>
      <c r="V116" s="114" t="s">
        <v>99</v>
      </c>
      <c r="W116" s="114">
        <v>78</v>
      </c>
      <c r="X116" s="114">
        <v>78</v>
      </c>
      <c r="Y116" s="112"/>
      <c r="Z116" s="112" t="s">
        <v>87</v>
      </c>
      <c r="AA116" s="112"/>
      <c r="AB116" s="117"/>
      <c r="AC116" s="118">
        <v>25.5</v>
      </c>
      <c r="AD116" s="112"/>
      <c r="AE116" s="114">
        <v>78</v>
      </c>
      <c r="AF116" s="112" t="s">
        <v>88</v>
      </c>
      <c r="AG116" s="114" t="s">
        <v>99</v>
      </c>
      <c r="AH116" s="118">
        <v>12.5</v>
      </c>
      <c r="AI116" s="112">
        <f t="shared" si="52"/>
        <v>975</v>
      </c>
      <c r="AJ116" s="112"/>
      <c r="AK116" s="115" t="s">
        <v>89</v>
      </c>
      <c r="AL116" s="114">
        <v>78</v>
      </c>
      <c r="AM116" s="112">
        <v>18</v>
      </c>
      <c r="AN116" s="112">
        <f t="shared" si="53"/>
        <v>1404</v>
      </c>
      <c r="AO116" s="112"/>
      <c r="AP116" s="112"/>
      <c r="AQ116" s="112">
        <f t="shared" si="54"/>
        <v>0</v>
      </c>
      <c r="AR116" s="112">
        <f t="shared" si="55"/>
        <v>1404</v>
      </c>
      <c r="AS116" s="112"/>
      <c r="AT116" s="110" t="s">
        <v>373</v>
      </c>
      <c r="AU116" s="111">
        <v>46146</v>
      </c>
      <c r="AV116" s="112">
        <f t="shared" si="56"/>
        <v>18</v>
      </c>
      <c r="AW116" s="112">
        <f t="shared" si="57"/>
        <v>1404</v>
      </c>
      <c r="AX116" s="112"/>
      <c r="AY116" s="114" t="s">
        <v>374</v>
      </c>
      <c r="AZ116" s="119">
        <v>46156</v>
      </c>
      <c r="BA116" s="112">
        <f t="shared" si="58"/>
        <v>18</v>
      </c>
      <c r="BB116" s="112">
        <f t="shared" si="59"/>
        <v>78</v>
      </c>
      <c r="BC116" s="112">
        <f t="shared" si="60"/>
        <v>1404</v>
      </c>
      <c r="BD116" s="112"/>
      <c r="BE116" s="112" t="s">
        <v>231</v>
      </c>
      <c r="BF116" s="113" t="s">
        <v>440</v>
      </c>
      <c r="BG116" s="120" t="s">
        <v>93</v>
      </c>
      <c r="BH116" s="120" t="s">
        <v>145</v>
      </c>
    </row>
    <row r="117" spans="1:60" s="120" customFormat="1" ht="15" customHeight="1">
      <c r="A117" s="112">
        <f t="shared" si="27"/>
        <v>115</v>
      </c>
      <c r="B117" s="113" t="s">
        <v>442</v>
      </c>
      <c r="C117" s="114" t="s">
        <v>377</v>
      </c>
      <c r="D117" s="122"/>
      <c r="E117" s="114" t="s">
        <v>443</v>
      </c>
      <c r="F117" s="112"/>
      <c r="G117" s="115" t="s">
        <v>81</v>
      </c>
      <c r="H117" s="112" t="s">
        <v>82</v>
      </c>
      <c r="I117" s="114" t="s">
        <v>83</v>
      </c>
      <c r="J117" s="114" t="s">
        <v>84</v>
      </c>
      <c r="K117" s="114" t="s">
        <v>83</v>
      </c>
      <c r="L117" s="113" t="s">
        <v>371</v>
      </c>
      <c r="M117" s="113" t="s">
        <v>371</v>
      </c>
      <c r="N117" s="116">
        <v>46112</v>
      </c>
      <c r="O117" s="114">
        <v>81</v>
      </c>
      <c r="P117" s="116">
        <v>46114</v>
      </c>
      <c r="Q117" s="116">
        <v>46147</v>
      </c>
      <c r="R117" s="116">
        <v>46114</v>
      </c>
      <c r="S117" s="112"/>
      <c r="T117" s="112"/>
      <c r="U117" s="112" t="s">
        <v>85</v>
      </c>
      <c r="V117" s="114" t="s">
        <v>99</v>
      </c>
      <c r="W117" s="114">
        <v>81</v>
      </c>
      <c r="X117" s="114">
        <v>81</v>
      </c>
      <c r="Y117" s="112"/>
      <c r="Z117" s="112" t="s">
        <v>87</v>
      </c>
      <c r="AA117" s="112"/>
      <c r="AB117" s="117"/>
      <c r="AC117" s="118">
        <v>25.5</v>
      </c>
      <c r="AD117" s="112"/>
      <c r="AE117" s="114">
        <v>81</v>
      </c>
      <c r="AF117" s="112" t="s">
        <v>88</v>
      </c>
      <c r="AG117" s="114" t="s">
        <v>99</v>
      </c>
      <c r="AH117" s="118">
        <v>12.5</v>
      </c>
      <c r="AI117" s="112">
        <f t="shared" si="52"/>
        <v>1012.5</v>
      </c>
      <c r="AJ117" s="112"/>
      <c r="AK117" s="115" t="s">
        <v>89</v>
      </c>
      <c r="AL117" s="114">
        <v>81</v>
      </c>
      <c r="AM117" s="112">
        <v>18</v>
      </c>
      <c r="AN117" s="112">
        <f t="shared" si="53"/>
        <v>1458</v>
      </c>
      <c r="AO117" s="112"/>
      <c r="AP117" s="112"/>
      <c r="AQ117" s="112">
        <f t="shared" si="54"/>
        <v>0</v>
      </c>
      <c r="AR117" s="112">
        <f t="shared" si="55"/>
        <v>1458</v>
      </c>
      <c r="AS117" s="112"/>
      <c r="AT117" s="110" t="s">
        <v>373</v>
      </c>
      <c r="AU117" s="111">
        <v>46146</v>
      </c>
      <c r="AV117" s="112">
        <f t="shared" si="56"/>
        <v>18</v>
      </c>
      <c r="AW117" s="112">
        <f t="shared" si="57"/>
        <v>1458</v>
      </c>
      <c r="AX117" s="112"/>
      <c r="AY117" s="114" t="s">
        <v>374</v>
      </c>
      <c r="AZ117" s="119">
        <v>46156</v>
      </c>
      <c r="BA117" s="112">
        <f t="shared" si="58"/>
        <v>18</v>
      </c>
      <c r="BB117" s="112">
        <f t="shared" si="59"/>
        <v>81</v>
      </c>
      <c r="BC117" s="112">
        <f t="shared" si="60"/>
        <v>1458</v>
      </c>
      <c r="BD117" s="112"/>
      <c r="BE117" s="112" t="s">
        <v>234</v>
      </c>
      <c r="BF117" s="113" t="s">
        <v>442</v>
      </c>
      <c r="BG117" s="120" t="s">
        <v>93</v>
      </c>
      <c r="BH117" s="120" t="s">
        <v>145</v>
      </c>
    </row>
    <row r="118" spans="1:60" s="120" customFormat="1" ht="15" customHeight="1">
      <c r="A118" s="112">
        <f t="shared" si="27"/>
        <v>116</v>
      </c>
      <c r="B118" s="113" t="s">
        <v>444</v>
      </c>
      <c r="C118" s="114" t="s">
        <v>445</v>
      </c>
      <c r="D118" s="122"/>
      <c r="E118" s="114" t="s">
        <v>446</v>
      </c>
      <c r="F118" s="112"/>
      <c r="G118" s="115" t="s">
        <v>81</v>
      </c>
      <c r="H118" s="112" t="s">
        <v>82</v>
      </c>
      <c r="I118" s="114" t="s">
        <v>83</v>
      </c>
      <c r="J118" s="114" t="s">
        <v>84</v>
      </c>
      <c r="K118" s="114" t="s">
        <v>83</v>
      </c>
      <c r="L118" s="113" t="s">
        <v>371</v>
      </c>
      <c r="M118" s="113" t="s">
        <v>371</v>
      </c>
      <c r="N118" s="116">
        <v>46112</v>
      </c>
      <c r="O118" s="114">
        <v>11</v>
      </c>
      <c r="P118" s="116">
        <v>46114</v>
      </c>
      <c r="Q118" s="116">
        <v>46147</v>
      </c>
      <c r="R118" s="116">
        <v>46114</v>
      </c>
      <c r="S118" s="112"/>
      <c r="T118" s="112"/>
      <c r="U118" s="112" t="s">
        <v>85</v>
      </c>
      <c r="V118" s="114" t="s">
        <v>99</v>
      </c>
      <c r="W118" s="114">
        <v>11</v>
      </c>
      <c r="X118" s="114">
        <v>10</v>
      </c>
      <c r="Y118" s="112"/>
      <c r="Z118" s="112" t="s">
        <v>87</v>
      </c>
      <c r="AA118" s="112"/>
      <c r="AB118" s="117"/>
      <c r="AC118" s="118">
        <v>25.5</v>
      </c>
      <c r="AD118" s="112"/>
      <c r="AE118" s="114">
        <v>11</v>
      </c>
      <c r="AF118" s="112" t="s">
        <v>88</v>
      </c>
      <c r="AG118" s="114" t="s">
        <v>99</v>
      </c>
      <c r="AH118" s="118">
        <v>12.5</v>
      </c>
      <c r="AI118" s="112">
        <f t="shared" si="52"/>
        <v>137.5</v>
      </c>
      <c r="AJ118" s="112"/>
      <c r="AK118" s="115" t="s">
        <v>89</v>
      </c>
      <c r="AL118" s="114">
        <v>10</v>
      </c>
      <c r="AM118" s="112">
        <v>18</v>
      </c>
      <c r="AN118" s="112">
        <f t="shared" si="53"/>
        <v>180</v>
      </c>
      <c r="AO118" s="112"/>
      <c r="AP118" s="112"/>
      <c r="AQ118" s="112">
        <f t="shared" si="54"/>
        <v>0</v>
      </c>
      <c r="AR118" s="112">
        <f t="shared" si="55"/>
        <v>180</v>
      </c>
      <c r="AS118" s="112"/>
      <c r="AT118" s="110" t="s">
        <v>373</v>
      </c>
      <c r="AU118" s="111">
        <v>46146</v>
      </c>
      <c r="AV118" s="112">
        <f t="shared" si="56"/>
        <v>18</v>
      </c>
      <c r="AW118" s="112">
        <f t="shared" si="57"/>
        <v>180</v>
      </c>
      <c r="AX118" s="112"/>
      <c r="AY118" s="114" t="s">
        <v>374</v>
      </c>
      <c r="AZ118" s="119">
        <v>46156</v>
      </c>
      <c r="BA118" s="112">
        <f t="shared" si="58"/>
        <v>18</v>
      </c>
      <c r="BB118" s="112">
        <f t="shared" si="59"/>
        <v>10</v>
      </c>
      <c r="BC118" s="112">
        <f t="shared" si="60"/>
        <v>180</v>
      </c>
      <c r="BD118" s="112"/>
      <c r="BE118" s="112" t="s">
        <v>237</v>
      </c>
      <c r="BF118" s="113" t="s">
        <v>444</v>
      </c>
      <c r="BG118" s="120" t="s">
        <v>93</v>
      </c>
      <c r="BH118" s="120" t="s">
        <v>145</v>
      </c>
    </row>
    <row r="119" spans="1:60" s="120" customFormat="1" ht="15" customHeight="1">
      <c r="A119" s="112">
        <f t="shared" si="27"/>
        <v>117</v>
      </c>
      <c r="B119" s="113" t="s">
        <v>447</v>
      </c>
      <c r="C119" s="114" t="s">
        <v>445</v>
      </c>
      <c r="D119" s="122"/>
      <c r="E119" s="114" t="s">
        <v>448</v>
      </c>
      <c r="F119" s="112"/>
      <c r="G119" s="115" t="s">
        <v>81</v>
      </c>
      <c r="H119" s="112" t="s">
        <v>82</v>
      </c>
      <c r="I119" s="114" t="s">
        <v>83</v>
      </c>
      <c r="J119" s="114" t="s">
        <v>84</v>
      </c>
      <c r="K119" s="114" t="s">
        <v>83</v>
      </c>
      <c r="L119" s="113" t="s">
        <v>371</v>
      </c>
      <c r="M119" s="113" t="s">
        <v>371</v>
      </c>
      <c r="N119" s="116">
        <v>46112</v>
      </c>
      <c r="O119" s="114">
        <v>52</v>
      </c>
      <c r="P119" s="116">
        <v>46114</v>
      </c>
      <c r="Q119" s="116">
        <v>46147</v>
      </c>
      <c r="R119" s="116">
        <v>46114</v>
      </c>
      <c r="S119" s="112"/>
      <c r="T119" s="112"/>
      <c r="U119" s="112" t="s">
        <v>85</v>
      </c>
      <c r="V119" s="114" t="s">
        <v>86</v>
      </c>
      <c r="W119" s="114">
        <v>52</v>
      </c>
      <c r="X119" s="114">
        <v>49</v>
      </c>
      <c r="Y119" s="112"/>
      <c r="Z119" s="112" t="s">
        <v>87</v>
      </c>
      <c r="AA119" s="112"/>
      <c r="AB119" s="117"/>
      <c r="AC119" s="118">
        <v>30.5</v>
      </c>
      <c r="AD119" s="112"/>
      <c r="AE119" s="114">
        <v>52</v>
      </c>
      <c r="AF119" s="112" t="s">
        <v>88</v>
      </c>
      <c r="AG119" s="114" t="s">
        <v>86</v>
      </c>
      <c r="AH119" s="118">
        <v>24.5</v>
      </c>
      <c r="AI119" s="112">
        <f t="shared" si="52"/>
        <v>1274</v>
      </c>
      <c r="AJ119" s="112"/>
      <c r="AK119" s="115" t="s">
        <v>89</v>
      </c>
      <c r="AL119" s="114">
        <v>49</v>
      </c>
      <c r="AM119" s="112">
        <v>18</v>
      </c>
      <c r="AN119" s="112">
        <f t="shared" si="53"/>
        <v>882</v>
      </c>
      <c r="AO119" s="112"/>
      <c r="AP119" s="112"/>
      <c r="AQ119" s="112">
        <f t="shared" si="54"/>
        <v>0</v>
      </c>
      <c r="AR119" s="112">
        <f t="shared" si="55"/>
        <v>882</v>
      </c>
      <c r="AS119" s="112"/>
      <c r="AT119" s="110" t="s">
        <v>373</v>
      </c>
      <c r="AU119" s="111">
        <v>46146</v>
      </c>
      <c r="AV119" s="112">
        <f t="shared" si="56"/>
        <v>18</v>
      </c>
      <c r="AW119" s="112">
        <f t="shared" si="57"/>
        <v>882</v>
      </c>
      <c r="AX119" s="112"/>
      <c r="AY119" s="114" t="s">
        <v>374</v>
      </c>
      <c r="AZ119" s="119">
        <v>46156</v>
      </c>
      <c r="BA119" s="112">
        <f t="shared" si="58"/>
        <v>18</v>
      </c>
      <c r="BB119" s="112">
        <f t="shared" si="59"/>
        <v>49</v>
      </c>
      <c r="BC119" s="112">
        <f t="shared" si="60"/>
        <v>882</v>
      </c>
      <c r="BD119" s="112"/>
      <c r="BE119" s="112" t="s">
        <v>240</v>
      </c>
      <c r="BF119" s="113" t="s">
        <v>447</v>
      </c>
      <c r="BG119" s="120" t="s">
        <v>93</v>
      </c>
      <c r="BH119" s="120" t="s">
        <v>145</v>
      </c>
    </row>
    <row r="120" spans="1:60" s="120" customFormat="1" ht="15" customHeight="1">
      <c r="A120" s="112">
        <f t="shared" si="27"/>
        <v>118</v>
      </c>
      <c r="B120" s="113" t="s">
        <v>449</v>
      </c>
      <c r="C120" s="114" t="s">
        <v>448</v>
      </c>
      <c r="D120" s="122"/>
      <c r="E120" s="114" t="s">
        <v>450</v>
      </c>
      <c r="F120" s="112"/>
      <c r="G120" s="115" t="s">
        <v>81</v>
      </c>
      <c r="H120" s="112" t="s">
        <v>82</v>
      </c>
      <c r="I120" s="114" t="s">
        <v>83</v>
      </c>
      <c r="J120" s="114" t="s">
        <v>84</v>
      </c>
      <c r="K120" s="114" t="s">
        <v>83</v>
      </c>
      <c r="L120" s="113" t="s">
        <v>371</v>
      </c>
      <c r="M120" s="113" t="s">
        <v>371</v>
      </c>
      <c r="N120" s="116">
        <v>46112</v>
      </c>
      <c r="O120" s="114">
        <v>62</v>
      </c>
      <c r="P120" s="116">
        <v>46114</v>
      </c>
      <c r="Q120" s="116">
        <v>46147</v>
      </c>
      <c r="R120" s="116">
        <v>46114</v>
      </c>
      <c r="S120" s="112"/>
      <c r="T120" s="112"/>
      <c r="U120" s="112" t="s">
        <v>85</v>
      </c>
      <c r="V120" s="114" t="s">
        <v>99</v>
      </c>
      <c r="W120" s="114">
        <v>62</v>
      </c>
      <c r="X120" s="114">
        <v>62</v>
      </c>
      <c r="Y120" s="112"/>
      <c r="Z120" s="112" t="s">
        <v>87</v>
      </c>
      <c r="AA120" s="112"/>
      <c r="AB120" s="117"/>
      <c r="AC120" s="118">
        <v>25.5</v>
      </c>
      <c r="AD120" s="112"/>
      <c r="AE120" s="114">
        <v>62</v>
      </c>
      <c r="AF120" s="112" t="s">
        <v>88</v>
      </c>
      <c r="AG120" s="114" t="s">
        <v>99</v>
      </c>
      <c r="AH120" s="118">
        <v>12.5</v>
      </c>
      <c r="AI120" s="112">
        <f t="shared" si="52"/>
        <v>775</v>
      </c>
      <c r="AJ120" s="112"/>
      <c r="AK120" s="115" t="s">
        <v>89</v>
      </c>
      <c r="AL120" s="114">
        <v>62</v>
      </c>
      <c r="AM120" s="112">
        <v>18</v>
      </c>
      <c r="AN120" s="112">
        <f t="shared" si="53"/>
        <v>1116</v>
      </c>
      <c r="AO120" s="112"/>
      <c r="AP120" s="112"/>
      <c r="AQ120" s="112">
        <f t="shared" si="54"/>
        <v>0</v>
      </c>
      <c r="AR120" s="112">
        <f t="shared" si="55"/>
        <v>1116</v>
      </c>
      <c r="AS120" s="112"/>
      <c r="AT120" s="110" t="s">
        <v>373</v>
      </c>
      <c r="AU120" s="111">
        <v>46146</v>
      </c>
      <c r="AV120" s="112">
        <f t="shared" si="56"/>
        <v>18</v>
      </c>
      <c r="AW120" s="112">
        <f t="shared" si="57"/>
        <v>1116</v>
      </c>
      <c r="AX120" s="112"/>
      <c r="AY120" s="114" t="s">
        <v>374</v>
      </c>
      <c r="AZ120" s="119">
        <v>46156</v>
      </c>
      <c r="BA120" s="112">
        <f t="shared" si="58"/>
        <v>18</v>
      </c>
      <c r="BB120" s="112">
        <f t="shared" si="59"/>
        <v>62</v>
      </c>
      <c r="BC120" s="112">
        <f t="shared" si="60"/>
        <v>1116</v>
      </c>
      <c r="BD120" s="112"/>
      <c r="BE120" s="112" t="s">
        <v>244</v>
      </c>
      <c r="BF120" s="113" t="s">
        <v>449</v>
      </c>
      <c r="BG120" s="120" t="s">
        <v>93</v>
      </c>
      <c r="BH120" s="120" t="s">
        <v>145</v>
      </c>
    </row>
    <row r="121" spans="1:60" s="120" customFormat="1" ht="15" customHeight="1">
      <c r="A121" s="112">
        <f t="shared" si="27"/>
        <v>119</v>
      </c>
      <c r="B121" s="113" t="s">
        <v>451</v>
      </c>
      <c r="C121" s="114" t="s">
        <v>445</v>
      </c>
      <c r="D121" s="122"/>
      <c r="E121" s="114" t="s">
        <v>452</v>
      </c>
      <c r="F121" s="112"/>
      <c r="G121" s="115" t="s">
        <v>81</v>
      </c>
      <c r="H121" s="112" t="s">
        <v>82</v>
      </c>
      <c r="I121" s="114" t="s">
        <v>83</v>
      </c>
      <c r="J121" s="114" t="s">
        <v>84</v>
      </c>
      <c r="K121" s="114" t="s">
        <v>83</v>
      </c>
      <c r="L121" s="113" t="s">
        <v>371</v>
      </c>
      <c r="M121" s="113" t="s">
        <v>371</v>
      </c>
      <c r="N121" s="116">
        <v>46112</v>
      </c>
      <c r="O121" s="114">
        <v>50</v>
      </c>
      <c r="P121" s="116">
        <v>46114</v>
      </c>
      <c r="Q121" s="116">
        <v>46147</v>
      </c>
      <c r="R121" s="116">
        <v>46114</v>
      </c>
      <c r="S121" s="112"/>
      <c r="T121" s="112"/>
      <c r="U121" s="112" t="s">
        <v>85</v>
      </c>
      <c r="V121" s="114" t="s">
        <v>142</v>
      </c>
      <c r="W121" s="114">
        <v>50</v>
      </c>
      <c r="X121" s="114">
        <v>45</v>
      </c>
      <c r="Y121" s="112"/>
      <c r="Z121" s="112" t="s">
        <v>87</v>
      </c>
      <c r="AA121" s="112"/>
      <c r="AB121" s="117"/>
      <c r="AC121" s="118">
        <v>35.5</v>
      </c>
      <c r="AD121" s="112"/>
      <c r="AE121" s="114">
        <v>50</v>
      </c>
      <c r="AF121" s="112" t="s">
        <v>88</v>
      </c>
      <c r="AG121" s="114" t="s">
        <v>142</v>
      </c>
      <c r="AH121" s="118">
        <v>38.5</v>
      </c>
      <c r="AI121" s="112">
        <f t="shared" si="52"/>
        <v>1925</v>
      </c>
      <c r="AJ121" s="112"/>
      <c r="AK121" s="115" t="s">
        <v>89</v>
      </c>
      <c r="AL121" s="114">
        <v>45</v>
      </c>
      <c r="AM121" s="112">
        <v>20</v>
      </c>
      <c r="AN121" s="112">
        <f t="shared" si="53"/>
        <v>900</v>
      </c>
      <c r="AO121" s="112"/>
      <c r="AP121" s="112"/>
      <c r="AQ121" s="112">
        <f t="shared" si="54"/>
        <v>0</v>
      </c>
      <c r="AR121" s="112">
        <f t="shared" si="55"/>
        <v>900</v>
      </c>
      <c r="AS121" s="112"/>
      <c r="AT121" s="110" t="s">
        <v>373</v>
      </c>
      <c r="AU121" s="111">
        <v>46146</v>
      </c>
      <c r="AV121" s="112">
        <f t="shared" si="56"/>
        <v>20</v>
      </c>
      <c r="AW121" s="112">
        <f t="shared" si="57"/>
        <v>900</v>
      </c>
      <c r="AX121" s="112"/>
      <c r="AY121" s="114" t="s">
        <v>374</v>
      </c>
      <c r="AZ121" s="119">
        <v>46156</v>
      </c>
      <c r="BA121" s="112">
        <f t="shared" si="58"/>
        <v>20</v>
      </c>
      <c r="BB121" s="112">
        <f t="shared" si="59"/>
        <v>45</v>
      </c>
      <c r="BC121" s="112">
        <f t="shared" si="60"/>
        <v>900</v>
      </c>
      <c r="BD121" s="112"/>
      <c r="BE121" s="112" t="s">
        <v>247</v>
      </c>
      <c r="BF121" s="113" t="s">
        <v>451</v>
      </c>
      <c r="BG121" s="120" t="s">
        <v>93</v>
      </c>
      <c r="BH121" s="120" t="s">
        <v>145</v>
      </c>
    </row>
    <row r="122" spans="1:60" s="120" customFormat="1" ht="15" customHeight="1">
      <c r="A122" s="112">
        <f t="shared" si="27"/>
        <v>120</v>
      </c>
      <c r="B122" s="113" t="s">
        <v>453</v>
      </c>
      <c r="C122" s="114" t="s">
        <v>452</v>
      </c>
      <c r="D122" s="122"/>
      <c r="E122" s="114" t="s">
        <v>454</v>
      </c>
      <c r="F122" s="112"/>
      <c r="G122" s="115" t="s">
        <v>81</v>
      </c>
      <c r="H122" s="112" t="s">
        <v>82</v>
      </c>
      <c r="I122" s="114" t="s">
        <v>83</v>
      </c>
      <c r="J122" s="114" t="s">
        <v>84</v>
      </c>
      <c r="K122" s="114" t="s">
        <v>83</v>
      </c>
      <c r="L122" s="113" t="s">
        <v>371</v>
      </c>
      <c r="M122" s="113" t="s">
        <v>371</v>
      </c>
      <c r="N122" s="116">
        <v>46112</v>
      </c>
      <c r="O122" s="114">
        <v>54</v>
      </c>
      <c r="P122" s="116">
        <v>46114</v>
      </c>
      <c r="Q122" s="116">
        <v>46147</v>
      </c>
      <c r="R122" s="116">
        <v>46114</v>
      </c>
      <c r="S122" s="112"/>
      <c r="T122" s="112"/>
      <c r="U122" s="112" t="s">
        <v>85</v>
      </c>
      <c r="V122" s="114" t="s">
        <v>99</v>
      </c>
      <c r="W122" s="114">
        <v>54</v>
      </c>
      <c r="X122" s="114">
        <v>54</v>
      </c>
      <c r="Y122" s="112"/>
      <c r="Z122" s="112" t="s">
        <v>87</v>
      </c>
      <c r="AA122" s="112"/>
      <c r="AB122" s="117"/>
      <c r="AC122" s="118">
        <v>25.5</v>
      </c>
      <c r="AD122" s="112"/>
      <c r="AE122" s="114">
        <v>54</v>
      </c>
      <c r="AF122" s="112" t="s">
        <v>88</v>
      </c>
      <c r="AG122" s="114" t="s">
        <v>99</v>
      </c>
      <c r="AH122" s="118">
        <v>12.5</v>
      </c>
      <c r="AI122" s="112">
        <f t="shared" si="52"/>
        <v>675</v>
      </c>
      <c r="AJ122" s="112"/>
      <c r="AK122" s="115" t="s">
        <v>89</v>
      </c>
      <c r="AL122" s="114">
        <v>54</v>
      </c>
      <c r="AM122" s="112">
        <v>18</v>
      </c>
      <c r="AN122" s="112">
        <f t="shared" si="53"/>
        <v>972</v>
      </c>
      <c r="AO122" s="112"/>
      <c r="AP122" s="112"/>
      <c r="AQ122" s="112">
        <f t="shared" si="54"/>
        <v>0</v>
      </c>
      <c r="AR122" s="112">
        <f t="shared" si="55"/>
        <v>972</v>
      </c>
      <c r="AS122" s="112"/>
      <c r="AT122" s="110" t="s">
        <v>373</v>
      </c>
      <c r="AU122" s="111">
        <v>46146</v>
      </c>
      <c r="AV122" s="112">
        <f t="shared" si="56"/>
        <v>18</v>
      </c>
      <c r="AW122" s="112">
        <f t="shared" si="57"/>
        <v>972</v>
      </c>
      <c r="AX122" s="112"/>
      <c r="AY122" s="114" t="s">
        <v>374</v>
      </c>
      <c r="AZ122" s="119">
        <v>46156</v>
      </c>
      <c r="BA122" s="112">
        <f t="shared" si="58"/>
        <v>18</v>
      </c>
      <c r="BB122" s="112">
        <f t="shared" si="59"/>
        <v>54</v>
      </c>
      <c r="BC122" s="112">
        <f t="shared" si="60"/>
        <v>972</v>
      </c>
      <c r="BD122" s="112"/>
      <c r="BE122" s="112" t="s">
        <v>251</v>
      </c>
      <c r="BF122" s="113" t="s">
        <v>453</v>
      </c>
      <c r="BG122" s="120" t="s">
        <v>93</v>
      </c>
      <c r="BH122" s="120" t="s">
        <v>145</v>
      </c>
    </row>
    <row r="123" spans="1:60" s="120" customFormat="1" ht="15" customHeight="1">
      <c r="A123" s="112">
        <f t="shared" si="27"/>
        <v>121</v>
      </c>
      <c r="B123" s="113" t="s">
        <v>455</v>
      </c>
      <c r="C123" s="114" t="s">
        <v>452</v>
      </c>
      <c r="D123" s="122"/>
      <c r="E123" s="114" t="s">
        <v>456</v>
      </c>
      <c r="F123" s="112"/>
      <c r="G123" s="115" t="s">
        <v>81</v>
      </c>
      <c r="H123" s="112" t="s">
        <v>82</v>
      </c>
      <c r="I123" s="114" t="s">
        <v>83</v>
      </c>
      <c r="J123" s="114" t="s">
        <v>84</v>
      </c>
      <c r="K123" s="114" t="s">
        <v>83</v>
      </c>
      <c r="L123" s="113" t="s">
        <v>371</v>
      </c>
      <c r="M123" s="113" t="s">
        <v>371</v>
      </c>
      <c r="N123" s="116">
        <v>46112</v>
      </c>
      <c r="O123" s="114">
        <v>101</v>
      </c>
      <c r="P123" s="116">
        <v>46114</v>
      </c>
      <c r="Q123" s="116">
        <v>46147</v>
      </c>
      <c r="R123" s="116">
        <v>46114</v>
      </c>
      <c r="S123" s="112"/>
      <c r="T123" s="112"/>
      <c r="U123" s="112" t="s">
        <v>85</v>
      </c>
      <c r="V123" s="114" t="s">
        <v>99</v>
      </c>
      <c r="W123" s="114">
        <v>101</v>
      </c>
      <c r="X123" s="114">
        <v>101</v>
      </c>
      <c r="Y123" s="112"/>
      <c r="Z123" s="112" t="s">
        <v>87</v>
      </c>
      <c r="AA123" s="112"/>
      <c r="AB123" s="117"/>
      <c r="AC123" s="118">
        <v>25.5</v>
      </c>
      <c r="AD123" s="112"/>
      <c r="AE123" s="114">
        <v>101</v>
      </c>
      <c r="AF123" s="112" t="s">
        <v>88</v>
      </c>
      <c r="AG123" s="114" t="s">
        <v>99</v>
      </c>
      <c r="AH123" s="118">
        <v>12.5</v>
      </c>
      <c r="AI123" s="112">
        <f t="shared" si="52"/>
        <v>1262.5</v>
      </c>
      <c r="AJ123" s="112"/>
      <c r="AK123" s="115" t="s">
        <v>89</v>
      </c>
      <c r="AL123" s="114">
        <v>101</v>
      </c>
      <c r="AM123" s="112">
        <v>18</v>
      </c>
      <c r="AN123" s="112">
        <f t="shared" si="53"/>
        <v>1818</v>
      </c>
      <c r="AO123" s="112"/>
      <c r="AP123" s="112"/>
      <c r="AQ123" s="112">
        <f t="shared" si="54"/>
        <v>0</v>
      </c>
      <c r="AR123" s="112">
        <f t="shared" si="55"/>
        <v>1818</v>
      </c>
      <c r="AS123" s="112"/>
      <c r="AT123" s="110" t="s">
        <v>373</v>
      </c>
      <c r="AU123" s="111">
        <v>46146</v>
      </c>
      <c r="AV123" s="112">
        <f t="shared" si="56"/>
        <v>18</v>
      </c>
      <c r="AW123" s="112">
        <f t="shared" si="57"/>
        <v>1818</v>
      </c>
      <c r="AX123" s="112"/>
      <c r="AY123" s="114" t="s">
        <v>374</v>
      </c>
      <c r="AZ123" s="119">
        <v>46156</v>
      </c>
      <c r="BA123" s="112">
        <f t="shared" si="58"/>
        <v>18</v>
      </c>
      <c r="BB123" s="112">
        <f t="shared" si="59"/>
        <v>101</v>
      </c>
      <c r="BC123" s="112">
        <f t="shared" si="60"/>
        <v>1818</v>
      </c>
      <c r="BD123" s="112"/>
      <c r="BE123" s="112" t="s">
        <v>255</v>
      </c>
      <c r="BF123" s="113" t="s">
        <v>455</v>
      </c>
      <c r="BG123" s="120" t="s">
        <v>93</v>
      </c>
      <c r="BH123" s="120" t="s">
        <v>145</v>
      </c>
    </row>
    <row r="124" spans="1:60" s="120" customFormat="1" ht="15" customHeight="1">
      <c r="A124" s="112">
        <f t="shared" si="27"/>
        <v>122</v>
      </c>
      <c r="B124" s="113" t="s">
        <v>457</v>
      </c>
      <c r="C124" s="114" t="s">
        <v>458</v>
      </c>
      <c r="D124" s="122"/>
      <c r="E124" s="114" t="s">
        <v>459</v>
      </c>
      <c r="F124" s="112"/>
      <c r="G124" s="115" t="s">
        <v>81</v>
      </c>
      <c r="H124" s="112" t="s">
        <v>82</v>
      </c>
      <c r="I124" s="114" t="s">
        <v>83</v>
      </c>
      <c r="J124" s="114" t="s">
        <v>84</v>
      </c>
      <c r="K124" s="114" t="s">
        <v>83</v>
      </c>
      <c r="L124" s="113" t="s">
        <v>371</v>
      </c>
      <c r="M124" s="113" t="s">
        <v>371</v>
      </c>
      <c r="N124" s="116">
        <v>46112</v>
      </c>
      <c r="O124" s="114">
        <v>11</v>
      </c>
      <c r="P124" s="116">
        <v>46114</v>
      </c>
      <c r="Q124" s="116">
        <v>46147</v>
      </c>
      <c r="R124" s="116">
        <v>46114</v>
      </c>
      <c r="S124" s="112"/>
      <c r="T124" s="112"/>
      <c r="U124" s="112" t="s">
        <v>85</v>
      </c>
      <c r="V124" s="114" t="s">
        <v>99</v>
      </c>
      <c r="W124" s="114">
        <v>11</v>
      </c>
      <c r="X124" s="114">
        <v>10</v>
      </c>
      <c r="Y124" s="112"/>
      <c r="Z124" s="112" t="s">
        <v>87</v>
      </c>
      <c r="AA124" s="112"/>
      <c r="AB124" s="117"/>
      <c r="AC124" s="118">
        <v>25.5</v>
      </c>
      <c r="AD124" s="112"/>
      <c r="AE124" s="114">
        <v>11</v>
      </c>
      <c r="AF124" s="112" t="s">
        <v>88</v>
      </c>
      <c r="AG124" s="114" t="s">
        <v>99</v>
      </c>
      <c r="AH124" s="118">
        <v>12.5</v>
      </c>
      <c r="AI124" s="112">
        <f t="shared" si="52"/>
        <v>137.5</v>
      </c>
      <c r="AJ124" s="112"/>
      <c r="AK124" s="115" t="s">
        <v>89</v>
      </c>
      <c r="AL124" s="114">
        <v>10</v>
      </c>
      <c r="AM124" s="112">
        <v>18</v>
      </c>
      <c r="AN124" s="112">
        <f t="shared" si="53"/>
        <v>180</v>
      </c>
      <c r="AO124" s="112"/>
      <c r="AP124" s="112"/>
      <c r="AQ124" s="112">
        <f t="shared" si="54"/>
        <v>0</v>
      </c>
      <c r="AR124" s="112">
        <f t="shared" si="55"/>
        <v>180</v>
      </c>
      <c r="AS124" s="112"/>
      <c r="AT124" s="110" t="s">
        <v>373</v>
      </c>
      <c r="AU124" s="111">
        <v>46146</v>
      </c>
      <c r="AV124" s="112">
        <f t="shared" si="56"/>
        <v>18</v>
      </c>
      <c r="AW124" s="112">
        <f t="shared" si="57"/>
        <v>180</v>
      </c>
      <c r="AX124" s="112"/>
      <c r="AY124" s="114" t="s">
        <v>374</v>
      </c>
      <c r="AZ124" s="119">
        <v>46156</v>
      </c>
      <c r="BA124" s="112">
        <f t="shared" si="58"/>
        <v>18</v>
      </c>
      <c r="BB124" s="112">
        <f t="shared" si="59"/>
        <v>10</v>
      </c>
      <c r="BC124" s="112">
        <f t="shared" si="60"/>
        <v>180</v>
      </c>
      <c r="BD124" s="112"/>
      <c r="BE124" s="112" t="s">
        <v>258</v>
      </c>
      <c r="BF124" s="113" t="s">
        <v>457</v>
      </c>
      <c r="BG124" s="120" t="s">
        <v>93</v>
      </c>
      <c r="BH124" s="120" t="s">
        <v>145</v>
      </c>
    </row>
    <row r="125" spans="1:60" s="120" customFormat="1" ht="15" customHeight="1">
      <c r="A125" s="112">
        <f t="shared" si="27"/>
        <v>123</v>
      </c>
      <c r="B125" s="113" t="s">
        <v>460</v>
      </c>
      <c r="C125" s="114" t="s">
        <v>458</v>
      </c>
      <c r="D125" s="122"/>
      <c r="E125" s="114" t="s">
        <v>461</v>
      </c>
      <c r="F125" s="112"/>
      <c r="G125" s="115" t="s">
        <v>81</v>
      </c>
      <c r="H125" s="112" t="s">
        <v>82</v>
      </c>
      <c r="I125" s="114" t="s">
        <v>83</v>
      </c>
      <c r="J125" s="114" t="s">
        <v>84</v>
      </c>
      <c r="K125" s="114" t="s">
        <v>83</v>
      </c>
      <c r="L125" s="113" t="s">
        <v>371</v>
      </c>
      <c r="M125" s="113" t="s">
        <v>371</v>
      </c>
      <c r="N125" s="116">
        <v>46112</v>
      </c>
      <c r="O125" s="114">
        <v>35</v>
      </c>
      <c r="P125" s="116">
        <v>46114</v>
      </c>
      <c r="Q125" s="116">
        <v>46147</v>
      </c>
      <c r="R125" s="116">
        <v>46114</v>
      </c>
      <c r="S125" s="112"/>
      <c r="T125" s="112"/>
      <c r="U125" s="112" t="s">
        <v>85</v>
      </c>
      <c r="V125" s="114" t="s">
        <v>99</v>
      </c>
      <c r="W125" s="114">
        <v>35</v>
      </c>
      <c r="X125" s="114">
        <v>35</v>
      </c>
      <c r="Y125" s="112"/>
      <c r="Z125" s="112" t="s">
        <v>87</v>
      </c>
      <c r="AA125" s="112"/>
      <c r="AB125" s="117"/>
      <c r="AC125" s="118">
        <v>25.5</v>
      </c>
      <c r="AD125" s="112"/>
      <c r="AE125" s="114">
        <v>35</v>
      </c>
      <c r="AF125" s="112" t="s">
        <v>88</v>
      </c>
      <c r="AG125" s="114" t="s">
        <v>99</v>
      </c>
      <c r="AH125" s="118">
        <v>12.5</v>
      </c>
      <c r="AI125" s="112">
        <f t="shared" si="52"/>
        <v>437.5</v>
      </c>
      <c r="AJ125" s="112"/>
      <c r="AK125" s="115" t="s">
        <v>89</v>
      </c>
      <c r="AL125" s="114">
        <v>35</v>
      </c>
      <c r="AM125" s="112">
        <v>18</v>
      </c>
      <c r="AN125" s="112">
        <f t="shared" si="53"/>
        <v>630</v>
      </c>
      <c r="AO125" s="112"/>
      <c r="AP125" s="112"/>
      <c r="AQ125" s="112">
        <f t="shared" si="54"/>
        <v>0</v>
      </c>
      <c r="AR125" s="112">
        <f t="shared" si="55"/>
        <v>630</v>
      </c>
      <c r="AS125" s="112"/>
      <c r="AT125" s="110" t="s">
        <v>373</v>
      </c>
      <c r="AU125" s="111">
        <v>46146</v>
      </c>
      <c r="AV125" s="112">
        <f t="shared" si="56"/>
        <v>18</v>
      </c>
      <c r="AW125" s="112">
        <f t="shared" si="57"/>
        <v>630</v>
      </c>
      <c r="AX125" s="112"/>
      <c r="AY125" s="114" t="s">
        <v>374</v>
      </c>
      <c r="AZ125" s="119">
        <v>46156</v>
      </c>
      <c r="BA125" s="112">
        <f t="shared" si="58"/>
        <v>18</v>
      </c>
      <c r="BB125" s="112">
        <f t="shared" si="59"/>
        <v>35</v>
      </c>
      <c r="BC125" s="112">
        <f t="shared" si="60"/>
        <v>630</v>
      </c>
      <c r="BD125" s="112"/>
      <c r="BE125" s="112" t="s">
        <v>262</v>
      </c>
      <c r="BF125" s="113" t="s">
        <v>460</v>
      </c>
      <c r="BG125" s="120" t="s">
        <v>93</v>
      </c>
      <c r="BH125" s="120" t="s">
        <v>145</v>
      </c>
    </row>
    <row r="126" spans="1:60" s="120" customFormat="1" ht="15" customHeight="1">
      <c r="A126" s="112">
        <f t="shared" si="27"/>
        <v>124</v>
      </c>
      <c r="B126" s="113" t="s">
        <v>462</v>
      </c>
      <c r="C126" s="114" t="s">
        <v>458</v>
      </c>
      <c r="D126" s="122"/>
      <c r="E126" s="114" t="s">
        <v>463</v>
      </c>
      <c r="F126" s="112"/>
      <c r="G126" s="115" t="s">
        <v>81</v>
      </c>
      <c r="H126" s="112" t="s">
        <v>82</v>
      </c>
      <c r="I126" s="114" t="s">
        <v>83</v>
      </c>
      <c r="J126" s="114" t="s">
        <v>84</v>
      </c>
      <c r="K126" s="114" t="s">
        <v>83</v>
      </c>
      <c r="L126" s="113" t="s">
        <v>371</v>
      </c>
      <c r="M126" s="113" t="s">
        <v>371</v>
      </c>
      <c r="N126" s="116">
        <v>46112</v>
      </c>
      <c r="O126" s="114">
        <v>152</v>
      </c>
      <c r="P126" s="116">
        <v>46114</v>
      </c>
      <c r="Q126" s="116">
        <v>46147</v>
      </c>
      <c r="R126" s="116">
        <v>46114</v>
      </c>
      <c r="S126" s="112"/>
      <c r="T126" s="112"/>
      <c r="U126" s="112" t="s">
        <v>85</v>
      </c>
      <c r="V126" s="114" t="s">
        <v>99</v>
      </c>
      <c r="W126" s="114">
        <v>152</v>
      </c>
      <c r="X126" s="114">
        <v>152</v>
      </c>
      <c r="Y126" s="112"/>
      <c r="Z126" s="112" t="s">
        <v>87</v>
      </c>
      <c r="AA126" s="112"/>
      <c r="AB126" s="117"/>
      <c r="AC126" s="118">
        <v>25.5</v>
      </c>
      <c r="AD126" s="112"/>
      <c r="AE126" s="114">
        <v>152</v>
      </c>
      <c r="AF126" s="112" t="s">
        <v>88</v>
      </c>
      <c r="AG126" s="114" t="s">
        <v>99</v>
      </c>
      <c r="AH126" s="118">
        <v>12.5</v>
      </c>
      <c r="AI126" s="112">
        <f t="shared" si="52"/>
        <v>1900</v>
      </c>
      <c r="AJ126" s="112"/>
      <c r="AK126" s="115" t="s">
        <v>89</v>
      </c>
      <c r="AL126" s="114">
        <v>152</v>
      </c>
      <c r="AM126" s="112">
        <v>18</v>
      </c>
      <c r="AN126" s="112">
        <f t="shared" si="53"/>
        <v>2736</v>
      </c>
      <c r="AO126" s="112"/>
      <c r="AP126" s="112"/>
      <c r="AQ126" s="112">
        <f t="shared" si="54"/>
        <v>0</v>
      </c>
      <c r="AR126" s="112">
        <f t="shared" si="55"/>
        <v>2736</v>
      </c>
      <c r="AS126" s="112"/>
      <c r="AT126" s="110" t="s">
        <v>373</v>
      </c>
      <c r="AU126" s="111">
        <v>46146</v>
      </c>
      <c r="AV126" s="112">
        <f t="shared" si="56"/>
        <v>18</v>
      </c>
      <c r="AW126" s="112">
        <f t="shared" si="57"/>
        <v>2736</v>
      </c>
      <c r="AX126" s="112"/>
      <c r="AY126" s="114" t="s">
        <v>374</v>
      </c>
      <c r="AZ126" s="119">
        <v>46156</v>
      </c>
      <c r="BA126" s="112">
        <f t="shared" si="58"/>
        <v>18</v>
      </c>
      <c r="BB126" s="112">
        <f t="shared" si="59"/>
        <v>152</v>
      </c>
      <c r="BC126" s="112">
        <f t="shared" si="60"/>
        <v>2736</v>
      </c>
      <c r="BD126" s="112"/>
      <c r="BE126" s="112" t="s">
        <v>266</v>
      </c>
      <c r="BF126" s="113" t="s">
        <v>462</v>
      </c>
      <c r="BG126" s="120" t="s">
        <v>93</v>
      </c>
      <c r="BH126" s="120" t="s">
        <v>145</v>
      </c>
    </row>
    <row r="127" spans="1:60" s="120" customFormat="1" ht="15" customHeight="1">
      <c r="A127" s="112">
        <f t="shared" si="27"/>
        <v>125</v>
      </c>
      <c r="B127" s="113" t="s">
        <v>464</v>
      </c>
      <c r="C127" s="114" t="s">
        <v>383</v>
      </c>
      <c r="D127" s="122"/>
      <c r="E127" s="114" t="s">
        <v>465</v>
      </c>
      <c r="F127" s="112"/>
      <c r="G127" s="115" t="s">
        <v>81</v>
      </c>
      <c r="H127" s="112" t="s">
        <v>82</v>
      </c>
      <c r="I127" s="114" t="s">
        <v>83</v>
      </c>
      <c r="J127" s="114" t="s">
        <v>84</v>
      </c>
      <c r="K127" s="114" t="s">
        <v>83</v>
      </c>
      <c r="L127" s="113" t="s">
        <v>371</v>
      </c>
      <c r="M127" s="113" t="s">
        <v>371</v>
      </c>
      <c r="N127" s="116">
        <v>46112</v>
      </c>
      <c r="O127" s="114">
        <v>140</v>
      </c>
      <c r="P127" s="116">
        <v>46114</v>
      </c>
      <c r="Q127" s="116">
        <v>46147</v>
      </c>
      <c r="R127" s="116">
        <v>46114</v>
      </c>
      <c r="S127" s="112"/>
      <c r="T127" s="112"/>
      <c r="U127" s="112" t="s">
        <v>85</v>
      </c>
      <c r="V127" s="114" t="s">
        <v>99</v>
      </c>
      <c r="W127" s="114">
        <v>140</v>
      </c>
      <c r="X127" s="114">
        <v>140</v>
      </c>
      <c r="Y127" s="112"/>
      <c r="Z127" s="112" t="s">
        <v>87</v>
      </c>
      <c r="AA127" s="112"/>
      <c r="AB127" s="117"/>
      <c r="AC127" s="118">
        <v>25.5</v>
      </c>
      <c r="AD127" s="112"/>
      <c r="AE127" s="114">
        <v>140</v>
      </c>
      <c r="AF127" s="112" t="s">
        <v>88</v>
      </c>
      <c r="AG127" s="114" t="s">
        <v>99</v>
      </c>
      <c r="AH127" s="118">
        <v>12.5</v>
      </c>
      <c r="AI127" s="112">
        <f t="shared" si="52"/>
        <v>1750</v>
      </c>
      <c r="AJ127" s="112"/>
      <c r="AK127" s="115" t="s">
        <v>89</v>
      </c>
      <c r="AL127" s="114">
        <v>140</v>
      </c>
      <c r="AM127" s="112">
        <v>18</v>
      </c>
      <c r="AN127" s="112">
        <f t="shared" si="53"/>
        <v>2520</v>
      </c>
      <c r="AO127" s="112"/>
      <c r="AP127" s="112"/>
      <c r="AQ127" s="112">
        <f t="shared" si="54"/>
        <v>0</v>
      </c>
      <c r="AR127" s="112">
        <f t="shared" si="55"/>
        <v>2520</v>
      </c>
      <c r="AS127" s="112"/>
      <c r="AT127" s="110" t="s">
        <v>373</v>
      </c>
      <c r="AU127" s="111">
        <v>46146</v>
      </c>
      <c r="AV127" s="112">
        <f t="shared" si="56"/>
        <v>18</v>
      </c>
      <c r="AW127" s="112">
        <f t="shared" si="57"/>
        <v>2520</v>
      </c>
      <c r="AX127" s="112"/>
      <c r="AY127" s="114" t="s">
        <v>374</v>
      </c>
      <c r="AZ127" s="119">
        <v>46156</v>
      </c>
      <c r="BA127" s="112">
        <f t="shared" si="58"/>
        <v>18</v>
      </c>
      <c r="BB127" s="112">
        <f t="shared" si="59"/>
        <v>140</v>
      </c>
      <c r="BC127" s="112">
        <f t="shared" si="60"/>
        <v>2520</v>
      </c>
      <c r="BD127" s="112"/>
      <c r="BE127" s="112" t="s">
        <v>270</v>
      </c>
      <c r="BF127" s="113" t="s">
        <v>464</v>
      </c>
      <c r="BG127" s="120" t="s">
        <v>93</v>
      </c>
      <c r="BH127" s="120" t="s">
        <v>145</v>
      </c>
    </row>
    <row r="128" spans="1:60" s="120" customFormat="1" ht="15" customHeight="1">
      <c r="A128" s="112">
        <f t="shared" si="27"/>
        <v>126</v>
      </c>
      <c r="B128" s="113" t="s">
        <v>466</v>
      </c>
      <c r="C128" s="114" t="s">
        <v>383</v>
      </c>
      <c r="D128" s="122"/>
      <c r="E128" s="114" t="s">
        <v>467</v>
      </c>
      <c r="F128" s="112"/>
      <c r="G128" s="115" t="s">
        <v>81</v>
      </c>
      <c r="H128" s="112" t="s">
        <v>82</v>
      </c>
      <c r="I128" s="114" t="s">
        <v>83</v>
      </c>
      <c r="J128" s="114" t="s">
        <v>84</v>
      </c>
      <c r="K128" s="114" t="s">
        <v>83</v>
      </c>
      <c r="L128" s="113" t="s">
        <v>371</v>
      </c>
      <c r="M128" s="113" t="s">
        <v>371</v>
      </c>
      <c r="N128" s="116">
        <v>46112</v>
      </c>
      <c r="O128" s="114">
        <v>11</v>
      </c>
      <c r="P128" s="116">
        <v>46114</v>
      </c>
      <c r="Q128" s="116">
        <v>46147</v>
      </c>
      <c r="R128" s="116">
        <v>46114</v>
      </c>
      <c r="S128" s="112"/>
      <c r="T128" s="112"/>
      <c r="U128" s="112" t="s">
        <v>85</v>
      </c>
      <c r="V128" s="114" t="s">
        <v>99</v>
      </c>
      <c r="W128" s="114">
        <v>11</v>
      </c>
      <c r="X128" s="114">
        <v>10</v>
      </c>
      <c r="Y128" s="112"/>
      <c r="Z128" s="112" t="s">
        <v>87</v>
      </c>
      <c r="AA128" s="112"/>
      <c r="AB128" s="117"/>
      <c r="AC128" s="118">
        <v>25.5</v>
      </c>
      <c r="AD128" s="112"/>
      <c r="AE128" s="114">
        <v>11</v>
      </c>
      <c r="AF128" s="112" t="s">
        <v>88</v>
      </c>
      <c r="AG128" s="114" t="s">
        <v>99</v>
      </c>
      <c r="AH128" s="118">
        <v>12.5</v>
      </c>
      <c r="AI128" s="112">
        <f t="shared" si="52"/>
        <v>137.5</v>
      </c>
      <c r="AJ128" s="112"/>
      <c r="AK128" s="115" t="s">
        <v>89</v>
      </c>
      <c r="AL128" s="114">
        <v>10</v>
      </c>
      <c r="AM128" s="112">
        <v>18</v>
      </c>
      <c r="AN128" s="112">
        <f t="shared" si="53"/>
        <v>180</v>
      </c>
      <c r="AO128" s="112"/>
      <c r="AP128" s="112"/>
      <c r="AQ128" s="112">
        <f t="shared" si="54"/>
        <v>0</v>
      </c>
      <c r="AR128" s="112">
        <f t="shared" si="55"/>
        <v>180</v>
      </c>
      <c r="AS128" s="112"/>
      <c r="AT128" s="110" t="s">
        <v>373</v>
      </c>
      <c r="AU128" s="111">
        <v>46146</v>
      </c>
      <c r="AV128" s="112">
        <f t="shared" si="56"/>
        <v>18</v>
      </c>
      <c r="AW128" s="112">
        <f t="shared" si="57"/>
        <v>180</v>
      </c>
      <c r="AX128" s="112"/>
      <c r="AY128" s="114" t="s">
        <v>374</v>
      </c>
      <c r="AZ128" s="119">
        <v>46156</v>
      </c>
      <c r="BA128" s="112">
        <f t="shared" si="58"/>
        <v>18</v>
      </c>
      <c r="BB128" s="112">
        <f t="shared" si="59"/>
        <v>10</v>
      </c>
      <c r="BC128" s="112">
        <f t="shared" si="60"/>
        <v>180</v>
      </c>
      <c r="BD128" s="112"/>
      <c r="BE128" s="112" t="s">
        <v>274</v>
      </c>
      <c r="BF128" s="113" t="s">
        <v>466</v>
      </c>
      <c r="BG128" s="120" t="s">
        <v>93</v>
      </c>
      <c r="BH128" s="120" t="s">
        <v>145</v>
      </c>
    </row>
    <row r="129" spans="1:60" s="120" customFormat="1" ht="15" customHeight="1">
      <c r="A129" s="112">
        <f t="shared" si="27"/>
        <v>127</v>
      </c>
      <c r="B129" s="113" t="s">
        <v>468</v>
      </c>
      <c r="C129" s="114" t="s">
        <v>383</v>
      </c>
      <c r="D129" s="122"/>
      <c r="E129" s="114" t="s">
        <v>469</v>
      </c>
      <c r="F129" s="112"/>
      <c r="G129" s="115" t="s">
        <v>81</v>
      </c>
      <c r="H129" s="112" t="s">
        <v>82</v>
      </c>
      <c r="I129" s="114" t="s">
        <v>83</v>
      </c>
      <c r="J129" s="114" t="s">
        <v>84</v>
      </c>
      <c r="K129" s="114" t="s">
        <v>83</v>
      </c>
      <c r="L129" s="113" t="s">
        <v>371</v>
      </c>
      <c r="M129" s="113" t="s">
        <v>371</v>
      </c>
      <c r="N129" s="116">
        <v>46112</v>
      </c>
      <c r="O129" s="114">
        <v>109</v>
      </c>
      <c r="P129" s="116">
        <v>46114</v>
      </c>
      <c r="Q129" s="116">
        <v>46147</v>
      </c>
      <c r="R129" s="116">
        <v>46114</v>
      </c>
      <c r="S129" s="112"/>
      <c r="T129" s="112"/>
      <c r="U129" s="112" t="s">
        <v>85</v>
      </c>
      <c r="V129" s="114" t="s">
        <v>99</v>
      </c>
      <c r="W129" s="114">
        <v>109</v>
      </c>
      <c r="X129" s="114">
        <v>109</v>
      </c>
      <c r="Y129" s="112"/>
      <c r="Z129" s="112" t="s">
        <v>87</v>
      </c>
      <c r="AA129" s="112"/>
      <c r="AB129" s="117"/>
      <c r="AC129" s="118">
        <v>25.5</v>
      </c>
      <c r="AD129" s="112"/>
      <c r="AE129" s="114">
        <v>109</v>
      </c>
      <c r="AF129" s="112" t="s">
        <v>88</v>
      </c>
      <c r="AG129" s="114" t="s">
        <v>99</v>
      </c>
      <c r="AH129" s="118">
        <v>12.5</v>
      </c>
      <c r="AI129" s="112">
        <f t="shared" si="52"/>
        <v>1362.5</v>
      </c>
      <c r="AJ129" s="112"/>
      <c r="AK129" s="115" t="s">
        <v>89</v>
      </c>
      <c r="AL129" s="114">
        <v>109</v>
      </c>
      <c r="AM129" s="112">
        <v>18</v>
      </c>
      <c r="AN129" s="112">
        <f t="shared" si="53"/>
        <v>1962</v>
      </c>
      <c r="AO129" s="112"/>
      <c r="AP129" s="112"/>
      <c r="AQ129" s="112">
        <f t="shared" si="54"/>
        <v>0</v>
      </c>
      <c r="AR129" s="112">
        <f t="shared" si="55"/>
        <v>1962</v>
      </c>
      <c r="AS129" s="112"/>
      <c r="AT129" s="110" t="s">
        <v>373</v>
      </c>
      <c r="AU129" s="111">
        <v>46146</v>
      </c>
      <c r="AV129" s="112">
        <f t="shared" si="56"/>
        <v>18</v>
      </c>
      <c r="AW129" s="112">
        <f t="shared" si="57"/>
        <v>1962</v>
      </c>
      <c r="AX129" s="112"/>
      <c r="AY129" s="114" t="s">
        <v>374</v>
      </c>
      <c r="AZ129" s="119">
        <v>46156</v>
      </c>
      <c r="BA129" s="112">
        <f t="shared" si="58"/>
        <v>18</v>
      </c>
      <c r="BB129" s="112">
        <f t="shared" si="59"/>
        <v>109</v>
      </c>
      <c r="BC129" s="112">
        <f t="shared" si="60"/>
        <v>1962</v>
      </c>
      <c r="BD129" s="112"/>
      <c r="BE129" s="112" t="s">
        <v>278</v>
      </c>
      <c r="BF129" s="113" t="s">
        <v>468</v>
      </c>
      <c r="BG129" s="120" t="s">
        <v>93</v>
      </c>
      <c r="BH129" s="120" t="s">
        <v>145</v>
      </c>
    </row>
    <row r="130" spans="1:60" s="120" customFormat="1" ht="15" customHeight="1">
      <c r="A130" s="112">
        <f t="shared" si="27"/>
        <v>128</v>
      </c>
      <c r="B130" s="113" t="s">
        <v>470</v>
      </c>
      <c r="C130" s="114" t="s">
        <v>471</v>
      </c>
      <c r="D130" s="122"/>
      <c r="E130" s="114" t="s">
        <v>472</v>
      </c>
      <c r="F130" s="112"/>
      <c r="G130" s="115" t="s">
        <v>81</v>
      </c>
      <c r="H130" s="112" t="s">
        <v>82</v>
      </c>
      <c r="I130" s="114" t="s">
        <v>83</v>
      </c>
      <c r="J130" s="114" t="s">
        <v>84</v>
      </c>
      <c r="K130" s="114" t="s">
        <v>83</v>
      </c>
      <c r="L130" s="113" t="s">
        <v>371</v>
      </c>
      <c r="M130" s="113" t="s">
        <v>371</v>
      </c>
      <c r="N130" s="116">
        <v>46112</v>
      </c>
      <c r="O130" s="114">
        <v>68</v>
      </c>
      <c r="P130" s="116">
        <v>46114</v>
      </c>
      <c r="Q130" s="116">
        <v>46147</v>
      </c>
      <c r="R130" s="116">
        <v>46114</v>
      </c>
      <c r="S130" s="112"/>
      <c r="T130" s="112"/>
      <c r="U130" s="112" t="s">
        <v>85</v>
      </c>
      <c r="V130" s="114" t="s">
        <v>99</v>
      </c>
      <c r="W130" s="114">
        <v>68</v>
      </c>
      <c r="X130" s="114">
        <v>68</v>
      </c>
      <c r="Y130" s="112"/>
      <c r="Z130" s="112" t="s">
        <v>87</v>
      </c>
      <c r="AA130" s="112"/>
      <c r="AB130" s="117"/>
      <c r="AC130" s="118">
        <v>25.5</v>
      </c>
      <c r="AD130" s="112"/>
      <c r="AE130" s="114">
        <v>68</v>
      </c>
      <c r="AF130" s="112" t="s">
        <v>88</v>
      </c>
      <c r="AG130" s="114" t="s">
        <v>99</v>
      </c>
      <c r="AH130" s="118">
        <v>12.5</v>
      </c>
      <c r="AI130" s="112">
        <f t="shared" si="52"/>
        <v>850</v>
      </c>
      <c r="AJ130" s="112"/>
      <c r="AK130" s="115" t="s">
        <v>89</v>
      </c>
      <c r="AL130" s="114">
        <v>68</v>
      </c>
      <c r="AM130" s="112">
        <v>18</v>
      </c>
      <c r="AN130" s="112">
        <f t="shared" si="53"/>
        <v>1224</v>
      </c>
      <c r="AO130" s="112"/>
      <c r="AP130" s="112"/>
      <c r="AQ130" s="112">
        <f t="shared" si="54"/>
        <v>0</v>
      </c>
      <c r="AR130" s="112">
        <f t="shared" si="55"/>
        <v>1224</v>
      </c>
      <c r="AS130" s="112"/>
      <c r="AT130" s="110" t="s">
        <v>373</v>
      </c>
      <c r="AU130" s="111">
        <v>46146</v>
      </c>
      <c r="AV130" s="112">
        <f t="shared" si="56"/>
        <v>18</v>
      </c>
      <c r="AW130" s="112">
        <f t="shared" si="57"/>
        <v>1224</v>
      </c>
      <c r="AX130" s="112"/>
      <c r="AY130" s="114" t="s">
        <v>374</v>
      </c>
      <c r="AZ130" s="119">
        <v>46156</v>
      </c>
      <c r="BA130" s="112">
        <f t="shared" si="58"/>
        <v>18</v>
      </c>
      <c r="BB130" s="112">
        <f t="shared" si="59"/>
        <v>68</v>
      </c>
      <c r="BC130" s="112">
        <f t="shared" si="60"/>
        <v>1224</v>
      </c>
      <c r="BD130" s="112"/>
      <c r="BE130" s="112" t="s">
        <v>281</v>
      </c>
      <c r="BF130" s="113" t="s">
        <v>470</v>
      </c>
      <c r="BG130" s="120" t="s">
        <v>93</v>
      </c>
      <c r="BH130" s="120" t="s">
        <v>145</v>
      </c>
    </row>
    <row r="131" spans="1:60" s="120" customFormat="1" ht="15" customHeight="1">
      <c r="A131" s="112">
        <f t="shared" si="27"/>
        <v>129</v>
      </c>
      <c r="B131" s="113" t="s">
        <v>473</v>
      </c>
      <c r="C131" s="114" t="s">
        <v>474</v>
      </c>
      <c r="D131" s="122"/>
      <c r="E131" s="114" t="s">
        <v>475</v>
      </c>
      <c r="F131" s="112"/>
      <c r="G131" s="115" t="s">
        <v>81</v>
      </c>
      <c r="H131" s="112" t="s">
        <v>82</v>
      </c>
      <c r="I131" s="114" t="s">
        <v>83</v>
      </c>
      <c r="J131" s="114" t="s">
        <v>84</v>
      </c>
      <c r="K131" s="114" t="s">
        <v>83</v>
      </c>
      <c r="L131" s="113" t="s">
        <v>371</v>
      </c>
      <c r="M131" s="113" t="s">
        <v>371</v>
      </c>
      <c r="N131" s="116">
        <v>46112</v>
      </c>
      <c r="O131" s="114">
        <v>11</v>
      </c>
      <c r="P131" s="116">
        <v>46114</v>
      </c>
      <c r="Q131" s="116">
        <v>46147</v>
      </c>
      <c r="R131" s="116">
        <v>46114</v>
      </c>
      <c r="S131" s="112"/>
      <c r="T131" s="112"/>
      <c r="U131" s="112" t="s">
        <v>85</v>
      </c>
      <c r="V131" s="114" t="s">
        <v>99</v>
      </c>
      <c r="W131" s="114">
        <v>11</v>
      </c>
      <c r="X131" s="114">
        <v>10</v>
      </c>
      <c r="Y131" s="112"/>
      <c r="Z131" s="112" t="s">
        <v>87</v>
      </c>
      <c r="AA131" s="112"/>
      <c r="AB131" s="117"/>
      <c r="AC131" s="118">
        <v>25.5</v>
      </c>
      <c r="AD131" s="112"/>
      <c r="AE131" s="114">
        <v>11</v>
      </c>
      <c r="AF131" s="112" t="s">
        <v>88</v>
      </c>
      <c r="AG131" s="114" t="s">
        <v>99</v>
      </c>
      <c r="AH131" s="118">
        <v>12.5</v>
      </c>
      <c r="AI131" s="112">
        <f t="shared" si="52"/>
        <v>137.5</v>
      </c>
      <c r="AJ131" s="112"/>
      <c r="AK131" s="115" t="s">
        <v>89</v>
      </c>
      <c r="AL131" s="114">
        <v>10</v>
      </c>
      <c r="AM131" s="112">
        <v>18</v>
      </c>
      <c r="AN131" s="112">
        <f t="shared" si="53"/>
        <v>180</v>
      </c>
      <c r="AO131" s="112"/>
      <c r="AP131" s="112"/>
      <c r="AQ131" s="112">
        <f t="shared" si="54"/>
        <v>0</v>
      </c>
      <c r="AR131" s="112">
        <f t="shared" si="55"/>
        <v>180</v>
      </c>
      <c r="AS131" s="112"/>
      <c r="AT131" s="110" t="s">
        <v>373</v>
      </c>
      <c r="AU131" s="111">
        <v>46146</v>
      </c>
      <c r="AV131" s="112">
        <f t="shared" si="56"/>
        <v>18</v>
      </c>
      <c r="AW131" s="112">
        <f t="shared" si="57"/>
        <v>180</v>
      </c>
      <c r="AX131" s="112"/>
      <c r="AY131" s="114" t="s">
        <v>374</v>
      </c>
      <c r="AZ131" s="119">
        <v>46156</v>
      </c>
      <c r="BA131" s="112">
        <f t="shared" si="58"/>
        <v>18</v>
      </c>
      <c r="BB131" s="112">
        <f t="shared" si="59"/>
        <v>10</v>
      </c>
      <c r="BC131" s="112">
        <f t="shared" si="60"/>
        <v>180</v>
      </c>
      <c r="BD131" s="112"/>
      <c r="BE131" s="112" t="s">
        <v>285</v>
      </c>
      <c r="BF131" s="113" t="s">
        <v>473</v>
      </c>
      <c r="BG131" s="120" t="s">
        <v>93</v>
      </c>
      <c r="BH131" s="120" t="s">
        <v>145</v>
      </c>
    </row>
    <row r="132" spans="1:60" s="120" customFormat="1" ht="15" customHeight="1">
      <c r="A132" s="112">
        <f t="shared" si="27"/>
        <v>130</v>
      </c>
      <c r="B132" s="113" t="s">
        <v>476</v>
      </c>
      <c r="C132" s="114" t="s">
        <v>474</v>
      </c>
      <c r="D132" s="122"/>
      <c r="E132" s="114" t="s">
        <v>477</v>
      </c>
      <c r="F132" s="112"/>
      <c r="G132" s="115" t="s">
        <v>81</v>
      </c>
      <c r="H132" s="112" t="s">
        <v>82</v>
      </c>
      <c r="I132" s="114" t="s">
        <v>83</v>
      </c>
      <c r="J132" s="114" t="s">
        <v>84</v>
      </c>
      <c r="K132" s="114" t="s">
        <v>83</v>
      </c>
      <c r="L132" s="113" t="s">
        <v>371</v>
      </c>
      <c r="M132" s="113" t="s">
        <v>371</v>
      </c>
      <c r="N132" s="116">
        <v>46112</v>
      </c>
      <c r="O132" s="114">
        <v>105</v>
      </c>
      <c r="P132" s="116">
        <v>46114</v>
      </c>
      <c r="Q132" s="116">
        <v>46147</v>
      </c>
      <c r="R132" s="116">
        <v>46114</v>
      </c>
      <c r="S132" s="112"/>
      <c r="T132" s="112"/>
      <c r="U132" s="112" t="s">
        <v>85</v>
      </c>
      <c r="V132" s="114" t="s">
        <v>99</v>
      </c>
      <c r="W132" s="114">
        <v>105</v>
      </c>
      <c r="X132" s="114">
        <v>105</v>
      </c>
      <c r="Y132" s="112"/>
      <c r="Z132" s="112" t="s">
        <v>87</v>
      </c>
      <c r="AA132" s="112"/>
      <c r="AB132" s="117"/>
      <c r="AC132" s="118">
        <v>25.5</v>
      </c>
      <c r="AD132" s="112"/>
      <c r="AE132" s="114">
        <v>105</v>
      </c>
      <c r="AF132" s="112" t="s">
        <v>88</v>
      </c>
      <c r="AG132" s="114" t="s">
        <v>99</v>
      </c>
      <c r="AH132" s="118">
        <v>12.5</v>
      </c>
      <c r="AI132" s="112">
        <f t="shared" si="52"/>
        <v>1312.5</v>
      </c>
      <c r="AJ132" s="112"/>
      <c r="AK132" s="115" t="s">
        <v>89</v>
      </c>
      <c r="AL132" s="114">
        <v>105</v>
      </c>
      <c r="AM132" s="112">
        <v>18</v>
      </c>
      <c r="AN132" s="112">
        <f t="shared" si="53"/>
        <v>1890</v>
      </c>
      <c r="AO132" s="112"/>
      <c r="AP132" s="112"/>
      <c r="AQ132" s="112">
        <f t="shared" si="54"/>
        <v>0</v>
      </c>
      <c r="AR132" s="112">
        <f t="shared" si="55"/>
        <v>1890</v>
      </c>
      <c r="AS132" s="112"/>
      <c r="AT132" s="110" t="s">
        <v>373</v>
      </c>
      <c r="AU132" s="111">
        <v>46146</v>
      </c>
      <c r="AV132" s="112">
        <f t="shared" si="56"/>
        <v>18</v>
      </c>
      <c r="AW132" s="112">
        <f t="shared" si="57"/>
        <v>1890</v>
      </c>
      <c r="AX132" s="112"/>
      <c r="AY132" s="114" t="s">
        <v>374</v>
      </c>
      <c r="AZ132" s="119">
        <v>46156</v>
      </c>
      <c r="BA132" s="112">
        <f t="shared" si="58"/>
        <v>18</v>
      </c>
      <c r="BB132" s="112">
        <f t="shared" si="59"/>
        <v>105</v>
      </c>
      <c r="BC132" s="112">
        <f t="shared" si="60"/>
        <v>1890</v>
      </c>
      <c r="BD132" s="112"/>
      <c r="BE132" s="112" t="s">
        <v>288</v>
      </c>
      <c r="BF132" s="113" t="s">
        <v>476</v>
      </c>
      <c r="BG132" s="120" t="s">
        <v>93</v>
      </c>
      <c r="BH132" s="120" t="s">
        <v>145</v>
      </c>
    </row>
    <row r="133" spans="1:60" s="120" customFormat="1" ht="15" customHeight="1">
      <c r="A133" s="112">
        <f t="shared" ref="A133:A197" si="61">A132+1</f>
        <v>131</v>
      </c>
      <c r="B133" s="113" t="s">
        <v>478</v>
      </c>
      <c r="C133" s="114" t="s">
        <v>381</v>
      </c>
      <c r="D133" s="122"/>
      <c r="E133" s="114" t="s">
        <v>479</v>
      </c>
      <c r="F133" s="112"/>
      <c r="G133" s="115" t="s">
        <v>81</v>
      </c>
      <c r="H133" s="112" t="s">
        <v>82</v>
      </c>
      <c r="I133" s="114" t="s">
        <v>83</v>
      </c>
      <c r="J133" s="114" t="s">
        <v>84</v>
      </c>
      <c r="K133" s="114" t="s">
        <v>83</v>
      </c>
      <c r="L133" s="113" t="s">
        <v>371</v>
      </c>
      <c r="M133" s="113" t="s">
        <v>371</v>
      </c>
      <c r="N133" s="116">
        <v>46112</v>
      </c>
      <c r="O133" s="114">
        <v>40</v>
      </c>
      <c r="P133" s="116">
        <v>46114</v>
      </c>
      <c r="Q133" s="116">
        <v>46147</v>
      </c>
      <c r="R133" s="116">
        <v>46114</v>
      </c>
      <c r="S133" s="112"/>
      <c r="T133" s="112"/>
      <c r="U133" s="112" t="s">
        <v>85</v>
      </c>
      <c r="V133" s="114" t="s">
        <v>99</v>
      </c>
      <c r="W133" s="114">
        <v>40</v>
      </c>
      <c r="X133" s="114">
        <v>40</v>
      </c>
      <c r="Y133" s="112"/>
      <c r="Z133" s="112" t="s">
        <v>87</v>
      </c>
      <c r="AA133" s="112"/>
      <c r="AB133" s="117"/>
      <c r="AC133" s="118">
        <v>25.5</v>
      </c>
      <c r="AD133" s="112"/>
      <c r="AE133" s="114">
        <v>40</v>
      </c>
      <c r="AF133" s="112" t="s">
        <v>88</v>
      </c>
      <c r="AG133" s="114" t="s">
        <v>99</v>
      </c>
      <c r="AH133" s="118">
        <v>12.5</v>
      </c>
      <c r="AI133" s="112">
        <f t="shared" si="52"/>
        <v>500</v>
      </c>
      <c r="AJ133" s="112"/>
      <c r="AK133" s="115" t="s">
        <v>89</v>
      </c>
      <c r="AL133" s="114">
        <v>40</v>
      </c>
      <c r="AM133" s="112">
        <v>18</v>
      </c>
      <c r="AN133" s="112">
        <f t="shared" si="53"/>
        <v>720</v>
      </c>
      <c r="AO133" s="112"/>
      <c r="AP133" s="112"/>
      <c r="AQ133" s="112">
        <f t="shared" si="54"/>
        <v>0</v>
      </c>
      <c r="AR133" s="112">
        <f t="shared" si="55"/>
        <v>720</v>
      </c>
      <c r="AS133" s="112"/>
      <c r="AT133" s="110" t="s">
        <v>373</v>
      </c>
      <c r="AU133" s="111">
        <v>46146</v>
      </c>
      <c r="AV133" s="112">
        <f t="shared" si="56"/>
        <v>18</v>
      </c>
      <c r="AW133" s="112">
        <f t="shared" si="57"/>
        <v>720</v>
      </c>
      <c r="AX133" s="112"/>
      <c r="AY133" s="114" t="s">
        <v>374</v>
      </c>
      <c r="AZ133" s="119">
        <v>46156</v>
      </c>
      <c r="BA133" s="112">
        <f t="shared" si="58"/>
        <v>18</v>
      </c>
      <c r="BB133" s="112">
        <f t="shared" si="59"/>
        <v>40</v>
      </c>
      <c r="BC133" s="112">
        <f t="shared" si="60"/>
        <v>720</v>
      </c>
      <c r="BD133" s="112"/>
      <c r="BE133" s="112" t="s">
        <v>292</v>
      </c>
      <c r="BF133" s="113" t="s">
        <v>478</v>
      </c>
      <c r="BG133" s="120" t="s">
        <v>93</v>
      </c>
      <c r="BH133" s="120" t="s">
        <v>145</v>
      </c>
    </row>
    <row r="134" spans="1:60" s="120" customFormat="1" ht="15" customHeight="1">
      <c r="A134" s="112">
        <f t="shared" si="61"/>
        <v>132</v>
      </c>
      <c r="B134" s="113" t="s">
        <v>480</v>
      </c>
      <c r="C134" s="114" t="s">
        <v>381</v>
      </c>
      <c r="D134" s="122"/>
      <c r="E134" s="114" t="s">
        <v>481</v>
      </c>
      <c r="F134" s="112"/>
      <c r="G134" s="115" t="s">
        <v>81</v>
      </c>
      <c r="H134" s="112" t="s">
        <v>82</v>
      </c>
      <c r="I134" s="114" t="s">
        <v>83</v>
      </c>
      <c r="J134" s="114" t="s">
        <v>84</v>
      </c>
      <c r="K134" s="114" t="s">
        <v>83</v>
      </c>
      <c r="L134" s="113" t="s">
        <v>371</v>
      </c>
      <c r="M134" s="113" t="s">
        <v>371</v>
      </c>
      <c r="N134" s="116">
        <v>46112</v>
      </c>
      <c r="O134" s="114">
        <v>11</v>
      </c>
      <c r="P134" s="116">
        <v>46114</v>
      </c>
      <c r="Q134" s="116">
        <v>46147</v>
      </c>
      <c r="R134" s="116">
        <v>46114</v>
      </c>
      <c r="S134" s="112"/>
      <c r="T134" s="112"/>
      <c r="U134" s="112" t="s">
        <v>85</v>
      </c>
      <c r="V134" s="114" t="s">
        <v>99</v>
      </c>
      <c r="W134" s="114">
        <v>11</v>
      </c>
      <c r="X134" s="114">
        <v>10</v>
      </c>
      <c r="Y134" s="112"/>
      <c r="Z134" s="112" t="s">
        <v>87</v>
      </c>
      <c r="AA134" s="112"/>
      <c r="AB134" s="117"/>
      <c r="AC134" s="118">
        <v>25.5</v>
      </c>
      <c r="AD134" s="112"/>
      <c r="AE134" s="114">
        <v>11</v>
      </c>
      <c r="AF134" s="112" t="s">
        <v>88</v>
      </c>
      <c r="AG134" s="114" t="s">
        <v>99</v>
      </c>
      <c r="AH134" s="118">
        <v>12.5</v>
      </c>
      <c r="AI134" s="112">
        <f t="shared" si="52"/>
        <v>137.5</v>
      </c>
      <c r="AJ134" s="112"/>
      <c r="AK134" s="115" t="s">
        <v>89</v>
      </c>
      <c r="AL134" s="114">
        <v>10</v>
      </c>
      <c r="AM134" s="112">
        <v>18</v>
      </c>
      <c r="AN134" s="112">
        <f t="shared" si="53"/>
        <v>180</v>
      </c>
      <c r="AO134" s="112"/>
      <c r="AP134" s="112"/>
      <c r="AQ134" s="112">
        <f t="shared" si="54"/>
        <v>0</v>
      </c>
      <c r="AR134" s="112">
        <f t="shared" si="55"/>
        <v>180</v>
      </c>
      <c r="AS134" s="112"/>
      <c r="AT134" s="110" t="s">
        <v>373</v>
      </c>
      <c r="AU134" s="111">
        <v>46146</v>
      </c>
      <c r="AV134" s="112">
        <f t="shared" si="56"/>
        <v>18</v>
      </c>
      <c r="AW134" s="112">
        <f t="shared" si="57"/>
        <v>180</v>
      </c>
      <c r="AX134" s="112"/>
      <c r="AY134" s="114" t="s">
        <v>374</v>
      </c>
      <c r="AZ134" s="119">
        <v>46156</v>
      </c>
      <c r="BA134" s="112">
        <f t="shared" si="58"/>
        <v>18</v>
      </c>
      <c r="BB134" s="112">
        <f t="shared" si="59"/>
        <v>10</v>
      </c>
      <c r="BC134" s="112">
        <f t="shared" si="60"/>
        <v>180</v>
      </c>
      <c r="BD134" s="112"/>
      <c r="BE134" s="112" t="s">
        <v>296</v>
      </c>
      <c r="BF134" s="113" t="s">
        <v>480</v>
      </c>
      <c r="BG134" s="120" t="s">
        <v>93</v>
      </c>
      <c r="BH134" s="120" t="s">
        <v>145</v>
      </c>
    </row>
    <row r="135" spans="1:60" s="120" customFormat="1" ht="15" customHeight="1">
      <c r="A135" s="112">
        <f t="shared" si="61"/>
        <v>133</v>
      </c>
      <c r="B135" s="113" t="s">
        <v>482</v>
      </c>
      <c r="C135" s="114" t="s">
        <v>381</v>
      </c>
      <c r="D135" s="122"/>
      <c r="E135" s="114" t="s">
        <v>483</v>
      </c>
      <c r="F135" s="112"/>
      <c r="G135" s="115" t="s">
        <v>81</v>
      </c>
      <c r="H135" s="112" t="s">
        <v>82</v>
      </c>
      <c r="I135" s="114" t="s">
        <v>83</v>
      </c>
      <c r="J135" s="114" t="s">
        <v>84</v>
      </c>
      <c r="K135" s="114" t="s">
        <v>83</v>
      </c>
      <c r="L135" s="113" t="s">
        <v>371</v>
      </c>
      <c r="M135" s="113" t="s">
        <v>371</v>
      </c>
      <c r="N135" s="116">
        <v>46112</v>
      </c>
      <c r="O135" s="114">
        <v>181</v>
      </c>
      <c r="P135" s="116">
        <v>46114</v>
      </c>
      <c r="Q135" s="116">
        <v>46147</v>
      </c>
      <c r="R135" s="116">
        <v>46114</v>
      </c>
      <c r="S135" s="112"/>
      <c r="T135" s="112"/>
      <c r="U135" s="112" t="s">
        <v>85</v>
      </c>
      <c r="V135" s="114" t="s">
        <v>86</v>
      </c>
      <c r="W135" s="114">
        <v>181</v>
      </c>
      <c r="X135" s="114">
        <v>169</v>
      </c>
      <c r="Y135" s="112"/>
      <c r="Z135" s="112" t="s">
        <v>87</v>
      </c>
      <c r="AA135" s="112"/>
      <c r="AB135" s="117"/>
      <c r="AC135" s="118">
        <v>30.5</v>
      </c>
      <c r="AD135" s="112"/>
      <c r="AE135" s="114">
        <v>181</v>
      </c>
      <c r="AF135" s="112" t="s">
        <v>88</v>
      </c>
      <c r="AG135" s="114" t="s">
        <v>86</v>
      </c>
      <c r="AH135" s="118">
        <v>24.5</v>
      </c>
      <c r="AI135" s="112">
        <f t="shared" si="52"/>
        <v>4434.5</v>
      </c>
      <c r="AJ135" s="112"/>
      <c r="AK135" s="115" t="s">
        <v>89</v>
      </c>
      <c r="AL135" s="114">
        <v>169</v>
      </c>
      <c r="AM135" s="112">
        <v>18</v>
      </c>
      <c r="AN135" s="112">
        <f t="shared" si="53"/>
        <v>3042</v>
      </c>
      <c r="AO135" s="112"/>
      <c r="AP135" s="112"/>
      <c r="AQ135" s="112">
        <f t="shared" si="54"/>
        <v>0</v>
      </c>
      <c r="AR135" s="112">
        <f t="shared" si="55"/>
        <v>3042</v>
      </c>
      <c r="AS135" s="112"/>
      <c r="AT135" s="110" t="s">
        <v>373</v>
      </c>
      <c r="AU135" s="111">
        <v>46146</v>
      </c>
      <c r="AV135" s="112">
        <f t="shared" si="56"/>
        <v>18</v>
      </c>
      <c r="AW135" s="112">
        <f t="shared" si="57"/>
        <v>3042</v>
      </c>
      <c r="AX135" s="112"/>
      <c r="AY135" s="114" t="s">
        <v>374</v>
      </c>
      <c r="AZ135" s="119">
        <v>46156</v>
      </c>
      <c r="BA135" s="112">
        <f t="shared" si="58"/>
        <v>18</v>
      </c>
      <c r="BB135" s="112">
        <f t="shared" si="59"/>
        <v>169</v>
      </c>
      <c r="BC135" s="112">
        <f t="shared" si="60"/>
        <v>3042</v>
      </c>
      <c r="BD135" s="112"/>
      <c r="BE135" s="112" t="s">
        <v>300</v>
      </c>
      <c r="BF135" s="113" t="s">
        <v>482</v>
      </c>
      <c r="BG135" s="120" t="s">
        <v>93</v>
      </c>
      <c r="BH135" s="120" t="s">
        <v>145</v>
      </c>
    </row>
    <row r="136" spans="1:60" s="120" customFormat="1" ht="15" customHeight="1">
      <c r="A136" s="112">
        <f t="shared" si="61"/>
        <v>134</v>
      </c>
      <c r="B136" s="113" t="s">
        <v>484</v>
      </c>
      <c r="C136" s="114" t="s">
        <v>483</v>
      </c>
      <c r="D136" s="122"/>
      <c r="E136" s="114" t="s">
        <v>485</v>
      </c>
      <c r="F136" s="112"/>
      <c r="G136" s="115" t="s">
        <v>81</v>
      </c>
      <c r="H136" s="112" t="s">
        <v>82</v>
      </c>
      <c r="I136" s="114" t="s">
        <v>83</v>
      </c>
      <c r="J136" s="114" t="s">
        <v>84</v>
      </c>
      <c r="K136" s="114" t="s">
        <v>83</v>
      </c>
      <c r="L136" s="113" t="s">
        <v>371</v>
      </c>
      <c r="M136" s="113" t="s">
        <v>371</v>
      </c>
      <c r="N136" s="116">
        <v>46112</v>
      </c>
      <c r="O136" s="114">
        <v>90</v>
      </c>
      <c r="P136" s="116">
        <v>46114</v>
      </c>
      <c r="Q136" s="116">
        <v>46147</v>
      </c>
      <c r="R136" s="116">
        <v>46114</v>
      </c>
      <c r="S136" s="112"/>
      <c r="T136" s="112"/>
      <c r="U136" s="112" t="s">
        <v>85</v>
      </c>
      <c r="V136" s="114" t="s">
        <v>99</v>
      </c>
      <c r="W136" s="114">
        <v>90</v>
      </c>
      <c r="X136" s="114">
        <v>90</v>
      </c>
      <c r="Y136" s="112"/>
      <c r="Z136" s="112" t="s">
        <v>87</v>
      </c>
      <c r="AA136" s="112"/>
      <c r="AB136" s="117"/>
      <c r="AC136" s="118">
        <v>25.5</v>
      </c>
      <c r="AD136" s="112"/>
      <c r="AE136" s="114">
        <v>90</v>
      </c>
      <c r="AF136" s="112" t="s">
        <v>88</v>
      </c>
      <c r="AG136" s="114" t="s">
        <v>99</v>
      </c>
      <c r="AH136" s="118">
        <v>12.5</v>
      </c>
      <c r="AI136" s="112">
        <f t="shared" si="52"/>
        <v>1125</v>
      </c>
      <c r="AJ136" s="112"/>
      <c r="AK136" s="115" t="s">
        <v>89</v>
      </c>
      <c r="AL136" s="114">
        <v>90</v>
      </c>
      <c r="AM136" s="112">
        <v>18</v>
      </c>
      <c r="AN136" s="112">
        <f t="shared" si="53"/>
        <v>1620</v>
      </c>
      <c r="AO136" s="112"/>
      <c r="AP136" s="112"/>
      <c r="AQ136" s="112">
        <f t="shared" si="54"/>
        <v>0</v>
      </c>
      <c r="AR136" s="112">
        <f t="shared" si="55"/>
        <v>1620</v>
      </c>
      <c r="AS136" s="112"/>
      <c r="AT136" s="110" t="s">
        <v>373</v>
      </c>
      <c r="AU136" s="111">
        <v>46146</v>
      </c>
      <c r="AV136" s="112">
        <f t="shared" si="56"/>
        <v>18</v>
      </c>
      <c r="AW136" s="112">
        <f t="shared" si="57"/>
        <v>1620</v>
      </c>
      <c r="AX136" s="112"/>
      <c r="AY136" s="114" t="s">
        <v>374</v>
      </c>
      <c r="AZ136" s="119">
        <v>46156</v>
      </c>
      <c r="BA136" s="112">
        <f t="shared" si="58"/>
        <v>18</v>
      </c>
      <c r="BB136" s="112">
        <f t="shared" si="59"/>
        <v>90</v>
      </c>
      <c r="BC136" s="112">
        <f t="shared" si="60"/>
        <v>1620</v>
      </c>
      <c r="BD136" s="112"/>
      <c r="BE136" s="112" t="s">
        <v>303</v>
      </c>
      <c r="BF136" s="113" t="s">
        <v>484</v>
      </c>
      <c r="BG136" s="120" t="s">
        <v>93</v>
      </c>
      <c r="BH136" s="120" t="s">
        <v>145</v>
      </c>
    </row>
    <row r="137" spans="1:60" s="120" customFormat="1" ht="15" customHeight="1">
      <c r="A137" s="112">
        <f t="shared" si="61"/>
        <v>135</v>
      </c>
      <c r="B137" s="113" t="s">
        <v>486</v>
      </c>
      <c r="C137" s="114" t="s">
        <v>487</v>
      </c>
      <c r="D137" s="122"/>
      <c r="E137" s="114" t="s">
        <v>488</v>
      </c>
      <c r="F137" s="112"/>
      <c r="G137" s="115" t="s">
        <v>81</v>
      </c>
      <c r="H137" s="112" t="s">
        <v>82</v>
      </c>
      <c r="I137" s="114" t="s">
        <v>83</v>
      </c>
      <c r="J137" s="114" t="s">
        <v>84</v>
      </c>
      <c r="K137" s="114" t="s">
        <v>83</v>
      </c>
      <c r="L137" s="113" t="s">
        <v>371</v>
      </c>
      <c r="M137" s="113" t="s">
        <v>371</v>
      </c>
      <c r="N137" s="116">
        <v>46112</v>
      </c>
      <c r="O137" s="114">
        <v>149</v>
      </c>
      <c r="P137" s="116">
        <v>46114</v>
      </c>
      <c r="Q137" s="116">
        <v>46147</v>
      </c>
      <c r="R137" s="116">
        <v>46114</v>
      </c>
      <c r="S137" s="112"/>
      <c r="T137" s="112"/>
      <c r="U137" s="112" t="s">
        <v>85</v>
      </c>
      <c r="V137" s="114" t="s">
        <v>99</v>
      </c>
      <c r="W137" s="114">
        <v>149</v>
      </c>
      <c r="X137" s="114">
        <v>149</v>
      </c>
      <c r="Y137" s="112"/>
      <c r="Z137" s="112" t="s">
        <v>87</v>
      </c>
      <c r="AA137" s="112"/>
      <c r="AB137" s="117"/>
      <c r="AC137" s="118">
        <v>25.5</v>
      </c>
      <c r="AD137" s="112"/>
      <c r="AE137" s="114">
        <v>149</v>
      </c>
      <c r="AF137" s="112" t="s">
        <v>88</v>
      </c>
      <c r="AG137" s="114" t="s">
        <v>99</v>
      </c>
      <c r="AH137" s="118">
        <v>12.5</v>
      </c>
      <c r="AI137" s="112">
        <f t="shared" si="52"/>
        <v>1862.5</v>
      </c>
      <c r="AJ137" s="112"/>
      <c r="AK137" s="115" t="s">
        <v>89</v>
      </c>
      <c r="AL137" s="114">
        <v>149</v>
      </c>
      <c r="AM137" s="112">
        <v>18</v>
      </c>
      <c r="AN137" s="112">
        <f t="shared" si="53"/>
        <v>2682</v>
      </c>
      <c r="AO137" s="112"/>
      <c r="AP137" s="112"/>
      <c r="AQ137" s="112">
        <f t="shared" si="54"/>
        <v>0</v>
      </c>
      <c r="AR137" s="112">
        <f t="shared" si="55"/>
        <v>2682</v>
      </c>
      <c r="AS137" s="112"/>
      <c r="AT137" s="110" t="s">
        <v>373</v>
      </c>
      <c r="AU137" s="111">
        <v>46146</v>
      </c>
      <c r="AV137" s="112">
        <f t="shared" si="56"/>
        <v>18</v>
      </c>
      <c r="AW137" s="112">
        <f t="shared" si="57"/>
        <v>2682</v>
      </c>
      <c r="AX137" s="112"/>
      <c r="AY137" s="114" t="s">
        <v>374</v>
      </c>
      <c r="AZ137" s="119">
        <v>46156</v>
      </c>
      <c r="BA137" s="112">
        <f t="shared" si="58"/>
        <v>18</v>
      </c>
      <c r="BB137" s="112">
        <f t="shared" si="59"/>
        <v>149</v>
      </c>
      <c r="BC137" s="112">
        <f t="shared" si="60"/>
        <v>2682</v>
      </c>
      <c r="BD137" s="112"/>
      <c r="BE137" s="112" t="s">
        <v>307</v>
      </c>
      <c r="BF137" s="113" t="s">
        <v>486</v>
      </c>
      <c r="BG137" s="120" t="s">
        <v>93</v>
      </c>
      <c r="BH137" s="120" t="s">
        <v>145</v>
      </c>
    </row>
    <row r="138" spans="1:60" s="120" customFormat="1" ht="15" customHeight="1">
      <c r="A138" s="112">
        <f t="shared" si="61"/>
        <v>136</v>
      </c>
      <c r="B138" s="113" t="s">
        <v>489</v>
      </c>
      <c r="C138" s="114" t="s">
        <v>487</v>
      </c>
      <c r="D138" s="122"/>
      <c r="E138" s="114" t="s">
        <v>490</v>
      </c>
      <c r="F138" s="112"/>
      <c r="G138" s="115" t="s">
        <v>81</v>
      </c>
      <c r="H138" s="112" t="s">
        <v>82</v>
      </c>
      <c r="I138" s="114" t="s">
        <v>83</v>
      </c>
      <c r="J138" s="114" t="s">
        <v>84</v>
      </c>
      <c r="K138" s="114" t="s">
        <v>83</v>
      </c>
      <c r="L138" s="113" t="s">
        <v>371</v>
      </c>
      <c r="M138" s="113" t="s">
        <v>371</v>
      </c>
      <c r="N138" s="116">
        <v>46112</v>
      </c>
      <c r="O138" s="114">
        <v>11</v>
      </c>
      <c r="P138" s="116">
        <v>46114</v>
      </c>
      <c r="Q138" s="116">
        <v>46147</v>
      </c>
      <c r="R138" s="116">
        <v>46114</v>
      </c>
      <c r="S138" s="112"/>
      <c r="T138" s="112"/>
      <c r="U138" s="112" t="s">
        <v>85</v>
      </c>
      <c r="V138" s="114" t="s">
        <v>99</v>
      </c>
      <c r="W138" s="114">
        <v>11</v>
      </c>
      <c r="X138" s="114">
        <v>10</v>
      </c>
      <c r="Y138" s="112"/>
      <c r="Z138" s="112" t="s">
        <v>87</v>
      </c>
      <c r="AA138" s="112"/>
      <c r="AB138" s="117"/>
      <c r="AC138" s="118">
        <v>25.5</v>
      </c>
      <c r="AD138" s="112"/>
      <c r="AE138" s="114">
        <v>11</v>
      </c>
      <c r="AF138" s="112" t="s">
        <v>88</v>
      </c>
      <c r="AG138" s="114" t="s">
        <v>99</v>
      </c>
      <c r="AH138" s="118">
        <v>12.5</v>
      </c>
      <c r="AI138" s="112">
        <f t="shared" si="52"/>
        <v>137.5</v>
      </c>
      <c r="AJ138" s="112"/>
      <c r="AK138" s="115" t="s">
        <v>89</v>
      </c>
      <c r="AL138" s="114">
        <v>10</v>
      </c>
      <c r="AM138" s="112">
        <v>18</v>
      </c>
      <c r="AN138" s="112">
        <f t="shared" si="53"/>
        <v>180</v>
      </c>
      <c r="AO138" s="112"/>
      <c r="AP138" s="112"/>
      <c r="AQ138" s="112">
        <f t="shared" si="54"/>
        <v>0</v>
      </c>
      <c r="AR138" s="112">
        <f t="shared" si="55"/>
        <v>180</v>
      </c>
      <c r="AS138" s="112"/>
      <c r="AT138" s="110" t="s">
        <v>373</v>
      </c>
      <c r="AU138" s="111">
        <v>46146</v>
      </c>
      <c r="AV138" s="112">
        <f t="shared" si="56"/>
        <v>18</v>
      </c>
      <c r="AW138" s="112">
        <f t="shared" si="57"/>
        <v>180</v>
      </c>
      <c r="AX138" s="112"/>
      <c r="AY138" s="114" t="s">
        <v>374</v>
      </c>
      <c r="AZ138" s="119">
        <v>46156</v>
      </c>
      <c r="BA138" s="112">
        <f t="shared" si="58"/>
        <v>18</v>
      </c>
      <c r="BB138" s="112">
        <f t="shared" si="59"/>
        <v>10</v>
      </c>
      <c r="BC138" s="112">
        <f t="shared" si="60"/>
        <v>180</v>
      </c>
      <c r="BD138" s="112"/>
      <c r="BE138" s="112" t="s">
        <v>310</v>
      </c>
      <c r="BF138" s="113" t="s">
        <v>489</v>
      </c>
      <c r="BG138" s="120" t="s">
        <v>93</v>
      </c>
      <c r="BH138" s="120" t="s">
        <v>145</v>
      </c>
    </row>
    <row r="139" spans="1:60" s="120" customFormat="1" ht="15" customHeight="1">
      <c r="A139" s="112">
        <f t="shared" si="61"/>
        <v>137</v>
      </c>
      <c r="B139" s="113" t="s">
        <v>491</v>
      </c>
      <c r="C139" s="114" t="s">
        <v>487</v>
      </c>
      <c r="D139" s="122"/>
      <c r="E139" s="114" t="s">
        <v>492</v>
      </c>
      <c r="F139" s="112"/>
      <c r="G139" s="115" t="s">
        <v>81</v>
      </c>
      <c r="H139" s="112" t="s">
        <v>82</v>
      </c>
      <c r="I139" s="114" t="s">
        <v>83</v>
      </c>
      <c r="J139" s="114" t="s">
        <v>84</v>
      </c>
      <c r="K139" s="114" t="s">
        <v>83</v>
      </c>
      <c r="L139" s="113" t="s">
        <v>371</v>
      </c>
      <c r="M139" s="113" t="s">
        <v>371</v>
      </c>
      <c r="N139" s="116">
        <v>46112</v>
      </c>
      <c r="O139" s="114">
        <v>113</v>
      </c>
      <c r="P139" s="116">
        <v>46114</v>
      </c>
      <c r="Q139" s="116">
        <v>46147</v>
      </c>
      <c r="R139" s="116">
        <v>46114</v>
      </c>
      <c r="S139" s="112"/>
      <c r="T139" s="112"/>
      <c r="U139" s="112" t="s">
        <v>85</v>
      </c>
      <c r="V139" s="114" t="s">
        <v>99</v>
      </c>
      <c r="W139" s="114">
        <v>113</v>
      </c>
      <c r="X139" s="114">
        <v>113</v>
      </c>
      <c r="Y139" s="112"/>
      <c r="Z139" s="112" t="s">
        <v>87</v>
      </c>
      <c r="AA139" s="112"/>
      <c r="AB139" s="117"/>
      <c r="AC139" s="118">
        <v>25.5</v>
      </c>
      <c r="AD139" s="112"/>
      <c r="AE139" s="114">
        <v>113</v>
      </c>
      <c r="AF139" s="112" t="s">
        <v>88</v>
      </c>
      <c r="AG139" s="114" t="s">
        <v>99</v>
      </c>
      <c r="AH139" s="118">
        <v>12.5</v>
      </c>
      <c r="AI139" s="112">
        <f t="shared" si="52"/>
        <v>1412.5</v>
      </c>
      <c r="AJ139" s="112"/>
      <c r="AK139" s="115" t="s">
        <v>89</v>
      </c>
      <c r="AL139" s="114">
        <v>113</v>
      </c>
      <c r="AM139" s="112">
        <v>18</v>
      </c>
      <c r="AN139" s="112">
        <f t="shared" si="53"/>
        <v>2034</v>
      </c>
      <c r="AO139" s="112"/>
      <c r="AP139" s="112"/>
      <c r="AQ139" s="112">
        <f t="shared" si="54"/>
        <v>0</v>
      </c>
      <c r="AR139" s="112">
        <f t="shared" si="55"/>
        <v>2034</v>
      </c>
      <c r="AS139" s="112"/>
      <c r="AT139" s="110" t="s">
        <v>373</v>
      </c>
      <c r="AU139" s="111">
        <v>46146</v>
      </c>
      <c r="AV139" s="112">
        <f t="shared" si="56"/>
        <v>18</v>
      </c>
      <c r="AW139" s="112">
        <f t="shared" si="57"/>
        <v>2034</v>
      </c>
      <c r="AX139" s="112"/>
      <c r="AY139" s="114" t="s">
        <v>374</v>
      </c>
      <c r="AZ139" s="119">
        <v>46156</v>
      </c>
      <c r="BA139" s="112">
        <f t="shared" si="58"/>
        <v>18</v>
      </c>
      <c r="BB139" s="112">
        <f t="shared" si="59"/>
        <v>113</v>
      </c>
      <c r="BC139" s="112">
        <f t="shared" si="60"/>
        <v>2034</v>
      </c>
      <c r="BD139" s="112"/>
      <c r="BE139" s="112" t="s">
        <v>313</v>
      </c>
      <c r="BF139" s="113" t="s">
        <v>491</v>
      </c>
      <c r="BG139" s="120" t="s">
        <v>93</v>
      </c>
      <c r="BH139" s="120" t="s">
        <v>145</v>
      </c>
    </row>
    <row r="140" spans="1:60" s="120" customFormat="1" ht="15" customHeight="1">
      <c r="A140" s="112">
        <f t="shared" si="61"/>
        <v>138</v>
      </c>
      <c r="B140" s="113" t="s">
        <v>493</v>
      </c>
      <c r="C140" s="114" t="s">
        <v>494</v>
      </c>
      <c r="D140" s="122"/>
      <c r="E140" s="114" t="s">
        <v>495</v>
      </c>
      <c r="F140" s="112"/>
      <c r="G140" s="115" t="s">
        <v>81</v>
      </c>
      <c r="H140" s="112" t="s">
        <v>82</v>
      </c>
      <c r="I140" s="114" t="s">
        <v>83</v>
      </c>
      <c r="J140" s="114" t="s">
        <v>84</v>
      </c>
      <c r="K140" s="114" t="s">
        <v>83</v>
      </c>
      <c r="L140" s="113" t="s">
        <v>371</v>
      </c>
      <c r="M140" s="113" t="s">
        <v>371</v>
      </c>
      <c r="N140" s="116">
        <v>46112</v>
      </c>
      <c r="O140" s="114">
        <v>11</v>
      </c>
      <c r="P140" s="116">
        <v>46114</v>
      </c>
      <c r="Q140" s="116">
        <v>46147</v>
      </c>
      <c r="R140" s="116">
        <v>46114</v>
      </c>
      <c r="S140" s="112"/>
      <c r="T140" s="112"/>
      <c r="U140" s="112" t="s">
        <v>85</v>
      </c>
      <c r="V140" s="114" t="s">
        <v>99</v>
      </c>
      <c r="W140" s="114">
        <v>11</v>
      </c>
      <c r="X140" s="114">
        <v>10</v>
      </c>
      <c r="Y140" s="112"/>
      <c r="Z140" s="112" t="s">
        <v>87</v>
      </c>
      <c r="AA140" s="112"/>
      <c r="AB140" s="117"/>
      <c r="AC140" s="118">
        <v>25.5</v>
      </c>
      <c r="AD140" s="112"/>
      <c r="AE140" s="114">
        <v>11</v>
      </c>
      <c r="AF140" s="112" t="s">
        <v>88</v>
      </c>
      <c r="AG140" s="114" t="s">
        <v>99</v>
      </c>
      <c r="AH140" s="118">
        <v>12.5</v>
      </c>
      <c r="AI140" s="112">
        <f t="shared" si="52"/>
        <v>137.5</v>
      </c>
      <c r="AJ140" s="112"/>
      <c r="AK140" s="115" t="s">
        <v>89</v>
      </c>
      <c r="AL140" s="114">
        <v>10</v>
      </c>
      <c r="AM140" s="112">
        <v>18</v>
      </c>
      <c r="AN140" s="112">
        <f t="shared" si="53"/>
        <v>180</v>
      </c>
      <c r="AO140" s="112"/>
      <c r="AP140" s="112"/>
      <c r="AQ140" s="112">
        <f t="shared" si="54"/>
        <v>0</v>
      </c>
      <c r="AR140" s="112">
        <f t="shared" si="55"/>
        <v>180</v>
      </c>
      <c r="AS140" s="112"/>
      <c r="AT140" s="110" t="s">
        <v>373</v>
      </c>
      <c r="AU140" s="111">
        <v>46146</v>
      </c>
      <c r="AV140" s="112">
        <f t="shared" si="56"/>
        <v>18</v>
      </c>
      <c r="AW140" s="112">
        <f t="shared" si="57"/>
        <v>180</v>
      </c>
      <c r="AX140" s="112"/>
      <c r="AY140" s="114" t="s">
        <v>374</v>
      </c>
      <c r="AZ140" s="119">
        <v>46156</v>
      </c>
      <c r="BA140" s="112">
        <f t="shared" si="58"/>
        <v>18</v>
      </c>
      <c r="BB140" s="112">
        <f t="shared" si="59"/>
        <v>10</v>
      </c>
      <c r="BC140" s="112">
        <f t="shared" si="60"/>
        <v>180</v>
      </c>
      <c r="BD140" s="112"/>
      <c r="BE140" s="112" t="s">
        <v>317</v>
      </c>
      <c r="BF140" s="113" t="s">
        <v>493</v>
      </c>
      <c r="BG140" s="120" t="s">
        <v>93</v>
      </c>
      <c r="BH140" s="120" t="s">
        <v>145</v>
      </c>
    </row>
    <row r="141" spans="1:60" s="120" customFormat="1" ht="15" customHeight="1">
      <c r="A141" s="112">
        <f t="shared" si="61"/>
        <v>139</v>
      </c>
      <c r="B141" s="113" t="s">
        <v>496</v>
      </c>
      <c r="C141" s="114" t="s">
        <v>494</v>
      </c>
      <c r="D141" s="122"/>
      <c r="E141" s="114" t="s">
        <v>497</v>
      </c>
      <c r="F141" s="112"/>
      <c r="G141" s="115" t="s">
        <v>81</v>
      </c>
      <c r="H141" s="112" t="s">
        <v>82</v>
      </c>
      <c r="I141" s="114" t="s">
        <v>83</v>
      </c>
      <c r="J141" s="114" t="s">
        <v>84</v>
      </c>
      <c r="K141" s="114" t="s">
        <v>83</v>
      </c>
      <c r="L141" s="113" t="s">
        <v>371</v>
      </c>
      <c r="M141" s="113" t="s">
        <v>371</v>
      </c>
      <c r="N141" s="116">
        <v>46112</v>
      </c>
      <c r="O141" s="114">
        <v>97</v>
      </c>
      <c r="P141" s="116">
        <v>46114</v>
      </c>
      <c r="Q141" s="116">
        <v>46147</v>
      </c>
      <c r="R141" s="116">
        <v>46114</v>
      </c>
      <c r="S141" s="112"/>
      <c r="T141" s="112"/>
      <c r="U141" s="112" t="s">
        <v>85</v>
      </c>
      <c r="V141" s="114" t="s">
        <v>99</v>
      </c>
      <c r="W141" s="114">
        <v>97</v>
      </c>
      <c r="X141" s="114">
        <v>97</v>
      </c>
      <c r="Y141" s="112"/>
      <c r="Z141" s="112" t="s">
        <v>87</v>
      </c>
      <c r="AA141" s="112"/>
      <c r="AB141" s="117"/>
      <c r="AC141" s="118">
        <v>25.5</v>
      </c>
      <c r="AD141" s="112"/>
      <c r="AE141" s="114">
        <v>97</v>
      </c>
      <c r="AF141" s="112" t="s">
        <v>88</v>
      </c>
      <c r="AG141" s="114" t="s">
        <v>99</v>
      </c>
      <c r="AH141" s="118">
        <v>12.5</v>
      </c>
      <c r="AI141" s="112">
        <f t="shared" si="52"/>
        <v>1212.5</v>
      </c>
      <c r="AJ141" s="112"/>
      <c r="AK141" s="115" t="s">
        <v>89</v>
      </c>
      <c r="AL141" s="114">
        <v>97</v>
      </c>
      <c r="AM141" s="112">
        <v>18</v>
      </c>
      <c r="AN141" s="112">
        <f t="shared" si="53"/>
        <v>1746</v>
      </c>
      <c r="AO141" s="112"/>
      <c r="AP141" s="112"/>
      <c r="AQ141" s="112">
        <f t="shared" si="54"/>
        <v>0</v>
      </c>
      <c r="AR141" s="112">
        <f t="shared" si="55"/>
        <v>1746</v>
      </c>
      <c r="AS141" s="112"/>
      <c r="AT141" s="110" t="s">
        <v>373</v>
      </c>
      <c r="AU141" s="111">
        <v>46146</v>
      </c>
      <c r="AV141" s="112">
        <f t="shared" si="56"/>
        <v>18</v>
      </c>
      <c r="AW141" s="112">
        <f t="shared" si="57"/>
        <v>1746</v>
      </c>
      <c r="AX141" s="112"/>
      <c r="AY141" s="114" t="s">
        <v>374</v>
      </c>
      <c r="AZ141" s="119">
        <v>46156</v>
      </c>
      <c r="BA141" s="112">
        <f t="shared" si="58"/>
        <v>18</v>
      </c>
      <c r="BB141" s="112">
        <f t="shared" si="59"/>
        <v>97</v>
      </c>
      <c r="BC141" s="112">
        <f t="shared" si="60"/>
        <v>1746</v>
      </c>
      <c r="BD141" s="112"/>
      <c r="BE141" s="112" t="s">
        <v>320</v>
      </c>
      <c r="BF141" s="113" t="s">
        <v>496</v>
      </c>
      <c r="BG141" s="120" t="s">
        <v>93</v>
      </c>
      <c r="BH141" s="120" t="s">
        <v>145</v>
      </c>
    </row>
    <row r="142" spans="1:60" s="120" customFormat="1" ht="15" customHeight="1">
      <c r="A142" s="112">
        <f t="shared" si="61"/>
        <v>140</v>
      </c>
      <c r="B142" s="113" t="s">
        <v>498</v>
      </c>
      <c r="C142" s="114" t="s">
        <v>499</v>
      </c>
      <c r="D142" s="122"/>
      <c r="E142" s="114" t="s">
        <v>500</v>
      </c>
      <c r="F142" s="112"/>
      <c r="G142" s="115" t="s">
        <v>81</v>
      </c>
      <c r="H142" s="112" t="s">
        <v>82</v>
      </c>
      <c r="I142" s="114" t="s">
        <v>83</v>
      </c>
      <c r="J142" s="114" t="s">
        <v>84</v>
      </c>
      <c r="K142" s="114" t="s">
        <v>83</v>
      </c>
      <c r="L142" s="113" t="s">
        <v>371</v>
      </c>
      <c r="M142" s="113" t="s">
        <v>371</v>
      </c>
      <c r="N142" s="116">
        <v>46112</v>
      </c>
      <c r="O142" s="114">
        <v>55</v>
      </c>
      <c r="P142" s="116">
        <v>46114</v>
      </c>
      <c r="Q142" s="116">
        <v>46147</v>
      </c>
      <c r="R142" s="116">
        <v>46114</v>
      </c>
      <c r="S142" s="112"/>
      <c r="T142" s="112"/>
      <c r="U142" s="112" t="s">
        <v>85</v>
      </c>
      <c r="V142" s="114" t="s">
        <v>99</v>
      </c>
      <c r="W142" s="114">
        <v>55</v>
      </c>
      <c r="X142" s="114">
        <v>55</v>
      </c>
      <c r="Y142" s="112"/>
      <c r="Z142" s="112" t="s">
        <v>87</v>
      </c>
      <c r="AA142" s="112"/>
      <c r="AB142" s="117"/>
      <c r="AC142" s="118">
        <v>25.5</v>
      </c>
      <c r="AD142" s="112"/>
      <c r="AE142" s="114">
        <v>55</v>
      </c>
      <c r="AF142" s="112" t="s">
        <v>88</v>
      </c>
      <c r="AG142" s="114" t="s">
        <v>99</v>
      </c>
      <c r="AH142" s="118">
        <v>12.5</v>
      </c>
      <c r="AI142" s="112">
        <f t="shared" si="52"/>
        <v>687.5</v>
      </c>
      <c r="AJ142" s="112"/>
      <c r="AK142" s="115" t="s">
        <v>89</v>
      </c>
      <c r="AL142" s="114">
        <v>55</v>
      </c>
      <c r="AM142" s="112">
        <v>18</v>
      </c>
      <c r="AN142" s="112">
        <f t="shared" si="53"/>
        <v>990</v>
      </c>
      <c r="AO142" s="112"/>
      <c r="AP142" s="112"/>
      <c r="AQ142" s="112">
        <f t="shared" si="54"/>
        <v>0</v>
      </c>
      <c r="AR142" s="112">
        <f t="shared" si="55"/>
        <v>990</v>
      </c>
      <c r="AS142" s="112"/>
      <c r="AT142" s="110" t="s">
        <v>373</v>
      </c>
      <c r="AU142" s="111">
        <v>46146</v>
      </c>
      <c r="AV142" s="112">
        <f t="shared" si="56"/>
        <v>18</v>
      </c>
      <c r="AW142" s="112">
        <f t="shared" si="57"/>
        <v>990</v>
      </c>
      <c r="AX142" s="112"/>
      <c r="AY142" s="114" t="s">
        <v>374</v>
      </c>
      <c r="AZ142" s="119">
        <v>46156</v>
      </c>
      <c r="BA142" s="112">
        <f t="shared" si="58"/>
        <v>18</v>
      </c>
      <c r="BB142" s="112">
        <f t="shared" si="59"/>
        <v>55</v>
      </c>
      <c r="BC142" s="112">
        <f t="shared" si="60"/>
        <v>990</v>
      </c>
      <c r="BD142" s="112"/>
      <c r="BE142" s="112" t="s">
        <v>323</v>
      </c>
      <c r="BF142" s="113" t="s">
        <v>498</v>
      </c>
      <c r="BG142" s="120" t="s">
        <v>93</v>
      </c>
      <c r="BH142" s="120" t="s">
        <v>145</v>
      </c>
    </row>
    <row r="143" spans="1:60" s="120" customFormat="1" ht="15" customHeight="1">
      <c r="A143" s="112">
        <f t="shared" si="61"/>
        <v>141</v>
      </c>
      <c r="B143" s="113" t="s">
        <v>501</v>
      </c>
      <c r="C143" s="114" t="s">
        <v>384</v>
      </c>
      <c r="D143" s="122"/>
      <c r="E143" s="114" t="s">
        <v>502</v>
      </c>
      <c r="F143" s="112"/>
      <c r="G143" s="115" t="s">
        <v>81</v>
      </c>
      <c r="H143" s="112" t="s">
        <v>82</v>
      </c>
      <c r="I143" s="114" t="s">
        <v>83</v>
      </c>
      <c r="J143" s="114" t="s">
        <v>84</v>
      </c>
      <c r="K143" s="114" t="s">
        <v>83</v>
      </c>
      <c r="L143" s="113" t="s">
        <v>371</v>
      </c>
      <c r="M143" s="113" t="s">
        <v>371</v>
      </c>
      <c r="N143" s="116">
        <v>46112</v>
      </c>
      <c r="O143" s="114">
        <v>11</v>
      </c>
      <c r="P143" s="116">
        <v>46114</v>
      </c>
      <c r="Q143" s="116">
        <v>46147</v>
      </c>
      <c r="R143" s="116">
        <v>46114</v>
      </c>
      <c r="S143" s="112"/>
      <c r="T143" s="112"/>
      <c r="U143" s="112" t="s">
        <v>85</v>
      </c>
      <c r="V143" s="114" t="s">
        <v>99</v>
      </c>
      <c r="W143" s="114">
        <v>11</v>
      </c>
      <c r="X143" s="114">
        <v>10</v>
      </c>
      <c r="Y143" s="112"/>
      <c r="Z143" s="112" t="s">
        <v>87</v>
      </c>
      <c r="AA143" s="112"/>
      <c r="AB143" s="117"/>
      <c r="AC143" s="118">
        <v>25.5</v>
      </c>
      <c r="AD143" s="112"/>
      <c r="AE143" s="114">
        <v>11</v>
      </c>
      <c r="AF143" s="112" t="s">
        <v>88</v>
      </c>
      <c r="AG143" s="114" t="s">
        <v>99</v>
      </c>
      <c r="AH143" s="118">
        <v>12.5</v>
      </c>
      <c r="AI143" s="112">
        <f t="shared" si="52"/>
        <v>137.5</v>
      </c>
      <c r="AJ143" s="112"/>
      <c r="AK143" s="115" t="s">
        <v>89</v>
      </c>
      <c r="AL143" s="114">
        <v>10</v>
      </c>
      <c r="AM143" s="112">
        <v>18</v>
      </c>
      <c r="AN143" s="112">
        <f t="shared" si="53"/>
        <v>180</v>
      </c>
      <c r="AO143" s="112"/>
      <c r="AP143" s="112"/>
      <c r="AQ143" s="112">
        <f t="shared" si="54"/>
        <v>0</v>
      </c>
      <c r="AR143" s="112">
        <f t="shared" si="55"/>
        <v>180</v>
      </c>
      <c r="AS143" s="112"/>
      <c r="AT143" s="110" t="s">
        <v>373</v>
      </c>
      <c r="AU143" s="111">
        <v>46146</v>
      </c>
      <c r="AV143" s="112">
        <f t="shared" si="56"/>
        <v>18</v>
      </c>
      <c r="AW143" s="112">
        <f t="shared" si="57"/>
        <v>180</v>
      </c>
      <c r="AX143" s="112"/>
      <c r="AY143" s="114" t="s">
        <v>374</v>
      </c>
      <c r="AZ143" s="119">
        <v>46156</v>
      </c>
      <c r="BA143" s="112">
        <f t="shared" si="58"/>
        <v>18</v>
      </c>
      <c r="BB143" s="112">
        <f t="shared" si="59"/>
        <v>10</v>
      </c>
      <c r="BC143" s="112">
        <f t="shared" si="60"/>
        <v>180</v>
      </c>
      <c r="BD143" s="112"/>
      <c r="BE143" s="112" t="s">
        <v>327</v>
      </c>
      <c r="BF143" s="113" t="s">
        <v>501</v>
      </c>
      <c r="BG143" s="120" t="s">
        <v>93</v>
      </c>
      <c r="BH143" s="120" t="s">
        <v>145</v>
      </c>
    </row>
    <row r="144" spans="1:60" s="120" customFormat="1" ht="15" customHeight="1">
      <c r="A144" s="112">
        <f t="shared" si="61"/>
        <v>142</v>
      </c>
      <c r="B144" s="113" t="s">
        <v>503</v>
      </c>
      <c r="C144" s="114" t="s">
        <v>384</v>
      </c>
      <c r="D144" s="122"/>
      <c r="E144" s="114" t="s">
        <v>504</v>
      </c>
      <c r="F144" s="112"/>
      <c r="G144" s="115" t="s">
        <v>81</v>
      </c>
      <c r="H144" s="112" t="s">
        <v>82</v>
      </c>
      <c r="I144" s="114" t="s">
        <v>83</v>
      </c>
      <c r="J144" s="114" t="s">
        <v>84</v>
      </c>
      <c r="K144" s="114" t="s">
        <v>83</v>
      </c>
      <c r="L144" s="113" t="s">
        <v>371</v>
      </c>
      <c r="M144" s="113" t="s">
        <v>371</v>
      </c>
      <c r="N144" s="116">
        <v>46112</v>
      </c>
      <c r="O144" s="114">
        <v>148</v>
      </c>
      <c r="P144" s="116">
        <v>46114</v>
      </c>
      <c r="Q144" s="116">
        <v>46147</v>
      </c>
      <c r="R144" s="116">
        <v>46114</v>
      </c>
      <c r="S144" s="112"/>
      <c r="T144" s="112"/>
      <c r="U144" s="112" t="s">
        <v>85</v>
      </c>
      <c r="V144" s="114" t="s">
        <v>99</v>
      </c>
      <c r="W144" s="114">
        <v>148</v>
      </c>
      <c r="X144" s="114">
        <v>148</v>
      </c>
      <c r="Y144" s="112"/>
      <c r="Z144" s="112" t="s">
        <v>87</v>
      </c>
      <c r="AA144" s="112"/>
      <c r="AB144" s="117"/>
      <c r="AC144" s="118">
        <v>25.5</v>
      </c>
      <c r="AD144" s="112"/>
      <c r="AE144" s="114">
        <v>148</v>
      </c>
      <c r="AF144" s="112" t="s">
        <v>88</v>
      </c>
      <c r="AG144" s="114" t="s">
        <v>99</v>
      </c>
      <c r="AH144" s="118">
        <v>12.5</v>
      </c>
      <c r="AI144" s="112">
        <f t="shared" si="52"/>
        <v>1850</v>
      </c>
      <c r="AJ144" s="112"/>
      <c r="AK144" s="115" t="s">
        <v>89</v>
      </c>
      <c r="AL144" s="114">
        <v>148</v>
      </c>
      <c r="AM144" s="112">
        <v>18</v>
      </c>
      <c r="AN144" s="112">
        <f t="shared" si="53"/>
        <v>2664</v>
      </c>
      <c r="AO144" s="112"/>
      <c r="AP144" s="112"/>
      <c r="AQ144" s="112">
        <f t="shared" si="54"/>
        <v>0</v>
      </c>
      <c r="AR144" s="112">
        <f t="shared" si="55"/>
        <v>2664</v>
      </c>
      <c r="AS144" s="112"/>
      <c r="AT144" s="110" t="s">
        <v>373</v>
      </c>
      <c r="AU144" s="111">
        <v>46146</v>
      </c>
      <c r="AV144" s="112">
        <f t="shared" si="56"/>
        <v>18</v>
      </c>
      <c r="AW144" s="112">
        <f t="shared" si="57"/>
        <v>2664</v>
      </c>
      <c r="AX144" s="112"/>
      <c r="AY144" s="114" t="s">
        <v>374</v>
      </c>
      <c r="AZ144" s="119">
        <v>46156</v>
      </c>
      <c r="BA144" s="112">
        <f t="shared" si="58"/>
        <v>18</v>
      </c>
      <c r="BB144" s="112">
        <f t="shared" si="59"/>
        <v>148</v>
      </c>
      <c r="BC144" s="112">
        <f t="shared" si="60"/>
        <v>2664</v>
      </c>
      <c r="BD144" s="112"/>
      <c r="BE144" s="112" t="s">
        <v>332</v>
      </c>
      <c r="BF144" s="113" t="s">
        <v>503</v>
      </c>
      <c r="BG144" s="120" t="s">
        <v>93</v>
      </c>
      <c r="BH144" s="120" t="s">
        <v>145</v>
      </c>
    </row>
    <row r="145" spans="1:60" s="120" customFormat="1" ht="15" customHeight="1">
      <c r="A145" s="112">
        <f t="shared" si="61"/>
        <v>143</v>
      </c>
      <c r="B145" s="113" t="s">
        <v>505</v>
      </c>
      <c r="C145" s="114" t="s">
        <v>506</v>
      </c>
      <c r="D145" s="122"/>
      <c r="E145" s="114" t="s">
        <v>507</v>
      </c>
      <c r="F145" s="112"/>
      <c r="G145" s="115" t="s">
        <v>81</v>
      </c>
      <c r="H145" s="112" t="s">
        <v>82</v>
      </c>
      <c r="I145" s="114" t="s">
        <v>83</v>
      </c>
      <c r="J145" s="114" t="s">
        <v>84</v>
      </c>
      <c r="K145" s="114" t="s">
        <v>83</v>
      </c>
      <c r="L145" s="113" t="s">
        <v>371</v>
      </c>
      <c r="M145" s="113" t="s">
        <v>371</v>
      </c>
      <c r="N145" s="116">
        <v>46112</v>
      </c>
      <c r="O145" s="114">
        <v>26</v>
      </c>
      <c r="P145" s="116">
        <v>46114</v>
      </c>
      <c r="Q145" s="116">
        <v>46147</v>
      </c>
      <c r="R145" s="116">
        <v>46114</v>
      </c>
      <c r="S145" s="112"/>
      <c r="T145" s="112"/>
      <c r="U145" s="112" t="s">
        <v>85</v>
      </c>
      <c r="V145" s="114" t="s">
        <v>99</v>
      </c>
      <c r="W145" s="114">
        <v>26</v>
      </c>
      <c r="X145" s="114">
        <v>26</v>
      </c>
      <c r="Y145" s="112"/>
      <c r="Z145" s="112" t="s">
        <v>87</v>
      </c>
      <c r="AA145" s="112"/>
      <c r="AB145" s="117"/>
      <c r="AC145" s="118">
        <v>25.5</v>
      </c>
      <c r="AD145" s="112"/>
      <c r="AE145" s="114">
        <v>26</v>
      </c>
      <c r="AF145" s="112" t="s">
        <v>88</v>
      </c>
      <c r="AG145" s="114" t="s">
        <v>99</v>
      </c>
      <c r="AH145" s="118">
        <v>12.5</v>
      </c>
      <c r="AI145" s="112">
        <f t="shared" si="52"/>
        <v>325</v>
      </c>
      <c r="AJ145" s="112"/>
      <c r="AK145" s="115" t="s">
        <v>89</v>
      </c>
      <c r="AL145" s="114">
        <v>26</v>
      </c>
      <c r="AM145" s="112">
        <v>18</v>
      </c>
      <c r="AN145" s="112">
        <f t="shared" si="53"/>
        <v>468</v>
      </c>
      <c r="AO145" s="112"/>
      <c r="AP145" s="112"/>
      <c r="AQ145" s="112">
        <f t="shared" si="54"/>
        <v>0</v>
      </c>
      <c r="AR145" s="112">
        <f t="shared" si="55"/>
        <v>468</v>
      </c>
      <c r="AS145" s="112"/>
      <c r="AT145" s="110" t="s">
        <v>373</v>
      </c>
      <c r="AU145" s="111">
        <v>46146</v>
      </c>
      <c r="AV145" s="112">
        <f t="shared" si="56"/>
        <v>18</v>
      </c>
      <c r="AW145" s="112">
        <f t="shared" si="57"/>
        <v>468</v>
      </c>
      <c r="AX145" s="112"/>
      <c r="AY145" s="114" t="s">
        <v>374</v>
      </c>
      <c r="AZ145" s="119">
        <v>46156</v>
      </c>
      <c r="BA145" s="112">
        <f t="shared" si="58"/>
        <v>18</v>
      </c>
      <c r="BB145" s="112">
        <f t="shared" si="59"/>
        <v>26</v>
      </c>
      <c r="BC145" s="112">
        <f t="shared" si="60"/>
        <v>468</v>
      </c>
      <c r="BD145" s="112"/>
      <c r="BE145" s="112" t="s">
        <v>336</v>
      </c>
      <c r="BF145" s="113" t="s">
        <v>505</v>
      </c>
      <c r="BG145" s="120" t="s">
        <v>93</v>
      </c>
      <c r="BH145" s="120" t="s">
        <v>145</v>
      </c>
    </row>
    <row r="146" spans="1:60" s="120" customFormat="1" ht="15" customHeight="1">
      <c r="A146" s="112">
        <f t="shared" si="61"/>
        <v>144</v>
      </c>
      <c r="B146" s="113" t="s">
        <v>508</v>
      </c>
      <c r="C146" s="114" t="s">
        <v>384</v>
      </c>
      <c r="D146" s="122"/>
      <c r="E146" s="114" t="s">
        <v>509</v>
      </c>
      <c r="F146" s="112"/>
      <c r="G146" s="115" t="s">
        <v>81</v>
      </c>
      <c r="H146" s="112" t="s">
        <v>82</v>
      </c>
      <c r="I146" s="114" t="s">
        <v>83</v>
      </c>
      <c r="J146" s="114" t="s">
        <v>84</v>
      </c>
      <c r="K146" s="114" t="s">
        <v>83</v>
      </c>
      <c r="L146" s="113" t="s">
        <v>371</v>
      </c>
      <c r="M146" s="113" t="s">
        <v>371</v>
      </c>
      <c r="N146" s="116">
        <v>46112</v>
      </c>
      <c r="O146" s="114">
        <v>42</v>
      </c>
      <c r="P146" s="116">
        <v>46114</v>
      </c>
      <c r="Q146" s="116">
        <v>46147</v>
      </c>
      <c r="R146" s="116">
        <v>46114</v>
      </c>
      <c r="S146" s="112"/>
      <c r="T146" s="112"/>
      <c r="U146" s="112" t="s">
        <v>85</v>
      </c>
      <c r="V146" s="114" t="s">
        <v>99</v>
      </c>
      <c r="W146" s="114">
        <v>42</v>
      </c>
      <c r="X146" s="114">
        <v>42</v>
      </c>
      <c r="Y146" s="112"/>
      <c r="Z146" s="112" t="s">
        <v>87</v>
      </c>
      <c r="AA146" s="112"/>
      <c r="AB146" s="117"/>
      <c r="AC146" s="118">
        <v>25.5</v>
      </c>
      <c r="AD146" s="112"/>
      <c r="AE146" s="114">
        <v>42</v>
      </c>
      <c r="AF146" s="112" t="s">
        <v>88</v>
      </c>
      <c r="AG146" s="114" t="s">
        <v>99</v>
      </c>
      <c r="AH146" s="118">
        <v>12.5</v>
      </c>
      <c r="AI146" s="112">
        <f t="shared" si="52"/>
        <v>525</v>
      </c>
      <c r="AJ146" s="112"/>
      <c r="AK146" s="115" t="s">
        <v>89</v>
      </c>
      <c r="AL146" s="114">
        <v>42</v>
      </c>
      <c r="AM146" s="112">
        <v>18</v>
      </c>
      <c r="AN146" s="112">
        <f t="shared" si="53"/>
        <v>756</v>
      </c>
      <c r="AO146" s="112"/>
      <c r="AP146" s="112"/>
      <c r="AQ146" s="112">
        <f t="shared" si="54"/>
        <v>0</v>
      </c>
      <c r="AR146" s="112">
        <f t="shared" si="55"/>
        <v>756</v>
      </c>
      <c r="AS146" s="112"/>
      <c r="AT146" s="110" t="s">
        <v>373</v>
      </c>
      <c r="AU146" s="111">
        <v>46146</v>
      </c>
      <c r="AV146" s="112">
        <f t="shared" si="56"/>
        <v>18</v>
      </c>
      <c r="AW146" s="112">
        <f t="shared" si="57"/>
        <v>756</v>
      </c>
      <c r="AX146" s="112"/>
      <c r="AY146" s="114" t="s">
        <v>374</v>
      </c>
      <c r="AZ146" s="119">
        <v>46156</v>
      </c>
      <c r="BA146" s="112">
        <f t="shared" si="58"/>
        <v>18</v>
      </c>
      <c r="BB146" s="112">
        <f t="shared" si="59"/>
        <v>42</v>
      </c>
      <c r="BC146" s="112">
        <f t="shared" si="60"/>
        <v>756</v>
      </c>
      <c r="BD146" s="112"/>
      <c r="BE146" s="112" t="s">
        <v>340</v>
      </c>
      <c r="BF146" s="113" t="s">
        <v>508</v>
      </c>
      <c r="BG146" s="120" t="s">
        <v>93</v>
      </c>
      <c r="BH146" s="120" t="s">
        <v>145</v>
      </c>
    </row>
    <row r="147" spans="1:60" s="120" customFormat="1" ht="15" customHeight="1">
      <c r="A147" s="112">
        <f t="shared" si="61"/>
        <v>145</v>
      </c>
      <c r="B147" s="113" t="s">
        <v>510</v>
      </c>
      <c r="C147" s="114" t="s">
        <v>384</v>
      </c>
      <c r="D147" s="122"/>
      <c r="E147" s="114" t="s">
        <v>511</v>
      </c>
      <c r="F147" s="112"/>
      <c r="G147" s="115" t="s">
        <v>81</v>
      </c>
      <c r="H147" s="112" t="s">
        <v>82</v>
      </c>
      <c r="I147" s="114" t="s">
        <v>83</v>
      </c>
      <c r="J147" s="114" t="s">
        <v>84</v>
      </c>
      <c r="K147" s="114" t="s">
        <v>83</v>
      </c>
      <c r="L147" s="113" t="s">
        <v>371</v>
      </c>
      <c r="M147" s="113" t="s">
        <v>371</v>
      </c>
      <c r="N147" s="116">
        <v>46112</v>
      </c>
      <c r="O147" s="114">
        <v>24</v>
      </c>
      <c r="P147" s="116">
        <v>46114</v>
      </c>
      <c r="Q147" s="116">
        <v>46147</v>
      </c>
      <c r="R147" s="116">
        <v>46114</v>
      </c>
      <c r="S147" s="112"/>
      <c r="T147" s="112"/>
      <c r="U147" s="112" t="s">
        <v>85</v>
      </c>
      <c r="V147" s="114" t="s">
        <v>99</v>
      </c>
      <c r="W147" s="114">
        <v>24</v>
      </c>
      <c r="X147" s="114">
        <v>24</v>
      </c>
      <c r="Y147" s="112"/>
      <c r="Z147" s="112" t="s">
        <v>87</v>
      </c>
      <c r="AA147" s="112"/>
      <c r="AB147" s="117"/>
      <c r="AC147" s="118">
        <v>25.5</v>
      </c>
      <c r="AD147" s="112"/>
      <c r="AE147" s="114">
        <v>24</v>
      </c>
      <c r="AF147" s="112" t="s">
        <v>88</v>
      </c>
      <c r="AG147" s="114" t="s">
        <v>99</v>
      </c>
      <c r="AH147" s="118">
        <v>12.5</v>
      </c>
      <c r="AI147" s="112">
        <f t="shared" si="52"/>
        <v>300</v>
      </c>
      <c r="AJ147" s="112"/>
      <c r="AK147" s="115" t="s">
        <v>89</v>
      </c>
      <c r="AL147" s="114">
        <v>24</v>
      </c>
      <c r="AM147" s="112">
        <v>18</v>
      </c>
      <c r="AN147" s="112">
        <f t="shared" si="53"/>
        <v>432</v>
      </c>
      <c r="AO147" s="112"/>
      <c r="AP147" s="112"/>
      <c r="AQ147" s="112">
        <f t="shared" si="54"/>
        <v>0</v>
      </c>
      <c r="AR147" s="112">
        <f t="shared" si="55"/>
        <v>432</v>
      </c>
      <c r="AS147" s="112"/>
      <c r="AT147" s="110" t="s">
        <v>373</v>
      </c>
      <c r="AU147" s="111">
        <v>46146</v>
      </c>
      <c r="AV147" s="112">
        <f t="shared" si="56"/>
        <v>18</v>
      </c>
      <c r="AW147" s="112">
        <f t="shared" si="57"/>
        <v>432</v>
      </c>
      <c r="AX147" s="112"/>
      <c r="AY147" s="114" t="s">
        <v>374</v>
      </c>
      <c r="AZ147" s="119">
        <v>46156</v>
      </c>
      <c r="BA147" s="112">
        <f t="shared" si="58"/>
        <v>18</v>
      </c>
      <c r="BB147" s="112">
        <f t="shared" si="59"/>
        <v>24</v>
      </c>
      <c r="BC147" s="112">
        <f t="shared" si="60"/>
        <v>432</v>
      </c>
      <c r="BD147" s="112"/>
      <c r="BE147" s="112" t="s">
        <v>343</v>
      </c>
      <c r="BF147" s="113" t="s">
        <v>510</v>
      </c>
      <c r="BG147" s="120" t="s">
        <v>93</v>
      </c>
      <c r="BH147" s="120" t="s">
        <v>145</v>
      </c>
    </row>
    <row r="148" spans="1:60" s="120" customFormat="1" ht="15" customHeight="1">
      <c r="A148" s="112">
        <f t="shared" si="61"/>
        <v>146</v>
      </c>
      <c r="B148" s="113" t="s">
        <v>512</v>
      </c>
      <c r="C148" s="114" t="s">
        <v>386</v>
      </c>
      <c r="D148" s="122"/>
      <c r="E148" s="114" t="s">
        <v>513</v>
      </c>
      <c r="F148" s="112"/>
      <c r="G148" s="115" t="s">
        <v>81</v>
      </c>
      <c r="H148" s="112" t="s">
        <v>82</v>
      </c>
      <c r="I148" s="114" t="s">
        <v>83</v>
      </c>
      <c r="J148" s="114" t="s">
        <v>84</v>
      </c>
      <c r="K148" s="114" t="s">
        <v>83</v>
      </c>
      <c r="L148" s="113" t="s">
        <v>371</v>
      </c>
      <c r="M148" s="113" t="s">
        <v>371</v>
      </c>
      <c r="N148" s="116">
        <v>46112</v>
      </c>
      <c r="O148" s="114">
        <v>11</v>
      </c>
      <c r="P148" s="116">
        <v>46114</v>
      </c>
      <c r="Q148" s="116">
        <v>46147</v>
      </c>
      <c r="R148" s="116">
        <v>46114</v>
      </c>
      <c r="S148" s="112"/>
      <c r="T148" s="112"/>
      <c r="U148" s="112" t="s">
        <v>85</v>
      </c>
      <c r="V148" s="114" t="s">
        <v>99</v>
      </c>
      <c r="W148" s="114">
        <v>11</v>
      </c>
      <c r="X148" s="114">
        <v>10</v>
      </c>
      <c r="Y148" s="112"/>
      <c r="Z148" s="112" t="s">
        <v>87</v>
      </c>
      <c r="AA148" s="112"/>
      <c r="AB148" s="117"/>
      <c r="AC148" s="118">
        <v>25.5</v>
      </c>
      <c r="AD148" s="112"/>
      <c r="AE148" s="114">
        <v>11</v>
      </c>
      <c r="AF148" s="112" t="s">
        <v>88</v>
      </c>
      <c r="AG148" s="114" t="s">
        <v>99</v>
      </c>
      <c r="AH148" s="118">
        <v>12.5</v>
      </c>
      <c r="AI148" s="112">
        <f t="shared" si="52"/>
        <v>137.5</v>
      </c>
      <c r="AJ148" s="112"/>
      <c r="AK148" s="115" t="s">
        <v>89</v>
      </c>
      <c r="AL148" s="114">
        <v>10</v>
      </c>
      <c r="AM148" s="112">
        <v>18</v>
      </c>
      <c r="AN148" s="112">
        <f t="shared" si="53"/>
        <v>180</v>
      </c>
      <c r="AO148" s="112"/>
      <c r="AP148" s="112"/>
      <c r="AQ148" s="112">
        <f t="shared" si="54"/>
        <v>0</v>
      </c>
      <c r="AR148" s="112">
        <f t="shared" si="55"/>
        <v>180</v>
      </c>
      <c r="AS148" s="112"/>
      <c r="AT148" s="110" t="s">
        <v>373</v>
      </c>
      <c r="AU148" s="111">
        <v>46146</v>
      </c>
      <c r="AV148" s="112">
        <f t="shared" si="56"/>
        <v>18</v>
      </c>
      <c r="AW148" s="112">
        <f t="shared" si="57"/>
        <v>180</v>
      </c>
      <c r="AX148" s="112"/>
      <c r="AY148" s="114" t="s">
        <v>374</v>
      </c>
      <c r="AZ148" s="119">
        <v>46156</v>
      </c>
      <c r="BA148" s="112">
        <f t="shared" si="58"/>
        <v>18</v>
      </c>
      <c r="BB148" s="112">
        <f t="shared" si="59"/>
        <v>10</v>
      </c>
      <c r="BC148" s="112">
        <f t="shared" si="60"/>
        <v>180</v>
      </c>
      <c r="BD148" s="112"/>
      <c r="BE148" s="112" t="s">
        <v>347</v>
      </c>
      <c r="BF148" s="113" t="s">
        <v>512</v>
      </c>
      <c r="BG148" s="120" t="s">
        <v>93</v>
      </c>
      <c r="BH148" s="120" t="s">
        <v>145</v>
      </c>
    </row>
    <row r="149" spans="1:60" s="120" customFormat="1" ht="15" customHeight="1">
      <c r="A149" s="112">
        <f t="shared" si="61"/>
        <v>147</v>
      </c>
      <c r="B149" s="113" t="s">
        <v>514</v>
      </c>
      <c r="C149" s="114" t="s">
        <v>386</v>
      </c>
      <c r="D149" s="122"/>
      <c r="E149" s="114" t="s">
        <v>515</v>
      </c>
      <c r="F149" s="112"/>
      <c r="G149" s="115" t="s">
        <v>81</v>
      </c>
      <c r="H149" s="112" t="s">
        <v>82</v>
      </c>
      <c r="I149" s="114" t="s">
        <v>83</v>
      </c>
      <c r="J149" s="114" t="s">
        <v>84</v>
      </c>
      <c r="K149" s="114" t="s">
        <v>83</v>
      </c>
      <c r="L149" s="113" t="s">
        <v>371</v>
      </c>
      <c r="M149" s="113" t="s">
        <v>371</v>
      </c>
      <c r="N149" s="116">
        <v>46112</v>
      </c>
      <c r="O149" s="114">
        <v>18</v>
      </c>
      <c r="P149" s="116">
        <v>46114</v>
      </c>
      <c r="Q149" s="116">
        <v>46147</v>
      </c>
      <c r="R149" s="116">
        <v>46114</v>
      </c>
      <c r="S149" s="112"/>
      <c r="T149" s="112"/>
      <c r="U149" s="112" t="s">
        <v>85</v>
      </c>
      <c r="V149" s="114" t="s">
        <v>99</v>
      </c>
      <c r="W149" s="114">
        <v>18</v>
      </c>
      <c r="X149" s="114">
        <v>18</v>
      </c>
      <c r="Y149" s="112"/>
      <c r="Z149" s="112" t="s">
        <v>87</v>
      </c>
      <c r="AA149" s="112"/>
      <c r="AB149" s="117"/>
      <c r="AC149" s="118">
        <v>25.5</v>
      </c>
      <c r="AD149" s="112"/>
      <c r="AE149" s="114">
        <v>18</v>
      </c>
      <c r="AF149" s="112" t="s">
        <v>88</v>
      </c>
      <c r="AG149" s="114" t="s">
        <v>99</v>
      </c>
      <c r="AH149" s="118">
        <v>12.5</v>
      </c>
      <c r="AI149" s="112">
        <f t="shared" si="52"/>
        <v>225</v>
      </c>
      <c r="AJ149" s="112"/>
      <c r="AK149" s="115" t="s">
        <v>89</v>
      </c>
      <c r="AL149" s="114">
        <v>18</v>
      </c>
      <c r="AM149" s="112">
        <v>18</v>
      </c>
      <c r="AN149" s="112">
        <f t="shared" si="53"/>
        <v>324</v>
      </c>
      <c r="AO149" s="112"/>
      <c r="AP149" s="112"/>
      <c r="AQ149" s="112">
        <f t="shared" si="54"/>
        <v>0</v>
      </c>
      <c r="AR149" s="112">
        <f t="shared" si="55"/>
        <v>324</v>
      </c>
      <c r="AS149" s="112"/>
      <c r="AT149" s="110" t="s">
        <v>373</v>
      </c>
      <c r="AU149" s="111">
        <v>46146</v>
      </c>
      <c r="AV149" s="112">
        <f t="shared" si="56"/>
        <v>18</v>
      </c>
      <c r="AW149" s="112">
        <f t="shared" si="57"/>
        <v>324</v>
      </c>
      <c r="AX149" s="112"/>
      <c r="AY149" s="114" t="s">
        <v>374</v>
      </c>
      <c r="AZ149" s="119">
        <v>46156</v>
      </c>
      <c r="BA149" s="112">
        <f t="shared" si="58"/>
        <v>18</v>
      </c>
      <c r="BB149" s="112">
        <f t="shared" si="59"/>
        <v>18</v>
      </c>
      <c r="BC149" s="112">
        <f t="shared" si="60"/>
        <v>324</v>
      </c>
      <c r="BD149" s="112"/>
      <c r="BE149" s="112" t="s">
        <v>350</v>
      </c>
      <c r="BF149" s="113" t="s">
        <v>514</v>
      </c>
      <c r="BG149" s="120" t="s">
        <v>93</v>
      </c>
      <c r="BH149" s="120" t="s">
        <v>145</v>
      </c>
    </row>
    <row r="150" spans="1:60" s="120" customFormat="1" ht="15" customHeight="1">
      <c r="A150" s="112">
        <f t="shared" si="61"/>
        <v>148</v>
      </c>
      <c r="B150" s="113" t="s">
        <v>516</v>
      </c>
      <c r="C150" s="114" t="s">
        <v>386</v>
      </c>
      <c r="D150" s="122"/>
      <c r="E150" s="114" t="s">
        <v>517</v>
      </c>
      <c r="F150" s="112"/>
      <c r="G150" s="115" t="s">
        <v>81</v>
      </c>
      <c r="H150" s="112" t="s">
        <v>82</v>
      </c>
      <c r="I150" s="114" t="s">
        <v>83</v>
      </c>
      <c r="J150" s="114" t="s">
        <v>84</v>
      </c>
      <c r="K150" s="114" t="s">
        <v>83</v>
      </c>
      <c r="L150" s="113" t="s">
        <v>371</v>
      </c>
      <c r="M150" s="113" t="s">
        <v>371</v>
      </c>
      <c r="N150" s="116">
        <v>46112</v>
      </c>
      <c r="O150" s="114">
        <v>87</v>
      </c>
      <c r="P150" s="116">
        <v>46114</v>
      </c>
      <c r="Q150" s="116">
        <v>46147</v>
      </c>
      <c r="R150" s="116">
        <v>46114</v>
      </c>
      <c r="S150" s="112"/>
      <c r="T150" s="112"/>
      <c r="U150" s="112" t="s">
        <v>85</v>
      </c>
      <c r="V150" s="114" t="s">
        <v>99</v>
      </c>
      <c r="W150" s="114">
        <v>87</v>
      </c>
      <c r="X150" s="114">
        <v>87</v>
      </c>
      <c r="Y150" s="112"/>
      <c r="Z150" s="112" t="s">
        <v>87</v>
      </c>
      <c r="AA150" s="112"/>
      <c r="AB150" s="117"/>
      <c r="AC150" s="118">
        <v>25.5</v>
      </c>
      <c r="AD150" s="112"/>
      <c r="AE150" s="114">
        <v>87</v>
      </c>
      <c r="AF150" s="112" t="s">
        <v>88</v>
      </c>
      <c r="AG150" s="114" t="s">
        <v>99</v>
      </c>
      <c r="AH150" s="118">
        <v>12.5</v>
      </c>
      <c r="AI150" s="112">
        <f t="shared" si="52"/>
        <v>1087.5</v>
      </c>
      <c r="AJ150" s="112"/>
      <c r="AK150" s="115" t="s">
        <v>89</v>
      </c>
      <c r="AL150" s="114">
        <v>87</v>
      </c>
      <c r="AM150" s="112">
        <v>18</v>
      </c>
      <c r="AN150" s="112">
        <f t="shared" si="53"/>
        <v>1566</v>
      </c>
      <c r="AO150" s="112"/>
      <c r="AP150" s="112"/>
      <c r="AQ150" s="112">
        <f t="shared" si="54"/>
        <v>0</v>
      </c>
      <c r="AR150" s="112">
        <f t="shared" si="55"/>
        <v>1566</v>
      </c>
      <c r="AS150" s="112"/>
      <c r="AT150" s="110" t="s">
        <v>373</v>
      </c>
      <c r="AU150" s="111">
        <v>46146</v>
      </c>
      <c r="AV150" s="112">
        <f t="shared" si="56"/>
        <v>18</v>
      </c>
      <c r="AW150" s="112">
        <f t="shared" si="57"/>
        <v>1566</v>
      </c>
      <c r="AX150" s="112"/>
      <c r="AY150" s="114" t="s">
        <v>374</v>
      </c>
      <c r="AZ150" s="119">
        <v>46156</v>
      </c>
      <c r="BA150" s="112">
        <f t="shared" si="58"/>
        <v>18</v>
      </c>
      <c r="BB150" s="112">
        <f t="shared" si="59"/>
        <v>87</v>
      </c>
      <c r="BC150" s="112">
        <f t="shared" si="60"/>
        <v>1566</v>
      </c>
      <c r="BD150" s="112"/>
      <c r="BE150" s="112" t="s">
        <v>353</v>
      </c>
      <c r="BF150" s="113" t="s">
        <v>516</v>
      </c>
      <c r="BG150" s="120" t="s">
        <v>93</v>
      </c>
      <c r="BH150" s="120" t="s">
        <v>145</v>
      </c>
    </row>
    <row r="151" spans="1:60" s="120" customFormat="1" ht="15" customHeight="1">
      <c r="A151" s="112">
        <f t="shared" si="61"/>
        <v>149</v>
      </c>
      <c r="B151" s="113" t="s">
        <v>518</v>
      </c>
      <c r="C151" s="114" t="s">
        <v>386</v>
      </c>
      <c r="D151" s="122"/>
      <c r="E151" s="114" t="s">
        <v>519</v>
      </c>
      <c r="F151" s="112"/>
      <c r="G151" s="115" t="s">
        <v>81</v>
      </c>
      <c r="H151" s="112" t="s">
        <v>82</v>
      </c>
      <c r="I151" s="114" t="s">
        <v>83</v>
      </c>
      <c r="J151" s="114" t="s">
        <v>84</v>
      </c>
      <c r="K151" s="114" t="s">
        <v>83</v>
      </c>
      <c r="L151" s="113" t="s">
        <v>371</v>
      </c>
      <c r="M151" s="113" t="s">
        <v>371</v>
      </c>
      <c r="N151" s="116">
        <v>46112</v>
      </c>
      <c r="O151" s="114">
        <v>76</v>
      </c>
      <c r="P151" s="116">
        <v>46114</v>
      </c>
      <c r="Q151" s="116">
        <v>46147</v>
      </c>
      <c r="R151" s="116">
        <v>46114</v>
      </c>
      <c r="S151" s="112"/>
      <c r="T151" s="112"/>
      <c r="U151" s="112" t="s">
        <v>85</v>
      </c>
      <c r="V151" s="114" t="s">
        <v>142</v>
      </c>
      <c r="W151" s="114">
        <v>76</v>
      </c>
      <c r="X151" s="114">
        <v>70</v>
      </c>
      <c r="Y151" s="112"/>
      <c r="Z151" s="112" t="s">
        <v>87</v>
      </c>
      <c r="AA151" s="112"/>
      <c r="AB151" s="117"/>
      <c r="AC151" s="118">
        <v>35.5</v>
      </c>
      <c r="AD151" s="112"/>
      <c r="AE151" s="114">
        <v>76</v>
      </c>
      <c r="AF151" s="112" t="s">
        <v>88</v>
      </c>
      <c r="AG151" s="114" t="s">
        <v>142</v>
      </c>
      <c r="AH151" s="118">
        <v>38.5</v>
      </c>
      <c r="AI151" s="112">
        <f t="shared" si="52"/>
        <v>2926</v>
      </c>
      <c r="AJ151" s="112"/>
      <c r="AK151" s="115" t="s">
        <v>89</v>
      </c>
      <c r="AL151" s="114">
        <v>70</v>
      </c>
      <c r="AM151" s="112">
        <v>20</v>
      </c>
      <c r="AN151" s="112">
        <f t="shared" si="53"/>
        <v>1400</v>
      </c>
      <c r="AO151" s="112"/>
      <c r="AP151" s="112"/>
      <c r="AQ151" s="112">
        <f t="shared" si="54"/>
        <v>0</v>
      </c>
      <c r="AR151" s="112">
        <f t="shared" si="55"/>
        <v>1400</v>
      </c>
      <c r="AS151" s="112"/>
      <c r="AT151" s="110" t="s">
        <v>373</v>
      </c>
      <c r="AU151" s="111">
        <v>46146</v>
      </c>
      <c r="AV151" s="112">
        <f t="shared" si="56"/>
        <v>20</v>
      </c>
      <c r="AW151" s="112">
        <f t="shared" si="57"/>
        <v>1400</v>
      </c>
      <c r="AX151" s="112"/>
      <c r="AY151" s="114" t="s">
        <v>374</v>
      </c>
      <c r="AZ151" s="119">
        <v>46156</v>
      </c>
      <c r="BA151" s="112">
        <f t="shared" si="58"/>
        <v>20</v>
      </c>
      <c r="BB151" s="112">
        <f t="shared" si="59"/>
        <v>70</v>
      </c>
      <c r="BC151" s="112">
        <f t="shared" si="60"/>
        <v>1400</v>
      </c>
      <c r="BD151" s="112"/>
      <c r="BE151" s="112" t="s">
        <v>356</v>
      </c>
      <c r="BF151" s="113" t="s">
        <v>518</v>
      </c>
      <c r="BG151" s="120" t="s">
        <v>93</v>
      </c>
      <c r="BH151" s="120" t="s">
        <v>145</v>
      </c>
    </row>
    <row r="152" spans="1:60" s="120" customFormat="1" ht="15" customHeight="1">
      <c r="A152" s="112">
        <f t="shared" si="61"/>
        <v>150</v>
      </c>
      <c r="B152" s="113" t="s">
        <v>520</v>
      </c>
      <c r="C152" s="114" t="s">
        <v>519</v>
      </c>
      <c r="D152" s="122"/>
      <c r="E152" s="114" t="s">
        <v>521</v>
      </c>
      <c r="F152" s="112"/>
      <c r="G152" s="115" t="s">
        <v>81</v>
      </c>
      <c r="H152" s="112" t="s">
        <v>82</v>
      </c>
      <c r="I152" s="114" t="s">
        <v>83</v>
      </c>
      <c r="J152" s="114" t="s">
        <v>84</v>
      </c>
      <c r="K152" s="114" t="s">
        <v>83</v>
      </c>
      <c r="L152" s="113" t="s">
        <v>371</v>
      </c>
      <c r="M152" s="113" t="s">
        <v>371</v>
      </c>
      <c r="N152" s="116">
        <v>46112</v>
      </c>
      <c r="O152" s="114">
        <v>40</v>
      </c>
      <c r="P152" s="116">
        <v>46114</v>
      </c>
      <c r="Q152" s="116">
        <v>46147</v>
      </c>
      <c r="R152" s="116">
        <v>46114</v>
      </c>
      <c r="S152" s="112"/>
      <c r="T152" s="112"/>
      <c r="U152" s="112" t="s">
        <v>85</v>
      </c>
      <c r="V152" s="114" t="s">
        <v>86</v>
      </c>
      <c r="W152" s="114">
        <v>40</v>
      </c>
      <c r="X152" s="114">
        <v>37</v>
      </c>
      <c r="Y152" s="112"/>
      <c r="Z152" s="112" t="s">
        <v>87</v>
      </c>
      <c r="AA152" s="112"/>
      <c r="AB152" s="117"/>
      <c r="AC152" s="118">
        <v>30.5</v>
      </c>
      <c r="AD152" s="112"/>
      <c r="AE152" s="114">
        <v>40</v>
      </c>
      <c r="AF152" s="112" t="s">
        <v>88</v>
      </c>
      <c r="AG152" s="114" t="s">
        <v>86</v>
      </c>
      <c r="AH152" s="118">
        <v>24.5</v>
      </c>
      <c r="AI152" s="112">
        <f t="shared" ref="AI152:AI183" si="62">IF(AE152&lt;&gt;"",AH152*AE152,0)</f>
        <v>980</v>
      </c>
      <c r="AJ152" s="112"/>
      <c r="AK152" s="115" t="s">
        <v>89</v>
      </c>
      <c r="AL152" s="114">
        <v>37</v>
      </c>
      <c r="AM152" s="112">
        <v>18</v>
      </c>
      <c r="AN152" s="112">
        <f t="shared" ref="AN152:AN182" si="63">IF(AL152&lt;&gt;"",AM152*AL152,0)</f>
        <v>666</v>
      </c>
      <c r="AO152" s="112"/>
      <c r="AP152" s="112"/>
      <c r="AQ152" s="112">
        <f t="shared" ref="AQ152:AQ182" si="64">IF(AO152&lt;&gt;"",AP152*AO152,0)</f>
        <v>0</v>
      </c>
      <c r="AR152" s="112">
        <f t="shared" ref="AR152:AR182" si="65">AQ152+AN152</f>
        <v>666</v>
      </c>
      <c r="AS152" s="112"/>
      <c r="AT152" s="110" t="s">
        <v>373</v>
      </c>
      <c r="AU152" s="111">
        <v>46146</v>
      </c>
      <c r="AV152" s="112">
        <f t="shared" ref="AV152:AV182" si="66">AM152</f>
        <v>18</v>
      </c>
      <c r="AW152" s="112">
        <f t="shared" ref="AW152:AW182" si="67">AV152*AL152</f>
        <v>666</v>
      </c>
      <c r="AX152" s="112"/>
      <c r="AY152" s="114" t="s">
        <v>374</v>
      </c>
      <c r="AZ152" s="119">
        <v>46156</v>
      </c>
      <c r="BA152" s="112">
        <f t="shared" ref="BA152:BA182" si="68">AM152</f>
        <v>18</v>
      </c>
      <c r="BB152" s="112">
        <f t="shared" ref="BB152:BB182" si="69">AL152</f>
        <v>37</v>
      </c>
      <c r="BC152" s="112">
        <f t="shared" ref="BC152:BC182" si="70">IF(BB152&lt;&gt;"",BB152*BA152,0)</f>
        <v>666</v>
      </c>
      <c r="BD152" s="112"/>
      <c r="BE152" s="112" t="s">
        <v>360</v>
      </c>
      <c r="BF152" s="113" t="s">
        <v>520</v>
      </c>
      <c r="BG152" s="120" t="s">
        <v>93</v>
      </c>
      <c r="BH152" s="120" t="s">
        <v>145</v>
      </c>
    </row>
    <row r="153" spans="1:60" s="120" customFormat="1" ht="15" customHeight="1">
      <c r="A153" s="112">
        <f t="shared" si="61"/>
        <v>151</v>
      </c>
      <c r="B153" s="113" t="s">
        <v>522</v>
      </c>
      <c r="C153" s="114" t="s">
        <v>521</v>
      </c>
      <c r="D153" s="122"/>
      <c r="E153" s="114" t="s">
        <v>523</v>
      </c>
      <c r="F153" s="112"/>
      <c r="G153" s="115" t="s">
        <v>81</v>
      </c>
      <c r="H153" s="112" t="s">
        <v>82</v>
      </c>
      <c r="I153" s="114" t="s">
        <v>83</v>
      </c>
      <c r="J153" s="114" t="s">
        <v>84</v>
      </c>
      <c r="K153" s="114" t="s">
        <v>83</v>
      </c>
      <c r="L153" s="113" t="s">
        <v>371</v>
      </c>
      <c r="M153" s="113" t="s">
        <v>371</v>
      </c>
      <c r="N153" s="116">
        <v>46112</v>
      </c>
      <c r="O153" s="114">
        <v>68</v>
      </c>
      <c r="P153" s="116">
        <v>46114</v>
      </c>
      <c r="Q153" s="116">
        <v>46147</v>
      </c>
      <c r="R153" s="116">
        <v>46114</v>
      </c>
      <c r="S153" s="112"/>
      <c r="T153" s="112"/>
      <c r="U153" s="112" t="s">
        <v>85</v>
      </c>
      <c r="V153" s="114" t="s">
        <v>99</v>
      </c>
      <c r="W153" s="114">
        <v>68</v>
      </c>
      <c r="X153" s="114">
        <v>68</v>
      </c>
      <c r="Y153" s="112"/>
      <c r="Z153" s="112" t="s">
        <v>87</v>
      </c>
      <c r="AA153" s="112"/>
      <c r="AB153" s="117"/>
      <c r="AC153" s="118">
        <v>25.5</v>
      </c>
      <c r="AD153" s="112"/>
      <c r="AE153" s="114">
        <v>68</v>
      </c>
      <c r="AF153" s="112" t="s">
        <v>88</v>
      </c>
      <c r="AG153" s="114" t="s">
        <v>99</v>
      </c>
      <c r="AH153" s="118">
        <v>12.5</v>
      </c>
      <c r="AI153" s="112">
        <f t="shared" si="62"/>
        <v>850</v>
      </c>
      <c r="AJ153" s="112"/>
      <c r="AK153" s="115" t="s">
        <v>89</v>
      </c>
      <c r="AL153" s="114">
        <v>68</v>
      </c>
      <c r="AM153" s="112">
        <v>18</v>
      </c>
      <c r="AN153" s="112">
        <f t="shared" si="63"/>
        <v>1224</v>
      </c>
      <c r="AO153" s="112"/>
      <c r="AP153" s="112"/>
      <c r="AQ153" s="112">
        <f t="shared" si="64"/>
        <v>0</v>
      </c>
      <c r="AR153" s="112">
        <f t="shared" si="65"/>
        <v>1224</v>
      </c>
      <c r="AS153" s="112"/>
      <c r="AT153" s="110" t="s">
        <v>373</v>
      </c>
      <c r="AU153" s="111">
        <v>46146</v>
      </c>
      <c r="AV153" s="112">
        <f t="shared" si="66"/>
        <v>18</v>
      </c>
      <c r="AW153" s="112">
        <f t="shared" si="67"/>
        <v>1224</v>
      </c>
      <c r="AX153" s="112"/>
      <c r="AY153" s="114" t="s">
        <v>374</v>
      </c>
      <c r="AZ153" s="119">
        <v>46156</v>
      </c>
      <c r="BA153" s="112">
        <f t="shared" si="68"/>
        <v>18</v>
      </c>
      <c r="BB153" s="112">
        <f t="shared" si="69"/>
        <v>68</v>
      </c>
      <c r="BC153" s="112">
        <f t="shared" si="70"/>
        <v>1224</v>
      </c>
      <c r="BD153" s="112"/>
      <c r="BE153" s="112" t="s">
        <v>363</v>
      </c>
      <c r="BF153" s="113" t="s">
        <v>522</v>
      </c>
      <c r="BG153" s="120" t="s">
        <v>93</v>
      </c>
      <c r="BH153" s="120" t="s">
        <v>145</v>
      </c>
    </row>
    <row r="154" spans="1:60" s="120" customFormat="1" ht="15" customHeight="1">
      <c r="A154" s="112">
        <f t="shared" si="61"/>
        <v>152</v>
      </c>
      <c r="B154" s="113" t="s">
        <v>524</v>
      </c>
      <c r="C154" s="114" t="s">
        <v>379</v>
      </c>
      <c r="D154" s="122"/>
      <c r="E154" s="114" t="s">
        <v>525</v>
      </c>
      <c r="F154" s="112"/>
      <c r="G154" s="115" t="s">
        <v>81</v>
      </c>
      <c r="H154" s="112" t="s">
        <v>82</v>
      </c>
      <c r="I154" s="114" t="s">
        <v>83</v>
      </c>
      <c r="J154" s="114" t="s">
        <v>84</v>
      </c>
      <c r="K154" s="114" t="s">
        <v>83</v>
      </c>
      <c r="L154" s="113" t="s">
        <v>371</v>
      </c>
      <c r="M154" s="113" t="s">
        <v>371</v>
      </c>
      <c r="N154" s="116">
        <v>46112</v>
      </c>
      <c r="O154" s="114">
        <v>11</v>
      </c>
      <c r="P154" s="116">
        <v>46114</v>
      </c>
      <c r="Q154" s="116">
        <v>46147</v>
      </c>
      <c r="R154" s="116">
        <v>46114</v>
      </c>
      <c r="S154" s="112"/>
      <c r="T154" s="112"/>
      <c r="U154" s="112" t="s">
        <v>85</v>
      </c>
      <c r="V154" s="114" t="s">
        <v>99</v>
      </c>
      <c r="W154" s="114">
        <v>11</v>
      </c>
      <c r="X154" s="114">
        <v>10</v>
      </c>
      <c r="Y154" s="112"/>
      <c r="Z154" s="112" t="s">
        <v>87</v>
      </c>
      <c r="AA154" s="112"/>
      <c r="AB154" s="117"/>
      <c r="AC154" s="118">
        <v>25.5</v>
      </c>
      <c r="AD154" s="112"/>
      <c r="AE154" s="114">
        <v>11</v>
      </c>
      <c r="AF154" s="112" t="s">
        <v>88</v>
      </c>
      <c r="AG154" s="114" t="s">
        <v>99</v>
      </c>
      <c r="AH154" s="118">
        <v>12.5</v>
      </c>
      <c r="AI154" s="112">
        <f t="shared" si="62"/>
        <v>137.5</v>
      </c>
      <c r="AJ154" s="112"/>
      <c r="AK154" s="115" t="s">
        <v>89</v>
      </c>
      <c r="AL154" s="114">
        <v>10</v>
      </c>
      <c r="AM154" s="112">
        <v>18</v>
      </c>
      <c r="AN154" s="112">
        <f t="shared" si="63"/>
        <v>180</v>
      </c>
      <c r="AO154" s="112"/>
      <c r="AP154" s="112"/>
      <c r="AQ154" s="112">
        <f t="shared" si="64"/>
        <v>0</v>
      </c>
      <c r="AR154" s="112">
        <f t="shared" si="65"/>
        <v>180</v>
      </c>
      <c r="AS154" s="112"/>
      <c r="AT154" s="110" t="s">
        <v>373</v>
      </c>
      <c r="AU154" s="111">
        <v>46146</v>
      </c>
      <c r="AV154" s="112">
        <f t="shared" si="66"/>
        <v>18</v>
      </c>
      <c r="AW154" s="112">
        <f t="shared" si="67"/>
        <v>180</v>
      </c>
      <c r="AX154" s="112"/>
      <c r="AY154" s="114" t="s">
        <v>374</v>
      </c>
      <c r="AZ154" s="119">
        <v>46156</v>
      </c>
      <c r="BA154" s="112">
        <f t="shared" si="68"/>
        <v>18</v>
      </c>
      <c r="BB154" s="112">
        <f t="shared" si="69"/>
        <v>10</v>
      </c>
      <c r="BC154" s="112">
        <f t="shared" si="70"/>
        <v>180</v>
      </c>
      <c r="BD154" s="112"/>
      <c r="BE154" s="112" t="s">
        <v>369</v>
      </c>
      <c r="BF154" s="113" t="s">
        <v>524</v>
      </c>
      <c r="BG154" s="120" t="s">
        <v>93</v>
      </c>
      <c r="BH154" s="120" t="s">
        <v>145</v>
      </c>
    </row>
    <row r="155" spans="1:60" s="120" customFormat="1" ht="15" customHeight="1">
      <c r="A155" s="112">
        <f t="shared" si="61"/>
        <v>153</v>
      </c>
      <c r="B155" s="113" t="s">
        <v>526</v>
      </c>
      <c r="C155" s="114" t="s">
        <v>379</v>
      </c>
      <c r="D155" s="122"/>
      <c r="E155" s="114" t="s">
        <v>527</v>
      </c>
      <c r="F155" s="112"/>
      <c r="G155" s="115" t="s">
        <v>81</v>
      </c>
      <c r="H155" s="112" t="s">
        <v>82</v>
      </c>
      <c r="I155" s="114" t="s">
        <v>83</v>
      </c>
      <c r="J155" s="114" t="s">
        <v>84</v>
      </c>
      <c r="K155" s="114" t="s">
        <v>83</v>
      </c>
      <c r="L155" s="113" t="s">
        <v>371</v>
      </c>
      <c r="M155" s="113" t="s">
        <v>371</v>
      </c>
      <c r="N155" s="116">
        <v>46112</v>
      </c>
      <c r="O155" s="114">
        <v>161</v>
      </c>
      <c r="P155" s="116">
        <v>46114</v>
      </c>
      <c r="Q155" s="116">
        <v>46147</v>
      </c>
      <c r="R155" s="116">
        <v>46114</v>
      </c>
      <c r="S155" s="112"/>
      <c r="T155" s="112"/>
      <c r="U155" s="112" t="s">
        <v>85</v>
      </c>
      <c r="V155" s="114" t="s">
        <v>99</v>
      </c>
      <c r="W155" s="114">
        <v>161</v>
      </c>
      <c r="X155" s="114">
        <v>161</v>
      </c>
      <c r="Y155" s="112"/>
      <c r="Z155" s="112" t="s">
        <v>87</v>
      </c>
      <c r="AA155" s="112"/>
      <c r="AB155" s="117"/>
      <c r="AC155" s="118">
        <v>25.5</v>
      </c>
      <c r="AD155" s="112"/>
      <c r="AE155" s="114">
        <v>161</v>
      </c>
      <c r="AF155" s="112" t="s">
        <v>88</v>
      </c>
      <c r="AG155" s="114" t="s">
        <v>99</v>
      </c>
      <c r="AH155" s="118">
        <v>12.5</v>
      </c>
      <c r="AI155" s="112">
        <f t="shared" si="62"/>
        <v>2012.5</v>
      </c>
      <c r="AJ155" s="112"/>
      <c r="AK155" s="115" t="s">
        <v>89</v>
      </c>
      <c r="AL155" s="114">
        <v>161</v>
      </c>
      <c r="AM155" s="112">
        <v>18</v>
      </c>
      <c r="AN155" s="112">
        <f t="shared" si="63"/>
        <v>2898</v>
      </c>
      <c r="AO155" s="112"/>
      <c r="AP155" s="112"/>
      <c r="AQ155" s="112">
        <f t="shared" si="64"/>
        <v>0</v>
      </c>
      <c r="AR155" s="112">
        <f t="shared" si="65"/>
        <v>2898</v>
      </c>
      <c r="AS155" s="112"/>
      <c r="AT155" s="110" t="s">
        <v>373</v>
      </c>
      <c r="AU155" s="111">
        <v>46146</v>
      </c>
      <c r="AV155" s="112">
        <f t="shared" si="66"/>
        <v>18</v>
      </c>
      <c r="AW155" s="112">
        <f t="shared" si="67"/>
        <v>2898</v>
      </c>
      <c r="AX155" s="112"/>
      <c r="AY155" s="114" t="s">
        <v>374</v>
      </c>
      <c r="AZ155" s="119">
        <v>46156</v>
      </c>
      <c r="BA155" s="112">
        <f t="shared" si="68"/>
        <v>18</v>
      </c>
      <c r="BB155" s="112">
        <f t="shared" si="69"/>
        <v>161</v>
      </c>
      <c r="BC155" s="112">
        <f t="shared" si="70"/>
        <v>2898</v>
      </c>
      <c r="BD155" s="112"/>
      <c r="BE155" s="112" t="s">
        <v>366</v>
      </c>
      <c r="BF155" s="113" t="s">
        <v>526</v>
      </c>
      <c r="BG155" s="120" t="s">
        <v>93</v>
      </c>
      <c r="BH155" s="120" t="s">
        <v>145</v>
      </c>
    </row>
    <row r="156" spans="1:60" s="120" customFormat="1" ht="15" customHeight="1">
      <c r="A156" s="112">
        <f t="shared" si="61"/>
        <v>154</v>
      </c>
      <c r="B156" s="113" t="s">
        <v>528</v>
      </c>
      <c r="C156" s="114" t="s">
        <v>379</v>
      </c>
      <c r="D156" s="122"/>
      <c r="E156" s="114" t="s">
        <v>529</v>
      </c>
      <c r="F156" s="112"/>
      <c r="G156" s="115" t="s">
        <v>81</v>
      </c>
      <c r="H156" s="112" t="s">
        <v>82</v>
      </c>
      <c r="I156" s="114" t="s">
        <v>83</v>
      </c>
      <c r="J156" s="114" t="s">
        <v>84</v>
      </c>
      <c r="K156" s="114" t="s">
        <v>83</v>
      </c>
      <c r="L156" s="113" t="s">
        <v>371</v>
      </c>
      <c r="M156" s="113" t="s">
        <v>371</v>
      </c>
      <c r="N156" s="116">
        <v>46112</v>
      </c>
      <c r="O156" s="114">
        <v>202</v>
      </c>
      <c r="P156" s="116">
        <v>46114</v>
      </c>
      <c r="Q156" s="116">
        <v>46147</v>
      </c>
      <c r="R156" s="116">
        <v>46114</v>
      </c>
      <c r="S156" s="112"/>
      <c r="T156" s="112"/>
      <c r="U156" s="112" t="s">
        <v>85</v>
      </c>
      <c r="V156" s="114" t="s">
        <v>99</v>
      </c>
      <c r="W156" s="114">
        <v>202</v>
      </c>
      <c r="X156" s="114">
        <v>202</v>
      </c>
      <c r="Y156" s="112"/>
      <c r="Z156" s="112" t="s">
        <v>87</v>
      </c>
      <c r="AA156" s="112"/>
      <c r="AB156" s="117"/>
      <c r="AC156" s="118">
        <v>25.5</v>
      </c>
      <c r="AD156" s="112"/>
      <c r="AE156" s="114">
        <v>202</v>
      </c>
      <c r="AF156" s="112" t="s">
        <v>88</v>
      </c>
      <c r="AG156" s="114" t="s">
        <v>99</v>
      </c>
      <c r="AH156" s="118">
        <v>12.5</v>
      </c>
      <c r="AI156" s="112">
        <f t="shared" si="62"/>
        <v>2525</v>
      </c>
      <c r="AJ156" s="112"/>
      <c r="AK156" s="115" t="s">
        <v>89</v>
      </c>
      <c r="AL156" s="114">
        <v>202</v>
      </c>
      <c r="AM156" s="112">
        <v>18</v>
      </c>
      <c r="AN156" s="112">
        <f t="shared" si="63"/>
        <v>3636</v>
      </c>
      <c r="AO156" s="112"/>
      <c r="AP156" s="112"/>
      <c r="AQ156" s="112">
        <f t="shared" si="64"/>
        <v>0</v>
      </c>
      <c r="AR156" s="112">
        <f t="shared" si="65"/>
        <v>3636</v>
      </c>
      <c r="AS156" s="112"/>
      <c r="AT156" s="110" t="s">
        <v>373</v>
      </c>
      <c r="AU156" s="111">
        <v>46146</v>
      </c>
      <c r="AV156" s="112">
        <f t="shared" si="66"/>
        <v>18</v>
      </c>
      <c r="AW156" s="112">
        <f t="shared" si="67"/>
        <v>3636</v>
      </c>
      <c r="AX156" s="112"/>
      <c r="AY156" s="114" t="s">
        <v>374</v>
      </c>
      <c r="AZ156" s="119">
        <v>46156</v>
      </c>
      <c r="BA156" s="112">
        <f t="shared" si="68"/>
        <v>18</v>
      </c>
      <c r="BB156" s="112">
        <f t="shared" si="69"/>
        <v>202</v>
      </c>
      <c r="BC156" s="112">
        <f t="shared" si="70"/>
        <v>3636</v>
      </c>
      <c r="BD156" s="112"/>
      <c r="BE156" s="112" t="s">
        <v>530</v>
      </c>
      <c r="BF156" s="113" t="s">
        <v>528</v>
      </c>
      <c r="BG156" s="120" t="s">
        <v>93</v>
      </c>
      <c r="BH156" s="120" t="s">
        <v>145</v>
      </c>
    </row>
    <row r="157" spans="1:60" s="120" customFormat="1" ht="15" customHeight="1">
      <c r="A157" s="112">
        <f t="shared" si="61"/>
        <v>155</v>
      </c>
      <c r="B157" s="113" t="s">
        <v>531</v>
      </c>
      <c r="C157" s="114" t="s">
        <v>532</v>
      </c>
      <c r="D157" s="122"/>
      <c r="E157" s="114" t="s">
        <v>533</v>
      </c>
      <c r="F157" s="112"/>
      <c r="G157" s="115" t="s">
        <v>81</v>
      </c>
      <c r="H157" s="112" t="s">
        <v>82</v>
      </c>
      <c r="I157" s="114" t="s">
        <v>83</v>
      </c>
      <c r="J157" s="114" t="s">
        <v>84</v>
      </c>
      <c r="K157" s="114" t="s">
        <v>83</v>
      </c>
      <c r="L157" s="113" t="s">
        <v>371</v>
      </c>
      <c r="M157" s="113" t="s">
        <v>371</v>
      </c>
      <c r="N157" s="116">
        <v>46112</v>
      </c>
      <c r="O157" s="114">
        <v>10</v>
      </c>
      <c r="P157" s="116">
        <v>46114</v>
      </c>
      <c r="Q157" s="116">
        <v>46147</v>
      </c>
      <c r="R157" s="116">
        <v>46114</v>
      </c>
      <c r="S157" s="112"/>
      <c r="T157" s="112"/>
      <c r="U157" s="112" t="s">
        <v>85</v>
      </c>
      <c r="V157" s="114" t="s">
        <v>99</v>
      </c>
      <c r="W157" s="114">
        <v>10</v>
      </c>
      <c r="X157" s="114">
        <v>10</v>
      </c>
      <c r="Y157" s="112"/>
      <c r="Z157" s="112" t="s">
        <v>87</v>
      </c>
      <c r="AA157" s="112"/>
      <c r="AB157" s="117"/>
      <c r="AC157" s="118">
        <v>25.5</v>
      </c>
      <c r="AD157" s="112"/>
      <c r="AE157" s="114">
        <v>10</v>
      </c>
      <c r="AF157" s="112" t="s">
        <v>88</v>
      </c>
      <c r="AG157" s="114" t="s">
        <v>99</v>
      </c>
      <c r="AH157" s="118">
        <v>12.5</v>
      </c>
      <c r="AI157" s="112">
        <f t="shared" si="62"/>
        <v>125</v>
      </c>
      <c r="AJ157" s="112"/>
      <c r="AK157" s="115" t="s">
        <v>89</v>
      </c>
      <c r="AL157" s="114">
        <v>10</v>
      </c>
      <c r="AM157" s="112">
        <v>18</v>
      </c>
      <c r="AN157" s="112">
        <f t="shared" si="63"/>
        <v>180</v>
      </c>
      <c r="AO157" s="112"/>
      <c r="AP157" s="112"/>
      <c r="AQ157" s="112">
        <f t="shared" si="64"/>
        <v>0</v>
      </c>
      <c r="AR157" s="112">
        <f t="shared" si="65"/>
        <v>180</v>
      </c>
      <c r="AS157" s="112"/>
      <c r="AT157" s="110" t="s">
        <v>534</v>
      </c>
      <c r="AU157" s="111"/>
      <c r="AV157" s="112">
        <f t="shared" si="66"/>
        <v>18</v>
      </c>
      <c r="AW157" s="112">
        <f t="shared" si="67"/>
        <v>180</v>
      </c>
      <c r="AX157" s="112"/>
      <c r="AY157" s="114" t="s">
        <v>144</v>
      </c>
      <c r="AZ157" s="119"/>
      <c r="BA157" s="112">
        <f t="shared" si="68"/>
        <v>18</v>
      </c>
      <c r="BB157" s="112">
        <f t="shared" si="69"/>
        <v>10</v>
      </c>
      <c r="BC157" s="112">
        <f t="shared" si="70"/>
        <v>180</v>
      </c>
      <c r="BD157" s="112"/>
      <c r="BE157" s="112" t="s">
        <v>535</v>
      </c>
      <c r="BF157" s="113" t="s">
        <v>531</v>
      </c>
      <c r="BG157" s="120" t="s">
        <v>93</v>
      </c>
      <c r="BH157" s="120" t="s">
        <v>145</v>
      </c>
    </row>
    <row r="158" spans="1:60" s="120" customFormat="1" ht="15" customHeight="1">
      <c r="A158" s="112">
        <f t="shared" si="61"/>
        <v>156</v>
      </c>
      <c r="B158" s="113" t="s">
        <v>536</v>
      </c>
      <c r="C158" s="114" t="s">
        <v>532</v>
      </c>
      <c r="D158" s="122"/>
      <c r="E158" s="114" t="s">
        <v>537</v>
      </c>
      <c r="F158" s="112"/>
      <c r="G158" s="115" t="s">
        <v>81</v>
      </c>
      <c r="H158" s="112" t="s">
        <v>82</v>
      </c>
      <c r="I158" s="114" t="s">
        <v>83</v>
      </c>
      <c r="J158" s="114" t="s">
        <v>84</v>
      </c>
      <c r="K158" s="114" t="s">
        <v>83</v>
      </c>
      <c r="L158" s="113" t="s">
        <v>371</v>
      </c>
      <c r="M158" s="113" t="s">
        <v>371</v>
      </c>
      <c r="N158" s="116">
        <v>46112</v>
      </c>
      <c r="O158" s="114">
        <v>156</v>
      </c>
      <c r="P158" s="116">
        <v>46114</v>
      </c>
      <c r="Q158" s="116">
        <v>46147</v>
      </c>
      <c r="R158" s="116">
        <v>46114</v>
      </c>
      <c r="S158" s="112"/>
      <c r="T158" s="112"/>
      <c r="U158" s="112" t="s">
        <v>85</v>
      </c>
      <c r="V158" s="114" t="s">
        <v>99</v>
      </c>
      <c r="W158" s="114">
        <v>156</v>
      </c>
      <c r="X158" s="114">
        <v>156</v>
      </c>
      <c r="Y158" s="112"/>
      <c r="Z158" s="112" t="s">
        <v>87</v>
      </c>
      <c r="AA158" s="112"/>
      <c r="AB158" s="117"/>
      <c r="AC158" s="118">
        <v>25.5</v>
      </c>
      <c r="AD158" s="112"/>
      <c r="AE158" s="114">
        <v>156</v>
      </c>
      <c r="AF158" s="112" t="s">
        <v>88</v>
      </c>
      <c r="AG158" s="114" t="s">
        <v>99</v>
      </c>
      <c r="AH158" s="118">
        <v>12.5</v>
      </c>
      <c r="AI158" s="112">
        <f t="shared" si="62"/>
        <v>1950</v>
      </c>
      <c r="AJ158" s="112"/>
      <c r="AK158" s="115" t="s">
        <v>89</v>
      </c>
      <c r="AL158" s="114">
        <v>156</v>
      </c>
      <c r="AM158" s="112">
        <v>18</v>
      </c>
      <c r="AN158" s="112">
        <f t="shared" si="63"/>
        <v>2808</v>
      </c>
      <c r="AO158" s="112"/>
      <c r="AP158" s="112"/>
      <c r="AQ158" s="112">
        <f t="shared" si="64"/>
        <v>0</v>
      </c>
      <c r="AR158" s="112">
        <f t="shared" si="65"/>
        <v>2808</v>
      </c>
      <c r="AS158" s="112"/>
      <c r="AT158" s="110" t="s">
        <v>373</v>
      </c>
      <c r="AU158" s="111">
        <v>46146</v>
      </c>
      <c r="AV158" s="112">
        <f t="shared" si="66"/>
        <v>18</v>
      </c>
      <c r="AW158" s="112">
        <f t="shared" si="67"/>
        <v>2808</v>
      </c>
      <c r="AX158" s="112"/>
      <c r="AY158" s="114" t="s">
        <v>374</v>
      </c>
      <c r="AZ158" s="119">
        <v>46156</v>
      </c>
      <c r="BA158" s="112">
        <f t="shared" si="68"/>
        <v>18</v>
      </c>
      <c r="BB158" s="112">
        <f t="shared" si="69"/>
        <v>156</v>
      </c>
      <c r="BC158" s="112">
        <f t="shared" si="70"/>
        <v>2808</v>
      </c>
      <c r="BD158" s="112"/>
      <c r="BE158" s="112" t="s">
        <v>538</v>
      </c>
      <c r="BF158" s="113" t="s">
        <v>536</v>
      </c>
      <c r="BG158" s="120" t="s">
        <v>93</v>
      </c>
      <c r="BH158" s="120" t="s">
        <v>145</v>
      </c>
    </row>
    <row r="159" spans="1:60" s="120" customFormat="1" ht="15" customHeight="1">
      <c r="A159" s="112">
        <f t="shared" si="61"/>
        <v>157</v>
      </c>
      <c r="B159" s="113" t="s">
        <v>539</v>
      </c>
      <c r="C159" s="114" t="s">
        <v>532</v>
      </c>
      <c r="D159" s="122"/>
      <c r="E159" s="114" t="s">
        <v>540</v>
      </c>
      <c r="F159" s="112"/>
      <c r="G159" s="115" t="s">
        <v>81</v>
      </c>
      <c r="H159" s="112" t="s">
        <v>82</v>
      </c>
      <c r="I159" s="114" t="s">
        <v>83</v>
      </c>
      <c r="J159" s="114" t="s">
        <v>84</v>
      </c>
      <c r="K159" s="114" t="s">
        <v>83</v>
      </c>
      <c r="L159" s="113" t="s">
        <v>371</v>
      </c>
      <c r="M159" s="113" t="s">
        <v>371</v>
      </c>
      <c r="N159" s="116">
        <v>46112</v>
      </c>
      <c r="O159" s="114">
        <v>53</v>
      </c>
      <c r="P159" s="116">
        <v>46114</v>
      </c>
      <c r="Q159" s="116">
        <v>46147</v>
      </c>
      <c r="R159" s="116">
        <v>46114</v>
      </c>
      <c r="S159" s="112"/>
      <c r="T159" s="112"/>
      <c r="U159" s="112" t="s">
        <v>85</v>
      </c>
      <c r="V159" s="114" t="s">
        <v>86</v>
      </c>
      <c r="W159" s="114">
        <v>53</v>
      </c>
      <c r="X159" s="114">
        <v>50</v>
      </c>
      <c r="Y159" s="112"/>
      <c r="Z159" s="112" t="s">
        <v>87</v>
      </c>
      <c r="AA159" s="112"/>
      <c r="AB159" s="117"/>
      <c r="AC159" s="118">
        <v>30.5</v>
      </c>
      <c r="AD159" s="112"/>
      <c r="AE159" s="114">
        <v>53</v>
      </c>
      <c r="AF159" s="112" t="s">
        <v>88</v>
      </c>
      <c r="AG159" s="114" t="s">
        <v>86</v>
      </c>
      <c r="AH159" s="118">
        <v>24.5</v>
      </c>
      <c r="AI159" s="112">
        <f t="shared" si="62"/>
        <v>1298.5</v>
      </c>
      <c r="AJ159" s="112"/>
      <c r="AK159" s="115" t="s">
        <v>89</v>
      </c>
      <c r="AL159" s="114">
        <v>50</v>
      </c>
      <c r="AM159" s="112">
        <v>18</v>
      </c>
      <c r="AN159" s="112">
        <f t="shared" si="63"/>
        <v>900</v>
      </c>
      <c r="AO159" s="112"/>
      <c r="AP159" s="112"/>
      <c r="AQ159" s="112">
        <f t="shared" si="64"/>
        <v>0</v>
      </c>
      <c r="AR159" s="112">
        <f t="shared" si="65"/>
        <v>900</v>
      </c>
      <c r="AS159" s="112"/>
      <c r="AT159" s="110" t="s">
        <v>534</v>
      </c>
      <c r="AU159" s="111"/>
      <c r="AV159" s="112">
        <f t="shared" si="66"/>
        <v>18</v>
      </c>
      <c r="AW159" s="112">
        <f t="shared" si="67"/>
        <v>900</v>
      </c>
      <c r="AX159" s="112"/>
      <c r="AY159" s="114" t="s">
        <v>144</v>
      </c>
      <c r="AZ159" s="119"/>
      <c r="BA159" s="112">
        <f t="shared" si="68"/>
        <v>18</v>
      </c>
      <c r="BB159" s="112">
        <f t="shared" si="69"/>
        <v>50</v>
      </c>
      <c r="BC159" s="112">
        <f t="shared" si="70"/>
        <v>900</v>
      </c>
      <c r="BD159" s="112"/>
      <c r="BE159" s="112" t="s">
        <v>541</v>
      </c>
      <c r="BF159" s="113" t="s">
        <v>539</v>
      </c>
      <c r="BG159" s="120" t="s">
        <v>93</v>
      </c>
      <c r="BH159" s="120" t="s">
        <v>145</v>
      </c>
    </row>
    <row r="160" spans="1:60" s="120" customFormat="1" ht="15" customHeight="1">
      <c r="A160" s="112">
        <f t="shared" si="61"/>
        <v>158</v>
      </c>
      <c r="B160" s="113" t="s">
        <v>542</v>
      </c>
      <c r="C160" s="114" t="s">
        <v>540</v>
      </c>
      <c r="D160" s="122"/>
      <c r="E160" s="114" t="s">
        <v>543</v>
      </c>
      <c r="F160" s="112"/>
      <c r="G160" s="115" t="s">
        <v>81</v>
      </c>
      <c r="H160" s="112" t="s">
        <v>82</v>
      </c>
      <c r="I160" s="114" t="s">
        <v>83</v>
      </c>
      <c r="J160" s="114" t="s">
        <v>84</v>
      </c>
      <c r="K160" s="114" t="s">
        <v>83</v>
      </c>
      <c r="L160" s="113" t="s">
        <v>371</v>
      </c>
      <c r="M160" s="113" t="s">
        <v>371</v>
      </c>
      <c r="N160" s="116">
        <v>46112</v>
      </c>
      <c r="O160" s="114">
        <v>76</v>
      </c>
      <c r="P160" s="116">
        <v>46114</v>
      </c>
      <c r="Q160" s="116">
        <v>46147</v>
      </c>
      <c r="R160" s="116">
        <v>46114</v>
      </c>
      <c r="S160" s="112"/>
      <c r="T160" s="112"/>
      <c r="U160" s="112" t="s">
        <v>85</v>
      </c>
      <c r="V160" s="114" t="s">
        <v>99</v>
      </c>
      <c r="W160" s="114">
        <v>76</v>
      </c>
      <c r="X160" s="114">
        <v>76</v>
      </c>
      <c r="Y160" s="112"/>
      <c r="Z160" s="112" t="s">
        <v>87</v>
      </c>
      <c r="AA160" s="112"/>
      <c r="AB160" s="117"/>
      <c r="AC160" s="118">
        <v>25.5</v>
      </c>
      <c r="AD160" s="112"/>
      <c r="AE160" s="114">
        <v>76</v>
      </c>
      <c r="AF160" s="112" t="s">
        <v>88</v>
      </c>
      <c r="AG160" s="114" t="s">
        <v>99</v>
      </c>
      <c r="AH160" s="118">
        <v>12.5</v>
      </c>
      <c r="AI160" s="112">
        <f t="shared" si="62"/>
        <v>950</v>
      </c>
      <c r="AJ160" s="112"/>
      <c r="AK160" s="115" t="s">
        <v>89</v>
      </c>
      <c r="AL160" s="114">
        <v>76</v>
      </c>
      <c r="AM160" s="112">
        <v>18</v>
      </c>
      <c r="AN160" s="112">
        <f t="shared" si="63"/>
        <v>1368</v>
      </c>
      <c r="AO160" s="112"/>
      <c r="AP160" s="112"/>
      <c r="AQ160" s="112">
        <f t="shared" si="64"/>
        <v>0</v>
      </c>
      <c r="AR160" s="112">
        <f t="shared" si="65"/>
        <v>1368</v>
      </c>
      <c r="AS160" s="112"/>
      <c r="AT160" s="110" t="s">
        <v>534</v>
      </c>
      <c r="AU160" s="111"/>
      <c r="AV160" s="112">
        <f t="shared" si="66"/>
        <v>18</v>
      </c>
      <c r="AW160" s="112">
        <f t="shared" si="67"/>
        <v>1368</v>
      </c>
      <c r="AX160" s="112"/>
      <c r="AY160" s="114" t="s">
        <v>144</v>
      </c>
      <c r="AZ160" s="119"/>
      <c r="BA160" s="112">
        <f t="shared" si="68"/>
        <v>18</v>
      </c>
      <c r="BB160" s="112">
        <f t="shared" si="69"/>
        <v>76</v>
      </c>
      <c r="BC160" s="112">
        <f t="shared" si="70"/>
        <v>1368</v>
      </c>
      <c r="BD160" s="112"/>
      <c r="BE160" s="112" t="s">
        <v>544</v>
      </c>
      <c r="BF160" s="113" t="s">
        <v>542</v>
      </c>
      <c r="BG160" s="120" t="s">
        <v>93</v>
      </c>
      <c r="BH160" s="120" t="s">
        <v>145</v>
      </c>
    </row>
    <row r="161" spans="1:60" s="120" customFormat="1" ht="15" customHeight="1">
      <c r="A161" s="112">
        <f t="shared" si="61"/>
        <v>159</v>
      </c>
      <c r="B161" s="113" t="s">
        <v>545</v>
      </c>
      <c r="C161" s="114" t="s">
        <v>389</v>
      </c>
      <c r="D161" s="122"/>
      <c r="E161" s="114" t="s">
        <v>546</v>
      </c>
      <c r="F161" s="112"/>
      <c r="G161" s="115" t="s">
        <v>81</v>
      </c>
      <c r="H161" s="112" t="s">
        <v>82</v>
      </c>
      <c r="I161" s="114" t="s">
        <v>83</v>
      </c>
      <c r="J161" s="114" t="s">
        <v>84</v>
      </c>
      <c r="K161" s="114" t="s">
        <v>83</v>
      </c>
      <c r="L161" s="113" t="s">
        <v>371</v>
      </c>
      <c r="M161" s="113" t="s">
        <v>371</v>
      </c>
      <c r="N161" s="116">
        <v>46112</v>
      </c>
      <c r="O161" s="114">
        <v>11</v>
      </c>
      <c r="P161" s="116">
        <v>46114</v>
      </c>
      <c r="Q161" s="116">
        <v>46147</v>
      </c>
      <c r="R161" s="116">
        <v>46114</v>
      </c>
      <c r="S161" s="112"/>
      <c r="T161" s="112"/>
      <c r="U161" s="112" t="s">
        <v>85</v>
      </c>
      <c r="V161" s="114" t="s">
        <v>99</v>
      </c>
      <c r="W161" s="114">
        <v>11</v>
      </c>
      <c r="X161" s="114">
        <v>11</v>
      </c>
      <c r="Y161" s="112"/>
      <c r="Z161" s="112" t="s">
        <v>87</v>
      </c>
      <c r="AA161" s="112"/>
      <c r="AB161" s="117"/>
      <c r="AC161" s="118">
        <v>25.5</v>
      </c>
      <c r="AD161" s="112"/>
      <c r="AE161" s="114">
        <v>11</v>
      </c>
      <c r="AF161" s="112" t="s">
        <v>88</v>
      </c>
      <c r="AG161" s="114" t="s">
        <v>99</v>
      </c>
      <c r="AH161" s="118">
        <v>12.5</v>
      </c>
      <c r="AI161" s="112">
        <f t="shared" si="62"/>
        <v>137.5</v>
      </c>
      <c r="AJ161" s="112"/>
      <c r="AK161" s="115" t="s">
        <v>89</v>
      </c>
      <c r="AL161" s="114">
        <v>11</v>
      </c>
      <c r="AM161" s="112">
        <v>18</v>
      </c>
      <c r="AN161" s="112">
        <f t="shared" si="63"/>
        <v>198</v>
      </c>
      <c r="AO161" s="112"/>
      <c r="AP161" s="112"/>
      <c r="AQ161" s="112">
        <f t="shared" si="64"/>
        <v>0</v>
      </c>
      <c r="AR161" s="112">
        <f t="shared" si="65"/>
        <v>198</v>
      </c>
      <c r="AS161" s="112"/>
      <c r="AT161" s="110" t="s">
        <v>373</v>
      </c>
      <c r="AU161" s="111">
        <v>46146</v>
      </c>
      <c r="AV161" s="112">
        <f t="shared" si="66"/>
        <v>18</v>
      </c>
      <c r="AW161" s="112">
        <f t="shared" si="67"/>
        <v>198</v>
      </c>
      <c r="AX161" s="112"/>
      <c r="AY161" s="114" t="s">
        <v>374</v>
      </c>
      <c r="AZ161" s="119">
        <v>46156</v>
      </c>
      <c r="BA161" s="112">
        <f t="shared" si="68"/>
        <v>18</v>
      </c>
      <c r="BB161" s="112">
        <f t="shared" si="69"/>
        <v>11</v>
      </c>
      <c r="BC161" s="112">
        <f t="shared" si="70"/>
        <v>198</v>
      </c>
      <c r="BD161" s="112"/>
      <c r="BE161" s="112" t="s">
        <v>547</v>
      </c>
      <c r="BF161" s="113" t="s">
        <v>545</v>
      </c>
      <c r="BG161" s="120" t="s">
        <v>93</v>
      </c>
      <c r="BH161" s="120" t="s">
        <v>145</v>
      </c>
    </row>
    <row r="162" spans="1:60" s="120" customFormat="1" ht="15" customHeight="1">
      <c r="A162" s="112">
        <f t="shared" si="61"/>
        <v>160</v>
      </c>
      <c r="B162" s="113" t="s">
        <v>548</v>
      </c>
      <c r="C162" s="114" t="s">
        <v>389</v>
      </c>
      <c r="D162" s="122"/>
      <c r="E162" s="114" t="s">
        <v>549</v>
      </c>
      <c r="F162" s="112"/>
      <c r="G162" s="115" t="s">
        <v>81</v>
      </c>
      <c r="H162" s="112" t="s">
        <v>82</v>
      </c>
      <c r="I162" s="114" t="s">
        <v>83</v>
      </c>
      <c r="J162" s="114" t="s">
        <v>84</v>
      </c>
      <c r="K162" s="114" t="s">
        <v>83</v>
      </c>
      <c r="L162" s="113" t="s">
        <v>371</v>
      </c>
      <c r="M162" s="113" t="s">
        <v>371</v>
      </c>
      <c r="N162" s="116">
        <v>46112</v>
      </c>
      <c r="O162" s="114">
        <v>122</v>
      </c>
      <c r="P162" s="116">
        <v>46114</v>
      </c>
      <c r="Q162" s="116">
        <v>46147</v>
      </c>
      <c r="R162" s="116">
        <v>46114</v>
      </c>
      <c r="S162" s="112"/>
      <c r="T162" s="112"/>
      <c r="U162" s="112" t="s">
        <v>85</v>
      </c>
      <c r="V162" s="114" t="s">
        <v>99</v>
      </c>
      <c r="W162" s="114">
        <v>122</v>
      </c>
      <c r="X162" s="114">
        <v>122</v>
      </c>
      <c r="Y162" s="112"/>
      <c r="Z162" s="112" t="s">
        <v>87</v>
      </c>
      <c r="AA162" s="112"/>
      <c r="AB162" s="117"/>
      <c r="AC162" s="118">
        <v>25.5</v>
      </c>
      <c r="AD162" s="112"/>
      <c r="AE162" s="114">
        <v>122</v>
      </c>
      <c r="AF162" s="112" t="s">
        <v>88</v>
      </c>
      <c r="AG162" s="114" t="s">
        <v>99</v>
      </c>
      <c r="AH162" s="118">
        <v>12.5</v>
      </c>
      <c r="AI162" s="112">
        <f t="shared" si="62"/>
        <v>1525</v>
      </c>
      <c r="AJ162" s="112"/>
      <c r="AK162" s="115" t="s">
        <v>89</v>
      </c>
      <c r="AL162" s="114">
        <v>122</v>
      </c>
      <c r="AM162" s="112">
        <v>18</v>
      </c>
      <c r="AN162" s="112">
        <f t="shared" si="63"/>
        <v>2196</v>
      </c>
      <c r="AO162" s="112"/>
      <c r="AP162" s="112"/>
      <c r="AQ162" s="112">
        <f t="shared" si="64"/>
        <v>0</v>
      </c>
      <c r="AR162" s="112">
        <f t="shared" si="65"/>
        <v>2196</v>
      </c>
      <c r="AS162" s="112"/>
      <c r="AT162" s="110" t="s">
        <v>534</v>
      </c>
      <c r="AU162" s="111"/>
      <c r="AV162" s="112">
        <f t="shared" si="66"/>
        <v>18</v>
      </c>
      <c r="AW162" s="112">
        <f t="shared" si="67"/>
        <v>2196</v>
      </c>
      <c r="AX162" s="112"/>
      <c r="AY162" s="114" t="s">
        <v>144</v>
      </c>
      <c r="AZ162" s="119"/>
      <c r="BA162" s="112">
        <f t="shared" si="68"/>
        <v>18</v>
      </c>
      <c r="BB162" s="112">
        <f t="shared" si="69"/>
        <v>122</v>
      </c>
      <c r="BC162" s="112">
        <f t="shared" si="70"/>
        <v>2196</v>
      </c>
      <c r="BD162" s="112"/>
      <c r="BE162" s="112" t="s">
        <v>550</v>
      </c>
      <c r="BF162" s="113" t="s">
        <v>548</v>
      </c>
      <c r="BG162" s="120" t="s">
        <v>93</v>
      </c>
      <c r="BH162" s="120" t="s">
        <v>145</v>
      </c>
    </row>
    <row r="163" spans="1:60" s="120" customFormat="1" ht="15" customHeight="1">
      <c r="A163" s="112">
        <f t="shared" si="61"/>
        <v>161</v>
      </c>
      <c r="B163" s="113" t="s">
        <v>551</v>
      </c>
      <c r="C163" s="114" t="s">
        <v>389</v>
      </c>
      <c r="D163" s="122"/>
      <c r="E163" s="114" t="s">
        <v>552</v>
      </c>
      <c r="F163" s="112"/>
      <c r="G163" s="115" t="s">
        <v>81</v>
      </c>
      <c r="H163" s="112" t="s">
        <v>82</v>
      </c>
      <c r="I163" s="114" t="s">
        <v>83</v>
      </c>
      <c r="J163" s="114" t="s">
        <v>84</v>
      </c>
      <c r="K163" s="114" t="s">
        <v>83</v>
      </c>
      <c r="L163" s="113" t="s">
        <v>371</v>
      </c>
      <c r="M163" s="113" t="s">
        <v>371</v>
      </c>
      <c r="N163" s="116">
        <v>46112</v>
      </c>
      <c r="O163" s="114">
        <v>189</v>
      </c>
      <c r="P163" s="116">
        <v>46114</v>
      </c>
      <c r="Q163" s="116">
        <v>46147</v>
      </c>
      <c r="R163" s="116">
        <v>46114</v>
      </c>
      <c r="S163" s="112"/>
      <c r="T163" s="112"/>
      <c r="U163" s="112" t="s">
        <v>85</v>
      </c>
      <c r="V163" s="114" t="s">
        <v>99</v>
      </c>
      <c r="W163" s="114">
        <v>189</v>
      </c>
      <c r="X163" s="114">
        <v>189</v>
      </c>
      <c r="Y163" s="112"/>
      <c r="Z163" s="112" t="s">
        <v>87</v>
      </c>
      <c r="AA163" s="112"/>
      <c r="AB163" s="117"/>
      <c r="AC163" s="118">
        <v>25.5</v>
      </c>
      <c r="AD163" s="112"/>
      <c r="AE163" s="114">
        <v>189</v>
      </c>
      <c r="AF163" s="112" t="s">
        <v>88</v>
      </c>
      <c r="AG163" s="114" t="s">
        <v>99</v>
      </c>
      <c r="AH163" s="118">
        <v>12.5</v>
      </c>
      <c r="AI163" s="112">
        <f t="shared" si="62"/>
        <v>2362.5</v>
      </c>
      <c r="AJ163" s="112"/>
      <c r="AK163" s="115" t="s">
        <v>89</v>
      </c>
      <c r="AL163" s="114">
        <v>189</v>
      </c>
      <c r="AM163" s="112">
        <v>18</v>
      </c>
      <c r="AN163" s="112">
        <f t="shared" si="63"/>
        <v>3402</v>
      </c>
      <c r="AO163" s="112"/>
      <c r="AP163" s="112"/>
      <c r="AQ163" s="112">
        <f t="shared" si="64"/>
        <v>0</v>
      </c>
      <c r="AR163" s="112">
        <f t="shared" si="65"/>
        <v>3402</v>
      </c>
      <c r="AS163" s="112"/>
      <c r="AT163" s="110" t="s">
        <v>534</v>
      </c>
      <c r="AU163" s="111"/>
      <c r="AV163" s="112">
        <f t="shared" si="66"/>
        <v>18</v>
      </c>
      <c r="AW163" s="112">
        <f t="shared" si="67"/>
        <v>3402</v>
      </c>
      <c r="AX163" s="112"/>
      <c r="AY163" s="114" t="s">
        <v>144</v>
      </c>
      <c r="AZ163" s="119"/>
      <c r="BA163" s="112">
        <f t="shared" si="68"/>
        <v>18</v>
      </c>
      <c r="BB163" s="112">
        <f t="shared" si="69"/>
        <v>189</v>
      </c>
      <c r="BC163" s="112">
        <f t="shared" si="70"/>
        <v>3402</v>
      </c>
      <c r="BD163" s="112"/>
      <c r="BE163" s="112" t="s">
        <v>553</v>
      </c>
      <c r="BF163" s="113" t="s">
        <v>551</v>
      </c>
      <c r="BG163" s="120" t="s">
        <v>93</v>
      </c>
      <c r="BH163" s="120" t="s">
        <v>145</v>
      </c>
    </row>
    <row r="164" spans="1:60" s="120" customFormat="1" ht="15" customHeight="1">
      <c r="A164" s="112">
        <f t="shared" si="61"/>
        <v>162</v>
      </c>
      <c r="B164" s="113" t="s">
        <v>554</v>
      </c>
      <c r="C164" s="114" t="s">
        <v>387</v>
      </c>
      <c r="D164" s="122"/>
      <c r="E164" s="114" t="s">
        <v>555</v>
      </c>
      <c r="F164" s="112"/>
      <c r="G164" s="115" t="s">
        <v>81</v>
      </c>
      <c r="H164" s="112" t="s">
        <v>82</v>
      </c>
      <c r="I164" s="114" t="s">
        <v>83</v>
      </c>
      <c r="J164" s="114" t="s">
        <v>84</v>
      </c>
      <c r="K164" s="114" t="s">
        <v>83</v>
      </c>
      <c r="L164" s="113" t="s">
        <v>371</v>
      </c>
      <c r="M164" s="113" t="s">
        <v>371</v>
      </c>
      <c r="N164" s="116">
        <v>46112</v>
      </c>
      <c r="O164" s="114">
        <v>11</v>
      </c>
      <c r="P164" s="116">
        <v>46114</v>
      </c>
      <c r="Q164" s="116">
        <v>46147</v>
      </c>
      <c r="R164" s="116">
        <v>46114</v>
      </c>
      <c r="S164" s="112"/>
      <c r="T164" s="112"/>
      <c r="U164" s="112" t="s">
        <v>85</v>
      </c>
      <c r="V164" s="114" t="s">
        <v>99</v>
      </c>
      <c r="W164" s="114">
        <v>11</v>
      </c>
      <c r="X164" s="114">
        <v>11</v>
      </c>
      <c r="Y164" s="112"/>
      <c r="Z164" s="112" t="s">
        <v>87</v>
      </c>
      <c r="AA164" s="112"/>
      <c r="AB164" s="117"/>
      <c r="AC164" s="118">
        <v>25.5</v>
      </c>
      <c r="AD164" s="112"/>
      <c r="AE164" s="114">
        <v>11</v>
      </c>
      <c r="AF164" s="112" t="s">
        <v>88</v>
      </c>
      <c r="AG164" s="114" t="s">
        <v>99</v>
      </c>
      <c r="AH164" s="118">
        <v>12.5</v>
      </c>
      <c r="AI164" s="112">
        <f t="shared" si="62"/>
        <v>137.5</v>
      </c>
      <c r="AJ164" s="112"/>
      <c r="AK164" s="115" t="s">
        <v>89</v>
      </c>
      <c r="AL164" s="114">
        <v>11</v>
      </c>
      <c r="AM164" s="112">
        <v>18</v>
      </c>
      <c r="AN164" s="112">
        <f t="shared" si="63"/>
        <v>198</v>
      </c>
      <c r="AO164" s="112"/>
      <c r="AP164" s="112"/>
      <c r="AQ164" s="112">
        <f t="shared" si="64"/>
        <v>0</v>
      </c>
      <c r="AR164" s="112">
        <f t="shared" si="65"/>
        <v>198</v>
      </c>
      <c r="AS164" s="112"/>
      <c r="AT164" s="110" t="s">
        <v>373</v>
      </c>
      <c r="AU164" s="111">
        <v>46146</v>
      </c>
      <c r="AV164" s="112">
        <f t="shared" si="66"/>
        <v>18</v>
      </c>
      <c r="AW164" s="112">
        <f t="shared" si="67"/>
        <v>198</v>
      </c>
      <c r="AX164" s="112"/>
      <c r="AY164" s="114" t="s">
        <v>374</v>
      </c>
      <c r="AZ164" s="119">
        <v>46156</v>
      </c>
      <c r="BA164" s="112">
        <f t="shared" si="68"/>
        <v>18</v>
      </c>
      <c r="BB164" s="112">
        <f t="shared" si="69"/>
        <v>11</v>
      </c>
      <c r="BC164" s="112">
        <f t="shared" si="70"/>
        <v>198</v>
      </c>
      <c r="BD164" s="112"/>
      <c r="BE164" s="112" t="s">
        <v>556</v>
      </c>
      <c r="BF164" s="113" t="s">
        <v>554</v>
      </c>
      <c r="BG164" s="120" t="s">
        <v>93</v>
      </c>
      <c r="BH164" s="120" t="s">
        <v>145</v>
      </c>
    </row>
    <row r="165" spans="1:60" s="120" customFormat="1" ht="15" customHeight="1">
      <c r="A165" s="112">
        <f t="shared" si="61"/>
        <v>163</v>
      </c>
      <c r="B165" s="113" t="s">
        <v>557</v>
      </c>
      <c r="C165" s="114" t="s">
        <v>387</v>
      </c>
      <c r="D165" s="122"/>
      <c r="E165" s="114" t="s">
        <v>558</v>
      </c>
      <c r="F165" s="112"/>
      <c r="G165" s="115" t="s">
        <v>81</v>
      </c>
      <c r="H165" s="112" t="s">
        <v>82</v>
      </c>
      <c r="I165" s="114" t="s">
        <v>83</v>
      </c>
      <c r="J165" s="114" t="s">
        <v>84</v>
      </c>
      <c r="K165" s="114" t="s">
        <v>83</v>
      </c>
      <c r="L165" s="113" t="s">
        <v>371</v>
      </c>
      <c r="M165" s="113" t="s">
        <v>371</v>
      </c>
      <c r="N165" s="116">
        <v>46112</v>
      </c>
      <c r="O165" s="114">
        <v>135</v>
      </c>
      <c r="P165" s="116">
        <v>46114</v>
      </c>
      <c r="Q165" s="116">
        <v>46147</v>
      </c>
      <c r="R165" s="116">
        <v>46114</v>
      </c>
      <c r="S165" s="112"/>
      <c r="T165" s="112"/>
      <c r="U165" s="112" t="s">
        <v>85</v>
      </c>
      <c r="V165" s="114" t="s">
        <v>86</v>
      </c>
      <c r="W165" s="114">
        <v>135</v>
      </c>
      <c r="X165" s="114">
        <v>123</v>
      </c>
      <c r="Y165" s="112"/>
      <c r="Z165" s="112" t="s">
        <v>87</v>
      </c>
      <c r="AA165" s="112"/>
      <c r="AB165" s="117"/>
      <c r="AC165" s="118">
        <v>30.5</v>
      </c>
      <c r="AD165" s="112"/>
      <c r="AE165" s="114">
        <v>135</v>
      </c>
      <c r="AF165" s="112" t="s">
        <v>88</v>
      </c>
      <c r="AG165" s="114" t="s">
        <v>86</v>
      </c>
      <c r="AH165" s="118">
        <v>24.5</v>
      </c>
      <c r="AI165" s="112">
        <f t="shared" si="62"/>
        <v>3307.5</v>
      </c>
      <c r="AJ165" s="112"/>
      <c r="AK165" s="115" t="s">
        <v>89</v>
      </c>
      <c r="AL165" s="114">
        <v>123</v>
      </c>
      <c r="AM165" s="112">
        <v>18</v>
      </c>
      <c r="AN165" s="112">
        <f t="shared" si="63"/>
        <v>2214</v>
      </c>
      <c r="AO165" s="112"/>
      <c r="AP165" s="112"/>
      <c r="AQ165" s="112">
        <f t="shared" si="64"/>
        <v>0</v>
      </c>
      <c r="AR165" s="112">
        <f t="shared" si="65"/>
        <v>2214</v>
      </c>
      <c r="AS165" s="112"/>
      <c r="AT165" s="110" t="s">
        <v>534</v>
      </c>
      <c r="AU165" s="111"/>
      <c r="AV165" s="112">
        <f t="shared" si="66"/>
        <v>18</v>
      </c>
      <c r="AW165" s="112">
        <f t="shared" si="67"/>
        <v>2214</v>
      </c>
      <c r="AX165" s="112"/>
      <c r="AY165" s="114" t="s">
        <v>144</v>
      </c>
      <c r="AZ165" s="119"/>
      <c r="BA165" s="112">
        <f t="shared" si="68"/>
        <v>18</v>
      </c>
      <c r="BB165" s="112">
        <f t="shared" si="69"/>
        <v>123</v>
      </c>
      <c r="BC165" s="112">
        <f t="shared" si="70"/>
        <v>2214</v>
      </c>
      <c r="BD165" s="112"/>
      <c r="BE165" s="112" t="s">
        <v>559</v>
      </c>
      <c r="BF165" s="113" t="s">
        <v>557</v>
      </c>
      <c r="BG165" s="120" t="s">
        <v>93</v>
      </c>
      <c r="BH165" s="120" t="s">
        <v>145</v>
      </c>
    </row>
    <row r="166" spans="1:60" s="120" customFormat="1" ht="15" customHeight="1">
      <c r="A166" s="112">
        <f t="shared" si="61"/>
        <v>164</v>
      </c>
      <c r="B166" s="113" t="s">
        <v>560</v>
      </c>
      <c r="C166" s="114" t="s">
        <v>561</v>
      </c>
      <c r="D166" s="122"/>
      <c r="E166" s="114" t="s">
        <v>562</v>
      </c>
      <c r="F166" s="112"/>
      <c r="G166" s="115" t="s">
        <v>81</v>
      </c>
      <c r="H166" s="112" t="s">
        <v>82</v>
      </c>
      <c r="I166" s="114" t="s">
        <v>83</v>
      </c>
      <c r="J166" s="114" t="s">
        <v>84</v>
      </c>
      <c r="K166" s="114" t="s">
        <v>83</v>
      </c>
      <c r="L166" s="113" t="s">
        <v>371</v>
      </c>
      <c r="M166" s="113" t="s">
        <v>371</v>
      </c>
      <c r="N166" s="116">
        <v>46112</v>
      </c>
      <c r="O166" s="114">
        <v>60</v>
      </c>
      <c r="P166" s="116">
        <v>46114</v>
      </c>
      <c r="Q166" s="116">
        <v>46147</v>
      </c>
      <c r="R166" s="116">
        <v>46114</v>
      </c>
      <c r="S166" s="112"/>
      <c r="T166" s="112"/>
      <c r="U166" s="112" t="s">
        <v>85</v>
      </c>
      <c r="V166" s="114" t="s">
        <v>99</v>
      </c>
      <c r="W166" s="114">
        <v>60</v>
      </c>
      <c r="X166" s="114">
        <v>60</v>
      </c>
      <c r="Y166" s="112"/>
      <c r="Z166" s="112" t="s">
        <v>87</v>
      </c>
      <c r="AA166" s="112"/>
      <c r="AB166" s="117"/>
      <c r="AC166" s="118">
        <v>25.5</v>
      </c>
      <c r="AD166" s="112"/>
      <c r="AE166" s="114">
        <v>60</v>
      </c>
      <c r="AF166" s="112" t="s">
        <v>88</v>
      </c>
      <c r="AG166" s="114" t="s">
        <v>99</v>
      </c>
      <c r="AH166" s="118">
        <v>12.5</v>
      </c>
      <c r="AI166" s="112">
        <f t="shared" si="62"/>
        <v>750</v>
      </c>
      <c r="AJ166" s="112"/>
      <c r="AK166" s="115" t="s">
        <v>89</v>
      </c>
      <c r="AL166" s="114">
        <v>60</v>
      </c>
      <c r="AM166" s="112">
        <v>18</v>
      </c>
      <c r="AN166" s="112">
        <f t="shared" si="63"/>
        <v>1080</v>
      </c>
      <c r="AO166" s="112"/>
      <c r="AP166" s="112"/>
      <c r="AQ166" s="112">
        <f t="shared" si="64"/>
        <v>0</v>
      </c>
      <c r="AR166" s="112">
        <f t="shared" si="65"/>
        <v>1080</v>
      </c>
      <c r="AS166" s="112"/>
      <c r="AT166" s="110" t="s">
        <v>534</v>
      </c>
      <c r="AU166" s="111"/>
      <c r="AV166" s="112">
        <f t="shared" si="66"/>
        <v>18</v>
      </c>
      <c r="AW166" s="112">
        <f t="shared" si="67"/>
        <v>1080</v>
      </c>
      <c r="AX166" s="112"/>
      <c r="AY166" s="114" t="s">
        <v>144</v>
      </c>
      <c r="AZ166" s="119"/>
      <c r="BA166" s="112">
        <f t="shared" si="68"/>
        <v>18</v>
      </c>
      <c r="BB166" s="112">
        <f t="shared" si="69"/>
        <v>60</v>
      </c>
      <c r="BC166" s="112">
        <f t="shared" si="70"/>
        <v>1080</v>
      </c>
      <c r="BD166" s="112"/>
      <c r="BE166" s="112" t="s">
        <v>563</v>
      </c>
      <c r="BF166" s="113" t="s">
        <v>560</v>
      </c>
      <c r="BG166" s="120" t="s">
        <v>93</v>
      </c>
      <c r="BH166" s="120" t="s">
        <v>145</v>
      </c>
    </row>
    <row r="167" spans="1:60" s="120" customFormat="1" ht="15" customHeight="1">
      <c r="A167" s="112">
        <f t="shared" si="61"/>
        <v>165</v>
      </c>
      <c r="B167" s="113" t="s">
        <v>564</v>
      </c>
      <c r="C167" s="114" t="s">
        <v>558</v>
      </c>
      <c r="D167" s="122"/>
      <c r="E167" s="114" t="s">
        <v>565</v>
      </c>
      <c r="F167" s="112"/>
      <c r="G167" s="115" t="s">
        <v>81</v>
      </c>
      <c r="H167" s="112" t="s">
        <v>82</v>
      </c>
      <c r="I167" s="114" t="s">
        <v>83</v>
      </c>
      <c r="J167" s="114" t="s">
        <v>84</v>
      </c>
      <c r="K167" s="114" t="s">
        <v>83</v>
      </c>
      <c r="L167" s="113" t="s">
        <v>371</v>
      </c>
      <c r="M167" s="113" t="s">
        <v>371</v>
      </c>
      <c r="N167" s="116">
        <v>46112</v>
      </c>
      <c r="O167" s="114">
        <v>74</v>
      </c>
      <c r="P167" s="116">
        <v>46114</v>
      </c>
      <c r="Q167" s="116">
        <v>46147</v>
      </c>
      <c r="R167" s="116">
        <v>46114</v>
      </c>
      <c r="S167" s="112"/>
      <c r="T167" s="112"/>
      <c r="U167" s="112" t="s">
        <v>85</v>
      </c>
      <c r="V167" s="114" t="s">
        <v>99</v>
      </c>
      <c r="W167" s="114">
        <v>74</v>
      </c>
      <c r="X167" s="114">
        <v>74</v>
      </c>
      <c r="Y167" s="112"/>
      <c r="Z167" s="112" t="s">
        <v>87</v>
      </c>
      <c r="AA167" s="112"/>
      <c r="AB167" s="117"/>
      <c r="AC167" s="118">
        <v>25.5</v>
      </c>
      <c r="AD167" s="112"/>
      <c r="AE167" s="114">
        <v>74</v>
      </c>
      <c r="AF167" s="112" t="s">
        <v>88</v>
      </c>
      <c r="AG167" s="114" t="s">
        <v>99</v>
      </c>
      <c r="AH167" s="118">
        <v>12.5</v>
      </c>
      <c r="AI167" s="112">
        <f t="shared" si="62"/>
        <v>925</v>
      </c>
      <c r="AJ167" s="112"/>
      <c r="AK167" s="115" t="s">
        <v>89</v>
      </c>
      <c r="AL167" s="114">
        <v>74</v>
      </c>
      <c r="AM167" s="112">
        <v>18</v>
      </c>
      <c r="AN167" s="112">
        <f t="shared" si="63"/>
        <v>1332</v>
      </c>
      <c r="AO167" s="112"/>
      <c r="AP167" s="112"/>
      <c r="AQ167" s="112">
        <f t="shared" si="64"/>
        <v>0</v>
      </c>
      <c r="AR167" s="112">
        <f t="shared" si="65"/>
        <v>1332</v>
      </c>
      <c r="AS167" s="112"/>
      <c r="AT167" s="110" t="s">
        <v>534</v>
      </c>
      <c r="AU167" s="111"/>
      <c r="AV167" s="112">
        <f t="shared" si="66"/>
        <v>18</v>
      </c>
      <c r="AW167" s="112">
        <f t="shared" si="67"/>
        <v>1332</v>
      </c>
      <c r="AX167" s="112"/>
      <c r="AY167" s="114" t="s">
        <v>144</v>
      </c>
      <c r="AZ167" s="119"/>
      <c r="BA167" s="112">
        <f t="shared" si="68"/>
        <v>18</v>
      </c>
      <c r="BB167" s="112">
        <f t="shared" si="69"/>
        <v>74</v>
      </c>
      <c r="BC167" s="112">
        <f t="shared" si="70"/>
        <v>1332</v>
      </c>
      <c r="BD167" s="112"/>
      <c r="BE167" s="112" t="s">
        <v>566</v>
      </c>
      <c r="BF167" s="113" t="s">
        <v>564</v>
      </c>
      <c r="BG167" s="120" t="s">
        <v>93</v>
      </c>
      <c r="BH167" s="120" t="s">
        <v>145</v>
      </c>
    </row>
    <row r="168" spans="1:60" s="120" customFormat="1" ht="15" customHeight="1">
      <c r="A168" s="112">
        <f t="shared" si="61"/>
        <v>166</v>
      </c>
      <c r="B168" s="113" t="s">
        <v>567</v>
      </c>
      <c r="C168" s="114" t="s">
        <v>558</v>
      </c>
      <c r="D168" s="122"/>
      <c r="E168" s="114" t="s">
        <v>568</v>
      </c>
      <c r="F168" s="112"/>
      <c r="G168" s="115" t="s">
        <v>81</v>
      </c>
      <c r="H168" s="112" t="s">
        <v>82</v>
      </c>
      <c r="I168" s="114" t="s">
        <v>83</v>
      </c>
      <c r="J168" s="114" t="s">
        <v>84</v>
      </c>
      <c r="K168" s="114" t="s">
        <v>83</v>
      </c>
      <c r="L168" s="113" t="s">
        <v>371</v>
      </c>
      <c r="M168" s="113" t="s">
        <v>371</v>
      </c>
      <c r="N168" s="116">
        <v>46112</v>
      </c>
      <c r="O168" s="114">
        <v>76</v>
      </c>
      <c r="P168" s="116">
        <v>46114</v>
      </c>
      <c r="Q168" s="116">
        <v>46147</v>
      </c>
      <c r="R168" s="116">
        <v>46114</v>
      </c>
      <c r="S168" s="112"/>
      <c r="T168" s="112"/>
      <c r="U168" s="112" t="s">
        <v>85</v>
      </c>
      <c r="V168" s="114" t="s">
        <v>99</v>
      </c>
      <c r="W168" s="114">
        <v>76</v>
      </c>
      <c r="X168" s="114">
        <v>76</v>
      </c>
      <c r="Y168" s="112"/>
      <c r="Z168" s="112" t="s">
        <v>87</v>
      </c>
      <c r="AA168" s="112"/>
      <c r="AB168" s="117"/>
      <c r="AC168" s="118">
        <v>25.5</v>
      </c>
      <c r="AD168" s="112"/>
      <c r="AE168" s="114">
        <v>76</v>
      </c>
      <c r="AF168" s="112" t="s">
        <v>88</v>
      </c>
      <c r="AG168" s="114" t="s">
        <v>99</v>
      </c>
      <c r="AH168" s="118">
        <v>12.5</v>
      </c>
      <c r="AI168" s="112">
        <f t="shared" si="62"/>
        <v>950</v>
      </c>
      <c r="AJ168" s="112"/>
      <c r="AK168" s="115" t="s">
        <v>89</v>
      </c>
      <c r="AL168" s="114">
        <v>76</v>
      </c>
      <c r="AM168" s="112">
        <v>18</v>
      </c>
      <c r="AN168" s="112">
        <f t="shared" si="63"/>
        <v>1368</v>
      </c>
      <c r="AO168" s="112"/>
      <c r="AP168" s="112"/>
      <c r="AQ168" s="112">
        <f t="shared" si="64"/>
        <v>0</v>
      </c>
      <c r="AR168" s="112">
        <f t="shared" si="65"/>
        <v>1368</v>
      </c>
      <c r="AS168" s="112"/>
      <c r="AT168" s="110" t="s">
        <v>534</v>
      </c>
      <c r="AU168" s="111"/>
      <c r="AV168" s="112">
        <f t="shared" si="66"/>
        <v>18</v>
      </c>
      <c r="AW168" s="112">
        <f t="shared" si="67"/>
        <v>1368</v>
      </c>
      <c r="AX168" s="112"/>
      <c r="AY168" s="114" t="s">
        <v>144</v>
      </c>
      <c r="AZ168" s="119"/>
      <c r="BA168" s="112">
        <f t="shared" si="68"/>
        <v>18</v>
      </c>
      <c r="BB168" s="112">
        <f t="shared" si="69"/>
        <v>76</v>
      </c>
      <c r="BC168" s="112">
        <f t="shared" si="70"/>
        <v>1368</v>
      </c>
      <c r="BD168" s="112"/>
      <c r="BE168" s="112" t="s">
        <v>569</v>
      </c>
      <c r="BF168" s="113" t="s">
        <v>567</v>
      </c>
      <c r="BG168" s="120" t="s">
        <v>93</v>
      </c>
      <c r="BH168" s="120" t="s">
        <v>145</v>
      </c>
    </row>
    <row r="169" spans="1:60" s="120" customFormat="1" ht="15" customHeight="1">
      <c r="A169" s="112">
        <f t="shared" si="61"/>
        <v>167</v>
      </c>
      <c r="B169" s="113" t="s">
        <v>570</v>
      </c>
      <c r="C169" s="114" t="s">
        <v>387</v>
      </c>
      <c r="D169" s="122"/>
      <c r="E169" s="114" t="s">
        <v>571</v>
      </c>
      <c r="F169" s="112"/>
      <c r="G169" s="115" t="s">
        <v>81</v>
      </c>
      <c r="H169" s="112" t="s">
        <v>82</v>
      </c>
      <c r="I169" s="114" t="s">
        <v>83</v>
      </c>
      <c r="J169" s="114" t="s">
        <v>84</v>
      </c>
      <c r="K169" s="114" t="s">
        <v>83</v>
      </c>
      <c r="L169" s="113" t="s">
        <v>371</v>
      </c>
      <c r="M169" s="113" t="s">
        <v>371</v>
      </c>
      <c r="N169" s="116">
        <v>46112</v>
      </c>
      <c r="O169" s="114">
        <v>12</v>
      </c>
      <c r="P169" s="116">
        <v>46114</v>
      </c>
      <c r="Q169" s="116">
        <v>46147</v>
      </c>
      <c r="R169" s="116">
        <v>46114</v>
      </c>
      <c r="S169" s="112"/>
      <c r="T169" s="112"/>
      <c r="U169" s="112" t="s">
        <v>85</v>
      </c>
      <c r="V169" s="114" t="s">
        <v>99</v>
      </c>
      <c r="W169" s="114">
        <v>12</v>
      </c>
      <c r="X169" s="114">
        <v>12</v>
      </c>
      <c r="Y169" s="112"/>
      <c r="Z169" s="112" t="s">
        <v>87</v>
      </c>
      <c r="AA169" s="112"/>
      <c r="AB169" s="117"/>
      <c r="AC169" s="118">
        <v>25.5</v>
      </c>
      <c r="AD169" s="112"/>
      <c r="AE169" s="114">
        <v>12</v>
      </c>
      <c r="AF169" s="112" t="s">
        <v>88</v>
      </c>
      <c r="AG169" s="114" t="s">
        <v>99</v>
      </c>
      <c r="AH169" s="118">
        <v>12.5</v>
      </c>
      <c r="AI169" s="112">
        <f t="shared" si="62"/>
        <v>150</v>
      </c>
      <c r="AJ169" s="112"/>
      <c r="AK169" s="115" t="s">
        <v>89</v>
      </c>
      <c r="AL169" s="114">
        <v>12</v>
      </c>
      <c r="AM169" s="112">
        <v>18</v>
      </c>
      <c r="AN169" s="112">
        <f t="shared" si="63"/>
        <v>216</v>
      </c>
      <c r="AO169" s="112"/>
      <c r="AP169" s="112"/>
      <c r="AQ169" s="112">
        <f t="shared" si="64"/>
        <v>0</v>
      </c>
      <c r="AR169" s="112">
        <f t="shared" si="65"/>
        <v>216</v>
      </c>
      <c r="AS169" s="112"/>
      <c r="AT169" s="110" t="s">
        <v>373</v>
      </c>
      <c r="AU169" s="111">
        <v>46146</v>
      </c>
      <c r="AV169" s="112">
        <f t="shared" si="66"/>
        <v>18</v>
      </c>
      <c r="AW169" s="112">
        <f t="shared" si="67"/>
        <v>216</v>
      </c>
      <c r="AX169" s="112"/>
      <c r="AY169" s="114" t="s">
        <v>374</v>
      </c>
      <c r="AZ169" s="119">
        <v>46156</v>
      </c>
      <c r="BA169" s="112">
        <f t="shared" si="68"/>
        <v>18</v>
      </c>
      <c r="BB169" s="112">
        <f t="shared" si="69"/>
        <v>12</v>
      </c>
      <c r="BC169" s="112">
        <f t="shared" si="70"/>
        <v>216</v>
      </c>
      <c r="BD169" s="112"/>
      <c r="BE169" s="112" t="s">
        <v>572</v>
      </c>
      <c r="BF169" s="113" t="s">
        <v>570</v>
      </c>
      <c r="BG169" s="120" t="s">
        <v>93</v>
      </c>
      <c r="BH169" s="120" t="s">
        <v>145</v>
      </c>
    </row>
    <row r="170" spans="1:60" s="120" customFormat="1" ht="15" customHeight="1">
      <c r="A170" s="112">
        <f t="shared" si="61"/>
        <v>168</v>
      </c>
      <c r="B170" s="113" t="s">
        <v>573</v>
      </c>
      <c r="C170" s="114" t="s">
        <v>574</v>
      </c>
      <c r="D170" s="122"/>
      <c r="E170" s="114" t="s">
        <v>575</v>
      </c>
      <c r="F170" s="112"/>
      <c r="G170" s="115" t="s">
        <v>81</v>
      </c>
      <c r="H170" s="112" t="s">
        <v>82</v>
      </c>
      <c r="I170" s="114" t="s">
        <v>83</v>
      </c>
      <c r="J170" s="114" t="s">
        <v>84</v>
      </c>
      <c r="K170" s="114" t="s">
        <v>83</v>
      </c>
      <c r="L170" s="113" t="s">
        <v>371</v>
      </c>
      <c r="M170" s="113" t="s">
        <v>371</v>
      </c>
      <c r="N170" s="116">
        <v>46112</v>
      </c>
      <c r="O170" s="114">
        <v>10</v>
      </c>
      <c r="P170" s="116">
        <v>46114</v>
      </c>
      <c r="Q170" s="116">
        <v>46147</v>
      </c>
      <c r="R170" s="116">
        <v>46114</v>
      </c>
      <c r="S170" s="112"/>
      <c r="T170" s="112"/>
      <c r="U170" s="112" t="s">
        <v>85</v>
      </c>
      <c r="V170" s="114" t="s">
        <v>99</v>
      </c>
      <c r="W170" s="114">
        <v>10</v>
      </c>
      <c r="X170" s="114">
        <v>10</v>
      </c>
      <c r="Y170" s="112"/>
      <c r="Z170" s="112" t="s">
        <v>87</v>
      </c>
      <c r="AA170" s="112"/>
      <c r="AB170" s="117"/>
      <c r="AC170" s="118">
        <v>25.5</v>
      </c>
      <c r="AD170" s="112"/>
      <c r="AE170" s="114">
        <v>10</v>
      </c>
      <c r="AF170" s="112" t="s">
        <v>88</v>
      </c>
      <c r="AG170" s="114" t="s">
        <v>99</v>
      </c>
      <c r="AH170" s="118">
        <v>12.5</v>
      </c>
      <c r="AI170" s="112">
        <f t="shared" si="62"/>
        <v>125</v>
      </c>
      <c r="AJ170" s="112"/>
      <c r="AK170" s="115" t="s">
        <v>89</v>
      </c>
      <c r="AL170" s="114">
        <v>10</v>
      </c>
      <c r="AM170" s="112">
        <v>18</v>
      </c>
      <c r="AN170" s="112">
        <f t="shared" si="63"/>
        <v>180</v>
      </c>
      <c r="AO170" s="112"/>
      <c r="AP170" s="112"/>
      <c r="AQ170" s="112">
        <f t="shared" si="64"/>
        <v>0</v>
      </c>
      <c r="AR170" s="112">
        <f t="shared" si="65"/>
        <v>180</v>
      </c>
      <c r="AS170" s="112"/>
      <c r="AT170" s="110" t="s">
        <v>534</v>
      </c>
      <c r="AU170" s="111"/>
      <c r="AV170" s="112">
        <f t="shared" si="66"/>
        <v>18</v>
      </c>
      <c r="AW170" s="112">
        <f t="shared" si="67"/>
        <v>180</v>
      </c>
      <c r="AX170" s="112"/>
      <c r="AY170" s="114" t="s">
        <v>144</v>
      </c>
      <c r="AZ170" s="119"/>
      <c r="BA170" s="112">
        <f t="shared" si="68"/>
        <v>18</v>
      </c>
      <c r="BB170" s="112">
        <f t="shared" si="69"/>
        <v>10</v>
      </c>
      <c r="BC170" s="112">
        <f t="shared" si="70"/>
        <v>180</v>
      </c>
      <c r="BD170" s="112"/>
      <c r="BE170" s="112" t="s">
        <v>576</v>
      </c>
      <c r="BF170" s="113" t="s">
        <v>573</v>
      </c>
      <c r="BG170" s="120" t="s">
        <v>93</v>
      </c>
      <c r="BH170" s="120" t="s">
        <v>145</v>
      </c>
    </row>
    <row r="171" spans="1:60" s="120" customFormat="1" ht="15" customHeight="1">
      <c r="A171" s="112">
        <f t="shared" si="61"/>
        <v>169</v>
      </c>
      <c r="B171" s="113" t="s">
        <v>577</v>
      </c>
      <c r="C171" s="114" t="s">
        <v>574</v>
      </c>
      <c r="D171" s="122"/>
      <c r="E171" s="114" t="s">
        <v>578</v>
      </c>
      <c r="F171" s="112"/>
      <c r="G171" s="115" t="s">
        <v>81</v>
      </c>
      <c r="H171" s="112" t="s">
        <v>82</v>
      </c>
      <c r="I171" s="114" t="s">
        <v>83</v>
      </c>
      <c r="J171" s="114" t="s">
        <v>84</v>
      </c>
      <c r="K171" s="114" t="s">
        <v>83</v>
      </c>
      <c r="L171" s="113" t="s">
        <v>371</v>
      </c>
      <c r="M171" s="113" t="s">
        <v>371</v>
      </c>
      <c r="N171" s="116">
        <v>46112</v>
      </c>
      <c r="O171" s="114">
        <v>36</v>
      </c>
      <c r="P171" s="116">
        <v>46114</v>
      </c>
      <c r="Q171" s="116">
        <v>46147</v>
      </c>
      <c r="R171" s="116">
        <v>46114</v>
      </c>
      <c r="S171" s="112"/>
      <c r="T171" s="112"/>
      <c r="U171" s="112" t="s">
        <v>85</v>
      </c>
      <c r="V171" s="114" t="s">
        <v>99</v>
      </c>
      <c r="W171" s="114">
        <v>36</v>
      </c>
      <c r="X171" s="114">
        <v>36</v>
      </c>
      <c r="Y171" s="112"/>
      <c r="Z171" s="112" t="s">
        <v>87</v>
      </c>
      <c r="AA171" s="112"/>
      <c r="AB171" s="117"/>
      <c r="AC171" s="118">
        <v>25.5</v>
      </c>
      <c r="AD171" s="112"/>
      <c r="AE171" s="114">
        <v>36</v>
      </c>
      <c r="AF171" s="112" t="s">
        <v>88</v>
      </c>
      <c r="AG171" s="114" t="s">
        <v>99</v>
      </c>
      <c r="AH171" s="118">
        <v>12.5</v>
      </c>
      <c r="AI171" s="112">
        <f t="shared" si="62"/>
        <v>450</v>
      </c>
      <c r="AJ171" s="112"/>
      <c r="AK171" s="115" t="s">
        <v>89</v>
      </c>
      <c r="AL171" s="114">
        <v>36</v>
      </c>
      <c r="AM171" s="112">
        <v>18</v>
      </c>
      <c r="AN171" s="112">
        <f t="shared" si="63"/>
        <v>648</v>
      </c>
      <c r="AO171" s="112"/>
      <c r="AP171" s="112"/>
      <c r="AQ171" s="112">
        <f t="shared" si="64"/>
        <v>0</v>
      </c>
      <c r="AR171" s="112">
        <f t="shared" si="65"/>
        <v>648</v>
      </c>
      <c r="AS171" s="112"/>
      <c r="AT171" s="110" t="s">
        <v>534</v>
      </c>
      <c r="AU171" s="111"/>
      <c r="AV171" s="112">
        <f t="shared" si="66"/>
        <v>18</v>
      </c>
      <c r="AW171" s="112">
        <f t="shared" si="67"/>
        <v>648</v>
      </c>
      <c r="AX171" s="112"/>
      <c r="AY171" s="114" t="s">
        <v>144</v>
      </c>
      <c r="AZ171" s="119"/>
      <c r="BA171" s="112">
        <f t="shared" si="68"/>
        <v>18</v>
      </c>
      <c r="BB171" s="112">
        <f t="shared" si="69"/>
        <v>36</v>
      </c>
      <c r="BC171" s="112">
        <f t="shared" si="70"/>
        <v>648</v>
      </c>
      <c r="BD171" s="112"/>
      <c r="BE171" s="112" t="s">
        <v>579</v>
      </c>
      <c r="BF171" s="113" t="s">
        <v>577</v>
      </c>
      <c r="BG171" s="120" t="s">
        <v>93</v>
      </c>
      <c r="BH171" s="120" t="s">
        <v>145</v>
      </c>
    </row>
    <row r="172" spans="1:60" s="120" customFormat="1" ht="15" customHeight="1">
      <c r="A172" s="112">
        <f t="shared" si="61"/>
        <v>170</v>
      </c>
      <c r="B172" s="113" t="s">
        <v>580</v>
      </c>
      <c r="C172" s="114" t="s">
        <v>574</v>
      </c>
      <c r="D172" s="122"/>
      <c r="E172" s="114" t="s">
        <v>581</v>
      </c>
      <c r="F172" s="112"/>
      <c r="G172" s="115" t="s">
        <v>81</v>
      </c>
      <c r="H172" s="112" t="s">
        <v>82</v>
      </c>
      <c r="I172" s="114" t="s">
        <v>83</v>
      </c>
      <c r="J172" s="114" t="s">
        <v>84</v>
      </c>
      <c r="K172" s="114" t="s">
        <v>83</v>
      </c>
      <c r="L172" s="113" t="s">
        <v>371</v>
      </c>
      <c r="M172" s="113" t="s">
        <v>371</v>
      </c>
      <c r="N172" s="116">
        <v>46112</v>
      </c>
      <c r="O172" s="114">
        <v>78</v>
      </c>
      <c r="P172" s="116">
        <v>46114</v>
      </c>
      <c r="Q172" s="116">
        <v>46147</v>
      </c>
      <c r="R172" s="116">
        <v>46114</v>
      </c>
      <c r="S172" s="112"/>
      <c r="T172" s="112"/>
      <c r="U172" s="112" t="s">
        <v>85</v>
      </c>
      <c r="V172" s="114" t="s">
        <v>86</v>
      </c>
      <c r="W172" s="114">
        <v>78</v>
      </c>
      <c r="X172" s="114">
        <v>69</v>
      </c>
      <c r="Y172" s="112"/>
      <c r="Z172" s="112" t="s">
        <v>87</v>
      </c>
      <c r="AA172" s="112"/>
      <c r="AB172" s="117"/>
      <c r="AC172" s="118">
        <v>30.5</v>
      </c>
      <c r="AD172" s="112"/>
      <c r="AE172" s="114">
        <v>78</v>
      </c>
      <c r="AF172" s="112" t="s">
        <v>88</v>
      </c>
      <c r="AG172" s="114" t="s">
        <v>86</v>
      </c>
      <c r="AH172" s="118">
        <v>24.5</v>
      </c>
      <c r="AI172" s="112">
        <f t="shared" si="62"/>
        <v>1911</v>
      </c>
      <c r="AJ172" s="112"/>
      <c r="AK172" s="115" t="s">
        <v>89</v>
      </c>
      <c r="AL172" s="114">
        <v>69</v>
      </c>
      <c r="AM172" s="112">
        <v>18</v>
      </c>
      <c r="AN172" s="112">
        <f t="shared" si="63"/>
        <v>1242</v>
      </c>
      <c r="AO172" s="112"/>
      <c r="AP172" s="112"/>
      <c r="AQ172" s="112">
        <f t="shared" si="64"/>
        <v>0</v>
      </c>
      <c r="AR172" s="112">
        <f t="shared" si="65"/>
        <v>1242</v>
      </c>
      <c r="AS172" s="112"/>
      <c r="AT172" s="110" t="s">
        <v>534</v>
      </c>
      <c r="AU172" s="111"/>
      <c r="AV172" s="112">
        <f t="shared" si="66"/>
        <v>18</v>
      </c>
      <c r="AW172" s="112">
        <f t="shared" si="67"/>
        <v>1242</v>
      </c>
      <c r="AX172" s="112"/>
      <c r="AY172" s="114" t="s">
        <v>144</v>
      </c>
      <c r="AZ172" s="119"/>
      <c r="BA172" s="112">
        <f t="shared" si="68"/>
        <v>18</v>
      </c>
      <c r="BB172" s="112">
        <f t="shared" si="69"/>
        <v>69</v>
      </c>
      <c r="BC172" s="112">
        <f t="shared" si="70"/>
        <v>1242</v>
      </c>
      <c r="BD172" s="112"/>
      <c r="BE172" s="112" t="s">
        <v>582</v>
      </c>
      <c r="BF172" s="113" t="s">
        <v>580</v>
      </c>
      <c r="BG172" s="120" t="s">
        <v>93</v>
      </c>
      <c r="BH172" s="120" t="s">
        <v>145</v>
      </c>
    </row>
    <row r="173" spans="1:60" s="120" customFormat="1" ht="15" customHeight="1">
      <c r="A173" s="112">
        <f t="shared" si="61"/>
        <v>171</v>
      </c>
      <c r="B173" s="113" t="s">
        <v>583</v>
      </c>
      <c r="C173" s="114" t="s">
        <v>581</v>
      </c>
      <c r="D173" s="122"/>
      <c r="E173" s="114" t="s">
        <v>584</v>
      </c>
      <c r="F173" s="112"/>
      <c r="G173" s="115" t="s">
        <v>81</v>
      </c>
      <c r="H173" s="112" t="s">
        <v>82</v>
      </c>
      <c r="I173" s="114" t="s">
        <v>83</v>
      </c>
      <c r="J173" s="114" t="s">
        <v>84</v>
      </c>
      <c r="K173" s="114" t="s">
        <v>83</v>
      </c>
      <c r="L173" s="113" t="s">
        <v>371</v>
      </c>
      <c r="M173" s="113" t="s">
        <v>371</v>
      </c>
      <c r="N173" s="116">
        <v>46112</v>
      </c>
      <c r="O173" s="114">
        <v>100</v>
      </c>
      <c r="P173" s="116">
        <v>46114</v>
      </c>
      <c r="Q173" s="116">
        <v>46147</v>
      </c>
      <c r="R173" s="116">
        <v>46114</v>
      </c>
      <c r="S173" s="112"/>
      <c r="T173" s="112"/>
      <c r="U173" s="112" t="s">
        <v>85</v>
      </c>
      <c r="V173" s="114" t="s">
        <v>99</v>
      </c>
      <c r="W173" s="114">
        <v>100</v>
      </c>
      <c r="X173" s="114">
        <v>100</v>
      </c>
      <c r="Y173" s="112"/>
      <c r="Z173" s="112" t="s">
        <v>87</v>
      </c>
      <c r="AA173" s="112"/>
      <c r="AB173" s="117"/>
      <c r="AC173" s="118">
        <v>25.5</v>
      </c>
      <c r="AD173" s="112"/>
      <c r="AE173" s="114">
        <v>100</v>
      </c>
      <c r="AF173" s="112" t="s">
        <v>88</v>
      </c>
      <c r="AG173" s="114" t="s">
        <v>99</v>
      </c>
      <c r="AH173" s="118">
        <v>12.5</v>
      </c>
      <c r="AI173" s="112">
        <f t="shared" si="62"/>
        <v>1250</v>
      </c>
      <c r="AJ173" s="112"/>
      <c r="AK173" s="115" t="s">
        <v>89</v>
      </c>
      <c r="AL173" s="114">
        <v>100</v>
      </c>
      <c r="AM173" s="112">
        <v>18</v>
      </c>
      <c r="AN173" s="112">
        <f t="shared" si="63"/>
        <v>1800</v>
      </c>
      <c r="AO173" s="112"/>
      <c r="AP173" s="112"/>
      <c r="AQ173" s="112">
        <f t="shared" si="64"/>
        <v>0</v>
      </c>
      <c r="AR173" s="112">
        <f t="shared" si="65"/>
        <v>1800</v>
      </c>
      <c r="AS173" s="112"/>
      <c r="AT173" s="110" t="s">
        <v>534</v>
      </c>
      <c r="AU173" s="111"/>
      <c r="AV173" s="112">
        <f t="shared" si="66"/>
        <v>18</v>
      </c>
      <c r="AW173" s="112">
        <f t="shared" si="67"/>
        <v>1800</v>
      </c>
      <c r="AX173" s="112"/>
      <c r="AY173" s="114" t="s">
        <v>144</v>
      </c>
      <c r="AZ173" s="119"/>
      <c r="BA173" s="112">
        <f t="shared" si="68"/>
        <v>18</v>
      </c>
      <c r="BB173" s="112">
        <f t="shared" si="69"/>
        <v>100</v>
      </c>
      <c r="BC173" s="112">
        <f t="shared" si="70"/>
        <v>1800</v>
      </c>
      <c r="BD173" s="112"/>
      <c r="BE173" s="112" t="s">
        <v>585</v>
      </c>
      <c r="BF173" s="113" t="s">
        <v>583</v>
      </c>
      <c r="BG173" s="120" t="s">
        <v>93</v>
      </c>
      <c r="BH173" s="120" t="s">
        <v>145</v>
      </c>
    </row>
    <row r="174" spans="1:60" s="120" customFormat="1" ht="15" customHeight="1">
      <c r="A174" s="112">
        <f t="shared" si="61"/>
        <v>172</v>
      </c>
      <c r="B174" s="113" t="s">
        <v>586</v>
      </c>
      <c r="C174" s="114" t="s">
        <v>587</v>
      </c>
      <c r="D174" s="122"/>
      <c r="E174" s="114" t="s">
        <v>588</v>
      </c>
      <c r="F174" s="112"/>
      <c r="G174" s="115" t="s">
        <v>81</v>
      </c>
      <c r="H174" s="112" t="s">
        <v>82</v>
      </c>
      <c r="I174" s="114" t="s">
        <v>83</v>
      </c>
      <c r="J174" s="114" t="s">
        <v>84</v>
      </c>
      <c r="K174" s="114" t="s">
        <v>83</v>
      </c>
      <c r="L174" s="113" t="s">
        <v>371</v>
      </c>
      <c r="M174" s="113" t="s">
        <v>371</v>
      </c>
      <c r="N174" s="116">
        <v>46112</v>
      </c>
      <c r="O174" s="114">
        <v>36</v>
      </c>
      <c r="P174" s="116">
        <v>46114</v>
      </c>
      <c r="Q174" s="116">
        <v>46147</v>
      </c>
      <c r="R174" s="116">
        <v>46114</v>
      </c>
      <c r="S174" s="112"/>
      <c r="T174" s="112"/>
      <c r="U174" s="112" t="s">
        <v>85</v>
      </c>
      <c r="V174" s="114" t="s">
        <v>99</v>
      </c>
      <c r="W174" s="114">
        <v>36</v>
      </c>
      <c r="X174" s="114">
        <v>36</v>
      </c>
      <c r="Y174" s="112"/>
      <c r="Z174" s="112" t="s">
        <v>87</v>
      </c>
      <c r="AA174" s="112"/>
      <c r="AB174" s="117"/>
      <c r="AC174" s="118">
        <v>25.5</v>
      </c>
      <c r="AD174" s="112"/>
      <c r="AE174" s="114">
        <v>36</v>
      </c>
      <c r="AF174" s="112" t="s">
        <v>88</v>
      </c>
      <c r="AG174" s="114" t="s">
        <v>99</v>
      </c>
      <c r="AH174" s="118">
        <v>12.5</v>
      </c>
      <c r="AI174" s="112">
        <f t="shared" si="62"/>
        <v>450</v>
      </c>
      <c r="AJ174" s="112"/>
      <c r="AK174" s="115" t="s">
        <v>89</v>
      </c>
      <c r="AL174" s="114">
        <v>36</v>
      </c>
      <c r="AM174" s="112">
        <v>18</v>
      </c>
      <c r="AN174" s="112">
        <f t="shared" si="63"/>
        <v>648</v>
      </c>
      <c r="AO174" s="112"/>
      <c r="AP174" s="112"/>
      <c r="AQ174" s="112">
        <f t="shared" si="64"/>
        <v>0</v>
      </c>
      <c r="AR174" s="112">
        <f t="shared" si="65"/>
        <v>648</v>
      </c>
      <c r="AS174" s="112"/>
      <c r="AT174" s="110" t="s">
        <v>534</v>
      </c>
      <c r="AU174" s="111"/>
      <c r="AV174" s="112">
        <f t="shared" si="66"/>
        <v>18</v>
      </c>
      <c r="AW174" s="112">
        <f t="shared" si="67"/>
        <v>648</v>
      </c>
      <c r="AX174" s="112"/>
      <c r="AY174" s="114" t="s">
        <v>144</v>
      </c>
      <c r="AZ174" s="119"/>
      <c r="BA174" s="112">
        <f t="shared" si="68"/>
        <v>18</v>
      </c>
      <c r="BB174" s="112">
        <f t="shared" si="69"/>
        <v>36</v>
      </c>
      <c r="BC174" s="112">
        <f t="shared" si="70"/>
        <v>648</v>
      </c>
      <c r="BD174" s="112"/>
      <c r="BE174" s="112" t="s">
        <v>589</v>
      </c>
      <c r="BF174" s="113" t="s">
        <v>586</v>
      </c>
      <c r="BG174" s="120" t="s">
        <v>93</v>
      </c>
      <c r="BH174" s="120" t="s">
        <v>145</v>
      </c>
    </row>
    <row r="175" spans="1:60" s="120" customFormat="1" ht="15" customHeight="1">
      <c r="A175" s="112">
        <f t="shared" si="61"/>
        <v>173</v>
      </c>
      <c r="B175" s="113" t="s">
        <v>590</v>
      </c>
      <c r="C175" s="114" t="s">
        <v>574</v>
      </c>
      <c r="D175" s="122"/>
      <c r="E175" s="114" t="s">
        <v>591</v>
      </c>
      <c r="F175" s="112"/>
      <c r="G175" s="115" t="s">
        <v>81</v>
      </c>
      <c r="H175" s="112" t="s">
        <v>82</v>
      </c>
      <c r="I175" s="114" t="s">
        <v>83</v>
      </c>
      <c r="J175" s="114" t="s">
        <v>84</v>
      </c>
      <c r="K175" s="114" t="s">
        <v>83</v>
      </c>
      <c r="L175" s="113" t="s">
        <v>371</v>
      </c>
      <c r="M175" s="113" t="s">
        <v>371</v>
      </c>
      <c r="N175" s="116">
        <v>46112</v>
      </c>
      <c r="O175" s="114">
        <v>63</v>
      </c>
      <c r="P175" s="116">
        <v>46114</v>
      </c>
      <c r="Q175" s="116">
        <v>46147</v>
      </c>
      <c r="R175" s="116">
        <v>46114</v>
      </c>
      <c r="S175" s="112"/>
      <c r="T175" s="112"/>
      <c r="U175" s="112" t="s">
        <v>85</v>
      </c>
      <c r="V175" s="114" t="s">
        <v>99</v>
      </c>
      <c r="W175" s="114">
        <v>63</v>
      </c>
      <c r="X175" s="114">
        <v>63</v>
      </c>
      <c r="Y175" s="112"/>
      <c r="Z175" s="112" t="s">
        <v>87</v>
      </c>
      <c r="AA175" s="112"/>
      <c r="AB175" s="117"/>
      <c r="AC175" s="118">
        <v>25.5</v>
      </c>
      <c r="AD175" s="112"/>
      <c r="AE175" s="114">
        <v>63</v>
      </c>
      <c r="AF175" s="112" t="s">
        <v>88</v>
      </c>
      <c r="AG175" s="114" t="s">
        <v>99</v>
      </c>
      <c r="AH175" s="118">
        <v>12.5</v>
      </c>
      <c r="AI175" s="112">
        <f t="shared" si="62"/>
        <v>787.5</v>
      </c>
      <c r="AJ175" s="112"/>
      <c r="AK175" s="115" t="s">
        <v>89</v>
      </c>
      <c r="AL175" s="114">
        <v>63</v>
      </c>
      <c r="AM175" s="112">
        <v>18</v>
      </c>
      <c r="AN175" s="112">
        <f t="shared" si="63"/>
        <v>1134</v>
      </c>
      <c r="AO175" s="112"/>
      <c r="AP175" s="112"/>
      <c r="AQ175" s="112">
        <f t="shared" si="64"/>
        <v>0</v>
      </c>
      <c r="AR175" s="112">
        <f t="shared" si="65"/>
        <v>1134</v>
      </c>
      <c r="AS175" s="112"/>
      <c r="AT175" s="110" t="s">
        <v>534</v>
      </c>
      <c r="AU175" s="111"/>
      <c r="AV175" s="112">
        <f t="shared" si="66"/>
        <v>18</v>
      </c>
      <c r="AW175" s="112">
        <f t="shared" si="67"/>
        <v>1134</v>
      </c>
      <c r="AX175" s="112"/>
      <c r="AY175" s="114" t="s">
        <v>144</v>
      </c>
      <c r="AZ175" s="119"/>
      <c r="BA175" s="112">
        <f t="shared" si="68"/>
        <v>18</v>
      </c>
      <c r="BB175" s="112">
        <f t="shared" si="69"/>
        <v>63</v>
      </c>
      <c r="BC175" s="112">
        <f t="shared" si="70"/>
        <v>1134</v>
      </c>
      <c r="BD175" s="112"/>
      <c r="BE175" s="112" t="s">
        <v>592</v>
      </c>
      <c r="BF175" s="113" t="s">
        <v>590</v>
      </c>
      <c r="BG175" s="120" t="s">
        <v>93</v>
      </c>
      <c r="BH175" s="120" t="s">
        <v>145</v>
      </c>
    </row>
    <row r="176" spans="1:60" s="120" customFormat="1" ht="15" customHeight="1">
      <c r="A176" s="112">
        <f t="shared" si="61"/>
        <v>174</v>
      </c>
      <c r="B176" s="113" t="s">
        <v>593</v>
      </c>
      <c r="C176" s="114" t="s">
        <v>390</v>
      </c>
      <c r="D176" s="122"/>
      <c r="E176" s="114" t="s">
        <v>594</v>
      </c>
      <c r="F176" s="112"/>
      <c r="G176" s="115" t="s">
        <v>81</v>
      </c>
      <c r="H176" s="112" t="s">
        <v>82</v>
      </c>
      <c r="I176" s="114" t="s">
        <v>83</v>
      </c>
      <c r="J176" s="114" t="s">
        <v>84</v>
      </c>
      <c r="K176" s="114" t="s">
        <v>83</v>
      </c>
      <c r="L176" s="113" t="s">
        <v>371</v>
      </c>
      <c r="M176" s="113" t="s">
        <v>371</v>
      </c>
      <c r="N176" s="116">
        <v>46112</v>
      </c>
      <c r="O176" s="114">
        <v>80</v>
      </c>
      <c r="P176" s="116">
        <v>46114</v>
      </c>
      <c r="Q176" s="116">
        <v>46147</v>
      </c>
      <c r="R176" s="116">
        <v>46114</v>
      </c>
      <c r="S176" s="112"/>
      <c r="T176" s="112"/>
      <c r="U176" s="112" t="s">
        <v>85</v>
      </c>
      <c r="V176" s="114" t="s">
        <v>99</v>
      </c>
      <c r="W176" s="114">
        <v>80</v>
      </c>
      <c r="X176" s="114">
        <v>80</v>
      </c>
      <c r="Y176" s="112"/>
      <c r="Z176" s="112" t="s">
        <v>87</v>
      </c>
      <c r="AA176" s="112"/>
      <c r="AB176" s="117"/>
      <c r="AC176" s="118">
        <v>25.5</v>
      </c>
      <c r="AD176" s="112"/>
      <c r="AE176" s="114">
        <v>80</v>
      </c>
      <c r="AF176" s="112" t="s">
        <v>88</v>
      </c>
      <c r="AG176" s="114" t="s">
        <v>99</v>
      </c>
      <c r="AH176" s="118">
        <v>12.5</v>
      </c>
      <c r="AI176" s="112">
        <f t="shared" si="62"/>
        <v>1000</v>
      </c>
      <c r="AJ176" s="112"/>
      <c r="AK176" s="115" t="s">
        <v>89</v>
      </c>
      <c r="AL176" s="114">
        <v>80</v>
      </c>
      <c r="AM176" s="112">
        <v>18</v>
      </c>
      <c r="AN176" s="112">
        <f t="shared" si="63"/>
        <v>1440</v>
      </c>
      <c r="AO176" s="112"/>
      <c r="AP176" s="112"/>
      <c r="AQ176" s="112">
        <f t="shared" si="64"/>
        <v>0</v>
      </c>
      <c r="AR176" s="112">
        <f t="shared" si="65"/>
        <v>1440</v>
      </c>
      <c r="AS176" s="112"/>
      <c r="AT176" s="110" t="s">
        <v>534</v>
      </c>
      <c r="AU176" s="111"/>
      <c r="AV176" s="112">
        <f t="shared" si="66"/>
        <v>18</v>
      </c>
      <c r="AW176" s="112">
        <f t="shared" si="67"/>
        <v>1440</v>
      </c>
      <c r="AX176" s="112"/>
      <c r="AY176" s="114" t="s">
        <v>144</v>
      </c>
      <c r="AZ176" s="119"/>
      <c r="BA176" s="112">
        <f t="shared" si="68"/>
        <v>18</v>
      </c>
      <c r="BB176" s="112">
        <f t="shared" si="69"/>
        <v>80</v>
      </c>
      <c r="BC176" s="112">
        <f t="shared" si="70"/>
        <v>1440</v>
      </c>
      <c r="BD176" s="112"/>
      <c r="BE176" s="112" t="s">
        <v>595</v>
      </c>
      <c r="BF176" s="113" t="s">
        <v>593</v>
      </c>
      <c r="BG176" s="120" t="s">
        <v>93</v>
      </c>
      <c r="BH176" s="120" t="s">
        <v>145</v>
      </c>
    </row>
    <row r="177" spans="1:60" s="120" customFormat="1" ht="15" customHeight="1">
      <c r="A177" s="112">
        <f t="shared" si="61"/>
        <v>175</v>
      </c>
      <c r="B177" s="113" t="s">
        <v>596</v>
      </c>
      <c r="C177" s="114" t="s">
        <v>390</v>
      </c>
      <c r="D177" s="122"/>
      <c r="E177" s="114" t="s">
        <v>597</v>
      </c>
      <c r="F177" s="112"/>
      <c r="G177" s="115" t="s">
        <v>81</v>
      </c>
      <c r="H177" s="112" t="s">
        <v>82</v>
      </c>
      <c r="I177" s="114" t="s">
        <v>83</v>
      </c>
      <c r="J177" s="114" t="s">
        <v>84</v>
      </c>
      <c r="K177" s="114" t="s">
        <v>83</v>
      </c>
      <c r="L177" s="113" t="s">
        <v>371</v>
      </c>
      <c r="M177" s="113" t="s">
        <v>371</v>
      </c>
      <c r="N177" s="116">
        <v>46112</v>
      </c>
      <c r="O177" s="114">
        <v>68</v>
      </c>
      <c r="P177" s="116">
        <v>46114</v>
      </c>
      <c r="Q177" s="116">
        <v>46147</v>
      </c>
      <c r="R177" s="116">
        <v>46114</v>
      </c>
      <c r="S177" s="112"/>
      <c r="T177" s="112"/>
      <c r="U177" s="112" t="s">
        <v>85</v>
      </c>
      <c r="V177" s="114" t="s">
        <v>86</v>
      </c>
      <c r="W177" s="114">
        <v>68</v>
      </c>
      <c r="X177" s="114">
        <v>65</v>
      </c>
      <c r="Y177" s="112"/>
      <c r="Z177" s="112" t="s">
        <v>87</v>
      </c>
      <c r="AA177" s="112"/>
      <c r="AB177" s="117"/>
      <c r="AC177" s="118">
        <v>30.5</v>
      </c>
      <c r="AD177" s="112"/>
      <c r="AE177" s="114">
        <v>68</v>
      </c>
      <c r="AF177" s="112" t="s">
        <v>88</v>
      </c>
      <c r="AG177" s="114" t="s">
        <v>86</v>
      </c>
      <c r="AH177" s="118">
        <v>24.5</v>
      </c>
      <c r="AI177" s="112">
        <f t="shared" si="62"/>
        <v>1666</v>
      </c>
      <c r="AJ177" s="112"/>
      <c r="AK177" s="115" t="s">
        <v>89</v>
      </c>
      <c r="AL177" s="114">
        <v>65</v>
      </c>
      <c r="AM177" s="112">
        <v>18</v>
      </c>
      <c r="AN177" s="112">
        <f t="shared" si="63"/>
        <v>1170</v>
      </c>
      <c r="AO177" s="112"/>
      <c r="AP177" s="112"/>
      <c r="AQ177" s="112">
        <f t="shared" si="64"/>
        <v>0</v>
      </c>
      <c r="AR177" s="112">
        <f t="shared" si="65"/>
        <v>1170</v>
      </c>
      <c r="AS177" s="112"/>
      <c r="AT177" s="110" t="s">
        <v>534</v>
      </c>
      <c r="AU177" s="111"/>
      <c r="AV177" s="112">
        <f t="shared" si="66"/>
        <v>18</v>
      </c>
      <c r="AW177" s="112">
        <f t="shared" si="67"/>
        <v>1170</v>
      </c>
      <c r="AX177" s="112"/>
      <c r="AY177" s="114" t="s">
        <v>144</v>
      </c>
      <c r="AZ177" s="119"/>
      <c r="BA177" s="112">
        <f t="shared" si="68"/>
        <v>18</v>
      </c>
      <c r="BB177" s="112">
        <f t="shared" si="69"/>
        <v>65</v>
      </c>
      <c r="BC177" s="112">
        <f t="shared" si="70"/>
        <v>1170</v>
      </c>
      <c r="BD177" s="112"/>
      <c r="BE177" s="112" t="s">
        <v>598</v>
      </c>
      <c r="BF177" s="113" t="s">
        <v>596</v>
      </c>
      <c r="BG177" s="120" t="s">
        <v>93</v>
      </c>
      <c r="BH177" s="120" t="s">
        <v>145</v>
      </c>
    </row>
    <row r="178" spans="1:60" s="120" customFormat="1" ht="15" customHeight="1">
      <c r="A178" s="112">
        <f t="shared" si="61"/>
        <v>176</v>
      </c>
      <c r="B178" s="113" t="s">
        <v>599</v>
      </c>
      <c r="C178" s="114" t="s">
        <v>597</v>
      </c>
      <c r="D178" s="122"/>
      <c r="E178" s="114" t="s">
        <v>600</v>
      </c>
      <c r="F178" s="112"/>
      <c r="G178" s="115" t="s">
        <v>81</v>
      </c>
      <c r="H178" s="112" t="s">
        <v>82</v>
      </c>
      <c r="I178" s="114" t="s">
        <v>83</v>
      </c>
      <c r="J178" s="114" t="s">
        <v>84</v>
      </c>
      <c r="K178" s="114" t="s">
        <v>83</v>
      </c>
      <c r="L178" s="113" t="s">
        <v>371</v>
      </c>
      <c r="M178" s="113" t="s">
        <v>371</v>
      </c>
      <c r="N178" s="116">
        <v>46112</v>
      </c>
      <c r="O178" s="114">
        <v>81</v>
      </c>
      <c r="P178" s="116">
        <v>46114</v>
      </c>
      <c r="Q178" s="116">
        <v>46147</v>
      </c>
      <c r="R178" s="116">
        <v>46114</v>
      </c>
      <c r="S178" s="112"/>
      <c r="T178" s="112"/>
      <c r="U178" s="112" t="s">
        <v>85</v>
      </c>
      <c r="V178" s="114" t="s">
        <v>99</v>
      </c>
      <c r="W178" s="114">
        <v>81</v>
      </c>
      <c r="X178" s="114">
        <v>81</v>
      </c>
      <c r="Y178" s="112"/>
      <c r="Z178" s="112" t="s">
        <v>87</v>
      </c>
      <c r="AA178" s="112"/>
      <c r="AB178" s="117"/>
      <c r="AC178" s="118">
        <v>25.5</v>
      </c>
      <c r="AD178" s="112"/>
      <c r="AE178" s="114">
        <v>81</v>
      </c>
      <c r="AF178" s="112" t="s">
        <v>88</v>
      </c>
      <c r="AG178" s="114" t="s">
        <v>99</v>
      </c>
      <c r="AH178" s="118">
        <v>12.5</v>
      </c>
      <c r="AI178" s="112">
        <f t="shared" si="62"/>
        <v>1012.5</v>
      </c>
      <c r="AJ178" s="112"/>
      <c r="AK178" s="115" t="s">
        <v>89</v>
      </c>
      <c r="AL178" s="114">
        <v>81</v>
      </c>
      <c r="AM178" s="112">
        <v>18</v>
      </c>
      <c r="AN178" s="112">
        <f t="shared" si="63"/>
        <v>1458</v>
      </c>
      <c r="AO178" s="112"/>
      <c r="AP178" s="112"/>
      <c r="AQ178" s="112">
        <f t="shared" si="64"/>
        <v>0</v>
      </c>
      <c r="AR178" s="112">
        <f t="shared" si="65"/>
        <v>1458</v>
      </c>
      <c r="AS178" s="112"/>
      <c r="AT178" s="110" t="s">
        <v>534</v>
      </c>
      <c r="AU178" s="111"/>
      <c r="AV178" s="112">
        <f t="shared" si="66"/>
        <v>18</v>
      </c>
      <c r="AW178" s="112">
        <f t="shared" si="67"/>
        <v>1458</v>
      </c>
      <c r="AX178" s="112"/>
      <c r="AY178" s="114" t="s">
        <v>144</v>
      </c>
      <c r="AZ178" s="119"/>
      <c r="BA178" s="112">
        <f t="shared" si="68"/>
        <v>18</v>
      </c>
      <c r="BB178" s="112">
        <f t="shared" si="69"/>
        <v>81</v>
      </c>
      <c r="BC178" s="112">
        <f t="shared" si="70"/>
        <v>1458</v>
      </c>
      <c r="BD178" s="112"/>
      <c r="BE178" s="112" t="s">
        <v>601</v>
      </c>
      <c r="BF178" s="113" t="s">
        <v>599</v>
      </c>
      <c r="BG178" s="120" t="s">
        <v>93</v>
      </c>
      <c r="BH178" s="120" t="s">
        <v>145</v>
      </c>
    </row>
    <row r="179" spans="1:60" s="120" customFormat="1" ht="15" customHeight="1">
      <c r="A179" s="112">
        <f t="shared" si="61"/>
        <v>177</v>
      </c>
      <c r="B179" s="113" t="s">
        <v>602</v>
      </c>
      <c r="C179" s="114" t="s">
        <v>390</v>
      </c>
      <c r="D179" s="122"/>
      <c r="E179" s="114" t="s">
        <v>603</v>
      </c>
      <c r="F179" s="112"/>
      <c r="G179" s="115" t="s">
        <v>81</v>
      </c>
      <c r="H179" s="112" t="s">
        <v>82</v>
      </c>
      <c r="I179" s="114" t="s">
        <v>83</v>
      </c>
      <c r="J179" s="114" t="s">
        <v>84</v>
      </c>
      <c r="K179" s="114" t="s">
        <v>83</v>
      </c>
      <c r="L179" s="113" t="s">
        <v>371</v>
      </c>
      <c r="M179" s="113" t="s">
        <v>371</v>
      </c>
      <c r="N179" s="116">
        <v>46112</v>
      </c>
      <c r="O179" s="114">
        <v>58</v>
      </c>
      <c r="P179" s="116">
        <v>46114</v>
      </c>
      <c r="Q179" s="116">
        <v>46147</v>
      </c>
      <c r="R179" s="116">
        <v>46114</v>
      </c>
      <c r="S179" s="112"/>
      <c r="T179" s="112"/>
      <c r="U179" s="112" t="s">
        <v>85</v>
      </c>
      <c r="V179" s="114" t="s">
        <v>86</v>
      </c>
      <c r="W179" s="114">
        <v>58</v>
      </c>
      <c r="X179" s="114">
        <v>55</v>
      </c>
      <c r="Y179" s="112"/>
      <c r="Z179" s="112" t="s">
        <v>87</v>
      </c>
      <c r="AA179" s="112"/>
      <c r="AB179" s="117"/>
      <c r="AC179" s="118">
        <v>30.5</v>
      </c>
      <c r="AD179" s="112"/>
      <c r="AE179" s="114">
        <v>58</v>
      </c>
      <c r="AF179" s="112" t="s">
        <v>88</v>
      </c>
      <c r="AG179" s="114" t="s">
        <v>86</v>
      </c>
      <c r="AH179" s="118">
        <v>24.5</v>
      </c>
      <c r="AI179" s="112">
        <f t="shared" si="62"/>
        <v>1421</v>
      </c>
      <c r="AJ179" s="112"/>
      <c r="AK179" s="115" t="s">
        <v>89</v>
      </c>
      <c r="AL179" s="114">
        <v>55</v>
      </c>
      <c r="AM179" s="112">
        <v>18</v>
      </c>
      <c r="AN179" s="112">
        <f t="shared" si="63"/>
        <v>990</v>
      </c>
      <c r="AO179" s="112"/>
      <c r="AP179" s="112"/>
      <c r="AQ179" s="112">
        <f t="shared" si="64"/>
        <v>0</v>
      </c>
      <c r="AR179" s="112">
        <f t="shared" si="65"/>
        <v>990</v>
      </c>
      <c r="AS179" s="112"/>
      <c r="AT179" s="110" t="s">
        <v>534</v>
      </c>
      <c r="AU179" s="111"/>
      <c r="AV179" s="112">
        <f t="shared" si="66"/>
        <v>18</v>
      </c>
      <c r="AW179" s="112">
        <f t="shared" si="67"/>
        <v>990</v>
      </c>
      <c r="AX179" s="112"/>
      <c r="AY179" s="114" t="s">
        <v>144</v>
      </c>
      <c r="AZ179" s="119"/>
      <c r="BA179" s="112">
        <f t="shared" si="68"/>
        <v>18</v>
      </c>
      <c r="BB179" s="112">
        <f t="shared" si="69"/>
        <v>55</v>
      </c>
      <c r="BC179" s="112">
        <f t="shared" si="70"/>
        <v>990</v>
      </c>
      <c r="BD179" s="112"/>
      <c r="BE179" s="112" t="s">
        <v>604</v>
      </c>
      <c r="BF179" s="113" t="s">
        <v>602</v>
      </c>
      <c r="BG179" s="120" t="s">
        <v>93</v>
      </c>
      <c r="BH179" s="120" t="s">
        <v>145</v>
      </c>
    </row>
    <row r="180" spans="1:60" s="120" customFormat="1" ht="15" customHeight="1">
      <c r="A180" s="112">
        <f t="shared" si="61"/>
        <v>178</v>
      </c>
      <c r="B180" s="113" t="s">
        <v>605</v>
      </c>
      <c r="C180" s="114" t="s">
        <v>603</v>
      </c>
      <c r="D180" s="122"/>
      <c r="E180" s="114" t="s">
        <v>606</v>
      </c>
      <c r="F180" s="112"/>
      <c r="G180" s="115" t="s">
        <v>81</v>
      </c>
      <c r="H180" s="112" t="s">
        <v>82</v>
      </c>
      <c r="I180" s="114" t="s">
        <v>83</v>
      </c>
      <c r="J180" s="114" t="s">
        <v>84</v>
      </c>
      <c r="K180" s="114" t="s">
        <v>83</v>
      </c>
      <c r="L180" s="113" t="s">
        <v>371</v>
      </c>
      <c r="M180" s="113" t="s">
        <v>371</v>
      </c>
      <c r="N180" s="116">
        <v>46112</v>
      </c>
      <c r="O180" s="114">
        <v>132</v>
      </c>
      <c r="P180" s="116">
        <v>46114</v>
      </c>
      <c r="Q180" s="116">
        <v>46147</v>
      </c>
      <c r="R180" s="116">
        <v>46114</v>
      </c>
      <c r="S180" s="112"/>
      <c r="T180" s="112"/>
      <c r="U180" s="112" t="s">
        <v>85</v>
      </c>
      <c r="V180" s="114" t="s">
        <v>99</v>
      </c>
      <c r="W180" s="114">
        <v>132</v>
      </c>
      <c r="X180" s="114">
        <v>132</v>
      </c>
      <c r="Y180" s="112"/>
      <c r="Z180" s="112" t="s">
        <v>87</v>
      </c>
      <c r="AA180" s="112"/>
      <c r="AB180" s="117"/>
      <c r="AC180" s="118">
        <v>25.5</v>
      </c>
      <c r="AD180" s="112"/>
      <c r="AE180" s="114">
        <v>132</v>
      </c>
      <c r="AF180" s="112" t="s">
        <v>88</v>
      </c>
      <c r="AG180" s="114" t="s">
        <v>99</v>
      </c>
      <c r="AH180" s="118">
        <v>12.5</v>
      </c>
      <c r="AI180" s="112">
        <f t="shared" si="62"/>
        <v>1650</v>
      </c>
      <c r="AJ180" s="112"/>
      <c r="AK180" s="115" t="s">
        <v>89</v>
      </c>
      <c r="AL180" s="114">
        <v>132</v>
      </c>
      <c r="AM180" s="112">
        <v>18</v>
      </c>
      <c r="AN180" s="112">
        <f t="shared" si="63"/>
        <v>2376</v>
      </c>
      <c r="AO180" s="112"/>
      <c r="AP180" s="112"/>
      <c r="AQ180" s="112">
        <f t="shared" si="64"/>
        <v>0</v>
      </c>
      <c r="AR180" s="112">
        <f t="shared" si="65"/>
        <v>2376</v>
      </c>
      <c r="AS180" s="112"/>
      <c r="AT180" s="110" t="s">
        <v>534</v>
      </c>
      <c r="AU180" s="111"/>
      <c r="AV180" s="112">
        <f t="shared" si="66"/>
        <v>18</v>
      </c>
      <c r="AW180" s="112">
        <f t="shared" si="67"/>
        <v>2376</v>
      </c>
      <c r="AX180" s="112"/>
      <c r="AY180" s="114" t="s">
        <v>144</v>
      </c>
      <c r="AZ180" s="119"/>
      <c r="BA180" s="112">
        <f t="shared" si="68"/>
        <v>18</v>
      </c>
      <c r="BB180" s="112">
        <f t="shared" si="69"/>
        <v>132</v>
      </c>
      <c r="BC180" s="112">
        <f t="shared" si="70"/>
        <v>2376</v>
      </c>
      <c r="BD180" s="112"/>
      <c r="BE180" s="112" t="s">
        <v>607</v>
      </c>
      <c r="BF180" s="113" t="s">
        <v>605</v>
      </c>
      <c r="BG180" s="120" t="s">
        <v>93</v>
      </c>
      <c r="BH180" s="120" t="s">
        <v>145</v>
      </c>
    </row>
    <row r="181" spans="1:60" s="120" customFormat="1" ht="15" customHeight="1">
      <c r="A181" s="112">
        <f t="shared" si="61"/>
        <v>179</v>
      </c>
      <c r="B181" s="113" t="s">
        <v>608</v>
      </c>
      <c r="C181" s="114" t="s">
        <v>390</v>
      </c>
      <c r="D181" s="122"/>
      <c r="E181" s="114" t="s">
        <v>419</v>
      </c>
      <c r="F181" s="112"/>
      <c r="G181" s="115" t="s">
        <v>81</v>
      </c>
      <c r="H181" s="112" t="s">
        <v>82</v>
      </c>
      <c r="I181" s="114" t="s">
        <v>83</v>
      </c>
      <c r="J181" s="114" t="s">
        <v>84</v>
      </c>
      <c r="K181" s="114" t="s">
        <v>83</v>
      </c>
      <c r="L181" s="113" t="s">
        <v>371</v>
      </c>
      <c r="M181" s="113" t="s">
        <v>371</v>
      </c>
      <c r="N181" s="116">
        <v>46112</v>
      </c>
      <c r="O181" s="114">
        <v>44</v>
      </c>
      <c r="P181" s="116">
        <v>46114</v>
      </c>
      <c r="Q181" s="116">
        <v>46147</v>
      </c>
      <c r="R181" s="116">
        <v>46114</v>
      </c>
      <c r="S181" s="112"/>
      <c r="T181" s="112"/>
      <c r="U181" s="112" t="s">
        <v>85</v>
      </c>
      <c r="V181" s="114" t="s">
        <v>86</v>
      </c>
      <c r="W181" s="114">
        <v>44</v>
      </c>
      <c r="X181" s="114">
        <v>41</v>
      </c>
      <c r="Y181" s="112"/>
      <c r="Z181" s="112" t="s">
        <v>87</v>
      </c>
      <c r="AA181" s="112"/>
      <c r="AB181" s="117"/>
      <c r="AC181" s="118">
        <v>30.5</v>
      </c>
      <c r="AD181" s="112"/>
      <c r="AE181" s="114">
        <v>44</v>
      </c>
      <c r="AF181" s="112" t="s">
        <v>88</v>
      </c>
      <c r="AG181" s="114" t="s">
        <v>86</v>
      </c>
      <c r="AH181" s="118">
        <v>24.5</v>
      </c>
      <c r="AI181" s="112">
        <f t="shared" si="62"/>
        <v>1078</v>
      </c>
      <c r="AJ181" s="112"/>
      <c r="AK181" s="115" t="s">
        <v>89</v>
      </c>
      <c r="AL181" s="114">
        <v>41</v>
      </c>
      <c r="AM181" s="112">
        <v>18</v>
      </c>
      <c r="AN181" s="112">
        <f t="shared" si="63"/>
        <v>738</v>
      </c>
      <c r="AO181" s="112"/>
      <c r="AP181" s="112"/>
      <c r="AQ181" s="112">
        <f t="shared" si="64"/>
        <v>0</v>
      </c>
      <c r="AR181" s="112">
        <f t="shared" si="65"/>
        <v>738</v>
      </c>
      <c r="AS181" s="112"/>
      <c r="AT181" s="110" t="s">
        <v>534</v>
      </c>
      <c r="AU181" s="111"/>
      <c r="AV181" s="112">
        <f t="shared" si="66"/>
        <v>18</v>
      </c>
      <c r="AW181" s="112">
        <f t="shared" si="67"/>
        <v>738</v>
      </c>
      <c r="AX181" s="112"/>
      <c r="AY181" s="114" t="s">
        <v>144</v>
      </c>
      <c r="AZ181" s="119"/>
      <c r="BA181" s="112">
        <f t="shared" si="68"/>
        <v>18</v>
      </c>
      <c r="BB181" s="112">
        <f t="shared" si="69"/>
        <v>41</v>
      </c>
      <c r="BC181" s="112">
        <f t="shared" si="70"/>
        <v>738</v>
      </c>
      <c r="BD181" s="112"/>
      <c r="BE181" s="112" t="s">
        <v>609</v>
      </c>
      <c r="BF181" s="113" t="s">
        <v>608</v>
      </c>
      <c r="BG181" s="120" t="s">
        <v>93</v>
      </c>
      <c r="BH181" s="120" t="s">
        <v>145</v>
      </c>
    </row>
    <row r="182" spans="1:60" s="120" customFormat="1" ht="15" customHeight="1">
      <c r="A182" s="112">
        <f t="shared" si="61"/>
        <v>180</v>
      </c>
      <c r="B182" s="113" t="s">
        <v>610</v>
      </c>
      <c r="C182" s="114" t="s">
        <v>396</v>
      </c>
      <c r="D182" s="122"/>
      <c r="E182" s="114" t="s">
        <v>611</v>
      </c>
      <c r="F182" s="112"/>
      <c r="G182" s="115" t="s">
        <v>81</v>
      </c>
      <c r="H182" s="112" t="s">
        <v>82</v>
      </c>
      <c r="I182" s="114" t="s">
        <v>83</v>
      </c>
      <c r="J182" s="114" t="s">
        <v>84</v>
      </c>
      <c r="K182" s="114" t="s">
        <v>83</v>
      </c>
      <c r="L182" s="113" t="s">
        <v>371</v>
      </c>
      <c r="M182" s="113" t="s">
        <v>371</v>
      </c>
      <c r="N182" s="116">
        <v>46112</v>
      </c>
      <c r="O182" s="114">
        <v>52</v>
      </c>
      <c r="P182" s="116">
        <v>46114</v>
      </c>
      <c r="Q182" s="116">
        <v>46147</v>
      </c>
      <c r="R182" s="116">
        <v>46114</v>
      </c>
      <c r="S182" s="112"/>
      <c r="T182" s="112"/>
      <c r="U182" s="112" t="s">
        <v>85</v>
      </c>
      <c r="V182" s="114" t="s">
        <v>86</v>
      </c>
      <c r="W182" s="114">
        <v>52</v>
      </c>
      <c r="X182" s="114">
        <v>47</v>
      </c>
      <c r="Y182" s="112"/>
      <c r="Z182" s="112" t="s">
        <v>87</v>
      </c>
      <c r="AA182" s="112"/>
      <c r="AB182" s="117"/>
      <c r="AC182" s="118">
        <v>30.5</v>
      </c>
      <c r="AD182" s="112"/>
      <c r="AE182" s="114">
        <v>52</v>
      </c>
      <c r="AF182" s="112" t="s">
        <v>88</v>
      </c>
      <c r="AG182" s="114" t="s">
        <v>86</v>
      </c>
      <c r="AH182" s="118">
        <v>24.5</v>
      </c>
      <c r="AI182" s="112">
        <f t="shared" si="62"/>
        <v>1274</v>
      </c>
      <c r="AJ182" s="112"/>
      <c r="AK182" s="115" t="s">
        <v>89</v>
      </c>
      <c r="AL182" s="114">
        <v>47</v>
      </c>
      <c r="AM182" s="112">
        <v>18</v>
      </c>
      <c r="AN182" s="112">
        <f t="shared" si="63"/>
        <v>846</v>
      </c>
      <c r="AO182" s="112"/>
      <c r="AP182" s="112"/>
      <c r="AQ182" s="112">
        <f t="shared" si="64"/>
        <v>0</v>
      </c>
      <c r="AR182" s="112">
        <f t="shared" si="65"/>
        <v>846</v>
      </c>
      <c r="AS182" s="112"/>
      <c r="AT182" s="110" t="s">
        <v>534</v>
      </c>
      <c r="AU182" s="111"/>
      <c r="AV182" s="112">
        <f t="shared" si="66"/>
        <v>18</v>
      </c>
      <c r="AW182" s="112">
        <f t="shared" si="67"/>
        <v>846</v>
      </c>
      <c r="AX182" s="112"/>
      <c r="AY182" s="114" t="s">
        <v>144</v>
      </c>
      <c r="AZ182" s="119"/>
      <c r="BA182" s="112">
        <f t="shared" si="68"/>
        <v>18</v>
      </c>
      <c r="BB182" s="112">
        <f t="shared" si="69"/>
        <v>47</v>
      </c>
      <c r="BC182" s="112">
        <f t="shared" si="70"/>
        <v>846</v>
      </c>
      <c r="BD182" s="112"/>
      <c r="BE182" s="112" t="s">
        <v>612</v>
      </c>
      <c r="BF182" s="113" t="s">
        <v>610</v>
      </c>
      <c r="BG182" s="120" t="s">
        <v>93</v>
      </c>
      <c r="BH182" s="120" t="s">
        <v>145</v>
      </c>
    </row>
    <row r="183" spans="1:60" s="120" customFormat="1" ht="15" customHeight="1">
      <c r="A183" s="112">
        <f t="shared" si="61"/>
        <v>181</v>
      </c>
      <c r="B183" s="113" t="s">
        <v>613</v>
      </c>
      <c r="C183" s="114" t="s">
        <v>614</v>
      </c>
      <c r="D183" s="122"/>
      <c r="E183" s="114" t="s">
        <v>615</v>
      </c>
      <c r="F183" s="112"/>
      <c r="G183" s="115" t="s">
        <v>81</v>
      </c>
      <c r="H183" s="10" t="s">
        <v>616</v>
      </c>
      <c r="I183" s="114" t="s">
        <v>83</v>
      </c>
      <c r="J183" s="114" t="s">
        <v>84</v>
      </c>
      <c r="K183" s="114" t="s">
        <v>83</v>
      </c>
      <c r="L183" s="113" t="s">
        <v>614</v>
      </c>
      <c r="M183" s="113" t="s">
        <v>614</v>
      </c>
      <c r="N183" s="116">
        <v>46142</v>
      </c>
      <c r="O183" s="114">
        <v>1033</v>
      </c>
      <c r="P183" s="116">
        <v>46149</v>
      </c>
      <c r="Q183" s="116">
        <v>46149</v>
      </c>
      <c r="R183" s="116">
        <v>46149</v>
      </c>
      <c r="S183" s="112"/>
      <c r="T183" s="112"/>
      <c r="U183" s="112" t="s">
        <v>85</v>
      </c>
      <c r="V183" s="114" t="s">
        <v>142</v>
      </c>
      <c r="W183" s="114">
        <v>1033</v>
      </c>
      <c r="X183" s="114">
        <v>1023</v>
      </c>
      <c r="Y183" s="112"/>
      <c r="Z183" s="112" t="s">
        <v>87</v>
      </c>
      <c r="AA183" s="112"/>
      <c r="AB183" s="117"/>
      <c r="AC183" s="118">
        <v>35.5</v>
      </c>
      <c r="AD183" s="112"/>
      <c r="AE183" s="114">
        <v>1033</v>
      </c>
      <c r="AF183" s="112" t="s">
        <v>88</v>
      </c>
      <c r="AG183" s="114" t="s">
        <v>142</v>
      </c>
      <c r="AH183" s="118">
        <v>38.5</v>
      </c>
      <c r="AI183" s="112">
        <f t="shared" si="62"/>
        <v>39770.5</v>
      </c>
      <c r="AJ183" s="112"/>
      <c r="AK183" s="115" t="s">
        <v>89</v>
      </c>
      <c r="AL183" s="114">
        <v>1023</v>
      </c>
      <c r="AM183" s="112">
        <v>20</v>
      </c>
      <c r="AN183" s="112">
        <f t="shared" ref="AN183" si="71">IF(AL183&lt;&gt;"",AM183*AL183,0)</f>
        <v>20460</v>
      </c>
      <c r="AO183" s="112"/>
      <c r="AP183" s="112"/>
      <c r="AQ183" s="112">
        <f t="shared" ref="AQ183" si="72">IF(AO183&lt;&gt;"",AP183*AO183,0)</f>
        <v>0</v>
      </c>
      <c r="AR183" s="112">
        <f t="shared" ref="AR183" si="73">AQ183+AN183</f>
        <v>20460</v>
      </c>
      <c r="AS183" s="112"/>
      <c r="AT183" s="110" t="s">
        <v>617</v>
      </c>
      <c r="AU183" s="111">
        <v>46141</v>
      </c>
      <c r="AV183" s="112">
        <f t="shared" ref="AV183" si="74">AM183</f>
        <v>20</v>
      </c>
      <c r="AW183" s="112">
        <f t="shared" ref="AW183" si="75">AV183*AL183</f>
        <v>20460</v>
      </c>
      <c r="AX183" s="112"/>
      <c r="AY183" s="13" t="s">
        <v>618</v>
      </c>
      <c r="AZ183" s="124">
        <v>46156</v>
      </c>
      <c r="BA183" s="112">
        <f t="shared" ref="BA183" si="76">AM183</f>
        <v>20</v>
      </c>
      <c r="BB183" s="112">
        <f t="shared" ref="BB183" si="77">AL183</f>
        <v>1023</v>
      </c>
      <c r="BC183" s="112">
        <f t="shared" ref="BC183" si="78">IF(BB183&lt;&gt;"",BB183*BA183,0)</f>
        <v>20460</v>
      </c>
      <c r="BD183" s="112"/>
      <c r="BE183" s="112" t="s">
        <v>92</v>
      </c>
      <c r="BF183" s="113" t="s">
        <v>613</v>
      </c>
      <c r="BG183" s="120" t="s">
        <v>619</v>
      </c>
    </row>
    <row r="184" spans="1:60" s="120" customFormat="1" ht="15" customHeight="1">
      <c r="A184" s="112">
        <f t="shared" si="61"/>
        <v>182</v>
      </c>
      <c r="B184" s="113" t="s">
        <v>620</v>
      </c>
      <c r="C184" s="114" t="s">
        <v>614</v>
      </c>
      <c r="D184" s="122"/>
      <c r="E184" s="114" t="s">
        <v>621</v>
      </c>
      <c r="F184" s="112"/>
      <c r="G184" s="115" t="s">
        <v>81</v>
      </c>
      <c r="H184" s="10" t="s">
        <v>616</v>
      </c>
      <c r="I184" s="114" t="s">
        <v>83</v>
      </c>
      <c r="J184" s="114" t="s">
        <v>84</v>
      </c>
      <c r="K184" s="114" t="s">
        <v>83</v>
      </c>
      <c r="L184" s="113" t="s">
        <v>614</v>
      </c>
      <c r="M184" s="113" t="s">
        <v>614</v>
      </c>
      <c r="N184" s="116">
        <v>46142</v>
      </c>
      <c r="O184" s="114">
        <v>1939</v>
      </c>
      <c r="P184" s="116">
        <v>46149</v>
      </c>
      <c r="Q184" s="116">
        <v>46149</v>
      </c>
      <c r="R184" s="116">
        <v>46149</v>
      </c>
      <c r="S184" s="112"/>
      <c r="T184" s="112"/>
      <c r="U184" s="112" t="s">
        <v>85</v>
      </c>
      <c r="V184" s="114" t="s">
        <v>142</v>
      </c>
      <c r="W184" s="114">
        <v>1939</v>
      </c>
      <c r="X184" s="114">
        <v>1877</v>
      </c>
      <c r="Y184" s="112"/>
      <c r="Z184" s="112" t="s">
        <v>87</v>
      </c>
      <c r="AA184" s="112"/>
      <c r="AB184" s="117"/>
      <c r="AC184" s="118">
        <v>35.5</v>
      </c>
      <c r="AD184" s="112"/>
      <c r="AE184" s="114">
        <v>1939</v>
      </c>
      <c r="AF184" s="112" t="s">
        <v>88</v>
      </c>
      <c r="AG184" s="114" t="s">
        <v>142</v>
      </c>
      <c r="AH184" s="118">
        <v>38.5</v>
      </c>
      <c r="AI184" s="112">
        <f t="shared" ref="AI184:AI248" si="79">IF(AE184&lt;&gt;"",AH184*AE184,0)</f>
        <v>74651.5</v>
      </c>
      <c r="AJ184" s="112"/>
      <c r="AK184" s="115" t="s">
        <v>89</v>
      </c>
      <c r="AL184" s="114">
        <v>1877</v>
      </c>
      <c r="AM184" s="112">
        <v>20</v>
      </c>
      <c r="AN184" s="112">
        <f t="shared" ref="AN184:AN248" si="80">IF(AL184&lt;&gt;"",AM184*AL184,0)</f>
        <v>37540</v>
      </c>
      <c r="AO184" s="112"/>
      <c r="AP184" s="112"/>
      <c r="AQ184" s="112">
        <f t="shared" ref="AQ184:AQ248" si="81">IF(AO184&lt;&gt;"",AP184*AO184,0)</f>
        <v>0</v>
      </c>
      <c r="AR184" s="112">
        <f t="shared" ref="AR184:AR248" si="82">AQ184+AN184</f>
        <v>37540</v>
      </c>
      <c r="AS184" s="112"/>
      <c r="AT184" s="110" t="s">
        <v>617</v>
      </c>
      <c r="AU184" s="111">
        <v>46141</v>
      </c>
      <c r="AV184" s="112">
        <f t="shared" ref="AV184:AV248" si="83">AM184</f>
        <v>20</v>
      </c>
      <c r="AW184" s="112">
        <f t="shared" ref="AW184:AW248" si="84">AV184*AL184</f>
        <v>37540</v>
      </c>
      <c r="AX184" s="112"/>
      <c r="AY184" s="13" t="s">
        <v>618</v>
      </c>
      <c r="AZ184" s="124">
        <v>46156</v>
      </c>
      <c r="BA184" s="112">
        <f t="shared" ref="BA184:BA248" si="85">AM184</f>
        <v>20</v>
      </c>
      <c r="BB184" s="112">
        <f t="shared" ref="BB184:BB248" si="86">AL184</f>
        <v>1877</v>
      </c>
      <c r="BC184" s="112">
        <f t="shared" ref="BC184:BC248" si="87">IF(BB184&lt;&gt;"",BB184*BA184,0)</f>
        <v>37540</v>
      </c>
      <c r="BD184" s="112"/>
      <c r="BE184" s="112" t="s">
        <v>96</v>
      </c>
      <c r="BF184" s="113" t="s">
        <v>620</v>
      </c>
      <c r="BG184" s="120" t="s">
        <v>619</v>
      </c>
    </row>
    <row r="185" spans="1:60" s="120" customFormat="1" ht="15" customHeight="1">
      <c r="A185" s="112">
        <f t="shared" si="61"/>
        <v>183</v>
      </c>
      <c r="B185" s="113" t="s">
        <v>620</v>
      </c>
      <c r="C185" s="114" t="s">
        <v>614</v>
      </c>
      <c r="D185" s="122"/>
      <c r="E185" s="114" t="s">
        <v>621</v>
      </c>
      <c r="F185" s="112"/>
      <c r="G185" s="115" t="s">
        <v>81</v>
      </c>
      <c r="H185" s="10" t="s">
        <v>616</v>
      </c>
      <c r="I185" s="114" t="s">
        <v>83</v>
      </c>
      <c r="J185" s="114" t="s">
        <v>84</v>
      </c>
      <c r="K185" s="114" t="s">
        <v>83</v>
      </c>
      <c r="L185" s="113" t="s">
        <v>614</v>
      </c>
      <c r="M185" s="113" t="s">
        <v>614</v>
      </c>
      <c r="N185" s="116">
        <v>46142</v>
      </c>
      <c r="O185" s="114">
        <v>84</v>
      </c>
      <c r="P185" s="116">
        <v>46149</v>
      </c>
      <c r="Q185" s="116">
        <v>46149</v>
      </c>
      <c r="R185" s="116">
        <v>46149</v>
      </c>
      <c r="S185" s="112"/>
      <c r="T185" s="112"/>
      <c r="U185" s="112" t="s">
        <v>85</v>
      </c>
      <c r="V185" s="114" t="s">
        <v>142</v>
      </c>
      <c r="W185" s="114">
        <v>84</v>
      </c>
      <c r="X185" s="114">
        <v>84</v>
      </c>
      <c r="Y185" s="112"/>
      <c r="Z185" s="112" t="s">
        <v>87</v>
      </c>
      <c r="AA185" s="112"/>
      <c r="AB185" s="117"/>
      <c r="AC185" s="118">
        <v>35.5</v>
      </c>
      <c r="AD185" s="112"/>
      <c r="AE185" s="114">
        <v>84</v>
      </c>
      <c r="AF185" s="112" t="s">
        <v>88</v>
      </c>
      <c r="AG185" s="114" t="s">
        <v>142</v>
      </c>
      <c r="AH185" s="118">
        <v>38.5</v>
      </c>
      <c r="AI185" s="112">
        <f t="shared" ref="AI185" si="88">IF(AE185&lt;&gt;"",AH185*AE185,0)</f>
        <v>3234</v>
      </c>
      <c r="AJ185" s="112"/>
      <c r="AK185" s="115" t="s">
        <v>89</v>
      </c>
      <c r="AL185" s="114">
        <v>84</v>
      </c>
      <c r="AM185" s="112">
        <v>20</v>
      </c>
      <c r="AN185" s="112">
        <f t="shared" ref="AN185" si="89">IF(AL185&lt;&gt;"",AM185*AL185,0)</f>
        <v>1680</v>
      </c>
      <c r="AO185" s="112"/>
      <c r="AP185" s="112"/>
      <c r="AQ185" s="112">
        <f t="shared" ref="AQ185" si="90">IF(AO185&lt;&gt;"",AP185*AO185,0)</f>
        <v>0</v>
      </c>
      <c r="AR185" s="112">
        <f t="shared" ref="AR185" si="91">AQ185+AN185</f>
        <v>1680</v>
      </c>
      <c r="AS185" s="112"/>
      <c r="AT185" s="110" t="s">
        <v>622</v>
      </c>
      <c r="AU185" s="111">
        <v>46160</v>
      </c>
      <c r="AV185" s="112">
        <f t="shared" ref="AV185" si="92">AM185</f>
        <v>20</v>
      </c>
      <c r="AW185" s="112">
        <f t="shared" ref="AW185" si="93">AV185*AL185</f>
        <v>1680</v>
      </c>
      <c r="AX185" s="112"/>
      <c r="AY185" s="114" t="s">
        <v>144</v>
      </c>
      <c r="AZ185" s="119"/>
      <c r="BA185" s="112">
        <f t="shared" ref="BA185" si="94">AM185</f>
        <v>20</v>
      </c>
      <c r="BB185" s="112">
        <f t="shared" ref="BB185" si="95">AL185</f>
        <v>84</v>
      </c>
      <c r="BC185" s="112">
        <f t="shared" ref="BC185" si="96">IF(BB185&lt;&gt;"",BB185*BA185,0)</f>
        <v>1680</v>
      </c>
      <c r="BD185" s="112"/>
      <c r="BE185" s="112" t="s">
        <v>96</v>
      </c>
      <c r="BF185" s="113" t="s">
        <v>620</v>
      </c>
      <c r="BG185" s="120" t="s">
        <v>619</v>
      </c>
    </row>
    <row r="186" spans="1:60" s="120" customFormat="1" ht="15" customHeight="1">
      <c r="A186" s="112">
        <f t="shared" si="61"/>
        <v>184</v>
      </c>
      <c r="B186" s="113" t="s">
        <v>623</v>
      </c>
      <c r="C186" s="114" t="s">
        <v>624</v>
      </c>
      <c r="D186" s="122"/>
      <c r="E186" s="114" t="s">
        <v>625</v>
      </c>
      <c r="F186" s="112"/>
      <c r="G186" s="115" t="s">
        <v>81</v>
      </c>
      <c r="H186" s="10" t="s">
        <v>616</v>
      </c>
      <c r="I186" s="114" t="s">
        <v>83</v>
      </c>
      <c r="J186" s="114" t="s">
        <v>84</v>
      </c>
      <c r="K186" s="114" t="s">
        <v>83</v>
      </c>
      <c r="L186" s="113" t="s">
        <v>614</v>
      </c>
      <c r="M186" s="113" t="s">
        <v>614</v>
      </c>
      <c r="N186" s="116">
        <v>46142</v>
      </c>
      <c r="O186" s="114">
        <v>255</v>
      </c>
      <c r="P186" s="116">
        <v>46149</v>
      </c>
      <c r="Q186" s="116">
        <v>46149</v>
      </c>
      <c r="R186" s="116">
        <v>46149</v>
      </c>
      <c r="S186" s="112"/>
      <c r="T186" s="112"/>
      <c r="U186" s="112" t="s">
        <v>85</v>
      </c>
      <c r="V186" s="114" t="s">
        <v>86</v>
      </c>
      <c r="W186" s="114">
        <v>255</v>
      </c>
      <c r="X186" s="114">
        <v>230</v>
      </c>
      <c r="Y186" s="112"/>
      <c r="Z186" s="112" t="s">
        <v>87</v>
      </c>
      <c r="AA186" s="112"/>
      <c r="AB186" s="117"/>
      <c r="AC186" s="118">
        <v>30.5</v>
      </c>
      <c r="AD186" s="112"/>
      <c r="AE186" s="114">
        <v>255</v>
      </c>
      <c r="AF186" s="112" t="s">
        <v>88</v>
      </c>
      <c r="AG186" s="114" t="s">
        <v>86</v>
      </c>
      <c r="AH186" s="118">
        <v>24.5</v>
      </c>
      <c r="AI186" s="112">
        <f t="shared" si="79"/>
        <v>6247.5</v>
      </c>
      <c r="AJ186" s="112"/>
      <c r="AK186" s="115" t="s">
        <v>89</v>
      </c>
      <c r="AL186" s="114">
        <v>230</v>
      </c>
      <c r="AM186" s="112">
        <v>18</v>
      </c>
      <c r="AN186" s="112">
        <f t="shared" si="80"/>
        <v>4140</v>
      </c>
      <c r="AO186" s="112"/>
      <c r="AP186" s="112"/>
      <c r="AQ186" s="112">
        <f t="shared" si="81"/>
        <v>0</v>
      </c>
      <c r="AR186" s="112">
        <f t="shared" si="82"/>
        <v>4140</v>
      </c>
      <c r="AS186" s="112"/>
      <c r="AT186" s="110" t="s">
        <v>617</v>
      </c>
      <c r="AU186" s="111">
        <v>46141</v>
      </c>
      <c r="AV186" s="112">
        <f t="shared" si="83"/>
        <v>18</v>
      </c>
      <c r="AW186" s="112">
        <f t="shared" si="84"/>
        <v>4140</v>
      </c>
      <c r="AX186" s="112"/>
      <c r="AY186" s="13" t="s">
        <v>618</v>
      </c>
      <c r="AZ186" s="124">
        <v>46156</v>
      </c>
      <c r="BA186" s="112">
        <f t="shared" si="85"/>
        <v>18</v>
      </c>
      <c r="BB186" s="112">
        <f t="shared" si="86"/>
        <v>230</v>
      </c>
      <c r="BC186" s="112">
        <f t="shared" si="87"/>
        <v>4140</v>
      </c>
      <c r="BD186" s="112"/>
      <c r="BE186" s="112" t="s">
        <v>100</v>
      </c>
      <c r="BF186" s="113" t="s">
        <v>623</v>
      </c>
      <c r="BG186" s="120" t="s">
        <v>619</v>
      </c>
    </row>
    <row r="187" spans="1:60" s="120" customFormat="1" ht="15" customHeight="1">
      <c r="A187" s="112">
        <f t="shared" si="61"/>
        <v>185</v>
      </c>
      <c r="B187" s="113" t="s">
        <v>626</v>
      </c>
      <c r="C187" s="114" t="s">
        <v>627</v>
      </c>
      <c r="D187" s="122"/>
      <c r="E187" s="114" t="s">
        <v>628</v>
      </c>
      <c r="F187" s="112"/>
      <c r="G187" s="115" t="s">
        <v>81</v>
      </c>
      <c r="H187" s="10" t="s">
        <v>616</v>
      </c>
      <c r="I187" s="114" t="s">
        <v>83</v>
      </c>
      <c r="J187" s="114" t="s">
        <v>84</v>
      </c>
      <c r="K187" s="114" t="s">
        <v>83</v>
      </c>
      <c r="L187" s="113" t="s">
        <v>614</v>
      </c>
      <c r="M187" s="113" t="s">
        <v>614</v>
      </c>
      <c r="N187" s="116">
        <v>46142</v>
      </c>
      <c r="O187" s="114">
        <v>131</v>
      </c>
      <c r="P187" s="116">
        <v>46149</v>
      </c>
      <c r="Q187" s="116">
        <v>46149</v>
      </c>
      <c r="R187" s="116">
        <v>46149</v>
      </c>
      <c r="S187" s="112"/>
      <c r="T187" s="112"/>
      <c r="U187" s="112" t="s">
        <v>85</v>
      </c>
      <c r="V187" s="114" t="s">
        <v>86</v>
      </c>
      <c r="W187" s="114">
        <v>131</v>
      </c>
      <c r="X187" s="114">
        <v>103</v>
      </c>
      <c r="Y187" s="112"/>
      <c r="Z187" s="112" t="s">
        <v>87</v>
      </c>
      <c r="AA187" s="112"/>
      <c r="AB187" s="117"/>
      <c r="AC187" s="118">
        <v>30.5</v>
      </c>
      <c r="AD187" s="112"/>
      <c r="AE187" s="114">
        <v>131</v>
      </c>
      <c r="AF187" s="112" t="s">
        <v>88</v>
      </c>
      <c r="AG187" s="114" t="s">
        <v>86</v>
      </c>
      <c r="AH187" s="118">
        <v>24.5</v>
      </c>
      <c r="AI187" s="112">
        <f t="shared" si="79"/>
        <v>3209.5</v>
      </c>
      <c r="AJ187" s="112"/>
      <c r="AK187" s="115" t="s">
        <v>89</v>
      </c>
      <c r="AL187" s="114">
        <v>103</v>
      </c>
      <c r="AM187" s="112">
        <v>18</v>
      </c>
      <c r="AN187" s="112">
        <f t="shared" si="80"/>
        <v>1854</v>
      </c>
      <c r="AO187" s="112"/>
      <c r="AP187" s="112"/>
      <c r="AQ187" s="112">
        <f t="shared" si="81"/>
        <v>0</v>
      </c>
      <c r="AR187" s="112">
        <f t="shared" si="82"/>
        <v>1854</v>
      </c>
      <c r="AS187" s="112"/>
      <c r="AT187" s="110" t="s">
        <v>617</v>
      </c>
      <c r="AU187" s="111">
        <v>46141</v>
      </c>
      <c r="AV187" s="112">
        <f t="shared" si="83"/>
        <v>18</v>
      </c>
      <c r="AW187" s="112">
        <f t="shared" si="84"/>
        <v>1854</v>
      </c>
      <c r="AX187" s="112"/>
      <c r="AY187" s="13" t="s">
        <v>618</v>
      </c>
      <c r="AZ187" s="124">
        <v>46156</v>
      </c>
      <c r="BA187" s="112">
        <f t="shared" si="85"/>
        <v>18</v>
      </c>
      <c r="BB187" s="112">
        <f t="shared" si="86"/>
        <v>103</v>
      </c>
      <c r="BC187" s="112">
        <f t="shared" si="87"/>
        <v>1854</v>
      </c>
      <c r="BD187" s="112"/>
      <c r="BE187" s="112" t="s">
        <v>104</v>
      </c>
      <c r="BF187" s="113" t="s">
        <v>626</v>
      </c>
      <c r="BG187" s="120" t="s">
        <v>619</v>
      </c>
    </row>
    <row r="188" spans="1:60" s="120" customFormat="1" ht="15" customHeight="1">
      <c r="A188" s="112">
        <f t="shared" si="61"/>
        <v>186</v>
      </c>
      <c r="B188" s="113" t="s">
        <v>629</v>
      </c>
      <c r="C188" s="114" t="s">
        <v>630</v>
      </c>
      <c r="D188" s="122"/>
      <c r="E188" s="114" t="s">
        <v>631</v>
      </c>
      <c r="F188" s="112"/>
      <c r="G188" s="115" t="s">
        <v>81</v>
      </c>
      <c r="H188" s="10" t="s">
        <v>616</v>
      </c>
      <c r="I188" s="114" t="s">
        <v>83</v>
      </c>
      <c r="J188" s="114" t="s">
        <v>84</v>
      </c>
      <c r="K188" s="114" t="s">
        <v>83</v>
      </c>
      <c r="L188" s="113" t="s">
        <v>614</v>
      </c>
      <c r="M188" s="113" t="s">
        <v>614</v>
      </c>
      <c r="N188" s="116">
        <v>46142</v>
      </c>
      <c r="O188" s="114">
        <v>109</v>
      </c>
      <c r="P188" s="116">
        <v>46149</v>
      </c>
      <c r="Q188" s="116">
        <v>46149</v>
      </c>
      <c r="R188" s="116">
        <v>46149</v>
      </c>
      <c r="S188" s="112"/>
      <c r="T188" s="112"/>
      <c r="U188" s="112" t="s">
        <v>85</v>
      </c>
      <c r="V188" s="114" t="s">
        <v>632</v>
      </c>
      <c r="W188" s="114">
        <v>109</v>
      </c>
      <c r="X188" s="114">
        <v>109</v>
      </c>
      <c r="Y188" s="112"/>
      <c r="Z188" s="112" t="s">
        <v>87</v>
      </c>
      <c r="AA188" s="112"/>
      <c r="AB188" s="117"/>
      <c r="AC188" s="118">
        <v>20.5</v>
      </c>
      <c r="AD188" s="112"/>
      <c r="AE188" s="114">
        <v>109</v>
      </c>
      <c r="AF188" s="112" t="s">
        <v>88</v>
      </c>
      <c r="AG188" s="114" t="s">
        <v>632</v>
      </c>
      <c r="AH188" s="118">
        <v>9.5</v>
      </c>
      <c r="AI188" s="112">
        <f t="shared" si="79"/>
        <v>1035.5</v>
      </c>
      <c r="AJ188" s="112"/>
      <c r="AK188" s="115" t="s">
        <v>89</v>
      </c>
      <c r="AL188" s="114">
        <v>109</v>
      </c>
      <c r="AM188" s="112">
        <v>18</v>
      </c>
      <c r="AN188" s="112">
        <f t="shared" si="80"/>
        <v>1962</v>
      </c>
      <c r="AO188" s="112"/>
      <c r="AP188" s="112"/>
      <c r="AQ188" s="112">
        <f t="shared" si="81"/>
        <v>0</v>
      </c>
      <c r="AR188" s="112">
        <f t="shared" si="82"/>
        <v>1962</v>
      </c>
      <c r="AS188" s="112"/>
      <c r="AT188" s="110" t="s">
        <v>617</v>
      </c>
      <c r="AU188" s="111">
        <v>46141</v>
      </c>
      <c r="AV188" s="112">
        <f t="shared" si="83"/>
        <v>18</v>
      </c>
      <c r="AW188" s="112">
        <f t="shared" si="84"/>
        <v>1962</v>
      </c>
      <c r="AX188" s="112"/>
      <c r="AY188" s="13" t="s">
        <v>618</v>
      </c>
      <c r="AZ188" s="124">
        <v>46156</v>
      </c>
      <c r="BA188" s="112">
        <f t="shared" si="85"/>
        <v>18</v>
      </c>
      <c r="BB188" s="112">
        <f t="shared" si="86"/>
        <v>109</v>
      </c>
      <c r="BC188" s="112">
        <f t="shared" si="87"/>
        <v>1962</v>
      </c>
      <c r="BD188" s="112"/>
      <c r="BE188" s="112" t="s">
        <v>107</v>
      </c>
      <c r="BF188" s="113" t="s">
        <v>629</v>
      </c>
      <c r="BG188" s="120" t="s">
        <v>619</v>
      </c>
    </row>
    <row r="189" spans="1:60" s="120" customFormat="1" ht="15" customHeight="1">
      <c r="A189" s="112">
        <f t="shared" si="61"/>
        <v>187</v>
      </c>
      <c r="B189" s="113" t="s">
        <v>633</v>
      </c>
      <c r="C189" s="114" t="s">
        <v>634</v>
      </c>
      <c r="D189" s="122"/>
      <c r="E189" s="114" t="s">
        <v>635</v>
      </c>
      <c r="F189" s="112"/>
      <c r="G189" s="115" t="s">
        <v>81</v>
      </c>
      <c r="H189" s="10" t="s">
        <v>616</v>
      </c>
      <c r="I189" s="114" t="s">
        <v>83</v>
      </c>
      <c r="J189" s="114" t="s">
        <v>84</v>
      </c>
      <c r="K189" s="114" t="s">
        <v>83</v>
      </c>
      <c r="L189" s="113" t="s">
        <v>614</v>
      </c>
      <c r="M189" s="113" t="s">
        <v>614</v>
      </c>
      <c r="N189" s="116">
        <v>46142</v>
      </c>
      <c r="O189" s="114">
        <v>120</v>
      </c>
      <c r="P189" s="116">
        <v>46149</v>
      </c>
      <c r="Q189" s="116">
        <v>46149</v>
      </c>
      <c r="R189" s="116">
        <v>46149</v>
      </c>
      <c r="S189" s="112"/>
      <c r="T189" s="112"/>
      <c r="U189" s="112" t="s">
        <v>85</v>
      </c>
      <c r="V189" s="114" t="s">
        <v>632</v>
      </c>
      <c r="W189" s="114">
        <v>120</v>
      </c>
      <c r="X189" s="114">
        <v>120</v>
      </c>
      <c r="Y189" s="112"/>
      <c r="Z189" s="112" t="s">
        <v>87</v>
      </c>
      <c r="AA189" s="112"/>
      <c r="AB189" s="117"/>
      <c r="AC189" s="118">
        <v>20.5</v>
      </c>
      <c r="AD189" s="112"/>
      <c r="AE189" s="114">
        <v>120</v>
      </c>
      <c r="AF189" s="112" t="s">
        <v>88</v>
      </c>
      <c r="AG189" s="114" t="s">
        <v>632</v>
      </c>
      <c r="AH189" s="118">
        <v>9.5</v>
      </c>
      <c r="AI189" s="112">
        <f t="shared" si="79"/>
        <v>1140</v>
      </c>
      <c r="AJ189" s="112"/>
      <c r="AK189" s="115" t="s">
        <v>89</v>
      </c>
      <c r="AL189" s="114">
        <v>120</v>
      </c>
      <c r="AM189" s="112">
        <v>18</v>
      </c>
      <c r="AN189" s="112">
        <f t="shared" si="80"/>
        <v>2160</v>
      </c>
      <c r="AO189" s="112"/>
      <c r="AP189" s="112"/>
      <c r="AQ189" s="112">
        <f t="shared" si="81"/>
        <v>0</v>
      </c>
      <c r="AR189" s="112">
        <f t="shared" si="82"/>
        <v>2160</v>
      </c>
      <c r="AS189" s="112"/>
      <c r="AT189" s="110" t="s">
        <v>617</v>
      </c>
      <c r="AU189" s="111">
        <v>46141</v>
      </c>
      <c r="AV189" s="112">
        <f t="shared" si="83"/>
        <v>18</v>
      </c>
      <c r="AW189" s="112">
        <f t="shared" si="84"/>
        <v>2160</v>
      </c>
      <c r="AX189" s="112"/>
      <c r="AY189" s="13" t="s">
        <v>618</v>
      </c>
      <c r="AZ189" s="124">
        <v>46156</v>
      </c>
      <c r="BA189" s="112">
        <f t="shared" si="85"/>
        <v>18</v>
      </c>
      <c r="BB189" s="112">
        <f t="shared" si="86"/>
        <v>120</v>
      </c>
      <c r="BC189" s="112">
        <f t="shared" si="87"/>
        <v>2160</v>
      </c>
      <c r="BD189" s="112"/>
      <c r="BE189" s="112" t="s">
        <v>110</v>
      </c>
      <c r="BF189" s="113" t="s">
        <v>633</v>
      </c>
      <c r="BG189" s="120" t="s">
        <v>619</v>
      </c>
    </row>
    <row r="190" spans="1:60" s="120" customFormat="1" ht="15" customHeight="1">
      <c r="A190" s="112">
        <f t="shared" si="61"/>
        <v>188</v>
      </c>
      <c r="B190" s="113" t="s">
        <v>636</v>
      </c>
      <c r="C190" s="114" t="s">
        <v>637</v>
      </c>
      <c r="D190" s="122"/>
      <c r="E190" s="114" t="s">
        <v>638</v>
      </c>
      <c r="F190" s="112"/>
      <c r="G190" s="115" t="s">
        <v>81</v>
      </c>
      <c r="H190" s="10" t="s">
        <v>616</v>
      </c>
      <c r="I190" s="114" t="s">
        <v>83</v>
      </c>
      <c r="J190" s="114" t="s">
        <v>84</v>
      </c>
      <c r="K190" s="114" t="s">
        <v>83</v>
      </c>
      <c r="L190" s="113" t="s">
        <v>614</v>
      </c>
      <c r="M190" s="113" t="s">
        <v>614</v>
      </c>
      <c r="N190" s="116">
        <v>46142</v>
      </c>
      <c r="O190" s="114">
        <v>10</v>
      </c>
      <c r="P190" s="116">
        <v>46149</v>
      </c>
      <c r="Q190" s="116">
        <v>46149</v>
      </c>
      <c r="R190" s="116">
        <v>46149</v>
      </c>
      <c r="S190" s="112"/>
      <c r="T190" s="112"/>
      <c r="U190" s="112" t="s">
        <v>85</v>
      </c>
      <c r="V190" s="114" t="s">
        <v>99</v>
      </c>
      <c r="W190" s="114">
        <v>10</v>
      </c>
      <c r="X190" s="114">
        <v>10</v>
      </c>
      <c r="Y190" s="112"/>
      <c r="Z190" s="112" t="s">
        <v>87</v>
      </c>
      <c r="AA190" s="112"/>
      <c r="AB190" s="117"/>
      <c r="AC190" s="118">
        <v>25.5</v>
      </c>
      <c r="AD190" s="112"/>
      <c r="AE190" s="114">
        <v>10</v>
      </c>
      <c r="AF190" s="112" t="s">
        <v>88</v>
      </c>
      <c r="AG190" s="114" t="s">
        <v>99</v>
      </c>
      <c r="AH190" s="118">
        <v>12.5</v>
      </c>
      <c r="AI190" s="112">
        <f t="shared" si="79"/>
        <v>125</v>
      </c>
      <c r="AJ190" s="112"/>
      <c r="AK190" s="115" t="s">
        <v>89</v>
      </c>
      <c r="AL190" s="114">
        <v>10</v>
      </c>
      <c r="AM190" s="112">
        <v>18</v>
      </c>
      <c r="AN190" s="112">
        <f t="shared" si="80"/>
        <v>180</v>
      </c>
      <c r="AO190" s="112"/>
      <c r="AP190" s="112"/>
      <c r="AQ190" s="112">
        <f t="shared" si="81"/>
        <v>0</v>
      </c>
      <c r="AR190" s="112">
        <f t="shared" si="82"/>
        <v>180</v>
      </c>
      <c r="AS190" s="112"/>
      <c r="AT190" s="110" t="s">
        <v>617</v>
      </c>
      <c r="AU190" s="111">
        <v>46141</v>
      </c>
      <c r="AV190" s="112">
        <f t="shared" si="83"/>
        <v>18</v>
      </c>
      <c r="AW190" s="112">
        <f t="shared" si="84"/>
        <v>180</v>
      </c>
      <c r="AX190" s="112"/>
      <c r="AY190" s="13" t="s">
        <v>618</v>
      </c>
      <c r="AZ190" s="124">
        <v>46156</v>
      </c>
      <c r="BA190" s="112">
        <f t="shared" si="85"/>
        <v>18</v>
      </c>
      <c r="BB190" s="112">
        <f t="shared" si="86"/>
        <v>10</v>
      </c>
      <c r="BC190" s="112">
        <f t="shared" si="87"/>
        <v>180</v>
      </c>
      <c r="BD190" s="112"/>
      <c r="BE190" s="112" t="s">
        <v>114</v>
      </c>
      <c r="BF190" s="113" t="s">
        <v>636</v>
      </c>
      <c r="BG190" s="120" t="s">
        <v>619</v>
      </c>
    </row>
    <row r="191" spans="1:60" s="120" customFormat="1" ht="15" customHeight="1">
      <c r="A191" s="112">
        <f t="shared" si="61"/>
        <v>189</v>
      </c>
      <c r="B191" s="113" t="s">
        <v>639</v>
      </c>
      <c r="C191" s="114" t="s">
        <v>637</v>
      </c>
      <c r="D191" s="122"/>
      <c r="E191" s="114" t="s">
        <v>640</v>
      </c>
      <c r="F191" s="112"/>
      <c r="G191" s="115" t="s">
        <v>81</v>
      </c>
      <c r="H191" s="10" t="s">
        <v>616</v>
      </c>
      <c r="I191" s="114" t="s">
        <v>83</v>
      </c>
      <c r="J191" s="114" t="s">
        <v>84</v>
      </c>
      <c r="K191" s="114" t="s">
        <v>83</v>
      </c>
      <c r="L191" s="113" t="s">
        <v>614</v>
      </c>
      <c r="M191" s="113" t="s">
        <v>614</v>
      </c>
      <c r="N191" s="116">
        <v>46142</v>
      </c>
      <c r="O191" s="114">
        <v>59</v>
      </c>
      <c r="P191" s="116">
        <v>46149</v>
      </c>
      <c r="Q191" s="116">
        <v>46149</v>
      </c>
      <c r="R191" s="116">
        <v>46149</v>
      </c>
      <c r="S191" s="112"/>
      <c r="T191" s="112"/>
      <c r="U191" s="112" t="s">
        <v>85</v>
      </c>
      <c r="V191" s="114" t="s">
        <v>99</v>
      </c>
      <c r="W191" s="114">
        <v>59</v>
      </c>
      <c r="X191" s="114">
        <v>54</v>
      </c>
      <c r="Y191" s="112"/>
      <c r="Z191" s="112" t="s">
        <v>87</v>
      </c>
      <c r="AA191" s="112"/>
      <c r="AB191" s="117"/>
      <c r="AC191" s="118">
        <v>25.5</v>
      </c>
      <c r="AD191" s="112"/>
      <c r="AE191" s="114">
        <v>59</v>
      </c>
      <c r="AF191" s="112" t="s">
        <v>88</v>
      </c>
      <c r="AG191" s="114" t="s">
        <v>99</v>
      </c>
      <c r="AH191" s="118">
        <v>12.5</v>
      </c>
      <c r="AI191" s="112">
        <f t="shared" si="79"/>
        <v>737.5</v>
      </c>
      <c r="AJ191" s="112"/>
      <c r="AK191" s="115" t="s">
        <v>89</v>
      </c>
      <c r="AL191" s="114">
        <v>54</v>
      </c>
      <c r="AM191" s="112">
        <v>18</v>
      </c>
      <c r="AN191" s="112">
        <f t="shared" si="80"/>
        <v>972</v>
      </c>
      <c r="AO191" s="112"/>
      <c r="AP191" s="112"/>
      <c r="AQ191" s="112">
        <f t="shared" si="81"/>
        <v>0</v>
      </c>
      <c r="AR191" s="112">
        <f t="shared" si="82"/>
        <v>972</v>
      </c>
      <c r="AS191" s="112"/>
      <c r="AT191" s="110" t="s">
        <v>617</v>
      </c>
      <c r="AU191" s="111">
        <v>46141</v>
      </c>
      <c r="AV191" s="112">
        <f t="shared" si="83"/>
        <v>18</v>
      </c>
      <c r="AW191" s="112">
        <f t="shared" si="84"/>
        <v>972</v>
      </c>
      <c r="AX191" s="112"/>
      <c r="AY191" s="13" t="s">
        <v>618</v>
      </c>
      <c r="AZ191" s="124">
        <v>46156</v>
      </c>
      <c r="BA191" s="112">
        <f t="shared" si="85"/>
        <v>18</v>
      </c>
      <c r="BB191" s="112">
        <f t="shared" si="86"/>
        <v>54</v>
      </c>
      <c r="BC191" s="112">
        <f t="shared" si="87"/>
        <v>972</v>
      </c>
      <c r="BD191" s="112"/>
      <c r="BE191" s="112" t="s">
        <v>117</v>
      </c>
      <c r="BF191" s="113" t="s">
        <v>639</v>
      </c>
      <c r="BG191" s="120" t="s">
        <v>619</v>
      </c>
    </row>
    <row r="192" spans="1:60" s="120" customFormat="1" ht="15" customHeight="1">
      <c r="A192" s="112">
        <f t="shared" si="61"/>
        <v>190</v>
      </c>
      <c r="B192" s="113" t="s">
        <v>641</v>
      </c>
      <c r="C192" s="114" t="s">
        <v>637</v>
      </c>
      <c r="D192" s="122"/>
      <c r="E192" s="114" t="s">
        <v>642</v>
      </c>
      <c r="F192" s="112"/>
      <c r="G192" s="115" t="s">
        <v>81</v>
      </c>
      <c r="H192" s="10" t="s">
        <v>616</v>
      </c>
      <c r="I192" s="114" t="s">
        <v>83</v>
      </c>
      <c r="J192" s="114" t="s">
        <v>84</v>
      </c>
      <c r="K192" s="114" t="s">
        <v>83</v>
      </c>
      <c r="L192" s="113" t="s">
        <v>614</v>
      </c>
      <c r="M192" s="113" t="s">
        <v>614</v>
      </c>
      <c r="N192" s="116">
        <v>46142</v>
      </c>
      <c r="O192" s="114">
        <v>158</v>
      </c>
      <c r="P192" s="116">
        <v>46149</v>
      </c>
      <c r="Q192" s="116">
        <v>46149</v>
      </c>
      <c r="R192" s="116">
        <v>46149</v>
      </c>
      <c r="S192" s="112"/>
      <c r="T192" s="112"/>
      <c r="U192" s="112" t="s">
        <v>85</v>
      </c>
      <c r="V192" s="114" t="s">
        <v>99</v>
      </c>
      <c r="W192" s="114">
        <v>158</v>
      </c>
      <c r="X192" s="114">
        <v>143</v>
      </c>
      <c r="Y192" s="112"/>
      <c r="Z192" s="112" t="s">
        <v>87</v>
      </c>
      <c r="AA192" s="112"/>
      <c r="AB192" s="117"/>
      <c r="AC192" s="118">
        <v>25.5</v>
      </c>
      <c r="AD192" s="112"/>
      <c r="AE192" s="114">
        <v>158</v>
      </c>
      <c r="AF192" s="112" t="s">
        <v>88</v>
      </c>
      <c r="AG192" s="114" t="s">
        <v>99</v>
      </c>
      <c r="AH192" s="118">
        <v>12.5</v>
      </c>
      <c r="AI192" s="112">
        <f t="shared" si="79"/>
        <v>1975</v>
      </c>
      <c r="AJ192" s="112"/>
      <c r="AK192" s="115" t="s">
        <v>89</v>
      </c>
      <c r="AL192" s="114">
        <v>143</v>
      </c>
      <c r="AM192" s="112">
        <v>18</v>
      </c>
      <c r="AN192" s="112">
        <f t="shared" si="80"/>
        <v>2574</v>
      </c>
      <c r="AO192" s="112"/>
      <c r="AP192" s="112"/>
      <c r="AQ192" s="112">
        <f t="shared" si="81"/>
        <v>0</v>
      </c>
      <c r="AR192" s="112">
        <f t="shared" si="82"/>
        <v>2574</v>
      </c>
      <c r="AS192" s="112"/>
      <c r="AT192" s="110" t="s">
        <v>617</v>
      </c>
      <c r="AU192" s="111">
        <v>46141</v>
      </c>
      <c r="AV192" s="112">
        <f t="shared" si="83"/>
        <v>18</v>
      </c>
      <c r="AW192" s="112">
        <f t="shared" si="84"/>
        <v>2574</v>
      </c>
      <c r="AX192" s="112"/>
      <c r="AY192" s="13" t="s">
        <v>618</v>
      </c>
      <c r="AZ192" s="124">
        <v>46156</v>
      </c>
      <c r="BA192" s="112">
        <f t="shared" si="85"/>
        <v>18</v>
      </c>
      <c r="BB192" s="112">
        <f t="shared" si="86"/>
        <v>143</v>
      </c>
      <c r="BC192" s="112">
        <f t="shared" si="87"/>
        <v>2574</v>
      </c>
      <c r="BD192" s="112"/>
      <c r="BE192" s="112" t="s">
        <v>120</v>
      </c>
      <c r="BF192" s="113" t="s">
        <v>641</v>
      </c>
      <c r="BG192" s="120" t="s">
        <v>619</v>
      </c>
    </row>
    <row r="193" spans="1:59" s="120" customFormat="1" ht="15" customHeight="1">
      <c r="A193" s="112">
        <f t="shared" si="61"/>
        <v>191</v>
      </c>
      <c r="B193" s="113" t="s">
        <v>643</v>
      </c>
      <c r="C193" s="114" t="s">
        <v>644</v>
      </c>
      <c r="D193" s="122"/>
      <c r="E193" s="114" t="s">
        <v>645</v>
      </c>
      <c r="F193" s="112"/>
      <c r="G193" s="115" t="s">
        <v>81</v>
      </c>
      <c r="H193" s="10" t="s">
        <v>616</v>
      </c>
      <c r="I193" s="114" t="s">
        <v>83</v>
      </c>
      <c r="J193" s="114" t="s">
        <v>84</v>
      </c>
      <c r="K193" s="114" t="s">
        <v>83</v>
      </c>
      <c r="L193" s="113" t="s">
        <v>614</v>
      </c>
      <c r="M193" s="113" t="s">
        <v>614</v>
      </c>
      <c r="N193" s="116">
        <v>46142</v>
      </c>
      <c r="O193" s="114">
        <v>10</v>
      </c>
      <c r="P193" s="116">
        <v>46149</v>
      </c>
      <c r="Q193" s="116">
        <v>46149</v>
      </c>
      <c r="R193" s="116">
        <v>46149</v>
      </c>
      <c r="S193" s="112"/>
      <c r="T193" s="112"/>
      <c r="U193" s="112" t="s">
        <v>85</v>
      </c>
      <c r="V193" s="114" t="s">
        <v>99</v>
      </c>
      <c r="W193" s="114">
        <v>10</v>
      </c>
      <c r="X193" s="114">
        <v>10</v>
      </c>
      <c r="Y193" s="112"/>
      <c r="Z193" s="112" t="s">
        <v>87</v>
      </c>
      <c r="AA193" s="112"/>
      <c r="AB193" s="117"/>
      <c r="AC193" s="118">
        <v>25.5</v>
      </c>
      <c r="AD193" s="112"/>
      <c r="AE193" s="114">
        <v>10</v>
      </c>
      <c r="AF193" s="112" t="s">
        <v>88</v>
      </c>
      <c r="AG193" s="114" t="s">
        <v>99</v>
      </c>
      <c r="AH193" s="118">
        <v>12.5</v>
      </c>
      <c r="AI193" s="112">
        <f t="shared" si="79"/>
        <v>125</v>
      </c>
      <c r="AJ193" s="112"/>
      <c r="AK193" s="115" t="s">
        <v>89</v>
      </c>
      <c r="AL193" s="114">
        <v>10</v>
      </c>
      <c r="AM193" s="112">
        <v>18</v>
      </c>
      <c r="AN193" s="112">
        <f t="shared" si="80"/>
        <v>180</v>
      </c>
      <c r="AO193" s="112"/>
      <c r="AP193" s="112"/>
      <c r="AQ193" s="112">
        <f t="shared" si="81"/>
        <v>0</v>
      </c>
      <c r="AR193" s="112">
        <f t="shared" si="82"/>
        <v>180</v>
      </c>
      <c r="AS193" s="112"/>
      <c r="AT193" s="110" t="s">
        <v>617</v>
      </c>
      <c r="AU193" s="111">
        <v>46141</v>
      </c>
      <c r="AV193" s="112">
        <f t="shared" si="83"/>
        <v>18</v>
      </c>
      <c r="AW193" s="112">
        <f t="shared" si="84"/>
        <v>180</v>
      </c>
      <c r="AX193" s="112"/>
      <c r="AY193" s="13" t="s">
        <v>618</v>
      </c>
      <c r="AZ193" s="124">
        <v>46156</v>
      </c>
      <c r="BA193" s="112">
        <f t="shared" si="85"/>
        <v>18</v>
      </c>
      <c r="BB193" s="112">
        <f t="shared" si="86"/>
        <v>10</v>
      </c>
      <c r="BC193" s="112">
        <f t="shared" si="87"/>
        <v>180</v>
      </c>
      <c r="BD193" s="112"/>
      <c r="BE193" s="112" t="s">
        <v>123</v>
      </c>
      <c r="BF193" s="113" t="s">
        <v>643</v>
      </c>
      <c r="BG193" s="120" t="s">
        <v>619</v>
      </c>
    </row>
    <row r="194" spans="1:59" s="120" customFormat="1" ht="15" customHeight="1">
      <c r="A194" s="112">
        <f t="shared" si="61"/>
        <v>192</v>
      </c>
      <c r="B194" s="113" t="s">
        <v>646</v>
      </c>
      <c r="C194" s="114" t="s">
        <v>644</v>
      </c>
      <c r="D194" s="122"/>
      <c r="E194" s="114" t="s">
        <v>647</v>
      </c>
      <c r="F194" s="112"/>
      <c r="G194" s="115" t="s">
        <v>81</v>
      </c>
      <c r="H194" s="10" t="s">
        <v>616</v>
      </c>
      <c r="I194" s="114" t="s">
        <v>83</v>
      </c>
      <c r="J194" s="114" t="s">
        <v>84</v>
      </c>
      <c r="K194" s="114" t="s">
        <v>83</v>
      </c>
      <c r="L194" s="113" t="s">
        <v>614</v>
      </c>
      <c r="M194" s="113" t="s">
        <v>614</v>
      </c>
      <c r="N194" s="116">
        <v>46142</v>
      </c>
      <c r="O194" s="114">
        <v>119</v>
      </c>
      <c r="P194" s="116">
        <v>46149</v>
      </c>
      <c r="Q194" s="116">
        <v>46149</v>
      </c>
      <c r="R194" s="116">
        <v>46149</v>
      </c>
      <c r="S194" s="112"/>
      <c r="T194" s="112"/>
      <c r="U194" s="112" t="s">
        <v>85</v>
      </c>
      <c r="V194" s="114" t="s">
        <v>99</v>
      </c>
      <c r="W194" s="114">
        <v>119</v>
      </c>
      <c r="X194" s="114">
        <v>109</v>
      </c>
      <c r="Y194" s="112"/>
      <c r="Z194" s="112" t="s">
        <v>87</v>
      </c>
      <c r="AA194" s="112"/>
      <c r="AB194" s="117"/>
      <c r="AC194" s="118">
        <v>25.5</v>
      </c>
      <c r="AD194" s="112"/>
      <c r="AE194" s="114">
        <v>119</v>
      </c>
      <c r="AF194" s="112" t="s">
        <v>88</v>
      </c>
      <c r="AG194" s="114" t="s">
        <v>99</v>
      </c>
      <c r="AH194" s="118">
        <v>12.5</v>
      </c>
      <c r="AI194" s="112">
        <f t="shared" si="79"/>
        <v>1487.5</v>
      </c>
      <c r="AJ194" s="112"/>
      <c r="AK194" s="115" t="s">
        <v>89</v>
      </c>
      <c r="AL194" s="114">
        <v>109</v>
      </c>
      <c r="AM194" s="112">
        <v>18</v>
      </c>
      <c r="AN194" s="112">
        <f t="shared" si="80"/>
        <v>1962</v>
      </c>
      <c r="AO194" s="112"/>
      <c r="AP194" s="112"/>
      <c r="AQ194" s="112">
        <f t="shared" si="81"/>
        <v>0</v>
      </c>
      <c r="AR194" s="112">
        <f t="shared" si="82"/>
        <v>1962</v>
      </c>
      <c r="AS194" s="112"/>
      <c r="AT194" s="110" t="s">
        <v>617</v>
      </c>
      <c r="AU194" s="111">
        <v>46141</v>
      </c>
      <c r="AV194" s="112">
        <f t="shared" si="83"/>
        <v>18</v>
      </c>
      <c r="AW194" s="112">
        <f t="shared" si="84"/>
        <v>1962</v>
      </c>
      <c r="AX194" s="112"/>
      <c r="AY194" s="13" t="s">
        <v>618</v>
      </c>
      <c r="AZ194" s="124">
        <v>46156</v>
      </c>
      <c r="BA194" s="112">
        <f t="shared" si="85"/>
        <v>18</v>
      </c>
      <c r="BB194" s="112">
        <f t="shared" si="86"/>
        <v>109</v>
      </c>
      <c r="BC194" s="112">
        <f t="shared" si="87"/>
        <v>1962</v>
      </c>
      <c r="BD194" s="112"/>
      <c r="BE194" s="112" t="s">
        <v>126</v>
      </c>
      <c r="BF194" s="113" t="s">
        <v>646</v>
      </c>
      <c r="BG194" s="120" t="s">
        <v>619</v>
      </c>
    </row>
    <row r="195" spans="1:59" s="120" customFormat="1" ht="15" customHeight="1">
      <c r="A195" s="112">
        <f t="shared" si="61"/>
        <v>193</v>
      </c>
      <c r="B195" s="113" t="s">
        <v>648</v>
      </c>
      <c r="C195" s="114" t="s">
        <v>649</v>
      </c>
      <c r="D195" s="122"/>
      <c r="E195" s="114" t="s">
        <v>650</v>
      </c>
      <c r="F195" s="112"/>
      <c r="G195" s="115" t="s">
        <v>81</v>
      </c>
      <c r="H195" s="10" t="s">
        <v>616</v>
      </c>
      <c r="I195" s="114" t="s">
        <v>83</v>
      </c>
      <c r="J195" s="114" t="s">
        <v>84</v>
      </c>
      <c r="K195" s="114" t="s">
        <v>83</v>
      </c>
      <c r="L195" s="113" t="s">
        <v>614</v>
      </c>
      <c r="M195" s="113" t="s">
        <v>614</v>
      </c>
      <c r="N195" s="116">
        <v>46142</v>
      </c>
      <c r="O195" s="114">
        <v>10</v>
      </c>
      <c r="P195" s="116">
        <v>46149</v>
      </c>
      <c r="Q195" s="116">
        <v>46149</v>
      </c>
      <c r="R195" s="116">
        <v>46149</v>
      </c>
      <c r="S195" s="112"/>
      <c r="T195" s="112"/>
      <c r="U195" s="112" t="s">
        <v>85</v>
      </c>
      <c r="V195" s="114" t="s">
        <v>99</v>
      </c>
      <c r="W195" s="114">
        <v>10</v>
      </c>
      <c r="X195" s="114">
        <v>10</v>
      </c>
      <c r="Y195" s="112"/>
      <c r="Z195" s="112" t="s">
        <v>87</v>
      </c>
      <c r="AA195" s="112"/>
      <c r="AB195" s="117"/>
      <c r="AC195" s="118">
        <v>25.5</v>
      </c>
      <c r="AD195" s="112"/>
      <c r="AE195" s="114">
        <v>10</v>
      </c>
      <c r="AF195" s="112" t="s">
        <v>88</v>
      </c>
      <c r="AG195" s="114" t="s">
        <v>99</v>
      </c>
      <c r="AH195" s="118">
        <v>12.5</v>
      </c>
      <c r="AI195" s="112">
        <f t="shared" si="79"/>
        <v>125</v>
      </c>
      <c r="AJ195" s="112"/>
      <c r="AK195" s="115" t="s">
        <v>89</v>
      </c>
      <c r="AL195" s="114">
        <v>10</v>
      </c>
      <c r="AM195" s="112">
        <v>18</v>
      </c>
      <c r="AN195" s="112">
        <f t="shared" si="80"/>
        <v>180</v>
      </c>
      <c r="AO195" s="112"/>
      <c r="AP195" s="112"/>
      <c r="AQ195" s="112">
        <f t="shared" si="81"/>
        <v>0</v>
      </c>
      <c r="AR195" s="112">
        <f t="shared" si="82"/>
        <v>180</v>
      </c>
      <c r="AS195" s="112"/>
      <c r="AT195" s="110" t="s">
        <v>617</v>
      </c>
      <c r="AU195" s="111">
        <v>46141</v>
      </c>
      <c r="AV195" s="112">
        <f t="shared" si="83"/>
        <v>18</v>
      </c>
      <c r="AW195" s="112">
        <f t="shared" si="84"/>
        <v>180</v>
      </c>
      <c r="AX195" s="112"/>
      <c r="AY195" s="13" t="s">
        <v>618</v>
      </c>
      <c r="AZ195" s="124">
        <v>46156</v>
      </c>
      <c r="BA195" s="112">
        <f t="shared" si="85"/>
        <v>18</v>
      </c>
      <c r="BB195" s="112">
        <f t="shared" si="86"/>
        <v>10</v>
      </c>
      <c r="BC195" s="112">
        <f t="shared" si="87"/>
        <v>180</v>
      </c>
      <c r="BD195" s="112"/>
      <c r="BE195" s="112" t="s">
        <v>129</v>
      </c>
      <c r="BF195" s="113" t="s">
        <v>648</v>
      </c>
      <c r="BG195" s="120" t="s">
        <v>619</v>
      </c>
    </row>
    <row r="196" spans="1:59" s="120" customFormat="1" ht="15" customHeight="1">
      <c r="A196" s="112">
        <f t="shared" si="61"/>
        <v>194</v>
      </c>
      <c r="B196" s="113" t="s">
        <v>651</v>
      </c>
      <c r="C196" s="114" t="s">
        <v>649</v>
      </c>
      <c r="D196" s="122"/>
      <c r="E196" s="114" t="s">
        <v>652</v>
      </c>
      <c r="F196" s="112"/>
      <c r="G196" s="115" t="s">
        <v>81</v>
      </c>
      <c r="H196" s="10" t="s">
        <v>616</v>
      </c>
      <c r="I196" s="114" t="s">
        <v>83</v>
      </c>
      <c r="J196" s="114" t="s">
        <v>84</v>
      </c>
      <c r="K196" s="114" t="s">
        <v>83</v>
      </c>
      <c r="L196" s="113" t="s">
        <v>614</v>
      </c>
      <c r="M196" s="113" t="s">
        <v>614</v>
      </c>
      <c r="N196" s="116">
        <v>46142</v>
      </c>
      <c r="O196" s="114">
        <v>104</v>
      </c>
      <c r="P196" s="116">
        <v>46149</v>
      </c>
      <c r="Q196" s="116">
        <v>46149</v>
      </c>
      <c r="R196" s="116">
        <v>46149</v>
      </c>
      <c r="S196" s="112"/>
      <c r="T196" s="112"/>
      <c r="U196" s="112" t="s">
        <v>85</v>
      </c>
      <c r="V196" s="114" t="s">
        <v>99</v>
      </c>
      <c r="W196" s="114">
        <v>104</v>
      </c>
      <c r="X196" s="114">
        <v>94</v>
      </c>
      <c r="Y196" s="112"/>
      <c r="Z196" s="112" t="s">
        <v>87</v>
      </c>
      <c r="AA196" s="112"/>
      <c r="AB196" s="117"/>
      <c r="AC196" s="118">
        <v>25.5</v>
      </c>
      <c r="AD196" s="112"/>
      <c r="AE196" s="114">
        <v>104</v>
      </c>
      <c r="AF196" s="112" t="s">
        <v>88</v>
      </c>
      <c r="AG196" s="114" t="s">
        <v>99</v>
      </c>
      <c r="AH196" s="118">
        <v>12.5</v>
      </c>
      <c r="AI196" s="112">
        <f t="shared" si="79"/>
        <v>1300</v>
      </c>
      <c r="AJ196" s="112"/>
      <c r="AK196" s="115" t="s">
        <v>89</v>
      </c>
      <c r="AL196" s="114">
        <v>94</v>
      </c>
      <c r="AM196" s="112">
        <v>18</v>
      </c>
      <c r="AN196" s="112">
        <f t="shared" si="80"/>
        <v>1692</v>
      </c>
      <c r="AO196" s="112"/>
      <c r="AP196" s="112"/>
      <c r="AQ196" s="112">
        <f t="shared" si="81"/>
        <v>0</v>
      </c>
      <c r="AR196" s="112">
        <f t="shared" si="82"/>
        <v>1692</v>
      </c>
      <c r="AS196" s="112"/>
      <c r="AT196" s="110" t="s">
        <v>617</v>
      </c>
      <c r="AU196" s="111">
        <v>46141</v>
      </c>
      <c r="AV196" s="112">
        <f t="shared" si="83"/>
        <v>18</v>
      </c>
      <c r="AW196" s="112">
        <f t="shared" si="84"/>
        <v>1692</v>
      </c>
      <c r="AX196" s="112"/>
      <c r="AY196" s="13" t="s">
        <v>618</v>
      </c>
      <c r="AZ196" s="124">
        <v>46156</v>
      </c>
      <c r="BA196" s="112">
        <f t="shared" si="85"/>
        <v>18</v>
      </c>
      <c r="BB196" s="112">
        <f t="shared" si="86"/>
        <v>94</v>
      </c>
      <c r="BC196" s="112">
        <f t="shared" si="87"/>
        <v>1692</v>
      </c>
      <c r="BD196" s="112"/>
      <c r="BE196" s="112" t="s">
        <v>135</v>
      </c>
      <c r="BF196" s="113" t="s">
        <v>651</v>
      </c>
      <c r="BG196" s="120" t="s">
        <v>619</v>
      </c>
    </row>
    <row r="197" spans="1:59" s="120" customFormat="1" ht="15" customHeight="1">
      <c r="A197" s="112">
        <f t="shared" si="61"/>
        <v>195</v>
      </c>
      <c r="B197" s="113" t="s">
        <v>653</v>
      </c>
      <c r="C197" s="114" t="s">
        <v>649</v>
      </c>
      <c r="D197" s="122"/>
      <c r="E197" s="114" t="s">
        <v>654</v>
      </c>
      <c r="F197" s="112"/>
      <c r="G197" s="115" t="s">
        <v>81</v>
      </c>
      <c r="H197" s="10" t="s">
        <v>616</v>
      </c>
      <c r="I197" s="114" t="s">
        <v>83</v>
      </c>
      <c r="J197" s="114" t="s">
        <v>84</v>
      </c>
      <c r="K197" s="114" t="s">
        <v>83</v>
      </c>
      <c r="L197" s="113" t="s">
        <v>614</v>
      </c>
      <c r="M197" s="113" t="s">
        <v>614</v>
      </c>
      <c r="N197" s="116">
        <v>46142</v>
      </c>
      <c r="O197" s="114">
        <v>51</v>
      </c>
      <c r="P197" s="116">
        <v>46149</v>
      </c>
      <c r="Q197" s="116">
        <v>46149</v>
      </c>
      <c r="R197" s="116">
        <v>46149</v>
      </c>
      <c r="S197" s="112"/>
      <c r="T197" s="112"/>
      <c r="U197" s="112" t="s">
        <v>85</v>
      </c>
      <c r="V197" s="114" t="s">
        <v>99</v>
      </c>
      <c r="W197" s="114">
        <v>51</v>
      </c>
      <c r="X197" s="114">
        <v>56</v>
      </c>
      <c r="Y197" s="112"/>
      <c r="Z197" s="112" t="s">
        <v>87</v>
      </c>
      <c r="AA197" s="112"/>
      <c r="AB197" s="117"/>
      <c r="AC197" s="118">
        <v>25.5</v>
      </c>
      <c r="AD197" s="112"/>
      <c r="AE197" s="114">
        <v>51</v>
      </c>
      <c r="AF197" s="112" t="s">
        <v>88</v>
      </c>
      <c r="AG197" s="114" t="s">
        <v>99</v>
      </c>
      <c r="AH197" s="118">
        <v>12.5</v>
      </c>
      <c r="AI197" s="112">
        <f t="shared" si="79"/>
        <v>637.5</v>
      </c>
      <c r="AJ197" s="112"/>
      <c r="AK197" s="115" t="s">
        <v>89</v>
      </c>
      <c r="AL197" s="114">
        <v>56</v>
      </c>
      <c r="AM197" s="112">
        <v>18</v>
      </c>
      <c r="AN197" s="112">
        <f t="shared" si="80"/>
        <v>1008</v>
      </c>
      <c r="AO197" s="112"/>
      <c r="AP197" s="112"/>
      <c r="AQ197" s="112">
        <f t="shared" si="81"/>
        <v>0</v>
      </c>
      <c r="AR197" s="112">
        <f t="shared" si="82"/>
        <v>1008</v>
      </c>
      <c r="AS197" s="112"/>
      <c r="AT197" s="110" t="s">
        <v>617</v>
      </c>
      <c r="AU197" s="111">
        <v>46141</v>
      </c>
      <c r="AV197" s="112">
        <f t="shared" si="83"/>
        <v>18</v>
      </c>
      <c r="AW197" s="112">
        <f t="shared" si="84"/>
        <v>1008</v>
      </c>
      <c r="AX197" s="112"/>
      <c r="AY197" s="13" t="s">
        <v>618</v>
      </c>
      <c r="AZ197" s="124">
        <v>46156</v>
      </c>
      <c r="BA197" s="112">
        <f t="shared" si="85"/>
        <v>18</v>
      </c>
      <c r="BB197" s="112">
        <f t="shared" si="86"/>
        <v>56</v>
      </c>
      <c r="BC197" s="112">
        <f t="shared" si="87"/>
        <v>1008</v>
      </c>
      <c r="BD197" s="112"/>
      <c r="BE197" s="112" t="s">
        <v>138</v>
      </c>
      <c r="BF197" s="113" t="s">
        <v>653</v>
      </c>
      <c r="BG197" s="120" t="s">
        <v>619</v>
      </c>
    </row>
    <row r="198" spans="1:59" s="120" customFormat="1" ht="15" customHeight="1">
      <c r="A198" s="112">
        <f t="shared" ref="A198:A262" si="97">A197+1</f>
        <v>196</v>
      </c>
      <c r="B198" s="113" t="s">
        <v>655</v>
      </c>
      <c r="C198" s="114" t="s">
        <v>649</v>
      </c>
      <c r="D198" s="122"/>
      <c r="E198" s="114" t="s">
        <v>656</v>
      </c>
      <c r="F198" s="112"/>
      <c r="G198" s="115" t="s">
        <v>81</v>
      </c>
      <c r="H198" s="10" t="s">
        <v>616</v>
      </c>
      <c r="I198" s="114" t="s">
        <v>83</v>
      </c>
      <c r="J198" s="114" t="s">
        <v>84</v>
      </c>
      <c r="K198" s="114" t="s">
        <v>83</v>
      </c>
      <c r="L198" s="113" t="s">
        <v>614</v>
      </c>
      <c r="M198" s="113" t="s">
        <v>614</v>
      </c>
      <c r="N198" s="116">
        <v>46142</v>
      </c>
      <c r="O198" s="114">
        <v>96</v>
      </c>
      <c r="P198" s="116">
        <v>46149</v>
      </c>
      <c r="Q198" s="116">
        <v>46149</v>
      </c>
      <c r="R198" s="116">
        <v>46149</v>
      </c>
      <c r="S198" s="112"/>
      <c r="T198" s="112"/>
      <c r="U198" s="112" t="s">
        <v>85</v>
      </c>
      <c r="V198" s="114" t="s">
        <v>99</v>
      </c>
      <c r="W198" s="114">
        <v>96</v>
      </c>
      <c r="X198" s="114">
        <v>96</v>
      </c>
      <c r="Y198" s="112"/>
      <c r="Z198" s="112" t="s">
        <v>87</v>
      </c>
      <c r="AA198" s="112"/>
      <c r="AB198" s="117"/>
      <c r="AC198" s="118">
        <v>25.5</v>
      </c>
      <c r="AD198" s="112"/>
      <c r="AE198" s="114">
        <v>96</v>
      </c>
      <c r="AF198" s="112" t="s">
        <v>88</v>
      </c>
      <c r="AG198" s="114" t="s">
        <v>99</v>
      </c>
      <c r="AH198" s="118">
        <v>12.5</v>
      </c>
      <c r="AI198" s="112">
        <f t="shared" si="79"/>
        <v>1200</v>
      </c>
      <c r="AJ198" s="112"/>
      <c r="AK198" s="115" t="s">
        <v>89</v>
      </c>
      <c r="AL198" s="114">
        <v>96</v>
      </c>
      <c r="AM198" s="112">
        <v>18</v>
      </c>
      <c r="AN198" s="112">
        <f t="shared" si="80"/>
        <v>1728</v>
      </c>
      <c r="AO198" s="112"/>
      <c r="AP198" s="112"/>
      <c r="AQ198" s="112">
        <f t="shared" si="81"/>
        <v>0</v>
      </c>
      <c r="AR198" s="112">
        <f t="shared" si="82"/>
        <v>1728</v>
      </c>
      <c r="AS198" s="112"/>
      <c r="AT198" s="110" t="s">
        <v>617</v>
      </c>
      <c r="AU198" s="111">
        <v>46141</v>
      </c>
      <c r="AV198" s="112">
        <f t="shared" si="83"/>
        <v>18</v>
      </c>
      <c r="AW198" s="112">
        <f t="shared" si="84"/>
        <v>1728</v>
      </c>
      <c r="AX198" s="112"/>
      <c r="AY198" s="13" t="s">
        <v>618</v>
      </c>
      <c r="AZ198" s="124">
        <v>46156</v>
      </c>
      <c r="BA198" s="112">
        <f t="shared" si="85"/>
        <v>18</v>
      </c>
      <c r="BB198" s="112">
        <f t="shared" si="86"/>
        <v>96</v>
      </c>
      <c r="BC198" s="112">
        <f t="shared" si="87"/>
        <v>1728</v>
      </c>
      <c r="BD198" s="112"/>
      <c r="BE198" s="112" t="s">
        <v>132</v>
      </c>
      <c r="BF198" s="113" t="s">
        <v>655</v>
      </c>
      <c r="BG198" s="120" t="s">
        <v>619</v>
      </c>
    </row>
    <row r="199" spans="1:59" s="120" customFormat="1" ht="15" customHeight="1">
      <c r="A199" s="112">
        <f t="shared" si="97"/>
        <v>197</v>
      </c>
      <c r="B199" s="113" t="s">
        <v>657</v>
      </c>
      <c r="C199" s="114" t="s">
        <v>630</v>
      </c>
      <c r="D199" s="122"/>
      <c r="E199" s="114" t="s">
        <v>658</v>
      </c>
      <c r="F199" s="112"/>
      <c r="G199" s="115" t="s">
        <v>81</v>
      </c>
      <c r="H199" s="10" t="s">
        <v>616</v>
      </c>
      <c r="I199" s="114" t="s">
        <v>83</v>
      </c>
      <c r="J199" s="114" t="s">
        <v>84</v>
      </c>
      <c r="K199" s="114" t="s">
        <v>83</v>
      </c>
      <c r="L199" s="113" t="s">
        <v>614</v>
      </c>
      <c r="M199" s="113" t="s">
        <v>614</v>
      </c>
      <c r="N199" s="116">
        <v>46142</v>
      </c>
      <c r="O199" s="114">
        <v>15</v>
      </c>
      <c r="P199" s="116">
        <v>46149</v>
      </c>
      <c r="Q199" s="116">
        <v>46149</v>
      </c>
      <c r="R199" s="116">
        <v>46149</v>
      </c>
      <c r="S199" s="112"/>
      <c r="T199" s="112"/>
      <c r="U199" s="112" t="s">
        <v>85</v>
      </c>
      <c r="V199" s="114" t="s">
        <v>99</v>
      </c>
      <c r="W199" s="114">
        <v>15</v>
      </c>
      <c r="X199" s="114">
        <v>15</v>
      </c>
      <c r="Y199" s="112"/>
      <c r="Z199" s="112" t="s">
        <v>87</v>
      </c>
      <c r="AA199" s="112"/>
      <c r="AB199" s="117"/>
      <c r="AC199" s="118">
        <v>25.5</v>
      </c>
      <c r="AD199" s="112"/>
      <c r="AE199" s="114">
        <v>15</v>
      </c>
      <c r="AF199" s="112" t="s">
        <v>88</v>
      </c>
      <c r="AG199" s="114" t="s">
        <v>99</v>
      </c>
      <c r="AH199" s="118">
        <v>12.5</v>
      </c>
      <c r="AI199" s="112">
        <f t="shared" si="79"/>
        <v>187.5</v>
      </c>
      <c r="AJ199" s="112"/>
      <c r="AK199" s="115" t="s">
        <v>89</v>
      </c>
      <c r="AL199" s="114">
        <v>15</v>
      </c>
      <c r="AM199" s="112">
        <v>18</v>
      </c>
      <c r="AN199" s="112">
        <f t="shared" si="80"/>
        <v>270</v>
      </c>
      <c r="AO199" s="112"/>
      <c r="AP199" s="112"/>
      <c r="AQ199" s="112">
        <f t="shared" si="81"/>
        <v>0</v>
      </c>
      <c r="AR199" s="112">
        <f t="shared" si="82"/>
        <v>270</v>
      </c>
      <c r="AS199" s="112"/>
      <c r="AT199" s="110" t="s">
        <v>617</v>
      </c>
      <c r="AU199" s="111">
        <v>46141</v>
      </c>
      <c r="AV199" s="112">
        <f t="shared" si="83"/>
        <v>18</v>
      </c>
      <c r="AW199" s="112">
        <f t="shared" si="84"/>
        <v>270</v>
      </c>
      <c r="AX199" s="112"/>
      <c r="AY199" s="13" t="s">
        <v>618</v>
      </c>
      <c r="AZ199" s="124">
        <v>46156</v>
      </c>
      <c r="BA199" s="112">
        <f t="shared" si="85"/>
        <v>18</v>
      </c>
      <c r="BB199" s="112">
        <f t="shared" si="86"/>
        <v>15</v>
      </c>
      <c r="BC199" s="112">
        <f t="shared" si="87"/>
        <v>270</v>
      </c>
      <c r="BD199" s="112"/>
      <c r="BE199" s="112" t="s">
        <v>182</v>
      </c>
      <c r="BF199" s="113" t="s">
        <v>657</v>
      </c>
      <c r="BG199" s="120" t="s">
        <v>619</v>
      </c>
    </row>
    <row r="200" spans="1:59" s="120" customFormat="1" ht="15" customHeight="1">
      <c r="A200" s="112">
        <f t="shared" si="97"/>
        <v>198</v>
      </c>
      <c r="B200" s="113" t="s">
        <v>659</v>
      </c>
      <c r="C200" s="114" t="s">
        <v>630</v>
      </c>
      <c r="D200" s="122"/>
      <c r="E200" s="114" t="s">
        <v>660</v>
      </c>
      <c r="F200" s="112"/>
      <c r="G200" s="115" t="s">
        <v>81</v>
      </c>
      <c r="H200" s="10" t="s">
        <v>616</v>
      </c>
      <c r="I200" s="114" t="s">
        <v>83</v>
      </c>
      <c r="J200" s="114" t="s">
        <v>84</v>
      </c>
      <c r="K200" s="114" t="s">
        <v>83</v>
      </c>
      <c r="L200" s="113" t="s">
        <v>614</v>
      </c>
      <c r="M200" s="113" t="s">
        <v>614</v>
      </c>
      <c r="N200" s="116">
        <v>46142</v>
      </c>
      <c r="O200" s="114">
        <v>119</v>
      </c>
      <c r="P200" s="116">
        <v>46149</v>
      </c>
      <c r="Q200" s="116">
        <v>46149</v>
      </c>
      <c r="R200" s="116">
        <v>46149</v>
      </c>
      <c r="S200" s="112"/>
      <c r="T200" s="112"/>
      <c r="U200" s="112" t="s">
        <v>85</v>
      </c>
      <c r="V200" s="114" t="s">
        <v>99</v>
      </c>
      <c r="W200" s="114">
        <v>119</v>
      </c>
      <c r="X200" s="114">
        <v>109</v>
      </c>
      <c r="Y200" s="112"/>
      <c r="Z200" s="112" t="s">
        <v>87</v>
      </c>
      <c r="AA200" s="112"/>
      <c r="AB200" s="117"/>
      <c r="AC200" s="118">
        <v>25.5</v>
      </c>
      <c r="AD200" s="112"/>
      <c r="AE200" s="114">
        <v>119</v>
      </c>
      <c r="AF200" s="112" t="s">
        <v>88</v>
      </c>
      <c r="AG200" s="114" t="s">
        <v>99</v>
      </c>
      <c r="AH200" s="118">
        <v>12.5</v>
      </c>
      <c r="AI200" s="112">
        <f t="shared" si="79"/>
        <v>1487.5</v>
      </c>
      <c r="AJ200" s="112"/>
      <c r="AK200" s="115" t="s">
        <v>89</v>
      </c>
      <c r="AL200" s="114">
        <v>109</v>
      </c>
      <c r="AM200" s="112">
        <v>18</v>
      </c>
      <c r="AN200" s="112">
        <f t="shared" si="80"/>
        <v>1962</v>
      </c>
      <c r="AO200" s="112"/>
      <c r="AP200" s="112"/>
      <c r="AQ200" s="112">
        <f t="shared" si="81"/>
        <v>0</v>
      </c>
      <c r="AR200" s="112">
        <f t="shared" si="82"/>
        <v>1962</v>
      </c>
      <c r="AS200" s="112"/>
      <c r="AT200" s="110" t="s">
        <v>617</v>
      </c>
      <c r="AU200" s="111">
        <v>46141</v>
      </c>
      <c r="AV200" s="112">
        <f t="shared" si="83"/>
        <v>18</v>
      </c>
      <c r="AW200" s="112">
        <f t="shared" si="84"/>
        <v>1962</v>
      </c>
      <c r="AX200" s="112"/>
      <c r="AY200" s="13" t="s">
        <v>618</v>
      </c>
      <c r="AZ200" s="124">
        <v>46156</v>
      </c>
      <c r="BA200" s="112">
        <f t="shared" si="85"/>
        <v>18</v>
      </c>
      <c r="BB200" s="112">
        <f t="shared" si="86"/>
        <v>109</v>
      </c>
      <c r="BC200" s="112">
        <f t="shared" si="87"/>
        <v>1962</v>
      </c>
      <c r="BD200" s="112"/>
      <c r="BE200" s="112" t="s">
        <v>185</v>
      </c>
      <c r="BF200" s="113" t="s">
        <v>659</v>
      </c>
      <c r="BG200" s="120" t="s">
        <v>619</v>
      </c>
    </row>
    <row r="201" spans="1:59" s="120" customFormat="1" ht="15" customHeight="1">
      <c r="A201" s="112">
        <f t="shared" si="97"/>
        <v>199</v>
      </c>
      <c r="B201" s="113" t="s">
        <v>661</v>
      </c>
      <c r="C201" s="114" t="s">
        <v>630</v>
      </c>
      <c r="D201" s="122"/>
      <c r="E201" s="114" t="s">
        <v>662</v>
      </c>
      <c r="F201" s="112"/>
      <c r="G201" s="115" t="s">
        <v>81</v>
      </c>
      <c r="H201" s="10" t="s">
        <v>616</v>
      </c>
      <c r="I201" s="114" t="s">
        <v>83</v>
      </c>
      <c r="J201" s="114" t="s">
        <v>84</v>
      </c>
      <c r="K201" s="114" t="s">
        <v>83</v>
      </c>
      <c r="L201" s="113" t="s">
        <v>614</v>
      </c>
      <c r="M201" s="113" t="s">
        <v>614</v>
      </c>
      <c r="N201" s="116">
        <v>46142</v>
      </c>
      <c r="O201" s="114">
        <v>145</v>
      </c>
      <c r="P201" s="116">
        <v>46149</v>
      </c>
      <c r="Q201" s="116">
        <v>46149</v>
      </c>
      <c r="R201" s="116">
        <v>46149</v>
      </c>
      <c r="S201" s="112"/>
      <c r="T201" s="112"/>
      <c r="U201" s="112" t="s">
        <v>85</v>
      </c>
      <c r="V201" s="114" t="s">
        <v>99</v>
      </c>
      <c r="W201" s="114">
        <v>145</v>
      </c>
      <c r="X201" s="114">
        <v>135</v>
      </c>
      <c r="Y201" s="112"/>
      <c r="Z201" s="112" t="s">
        <v>87</v>
      </c>
      <c r="AA201" s="112"/>
      <c r="AB201" s="117"/>
      <c r="AC201" s="118">
        <v>25.5</v>
      </c>
      <c r="AD201" s="112"/>
      <c r="AE201" s="114">
        <v>145</v>
      </c>
      <c r="AF201" s="112" t="s">
        <v>88</v>
      </c>
      <c r="AG201" s="114" t="s">
        <v>99</v>
      </c>
      <c r="AH201" s="118">
        <v>12.5</v>
      </c>
      <c r="AI201" s="112">
        <f t="shared" si="79"/>
        <v>1812.5</v>
      </c>
      <c r="AJ201" s="112"/>
      <c r="AK201" s="115" t="s">
        <v>89</v>
      </c>
      <c r="AL201" s="114">
        <v>135</v>
      </c>
      <c r="AM201" s="112">
        <v>18</v>
      </c>
      <c r="AN201" s="112">
        <f t="shared" si="80"/>
        <v>2430</v>
      </c>
      <c r="AO201" s="112"/>
      <c r="AP201" s="112"/>
      <c r="AQ201" s="112">
        <f t="shared" si="81"/>
        <v>0</v>
      </c>
      <c r="AR201" s="112">
        <f t="shared" si="82"/>
        <v>2430</v>
      </c>
      <c r="AS201" s="112"/>
      <c r="AT201" s="110" t="s">
        <v>617</v>
      </c>
      <c r="AU201" s="111">
        <v>46141</v>
      </c>
      <c r="AV201" s="112">
        <f t="shared" si="83"/>
        <v>18</v>
      </c>
      <c r="AW201" s="112">
        <f t="shared" si="84"/>
        <v>2430</v>
      </c>
      <c r="AX201" s="112"/>
      <c r="AY201" s="13" t="s">
        <v>618</v>
      </c>
      <c r="AZ201" s="124">
        <v>46156</v>
      </c>
      <c r="BA201" s="112">
        <f t="shared" si="85"/>
        <v>18</v>
      </c>
      <c r="BB201" s="112">
        <f t="shared" si="86"/>
        <v>135</v>
      </c>
      <c r="BC201" s="112">
        <f t="shared" si="87"/>
        <v>2430</v>
      </c>
      <c r="BD201" s="112"/>
      <c r="BE201" s="112" t="s">
        <v>188</v>
      </c>
      <c r="BF201" s="113" t="s">
        <v>661</v>
      </c>
      <c r="BG201" s="120" t="s">
        <v>619</v>
      </c>
    </row>
    <row r="202" spans="1:59" s="120" customFormat="1" ht="15" customHeight="1">
      <c r="A202" s="112">
        <f t="shared" si="97"/>
        <v>200</v>
      </c>
      <c r="B202" s="113" t="s">
        <v>663</v>
      </c>
      <c r="C202" s="114" t="s">
        <v>631</v>
      </c>
      <c r="D202" s="122"/>
      <c r="E202" s="114" t="s">
        <v>664</v>
      </c>
      <c r="F202" s="112"/>
      <c r="G202" s="115" t="s">
        <v>81</v>
      </c>
      <c r="H202" s="10" t="s">
        <v>616</v>
      </c>
      <c r="I202" s="114" t="s">
        <v>83</v>
      </c>
      <c r="J202" s="114" t="s">
        <v>84</v>
      </c>
      <c r="K202" s="114" t="s">
        <v>83</v>
      </c>
      <c r="L202" s="113" t="s">
        <v>614</v>
      </c>
      <c r="M202" s="113" t="s">
        <v>614</v>
      </c>
      <c r="N202" s="116">
        <v>46142</v>
      </c>
      <c r="O202" s="114">
        <v>59</v>
      </c>
      <c r="P202" s="116">
        <v>46149</v>
      </c>
      <c r="Q202" s="116">
        <v>46149</v>
      </c>
      <c r="R202" s="116">
        <v>46149</v>
      </c>
      <c r="S202" s="112"/>
      <c r="T202" s="112"/>
      <c r="U202" s="112" t="s">
        <v>85</v>
      </c>
      <c r="V202" s="114" t="s">
        <v>99</v>
      </c>
      <c r="W202" s="114">
        <v>59</v>
      </c>
      <c r="X202" s="114">
        <v>54</v>
      </c>
      <c r="Y202" s="112"/>
      <c r="Z202" s="112" t="s">
        <v>87</v>
      </c>
      <c r="AA202" s="112"/>
      <c r="AB202" s="117"/>
      <c r="AC202" s="118">
        <v>25.5</v>
      </c>
      <c r="AD202" s="112"/>
      <c r="AE202" s="114">
        <v>59</v>
      </c>
      <c r="AF202" s="112" t="s">
        <v>88</v>
      </c>
      <c r="AG202" s="114" t="s">
        <v>99</v>
      </c>
      <c r="AH202" s="118">
        <v>12.5</v>
      </c>
      <c r="AI202" s="112">
        <f t="shared" si="79"/>
        <v>737.5</v>
      </c>
      <c r="AJ202" s="112"/>
      <c r="AK202" s="115" t="s">
        <v>89</v>
      </c>
      <c r="AL202" s="114">
        <v>54</v>
      </c>
      <c r="AM202" s="112">
        <v>18</v>
      </c>
      <c r="AN202" s="112">
        <f t="shared" si="80"/>
        <v>972</v>
      </c>
      <c r="AO202" s="112"/>
      <c r="AP202" s="112"/>
      <c r="AQ202" s="112">
        <f t="shared" si="81"/>
        <v>0</v>
      </c>
      <c r="AR202" s="112">
        <f t="shared" si="82"/>
        <v>972</v>
      </c>
      <c r="AS202" s="112"/>
      <c r="AT202" s="110" t="s">
        <v>617</v>
      </c>
      <c r="AU202" s="111">
        <v>46141</v>
      </c>
      <c r="AV202" s="112">
        <f t="shared" si="83"/>
        <v>18</v>
      </c>
      <c r="AW202" s="112">
        <f t="shared" si="84"/>
        <v>972</v>
      </c>
      <c r="AX202" s="112"/>
      <c r="AY202" s="13" t="s">
        <v>618</v>
      </c>
      <c r="AZ202" s="124">
        <v>46156</v>
      </c>
      <c r="BA202" s="112">
        <f t="shared" si="85"/>
        <v>18</v>
      </c>
      <c r="BB202" s="112">
        <f t="shared" si="86"/>
        <v>54</v>
      </c>
      <c r="BC202" s="112">
        <f t="shared" si="87"/>
        <v>972</v>
      </c>
      <c r="BD202" s="112"/>
      <c r="BE202" s="112" t="s">
        <v>192</v>
      </c>
      <c r="BF202" s="113" t="s">
        <v>663</v>
      </c>
      <c r="BG202" s="120" t="s">
        <v>619</v>
      </c>
    </row>
    <row r="203" spans="1:59" s="120" customFormat="1" ht="15" customHeight="1">
      <c r="A203" s="112">
        <f t="shared" si="97"/>
        <v>201</v>
      </c>
      <c r="B203" s="113" t="s">
        <v>665</v>
      </c>
      <c r="C203" s="114" t="s">
        <v>631</v>
      </c>
      <c r="D203" s="122"/>
      <c r="E203" s="114" t="s">
        <v>666</v>
      </c>
      <c r="F203" s="112"/>
      <c r="G203" s="115" t="s">
        <v>81</v>
      </c>
      <c r="H203" s="10" t="s">
        <v>616</v>
      </c>
      <c r="I203" s="114" t="s">
        <v>83</v>
      </c>
      <c r="J203" s="114" t="s">
        <v>84</v>
      </c>
      <c r="K203" s="114" t="s">
        <v>83</v>
      </c>
      <c r="L203" s="113" t="s">
        <v>614</v>
      </c>
      <c r="M203" s="113" t="s">
        <v>614</v>
      </c>
      <c r="N203" s="116">
        <v>46142</v>
      </c>
      <c r="O203" s="114">
        <v>93</v>
      </c>
      <c r="P203" s="116">
        <v>46149</v>
      </c>
      <c r="Q203" s="116">
        <v>46149</v>
      </c>
      <c r="R203" s="116">
        <v>46149</v>
      </c>
      <c r="S203" s="112"/>
      <c r="T203" s="112"/>
      <c r="U203" s="112" t="s">
        <v>85</v>
      </c>
      <c r="V203" s="114" t="s">
        <v>99</v>
      </c>
      <c r="W203" s="114">
        <v>93</v>
      </c>
      <c r="X203" s="114">
        <v>93</v>
      </c>
      <c r="Y203" s="112"/>
      <c r="Z203" s="112" t="s">
        <v>87</v>
      </c>
      <c r="AA203" s="112"/>
      <c r="AB203" s="117"/>
      <c r="AC203" s="118">
        <v>25.5</v>
      </c>
      <c r="AD203" s="112"/>
      <c r="AE203" s="114">
        <v>93</v>
      </c>
      <c r="AF203" s="112" t="s">
        <v>88</v>
      </c>
      <c r="AG203" s="114" t="s">
        <v>99</v>
      </c>
      <c r="AH203" s="118">
        <v>12.5</v>
      </c>
      <c r="AI203" s="112">
        <f t="shared" si="79"/>
        <v>1162.5</v>
      </c>
      <c r="AJ203" s="112"/>
      <c r="AK203" s="115" t="s">
        <v>89</v>
      </c>
      <c r="AL203" s="114">
        <v>93</v>
      </c>
      <c r="AM203" s="112">
        <v>18</v>
      </c>
      <c r="AN203" s="112">
        <f t="shared" si="80"/>
        <v>1674</v>
      </c>
      <c r="AO203" s="112"/>
      <c r="AP203" s="112"/>
      <c r="AQ203" s="112">
        <f t="shared" si="81"/>
        <v>0</v>
      </c>
      <c r="AR203" s="112">
        <f t="shared" si="82"/>
        <v>1674</v>
      </c>
      <c r="AS203" s="112"/>
      <c r="AT203" s="110" t="s">
        <v>617</v>
      </c>
      <c r="AU203" s="111">
        <v>46141</v>
      </c>
      <c r="AV203" s="112">
        <f t="shared" si="83"/>
        <v>18</v>
      </c>
      <c r="AW203" s="112">
        <f t="shared" si="84"/>
        <v>1674</v>
      </c>
      <c r="AX203" s="112"/>
      <c r="AY203" s="13" t="s">
        <v>618</v>
      </c>
      <c r="AZ203" s="124">
        <v>46156</v>
      </c>
      <c r="BA203" s="112">
        <f t="shared" si="85"/>
        <v>18</v>
      </c>
      <c r="BB203" s="112">
        <f t="shared" si="86"/>
        <v>93</v>
      </c>
      <c r="BC203" s="112">
        <f t="shared" si="87"/>
        <v>1674</v>
      </c>
      <c r="BD203" s="112"/>
      <c r="BE203" s="112" t="s">
        <v>195</v>
      </c>
      <c r="BF203" s="113" t="s">
        <v>665</v>
      </c>
      <c r="BG203" s="120" t="s">
        <v>619</v>
      </c>
    </row>
    <row r="204" spans="1:59" s="120" customFormat="1" ht="15" customHeight="1">
      <c r="A204" s="112">
        <f t="shared" si="97"/>
        <v>202</v>
      </c>
      <c r="B204" s="113" t="s">
        <v>667</v>
      </c>
      <c r="C204" s="114" t="s">
        <v>634</v>
      </c>
      <c r="D204" s="122"/>
      <c r="E204" s="114" t="s">
        <v>668</v>
      </c>
      <c r="F204" s="112"/>
      <c r="G204" s="115" t="s">
        <v>81</v>
      </c>
      <c r="H204" s="10" t="s">
        <v>616</v>
      </c>
      <c r="I204" s="114" t="s">
        <v>83</v>
      </c>
      <c r="J204" s="114" t="s">
        <v>84</v>
      </c>
      <c r="K204" s="114" t="s">
        <v>83</v>
      </c>
      <c r="L204" s="113" t="s">
        <v>614</v>
      </c>
      <c r="M204" s="113" t="s">
        <v>614</v>
      </c>
      <c r="N204" s="116">
        <v>46142</v>
      </c>
      <c r="O204" s="114">
        <v>80</v>
      </c>
      <c r="P204" s="116">
        <v>46149</v>
      </c>
      <c r="Q204" s="116">
        <v>46149</v>
      </c>
      <c r="R204" s="116">
        <v>46149</v>
      </c>
      <c r="S204" s="112"/>
      <c r="T204" s="112"/>
      <c r="U204" s="112" t="s">
        <v>85</v>
      </c>
      <c r="V204" s="114" t="s">
        <v>99</v>
      </c>
      <c r="W204" s="114">
        <v>80</v>
      </c>
      <c r="X204" s="114">
        <v>75</v>
      </c>
      <c r="Y204" s="112"/>
      <c r="Z204" s="112" t="s">
        <v>87</v>
      </c>
      <c r="AA204" s="112"/>
      <c r="AB204" s="117"/>
      <c r="AC204" s="118">
        <v>25.5</v>
      </c>
      <c r="AD204" s="112"/>
      <c r="AE204" s="114">
        <v>80</v>
      </c>
      <c r="AF204" s="112" t="s">
        <v>88</v>
      </c>
      <c r="AG204" s="114" t="s">
        <v>99</v>
      </c>
      <c r="AH204" s="118">
        <v>12.5</v>
      </c>
      <c r="AI204" s="112">
        <f t="shared" si="79"/>
        <v>1000</v>
      </c>
      <c r="AJ204" s="112"/>
      <c r="AK204" s="115" t="s">
        <v>89</v>
      </c>
      <c r="AL204" s="114">
        <v>75</v>
      </c>
      <c r="AM204" s="112">
        <v>18</v>
      </c>
      <c r="AN204" s="112">
        <f t="shared" si="80"/>
        <v>1350</v>
      </c>
      <c r="AO204" s="112"/>
      <c r="AP204" s="112"/>
      <c r="AQ204" s="112">
        <f t="shared" si="81"/>
        <v>0</v>
      </c>
      <c r="AR204" s="112">
        <f t="shared" si="82"/>
        <v>1350</v>
      </c>
      <c r="AS204" s="112"/>
      <c r="AT204" s="110" t="s">
        <v>617</v>
      </c>
      <c r="AU204" s="111">
        <v>46141</v>
      </c>
      <c r="AV204" s="112">
        <f t="shared" si="83"/>
        <v>18</v>
      </c>
      <c r="AW204" s="112">
        <f t="shared" si="84"/>
        <v>1350</v>
      </c>
      <c r="AX204" s="112"/>
      <c r="AY204" s="13" t="s">
        <v>618</v>
      </c>
      <c r="AZ204" s="124">
        <v>46156</v>
      </c>
      <c r="BA204" s="112">
        <f t="shared" si="85"/>
        <v>18</v>
      </c>
      <c r="BB204" s="112">
        <f t="shared" si="86"/>
        <v>75</v>
      </c>
      <c r="BC204" s="112">
        <f t="shared" si="87"/>
        <v>1350</v>
      </c>
      <c r="BD204" s="112"/>
      <c r="BE204" s="112" t="s">
        <v>199</v>
      </c>
      <c r="BF204" s="113" t="s">
        <v>667</v>
      </c>
      <c r="BG204" s="120" t="s">
        <v>619</v>
      </c>
    </row>
    <row r="205" spans="1:59" s="120" customFormat="1" ht="15" customHeight="1">
      <c r="A205" s="112">
        <f t="shared" si="97"/>
        <v>203</v>
      </c>
      <c r="B205" s="113" t="s">
        <v>669</v>
      </c>
      <c r="C205" s="114" t="s">
        <v>670</v>
      </c>
      <c r="D205" s="122"/>
      <c r="E205" s="114" t="s">
        <v>671</v>
      </c>
      <c r="F205" s="112"/>
      <c r="G205" s="115" t="s">
        <v>81</v>
      </c>
      <c r="H205" s="10" t="s">
        <v>616</v>
      </c>
      <c r="I205" s="114" t="s">
        <v>83</v>
      </c>
      <c r="J205" s="114" t="s">
        <v>84</v>
      </c>
      <c r="K205" s="114" t="s">
        <v>83</v>
      </c>
      <c r="L205" s="113" t="s">
        <v>614</v>
      </c>
      <c r="M205" s="113" t="s">
        <v>614</v>
      </c>
      <c r="N205" s="116">
        <v>46142</v>
      </c>
      <c r="O205" s="114">
        <v>75</v>
      </c>
      <c r="P205" s="116">
        <v>46149</v>
      </c>
      <c r="Q205" s="116">
        <v>46149</v>
      </c>
      <c r="R205" s="116">
        <v>46149</v>
      </c>
      <c r="S205" s="112"/>
      <c r="T205" s="112"/>
      <c r="U205" s="112" t="s">
        <v>85</v>
      </c>
      <c r="V205" s="114" t="s">
        <v>99</v>
      </c>
      <c r="W205" s="114">
        <v>75</v>
      </c>
      <c r="X205" s="114">
        <v>75</v>
      </c>
      <c r="Y205" s="112"/>
      <c r="Z205" s="112" t="s">
        <v>87</v>
      </c>
      <c r="AA205" s="112"/>
      <c r="AB205" s="117"/>
      <c r="AC205" s="118">
        <v>25.5</v>
      </c>
      <c r="AD205" s="112"/>
      <c r="AE205" s="114">
        <v>75</v>
      </c>
      <c r="AF205" s="112" t="s">
        <v>88</v>
      </c>
      <c r="AG205" s="114" t="s">
        <v>99</v>
      </c>
      <c r="AH205" s="118">
        <v>12.5</v>
      </c>
      <c r="AI205" s="112">
        <f t="shared" si="79"/>
        <v>937.5</v>
      </c>
      <c r="AJ205" s="112"/>
      <c r="AK205" s="115" t="s">
        <v>89</v>
      </c>
      <c r="AL205" s="114">
        <v>75</v>
      </c>
      <c r="AM205" s="112">
        <v>18</v>
      </c>
      <c r="AN205" s="112">
        <f t="shared" si="80"/>
        <v>1350</v>
      </c>
      <c r="AO205" s="112"/>
      <c r="AP205" s="112"/>
      <c r="AQ205" s="112">
        <f t="shared" si="81"/>
        <v>0</v>
      </c>
      <c r="AR205" s="112">
        <f t="shared" si="82"/>
        <v>1350</v>
      </c>
      <c r="AS205" s="112"/>
      <c r="AT205" s="110" t="s">
        <v>617</v>
      </c>
      <c r="AU205" s="111">
        <v>46141</v>
      </c>
      <c r="AV205" s="112">
        <f t="shared" si="83"/>
        <v>18</v>
      </c>
      <c r="AW205" s="112">
        <f t="shared" si="84"/>
        <v>1350</v>
      </c>
      <c r="AX205" s="112"/>
      <c r="AY205" s="13" t="s">
        <v>618</v>
      </c>
      <c r="AZ205" s="124">
        <v>46156</v>
      </c>
      <c r="BA205" s="112">
        <f t="shared" si="85"/>
        <v>18</v>
      </c>
      <c r="BB205" s="112">
        <f t="shared" si="86"/>
        <v>75</v>
      </c>
      <c r="BC205" s="112">
        <f t="shared" si="87"/>
        <v>1350</v>
      </c>
      <c r="BD205" s="112"/>
      <c r="BE205" s="112" t="s">
        <v>202</v>
      </c>
      <c r="BF205" s="113" t="s">
        <v>669</v>
      </c>
      <c r="BG205" s="120" t="s">
        <v>619</v>
      </c>
    </row>
    <row r="206" spans="1:59" s="120" customFormat="1" ht="15" customHeight="1">
      <c r="A206" s="112">
        <f t="shared" si="97"/>
        <v>204</v>
      </c>
      <c r="B206" s="113" t="s">
        <v>672</v>
      </c>
      <c r="C206" s="114" t="s">
        <v>634</v>
      </c>
      <c r="D206" s="122"/>
      <c r="E206" s="114" t="s">
        <v>673</v>
      </c>
      <c r="F206" s="112"/>
      <c r="G206" s="115" t="s">
        <v>81</v>
      </c>
      <c r="H206" s="10" t="s">
        <v>616</v>
      </c>
      <c r="I206" s="114" t="s">
        <v>83</v>
      </c>
      <c r="J206" s="114" t="s">
        <v>84</v>
      </c>
      <c r="K206" s="114" t="s">
        <v>83</v>
      </c>
      <c r="L206" s="113" t="s">
        <v>614</v>
      </c>
      <c r="M206" s="113" t="s">
        <v>614</v>
      </c>
      <c r="N206" s="116">
        <v>46142</v>
      </c>
      <c r="O206" s="114">
        <v>154</v>
      </c>
      <c r="P206" s="116">
        <v>46149</v>
      </c>
      <c r="Q206" s="116">
        <v>46149</v>
      </c>
      <c r="R206" s="116">
        <v>46149</v>
      </c>
      <c r="S206" s="112"/>
      <c r="T206" s="112"/>
      <c r="U206" s="112" t="s">
        <v>85</v>
      </c>
      <c r="V206" s="114" t="s">
        <v>99</v>
      </c>
      <c r="W206" s="114">
        <v>154</v>
      </c>
      <c r="X206" s="114">
        <v>149</v>
      </c>
      <c r="Y206" s="112"/>
      <c r="Z206" s="112" t="s">
        <v>87</v>
      </c>
      <c r="AA206" s="112"/>
      <c r="AB206" s="117"/>
      <c r="AC206" s="118">
        <v>25.5</v>
      </c>
      <c r="AD206" s="112"/>
      <c r="AE206" s="114">
        <v>154</v>
      </c>
      <c r="AF206" s="112" t="s">
        <v>88</v>
      </c>
      <c r="AG206" s="114" t="s">
        <v>99</v>
      </c>
      <c r="AH206" s="118">
        <v>12.5</v>
      </c>
      <c r="AI206" s="112">
        <f t="shared" si="79"/>
        <v>1925</v>
      </c>
      <c r="AJ206" s="112"/>
      <c r="AK206" s="115" t="s">
        <v>89</v>
      </c>
      <c r="AL206" s="114">
        <v>149</v>
      </c>
      <c r="AM206" s="112">
        <v>18</v>
      </c>
      <c r="AN206" s="112">
        <f t="shared" si="80"/>
        <v>2682</v>
      </c>
      <c r="AO206" s="112"/>
      <c r="AP206" s="112"/>
      <c r="AQ206" s="112">
        <f t="shared" si="81"/>
        <v>0</v>
      </c>
      <c r="AR206" s="112">
        <f t="shared" si="82"/>
        <v>2682</v>
      </c>
      <c r="AS206" s="112"/>
      <c r="AT206" s="110" t="s">
        <v>617</v>
      </c>
      <c r="AU206" s="111">
        <v>46141</v>
      </c>
      <c r="AV206" s="112">
        <f t="shared" si="83"/>
        <v>18</v>
      </c>
      <c r="AW206" s="112">
        <f t="shared" si="84"/>
        <v>2682</v>
      </c>
      <c r="AX206" s="112"/>
      <c r="AY206" s="13" t="s">
        <v>618</v>
      </c>
      <c r="AZ206" s="124">
        <v>46156</v>
      </c>
      <c r="BA206" s="112">
        <f t="shared" si="85"/>
        <v>18</v>
      </c>
      <c r="BB206" s="112">
        <f t="shared" si="86"/>
        <v>149</v>
      </c>
      <c r="BC206" s="112">
        <f t="shared" si="87"/>
        <v>2682</v>
      </c>
      <c r="BD206" s="112"/>
      <c r="BE206" s="112" t="s">
        <v>206</v>
      </c>
      <c r="BF206" s="113" t="s">
        <v>672</v>
      </c>
      <c r="BG206" s="120" t="s">
        <v>619</v>
      </c>
    </row>
    <row r="207" spans="1:59" s="120" customFormat="1" ht="15" customHeight="1">
      <c r="A207" s="112">
        <f t="shared" si="97"/>
        <v>205</v>
      </c>
      <c r="B207" s="113" t="s">
        <v>674</v>
      </c>
      <c r="C207" s="114" t="s">
        <v>635</v>
      </c>
      <c r="D207" s="122"/>
      <c r="E207" s="114" t="s">
        <v>675</v>
      </c>
      <c r="F207" s="112"/>
      <c r="G207" s="115" t="s">
        <v>81</v>
      </c>
      <c r="H207" s="10" t="s">
        <v>616</v>
      </c>
      <c r="I207" s="114" t="s">
        <v>83</v>
      </c>
      <c r="J207" s="114" t="s">
        <v>84</v>
      </c>
      <c r="K207" s="114" t="s">
        <v>83</v>
      </c>
      <c r="L207" s="113" t="s">
        <v>614</v>
      </c>
      <c r="M207" s="113" t="s">
        <v>614</v>
      </c>
      <c r="N207" s="116">
        <v>46142</v>
      </c>
      <c r="O207" s="114">
        <v>107</v>
      </c>
      <c r="P207" s="116">
        <v>46149</v>
      </c>
      <c r="Q207" s="116">
        <v>46149</v>
      </c>
      <c r="R207" s="116">
        <v>46149</v>
      </c>
      <c r="S207" s="112"/>
      <c r="T207" s="112"/>
      <c r="U207" s="112" t="s">
        <v>85</v>
      </c>
      <c r="V207" s="114" t="s">
        <v>99</v>
      </c>
      <c r="W207" s="114">
        <v>107</v>
      </c>
      <c r="X207" s="114">
        <v>102</v>
      </c>
      <c r="Y207" s="112"/>
      <c r="Z207" s="112" t="s">
        <v>87</v>
      </c>
      <c r="AA207" s="112"/>
      <c r="AB207" s="117"/>
      <c r="AC207" s="118">
        <v>25.5</v>
      </c>
      <c r="AD207" s="112"/>
      <c r="AE207" s="114">
        <v>107</v>
      </c>
      <c r="AF207" s="112" t="s">
        <v>88</v>
      </c>
      <c r="AG207" s="114" t="s">
        <v>99</v>
      </c>
      <c r="AH207" s="118">
        <v>12.5</v>
      </c>
      <c r="AI207" s="112">
        <f t="shared" si="79"/>
        <v>1337.5</v>
      </c>
      <c r="AJ207" s="112"/>
      <c r="AK207" s="115" t="s">
        <v>89</v>
      </c>
      <c r="AL207" s="114">
        <v>102</v>
      </c>
      <c r="AM207" s="112">
        <v>18</v>
      </c>
      <c r="AN207" s="112">
        <f t="shared" si="80"/>
        <v>1836</v>
      </c>
      <c r="AO207" s="112"/>
      <c r="AP207" s="112"/>
      <c r="AQ207" s="112">
        <f t="shared" si="81"/>
        <v>0</v>
      </c>
      <c r="AR207" s="112">
        <f t="shared" si="82"/>
        <v>1836</v>
      </c>
      <c r="AS207" s="112"/>
      <c r="AT207" s="110" t="s">
        <v>617</v>
      </c>
      <c r="AU207" s="111">
        <v>46141</v>
      </c>
      <c r="AV207" s="112">
        <f t="shared" si="83"/>
        <v>18</v>
      </c>
      <c r="AW207" s="112">
        <f t="shared" si="84"/>
        <v>1836</v>
      </c>
      <c r="AX207" s="112"/>
      <c r="AY207" s="13" t="s">
        <v>618</v>
      </c>
      <c r="AZ207" s="124">
        <v>46156</v>
      </c>
      <c r="BA207" s="112">
        <f t="shared" si="85"/>
        <v>18</v>
      </c>
      <c r="BB207" s="112">
        <f t="shared" si="86"/>
        <v>102</v>
      </c>
      <c r="BC207" s="112">
        <f t="shared" si="87"/>
        <v>1836</v>
      </c>
      <c r="BD207" s="112"/>
      <c r="BE207" s="112" t="s">
        <v>210</v>
      </c>
      <c r="BF207" s="113" t="s">
        <v>674</v>
      </c>
      <c r="BG207" s="120" t="s">
        <v>619</v>
      </c>
    </row>
    <row r="208" spans="1:59" s="120" customFormat="1" ht="15" customHeight="1">
      <c r="A208" s="112">
        <f t="shared" si="97"/>
        <v>206</v>
      </c>
      <c r="B208" s="113" t="s">
        <v>676</v>
      </c>
      <c r="C208" s="114" t="s">
        <v>635</v>
      </c>
      <c r="D208" s="122"/>
      <c r="E208" s="114" t="s">
        <v>677</v>
      </c>
      <c r="F208" s="112"/>
      <c r="G208" s="115" t="s">
        <v>81</v>
      </c>
      <c r="H208" s="10" t="s">
        <v>616</v>
      </c>
      <c r="I208" s="114" t="s">
        <v>83</v>
      </c>
      <c r="J208" s="114" t="s">
        <v>84</v>
      </c>
      <c r="K208" s="114" t="s">
        <v>83</v>
      </c>
      <c r="L208" s="113" t="s">
        <v>614</v>
      </c>
      <c r="M208" s="113" t="s">
        <v>614</v>
      </c>
      <c r="N208" s="116">
        <v>46142</v>
      </c>
      <c r="O208" s="114">
        <v>112</v>
      </c>
      <c r="P208" s="116">
        <v>46149</v>
      </c>
      <c r="Q208" s="116">
        <v>46149</v>
      </c>
      <c r="R208" s="116">
        <v>46149</v>
      </c>
      <c r="S208" s="112"/>
      <c r="T208" s="112"/>
      <c r="U208" s="112" t="s">
        <v>85</v>
      </c>
      <c r="V208" s="114" t="s">
        <v>99</v>
      </c>
      <c r="W208" s="114">
        <v>112</v>
      </c>
      <c r="X208" s="114">
        <v>112</v>
      </c>
      <c r="Y208" s="112"/>
      <c r="Z208" s="112" t="s">
        <v>87</v>
      </c>
      <c r="AA208" s="112"/>
      <c r="AB208" s="117"/>
      <c r="AC208" s="118">
        <v>25.5</v>
      </c>
      <c r="AD208" s="112"/>
      <c r="AE208" s="114">
        <v>112</v>
      </c>
      <c r="AF208" s="112" t="s">
        <v>88</v>
      </c>
      <c r="AG208" s="114" t="s">
        <v>99</v>
      </c>
      <c r="AH208" s="118">
        <v>12.5</v>
      </c>
      <c r="AI208" s="112">
        <f t="shared" si="79"/>
        <v>1400</v>
      </c>
      <c r="AJ208" s="112"/>
      <c r="AK208" s="115" t="s">
        <v>89</v>
      </c>
      <c r="AL208" s="114">
        <v>112</v>
      </c>
      <c r="AM208" s="112">
        <v>18</v>
      </c>
      <c r="AN208" s="112">
        <f t="shared" si="80"/>
        <v>2016</v>
      </c>
      <c r="AO208" s="112"/>
      <c r="AP208" s="112"/>
      <c r="AQ208" s="112">
        <f t="shared" si="81"/>
        <v>0</v>
      </c>
      <c r="AR208" s="112">
        <f t="shared" si="82"/>
        <v>2016</v>
      </c>
      <c r="AS208" s="112"/>
      <c r="AT208" s="110" t="s">
        <v>617</v>
      </c>
      <c r="AU208" s="111">
        <v>46141</v>
      </c>
      <c r="AV208" s="112">
        <f t="shared" si="83"/>
        <v>18</v>
      </c>
      <c r="AW208" s="112">
        <f t="shared" si="84"/>
        <v>2016</v>
      </c>
      <c r="AX208" s="112"/>
      <c r="AY208" s="13" t="s">
        <v>618</v>
      </c>
      <c r="AZ208" s="124">
        <v>46156</v>
      </c>
      <c r="BA208" s="112">
        <f t="shared" si="85"/>
        <v>18</v>
      </c>
      <c r="BB208" s="112">
        <f t="shared" si="86"/>
        <v>112</v>
      </c>
      <c r="BC208" s="112">
        <f t="shared" si="87"/>
        <v>2016</v>
      </c>
      <c r="BD208" s="112"/>
      <c r="BE208" s="112" t="s">
        <v>213</v>
      </c>
      <c r="BF208" s="113" t="s">
        <v>676</v>
      </c>
      <c r="BG208" s="120" t="s">
        <v>619</v>
      </c>
    </row>
    <row r="209" spans="1:59" s="120" customFormat="1" ht="15" customHeight="1">
      <c r="A209" s="112">
        <f t="shared" si="97"/>
        <v>207</v>
      </c>
      <c r="B209" s="113" t="s">
        <v>678</v>
      </c>
      <c r="C209" s="114" t="s">
        <v>679</v>
      </c>
      <c r="D209" s="122"/>
      <c r="E209" s="114" t="s">
        <v>680</v>
      </c>
      <c r="F209" s="112"/>
      <c r="G209" s="115" t="s">
        <v>81</v>
      </c>
      <c r="H209" s="10" t="s">
        <v>616</v>
      </c>
      <c r="I209" s="114" t="s">
        <v>83</v>
      </c>
      <c r="J209" s="114" t="s">
        <v>84</v>
      </c>
      <c r="K209" s="114" t="s">
        <v>83</v>
      </c>
      <c r="L209" s="113" t="s">
        <v>614</v>
      </c>
      <c r="M209" s="113" t="s">
        <v>614</v>
      </c>
      <c r="N209" s="116">
        <v>46142</v>
      </c>
      <c r="O209" s="114">
        <v>125</v>
      </c>
      <c r="P209" s="116">
        <v>46149</v>
      </c>
      <c r="Q209" s="116">
        <v>46149</v>
      </c>
      <c r="R209" s="116">
        <v>46149</v>
      </c>
      <c r="S209" s="112"/>
      <c r="T209" s="112"/>
      <c r="U209" s="112" t="s">
        <v>85</v>
      </c>
      <c r="V209" s="114" t="s">
        <v>99</v>
      </c>
      <c r="W209" s="114">
        <v>125</v>
      </c>
      <c r="X209" s="114">
        <v>125</v>
      </c>
      <c r="Y209" s="112"/>
      <c r="Z209" s="112" t="s">
        <v>87</v>
      </c>
      <c r="AA209" s="112"/>
      <c r="AB209" s="117"/>
      <c r="AC209" s="118">
        <v>25.5</v>
      </c>
      <c r="AD209" s="112"/>
      <c r="AE209" s="114">
        <v>125</v>
      </c>
      <c r="AF209" s="112" t="s">
        <v>88</v>
      </c>
      <c r="AG209" s="114" t="s">
        <v>99</v>
      </c>
      <c r="AH209" s="118">
        <v>12.5</v>
      </c>
      <c r="AI209" s="112">
        <f t="shared" si="79"/>
        <v>1562.5</v>
      </c>
      <c r="AJ209" s="112"/>
      <c r="AK209" s="115" t="s">
        <v>89</v>
      </c>
      <c r="AL209" s="114">
        <v>125</v>
      </c>
      <c r="AM209" s="112">
        <v>18</v>
      </c>
      <c r="AN209" s="112">
        <f t="shared" si="80"/>
        <v>2250</v>
      </c>
      <c r="AO209" s="112"/>
      <c r="AP209" s="112"/>
      <c r="AQ209" s="112">
        <f t="shared" si="81"/>
        <v>0</v>
      </c>
      <c r="AR209" s="112">
        <f t="shared" si="82"/>
        <v>2250</v>
      </c>
      <c r="AS209" s="112"/>
      <c r="AT209" s="110" t="s">
        <v>617</v>
      </c>
      <c r="AU209" s="111">
        <v>46141</v>
      </c>
      <c r="AV209" s="112">
        <f t="shared" si="83"/>
        <v>18</v>
      </c>
      <c r="AW209" s="112">
        <f t="shared" si="84"/>
        <v>2250</v>
      </c>
      <c r="AX209" s="112"/>
      <c r="AY209" s="13" t="s">
        <v>618</v>
      </c>
      <c r="AZ209" s="124">
        <v>46156</v>
      </c>
      <c r="BA209" s="112">
        <f t="shared" si="85"/>
        <v>18</v>
      </c>
      <c r="BB209" s="112">
        <f t="shared" si="86"/>
        <v>125</v>
      </c>
      <c r="BC209" s="112">
        <f t="shared" si="87"/>
        <v>2250</v>
      </c>
      <c r="BD209" s="112"/>
      <c r="BE209" s="112" t="s">
        <v>216</v>
      </c>
      <c r="BF209" s="113" t="s">
        <v>678</v>
      </c>
      <c r="BG209" s="120" t="s">
        <v>619</v>
      </c>
    </row>
    <row r="210" spans="1:59" s="120" customFormat="1" ht="15" customHeight="1">
      <c r="A210" s="112">
        <f t="shared" si="97"/>
        <v>208</v>
      </c>
      <c r="B210" s="113" t="s">
        <v>681</v>
      </c>
      <c r="C210" s="114" t="s">
        <v>682</v>
      </c>
      <c r="D210" s="122"/>
      <c r="E210" s="114" t="s">
        <v>683</v>
      </c>
      <c r="F210" s="112"/>
      <c r="G210" s="115" t="s">
        <v>81</v>
      </c>
      <c r="H210" s="10" t="s">
        <v>616</v>
      </c>
      <c r="I210" s="114" t="s">
        <v>83</v>
      </c>
      <c r="J210" s="114" t="s">
        <v>84</v>
      </c>
      <c r="K210" s="114" t="s">
        <v>83</v>
      </c>
      <c r="L210" s="113" t="s">
        <v>614</v>
      </c>
      <c r="M210" s="113" t="s">
        <v>614</v>
      </c>
      <c r="N210" s="116">
        <v>46142</v>
      </c>
      <c r="O210" s="114">
        <v>59</v>
      </c>
      <c r="P210" s="116">
        <v>46149</v>
      </c>
      <c r="Q210" s="116">
        <v>46149</v>
      </c>
      <c r="R210" s="116">
        <v>46149</v>
      </c>
      <c r="S210" s="112"/>
      <c r="T210" s="112"/>
      <c r="U210" s="112" t="s">
        <v>85</v>
      </c>
      <c r="V210" s="114" t="s">
        <v>99</v>
      </c>
      <c r="W210" s="114">
        <v>59</v>
      </c>
      <c r="X210" s="114">
        <v>59</v>
      </c>
      <c r="Y210" s="112"/>
      <c r="Z210" s="112" t="s">
        <v>87</v>
      </c>
      <c r="AA210" s="112"/>
      <c r="AB210" s="117"/>
      <c r="AC210" s="118">
        <v>25.5</v>
      </c>
      <c r="AD210" s="112"/>
      <c r="AE210" s="114">
        <v>59</v>
      </c>
      <c r="AF210" s="112" t="s">
        <v>88</v>
      </c>
      <c r="AG210" s="114" t="s">
        <v>99</v>
      </c>
      <c r="AH210" s="118">
        <v>12.5</v>
      </c>
      <c r="AI210" s="112">
        <f t="shared" si="79"/>
        <v>737.5</v>
      </c>
      <c r="AJ210" s="112"/>
      <c r="AK210" s="115" t="s">
        <v>89</v>
      </c>
      <c r="AL210" s="114">
        <v>59</v>
      </c>
      <c r="AM210" s="112">
        <v>18</v>
      </c>
      <c r="AN210" s="112">
        <f t="shared" si="80"/>
        <v>1062</v>
      </c>
      <c r="AO210" s="112"/>
      <c r="AP210" s="112"/>
      <c r="AQ210" s="112">
        <f t="shared" si="81"/>
        <v>0</v>
      </c>
      <c r="AR210" s="112">
        <f t="shared" si="82"/>
        <v>1062</v>
      </c>
      <c r="AS210" s="112"/>
      <c r="AT210" s="110" t="s">
        <v>617</v>
      </c>
      <c r="AU210" s="111">
        <v>46141</v>
      </c>
      <c r="AV210" s="112">
        <f t="shared" si="83"/>
        <v>18</v>
      </c>
      <c r="AW210" s="112">
        <f t="shared" si="84"/>
        <v>1062</v>
      </c>
      <c r="AX210" s="112"/>
      <c r="AY210" s="13" t="s">
        <v>618</v>
      </c>
      <c r="AZ210" s="124">
        <v>46156</v>
      </c>
      <c r="BA210" s="112">
        <f t="shared" si="85"/>
        <v>18</v>
      </c>
      <c r="BB210" s="112">
        <f t="shared" si="86"/>
        <v>59</v>
      </c>
      <c r="BC210" s="112">
        <f t="shared" si="87"/>
        <v>1062</v>
      </c>
      <c r="BD210" s="112"/>
      <c r="BE210" s="112" t="s">
        <v>220</v>
      </c>
      <c r="BF210" s="113" t="s">
        <v>681</v>
      </c>
      <c r="BG210" s="120" t="s">
        <v>619</v>
      </c>
    </row>
    <row r="211" spans="1:59" s="120" customFormat="1" ht="15" customHeight="1">
      <c r="A211" s="112">
        <f t="shared" si="97"/>
        <v>209</v>
      </c>
      <c r="B211" s="113" t="s">
        <v>684</v>
      </c>
      <c r="C211" s="114" t="s">
        <v>685</v>
      </c>
      <c r="D211" s="122"/>
      <c r="E211" s="114" t="s">
        <v>686</v>
      </c>
      <c r="F211" s="112"/>
      <c r="G211" s="115" t="s">
        <v>81</v>
      </c>
      <c r="H211" s="10" t="s">
        <v>616</v>
      </c>
      <c r="I211" s="114" t="s">
        <v>83</v>
      </c>
      <c r="J211" s="114" t="s">
        <v>84</v>
      </c>
      <c r="K211" s="114" t="s">
        <v>83</v>
      </c>
      <c r="L211" s="113" t="s">
        <v>614</v>
      </c>
      <c r="M211" s="113" t="s">
        <v>614</v>
      </c>
      <c r="N211" s="116">
        <v>46142</v>
      </c>
      <c r="O211" s="114">
        <v>29</v>
      </c>
      <c r="P211" s="116">
        <v>46149</v>
      </c>
      <c r="Q211" s="116">
        <v>46149</v>
      </c>
      <c r="R211" s="116">
        <v>46149</v>
      </c>
      <c r="S211" s="112"/>
      <c r="T211" s="112"/>
      <c r="U211" s="112" t="s">
        <v>85</v>
      </c>
      <c r="V211" s="114" t="s">
        <v>99</v>
      </c>
      <c r="W211" s="114">
        <v>29</v>
      </c>
      <c r="X211" s="114">
        <v>29</v>
      </c>
      <c r="Y211" s="112"/>
      <c r="Z211" s="112" t="s">
        <v>87</v>
      </c>
      <c r="AA211" s="112"/>
      <c r="AB211" s="117"/>
      <c r="AC211" s="118">
        <v>25.5</v>
      </c>
      <c r="AD211" s="112"/>
      <c r="AE211" s="114">
        <v>29</v>
      </c>
      <c r="AF211" s="112" t="s">
        <v>88</v>
      </c>
      <c r="AG211" s="114" t="s">
        <v>99</v>
      </c>
      <c r="AH211" s="118">
        <v>12.5</v>
      </c>
      <c r="AI211" s="112">
        <f t="shared" si="79"/>
        <v>362.5</v>
      </c>
      <c r="AJ211" s="112"/>
      <c r="AK211" s="115" t="s">
        <v>89</v>
      </c>
      <c r="AL211" s="114">
        <v>29</v>
      </c>
      <c r="AM211" s="112">
        <v>18</v>
      </c>
      <c r="AN211" s="112">
        <f t="shared" si="80"/>
        <v>522</v>
      </c>
      <c r="AO211" s="112"/>
      <c r="AP211" s="112"/>
      <c r="AQ211" s="112">
        <f t="shared" si="81"/>
        <v>0</v>
      </c>
      <c r="AR211" s="112">
        <f t="shared" si="82"/>
        <v>522</v>
      </c>
      <c r="AS211" s="112"/>
      <c r="AT211" s="110" t="s">
        <v>617</v>
      </c>
      <c r="AU211" s="111">
        <v>46141</v>
      </c>
      <c r="AV211" s="112">
        <f t="shared" si="83"/>
        <v>18</v>
      </c>
      <c r="AW211" s="112">
        <f t="shared" si="84"/>
        <v>522</v>
      </c>
      <c r="AX211" s="112"/>
      <c r="AY211" s="13" t="s">
        <v>618</v>
      </c>
      <c r="AZ211" s="124">
        <v>46156</v>
      </c>
      <c r="BA211" s="112">
        <f t="shared" si="85"/>
        <v>18</v>
      </c>
      <c r="BB211" s="112">
        <f t="shared" si="86"/>
        <v>29</v>
      </c>
      <c r="BC211" s="112">
        <f t="shared" si="87"/>
        <v>522</v>
      </c>
      <c r="BD211" s="112"/>
      <c r="BE211" s="112" t="s">
        <v>223</v>
      </c>
      <c r="BF211" s="113" t="s">
        <v>684</v>
      </c>
      <c r="BG211" s="120" t="s">
        <v>619</v>
      </c>
    </row>
    <row r="212" spans="1:59" s="120" customFormat="1" ht="15" customHeight="1">
      <c r="A212" s="112">
        <f t="shared" si="97"/>
        <v>210</v>
      </c>
      <c r="B212" s="113" t="s">
        <v>687</v>
      </c>
      <c r="C212" s="114" t="s">
        <v>685</v>
      </c>
      <c r="D212" s="122"/>
      <c r="E212" s="114" t="s">
        <v>688</v>
      </c>
      <c r="F212" s="112"/>
      <c r="G212" s="115" t="s">
        <v>81</v>
      </c>
      <c r="H212" s="10" t="s">
        <v>616</v>
      </c>
      <c r="I212" s="114" t="s">
        <v>83</v>
      </c>
      <c r="J212" s="114" t="s">
        <v>84</v>
      </c>
      <c r="K212" s="114" t="s">
        <v>83</v>
      </c>
      <c r="L212" s="113" t="s">
        <v>614</v>
      </c>
      <c r="M212" s="113" t="s">
        <v>614</v>
      </c>
      <c r="N212" s="116">
        <v>46142</v>
      </c>
      <c r="O212" s="114">
        <v>10</v>
      </c>
      <c r="P212" s="116">
        <v>46149</v>
      </c>
      <c r="Q212" s="116">
        <v>46149</v>
      </c>
      <c r="R212" s="116">
        <v>46149</v>
      </c>
      <c r="S212" s="112"/>
      <c r="T212" s="112"/>
      <c r="U212" s="112" t="s">
        <v>85</v>
      </c>
      <c r="V212" s="114" t="s">
        <v>99</v>
      </c>
      <c r="W212" s="114">
        <v>10</v>
      </c>
      <c r="X212" s="114">
        <v>10</v>
      </c>
      <c r="Y212" s="112"/>
      <c r="Z212" s="112" t="s">
        <v>87</v>
      </c>
      <c r="AA212" s="112"/>
      <c r="AB212" s="117"/>
      <c r="AC212" s="118">
        <v>25.5</v>
      </c>
      <c r="AD212" s="112"/>
      <c r="AE212" s="114">
        <v>10</v>
      </c>
      <c r="AF212" s="112" t="s">
        <v>88</v>
      </c>
      <c r="AG212" s="114" t="s">
        <v>99</v>
      </c>
      <c r="AH212" s="118">
        <v>12.5</v>
      </c>
      <c r="AI212" s="112">
        <f t="shared" si="79"/>
        <v>125</v>
      </c>
      <c r="AJ212" s="112"/>
      <c r="AK212" s="115" t="s">
        <v>89</v>
      </c>
      <c r="AL212" s="114">
        <v>10</v>
      </c>
      <c r="AM212" s="112">
        <v>18</v>
      </c>
      <c r="AN212" s="112">
        <f t="shared" si="80"/>
        <v>180</v>
      </c>
      <c r="AO212" s="112"/>
      <c r="AP212" s="112"/>
      <c r="AQ212" s="112">
        <f t="shared" si="81"/>
        <v>0</v>
      </c>
      <c r="AR212" s="112">
        <f t="shared" si="82"/>
        <v>180</v>
      </c>
      <c r="AS212" s="112"/>
      <c r="AT212" s="110" t="s">
        <v>617</v>
      </c>
      <c r="AU212" s="111">
        <v>46141</v>
      </c>
      <c r="AV212" s="112">
        <f t="shared" si="83"/>
        <v>18</v>
      </c>
      <c r="AW212" s="112">
        <f t="shared" si="84"/>
        <v>180</v>
      </c>
      <c r="AX212" s="112"/>
      <c r="AY212" s="13" t="s">
        <v>618</v>
      </c>
      <c r="AZ212" s="124">
        <v>46156</v>
      </c>
      <c r="BA212" s="112">
        <f t="shared" si="85"/>
        <v>18</v>
      </c>
      <c r="BB212" s="112">
        <f t="shared" si="86"/>
        <v>10</v>
      </c>
      <c r="BC212" s="112">
        <f t="shared" si="87"/>
        <v>180</v>
      </c>
      <c r="BD212" s="112"/>
      <c r="BE212" s="112" t="s">
        <v>227</v>
      </c>
      <c r="BF212" s="113" t="s">
        <v>687</v>
      </c>
      <c r="BG212" s="120" t="s">
        <v>619</v>
      </c>
    </row>
    <row r="213" spans="1:59" s="120" customFormat="1" ht="15" customHeight="1">
      <c r="A213" s="112">
        <f t="shared" si="97"/>
        <v>211</v>
      </c>
      <c r="B213" s="113" t="s">
        <v>689</v>
      </c>
      <c r="C213" s="114" t="s">
        <v>685</v>
      </c>
      <c r="D213" s="122"/>
      <c r="E213" s="114" t="s">
        <v>690</v>
      </c>
      <c r="F213" s="112"/>
      <c r="G213" s="115" t="s">
        <v>81</v>
      </c>
      <c r="H213" s="10" t="s">
        <v>616</v>
      </c>
      <c r="I213" s="114" t="s">
        <v>83</v>
      </c>
      <c r="J213" s="114" t="s">
        <v>84</v>
      </c>
      <c r="K213" s="114" t="s">
        <v>83</v>
      </c>
      <c r="L213" s="113" t="s">
        <v>614</v>
      </c>
      <c r="M213" s="113" t="s">
        <v>614</v>
      </c>
      <c r="N213" s="116">
        <v>46142</v>
      </c>
      <c r="O213" s="114">
        <v>156</v>
      </c>
      <c r="P213" s="116">
        <v>46149</v>
      </c>
      <c r="Q213" s="116">
        <v>46149</v>
      </c>
      <c r="R213" s="116">
        <v>46149</v>
      </c>
      <c r="S213" s="112"/>
      <c r="T213" s="112"/>
      <c r="U213" s="112" t="s">
        <v>85</v>
      </c>
      <c r="V213" s="114" t="s">
        <v>99</v>
      </c>
      <c r="W213" s="114">
        <v>156</v>
      </c>
      <c r="X213" s="114">
        <v>156</v>
      </c>
      <c r="Y213" s="112"/>
      <c r="Z213" s="112" t="s">
        <v>87</v>
      </c>
      <c r="AA213" s="112"/>
      <c r="AB213" s="117"/>
      <c r="AC213" s="118">
        <v>25.5</v>
      </c>
      <c r="AD213" s="112"/>
      <c r="AE213" s="114">
        <v>156</v>
      </c>
      <c r="AF213" s="112" t="s">
        <v>88</v>
      </c>
      <c r="AG213" s="114" t="s">
        <v>99</v>
      </c>
      <c r="AH213" s="118">
        <v>12.5</v>
      </c>
      <c r="AI213" s="112">
        <f t="shared" si="79"/>
        <v>1950</v>
      </c>
      <c r="AJ213" s="112"/>
      <c r="AK213" s="115" t="s">
        <v>89</v>
      </c>
      <c r="AL213" s="114">
        <v>156</v>
      </c>
      <c r="AM213" s="112">
        <v>18</v>
      </c>
      <c r="AN213" s="112">
        <f t="shared" si="80"/>
        <v>2808</v>
      </c>
      <c r="AO213" s="112"/>
      <c r="AP213" s="112"/>
      <c r="AQ213" s="112">
        <f t="shared" si="81"/>
        <v>0</v>
      </c>
      <c r="AR213" s="112">
        <f t="shared" si="82"/>
        <v>2808</v>
      </c>
      <c r="AS213" s="112"/>
      <c r="AT213" s="110" t="s">
        <v>617</v>
      </c>
      <c r="AU213" s="111">
        <v>46141</v>
      </c>
      <c r="AV213" s="112">
        <f t="shared" si="83"/>
        <v>18</v>
      </c>
      <c r="AW213" s="112">
        <f t="shared" si="84"/>
        <v>2808</v>
      </c>
      <c r="AX213" s="112"/>
      <c r="AY213" s="13" t="s">
        <v>618</v>
      </c>
      <c r="AZ213" s="124">
        <v>46156</v>
      </c>
      <c r="BA213" s="112">
        <f t="shared" si="85"/>
        <v>18</v>
      </c>
      <c r="BB213" s="112">
        <f t="shared" si="86"/>
        <v>156</v>
      </c>
      <c r="BC213" s="112">
        <f t="shared" si="87"/>
        <v>2808</v>
      </c>
      <c r="BD213" s="112"/>
      <c r="BE213" s="112" t="s">
        <v>231</v>
      </c>
      <c r="BF213" s="113" t="s">
        <v>689</v>
      </c>
      <c r="BG213" s="120" t="s">
        <v>619</v>
      </c>
    </row>
    <row r="214" spans="1:59" s="120" customFormat="1" ht="15" customHeight="1">
      <c r="A214" s="112">
        <f t="shared" si="97"/>
        <v>212</v>
      </c>
      <c r="B214" s="113" t="s">
        <v>691</v>
      </c>
      <c r="C214" s="114" t="s">
        <v>692</v>
      </c>
      <c r="D214" s="122"/>
      <c r="E214" s="114" t="s">
        <v>693</v>
      </c>
      <c r="F214" s="112"/>
      <c r="G214" s="115" t="s">
        <v>81</v>
      </c>
      <c r="H214" s="10" t="s">
        <v>616</v>
      </c>
      <c r="I214" s="114" t="s">
        <v>83</v>
      </c>
      <c r="J214" s="114" t="s">
        <v>84</v>
      </c>
      <c r="K214" s="114" t="s">
        <v>83</v>
      </c>
      <c r="L214" s="113" t="s">
        <v>614</v>
      </c>
      <c r="M214" s="113" t="s">
        <v>614</v>
      </c>
      <c r="N214" s="116">
        <v>46142</v>
      </c>
      <c r="O214" s="114">
        <v>119</v>
      </c>
      <c r="P214" s="116">
        <v>46149</v>
      </c>
      <c r="Q214" s="116">
        <v>46149</v>
      </c>
      <c r="R214" s="116">
        <v>46149</v>
      </c>
      <c r="S214" s="112"/>
      <c r="T214" s="112"/>
      <c r="U214" s="112" t="s">
        <v>85</v>
      </c>
      <c r="V214" s="114" t="s">
        <v>99</v>
      </c>
      <c r="W214" s="114">
        <v>119</v>
      </c>
      <c r="X214" s="114">
        <v>119</v>
      </c>
      <c r="Y214" s="112"/>
      <c r="Z214" s="112" t="s">
        <v>87</v>
      </c>
      <c r="AA214" s="112"/>
      <c r="AB214" s="117"/>
      <c r="AC214" s="118">
        <v>25.5</v>
      </c>
      <c r="AD214" s="112"/>
      <c r="AE214" s="114">
        <v>119</v>
      </c>
      <c r="AF214" s="112" t="s">
        <v>88</v>
      </c>
      <c r="AG214" s="114" t="s">
        <v>99</v>
      </c>
      <c r="AH214" s="118">
        <v>12.5</v>
      </c>
      <c r="AI214" s="112">
        <f t="shared" si="79"/>
        <v>1487.5</v>
      </c>
      <c r="AJ214" s="112"/>
      <c r="AK214" s="115" t="s">
        <v>89</v>
      </c>
      <c r="AL214" s="114">
        <v>119</v>
      </c>
      <c r="AM214" s="112">
        <v>18</v>
      </c>
      <c r="AN214" s="112">
        <f t="shared" si="80"/>
        <v>2142</v>
      </c>
      <c r="AO214" s="112"/>
      <c r="AP214" s="112"/>
      <c r="AQ214" s="112">
        <f t="shared" si="81"/>
        <v>0</v>
      </c>
      <c r="AR214" s="112">
        <f t="shared" si="82"/>
        <v>2142</v>
      </c>
      <c r="AS214" s="112"/>
      <c r="AT214" s="110" t="s">
        <v>617</v>
      </c>
      <c r="AU214" s="111">
        <v>46141</v>
      </c>
      <c r="AV214" s="112">
        <f t="shared" si="83"/>
        <v>18</v>
      </c>
      <c r="AW214" s="112">
        <f t="shared" si="84"/>
        <v>2142</v>
      </c>
      <c r="AX214" s="112"/>
      <c r="AY214" s="13" t="s">
        <v>618</v>
      </c>
      <c r="AZ214" s="124">
        <v>46156</v>
      </c>
      <c r="BA214" s="112">
        <f t="shared" si="85"/>
        <v>18</v>
      </c>
      <c r="BB214" s="112">
        <f t="shared" si="86"/>
        <v>119</v>
      </c>
      <c r="BC214" s="112">
        <f t="shared" si="87"/>
        <v>2142</v>
      </c>
      <c r="BD214" s="112"/>
      <c r="BE214" s="112" t="s">
        <v>234</v>
      </c>
      <c r="BF214" s="113" t="s">
        <v>691</v>
      </c>
      <c r="BG214" s="120" t="s">
        <v>619</v>
      </c>
    </row>
    <row r="215" spans="1:59" s="120" customFormat="1" ht="15" customHeight="1">
      <c r="A215" s="112">
        <f t="shared" si="97"/>
        <v>213</v>
      </c>
      <c r="B215" s="113" t="s">
        <v>694</v>
      </c>
      <c r="C215" s="114" t="s">
        <v>692</v>
      </c>
      <c r="D215" s="122"/>
      <c r="E215" s="114" t="s">
        <v>695</v>
      </c>
      <c r="F215" s="112"/>
      <c r="G215" s="115" t="s">
        <v>81</v>
      </c>
      <c r="H215" s="10" t="s">
        <v>616</v>
      </c>
      <c r="I215" s="114" t="s">
        <v>83</v>
      </c>
      <c r="J215" s="114" t="s">
        <v>84</v>
      </c>
      <c r="K215" s="114" t="s">
        <v>83</v>
      </c>
      <c r="L215" s="113" t="s">
        <v>614</v>
      </c>
      <c r="M215" s="113" t="s">
        <v>614</v>
      </c>
      <c r="N215" s="116">
        <v>46142</v>
      </c>
      <c r="O215" s="114">
        <v>10</v>
      </c>
      <c r="P215" s="116">
        <v>46149</v>
      </c>
      <c r="Q215" s="116">
        <v>46149</v>
      </c>
      <c r="R215" s="116">
        <v>46149</v>
      </c>
      <c r="S215" s="112"/>
      <c r="T215" s="112"/>
      <c r="U215" s="112" t="s">
        <v>85</v>
      </c>
      <c r="V215" s="114" t="s">
        <v>99</v>
      </c>
      <c r="W215" s="114">
        <v>10</v>
      </c>
      <c r="X215" s="114">
        <v>10</v>
      </c>
      <c r="Y215" s="112"/>
      <c r="Z215" s="112" t="s">
        <v>87</v>
      </c>
      <c r="AA215" s="112"/>
      <c r="AB215" s="117"/>
      <c r="AC215" s="118">
        <v>25.5</v>
      </c>
      <c r="AD215" s="112"/>
      <c r="AE215" s="114">
        <v>10</v>
      </c>
      <c r="AF215" s="112" t="s">
        <v>88</v>
      </c>
      <c r="AG215" s="114" t="s">
        <v>99</v>
      </c>
      <c r="AH215" s="118">
        <v>12.5</v>
      </c>
      <c r="AI215" s="112">
        <f t="shared" si="79"/>
        <v>125</v>
      </c>
      <c r="AJ215" s="112"/>
      <c r="AK215" s="115" t="s">
        <v>89</v>
      </c>
      <c r="AL215" s="114">
        <v>10</v>
      </c>
      <c r="AM215" s="112">
        <v>18</v>
      </c>
      <c r="AN215" s="112">
        <f t="shared" si="80"/>
        <v>180</v>
      </c>
      <c r="AO215" s="112"/>
      <c r="AP215" s="112"/>
      <c r="AQ215" s="112">
        <f t="shared" si="81"/>
        <v>0</v>
      </c>
      <c r="AR215" s="112">
        <f t="shared" si="82"/>
        <v>180</v>
      </c>
      <c r="AS215" s="112"/>
      <c r="AT215" s="110" t="s">
        <v>617</v>
      </c>
      <c r="AU215" s="111">
        <v>46141</v>
      </c>
      <c r="AV215" s="112">
        <f t="shared" si="83"/>
        <v>18</v>
      </c>
      <c r="AW215" s="112">
        <f t="shared" si="84"/>
        <v>180</v>
      </c>
      <c r="AX215" s="112"/>
      <c r="AY215" s="13" t="s">
        <v>618</v>
      </c>
      <c r="AZ215" s="124">
        <v>46156</v>
      </c>
      <c r="BA215" s="112">
        <f t="shared" si="85"/>
        <v>18</v>
      </c>
      <c r="BB215" s="112">
        <f t="shared" si="86"/>
        <v>10</v>
      </c>
      <c r="BC215" s="112">
        <f t="shared" si="87"/>
        <v>180</v>
      </c>
      <c r="BD215" s="112"/>
      <c r="BE215" s="112" t="s">
        <v>237</v>
      </c>
      <c r="BF215" s="113" t="s">
        <v>694</v>
      </c>
      <c r="BG215" s="120" t="s">
        <v>619</v>
      </c>
    </row>
    <row r="216" spans="1:59" s="120" customFormat="1" ht="15" customHeight="1">
      <c r="A216" s="112">
        <f t="shared" si="97"/>
        <v>214</v>
      </c>
      <c r="B216" s="113" t="s">
        <v>696</v>
      </c>
      <c r="C216" s="114" t="s">
        <v>692</v>
      </c>
      <c r="D216" s="122"/>
      <c r="E216" s="114" t="s">
        <v>697</v>
      </c>
      <c r="F216" s="112"/>
      <c r="G216" s="115" t="s">
        <v>81</v>
      </c>
      <c r="H216" s="10" t="s">
        <v>616</v>
      </c>
      <c r="I216" s="114" t="s">
        <v>83</v>
      </c>
      <c r="J216" s="114" t="s">
        <v>84</v>
      </c>
      <c r="K216" s="114" t="s">
        <v>83</v>
      </c>
      <c r="L216" s="113" t="s">
        <v>614</v>
      </c>
      <c r="M216" s="113" t="s">
        <v>614</v>
      </c>
      <c r="N216" s="116">
        <v>46142</v>
      </c>
      <c r="O216" s="114">
        <v>149</v>
      </c>
      <c r="P216" s="116">
        <v>46149</v>
      </c>
      <c r="Q216" s="116">
        <v>46149</v>
      </c>
      <c r="R216" s="116">
        <v>46149</v>
      </c>
      <c r="S216" s="112"/>
      <c r="T216" s="112"/>
      <c r="U216" s="112" t="s">
        <v>85</v>
      </c>
      <c r="V216" s="114" t="s">
        <v>99</v>
      </c>
      <c r="W216" s="114">
        <v>149</v>
      </c>
      <c r="X216" s="114">
        <v>149</v>
      </c>
      <c r="Y216" s="112"/>
      <c r="Z216" s="112" t="s">
        <v>87</v>
      </c>
      <c r="AA216" s="112"/>
      <c r="AB216" s="117"/>
      <c r="AC216" s="118">
        <v>25.5</v>
      </c>
      <c r="AD216" s="112"/>
      <c r="AE216" s="114">
        <v>149</v>
      </c>
      <c r="AF216" s="112" t="s">
        <v>88</v>
      </c>
      <c r="AG216" s="114" t="s">
        <v>99</v>
      </c>
      <c r="AH216" s="118">
        <v>12.5</v>
      </c>
      <c r="AI216" s="112">
        <f t="shared" si="79"/>
        <v>1862.5</v>
      </c>
      <c r="AJ216" s="112"/>
      <c r="AK216" s="115" t="s">
        <v>89</v>
      </c>
      <c r="AL216" s="114">
        <v>149</v>
      </c>
      <c r="AM216" s="112">
        <v>18</v>
      </c>
      <c r="AN216" s="112">
        <f t="shared" si="80"/>
        <v>2682</v>
      </c>
      <c r="AO216" s="112"/>
      <c r="AP216" s="112"/>
      <c r="AQ216" s="112">
        <f t="shared" si="81"/>
        <v>0</v>
      </c>
      <c r="AR216" s="112">
        <f t="shared" si="82"/>
        <v>2682</v>
      </c>
      <c r="AS216" s="112"/>
      <c r="AT216" s="110" t="s">
        <v>617</v>
      </c>
      <c r="AU216" s="111">
        <v>46141</v>
      </c>
      <c r="AV216" s="112">
        <f t="shared" si="83"/>
        <v>18</v>
      </c>
      <c r="AW216" s="112">
        <f t="shared" si="84"/>
        <v>2682</v>
      </c>
      <c r="AX216" s="112"/>
      <c r="AY216" s="13" t="s">
        <v>618</v>
      </c>
      <c r="AZ216" s="124">
        <v>46156</v>
      </c>
      <c r="BA216" s="112">
        <f t="shared" si="85"/>
        <v>18</v>
      </c>
      <c r="BB216" s="112">
        <f t="shared" si="86"/>
        <v>149</v>
      </c>
      <c r="BC216" s="112">
        <f t="shared" si="87"/>
        <v>2682</v>
      </c>
      <c r="BD216" s="112"/>
      <c r="BE216" s="112" t="s">
        <v>240</v>
      </c>
      <c r="BF216" s="113" t="s">
        <v>696</v>
      </c>
      <c r="BG216" s="120" t="s">
        <v>619</v>
      </c>
    </row>
    <row r="217" spans="1:59" s="120" customFormat="1" ht="15" customHeight="1">
      <c r="A217" s="112">
        <f t="shared" si="97"/>
        <v>215</v>
      </c>
      <c r="B217" s="113" t="s">
        <v>698</v>
      </c>
      <c r="C217" s="114" t="s">
        <v>615</v>
      </c>
      <c r="D217" s="122"/>
      <c r="E217" s="114" t="s">
        <v>699</v>
      </c>
      <c r="F217" s="112"/>
      <c r="G217" s="115" t="s">
        <v>81</v>
      </c>
      <c r="H217" s="10" t="s">
        <v>616</v>
      </c>
      <c r="I217" s="114" t="s">
        <v>83</v>
      </c>
      <c r="J217" s="114" t="s">
        <v>84</v>
      </c>
      <c r="K217" s="114" t="s">
        <v>83</v>
      </c>
      <c r="L217" s="113" t="s">
        <v>614</v>
      </c>
      <c r="M217" s="113" t="s">
        <v>614</v>
      </c>
      <c r="N217" s="116">
        <v>46142</v>
      </c>
      <c r="O217" s="114">
        <v>10</v>
      </c>
      <c r="P217" s="116">
        <v>46149</v>
      </c>
      <c r="Q217" s="116">
        <v>46149</v>
      </c>
      <c r="R217" s="116">
        <v>46149</v>
      </c>
      <c r="S217" s="112"/>
      <c r="T217" s="112"/>
      <c r="U217" s="112" t="s">
        <v>85</v>
      </c>
      <c r="V217" s="114" t="s">
        <v>99</v>
      </c>
      <c r="W217" s="114">
        <v>10</v>
      </c>
      <c r="X217" s="114">
        <v>10</v>
      </c>
      <c r="Y217" s="112"/>
      <c r="Z217" s="112" t="s">
        <v>87</v>
      </c>
      <c r="AA217" s="112"/>
      <c r="AB217" s="117"/>
      <c r="AC217" s="118">
        <v>25.5</v>
      </c>
      <c r="AD217" s="112"/>
      <c r="AE217" s="114">
        <v>10</v>
      </c>
      <c r="AF217" s="112" t="s">
        <v>88</v>
      </c>
      <c r="AG217" s="114" t="s">
        <v>99</v>
      </c>
      <c r="AH217" s="118">
        <v>12.5</v>
      </c>
      <c r="AI217" s="112">
        <f t="shared" si="79"/>
        <v>125</v>
      </c>
      <c r="AJ217" s="112"/>
      <c r="AK217" s="115" t="s">
        <v>89</v>
      </c>
      <c r="AL217" s="114">
        <v>10</v>
      </c>
      <c r="AM217" s="112">
        <v>18</v>
      </c>
      <c r="AN217" s="112">
        <f t="shared" si="80"/>
        <v>180</v>
      </c>
      <c r="AO217" s="112"/>
      <c r="AP217" s="112"/>
      <c r="AQ217" s="112">
        <f t="shared" si="81"/>
        <v>0</v>
      </c>
      <c r="AR217" s="112">
        <f t="shared" si="82"/>
        <v>180</v>
      </c>
      <c r="AS217" s="112"/>
      <c r="AT217" s="110" t="s">
        <v>617</v>
      </c>
      <c r="AU217" s="111">
        <v>46141</v>
      </c>
      <c r="AV217" s="112">
        <f t="shared" si="83"/>
        <v>18</v>
      </c>
      <c r="AW217" s="112">
        <f t="shared" si="84"/>
        <v>180</v>
      </c>
      <c r="AX217" s="112"/>
      <c r="AY217" s="13" t="s">
        <v>618</v>
      </c>
      <c r="AZ217" s="124">
        <v>46156</v>
      </c>
      <c r="BA217" s="112">
        <f t="shared" si="85"/>
        <v>18</v>
      </c>
      <c r="BB217" s="112">
        <f t="shared" si="86"/>
        <v>10</v>
      </c>
      <c r="BC217" s="112">
        <f t="shared" si="87"/>
        <v>180</v>
      </c>
      <c r="BD217" s="112"/>
      <c r="BE217" s="112" t="s">
        <v>244</v>
      </c>
      <c r="BF217" s="113" t="s">
        <v>698</v>
      </c>
      <c r="BG217" s="120" t="s">
        <v>619</v>
      </c>
    </row>
    <row r="218" spans="1:59" s="120" customFormat="1" ht="15" customHeight="1">
      <c r="A218" s="112">
        <f t="shared" si="97"/>
        <v>216</v>
      </c>
      <c r="B218" s="113" t="s">
        <v>700</v>
      </c>
      <c r="C218" s="114" t="s">
        <v>615</v>
      </c>
      <c r="D218" s="122"/>
      <c r="E218" s="114" t="s">
        <v>701</v>
      </c>
      <c r="F218" s="112"/>
      <c r="G218" s="115" t="s">
        <v>81</v>
      </c>
      <c r="H218" s="10" t="s">
        <v>616</v>
      </c>
      <c r="I218" s="114" t="s">
        <v>83</v>
      </c>
      <c r="J218" s="114" t="s">
        <v>84</v>
      </c>
      <c r="K218" s="114" t="s">
        <v>83</v>
      </c>
      <c r="L218" s="113" t="s">
        <v>614</v>
      </c>
      <c r="M218" s="113" t="s">
        <v>614</v>
      </c>
      <c r="N218" s="116">
        <v>46142</v>
      </c>
      <c r="O218" s="114">
        <v>90</v>
      </c>
      <c r="P218" s="116">
        <v>46149</v>
      </c>
      <c r="Q218" s="116">
        <v>46149</v>
      </c>
      <c r="R218" s="116">
        <v>46149</v>
      </c>
      <c r="S218" s="112"/>
      <c r="T218" s="112"/>
      <c r="U218" s="112" t="s">
        <v>85</v>
      </c>
      <c r="V218" s="114" t="s">
        <v>99</v>
      </c>
      <c r="W218" s="114">
        <v>90</v>
      </c>
      <c r="X218" s="114">
        <v>90</v>
      </c>
      <c r="Y218" s="112"/>
      <c r="Z218" s="112" t="s">
        <v>87</v>
      </c>
      <c r="AA218" s="112"/>
      <c r="AB218" s="117"/>
      <c r="AC218" s="118">
        <v>25.5</v>
      </c>
      <c r="AD218" s="112"/>
      <c r="AE218" s="114">
        <v>90</v>
      </c>
      <c r="AF218" s="112" t="s">
        <v>88</v>
      </c>
      <c r="AG218" s="114" t="s">
        <v>99</v>
      </c>
      <c r="AH218" s="118">
        <v>12.5</v>
      </c>
      <c r="AI218" s="112">
        <f t="shared" si="79"/>
        <v>1125</v>
      </c>
      <c r="AJ218" s="112"/>
      <c r="AK218" s="115" t="s">
        <v>89</v>
      </c>
      <c r="AL218" s="114">
        <v>90</v>
      </c>
      <c r="AM218" s="112">
        <v>18</v>
      </c>
      <c r="AN218" s="112">
        <f t="shared" si="80"/>
        <v>1620</v>
      </c>
      <c r="AO218" s="112"/>
      <c r="AP218" s="112"/>
      <c r="AQ218" s="112">
        <f t="shared" si="81"/>
        <v>0</v>
      </c>
      <c r="AR218" s="112">
        <f t="shared" si="82"/>
        <v>1620</v>
      </c>
      <c r="AS218" s="112"/>
      <c r="AT218" s="110" t="s">
        <v>617</v>
      </c>
      <c r="AU218" s="111">
        <v>46141</v>
      </c>
      <c r="AV218" s="112">
        <f t="shared" si="83"/>
        <v>18</v>
      </c>
      <c r="AW218" s="112">
        <f t="shared" si="84"/>
        <v>1620</v>
      </c>
      <c r="AX218" s="112"/>
      <c r="AY218" s="13" t="s">
        <v>618</v>
      </c>
      <c r="AZ218" s="124">
        <v>46156</v>
      </c>
      <c r="BA218" s="112">
        <f t="shared" si="85"/>
        <v>18</v>
      </c>
      <c r="BB218" s="112">
        <f t="shared" si="86"/>
        <v>90</v>
      </c>
      <c r="BC218" s="112">
        <f t="shared" si="87"/>
        <v>1620</v>
      </c>
      <c r="BD218" s="112"/>
      <c r="BE218" s="112" t="s">
        <v>247</v>
      </c>
      <c r="BF218" s="113" t="s">
        <v>700</v>
      </c>
      <c r="BG218" s="120" t="s">
        <v>619</v>
      </c>
    </row>
    <row r="219" spans="1:59" s="120" customFormat="1" ht="15" customHeight="1">
      <c r="A219" s="112">
        <f t="shared" si="97"/>
        <v>217</v>
      </c>
      <c r="B219" s="113" t="s">
        <v>702</v>
      </c>
      <c r="C219" s="114" t="s">
        <v>615</v>
      </c>
      <c r="D219" s="122"/>
      <c r="E219" s="114" t="s">
        <v>703</v>
      </c>
      <c r="F219" s="112"/>
      <c r="G219" s="115" t="s">
        <v>81</v>
      </c>
      <c r="H219" s="10" t="s">
        <v>616</v>
      </c>
      <c r="I219" s="114" t="s">
        <v>83</v>
      </c>
      <c r="J219" s="114" t="s">
        <v>84</v>
      </c>
      <c r="K219" s="114" t="s">
        <v>83</v>
      </c>
      <c r="L219" s="113" t="s">
        <v>614</v>
      </c>
      <c r="M219" s="113" t="s">
        <v>614</v>
      </c>
      <c r="N219" s="116">
        <v>46142</v>
      </c>
      <c r="O219" s="114">
        <v>62</v>
      </c>
      <c r="P219" s="116">
        <v>46149</v>
      </c>
      <c r="Q219" s="116">
        <v>46149</v>
      </c>
      <c r="R219" s="116">
        <v>46149</v>
      </c>
      <c r="S219" s="112"/>
      <c r="T219" s="112"/>
      <c r="U219" s="112" t="s">
        <v>85</v>
      </c>
      <c r="V219" s="114" t="s">
        <v>99</v>
      </c>
      <c r="W219" s="114">
        <v>62</v>
      </c>
      <c r="X219" s="114">
        <v>62</v>
      </c>
      <c r="Y219" s="112"/>
      <c r="Z219" s="112" t="s">
        <v>87</v>
      </c>
      <c r="AA219" s="112"/>
      <c r="AB219" s="117"/>
      <c r="AC219" s="118">
        <v>25.5</v>
      </c>
      <c r="AD219" s="112"/>
      <c r="AE219" s="114">
        <v>62</v>
      </c>
      <c r="AF219" s="112" t="s">
        <v>88</v>
      </c>
      <c r="AG219" s="114" t="s">
        <v>99</v>
      </c>
      <c r="AH219" s="118">
        <v>12.5</v>
      </c>
      <c r="AI219" s="112">
        <f t="shared" si="79"/>
        <v>775</v>
      </c>
      <c r="AJ219" s="112"/>
      <c r="AK219" s="115" t="s">
        <v>89</v>
      </c>
      <c r="AL219" s="114">
        <v>62</v>
      </c>
      <c r="AM219" s="112">
        <v>18</v>
      </c>
      <c r="AN219" s="112">
        <f t="shared" si="80"/>
        <v>1116</v>
      </c>
      <c r="AO219" s="112"/>
      <c r="AP219" s="112"/>
      <c r="AQ219" s="112">
        <f t="shared" si="81"/>
        <v>0</v>
      </c>
      <c r="AR219" s="112">
        <f t="shared" si="82"/>
        <v>1116</v>
      </c>
      <c r="AS219" s="112"/>
      <c r="AT219" s="110" t="s">
        <v>617</v>
      </c>
      <c r="AU219" s="111">
        <v>46141</v>
      </c>
      <c r="AV219" s="112">
        <f t="shared" si="83"/>
        <v>18</v>
      </c>
      <c r="AW219" s="112">
        <f t="shared" si="84"/>
        <v>1116</v>
      </c>
      <c r="AX219" s="112"/>
      <c r="AY219" s="13" t="s">
        <v>618</v>
      </c>
      <c r="AZ219" s="124">
        <v>46156</v>
      </c>
      <c r="BA219" s="112">
        <f t="shared" si="85"/>
        <v>18</v>
      </c>
      <c r="BB219" s="112">
        <f t="shared" si="86"/>
        <v>62</v>
      </c>
      <c r="BC219" s="112">
        <f t="shared" si="87"/>
        <v>1116</v>
      </c>
      <c r="BD219" s="112"/>
      <c r="BE219" s="112" t="s">
        <v>251</v>
      </c>
      <c r="BF219" s="113" t="s">
        <v>702</v>
      </c>
      <c r="BG219" s="120" t="s">
        <v>619</v>
      </c>
    </row>
    <row r="220" spans="1:59" s="120" customFormat="1" ht="15" customHeight="1">
      <c r="A220" s="112">
        <f t="shared" si="97"/>
        <v>218</v>
      </c>
      <c r="B220" s="113" t="s">
        <v>704</v>
      </c>
      <c r="C220" s="114" t="s">
        <v>705</v>
      </c>
      <c r="D220" s="122"/>
      <c r="E220" s="114" t="s">
        <v>706</v>
      </c>
      <c r="F220" s="112"/>
      <c r="G220" s="115" t="s">
        <v>81</v>
      </c>
      <c r="H220" s="10" t="s">
        <v>616</v>
      </c>
      <c r="I220" s="114" t="s">
        <v>83</v>
      </c>
      <c r="J220" s="114" t="s">
        <v>84</v>
      </c>
      <c r="K220" s="114" t="s">
        <v>83</v>
      </c>
      <c r="L220" s="113" t="s">
        <v>614</v>
      </c>
      <c r="M220" s="113" t="s">
        <v>614</v>
      </c>
      <c r="N220" s="116">
        <v>46142</v>
      </c>
      <c r="O220" s="114">
        <v>10</v>
      </c>
      <c r="P220" s="116">
        <v>46149</v>
      </c>
      <c r="Q220" s="116">
        <v>46149</v>
      </c>
      <c r="R220" s="116">
        <v>46149</v>
      </c>
      <c r="S220" s="112"/>
      <c r="T220" s="112"/>
      <c r="U220" s="112" t="s">
        <v>85</v>
      </c>
      <c r="V220" s="114" t="s">
        <v>99</v>
      </c>
      <c r="W220" s="114">
        <v>10</v>
      </c>
      <c r="X220" s="114">
        <v>10</v>
      </c>
      <c r="Y220" s="112"/>
      <c r="Z220" s="112" t="s">
        <v>87</v>
      </c>
      <c r="AA220" s="112"/>
      <c r="AB220" s="117"/>
      <c r="AC220" s="118">
        <v>25.5</v>
      </c>
      <c r="AD220" s="112"/>
      <c r="AE220" s="114">
        <v>10</v>
      </c>
      <c r="AF220" s="112" t="s">
        <v>88</v>
      </c>
      <c r="AG220" s="114" t="s">
        <v>99</v>
      </c>
      <c r="AH220" s="118">
        <v>12.5</v>
      </c>
      <c r="AI220" s="112">
        <f t="shared" si="79"/>
        <v>125</v>
      </c>
      <c r="AJ220" s="112"/>
      <c r="AK220" s="115" t="s">
        <v>89</v>
      </c>
      <c r="AL220" s="114">
        <v>10</v>
      </c>
      <c r="AM220" s="112">
        <v>18</v>
      </c>
      <c r="AN220" s="112">
        <f t="shared" si="80"/>
        <v>180</v>
      </c>
      <c r="AO220" s="112"/>
      <c r="AP220" s="112"/>
      <c r="AQ220" s="112">
        <f t="shared" si="81"/>
        <v>0</v>
      </c>
      <c r="AR220" s="112">
        <f t="shared" si="82"/>
        <v>180</v>
      </c>
      <c r="AS220" s="112"/>
      <c r="AT220" s="110" t="s">
        <v>617</v>
      </c>
      <c r="AU220" s="111">
        <v>46141</v>
      </c>
      <c r="AV220" s="112">
        <f t="shared" si="83"/>
        <v>18</v>
      </c>
      <c r="AW220" s="112">
        <f t="shared" si="84"/>
        <v>180</v>
      </c>
      <c r="AX220" s="112"/>
      <c r="AY220" s="13" t="s">
        <v>618</v>
      </c>
      <c r="AZ220" s="124">
        <v>46156</v>
      </c>
      <c r="BA220" s="112">
        <f t="shared" si="85"/>
        <v>18</v>
      </c>
      <c r="BB220" s="112">
        <f t="shared" si="86"/>
        <v>10</v>
      </c>
      <c r="BC220" s="112">
        <f t="shared" si="87"/>
        <v>180</v>
      </c>
      <c r="BD220" s="112"/>
      <c r="BE220" s="112" t="s">
        <v>255</v>
      </c>
      <c r="BF220" s="113" t="s">
        <v>704</v>
      </c>
      <c r="BG220" s="120" t="s">
        <v>619</v>
      </c>
    </row>
    <row r="221" spans="1:59" s="120" customFormat="1" ht="15" customHeight="1">
      <c r="A221" s="112">
        <f t="shared" si="97"/>
        <v>219</v>
      </c>
      <c r="B221" s="113" t="s">
        <v>707</v>
      </c>
      <c r="C221" s="114" t="s">
        <v>705</v>
      </c>
      <c r="D221" s="122"/>
      <c r="E221" s="114" t="s">
        <v>708</v>
      </c>
      <c r="F221" s="112"/>
      <c r="G221" s="115" t="s">
        <v>81</v>
      </c>
      <c r="H221" s="10" t="s">
        <v>616</v>
      </c>
      <c r="I221" s="114" t="s">
        <v>83</v>
      </c>
      <c r="J221" s="114" t="s">
        <v>84</v>
      </c>
      <c r="K221" s="114" t="s">
        <v>83</v>
      </c>
      <c r="L221" s="113" t="s">
        <v>614</v>
      </c>
      <c r="M221" s="113" t="s">
        <v>614</v>
      </c>
      <c r="N221" s="116">
        <v>46142</v>
      </c>
      <c r="O221" s="114">
        <v>97</v>
      </c>
      <c r="P221" s="116">
        <v>46149</v>
      </c>
      <c r="Q221" s="116">
        <v>46149</v>
      </c>
      <c r="R221" s="116">
        <v>46149</v>
      </c>
      <c r="S221" s="112"/>
      <c r="T221" s="112"/>
      <c r="U221" s="112" t="s">
        <v>85</v>
      </c>
      <c r="V221" s="114" t="s">
        <v>99</v>
      </c>
      <c r="W221" s="114">
        <v>97</v>
      </c>
      <c r="X221" s="114">
        <v>97</v>
      </c>
      <c r="Y221" s="112"/>
      <c r="Z221" s="112" t="s">
        <v>87</v>
      </c>
      <c r="AA221" s="112"/>
      <c r="AB221" s="117"/>
      <c r="AC221" s="118">
        <v>25.5</v>
      </c>
      <c r="AD221" s="112"/>
      <c r="AE221" s="114">
        <v>97</v>
      </c>
      <c r="AF221" s="112" t="s">
        <v>88</v>
      </c>
      <c r="AG221" s="114" t="s">
        <v>99</v>
      </c>
      <c r="AH221" s="118">
        <v>12.5</v>
      </c>
      <c r="AI221" s="112">
        <f t="shared" si="79"/>
        <v>1212.5</v>
      </c>
      <c r="AJ221" s="112"/>
      <c r="AK221" s="115" t="s">
        <v>89</v>
      </c>
      <c r="AL221" s="114">
        <v>97</v>
      </c>
      <c r="AM221" s="112">
        <v>18</v>
      </c>
      <c r="AN221" s="112">
        <f t="shared" si="80"/>
        <v>1746</v>
      </c>
      <c r="AO221" s="112"/>
      <c r="AP221" s="112"/>
      <c r="AQ221" s="112">
        <f t="shared" si="81"/>
        <v>0</v>
      </c>
      <c r="AR221" s="112">
        <f t="shared" si="82"/>
        <v>1746</v>
      </c>
      <c r="AS221" s="112"/>
      <c r="AT221" s="110" t="s">
        <v>617</v>
      </c>
      <c r="AU221" s="111">
        <v>46141</v>
      </c>
      <c r="AV221" s="112">
        <f t="shared" si="83"/>
        <v>18</v>
      </c>
      <c r="AW221" s="112">
        <f t="shared" si="84"/>
        <v>1746</v>
      </c>
      <c r="AX221" s="112"/>
      <c r="AY221" s="13" t="s">
        <v>618</v>
      </c>
      <c r="AZ221" s="124">
        <v>46156</v>
      </c>
      <c r="BA221" s="112">
        <f t="shared" si="85"/>
        <v>18</v>
      </c>
      <c r="BB221" s="112">
        <f t="shared" si="86"/>
        <v>97</v>
      </c>
      <c r="BC221" s="112">
        <f t="shared" si="87"/>
        <v>1746</v>
      </c>
      <c r="BD221" s="112"/>
      <c r="BE221" s="112" t="s">
        <v>258</v>
      </c>
      <c r="BF221" s="113" t="s">
        <v>707</v>
      </c>
      <c r="BG221" s="120" t="s">
        <v>619</v>
      </c>
    </row>
    <row r="222" spans="1:59" s="120" customFormat="1" ht="15" customHeight="1">
      <c r="A222" s="112">
        <f t="shared" si="97"/>
        <v>220</v>
      </c>
      <c r="B222" s="113" t="s">
        <v>709</v>
      </c>
      <c r="C222" s="114" t="s">
        <v>705</v>
      </c>
      <c r="D222" s="122"/>
      <c r="E222" s="114" t="s">
        <v>710</v>
      </c>
      <c r="F222" s="112"/>
      <c r="G222" s="115" t="s">
        <v>81</v>
      </c>
      <c r="H222" s="10" t="s">
        <v>616</v>
      </c>
      <c r="I222" s="114" t="s">
        <v>83</v>
      </c>
      <c r="J222" s="114" t="s">
        <v>84</v>
      </c>
      <c r="K222" s="114" t="s">
        <v>83</v>
      </c>
      <c r="L222" s="113" t="s">
        <v>614</v>
      </c>
      <c r="M222" s="113" t="s">
        <v>614</v>
      </c>
      <c r="N222" s="116">
        <v>46142</v>
      </c>
      <c r="O222" s="114">
        <v>140</v>
      </c>
      <c r="P222" s="116">
        <v>46149</v>
      </c>
      <c r="Q222" s="116">
        <v>46149</v>
      </c>
      <c r="R222" s="116">
        <v>46149</v>
      </c>
      <c r="S222" s="112"/>
      <c r="T222" s="112"/>
      <c r="U222" s="112" t="s">
        <v>85</v>
      </c>
      <c r="V222" s="114" t="s">
        <v>99</v>
      </c>
      <c r="W222" s="114">
        <v>140</v>
      </c>
      <c r="X222" s="114">
        <v>140</v>
      </c>
      <c r="Y222" s="112"/>
      <c r="Z222" s="112" t="s">
        <v>87</v>
      </c>
      <c r="AA222" s="112"/>
      <c r="AB222" s="117"/>
      <c r="AC222" s="118">
        <v>25.5</v>
      </c>
      <c r="AD222" s="112"/>
      <c r="AE222" s="114">
        <v>140</v>
      </c>
      <c r="AF222" s="112" t="s">
        <v>88</v>
      </c>
      <c r="AG222" s="114" t="s">
        <v>99</v>
      </c>
      <c r="AH222" s="118">
        <v>12.5</v>
      </c>
      <c r="AI222" s="112">
        <f t="shared" si="79"/>
        <v>1750</v>
      </c>
      <c r="AJ222" s="112"/>
      <c r="AK222" s="115" t="s">
        <v>89</v>
      </c>
      <c r="AL222" s="114">
        <v>140</v>
      </c>
      <c r="AM222" s="112">
        <v>18</v>
      </c>
      <c r="AN222" s="112">
        <f t="shared" si="80"/>
        <v>2520</v>
      </c>
      <c r="AO222" s="112"/>
      <c r="AP222" s="112"/>
      <c r="AQ222" s="112">
        <f t="shared" si="81"/>
        <v>0</v>
      </c>
      <c r="AR222" s="112">
        <f t="shared" si="82"/>
        <v>2520</v>
      </c>
      <c r="AS222" s="112"/>
      <c r="AT222" s="110" t="s">
        <v>617</v>
      </c>
      <c r="AU222" s="111">
        <v>46141</v>
      </c>
      <c r="AV222" s="112">
        <f t="shared" si="83"/>
        <v>18</v>
      </c>
      <c r="AW222" s="112">
        <f t="shared" si="84"/>
        <v>2520</v>
      </c>
      <c r="AX222" s="112"/>
      <c r="AY222" s="13" t="s">
        <v>618</v>
      </c>
      <c r="AZ222" s="124">
        <v>46156</v>
      </c>
      <c r="BA222" s="112">
        <f t="shared" si="85"/>
        <v>18</v>
      </c>
      <c r="BB222" s="112">
        <f t="shared" si="86"/>
        <v>140</v>
      </c>
      <c r="BC222" s="112">
        <f t="shared" si="87"/>
        <v>2520</v>
      </c>
      <c r="BD222" s="112"/>
      <c r="BE222" s="112" t="s">
        <v>262</v>
      </c>
      <c r="BF222" s="113" t="s">
        <v>709</v>
      </c>
      <c r="BG222" s="120" t="s">
        <v>619</v>
      </c>
    </row>
    <row r="223" spans="1:59" s="120" customFormat="1" ht="15" customHeight="1">
      <c r="A223" s="112">
        <f t="shared" si="97"/>
        <v>221</v>
      </c>
      <c r="B223" s="113" t="s">
        <v>711</v>
      </c>
      <c r="C223" s="114" t="s">
        <v>712</v>
      </c>
      <c r="D223" s="122"/>
      <c r="E223" s="114" t="s">
        <v>713</v>
      </c>
      <c r="F223" s="112"/>
      <c r="G223" s="115" t="s">
        <v>81</v>
      </c>
      <c r="H223" s="10" t="s">
        <v>616</v>
      </c>
      <c r="I223" s="114" t="s">
        <v>83</v>
      </c>
      <c r="J223" s="114" t="s">
        <v>84</v>
      </c>
      <c r="K223" s="114" t="s">
        <v>83</v>
      </c>
      <c r="L223" s="113" t="s">
        <v>614</v>
      </c>
      <c r="M223" s="113" t="s">
        <v>614</v>
      </c>
      <c r="N223" s="116">
        <v>46142</v>
      </c>
      <c r="O223" s="114">
        <v>10</v>
      </c>
      <c r="P223" s="116">
        <v>46149</v>
      </c>
      <c r="Q223" s="116">
        <v>46149</v>
      </c>
      <c r="R223" s="116">
        <v>46149</v>
      </c>
      <c r="S223" s="112"/>
      <c r="T223" s="112"/>
      <c r="U223" s="112" t="s">
        <v>85</v>
      </c>
      <c r="V223" s="114" t="s">
        <v>99</v>
      </c>
      <c r="W223" s="114">
        <v>10</v>
      </c>
      <c r="X223" s="114">
        <v>10</v>
      </c>
      <c r="Y223" s="112"/>
      <c r="Z223" s="112" t="s">
        <v>87</v>
      </c>
      <c r="AA223" s="112"/>
      <c r="AB223" s="117"/>
      <c r="AC223" s="118">
        <v>25.5</v>
      </c>
      <c r="AD223" s="112"/>
      <c r="AE223" s="114">
        <v>10</v>
      </c>
      <c r="AF223" s="112" t="s">
        <v>88</v>
      </c>
      <c r="AG223" s="114" t="s">
        <v>99</v>
      </c>
      <c r="AH223" s="118">
        <v>12.5</v>
      </c>
      <c r="AI223" s="112">
        <f t="shared" si="79"/>
        <v>125</v>
      </c>
      <c r="AJ223" s="112"/>
      <c r="AK223" s="115" t="s">
        <v>89</v>
      </c>
      <c r="AL223" s="114">
        <v>10</v>
      </c>
      <c r="AM223" s="112">
        <v>18</v>
      </c>
      <c r="AN223" s="112">
        <f t="shared" si="80"/>
        <v>180</v>
      </c>
      <c r="AO223" s="112"/>
      <c r="AP223" s="112"/>
      <c r="AQ223" s="112">
        <f t="shared" si="81"/>
        <v>0</v>
      </c>
      <c r="AR223" s="112">
        <f t="shared" si="82"/>
        <v>180</v>
      </c>
      <c r="AS223" s="112"/>
      <c r="AT223" s="110" t="s">
        <v>617</v>
      </c>
      <c r="AU223" s="111">
        <v>46141</v>
      </c>
      <c r="AV223" s="112">
        <f t="shared" si="83"/>
        <v>18</v>
      </c>
      <c r="AW223" s="112">
        <f t="shared" si="84"/>
        <v>180</v>
      </c>
      <c r="AX223" s="112"/>
      <c r="AY223" s="13" t="s">
        <v>618</v>
      </c>
      <c r="AZ223" s="124">
        <v>46156</v>
      </c>
      <c r="BA223" s="112">
        <f t="shared" si="85"/>
        <v>18</v>
      </c>
      <c r="BB223" s="112">
        <f t="shared" si="86"/>
        <v>10</v>
      </c>
      <c r="BC223" s="112">
        <f t="shared" si="87"/>
        <v>180</v>
      </c>
      <c r="BD223" s="112"/>
      <c r="BE223" s="112" t="s">
        <v>266</v>
      </c>
      <c r="BF223" s="113" t="s">
        <v>711</v>
      </c>
      <c r="BG223" s="120" t="s">
        <v>619</v>
      </c>
    </row>
    <row r="224" spans="1:59" s="120" customFormat="1" ht="15" customHeight="1">
      <c r="A224" s="112">
        <f t="shared" si="97"/>
        <v>222</v>
      </c>
      <c r="B224" s="113" t="s">
        <v>714</v>
      </c>
      <c r="C224" s="114" t="s">
        <v>712</v>
      </c>
      <c r="D224" s="122"/>
      <c r="E224" s="114" t="s">
        <v>715</v>
      </c>
      <c r="F224" s="112"/>
      <c r="G224" s="115" t="s">
        <v>81</v>
      </c>
      <c r="H224" s="10" t="s">
        <v>616</v>
      </c>
      <c r="I224" s="114" t="s">
        <v>83</v>
      </c>
      <c r="J224" s="114" t="s">
        <v>84</v>
      </c>
      <c r="K224" s="114" t="s">
        <v>83</v>
      </c>
      <c r="L224" s="113" t="s">
        <v>614</v>
      </c>
      <c r="M224" s="113" t="s">
        <v>614</v>
      </c>
      <c r="N224" s="116">
        <v>46142</v>
      </c>
      <c r="O224" s="114">
        <v>101</v>
      </c>
      <c r="P224" s="116">
        <v>46149</v>
      </c>
      <c r="Q224" s="116">
        <v>46149</v>
      </c>
      <c r="R224" s="116">
        <v>46149</v>
      </c>
      <c r="S224" s="112"/>
      <c r="T224" s="112"/>
      <c r="U224" s="112" t="s">
        <v>85</v>
      </c>
      <c r="V224" s="114" t="s">
        <v>99</v>
      </c>
      <c r="W224" s="114">
        <v>101</v>
      </c>
      <c r="X224" s="114">
        <v>101</v>
      </c>
      <c r="Y224" s="112"/>
      <c r="Z224" s="112" t="s">
        <v>87</v>
      </c>
      <c r="AA224" s="112"/>
      <c r="AB224" s="117"/>
      <c r="AC224" s="118">
        <v>25.5</v>
      </c>
      <c r="AD224" s="112"/>
      <c r="AE224" s="114">
        <v>101</v>
      </c>
      <c r="AF224" s="112" t="s">
        <v>88</v>
      </c>
      <c r="AG224" s="114" t="s">
        <v>99</v>
      </c>
      <c r="AH224" s="118">
        <v>12.5</v>
      </c>
      <c r="AI224" s="112">
        <f t="shared" si="79"/>
        <v>1262.5</v>
      </c>
      <c r="AJ224" s="112"/>
      <c r="AK224" s="115" t="s">
        <v>89</v>
      </c>
      <c r="AL224" s="114">
        <v>101</v>
      </c>
      <c r="AM224" s="112">
        <v>18</v>
      </c>
      <c r="AN224" s="112">
        <f t="shared" si="80"/>
        <v>1818</v>
      </c>
      <c r="AO224" s="112"/>
      <c r="AP224" s="112"/>
      <c r="AQ224" s="112">
        <f t="shared" si="81"/>
        <v>0</v>
      </c>
      <c r="AR224" s="112">
        <f t="shared" si="82"/>
        <v>1818</v>
      </c>
      <c r="AS224" s="112"/>
      <c r="AT224" s="110" t="s">
        <v>617</v>
      </c>
      <c r="AU224" s="111">
        <v>46141</v>
      </c>
      <c r="AV224" s="112">
        <f t="shared" si="83"/>
        <v>18</v>
      </c>
      <c r="AW224" s="112">
        <f t="shared" si="84"/>
        <v>1818</v>
      </c>
      <c r="AX224" s="112"/>
      <c r="AY224" s="13" t="s">
        <v>618</v>
      </c>
      <c r="AZ224" s="124">
        <v>46156</v>
      </c>
      <c r="BA224" s="112">
        <f t="shared" si="85"/>
        <v>18</v>
      </c>
      <c r="BB224" s="112">
        <f t="shared" si="86"/>
        <v>101</v>
      </c>
      <c r="BC224" s="112">
        <f t="shared" si="87"/>
        <v>1818</v>
      </c>
      <c r="BD224" s="112"/>
      <c r="BE224" s="112" t="s">
        <v>270</v>
      </c>
      <c r="BF224" s="113" t="s">
        <v>714</v>
      </c>
      <c r="BG224" s="120" t="s">
        <v>619</v>
      </c>
    </row>
    <row r="225" spans="1:59" s="120" customFormat="1" ht="15" customHeight="1">
      <c r="A225" s="112">
        <f t="shared" si="97"/>
        <v>223</v>
      </c>
      <c r="B225" s="113" t="s">
        <v>716</v>
      </c>
      <c r="C225" s="114" t="s">
        <v>712</v>
      </c>
      <c r="D225" s="122"/>
      <c r="E225" s="114" t="s">
        <v>717</v>
      </c>
      <c r="F225" s="112"/>
      <c r="G225" s="115" t="s">
        <v>81</v>
      </c>
      <c r="H225" s="10" t="s">
        <v>616</v>
      </c>
      <c r="I225" s="114" t="s">
        <v>83</v>
      </c>
      <c r="J225" s="114" t="s">
        <v>84</v>
      </c>
      <c r="K225" s="114" t="s">
        <v>83</v>
      </c>
      <c r="L225" s="113" t="s">
        <v>614</v>
      </c>
      <c r="M225" s="113" t="s">
        <v>614</v>
      </c>
      <c r="N225" s="116">
        <v>46142</v>
      </c>
      <c r="O225" s="114">
        <v>42</v>
      </c>
      <c r="P225" s="116">
        <v>46149</v>
      </c>
      <c r="Q225" s="116">
        <v>46149</v>
      </c>
      <c r="R225" s="116">
        <v>46149</v>
      </c>
      <c r="S225" s="112"/>
      <c r="T225" s="112"/>
      <c r="U225" s="112" t="s">
        <v>85</v>
      </c>
      <c r="V225" s="114" t="s">
        <v>99</v>
      </c>
      <c r="W225" s="114">
        <v>42</v>
      </c>
      <c r="X225" s="114">
        <v>42</v>
      </c>
      <c r="Y225" s="112"/>
      <c r="Z225" s="112" t="s">
        <v>87</v>
      </c>
      <c r="AA225" s="112"/>
      <c r="AB225" s="117"/>
      <c r="AC225" s="118">
        <v>25.5</v>
      </c>
      <c r="AD225" s="112"/>
      <c r="AE225" s="114">
        <v>42</v>
      </c>
      <c r="AF225" s="112" t="s">
        <v>88</v>
      </c>
      <c r="AG225" s="114" t="s">
        <v>99</v>
      </c>
      <c r="AH225" s="118">
        <v>12.5</v>
      </c>
      <c r="AI225" s="112">
        <f t="shared" si="79"/>
        <v>525</v>
      </c>
      <c r="AJ225" s="112"/>
      <c r="AK225" s="115" t="s">
        <v>89</v>
      </c>
      <c r="AL225" s="114">
        <v>42</v>
      </c>
      <c r="AM225" s="112">
        <v>18</v>
      </c>
      <c r="AN225" s="112">
        <f t="shared" si="80"/>
        <v>756</v>
      </c>
      <c r="AO225" s="112"/>
      <c r="AP225" s="112"/>
      <c r="AQ225" s="112">
        <f t="shared" si="81"/>
        <v>0</v>
      </c>
      <c r="AR225" s="112">
        <f t="shared" si="82"/>
        <v>756</v>
      </c>
      <c r="AS225" s="112"/>
      <c r="AT225" s="110" t="s">
        <v>617</v>
      </c>
      <c r="AU225" s="111">
        <v>46141</v>
      </c>
      <c r="AV225" s="112">
        <f t="shared" si="83"/>
        <v>18</v>
      </c>
      <c r="AW225" s="112">
        <f t="shared" si="84"/>
        <v>756</v>
      </c>
      <c r="AX225" s="112"/>
      <c r="AY225" s="13" t="s">
        <v>618</v>
      </c>
      <c r="AZ225" s="124">
        <v>46156</v>
      </c>
      <c r="BA225" s="112">
        <f t="shared" si="85"/>
        <v>18</v>
      </c>
      <c r="BB225" s="112">
        <f t="shared" si="86"/>
        <v>42</v>
      </c>
      <c r="BC225" s="112">
        <f t="shared" si="87"/>
        <v>756</v>
      </c>
      <c r="BD225" s="112"/>
      <c r="BE225" s="112" t="s">
        <v>274</v>
      </c>
      <c r="BF225" s="113" t="s">
        <v>716</v>
      </c>
      <c r="BG225" s="120" t="s">
        <v>619</v>
      </c>
    </row>
    <row r="226" spans="1:59" s="120" customFormat="1" ht="15" customHeight="1">
      <c r="A226" s="112">
        <f t="shared" si="97"/>
        <v>224</v>
      </c>
      <c r="B226" s="113" t="s">
        <v>718</v>
      </c>
      <c r="C226" s="114" t="s">
        <v>712</v>
      </c>
      <c r="D226" s="122"/>
      <c r="E226" s="114" t="s">
        <v>719</v>
      </c>
      <c r="F226" s="112"/>
      <c r="G226" s="115" t="s">
        <v>81</v>
      </c>
      <c r="H226" s="10" t="s">
        <v>616</v>
      </c>
      <c r="I226" s="114" t="s">
        <v>83</v>
      </c>
      <c r="J226" s="114" t="s">
        <v>84</v>
      </c>
      <c r="K226" s="114" t="s">
        <v>83</v>
      </c>
      <c r="L226" s="113" t="s">
        <v>614</v>
      </c>
      <c r="M226" s="113" t="s">
        <v>614</v>
      </c>
      <c r="N226" s="116">
        <v>46142</v>
      </c>
      <c r="O226" s="114">
        <v>192</v>
      </c>
      <c r="P226" s="116">
        <v>46149</v>
      </c>
      <c r="Q226" s="116">
        <v>46149</v>
      </c>
      <c r="R226" s="116">
        <v>46149</v>
      </c>
      <c r="S226" s="112"/>
      <c r="T226" s="112"/>
      <c r="U226" s="112" t="s">
        <v>85</v>
      </c>
      <c r="V226" s="114" t="s">
        <v>99</v>
      </c>
      <c r="W226" s="114">
        <v>192</v>
      </c>
      <c r="X226" s="114">
        <v>192</v>
      </c>
      <c r="Y226" s="112"/>
      <c r="Z226" s="112" t="s">
        <v>87</v>
      </c>
      <c r="AA226" s="112"/>
      <c r="AB226" s="117"/>
      <c r="AC226" s="118">
        <v>25.5</v>
      </c>
      <c r="AD226" s="112"/>
      <c r="AE226" s="114">
        <v>192</v>
      </c>
      <c r="AF226" s="112" t="s">
        <v>88</v>
      </c>
      <c r="AG226" s="114" t="s">
        <v>99</v>
      </c>
      <c r="AH226" s="118">
        <v>12.5</v>
      </c>
      <c r="AI226" s="112">
        <f t="shared" si="79"/>
        <v>2400</v>
      </c>
      <c r="AJ226" s="112"/>
      <c r="AK226" s="115" t="s">
        <v>89</v>
      </c>
      <c r="AL226" s="114">
        <v>192</v>
      </c>
      <c r="AM226" s="112">
        <v>18</v>
      </c>
      <c r="AN226" s="112">
        <f t="shared" si="80"/>
        <v>3456</v>
      </c>
      <c r="AO226" s="112"/>
      <c r="AP226" s="112"/>
      <c r="AQ226" s="112">
        <f t="shared" si="81"/>
        <v>0</v>
      </c>
      <c r="AR226" s="112">
        <f t="shared" si="82"/>
        <v>3456</v>
      </c>
      <c r="AS226" s="112"/>
      <c r="AT226" s="110" t="s">
        <v>617</v>
      </c>
      <c r="AU226" s="111">
        <v>46141</v>
      </c>
      <c r="AV226" s="112">
        <f t="shared" si="83"/>
        <v>18</v>
      </c>
      <c r="AW226" s="112">
        <f t="shared" si="84"/>
        <v>3456</v>
      </c>
      <c r="AX226" s="112"/>
      <c r="AY226" s="13" t="s">
        <v>618</v>
      </c>
      <c r="AZ226" s="124">
        <v>46156</v>
      </c>
      <c r="BA226" s="112">
        <f t="shared" si="85"/>
        <v>18</v>
      </c>
      <c r="BB226" s="112">
        <f t="shared" si="86"/>
        <v>192</v>
      </c>
      <c r="BC226" s="112">
        <f t="shared" si="87"/>
        <v>3456</v>
      </c>
      <c r="BD226" s="112"/>
      <c r="BE226" s="112" t="s">
        <v>278</v>
      </c>
      <c r="BF226" s="113" t="s">
        <v>718</v>
      </c>
      <c r="BG226" s="120" t="s">
        <v>619</v>
      </c>
    </row>
    <row r="227" spans="1:59" s="120" customFormat="1" ht="15" customHeight="1">
      <c r="A227" s="112">
        <f t="shared" si="97"/>
        <v>225</v>
      </c>
      <c r="B227" s="113" t="s">
        <v>720</v>
      </c>
      <c r="C227" s="114" t="s">
        <v>624</v>
      </c>
      <c r="D227" s="122"/>
      <c r="E227" s="114" t="s">
        <v>721</v>
      </c>
      <c r="F227" s="112"/>
      <c r="G227" s="115" t="s">
        <v>81</v>
      </c>
      <c r="H227" s="10" t="s">
        <v>616</v>
      </c>
      <c r="I227" s="114" t="s">
        <v>83</v>
      </c>
      <c r="J227" s="114" t="s">
        <v>84</v>
      </c>
      <c r="K227" s="114" t="s">
        <v>83</v>
      </c>
      <c r="L227" s="113" t="s">
        <v>614</v>
      </c>
      <c r="M227" s="113" t="s">
        <v>614</v>
      </c>
      <c r="N227" s="116">
        <v>46142</v>
      </c>
      <c r="O227" s="114">
        <v>10</v>
      </c>
      <c r="P227" s="116">
        <v>46149</v>
      </c>
      <c r="Q227" s="116">
        <v>46149</v>
      </c>
      <c r="R227" s="116">
        <v>46149</v>
      </c>
      <c r="S227" s="112"/>
      <c r="T227" s="112"/>
      <c r="U227" s="112" t="s">
        <v>85</v>
      </c>
      <c r="V227" s="114" t="s">
        <v>99</v>
      </c>
      <c r="W227" s="114">
        <v>10</v>
      </c>
      <c r="X227" s="114">
        <v>10</v>
      </c>
      <c r="Y227" s="112"/>
      <c r="Z227" s="112" t="s">
        <v>87</v>
      </c>
      <c r="AA227" s="112"/>
      <c r="AB227" s="117"/>
      <c r="AC227" s="118">
        <v>25.5</v>
      </c>
      <c r="AD227" s="112"/>
      <c r="AE227" s="114">
        <v>10</v>
      </c>
      <c r="AF227" s="112" t="s">
        <v>88</v>
      </c>
      <c r="AG227" s="114" t="s">
        <v>99</v>
      </c>
      <c r="AH227" s="118">
        <v>12.5</v>
      </c>
      <c r="AI227" s="112">
        <f t="shared" si="79"/>
        <v>125</v>
      </c>
      <c r="AJ227" s="112"/>
      <c r="AK227" s="115" t="s">
        <v>89</v>
      </c>
      <c r="AL227" s="114">
        <v>10</v>
      </c>
      <c r="AM227" s="112">
        <v>18</v>
      </c>
      <c r="AN227" s="112">
        <f t="shared" si="80"/>
        <v>180</v>
      </c>
      <c r="AO227" s="112"/>
      <c r="AP227" s="112"/>
      <c r="AQ227" s="112">
        <f t="shared" si="81"/>
        <v>0</v>
      </c>
      <c r="AR227" s="112">
        <f t="shared" si="82"/>
        <v>180</v>
      </c>
      <c r="AS227" s="112"/>
      <c r="AT227" s="110" t="s">
        <v>617</v>
      </c>
      <c r="AU227" s="111">
        <v>46141</v>
      </c>
      <c r="AV227" s="112">
        <f t="shared" si="83"/>
        <v>18</v>
      </c>
      <c r="AW227" s="112">
        <f t="shared" si="84"/>
        <v>180</v>
      </c>
      <c r="AX227" s="112"/>
      <c r="AY227" s="13" t="s">
        <v>618</v>
      </c>
      <c r="AZ227" s="124">
        <v>46156</v>
      </c>
      <c r="BA227" s="112">
        <f t="shared" si="85"/>
        <v>18</v>
      </c>
      <c r="BB227" s="112">
        <f t="shared" si="86"/>
        <v>10</v>
      </c>
      <c r="BC227" s="112">
        <f t="shared" si="87"/>
        <v>180</v>
      </c>
      <c r="BD227" s="112"/>
      <c r="BE227" s="112" t="s">
        <v>281</v>
      </c>
      <c r="BF227" s="113" t="s">
        <v>720</v>
      </c>
      <c r="BG227" s="120" t="s">
        <v>619</v>
      </c>
    </row>
    <row r="228" spans="1:59" s="120" customFormat="1" ht="15" customHeight="1">
      <c r="A228" s="112">
        <f t="shared" si="97"/>
        <v>226</v>
      </c>
      <c r="B228" s="113" t="s">
        <v>722</v>
      </c>
      <c r="C228" s="114" t="s">
        <v>624</v>
      </c>
      <c r="D228" s="122"/>
      <c r="E228" s="114" t="s">
        <v>723</v>
      </c>
      <c r="F228" s="112"/>
      <c r="G228" s="115" t="s">
        <v>81</v>
      </c>
      <c r="H228" s="10" t="s">
        <v>616</v>
      </c>
      <c r="I228" s="114" t="s">
        <v>83</v>
      </c>
      <c r="J228" s="114" t="s">
        <v>84</v>
      </c>
      <c r="K228" s="114" t="s">
        <v>83</v>
      </c>
      <c r="L228" s="113" t="s">
        <v>614</v>
      </c>
      <c r="M228" s="113" t="s">
        <v>614</v>
      </c>
      <c r="N228" s="116">
        <v>46142</v>
      </c>
      <c r="O228" s="114">
        <v>86</v>
      </c>
      <c r="P228" s="116">
        <v>46149</v>
      </c>
      <c r="Q228" s="116">
        <v>46149</v>
      </c>
      <c r="R228" s="116">
        <v>46149</v>
      </c>
      <c r="S228" s="112"/>
      <c r="T228" s="112"/>
      <c r="U228" s="112" t="s">
        <v>85</v>
      </c>
      <c r="V228" s="114" t="s">
        <v>99</v>
      </c>
      <c r="W228" s="114">
        <v>86</v>
      </c>
      <c r="X228" s="114">
        <v>86</v>
      </c>
      <c r="Y228" s="112"/>
      <c r="Z228" s="112" t="s">
        <v>87</v>
      </c>
      <c r="AA228" s="112"/>
      <c r="AB228" s="117"/>
      <c r="AC228" s="118">
        <v>25.5</v>
      </c>
      <c r="AD228" s="112"/>
      <c r="AE228" s="114">
        <v>86</v>
      </c>
      <c r="AF228" s="112" t="s">
        <v>88</v>
      </c>
      <c r="AG228" s="114" t="s">
        <v>99</v>
      </c>
      <c r="AH228" s="118">
        <v>12.5</v>
      </c>
      <c r="AI228" s="112">
        <f t="shared" si="79"/>
        <v>1075</v>
      </c>
      <c r="AJ228" s="112"/>
      <c r="AK228" s="115" t="s">
        <v>89</v>
      </c>
      <c r="AL228" s="114">
        <v>86</v>
      </c>
      <c r="AM228" s="112">
        <v>18</v>
      </c>
      <c r="AN228" s="112">
        <f t="shared" si="80"/>
        <v>1548</v>
      </c>
      <c r="AO228" s="112"/>
      <c r="AP228" s="112"/>
      <c r="AQ228" s="112">
        <f t="shared" si="81"/>
        <v>0</v>
      </c>
      <c r="AR228" s="112">
        <f t="shared" si="82"/>
        <v>1548</v>
      </c>
      <c r="AS228" s="112"/>
      <c r="AT228" s="110" t="s">
        <v>617</v>
      </c>
      <c r="AU228" s="111">
        <v>46141</v>
      </c>
      <c r="AV228" s="112">
        <f t="shared" si="83"/>
        <v>18</v>
      </c>
      <c r="AW228" s="112">
        <f t="shared" si="84"/>
        <v>1548</v>
      </c>
      <c r="AX228" s="112"/>
      <c r="AY228" s="13" t="s">
        <v>618</v>
      </c>
      <c r="AZ228" s="124">
        <v>46156</v>
      </c>
      <c r="BA228" s="112">
        <f t="shared" si="85"/>
        <v>18</v>
      </c>
      <c r="BB228" s="112">
        <f t="shared" si="86"/>
        <v>86</v>
      </c>
      <c r="BC228" s="112">
        <f t="shared" si="87"/>
        <v>1548</v>
      </c>
      <c r="BD228" s="112"/>
      <c r="BE228" s="112" t="s">
        <v>285</v>
      </c>
      <c r="BF228" s="113" t="s">
        <v>722</v>
      </c>
      <c r="BG228" s="120" t="s">
        <v>619</v>
      </c>
    </row>
    <row r="229" spans="1:59" s="120" customFormat="1" ht="15" customHeight="1">
      <c r="A229" s="112">
        <f t="shared" si="97"/>
        <v>227</v>
      </c>
      <c r="B229" s="113" t="s">
        <v>724</v>
      </c>
      <c r="C229" s="114" t="s">
        <v>624</v>
      </c>
      <c r="D229" s="122"/>
      <c r="E229" s="114" t="s">
        <v>725</v>
      </c>
      <c r="F229" s="112"/>
      <c r="G229" s="115" t="s">
        <v>81</v>
      </c>
      <c r="H229" s="10" t="s">
        <v>616</v>
      </c>
      <c r="I229" s="114" t="s">
        <v>83</v>
      </c>
      <c r="J229" s="114" t="s">
        <v>84</v>
      </c>
      <c r="K229" s="114" t="s">
        <v>83</v>
      </c>
      <c r="L229" s="113" t="s">
        <v>614</v>
      </c>
      <c r="M229" s="113" t="s">
        <v>614</v>
      </c>
      <c r="N229" s="116">
        <v>46142</v>
      </c>
      <c r="O229" s="114">
        <v>117</v>
      </c>
      <c r="P229" s="116">
        <v>46149</v>
      </c>
      <c r="Q229" s="116">
        <v>46149</v>
      </c>
      <c r="R229" s="116">
        <v>46149</v>
      </c>
      <c r="S229" s="112"/>
      <c r="T229" s="112"/>
      <c r="U229" s="112" t="s">
        <v>85</v>
      </c>
      <c r="V229" s="114" t="s">
        <v>99</v>
      </c>
      <c r="W229" s="114">
        <v>117</v>
      </c>
      <c r="X229" s="114">
        <v>117</v>
      </c>
      <c r="Y229" s="112"/>
      <c r="Z229" s="112" t="s">
        <v>87</v>
      </c>
      <c r="AA229" s="112"/>
      <c r="AB229" s="117"/>
      <c r="AC229" s="118">
        <v>25.5</v>
      </c>
      <c r="AD229" s="112"/>
      <c r="AE229" s="114">
        <v>117</v>
      </c>
      <c r="AF229" s="112" t="s">
        <v>88</v>
      </c>
      <c r="AG229" s="114" t="s">
        <v>99</v>
      </c>
      <c r="AH229" s="118">
        <v>12.5</v>
      </c>
      <c r="AI229" s="112">
        <f t="shared" si="79"/>
        <v>1462.5</v>
      </c>
      <c r="AJ229" s="112"/>
      <c r="AK229" s="115" t="s">
        <v>89</v>
      </c>
      <c r="AL229" s="114">
        <v>117</v>
      </c>
      <c r="AM229" s="112">
        <v>18</v>
      </c>
      <c r="AN229" s="112">
        <f t="shared" si="80"/>
        <v>2106</v>
      </c>
      <c r="AO229" s="112"/>
      <c r="AP229" s="112"/>
      <c r="AQ229" s="112">
        <f t="shared" si="81"/>
        <v>0</v>
      </c>
      <c r="AR229" s="112">
        <f t="shared" si="82"/>
        <v>2106</v>
      </c>
      <c r="AS229" s="112"/>
      <c r="AT229" s="110" t="s">
        <v>617</v>
      </c>
      <c r="AU229" s="111">
        <v>46141</v>
      </c>
      <c r="AV229" s="112">
        <f t="shared" si="83"/>
        <v>18</v>
      </c>
      <c r="AW229" s="112">
        <f t="shared" si="84"/>
        <v>2106</v>
      </c>
      <c r="AX229" s="112"/>
      <c r="AY229" s="13" t="s">
        <v>618</v>
      </c>
      <c r="AZ229" s="124">
        <v>46156</v>
      </c>
      <c r="BA229" s="112">
        <f t="shared" si="85"/>
        <v>18</v>
      </c>
      <c r="BB229" s="112">
        <f t="shared" si="86"/>
        <v>117</v>
      </c>
      <c r="BC229" s="112">
        <f t="shared" si="87"/>
        <v>2106</v>
      </c>
      <c r="BD229" s="112"/>
      <c r="BE229" s="112" t="s">
        <v>288</v>
      </c>
      <c r="BF229" s="113" t="s">
        <v>724</v>
      </c>
      <c r="BG229" s="120" t="s">
        <v>619</v>
      </c>
    </row>
    <row r="230" spans="1:59" s="120" customFormat="1" ht="15" customHeight="1">
      <c r="A230" s="112">
        <f t="shared" si="97"/>
        <v>228</v>
      </c>
      <c r="B230" s="113" t="s">
        <v>726</v>
      </c>
      <c r="C230" s="114" t="s">
        <v>627</v>
      </c>
      <c r="D230" s="122"/>
      <c r="E230" s="114" t="s">
        <v>727</v>
      </c>
      <c r="F230" s="112"/>
      <c r="G230" s="115" t="s">
        <v>81</v>
      </c>
      <c r="H230" s="10" t="s">
        <v>616</v>
      </c>
      <c r="I230" s="114" t="s">
        <v>83</v>
      </c>
      <c r="J230" s="114" t="s">
        <v>84</v>
      </c>
      <c r="K230" s="114" t="s">
        <v>83</v>
      </c>
      <c r="L230" s="113" t="s">
        <v>614</v>
      </c>
      <c r="M230" s="113" t="s">
        <v>614</v>
      </c>
      <c r="N230" s="116">
        <v>46142</v>
      </c>
      <c r="O230" s="114">
        <v>10</v>
      </c>
      <c r="P230" s="116">
        <v>46149</v>
      </c>
      <c r="Q230" s="116">
        <v>46149</v>
      </c>
      <c r="R230" s="116">
        <v>46149</v>
      </c>
      <c r="S230" s="112"/>
      <c r="T230" s="112"/>
      <c r="U230" s="112" t="s">
        <v>85</v>
      </c>
      <c r="V230" s="114" t="s">
        <v>99</v>
      </c>
      <c r="W230" s="114">
        <v>10</v>
      </c>
      <c r="X230" s="114">
        <v>10</v>
      </c>
      <c r="Y230" s="112"/>
      <c r="Z230" s="112" t="s">
        <v>87</v>
      </c>
      <c r="AA230" s="112"/>
      <c r="AB230" s="117"/>
      <c r="AC230" s="118">
        <v>25.5</v>
      </c>
      <c r="AD230" s="112"/>
      <c r="AE230" s="114">
        <v>10</v>
      </c>
      <c r="AF230" s="112" t="s">
        <v>88</v>
      </c>
      <c r="AG230" s="114" t="s">
        <v>99</v>
      </c>
      <c r="AH230" s="118">
        <v>12.5</v>
      </c>
      <c r="AI230" s="112">
        <f t="shared" si="79"/>
        <v>125</v>
      </c>
      <c r="AJ230" s="112"/>
      <c r="AK230" s="115" t="s">
        <v>89</v>
      </c>
      <c r="AL230" s="114">
        <v>10</v>
      </c>
      <c r="AM230" s="112">
        <v>18</v>
      </c>
      <c r="AN230" s="112">
        <f t="shared" si="80"/>
        <v>180</v>
      </c>
      <c r="AO230" s="112"/>
      <c r="AP230" s="112"/>
      <c r="AQ230" s="112">
        <f t="shared" si="81"/>
        <v>0</v>
      </c>
      <c r="AR230" s="112">
        <f t="shared" si="82"/>
        <v>180</v>
      </c>
      <c r="AS230" s="112"/>
      <c r="AT230" s="110" t="s">
        <v>617</v>
      </c>
      <c r="AU230" s="111">
        <v>46141</v>
      </c>
      <c r="AV230" s="112">
        <f t="shared" si="83"/>
        <v>18</v>
      </c>
      <c r="AW230" s="112">
        <f t="shared" si="84"/>
        <v>180</v>
      </c>
      <c r="AX230" s="112"/>
      <c r="AY230" s="13" t="s">
        <v>618</v>
      </c>
      <c r="AZ230" s="124">
        <v>46156</v>
      </c>
      <c r="BA230" s="112">
        <f t="shared" si="85"/>
        <v>18</v>
      </c>
      <c r="BB230" s="112">
        <f t="shared" si="86"/>
        <v>10</v>
      </c>
      <c r="BC230" s="112">
        <f t="shared" si="87"/>
        <v>180</v>
      </c>
      <c r="BD230" s="112"/>
      <c r="BE230" s="112" t="s">
        <v>292</v>
      </c>
      <c r="BF230" s="113" t="s">
        <v>726</v>
      </c>
      <c r="BG230" s="120" t="s">
        <v>619</v>
      </c>
    </row>
    <row r="231" spans="1:59" s="120" customFormat="1" ht="15" customHeight="1">
      <c r="A231" s="112">
        <f t="shared" si="97"/>
        <v>229</v>
      </c>
      <c r="B231" s="113" t="s">
        <v>728</v>
      </c>
      <c r="C231" s="114" t="s">
        <v>627</v>
      </c>
      <c r="D231" s="122"/>
      <c r="E231" s="114" t="s">
        <v>729</v>
      </c>
      <c r="F231" s="112"/>
      <c r="G231" s="115" t="s">
        <v>81</v>
      </c>
      <c r="H231" s="10" t="s">
        <v>616</v>
      </c>
      <c r="I231" s="114" t="s">
        <v>83</v>
      </c>
      <c r="J231" s="114" t="s">
        <v>84</v>
      </c>
      <c r="K231" s="114" t="s">
        <v>83</v>
      </c>
      <c r="L231" s="113" t="s">
        <v>614</v>
      </c>
      <c r="M231" s="113" t="s">
        <v>614</v>
      </c>
      <c r="N231" s="116">
        <v>46142</v>
      </c>
      <c r="O231" s="114">
        <v>160</v>
      </c>
      <c r="P231" s="116">
        <v>46149</v>
      </c>
      <c r="Q231" s="116">
        <v>46149</v>
      </c>
      <c r="R231" s="116">
        <v>46149</v>
      </c>
      <c r="S231" s="112"/>
      <c r="T231" s="112"/>
      <c r="U231" s="112" t="s">
        <v>85</v>
      </c>
      <c r="V231" s="114" t="s">
        <v>99</v>
      </c>
      <c r="W231" s="114">
        <v>160</v>
      </c>
      <c r="X231" s="114">
        <v>160</v>
      </c>
      <c r="Y231" s="112"/>
      <c r="Z231" s="112" t="s">
        <v>87</v>
      </c>
      <c r="AA231" s="112"/>
      <c r="AB231" s="117"/>
      <c r="AC231" s="118">
        <v>25.5</v>
      </c>
      <c r="AD231" s="112"/>
      <c r="AE231" s="114">
        <v>160</v>
      </c>
      <c r="AF231" s="112" t="s">
        <v>88</v>
      </c>
      <c r="AG231" s="114" t="s">
        <v>99</v>
      </c>
      <c r="AH231" s="118">
        <v>12.5</v>
      </c>
      <c r="AI231" s="112">
        <f t="shared" si="79"/>
        <v>2000</v>
      </c>
      <c r="AJ231" s="112"/>
      <c r="AK231" s="115" t="s">
        <v>89</v>
      </c>
      <c r="AL231" s="114">
        <v>160</v>
      </c>
      <c r="AM231" s="112">
        <v>18</v>
      </c>
      <c r="AN231" s="112">
        <f t="shared" si="80"/>
        <v>2880</v>
      </c>
      <c r="AO231" s="112"/>
      <c r="AP231" s="112"/>
      <c r="AQ231" s="112">
        <f t="shared" si="81"/>
        <v>0</v>
      </c>
      <c r="AR231" s="112">
        <f t="shared" si="82"/>
        <v>2880</v>
      </c>
      <c r="AS231" s="112"/>
      <c r="AT231" s="110" t="s">
        <v>617</v>
      </c>
      <c r="AU231" s="111">
        <v>46141</v>
      </c>
      <c r="AV231" s="112">
        <f t="shared" si="83"/>
        <v>18</v>
      </c>
      <c r="AW231" s="112">
        <f t="shared" si="84"/>
        <v>2880</v>
      </c>
      <c r="AX231" s="112"/>
      <c r="AY231" s="13" t="s">
        <v>618</v>
      </c>
      <c r="AZ231" s="124">
        <v>46156</v>
      </c>
      <c r="BA231" s="112">
        <f t="shared" si="85"/>
        <v>18</v>
      </c>
      <c r="BB231" s="112">
        <f t="shared" si="86"/>
        <v>160</v>
      </c>
      <c r="BC231" s="112">
        <f t="shared" si="87"/>
        <v>2880</v>
      </c>
      <c r="BD231" s="112"/>
      <c r="BE231" s="112" t="s">
        <v>296</v>
      </c>
      <c r="BF231" s="113" t="s">
        <v>728</v>
      </c>
      <c r="BG231" s="120" t="s">
        <v>619</v>
      </c>
    </row>
    <row r="232" spans="1:59" s="120" customFormat="1" ht="15" customHeight="1">
      <c r="A232" s="112">
        <f t="shared" si="97"/>
        <v>230</v>
      </c>
      <c r="B232" s="113" t="s">
        <v>730</v>
      </c>
      <c r="C232" s="114" t="s">
        <v>627</v>
      </c>
      <c r="D232" s="122"/>
      <c r="E232" s="114" t="s">
        <v>731</v>
      </c>
      <c r="F232" s="112"/>
      <c r="G232" s="115" t="s">
        <v>81</v>
      </c>
      <c r="H232" s="10" t="s">
        <v>616</v>
      </c>
      <c r="I232" s="114" t="s">
        <v>83</v>
      </c>
      <c r="J232" s="114" t="s">
        <v>84</v>
      </c>
      <c r="K232" s="114" t="s">
        <v>83</v>
      </c>
      <c r="L232" s="113" t="s">
        <v>614</v>
      </c>
      <c r="M232" s="113" t="s">
        <v>614</v>
      </c>
      <c r="N232" s="116">
        <v>46142</v>
      </c>
      <c r="O232" s="114">
        <v>107</v>
      </c>
      <c r="P232" s="116">
        <v>46149</v>
      </c>
      <c r="Q232" s="116">
        <v>46149</v>
      </c>
      <c r="R232" s="116">
        <v>46149</v>
      </c>
      <c r="S232" s="112"/>
      <c r="T232" s="112"/>
      <c r="U232" s="112" t="s">
        <v>85</v>
      </c>
      <c r="V232" s="114" t="s">
        <v>99</v>
      </c>
      <c r="W232" s="114">
        <v>107</v>
      </c>
      <c r="X232" s="114">
        <v>107</v>
      </c>
      <c r="Y232" s="112"/>
      <c r="Z232" s="112" t="s">
        <v>87</v>
      </c>
      <c r="AA232" s="112"/>
      <c r="AB232" s="117"/>
      <c r="AC232" s="118">
        <v>25.5</v>
      </c>
      <c r="AD232" s="112"/>
      <c r="AE232" s="114">
        <v>107</v>
      </c>
      <c r="AF232" s="112" t="s">
        <v>88</v>
      </c>
      <c r="AG232" s="114" t="s">
        <v>99</v>
      </c>
      <c r="AH232" s="118">
        <v>12.5</v>
      </c>
      <c r="AI232" s="112">
        <f t="shared" si="79"/>
        <v>1337.5</v>
      </c>
      <c r="AJ232" s="112"/>
      <c r="AK232" s="115" t="s">
        <v>89</v>
      </c>
      <c r="AL232" s="114">
        <v>107</v>
      </c>
      <c r="AM232" s="112">
        <v>18</v>
      </c>
      <c r="AN232" s="112">
        <f t="shared" si="80"/>
        <v>1926</v>
      </c>
      <c r="AO232" s="112"/>
      <c r="AP232" s="112"/>
      <c r="AQ232" s="112">
        <f t="shared" si="81"/>
        <v>0</v>
      </c>
      <c r="AR232" s="112">
        <f t="shared" si="82"/>
        <v>1926</v>
      </c>
      <c r="AS232" s="112"/>
      <c r="AT232" s="110" t="s">
        <v>617</v>
      </c>
      <c r="AU232" s="111">
        <v>46141</v>
      </c>
      <c r="AV232" s="112">
        <f t="shared" si="83"/>
        <v>18</v>
      </c>
      <c r="AW232" s="112">
        <f t="shared" si="84"/>
        <v>1926</v>
      </c>
      <c r="AX232" s="112"/>
      <c r="AY232" s="13" t="s">
        <v>618</v>
      </c>
      <c r="AZ232" s="124">
        <v>46156</v>
      </c>
      <c r="BA232" s="112">
        <f t="shared" si="85"/>
        <v>18</v>
      </c>
      <c r="BB232" s="112">
        <f t="shared" si="86"/>
        <v>107</v>
      </c>
      <c r="BC232" s="112">
        <f t="shared" si="87"/>
        <v>1926</v>
      </c>
      <c r="BD232" s="112"/>
      <c r="BE232" s="112" t="s">
        <v>300</v>
      </c>
      <c r="BF232" s="113" t="s">
        <v>730</v>
      </c>
      <c r="BG232" s="120" t="s">
        <v>619</v>
      </c>
    </row>
    <row r="233" spans="1:59" s="120" customFormat="1" ht="15" customHeight="1">
      <c r="A233" s="112">
        <f t="shared" si="97"/>
        <v>231</v>
      </c>
      <c r="B233" s="113" t="s">
        <v>732</v>
      </c>
      <c r="C233" s="114" t="s">
        <v>625</v>
      </c>
      <c r="D233" s="122"/>
      <c r="E233" s="114" t="s">
        <v>733</v>
      </c>
      <c r="F233" s="112"/>
      <c r="G233" s="115" t="s">
        <v>81</v>
      </c>
      <c r="H233" s="10" t="s">
        <v>616</v>
      </c>
      <c r="I233" s="114" t="s">
        <v>83</v>
      </c>
      <c r="J233" s="114" t="s">
        <v>84</v>
      </c>
      <c r="K233" s="114" t="s">
        <v>83</v>
      </c>
      <c r="L233" s="113" t="s">
        <v>614</v>
      </c>
      <c r="M233" s="113" t="s">
        <v>614</v>
      </c>
      <c r="N233" s="116">
        <v>46142</v>
      </c>
      <c r="O233" s="114">
        <v>63</v>
      </c>
      <c r="P233" s="116">
        <v>46149</v>
      </c>
      <c r="Q233" s="116">
        <v>46149</v>
      </c>
      <c r="R233" s="116">
        <v>46149</v>
      </c>
      <c r="S233" s="112"/>
      <c r="T233" s="112"/>
      <c r="U233" s="112" t="s">
        <v>85</v>
      </c>
      <c r="V233" s="114" t="s">
        <v>99</v>
      </c>
      <c r="W233" s="114">
        <v>63</v>
      </c>
      <c r="X233" s="114">
        <v>63</v>
      </c>
      <c r="Y233" s="112"/>
      <c r="Z233" s="112" t="s">
        <v>87</v>
      </c>
      <c r="AA233" s="112"/>
      <c r="AB233" s="117"/>
      <c r="AC233" s="118">
        <v>25.5</v>
      </c>
      <c r="AD233" s="112"/>
      <c r="AE233" s="114">
        <v>63</v>
      </c>
      <c r="AF233" s="112" t="s">
        <v>88</v>
      </c>
      <c r="AG233" s="114" t="s">
        <v>99</v>
      </c>
      <c r="AH233" s="118">
        <v>12.5</v>
      </c>
      <c r="AI233" s="112">
        <f t="shared" si="79"/>
        <v>787.5</v>
      </c>
      <c r="AJ233" s="112"/>
      <c r="AK233" s="115" t="s">
        <v>89</v>
      </c>
      <c r="AL233" s="114">
        <v>63</v>
      </c>
      <c r="AM233" s="112">
        <v>18</v>
      </c>
      <c r="AN233" s="112">
        <f t="shared" si="80"/>
        <v>1134</v>
      </c>
      <c r="AO233" s="112"/>
      <c r="AP233" s="112"/>
      <c r="AQ233" s="112">
        <f t="shared" si="81"/>
        <v>0</v>
      </c>
      <c r="AR233" s="112">
        <f t="shared" si="82"/>
        <v>1134</v>
      </c>
      <c r="AS233" s="112"/>
      <c r="AT233" s="110" t="s">
        <v>617</v>
      </c>
      <c r="AU233" s="111">
        <v>46141</v>
      </c>
      <c r="AV233" s="112">
        <f t="shared" si="83"/>
        <v>18</v>
      </c>
      <c r="AW233" s="112">
        <f t="shared" si="84"/>
        <v>1134</v>
      </c>
      <c r="AX233" s="112"/>
      <c r="AY233" s="13" t="s">
        <v>618</v>
      </c>
      <c r="AZ233" s="124">
        <v>46156</v>
      </c>
      <c r="BA233" s="112">
        <f t="shared" si="85"/>
        <v>18</v>
      </c>
      <c r="BB233" s="112">
        <f t="shared" si="86"/>
        <v>63</v>
      </c>
      <c r="BC233" s="112">
        <f t="shared" si="87"/>
        <v>1134</v>
      </c>
      <c r="BD233" s="112"/>
      <c r="BE233" s="112" t="s">
        <v>303</v>
      </c>
      <c r="BF233" s="113" t="s">
        <v>732</v>
      </c>
      <c r="BG233" s="120" t="s">
        <v>619</v>
      </c>
    </row>
    <row r="234" spans="1:59" s="120" customFormat="1" ht="15" customHeight="1">
      <c r="A234" s="112">
        <f t="shared" si="97"/>
        <v>232</v>
      </c>
      <c r="B234" s="113" t="s">
        <v>734</v>
      </c>
      <c r="C234" s="114" t="s">
        <v>625</v>
      </c>
      <c r="D234" s="122"/>
      <c r="E234" s="114" t="s">
        <v>735</v>
      </c>
      <c r="F234" s="112"/>
      <c r="G234" s="115" t="s">
        <v>81</v>
      </c>
      <c r="H234" s="10" t="s">
        <v>616</v>
      </c>
      <c r="I234" s="114" t="s">
        <v>83</v>
      </c>
      <c r="J234" s="114" t="s">
        <v>84</v>
      </c>
      <c r="K234" s="114" t="s">
        <v>83</v>
      </c>
      <c r="L234" s="113" t="s">
        <v>614</v>
      </c>
      <c r="M234" s="113" t="s">
        <v>614</v>
      </c>
      <c r="N234" s="116">
        <v>46142</v>
      </c>
      <c r="O234" s="114">
        <v>81</v>
      </c>
      <c r="P234" s="116">
        <v>46149</v>
      </c>
      <c r="Q234" s="116">
        <v>46149</v>
      </c>
      <c r="R234" s="116">
        <v>46149</v>
      </c>
      <c r="S234" s="112"/>
      <c r="T234" s="112"/>
      <c r="U234" s="112" t="s">
        <v>85</v>
      </c>
      <c r="V234" s="114" t="s">
        <v>99</v>
      </c>
      <c r="W234" s="114">
        <v>81</v>
      </c>
      <c r="X234" s="114">
        <v>81</v>
      </c>
      <c r="Y234" s="112"/>
      <c r="Z234" s="112" t="s">
        <v>87</v>
      </c>
      <c r="AA234" s="112"/>
      <c r="AB234" s="117"/>
      <c r="AC234" s="118">
        <v>25.5</v>
      </c>
      <c r="AD234" s="112"/>
      <c r="AE234" s="114">
        <v>81</v>
      </c>
      <c r="AF234" s="112" t="s">
        <v>88</v>
      </c>
      <c r="AG234" s="114" t="s">
        <v>99</v>
      </c>
      <c r="AH234" s="118">
        <v>12.5</v>
      </c>
      <c r="AI234" s="112">
        <f t="shared" si="79"/>
        <v>1012.5</v>
      </c>
      <c r="AJ234" s="112"/>
      <c r="AK234" s="115" t="s">
        <v>89</v>
      </c>
      <c r="AL234" s="114">
        <v>81</v>
      </c>
      <c r="AM234" s="112">
        <v>18</v>
      </c>
      <c r="AN234" s="112">
        <f t="shared" si="80"/>
        <v>1458</v>
      </c>
      <c r="AO234" s="112"/>
      <c r="AP234" s="112"/>
      <c r="AQ234" s="112">
        <f t="shared" si="81"/>
        <v>0</v>
      </c>
      <c r="AR234" s="112">
        <f t="shared" si="82"/>
        <v>1458</v>
      </c>
      <c r="AS234" s="112"/>
      <c r="AT234" s="110" t="s">
        <v>617</v>
      </c>
      <c r="AU234" s="111">
        <v>46141</v>
      </c>
      <c r="AV234" s="112">
        <f t="shared" si="83"/>
        <v>18</v>
      </c>
      <c r="AW234" s="112">
        <f t="shared" si="84"/>
        <v>1458</v>
      </c>
      <c r="AX234" s="112"/>
      <c r="AY234" s="13" t="s">
        <v>618</v>
      </c>
      <c r="AZ234" s="124">
        <v>46156</v>
      </c>
      <c r="BA234" s="112">
        <f t="shared" si="85"/>
        <v>18</v>
      </c>
      <c r="BB234" s="112">
        <f t="shared" si="86"/>
        <v>81</v>
      </c>
      <c r="BC234" s="112">
        <f t="shared" si="87"/>
        <v>1458</v>
      </c>
      <c r="BD234" s="112"/>
      <c r="BE234" s="112" t="s">
        <v>307</v>
      </c>
      <c r="BF234" s="113" t="s">
        <v>734</v>
      </c>
      <c r="BG234" s="120" t="s">
        <v>619</v>
      </c>
    </row>
    <row r="235" spans="1:59" s="120" customFormat="1" ht="15" customHeight="1">
      <c r="A235" s="112">
        <f t="shared" si="97"/>
        <v>233</v>
      </c>
      <c r="B235" s="113" t="s">
        <v>736</v>
      </c>
      <c r="C235" s="114" t="s">
        <v>628</v>
      </c>
      <c r="D235" s="122"/>
      <c r="E235" s="114" t="s">
        <v>737</v>
      </c>
      <c r="F235" s="112"/>
      <c r="G235" s="115" t="s">
        <v>81</v>
      </c>
      <c r="H235" s="10" t="s">
        <v>616</v>
      </c>
      <c r="I235" s="114" t="s">
        <v>83</v>
      </c>
      <c r="J235" s="114" t="s">
        <v>84</v>
      </c>
      <c r="K235" s="114" t="s">
        <v>83</v>
      </c>
      <c r="L235" s="113" t="s">
        <v>614</v>
      </c>
      <c r="M235" s="113" t="s">
        <v>614</v>
      </c>
      <c r="N235" s="116">
        <v>46142</v>
      </c>
      <c r="O235" s="114">
        <v>10</v>
      </c>
      <c r="P235" s="116">
        <v>46149</v>
      </c>
      <c r="Q235" s="116">
        <v>46149</v>
      </c>
      <c r="R235" s="116">
        <v>46149</v>
      </c>
      <c r="S235" s="112"/>
      <c r="T235" s="112"/>
      <c r="U235" s="112" t="s">
        <v>85</v>
      </c>
      <c r="V235" s="114" t="s">
        <v>99</v>
      </c>
      <c r="W235" s="114">
        <v>10</v>
      </c>
      <c r="X235" s="114">
        <v>10</v>
      </c>
      <c r="Y235" s="112"/>
      <c r="Z235" s="112" t="s">
        <v>87</v>
      </c>
      <c r="AA235" s="112"/>
      <c r="AB235" s="117"/>
      <c r="AC235" s="118">
        <v>25.5</v>
      </c>
      <c r="AD235" s="112"/>
      <c r="AE235" s="114">
        <v>10</v>
      </c>
      <c r="AF235" s="112" t="s">
        <v>88</v>
      </c>
      <c r="AG235" s="114" t="s">
        <v>99</v>
      </c>
      <c r="AH235" s="118">
        <v>12.5</v>
      </c>
      <c r="AI235" s="112">
        <f t="shared" si="79"/>
        <v>125</v>
      </c>
      <c r="AJ235" s="112"/>
      <c r="AK235" s="115" t="s">
        <v>89</v>
      </c>
      <c r="AL235" s="114">
        <v>10</v>
      </c>
      <c r="AM235" s="112">
        <v>18</v>
      </c>
      <c r="AN235" s="112">
        <f t="shared" si="80"/>
        <v>180</v>
      </c>
      <c r="AO235" s="112"/>
      <c r="AP235" s="112"/>
      <c r="AQ235" s="112">
        <f t="shared" si="81"/>
        <v>0</v>
      </c>
      <c r="AR235" s="112">
        <f t="shared" si="82"/>
        <v>180</v>
      </c>
      <c r="AS235" s="112"/>
      <c r="AT235" s="110" t="s">
        <v>617</v>
      </c>
      <c r="AU235" s="111">
        <v>46141</v>
      </c>
      <c r="AV235" s="112">
        <f t="shared" si="83"/>
        <v>18</v>
      </c>
      <c r="AW235" s="112">
        <f t="shared" si="84"/>
        <v>180</v>
      </c>
      <c r="AX235" s="112"/>
      <c r="AY235" s="13" t="s">
        <v>618</v>
      </c>
      <c r="AZ235" s="124">
        <v>46156</v>
      </c>
      <c r="BA235" s="112">
        <f t="shared" si="85"/>
        <v>18</v>
      </c>
      <c r="BB235" s="112">
        <f t="shared" si="86"/>
        <v>10</v>
      </c>
      <c r="BC235" s="112">
        <f t="shared" si="87"/>
        <v>180</v>
      </c>
      <c r="BD235" s="112"/>
      <c r="BE235" s="112" t="s">
        <v>310</v>
      </c>
      <c r="BF235" s="113" t="s">
        <v>736</v>
      </c>
      <c r="BG235" s="120" t="s">
        <v>619</v>
      </c>
    </row>
    <row r="236" spans="1:59" s="120" customFormat="1" ht="15" customHeight="1">
      <c r="A236" s="112">
        <f t="shared" si="97"/>
        <v>234</v>
      </c>
      <c r="B236" s="113" t="s">
        <v>738</v>
      </c>
      <c r="C236" s="114" t="s">
        <v>628</v>
      </c>
      <c r="D236" s="122"/>
      <c r="E236" s="114" t="s">
        <v>739</v>
      </c>
      <c r="F236" s="112"/>
      <c r="G236" s="115" t="s">
        <v>81</v>
      </c>
      <c r="H236" s="10" t="s">
        <v>616</v>
      </c>
      <c r="I236" s="114" t="s">
        <v>83</v>
      </c>
      <c r="J236" s="114" t="s">
        <v>84</v>
      </c>
      <c r="K236" s="114" t="s">
        <v>83</v>
      </c>
      <c r="L236" s="113" t="s">
        <v>614</v>
      </c>
      <c r="M236" s="113" t="s">
        <v>614</v>
      </c>
      <c r="N236" s="116">
        <v>46142</v>
      </c>
      <c r="O236" s="114">
        <v>84</v>
      </c>
      <c r="P236" s="116">
        <v>46149</v>
      </c>
      <c r="Q236" s="116">
        <v>46149</v>
      </c>
      <c r="R236" s="116">
        <v>46149</v>
      </c>
      <c r="S236" s="112"/>
      <c r="T236" s="112"/>
      <c r="U236" s="112" t="s">
        <v>85</v>
      </c>
      <c r="V236" s="114" t="s">
        <v>99</v>
      </c>
      <c r="W236" s="114">
        <v>84</v>
      </c>
      <c r="X236" s="114">
        <v>84</v>
      </c>
      <c r="Y236" s="112"/>
      <c r="Z236" s="112" t="s">
        <v>87</v>
      </c>
      <c r="AA236" s="112"/>
      <c r="AB236" s="117"/>
      <c r="AC236" s="118">
        <v>25.5</v>
      </c>
      <c r="AD236" s="112"/>
      <c r="AE236" s="114">
        <v>84</v>
      </c>
      <c r="AF236" s="112" t="s">
        <v>88</v>
      </c>
      <c r="AG236" s="114" t="s">
        <v>99</v>
      </c>
      <c r="AH236" s="118">
        <v>12.5</v>
      </c>
      <c r="AI236" s="112">
        <f t="shared" si="79"/>
        <v>1050</v>
      </c>
      <c r="AJ236" s="112"/>
      <c r="AK236" s="115" t="s">
        <v>89</v>
      </c>
      <c r="AL236" s="114">
        <v>84</v>
      </c>
      <c r="AM236" s="112">
        <v>18</v>
      </c>
      <c r="AN236" s="112">
        <f t="shared" si="80"/>
        <v>1512</v>
      </c>
      <c r="AO236" s="112"/>
      <c r="AP236" s="112"/>
      <c r="AQ236" s="112">
        <f t="shared" si="81"/>
        <v>0</v>
      </c>
      <c r="AR236" s="112">
        <f t="shared" si="82"/>
        <v>1512</v>
      </c>
      <c r="AS236" s="112"/>
      <c r="AT236" s="110" t="s">
        <v>617</v>
      </c>
      <c r="AU236" s="111">
        <v>46141</v>
      </c>
      <c r="AV236" s="112">
        <f t="shared" si="83"/>
        <v>18</v>
      </c>
      <c r="AW236" s="112">
        <f t="shared" si="84"/>
        <v>1512</v>
      </c>
      <c r="AX236" s="112"/>
      <c r="AY236" s="13" t="s">
        <v>618</v>
      </c>
      <c r="AZ236" s="124">
        <v>46156</v>
      </c>
      <c r="BA236" s="112">
        <f t="shared" si="85"/>
        <v>18</v>
      </c>
      <c r="BB236" s="112">
        <f t="shared" si="86"/>
        <v>84</v>
      </c>
      <c r="BC236" s="112">
        <f t="shared" si="87"/>
        <v>1512</v>
      </c>
      <c r="BD236" s="112"/>
      <c r="BE236" s="112" t="s">
        <v>313</v>
      </c>
      <c r="BF236" s="113" t="s">
        <v>738</v>
      </c>
      <c r="BG236" s="120" t="s">
        <v>619</v>
      </c>
    </row>
    <row r="237" spans="1:59" s="120" customFormat="1" ht="15" customHeight="1">
      <c r="A237" s="112">
        <f t="shared" si="97"/>
        <v>235</v>
      </c>
      <c r="B237" s="113" t="s">
        <v>740</v>
      </c>
      <c r="C237" s="114" t="s">
        <v>741</v>
      </c>
      <c r="D237" s="122"/>
      <c r="E237" s="114" t="s">
        <v>742</v>
      </c>
      <c r="F237" s="112"/>
      <c r="G237" s="115" t="s">
        <v>81</v>
      </c>
      <c r="H237" s="10" t="s">
        <v>616</v>
      </c>
      <c r="I237" s="114" t="s">
        <v>83</v>
      </c>
      <c r="J237" s="114" t="s">
        <v>84</v>
      </c>
      <c r="K237" s="114" t="s">
        <v>83</v>
      </c>
      <c r="L237" s="113" t="s">
        <v>614</v>
      </c>
      <c r="M237" s="113" t="s">
        <v>614</v>
      </c>
      <c r="N237" s="116">
        <v>46142</v>
      </c>
      <c r="O237" s="114">
        <v>41</v>
      </c>
      <c r="P237" s="116">
        <v>46149</v>
      </c>
      <c r="Q237" s="116">
        <v>46149</v>
      </c>
      <c r="R237" s="116">
        <v>46149</v>
      </c>
      <c r="S237" s="112"/>
      <c r="T237" s="112"/>
      <c r="U237" s="112" t="s">
        <v>85</v>
      </c>
      <c r="V237" s="114" t="s">
        <v>99</v>
      </c>
      <c r="W237" s="114">
        <v>41</v>
      </c>
      <c r="X237" s="114">
        <v>41</v>
      </c>
      <c r="Y237" s="112"/>
      <c r="Z237" s="112" t="s">
        <v>87</v>
      </c>
      <c r="AA237" s="112"/>
      <c r="AB237" s="117"/>
      <c r="AC237" s="118">
        <v>25.5</v>
      </c>
      <c r="AD237" s="112"/>
      <c r="AE237" s="114">
        <v>41</v>
      </c>
      <c r="AF237" s="112" t="s">
        <v>88</v>
      </c>
      <c r="AG237" s="114" t="s">
        <v>99</v>
      </c>
      <c r="AH237" s="118">
        <v>12.5</v>
      </c>
      <c r="AI237" s="112">
        <f t="shared" si="79"/>
        <v>512.5</v>
      </c>
      <c r="AJ237" s="112"/>
      <c r="AK237" s="115" t="s">
        <v>89</v>
      </c>
      <c r="AL237" s="114">
        <v>41</v>
      </c>
      <c r="AM237" s="112">
        <v>18</v>
      </c>
      <c r="AN237" s="112">
        <f t="shared" si="80"/>
        <v>738</v>
      </c>
      <c r="AO237" s="112"/>
      <c r="AP237" s="112"/>
      <c r="AQ237" s="112">
        <f t="shared" si="81"/>
        <v>0</v>
      </c>
      <c r="AR237" s="112">
        <f t="shared" si="82"/>
        <v>738</v>
      </c>
      <c r="AS237" s="112"/>
      <c r="AT237" s="110" t="s">
        <v>617</v>
      </c>
      <c r="AU237" s="111">
        <v>46141</v>
      </c>
      <c r="AV237" s="112">
        <f t="shared" si="83"/>
        <v>18</v>
      </c>
      <c r="AW237" s="112">
        <f t="shared" si="84"/>
        <v>738</v>
      </c>
      <c r="AX237" s="112"/>
      <c r="AY237" s="13" t="s">
        <v>618</v>
      </c>
      <c r="AZ237" s="124">
        <v>46156</v>
      </c>
      <c r="BA237" s="112">
        <f t="shared" si="85"/>
        <v>18</v>
      </c>
      <c r="BB237" s="112">
        <f t="shared" si="86"/>
        <v>41</v>
      </c>
      <c r="BC237" s="112">
        <f t="shared" si="87"/>
        <v>738</v>
      </c>
      <c r="BD237" s="112"/>
      <c r="BE237" s="112" t="s">
        <v>317</v>
      </c>
      <c r="BF237" s="113" t="s">
        <v>740</v>
      </c>
      <c r="BG237" s="120" t="s">
        <v>619</v>
      </c>
    </row>
    <row r="238" spans="1:59" s="120" customFormat="1" ht="15" customHeight="1">
      <c r="A238" s="112">
        <f t="shared" si="97"/>
        <v>236</v>
      </c>
      <c r="B238" s="113" t="s">
        <v>743</v>
      </c>
      <c r="C238" s="114" t="s">
        <v>628</v>
      </c>
      <c r="D238" s="122"/>
      <c r="E238" s="114" t="s">
        <v>744</v>
      </c>
      <c r="F238" s="112"/>
      <c r="G238" s="115" t="s">
        <v>81</v>
      </c>
      <c r="H238" s="10" t="s">
        <v>616</v>
      </c>
      <c r="I238" s="114" t="s">
        <v>83</v>
      </c>
      <c r="J238" s="114" t="s">
        <v>84</v>
      </c>
      <c r="K238" s="114" t="s">
        <v>83</v>
      </c>
      <c r="L238" s="113" t="s">
        <v>614</v>
      </c>
      <c r="M238" s="113" t="s">
        <v>614</v>
      </c>
      <c r="N238" s="116">
        <v>46142</v>
      </c>
      <c r="O238" s="114">
        <v>84</v>
      </c>
      <c r="P238" s="116">
        <v>46149</v>
      </c>
      <c r="Q238" s="116">
        <v>46149</v>
      </c>
      <c r="R238" s="116">
        <v>46149</v>
      </c>
      <c r="S238" s="112"/>
      <c r="T238" s="112"/>
      <c r="U238" s="112" t="s">
        <v>85</v>
      </c>
      <c r="V238" s="114" t="s">
        <v>99</v>
      </c>
      <c r="W238" s="114">
        <v>84</v>
      </c>
      <c r="X238" s="114">
        <v>84</v>
      </c>
      <c r="Y238" s="112"/>
      <c r="Z238" s="112" t="s">
        <v>87</v>
      </c>
      <c r="AA238" s="112"/>
      <c r="AB238" s="117"/>
      <c r="AC238" s="118">
        <v>25.5</v>
      </c>
      <c r="AD238" s="112"/>
      <c r="AE238" s="114">
        <v>84</v>
      </c>
      <c r="AF238" s="112" t="s">
        <v>88</v>
      </c>
      <c r="AG238" s="114" t="s">
        <v>99</v>
      </c>
      <c r="AH238" s="118">
        <v>12.5</v>
      </c>
      <c r="AI238" s="112">
        <f t="shared" si="79"/>
        <v>1050</v>
      </c>
      <c r="AJ238" s="112"/>
      <c r="AK238" s="115" t="s">
        <v>89</v>
      </c>
      <c r="AL238" s="114">
        <v>84</v>
      </c>
      <c r="AM238" s="112">
        <v>18</v>
      </c>
      <c r="AN238" s="112">
        <f t="shared" si="80"/>
        <v>1512</v>
      </c>
      <c r="AO238" s="112"/>
      <c r="AP238" s="112"/>
      <c r="AQ238" s="112">
        <f t="shared" si="81"/>
        <v>0</v>
      </c>
      <c r="AR238" s="112">
        <f t="shared" si="82"/>
        <v>1512</v>
      </c>
      <c r="AS238" s="112"/>
      <c r="AT238" s="110" t="s">
        <v>617</v>
      </c>
      <c r="AU238" s="111">
        <v>46141</v>
      </c>
      <c r="AV238" s="112">
        <f t="shared" si="83"/>
        <v>18</v>
      </c>
      <c r="AW238" s="112">
        <f t="shared" si="84"/>
        <v>1512</v>
      </c>
      <c r="AX238" s="112"/>
      <c r="AY238" s="13" t="s">
        <v>618</v>
      </c>
      <c r="AZ238" s="124">
        <v>46156</v>
      </c>
      <c r="BA238" s="112">
        <f t="shared" si="85"/>
        <v>18</v>
      </c>
      <c r="BB238" s="112">
        <f t="shared" si="86"/>
        <v>84</v>
      </c>
      <c r="BC238" s="112">
        <f t="shared" si="87"/>
        <v>1512</v>
      </c>
      <c r="BD238" s="112"/>
      <c r="BE238" s="112" t="s">
        <v>320</v>
      </c>
      <c r="BF238" s="113" t="s">
        <v>743</v>
      </c>
      <c r="BG238" s="120" t="s">
        <v>619</v>
      </c>
    </row>
    <row r="239" spans="1:59" s="120" customFormat="1" ht="15" customHeight="1">
      <c r="A239" s="112">
        <f t="shared" si="97"/>
        <v>237</v>
      </c>
      <c r="B239" s="113" t="s">
        <v>745</v>
      </c>
      <c r="C239" s="114" t="s">
        <v>746</v>
      </c>
      <c r="D239" s="122"/>
      <c r="E239" s="114" t="s">
        <v>747</v>
      </c>
      <c r="F239" s="112"/>
      <c r="G239" s="115" t="s">
        <v>81</v>
      </c>
      <c r="H239" s="10" t="s">
        <v>616</v>
      </c>
      <c r="I239" s="114" t="s">
        <v>83</v>
      </c>
      <c r="J239" s="114" t="s">
        <v>84</v>
      </c>
      <c r="K239" s="114" t="s">
        <v>83</v>
      </c>
      <c r="L239" s="113" t="s">
        <v>614</v>
      </c>
      <c r="M239" s="113" t="s">
        <v>614</v>
      </c>
      <c r="N239" s="116">
        <v>46142</v>
      </c>
      <c r="O239" s="114">
        <v>10</v>
      </c>
      <c r="P239" s="116">
        <v>46149</v>
      </c>
      <c r="Q239" s="116">
        <v>46149</v>
      </c>
      <c r="R239" s="116">
        <v>46149</v>
      </c>
      <c r="S239" s="112"/>
      <c r="T239" s="112"/>
      <c r="U239" s="112" t="s">
        <v>85</v>
      </c>
      <c r="V239" s="114" t="s">
        <v>99</v>
      </c>
      <c r="W239" s="114">
        <v>10</v>
      </c>
      <c r="X239" s="114">
        <v>10</v>
      </c>
      <c r="Y239" s="112"/>
      <c r="Z239" s="112" t="s">
        <v>87</v>
      </c>
      <c r="AA239" s="112"/>
      <c r="AB239" s="117"/>
      <c r="AC239" s="118">
        <v>25.5</v>
      </c>
      <c r="AD239" s="112"/>
      <c r="AE239" s="114">
        <v>10</v>
      </c>
      <c r="AF239" s="112" t="s">
        <v>88</v>
      </c>
      <c r="AG239" s="114" t="s">
        <v>99</v>
      </c>
      <c r="AH239" s="118">
        <v>12.5</v>
      </c>
      <c r="AI239" s="112">
        <f t="shared" si="79"/>
        <v>125</v>
      </c>
      <c r="AJ239" s="112"/>
      <c r="AK239" s="115" t="s">
        <v>89</v>
      </c>
      <c r="AL239" s="114">
        <v>10</v>
      </c>
      <c r="AM239" s="112">
        <v>18</v>
      </c>
      <c r="AN239" s="112">
        <f t="shared" si="80"/>
        <v>180</v>
      </c>
      <c r="AO239" s="112"/>
      <c r="AP239" s="112"/>
      <c r="AQ239" s="112">
        <f t="shared" si="81"/>
        <v>0</v>
      </c>
      <c r="AR239" s="112">
        <f t="shared" si="82"/>
        <v>180</v>
      </c>
      <c r="AS239" s="112"/>
      <c r="AT239" s="110" t="s">
        <v>617</v>
      </c>
      <c r="AU239" s="111">
        <v>46141</v>
      </c>
      <c r="AV239" s="112">
        <f t="shared" si="83"/>
        <v>18</v>
      </c>
      <c r="AW239" s="112">
        <f t="shared" si="84"/>
        <v>180</v>
      </c>
      <c r="AX239" s="112"/>
      <c r="AY239" s="13" t="s">
        <v>618</v>
      </c>
      <c r="AZ239" s="124">
        <v>46156</v>
      </c>
      <c r="BA239" s="112">
        <f t="shared" si="85"/>
        <v>18</v>
      </c>
      <c r="BB239" s="112">
        <f t="shared" si="86"/>
        <v>10</v>
      </c>
      <c r="BC239" s="112">
        <f t="shared" si="87"/>
        <v>180</v>
      </c>
      <c r="BD239" s="112"/>
      <c r="BE239" s="112" t="s">
        <v>323</v>
      </c>
      <c r="BF239" s="113" t="s">
        <v>745</v>
      </c>
      <c r="BG239" s="120" t="s">
        <v>619</v>
      </c>
    </row>
    <row r="240" spans="1:59" s="120" customFormat="1" ht="15" customHeight="1">
      <c r="A240" s="112">
        <f t="shared" si="97"/>
        <v>238</v>
      </c>
      <c r="B240" s="113" t="s">
        <v>748</v>
      </c>
      <c r="C240" s="114" t="s">
        <v>746</v>
      </c>
      <c r="D240" s="122"/>
      <c r="E240" s="114" t="s">
        <v>749</v>
      </c>
      <c r="F240" s="112"/>
      <c r="G240" s="115" t="s">
        <v>81</v>
      </c>
      <c r="H240" s="10" t="s">
        <v>616</v>
      </c>
      <c r="I240" s="114" t="s">
        <v>83</v>
      </c>
      <c r="J240" s="114" t="s">
        <v>84</v>
      </c>
      <c r="K240" s="114" t="s">
        <v>83</v>
      </c>
      <c r="L240" s="113" t="s">
        <v>614</v>
      </c>
      <c r="M240" s="113" t="s">
        <v>614</v>
      </c>
      <c r="N240" s="116">
        <v>46142</v>
      </c>
      <c r="O240" s="114">
        <v>38</v>
      </c>
      <c r="P240" s="116">
        <v>46149</v>
      </c>
      <c r="Q240" s="116">
        <v>46149</v>
      </c>
      <c r="R240" s="116">
        <v>46149</v>
      </c>
      <c r="S240" s="112"/>
      <c r="T240" s="112"/>
      <c r="U240" s="112" t="s">
        <v>85</v>
      </c>
      <c r="V240" s="114" t="s">
        <v>99</v>
      </c>
      <c r="W240" s="114">
        <v>38</v>
      </c>
      <c r="X240" s="114">
        <v>38</v>
      </c>
      <c r="Y240" s="112"/>
      <c r="Z240" s="112" t="s">
        <v>87</v>
      </c>
      <c r="AA240" s="112"/>
      <c r="AB240" s="117"/>
      <c r="AC240" s="118">
        <v>25.5</v>
      </c>
      <c r="AD240" s="112"/>
      <c r="AE240" s="114">
        <v>38</v>
      </c>
      <c r="AF240" s="112" t="s">
        <v>88</v>
      </c>
      <c r="AG240" s="114" t="s">
        <v>99</v>
      </c>
      <c r="AH240" s="118">
        <v>12.5</v>
      </c>
      <c r="AI240" s="112">
        <f t="shared" si="79"/>
        <v>475</v>
      </c>
      <c r="AJ240" s="112"/>
      <c r="AK240" s="115" t="s">
        <v>89</v>
      </c>
      <c r="AL240" s="114">
        <v>38</v>
      </c>
      <c r="AM240" s="112">
        <v>18</v>
      </c>
      <c r="AN240" s="112">
        <f t="shared" si="80"/>
        <v>684</v>
      </c>
      <c r="AO240" s="112"/>
      <c r="AP240" s="112"/>
      <c r="AQ240" s="112">
        <f t="shared" si="81"/>
        <v>0</v>
      </c>
      <c r="AR240" s="112">
        <f t="shared" si="82"/>
        <v>684</v>
      </c>
      <c r="AS240" s="112"/>
      <c r="AT240" s="110" t="s">
        <v>617</v>
      </c>
      <c r="AU240" s="111">
        <v>46141</v>
      </c>
      <c r="AV240" s="112">
        <f t="shared" si="83"/>
        <v>18</v>
      </c>
      <c r="AW240" s="112">
        <f t="shared" si="84"/>
        <v>684</v>
      </c>
      <c r="AX240" s="112"/>
      <c r="AY240" s="13" t="s">
        <v>618</v>
      </c>
      <c r="AZ240" s="124">
        <v>46156</v>
      </c>
      <c r="BA240" s="112">
        <f t="shared" si="85"/>
        <v>18</v>
      </c>
      <c r="BB240" s="112">
        <f t="shared" si="86"/>
        <v>38</v>
      </c>
      <c r="BC240" s="112">
        <f t="shared" si="87"/>
        <v>684</v>
      </c>
      <c r="BD240" s="112"/>
      <c r="BE240" s="112" t="s">
        <v>327</v>
      </c>
      <c r="BF240" s="113" t="s">
        <v>748</v>
      </c>
      <c r="BG240" s="120" t="s">
        <v>619</v>
      </c>
    </row>
    <row r="241" spans="1:59" s="120" customFormat="1" ht="15" customHeight="1">
      <c r="A241" s="112">
        <f t="shared" si="97"/>
        <v>239</v>
      </c>
      <c r="B241" s="113" t="s">
        <v>750</v>
      </c>
      <c r="C241" s="114" t="s">
        <v>746</v>
      </c>
      <c r="D241" s="122"/>
      <c r="E241" s="114" t="s">
        <v>751</v>
      </c>
      <c r="F241" s="112"/>
      <c r="G241" s="115" t="s">
        <v>81</v>
      </c>
      <c r="H241" s="10" t="s">
        <v>616</v>
      </c>
      <c r="I241" s="114" t="s">
        <v>83</v>
      </c>
      <c r="J241" s="114" t="s">
        <v>84</v>
      </c>
      <c r="K241" s="114" t="s">
        <v>83</v>
      </c>
      <c r="L241" s="113" t="s">
        <v>614</v>
      </c>
      <c r="M241" s="113" t="s">
        <v>614</v>
      </c>
      <c r="N241" s="116">
        <v>46142</v>
      </c>
      <c r="O241" s="114">
        <v>90</v>
      </c>
      <c r="P241" s="116">
        <v>46149</v>
      </c>
      <c r="Q241" s="116">
        <v>46149</v>
      </c>
      <c r="R241" s="116">
        <v>46149</v>
      </c>
      <c r="S241" s="112"/>
      <c r="T241" s="112"/>
      <c r="U241" s="112" t="s">
        <v>85</v>
      </c>
      <c r="V241" s="114" t="s">
        <v>99</v>
      </c>
      <c r="W241" s="114">
        <v>90</v>
      </c>
      <c r="X241" s="114">
        <v>90</v>
      </c>
      <c r="Y241" s="112"/>
      <c r="Z241" s="112" t="s">
        <v>87</v>
      </c>
      <c r="AA241" s="112"/>
      <c r="AB241" s="117"/>
      <c r="AC241" s="118">
        <v>25.5</v>
      </c>
      <c r="AD241" s="112"/>
      <c r="AE241" s="114">
        <v>90</v>
      </c>
      <c r="AF241" s="112" t="s">
        <v>88</v>
      </c>
      <c r="AG241" s="114" t="s">
        <v>99</v>
      </c>
      <c r="AH241" s="118">
        <v>12.5</v>
      </c>
      <c r="AI241" s="112">
        <f t="shared" si="79"/>
        <v>1125</v>
      </c>
      <c r="AJ241" s="112"/>
      <c r="AK241" s="115" t="s">
        <v>89</v>
      </c>
      <c r="AL241" s="114">
        <v>90</v>
      </c>
      <c r="AM241" s="112">
        <v>18</v>
      </c>
      <c r="AN241" s="112">
        <f t="shared" si="80"/>
        <v>1620</v>
      </c>
      <c r="AO241" s="112"/>
      <c r="AP241" s="112"/>
      <c r="AQ241" s="112">
        <f t="shared" si="81"/>
        <v>0</v>
      </c>
      <c r="AR241" s="112">
        <f t="shared" si="82"/>
        <v>1620</v>
      </c>
      <c r="AS241" s="112"/>
      <c r="AT241" s="110" t="s">
        <v>617</v>
      </c>
      <c r="AU241" s="111">
        <v>46141</v>
      </c>
      <c r="AV241" s="112">
        <f t="shared" si="83"/>
        <v>18</v>
      </c>
      <c r="AW241" s="112">
        <f t="shared" si="84"/>
        <v>1620</v>
      </c>
      <c r="AX241" s="112"/>
      <c r="AY241" s="13" t="s">
        <v>618</v>
      </c>
      <c r="AZ241" s="124">
        <v>46156</v>
      </c>
      <c r="BA241" s="112">
        <f t="shared" si="85"/>
        <v>18</v>
      </c>
      <c r="BB241" s="112">
        <f t="shared" si="86"/>
        <v>90</v>
      </c>
      <c r="BC241" s="112">
        <f t="shared" si="87"/>
        <v>1620</v>
      </c>
      <c r="BD241" s="112"/>
      <c r="BE241" s="112" t="s">
        <v>332</v>
      </c>
      <c r="BF241" s="113" t="s">
        <v>750</v>
      </c>
      <c r="BG241" s="120" t="s">
        <v>619</v>
      </c>
    </row>
    <row r="242" spans="1:59" s="120" customFormat="1" ht="15" customHeight="1">
      <c r="A242" s="112">
        <f t="shared" si="97"/>
        <v>240</v>
      </c>
      <c r="B242" s="113" t="s">
        <v>752</v>
      </c>
      <c r="C242" s="114" t="s">
        <v>753</v>
      </c>
      <c r="D242" s="122"/>
      <c r="E242" s="114" t="s">
        <v>754</v>
      </c>
      <c r="F242" s="112"/>
      <c r="G242" s="115" t="s">
        <v>81</v>
      </c>
      <c r="H242" s="10" t="s">
        <v>616</v>
      </c>
      <c r="I242" s="114" t="s">
        <v>83</v>
      </c>
      <c r="J242" s="114" t="s">
        <v>84</v>
      </c>
      <c r="K242" s="114" t="s">
        <v>83</v>
      </c>
      <c r="L242" s="113" t="s">
        <v>614</v>
      </c>
      <c r="M242" s="113" t="s">
        <v>614</v>
      </c>
      <c r="N242" s="116">
        <v>46142</v>
      </c>
      <c r="O242" s="114">
        <v>10</v>
      </c>
      <c r="P242" s="116">
        <v>46149</v>
      </c>
      <c r="Q242" s="116">
        <v>46149</v>
      </c>
      <c r="R242" s="116">
        <v>46149</v>
      </c>
      <c r="S242" s="112"/>
      <c r="T242" s="112"/>
      <c r="U242" s="112" t="s">
        <v>85</v>
      </c>
      <c r="V242" s="114" t="s">
        <v>99</v>
      </c>
      <c r="W242" s="114">
        <v>10</v>
      </c>
      <c r="X242" s="114">
        <v>10</v>
      </c>
      <c r="Y242" s="112"/>
      <c r="Z242" s="112" t="s">
        <v>87</v>
      </c>
      <c r="AA242" s="112"/>
      <c r="AB242" s="117"/>
      <c r="AC242" s="118">
        <v>25.5</v>
      </c>
      <c r="AD242" s="112"/>
      <c r="AE242" s="114">
        <v>10</v>
      </c>
      <c r="AF242" s="112" t="s">
        <v>88</v>
      </c>
      <c r="AG242" s="114" t="s">
        <v>99</v>
      </c>
      <c r="AH242" s="118">
        <v>12.5</v>
      </c>
      <c r="AI242" s="112">
        <f t="shared" si="79"/>
        <v>125</v>
      </c>
      <c r="AJ242" s="112"/>
      <c r="AK242" s="115" t="s">
        <v>89</v>
      </c>
      <c r="AL242" s="114">
        <v>10</v>
      </c>
      <c r="AM242" s="112">
        <v>18</v>
      </c>
      <c r="AN242" s="112">
        <f t="shared" si="80"/>
        <v>180</v>
      </c>
      <c r="AO242" s="112"/>
      <c r="AP242" s="112"/>
      <c r="AQ242" s="112">
        <f t="shared" si="81"/>
        <v>0</v>
      </c>
      <c r="AR242" s="112">
        <f t="shared" si="82"/>
        <v>180</v>
      </c>
      <c r="AS242" s="112"/>
      <c r="AT242" s="110" t="s">
        <v>617</v>
      </c>
      <c r="AU242" s="111">
        <v>46141</v>
      </c>
      <c r="AV242" s="112">
        <f t="shared" si="83"/>
        <v>18</v>
      </c>
      <c r="AW242" s="112">
        <f t="shared" si="84"/>
        <v>180</v>
      </c>
      <c r="AX242" s="112"/>
      <c r="AY242" s="13" t="s">
        <v>618</v>
      </c>
      <c r="AZ242" s="124">
        <v>46156</v>
      </c>
      <c r="BA242" s="112">
        <f t="shared" si="85"/>
        <v>18</v>
      </c>
      <c r="BB242" s="112">
        <f t="shared" si="86"/>
        <v>10</v>
      </c>
      <c r="BC242" s="112">
        <f t="shared" si="87"/>
        <v>180</v>
      </c>
      <c r="BD242" s="112"/>
      <c r="BE242" s="112" t="s">
        <v>336</v>
      </c>
      <c r="BF242" s="113" t="s">
        <v>752</v>
      </c>
      <c r="BG242" s="120" t="s">
        <v>619</v>
      </c>
    </row>
    <row r="243" spans="1:59" s="120" customFormat="1" ht="15" customHeight="1">
      <c r="A243" s="112">
        <f t="shared" si="97"/>
        <v>241</v>
      </c>
      <c r="B243" s="113" t="s">
        <v>755</v>
      </c>
      <c r="C243" s="114" t="s">
        <v>753</v>
      </c>
      <c r="D243" s="122"/>
      <c r="E243" s="114" t="s">
        <v>756</v>
      </c>
      <c r="F243" s="112"/>
      <c r="G243" s="115" t="s">
        <v>81</v>
      </c>
      <c r="H243" s="10" t="s">
        <v>616</v>
      </c>
      <c r="I243" s="114" t="s">
        <v>83</v>
      </c>
      <c r="J243" s="114" t="s">
        <v>84</v>
      </c>
      <c r="K243" s="114" t="s">
        <v>83</v>
      </c>
      <c r="L243" s="113" t="s">
        <v>614</v>
      </c>
      <c r="M243" s="113" t="s">
        <v>614</v>
      </c>
      <c r="N243" s="116">
        <v>46142</v>
      </c>
      <c r="O243" s="114">
        <v>44</v>
      </c>
      <c r="P243" s="116">
        <v>46149</v>
      </c>
      <c r="Q243" s="116">
        <v>46149</v>
      </c>
      <c r="R243" s="116">
        <v>46149</v>
      </c>
      <c r="S243" s="112"/>
      <c r="T243" s="112"/>
      <c r="U243" s="112" t="s">
        <v>85</v>
      </c>
      <c r="V243" s="114" t="s">
        <v>99</v>
      </c>
      <c r="W243" s="114">
        <v>44</v>
      </c>
      <c r="X243" s="114">
        <v>44</v>
      </c>
      <c r="Y243" s="112"/>
      <c r="Z243" s="112" t="s">
        <v>87</v>
      </c>
      <c r="AA243" s="112"/>
      <c r="AB243" s="117"/>
      <c r="AC243" s="118">
        <v>25.5</v>
      </c>
      <c r="AD243" s="112"/>
      <c r="AE243" s="114">
        <v>44</v>
      </c>
      <c r="AF243" s="112" t="s">
        <v>88</v>
      </c>
      <c r="AG243" s="114" t="s">
        <v>99</v>
      </c>
      <c r="AH243" s="118">
        <v>12.5</v>
      </c>
      <c r="AI243" s="112">
        <f t="shared" si="79"/>
        <v>550</v>
      </c>
      <c r="AJ243" s="112"/>
      <c r="AK243" s="115" t="s">
        <v>89</v>
      </c>
      <c r="AL243" s="114">
        <v>44</v>
      </c>
      <c r="AM243" s="112">
        <v>18</v>
      </c>
      <c r="AN243" s="112">
        <f t="shared" si="80"/>
        <v>792</v>
      </c>
      <c r="AO243" s="112"/>
      <c r="AP243" s="112"/>
      <c r="AQ243" s="112">
        <f t="shared" si="81"/>
        <v>0</v>
      </c>
      <c r="AR243" s="112">
        <f t="shared" si="82"/>
        <v>792</v>
      </c>
      <c r="AS243" s="112"/>
      <c r="AT243" s="110" t="s">
        <v>617</v>
      </c>
      <c r="AU243" s="111">
        <v>46141</v>
      </c>
      <c r="AV243" s="112">
        <f t="shared" si="83"/>
        <v>18</v>
      </c>
      <c r="AW243" s="112">
        <f t="shared" si="84"/>
        <v>792</v>
      </c>
      <c r="AX243" s="112"/>
      <c r="AY243" s="13" t="s">
        <v>618</v>
      </c>
      <c r="AZ243" s="124">
        <v>46156</v>
      </c>
      <c r="BA243" s="112">
        <f t="shared" si="85"/>
        <v>18</v>
      </c>
      <c r="BB243" s="112">
        <f t="shared" si="86"/>
        <v>44</v>
      </c>
      <c r="BC243" s="112">
        <f t="shared" si="87"/>
        <v>792</v>
      </c>
      <c r="BD243" s="112"/>
      <c r="BE243" s="112" t="s">
        <v>340</v>
      </c>
      <c r="BF243" s="113" t="s">
        <v>755</v>
      </c>
      <c r="BG243" s="120" t="s">
        <v>619</v>
      </c>
    </row>
    <row r="244" spans="1:59" s="120" customFormat="1" ht="15" customHeight="1">
      <c r="A244" s="112">
        <f t="shared" si="97"/>
        <v>242</v>
      </c>
      <c r="B244" s="113" t="s">
        <v>757</v>
      </c>
      <c r="C244" s="114" t="s">
        <v>753</v>
      </c>
      <c r="D244" s="122"/>
      <c r="E244" s="114" t="s">
        <v>758</v>
      </c>
      <c r="F244" s="112"/>
      <c r="G244" s="115" t="s">
        <v>81</v>
      </c>
      <c r="H244" s="10" t="s">
        <v>616</v>
      </c>
      <c r="I244" s="114" t="s">
        <v>83</v>
      </c>
      <c r="J244" s="114" t="s">
        <v>84</v>
      </c>
      <c r="K244" s="114" t="s">
        <v>83</v>
      </c>
      <c r="L244" s="113" t="s">
        <v>614</v>
      </c>
      <c r="M244" s="113" t="s">
        <v>614</v>
      </c>
      <c r="N244" s="116">
        <v>46142</v>
      </c>
      <c r="O244" s="114">
        <v>90</v>
      </c>
      <c r="P244" s="116">
        <v>46149</v>
      </c>
      <c r="Q244" s="116">
        <v>46149</v>
      </c>
      <c r="R244" s="116">
        <v>46149</v>
      </c>
      <c r="S244" s="112"/>
      <c r="T244" s="112"/>
      <c r="U244" s="112" t="s">
        <v>85</v>
      </c>
      <c r="V244" s="114" t="s">
        <v>99</v>
      </c>
      <c r="W244" s="114">
        <v>90</v>
      </c>
      <c r="X244" s="114">
        <v>90</v>
      </c>
      <c r="Y244" s="112"/>
      <c r="Z244" s="112" t="s">
        <v>87</v>
      </c>
      <c r="AA244" s="112"/>
      <c r="AB244" s="117"/>
      <c r="AC244" s="118">
        <v>25.5</v>
      </c>
      <c r="AD244" s="112"/>
      <c r="AE244" s="114">
        <v>90</v>
      </c>
      <c r="AF244" s="112" t="s">
        <v>88</v>
      </c>
      <c r="AG244" s="114" t="s">
        <v>99</v>
      </c>
      <c r="AH244" s="118">
        <v>12.5</v>
      </c>
      <c r="AI244" s="112">
        <f t="shared" si="79"/>
        <v>1125</v>
      </c>
      <c r="AJ244" s="112"/>
      <c r="AK244" s="115" t="s">
        <v>89</v>
      </c>
      <c r="AL244" s="114">
        <v>90</v>
      </c>
      <c r="AM244" s="112">
        <v>18</v>
      </c>
      <c r="AN244" s="112">
        <f t="shared" si="80"/>
        <v>1620</v>
      </c>
      <c r="AO244" s="112"/>
      <c r="AP244" s="112"/>
      <c r="AQ244" s="112">
        <f t="shared" si="81"/>
        <v>0</v>
      </c>
      <c r="AR244" s="112">
        <f t="shared" si="82"/>
        <v>1620</v>
      </c>
      <c r="AS244" s="112"/>
      <c r="AT244" s="110" t="s">
        <v>617</v>
      </c>
      <c r="AU244" s="111">
        <v>46141</v>
      </c>
      <c r="AV244" s="112">
        <f t="shared" si="83"/>
        <v>18</v>
      </c>
      <c r="AW244" s="112">
        <f t="shared" si="84"/>
        <v>1620</v>
      </c>
      <c r="AX244" s="112"/>
      <c r="AY244" s="13" t="s">
        <v>618</v>
      </c>
      <c r="AZ244" s="124">
        <v>46156</v>
      </c>
      <c r="BA244" s="112">
        <f t="shared" si="85"/>
        <v>18</v>
      </c>
      <c r="BB244" s="112">
        <f t="shared" si="86"/>
        <v>90</v>
      </c>
      <c r="BC244" s="112">
        <f t="shared" si="87"/>
        <v>1620</v>
      </c>
      <c r="BD244" s="112"/>
      <c r="BE244" s="112" t="s">
        <v>343</v>
      </c>
      <c r="BF244" s="113" t="s">
        <v>757</v>
      </c>
      <c r="BG244" s="120" t="s">
        <v>619</v>
      </c>
    </row>
    <row r="245" spans="1:59" s="120" customFormat="1" ht="15" customHeight="1">
      <c r="A245" s="112">
        <f t="shared" si="97"/>
        <v>243</v>
      </c>
      <c r="B245" s="113" t="s">
        <v>759</v>
      </c>
      <c r="C245" s="114" t="s">
        <v>753</v>
      </c>
      <c r="D245" s="122"/>
      <c r="E245" s="114" t="s">
        <v>760</v>
      </c>
      <c r="F245" s="112"/>
      <c r="G245" s="115" t="s">
        <v>81</v>
      </c>
      <c r="H245" s="10" t="s">
        <v>616</v>
      </c>
      <c r="I245" s="114" t="s">
        <v>83</v>
      </c>
      <c r="J245" s="114" t="s">
        <v>84</v>
      </c>
      <c r="K245" s="114" t="s">
        <v>83</v>
      </c>
      <c r="L245" s="113" t="s">
        <v>614</v>
      </c>
      <c r="M245" s="113" t="s">
        <v>614</v>
      </c>
      <c r="N245" s="116">
        <v>46142</v>
      </c>
      <c r="O245" s="114">
        <v>57</v>
      </c>
      <c r="P245" s="116">
        <v>46149</v>
      </c>
      <c r="Q245" s="116">
        <v>46149</v>
      </c>
      <c r="R245" s="116">
        <v>46149</v>
      </c>
      <c r="S245" s="112"/>
      <c r="T245" s="112"/>
      <c r="U245" s="112" t="s">
        <v>85</v>
      </c>
      <c r="V245" s="114" t="s">
        <v>99</v>
      </c>
      <c r="W245" s="114">
        <v>57</v>
      </c>
      <c r="X245" s="114">
        <v>57</v>
      </c>
      <c r="Y245" s="112"/>
      <c r="Z245" s="112" t="s">
        <v>87</v>
      </c>
      <c r="AA245" s="112"/>
      <c r="AB245" s="117"/>
      <c r="AC245" s="118">
        <v>25.5</v>
      </c>
      <c r="AD245" s="112"/>
      <c r="AE245" s="114">
        <v>57</v>
      </c>
      <c r="AF245" s="112" t="s">
        <v>88</v>
      </c>
      <c r="AG245" s="114" t="s">
        <v>99</v>
      </c>
      <c r="AH245" s="118">
        <v>12.5</v>
      </c>
      <c r="AI245" s="112">
        <f t="shared" si="79"/>
        <v>712.5</v>
      </c>
      <c r="AJ245" s="112"/>
      <c r="AK245" s="115" t="s">
        <v>89</v>
      </c>
      <c r="AL245" s="114">
        <v>57</v>
      </c>
      <c r="AM245" s="112">
        <v>18</v>
      </c>
      <c r="AN245" s="112">
        <f t="shared" si="80"/>
        <v>1026</v>
      </c>
      <c r="AO245" s="112"/>
      <c r="AP245" s="112"/>
      <c r="AQ245" s="112">
        <f t="shared" si="81"/>
        <v>0</v>
      </c>
      <c r="AR245" s="112">
        <f t="shared" si="82"/>
        <v>1026</v>
      </c>
      <c r="AS245" s="112"/>
      <c r="AT245" s="110" t="s">
        <v>617</v>
      </c>
      <c r="AU245" s="111">
        <v>46141</v>
      </c>
      <c r="AV245" s="112">
        <f t="shared" si="83"/>
        <v>18</v>
      </c>
      <c r="AW245" s="112">
        <f t="shared" si="84"/>
        <v>1026</v>
      </c>
      <c r="AX245" s="112"/>
      <c r="AY245" s="13" t="s">
        <v>618</v>
      </c>
      <c r="AZ245" s="124">
        <v>46156</v>
      </c>
      <c r="BA245" s="112">
        <f t="shared" si="85"/>
        <v>18</v>
      </c>
      <c r="BB245" s="112">
        <f t="shared" si="86"/>
        <v>57</v>
      </c>
      <c r="BC245" s="112">
        <f t="shared" si="87"/>
        <v>1026</v>
      </c>
      <c r="BD245" s="112"/>
      <c r="BE245" s="112" t="s">
        <v>347</v>
      </c>
      <c r="BF245" s="113" t="s">
        <v>759</v>
      </c>
      <c r="BG245" s="120" t="s">
        <v>619</v>
      </c>
    </row>
    <row r="246" spans="1:59" s="120" customFormat="1" ht="15" customHeight="1">
      <c r="A246" s="112">
        <f t="shared" si="97"/>
        <v>244</v>
      </c>
      <c r="B246" s="113" t="s">
        <v>761</v>
      </c>
      <c r="C246" s="114" t="s">
        <v>762</v>
      </c>
      <c r="D246" s="122"/>
      <c r="E246" s="114" t="s">
        <v>763</v>
      </c>
      <c r="F246" s="112"/>
      <c r="G246" s="115" t="s">
        <v>81</v>
      </c>
      <c r="H246" s="10" t="s">
        <v>616</v>
      </c>
      <c r="I246" s="114" t="s">
        <v>83</v>
      </c>
      <c r="J246" s="114" t="s">
        <v>84</v>
      </c>
      <c r="K246" s="114" t="s">
        <v>83</v>
      </c>
      <c r="L246" s="113" t="s">
        <v>614</v>
      </c>
      <c r="M246" s="113" t="s">
        <v>614</v>
      </c>
      <c r="N246" s="116">
        <v>46142</v>
      </c>
      <c r="O246" s="114">
        <v>156</v>
      </c>
      <c r="P246" s="116">
        <v>46149</v>
      </c>
      <c r="Q246" s="116">
        <v>46149</v>
      </c>
      <c r="R246" s="116">
        <v>46149</v>
      </c>
      <c r="S246" s="112"/>
      <c r="T246" s="112"/>
      <c r="U246" s="112" t="s">
        <v>85</v>
      </c>
      <c r="V246" s="114" t="s">
        <v>99</v>
      </c>
      <c r="W246" s="114">
        <v>156</v>
      </c>
      <c r="X246" s="114">
        <v>151</v>
      </c>
      <c r="Y246" s="112"/>
      <c r="Z246" s="112" t="s">
        <v>87</v>
      </c>
      <c r="AA246" s="112"/>
      <c r="AB246" s="117"/>
      <c r="AC246" s="118">
        <v>25.5</v>
      </c>
      <c r="AD246" s="112"/>
      <c r="AE246" s="114">
        <v>156</v>
      </c>
      <c r="AF246" s="112" t="s">
        <v>88</v>
      </c>
      <c r="AG246" s="114" t="s">
        <v>99</v>
      </c>
      <c r="AH246" s="118">
        <v>12.5</v>
      </c>
      <c r="AI246" s="112">
        <f t="shared" si="79"/>
        <v>1950</v>
      </c>
      <c r="AJ246" s="112"/>
      <c r="AK246" s="115" t="s">
        <v>89</v>
      </c>
      <c r="AL246" s="114">
        <v>151</v>
      </c>
      <c r="AM246" s="112">
        <v>18</v>
      </c>
      <c r="AN246" s="112">
        <f t="shared" si="80"/>
        <v>2718</v>
      </c>
      <c r="AO246" s="112"/>
      <c r="AP246" s="112"/>
      <c r="AQ246" s="112">
        <f t="shared" si="81"/>
        <v>0</v>
      </c>
      <c r="AR246" s="112">
        <f t="shared" si="82"/>
        <v>2718</v>
      </c>
      <c r="AS246" s="112"/>
      <c r="AT246" s="110" t="s">
        <v>617</v>
      </c>
      <c r="AU246" s="111">
        <v>46141</v>
      </c>
      <c r="AV246" s="112">
        <f t="shared" si="83"/>
        <v>18</v>
      </c>
      <c r="AW246" s="112">
        <f t="shared" si="84"/>
        <v>2718</v>
      </c>
      <c r="AX246" s="112"/>
      <c r="AY246" s="13" t="s">
        <v>618</v>
      </c>
      <c r="AZ246" s="124">
        <v>46156</v>
      </c>
      <c r="BA246" s="112">
        <f t="shared" si="85"/>
        <v>18</v>
      </c>
      <c r="BB246" s="112">
        <f t="shared" si="86"/>
        <v>151</v>
      </c>
      <c r="BC246" s="112">
        <f t="shared" si="87"/>
        <v>2718</v>
      </c>
      <c r="BD246" s="112"/>
      <c r="BE246" s="112" t="s">
        <v>350</v>
      </c>
      <c r="BF246" s="113" t="s">
        <v>761</v>
      </c>
      <c r="BG246" s="120" t="s">
        <v>619</v>
      </c>
    </row>
    <row r="247" spans="1:59" s="120" customFormat="1" ht="15" customHeight="1">
      <c r="A247" s="112">
        <f t="shared" si="97"/>
        <v>245</v>
      </c>
      <c r="B247" s="113" t="s">
        <v>764</v>
      </c>
      <c r="C247" s="114" t="s">
        <v>762</v>
      </c>
      <c r="D247" s="122"/>
      <c r="E247" s="114" t="s">
        <v>765</v>
      </c>
      <c r="F247" s="112"/>
      <c r="G247" s="115" t="s">
        <v>81</v>
      </c>
      <c r="H247" s="10" t="s">
        <v>616</v>
      </c>
      <c r="I247" s="114" t="s">
        <v>83</v>
      </c>
      <c r="J247" s="114" t="s">
        <v>84</v>
      </c>
      <c r="K247" s="114" t="s">
        <v>83</v>
      </c>
      <c r="L247" s="113" t="s">
        <v>614</v>
      </c>
      <c r="M247" s="113" t="s">
        <v>614</v>
      </c>
      <c r="N247" s="116">
        <v>46142</v>
      </c>
      <c r="O247" s="114">
        <v>163</v>
      </c>
      <c r="P247" s="116">
        <v>46149</v>
      </c>
      <c r="Q247" s="116">
        <v>46149</v>
      </c>
      <c r="R247" s="116">
        <v>46149</v>
      </c>
      <c r="S247" s="112"/>
      <c r="T247" s="112"/>
      <c r="U247" s="112" t="s">
        <v>85</v>
      </c>
      <c r="V247" s="114" t="s">
        <v>99</v>
      </c>
      <c r="W247" s="114">
        <v>163</v>
      </c>
      <c r="X247" s="114">
        <v>163</v>
      </c>
      <c r="Y247" s="112"/>
      <c r="Z247" s="112" t="s">
        <v>87</v>
      </c>
      <c r="AA247" s="112"/>
      <c r="AB247" s="117"/>
      <c r="AC247" s="118">
        <v>25.5</v>
      </c>
      <c r="AD247" s="112"/>
      <c r="AE247" s="114">
        <v>163</v>
      </c>
      <c r="AF247" s="112" t="s">
        <v>88</v>
      </c>
      <c r="AG247" s="114" t="s">
        <v>99</v>
      </c>
      <c r="AH247" s="118">
        <v>12.5</v>
      </c>
      <c r="AI247" s="112">
        <f t="shared" si="79"/>
        <v>2037.5</v>
      </c>
      <c r="AJ247" s="112"/>
      <c r="AK247" s="115" t="s">
        <v>89</v>
      </c>
      <c r="AL247" s="114">
        <v>163</v>
      </c>
      <c r="AM247" s="112">
        <v>18</v>
      </c>
      <c r="AN247" s="112">
        <f t="shared" si="80"/>
        <v>2934</v>
      </c>
      <c r="AO247" s="112"/>
      <c r="AP247" s="112"/>
      <c r="AQ247" s="112">
        <f t="shared" si="81"/>
        <v>0</v>
      </c>
      <c r="AR247" s="112">
        <f t="shared" si="82"/>
        <v>2934</v>
      </c>
      <c r="AS247" s="112"/>
      <c r="AT247" s="110" t="s">
        <v>617</v>
      </c>
      <c r="AU247" s="111">
        <v>46141</v>
      </c>
      <c r="AV247" s="112">
        <f t="shared" si="83"/>
        <v>18</v>
      </c>
      <c r="AW247" s="112">
        <f t="shared" si="84"/>
        <v>2934</v>
      </c>
      <c r="AX247" s="112"/>
      <c r="AY247" s="13" t="s">
        <v>618</v>
      </c>
      <c r="AZ247" s="124">
        <v>46156</v>
      </c>
      <c r="BA247" s="112">
        <f t="shared" si="85"/>
        <v>18</v>
      </c>
      <c r="BB247" s="112">
        <f t="shared" si="86"/>
        <v>163</v>
      </c>
      <c r="BC247" s="112">
        <f t="shared" si="87"/>
        <v>2934</v>
      </c>
      <c r="BD247" s="112"/>
      <c r="BE247" s="112" t="s">
        <v>353</v>
      </c>
      <c r="BF247" s="113" t="s">
        <v>764</v>
      </c>
      <c r="BG247" s="120" t="s">
        <v>619</v>
      </c>
    </row>
    <row r="248" spans="1:59" s="120" customFormat="1" ht="15" customHeight="1">
      <c r="A248" s="112">
        <f t="shared" si="97"/>
        <v>246</v>
      </c>
      <c r="B248" s="113" t="s">
        <v>766</v>
      </c>
      <c r="C248" s="114" t="s">
        <v>767</v>
      </c>
      <c r="D248" s="122"/>
      <c r="E248" s="114" t="s">
        <v>768</v>
      </c>
      <c r="F248" s="112"/>
      <c r="G248" s="115" t="s">
        <v>81</v>
      </c>
      <c r="H248" s="10" t="s">
        <v>616</v>
      </c>
      <c r="I248" s="114" t="s">
        <v>83</v>
      </c>
      <c r="J248" s="114" t="s">
        <v>84</v>
      </c>
      <c r="K248" s="114" t="s">
        <v>83</v>
      </c>
      <c r="L248" s="113" t="s">
        <v>614</v>
      </c>
      <c r="M248" s="113" t="s">
        <v>614</v>
      </c>
      <c r="N248" s="116">
        <v>46142</v>
      </c>
      <c r="O248" s="114">
        <v>10</v>
      </c>
      <c r="P248" s="116">
        <v>46149</v>
      </c>
      <c r="Q248" s="116">
        <v>46149</v>
      </c>
      <c r="R248" s="116">
        <v>46149</v>
      </c>
      <c r="S248" s="112"/>
      <c r="T248" s="112"/>
      <c r="U248" s="112" t="s">
        <v>85</v>
      </c>
      <c r="V248" s="114" t="s">
        <v>99</v>
      </c>
      <c r="W248" s="114">
        <v>10</v>
      </c>
      <c r="X248" s="114">
        <v>10</v>
      </c>
      <c r="Y248" s="112"/>
      <c r="Z248" s="112" t="s">
        <v>87</v>
      </c>
      <c r="AA248" s="112"/>
      <c r="AB248" s="117"/>
      <c r="AC248" s="118">
        <v>25.5</v>
      </c>
      <c r="AD248" s="112"/>
      <c r="AE248" s="114">
        <v>10</v>
      </c>
      <c r="AF248" s="112" t="s">
        <v>88</v>
      </c>
      <c r="AG248" s="114" t="s">
        <v>99</v>
      </c>
      <c r="AH248" s="118">
        <v>12.5</v>
      </c>
      <c r="AI248" s="112">
        <f t="shared" si="79"/>
        <v>125</v>
      </c>
      <c r="AJ248" s="112"/>
      <c r="AK248" s="115" t="s">
        <v>89</v>
      </c>
      <c r="AL248" s="114">
        <v>10</v>
      </c>
      <c r="AM248" s="112">
        <v>18</v>
      </c>
      <c r="AN248" s="112">
        <f t="shared" si="80"/>
        <v>180</v>
      </c>
      <c r="AO248" s="112"/>
      <c r="AP248" s="112"/>
      <c r="AQ248" s="112">
        <f t="shared" si="81"/>
        <v>0</v>
      </c>
      <c r="AR248" s="112">
        <f t="shared" si="82"/>
        <v>180</v>
      </c>
      <c r="AS248" s="112"/>
      <c r="AT248" s="110" t="s">
        <v>617</v>
      </c>
      <c r="AU248" s="111">
        <v>46141</v>
      </c>
      <c r="AV248" s="112">
        <f t="shared" si="83"/>
        <v>18</v>
      </c>
      <c r="AW248" s="112">
        <f t="shared" si="84"/>
        <v>180</v>
      </c>
      <c r="AX248" s="112"/>
      <c r="AY248" s="13" t="s">
        <v>618</v>
      </c>
      <c r="AZ248" s="124">
        <v>46156</v>
      </c>
      <c r="BA248" s="112">
        <f t="shared" si="85"/>
        <v>18</v>
      </c>
      <c r="BB248" s="112">
        <f t="shared" si="86"/>
        <v>10</v>
      </c>
      <c r="BC248" s="112">
        <f t="shared" si="87"/>
        <v>180</v>
      </c>
      <c r="BD248" s="112"/>
      <c r="BE248" s="112" t="s">
        <v>356</v>
      </c>
      <c r="BF248" s="113" t="s">
        <v>766</v>
      </c>
      <c r="BG248" s="120" t="s">
        <v>619</v>
      </c>
    </row>
    <row r="249" spans="1:59" s="120" customFormat="1" ht="15" customHeight="1">
      <c r="A249" s="112">
        <f t="shared" si="97"/>
        <v>247</v>
      </c>
      <c r="B249" s="113" t="s">
        <v>769</v>
      </c>
      <c r="C249" s="114" t="s">
        <v>767</v>
      </c>
      <c r="D249" s="122"/>
      <c r="E249" s="114" t="s">
        <v>770</v>
      </c>
      <c r="F249" s="112"/>
      <c r="G249" s="115" t="s">
        <v>81</v>
      </c>
      <c r="H249" s="10" t="s">
        <v>616</v>
      </c>
      <c r="I249" s="114" t="s">
        <v>83</v>
      </c>
      <c r="J249" s="114" t="s">
        <v>84</v>
      </c>
      <c r="K249" s="114" t="s">
        <v>83</v>
      </c>
      <c r="L249" s="113" t="s">
        <v>614</v>
      </c>
      <c r="M249" s="113" t="s">
        <v>614</v>
      </c>
      <c r="N249" s="116">
        <v>46142</v>
      </c>
      <c r="O249" s="114">
        <v>112</v>
      </c>
      <c r="P249" s="116">
        <v>46149</v>
      </c>
      <c r="Q249" s="116">
        <v>46149</v>
      </c>
      <c r="R249" s="116">
        <v>46149</v>
      </c>
      <c r="S249" s="112"/>
      <c r="T249" s="112"/>
      <c r="U249" s="112" t="s">
        <v>85</v>
      </c>
      <c r="V249" s="114" t="s">
        <v>99</v>
      </c>
      <c r="W249" s="114">
        <v>112</v>
      </c>
      <c r="X249" s="114">
        <v>112</v>
      </c>
      <c r="Y249" s="112"/>
      <c r="Z249" s="112" t="s">
        <v>87</v>
      </c>
      <c r="AA249" s="112"/>
      <c r="AB249" s="117"/>
      <c r="AC249" s="118">
        <v>25.5</v>
      </c>
      <c r="AD249" s="112"/>
      <c r="AE249" s="114">
        <v>112</v>
      </c>
      <c r="AF249" s="112" t="s">
        <v>88</v>
      </c>
      <c r="AG249" s="114" t="s">
        <v>99</v>
      </c>
      <c r="AH249" s="118">
        <v>12.5</v>
      </c>
      <c r="AI249" s="112">
        <f t="shared" ref="AI249:AI262" si="98">IF(AE249&lt;&gt;"",AH249*AE249,0)</f>
        <v>1400</v>
      </c>
      <c r="AJ249" s="112"/>
      <c r="AK249" s="115" t="s">
        <v>89</v>
      </c>
      <c r="AL249" s="114">
        <v>112</v>
      </c>
      <c r="AM249" s="112">
        <v>18</v>
      </c>
      <c r="AN249" s="112">
        <f t="shared" ref="AN249:AN261" si="99">IF(AL249&lt;&gt;"",AM249*AL249,0)</f>
        <v>2016</v>
      </c>
      <c r="AO249" s="112"/>
      <c r="AP249" s="112"/>
      <c r="AQ249" s="112">
        <f t="shared" ref="AQ249:AQ261" si="100">IF(AO249&lt;&gt;"",AP249*AO249,0)</f>
        <v>0</v>
      </c>
      <c r="AR249" s="112">
        <f t="shared" ref="AR249:AR261" si="101">AQ249+AN249</f>
        <v>2016</v>
      </c>
      <c r="AS249" s="112"/>
      <c r="AT249" s="110" t="s">
        <v>617</v>
      </c>
      <c r="AU249" s="111">
        <v>46141</v>
      </c>
      <c r="AV249" s="112">
        <f t="shared" ref="AV249:AV261" si="102">AM249</f>
        <v>18</v>
      </c>
      <c r="AW249" s="112">
        <f t="shared" ref="AW249:AW261" si="103">AV249*AL249</f>
        <v>2016</v>
      </c>
      <c r="AX249" s="112"/>
      <c r="AY249" s="13" t="s">
        <v>618</v>
      </c>
      <c r="AZ249" s="124">
        <v>46156</v>
      </c>
      <c r="BA249" s="112">
        <f t="shared" ref="BA249:BA261" si="104">AM249</f>
        <v>18</v>
      </c>
      <c r="BB249" s="112">
        <f t="shared" ref="BB249:BB261" si="105">AL249</f>
        <v>112</v>
      </c>
      <c r="BC249" s="112">
        <f t="shared" ref="BC249:BC261" si="106">IF(BB249&lt;&gt;"",BB249*BA249,0)</f>
        <v>2016</v>
      </c>
      <c r="BD249" s="112"/>
      <c r="BE249" s="112" t="s">
        <v>360</v>
      </c>
      <c r="BF249" s="113" t="s">
        <v>769</v>
      </c>
      <c r="BG249" s="120" t="s">
        <v>619</v>
      </c>
    </row>
    <row r="250" spans="1:59" s="120" customFormat="1" ht="15" customHeight="1">
      <c r="A250" s="112">
        <f t="shared" si="97"/>
        <v>248</v>
      </c>
      <c r="B250" s="113" t="s">
        <v>771</v>
      </c>
      <c r="C250" s="114" t="s">
        <v>772</v>
      </c>
      <c r="D250" s="122"/>
      <c r="E250" s="114" t="s">
        <v>773</v>
      </c>
      <c r="F250" s="112"/>
      <c r="G250" s="115" t="s">
        <v>81</v>
      </c>
      <c r="H250" s="10" t="s">
        <v>616</v>
      </c>
      <c r="I250" s="114" t="s">
        <v>83</v>
      </c>
      <c r="J250" s="114" t="s">
        <v>84</v>
      </c>
      <c r="K250" s="114" t="s">
        <v>83</v>
      </c>
      <c r="L250" s="113" t="s">
        <v>614</v>
      </c>
      <c r="M250" s="113" t="s">
        <v>614</v>
      </c>
      <c r="N250" s="116">
        <v>46142</v>
      </c>
      <c r="O250" s="114">
        <v>184</v>
      </c>
      <c r="P250" s="116">
        <v>46149</v>
      </c>
      <c r="Q250" s="116">
        <v>46149</v>
      </c>
      <c r="R250" s="116">
        <v>46149</v>
      </c>
      <c r="S250" s="112"/>
      <c r="T250" s="112"/>
      <c r="U250" s="112" t="s">
        <v>85</v>
      </c>
      <c r="V250" s="114" t="s">
        <v>99</v>
      </c>
      <c r="W250" s="114">
        <v>184</v>
      </c>
      <c r="X250" s="114">
        <v>184</v>
      </c>
      <c r="Y250" s="112"/>
      <c r="Z250" s="112" t="s">
        <v>87</v>
      </c>
      <c r="AA250" s="112"/>
      <c r="AB250" s="117"/>
      <c r="AC250" s="118">
        <v>25.5</v>
      </c>
      <c r="AD250" s="112"/>
      <c r="AE250" s="114">
        <v>184</v>
      </c>
      <c r="AF250" s="112" t="s">
        <v>88</v>
      </c>
      <c r="AG250" s="114" t="s">
        <v>99</v>
      </c>
      <c r="AH250" s="118">
        <v>12.5</v>
      </c>
      <c r="AI250" s="112">
        <f t="shared" si="98"/>
        <v>2300</v>
      </c>
      <c r="AJ250" s="112"/>
      <c r="AK250" s="115" t="s">
        <v>89</v>
      </c>
      <c r="AL250" s="114">
        <v>184</v>
      </c>
      <c r="AM250" s="112">
        <v>18</v>
      </c>
      <c r="AN250" s="112">
        <f t="shared" si="99"/>
        <v>3312</v>
      </c>
      <c r="AO250" s="112"/>
      <c r="AP250" s="112"/>
      <c r="AQ250" s="112">
        <f t="shared" si="100"/>
        <v>0</v>
      </c>
      <c r="AR250" s="112">
        <f t="shared" si="101"/>
        <v>3312</v>
      </c>
      <c r="AS250" s="112"/>
      <c r="AT250" s="110" t="s">
        <v>617</v>
      </c>
      <c r="AU250" s="111">
        <v>46141</v>
      </c>
      <c r="AV250" s="112">
        <f t="shared" si="102"/>
        <v>18</v>
      </c>
      <c r="AW250" s="112">
        <f t="shared" si="103"/>
        <v>3312</v>
      </c>
      <c r="AX250" s="112"/>
      <c r="AY250" s="13" t="s">
        <v>618</v>
      </c>
      <c r="AZ250" s="124">
        <v>46156</v>
      </c>
      <c r="BA250" s="112">
        <f t="shared" si="104"/>
        <v>18</v>
      </c>
      <c r="BB250" s="112">
        <f t="shared" si="105"/>
        <v>184</v>
      </c>
      <c r="BC250" s="112">
        <f t="shared" si="106"/>
        <v>3312</v>
      </c>
      <c r="BD250" s="112"/>
      <c r="BE250" s="112" t="s">
        <v>363</v>
      </c>
      <c r="BF250" s="113" t="s">
        <v>771</v>
      </c>
      <c r="BG250" s="120" t="s">
        <v>619</v>
      </c>
    </row>
    <row r="251" spans="1:59" s="120" customFormat="1" ht="15" customHeight="1">
      <c r="A251" s="112">
        <f t="shared" si="97"/>
        <v>249</v>
      </c>
      <c r="B251" s="113" t="s">
        <v>774</v>
      </c>
      <c r="C251" s="114" t="s">
        <v>775</v>
      </c>
      <c r="D251" s="122"/>
      <c r="E251" s="114" t="s">
        <v>776</v>
      </c>
      <c r="F251" s="112"/>
      <c r="G251" s="115" t="s">
        <v>81</v>
      </c>
      <c r="H251" s="10" t="s">
        <v>616</v>
      </c>
      <c r="I251" s="114" t="s">
        <v>83</v>
      </c>
      <c r="J251" s="114" t="s">
        <v>84</v>
      </c>
      <c r="K251" s="114" t="s">
        <v>83</v>
      </c>
      <c r="L251" s="113" t="s">
        <v>614</v>
      </c>
      <c r="M251" s="113" t="s">
        <v>614</v>
      </c>
      <c r="N251" s="116">
        <v>46142</v>
      </c>
      <c r="O251" s="114">
        <v>279</v>
      </c>
      <c r="P251" s="116">
        <v>46149</v>
      </c>
      <c r="Q251" s="116">
        <v>46149</v>
      </c>
      <c r="R251" s="116">
        <v>46149</v>
      </c>
      <c r="S251" s="112"/>
      <c r="T251" s="112"/>
      <c r="U251" s="112" t="s">
        <v>85</v>
      </c>
      <c r="V251" s="114" t="s">
        <v>99</v>
      </c>
      <c r="W251" s="114">
        <v>279</v>
      </c>
      <c r="X251" s="114">
        <v>264</v>
      </c>
      <c r="Y251" s="112"/>
      <c r="Z251" s="112" t="s">
        <v>87</v>
      </c>
      <c r="AA251" s="112"/>
      <c r="AB251" s="117"/>
      <c r="AC251" s="118">
        <v>25.5</v>
      </c>
      <c r="AD251" s="112"/>
      <c r="AE251" s="114">
        <v>279</v>
      </c>
      <c r="AF251" s="112" t="s">
        <v>88</v>
      </c>
      <c r="AG251" s="114" t="s">
        <v>99</v>
      </c>
      <c r="AH251" s="118">
        <v>12.5</v>
      </c>
      <c r="AI251" s="112">
        <f t="shared" si="98"/>
        <v>3487.5</v>
      </c>
      <c r="AJ251" s="112"/>
      <c r="AK251" s="115" t="s">
        <v>89</v>
      </c>
      <c r="AL251" s="114">
        <v>264</v>
      </c>
      <c r="AM251" s="112">
        <v>18</v>
      </c>
      <c r="AN251" s="112">
        <f t="shared" si="99"/>
        <v>4752</v>
      </c>
      <c r="AO251" s="112"/>
      <c r="AP251" s="112"/>
      <c r="AQ251" s="112">
        <f t="shared" si="100"/>
        <v>0</v>
      </c>
      <c r="AR251" s="112">
        <f t="shared" si="101"/>
        <v>4752</v>
      </c>
      <c r="AS251" s="112"/>
      <c r="AT251" s="110" t="s">
        <v>617</v>
      </c>
      <c r="AU251" s="111">
        <v>46141</v>
      </c>
      <c r="AV251" s="112">
        <f t="shared" si="102"/>
        <v>18</v>
      </c>
      <c r="AW251" s="112">
        <f t="shared" si="103"/>
        <v>4752</v>
      </c>
      <c r="AX251" s="112"/>
      <c r="AY251" s="13" t="s">
        <v>618</v>
      </c>
      <c r="AZ251" s="124">
        <v>46156</v>
      </c>
      <c r="BA251" s="112">
        <f t="shared" si="104"/>
        <v>18</v>
      </c>
      <c r="BB251" s="112">
        <f t="shared" si="105"/>
        <v>264</v>
      </c>
      <c r="BC251" s="112">
        <f t="shared" si="106"/>
        <v>4752</v>
      </c>
      <c r="BD251" s="112"/>
      <c r="BE251" s="112" t="s">
        <v>369</v>
      </c>
      <c r="BF251" s="113" t="s">
        <v>774</v>
      </c>
      <c r="BG251" s="120" t="s">
        <v>619</v>
      </c>
    </row>
    <row r="252" spans="1:59" s="120" customFormat="1" ht="15" customHeight="1">
      <c r="A252" s="112">
        <f t="shared" si="97"/>
        <v>250</v>
      </c>
      <c r="B252" s="113" t="s">
        <v>777</v>
      </c>
      <c r="C252" s="114" t="s">
        <v>775</v>
      </c>
      <c r="D252" s="122"/>
      <c r="E252" s="114" t="s">
        <v>778</v>
      </c>
      <c r="F252" s="112"/>
      <c r="G252" s="115" t="s">
        <v>81</v>
      </c>
      <c r="H252" s="10" t="s">
        <v>616</v>
      </c>
      <c r="I252" s="114" t="s">
        <v>83</v>
      </c>
      <c r="J252" s="114" t="s">
        <v>84</v>
      </c>
      <c r="K252" s="114" t="s">
        <v>83</v>
      </c>
      <c r="L252" s="113" t="s">
        <v>614</v>
      </c>
      <c r="M252" s="113" t="s">
        <v>614</v>
      </c>
      <c r="N252" s="116">
        <v>46142</v>
      </c>
      <c r="O252" s="114">
        <v>155</v>
      </c>
      <c r="P252" s="116">
        <v>46149</v>
      </c>
      <c r="Q252" s="116">
        <v>46149</v>
      </c>
      <c r="R252" s="116">
        <v>46149</v>
      </c>
      <c r="S252" s="112"/>
      <c r="T252" s="112"/>
      <c r="U252" s="112" t="s">
        <v>85</v>
      </c>
      <c r="V252" s="114" t="s">
        <v>99</v>
      </c>
      <c r="W252" s="114">
        <v>155</v>
      </c>
      <c r="X252" s="114">
        <v>155</v>
      </c>
      <c r="Y252" s="112"/>
      <c r="Z252" s="112" t="s">
        <v>87</v>
      </c>
      <c r="AA252" s="112"/>
      <c r="AB252" s="117"/>
      <c r="AC252" s="118">
        <v>25.5</v>
      </c>
      <c r="AD252" s="112"/>
      <c r="AE252" s="114">
        <v>155</v>
      </c>
      <c r="AF252" s="112" t="s">
        <v>88</v>
      </c>
      <c r="AG252" s="114" t="s">
        <v>99</v>
      </c>
      <c r="AH252" s="118">
        <v>12.5</v>
      </c>
      <c r="AI252" s="112">
        <f t="shared" si="98"/>
        <v>1937.5</v>
      </c>
      <c r="AJ252" s="112"/>
      <c r="AK252" s="115" t="s">
        <v>89</v>
      </c>
      <c r="AL252" s="114">
        <v>155</v>
      </c>
      <c r="AM252" s="112">
        <v>18</v>
      </c>
      <c r="AN252" s="112">
        <f t="shared" si="99"/>
        <v>2790</v>
      </c>
      <c r="AO252" s="112"/>
      <c r="AP252" s="112"/>
      <c r="AQ252" s="112">
        <f t="shared" si="100"/>
        <v>0</v>
      </c>
      <c r="AR252" s="112">
        <f t="shared" si="101"/>
        <v>2790</v>
      </c>
      <c r="AS252" s="112"/>
      <c r="AT252" s="110" t="s">
        <v>617</v>
      </c>
      <c r="AU252" s="111">
        <v>46141</v>
      </c>
      <c r="AV252" s="112">
        <f t="shared" si="102"/>
        <v>18</v>
      </c>
      <c r="AW252" s="112">
        <f t="shared" si="103"/>
        <v>2790</v>
      </c>
      <c r="AX252" s="112"/>
      <c r="AY252" s="13" t="s">
        <v>618</v>
      </c>
      <c r="AZ252" s="124">
        <v>46156</v>
      </c>
      <c r="BA252" s="112">
        <f t="shared" si="104"/>
        <v>18</v>
      </c>
      <c r="BB252" s="112">
        <f t="shared" si="105"/>
        <v>155</v>
      </c>
      <c r="BC252" s="112">
        <f t="shared" si="106"/>
        <v>2790</v>
      </c>
      <c r="BD252" s="112"/>
      <c r="BE252" s="112" t="s">
        <v>366</v>
      </c>
      <c r="BF252" s="113" t="s">
        <v>777</v>
      </c>
      <c r="BG252" s="120" t="s">
        <v>619</v>
      </c>
    </row>
    <row r="253" spans="1:59" s="120" customFormat="1" ht="15" customHeight="1">
      <c r="A253" s="112">
        <f t="shared" si="97"/>
        <v>251</v>
      </c>
      <c r="B253" s="113" t="s">
        <v>779</v>
      </c>
      <c r="C253" s="114" t="s">
        <v>780</v>
      </c>
      <c r="D253" s="122"/>
      <c r="E253" s="114" t="s">
        <v>781</v>
      </c>
      <c r="F253" s="112"/>
      <c r="G253" s="115" t="s">
        <v>81</v>
      </c>
      <c r="H253" s="10" t="s">
        <v>616</v>
      </c>
      <c r="I253" s="114" t="s">
        <v>83</v>
      </c>
      <c r="J253" s="114" t="s">
        <v>84</v>
      </c>
      <c r="K253" s="114" t="s">
        <v>83</v>
      </c>
      <c r="L253" s="113" t="s">
        <v>614</v>
      </c>
      <c r="M253" s="113" t="s">
        <v>614</v>
      </c>
      <c r="N253" s="116">
        <v>46142</v>
      </c>
      <c r="O253" s="114">
        <v>43</v>
      </c>
      <c r="P253" s="116">
        <v>46149</v>
      </c>
      <c r="Q253" s="116">
        <v>46149</v>
      </c>
      <c r="R253" s="116">
        <v>46149</v>
      </c>
      <c r="S253" s="112"/>
      <c r="T253" s="112"/>
      <c r="U253" s="112" t="s">
        <v>85</v>
      </c>
      <c r="V253" s="114" t="s">
        <v>99</v>
      </c>
      <c r="W253" s="114">
        <v>43</v>
      </c>
      <c r="X253" s="114">
        <v>43</v>
      </c>
      <c r="Y253" s="112"/>
      <c r="Z253" s="112" t="s">
        <v>87</v>
      </c>
      <c r="AA253" s="112"/>
      <c r="AB253" s="117"/>
      <c r="AC253" s="118">
        <v>25.5</v>
      </c>
      <c r="AD253" s="112"/>
      <c r="AE253" s="114">
        <v>43</v>
      </c>
      <c r="AF253" s="112" t="s">
        <v>88</v>
      </c>
      <c r="AG253" s="114" t="s">
        <v>99</v>
      </c>
      <c r="AH253" s="118">
        <v>12.5</v>
      </c>
      <c r="AI253" s="112">
        <f t="shared" si="98"/>
        <v>537.5</v>
      </c>
      <c r="AJ253" s="112"/>
      <c r="AK253" s="115" t="s">
        <v>89</v>
      </c>
      <c r="AL253" s="114">
        <v>43</v>
      </c>
      <c r="AM253" s="112">
        <v>18</v>
      </c>
      <c r="AN253" s="112">
        <f t="shared" si="99"/>
        <v>774</v>
      </c>
      <c r="AO253" s="112"/>
      <c r="AP253" s="112"/>
      <c r="AQ253" s="112">
        <f t="shared" si="100"/>
        <v>0</v>
      </c>
      <c r="AR253" s="112">
        <f t="shared" si="101"/>
        <v>774</v>
      </c>
      <c r="AS253" s="112"/>
      <c r="AT253" s="110" t="s">
        <v>617</v>
      </c>
      <c r="AU253" s="111">
        <v>46141</v>
      </c>
      <c r="AV253" s="112">
        <f t="shared" si="102"/>
        <v>18</v>
      </c>
      <c r="AW253" s="112">
        <f t="shared" si="103"/>
        <v>774</v>
      </c>
      <c r="AX253" s="112"/>
      <c r="AY253" s="13" t="s">
        <v>618</v>
      </c>
      <c r="AZ253" s="124">
        <v>46156</v>
      </c>
      <c r="BA253" s="112">
        <f t="shared" si="104"/>
        <v>18</v>
      </c>
      <c r="BB253" s="112">
        <f t="shared" si="105"/>
        <v>43</v>
      </c>
      <c r="BC253" s="112">
        <f t="shared" si="106"/>
        <v>774</v>
      </c>
      <c r="BD253" s="112"/>
      <c r="BE253" s="112" t="s">
        <v>530</v>
      </c>
      <c r="BF253" s="113" t="s">
        <v>779</v>
      </c>
      <c r="BG253" s="120" t="s">
        <v>619</v>
      </c>
    </row>
    <row r="254" spans="1:59" s="120" customFormat="1" ht="15" customHeight="1">
      <c r="A254" s="112">
        <f t="shared" si="97"/>
        <v>252</v>
      </c>
      <c r="B254" s="113" t="s">
        <v>782</v>
      </c>
      <c r="C254" s="114" t="s">
        <v>783</v>
      </c>
      <c r="D254" s="122"/>
      <c r="E254" s="114" t="s">
        <v>784</v>
      </c>
      <c r="F254" s="112"/>
      <c r="G254" s="115" t="s">
        <v>81</v>
      </c>
      <c r="H254" s="10" t="s">
        <v>616</v>
      </c>
      <c r="I254" s="114" t="s">
        <v>83</v>
      </c>
      <c r="J254" s="114" t="s">
        <v>84</v>
      </c>
      <c r="K254" s="114" t="s">
        <v>83</v>
      </c>
      <c r="L254" s="113" t="s">
        <v>614</v>
      </c>
      <c r="M254" s="113" t="s">
        <v>614</v>
      </c>
      <c r="N254" s="116">
        <v>46142</v>
      </c>
      <c r="O254" s="114">
        <v>10</v>
      </c>
      <c r="P254" s="116">
        <v>46149</v>
      </c>
      <c r="Q254" s="116">
        <v>46149</v>
      </c>
      <c r="R254" s="116">
        <v>46149</v>
      </c>
      <c r="S254" s="112"/>
      <c r="T254" s="112"/>
      <c r="U254" s="112" t="s">
        <v>85</v>
      </c>
      <c r="V254" s="114" t="s">
        <v>99</v>
      </c>
      <c r="W254" s="114">
        <v>10</v>
      </c>
      <c r="X254" s="114">
        <v>10</v>
      </c>
      <c r="Y254" s="112"/>
      <c r="Z254" s="112" t="s">
        <v>87</v>
      </c>
      <c r="AA254" s="112"/>
      <c r="AB254" s="117"/>
      <c r="AC254" s="118">
        <v>25.5</v>
      </c>
      <c r="AD254" s="112"/>
      <c r="AE254" s="114">
        <v>10</v>
      </c>
      <c r="AF254" s="112" t="s">
        <v>88</v>
      </c>
      <c r="AG254" s="114" t="s">
        <v>99</v>
      </c>
      <c r="AH254" s="118">
        <v>12.5</v>
      </c>
      <c r="AI254" s="112">
        <f t="shared" si="98"/>
        <v>125</v>
      </c>
      <c r="AJ254" s="112"/>
      <c r="AK254" s="115" t="s">
        <v>89</v>
      </c>
      <c r="AL254" s="114">
        <v>10</v>
      </c>
      <c r="AM254" s="112">
        <v>18</v>
      </c>
      <c r="AN254" s="112">
        <f t="shared" si="99"/>
        <v>180</v>
      </c>
      <c r="AO254" s="112"/>
      <c r="AP254" s="112"/>
      <c r="AQ254" s="112">
        <f t="shared" si="100"/>
        <v>0</v>
      </c>
      <c r="AR254" s="112">
        <f t="shared" si="101"/>
        <v>180</v>
      </c>
      <c r="AS254" s="112"/>
      <c r="AT254" s="110" t="s">
        <v>617</v>
      </c>
      <c r="AU254" s="111">
        <v>46141</v>
      </c>
      <c r="AV254" s="112">
        <f t="shared" si="102"/>
        <v>18</v>
      </c>
      <c r="AW254" s="112">
        <f t="shared" si="103"/>
        <v>180</v>
      </c>
      <c r="AX254" s="112"/>
      <c r="AY254" s="13" t="s">
        <v>618</v>
      </c>
      <c r="AZ254" s="124">
        <v>46156</v>
      </c>
      <c r="BA254" s="112">
        <f t="shared" si="104"/>
        <v>18</v>
      </c>
      <c r="BB254" s="112">
        <f t="shared" si="105"/>
        <v>10</v>
      </c>
      <c r="BC254" s="112">
        <f t="shared" si="106"/>
        <v>180</v>
      </c>
      <c r="BD254" s="112"/>
      <c r="BE254" s="112" t="s">
        <v>535</v>
      </c>
      <c r="BF254" s="113" t="s">
        <v>782</v>
      </c>
      <c r="BG254" s="120" t="s">
        <v>619</v>
      </c>
    </row>
    <row r="255" spans="1:59" s="120" customFormat="1" ht="15" customHeight="1">
      <c r="A255" s="112">
        <f t="shared" si="97"/>
        <v>253</v>
      </c>
      <c r="B255" s="113" t="s">
        <v>785</v>
      </c>
      <c r="C255" s="114" t="s">
        <v>783</v>
      </c>
      <c r="D255" s="122"/>
      <c r="E255" s="114" t="s">
        <v>786</v>
      </c>
      <c r="F255" s="112"/>
      <c r="G255" s="115" t="s">
        <v>81</v>
      </c>
      <c r="H255" s="10" t="s">
        <v>616</v>
      </c>
      <c r="I255" s="114" t="s">
        <v>83</v>
      </c>
      <c r="J255" s="114" t="s">
        <v>84</v>
      </c>
      <c r="K255" s="114" t="s">
        <v>83</v>
      </c>
      <c r="L255" s="113" t="s">
        <v>614</v>
      </c>
      <c r="M255" s="113" t="s">
        <v>614</v>
      </c>
      <c r="N255" s="116">
        <v>46142</v>
      </c>
      <c r="O255" s="114">
        <v>134</v>
      </c>
      <c r="P255" s="116">
        <v>46149</v>
      </c>
      <c r="Q255" s="116">
        <v>46149</v>
      </c>
      <c r="R255" s="116">
        <v>46149</v>
      </c>
      <c r="S255" s="112"/>
      <c r="T255" s="112"/>
      <c r="U255" s="112" t="s">
        <v>85</v>
      </c>
      <c r="V255" s="114" t="s">
        <v>99</v>
      </c>
      <c r="W255" s="114">
        <v>134</v>
      </c>
      <c r="X255" s="114">
        <v>129</v>
      </c>
      <c r="Y255" s="112"/>
      <c r="Z255" s="112" t="s">
        <v>87</v>
      </c>
      <c r="AA255" s="112"/>
      <c r="AB255" s="117"/>
      <c r="AC255" s="118">
        <v>25.5</v>
      </c>
      <c r="AD255" s="112"/>
      <c r="AE255" s="114">
        <v>134</v>
      </c>
      <c r="AF255" s="112" t="s">
        <v>88</v>
      </c>
      <c r="AG255" s="114" t="s">
        <v>99</v>
      </c>
      <c r="AH255" s="118">
        <v>12.5</v>
      </c>
      <c r="AI255" s="112">
        <f t="shared" si="98"/>
        <v>1675</v>
      </c>
      <c r="AJ255" s="112"/>
      <c r="AK255" s="115" t="s">
        <v>89</v>
      </c>
      <c r="AL255" s="114">
        <v>129</v>
      </c>
      <c r="AM255" s="112">
        <v>18</v>
      </c>
      <c r="AN255" s="112">
        <f t="shared" si="99"/>
        <v>2322</v>
      </c>
      <c r="AO255" s="112"/>
      <c r="AP255" s="112"/>
      <c r="AQ255" s="112">
        <f t="shared" si="100"/>
        <v>0</v>
      </c>
      <c r="AR255" s="112">
        <f t="shared" si="101"/>
        <v>2322</v>
      </c>
      <c r="AS255" s="112"/>
      <c r="AT255" s="110" t="s">
        <v>617</v>
      </c>
      <c r="AU255" s="111">
        <v>46141</v>
      </c>
      <c r="AV255" s="112">
        <f t="shared" si="102"/>
        <v>18</v>
      </c>
      <c r="AW255" s="112">
        <f t="shared" si="103"/>
        <v>2322</v>
      </c>
      <c r="AX255" s="112"/>
      <c r="AY255" s="13" t="s">
        <v>618</v>
      </c>
      <c r="AZ255" s="124">
        <v>46156</v>
      </c>
      <c r="BA255" s="112">
        <f t="shared" si="104"/>
        <v>18</v>
      </c>
      <c r="BB255" s="112">
        <f t="shared" si="105"/>
        <v>129</v>
      </c>
      <c r="BC255" s="112">
        <f t="shared" si="106"/>
        <v>2322</v>
      </c>
      <c r="BD255" s="112"/>
      <c r="BE255" s="112" t="s">
        <v>538</v>
      </c>
      <c r="BF255" s="113" t="s">
        <v>785</v>
      </c>
      <c r="BG255" s="120" t="s">
        <v>619</v>
      </c>
    </row>
    <row r="256" spans="1:59" s="120" customFormat="1" ht="15" customHeight="1">
      <c r="A256" s="112">
        <f t="shared" si="97"/>
        <v>254</v>
      </c>
      <c r="B256" s="113" t="s">
        <v>787</v>
      </c>
      <c r="C256" s="114" t="s">
        <v>783</v>
      </c>
      <c r="D256" s="122"/>
      <c r="E256" s="114" t="s">
        <v>788</v>
      </c>
      <c r="F256" s="112"/>
      <c r="G256" s="115" t="s">
        <v>81</v>
      </c>
      <c r="H256" s="10" t="s">
        <v>616</v>
      </c>
      <c r="I256" s="114" t="s">
        <v>83</v>
      </c>
      <c r="J256" s="114" t="s">
        <v>84</v>
      </c>
      <c r="K256" s="114" t="s">
        <v>83</v>
      </c>
      <c r="L256" s="113" t="s">
        <v>614</v>
      </c>
      <c r="M256" s="113" t="s">
        <v>614</v>
      </c>
      <c r="N256" s="116">
        <v>46142</v>
      </c>
      <c r="O256" s="114">
        <v>169</v>
      </c>
      <c r="P256" s="116">
        <v>46149</v>
      </c>
      <c r="Q256" s="116">
        <v>46149</v>
      </c>
      <c r="R256" s="116">
        <v>46149</v>
      </c>
      <c r="S256" s="112"/>
      <c r="T256" s="112"/>
      <c r="U256" s="112" t="s">
        <v>85</v>
      </c>
      <c r="V256" s="114" t="s">
        <v>99</v>
      </c>
      <c r="W256" s="114">
        <v>169</v>
      </c>
      <c r="X256" s="114">
        <v>159</v>
      </c>
      <c r="Y256" s="112"/>
      <c r="Z256" s="112" t="s">
        <v>87</v>
      </c>
      <c r="AA256" s="112"/>
      <c r="AB256" s="117"/>
      <c r="AC256" s="118">
        <v>25.5</v>
      </c>
      <c r="AD256" s="112"/>
      <c r="AE256" s="114">
        <v>169</v>
      </c>
      <c r="AF256" s="112" t="s">
        <v>88</v>
      </c>
      <c r="AG256" s="114" t="s">
        <v>99</v>
      </c>
      <c r="AH256" s="118">
        <v>12.5</v>
      </c>
      <c r="AI256" s="112">
        <f t="shared" si="98"/>
        <v>2112.5</v>
      </c>
      <c r="AJ256" s="112"/>
      <c r="AK256" s="115" t="s">
        <v>89</v>
      </c>
      <c r="AL256" s="114">
        <v>159</v>
      </c>
      <c r="AM256" s="112">
        <v>18</v>
      </c>
      <c r="AN256" s="112">
        <f t="shared" si="99"/>
        <v>2862</v>
      </c>
      <c r="AO256" s="112"/>
      <c r="AP256" s="112"/>
      <c r="AQ256" s="112">
        <f t="shared" si="100"/>
        <v>0</v>
      </c>
      <c r="AR256" s="112">
        <f t="shared" si="101"/>
        <v>2862</v>
      </c>
      <c r="AS256" s="112"/>
      <c r="AT256" s="110" t="s">
        <v>617</v>
      </c>
      <c r="AU256" s="111">
        <v>46141</v>
      </c>
      <c r="AV256" s="112">
        <f t="shared" si="102"/>
        <v>18</v>
      </c>
      <c r="AW256" s="112">
        <f t="shared" si="103"/>
        <v>2862</v>
      </c>
      <c r="AX256" s="112"/>
      <c r="AY256" s="13" t="s">
        <v>618</v>
      </c>
      <c r="AZ256" s="124">
        <v>46156</v>
      </c>
      <c r="BA256" s="112">
        <f t="shared" si="104"/>
        <v>18</v>
      </c>
      <c r="BB256" s="112">
        <f t="shared" si="105"/>
        <v>159</v>
      </c>
      <c r="BC256" s="112">
        <f t="shared" si="106"/>
        <v>2862</v>
      </c>
      <c r="BD256" s="112"/>
      <c r="BE256" s="112" t="s">
        <v>541</v>
      </c>
      <c r="BF256" s="113" t="s">
        <v>787</v>
      </c>
      <c r="BG256" s="120" t="s">
        <v>619</v>
      </c>
    </row>
    <row r="257" spans="1:59" s="120" customFormat="1" ht="15" customHeight="1">
      <c r="A257" s="112">
        <f t="shared" si="97"/>
        <v>255</v>
      </c>
      <c r="B257" s="113" t="s">
        <v>789</v>
      </c>
      <c r="C257" s="114" t="s">
        <v>790</v>
      </c>
      <c r="D257" s="122"/>
      <c r="E257" s="114" t="s">
        <v>791</v>
      </c>
      <c r="F257" s="112"/>
      <c r="G257" s="115" t="s">
        <v>81</v>
      </c>
      <c r="H257" s="10" t="s">
        <v>616</v>
      </c>
      <c r="I257" s="114" t="s">
        <v>83</v>
      </c>
      <c r="J257" s="114" t="s">
        <v>84</v>
      </c>
      <c r="K257" s="114" t="s">
        <v>83</v>
      </c>
      <c r="L257" s="113" t="s">
        <v>614</v>
      </c>
      <c r="M257" s="113" t="s">
        <v>614</v>
      </c>
      <c r="N257" s="116">
        <v>46142</v>
      </c>
      <c r="O257" s="114">
        <v>68</v>
      </c>
      <c r="P257" s="116">
        <v>46149</v>
      </c>
      <c r="Q257" s="116">
        <v>46149</v>
      </c>
      <c r="R257" s="116">
        <v>46149</v>
      </c>
      <c r="S257" s="112"/>
      <c r="T257" s="112"/>
      <c r="U257" s="112" t="s">
        <v>85</v>
      </c>
      <c r="V257" s="114" t="s">
        <v>99</v>
      </c>
      <c r="W257" s="114">
        <v>68</v>
      </c>
      <c r="X257" s="114">
        <v>63</v>
      </c>
      <c r="Y257" s="112"/>
      <c r="Z257" s="112" t="s">
        <v>87</v>
      </c>
      <c r="AA257" s="112"/>
      <c r="AB257" s="117"/>
      <c r="AC257" s="118">
        <v>25.5</v>
      </c>
      <c r="AD257" s="112"/>
      <c r="AE257" s="114">
        <v>68</v>
      </c>
      <c r="AF257" s="112" t="s">
        <v>88</v>
      </c>
      <c r="AG257" s="114" t="s">
        <v>99</v>
      </c>
      <c r="AH257" s="118">
        <v>12.5</v>
      </c>
      <c r="AI257" s="112">
        <f t="shared" si="98"/>
        <v>850</v>
      </c>
      <c r="AJ257" s="112"/>
      <c r="AK257" s="115" t="s">
        <v>89</v>
      </c>
      <c r="AL257" s="114">
        <v>63</v>
      </c>
      <c r="AM257" s="112">
        <v>18</v>
      </c>
      <c r="AN257" s="112">
        <f t="shared" si="99"/>
        <v>1134</v>
      </c>
      <c r="AO257" s="112"/>
      <c r="AP257" s="112"/>
      <c r="AQ257" s="112">
        <f t="shared" si="100"/>
        <v>0</v>
      </c>
      <c r="AR257" s="112">
        <f t="shared" si="101"/>
        <v>1134</v>
      </c>
      <c r="AS257" s="112"/>
      <c r="AT257" s="110" t="s">
        <v>617</v>
      </c>
      <c r="AU257" s="111">
        <v>46141</v>
      </c>
      <c r="AV257" s="112">
        <f t="shared" si="102"/>
        <v>18</v>
      </c>
      <c r="AW257" s="112">
        <f t="shared" si="103"/>
        <v>1134</v>
      </c>
      <c r="AX257" s="112"/>
      <c r="AY257" s="13" t="s">
        <v>618</v>
      </c>
      <c r="AZ257" s="124">
        <v>46156</v>
      </c>
      <c r="BA257" s="112">
        <f t="shared" si="104"/>
        <v>18</v>
      </c>
      <c r="BB257" s="112">
        <f t="shared" si="105"/>
        <v>63</v>
      </c>
      <c r="BC257" s="112">
        <f t="shared" si="106"/>
        <v>1134</v>
      </c>
      <c r="BD257" s="112"/>
      <c r="BE257" s="112" t="s">
        <v>544</v>
      </c>
      <c r="BF257" s="113" t="s">
        <v>789</v>
      </c>
      <c r="BG257" s="120" t="s">
        <v>619</v>
      </c>
    </row>
    <row r="258" spans="1:59" s="120" customFormat="1" ht="15" customHeight="1">
      <c r="A258" s="112">
        <f t="shared" si="97"/>
        <v>256</v>
      </c>
      <c r="B258" s="113" t="s">
        <v>792</v>
      </c>
      <c r="C258" s="114" t="s">
        <v>790</v>
      </c>
      <c r="D258" s="122"/>
      <c r="E258" s="114" t="s">
        <v>793</v>
      </c>
      <c r="F258" s="112"/>
      <c r="G258" s="115" t="s">
        <v>81</v>
      </c>
      <c r="H258" s="10" t="s">
        <v>616</v>
      </c>
      <c r="I258" s="114" t="s">
        <v>83</v>
      </c>
      <c r="J258" s="114" t="s">
        <v>84</v>
      </c>
      <c r="K258" s="114" t="s">
        <v>83</v>
      </c>
      <c r="L258" s="113" t="s">
        <v>614</v>
      </c>
      <c r="M258" s="113" t="s">
        <v>614</v>
      </c>
      <c r="N258" s="116">
        <v>46142</v>
      </c>
      <c r="O258" s="114">
        <v>10</v>
      </c>
      <c r="P258" s="116">
        <v>46149</v>
      </c>
      <c r="Q258" s="116">
        <v>46149</v>
      </c>
      <c r="R258" s="116">
        <v>46149</v>
      </c>
      <c r="S258" s="112"/>
      <c r="T258" s="112"/>
      <c r="U258" s="112" t="s">
        <v>85</v>
      </c>
      <c r="V258" s="114" t="s">
        <v>99</v>
      </c>
      <c r="W258" s="114">
        <v>10</v>
      </c>
      <c r="X258" s="114">
        <v>10</v>
      </c>
      <c r="Y258" s="112"/>
      <c r="Z258" s="112" t="s">
        <v>87</v>
      </c>
      <c r="AA258" s="112"/>
      <c r="AB258" s="117"/>
      <c r="AC258" s="118">
        <v>25.5</v>
      </c>
      <c r="AD258" s="112"/>
      <c r="AE258" s="114">
        <v>10</v>
      </c>
      <c r="AF258" s="112" t="s">
        <v>88</v>
      </c>
      <c r="AG258" s="114" t="s">
        <v>99</v>
      </c>
      <c r="AH258" s="118">
        <v>12.5</v>
      </c>
      <c r="AI258" s="112">
        <f t="shared" si="98"/>
        <v>125</v>
      </c>
      <c r="AJ258" s="112"/>
      <c r="AK258" s="115" t="s">
        <v>89</v>
      </c>
      <c r="AL258" s="114">
        <v>10</v>
      </c>
      <c r="AM258" s="112">
        <v>18</v>
      </c>
      <c r="AN258" s="112">
        <f t="shared" si="99"/>
        <v>180</v>
      </c>
      <c r="AO258" s="112"/>
      <c r="AP258" s="112"/>
      <c r="AQ258" s="112">
        <f t="shared" si="100"/>
        <v>0</v>
      </c>
      <c r="AR258" s="112">
        <f t="shared" si="101"/>
        <v>180</v>
      </c>
      <c r="AS258" s="112"/>
      <c r="AT258" s="110" t="s">
        <v>617</v>
      </c>
      <c r="AU258" s="111">
        <v>46141</v>
      </c>
      <c r="AV258" s="112">
        <f t="shared" si="102"/>
        <v>18</v>
      </c>
      <c r="AW258" s="112">
        <f t="shared" si="103"/>
        <v>180</v>
      </c>
      <c r="AX258" s="112"/>
      <c r="AY258" s="13" t="s">
        <v>618</v>
      </c>
      <c r="AZ258" s="124">
        <v>46156</v>
      </c>
      <c r="BA258" s="112">
        <f t="shared" si="104"/>
        <v>18</v>
      </c>
      <c r="BB258" s="112">
        <f t="shared" si="105"/>
        <v>10</v>
      </c>
      <c r="BC258" s="112">
        <f t="shared" si="106"/>
        <v>180</v>
      </c>
      <c r="BD258" s="112"/>
      <c r="BE258" s="112" t="s">
        <v>547</v>
      </c>
      <c r="BF258" s="113" t="s">
        <v>792</v>
      </c>
      <c r="BG258" s="120" t="s">
        <v>619</v>
      </c>
    </row>
    <row r="259" spans="1:59" s="120" customFormat="1" ht="15" customHeight="1">
      <c r="A259" s="112">
        <f t="shared" si="97"/>
        <v>257</v>
      </c>
      <c r="B259" s="113" t="s">
        <v>794</v>
      </c>
      <c r="C259" s="114" t="s">
        <v>790</v>
      </c>
      <c r="D259" s="122"/>
      <c r="E259" s="114" t="s">
        <v>795</v>
      </c>
      <c r="F259" s="112"/>
      <c r="G259" s="115" t="s">
        <v>81</v>
      </c>
      <c r="H259" s="10" t="s">
        <v>616</v>
      </c>
      <c r="I259" s="114" t="s">
        <v>83</v>
      </c>
      <c r="J259" s="114" t="s">
        <v>84</v>
      </c>
      <c r="K259" s="114" t="s">
        <v>83</v>
      </c>
      <c r="L259" s="113" t="s">
        <v>614</v>
      </c>
      <c r="M259" s="113" t="s">
        <v>614</v>
      </c>
      <c r="N259" s="116">
        <v>46142</v>
      </c>
      <c r="O259" s="114">
        <v>144</v>
      </c>
      <c r="P259" s="116">
        <v>46149</v>
      </c>
      <c r="Q259" s="116">
        <v>46149</v>
      </c>
      <c r="R259" s="116">
        <v>46149</v>
      </c>
      <c r="S259" s="112"/>
      <c r="T259" s="112"/>
      <c r="U259" s="112" t="s">
        <v>85</v>
      </c>
      <c r="V259" s="114" t="s">
        <v>99</v>
      </c>
      <c r="W259" s="114">
        <v>144</v>
      </c>
      <c r="X259" s="114">
        <v>134</v>
      </c>
      <c r="Y259" s="112"/>
      <c r="Z259" s="112" t="s">
        <v>87</v>
      </c>
      <c r="AA259" s="112"/>
      <c r="AB259" s="117"/>
      <c r="AC259" s="118">
        <v>25.5</v>
      </c>
      <c r="AD259" s="112"/>
      <c r="AE259" s="114">
        <v>144</v>
      </c>
      <c r="AF259" s="112" t="s">
        <v>88</v>
      </c>
      <c r="AG259" s="114" t="s">
        <v>99</v>
      </c>
      <c r="AH259" s="118">
        <v>12.5</v>
      </c>
      <c r="AI259" s="112">
        <f t="shared" si="98"/>
        <v>1800</v>
      </c>
      <c r="AJ259" s="112"/>
      <c r="AK259" s="115" t="s">
        <v>89</v>
      </c>
      <c r="AL259" s="114">
        <v>134</v>
      </c>
      <c r="AM259" s="112">
        <v>18</v>
      </c>
      <c r="AN259" s="112">
        <f t="shared" si="99"/>
        <v>2412</v>
      </c>
      <c r="AO259" s="112"/>
      <c r="AP259" s="112"/>
      <c r="AQ259" s="112">
        <f t="shared" si="100"/>
        <v>0</v>
      </c>
      <c r="AR259" s="112">
        <f t="shared" si="101"/>
        <v>2412</v>
      </c>
      <c r="AS259" s="112"/>
      <c r="AT259" s="110" t="s">
        <v>617</v>
      </c>
      <c r="AU259" s="111">
        <v>46141</v>
      </c>
      <c r="AV259" s="112">
        <f t="shared" si="102"/>
        <v>18</v>
      </c>
      <c r="AW259" s="112">
        <f t="shared" si="103"/>
        <v>2412</v>
      </c>
      <c r="AX259" s="112"/>
      <c r="AY259" s="13" t="s">
        <v>618</v>
      </c>
      <c r="AZ259" s="124">
        <v>46156</v>
      </c>
      <c r="BA259" s="112">
        <f t="shared" si="104"/>
        <v>18</v>
      </c>
      <c r="BB259" s="112">
        <f t="shared" si="105"/>
        <v>134</v>
      </c>
      <c r="BC259" s="112">
        <f t="shared" si="106"/>
        <v>2412</v>
      </c>
      <c r="BD259" s="112"/>
      <c r="BE259" s="112" t="s">
        <v>550</v>
      </c>
      <c r="BF259" s="113" t="s">
        <v>794</v>
      </c>
      <c r="BG259" s="120" t="s">
        <v>619</v>
      </c>
    </row>
    <row r="260" spans="1:59" s="120" customFormat="1" ht="15" customHeight="1">
      <c r="A260" s="112">
        <f t="shared" si="97"/>
        <v>258</v>
      </c>
      <c r="B260" s="113" t="s">
        <v>796</v>
      </c>
      <c r="C260" s="114" t="s">
        <v>621</v>
      </c>
      <c r="D260" s="122"/>
      <c r="E260" s="114" t="s">
        <v>797</v>
      </c>
      <c r="F260" s="112"/>
      <c r="G260" s="115" t="s">
        <v>81</v>
      </c>
      <c r="H260" s="10" t="s">
        <v>616</v>
      </c>
      <c r="I260" s="114" t="s">
        <v>83</v>
      </c>
      <c r="J260" s="114" t="s">
        <v>84</v>
      </c>
      <c r="K260" s="114" t="s">
        <v>83</v>
      </c>
      <c r="L260" s="113" t="s">
        <v>614</v>
      </c>
      <c r="M260" s="113" t="s">
        <v>614</v>
      </c>
      <c r="N260" s="116">
        <v>46142</v>
      </c>
      <c r="O260" s="114">
        <v>121</v>
      </c>
      <c r="P260" s="116">
        <v>46149</v>
      </c>
      <c r="Q260" s="116">
        <v>46149</v>
      </c>
      <c r="R260" s="116">
        <v>46149</v>
      </c>
      <c r="S260" s="112"/>
      <c r="T260" s="112"/>
      <c r="U260" s="112" t="s">
        <v>85</v>
      </c>
      <c r="V260" s="114" t="s">
        <v>99</v>
      </c>
      <c r="W260" s="114">
        <v>121</v>
      </c>
      <c r="X260" s="114">
        <v>116</v>
      </c>
      <c r="Y260" s="112"/>
      <c r="Z260" s="112" t="s">
        <v>87</v>
      </c>
      <c r="AA260" s="112"/>
      <c r="AB260" s="117"/>
      <c r="AC260" s="118">
        <v>25.5</v>
      </c>
      <c r="AD260" s="112"/>
      <c r="AE260" s="114">
        <v>121</v>
      </c>
      <c r="AF260" s="112" t="s">
        <v>88</v>
      </c>
      <c r="AG260" s="114" t="s">
        <v>99</v>
      </c>
      <c r="AH260" s="118">
        <v>12.5</v>
      </c>
      <c r="AI260" s="112">
        <f t="shared" si="98"/>
        <v>1512.5</v>
      </c>
      <c r="AJ260" s="112"/>
      <c r="AK260" s="115" t="s">
        <v>89</v>
      </c>
      <c r="AL260" s="114">
        <v>116</v>
      </c>
      <c r="AM260" s="112">
        <v>18</v>
      </c>
      <c r="AN260" s="112">
        <f t="shared" si="99"/>
        <v>2088</v>
      </c>
      <c r="AO260" s="112"/>
      <c r="AP260" s="112"/>
      <c r="AQ260" s="112">
        <f t="shared" si="100"/>
        <v>0</v>
      </c>
      <c r="AR260" s="112">
        <f t="shared" si="101"/>
        <v>2088</v>
      </c>
      <c r="AS260" s="112"/>
      <c r="AT260" s="110" t="s">
        <v>617</v>
      </c>
      <c r="AU260" s="111">
        <v>46141</v>
      </c>
      <c r="AV260" s="112">
        <f t="shared" si="102"/>
        <v>18</v>
      </c>
      <c r="AW260" s="112">
        <f t="shared" si="103"/>
        <v>2088</v>
      </c>
      <c r="AX260" s="112"/>
      <c r="AY260" s="13" t="s">
        <v>618</v>
      </c>
      <c r="AZ260" s="124">
        <v>46156</v>
      </c>
      <c r="BA260" s="112">
        <f t="shared" si="104"/>
        <v>18</v>
      </c>
      <c r="BB260" s="112">
        <f t="shared" si="105"/>
        <v>116</v>
      </c>
      <c r="BC260" s="112">
        <f t="shared" si="106"/>
        <v>2088</v>
      </c>
      <c r="BD260" s="112"/>
      <c r="BE260" s="112" t="s">
        <v>553</v>
      </c>
      <c r="BF260" s="113" t="s">
        <v>796</v>
      </c>
      <c r="BG260" s="120" t="s">
        <v>619</v>
      </c>
    </row>
    <row r="261" spans="1:59" s="120" customFormat="1" ht="15" customHeight="1">
      <c r="A261" s="112">
        <f t="shared" si="97"/>
        <v>259</v>
      </c>
      <c r="B261" s="113" t="s">
        <v>798</v>
      </c>
      <c r="C261" s="114" t="s">
        <v>621</v>
      </c>
      <c r="D261" s="122"/>
      <c r="E261" s="114" t="s">
        <v>799</v>
      </c>
      <c r="F261" s="112"/>
      <c r="G261" s="115" t="s">
        <v>81</v>
      </c>
      <c r="H261" s="10" t="s">
        <v>616</v>
      </c>
      <c r="I261" s="114" t="s">
        <v>83</v>
      </c>
      <c r="J261" s="114" t="s">
        <v>84</v>
      </c>
      <c r="K261" s="114" t="s">
        <v>83</v>
      </c>
      <c r="L261" s="113" t="s">
        <v>614</v>
      </c>
      <c r="M261" s="113" t="s">
        <v>614</v>
      </c>
      <c r="N261" s="116">
        <v>46142</v>
      </c>
      <c r="O261" s="114">
        <v>227</v>
      </c>
      <c r="P261" s="116">
        <v>46149</v>
      </c>
      <c r="Q261" s="116">
        <v>46149</v>
      </c>
      <c r="R261" s="116">
        <v>46149</v>
      </c>
      <c r="S261" s="112"/>
      <c r="T261" s="112"/>
      <c r="U261" s="112" t="s">
        <v>85</v>
      </c>
      <c r="V261" s="114" t="s">
        <v>99</v>
      </c>
      <c r="W261" s="114">
        <v>227</v>
      </c>
      <c r="X261" s="114">
        <v>216</v>
      </c>
      <c r="Y261" s="112"/>
      <c r="Z261" s="112" t="s">
        <v>87</v>
      </c>
      <c r="AA261" s="112"/>
      <c r="AB261" s="117"/>
      <c r="AC261" s="118">
        <v>25.5</v>
      </c>
      <c r="AD261" s="112"/>
      <c r="AE261" s="114">
        <v>227</v>
      </c>
      <c r="AF261" s="112" t="s">
        <v>88</v>
      </c>
      <c r="AG261" s="114" t="s">
        <v>99</v>
      </c>
      <c r="AH261" s="118">
        <v>12.5</v>
      </c>
      <c r="AI261" s="112">
        <f t="shared" si="98"/>
        <v>2837.5</v>
      </c>
      <c r="AJ261" s="112"/>
      <c r="AK261" s="115" t="s">
        <v>89</v>
      </c>
      <c r="AL261" s="114">
        <v>216</v>
      </c>
      <c r="AM261" s="112">
        <v>18</v>
      </c>
      <c r="AN261" s="112">
        <f t="shared" si="99"/>
        <v>3888</v>
      </c>
      <c r="AO261" s="112"/>
      <c r="AP261" s="112"/>
      <c r="AQ261" s="112">
        <f t="shared" si="100"/>
        <v>0</v>
      </c>
      <c r="AR261" s="112">
        <f t="shared" si="101"/>
        <v>3888</v>
      </c>
      <c r="AS261" s="112"/>
      <c r="AT261" s="110" t="s">
        <v>617</v>
      </c>
      <c r="AU261" s="111">
        <v>46141</v>
      </c>
      <c r="AV261" s="112">
        <f t="shared" si="102"/>
        <v>18</v>
      </c>
      <c r="AW261" s="112">
        <f t="shared" si="103"/>
        <v>3888</v>
      </c>
      <c r="AX261" s="112"/>
      <c r="AY261" s="13" t="s">
        <v>618</v>
      </c>
      <c r="AZ261" s="124">
        <v>46156</v>
      </c>
      <c r="BA261" s="112">
        <f t="shared" si="104"/>
        <v>18</v>
      </c>
      <c r="BB261" s="112">
        <f t="shared" si="105"/>
        <v>216</v>
      </c>
      <c r="BC261" s="112">
        <f t="shared" si="106"/>
        <v>3888</v>
      </c>
      <c r="BD261" s="112"/>
      <c r="BE261" s="112" t="s">
        <v>556</v>
      </c>
      <c r="BF261" s="113" t="s">
        <v>798</v>
      </c>
      <c r="BG261" s="120" t="s">
        <v>619</v>
      </c>
    </row>
    <row r="262" spans="1:59" s="120" customFormat="1" ht="15" customHeight="1">
      <c r="A262" s="112">
        <f t="shared" si="97"/>
        <v>260</v>
      </c>
      <c r="B262" s="113" t="s">
        <v>800</v>
      </c>
      <c r="C262" s="114" t="s">
        <v>801</v>
      </c>
      <c r="D262" s="122"/>
      <c r="E262" s="114" t="s">
        <v>802</v>
      </c>
      <c r="F262" s="112"/>
      <c r="G262" s="115" t="s">
        <v>81</v>
      </c>
      <c r="H262" s="10" t="s">
        <v>616</v>
      </c>
      <c r="I262" s="114" t="s">
        <v>83</v>
      </c>
      <c r="J262" s="114" t="s">
        <v>84</v>
      </c>
      <c r="K262" s="114" t="s">
        <v>83</v>
      </c>
      <c r="L262" s="113" t="s">
        <v>801</v>
      </c>
      <c r="M262" s="113" t="s">
        <v>801</v>
      </c>
      <c r="N262" s="116">
        <v>46142</v>
      </c>
      <c r="O262" s="114">
        <v>1475</v>
      </c>
      <c r="P262" s="116">
        <v>46148</v>
      </c>
      <c r="Q262" s="116">
        <v>46149</v>
      </c>
      <c r="R262" s="116">
        <v>46148</v>
      </c>
      <c r="S262" s="112"/>
      <c r="T262" s="112"/>
      <c r="U262" s="112"/>
      <c r="V262" s="114" t="s">
        <v>142</v>
      </c>
      <c r="W262" s="114">
        <v>1475</v>
      </c>
      <c r="X262" s="114">
        <v>1442</v>
      </c>
      <c r="Y262" s="112"/>
      <c r="Z262" s="112" t="s">
        <v>87</v>
      </c>
      <c r="AA262" s="112"/>
      <c r="AB262" s="117"/>
      <c r="AC262" s="118">
        <v>35.5</v>
      </c>
      <c r="AD262" s="112"/>
      <c r="AE262" s="114">
        <v>1475</v>
      </c>
      <c r="AF262" s="112" t="s">
        <v>88</v>
      </c>
      <c r="AG262" s="114" t="s">
        <v>142</v>
      </c>
      <c r="AH262" s="118">
        <v>38.5</v>
      </c>
      <c r="AI262" s="112">
        <f t="shared" si="98"/>
        <v>56787.5</v>
      </c>
      <c r="AJ262" s="112"/>
      <c r="AK262" s="115" t="s">
        <v>803</v>
      </c>
      <c r="AL262" s="114">
        <v>1442</v>
      </c>
      <c r="AM262" s="112">
        <v>20</v>
      </c>
      <c r="AN262" s="112">
        <f t="shared" ref="AN262" si="107">IF(AL262&lt;&gt;"",AM262*AL262,0)</f>
        <v>28840</v>
      </c>
      <c r="AO262" s="112"/>
      <c r="AP262" s="112"/>
      <c r="AQ262" s="112">
        <f t="shared" ref="AQ262" si="108">IF(AO262&lt;&gt;"",AP262*AO262,0)</f>
        <v>0</v>
      </c>
      <c r="AR262" s="112">
        <f t="shared" ref="AR262" si="109">AQ262+AN262</f>
        <v>28840</v>
      </c>
      <c r="AS262" s="112"/>
      <c r="AT262" s="110" t="s">
        <v>534</v>
      </c>
      <c r="AU262" s="111"/>
      <c r="AV262" s="112">
        <f>AM262</f>
        <v>20</v>
      </c>
      <c r="AW262" s="112">
        <f>AV262*AL262</f>
        <v>28840</v>
      </c>
      <c r="AX262" s="112"/>
      <c r="AY262" s="13" t="s">
        <v>144</v>
      </c>
      <c r="AZ262" s="124"/>
      <c r="BA262" s="112">
        <f t="shared" ref="BA262" si="110">AM262</f>
        <v>20</v>
      </c>
      <c r="BB262" s="112">
        <f t="shared" ref="BB262" si="111">AL262</f>
        <v>1442</v>
      </c>
      <c r="BC262" s="112">
        <f t="shared" ref="BC262" si="112">IF(BB262&lt;&gt;"",BB262*BA262,0)</f>
        <v>28840</v>
      </c>
      <c r="BD262" s="112"/>
      <c r="BE262" s="112" t="s">
        <v>92</v>
      </c>
      <c r="BF262" s="113" t="s">
        <v>800</v>
      </c>
      <c r="BG262" s="120" t="s">
        <v>619</v>
      </c>
    </row>
    <row r="263" spans="1:59" s="120" customFormat="1" ht="15" customHeight="1">
      <c r="A263" s="112">
        <f t="shared" ref="A263:A326" si="113">A262+1</f>
        <v>261</v>
      </c>
      <c r="B263" s="113" t="s">
        <v>804</v>
      </c>
      <c r="C263" s="114" t="s">
        <v>801</v>
      </c>
      <c r="D263" s="122"/>
      <c r="E263" s="114" t="s">
        <v>805</v>
      </c>
      <c r="F263" s="112"/>
      <c r="G263" s="115" t="s">
        <v>81</v>
      </c>
      <c r="H263" s="10" t="s">
        <v>616</v>
      </c>
      <c r="I263" s="114" t="s">
        <v>83</v>
      </c>
      <c r="J263" s="114" t="s">
        <v>84</v>
      </c>
      <c r="K263" s="114" t="s">
        <v>83</v>
      </c>
      <c r="L263" s="113" t="s">
        <v>801</v>
      </c>
      <c r="M263" s="113" t="s">
        <v>801</v>
      </c>
      <c r="N263" s="116">
        <v>46142</v>
      </c>
      <c r="O263" s="114">
        <v>800</v>
      </c>
      <c r="P263" s="116">
        <v>46148</v>
      </c>
      <c r="Q263" s="116">
        <v>46149</v>
      </c>
      <c r="R263" s="116">
        <v>46148</v>
      </c>
      <c r="S263" s="112"/>
      <c r="T263" s="112"/>
      <c r="U263" s="112"/>
      <c r="V263" s="114" t="s">
        <v>142</v>
      </c>
      <c r="W263" s="114">
        <v>800</v>
      </c>
      <c r="X263" s="114">
        <v>795</v>
      </c>
      <c r="Y263" s="112"/>
      <c r="Z263" s="112" t="s">
        <v>87</v>
      </c>
      <c r="AA263" s="112"/>
      <c r="AB263" s="117"/>
      <c r="AC263" s="118">
        <v>35.5</v>
      </c>
      <c r="AD263" s="112"/>
      <c r="AE263" s="114">
        <v>800</v>
      </c>
      <c r="AF263" s="112" t="s">
        <v>88</v>
      </c>
      <c r="AG263" s="114" t="s">
        <v>142</v>
      </c>
      <c r="AH263" s="118">
        <v>38.5</v>
      </c>
      <c r="AI263" s="112">
        <f t="shared" ref="AI263:AI326" si="114">IF(AE263&lt;&gt;"",AH263*AE263,0)</f>
        <v>30800</v>
      </c>
      <c r="AJ263" s="112"/>
      <c r="AK263" s="115" t="s">
        <v>803</v>
      </c>
      <c r="AL263" s="114">
        <v>795</v>
      </c>
      <c r="AM263" s="112">
        <v>20</v>
      </c>
      <c r="AN263" s="112">
        <f t="shared" ref="AN263:AN326" si="115">IF(AL263&lt;&gt;"",AM263*AL263,0)</f>
        <v>15900</v>
      </c>
      <c r="AO263" s="112"/>
      <c r="AP263" s="112"/>
      <c r="AQ263" s="112">
        <f t="shared" ref="AQ263:AQ326" si="116">IF(AO263&lt;&gt;"",AP263*AO263,0)</f>
        <v>0</v>
      </c>
      <c r="AR263" s="112">
        <f t="shared" ref="AR263:AR326" si="117">AQ263+AN263</f>
        <v>15900</v>
      </c>
      <c r="AS263" s="112"/>
      <c r="AT263" s="110" t="s">
        <v>534</v>
      </c>
      <c r="AU263" s="111"/>
      <c r="AV263" s="112">
        <f t="shared" ref="AV263:AV326" si="118">AM263</f>
        <v>20</v>
      </c>
      <c r="AW263" s="112">
        <f t="shared" ref="AW263:AW326" si="119">AV263*AL263</f>
        <v>15900</v>
      </c>
      <c r="AX263" s="112"/>
      <c r="AY263" s="13" t="s">
        <v>144</v>
      </c>
      <c r="AZ263" s="124"/>
      <c r="BA263" s="112">
        <f t="shared" ref="BA263:BA326" si="120">AM263</f>
        <v>20</v>
      </c>
      <c r="BB263" s="112">
        <f t="shared" ref="BB263:BB326" si="121">AL263</f>
        <v>795</v>
      </c>
      <c r="BC263" s="112">
        <f t="shared" ref="BC263:BC326" si="122">IF(BB263&lt;&gt;"",BB263*BA263,0)</f>
        <v>15900</v>
      </c>
      <c r="BD263" s="112"/>
      <c r="BE263" s="112" t="s">
        <v>96</v>
      </c>
      <c r="BF263" s="113" t="s">
        <v>804</v>
      </c>
      <c r="BG263" s="120" t="s">
        <v>619</v>
      </c>
    </row>
    <row r="264" spans="1:59" s="120" customFormat="1" ht="15" customHeight="1">
      <c r="A264" s="112">
        <f t="shared" si="113"/>
        <v>262</v>
      </c>
      <c r="B264" s="113" t="s">
        <v>806</v>
      </c>
      <c r="C264" s="114" t="s">
        <v>801</v>
      </c>
      <c r="D264" s="122"/>
      <c r="E264" s="114" t="s">
        <v>807</v>
      </c>
      <c r="F264" s="112"/>
      <c r="G264" s="115" t="s">
        <v>81</v>
      </c>
      <c r="H264" s="10" t="s">
        <v>616</v>
      </c>
      <c r="I264" s="114" t="s">
        <v>83</v>
      </c>
      <c r="J264" s="114" t="s">
        <v>84</v>
      </c>
      <c r="K264" s="114" t="s">
        <v>83</v>
      </c>
      <c r="L264" s="113" t="s">
        <v>801</v>
      </c>
      <c r="M264" s="113" t="s">
        <v>801</v>
      </c>
      <c r="N264" s="116">
        <v>46142</v>
      </c>
      <c r="O264" s="114">
        <v>635</v>
      </c>
      <c r="P264" s="116">
        <v>46148</v>
      </c>
      <c r="Q264" s="116">
        <v>46149</v>
      </c>
      <c r="R264" s="116">
        <v>46148</v>
      </c>
      <c r="S264" s="112"/>
      <c r="T264" s="112"/>
      <c r="U264" s="112"/>
      <c r="V264" s="114" t="s">
        <v>86</v>
      </c>
      <c r="W264" s="114">
        <v>635</v>
      </c>
      <c r="X264" s="114">
        <v>618</v>
      </c>
      <c r="Y264" s="112"/>
      <c r="Z264" s="112" t="s">
        <v>87</v>
      </c>
      <c r="AA264" s="112"/>
      <c r="AB264" s="117"/>
      <c r="AC264" s="118">
        <v>30.5</v>
      </c>
      <c r="AD264" s="112"/>
      <c r="AE264" s="114">
        <v>635</v>
      </c>
      <c r="AF264" s="112" t="s">
        <v>88</v>
      </c>
      <c r="AG264" s="114" t="s">
        <v>86</v>
      </c>
      <c r="AH264" s="118">
        <v>24.5</v>
      </c>
      <c r="AI264" s="112">
        <f t="shared" si="114"/>
        <v>15557.5</v>
      </c>
      <c r="AJ264" s="112"/>
      <c r="AK264" s="115" t="s">
        <v>803</v>
      </c>
      <c r="AL264" s="114">
        <v>618</v>
      </c>
      <c r="AM264" s="112">
        <v>19</v>
      </c>
      <c r="AN264" s="112">
        <f t="shared" si="115"/>
        <v>11742</v>
      </c>
      <c r="AO264" s="112"/>
      <c r="AP264" s="112"/>
      <c r="AQ264" s="112">
        <f t="shared" si="116"/>
        <v>0</v>
      </c>
      <c r="AR264" s="112">
        <f t="shared" si="117"/>
        <v>11742</v>
      </c>
      <c r="AS264" s="112"/>
      <c r="AT264" s="110" t="s">
        <v>534</v>
      </c>
      <c r="AU264" s="111"/>
      <c r="AV264" s="112">
        <f t="shared" si="118"/>
        <v>19</v>
      </c>
      <c r="AW264" s="112">
        <f t="shared" si="119"/>
        <v>11742</v>
      </c>
      <c r="AX264" s="112"/>
      <c r="AY264" s="13" t="s">
        <v>144</v>
      </c>
      <c r="AZ264" s="124"/>
      <c r="BA264" s="112">
        <f t="shared" si="120"/>
        <v>19</v>
      </c>
      <c r="BB264" s="112">
        <f t="shared" si="121"/>
        <v>618</v>
      </c>
      <c r="BC264" s="112">
        <f t="shared" si="122"/>
        <v>11742</v>
      </c>
      <c r="BD264" s="112"/>
      <c r="BE264" s="112" t="s">
        <v>100</v>
      </c>
      <c r="BF264" s="113" t="s">
        <v>806</v>
      </c>
      <c r="BG264" s="120" t="s">
        <v>619</v>
      </c>
    </row>
    <row r="265" spans="1:59" s="120" customFormat="1" ht="15" customHeight="1">
      <c r="A265" s="112">
        <f t="shared" si="113"/>
        <v>263</v>
      </c>
      <c r="B265" s="113" t="s">
        <v>808</v>
      </c>
      <c r="C265" s="114" t="s">
        <v>809</v>
      </c>
      <c r="D265" s="122"/>
      <c r="E265" s="114" t="s">
        <v>810</v>
      </c>
      <c r="F265" s="112"/>
      <c r="G265" s="115" t="s">
        <v>81</v>
      </c>
      <c r="H265" s="10" t="s">
        <v>616</v>
      </c>
      <c r="I265" s="114" t="s">
        <v>83</v>
      </c>
      <c r="J265" s="114" t="s">
        <v>84</v>
      </c>
      <c r="K265" s="114" t="s">
        <v>83</v>
      </c>
      <c r="L265" s="113" t="s">
        <v>801</v>
      </c>
      <c r="M265" s="113" t="s">
        <v>801</v>
      </c>
      <c r="N265" s="116">
        <v>46142</v>
      </c>
      <c r="O265" s="114">
        <v>132</v>
      </c>
      <c r="P265" s="116">
        <v>46148</v>
      </c>
      <c r="Q265" s="116">
        <v>46149</v>
      </c>
      <c r="R265" s="116">
        <v>46148</v>
      </c>
      <c r="S265" s="112"/>
      <c r="T265" s="112"/>
      <c r="U265" s="112"/>
      <c r="V265" s="114" t="s">
        <v>86</v>
      </c>
      <c r="W265" s="114">
        <v>132</v>
      </c>
      <c r="X265" s="114">
        <v>132</v>
      </c>
      <c r="Y265" s="112"/>
      <c r="Z265" s="112" t="s">
        <v>87</v>
      </c>
      <c r="AA265" s="112"/>
      <c r="AB265" s="117"/>
      <c r="AC265" s="118">
        <v>30.5</v>
      </c>
      <c r="AD265" s="112"/>
      <c r="AE265" s="114">
        <v>132</v>
      </c>
      <c r="AF265" s="112" t="s">
        <v>88</v>
      </c>
      <c r="AG265" s="114" t="s">
        <v>86</v>
      </c>
      <c r="AH265" s="118">
        <v>24.5</v>
      </c>
      <c r="AI265" s="112">
        <f t="shared" si="114"/>
        <v>3234</v>
      </c>
      <c r="AJ265" s="112"/>
      <c r="AK265" s="115" t="s">
        <v>803</v>
      </c>
      <c r="AL265" s="114">
        <v>132</v>
      </c>
      <c r="AM265" s="112">
        <v>19</v>
      </c>
      <c r="AN265" s="112">
        <f t="shared" si="115"/>
        <v>2508</v>
      </c>
      <c r="AO265" s="112"/>
      <c r="AP265" s="112"/>
      <c r="AQ265" s="112">
        <f t="shared" si="116"/>
        <v>0</v>
      </c>
      <c r="AR265" s="112">
        <f t="shared" si="117"/>
        <v>2508</v>
      </c>
      <c r="AS265" s="112"/>
      <c r="AT265" s="110" t="s">
        <v>534</v>
      </c>
      <c r="AU265" s="111"/>
      <c r="AV265" s="112">
        <f t="shared" si="118"/>
        <v>19</v>
      </c>
      <c r="AW265" s="112">
        <f t="shared" si="119"/>
        <v>2508</v>
      </c>
      <c r="AX265" s="112"/>
      <c r="AY265" s="13" t="s">
        <v>144</v>
      </c>
      <c r="AZ265" s="124"/>
      <c r="BA265" s="112">
        <f t="shared" si="120"/>
        <v>19</v>
      </c>
      <c r="BB265" s="112">
        <f t="shared" si="121"/>
        <v>132</v>
      </c>
      <c r="BC265" s="112">
        <f t="shared" si="122"/>
        <v>2508</v>
      </c>
      <c r="BD265" s="112"/>
      <c r="BE265" s="112" t="s">
        <v>104</v>
      </c>
      <c r="BF265" s="113" t="s">
        <v>808</v>
      </c>
      <c r="BG265" s="120" t="s">
        <v>619</v>
      </c>
    </row>
    <row r="266" spans="1:59" s="120" customFormat="1" ht="15" customHeight="1">
      <c r="A266" s="112">
        <f t="shared" si="113"/>
        <v>264</v>
      </c>
      <c r="B266" s="113" t="s">
        <v>811</v>
      </c>
      <c r="C266" s="114" t="s">
        <v>812</v>
      </c>
      <c r="D266" s="122"/>
      <c r="E266" s="114" t="s">
        <v>813</v>
      </c>
      <c r="F266" s="112"/>
      <c r="G266" s="115" t="s">
        <v>81</v>
      </c>
      <c r="H266" s="10" t="s">
        <v>616</v>
      </c>
      <c r="I266" s="114" t="s">
        <v>83</v>
      </c>
      <c r="J266" s="114" t="s">
        <v>84</v>
      </c>
      <c r="K266" s="114" t="s">
        <v>83</v>
      </c>
      <c r="L266" s="113" t="s">
        <v>801</v>
      </c>
      <c r="M266" s="113" t="s">
        <v>801</v>
      </c>
      <c r="N266" s="116">
        <v>46142</v>
      </c>
      <c r="O266" s="114">
        <v>122</v>
      </c>
      <c r="P266" s="116">
        <v>46148</v>
      </c>
      <c r="Q266" s="116">
        <v>46149</v>
      </c>
      <c r="R266" s="116">
        <v>46148</v>
      </c>
      <c r="S266" s="112"/>
      <c r="T266" s="112"/>
      <c r="U266" s="112"/>
      <c r="V266" s="114" t="s">
        <v>86</v>
      </c>
      <c r="W266" s="114">
        <v>122</v>
      </c>
      <c r="X266" s="114">
        <v>110</v>
      </c>
      <c r="Y266" s="112"/>
      <c r="Z266" s="112" t="s">
        <v>87</v>
      </c>
      <c r="AA266" s="112"/>
      <c r="AB266" s="117"/>
      <c r="AC266" s="118">
        <v>30.5</v>
      </c>
      <c r="AD266" s="112"/>
      <c r="AE266" s="114">
        <v>122</v>
      </c>
      <c r="AF266" s="112" t="s">
        <v>88</v>
      </c>
      <c r="AG266" s="114" t="s">
        <v>86</v>
      </c>
      <c r="AH266" s="118">
        <v>24.5</v>
      </c>
      <c r="AI266" s="112">
        <f t="shared" si="114"/>
        <v>2989</v>
      </c>
      <c r="AJ266" s="112"/>
      <c r="AK266" s="115" t="s">
        <v>803</v>
      </c>
      <c r="AL266" s="114">
        <v>110</v>
      </c>
      <c r="AM266" s="112">
        <v>19</v>
      </c>
      <c r="AN266" s="112">
        <f t="shared" si="115"/>
        <v>2090</v>
      </c>
      <c r="AO266" s="112"/>
      <c r="AP266" s="112"/>
      <c r="AQ266" s="112">
        <f t="shared" si="116"/>
        <v>0</v>
      </c>
      <c r="AR266" s="112">
        <f t="shared" si="117"/>
        <v>2090</v>
      </c>
      <c r="AS266" s="112"/>
      <c r="AT266" s="110" t="s">
        <v>534</v>
      </c>
      <c r="AU266" s="111"/>
      <c r="AV266" s="112">
        <f t="shared" si="118"/>
        <v>19</v>
      </c>
      <c r="AW266" s="112">
        <f t="shared" si="119"/>
        <v>2090</v>
      </c>
      <c r="AX266" s="112"/>
      <c r="AY266" s="13" t="s">
        <v>144</v>
      </c>
      <c r="AZ266" s="124"/>
      <c r="BA266" s="112">
        <f t="shared" si="120"/>
        <v>19</v>
      </c>
      <c r="BB266" s="112">
        <f t="shared" si="121"/>
        <v>110</v>
      </c>
      <c r="BC266" s="112">
        <f t="shared" si="122"/>
        <v>2090</v>
      </c>
      <c r="BD266" s="112"/>
      <c r="BE266" s="112" t="s">
        <v>107</v>
      </c>
      <c r="BF266" s="113" t="s">
        <v>811</v>
      </c>
      <c r="BG266" s="120" t="s">
        <v>619</v>
      </c>
    </row>
    <row r="267" spans="1:59" s="120" customFormat="1" ht="15" customHeight="1">
      <c r="A267" s="112">
        <f t="shared" si="113"/>
        <v>265</v>
      </c>
      <c r="B267" s="113" t="s">
        <v>814</v>
      </c>
      <c r="C267" s="114" t="s">
        <v>815</v>
      </c>
      <c r="D267" s="122"/>
      <c r="E267" s="114" t="s">
        <v>816</v>
      </c>
      <c r="F267" s="112"/>
      <c r="G267" s="115" t="s">
        <v>81</v>
      </c>
      <c r="H267" s="10" t="s">
        <v>616</v>
      </c>
      <c r="I267" s="114" t="s">
        <v>83</v>
      </c>
      <c r="J267" s="114" t="s">
        <v>84</v>
      </c>
      <c r="K267" s="114" t="s">
        <v>83</v>
      </c>
      <c r="L267" s="113" t="s">
        <v>801</v>
      </c>
      <c r="M267" s="113" t="s">
        <v>801</v>
      </c>
      <c r="N267" s="116">
        <v>46142</v>
      </c>
      <c r="O267" s="114">
        <v>109</v>
      </c>
      <c r="P267" s="116">
        <v>46148</v>
      </c>
      <c r="Q267" s="116">
        <v>46149</v>
      </c>
      <c r="R267" s="116">
        <v>46148</v>
      </c>
      <c r="S267" s="112"/>
      <c r="T267" s="112"/>
      <c r="U267" s="112"/>
      <c r="V267" s="114" t="s">
        <v>86</v>
      </c>
      <c r="W267" s="114">
        <v>109</v>
      </c>
      <c r="X267" s="114">
        <v>97</v>
      </c>
      <c r="Y267" s="112"/>
      <c r="Z267" s="112" t="s">
        <v>87</v>
      </c>
      <c r="AA267" s="112"/>
      <c r="AB267" s="117"/>
      <c r="AC267" s="118">
        <v>30.5</v>
      </c>
      <c r="AD267" s="112"/>
      <c r="AE267" s="114">
        <v>109</v>
      </c>
      <c r="AF267" s="112" t="s">
        <v>88</v>
      </c>
      <c r="AG267" s="114" t="s">
        <v>86</v>
      </c>
      <c r="AH267" s="118">
        <v>24.5</v>
      </c>
      <c r="AI267" s="112">
        <f t="shared" si="114"/>
        <v>2670.5</v>
      </c>
      <c r="AJ267" s="112"/>
      <c r="AK267" s="115" t="s">
        <v>803</v>
      </c>
      <c r="AL267" s="114">
        <v>97</v>
      </c>
      <c r="AM267" s="112">
        <v>19</v>
      </c>
      <c r="AN267" s="112">
        <f t="shared" si="115"/>
        <v>1843</v>
      </c>
      <c r="AO267" s="112"/>
      <c r="AP267" s="112"/>
      <c r="AQ267" s="112">
        <f t="shared" si="116"/>
        <v>0</v>
      </c>
      <c r="AR267" s="112">
        <f t="shared" si="117"/>
        <v>1843</v>
      </c>
      <c r="AS267" s="112"/>
      <c r="AT267" s="110" t="s">
        <v>534</v>
      </c>
      <c r="AU267" s="111"/>
      <c r="AV267" s="112">
        <f t="shared" si="118"/>
        <v>19</v>
      </c>
      <c r="AW267" s="112">
        <f t="shared" si="119"/>
        <v>1843</v>
      </c>
      <c r="AX267" s="112"/>
      <c r="AY267" s="13" t="s">
        <v>144</v>
      </c>
      <c r="AZ267" s="124"/>
      <c r="BA267" s="112">
        <f t="shared" si="120"/>
        <v>19</v>
      </c>
      <c r="BB267" s="112">
        <f t="shared" si="121"/>
        <v>97</v>
      </c>
      <c r="BC267" s="112">
        <f t="shared" si="122"/>
        <v>1843</v>
      </c>
      <c r="BD267" s="112"/>
      <c r="BE267" s="112" t="s">
        <v>110</v>
      </c>
      <c r="BF267" s="113" t="s">
        <v>814</v>
      </c>
      <c r="BG267" s="120" t="s">
        <v>619</v>
      </c>
    </row>
    <row r="268" spans="1:59" s="120" customFormat="1" ht="15" customHeight="1">
      <c r="A268" s="112">
        <f t="shared" si="113"/>
        <v>266</v>
      </c>
      <c r="B268" s="113" t="s">
        <v>817</v>
      </c>
      <c r="C268" s="114" t="s">
        <v>801</v>
      </c>
      <c r="D268" s="122"/>
      <c r="E268" s="114" t="s">
        <v>818</v>
      </c>
      <c r="F268" s="112"/>
      <c r="G268" s="115" t="s">
        <v>81</v>
      </c>
      <c r="H268" s="10" t="s">
        <v>616</v>
      </c>
      <c r="I268" s="114" t="s">
        <v>83</v>
      </c>
      <c r="J268" s="114" t="s">
        <v>84</v>
      </c>
      <c r="K268" s="114" t="s">
        <v>83</v>
      </c>
      <c r="L268" s="113" t="s">
        <v>801</v>
      </c>
      <c r="M268" s="113" t="s">
        <v>801</v>
      </c>
      <c r="N268" s="116">
        <v>46142</v>
      </c>
      <c r="O268" s="114">
        <v>629</v>
      </c>
      <c r="P268" s="116">
        <v>46148</v>
      </c>
      <c r="Q268" s="116">
        <v>46149</v>
      </c>
      <c r="R268" s="116">
        <v>46148</v>
      </c>
      <c r="S268" s="112"/>
      <c r="T268" s="112"/>
      <c r="U268" s="112"/>
      <c r="V268" s="114" t="s">
        <v>86</v>
      </c>
      <c r="W268" s="114">
        <v>629</v>
      </c>
      <c r="X268" s="114">
        <v>596</v>
      </c>
      <c r="Y268" s="112"/>
      <c r="Z268" s="112" t="s">
        <v>87</v>
      </c>
      <c r="AA268" s="112"/>
      <c r="AB268" s="117"/>
      <c r="AC268" s="118">
        <v>30.5</v>
      </c>
      <c r="AD268" s="112"/>
      <c r="AE268" s="114">
        <v>629</v>
      </c>
      <c r="AF268" s="112" t="s">
        <v>88</v>
      </c>
      <c r="AG268" s="114" t="s">
        <v>86</v>
      </c>
      <c r="AH268" s="118">
        <v>24.5</v>
      </c>
      <c r="AI268" s="112">
        <f t="shared" si="114"/>
        <v>15410.5</v>
      </c>
      <c r="AJ268" s="112"/>
      <c r="AK268" s="115" t="s">
        <v>803</v>
      </c>
      <c r="AL268" s="114">
        <v>596</v>
      </c>
      <c r="AM268" s="112">
        <v>19</v>
      </c>
      <c r="AN268" s="112">
        <f t="shared" si="115"/>
        <v>11324</v>
      </c>
      <c r="AO268" s="112"/>
      <c r="AP268" s="112"/>
      <c r="AQ268" s="112">
        <f t="shared" si="116"/>
        <v>0</v>
      </c>
      <c r="AR268" s="112">
        <f t="shared" si="117"/>
        <v>11324</v>
      </c>
      <c r="AS268" s="112"/>
      <c r="AT268" s="110" t="s">
        <v>534</v>
      </c>
      <c r="AU268" s="111"/>
      <c r="AV268" s="112">
        <f t="shared" si="118"/>
        <v>19</v>
      </c>
      <c r="AW268" s="112">
        <f t="shared" si="119"/>
        <v>11324</v>
      </c>
      <c r="AX268" s="112"/>
      <c r="AY268" s="13" t="s">
        <v>144</v>
      </c>
      <c r="AZ268" s="124"/>
      <c r="BA268" s="112">
        <f t="shared" si="120"/>
        <v>19</v>
      </c>
      <c r="BB268" s="112">
        <f t="shared" si="121"/>
        <v>596</v>
      </c>
      <c r="BC268" s="112">
        <f t="shared" si="122"/>
        <v>11324</v>
      </c>
      <c r="BD268" s="112"/>
      <c r="BE268" s="112" t="s">
        <v>114</v>
      </c>
      <c r="BF268" s="113" t="s">
        <v>817</v>
      </c>
      <c r="BG268" s="120" t="s">
        <v>619</v>
      </c>
    </row>
    <row r="269" spans="1:59" s="120" customFormat="1" ht="15" customHeight="1">
      <c r="A269" s="112">
        <f t="shared" si="113"/>
        <v>267</v>
      </c>
      <c r="B269" s="113" t="s">
        <v>819</v>
      </c>
      <c r="C269" s="114" t="s">
        <v>820</v>
      </c>
      <c r="D269" s="122"/>
      <c r="E269" s="114" t="s">
        <v>821</v>
      </c>
      <c r="F269" s="112"/>
      <c r="G269" s="115" t="s">
        <v>81</v>
      </c>
      <c r="H269" s="10" t="s">
        <v>616</v>
      </c>
      <c r="I269" s="114" t="s">
        <v>83</v>
      </c>
      <c r="J269" s="114" t="s">
        <v>84</v>
      </c>
      <c r="K269" s="114" t="s">
        <v>83</v>
      </c>
      <c r="L269" s="113" t="s">
        <v>801</v>
      </c>
      <c r="M269" s="113" t="s">
        <v>801</v>
      </c>
      <c r="N269" s="116">
        <v>46142</v>
      </c>
      <c r="O269" s="114">
        <v>10</v>
      </c>
      <c r="P269" s="116">
        <v>46148</v>
      </c>
      <c r="Q269" s="116">
        <v>46149</v>
      </c>
      <c r="R269" s="116">
        <v>46148</v>
      </c>
      <c r="S269" s="112"/>
      <c r="T269" s="112"/>
      <c r="U269" s="112"/>
      <c r="V269" s="114" t="s">
        <v>99</v>
      </c>
      <c r="W269" s="114">
        <v>10</v>
      </c>
      <c r="X269" s="114">
        <v>10</v>
      </c>
      <c r="Y269" s="112"/>
      <c r="Z269" s="112" t="s">
        <v>87</v>
      </c>
      <c r="AA269" s="112"/>
      <c r="AB269" s="117"/>
      <c r="AC269" s="118">
        <v>25.5</v>
      </c>
      <c r="AD269" s="112"/>
      <c r="AE269" s="114">
        <v>10</v>
      </c>
      <c r="AF269" s="112" t="s">
        <v>88</v>
      </c>
      <c r="AG269" s="114" t="s">
        <v>99</v>
      </c>
      <c r="AH269" s="118">
        <v>12.5</v>
      </c>
      <c r="AI269" s="112">
        <f t="shared" si="114"/>
        <v>125</v>
      </c>
      <c r="AJ269" s="112"/>
      <c r="AK269" s="115" t="s">
        <v>803</v>
      </c>
      <c r="AL269" s="114">
        <v>10</v>
      </c>
      <c r="AM269" s="112">
        <v>19</v>
      </c>
      <c r="AN269" s="112">
        <f t="shared" si="115"/>
        <v>190</v>
      </c>
      <c r="AO269" s="112"/>
      <c r="AP269" s="112"/>
      <c r="AQ269" s="112">
        <f t="shared" si="116"/>
        <v>0</v>
      </c>
      <c r="AR269" s="112">
        <f t="shared" si="117"/>
        <v>190</v>
      </c>
      <c r="AS269" s="112"/>
      <c r="AT269" s="110" t="s">
        <v>534</v>
      </c>
      <c r="AU269" s="111"/>
      <c r="AV269" s="112">
        <f t="shared" si="118"/>
        <v>19</v>
      </c>
      <c r="AW269" s="112">
        <f t="shared" si="119"/>
        <v>190</v>
      </c>
      <c r="AX269" s="112"/>
      <c r="AY269" s="13" t="s">
        <v>144</v>
      </c>
      <c r="AZ269" s="124"/>
      <c r="BA269" s="112">
        <f t="shared" si="120"/>
        <v>19</v>
      </c>
      <c r="BB269" s="112">
        <f t="shared" si="121"/>
        <v>10</v>
      </c>
      <c r="BC269" s="112">
        <f t="shared" si="122"/>
        <v>190</v>
      </c>
      <c r="BD269" s="112"/>
      <c r="BE269" s="112" t="s">
        <v>117</v>
      </c>
      <c r="BF269" s="113" t="s">
        <v>819</v>
      </c>
      <c r="BG269" s="120" t="s">
        <v>619</v>
      </c>
    </row>
    <row r="270" spans="1:59" s="120" customFormat="1" ht="15" customHeight="1">
      <c r="A270" s="112">
        <f t="shared" si="113"/>
        <v>268</v>
      </c>
      <c r="B270" s="113" t="s">
        <v>822</v>
      </c>
      <c r="C270" s="114" t="s">
        <v>820</v>
      </c>
      <c r="D270" s="122"/>
      <c r="E270" s="114" t="s">
        <v>823</v>
      </c>
      <c r="F270" s="112"/>
      <c r="G270" s="115" t="s">
        <v>81</v>
      </c>
      <c r="H270" s="10" t="s">
        <v>616</v>
      </c>
      <c r="I270" s="114" t="s">
        <v>83</v>
      </c>
      <c r="J270" s="114" t="s">
        <v>84</v>
      </c>
      <c r="K270" s="114" t="s">
        <v>83</v>
      </c>
      <c r="L270" s="113" t="s">
        <v>801</v>
      </c>
      <c r="M270" s="113" t="s">
        <v>801</v>
      </c>
      <c r="N270" s="116">
        <v>46142</v>
      </c>
      <c r="O270" s="114">
        <v>34</v>
      </c>
      <c r="P270" s="116">
        <v>46148</v>
      </c>
      <c r="Q270" s="116">
        <v>46149</v>
      </c>
      <c r="R270" s="116">
        <v>46148</v>
      </c>
      <c r="S270" s="112"/>
      <c r="T270" s="112"/>
      <c r="U270" s="112"/>
      <c r="V270" s="114" t="s">
        <v>99</v>
      </c>
      <c r="W270" s="114">
        <v>34</v>
      </c>
      <c r="X270" s="114">
        <v>34</v>
      </c>
      <c r="Y270" s="112"/>
      <c r="Z270" s="112" t="s">
        <v>87</v>
      </c>
      <c r="AA270" s="112"/>
      <c r="AB270" s="117"/>
      <c r="AC270" s="118">
        <v>25.5</v>
      </c>
      <c r="AD270" s="112"/>
      <c r="AE270" s="114">
        <v>34</v>
      </c>
      <c r="AF270" s="112" t="s">
        <v>88</v>
      </c>
      <c r="AG270" s="114" t="s">
        <v>99</v>
      </c>
      <c r="AH270" s="118">
        <v>12.5</v>
      </c>
      <c r="AI270" s="112">
        <f t="shared" si="114"/>
        <v>425</v>
      </c>
      <c r="AJ270" s="112"/>
      <c r="AK270" s="115" t="s">
        <v>803</v>
      </c>
      <c r="AL270" s="114">
        <v>34</v>
      </c>
      <c r="AM270" s="112">
        <v>19</v>
      </c>
      <c r="AN270" s="112">
        <f t="shared" si="115"/>
        <v>646</v>
      </c>
      <c r="AO270" s="112"/>
      <c r="AP270" s="112"/>
      <c r="AQ270" s="112">
        <f t="shared" si="116"/>
        <v>0</v>
      </c>
      <c r="AR270" s="112">
        <f t="shared" si="117"/>
        <v>646</v>
      </c>
      <c r="AS270" s="112"/>
      <c r="AT270" s="110" t="s">
        <v>534</v>
      </c>
      <c r="AU270" s="111"/>
      <c r="AV270" s="112">
        <f t="shared" si="118"/>
        <v>19</v>
      </c>
      <c r="AW270" s="112">
        <f t="shared" si="119"/>
        <v>646</v>
      </c>
      <c r="AX270" s="112"/>
      <c r="AY270" s="13" t="s">
        <v>144</v>
      </c>
      <c r="AZ270" s="124"/>
      <c r="BA270" s="112">
        <f t="shared" si="120"/>
        <v>19</v>
      </c>
      <c r="BB270" s="112">
        <f t="shared" si="121"/>
        <v>34</v>
      </c>
      <c r="BC270" s="112">
        <f t="shared" si="122"/>
        <v>646</v>
      </c>
      <c r="BD270" s="112"/>
      <c r="BE270" s="112" t="s">
        <v>120</v>
      </c>
      <c r="BF270" s="113" t="s">
        <v>822</v>
      </c>
      <c r="BG270" s="120" t="s">
        <v>619</v>
      </c>
    </row>
    <row r="271" spans="1:59" s="120" customFormat="1" ht="15" customHeight="1">
      <c r="A271" s="112">
        <f t="shared" si="113"/>
        <v>269</v>
      </c>
      <c r="B271" s="113" t="s">
        <v>824</v>
      </c>
      <c r="C271" s="114" t="s">
        <v>820</v>
      </c>
      <c r="D271" s="122"/>
      <c r="E271" s="114" t="s">
        <v>825</v>
      </c>
      <c r="F271" s="112"/>
      <c r="G271" s="115" t="s">
        <v>81</v>
      </c>
      <c r="H271" s="10" t="s">
        <v>616</v>
      </c>
      <c r="I271" s="114" t="s">
        <v>83</v>
      </c>
      <c r="J271" s="114" t="s">
        <v>84</v>
      </c>
      <c r="K271" s="114" t="s">
        <v>83</v>
      </c>
      <c r="L271" s="113" t="s">
        <v>801</v>
      </c>
      <c r="M271" s="113" t="s">
        <v>801</v>
      </c>
      <c r="N271" s="116">
        <v>46142</v>
      </c>
      <c r="O271" s="114">
        <v>151</v>
      </c>
      <c r="P271" s="116">
        <v>46148</v>
      </c>
      <c r="Q271" s="116">
        <v>46149</v>
      </c>
      <c r="R271" s="116">
        <v>46148</v>
      </c>
      <c r="S271" s="112"/>
      <c r="T271" s="112"/>
      <c r="U271" s="112"/>
      <c r="V271" s="114" t="s">
        <v>99</v>
      </c>
      <c r="W271" s="114">
        <v>151</v>
      </c>
      <c r="X271" s="114">
        <v>148</v>
      </c>
      <c r="Y271" s="112"/>
      <c r="Z271" s="112" t="s">
        <v>87</v>
      </c>
      <c r="AA271" s="112"/>
      <c r="AB271" s="117"/>
      <c r="AC271" s="118">
        <v>25.5</v>
      </c>
      <c r="AD271" s="112"/>
      <c r="AE271" s="114">
        <v>151</v>
      </c>
      <c r="AF271" s="112" t="s">
        <v>88</v>
      </c>
      <c r="AG271" s="114" t="s">
        <v>99</v>
      </c>
      <c r="AH271" s="118">
        <v>12.5</v>
      </c>
      <c r="AI271" s="112">
        <f t="shared" si="114"/>
        <v>1887.5</v>
      </c>
      <c r="AJ271" s="112"/>
      <c r="AK271" s="115" t="s">
        <v>803</v>
      </c>
      <c r="AL271" s="114">
        <v>148</v>
      </c>
      <c r="AM271" s="112">
        <v>19</v>
      </c>
      <c r="AN271" s="112">
        <f t="shared" si="115"/>
        <v>2812</v>
      </c>
      <c r="AO271" s="112"/>
      <c r="AP271" s="112"/>
      <c r="AQ271" s="112">
        <f t="shared" si="116"/>
        <v>0</v>
      </c>
      <c r="AR271" s="112">
        <f t="shared" si="117"/>
        <v>2812</v>
      </c>
      <c r="AS271" s="112"/>
      <c r="AT271" s="110" t="s">
        <v>534</v>
      </c>
      <c r="AU271" s="111"/>
      <c r="AV271" s="112">
        <f t="shared" si="118"/>
        <v>19</v>
      </c>
      <c r="AW271" s="112">
        <f t="shared" si="119"/>
        <v>2812</v>
      </c>
      <c r="AX271" s="112"/>
      <c r="AY271" s="13" t="s">
        <v>144</v>
      </c>
      <c r="AZ271" s="124"/>
      <c r="BA271" s="112">
        <f t="shared" si="120"/>
        <v>19</v>
      </c>
      <c r="BB271" s="112">
        <f t="shared" si="121"/>
        <v>148</v>
      </c>
      <c r="BC271" s="112">
        <f t="shared" si="122"/>
        <v>2812</v>
      </c>
      <c r="BD271" s="112"/>
      <c r="BE271" s="112" t="s">
        <v>123</v>
      </c>
      <c r="BF271" s="113" t="s">
        <v>824</v>
      </c>
      <c r="BG271" s="120" t="s">
        <v>619</v>
      </c>
    </row>
    <row r="272" spans="1:59" s="120" customFormat="1" ht="15" customHeight="1">
      <c r="A272" s="112">
        <f t="shared" si="113"/>
        <v>270</v>
      </c>
      <c r="B272" s="113" t="s">
        <v>826</v>
      </c>
      <c r="C272" s="114" t="s">
        <v>827</v>
      </c>
      <c r="D272" s="122"/>
      <c r="E272" s="114" t="s">
        <v>828</v>
      </c>
      <c r="F272" s="112"/>
      <c r="G272" s="115" t="s">
        <v>81</v>
      </c>
      <c r="H272" s="10" t="s">
        <v>616</v>
      </c>
      <c r="I272" s="114" t="s">
        <v>83</v>
      </c>
      <c r="J272" s="114" t="s">
        <v>84</v>
      </c>
      <c r="K272" s="114" t="s">
        <v>83</v>
      </c>
      <c r="L272" s="113" t="s">
        <v>801</v>
      </c>
      <c r="M272" s="113" t="s">
        <v>801</v>
      </c>
      <c r="N272" s="116">
        <v>46142</v>
      </c>
      <c r="O272" s="114">
        <v>82</v>
      </c>
      <c r="P272" s="116">
        <v>46148</v>
      </c>
      <c r="Q272" s="116">
        <v>46149</v>
      </c>
      <c r="R272" s="116">
        <v>46148</v>
      </c>
      <c r="S272" s="112"/>
      <c r="T272" s="112"/>
      <c r="U272" s="112"/>
      <c r="V272" s="114" t="s">
        <v>99</v>
      </c>
      <c r="W272" s="114">
        <v>82</v>
      </c>
      <c r="X272" s="114">
        <v>82</v>
      </c>
      <c r="Y272" s="112"/>
      <c r="Z272" s="112" t="s">
        <v>87</v>
      </c>
      <c r="AA272" s="112"/>
      <c r="AB272" s="117"/>
      <c r="AC272" s="118">
        <v>25.5</v>
      </c>
      <c r="AD272" s="112"/>
      <c r="AE272" s="114">
        <v>82</v>
      </c>
      <c r="AF272" s="112" t="s">
        <v>88</v>
      </c>
      <c r="AG272" s="114" t="s">
        <v>99</v>
      </c>
      <c r="AH272" s="118">
        <v>12.5</v>
      </c>
      <c r="AI272" s="112">
        <f t="shared" si="114"/>
        <v>1025</v>
      </c>
      <c r="AJ272" s="112"/>
      <c r="AK272" s="115" t="s">
        <v>803</v>
      </c>
      <c r="AL272" s="114">
        <v>82</v>
      </c>
      <c r="AM272" s="112">
        <v>19</v>
      </c>
      <c r="AN272" s="112">
        <f t="shared" si="115"/>
        <v>1558</v>
      </c>
      <c r="AO272" s="112"/>
      <c r="AP272" s="112"/>
      <c r="AQ272" s="112">
        <f t="shared" si="116"/>
        <v>0</v>
      </c>
      <c r="AR272" s="112">
        <f t="shared" si="117"/>
        <v>1558</v>
      </c>
      <c r="AS272" s="112"/>
      <c r="AT272" s="110" t="s">
        <v>534</v>
      </c>
      <c r="AU272" s="111"/>
      <c r="AV272" s="112">
        <f t="shared" si="118"/>
        <v>19</v>
      </c>
      <c r="AW272" s="112">
        <f t="shared" si="119"/>
        <v>1558</v>
      </c>
      <c r="AX272" s="112"/>
      <c r="AY272" s="13" t="s">
        <v>144</v>
      </c>
      <c r="AZ272" s="124"/>
      <c r="BA272" s="112">
        <f t="shared" si="120"/>
        <v>19</v>
      </c>
      <c r="BB272" s="112">
        <f t="shared" si="121"/>
        <v>82</v>
      </c>
      <c r="BC272" s="112">
        <f t="shared" si="122"/>
        <v>1558</v>
      </c>
      <c r="BD272" s="112"/>
      <c r="BE272" s="112" t="s">
        <v>126</v>
      </c>
      <c r="BF272" s="113" t="s">
        <v>826</v>
      </c>
      <c r="BG272" s="120" t="s">
        <v>619</v>
      </c>
    </row>
    <row r="273" spans="1:59" s="120" customFormat="1" ht="15" customHeight="1">
      <c r="A273" s="112">
        <f t="shared" si="113"/>
        <v>271</v>
      </c>
      <c r="B273" s="113" t="s">
        <v>829</v>
      </c>
      <c r="C273" s="114" t="s">
        <v>809</v>
      </c>
      <c r="D273" s="122"/>
      <c r="E273" s="114" t="s">
        <v>830</v>
      </c>
      <c r="F273" s="112"/>
      <c r="G273" s="115" t="s">
        <v>81</v>
      </c>
      <c r="H273" s="10" t="s">
        <v>616</v>
      </c>
      <c r="I273" s="114" t="s">
        <v>83</v>
      </c>
      <c r="J273" s="114" t="s">
        <v>84</v>
      </c>
      <c r="K273" s="114" t="s">
        <v>83</v>
      </c>
      <c r="L273" s="113" t="s">
        <v>801</v>
      </c>
      <c r="M273" s="113" t="s">
        <v>801</v>
      </c>
      <c r="N273" s="116">
        <v>46142</v>
      </c>
      <c r="O273" s="114">
        <v>125</v>
      </c>
      <c r="P273" s="116">
        <v>46148</v>
      </c>
      <c r="Q273" s="116">
        <v>46149</v>
      </c>
      <c r="R273" s="116">
        <v>46148</v>
      </c>
      <c r="S273" s="112"/>
      <c r="T273" s="112"/>
      <c r="U273" s="112"/>
      <c r="V273" s="114" t="s">
        <v>99</v>
      </c>
      <c r="W273" s="114">
        <v>125</v>
      </c>
      <c r="X273" s="114">
        <v>120</v>
      </c>
      <c r="Y273" s="112"/>
      <c r="Z273" s="112" t="s">
        <v>87</v>
      </c>
      <c r="AA273" s="112"/>
      <c r="AB273" s="117"/>
      <c r="AC273" s="118">
        <v>25.5</v>
      </c>
      <c r="AD273" s="112"/>
      <c r="AE273" s="114">
        <v>125</v>
      </c>
      <c r="AF273" s="112" t="s">
        <v>88</v>
      </c>
      <c r="AG273" s="114" t="s">
        <v>99</v>
      </c>
      <c r="AH273" s="118">
        <v>12.5</v>
      </c>
      <c r="AI273" s="112">
        <f t="shared" si="114"/>
        <v>1562.5</v>
      </c>
      <c r="AJ273" s="112"/>
      <c r="AK273" s="115" t="s">
        <v>803</v>
      </c>
      <c r="AL273" s="114">
        <v>120</v>
      </c>
      <c r="AM273" s="112">
        <v>19</v>
      </c>
      <c r="AN273" s="112">
        <f t="shared" si="115"/>
        <v>2280</v>
      </c>
      <c r="AO273" s="112"/>
      <c r="AP273" s="112"/>
      <c r="AQ273" s="112">
        <f t="shared" si="116"/>
        <v>0</v>
      </c>
      <c r="AR273" s="112">
        <f t="shared" si="117"/>
        <v>2280</v>
      </c>
      <c r="AS273" s="112"/>
      <c r="AT273" s="110" t="s">
        <v>534</v>
      </c>
      <c r="AU273" s="111"/>
      <c r="AV273" s="112">
        <f t="shared" si="118"/>
        <v>19</v>
      </c>
      <c r="AW273" s="112">
        <f t="shared" si="119"/>
        <v>2280</v>
      </c>
      <c r="AX273" s="112"/>
      <c r="AY273" s="13" t="s">
        <v>144</v>
      </c>
      <c r="AZ273" s="124"/>
      <c r="BA273" s="112">
        <f t="shared" si="120"/>
        <v>19</v>
      </c>
      <c r="BB273" s="112">
        <f t="shared" si="121"/>
        <v>120</v>
      </c>
      <c r="BC273" s="112">
        <f t="shared" si="122"/>
        <v>2280</v>
      </c>
      <c r="BD273" s="112"/>
      <c r="BE273" s="112" t="s">
        <v>129</v>
      </c>
      <c r="BF273" s="113" t="s">
        <v>829</v>
      </c>
      <c r="BG273" s="120" t="s">
        <v>619</v>
      </c>
    </row>
    <row r="274" spans="1:59" s="120" customFormat="1" ht="15" customHeight="1">
      <c r="A274" s="112">
        <f t="shared" si="113"/>
        <v>272</v>
      </c>
      <c r="B274" s="113" t="s">
        <v>831</v>
      </c>
      <c r="C274" s="114" t="s">
        <v>809</v>
      </c>
      <c r="D274" s="122"/>
      <c r="E274" s="114" t="s">
        <v>832</v>
      </c>
      <c r="F274" s="112"/>
      <c r="G274" s="115" t="s">
        <v>81</v>
      </c>
      <c r="H274" s="10" t="s">
        <v>616</v>
      </c>
      <c r="I274" s="114" t="s">
        <v>83</v>
      </c>
      <c r="J274" s="114" t="s">
        <v>84</v>
      </c>
      <c r="K274" s="114" t="s">
        <v>83</v>
      </c>
      <c r="L274" s="113" t="s">
        <v>801</v>
      </c>
      <c r="M274" s="113" t="s">
        <v>801</v>
      </c>
      <c r="N274" s="116">
        <v>46142</v>
      </c>
      <c r="O274" s="114">
        <v>10</v>
      </c>
      <c r="P274" s="116">
        <v>46148</v>
      </c>
      <c r="Q274" s="116">
        <v>46149</v>
      </c>
      <c r="R274" s="116">
        <v>46148</v>
      </c>
      <c r="S274" s="112"/>
      <c r="T274" s="112"/>
      <c r="U274" s="112"/>
      <c r="V274" s="114" t="s">
        <v>99</v>
      </c>
      <c r="W274" s="114">
        <v>10</v>
      </c>
      <c r="X274" s="114">
        <v>10</v>
      </c>
      <c r="Y274" s="112"/>
      <c r="Z274" s="112" t="s">
        <v>87</v>
      </c>
      <c r="AA274" s="112"/>
      <c r="AB274" s="117"/>
      <c r="AC274" s="118">
        <v>25.5</v>
      </c>
      <c r="AD274" s="112"/>
      <c r="AE274" s="114">
        <v>10</v>
      </c>
      <c r="AF274" s="112" t="s">
        <v>88</v>
      </c>
      <c r="AG274" s="114" t="s">
        <v>99</v>
      </c>
      <c r="AH274" s="118">
        <v>12.5</v>
      </c>
      <c r="AI274" s="112">
        <f t="shared" si="114"/>
        <v>125</v>
      </c>
      <c r="AJ274" s="112"/>
      <c r="AK274" s="115" t="s">
        <v>803</v>
      </c>
      <c r="AL274" s="114">
        <v>10</v>
      </c>
      <c r="AM274" s="112">
        <v>19</v>
      </c>
      <c r="AN274" s="112">
        <f t="shared" si="115"/>
        <v>190</v>
      </c>
      <c r="AO274" s="112"/>
      <c r="AP274" s="112"/>
      <c r="AQ274" s="112">
        <f t="shared" si="116"/>
        <v>0</v>
      </c>
      <c r="AR274" s="112">
        <f t="shared" si="117"/>
        <v>190</v>
      </c>
      <c r="AS274" s="112"/>
      <c r="AT274" s="110" t="s">
        <v>534</v>
      </c>
      <c r="AU274" s="111"/>
      <c r="AV274" s="112">
        <f t="shared" si="118"/>
        <v>19</v>
      </c>
      <c r="AW274" s="112">
        <f t="shared" si="119"/>
        <v>190</v>
      </c>
      <c r="AX274" s="112"/>
      <c r="AY274" s="13" t="s">
        <v>144</v>
      </c>
      <c r="AZ274" s="124"/>
      <c r="BA274" s="112">
        <f t="shared" si="120"/>
        <v>19</v>
      </c>
      <c r="BB274" s="112">
        <f t="shared" si="121"/>
        <v>10</v>
      </c>
      <c r="BC274" s="112">
        <f t="shared" si="122"/>
        <v>190</v>
      </c>
      <c r="BD274" s="112"/>
      <c r="BE274" s="112" t="s">
        <v>135</v>
      </c>
      <c r="BF274" s="113" t="s">
        <v>831</v>
      </c>
      <c r="BG274" s="120" t="s">
        <v>619</v>
      </c>
    </row>
    <row r="275" spans="1:59" s="120" customFormat="1" ht="15" customHeight="1">
      <c r="A275" s="112">
        <f t="shared" si="113"/>
        <v>273</v>
      </c>
      <c r="B275" s="113" t="s">
        <v>833</v>
      </c>
      <c r="C275" s="114" t="s">
        <v>809</v>
      </c>
      <c r="D275" s="122"/>
      <c r="E275" s="114" t="s">
        <v>834</v>
      </c>
      <c r="F275" s="112"/>
      <c r="G275" s="115" t="s">
        <v>81</v>
      </c>
      <c r="H275" s="10" t="s">
        <v>616</v>
      </c>
      <c r="I275" s="114" t="s">
        <v>83</v>
      </c>
      <c r="J275" s="114" t="s">
        <v>84</v>
      </c>
      <c r="K275" s="114" t="s">
        <v>83</v>
      </c>
      <c r="L275" s="113" t="s">
        <v>801</v>
      </c>
      <c r="M275" s="113" t="s">
        <v>801</v>
      </c>
      <c r="N275" s="116">
        <v>46142</v>
      </c>
      <c r="O275" s="114">
        <v>143</v>
      </c>
      <c r="P275" s="116">
        <v>46148</v>
      </c>
      <c r="Q275" s="116">
        <v>46149</v>
      </c>
      <c r="R275" s="116">
        <v>46148</v>
      </c>
      <c r="S275" s="112"/>
      <c r="T275" s="112"/>
      <c r="U275" s="112"/>
      <c r="V275" s="114" t="s">
        <v>99</v>
      </c>
      <c r="W275" s="114">
        <v>143</v>
      </c>
      <c r="X275" s="114">
        <v>137</v>
      </c>
      <c r="Y275" s="112"/>
      <c r="Z275" s="112" t="s">
        <v>87</v>
      </c>
      <c r="AA275" s="112"/>
      <c r="AB275" s="117"/>
      <c r="AC275" s="118">
        <v>25.5</v>
      </c>
      <c r="AD275" s="112"/>
      <c r="AE275" s="114">
        <v>143</v>
      </c>
      <c r="AF275" s="112" t="s">
        <v>88</v>
      </c>
      <c r="AG275" s="114" t="s">
        <v>99</v>
      </c>
      <c r="AH275" s="118">
        <v>12.5</v>
      </c>
      <c r="AI275" s="112">
        <f t="shared" si="114"/>
        <v>1787.5</v>
      </c>
      <c r="AJ275" s="112"/>
      <c r="AK275" s="115" t="s">
        <v>803</v>
      </c>
      <c r="AL275" s="114">
        <v>137</v>
      </c>
      <c r="AM275" s="112">
        <v>19</v>
      </c>
      <c r="AN275" s="112">
        <f t="shared" si="115"/>
        <v>2603</v>
      </c>
      <c r="AO275" s="112"/>
      <c r="AP275" s="112"/>
      <c r="AQ275" s="112">
        <f t="shared" si="116"/>
        <v>0</v>
      </c>
      <c r="AR275" s="112">
        <f t="shared" si="117"/>
        <v>2603</v>
      </c>
      <c r="AS275" s="112"/>
      <c r="AT275" s="110" t="s">
        <v>534</v>
      </c>
      <c r="AU275" s="111"/>
      <c r="AV275" s="112">
        <f t="shared" si="118"/>
        <v>19</v>
      </c>
      <c r="AW275" s="112">
        <f t="shared" si="119"/>
        <v>2603</v>
      </c>
      <c r="AX275" s="112"/>
      <c r="AY275" s="13" t="s">
        <v>144</v>
      </c>
      <c r="AZ275" s="124"/>
      <c r="BA275" s="112">
        <f t="shared" si="120"/>
        <v>19</v>
      </c>
      <c r="BB275" s="112">
        <f t="shared" si="121"/>
        <v>137</v>
      </c>
      <c r="BC275" s="112">
        <f t="shared" si="122"/>
        <v>2603</v>
      </c>
      <c r="BD275" s="112"/>
      <c r="BE275" s="112" t="s">
        <v>138</v>
      </c>
      <c r="BF275" s="113" t="s">
        <v>833</v>
      </c>
      <c r="BG275" s="120" t="s">
        <v>619</v>
      </c>
    </row>
    <row r="276" spans="1:59" s="120" customFormat="1" ht="15" customHeight="1">
      <c r="A276" s="112">
        <f t="shared" si="113"/>
        <v>274</v>
      </c>
      <c r="B276" s="113" t="s">
        <v>835</v>
      </c>
      <c r="C276" s="114" t="s">
        <v>807</v>
      </c>
      <c r="D276" s="122"/>
      <c r="E276" s="114" t="s">
        <v>836</v>
      </c>
      <c r="F276" s="112"/>
      <c r="G276" s="115" t="s">
        <v>81</v>
      </c>
      <c r="H276" s="10" t="s">
        <v>616</v>
      </c>
      <c r="I276" s="114" t="s">
        <v>83</v>
      </c>
      <c r="J276" s="114" t="s">
        <v>84</v>
      </c>
      <c r="K276" s="114" t="s">
        <v>83</v>
      </c>
      <c r="L276" s="113" t="s">
        <v>801</v>
      </c>
      <c r="M276" s="113" t="s">
        <v>801</v>
      </c>
      <c r="N276" s="116">
        <v>46142</v>
      </c>
      <c r="O276" s="114">
        <v>10</v>
      </c>
      <c r="P276" s="116">
        <v>46148</v>
      </c>
      <c r="Q276" s="116">
        <v>46149</v>
      </c>
      <c r="R276" s="116">
        <v>46148</v>
      </c>
      <c r="S276" s="112"/>
      <c r="T276" s="112"/>
      <c r="U276" s="112"/>
      <c r="V276" s="114" t="s">
        <v>99</v>
      </c>
      <c r="W276" s="114">
        <v>10</v>
      </c>
      <c r="X276" s="114">
        <v>10</v>
      </c>
      <c r="Y276" s="112"/>
      <c r="Z276" s="112" t="s">
        <v>87</v>
      </c>
      <c r="AA276" s="112"/>
      <c r="AB276" s="117"/>
      <c r="AC276" s="118">
        <v>25.5</v>
      </c>
      <c r="AD276" s="112"/>
      <c r="AE276" s="114">
        <v>10</v>
      </c>
      <c r="AF276" s="112" t="s">
        <v>88</v>
      </c>
      <c r="AG276" s="114" t="s">
        <v>99</v>
      </c>
      <c r="AH276" s="118">
        <v>12.5</v>
      </c>
      <c r="AI276" s="112">
        <f t="shared" si="114"/>
        <v>125</v>
      </c>
      <c r="AJ276" s="112"/>
      <c r="AK276" s="115" t="s">
        <v>803</v>
      </c>
      <c r="AL276" s="114">
        <v>10</v>
      </c>
      <c r="AM276" s="112">
        <v>19</v>
      </c>
      <c r="AN276" s="112">
        <f t="shared" si="115"/>
        <v>190</v>
      </c>
      <c r="AO276" s="112"/>
      <c r="AP276" s="112"/>
      <c r="AQ276" s="112">
        <f t="shared" si="116"/>
        <v>0</v>
      </c>
      <c r="AR276" s="112">
        <f t="shared" si="117"/>
        <v>190</v>
      </c>
      <c r="AS276" s="112"/>
      <c r="AT276" s="110" t="s">
        <v>534</v>
      </c>
      <c r="AU276" s="111"/>
      <c r="AV276" s="112">
        <f t="shared" si="118"/>
        <v>19</v>
      </c>
      <c r="AW276" s="112">
        <f t="shared" si="119"/>
        <v>190</v>
      </c>
      <c r="AX276" s="112"/>
      <c r="AY276" s="13" t="s">
        <v>144</v>
      </c>
      <c r="AZ276" s="124"/>
      <c r="BA276" s="112">
        <f t="shared" si="120"/>
        <v>19</v>
      </c>
      <c r="BB276" s="112">
        <f t="shared" si="121"/>
        <v>10</v>
      </c>
      <c r="BC276" s="112">
        <f t="shared" si="122"/>
        <v>190</v>
      </c>
      <c r="BD276" s="112"/>
      <c r="BE276" s="112" t="s">
        <v>132</v>
      </c>
      <c r="BF276" s="113" t="s">
        <v>835</v>
      </c>
      <c r="BG276" s="120" t="s">
        <v>619</v>
      </c>
    </row>
    <row r="277" spans="1:59" s="120" customFormat="1" ht="15" customHeight="1">
      <c r="A277" s="112">
        <f t="shared" si="113"/>
        <v>275</v>
      </c>
      <c r="B277" s="113" t="s">
        <v>837</v>
      </c>
      <c r="C277" s="114" t="s">
        <v>807</v>
      </c>
      <c r="D277" s="122"/>
      <c r="E277" s="114" t="s">
        <v>838</v>
      </c>
      <c r="F277" s="112"/>
      <c r="G277" s="115" t="s">
        <v>81</v>
      </c>
      <c r="H277" s="10" t="s">
        <v>616</v>
      </c>
      <c r="I277" s="114" t="s">
        <v>83</v>
      </c>
      <c r="J277" s="114" t="s">
        <v>84</v>
      </c>
      <c r="K277" s="114" t="s">
        <v>83</v>
      </c>
      <c r="L277" s="113" t="s">
        <v>801</v>
      </c>
      <c r="M277" s="113" t="s">
        <v>801</v>
      </c>
      <c r="N277" s="116">
        <v>46142</v>
      </c>
      <c r="O277" s="114">
        <v>109</v>
      </c>
      <c r="P277" s="116">
        <v>46148</v>
      </c>
      <c r="Q277" s="116">
        <v>46149</v>
      </c>
      <c r="R277" s="116">
        <v>46148</v>
      </c>
      <c r="S277" s="112"/>
      <c r="T277" s="112"/>
      <c r="U277" s="112"/>
      <c r="V277" s="114" t="s">
        <v>99</v>
      </c>
      <c r="W277" s="114">
        <v>109</v>
      </c>
      <c r="X277" s="114">
        <v>105</v>
      </c>
      <c r="Y277" s="112"/>
      <c r="Z277" s="112" t="s">
        <v>87</v>
      </c>
      <c r="AA277" s="112"/>
      <c r="AB277" s="117"/>
      <c r="AC277" s="118">
        <v>25.5</v>
      </c>
      <c r="AD277" s="112"/>
      <c r="AE277" s="114">
        <v>109</v>
      </c>
      <c r="AF277" s="112" t="s">
        <v>88</v>
      </c>
      <c r="AG277" s="114" t="s">
        <v>99</v>
      </c>
      <c r="AH277" s="118">
        <v>12.5</v>
      </c>
      <c r="AI277" s="112">
        <f t="shared" si="114"/>
        <v>1362.5</v>
      </c>
      <c r="AJ277" s="112"/>
      <c r="AK277" s="115" t="s">
        <v>803</v>
      </c>
      <c r="AL277" s="114">
        <v>105</v>
      </c>
      <c r="AM277" s="112">
        <v>19</v>
      </c>
      <c r="AN277" s="112">
        <f t="shared" si="115"/>
        <v>1995</v>
      </c>
      <c r="AO277" s="112"/>
      <c r="AP277" s="112"/>
      <c r="AQ277" s="112">
        <f t="shared" si="116"/>
        <v>0</v>
      </c>
      <c r="AR277" s="112">
        <f t="shared" si="117"/>
        <v>1995</v>
      </c>
      <c r="AS277" s="112"/>
      <c r="AT277" s="110" t="s">
        <v>534</v>
      </c>
      <c r="AU277" s="111"/>
      <c r="AV277" s="112">
        <f t="shared" si="118"/>
        <v>19</v>
      </c>
      <c r="AW277" s="112">
        <f t="shared" si="119"/>
        <v>1995</v>
      </c>
      <c r="AX277" s="112"/>
      <c r="AY277" s="13" t="s">
        <v>144</v>
      </c>
      <c r="AZ277" s="124"/>
      <c r="BA277" s="112">
        <f t="shared" si="120"/>
        <v>19</v>
      </c>
      <c r="BB277" s="112">
        <f t="shared" si="121"/>
        <v>105</v>
      </c>
      <c r="BC277" s="112">
        <f t="shared" si="122"/>
        <v>1995</v>
      </c>
      <c r="BD277" s="112"/>
      <c r="BE277" s="112" t="s">
        <v>182</v>
      </c>
      <c r="BF277" s="113" t="s">
        <v>837</v>
      </c>
      <c r="BG277" s="120" t="s">
        <v>619</v>
      </c>
    </row>
    <row r="278" spans="1:59" s="120" customFormat="1" ht="15" customHeight="1">
      <c r="A278" s="112">
        <f t="shared" si="113"/>
        <v>276</v>
      </c>
      <c r="B278" s="113" t="s">
        <v>839</v>
      </c>
      <c r="C278" s="114" t="s">
        <v>807</v>
      </c>
      <c r="D278" s="122"/>
      <c r="E278" s="114" t="s">
        <v>840</v>
      </c>
      <c r="F278" s="112"/>
      <c r="G278" s="115" t="s">
        <v>81</v>
      </c>
      <c r="H278" s="10" t="s">
        <v>616</v>
      </c>
      <c r="I278" s="114" t="s">
        <v>83</v>
      </c>
      <c r="J278" s="114" t="s">
        <v>84</v>
      </c>
      <c r="K278" s="114" t="s">
        <v>83</v>
      </c>
      <c r="L278" s="113" t="s">
        <v>801</v>
      </c>
      <c r="M278" s="113" t="s">
        <v>801</v>
      </c>
      <c r="N278" s="116">
        <v>46142</v>
      </c>
      <c r="O278" s="114">
        <v>218</v>
      </c>
      <c r="P278" s="116">
        <v>46148</v>
      </c>
      <c r="Q278" s="116">
        <v>46149</v>
      </c>
      <c r="R278" s="116">
        <v>46148</v>
      </c>
      <c r="S278" s="112"/>
      <c r="T278" s="112"/>
      <c r="U278" s="112"/>
      <c r="V278" s="114" t="s">
        <v>99</v>
      </c>
      <c r="W278" s="114">
        <v>218</v>
      </c>
      <c r="X278" s="114">
        <v>212</v>
      </c>
      <c r="Y278" s="112"/>
      <c r="Z278" s="112" t="s">
        <v>87</v>
      </c>
      <c r="AA278" s="112"/>
      <c r="AB278" s="117"/>
      <c r="AC278" s="118">
        <v>25.5</v>
      </c>
      <c r="AD278" s="112"/>
      <c r="AE278" s="114">
        <v>218</v>
      </c>
      <c r="AF278" s="112" t="s">
        <v>88</v>
      </c>
      <c r="AG278" s="114" t="s">
        <v>99</v>
      </c>
      <c r="AH278" s="118">
        <v>12.5</v>
      </c>
      <c r="AI278" s="112">
        <f t="shared" si="114"/>
        <v>2725</v>
      </c>
      <c r="AJ278" s="112"/>
      <c r="AK278" s="115" t="s">
        <v>803</v>
      </c>
      <c r="AL278" s="114">
        <v>212</v>
      </c>
      <c r="AM278" s="112">
        <v>19</v>
      </c>
      <c r="AN278" s="112">
        <f t="shared" si="115"/>
        <v>4028</v>
      </c>
      <c r="AO278" s="112"/>
      <c r="AP278" s="112"/>
      <c r="AQ278" s="112">
        <f t="shared" si="116"/>
        <v>0</v>
      </c>
      <c r="AR278" s="112">
        <f t="shared" si="117"/>
        <v>4028</v>
      </c>
      <c r="AS278" s="112"/>
      <c r="AT278" s="110" t="s">
        <v>534</v>
      </c>
      <c r="AU278" s="111"/>
      <c r="AV278" s="112">
        <f t="shared" si="118"/>
        <v>19</v>
      </c>
      <c r="AW278" s="112">
        <f t="shared" si="119"/>
        <v>4028</v>
      </c>
      <c r="AX278" s="112"/>
      <c r="AY278" s="13" t="s">
        <v>144</v>
      </c>
      <c r="AZ278" s="124"/>
      <c r="BA278" s="112">
        <f t="shared" si="120"/>
        <v>19</v>
      </c>
      <c r="BB278" s="112">
        <f t="shared" si="121"/>
        <v>212</v>
      </c>
      <c r="BC278" s="112">
        <f t="shared" si="122"/>
        <v>4028</v>
      </c>
      <c r="BD278" s="112"/>
      <c r="BE278" s="112" t="s">
        <v>185</v>
      </c>
      <c r="BF278" s="113" t="s">
        <v>839</v>
      </c>
      <c r="BG278" s="120" t="s">
        <v>619</v>
      </c>
    </row>
    <row r="279" spans="1:59" s="120" customFormat="1" ht="15" customHeight="1">
      <c r="A279" s="112">
        <f t="shared" si="113"/>
        <v>277</v>
      </c>
      <c r="B279" s="113" t="s">
        <v>841</v>
      </c>
      <c r="C279" s="114" t="s">
        <v>810</v>
      </c>
      <c r="D279" s="122"/>
      <c r="E279" s="114" t="s">
        <v>842</v>
      </c>
      <c r="F279" s="112"/>
      <c r="G279" s="115" t="s">
        <v>81</v>
      </c>
      <c r="H279" s="10" t="s">
        <v>616</v>
      </c>
      <c r="I279" s="114" t="s">
        <v>83</v>
      </c>
      <c r="J279" s="114" t="s">
        <v>84</v>
      </c>
      <c r="K279" s="114" t="s">
        <v>83</v>
      </c>
      <c r="L279" s="113" t="s">
        <v>801</v>
      </c>
      <c r="M279" s="113" t="s">
        <v>801</v>
      </c>
      <c r="N279" s="116">
        <v>46142</v>
      </c>
      <c r="O279" s="114">
        <v>90</v>
      </c>
      <c r="P279" s="116">
        <v>46148</v>
      </c>
      <c r="Q279" s="116">
        <v>46149</v>
      </c>
      <c r="R279" s="116">
        <v>46148</v>
      </c>
      <c r="S279" s="112"/>
      <c r="T279" s="112"/>
      <c r="U279" s="112"/>
      <c r="V279" s="114" t="s">
        <v>99</v>
      </c>
      <c r="W279" s="114">
        <v>90</v>
      </c>
      <c r="X279" s="114">
        <v>90</v>
      </c>
      <c r="Y279" s="112"/>
      <c r="Z279" s="112" t="s">
        <v>87</v>
      </c>
      <c r="AA279" s="112"/>
      <c r="AB279" s="117"/>
      <c r="AC279" s="118">
        <v>25.5</v>
      </c>
      <c r="AD279" s="112"/>
      <c r="AE279" s="114">
        <v>90</v>
      </c>
      <c r="AF279" s="112" t="s">
        <v>88</v>
      </c>
      <c r="AG279" s="114" t="s">
        <v>99</v>
      </c>
      <c r="AH279" s="118">
        <v>12.5</v>
      </c>
      <c r="AI279" s="112">
        <f t="shared" si="114"/>
        <v>1125</v>
      </c>
      <c r="AJ279" s="112"/>
      <c r="AK279" s="115" t="s">
        <v>803</v>
      </c>
      <c r="AL279" s="114">
        <v>90</v>
      </c>
      <c r="AM279" s="112">
        <v>19</v>
      </c>
      <c r="AN279" s="112">
        <f t="shared" si="115"/>
        <v>1710</v>
      </c>
      <c r="AO279" s="112"/>
      <c r="AP279" s="112"/>
      <c r="AQ279" s="112">
        <f t="shared" si="116"/>
        <v>0</v>
      </c>
      <c r="AR279" s="112">
        <f t="shared" si="117"/>
        <v>1710</v>
      </c>
      <c r="AS279" s="112"/>
      <c r="AT279" s="110" t="s">
        <v>534</v>
      </c>
      <c r="AU279" s="111"/>
      <c r="AV279" s="112">
        <f t="shared" si="118"/>
        <v>19</v>
      </c>
      <c r="AW279" s="112">
        <f t="shared" si="119"/>
        <v>1710</v>
      </c>
      <c r="AX279" s="112"/>
      <c r="AY279" s="13" t="s">
        <v>144</v>
      </c>
      <c r="AZ279" s="124"/>
      <c r="BA279" s="112">
        <f t="shared" si="120"/>
        <v>19</v>
      </c>
      <c r="BB279" s="112">
        <f t="shared" si="121"/>
        <v>90</v>
      </c>
      <c r="BC279" s="112">
        <f t="shared" si="122"/>
        <v>1710</v>
      </c>
      <c r="BD279" s="112"/>
      <c r="BE279" s="112" t="s">
        <v>188</v>
      </c>
      <c r="BF279" s="113" t="s">
        <v>841</v>
      </c>
      <c r="BG279" s="120" t="s">
        <v>619</v>
      </c>
    </row>
    <row r="280" spans="1:59" s="120" customFormat="1" ht="15" customHeight="1">
      <c r="A280" s="112">
        <f t="shared" si="113"/>
        <v>278</v>
      </c>
      <c r="B280" s="113" t="s">
        <v>843</v>
      </c>
      <c r="C280" s="114" t="s">
        <v>810</v>
      </c>
      <c r="D280" s="122"/>
      <c r="E280" s="114" t="s">
        <v>844</v>
      </c>
      <c r="F280" s="112"/>
      <c r="G280" s="115" t="s">
        <v>81</v>
      </c>
      <c r="H280" s="10" t="s">
        <v>616</v>
      </c>
      <c r="I280" s="114" t="s">
        <v>83</v>
      </c>
      <c r="J280" s="114" t="s">
        <v>84</v>
      </c>
      <c r="K280" s="114" t="s">
        <v>83</v>
      </c>
      <c r="L280" s="113" t="s">
        <v>801</v>
      </c>
      <c r="M280" s="113" t="s">
        <v>801</v>
      </c>
      <c r="N280" s="116">
        <v>46142</v>
      </c>
      <c r="O280" s="114">
        <v>129</v>
      </c>
      <c r="P280" s="116">
        <v>46148</v>
      </c>
      <c r="Q280" s="116">
        <v>46149</v>
      </c>
      <c r="R280" s="116">
        <v>46148</v>
      </c>
      <c r="S280" s="112"/>
      <c r="T280" s="112"/>
      <c r="U280" s="112"/>
      <c r="V280" s="114" t="s">
        <v>99</v>
      </c>
      <c r="W280" s="114">
        <v>129</v>
      </c>
      <c r="X280" s="114">
        <v>129</v>
      </c>
      <c r="Y280" s="112"/>
      <c r="Z280" s="112" t="s">
        <v>87</v>
      </c>
      <c r="AA280" s="112"/>
      <c r="AB280" s="117"/>
      <c r="AC280" s="118">
        <v>25.5</v>
      </c>
      <c r="AD280" s="112"/>
      <c r="AE280" s="114">
        <v>129</v>
      </c>
      <c r="AF280" s="112" t="s">
        <v>88</v>
      </c>
      <c r="AG280" s="114" t="s">
        <v>99</v>
      </c>
      <c r="AH280" s="118">
        <v>12.5</v>
      </c>
      <c r="AI280" s="112">
        <f t="shared" si="114"/>
        <v>1612.5</v>
      </c>
      <c r="AJ280" s="112"/>
      <c r="AK280" s="115" t="s">
        <v>803</v>
      </c>
      <c r="AL280" s="114">
        <v>129</v>
      </c>
      <c r="AM280" s="112">
        <v>19</v>
      </c>
      <c r="AN280" s="112">
        <f t="shared" si="115"/>
        <v>2451</v>
      </c>
      <c r="AO280" s="112"/>
      <c r="AP280" s="112"/>
      <c r="AQ280" s="112">
        <f t="shared" si="116"/>
        <v>0</v>
      </c>
      <c r="AR280" s="112">
        <f t="shared" si="117"/>
        <v>2451</v>
      </c>
      <c r="AS280" s="112"/>
      <c r="AT280" s="110" t="s">
        <v>534</v>
      </c>
      <c r="AU280" s="111"/>
      <c r="AV280" s="112">
        <f t="shared" si="118"/>
        <v>19</v>
      </c>
      <c r="AW280" s="112">
        <f t="shared" si="119"/>
        <v>2451</v>
      </c>
      <c r="AX280" s="112"/>
      <c r="AY280" s="13" t="s">
        <v>144</v>
      </c>
      <c r="AZ280" s="124"/>
      <c r="BA280" s="112">
        <f t="shared" si="120"/>
        <v>19</v>
      </c>
      <c r="BB280" s="112">
        <f t="shared" si="121"/>
        <v>129</v>
      </c>
      <c r="BC280" s="112">
        <f t="shared" si="122"/>
        <v>2451</v>
      </c>
      <c r="BD280" s="112"/>
      <c r="BE280" s="112" t="s">
        <v>192</v>
      </c>
      <c r="BF280" s="113" t="s">
        <v>843</v>
      </c>
      <c r="BG280" s="120" t="s">
        <v>619</v>
      </c>
    </row>
    <row r="281" spans="1:59" s="120" customFormat="1" ht="15" customHeight="1">
      <c r="A281" s="112">
        <f t="shared" si="113"/>
        <v>279</v>
      </c>
      <c r="B281" s="113" t="s">
        <v>845</v>
      </c>
      <c r="C281" s="114" t="s">
        <v>805</v>
      </c>
      <c r="D281" s="122"/>
      <c r="E281" s="114" t="s">
        <v>846</v>
      </c>
      <c r="F281" s="112"/>
      <c r="G281" s="115" t="s">
        <v>81</v>
      </c>
      <c r="H281" s="10" t="s">
        <v>616</v>
      </c>
      <c r="I281" s="114" t="s">
        <v>83</v>
      </c>
      <c r="J281" s="114" t="s">
        <v>84</v>
      </c>
      <c r="K281" s="114" t="s">
        <v>83</v>
      </c>
      <c r="L281" s="113" t="s">
        <v>801</v>
      </c>
      <c r="M281" s="113" t="s">
        <v>801</v>
      </c>
      <c r="N281" s="116">
        <v>46142</v>
      </c>
      <c r="O281" s="114">
        <v>266</v>
      </c>
      <c r="P281" s="116">
        <v>46148</v>
      </c>
      <c r="Q281" s="116">
        <v>46149</v>
      </c>
      <c r="R281" s="116">
        <v>46148</v>
      </c>
      <c r="S281" s="112"/>
      <c r="T281" s="112"/>
      <c r="U281" s="112"/>
      <c r="V281" s="114" t="s">
        <v>99</v>
      </c>
      <c r="W281" s="114">
        <v>266</v>
      </c>
      <c r="X281" s="114">
        <v>266</v>
      </c>
      <c r="Y281" s="112"/>
      <c r="Z281" s="112" t="s">
        <v>87</v>
      </c>
      <c r="AA281" s="112"/>
      <c r="AB281" s="117"/>
      <c r="AC281" s="118">
        <v>25.5</v>
      </c>
      <c r="AD281" s="112"/>
      <c r="AE281" s="114">
        <v>266</v>
      </c>
      <c r="AF281" s="112" t="s">
        <v>88</v>
      </c>
      <c r="AG281" s="114" t="s">
        <v>99</v>
      </c>
      <c r="AH281" s="118">
        <v>12.5</v>
      </c>
      <c r="AI281" s="112">
        <f t="shared" si="114"/>
        <v>3325</v>
      </c>
      <c r="AJ281" s="112"/>
      <c r="AK281" s="115" t="s">
        <v>803</v>
      </c>
      <c r="AL281" s="114">
        <v>266</v>
      </c>
      <c r="AM281" s="112">
        <v>19</v>
      </c>
      <c r="AN281" s="112">
        <f t="shared" si="115"/>
        <v>5054</v>
      </c>
      <c r="AO281" s="112"/>
      <c r="AP281" s="112"/>
      <c r="AQ281" s="112">
        <f t="shared" si="116"/>
        <v>0</v>
      </c>
      <c r="AR281" s="112">
        <f t="shared" si="117"/>
        <v>5054</v>
      </c>
      <c r="AS281" s="112"/>
      <c r="AT281" s="110" t="s">
        <v>534</v>
      </c>
      <c r="AU281" s="111"/>
      <c r="AV281" s="112">
        <f t="shared" si="118"/>
        <v>19</v>
      </c>
      <c r="AW281" s="112">
        <f t="shared" si="119"/>
        <v>5054</v>
      </c>
      <c r="AX281" s="112"/>
      <c r="AY281" s="13" t="s">
        <v>144</v>
      </c>
      <c r="AZ281" s="124"/>
      <c r="BA281" s="112">
        <f t="shared" si="120"/>
        <v>19</v>
      </c>
      <c r="BB281" s="112">
        <f t="shared" si="121"/>
        <v>266</v>
      </c>
      <c r="BC281" s="112">
        <f t="shared" si="122"/>
        <v>5054</v>
      </c>
      <c r="BD281" s="112"/>
      <c r="BE281" s="112" t="s">
        <v>195</v>
      </c>
      <c r="BF281" s="113" t="s">
        <v>845</v>
      </c>
      <c r="BG281" s="120" t="s">
        <v>619</v>
      </c>
    </row>
    <row r="282" spans="1:59" s="120" customFormat="1" ht="15" customHeight="1">
      <c r="A282" s="112">
        <f t="shared" si="113"/>
        <v>280</v>
      </c>
      <c r="B282" s="113" t="s">
        <v>847</v>
      </c>
      <c r="C282" s="114" t="s">
        <v>805</v>
      </c>
      <c r="D282" s="122"/>
      <c r="E282" s="114" t="s">
        <v>848</v>
      </c>
      <c r="F282" s="112"/>
      <c r="G282" s="115" t="s">
        <v>81</v>
      </c>
      <c r="H282" s="10" t="s">
        <v>616</v>
      </c>
      <c r="I282" s="114" t="s">
        <v>83</v>
      </c>
      <c r="J282" s="114" t="s">
        <v>84</v>
      </c>
      <c r="K282" s="114" t="s">
        <v>83</v>
      </c>
      <c r="L282" s="113" t="s">
        <v>801</v>
      </c>
      <c r="M282" s="113" t="s">
        <v>801</v>
      </c>
      <c r="N282" s="116">
        <v>46142</v>
      </c>
      <c r="O282" s="114">
        <v>300</v>
      </c>
      <c r="P282" s="116">
        <v>46148</v>
      </c>
      <c r="Q282" s="116">
        <v>46149</v>
      </c>
      <c r="R282" s="116">
        <v>46148</v>
      </c>
      <c r="S282" s="112"/>
      <c r="T282" s="112"/>
      <c r="U282" s="112"/>
      <c r="V282" s="114" t="s">
        <v>99</v>
      </c>
      <c r="W282" s="114">
        <v>300</v>
      </c>
      <c r="X282" s="114">
        <v>300</v>
      </c>
      <c r="Y282" s="112"/>
      <c r="Z282" s="112" t="s">
        <v>87</v>
      </c>
      <c r="AA282" s="112"/>
      <c r="AB282" s="117"/>
      <c r="AC282" s="118">
        <v>25.5</v>
      </c>
      <c r="AD282" s="112"/>
      <c r="AE282" s="114">
        <v>300</v>
      </c>
      <c r="AF282" s="112" t="s">
        <v>88</v>
      </c>
      <c r="AG282" s="114" t="s">
        <v>99</v>
      </c>
      <c r="AH282" s="118">
        <v>12.5</v>
      </c>
      <c r="AI282" s="112">
        <f t="shared" si="114"/>
        <v>3750</v>
      </c>
      <c r="AJ282" s="112"/>
      <c r="AK282" s="115" t="s">
        <v>803</v>
      </c>
      <c r="AL282" s="114">
        <v>300</v>
      </c>
      <c r="AM282" s="112">
        <v>19</v>
      </c>
      <c r="AN282" s="112">
        <f t="shared" si="115"/>
        <v>5700</v>
      </c>
      <c r="AO282" s="112"/>
      <c r="AP282" s="112"/>
      <c r="AQ282" s="112">
        <f t="shared" si="116"/>
        <v>0</v>
      </c>
      <c r="AR282" s="112">
        <f t="shared" si="117"/>
        <v>5700</v>
      </c>
      <c r="AS282" s="112"/>
      <c r="AT282" s="110" t="s">
        <v>534</v>
      </c>
      <c r="AU282" s="111"/>
      <c r="AV282" s="112">
        <f t="shared" si="118"/>
        <v>19</v>
      </c>
      <c r="AW282" s="112">
        <f t="shared" si="119"/>
        <v>5700</v>
      </c>
      <c r="AX282" s="112"/>
      <c r="AY282" s="13" t="s">
        <v>144</v>
      </c>
      <c r="AZ282" s="124"/>
      <c r="BA282" s="112">
        <f t="shared" si="120"/>
        <v>19</v>
      </c>
      <c r="BB282" s="112">
        <f t="shared" si="121"/>
        <v>300</v>
      </c>
      <c r="BC282" s="112">
        <f t="shared" si="122"/>
        <v>5700</v>
      </c>
      <c r="BD282" s="112"/>
      <c r="BE282" s="112" t="s">
        <v>199</v>
      </c>
      <c r="BF282" s="113" t="s">
        <v>847</v>
      </c>
      <c r="BG282" s="120" t="s">
        <v>619</v>
      </c>
    </row>
    <row r="283" spans="1:59" s="120" customFormat="1" ht="15" customHeight="1">
      <c r="A283" s="112">
        <f t="shared" si="113"/>
        <v>281</v>
      </c>
      <c r="B283" s="113" t="s">
        <v>849</v>
      </c>
      <c r="C283" s="114" t="s">
        <v>805</v>
      </c>
      <c r="D283" s="122"/>
      <c r="E283" s="114" t="s">
        <v>850</v>
      </c>
      <c r="F283" s="112"/>
      <c r="G283" s="115" t="s">
        <v>81</v>
      </c>
      <c r="H283" s="10" t="s">
        <v>616</v>
      </c>
      <c r="I283" s="114" t="s">
        <v>83</v>
      </c>
      <c r="J283" s="114" t="s">
        <v>84</v>
      </c>
      <c r="K283" s="114" t="s">
        <v>83</v>
      </c>
      <c r="L283" s="113" t="s">
        <v>801</v>
      </c>
      <c r="M283" s="113" t="s">
        <v>801</v>
      </c>
      <c r="N283" s="116">
        <v>46142</v>
      </c>
      <c r="O283" s="114">
        <v>120</v>
      </c>
      <c r="P283" s="116">
        <v>46148</v>
      </c>
      <c r="Q283" s="116">
        <v>46149</v>
      </c>
      <c r="R283" s="116">
        <v>46148</v>
      </c>
      <c r="S283" s="112"/>
      <c r="T283" s="112"/>
      <c r="U283" s="112"/>
      <c r="V283" s="114" t="s">
        <v>99</v>
      </c>
      <c r="W283" s="114">
        <v>120</v>
      </c>
      <c r="X283" s="114">
        <v>120</v>
      </c>
      <c r="Y283" s="112"/>
      <c r="Z283" s="112" t="s">
        <v>87</v>
      </c>
      <c r="AA283" s="112"/>
      <c r="AB283" s="117"/>
      <c r="AC283" s="118">
        <v>25.5</v>
      </c>
      <c r="AD283" s="112"/>
      <c r="AE283" s="114">
        <v>120</v>
      </c>
      <c r="AF283" s="112" t="s">
        <v>88</v>
      </c>
      <c r="AG283" s="114" t="s">
        <v>99</v>
      </c>
      <c r="AH283" s="118">
        <v>12.5</v>
      </c>
      <c r="AI283" s="112">
        <f t="shared" si="114"/>
        <v>1500</v>
      </c>
      <c r="AJ283" s="112"/>
      <c r="AK283" s="115" t="s">
        <v>803</v>
      </c>
      <c r="AL283" s="114">
        <v>120</v>
      </c>
      <c r="AM283" s="112">
        <v>19</v>
      </c>
      <c r="AN283" s="112">
        <f t="shared" si="115"/>
        <v>2280</v>
      </c>
      <c r="AO283" s="112"/>
      <c r="AP283" s="112"/>
      <c r="AQ283" s="112">
        <f t="shared" si="116"/>
        <v>0</v>
      </c>
      <c r="AR283" s="112">
        <f t="shared" si="117"/>
        <v>2280</v>
      </c>
      <c r="AS283" s="112"/>
      <c r="AT283" s="110" t="s">
        <v>534</v>
      </c>
      <c r="AU283" s="111"/>
      <c r="AV283" s="112">
        <f t="shared" si="118"/>
        <v>19</v>
      </c>
      <c r="AW283" s="112">
        <f t="shared" si="119"/>
        <v>2280</v>
      </c>
      <c r="AX283" s="112"/>
      <c r="AY283" s="13" t="s">
        <v>144</v>
      </c>
      <c r="AZ283" s="124"/>
      <c r="BA283" s="112">
        <f t="shared" si="120"/>
        <v>19</v>
      </c>
      <c r="BB283" s="112">
        <f t="shared" si="121"/>
        <v>120</v>
      </c>
      <c r="BC283" s="112">
        <f t="shared" si="122"/>
        <v>2280</v>
      </c>
      <c r="BD283" s="112"/>
      <c r="BE283" s="112" t="s">
        <v>202</v>
      </c>
      <c r="BF283" s="113" t="s">
        <v>849</v>
      </c>
      <c r="BG283" s="120" t="s">
        <v>619</v>
      </c>
    </row>
    <row r="284" spans="1:59" s="120" customFormat="1" ht="15" customHeight="1">
      <c r="A284" s="112">
        <f t="shared" si="113"/>
        <v>282</v>
      </c>
      <c r="B284" s="113" t="s">
        <v>851</v>
      </c>
      <c r="C284" s="114" t="s">
        <v>805</v>
      </c>
      <c r="D284" s="122"/>
      <c r="E284" s="114" t="s">
        <v>852</v>
      </c>
      <c r="F284" s="112"/>
      <c r="G284" s="115" t="s">
        <v>81</v>
      </c>
      <c r="H284" s="10" t="s">
        <v>616</v>
      </c>
      <c r="I284" s="114" t="s">
        <v>83</v>
      </c>
      <c r="J284" s="114" t="s">
        <v>84</v>
      </c>
      <c r="K284" s="114" t="s">
        <v>83</v>
      </c>
      <c r="L284" s="113" t="s">
        <v>801</v>
      </c>
      <c r="M284" s="113" t="s">
        <v>801</v>
      </c>
      <c r="N284" s="116">
        <v>46142</v>
      </c>
      <c r="O284" s="114">
        <v>62</v>
      </c>
      <c r="P284" s="116">
        <v>46148</v>
      </c>
      <c r="Q284" s="116">
        <v>46149</v>
      </c>
      <c r="R284" s="116">
        <v>46148</v>
      </c>
      <c r="S284" s="112"/>
      <c r="T284" s="112"/>
      <c r="U284" s="112"/>
      <c r="V284" s="114" t="s">
        <v>99</v>
      </c>
      <c r="W284" s="114">
        <v>62</v>
      </c>
      <c r="X284" s="114">
        <v>62</v>
      </c>
      <c r="Y284" s="112"/>
      <c r="Z284" s="112" t="s">
        <v>87</v>
      </c>
      <c r="AA284" s="112"/>
      <c r="AB284" s="117"/>
      <c r="AC284" s="118">
        <v>25.5</v>
      </c>
      <c r="AD284" s="112"/>
      <c r="AE284" s="114">
        <v>62</v>
      </c>
      <c r="AF284" s="112" t="s">
        <v>88</v>
      </c>
      <c r="AG284" s="114" t="s">
        <v>99</v>
      </c>
      <c r="AH284" s="118">
        <v>12.5</v>
      </c>
      <c r="AI284" s="112">
        <f t="shared" si="114"/>
        <v>775</v>
      </c>
      <c r="AJ284" s="112"/>
      <c r="AK284" s="115" t="s">
        <v>803</v>
      </c>
      <c r="AL284" s="114">
        <v>62</v>
      </c>
      <c r="AM284" s="112">
        <v>19</v>
      </c>
      <c r="AN284" s="112">
        <f t="shared" si="115"/>
        <v>1178</v>
      </c>
      <c r="AO284" s="112"/>
      <c r="AP284" s="112"/>
      <c r="AQ284" s="112">
        <f t="shared" si="116"/>
        <v>0</v>
      </c>
      <c r="AR284" s="112">
        <f t="shared" si="117"/>
        <v>1178</v>
      </c>
      <c r="AS284" s="112"/>
      <c r="AT284" s="110" t="s">
        <v>534</v>
      </c>
      <c r="AU284" s="111"/>
      <c r="AV284" s="112">
        <f t="shared" si="118"/>
        <v>19</v>
      </c>
      <c r="AW284" s="112">
        <f t="shared" si="119"/>
        <v>1178</v>
      </c>
      <c r="AX284" s="112"/>
      <c r="AY284" s="13" t="s">
        <v>144</v>
      </c>
      <c r="AZ284" s="124"/>
      <c r="BA284" s="112">
        <f t="shared" si="120"/>
        <v>19</v>
      </c>
      <c r="BB284" s="112">
        <f t="shared" si="121"/>
        <v>62</v>
      </c>
      <c r="BC284" s="112">
        <f t="shared" si="122"/>
        <v>1178</v>
      </c>
      <c r="BD284" s="112"/>
      <c r="BE284" s="112" t="s">
        <v>206</v>
      </c>
      <c r="BF284" s="113" t="s">
        <v>851</v>
      </c>
      <c r="BG284" s="120" t="s">
        <v>619</v>
      </c>
    </row>
    <row r="285" spans="1:59" s="120" customFormat="1" ht="15" customHeight="1">
      <c r="A285" s="112">
        <f t="shared" si="113"/>
        <v>283</v>
      </c>
      <c r="B285" s="113" t="s">
        <v>853</v>
      </c>
      <c r="C285" s="114" t="s">
        <v>854</v>
      </c>
      <c r="D285" s="122"/>
      <c r="E285" s="114" t="s">
        <v>855</v>
      </c>
      <c r="F285" s="112"/>
      <c r="G285" s="115" t="s">
        <v>81</v>
      </c>
      <c r="H285" s="10" t="s">
        <v>616</v>
      </c>
      <c r="I285" s="114" t="s">
        <v>83</v>
      </c>
      <c r="J285" s="114" t="s">
        <v>84</v>
      </c>
      <c r="K285" s="114" t="s">
        <v>83</v>
      </c>
      <c r="L285" s="113" t="s">
        <v>801</v>
      </c>
      <c r="M285" s="113" t="s">
        <v>801</v>
      </c>
      <c r="N285" s="116">
        <v>46142</v>
      </c>
      <c r="O285" s="114">
        <v>10</v>
      </c>
      <c r="P285" s="116">
        <v>46148</v>
      </c>
      <c r="Q285" s="116">
        <v>46149</v>
      </c>
      <c r="R285" s="116">
        <v>46148</v>
      </c>
      <c r="S285" s="112"/>
      <c r="T285" s="112"/>
      <c r="U285" s="112"/>
      <c r="V285" s="114" t="s">
        <v>99</v>
      </c>
      <c r="W285" s="114">
        <v>10</v>
      </c>
      <c r="X285" s="114">
        <v>10</v>
      </c>
      <c r="Y285" s="112"/>
      <c r="Z285" s="112" t="s">
        <v>87</v>
      </c>
      <c r="AA285" s="112"/>
      <c r="AB285" s="117"/>
      <c r="AC285" s="118">
        <v>25.5</v>
      </c>
      <c r="AD285" s="112"/>
      <c r="AE285" s="114">
        <v>10</v>
      </c>
      <c r="AF285" s="112" t="s">
        <v>88</v>
      </c>
      <c r="AG285" s="114" t="s">
        <v>99</v>
      </c>
      <c r="AH285" s="118">
        <v>12.5</v>
      </c>
      <c r="AI285" s="112">
        <f t="shared" si="114"/>
        <v>125</v>
      </c>
      <c r="AJ285" s="112"/>
      <c r="AK285" s="115" t="s">
        <v>803</v>
      </c>
      <c r="AL285" s="114">
        <v>10</v>
      </c>
      <c r="AM285" s="112">
        <v>19</v>
      </c>
      <c r="AN285" s="112">
        <f t="shared" si="115"/>
        <v>190</v>
      </c>
      <c r="AO285" s="112"/>
      <c r="AP285" s="112"/>
      <c r="AQ285" s="112">
        <f t="shared" si="116"/>
        <v>0</v>
      </c>
      <c r="AR285" s="112">
        <f t="shared" si="117"/>
        <v>190</v>
      </c>
      <c r="AS285" s="112"/>
      <c r="AT285" s="110" t="s">
        <v>534</v>
      </c>
      <c r="AU285" s="111"/>
      <c r="AV285" s="112">
        <f t="shared" si="118"/>
        <v>19</v>
      </c>
      <c r="AW285" s="112">
        <f t="shared" si="119"/>
        <v>190</v>
      </c>
      <c r="AX285" s="112"/>
      <c r="AY285" s="13" t="s">
        <v>144</v>
      </c>
      <c r="AZ285" s="124"/>
      <c r="BA285" s="112">
        <f t="shared" si="120"/>
        <v>19</v>
      </c>
      <c r="BB285" s="112">
        <f t="shared" si="121"/>
        <v>10</v>
      </c>
      <c r="BC285" s="112">
        <f t="shared" si="122"/>
        <v>190</v>
      </c>
      <c r="BD285" s="112"/>
      <c r="BE285" s="112" t="s">
        <v>210</v>
      </c>
      <c r="BF285" s="113" t="s">
        <v>853</v>
      </c>
      <c r="BG285" s="120" t="s">
        <v>619</v>
      </c>
    </row>
    <row r="286" spans="1:59" s="120" customFormat="1" ht="15" customHeight="1">
      <c r="A286" s="112">
        <f t="shared" si="113"/>
        <v>284</v>
      </c>
      <c r="B286" s="113" t="s">
        <v>856</v>
      </c>
      <c r="C286" s="114" t="s">
        <v>854</v>
      </c>
      <c r="D286" s="122"/>
      <c r="E286" s="114" t="s">
        <v>857</v>
      </c>
      <c r="F286" s="112"/>
      <c r="G286" s="115" t="s">
        <v>81</v>
      </c>
      <c r="H286" s="10" t="s">
        <v>616</v>
      </c>
      <c r="I286" s="114" t="s">
        <v>83</v>
      </c>
      <c r="J286" s="114" t="s">
        <v>84</v>
      </c>
      <c r="K286" s="114" t="s">
        <v>83</v>
      </c>
      <c r="L286" s="113" t="s">
        <v>801</v>
      </c>
      <c r="M286" s="113" t="s">
        <v>801</v>
      </c>
      <c r="N286" s="116">
        <v>46142</v>
      </c>
      <c r="O286" s="114">
        <v>31</v>
      </c>
      <c r="P286" s="116">
        <v>46148</v>
      </c>
      <c r="Q286" s="116">
        <v>46149</v>
      </c>
      <c r="R286" s="116">
        <v>46148</v>
      </c>
      <c r="S286" s="112"/>
      <c r="T286" s="112"/>
      <c r="U286" s="112"/>
      <c r="V286" s="114" t="s">
        <v>99</v>
      </c>
      <c r="W286" s="114">
        <v>31</v>
      </c>
      <c r="X286" s="114">
        <v>31</v>
      </c>
      <c r="Y286" s="112"/>
      <c r="Z286" s="112" t="s">
        <v>87</v>
      </c>
      <c r="AA286" s="112"/>
      <c r="AB286" s="117"/>
      <c r="AC286" s="118">
        <v>25.5</v>
      </c>
      <c r="AD286" s="112"/>
      <c r="AE286" s="114">
        <v>31</v>
      </c>
      <c r="AF286" s="112" t="s">
        <v>88</v>
      </c>
      <c r="AG286" s="114" t="s">
        <v>99</v>
      </c>
      <c r="AH286" s="118">
        <v>12.5</v>
      </c>
      <c r="AI286" s="112">
        <f t="shared" si="114"/>
        <v>387.5</v>
      </c>
      <c r="AJ286" s="112"/>
      <c r="AK286" s="115" t="s">
        <v>803</v>
      </c>
      <c r="AL286" s="114">
        <v>31</v>
      </c>
      <c r="AM286" s="112">
        <v>19</v>
      </c>
      <c r="AN286" s="112">
        <f t="shared" si="115"/>
        <v>589</v>
      </c>
      <c r="AO286" s="112"/>
      <c r="AP286" s="112"/>
      <c r="AQ286" s="112">
        <f t="shared" si="116"/>
        <v>0</v>
      </c>
      <c r="AR286" s="112">
        <f t="shared" si="117"/>
        <v>589</v>
      </c>
      <c r="AS286" s="112"/>
      <c r="AT286" s="110" t="s">
        <v>534</v>
      </c>
      <c r="AU286" s="111"/>
      <c r="AV286" s="112">
        <f t="shared" si="118"/>
        <v>19</v>
      </c>
      <c r="AW286" s="112">
        <f t="shared" si="119"/>
        <v>589</v>
      </c>
      <c r="AX286" s="112"/>
      <c r="AY286" s="13" t="s">
        <v>144</v>
      </c>
      <c r="AZ286" s="124"/>
      <c r="BA286" s="112">
        <f t="shared" si="120"/>
        <v>19</v>
      </c>
      <c r="BB286" s="112">
        <f t="shared" si="121"/>
        <v>31</v>
      </c>
      <c r="BC286" s="112">
        <f t="shared" si="122"/>
        <v>589</v>
      </c>
      <c r="BD286" s="112"/>
      <c r="BE286" s="112" t="s">
        <v>213</v>
      </c>
      <c r="BF286" s="113" t="s">
        <v>856</v>
      </c>
      <c r="BG286" s="120" t="s">
        <v>619</v>
      </c>
    </row>
    <row r="287" spans="1:59" s="120" customFormat="1" ht="15" customHeight="1">
      <c r="A287" s="112">
        <f t="shared" si="113"/>
        <v>285</v>
      </c>
      <c r="B287" s="113" t="s">
        <v>858</v>
      </c>
      <c r="C287" s="114" t="s">
        <v>854</v>
      </c>
      <c r="D287" s="122"/>
      <c r="E287" s="114" t="s">
        <v>859</v>
      </c>
      <c r="F287" s="112"/>
      <c r="G287" s="115" t="s">
        <v>81</v>
      </c>
      <c r="H287" s="10" t="s">
        <v>616</v>
      </c>
      <c r="I287" s="114" t="s">
        <v>83</v>
      </c>
      <c r="J287" s="114" t="s">
        <v>84</v>
      </c>
      <c r="K287" s="114" t="s">
        <v>83</v>
      </c>
      <c r="L287" s="113" t="s">
        <v>801</v>
      </c>
      <c r="M287" s="113" t="s">
        <v>801</v>
      </c>
      <c r="N287" s="116">
        <v>46142</v>
      </c>
      <c r="O287" s="114">
        <v>48</v>
      </c>
      <c r="P287" s="116">
        <v>46148</v>
      </c>
      <c r="Q287" s="116">
        <v>46149</v>
      </c>
      <c r="R287" s="116">
        <v>46148</v>
      </c>
      <c r="S287" s="112"/>
      <c r="T287" s="112"/>
      <c r="U287" s="112"/>
      <c r="V287" s="114" t="s">
        <v>99</v>
      </c>
      <c r="W287" s="114">
        <v>48</v>
      </c>
      <c r="X287" s="114">
        <v>48</v>
      </c>
      <c r="Y287" s="112"/>
      <c r="Z287" s="112" t="s">
        <v>87</v>
      </c>
      <c r="AA287" s="112"/>
      <c r="AB287" s="117"/>
      <c r="AC287" s="118">
        <v>25.5</v>
      </c>
      <c r="AD287" s="112"/>
      <c r="AE287" s="114">
        <v>48</v>
      </c>
      <c r="AF287" s="112" t="s">
        <v>88</v>
      </c>
      <c r="AG287" s="114" t="s">
        <v>99</v>
      </c>
      <c r="AH287" s="118">
        <v>12.5</v>
      </c>
      <c r="AI287" s="112">
        <f t="shared" si="114"/>
        <v>600</v>
      </c>
      <c r="AJ287" s="112"/>
      <c r="AK287" s="115" t="s">
        <v>803</v>
      </c>
      <c r="AL287" s="114">
        <v>48</v>
      </c>
      <c r="AM287" s="112">
        <v>19</v>
      </c>
      <c r="AN287" s="112">
        <f t="shared" si="115"/>
        <v>912</v>
      </c>
      <c r="AO287" s="112"/>
      <c r="AP287" s="112"/>
      <c r="AQ287" s="112">
        <f t="shared" si="116"/>
        <v>0</v>
      </c>
      <c r="AR287" s="112">
        <f t="shared" si="117"/>
        <v>912</v>
      </c>
      <c r="AS287" s="112"/>
      <c r="AT287" s="110" t="s">
        <v>534</v>
      </c>
      <c r="AU287" s="111"/>
      <c r="AV287" s="112">
        <f t="shared" si="118"/>
        <v>19</v>
      </c>
      <c r="AW287" s="112">
        <f t="shared" si="119"/>
        <v>912</v>
      </c>
      <c r="AX287" s="112"/>
      <c r="AY287" s="13" t="s">
        <v>144</v>
      </c>
      <c r="AZ287" s="124"/>
      <c r="BA287" s="112">
        <f t="shared" si="120"/>
        <v>19</v>
      </c>
      <c r="BB287" s="112">
        <f t="shared" si="121"/>
        <v>48</v>
      </c>
      <c r="BC287" s="112">
        <f t="shared" si="122"/>
        <v>912</v>
      </c>
      <c r="BD287" s="112"/>
      <c r="BE287" s="112" t="s">
        <v>216</v>
      </c>
      <c r="BF287" s="113" t="s">
        <v>858</v>
      </c>
      <c r="BG287" s="120" t="s">
        <v>619</v>
      </c>
    </row>
    <row r="288" spans="1:59" s="120" customFormat="1" ht="15" customHeight="1">
      <c r="A288" s="112">
        <f t="shared" si="113"/>
        <v>286</v>
      </c>
      <c r="B288" s="113" t="s">
        <v>860</v>
      </c>
      <c r="C288" s="114" t="s">
        <v>854</v>
      </c>
      <c r="D288" s="122"/>
      <c r="E288" s="114" t="s">
        <v>861</v>
      </c>
      <c r="F288" s="112"/>
      <c r="G288" s="115" t="s">
        <v>81</v>
      </c>
      <c r="H288" s="10" t="s">
        <v>616</v>
      </c>
      <c r="I288" s="114" t="s">
        <v>83</v>
      </c>
      <c r="J288" s="114" t="s">
        <v>84</v>
      </c>
      <c r="K288" s="114" t="s">
        <v>83</v>
      </c>
      <c r="L288" s="113" t="s">
        <v>801</v>
      </c>
      <c r="M288" s="113" t="s">
        <v>801</v>
      </c>
      <c r="N288" s="116">
        <v>46142</v>
      </c>
      <c r="O288" s="114">
        <v>77</v>
      </c>
      <c r="P288" s="116">
        <v>46148</v>
      </c>
      <c r="Q288" s="116">
        <v>46149</v>
      </c>
      <c r="R288" s="116">
        <v>46148</v>
      </c>
      <c r="S288" s="112"/>
      <c r="T288" s="112"/>
      <c r="U288" s="112"/>
      <c r="V288" s="114" t="s">
        <v>99</v>
      </c>
      <c r="W288" s="114">
        <v>77</v>
      </c>
      <c r="X288" s="114">
        <v>77</v>
      </c>
      <c r="Y288" s="112"/>
      <c r="Z288" s="112" t="s">
        <v>87</v>
      </c>
      <c r="AA288" s="112"/>
      <c r="AB288" s="117"/>
      <c r="AC288" s="118">
        <v>25.5</v>
      </c>
      <c r="AD288" s="112"/>
      <c r="AE288" s="114">
        <v>77</v>
      </c>
      <c r="AF288" s="112" t="s">
        <v>88</v>
      </c>
      <c r="AG288" s="114" t="s">
        <v>99</v>
      </c>
      <c r="AH288" s="118">
        <v>12.5</v>
      </c>
      <c r="AI288" s="112">
        <f t="shared" si="114"/>
        <v>962.5</v>
      </c>
      <c r="AJ288" s="112"/>
      <c r="AK288" s="115" t="s">
        <v>803</v>
      </c>
      <c r="AL288" s="114">
        <v>77</v>
      </c>
      <c r="AM288" s="112">
        <v>19</v>
      </c>
      <c r="AN288" s="112">
        <f t="shared" si="115"/>
        <v>1463</v>
      </c>
      <c r="AO288" s="112"/>
      <c r="AP288" s="112"/>
      <c r="AQ288" s="112">
        <f t="shared" si="116"/>
        <v>0</v>
      </c>
      <c r="AR288" s="112">
        <f t="shared" si="117"/>
        <v>1463</v>
      </c>
      <c r="AS288" s="112"/>
      <c r="AT288" s="110" t="s">
        <v>534</v>
      </c>
      <c r="AU288" s="111"/>
      <c r="AV288" s="112">
        <f t="shared" si="118"/>
        <v>19</v>
      </c>
      <c r="AW288" s="112">
        <f t="shared" si="119"/>
        <v>1463</v>
      </c>
      <c r="AX288" s="112"/>
      <c r="AY288" s="13" t="s">
        <v>144</v>
      </c>
      <c r="AZ288" s="124"/>
      <c r="BA288" s="112">
        <f t="shared" si="120"/>
        <v>19</v>
      </c>
      <c r="BB288" s="112">
        <f t="shared" si="121"/>
        <v>77</v>
      </c>
      <c r="BC288" s="112">
        <f t="shared" si="122"/>
        <v>1463</v>
      </c>
      <c r="BD288" s="112"/>
      <c r="BE288" s="112" t="s">
        <v>220</v>
      </c>
      <c r="BF288" s="113" t="s">
        <v>860</v>
      </c>
      <c r="BG288" s="120" t="s">
        <v>619</v>
      </c>
    </row>
    <row r="289" spans="1:59" s="120" customFormat="1" ht="15" customHeight="1">
      <c r="A289" s="112">
        <f t="shared" si="113"/>
        <v>287</v>
      </c>
      <c r="B289" s="113" t="s">
        <v>862</v>
      </c>
      <c r="C289" s="114" t="s">
        <v>854</v>
      </c>
      <c r="D289" s="122"/>
      <c r="E289" s="114" t="s">
        <v>863</v>
      </c>
      <c r="F289" s="112"/>
      <c r="G289" s="115" t="s">
        <v>81</v>
      </c>
      <c r="H289" s="10" t="s">
        <v>616</v>
      </c>
      <c r="I289" s="114" t="s">
        <v>83</v>
      </c>
      <c r="J289" s="114" t="s">
        <v>84</v>
      </c>
      <c r="K289" s="114" t="s">
        <v>83</v>
      </c>
      <c r="L289" s="113" t="s">
        <v>801</v>
      </c>
      <c r="M289" s="113" t="s">
        <v>801</v>
      </c>
      <c r="N289" s="116">
        <v>46142</v>
      </c>
      <c r="O289" s="114">
        <v>99</v>
      </c>
      <c r="P289" s="116">
        <v>46148</v>
      </c>
      <c r="Q289" s="116">
        <v>46149</v>
      </c>
      <c r="R289" s="116">
        <v>46148</v>
      </c>
      <c r="S289" s="112"/>
      <c r="T289" s="112"/>
      <c r="U289" s="112"/>
      <c r="V289" s="114" t="s">
        <v>99</v>
      </c>
      <c r="W289" s="114">
        <v>99</v>
      </c>
      <c r="X289" s="114">
        <v>99</v>
      </c>
      <c r="Y289" s="112"/>
      <c r="Z289" s="112" t="s">
        <v>87</v>
      </c>
      <c r="AA289" s="112"/>
      <c r="AB289" s="117"/>
      <c r="AC289" s="118">
        <v>25.5</v>
      </c>
      <c r="AD289" s="112"/>
      <c r="AE289" s="114">
        <v>99</v>
      </c>
      <c r="AF289" s="112" t="s">
        <v>88</v>
      </c>
      <c r="AG289" s="114" t="s">
        <v>99</v>
      </c>
      <c r="AH289" s="118">
        <v>12.5</v>
      </c>
      <c r="AI289" s="112">
        <f t="shared" si="114"/>
        <v>1237.5</v>
      </c>
      <c r="AJ289" s="112"/>
      <c r="AK289" s="115" t="s">
        <v>803</v>
      </c>
      <c r="AL289" s="114">
        <v>99</v>
      </c>
      <c r="AM289" s="112">
        <v>19</v>
      </c>
      <c r="AN289" s="112">
        <f t="shared" si="115"/>
        <v>1881</v>
      </c>
      <c r="AO289" s="112"/>
      <c r="AP289" s="112"/>
      <c r="AQ289" s="112">
        <f t="shared" si="116"/>
        <v>0</v>
      </c>
      <c r="AR289" s="112">
        <f t="shared" si="117"/>
        <v>1881</v>
      </c>
      <c r="AS289" s="112"/>
      <c r="AT289" s="110" t="s">
        <v>534</v>
      </c>
      <c r="AU289" s="111"/>
      <c r="AV289" s="112">
        <f t="shared" si="118"/>
        <v>19</v>
      </c>
      <c r="AW289" s="112">
        <f t="shared" si="119"/>
        <v>1881</v>
      </c>
      <c r="AX289" s="112"/>
      <c r="AY289" s="13" t="s">
        <v>144</v>
      </c>
      <c r="AZ289" s="124"/>
      <c r="BA289" s="112">
        <f t="shared" si="120"/>
        <v>19</v>
      </c>
      <c r="BB289" s="112">
        <f t="shared" si="121"/>
        <v>99</v>
      </c>
      <c r="BC289" s="112">
        <f t="shared" si="122"/>
        <v>1881</v>
      </c>
      <c r="BD289" s="112"/>
      <c r="BE289" s="112" t="s">
        <v>223</v>
      </c>
      <c r="BF289" s="113" t="s">
        <v>862</v>
      </c>
      <c r="BG289" s="120" t="s">
        <v>619</v>
      </c>
    </row>
    <row r="290" spans="1:59" s="120" customFormat="1" ht="15" customHeight="1">
      <c r="A290" s="112">
        <f t="shared" si="113"/>
        <v>288</v>
      </c>
      <c r="B290" s="113" t="s">
        <v>864</v>
      </c>
      <c r="C290" s="114" t="s">
        <v>865</v>
      </c>
      <c r="D290" s="122"/>
      <c r="E290" s="114" t="s">
        <v>866</v>
      </c>
      <c r="F290" s="112"/>
      <c r="G290" s="115" t="s">
        <v>81</v>
      </c>
      <c r="H290" s="10" t="s">
        <v>616</v>
      </c>
      <c r="I290" s="114" t="s">
        <v>83</v>
      </c>
      <c r="J290" s="114" t="s">
        <v>84</v>
      </c>
      <c r="K290" s="114" t="s">
        <v>83</v>
      </c>
      <c r="L290" s="113" t="s">
        <v>801</v>
      </c>
      <c r="M290" s="113" t="s">
        <v>801</v>
      </c>
      <c r="N290" s="116">
        <v>46142</v>
      </c>
      <c r="O290" s="114">
        <v>10</v>
      </c>
      <c r="P290" s="116">
        <v>46148</v>
      </c>
      <c r="Q290" s="116">
        <v>46149</v>
      </c>
      <c r="R290" s="116">
        <v>46148</v>
      </c>
      <c r="S290" s="112"/>
      <c r="T290" s="112"/>
      <c r="U290" s="112"/>
      <c r="V290" s="114" t="s">
        <v>99</v>
      </c>
      <c r="W290" s="114">
        <v>10</v>
      </c>
      <c r="X290" s="114">
        <v>10</v>
      </c>
      <c r="Y290" s="112"/>
      <c r="Z290" s="112" t="s">
        <v>87</v>
      </c>
      <c r="AA290" s="112"/>
      <c r="AB290" s="117"/>
      <c r="AC290" s="118">
        <v>25.5</v>
      </c>
      <c r="AD290" s="112"/>
      <c r="AE290" s="114">
        <v>10</v>
      </c>
      <c r="AF290" s="112" t="s">
        <v>88</v>
      </c>
      <c r="AG290" s="114" t="s">
        <v>99</v>
      </c>
      <c r="AH290" s="118">
        <v>12.5</v>
      </c>
      <c r="AI290" s="112">
        <f t="shared" si="114"/>
        <v>125</v>
      </c>
      <c r="AJ290" s="112"/>
      <c r="AK290" s="115" t="s">
        <v>803</v>
      </c>
      <c r="AL290" s="114">
        <v>10</v>
      </c>
      <c r="AM290" s="112">
        <v>19</v>
      </c>
      <c r="AN290" s="112">
        <f t="shared" si="115"/>
        <v>190</v>
      </c>
      <c r="AO290" s="112"/>
      <c r="AP290" s="112"/>
      <c r="AQ290" s="112">
        <f t="shared" si="116"/>
        <v>0</v>
      </c>
      <c r="AR290" s="112">
        <f t="shared" si="117"/>
        <v>190</v>
      </c>
      <c r="AS290" s="112"/>
      <c r="AT290" s="110" t="s">
        <v>534</v>
      </c>
      <c r="AU290" s="111"/>
      <c r="AV290" s="112">
        <f t="shared" si="118"/>
        <v>19</v>
      </c>
      <c r="AW290" s="112">
        <f t="shared" si="119"/>
        <v>190</v>
      </c>
      <c r="AX290" s="112"/>
      <c r="AY290" s="13" t="s">
        <v>144</v>
      </c>
      <c r="AZ290" s="124"/>
      <c r="BA290" s="112">
        <f t="shared" si="120"/>
        <v>19</v>
      </c>
      <c r="BB290" s="112">
        <f t="shared" si="121"/>
        <v>10</v>
      </c>
      <c r="BC290" s="112">
        <f t="shared" si="122"/>
        <v>190</v>
      </c>
      <c r="BD290" s="112"/>
      <c r="BE290" s="112" t="s">
        <v>227</v>
      </c>
      <c r="BF290" s="113" t="s">
        <v>864</v>
      </c>
      <c r="BG290" s="120" t="s">
        <v>619</v>
      </c>
    </row>
    <row r="291" spans="1:59" s="120" customFormat="1" ht="15" customHeight="1">
      <c r="A291" s="112">
        <f t="shared" si="113"/>
        <v>289</v>
      </c>
      <c r="B291" s="113" t="s">
        <v>867</v>
      </c>
      <c r="C291" s="114" t="s">
        <v>865</v>
      </c>
      <c r="D291" s="122"/>
      <c r="E291" s="114" t="s">
        <v>868</v>
      </c>
      <c r="F291" s="112"/>
      <c r="G291" s="115" t="s">
        <v>81</v>
      </c>
      <c r="H291" s="10" t="s">
        <v>616</v>
      </c>
      <c r="I291" s="114" t="s">
        <v>83</v>
      </c>
      <c r="J291" s="114" t="s">
        <v>84</v>
      </c>
      <c r="K291" s="114" t="s">
        <v>83</v>
      </c>
      <c r="L291" s="113" t="s">
        <v>801</v>
      </c>
      <c r="M291" s="113" t="s">
        <v>801</v>
      </c>
      <c r="N291" s="116">
        <v>46142</v>
      </c>
      <c r="O291" s="114">
        <v>18</v>
      </c>
      <c r="P291" s="116">
        <v>46148</v>
      </c>
      <c r="Q291" s="116">
        <v>46149</v>
      </c>
      <c r="R291" s="116">
        <v>46148</v>
      </c>
      <c r="S291" s="112"/>
      <c r="T291" s="112"/>
      <c r="U291" s="112"/>
      <c r="V291" s="114" t="s">
        <v>99</v>
      </c>
      <c r="W291" s="114">
        <v>18</v>
      </c>
      <c r="X291" s="114">
        <v>16</v>
      </c>
      <c r="Y291" s="112"/>
      <c r="Z291" s="112" t="s">
        <v>87</v>
      </c>
      <c r="AA291" s="112"/>
      <c r="AB291" s="117"/>
      <c r="AC291" s="118">
        <v>25.5</v>
      </c>
      <c r="AD291" s="112"/>
      <c r="AE291" s="114">
        <v>18</v>
      </c>
      <c r="AF291" s="112" t="s">
        <v>88</v>
      </c>
      <c r="AG291" s="114" t="s">
        <v>99</v>
      </c>
      <c r="AH291" s="118">
        <v>12.5</v>
      </c>
      <c r="AI291" s="112">
        <f t="shared" si="114"/>
        <v>225</v>
      </c>
      <c r="AJ291" s="112"/>
      <c r="AK291" s="115" t="s">
        <v>803</v>
      </c>
      <c r="AL291" s="114">
        <v>16</v>
      </c>
      <c r="AM291" s="112">
        <v>19</v>
      </c>
      <c r="AN291" s="112">
        <f t="shared" si="115"/>
        <v>304</v>
      </c>
      <c r="AO291" s="112"/>
      <c r="AP291" s="112"/>
      <c r="AQ291" s="112">
        <f t="shared" si="116"/>
        <v>0</v>
      </c>
      <c r="AR291" s="112">
        <f t="shared" si="117"/>
        <v>304</v>
      </c>
      <c r="AS291" s="112"/>
      <c r="AT291" s="110" t="s">
        <v>534</v>
      </c>
      <c r="AU291" s="111"/>
      <c r="AV291" s="112">
        <f t="shared" si="118"/>
        <v>19</v>
      </c>
      <c r="AW291" s="112">
        <f t="shared" si="119"/>
        <v>304</v>
      </c>
      <c r="AX291" s="112"/>
      <c r="AY291" s="13" t="s">
        <v>144</v>
      </c>
      <c r="AZ291" s="124"/>
      <c r="BA291" s="112">
        <f t="shared" si="120"/>
        <v>19</v>
      </c>
      <c r="BB291" s="112">
        <f t="shared" si="121"/>
        <v>16</v>
      </c>
      <c r="BC291" s="112">
        <f t="shared" si="122"/>
        <v>304</v>
      </c>
      <c r="BD291" s="112"/>
      <c r="BE291" s="112" t="s">
        <v>231</v>
      </c>
      <c r="BF291" s="113" t="s">
        <v>867</v>
      </c>
      <c r="BG291" s="120" t="s">
        <v>619</v>
      </c>
    </row>
    <row r="292" spans="1:59" s="120" customFormat="1" ht="15" customHeight="1">
      <c r="A292" s="112">
        <f t="shared" si="113"/>
        <v>290</v>
      </c>
      <c r="B292" s="113" t="s">
        <v>869</v>
      </c>
      <c r="C292" s="114" t="s">
        <v>865</v>
      </c>
      <c r="D292" s="122"/>
      <c r="E292" s="114" t="s">
        <v>870</v>
      </c>
      <c r="F292" s="112"/>
      <c r="G292" s="115" t="s">
        <v>81</v>
      </c>
      <c r="H292" s="10" t="s">
        <v>616</v>
      </c>
      <c r="I292" s="114" t="s">
        <v>83</v>
      </c>
      <c r="J292" s="114" t="s">
        <v>84</v>
      </c>
      <c r="K292" s="114" t="s">
        <v>83</v>
      </c>
      <c r="L292" s="113" t="s">
        <v>801</v>
      </c>
      <c r="M292" s="113" t="s">
        <v>801</v>
      </c>
      <c r="N292" s="116">
        <v>46142</v>
      </c>
      <c r="O292" s="114">
        <v>46</v>
      </c>
      <c r="P292" s="116">
        <v>46148</v>
      </c>
      <c r="Q292" s="116">
        <v>46149</v>
      </c>
      <c r="R292" s="116">
        <v>46148</v>
      </c>
      <c r="S292" s="112"/>
      <c r="T292" s="112"/>
      <c r="U292" s="112"/>
      <c r="V292" s="114" t="s">
        <v>99</v>
      </c>
      <c r="W292" s="114">
        <v>46</v>
      </c>
      <c r="X292" s="114">
        <v>46</v>
      </c>
      <c r="Y292" s="112"/>
      <c r="Z292" s="112" t="s">
        <v>87</v>
      </c>
      <c r="AA292" s="112"/>
      <c r="AB292" s="117"/>
      <c r="AC292" s="118">
        <v>25.5</v>
      </c>
      <c r="AD292" s="112"/>
      <c r="AE292" s="114">
        <v>46</v>
      </c>
      <c r="AF292" s="112" t="s">
        <v>88</v>
      </c>
      <c r="AG292" s="114" t="s">
        <v>99</v>
      </c>
      <c r="AH292" s="118">
        <v>12.5</v>
      </c>
      <c r="AI292" s="112">
        <f t="shared" si="114"/>
        <v>575</v>
      </c>
      <c r="AJ292" s="112"/>
      <c r="AK292" s="115" t="s">
        <v>803</v>
      </c>
      <c r="AL292" s="114">
        <v>46</v>
      </c>
      <c r="AM292" s="112">
        <v>19</v>
      </c>
      <c r="AN292" s="112">
        <f t="shared" si="115"/>
        <v>874</v>
      </c>
      <c r="AO292" s="112"/>
      <c r="AP292" s="112"/>
      <c r="AQ292" s="112">
        <f t="shared" si="116"/>
        <v>0</v>
      </c>
      <c r="AR292" s="112">
        <f t="shared" si="117"/>
        <v>874</v>
      </c>
      <c r="AS292" s="112"/>
      <c r="AT292" s="110" t="s">
        <v>534</v>
      </c>
      <c r="AU292" s="111"/>
      <c r="AV292" s="112">
        <f t="shared" si="118"/>
        <v>19</v>
      </c>
      <c r="AW292" s="112">
        <f t="shared" si="119"/>
        <v>874</v>
      </c>
      <c r="AX292" s="112"/>
      <c r="AY292" s="13" t="s">
        <v>144</v>
      </c>
      <c r="AZ292" s="124"/>
      <c r="BA292" s="112">
        <f t="shared" si="120"/>
        <v>19</v>
      </c>
      <c r="BB292" s="112">
        <f t="shared" si="121"/>
        <v>46</v>
      </c>
      <c r="BC292" s="112">
        <f t="shared" si="122"/>
        <v>874</v>
      </c>
      <c r="BD292" s="112"/>
      <c r="BE292" s="112" t="s">
        <v>234</v>
      </c>
      <c r="BF292" s="113" t="s">
        <v>869</v>
      </c>
      <c r="BG292" s="120" t="s">
        <v>619</v>
      </c>
    </row>
    <row r="293" spans="1:59" s="120" customFormat="1" ht="15" customHeight="1">
      <c r="A293" s="112">
        <f t="shared" si="113"/>
        <v>291</v>
      </c>
      <c r="B293" s="113" t="s">
        <v>871</v>
      </c>
      <c r="C293" s="114" t="s">
        <v>865</v>
      </c>
      <c r="D293" s="122"/>
      <c r="E293" s="114" t="s">
        <v>872</v>
      </c>
      <c r="F293" s="112"/>
      <c r="G293" s="115" t="s">
        <v>81</v>
      </c>
      <c r="H293" s="10" t="s">
        <v>616</v>
      </c>
      <c r="I293" s="114" t="s">
        <v>83</v>
      </c>
      <c r="J293" s="114" t="s">
        <v>84</v>
      </c>
      <c r="K293" s="114" t="s">
        <v>83</v>
      </c>
      <c r="L293" s="113" t="s">
        <v>801</v>
      </c>
      <c r="M293" s="113" t="s">
        <v>801</v>
      </c>
      <c r="N293" s="116">
        <v>46142</v>
      </c>
      <c r="O293" s="114">
        <v>29</v>
      </c>
      <c r="P293" s="116">
        <v>46148</v>
      </c>
      <c r="Q293" s="116">
        <v>46149</v>
      </c>
      <c r="R293" s="116">
        <v>46148</v>
      </c>
      <c r="S293" s="112"/>
      <c r="T293" s="112"/>
      <c r="U293" s="112"/>
      <c r="V293" s="114" t="s">
        <v>99</v>
      </c>
      <c r="W293" s="114">
        <v>29</v>
      </c>
      <c r="X293" s="114">
        <v>29</v>
      </c>
      <c r="Y293" s="112"/>
      <c r="Z293" s="112" t="s">
        <v>87</v>
      </c>
      <c r="AA293" s="112"/>
      <c r="AB293" s="117"/>
      <c r="AC293" s="118">
        <v>25.5</v>
      </c>
      <c r="AD293" s="112"/>
      <c r="AE293" s="114">
        <v>29</v>
      </c>
      <c r="AF293" s="112" t="s">
        <v>88</v>
      </c>
      <c r="AG293" s="114" t="s">
        <v>99</v>
      </c>
      <c r="AH293" s="118">
        <v>12.5</v>
      </c>
      <c r="AI293" s="112">
        <f t="shared" si="114"/>
        <v>362.5</v>
      </c>
      <c r="AJ293" s="112"/>
      <c r="AK293" s="115" t="s">
        <v>803</v>
      </c>
      <c r="AL293" s="114">
        <v>29</v>
      </c>
      <c r="AM293" s="112">
        <v>19</v>
      </c>
      <c r="AN293" s="112">
        <f t="shared" si="115"/>
        <v>551</v>
      </c>
      <c r="AO293" s="112"/>
      <c r="AP293" s="112"/>
      <c r="AQ293" s="112">
        <f t="shared" si="116"/>
        <v>0</v>
      </c>
      <c r="AR293" s="112">
        <f t="shared" si="117"/>
        <v>551</v>
      </c>
      <c r="AS293" s="112"/>
      <c r="AT293" s="110" t="s">
        <v>534</v>
      </c>
      <c r="AU293" s="111"/>
      <c r="AV293" s="112">
        <f t="shared" si="118"/>
        <v>19</v>
      </c>
      <c r="AW293" s="112">
        <f t="shared" si="119"/>
        <v>551</v>
      </c>
      <c r="AX293" s="112"/>
      <c r="AY293" s="13" t="s">
        <v>144</v>
      </c>
      <c r="AZ293" s="124"/>
      <c r="BA293" s="112">
        <f t="shared" si="120"/>
        <v>19</v>
      </c>
      <c r="BB293" s="112">
        <f t="shared" si="121"/>
        <v>29</v>
      </c>
      <c r="BC293" s="112">
        <f t="shared" si="122"/>
        <v>551</v>
      </c>
      <c r="BD293" s="112"/>
      <c r="BE293" s="112" t="s">
        <v>237</v>
      </c>
      <c r="BF293" s="113" t="s">
        <v>871</v>
      </c>
      <c r="BG293" s="120" t="s">
        <v>619</v>
      </c>
    </row>
    <row r="294" spans="1:59" s="120" customFormat="1" ht="15" customHeight="1">
      <c r="A294" s="112">
        <f t="shared" si="113"/>
        <v>292</v>
      </c>
      <c r="B294" s="113" t="s">
        <v>873</v>
      </c>
      <c r="C294" s="114" t="s">
        <v>865</v>
      </c>
      <c r="D294" s="122"/>
      <c r="E294" s="114" t="s">
        <v>874</v>
      </c>
      <c r="F294" s="112"/>
      <c r="G294" s="115" t="s">
        <v>81</v>
      </c>
      <c r="H294" s="10" t="s">
        <v>616</v>
      </c>
      <c r="I294" s="114" t="s">
        <v>83</v>
      </c>
      <c r="J294" s="114" t="s">
        <v>84</v>
      </c>
      <c r="K294" s="114" t="s">
        <v>83</v>
      </c>
      <c r="L294" s="113" t="s">
        <v>801</v>
      </c>
      <c r="M294" s="113" t="s">
        <v>801</v>
      </c>
      <c r="N294" s="116">
        <v>46142</v>
      </c>
      <c r="O294" s="114">
        <v>82</v>
      </c>
      <c r="P294" s="116">
        <v>46148</v>
      </c>
      <c r="Q294" s="116">
        <v>46149</v>
      </c>
      <c r="R294" s="116">
        <v>46148</v>
      </c>
      <c r="S294" s="112"/>
      <c r="T294" s="112"/>
      <c r="U294" s="112"/>
      <c r="V294" s="114" t="s">
        <v>99</v>
      </c>
      <c r="W294" s="114">
        <v>82</v>
      </c>
      <c r="X294" s="114">
        <v>82</v>
      </c>
      <c r="Y294" s="112"/>
      <c r="Z294" s="112" t="s">
        <v>87</v>
      </c>
      <c r="AA294" s="112"/>
      <c r="AB294" s="117"/>
      <c r="AC294" s="118">
        <v>25.5</v>
      </c>
      <c r="AD294" s="112"/>
      <c r="AE294" s="114">
        <v>82</v>
      </c>
      <c r="AF294" s="112" t="s">
        <v>88</v>
      </c>
      <c r="AG294" s="114" t="s">
        <v>99</v>
      </c>
      <c r="AH294" s="118">
        <v>12.5</v>
      </c>
      <c r="AI294" s="112">
        <f t="shared" si="114"/>
        <v>1025</v>
      </c>
      <c r="AJ294" s="112"/>
      <c r="AK294" s="115" t="s">
        <v>803</v>
      </c>
      <c r="AL294" s="114">
        <v>82</v>
      </c>
      <c r="AM294" s="112">
        <v>19</v>
      </c>
      <c r="AN294" s="112">
        <f t="shared" si="115"/>
        <v>1558</v>
      </c>
      <c r="AO294" s="112"/>
      <c r="AP294" s="112"/>
      <c r="AQ294" s="112">
        <f t="shared" si="116"/>
        <v>0</v>
      </c>
      <c r="AR294" s="112">
        <f t="shared" si="117"/>
        <v>1558</v>
      </c>
      <c r="AS294" s="112"/>
      <c r="AT294" s="110" t="s">
        <v>534</v>
      </c>
      <c r="AU294" s="111"/>
      <c r="AV294" s="112">
        <f t="shared" si="118"/>
        <v>19</v>
      </c>
      <c r="AW294" s="112">
        <f t="shared" si="119"/>
        <v>1558</v>
      </c>
      <c r="AX294" s="112"/>
      <c r="AY294" s="13" t="s">
        <v>144</v>
      </c>
      <c r="AZ294" s="124"/>
      <c r="BA294" s="112">
        <f t="shared" si="120"/>
        <v>19</v>
      </c>
      <c r="BB294" s="112">
        <f t="shared" si="121"/>
        <v>82</v>
      </c>
      <c r="BC294" s="112">
        <f t="shared" si="122"/>
        <v>1558</v>
      </c>
      <c r="BD294" s="112"/>
      <c r="BE294" s="112" t="s">
        <v>240</v>
      </c>
      <c r="BF294" s="113" t="s">
        <v>873</v>
      </c>
      <c r="BG294" s="120" t="s">
        <v>619</v>
      </c>
    </row>
    <row r="295" spans="1:59" s="120" customFormat="1" ht="15" customHeight="1">
      <c r="A295" s="112">
        <f t="shared" si="113"/>
        <v>293</v>
      </c>
      <c r="B295" s="113" t="s">
        <v>875</v>
      </c>
      <c r="C295" s="114" t="s">
        <v>865</v>
      </c>
      <c r="D295" s="122"/>
      <c r="E295" s="114" t="s">
        <v>876</v>
      </c>
      <c r="F295" s="112"/>
      <c r="G295" s="115" t="s">
        <v>81</v>
      </c>
      <c r="H295" s="10" t="s">
        <v>616</v>
      </c>
      <c r="I295" s="114" t="s">
        <v>83</v>
      </c>
      <c r="J295" s="114" t="s">
        <v>84</v>
      </c>
      <c r="K295" s="114" t="s">
        <v>83</v>
      </c>
      <c r="L295" s="113" t="s">
        <v>801</v>
      </c>
      <c r="M295" s="113" t="s">
        <v>801</v>
      </c>
      <c r="N295" s="116">
        <v>46142</v>
      </c>
      <c r="O295" s="114">
        <v>22</v>
      </c>
      <c r="P295" s="116">
        <v>46148</v>
      </c>
      <c r="Q295" s="116">
        <v>46149</v>
      </c>
      <c r="R295" s="116">
        <v>46148</v>
      </c>
      <c r="S295" s="112"/>
      <c r="T295" s="112"/>
      <c r="U295" s="112"/>
      <c r="V295" s="114" t="s">
        <v>99</v>
      </c>
      <c r="W295" s="114">
        <v>22</v>
      </c>
      <c r="X295" s="114">
        <v>22</v>
      </c>
      <c r="Y295" s="112"/>
      <c r="Z295" s="112" t="s">
        <v>87</v>
      </c>
      <c r="AA295" s="112"/>
      <c r="AB295" s="117"/>
      <c r="AC295" s="118">
        <v>25.5</v>
      </c>
      <c r="AD295" s="112"/>
      <c r="AE295" s="114">
        <v>22</v>
      </c>
      <c r="AF295" s="112" t="s">
        <v>88</v>
      </c>
      <c r="AG295" s="114" t="s">
        <v>99</v>
      </c>
      <c r="AH295" s="118">
        <v>12.5</v>
      </c>
      <c r="AI295" s="112">
        <f t="shared" si="114"/>
        <v>275</v>
      </c>
      <c r="AJ295" s="112"/>
      <c r="AK295" s="115" t="s">
        <v>803</v>
      </c>
      <c r="AL295" s="114">
        <v>22</v>
      </c>
      <c r="AM295" s="112">
        <v>19</v>
      </c>
      <c r="AN295" s="112">
        <f t="shared" si="115"/>
        <v>418</v>
      </c>
      <c r="AO295" s="112"/>
      <c r="AP295" s="112"/>
      <c r="AQ295" s="112">
        <f t="shared" si="116"/>
        <v>0</v>
      </c>
      <c r="AR295" s="112">
        <f t="shared" si="117"/>
        <v>418</v>
      </c>
      <c r="AS295" s="112"/>
      <c r="AT295" s="110" t="s">
        <v>534</v>
      </c>
      <c r="AU295" s="111"/>
      <c r="AV295" s="112">
        <f t="shared" si="118"/>
        <v>19</v>
      </c>
      <c r="AW295" s="112">
        <f t="shared" si="119"/>
        <v>418</v>
      </c>
      <c r="AX295" s="112"/>
      <c r="AY295" s="13" t="s">
        <v>144</v>
      </c>
      <c r="AZ295" s="124"/>
      <c r="BA295" s="112">
        <f t="shared" si="120"/>
        <v>19</v>
      </c>
      <c r="BB295" s="112">
        <f t="shared" si="121"/>
        <v>22</v>
      </c>
      <c r="BC295" s="112">
        <f t="shared" si="122"/>
        <v>418</v>
      </c>
      <c r="BD295" s="112"/>
      <c r="BE295" s="112" t="s">
        <v>244</v>
      </c>
      <c r="BF295" s="113" t="s">
        <v>875</v>
      </c>
      <c r="BG295" s="120" t="s">
        <v>619</v>
      </c>
    </row>
    <row r="296" spans="1:59" s="120" customFormat="1" ht="15" customHeight="1">
      <c r="A296" s="112">
        <f t="shared" si="113"/>
        <v>294</v>
      </c>
      <c r="B296" s="113" t="s">
        <v>877</v>
      </c>
      <c r="C296" s="114" t="s">
        <v>812</v>
      </c>
      <c r="D296" s="122"/>
      <c r="E296" s="114" t="s">
        <v>878</v>
      </c>
      <c r="F296" s="112"/>
      <c r="G296" s="115" t="s">
        <v>81</v>
      </c>
      <c r="H296" s="10" t="s">
        <v>616</v>
      </c>
      <c r="I296" s="114" t="s">
        <v>83</v>
      </c>
      <c r="J296" s="114" t="s">
        <v>84</v>
      </c>
      <c r="K296" s="114" t="s">
        <v>83</v>
      </c>
      <c r="L296" s="113" t="s">
        <v>801</v>
      </c>
      <c r="M296" s="113" t="s">
        <v>801</v>
      </c>
      <c r="N296" s="116">
        <v>46142</v>
      </c>
      <c r="O296" s="114">
        <v>10</v>
      </c>
      <c r="P296" s="116">
        <v>46148</v>
      </c>
      <c r="Q296" s="116">
        <v>46149</v>
      </c>
      <c r="R296" s="116">
        <v>46148</v>
      </c>
      <c r="S296" s="112"/>
      <c r="T296" s="112"/>
      <c r="U296" s="112"/>
      <c r="V296" s="114" t="s">
        <v>99</v>
      </c>
      <c r="W296" s="114">
        <v>10</v>
      </c>
      <c r="X296" s="114">
        <v>10</v>
      </c>
      <c r="Y296" s="112"/>
      <c r="Z296" s="112" t="s">
        <v>87</v>
      </c>
      <c r="AA296" s="112"/>
      <c r="AB296" s="117"/>
      <c r="AC296" s="118">
        <v>25.5</v>
      </c>
      <c r="AD296" s="112"/>
      <c r="AE296" s="114">
        <v>10</v>
      </c>
      <c r="AF296" s="112" t="s">
        <v>88</v>
      </c>
      <c r="AG296" s="114" t="s">
        <v>99</v>
      </c>
      <c r="AH296" s="118">
        <v>12.5</v>
      </c>
      <c r="AI296" s="112">
        <f t="shared" si="114"/>
        <v>125</v>
      </c>
      <c r="AJ296" s="112"/>
      <c r="AK296" s="115" t="s">
        <v>803</v>
      </c>
      <c r="AL296" s="114">
        <v>10</v>
      </c>
      <c r="AM296" s="112">
        <v>19</v>
      </c>
      <c r="AN296" s="112">
        <f t="shared" si="115"/>
        <v>190</v>
      </c>
      <c r="AO296" s="112"/>
      <c r="AP296" s="112"/>
      <c r="AQ296" s="112">
        <f t="shared" si="116"/>
        <v>0</v>
      </c>
      <c r="AR296" s="112">
        <f t="shared" si="117"/>
        <v>190</v>
      </c>
      <c r="AS296" s="112"/>
      <c r="AT296" s="110" t="s">
        <v>534</v>
      </c>
      <c r="AU296" s="111"/>
      <c r="AV296" s="112">
        <f t="shared" si="118"/>
        <v>19</v>
      </c>
      <c r="AW296" s="112">
        <f t="shared" si="119"/>
        <v>190</v>
      </c>
      <c r="AX296" s="112"/>
      <c r="AY296" s="13" t="s">
        <v>144</v>
      </c>
      <c r="AZ296" s="124"/>
      <c r="BA296" s="112">
        <f t="shared" si="120"/>
        <v>19</v>
      </c>
      <c r="BB296" s="112">
        <f t="shared" si="121"/>
        <v>10</v>
      </c>
      <c r="BC296" s="112">
        <f t="shared" si="122"/>
        <v>190</v>
      </c>
      <c r="BD296" s="112"/>
      <c r="BE296" s="112" t="s">
        <v>247</v>
      </c>
      <c r="BF296" s="113" t="s">
        <v>877</v>
      </c>
      <c r="BG296" s="120" t="s">
        <v>619</v>
      </c>
    </row>
    <row r="297" spans="1:59" s="120" customFormat="1" ht="15" customHeight="1">
      <c r="A297" s="112">
        <f t="shared" si="113"/>
        <v>295</v>
      </c>
      <c r="B297" s="113" t="s">
        <v>879</v>
      </c>
      <c r="C297" s="114" t="s">
        <v>812</v>
      </c>
      <c r="D297" s="122"/>
      <c r="E297" s="114" t="s">
        <v>880</v>
      </c>
      <c r="F297" s="112"/>
      <c r="G297" s="115" t="s">
        <v>81</v>
      </c>
      <c r="H297" s="10" t="s">
        <v>616</v>
      </c>
      <c r="I297" s="114" t="s">
        <v>83</v>
      </c>
      <c r="J297" s="114" t="s">
        <v>84</v>
      </c>
      <c r="K297" s="114" t="s">
        <v>83</v>
      </c>
      <c r="L297" s="113" t="s">
        <v>801</v>
      </c>
      <c r="M297" s="113" t="s">
        <v>801</v>
      </c>
      <c r="N297" s="116">
        <v>46142</v>
      </c>
      <c r="O297" s="114">
        <v>15</v>
      </c>
      <c r="P297" s="116">
        <v>46148</v>
      </c>
      <c r="Q297" s="116">
        <v>46149</v>
      </c>
      <c r="R297" s="116">
        <v>46148</v>
      </c>
      <c r="S297" s="112"/>
      <c r="T297" s="112"/>
      <c r="U297" s="112"/>
      <c r="V297" s="114" t="s">
        <v>99</v>
      </c>
      <c r="W297" s="114">
        <v>15</v>
      </c>
      <c r="X297" s="114">
        <v>15</v>
      </c>
      <c r="Y297" s="112"/>
      <c r="Z297" s="112" t="s">
        <v>87</v>
      </c>
      <c r="AA297" s="112"/>
      <c r="AB297" s="117"/>
      <c r="AC297" s="118">
        <v>25.5</v>
      </c>
      <c r="AD297" s="112"/>
      <c r="AE297" s="114">
        <v>15</v>
      </c>
      <c r="AF297" s="112" t="s">
        <v>88</v>
      </c>
      <c r="AG297" s="114" t="s">
        <v>99</v>
      </c>
      <c r="AH297" s="118">
        <v>12.5</v>
      </c>
      <c r="AI297" s="112">
        <f t="shared" si="114"/>
        <v>187.5</v>
      </c>
      <c r="AJ297" s="112"/>
      <c r="AK297" s="115" t="s">
        <v>803</v>
      </c>
      <c r="AL297" s="114">
        <v>15</v>
      </c>
      <c r="AM297" s="112">
        <v>19</v>
      </c>
      <c r="AN297" s="112">
        <f t="shared" si="115"/>
        <v>285</v>
      </c>
      <c r="AO297" s="112"/>
      <c r="AP297" s="112"/>
      <c r="AQ297" s="112">
        <f t="shared" si="116"/>
        <v>0</v>
      </c>
      <c r="AR297" s="112">
        <f t="shared" si="117"/>
        <v>285</v>
      </c>
      <c r="AS297" s="112"/>
      <c r="AT297" s="110" t="s">
        <v>534</v>
      </c>
      <c r="AU297" s="111"/>
      <c r="AV297" s="112">
        <f t="shared" si="118"/>
        <v>19</v>
      </c>
      <c r="AW297" s="112">
        <f t="shared" si="119"/>
        <v>285</v>
      </c>
      <c r="AX297" s="112"/>
      <c r="AY297" s="13" t="s">
        <v>144</v>
      </c>
      <c r="AZ297" s="124"/>
      <c r="BA297" s="112">
        <f t="shared" si="120"/>
        <v>19</v>
      </c>
      <c r="BB297" s="112">
        <f t="shared" si="121"/>
        <v>15</v>
      </c>
      <c r="BC297" s="112">
        <f t="shared" si="122"/>
        <v>285</v>
      </c>
      <c r="BD297" s="112"/>
      <c r="BE297" s="112" t="s">
        <v>251</v>
      </c>
      <c r="BF297" s="113" t="s">
        <v>879</v>
      </c>
      <c r="BG297" s="120" t="s">
        <v>619</v>
      </c>
    </row>
    <row r="298" spans="1:59" s="120" customFormat="1" ht="15" customHeight="1">
      <c r="A298" s="112">
        <f t="shared" si="113"/>
        <v>296</v>
      </c>
      <c r="B298" s="113" t="s">
        <v>881</v>
      </c>
      <c r="C298" s="114" t="s">
        <v>812</v>
      </c>
      <c r="D298" s="122"/>
      <c r="E298" s="114" t="s">
        <v>882</v>
      </c>
      <c r="F298" s="112"/>
      <c r="G298" s="115" t="s">
        <v>81</v>
      </c>
      <c r="H298" s="10" t="s">
        <v>616</v>
      </c>
      <c r="I298" s="114" t="s">
        <v>83</v>
      </c>
      <c r="J298" s="114" t="s">
        <v>84</v>
      </c>
      <c r="K298" s="114" t="s">
        <v>83</v>
      </c>
      <c r="L298" s="113" t="s">
        <v>801</v>
      </c>
      <c r="M298" s="113" t="s">
        <v>801</v>
      </c>
      <c r="N298" s="116">
        <v>46142</v>
      </c>
      <c r="O298" s="114">
        <v>64</v>
      </c>
      <c r="P298" s="116">
        <v>46148</v>
      </c>
      <c r="Q298" s="116">
        <v>46149</v>
      </c>
      <c r="R298" s="116">
        <v>46148</v>
      </c>
      <c r="S298" s="112"/>
      <c r="T298" s="112"/>
      <c r="U298" s="112"/>
      <c r="V298" s="114" t="s">
        <v>99</v>
      </c>
      <c r="W298" s="114">
        <v>64</v>
      </c>
      <c r="X298" s="114">
        <v>64</v>
      </c>
      <c r="Y298" s="112"/>
      <c r="Z298" s="112" t="s">
        <v>87</v>
      </c>
      <c r="AA298" s="112"/>
      <c r="AB298" s="117"/>
      <c r="AC298" s="118">
        <v>25.5</v>
      </c>
      <c r="AD298" s="112"/>
      <c r="AE298" s="114">
        <v>64</v>
      </c>
      <c r="AF298" s="112" t="s">
        <v>88</v>
      </c>
      <c r="AG298" s="114" t="s">
        <v>99</v>
      </c>
      <c r="AH298" s="118">
        <v>12.5</v>
      </c>
      <c r="AI298" s="112">
        <f t="shared" si="114"/>
        <v>800</v>
      </c>
      <c r="AJ298" s="112"/>
      <c r="AK298" s="115" t="s">
        <v>803</v>
      </c>
      <c r="AL298" s="114">
        <v>64</v>
      </c>
      <c r="AM298" s="112">
        <v>19</v>
      </c>
      <c r="AN298" s="112">
        <f t="shared" si="115"/>
        <v>1216</v>
      </c>
      <c r="AO298" s="112"/>
      <c r="AP298" s="112"/>
      <c r="AQ298" s="112">
        <f t="shared" si="116"/>
        <v>0</v>
      </c>
      <c r="AR298" s="112">
        <f t="shared" si="117"/>
        <v>1216</v>
      </c>
      <c r="AS298" s="112"/>
      <c r="AT298" s="110" t="s">
        <v>534</v>
      </c>
      <c r="AU298" s="111"/>
      <c r="AV298" s="112">
        <f t="shared" si="118"/>
        <v>19</v>
      </c>
      <c r="AW298" s="112">
        <f t="shared" si="119"/>
        <v>1216</v>
      </c>
      <c r="AX298" s="112"/>
      <c r="AY298" s="13" t="s">
        <v>144</v>
      </c>
      <c r="AZ298" s="124"/>
      <c r="BA298" s="112">
        <f t="shared" si="120"/>
        <v>19</v>
      </c>
      <c r="BB298" s="112">
        <f t="shared" si="121"/>
        <v>64</v>
      </c>
      <c r="BC298" s="112">
        <f t="shared" si="122"/>
        <v>1216</v>
      </c>
      <c r="BD298" s="112"/>
      <c r="BE298" s="112" t="s">
        <v>255</v>
      </c>
      <c r="BF298" s="113" t="s">
        <v>881</v>
      </c>
      <c r="BG298" s="120" t="s">
        <v>619</v>
      </c>
    </row>
    <row r="299" spans="1:59" s="120" customFormat="1" ht="15" customHeight="1">
      <c r="A299" s="112">
        <f t="shared" si="113"/>
        <v>297</v>
      </c>
      <c r="B299" s="113" t="s">
        <v>883</v>
      </c>
      <c r="C299" s="114" t="s">
        <v>884</v>
      </c>
      <c r="D299" s="122"/>
      <c r="E299" s="114" t="s">
        <v>885</v>
      </c>
      <c r="F299" s="112"/>
      <c r="G299" s="115" t="s">
        <v>81</v>
      </c>
      <c r="H299" s="10" t="s">
        <v>616</v>
      </c>
      <c r="I299" s="114" t="s">
        <v>83</v>
      </c>
      <c r="J299" s="114" t="s">
        <v>84</v>
      </c>
      <c r="K299" s="114" t="s">
        <v>83</v>
      </c>
      <c r="L299" s="113" t="s">
        <v>801</v>
      </c>
      <c r="M299" s="113" t="s">
        <v>801</v>
      </c>
      <c r="N299" s="116">
        <v>46142</v>
      </c>
      <c r="O299" s="114">
        <v>130</v>
      </c>
      <c r="P299" s="116">
        <v>46148</v>
      </c>
      <c r="Q299" s="116">
        <v>46149</v>
      </c>
      <c r="R299" s="116">
        <v>46148</v>
      </c>
      <c r="S299" s="112"/>
      <c r="T299" s="112"/>
      <c r="U299" s="112"/>
      <c r="V299" s="114" t="s">
        <v>99</v>
      </c>
      <c r="W299" s="114">
        <v>130</v>
      </c>
      <c r="X299" s="114">
        <v>130</v>
      </c>
      <c r="Y299" s="112"/>
      <c r="Z299" s="112" t="s">
        <v>87</v>
      </c>
      <c r="AA299" s="112"/>
      <c r="AB299" s="117"/>
      <c r="AC299" s="118">
        <v>25.5</v>
      </c>
      <c r="AD299" s="112"/>
      <c r="AE299" s="114">
        <v>130</v>
      </c>
      <c r="AF299" s="112" t="s">
        <v>88</v>
      </c>
      <c r="AG299" s="114" t="s">
        <v>99</v>
      </c>
      <c r="AH299" s="118">
        <v>12.5</v>
      </c>
      <c r="AI299" s="112">
        <f t="shared" si="114"/>
        <v>1625</v>
      </c>
      <c r="AJ299" s="112"/>
      <c r="AK299" s="115" t="s">
        <v>803</v>
      </c>
      <c r="AL299" s="114">
        <v>130</v>
      </c>
      <c r="AM299" s="112">
        <v>19</v>
      </c>
      <c r="AN299" s="112">
        <f t="shared" si="115"/>
        <v>2470</v>
      </c>
      <c r="AO299" s="112"/>
      <c r="AP299" s="112"/>
      <c r="AQ299" s="112">
        <f t="shared" si="116"/>
        <v>0</v>
      </c>
      <c r="AR299" s="112">
        <f t="shared" si="117"/>
        <v>2470</v>
      </c>
      <c r="AS299" s="112"/>
      <c r="AT299" s="110" t="s">
        <v>534</v>
      </c>
      <c r="AU299" s="111"/>
      <c r="AV299" s="112">
        <f t="shared" si="118"/>
        <v>19</v>
      </c>
      <c r="AW299" s="112">
        <f t="shared" si="119"/>
        <v>2470</v>
      </c>
      <c r="AX299" s="112"/>
      <c r="AY299" s="13" t="s">
        <v>144</v>
      </c>
      <c r="AZ299" s="124"/>
      <c r="BA299" s="112">
        <f t="shared" si="120"/>
        <v>19</v>
      </c>
      <c r="BB299" s="112">
        <f t="shared" si="121"/>
        <v>130</v>
      </c>
      <c r="BC299" s="112">
        <f t="shared" si="122"/>
        <v>2470</v>
      </c>
      <c r="BD299" s="112"/>
      <c r="BE299" s="112" t="s">
        <v>258</v>
      </c>
      <c r="BF299" s="113" t="s">
        <v>883</v>
      </c>
      <c r="BG299" s="120" t="s">
        <v>619</v>
      </c>
    </row>
    <row r="300" spans="1:59" s="120" customFormat="1" ht="15" customHeight="1">
      <c r="A300" s="112">
        <f t="shared" si="113"/>
        <v>298</v>
      </c>
      <c r="B300" s="113" t="s">
        <v>886</v>
      </c>
      <c r="C300" s="114" t="s">
        <v>812</v>
      </c>
      <c r="D300" s="122"/>
      <c r="E300" s="114" t="s">
        <v>887</v>
      </c>
      <c r="F300" s="112"/>
      <c r="G300" s="115" t="s">
        <v>81</v>
      </c>
      <c r="H300" s="10" t="s">
        <v>616</v>
      </c>
      <c r="I300" s="114" t="s">
        <v>83</v>
      </c>
      <c r="J300" s="114" t="s">
        <v>84</v>
      </c>
      <c r="K300" s="114" t="s">
        <v>83</v>
      </c>
      <c r="L300" s="113" t="s">
        <v>801</v>
      </c>
      <c r="M300" s="113" t="s">
        <v>801</v>
      </c>
      <c r="N300" s="116">
        <v>46142</v>
      </c>
      <c r="O300" s="114">
        <v>106</v>
      </c>
      <c r="P300" s="116">
        <v>46148</v>
      </c>
      <c r="Q300" s="116">
        <v>46149</v>
      </c>
      <c r="R300" s="116">
        <v>46148</v>
      </c>
      <c r="S300" s="112"/>
      <c r="T300" s="112"/>
      <c r="U300" s="112"/>
      <c r="V300" s="114" t="s">
        <v>99</v>
      </c>
      <c r="W300" s="114">
        <v>106</v>
      </c>
      <c r="X300" s="114">
        <v>101</v>
      </c>
      <c r="Y300" s="112"/>
      <c r="Z300" s="112" t="s">
        <v>87</v>
      </c>
      <c r="AA300" s="112"/>
      <c r="AB300" s="117"/>
      <c r="AC300" s="118">
        <v>25.5</v>
      </c>
      <c r="AD300" s="112"/>
      <c r="AE300" s="114">
        <v>106</v>
      </c>
      <c r="AF300" s="112" t="s">
        <v>88</v>
      </c>
      <c r="AG300" s="114" t="s">
        <v>99</v>
      </c>
      <c r="AH300" s="118">
        <v>12.5</v>
      </c>
      <c r="AI300" s="112">
        <f t="shared" si="114"/>
        <v>1325</v>
      </c>
      <c r="AJ300" s="112"/>
      <c r="AK300" s="115" t="s">
        <v>803</v>
      </c>
      <c r="AL300" s="114">
        <v>101</v>
      </c>
      <c r="AM300" s="112">
        <v>19</v>
      </c>
      <c r="AN300" s="112">
        <f t="shared" si="115"/>
        <v>1919</v>
      </c>
      <c r="AO300" s="112"/>
      <c r="AP300" s="112"/>
      <c r="AQ300" s="112">
        <f t="shared" si="116"/>
        <v>0</v>
      </c>
      <c r="AR300" s="112">
        <f t="shared" si="117"/>
        <v>1919</v>
      </c>
      <c r="AS300" s="112"/>
      <c r="AT300" s="110" t="s">
        <v>534</v>
      </c>
      <c r="AU300" s="111"/>
      <c r="AV300" s="112">
        <f t="shared" si="118"/>
        <v>19</v>
      </c>
      <c r="AW300" s="112">
        <f t="shared" si="119"/>
        <v>1919</v>
      </c>
      <c r="AX300" s="112"/>
      <c r="AY300" s="13" t="s">
        <v>144</v>
      </c>
      <c r="AZ300" s="124"/>
      <c r="BA300" s="112">
        <f t="shared" si="120"/>
        <v>19</v>
      </c>
      <c r="BB300" s="112">
        <f t="shared" si="121"/>
        <v>101</v>
      </c>
      <c r="BC300" s="112">
        <f t="shared" si="122"/>
        <v>1919</v>
      </c>
      <c r="BD300" s="112"/>
      <c r="BE300" s="112" t="s">
        <v>262</v>
      </c>
      <c r="BF300" s="113" t="s">
        <v>886</v>
      </c>
      <c r="BG300" s="120" t="s">
        <v>619</v>
      </c>
    </row>
    <row r="301" spans="1:59" s="120" customFormat="1" ht="15" customHeight="1">
      <c r="A301" s="112">
        <f t="shared" si="113"/>
        <v>299</v>
      </c>
      <c r="B301" s="113" t="s">
        <v>888</v>
      </c>
      <c r="C301" s="114" t="s">
        <v>813</v>
      </c>
      <c r="D301" s="122"/>
      <c r="E301" s="114" t="s">
        <v>889</v>
      </c>
      <c r="F301" s="112"/>
      <c r="G301" s="115" t="s">
        <v>81</v>
      </c>
      <c r="H301" s="10" t="s">
        <v>616</v>
      </c>
      <c r="I301" s="114" t="s">
        <v>83</v>
      </c>
      <c r="J301" s="114" t="s">
        <v>84</v>
      </c>
      <c r="K301" s="114" t="s">
        <v>83</v>
      </c>
      <c r="L301" s="113" t="s">
        <v>801</v>
      </c>
      <c r="M301" s="113" t="s">
        <v>801</v>
      </c>
      <c r="N301" s="116">
        <v>46142</v>
      </c>
      <c r="O301" s="114">
        <v>10</v>
      </c>
      <c r="P301" s="116">
        <v>46148</v>
      </c>
      <c r="Q301" s="116">
        <v>46149</v>
      </c>
      <c r="R301" s="116">
        <v>46148</v>
      </c>
      <c r="S301" s="112"/>
      <c r="T301" s="112"/>
      <c r="U301" s="112"/>
      <c r="V301" s="114" t="s">
        <v>99</v>
      </c>
      <c r="W301" s="114">
        <v>10</v>
      </c>
      <c r="X301" s="114">
        <v>10</v>
      </c>
      <c r="Y301" s="112"/>
      <c r="Z301" s="112" t="s">
        <v>87</v>
      </c>
      <c r="AA301" s="112"/>
      <c r="AB301" s="117"/>
      <c r="AC301" s="118">
        <v>25.5</v>
      </c>
      <c r="AD301" s="112"/>
      <c r="AE301" s="114">
        <v>10</v>
      </c>
      <c r="AF301" s="112" t="s">
        <v>88</v>
      </c>
      <c r="AG301" s="114" t="s">
        <v>99</v>
      </c>
      <c r="AH301" s="118">
        <v>12.5</v>
      </c>
      <c r="AI301" s="112">
        <f t="shared" si="114"/>
        <v>125</v>
      </c>
      <c r="AJ301" s="112"/>
      <c r="AK301" s="115" t="s">
        <v>803</v>
      </c>
      <c r="AL301" s="114">
        <v>10</v>
      </c>
      <c r="AM301" s="112">
        <v>19</v>
      </c>
      <c r="AN301" s="112">
        <f t="shared" si="115"/>
        <v>190</v>
      </c>
      <c r="AO301" s="112"/>
      <c r="AP301" s="112"/>
      <c r="AQ301" s="112">
        <f t="shared" si="116"/>
        <v>0</v>
      </c>
      <c r="AR301" s="112">
        <f t="shared" si="117"/>
        <v>190</v>
      </c>
      <c r="AS301" s="112"/>
      <c r="AT301" s="110" t="s">
        <v>534</v>
      </c>
      <c r="AU301" s="111"/>
      <c r="AV301" s="112">
        <f t="shared" si="118"/>
        <v>19</v>
      </c>
      <c r="AW301" s="112">
        <f t="shared" si="119"/>
        <v>190</v>
      </c>
      <c r="AX301" s="112"/>
      <c r="AY301" s="13" t="s">
        <v>144</v>
      </c>
      <c r="AZ301" s="124"/>
      <c r="BA301" s="112">
        <f t="shared" si="120"/>
        <v>19</v>
      </c>
      <c r="BB301" s="112">
        <f t="shared" si="121"/>
        <v>10</v>
      </c>
      <c r="BC301" s="112">
        <f t="shared" si="122"/>
        <v>190</v>
      </c>
      <c r="BD301" s="112"/>
      <c r="BE301" s="112" t="s">
        <v>266</v>
      </c>
      <c r="BF301" s="113" t="s">
        <v>888</v>
      </c>
      <c r="BG301" s="120" t="s">
        <v>619</v>
      </c>
    </row>
    <row r="302" spans="1:59" s="120" customFormat="1" ht="15" customHeight="1">
      <c r="A302" s="112">
        <f t="shared" si="113"/>
        <v>300</v>
      </c>
      <c r="B302" s="113" t="s">
        <v>890</v>
      </c>
      <c r="C302" s="114" t="s">
        <v>813</v>
      </c>
      <c r="D302" s="122"/>
      <c r="E302" s="114" t="s">
        <v>891</v>
      </c>
      <c r="F302" s="112"/>
      <c r="G302" s="115" t="s">
        <v>81</v>
      </c>
      <c r="H302" s="10" t="s">
        <v>616</v>
      </c>
      <c r="I302" s="114" t="s">
        <v>83</v>
      </c>
      <c r="J302" s="114" t="s">
        <v>84</v>
      </c>
      <c r="K302" s="114" t="s">
        <v>83</v>
      </c>
      <c r="L302" s="113" t="s">
        <v>801</v>
      </c>
      <c r="M302" s="113" t="s">
        <v>801</v>
      </c>
      <c r="N302" s="116">
        <v>46142</v>
      </c>
      <c r="O302" s="114">
        <v>76</v>
      </c>
      <c r="P302" s="116">
        <v>46148</v>
      </c>
      <c r="Q302" s="116">
        <v>46149</v>
      </c>
      <c r="R302" s="116">
        <v>46148</v>
      </c>
      <c r="S302" s="112"/>
      <c r="T302" s="112"/>
      <c r="U302" s="112"/>
      <c r="V302" s="114" t="s">
        <v>99</v>
      </c>
      <c r="W302" s="114">
        <v>76</v>
      </c>
      <c r="X302" s="114">
        <v>76</v>
      </c>
      <c r="Y302" s="112"/>
      <c r="Z302" s="112" t="s">
        <v>87</v>
      </c>
      <c r="AA302" s="112"/>
      <c r="AB302" s="117"/>
      <c r="AC302" s="118">
        <v>25.5</v>
      </c>
      <c r="AD302" s="112"/>
      <c r="AE302" s="114">
        <v>76</v>
      </c>
      <c r="AF302" s="112" t="s">
        <v>88</v>
      </c>
      <c r="AG302" s="114" t="s">
        <v>99</v>
      </c>
      <c r="AH302" s="118">
        <v>12.5</v>
      </c>
      <c r="AI302" s="112">
        <f t="shared" si="114"/>
        <v>950</v>
      </c>
      <c r="AJ302" s="112"/>
      <c r="AK302" s="115" t="s">
        <v>803</v>
      </c>
      <c r="AL302" s="114">
        <v>76</v>
      </c>
      <c r="AM302" s="112">
        <v>19</v>
      </c>
      <c r="AN302" s="112">
        <f t="shared" si="115"/>
        <v>1444</v>
      </c>
      <c r="AO302" s="112"/>
      <c r="AP302" s="112"/>
      <c r="AQ302" s="112">
        <f t="shared" si="116"/>
        <v>0</v>
      </c>
      <c r="AR302" s="112">
        <f t="shared" si="117"/>
        <v>1444</v>
      </c>
      <c r="AS302" s="112"/>
      <c r="AT302" s="110" t="s">
        <v>534</v>
      </c>
      <c r="AU302" s="111"/>
      <c r="AV302" s="112">
        <f t="shared" si="118"/>
        <v>19</v>
      </c>
      <c r="AW302" s="112">
        <f t="shared" si="119"/>
        <v>1444</v>
      </c>
      <c r="AX302" s="112"/>
      <c r="AY302" s="13" t="s">
        <v>144</v>
      </c>
      <c r="AZ302" s="124"/>
      <c r="BA302" s="112">
        <f t="shared" si="120"/>
        <v>19</v>
      </c>
      <c r="BB302" s="112">
        <f t="shared" si="121"/>
        <v>76</v>
      </c>
      <c r="BC302" s="112">
        <f t="shared" si="122"/>
        <v>1444</v>
      </c>
      <c r="BD302" s="112"/>
      <c r="BE302" s="112" t="s">
        <v>270</v>
      </c>
      <c r="BF302" s="113" t="s">
        <v>890</v>
      </c>
      <c r="BG302" s="120" t="s">
        <v>619</v>
      </c>
    </row>
    <row r="303" spans="1:59" s="120" customFormat="1" ht="15" customHeight="1">
      <c r="A303" s="112">
        <f t="shared" si="113"/>
        <v>301</v>
      </c>
      <c r="B303" s="113" t="s">
        <v>892</v>
      </c>
      <c r="C303" s="114" t="s">
        <v>813</v>
      </c>
      <c r="D303" s="122"/>
      <c r="E303" s="114" t="s">
        <v>893</v>
      </c>
      <c r="F303" s="112"/>
      <c r="G303" s="115" t="s">
        <v>81</v>
      </c>
      <c r="H303" s="10" t="s">
        <v>616</v>
      </c>
      <c r="I303" s="114" t="s">
        <v>83</v>
      </c>
      <c r="J303" s="114" t="s">
        <v>84</v>
      </c>
      <c r="K303" s="114" t="s">
        <v>83</v>
      </c>
      <c r="L303" s="113" t="s">
        <v>801</v>
      </c>
      <c r="M303" s="113" t="s">
        <v>801</v>
      </c>
      <c r="N303" s="116">
        <v>46142</v>
      </c>
      <c r="O303" s="114">
        <v>68</v>
      </c>
      <c r="P303" s="116">
        <v>46148</v>
      </c>
      <c r="Q303" s="116">
        <v>46149</v>
      </c>
      <c r="R303" s="116">
        <v>46148</v>
      </c>
      <c r="S303" s="112"/>
      <c r="T303" s="112"/>
      <c r="U303" s="112"/>
      <c r="V303" s="114" t="s">
        <v>99</v>
      </c>
      <c r="W303" s="114">
        <v>68</v>
      </c>
      <c r="X303" s="114">
        <v>68</v>
      </c>
      <c r="Y303" s="112"/>
      <c r="Z303" s="112" t="s">
        <v>87</v>
      </c>
      <c r="AA303" s="112"/>
      <c r="AB303" s="117"/>
      <c r="AC303" s="118">
        <v>25.5</v>
      </c>
      <c r="AD303" s="112"/>
      <c r="AE303" s="114">
        <v>68</v>
      </c>
      <c r="AF303" s="112" t="s">
        <v>88</v>
      </c>
      <c r="AG303" s="114" t="s">
        <v>99</v>
      </c>
      <c r="AH303" s="118">
        <v>12.5</v>
      </c>
      <c r="AI303" s="112">
        <f t="shared" si="114"/>
        <v>850</v>
      </c>
      <c r="AJ303" s="112"/>
      <c r="AK303" s="115" t="s">
        <v>803</v>
      </c>
      <c r="AL303" s="114">
        <v>68</v>
      </c>
      <c r="AM303" s="112">
        <v>19</v>
      </c>
      <c r="AN303" s="112">
        <f t="shared" si="115"/>
        <v>1292</v>
      </c>
      <c r="AO303" s="112"/>
      <c r="AP303" s="112"/>
      <c r="AQ303" s="112">
        <f t="shared" si="116"/>
        <v>0</v>
      </c>
      <c r="AR303" s="112">
        <f t="shared" si="117"/>
        <v>1292</v>
      </c>
      <c r="AS303" s="112"/>
      <c r="AT303" s="110" t="s">
        <v>534</v>
      </c>
      <c r="AU303" s="111"/>
      <c r="AV303" s="112">
        <f t="shared" si="118"/>
        <v>19</v>
      </c>
      <c r="AW303" s="112">
        <f t="shared" si="119"/>
        <v>1292</v>
      </c>
      <c r="AX303" s="112"/>
      <c r="AY303" s="13" t="s">
        <v>144</v>
      </c>
      <c r="AZ303" s="124"/>
      <c r="BA303" s="112">
        <f t="shared" si="120"/>
        <v>19</v>
      </c>
      <c r="BB303" s="112">
        <f t="shared" si="121"/>
        <v>68</v>
      </c>
      <c r="BC303" s="112">
        <f t="shared" si="122"/>
        <v>1292</v>
      </c>
      <c r="BD303" s="112"/>
      <c r="BE303" s="112" t="s">
        <v>274</v>
      </c>
      <c r="BF303" s="113" t="s">
        <v>892</v>
      </c>
      <c r="BG303" s="120" t="s">
        <v>619</v>
      </c>
    </row>
    <row r="304" spans="1:59" s="120" customFormat="1" ht="15" customHeight="1">
      <c r="A304" s="112">
        <f t="shared" si="113"/>
        <v>302</v>
      </c>
      <c r="B304" s="113" t="s">
        <v>894</v>
      </c>
      <c r="C304" s="114" t="s">
        <v>813</v>
      </c>
      <c r="D304" s="122"/>
      <c r="E304" s="114" t="s">
        <v>895</v>
      </c>
      <c r="F304" s="112"/>
      <c r="G304" s="115" t="s">
        <v>81</v>
      </c>
      <c r="H304" s="10" t="s">
        <v>616</v>
      </c>
      <c r="I304" s="114" t="s">
        <v>83</v>
      </c>
      <c r="J304" s="114" t="s">
        <v>84</v>
      </c>
      <c r="K304" s="114" t="s">
        <v>83</v>
      </c>
      <c r="L304" s="113" t="s">
        <v>801</v>
      </c>
      <c r="M304" s="113" t="s">
        <v>801</v>
      </c>
      <c r="N304" s="116">
        <v>46142</v>
      </c>
      <c r="O304" s="114">
        <v>136</v>
      </c>
      <c r="P304" s="116">
        <v>46148</v>
      </c>
      <c r="Q304" s="116">
        <v>46149</v>
      </c>
      <c r="R304" s="116">
        <v>46148</v>
      </c>
      <c r="S304" s="112"/>
      <c r="T304" s="112"/>
      <c r="U304" s="112"/>
      <c r="V304" s="114" t="s">
        <v>99</v>
      </c>
      <c r="W304" s="114">
        <v>136</v>
      </c>
      <c r="X304" s="114">
        <v>134</v>
      </c>
      <c r="Y304" s="112"/>
      <c r="Z304" s="112" t="s">
        <v>87</v>
      </c>
      <c r="AA304" s="112"/>
      <c r="AB304" s="117"/>
      <c r="AC304" s="118">
        <v>25.5</v>
      </c>
      <c r="AD304" s="112"/>
      <c r="AE304" s="114">
        <v>136</v>
      </c>
      <c r="AF304" s="112" t="s">
        <v>88</v>
      </c>
      <c r="AG304" s="114" t="s">
        <v>99</v>
      </c>
      <c r="AH304" s="118">
        <v>12.5</v>
      </c>
      <c r="AI304" s="112">
        <f t="shared" si="114"/>
        <v>1700</v>
      </c>
      <c r="AJ304" s="112"/>
      <c r="AK304" s="115" t="s">
        <v>803</v>
      </c>
      <c r="AL304" s="114">
        <v>134</v>
      </c>
      <c r="AM304" s="112">
        <v>19</v>
      </c>
      <c r="AN304" s="112">
        <f t="shared" si="115"/>
        <v>2546</v>
      </c>
      <c r="AO304" s="112"/>
      <c r="AP304" s="112"/>
      <c r="AQ304" s="112">
        <f t="shared" si="116"/>
        <v>0</v>
      </c>
      <c r="AR304" s="112">
        <f t="shared" si="117"/>
        <v>2546</v>
      </c>
      <c r="AS304" s="112"/>
      <c r="AT304" s="110" t="s">
        <v>534</v>
      </c>
      <c r="AU304" s="111"/>
      <c r="AV304" s="112">
        <f t="shared" si="118"/>
        <v>19</v>
      </c>
      <c r="AW304" s="112">
        <f t="shared" si="119"/>
        <v>2546</v>
      </c>
      <c r="AX304" s="112"/>
      <c r="AY304" s="13" t="s">
        <v>144</v>
      </c>
      <c r="AZ304" s="124"/>
      <c r="BA304" s="112">
        <f t="shared" si="120"/>
        <v>19</v>
      </c>
      <c r="BB304" s="112">
        <f t="shared" si="121"/>
        <v>134</v>
      </c>
      <c r="BC304" s="112">
        <f t="shared" si="122"/>
        <v>2546</v>
      </c>
      <c r="BD304" s="112"/>
      <c r="BE304" s="112" t="s">
        <v>278</v>
      </c>
      <c r="BF304" s="113" t="s">
        <v>894</v>
      </c>
      <c r="BG304" s="120" t="s">
        <v>619</v>
      </c>
    </row>
    <row r="305" spans="1:59" s="120" customFormat="1" ht="15" customHeight="1">
      <c r="A305" s="112">
        <f t="shared" si="113"/>
        <v>303</v>
      </c>
      <c r="B305" s="113" t="s">
        <v>896</v>
      </c>
      <c r="C305" s="114" t="s">
        <v>897</v>
      </c>
      <c r="D305" s="122"/>
      <c r="E305" s="114" t="s">
        <v>898</v>
      </c>
      <c r="F305" s="112"/>
      <c r="G305" s="115" t="s">
        <v>81</v>
      </c>
      <c r="H305" s="10" t="s">
        <v>616</v>
      </c>
      <c r="I305" s="114" t="s">
        <v>83</v>
      </c>
      <c r="J305" s="114" t="s">
        <v>84</v>
      </c>
      <c r="K305" s="114" t="s">
        <v>83</v>
      </c>
      <c r="L305" s="113" t="s">
        <v>801</v>
      </c>
      <c r="M305" s="113" t="s">
        <v>801</v>
      </c>
      <c r="N305" s="116">
        <v>46142</v>
      </c>
      <c r="O305" s="114">
        <v>14</v>
      </c>
      <c r="P305" s="116">
        <v>46148</v>
      </c>
      <c r="Q305" s="116">
        <v>46149</v>
      </c>
      <c r="R305" s="116">
        <v>46148</v>
      </c>
      <c r="S305" s="112"/>
      <c r="T305" s="112"/>
      <c r="U305" s="112"/>
      <c r="V305" s="114" t="s">
        <v>99</v>
      </c>
      <c r="W305" s="114">
        <v>14</v>
      </c>
      <c r="X305" s="114">
        <v>14</v>
      </c>
      <c r="Y305" s="112"/>
      <c r="Z305" s="112" t="s">
        <v>87</v>
      </c>
      <c r="AA305" s="112"/>
      <c r="AB305" s="117"/>
      <c r="AC305" s="118">
        <v>25.5</v>
      </c>
      <c r="AD305" s="112"/>
      <c r="AE305" s="114">
        <v>14</v>
      </c>
      <c r="AF305" s="112" t="s">
        <v>88</v>
      </c>
      <c r="AG305" s="114" t="s">
        <v>99</v>
      </c>
      <c r="AH305" s="118">
        <v>12.5</v>
      </c>
      <c r="AI305" s="112">
        <f t="shared" si="114"/>
        <v>175</v>
      </c>
      <c r="AJ305" s="112"/>
      <c r="AK305" s="115" t="s">
        <v>803</v>
      </c>
      <c r="AL305" s="114">
        <v>14</v>
      </c>
      <c r="AM305" s="112">
        <v>19</v>
      </c>
      <c r="AN305" s="112">
        <f t="shared" si="115"/>
        <v>266</v>
      </c>
      <c r="AO305" s="112"/>
      <c r="AP305" s="112"/>
      <c r="AQ305" s="112">
        <f t="shared" si="116"/>
        <v>0</v>
      </c>
      <c r="AR305" s="112">
        <f t="shared" si="117"/>
        <v>266</v>
      </c>
      <c r="AS305" s="112"/>
      <c r="AT305" s="110" t="s">
        <v>534</v>
      </c>
      <c r="AU305" s="111"/>
      <c r="AV305" s="112">
        <f t="shared" si="118"/>
        <v>19</v>
      </c>
      <c r="AW305" s="112">
        <f t="shared" si="119"/>
        <v>266</v>
      </c>
      <c r="AX305" s="112"/>
      <c r="AY305" s="13" t="s">
        <v>144</v>
      </c>
      <c r="AZ305" s="124"/>
      <c r="BA305" s="112">
        <f t="shared" si="120"/>
        <v>19</v>
      </c>
      <c r="BB305" s="112">
        <f t="shared" si="121"/>
        <v>14</v>
      </c>
      <c r="BC305" s="112">
        <f t="shared" si="122"/>
        <v>266</v>
      </c>
      <c r="BD305" s="112"/>
      <c r="BE305" s="112" t="s">
        <v>281</v>
      </c>
      <c r="BF305" s="113" t="s">
        <v>896</v>
      </c>
      <c r="BG305" s="120" t="s">
        <v>619</v>
      </c>
    </row>
    <row r="306" spans="1:59" s="120" customFormat="1" ht="15" customHeight="1">
      <c r="A306" s="112">
        <f t="shared" si="113"/>
        <v>304</v>
      </c>
      <c r="B306" s="113" t="s">
        <v>899</v>
      </c>
      <c r="C306" s="114" t="s">
        <v>897</v>
      </c>
      <c r="D306" s="122"/>
      <c r="E306" s="114" t="s">
        <v>900</v>
      </c>
      <c r="F306" s="112"/>
      <c r="G306" s="115" t="s">
        <v>81</v>
      </c>
      <c r="H306" s="10" t="s">
        <v>616</v>
      </c>
      <c r="I306" s="114" t="s">
        <v>83</v>
      </c>
      <c r="J306" s="114" t="s">
        <v>84</v>
      </c>
      <c r="K306" s="114" t="s">
        <v>83</v>
      </c>
      <c r="L306" s="113" t="s">
        <v>801</v>
      </c>
      <c r="M306" s="113" t="s">
        <v>801</v>
      </c>
      <c r="N306" s="116">
        <v>46142</v>
      </c>
      <c r="O306" s="114">
        <v>150</v>
      </c>
      <c r="P306" s="116">
        <v>46148</v>
      </c>
      <c r="Q306" s="116">
        <v>46149</v>
      </c>
      <c r="R306" s="116">
        <v>46148</v>
      </c>
      <c r="S306" s="112"/>
      <c r="T306" s="112"/>
      <c r="U306" s="112"/>
      <c r="V306" s="114" t="s">
        <v>99</v>
      </c>
      <c r="W306" s="114">
        <v>150</v>
      </c>
      <c r="X306" s="114">
        <v>148</v>
      </c>
      <c r="Y306" s="112"/>
      <c r="Z306" s="112" t="s">
        <v>87</v>
      </c>
      <c r="AA306" s="112"/>
      <c r="AB306" s="117"/>
      <c r="AC306" s="118">
        <v>25.5</v>
      </c>
      <c r="AD306" s="112"/>
      <c r="AE306" s="114">
        <v>150</v>
      </c>
      <c r="AF306" s="112" t="s">
        <v>88</v>
      </c>
      <c r="AG306" s="114" t="s">
        <v>99</v>
      </c>
      <c r="AH306" s="118">
        <v>12.5</v>
      </c>
      <c r="AI306" s="112">
        <f t="shared" si="114"/>
        <v>1875</v>
      </c>
      <c r="AJ306" s="112"/>
      <c r="AK306" s="115" t="s">
        <v>803</v>
      </c>
      <c r="AL306" s="114">
        <v>148</v>
      </c>
      <c r="AM306" s="112">
        <v>19</v>
      </c>
      <c r="AN306" s="112">
        <f t="shared" si="115"/>
        <v>2812</v>
      </c>
      <c r="AO306" s="112"/>
      <c r="AP306" s="112"/>
      <c r="AQ306" s="112">
        <f t="shared" si="116"/>
        <v>0</v>
      </c>
      <c r="AR306" s="112">
        <f t="shared" si="117"/>
        <v>2812</v>
      </c>
      <c r="AS306" s="112"/>
      <c r="AT306" s="110" t="s">
        <v>534</v>
      </c>
      <c r="AU306" s="111"/>
      <c r="AV306" s="112">
        <f t="shared" si="118"/>
        <v>19</v>
      </c>
      <c r="AW306" s="112">
        <f t="shared" si="119"/>
        <v>2812</v>
      </c>
      <c r="AX306" s="112"/>
      <c r="AY306" s="13" t="s">
        <v>144</v>
      </c>
      <c r="AZ306" s="124"/>
      <c r="BA306" s="112">
        <f t="shared" si="120"/>
        <v>19</v>
      </c>
      <c r="BB306" s="112">
        <f t="shared" si="121"/>
        <v>148</v>
      </c>
      <c r="BC306" s="112">
        <f t="shared" si="122"/>
        <v>2812</v>
      </c>
      <c r="BD306" s="112"/>
      <c r="BE306" s="112" t="s">
        <v>285</v>
      </c>
      <c r="BF306" s="113" t="s">
        <v>899</v>
      </c>
      <c r="BG306" s="120" t="s">
        <v>619</v>
      </c>
    </row>
    <row r="307" spans="1:59" s="120" customFormat="1" ht="15" customHeight="1">
      <c r="A307" s="112">
        <f t="shared" si="113"/>
        <v>305</v>
      </c>
      <c r="B307" s="113" t="s">
        <v>901</v>
      </c>
      <c r="C307" s="114" t="s">
        <v>902</v>
      </c>
      <c r="D307" s="122"/>
      <c r="E307" s="114" t="s">
        <v>903</v>
      </c>
      <c r="F307" s="112"/>
      <c r="G307" s="115" t="s">
        <v>81</v>
      </c>
      <c r="H307" s="10" t="s">
        <v>616</v>
      </c>
      <c r="I307" s="114" t="s">
        <v>83</v>
      </c>
      <c r="J307" s="114" t="s">
        <v>84</v>
      </c>
      <c r="K307" s="114" t="s">
        <v>83</v>
      </c>
      <c r="L307" s="113" t="s">
        <v>801</v>
      </c>
      <c r="M307" s="113" t="s">
        <v>801</v>
      </c>
      <c r="N307" s="116">
        <v>46142</v>
      </c>
      <c r="O307" s="114">
        <v>111</v>
      </c>
      <c r="P307" s="116">
        <v>46148</v>
      </c>
      <c r="Q307" s="116">
        <v>46149</v>
      </c>
      <c r="R307" s="116">
        <v>46148</v>
      </c>
      <c r="S307" s="112"/>
      <c r="T307" s="112"/>
      <c r="U307" s="112"/>
      <c r="V307" s="114" t="s">
        <v>99</v>
      </c>
      <c r="W307" s="114">
        <v>111</v>
      </c>
      <c r="X307" s="114">
        <v>109</v>
      </c>
      <c r="Y307" s="112"/>
      <c r="Z307" s="112" t="s">
        <v>87</v>
      </c>
      <c r="AA307" s="112"/>
      <c r="AB307" s="117"/>
      <c r="AC307" s="118">
        <v>25.5</v>
      </c>
      <c r="AD307" s="112"/>
      <c r="AE307" s="114">
        <v>111</v>
      </c>
      <c r="AF307" s="112" t="s">
        <v>88</v>
      </c>
      <c r="AG307" s="114" t="s">
        <v>99</v>
      </c>
      <c r="AH307" s="118">
        <v>12.5</v>
      </c>
      <c r="AI307" s="112">
        <f t="shared" si="114"/>
        <v>1387.5</v>
      </c>
      <c r="AJ307" s="112"/>
      <c r="AK307" s="115" t="s">
        <v>803</v>
      </c>
      <c r="AL307" s="114">
        <v>109</v>
      </c>
      <c r="AM307" s="112">
        <v>19</v>
      </c>
      <c r="AN307" s="112">
        <f t="shared" si="115"/>
        <v>2071</v>
      </c>
      <c r="AO307" s="112"/>
      <c r="AP307" s="112"/>
      <c r="AQ307" s="112">
        <f t="shared" si="116"/>
        <v>0</v>
      </c>
      <c r="AR307" s="112">
        <f t="shared" si="117"/>
        <v>2071</v>
      </c>
      <c r="AS307" s="112"/>
      <c r="AT307" s="110" t="s">
        <v>534</v>
      </c>
      <c r="AU307" s="111"/>
      <c r="AV307" s="112">
        <f t="shared" si="118"/>
        <v>19</v>
      </c>
      <c r="AW307" s="112">
        <f t="shared" si="119"/>
        <v>2071</v>
      </c>
      <c r="AX307" s="112"/>
      <c r="AY307" s="13" t="s">
        <v>144</v>
      </c>
      <c r="AZ307" s="124"/>
      <c r="BA307" s="112">
        <f t="shared" si="120"/>
        <v>19</v>
      </c>
      <c r="BB307" s="112">
        <f t="shared" si="121"/>
        <v>109</v>
      </c>
      <c r="BC307" s="112">
        <f t="shared" si="122"/>
        <v>2071</v>
      </c>
      <c r="BD307" s="112"/>
      <c r="BE307" s="112" t="s">
        <v>288</v>
      </c>
      <c r="BF307" s="113" t="s">
        <v>901</v>
      </c>
      <c r="BG307" s="120" t="s">
        <v>619</v>
      </c>
    </row>
    <row r="308" spans="1:59" s="120" customFormat="1" ht="15" customHeight="1">
      <c r="A308" s="112">
        <f t="shared" si="113"/>
        <v>306</v>
      </c>
      <c r="B308" s="113" t="s">
        <v>904</v>
      </c>
      <c r="C308" s="114" t="s">
        <v>905</v>
      </c>
      <c r="D308" s="122"/>
      <c r="E308" s="114" t="s">
        <v>906</v>
      </c>
      <c r="F308" s="112"/>
      <c r="G308" s="115" t="s">
        <v>81</v>
      </c>
      <c r="H308" s="10" t="s">
        <v>616</v>
      </c>
      <c r="I308" s="114" t="s">
        <v>83</v>
      </c>
      <c r="J308" s="114" t="s">
        <v>84</v>
      </c>
      <c r="K308" s="114" t="s">
        <v>83</v>
      </c>
      <c r="L308" s="113" t="s">
        <v>801</v>
      </c>
      <c r="M308" s="113" t="s">
        <v>801</v>
      </c>
      <c r="N308" s="116">
        <v>46142</v>
      </c>
      <c r="O308" s="114">
        <v>14</v>
      </c>
      <c r="P308" s="116">
        <v>46148</v>
      </c>
      <c r="Q308" s="116">
        <v>46149</v>
      </c>
      <c r="R308" s="116">
        <v>46148</v>
      </c>
      <c r="S308" s="112"/>
      <c r="T308" s="112"/>
      <c r="U308" s="112"/>
      <c r="V308" s="114" t="s">
        <v>99</v>
      </c>
      <c r="W308" s="114">
        <v>14</v>
      </c>
      <c r="X308" s="114">
        <v>14</v>
      </c>
      <c r="Y308" s="112"/>
      <c r="Z308" s="112" t="s">
        <v>87</v>
      </c>
      <c r="AA308" s="112"/>
      <c r="AB308" s="117"/>
      <c r="AC308" s="118">
        <v>25.5</v>
      </c>
      <c r="AD308" s="112"/>
      <c r="AE308" s="114">
        <v>14</v>
      </c>
      <c r="AF308" s="112" t="s">
        <v>88</v>
      </c>
      <c r="AG308" s="114" t="s">
        <v>99</v>
      </c>
      <c r="AH308" s="118">
        <v>12.5</v>
      </c>
      <c r="AI308" s="112">
        <f t="shared" si="114"/>
        <v>175</v>
      </c>
      <c r="AJ308" s="112"/>
      <c r="AK308" s="115" t="s">
        <v>803</v>
      </c>
      <c r="AL308" s="114">
        <v>14</v>
      </c>
      <c r="AM308" s="112">
        <v>19</v>
      </c>
      <c r="AN308" s="112">
        <f t="shared" si="115"/>
        <v>266</v>
      </c>
      <c r="AO308" s="112"/>
      <c r="AP308" s="112"/>
      <c r="AQ308" s="112">
        <f t="shared" si="116"/>
        <v>0</v>
      </c>
      <c r="AR308" s="112">
        <f t="shared" si="117"/>
        <v>266</v>
      </c>
      <c r="AS308" s="112"/>
      <c r="AT308" s="110" t="s">
        <v>534</v>
      </c>
      <c r="AU308" s="111"/>
      <c r="AV308" s="112">
        <f t="shared" si="118"/>
        <v>19</v>
      </c>
      <c r="AW308" s="112">
        <f t="shared" si="119"/>
        <v>266</v>
      </c>
      <c r="AX308" s="112"/>
      <c r="AY308" s="13" t="s">
        <v>144</v>
      </c>
      <c r="AZ308" s="124"/>
      <c r="BA308" s="112">
        <f t="shared" si="120"/>
        <v>19</v>
      </c>
      <c r="BB308" s="112">
        <f t="shared" si="121"/>
        <v>14</v>
      </c>
      <c r="BC308" s="112">
        <f t="shared" si="122"/>
        <v>266</v>
      </c>
      <c r="BD308" s="112"/>
      <c r="BE308" s="112" t="s">
        <v>292</v>
      </c>
      <c r="BF308" s="113" t="s">
        <v>904</v>
      </c>
      <c r="BG308" s="120" t="s">
        <v>619</v>
      </c>
    </row>
    <row r="309" spans="1:59" s="120" customFormat="1" ht="15" customHeight="1">
      <c r="A309" s="112">
        <f t="shared" si="113"/>
        <v>307</v>
      </c>
      <c r="B309" s="113" t="s">
        <v>907</v>
      </c>
      <c r="C309" s="114" t="s">
        <v>905</v>
      </c>
      <c r="D309" s="122"/>
      <c r="E309" s="114" t="s">
        <v>908</v>
      </c>
      <c r="F309" s="112"/>
      <c r="G309" s="115" t="s">
        <v>81</v>
      </c>
      <c r="H309" s="10" t="s">
        <v>616</v>
      </c>
      <c r="I309" s="114" t="s">
        <v>83</v>
      </c>
      <c r="J309" s="114" t="s">
        <v>84</v>
      </c>
      <c r="K309" s="114" t="s">
        <v>83</v>
      </c>
      <c r="L309" s="113" t="s">
        <v>801</v>
      </c>
      <c r="M309" s="113" t="s">
        <v>801</v>
      </c>
      <c r="N309" s="116">
        <v>46142</v>
      </c>
      <c r="O309" s="114">
        <v>127</v>
      </c>
      <c r="P309" s="116">
        <v>46148</v>
      </c>
      <c r="Q309" s="116">
        <v>46149</v>
      </c>
      <c r="R309" s="116">
        <v>46148</v>
      </c>
      <c r="S309" s="112"/>
      <c r="T309" s="112"/>
      <c r="U309" s="112"/>
      <c r="V309" s="114" t="s">
        <v>99</v>
      </c>
      <c r="W309" s="114">
        <v>127</v>
      </c>
      <c r="X309" s="114">
        <v>124</v>
      </c>
      <c r="Y309" s="112"/>
      <c r="Z309" s="112" t="s">
        <v>87</v>
      </c>
      <c r="AA309" s="112"/>
      <c r="AB309" s="117"/>
      <c r="AC309" s="118">
        <v>25.5</v>
      </c>
      <c r="AD309" s="112"/>
      <c r="AE309" s="114">
        <v>127</v>
      </c>
      <c r="AF309" s="112" t="s">
        <v>88</v>
      </c>
      <c r="AG309" s="114" t="s">
        <v>99</v>
      </c>
      <c r="AH309" s="118">
        <v>12.5</v>
      </c>
      <c r="AI309" s="112">
        <f t="shared" si="114"/>
        <v>1587.5</v>
      </c>
      <c r="AJ309" s="112"/>
      <c r="AK309" s="115" t="s">
        <v>803</v>
      </c>
      <c r="AL309" s="114">
        <v>124</v>
      </c>
      <c r="AM309" s="112">
        <v>19</v>
      </c>
      <c r="AN309" s="112">
        <f t="shared" si="115"/>
        <v>2356</v>
      </c>
      <c r="AO309" s="112"/>
      <c r="AP309" s="112"/>
      <c r="AQ309" s="112">
        <f t="shared" si="116"/>
        <v>0</v>
      </c>
      <c r="AR309" s="112">
        <f t="shared" si="117"/>
        <v>2356</v>
      </c>
      <c r="AS309" s="112"/>
      <c r="AT309" s="110" t="s">
        <v>534</v>
      </c>
      <c r="AU309" s="111"/>
      <c r="AV309" s="112">
        <f t="shared" si="118"/>
        <v>19</v>
      </c>
      <c r="AW309" s="112">
        <f t="shared" si="119"/>
        <v>2356</v>
      </c>
      <c r="AX309" s="112"/>
      <c r="AY309" s="13" t="s">
        <v>144</v>
      </c>
      <c r="AZ309" s="124"/>
      <c r="BA309" s="112">
        <f t="shared" si="120"/>
        <v>19</v>
      </c>
      <c r="BB309" s="112">
        <f t="shared" si="121"/>
        <v>124</v>
      </c>
      <c r="BC309" s="112">
        <f t="shared" si="122"/>
        <v>2356</v>
      </c>
      <c r="BD309" s="112"/>
      <c r="BE309" s="112" t="s">
        <v>296</v>
      </c>
      <c r="BF309" s="113" t="s">
        <v>907</v>
      </c>
      <c r="BG309" s="120" t="s">
        <v>619</v>
      </c>
    </row>
    <row r="310" spans="1:59" s="120" customFormat="1" ht="15" customHeight="1">
      <c r="A310" s="112">
        <f t="shared" si="113"/>
        <v>308</v>
      </c>
      <c r="B310" s="113" t="s">
        <v>909</v>
      </c>
      <c r="C310" s="114" t="s">
        <v>905</v>
      </c>
      <c r="D310" s="122"/>
      <c r="E310" s="114" t="s">
        <v>910</v>
      </c>
      <c r="F310" s="112"/>
      <c r="G310" s="115" t="s">
        <v>81</v>
      </c>
      <c r="H310" s="10" t="s">
        <v>616</v>
      </c>
      <c r="I310" s="114" t="s">
        <v>83</v>
      </c>
      <c r="J310" s="114" t="s">
        <v>84</v>
      </c>
      <c r="K310" s="114" t="s">
        <v>83</v>
      </c>
      <c r="L310" s="113" t="s">
        <v>801</v>
      </c>
      <c r="M310" s="113" t="s">
        <v>801</v>
      </c>
      <c r="N310" s="116">
        <v>46142</v>
      </c>
      <c r="O310" s="114">
        <v>72</v>
      </c>
      <c r="P310" s="116">
        <v>46148</v>
      </c>
      <c r="Q310" s="116">
        <v>46149</v>
      </c>
      <c r="R310" s="116">
        <v>46148</v>
      </c>
      <c r="S310" s="112"/>
      <c r="T310" s="112"/>
      <c r="U310" s="112"/>
      <c r="V310" s="114" t="s">
        <v>99</v>
      </c>
      <c r="W310" s="114">
        <v>72</v>
      </c>
      <c r="X310" s="114">
        <v>69</v>
      </c>
      <c r="Y310" s="112"/>
      <c r="Z310" s="112" t="s">
        <v>87</v>
      </c>
      <c r="AA310" s="112"/>
      <c r="AB310" s="117"/>
      <c r="AC310" s="118">
        <v>25.5</v>
      </c>
      <c r="AD310" s="112"/>
      <c r="AE310" s="114">
        <v>72</v>
      </c>
      <c r="AF310" s="112" t="s">
        <v>88</v>
      </c>
      <c r="AG310" s="114" t="s">
        <v>99</v>
      </c>
      <c r="AH310" s="118">
        <v>12.5</v>
      </c>
      <c r="AI310" s="112">
        <f t="shared" si="114"/>
        <v>900</v>
      </c>
      <c r="AJ310" s="112"/>
      <c r="AK310" s="115" t="s">
        <v>803</v>
      </c>
      <c r="AL310" s="114">
        <v>69</v>
      </c>
      <c r="AM310" s="112">
        <v>19</v>
      </c>
      <c r="AN310" s="112">
        <f t="shared" si="115"/>
        <v>1311</v>
      </c>
      <c r="AO310" s="112"/>
      <c r="AP310" s="112"/>
      <c r="AQ310" s="112">
        <f t="shared" si="116"/>
        <v>0</v>
      </c>
      <c r="AR310" s="112">
        <f t="shared" si="117"/>
        <v>1311</v>
      </c>
      <c r="AS310" s="112"/>
      <c r="AT310" s="110" t="s">
        <v>534</v>
      </c>
      <c r="AU310" s="111"/>
      <c r="AV310" s="112">
        <f t="shared" si="118"/>
        <v>19</v>
      </c>
      <c r="AW310" s="112">
        <f t="shared" si="119"/>
        <v>1311</v>
      </c>
      <c r="AX310" s="112"/>
      <c r="AY310" s="13" t="s">
        <v>144</v>
      </c>
      <c r="AZ310" s="124"/>
      <c r="BA310" s="112">
        <f t="shared" si="120"/>
        <v>19</v>
      </c>
      <c r="BB310" s="112">
        <f t="shared" si="121"/>
        <v>69</v>
      </c>
      <c r="BC310" s="112">
        <f t="shared" si="122"/>
        <v>1311</v>
      </c>
      <c r="BD310" s="112"/>
      <c r="BE310" s="112" t="s">
        <v>300</v>
      </c>
      <c r="BF310" s="113" t="s">
        <v>909</v>
      </c>
      <c r="BG310" s="120" t="s">
        <v>619</v>
      </c>
    </row>
    <row r="311" spans="1:59" s="120" customFormat="1" ht="15" customHeight="1">
      <c r="A311" s="112">
        <f t="shared" si="113"/>
        <v>309</v>
      </c>
      <c r="B311" s="113" t="s">
        <v>911</v>
      </c>
      <c r="C311" s="114" t="s">
        <v>815</v>
      </c>
      <c r="D311" s="122"/>
      <c r="E311" s="114" t="s">
        <v>912</v>
      </c>
      <c r="F311" s="112"/>
      <c r="G311" s="115" t="s">
        <v>81</v>
      </c>
      <c r="H311" s="10" t="s">
        <v>616</v>
      </c>
      <c r="I311" s="114" t="s">
        <v>83</v>
      </c>
      <c r="J311" s="114" t="s">
        <v>84</v>
      </c>
      <c r="K311" s="114" t="s">
        <v>83</v>
      </c>
      <c r="L311" s="113" t="s">
        <v>801</v>
      </c>
      <c r="M311" s="113" t="s">
        <v>801</v>
      </c>
      <c r="N311" s="116">
        <v>46142</v>
      </c>
      <c r="O311" s="114">
        <v>14</v>
      </c>
      <c r="P311" s="116">
        <v>46148</v>
      </c>
      <c r="Q311" s="116">
        <v>46149</v>
      </c>
      <c r="R311" s="116">
        <v>46148</v>
      </c>
      <c r="S311" s="112"/>
      <c r="T311" s="112"/>
      <c r="U311" s="112"/>
      <c r="V311" s="114" t="s">
        <v>99</v>
      </c>
      <c r="W311" s="114">
        <v>14</v>
      </c>
      <c r="X311" s="114">
        <v>14</v>
      </c>
      <c r="Y311" s="112"/>
      <c r="Z311" s="112" t="s">
        <v>87</v>
      </c>
      <c r="AA311" s="112"/>
      <c r="AB311" s="117"/>
      <c r="AC311" s="118">
        <v>25.5</v>
      </c>
      <c r="AD311" s="112"/>
      <c r="AE311" s="114">
        <v>14</v>
      </c>
      <c r="AF311" s="112" t="s">
        <v>88</v>
      </c>
      <c r="AG311" s="114" t="s">
        <v>99</v>
      </c>
      <c r="AH311" s="118">
        <v>12.5</v>
      </c>
      <c r="AI311" s="112">
        <f t="shared" si="114"/>
        <v>175</v>
      </c>
      <c r="AJ311" s="112"/>
      <c r="AK311" s="115" t="s">
        <v>803</v>
      </c>
      <c r="AL311" s="114">
        <v>14</v>
      </c>
      <c r="AM311" s="112">
        <v>19</v>
      </c>
      <c r="AN311" s="112">
        <f t="shared" si="115"/>
        <v>266</v>
      </c>
      <c r="AO311" s="112"/>
      <c r="AP311" s="112"/>
      <c r="AQ311" s="112">
        <f t="shared" si="116"/>
        <v>0</v>
      </c>
      <c r="AR311" s="112">
        <f t="shared" si="117"/>
        <v>266</v>
      </c>
      <c r="AS311" s="112"/>
      <c r="AT311" s="110" t="s">
        <v>534</v>
      </c>
      <c r="AU311" s="111"/>
      <c r="AV311" s="112">
        <f t="shared" si="118"/>
        <v>19</v>
      </c>
      <c r="AW311" s="112">
        <f t="shared" si="119"/>
        <v>266</v>
      </c>
      <c r="AX311" s="112"/>
      <c r="AY311" s="13" t="s">
        <v>144</v>
      </c>
      <c r="AZ311" s="124"/>
      <c r="BA311" s="112">
        <f t="shared" si="120"/>
        <v>19</v>
      </c>
      <c r="BB311" s="112">
        <f t="shared" si="121"/>
        <v>14</v>
      </c>
      <c r="BC311" s="112">
        <f t="shared" si="122"/>
        <v>266</v>
      </c>
      <c r="BD311" s="112"/>
      <c r="BE311" s="112" t="s">
        <v>303</v>
      </c>
      <c r="BF311" s="113" t="s">
        <v>911</v>
      </c>
      <c r="BG311" s="120" t="s">
        <v>619</v>
      </c>
    </row>
    <row r="312" spans="1:59" s="120" customFormat="1" ht="15" customHeight="1">
      <c r="A312" s="112">
        <f t="shared" si="113"/>
        <v>310</v>
      </c>
      <c r="B312" s="113" t="s">
        <v>913</v>
      </c>
      <c r="C312" s="114" t="s">
        <v>815</v>
      </c>
      <c r="D312" s="122"/>
      <c r="E312" s="114" t="s">
        <v>914</v>
      </c>
      <c r="F312" s="112"/>
      <c r="G312" s="115" t="s">
        <v>81</v>
      </c>
      <c r="H312" s="10" t="s">
        <v>616</v>
      </c>
      <c r="I312" s="114" t="s">
        <v>83</v>
      </c>
      <c r="J312" s="114" t="s">
        <v>84</v>
      </c>
      <c r="K312" s="114" t="s">
        <v>83</v>
      </c>
      <c r="L312" s="113" t="s">
        <v>801</v>
      </c>
      <c r="M312" s="113" t="s">
        <v>801</v>
      </c>
      <c r="N312" s="116">
        <v>46142</v>
      </c>
      <c r="O312" s="114">
        <v>80</v>
      </c>
      <c r="P312" s="116">
        <v>46148</v>
      </c>
      <c r="Q312" s="116">
        <v>46149</v>
      </c>
      <c r="R312" s="116">
        <v>46148</v>
      </c>
      <c r="S312" s="112"/>
      <c r="T312" s="112"/>
      <c r="U312" s="112"/>
      <c r="V312" s="114" t="s">
        <v>99</v>
      </c>
      <c r="W312" s="114">
        <v>80</v>
      </c>
      <c r="X312" s="114">
        <v>78</v>
      </c>
      <c r="Y312" s="112"/>
      <c r="Z312" s="112" t="s">
        <v>87</v>
      </c>
      <c r="AA312" s="112"/>
      <c r="AB312" s="117"/>
      <c r="AC312" s="118">
        <v>25.5</v>
      </c>
      <c r="AD312" s="112"/>
      <c r="AE312" s="114">
        <v>80</v>
      </c>
      <c r="AF312" s="112" t="s">
        <v>88</v>
      </c>
      <c r="AG312" s="114" t="s">
        <v>99</v>
      </c>
      <c r="AH312" s="118">
        <v>12.5</v>
      </c>
      <c r="AI312" s="112">
        <f t="shared" si="114"/>
        <v>1000</v>
      </c>
      <c r="AJ312" s="112"/>
      <c r="AK312" s="115" t="s">
        <v>803</v>
      </c>
      <c r="AL312" s="114">
        <v>78</v>
      </c>
      <c r="AM312" s="112">
        <v>19</v>
      </c>
      <c r="AN312" s="112">
        <f t="shared" si="115"/>
        <v>1482</v>
      </c>
      <c r="AO312" s="112"/>
      <c r="AP312" s="112"/>
      <c r="AQ312" s="112">
        <f t="shared" si="116"/>
        <v>0</v>
      </c>
      <c r="AR312" s="112">
        <f t="shared" si="117"/>
        <v>1482</v>
      </c>
      <c r="AS312" s="112"/>
      <c r="AT312" s="110" t="s">
        <v>534</v>
      </c>
      <c r="AU312" s="111"/>
      <c r="AV312" s="112">
        <f t="shared" si="118"/>
        <v>19</v>
      </c>
      <c r="AW312" s="112">
        <f t="shared" si="119"/>
        <v>1482</v>
      </c>
      <c r="AX312" s="112"/>
      <c r="AY312" s="13" t="s">
        <v>144</v>
      </c>
      <c r="AZ312" s="124"/>
      <c r="BA312" s="112">
        <f t="shared" si="120"/>
        <v>19</v>
      </c>
      <c r="BB312" s="112">
        <f t="shared" si="121"/>
        <v>78</v>
      </c>
      <c r="BC312" s="112">
        <f t="shared" si="122"/>
        <v>1482</v>
      </c>
      <c r="BD312" s="112"/>
      <c r="BE312" s="112" t="s">
        <v>307</v>
      </c>
      <c r="BF312" s="113" t="s">
        <v>913</v>
      </c>
      <c r="BG312" s="120" t="s">
        <v>619</v>
      </c>
    </row>
    <row r="313" spans="1:59" s="120" customFormat="1" ht="15" customHeight="1">
      <c r="A313" s="112">
        <f t="shared" si="113"/>
        <v>311</v>
      </c>
      <c r="B313" s="113" t="s">
        <v>915</v>
      </c>
      <c r="C313" s="114" t="s">
        <v>815</v>
      </c>
      <c r="D313" s="122"/>
      <c r="E313" s="114" t="s">
        <v>916</v>
      </c>
      <c r="F313" s="112"/>
      <c r="G313" s="115" t="s">
        <v>81</v>
      </c>
      <c r="H313" s="10" t="s">
        <v>616</v>
      </c>
      <c r="I313" s="114" t="s">
        <v>83</v>
      </c>
      <c r="J313" s="114" t="s">
        <v>84</v>
      </c>
      <c r="K313" s="114" t="s">
        <v>83</v>
      </c>
      <c r="L313" s="113" t="s">
        <v>801</v>
      </c>
      <c r="M313" s="113" t="s">
        <v>801</v>
      </c>
      <c r="N313" s="116">
        <v>46142</v>
      </c>
      <c r="O313" s="114">
        <v>191</v>
      </c>
      <c r="P313" s="116">
        <v>46148</v>
      </c>
      <c r="Q313" s="116">
        <v>46149</v>
      </c>
      <c r="R313" s="116">
        <v>46148</v>
      </c>
      <c r="S313" s="112"/>
      <c r="T313" s="112"/>
      <c r="U313" s="112"/>
      <c r="V313" s="114" t="s">
        <v>99</v>
      </c>
      <c r="W313" s="114">
        <v>191</v>
      </c>
      <c r="X313" s="114">
        <v>187</v>
      </c>
      <c r="Y313" s="112"/>
      <c r="Z313" s="112" t="s">
        <v>87</v>
      </c>
      <c r="AA313" s="112"/>
      <c r="AB313" s="117"/>
      <c r="AC313" s="118">
        <v>25.5</v>
      </c>
      <c r="AD313" s="112"/>
      <c r="AE313" s="114">
        <v>191</v>
      </c>
      <c r="AF313" s="112" t="s">
        <v>88</v>
      </c>
      <c r="AG313" s="114" t="s">
        <v>99</v>
      </c>
      <c r="AH313" s="118">
        <v>12.5</v>
      </c>
      <c r="AI313" s="112">
        <f t="shared" si="114"/>
        <v>2387.5</v>
      </c>
      <c r="AJ313" s="112"/>
      <c r="AK313" s="115" t="s">
        <v>803</v>
      </c>
      <c r="AL313" s="114">
        <v>187</v>
      </c>
      <c r="AM313" s="112">
        <v>19</v>
      </c>
      <c r="AN313" s="112">
        <f t="shared" si="115"/>
        <v>3553</v>
      </c>
      <c r="AO313" s="112"/>
      <c r="AP313" s="112"/>
      <c r="AQ313" s="112">
        <f t="shared" si="116"/>
        <v>0</v>
      </c>
      <c r="AR313" s="112">
        <f t="shared" si="117"/>
        <v>3553</v>
      </c>
      <c r="AS313" s="112"/>
      <c r="AT313" s="110" t="s">
        <v>534</v>
      </c>
      <c r="AU313" s="111"/>
      <c r="AV313" s="112">
        <f t="shared" si="118"/>
        <v>19</v>
      </c>
      <c r="AW313" s="112">
        <f t="shared" si="119"/>
        <v>3553</v>
      </c>
      <c r="AX313" s="112"/>
      <c r="AY313" s="13" t="s">
        <v>144</v>
      </c>
      <c r="AZ313" s="124"/>
      <c r="BA313" s="112">
        <f t="shared" si="120"/>
        <v>19</v>
      </c>
      <c r="BB313" s="112">
        <f t="shared" si="121"/>
        <v>187</v>
      </c>
      <c r="BC313" s="112">
        <f t="shared" si="122"/>
        <v>3553</v>
      </c>
      <c r="BD313" s="112"/>
      <c r="BE313" s="112" t="s">
        <v>310</v>
      </c>
      <c r="BF313" s="113" t="s">
        <v>915</v>
      </c>
      <c r="BG313" s="120" t="s">
        <v>619</v>
      </c>
    </row>
    <row r="314" spans="1:59" s="120" customFormat="1" ht="15" customHeight="1">
      <c r="A314" s="112">
        <f t="shared" si="113"/>
        <v>312</v>
      </c>
      <c r="B314" s="113" t="s">
        <v>917</v>
      </c>
      <c r="C314" s="114" t="s">
        <v>816</v>
      </c>
      <c r="D314" s="122"/>
      <c r="E314" s="114" t="s">
        <v>918</v>
      </c>
      <c r="F314" s="112"/>
      <c r="G314" s="115" t="s">
        <v>81</v>
      </c>
      <c r="H314" s="10" t="s">
        <v>616</v>
      </c>
      <c r="I314" s="114" t="s">
        <v>83</v>
      </c>
      <c r="J314" s="114" t="s">
        <v>84</v>
      </c>
      <c r="K314" s="114" t="s">
        <v>83</v>
      </c>
      <c r="L314" s="113" t="s">
        <v>801</v>
      </c>
      <c r="M314" s="113" t="s">
        <v>801</v>
      </c>
      <c r="N314" s="116">
        <v>46142</v>
      </c>
      <c r="O314" s="114">
        <v>14</v>
      </c>
      <c r="P314" s="116">
        <v>46148</v>
      </c>
      <c r="Q314" s="116">
        <v>46149</v>
      </c>
      <c r="R314" s="116">
        <v>46148</v>
      </c>
      <c r="S314" s="112"/>
      <c r="T314" s="112"/>
      <c r="U314" s="112"/>
      <c r="V314" s="114" t="s">
        <v>99</v>
      </c>
      <c r="W314" s="114">
        <v>14</v>
      </c>
      <c r="X314" s="114">
        <v>14</v>
      </c>
      <c r="Y314" s="112"/>
      <c r="Z314" s="112" t="s">
        <v>87</v>
      </c>
      <c r="AA314" s="112"/>
      <c r="AB314" s="117"/>
      <c r="AC314" s="118">
        <v>25.5</v>
      </c>
      <c r="AD314" s="112"/>
      <c r="AE314" s="114">
        <v>14</v>
      </c>
      <c r="AF314" s="112" t="s">
        <v>88</v>
      </c>
      <c r="AG314" s="114" t="s">
        <v>99</v>
      </c>
      <c r="AH314" s="118">
        <v>12.5</v>
      </c>
      <c r="AI314" s="112">
        <f t="shared" si="114"/>
        <v>175</v>
      </c>
      <c r="AJ314" s="112"/>
      <c r="AK314" s="115" t="s">
        <v>803</v>
      </c>
      <c r="AL314" s="114">
        <v>14</v>
      </c>
      <c r="AM314" s="112">
        <v>19</v>
      </c>
      <c r="AN314" s="112">
        <f t="shared" si="115"/>
        <v>266</v>
      </c>
      <c r="AO314" s="112"/>
      <c r="AP314" s="112"/>
      <c r="AQ314" s="112">
        <f t="shared" si="116"/>
        <v>0</v>
      </c>
      <c r="AR314" s="112">
        <f t="shared" si="117"/>
        <v>266</v>
      </c>
      <c r="AS314" s="112"/>
      <c r="AT314" s="110" t="s">
        <v>534</v>
      </c>
      <c r="AU314" s="111"/>
      <c r="AV314" s="112">
        <f t="shared" si="118"/>
        <v>19</v>
      </c>
      <c r="AW314" s="112">
        <f t="shared" si="119"/>
        <v>266</v>
      </c>
      <c r="AX314" s="112"/>
      <c r="AY314" s="13" t="s">
        <v>144</v>
      </c>
      <c r="AZ314" s="124"/>
      <c r="BA314" s="112">
        <f t="shared" si="120"/>
        <v>19</v>
      </c>
      <c r="BB314" s="112">
        <f t="shared" si="121"/>
        <v>14</v>
      </c>
      <c r="BC314" s="112">
        <f t="shared" si="122"/>
        <v>266</v>
      </c>
      <c r="BD314" s="112"/>
      <c r="BE314" s="112" t="s">
        <v>313</v>
      </c>
      <c r="BF314" s="113" t="s">
        <v>917</v>
      </c>
      <c r="BG314" s="120" t="s">
        <v>619</v>
      </c>
    </row>
    <row r="315" spans="1:59" s="120" customFormat="1" ht="15" customHeight="1">
      <c r="A315" s="112">
        <f t="shared" si="113"/>
        <v>313</v>
      </c>
      <c r="B315" s="113" t="s">
        <v>919</v>
      </c>
      <c r="C315" s="114" t="s">
        <v>816</v>
      </c>
      <c r="D315" s="122"/>
      <c r="E315" s="114" t="s">
        <v>920</v>
      </c>
      <c r="F315" s="112"/>
      <c r="G315" s="115" t="s">
        <v>81</v>
      </c>
      <c r="H315" s="10" t="s">
        <v>616</v>
      </c>
      <c r="I315" s="114" t="s">
        <v>83</v>
      </c>
      <c r="J315" s="114" t="s">
        <v>84</v>
      </c>
      <c r="K315" s="114" t="s">
        <v>83</v>
      </c>
      <c r="L315" s="113" t="s">
        <v>801</v>
      </c>
      <c r="M315" s="113" t="s">
        <v>801</v>
      </c>
      <c r="N315" s="116">
        <v>46142</v>
      </c>
      <c r="O315" s="114">
        <v>149</v>
      </c>
      <c r="P315" s="116">
        <v>46148</v>
      </c>
      <c r="Q315" s="116">
        <v>46149</v>
      </c>
      <c r="R315" s="116">
        <v>46148</v>
      </c>
      <c r="S315" s="112"/>
      <c r="T315" s="112"/>
      <c r="U315" s="112"/>
      <c r="V315" s="114" t="s">
        <v>99</v>
      </c>
      <c r="W315" s="114">
        <v>149</v>
      </c>
      <c r="X315" s="114">
        <v>144</v>
      </c>
      <c r="Y315" s="112"/>
      <c r="Z315" s="112" t="s">
        <v>87</v>
      </c>
      <c r="AA315" s="112"/>
      <c r="AB315" s="117"/>
      <c r="AC315" s="118">
        <v>25.5</v>
      </c>
      <c r="AD315" s="112"/>
      <c r="AE315" s="114">
        <v>149</v>
      </c>
      <c r="AF315" s="112" t="s">
        <v>88</v>
      </c>
      <c r="AG315" s="114" t="s">
        <v>99</v>
      </c>
      <c r="AH315" s="118">
        <v>12.5</v>
      </c>
      <c r="AI315" s="112">
        <f t="shared" si="114"/>
        <v>1862.5</v>
      </c>
      <c r="AJ315" s="112"/>
      <c r="AK315" s="115" t="s">
        <v>803</v>
      </c>
      <c r="AL315" s="114">
        <v>144</v>
      </c>
      <c r="AM315" s="112">
        <v>19</v>
      </c>
      <c r="AN315" s="112">
        <f t="shared" si="115"/>
        <v>2736</v>
      </c>
      <c r="AO315" s="112"/>
      <c r="AP315" s="112"/>
      <c r="AQ315" s="112">
        <f t="shared" si="116"/>
        <v>0</v>
      </c>
      <c r="AR315" s="112">
        <f t="shared" si="117"/>
        <v>2736</v>
      </c>
      <c r="AS315" s="112"/>
      <c r="AT315" s="110" t="s">
        <v>534</v>
      </c>
      <c r="AU315" s="111"/>
      <c r="AV315" s="112">
        <f t="shared" si="118"/>
        <v>19</v>
      </c>
      <c r="AW315" s="112">
        <f t="shared" si="119"/>
        <v>2736</v>
      </c>
      <c r="AX315" s="112"/>
      <c r="AY315" s="13" t="s">
        <v>144</v>
      </c>
      <c r="AZ315" s="124"/>
      <c r="BA315" s="112">
        <f t="shared" si="120"/>
        <v>19</v>
      </c>
      <c r="BB315" s="112">
        <f t="shared" si="121"/>
        <v>144</v>
      </c>
      <c r="BC315" s="112">
        <f t="shared" si="122"/>
        <v>2736</v>
      </c>
      <c r="BD315" s="112"/>
      <c r="BE315" s="112" t="s">
        <v>317</v>
      </c>
      <c r="BF315" s="113" t="s">
        <v>919</v>
      </c>
      <c r="BG315" s="120" t="s">
        <v>619</v>
      </c>
    </row>
    <row r="316" spans="1:59" s="120" customFormat="1" ht="15" customHeight="1">
      <c r="A316" s="112">
        <f t="shared" si="113"/>
        <v>314</v>
      </c>
      <c r="B316" s="113" t="s">
        <v>921</v>
      </c>
      <c r="C316" s="114" t="s">
        <v>816</v>
      </c>
      <c r="D316" s="122"/>
      <c r="E316" s="114" t="s">
        <v>922</v>
      </c>
      <c r="F316" s="112"/>
      <c r="G316" s="115" t="s">
        <v>81</v>
      </c>
      <c r="H316" s="10" t="s">
        <v>616</v>
      </c>
      <c r="I316" s="114" t="s">
        <v>83</v>
      </c>
      <c r="J316" s="114" t="s">
        <v>84</v>
      </c>
      <c r="K316" s="114" t="s">
        <v>83</v>
      </c>
      <c r="L316" s="113" t="s">
        <v>801</v>
      </c>
      <c r="M316" s="113" t="s">
        <v>801</v>
      </c>
      <c r="N316" s="116">
        <v>46142</v>
      </c>
      <c r="O316" s="114">
        <v>49</v>
      </c>
      <c r="P316" s="116">
        <v>46148</v>
      </c>
      <c r="Q316" s="116">
        <v>46149</v>
      </c>
      <c r="R316" s="116">
        <v>46148</v>
      </c>
      <c r="S316" s="112"/>
      <c r="T316" s="112"/>
      <c r="U316" s="112"/>
      <c r="V316" s="114" t="s">
        <v>99</v>
      </c>
      <c r="W316" s="114">
        <v>49</v>
      </c>
      <c r="X316" s="114">
        <v>47</v>
      </c>
      <c r="Y316" s="112"/>
      <c r="Z316" s="112" t="s">
        <v>87</v>
      </c>
      <c r="AA316" s="112"/>
      <c r="AB316" s="117"/>
      <c r="AC316" s="118">
        <v>25.5</v>
      </c>
      <c r="AD316" s="112"/>
      <c r="AE316" s="114">
        <v>49</v>
      </c>
      <c r="AF316" s="112" t="s">
        <v>88</v>
      </c>
      <c r="AG316" s="114" t="s">
        <v>99</v>
      </c>
      <c r="AH316" s="118">
        <v>12.5</v>
      </c>
      <c r="AI316" s="112">
        <f t="shared" si="114"/>
        <v>612.5</v>
      </c>
      <c r="AJ316" s="112"/>
      <c r="AK316" s="115" t="s">
        <v>803</v>
      </c>
      <c r="AL316" s="114">
        <v>47</v>
      </c>
      <c r="AM316" s="112">
        <v>19</v>
      </c>
      <c r="AN316" s="112">
        <f t="shared" si="115"/>
        <v>893</v>
      </c>
      <c r="AO316" s="112"/>
      <c r="AP316" s="112"/>
      <c r="AQ316" s="112">
        <f t="shared" si="116"/>
        <v>0</v>
      </c>
      <c r="AR316" s="112">
        <f t="shared" si="117"/>
        <v>893</v>
      </c>
      <c r="AS316" s="112"/>
      <c r="AT316" s="110" t="s">
        <v>534</v>
      </c>
      <c r="AU316" s="111"/>
      <c r="AV316" s="112">
        <f t="shared" si="118"/>
        <v>19</v>
      </c>
      <c r="AW316" s="112">
        <f t="shared" si="119"/>
        <v>893</v>
      </c>
      <c r="AX316" s="112"/>
      <c r="AY316" s="13" t="s">
        <v>144</v>
      </c>
      <c r="AZ316" s="124"/>
      <c r="BA316" s="112">
        <f t="shared" si="120"/>
        <v>19</v>
      </c>
      <c r="BB316" s="112">
        <f t="shared" si="121"/>
        <v>47</v>
      </c>
      <c r="BC316" s="112">
        <f t="shared" si="122"/>
        <v>893</v>
      </c>
      <c r="BD316" s="112"/>
      <c r="BE316" s="112" t="s">
        <v>320</v>
      </c>
      <c r="BF316" s="113" t="s">
        <v>921</v>
      </c>
      <c r="BG316" s="120" t="s">
        <v>619</v>
      </c>
    </row>
    <row r="317" spans="1:59" s="120" customFormat="1" ht="15" customHeight="1">
      <c r="A317" s="112">
        <f t="shared" si="113"/>
        <v>315</v>
      </c>
      <c r="B317" s="113" t="s">
        <v>923</v>
      </c>
      <c r="C317" s="114" t="s">
        <v>802</v>
      </c>
      <c r="D317" s="122"/>
      <c r="E317" s="114" t="s">
        <v>924</v>
      </c>
      <c r="F317" s="112"/>
      <c r="G317" s="115" t="s">
        <v>81</v>
      </c>
      <c r="H317" s="10" t="s">
        <v>616</v>
      </c>
      <c r="I317" s="114" t="s">
        <v>83</v>
      </c>
      <c r="J317" s="114" t="s">
        <v>84</v>
      </c>
      <c r="K317" s="114" t="s">
        <v>83</v>
      </c>
      <c r="L317" s="113" t="s">
        <v>801</v>
      </c>
      <c r="M317" s="113" t="s">
        <v>801</v>
      </c>
      <c r="N317" s="116">
        <v>46142</v>
      </c>
      <c r="O317" s="114">
        <v>14</v>
      </c>
      <c r="P317" s="116">
        <v>46148</v>
      </c>
      <c r="Q317" s="116">
        <v>46149</v>
      </c>
      <c r="R317" s="116">
        <v>46148</v>
      </c>
      <c r="S317" s="112"/>
      <c r="T317" s="112"/>
      <c r="U317" s="112"/>
      <c r="V317" s="114" t="s">
        <v>99</v>
      </c>
      <c r="W317" s="114">
        <v>14</v>
      </c>
      <c r="X317" s="114">
        <v>14</v>
      </c>
      <c r="Y317" s="112"/>
      <c r="Z317" s="112" t="s">
        <v>87</v>
      </c>
      <c r="AA317" s="112"/>
      <c r="AB317" s="117"/>
      <c r="AC317" s="118">
        <v>25.5</v>
      </c>
      <c r="AD317" s="112"/>
      <c r="AE317" s="114">
        <v>14</v>
      </c>
      <c r="AF317" s="112" t="s">
        <v>88</v>
      </c>
      <c r="AG317" s="114" t="s">
        <v>99</v>
      </c>
      <c r="AH317" s="118">
        <v>12.5</v>
      </c>
      <c r="AI317" s="112">
        <f t="shared" si="114"/>
        <v>175</v>
      </c>
      <c r="AJ317" s="112"/>
      <c r="AK317" s="115" t="s">
        <v>803</v>
      </c>
      <c r="AL317" s="114">
        <v>14</v>
      </c>
      <c r="AM317" s="112">
        <v>19</v>
      </c>
      <c r="AN317" s="112">
        <f t="shared" si="115"/>
        <v>266</v>
      </c>
      <c r="AO317" s="112"/>
      <c r="AP317" s="112"/>
      <c r="AQ317" s="112">
        <f t="shared" si="116"/>
        <v>0</v>
      </c>
      <c r="AR317" s="112">
        <f t="shared" si="117"/>
        <v>266</v>
      </c>
      <c r="AS317" s="112"/>
      <c r="AT317" s="110" t="s">
        <v>534</v>
      </c>
      <c r="AU317" s="111"/>
      <c r="AV317" s="112">
        <f t="shared" si="118"/>
        <v>19</v>
      </c>
      <c r="AW317" s="112">
        <f t="shared" si="119"/>
        <v>266</v>
      </c>
      <c r="AX317" s="112"/>
      <c r="AY317" s="13" t="s">
        <v>144</v>
      </c>
      <c r="AZ317" s="124"/>
      <c r="BA317" s="112">
        <f t="shared" si="120"/>
        <v>19</v>
      </c>
      <c r="BB317" s="112">
        <f t="shared" si="121"/>
        <v>14</v>
      </c>
      <c r="BC317" s="112">
        <f t="shared" si="122"/>
        <v>266</v>
      </c>
      <c r="BD317" s="112"/>
      <c r="BE317" s="112" t="s">
        <v>323</v>
      </c>
      <c r="BF317" s="113" t="s">
        <v>923</v>
      </c>
      <c r="BG317" s="120" t="s">
        <v>619</v>
      </c>
    </row>
    <row r="318" spans="1:59" s="120" customFormat="1" ht="15" customHeight="1">
      <c r="A318" s="112">
        <f t="shared" si="113"/>
        <v>316</v>
      </c>
      <c r="B318" s="113" t="s">
        <v>925</v>
      </c>
      <c r="C318" s="114" t="s">
        <v>802</v>
      </c>
      <c r="D318" s="122"/>
      <c r="E318" s="114" t="s">
        <v>926</v>
      </c>
      <c r="F318" s="112"/>
      <c r="G318" s="115" t="s">
        <v>81</v>
      </c>
      <c r="H318" s="10" t="s">
        <v>616</v>
      </c>
      <c r="I318" s="114" t="s">
        <v>83</v>
      </c>
      <c r="J318" s="114" t="s">
        <v>84</v>
      </c>
      <c r="K318" s="114" t="s">
        <v>83</v>
      </c>
      <c r="L318" s="113" t="s">
        <v>801</v>
      </c>
      <c r="M318" s="113" t="s">
        <v>801</v>
      </c>
      <c r="N318" s="116">
        <v>46142</v>
      </c>
      <c r="O318" s="114">
        <v>51</v>
      </c>
      <c r="P318" s="116">
        <v>46148</v>
      </c>
      <c r="Q318" s="116">
        <v>46149</v>
      </c>
      <c r="R318" s="116">
        <v>46148</v>
      </c>
      <c r="S318" s="112"/>
      <c r="T318" s="112"/>
      <c r="U318" s="112"/>
      <c r="V318" s="114" t="s">
        <v>99</v>
      </c>
      <c r="W318" s="114">
        <v>51</v>
      </c>
      <c r="X318" s="114">
        <v>49</v>
      </c>
      <c r="Y318" s="112"/>
      <c r="Z318" s="112" t="s">
        <v>87</v>
      </c>
      <c r="AA318" s="112"/>
      <c r="AB318" s="117"/>
      <c r="AC318" s="118">
        <v>25.5</v>
      </c>
      <c r="AD318" s="112"/>
      <c r="AE318" s="114">
        <v>51</v>
      </c>
      <c r="AF318" s="112" t="s">
        <v>88</v>
      </c>
      <c r="AG318" s="114" t="s">
        <v>99</v>
      </c>
      <c r="AH318" s="118">
        <v>12.5</v>
      </c>
      <c r="AI318" s="112">
        <f t="shared" si="114"/>
        <v>637.5</v>
      </c>
      <c r="AJ318" s="112"/>
      <c r="AK318" s="115" t="s">
        <v>803</v>
      </c>
      <c r="AL318" s="114">
        <v>49</v>
      </c>
      <c r="AM318" s="112">
        <v>19</v>
      </c>
      <c r="AN318" s="112">
        <f t="shared" si="115"/>
        <v>931</v>
      </c>
      <c r="AO318" s="112"/>
      <c r="AP318" s="112"/>
      <c r="AQ318" s="112">
        <f t="shared" si="116"/>
        <v>0</v>
      </c>
      <c r="AR318" s="112">
        <f t="shared" si="117"/>
        <v>931</v>
      </c>
      <c r="AS318" s="112"/>
      <c r="AT318" s="110" t="s">
        <v>534</v>
      </c>
      <c r="AU318" s="111"/>
      <c r="AV318" s="112">
        <f t="shared" si="118"/>
        <v>19</v>
      </c>
      <c r="AW318" s="112">
        <f t="shared" si="119"/>
        <v>931</v>
      </c>
      <c r="AX318" s="112"/>
      <c r="AY318" s="13" t="s">
        <v>144</v>
      </c>
      <c r="AZ318" s="124"/>
      <c r="BA318" s="112">
        <f t="shared" si="120"/>
        <v>19</v>
      </c>
      <c r="BB318" s="112">
        <f t="shared" si="121"/>
        <v>49</v>
      </c>
      <c r="BC318" s="112">
        <f t="shared" si="122"/>
        <v>931</v>
      </c>
      <c r="BD318" s="112"/>
      <c r="BE318" s="112" t="s">
        <v>327</v>
      </c>
      <c r="BF318" s="113" t="s">
        <v>925</v>
      </c>
      <c r="BG318" s="120" t="s">
        <v>619</v>
      </c>
    </row>
    <row r="319" spans="1:59" s="120" customFormat="1" ht="15" customHeight="1">
      <c r="A319" s="112">
        <f t="shared" si="113"/>
        <v>317</v>
      </c>
      <c r="B319" s="113" t="s">
        <v>927</v>
      </c>
      <c r="C319" s="114" t="s">
        <v>802</v>
      </c>
      <c r="D319" s="122"/>
      <c r="E319" s="114" t="s">
        <v>928</v>
      </c>
      <c r="F319" s="112"/>
      <c r="G319" s="115" t="s">
        <v>81</v>
      </c>
      <c r="H319" s="10" t="s">
        <v>616</v>
      </c>
      <c r="I319" s="114" t="s">
        <v>83</v>
      </c>
      <c r="J319" s="114" t="s">
        <v>84</v>
      </c>
      <c r="K319" s="114" t="s">
        <v>83</v>
      </c>
      <c r="L319" s="113" t="s">
        <v>801</v>
      </c>
      <c r="M319" s="113" t="s">
        <v>801</v>
      </c>
      <c r="N319" s="116">
        <v>46142</v>
      </c>
      <c r="O319" s="114">
        <v>137</v>
      </c>
      <c r="P319" s="116">
        <v>46148</v>
      </c>
      <c r="Q319" s="116">
        <v>46149</v>
      </c>
      <c r="R319" s="116">
        <v>46148</v>
      </c>
      <c r="S319" s="112"/>
      <c r="T319" s="112"/>
      <c r="U319" s="112"/>
      <c r="V319" s="114" t="s">
        <v>99</v>
      </c>
      <c r="W319" s="114">
        <v>137</v>
      </c>
      <c r="X319" s="114">
        <v>132</v>
      </c>
      <c r="Y319" s="112"/>
      <c r="Z319" s="112" t="s">
        <v>87</v>
      </c>
      <c r="AA319" s="112"/>
      <c r="AB319" s="117"/>
      <c r="AC319" s="118">
        <v>25.5</v>
      </c>
      <c r="AD319" s="112"/>
      <c r="AE319" s="114">
        <v>137</v>
      </c>
      <c r="AF319" s="112" t="s">
        <v>88</v>
      </c>
      <c r="AG319" s="114" t="s">
        <v>99</v>
      </c>
      <c r="AH319" s="118">
        <v>12.5</v>
      </c>
      <c r="AI319" s="112">
        <f t="shared" si="114"/>
        <v>1712.5</v>
      </c>
      <c r="AJ319" s="112"/>
      <c r="AK319" s="115" t="s">
        <v>803</v>
      </c>
      <c r="AL319" s="114">
        <v>132</v>
      </c>
      <c r="AM319" s="112">
        <v>19</v>
      </c>
      <c r="AN319" s="112">
        <f t="shared" si="115"/>
        <v>2508</v>
      </c>
      <c r="AO319" s="112"/>
      <c r="AP319" s="112"/>
      <c r="AQ319" s="112">
        <f t="shared" si="116"/>
        <v>0</v>
      </c>
      <c r="AR319" s="112">
        <f t="shared" si="117"/>
        <v>2508</v>
      </c>
      <c r="AS319" s="112"/>
      <c r="AT319" s="110" t="s">
        <v>534</v>
      </c>
      <c r="AU319" s="111"/>
      <c r="AV319" s="112">
        <f t="shared" si="118"/>
        <v>19</v>
      </c>
      <c r="AW319" s="112">
        <f t="shared" si="119"/>
        <v>2508</v>
      </c>
      <c r="AX319" s="112"/>
      <c r="AY319" s="13" t="s">
        <v>144</v>
      </c>
      <c r="AZ319" s="124"/>
      <c r="BA319" s="112">
        <f t="shared" si="120"/>
        <v>19</v>
      </c>
      <c r="BB319" s="112">
        <f t="shared" si="121"/>
        <v>132</v>
      </c>
      <c r="BC319" s="112">
        <f t="shared" si="122"/>
        <v>2508</v>
      </c>
      <c r="BD319" s="112"/>
      <c r="BE319" s="112" t="s">
        <v>332</v>
      </c>
      <c r="BF319" s="113" t="s">
        <v>927</v>
      </c>
      <c r="BG319" s="120" t="s">
        <v>619</v>
      </c>
    </row>
    <row r="320" spans="1:59" s="120" customFormat="1" ht="15" customHeight="1">
      <c r="A320" s="112">
        <f t="shared" si="113"/>
        <v>318</v>
      </c>
      <c r="B320" s="113" t="s">
        <v>929</v>
      </c>
      <c r="C320" s="114" t="s">
        <v>802</v>
      </c>
      <c r="D320" s="122"/>
      <c r="E320" s="114" t="s">
        <v>930</v>
      </c>
      <c r="F320" s="112"/>
      <c r="G320" s="115" t="s">
        <v>81</v>
      </c>
      <c r="H320" s="10" t="s">
        <v>616</v>
      </c>
      <c r="I320" s="114" t="s">
        <v>83</v>
      </c>
      <c r="J320" s="114" t="s">
        <v>84</v>
      </c>
      <c r="K320" s="114" t="s">
        <v>83</v>
      </c>
      <c r="L320" s="113" t="s">
        <v>801</v>
      </c>
      <c r="M320" s="113" t="s">
        <v>801</v>
      </c>
      <c r="N320" s="116">
        <v>46142</v>
      </c>
      <c r="O320" s="114">
        <v>270</v>
      </c>
      <c r="P320" s="116">
        <v>46148</v>
      </c>
      <c r="Q320" s="116">
        <v>46149</v>
      </c>
      <c r="R320" s="116">
        <v>46148</v>
      </c>
      <c r="S320" s="112"/>
      <c r="T320" s="112"/>
      <c r="U320" s="112"/>
      <c r="V320" s="114" t="s">
        <v>99</v>
      </c>
      <c r="W320" s="114">
        <v>270</v>
      </c>
      <c r="X320" s="114">
        <v>262</v>
      </c>
      <c r="Y320" s="112"/>
      <c r="Z320" s="112" t="s">
        <v>87</v>
      </c>
      <c r="AA320" s="112"/>
      <c r="AB320" s="117"/>
      <c r="AC320" s="118">
        <v>25.5</v>
      </c>
      <c r="AD320" s="112"/>
      <c r="AE320" s="114">
        <v>270</v>
      </c>
      <c r="AF320" s="112" t="s">
        <v>88</v>
      </c>
      <c r="AG320" s="114" t="s">
        <v>99</v>
      </c>
      <c r="AH320" s="118">
        <v>12.5</v>
      </c>
      <c r="AI320" s="112">
        <f t="shared" si="114"/>
        <v>3375</v>
      </c>
      <c r="AJ320" s="112"/>
      <c r="AK320" s="115" t="s">
        <v>803</v>
      </c>
      <c r="AL320" s="114">
        <v>262</v>
      </c>
      <c r="AM320" s="112">
        <v>19</v>
      </c>
      <c r="AN320" s="112">
        <f t="shared" si="115"/>
        <v>4978</v>
      </c>
      <c r="AO320" s="112"/>
      <c r="AP320" s="112"/>
      <c r="AQ320" s="112">
        <f t="shared" si="116"/>
        <v>0</v>
      </c>
      <c r="AR320" s="112">
        <f t="shared" si="117"/>
        <v>4978</v>
      </c>
      <c r="AS320" s="112"/>
      <c r="AT320" s="110" t="s">
        <v>534</v>
      </c>
      <c r="AU320" s="111"/>
      <c r="AV320" s="112">
        <f t="shared" si="118"/>
        <v>19</v>
      </c>
      <c r="AW320" s="112">
        <f t="shared" si="119"/>
        <v>4978</v>
      </c>
      <c r="AX320" s="112"/>
      <c r="AY320" s="13" t="s">
        <v>144</v>
      </c>
      <c r="AZ320" s="124"/>
      <c r="BA320" s="112">
        <f t="shared" si="120"/>
        <v>19</v>
      </c>
      <c r="BB320" s="112">
        <f t="shared" si="121"/>
        <v>262</v>
      </c>
      <c r="BC320" s="112">
        <f t="shared" si="122"/>
        <v>4978</v>
      </c>
      <c r="BD320" s="112"/>
      <c r="BE320" s="112" t="s">
        <v>336</v>
      </c>
      <c r="BF320" s="113" t="s">
        <v>929</v>
      </c>
      <c r="BG320" s="120" t="s">
        <v>619</v>
      </c>
    </row>
    <row r="321" spans="1:59" s="120" customFormat="1" ht="15" customHeight="1">
      <c r="A321" s="112">
        <f t="shared" si="113"/>
        <v>319</v>
      </c>
      <c r="B321" s="113" t="s">
        <v>931</v>
      </c>
      <c r="C321" s="114" t="s">
        <v>932</v>
      </c>
      <c r="D321" s="122"/>
      <c r="E321" s="114" t="s">
        <v>933</v>
      </c>
      <c r="F321" s="112"/>
      <c r="G321" s="115" t="s">
        <v>81</v>
      </c>
      <c r="H321" s="10" t="s">
        <v>616</v>
      </c>
      <c r="I321" s="114" t="s">
        <v>83</v>
      </c>
      <c r="J321" s="114" t="s">
        <v>84</v>
      </c>
      <c r="K321" s="114" t="s">
        <v>83</v>
      </c>
      <c r="L321" s="113" t="s">
        <v>801</v>
      </c>
      <c r="M321" s="113" t="s">
        <v>801</v>
      </c>
      <c r="N321" s="116">
        <v>46142</v>
      </c>
      <c r="O321" s="114">
        <v>14</v>
      </c>
      <c r="P321" s="116">
        <v>46148</v>
      </c>
      <c r="Q321" s="116">
        <v>46149</v>
      </c>
      <c r="R321" s="116">
        <v>46148</v>
      </c>
      <c r="S321" s="112"/>
      <c r="T321" s="112"/>
      <c r="U321" s="112"/>
      <c r="V321" s="114" t="s">
        <v>99</v>
      </c>
      <c r="W321" s="114">
        <v>14</v>
      </c>
      <c r="X321" s="114">
        <v>14</v>
      </c>
      <c r="Y321" s="112"/>
      <c r="Z321" s="112" t="s">
        <v>87</v>
      </c>
      <c r="AA321" s="112"/>
      <c r="AB321" s="117"/>
      <c r="AC321" s="118">
        <v>25.5</v>
      </c>
      <c r="AD321" s="112"/>
      <c r="AE321" s="114">
        <v>14</v>
      </c>
      <c r="AF321" s="112" t="s">
        <v>88</v>
      </c>
      <c r="AG321" s="114" t="s">
        <v>99</v>
      </c>
      <c r="AH321" s="118">
        <v>12.5</v>
      </c>
      <c r="AI321" s="112">
        <f t="shared" si="114"/>
        <v>175</v>
      </c>
      <c r="AJ321" s="112"/>
      <c r="AK321" s="115" t="s">
        <v>803</v>
      </c>
      <c r="AL321" s="114">
        <v>14</v>
      </c>
      <c r="AM321" s="112">
        <v>19</v>
      </c>
      <c r="AN321" s="112">
        <f t="shared" si="115"/>
        <v>266</v>
      </c>
      <c r="AO321" s="112"/>
      <c r="AP321" s="112"/>
      <c r="AQ321" s="112">
        <f t="shared" si="116"/>
        <v>0</v>
      </c>
      <c r="AR321" s="112">
        <f t="shared" si="117"/>
        <v>266</v>
      </c>
      <c r="AS321" s="112"/>
      <c r="AT321" s="110" t="s">
        <v>534</v>
      </c>
      <c r="AU321" s="111"/>
      <c r="AV321" s="112">
        <f t="shared" si="118"/>
        <v>19</v>
      </c>
      <c r="AW321" s="112">
        <f t="shared" si="119"/>
        <v>266</v>
      </c>
      <c r="AX321" s="112"/>
      <c r="AY321" s="13" t="s">
        <v>144</v>
      </c>
      <c r="AZ321" s="124"/>
      <c r="BA321" s="112">
        <f t="shared" si="120"/>
        <v>19</v>
      </c>
      <c r="BB321" s="112">
        <f t="shared" si="121"/>
        <v>14</v>
      </c>
      <c r="BC321" s="112">
        <f t="shared" si="122"/>
        <v>266</v>
      </c>
      <c r="BD321" s="112"/>
      <c r="BE321" s="112" t="s">
        <v>340</v>
      </c>
      <c r="BF321" s="113" t="s">
        <v>931</v>
      </c>
      <c r="BG321" s="120" t="s">
        <v>619</v>
      </c>
    </row>
    <row r="322" spans="1:59" s="120" customFormat="1" ht="15" customHeight="1">
      <c r="A322" s="112">
        <f t="shared" si="113"/>
        <v>320</v>
      </c>
      <c r="B322" s="113" t="s">
        <v>934</v>
      </c>
      <c r="C322" s="114" t="s">
        <v>932</v>
      </c>
      <c r="D322" s="122"/>
      <c r="E322" s="114" t="s">
        <v>935</v>
      </c>
      <c r="F322" s="112"/>
      <c r="G322" s="115" t="s">
        <v>81</v>
      </c>
      <c r="H322" s="10" t="s">
        <v>616</v>
      </c>
      <c r="I322" s="114" t="s">
        <v>83</v>
      </c>
      <c r="J322" s="114" t="s">
        <v>84</v>
      </c>
      <c r="K322" s="114" t="s">
        <v>83</v>
      </c>
      <c r="L322" s="113" t="s">
        <v>801</v>
      </c>
      <c r="M322" s="113" t="s">
        <v>801</v>
      </c>
      <c r="N322" s="116">
        <v>46142</v>
      </c>
      <c r="O322" s="114">
        <v>52</v>
      </c>
      <c r="P322" s="116">
        <v>46148</v>
      </c>
      <c r="Q322" s="116">
        <v>46149</v>
      </c>
      <c r="R322" s="116">
        <v>46148</v>
      </c>
      <c r="S322" s="112"/>
      <c r="T322" s="112"/>
      <c r="U322" s="112"/>
      <c r="V322" s="114" t="s">
        <v>99</v>
      </c>
      <c r="W322" s="114">
        <v>52</v>
      </c>
      <c r="X322" s="114">
        <v>50</v>
      </c>
      <c r="Y322" s="112"/>
      <c r="Z322" s="112" t="s">
        <v>87</v>
      </c>
      <c r="AA322" s="112"/>
      <c r="AB322" s="117"/>
      <c r="AC322" s="118">
        <v>25.5</v>
      </c>
      <c r="AD322" s="112"/>
      <c r="AE322" s="114">
        <v>52</v>
      </c>
      <c r="AF322" s="112" t="s">
        <v>88</v>
      </c>
      <c r="AG322" s="114" t="s">
        <v>99</v>
      </c>
      <c r="AH322" s="118">
        <v>12.5</v>
      </c>
      <c r="AI322" s="112">
        <f t="shared" si="114"/>
        <v>650</v>
      </c>
      <c r="AJ322" s="112"/>
      <c r="AK322" s="115" t="s">
        <v>803</v>
      </c>
      <c r="AL322" s="114">
        <v>50</v>
      </c>
      <c r="AM322" s="112">
        <v>19</v>
      </c>
      <c r="AN322" s="112">
        <f t="shared" si="115"/>
        <v>950</v>
      </c>
      <c r="AO322" s="112"/>
      <c r="AP322" s="112"/>
      <c r="AQ322" s="112">
        <f t="shared" si="116"/>
        <v>0</v>
      </c>
      <c r="AR322" s="112">
        <f t="shared" si="117"/>
        <v>950</v>
      </c>
      <c r="AS322" s="112"/>
      <c r="AT322" s="110" t="s">
        <v>534</v>
      </c>
      <c r="AU322" s="111"/>
      <c r="AV322" s="112">
        <f t="shared" si="118"/>
        <v>19</v>
      </c>
      <c r="AW322" s="112">
        <f t="shared" si="119"/>
        <v>950</v>
      </c>
      <c r="AX322" s="112"/>
      <c r="AY322" s="13" t="s">
        <v>144</v>
      </c>
      <c r="AZ322" s="124"/>
      <c r="BA322" s="112">
        <f t="shared" si="120"/>
        <v>19</v>
      </c>
      <c r="BB322" s="112">
        <f t="shared" si="121"/>
        <v>50</v>
      </c>
      <c r="BC322" s="112">
        <f t="shared" si="122"/>
        <v>950</v>
      </c>
      <c r="BD322" s="112"/>
      <c r="BE322" s="112" t="s">
        <v>343</v>
      </c>
      <c r="BF322" s="113" t="s">
        <v>934</v>
      </c>
      <c r="BG322" s="120" t="s">
        <v>619</v>
      </c>
    </row>
    <row r="323" spans="1:59" s="120" customFormat="1" ht="15" customHeight="1">
      <c r="A323" s="112">
        <f t="shared" si="113"/>
        <v>321</v>
      </c>
      <c r="B323" s="113" t="s">
        <v>936</v>
      </c>
      <c r="C323" s="114" t="s">
        <v>932</v>
      </c>
      <c r="D323" s="122"/>
      <c r="E323" s="114" t="s">
        <v>937</v>
      </c>
      <c r="F323" s="112"/>
      <c r="G323" s="115" t="s">
        <v>81</v>
      </c>
      <c r="H323" s="10" t="s">
        <v>616</v>
      </c>
      <c r="I323" s="114" t="s">
        <v>83</v>
      </c>
      <c r="J323" s="114" t="s">
        <v>84</v>
      </c>
      <c r="K323" s="114" t="s">
        <v>83</v>
      </c>
      <c r="L323" s="113" t="s">
        <v>801</v>
      </c>
      <c r="M323" s="113" t="s">
        <v>801</v>
      </c>
      <c r="N323" s="116">
        <v>46142</v>
      </c>
      <c r="O323" s="114">
        <v>327</v>
      </c>
      <c r="P323" s="116">
        <v>46148</v>
      </c>
      <c r="Q323" s="116">
        <v>46149</v>
      </c>
      <c r="R323" s="116">
        <v>46148</v>
      </c>
      <c r="S323" s="112"/>
      <c r="T323" s="112"/>
      <c r="U323" s="112"/>
      <c r="V323" s="114" t="s">
        <v>99</v>
      </c>
      <c r="W323" s="114">
        <v>327</v>
      </c>
      <c r="X323" s="114">
        <v>317</v>
      </c>
      <c r="Y323" s="112"/>
      <c r="Z323" s="112" t="s">
        <v>87</v>
      </c>
      <c r="AA323" s="112"/>
      <c r="AB323" s="117"/>
      <c r="AC323" s="118">
        <v>25.5</v>
      </c>
      <c r="AD323" s="112"/>
      <c r="AE323" s="114">
        <v>327</v>
      </c>
      <c r="AF323" s="112" t="s">
        <v>88</v>
      </c>
      <c r="AG323" s="114" t="s">
        <v>99</v>
      </c>
      <c r="AH323" s="118">
        <v>12.5</v>
      </c>
      <c r="AI323" s="112">
        <f t="shared" si="114"/>
        <v>4087.5</v>
      </c>
      <c r="AJ323" s="112"/>
      <c r="AK323" s="115" t="s">
        <v>803</v>
      </c>
      <c r="AL323" s="114">
        <v>317</v>
      </c>
      <c r="AM323" s="112">
        <v>19</v>
      </c>
      <c r="AN323" s="112">
        <f t="shared" si="115"/>
        <v>6023</v>
      </c>
      <c r="AO323" s="112"/>
      <c r="AP323" s="112"/>
      <c r="AQ323" s="112">
        <f t="shared" si="116"/>
        <v>0</v>
      </c>
      <c r="AR323" s="112">
        <f t="shared" si="117"/>
        <v>6023</v>
      </c>
      <c r="AS323" s="112"/>
      <c r="AT323" s="110" t="s">
        <v>534</v>
      </c>
      <c r="AU323" s="111"/>
      <c r="AV323" s="112">
        <f t="shared" si="118"/>
        <v>19</v>
      </c>
      <c r="AW323" s="112">
        <f t="shared" si="119"/>
        <v>6023</v>
      </c>
      <c r="AX323" s="112"/>
      <c r="AY323" s="13" t="s">
        <v>144</v>
      </c>
      <c r="AZ323" s="124"/>
      <c r="BA323" s="112">
        <f t="shared" si="120"/>
        <v>19</v>
      </c>
      <c r="BB323" s="112">
        <f t="shared" si="121"/>
        <v>317</v>
      </c>
      <c r="BC323" s="112">
        <f t="shared" si="122"/>
        <v>6023</v>
      </c>
      <c r="BD323" s="112"/>
      <c r="BE323" s="112" t="s">
        <v>347</v>
      </c>
      <c r="BF323" s="113" t="s">
        <v>936</v>
      </c>
      <c r="BG323" s="120" t="s">
        <v>619</v>
      </c>
    </row>
    <row r="324" spans="1:59" s="120" customFormat="1" ht="15" customHeight="1">
      <c r="A324" s="112">
        <f t="shared" si="113"/>
        <v>322</v>
      </c>
      <c r="B324" s="113" t="s">
        <v>938</v>
      </c>
      <c r="C324" s="114" t="s">
        <v>932</v>
      </c>
      <c r="D324" s="122"/>
      <c r="E324" s="114" t="s">
        <v>939</v>
      </c>
      <c r="F324" s="112"/>
      <c r="G324" s="115" t="s">
        <v>81</v>
      </c>
      <c r="H324" s="10" t="s">
        <v>616</v>
      </c>
      <c r="I324" s="114" t="s">
        <v>83</v>
      </c>
      <c r="J324" s="114" t="s">
        <v>84</v>
      </c>
      <c r="K324" s="114" t="s">
        <v>83</v>
      </c>
      <c r="L324" s="113" t="s">
        <v>801</v>
      </c>
      <c r="M324" s="113" t="s">
        <v>801</v>
      </c>
      <c r="N324" s="116">
        <v>46142</v>
      </c>
      <c r="O324" s="114">
        <v>39</v>
      </c>
      <c r="P324" s="116">
        <v>46148</v>
      </c>
      <c r="Q324" s="116">
        <v>46149</v>
      </c>
      <c r="R324" s="116">
        <v>46148</v>
      </c>
      <c r="S324" s="112"/>
      <c r="T324" s="112"/>
      <c r="U324" s="112"/>
      <c r="V324" s="114" t="s">
        <v>99</v>
      </c>
      <c r="W324" s="114">
        <v>39</v>
      </c>
      <c r="X324" s="114">
        <v>37</v>
      </c>
      <c r="Y324" s="112"/>
      <c r="Z324" s="112" t="s">
        <v>87</v>
      </c>
      <c r="AA324" s="112"/>
      <c r="AB324" s="117"/>
      <c r="AC324" s="118">
        <v>25.5</v>
      </c>
      <c r="AD324" s="112"/>
      <c r="AE324" s="114">
        <v>39</v>
      </c>
      <c r="AF324" s="112" t="s">
        <v>88</v>
      </c>
      <c r="AG324" s="114" t="s">
        <v>99</v>
      </c>
      <c r="AH324" s="118">
        <v>12.5</v>
      </c>
      <c r="AI324" s="112">
        <f t="shared" si="114"/>
        <v>487.5</v>
      </c>
      <c r="AJ324" s="112"/>
      <c r="AK324" s="115" t="s">
        <v>803</v>
      </c>
      <c r="AL324" s="114">
        <v>37</v>
      </c>
      <c r="AM324" s="112">
        <v>19</v>
      </c>
      <c r="AN324" s="112">
        <f t="shared" si="115"/>
        <v>703</v>
      </c>
      <c r="AO324" s="112"/>
      <c r="AP324" s="112"/>
      <c r="AQ324" s="112">
        <f t="shared" si="116"/>
        <v>0</v>
      </c>
      <c r="AR324" s="112">
        <f t="shared" si="117"/>
        <v>703</v>
      </c>
      <c r="AS324" s="112"/>
      <c r="AT324" s="110" t="s">
        <v>534</v>
      </c>
      <c r="AU324" s="111"/>
      <c r="AV324" s="112">
        <f t="shared" si="118"/>
        <v>19</v>
      </c>
      <c r="AW324" s="112">
        <f t="shared" si="119"/>
        <v>703</v>
      </c>
      <c r="AX324" s="112"/>
      <c r="AY324" s="13" t="s">
        <v>144</v>
      </c>
      <c r="AZ324" s="124"/>
      <c r="BA324" s="112">
        <f t="shared" si="120"/>
        <v>19</v>
      </c>
      <c r="BB324" s="112">
        <f t="shared" si="121"/>
        <v>37</v>
      </c>
      <c r="BC324" s="112">
        <f t="shared" si="122"/>
        <v>703</v>
      </c>
      <c r="BD324" s="112"/>
      <c r="BE324" s="112" t="s">
        <v>350</v>
      </c>
      <c r="BF324" s="113" t="s">
        <v>938</v>
      </c>
      <c r="BG324" s="120" t="s">
        <v>619</v>
      </c>
    </row>
    <row r="325" spans="1:59" s="120" customFormat="1" ht="15" customHeight="1">
      <c r="A325" s="112">
        <f t="shared" si="113"/>
        <v>323</v>
      </c>
      <c r="B325" s="113" t="s">
        <v>940</v>
      </c>
      <c r="C325" s="114" t="s">
        <v>941</v>
      </c>
      <c r="D325" s="122"/>
      <c r="E325" s="114" t="s">
        <v>942</v>
      </c>
      <c r="F325" s="112"/>
      <c r="G325" s="115" t="s">
        <v>81</v>
      </c>
      <c r="H325" s="10" t="s">
        <v>616</v>
      </c>
      <c r="I325" s="114" t="s">
        <v>83</v>
      </c>
      <c r="J325" s="114" t="s">
        <v>84</v>
      </c>
      <c r="K325" s="114" t="s">
        <v>83</v>
      </c>
      <c r="L325" s="113" t="s">
        <v>801</v>
      </c>
      <c r="M325" s="113" t="s">
        <v>801</v>
      </c>
      <c r="N325" s="116">
        <v>46142</v>
      </c>
      <c r="O325" s="114">
        <v>126</v>
      </c>
      <c r="P325" s="116">
        <v>46148</v>
      </c>
      <c r="Q325" s="116">
        <v>46149</v>
      </c>
      <c r="R325" s="116">
        <v>46148</v>
      </c>
      <c r="S325" s="112"/>
      <c r="T325" s="112"/>
      <c r="U325" s="112"/>
      <c r="V325" s="114" t="s">
        <v>99</v>
      </c>
      <c r="W325" s="114">
        <v>126</v>
      </c>
      <c r="X325" s="114">
        <v>122</v>
      </c>
      <c r="Y325" s="112"/>
      <c r="Z325" s="112" t="s">
        <v>87</v>
      </c>
      <c r="AA325" s="112"/>
      <c r="AB325" s="117"/>
      <c r="AC325" s="118">
        <v>25.5</v>
      </c>
      <c r="AD325" s="112"/>
      <c r="AE325" s="114">
        <v>126</v>
      </c>
      <c r="AF325" s="112" t="s">
        <v>88</v>
      </c>
      <c r="AG325" s="114" t="s">
        <v>99</v>
      </c>
      <c r="AH325" s="118">
        <v>12.5</v>
      </c>
      <c r="AI325" s="112">
        <f t="shared" si="114"/>
        <v>1575</v>
      </c>
      <c r="AJ325" s="112"/>
      <c r="AK325" s="115" t="s">
        <v>803</v>
      </c>
      <c r="AL325" s="114">
        <v>122</v>
      </c>
      <c r="AM325" s="112">
        <v>19</v>
      </c>
      <c r="AN325" s="112">
        <f t="shared" si="115"/>
        <v>2318</v>
      </c>
      <c r="AO325" s="112"/>
      <c r="AP325" s="112"/>
      <c r="AQ325" s="112">
        <f t="shared" si="116"/>
        <v>0</v>
      </c>
      <c r="AR325" s="112">
        <f t="shared" si="117"/>
        <v>2318</v>
      </c>
      <c r="AS325" s="112"/>
      <c r="AT325" s="110" t="s">
        <v>534</v>
      </c>
      <c r="AU325" s="111"/>
      <c r="AV325" s="112">
        <f t="shared" si="118"/>
        <v>19</v>
      </c>
      <c r="AW325" s="112">
        <f t="shared" si="119"/>
        <v>2318</v>
      </c>
      <c r="AX325" s="112"/>
      <c r="AY325" s="13" t="s">
        <v>144</v>
      </c>
      <c r="AZ325" s="124"/>
      <c r="BA325" s="112">
        <f t="shared" si="120"/>
        <v>19</v>
      </c>
      <c r="BB325" s="112">
        <f t="shared" si="121"/>
        <v>122</v>
      </c>
      <c r="BC325" s="112">
        <f t="shared" si="122"/>
        <v>2318</v>
      </c>
      <c r="BD325" s="112"/>
      <c r="BE325" s="112" t="s">
        <v>353</v>
      </c>
      <c r="BF325" s="113" t="s">
        <v>940</v>
      </c>
      <c r="BG325" s="120" t="s">
        <v>619</v>
      </c>
    </row>
    <row r="326" spans="1:59" s="120" customFormat="1" ht="15" customHeight="1">
      <c r="A326" s="112">
        <f t="shared" si="113"/>
        <v>324</v>
      </c>
      <c r="B326" s="113" t="s">
        <v>943</v>
      </c>
      <c r="C326" s="114" t="s">
        <v>941</v>
      </c>
      <c r="D326" s="122"/>
      <c r="E326" s="114" t="s">
        <v>944</v>
      </c>
      <c r="F326" s="112"/>
      <c r="G326" s="115" t="s">
        <v>81</v>
      </c>
      <c r="H326" s="10" t="s">
        <v>616</v>
      </c>
      <c r="I326" s="114" t="s">
        <v>83</v>
      </c>
      <c r="J326" s="114" t="s">
        <v>84</v>
      </c>
      <c r="K326" s="114" t="s">
        <v>83</v>
      </c>
      <c r="L326" s="113" t="s">
        <v>801</v>
      </c>
      <c r="M326" s="113" t="s">
        <v>801</v>
      </c>
      <c r="N326" s="116">
        <v>46142</v>
      </c>
      <c r="O326" s="114">
        <v>137</v>
      </c>
      <c r="P326" s="116">
        <v>46148</v>
      </c>
      <c r="Q326" s="116">
        <v>46149</v>
      </c>
      <c r="R326" s="116">
        <v>46148</v>
      </c>
      <c r="S326" s="112"/>
      <c r="T326" s="112"/>
      <c r="U326" s="112"/>
      <c r="V326" s="114" t="s">
        <v>99</v>
      </c>
      <c r="W326" s="114">
        <v>137</v>
      </c>
      <c r="X326" s="114">
        <v>133</v>
      </c>
      <c r="Y326" s="112"/>
      <c r="Z326" s="112" t="s">
        <v>87</v>
      </c>
      <c r="AA326" s="112"/>
      <c r="AB326" s="117"/>
      <c r="AC326" s="118">
        <v>25.5</v>
      </c>
      <c r="AD326" s="112"/>
      <c r="AE326" s="114">
        <v>137</v>
      </c>
      <c r="AF326" s="112" t="s">
        <v>88</v>
      </c>
      <c r="AG326" s="114" t="s">
        <v>99</v>
      </c>
      <c r="AH326" s="118">
        <v>12.5</v>
      </c>
      <c r="AI326" s="112">
        <f t="shared" si="114"/>
        <v>1712.5</v>
      </c>
      <c r="AJ326" s="112"/>
      <c r="AK326" s="115" t="s">
        <v>803</v>
      </c>
      <c r="AL326" s="114">
        <v>133</v>
      </c>
      <c r="AM326" s="112">
        <v>19</v>
      </c>
      <c r="AN326" s="112">
        <f t="shared" si="115"/>
        <v>2527</v>
      </c>
      <c r="AO326" s="112"/>
      <c r="AP326" s="112"/>
      <c r="AQ326" s="112">
        <f t="shared" si="116"/>
        <v>0</v>
      </c>
      <c r="AR326" s="112">
        <f t="shared" si="117"/>
        <v>2527</v>
      </c>
      <c r="AS326" s="112"/>
      <c r="AT326" s="110" t="s">
        <v>534</v>
      </c>
      <c r="AU326" s="111"/>
      <c r="AV326" s="112">
        <f t="shared" si="118"/>
        <v>19</v>
      </c>
      <c r="AW326" s="112">
        <f t="shared" si="119"/>
        <v>2527</v>
      </c>
      <c r="AX326" s="112"/>
      <c r="AY326" s="13" t="s">
        <v>144</v>
      </c>
      <c r="AZ326" s="124"/>
      <c r="BA326" s="112">
        <f t="shared" si="120"/>
        <v>19</v>
      </c>
      <c r="BB326" s="112">
        <f t="shared" si="121"/>
        <v>133</v>
      </c>
      <c r="BC326" s="112">
        <f t="shared" si="122"/>
        <v>2527</v>
      </c>
      <c r="BD326" s="112"/>
      <c r="BE326" s="112" t="s">
        <v>356</v>
      </c>
      <c r="BF326" s="113" t="s">
        <v>943</v>
      </c>
      <c r="BG326" s="120" t="s">
        <v>619</v>
      </c>
    </row>
    <row r="327" spans="1:59" s="120" customFormat="1" ht="15" customHeight="1">
      <c r="A327" s="112">
        <f t="shared" ref="A327:A331" si="123">A326+1</f>
        <v>325</v>
      </c>
      <c r="B327" s="113" t="s">
        <v>945</v>
      </c>
      <c r="C327" s="114" t="s">
        <v>941</v>
      </c>
      <c r="D327" s="122"/>
      <c r="E327" s="114" t="s">
        <v>946</v>
      </c>
      <c r="F327" s="112"/>
      <c r="G327" s="115" t="s">
        <v>81</v>
      </c>
      <c r="H327" s="10" t="s">
        <v>616</v>
      </c>
      <c r="I327" s="114" t="s">
        <v>83</v>
      </c>
      <c r="J327" s="114" t="s">
        <v>84</v>
      </c>
      <c r="K327" s="114" t="s">
        <v>83</v>
      </c>
      <c r="L327" s="113" t="s">
        <v>801</v>
      </c>
      <c r="M327" s="113" t="s">
        <v>801</v>
      </c>
      <c r="N327" s="116">
        <v>46142</v>
      </c>
      <c r="O327" s="114">
        <v>79</v>
      </c>
      <c r="P327" s="116">
        <v>46148</v>
      </c>
      <c r="Q327" s="116">
        <v>46149</v>
      </c>
      <c r="R327" s="116">
        <v>46148</v>
      </c>
      <c r="S327" s="112"/>
      <c r="T327" s="112"/>
      <c r="U327" s="112"/>
      <c r="V327" s="114" t="s">
        <v>99</v>
      </c>
      <c r="W327" s="114">
        <v>79</v>
      </c>
      <c r="X327" s="114">
        <v>77</v>
      </c>
      <c r="Y327" s="112"/>
      <c r="Z327" s="112" t="s">
        <v>87</v>
      </c>
      <c r="AA327" s="112"/>
      <c r="AB327" s="117"/>
      <c r="AC327" s="118">
        <v>25.5</v>
      </c>
      <c r="AD327" s="112"/>
      <c r="AE327" s="114">
        <v>79</v>
      </c>
      <c r="AF327" s="112" t="s">
        <v>88</v>
      </c>
      <c r="AG327" s="114" t="s">
        <v>99</v>
      </c>
      <c r="AH327" s="118">
        <v>12.5</v>
      </c>
      <c r="AI327" s="112">
        <f t="shared" ref="AI327:AI331" si="124">IF(AE327&lt;&gt;"",AH327*AE327,0)</f>
        <v>987.5</v>
      </c>
      <c r="AJ327" s="112"/>
      <c r="AK327" s="115" t="s">
        <v>803</v>
      </c>
      <c r="AL327" s="114">
        <v>77</v>
      </c>
      <c r="AM327" s="112">
        <v>19</v>
      </c>
      <c r="AN327" s="112">
        <f t="shared" ref="AN327:AN331" si="125">IF(AL327&lt;&gt;"",AM327*AL327,0)</f>
        <v>1463</v>
      </c>
      <c r="AO327" s="112"/>
      <c r="AP327" s="112"/>
      <c r="AQ327" s="112">
        <f t="shared" ref="AQ327:AQ331" si="126">IF(AO327&lt;&gt;"",AP327*AO327,0)</f>
        <v>0</v>
      </c>
      <c r="AR327" s="112">
        <f t="shared" ref="AR327:AR331" si="127">AQ327+AN327</f>
        <v>1463</v>
      </c>
      <c r="AS327" s="112"/>
      <c r="AT327" s="110" t="s">
        <v>534</v>
      </c>
      <c r="AU327" s="111"/>
      <c r="AV327" s="112">
        <f t="shared" ref="AV327:AV331" si="128">AM327</f>
        <v>19</v>
      </c>
      <c r="AW327" s="112">
        <f t="shared" ref="AW327:AW331" si="129">AV327*AL327</f>
        <v>1463</v>
      </c>
      <c r="AX327" s="112"/>
      <c r="AY327" s="13" t="s">
        <v>144</v>
      </c>
      <c r="AZ327" s="124"/>
      <c r="BA327" s="112">
        <f t="shared" ref="BA327:BA331" si="130">AM327</f>
        <v>19</v>
      </c>
      <c r="BB327" s="112">
        <f t="shared" ref="BB327:BB331" si="131">AL327</f>
        <v>77</v>
      </c>
      <c r="BC327" s="112">
        <f t="shared" ref="BC327:BC331" si="132">IF(BB327&lt;&gt;"",BB327*BA327,0)</f>
        <v>1463</v>
      </c>
      <c r="BD327" s="112"/>
      <c r="BE327" s="112" t="s">
        <v>360</v>
      </c>
      <c r="BF327" s="113" t="s">
        <v>945</v>
      </c>
      <c r="BG327" s="120" t="s">
        <v>619</v>
      </c>
    </row>
    <row r="328" spans="1:59" s="120" customFormat="1" ht="15" customHeight="1">
      <c r="A328" s="112">
        <f t="shared" si="123"/>
        <v>326</v>
      </c>
      <c r="B328" s="113" t="s">
        <v>947</v>
      </c>
      <c r="C328" s="114" t="s">
        <v>941</v>
      </c>
      <c r="D328" s="122"/>
      <c r="E328" s="114" t="s">
        <v>948</v>
      </c>
      <c r="F328" s="112"/>
      <c r="G328" s="115" t="s">
        <v>81</v>
      </c>
      <c r="H328" s="10" t="s">
        <v>616</v>
      </c>
      <c r="I328" s="114" t="s">
        <v>83</v>
      </c>
      <c r="J328" s="114" t="s">
        <v>84</v>
      </c>
      <c r="K328" s="114" t="s">
        <v>83</v>
      </c>
      <c r="L328" s="113" t="s">
        <v>801</v>
      </c>
      <c r="M328" s="113" t="s">
        <v>801</v>
      </c>
      <c r="N328" s="116">
        <v>46142</v>
      </c>
      <c r="O328" s="114">
        <v>41</v>
      </c>
      <c r="P328" s="116">
        <v>46148</v>
      </c>
      <c r="Q328" s="116">
        <v>46149</v>
      </c>
      <c r="R328" s="116">
        <v>46148</v>
      </c>
      <c r="S328" s="112"/>
      <c r="T328" s="112"/>
      <c r="U328" s="112"/>
      <c r="V328" s="114" t="s">
        <v>99</v>
      </c>
      <c r="W328" s="114">
        <v>41</v>
      </c>
      <c r="X328" s="114">
        <v>39</v>
      </c>
      <c r="Y328" s="112"/>
      <c r="Z328" s="112" t="s">
        <v>87</v>
      </c>
      <c r="AA328" s="112"/>
      <c r="AB328" s="117"/>
      <c r="AC328" s="118">
        <v>25.5</v>
      </c>
      <c r="AD328" s="112"/>
      <c r="AE328" s="114">
        <v>41</v>
      </c>
      <c r="AF328" s="112" t="s">
        <v>88</v>
      </c>
      <c r="AG328" s="114" t="s">
        <v>99</v>
      </c>
      <c r="AH328" s="118">
        <v>12.5</v>
      </c>
      <c r="AI328" s="112">
        <f t="shared" si="124"/>
        <v>512.5</v>
      </c>
      <c r="AJ328" s="112"/>
      <c r="AK328" s="115" t="s">
        <v>803</v>
      </c>
      <c r="AL328" s="114">
        <v>39</v>
      </c>
      <c r="AM328" s="112">
        <v>19</v>
      </c>
      <c r="AN328" s="112">
        <f t="shared" si="125"/>
        <v>741</v>
      </c>
      <c r="AO328" s="112"/>
      <c r="AP328" s="112"/>
      <c r="AQ328" s="112">
        <f t="shared" si="126"/>
        <v>0</v>
      </c>
      <c r="AR328" s="112">
        <f t="shared" si="127"/>
        <v>741</v>
      </c>
      <c r="AS328" s="112"/>
      <c r="AT328" s="110" t="s">
        <v>534</v>
      </c>
      <c r="AU328" s="111"/>
      <c r="AV328" s="112">
        <f t="shared" si="128"/>
        <v>19</v>
      </c>
      <c r="AW328" s="112">
        <f t="shared" si="129"/>
        <v>741</v>
      </c>
      <c r="AX328" s="112"/>
      <c r="AY328" s="13" t="s">
        <v>144</v>
      </c>
      <c r="AZ328" s="124"/>
      <c r="BA328" s="112">
        <f t="shared" si="130"/>
        <v>19</v>
      </c>
      <c r="BB328" s="112">
        <f t="shared" si="131"/>
        <v>39</v>
      </c>
      <c r="BC328" s="112">
        <f t="shared" si="132"/>
        <v>741</v>
      </c>
      <c r="BD328" s="112"/>
      <c r="BE328" s="112" t="s">
        <v>363</v>
      </c>
      <c r="BF328" s="113" t="s">
        <v>947</v>
      </c>
      <c r="BG328" s="120" t="s">
        <v>619</v>
      </c>
    </row>
    <row r="329" spans="1:59" s="120" customFormat="1" ht="15" customHeight="1">
      <c r="A329" s="112">
        <f t="shared" si="123"/>
        <v>327</v>
      </c>
      <c r="B329" s="113" t="s">
        <v>949</v>
      </c>
      <c r="C329" s="114" t="s">
        <v>818</v>
      </c>
      <c r="D329" s="122"/>
      <c r="E329" s="114" t="s">
        <v>950</v>
      </c>
      <c r="F329" s="112"/>
      <c r="G329" s="115" t="s">
        <v>81</v>
      </c>
      <c r="H329" s="10" t="s">
        <v>616</v>
      </c>
      <c r="I329" s="114" t="s">
        <v>83</v>
      </c>
      <c r="J329" s="114" t="s">
        <v>84</v>
      </c>
      <c r="K329" s="114" t="s">
        <v>83</v>
      </c>
      <c r="L329" s="113" t="s">
        <v>801</v>
      </c>
      <c r="M329" s="113" t="s">
        <v>801</v>
      </c>
      <c r="N329" s="116">
        <v>46142</v>
      </c>
      <c r="O329" s="114">
        <v>48</v>
      </c>
      <c r="P329" s="116">
        <v>46148</v>
      </c>
      <c r="Q329" s="116">
        <v>46149</v>
      </c>
      <c r="R329" s="116">
        <v>46148</v>
      </c>
      <c r="S329" s="112"/>
      <c r="T329" s="112"/>
      <c r="U329" s="112"/>
      <c r="V329" s="114" t="s">
        <v>99</v>
      </c>
      <c r="W329" s="114">
        <v>48</v>
      </c>
      <c r="X329" s="114">
        <v>46</v>
      </c>
      <c r="Y329" s="112"/>
      <c r="Z329" s="112" t="s">
        <v>87</v>
      </c>
      <c r="AA329" s="112"/>
      <c r="AB329" s="117"/>
      <c r="AC329" s="118">
        <v>25.5</v>
      </c>
      <c r="AD329" s="112"/>
      <c r="AE329" s="114">
        <v>48</v>
      </c>
      <c r="AF329" s="112" t="s">
        <v>88</v>
      </c>
      <c r="AG329" s="114" t="s">
        <v>99</v>
      </c>
      <c r="AH329" s="118">
        <v>12.5</v>
      </c>
      <c r="AI329" s="112">
        <f t="shared" si="124"/>
        <v>600</v>
      </c>
      <c r="AJ329" s="112"/>
      <c r="AK329" s="115" t="s">
        <v>803</v>
      </c>
      <c r="AL329" s="114">
        <v>46</v>
      </c>
      <c r="AM329" s="112">
        <v>19</v>
      </c>
      <c r="AN329" s="112">
        <f t="shared" si="125"/>
        <v>874</v>
      </c>
      <c r="AO329" s="112"/>
      <c r="AP329" s="112"/>
      <c r="AQ329" s="112">
        <f t="shared" si="126"/>
        <v>0</v>
      </c>
      <c r="AR329" s="112">
        <f t="shared" si="127"/>
        <v>874</v>
      </c>
      <c r="AS329" s="112"/>
      <c r="AT329" s="110" t="s">
        <v>534</v>
      </c>
      <c r="AU329" s="111"/>
      <c r="AV329" s="112">
        <f t="shared" si="128"/>
        <v>19</v>
      </c>
      <c r="AW329" s="112">
        <f t="shared" si="129"/>
        <v>874</v>
      </c>
      <c r="AX329" s="112"/>
      <c r="AY329" s="13" t="s">
        <v>144</v>
      </c>
      <c r="AZ329" s="124"/>
      <c r="BA329" s="112">
        <f t="shared" si="130"/>
        <v>19</v>
      </c>
      <c r="BB329" s="112">
        <f t="shared" si="131"/>
        <v>46</v>
      </c>
      <c r="BC329" s="112">
        <f t="shared" si="132"/>
        <v>874</v>
      </c>
      <c r="BD329" s="112"/>
      <c r="BE329" s="112" t="s">
        <v>369</v>
      </c>
      <c r="BF329" s="113" t="s">
        <v>949</v>
      </c>
      <c r="BG329" s="120" t="s">
        <v>619</v>
      </c>
    </row>
    <row r="330" spans="1:59" s="120" customFormat="1" ht="15" customHeight="1">
      <c r="A330" s="112">
        <f t="shared" si="123"/>
        <v>328</v>
      </c>
      <c r="B330" s="113" t="s">
        <v>951</v>
      </c>
      <c r="C330" s="114" t="s">
        <v>818</v>
      </c>
      <c r="D330" s="122"/>
      <c r="E330" s="114" t="s">
        <v>952</v>
      </c>
      <c r="F330" s="112"/>
      <c r="G330" s="115" t="s">
        <v>81</v>
      </c>
      <c r="H330" s="10" t="s">
        <v>616</v>
      </c>
      <c r="I330" s="114" t="s">
        <v>83</v>
      </c>
      <c r="J330" s="114" t="s">
        <v>84</v>
      </c>
      <c r="K330" s="114" t="s">
        <v>83</v>
      </c>
      <c r="L330" s="113" t="s">
        <v>801</v>
      </c>
      <c r="M330" s="113" t="s">
        <v>801</v>
      </c>
      <c r="N330" s="116">
        <v>46142</v>
      </c>
      <c r="O330" s="114">
        <v>190</v>
      </c>
      <c r="P330" s="116">
        <v>46148</v>
      </c>
      <c r="Q330" s="116">
        <v>46149</v>
      </c>
      <c r="R330" s="116">
        <v>46148</v>
      </c>
      <c r="S330" s="112"/>
      <c r="T330" s="112"/>
      <c r="U330" s="112"/>
      <c r="V330" s="114" t="s">
        <v>99</v>
      </c>
      <c r="W330" s="114">
        <v>190</v>
      </c>
      <c r="X330" s="114">
        <v>184</v>
      </c>
      <c r="Y330" s="112"/>
      <c r="Z330" s="112" t="s">
        <v>87</v>
      </c>
      <c r="AA330" s="112"/>
      <c r="AB330" s="117"/>
      <c r="AC330" s="118">
        <v>25.5</v>
      </c>
      <c r="AD330" s="112"/>
      <c r="AE330" s="114">
        <v>190</v>
      </c>
      <c r="AF330" s="112" t="s">
        <v>88</v>
      </c>
      <c r="AG330" s="114" t="s">
        <v>99</v>
      </c>
      <c r="AH330" s="118">
        <v>12.5</v>
      </c>
      <c r="AI330" s="112">
        <f t="shared" si="124"/>
        <v>2375</v>
      </c>
      <c r="AJ330" s="112"/>
      <c r="AK330" s="115" t="s">
        <v>803</v>
      </c>
      <c r="AL330" s="114">
        <v>184</v>
      </c>
      <c r="AM330" s="112">
        <v>19</v>
      </c>
      <c r="AN330" s="112">
        <f t="shared" si="125"/>
        <v>3496</v>
      </c>
      <c r="AO330" s="112"/>
      <c r="AP330" s="112"/>
      <c r="AQ330" s="112">
        <f t="shared" si="126"/>
        <v>0</v>
      </c>
      <c r="AR330" s="112">
        <f t="shared" si="127"/>
        <v>3496</v>
      </c>
      <c r="AS330" s="112"/>
      <c r="AT330" s="110" t="s">
        <v>534</v>
      </c>
      <c r="AU330" s="111"/>
      <c r="AV330" s="112">
        <f t="shared" si="128"/>
        <v>19</v>
      </c>
      <c r="AW330" s="112">
        <f t="shared" si="129"/>
        <v>3496</v>
      </c>
      <c r="AX330" s="112"/>
      <c r="AY330" s="13" t="s">
        <v>144</v>
      </c>
      <c r="AZ330" s="124"/>
      <c r="BA330" s="112">
        <f t="shared" si="130"/>
        <v>19</v>
      </c>
      <c r="BB330" s="112">
        <f t="shared" si="131"/>
        <v>184</v>
      </c>
      <c r="BC330" s="112">
        <f t="shared" si="132"/>
        <v>3496</v>
      </c>
      <c r="BD330" s="112"/>
      <c r="BE330" s="112" t="s">
        <v>366</v>
      </c>
      <c r="BF330" s="113" t="s">
        <v>951</v>
      </c>
      <c r="BG330" s="120" t="s">
        <v>619</v>
      </c>
    </row>
    <row r="331" spans="1:59" s="120" customFormat="1" ht="15" customHeight="1">
      <c r="A331" s="112">
        <f t="shared" si="123"/>
        <v>329</v>
      </c>
      <c r="B331" s="113" t="s">
        <v>953</v>
      </c>
      <c r="C331" s="114" t="s">
        <v>818</v>
      </c>
      <c r="D331" s="122"/>
      <c r="E331" s="114" t="s">
        <v>954</v>
      </c>
      <c r="F331" s="112"/>
      <c r="G331" s="115" t="s">
        <v>81</v>
      </c>
      <c r="H331" s="10" t="s">
        <v>616</v>
      </c>
      <c r="I331" s="114" t="s">
        <v>83</v>
      </c>
      <c r="J331" s="114" t="s">
        <v>84</v>
      </c>
      <c r="K331" s="114" t="s">
        <v>83</v>
      </c>
      <c r="L331" s="113" t="s">
        <v>801</v>
      </c>
      <c r="M331" s="113" t="s">
        <v>801</v>
      </c>
      <c r="N331" s="116">
        <v>46142</v>
      </c>
      <c r="O331" s="114">
        <v>59</v>
      </c>
      <c r="P331" s="116">
        <v>46148</v>
      </c>
      <c r="Q331" s="116">
        <v>46149</v>
      </c>
      <c r="R331" s="116">
        <v>46148</v>
      </c>
      <c r="S331" s="112"/>
      <c r="T331" s="112"/>
      <c r="U331" s="112"/>
      <c r="V331" s="114" t="s">
        <v>99</v>
      </c>
      <c r="W331" s="114">
        <v>59</v>
      </c>
      <c r="X331" s="114">
        <v>57</v>
      </c>
      <c r="Y331" s="112"/>
      <c r="Z331" s="112" t="s">
        <v>87</v>
      </c>
      <c r="AA331" s="112"/>
      <c r="AB331" s="117"/>
      <c r="AC331" s="118">
        <v>25.5</v>
      </c>
      <c r="AD331" s="112"/>
      <c r="AE331" s="114">
        <v>59</v>
      </c>
      <c r="AF331" s="112" t="s">
        <v>88</v>
      </c>
      <c r="AG331" s="114" t="s">
        <v>99</v>
      </c>
      <c r="AH331" s="118">
        <v>12.5</v>
      </c>
      <c r="AI331" s="112">
        <f t="shared" si="124"/>
        <v>737.5</v>
      </c>
      <c r="AJ331" s="112"/>
      <c r="AK331" s="115" t="s">
        <v>803</v>
      </c>
      <c r="AL331" s="114">
        <v>57</v>
      </c>
      <c r="AM331" s="112">
        <v>19</v>
      </c>
      <c r="AN331" s="112">
        <f t="shared" si="125"/>
        <v>1083</v>
      </c>
      <c r="AO331" s="112"/>
      <c r="AP331" s="112"/>
      <c r="AQ331" s="112">
        <f t="shared" si="126"/>
        <v>0</v>
      </c>
      <c r="AR331" s="112">
        <f t="shared" si="127"/>
        <v>1083</v>
      </c>
      <c r="AS331" s="112"/>
      <c r="AT331" s="110" t="s">
        <v>534</v>
      </c>
      <c r="AU331" s="111"/>
      <c r="AV331" s="112">
        <f t="shared" si="128"/>
        <v>19</v>
      </c>
      <c r="AW331" s="112">
        <f t="shared" si="129"/>
        <v>1083</v>
      </c>
      <c r="AX331" s="112"/>
      <c r="AY331" s="13" t="s">
        <v>144</v>
      </c>
      <c r="AZ331" s="124"/>
      <c r="BA331" s="112">
        <f t="shared" si="130"/>
        <v>19</v>
      </c>
      <c r="BB331" s="112">
        <f t="shared" si="131"/>
        <v>57</v>
      </c>
      <c r="BC331" s="112">
        <f t="shared" si="132"/>
        <v>1083</v>
      </c>
      <c r="BD331" s="112"/>
      <c r="BE331" s="112" t="s">
        <v>530</v>
      </c>
      <c r="BF331" s="113" t="s">
        <v>953</v>
      </c>
      <c r="BG331" s="120" t="s">
        <v>619</v>
      </c>
    </row>
    <row r="333" spans="1:59">
      <c r="D333" s="10"/>
    </row>
  </sheetData>
  <phoneticPr fontId="3" type="noConversion"/>
  <conditionalFormatting sqref="E3">
    <cfRule type="duplicateValues" dxfId="89" priority="92"/>
    <cfRule type="duplicateValues" dxfId="88" priority="93"/>
  </conditionalFormatting>
  <conditionalFormatting sqref="E4">
    <cfRule type="duplicateValues" dxfId="87" priority="91"/>
    <cfRule type="duplicateValues" dxfId="86" priority="90"/>
  </conditionalFormatting>
  <conditionalFormatting sqref="E5">
    <cfRule type="duplicateValues" dxfId="85" priority="82"/>
    <cfRule type="duplicateValues" dxfId="84" priority="83"/>
  </conditionalFormatting>
  <conditionalFormatting sqref="E6">
    <cfRule type="duplicateValues" dxfId="83" priority="81"/>
    <cfRule type="duplicateValues" dxfId="82" priority="80"/>
  </conditionalFormatting>
  <conditionalFormatting sqref="E7">
    <cfRule type="duplicateValues" dxfId="81" priority="79"/>
    <cfRule type="duplicateValues" dxfId="80" priority="78"/>
  </conditionalFormatting>
  <conditionalFormatting sqref="E8">
    <cfRule type="duplicateValues" dxfId="79" priority="77"/>
    <cfRule type="duplicateValues" dxfId="78" priority="76"/>
  </conditionalFormatting>
  <conditionalFormatting sqref="E9">
    <cfRule type="duplicateValues" dxfId="77" priority="75"/>
    <cfRule type="duplicateValues" dxfId="76" priority="74"/>
  </conditionalFormatting>
  <conditionalFormatting sqref="E10">
    <cfRule type="duplicateValues" dxfId="75" priority="73"/>
    <cfRule type="duplicateValues" dxfId="74" priority="72"/>
  </conditionalFormatting>
  <conditionalFormatting sqref="E11">
    <cfRule type="duplicateValues" dxfId="73" priority="71"/>
    <cfRule type="duplicateValues" dxfId="72" priority="70"/>
  </conditionalFormatting>
  <conditionalFormatting sqref="E12">
    <cfRule type="duplicateValues" dxfId="71" priority="69"/>
    <cfRule type="duplicateValues" dxfId="70" priority="68"/>
  </conditionalFormatting>
  <conditionalFormatting sqref="E13">
    <cfRule type="duplicateValues" dxfId="69" priority="67"/>
    <cfRule type="duplicateValues" dxfId="68" priority="66"/>
  </conditionalFormatting>
  <conditionalFormatting sqref="E14">
    <cfRule type="duplicateValues" dxfId="67" priority="59"/>
    <cfRule type="duplicateValues" dxfId="66" priority="58"/>
  </conditionalFormatting>
  <conditionalFormatting sqref="E15">
    <cfRule type="duplicateValues" dxfId="65" priority="57"/>
    <cfRule type="duplicateValues" dxfId="64" priority="56"/>
  </conditionalFormatting>
  <conditionalFormatting sqref="E16">
    <cfRule type="duplicateValues" dxfId="63" priority="63"/>
    <cfRule type="duplicateValues" dxfId="62" priority="62"/>
  </conditionalFormatting>
  <conditionalFormatting sqref="E17:E331">
    <cfRule type="duplicateValues" dxfId="61" priority="61"/>
    <cfRule type="duplicateValues" dxfId="60" priority="60"/>
  </conditionalFormatting>
  <conditionalFormatting sqref="E263">
    <cfRule type="duplicateValues" dxfId="59" priority="55"/>
  </conditionalFormatting>
  <conditionalFormatting sqref="E264">
    <cfRule type="duplicateValues" dxfId="58" priority="54"/>
  </conditionalFormatting>
  <conditionalFormatting sqref="E265">
    <cfRule type="duplicateValues" dxfId="57" priority="53"/>
  </conditionalFormatting>
  <conditionalFormatting sqref="E266">
    <cfRule type="duplicateValues" dxfId="56" priority="52"/>
  </conditionalFormatting>
  <conditionalFormatting sqref="E267">
    <cfRule type="duplicateValues" dxfId="55" priority="51"/>
  </conditionalFormatting>
  <conditionalFormatting sqref="E268">
    <cfRule type="duplicateValues" dxfId="54" priority="50"/>
  </conditionalFormatting>
  <conditionalFormatting sqref="E269">
    <cfRule type="duplicateValues" dxfId="53" priority="49"/>
  </conditionalFormatting>
  <conditionalFormatting sqref="E270">
    <cfRule type="duplicateValues" dxfId="52" priority="48"/>
  </conditionalFormatting>
  <conditionalFormatting sqref="E271">
    <cfRule type="duplicateValues" dxfId="51" priority="47"/>
  </conditionalFormatting>
  <conditionalFormatting sqref="E272">
    <cfRule type="duplicateValues" dxfId="50" priority="46"/>
  </conditionalFormatting>
  <conditionalFormatting sqref="E273">
    <cfRule type="duplicateValues" dxfId="49" priority="42"/>
  </conditionalFormatting>
  <conditionalFormatting sqref="E274">
    <cfRule type="duplicateValues" dxfId="48" priority="44"/>
  </conditionalFormatting>
  <conditionalFormatting sqref="E275">
    <cfRule type="duplicateValues" dxfId="47" priority="43"/>
  </conditionalFormatting>
  <conditionalFormatting sqref="E276">
    <cfRule type="duplicateValues" dxfId="46" priority="41"/>
  </conditionalFormatting>
  <conditionalFormatting sqref="E277">
    <cfRule type="duplicateValues" dxfId="45" priority="40"/>
  </conditionalFormatting>
  <conditionalFormatting sqref="E278">
    <cfRule type="duplicateValues" dxfId="44" priority="39"/>
  </conditionalFormatting>
  <conditionalFormatting sqref="E279">
    <cfRule type="duplicateValues" dxfId="43" priority="38"/>
  </conditionalFormatting>
  <conditionalFormatting sqref="E280">
    <cfRule type="duplicateValues" dxfId="42" priority="37"/>
  </conditionalFormatting>
  <conditionalFormatting sqref="E281">
    <cfRule type="duplicateValues" dxfId="41" priority="36"/>
  </conditionalFormatting>
  <conditionalFormatting sqref="E282">
    <cfRule type="duplicateValues" dxfId="40" priority="35"/>
  </conditionalFormatting>
  <conditionalFormatting sqref="E283:E284">
    <cfRule type="duplicateValues" dxfId="39" priority="34"/>
  </conditionalFormatting>
  <conditionalFormatting sqref="E285:E288">
    <cfRule type="duplicateValues" dxfId="38" priority="33"/>
  </conditionalFormatting>
  <conditionalFormatting sqref="E289">
    <cfRule type="duplicateValues" dxfId="37" priority="32"/>
  </conditionalFormatting>
  <conditionalFormatting sqref="E290:E295">
    <cfRule type="duplicateValues" dxfId="36" priority="31"/>
  </conditionalFormatting>
  <conditionalFormatting sqref="E296:E297">
    <cfRule type="duplicateValues" dxfId="35" priority="30"/>
  </conditionalFormatting>
  <conditionalFormatting sqref="E298">
    <cfRule type="duplicateValues" dxfId="34" priority="29"/>
  </conditionalFormatting>
  <conditionalFormatting sqref="E299">
    <cfRule type="duplicateValues" dxfId="33" priority="28"/>
  </conditionalFormatting>
  <conditionalFormatting sqref="E300">
    <cfRule type="duplicateValues" dxfId="32" priority="27"/>
  </conditionalFormatting>
  <conditionalFormatting sqref="E301:E303">
    <cfRule type="duplicateValues" dxfId="31" priority="26"/>
  </conditionalFormatting>
  <conditionalFormatting sqref="E304">
    <cfRule type="duplicateValues" dxfId="30" priority="25"/>
  </conditionalFormatting>
  <conditionalFormatting sqref="E305">
    <cfRule type="duplicateValues" dxfId="29" priority="24"/>
  </conditionalFormatting>
  <conditionalFormatting sqref="E306">
    <cfRule type="duplicateValues" dxfId="28" priority="23"/>
  </conditionalFormatting>
  <conditionalFormatting sqref="E307">
    <cfRule type="duplicateValues" dxfId="27" priority="22"/>
  </conditionalFormatting>
  <conditionalFormatting sqref="E308">
    <cfRule type="duplicateValues" dxfId="26" priority="21"/>
  </conditionalFormatting>
  <conditionalFormatting sqref="E309">
    <cfRule type="duplicateValues" dxfId="25" priority="20"/>
  </conditionalFormatting>
  <conditionalFormatting sqref="E310">
    <cfRule type="duplicateValues" dxfId="24" priority="19"/>
  </conditionalFormatting>
  <conditionalFormatting sqref="E311">
    <cfRule type="duplicateValues" dxfId="23" priority="18"/>
  </conditionalFormatting>
  <conditionalFormatting sqref="E312">
    <cfRule type="duplicateValues" dxfId="22" priority="17"/>
  </conditionalFormatting>
  <conditionalFormatting sqref="E313">
    <cfRule type="duplicateValues" dxfId="21" priority="16"/>
  </conditionalFormatting>
  <conditionalFormatting sqref="E314">
    <cfRule type="duplicateValues" dxfId="20" priority="15"/>
  </conditionalFormatting>
  <conditionalFormatting sqref="E315">
    <cfRule type="duplicateValues" dxfId="19" priority="14"/>
  </conditionalFormatting>
  <conditionalFormatting sqref="E316">
    <cfRule type="duplicateValues" dxfId="18" priority="13"/>
  </conditionalFormatting>
  <conditionalFormatting sqref="E317:E318">
    <cfRule type="duplicateValues" dxfId="17" priority="12"/>
  </conditionalFormatting>
  <conditionalFormatting sqref="E319">
    <cfRule type="duplicateValues" dxfId="16" priority="11"/>
  </conditionalFormatting>
  <conditionalFormatting sqref="E320">
    <cfRule type="duplicateValues" dxfId="15" priority="10"/>
  </conditionalFormatting>
  <conditionalFormatting sqref="E321:E322">
    <cfRule type="duplicateValues" dxfId="14" priority="9"/>
  </conditionalFormatting>
  <conditionalFormatting sqref="E323">
    <cfRule type="duplicateValues" dxfId="13" priority="8"/>
  </conditionalFormatting>
  <conditionalFormatting sqref="E324">
    <cfRule type="duplicateValues" dxfId="12" priority="7"/>
  </conditionalFormatting>
  <conditionalFormatting sqref="E325">
    <cfRule type="duplicateValues" dxfId="11" priority="6"/>
  </conditionalFormatting>
  <conditionalFormatting sqref="E326">
    <cfRule type="duplicateValues" dxfId="10" priority="5"/>
  </conditionalFormatting>
  <conditionalFormatting sqref="E327:E328">
    <cfRule type="duplicateValues" dxfId="9" priority="4"/>
  </conditionalFormatting>
  <conditionalFormatting sqref="E329">
    <cfRule type="duplicateValues" dxfId="8" priority="3"/>
  </conditionalFormatting>
  <conditionalFormatting sqref="E330">
    <cfRule type="duplicateValues" dxfId="7" priority="2"/>
  </conditionalFormatting>
  <conditionalFormatting sqref="E331">
    <cfRule type="duplicateValues" dxfId="6" priority="1"/>
  </conditionalFormatting>
  <dataValidations disablePrompts="1" count="2">
    <dataValidation type="list" allowBlank="1" showInputMessage="1" showErrorMessage="1" sqref="AF3:AF331" xr:uid="{00000000-0002-0000-0300-000000000000}">
      <formula1>"ADSS, UA, A"</formula1>
    </dataValidation>
    <dataValidation type="list" allowBlank="1" showInputMessage="1" showErrorMessage="1" sqref="U3:U261" xr:uid="{00000000-0002-0000-0300-000002000000}">
      <formula1>"Fresh, Renewal"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C676"/>
  <sheetViews>
    <sheetView zoomScaleNormal="100" workbookViewId="0">
      <pane ySplit="2" topLeftCell="A660" activePane="bottomLeft" state="frozen"/>
      <selection pane="bottomLeft" activeCell="E2" sqref="E2:J2"/>
      <selection activeCell="D110" sqref="D110"/>
    </sheetView>
  </sheetViews>
  <sheetFormatPr defaultRowHeight="15"/>
  <cols>
    <col min="1" max="1" width="8.7109375" style="9" customWidth="1"/>
    <col min="2" max="2" width="14.5703125" customWidth="1"/>
    <col min="3" max="3" width="19.140625" bestFit="1" customWidth="1"/>
    <col min="4" max="4" width="34.140625" customWidth="1"/>
    <col min="5" max="5" width="13.5703125" bestFit="1" customWidth="1"/>
    <col min="6" max="6" width="17.140625" style="10" bestFit="1" customWidth="1"/>
    <col min="7" max="7" width="8.5703125" bestFit="1" customWidth="1"/>
    <col min="8" max="8" width="17.42578125" bestFit="1" customWidth="1"/>
    <col min="9" max="9" width="10.85546875" bestFit="1" customWidth="1"/>
    <col min="10" max="10" width="13.5703125" bestFit="1" customWidth="1"/>
    <col min="11" max="11" width="13.5703125" style="17" customWidth="1"/>
    <col min="12" max="12" width="10.42578125" style="8" bestFit="1" customWidth="1"/>
    <col min="13" max="13" width="15.5703125" style="8" bestFit="1" customWidth="1"/>
    <col min="14" max="14" width="12" style="8" customWidth="1"/>
    <col min="16" max="16" width="10" customWidth="1"/>
    <col min="17" max="17" width="13.28515625" customWidth="1"/>
    <col min="18" max="18" width="0" hidden="1" customWidth="1"/>
    <col min="19" max="19" width="15" hidden="1" customWidth="1"/>
    <col min="20" max="20" width="13.42578125" hidden="1" customWidth="1"/>
    <col min="21" max="21" width="16.42578125" hidden="1" customWidth="1"/>
    <col min="22" max="22" width="1.7109375" hidden="1" customWidth="1"/>
    <col min="23" max="23" width="14.42578125" hidden="1" customWidth="1"/>
    <col min="24" max="26" width="0" hidden="1" customWidth="1"/>
    <col min="27" max="27" width="1.7109375" hidden="1" customWidth="1"/>
    <col min="28" max="28" width="14.5703125" hidden="1" customWidth="1"/>
    <col min="29" max="29" width="9.42578125" hidden="1" customWidth="1"/>
    <col min="30" max="30" width="0" hidden="1" customWidth="1"/>
    <col min="31" max="31" width="11.7109375" hidden="1" customWidth="1"/>
    <col min="32" max="32" width="0" hidden="1" customWidth="1"/>
    <col min="33" max="33" width="1.7109375" hidden="1" customWidth="1"/>
    <col min="34" max="34" width="12.85546875" hidden="1" customWidth="1"/>
    <col min="35" max="35" width="16.42578125" hidden="1" customWidth="1"/>
    <col min="36" max="41" width="0" hidden="1" customWidth="1"/>
    <col min="42" max="42" width="1.7109375" hidden="1" customWidth="1"/>
    <col min="43" max="43" width="0" hidden="1" customWidth="1"/>
    <col min="44" max="44" width="10.42578125" hidden="1" customWidth="1"/>
    <col min="45" max="46" width="0" hidden="1" customWidth="1"/>
    <col min="47" max="47" width="1.7109375" hidden="1" customWidth="1"/>
    <col min="48" max="48" width="0" hidden="1" customWidth="1"/>
    <col min="49" max="49" width="10.42578125" hidden="1" customWidth="1"/>
    <col min="50" max="52" width="0" hidden="1" customWidth="1"/>
    <col min="53" max="53" width="1.28515625" customWidth="1"/>
  </cols>
  <sheetData>
    <row r="1" spans="1:55" s="26" customFormat="1" ht="15.75" customHeight="1" thickBot="1">
      <c r="A1" s="29"/>
      <c r="E1" s="26">
        <f>MATCH(E2,'Route-Details'!$B$2:$X$2,0)</f>
        <v>6</v>
      </c>
      <c r="F1" s="28">
        <f>MATCH(F2,'Route-Details'!$B$2:$X$2,0)</f>
        <v>7</v>
      </c>
      <c r="G1" s="26">
        <f>MATCH(G2,'Route-Details'!$B$2:$X$2,0)</f>
        <v>8</v>
      </c>
      <c r="H1" s="26">
        <f>MATCH(H2,'Route-Details'!$B$2:$X$2,0)</f>
        <v>9</v>
      </c>
      <c r="I1" s="26">
        <f>MATCH(I2,'Route-Details'!$B$2:$X$2,0)</f>
        <v>11</v>
      </c>
      <c r="J1" s="26">
        <f>MATCH(J2,'Route-Details'!$B$2:$X$2,0)</f>
        <v>12</v>
      </c>
      <c r="S1" s="26">
        <f>SUBTOTAL(9,S3:S1048576)</f>
        <v>0</v>
      </c>
    </row>
    <row r="2" spans="1:55" s="19" customFormat="1" ht="33.950000000000003" customHeight="1">
      <c r="A2" s="63" t="s">
        <v>0</v>
      </c>
      <c r="B2" s="64" t="s">
        <v>30</v>
      </c>
      <c r="C2" s="64" t="s">
        <v>955</v>
      </c>
      <c r="D2" s="64" t="s">
        <v>956</v>
      </c>
      <c r="E2" s="130" t="s">
        <v>32</v>
      </c>
      <c r="F2" s="131" t="s">
        <v>33</v>
      </c>
      <c r="G2" s="130" t="s">
        <v>34</v>
      </c>
      <c r="H2" s="130" t="s">
        <v>35</v>
      </c>
      <c r="I2" s="130" t="s">
        <v>37</v>
      </c>
      <c r="J2" s="130" t="s">
        <v>38</v>
      </c>
      <c r="K2" s="66" t="s">
        <v>39</v>
      </c>
      <c r="L2" s="67" t="s">
        <v>41</v>
      </c>
      <c r="M2" s="67" t="s">
        <v>42</v>
      </c>
      <c r="N2" s="67" t="s">
        <v>43</v>
      </c>
      <c r="O2" s="64" t="s">
        <v>44</v>
      </c>
      <c r="P2" s="64" t="s">
        <v>45</v>
      </c>
      <c r="Q2" s="64" t="s">
        <v>957</v>
      </c>
      <c r="R2" s="64" t="s">
        <v>47</v>
      </c>
      <c r="S2" s="64" t="s">
        <v>40</v>
      </c>
      <c r="T2" s="64" t="s">
        <v>48</v>
      </c>
      <c r="U2" s="68" t="s">
        <v>49</v>
      </c>
      <c r="V2" s="18"/>
      <c r="W2" s="63" t="s">
        <v>50</v>
      </c>
      <c r="X2" s="64" t="s">
        <v>51</v>
      </c>
      <c r="Y2" s="64" t="s">
        <v>52</v>
      </c>
      <c r="Z2" s="68" t="s">
        <v>53</v>
      </c>
      <c r="AA2" s="18"/>
      <c r="AB2" s="63" t="s">
        <v>54</v>
      </c>
      <c r="AC2" s="64" t="s">
        <v>55</v>
      </c>
      <c r="AD2" s="64" t="s">
        <v>47</v>
      </c>
      <c r="AE2" s="64" t="s">
        <v>56</v>
      </c>
      <c r="AF2" s="69" t="s">
        <v>57</v>
      </c>
      <c r="AG2" s="18"/>
      <c r="AH2" s="63" t="s">
        <v>58</v>
      </c>
      <c r="AI2" s="64" t="s">
        <v>59</v>
      </c>
      <c r="AJ2" s="64" t="s">
        <v>60</v>
      </c>
      <c r="AK2" s="65" t="s">
        <v>61</v>
      </c>
      <c r="AL2" s="64" t="s">
        <v>62</v>
      </c>
      <c r="AM2" s="64" t="s">
        <v>63</v>
      </c>
      <c r="AN2" s="65" t="s">
        <v>64</v>
      </c>
      <c r="AO2" s="69" t="s">
        <v>65</v>
      </c>
      <c r="AP2" s="18"/>
      <c r="AQ2" s="63" t="s">
        <v>66</v>
      </c>
      <c r="AR2" s="64" t="s">
        <v>67</v>
      </c>
      <c r="AS2" s="65" t="s">
        <v>68</v>
      </c>
      <c r="AT2" s="69" t="s">
        <v>69</v>
      </c>
      <c r="AU2" s="18"/>
      <c r="AV2" s="63" t="s">
        <v>70</v>
      </c>
      <c r="AW2" s="64" t="s">
        <v>71</v>
      </c>
      <c r="AX2" s="65" t="s">
        <v>72</v>
      </c>
      <c r="AY2" s="65" t="s">
        <v>73</v>
      </c>
      <c r="AZ2" s="69" t="s">
        <v>74</v>
      </c>
      <c r="BB2" s="19" t="s">
        <v>75</v>
      </c>
      <c r="BC2" s="19" t="s">
        <v>76</v>
      </c>
    </row>
    <row r="3" spans="1:55" s="96" customFormat="1" ht="15" customHeight="1">
      <c r="A3" s="86">
        <v>1</v>
      </c>
      <c r="B3" s="75" t="s">
        <v>80</v>
      </c>
      <c r="C3" s="9"/>
      <c r="D3" s="76" t="s">
        <v>78</v>
      </c>
      <c r="E3" s="88" t="str">
        <f>_xlfn.IFNA(VLOOKUP($D3,'Route-Details'!$B$2:$X$1048576,'Node Details'!E$1,0),"")</f>
        <v>Airtel</v>
      </c>
      <c r="F3" s="88" t="str">
        <f>_xlfn.IFNA(VLOOKUP($D3,'Route-Details'!$B$2:$X$1048576,'Node Details'!F$1,0),"")</f>
        <v>DARIA</v>
      </c>
      <c r="G3" s="88" t="str">
        <f>_xlfn.IFNA(VLOOKUP($D3,'Route-Details'!$B$2:$X$1048576,'Node Details'!G$1,0),"")</f>
        <v>Chandigarh</v>
      </c>
      <c r="H3" s="88" t="str">
        <f>_xlfn.IFNA(VLOOKUP($D4,'Route-Details'!$B$2:$X$1048576,'Node Details'!H$1,0),"")</f>
        <v>Punjab</v>
      </c>
      <c r="I3" s="88" t="str">
        <f>_xlfn.IFNA(VLOOKUP($D3,'Route-Details'!$B$2:$X$1048576,'Node Details'!I$1,0),"")</f>
        <v>AXZ</v>
      </c>
      <c r="J3" s="88" t="str">
        <f>_xlfn.IFNA(VLOOKUP($D3,'Route-Details'!$B$2:$X$1048576,'Node Details'!J$1,0),"")</f>
        <v>AXZ</v>
      </c>
      <c r="K3" s="76">
        <v>46110</v>
      </c>
      <c r="L3" s="76">
        <v>46110</v>
      </c>
      <c r="M3" s="89">
        <v>46119</v>
      </c>
      <c r="N3" s="76">
        <v>46110</v>
      </c>
      <c r="O3" s="86"/>
      <c r="P3" s="86"/>
      <c r="Q3" s="86" t="s">
        <v>958</v>
      </c>
      <c r="R3" s="90"/>
      <c r="S3" s="87"/>
      <c r="T3" s="87"/>
      <c r="U3" s="87"/>
      <c r="V3" s="90"/>
      <c r="W3" s="91"/>
      <c r="X3" s="87"/>
      <c r="Y3" s="92"/>
      <c r="Z3" s="90"/>
      <c r="AA3" s="90"/>
      <c r="AB3" s="87"/>
      <c r="AC3" s="91"/>
      <c r="AD3" s="90"/>
      <c r="AE3" s="86"/>
      <c r="AF3" s="82">
        <f t="shared" ref="AF3:AF39" si="0">IF(AB3&lt;&gt;"",AE3*AB3,0)</f>
        <v>0</v>
      </c>
      <c r="AG3" s="86"/>
      <c r="AH3" s="93"/>
      <c r="AI3" s="87"/>
      <c r="AJ3" s="86"/>
      <c r="AK3" s="81">
        <f t="shared" ref="AK3:AK39" si="1">IF(AI3&lt;&gt;"",AJ3*AI3,0)</f>
        <v>0</v>
      </c>
      <c r="AL3" s="86"/>
      <c r="AM3" s="86"/>
      <c r="AN3" s="81">
        <f t="shared" ref="AN3:AN39" si="2">IF(AL3&lt;&gt;"",AM3*AL3,0)</f>
        <v>0</v>
      </c>
      <c r="AO3" s="81">
        <f t="shared" ref="AO3:AO39" si="3">AN3+AK3</f>
        <v>0</v>
      </c>
      <c r="AP3" s="86"/>
      <c r="AQ3" s="93"/>
      <c r="AR3" s="94"/>
      <c r="AS3" s="82">
        <f t="shared" ref="AS3:AS39" si="4">AJ3</f>
        <v>0</v>
      </c>
      <c r="AT3" s="82">
        <f t="shared" ref="AT3:AT39" si="5">AS3*AI3</f>
        <v>0</v>
      </c>
      <c r="AU3" s="86"/>
      <c r="AV3" s="93"/>
      <c r="AW3" s="94"/>
      <c r="AX3" s="95">
        <f t="shared" ref="AX3:AX39" si="6">AJ3</f>
        <v>0</v>
      </c>
      <c r="AY3" s="95">
        <f t="shared" ref="AY3:AY39" si="7">AI3</f>
        <v>0</v>
      </c>
      <c r="AZ3" s="95">
        <f t="shared" ref="AZ3:AZ39" si="8">IF(AY3&lt;&gt;"",AY3*AX3,0)</f>
        <v>0</v>
      </c>
      <c r="BB3" s="9" t="s">
        <v>92</v>
      </c>
      <c r="BC3" s="96" t="s">
        <v>93</v>
      </c>
    </row>
    <row r="4" spans="1:55" s="96" customFormat="1" ht="15" customHeight="1">
      <c r="A4" s="86">
        <f>A3+1</f>
        <v>2</v>
      </c>
      <c r="B4" s="75" t="s">
        <v>98</v>
      </c>
      <c r="C4" s="9"/>
      <c r="D4" s="76" t="s">
        <v>97</v>
      </c>
      <c r="E4" s="88" t="str">
        <f>_xlfn.IFNA(VLOOKUP($D4,'Route-Details'!$B$2:$X$1048576,'Node Details'!E$1,0),"")</f>
        <v>Airtel</v>
      </c>
      <c r="F4" s="88" t="str">
        <f>_xlfn.IFNA(VLOOKUP($D4,'Route-Details'!$B$2:$X$1048576,'Node Details'!F$1,0),"")</f>
        <v>DARIA</v>
      </c>
      <c r="G4" s="88" t="str">
        <f>_xlfn.IFNA(VLOOKUP($D4,'Route-Details'!$B$2:$X$1048576,'Node Details'!G$1,0),"")</f>
        <v>Chandigarh</v>
      </c>
      <c r="H4" s="88" t="str">
        <f>_xlfn.IFNA(VLOOKUP($D5,'Route-Details'!$B$2:$X$1048576,'Node Details'!H$1,0),"")</f>
        <v>Punjab</v>
      </c>
      <c r="I4" s="88" t="str">
        <f>_xlfn.IFNA(VLOOKUP($D4,'Route-Details'!$B$2:$X$1048576,'Node Details'!I$1,0),"")</f>
        <v>AXZ</v>
      </c>
      <c r="J4" s="88" t="str">
        <f>_xlfn.IFNA(VLOOKUP($D4,'Route-Details'!$B$2:$X$1048576,'Node Details'!J$1,0),"")</f>
        <v>AXZ</v>
      </c>
      <c r="K4" s="76">
        <v>46110</v>
      </c>
      <c r="L4" s="76">
        <v>46110</v>
      </c>
      <c r="M4" s="89">
        <v>46119</v>
      </c>
      <c r="N4" s="76">
        <v>46110</v>
      </c>
      <c r="O4" s="86"/>
      <c r="P4" s="86"/>
      <c r="Q4" s="86" t="s">
        <v>958</v>
      </c>
      <c r="R4" s="90"/>
      <c r="S4" s="87"/>
      <c r="T4" s="87"/>
      <c r="U4" s="87"/>
      <c r="V4" s="90"/>
      <c r="W4" s="91"/>
      <c r="X4" s="87"/>
      <c r="Y4" s="92"/>
      <c r="Z4" s="90"/>
      <c r="AA4" s="90"/>
      <c r="AB4" s="87"/>
      <c r="AC4" s="91"/>
      <c r="AD4" s="90"/>
      <c r="AE4" s="86"/>
      <c r="AF4" s="82">
        <f t="shared" si="0"/>
        <v>0</v>
      </c>
      <c r="AG4" s="86"/>
      <c r="AH4" s="93"/>
      <c r="AI4" s="87"/>
      <c r="AJ4" s="86"/>
      <c r="AK4" s="81">
        <f t="shared" si="1"/>
        <v>0</v>
      </c>
      <c r="AL4" s="86"/>
      <c r="AM4" s="86"/>
      <c r="AN4" s="81">
        <f t="shared" si="2"/>
        <v>0</v>
      </c>
      <c r="AO4" s="81">
        <f t="shared" si="3"/>
        <v>0</v>
      </c>
      <c r="AP4" s="86"/>
      <c r="AQ4" s="93"/>
      <c r="AR4" s="94"/>
      <c r="AS4" s="82">
        <f t="shared" si="4"/>
        <v>0</v>
      </c>
      <c r="AT4" s="82">
        <f t="shared" si="5"/>
        <v>0</v>
      </c>
      <c r="AU4" s="86"/>
      <c r="AV4" s="93"/>
      <c r="AW4" s="94"/>
      <c r="AX4" s="95">
        <f t="shared" si="6"/>
        <v>0</v>
      </c>
      <c r="AY4" s="95">
        <f t="shared" si="7"/>
        <v>0</v>
      </c>
      <c r="AZ4" s="95">
        <f t="shared" si="8"/>
        <v>0</v>
      </c>
      <c r="BB4" s="9" t="s">
        <v>100</v>
      </c>
      <c r="BC4" s="96" t="s">
        <v>93</v>
      </c>
    </row>
    <row r="5" spans="1:55" s="96" customFormat="1" ht="15" customHeight="1">
      <c r="A5" s="86">
        <f t="shared" ref="A5:A68" si="9">A4+1</f>
        <v>3</v>
      </c>
      <c r="B5" s="75" t="s">
        <v>103</v>
      </c>
      <c r="C5" s="9"/>
      <c r="D5" s="76" t="s">
        <v>101</v>
      </c>
      <c r="E5" s="88" t="str">
        <f>_xlfn.IFNA(VLOOKUP($D5,'Route-Details'!$B$2:$X$1048576,'Node Details'!E$1,0),"")</f>
        <v>Airtel</v>
      </c>
      <c r="F5" s="88" t="str">
        <f>_xlfn.IFNA(VLOOKUP($D5,'Route-Details'!$B$2:$X$1048576,'Node Details'!F$1,0),"")</f>
        <v>DARIA</v>
      </c>
      <c r="G5" s="88" t="str">
        <f>_xlfn.IFNA(VLOOKUP($D5,'Route-Details'!$B$2:$X$1048576,'Node Details'!G$1,0),"")</f>
        <v>Chandigarh</v>
      </c>
      <c r="H5" s="88" t="str">
        <f>_xlfn.IFNA(VLOOKUP($D6,'Route-Details'!$B$2:$X$1048576,'Node Details'!H$1,0),"")</f>
        <v>Punjab</v>
      </c>
      <c r="I5" s="88" t="str">
        <f>_xlfn.IFNA(VLOOKUP($D5,'Route-Details'!$B$2:$X$1048576,'Node Details'!I$1,0),"")</f>
        <v>AXZ</v>
      </c>
      <c r="J5" s="88" t="str">
        <f>_xlfn.IFNA(VLOOKUP($D5,'Route-Details'!$B$2:$X$1048576,'Node Details'!J$1,0),"")</f>
        <v>AXZ</v>
      </c>
      <c r="K5" s="76">
        <v>46110</v>
      </c>
      <c r="L5" s="76">
        <v>46110</v>
      </c>
      <c r="M5" s="89">
        <v>46119</v>
      </c>
      <c r="N5" s="76">
        <v>46110</v>
      </c>
      <c r="O5" s="86"/>
      <c r="P5" s="86"/>
      <c r="Q5" s="86" t="s">
        <v>958</v>
      </c>
      <c r="R5" s="90"/>
      <c r="S5" s="87"/>
      <c r="T5" s="87"/>
      <c r="U5" s="87"/>
      <c r="V5" s="90"/>
      <c r="W5" s="91"/>
      <c r="X5" s="87"/>
      <c r="Y5" s="92"/>
      <c r="Z5" s="90"/>
      <c r="AA5" s="90"/>
      <c r="AB5" s="87"/>
      <c r="AC5" s="91"/>
      <c r="AD5" s="90"/>
      <c r="AE5" s="86"/>
      <c r="AF5" s="82">
        <f t="shared" si="0"/>
        <v>0</v>
      </c>
      <c r="AG5" s="86"/>
      <c r="AH5" s="93"/>
      <c r="AI5" s="87"/>
      <c r="AJ5" s="86"/>
      <c r="AK5" s="81">
        <f t="shared" si="1"/>
        <v>0</v>
      </c>
      <c r="AL5" s="86"/>
      <c r="AM5" s="86"/>
      <c r="AN5" s="81">
        <f t="shared" si="2"/>
        <v>0</v>
      </c>
      <c r="AO5" s="81">
        <f t="shared" si="3"/>
        <v>0</v>
      </c>
      <c r="AP5" s="86"/>
      <c r="AQ5" s="93"/>
      <c r="AR5" s="94"/>
      <c r="AS5" s="82">
        <f t="shared" si="4"/>
        <v>0</v>
      </c>
      <c r="AT5" s="82">
        <f t="shared" si="5"/>
        <v>0</v>
      </c>
      <c r="AU5" s="86"/>
      <c r="AV5" s="93"/>
      <c r="AW5" s="94"/>
      <c r="AX5" s="95">
        <f t="shared" si="6"/>
        <v>0</v>
      </c>
      <c r="AY5" s="95">
        <f t="shared" si="7"/>
        <v>0</v>
      </c>
      <c r="AZ5" s="95">
        <f t="shared" si="8"/>
        <v>0</v>
      </c>
      <c r="BB5" s="9" t="s">
        <v>104</v>
      </c>
      <c r="BC5" s="96" t="s">
        <v>93</v>
      </c>
    </row>
    <row r="6" spans="1:55" s="96" customFormat="1" ht="15" customHeight="1">
      <c r="A6" s="86">
        <f t="shared" si="9"/>
        <v>4</v>
      </c>
      <c r="B6" s="75" t="s">
        <v>959</v>
      </c>
      <c r="C6" s="9"/>
      <c r="D6" s="76" t="s">
        <v>105</v>
      </c>
      <c r="E6" s="88" t="str">
        <f>_xlfn.IFNA(VLOOKUP($D6,'Route-Details'!$B$2:$X$1048576,'Node Details'!E$1,0),"")</f>
        <v>Airtel</v>
      </c>
      <c r="F6" s="88" t="str">
        <f>_xlfn.IFNA(VLOOKUP($D6,'Route-Details'!$B$2:$X$1048576,'Node Details'!F$1,0),"")</f>
        <v>DARIA</v>
      </c>
      <c r="G6" s="88" t="str">
        <f>_xlfn.IFNA(VLOOKUP($D6,'Route-Details'!$B$2:$X$1048576,'Node Details'!G$1,0),"")</f>
        <v>Chandigarh</v>
      </c>
      <c r="H6" s="88" t="str">
        <f>_xlfn.IFNA(VLOOKUP($D7,'Route-Details'!$B$2:$X$1048576,'Node Details'!H$1,0),"")</f>
        <v>Punjab</v>
      </c>
      <c r="I6" s="88" t="str">
        <f>_xlfn.IFNA(VLOOKUP($D6,'Route-Details'!$B$2:$X$1048576,'Node Details'!I$1,0),"")</f>
        <v>AXZ</v>
      </c>
      <c r="J6" s="88" t="str">
        <f>_xlfn.IFNA(VLOOKUP($D6,'Route-Details'!$B$2:$X$1048576,'Node Details'!J$1,0),"")</f>
        <v>AXZ</v>
      </c>
      <c r="K6" s="76">
        <v>46110</v>
      </c>
      <c r="L6" s="76">
        <v>46110</v>
      </c>
      <c r="M6" s="89">
        <v>46119</v>
      </c>
      <c r="N6" s="76">
        <v>46110</v>
      </c>
      <c r="O6" s="86"/>
      <c r="P6" s="86"/>
      <c r="Q6" s="86" t="s">
        <v>958</v>
      </c>
      <c r="R6" s="90"/>
      <c r="S6" s="87"/>
      <c r="T6" s="87"/>
      <c r="U6" s="87"/>
      <c r="V6" s="90"/>
      <c r="W6" s="91"/>
      <c r="X6" s="87"/>
      <c r="Y6" s="92"/>
      <c r="Z6" s="90"/>
      <c r="AA6" s="90"/>
      <c r="AB6" s="87"/>
      <c r="AC6" s="91"/>
      <c r="AD6" s="90"/>
      <c r="AE6" s="86"/>
      <c r="AF6" s="82">
        <f t="shared" si="0"/>
        <v>0</v>
      </c>
      <c r="AG6" s="86"/>
      <c r="AH6" s="93"/>
      <c r="AI6" s="87"/>
      <c r="AJ6" s="86"/>
      <c r="AK6" s="81">
        <f t="shared" si="1"/>
        <v>0</v>
      </c>
      <c r="AL6" s="86"/>
      <c r="AM6" s="86"/>
      <c r="AN6" s="81">
        <f t="shared" si="2"/>
        <v>0</v>
      </c>
      <c r="AO6" s="81">
        <f t="shared" si="3"/>
        <v>0</v>
      </c>
      <c r="AP6" s="86"/>
      <c r="AQ6" s="93"/>
      <c r="AR6" s="94"/>
      <c r="AS6" s="82">
        <f t="shared" si="4"/>
        <v>0</v>
      </c>
      <c r="AT6" s="82">
        <f t="shared" si="5"/>
        <v>0</v>
      </c>
      <c r="AU6" s="86"/>
      <c r="AV6" s="93"/>
      <c r="AW6" s="94"/>
      <c r="AX6" s="95">
        <f t="shared" si="6"/>
        <v>0</v>
      </c>
      <c r="AY6" s="95">
        <f t="shared" si="7"/>
        <v>0</v>
      </c>
      <c r="AZ6" s="95">
        <f t="shared" si="8"/>
        <v>0</v>
      </c>
      <c r="BB6" s="9" t="s">
        <v>107</v>
      </c>
      <c r="BC6" s="96" t="s">
        <v>93</v>
      </c>
    </row>
    <row r="7" spans="1:55" s="96" customFormat="1" ht="15" customHeight="1">
      <c r="A7" s="86">
        <f t="shared" si="9"/>
        <v>5</v>
      </c>
      <c r="B7" s="75" t="s">
        <v>960</v>
      </c>
      <c r="C7" s="9"/>
      <c r="D7" s="76" t="s">
        <v>105</v>
      </c>
      <c r="E7" s="88" t="str">
        <f>_xlfn.IFNA(VLOOKUP($D7,'Route-Details'!$B$2:$X$1048576,'Node Details'!E$1,0),"")</f>
        <v>Airtel</v>
      </c>
      <c r="F7" s="88" t="str">
        <f>_xlfn.IFNA(VLOOKUP($D7,'Route-Details'!$B$2:$X$1048576,'Node Details'!F$1,0),"")</f>
        <v>DARIA</v>
      </c>
      <c r="G7" s="88" t="str">
        <f>_xlfn.IFNA(VLOOKUP($D7,'Route-Details'!$B$2:$X$1048576,'Node Details'!G$1,0),"")</f>
        <v>Chandigarh</v>
      </c>
      <c r="H7" s="88" t="str">
        <f>_xlfn.IFNA(VLOOKUP($D8,'Route-Details'!$B$2:$X$1048576,'Node Details'!H$1,0),"")</f>
        <v>Punjab</v>
      </c>
      <c r="I7" s="88" t="str">
        <f>_xlfn.IFNA(VLOOKUP($D7,'Route-Details'!$B$2:$X$1048576,'Node Details'!I$1,0),"")</f>
        <v>AXZ</v>
      </c>
      <c r="J7" s="88" t="str">
        <f>_xlfn.IFNA(VLOOKUP($D7,'Route-Details'!$B$2:$X$1048576,'Node Details'!J$1,0),"")</f>
        <v>AXZ</v>
      </c>
      <c r="K7" s="76">
        <v>46110</v>
      </c>
      <c r="L7" s="76">
        <v>46110</v>
      </c>
      <c r="M7" s="89">
        <v>46119</v>
      </c>
      <c r="N7" s="76">
        <v>46110</v>
      </c>
      <c r="O7" s="86"/>
      <c r="P7" s="86"/>
      <c r="Q7" s="86" t="s">
        <v>958</v>
      </c>
      <c r="R7" s="90"/>
      <c r="S7" s="87"/>
      <c r="T7" s="87"/>
      <c r="U7" s="87"/>
      <c r="V7" s="90"/>
      <c r="W7" s="91"/>
      <c r="X7" s="87"/>
      <c r="Y7" s="92"/>
      <c r="Z7" s="90"/>
      <c r="AA7" s="90"/>
      <c r="AB7" s="87"/>
      <c r="AC7" s="91"/>
      <c r="AD7" s="90"/>
      <c r="AE7" s="86"/>
      <c r="AF7" s="82">
        <f t="shared" si="0"/>
        <v>0</v>
      </c>
      <c r="AG7" s="86"/>
      <c r="AH7" s="93"/>
      <c r="AI7" s="87"/>
      <c r="AJ7" s="86"/>
      <c r="AK7" s="81">
        <f t="shared" si="1"/>
        <v>0</v>
      </c>
      <c r="AL7" s="86"/>
      <c r="AM7" s="86"/>
      <c r="AN7" s="81">
        <f t="shared" si="2"/>
        <v>0</v>
      </c>
      <c r="AO7" s="81">
        <f t="shared" si="3"/>
        <v>0</v>
      </c>
      <c r="AP7" s="86"/>
      <c r="AQ7" s="93"/>
      <c r="AR7" s="94"/>
      <c r="AS7" s="82">
        <f t="shared" si="4"/>
        <v>0</v>
      </c>
      <c r="AT7" s="82">
        <f t="shared" si="5"/>
        <v>0</v>
      </c>
      <c r="AU7" s="86"/>
      <c r="AV7" s="93"/>
      <c r="AW7" s="94"/>
      <c r="AX7" s="95">
        <f t="shared" si="6"/>
        <v>0</v>
      </c>
      <c r="AY7" s="95">
        <f t="shared" si="7"/>
        <v>0</v>
      </c>
      <c r="AZ7" s="95">
        <f t="shared" si="8"/>
        <v>0</v>
      </c>
      <c r="BB7" s="9" t="s">
        <v>107</v>
      </c>
      <c r="BC7" s="96" t="s">
        <v>93</v>
      </c>
    </row>
    <row r="8" spans="1:55" s="96" customFormat="1" ht="15" customHeight="1">
      <c r="A8" s="86">
        <f t="shared" si="9"/>
        <v>6</v>
      </c>
      <c r="B8" s="75" t="s">
        <v>106</v>
      </c>
      <c r="C8" s="9"/>
      <c r="D8" s="76" t="s">
        <v>105</v>
      </c>
      <c r="E8" s="88" t="str">
        <f>_xlfn.IFNA(VLOOKUP($D8,'Route-Details'!$B$2:$X$1048576,'Node Details'!E$1,0),"")</f>
        <v>Airtel</v>
      </c>
      <c r="F8" s="88" t="str">
        <f>_xlfn.IFNA(VLOOKUP($D8,'Route-Details'!$B$2:$X$1048576,'Node Details'!F$1,0),"")</f>
        <v>DARIA</v>
      </c>
      <c r="G8" s="88" t="str">
        <f>_xlfn.IFNA(VLOOKUP($D8,'Route-Details'!$B$2:$X$1048576,'Node Details'!G$1,0),"")</f>
        <v>Chandigarh</v>
      </c>
      <c r="H8" s="88" t="str">
        <f>_xlfn.IFNA(VLOOKUP($D9,'Route-Details'!$B$2:$X$1048576,'Node Details'!H$1,0),"")</f>
        <v>Punjab</v>
      </c>
      <c r="I8" s="88" t="str">
        <f>_xlfn.IFNA(VLOOKUP($D8,'Route-Details'!$B$2:$X$1048576,'Node Details'!I$1,0),"")</f>
        <v>AXZ</v>
      </c>
      <c r="J8" s="88" t="str">
        <f>_xlfn.IFNA(VLOOKUP($D8,'Route-Details'!$B$2:$X$1048576,'Node Details'!J$1,0),"")</f>
        <v>AXZ</v>
      </c>
      <c r="K8" s="76">
        <v>46110</v>
      </c>
      <c r="L8" s="76">
        <v>46110</v>
      </c>
      <c r="M8" s="89">
        <v>46119</v>
      </c>
      <c r="N8" s="76">
        <v>46110</v>
      </c>
      <c r="O8" s="86"/>
      <c r="P8" s="86"/>
      <c r="Q8" s="86" t="s">
        <v>958</v>
      </c>
      <c r="R8" s="90"/>
      <c r="S8" s="87"/>
      <c r="T8" s="87"/>
      <c r="U8" s="87"/>
      <c r="V8" s="90"/>
      <c r="W8" s="91"/>
      <c r="X8" s="87"/>
      <c r="Y8" s="92"/>
      <c r="Z8" s="90"/>
      <c r="AA8" s="90"/>
      <c r="AB8" s="87"/>
      <c r="AC8" s="91"/>
      <c r="AD8" s="90"/>
      <c r="AE8" s="86"/>
      <c r="AF8" s="82">
        <f t="shared" si="0"/>
        <v>0</v>
      </c>
      <c r="AG8" s="86"/>
      <c r="AH8" s="93"/>
      <c r="AI8" s="87"/>
      <c r="AJ8" s="86"/>
      <c r="AK8" s="81">
        <f t="shared" si="1"/>
        <v>0</v>
      </c>
      <c r="AL8" s="86"/>
      <c r="AM8" s="86"/>
      <c r="AN8" s="81">
        <f t="shared" si="2"/>
        <v>0</v>
      </c>
      <c r="AO8" s="81">
        <f t="shared" si="3"/>
        <v>0</v>
      </c>
      <c r="AP8" s="86"/>
      <c r="AQ8" s="93"/>
      <c r="AR8" s="94"/>
      <c r="AS8" s="82">
        <f t="shared" si="4"/>
        <v>0</v>
      </c>
      <c r="AT8" s="82">
        <f t="shared" si="5"/>
        <v>0</v>
      </c>
      <c r="AU8" s="86"/>
      <c r="AV8" s="93"/>
      <c r="AW8" s="94"/>
      <c r="AX8" s="95">
        <f t="shared" si="6"/>
        <v>0</v>
      </c>
      <c r="AY8" s="95">
        <f t="shared" si="7"/>
        <v>0</v>
      </c>
      <c r="AZ8" s="95">
        <f t="shared" si="8"/>
        <v>0</v>
      </c>
      <c r="BB8" s="9" t="s">
        <v>107</v>
      </c>
      <c r="BC8" s="96" t="s">
        <v>93</v>
      </c>
    </row>
    <row r="9" spans="1:55" s="96" customFormat="1" ht="15" customHeight="1">
      <c r="A9" s="86">
        <f t="shared" si="9"/>
        <v>7</v>
      </c>
      <c r="B9" s="75" t="s">
        <v>961</v>
      </c>
      <c r="C9" s="9"/>
      <c r="D9" s="76" t="s">
        <v>108</v>
      </c>
      <c r="E9" s="88" t="str">
        <f>_xlfn.IFNA(VLOOKUP($D9,'Route-Details'!$B$2:$X$1048576,'Node Details'!E$1,0),"")</f>
        <v>Airtel</v>
      </c>
      <c r="F9" s="88" t="str">
        <f>_xlfn.IFNA(VLOOKUP($D9,'Route-Details'!$B$2:$X$1048576,'Node Details'!F$1,0),"")</f>
        <v>DARIA</v>
      </c>
      <c r="G9" s="88" t="str">
        <f>_xlfn.IFNA(VLOOKUP($D9,'Route-Details'!$B$2:$X$1048576,'Node Details'!G$1,0),"")</f>
        <v>Chandigarh</v>
      </c>
      <c r="H9" s="88" t="str">
        <f>_xlfn.IFNA(VLOOKUP($D10,'Route-Details'!$B$2:$X$1048576,'Node Details'!H$1,0),"")</f>
        <v>Punjab</v>
      </c>
      <c r="I9" s="88" t="str">
        <f>_xlfn.IFNA(VLOOKUP($D9,'Route-Details'!$B$2:$X$1048576,'Node Details'!I$1,0),"")</f>
        <v>AXZ</v>
      </c>
      <c r="J9" s="88" t="str">
        <f>_xlfn.IFNA(VLOOKUP($D9,'Route-Details'!$B$2:$X$1048576,'Node Details'!J$1,0),"")</f>
        <v>AXZ</v>
      </c>
      <c r="K9" s="76">
        <v>46110</v>
      </c>
      <c r="L9" s="76">
        <v>46110</v>
      </c>
      <c r="M9" s="89">
        <v>46119</v>
      </c>
      <c r="N9" s="76">
        <v>46110</v>
      </c>
      <c r="O9" s="86"/>
      <c r="P9" s="86"/>
      <c r="Q9" s="86" t="s">
        <v>958</v>
      </c>
      <c r="R9" s="90"/>
      <c r="S9" s="87"/>
      <c r="T9" s="87"/>
      <c r="U9" s="87"/>
      <c r="V9" s="90"/>
      <c r="W9" s="91"/>
      <c r="X9" s="87"/>
      <c r="Y9" s="92"/>
      <c r="Z9" s="90"/>
      <c r="AA9" s="90"/>
      <c r="AB9" s="87"/>
      <c r="AC9" s="91"/>
      <c r="AD9" s="90"/>
      <c r="AE9" s="86"/>
      <c r="AF9" s="82">
        <f t="shared" si="0"/>
        <v>0</v>
      </c>
      <c r="AG9" s="86"/>
      <c r="AH9" s="93"/>
      <c r="AI9" s="87"/>
      <c r="AJ9" s="86"/>
      <c r="AK9" s="81">
        <f t="shared" si="1"/>
        <v>0</v>
      </c>
      <c r="AL9" s="86"/>
      <c r="AM9" s="86"/>
      <c r="AN9" s="81">
        <f t="shared" si="2"/>
        <v>0</v>
      </c>
      <c r="AO9" s="81">
        <f t="shared" si="3"/>
        <v>0</v>
      </c>
      <c r="AP9" s="86"/>
      <c r="AQ9" s="93"/>
      <c r="AR9" s="94"/>
      <c r="AS9" s="82">
        <f t="shared" si="4"/>
        <v>0</v>
      </c>
      <c r="AT9" s="82">
        <f t="shared" si="5"/>
        <v>0</v>
      </c>
      <c r="AU9" s="86"/>
      <c r="AV9" s="93"/>
      <c r="AW9" s="94"/>
      <c r="AX9" s="95">
        <f t="shared" si="6"/>
        <v>0</v>
      </c>
      <c r="AY9" s="95">
        <f t="shared" si="7"/>
        <v>0</v>
      </c>
      <c r="AZ9" s="95">
        <f t="shared" si="8"/>
        <v>0</v>
      </c>
      <c r="BB9" s="9" t="s">
        <v>110</v>
      </c>
      <c r="BC9" s="96" t="s">
        <v>93</v>
      </c>
    </row>
    <row r="10" spans="1:55" s="96" customFormat="1" ht="15" customHeight="1">
      <c r="A10" s="86">
        <f t="shared" si="9"/>
        <v>8</v>
      </c>
      <c r="B10" s="75" t="s">
        <v>962</v>
      </c>
      <c r="C10" s="9"/>
      <c r="D10" s="76" t="s">
        <v>108</v>
      </c>
      <c r="E10" s="88" t="str">
        <f>_xlfn.IFNA(VLOOKUP($D10,'Route-Details'!$B$2:$X$1048576,'Node Details'!E$1,0),"")</f>
        <v>Airtel</v>
      </c>
      <c r="F10" s="88" t="str">
        <f>_xlfn.IFNA(VLOOKUP($D10,'Route-Details'!$B$2:$X$1048576,'Node Details'!F$1,0),"")</f>
        <v>DARIA</v>
      </c>
      <c r="G10" s="88" t="str">
        <f>_xlfn.IFNA(VLOOKUP($D10,'Route-Details'!$B$2:$X$1048576,'Node Details'!G$1,0),"")</f>
        <v>Chandigarh</v>
      </c>
      <c r="H10" s="88" t="str">
        <f>_xlfn.IFNA(VLOOKUP($D11,'Route-Details'!$B$2:$X$1048576,'Node Details'!H$1,0),"")</f>
        <v>Punjab</v>
      </c>
      <c r="I10" s="88" t="str">
        <f>_xlfn.IFNA(VLOOKUP($D10,'Route-Details'!$B$2:$X$1048576,'Node Details'!I$1,0),"")</f>
        <v>AXZ</v>
      </c>
      <c r="J10" s="88" t="str">
        <f>_xlfn.IFNA(VLOOKUP($D10,'Route-Details'!$B$2:$X$1048576,'Node Details'!J$1,0),"")</f>
        <v>AXZ</v>
      </c>
      <c r="K10" s="76">
        <v>46110</v>
      </c>
      <c r="L10" s="76">
        <v>46110</v>
      </c>
      <c r="M10" s="89">
        <v>46119</v>
      </c>
      <c r="N10" s="76">
        <v>46110</v>
      </c>
      <c r="O10" s="86"/>
      <c r="P10" s="86"/>
      <c r="Q10" s="86" t="s">
        <v>958</v>
      </c>
      <c r="R10" s="90"/>
      <c r="S10" s="87"/>
      <c r="T10" s="87"/>
      <c r="U10" s="87"/>
      <c r="V10" s="90"/>
      <c r="W10" s="91"/>
      <c r="X10" s="87"/>
      <c r="Y10" s="92"/>
      <c r="Z10" s="90"/>
      <c r="AA10" s="90"/>
      <c r="AB10" s="87"/>
      <c r="AC10" s="91"/>
      <c r="AD10" s="90"/>
      <c r="AE10" s="86"/>
      <c r="AF10" s="82">
        <f t="shared" si="0"/>
        <v>0</v>
      </c>
      <c r="AG10" s="86"/>
      <c r="AH10" s="93"/>
      <c r="AI10" s="87"/>
      <c r="AJ10" s="86"/>
      <c r="AK10" s="81">
        <f t="shared" si="1"/>
        <v>0</v>
      </c>
      <c r="AL10" s="86"/>
      <c r="AM10" s="86"/>
      <c r="AN10" s="81">
        <f t="shared" si="2"/>
        <v>0</v>
      </c>
      <c r="AO10" s="81">
        <f t="shared" si="3"/>
        <v>0</v>
      </c>
      <c r="AP10" s="86"/>
      <c r="AQ10" s="93"/>
      <c r="AR10" s="94"/>
      <c r="AS10" s="82">
        <f t="shared" si="4"/>
        <v>0</v>
      </c>
      <c r="AT10" s="82">
        <f t="shared" si="5"/>
        <v>0</v>
      </c>
      <c r="AU10" s="86"/>
      <c r="AV10" s="93"/>
      <c r="AW10" s="94"/>
      <c r="AX10" s="95">
        <f t="shared" si="6"/>
        <v>0</v>
      </c>
      <c r="AY10" s="95">
        <f t="shared" si="7"/>
        <v>0</v>
      </c>
      <c r="AZ10" s="95">
        <f t="shared" si="8"/>
        <v>0</v>
      </c>
      <c r="BB10" s="9" t="s">
        <v>110</v>
      </c>
      <c r="BC10" s="96" t="s">
        <v>93</v>
      </c>
    </row>
    <row r="11" spans="1:55" s="96" customFormat="1" ht="15" customHeight="1">
      <c r="A11" s="86">
        <f t="shared" si="9"/>
        <v>9</v>
      </c>
      <c r="B11" s="75" t="s">
        <v>963</v>
      </c>
      <c r="C11" s="9"/>
      <c r="D11" s="76" t="s">
        <v>108</v>
      </c>
      <c r="E11" s="88" t="str">
        <f>_xlfn.IFNA(VLOOKUP($D11,'Route-Details'!$B$2:$X$1048576,'Node Details'!E$1,0),"")</f>
        <v>Airtel</v>
      </c>
      <c r="F11" s="88" t="str">
        <f>_xlfn.IFNA(VLOOKUP($D11,'Route-Details'!$B$2:$X$1048576,'Node Details'!F$1,0),"")</f>
        <v>DARIA</v>
      </c>
      <c r="G11" s="88" t="str">
        <f>_xlfn.IFNA(VLOOKUP($D11,'Route-Details'!$B$2:$X$1048576,'Node Details'!G$1,0),"")</f>
        <v>Chandigarh</v>
      </c>
      <c r="H11" s="88" t="str">
        <f>_xlfn.IFNA(VLOOKUP($D12,'Route-Details'!$B$2:$X$1048576,'Node Details'!H$1,0),"")</f>
        <v>Punjab</v>
      </c>
      <c r="I11" s="88" t="str">
        <f>_xlfn.IFNA(VLOOKUP($D11,'Route-Details'!$B$2:$X$1048576,'Node Details'!I$1,0),"")</f>
        <v>AXZ</v>
      </c>
      <c r="J11" s="88" t="str">
        <f>_xlfn.IFNA(VLOOKUP($D11,'Route-Details'!$B$2:$X$1048576,'Node Details'!J$1,0),"")</f>
        <v>AXZ</v>
      </c>
      <c r="K11" s="76">
        <v>46110</v>
      </c>
      <c r="L11" s="76">
        <v>46110</v>
      </c>
      <c r="M11" s="89">
        <v>46119</v>
      </c>
      <c r="N11" s="76">
        <v>46110</v>
      </c>
      <c r="O11" s="86"/>
      <c r="P11" s="86"/>
      <c r="Q11" s="86" t="s">
        <v>958</v>
      </c>
      <c r="R11" s="90"/>
      <c r="S11" s="87"/>
      <c r="T11" s="87"/>
      <c r="U11" s="87"/>
      <c r="V11" s="90"/>
      <c r="W11" s="91"/>
      <c r="X11" s="87"/>
      <c r="Y11" s="92"/>
      <c r="Z11" s="90"/>
      <c r="AA11" s="90"/>
      <c r="AB11" s="87"/>
      <c r="AC11" s="91"/>
      <c r="AD11" s="90"/>
      <c r="AE11" s="86"/>
      <c r="AF11" s="82">
        <f t="shared" si="0"/>
        <v>0</v>
      </c>
      <c r="AG11" s="86"/>
      <c r="AH11" s="93"/>
      <c r="AI11" s="87"/>
      <c r="AJ11" s="86"/>
      <c r="AK11" s="81">
        <f t="shared" si="1"/>
        <v>0</v>
      </c>
      <c r="AL11" s="86"/>
      <c r="AM11" s="86"/>
      <c r="AN11" s="81">
        <f t="shared" si="2"/>
        <v>0</v>
      </c>
      <c r="AO11" s="81">
        <f t="shared" si="3"/>
        <v>0</v>
      </c>
      <c r="AP11" s="86"/>
      <c r="AQ11" s="93"/>
      <c r="AR11" s="94"/>
      <c r="AS11" s="82">
        <f t="shared" si="4"/>
        <v>0</v>
      </c>
      <c r="AT11" s="82">
        <f t="shared" si="5"/>
        <v>0</v>
      </c>
      <c r="AU11" s="86"/>
      <c r="AV11" s="93"/>
      <c r="AW11" s="94"/>
      <c r="AX11" s="95">
        <f t="shared" si="6"/>
        <v>0</v>
      </c>
      <c r="AY11" s="95">
        <f t="shared" si="7"/>
        <v>0</v>
      </c>
      <c r="AZ11" s="95">
        <f t="shared" si="8"/>
        <v>0</v>
      </c>
      <c r="BB11" s="9" t="s">
        <v>110</v>
      </c>
      <c r="BC11" s="96" t="s">
        <v>93</v>
      </c>
    </row>
    <row r="12" spans="1:55" s="96" customFormat="1" ht="15" customHeight="1">
      <c r="A12" s="86">
        <f t="shared" si="9"/>
        <v>10</v>
      </c>
      <c r="B12" s="75" t="s">
        <v>964</v>
      </c>
      <c r="C12" s="9"/>
      <c r="D12" s="76" t="s">
        <v>108</v>
      </c>
      <c r="E12" s="88" t="str">
        <f>_xlfn.IFNA(VLOOKUP($D12,'Route-Details'!$B$2:$X$1048576,'Node Details'!E$1,0),"")</f>
        <v>Airtel</v>
      </c>
      <c r="F12" s="88" t="str">
        <f>_xlfn.IFNA(VLOOKUP($D12,'Route-Details'!$B$2:$X$1048576,'Node Details'!F$1,0),"")</f>
        <v>DARIA</v>
      </c>
      <c r="G12" s="88" t="str">
        <f>_xlfn.IFNA(VLOOKUP($D12,'Route-Details'!$B$2:$X$1048576,'Node Details'!G$1,0),"")</f>
        <v>Chandigarh</v>
      </c>
      <c r="H12" s="88" t="str">
        <f>_xlfn.IFNA(VLOOKUP($D13,'Route-Details'!$B$2:$X$1048576,'Node Details'!H$1,0),"")</f>
        <v>Punjab</v>
      </c>
      <c r="I12" s="88" t="str">
        <f>_xlfn.IFNA(VLOOKUP($D12,'Route-Details'!$B$2:$X$1048576,'Node Details'!I$1,0),"")</f>
        <v>AXZ</v>
      </c>
      <c r="J12" s="88" t="str">
        <f>_xlfn.IFNA(VLOOKUP($D12,'Route-Details'!$B$2:$X$1048576,'Node Details'!J$1,0),"")</f>
        <v>AXZ</v>
      </c>
      <c r="K12" s="76">
        <v>46110</v>
      </c>
      <c r="L12" s="76">
        <v>46110</v>
      </c>
      <c r="M12" s="89">
        <v>46119</v>
      </c>
      <c r="N12" s="76">
        <v>46110</v>
      </c>
      <c r="O12" s="86"/>
      <c r="P12" s="86"/>
      <c r="Q12" s="86" t="s">
        <v>958</v>
      </c>
      <c r="R12" s="90"/>
      <c r="S12" s="87"/>
      <c r="T12" s="87"/>
      <c r="U12" s="87"/>
      <c r="V12" s="90"/>
      <c r="W12" s="91"/>
      <c r="X12" s="87"/>
      <c r="Y12" s="92"/>
      <c r="Z12" s="90"/>
      <c r="AA12" s="90"/>
      <c r="AB12" s="87"/>
      <c r="AC12" s="91"/>
      <c r="AD12" s="90"/>
      <c r="AE12" s="86"/>
      <c r="AF12" s="82">
        <f t="shared" si="0"/>
        <v>0</v>
      </c>
      <c r="AG12" s="86"/>
      <c r="AH12" s="93"/>
      <c r="AI12" s="87"/>
      <c r="AJ12" s="86"/>
      <c r="AK12" s="81">
        <f t="shared" si="1"/>
        <v>0</v>
      </c>
      <c r="AL12" s="86"/>
      <c r="AM12" s="86"/>
      <c r="AN12" s="81">
        <f t="shared" si="2"/>
        <v>0</v>
      </c>
      <c r="AO12" s="81">
        <f t="shared" si="3"/>
        <v>0</v>
      </c>
      <c r="AP12" s="86"/>
      <c r="AQ12" s="93"/>
      <c r="AR12" s="94"/>
      <c r="AS12" s="82">
        <f t="shared" si="4"/>
        <v>0</v>
      </c>
      <c r="AT12" s="82">
        <f t="shared" si="5"/>
        <v>0</v>
      </c>
      <c r="AU12" s="86"/>
      <c r="AV12" s="93"/>
      <c r="AW12" s="94"/>
      <c r="AX12" s="95">
        <f t="shared" si="6"/>
        <v>0</v>
      </c>
      <c r="AY12" s="95">
        <f t="shared" si="7"/>
        <v>0</v>
      </c>
      <c r="AZ12" s="95">
        <f t="shared" si="8"/>
        <v>0</v>
      </c>
      <c r="BB12" s="9" t="s">
        <v>110</v>
      </c>
      <c r="BC12" s="96" t="s">
        <v>93</v>
      </c>
    </row>
    <row r="13" spans="1:55" s="96" customFormat="1" ht="15" customHeight="1">
      <c r="A13" s="86">
        <f t="shared" si="9"/>
        <v>11</v>
      </c>
      <c r="B13" s="75" t="s">
        <v>109</v>
      </c>
      <c r="C13" s="9"/>
      <c r="D13" s="76" t="s">
        <v>108</v>
      </c>
      <c r="E13" s="88" t="str">
        <f>_xlfn.IFNA(VLOOKUP($D13,'Route-Details'!$B$2:$X$1048576,'Node Details'!E$1,0),"")</f>
        <v>Airtel</v>
      </c>
      <c r="F13" s="88" t="str">
        <f>_xlfn.IFNA(VLOOKUP($D13,'Route-Details'!$B$2:$X$1048576,'Node Details'!F$1,0),"")</f>
        <v>DARIA</v>
      </c>
      <c r="G13" s="88" t="str">
        <f>_xlfn.IFNA(VLOOKUP($D13,'Route-Details'!$B$2:$X$1048576,'Node Details'!G$1,0),"")</f>
        <v>Chandigarh</v>
      </c>
      <c r="H13" s="88" t="str">
        <f>_xlfn.IFNA(VLOOKUP($D14,'Route-Details'!$B$2:$X$1048576,'Node Details'!H$1,0),"")</f>
        <v>Punjab</v>
      </c>
      <c r="I13" s="88" t="str">
        <f>_xlfn.IFNA(VLOOKUP($D13,'Route-Details'!$B$2:$X$1048576,'Node Details'!I$1,0),"")</f>
        <v>AXZ</v>
      </c>
      <c r="J13" s="88" t="str">
        <f>_xlfn.IFNA(VLOOKUP($D13,'Route-Details'!$B$2:$X$1048576,'Node Details'!J$1,0),"")</f>
        <v>AXZ</v>
      </c>
      <c r="K13" s="76">
        <v>46110</v>
      </c>
      <c r="L13" s="76">
        <v>46110</v>
      </c>
      <c r="M13" s="89">
        <v>46119</v>
      </c>
      <c r="N13" s="76">
        <v>46110</v>
      </c>
      <c r="O13" s="86"/>
      <c r="P13" s="86"/>
      <c r="Q13" s="86" t="s">
        <v>958</v>
      </c>
      <c r="R13" s="90"/>
      <c r="S13" s="87"/>
      <c r="T13" s="87"/>
      <c r="U13" s="87"/>
      <c r="V13" s="90"/>
      <c r="W13" s="91"/>
      <c r="X13" s="87"/>
      <c r="Y13" s="92"/>
      <c r="Z13" s="90"/>
      <c r="AA13" s="90"/>
      <c r="AB13" s="87"/>
      <c r="AC13" s="91"/>
      <c r="AD13" s="90"/>
      <c r="AE13" s="86"/>
      <c r="AF13" s="82">
        <f t="shared" si="0"/>
        <v>0</v>
      </c>
      <c r="AG13" s="86"/>
      <c r="AH13" s="93"/>
      <c r="AI13" s="87"/>
      <c r="AJ13" s="86"/>
      <c r="AK13" s="81">
        <f t="shared" si="1"/>
        <v>0</v>
      </c>
      <c r="AL13" s="86"/>
      <c r="AM13" s="86"/>
      <c r="AN13" s="81">
        <f t="shared" si="2"/>
        <v>0</v>
      </c>
      <c r="AO13" s="81">
        <f t="shared" si="3"/>
        <v>0</v>
      </c>
      <c r="AP13" s="86"/>
      <c r="AQ13" s="93"/>
      <c r="AR13" s="94"/>
      <c r="AS13" s="82">
        <f t="shared" si="4"/>
        <v>0</v>
      </c>
      <c r="AT13" s="82">
        <f t="shared" si="5"/>
        <v>0</v>
      </c>
      <c r="AU13" s="86"/>
      <c r="AV13" s="93"/>
      <c r="AW13" s="94"/>
      <c r="AX13" s="95">
        <f t="shared" si="6"/>
        <v>0</v>
      </c>
      <c r="AY13" s="95">
        <f t="shared" si="7"/>
        <v>0</v>
      </c>
      <c r="AZ13" s="95">
        <f t="shared" si="8"/>
        <v>0</v>
      </c>
      <c r="BB13" s="9" t="s">
        <v>110</v>
      </c>
      <c r="BC13" s="96" t="s">
        <v>93</v>
      </c>
    </row>
    <row r="14" spans="1:55" s="96" customFormat="1" ht="15" customHeight="1">
      <c r="A14" s="86">
        <f t="shared" si="9"/>
        <v>12</v>
      </c>
      <c r="B14" s="75" t="s">
        <v>112</v>
      </c>
      <c r="C14" s="9"/>
      <c r="D14" s="76" t="s">
        <v>94</v>
      </c>
      <c r="E14" s="88" t="str">
        <f>_xlfn.IFNA(VLOOKUP($D14,'Route-Details'!$B$2:$X$1048576,'Node Details'!E$1,0),"")</f>
        <v>Airtel</v>
      </c>
      <c r="F14" s="88" t="str">
        <f>_xlfn.IFNA(VLOOKUP($D14,'Route-Details'!$B$2:$X$1048576,'Node Details'!F$1,0),"")</f>
        <v>DARIA</v>
      </c>
      <c r="G14" s="88" t="str">
        <f>_xlfn.IFNA(VLOOKUP($D14,'Route-Details'!$B$2:$X$1048576,'Node Details'!G$1,0),"")</f>
        <v>Chandigarh</v>
      </c>
      <c r="H14" s="88" t="str">
        <f>_xlfn.IFNA(VLOOKUP($D15,'Route-Details'!$B$2:$X$1048576,'Node Details'!H$1,0),"")</f>
        <v>Punjab</v>
      </c>
      <c r="I14" s="88" t="str">
        <f>_xlfn.IFNA(VLOOKUP($D14,'Route-Details'!$B$2:$X$1048576,'Node Details'!I$1,0),"")</f>
        <v>AXZ</v>
      </c>
      <c r="J14" s="88" t="str">
        <f>_xlfn.IFNA(VLOOKUP($D14,'Route-Details'!$B$2:$X$1048576,'Node Details'!J$1,0),"")</f>
        <v>AXZ</v>
      </c>
      <c r="K14" s="76">
        <v>46110</v>
      </c>
      <c r="L14" s="76">
        <v>46110</v>
      </c>
      <c r="M14" s="89">
        <v>46119</v>
      </c>
      <c r="N14" s="76">
        <v>46110</v>
      </c>
      <c r="O14" s="86"/>
      <c r="P14" s="86"/>
      <c r="Q14" s="86" t="s">
        <v>958</v>
      </c>
      <c r="R14" s="90"/>
      <c r="S14" s="87"/>
      <c r="T14" s="87"/>
      <c r="U14" s="87"/>
      <c r="V14" s="90"/>
      <c r="W14" s="91"/>
      <c r="X14" s="87"/>
      <c r="Y14" s="92"/>
      <c r="Z14" s="90"/>
      <c r="AA14" s="90"/>
      <c r="AB14" s="87"/>
      <c r="AC14" s="91"/>
      <c r="AD14" s="90"/>
      <c r="AE14" s="86"/>
      <c r="AF14" s="82">
        <f t="shared" si="0"/>
        <v>0</v>
      </c>
      <c r="AG14" s="86"/>
      <c r="AH14" s="93"/>
      <c r="AI14" s="87"/>
      <c r="AJ14" s="86"/>
      <c r="AK14" s="81">
        <f t="shared" si="1"/>
        <v>0</v>
      </c>
      <c r="AL14" s="86"/>
      <c r="AM14" s="86"/>
      <c r="AN14" s="81">
        <f t="shared" si="2"/>
        <v>0</v>
      </c>
      <c r="AO14" s="81">
        <f t="shared" si="3"/>
        <v>0</v>
      </c>
      <c r="AP14" s="86"/>
      <c r="AQ14" s="93"/>
      <c r="AR14" s="94"/>
      <c r="AS14" s="82">
        <f t="shared" si="4"/>
        <v>0</v>
      </c>
      <c r="AT14" s="82">
        <f t="shared" si="5"/>
        <v>0</v>
      </c>
      <c r="AU14" s="86"/>
      <c r="AV14" s="93"/>
      <c r="AW14" s="94"/>
      <c r="AX14" s="95">
        <f t="shared" si="6"/>
        <v>0</v>
      </c>
      <c r="AY14" s="95">
        <f t="shared" si="7"/>
        <v>0</v>
      </c>
      <c r="AZ14" s="95">
        <f t="shared" si="8"/>
        <v>0</v>
      </c>
      <c r="BB14" s="9" t="s">
        <v>96</v>
      </c>
      <c r="BC14" s="96" t="s">
        <v>93</v>
      </c>
    </row>
    <row r="15" spans="1:55" s="96" customFormat="1" ht="15" customHeight="1">
      <c r="A15" s="86">
        <f t="shared" si="9"/>
        <v>13</v>
      </c>
      <c r="B15" s="75" t="s">
        <v>113</v>
      </c>
      <c r="C15" s="9"/>
      <c r="D15" s="76" t="s">
        <v>111</v>
      </c>
      <c r="E15" s="88" t="str">
        <f>_xlfn.IFNA(VLOOKUP($D15,'Route-Details'!$B$2:$X$1048576,'Node Details'!E$1,0),"")</f>
        <v>Airtel</v>
      </c>
      <c r="F15" s="88" t="str">
        <f>_xlfn.IFNA(VLOOKUP($D15,'Route-Details'!$B$2:$X$1048576,'Node Details'!F$1,0),"")</f>
        <v>DARIA</v>
      </c>
      <c r="G15" s="88" t="str">
        <f>_xlfn.IFNA(VLOOKUP($D15,'Route-Details'!$B$2:$X$1048576,'Node Details'!G$1,0),"")</f>
        <v>Chandigarh</v>
      </c>
      <c r="H15" s="88" t="str">
        <f>_xlfn.IFNA(VLOOKUP($D16,'Route-Details'!$B$2:$X$1048576,'Node Details'!H$1,0),"")</f>
        <v>Punjab</v>
      </c>
      <c r="I15" s="88" t="str">
        <f>_xlfn.IFNA(VLOOKUP($D15,'Route-Details'!$B$2:$X$1048576,'Node Details'!I$1,0),"")</f>
        <v>AXZ</v>
      </c>
      <c r="J15" s="88" t="str">
        <f>_xlfn.IFNA(VLOOKUP($D15,'Route-Details'!$B$2:$X$1048576,'Node Details'!J$1,0),"")</f>
        <v>AXZ</v>
      </c>
      <c r="K15" s="76">
        <v>46110</v>
      </c>
      <c r="L15" s="76">
        <v>46110</v>
      </c>
      <c r="M15" s="89">
        <v>46119</v>
      </c>
      <c r="N15" s="76">
        <v>46110</v>
      </c>
      <c r="O15" s="86"/>
      <c r="P15" s="86"/>
      <c r="Q15" s="86" t="s">
        <v>958</v>
      </c>
      <c r="R15" s="90"/>
      <c r="S15" s="87"/>
      <c r="T15" s="87"/>
      <c r="U15" s="87"/>
      <c r="V15" s="90"/>
      <c r="W15" s="91"/>
      <c r="X15" s="87"/>
      <c r="Y15" s="92"/>
      <c r="Z15" s="90"/>
      <c r="AA15" s="90"/>
      <c r="AB15" s="87"/>
      <c r="AC15" s="91"/>
      <c r="AD15" s="90"/>
      <c r="AE15" s="86"/>
      <c r="AF15" s="82">
        <f t="shared" si="0"/>
        <v>0</v>
      </c>
      <c r="AG15" s="86"/>
      <c r="AH15" s="93"/>
      <c r="AI15" s="87"/>
      <c r="AJ15" s="86"/>
      <c r="AK15" s="81">
        <f t="shared" si="1"/>
        <v>0</v>
      </c>
      <c r="AL15" s="86"/>
      <c r="AM15" s="86"/>
      <c r="AN15" s="81">
        <f t="shared" si="2"/>
        <v>0</v>
      </c>
      <c r="AO15" s="81">
        <f t="shared" si="3"/>
        <v>0</v>
      </c>
      <c r="AP15" s="86"/>
      <c r="AQ15" s="93"/>
      <c r="AR15" s="94"/>
      <c r="AS15" s="82">
        <f t="shared" si="4"/>
        <v>0</v>
      </c>
      <c r="AT15" s="82">
        <f t="shared" si="5"/>
        <v>0</v>
      </c>
      <c r="AU15" s="86"/>
      <c r="AV15" s="93"/>
      <c r="AW15" s="94"/>
      <c r="AX15" s="95">
        <f t="shared" si="6"/>
        <v>0</v>
      </c>
      <c r="AY15" s="95">
        <f t="shared" si="7"/>
        <v>0</v>
      </c>
      <c r="AZ15" s="95">
        <f t="shared" si="8"/>
        <v>0</v>
      </c>
      <c r="BB15" s="9" t="s">
        <v>114</v>
      </c>
      <c r="BC15" s="96" t="s">
        <v>93</v>
      </c>
    </row>
    <row r="16" spans="1:55" s="96" customFormat="1" ht="15" customHeight="1">
      <c r="A16" s="86">
        <f t="shared" si="9"/>
        <v>14</v>
      </c>
      <c r="B16" s="75" t="s">
        <v>965</v>
      </c>
      <c r="C16" s="9"/>
      <c r="D16" s="76" t="s">
        <v>115</v>
      </c>
      <c r="E16" s="88" t="str">
        <f>_xlfn.IFNA(VLOOKUP($D16,'Route-Details'!$B$2:$X$1048576,'Node Details'!E$1,0),"")</f>
        <v>Airtel</v>
      </c>
      <c r="F16" s="88" t="str">
        <f>_xlfn.IFNA(VLOOKUP($D16,'Route-Details'!$B$2:$X$1048576,'Node Details'!F$1,0),"")</f>
        <v>DARIA</v>
      </c>
      <c r="G16" s="88" t="str">
        <f>_xlfn.IFNA(VLOOKUP($D16,'Route-Details'!$B$2:$X$1048576,'Node Details'!G$1,0),"")</f>
        <v>Chandigarh</v>
      </c>
      <c r="H16" s="88" t="str">
        <f>_xlfn.IFNA(VLOOKUP($D17,'Route-Details'!$B$2:$X$1048576,'Node Details'!H$1,0),"")</f>
        <v>Punjab</v>
      </c>
      <c r="I16" s="88" t="str">
        <f>_xlfn.IFNA(VLOOKUP($D16,'Route-Details'!$B$2:$X$1048576,'Node Details'!I$1,0),"")</f>
        <v>AXZ</v>
      </c>
      <c r="J16" s="88" t="str">
        <f>_xlfn.IFNA(VLOOKUP($D16,'Route-Details'!$B$2:$X$1048576,'Node Details'!J$1,0),"")</f>
        <v>AXZ</v>
      </c>
      <c r="K16" s="76">
        <v>46110</v>
      </c>
      <c r="L16" s="76">
        <v>46110</v>
      </c>
      <c r="M16" s="89">
        <v>46119</v>
      </c>
      <c r="N16" s="76">
        <v>46110</v>
      </c>
      <c r="O16" s="86"/>
      <c r="P16" s="86"/>
      <c r="Q16" s="86" t="s">
        <v>958</v>
      </c>
      <c r="R16" s="90"/>
      <c r="S16" s="87"/>
      <c r="T16" s="87"/>
      <c r="U16" s="87"/>
      <c r="V16" s="90"/>
      <c r="W16" s="91"/>
      <c r="X16" s="87"/>
      <c r="Y16" s="92"/>
      <c r="Z16" s="90"/>
      <c r="AA16" s="90"/>
      <c r="AB16" s="87"/>
      <c r="AC16" s="91"/>
      <c r="AD16" s="90"/>
      <c r="AE16" s="86"/>
      <c r="AF16" s="82">
        <f t="shared" si="0"/>
        <v>0</v>
      </c>
      <c r="AG16" s="86"/>
      <c r="AH16" s="93"/>
      <c r="AI16" s="87"/>
      <c r="AJ16" s="86"/>
      <c r="AK16" s="81">
        <f t="shared" si="1"/>
        <v>0</v>
      </c>
      <c r="AL16" s="86"/>
      <c r="AM16" s="86"/>
      <c r="AN16" s="81">
        <f t="shared" si="2"/>
        <v>0</v>
      </c>
      <c r="AO16" s="81">
        <f t="shared" si="3"/>
        <v>0</v>
      </c>
      <c r="AP16" s="86"/>
      <c r="AQ16" s="93"/>
      <c r="AR16" s="94"/>
      <c r="AS16" s="82">
        <f t="shared" si="4"/>
        <v>0</v>
      </c>
      <c r="AT16" s="82">
        <f t="shared" si="5"/>
        <v>0</v>
      </c>
      <c r="AU16" s="86"/>
      <c r="AV16" s="93"/>
      <c r="AW16" s="94"/>
      <c r="AX16" s="95">
        <f t="shared" si="6"/>
        <v>0</v>
      </c>
      <c r="AY16" s="95">
        <f t="shared" si="7"/>
        <v>0</v>
      </c>
      <c r="AZ16" s="95">
        <f t="shared" si="8"/>
        <v>0</v>
      </c>
      <c r="BB16" s="9" t="s">
        <v>117</v>
      </c>
      <c r="BC16" s="96" t="s">
        <v>93</v>
      </c>
    </row>
    <row r="17" spans="1:55" s="96" customFormat="1" ht="15" customHeight="1">
      <c r="A17" s="86">
        <f t="shared" si="9"/>
        <v>15</v>
      </c>
      <c r="B17" s="75" t="s">
        <v>116</v>
      </c>
      <c r="C17" s="9"/>
      <c r="D17" s="76" t="s">
        <v>115</v>
      </c>
      <c r="E17" s="88" t="str">
        <f>_xlfn.IFNA(VLOOKUP($D17,'Route-Details'!$B$2:$X$1048576,'Node Details'!E$1,0),"")</f>
        <v>Airtel</v>
      </c>
      <c r="F17" s="88" t="str">
        <f>_xlfn.IFNA(VLOOKUP($D17,'Route-Details'!$B$2:$X$1048576,'Node Details'!F$1,0),"")</f>
        <v>DARIA</v>
      </c>
      <c r="G17" s="88" t="str">
        <f>_xlfn.IFNA(VLOOKUP($D17,'Route-Details'!$B$2:$X$1048576,'Node Details'!G$1,0),"")</f>
        <v>Chandigarh</v>
      </c>
      <c r="H17" s="88" t="str">
        <f>_xlfn.IFNA(VLOOKUP($D18,'Route-Details'!$B$2:$X$1048576,'Node Details'!H$1,0),"")</f>
        <v>Punjab</v>
      </c>
      <c r="I17" s="88" t="str">
        <f>_xlfn.IFNA(VLOOKUP($D17,'Route-Details'!$B$2:$X$1048576,'Node Details'!I$1,0),"")</f>
        <v>AXZ</v>
      </c>
      <c r="J17" s="88" t="str">
        <f>_xlfn.IFNA(VLOOKUP($D17,'Route-Details'!$B$2:$X$1048576,'Node Details'!J$1,0),"")</f>
        <v>AXZ</v>
      </c>
      <c r="K17" s="76">
        <v>46110</v>
      </c>
      <c r="L17" s="76">
        <v>46110</v>
      </c>
      <c r="M17" s="89">
        <v>46119</v>
      </c>
      <c r="N17" s="76">
        <v>46110</v>
      </c>
      <c r="O17" s="86"/>
      <c r="P17" s="86"/>
      <c r="Q17" s="86" t="s">
        <v>958</v>
      </c>
      <c r="R17" s="90"/>
      <c r="S17" s="87"/>
      <c r="T17" s="87"/>
      <c r="U17" s="87"/>
      <c r="V17" s="90"/>
      <c r="W17" s="91"/>
      <c r="X17" s="87"/>
      <c r="Y17" s="92"/>
      <c r="Z17" s="90"/>
      <c r="AA17" s="90"/>
      <c r="AB17" s="87"/>
      <c r="AC17" s="91"/>
      <c r="AD17" s="90"/>
      <c r="AE17" s="86"/>
      <c r="AF17" s="82">
        <f t="shared" si="0"/>
        <v>0</v>
      </c>
      <c r="AG17" s="86"/>
      <c r="AH17" s="93"/>
      <c r="AI17" s="87"/>
      <c r="AJ17" s="86"/>
      <c r="AK17" s="81">
        <f t="shared" si="1"/>
        <v>0</v>
      </c>
      <c r="AL17" s="86"/>
      <c r="AM17" s="86"/>
      <c r="AN17" s="81">
        <f t="shared" si="2"/>
        <v>0</v>
      </c>
      <c r="AO17" s="81">
        <f t="shared" si="3"/>
        <v>0</v>
      </c>
      <c r="AP17" s="86"/>
      <c r="AQ17" s="93"/>
      <c r="AR17" s="94"/>
      <c r="AS17" s="82">
        <f t="shared" si="4"/>
        <v>0</v>
      </c>
      <c r="AT17" s="82">
        <f t="shared" si="5"/>
        <v>0</v>
      </c>
      <c r="AU17" s="86"/>
      <c r="AV17" s="93"/>
      <c r="AW17" s="94"/>
      <c r="AX17" s="95">
        <f t="shared" si="6"/>
        <v>0</v>
      </c>
      <c r="AY17" s="95">
        <f t="shared" si="7"/>
        <v>0</v>
      </c>
      <c r="AZ17" s="95">
        <f t="shared" si="8"/>
        <v>0</v>
      </c>
      <c r="BB17" s="9" t="s">
        <v>117</v>
      </c>
      <c r="BC17" s="96" t="s">
        <v>93</v>
      </c>
    </row>
    <row r="18" spans="1:55" s="96" customFormat="1" ht="15" customHeight="1">
      <c r="A18" s="86">
        <f t="shared" si="9"/>
        <v>16</v>
      </c>
      <c r="B18" s="75" t="s">
        <v>966</v>
      </c>
      <c r="C18" s="9"/>
      <c r="D18" s="76" t="s">
        <v>118</v>
      </c>
      <c r="E18" s="88" t="str">
        <f>_xlfn.IFNA(VLOOKUP($D18,'Route-Details'!$B$2:$X$1048576,'Node Details'!E$1,0),"")</f>
        <v>Airtel</v>
      </c>
      <c r="F18" s="88" t="str">
        <f>_xlfn.IFNA(VLOOKUP($D18,'Route-Details'!$B$2:$X$1048576,'Node Details'!F$1,0),"")</f>
        <v>DARIA</v>
      </c>
      <c r="G18" s="88" t="str">
        <f>_xlfn.IFNA(VLOOKUP($D18,'Route-Details'!$B$2:$X$1048576,'Node Details'!G$1,0),"")</f>
        <v>Chandigarh</v>
      </c>
      <c r="H18" s="88" t="str">
        <f>_xlfn.IFNA(VLOOKUP($D19,'Route-Details'!$B$2:$X$1048576,'Node Details'!H$1,0),"")</f>
        <v>Punjab</v>
      </c>
      <c r="I18" s="88" t="str">
        <f>_xlfn.IFNA(VLOOKUP($D18,'Route-Details'!$B$2:$X$1048576,'Node Details'!I$1,0),"")</f>
        <v>AXZ</v>
      </c>
      <c r="J18" s="88" t="str">
        <f>_xlfn.IFNA(VLOOKUP($D18,'Route-Details'!$B$2:$X$1048576,'Node Details'!J$1,0),"")</f>
        <v>AXZ</v>
      </c>
      <c r="K18" s="76">
        <v>46110</v>
      </c>
      <c r="L18" s="76">
        <v>46110</v>
      </c>
      <c r="M18" s="89">
        <v>46119</v>
      </c>
      <c r="N18" s="76">
        <v>46110</v>
      </c>
      <c r="O18" s="86"/>
      <c r="P18" s="86"/>
      <c r="Q18" s="86" t="s">
        <v>958</v>
      </c>
      <c r="R18" s="90"/>
      <c r="S18" s="87"/>
      <c r="T18" s="87"/>
      <c r="U18" s="87"/>
      <c r="V18" s="90"/>
      <c r="W18" s="91"/>
      <c r="X18" s="87"/>
      <c r="Y18" s="92"/>
      <c r="Z18" s="90"/>
      <c r="AA18" s="90"/>
      <c r="AB18" s="87"/>
      <c r="AC18" s="91"/>
      <c r="AD18" s="90"/>
      <c r="AE18" s="86"/>
      <c r="AF18" s="82">
        <f t="shared" si="0"/>
        <v>0</v>
      </c>
      <c r="AG18" s="86"/>
      <c r="AH18" s="93"/>
      <c r="AI18" s="87"/>
      <c r="AJ18" s="86"/>
      <c r="AK18" s="81">
        <f t="shared" si="1"/>
        <v>0</v>
      </c>
      <c r="AL18" s="86"/>
      <c r="AM18" s="86"/>
      <c r="AN18" s="81">
        <f t="shared" si="2"/>
        <v>0</v>
      </c>
      <c r="AO18" s="81">
        <f t="shared" si="3"/>
        <v>0</v>
      </c>
      <c r="AP18" s="86"/>
      <c r="AQ18" s="93"/>
      <c r="AR18" s="94"/>
      <c r="AS18" s="82">
        <f t="shared" si="4"/>
        <v>0</v>
      </c>
      <c r="AT18" s="82">
        <f t="shared" si="5"/>
        <v>0</v>
      </c>
      <c r="AU18" s="86"/>
      <c r="AV18" s="93"/>
      <c r="AW18" s="94"/>
      <c r="AX18" s="95">
        <f t="shared" si="6"/>
        <v>0</v>
      </c>
      <c r="AY18" s="95">
        <f t="shared" si="7"/>
        <v>0</v>
      </c>
      <c r="AZ18" s="95">
        <f t="shared" si="8"/>
        <v>0</v>
      </c>
      <c r="BB18" s="9" t="s">
        <v>120</v>
      </c>
      <c r="BC18" s="96" t="s">
        <v>93</v>
      </c>
    </row>
    <row r="19" spans="1:55" s="96" customFormat="1" ht="15" customHeight="1">
      <c r="A19" s="86">
        <f t="shared" si="9"/>
        <v>17</v>
      </c>
      <c r="B19" s="75" t="s">
        <v>967</v>
      </c>
      <c r="C19" s="9"/>
      <c r="D19" s="76" t="s">
        <v>118</v>
      </c>
      <c r="E19" s="88" t="str">
        <f>_xlfn.IFNA(VLOOKUP($D19,'Route-Details'!$B$2:$X$1048576,'Node Details'!E$1,0),"")</f>
        <v>Airtel</v>
      </c>
      <c r="F19" s="88" t="str">
        <f>_xlfn.IFNA(VLOOKUP($D19,'Route-Details'!$B$2:$X$1048576,'Node Details'!F$1,0),"")</f>
        <v>DARIA</v>
      </c>
      <c r="G19" s="88" t="str">
        <f>_xlfn.IFNA(VLOOKUP($D19,'Route-Details'!$B$2:$X$1048576,'Node Details'!G$1,0),"")</f>
        <v>Chandigarh</v>
      </c>
      <c r="H19" s="88" t="str">
        <f>_xlfn.IFNA(VLOOKUP($D20,'Route-Details'!$B$2:$X$1048576,'Node Details'!H$1,0),"")</f>
        <v>Punjab</v>
      </c>
      <c r="I19" s="88" t="str">
        <f>_xlfn.IFNA(VLOOKUP($D19,'Route-Details'!$B$2:$X$1048576,'Node Details'!I$1,0),"")</f>
        <v>AXZ</v>
      </c>
      <c r="J19" s="88" t="str">
        <f>_xlfn.IFNA(VLOOKUP($D19,'Route-Details'!$B$2:$X$1048576,'Node Details'!J$1,0),"")</f>
        <v>AXZ</v>
      </c>
      <c r="K19" s="76">
        <v>46110</v>
      </c>
      <c r="L19" s="76">
        <v>46110</v>
      </c>
      <c r="M19" s="89">
        <v>46119</v>
      </c>
      <c r="N19" s="76">
        <v>46110</v>
      </c>
      <c r="O19" s="86"/>
      <c r="P19" s="86"/>
      <c r="Q19" s="86" t="s">
        <v>958</v>
      </c>
      <c r="R19" s="90"/>
      <c r="S19" s="87"/>
      <c r="T19" s="87"/>
      <c r="U19" s="87"/>
      <c r="V19" s="90"/>
      <c r="W19" s="91"/>
      <c r="X19" s="87"/>
      <c r="Y19" s="92"/>
      <c r="Z19" s="90"/>
      <c r="AA19" s="90"/>
      <c r="AB19" s="87"/>
      <c r="AC19" s="91"/>
      <c r="AD19" s="90"/>
      <c r="AE19" s="86"/>
      <c r="AF19" s="82">
        <f t="shared" si="0"/>
        <v>0</v>
      </c>
      <c r="AG19" s="86"/>
      <c r="AH19" s="93"/>
      <c r="AI19" s="87"/>
      <c r="AJ19" s="86"/>
      <c r="AK19" s="81">
        <f t="shared" si="1"/>
        <v>0</v>
      </c>
      <c r="AL19" s="86"/>
      <c r="AM19" s="86"/>
      <c r="AN19" s="81">
        <f t="shared" si="2"/>
        <v>0</v>
      </c>
      <c r="AO19" s="81">
        <f t="shared" si="3"/>
        <v>0</v>
      </c>
      <c r="AP19" s="86"/>
      <c r="AQ19" s="93"/>
      <c r="AR19" s="94"/>
      <c r="AS19" s="82">
        <f t="shared" si="4"/>
        <v>0</v>
      </c>
      <c r="AT19" s="82">
        <f t="shared" si="5"/>
        <v>0</v>
      </c>
      <c r="AU19" s="86"/>
      <c r="AV19" s="93"/>
      <c r="AW19" s="94"/>
      <c r="AX19" s="95">
        <f t="shared" si="6"/>
        <v>0</v>
      </c>
      <c r="AY19" s="95">
        <f t="shared" si="7"/>
        <v>0</v>
      </c>
      <c r="AZ19" s="95">
        <f t="shared" si="8"/>
        <v>0</v>
      </c>
      <c r="BB19" s="9" t="s">
        <v>120</v>
      </c>
      <c r="BC19" s="96" t="s">
        <v>93</v>
      </c>
    </row>
    <row r="20" spans="1:55" s="96" customFormat="1" ht="15" customHeight="1">
      <c r="A20" s="86">
        <f t="shared" si="9"/>
        <v>18</v>
      </c>
      <c r="B20" s="75" t="s">
        <v>968</v>
      </c>
      <c r="C20" s="9"/>
      <c r="D20" s="76" t="s">
        <v>118</v>
      </c>
      <c r="E20" s="88" t="str">
        <f>_xlfn.IFNA(VLOOKUP($D20,'Route-Details'!$B$2:$X$1048576,'Node Details'!E$1,0),"")</f>
        <v>Airtel</v>
      </c>
      <c r="F20" s="88" t="str">
        <f>_xlfn.IFNA(VLOOKUP($D20,'Route-Details'!$B$2:$X$1048576,'Node Details'!F$1,0),"")</f>
        <v>DARIA</v>
      </c>
      <c r="G20" s="88" t="str">
        <f>_xlfn.IFNA(VLOOKUP($D20,'Route-Details'!$B$2:$X$1048576,'Node Details'!G$1,0),"")</f>
        <v>Chandigarh</v>
      </c>
      <c r="H20" s="88" t="str">
        <f>_xlfn.IFNA(VLOOKUP($D21,'Route-Details'!$B$2:$X$1048576,'Node Details'!H$1,0),"")</f>
        <v>Punjab</v>
      </c>
      <c r="I20" s="88" t="str">
        <f>_xlfn.IFNA(VLOOKUP($D20,'Route-Details'!$B$2:$X$1048576,'Node Details'!I$1,0),"")</f>
        <v>AXZ</v>
      </c>
      <c r="J20" s="88" t="str">
        <f>_xlfn.IFNA(VLOOKUP($D20,'Route-Details'!$B$2:$X$1048576,'Node Details'!J$1,0),"")</f>
        <v>AXZ</v>
      </c>
      <c r="K20" s="76">
        <v>46110</v>
      </c>
      <c r="L20" s="76">
        <v>46110</v>
      </c>
      <c r="M20" s="89">
        <v>46119</v>
      </c>
      <c r="N20" s="76">
        <v>46110</v>
      </c>
      <c r="O20" s="86"/>
      <c r="P20" s="86"/>
      <c r="Q20" s="86" t="s">
        <v>958</v>
      </c>
      <c r="R20" s="90"/>
      <c r="S20" s="79"/>
      <c r="T20" s="79"/>
      <c r="U20" s="79"/>
      <c r="V20" s="90"/>
      <c r="W20" s="91"/>
      <c r="X20" s="87"/>
      <c r="Y20" s="92"/>
      <c r="Z20" s="90"/>
      <c r="AA20" s="90"/>
      <c r="AB20" s="79"/>
      <c r="AC20" s="91"/>
      <c r="AD20" s="90"/>
      <c r="AE20" s="86"/>
      <c r="AF20" s="82">
        <f t="shared" si="0"/>
        <v>0</v>
      </c>
      <c r="AG20" s="86"/>
      <c r="AH20" s="93"/>
      <c r="AI20" s="79"/>
      <c r="AJ20" s="86"/>
      <c r="AK20" s="81">
        <f t="shared" si="1"/>
        <v>0</v>
      </c>
      <c r="AL20" s="86"/>
      <c r="AM20" s="86"/>
      <c r="AN20" s="81">
        <f t="shared" si="2"/>
        <v>0</v>
      </c>
      <c r="AO20" s="81">
        <f t="shared" si="3"/>
        <v>0</v>
      </c>
      <c r="AP20" s="86"/>
      <c r="AQ20" s="93"/>
      <c r="AR20" s="94"/>
      <c r="AS20" s="82">
        <f t="shared" si="4"/>
        <v>0</v>
      </c>
      <c r="AT20" s="82">
        <f t="shared" si="5"/>
        <v>0</v>
      </c>
      <c r="AU20" s="86"/>
      <c r="AV20" s="93"/>
      <c r="AW20" s="94"/>
      <c r="AX20" s="95">
        <f t="shared" si="6"/>
        <v>0</v>
      </c>
      <c r="AY20" s="95">
        <f t="shared" si="7"/>
        <v>0</v>
      </c>
      <c r="AZ20" s="95">
        <f t="shared" si="8"/>
        <v>0</v>
      </c>
      <c r="BB20" s="9" t="s">
        <v>120</v>
      </c>
      <c r="BC20" s="96" t="s">
        <v>93</v>
      </c>
    </row>
    <row r="21" spans="1:55" s="96" customFormat="1" ht="15" customHeight="1">
      <c r="A21" s="86">
        <f t="shared" si="9"/>
        <v>19</v>
      </c>
      <c r="B21" s="75" t="s">
        <v>969</v>
      </c>
      <c r="C21" s="9"/>
      <c r="D21" s="76" t="s">
        <v>118</v>
      </c>
      <c r="E21" s="88" t="str">
        <f>_xlfn.IFNA(VLOOKUP($D21,'Route-Details'!$B$2:$X$1048576,'Node Details'!E$1,0),"")</f>
        <v>Airtel</v>
      </c>
      <c r="F21" s="88" t="str">
        <f>_xlfn.IFNA(VLOOKUP($D21,'Route-Details'!$B$2:$X$1048576,'Node Details'!F$1,0),"")</f>
        <v>DARIA</v>
      </c>
      <c r="G21" s="88" t="str">
        <f>_xlfn.IFNA(VLOOKUP($D21,'Route-Details'!$B$2:$X$1048576,'Node Details'!G$1,0),"")</f>
        <v>Chandigarh</v>
      </c>
      <c r="H21" s="88" t="str">
        <f>_xlfn.IFNA(VLOOKUP($D22,'Route-Details'!$B$2:$X$1048576,'Node Details'!H$1,0),"")</f>
        <v>Punjab</v>
      </c>
      <c r="I21" s="88" t="str">
        <f>_xlfn.IFNA(VLOOKUP($D21,'Route-Details'!$B$2:$X$1048576,'Node Details'!I$1,0),"")</f>
        <v>AXZ</v>
      </c>
      <c r="J21" s="88" t="str">
        <f>_xlfn.IFNA(VLOOKUP($D21,'Route-Details'!$B$2:$X$1048576,'Node Details'!J$1,0),"")</f>
        <v>AXZ</v>
      </c>
      <c r="K21" s="76">
        <v>46110</v>
      </c>
      <c r="L21" s="76">
        <v>46110</v>
      </c>
      <c r="M21" s="89">
        <v>46119</v>
      </c>
      <c r="N21" s="76">
        <v>46110</v>
      </c>
      <c r="O21" s="86"/>
      <c r="P21" s="86"/>
      <c r="Q21" s="86" t="s">
        <v>958</v>
      </c>
      <c r="R21" s="90"/>
      <c r="S21" s="87"/>
      <c r="T21" s="87"/>
      <c r="U21" s="87"/>
      <c r="V21" s="90"/>
      <c r="W21" s="91"/>
      <c r="X21" s="87"/>
      <c r="Y21" s="92"/>
      <c r="Z21" s="90"/>
      <c r="AA21" s="90"/>
      <c r="AB21" s="87"/>
      <c r="AC21" s="91"/>
      <c r="AD21" s="90"/>
      <c r="AE21" s="86"/>
      <c r="AF21" s="82">
        <f t="shared" si="0"/>
        <v>0</v>
      </c>
      <c r="AG21" s="86"/>
      <c r="AH21" s="93"/>
      <c r="AI21" s="87"/>
      <c r="AJ21" s="86"/>
      <c r="AK21" s="81">
        <f t="shared" si="1"/>
        <v>0</v>
      </c>
      <c r="AL21" s="86"/>
      <c r="AM21" s="86"/>
      <c r="AN21" s="81">
        <f t="shared" si="2"/>
        <v>0</v>
      </c>
      <c r="AO21" s="81">
        <f t="shared" si="3"/>
        <v>0</v>
      </c>
      <c r="AP21" s="86"/>
      <c r="AQ21" s="93"/>
      <c r="AR21" s="94"/>
      <c r="AS21" s="82">
        <f t="shared" si="4"/>
        <v>0</v>
      </c>
      <c r="AT21" s="82">
        <f t="shared" si="5"/>
        <v>0</v>
      </c>
      <c r="AU21" s="86"/>
      <c r="AV21" s="93"/>
      <c r="AW21" s="94"/>
      <c r="AX21" s="95">
        <f t="shared" si="6"/>
        <v>0</v>
      </c>
      <c r="AY21" s="95">
        <f t="shared" si="7"/>
        <v>0</v>
      </c>
      <c r="AZ21" s="95">
        <f t="shared" si="8"/>
        <v>0</v>
      </c>
      <c r="BB21" s="9" t="s">
        <v>120</v>
      </c>
      <c r="BC21" s="96" t="s">
        <v>93</v>
      </c>
    </row>
    <row r="22" spans="1:55" s="96" customFormat="1" ht="15" customHeight="1">
      <c r="A22" s="86">
        <f t="shared" si="9"/>
        <v>20</v>
      </c>
      <c r="B22" s="75" t="s">
        <v>970</v>
      </c>
      <c r="C22" s="9"/>
      <c r="D22" s="76" t="s">
        <v>118</v>
      </c>
      <c r="E22" s="88" t="str">
        <f>_xlfn.IFNA(VLOOKUP($D22,'Route-Details'!$B$2:$X$1048576,'Node Details'!E$1,0),"")</f>
        <v>Airtel</v>
      </c>
      <c r="F22" s="88" t="str">
        <f>_xlfn.IFNA(VLOOKUP($D22,'Route-Details'!$B$2:$X$1048576,'Node Details'!F$1,0),"")</f>
        <v>DARIA</v>
      </c>
      <c r="G22" s="88" t="str">
        <f>_xlfn.IFNA(VLOOKUP($D22,'Route-Details'!$B$2:$X$1048576,'Node Details'!G$1,0),"")</f>
        <v>Chandigarh</v>
      </c>
      <c r="H22" s="88" t="str">
        <f>_xlfn.IFNA(VLOOKUP($D23,'Route-Details'!$B$2:$X$1048576,'Node Details'!H$1,0),"")</f>
        <v>Punjab</v>
      </c>
      <c r="I22" s="88" t="str">
        <f>_xlfn.IFNA(VLOOKUP($D22,'Route-Details'!$B$2:$X$1048576,'Node Details'!I$1,0),"")</f>
        <v>AXZ</v>
      </c>
      <c r="J22" s="88" t="str">
        <f>_xlfn.IFNA(VLOOKUP($D22,'Route-Details'!$B$2:$X$1048576,'Node Details'!J$1,0),"")</f>
        <v>AXZ</v>
      </c>
      <c r="K22" s="76">
        <v>46110</v>
      </c>
      <c r="L22" s="76">
        <v>46110</v>
      </c>
      <c r="M22" s="89">
        <v>46119</v>
      </c>
      <c r="N22" s="76">
        <v>46110</v>
      </c>
      <c r="O22" s="86"/>
      <c r="P22" s="86"/>
      <c r="Q22" s="86" t="s">
        <v>958</v>
      </c>
      <c r="R22" s="90"/>
      <c r="S22" s="87"/>
      <c r="T22" s="87"/>
      <c r="U22" s="87"/>
      <c r="V22" s="90"/>
      <c r="W22" s="91"/>
      <c r="X22" s="87"/>
      <c r="Y22" s="92"/>
      <c r="Z22" s="90"/>
      <c r="AA22" s="90"/>
      <c r="AB22" s="87"/>
      <c r="AC22" s="91"/>
      <c r="AD22" s="90"/>
      <c r="AE22" s="86"/>
      <c r="AF22" s="82">
        <f t="shared" si="0"/>
        <v>0</v>
      </c>
      <c r="AG22" s="86"/>
      <c r="AH22" s="93"/>
      <c r="AI22" s="87"/>
      <c r="AJ22" s="86"/>
      <c r="AK22" s="81">
        <f t="shared" si="1"/>
        <v>0</v>
      </c>
      <c r="AL22" s="86"/>
      <c r="AM22" s="86"/>
      <c r="AN22" s="81">
        <f t="shared" si="2"/>
        <v>0</v>
      </c>
      <c r="AO22" s="81">
        <f t="shared" si="3"/>
        <v>0</v>
      </c>
      <c r="AP22" s="86"/>
      <c r="AQ22" s="93"/>
      <c r="AR22" s="94"/>
      <c r="AS22" s="82">
        <f t="shared" si="4"/>
        <v>0</v>
      </c>
      <c r="AT22" s="82">
        <f t="shared" si="5"/>
        <v>0</v>
      </c>
      <c r="AU22" s="86"/>
      <c r="AV22" s="93"/>
      <c r="AW22" s="94"/>
      <c r="AX22" s="95">
        <f t="shared" si="6"/>
        <v>0</v>
      </c>
      <c r="AY22" s="95">
        <f t="shared" si="7"/>
        <v>0</v>
      </c>
      <c r="AZ22" s="95">
        <f t="shared" si="8"/>
        <v>0</v>
      </c>
      <c r="BB22" s="9" t="s">
        <v>120</v>
      </c>
      <c r="BC22" s="96" t="s">
        <v>93</v>
      </c>
    </row>
    <row r="23" spans="1:55" s="96" customFormat="1" ht="15" customHeight="1">
      <c r="A23" s="86">
        <f t="shared" si="9"/>
        <v>21</v>
      </c>
      <c r="B23" s="75" t="s">
        <v>971</v>
      </c>
      <c r="C23" s="9"/>
      <c r="D23" s="76" t="s">
        <v>118</v>
      </c>
      <c r="E23" s="88" t="str">
        <f>_xlfn.IFNA(VLOOKUP($D23,'Route-Details'!$B$2:$X$1048576,'Node Details'!E$1,0),"")</f>
        <v>Airtel</v>
      </c>
      <c r="F23" s="88" t="str">
        <f>_xlfn.IFNA(VLOOKUP($D23,'Route-Details'!$B$2:$X$1048576,'Node Details'!F$1,0),"")</f>
        <v>DARIA</v>
      </c>
      <c r="G23" s="88" t="str">
        <f>_xlfn.IFNA(VLOOKUP($D23,'Route-Details'!$B$2:$X$1048576,'Node Details'!G$1,0),"")</f>
        <v>Chandigarh</v>
      </c>
      <c r="H23" s="88" t="str">
        <f>_xlfn.IFNA(VLOOKUP($D24,'Route-Details'!$B$2:$X$1048576,'Node Details'!H$1,0),"")</f>
        <v>Punjab</v>
      </c>
      <c r="I23" s="88" t="str">
        <f>_xlfn.IFNA(VLOOKUP($D23,'Route-Details'!$B$2:$X$1048576,'Node Details'!I$1,0),"")</f>
        <v>AXZ</v>
      </c>
      <c r="J23" s="88" t="str">
        <f>_xlfn.IFNA(VLOOKUP($D23,'Route-Details'!$B$2:$X$1048576,'Node Details'!J$1,0),"")</f>
        <v>AXZ</v>
      </c>
      <c r="K23" s="76">
        <v>46110</v>
      </c>
      <c r="L23" s="76">
        <v>46110</v>
      </c>
      <c r="M23" s="89">
        <v>46119</v>
      </c>
      <c r="N23" s="76">
        <v>46110</v>
      </c>
      <c r="O23" s="86"/>
      <c r="P23" s="86"/>
      <c r="Q23" s="86" t="s">
        <v>958</v>
      </c>
      <c r="R23" s="90"/>
      <c r="S23" s="87"/>
      <c r="T23" s="87"/>
      <c r="U23" s="87"/>
      <c r="V23" s="90"/>
      <c r="W23" s="91"/>
      <c r="X23" s="87"/>
      <c r="Y23" s="92"/>
      <c r="Z23" s="90"/>
      <c r="AA23" s="90"/>
      <c r="AB23" s="87"/>
      <c r="AC23" s="91"/>
      <c r="AD23" s="90"/>
      <c r="AE23" s="86"/>
      <c r="AF23" s="82">
        <f t="shared" si="0"/>
        <v>0</v>
      </c>
      <c r="AG23" s="86"/>
      <c r="AH23" s="93"/>
      <c r="AI23" s="87"/>
      <c r="AJ23" s="86"/>
      <c r="AK23" s="81">
        <f t="shared" si="1"/>
        <v>0</v>
      </c>
      <c r="AL23" s="86"/>
      <c r="AM23" s="86"/>
      <c r="AN23" s="81">
        <f t="shared" si="2"/>
        <v>0</v>
      </c>
      <c r="AO23" s="81">
        <f t="shared" si="3"/>
        <v>0</v>
      </c>
      <c r="AP23" s="86"/>
      <c r="AQ23" s="93"/>
      <c r="AR23" s="94"/>
      <c r="AS23" s="82">
        <f t="shared" si="4"/>
        <v>0</v>
      </c>
      <c r="AT23" s="82">
        <f t="shared" si="5"/>
        <v>0</v>
      </c>
      <c r="AU23" s="86"/>
      <c r="AV23" s="93"/>
      <c r="AW23" s="94"/>
      <c r="AX23" s="95">
        <f t="shared" si="6"/>
        <v>0</v>
      </c>
      <c r="AY23" s="95">
        <f t="shared" si="7"/>
        <v>0</v>
      </c>
      <c r="AZ23" s="95">
        <f t="shared" si="8"/>
        <v>0</v>
      </c>
      <c r="BB23" s="9" t="s">
        <v>120</v>
      </c>
      <c r="BC23" s="96" t="s">
        <v>93</v>
      </c>
    </row>
    <row r="24" spans="1:55" s="96" customFormat="1" ht="15" customHeight="1">
      <c r="A24" s="86">
        <f t="shared" si="9"/>
        <v>22</v>
      </c>
      <c r="B24" s="75" t="s">
        <v>972</v>
      </c>
      <c r="C24" s="9"/>
      <c r="D24" s="76" t="s">
        <v>118</v>
      </c>
      <c r="E24" s="88" t="str">
        <f>_xlfn.IFNA(VLOOKUP($D24,'Route-Details'!$B$2:$X$1048576,'Node Details'!E$1,0),"")</f>
        <v>Airtel</v>
      </c>
      <c r="F24" s="88" t="str">
        <f>_xlfn.IFNA(VLOOKUP($D24,'Route-Details'!$B$2:$X$1048576,'Node Details'!F$1,0),"")</f>
        <v>DARIA</v>
      </c>
      <c r="G24" s="88" t="str">
        <f>_xlfn.IFNA(VLOOKUP($D24,'Route-Details'!$B$2:$X$1048576,'Node Details'!G$1,0),"")</f>
        <v>Chandigarh</v>
      </c>
      <c r="H24" s="88" t="str">
        <f>_xlfn.IFNA(VLOOKUP($D25,'Route-Details'!$B$2:$X$1048576,'Node Details'!H$1,0),"")</f>
        <v>Punjab</v>
      </c>
      <c r="I24" s="88" t="str">
        <f>_xlfn.IFNA(VLOOKUP($D24,'Route-Details'!$B$2:$X$1048576,'Node Details'!I$1,0),"")</f>
        <v>AXZ</v>
      </c>
      <c r="J24" s="88" t="str">
        <f>_xlfn.IFNA(VLOOKUP($D24,'Route-Details'!$B$2:$X$1048576,'Node Details'!J$1,0),"")</f>
        <v>AXZ</v>
      </c>
      <c r="K24" s="76">
        <v>46110</v>
      </c>
      <c r="L24" s="76">
        <v>46110</v>
      </c>
      <c r="M24" s="89">
        <v>46119</v>
      </c>
      <c r="N24" s="76">
        <v>46110</v>
      </c>
      <c r="O24" s="86"/>
      <c r="P24" s="86"/>
      <c r="Q24" s="86" t="s">
        <v>958</v>
      </c>
      <c r="R24" s="90"/>
      <c r="S24" s="87"/>
      <c r="T24" s="87"/>
      <c r="U24" s="87"/>
      <c r="V24" s="90"/>
      <c r="W24" s="91"/>
      <c r="X24" s="87"/>
      <c r="Y24" s="92"/>
      <c r="Z24" s="90"/>
      <c r="AA24" s="90"/>
      <c r="AB24" s="87"/>
      <c r="AC24" s="91"/>
      <c r="AD24" s="90"/>
      <c r="AE24" s="86"/>
      <c r="AF24" s="82">
        <f t="shared" si="0"/>
        <v>0</v>
      </c>
      <c r="AG24" s="86"/>
      <c r="AH24" s="93"/>
      <c r="AI24" s="87"/>
      <c r="AJ24" s="86"/>
      <c r="AK24" s="81">
        <f t="shared" si="1"/>
        <v>0</v>
      </c>
      <c r="AL24" s="86"/>
      <c r="AM24" s="86"/>
      <c r="AN24" s="81">
        <f t="shared" si="2"/>
        <v>0</v>
      </c>
      <c r="AO24" s="81">
        <f t="shared" si="3"/>
        <v>0</v>
      </c>
      <c r="AP24" s="86"/>
      <c r="AQ24" s="93"/>
      <c r="AR24" s="94"/>
      <c r="AS24" s="82">
        <f t="shared" si="4"/>
        <v>0</v>
      </c>
      <c r="AT24" s="82">
        <f t="shared" si="5"/>
        <v>0</v>
      </c>
      <c r="AU24" s="86"/>
      <c r="AV24" s="93"/>
      <c r="AW24" s="94"/>
      <c r="AX24" s="95">
        <f t="shared" si="6"/>
        <v>0</v>
      </c>
      <c r="AY24" s="95">
        <f t="shared" si="7"/>
        <v>0</v>
      </c>
      <c r="AZ24" s="95">
        <f t="shared" si="8"/>
        <v>0</v>
      </c>
      <c r="BB24" s="9" t="s">
        <v>120</v>
      </c>
      <c r="BC24" s="96" t="s">
        <v>93</v>
      </c>
    </row>
    <row r="25" spans="1:55" s="96" customFormat="1" ht="15" customHeight="1">
      <c r="A25" s="86">
        <f t="shared" si="9"/>
        <v>23</v>
      </c>
      <c r="B25" s="75" t="s">
        <v>119</v>
      </c>
      <c r="C25" s="9"/>
      <c r="D25" s="76" t="s">
        <v>118</v>
      </c>
      <c r="E25" s="88" t="str">
        <f>_xlfn.IFNA(VLOOKUP($D25,'Route-Details'!$B$2:$X$1048576,'Node Details'!E$1,0),"")</f>
        <v>Airtel</v>
      </c>
      <c r="F25" s="88" t="str">
        <f>_xlfn.IFNA(VLOOKUP($D25,'Route-Details'!$B$2:$X$1048576,'Node Details'!F$1,0),"")</f>
        <v>DARIA</v>
      </c>
      <c r="G25" s="88" t="str">
        <f>_xlfn.IFNA(VLOOKUP($D25,'Route-Details'!$B$2:$X$1048576,'Node Details'!G$1,0),"")</f>
        <v>Chandigarh</v>
      </c>
      <c r="H25" s="88" t="str">
        <f>_xlfn.IFNA(VLOOKUP($D26,'Route-Details'!$B$2:$X$1048576,'Node Details'!H$1,0),"")</f>
        <v>Punjab</v>
      </c>
      <c r="I25" s="88" t="str">
        <f>_xlfn.IFNA(VLOOKUP($D25,'Route-Details'!$B$2:$X$1048576,'Node Details'!I$1,0),"")</f>
        <v>AXZ</v>
      </c>
      <c r="J25" s="88" t="str">
        <f>_xlfn.IFNA(VLOOKUP($D25,'Route-Details'!$B$2:$X$1048576,'Node Details'!J$1,0),"")</f>
        <v>AXZ</v>
      </c>
      <c r="K25" s="76">
        <v>46110</v>
      </c>
      <c r="L25" s="76">
        <v>46110</v>
      </c>
      <c r="M25" s="89">
        <v>46119</v>
      </c>
      <c r="N25" s="76">
        <v>46110</v>
      </c>
      <c r="O25" s="86"/>
      <c r="P25" s="86"/>
      <c r="Q25" s="86" t="s">
        <v>958</v>
      </c>
      <c r="R25" s="90"/>
      <c r="S25" s="87"/>
      <c r="T25" s="87"/>
      <c r="U25" s="87"/>
      <c r="V25" s="90"/>
      <c r="W25" s="91"/>
      <c r="X25" s="87"/>
      <c r="Y25" s="92"/>
      <c r="Z25" s="90"/>
      <c r="AA25" s="90"/>
      <c r="AB25" s="87"/>
      <c r="AC25" s="91"/>
      <c r="AD25" s="90"/>
      <c r="AE25" s="86"/>
      <c r="AF25" s="82">
        <f t="shared" si="0"/>
        <v>0</v>
      </c>
      <c r="AG25" s="86"/>
      <c r="AH25" s="93"/>
      <c r="AI25" s="87"/>
      <c r="AJ25" s="86"/>
      <c r="AK25" s="81">
        <f t="shared" si="1"/>
        <v>0</v>
      </c>
      <c r="AL25" s="86"/>
      <c r="AM25" s="86"/>
      <c r="AN25" s="81">
        <f t="shared" si="2"/>
        <v>0</v>
      </c>
      <c r="AO25" s="81">
        <f t="shared" si="3"/>
        <v>0</v>
      </c>
      <c r="AP25" s="86"/>
      <c r="AQ25" s="93"/>
      <c r="AR25" s="94"/>
      <c r="AS25" s="82">
        <f t="shared" si="4"/>
        <v>0</v>
      </c>
      <c r="AT25" s="82">
        <f t="shared" si="5"/>
        <v>0</v>
      </c>
      <c r="AU25" s="86"/>
      <c r="AV25" s="93"/>
      <c r="AW25" s="94"/>
      <c r="AX25" s="95">
        <f t="shared" si="6"/>
        <v>0</v>
      </c>
      <c r="AY25" s="95">
        <f t="shared" si="7"/>
        <v>0</v>
      </c>
      <c r="AZ25" s="95">
        <f t="shared" si="8"/>
        <v>0</v>
      </c>
      <c r="BB25" s="9" t="s">
        <v>120</v>
      </c>
      <c r="BC25" s="96" t="s">
        <v>93</v>
      </c>
    </row>
    <row r="26" spans="1:55" s="96" customFormat="1" ht="15" customHeight="1">
      <c r="A26" s="86">
        <f t="shared" si="9"/>
        <v>24</v>
      </c>
      <c r="B26" s="75" t="s">
        <v>95</v>
      </c>
      <c r="C26" s="9"/>
      <c r="D26" s="76" t="s">
        <v>94</v>
      </c>
      <c r="E26" s="88" t="str">
        <f>_xlfn.IFNA(VLOOKUP($D26,'Route-Details'!$B$2:$X$1048576,'Node Details'!E$1,0),"")</f>
        <v>Airtel</v>
      </c>
      <c r="F26" s="88" t="str">
        <f>_xlfn.IFNA(VLOOKUP($D26,'Route-Details'!$B$2:$X$1048576,'Node Details'!F$1,0),"")</f>
        <v>DARIA</v>
      </c>
      <c r="G26" s="88" t="str">
        <f>_xlfn.IFNA(VLOOKUP($D26,'Route-Details'!$B$2:$X$1048576,'Node Details'!G$1,0),"")</f>
        <v>Chandigarh</v>
      </c>
      <c r="H26" s="88" t="str">
        <f>_xlfn.IFNA(VLOOKUP($D27,'Route-Details'!$B$2:$X$1048576,'Node Details'!H$1,0),"")</f>
        <v>Punjab</v>
      </c>
      <c r="I26" s="88" t="str">
        <f>_xlfn.IFNA(VLOOKUP($D26,'Route-Details'!$B$2:$X$1048576,'Node Details'!I$1,0),"")</f>
        <v>AXZ</v>
      </c>
      <c r="J26" s="88" t="str">
        <f>_xlfn.IFNA(VLOOKUP($D26,'Route-Details'!$B$2:$X$1048576,'Node Details'!J$1,0),"")</f>
        <v>AXZ</v>
      </c>
      <c r="K26" s="76">
        <v>46110</v>
      </c>
      <c r="L26" s="76">
        <v>46110</v>
      </c>
      <c r="M26" s="89">
        <v>46119</v>
      </c>
      <c r="N26" s="76">
        <v>46110</v>
      </c>
      <c r="O26" s="86"/>
      <c r="P26" s="86"/>
      <c r="Q26" s="86" t="s">
        <v>958</v>
      </c>
      <c r="R26" s="90"/>
      <c r="S26" s="87"/>
      <c r="T26" s="87"/>
      <c r="U26" s="87"/>
      <c r="V26" s="90"/>
      <c r="W26" s="91"/>
      <c r="X26" s="87"/>
      <c r="Y26" s="92"/>
      <c r="Z26" s="90"/>
      <c r="AA26" s="90"/>
      <c r="AB26" s="87"/>
      <c r="AC26" s="91"/>
      <c r="AD26" s="90"/>
      <c r="AE26" s="86"/>
      <c r="AF26" s="82">
        <f t="shared" si="0"/>
        <v>0</v>
      </c>
      <c r="AG26" s="86"/>
      <c r="AH26" s="93"/>
      <c r="AI26" s="87"/>
      <c r="AJ26" s="86"/>
      <c r="AK26" s="81">
        <f t="shared" si="1"/>
        <v>0</v>
      </c>
      <c r="AL26" s="86"/>
      <c r="AM26" s="86"/>
      <c r="AN26" s="81">
        <f t="shared" si="2"/>
        <v>0</v>
      </c>
      <c r="AO26" s="81">
        <f t="shared" si="3"/>
        <v>0</v>
      </c>
      <c r="AP26" s="86"/>
      <c r="AQ26" s="93"/>
      <c r="AR26" s="94"/>
      <c r="AS26" s="82">
        <f t="shared" si="4"/>
        <v>0</v>
      </c>
      <c r="AT26" s="82">
        <f t="shared" si="5"/>
        <v>0</v>
      </c>
      <c r="AU26" s="86"/>
      <c r="AV26" s="93"/>
      <c r="AW26" s="94"/>
      <c r="AX26" s="95">
        <f t="shared" si="6"/>
        <v>0</v>
      </c>
      <c r="AY26" s="95">
        <f t="shared" si="7"/>
        <v>0</v>
      </c>
      <c r="AZ26" s="95">
        <f t="shared" si="8"/>
        <v>0</v>
      </c>
      <c r="BB26" s="9" t="s">
        <v>96</v>
      </c>
      <c r="BC26" s="96" t="s">
        <v>93</v>
      </c>
    </row>
    <row r="27" spans="1:55" s="96" customFormat="1" ht="15" customHeight="1">
      <c r="A27" s="86">
        <f t="shared" si="9"/>
        <v>25</v>
      </c>
      <c r="B27" s="75" t="s">
        <v>122</v>
      </c>
      <c r="C27" s="9"/>
      <c r="D27" s="76" t="s">
        <v>121</v>
      </c>
      <c r="E27" s="88" t="str">
        <f>_xlfn.IFNA(VLOOKUP($D27,'Route-Details'!$B$2:$X$1048576,'Node Details'!E$1,0),"")</f>
        <v>Airtel</v>
      </c>
      <c r="F27" s="88" t="str">
        <f>_xlfn.IFNA(VLOOKUP($D27,'Route-Details'!$B$2:$X$1048576,'Node Details'!F$1,0),"")</f>
        <v>DARIA</v>
      </c>
      <c r="G27" s="88" t="str">
        <f>_xlfn.IFNA(VLOOKUP($D27,'Route-Details'!$B$2:$X$1048576,'Node Details'!G$1,0),"")</f>
        <v>Chandigarh</v>
      </c>
      <c r="H27" s="88" t="str">
        <f>_xlfn.IFNA(VLOOKUP($D28,'Route-Details'!$B$2:$X$1048576,'Node Details'!H$1,0),"")</f>
        <v>Punjab</v>
      </c>
      <c r="I27" s="88" t="str">
        <f>_xlfn.IFNA(VLOOKUP($D27,'Route-Details'!$B$2:$X$1048576,'Node Details'!I$1,0),"")</f>
        <v>AXZ</v>
      </c>
      <c r="J27" s="88" t="str">
        <f>_xlfn.IFNA(VLOOKUP($D27,'Route-Details'!$B$2:$X$1048576,'Node Details'!J$1,0),"")</f>
        <v>AXZ</v>
      </c>
      <c r="K27" s="76">
        <v>46110</v>
      </c>
      <c r="L27" s="76">
        <v>46110</v>
      </c>
      <c r="M27" s="89">
        <v>46119</v>
      </c>
      <c r="N27" s="76">
        <v>46110</v>
      </c>
      <c r="O27" s="86"/>
      <c r="P27" s="86"/>
      <c r="Q27" s="86" t="s">
        <v>958</v>
      </c>
      <c r="R27" s="90"/>
      <c r="S27" s="87"/>
      <c r="T27" s="87"/>
      <c r="U27" s="87"/>
      <c r="V27" s="90"/>
      <c r="W27" s="91"/>
      <c r="X27" s="87"/>
      <c r="Y27" s="92"/>
      <c r="Z27" s="90"/>
      <c r="AA27" s="90"/>
      <c r="AB27" s="87"/>
      <c r="AC27" s="91"/>
      <c r="AD27" s="90"/>
      <c r="AE27" s="86"/>
      <c r="AF27" s="82">
        <f t="shared" si="0"/>
        <v>0</v>
      </c>
      <c r="AG27" s="86"/>
      <c r="AH27" s="93"/>
      <c r="AI27" s="87"/>
      <c r="AJ27" s="86"/>
      <c r="AK27" s="81">
        <f t="shared" si="1"/>
        <v>0</v>
      </c>
      <c r="AL27" s="86"/>
      <c r="AM27" s="86"/>
      <c r="AN27" s="81">
        <f t="shared" si="2"/>
        <v>0</v>
      </c>
      <c r="AO27" s="81">
        <f t="shared" si="3"/>
        <v>0</v>
      </c>
      <c r="AP27" s="86"/>
      <c r="AQ27" s="93"/>
      <c r="AR27" s="94"/>
      <c r="AS27" s="82">
        <f t="shared" si="4"/>
        <v>0</v>
      </c>
      <c r="AT27" s="82">
        <f t="shared" si="5"/>
        <v>0</v>
      </c>
      <c r="AU27" s="86"/>
      <c r="AV27" s="93"/>
      <c r="AW27" s="94"/>
      <c r="AX27" s="95">
        <f t="shared" si="6"/>
        <v>0</v>
      </c>
      <c r="AY27" s="95">
        <f t="shared" si="7"/>
        <v>0</v>
      </c>
      <c r="AZ27" s="95">
        <f t="shared" si="8"/>
        <v>0</v>
      </c>
      <c r="BB27" s="9" t="s">
        <v>123</v>
      </c>
      <c r="BC27" s="96" t="s">
        <v>93</v>
      </c>
    </row>
    <row r="28" spans="1:55" s="96" customFormat="1" ht="15" customHeight="1">
      <c r="A28" s="86">
        <f t="shared" si="9"/>
        <v>26</v>
      </c>
      <c r="B28" s="75" t="s">
        <v>125</v>
      </c>
      <c r="C28" s="9"/>
      <c r="D28" s="76" t="s">
        <v>124</v>
      </c>
      <c r="E28" s="88" t="str">
        <f>_xlfn.IFNA(VLOOKUP($D28,'Route-Details'!$B$2:$X$1048576,'Node Details'!E$1,0),"")</f>
        <v>Airtel</v>
      </c>
      <c r="F28" s="88" t="str">
        <f>_xlfn.IFNA(VLOOKUP($D28,'Route-Details'!$B$2:$X$1048576,'Node Details'!F$1,0),"")</f>
        <v>DARIA</v>
      </c>
      <c r="G28" s="88" t="str">
        <f>_xlfn.IFNA(VLOOKUP($D28,'Route-Details'!$B$2:$X$1048576,'Node Details'!G$1,0),"")</f>
        <v>Chandigarh</v>
      </c>
      <c r="H28" s="88" t="str">
        <f>_xlfn.IFNA(VLOOKUP($D29,'Route-Details'!$B$2:$X$1048576,'Node Details'!H$1,0),"")</f>
        <v>Punjab</v>
      </c>
      <c r="I28" s="88" t="str">
        <f>_xlfn.IFNA(VLOOKUP($D28,'Route-Details'!$B$2:$X$1048576,'Node Details'!I$1,0),"")</f>
        <v>AXZ</v>
      </c>
      <c r="J28" s="88" t="str">
        <f>_xlfn.IFNA(VLOOKUP($D28,'Route-Details'!$B$2:$X$1048576,'Node Details'!J$1,0),"")</f>
        <v>AXZ</v>
      </c>
      <c r="K28" s="76">
        <v>46110</v>
      </c>
      <c r="L28" s="76">
        <v>46110</v>
      </c>
      <c r="M28" s="89">
        <v>46119</v>
      </c>
      <c r="N28" s="76">
        <v>46110</v>
      </c>
      <c r="O28" s="86"/>
      <c r="P28" s="86"/>
      <c r="Q28" s="86" t="s">
        <v>958</v>
      </c>
      <c r="R28" s="90"/>
      <c r="S28" s="87"/>
      <c r="T28" s="87"/>
      <c r="U28" s="87"/>
      <c r="V28" s="90"/>
      <c r="W28" s="91"/>
      <c r="X28" s="87"/>
      <c r="Y28" s="92"/>
      <c r="Z28" s="90"/>
      <c r="AA28" s="90"/>
      <c r="AB28" s="87"/>
      <c r="AC28" s="91"/>
      <c r="AD28" s="90"/>
      <c r="AE28" s="86"/>
      <c r="AF28" s="82">
        <f t="shared" si="0"/>
        <v>0</v>
      </c>
      <c r="AG28" s="86"/>
      <c r="AH28" s="93"/>
      <c r="AI28" s="87"/>
      <c r="AJ28" s="86"/>
      <c r="AK28" s="81">
        <f t="shared" si="1"/>
        <v>0</v>
      </c>
      <c r="AL28" s="86"/>
      <c r="AM28" s="86"/>
      <c r="AN28" s="81">
        <f t="shared" si="2"/>
        <v>0</v>
      </c>
      <c r="AO28" s="81">
        <f t="shared" si="3"/>
        <v>0</v>
      </c>
      <c r="AP28" s="86"/>
      <c r="AQ28" s="93"/>
      <c r="AR28" s="94"/>
      <c r="AS28" s="82">
        <f t="shared" si="4"/>
        <v>0</v>
      </c>
      <c r="AT28" s="82">
        <f t="shared" si="5"/>
        <v>0</v>
      </c>
      <c r="AU28" s="86"/>
      <c r="AV28" s="93"/>
      <c r="AW28" s="94"/>
      <c r="AX28" s="95">
        <f t="shared" si="6"/>
        <v>0</v>
      </c>
      <c r="AY28" s="95">
        <f t="shared" si="7"/>
        <v>0</v>
      </c>
      <c r="AZ28" s="95">
        <f t="shared" si="8"/>
        <v>0</v>
      </c>
      <c r="BB28" s="9" t="s">
        <v>126</v>
      </c>
      <c r="BC28" s="96" t="s">
        <v>93</v>
      </c>
    </row>
    <row r="29" spans="1:55" s="24" customFormat="1" ht="15" customHeight="1">
      <c r="A29" s="86">
        <f t="shared" si="9"/>
        <v>27</v>
      </c>
      <c r="B29" s="75" t="s">
        <v>973</v>
      </c>
      <c r="C29" s="9"/>
      <c r="D29" s="76" t="s">
        <v>127</v>
      </c>
      <c r="E29" s="88" t="str">
        <f>_xlfn.IFNA(VLOOKUP($D29,'Route-Details'!$B$2:$X$1048576,'Node Details'!E$1,0),"")</f>
        <v>Airtel</v>
      </c>
      <c r="F29" s="88" t="str">
        <f>_xlfn.IFNA(VLOOKUP($D29,'Route-Details'!$B$2:$X$1048576,'Node Details'!F$1,0),"")</f>
        <v>DARIA</v>
      </c>
      <c r="G29" s="88" t="str">
        <f>_xlfn.IFNA(VLOOKUP($D29,'Route-Details'!$B$2:$X$1048576,'Node Details'!G$1,0),"")</f>
        <v>Chandigarh</v>
      </c>
      <c r="H29" s="88" t="str">
        <f>_xlfn.IFNA(VLOOKUP($D30,'Route-Details'!$B$2:$X$1048576,'Node Details'!H$1,0),"")</f>
        <v>Punjab</v>
      </c>
      <c r="I29" s="88" t="str">
        <f>_xlfn.IFNA(VLOOKUP($D29,'Route-Details'!$B$2:$X$1048576,'Node Details'!I$1,0),"")</f>
        <v>AXZ</v>
      </c>
      <c r="J29" s="88" t="str">
        <f>_xlfn.IFNA(VLOOKUP($D29,'Route-Details'!$B$2:$X$1048576,'Node Details'!J$1,0),"")</f>
        <v>AXZ</v>
      </c>
      <c r="K29" s="76">
        <v>46110</v>
      </c>
      <c r="L29" s="76">
        <v>46110</v>
      </c>
      <c r="M29" s="89">
        <v>46119</v>
      </c>
      <c r="N29" s="76">
        <v>46110</v>
      </c>
      <c r="Q29" s="86" t="s">
        <v>958</v>
      </c>
      <c r="R29" s="90"/>
      <c r="S29" s="87"/>
      <c r="T29" s="87"/>
      <c r="U29" s="87"/>
      <c r="V29" s="93"/>
      <c r="W29" s="91"/>
      <c r="X29" s="87"/>
      <c r="Y29" s="92"/>
      <c r="Z29" s="90"/>
      <c r="AA29" s="93"/>
      <c r="AB29" s="87"/>
      <c r="AC29" s="91"/>
      <c r="AD29" s="90"/>
      <c r="AE29" s="86"/>
      <c r="AF29" s="82">
        <f t="shared" si="0"/>
        <v>0</v>
      </c>
      <c r="AH29" s="93"/>
      <c r="AI29" s="87"/>
      <c r="AJ29" s="86"/>
      <c r="AK29" s="81">
        <f t="shared" si="1"/>
        <v>0</v>
      </c>
      <c r="AN29" s="81">
        <f t="shared" si="2"/>
        <v>0</v>
      </c>
      <c r="AO29" s="81">
        <f t="shared" si="3"/>
        <v>0</v>
      </c>
      <c r="AQ29" s="93"/>
      <c r="AR29" s="94"/>
      <c r="AS29" s="82">
        <f t="shared" si="4"/>
        <v>0</v>
      </c>
      <c r="AT29" s="82">
        <f t="shared" si="5"/>
        <v>0</v>
      </c>
      <c r="AV29" s="93"/>
      <c r="AW29" s="94"/>
      <c r="AX29" s="95">
        <f t="shared" si="6"/>
        <v>0</v>
      </c>
      <c r="AY29" s="95">
        <f t="shared" si="7"/>
        <v>0</v>
      </c>
      <c r="AZ29" s="95">
        <f t="shared" si="8"/>
        <v>0</v>
      </c>
      <c r="BB29" s="9" t="s">
        <v>129</v>
      </c>
      <c r="BC29" s="96" t="s">
        <v>93</v>
      </c>
    </row>
    <row r="30" spans="1:55" s="24" customFormat="1" ht="15" customHeight="1">
      <c r="A30" s="86">
        <f t="shared" si="9"/>
        <v>28</v>
      </c>
      <c r="B30" s="75" t="s">
        <v>128</v>
      </c>
      <c r="C30" s="9"/>
      <c r="D30" s="76" t="s">
        <v>127</v>
      </c>
      <c r="E30" s="88" t="str">
        <f>_xlfn.IFNA(VLOOKUP($D30,'Route-Details'!$B$2:$X$1048576,'Node Details'!E$1,0),"")</f>
        <v>Airtel</v>
      </c>
      <c r="F30" s="88" t="str">
        <f>_xlfn.IFNA(VLOOKUP($D30,'Route-Details'!$B$2:$X$1048576,'Node Details'!F$1,0),"")</f>
        <v>DARIA</v>
      </c>
      <c r="G30" s="88" t="str">
        <f>_xlfn.IFNA(VLOOKUP($D30,'Route-Details'!$B$2:$X$1048576,'Node Details'!G$1,0),"")</f>
        <v>Chandigarh</v>
      </c>
      <c r="H30" s="88" t="str">
        <f>_xlfn.IFNA(VLOOKUP($D31,'Route-Details'!$B$2:$X$1048576,'Node Details'!H$1,0),"")</f>
        <v>Punjab</v>
      </c>
      <c r="I30" s="88" t="str">
        <f>_xlfn.IFNA(VLOOKUP($D30,'Route-Details'!$B$2:$X$1048576,'Node Details'!I$1,0),"")</f>
        <v>AXZ</v>
      </c>
      <c r="J30" s="88" t="str">
        <f>_xlfn.IFNA(VLOOKUP($D30,'Route-Details'!$B$2:$X$1048576,'Node Details'!J$1,0),"")</f>
        <v>AXZ</v>
      </c>
      <c r="K30" s="76">
        <v>46110</v>
      </c>
      <c r="L30" s="76">
        <v>46110</v>
      </c>
      <c r="M30" s="89">
        <v>46119</v>
      </c>
      <c r="N30" s="76">
        <v>46110</v>
      </c>
      <c r="Q30" s="86" t="s">
        <v>958</v>
      </c>
      <c r="R30" s="90"/>
      <c r="S30" s="87"/>
      <c r="T30" s="87"/>
      <c r="U30" s="87"/>
      <c r="V30" s="93"/>
      <c r="W30" s="91"/>
      <c r="X30" s="87"/>
      <c r="Y30" s="92"/>
      <c r="Z30" s="90"/>
      <c r="AA30" s="93"/>
      <c r="AB30" s="87"/>
      <c r="AC30" s="91"/>
      <c r="AD30" s="90"/>
      <c r="AE30" s="86"/>
      <c r="AF30" s="82">
        <f t="shared" si="0"/>
        <v>0</v>
      </c>
      <c r="AH30" s="93"/>
      <c r="AI30" s="87"/>
      <c r="AJ30" s="86"/>
      <c r="AK30" s="81">
        <f t="shared" si="1"/>
        <v>0</v>
      </c>
      <c r="AN30" s="81">
        <f t="shared" si="2"/>
        <v>0</v>
      </c>
      <c r="AO30" s="81">
        <f t="shared" si="3"/>
        <v>0</v>
      </c>
      <c r="AQ30" s="93"/>
      <c r="AR30" s="94"/>
      <c r="AS30" s="82">
        <f t="shared" si="4"/>
        <v>0</v>
      </c>
      <c r="AT30" s="82">
        <f t="shared" si="5"/>
        <v>0</v>
      </c>
      <c r="AV30" s="93"/>
      <c r="AW30" s="94"/>
      <c r="AX30" s="95">
        <f t="shared" si="6"/>
        <v>0</v>
      </c>
      <c r="AY30" s="95">
        <f t="shared" si="7"/>
        <v>0</v>
      </c>
      <c r="AZ30" s="95">
        <f t="shared" si="8"/>
        <v>0</v>
      </c>
      <c r="BB30" s="9" t="s">
        <v>129</v>
      </c>
      <c r="BC30" s="96" t="s">
        <v>93</v>
      </c>
    </row>
    <row r="31" spans="1:55" s="24" customFormat="1" ht="15" customHeight="1">
      <c r="A31" s="86">
        <f t="shared" si="9"/>
        <v>29</v>
      </c>
      <c r="B31" s="75" t="s">
        <v>974</v>
      </c>
      <c r="C31" s="9"/>
      <c r="D31" s="76" t="s">
        <v>130</v>
      </c>
      <c r="E31" s="88" t="str">
        <f>_xlfn.IFNA(VLOOKUP($D31,'Route-Details'!$B$2:$X$1048576,'Node Details'!E$1,0),"")</f>
        <v>Airtel</v>
      </c>
      <c r="F31" s="88" t="str">
        <f>_xlfn.IFNA(VLOOKUP($D31,'Route-Details'!$B$2:$X$1048576,'Node Details'!F$1,0),"")</f>
        <v>DARIA</v>
      </c>
      <c r="G31" s="88" t="str">
        <f>_xlfn.IFNA(VLOOKUP($D31,'Route-Details'!$B$2:$X$1048576,'Node Details'!G$1,0),"")</f>
        <v>Chandigarh</v>
      </c>
      <c r="H31" s="88" t="str">
        <f>_xlfn.IFNA(VLOOKUP($D32,'Route-Details'!$B$2:$X$1048576,'Node Details'!H$1,0),"")</f>
        <v>Punjab</v>
      </c>
      <c r="I31" s="88" t="str">
        <f>_xlfn.IFNA(VLOOKUP($D31,'Route-Details'!$B$2:$X$1048576,'Node Details'!I$1,0),"")</f>
        <v>AXZ</v>
      </c>
      <c r="J31" s="88" t="str">
        <f>_xlfn.IFNA(VLOOKUP($D31,'Route-Details'!$B$2:$X$1048576,'Node Details'!J$1,0),"")</f>
        <v>AXZ</v>
      </c>
      <c r="K31" s="76">
        <v>46110</v>
      </c>
      <c r="L31" s="76">
        <v>46110</v>
      </c>
      <c r="M31" s="89">
        <v>46119</v>
      </c>
      <c r="N31" s="76">
        <v>46110</v>
      </c>
      <c r="Q31" s="86" t="s">
        <v>958</v>
      </c>
      <c r="R31" s="90"/>
      <c r="S31" s="87"/>
      <c r="T31" s="87"/>
      <c r="U31" s="87"/>
      <c r="V31" s="93"/>
      <c r="W31" s="91"/>
      <c r="X31" s="87"/>
      <c r="Y31" s="92"/>
      <c r="Z31" s="90"/>
      <c r="AA31" s="93"/>
      <c r="AB31" s="87"/>
      <c r="AC31" s="91"/>
      <c r="AD31" s="90"/>
      <c r="AE31" s="86"/>
      <c r="AF31" s="82">
        <f t="shared" si="0"/>
        <v>0</v>
      </c>
      <c r="AH31" s="93"/>
      <c r="AI31" s="87"/>
      <c r="AJ31" s="86"/>
      <c r="AK31" s="81">
        <f t="shared" si="1"/>
        <v>0</v>
      </c>
      <c r="AN31" s="81">
        <f t="shared" si="2"/>
        <v>0</v>
      </c>
      <c r="AO31" s="81">
        <f t="shared" si="3"/>
        <v>0</v>
      </c>
      <c r="AQ31" s="93"/>
      <c r="AR31" s="94"/>
      <c r="AS31" s="82">
        <f t="shared" si="4"/>
        <v>0</v>
      </c>
      <c r="AT31" s="82">
        <f t="shared" si="5"/>
        <v>0</v>
      </c>
      <c r="AV31" s="93"/>
      <c r="AW31" s="94"/>
      <c r="AX31" s="95">
        <f t="shared" si="6"/>
        <v>0</v>
      </c>
      <c r="AY31" s="95">
        <f t="shared" si="7"/>
        <v>0</v>
      </c>
      <c r="AZ31" s="95">
        <f t="shared" si="8"/>
        <v>0</v>
      </c>
      <c r="BB31" s="9" t="s">
        <v>132</v>
      </c>
      <c r="BC31" s="96" t="s">
        <v>93</v>
      </c>
    </row>
    <row r="32" spans="1:55" s="24" customFormat="1" ht="15" customHeight="1">
      <c r="A32" s="86">
        <f t="shared" si="9"/>
        <v>30</v>
      </c>
      <c r="B32" s="75" t="s">
        <v>131</v>
      </c>
      <c r="C32" s="9"/>
      <c r="D32" s="76" t="s">
        <v>130</v>
      </c>
      <c r="E32" s="88" t="str">
        <f>_xlfn.IFNA(VLOOKUP($D32,'Route-Details'!$B$2:$X$1048576,'Node Details'!E$1,0),"")</f>
        <v>Airtel</v>
      </c>
      <c r="F32" s="88" t="str">
        <f>_xlfn.IFNA(VLOOKUP($D32,'Route-Details'!$B$2:$X$1048576,'Node Details'!F$1,0),"")</f>
        <v>DARIA</v>
      </c>
      <c r="G32" s="88" t="str">
        <f>_xlfn.IFNA(VLOOKUP($D32,'Route-Details'!$B$2:$X$1048576,'Node Details'!G$1,0),"")</f>
        <v>Chandigarh</v>
      </c>
      <c r="H32" s="88" t="str">
        <f>_xlfn.IFNA(VLOOKUP($D33,'Route-Details'!$B$2:$X$1048576,'Node Details'!H$1,0),"")</f>
        <v>Punjab</v>
      </c>
      <c r="I32" s="88" t="str">
        <f>_xlfn.IFNA(VLOOKUP($D32,'Route-Details'!$B$2:$X$1048576,'Node Details'!I$1,0),"")</f>
        <v>AXZ</v>
      </c>
      <c r="J32" s="88" t="str">
        <f>_xlfn.IFNA(VLOOKUP($D32,'Route-Details'!$B$2:$X$1048576,'Node Details'!J$1,0),"")</f>
        <v>AXZ</v>
      </c>
      <c r="K32" s="76">
        <v>46110</v>
      </c>
      <c r="L32" s="76">
        <v>46110</v>
      </c>
      <c r="M32" s="89">
        <v>46119</v>
      </c>
      <c r="N32" s="76">
        <v>46110</v>
      </c>
      <c r="Q32" s="86" t="s">
        <v>958</v>
      </c>
      <c r="R32" s="90"/>
      <c r="S32" s="87"/>
      <c r="T32" s="87"/>
      <c r="U32" s="87"/>
      <c r="V32" s="93"/>
      <c r="W32" s="91"/>
      <c r="X32" s="87"/>
      <c r="Y32" s="92"/>
      <c r="Z32" s="90"/>
      <c r="AA32" s="93"/>
      <c r="AB32" s="87"/>
      <c r="AC32" s="91"/>
      <c r="AD32" s="90"/>
      <c r="AE32" s="86"/>
      <c r="AF32" s="82">
        <f t="shared" si="0"/>
        <v>0</v>
      </c>
      <c r="AH32" s="93"/>
      <c r="AI32" s="87"/>
      <c r="AJ32" s="86"/>
      <c r="AK32" s="81">
        <f t="shared" si="1"/>
        <v>0</v>
      </c>
      <c r="AN32" s="81">
        <f t="shared" si="2"/>
        <v>0</v>
      </c>
      <c r="AO32" s="81">
        <f t="shared" si="3"/>
        <v>0</v>
      </c>
      <c r="AQ32" s="93"/>
      <c r="AR32" s="94"/>
      <c r="AS32" s="82">
        <f t="shared" si="4"/>
        <v>0</v>
      </c>
      <c r="AT32" s="82">
        <f t="shared" si="5"/>
        <v>0</v>
      </c>
      <c r="AV32" s="93"/>
      <c r="AW32" s="94"/>
      <c r="AX32" s="95">
        <f t="shared" si="6"/>
        <v>0</v>
      </c>
      <c r="AY32" s="95">
        <f t="shared" si="7"/>
        <v>0</v>
      </c>
      <c r="AZ32" s="95">
        <f t="shared" si="8"/>
        <v>0</v>
      </c>
      <c r="BB32" s="9" t="s">
        <v>132</v>
      </c>
      <c r="BC32" s="96" t="s">
        <v>93</v>
      </c>
    </row>
    <row r="33" spans="1:55" s="24" customFormat="1" ht="15" customHeight="1">
      <c r="A33" s="86">
        <f t="shared" si="9"/>
        <v>31</v>
      </c>
      <c r="B33" s="75" t="s">
        <v>975</v>
      </c>
      <c r="C33" s="9"/>
      <c r="D33" s="76" t="s">
        <v>133</v>
      </c>
      <c r="E33" s="88" t="str">
        <f>_xlfn.IFNA(VLOOKUP($D33,'Route-Details'!$B$2:$X$1048576,'Node Details'!E$1,0),"")</f>
        <v>Airtel</v>
      </c>
      <c r="F33" s="88" t="str">
        <f>_xlfn.IFNA(VLOOKUP($D33,'Route-Details'!$B$2:$X$1048576,'Node Details'!F$1,0),"")</f>
        <v>DARIA</v>
      </c>
      <c r="G33" s="88" t="str">
        <f>_xlfn.IFNA(VLOOKUP($D33,'Route-Details'!$B$2:$X$1048576,'Node Details'!G$1,0),"")</f>
        <v>Chandigarh</v>
      </c>
      <c r="H33" s="88" t="str">
        <f>_xlfn.IFNA(VLOOKUP($D34,'Route-Details'!$B$2:$X$1048576,'Node Details'!H$1,0),"")</f>
        <v>Punjab</v>
      </c>
      <c r="I33" s="88" t="str">
        <f>_xlfn.IFNA(VLOOKUP($D33,'Route-Details'!$B$2:$X$1048576,'Node Details'!I$1,0),"")</f>
        <v>AXZ</v>
      </c>
      <c r="J33" s="88" t="str">
        <f>_xlfn.IFNA(VLOOKUP($D33,'Route-Details'!$B$2:$X$1048576,'Node Details'!J$1,0),"")</f>
        <v>AXZ</v>
      </c>
      <c r="K33" s="76">
        <v>46110</v>
      </c>
      <c r="L33" s="76">
        <v>46110</v>
      </c>
      <c r="M33" s="89">
        <v>46119</v>
      </c>
      <c r="N33" s="76">
        <v>46110</v>
      </c>
      <c r="Q33" s="86" t="s">
        <v>958</v>
      </c>
      <c r="R33" s="90"/>
      <c r="S33" s="87"/>
      <c r="T33" s="87"/>
      <c r="U33" s="87"/>
      <c r="V33" s="93"/>
      <c r="W33" s="91"/>
      <c r="X33" s="87"/>
      <c r="Y33" s="92"/>
      <c r="Z33" s="90"/>
      <c r="AA33" s="93"/>
      <c r="AB33" s="87"/>
      <c r="AC33" s="91"/>
      <c r="AD33" s="90"/>
      <c r="AE33" s="86"/>
      <c r="AF33" s="82">
        <f t="shared" si="0"/>
        <v>0</v>
      </c>
      <c r="AH33" s="93"/>
      <c r="AI33" s="87"/>
      <c r="AJ33" s="86"/>
      <c r="AK33" s="81">
        <f t="shared" si="1"/>
        <v>0</v>
      </c>
      <c r="AN33" s="81">
        <f t="shared" si="2"/>
        <v>0</v>
      </c>
      <c r="AO33" s="81">
        <f t="shared" si="3"/>
        <v>0</v>
      </c>
      <c r="AQ33" s="93"/>
      <c r="AR33" s="94"/>
      <c r="AS33" s="82">
        <f t="shared" si="4"/>
        <v>0</v>
      </c>
      <c r="AT33" s="82">
        <f t="shared" si="5"/>
        <v>0</v>
      </c>
      <c r="AV33" s="93"/>
      <c r="AW33" s="94"/>
      <c r="AX33" s="95">
        <f t="shared" si="6"/>
        <v>0</v>
      </c>
      <c r="AY33" s="95">
        <f t="shared" si="7"/>
        <v>0</v>
      </c>
      <c r="AZ33" s="95">
        <f t="shared" si="8"/>
        <v>0</v>
      </c>
      <c r="BB33" s="9" t="s">
        <v>135</v>
      </c>
      <c r="BC33" s="96" t="s">
        <v>93</v>
      </c>
    </row>
    <row r="34" spans="1:55" s="24" customFormat="1" ht="15" customHeight="1">
      <c r="A34" s="86">
        <f t="shared" si="9"/>
        <v>32</v>
      </c>
      <c r="B34" s="75" t="s">
        <v>976</v>
      </c>
      <c r="C34" s="9"/>
      <c r="D34" s="76" t="s">
        <v>133</v>
      </c>
      <c r="E34" s="88" t="str">
        <f>_xlfn.IFNA(VLOOKUP($D34,'Route-Details'!$B$2:$X$1048576,'Node Details'!E$1,0),"")</f>
        <v>Airtel</v>
      </c>
      <c r="F34" s="88" t="str">
        <f>_xlfn.IFNA(VLOOKUP($D34,'Route-Details'!$B$2:$X$1048576,'Node Details'!F$1,0),"")</f>
        <v>DARIA</v>
      </c>
      <c r="G34" s="88" t="str">
        <f>_xlfn.IFNA(VLOOKUP($D34,'Route-Details'!$B$2:$X$1048576,'Node Details'!G$1,0),"")</f>
        <v>Chandigarh</v>
      </c>
      <c r="H34" s="88" t="str">
        <f>_xlfn.IFNA(VLOOKUP($D35,'Route-Details'!$B$2:$X$1048576,'Node Details'!H$1,0),"")</f>
        <v>Punjab</v>
      </c>
      <c r="I34" s="88" t="str">
        <f>_xlfn.IFNA(VLOOKUP($D34,'Route-Details'!$B$2:$X$1048576,'Node Details'!I$1,0),"")</f>
        <v>AXZ</v>
      </c>
      <c r="J34" s="88" t="str">
        <f>_xlfn.IFNA(VLOOKUP($D34,'Route-Details'!$B$2:$X$1048576,'Node Details'!J$1,0),"")</f>
        <v>AXZ</v>
      </c>
      <c r="K34" s="76">
        <v>46110</v>
      </c>
      <c r="L34" s="76">
        <v>46110</v>
      </c>
      <c r="M34" s="89">
        <v>46119</v>
      </c>
      <c r="N34" s="76">
        <v>46110</v>
      </c>
      <c r="Q34" s="86" t="s">
        <v>958</v>
      </c>
      <c r="R34" s="90"/>
      <c r="S34" s="87"/>
      <c r="T34" s="87"/>
      <c r="U34" s="87"/>
      <c r="V34" s="93"/>
      <c r="W34" s="91"/>
      <c r="X34" s="87"/>
      <c r="Y34" s="92"/>
      <c r="Z34" s="90"/>
      <c r="AA34" s="93"/>
      <c r="AB34" s="87"/>
      <c r="AC34" s="91"/>
      <c r="AD34" s="90"/>
      <c r="AE34" s="86"/>
      <c r="AF34" s="82">
        <f t="shared" si="0"/>
        <v>0</v>
      </c>
      <c r="AH34" s="93"/>
      <c r="AI34" s="87"/>
      <c r="AJ34" s="86"/>
      <c r="AK34" s="81">
        <f t="shared" si="1"/>
        <v>0</v>
      </c>
      <c r="AN34" s="81">
        <f t="shared" si="2"/>
        <v>0</v>
      </c>
      <c r="AO34" s="81">
        <f t="shared" si="3"/>
        <v>0</v>
      </c>
      <c r="AQ34" s="93"/>
      <c r="AR34" s="94"/>
      <c r="AS34" s="82">
        <f t="shared" si="4"/>
        <v>0</v>
      </c>
      <c r="AT34" s="82">
        <f t="shared" si="5"/>
        <v>0</v>
      </c>
      <c r="AV34" s="93"/>
      <c r="AW34" s="94"/>
      <c r="AX34" s="95">
        <f t="shared" si="6"/>
        <v>0</v>
      </c>
      <c r="AY34" s="95">
        <f t="shared" si="7"/>
        <v>0</v>
      </c>
      <c r="AZ34" s="95">
        <f t="shared" si="8"/>
        <v>0</v>
      </c>
      <c r="BB34" s="9" t="s">
        <v>135</v>
      </c>
      <c r="BC34" s="96" t="s">
        <v>93</v>
      </c>
    </row>
    <row r="35" spans="1:55" s="24" customFormat="1" ht="15" customHeight="1">
      <c r="A35" s="86">
        <f t="shared" si="9"/>
        <v>33</v>
      </c>
      <c r="B35" s="75" t="s">
        <v>134</v>
      </c>
      <c r="C35" s="9"/>
      <c r="D35" s="76" t="s">
        <v>133</v>
      </c>
      <c r="E35" s="88" t="str">
        <f>_xlfn.IFNA(VLOOKUP($D35,'Route-Details'!$B$2:$X$1048576,'Node Details'!E$1,0),"")</f>
        <v>Airtel</v>
      </c>
      <c r="F35" s="88" t="str">
        <f>_xlfn.IFNA(VLOOKUP($D35,'Route-Details'!$B$2:$X$1048576,'Node Details'!F$1,0),"")</f>
        <v>DARIA</v>
      </c>
      <c r="G35" s="88" t="str">
        <f>_xlfn.IFNA(VLOOKUP($D35,'Route-Details'!$B$2:$X$1048576,'Node Details'!G$1,0),"")</f>
        <v>Chandigarh</v>
      </c>
      <c r="H35" s="88" t="str">
        <f>_xlfn.IFNA(VLOOKUP($D36,'Route-Details'!$B$2:$X$1048576,'Node Details'!H$1,0),"")</f>
        <v>Punjab</v>
      </c>
      <c r="I35" s="88" t="str">
        <f>_xlfn.IFNA(VLOOKUP($D35,'Route-Details'!$B$2:$X$1048576,'Node Details'!I$1,0),"")</f>
        <v>AXZ</v>
      </c>
      <c r="J35" s="88" t="str">
        <f>_xlfn.IFNA(VLOOKUP($D35,'Route-Details'!$B$2:$X$1048576,'Node Details'!J$1,0),"")</f>
        <v>AXZ</v>
      </c>
      <c r="K35" s="76">
        <v>46110</v>
      </c>
      <c r="L35" s="76">
        <v>46110</v>
      </c>
      <c r="M35" s="89">
        <v>46119</v>
      </c>
      <c r="N35" s="76">
        <v>46110</v>
      </c>
      <c r="Q35" s="86" t="s">
        <v>958</v>
      </c>
      <c r="R35" s="90"/>
      <c r="S35" s="87"/>
      <c r="T35" s="87"/>
      <c r="U35" s="87"/>
      <c r="V35" s="93"/>
      <c r="W35" s="91"/>
      <c r="X35" s="87"/>
      <c r="Y35" s="92"/>
      <c r="Z35" s="90"/>
      <c r="AA35" s="93"/>
      <c r="AB35" s="87"/>
      <c r="AC35" s="91"/>
      <c r="AD35" s="90"/>
      <c r="AE35" s="86"/>
      <c r="AF35" s="82">
        <f t="shared" si="0"/>
        <v>0</v>
      </c>
      <c r="AH35" s="93"/>
      <c r="AI35" s="87"/>
      <c r="AJ35" s="86"/>
      <c r="AK35" s="81">
        <f t="shared" si="1"/>
        <v>0</v>
      </c>
      <c r="AN35" s="81">
        <f t="shared" si="2"/>
        <v>0</v>
      </c>
      <c r="AO35" s="81">
        <f t="shared" si="3"/>
        <v>0</v>
      </c>
      <c r="AQ35" s="93"/>
      <c r="AR35" s="94"/>
      <c r="AS35" s="82">
        <f t="shared" si="4"/>
        <v>0</v>
      </c>
      <c r="AT35" s="82">
        <f t="shared" si="5"/>
        <v>0</v>
      </c>
      <c r="AV35" s="93"/>
      <c r="AW35" s="94"/>
      <c r="AX35" s="95">
        <f t="shared" si="6"/>
        <v>0</v>
      </c>
      <c r="AY35" s="95">
        <f t="shared" si="7"/>
        <v>0</v>
      </c>
      <c r="AZ35" s="95">
        <f t="shared" si="8"/>
        <v>0</v>
      </c>
      <c r="BB35" s="9" t="s">
        <v>135</v>
      </c>
      <c r="BC35" s="96" t="s">
        <v>93</v>
      </c>
    </row>
    <row r="36" spans="1:55" s="24" customFormat="1" ht="15" customHeight="1">
      <c r="A36" s="86">
        <f t="shared" si="9"/>
        <v>34</v>
      </c>
      <c r="B36" s="75" t="s">
        <v>977</v>
      </c>
      <c r="C36" s="9"/>
      <c r="D36" s="76" t="s">
        <v>136</v>
      </c>
      <c r="E36" s="88" t="str">
        <f>_xlfn.IFNA(VLOOKUP($D36,'Route-Details'!$B$2:$X$1048576,'Node Details'!E$1,0),"")</f>
        <v>Airtel</v>
      </c>
      <c r="F36" s="88" t="str">
        <f>_xlfn.IFNA(VLOOKUP($D36,'Route-Details'!$B$2:$X$1048576,'Node Details'!F$1,0),"")</f>
        <v>DARIA</v>
      </c>
      <c r="G36" s="88" t="str">
        <f>_xlfn.IFNA(VLOOKUP($D36,'Route-Details'!$B$2:$X$1048576,'Node Details'!G$1,0),"")</f>
        <v>Chandigarh</v>
      </c>
      <c r="H36" s="88" t="str">
        <f>_xlfn.IFNA(VLOOKUP($D37,'Route-Details'!$B$2:$X$1048576,'Node Details'!H$1,0),"")</f>
        <v>Punjab</v>
      </c>
      <c r="I36" s="88" t="str">
        <f>_xlfn.IFNA(VLOOKUP($D36,'Route-Details'!$B$2:$X$1048576,'Node Details'!I$1,0),"")</f>
        <v>AXZ</v>
      </c>
      <c r="J36" s="88" t="str">
        <f>_xlfn.IFNA(VLOOKUP($D36,'Route-Details'!$B$2:$X$1048576,'Node Details'!J$1,0),"")</f>
        <v>AXZ</v>
      </c>
      <c r="K36" s="76">
        <v>46110</v>
      </c>
      <c r="L36" s="76">
        <v>46110</v>
      </c>
      <c r="M36" s="89">
        <v>46119</v>
      </c>
      <c r="N36" s="76">
        <v>46110</v>
      </c>
      <c r="Q36" s="86" t="s">
        <v>958</v>
      </c>
      <c r="R36" s="90"/>
      <c r="S36" s="87"/>
      <c r="T36" s="87"/>
      <c r="U36" s="87"/>
      <c r="V36" s="93"/>
      <c r="W36" s="91"/>
      <c r="X36" s="87"/>
      <c r="Y36" s="92"/>
      <c r="Z36" s="90"/>
      <c r="AA36" s="93"/>
      <c r="AB36" s="87"/>
      <c r="AC36" s="91"/>
      <c r="AD36" s="90"/>
      <c r="AE36" s="86"/>
      <c r="AF36" s="82">
        <f t="shared" si="0"/>
        <v>0</v>
      </c>
      <c r="AH36" s="93"/>
      <c r="AI36" s="87"/>
      <c r="AJ36" s="86"/>
      <c r="AK36" s="81">
        <f t="shared" si="1"/>
        <v>0</v>
      </c>
      <c r="AN36" s="81">
        <f t="shared" si="2"/>
        <v>0</v>
      </c>
      <c r="AO36" s="81">
        <f t="shared" si="3"/>
        <v>0</v>
      </c>
      <c r="AQ36" s="93"/>
      <c r="AR36" s="94"/>
      <c r="AS36" s="82">
        <f t="shared" si="4"/>
        <v>0</v>
      </c>
      <c r="AT36" s="82">
        <f t="shared" si="5"/>
        <v>0</v>
      </c>
      <c r="AV36" s="93"/>
      <c r="AW36" s="94"/>
      <c r="AX36" s="95">
        <f t="shared" si="6"/>
        <v>0</v>
      </c>
      <c r="AY36" s="95">
        <f t="shared" si="7"/>
        <v>0</v>
      </c>
      <c r="AZ36" s="95">
        <f t="shared" si="8"/>
        <v>0</v>
      </c>
      <c r="BB36" s="9" t="s">
        <v>138</v>
      </c>
      <c r="BC36" s="96" t="s">
        <v>93</v>
      </c>
    </row>
    <row r="37" spans="1:55" s="24" customFormat="1" ht="15" customHeight="1">
      <c r="A37" s="86">
        <f t="shared" si="9"/>
        <v>35</v>
      </c>
      <c r="B37" s="75" t="s">
        <v>978</v>
      </c>
      <c r="C37" s="9"/>
      <c r="D37" s="76" t="s">
        <v>136</v>
      </c>
      <c r="E37" s="88" t="str">
        <f>_xlfn.IFNA(VLOOKUP($D37,'Route-Details'!$B$2:$X$1048576,'Node Details'!E$1,0),"")</f>
        <v>Airtel</v>
      </c>
      <c r="F37" s="88" t="str">
        <f>_xlfn.IFNA(VLOOKUP($D37,'Route-Details'!$B$2:$X$1048576,'Node Details'!F$1,0),"")</f>
        <v>DARIA</v>
      </c>
      <c r="G37" s="88" t="str">
        <f>_xlfn.IFNA(VLOOKUP($D37,'Route-Details'!$B$2:$X$1048576,'Node Details'!G$1,0),"")</f>
        <v>Chandigarh</v>
      </c>
      <c r="H37" s="88" t="str">
        <f>_xlfn.IFNA(VLOOKUP($D38,'Route-Details'!$B$2:$X$1048576,'Node Details'!H$1,0),"")</f>
        <v>Punjab</v>
      </c>
      <c r="I37" s="88" t="str">
        <f>_xlfn.IFNA(VLOOKUP($D37,'Route-Details'!$B$2:$X$1048576,'Node Details'!I$1,0),"")</f>
        <v>AXZ</v>
      </c>
      <c r="J37" s="88" t="str">
        <f>_xlfn.IFNA(VLOOKUP($D37,'Route-Details'!$B$2:$X$1048576,'Node Details'!J$1,0),"")</f>
        <v>AXZ</v>
      </c>
      <c r="K37" s="76">
        <v>46110</v>
      </c>
      <c r="L37" s="76">
        <v>46110</v>
      </c>
      <c r="M37" s="89">
        <v>46119</v>
      </c>
      <c r="N37" s="76">
        <v>46110</v>
      </c>
      <c r="Q37" s="86" t="s">
        <v>958</v>
      </c>
      <c r="R37" s="90"/>
      <c r="S37" s="87"/>
      <c r="T37" s="87"/>
      <c r="U37" s="87"/>
      <c r="V37" s="93"/>
      <c r="W37" s="91"/>
      <c r="X37" s="87"/>
      <c r="Y37" s="92"/>
      <c r="Z37" s="90"/>
      <c r="AA37" s="93"/>
      <c r="AB37" s="87"/>
      <c r="AC37" s="91"/>
      <c r="AD37" s="90"/>
      <c r="AE37" s="86"/>
      <c r="AF37" s="82">
        <f t="shared" si="0"/>
        <v>0</v>
      </c>
      <c r="AH37" s="93"/>
      <c r="AI37" s="87"/>
      <c r="AJ37" s="86"/>
      <c r="AK37" s="81">
        <f t="shared" si="1"/>
        <v>0</v>
      </c>
      <c r="AN37" s="81">
        <f t="shared" si="2"/>
        <v>0</v>
      </c>
      <c r="AO37" s="81">
        <f t="shared" si="3"/>
        <v>0</v>
      </c>
      <c r="AQ37" s="93"/>
      <c r="AR37" s="94"/>
      <c r="AS37" s="82">
        <f t="shared" si="4"/>
        <v>0</v>
      </c>
      <c r="AT37" s="82">
        <f t="shared" si="5"/>
        <v>0</v>
      </c>
      <c r="AV37" s="93"/>
      <c r="AW37" s="94"/>
      <c r="AX37" s="95">
        <f t="shared" si="6"/>
        <v>0</v>
      </c>
      <c r="AY37" s="95">
        <f t="shared" si="7"/>
        <v>0</v>
      </c>
      <c r="AZ37" s="95">
        <f t="shared" si="8"/>
        <v>0</v>
      </c>
      <c r="BB37" s="9" t="s">
        <v>138</v>
      </c>
      <c r="BC37" s="96" t="s">
        <v>93</v>
      </c>
    </row>
    <row r="38" spans="1:55" s="24" customFormat="1" ht="15" customHeight="1">
      <c r="A38" s="86">
        <f t="shared" si="9"/>
        <v>36</v>
      </c>
      <c r="B38" s="75" t="s">
        <v>979</v>
      </c>
      <c r="C38" s="9"/>
      <c r="D38" s="76" t="s">
        <v>136</v>
      </c>
      <c r="E38" s="88" t="str">
        <f>_xlfn.IFNA(VLOOKUP($D38,'Route-Details'!$B$2:$X$1048576,'Node Details'!E$1,0),"")</f>
        <v>Airtel</v>
      </c>
      <c r="F38" s="88" t="str">
        <f>_xlfn.IFNA(VLOOKUP($D38,'Route-Details'!$B$2:$X$1048576,'Node Details'!F$1,0),"")</f>
        <v>DARIA</v>
      </c>
      <c r="G38" s="88" t="str">
        <f>_xlfn.IFNA(VLOOKUP($D38,'Route-Details'!$B$2:$X$1048576,'Node Details'!G$1,0),"")</f>
        <v>Chandigarh</v>
      </c>
      <c r="H38" s="88" t="str">
        <f>_xlfn.IFNA(VLOOKUP($D39,'Route-Details'!$B$2:$X$1048576,'Node Details'!H$1,0),"")</f>
        <v>Punjab</v>
      </c>
      <c r="I38" s="88" t="str">
        <f>_xlfn.IFNA(VLOOKUP($D38,'Route-Details'!$B$2:$X$1048576,'Node Details'!I$1,0),"")</f>
        <v>AXZ</v>
      </c>
      <c r="J38" s="88" t="str">
        <f>_xlfn.IFNA(VLOOKUP($D38,'Route-Details'!$B$2:$X$1048576,'Node Details'!J$1,0),"")</f>
        <v>AXZ</v>
      </c>
      <c r="K38" s="76">
        <v>46110</v>
      </c>
      <c r="L38" s="76">
        <v>46110</v>
      </c>
      <c r="M38" s="89">
        <v>46119</v>
      </c>
      <c r="N38" s="76">
        <v>46110</v>
      </c>
      <c r="Q38" s="86" t="s">
        <v>958</v>
      </c>
      <c r="R38" s="90"/>
      <c r="S38" s="87"/>
      <c r="T38" s="87"/>
      <c r="U38" s="87"/>
      <c r="V38" s="93"/>
      <c r="W38" s="91"/>
      <c r="X38" s="87"/>
      <c r="Y38" s="92"/>
      <c r="Z38" s="90"/>
      <c r="AA38" s="93"/>
      <c r="AB38" s="87"/>
      <c r="AC38" s="91"/>
      <c r="AD38" s="90"/>
      <c r="AE38" s="86"/>
      <c r="AF38" s="82">
        <f t="shared" si="0"/>
        <v>0</v>
      </c>
      <c r="AH38" s="93"/>
      <c r="AI38" s="87"/>
      <c r="AJ38" s="86"/>
      <c r="AK38" s="81">
        <f t="shared" si="1"/>
        <v>0</v>
      </c>
      <c r="AN38" s="81">
        <f t="shared" si="2"/>
        <v>0</v>
      </c>
      <c r="AO38" s="81">
        <f t="shared" si="3"/>
        <v>0</v>
      </c>
      <c r="AQ38" s="93"/>
      <c r="AR38" s="94"/>
      <c r="AS38" s="82">
        <f t="shared" si="4"/>
        <v>0</v>
      </c>
      <c r="AT38" s="82">
        <f t="shared" si="5"/>
        <v>0</v>
      </c>
      <c r="AV38" s="93"/>
      <c r="AW38" s="94"/>
      <c r="AX38" s="95">
        <f t="shared" si="6"/>
        <v>0</v>
      </c>
      <c r="AY38" s="95">
        <f t="shared" si="7"/>
        <v>0</v>
      </c>
      <c r="AZ38" s="95">
        <f t="shared" si="8"/>
        <v>0</v>
      </c>
      <c r="BB38" s="9" t="s">
        <v>138</v>
      </c>
      <c r="BC38" s="96" t="s">
        <v>93</v>
      </c>
    </row>
    <row r="39" spans="1:55" s="24" customFormat="1" ht="15" customHeight="1">
      <c r="A39" s="86">
        <f t="shared" si="9"/>
        <v>37</v>
      </c>
      <c r="B39" s="75" t="s">
        <v>137</v>
      </c>
      <c r="C39" s="9"/>
      <c r="D39" s="76" t="s">
        <v>136</v>
      </c>
      <c r="E39" s="88" t="str">
        <f>_xlfn.IFNA(VLOOKUP($D39,'Route-Details'!$B$2:$X$1048576,'Node Details'!E$1,0),"")</f>
        <v>Airtel</v>
      </c>
      <c r="F39" s="88" t="str">
        <f>_xlfn.IFNA(VLOOKUP($D39,'Route-Details'!$B$2:$X$1048576,'Node Details'!F$1,0),"")</f>
        <v>DARIA</v>
      </c>
      <c r="G39" s="88" t="str">
        <f>_xlfn.IFNA(VLOOKUP($D39,'Route-Details'!$B$2:$X$1048576,'Node Details'!G$1,0),"")</f>
        <v>Chandigarh</v>
      </c>
      <c r="H39" s="88" t="str">
        <f>_xlfn.IFNA(VLOOKUP($D40,'Route-Details'!$B$2:$X$1048576,'Node Details'!H$1,0),"")</f>
        <v>Punjab</v>
      </c>
      <c r="I39" s="88" t="str">
        <f>_xlfn.IFNA(VLOOKUP($D39,'Route-Details'!$B$2:$X$1048576,'Node Details'!I$1,0),"")</f>
        <v>AXZ</v>
      </c>
      <c r="J39" s="88" t="str">
        <f>_xlfn.IFNA(VLOOKUP($D39,'Route-Details'!$B$2:$X$1048576,'Node Details'!J$1,0),"")</f>
        <v>AXZ</v>
      </c>
      <c r="K39" s="76">
        <v>46110</v>
      </c>
      <c r="L39" s="76">
        <v>46110</v>
      </c>
      <c r="M39" s="89">
        <v>46119</v>
      </c>
      <c r="N39" s="76">
        <v>46110</v>
      </c>
      <c r="Q39" s="86" t="s">
        <v>958</v>
      </c>
      <c r="R39" s="90"/>
      <c r="S39" s="87"/>
      <c r="T39" s="87"/>
      <c r="U39" s="87"/>
      <c r="V39" s="93"/>
      <c r="W39" s="91"/>
      <c r="X39" s="87"/>
      <c r="Y39" s="92"/>
      <c r="Z39" s="90"/>
      <c r="AA39" s="93"/>
      <c r="AB39" s="87"/>
      <c r="AC39" s="91"/>
      <c r="AD39" s="90"/>
      <c r="AE39" s="86"/>
      <c r="AF39" s="82">
        <f t="shared" si="0"/>
        <v>0</v>
      </c>
      <c r="AH39" s="93"/>
      <c r="AI39" s="87"/>
      <c r="AJ39" s="86"/>
      <c r="AK39" s="81">
        <f t="shared" si="1"/>
        <v>0</v>
      </c>
      <c r="AN39" s="81">
        <f t="shared" si="2"/>
        <v>0</v>
      </c>
      <c r="AO39" s="81">
        <f t="shared" si="3"/>
        <v>0</v>
      </c>
      <c r="AQ39" s="93"/>
      <c r="AR39" s="94"/>
      <c r="AS39" s="82">
        <f t="shared" si="4"/>
        <v>0</v>
      </c>
      <c r="AT39" s="82">
        <f t="shared" si="5"/>
        <v>0</v>
      </c>
      <c r="AV39" s="93"/>
      <c r="AW39" s="94"/>
      <c r="AX39" s="95">
        <f t="shared" si="6"/>
        <v>0</v>
      </c>
      <c r="AY39" s="95">
        <f t="shared" si="7"/>
        <v>0</v>
      </c>
      <c r="AZ39" s="95">
        <f t="shared" si="8"/>
        <v>0</v>
      </c>
      <c r="BB39" s="9" t="s">
        <v>138</v>
      </c>
      <c r="BC39" s="96" t="s">
        <v>93</v>
      </c>
    </row>
    <row r="40" spans="1:55" ht="15" customHeight="1">
      <c r="A40" s="86">
        <f t="shared" si="9"/>
        <v>38</v>
      </c>
      <c r="B40" s="75" t="s">
        <v>79</v>
      </c>
      <c r="C40" s="9"/>
      <c r="D40" s="76" t="s">
        <v>78</v>
      </c>
      <c r="E40" s="88" t="str">
        <f>_xlfn.IFNA(VLOOKUP($D40,'Route-Details'!$B$2:$X$1048576,'Node Details'!E$1,0),"")</f>
        <v>Airtel</v>
      </c>
      <c r="F40" s="88" t="str">
        <f>_xlfn.IFNA(VLOOKUP($D40,'Route-Details'!$B$2:$X$1048576,'Node Details'!F$1,0),"")</f>
        <v>DARIA</v>
      </c>
      <c r="G40" s="88" t="str">
        <f>_xlfn.IFNA(VLOOKUP($D40,'Route-Details'!$B$2:$X$1048576,'Node Details'!G$1,0),"")</f>
        <v>Chandigarh</v>
      </c>
      <c r="H40" s="88" t="str">
        <f>_xlfn.IFNA(VLOOKUP($D41,'Route-Details'!$B$2:$X$1048576,'Node Details'!H$1,0),"")</f>
        <v>Punjab</v>
      </c>
      <c r="I40" s="88" t="str">
        <f>_xlfn.IFNA(VLOOKUP($D40,'Route-Details'!$B$2:$X$1048576,'Node Details'!I$1,0),"")</f>
        <v>AXZ</v>
      </c>
      <c r="J40" s="88" t="str">
        <f>_xlfn.IFNA(VLOOKUP($D40,'Route-Details'!$B$2:$X$1048576,'Node Details'!J$1,0),"")</f>
        <v>AXZ</v>
      </c>
      <c r="K40" s="76">
        <v>46110</v>
      </c>
      <c r="L40" s="76">
        <v>46110</v>
      </c>
      <c r="M40" s="89">
        <v>46119</v>
      </c>
      <c r="N40" s="76">
        <v>46110</v>
      </c>
      <c r="Q40" s="86" t="s">
        <v>958</v>
      </c>
      <c r="R40" s="90"/>
      <c r="S40" s="87"/>
      <c r="T40" s="87"/>
      <c r="U40" s="87"/>
      <c r="V40" s="93"/>
      <c r="W40" s="91"/>
      <c r="X40" s="87"/>
      <c r="Y40" s="92"/>
      <c r="Z40" s="90"/>
      <c r="AA40" s="93"/>
      <c r="AB40" s="87"/>
      <c r="AC40" s="91"/>
      <c r="AD40" s="90"/>
      <c r="AE40" s="86"/>
      <c r="AF40" s="82">
        <f t="shared" ref="AF40" si="10">IF(AB40&lt;&gt;"",AE40*AB40,0)</f>
        <v>0</v>
      </c>
      <c r="AG40" s="24"/>
      <c r="AH40" s="93"/>
      <c r="AI40" s="87"/>
      <c r="AJ40" s="86"/>
      <c r="AK40" s="81">
        <f t="shared" ref="AK40" si="11">IF(AI40&lt;&gt;"",AJ40*AI40,0)</f>
        <v>0</v>
      </c>
      <c r="AL40" s="24"/>
      <c r="AM40" s="24"/>
      <c r="AN40" s="81">
        <f t="shared" ref="AN40" si="12">IF(AL40&lt;&gt;"",AM40*AL40,0)</f>
        <v>0</v>
      </c>
      <c r="AO40" s="81">
        <f t="shared" ref="AO40" si="13">AN40+AK40</f>
        <v>0</v>
      </c>
      <c r="AP40" s="24"/>
      <c r="AQ40" s="93"/>
      <c r="AR40" s="94"/>
      <c r="AS40" s="82">
        <f t="shared" ref="AS40" si="14">AJ40</f>
        <v>0</v>
      </c>
      <c r="AT40" s="82">
        <f t="shared" ref="AT40" si="15">AS40*AI40</f>
        <v>0</v>
      </c>
      <c r="AU40" s="24"/>
      <c r="AV40" s="93"/>
      <c r="AW40" s="94"/>
      <c r="AX40" s="95">
        <f t="shared" ref="AX40" si="16">AJ40</f>
        <v>0</v>
      </c>
      <c r="AY40" s="95">
        <f t="shared" ref="AY40" si="17">AI40</f>
        <v>0</v>
      </c>
      <c r="AZ40" s="95">
        <f t="shared" ref="AZ40" si="18">IF(AY40&lt;&gt;"",AY40*AX40,0)</f>
        <v>0</v>
      </c>
      <c r="BA40" s="24"/>
      <c r="BB40" s="9" t="s">
        <v>92</v>
      </c>
      <c r="BC40" s="96" t="s">
        <v>93</v>
      </c>
    </row>
    <row r="41" spans="1:55" ht="15" customHeight="1">
      <c r="A41" s="86">
        <f t="shared" si="9"/>
        <v>39</v>
      </c>
      <c r="B41" s="75" t="s">
        <v>149</v>
      </c>
      <c r="C41" s="9"/>
      <c r="D41" s="76" t="s">
        <v>148</v>
      </c>
      <c r="E41" s="88" t="str">
        <f>_xlfn.IFNA(VLOOKUP($D41,'Route-Details'!$B$2:$X$1048576,'Node Details'!E$1,0),"")</f>
        <v>Airtel</v>
      </c>
      <c r="F41" s="88" t="str">
        <f>_xlfn.IFNA(VLOOKUP($D41,'Route-Details'!$B$2:$X$1048576,'Node Details'!F$1,0),"")</f>
        <v>DARIA</v>
      </c>
      <c r="G41" s="88" t="str">
        <f>_xlfn.IFNA(VLOOKUP($D41,'Route-Details'!$B$2:$X$1048576,'Node Details'!G$1,0),"")</f>
        <v>Chandigarh</v>
      </c>
      <c r="H41" s="88" t="str">
        <f>_xlfn.IFNA(VLOOKUP($D42,'Route-Details'!$B$2:$X$1048576,'Node Details'!H$1,0),"")</f>
        <v>Punjab</v>
      </c>
      <c r="I41" s="88" t="str">
        <f>_xlfn.IFNA(VLOOKUP($D41,'Route-Details'!$B$2:$X$1048576,'Node Details'!I$1,0),"")</f>
        <v>AXY</v>
      </c>
      <c r="J41" s="88" t="str">
        <f>_xlfn.IFNA(VLOOKUP($D41,'Route-Details'!$B$2:$X$1048576,'Node Details'!J$1,0),"")</f>
        <v>AXY</v>
      </c>
      <c r="K41" s="76">
        <v>46112</v>
      </c>
      <c r="L41" s="76">
        <v>46113</v>
      </c>
      <c r="M41" s="89">
        <v>46125</v>
      </c>
      <c r="N41" s="76">
        <v>46112</v>
      </c>
      <c r="Q41" s="86" t="s">
        <v>958</v>
      </c>
      <c r="R41" s="90"/>
      <c r="S41" s="87"/>
      <c r="T41" s="87"/>
      <c r="U41" s="87"/>
      <c r="V41" s="93"/>
      <c r="W41" s="91"/>
      <c r="X41" s="87"/>
      <c r="Y41" s="92"/>
      <c r="Z41" s="90"/>
      <c r="AA41" s="93"/>
      <c r="AB41" s="87"/>
      <c r="AC41" s="91"/>
      <c r="AD41" s="90"/>
      <c r="AE41" s="86"/>
      <c r="AF41" s="82"/>
      <c r="AG41" s="24"/>
      <c r="AH41" s="93"/>
      <c r="AI41" s="87"/>
      <c r="AJ41" s="86"/>
      <c r="AK41" s="81"/>
      <c r="AL41" s="24"/>
      <c r="AM41" s="24"/>
      <c r="AN41" s="81"/>
      <c r="AO41" s="81"/>
      <c r="AP41" s="24"/>
      <c r="AQ41" s="93"/>
      <c r="AR41" s="94"/>
      <c r="AS41" s="82"/>
      <c r="AT41" s="82"/>
      <c r="AU41" s="24"/>
      <c r="AV41" s="93"/>
      <c r="AW41" s="94"/>
      <c r="AX41" s="95"/>
      <c r="AY41" s="95"/>
      <c r="AZ41" s="95"/>
      <c r="BA41" s="24"/>
      <c r="BB41" s="9" t="s">
        <v>100</v>
      </c>
      <c r="BC41" s="96" t="s">
        <v>93</v>
      </c>
    </row>
    <row r="42" spans="1:55" ht="15" customHeight="1">
      <c r="A42" s="86">
        <f t="shared" si="9"/>
        <v>40</v>
      </c>
      <c r="B42" s="75" t="s">
        <v>157</v>
      </c>
      <c r="C42" s="9"/>
      <c r="D42" s="76" t="s">
        <v>156</v>
      </c>
      <c r="E42" s="88" t="str">
        <f>_xlfn.IFNA(VLOOKUP($D42,'Route-Details'!$B$2:$X$1048576,'Node Details'!E$1,0),"")</f>
        <v>Airtel</v>
      </c>
      <c r="F42" s="88" t="str">
        <f>_xlfn.IFNA(VLOOKUP($D42,'Route-Details'!$B$2:$X$1048576,'Node Details'!F$1,0),"")</f>
        <v>DARIA</v>
      </c>
      <c r="G42" s="88" t="str">
        <f>_xlfn.IFNA(VLOOKUP($D42,'Route-Details'!$B$2:$X$1048576,'Node Details'!G$1,0),"")</f>
        <v>Chandigarh</v>
      </c>
      <c r="H42" s="88" t="str">
        <f>_xlfn.IFNA(VLOOKUP($D43,'Route-Details'!$B$2:$X$1048576,'Node Details'!H$1,0),"")</f>
        <v>Punjab</v>
      </c>
      <c r="I42" s="88" t="str">
        <f>_xlfn.IFNA(VLOOKUP($D42,'Route-Details'!$B$2:$X$1048576,'Node Details'!I$1,0),"")</f>
        <v>AXY</v>
      </c>
      <c r="J42" s="88" t="str">
        <f>_xlfn.IFNA(VLOOKUP($D42,'Route-Details'!$B$2:$X$1048576,'Node Details'!J$1,0),"")</f>
        <v>AXY</v>
      </c>
      <c r="K42" s="76">
        <v>46112</v>
      </c>
      <c r="L42" s="76">
        <v>46113</v>
      </c>
      <c r="M42" s="89">
        <v>46125</v>
      </c>
      <c r="N42" s="76">
        <v>46112</v>
      </c>
      <c r="Q42" s="86" t="s">
        <v>958</v>
      </c>
      <c r="R42" s="90"/>
      <c r="S42" s="87"/>
      <c r="T42" s="87"/>
      <c r="U42" s="87"/>
      <c r="V42" s="93"/>
      <c r="W42" s="91"/>
      <c r="X42" s="87"/>
      <c r="Y42" s="92"/>
      <c r="Z42" s="90"/>
      <c r="AA42" s="93"/>
      <c r="AB42" s="87"/>
      <c r="AC42" s="91"/>
      <c r="AD42" s="90"/>
      <c r="AE42" s="86"/>
      <c r="AF42" s="82"/>
      <c r="AG42" s="24"/>
      <c r="AH42" s="93"/>
      <c r="AI42" s="87"/>
      <c r="AJ42" s="86"/>
      <c r="AK42" s="81"/>
      <c r="AL42" s="24"/>
      <c r="AM42" s="24"/>
      <c r="AN42" s="81"/>
      <c r="AO42" s="81"/>
      <c r="AP42" s="24"/>
      <c r="AQ42" s="93"/>
      <c r="AR42" s="94"/>
      <c r="AS42" s="82"/>
      <c r="AT42" s="82"/>
      <c r="AU42" s="24"/>
      <c r="AV42" s="93"/>
      <c r="AW42" s="94"/>
      <c r="AX42" s="95"/>
      <c r="AY42" s="95"/>
      <c r="AZ42" s="95"/>
      <c r="BA42" s="24"/>
      <c r="BB42" s="9" t="s">
        <v>110</v>
      </c>
      <c r="BC42" s="96" t="s">
        <v>93</v>
      </c>
    </row>
    <row r="43" spans="1:55" ht="15" customHeight="1">
      <c r="A43" s="86">
        <f t="shared" si="9"/>
        <v>41</v>
      </c>
      <c r="B43" s="75" t="s">
        <v>980</v>
      </c>
      <c r="C43" s="9"/>
      <c r="D43" s="76" t="s">
        <v>158</v>
      </c>
      <c r="E43" s="88" t="str">
        <f>_xlfn.IFNA(VLOOKUP($D43,'Route-Details'!$B$2:$X$1048576,'Node Details'!E$1,0),"")</f>
        <v>Airtel</v>
      </c>
      <c r="F43" s="88" t="str">
        <f>_xlfn.IFNA(VLOOKUP($D43,'Route-Details'!$B$2:$X$1048576,'Node Details'!F$1,0),"")</f>
        <v>DARIA</v>
      </c>
      <c r="G43" s="88" t="str">
        <f>_xlfn.IFNA(VLOOKUP($D43,'Route-Details'!$B$2:$X$1048576,'Node Details'!G$1,0),"")</f>
        <v>Chandigarh</v>
      </c>
      <c r="H43" s="88" t="str">
        <f>_xlfn.IFNA(VLOOKUP($D44,'Route-Details'!$B$2:$X$1048576,'Node Details'!H$1,0),"")</f>
        <v>Punjab</v>
      </c>
      <c r="I43" s="88" t="str">
        <f>_xlfn.IFNA(VLOOKUP($D43,'Route-Details'!$B$2:$X$1048576,'Node Details'!I$1,0),"")</f>
        <v>AXY</v>
      </c>
      <c r="J43" s="88" t="str">
        <f>_xlfn.IFNA(VLOOKUP($D43,'Route-Details'!$B$2:$X$1048576,'Node Details'!J$1,0),"")</f>
        <v>AXY</v>
      </c>
      <c r="K43" s="76">
        <v>46112</v>
      </c>
      <c r="L43" s="76">
        <v>46113</v>
      </c>
      <c r="M43" s="89">
        <v>46125</v>
      </c>
      <c r="N43" s="76">
        <v>46112</v>
      </c>
      <c r="Q43" s="86" t="s">
        <v>958</v>
      </c>
      <c r="R43" s="90"/>
      <c r="S43" s="87"/>
      <c r="T43" s="87"/>
      <c r="U43" s="87"/>
      <c r="V43" s="93"/>
      <c r="W43" s="91"/>
      <c r="X43" s="87"/>
      <c r="Y43" s="92"/>
      <c r="Z43" s="90"/>
      <c r="AA43" s="93"/>
      <c r="AB43" s="87"/>
      <c r="AC43" s="91"/>
      <c r="AD43" s="90"/>
      <c r="AE43" s="86"/>
      <c r="AF43" s="82"/>
      <c r="AG43" s="24"/>
      <c r="AH43" s="93"/>
      <c r="AI43" s="87"/>
      <c r="AJ43" s="86"/>
      <c r="AK43" s="81"/>
      <c r="AL43" s="24"/>
      <c r="AM43" s="24"/>
      <c r="AN43" s="81"/>
      <c r="AO43" s="81"/>
      <c r="AP43" s="24"/>
      <c r="AQ43" s="93"/>
      <c r="AR43" s="94"/>
      <c r="AS43" s="82"/>
      <c r="AT43" s="82"/>
      <c r="AU43" s="24"/>
      <c r="AV43" s="93"/>
      <c r="AW43" s="94"/>
      <c r="AX43" s="95"/>
      <c r="AY43" s="95"/>
      <c r="AZ43" s="95"/>
      <c r="BA43" s="24"/>
      <c r="BB43" s="9" t="s">
        <v>114</v>
      </c>
      <c r="BC43" s="96" t="s">
        <v>93</v>
      </c>
    </row>
    <row r="44" spans="1:55" ht="15" customHeight="1">
      <c r="A44" s="86">
        <f t="shared" si="9"/>
        <v>42</v>
      </c>
      <c r="B44" s="75" t="s">
        <v>160</v>
      </c>
      <c r="C44" s="9"/>
      <c r="D44" s="76" t="s">
        <v>158</v>
      </c>
      <c r="E44" s="88" t="str">
        <f>_xlfn.IFNA(VLOOKUP($D44,'Route-Details'!$B$2:$X$1048576,'Node Details'!E$1,0),"")</f>
        <v>Airtel</v>
      </c>
      <c r="F44" s="88" t="str">
        <f>_xlfn.IFNA(VLOOKUP($D44,'Route-Details'!$B$2:$X$1048576,'Node Details'!F$1,0),"")</f>
        <v>DARIA</v>
      </c>
      <c r="G44" s="88" t="str">
        <f>_xlfn.IFNA(VLOOKUP($D44,'Route-Details'!$B$2:$X$1048576,'Node Details'!G$1,0),"")</f>
        <v>Chandigarh</v>
      </c>
      <c r="H44" s="88" t="str">
        <f>_xlfn.IFNA(VLOOKUP($D45,'Route-Details'!$B$2:$X$1048576,'Node Details'!H$1,0),"")</f>
        <v>Punjab</v>
      </c>
      <c r="I44" s="88" t="str">
        <f>_xlfn.IFNA(VLOOKUP($D44,'Route-Details'!$B$2:$X$1048576,'Node Details'!I$1,0),"")</f>
        <v>AXY</v>
      </c>
      <c r="J44" s="88" t="str">
        <f>_xlfn.IFNA(VLOOKUP($D44,'Route-Details'!$B$2:$X$1048576,'Node Details'!J$1,0),"")</f>
        <v>AXY</v>
      </c>
      <c r="K44" s="76">
        <v>46112</v>
      </c>
      <c r="L44" s="76">
        <v>46113</v>
      </c>
      <c r="M44" s="89">
        <v>46125</v>
      </c>
      <c r="N44" s="76">
        <v>46112</v>
      </c>
      <c r="Q44" s="86" t="s">
        <v>958</v>
      </c>
      <c r="R44" s="90"/>
      <c r="S44" s="87"/>
      <c r="T44" s="87"/>
      <c r="U44" s="87"/>
      <c r="V44" s="93"/>
      <c r="W44" s="91"/>
      <c r="X44" s="87"/>
      <c r="Y44" s="92"/>
      <c r="Z44" s="90"/>
      <c r="AA44" s="93"/>
      <c r="AB44" s="87"/>
      <c r="AC44" s="91"/>
      <c r="AD44" s="90"/>
      <c r="AE44" s="86"/>
      <c r="AF44" s="82"/>
      <c r="AG44" s="24"/>
      <c r="AH44" s="93"/>
      <c r="AI44" s="87"/>
      <c r="AJ44" s="86"/>
      <c r="AK44" s="81"/>
      <c r="AL44" s="24"/>
      <c r="AM44" s="24"/>
      <c r="AN44" s="81"/>
      <c r="AO44" s="81"/>
      <c r="AP44" s="24"/>
      <c r="AQ44" s="93"/>
      <c r="AR44" s="94"/>
      <c r="AS44" s="82"/>
      <c r="AT44" s="82"/>
      <c r="AU44" s="24"/>
      <c r="AV44" s="93"/>
      <c r="AW44" s="94"/>
      <c r="AX44" s="95"/>
      <c r="AY44" s="95"/>
      <c r="AZ44" s="95"/>
      <c r="BA44" s="24"/>
      <c r="BB44" s="9" t="s">
        <v>114</v>
      </c>
      <c r="BC44" s="96" t="s">
        <v>93</v>
      </c>
    </row>
    <row r="45" spans="1:55" ht="15" customHeight="1">
      <c r="A45" s="86">
        <f t="shared" si="9"/>
        <v>43</v>
      </c>
      <c r="B45" s="75" t="s">
        <v>162</v>
      </c>
      <c r="C45" s="9"/>
      <c r="D45" s="76" t="s">
        <v>161</v>
      </c>
      <c r="E45" s="88" t="str">
        <f>_xlfn.IFNA(VLOOKUP($D45,'Route-Details'!$B$2:$X$1048576,'Node Details'!E$1,0),"")</f>
        <v>Airtel</v>
      </c>
      <c r="F45" s="88" t="str">
        <f>_xlfn.IFNA(VLOOKUP($D45,'Route-Details'!$B$2:$X$1048576,'Node Details'!F$1,0),"")</f>
        <v>DARIA</v>
      </c>
      <c r="G45" s="88" t="str">
        <f>_xlfn.IFNA(VLOOKUP($D45,'Route-Details'!$B$2:$X$1048576,'Node Details'!G$1,0),"")</f>
        <v>Chandigarh</v>
      </c>
      <c r="H45" s="88" t="str">
        <f>_xlfn.IFNA(VLOOKUP($D46,'Route-Details'!$B$2:$X$1048576,'Node Details'!H$1,0),"")</f>
        <v>Punjab</v>
      </c>
      <c r="I45" s="88" t="str">
        <f>_xlfn.IFNA(VLOOKUP($D45,'Route-Details'!$B$2:$X$1048576,'Node Details'!I$1,0),"")</f>
        <v>AXY</v>
      </c>
      <c r="J45" s="88" t="str">
        <f>_xlfn.IFNA(VLOOKUP($D45,'Route-Details'!$B$2:$X$1048576,'Node Details'!J$1,0),"")</f>
        <v>AXY</v>
      </c>
      <c r="K45" s="76">
        <v>46112</v>
      </c>
      <c r="L45" s="76">
        <v>46113</v>
      </c>
      <c r="M45" s="89">
        <v>46125</v>
      </c>
      <c r="N45" s="76">
        <v>46112</v>
      </c>
      <c r="Q45" s="86" t="s">
        <v>958</v>
      </c>
      <c r="R45" s="90"/>
      <c r="S45" s="87"/>
      <c r="T45" s="87"/>
      <c r="U45" s="87"/>
      <c r="V45" s="93"/>
      <c r="W45" s="91"/>
      <c r="X45" s="87"/>
      <c r="Y45" s="92"/>
      <c r="Z45" s="90"/>
      <c r="AA45" s="93"/>
      <c r="AB45" s="87"/>
      <c r="AC45" s="91"/>
      <c r="AD45" s="90"/>
      <c r="AE45" s="86"/>
      <c r="AF45" s="82"/>
      <c r="AG45" s="24"/>
      <c r="AH45" s="93"/>
      <c r="AI45" s="87"/>
      <c r="AJ45" s="86"/>
      <c r="AK45" s="81"/>
      <c r="AL45" s="24"/>
      <c r="AM45" s="24"/>
      <c r="AN45" s="81"/>
      <c r="AO45" s="81"/>
      <c r="AP45" s="24"/>
      <c r="AQ45" s="93"/>
      <c r="AR45" s="94"/>
      <c r="AS45" s="82"/>
      <c r="AT45" s="82"/>
      <c r="AU45" s="24"/>
      <c r="AV45" s="93"/>
      <c r="AW45" s="94"/>
      <c r="AX45" s="95"/>
      <c r="AY45" s="95"/>
      <c r="AZ45" s="95"/>
      <c r="BA45" s="24"/>
      <c r="BB45" s="9" t="s">
        <v>117</v>
      </c>
      <c r="BC45" s="96" t="s">
        <v>93</v>
      </c>
    </row>
    <row r="46" spans="1:55" ht="15" customHeight="1">
      <c r="A46" s="86">
        <f t="shared" si="9"/>
        <v>44</v>
      </c>
      <c r="B46" s="75" t="s">
        <v>155</v>
      </c>
      <c r="C46" s="9"/>
      <c r="D46" s="76" t="s">
        <v>153</v>
      </c>
      <c r="E46" s="88" t="str">
        <f>_xlfn.IFNA(VLOOKUP($D46,'Route-Details'!$B$2:$X$1048576,'Node Details'!E$1,0),"")</f>
        <v>Airtel</v>
      </c>
      <c r="F46" s="88" t="str">
        <f>_xlfn.IFNA(VLOOKUP($D46,'Route-Details'!$B$2:$X$1048576,'Node Details'!F$1,0),"")</f>
        <v>DARIA</v>
      </c>
      <c r="G46" s="88" t="str">
        <f>_xlfn.IFNA(VLOOKUP($D46,'Route-Details'!$B$2:$X$1048576,'Node Details'!G$1,0),"")</f>
        <v>Chandigarh</v>
      </c>
      <c r="H46" s="88" t="str">
        <f>_xlfn.IFNA(VLOOKUP($D47,'Route-Details'!$B$2:$X$1048576,'Node Details'!H$1,0),"")</f>
        <v>Punjab</v>
      </c>
      <c r="I46" s="88" t="str">
        <f>_xlfn.IFNA(VLOOKUP($D46,'Route-Details'!$B$2:$X$1048576,'Node Details'!I$1,0),"")</f>
        <v>AXY</v>
      </c>
      <c r="J46" s="88" t="str">
        <f>_xlfn.IFNA(VLOOKUP($D46,'Route-Details'!$B$2:$X$1048576,'Node Details'!J$1,0),"")</f>
        <v>AXY</v>
      </c>
      <c r="K46" s="76">
        <v>46112</v>
      </c>
      <c r="L46" s="76">
        <v>46113</v>
      </c>
      <c r="M46" s="89">
        <v>46125</v>
      </c>
      <c r="N46" s="76">
        <v>46112</v>
      </c>
      <c r="Q46" s="86" t="s">
        <v>958</v>
      </c>
      <c r="R46" s="90"/>
      <c r="S46" s="87"/>
      <c r="T46" s="87"/>
      <c r="U46" s="87"/>
      <c r="V46" s="93"/>
      <c r="W46" s="91"/>
      <c r="X46" s="87"/>
      <c r="Y46" s="92"/>
      <c r="Z46" s="90"/>
      <c r="AA46" s="93"/>
      <c r="AB46" s="87"/>
      <c r="AC46" s="91"/>
      <c r="AD46" s="90"/>
      <c r="AE46" s="86"/>
      <c r="AF46" s="82"/>
      <c r="AG46" s="24"/>
      <c r="AH46" s="93"/>
      <c r="AI46" s="87"/>
      <c r="AJ46" s="86"/>
      <c r="AK46" s="81"/>
      <c r="AL46" s="24"/>
      <c r="AM46" s="24"/>
      <c r="AN46" s="81"/>
      <c r="AO46" s="81"/>
      <c r="AP46" s="24"/>
      <c r="AQ46" s="93"/>
      <c r="AR46" s="94"/>
      <c r="AS46" s="82"/>
      <c r="AT46" s="82"/>
      <c r="AU46" s="24"/>
      <c r="AV46" s="93"/>
      <c r="AW46" s="94"/>
      <c r="AX46" s="95"/>
      <c r="AY46" s="95"/>
      <c r="AZ46" s="95"/>
      <c r="BA46" s="24"/>
      <c r="BB46" s="9" t="s">
        <v>107</v>
      </c>
      <c r="BC46" s="96" t="s">
        <v>93</v>
      </c>
    </row>
    <row r="47" spans="1:55" ht="15" customHeight="1">
      <c r="A47" s="86">
        <f t="shared" si="9"/>
        <v>45</v>
      </c>
      <c r="B47" s="75" t="s">
        <v>164</v>
      </c>
      <c r="C47" s="9"/>
      <c r="D47" s="76" t="s">
        <v>163</v>
      </c>
      <c r="E47" s="88" t="str">
        <f>_xlfn.IFNA(VLOOKUP($D47,'Route-Details'!$B$2:$X$1048576,'Node Details'!E$1,0),"")</f>
        <v>Airtel</v>
      </c>
      <c r="F47" s="88" t="str">
        <f>_xlfn.IFNA(VLOOKUP($D47,'Route-Details'!$B$2:$X$1048576,'Node Details'!F$1,0),"")</f>
        <v>DARIA</v>
      </c>
      <c r="G47" s="88" t="str">
        <f>_xlfn.IFNA(VLOOKUP($D47,'Route-Details'!$B$2:$X$1048576,'Node Details'!G$1,0),"")</f>
        <v>Chandigarh</v>
      </c>
      <c r="H47" s="88" t="str">
        <f>_xlfn.IFNA(VLOOKUP($D48,'Route-Details'!$B$2:$X$1048576,'Node Details'!H$1,0),"")</f>
        <v>Punjab</v>
      </c>
      <c r="I47" s="88" t="str">
        <f>_xlfn.IFNA(VLOOKUP($D47,'Route-Details'!$B$2:$X$1048576,'Node Details'!I$1,0),"")</f>
        <v>AXY</v>
      </c>
      <c r="J47" s="88" t="str">
        <f>_xlfn.IFNA(VLOOKUP($D47,'Route-Details'!$B$2:$X$1048576,'Node Details'!J$1,0),"")</f>
        <v>AXY</v>
      </c>
      <c r="K47" s="76">
        <v>46112</v>
      </c>
      <c r="L47" s="76">
        <v>46113</v>
      </c>
      <c r="M47" s="89">
        <v>46125</v>
      </c>
      <c r="N47" s="76">
        <v>46112</v>
      </c>
      <c r="Q47" s="86" t="s">
        <v>958</v>
      </c>
      <c r="R47" s="90"/>
      <c r="S47" s="87"/>
      <c r="T47" s="87"/>
      <c r="U47" s="87"/>
      <c r="V47" s="93"/>
      <c r="W47" s="91"/>
      <c r="X47" s="87"/>
      <c r="Y47" s="92"/>
      <c r="Z47" s="90"/>
      <c r="AA47" s="93"/>
      <c r="AB47" s="87"/>
      <c r="AC47" s="91"/>
      <c r="AD47" s="90"/>
      <c r="AE47" s="86"/>
      <c r="AF47" s="82"/>
      <c r="AG47" s="24"/>
      <c r="AH47" s="93"/>
      <c r="AI47" s="87"/>
      <c r="AJ47" s="86"/>
      <c r="AK47" s="81"/>
      <c r="AL47" s="24"/>
      <c r="AM47" s="24"/>
      <c r="AN47" s="81"/>
      <c r="AO47" s="81"/>
      <c r="AP47" s="24"/>
      <c r="AQ47" s="93"/>
      <c r="AR47" s="94"/>
      <c r="AS47" s="82"/>
      <c r="AT47" s="82"/>
      <c r="AU47" s="24"/>
      <c r="AV47" s="93"/>
      <c r="AW47" s="94"/>
      <c r="AX47" s="95"/>
      <c r="AY47" s="95"/>
      <c r="AZ47" s="95"/>
      <c r="BA47" s="24"/>
      <c r="BB47" s="9" t="s">
        <v>120</v>
      </c>
      <c r="BC47" s="96" t="s">
        <v>93</v>
      </c>
    </row>
    <row r="48" spans="1:55" ht="15" customHeight="1">
      <c r="A48" s="86">
        <f t="shared" si="9"/>
        <v>46</v>
      </c>
      <c r="B48" s="75" t="s">
        <v>168</v>
      </c>
      <c r="C48" s="9"/>
      <c r="D48" s="76" t="s">
        <v>165</v>
      </c>
      <c r="E48" s="88" t="str">
        <f>_xlfn.IFNA(VLOOKUP($D48,'Route-Details'!$B$2:$X$1048576,'Node Details'!E$1,0),"")</f>
        <v>Airtel</v>
      </c>
      <c r="F48" s="88" t="str">
        <f>_xlfn.IFNA(VLOOKUP($D48,'Route-Details'!$B$2:$X$1048576,'Node Details'!F$1,0),"")</f>
        <v>DARIA</v>
      </c>
      <c r="G48" s="88" t="str">
        <f>_xlfn.IFNA(VLOOKUP($D48,'Route-Details'!$B$2:$X$1048576,'Node Details'!G$1,0),"")</f>
        <v>Chandigarh</v>
      </c>
      <c r="H48" s="88" t="str">
        <f>_xlfn.IFNA(VLOOKUP($D49,'Route-Details'!$B$2:$X$1048576,'Node Details'!H$1,0),"")</f>
        <v>Punjab</v>
      </c>
      <c r="I48" s="88" t="str">
        <f>_xlfn.IFNA(VLOOKUP($D48,'Route-Details'!$B$2:$X$1048576,'Node Details'!I$1,0),"")</f>
        <v>AXY</v>
      </c>
      <c r="J48" s="88" t="str">
        <f>_xlfn.IFNA(VLOOKUP($D48,'Route-Details'!$B$2:$X$1048576,'Node Details'!J$1,0),"")</f>
        <v>AXY</v>
      </c>
      <c r="K48" s="76">
        <v>46112</v>
      </c>
      <c r="L48" s="76">
        <v>46113</v>
      </c>
      <c r="M48" s="89">
        <v>46125</v>
      </c>
      <c r="N48" s="76">
        <v>46112</v>
      </c>
      <c r="Q48" s="86" t="s">
        <v>958</v>
      </c>
      <c r="R48" s="90"/>
      <c r="S48" s="87"/>
      <c r="T48" s="87"/>
      <c r="U48" s="87"/>
      <c r="V48" s="93"/>
      <c r="W48" s="91"/>
      <c r="X48" s="87"/>
      <c r="Y48" s="92"/>
      <c r="Z48" s="90"/>
      <c r="AA48" s="93"/>
      <c r="AB48" s="87"/>
      <c r="AC48" s="91"/>
      <c r="AD48" s="90"/>
      <c r="AE48" s="86"/>
      <c r="AF48" s="82"/>
      <c r="AG48" s="24"/>
      <c r="AH48" s="93"/>
      <c r="AI48" s="87"/>
      <c r="AJ48" s="86"/>
      <c r="AK48" s="81"/>
      <c r="AL48" s="24"/>
      <c r="AM48" s="24"/>
      <c r="AN48" s="81"/>
      <c r="AO48" s="81"/>
      <c r="AP48" s="24"/>
      <c r="AQ48" s="93"/>
      <c r="AR48" s="94"/>
      <c r="AS48" s="82"/>
      <c r="AT48" s="82"/>
      <c r="AU48" s="24"/>
      <c r="AV48" s="93"/>
      <c r="AW48" s="94"/>
      <c r="AX48" s="95"/>
      <c r="AY48" s="95"/>
      <c r="AZ48" s="95"/>
      <c r="BA48" s="24"/>
      <c r="BB48" s="9" t="s">
        <v>123</v>
      </c>
      <c r="BC48" s="96" t="s">
        <v>93</v>
      </c>
    </row>
    <row r="49" spans="1:55" ht="15" customHeight="1">
      <c r="A49" s="86">
        <f t="shared" si="9"/>
        <v>47</v>
      </c>
      <c r="B49" s="75" t="s">
        <v>166</v>
      </c>
      <c r="C49" s="9"/>
      <c r="D49" s="76" t="s">
        <v>165</v>
      </c>
      <c r="E49" s="88" t="str">
        <f>_xlfn.IFNA(VLOOKUP($D49,'Route-Details'!$B$2:$X$1048576,'Node Details'!E$1,0),"")</f>
        <v>Airtel</v>
      </c>
      <c r="F49" s="88" t="str">
        <f>_xlfn.IFNA(VLOOKUP($D49,'Route-Details'!$B$2:$X$1048576,'Node Details'!F$1,0),"")</f>
        <v>DARIA</v>
      </c>
      <c r="G49" s="88" t="str">
        <f>_xlfn.IFNA(VLOOKUP($D49,'Route-Details'!$B$2:$X$1048576,'Node Details'!G$1,0),"")</f>
        <v>Chandigarh</v>
      </c>
      <c r="H49" s="88" t="str">
        <f>_xlfn.IFNA(VLOOKUP($D50,'Route-Details'!$B$2:$X$1048576,'Node Details'!H$1,0),"")</f>
        <v>Punjab</v>
      </c>
      <c r="I49" s="88" t="str">
        <f>_xlfn.IFNA(VLOOKUP($D49,'Route-Details'!$B$2:$X$1048576,'Node Details'!I$1,0),"")</f>
        <v>AXY</v>
      </c>
      <c r="J49" s="88" t="str">
        <f>_xlfn.IFNA(VLOOKUP($D49,'Route-Details'!$B$2:$X$1048576,'Node Details'!J$1,0),"")</f>
        <v>AXY</v>
      </c>
      <c r="K49" s="76">
        <v>46112</v>
      </c>
      <c r="L49" s="76">
        <v>46113</v>
      </c>
      <c r="M49" s="89">
        <v>46125</v>
      </c>
      <c r="N49" s="76">
        <v>46112</v>
      </c>
      <c r="Q49" s="86" t="s">
        <v>958</v>
      </c>
      <c r="R49" s="90"/>
      <c r="S49" s="87"/>
      <c r="T49" s="87"/>
      <c r="U49" s="87"/>
      <c r="V49" s="93"/>
      <c r="W49" s="91"/>
      <c r="X49" s="87"/>
      <c r="Y49" s="92"/>
      <c r="Z49" s="90"/>
      <c r="AA49" s="93"/>
      <c r="AB49" s="87"/>
      <c r="AC49" s="91"/>
      <c r="AD49" s="90"/>
      <c r="AE49" s="86"/>
      <c r="AF49" s="82"/>
      <c r="AG49" s="24"/>
      <c r="AH49" s="93"/>
      <c r="AI49" s="87"/>
      <c r="AJ49" s="86"/>
      <c r="AK49" s="81"/>
      <c r="AL49" s="24"/>
      <c r="AM49" s="24"/>
      <c r="AN49" s="81"/>
      <c r="AO49" s="81"/>
      <c r="AP49" s="24"/>
      <c r="AQ49" s="93"/>
      <c r="AR49" s="94"/>
      <c r="AS49" s="82"/>
      <c r="AT49" s="82"/>
      <c r="AU49" s="24"/>
      <c r="AV49" s="93"/>
      <c r="AW49" s="94"/>
      <c r="AX49" s="95"/>
      <c r="AY49" s="95"/>
      <c r="AZ49" s="95"/>
      <c r="BA49" s="24"/>
      <c r="BB49" s="9" t="s">
        <v>123</v>
      </c>
      <c r="BC49" s="96" t="s">
        <v>93</v>
      </c>
    </row>
    <row r="50" spans="1:55" ht="15" customHeight="1">
      <c r="A50" s="86">
        <f t="shared" si="9"/>
        <v>48</v>
      </c>
      <c r="B50" s="75" t="s">
        <v>169</v>
      </c>
      <c r="C50" s="9"/>
      <c r="D50" s="76" t="s">
        <v>167</v>
      </c>
      <c r="E50" s="88" t="str">
        <f>_xlfn.IFNA(VLOOKUP($D50,'Route-Details'!$B$2:$X$1048576,'Node Details'!E$1,0),"")</f>
        <v>Airtel</v>
      </c>
      <c r="F50" s="88" t="str">
        <f>_xlfn.IFNA(VLOOKUP($D50,'Route-Details'!$B$2:$X$1048576,'Node Details'!F$1,0),"")</f>
        <v>DARIA</v>
      </c>
      <c r="G50" s="88" t="str">
        <f>_xlfn.IFNA(VLOOKUP($D50,'Route-Details'!$B$2:$X$1048576,'Node Details'!G$1,0),"")</f>
        <v>Chandigarh</v>
      </c>
      <c r="H50" s="88" t="str">
        <f>_xlfn.IFNA(VLOOKUP($D51,'Route-Details'!$B$2:$X$1048576,'Node Details'!H$1,0),"")</f>
        <v>Punjab</v>
      </c>
      <c r="I50" s="88" t="str">
        <f>_xlfn.IFNA(VLOOKUP($D50,'Route-Details'!$B$2:$X$1048576,'Node Details'!I$1,0),"")</f>
        <v>AXY</v>
      </c>
      <c r="J50" s="88" t="str">
        <f>_xlfn.IFNA(VLOOKUP($D50,'Route-Details'!$B$2:$X$1048576,'Node Details'!J$1,0),"")</f>
        <v>AXY</v>
      </c>
      <c r="K50" s="76">
        <v>46112</v>
      </c>
      <c r="L50" s="76">
        <v>46113</v>
      </c>
      <c r="M50" s="89">
        <v>46125</v>
      </c>
      <c r="N50" s="76">
        <v>46112</v>
      </c>
      <c r="Q50" s="86" t="s">
        <v>958</v>
      </c>
      <c r="R50" s="90"/>
      <c r="S50" s="87"/>
      <c r="T50" s="87"/>
      <c r="U50" s="87"/>
      <c r="V50" s="93"/>
      <c r="W50" s="91"/>
      <c r="X50" s="87"/>
      <c r="Y50" s="92"/>
      <c r="Z50" s="90"/>
      <c r="AA50" s="93"/>
      <c r="AB50" s="87"/>
      <c r="AC50" s="91"/>
      <c r="AD50" s="90"/>
      <c r="AE50" s="86"/>
      <c r="AF50" s="82"/>
      <c r="AG50" s="24"/>
      <c r="AH50" s="93"/>
      <c r="AI50" s="87"/>
      <c r="AJ50" s="86"/>
      <c r="AK50" s="81"/>
      <c r="AL50" s="24"/>
      <c r="AM50" s="24"/>
      <c r="AN50" s="81"/>
      <c r="AO50" s="81"/>
      <c r="AP50" s="24"/>
      <c r="AQ50" s="93"/>
      <c r="AR50" s="94"/>
      <c r="AS50" s="82"/>
      <c r="AT50" s="82"/>
      <c r="AU50" s="24"/>
      <c r="AV50" s="93"/>
      <c r="AW50" s="94"/>
      <c r="AX50" s="95"/>
      <c r="AY50" s="95"/>
      <c r="AZ50" s="95"/>
      <c r="BA50" s="24"/>
      <c r="BB50" s="9" t="s">
        <v>126</v>
      </c>
      <c r="BC50" s="96" t="s">
        <v>93</v>
      </c>
    </row>
    <row r="51" spans="1:55" ht="15" customHeight="1">
      <c r="A51" s="86">
        <f t="shared" si="9"/>
        <v>49</v>
      </c>
      <c r="B51" s="75" t="s">
        <v>174</v>
      </c>
      <c r="C51" s="9"/>
      <c r="D51" s="76" t="s">
        <v>170</v>
      </c>
      <c r="E51" s="88" t="str">
        <f>_xlfn.IFNA(VLOOKUP($D51,'Route-Details'!$B$2:$X$1048576,'Node Details'!E$1,0),"")</f>
        <v>Airtel</v>
      </c>
      <c r="F51" s="88" t="str">
        <f>_xlfn.IFNA(VLOOKUP($D51,'Route-Details'!$B$2:$X$1048576,'Node Details'!F$1,0),"")</f>
        <v>DARIA</v>
      </c>
      <c r="G51" s="88" t="str">
        <f>_xlfn.IFNA(VLOOKUP($D51,'Route-Details'!$B$2:$X$1048576,'Node Details'!G$1,0),"")</f>
        <v>Chandigarh</v>
      </c>
      <c r="H51" s="88" t="str">
        <f>_xlfn.IFNA(VLOOKUP($D52,'Route-Details'!$B$2:$X$1048576,'Node Details'!H$1,0),"")</f>
        <v>Punjab</v>
      </c>
      <c r="I51" s="88" t="str">
        <f>_xlfn.IFNA(VLOOKUP($D51,'Route-Details'!$B$2:$X$1048576,'Node Details'!I$1,0),"")</f>
        <v>AXY</v>
      </c>
      <c r="J51" s="88" t="str">
        <f>_xlfn.IFNA(VLOOKUP($D51,'Route-Details'!$B$2:$X$1048576,'Node Details'!J$1,0),"")</f>
        <v>AXY</v>
      </c>
      <c r="K51" s="76">
        <v>46112</v>
      </c>
      <c r="L51" s="76">
        <v>46113</v>
      </c>
      <c r="M51" s="89">
        <v>46125</v>
      </c>
      <c r="N51" s="76">
        <v>46112</v>
      </c>
      <c r="Q51" s="86" t="s">
        <v>958</v>
      </c>
      <c r="R51" s="90"/>
      <c r="S51" s="87"/>
      <c r="T51" s="87"/>
      <c r="U51" s="87"/>
      <c r="V51" s="93"/>
      <c r="W51" s="91"/>
      <c r="X51" s="87"/>
      <c r="Y51" s="92"/>
      <c r="Z51" s="90"/>
      <c r="AA51" s="93"/>
      <c r="AB51" s="87"/>
      <c r="AC51" s="91"/>
      <c r="AD51" s="90"/>
      <c r="AE51" s="86"/>
      <c r="AF51" s="82"/>
      <c r="AG51" s="24"/>
      <c r="AH51" s="93"/>
      <c r="AI51" s="87"/>
      <c r="AJ51" s="86"/>
      <c r="AK51" s="81"/>
      <c r="AL51" s="24"/>
      <c r="AM51" s="24"/>
      <c r="AN51" s="81"/>
      <c r="AO51" s="81"/>
      <c r="AP51" s="24"/>
      <c r="AQ51" s="93"/>
      <c r="AR51" s="94"/>
      <c r="AS51" s="82"/>
      <c r="AT51" s="82"/>
      <c r="AU51" s="24"/>
      <c r="AV51" s="93"/>
      <c r="AW51" s="94"/>
      <c r="AX51" s="95"/>
      <c r="AY51" s="95"/>
      <c r="AZ51" s="95"/>
      <c r="BA51" s="24"/>
      <c r="BB51" s="9" t="s">
        <v>129</v>
      </c>
      <c r="BC51" s="96" t="s">
        <v>93</v>
      </c>
    </row>
    <row r="52" spans="1:55" ht="15" customHeight="1">
      <c r="A52" s="86">
        <f t="shared" si="9"/>
        <v>50</v>
      </c>
      <c r="B52" s="75" t="s">
        <v>172</v>
      </c>
      <c r="C52" s="9"/>
      <c r="D52" s="76" t="s">
        <v>170</v>
      </c>
      <c r="E52" s="88" t="str">
        <f>_xlfn.IFNA(VLOOKUP($D52,'Route-Details'!$B$2:$X$1048576,'Node Details'!E$1,0),"")</f>
        <v>Airtel</v>
      </c>
      <c r="F52" s="88" t="str">
        <f>_xlfn.IFNA(VLOOKUP($D52,'Route-Details'!$B$2:$X$1048576,'Node Details'!F$1,0),"")</f>
        <v>DARIA</v>
      </c>
      <c r="G52" s="88" t="str">
        <f>_xlfn.IFNA(VLOOKUP($D52,'Route-Details'!$B$2:$X$1048576,'Node Details'!G$1,0),"")</f>
        <v>Chandigarh</v>
      </c>
      <c r="H52" s="88" t="str">
        <f>_xlfn.IFNA(VLOOKUP($D53,'Route-Details'!$B$2:$X$1048576,'Node Details'!H$1,0),"")</f>
        <v>Punjab</v>
      </c>
      <c r="I52" s="88" t="str">
        <f>_xlfn.IFNA(VLOOKUP($D52,'Route-Details'!$B$2:$X$1048576,'Node Details'!I$1,0),"")</f>
        <v>AXY</v>
      </c>
      <c r="J52" s="88" t="str">
        <f>_xlfn.IFNA(VLOOKUP($D52,'Route-Details'!$B$2:$X$1048576,'Node Details'!J$1,0),"")</f>
        <v>AXY</v>
      </c>
      <c r="K52" s="76">
        <v>46112</v>
      </c>
      <c r="L52" s="76">
        <v>46113</v>
      </c>
      <c r="M52" s="89">
        <v>46125</v>
      </c>
      <c r="N52" s="76">
        <v>46112</v>
      </c>
      <c r="Q52" s="86" t="s">
        <v>958</v>
      </c>
      <c r="R52" s="90"/>
      <c r="S52" s="87"/>
      <c r="T52" s="87"/>
      <c r="U52" s="87"/>
      <c r="V52" s="93"/>
      <c r="W52" s="91"/>
      <c r="X52" s="87"/>
      <c r="Y52" s="92"/>
      <c r="Z52" s="90"/>
      <c r="AA52" s="93"/>
      <c r="AB52" s="87"/>
      <c r="AC52" s="91"/>
      <c r="AD52" s="90"/>
      <c r="AE52" s="86"/>
      <c r="AF52" s="82"/>
      <c r="AG52" s="24"/>
      <c r="AH52" s="93"/>
      <c r="AI52" s="87"/>
      <c r="AJ52" s="86"/>
      <c r="AK52" s="81"/>
      <c r="AL52" s="24"/>
      <c r="AM52" s="24"/>
      <c r="AN52" s="81"/>
      <c r="AO52" s="81"/>
      <c r="AP52" s="24"/>
      <c r="AQ52" s="93"/>
      <c r="AR52" s="94"/>
      <c r="AS52" s="82"/>
      <c r="AT52" s="82"/>
      <c r="AU52" s="24"/>
      <c r="AV52" s="93"/>
      <c r="AW52" s="94"/>
      <c r="AX52" s="95"/>
      <c r="AY52" s="95"/>
      <c r="AZ52" s="95"/>
      <c r="BA52" s="24"/>
      <c r="BB52" s="9" t="s">
        <v>129</v>
      </c>
      <c r="BC52" s="96" t="s">
        <v>93</v>
      </c>
    </row>
    <row r="53" spans="1:55" ht="15" customHeight="1">
      <c r="A53" s="86">
        <f t="shared" si="9"/>
        <v>51</v>
      </c>
      <c r="B53" s="75" t="s">
        <v>175</v>
      </c>
      <c r="C53" s="9"/>
      <c r="D53" s="76" t="s">
        <v>173</v>
      </c>
      <c r="E53" s="88" t="str">
        <f>_xlfn.IFNA(VLOOKUP($D53,'Route-Details'!$B$2:$X$1048576,'Node Details'!E$1,0),"")</f>
        <v>Airtel</v>
      </c>
      <c r="F53" s="88" t="str">
        <f>_xlfn.IFNA(VLOOKUP($D53,'Route-Details'!$B$2:$X$1048576,'Node Details'!F$1,0),"")</f>
        <v>DARIA</v>
      </c>
      <c r="G53" s="88" t="str">
        <f>_xlfn.IFNA(VLOOKUP($D53,'Route-Details'!$B$2:$X$1048576,'Node Details'!G$1,0),"")</f>
        <v>Chandigarh</v>
      </c>
      <c r="H53" s="88" t="str">
        <f>_xlfn.IFNA(VLOOKUP($D54,'Route-Details'!$B$2:$X$1048576,'Node Details'!H$1,0),"")</f>
        <v>Punjab</v>
      </c>
      <c r="I53" s="88" t="str">
        <f>_xlfn.IFNA(VLOOKUP($D53,'Route-Details'!$B$2:$X$1048576,'Node Details'!I$1,0),"")</f>
        <v>AXY</v>
      </c>
      <c r="J53" s="88" t="str">
        <f>_xlfn.IFNA(VLOOKUP($D53,'Route-Details'!$B$2:$X$1048576,'Node Details'!J$1,0),"")</f>
        <v>AXY</v>
      </c>
      <c r="K53" s="76">
        <v>46112</v>
      </c>
      <c r="L53" s="76">
        <v>46113</v>
      </c>
      <c r="M53" s="89">
        <v>46125</v>
      </c>
      <c r="N53" s="76">
        <v>46112</v>
      </c>
      <c r="Q53" s="86" t="s">
        <v>958</v>
      </c>
      <c r="R53" s="90"/>
      <c r="S53" s="87"/>
      <c r="T53" s="87"/>
      <c r="U53" s="87"/>
      <c r="V53" s="93"/>
      <c r="W53" s="91"/>
      <c r="X53" s="87"/>
      <c r="Y53" s="92"/>
      <c r="Z53" s="90"/>
      <c r="AA53" s="93"/>
      <c r="AB53" s="87"/>
      <c r="AC53" s="91"/>
      <c r="AD53" s="90"/>
      <c r="AE53" s="86"/>
      <c r="AF53" s="82"/>
      <c r="AG53" s="24"/>
      <c r="AH53" s="93"/>
      <c r="AI53" s="87"/>
      <c r="AJ53" s="86"/>
      <c r="AK53" s="81"/>
      <c r="AL53" s="24"/>
      <c r="AM53" s="24"/>
      <c r="AN53" s="81"/>
      <c r="AO53" s="81"/>
      <c r="AP53" s="24"/>
      <c r="AQ53" s="93"/>
      <c r="AR53" s="94"/>
      <c r="AS53" s="82"/>
      <c r="AT53" s="82"/>
      <c r="AU53" s="24"/>
      <c r="AV53" s="93"/>
      <c r="AW53" s="94"/>
      <c r="AX53" s="95"/>
      <c r="AY53" s="95"/>
      <c r="AZ53" s="95"/>
      <c r="BA53" s="24"/>
      <c r="BB53" s="9" t="s">
        <v>135</v>
      </c>
      <c r="BC53" s="96" t="s">
        <v>93</v>
      </c>
    </row>
    <row r="54" spans="1:55" ht="15" customHeight="1">
      <c r="A54" s="86">
        <f t="shared" si="9"/>
        <v>52</v>
      </c>
      <c r="B54" s="75" t="s">
        <v>981</v>
      </c>
      <c r="C54" s="9"/>
      <c r="D54" s="76" t="s">
        <v>176</v>
      </c>
      <c r="E54" s="88" t="str">
        <f>_xlfn.IFNA(VLOOKUP($D54,'Route-Details'!$B$2:$X$1048576,'Node Details'!E$1,0),"")</f>
        <v>Airtel</v>
      </c>
      <c r="F54" s="88" t="str">
        <f>_xlfn.IFNA(VLOOKUP($D54,'Route-Details'!$B$2:$X$1048576,'Node Details'!F$1,0),"")</f>
        <v>DARIA</v>
      </c>
      <c r="G54" s="88" t="str">
        <f>_xlfn.IFNA(VLOOKUP($D54,'Route-Details'!$B$2:$X$1048576,'Node Details'!G$1,0),"")</f>
        <v>Chandigarh</v>
      </c>
      <c r="H54" s="88" t="str">
        <f>_xlfn.IFNA(VLOOKUP($D55,'Route-Details'!$B$2:$X$1048576,'Node Details'!H$1,0),"")</f>
        <v>Punjab</v>
      </c>
      <c r="I54" s="88" t="str">
        <f>_xlfn.IFNA(VLOOKUP($D54,'Route-Details'!$B$2:$X$1048576,'Node Details'!I$1,0),"")</f>
        <v>AXY</v>
      </c>
      <c r="J54" s="88" t="str">
        <f>_xlfn.IFNA(VLOOKUP($D54,'Route-Details'!$B$2:$X$1048576,'Node Details'!J$1,0),"")</f>
        <v>AXY</v>
      </c>
      <c r="K54" s="76">
        <v>46112</v>
      </c>
      <c r="L54" s="76">
        <v>46113</v>
      </c>
      <c r="M54" s="89">
        <v>46125</v>
      </c>
      <c r="N54" s="76">
        <v>46112</v>
      </c>
      <c r="Q54" s="86" t="s">
        <v>958</v>
      </c>
      <c r="R54" s="90"/>
      <c r="S54" s="87"/>
      <c r="T54" s="87"/>
      <c r="U54" s="87"/>
      <c r="V54" s="93"/>
      <c r="W54" s="91"/>
      <c r="X54" s="87"/>
      <c r="Y54" s="92"/>
      <c r="Z54" s="90"/>
      <c r="AA54" s="93"/>
      <c r="AB54" s="87"/>
      <c r="AC54" s="91"/>
      <c r="AD54" s="90"/>
      <c r="AE54" s="86"/>
      <c r="AF54" s="82"/>
      <c r="AG54" s="24"/>
      <c r="AH54" s="93"/>
      <c r="AI54" s="87"/>
      <c r="AJ54" s="86"/>
      <c r="AK54" s="81"/>
      <c r="AL54" s="24"/>
      <c r="AM54" s="24"/>
      <c r="AN54" s="81"/>
      <c r="AO54" s="81"/>
      <c r="AP54" s="24"/>
      <c r="AQ54" s="93"/>
      <c r="AR54" s="94"/>
      <c r="AS54" s="82"/>
      <c r="AT54" s="82"/>
      <c r="AU54" s="24"/>
      <c r="AV54" s="93"/>
      <c r="AW54" s="94"/>
      <c r="AX54" s="95"/>
      <c r="AY54" s="95"/>
      <c r="AZ54" s="95"/>
      <c r="BA54" s="24"/>
      <c r="BB54" s="9" t="s">
        <v>138</v>
      </c>
      <c r="BC54" s="96" t="s">
        <v>93</v>
      </c>
    </row>
    <row r="55" spans="1:55" ht="15" customHeight="1">
      <c r="A55" s="86">
        <f t="shared" si="9"/>
        <v>53</v>
      </c>
      <c r="B55" s="75" t="s">
        <v>177</v>
      </c>
      <c r="C55" s="9"/>
      <c r="D55" s="76" t="s">
        <v>176</v>
      </c>
      <c r="E55" s="88" t="str">
        <f>_xlfn.IFNA(VLOOKUP($D55,'Route-Details'!$B$2:$X$1048576,'Node Details'!E$1,0),"")</f>
        <v>Airtel</v>
      </c>
      <c r="F55" s="88" t="str">
        <f>_xlfn.IFNA(VLOOKUP($D55,'Route-Details'!$B$2:$X$1048576,'Node Details'!F$1,0),"")</f>
        <v>DARIA</v>
      </c>
      <c r="G55" s="88" t="str">
        <f>_xlfn.IFNA(VLOOKUP($D55,'Route-Details'!$B$2:$X$1048576,'Node Details'!G$1,0),"")</f>
        <v>Chandigarh</v>
      </c>
      <c r="H55" s="88" t="str">
        <f>_xlfn.IFNA(VLOOKUP($D56,'Route-Details'!$B$2:$X$1048576,'Node Details'!H$1,0),"")</f>
        <v>Punjab</v>
      </c>
      <c r="I55" s="88" t="str">
        <f>_xlfn.IFNA(VLOOKUP($D55,'Route-Details'!$B$2:$X$1048576,'Node Details'!I$1,0),"")</f>
        <v>AXY</v>
      </c>
      <c r="J55" s="88" t="str">
        <f>_xlfn.IFNA(VLOOKUP($D55,'Route-Details'!$B$2:$X$1048576,'Node Details'!J$1,0),"")</f>
        <v>AXY</v>
      </c>
      <c r="K55" s="76">
        <v>46112</v>
      </c>
      <c r="L55" s="76">
        <v>46113</v>
      </c>
      <c r="M55" s="89">
        <v>46125</v>
      </c>
      <c r="N55" s="76">
        <v>46112</v>
      </c>
      <c r="Q55" s="86" t="s">
        <v>958</v>
      </c>
      <c r="R55" s="90"/>
      <c r="S55" s="87"/>
      <c r="T55" s="87"/>
      <c r="U55" s="87"/>
      <c r="V55" s="93"/>
      <c r="W55" s="91"/>
      <c r="X55" s="87"/>
      <c r="Y55" s="92"/>
      <c r="Z55" s="90"/>
      <c r="AA55" s="93"/>
      <c r="AB55" s="87"/>
      <c r="AC55" s="91"/>
      <c r="AD55" s="90"/>
      <c r="AE55" s="86"/>
      <c r="AF55" s="82"/>
      <c r="AG55" s="24"/>
      <c r="AH55" s="93"/>
      <c r="AI55" s="87"/>
      <c r="AJ55" s="86"/>
      <c r="AK55" s="81"/>
      <c r="AL55" s="24"/>
      <c r="AM55" s="24"/>
      <c r="AN55" s="81"/>
      <c r="AO55" s="81"/>
      <c r="AP55" s="24"/>
      <c r="AQ55" s="93"/>
      <c r="AR55" s="94"/>
      <c r="AS55" s="82"/>
      <c r="AT55" s="82"/>
      <c r="AU55" s="24"/>
      <c r="AV55" s="93"/>
      <c r="AW55" s="94"/>
      <c r="AX55" s="95"/>
      <c r="AY55" s="95"/>
      <c r="AZ55" s="95"/>
      <c r="BA55" s="24"/>
      <c r="BB55" s="9" t="s">
        <v>138</v>
      </c>
      <c r="BC55" s="96" t="s">
        <v>93</v>
      </c>
    </row>
    <row r="56" spans="1:55" ht="15" customHeight="1">
      <c r="A56" s="86">
        <f t="shared" si="9"/>
        <v>54</v>
      </c>
      <c r="B56" s="75" t="s">
        <v>151</v>
      </c>
      <c r="C56" s="9"/>
      <c r="D56" s="76" t="s">
        <v>139</v>
      </c>
      <c r="E56" s="88" t="str">
        <f>_xlfn.IFNA(VLOOKUP($D56,'Route-Details'!$B$2:$X$1048576,'Node Details'!E$1,0),"")</f>
        <v>Airtel</v>
      </c>
      <c r="F56" s="88" t="str">
        <f>_xlfn.IFNA(VLOOKUP($D56,'Route-Details'!$B$2:$X$1048576,'Node Details'!F$1,0),"")</f>
        <v>DARIA</v>
      </c>
      <c r="G56" s="88" t="str">
        <f>_xlfn.IFNA(VLOOKUP($D56,'Route-Details'!$B$2:$X$1048576,'Node Details'!G$1,0),"")</f>
        <v>Chandigarh</v>
      </c>
      <c r="H56" s="88" t="str">
        <f>_xlfn.IFNA(VLOOKUP($D57,'Route-Details'!$B$2:$X$1048576,'Node Details'!H$1,0),"")</f>
        <v>Punjab</v>
      </c>
      <c r="I56" s="88" t="str">
        <f>_xlfn.IFNA(VLOOKUP($D56,'Route-Details'!$B$2:$X$1048576,'Node Details'!I$1,0),"")</f>
        <v>AXY</v>
      </c>
      <c r="J56" s="88" t="str">
        <f>_xlfn.IFNA(VLOOKUP($D56,'Route-Details'!$B$2:$X$1048576,'Node Details'!J$1,0),"")</f>
        <v>AXY</v>
      </c>
      <c r="K56" s="76">
        <v>46112</v>
      </c>
      <c r="L56" s="76">
        <v>46113</v>
      </c>
      <c r="M56" s="89">
        <v>46125</v>
      </c>
      <c r="N56" s="76">
        <v>46112</v>
      </c>
      <c r="Q56" s="86" t="s">
        <v>958</v>
      </c>
      <c r="R56" s="90"/>
      <c r="S56" s="87"/>
      <c r="T56" s="87"/>
      <c r="U56" s="87"/>
      <c r="V56" s="93"/>
      <c r="W56" s="91"/>
      <c r="X56" s="87"/>
      <c r="Y56" s="92"/>
      <c r="Z56" s="90"/>
      <c r="AA56" s="93"/>
      <c r="AB56" s="87"/>
      <c r="AC56" s="91"/>
      <c r="AD56" s="90"/>
      <c r="AE56" s="86"/>
      <c r="AF56" s="82"/>
      <c r="AG56" s="24"/>
      <c r="AH56" s="93"/>
      <c r="AI56" s="87"/>
      <c r="AJ56" s="86"/>
      <c r="AK56" s="81"/>
      <c r="AL56" s="24"/>
      <c r="AM56" s="24"/>
      <c r="AN56" s="81"/>
      <c r="AO56" s="81"/>
      <c r="AP56" s="24"/>
      <c r="AQ56" s="93"/>
      <c r="AR56" s="94"/>
      <c r="AS56" s="82"/>
      <c r="AT56" s="82"/>
      <c r="AU56" s="24"/>
      <c r="AV56" s="93"/>
      <c r="AW56" s="94"/>
      <c r="AX56" s="95"/>
      <c r="AY56" s="95"/>
      <c r="AZ56" s="95"/>
      <c r="BA56" s="24"/>
      <c r="BB56" s="9" t="s">
        <v>92</v>
      </c>
      <c r="BC56" s="96" t="s">
        <v>93</v>
      </c>
    </row>
    <row r="57" spans="1:55" ht="15" customHeight="1">
      <c r="A57" s="86">
        <f t="shared" si="9"/>
        <v>55</v>
      </c>
      <c r="B57" s="75" t="s">
        <v>179</v>
      </c>
      <c r="C57" s="9"/>
      <c r="D57" s="76" t="s">
        <v>178</v>
      </c>
      <c r="E57" s="88" t="str">
        <f>_xlfn.IFNA(VLOOKUP($D57,'Route-Details'!$B$2:$X$1048576,'Node Details'!E$1,0),"")</f>
        <v>Airtel</v>
      </c>
      <c r="F57" s="88" t="str">
        <f>_xlfn.IFNA(VLOOKUP($D57,'Route-Details'!$B$2:$X$1048576,'Node Details'!F$1,0),"")</f>
        <v>DARIA</v>
      </c>
      <c r="G57" s="88" t="str">
        <f>_xlfn.IFNA(VLOOKUP($D57,'Route-Details'!$B$2:$X$1048576,'Node Details'!G$1,0),"")</f>
        <v>Chandigarh</v>
      </c>
      <c r="H57" s="88" t="str">
        <f>_xlfn.IFNA(VLOOKUP($D58,'Route-Details'!$B$2:$X$1048576,'Node Details'!H$1,0),"")</f>
        <v>Punjab</v>
      </c>
      <c r="I57" s="88" t="str">
        <f>_xlfn.IFNA(VLOOKUP($D57,'Route-Details'!$B$2:$X$1048576,'Node Details'!I$1,0),"")</f>
        <v>AXY</v>
      </c>
      <c r="J57" s="88" t="str">
        <f>_xlfn.IFNA(VLOOKUP($D57,'Route-Details'!$B$2:$X$1048576,'Node Details'!J$1,0),"")</f>
        <v>AXY</v>
      </c>
      <c r="K57" s="76">
        <v>46112</v>
      </c>
      <c r="L57" s="76">
        <v>46113</v>
      </c>
      <c r="M57" s="89">
        <v>46125</v>
      </c>
      <c r="N57" s="76">
        <v>46112</v>
      </c>
      <c r="Q57" s="86" t="s">
        <v>958</v>
      </c>
      <c r="R57" s="90"/>
      <c r="S57" s="87"/>
      <c r="T57" s="87"/>
      <c r="U57" s="87"/>
      <c r="V57" s="93"/>
      <c r="W57" s="91"/>
      <c r="X57" s="87"/>
      <c r="Y57" s="92"/>
      <c r="Z57" s="90"/>
      <c r="AA57" s="93"/>
      <c r="AB57" s="87"/>
      <c r="AC57" s="91"/>
      <c r="AD57" s="90"/>
      <c r="AE57" s="86"/>
      <c r="AF57" s="82"/>
      <c r="AG57" s="24"/>
      <c r="AH57" s="93"/>
      <c r="AI57" s="87"/>
      <c r="AJ57" s="86"/>
      <c r="AK57" s="81"/>
      <c r="AL57" s="24"/>
      <c r="AM57" s="24"/>
      <c r="AN57" s="81"/>
      <c r="AO57" s="81"/>
      <c r="AP57" s="24"/>
      <c r="AQ57" s="93"/>
      <c r="AR57" s="94"/>
      <c r="AS57" s="82"/>
      <c r="AT57" s="82"/>
      <c r="AU57" s="24"/>
      <c r="AV57" s="93"/>
      <c r="AW57" s="94"/>
      <c r="AX57" s="95"/>
      <c r="AY57" s="95"/>
      <c r="AZ57" s="95"/>
      <c r="BA57" s="24"/>
      <c r="BB57" s="9" t="s">
        <v>132</v>
      </c>
      <c r="BC57" s="96" t="s">
        <v>93</v>
      </c>
    </row>
    <row r="58" spans="1:55" ht="15" customHeight="1">
      <c r="A58" s="86">
        <f t="shared" si="9"/>
        <v>56</v>
      </c>
      <c r="B58" s="75" t="s">
        <v>982</v>
      </c>
      <c r="C58" s="9"/>
      <c r="D58" s="76" t="s">
        <v>180</v>
      </c>
      <c r="E58" s="88" t="str">
        <f>_xlfn.IFNA(VLOOKUP($D58,'Route-Details'!$B$2:$X$1048576,'Node Details'!E$1,0),"")</f>
        <v>Airtel</v>
      </c>
      <c r="F58" s="88" t="str">
        <f>_xlfn.IFNA(VLOOKUP($D58,'Route-Details'!$B$2:$X$1048576,'Node Details'!F$1,0),"")</f>
        <v>DARIA</v>
      </c>
      <c r="G58" s="88" t="str">
        <f>_xlfn.IFNA(VLOOKUP($D58,'Route-Details'!$B$2:$X$1048576,'Node Details'!G$1,0),"")</f>
        <v>Chandigarh</v>
      </c>
      <c r="H58" s="88" t="str">
        <f>_xlfn.IFNA(VLOOKUP($D59,'Route-Details'!$B$2:$X$1048576,'Node Details'!H$1,0),"")</f>
        <v>Punjab</v>
      </c>
      <c r="I58" s="88" t="str">
        <f>_xlfn.IFNA(VLOOKUP($D58,'Route-Details'!$B$2:$X$1048576,'Node Details'!I$1,0),"")</f>
        <v>AXY</v>
      </c>
      <c r="J58" s="88" t="str">
        <f>_xlfn.IFNA(VLOOKUP($D58,'Route-Details'!$B$2:$X$1048576,'Node Details'!J$1,0),"")</f>
        <v>AXY</v>
      </c>
      <c r="K58" s="76">
        <v>46112</v>
      </c>
      <c r="L58" s="76">
        <v>46113</v>
      </c>
      <c r="M58" s="89">
        <v>46125</v>
      </c>
      <c r="N58" s="76">
        <v>46112</v>
      </c>
      <c r="Q58" s="86" t="s">
        <v>958</v>
      </c>
      <c r="R58" s="90"/>
      <c r="S58" s="87"/>
      <c r="T58" s="87"/>
      <c r="U58" s="87"/>
      <c r="V58" s="93"/>
      <c r="W58" s="91"/>
      <c r="X58" s="87"/>
      <c r="Y58" s="92"/>
      <c r="Z58" s="90"/>
      <c r="AA58" s="93"/>
      <c r="AB58" s="87"/>
      <c r="AC58" s="91"/>
      <c r="AD58" s="90"/>
      <c r="AE58" s="86"/>
      <c r="AF58" s="82"/>
      <c r="AG58" s="24"/>
      <c r="AH58" s="93"/>
      <c r="AI58" s="87"/>
      <c r="AJ58" s="86"/>
      <c r="AK58" s="81"/>
      <c r="AL58" s="24"/>
      <c r="AM58" s="24"/>
      <c r="AN58" s="81"/>
      <c r="AO58" s="81"/>
      <c r="AP58" s="24"/>
      <c r="AQ58" s="93"/>
      <c r="AR58" s="94"/>
      <c r="AS58" s="82"/>
      <c r="AT58" s="82"/>
      <c r="AU58" s="24"/>
      <c r="AV58" s="93"/>
      <c r="AW58" s="94"/>
      <c r="AX58" s="95"/>
      <c r="AY58" s="95"/>
      <c r="AZ58" s="95"/>
      <c r="BA58" s="24"/>
      <c r="BB58" s="9" t="s">
        <v>182</v>
      </c>
      <c r="BC58" s="96" t="s">
        <v>93</v>
      </c>
    </row>
    <row r="59" spans="1:55" ht="15" customHeight="1">
      <c r="A59" s="86">
        <f t="shared" si="9"/>
        <v>57</v>
      </c>
      <c r="B59" s="75" t="s">
        <v>983</v>
      </c>
      <c r="C59" s="9"/>
      <c r="D59" s="76" t="s">
        <v>183</v>
      </c>
      <c r="E59" s="88" t="str">
        <f>_xlfn.IFNA(VLOOKUP($D59,'Route-Details'!$B$2:$X$1048576,'Node Details'!E$1,0),"")</f>
        <v>Airtel</v>
      </c>
      <c r="F59" s="88" t="str">
        <f>_xlfn.IFNA(VLOOKUP($D59,'Route-Details'!$B$2:$X$1048576,'Node Details'!F$1,0),"")</f>
        <v>DARIA</v>
      </c>
      <c r="G59" s="88" t="str">
        <f>_xlfn.IFNA(VLOOKUP($D59,'Route-Details'!$B$2:$X$1048576,'Node Details'!G$1,0),"")</f>
        <v>Chandigarh</v>
      </c>
      <c r="H59" s="88" t="str">
        <f>_xlfn.IFNA(VLOOKUP($D60,'Route-Details'!$B$2:$X$1048576,'Node Details'!H$1,0),"")</f>
        <v>Punjab</v>
      </c>
      <c r="I59" s="88" t="str">
        <f>_xlfn.IFNA(VLOOKUP($D59,'Route-Details'!$B$2:$X$1048576,'Node Details'!I$1,0),"")</f>
        <v>AXY</v>
      </c>
      <c r="J59" s="88" t="str">
        <f>_xlfn.IFNA(VLOOKUP($D59,'Route-Details'!$B$2:$X$1048576,'Node Details'!J$1,0),"")</f>
        <v>AXY</v>
      </c>
      <c r="K59" s="76">
        <v>46112</v>
      </c>
      <c r="L59" s="76">
        <v>46113</v>
      </c>
      <c r="M59" s="89">
        <v>46125</v>
      </c>
      <c r="N59" s="76">
        <v>46112</v>
      </c>
      <c r="Q59" s="86" t="s">
        <v>958</v>
      </c>
      <c r="R59" s="90"/>
      <c r="S59" s="87"/>
      <c r="T59" s="87"/>
      <c r="U59" s="87"/>
      <c r="V59" s="93"/>
      <c r="W59" s="91"/>
      <c r="X59" s="87"/>
      <c r="Y59" s="92"/>
      <c r="Z59" s="90"/>
      <c r="AA59" s="93"/>
      <c r="AB59" s="87"/>
      <c r="AC59" s="91"/>
      <c r="AD59" s="90"/>
      <c r="AE59" s="86"/>
      <c r="AF59" s="82"/>
      <c r="AG59" s="24"/>
      <c r="AH59" s="93"/>
      <c r="AI59" s="87"/>
      <c r="AJ59" s="86"/>
      <c r="AK59" s="81"/>
      <c r="AL59" s="24"/>
      <c r="AM59" s="24"/>
      <c r="AN59" s="81"/>
      <c r="AO59" s="81"/>
      <c r="AP59" s="24"/>
      <c r="AQ59" s="93"/>
      <c r="AR59" s="94"/>
      <c r="AS59" s="82"/>
      <c r="AT59" s="82"/>
      <c r="AU59" s="24"/>
      <c r="AV59" s="93"/>
      <c r="AW59" s="94"/>
      <c r="AX59" s="95"/>
      <c r="AY59" s="95"/>
      <c r="AZ59" s="95"/>
      <c r="BA59" s="24"/>
      <c r="BB59" s="9" t="s">
        <v>185</v>
      </c>
      <c r="BC59" s="96" t="s">
        <v>93</v>
      </c>
    </row>
    <row r="60" spans="1:55" ht="15" customHeight="1">
      <c r="A60" s="86">
        <f t="shared" si="9"/>
        <v>58</v>
      </c>
      <c r="B60" s="75" t="s">
        <v>984</v>
      </c>
      <c r="C60" s="9"/>
      <c r="D60" s="76" t="s">
        <v>183</v>
      </c>
      <c r="E60" s="88" t="str">
        <f>_xlfn.IFNA(VLOOKUP($D60,'Route-Details'!$B$2:$X$1048576,'Node Details'!E$1,0),"")</f>
        <v>Airtel</v>
      </c>
      <c r="F60" s="88" t="str">
        <f>_xlfn.IFNA(VLOOKUP($D60,'Route-Details'!$B$2:$X$1048576,'Node Details'!F$1,0),"")</f>
        <v>DARIA</v>
      </c>
      <c r="G60" s="88" t="str">
        <f>_xlfn.IFNA(VLOOKUP($D60,'Route-Details'!$B$2:$X$1048576,'Node Details'!G$1,0),"")</f>
        <v>Chandigarh</v>
      </c>
      <c r="H60" s="88" t="str">
        <f>_xlfn.IFNA(VLOOKUP($D61,'Route-Details'!$B$2:$X$1048576,'Node Details'!H$1,0),"")</f>
        <v>Punjab</v>
      </c>
      <c r="I60" s="88" t="str">
        <f>_xlfn.IFNA(VLOOKUP($D60,'Route-Details'!$B$2:$X$1048576,'Node Details'!I$1,0),"")</f>
        <v>AXY</v>
      </c>
      <c r="J60" s="88" t="str">
        <f>_xlfn.IFNA(VLOOKUP($D60,'Route-Details'!$B$2:$X$1048576,'Node Details'!J$1,0),"")</f>
        <v>AXY</v>
      </c>
      <c r="K60" s="76">
        <v>46112</v>
      </c>
      <c r="L60" s="76">
        <v>46113</v>
      </c>
      <c r="M60" s="89">
        <v>46125</v>
      </c>
      <c r="N60" s="76">
        <v>46112</v>
      </c>
      <c r="Q60" s="86" t="s">
        <v>958</v>
      </c>
      <c r="R60" s="90"/>
      <c r="S60" s="87"/>
      <c r="T60" s="87"/>
      <c r="U60" s="87"/>
      <c r="V60" s="93"/>
      <c r="W60" s="91"/>
      <c r="X60" s="87"/>
      <c r="Y60" s="92"/>
      <c r="Z60" s="90"/>
      <c r="AA60" s="93"/>
      <c r="AB60" s="87"/>
      <c r="AC60" s="91"/>
      <c r="AD60" s="90"/>
      <c r="AE60" s="86"/>
      <c r="AF60" s="82"/>
      <c r="AG60" s="24"/>
      <c r="AH60" s="93"/>
      <c r="AI60" s="87"/>
      <c r="AJ60" s="86"/>
      <c r="AK60" s="81"/>
      <c r="AL60" s="24"/>
      <c r="AM60" s="24"/>
      <c r="AN60" s="81"/>
      <c r="AO60" s="81"/>
      <c r="AP60" s="24"/>
      <c r="AQ60" s="93"/>
      <c r="AR60" s="94"/>
      <c r="AS60" s="82"/>
      <c r="AT60" s="82"/>
      <c r="AU60" s="24"/>
      <c r="AV60" s="93"/>
      <c r="AW60" s="94"/>
      <c r="AX60" s="95"/>
      <c r="AY60" s="95"/>
      <c r="AZ60" s="95"/>
      <c r="BA60" s="24"/>
      <c r="BB60" s="9" t="s">
        <v>185</v>
      </c>
      <c r="BC60" s="96" t="s">
        <v>93</v>
      </c>
    </row>
    <row r="61" spans="1:55" ht="15" customHeight="1">
      <c r="A61" s="86">
        <f t="shared" si="9"/>
        <v>59</v>
      </c>
      <c r="B61" s="75" t="s">
        <v>985</v>
      </c>
      <c r="C61" s="9"/>
      <c r="D61" s="76" t="s">
        <v>183</v>
      </c>
      <c r="E61" s="88" t="str">
        <f>_xlfn.IFNA(VLOOKUP($D61,'Route-Details'!$B$2:$X$1048576,'Node Details'!E$1,0),"")</f>
        <v>Airtel</v>
      </c>
      <c r="F61" s="88" t="str">
        <f>_xlfn.IFNA(VLOOKUP($D61,'Route-Details'!$B$2:$X$1048576,'Node Details'!F$1,0),"")</f>
        <v>DARIA</v>
      </c>
      <c r="G61" s="88" t="str">
        <f>_xlfn.IFNA(VLOOKUP($D61,'Route-Details'!$B$2:$X$1048576,'Node Details'!G$1,0),"")</f>
        <v>Chandigarh</v>
      </c>
      <c r="H61" s="88" t="str">
        <f>_xlfn.IFNA(VLOOKUP($D62,'Route-Details'!$B$2:$X$1048576,'Node Details'!H$1,0),"")</f>
        <v>Punjab</v>
      </c>
      <c r="I61" s="88" t="str">
        <f>_xlfn.IFNA(VLOOKUP($D61,'Route-Details'!$B$2:$X$1048576,'Node Details'!I$1,0),"")</f>
        <v>AXY</v>
      </c>
      <c r="J61" s="88" t="str">
        <f>_xlfn.IFNA(VLOOKUP($D61,'Route-Details'!$B$2:$X$1048576,'Node Details'!J$1,0),"")</f>
        <v>AXY</v>
      </c>
      <c r="K61" s="76">
        <v>46112</v>
      </c>
      <c r="L61" s="76">
        <v>46113</v>
      </c>
      <c r="M61" s="89">
        <v>46125</v>
      </c>
      <c r="N61" s="76">
        <v>46112</v>
      </c>
      <c r="Q61" s="86" t="s">
        <v>958</v>
      </c>
      <c r="R61" s="90"/>
      <c r="S61" s="87"/>
      <c r="T61" s="87"/>
      <c r="U61" s="87"/>
      <c r="V61" s="93"/>
      <c r="W61" s="91"/>
      <c r="X61" s="87"/>
      <c r="Y61" s="92"/>
      <c r="Z61" s="90"/>
      <c r="AA61" s="93"/>
      <c r="AB61" s="87"/>
      <c r="AC61" s="91"/>
      <c r="AD61" s="90"/>
      <c r="AE61" s="86"/>
      <c r="AF61" s="82"/>
      <c r="AG61" s="24"/>
      <c r="AH61" s="93"/>
      <c r="AI61" s="87"/>
      <c r="AJ61" s="86"/>
      <c r="AK61" s="81"/>
      <c r="AL61" s="24"/>
      <c r="AM61" s="24"/>
      <c r="AN61" s="81"/>
      <c r="AO61" s="81"/>
      <c r="AP61" s="24"/>
      <c r="AQ61" s="93"/>
      <c r="AR61" s="94"/>
      <c r="AS61" s="82"/>
      <c r="AT61" s="82"/>
      <c r="AU61" s="24"/>
      <c r="AV61" s="93"/>
      <c r="AW61" s="94"/>
      <c r="AX61" s="95"/>
      <c r="AY61" s="95"/>
      <c r="AZ61" s="95"/>
      <c r="BA61" s="24"/>
      <c r="BB61" s="9" t="s">
        <v>185</v>
      </c>
      <c r="BC61" s="96" t="s">
        <v>93</v>
      </c>
    </row>
    <row r="62" spans="1:55" ht="15" customHeight="1">
      <c r="A62" s="86">
        <f t="shared" si="9"/>
        <v>60</v>
      </c>
      <c r="B62" s="75" t="s">
        <v>184</v>
      </c>
      <c r="C62" s="9"/>
      <c r="D62" s="76" t="s">
        <v>183</v>
      </c>
      <c r="E62" s="88" t="str">
        <f>_xlfn.IFNA(VLOOKUP($D62,'Route-Details'!$B$2:$X$1048576,'Node Details'!E$1,0),"")</f>
        <v>Airtel</v>
      </c>
      <c r="F62" s="88" t="str">
        <f>_xlfn.IFNA(VLOOKUP($D62,'Route-Details'!$B$2:$X$1048576,'Node Details'!F$1,0),"")</f>
        <v>DARIA</v>
      </c>
      <c r="G62" s="88" t="str">
        <f>_xlfn.IFNA(VLOOKUP($D62,'Route-Details'!$B$2:$X$1048576,'Node Details'!G$1,0),"")</f>
        <v>Chandigarh</v>
      </c>
      <c r="H62" s="88" t="str">
        <f>_xlfn.IFNA(VLOOKUP($D63,'Route-Details'!$B$2:$X$1048576,'Node Details'!H$1,0),"")</f>
        <v>Punjab</v>
      </c>
      <c r="I62" s="88" t="str">
        <f>_xlfn.IFNA(VLOOKUP($D62,'Route-Details'!$B$2:$X$1048576,'Node Details'!I$1,0),"")</f>
        <v>AXY</v>
      </c>
      <c r="J62" s="88" t="str">
        <f>_xlfn.IFNA(VLOOKUP($D62,'Route-Details'!$B$2:$X$1048576,'Node Details'!J$1,0),"")</f>
        <v>AXY</v>
      </c>
      <c r="K62" s="76">
        <v>46112</v>
      </c>
      <c r="L62" s="76">
        <v>46113</v>
      </c>
      <c r="M62" s="89">
        <v>46125</v>
      </c>
      <c r="N62" s="76">
        <v>46112</v>
      </c>
      <c r="Q62" s="86" t="s">
        <v>958</v>
      </c>
      <c r="R62" s="90"/>
      <c r="S62" s="87"/>
      <c r="T62" s="87"/>
      <c r="U62" s="87"/>
      <c r="V62" s="93"/>
      <c r="W62" s="91"/>
      <c r="X62" s="87"/>
      <c r="Y62" s="92"/>
      <c r="Z62" s="90"/>
      <c r="AA62" s="93"/>
      <c r="AB62" s="87"/>
      <c r="AC62" s="91"/>
      <c r="AD62" s="90"/>
      <c r="AE62" s="86"/>
      <c r="AF62" s="82"/>
      <c r="AG62" s="24"/>
      <c r="AH62" s="93"/>
      <c r="AI62" s="87"/>
      <c r="AJ62" s="86"/>
      <c r="AK62" s="81"/>
      <c r="AL62" s="24"/>
      <c r="AM62" s="24"/>
      <c r="AN62" s="81"/>
      <c r="AO62" s="81"/>
      <c r="AP62" s="24"/>
      <c r="AQ62" s="93"/>
      <c r="AR62" s="94"/>
      <c r="AS62" s="82"/>
      <c r="AT62" s="82"/>
      <c r="AU62" s="24"/>
      <c r="AV62" s="93"/>
      <c r="AW62" s="94"/>
      <c r="AX62" s="95"/>
      <c r="AY62" s="95"/>
      <c r="AZ62" s="95"/>
      <c r="BA62" s="24"/>
      <c r="BB62" s="9" t="s">
        <v>185</v>
      </c>
      <c r="BC62" s="96" t="s">
        <v>93</v>
      </c>
    </row>
    <row r="63" spans="1:55" ht="15" customHeight="1">
      <c r="A63" s="86">
        <f t="shared" si="9"/>
        <v>61</v>
      </c>
      <c r="B63" s="75" t="s">
        <v>187</v>
      </c>
      <c r="C63" s="9"/>
      <c r="D63" s="76" t="s">
        <v>186</v>
      </c>
      <c r="E63" s="88" t="str">
        <f>_xlfn.IFNA(VLOOKUP($D63,'Route-Details'!$B$2:$X$1048576,'Node Details'!E$1,0),"")</f>
        <v>Airtel</v>
      </c>
      <c r="F63" s="88" t="str">
        <f>_xlfn.IFNA(VLOOKUP($D63,'Route-Details'!$B$2:$X$1048576,'Node Details'!F$1,0),"")</f>
        <v>DARIA</v>
      </c>
      <c r="G63" s="88" t="str">
        <f>_xlfn.IFNA(VLOOKUP($D63,'Route-Details'!$B$2:$X$1048576,'Node Details'!G$1,0),"")</f>
        <v>Chandigarh</v>
      </c>
      <c r="H63" s="88" t="str">
        <f>_xlfn.IFNA(VLOOKUP($D64,'Route-Details'!$B$2:$X$1048576,'Node Details'!H$1,0),"")</f>
        <v>Punjab</v>
      </c>
      <c r="I63" s="88" t="str">
        <f>_xlfn.IFNA(VLOOKUP($D63,'Route-Details'!$B$2:$X$1048576,'Node Details'!I$1,0),"")</f>
        <v>AXY</v>
      </c>
      <c r="J63" s="88" t="str">
        <f>_xlfn.IFNA(VLOOKUP($D63,'Route-Details'!$B$2:$X$1048576,'Node Details'!J$1,0),"")</f>
        <v>AXY</v>
      </c>
      <c r="K63" s="76">
        <v>46112</v>
      </c>
      <c r="L63" s="76">
        <v>46113</v>
      </c>
      <c r="M63" s="89">
        <v>46125</v>
      </c>
      <c r="N63" s="76">
        <v>46112</v>
      </c>
      <c r="Q63" s="86" t="s">
        <v>958</v>
      </c>
      <c r="R63" s="90"/>
      <c r="S63" s="87"/>
      <c r="T63" s="87"/>
      <c r="U63" s="87"/>
      <c r="V63" s="93"/>
      <c r="W63" s="91"/>
      <c r="X63" s="87"/>
      <c r="Y63" s="92"/>
      <c r="Z63" s="90"/>
      <c r="AA63" s="93"/>
      <c r="AB63" s="87"/>
      <c r="AC63" s="91"/>
      <c r="AD63" s="90"/>
      <c r="AE63" s="86"/>
      <c r="AF63" s="82"/>
      <c r="AG63" s="24"/>
      <c r="AH63" s="93"/>
      <c r="AI63" s="87"/>
      <c r="AJ63" s="86"/>
      <c r="AK63" s="81"/>
      <c r="AL63" s="24"/>
      <c r="AM63" s="24"/>
      <c r="AN63" s="81"/>
      <c r="AO63" s="81"/>
      <c r="AP63" s="24"/>
      <c r="AQ63" s="93"/>
      <c r="AR63" s="94"/>
      <c r="AS63" s="82"/>
      <c r="AT63" s="82"/>
      <c r="AU63" s="24"/>
      <c r="AV63" s="93"/>
      <c r="AW63" s="94"/>
      <c r="AX63" s="95"/>
      <c r="AY63" s="95"/>
      <c r="AZ63" s="95"/>
      <c r="BA63" s="24"/>
      <c r="BB63" s="9" t="s">
        <v>188</v>
      </c>
      <c r="BC63" s="96" t="s">
        <v>93</v>
      </c>
    </row>
    <row r="64" spans="1:55" ht="15" customHeight="1">
      <c r="A64" s="86">
        <f t="shared" si="9"/>
        <v>62</v>
      </c>
      <c r="B64" s="75" t="s">
        <v>986</v>
      </c>
      <c r="C64" s="9"/>
      <c r="D64" s="76" t="s">
        <v>189</v>
      </c>
      <c r="E64" s="88" t="str">
        <f>_xlfn.IFNA(VLOOKUP($D64,'Route-Details'!$B$2:$X$1048576,'Node Details'!E$1,0),"")</f>
        <v>Airtel</v>
      </c>
      <c r="F64" s="88" t="str">
        <f>_xlfn.IFNA(VLOOKUP($D64,'Route-Details'!$B$2:$X$1048576,'Node Details'!F$1,0),"")</f>
        <v>DARIA</v>
      </c>
      <c r="G64" s="88" t="str">
        <f>_xlfn.IFNA(VLOOKUP($D64,'Route-Details'!$B$2:$X$1048576,'Node Details'!G$1,0),"")</f>
        <v>Chandigarh</v>
      </c>
      <c r="H64" s="88" t="str">
        <f>_xlfn.IFNA(VLOOKUP($D65,'Route-Details'!$B$2:$X$1048576,'Node Details'!H$1,0),"")</f>
        <v>Punjab</v>
      </c>
      <c r="I64" s="88" t="str">
        <f>_xlfn.IFNA(VLOOKUP($D64,'Route-Details'!$B$2:$X$1048576,'Node Details'!I$1,0),"")</f>
        <v>AXY</v>
      </c>
      <c r="J64" s="88" t="str">
        <f>_xlfn.IFNA(VLOOKUP($D64,'Route-Details'!$B$2:$X$1048576,'Node Details'!J$1,0),"")</f>
        <v>AXY</v>
      </c>
      <c r="K64" s="76">
        <v>46112</v>
      </c>
      <c r="L64" s="76">
        <v>46113</v>
      </c>
      <c r="M64" s="89">
        <v>46125</v>
      </c>
      <c r="N64" s="76">
        <v>46112</v>
      </c>
      <c r="Q64" s="86" t="s">
        <v>958</v>
      </c>
      <c r="R64" s="90"/>
      <c r="S64" s="87"/>
      <c r="T64" s="87"/>
      <c r="U64" s="87"/>
      <c r="V64" s="93"/>
      <c r="W64" s="91"/>
      <c r="X64" s="87"/>
      <c r="Y64" s="92"/>
      <c r="Z64" s="90"/>
      <c r="AA64" s="93"/>
      <c r="AB64" s="87"/>
      <c r="AC64" s="91"/>
      <c r="AD64" s="90"/>
      <c r="AE64" s="86"/>
      <c r="AF64" s="82"/>
      <c r="AG64" s="24"/>
      <c r="AH64" s="93"/>
      <c r="AI64" s="87"/>
      <c r="AJ64" s="86"/>
      <c r="AK64" s="81"/>
      <c r="AL64" s="24"/>
      <c r="AM64" s="24"/>
      <c r="AN64" s="81"/>
      <c r="AO64" s="81"/>
      <c r="AP64" s="24"/>
      <c r="AQ64" s="93"/>
      <c r="AR64" s="94"/>
      <c r="AS64" s="82"/>
      <c r="AT64" s="82"/>
      <c r="AU64" s="24"/>
      <c r="AV64" s="93"/>
      <c r="AW64" s="94"/>
      <c r="AX64" s="95"/>
      <c r="AY64" s="95"/>
      <c r="AZ64" s="95"/>
      <c r="BA64" s="24"/>
      <c r="BB64" s="9" t="s">
        <v>192</v>
      </c>
      <c r="BC64" s="96" t="s">
        <v>93</v>
      </c>
    </row>
    <row r="65" spans="1:55" ht="15" customHeight="1">
      <c r="A65" s="86">
        <f t="shared" si="9"/>
        <v>63</v>
      </c>
      <c r="B65" s="75" t="s">
        <v>987</v>
      </c>
      <c r="C65" s="9"/>
      <c r="D65" s="76" t="s">
        <v>189</v>
      </c>
      <c r="E65" s="88" t="str">
        <f>_xlfn.IFNA(VLOOKUP($D65,'Route-Details'!$B$2:$X$1048576,'Node Details'!E$1,0),"")</f>
        <v>Airtel</v>
      </c>
      <c r="F65" s="88" t="str">
        <f>_xlfn.IFNA(VLOOKUP($D65,'Route-Details'!$B$2:$X$1048576,'Node Details'!F$1,0),"")</f>
        <v>DARIA</v>
      </c>
      <c r="G65" s="88" t="str">
        <f>_xlfn.IFNA(VLOOKUP($D65,'Route-Details'!$B$2:$X$1048576,'Node Details'!G$1,0),"")</f>
        <v>Chandigarh</v>
      </c>
      <c r="H65" s="88" t="str">
        <f>_xlfn.IFNA(VLOOKUP($D66,'Route-Details'!$B$2:$X$1048576,'Node Details'!H$1,0),"")</f>
        <v>Punjab</v>
      </c>
      <c r="I65" s="88" t="str">
        <f>_xlfn.IFNA(VLOOKUP($D65,'Route-Details'!$B$2:$X$1048576,'Node Details'!I$1,0),"")</f>
        <v>AXY</v>
      </c>
      <c r="J65" s="88" t="str">
        <f>_xlfn.IFNA(VLOOKUP($D65,'Route-Details'!$B$2:$X$1048576,'Node Details'!J$1,0),"")</f>
        <v>AXY</v>
      </c>
      <c r="K65" s="76">
        <v>46112</v>
      </c>
      <c r="L65" s="76">
        <v>46113</v>
      </c>
      <c r="M65" s="89">
        <v>46125</v>
      </c>
      <c r="N65" s="76">
        <v>46112</v>
      </c>
      <c r="Q65" s="86" t="s">
        <v>958</v>
      </c>
      <c r="R65" s="90"/>
      <c r="S65" s="87"/>
      <c r="T65" s="87"/>
      <c r="U65" s="87"/>
      <c r="V65" s="93"/>
      <c r="W65" s="91"/>
      <c r="X65" s="87"/>
      <c r="Y65" s="92"/>
      <c r="Z65" s="90"/>
      <c r="AA65" s="93"/>
      <c r="AB65" s="87"/>
      <c r="AC65" s="91"/>
      <c r="AD65" s="90"/>
      <c r="AE65" s="86"/>
      <c r="AF65" s="82"/>
      <c r="AG65" s="24"/>
      <c r="AH65" s="93"/>
      <c r="AI65" s="87"/>
      <c r="AJ65" s="86"/>
      <c r="AK65" s="81"/>
      <c r="AL65" s="24"/>
      <c r="AM65" s="24"/>
      <c r="AN65" s="81"/>
      <c r="AO65" s="81"/>
      <c r="AP65" s="24"/>
      <c r="AQ65" s="93"/>
      <c r="AR65" s="94"/>
      <c r="AS65" s="82"/>
      <c r="AT65" s="82"/>
      <c r="AU65" s="24"/>
      <c r="AV65" s="93"/>
      <c r="AW65" s="94"/>
      <c r="AX65" s="95"/>
      <c r="AY65" s="95"/>
      <c r="AZ65" s="95"/>
      <c r="BA65" s="24"/>
      <c r="BB65" s="9" t="s">
        <v>192</v>
      </c>
      <c r="BC65" s="96" t="s">
        <v>93</v>
      </c>
    </row>
    <row r="66" spans="1:55" ht="15" customHeight="1">
      <c r="A66" s="86">
        <f t="shared" si="9"/>
        <v>64</v>
      </c>
      <c r="B66" s="75" t="s">
        <v>191</v>
      </c>
      <c r="C66" s="9"/>
      <c r="D66" s="76" t="s">
        <v>189</v>
      </c>
      <c r="E66" s="88" t="str">
        <f>_xlfn.IFNA(VLOOKUP($D66,'Route-Details'!$B$2:$X$1048576,'Node Details'!E$1,0),"")</f>
        <v>Airtel</v>
      </c>
      <c r="F66" s="88" t="str">
        <f>_xlfn.IFNA(VLOOKUP($D66,'Route-Details'!$B$2:$X$1048576,'Node Details'!F$1,0),"")</f>
        <v>DARIA</v>
      </c>
      <c r="G66" s="88" t="str">
        <f>_xlfn.IFNA(VLOOKUP($D66,'Route-Details'!$B$2:$X$1048576,'Node Details'!G$1,0),"")</f>
        <v>Chandigarh</v>
      </c>
      <c r="H66" s="88" t="str">
        <f>_xlfn.IFNA(VLOOKUP($D67,'Route-Details'!$B$2:$X$1048576,'Node Details'!H$1,0),"")</f>
        <v>Punjab</v>
      </c>
      <c r="I66" s="88" t="str">
        <f>_xlfn.IFNA(VLOOKUP($D66,'Route-Details'!$B$2:$X$1048576,'Node Details'!I$1,0),"")</f>
        <v>AXY</v>
      </c>
      <c r="J66" s="88" t="str">
        <f>_xlfn.IFNA(VLOOKUP($D66,'Route-Details'!$B$2:$X$1048576,'Node Details'!J$1,0),"")</f>
        <v>AXY</v>
      </c>
      <c r="K66" s="76">
        <v>46112</v>
      </c>
      <c r="L66" s="76">
        <v>46113</v>
      </c>
      <c r="M66" s="89">
        <v>46125</v>
      </c>
      <c r="N66" s="76">
        <v>46112</v>
      </c>
      <c r="Q66" s="86" t="s">
        <v>958</v>
      </c>
      <c r="R66" s="90"/>
      <c r="S66" s="87"/>
      <c r="T66" s="87"/>
      <c r="U66" s="87"/>
      <c r="V66" s="93"/>
      <c r="W66" s="91"/>
      <c r="X66" s="87"/>
      <c r="Y66" s="92"/>
      <c r="Z66" s="90"/>
      <c r="AA66" s="93"/>
      <c r="AB66" s="87"/>
      <c r="AC66" s="91"/>
      <c r="AD66" s="90"/>
      <c r="AE66" s="86"/>
      <c r="AF66" s="82"/>
      <c r="AG66" s="24"/>
      <c r="AH66" s="93"/>
      <c r="AI66" s="87"/>
      <c r="AJ66" s="86"/>
      <c r="AK66" s="81"/>
      <c r="AL66" s="24"/>
      <c r="AM66" s="24"/>
      <c r="AN66" s="81"/>
      <c r="AO66" s="81"/>
      <c r="AP66" s="24"/>
      <c r="AQ66" s="93"/>
      <c r="AR66" s="94"/>
      <c r="AS66" s="82"/>
      <c r="AT66" s="82"/>
      <c r="AU66" s="24"/>
      <c r="AV66" s="93"/>
      <c r="AW66" s="94"/>
      <c r="AX66" s="95"/>
      <c r="AY66" s="95"/>
      <c r="AZ66" s="95"/>
      <c r="BA66" s="24"/>
      <c r="BB66" s="9" t="s">
        <v>192</v>
      </c>
      <c r="BC66" s="96" t="s">
        <v>93</v>
      </c>
    </row>
    <row r="67" spans="1:55" ht="15" customHeight="1">
      <c r="A67" s="86">
        <f t="shared" si="9"/>
        <v>65</v>
      </c>
      <c r="B67" s="75" t="s">
        <v>152</v>
      </c>
      <c r="C67" s="9"/>
      <c r="D67" s="76" t="s">
        <v>150</v>
      </c>
      <c r="E67" s="88" t="str">
        <f>_xlfn.IFNA(VLOOKUP($D67,'Route-Details'!$B$2:$X$1048576,'Node Details'!E$1,0),"")</f>
        <v>Airtel</v>
      </c>
      <c r="F67" s="88" t="str">
        <f>_xlfn.IFNA(VLOOKUP($D67,'Route-Details'!$B$2:$X$1048576,'Node Details'!F$1,0),"")</f>
        <v>DARIA</v>
      </c>
      <c r="G67" s="88" t="str">
        <f>_xlfn.IFNA(VLOOKUP($D67,'Route-Details'!$B$2:$X$1048576,'Node Details'!G$1,0),"")</f>
        <v>Chandigarh</v>
      </c>
      <c r="H67" s="88" t="str">
        <f>_xlfn.IFNA(VLOOKUP($D68,'Route-Details'!$B$2:$X$1048576,'Node Details'!H$1,0),"")</f>
        <v>Punjab</v>
      </c>
      <c r="I67" s="88" t="str">
        <f>_xlfn.IFNA(VLOOKUP($D67,'Route-Details'!$B$2:$X$1048576,'Node Details'!I$1,0),"")</f>
        <v>AXY</v>
      </c>
      <c r="J67" s="88" t="str">
        <f>_xlfn.IFNA(VLOOKUP($D67,'Route-Details'!$B$2:$X$1048576,'Node Details'!J$1,0),"")</f>
        <v>AXY</v>
      </c>
      <c r="K67" s="76">
        <v>46112</v>
      </c>
      <c r="L67" s="76">
        <v>46113</v>
      </c>
      <c r="M67" s="89">
        <v>46125</v>
      </c>
      <c r="N67" s="76">
        <v>46112</v>
      </c>
      <c r="Q67" s="86" t="s">
        <v>958</v>
      </c>
      <c r="R67" s="90"/>
      <c r="S67" s="87"/>
      <c r="T67" s="87"/>
      <c r="U67" s="87"/>
      <c r="V67" s="93"/>
      <c r="W67" s="91"/>
      <c r="X67" s="87"/>
      <c r="Y67" s="92"/>
      <c r="Z67" s="90"/>
      <c r="AA67" s="93"/>
      <c r="AB67" s="87"/>
      <c r="AC67" s="91"/>
      <c r="AD67" s="90"/>
      <c r="AE67" s="86"/>
      <c r="AF67" s="82"/>
      <c r="AG67" s="24"/>
      <c r="AH67" s="93"/>
      <c r="AI67" s="87"/>
      <c r="AJ67" s="86"/>
      <c r="AK67" s="81"/>
      <c r="AL67" s="24"/>
      <c r="AM67" s="24"/>
      <c r="AN67" s="81"/>
      <c r="AO67" s="81"/>
      <c r="AP67" s="24"/>
      <c r="AQ67" s="93"/>
      <c r="AR67" s="94"/>
      <c r="AS67" s="82"/>
      <c r="AT67" s="82"/>
      <c r="AU67" s="24"/>
      <c r="AV67" s="93"/>
      <c r="AW67" s="94"/>
      <c r="AX67" s="95"/>
      <c r="AY67" s="95"/>
      <c r="AZ67" s="95"/>
      <c r="BA67" s="24"/>
      <c r="BB67" s="9" t="s">
        <v>104</v>
      </c>
      <c r="BC67" s="96" t="s">
        <v>93</v>
      </c>
    </row>
    <row r="68" spans="1:55" ht="15" customHeight="1">
      <c r="A68" s="86">
        <f t="shared" si="9"/>
        <v>66</v>
      </c>
      <c r="B68" s="75" t="s">
        <v>194</v>
      </c>
      <c r="C68" s="9"/>
      <c r="D68" s="76" t="s">
        <v>193</v>
      </c>
      <c r="E68" s="88" t="str">
        <f>_xlfn.IFNA(VLOOKUP($D68,'Route-Details'!$B$2:$X$1048576,'Node Details'!E$1,0),"")</f>
        <v>Airtel</v>
      </c>
      <c r="F68" s="88" t="str">
        <f>_xlfn.IFNA(VLOOKUP($D68,'Route-Details'!$B$2:$X$1048576,'Node Details'!F$1,0),"")</f>
        <v>DARIA</v>
      </c>
      <c r="G68" s="88" t="str">
        <f>_xlfn.IFNA(VLOOKUP($D68,'Route-Details'!$B$2:$X$1048576,'Node Details'!G$1,0),"")</f>
        <v>Chandigarh</v>
      </c>
      <c r="H68" s="88" t="str">
        <f>_xlfn.IFNA(VLOOKUP($D69,'Route-Details'!$B$2:$X$1048576,'Node Details'!H$1,0),"")</f>
        <v>Punjab</v>
      </c>
      <c r="I68" s="88" t="str">
        <f>_xlfn.IFNA(VLOOKUP($D68,'Route-Details'!$B$2:$X$1048576,'Node Details'!I$1,0),"")</f>
        <v>AXY</v>
      </c>
      <c r="J68" s="88" t="str">
        <f>_xlfn.IFNA(VLOOKUP($D68,'Route-Details'!$B$2:$X$1048576,'Node Details'!J$1,0),"")</f>
        <v>AXY</v>
      </c>
      <c r="K68" s="76">
        <v>46112</v>
      </c>
      <c r="L68" s="76">
        <v>46113</v>
      </c>
      <c r="M68" s="89">
        <v>46125</v>
      </c>
      <c r="N68" s="76">
        <v>46112</v>
      </c>
      <c r="Q68" s="86" t="s">
        <v>958</v>
      </c>
      <c r="R68" s="90"/>
      <c r="S68" s="87"/>
      <c r="T68" s="87"/>
      <c r="U68" s="87"/>
      <c r="V68" s="93"/>
      <c r="W68" s="91"/>
      <c r="X68" s="87"/>
      <c r="Y68" s="92"/>
      <c r="Z68" s="90"/>
      <c r="AA68" s="93"/>
      <c r="AB68" s="87"/>
      <c r="AC68" s="91"/>
      <c r="AD68" s="90"/>
      <c r="AE68" s="86"/>
      <c r="AF68" s="82"/>
      <c r="AG68" s="24"/>
      <c r="AH68" s="93"/>
      <c r="AI68" s="87"/>
      <c r="AJ68" s="86"/>
      <c r="AK68" s="81"/>
      <c r="AL68" s="24"/>
      <c r="AM68" s="24"/>
      <c r="AN68" s="81"/>
      <c r="AO68" s="81"/>
      <c r="AP68" s="24"/>
      <c r="AQ68" s="93"/>
      <c r="AR68" s="94"/>
      <c r="AS68" s="82"/>
      <c r="AT68" s="82"/>
      <c r="AU68" s="24"/>
      <c r="AV68" s="93"/>
      <c r="AW68" s="94"/>
      <c r="AX68" s="95"/>
      <c r="AY68" s="95"/>
      <c r="AZ68" s="95"/>
      <c r="BA68" s="24"/>
      <c r="BB68" s="9" t="s">
        <v>195</v>
      </c>
      <c r="BC68" s="96" t="s">
        <v>93</v>
      </c>
    </row>
    <row r="69" spans="1:55" ht="15" customHeight="1">
      <c r="A69" s="86">
        <f t="shared" ref="A69:A132" si="19">A68+1</f>
        <v>67</v>
      </c>
      <c r="B69" s="75" t="s">
        <v>988</v>
      </c>
      <c r="C69" s="9"/>
      <c r="D69" s="76" t="s">
        <v>196</v>
      </c>
      <c r="E69" s="88" t="str">
        <f>_xlfn.IFNA(VLOOKUP($D69,'Route-Details'!$B$2:$X$1048576,'Node Details'!E$1,0),"")</f>
        <v>Airtel</v>
      </c>
      <c r="F69" s="88" t="str">
        <f>_xlfn.IFNA(VLOOKUP($D69,'Route-Details'!$B$2:$X$1048576,'Node Details'!F$1,0),"")</f>
        <v>DARIA</v>
      </c>
      <c r="G69" s="88" t="str">
        <f>_xlfn.IFNA(VLOOKUP($D69,'Route-Details'!$B$2:$X$1048576,'Node Details'!G$1,0),"")</f>
        <v>Chandigarh</v>
      </c>
      <c r="H69" s="88" t="str">
        <f>_xlfn.IFNA(VLOOKUP($D70,'Route-Details'!$B$2:$X$1048576,'Node Details'!H$1,0),"")</f>
        <v>Punjab</v>
      </c>
      <c r="I69" s="88" t="str">
        <f>_xlfn.IFNA(VLOOKUP($D69,'Route-Details'!$B$2:$X$1048576,'Node Details'!I$1,0),"")</f>
        <v>AXY</v>
      </c>
      <c r="J69" s="88" t="str">
        <f>_xlfn.IFNA(VLOOKUP($D69,'Route-Details'!$B$2:$X$1048576,'Node Details'!J$1,0),"")</f>
        <v>AXY</v>
      </c>
      <c r="K69" s="76">
        <v>46112</v>
      </c>
      <c r="L69" s="76">
        <v>46113</v>
      </c>
      <c r="M69" s="89">
        <v>46125</v>
      </c>
      <c r="N69" s="76">
        <v>46112</v>
      </c>
      <c r="Q69" s="86" t="s">
        <v>958</v>
      </c>
      <c r="R69" s="90"/>
      <c r="S69" s="87"/>
      <c r="T69" s="87"/>
      <c r="U69" s="87"/>
      <c r="V69" s="93"/>
      <c r="W69" s="91"/>
      <c r="X69" s="87"/>
      <c r="Y69" s="92"/>
      <c r="Z69" s="90"/>
      <c r="AA69" s="93"/>
      <c r="AB69" s="87"/>
      <c r="AC69" s="91"/>
      <c r="AD69" s="90"/>
      <c r="AE69" s="86"/>
      <c r="AF69" s="82"/>
      <c r="AG69" s="24"/>
      <c r="AH69" s="93"/>
      <c r="AI69" s="87"/>
      <c r="AJ69" s="86"/>
      <c r="AK69" s="81"/>
      <c r="AL69" s="24"/>
      <c r="AM69" s="24"/>
      <c r="AN69" s="81"/>
      <c r="AO69" s="81"/>
      <c r="AP69" s="24"/>
      <c r="AQ69" s="93"/>
      <c r="AR69" s="94"/>
      <c r="AS69" s="82"/>
      <c r="AT69" s="82"/>
      <c r="AU69" s="24"/>
      <c r="AV69" s="93"/>
      <c r="AW69" s="94"/>
      <c r="AX69" s="95"/>
      <c r="AY69" s="95"/>
      <c r="AZ69" s="95"/>
      <c r="BA69" s="24"/>
      <c r="BB69" s="9" t="s">
        <v>199</v>
      </c>
      <c r="BC69" s="96" t="s">
        <v>93</v>
      </c>
    </row>
    <row r="70" spans="1:55" ht="15" customHeight="1">
      <c r="A70" s="86">
        <f t="shared" si="19"/>
        <v>68</v>
      </c>
      <c r="B70" s="75" t="s">
        <v>989</v>
      </c>
      <c r="C70" s="9"/>
      <c r="D70" s="76" t="s">
        <v>196</v>
      </c>
      <c r="E70" s="88" t="str">
        <f>_xlfn.IFNA(VLOOKUP($D70,'Route-Details'!$B$2:$X$1048576,'Node Details'!E$1,0),"")</f>
        <v>Airtel</v>
      </c>
      <c r="F70" s="88" t="str">
        <f>_xlfn.IFNA(VLOOKUP($D70,'Route-Details'!$B$2:$X$1048576,'Node Details'!F$1,0),"")</f>
        <v>DARIA</v>
      </c>
      <c r="G70" s="88" t="str">
        <f>_xlfn.IFNA(VLOOKUP($D70,'Route-Details'!$B$2:$X$1048576,'Node Details'!G$1,0),"")</f>
        <v>Chandigarh</v>
      </c>
      <c r="H70" s="88" t="str">
        <f>_xlfn.IFNA(VLOOKUP($D71,'Route-Details'!$B$2:$X$1048576,'Node Details'!H$1,0),"")</f>
        <v>Punjab</v>
      </c>
      <c r="I70" s="88" t="str">
        <f>_xlfn.IFNA(VLOOKUP($D70,'Route-Details'!$B$2:$X$1048576,'Node Details'!I$1,0),"")</f>
        <v>AXY</v>
      </c>
      <c r="J70" s="88" t="str">
        <f>_xlfn.IFNA(VLOOKUP($D70,'Route-Details'!$B$2:$X$1048576,'Node Details'!J$1,0),"")</f>
        <v>AXY</v>
      </c>
      <c r="K70" s="76">
        <v>46112</v>
      </c>
      <c r="L70" s="76">
        <v>46113</v>
      </c>
      <c r="M70" s="89">
        <v>46125</v>
      </c>
      <c r="N70" s="76">
        <v>46112</v>
      </c>
      <c r="Q70" s="86" t="s">
        <v>958</v>
      </c>
      <c r="R70" s="90"/>
      <c r="S70" s="87"/>
      <c r="T70" s="87"/>
      <c r="U70" s="87"/>
      <c r="V70" s="93"/>
      <c r="W70" s="91"/>
      <c r="X70" s="87"/>
      <c r="Y70" s="92"/>
      <c r="Z70" s="90"/>
      <c r="AA70" s="93"/>
      <c r="AB70" s="87"/>
      <c r="AC70" s="91"/>
      <c r="AD70" s="90"/>
      <c r="AE70" s="86"/>
      <c r="AF70" s="82"/>
      <c r="AG70" s="24"/>
      <c r="AH70" s="93"/>
      <c r="AI70" s="87"/>
      <c r="AJ70" s="86"/>
      <c r="AK70" s="81"/>
      <c r="AL70" s="24"/>
      <c r="AM70" s="24"/>
      <c r="AN70" s="81"/>
      <c r="AO70" s="81"/>
      <c r="AP70" s="24"/>
      <c r="AQ70" s="93"/>
      <c r="AR70" s="94"/>
      <c r="AS70" s="82"/>
      <c r="AT70" s="82"/>
      <c r="AU70" s="24"/>
      <c r="AV70" s="93"/>
      <c r="AW70" s="94"/>
      <c r="AX70" s="95"/>
      <c r="AY70" s="95"/>
      <c r="AZ70" s="95"/>
      <c r="BA70" s="24"/>
      <c r="BB70" s="9" t="s">
        <v>199</v>
      </c>
      <c r="BC70" s="96" t="s">
        <v>93</v>
      </c>
    </row>
    <row r="71" spans="1:55" ht="15" customHeight="1">
      <c r="A71" s="86">
        <f t="shared" si="19"/>
        <v>69</v>
      </c>
      <c r="B71" s="75" t="s">
        <v>198</v>
      </c>
      <c r="C71" s="9"/>
      <c r="D71" s="76" t="s">
        <v>196</v>
      </c>
      <c r="E71" s="88" t="str">
        <f>_xlfn.IFNA(VLOOKUP($D71,'Route-Details'!$B$2:$X$1048576,'Node Details'!E$1,0),"")</f>
        <v>Airtel</v>
      </c>
      <c r="F71" s="88" t="str">
        <f>_xlfn.IFNA(VLOOKUP($D71,'Route-Details'!$B$2:$X$1048576,'Node Details'!F$1,0),"")</f>
        <v>DARIA</v>
      </c>
      <c r="G71" s="88" t="str">
        <f>_xlfn.IFNA(VLOOKUP($D71,'Route-Details'!$B$2:$X$1048576,'Node Details'!G$1,0),"")</f>
        <v>Chandigarh</v>
      </c>
      <c r="H71" s="88" t="str">
        <f>_xlfn.IFNA(VLOOKUP($D72,'Route-Details'!$B$2:$X$1048576,'Node Details'!H$1,0),"")</f>
        <v>Punjab</v>
      </c>
      <c r="I71" s="88" t="str">
        <f>_xlfn.IFNA(VLOOKUP($D71,'Route-Details'!$B$2:$X$1048576,'Node Details'!I$1,0),"")</f>
        <v>AXY</v>
      </c>
      <c r="J71" s="88" t="str">
        <f>_xlfn.IFNA(VLOOKUP($D71,'Route-Details'!$B$2:$X$1048576,'Node Details'!J$1,0),"")</f>
        <v>AXY</v>
      </c>
      <c r="K71" s="76">
        <v>46112</v>
      </c>
      <c r="L71" s="76">
        <v>46113</v>
      </c>
      <c r="M71" s="89">
        <v>46125</v>
      </c>
      <c r="N71" s="76">
        <v>46112</v>
      </c>
      <c r="Q71" s="86" t="s">
        <v>958</v>
      </c>
      <c r="R71" s="90"/>
      <c r="S71" s="87"/>
      <c r="T71" s="87"/>
      <c r="U71" s="87"/>
      <c r="V71" s="93"/>
      <c r="W71" s="91"/>
      <c r="X71" s="87"/>
      <c r="Y71" s="92"/>
      <c r="Z71" s="90"/>
      <c r="AA71" s="93"/>
      <c r="AB71" s="87"/>
      <c r="AC71" s="91"/>
      <c r="AD71" s="90"/>
      <c r="AE71" s="86"/>
      <c r="AF71" s="82"/>
      <c r="AG71" s="24"/>
      <c r="AH71" s="93"/>
      <c r="AI71" s="87"/>
      <c r="AJ71" s="86"/>
      <c r="AK71" s="81"/>
      <c r="AL71" s="24"/>
      <c r="AM71" s="24"/>
      <c r="AN71" s="81"/>
      <c r="AO71" s="81"/>
      <c r="AP71" s="24"/>
      <c r="AQ71" s="93"/>
      <c r="AR71" s="94"/>
      <c r="AS71" s="82"/>
      <c r="AT71" s="82"/>
      <c r="AU71" s="24"/>
      <c r="AV71" s="93"/>
      <c r="AW71" s="94"/>
      <c r="AX71" s="95"/>
      <c r="AY71" s="95"/>
      <c r="AZ71" s="95"/>
      <c r="BA71" s="24"/>
      <c r="BB71" s="9" t="s">
        <v>199</v>
      </c>
      <c r="BC71" s="96" t="s">
        <v>93</v>
      </c>
    </row>
    <row r="72" spans="1:55" ht="15" customHeight="1">
      <c r="A72" s="86">
        <f t="shared" si="19"/>
        <v>70</v>
      </c>
      <c r="B72" s="75" t="s">
        <v>204</v>
      </c>
      <c r="C72" s="9"/>
      <c r="D72" s="76" t="s">
        <v>200</v>
      </c>
      <c r="E72" s="88" t="str">
        <f>_xlfn.IFNA(VLOOKUP($D72,'Route-Details'!$B$2:$X$1048576,'Node Details'!E$1,0),"")</f>
        <v>Airtel</v>
      </c>
      <c r="F72" s="88" t="str">
        <f>_xlfn.IFNA(VLOOKUP($D72,'Route-Details'!$B$2:$X$1048576,'Node Details'!F$1,0),"")</f>
        <v>DARIA</v>
      </c>
      <c r="G72" s="88" t="str">
        <f>_xlfn.IFNA(VLOOKUP($D72,'Route-Details'!$B$2:$X$1048576,'Node Details'!G$1,0),"")</f>
        <v>Chandigarh</v>
      </c>
      <c r="H72" s="88" t="str">
        <f>_xlfn.IFNA(VLOOKUP($D73,'Route-Details'!$B$2:$X$1048576,'Node Details'!H$1,0),"")</f>
        <v>Punjab</v>
      </c>
      <c r="I72" s="88" t="str">
        <f>_xlfn.IFNA(VLOOKUP($D72,'Route-Details'!$B$2:$X$1048576,'Node Details'!I$1,0),"")</f>
        <v>AXY</v>
      </c>
      <c r="J72" s="88" t="str">
        <f>_xlfn.IFNA(VLOOKUP($D72,'Route-Details'!$B$2:$X$1048576,'Node Details'!J$1,0),"")</f>
        <v>AXY</v>
      </c>
      <c r="K72" s="76">
        <v>46112</v>
      </c>
      <c r="L72" s="76">
        <v>46113</v>
      </c>
      <c r="M72" s="89">
        <v>46125</v>
      </c>
      <c r="N72" s="76">
        <v>46112</v>
      </c>
      <c r="Q72" s="86" t="s">
        <v>958</v>
      </c>
      <c r="R72" s="90"/>
      <c r="S72" s="87"/>
      <c r="T72" s="87"/>
      <c r="U72" s="87"/>
      <c r="V72" s="93"/>
      <c r="W72" s="91"/>
      <c r="X72" s="87"/>
      <c r="Y72" s="92"/>
      <c r="Z72" s="90"/>
      <c r="AA72" s="93"/>
      <c r="AB72" s="87"/>
      <c r="AC72" s="91"/>
      <c r="AD72" s="90"/>
      <c r="AE72" s="86"/>
      <c r="AF72" s="82"/>
      <c r="AG72" s="24"/>
      <c r="AH72" s="93"/>
      <c r="AI72" s="87"/>
      <c r="AJ72" s="86"/>
      <c r="AK72" s="81"/>
      <c r="AL72" s="24"/>
      <c r="AM72" s="24"/>
      <c r="AN72" s="81"/>
      <c r="AO72" s="81"/>
      <c r="AP72" s="24"/>
      <c r="AQ72" s="93"/>
      <c r="AR72" s="94"/>
      <c r="AS72" s="82"/>
      <c r="AT72" s="82"/>
      <c r="AU72" s="24"/>
      <c r="AV72" s="93"/>
      <c r="AW72" s="94"/>
      <c r="AX72" s="95"/>
      <c r="AY72" s="95"/>
      <c r="AZ72" s="95"/>
      <c r="BA72" s="24"/>
      <c r="BB72" s="9" t="s">
        <v>202</v>
      </c>
      <c r="BC72" s="96" t="s">
        <v>93</v>
      </c>
    </row>
    <row r="73" spans="1:55" ht="15" customHeight="1">
      <c r="A73" s="86">
        <f t="shared" si="19"/>
        <v>71</v>
      </c>
      <c r="B73" s="75" t="s">
        <v>990</v>
      </c>
      <c r="C73" s="9"/>
      <c r="D73" s="76" t="s">
        <v>200</v>
      </c>
      <c r="E73" s="88" t="str">
        <f>_xlfn.IFNA(VLOOKUP($D73,'Route-Details'!$B$2:$X$1048576,'Node Details'!E$1,0),"")</f>
        <v>Airtel</v>
      </c>
      <c r="F73" s="88" t="str">
        <f>_xlfn.IFNA(VLOOKUP($D73,'Route-Details'!$B$2:$X$1048576,'Node Details'!F$1,0),"")</f>
        <v>DARIA</v>
      </c>
      <c r="G73" s="88" t="str">
        <f>_xlfn.IFNA(VLOOKUP($D73,'Route-Details'!$B$2:$X$1048576,'Node Details'!G$1,0),"")</f>
        <v>Chandigarh</v>
      </c>
      <c r="H73" s="88" t="str">
        <f>_xlfn.IFNA(VLOOKUP($D74,'Route-Details'!$B$2:$X$1048576,'Node Details'!H$1,0),"")</f>
        <v>Punjab</v>
      </c>
      <c r="I73" s="88" t="str">
        <f>_xlfn.IFNA(VLOOKUP($D73,'Route-Details'!$B$2:$X$1048576,'Node Details'!I$1,0),"")</f>
        <v>AXY</v>
      </c>
      <c r="J73" s="88" t="str">
        <f>_xlfn.IFNA(VLOOKUP($D73,'Route-Details'!$B$2:$X$1048576,'Node Details'!J$1,0),"")</f>
        <v>AXY</v>
      </c>
      <c r="K73" s="76">
        <v>46112</v>
      </c>
      <c r="L73" s="76">
        <v>46113</v>
      </c>
      <c r="M73" s="89">
        <v>46125</v>
      </c>
      <c r="N73" s="76">
        <v>46112</v>
      </c>
      <c r="Q73" s="86" t="s">
        <v>958</v>
      </c>
      <c r="R73" s="90"/>
      <c r="S73" s="87"/>
      <c r="T73" s="87"/>
      <c r="U73" s="87"/>
      <c r="V73" s="93"/>
      <c r="W73" s="91"/>
      <c r="X73" s="87"/>
      <c r="Y73" s="92"/>
      <c r="Z73" s="90"/>
      <c r="AA73" s="93"/>
      <c r="AB73" s="87"/>
      <c r="AC73" s="91"/>
      <c r="AD73" s="90"/>
      <c r="AE73" s="86"/>
      <c r="AF73" s="82"/>
      <c r="AG73" s="24"/>
      <c r="AH73" s="93"/>
      <c r="AI73" s="87"/>
      <c r="AJ73" s="86"/>
      <c r="AK73" s="81"/>
      <c r="AL73" s="24"/>
      <c r="AM73" s="24"/>
      <c r="AN73" s="81"/>
      <c r="AO73" s="81"/>
      <c r="AP73" s="24"/>
      <c r="AQ73" s="93"/>
      <c r="AR73" s="94"/>
      <c r="AS73" s="82"/>
      <c r="AT73" s="82"/>
      <c r="AU73" s="24"/>
      <c r="AV73" s="93"/>
      <c r="AW73" s="94"/>
      <c r="AX73" s="95"/>
      <c r="AY73" s="95"/>
      <c r="AZ73" s="95"/>
      <c r="BA73" s="24"/>
      <c r="BB73" s="9" t="s">
        <v>202</v>
      </c>
      <c r="BC73" s="96" t="s">
        <v>93</v>
      </c>
    </row>
    <row r="74" spans="1:55" ht="15" customHeight="1">
      <c r="A74" s="86">
        <f t="shared" si="19"/>
        <v>72</v>
      </c>
      <c r="B74" s="75" t="s">
        <v>201</v>
      </c>
      <c r="C74" s="9"/>
      <c r="D74" s="76" t="s">
        <v>200</v>
      </c>
      <c r="E74" s="88" t="str">
        <f>_xlfn.IFNA(VLOOKUP($D74,'Route-Details'!$B$2:$X$1048576,'Node Details'!E$1,0),"")</f>
        <v>Airtel</v>
      </c>
      <c r="F74" s="88" t="str">
        <f>_xlfn.IFNA(VLOOKUP($D74,'Route-Details'!$B$2:$X$1048576,'Node Details'!F$1,0),"")</f>
        <v>DARIA</v>
      </c>
      <c r="G74" s="88" t="str">
        <f>_xlfn.IFNA(VLOOKUP($D74,'Route-Details'!$B$2:$X$1048576,'Node Details'!G$1,0),"")</f>
        <v>Chandigarh</v>
      </c>
      <c r="H74" s="88" t="str">
        <f>_xlfn.IFNA(VLOOKUP($D75,'Route-Details'!$B$2:$X$1048576,'Node Details'!H$1,0),"")</f>
        <v>Punjab</v>
      </c>
      <c r="I74" s="88" t="str">
        <f>_xlfn.IFNA(VLOOKUP($D74,'Route-Details'!$B$2:$X$1048576,'Node Details'!I$1,0),"")</f>
        <v>AXY</v>
      </c>
      <c r="J74" s="88" t="str">
        <f>_xlfn.IFNA(VLOOKUP($D74,'Route-Details'!$B$2:$X$1048576,'Node Details'!J$1,0),"")</f>
        <v>AXY</v>
      </c>
      <c r="K74" s="76">
        <v>46112</v>
      </c>
      <c r="L74" s="76">
        <v>46113</v>
      </c>
      <c r="M74" s="89">
        <v>46125</v>
      </c>
      <c r="N74" s="76">
        <v>46112</v>
      </c>
      <c r="Q74" s="86" t="s">
        <v>958</v>
      </c>
      <c r="R74" s="90"/>
      <c r="S74" s="87"/>
      <c r="T74" s="87"/>
      <c r="U74" s="87"/>
      <c r="V74" s="93"/>
      <c r="W74" s="91"/>
      <c r="X74" s="87"/>
      <c r="Y74" s="92"/>
      <c r="Z74" s="90"/>
      <c r="AA74" s="93"/>
      <c r="AB74" s="87"/>
      <c r="AC74" s="91"/>
      <c r="AD74" s="90"/>
      <c r="AE74" s="86"/>
      <c r="AF74" s="82"/>
      <c r="AG74" s="24"/>
      <c r="AH74" s="93"/>
      <c r="AI74" s="87"/>
      <c r="AJ74" s="86"/>
      <c r="AK74" s="81"/>
      <c r="AL74" s="24"/>
      <c r="AM74" s="24"/>
      <c r="AN74" s="81"/>
      <c r="AO74" s="81"/>
      <c r="AP74" s="24"/>
      <c r="AQ74" s="93"/>
      <c r="AR74" s="94"/>
      <c r="AS74" s="82"/>
      <c r="AT74" s="82"/>
      <c r="AU74" s="24"/>
      <c r="AV74" s="93"/>
      <c r="AW74" s="94"/>
      <c r="AX74" s="95"/>
      <c r="AY74" s="95"/>
      <c r="AZ74" s="95"/>
      <c r="BA74" s="24"/>
      <c r="BB74" s="9" t="s">
        <v>202</v>
      </c>
      <c r="BC74" s="96" t="s">
        <v>93</v>
      </c>
    </row>
    <row r="75" spans="1:55" ht="15" customHeight="1">
      <c r="A75" s="86">
        <f t="shared" si="19"/>
        <v>73</v>
      </c>
      <c r="B75" s="75" t="s">
        <v>991</v>
      </c>
      <c r="C75" s="9"/>
      <c r="D75" s="76" t="s">
        <v>203</v>
      </c>
      <c r="E75" s="88" t="str">
        <f>_xlfn.IFNA(VLOOKUP($D75,'Route-Details'!$B$2:$X$1048576,'Node Details'!E$1,0),"")</f>
        <v>Airtel</v>
      </c>
      <c r="F75" s="88" t="str">
        <f>_xlfn.IFNA(VLOOKUP($D75,'Route-Details'!$B$2:$X$1048576,'Node Details'!F$1,0),"")</f>
        <v>DARIA</v>
      </c>
      <c r="G75" s="88" t="str">
        <f>_xlfn.IFNA(VLOOKUP($D75,'Route-Details'!$B$2:$X$1048576,'Node Details'!G$1,0),"")</f>
        <v>Chandigarh</v>
      </c>
      <c r="H75" s="88" t="str">
        <f>_xlfn.IFNA(VLOOKUP($D76,'Route-Details'!$B$2:$X$1048576,'Node Details'!H$1,0),"")</f>
        <v>Punjab</v>
      </c>
      <c r="I75" s="88" t="str">
        <f>_xlfn.IFNA(VLOOKUP($D75,'Route-Details'!$B$2:$X$1048576,'Node Details'!I$1,0),"")</f>
        <v>AXY</v>
      </c>
      <c r="J75" s="88" t="str">
        <f>_xlfn.IFNA(VLOOKUP($D75,'Route-Details'!$B$2:$X$1048576,'Node Details'!J$1,0),"")</f>
        <v>AXY</v>
      </c>
      <c r="K75" s="76">
        <v>46112</v>
      </c>
      <c r="L75" s="76">
        <v>46113</v>
      </c>
      <c r="M75" s="89">
        <v>46125</v>
      </c>
      <c r="N75" s="76">
        <v>46112</v>
      </c>
      <c r="Q75" s="86" t="s">
        <v>958</v>
      </c>
      <c r="R75" s="90"/>
      <c r="S75" s="87"/>
      <c r="T75" s="87"/>
      <c r="U75" s="87"/>
      <c r="V75" s="93"/>
      <c r="W75" s="91"/>
      <c r="X75" s="87"/>
      <c r="Y75" s="92"/>
      <c r="Z75" s="90"/>
      <c r="AA75" s="93"/>
      <c r="AB75" s="87"/>
      <c r="AC75" s="91"/>
      <c r="AD75" s="90"/>
      <c r="AE75" s="86"/>
      <c r="AF75" s="82"/>
      <c r="AG75" s="24"/>
      <c r="AH75" s="93"/>
      <c r="AI75" s="87"/>
      <c r="AJ75" s="86"/>
      <c r="AK75" s="81"/>
      <c r="AL75" s="24"/>
      <c r="AM75" s="24"/>
      <c r="AN75" s="81"/>
      <c r="AO75" s="81"/>
      <c r="AP75" s="24"/>
      <c r="AQ75" s="93"/>
      <c r="AR75" s="94"/>
      <c r="AS75" s="82"/>
      <c r="AT75" s="82"/>
      <c r="AU75" s="24"/>
      <c r="AV75" s="93"/>
      <c r="AW75" s="94"/>
      <c r="AX75" s="95"/>
      <c r="AY75" s="95"/>
      <c r="AZ75" s="95"/>
      <c r="BA75" s="24"/>
      <c r="BB75" s="9" t="s">
        <v>206</v>
      </c>
      <c r="BC75" s="96" t="s">
        <v>93</v>
      </c>
    </row>
    <row r="76" spans="1:55" ht="15" customHeight="1">
      <c r="A76" s="86">
        <f t="shared" si="19"/>
        <v>74</v>
      </c>
      <c r="B76" s="75" t="s">
        <v>992</v>
      </c>
      <c r="C76" s="9"/>
      <c r="D76" s="76" t="s">
        <v>203</v>
      </c>
      <c r="E76" s="88" t="str">
        <f>_xlfn.IFNA(VLOOKUP($D76,'Route-Details'!$B$2:$X$1048576,'Node Details'!E$1,0),"")</f>
        <v>Airtel</v>
      </c>
      <c r="F76" s="88" t="str">
        <f>_xlfn.IFNA(VLOOKUP($D76,'Route-Details'!$B$2:$X$1048576,'Node Details'!F$1,0),"")</f>
        <v>DARIA</v>
      </c>
      <c r="G76" s="88" t="str">
        <f>_xlfn.IFNA(VLOOKUP($D76,'Route-Details'!$B$2:$X$1048576,'Node Details'!G$1,0),"")</f>
        <v>Chandigarh</v>
      </c>
      <c r="H76" s="88" t="str">
        <f>_xlfn.IFNA(VLOOKUP($D77,'Route-Details'!$B$2:$X$1048576,'Node Details'!H$1,0),"")</f>
        <v>Punjab</v>
      </c>
      <c r="I76" s="88" t="str">
        <f>_xlfn.IFNA(VLOOKUP($D76,'Route-Details'!$B$2:$X$1048576,'Node Details'!I$1,0),"")</f>
        <v>AXY</v>
      </c>
      <c r="J76" s="88" t="str">
        <f>_xlfn.IFNA(VLOOKUP($D76,'Route-Details'!$B$2:$X$1048576,'Node Details'!J$1,0),"")</f>
        <v>AXY</v>
      </c>
      <c r="K76" s="76">
        <v>46112</v>
      </c>
      <c r="L76" s="76">
        <v>46113</v>
      </c>
      <c r="M76" s="89">
        <v>46125</v>
      </c>
      <c r="N76" s="76">
        <v>46112</v>
      </c>
      <c r="Q76" s="86" t="s">
        <v>958</v>
      </c>
      <c r="R76" s="90"/>
      <c r="S76" s="87"/>
      <c r="T76" s="87"/>
      <c r="U76" s="87"/>
      <c r="V76" s="93"/>
      <c r="W76" s="91"/>
      <c r="X76" s="87"/>
      <c r="Y76" s="92"/>
      <c r="Z76" s="90"/>
      <c r="AA76" s="93"/>
      <c r="AB76" s="87"/>
      <c r="AC76" s="91"/>
      <c r="AD76" s="90"/>
      <c r="AE76" s="86"/>
      <c r="AF76" s="82"/>
      <c r="AG76" s="24"/>
      <c r="AH76" s="93"/>
      <c r="AI76" s="87"/>
      <c r="AJ76" s="86"/>
      <c r="AK76" s="81"/>
      <c r="AL76" s="24"/>
      <c r="AM76" s="24"/>
      <c r="AN76" s="81"/>
      <c r="AO76" s="81"/>
      <c r="AP76" s="24"/>
      <c r="AQ76" s="93"/>
      <c r="AR76" s="94"/>
      <c r="AS76" s="82"/>
      <c r="AT76" s="82"/>
      <c r="AU76" s="24"/>
      <c r="AV76" s="93"/>
      <c r="AW76" s="94"/>
      <c r="AX76" s="95"/>
      <c r="AY76" s="95"/>
      <c r="AZ76" s="95"/>
      <c r="BA76" s="24"/>
      <c r="BB76" s="9" t="s">
        <v>206</v>
      </c>
      <c r="BC76" s="96" t="s">
        <v>93</v>
      </c>
    </row>
    <row r="77" spans="1:55" ht="15" customHeight="1">
      <c r="A77" s="86">
        <f t="shared" si="19"/>
        <v>75</v>
      </c>
      <c r="B77" s="75" t="s">
        <v>205</v>
      </c>
      <c r="C77" s="9"/>
      <c r="D77" s="76" t="s">
        <v>203</v>
      </c>
      <c r="E77" s="88" t="str">
        <f>_xlfn.IFNA(VLOOKUP($D77,'Route-Details'!$B$2:$X$1048576,'Node Details'!E$1,0),"")</f>
        <v>Airtel</v>
      </c>
      <c r="F77" s="88" t="str">
        <f>_xlfn.IFNA(VLOOKUP($D77,'Route-Details'!$B$2:$X$1048576,'Node Details'!F$1,0),"")</f>
        <v>DARIA</v>
      </c>
      <c r="G77" s="88" t="str">
        <f>_xlfn.IFNA(VLOOKUP($D77,'Route-Details'!$B$2:$X$1048576,'Node Details'!G$1,0),"")</f>
        <v>Chandigarh</v>
      </c>
      <c r="H77" s="88" t="str">
        <f>_xlfn.IFNA(VLOOKUP($D78,'Route-Details'!$B$2:$X$1048576,'Node Details'!H$1,0),"")</f>
        <v>Punjab</v>
      </c>
      <c r="I77" s="88" t="str">
        <f>_xlfn.IFNA(VLOOKUP($D77,'Route-Details'!$B$2:$X$1048576,'Node Details'!I$1,0),"")</f>
        <v>AXY</v>
      </c>
      <c r="J77" s="88" t="str">
        <f>_xlfn.IFNA(VLOOKUP($D77,'Route-Details'!$B$2:$X$1048576,'Node Details'!J$1,0),"")</f>
        <v>AXY</v>
      </c>
      <c r="K77" s="76">
        <v>46112</v>
      </c>
      <c r="L77" s="76">
        <v>46113</v>
      </c>
      <c r="M77" s="89">
        <v>46125</v>
      </c>
      <c r="N77" s="76">
        <v>46112</v>
      </c>
      <c r="Q77" s="86" t="s">
        <v>958</v>
      </c>
      <c r="R77" s="90"/>
      <c r="S77" s="87"/>
      <c r="T77" s="87"/>
      <c r="U77" s="87"/>
      <c r="V77" s="93"/>
      <c r="W77" s="91"/>
      <c r="X77" s="87"/>
      <c r="Y77" s="92"/>
      <c r="Z77" s="90"/>
      <c r="AA77" s="93"/>
      <c r="AB77" s="87"/>
      <c r="AC77" s="91"/>
      <c r="AD77" s="90"/>
      <c r="AE77" s="86"/>
      <c r="AF77" s="82"/>
      <c r="AG77" s="24"/>
      <c r="AH77" s="93"/>
      <c r="AI77" s="87"/>
      <c r="AJ77" s="86"/>
      <c r="AK77" s="81"/>
      <c r="AL77" s="24"/>
      <c r="AM77" s="24"/>
      <c r="AN77" s="81"/>
      <c r="AO77" s="81"/>
      <c r="AP77" s="24"/>
      <c r="AQ77" s="93"/>
      <c r="AR77" s="94"/>
      <c r="AS77" s="82"/>
      <c r="AT77" s="82"/>
      <c r="AU77" s="24"/>
      <c r="AV77" s="93"/>
      <c r="AW77" s="94"/>
      <c r="AX77" s="95"/>
      <c r="AY77" s="95"/>
      <c r="AZ77" s="95"/>
      <c r="BA77" s="24"/>
      <c r="BB77" s="9" t="s">
        <v>206</v>
      </c>
      <c r="BC77" s="96" t="s">
        <v>93</v>
      </c>
    </row>
    <row r="78" spans="1:55" ht="15" customHeight="1">
      <c r="A78" s="86">
        <f t="shared" si="19"/>
        <v>76</v>
      </c>
      <c r="B78" s="75" t="s">
        <v>208</v>
      </c>
      <c r="C78" s="9"/>
      <c r="D78" s="76" t="s">
        <v>139</v>
      </c>
      <c r="E78" s="88" t="str">
        <f>_xlfn.IFNA(VLOOKUP($D78,'Route-Details'!$B$2:$X$1048576,'Node Details'!E$1,0),"")</f>
        <v>Airtel</v>
      </c>
      <c r="F78" s="88" t="str">
        <f>_xlfn.IFNA(VLOOKUP($D78,'Route-Details'!$B$2:$X$1048576,'Node Details'!F$1,0),"")</f>
        <v>DARIA</v>
      </c>
      <c r="G78" s="88" t="str">
        <f>_xlfn.IFNA(VLOOKUP($D78,'Route-Details'!$B$2:$X$1048576,'Node Details'!G$1,0),"")</f>
        <v>Chandigarh</v>
      </c>
      <c r="H78" s="88" t="str">
        <f>_xlfn.IFNA(VLOOKUP($D79,'Route-Details'!$B$2:$X$1048576,'Node Details'!H$1,0),"")</f>
        <v>Punjab</v>
      </c>
      <c r="I78" s="88" t="str">
        <f>_xlfn.IFNA(VLOOKUP($D78,'Route-Details'!$B$2:$X$1048576,'Node Details'!I$1,0),"")</f>
        <v>AXY</v>
      </c>
      <c r="J78" s="88" t="str">
        <f>_xlfn.IFNA(VLOOKUP($D78,'Route-Details'!$B$2:$X$1048576,'Node Details'!J$1,0),"")</f>
        <v>AXY</v>
      </c>
      <c r="K78" s="76">
        <v>46112</v>
      </c>
      <c r="L78" s="76">
        <v>46113</v>
      </c>
      <c r="M78" s="89">
        <v>46125</v>
      </c>
      <c r="N78" s="76">
        <v>46112</v>
      </c>
      <c r="Q78" s="86" t="s">
        <v>958</v>
      </c>
      <c r="R78" s="90"/>
      <c r="S78" s="87"/>
      <c r="T78" s="87"/>
      <c r="U78" s="87"/>
      <c r="V78" s="93"/>
      <c r="W78" s="91"/>
      <c r="X78" s="87"/>
      <c r="Y78" s="92"/>
      <c r="Z78" s="90"/>
      <c r="AA78" s="93"/>
      <c r="AB78" s="87"/>
      <c r="AC78" s="91"/>
      <c r="AD78" s="90"/>
      <c r="AE78" s="86"/>
      <c r="AF78" s="82"/>
      <c r="AG78" s="24"/>
      <c r="AH78" s="93"/>
      <c r="AI78" s="87"/>
      <c r="AJ78" s="86"/>
      <c r="AK78" s="81"/>
      <c r="AL78" s="24"/>
      <c r="AM78" s="24"/>
      <c r="AN78" s="81"/>
      <c r="AO78" s="81"/>
      <c r="AP78" s="24"/>
      <c r="AQ78" s="93"/>
      <c r="AR78" s="94"/>
      <c r="AS78" s="82"/>
      <c r="AT78" s="82"/>
      <c r="AU78" s="24"/>
      <c r="AV78" s="93"/>
      <c r="AW78" s="94"/>
      <c r="AX78" s="95"/>
      <c r="AY78" s="95"/>
      <c r="AZ78" s="95"/>
      <c r="BA78" s="24"/>
      <c r="BB78" s="9" t="s">
        <v>92</v>
      </c>
      <c r="BC78" s="96" t="s">
        <v>93</v>
      </c>
    </row>
    <row r="79" spans="1:55" ht="15" customHeight="1">
      <c r="A79" s="86">
        <f t="shared" si="19"/>
        <v>77</v>
      </c>
      <c r="B79" s="75" t="s">
        <v>993</v>
      </c>
      <c r="C79" s="9"/>
      <c r="D79" s="76" t="s">
        <v>207</v>
      </c>
      <c r="E79" s="88" t="str">
        <f>_xlfn.IFNA(VLOOKUP($D79,'Route-Details'!$B$2:$X$1048576,'Node Details'!E$1,0),"")</f>
        <v>Airtel</v>
      </c>
      <c r="F79" s="88" t="str">
        <f>_xlfn.IFNA(VLOOKUP($D79,'Route-Details'!$B$2:$X$1048576,'Node Details'!F$1,0),"")</f>
        <v>DARIA</v>
      </c>
      <c r="G79" s="88" t="str">
        <f>_xlfn.IFNA(VLOOKUP($D79,'Route-Details'!$B$2:$X$1048576,'Node Details'!G$1,0),"")</f>
        <v>Chandigarh</v>
      </c>
      <c r="H79" s="88" t="str">
        <f>_xlfn.IFNA(VLOOKUP($D80,'Route-Details'!$B$2:$X$1048576,'Node Details'!H$1,0),"")</f>
        <v>Punjab</v>
      </c>
      <c r="I79" s="88" t="str">
        <f>_xlfn.IFNA(VLOOKUP($D79,'Route-Details'!$B$2:$X$1048576,'Node Details'!I$1,0),"")</f>
        <v>AXY</v>
      </c>
      <c r="J79" s="88" t="str">
        <f>_xlfn.IFNA(VLOOKUP($D79,'Route-Details'!$B$2:$X$1048576,'Node Details'!J$1,0),"")</f>
        <v>AXY</v>
      </c>
      <c r="K79" s="76">
        <v>46112</v>
      </c>
      <c r="L79" s="76">
        <v>46113</v>
      </c>
      <c r="M79" s="89">
        <v>46125</v>
      </c>
      <c r="N79" s="76">
        <v>46112</v>
      </c>
      <c r="Q79" s="86" t="s">
        <v>958</v>
      </c>
      <c r="R79" s="90"/>
      <c r="S79" s="87"/>
      <c r="T79" s="87"/>
      <c r="U79" s="87"/>
      <c r="V79" s="93"/>
      <c r="W79" s="91"/>
      <c r="X79" s="87"/>
      <c r="Y79" s="92"/>
      <c r="Z79" s="90"/>
      <c r="AA79" s="93"/>
      <c r="AB79" s="87"/>
      <c r="AC79" s="91"/>
      <c r="AD79" s="90"/>
      <c r="AE79" s="86"/>
      <c r="AF79" s="82"/>
      <c r="AG79" s="24"/>
      <c r="AH79" s="93"/>
      <c r="AI79" s="87"/>
      <c r="AJ79" s="86"/>
      <c r="AK79" s="81"/>
      <c r="AL79" s="24"/>
      <c r="AM79" s="24"/>
      <c r="AN79" s="81"/>
      <c r="AO79" s="81"/>
      <c r="AP79" s="24"/>
      <c r="AQ79" s="93"/>
      <c r="AR79" s="94"/>
      <c r="AS79" s="82"/>
      <c r="AT79" s="82"/>
      <c r="AU79" s="24"/>
      <c r="AV79" s="93"/>
      <c r="AW79" s="94"/>
      <c r="AX79" s="95"/>
      <c r="AY79" s="95"/>
      <c r="AZ79" s="95"/>
      <c r="BA79" s="24"/>
      <c r="BB79" s="9" t="s">
        <v>210</v>
      </c>
      <c r="BC79" s="96" t="s">
        <v>93</v>
      </c>
    </row>
    <row r="80" spans="1:55" ht="15" customHeight="1">
      <c r="A80" s="86">
        <f t="shared" si="19"/>
        <v>78</v>
      </c>
      <c r="B80" s="75" t="s">
        <v>209</v>
      </c>
      <c r="C80" s="9"/>
      <c r="D80" s="76" t="s">
        <v>207</v>
      </c>
      <c r="E80" s="88" t="str">
        <f>_xlfn.IFNA(VLOOKUP($D80,'Route-Details'!$B$2:$X$1048576,'Node Details'!E$1,0),"")</f>
        <v>Airtel</v>
      </c>
      <c r="F80" s="88" t="str">
        <f>_xlfn.IFNA(VLOOKUP($D80,'Route-Details'!$B$2:$X$1048576,'Node Details'!F$1,0),"")</f>
        <v>DARIA</v>
      </c>
      <c r="G80" s="88" t="str">
        <f>_xlfn.IFNA(VLOOKUP($D80,'Route-Details'!$B$2:$X$1048576,'Node Details'!G$1,0),"")</f>
        <v>Chandigarh</v>
      </c>
      <c r="H80" s="88" t="str">
        <f>_xlfn.IFNA(VLOOKUP($D81,'Route-Details'!$B$2:$X$1048576,'Node Details'!H$1,0),"")</f>
        <v>Punjab</v>
      </c>
      <c r="I80" s="88" t="str">
        <f>_xlfn.IFNA(VLOOKUP($D80,'Route-Details'!$B$2:$X$1048576,'Node Details'!I$1,0),"")</f>
        <v>AXY</v>
      </c>
      <c r="J80" s="88" t="str">
        <f>_xlfn.IFNA(VLOOKUP($D80,'Route-Details'!$B$2:$X$1048576,'Node Details'!J$1,0),"")</f>
        <v>AXY</v>
      </c>
      <c r="K80" s="76">
        <v>46112</v>
      </c>
      <c r="L80" s="76">
        <v>46113</v>
      </c>
      <c r="M80" s="89">
        <v>46125</v>
      </c>
      <c r="N80" s="76">
        <v>46112</v>
      </c>
      <c r="Q80" s="86" t="s">
        <v>958</v>
      </c>
      <c r="R80" s="90"/>
      <c r="S80" s="87"/>
      <c r="T80" s="87"/>
      <c r="U80" s="87"/>
      <c r="V80" s="93"/>
      <c r="W80" s="91"/>
      <c r="X80" s="87"/>
      <c r="Y80" s="92"/>
      <c r="Z80" s="90"/>
      <c r="AA80" s="93"/>
      <c r="AB80" s="87"/>
      <c r="AC80" s="91"/>
      <c r="AD80" s="90"/>
      <c r="AE80" s="86"/>
      <c r="AF80" s="82"/>
      <c r="AG80" s="24"/>
      <c r="AH80" s="93"/>
      <c r="AI80" s="87"/>
      <c r="AJ80" s="86"/>
      <c r="AK80" s="81"/>
      <c r="AL80" s="24"/>
      <c r="AM80" s="24"/>
      <c r="AN80" s="81"/>
      <c r="AO80" s="81"/>
      <c r="AP80" s="24"/>
      <c r="AQ80" s="93"/>
      <c r="AR80" s="94"/>
      <c r="AS80" s="82"/>
      <c r="AT80" s="82"/>
      <c r="AU80" s="24"/>
      <c r="AV80" s="93"/>
      <c r="AW80" s="94"/>
      <c r="AX80" s="95"/>
      <c r="AY80" s="95"/>
      <c r="AZ80" s="95"/>
      <c r="BA80" s="24"/>
      <c r="BB80" s="9" t="s">
        <v>210</v>
      </c>
      <c r="BC80" s="96" t="s">
        <v>93</v>
      </c>
    </row>
    <row r="81" spans="1:55" ht="15" customHeight="1">
      <c r="A81" s="86">
        <f t="shared" si="19"/>
        <v>79</v>
      </c>
      <c r="B81" s="75" t="s">
        <v>994</v>
      </c>
      <c r="C81" s="9"/>
      <c r="D81" s="76" t="s">
        <v>211</v>
      </c>
      <c r="E81" s="88" t="str">
        <f>_xlfn.IFNA(VLOOKUP($D81,'Route-Details'!$B$2:$X$1048576,'Node Details'!E$1,0),"")</f>
        <v>Airtel</v>
      </c>
      <c r="F81" s="88" t="str">
        <f>_xlfn.IFNA(VLOOKUP($D81,'Route-Details'!$B$2:$X$1048576,'Node Details'!F$1,0),"")</f>
        <v>DARIA</v>
      </c>
      <c r="G81" s="88" t="str">
        <f>_xlfn.IFNA(VLOOKUP($D81,'Route-Details'!$B$2:$X$1048576,'Node Details'!G$1,0),"")</f>
        <v>Chandigarh</v>
      </c>
      <c r="H81" s="88" t="str">
        <f>_xlfn.IFNA(VLOOKUP($D82,'Route-Details'!$B$2:$X$1048576,'Node Details'!H$1,0),"")</f>
        <v>Punjab</v>
      </c>
      <c r="I81" s="88" t="str">
        <f>_xlfn.IFNA(VLOOKUP($D81,'Route-Details'!$B$2:$X$1048576,'Node Details'!I$1,0),"")</f>
        <v>AXY</v>
      </c>
      <c r="J81" s="88" t="str">
        <f>_xlfn.IFNA(VLOOKUP($D81,'Route-Details'!$B$2:$X$1048576,'Node Details'!J$1,0),"")</f>
        <v>AXY</v>
      </c>
      <c r="K81" s="76">
        <v>46112</v>
      </c>
      <c r="L81" s="76">
        <v>46113</v>
      </c>
      <c r="M81" s="89">
        <v>46125</v>
      </c>
      <c r="N81" s="76">
        <v>46112</v>
      </c>
      <c r="Q81" s="86" t="s">
        <v>958</v>
      </c>
      <c r="R81" s="90"/>
      <c r="S81" s="87"/>
      <c r="T81" s="87"/>
      <c r="U81" s="87"/>
      <c r="V81" s="93"/>
      <c r="W81" s="91"/>
      <c r="X81" s="87"/>
      <c r="Y81" s="92"/>
      <c r="Z81" s="90"/>
      <c r="AA81" s="93"/>
      <c r="AB81" s="87"/>
      <c r="AC81" s="91"/>
      <c r="AD81" s="90"/>
      <c r="AE81" s="86"/>
      <c r="AF81" s="82"/>
      <c r="AG81" s="24"/>
      <c r="AH81" s="93"/>
      <c r="AI81" s="87"/>
      <c r="AJ81" s="86"/>
      <c r="AK81" s="81"/>
      <c r="AL81" s="24"/>
      <c r="AM81" s="24"/>
      <c r="AN81" s="81"/>
      <c r="AO81" s="81"/>
      <c r="AP81" s="24"/>
      <c r="AQ81" s="93"/>
      <c r="AR81" s="94"/>
      <c r="AS81" s="82"/>
      <c r="AT81" s="82"/>
      <c r="AU81" s="24"/>
      <c r="AV81" s="93"/>
      <c r="AW81" s="94"/>
      <c r="AX81" s="95"/>
      <c r="AY81" s="95"/>
      <c r="AZ81" s="95"/>
      <c r="BA81" s="24"/>
      <c r="BB81" s="9" t="s">
        <v>213</v>
      </c>
      <c r="BC81" s="96" t="s">
        <v>93</v>
      </c>
    </row>
    <row r="82" spans="1:55" ht="15" customHeight="1">
      <c r="A82" s="86">
        <f t="shared" si="19"/>
        <v>80</v>
      </c>
      <c r="B82" s="75" t="s">
        <v>995</v>
      </c>
      <c r="C82" s="9"/>
      <c r="D82" s="76" t="s">
        <v>211</v>
      </c>
      <c r="E82" s="88" t="str">
        <f>_xlfn.IFNA(VLOOKUP($D82,'Route-Details'!$B$2:$X$1048576,'Node Details'!E$1,0),"")</f>
        <v>Airtel</v>
      </c>
      <c r="F82" s="88" t="str">
        <f>_xlfn.IFNA(VLOOKUP($D82,'Route-Details'!$B$2:$X$1048576,'Node Details'!F$1,0),"")</f>
        <v>DARIA</v>
      </c>
      <c r="G82" s="88" t="str">
        <f>_xlfn.IFNA(VLOOKUP($D82,'Route-Details'!$B$2:$X$1048576,'Node Details'!G$1,0),"")</f>
        <v>Chandigarh</v>
      </c>
      <c r="H82" s="88" t="str">
        <f>_xlfn.IFNA(VLOOKUP($D83,'Route-Details'!$B$2:$X$1048576,'Node Details'!H$1,0),"")</f>
        <v>Punjab</v>
      </c>
      <c r="I82" s="88" t="str">
        <f>_xlfn.IFNA(VLOOKUP($D82,'Route-Details'!$B$2:$X$1048576,'Node Details'!I$1,0),"")</f>
        <v>AXY</v>
      </c>
      <c r="J82" s="88" t="str">
        <f>_xlfn.IFNA(VLOOKUP($D82,'Route-Details'!$B$2:$X$1048576,'Node Details'!J$1,0),"")</f>
        <v>AXY</v>
      </c>
      <c r="K82" s="76">
        <v>46112</v>
      </c>
      <c r="L82" s="76">
        <v>46113</v>
      </c>
      <c r="M82" s="89">
        <v>46125</v>
      </c>
      <c r="N82" s="76">
        <v>46112</v>
      </c>
      <c r="Q82" s="86" t="s">
        <v>958</v>
      </c>
      <c r="R82" s="90"/>
      <c r="S82" s="87"/>
      <c r="T82" s="87"/>
      <c r="U82" s="87"/>
      <c r="V82" s="93"/>
      <c r="W82" s="91"/>
      <c r="X82" s="87"/>
      <c r="Y82" s="92"/>
      <c r="Z82" s="90"/>
      <c r="AA82" s="93"/>
      <c r="AB82" s="87"/>
      <c r="AC82" s="91"/>
      <c r="AD82" s="90"/>
      <c r="AE82" s="86"/>
      <c r="AF82" s="82"/>
      <c r="AG82" s="24"/>
      <c r="AH82" s="93"/>
      <c r="AI82" s="87"/>
      <c r="AJ82" s="86"/>
      <c r="AK82" s="81"/>
      <c r="AL82" s="24"/>
      <c r="AM82" s="24"/>
      <c r="AN82" s="81"/>
      <c r="AO82" s="81"/>
      <c r="AP82" s="24"/>
      <c r="AQ82" s="93"/>
      <c r="AR82" s="94"/>
      <c r="AS82" s="82"/>
      <c r="AT82" s="82"/>
      <c r="AU82" s="24"/>
      <c r="AV82" s="93"/>
      <c r="AW82" s="94"/>
      <c r="AX82" s="95"/>
      <c r="AY82" s="95"/>
      <c r="AZ82" s="95"/>
      <c r="BA82" s="24"/>
      <c r="BB82" s="9" t="s">
        <v>213</v>
      </c>
      <c r="BC82" s="96" t="s">
        <v>93</v>
      </c>
    </row>
    <row r="83" spans="1:55" ht="15" customHeight="1">
      <c r="A83" s="86">
        <f t="shared" si="19"/>
        <v>81</v>
      </c>
      <c r="B83" s="75" t="s">
        <v>212</v>
      </c>
      <c r="C83" s="9"/>
      <c r="D83" s="76" t="s">
        <v>211</v>
      </c>
      <c r="E83" s="88" t="str">
        <f>_xlfn.IFNA(VLOOKUP($D83,'Route-Details'!$B$2:$X$1048576,'Node Details'!E$1,0),"")</f>
        <v>Airtel</v>
      </c>
      <c r="F83" s="88" t="str">
        <f>_xlfn.IFNA(VLOOKUP($D83,'Route-Details'!$B$2:$X$1048576,'Node Details'!F$1,0),"")</f>
        <v>DARIA</v>
      </c>
      <c r="G83" s="88" t="str">
        <f>_xlfn.IFNA(VLOOKUP($D83,'Route-Details'!$B$2:$X$1048576,'Node Details'!G$1,0),"")</f>
        <v>Chandigarh</v>
      </c>
      <c r="H83" s="88" t="str">
        <f>_xlfn.IFNA(VLOOKUP($D84,'Route-Details'!$B$2:$X$1048576,'Node Details'!H$1,0),"")</f>
        <v>Punjab</v>
      </c>
      <c r="I83" s="88" t="str">
        <f>_xlfn.IFNA(VLOOKUP($D83,'Route-Details'!$B$2:$X$1048576,'Node Details'!I$1,0),"")</f>
        <v>AXY</v>
      </c>
      <c r="J83" s="88" t="str">
        <f>_xlfn.IFNA(VLOOKUP($D83,'Route-Details'!$B$2:$X$1048576,'Node Details'!J$1,0),"")</f>
        <v>AXY</v>
      </c>
      <c r="K83" s="76">
        <v>46112</v>
      </c>
      <c r="L83" s="76">
        <v>46113</v>
      </c>
      <c r="M83" s="89">
        <v>46125</v>
      </c>
      <c r="N83" s="76">
        <v>46112</v>
      </c>
      <c r="Q83" s="86" t="s">
        <v>958</v>
      </c>
      <c r="R83" s="90"/>
      <c r="S83" s="87"/>
      <c r="T83" s="87"/>
      <c r="U83" s="87"/>
      <c r="V83" s="93"/>
      <c r="W83" s="91"/>
      <c r="X83" s="87"/>
      <c r="Y83" s="92"/>
      <c r="Z83" s="90"/>
      <c r="AA83" s="93"/>
      <c r="AB83" s="87"/>
      <c r="AC83" s="91"/>
      <c r="AD83" s="90"/>
      <c r="AE83" s="86"/>
      <c r="AF83" s="82"/>
      <c r="AG83" s="24"/>
      <c r="AH83" s="93"/>
      <c r="AI83" s="87"/>
      <c r="AJ83" s="86"/>
      <c r="AK83" s="81"/>
      <c r="AL83" s="24"/>
      <c r="AM83" s="24"/>
      <c r="AN83" s="81"/>
      <c r="AO83" s="81"/>
      <c r="AP83" s="24"/>
      <c r="AQ83" s="93"/>
      <c r="AR83" s="94"/>
      <c r="AS83" s="82"/>
      <c r="AT83" s="82"/>
      <c r="AU83" s="24"/>
      <c r="AV83" s="93"/>
      <c r="AW83" s="94"/>
      <c r="AX83" s="95"/>
      <c r="AY83" s="95"/>
      <c r="AZ83" s="95"/>
      <c r="BA83" s="24"/>
      <c r="BB83" s="9" t="s">
        <v>213</v>
      </c>
      <c r="BC83" s="96" t="s">
        <v>93</v>
      </c>
    </row>
    <row r="84" spans="1:55" ht="15" customHeight="1">
      <c r="A84" s="86">
        <f t="shared" si="19"/>
        <v>82</v>
      </c>
      <c r="B84" s="75" t="s">
        <v>996</v>
      </c>
      <c r="C84" s="9"/>
      <c r="D84" s="76" t="s">
        <v>214</v>
      </c>
      <c r="E84" s="88" t="str">
        <f>_xlfn.IFNA(VLOOKUP($D84,'Route-Details'!$B$2:$X$1048576,'Node Details'!E$1,0),"")</f>
        <v>Airtel</v>
      </c>
      <c r="F84" s="88" t="str">
        <f>_xlfn.IFNA(VLOOKUP($D84,'Route-Details'!$B$2:$X$1048576,'Node Details'!F$1,0),"")</f>
        <v>DARIA</v>
      </c>
      <c r="G84" s="88" t="str">
        <f>_xlfn.IFNA(VLOOKUP($D84,'Route-Details'!$B$2:$X$1048576,'Node Details'!G$1,0),"")</f>
        <v>Chandigarh</v>
      </c>
      <c r="H84" s="88" t="str">
        <f>_xlfn.IFNA(VLOOKUP($D85,'Route-Details'!$B$2:$X$1048576,'Node Details'!H$1,0),"")</f>
        <v>Punjab</v>
      </c>
      <c r="I84" s="88" t="str">
        <f>_xlfn.IFNA(VLOOKUP($D84,'Route-Details'!$B$2:$X$1048576,'Node Details'!I$1,0),"")</f>
        <v>AXY</v>
      </c>
      <c r="J84" s="88" t="str">
        <f>_xlfn.IFNA(VLOOKUP($D84,'Route-Details'!$B$2:$X$1048576,'Node Details'!J$1,0),"")</f>
        <v>AXY</v>
      </c>
      <c r="K84" s="76">
        <v>46112</v>
      </c>
      <c r="L84" s="76">
        <v>46113</v>
      </c>
      <c r="M84" s="89">
        <v>46125</v>
      </c>
      <c r="N84" s="76">
        <v>46112</v>
      </c>
      <c r="Q84" s="86" t="s">
        <v>958</v>
      </c>
      <c r="R84" s="90"/>
      <c r="S84" s="87"/>
      <c r="T84" s="87"/>
      <c r="U84" s="87"/>
      <c r="V84" s="93"/>
      <c r="W84" s="91"/>
      <c r="X84" s="87"/>
      <c r="Y84" s="92"/>
      <c r="Z84" s="90"/>
      <c r="AA84" s="93"/>
      <c r="AB84" s="87"/>
      <c r="AC84" s="91"/>
      <c r="AD84" s="90"/>
      <c r="AE84" s="86"/>
      <c r="AF84" s="82"/>
      <c r="AG84" s="24"/>
      <c r="AH84" s="93"/>
      <c r="AI84" s="87"/>
      <c r="AJ84" s="86"/>
      <c r="AK84" s="81"/>
      <c r="AL84" s="24"/>
      <c r="AM84" s="24"/>
      <c r="AN84" s="81"/>
      <c r="AO84" s="81"/>
      <c r="AP84" s="24"/>
      <c r="AQ84" s="93"/>
      <c r="AR84" s="94"/>
      <c r="AS84" s="82"/>
      <c r="AT84" s="82"/>
      <c r="AU84" s="24"/>
      <c r="AV84" s="93"/>
      <c r="AW84" s="94"/>
      <c r="AX84" s="95"/>
      <c r="AY84" s="95"/>
      <c r="AZ84" s="95"/>
      <c r="BA84" s="24"/>
      <c r="BB84" s="9" t="s">
        <v>216</v>
      </c>
      <c r="BC84" s="96" t="s">
        <v>93</v>
      </c>
    </row>
    <row r="85" spans="1:55" ht="15" customHeight="1">
      <c r="A85" s="86">
        <f t="shared" si="19"/>
        <v>83</v>
      </c>
      <c r="B85" s="75" t="s">
        <v>997</v>
      </c>
      <c r="C85" s="9"/>
      <c r="D85" s="76" t="s">
        <v>214</v>
      </c>
      <c r="E85" s="88" t="str">
        <f>_xlfn.IFNA(VLOOKUP($D85,'Route-Details'!$B$2:$X$1048576,'Node Details'!E$1,0),"")</f>
        <v>Airtel</v>
      </c>
      <c r="F85" s="88" t="str">
        <f>_xlfn.IFNA(VLOOKUP($D85,'Route-Details'!$B$2:$X$1048576,'Node Details'!F$1,0),"")</f>
        <v>DARIA</v>
      </c>
      <c r="G85" s="88" t="str">
        <f>_xlfn.IFNA(VLOOKUP($D85,'Route-Details'!$B$2:$X$1048576,'Node Details'!G$1,0),"")</f>
        <v>Chandigarh</v>
      </c>
      <c r="H85" s="88" t="str">
        <f>_xlfn.IFNA(VLOOKUP($D86,'Route-Details'!$B$2:$X$1048576,'Node Details'!H$1,0),"")</f>
        <v>Punjab</v>
      </c>
      <c r="I85" s="88" t="str">
        <f>_xlfn.IFNA(VLOOKUP($D85,'Route-Details'!$B$2:$X$1048576,'Node Details'!I$1,0),"")</f>
        <v>AXY</v>
      </c>
      <c r="J85" s="88" t="str">
        <f>_xlfn.IFNA(VLOOKUP($D85,'Route-Details'!$B$2:$X$1048576,'Node Details'!J$1,0),"")</f>
        <v>AXY</v>
      </c>
      <c r="K85" s="76">
        <v>46112</v>
      </c>
      <c r="L85" s="76">
        <v>46113</v>
      </c>
      <c r="M85" s="89">
        <v>46125</v>
      </c>
      <c r="N85" s="76">
        <v>46112</v>
      </c>
      <c r="Q85" s="86" t="s">
        <v>958</v>
      </c>
      <c r="R85" s="90"/>
      <c r="S85" s="87"/>
      <c r="T85" s="87"/>
      <c r="U85" s="87"/>
      <c r="V85" s="93"/>
      <c r="W85" s="91"/>
      <c r="X85" s="87"/>
      <c r="Y85" s="92"/>
      <c r="Z85" s="90"/>
      <c r="AA85" s="93"/>
      <c r="AB85" s="87"/>
      <c r="AC85" s="91"/>
      <c r="AD85" s="90"/>
      <c r="AE85" s="86"/>
      <c r="AF85" s="82"/>
      <c r="AG85" s="24"/>
      <c r="AH85" s="93"/>
      <c r="AI85" s="87"/>
      <c r="AJ85" s="86"/>
      <c r="AK85" s="81"/>
      <c r="AL85" s="24"/>
      <c r="AM85" s="24"/>
      <c r="AN85" s="81"/>
      <c r="AO85" s="81"/>
      <c r="AP85" s="24"/>
      <c r="AQ85" s="93"/>
      <c r="AR85" s="94"/>
      <c r="AS85" s="82"/>
      <c r="AT85" s="82"/>
      <c r="AU85" s="24"/>
      <c r="AV85" s="93"/>
      <c r="AW85" s="94"/>
      <c r="AX85" s="95"/>
      <c r="AY85" s="95"/>
      <c r="AZ85" s="95"/>
      <c r="BA85" s="24"/>
      <c r="BB85" s="9" t="s">
        <v>216</v>
      </c>
      <c r="BC85" s="96" t="s">
        <v>93</v>
      </c>
    </row>
    <row r="86" spans="1:55" ht="15" customHeight="1">
      <c r="A86" s="86">
        <f t="shared" si="19"/>
        <v>84</v>
      </c>
      <c r="B86" s="75" t="s">
        <v>998</v>
      </c>
      <c r="C86" s="9"/>
      <c r="D86" s="76" t="s">
        <v>214</v>
      </c>
      <c r="E86" s="88" t="str">
        <f>_xlfn.IFNA(VLOOKUP($D86,'Route-Details'!$B$2:$X$1048576,'Node Details'!E$1,0),"")</f>
        <v>Airtel</v>
      </c>
      <c r="F86" s="88" t="str">
        <f>_xlfn.IFNA(VLOOKUP($D86,'Route-Details'!$B$2:$X$1048576,'Node Details'!F$1,0),"")</f>
        <v>DARIA</v>
      </c>
      <c r="G86" s="88" t="str">
        <f>_xlfn.IFNA(VLOOKUP($D86,'Route-Details'!$B$2:$X$1048576,'Node Details'!G$1,0),"")</f>
        <v>Chandigarh</v>
      </c>
      <c r="H86" s="88" t="str">
        <f>_xlfn.IFNA(VLOOKUP($D87,'Route-Details'!$B$2:$X$1048576,'Node Details'!H$1,0),"")</f>
        <v>Punjab</v>
      </c>
      <c r="I86" s="88" t="str">
        <f>_xlfn.IFNA(VLOOKUP($D86,'Route-Details'!$B$2:$X$1048576,'Node Details'!I$1,0),"")</f>
        <v>AXY</v>
      </c>
      <c r="J86" s="88" t="str">
        <f>_xlfn.IFNA(VLOOKUP($D86,'Route-Details'!$B$2:$X$1048576,'Node Details'!J$1,0),"")</f>
        <v>AXY</v>
      </c>
      <c r="K86" s="76">
        <v>46112</v>
      </c>
      <c r="L86" s="76">
        <v>46113</v>
      </c>
      <c r="M86" s="89">
        <v>46125</v>
      </c>
      <c r="N86" s="76">
        <v>46112</v>
      </c>
      <c r="Q86" s="86" t="s">
        <v>958</v>
      </c>
      <c r="R86" s="90"/>
      <c r="S86" s="87"/>
      <c r="T86" s="87"/>
      <c r="U86" s="87"/>
      <c r="V86" s="93"/>
      <c r="W86" s="91"/>
      <c r="X86" s="87"/>
      <c r="Y86" s="92"/>
      <c r="Z86" s="90"/>
      <c r="AA86" s="93"/>
      <c r="AB86" s="87"/>
      <c r="AC86" s="91"/>
      <c r="AD86" s="90"/>
      <c r="AE86" s="86"/>
      <c r="AF86" s="82"/>
      <c r="AG86" s="24"/>
      <c r="AH86" s="93"/>
      <c r="AI86" s="87"/>
      <c r="AJ86" s="86"/>
      <c r="AK86" s="81"/>
      <c r="AL86" s="24"/>
      <c r="AM86" s="24"/>
      <c r="AN86" s="81"/>
      <c r="AO86" s="81"/>
      <c r="AP86" s="24"/>
      <c r="AQ86" s="93"/>
      <c r="AR86" s="94"/>
      <c r="AS86" s="82"/>
      <c r="AT86" s="82"/>
      <c r="AU86" s="24"/>
      <c r="AV86" s="93"/>
      <c r="AW86" s="94"/>
      <c r="AX86" s="95"/>
      <c r="AY86" s="95"/>
      <c r="AZ86" s="95"/>
      <c r="BA86" s="24"/>
      <c r="BB86" s="9" t="s">
        <v>216</v>
      </c>
      <c r="BC86" s="96" t="s">
        <v>93</v>
      </c>
    </row>
    <row r="87" spans="1:55" ht="15" customHeight="1">
      <c r="A87" s="86">
        <f t="shared" si="19"/>
        <v>85</v>
      </c>
      <c r="B87" s="75" t="s">
        <v>215</v>
      </c>
      <c r="C87" s="9"/>
      <c r="D87" s="76" t="s">
        <v>214</v>
      </c>
      <c r="E87" s="88" t="str">
        <f>_xlfn.IFNA(VLOOKUP($D87,'Route-Details'!$B$2:$X$1048576,'Node Details'!E$1,0),"")</f>
        <v>Airtel</v>
      </c>
      <c r="F87" s="88" t="str">
        <f>_xlfn.IFNA(VLOOKUP($D87,'Route-Details'!$B$2:$X$1048576,'Node Details'!F$1,0),"")</f>
        <v>DARIA</v>
      </c>
      <c r="G87" s="88" t="str">
        <f>_xlfn.IFNA(VLOOKUP($D87,'Route-Details'!$B$2:$X$1048576,'Node Details'!G$1,0),"")</f>
        <v>Chandigarh</v>
      </c>
      <c r="H87" s="88" t="str">
        <f>_xlfn.IFNA(VLOOKUP($D88,'Route-Details'!$B$2:$X$1048576,'Node Details'!H$1,0),"")</f>
        <v>Punjab</v>
      </c>
      <c r="I87" s="88" t="str">
        <f>_xlfn.IFNA(VLOOKUP($D87,'Route-Details'!$B$2:$X$1048576,'Node Details'!I$1,0),"")</f>
        <v>AXY</v>
      </c>
      <c r="J87" s="88" t="str">
        <f>_xlfn.IFNA(VLOOKUP($D87,'Route-Details'!$B$2:$X$1048576,'Node Details'!J$1,0),"")</f>
        <v>AXY</v>
      </c>
      <c r="K87" s="76">
        <v>46112</v>
      </c>
      <c r="L87" s="76">
        <v>46113</v>
      </c>
      <c r="M87" s="89">
        <v>46125</v>
      </c>
      <c r="N87" s="76">
        <v>46112</v>
      </c>
      <c r="Q87" s="86" t="s">
        <v>958</v>
      </c>
      <c r="R87" s="90"/>
      <c r="S87" s="87"/>
      <c r="T87" s="87"/>
      <c r="U87" s="87"/>
      <c r="V87" s="93"/>
      <c r="W87" s="91"/>
      <c r="X87" s="87"/>
      <c r="Y87" s="92"/>
      <c r="Z87" s="90"/>
      <c r="AA87" s="93"/>
      <c r="AB87" s="87"/>
      <c r="AC87" s="91"/>
      <c r="AD87" s="90"/>
      <c r="AE87" s="86"/>
      <c r="AF87" s="82"/>
      <c r="AG87" s="24"/>
      <c r="AH87" s="93"/>
      <c r="AI87" s="87"/>
      <c r="AJ87" s="86"/>
      <c r="AK87" s="81"/>
      <c r="AL87" s="24"/>
      <c r="AM87" s="24"/>
      <c r="AN87" s="81"/>
      <c r="AO87" s="81"/>
      <c r="AP87" s="24"/>
      <c r="AQ87" s="93"/>
      <c r="AR87" s="94"/>
      <c r="AS87" s="82"/>
      <c r="AT87" s="82"/>
      <c r="AU87" s="24"/>
      <c r="AV87" s="93"/>
      <c r="AW87" s="94"/>
      <c r="AX87" s="95"/>
      <c r="AY87" s="95"/>
      <c r="AZ87" s="95"/>
      <c r="BA87" s="24"/>
      <c r="BB87" s="9" t="s">
        <v>216</v>
      </c>
      <c r="BC87" s="96" t="s">
        <v>93</v>
      </c>
    </row>
    <row r="88" spans="1:55" ht="15" customHeight="1">
      <c r="A88" s="86">
        <f t="shared" si="19"/>
        <v>86</v>
      </c>
      <c r="B88" s="75" t="s">
        <v>218</v>
      </c>
      <c r="C88" s="9"/>
      <c r="D88" s="76" t="s">
        <v>139</v>
      </c>
      <c r="E88" s="88" t="str">
        <f>_xlfn.IFNA(VLOOKUP($D88,'Route-Details'!$B$2:$X$1048576,'Node Details'!E$1,0),"")</f>
        <v>Airtel</v>
      </c>
      <c r="F88" s="88" t="str">
        <f>_xlfn.IFNA(VLOOKUP($D88,'Route-Details'!$B$2:$X$1048576,'Node Details'!F$1,0),"")</f>
        <v>DARIA</v>
      </c>
      <c r="G88" s="88" t="str">
        <f>_xlfn.IFNA(VLOOKUP($D88,'Route-Details'!$B$2:$X$1048576,'Node Details'!G$1,0),"")</f>
        <v>Chandigarh</v>
      </c>
      <c r="H88" s="88" t="str">
        <f>_xlfn.IFNA(VLOOKUP($D89,'Route-Details'!$B$2:$X$1048576,'Node Details'!H$1,0),"")</f>
        <v>Punjab</v>
      </c>
      <c r="I88" s="88" t="str">
        <f>_xlfn.IFNA(VLOOKUP($D88,'Route-Details'!$B$2:$X$1048576,'Node Details'!I$1,0),"")</f>
        <v>AXY</v>
      </c>
      <c r="J88" s="88" t="str">
        <f>_xlfn.IFNA(VLOOKUP($D88,'Route-Details'!$B$2:$X$1048576,'Node Details'!J$1,0),"")</f>
        <v>AXY</v>
      </c>
      <c r="K88" s="76">
        <v>46112</v>
      </c>
      <c r="L88" s="76">
        <v>46113</v>
      </c>
      <c r="M88" s="89">
        <v>46125</v>
      </c>
      <c r="N88" s="76">
        <v>46112</v>
      </c>
      <c r="Q88" s="86" t="s">
        <v>958</v>
      </c>
      <c r="R88" s="90"/>
      <c r="S88" s="87"/>
      <c r="T88" s="87"/>
      <c r="U88" s="87"/>
      <c r="V88" s="93"/>
      <c r="W88" s="91"/>
      <c r="X88" s="87"/>
      <c r="Y88" s="92"/>
      <c r="Z88" s="90"/>
      <c r="AA88" s="93"/>
      <c r="AB88" s="87"/>
      <c r="AC88" s="91"/>
      <c r="AD88" s="90"/>
      <c r="AE88" s="86"/>
      <c r="AF88" s="82"/>
      <c r="AG88" s="24"/>
      <c r="AH88" s="93"/>
      <c r="AI88" s="87"/>
      <c r="AJ88" s="86"/>
      <c r="AK88" s="81"/>
      <c r="AL88" s="24"/>
      <c r="AM88" s="24"/>
      <c r="AN88" s="81"/>
      <c r="AO88" s="81"/>
      <c r="AP88" s="24"/>
      <c r="AQ88" s="93"/>
      <c r="AR88" s="94"/>
      <c r="AS88" s="82"/>
      <c r="AT88" s="82"/>
      <c r="AU88" s="24"/>
      <c r="AV88" s="93"/>
      <c r="AW88" s="94"/>
      <c r="AX88" s="95"/>
      <c r="AY88" s="95"/>
      <c r="AZ88" s="95"/>
      <c r="BA88" s="24"/>
      <c r="BB88" s="9" t="s">
        <v>92</v>
      </c>
      <c r="BC88" s="96" t="s">
        <v>93</v>
      </c>
    </row>
    <row r="89" spans="1:55" ht="15" customHeight="1">
      <c r="A89" s="86">
        <f t="shared" si="19"/>
        <v>87</v>
      </c>
      <c r="B89" s="75" t="s">
        <v>219</v>
      </c>
      <c r="C89" s="9"/>
      <c r="D89" s="76" t="s">
        <v>217</v>
      </c>
      <c r="E89" s="88" t="str">
        <f>_xlfn.IFNA(VLOOKUP($D89,'Route-Details'!$B$2:$X$1048576,'Node Details'!E$1,0),"")</f>
        <v>Airtel</v>
      </c>
      <c r="F89" s="88" t="str">
        <f>_xlfn.IFNA(VLOOKUP($D89,'Route-Details'!$B$2:$X$1048576,'Node Details'!F$1,0),"")</f>
        <v>DARIA</v>
      </c>
      <c r="G89" s="88" t="str">
        <f>_xlfn.IFNA(VLOOKUP($D89,'Route-Details'!$B$2:$X$1048576,'Node Details'!G$1,0),"")</f>
        <v>Chandigarh</v>
      </c>
      <c r="H89" s="88" t="str">
        <f>_xlfn.IFNA(VLOOKUP($D90,'Route-Details'!$B$2:$X$1048576,'Node Details'!H$1,0),"")</f>
        <v>Punjab</v>
      </c>
      <c r="I89" s="88" t="str">
        <f>_xlfn.IFNA(VLOOKUP($D89,'Route-Details'!$B$2:$X$1048576,'Node Details'!I$1,0),"")</f>
        <v>AXY</v>
      </c>
      <c r="J89" s="88" t="str">
        <f>_xlfn.IFNA(VLOOKUP($D89,'Route-Details'!$B$2:$X$1048576,'Node Details'!J$1,0),"")</f>
        <v>AXY</v>
      </c>
      <c r="K89" s="76">
        <v>46112</v>
      </c>
      <c r="L89" s="76">
        <v>46113</v>
      </c>
      <c r="M89" s="89">
        <v>46125</v>
      </c>
      <c r="N89" s="76">
        <v>46112</v>
      </c>
      <c r="Q89" s="86" t="s">
        <v>958</v>
      </c>
      <c r="R89" s="90"/>
      <c r="S89" s="87"/>
      <c r="T89" s="87"/>
      <c r="U89" s="87"/>
      <c r="V89" s="93"/>
      <c r="W89" s="91"/>
      <c r="X89" s="87"/>
      <c r="Y89" s="92"/>
      <c r="Z89" s="90"/>
      <c r="AA89" s="93"/>
      <c r="AB89" s="87"/>
      <c r="AC89" s="91"/>
      <c r="AD89" s="90"/>
      <c r="AE89" s="86"/>
      <c r="AF89" s="82"/>
      <c r="AG89" s="24"/>
      <c r="AH89" s="93"/>
      <c r="AI89" s="87"/>
      <c r="AJ89" s="86"/>
      <c r="AK89" s="81"/>
      <c r="AL89" s="24"/>
      <c r="AM89" s="24"/>
      <c r="AN89" s="81"/>
      <c r="AO89" s="81"/>
      <c r="AP89" s="24"/>
      <c r="AQ89" s="93"/>
      <c r="AR89" s="94"/>
      <c r="AS89" s="82"/>
      <c r="AT89" s="82"/>
      <c r="AU89" s="24"/>
      <c r="AV89" s="93"/>
      <c r="AW89" s="94"/>
      <c r="AX89" s="95"/>
      <c r="AY89" s="95"/>
      <c r="AZ89" s="95"/>
      <c r="BA89" s="24"/>
      <c r="BB89" s="9" t="s">
        <v>220</v>
      </c>
      <c r="BC89" s="96" t="s">
        <v>93</v>
      </c>
    </row>
    <row r="90" spans="1:55" ht="15" customHeight="1">
      <c r="A90" s="86">
        <f t="shared" si="19"/>
        <v>88</v>
      </c>
      <c r="B90" s="75" t="s">
        <v>222</v>
      </c>
      <c r="C90" s="9"/>
      <c r="D90" s="76" t="s">
        <v>221</v>
      </c>
      <c r="E90" s="88" t="str">
        <f>_xlfn.IFNA(VLOOKUP($D90,'Route-Details'!$B$2:$X$1048576,'Node Details'!E$1,0),"")</f>
        <v>Airtel</v>
      </c>
      <c r="F90" s="88" t="str">
        <f>_xlfn.IFNA(VLOOKUP($D90,'Route-Details'!$B$2:$X$1048576,'Node Details'!F$1,0),"")</f>
        <v>DARIA</v>
      </c>
      <c r="G90" s="88" t="str">
        <f>_xlfn.IFNA(VLOOKUP($D90,'Route-Details'!$B$2:$X$1048576,'Node Details'!G$1,0),"")</f>
        <v>Chandigarh</v>
      </c>
      <c r="H90" s="88" t="str">
        <f>_xlfn.IFNA(VLOOKUP($D91,'Route-Details'!$B$2:$X$1048576,'Node Details'!H$1,0),"")</f>
        <v>Punjab</v>
      </c>
      <c r="I90" s="88" t="str">
        <f>_xlfn.IFNA(VLOOKUP($D90,'Route-Details'!$B$2:$X$1048576,'Node Details'!I$1,0),"")</f>
        <v>AXY</v>
      </c>
      <c r="J90" s="88" t="str">
        <f>_xlfn.IFNA(VLOOKUP($D90,'Route-Details'!$B$2:$X$1048576,'Node Details'!J$1,0),"")</f>
        <v>AXY</v>
      </c>
      <c r="K90" s="76">
        <v>46112</v>
      </c>
      <c r="L90" s="76">
        <v>46113</v>
      </c>
      <c r="M90" s="89">
        <v>46125</v>
      </c>
      <c r="N90" s="76">
        <v>46112</v>
      </c>
      <c r="Q90" s="86" t="s">
        <v>958</v>
      </c>
      <c r="R90" s="90"/>
      <c r="S90" s="87"/>
      <c r="T90" s="87"/>
      <c r="U90" s="87"/>
      <c r="V90" s="93"/>
      <c r="W90" s="91"/>
      <c r="X90" s="87"/>
      <c r="Y90" s="92"/>
      <c r="Z90" s="90"/>
      <c r="AA90" s="93"/>
      <c r="AB90" s="87"/>
      <c r="AC90" s="91"/>
      <c r="AD90" s="90"/>
      <c r="AE90" s="86"/>
      <c r="AF90" s="82"/>
      <c r="AG90" s="24"/>
      <c r="AH90" s="93"/>
      <c r="AI90" s="87"/>
      <c r="AJ90" s="86"/>
      <c r="AK90" s="81"/>
      <c r="AL90" s="24"/>
      <c r="AM90" s="24"/>
      <c r="AN90" s="81"/>
      <c r="AO90" s="81"/>
      <c r="AP90" s="24"/>
      <c r="AQ90" s="93"/>
      <c r="AR90" s="94"/>
      <c r="AS90" s="82"/>
      <c r="AT90" s="82"/>
      <c r="AU90" s="24"/>
      <c r="AV90" s="93"/>
      <c r="AW90" s="94"/>
      <c r="AX90" s="95"/>
      <c r="AY90" s="95"/>
      <c r="AZ90" s="95"/>
      <c r="BA90" s="24"/>
      <c r="BB90" s="9" t="s">
        <v>223</v>
      </c>
      <c r="BC90" s="96" t="s">
        <v>93</v>
      </c>
    </row>
    <row r="91" spans="1:55" ht="15" customHeight="1">
      <c r="A91" s="86">
        <f t="shared" si="19"/>
        <v>89</v>
      </c>
      <c r="B91" s="75" t="s">
        <v>999</v>
      </c>
      <c r="C91" s="9"/>
      <c r="D91" s="76" t="s">
        <v>224</v>
      </c>
      <c r="E91" s="88" t="str">
        <f>_xlfn.IFNA(VLOOKUP($D91,'Route-Details'!$B$2:$X$1048576,'Node Details'!E$1,0),"")</f>
        <v>Airtel</v>
      </c>
      <c r="F91" s="88" t="str">
        <f>_xlfn.IFNA(VLOOKUP($D91,'Route-Details'!$B$2:$X$1048576,'Node Details'!F$1,0),"")</f>
        <v>DARIA</v>
      </c>
      <c r="G91" s="88" t="str">
        <f>_xlfn.IFNA(VLOOKUP($D91,'Route-Details'!$B$2:$X$1048576,'Node Details'!G$1,0),"")</f>
        <v>Chandigarh</v>
      </c>
      <c r="H91" s="88" t="str">
        <f>_xlfn.IFNA(VLOOKUP($D92,'Route-Details'!$B$2:$X$1048576,'Node Details'!H$1,0),"")</f>
        <v>Punjab</v>
      </c>
      <c r="I91" s="88" t="str">
        <f>_xlfn.IFNA(VLOOKUP($D91,'Route-Details'!$B$2:$X$1048576,'Node Details'!I$1,0),"")</f>
        <v>AXY</v>
      </c>
      <c r="J91" s="88" t="str">
        <f>_xlfn.IFNA(VLOOKUP($D91,'Route-Details'!$B$2:$X$1048576,'Node Details'!J$1,0),"")</f>
        <v>AXY</v>
      </c>
      <c r="K91" s="76">
        <v>46112</v>
      </c>
      <c r="L91" s="76">
        <v>46113</v>
      </c>
      <c r="M91" s="89">
        <v>46125</v>
      </c>
      <c r="N91" s="76">
        <v>46112</v>
      </c>
      <c r="Q91" s="86" t="s">
        <v>958</v>
      </c>
      <c r="R91" s="90"/>
      <c r="S91" s="87"/>
      <c r="T91" s="87"/>
      <c r="U91" s="87"/>
      <c r="V91" s="93"/>
      <c r="W91" s="91"/>
      <c r="X91" s="87"/>
      <c r="Y91" s="92"/>
      <c r="Z91" s="90"/>
      <c r="AA91" s="93"/>
      <c r="AB91" s="87"/>
      <c r="AC91" s="91"/>
      <c r="AD91" s="90"/>
      <c r="AE91" s="86"/>
      <c r="AF91" s="82"/>
      <c r="AG91" s="24"/>
      <c r="AH91" s="93"/>
      <c r="AI91" s="87"/>
      <c r="AJ91" s="86"/>
      <c r="AK91" s="81"/>
      <c r="AL91" s="24"/>
      <c r="AM91" s="24"/>
      <c r="AN91" s="81"/>
      <c r="AO91" s="81"/>
      <c r="AP91" s="24"/>
      <c r="AQ91" s="93"/>
      <c r="AR91" s="94"/>
      <c r="AS91" s="82"/>
      <c r="AT91" s="82"/>
      <c r="AU91" s="24"/>
      <c r="AV91" s="93"/>
      <c r="AW91" s="94"/>
      <c r="AX91" s="95"/>
      <c r="AY91" s="95"/>
      <c r="AZ91" s="95"/>
      <c r="BA91" s="24"/>
      <c r="BB91" s="9" t="s">
        <v>227</v>
      </c>
      <c r="BC91" s="96" t="s">
        <v>93</v>
      </c>
    </row>
    <row r="92" spans="1:55" ht="15" customHeight="1">
      <c r="A92" s="86">
        <f t="shared" si="19"/>
        <v>90</v>
      </c>
      <c r="B92" s="75" t="s">
        <v>1000</v>
      </c>
      <c r="C92" s="9"/>
      <c r="D92" s="76" t="s">
        <v>224</v>
      </c>
      <c r="E92" s="88" t="str">
        <f>_xlfn.IFNA(VLOOKUP($D92,'Route-Details'!$B$2:$X$1048576,'Node Details'!E$1,0),"")</f>
        <v>Airtel</v>
      </c>
      <c r="F92" s="88" t="str">
        <f>_xlfn.IFNA(VLOOKUP($D92,'Route-Details'!$B$2:$X$1048576,'Node Details'!F$1,0),"")</f>
        <v>DARIA</v>
      </c>
      <c r="G92" s="88" t="str">
        <f>_xlfn.IFNA(VLOOKUP($D92,'Route-Details'!$B$2:$X$1048576,'Node Details'!G$1,0),"")</f>
        <v>Chandigarh</v>
      </c>
      <c r="H92" s="88" t="str">
        <f>_xlfn.IFNA(VLOOKUP($D93,'Route-Details'!$B$2:$X$1048576,'Node Details'!H$1,0),"")</f>
        <v>Punjab</v>
      </c>
      <c r="I92" s="88" t="str">
        <f>_xlfn.IFNA(VLOOKUP($D92,'Route-Details'!$B$2:$X$1048576,'Node Details'!I$1,0),"")</f>
        <v>AXY</v>
      </c>
      <c r="J92" s="88" t="str">
        <f>_xlfn.IFNA(VLOOKUP($D92,'Route-Details'!$B$2:$X$1048576,'Node Details'!J$1,0),"")</f>
        <v>AXY</v>
      </c>
      <c r="K92" s="76">
        <v>46112</v>
      </c>
      <c r="L92" s="76">
        <v>46113</v>
      </c>
      <c r="M92" s="89">
        <v>46125</v>
      </c>
      <c r="N92" s="76">
        <v>46112</v>
      </c>
      <c r="Q92" s="86" t="s">
        <v>958</v>
      </c>
      <c r="R92" s="90"/>
      <c r="S92" s="87"/>
      <c r="T92" s="87"/>
      <c r="U92" s="87"/>
      <c r="V92" s="93"/>
      <c r="W92" s="91"/>
      <c r="X92" s="87"/>
      <c r="Y92" s="92"/>
      <c r="Z92" s="90"/>
      <c r="AA92" s="93"/>
      <c r="AB92" s="87"/>
      <c r="AC92" s="91"/>
      <c r="AD92" s="90"/>
      <c r="AE92" s="86"/>
      <c r="AF92" s="82"/>
      <c r="AG92" s="24"/>
      <c r="AH92" s="93"/>
      <c r="AI92" s="87"/>
      <c r="AJ92" s="86"/>
      <c r="AK92" s="81"/>
      <c r="AL92" s="24"/>
      <c r="AM92" s="24"/>
      <c r="AN92" s="81"/>
      <c r="AO92" s="81"/>
      <c r="AP92" s="24"/>
      <c r="AQ92" s="93"/>
      <c r="AR92" s="94"/>
      <c r="AS92" s="82"/>
      <c r="AT92" s="82"/>
      <c r="AU92" s="24"/>
      <c r="AV92" s="93"/>
      <c r="AW92" s="94"/>
      <c r="AX92" s="95"/>
      <c r="AY92" s="95"/>
      <c r="AZ92" s="95"/>
      <c r="BA92" s="24"/>
      <c r="BB92" s="9" t="s">
        <v>227</v>
      </c>
      <c r="BC92" s="96" t="s">
        <v>93</v>
      </c>
    </row>
    <row r="93" spans="1:55" ht="15" customHeight="1">
      <c r="A93" s="86">
        <f t="shared" si="19"/>
        <v>91</v>
      </c>
      <c r="B93" s="75" t="s">
        <v>226</v>
      </c>
      <c r="C93" s="9"/>
      <c r="D93" s="76" t="s">
        <v>224</v>
      </c>
      <c r="E93" s="88" t="str">
        <f>_xlfn.IFNA(VLOOKUP($D93,'Route-Details'!$B$2:$X$1048576,'Node Details'!E$1,0),"")</f>
        <v>Airtel</v>
      </c>
      <c r="F93" s="88" t="str">
        <f>_xlfn.IFNA(VLOOKUP($D93,'Route-Details'!$B$2:$X$1048576,'Node Details'!F$1,0),"")</f>
        <v>DARIA</v>
      </c>
      <c r="G93" s="88" t="str">
        <f>_xlfn.IFNA(VLOOKUP($D93,'Route-Details'!$B$2:$X$1048576,'Node Details'!G$1,0),"")</f>
        <v>Chandigarh</v>
      </c>
      <c r="H93" s="88" t="str">
        <f>_xlfn.IFNA(VLOOKUP($D94,'Route-Details'!$B$2:$X$1048576,'Node Details'!H$1,0),"")</f>
        <v>Punjab</v>
      </c>
      <c r="I93" s="88" t="str">
        <f>_xlfn.IFNA(VLOOKUP($D93,'Route-Details'!$B$2:$X$1048576,'Node Details'!I$1,0),"")</f>
        <v>AXY</v>
      </c>
      <c r="J93" s="88" t="str">
        <f>_xlfn.IFNA(VLOOKUP($D93,'Route-Details'!$B$2:$X$1048576,'Node Details'!J$1,0),"")</f>
        <v>AXY</v>
      </c>
      <c r="K93" s="76">
        <v>46112</v>
      </c>
      <c r="L93" s="76">
        <v>46113</v>
      </c>
      <c r="M93" s="89">
        <v>46125</v>
      </c>
      <c r="N93" s="76">
        <v>46112</v>
      </c>
      <c r="Q93" s="86" t="s">
        <v>958</v>
      </c>
      <c r="R93" s="90"/>
      <c r="S93" s="87"/>
      <c r="T93" s="87"/>
      <c r="U93" s="87"/>
      <c r="V93" s="93"/>
      <c r="W93" s="91"/>
      <c r="X93" s="87"/>
      <c r="Y93" s="92"/>
      <c r="Z93" s="90"/>
      <c r="AA93" s="93"/>
      <c r="AB93" s="87"/>
      <c r="AC93" s="91"/>
      <c r="AD93" s="90"/>
      <c r="AE93" s="86"/>
      <c r="AF93" s="82"/>
      <c r="AG93" s="24"/>
      <c r="AH93" s="93"/>
      <c r="AI93" s="87"/>
      <c r="AJ93" s="86"/>
      <c r="AK93" s="81"/>
      <c r="AL93" s="24"/>
      <c r="AM93" s="24"/>
      <c r="AN93" s="81"/>
      <c r="AO93" s="81"/>
      <c r="AP93" s="24"/>
      <c r="AQ93" s="93"/>
      <c r="AR93" s="94"/>
      <c r="AS93" s="82"/>
      <c r="AT93" s="82"/>
      <c r="AU93" s="24"/>
      <c r="AV93" s="93"/>
      <c r="AW93" s="94"/>
      <c r="AX93" s="95"/>
      <c r="AY93" s="95"/>
      <c r="AZ93" s="95"/>
      <c r="BA93" s="24"/>
      <c r="BB93" s="9" t="s">
        <v>227</v>
      </c>
      <c r="BC93" s="96" t="s">
        <v>93</v>
      </c>
    </row>
    <row r="94" spans="1:55" ht="15" customHeight="1">
      <c r="A94" s="86">
        <f t="shared" si="19"/>
        <v>92</v>
      </c>
      <c r="B94" s="75" t="s">
        <v>1001</v>
      </c>
      <c r="C94" s="9"/>
      <c r="D94" s="76" t="s">
        <v>139</v>
      </c>
      <c r="E94" s="88" t="str">
        <f>_xlfn.IFNA(VLOOKUP($D94,'Route-Details'!$B$2:$X$1048576,'Node Details'!E$1,0),"")</f>
        <v>Airtel</v>
      </c>
      <c r="F94" s="88" t="str">
        <f>_xlfn.IFNA(VLOOKUP($D94,'Route-Details'!$B$2:$X$1048576,'Node Details'!F$1,0),"")</f>
        <v>DARIA</v>
      </c>
      <c r="G94" s="88" t="str">
        <f>_xlfn.IFNA(VLOOKUP($D94,'Route-Details'!$B$2:$X$1048576,'Node Details'!G$1,0),"")</f>
        <v>Chandigarh</v>
      </c>
      <c r="H94" s="88" t="str">
        <f>_xlfn.IFNA(VLOOKUP($D95,'Route-Details'!$B$2:$X$1048576,'Node Details'!H$1,0),"")</f>
        <v>Punjab</v>
      </c>
      <c r="I94" s="88" t="str">
        <f>_xlfn.IFNA(VLOOKUP($D94,'Route-Details'!$B$2:$X$1048576,'Node Details'!I$1,0),"")</f>
        <v>AXY</v>
      </c>
      <c r="J94" s="88" t="str">
        <f>_xlfn.IFNA(VLOOKUP($D94,'Route-Details'!$B$2:$X$1048576,'Node Details'!J$1,0),"")</f>
        <v>AXY</v>
      </c>
      <c r="K94" s="76">
        <v>46112</v>
      </c>
      <c r="L94" s="76">
        <v>46113</v>
      </c>
      <c r="M94" s="89">
        <v>46125</v>
      </c>
      <c r="N94" s="76">
        <v>46112</v>
      </c>
      <c r="Q94" s="86" t="s">
        <v>958</v>
      </c>
      <c r="R94" s="90"/>
      <c r="S94" s="87"/>
      <c r="T94" s="87"/>
      <c r="U94" s="87"/>
      <c r="V94" s="93"/>
      <c r="W94" s="91"/>
      <c r="X94" s="87"/>
      <c r="Y94" s="92"/>
      <c r="Z94" s="90"/>
      <c r="AA94" s="93"/>
      <c r="AB94" s="87"/>
      <c r="AC94" s="91"/>
      <c r="AD94" s="90"/>
      <c r="AE94" s="86"/>
      <c r="AF94" s="82"/>
      <c r="AG94" s="24"/>
      <c r="AH94" s="93"/>
      <c r="AI94" s="87"/>
      <c r="AJ94" s="86"/>
      <c r="AK94" s="81"/>
      <c r="AL94" s="24"/>
      <c r="AM94" s="24"/>
      <c r="AN94" s="81"/>
      <c r="AO94" s="81"/>
      <c r="AP94" s="24"/>
      <c r="AQ94" s="93"/>
      <c r="AR94" s="94"/>
      <c r="AS94" s="82"/>
      <c r="AT94" s="82"/>
      <c r="AU94" s="24"/>
      <c r="AV94" s="93"/>
      <c r="AW94" s="94"/>
      <c r="AX94" s="95"/>
      <c r="AY94" s="95"/>
      <c r="AZ94" s="95"/>
      <c r="BA94" s="24"/>
      <c r="BB94" s="9" t="s">
        <v>92</v>
      </c>
      <c r="BC94" s="96" t="s">
        <v>93</v>
      </c>
    </row>
    <row r="95" spans="1:55" ht="15" customHeight="1">
      <c r="A95" s="86">
        <f t="shared" si="19"/>
        <v>93</v>
      </c>
      <c r="B95" s="75" t="s">
        <v>236</v>
      </c>
      <c r="C95" s="9"/>
      <c r="D95" s="76" t="s">
        <v>235</v>
      </c>
      <c r="E95" s="88" t="str">
        <f>_xlfn.IFNA(VLOOKUP($D95,'Route-Details'!$B$2:$X$1048576,'Node Details'!E$1,0),"")</f>
        <v>Airtel</v>
      </c>
      <c r="F95" s="88" t="str">
        <f>_xlfn.IFNA(VLOOKUP($D95,'Route-Details'!$B$2:$X$1048576,'Node Details'!F$1,0),"")</f>
        <v>DARIA</v>
      </c>
      <c r="G95" s="88" t="str">
        <f>_xlfn.IFNA(VLOOKUP($D95,'Route-Details'!$B$2:$X$1048576,'Node Details'!G$1,0),"")</f>
        <v>Chandigarh</v>
      </c>
      <c r="H95" s="88" t="str">
        <f>_xlfn.IFNA(VLOOKUP($D96,'Route-Details'!$B$2:$X$1048576,'Node Details'!H$1,0),"")</f>
        <v>Punjab</v>
      </c>
      <c r="I95" s="88" t="str">
        <f>_xlfn.IFNA(VLOOKUP($D95,'Route-Details'!$B$2:$X$1048576,'Node Details'!I$1,0),"")</f>
        <v>AXY</v>
      </c>
      <c r="J95" s="88" t="str">
        <f>_xlfn.IFNA(VLOOKUP($D95,'Route-Details'!$B$2:$X$1048576,'Node Details'!J$1,0),"")</f>
        <v>AXY</v>
      </c>
      <c r="K95" s="76">
        <v>46112</v>
      </c>
      <c r="L95" s="76">
        <v>46113</v>
      </c>
      <c r="M95" s="89">
        <v>46125</v>
      </c>
      <c r="N95" s="76">
        <v>46112</v>
      </c>
      <c r="Q95" s="86" t="s">
        <v>958</v>
      </c>
      <c r="R95" s="90"/>
      <c r="S95" s="87"/>
      <c r="T95" s="87"/>
      <c r="U95" s="87"/>
      <c r="V95" s="93"/>
      <c r="W95" s="91"/>
      <c r="X95" s="87"/>
      <c r="Y95" s="92"/>
      <c r="Z95" s="90"/>
      <c r="AA95" s="93"/>
      <c r="AB95" s="87"/>
      <c r="AC95" s="91"/>
      <c r="AD95" s="90"/>
      <c r="AE95" s="86"/>
      <c r="AF95" s="82"/>
      <c r="AG95" s="24"/>
      <c r="AH95" s="93"/>
      <c r="AI95" s="87"/>
      <c r="AJ95" s="86"/>
      <c r="AK95" s="81"/>
      <c r="AL95" s="24"/>
      <c r="AM95" s="24"/>
      <c r="AN95" s="81"/>
      <c r="AO95" s="81"/>
      <c r="AP95" s="24"/>
      <c r="AQ95" s="93"/>
      <c r="AR95" s="94"/>
      <c r="AS95" s="82"/>
      <c r="AT95" s="82"/>
      <c r="AU95" s="24"/>
      <c r="AV95" s="93"/>
      <c r="AW95" s="94"/>
      <c r="AX95" s="95"/>
      <c r="AY95" s="95"/>
      <c r="AZ95" s="95"/>
      <c r="BA95" s="24"/>
      <c r="BB95" s="9" t="s">
        <v>237</v>
      </c>
      <c r="BC95" s="96" t="s">
        <v>93</v>
      </c>
    </row>
    <row r="96" spans="1:55" ht="15" customHeight="1">
      <c r="A96" s="86">
        <f t="shared" si="19"/>
        <v>94</v>
      </c>
      <c r="B96" s="75" t="s">
        <v>1002</v>
      </c>
      <c r="C96" s="9"/>
      <c r="D96" s="76" t="s">
        <v>238</v>
      </c>
      <c r="E96" s="88" t="str">
        <f>_xlfn.IFNA(VLOOKUP($D96,'Route-Details'!$B$2:$X$1048576,'Node Details'!E$1,0),"")</f>
        <v>Airtel</v>
      </c>
      <c r="F96" s="88" t="str">
        <f>_xlfn.IFNA(VLOOKUP($D96,'Route-Details'!$B$2:$X$1048576,'Node Details'!F$1,0),"")</f>
        <v>DARIA</v>
      </c>
      <c r="G96" s="88" t="str">
        <f>_xlfn.IFNA(VLOOKUP($D96,'Route-Details'!$B$2:$X$1048576,'Node Details'!G$1,0),"")</f>
        <v>Chandigarh</v>
      </c>
      <c r="H96" s="88" t="str">
        <f>_xlfn.IFNA(VLOOKUP($D97,'Route-Details'!$B$2:$X$1048576,'Node Details'!H$1,0),"")</f>
        <v>Punjab</v>
      </c>
      <c r="I96" s="88" t="str">
        <f>_xlfn.IFNA(VLOOKUP($D96,'Route-Details'!$B$2:$X$1048576,'Node Details'!I$1,0),"")</f>
        <v>AXY</v>
      </c>
      <c r="J96" s="88" t="str">
        <f>_xlfn.IFNA(VLOOKUP($D96,'Route-Details'!$B$2:$X$1048576,'Node Details'!J$1,0),"")</f>
        <v>AXY</v>
      </c>
      <c r="K96" s="76">
        <v>46112</v>
      </c>
      <c r="L96" s="76">
        <v>46113</v>
      </c>
      <c r="M96" s="89">
        <v>46125</v>
      </c>
      <c r="N96" s="76">
        <v>46112</v>
      </c>
      <c r="Q96" s="86" t="s">
        <v>958</v>
      </c>
      <c r="R96" s="90"/>
      <c r="S96" s="87"/>
      <c r="T96" s="87"/>
      <c r="U96" s="87"/>
      <c r="V96" s="93"/>
      <c r="W96" s="91"/>
      <c r="X96" s="87"/>
      <c r="Y96" s="92"/>
      <c r="Z96" s="90"/>
      <c r="AA96" s="93"/>
      <c r="AB96" s="87"/>
      <c r="AC96" s="91"/>
      <c r="AD96" s="90"/>
      <c r="AE96" s="86"/>
      <c r="AF96" s="82"/>
      <c r="AG96" s="24"/>
      <c r="AH96" s="93"/>
      <c r="AI96" s="87"/>
      <c r="AJ96" s="86"/>
      <c r="AK96" s="81"/>
      <c r="AL96" s="24"/>
      <c r="AM96" s="24"/>
      <c r="AN96" s="81"/>
      <c r="AO96" s="81"/>
      <c r="AP96" s="24"/>
      <c r="AQ96" s="93"/>
      <c r="AR96" s="94"/>
      <c r="AS96" s="82"/>
      <c r="AT96" s="82"/>
      <c r="AU96" s="24"/>
      <c r="AV96" s="93"/>
      <c r="AW96" s="94"/>
      <c r="AX96" s="95"/>
      <c r="AY96" s="95"/>
      <c r="AZ96" s="95"/>
      <c r="BA96" s="24"/>
      <c r="BB96" s="9" t="s">
        <v>240</v>
      </c>
      <c r="BC96" s="96" t="s">
        <v>93</v>
      </c>
    </row>
    <row r="97" spans="1:55" ht="15" customHeight="1">
      <c r="A97" s="86">
        <f t="shared" si="19"/>
        <v>95</v>
      </c>
      <c r="B97" s="75" t="s">
        <v>1003</v>
      </c>
      <c r="C97" s="9"/>
      <c r="D97" s="76" t="s">
        <v>238</v>
      </c>
      <c r="E97" s="88" t="str">
        <f>_xlfn.IFNA(VLOOKUP($D97,'Route-Details'!$B$2:$X$1048576,'Node Details'!E$1,0),"")</f>
        <v>Airtel</v>
      </c>
      <c r="F97" s="88" t="str">
        <f>_xlfn.IFNA(VLOOKUP($D97,'Route-Details'!$B$2:$X$1048576,'Node Details'!F$1,0),"")</f>
        <v>DARIA</v>
      </c>
      <c r="G97" s="88" t="str">
        <f>_xlfn.IFNA(VLOOKUP($D97,'Route-Details'!$B$2:$X$1048576,'Node Details'!G$1,0),"")</f>
        <v>Chandigarh</v>
      </c>
      <c r="H97" s="88" t="str">
        <f>_xlfn.IFNA(VLOOKUP($D98,'Route-Details'!$B$2:$X$1048576,'Node Details'!H$1,0),"")</f>
        <v>Punjab</v>
      </c>
      <c r="I97" s="88" t="str">
        <f>_xlfn.IFNA(VLOOKUP($D97,'Route-Details'!$B$2:$X$1048576,'Node Details'!I$1,0),"")</f>
        <v>AXY</v>
      </c>
      <c r="J97" s="88" t="str">
        <f>_xlfn.IFNA(VLOOKUP($D97,'Route-Details'!$B$2:$X$1048576,'Node Details'!J$1,0),"")</f>
        <v>AXY</v>
      </c>
      <c r="K97" s="76">
        <v>46112</v>
      </c>
      <c r="L97" s="76">
        <v>46113</v>
      </c>
      <c r="M97" s="89">
        <v>46125</v>
      </c>
      <c r="N97" s="76">
        <v>46112</v>
      </c>
      <c r="Q97" s="86" t="s">
        <v>958</v>
      </c>
      <c r="R97" s="90"/>
      <c r="S97" s="87"/>
      <c r="T97" s="87"/>
      <c r="U97" s="87"/>
      <c r="V97" s="93"/>
      <c r="W97" s="91"/>
      <c r="X97" s="87"/>
      <c r="Y97" s="92"/>
      <c r="Z97" s="90"/>
      <c r="AA97" s="93"/>
      <c r="AB97" s="87"/>
      <c r="AC97" s="91"/>
      <c r="AD97" s="90"/>
      <c r="AE97" s="86"/>
      <c r="AF97" s="82"/>
      <c r="AG97" s="24"/>
      <c r="AH97" s="93"/>
      <c r="AI97" s="87"/>
      <c r="AJ97" s="86"/>
      <c r="AK97" s="81"/>
      <c r="AL97" s="24"/>
      <c r="AM97" s="24"/>
      <c r="AN97" s="81"/>
      <c r="AO97" s="81"/>
      <c r="AP97" s="24"/>
      <c r="AQ97" s="93"/>
      <c r="AR97" s="94"/>
      <c r="AS97" s="82"/>
      <c r="AT97" s="82"/>
      <c r="AU97" s="24"/>
      <c r="AV97" s="93"/>
      <c r="AW97" s="94"/>
      <c r="AX97" s="95"/>
      <c r="AY97" s="95"/>
      <c r="AZ97" s="95"/>
      <c r="BA97" s="24"/>
      <c r="BB97" s="9" t="s">
        <v>240</v>
      </c>
      <c r="BC97" s="96" t="s">
        <v>93</v>
      </c>
    </row>
    <row r="98" spans="1:55" ht="15" customHeight="1">
      <c r="A98" s="86">
        <f t="shared" si="19"/>
        <v>96</v>
      </c>
      <c r="B98" s="75" t="s">
        <v>239</v>
      </c>
      <c r="C98" s="9"/>
      <c r="D98" s="76" t="s">
        <v>238</v>
      </c>
      <c r="E98" s="88" t="str">
        <f>_xlfn.IFNA(VLOOKUP($D98,'Route-Details'!$B$2:$X$1048576,'Node Details'!E$1,0),"")</f>
        <v>Airtel</v>
      </c>
      <c r="F98" s="88" t="str">
        <f>_xlfn.IFNA(VLOOKUP($D98,'Route-Details'!$B$2:$X$1048576,'Node Details'!F$1,0),"")</f>
        <v>DARIA</v>
      </c>
      <c r="G98" s="88" t="str">
        <f>_xlfn.IFNA(VLOOKUP($D98,'Route-Details'!$B$2:$X$1048576,'Node Details'!G$1,0),"")</f>
        <v>Chandigarh</v>
      </c>
      <c r="H98" s="88" t="str">
        <f>_xlfn.IFNA(VLOOKUP($D99,'Route-Details'!$B$2:$X$1048576,'Node Details'!H$1,0),"")</f>
        <v>Punjab</v>
      </c>
      <c r="I98" s="88" t="str">
        <f>_xlfn.IFNA(VLOOKUP($D98,'Route-Details'!$B$2:$X$1048576,'Node Details'!I$1,0),"")</f>
        <v>AXY</v>
      </c>
      <c r="J98" s="88" t="str">
        <f>_xlfn.IFNA(VLOOKUP($D98,'Route-Details'!$B$2:$X$1048576,'Node Details'!J$1,0),"")</f>
        <v>AXY</v>
      </c>
      <c r="K98" s="76">
        <v>46112</v>
      </c>
      <c r="L98" s="76">
        <v>46113</v>
      </c>
      <c r="M98" s="89">
        <v>46125</v>
      </c>
      <c r="N98" s="76">
        <v>46112</v>
      </c>
      <c r="Q98" s="86" t="s">
        <v>958</v>
      </c>
      <c r="R98" s="90"/>
      <c r="S98" s="87"/>
      <c r="T98" s="87"/>
      <c r="U98" s="87"/>
      <c r="V98" s="93"/>
      <c r="W98" s="91"/>
      <c r="X98" s="87"/>
      <c r="Y98" s="92"/>
      <c r="Z98" s="90"/>
      <c r="AA98" s="93"/>
      <c r="AB98" s="87"/>
      <c r="AC98" s="91"/>
      <c r="AD98" s="90"/>
      <c r="AE98" s="86"/>
      <c r="AF98" s="82"/>
      <c r="AG98" s="24"/>
      <c r="AH98" s="93"/>
      <c r="AI98" s="87"/>
      <c r="AJ98" s="86"/>
      <c r="AK98" s="81"/>
      <c r="AL98" s="24"/>
      <c r="AM98" s="24"/>
      <c r="AN98" s="81"/>
      <c r="AO98" s="81"/>
      <c r="AP98" s="24"/>
      <c r="AQ98" s="93"/>
      <c r="AR98" s="94"/>
      <c r="AS98" s="82"/>
      <c r="AT98" s="82"/>
      <c r="AU98" s="24"/>
      <c r="AV98" s="93"/>
      <c r="AW98" s="94"/>
      <c r="AX98" s="95"/>
      <c r="AY98" s="95"/>
      <c r="AZ98" s="95"/>
      <c r="BA98" s="24"/>
      <c r="BB98" s="9" t="s">
        <v>240</v>
      </c>
      <c r="BC98" s="96" t="s">
        <v>93</v>
      </c>
    </row>
    <row r="99" spans="1:55" ht="15" customHeight="1">
      <c r="A99" s="86">
        <f t="shared" si="19"/>
        <v>97</v>
      </c>
      <c r="B99" s="75" t="s">
        <v>230</v>
      </c>
      <c r="C99" s="9"/>
      <c r="D99" s="76" t="s">
        <v>228</v>
      </c>
      <c r="E99" s="88" t="str">
        <f>_xlfn.IFNA(VLOOKUP($D99,'Route-Details'!$B$2:$X$1048576,'Node Details'!E$1,0),"")</f>
        <v>Airtel</v>
      </c>
      <c r="F99" s="88" t="str">
        <f>_xlfn.IFNA(VLOOKUP($D99,'Route-Details'!$B$2:$X$1048576,'Node Details'!F$1,0),"")</f>
        <v>DARIA</v>
      </c>
      <c r="G99" s="88" t="str">
        <f>_xlfn.IFNA(VLOOKUP($D99,'Route-Details'!$B$2:$X$1048576,'Node Details'!G$1,0),"")</f>
        <v>Chandigarh</v>
      </c>
      <c r="H99" s="88" t="str">
        <f>_xlfn.IFNA(VLOOKUP($D100,'Route-Details'!$B$2:$X$1048576,'Node Details'!H$1,0),"")</f>
        <v>Punjab</v>
      </c>
      <c r="I99" s="88" t="str">
        <f>_xlfn.IFNA(VLOOKUP($D99,'Route-Details'!$B$2:$X$1048576,'Node Details'!I$1,0),"")</f>
        <v>AXY</v>
      </c>
      <c r="J99" s="88" t="str">
        <f>_xlfn.IFNA(VLOOKUP($D99,'Route-Details'!$B$2:$X$1048576,'Node Details'!J$1,0),"")</f>
        <v>AXY</v>
      </c>
      <c r="K99" s="76">
        <v>46112</v>
      </c>
      <c r="L99" s="76">
        <v>46113</v>
      </c>
      <c r="M99" s="89">
        <v>46125</v>
      </c>
      <c r="N99" s="76">
        <v>46112</v>
      </c>
      <c r="Q99" s="86" t="s">
        <v>958</v>
      </c>
      <c r="R99" s="90"/>
      <c r="S99" s="87"/>
      <c r="T99" s="87"/>
      <c r="U99" s="87"/>
      <c r="V99" s="93"/>
      <c r="W99" s="91"/>
      <c r="X99" s="87"/>
      <c r="Y99" s="92"/>
      <c r="Z99" s="90"/>
      <c r="AA99" s="93"/>
      <c r="AB99" s="87"/>
      <c r="AC99" s="91"/>
      <c r="AD99" s="90"/>
      <c r="AE99" s="86"/>
      <c r="AF99" s="82"/>
      <c r="AG99" s="24"/>
      <c r="AH99" s="93"/>
      <c r="AI99" s="87"/>
      <c r="AJ99" s="86"/>
      <c r="AK99" s="81"/>
      <c r="AL99" s="24"/>
      <c r="AM99" s="24"/>
      <c r="AN99" s="81"/>
      <c r="AO99" s="81"/>
      <c r="AP99" s="24"/>
      <c r="AQ99" s="93"/>
      <c r="AR99" s="94"/>
      <c r="AS99" s="82"/>
      <c r="AT99" s="82"/>
      <c r="AU99" s="24"/>
      <c r="AV99" s="93"/>
      <c r="AW99" s="94"/>
      <c r="AX99" s="95"/>
      <c r="AY99" s="95"/>
      <c r="AZ99" s="95"/>
      <c r="BA99" s="24"/>
      <c r="BB99" s="9" t="s">
        <v>231</v>
      </c>
      <c r="BC99" s="96" t="s">
        <v>93</v>
      </c>
    </row>
    <row r="100" spans="1:55" ht="15" customHeight="1">
      <c r="A100" s="86">
        <f t="shared" si="19"/>
        <v>98</v>
      </c>
      <c r="B100" s="75" t="s">
        <v>233</v>
      </c>
      <c r="C100" s="9"/>
      <c r="D100" s="76" t="s">
        <v>232</v>
      </c>
      <c r="E100" s="88" t="str">
        <f>_xlfn.IFNA(VLOOKUP($D100,'Route-Details'!$B$2:$X$1048576,'Node Details'!E$1,0),"")</f>
        <v>Airtel</v>
      </c>
      <c r="F100" s="88" t="str">
        <f>_xlfn.IFNA(VLOOKUP($D100,'Route-Details'!$B$2:$X$1048576,'Node Details'!F$1,0),"")</f>
        <v>DARIA</v>
      </c>
      <c r="G100" s="88" t="str">
        <f>_xlfn.IFNA(VLOOKUP($D100,'Route-Details'!$B$2:$X$1048576,'Node Details'!G$1,0),"")</f>
        <v>Chandigarh</v>
      </c>
      <c r="H100" s="88" t="str">
        <f>_xlfn.IFNA(VLOOKUP($D101,'Route-Details'!$B$2:$X$1048576,'Node Details'!H$1,0),"")</f>
        <v>Punjab</v>
      </c>
      <c r="I100" s="88" t="str">
        <f>_xlfn.IFNA(VLOOKUP($D100,'Route-Details'!$B$2:$X$1048576,'Node Details'!I$1,0),"")</f>
        <v>AXY</v>
      </c>
      <c r="J100" s="88" t="str">
        <f>_xlfn.IFNA(VLOOKUP($D100,'Route-Details'!$B$2:$X$1048576,'Node Details'!J$1,0),"")</f>
        <v>AXY</v>
      </c>
      <c r="K100" s="76">
        <v>46112</v>
      </c>
      <c r="L100" s="76">
        <v>46113</v>
      </c>
      <c r="M100" s="89">
        <v>46125</v>
      </c>
      <c r="N100" s="76">
        <v>46112</v>
      </c>
      <c r="Q100" s="86" t="s">
        <v>958</v>
      </c>
      <c r="R100" s="90"/>
      <c r="S100" s="87"/>
      <c r="T100" s="87"/>
      <c r="U100" s="87"/>
      <c r="V100" s="93"/>
      <c r="W100" s="91"/>
      <c r="X100" s="87"/>
      <c r="Y100" s="92"/>
      <c r="Z100" s="90"/>
      <c r="AA100" s="93"/>
      <c r="AB100" s="87"/>
      <c r="AC100" s="91"/>
      <c r="AD100" s="90"/>
      <c r="AE100" s="86"/>
      <c r="AF100" s="82"/>
      <c r="AG100" s="24"/>
      <c r="AH100" s="93"/>
      <c r="AI100" s="87"/>
      <c r="AJ100" s="86"/>
      <c r="AK100" s="81"/>
      <c r="AL100" s="24"/>
      <c r="AM100" s="24"/>
      <c r="AN100" s="81"/>
      <c r="AO100" s="81"/>
      <c r="AP100" s="24"/>
      <c r="AQ100" s="93"/>
      <c r="AR100" s="94"/>
      <c r="AS100" s="82"/>
      <c r="AT100" s="82"/>
      <c r="AU100" s="24"/>
      <c r="AV100" s="93"/>
      <c r="AW100" s="94"/>
      <c r="AX100" s="95"/>
      <c r="AY100" s="95"/>
      <c r="AZ100" s="95"/>
      <c r="BA100" s="24"/>
      <c r="BB100" s="9" t="s">
        <v>234</v>
      </c>
      <c r="BC100" s="96" t="s">
        <v>93</v>
      </c>
    </row>
    <row r="101" spans="1:55" ht="15" customHeight="1">
      <c r="A101" s="86">
        <f t="shared" si="19"/>
        <v>99</v>
      </c>
      <c r="B101" s="75" t="s">
        <v>1004</v>
      </c>
      <c r="C101" s="9"/>
      <c r="D101" s="76" t="s">
        <v>241</v>
      </c>
      <c r="E101" s="88" t="str">
        <f>_xlfn.IFNA(VLOOKUP($D101,'Route-Details'!$B$2:$X$1048576,'Node Details'!E$1,0),"")</f>
        <v>Airtel</v>
      </c>
      <c r="F101" s="88" t="str">
        <f>_xlfn.IFNA(VLOOKUP($D101,'Route-Details'!$B$2:$X$1048576,'Node Details'!F$1,0),"")</f>
        <v>DARIA</v>
      </c>
      <c r="G101" s="88" t="str">
        <f>_xlfn.IFNA(VLOOKUP($D101,'Route-Details'!$B$2:$X$1048576,'Node Details'!G$1,0),"")</f>
        <v>Chandigarh</v>
      </c>
      <c r="H101" s="88" t="str">
        <f>_xlfn.IFNA(VLOOKUP($D102,'Route-Details'!$B$2:$X$1048576,'Node Details'!H$1,0),"")</f>
        <v>Punjab</v>
      </c>
      <c r="I101" s="88" t="str">
        <f>_xlfn.IFNA(VLOOKUP($D101,'Route-Details'!$B$2:$X$1048576,'Node Details'!I$1,0),"")</f>
        <v>AXY</v>
      </c>
      <c r="J101" s="88" t="str">
        <f>_xlfn.IFNA(VLOOKUP($D101,'Route-Details'!$B$2:$X$1048576,'Node Details'!J$1,0),"")</f>
        <v>AXY</v>
      </c>
      <c r="K101" s="76">
        <v>46112</v>
      </c>
      <c r="L101" s="76">
        <v>46113</v>
      </c>
      <c r="M101" s="89">
        <v>46125</v>
      </c>
      <c r="N101" s="76">
        <v>46112</v>
      </c>
      <c r="Q101" s="86" t="s">
        <v>958</v>
      </c>
      <c r="R101" s="90"/>
      <c r="S101" s="87"/>
      <c r="T101" s="87"/>
      <c r="U101" s="87"/>
      <c r="V101" s="93"/>
      <c r="W101" s="91"/>
      <c r="X101" s="87"/>
      <c r="Y101" s="92"/>
      <c r="Z101" s="90"/>
      <c r="AA101" s="93"/>
      <c r="AB101" s="87"/>
      <c r="AC101" s="91"/>
      <c r="AD101" s="90"/>
      <c r="AE101" s="86"/>
      <c r="AF101" s="82"/>
      <c r="AG101" s="24"/>
      <c r="AH101" s="93"/>
      <c r="AI101" s="87"/>
      <c r="AJ101" s="86"/>
      <c r="AK101" s="81"/>
      <c r="AL101" s="24"/>
      <c r="AM101" s="24"/>
      <c r="AN101" s="81"/>
      <c r="AO101" s="81"/>
      <c r="AP101" s="24"/>
      <c r="AQ101" s="93"/>
      <c r="AR101" s="94"/>
      <c r="AS101" s="82"/>
      <c r="AT101" s="82"/>
      <c r="AU101" s="24"/>
      <c r="AV101" s="93"/>
      <c r="AW101" s="94"/>
      <c r="AX101" s="95"/>
      <c r="AY101" s="95"/>
      <c r="AZ101" s="95"/>
      <c r="BA101" s="24"/>
      <c r="BB101" s="9" t="s">
        <v>244</v>
      </c>
      <c r="BC101" s="96" t="s">
        <v>93</v>
      </c>
    </row>
    <row r="102" spans="1:55" ht="15" customHeight="1">
      <c r="A102" s="86">
        <f t="shared" si="19"/>
        <v>100</v>
      </c>
      <c r="B102" s="75" t="s">
        <v>243</v>
      </c>
      <c r="C102" s="9"/>
      <c r="D102" s="76" t="s">
        <v>241</v>
      </c>
      <c r="E102" s="88" t="str">
        <f>_xlfn.IFNA(VLOOKUP($D102,'Route-Details'!$B$2:$X$1048576,'Node Details'!E$1,0),"")</f>
        <v>Airtel</v>
      </c>
      <c r="F102" s="88" t="str">
        <f>_xlfn.IFNA(VLOOKUP($D102,'Route-Details'!$B$2:$X$1048576,'Node Details'!F$1,0),"")</f>
        <v>DARIA</v>
      </c>
      <c r="G102" s="88" t="str">
        <f>_xlfn.IFNA(VLOOKUP($D102,'Route-Details'!$B$2:$X$1048576,'Node Details'!G$1,0),"")</f>
        <v>Chandigarh</v>
      </c>
      <c r="H102" s="88" t="str">
        <f>_xlfn.IFNA(VLOOKUP($D103,'Route-Details'!$B$2:$X$1048576,'Node Details'!H$1,0),"")</f>
        <v>Punjab</v>
      </c>
      <c r="I102" s="88" t="str">
        <f>_xlfn.IFNA(VLOOKUP($D102,'Route-Details'!$B$2:$X$1048576,'Node Details'!I$1,0),"")</f>
        <v>AXY</v>
      </c>
      <c r="J102" s="88" t="str">
        <f>_xlfn.IFNA(VLOOKUP($D102,'Route-Details'!$B$2:$X$1048576,'Node Details'!J$1,0),"")</f>
        <v>AXY</v>
      </c>
      <c r="K102" s="76">
        <v>46112</v>
      </c>
      <c r="L102" s="76">
        <v>46113</v>
      </c>
      <c r="M102" s="89">
        <v>46125</v>
      </c>
      <c r="N102" s="76">
        <v>46112</v>
      </c>
      <c r="Q102" s="86" t="s">
        <v>958</v>
      </c>
      <c r="R102" s="90"/>
      <c r="S102" s="87"/>
      <c r="T102" s="87"/>
      <c r="U102" s="87"/>
      <c r="V102" s="93"/>
      <c r="W102" s="91"/>
      <c r="X102" s="87"/>
      <c r="Y102" s="92"/>
      <c r="Z102" s="90"/>
      <c r="AA102" s="93"/>
      <c r="AB102" s="87"/>
      <c r="AC102" s="91"/>
      <c r="AD102" s="90"/>
      <c r="AE102" s="86"/>
      <c r="AF102" s="82"/>
      <c r="AG102" s="24"/>
      <c r="AH102" s="93"/>
      <c r="AI102" s="87"/>
      <c r="AJ102" s="86"/>
      <c r="AK102" s="81"/>
      <c r="AL102" s="24"/>
      <c r="AM102" s="24"/>
      <c r="AN102" s="81"/>
      <c r="AO102" s="81"/>
      <c r="AP102" s="24"/>
      <c r="AQ102" s="93"/>
      <c r="AR102" s="94"/>
      <c r="AS102" s="82"/>
      <c r="AT102" s="82"/>
      <c r="AU102" s="24"/>
      <c r="AV102" s="93"/>
      <c r="AW102" s="94"/>
      <c r="AX102" s="95"/>
      <c r="AY102" s="95"/>
      <c r="AZ102" s="95"/>
      <c r="BA102" s="24"/>
      <c r="BB102" s="9" t="s">
        <v>244</v>
      </c>
      <c r="BC102" s="96" t="s">
        <v>93</v>
      </c>
    </row>
    <row r="103" spans="1:55" ht="15" customHeight="1">
      <c r="A103" s="86">
        <f t="shared" si="19"/>
        <v>101</v>
      </c>
      <c r="B103" s="75" t="s">
        <v>1005</v>
      </c>
      <c r="C103" s="9"/>
      <c r="D103" s="76" t="s">
        <v>245</v>
      </c>
      <c r="E103" s="88" t="str">
        <f>_xlfn.IFNA(VLOOKUP($D103,'Route-Details'!$B$2:$X$1048576,'Node Details'!E$1,0),"")</f>
        <v>Airtel</v>
      </c>
      <c r="F103" s="88" t="str">
        <f>_xlfn.IFNA(VLOOKUP($D103,'Route-Details'!$B$2:$X$1048576,'Node Details'!F$1,0),"")</f>
        <v>DARIA</v>
      </c>
      <c r="G103" s="88" t="str">
        <f>_xlfn.IFNA(VLOOKUP($D103,'Route-Details'!$B$2:$X$1048576,'Node Details'!G$1,0),"")</f>
        <v>Chandigarh</v>
      </c>
      <c r="H103" s="88" t="str">
        <f>_xlfn.IFNA(VLOOKUP($D104,'Route-Details'!$B$2:$X$1048576,'Node Details'!H$1,0),"")</f>
        <v>Punjab</v>
      </c>
      <c r="I103" s="88" t="str">
        <f>_xlfn.IFNA(VLOOKUP($D103,'Route-Details'!$B$2:$X$1048576,'Node Details'!I$1,0),"")</f>
        <v>AXY</v>
      </c>
      <c r="J103" s="88" t="str">
        <f>_xlfn.IFNA(VLOOKUP($D103,'Route-Details'!$B$2:$X$1048576,'Node Details'!J$1,0),"")</f>
        <v>AXY</v>
      </c>
      <c r="K103" s="76">
        <v>46112</v>
      </c>
      <c r="L103" s="76">
        <v>46113</v>
      </c>
      <c r="M103" s="89">
        <v>46125</v>
      </c>
      <c r="N103" s="76">
        <v>46112</v>
      </c>
      <c r="Q103" s="86" t="s">
        <v>958</v>
      </c>
      <c r="R103" s="90"/>
      <c r="S103" s="87"/>
      <c r="T103" s="87"/>
      <c r="U103" s="87"/>
      <c r="V103" s="93"/>
      <c r="W103" s="91"/>
      <c r="X103" s="87"/>
      <c r="Y103" s="92"/>
      <c r="Z103" s="90"/>
      <c r="AA103" s="93"/>
      <c r="AB103" s="87"/>
      <c r="AC103" s="91"/>
      <c r="AD103" s="90"/>
      <c r="AE103" s="86"/>
      <c r="AF103" s="82"/>
      <c r="AG103" s="24"/>
      <c r="AH103" s="93"/>
      <c r="AI103" s="87"/>
      <c r="AJ103" s="86"/>
      <c r="AK103" s="81"/>
      <c r="AL103" s="24"/>
      <c r="AM103" s="24"/>
      <c r="AN103" s="81"/>
      <c r="AO103" s="81"/>
      <c r="AP103" s="24"/>
      <c r="AQ103" s="93"/>
      <c r="AR103" s="94"/>
      <c r="AS103" s="82"/>
      <c r="AT103" s="82"/>
      <c r="AU103" s="24"/>
      <c r="AV103" s="93"/>
      <c r="AW103" s="94"/>
      <c r="AX103" s="95"/>
      <c r="AY103" s="95"/>
      <c r="AZ103" s="95"/>
      <c r="BA103" s="24"/>
      <c r="BB103" s="9" t="s">
        <v>247</v>
      </c>
      <c r="BC103" s="96" t="s">
        <v>93</v>
      </c>
    </row>
    <row r="104" spans="1:55" ht="15" customHeight="1">
      <c r="A104" s="86">
        <f t="shared" si="19"/>
        <v>102</v>
      </c>
      <c r="B104" s="75" t="s">
        <v>246</v>
      </c>
      <c r="C104" s="9"/>
      <c r="D104" s="76" t="s">
        <v>245</v>
      </c>
      <c r="E104" s="88" t="str">
        <f>_xlfn.IFNA(VLOOKUP($D104,'Route-Details'!$B$2:$X$1048576,'Node Details'!E$1,0),"")</f>
        <v>Airtel</v>
      </c>
      <c r="F104" s="88" t="str">
        <f>_xlfn.IFNA(VLOOKUP($D104,'Route-Details'!$B$2:$X$1048576,'Node Details'!F$1,0),"")</f>
        <v>DARIA</v>
      </c>
      <c r="G104" s="88" t="str">
        <f>_xlfn.IFNA(VLOOKUP($D104,'Route-Details'!$B$2:$X$1048576,'Node Details'!G$1,0),"")</f>
        <v>Chandigarh</v>
      </c>
      <c r="H104" s="88" t="str">
        <f>_xlfn.IFNA(VLOOKUP($D105,'Route-Details'!$B$2:$X$1048576,'Node Details'!H$1,0),"")</f>
        <v>Punjab</v>
      </c>
      <c r="I104" s="88" t="str">
        <f>_xlfn.IFNA(VLOOKUP($D104,'Route-Details'!$B$2:$X$1048576,'Node Details'!I$1,0),"")</f>
        <v>AXY</v>
      </c>
      <c r="J104" s="88" t="str">
        <f>_xlfn.IFNA(VLOOKUP($D104,'Route-Details'!$B$2:$X$1048576,'Node Details'!J$1,0),"")</f>
        <v>AXY</v>
      </c>
      <c r="K104" s="76">
        <v>46112</v>
      </c>
      <c r="L104" s="76">
        <v>46113</v>
      </c>
      <c r="M104" s="89">
        <v>46125</v>
      </c>
      <c r="N104" s="76">
        <v>46112</v>
      </c>
      <c r="Q104" s="86" t="s">
        <v>958</v>
      </c>
      <c r="R104" s="90"/>
      <c r="S104" s="87"/>
      <c r="T104" s="87"/>
      <c r="U104" s="87"/>
      <c r="V104" s="93"/>
      <c r="W104" s="91"/>
      <c r="X104" s="87"/>
      <c r="Y104" s="92"/>
      <c r="Z104" s="90"/>
      <c r="AA104" s="93"/>
      <c r="AB104" s="87"/>
      <c r="AC104" s="91"/>
      <c r="AD104" s="90"/>
      <c r="AE104" s="86"/>
      <c r="AF104" s="82"/>
      <c r="AG104" s="24"/>
      <c r="AH104" s="93"/>
      <c r="AI104" s="87"/>
      <c r="AJ104" s="86"/>
      <c r="AK104" s="81"/>
      <c r="AL104" s="24"/>
      <c r="AM104" s="24"/>
      <c r="AN104" s="81"/>
      <c r="AO104" s="81"/>
      <c r="AP104" s="24"/>
      <c r="AQ104" s="93"/>
      <c r="AR104" s="94"/>
      <c r="AS104" s="82"/>
      <c r="AT104" s="82"/>
      <c r="AU104" s="24"/>
      <c r="AV104" s="93"/>
      <c r="AW104" s="94"/>
      <c r="AX104" s="95"/>
      <c r="AY104" s="95"/>
      <c r="AZ104" s="95"/>
      <c r="BA104" s="24"/>
      <c r="BB104" s="9" t="s">
        <v>247</v>
      </c>
      <c r="BC104" s="96" t="s">
        <v>93</v>
      </c>
    </row>
    <row r="105" spans="1:55" ht="15" customHeight="1">
      <c r="A105" s="86">
        <f t="shared" si="19"/>
        <v>103</v>
      </c>
      <c r="B105" s="75" t="s">
        <v>1006</v>
      </c>
      <c r="C105" s="9"/>
      <c r="D105" s="76" t="s">
        <v>139</v>
      </c>
      <c r="E105" s="88" t="str">
        <f>_xlfn.IFNA(VLOOKUP($D105,'Route-Details'!$B$2:$X$1048576,'Node Details'!E$1,0),"")</f>
        <v>Airtel</v>
      </c>
      <c r="F105" s="88" t="str">
        <f>_xlfn.IFNA(VLOOKUP($D105,'Route-Details'!$B$2:$X$1048576,'Node Details'!F$1,0),"")</f>
        <v>DARIA</v>
      </c>
      <c r="G105" s="88" t="str">
        <f>_xlfn.IFNA(VLOOKUP($D105,'Route-Details'!$B$2:$X$1048576,'Node Details'!G$1,0),"")</f>
        <v>Chandigarh</v>
      </c>
      <c r="H105" s="88" t="str">
        <f>_xlfn.IFNA(VLOOKUP($D106,'Route-Details'!$B$2:$X$1048576,'Node Details'!H$1,0),"")</f>
        <v>Punjab</v>
      </c>
      <c r="I105" s="88" t="str">
        <f>_xlfn.IFNA(VLOOKUP($D105,'Route-Details'!$B$2:$X$1048576,'Node Details'!I$1,0),"")</f>
        <v>AXY</v>
      </c>
      <c r="J105" s="88" t="str">
        <f>_xlfn.IFNA(VLOOKUP($D105,'Route-Details'!$B$2:$X$1048576,'Node Details'!J$1,0),"")</f>
        <v>AXY</v>
      </c>
      <c r="K105" s="76">
        <v>46112</v>
      </c>
      <c r="L105" s="76">
        <v>46113</v>
      </c>
      <c r="M105" s="89">
        <v>46125</v>
      </c>
      <c r="N105" s="76">
        <v>46112</v>
      </c>
      <c r="Q105" s="86" t="s">
        <v>958</v>
      </c>
      <c r="R105" s="90"/>
      <c r="S105" s="87"/>
      <c r="T105" s="87"/>
      <c r="U105" s="87"/>
      <c r="V105" s="93"/>
      <c r="W105" s="91"/>
      <c r="X105" s="87"/>
      <c r="Y105" s="92"/>
      <c r="Z105" s="90"/>
      <c r="AA105" s="93"/>
      <c r="AB105" s="87"/>
      <c r="AC105" s="91"/>
      <c r="AD105" s="90"/>
      <c r="AE105" s="86"/>
      <c r="AF105" s="82"/>
      <c r="AG105" s="24"/>
      <c r="AH105" s="93"/>
      <c r="AI105" s="87"/>
      <c r="AJ105" s="86"/>
      <c r="AK105" s="81"/>
      <c r="AL105" s="24"/>
      <c r="AM105" s="24"/>
      <c r="AN105" s="81"/>
      <c r="AO105" s="81"/>
      <c r="AP105" s="24"/>
      <c r="AQ105" s="93"/>
      <c r="AR105" s="94"/>
      <c r="AS105" s="82"/>
      <c r="AT105" s="82"/>
      <c r="AU105" s="24"/>
      <c r="AV105" s="93"/>
      <c r="AW105" s="94"/>
      <c r="AX105" s="95"/>
      <c r="AY105" s="95"/>
      <c r="AZ105" s="95"/>
      <c r="BA105" s="24"/>
      <c r="BB105" s="9" t="s">
        <v>92</v>
      </c>
      <c r="BC105" s="96" t="s">
        <v>93</v>
      </c>
    </row>
    <row r="106" spans="1:55" ht="15" customHeight="1">
      <c r="A106" s="86">
        <f t="shared" si="19"/>
        <v>104</v>
      </c>
      <c r="B106" s="75" t="s">
        <v>254</v>
      </c>
      <c r="C106" s="9"/>
      <c r="D106" s="76" t="s">
        <v>252</v>
      </c>
      <c r="E106" s="88" t="str">
        <f>_xlfn.IFNA(VLOOKUP($D106,'Route-Details'!$B$2:$X$1048576,'Node Details'!E$1,0),"")</f>
        <v>Airtel</v>
      </c>
      <c r="F106" s="88" t="str">
        <f>_xlfn.IFNA(VLOOKUP($D106,'Route-Details'!$B$2:$X$1048576,'Node Details'!F$1,0),"")</f>
        <v>DARIA</v>
      </c>
      <c r="G106" s="88" t="str">
        <f>_xlfn.IFNA(VLOOKUP($D106,'Route-Details'!$B$2:$X$1048576,'Node Details'!G$1,0),"")</f>
        <v>Chandigarh</v>
      </c>
      <c r="H106" s="88" t="str">
        <f>_xlfn.IFNA(VLOOKUP($D107,'Route-Details'!$B$2:$X$1048576,'Node Details'!H$1,0),"")</f>
        <v>Punjab</v>
      </c>
      <c r="I106" s="88" t="str">
        <f>_xlfn.IFNA(VLOOKUP($D106,'Route-Details'!$B$2:$X$1048576,'Node Details'!I$1,0),"")</f>
        <v>AXY</v>
      </c>
      <c r="J106" s="88" t="str">
        <f>_xlfn.IFNA(VLOOKUP($D106,'Route-Details'!$B$2:$X$1048576,'Node Details'!J$1,0),"")</f>
        <v>AXY</v>
      </c>
      <c r="K106" s="76">
        <v>46112</v>
      </c>
      <c r="L106" s="76">
        <v>46113</v>
      </c>
      <c r="M106" s="89">
        <v>46125</v>
      </c>
      <c r="N106" s="76">
        <v>46112</v>
      </c>
      <c r="Q106" s="86" t="s">
        <v>958</v>
      </c>
      <c r="R106" s="90"/>
      <c r="S106" s="87"/>
      <c r="T106" s="87"/>
      <c r="U106" s="87"/>
      <c r="V106" s="93"/>
      <c r="W106" s="91"/>
      <c r="X106" s="87"/>
      <c r="Y106" s="92"/>
      <c r="Z106" s="90"/>
      <c r="AA106" s="93"/>
      <c r="AB106" s="87"/>
      <c r="AC106" s="91"/>
      <c r="AD106" s="90"/>
      <c r="AE106" s="86"/>
      <c r="AF106" s="82"/>
      <c r="AG106" s="24"/>
      <c r="AH106" s="93"/>
      <c r="AI106" s="87"/>
      <c r="AJ106" s="86"/>
      <c r="AK106" s="81"/>
      <c r="AL106" s="24"/>
      <c r="AM106" s="24"/>
      <c r="AN106" s="81"/>
      <c r="AO106" s="81"/>
      <c r="AP106" s="24"/>
      <c r="AQ106" s="93"/>
      <c r="AR106" s="94"/>
      <c r="AS106" s="82"/>
      <c r="AT106" s="82"/>
      <c r="AU106" s="24"/>
      <c r="AV106" s="93"/>
      <c r="AW106" s="94"/>
      <c r="AX106" s="95"/>
      <c r="AY106" s="95"/>
      <c r="AZ106" s="95"/>
      <c r="BA106" s="24"/>
      <c r="BB106" s="9" t="s">
        <v>255</v>
      </c>
      <c r="BC106" s="96" t="s">
        <v>93</v>
      </c>
    </row>
    <row r="107" spans="1:55" ht="15" customHeight="1">
      <c r="A107" s="86">
        <f t="shared" si="19"/>
        <v>105</v>
      </c>
      <c r="B107" s="75" t="s">
        <v>1007</v>
      </c>
      <c r="C107" s="9"/>
      <c r="D107" s="76" t="s">
        <v>256</v>
      </c>
      <c r="E107" s="88" t="str">
        <f>_xlfn.IFNA(VLOOKUP($D107,'Route-Details'!$B$2:$X$1048576,'Node Details'!E$1,0),"")</f>
        <v>Airtel</v>
      </c>
      <c r="F107" s="88" t="str">
        <f>_xlfn.IFNA(VLOOKUP($D107,'Route-Details'!$B$2:$X$1048576,'Node Details'!F$1,0),"")</f>
        <v>DARIA</v>
      </c>
      <c r="G107" s="88" t="str">
        <f>_xlfn.IFNA(VLOOKUP($D107,'Route-Details'!$B$2:$X$1048576,'Node Details'!G$1,0),"")</f>
        <v>Chandigarh</v>
      </c>
      <c r="H107" s="88" t="str">
        <f>_xlfn.IFNA(VLOOKUP($D108,'Route-Details'!$B$2:$X$1048576,'Node Details'!H$1,0),"")</f>
        <v>Punjab</v>
      </c>
      <c r="I107" s="88" t="str">
        <f>_xlfn.IFNA(VLOOKUP($D107,'Route-Details'!$B$2:$X$1048576,'Node Details'!I$1,0),"")</f>
        <v>AXY</v>
      </c>
      <c r="J107" s="88" t="str">
        <f>_xlfn.IFNA(VLOOKUP($D107,'Route-Details'!$B$2:$X$1048576,'Node Details'!J$1,0),"")</f>
        <v>AXY</v>
      </c>
      <c r="K107" s="76">
        <v>46112</v>
      </c>
      <c r="L107" s="76">
        <v>46113</v>
      </c>
      <c r="M107" s="89">
        <v>46125</v>
      </c>
      <c r="N107" s="76">
        <v>46112</v>
      </c>
      <c r="Q107" s="86" t="s">
        <v>958</v>
      </c>
      <c r="R107" s="90"/>
      <c r="S107" s="87"/>
      <c r="T107" s="87"/>
      <c r="U107" s="87"/>
      <c r="V107" s="93"/>
      <c r="W107" s="91"/>
      <c r="X107" s="87"/>
      <c r="Y107" s="92"/>
      <c r="Z107" s="90"/>
      <c r="AA107" s="93"/>
      <c r="AB107" s="87"/>
      <c r="AC107" s="91"/>
      <c r="AD107" s="90"/>
      <c r="AE107" s="86"/>
      <c r="AF107" s="82"/>
      <c r="AG107" s="24"/>
      <c r="AH107" s="93"/>
      <c r="AI107" s="87"/>
      <c r="AJ107" s="86"/>
      <c r="AK107" s="81"/>
      <c r="AL107" s="24"/>
      <c r="AM107" s="24"/>
      <c r="AN107" s="81"/>
      <c r="AO107" s="81"/>
      <c r="AP107" s="24"/>
      <c r="AQ107" s="93"/>
      <c r="AR107" s="94"/>
      <c r="AS107" s="82"/>
      <c r="AT107" s="82"/>
      <c r="AU107" s="24"/>
      <c r="AV107" s="93"/>
      <c r="AW107" s="94"/>
      <c r="AX107" s="95"/>
      <c r="AY107" s="95"/>
      <c r="AZ107" s="95"/>
      <c r="BA107" s="24"/>
      <c r="BB107" s="9" t="s">
        <v>258</v>
      </c>
      <c r="BC107" s="96" t="s">
        <v>93</v>
      </c>
    </row>
    <row r="108" spans="1:55" ht="15" customHeight="1">
      <c r="A108" s="86">
        <f t="shared" si="19"/>
        <v>106</v>
      </c>
      <c r="B108" s="75" t="s">
        <v>1008</v>
      </c>
      <c r="C108" s="9"/>
      <c r="D108" s="76" t="s">
        <v>256</v>
      </c>
      <c r="E108" s="88" t="str">
        <f>_xlfn.IFNA(VLOOKUP($D108,'Route-Details'!$B$2:$X$1048576,'Node Details'!E$1,0),"")</f>
        <v>Airtel</v>
      </c>
      <c r="F108" s="88" t="str">
        <f>_xlfn.IFNA(VLOOKUP($D108,'Route-Details'!$B$2:$X$1048576,'Node Details'!F$1,0),"")</f>
        <v>DARIA</v>
      </c>
      <c r="G108" s="88" t="str">
        <f>_xlfn.IFNA(VLOOKUP($D108,'Route-Details'!$B$2:$X$1048576,'Node Details'!G$1,0),"")</f>
        <v>Chandigarh</v>
      </c>
      <c r="H108" s="88" t="str">
        <f>_xlfn.IFNA(VLOOKUP($D109,'Route-Details'!$B$2:$X$1048576,'Node Details'!H$1,0),"")</f>
        <v>Punjab</v>
      </c>
      <c r="I108" s="88" t="str">
        <f>_xlfn.IFNA(VLOOKUP($D108,'Route-Details'!$B$2:$X$1048576,'Node Details'!I$1,0),"")</f>
        <v>AXY</v>
      </c>
      <c r="J108" s="88" t="str">
        <f>_xlfn.IFNA(VLOOKUP($D108,'Route-Details'!$B$2:$X$1048576,'Node Details'!J$1,0),"")</f>
        <v>AXY</v>
      </c>
      <c r="K108" s="76">
        <v>46112</v>
      </c>
      <c r="L108" s="76">
        <v>46113</v>
      </c>
      <c r="M108" s="89">
        <v>46125</v>
      </c>
      <c r="N108" s="76">
        <v>46112</v>
      </c>
      <c r="Q108" s="86" t="s">
        <v>958</v>
      </c>
      <c r="R108" s="90"/>
      <c r="S108" s="87"/>
      <c r="T108" s="87"/>
      <c r="U108" s="87"/>
      <c r="V108" s="93"/>
      <c r="W108" s="91"/>
      <c r="X108" s="87"/>
      <c r="Y108" s="92"/>
      <c r="Z108" s="90"/>
      <c r="AA108" s="93"/>
      <c r="AB108" s="87"/>
      <c r="AC108" s="91"/>
      <c r="AD108" s="90"/>
      <c r="AE108" s="86"/>
      <c r="AF108" s="82"/>
      <c r="AG108" s="24"/>
      <c r="AH108" s="93"/>
      <c r="AI108" s="87"/>
      <c r="AJ108" s="86"/>
      <c r="AK108" s="81"/>
      <c r="AL108" s="24"/>
      <c r="AM108" s="24"/>
      <c r="AN108" s="81"/>
      <c r="AO108" s="81"/>
      <c r="AP108" s="24"/>
      <c r="AQ108" s="93"/>
      <c r="AR108" s="94"/>
      <c r="AS108" s="82"/>
      <c r="AT108" s="82"/>
      <c r="AU108" s="24"/>
      <c r="AV108" s="93"/>
      <c r="AW108" s="94"/>
      <c r="AX108" s="95"/>
      <c r="AY108" s="95"/>
      <c r="AZ108" s="95"/>
      <c r="BA108" s="24"/>
      <c r="BB108" s="9" t="s">
        <v>258</v>
      </c>
      <c r="BC108" s="96" t="s">
        <v>93</v>
      </c>
    </row>
    <row r="109" spans="1:55" ht="15" customHeight="1">
      <c r="A109" s="86">
        <f t="shared" si="19"/>
        <v>107</v>
      </c>
      <c r="B109" s="75" t="s">
        <v>257</v>
      </c>
      <c r="C109" s="9"/>
      <c r="D109" s="76" t="s">
        <v>256</v>
      </c>
      <c r="E109" s="88" t="str">
        <f>_xlfn.IFNA(VLOOKUP($D109,'Route-Details'!$B$2:$X$1048576,'Node Details'!E$1,0),"")</f>
        <v>Airtel</v>
      </c>
      <c r="F109" s="88" t="str">
        <f>_xlfn.IFNA(VLOOKUP($D109,'Route-Details'!$B$2:$X$1048576,'Node Details'!F$1,0),"")</f>
        <v>DARIA</v>
      </c>
      <c r="G109" s="88" t="str">
        <f>_xlfn.IFNA(VLOOKUP($D109,'Route-Details'!$B$2:$X$1048576,'Node Details'!G$1,0),"")</f>
        <v>Chandigarh</v>
      </c>
      <c r="H109" s="88" t="str">
        <f>_xlfn.IFNA(VLOOKUP($D110,'Route-Details'!$B$2:$X$1048576,'Node Details'!H$1,0),"")</f>
        <v>Punjab</v>
      </c>
      <c r="I109" s="88" t="str">
        <f>_xlfn.IFNA(VLOOKUP($D109,'Route-Details'!$B$2:$X$1048576,'Node Details'!I$1,0),"")</f>
        <v>AXY</v>
      </c>
      <c r="J109" s="88" t="str">
        <f>_xlfn.IFNA(VLOOKUP($D109,'Route-Details'!$B$2:$X$1048576,'Node Details'!J$1,0),"")</f>
        <v>AXY</v>
      </c>
      <c r="K109" s="76">
        <v>46112</v>
      </c>
      <c r="L109" s="76">
        <v>46113</v>
      </c>
      <c r="M109" s="89">
        <v>46125</v>
      </c>
      <c r="N109" s="76">
        <v>46112</v>
      </c>
      <c r="Q109" s="86" t="s">
        <v>958</v>
      </c>
      <c r="R109" s="90"/>
      <c r="S109" s="87"/>
      <c r="T109" s="87"/>
      <c r="U109" s="87"/>
      <c r="V109" s="93"/>
      <c r="W109" s="91"/>
      <c r="X109" s="87"/>
      <c r="Y109" s="92"/>
      <c r="Z109" s="90"/>
      <c r="AA109" s="93"/>
      <c r="AB109" s="87"/>
      <c r="AC109" s="91"/>
      <c r="AD109" s="90"/>
      <c r="AE109" s="86"/>
      <c r="AF109" s="82"/>
      <c r="AG109" s="24"/>
      <c r="AH109" s="93"/>
      <c r="AI109" s="87"/>
      <c r="AJ109" s="86"/>
      <c r="AK109" s="81"/>
      <c r="AL109" s="24"/>
      <c r="AM109" s="24"/>
      <c r="AN109" s="81"/>
      <c r="AO109" s="81"/>
      <c r="AP109" s="24"/>
      <c r="AQ109" s="93"/>
      <c r="AR109" s="94"/>
      <c r="AS109" s="82"/>
      <c r="AT109" s="82"/>
      <c r="AU109" s="24"/>
      <c r="AV109" s="93"/>
      <c r="AW109" s="94"/>
      <c r="AX109" s="95"/>
      <c r="AY109" s="95"/>
      <c r="AZ109" s="95"/>
      <c r="BA109" s="24"/>
      <c r="BB109" s="9" t="s">
        <v>258</v>
      </c>
      <c r="BC109" s="96" t="s">
        <v>93</v>
      </c>
    </row>
    <row r="110" spans="1:55" ht="15" customHeight="1">
      <c r="A110" s="86">
        <f t="shared" si="19"/>
        <v>108</v>
      </c>
      <c r="B110" s="75" t="s">
        <v>1009</v>
      </c>
      <c r="C110" s="9"/>
      <c r="D110" s="76" t="s">
        <v>248</v>
      </c>
      <c r="E110" s="88" t="str">
        <f>_xlfn.IFNA(VLOOKUP($D110,'Route-Details'!$B$2:$X$1048576,'Node Details'!E$1,0),"")</f>
        <v>Airtel</v>
      </c>
      <c r="F110" s="88" t="str">
        <f>_xlfn.IFNA(VLOOKUP($D110,'Route-Details'!$B$2:$X$1048576,'Node Details'!F$1,0),"")</f>
        <v>DARIA</v>
      </c>
      <c r="G110" s="88" t="str">
        <f>_xlfn.IFNA(VLOOKUP($D110,'Route-Details'!$B$2:$X$1048576,'Node Details'!G$1,0),"")</f>
        <v>Chandigarh</v>
      </c>
      <c r="H110" s="88" t="str">
        <f>_xlfn.IFNA(VLOOKUP($D111,'Route-Details'!$B$2:$X$1048576,'Node Details'!H$1,0),"")</f>
        <v>Punjab</v>
      </c>
      <c r="I110" s="88" t="str">
        <f>_xlfn.IFNA(VLOOKUP($D110,'Route-Details'!$B$2:$X$1048576,'Node Details'!I$1,0),"")</f>
        <v>AXY</v>
      </c>
      <c r="J110" s="88" t="str">
        <f>_xlfn.IFNA(VLOOKUP($D110,'Route-Details'!$B$2:$X$1048576,'Node Details'!J$1,0),"")</f>
        <v>AXY</v>
      </c>
      <c r="K110" s="76">
        <v>46112</v>
      </c>
      <c r="L110" s="76">
        <v>46113</v>
      </c>
      <c r="M110" s="89">
        <v>46125</v>
      </c>
      <c r="N110" s="76">
        <v>46112</v>
      </c>
      <c r="Q110" s="86" t="s">
        <v>958</v>
      </c>
      <c r="R110" s="90"/>
      <c r="S110" s="87"/>
      <c r="T110" s="87"/>
      <c r="U110" s="87"/>
      <c r="V110" s="93"/>
      <c r="W110" s="91"/>
      <c r="X110" s="87"/>
      <c r="Y110" s="92"/>
      <c r="Z110" s="90"/>
      <c r="AA110" s="93"/>
      <c r="AB110" s="87"/>
      <c r="AC110" s="91"/>
      <c r="AD110" s="90"/>
      <c r="AE110" s="86"/>
      <c r="AF110" s="82"/>
      <c r="AG110" s="24"/>
      <c r="AH110" s="93"/>
      <c r="AI110" s="87"/>
      <c r="AJ110" s="86"/>
      <c r="AK110" s="81"/>
      <c r="AL110" s="24"/>
      <c r="AM110" s="24"/>
      <c r="AN110" s="81"/>
      <c r="AO110" s="81"/>
      <c r="AP110" s="24"/>
      <c r="AQ110" s="93"/>
      <c r="AR110" s="94"/>
      <c r="AS110" s="82"/>
      <c r="AT110" s="82"/>
      <c r="AU110" s="24"/>
      <c r="AV110" s="93"/>
      <c r="AW110" s="94"/>
      <c r="AX110" s="95"/>
      <c r="AY110" s="95"/>
      <c r="AZ110" s="95"/>
      <c r="BA110" s="24"/>
      <c r="BB110" s="9" t="s">
        <v>251</v>
      </c>
      <c r="BC110" s="96" t="s">
        <v>93</v>
      </c>
    </row>
    <row r="111" spans="1:55" ht="15" customHeight="1">
      <c r="A111" s="86">
        <f t="shared" si="19"/>
        <v>109</v>
      </c>
      <c r="B111" s="75" t="s">
        <v>1010</v>
      </c>
      <c r="C111" s="9"/>
      <c r="D111" s="76" t="s">
        <v>248</v>
      </c>
      <c r="E111" s="88" t="str">
        <f>_xlfn.IFNA(VLOOKUP($D111,'Route-Details'!$B$2:$X$1048576,'Node Details'!E$1,0),"")</f>
        <v>Airtel</v>
      </c>
      <c r="F111" s="88" t="str">
        <f>_xlfn.IFNA(VLOOKUP($D111,'Route-Details'!$B$2:$X$1048576,'Node Details'!F$1,0),"")</f>
        <v>DARIA</v>
      </c>
      <c r="G111" s="88" t="str">
        <f>_xlfn.IFNA(VLOOKUP($D111,'Route-Details'!$B$2:$X$1048576,'Node Details'!G$1,0),"")</f>
        <v>Chandigarh</v>
      </c>
      <c r="H111" s="88" t="str">
        <f>_xlfn.IFNA(VLOOKUP($D112,'Route-Details'!$B$2:$X$1048576,'Node Details'!H$1,0),"")</f>
        <v>Punjab</v>
      </c>
      <c r="I111" s="88" t="str">
        <f>_xlfn.IFNA(VLOOKUP($D111,'Route-Details'!$B$2:$X$1048576,'Node Details'!I$1,0),"")</f>
        <v>AXY</v>
      </c>
      <c r="J111" s="88" t="str">
        <f>_xlfn.IFNA(VLOOKUP($D111,'Route-Details'!$B$2:$X$1048576,'Node Details'!J$1,0),"")</f>
        <v>AXY</v>
      </c>
      <c r="K111" s="76">
        <v>46112</v>
      </c>
      <c r="L111" s="76">
        <v>46113</v>
      </c>
      <c r="M111" s="89">
        <v>46125</v>
      </c>
      <c r="N111" s="76">
        <v>46112</v>
      </c>
      <c r="Q111" s="86" t="s">
        <v>958</v>
      </c>
      <c r="R111" s="90"/>
      <c r="S111" s="87"/>
      <c r="T111" s="87"/>
      <c r="U111" s="87"/>
      <c r="V111" s="93"/>
      <c r="W111" s="91"/>
      <c r="X111" s="87"/>
      <c r="Y111" s="92"/>
      <c r="Z111" s="90"/>
      <c r="AA111" s="93"/>
      <c r="AB111" s="87"/>
      <c r="AC111" s="91"/>
      <c r="AD111" s="90"/>
      <c r="AE111" s="86"/>
      <c r="AF111" s="82"/>
      <c r="AG111" s="24"/>
      <c r="AH111" s="93"/>
      <c r="AI111" s="87"/>
      <c r="AJ111" s="86"/>
      <c r="AK111" s="81"/>
      <c r="AL111" s="24"/>
      <c r="AM111" s="24"/>
      <c r="AN111" s="81"/>
      <c r="AO111" s="81"/>
      <c r="AP111" s="24"/>
      <c r="AQ111" s="93"/>
      <c r="AR111" s="94"/>
      <c r="AS111" s="82"/>
      <c r="AT111" s="82"/>
      <c r="AU111" s="24"/>
      <c r="AV111" s="93"/>
      <c r="AW111" s="94"/>
      <c r="AX111" s="95"/>
      <c r="AY111" s="95"/>
      <c r="AZ111" s="95"/>
      <c r="BA111" s="24"/>
      <c r="BB111" s="9" t="s">
        <v>251</v>
      </c>
      <c r="BC111" s="96" t="s">
        <v>93</v>
      </c>
    </row>
    <row r="112" spans="1:55" ht="15" customHeight="1">
      <c r="A112" s="86">
        <f t="shared" si="19"/>
        <v>110</v>
      </c>
      <c r="B112" s="75" t="s">
        <v>1011</v>
      </c>
      <c r="C112" s="9"/>
      <c r="D112" s="76" t="s">
        <v>248</v>
      </c>
      <c r="E112" s="88" t="str">
        <f>_xlfn.IFNA(VLOOKUP($D112,'Route-Details'!$B$2:$X$1048576,'Node Details'!E$1,0),"")</f>
        <v>Airtel</v>
      </c>
      <c r="F112" s="88" t="str">
        <f>_xlfn.IFNA(VLOOKUP($D112,'Route-Details'!$B$2:$X$1048576,'Node Details'!F$1,0),"")</f>
        <v>DARIA</v>
      </c>
      <c r="G112" s="88" t="str">
        <f>_xlfn.IFNA(VLOOKUP($D112,'Route-Details'!$B$2:$X$1048576,'Node Details'!G$1,0),"")</f>
        <v>Chandigarh</v>
      </c>
      <c r="H112" s="88" t="str">
        <f>_xlfn.IFNA(VLOOKUP($D113,'Route-Details'!$B$2:$X$1048576,'Node Details'!H$1,0),"")</f>
        <v>Punjab</v>
      </c>
      <c r="I112" s="88" t="str">
        <f>_xlfn.IFNA(VLOOKUP($D112,'Route-Details'!$B$2:$X$1048576,'Node Details'!I$1,0),"")</f>
        <v>AXY</v>
      </c>
      <c r="J112" s="88" t="str">
        <f>_xlfn.IFNA(VLOOKUP($D112,'Route-Details'!$B$2:$X$1048576,'Node Details'!J$1,0),"")</f>
        <v>AXY</v>
      </c>
      <c r="K112" s="76">
        <v>46112</v>
      </c>
      <c r="L112" s="76">
        <v>46113</v>
      </c>
      <c r="M112" s="89">
        <v>46125</v>
      </c>
      <c r="N112" s="76">
        <v>46112</v>
      </c>
      <c r="Q112" s="86" t="s">
        <v>958</v>
      </c>
      <c r="R112" s="90"/>
      <c r="S112" s="87"/>
      <c r="T112" s="87"/>
      <c r="U112" s="87"/>
      <c r="V112" s="93"/>
      <c r="W112" s="91"/>
      <c r="X112" s="87"/>
      <c r="Y112" s="92"/>
      <c r="Z112" s="90"/>
      <c r="AA112" s="93"/>
      <c r="AB112" s="87"/>
      <c r="AC112" s="91"/>
      <c r="AD112" s="90"/>
      <c r="AE112" s="86"/>
      <c r="AF112" s="82"/>
      <c r="AG112" s="24"/>
      <c r="AH112" s="93"/>
      <c r="AI112" s="87"/>
      <c r="AJ112" s="86"/>
      <c r="AK112" s="81"/>
      <c r="AL112" s="24"/>
      <c r="AM112" s="24"/>
      <c r="AN112" s="81"/>
      <c r="AO112" s="81"/>
      <c r="AP112" s="24"/>
      <c r="AQ112" s="93"/>
      <c r="AR112" s="94"/>
      <c r="AS112" s="82"/>
      <c r="AT112" s="82"/>
      <c r="AU112" s="24"/>
      <c r="AV112" s="93"/>
      <c r="AW112" s="94"/>
      <c r="AX112" s="95"/>
      <c r="AY112" s="95"/>
      <c r="AZ112" s="95"/>
      <c r="BA112" s="24"/>
      <c r="BB112" s="9" t="s">
        <v>251</v>
      </c>
      <c r="BC112" s="96" t="s">
        <v>93</v>
      </c>
    </row>
    <row r="113" spans="1:55" ht="15" customHeight="1">
      <c r="A113" s="86">
        <f t="shared" si="19"/>
        <v>111</v>
      </c>
      <c r="B113" s="75" t="s">
        <v>250</v>
      </c>
      <c r="C113" s="9"/>
      <c r="D113" s="76" t="s">
        <v>248</v>
      </c>
      <c r="E113" s="88" t="str">
        <f>_xlfn.IFNA(VLOOKUP($D113,'Route-Details'!$B$2:$X$1048576,'Node Details'!E$1,0),"")</f>
        <v>Airtel</v>
      </c>
      <c r="F113" s="88" t="str">
        <f>_xlfn.IFNA(VLOOKUP($D113,'Route-Details'!$B$2:$X$1048576,'Node Details'!F$1,0),"")</f>
        <v>DARIA</v>
      </c>
      <c r="G113" s="88" t="str">
        <f>_xlfn.IFNA(VLOOKUP($D113,'Route-Details'!$B$2:$X$1048576,'Node Details'!G$1,0),"")</f>
        <v>Chandigarh</v>
      </c>
      <c r="H113" s="88" t="str">
        <f>_xlfn.IFNA(VLOOKUP($D114,'Route-Details'!$B$2:$X$1048576,'Node Details'!H$1,0),"")</f>
        <v>Punjab</v>
      </c>
      <c r="I113" s="88" t="str">
        <f>_xlfn.IFNA(VLOOKUP($D113,'Route-Details'!$B$2:$X$1048576,'Node Details'!I$1,0),"")</f>
        <v>AXY</v>
      </c>
      <c r="J113" s="88" t="str">
        <f>_xlfn.IFNA(VLOOKUP($D113,'Route-Details'!$B$2:$X$1048576,'Node Details'!J$1,0),"")</f>
        <v>AXY</v>
      </c>
      <c r="K113" s="76">
        <v>46112</v>
      </c>
      <c r="L113" s="76">
        <v>46113</v>
      </c>
      <c r="M113" s="89">
        <v>46125</v>
      </c>
      <c r="N113" s="76">
        <v>46112</v>
      </c>
      <c r="Q113" s="86" t="s">
        <v>958</v>
      </c>
      <c r="R113" s="90"/>
      <c r="S113" s="87"/>
      <c r="T113" s="87"/>
      <c r="U113" s="87"/>
      <c r="V113" s="93"/>
      <c r="W113" s="91"/>
      <c r="X113" s="87"/>
      <c r="Y113" s="92"/>
      <c r="Z113" s="90"/>
      <c r="AA113" s="93"/>
      <c r="AB113" s="87"/>
      <c r="AC113" s="91"/>
      <c r="AD113" s="90"/>
      <c r="AE113" s="86"/>
      <c r="AF113" s="82"/>
      <c r="AG113" s="24"/>
      <c r="AH113" s="93"/>
      <c r="AI113" s="87"/>
      <c r="AJ113" s="86"/>
      <c r="AK113" s="81"/>
      <c r="AL113" s="24"/>
      <c r="AM113" s="24"/>
      <c r="AN113" s="81"/>
      <c r="AO113" s="81"/>
      <c r="AP113" s="24"/>
      <c r="AQ113" s="93"/>
      <c r="AR113" s="94"/>
      <c r="AS113" s="82"/>
      <c r="AT113" s="82"/>
      <c r="AU113" s="24"/>
      <c r="AV113" s="93"/>
      <c r="AW113" s="94"/>
      <c r="AX113" s="95"/>
      <c r="AY113" s="95"/>
      <c r="AZ113" s="95"/>
      <c r="BA113" s="24"/>
      <c r="BB113" s="9" t="s">
        <v>251</v>
      </c>
      <c r="BC113" s="96" t="s">
        <v>93</v>
      </c>
    </row>
    <row r="114" spans="1:55" ht="15" customHeight="1">
      <c r="A114" s="86">
        <f t="shared" si="19"/>
        <v>112</v>
      </c>
      <c r="B114" s="75" t="s">
        <v>1012</v>
      </c>
      <c r="C114" s="9"/>
      <c r="D114" s="76" t="s">
        <v>259</v>
      </c>
      <c r="E114" s="88" t="str">
        <f>_xlfn.IFNA(VLOOKUP($D114,'Route-Details'!$B$2:$X$1048576,'Node Details'!E$1,0),"")</f>
        <v>Airtel</v>
      </c>
      <c r="F114" s="88" t="str">
        <f>_xlfn.IFNA(VLOOKUP($D114,'Route-Details'!$B$2:$X$1048576,'Node Details'!F$1,0),"")</f>
        <v>DARIA</v>
      </c>
      <c r="G114" s="88" t="str">
        <f>_xlfn.IFNA(VLOOKUP($D114,'Route-Details'!$B$2:$X$1048576,'Node Details'!G$1,0),"")</f>
        <v>Chandigarh</v>
      </c>
      <c r="H114" s="88" t="str">
        <f>_xlfn.IFNA(VLOOKUP($D115,'Route-Details'!$B$2:$X$1048576,'Node Details'!H$1,0),"")</f>
        <v>Punjab</v>
      </c>
      <c r="I114" s="88" t="str">
        <f>_xlfn.IFNA(VLOOKUP($D114,'Route-Details'!$B$2:$X$1048576,'Node Details'!I$1,0),"")</f>
        <v>AXY</v>
      </c>
      <c r="J114" s="88" t="str">
        <f>_xlfn.IFNA(VLOOKUP($D114,'Route-Details'!$B$2:$X$1048576,'Node Details'!J$1,0),"")</f>
        <v>AXY</v>
      </c>
      <c r="K114" s="76">
        <v>46112</v>
      </c>
      <c r="L114" s="76">
        <v>46113</v>
      </c>
      <c r="M114" s="89">
        <v>46125</v>
      </c>
      <c r="N114" s="76">
        <v>46112</v>
      </c>
      <c r="Q114" s="86" t="s">
        <v>958</v>
      </c>
      <c r="R114" s="90"/>
      <c r="S114" s="87"/>
      <c r="T114" s="87"/>
      <c r="U114" s="87"/>
      <c r="V114" s="93"/>
      <c r="W114" s="91"/>
      <c r="X114" s="87"/>
      <c r="Y114" s="92"/>
      <c r="Z114" s="90"/>
      <c r="AA114" s="93"/>
      <c r="AB114" s="87"/>
      <c r="AC114" s="91"/>
      <c r="AD114" s="90"/>
      <c r="AE114" s="86"/>
      <c r="AF114" s="82"/>
      <c r="AG114" s="24"/>
      <c r="AH114" s="93"/>
      <c r="AI114" s="87"/>
      <c r="AJ114" s="86"/>
      <c r="AK114" s="81"/>
      <c r="AL114" s="24"/>
      <c r="AM114" s="24"/>
      <c r="AN114" s="81"/>
      <c r="AO114" s="81"/>
      <c r="AP114" s="24"/>
      <c r="AQ114" s="93"/>
      <c r="AR114" s="94"/>
      <c r="AS114" s="82"/>
      <c r="AT114" s="82"/>
      <c r="AU114" s="24"/>
      <c r="AV114" s="93"/>
      <c r="AW114" s="94"/>
      <c r="AX114" s="95"/>
      <c r="AY114" s="95"/>
      <c r="AZ114" s="95"/>
      <c r="BA114" s="24"/>
      <c r="BB114" s="9" t="s">
        <v>262</v>
      </c>
      <c r="BC114" s="96" t="s">
        <v>93</v>
      </c>
    </row>
    <row r="115" spans="1:55" ht="15" customHeight="1">
      <c r="A115" s="86">
        <f t="shared" si="19"/>
        <v>113</v>
      </c>
      <c r="B115" s="75" t="s">
        <v>1013</v>
      </c>
      <c r="C115" s="9"/>
      <c r="D115" s="76" t="s">
        <v>259</v>
      </c>
      <c r="E115" s="88" t="str">
        <f>_xlfn.IFNA(VLOOKUP($D115,'Route-Details'!$B$2:$X$1048576,'Node Details'!E$1,0),"")</f>
        <v>Airtel</v>
      </c>
      <c r="F115" s="88" t="str">
        <f>_xlfn.IFNA(VLOOKUP($D115,'Route-Details'!$B$2:$X$1048576,'Node Details'!F$1,0),"")</f>
        <v>DARIA</v>
      </c>
      <c r="G115" s="88" t="str">
        <f>_xlfn.IFNA(VLOOKUP($D115,'Route-Details'!$B$2:$X$1048576,'Node Details'!G$1,0),"")</f>
        <v>Chandigarh</v>
      </c>
      <c r="H115" s="88" t="str">
        <f>_xlfn.IFNA(VLOOKUP($D116,'Route-Details'!$B$2:$X$1048576,'Node Details'!H$1,0),"")</f>
        <v>Punjab</v>
      </c>
      <c r="I115" s="88" t="str">
        <f>_xlfn.IFNA(VLOOKUP($D115,'Route-Details'!$B$2:$X$1048576,'Node Details'!I$1,0),"")</f>
        <v>AXY</v>
      </c>
      <c r="J115" s="88" t="str">
        <f>_xlfn.IFNA(VLOOKUP($D115,'Route-Details'!$B$2:$X$1048576,'Node Details'!J$1,0),"")</f>
        <v>AXY</v>
      </c>
      <c r="K115" s="76">
        <v>46112</v>
      </c>
      <c r="L115" s="76">
        <v>46113</v>
      </c>
      <c r="M115" s="89">
        <v>46125</v>
      </c>
      <c r="N115" s="76">
        <v>46112</v>
      </c>
      <c r="Q115" s="86" t="s">
        <v>958</v>
      </c>
      <c r="R115" s="90"/>
      <c r="S115" s="87"/>
      <c r="T115" s="87"/>
      <c r="U115" s="87"/>
      <c r="V115" s="93"/>
      <c r="W115" s="91"/>
      <c r="X115" s="87"/>
      <c r="Y115" s="92"/>
      <c r="Z115" s="90"/>
      <c r="AA115" s="93"/>
      <c r="AB115" s="87"/>
      <c r="AC115" s="91"/>
      <c r="AD115" s="90"/>
      <c r="AE115" s="86"/>
      <c r="AF115" s="82"/>
      <c r="AG115" s="24"/>
      <c r="AH115" s="93"/>
      <c r="AI115" s="87"/>
      <c r="AJ115" s="86"/>
      <c r="AK115" s="81"/>
      <c r="AL115" s="24"/>
      <c r="AM115" s="24"/>
      <c r="AN115" s="81"/>
      <c r="AO115" s="81"/>
      <c r="AP115" s="24"/>
      <c r="AQ115" s="93"/>
      <c r="AR115" s="94"/>
      <c r="AS115" s="82"/>
      <c r="AT115" s="82"/>
      <c r="AU115" s="24"/>
      <c r="AV115" s="93"/>
      <c r="AW115" s="94"/>
      <c r="AX115" s="95"/>
      <c r="AY115" s="95"/>
      <c r="AZ115" s="95"/>
      <c r="BA115" s="24"/>
      <c r="BB115" s="9" t="s">
        <v>262</v>
      </c>
      <c r="BC115" s="96" t="s">
        <v>93</v>
      </c>
    </row>
    <row r="116" spans="1:55" ht="15" customHeight="1">
      <c r="A116" s="86">
        <f t="shared" si="19"/>
        <v>114</v>
      </c>
      <c r="B116" s="75" t="s">
        <v>261</v>
      </c>
      <c r="C116" s="9"/>
      <c r="D116" s="76" t="s">
        <v>259</v>
      </c>
      <c r="E116" s="88" t="str">
        <f>_xlfn.IFNA(VLOOKUP($D116,'Route-Details'!$B$2:$X$1048576,'Node Details'!E$1,0),"")</f>
        <v>Airtel</v>
      </c>
      <c r="F116" s="88" t="str">
        <f>_xlfn.IFNA(VLOOKUP($D116,'Route-Details'!$B$2:$X$1048576,'Node Details'!F$1,0),"")</f>
        <v>DARIA</v>
      </c>
      <c r="G116" s="88" t="str">
        <f>_xlfn.IFNA(VLOOKUP($D116,'Route-Details'!$B$2:$X$1048576,'Node Details'!G$1,0),"")</f>
        <v>Chandigarh</v>
      </c>
      <c r="H116" s="88" t="str">
        <f>_xlfn.IFNA(VLOOKUP($D117,'Route-Details'!$B$2:$X$1048576,'Node Details'!H$1,0),"")</f>
        <v>Punjab</v>
      </c>
      <c r="I116" s="88" t="str">
        <f>_xlfn.IFNA(VLOOKUP($D116,'Route-Details'!$B$2:$X$1048576,'Node Details'!I$1,0),"")</f>
        <v>AXY</v>
      </c>
      <c r="J116" s="88" t="str">
        <f>_xlfn.IFNA(VLOOKUP($D116,'Route-Details'!$B$2:$X$1048576,'Node Details'!J$1,0),"")</f>
        <v>AXY</v>
      </c>
      <c r="K116" s="76">
        <v>46112</v>
      </c>
      <c r="L116" s="76">
        <v>46113</v>
      </c>
      <c r="M116" s="89">
        <v>46125</v>
      </c>
      <c r="N116" s="76">
        <v>46112</v>
      </c>
      <c r="Q116" s="86" t="s">
        <v>958</v>
      </c>
      <c r="R116" s="90"/>
      <c r="S116" s="87"/>
      <c r="T116" s="87"/>
      <c r="U116" s="87"/>
      <c r="V116" s="93"/>
      <c r="W116" s="91"/>
      <c r="X116" s="87"/>
      <c r="Y116" s="92"/>
      <c r="Z116" s="90"/>
      <c r="AA116" s="93"/>
      <c r="AB116" s="87"/>
      <c r="AC116" s="91"/>
      <c r="AD116" s="90"/>
      <c r="AE116" s="86"/>
      <c r="AF116" s="82"/>
      <c r="AG116" s="24"/>
      <c r="AH116" s="93"/>
      <c r="AI116" s="87"/>
      <c r="AJ116" s="86"/>
      <c r="AK116" s="81"/>
      <c r="AL116" s="24"/>
      <c r="AM116" s="24"/>
      <c r="AN116" s="81"/>
      <c r="AO116" s="81"/>
      <c r="AP116" s="24"/>
      <c r="AQ116" s="93"/>
      <c r="AR116" s="94"/>
      <c r="AS116" s="82"/>
      <c r="AT116" s="82"/>
      <c r="AU116" s="24"/>
      <c r="AV116" s="93"/>
      <c r="AW116" s="94"/>
      <c r="AX116" s="95"/>
      <c r="AY116" s="95"/>
      <c r="AZ116" s="95"/>
      <c r="BA116" s="24"/>
      <c r="BB116" s="9" t="s">
        <v>262</v>
      </c>
      <c r="BC116" s="96" t="s">
        <v>93</v>
      </c>
    </row>
    <row r="117" spans="1:55" ht="15" customHeight="1">
      <c r="A117" s="86">
        <f t="shared" si="19"/>
        <v>115</v>
      </c>
      <c r="B117" s="75" t="s">
        <v>1014</v>
      </c>
      <c r="C117" s="9"/>
      <c r="D117" s="76" t="s">
        <v>139</v>
      </c>
      <c r="E117" s="88" t="str">
        <f>_xlfn.IFNA(VLOOKUP($D117,'Route-Details'!$B$2:$X$1048576,'Node Details'!E$1,0),"")</f>
        <v>Airtel</v>
      </c>
      <c r="F117" s="88" t="str">
        <f>_xlfn.IFNA(VLOOKUP($D117,'Route-Details'!$B$2:$X$1048576,'Node Details'!F$1,0),"")</f>
        <v>DARIA</v>
      </c>
      <c r="G117" s="88" t="str">
        <f>_xlfn.IFNA(VLOOKUP($D117,'Route-Details'!$B$2:$X$1048576,'Node Details'!G$1,0),"")</f>
        <v>Chandigarh</v>
      </c>
      <c r="H117" s="88" t="str">
        <f>_xlfn.IFNA(VLOOKUP($D118,'Route-Details'!$B$2:$X$1048576,'Node Details'!H$1,0),"")</f>
        <v>Punjab</v>
      </c>
      <c r="I117" s="88" t="str">
        <f>_xlfn.IFNA(VLOOKUP($D117,'Route-Details'!$B$2:$X$1048576,'Node Details'!I$1,0),"")</f>
        <v>AXY</v>
      </c>
      <c r="J117" s="88" t="str">
        <f>_xlfn.IFNA(VLOOKUP($D117,'Route-Details'!$B$2:$X$1048576,'Node Details'!J$1,0),"")</f>
        <v>AXY</v>
      </c>
      <c r="K117" s="76">
        <v>46112</v>
      </c>
      <c r="L117" s="76">
        <v>46113</v>
      </c>
      <c r="M117" s="89">
        <v>46125</v>
      </c>
      <c r="N117" s="76">
        <v>46112</v>
      </c>
      <c r="Q117" s="86" t="s">
        <v>958</v>
      </c>
      <c r="R117" s="90"/>
      <c r="S117" s="87"/>
      <c r="T117" s="87"/>
      <c r="U117" s="87"/>
      <c r="V117" s="93"/>
      <c r="W117" s="91"/>
      <c r="X117" s="87"/>
      <c r="Y117" s="92"/>
      <c r="Z117" s="90"/>
      <c r="AA117" s="93"/>
      <c r="AB117" s="87"/>
      <c r="AC117" s="91"/>
      <c r="AD117" s="90"/>
      <c r="AE117" s="86"/>
      <c r="AF117" s="82"/>
      <c r="AG117" s="24"/>
      <c r="AH117" s="93"/>
      <c r="AI117" s="87"/>
      <c r="AJ117" s="86"/>
      <c r="AK117" s="81"/>
      <c r="AL117" s="24"/>
      <c r="AM117" s="24"/>
      <c r="AN117" s="81"/>
      <c r="AO117" s="81"/>
      <c r="AP117" s="24"/>
      <c r="AQ117" s="93"/>
      <c r="AR117" s="94"/>
      <c r="AS117" s="82"/>
      <c r="AT117" s="82"/>
      <c r="AU117" s="24"/>
      <c r="AV117" s="93"/>
      <c r="AW117" s="94"/>
      <c r="AX117" s="95"/>
      <c r="AY117" s="95"/>
      <c r="AZ117" s="95"/>
      <c r="BA117" s="24"/>
      <c r="BB117" s="9" t="s">
        <v>92</v>
      </c>
      <c r="BC117" s="96" t="s">
        <v>93</v>
      </c>
    </row>
    <row r="118" spans="1:55" ht="15" customHeight="1">
      <c r="A118" s="86">
        <f t="shared" si="19"/>
        <v>116</v>
      </c>
      <c r="B118" s="75" t="s">
        <v>1015</v>
      </c>
      <c r="C118" s="9"/>
      <c r="D118" s="76" t="s">
        <v>263</v>
      </c>
      <c r="E118" s="88" t="str">
        <f>_xlfn.IFNA(VLOOKUP($D118,'Route-Details'!$B$2:$X$1048576,'Node Details'!E$1,0),"")</f>
        <v>Airtel</v>
      </c>
      <c r="F118" s="88" t="str">
        <f>_xlfn.IFNA(VLOOKUP($D118,'Route-Details'!$B$2:$X$1048576,'Node Details'!F$1,0),"")</f>
        <v>DARIA</v>
      </c>
      <c r="G118" s="88" t="str">
        <f>_xlfn.IFNA(VLOOKUP($D118,'Route-Details'!$B$2:$X$1048576,'Node Details'!G$1,0),"")</f>
        <v>Chandigarh</v>
      </c>
      <c r="H118" s="88" t="str">
        <f>_xlfn.IFNA(VLOOKUP($D119,'Route-Details'!$B$2:$X$1048576,'Node Details'!H$1,0),"")</f>
        <v>Punjab</v>
      </c>
      <c r="I118" s="88" t="str">
        <f>_xlfn.IFNA(VLOOKUP($D118,'Route-Details'!$B$2:$X$1048576,'Node Details'!I$1,0),"")</f>
        <v>AXY</v>
      </c>
      <c r="J118" s="88" t="str">
        <f>_xlfn.IFNA(VLOOKUP($D118,'Route-Details'!$B$2:$X$1048576,'Node Details'!J$1,0),"")</f>
        <v>AXY</v>
      </c>
      <c r="K118" s="76">
        <v>46112</v>
      </c>
      <c r="L118" s="76">
        <v>46113</v>
      </c>
      <c r="M118" s="89">
        <v>46125</v>
      </c>
      <c r="N118" s="76">
        <v>46112</v>
      </c>
      <c r="Q118" s="86" t="s">
        <v>958</v>
      </c>
      <c r="R118" s="90"/>
      <c r="S118" s="87"/>
      <c r="T118" s="87"/>
      <c r="U118" s="87"/>
      <c r="V118" s="93"/>
      <c r="W118" s="91"/>
      <c r="X118" s="87"/>
      <c r="Y118" s="92"/>
      <c r="Z118" s="90"/>
      <c r="AA118" s="93"/>
      <c r="AB118" s="87"/>
      <c r="AC118" s="91"/>
      <c r="AD118" s="90"/>
      <c r="AE118" s="86"/>
      <c r="AF118" s="82"/>
      <c r="AG118" s="24"/>
      <c r="AH118" s="93"/>
      <c r="AI118" s="87"/>
      <c r="AJ118" s="86"/>
      <c r="AK118" s="81"/>
      <c r="AL118" s="24"/>
      <c r="AM118" s="24"/>
      <c r="AN118" s="81"/>
      <c r="AO118" s="81"/>
      <c r="AP118" s="24"/>
      <c r="AQ118" s="93"/>
      <c r="AR118" s="94"/>
      <c r="AS118" s="82"/>
      <c r="AT118" s="82"/>
      <c r="AU118" s="24"/>
      <c r="AV118" s="93"/>
      <c r="AW118" s="94"/>
      <c r="AX118" s="95"/>
      <c r="AY118" s="95"/>
      <c r="AZ118" s="95"/>
      <c r="BA118" s="24"/>
      <c r="BB118" s="9" t="s">
        <v>266</v>
      </c>
      <c r="BC118" s="96" t="s">
        <v>93</v>
      </c>
    </row>
    <row r="119" spans="1:55" ht="15" customHeight="1">
      <c r="A119" s="86">
        <f t="shared" si="19"/>
        <v>117</v>
      </c>
      <c r="B119" s="75" t="s">
        <v>1016</v>
      </c>
      <c r="C119" s="9"/>
      <c r="D119" s="76" t="s">
        <v>263</v>
      </c>
      <c r="E119" s="88" t="str">
        <f>_xlfn.IFNA(VLOOKUP($D119,'Route-Details'!$B$2:$X$1048576,'Node Details'!E$1,0),"")</f>
        <v>Airtel</v>
      </c>
      <c r="F119" s="88" t="str">
        <f>_xlfn.IFNA(VLOOKUP($D119,'Route-Details'!$B$2:$X$1048576,'Node Details'!F$1,0),"")</f>
        <v>DARIA</v>
      </c>
      <c r="G119" s="88" t="str">
        <f>_xlfn.IFNA(VLOOKUP($D119,'Route-Details'!$B$2:$X$1048576,'Node Details'!G$1,0),"")</f>
        <v>Chandigarh</v>
      </c>
      <c r="H119" s="88" t="str">
        <f>_xlfn.IFNA(VLOOKUP($D120,'Route-Details'!$B$2:$X$1048576,'Node Details'!H$1,0),"")</f>
        <v>Punjab</v>
      </c>
      <c r="I119" s="88" t="str">
        <f>_xlfn.IFNA(VLOOKUP($D119,'Route-Details'!$B$2:$X$1048576,'Node Details'!I$1,0),"")</f>
        <v>AXY</v>
      </c>
      <c r="J119" s="88" t="str">
        <f>_xlfn.IFNA(VLOOKUP($D119,'Route-Details'!$B$2:$X$1048576,'Node Details'!J$1,0),"")</f>
        <v>AXY</v>
      </c>
      <c r="K119" s="76">
        <v>46112</v>
      </c>
      <c r="L119" s="76">
        <v>46113</v>
      </c>
      <c r="M119" s="89">
        <v>46125</v>
      </c>
      <c r="N119" s="76">
        <v>46112</v>
      </c>
      <c r="Q119" s="86" t="s">
        <v>958</v>
      </c>
      <c r="R119" s="90"/>
      <c r="S119" s="87"/>
      <c r="T119" s="87"/>
      <c r="U119" s="87"/>
      <c r="V119" s="93"/>
      <c r="W119" s="91"/>
      <c r="X119" s="87"/>
      <c r="Y119" s="92"/>
      <c r="Z119" s="90"/>
      <c r="AA119" s="93"/>
      <c r="AB119" s="87"/>
      <c r="AC119" s="91"/>
      <c r="AD119" s="90"/>
      <c r="AE119" s="86"/>
      <c r="AF119" s="82"/>
      <c r="AG119" s="24"/>
      <c r="AH119" s="93"/>
      <c r="AI119" s="87"/>
      <c r="AJ119" s="86"/>
      <c r="AK119" s="81"/>
      <c r="AL119" s="24"/>
      <c r="AM119" s="24"/>
      <c r="AN119" s="81"/>
      <c r="AO119" s="81"/>
      <c r="AP119" s="24"/>
      <c r="AQ119" s="93"/>
      <c r="AR119" s="94"/>
      <c r="AS119" s="82"/>
      <c r="AT119" s="82"/>
      <c r="AU119" s="24"/>
      <c r="AV119" s="93"/>
      <c r="AW119" s="94"/>
      <c r="AX119" s="95"/>
      <c r="AY119" s="95"/>
      <c r="AZ119" s="95"/>
      <c r="BA119" s="24"/>
      <c r="BB119" s="9" t="s">
        <v>266</v>
      </c>
      <c r="BC119" s="96" t="s">
        <v>93</v>
      </c>
    </row>
    <row r="120" spans="1:55" ht="15" customHeight="1">
      <c r="A120" s="86">
        <f t="shared" si="19"/>
        <v>118</v>
      </c>
      <c r="B120" s="75" t="s">
        <v>265</v>
      </c>
      <c r="C120" s="9"/>
      <c r="D120" s="76" t="s">
        <v>263</v>
      </c>
      <c r="E120" s="88" t="str">
        <f>_xlfn.IFNA(VLOOKUP($D120,'Route-Details'!$B$2:$X$1048576,'Node Details'!E$1,0),"")</f>
        <v>Airtel</v>
      </c>
      <c r="F120" s="88" t="str">
        <f>_xlfn.IFNA(VLOOKUP($D120,'Route-Details'!$B$2:$X$1048576,'Node Details'!F$1,0),"")</f>
        <v>DARIA</v>
      </c>
      <c r="G120" s="88" t="str">
        <f>_xlfn.IFNA(VLOOKUP($D120,'Route-Details'!$B$2:$X$1048576,'Node Details'!G$1,0),"")</f>
        <v>Chandigarh</v>
      </c>
      <c r="H120" s="88" t="str">
        <f>_xlfn.IFNA(VLOOKUP($D121,'Route-Details'!$B$2:$X$1048576,'Node Details'!H$1,0),"")</f>
        <v>Punjab</v>
      </c>
      <c r="I120" s="88" t="str">
        <f>_xlfn.IFNA(VLOOKUP($D120,'Route-Details'!$B$2:$X$1048576,'Node Details'!I$1,0),"")</f>
        <v>AXY</v>
      </c>
      <c r="J120" s="88" t="str">
        <f>_xlfn.IFNA(VLOOKUP($D120,'Route-Details'!$B$2:$X$1048576,'Node Details'!J$1,0),"")</f>
        <v>AXY</v>
      </c>
      <c r="K120" s="76">
        <v>46112</v>
      </c>
      <c r="L120" s="76">
        <v>46113</v>
      </c>
      <c r="M120" s="89">
        <v>46125</v>
      </c>
      <c r="N120" s="76">
        <v>46112</v>
      </c>
      <c r="Q120" s="86" t="s">
        <v>958</v>
      </c>
      <c r="R120" s="90"/>
      <c r="S120" s="87"/>
      <c r="T120" s="87"/>
      <c r="U120" s="87"/>
      <c r="V120" s="93"/>
      <c r="W120" s="91"/>
      <c r="X120" s="87"/>
      <c r="Y120" s="92"/>
      <c r="Z120" s="90"/>
      <c r="AA120" s="93"/>
      <c r="AB120" s="87"/>
      <c r="AC120" s="91"/>
      <c r="AD120" s="90"/>
      <c r="AE120" s="86"/>
      <c r="AF120" s="82"/>
      <c r="AG120" s="24"/>
      <c r="AH120" s="93"/>
      <c r="AI120" s="87"/>
      <c r="AJ120" s="86"/>
      <c r="AK120" s="81"/>
      <c r="AL120" s="24"/>
      <c r="AM120" s="24"/>
      <c r="AN120" s="81"/>
      <c r="AO120" s="81"/>
      <c r="AP120" s="24"/>
      <c r="AQ120" s="93"/>
      <c r="AR120" s="94"/>
      <c r="AS120" s="82"/>
      <c r="AT120" s="82"/>
      <c r="AU120" s="24"/>
      <c r="AV120" s="93"/>
      <c r="AW120" s="94"/>
      <c r="AX120" s="95"/>
      <c r="AY120" s="95"/>
      <c r="AZ120" s="95"/>
      <c r="BA120" s="24"/>
      <c r="BB120" s="9" t="s">
        <v>266</v>
      </c>
      <c r="BC120" s="96" t="s">
        <v>93</v>
      </c>
    </row>
    <row r="121" spans="1:55" ht="15" customHeight="1">
      <c r="A121" s="86">
        <f t="shared" si="19"/>
        <v>119</v>
      </c>
      <c r="B121" s="75" t="s">
        <v>1017</v>
      </c>
      <c r="C121" s="9"/>
      <c r="D121" s="76" t="s">
        <v>267</v>
      </c>
      <c r="E121" s="88" t="str">
        <f>_xlfn.IFNA(VLOOKUP($D121,'Route-Details'!$B$2:$X$1048576,'Node Details'!E$1,0),"")</f>
        <v>Airtel</v>
      </c>
      <c r="F121" s="88" t="str">
        <f>_xlfn.IFNA(VLOOKUP($D121,'Route-Details'!$B$2:$X$1048576,'Node Details'!F$1,0),"")</f>
        <v>DARIA</v>
      </c>
      <c r="G121" s="88" t="str">
        <f>_xlfn.IFNA(VLOOKUP($D121,'Route-Details'!$B$2:$X$1048576,'Node Details'!G$1,0),"")</f>
        <v>Chandigarh</v>
      </c>
      <c r="H121" s="88" t="str">
        <f>_xlfn.IFNA(VLOOKUP($D122,'Route-Details'!$B$2:$X$1048576,'Node Details'!H$1,0),"")</f>
        <v>Punjab</v>
      </c>
      <c r="I121" s="88" t="str">
        <f>_xlfn.IFNA(VLOOKUP($D121,'Route-Details'!$B$2:$X$1048576,'Node Details'!I$1,0),"")</f>
        <v>AXY</v>
      </c>
      <c r="J121" s="88" t="str">
        <f>_xlfn.IFNA(VLOOKUP($D121,'Route-Details'!$B$2:$X$1048576,'Node Details'!J$1,0),"")</f>
        <v>AXY</v>
      </c>
      <c r="K121" s="76">
        <v>46112</v>
      </c>
      <c r="L121" s="76">
        <v>46113</v>
      </c>
      <c r="M121" s="89">
        <v>46125</v>
      </c>
      <c r="N121" s="76">
        <v>46112</v>
      </c>
      <c r="Q121" s="86" t="s">
        <v>958</v>
      </c>
      <c r="R121" s="90"/>
      <c r="S121" s="87"/>
      <c r="T121" s="87"/>
      <c r="U121" s="87"/>
      <c r="V121" s="93"/>
      <c r="W121" s="91"/>
      <c r="X121" s="87"/>
      <c r="Y121" s="92"/>
      <c r="Z121" s="90"/>
      <c r="AA121" s="93"/>
      <c r="AB121" s="87"/>
      <c r="AC121" s="91"/>
      <c r="AD121" s="90"/>
      <c r="AE121" s="86"/>
      <c r="AF121" s="82"/>
      <c r="AG121" s="24"/>
      <c r="AH121" s="93"/>
      <c r="AI121" s="87"/>
      <c r="AJ121" s="86"/>
      <c r="AK121" s="81"/>
      <c r="AL121" s="24"/>
      <c r="AM121" s="24"/>
      <c r="AN121" s="81"/>
      <c r="AO121" s="81"/>
      <c r="AP121" s="24"/>
      <c r="AQ121" s="93"/>
      <c r="AR121" s="94"/>
      <c r="AS121" s="82"/>
      <c r="AT121" s="82"/>
      <c r="AU121" s="24"/>
      <c r="AV121" s="93"/>
      <c r="AW121" s="94"/>
      <c r="AX121" s="95"/>
      <c r="AY121" s="95"/>
      <c r="AZ121" s="95"/>
      <c r="BA121" s="24"/>
      <c r="BB121" s="9" t="s">
        <v>270</v>
      </c>
      <c r="BC121" s="96" t="s">
        <v>93</v>
      </c>
    </row>
    <row r="122" spans="1:55" ht="15" customHeight="1">
      <c r="A122" s="86">
        <f t="shared" si="19"/>
        <v>120</v>
      </c>
      <c r="B122" s="75" t="s">
        <v>269</v>
      </c>
      <c r="C122" s="9"/>
      <c r="D122" s="76" t="s">
        <v>267</v>
      </c>
      <c r="E122" s="88" t="str">
        <f>_xlfn.IFNA(VLOOKUP($D122,'Route-Details'!$B$2:$X$1048576,'Node Details'!E$1,0),"")</f>
        <v>Airtel</v>
      </c>
      <c r="F122" s="88" t="str">
        <f>_xlfn.IFNA(VLOOKUP($D122,'Route-Details'!$B$2:$X$1048576,'Node Details'!F$1,0),"")</f>
        <v>DARIA</v>
      </c>
      <c r="G122" s="88" t="str">
        <f>_xlfn.IFNA(VLOOKUP($D122,'Route-Details'!$B$2:$X$1048576,'Node Details'!G$1,0),"")</f>
        <v>Chandigarh</v>
      </c>
      <c r="H122" s="88" t="str">
        <f>_xlfn.IFNA(VLOOKUP($D123,'Route-Details'!$B$2:$X$1048576,'Node Details'!H$1,0),"")</f>
        <v>Punjab</v>
      </c>
      <c r="I122" s="88" t="str">
        <f>_xlfn.IFNA(VLOOKUP($D122,'Route-Details'!$B$2:$X$1048576,'Node Details'!I$1,0),"")</f>
        <v>AXY</v>
      </c>
      <c r="J122" s="88" t="str">
        <f>_xlfn.IFNA(VLOOKUP($D122,'Route-Details'!$B$2:$X$1048576,'Node Details'!J$1,0),"")</f>
        <v>AXY</v>
      </c>
      <c r="K122" s="76">
        <v>46112</v>
      </c>
      <c r="L122" s="76">
        <v>46113</v>
      </c>
      <c r="M122" s="89">
        <v>46125</v>
      </c>
      <c r="N122" s="76">
        <v>46112</v>
      </c>
      <c r="Q122" s="86" t="s">
        <v>958</v>
      </c>
      <c r="R122" s="90"/>
      <c r="S122" s="87"/>
      <c r="T122" s="87"/>
      <c r="U122" s="87"/>
      <c r="V122" s="93"/>
      <c r="W122" s="91"/>
      <c r="X122" s="87"/>
      <c r="Y122" s="92"/>
      <c r="Z122" s="90"/>
      <c r="AA122" s="93"/>
      <c r="AB122" s="87"/>
      <c r="AC122" s="91"/>
      <c r="AD122" s="90"/>
      <c r="AE122" s="86"/>
      <c r="AF122" s="82"/>
      <c r="AG122" s="24"/>
      <c r="AH122" s="93"/>
      <c r="AI122" s="87"/>
      <c r="AJ122" s="86"/>
      <c r="AK122" s="81"/>
      <c r="AL122" s="24"/>
      <c r="AM122" s="24"/>
      <c r="AN122" s="81"/>
      <c r="AO122" s="81"/>
      <c r="AP122" s="24"/>
      <c r="AQ122" s="93"/>
      <c r="AR122" s="94"/>
      <c r="AS122" s="82"/>
      <c r="AT122" s="82"/>
      <c r="AU122" s="24"/>
      <c r="AV122" s="93"/>
      <c r="AW122" s="94"/>
      <c r="AX122" s="95"/>
      <c r="AY122" s="95"/>
      <c r="AZ122" s="95"/>
      <c r="BA122" s="24"/>
      <c r="BB122" s="9" t="s">
        <v>270</v>
      </c>
      <c r="BC122" s="96" t="s">
        <v>93</v>
      </c>
    </row>
    <row r="123" spans="1:55" ht="15" customHeight="1">
      <c r="A123" s="86">
        <f t="shared" si="19"/>
        <v>121</v>
      </c>
      <c r="B123" s="75" t="s">
        <v>1018</v>
      </c>
      <c r="C123" s="9"/>
      <c r="D123" s="76" t="s">
        <v>271</v>
      </c>
      <c r="E123" s="88" t="str">
        <f>_xlfn.IFNA(VLOOKUP($D123,'Route-Details'!$B$2:$X$1048576,'Node Details'!E$1,0),"")</f>
        <v>Airtel</v>
      </c>
      <c r="F123" s="88" t="str">
        <f>_xlfn.IFNA(VLOOKUP($D123,'Route-Details'!$B$2:$X$1048576,'Node Details'!F$1,0),"")</f>
        <v>DARIA</v>
      </c>
      <c r="G123" s="88" t="str">
        <f>_xlfn.IFNA(VLOOKUP($D123,'Route-Details'!$B$2:$X$1048576,'Node Details'!G$1,0),"")</f>
        <v>Chandigarh</v>
      </c>
      <c r="H123" s="88" t="str">
        <f>_xlfn.IFNA(VLOOKUP($D124,'Route-Details'!$B$2:$X$1048576,'Node Details'!H$1,0),"")</f>
        <v>Punjab</v>
      </c>
      <c r="I123" s="88" t="str">
        <f>_xlfn.IFNA(VLOOKUP($D123,'Route-Details'!$B$2:$X$1048576,'Node Details'!I$1,0),"")</f>
        <v>AXY</v>
      </c>
      <c r="J123" s="88" t="str">
        <f>_xlfn.IFNA(VLOOKUP($D123,'Route-Details'!$B$2:$X$1048576,'Node Details'!J$1,0),"")</f>
        <v>AXY</v>
      </c>
      <c r="K123" s="76">
        <v>46112</v>
      </c>
      <c r="L123" s="76">
        <v>46113</v>
      </c>
      <c r="M123" s="89">
        <v>46125</v>
      </c>
      <c r="N123" s="76">
        <v>46112</v>
      </c>
      <c r="Q123" s="86" t="s">
        <v>958</v>
      </c>
      <c r="R123" s="90"/>
      <c r="S123" s="87"/>
      <c r="T123" s="87"/>
      <c r="U123" s="87"/>
      <c r="V123" s="93"/>
      <c r="W123" s="91"/>
      <c r="X123" s="87"/>
      <c r="Y123" s="92"/>
      <c r="Z123" s="90"/>
      <c r="AA123" s="93"/>
      <c r="AB123" s="87"/>
      <c r="AC123" s="91"/>
      <c r="AD123" s="90"/>
      <c r="AE123" s="86"/>
      <c r="AF123" s="82"/>
      <c r="AG123" s="24"/>
      <c r="AH123" s="93"/>
      <c r="AI123" s="87"/>
      <c r="AJ123" s="86"/>
      <c r="AK123" s="81"/>
      <c r="AL123" s="24"/>
      <c r="AM123" s="24"/>
      <c r="AN123" s="81"/>
      <c r="AO123" s="81"/>
      <c r="AP123" s="24"/>
      <c r="AQ123" s="93"/>
      <c r="AR123" s="94"/>
      <c r="AS123" s="82"/>
      <c r="AT123" s="82"/>
      <c r="AU123" s="24"/>
      <c r="AV123" s="93"/>
      <c r="AW123" s="94"/>
      <c r="AX123" s="95"/>
      <c r="AY123" s="95"/>
      <c r="AZ123" s="95"/>
      <c r="BA123" s="24"/>
      <c r="BB123" s="9" t="s">
        <v>274</v>
      </c>
      <c r="BC123" s="96" t="s">
        <v>93</v>
      </c>
    </row>
    <row r="124" spans="1:55" ht="15" customHeight="1">
      <c r="A124" s="86">
        <f t="shared" si="19"/>
        <v>122</v>
      </c>
      <c r="B124" s="75" t="s">
        <v>273</v>
      </c>
      <c r="C124" s="9"/>
      <c r="D124" s="76" t="s">
        <v>271</v>
      </c>
      <c r="E124" s="88" t="str">
        <f>_xlfn.IFNA(VLOOKUP($D124,'Route-Details'!$B$2:$X$1048576,'Node Details'!E$1,0),"")</f>
        <v>Airtel</v>
      </c>
      <c r="F124" s="88" t="str">
        <f>_xlfn.IFNA(VLOOKUP($D124,'Route-Details'!$B$2:$X$1048576,'Node Details'!F$1,0),"")</f>
        <v>DARIA</v>
      </c>
      <c r="G124" s="88" t="str">
        <f>_xlfn.IFNA(VLOOKUP($D124,'Route-Details'!$B$2:$X$1048576,'Node Details'!G$1,0),"")</f>
        <v>Chandigarh</v>
      </c>
      <c r="H124" s="88" t="str">
        <f>_xlfn.IFNA(VLOOKUP($D125,'Route-Details'!$B$2:$X$1048576,'Node Details'!H$1,0),"")</f>
        <v>Punjab</v>
      </c>
      <c r="I124" s="88" t="str">
        <f>_xlfn.IFNA(VLOOKUP($D124,'Route-Details'!$B$2:$X$1048576,'Node Details'!I$1,0),"")</f>
        <v>AXY</v>
      </c>
      <c r="J124" s="88" t="str">
        <f>_xlfn.IFNA(VLOOKUP($D124,'Route-Details'!$B$2:$X$1048576,'Node Details'!J$1,0),"")</f>
        <v>AXY</v>
      </c>
      <c r="K124" s="76">
        <v>46112</v>
      </c>
      <c r="L124" s="76">
        <v>46113</v>
      </c>
      <c r="M124" s="89">
        <v>46125</v>
      </c>
      <c r="N124" s="76">
        <v>46112</v>
      </c>
      <c r="Q124" s="86" t="s">
        <v>958</v>
      </c>
      <c r="R124" s="90"/>
      <c r="S124" s="87"/>
      <c r="T124" s="87"/>
      <c r="U124" s="87"/>
      <c r="V124" s="93"/>
      <c r="W124" s="91"/>
      <c r="X124" s="87"/>
      <c r="Y124" s="92"/>
      <c r="Z124" s="90"/>
      <c r="AA124" s="93"/>
      <c r="AB124" s="87"/>
      <c r="AC124" s="91"/>
      <c r="AD124" s="90"/>
      <c r="AE124" s="86"/>
      <c r="AF124" s="82"/>
      <c r="AG124" s="24"/>
      <c r="AH124" s="93"/>
      <c r="AI124" s="87"/>
      <c r="AJ124" s="86"/>
      <c r="AK124" s="81"/>
      <c r="AL124" s="24"/>
      <c r="AM124" s="24"/>
      <c r="AN124" s="81"/>
      <c r="AO124" s="81"/>
      <c r="AP124" s="24"/>
      <c r="AQ124" s="93"/>
      <c r="AR124" s="94"/>
      <c r="AS124" s="82"/>
      <c r="AT124" s="82"/>
      <c r="AU124" s="24"/>
      <c r="AV124" s="93"/>
      <c r="AW124" s="94"/>
      <c r="AX124" s="95"/>
      <c r="AY124" s="95"/>
      <c r="AZ124" s="95"/>
      <c r="BA124" s="24"/>
      <c r="BB124" s="9" t="s">
        <v>274</v>
      </c>
      <c r="BC124" s="96" t="s">
        <v>93</v>
      </c>
    </row>
    <row r="125" spans="1:55" ht="15" customHeight="1">
      <c r="A125" s="86">
        <f t="shared" si="19"/>
        <v>123</v>
      </c>
      <c r="B125" s="75" t="s">
        <v>1019</v>
      </c>
      <c r="C125" s="9"/>
      <c r="D125" s="76" t="s">
        <v>139</v>
      </c>
      <c r="E125" s="88" t="str">
        <f>_xlfn.IFNA(VLOOKUP($D125,'Route-Details'!$B$2:$X$1048576,'Node Details'!E$1,0),"")</f>
        <v>Airtel</v>
      </c>
      <c r="F125" s="88" t="str">
        <f>_xlfn.IFNA(VLOOKUP($D125,'Route-Details'!$B$2:$X$1048576,'Node Details'!F$1,0),"")</f>
        <v>DARIA</v>
      </c>
      <c r="G125" s="88" t="str">
        <f>_xlfn.IFNA(VLOOKUP($D125,'Route-Details'!$B$2:$X$1048576,'Node Details'!G$1,0),"")</f>
        <v>Chandigarh</v>
      </c>
      <c r="H125" s="88" t="str">
        <f>_xlfn.IFNA(VLOOKUP($D126,'Route-Details'!$B$2:$X$1048576,'Node Details'!H$1,0),"")</f>
        <v>Punjab</v>
      </c>
      <c r="I125" s="88" t="str">
        <f>_xlfn.IFNA(VLOOKUP($D125,'Route-Details'!$B$2:$X$1048576,'Node Details'!I$1,0),"")</f>
        <v>AXY</v>
      </c>
      <c r="J125" s="88" t="str">
        <f>_xlfn.IFNA(VLOOKUP($D125,'Route-Details'!$B$2:$X$1048576,'Node Details'!J$1,0),"")</f>
        <v>AXY</v>
      </c>
      <c r="K125" s="76">
        <v>46112</v>
      </c>
      <c r="L125" s="76">
        <v>46113</v>
      </c>
      <c r="M125" s="89">
        <v>46125</v>
      </c>
      <c r="N125" s="76">
        <v>46112</v>
      </c>
      <c r="Q125" s="86" t="s">
        <v>958</v>
      </c>
      <c r="R125" s="90"/>
      <c r="S125" s="87"/>
      <c r="T125" s="87"/>
      <c r="U125" s="87"/>
      <c r="V125" s="93"/>
      <c r="W125" s="91"/>
      <c r="X125" s="87"/>
      <c r="Y125" s="92"/>
      <c r="Z125" s="90"/>
      <c r="AA125" s="93"/>
      <c r="AB125" s="87"/>
      <c r="AC125" s="91"/>
      <c r="AD125" s="90"/>
      <c r="AE125" s="86"/>
      <c r="AF125" s="82"/>
      <c r="AG125" s="24"/>
      <c r="AH125" s="93"/>
      <c r="AI125" s="87"/>
      <c r="AJ125" s="86"/>
      <c r="AK125" s="81"/>
      <c r="AL125" s="24"/>
      <c r="AM125" s="24"/>
      <c r="AN125" s="81"/>
      <c r="AO125" s="81"/>
      <c r="AP125" s="24"/>
      <c r="AQ125" s="93"/>
      <c r="AR125" s="94"/>
      <c r="AS125" s="82"/>
      <c r="AT125" s="82"/>
      <c r="AU125" s="24"/>
      <c r="AV125" s="93"/>
      <c r="AW125" s="94"/>
      <c r="AX125" s="95"/>
      <c r="AY125" s="95"/>
      <c r="AZ125" s="95"/>
      <c r="BA125" s="24"/>
      <c r="BB125" s="9" t="s">
        <v>92</v>
      </c>
      <c r="BC125" s="96" t="s">
        <v>93</v>
      </c>
    </row>
    <row r="126" spans="1:55" ht="15" customHeight="1">
      <c r="A126" s="86">
        <f t="shared" si="19"/>
        <v>124</v>
      </c>
      <c r="B126" s="75" t="s">
        <v>1020</v>
      </c>
      <c r="C126" s="9"/>
      <c r="D126" s="76" t="s">
        <v>275</v>
      </c>
      <c r="E126" s="88" t="str">
        <f>_xlfn.IFNA(VLOOKUP($D126,'Route-Details'!$B$2:$X$1048576,'Node Details'!E$1,0),"")</f>
        <v>Airtel</v>
      </c>
      <c r="F126" s="88" t="str">
        <f>_xlfn.IFNA(VLOOKUP($D126,'Route-Details'!$B$2:$X$1048576,'Node Details'!F$1,0),"")</f>
        <v>DARIA</v>
      </c>
      <c r="G126" s="88" t="str">
        <f>_xlfn.IFNA(VLOOKUP($D126,'Route-Details'!$B$2:$X$1048576,'Node Details'!G$1,0),"")</f>
        <v>Chandigarh</v>
      </c>
      <c r="H126" s="88" t="str">
        <f>_xlfn.IFNA(VLOOKUP($D127,'Route-Details'!$B$2:$X$1048576,'Node Details'!H$1,0),"")</f>
        <v>Punjab</v>
      </c>
      <c r="I126" s="88" t="str">
        <f>_xlfn.IFNA(VLOOKUP($D126,'Route-Details'!$B$2:$X$1048576,'Node Details'!I$1,0),"")</f>
        <v>AXY</v>
      </c>
      <c r="J126" s="88" t="str">
        <f>_xlfn.IFNA(VLOOKUP($D126,'Route-Details'!$B$2:$X$1048576,'Node Details'!J$1,0),"")</f>
        <v>AXY</v>
      </c>
      <c r="K126" s="76">
        <v>46112</v>
      </c>
      <c r="L126" s="76">
        <v>46113</v>
      </c>
      <c r="M126" s="89">
        <v>46125</v>
      </c>
      <c r="N126" s="76">
        <v>46112</v>
      </c>
      <c r="Q126" s="86" t="s">
        <v>958</v>
      </c>
      <c r="R126" s="90"/>
      <c r="S126" s="87"/>
      <c r="T126" s="87"/>
      <c r="U126" s="87"/>
      <c r="V126" s="93"/>
      <c r="W126" s="91"/>
      <c r="X126" s="87"/>
      <c r="Y126" s="92"/>
      <c r="Z126" s="90"/>
      <c r="AA126" s="93"/>
      <c r="AB126" s="87"/>
      <c r="AC126" s="91"/>
      <c r="AD126" s="90"/>
      <c r="AE126" s="86"/>
      <c r="AF126" s="82"/>
      <c r="AG126" s="24"/>
      <c r="AH126" s="93"/>
      <c r="AI126" s="87"/>
      <c r="AJ126" s="86"/>
      <c r="AK126" s="81"/>
      <c r="AL126" s="24"/>
      <c r="AM126" s="24"/>
      <c r="AN126" s="81"/>
      <c r="AO126" s="81"/>
      <c r="AP126" s="24"/>
      <c r="AQ126" s="93"/>
      <c r="AR126" s="94"/>
      <c r="AS126" s="82"/>
      <c r="AT126" s="82"/>
      <c r="AU126" s="24"/>
      <c r="AV126" s="93"/>
      <c r="AW126" s="94"/>
      <c r="AX126" s="95"/>
      <c r="AY126" s="95"/>
      <c r="AZ126" s="95"/>
      <c r="BA126" s="24"/>
      <c r="BB126" s="9" t="s">
        <v>278</v>
      </c>
      <c r="BC126" s="96" t="s">
        <v>93</v>
      </c>
    </row>
    <row r="127" spans="1:55" ht="15" customHeight="1">
      <c r="A127" s="86">
        <f t="shared" si="19"/>
        <v>125</v>
      </c>
      <c r="B127" s="75" t="s">
        <v>277</v>
      </c>
      <c r="C127" s="9"/>
      <c r="D127" s="76" t="s">
        <v>275</v>
      </c>
      <c r="E127" s="88" t="str">
        <f>_xlfn.IFNA(VLOOKUP($D127,'Route-Details'!$B$2:$X$1048576,'Node Details'!E$1,0),"")</f>
        <v>Airtel</v>
      </c>
      <c r="F127" s="88" t="str">
        <f>_xlfn.IFNA(VLOOKUP($D127,'Route-Details'!$B$2:$X$1048576,'Node Details'!F$1,0),"")</f>
        <v>DARIA</v>
      </c>
      <c r="G127" s="88" t="str">
        <f>_xlfn.IFNA(VLOOKUP($D127,'Route-Details'!$B$2:$X$1048576,'Node Details'!G$1,0),"")</f>
        <v>Chandigarh</v>
      </c>
      <c r="H127" s="88" t="str">
        <f>_xlfn.IFNA(VLOOKUP($D128,'Route-Details'!$B$2:$X$1048576,'Node Details'!H$1,0),"")</f>
        <v>Punjab</v>
      </c>
      <c r="I127" s="88" t="str">
        <f>_xlfn.IFNA(VLOOKUP($D127,'Route-Details'!$B$2:$X$1048576,'Node Details'!I$1,0),"")</f>
        <v>AXY</v>
      </c>
      <c r="J127" s="88" t="str">
        <f>_xlfn.IFNA(VLOOKUP($D127,'Route-Details'!$B$2:$X$1048576,'Node Details'!J$1,0),"")</f>
        <v>AXY</v>
      </c>
      <c r="K127" s="76">
        <v>46112</v>
      </c>
      <c r="L127" s="76">
        <v>46113</v>
      </c>
      <c r="M127" s="89">
        <v>46125</v>
      </c>
      <c r="N127" s="76">
        <v>46112</v>
      </c>
      <c r="Q127" s="86" t="s">
        <v>958</v>
      </c>
      <c r="R127" s="90"/>
      <c r="S127" s="87"/>
      <c r="T127" s="87"/>
      <c r="U127" s="87"/>
      <c r="V127" s="93"/>
      <c r="W127" s="91"/>
      <c r="X127" s="87"/>
      <c r="Y127" s="92"/>
      <c r="Z127" s="90"/>
      <c r="AA127" s="93"/>
      <c r="AB127" s="87"/>
      <c r="AC127" s="91"/>
      <c r="AD127" s="90"/>
      <c r="AE127" s="86"/>
      <c r="AF127" s="82"/>
      <c r="AG127" s="24"/>
      <c r="AH127" s="93"/>
      <c r="AI127" s="87"/>
      <c r="AJ127" s="86"/>
      <c r="AK127" s="81"/>
      <c r="AL127" s="24"/>
      <c r="AM127" s="24"/>
      <c r="AN127" s="81"/>
      <c r="AO127" s="81"/>
      <c r="AP127" s="24"/>
      <c r="AQ127" s="93"/>
      <c r="AR127" s="94"/>
      <c r="AS127" s="82"/>
      <c r="AT127" s="82"/>
      <c r="AU127" s="24"/>
      <c r="AV127" s="93"/>
      <c r="AW127" s="94"/>
      <c r="AX127" s="95"/>
      <c r="AY127" s="95"/>
      <c r="AZ127" s="95"/>
      <c r="BA127" s="24"/>
      <c r="BB127" s="9" t="s">
        <v>278</v>
      </c>
      <c r="BC127" s="96" t="s">
        <v>93</v>
      </c>
    </row>
    <row r="128" spans="1:55" ht="15" customHeight="1">
      <c r="A128" s="86">
        <f t="shared" si="19"/>
        <v>126</v>
      </c>
      <c r="B128" s="75" t="s">
        <v>1021</v>
      </c>
      <c r="C128" s="9"/>
      <c r="D128" s="76" t="s">
        <v>279</v>
      </c>
      <c r="E128" s="88" t="str">
        <f>_xlfn.IFNA(VLOOKUP($D128,'Route-Details'!$B$2:$X$1048576,'Node Details'!E$1,0),"")</f>
        <v>Airtel</v>
      </c>
      <c r="F128" s="88" t="str">
        <f>_xlfn.IFNA(VLOOKUP($D128,'Route-Details'!$B$2:$X$1048576,'Node Details'!F$1,0),"")</f>
        <v>DARIA</v>
      </c>
      <c r="G128" s="88" t="str">
        <f>_xlfn.IFNA(VLOOKUP($D128,'Route-Details'!$B$2:$X$1048576,'Node Details'!G$1,0),"")</f>
        <v>Chandigarh</v>
      </c>
      <c r="H128" s="88" t="str">
        <f>_xlfn.IFNA(VLOOKUP($D129,'Route-Details'!$B$2:$X$1048576,'Node Details'!H$1,0),"")</f>
        <v>Punjab</v>
      </c>
      <c r="I128" s="88" t="str">
        <f>_xlfn.IFNA(VLOOKUP($D128,'Route-Details'!$B$2:$X$1048576,'Node Details'!I$1,0),"")</f>
        <v>AXY</v>
      </c>
      <c r="J128" s="88" t="str">
        <f>_xlfn.IFNA(VLOOKUP($D128,'Route-Details'!$B$2:$X$1048576,'Node Details'!J$1,0),"")</f>
        <v>AXY</v>
      </c>
      <c r="K128" s="76">
        <v>46112</v>
      </c>
      <c r="L128" s="76">
        <v>46113</v>
      </c>
      <c r="M128" s="89">
        <v>46125</v>
      </c>
      <c r="N128" s="76">
        <v>46112</v>
      </c>
      <c r="Q128" s="86" t="s">
        <v>958</v>
      </c>
      <c r="R128" s="90"/>
      <c r="S128" s="87"/>
      <c r="T128" s="87"/>
      <c r="U128" s="87"/>
      <c r="V128" s="93"/>
      <c r="W128" s="91"/>
      <c r="X128" s="87"/>
      <c r="Y128" s="92"/>
      <c r="Z128" s="90"/>
      <c r="AA128" s="93"/>
      <c r="AB128" s="87"/>
      <c r="AC128" s="91"/>
      <c r="AD128" s="90"/>
      <c r="AE128" s="86"/>
      <c r="AF128" s="82"/>
      <c r="AG128" s="24"/>
      <c r="AH128" s="93"/>
      <c r="AI128" s="87"/>
      <c r="AJ128" s="86"/>
      <c r="AK128" s="81"/>
      <c r="AL128" s="24"/>
      <c r="AM128" s="24"/>
      <c r="AN128" s="81"/>
      <c r="AO128" s="81"/>
      <c r="AP128" s="24"/>
      <c r="AQ128" s="93"/>
      <c r="AR128" s="94"/>
      <c r="AS128" s="82"/>
      <c r="AT128" s="82"/>
      <c r="AU128" s="24"/>
      <c r="AV128" s="93"/>
      <c r="AW128" s="94"/>
      <c r="AX128" s="95"/>
      <c r="AY128" s="95"/>
      <c r="AZ128" s="95"/>
      <c r="BA128" s="24"/>
      <c r="BB128" s="9" t="s">
        <v>281</v>
      </c>
      <c r="BC128" s="96" t="s">
        <v>93</v>
      </c>
    </row>
    <row r="129" spans="1:55" ht="15" customHeight="1">
      <c r="A129" s="86">
        <f t="shared" si="19"/>
        <v>127</v>
      </c>
      <c r="B129" s="75" t="s">
        <v>280</v>
      </c>
      <c r="C129" s="9"/>
      <c r="D129" s="76" t="s">
        <v>279</v>
      </c>
      <c r="E129" s="88" t="str">
        <f>_xlfn.IFNA(VLOOKUP($D129,'Route-Details'!$B$2:$X$1048576,'Node Details'!E$1,0),"")</f>
        <v>Airtel</v>
      </c>
      <c r="F129" s="88" t="str">
        <f>_xlfn.IFNA(VLOOKUP($D129,'Route-Details'!$B$2:$X$1048576,'Node Details'!F$1,0),"")</f>
        <v>DARIA</v>
      </c>
      <c r="G129" s="88" t="str">
        <f>_xlfn.IFNA(VLOOKUP($D129,'Route-Details'!$B$2:$X$1048576,'Node Details'!G$1,0),"")</f>
        <v>Chandigarh</v>
      </c>
      <c r="H129" s="88" t="str">
        <f>_xlfn.IFNA(VLOOKUP($D130,'Route-Details'!$B$2:$X$1048576,'Node Details'!H$1,0),"")</f>
        <v>Punjab</v>
      </c>
      <c r="I129" s="88" t="str">
        <f>_xlfn.IFNA(VLOOKUP($D129,'Route-Details'!$B$2:$X$1048576,'Node Details'!I$1,0),"")</f>
        <v>AXY</v>
      </c>
      <c r="J129" s="88" t="str">
        <f>_xlfn.IFNA(VLOOKUP($D129,'Route-Details'!$B$2:$X$1048576,'Node Details'!J$1,0),"")</f>
        <v>AXY</v>
      </c>
      <c r="K129" s="76">
        <v>46112</v>
      </c>
      <c r="L129" s="76">
        <v>46113</v>
      </c>
      <c r="M129" s="89">
        <v>46125</v>
      </c>
      <c r="N129" s="76">
        <v>46112</v>
      </c>
      <c r="Q129" s="86" t="s">
        <v>958</v>
      </c>
      <c r="R129" s="90"/>
      <c r="S129" s="87"/>
      <c r="T129" s="87"/>
      <c r="U129" s="87"/>
      <c r="V129" s="93"/>
      <c r="W129" s="91"/>
      <c r="X129" s="87"/>
      <c r="Y129" s="92"/>
      <c r="Z129" s="90"/>
      <c r="AA129" s="93"/>
      <c r="AB129" s="87"/>
      <c r="AC129" s="91"/>
      <c r="AD129" s="90"/>
      <c r="AE129" s="86"/>
      <c r="AF129" s="82"/>
      <c r="AG129" s="24"/>
      <c r="AH129" s="93"/>
      <c r="AI129" s="87"/>
      <c r="AJ129" s="86"/>
      <c r="AK129" s="81"/>
      <c r="AL129" s="24"/>
      <c r="AM129" s="24"/>
      <c r="AN129" s="81"/>
      <c r="AO129" s="81"/>
      <c r="AP129" s="24"/>
      <c r="AQ129" s="93"/>
      <c r="AR129" s="94"/>
      <c r="AS129" s="82"/>
      <c r="AT129" s="82"/>
      <c r="AU129" s="24"/>
      <c r="AV129" s="93"/>
      <c r="AW129" s="94"/>
      <c r="AX129" s="95"/>
      <c r="AY129" s="95"/>
      <c r="AZ129" s="95"/>
      <c r="BA129" s="24"/>
      <c r="BB129" s="9" t="s">
        <v>281</v>
      </c>
      <c r="BC129" s="96" t="s">
        <v>93</v>
      </c>
    </row>
    <row r="130" spans="1:55" ht="15" customHeight="1">
      <c r="A130" s="86">
        <f t="shared" si="19"/>
        <v>128</v>
      </c>
      <c r="B130" s="75" t="s">
        <v>1022</v>
      </c>
      <c r="C130" s="9"/>
      <c r="D130" s="76" t="s">
        <v>282</v>
      </c>
      <c r="E130" s="88" t="str">
        <f>_xlfn.IFNA(VLOOKUP($D130,'Route-Details'!$B$2:$X$1048576,'Node Details'!E$1,0),"")</f>
        <v>Airtel</v>
      </c>
      <c r="F130" s="88" t="str">
        <f>_xlfn.IFNA(VLOOKUP($D130,'Route-Details'!$B$2:$X$1048576,'Node Details'!F$1,0),"")</f>
        <v>DARIA</v>
      </c>
      <c r="G130" s="88" t="str">
        <f>_xlfn.IFNA(VLOOKUP($D130,'Route-Details'!$B$2:$X$1048576,'Node Details'!G$1,0),"")</f>
        <v>Chandigarh</v>
      </c>
      <c r="H130" s="88" t="str">
        <f>_xlfn.IFNA(VLOOKUP($D131,'Route-Details'!$B$2:$X$1048576,'Node Details'!H$1,0),"")</f>
        <v>Punjab</v>
      </c>
      <c r="I130" s="88" t="str">
        <f>_xlfn.IFNA(VLOOKUP($D130,'Route-Details'!$B$2:$X$1048576,'Node Details'!I$1,0),"")</f>
        <v>AXY</v>
      </c>
      <c r="J130" s="88" t="str">
        <f>_xlfn.IFNA(VLOOKUP($D130,'Route-Details'!$B$2:$X$1048576,'Node Details'!J$1,0),"")</f>
        <v>AXY</v>
      </c>
      <c r="K130" s="76">
        <v>46112</v>
      </c>
      <c r="L130" s="76">
        <v>46113</v>
      </c>
      <c r="M130" s="89">
        <v>46125</v>
      </c>
      <c r="N130" s="76">
        <v>46112</v>
      </c>
      <c r="Q130" s="86" t="s">
        <v>958</v>
      </c>
      <c r="R130" s="90"/>
      <c r="S130" s="87"/>
      <c r="T130" s="87"/>
      <c r="U130" s="87"/>
      <c r="V130" s="93"/>
      <c r="W130" s="91"/>
      <c r="X130" s="87"/>
      <c r="Y130" s="92"/>
      <c r="Z130" s="90"/>
      <c r="AA130" s="93"/>
      <c r="AB130" s="87"/>
      <c r="AC130" s="91"/>
      <c r="AD130" s="90"/>
      <c r="AE130" s="86"/>
      <c r="AF130" s="82"/>
      <c r="AG130" s="24"/>
      <c r="AH130" s="93"/>
      <c r="AI130" s="87"/>
      <c r="AJ130" s="86"/>
      <c r="AK130" s="81"/>
      <c r="AL130" s="24"/>
      <c r="AM130" s="24"/>
      <c r="AN130" s="81"/>
      <c r="AO130" s="81"/>
      <c r="AP130" s="24"/>
      <c r="AQ130" s="93"/>
      <c r="AR130" s="94"/>
      <c r="AS130" s="82"/>
      <c r="AT130" s="82"/>
      <c r="AU130" s="24"/>
      <c r="AV130" s="93"/>
      <c r="AW130" s="94"/>
      <c r="AX130" s="95"/>
      <c r="AY130" s="95"/>
      <c r="AZ130" s="95"/>
      <c r="BA130" s="24"/>
      <c r="BB130" s="9" t="s">
        <v>285</v>
      </c>
      <c r="BC130" s="96" t="s">
        <v>93</v>
      </c>
    </row>
    <row r="131" spans="1:55" ht="15" customHeight="1">
      <c r="A131" s="86">
        <f t="shared" si="19"/>
        <v>129</v>
      </c>
      <c r="B131" s="75" t="s">
        <v>284</v>
      </c>
      <c r="C131" s="9"/>
      <c r="D131" s="76" t="s">
        <v>282</v>
      </c>
      <c r="E131" s="88" t="str">
        <f>_xlfn.IFNA(VLOOKUP($D131,'Route-Details'!$B$2:$X$1048576,'Node Details'!E$1,0),"")</f>
        <v>Airtel</v>
      </c>
      <c r="F131" s="88" t="str">
        <f>_xlfn.IFNA(VLOOKUP($D131,'Route-Details'!$B$2:$X$1048576,'Node Details'!F$1,0),"")</f>
        <v>DARIA</v>
      </c>
      <c r="G131" s="88" t="str">
        <f>_xlfn.IFNA(VLOOKUP($D131,'Route-Details'!$B$2:$X$1048576,'Node Details'!G$1,0),"")</f>
        <v>Chandigarh</v>
      </c>
      <c r="H131" s="88" t="str">
        <f>_xlfn.IFNA(VLOOKUP($D132,'Route-Details'!$B$2:$X$1048576,'Node Details'!H$1,0),"")</f>
        <v>Punjab</v>
      </c>
      <c r="I131" s="88" t="str">
        <f>_xlfn.IFNA(VLOOKUP($D131,'Route-Details'!$B$2:$X$1048576,'Node Details'!I$1,0),"")</f>
        <v>AXY</v>
      </c>
      <c r="J131" s="88" t="str">
        <f>_xlfn.IFNA(VLOOKUP($D131,'Route-Details'!$B$2:$X$1048576,'Node Details'!J$1,0),"")</f>
        <v>AXY</v>
      </c>
      <c r="K131" s="76">
        <v>46112</v>
      </c>
      <c r="L131" s="76">
        <v>46113</v>
      </c>
      <c r="M131" s="89">
        <v>46125</v>
      </c>
      <c r="N131" s="76">
        <v>46112</v>
      </c>
      <c r="Q131" s="86" t="s">
        <v>958</v>
      </c>
      <c r="R131" s="90"/>
      <c r="S131" s="87"/>
      <c r="T131" s="87"/>
      <c r="U131" s="87"/>
      <c r="V131" s="93"/>
      <c r="W131" s="91"/>
      <c r="X131" s="87"/>
      <c r="Y131" s="92"/>
      <c r="Z131" s="90"/>
      <c r="AA131" s="93"/>
      <c r="AB131" s="87"/>
      <c r="AC131" s="91"/>
      <c r="AD131" s="90"/>
      <c r="AE131" s="86"/>
      <c r="AF131" s="82"/>
      <c r="AG131" s="24"/>
      <c r="AH131" s="93"/>
      <c r="AI131" s="87"/>
      <c r="AJ131" s="86"/>
      <c r="AK131" s="81"/>
      <c r="AL131" s="24"/>
      <c r="AM131" s="24"/>
      <c r="AN131" s="81"/>
      <c r="AO131" s="81"/>
      <c r="AP131" s="24"/>
      <c r="AQ131" s="93"/>
      <c r="AR131" s="94"/>
      <c r="AS131" s="82"/>
      <c r="AT131" s="82"/>
      <c r="AU131" s="24"/>
      <c r="AV131" s="93"/>
      <c r="AW131" s="94"/>
      <c r="AX131" s="95"/>
      <c r="AY131" s="95"/>
      <c r="AZ131" s="95"/>
      <c r="BA131" s="24"/>
      <c r="BB131" s="9" t="s">
        <v>285</v>
      </c>
      <c r="BC131" s="96" t="s">
        <v>93</v>
      </c>
    </row>
    <row r="132" spans="1:55" ht="15" customHeight="1">
      <c r="A132" s="86">
        <f t="shared" si="19"/>
        <v>130</v>
      </c>
      <c r="B132" s="75" t="s">
        <v>1023</v>
      </c>
      <c r="C132" s="9"/>
      <c r="D132" s="76" t="s">
        <v>286</v>
      </c>
      <c r="E132" s="88" t="str">
        <f>_xlfn.IFNA(VLOOKUP($D132,'Route-Details'!$B$2:$X$1048576,'Node Details'!E$1,0),"")</f>
        <v>Airtel</v>
      </c>
      <c r="F132" s="88" t="str">
        <f>_xlfn.IFNA(VLOOKUP($D132,'Route-Details'!$B$2:$X$1048576,'Node Details'!F$1,0),"")</f>
        <v>DARIA</v>
      </c>
      <c r="G132" s="88" t="str">
        <f>_xlfn.IFNA(VLOOKUP($D132,'Route-Details'!$B$2:$X$1048576,'Node Details'!G$1,0),"")</f>
        <v>Chandigarh</v>
      </c>
      <c r="H132" s="88" t="str">
        <f>_xlfn.IFNA(VLOOKUP($D133,'Route-Details'!$B$2:$X$1048576,'Node Details'!H$1,0),"")</f>
        <v>Punjab</v>
      </c>
      <c r="I132" s="88" t="str">
        <f>_xlfn.IFNA(VLOOKUP($D132,'Route-Details'!$B$2:$X$1048576,'Node Details'!I$1,0),"")</f>
        <v>AXY</v>
      </c>
      <c r="J132" s="88" t="str">
        <f>_xlfn.IFNA(VLOOKUP($D132,'Route-Details'!$B$2:$X$1048576,'Node Details'!J$1,0),"")</f>
        <v>AXY</v>
      </c>
      <c r="K132" s="76">
        <v>46112</v>
      </c>
      <c r="L132" s="76">
        <v>46113</v>
      </c>
      <c r="M132" s="89">
        <v>46125</v>
      </c>
      <c r="N132" s="76">
        <v>46112</v>
      </c>
      <c r="Q132" s="86" t="s">
        <v>958</v>
      </c>
      <c r="R132" s="90"/>
      <c r="S132" s="87"/>
      <c r="T132" s="87"/>
      <c r="U132" s="87"/>
      <c r="V132" s="93"/>
      <c r="W132" s="91"/>
      <c r="X132" s="87"/>
      <c r="Y132" s="92"/>
      <c r="Z132" s="90"/>
      <c r="AA132" s="93"/>
      <c r="AB132" s="87"/>
      <c r="AC132" s="91"/>
      <c r="AD132" s="90"/>
      <c r="AE132" s="86"/>
      <c r="AF132" s="82"/>
      <c r="AG132" s="24"/>
      <c r="AH132" s="93"/>
      <c r="AI132" s="87"/>
      <c r="AJ132" s="86"/>
      <c r="AK132" s="81"/>
      <c r="AL132" s="24"/>
      <c r="AM132" s="24"/>
      <c r="AN132" s="81"/>
      <c r="AO132" s="81"/>
      <c r="AP132" s="24"/>
      <c r="AQ132" s="93"/>
      <c r="AR132" s="94"/>
      <c r="AS132" s="82"/>
      <c r="AT132" s="82"/>
      <c r="AU132" s="24"/>
      <c r="AV132" s="93"/>
      <c r="AW132" s="94"/>
      <c r="AX132" s="95"/>
      <c r="AY132" s="95"/>
      <c r="AZ132" s="95"/>
      <c r="BA132" s="24"/>
      <c r="BB132" s="9" t="s">
        <v>288</v>
      </c>
      <c r="BC132" s="96" t="s">
        <v>93</v>
      </c>
    </row>
    <row r="133" spans="1:55" ht="15" customHeight="1">
      <c r="A133" s="86">
        <f t="shared" ref="A133:A196" si="20">A132+1</f>
        <v>131</v>
      </c>
      <c r="B133" s="75" t="s">
        <v>287</v>
      </c>
      <c r="C133" s="9"/>
      <c r="D133" s="76" t="s">
        <v>286</v>
      </c>
      <c r="E133" s="88" t="str">
        <f>_xlfn.IFNA(VLOOKUP($D133,'Route-Details'!$B$2:$X$1048576,'Node Details'!E$1,0),"")</f>
        <v>Airtel</v>
      </c>
      <c r="F133" s="88" t="str">
        <f>_xlfn.IFNA(VLOOKUP($D133,'Route-Details'!$B$2:$X$1048576,'Node Details'!F$1,0),"")</f>
        <v>DARIA</v>
      </c>
      <c r="G133" s="88" t="str">
        <f>_xlfn.IFNA(VLOOKUP($D133,'Route-Details'!$B$2:$X$1048576,'Node Details'!G$1,0),"")</f>
        <v>Chandigarh</v>
      </c>
      <c r="H133" s="88" t="str">
        <f>_xlfn.IFNA(VLOOKUP($D134,'Route-Details'!$B$2:$X$1048576,'Node Details'!H$1,0),"")</f>
        <v>Punjab</v>
      </c>
      <c r="I133" s="88" t="str">
        <f>_xlfn.IFNA(VLOOKUP($D133,'Route-Details'!$B$2:$X$1048576,'Node Details'!I$1,0),"")</f>
        <v>AXY</v>
      </c>
      <c r="J133" s="88" t="str">
        <f>_xlfn.IFNA(VLOOKUP($D133,'Route-Details'!$B$2:$X$1048576,'Node Details'!J$1,0),"")</f>
        <v>AXY</v>
      </c>
      <c r="K133" s="76">
        <v>46112</v>
      </c>
      <c r="L133" s="76">
        <v>46113</v>
      </c>
      <c r="M133" s="89">
        <v>46125</v>
      </c>
      <c r="N133" s="76">
        <v>46112</v>
      </c>
      <c r="Q133" s="86" t="s">
        <v>958</v>
      </c>
      <c r="R133" s="90"/>
      <c r="S133" s="87"/>
      <c r="T133" s="87"/>
      <c r="U133" s="87"/>
      <c r="V133" s="93"/>
      <c r="W133" s="91"/>
      <c r="X133" s="87"/>
      <c r="Y133" s="92"/>
      <c r="Z133" s="90"/>
      <c r="AA133" s="93"/>
      <c r="AB133" s="87"/>
      <c r="AC133" s="91"/>
      <c r="AD133" s="90"/>
      <c r="AE133" s="86"/>
      <c r="AF133" s="82"/>
      <c r="AG133" s="24"/>
      <c r="AH133" s="93"/>
      <c r="AI133" s="87"/>
      <c r="AJ133" s="86"/>
      <c r="AK133" s="81"/>
      <c r="AL133" s="24"/>
      <c r="AM133" s="24"/>
      <c r="AN133" s="81"/>
      <c r="AO133" s="81"/>
      <c r="AP133" s="24"/>
      <c r="AQ133" s="93"/>
      <c r="AR133" s="94"/>
      <c r="AS133" s="82"/>
      <c r="AT133" s="82"/>
      <c r="AU133" s="24"/>
      <c r="AV133" s="93"/>
      <c r="AW133" s="94"/>
      <c r="AX133" s="95"/>
      <c r="AY133" s="95"/>
      <c r="AZ133" s="95"/>
      <c r="BA133" s="24"/>
      <c r="BB133" s="9" t="s">
        <v>288</v>
      </c>
      <c r="BC133" s="96" t="s">
        <v>93</v>
      </c>
    </row>
    <row r="134" spans="1:55" ht="15" customHeight="1">
      <c r="A134" s="86">
        <f t="shared" si="20"/>
        <v>132</v>
      </c>
      <c r="B134" s="75" t="s">
        <v>291</v>
      </c>
      <c r="C134" s="9"/>
      <c r="D134" s="76" t="s">
        <v>289</v>
      </c>
      <c r="E134" s="88" t="str">
        <f>_xlfn.IFNA(VLOOKUP($D134,'Route-Details'!$B$2:$X$1048576,'Node Details'!E$1,0),"")</f>
        <v>Airtel</v>
      </c>
      <c r="F134" s="88" t="str">
        <f>_xlfn.IFNA(VLOOKUP($D134,'Route-Details'!$B$2:$X$1048576,'Node Details'!F$1,0),"")</f>
        <v>DARIA</v>
      </c>
      <c r="G134" s="88" t="str">
        <f>_xlfn.IFNA(VLOOKUP($D134,'Route-Details'!$B$2:$X$1048576,'Node Details'!G$1,0),"")</f>
        <v>Chandigarh</v>
      </c>
      <c r="H134" s="88" t="str">
        <f>_xlfn.IFNA(VLOOKUP($D135,'Route-Details'!$B$2:$X$1048576,'Node Details'!H$1,0),"")</f>
        <v>Punjab</v>
      </c>
      <c r="I134" s="88" t="str">
        <f>_xlfn.IFNA(VLOOKUP($D134,'Route-Details'!$B$2:$X$1048576,'Node Details'!I$1,0),"")</f>
        <v>AXY</v>
      </c>
      <c r="J134" s="88" t="str">
        <f>_xlfn.IFNA(VLOOKUP($D134,'Route-Details'!$B$2:$X$1048576,'Node Details'!J$1,0),"")</f>
        <v>AXY</v>
      </c>
      <c r="K134" s="76">
        <v>46112</v>
      </c>
      <c r="L134" s="76">
        <v>46113</v>
      </c>
      <c r="M134" s="89">
        <v>46125</v>
      </c>
      <c r="N134" s="76">
        <v>46112</v>
      </c>
      <c r="Q134" s="86" t="s">
        <v>958</v>
      </c>
      <c r="R134" s="90"/>
      <c r="S134" s="87"/>
      <c r="T134" s="87"/>
      <c r="U134" s="87"/>
      <c r="V134" s="93"/>
      <c r="W134" s="91"/>
      <c r="X134" s="87"/>
      <c r="Y134" s="92"/>
      <c r="Z134" s="90"/>
      <c r="AA134" s="93"/>
      <c r="AB134" s="87"/>
      <c r="AC134" s="91"/>
      <c r="AD134" s="90"/>
      <c r="AE134" s="86"/>
      <c r="AF134" s="82"/>
      <c r="AG134" s="24"/>
      <c r="AH134" s="93"/>
      <c r="AI134" s="87"/>
      <c r="AJ134" s="86"/>
      <c r="AK134" s="81"/>
      <c r="AL134" s="24"/>
      <c r="AM134" s="24"/>
      <c r="AN134" s="81"/>
      <c r="AO134" s="81"/>
      <c r="AP134" s="24"/>
      <c r="AQ134" s="93"/>
      <c r="AR134" s="94"/>
      <c r="AS134" s="82"/>
      <c r="AT134" s="82"/>
      <c r="AU134" s="24"/>
      <c r="AV134" s="93"/>
      <c r="AW134" s="94"/>
      <c r="AX134" s="95"/>
      <c r="AY134" s="95"/>
      <c r="AZ134" s="95"/>
      <c r="BA134" s="24"/>
      <c r="BB134" s="9" t="s">
        <v>292</v>
      </c>
      <c r="BC134" s="96" t="s">
        <v>93</v>
      </c>
    </row>
    <row r="135" spans="1:55" ht="15" customHeight="1">
      <c r="A135" s="86">
        <f t="shared" si="20"/>
        <v>133</v>
      </c>
      <c r="B135" s="75" t="s">
        <v>141</v>
      </c>
      <c r="C135" s="9"/>
      <c r="D135" s="76" t="s">
        <v>139</v>
      </c>
      <c r="E135" s="88" t="str">
        <f>_xlfn.IFNA(VLOOKUP($D135,'Route-Details'!$B$2:$X$1048576,'Node Details'!E$1,0),"")</f>
        <v>Airtel</v>
      </c>
      <c r="F135" s="88" t="str">
        <f>_xlfn.IFNA(VLOOKUP($D135,'Route-Details'!$B$2:$X$1048576,'Node Details'!F$1,0),"")</f>
        <v>DARIA</v>
      </c>
      <c r="G135" s="88" t="str">
        <f>_xlfn.IFNA(VLOOKUP($D135,'Route-Details'!$B$2:$X$1048576,'Node Details'!G$1,0),"")</f>
        <v>Chandigarh</v>
      </c>
      <c r="H135" s="88" t="str">
        <f>_xlfn.IFNA(VLOOKUP($D136,'Route-Details'!$B$2:$X$1048576,'Node Details'!H$1,0),"")</f>
        <v>Punjab</v>
      </c>
      <c r="I135" s="88" t="str">
        <f>_xlfn.IFNA(VLOOKUP($D135,'Route-Details'!$B$2:$X$1048576,'Node Details'!I$1,0),"")</f>
        <v>AXY</v>
      </c>
      <c r="J135" s="88" t="str">
        <f>_xlfn.IFNA(VLOOKUP($D135,'Route-Details'!$B$2:$X$1048576,'Node Details'!J$1,0),"")</f>
        <v>AXY</v>
      </c>
      <c r="K135" s="76">
        <v>46112</v>
      </c>
      <c r="L135" s="76">
        <v>46113</v>
      </c>
      <c r="M135" s="89">
        <v>46125</v>
      </c>
      <c r="N135" s="76">
        <v>46112</v>
      </c>
      <c r="Q135" s="86" t="s">
        <v>958</v>
      </c>
      <c r="R135" s="90"/>
      <c r="S135" s="87"/>
      <c r="T135" s="87"/>
      <c r="U135" s="87"/>
      <c r="V135" s="93"/>
      <c r="W135" s="91"/>
      <c r="X135" s="87"/>
      <c r="Y135" s="92"/>
      <c r="Z135" s="90"/>
      <c r="AA135" s="93"/>
      <c r="AB135" s="87"/>
      <c r="AC135" s="91"/>
      <c r="AD135" s="90"/>
      <c r="AE135" s="86"/>
      <c r="AF135" s="82"/>
      <c r="AG135" s="24"/>
      <c r="AH135" s="93"/>
      <c r="AI135" s="87"/>
      <c r="AJ135" s="86"/>
      <c r="AK135" s="81"/>
      <c r="AL135" s="24"/>
      <c r="AM135" s="24"/>
      <c r="AN135" s="81"/>
      <c r="AO135" s="81"/>
      <c r="AP135" s="24"/>
      <c r="AQ135" s="93"/>
      <c r="AR135" s="94"/>
      <c r="AS135" s="82"/>
      <c r="AT135" s="82"/>
      <c r="AU135" s="24"/>
      <c r="AV135" s="93"/>
      <c r="AW135" s="94"/>
      <c r="AX135" s="95"/>
      <c r="AY135" s="95"/>
      <c r="AZ135" s="95"/>
      <c r="BA135" s="24"/>
      <c r="BB135" s="9" t="s">
        <v>92</v>
      </c>
      <c r="BC135" s="96" t="s">
        <v>93</v>
      </c>
    </row>
    <row r="136" spans="1:55" ht="15" customHeight="1">
      <c r="A136" s="86">
        <f t="shared" si="20"/>
        <v>134</v>
      </c>
      <c r="B136" s="75" t="s">
        <v>295</v>
      </c>
      <c r="C136" s="9"/>
      <c r="D136" s="76" t="s">
        <v>293</v>
      </c>
      <c r="E136" s="88" t="str">
        <f>_xlfn.IFNA(VLOOKUP($D136,'Route-Details'!$B$2:$X$1048576,'Node Details'!E$1,0),"")</f>
        <v>Airtel</v>
      </c>
      <c r="F136" s="88" t="str">
        <f>_xlfn.IFNA(VLOOKUP($D136,'Route-Details'!$B$2:$X$1048576,'Node Details'!F$1,0),"")</f>
        <v>DARIA</v>
      </c>
      <c r="G136" s="88" t="str">
        <f>_xlfn.IFNA(VLOOKUP($D136,'Route-Details'!$B$2:$X$1048576,'Node Details'!G$1,0),"")</f>
        <v>Chandigarh</v>
      </c>
      <c r="H136" s="88" t="str">
        <f>_xlfn.IFNA(VLOOKUP($D137,'Route-Details'!$B$2:$X$1048576,'Node Details'!H$1,0),"")</f>
        <v>Punjab</v>
      </c>
      <c r="I136" s="88" t="str">
        <f>_xlfn.IFNA(VLOOKUP($D136,'Route-Details'!$B$2:$X$1048576,'Node Details'!I$1,0),"")</f>
        <v>AXY</v>
      </c>
      <c r="J136" s="88" t="str">
        <f>_xlfn.IFNA(VLOOKUP($D136,'Route-Details'!$B$2:$X$1048576,'Node Details'!J$1,0),"")</f>
        <v>AXY</v>
      </c>
      <c r="K136" s="76">
        <v>46112</v>
      </c>
      <c r="L136" s="76">
        <v>46113</v>
      </c>
      <c r="M136" s="89">
        <v>46125</v>
      </c>
      <c r="N136" s="76">
        <v>46112</v>
      </c>
      <c r="Q136" s="86" t="s">
        <v>958</v>
      </c>
      <c r="R136" s="90"/>
      <c r="S136" s="87"/>
      <c r="T136" s="87"/>
      <c r="U136" s="87"/>
      <c r="V136" s="93"/>
      <c r="W136" s="91"/>
      <c r="X136" s="87"/>
      <c r="Y136" s="92"/>
      <c r="Z136" s="90"/>
      <c r="AA136" s="93"/>
      <c r="AB136" s="87"/>
      <c r="AC136" s="91"/>
      <c r="AD136" s="90"/>
      <c r="AE136" s="86"/>
      <c r="AF136" s="82"/>
      <c r="AG136" s="24"/>
      <c r="AH136" s="93"/>
      <c r="AI136" s="87"/>
      <c r="AJ136" s="86"/>
      <c r="AK136" s="81"/>
      <c r="AL136" s="24"/>
      <c r="AM136" s="24"/>
      <c r="AN136" s="81"/>
      <c r="AO136" s="81"/>
      <c r="AP136" s="24"/>
      <c r="AQ136" s="93"/>
      <c r="AR136" s="94"/>
      <c r="AS136" s="82"/>
      <c r="AT136" s="82"/>
      <c r="AU136" s="24"/>
      <c r="AV136" s="93"/>
      <c r="AW136" s="94"/>
      <c r="AX136" s="95"/>
      <c r="AY136" s="95"/>
      <c r="AZ136" s="95"/>
      <c r="BA136" s="24"/>
      <c r="BB136" s="9" t="s">
        <v>296</v>
      </c>
      <c r="BC136" s="96" t="s">
        <v>93</v>
      </c>
    </row>
    <row r="137" spans="1:55" ht="15" customHeight="1">
      <c r="A137" s="86">
        <f t="shared" si="20"/>
        <v>135</v>
      </c>
      <c r="B137" s="75" t="s">
        <v>299</v>
      </c>
      <c r="C137" s="9"/>
      <c r="D137" s="76" t="s">
        <v>297</v>
      </c>
      <c r="E137" s="88" t="str">
        <f>_xlfn.IFNA(VLOOKUP($D137,'Route-Details'!$B$2:$X$1048576,'Node Details'!E$1,0),"")</f>
        <v>Airtel</v>
      </c>
      <c r="F137" s="88" t="str">
        <f>_xlfn.IFNA(VLOOKUP($D137,'Route-Details'!$B$2:$X$1048576,'Node Details'!F$1,0),"")</f>
        <v>DARIA</v>
      </c>
      <c r="G137" s="88" t="str">
        <f>_xlfn.IFNA(VLOOKUP($D137,'Route-Details'!$B$2:$X$1048576,'Node Details'!G$1,0),"")</f>
        <v>Chandigarh</v>
      </c>
      <c r="H137" s="88" t="str">
        <f>_xlfn.IFNA(VLOOKUP($D138,'Route-Details'!$B$2:$X$1048576,'Node Details'!H$1,0),"")</f>
        <v>Punjab</v>
      </c>
      <c r="I137" s="88" t="str">
        <f>_xlfn.IFNA(VLOOKUP($D137,'Route-Details'!$B$2:$X$1048576,'Node Details'!I$1,0),"")</f>
        <v>AXY</v>
      </c>
      <c r="J137" s="88" t="str">
        <f>_xlfn.IFNA(VLOOKUP($D137,'Route-Details'!$B$2:$X$1048576,'Node Details'!J$1,0),"")</f>
        <v>AXY</v>
      </c>
      <c r="K137" s="76">
        <v>46112</v>
      </c>
      <c r="L137" s="76">
        <v>46113</v>
      </c>
      <c r="M137" s="89">
        <v>46125</v>
      </c>
      <c r="N137" s="76">
        <v>46112</v>
      </c>
      <c r="Q137" s="86" t="s">
        <v>958</v>
      </c>
      <c r="R137" s="90"/>
      <c r="S137" s="87"/>
      <c r="T137" s="87"/>
      <c r="U137" s="87"/>
      <c r="V137" s="93"/>
      <c r="W137" s="91"/>
      <c r="X137" s="87"/>
      <c r="Y137" s="92"/>
      <c r="Z137" s="90"/>
      <c r="AA137" s="93"/>
      <c r="AB137" s="87"/>
      <c r="AC137" s="91"/>
      <c r="AD137" s="90"/>
      <c r="AE137" s="86"/>
      <c r="AF137" s="82"/>
      <c r="AG137" s="24"/>
      <c r="AH137" s="93"/>
      <c r="AI137" s="87"/>
      <c r="AJ137" s="86"/>
      <c r="AK137" s="81"/>
      <c r="AL137" s="24"/>
      <c r="AM137" s="24"/>
      <c r="AN137" s="81"/>
      <c r="AO137" s="81"/>
      <c r="AP137" s="24"/>
      <c r="AQ137" s="93"/>
      <c r="AR137" s="94"/>
      <c r="AS137" s="82"/>
      <c r="AT137" s="82"/>
      <c r="AU137" s="24"/>
      <c r="AV137" s="93"/>
      <c r="AW137" s="94"/>
      <c r="AX137" s="95"/>
      <c r="AY137" s="95"/>
      <c r="AZ137" s="95"/>
      <c r="BA137" s="24"/>
      <c r="BB137" s="9" t="s">
        <v>300</v>
      </c>
      <c r="BC137" s="96" t="s">
        <v>93</v>
      </c>
    </row>
    <row r="138" spans="1:55" ht="15" customHeight="1">
      <c r="A138" s="86">
        <f t="shared" si="20"/>
        <v>136</v>
      </c>
      <c r="B138" s="75" t="s">
        <v>1024</v>
      </c>
      <c r="C138" s="9"/>
      <c r="D138" s="76" t="s">
        <v>301</v>
      </c>
      <c r="E138" s="88" t="str">
        <f>_xlfn.IFNA(VLOOKUP($D138,'Route-Details'!$B$2:$X$1048576,'Node Details'!E$1,0),"")</f>
        <v>Airtel</v>
      </c>
      <c r="F138" s="88" t="str">
        <f>_xlfn.IFNA(VLOOKUP($D138,'Route-Details'!$B$2:$X$1048576,'Node Details'!F$1,0),"")</f>
        <v>DARIA</v>
      </c>
      <c r="G138" s="88" t="str">
        <f>_xlfn.IFNA(VLOOKUP($D138,'Route-Details'!$B$2:$X$1048576,'Node Details'!G$1,0),"")</f>
        <v>Chandigarh</v>
      </c>
      <c r="H138" s="88" t="str">
        <f>_xlfn.IFNA(VLOOKUP($D139,'Route-Details'!$B$2:$X$1048576,'Node Details'!H$1,0),"")</f>
        <v>Punjab</v>
      </c>
      <c r="I138" s="88" t="str">
        <f>_xlfn.IFNA(VLOOKUP($D138,'Route-Details'!$B$2:$X$1048576,'Node Details'!I$1,0),"")</f>
        <v>AXY</v>
      </c>
      <c r="J138" s="88" t="str">
        <f>_xlfn.IFNA(VLOOKUP($D138,'Route-Details'!$B$2:$X$1048576,'Node Details'!J$1,0),"")</f>
        <v>AXY</v>
      </c>
      <c r="K138" s="76">
        <v>46112</v>
      </c>
      <c r="L138" s="76">
        <v>46113</v>
      </c>
      <c r="M138" s="89">
        <v>46125</v>
      </c>
      <c r="N138" s="76">
        <v>46112</v>
      </c>
      <c r="Q138" s="86" t="s">
        <v>958</v>
      </c>
      <c r="R138" s="90"/>
      <c r="S138" s="87"/>
      <c r="T138" s="87"/>
      <c r="U138" s="87"/>
      <c r="V138" s="93"/>
      <c r="W138" s="91"/>
      <c r="X138" s="87"/>
      <c r="Y138" s="92"/>
      <c r="Z138" s="90"/>
      <c r="AA138" s="93"/>
      <c r="AB138" s="87"/>
      <c r="AC138" s="91"/>
      <c r="AD138" s="90"/>
      <c r="AE138" s="86"/>
      <c r="AF138" s="82"/>
      <c r="AG138" s="24"/>
      <c r="AH138" s="93"/>
      <c r="AI138" s="87"/>
      <c r="AJ138" s="86"/>
      <c r="AK138" s="81"/>
      <c r="AL138" s="24"/>
      <c r="AM138" s="24"/>
      <c r="AN138" s="81"/>
      <c r="AO138" s="81"/>
      <c r="AP138" s="24"/>
      <c r="AQ138" s="93"/>
      <c r="AR138" s="94"/>
      <c r="AS138" s="82"/>
      <c r="AT138" s="82"/>
      <c r="AU138" s="24"/>
      <c r="AV138" s="93"/>
      <c r="AW138" s="94"/>
      <c r="AX138" s="95"/>
      <c r="AY138" s="95"/>
      <c r="AZ138" s="95"/>
      <c r="BA138" s="24"/>
      <c r="BB138" s="9" t="s">
        <v>303</v>
      </c>
      <c r="BC138" s="96" t="s">
        <v>93</v>
      </c>
    </row>
    <row r="139" spans="1:55" ht="15" customHeight="1">
      <c r="A139" s="86">
        <f t="shared" si="20"/>
        <v>137</v>
      </c>
      <c r="B139" s="75" t="s">
        <v>302</v>
      </c>
      <c r="C139" s="9"/>
      <c r="D139" s="76" t="s">
        <v>301</v>
      </c>
      <c r="E139" s="88" t="str">
        <f>_xlfn.IFNA(VLOOKUP($D139,'Route-Details'!$B$2:$X$1048576,'Node Details'!E$1,0),"")</f>
        <v>Airtel</v>
      </c>
      <c r="F139" s="88" t="str">
        <f>_xlfn.IFNA(VLOOKUP($D139,'Route-Details'!$B$2:$X$1048576,'Node Details'!F$1,0),"")</f>
        <v>DARIA</v>
      </c>
      <c r="G139" s="88" t="str">
        <f>_xlfn.IFNA(VLOOKUP($D139,'Route-Details'!$B$2:$X$1048576,'Node Details'!G$1,0),"")</f>
        <v>Chandigarh</v>
      </c>
      <c r="H139" s="88" t="str">
        <f>_xlfn.IFNA(VLOOKUP($D140,'Route-Details'!$B$2:$X$1048576,'Node Details'!H$1,0),"")</f>
        <v>Punjab</v>
      </c>
      <c r="I139" s="88" t="str">
        <f>_xlfn.IFNA(VLOOKUP($D139,'Route-Details'!$B$2:$X$1048576,'Node Details'!I$1,0),"")</f>
        <v>AXY</v>
      </c>
      <c r="J139" s="88" t="str">
        <f>_xlfn.IFNA(VLOOKUP($D139,'Route-Details'!$B$2:$X$1048576,'Node Details'!J$1,0),"")</f>
        <v>AXY</v>
      </c>
      <c r="K139" s="76">
        <v>46112</v>
      </c>
      <c r="L139" s="76">
        <v>46113</v>
      </c>
      <c r="M139" s="89">
        <v>46125</v>
      </c>
      <c r="N139" s="76">
        <v>46112</v>
      </c>
      <c r="Q139" s="86" t="s">
        <v>958</v>
      </c>
      <c r="R139" s="90"/>
      <c r="S139" s="87"/>
      <c r="T139" s="87"/>
      <c r="U139" s="87"/>
      <c r="V139" s="93"/>
      <c r="W139" s="91"/>
      <c r="X139" s="87"/>
      <c r="Y139" s="92"/>
      <c r="Z139" s="90"/>
      <c r="AA139" s="93"/>
      <c r="AB139" s="87"/>
      <c r="AC139" s="91"/>
      <c r="AD139" s="90"/>
      <c r="AE139" s="86"/>
      <c r="AF139" s="82"/>
      <c r="AG139" s="24"/>
      <c r="AH139" s="93"/>
      <c r="AI139" s="87"/>
      <c r="AJ139" s="86"/>
      <c r="AK139" s="81"/>
      <c r="AL139" s="24"/>
      <c r="AM139" s="24"/>
      <c r="AN139" s="81"/>
      <c r="AO139" s="81"/>
      <c r="AP139" s="24"/>
      <c r="AQ139" s="93"/>
      <c r="AR139" s="94"/>
      <c r="AS139" s="82"/>
      <c r="AT139" s="82"/>
      <c r="AU139" s="24"/>
      <c r="AV139" s="93"/>
      <c r="AW139" s="94"/>
      <c r="AX139" s="95"/>
      <c r="AY139" s="95"/>
      <c r="AZ139" s="95"/>
      <c r="BA139" s="24"/>
      <c r="BB139" s="9" t="s">
        <v>303</v>
      </c>
      <c r="BC139" s="96" t="s">
        <v>93</v>
      </c>
    </row>
    <row r="140" spans="1:55" ht="15" customHeight="1">
      <c r="A140" s="86">
        <f t="shared" si="20"/>
        <v>138</v>
      </c>
      <c r="B140" s="75" t="s">
        <v>1025</v>
      </c>
      <c r="C140" s="9"/>
      <c r="D140" s="76" t="s">
        <v>146</v>
      </c>
      <c r="E140" s="88" t="str">
        <f>_xlfn.IFNA(VLOOKUP($D140,'Route-Details'!$B$2:$X$1048576,'Node Details'!E$1,0),"")</f>
        <v>Airtel</v>
      </c>
      <c r="F140" s="88" t="str">
        <f>_xlfn.IFNA(VLOOKUP($D140,'Route-Details'!$B$2:$X$1048576,'Node Details'!F$1,0),"")</f>
        <v>DARIA</v>
      </c>
      <c r="G140" s="88" t="str">
        <f>_xlfn.IFNA(VLOOKUP($D140,'Route-Details'!$B$2:$X$1048576,'Node Details'!G$1,0),"")</f>
        <v>Chandigarh</v>
      </c>
      <c r="H140" s="88" t="str">
        <f>_xlfn.IFNA(VLOOKUP($D141,'Route-Details'!$B$2:$X$1048576,'Node Details'!H$1,0),"")</f>
        <v>Punjab</v>
      </c>
      <c r="I140" s="88" t="str">
        <f>_xlfn.IFNA(VLOOKUP($D140,'Route-Details'!$B$2:$X$1048576,'Node Details'!I$1,0),"")</f>
        <v>AXY</v>
      </c>
      <c r="J140" s="88" t="str">
        <f>_xlfn.IFNA(VLOOKUP($D140,'Route-Details'!$B$2:$X$1048576,'Node Details'!J$1,0),"")</f>
        <v>AXY</v>
      </c>
      <c r="K140" s="76">
        <v>46112</v>
      </c>
      <c r="L140" s="76">
        <v>46113</v>
      </c>
      <c r="M140" s="89">
        <v>46125</v>
      </c>
      <c r="N140" s="76">
        <v>46112</v>
      </c>
      <c r="Q140" s="86" t="s">
        <v>958</v>
      </c>
      <c r="R140" s="90"/>
      <c r="S140" s="87"/>
      <c r="T140" s="87"/>
      <c r="U140" s="87"/>
      <c r="V140" s="93"/>
      <c r="W140" s="91"/>
      <c r="X140" s="87"/>
      <c r="Y140" s="92"/>
      <c r="Z140" s="90"/>
      <c r="AA140" s="93"/>
      <c r="AB140" s="87"/>
      <c r="AC140" s="91"/>
      <c r="AD140" s="90"/>
      <c r="AE140" s="86"/>
      <c r="AF140" s="82"/>
      <c r="AG140" s="24"/>
      <c r="AH140" s="93"/>
      <c r="AI140" s="87"/>
      <c r="AJ140" s="86"/>
      <c r="AK140" s="81"/>
      <c r="AL140" s="24"/>
      <c r="AM140" s="24"/>
      <c r="AN140" s="81"/>
      <c r="AO140" s="81"/>
      <c r="AP140" s="24"/>
      <c r="AQ140" s="93"/>
      <c r="AR140" s="94"/>
      <c r="AS140" s="82"/>
      <c r="AT140" s="82"/>
      <c r="AU140" s="24"/>
      <c r="AV140" s="93"/>
      <c r="AW140" s="94"/>
      <c r="AX140" s="95"/>
      <c r="AY140" s="95"/>
      <c r="AZ140" s="95"/>
      <c r="BA140" s="24"/>
      <c r="BB140" s="9" t="s">
        <v>96</v>
      </c>
      <c r="BC140" s="96" t="s">
        <v>93</v>
      </c>
    </row>
    <row r="141" spans="1:55" ht="15" customHeight="1">
      <c r="A141" s="86">
        <f t="shared" si="20"/>
        <v>139</v>
      </c>
      <c r="B141" s="75" t="s">
        <v>306</v>
      </c>
      <c r="C141" s="9"/>
      <c r="D141" s="76" t="s">
        <v>304</v>
      </c>
      <c r="E141" s="88" t="str">
        <f>_xlfn.IFNA(VLOOKUP($D141,'Route-Details'!$B$2:$X$1048576,'Node Details'!E$1,0),"")</f>
        <v>Airtel</v>
      </c>
      <c r="F141" s="88" t="str">
        <f>_xlfn.IFNA(VLOOKUP($D141,'Route-Details'!$B$2:$X$1048576,'Node Details'!F$1,0),"")</f>
        <v>DARIA</v>
      </c>
      <c r="G141" s="88" t="str">
        <f>_xlfn.IFNA(VLOOKUP($D141,'Route-Details'!$B$2:$X$1048576,'Node Details'!G$1,0),"")</f>
        <v>Chandigarh</v>
      </c>
      <c r="H141" s="88" t="str">
        <f>_xlfn.IFNA(VLOOKUP($D142,'Route-Details'!$B$2:$X$1048576,'Node Details'!H$1,0),"")</f>
        <v>Punjab</v>
      </c>
      <c r="I141" s="88" t="str">
        <f>_xlfn.IFNA(VLOOKUP($D141,'Route-Details'!$B$2:$X$1048576,'Node Details'!I$1,0),"")</f>
        <v>AXY</v>
      </c>
      <c r="J141" s="88" t="str">
        <f>_xlfn.IFNA(VLOOKUP($D141,'Route-Details'!$B$2:$X$1048576,'Node Details'!J$1,0),"")</f>
        <v>AXY</v>
      </c>
      <c r="K141" s="76">
        <v>46112</v>
      </c>
      <c r="L141" s="76">
        <v>46113</v>
      </c>
      <c r="M141" s="89">
        <v>46125</v>
      </c>
      <c r="N141" s="76">
        <v>46112</v>
      </c>
      <c r="Q141" s="86" t="s">
        <v>958</v>
      </c>
      <c r="R141" s="90"/>
      <c r="S141" s="87"/>
      <c r="T141" s="87"/>
      <c r="U141" s="87"/>
      <c r="V141" s="93"/>
      <c r="W141" s="91"/>
      <c r="X141" s="87"/>
      <c r="Y141" s="92"/>
      <c r="Z141" s="90"/>
      <c r="AA141" s="93"/>
      <c r="AB141" s="87"/>
      <c r="AC141" s="91"/>
      <c r="AD141" s="90"/>
      <c r="AE141" s="86"/>
      <c r="AF141" s="82"/>
      <c r="AG141" s="24"/>
      <c r="AH141" s="93"/>
      <c r="AI141" s="87"/>
      <c r="AJ141" s="86"/>
      <c r="AK141" s="81"/>
      <c r="AL141" s="24"/>
      <c r="AM141" s="24"/>
      <c r="AN141" s="81"/>
      <c r="AO141" s="81"/>
      <c r="AP141" s="24"/>
      <c r="AQ141" s="93"/>
      <c r="AR141" s="94"/>
      <c r="AS141" s="82"/>
      <c r="AT141" s="82"/>
      <c r="AU141" s="24"/>
      <c r="AV141" s="93"/>
      <c r="AW141" s="94"/>
      <c r="AX141" s="95"/>
      <c r="AY141" s="95"/>
      <c r="AZ141" s="95"/>
      <c r="BA141" s="24"/>
      <c r="BB141" s="9" t="s">
        <v>307</v>
      </c>
      <c r="BC141" s="96" t="s">
        <v>93</v>
      </c>
    </row>
    <row r="142" spans="1:55" ht="15" customHeight="1">
      <c r="A142" s="86">
        <f t="shared" si="20"/>
        <v>140</v>
      </c>
      <c r="B142" s="75" t="s">
        <v>1026</v>
      </c>
      <c r="C142" s="9"/>
      <c r="D142" s="76" t="s">
        <v>308</v>
      </c>
      <c r="E142" s="88" t="str">
        <f>_xlfn.IFNA(VLOOKUP($D142,'Route-Details'!$B$2:$X$1048576,'Node Details'!E$1,0),"")</f>
        <v>Airtel</v>
      </c>
      <c r="F142" s="88" t="str">
        <f>_xlfn.IFNA(VLOOKUP($D142,'Route-Details'!$B$2:$X$1048576,'Node Details'!F$1,0),"")</f>
        <v>DARIA</v>
      </c>
      <c r="G142" s="88" t="str">
        <f>_xlfn.IFNA(VLOOKUP($D142,'Route-Details'!$B$2:$X$1048576,'Node Details'!G$1,0),"")</f>
        <v>Chandigarh</v>
      </c>
      <c r="H142" s="88" t="str">
        <f>_xlfn.IFNA(VLOOKUP($D143,'Route-Details'!$B$2:$X$1048576,'Node Details'!H$1,0),"")</f>
        <v>Punjab</v>
      </c>
      <c r="I142" s="88" t="str">
        <f>_xlfn.IFNA(VLOOKUP($D142,'Route-Details'!$B$2:$X$1048576,'Node Details'!I$1,0),"")</f>
        <v>AXY</v>
      </c>
      <c r="J142" s="88" t="str">
        <f>_xlfn.IFNA(VLOOKUP($D142,'Route-Details'!$B$2:$X$1048576,'Node Details'!J$1,0),"")</f>
        <v>AXY</v>
      </c>
      <c r="K142" s="76">
        <v>46112</v>
      </c>
      <c r="L142" s="76">
        <v>46113</v>
      </c>
      <c r="M142" s="89">
        <v>46125</v>
      </c>
      <c r="N142" s="76">
        <v>46112</v>
      </c>
      <c r="Q142" s="86" t="s">
        <v>958</v>
      </c>
      <c r="R142" s="90"/>
      <c r="S142" s="87"/>
      <c r="T142" s="87"/>
      <c r="U142" s="87"/>
      <c r="V142" s="93"/>
      <c r="W142" s="91"/>
      <c r="X142" s="87"/>
      <c r="Y142" s="92"/>
      <c r="Z142" s="90"/>
      <c r="AA142" s="93"/>
      <c r="AB142" s="87"/>
      <c r="AC142" s="91"/>
      <c r="AD142" s="90"/>
      <c r="AE142" s="86"/>
      <c r="AF142" s="82"/>
      <c r="AG142" s="24"/>
      <c r="AH142" s="93"/>
      <c r="AI142" s="87"/>
      <c r="AJ142" s="86"/>
      <c r="AK142" s="81"/>
      <c r="AL142" s="24"/>
      <c r="AM142" s="24"/>
      <c r="AN142" s="81"/>
      <c r="AO142" s="81"/>
      <c r="AP142" s="24"/>
      <c r="AQ142" s="93"/>
      <c r="AR142" s="94"/>
      <c r="AS142" s="82"/>
      <c r="AT142" s="82"/>
      <c r="AU142" s="24"/>
      <c r="AV142" s="93"/>
      <c r="AW142" s="94"/>
      <c r="AX142" s="95"/>
      <c r="AY142" s="95"/>
      <c r="AZ142" s="95"/>
      <c r="BA142" s="24"/>
      <c r="BB142" s="9" t="s">
        <v>310</v>
      </c>
      <c r="BC142" s="96" t="s">
        <v>93</v>
      </c>
    </row>
    <row r="143" spans="1:55" ht="15" customHeight="1">
      <c r="A143" s="86">
        <f t="shared" si="20"/>
        <v>141</v>
      </c>
      <c r="B143" s="75" t="s">
        <v>1027</v>
      </c>
      <c r="C143" s="9"/>
      <c r="D143" s="76" t="s">
        <v>308</v>
      </c>
      <c r="E143" s="88" t="str">
        <f>_xlfn.IFNA(VLOOKUP($D143,'Route-Details'!$B$2:$X$1048576,'Node Details'!E$1,0),"")</f>
        <v>Airtel</v>
      </c>
      <c r="F143" s="88" t="str">
        <f>_xlfn.IFNA(VLOOKUP($D143,'Route-Details'!$B$2:$X$1048576,'Node Details'!F$1,0),"")</f>
        <v>DARIA</v>
      </c>
      <c r="G143" s="88" t="str">
        <f>_xlfn.IFNA(VLOOKUP($D143,'Route-Details'!$B$2:$X$1048576,'Node Details'!G$1,0),"")</f>
        <v>Chandigarh</v>
      </c>
      <c r="H143" s="88" t="str">
        <f>_xlfn.IFNA(VLOOKUP($D144,'Route-Details'!$B$2:$X$1048576,'Node Details'!H$1,0),"")</f>
        <v>Punjab</v>
      </c>
      <c r="I143" s="88" t="str">
        <f>_xlfn.IFNA(VLOOKUP($D143,'Route-Details'!$B$2:$X$1048576,'Node Details'!I$1,0),"")</f>
        <v>AXY</v>
      </c>
      <c r="J143" s="88" t="str">
        <f>_xlfn.IFNA(VLOOKUP($D143,'Route-Details'!$B$2:$X$1048576,'Node Details'!J$1,0),"")</f>
        <v>AXY</v>
      </c>
      <c r="K143" s="76">
        <v>46112</v>
      </c>
      <c r="L143" s="76">
        <v>46113</v>
      </c>
      <c r="M143" s="89">
        <v>46125</v>
      </c>
      <c r="N143" s="76">
        <v>46112</v>
      </c>
      <c r="Q143" s="86" t="s">
        <v>958</v>
      </c>
      <c r="R143" s="90"/>
      <c r="S143" s="87"/>
      <c r="T143" s="87"/>
      <c r="U143" s="87"/>
      <c r="V143" s="93"/>
      <c r="W143" s="91"/>
      <c r="X143" s="87"/>
      <c r="Y143" s="92"/>
      <c r="Z143" s="90"/>
      <c r="AA143" s="93"/>
      <c r="AB143" s="87"/>
      <c r="AC143" s="91"/>
      <c r="AD143" s="90"/>
      <c r="AE143" s="86"/>
      <c r="AF143" s="82"/>
      <c r="AG143" s="24"/>
      <c r="AH143" s="93"/>
      <c r="AI143" s="87"/>
      <c r="AJ143" s="86"/>
      <c r="AK143" s="81"/>
      <c r="AL143" s="24"/>
      <c r="AM143" s="24"/>
      <c r="AN143" s="81"/>
      <c r="AO143" s="81"/>
      <c r="AP143" s="24"/>
      <c r="AQ143" s="93"/>
      <c r="AR143" s="94"/>
      <c r="AS143" s="82"/>
      <c r="AT143" s="82"/>
      <c r="AU143" s="24"/>
      <c r="AV143" s="93"/>
      <c r="AW143" s="94"/>
      <c r="AX143" s="95"/>
      <c r="AY143" s="95"/>
      <c r="AZ143" s="95"/>
      <c r="BA143" s="24"/>
      <c r="BB143" s="9" t="s">
        <v>310</v>
      </c>
      <c r="BC143" s="96" t="s">
        <v>93</v>
      </c>
    </row>
    <row r="144" spans="1:55" ht="15" customHeight="1">
      <c r="A144" s="86">
        <f t="shared" si="20"/>
        <v>142</v>
      </c>
      <c r="B144" s="75" t="s">
        <v>309</v>
      </c>
      <c r="C144" s="9"/>
      <c r="D144" s="76" t="s">
        <v>308</v>
      </c>
      <c r="E144" s="88" t="str">
        <f>_xlfn.IFNA(VLOOKUP($D144,'Route-Details'!$B$2:$X$1048576,'Node Details'!E$1,0),"")</f>
        <v>Airtel</v>
      </c>
      <c r="F144" s="88" t="str">
        <f>_xlfn.IFNA(VLOOKUP($D144,'Route-Details'!$B$2:$X$1048576,'Node Details'!F$1,0),"")</f>
        <v>DARIA</v>
      </c>
      <c r="G144" s="88" t="str">
        <f>_xlfn.IFNA(VLOOKUP($D144,'Route-Details'!$B$2:$X$1048576,'Node Details'!G$1,0),"")</f>
        <v>Chandigarh</v>
      </c>
      <c r="H144" s="88" t="str">
        <f>_xlfn.IFNA(VLOOKUP($D145,'Route-Details'!$B$2:$X$1048576,'Node Details'!H$1,0),"")</f>
        <v>Punjab</v>
      </c>
      <c r="I144" s="88" t="str">
        <f>_xlfn.IFNA(VLOOKUP($D144,'Route-Details'!$B$2:$X$1048576,'Node Details'!I$1,0),"")</f>
        <v>AXY</v>
      </c>
      <c r="J144" s="88" t="str">
        <f>_xlfn.IFNA(VLOOKUP($D144,'Route-Details'!$B$2:$X$1048576,'Node Details'!J$1,0),"")</f>
        <v>AXY</v>
      </c>
      <c r="K144" s="76">
        <v>46112</v>
      </c>
      <c r="L144" s="76">
        <v>46113</v>
      </c>
      <c r="M144" s="89">
        <v>46125</v>
      </c>
      <c r="N144" s="76">
        <v>46112</v>
      </c>
      <c r="Q144" s="86" t="s">
        <v>958</v>
      </c>
      <c r="R144" s="90"/>
      <c r="S144" s="87"/>
      <c r="T144" s="87"/>
      <c r="U144" s="87"/>
      <c r="V144" s="93"/>
      <c r="W144" s="91"/>
      <c r="X144" s="87"/>
      <c r="Y144" s="92"/>
      <c r="Z144" s="90"/>
      <c r="AA144" s="93"/>
      <c r="AB144" s="87"/>
      <c r="AC144" s="91"/>
      <c r="AD144" s="90"/>
      <c r="AE144" s="86"/>
      <c r="AF144" s="82"/>
      <c r="AG144" s="24"/>
      <c r="AH144" s="93"/>
      <c r="AI144" s="87"/>
      <c r="AJ144" s="86"/>
      <c r="AK144" s="81"/>
      <c r="AL144" s="24"/>
      <c r="AM144" s="24"/>
      <c r="AN144" s="81"/>
      <c r="AO144" s="81"/>
      <c r="AP144" s="24"/>
      <c r="AQ144" s="93"/>
      <c r="AR144" s="94"/>
      <c r="AS144" s="82"/>
      <c r="AT144" s="82"/>
      <c r="AU144" s="24"/>
      <c r="AV144" s="93"/>
      <c r="AW144" s="94"/>
      <c r="AX144" s="95"/>
      <c r="AY144" s="95"/>
      <c r="AZ144" s="95"/>
      <c r="BA144" s="24"/>
      <c r="BB144" s="9" t="s">
        <v>310</v>
      </c>
      <c r="BC144" s="96" t="s">
        <v>93</v>
      </c>
    </row>
    <row r="145" spans="1:55" ht="15" customHeight="1">
      <c r="A145" s="86">
        <f t="shared" si="20"/>
        <v>143</v>
      </c>
      <c r="B145" s="75" t="s">
        <v>1028</v>
      </c>
      <c r="C145" s="9"/>
      <c r="D145" s="76" t="s">
        <v>311</v>
      </c>
      <c r="E145" s="88" t="str">
        <f>_xlfn.IFNA(VLOOKUP($D145,'Route-Details'!$B$2:$X$1048576,'Node Details'!E$1,0),"")</f>
        <v>Airtel</v>
      </c>
      <c r="F145" s="88" t="str">
        <f>_xlfn.IFNA(VLOOKUP($D145,'Route-Details'!$B$2:$X$1048576,'Node Details'!F$1,0),"")</f>
        <v>DARIA</v>
      </c>
      <c r="G145" s="88" t="str">
        <f>_xlfn.IFNA(VLOOKUP($D145,'Route-Details'!$B$2:$X$1048576,'Node Details'!G$1,0),"")</f>
        <v>Chandigarh</v>
      </c>
      <c r="H145" s="88" t="str">
        <f>_xlfn.IFNA(VLOOKUP($D146,'Route-Details'!$B$2:$X$1048576,'Node Details'!H$1,0),"")</f>
        <v>Punjab</v>
      </c>
      <c r="I145" s="88" t="str">
        <f>_xlfn.IFNA(VLOOKUP($D145,'Route-Details'!$B$2:$X$1048576,'Node Details'!I$1,0),"")</f>
        <v>AXY</v>
      </c>
      <c r="J145" s="88" t="str">
        <f>_xlfn.IFNA(VLOOKUP($D145,'Route-Details'!$B$2:$X$1048576,'Node Details'!J$1,0),"")</f>
        <v>AXY</v>
      </c>
      <c r="K145" s="76">
        <v>46112</v>
      </c>
      <c r="L145" s="76">
        <v>46113</v>
      </c>
      <c r="M145" s="89">
        <v>46125</v>
      </c>
      <c r="N145" s="76">
        <v>46112</v>
      </c>
      <c r="Q145" s="86" t="s">
        <v>958</v>
      </c>
      <c r="R145" s="90"/>
      <c r="S145" s="87"/>
      <c r="T145" s="87"/>
      <c r="U145" s="87"/>
      <c r="V145" s="93"/>
      <c r="W145" s="91"/>
      <c r="X145" s="87"/>
      <c r="Y145" s="92"/>
      <c r="Z145" s="90"/>
      <c r="AA145" s="93"/>
      <c r="AB145" s="87"/>
      <c r="AC145" s="91"/>
      <c r="AD145" s="90"/>
      <c r="AE145" s="86"/>
      <c r="AF145" s="82"/>
      <c r="AG145" s="24"/>
      <c r="AH145" s="93"/>
      <c r="AI145" s="87"/>
      <c r="AJ145" s="86"/>
      <c r="AK145" s="81"/>
      <c r="AL145" s="24"/>
      <c r="AM145" s="24"/>
      <c r="AN145" s="81"/>
      <c r="AO145" s="81"/>
      <c r="AP145" s="24"/>
      <c r="AQ145" s="93"/>
      <c r="AR145" s="94"/>
      <c r="AS145" s="82"/>
      <c r="AT145" s="82"/>
      <c r="AU145" s="24"/>
      <c r="AV145" s="93"/>
      <c r="AW145" s="94"/>
      <c r="AX145" s="95"/>
      <c r="AY145" s="95"/>
      <c r="AZ145" s="95"/>
      <c r="BA145" s="24"/>
      <c r="BB145" s="9" t="s">
        <v>313</v>
      </c>
      <c r="BC145" s="96" t="s">
        <v>93</v>
      </c>
    </row>
    <row r="146" spans="1:55" ht="15" customHeight="1">
      <c r="A146" s="86">
        <f t="shared" si="20"/>
        <v>144</v>
      </c>
      <c r="B146" s="75" t="s">
        <v>1029</v>
      </c>
      <c r="C146" s="9"/>
      <c r="D146" s="76" t="s">
        <v>311</v>
      </c>
      <c r="E146" s="88" t="str">
        <f>_xlfn.IFNA(VLOOKUP($D146,'Route-Details'!$B$2:$X$1048576,'Node Details'!E$1,0),"")</f>
        <v>Airtel</v>
      </c>
      <c r="F146" s="88" t="str">
        <f>_xlfn.IFNA(VLOOKUP($D146,'Route-Details'!$B$2:$X$1048576,'Node Details'!F$1,0),"")</f>
        <v>DARIA</v>
      </c>
      <c r="G146" s="88" t="str">
        <f>_xlfn.IFNA(VLOOKUP($D146,'Route-Details'!$B$2:$X$1048576,'Node Details'!G$1,0),"")</f>
        <v>Chandigarh</v>
      </c>
      <c r="H146" s="88" t="str">
        <f>_xlfn.IFNA(VLOOKUP($D147,'Route-Details'!$B$2:$X$1048576,'Node Details'!H$1,0),"")</f>
        <v>Punjab</v>
      </c>
      <c r="I146" s="88" t="str">
        <f>_xlfn.IFNA(VLOOKUP($D146,'Route-Details'!$B$2:$X$1048576,'Node Details'!I$1,0),"")</f>
        <v>AXY</v>
      </c>
      <c r="J146" s="88" t="str">
        <f>_xlfn.IFNA(VLOOKUP($D146,'Route-Details'!$B$2:$X$1048576,'Node Details'!J$1,0),"")</f>
        <v>AXY</v>
      </c>
      <c r="K146" s="76">
        <v>46112</v>
      </c>
      <c r="L146" s="76">
        <v>46113</v>
      </c>
      <c r="M146" s="89">
        <v>46125</v>
      </c>
      <c r="N146" s="76">
        <v>46112</v>
      </c>
      <c r="Q146" s="86" t="s">
        <v>958</v>
      </c>
      <c r="R146" s="90"/>
      <c r="S146" s="87"/>
      <c r="T146" s="87"/>
      <c r="U146" s="87"/>
      <c r="V146" s="93"/>
      <c r="W146" s="91"/>
      <c r="X146" s="87"/>
      <c r="Y146" s="92"/>
      <c r="Z146" s="90"/>
      <c r="AA146" s="93"/>
      <c r="AB146" s="87"/>
      <c r="AC146" s="91"/>
      <c r="AD146" s="90"/>
      <c r="AE146" s="86"/>
      <c r="AF146" s="82"/>
      <c r="AG146" s="24"/>
      <c r="AH146" s="93"/>
      <c r="AI146" s="87"/>
      <c r="AJ146" s="86"/>
      <c r="AK146" s="81"/>
      <c r="AL146" s="24"/>
      <c r="AM146" s="24"/>
      <c r="AN146" s="81"/>
      <c r="AO146" s="81"/>
      <c r="AP146" s="24"/>
      <c r="AQ146" s="93"/>
      <c r="AR146" s="94"/>
      <c r="AS146" s="82"/>
      <c r="AT146" s="82"/>
      <c r="AU146" s="24"/>
      <c r="AV146" s="93"/>
      <c r="AW146" s="94"/>
      <c r="AX146" s="95"/>
      <c r="AY146" s="95"/>
      <c r="AZ146" s="95"/>
      <c r="BA146" s="24"/>
      <c r="BB146" s="9" t="s">
        <v>313</v>
      </c>
      <c r="BC146" s="96" t="s">
        <v>93</v>
      </c>
    </row>
    <row r="147" spans="1:55" ht="15" customHeight="1">
      <c r="A147" s="86">
        <f t="shared" si="20"/>
        <v>145</v>
      </c>
      <c r="B147" s="75" t="s">
        <v>1030</v>
      </c>
      <c r="C147" s="9"/>
      <c r="D147" s="76" t="s">
        <v>311</v>
      </c>
      <c r="E147" s="88" t="str">
        <f>_xlfn.IFNA(VLOOKUP($D147,'Route-Details'!$B$2:$X$1048576,'Node Details'!E$1,0),"")</f>
        <v>Airtel</v>
      </c>
      <c r="F147" s="88" t="str">
        <f>_xlfn.IFNA(VLOOKUP($D147,'Route-Details'!$B$2:$X$1048576,'Node Details'!F$1,0),"")</f>
        <v>DARIA</v>
      </c>
      <c r="G147" s="88" t="str">
        <f>_xlfn.IFNA(VLOOKUP($D147,'Route-Details'!$B$2:$X$1048576,'Node Details'!G$1,0),"")</f>
        <v>Chandigarh</v>
      </c>
      <c r="H147" s="88" t="str">
        <f>_xlfn.IFNA(VLOOKUP($D148,'Route-Details'!$B$2:$X$1048576,'Node Details'!H$1,0),"")</f>
        <v>Punjab</v>
      </c>
      <c r="I147" s="88" t="str">
        <f>_xlfn.IFNA(VLOOKUP($D147,'Route-Details'!$B$2:$X$1048576,'Node Details'!I$1,0),"")</f>
        <v>AXY</v>
      </c>
      <c r="J147" s="88" t="str">
        <f>_xlfn.IFNA(VLOOKUP($D147,'Route-Details'!$B$2:$X$1048576,'Node Details'!J$1,0),"")</f>
        <v>AXY</v>
      </c>
      <c r="K147" s="76">
        <v>46112</v>
      </c>
      <c r="L147" s="76">
        <v>46113</v>
      </c>
      <c r="M147" s="89">
        <v>46125</v>
      </c>
      <c r="N147" s="76">
        <v>46112</v>
      </c>
      <c r="Q147" s="86" t="s">
        <v>958</v>
      </c>
      <c r="R147" s="90"/>
      <c r="S147" s="87"/>
      <c r="T147" s="87"/>
      <c r="U147" s="87"/>
      <c r="V147" s="93"/>
      <c r="W147" s="91"/>
      <c r="X147" s="87"/>
      <c r="Y147" s="92"/>
      <c r="Z147" s="90"/>
      <c r="AA147" s="93"/>
      <c r="AB147" s="87"/>
      <c r="AC147" s="91"/>
      <c r="AD147" s="90"/>
      <c r="AE147" s="86"/>
      <c r="AF147" s="82"/>
      <c r="AG147" s="24"/>
      <c r="AH147" s="93"/>
      <c r="AI147" s="87"/>
      <c r="AJ147" s="86"/>
      <c r="AK147" s="81"/>
      <c r="AL147" s="24"/>
      <c r="AM147" s="24"/>
      <c r="AN147" s="81"/>
      <c r="AO147" s="81"/>
      <c r="AP147" s="24"/>
      <c r="AQ147" s="93"/>
      <c r="AR147" s="94"/>
      <c r="AS147" s="82"/>
      <c r="AT147" s="82"/>
      <c r="AU147" s="24"/>
      <c r="AV147" s="93"/>
      <c r="AW147" s="94"/>
      <c r="AX147" s="95"/>
      <c r="AY147" s="95"/>
      <c r="AZ147" s="95"/>
      <c r="BA147" s="24"/>
      <c r="BB147" s="9" t="s">
        <v>313</v>
      </c>
      <c r="BC147" s="96" t="s">
        <v>93</v>
      </c>
    </row>
    <row r="148" spans="1:55" ht="15" customHeight="1">
      <c r="A148" s="86">
        <f t="shared" si="20"/>
        <v>146</v>
      </c>
      <c r="B148" s="75" t="s">
        <v>312</v>
      </c>
      <c r="C148" s="9"/>
      <c r="D148" s="76" t="s">
        <v>311</v>
      </c>
      <c r="E148" s="88" t="str">
        <f>_xlfn.IFNA(VLOOKUP($D148,'Route-Details'!$B$2:$X$1048576,'Node Details'!E$1,0),"")</f>
        <v>Airtel</v>
      </c>
      <c r="F148" s="88" t="str">
        <f>_xlfn.IFNA(VLOOKUP($D148,'Route-Details'!$B$2:$X$1048576,'Node Details'!F$1,0),"")</f>
        <v>DARIA</v>
      </c>
      <c r="G148" s="88" t="str">
        <f>_xlfn.IFNA(VLOOKUP($D148,'Route-Details'!$B$2:$X$1048576,'Node Details'!G$1,0),"")</f>
        <v>Chandigarh</v>
      </c>
      <c r="H148" s="88" t="str">
        <f>_xlfn.IFNA(VLOOKUP($D149,'Route-Details'!$B$2:$X$1048576,'Node Details'!H$1,0),"")</f>
        <v>Punjab</v>
      </c>
      <c r="I148" s="88" t="str">
        <f>_xlfn.IFNA(VLOOKUP($D148,'Route-Details'!$B$2:$X$1048576,'Node Details'!I$1,0),"")</f>
        <v>AXY</v>
      </c>
      <c r="J148" s="88" t="str">
        <f>_xlfn.IFNA(VLOOKUP($D148,'Route-Details'!$B$2:$X$1048576,'Node Details'!J$1,0),"")</f>
        <v>AXY</v>
      </c>
      <c r="K148" s="76">
        <v>46112</v>
      </c>
      <c r="L148" s="76">
        <v>46113</v>
      </c>
      <c r="M148" s="89">
        <v>46125</v>
      </c>
      <c r="N148" s="76">
        <v>46112</v>
      </c>
      <c r="Q148" s="86" t="s">
        <v>958</v>
      </c>
      <c r="R148" s="90"/>
      <c r="S148" s="87"/>
      <c r="T148" s="87"/>
      <c r="U148" s="87"/>
      <c r="V148" s="93"/>
      <c r="W148" s="91"/>
      <c r="X148" s="87"/>
      <c r="Y148" s="92"/>
      <c r="Z148" s="90"/>
      <c r="AA148" s="93"/>
      <c r="AB148" s="87"/>
      <c r="AC148" s="91"/>
      <c r="AD148" s="90"/>
      <c r="AE148" s="86"/>
      <c r="AF148" s="82"/>
      <c r="AG148" s="24"/>
      <c r="AH148" s="93"/>
      <c r="AI148" s="87"/>
      <c r="AJ148" s="86"/>
      <c r="AK148" s="81"/>
      <c r="AL148" s="24"/>
      <c r="AM148" s="24"/>
      <c r="AN148" s="81"/>
      <c r="AO148" s="81"/>
      <c r="AP148" s="24"/>
      <c r="AQ148" s="93"/>
      <c r="AR148" s="94"/>
      <c r="AS148" s="82"/>
      <c r="AT148" s="82"/>
      <c r="AU148" s="24"/>
      <c r="AV148" s="93"/>
      <c r="AW148" s="94"/>
      <c r="AX148" s="95"/>
      <c r="AY148" s="95"/>
      <c r="AZ148" s="95"/>
      <c r="BA148" s="24"/>
      <c r="BB148" s="9" t="s">
        <v>313</v>
      </c>
      <c r="BC148" s="96" t="s">
        <v>93</v>
      </c>
    </row>
    <row r="149" spans="1:55" ht="15" customHeight="1">
      <c r="A149" s="86">
        <f t="shared" si="20"/>
        <v>147</v>
      </c>
      <c r="B149" s="75" t="s">
        <v>1031</v>
      </c>
      <c r="C149" s="9"/>
      <c r="D149" s="76" t="s">
        <v>146</v>
      </c>
      <c r="E149" s="88" t="str">
        <f>_xlfn.IFNA(VLOOKUP($D149,'Route-Details'!$B$2:$X$1048576,'Node Details'!E$1,0),"")</f>
        <v>Airtel</v>
      </c>
      <c r="F149" s="88" t="str">
        <f>_xlfn.IFNA(VLOOKUP($D149,'Route-Details'!$B$2:$X$1048576,'Node Details'!F$1,0),"")</f>
        <v>DARIA</v>
      </c>
      <c r="G149" s="88" t="str">
        <f>_xlfn.IFNA(VLOOKUP($D149,'Route-Details'!$B$2:$X$1048576,'Node Details'!G$1,0),"")</f>
        <v>Chandigarh</v>
      </c>
      <c r="H149" s="88" t="str">
        <f>_xlfn.IFNA(VLOOKUP($D150,'Route-Details'!$B$2:$X$1048576,'Node Details'!H$1,0),"")</f>
        <v>Punjab</v>
      </c>
      <c r="I149" s="88" t="str">
        <f>_xlfn.IFNA(VLOOKUP($D149,'Route-Details'!$B$2:$X$1048576,'Node Details'!I$1,0),"")</f>
        <v>AXY</v>
      </c>
      <c r="J149" s="88" t="str">
        <f>_xlfn.IFNA(VLOOKUP($D149,'Route-Details'!$B$2:$X$1048576,'Node Details'!J$1,0),"")</f>
        <v>AXY</v>
      </c>
      <c r="K149" s="76">
        <v>46112</v>
      </c>
      <c r="L149" s="76">
        <v>46113</v>
      </c>
      <c r="M149" s="89">
        <v>46125</v>
      </c>
      <c r="N149" s="76">
        <v>46112</v>
      </c>
      <c r="Q149" s="86" t="s">
        <v>958</v>
      </c>
      <c r="R149" s="90"/>
      <c r="S149" s="87"/>
      <c r="T149" s="87"/>
      <c r="U149" s="87"/>
      <c r="V149" s="93"/>
      <c r="W149" s="91"/>
      <c r="X149" s="87"/>
      <c r="Y149" s="92"/>
      <c r="Z149" s="90"/>
      <c r="AA149" s="93"/>
      <c r="AB149" s="87"/>
      <c r="AC149" s="91"/>
      <c r="AD149" s="90"/>
      <c r="AE149" s="86"/>
      <c r="AF149" s="82"/>
      <c r="AG149" s="24"/>
      <c r="AH149" s="93"/>
      <c r="AI149" s="87"/>
      <c r="AJ149" s="86"/>
      <c r="AK149" s="81"/>
      <c r="AL149" s="24"/>
      <c r="AM149" s="24"/>
      <c r="AN149" s="81"/>
      <c r="AO149" s="81"/>
      <c r="AP149" s="24"/>
      <c r="AQ149" s="93"/>
      <c r="AR149" s="94"/>
      <c r="AS149" s="82"/>
      <c r="AT149" s="82"/>
      <c r="AU149" s="24"/>
      <c r="AV149" s="93"/>
      <c r="AW149" s="94"/>
      <c r="AX149" s="95"/>
      <c r="AY149" s="95"/>
      <c r="AZ149" s="95"/>
      <c r="BA149" s="24"/>
      <c r="BB149" s="9" t="s">
        <v>96</v>
      </c>
      <c r="BC149" s="96" t="s">
        <v>93</v>
      </c>
    </row>
    <row r="150" spans="1:55" ht="15" customHeight="1">
      <c r="A150" s="86">
        <f t="shared" si="20"/>
        <v>148</v>
      </c>
      <c r="B150" s="75" t="s">
        <v>316</v>
      </c>
      <c r="C150" s="9"/>
      <c r="D150" s="76" t="s">
        <v>314</v>
      </c>
      <c r="E150" s="88" t="str">
        <f>_xlfn.IFNA(VLOOKUP($D150,'Route-Details'!$B$2:$X$1048576,'Node Details'!E$1,0),"")</f>
        <v>Airtel</v>
      </c>
      <c r="F150" s="88" t="str">
        <f>_xlfn.IFNA(VLOOKUP($D150,'Route-Details'!$B$2:$X$1048576,'Node Details'!F$1,0),"")</f>
        <v>DARIA</v>
      </c>
      <c r="G150" s="88" t="str">
        <f>_xlfn.IFNA(VLOOKUP($D150,'Route-Details'!$B$2:$X$1048576,'Node Details'!G$1,0),"")</f>
        <v>Chandigarh</v>
      </c>
      <c r="H150" s="88" t="str">
        <f>_xlfn.IFNA(VLOOKUP($D151,'Route-Details'!$B$2:$X$1048576,'Node Details'!H$1,0),"")</f>
        <v>Punjab</v>
      </c>
      <c r="I150" s="88" t="str">
        <f>_xlfn.IFNA(VLOOKUP($D150,'Route-Details'!$B$2:$X$1048576,'Node Details'!I$1,0),"")</f>
        <v>AXY</v>
      </c>
      <c r="J150" s="88" t="str">
        <f>_xlfn.IFNA(VLOOKUP($D150,'Route-Details'!$B$2:$X$1048576,'Node Details'!J$1,0),"")</f>
        <v>AXY</v>
      </c>
      <c r="K150" s="76">
        <v>46112</v>
      </c>
      <c r="L150" s="76">
        <v>46113</v>
      </c>
      <c r="M150" s="89">
        <v>46125</v>
      </c>
      <c r="N150" s="76">
        <v>46112</v>
      </c>
      <c r="Q150" s="86" t="s">
        <v>958</v>
      </c>
      <c r="R150" s="90"/>
      <c r="S150" s="87"/>
      <c r="T150" s="87"/>
      <c r="U150" s="87"/>
      <c r="V150" s="93"/>
      <c r="W150" s="91"/>
      <c r="X150" s="87"/>
      <c r="Y150" s="92"/>
      <c r="Z150" s="90"/>
      <c r="AA150" s="93"/>
      <c r="AB150" s="87"/>
      <c r="AC150" s="91"/>
      <c r="AD150" s="90"/>
      <c r="AE150" s="86"/>
      <c r="AF150" s="82"/>
      <c r="AG150" s="24"/>
      <c r="AH150" s="93"/>
      <c r="AI150" s="87"/>
      <c r="AJ150" s="86"/>
      <c r="AK150" s="81"/>
      <c r="AL150" s="24"/>
      <c r="AM150" s="24"/>
      <c r="AN150" s="81"/>
      <c r="AO150" s="81"/>
      <c r="AP150" s="24"/>
      <c r="AQ150" s="93"/>
      <c r="AR150" s="94"/>
      <c r="AS150" s="82"/>
      <c r="AT150" s="82"/>
      <c r="AU150" s="24"/>
      <c r="AV150" s="93"/>
      <c r="AW150" s="94"/>
      <c r="AX150" s="95"/>
      <c r="AY150" s="95"/>
      <c r="AZ150" s="95"/>
      <c r="BA150" s="24"/>
      <c r="BB150" s="9" t="s">
        <v>317</v>
      </c>
      <c r="BC150" s="96" t="s">
        <v>93</v>
      </c>
    </row>
    <row r="151" spans="1:55" ht="15" customHeight="1">
      <c r="A151" s="86">
        <f t="shared" si="20"/>
        <v>149</v>
      </c>
      <c r="B151" s="75" t="s">
        <v>319</v>
      </c>
      <c r="C151" s="9"/>
      <c r="D151" s="76" t="s">
        <v>318</v>
      </c>
      <c r="E151" s="88" t="str">
        <f>_xlfn.IFNA(VLOOKUP($D151,'Route-Details'!$B$2:$X$1048576,'Node Details'!E$1,0),"")</f>
        <v>Airtel</v>
      </c>
      <c r="F151" s="88" t="str">
        <f>_xlfn.IFNA(VLOOKUP($D151,'Route-Details'!$B$2:$X$1048576,'Node Details'!F$1,0),"")</f>
        <v>DARIA</v>
      </c>
      <c r="G151" s="88" t="str">
        <f>_xlfn.IFNA(VLOOKUP($D151,'Route-Details'!$B$2:$X$1048576,'Node Details'!G$1,0),"")</f>
        <v>Chandigarh</v>
      </c>
      <c r="H151" s="88" t="str">
        <f>_xlfn.IFNA(VLOOKUP($D152,'Route-Details'!$B$2:$X$1048576,'Node Details'!H$1,0),"")</f>
        <v>Punjab</v>
      </c>
      <c r="I151" s="88" t="str">
        <f>_xlfn.IFNA(VLOOKUP($D151,'Route-Details'!$B$2:$X$1048576,'Node Details'!I$1,0),"")</f>
        <v>AXY</v>
      </c>
      <c r="J151" s="88" t="str">
        <f>_xlfn.IFNA(VLOOKUP($D151,'Route-Details'!$B$2:$X$1048576,'Node Details'!J$1,0),"")</f>
        <v>AXY</v>
      </c>
      <c r="K151" s="76">
        <v>46112</v>
      </c>
      <c r="L151" s="76">
        <v>46113</v>
      </c>
      <c r="M151" s="89">
        <v>46125</v>
      </c>
      <c r="N151" s="76">
        <v>46112</v>
      </c>
      <c r="Q151" s="86" t="s">
        <v>958</v>
      </c>
      <c r="R151" s="90"/>
      <c r="S151" s="87"/>
      <c r="T151" s="87"/>
      <c r="U151" s="87"/>
      <c r="V151" s="93"/>
      <c r="W151" s="91"/>
      <c r="X151" s="87"/>
      <c r="Y151" s="92"/>
      <c r="Z151" s="90"/>
      <c r="AA151" s="93"/>
      <c r="AB151" s="87"/>
      <c r="AC151" s="91"/>
      <c r="AD151" s="90"/>
      <c r="AE151" s="86"/>
      <c r="AF151" s="82"/>
      <c r="AG151" s="24"/>
      <c r="AH151" s="93"/>
      <c r="AI151" s="87"/>
      <c r="AJ151" s="86"/>
      <c r="AK151" s="81"/>
      <c r="AL151" s="24"/>
      <c r="AM151" s="24"/>
      <c r="AN151" s="81"/>
      <c r="AO151" s="81"/>
      <c r="AP151" s="24"/>
      <c r="AQ151" s="93"/>
      <c r="AR151" s="94"/>
      <c r="AS151" s="82"/>
      <c r="AT151" s="82"/>
      <c r="AU151" s="24"/>
      <c r="AV151" s="93"/>
      <c r="AW151" s="94"/>
      <c r="AX151" s="95"/>
      <c r="AY151" s="95"/>
      <c r="AZ151" s="95"/>
      <c r="BA151" s="24"/>
      <c r="BB151" s="9" t="s">
        <v>320</v>
      </c>
      <c r="BC151" s="96" t="s">
        <v>93</v>
      </c>
    </row>
    <row r="152" spans="1:55" ht="15" customHeight="1">
      <c r="A152" s="86">
        <f t="shared" si="20"/>
        <v>150</v>
      </c>
      <c r="B152" s="75" t="s">
        <v>1032</v>
      </c>
      <c r="C152" s="9"/>
      <c r="D152" s="76" t="s">
        <v>321</v>
      </c>
      <c r="E152" s="88" t="str">
        <f>_xlfn.IFNA(VLOOKUP($D152,'Route-Details'!$B$2:$X$1048576,'Node Details'!E$1,0),"")</f>
        <v>Airtel</v>
      </c>
      <c r="F152" s="88" t="str">
        <f>_xlfn.IFNA(VLOOKUP($D152,'Route-Details'!$B$2:$X$1048576,'Node Details'!F$1,0),"")</f>
        <v>DARIA</v>
      </c>
      <c r="G152" s="88" t="str">
        <f>_xlfn.IFNA(VLOOKUP($D152,'Route-Details'!$B$2:$X$1048576,'Node Details'!G$1,0),"")</f>
        <v>Chandigarh</v>
      </c>
      <c r="H152" s="88" t="str">
        <f>_xlfn.IFNA(VLOOKUP($D153,'Route-Details'!$B$2:$X$1048576,'Node Details'!H$1,0),"")</f>
        <v>Punjab</v>
      </c>
      <c r="I152" s="88" t="str">
        <f>_xlfn.IFNA(VLOOKUP($D152,'Route-Details'!$B$2:$X$1048576,'Node Details'!I$1,0),"")</f>
        <v>AXY</v>
      </c>
      <c r="J152" s="88" t="str">
        <f>_xlfn.IFNA(VLOOKUP($D152,'Route-Details'!$B$2:$X$1048576,'Node Details'!J$1,0),"")</f>
        <v>AXY</v>
      </c>
      <c r="K152" s="76">
        <v>46112</v>
      </c>
      <c r="L152" s="76">
        <v>46113</v>
      </c>
      <c r="M152" s="89">
        <v>46125</v>
      </c>
      <c r="N152" s="76">
        <v>46112</v>
      </c>
      <c r="Q152" s="86" t="s">
        <v>958</v>
      </c>
      <c r="R152" s="90"/>
      <c r="S152" s="87"/>
      <c r="T152" s="87"/>
      <c r="U152" s="87"/>
      <c r="V152" s="93"/>
      <c r="W152" s="91"/>
      <c r="X152" s="87"/>
      <c r="Y152" s="92"/>
      <c r="Z152" s="90"/>
      <c r="AA152" s="93"/>
      <c r="AB152" s="87"/>
      <c r="AC152" s="91"/>
      <c r="AD152" s="90"/>
      <c r="AE152" s="86"/>
      <c r="AF152" s="82"/>
      <c r="AG152" s="24"/>
      <c r="AH152" s="93"/>
      <c r="AI152" s="87"/>
      <c r="AJ152" s="86"/>
      <c r="AK152" s="81"/>
      <c r="AL152" s="24"/>
      <c r="AM152" s="24"/>
      <c r="AN152" s="81"/>
      <c r="AO152" s="81"/>
      <c r="AP152" s="24"/>
      <c r="AQ152" s="93"/>
      <c r="AR152" s="94"/>
      <c r="AS152" s="82"/>
      <c r="AT152" s="82"/>
      <c r="AU152" s="24"/>
      <c r="AV152" s="93"/>
      <c r="AW152" s="94"/>
      <c r="AX152" s="95"/>
      <c r="AY152" s="95"/>
      <c r="AZ152" s="95"/>
      <c r="BA152" s="24"/>
      <c r="BB152" s="9" t="s">
        <v>323</v>
      </c>
      <c r="BC152" s="96" t="s">
        <v>93</v>
      </c>
    </row>
    <row r="153" spans="1:55" ht="15" customHeight="1">
      <c r="A153" s="86">
        <f t="shared" si="20"/>
        <v>151</v>
      </c>
      <c r="B153" s="75" t="s">
        <v>1033</v>
      </c>
      <c r="C153" s="9"/>
      <c r="D153" s="76" t="s">
        <v>321</v>
      </c>
      <c r="E153" s="88" t="str">
        <f>_xlfn.IFNA(VLOOKUP($D153,'Route-Details'!$B$2:$X$1048576,'Node Details'!E$1,0),"")</f>
        <v>Airtel</v>
      </c>
      <c r="F153" s="88" t="str">
        <f>_xlfn.IFNA(VLOOKUP($D153,'Route-Details'!$B$2:$X$1048576,'Node Details'!F$1,0),"")</f>
        <v>DARIA</v>
      </c>
      <c r="G153" s="88" t="str">
        <f>_xlfn.IFNA(VLOOKUP($D153,'Route-Details'!$B$2:$X$1048576,'Node Details'!G$1,0),"")</f>
        <v>Chandigarh</v>
      </c>
      <c r="H153" s="88" t="str">
        <f>_xlfn.IFNA(VLOOKUP($D154,'Route-Details'!$B$2:$X$1048576,'Node Details'!H$1,0),"")</f>
        <v>Punjab</v>
      </c>
      <c r="I153" s="88" t="str">
        <f>_xlfn.IFNA(VLOOKUP($D153,'Route-Details'!$B$2:$X$1048576,'Node Details'!I$1,0),"")</f>
        <v>AXY</v>
      </c>
      <c r="J153" s="88" t="str">
        <f>_xlfn.IFNA(VLOOKUP($D153,'Route-Details'!$B$2:$X$1048576,'Node Details'!J$1,0),"")</f>
        <v>AXY</v>
      </c>
      <c r="K153" s="76">
        <v>46112</v>
      </c>
      <c r="L153" s="76">
        <v>46113</v>
      </c>
      <c r="M153" s="89">
        <v>46125</v>
      </c>
      <c r="N153" s="76">
        <v>46112</v>
      </c>
      <c r="Q153" s="86" t="s">
        <v>958</v>
      </c>
      <c r="R153" s="90"/>
      <c r="S153" s="87"/>
      <c r="T153" s="87"/>
      <c r="U153" s="87"/>
      <c r="V153" s="93"/>
      <c r="W153" s="91"/>
      <c r="X153" s="87"/>
      <c r="Y153" s="92"/>
      <c r="Z153" s="90"/>
      <c r="AA153" s="93"/>
      <c r="AB153" s="87"/>
      <c r="AC153" s="91"/>
      <c r="AD153" s="90"/>
      <c r="AE153" s="86"/>
      <c r="AF153" s="82"/>
      <c r="AG153" s="24"/>
      <c r="AH153" s="93"/>
      <c r="AI153" s="87"/>
      <c r="AJ153" s="86"/>
      <c r="AK153" s="81"/>
      <c r="AL153" s="24"/>
      <c r="AM153" s="24"/>
      <c r="AN153" s="81"/>
      <c r="AO153" s="81"/>
      <c r="AP153" s="24"/>
      <c r="AQ153" s="93"/>
      <c r="AR153" s="94"/>
      <c r="AS153" s="82"/>
      <c r="AT153" s="82"/>
      <c r="AU153" s="24"/>
      <c r="AV153" s="93"/>
      <c r="AW153" s="94"/>
      <c r="AX153" s="95"/>
      <c r="AY153" s="95"/>
      <c r="AZ153" s="95"/>
      <c r="BA153" s="24"/>
      <c r="BB153" s="9" t="s">
        <v>323</v>
      </c>
      <c r="BC153" s="96" t="s">
        <v>93</v>
      </c>
    </row>
    <row r="154" spans="1:55" ht="15" customHeight="1">
      <c r="A154" s="86">
        <f t="shared" si="20"/>
        <v>152</v>
      </c>
      <c r="B154" s="75" t="s">
        <v>322</v>
      </c>
      <c r="C154" s="9"/>
      <c r="D154" s="76" t="s">
        <v>321</v>
      </c>
      <c r="E154" s="88" t="str">
        <f>_xlfn.IFNA(VLOOKUP($D154,'Route-Details'!$B$2:$X$1048576,'Node Details'!E$1,0),"")</f>
        <v>Airtel</v>
      </c>
      <c r="F154" s="88" t="str">
        <f>_xlfn.IFNA(VLOOKUP($D154,'Route-Details'!$B$2:$X$1048576,'Node Details'!F$1,0),"")</f>
        <v>DARIA</v>
      </c>
      <c r="G154" s="88" t="str">
        <f>_xlfn.IFNA(VLOOKUP($D154,'Route-Details'!$B$2:$X$1048576,'Node Details'!G$1,0),"")</f>
        <v>Chandigarh</v>
      </c>
      <c r="H154" s="88" t="str">
        <f>_xlfn.IFNA(VLOOKUP($D155,'Route-Details'!$B$2:$X$1048576,'Node Details'!H$1,0),"")</f>
        <v>Punjab</v>
      </c>
      <c r="I154" s="88" t="str">
        <f>_xlfn.IFNA(VLOOKUP($D154,'Route-Details'!$B$2:$X$1048576,'Node Details'!I$1,0),"")</f>
        <v>AXY</v>
      </c>
      <c r="J154" s="88" t="str">
        <f>_xlfn.IFNA(VLOOKUP($D154,'Route-Details'!$B$2:$X$1048576,'Node Details'!J$1,0),"")</f>
        <v>AXY</v>
      </c>
      <c r="K154" s="76">
        <v>46112</v>
      </c>
      <c r="L154" s="76">
        <v>46113</v>
      </c>
      <c r="M154" s="89">
        <v>46125</v>
      </c>
      <c r="N154" s="76">
        <v>46112</v>
      </c>
      <c r="Q154" s="86" t="s">
        <v>958</v>
      </c>
      <c r="R154" s="90"/>
      <c r="S154" s="87"/>
      <c r="T154" s="87"/>
      <c r="U154" s="87"/>
      <c r="V154" s="93"/>
      <c r="W154" s="91"/>
      <c r="X154" s="87"/>
      <c r="Y154" s="92"/>
      <c r="Z154" s="90"/>
      <c r="AA154" s="93"/>
      <c r="AB154" s="87"/>
      <c r="AC154" s="91"/>
      <c r="AD154" s="90"/>
      <c r="AE154" s="86"/>
      <c r="AF154" s="82"/>
      <c r="AG154" s="24"/>
      <c r="AH154" s="93"/>
      <c r="AI154" s="87"/>
      <c r="AJ154" s="86"/>
      <c r="AK154" s="81"/>
      <c r="AL154" s="24"/>
      <c r="AM154" s="24"/>
      <c r="AN154" s="81"/>
      <c r="AO154" s="81"/>
      <c r="AP154" s="24"/>
      <c r="AQ154" s="93"/>
      <c r="AR154" s="94"/>
      <c r="AS154" s="82"/>
      <c r="AT154" s="82"/>
      <c r="AU154" s="24"/>
      <c r="AV154" s="93"/>
      <c r="AW154" s="94"/>
      <c r="AX154" s="95"/>
      <c r="AY154" s="95"/>
      <c r="AZ154" s="95"/>
      <c r="BA154" s="24"/>
      <c r="BB154" s="9" t="s">
        <v>323</v>
      </c>
      <c r="BC154" s="96" t="s">
        <v>93</v>
      </c>
    </row>
    <row r="155" spans="1:55" ht="15" customHeight="1">
      <c r="A155" s="86">
        <f t="shared" si="20"/>
        <v>153</v>
      </c>
      <c r="B155" s="75" t="s">
        <v>326</v>
      </c>
      <c r="C155" s="9"/>
      <c r="D155" s="76" t="s">
        <v>324</v>
      </c>
      <c r="E155" s="88" t="str">
        <f>_xlfn.IFNA(VLOOKUP($D155,'Route-Details'!$B$2:$X$1048576,'Node Details'!E$1,0),"")</f>
        <v>Airtel</v>
      </c>
      <c r="F155" s="88" t="str">
        <f>_xlfn.IFNA(VLOOKUP($D155,'Route-Details'!$B$2:$X$1048576,'Node Details'!F$1,0),"")</f>
        <v>DARIA</v>
      </c>
      <c r="G155" s="88" t="str">
        <f>_xlfn.IFNA(VLOOKUP($D155,'Route-Details'!$B$2:$X$1048576,'Node Details'!G$1,0),"")</f>
        <v>Chandigarh</v>
      </c>
      <c r="H155" s="88" t="str">
        <f>_xlfn.IFNA(VLOOKUP($D156,'Route-Details'!$B$2:$X$1048576,'Node Details'!H$1,0),"")</f>
        <v>Punjab</v>
      </c>
      <c r="I155" s="88" t="str">
        <f>_xlfn.IFNA(VLOOKUP($D155,'Route-Details'!$B$2:$X$1048576,'Node Details'!I$1,0),"")</f>
        <v>AXY</v>
      </c>
      <c r="J155" s="88" t="str">
        <f>_xlfn.IFNA(VLOOKUP($D155,'Route-Details'!$B$2:$X$1048576,'Node Details'!J$1,0),"")</f>
        <v>AXY</v>
      </c>
      <c r="K155" s="76">
        <v>46112</v>
      </c>
      <c r="L155" s="76">
        <v>46113</v>
      </c>
      <c r="M155" s="89">
        <v>46125</v>
      </c>
      <c r="N155" s="76">
        <v>46112</v>
      </c>
      <c r="Q155" s="86" t="s">
        <v>958</v>
      </c>
      <c r="R155" s="90"/>
      <c r="S155" s="87"/>
      <c r="T155" s="87"/>
      <c r="U155" s="87"/>
      <c r="V155" s="93"/>
      <c r="W155" s="91"/>
      <c r="X155" s="87"/>
      <c r="Y155" s="92"/>
      <c r="Z155" s="90"/>
      <c r="AA155" s="93"/>
      <c r="AB155" s="87"/>
      <c r="AC155" s="91"/>
      <c r="AD155" s="90"/>
      <c r="AE155" s="86"/>
      <c r="AF155" s="82"/>
      <c r="AG155" s="24"/>
      <c r="AH155" s="93"/>
      <c r="AI155" s="87"/>
      <c r="AJ155" s="86"/>
      <c r="AK155" s="81"/>
      <c r="AL155" s="24"/>
      <c r="AM155" s="24"/>
      <c r="AN155" s="81"/>
      <c r="AO155" s="81"/>
      <c r="AP155" s="24"/>
      <c r="AQ155" s="93"/>
      <c r="AR155" s="94"/>
      <c r="AS155" s="82"/>
      <c r="AT155" s="82"/>
      <c r="AU155" s="24"/>
      <c r="AV155" s="93"/>
      <c r="AW155" s="94"/>
      <c r="AX155" s="95"/>
      <c r="AY155" s="95"/>
      <c r="AZ155" s="95"/>
      <c r="BA155" s="24"/>
      <c r="BB155" s="9" t="s">
        <v>327</v>
      </c>
      <c r="BC155" s="96" t="s">
        <v>93</v>
      </c>
    </row>
    <row r="156" spans="1:55" ht="15" customHeight="1">
      <c r="A156" s="86">
        <f t="shared" si="20"/>
        <v>154</v>
      </c>
      <c r="B156" s="75" t="s">
        <v>1034</v>
      </c>
      <c r="C156" s="9"/>
      <c r="D156" s="76" t="s">
        <v>328</v>
      </c>
      <c r="E156" s="88" t="str">
        <f>_xlfn.IFNA(VLOOKUP($D156,'Route-Details'!$B$2:$X$1048576,'Node Details'!E$1,0),"")</f>
        <v>Airtel</v>
      </c>
      <c r="F156" s="88" t="str">
        <f>_xlfn.IFNA(VLOOKUP($D156,'Route-Details'!$B$2:$X$1048576,'Node Details'!F$1,0),"")</f>
        <v>DARIA</v>
      </c>
      <c r="G156" s="88" t="str">
        <f>_xlfn.IFNA(VLOOKUP($D156,'Route-Details'!$B$2:$X$1048576,'Node Details'!G$1,0),"")</f>
        <v>Chandigarh</v>
      </c>
      <c r="H156" s="88" t="str">
        <f>_xlfn.IFNA(VLOOKUP($D157,'Route-Details'!$B$2:$X$1048576,'Node Details'!H$1,0),"")</f>
        <v>Punjab</v>
      </c>
      <c r="I156" s="88" t="str">
        <f>_xlfn.IFNA(VLOOKUP($D156,'Route-Details'!$B$2:$X$1048576,'Node Details'!I$1,0),"")</f>
        <v>AXY</v>
      </c>
      <c r="J156" s="88" t="str">
        <f>_xlfn.IFNA(VLOOKUP($D156,'Route-Details'!$B$2:$X$1048576,'Node Details'!J$1,0),"")</f>
        <v>AXY</v>
      </c>
      <c r="K156" s="76">
        <v>46112</v>
      </c>
      <c r="L156" s="76">
        <v>46113</v>
      </c>
      <c r="M156" s="89">
        <v>46125</v>
      </c>
      <c r="N156" s="76">
        <v>46112</v>
      </c>
      <c r="Q156" s="86" t="s">
        <v>958</v>
      </c>
      <c r="R156" s="90"/>
      <c r="S156" s="87"/>
      <c r="T156" s="87"/>
      <c r="U156" s="87"/>
      <c r="V156" s="93"/>
      <c r="W156" s="91"/>
      <c r="X156" s="87"/>
      <c r="Y156" s="92"/>
      <c r="Z156" s="90"/>
      <c r="AA156" s="93"/>
      <c r="AB156" s="87"/>
      <c r="AC156" s="91"/>
      <c r="AD156" s="90"/>
      <c r="AE156" s="86"/>
      <c r="AF156" s="82"/>
      <c r="AG156" s="24"/>
      <c r="AH156" s="93"/>
      <c r="AI156" s="87"/>
      <c r="AJ156" s="86"/>
      <c r="AK156" s="81"/>
      <c r="AL156" s="24"/>
      <c r="AM156" s="24"/>
      <c r="AN156" s="81"/>
      <c r="AO156" s="81"/>
      <c r="AP156" s="24"/>
      <c r="AQ156" s="93"/>
      <c r="AR156" s="94"/>
      <c r="AS156" s="82"/>
      <c r="AT156" s="82"/>
      <c r="AU156" s="24"/>
      <c r="AV156" s="93"/>
      <c r="AW156" s="94"/>
      <c r="AX156" s="95"/>
      <c r="AY156" s="95"/>
      <c r="AZ156" s="95"/>
      <c r="BA156" s="24"/>
      <c r="BB156" s="9" t="s">
        <v>332</v>
      </c>
      <c r="BC156" s="96" t="s">
        <v>93</v>
      </c>
    </row>
    <row r="157" spans="1:55" ht="15" customHeight="1">
      <c r="A157" s="86">
        <f t="shared" si="20"/>
        <v>155</v>
      </c>
      <c r="B157" s="75" t="s">
        <v>1035</v>
      </c>
      <c r="C157" s="9"/>
      <c r="D157" s="76" t="s">
        <v>328</v>
      </c>
      <c r="E157" s="88" t="str">
        <f>_xlfn.IFNA(VLOOKUP($D157,'Route-Details'!$B$2:$X$1048576,'Node Details'!E$1,0),"")</f>
        <v>Airtel</v>
      </c>
      <c r="F157" s="88" t="str">
        <f>_xlfn.IFNA(VLOOKUP($D157,'Route-Details'!$B$2:$X$1048576,'Node Details'!F$1,0),"")</f>
        <v>DARIA</v>
      </c>
      <c r="G157" s="88" t="str">
        <f>_xlfn.IFNA(VLOOKUP($D157,'Route-Details'!$B$2:$X$1048576,'Node Details'!G$1,0),"")</f>
        <v>Chandigarh</v>
      </c>
      <c r="H157" s="88" t="str">
        <f>_xlfn.IFNA(VLOOKUP($D158,'Route-Details'!$B$2:$X$1048576,'Node Details'!H$1,0),"")</f>
        <v>Punjab</v>
      </c>
      <c r="I157" s="88" t="str">
        <f>_xlfn.IFNA(VLOOKUP($D157,'Route-Details'!$B$2:$X$1048576,'Node Details'!I$1,0),"")</f>
        <v>AXY</v>
      </c>
      <c r="J157" s="88" t="str">
        <f>_xlfn.IFNA(VLOOKUP($D157,'Route-Details'!$B$2:$X$1048576,'Node Details'!J$1,0),"")</f>
        <v>AXY</v>
      </c>
      <c r="K157" s="76">
        <v>46112</v>
      </c>
      <c r="L157" s="76">
        <v>46113</v>
      </c>
      <c r="M157" s="89">
        <v>46125</v>
      </c>
      <c r="N157" s="76">
        <v>46112</v>
      </c>
      <c r="Q157" s="86" t="s">
        <v>958</v>
      </c>
      <c r="R157" s="90"/>
      <c r="S157" s="87"/>
      <c r="T157" s="87"/>
      <c r="U157" s="87"/>
      <c r="V157" s="93"/>
      <c r="W157" s="91"/>
      <c r="X157" s="87"/>
      <c r="Y157" s="92"/>
      <c r="Z157" s="90"/>
      <c r="AA157" s="93"/>
      <c r="AB157" s="87"/>
      <c r="AC157" s="91"/>
      <c r="AD157" s="90"/>
      <c r="AE157" s="86"/>
      <c r="AF157" s="82"/>
      <c r="AG157" s="24"/>
      <c r="AH157" s="93"/>
      <c r="AI157" s="87"/>
      <c r="AJ157" s="86"/>
      <c r="AK157" s="81"/>
      <c r="AL157" s="24"/>
      <c r="AM157" s="24"/>
      <c r="AN157" s="81"/>
      <c r="AO157" s="81"/>
      <c r="AP157" s="24"/>
      <c r="AQ157" s="93"/>
      <c r="AR157" s="94"/>
      <c r="AS157" s="82"/>
      <c r="AT157" s="82"/>
      <c r="AU157" s="24"/>
      <c r="AV157" s="93"/>
      <c r="AW157" s="94"/>
      <c r="AX157" s="95"/>
      <c r="AY157" s="95"/>
      <c r="AZ157" s="95"/>
      <c r="BA157" s="24"/>
      <c r="BB157" s="9" t="s">
        <v>332</v>
      </c>
      <c r="BC157" s="96" t="s">
        <v>93</v>
      </c>
    </row>
    <row r="158" spans="1:55" ht="15" customHeight="1">
      <c r="A158" s="86">
        <f t="shared" si="20"/>
        <v>156</v>
      </c>
      <c r="B158" s="75" t="s">
        <v>1036</v>
      </c>
      <c r="C158" s="9"/>
      <c r="D158" s="76" t="s">
        <v>328</v>
      </c>
      <c r="E158" s="88" t="str">
        <f>_xlfn.IFNA(VLOOKUP($D158,'Route-Details'!$B$2:$X$1048576,'Node Details'!E$1,0),"")</f>
        <v>Airtel</v>
      </c>
      <c r="F158" s="88" t="str">
        <f>_xlfn.IFNA(VLOOKUP($D158,'Route-Details'!$B$2:$X$1048576,'Node Details'!F$1,0),"")</f>
        <v>DARIA</v>
      </c>
      <c r="G158" s="88" t="str">
        <f>_xlfn.IFNA(VLOOKUP($D158,'Route-Details'!$B$2:$X$1048576,'Node Details'!G$1,0),"")</f>
        <v>Chandigarh</v>
      </c>
      <c r="H158" s="88" t="str">
        <f>_xlfn.IFNA(VLOOKUP($D159,'Route-Details'!$B$2:$X$1048576,'Node Details'!H$1,0),"")</f>
        <v>Punjab</v>
      </c>
      <c r="I158" s="88" t="str">
        <f>_xlfn.IFNA(VLOOKUP($D158,'Route-Details'!$B$2:$X$1048576,'Node Details'!I$1,0),"")</f>
        <v>AXY</v>
      </c>
      <c r="J158" s="88" t="str">
        <f>_xlfn.IFNA(VLOOKUP($D158,'Route-Details'!$B$2:$X$1048576,'Node Details'!J$1,0),"")</f>
        <v>AXY</v>
      </c>
      <c r="K158" s="76">
        <v>46112</v>
      </c>
      <c r="L158" s="76">
        <v>46113</v>
      </c>
      <c r="M158" s="89">
        <v>46125</v>
      </c>
      <c r="N158" s="76">
        <v>46112</v>
      </c>
      <c r="Q158" s="86" t="s">
        <v>958</v>
      </c>
      <c r="R158" s="90"/>
      <c r="S158" s="87"/>
      <c r="T158" s="87"/>
      <c r="U158" s="87"/>
      <c r="V158" s="93"/>
      <c r="W158" s="91"/>
      <c r="X158" s="87"/>
      <c r="Y158" s="92"/>
      <c r="Z158" s="90"/>
      <c r="AA158" s="93"/>
      <c r="AB158" s="87"/>
      <c r="AC158" s="91"/>
      <c r="AD158" s="90"/>
      <c r="AE158" s="86"/>
      <c r="AF158" s="82"/>
      <c r="AG158" s="24"/>
      <c r="AH158" s="93"/>
      <c r="AI158" s="87"/>
      <c r="AJ158" s="86"/>
      <c r="AK158" s="81"/>
      <c r="AL158" s="24"/>
      <c r="AM158" s="24"/>
      <c r="AN158" s="81"/>
      <c r="AO158" s="81"/>
      <c r="AP158" s="24"/>
      <c r="AQ158" s="93"/>
      <c r="AR158" s="94"/>
      <c r="AS158" s="82"/>
      <c r="AT158" s="82"/>
      <c r="AU158" s="24"/>
      <c r="AV158" s="93"/>
      <c r="AW158" s="94"/>
      <c r="AX158" s="95"/>
      <c r="AY158" s="95"/>
      <c r="AZ158" s="95"/>
      <c r="BA158" s="24"/>
      <c r="BB158" s="9" t="s">
        <v>332</v>
      </c>
      <c r="BC158" s="96" t="s">
        <v>93</v>
      </c>
    </row>
    <row r="159" spans="1:55" ht="15" customHeight="1">
      <c r="A159" s="86">
        <f t="shared" si="20"/>
        <v>157</v>
      </c>
      <c r="B159" s="75" t="s">
        <v>330</v>
      </c>
      <c r="C159" s="9"/>
      <c r="D159" s="76" t="s">
        <v>328</v>
      </c>
      <c r="E159" s="88" t="str">
        <f>_xlfn.IFNA(VLOOKUP($D159,'Route-Details'!$B$2:$X$1048576,'Node Details'!E$1,0),"")</f>
        <v>Airtel</v>
      </c>
      <c r="F159" s="88" t="str">
        <f>_xlfn.IFNA(VLOOKUP($D159,'Route-Details'!$B$2:$X$1048576,'Node Details'!F$1,0),"")</f>
        <v>DARIA</v>
      </c>
      <c r="G159" s="88" t="str">
        <f>_xlfn.IFNA(VLOOKUP($D159,'Route-Details'!$B$2:$X$1048576,'Node Details'!G$1,0),"")</f>
        <v>Chandigarh</v>
      </c>
      <c r="H159" s="88" t="str">
        <f>_xlfn.IFNA(VLOOKUP($D160,'Route-Details'!$B$2:$X$1048576,'Node Details'!H$1,0),"")</f>
        <v>Punjab</v>
      </c>
      <c r="I159" s="88" t="str">
        <f>_xlfn.IFNA(VLOOKUP($D159,'Route-Details'!$B$2:$X$1048576,'Node Details'!I$1,0),"")</f>
        <v>AXY</v>
      </c>
      <c r="J159" s="88" t="str">
        <f>_xlfn.IFNA(VLOOKUP($D159,'Route-Details'!$B$2:$X$1048576,'Node Details'!J$1,0),"")</f>
        <v>AXY</v>
      </c>
      <c r="K159" s="76">
        <v>46112</v>
      </c>
      <c r="L159" s="76">
        <v>46113</v>
      </c>
      <c r="M159" s="89">
        <v>46125</v>
      </c>
      <c r="N159" s="76">
        <v>46112</v>
      </c>
      <c r="Q159" s="86" t="s">
        <v>958</v>
      </c>
      <c r="R159" s="90"/>
      <c r="S159" s="87"/>
      <c r="T159" s="87"/>
      <c r="U159" s="87"/>
      <c r="V159" s="93"/>
      <c r="W159" s="91"/>
      <c r="X159" s="87"/>
      <c r="Y159" s="92"/>
      <c r="Z159" s="90"/>
      <c r="AA159" s="93"/>
      <c r="AB159" s="87"/>
      <c r="AC159" s="91"/>
      <c r="AD159" s="90"/>
      <c r="AE159" s="86"/>
      <c r="AF159" s="82"/>
      <c r="AG159" s="24"/>
      <c r="AH159" s="93"/>
      <c r="AI159" s="87"/>
      <c r="AJ159" s="86"/>
      <c r="AK159" s="81"/>
      <c r="AL159" s="24"/>
      <c r="AM159" s="24"/>
      <c r="AN159" s="81"/>
      <c r="AO159" s="81"/>
      <c r="AP159" s="24"/>
      <c r="AQ159" s="93"/>
      <c r="AR159" s="94"/>
      <c r="AS159" s="82"/>
      <c r="AT159" s="82"/>
      <c r="AU159" s="24"/>
      <c r="AV159" s="93"/>
      <c r="AW159" s="94"/>
      <c r="AX159" s="95"/>
      <c r="AY159" s="95"/>
      <c r="AZ159" s="95"/>
      <c r="BA159" s="24"/>
      <c r="BB159" s="9" t="s">
        <v>332</v>
      </c>
      <c r="BC159" s="96" t="s">
        <v>93</v>
      </c>
    </row>
    <row r="160" spans="1:55" ht="15" customHeight="1">
      <c r="A160" s="86">
        <f t="shared" si="20"/>
        <v>158</v>
      </c>
      <c r="B160" s="75" t="s">
        <v>1037</v>
      </c>
      <c r="C160" s="9"/>
      <c r="D160" s="76" t="s">
        <v>146</v>
      </c>
      <c r="E160" s="88" t="str">
        <f>_xlfn.IFNA(VLOOKUP($D160,'Route-Details'!$B$2:$X$1048576,'Node Details'!E$1,0),"")</f>
        <v>Airtel</v>
      </c>
      <c r="F160" s="88" t="str">
        <f>_xlfn.IFNA(VLOOKUP($D160,'Route-Details'!$B$2:$X$1048576,'Node Details'!F$1,0),"")</f>
        <v>DARIA</v>
      </c>
      <c r="G160" s="88" t="str">
        <f>_xlfn.IFNA(VLOOKUP($D160,'Route-Details'!$B$2:$X$1048576,'Node Details'!G$1,0),"")</f>
        <v>Chandigarh</v>
      </c>
      <c r="H160" s="88" t="str">
        <f>_xlfn.IFNA(VLOOKUP($D161,'Route-Details'!$B$2:$X$1048576,'Node Details'!H$1,0),"")</f>
        <v>Punjab</v>
      </c>
      <c r="I160" s="88" t="str">
        <f>_xlfn.IFNA(VLOOKUP($D160,'Route-Details'!$B$2:$X$1048576,'Node Details'!I$1,0),"")</f>
        <v>AXY</v>
      </c>
      <c r="J160" s="88" t="str">
        <f>_xlfn.IFNA(VLOOKUP($D160,'Route-Details'!$B$2:$X$1048576,'Node Details'!J$1,0),"")</f>
        <v>AXY</v>
      </c>
      <c r="K160" s="76">
        <v>46112</v>
      </c>
      <c r="L160" s="76">
        <v>46113</v>
      </c>
      <c r="M160" s="89">
        <v>46125</v>
      </c>
      <c r="N160" s="76">
        <v>46112</v>
      </c>
      <c r="Q160" s="86" t="s">
        <v>958</v>
      </c>
      <c r="R160" s="90"/>
      <c r="S160" s="87"/>
      <c r="T160" s="87"/>
      <c r="U160" s="87"/>
      <c r="V160" s="93"/>
      <c r="W160" s="91"/>
      <c r="X160" s="87"/>
      <c r="Y160" s="92"/>
      <c r="Z160" s="90"/>
      <c r="AA160" s="93"/>
      <c r="AB160" s="87"/>
      <c r="AC160" s="91"/>
      <c r="AD160" s="90"/>
      <c r="AE160" s="86"/>
      <c r="AF160" s="82"/>
      <c r="AG160" s="24"/>
      <c r="AH160" s="93"/>
      <c r="AI160" s="87"/>
      <c r="AJ160" s="86"/>
      <c r="AK160" s="81"/>
      <c r="AL160" s="24"/>
      <c r="AM160" s="24"/>
      <c r="AN160" s="81"/>
      <c r="AO160" s="81"/>
      <c r="AP160" s="24"/>
      <c r="AQ160" s="93"/>
      <c r="AR160" s="94"/>
      <c r="AS160" s="82"/>
      <c r="AT160" s="82"/>
      <c r="AU160" s="24"/>
      <c r="AV160" s="93"/>
      <c r="AW160" s="94"/>
      <c r="AX160" s="95"/>
      <c r="AY160" s="95"/>
      <c r="AZ160" s="95"/>
      <c r="BA160" s="24"/>
      <c r="BB160" s="9" t="s">
        <v>96</v>
      </c>
      <c r="BC160" s="96" t="s">
        <v>93</v>
      </c>
    </row>
    <row r="161" spans="1:55" ht="15" customHeight="1">
      <c r="A161" s="86">
        <f t="shared" si="20"/>
        <v>159</v>
      </c>
      <c r="B161" s="75" t="s">
        <v>1038</v>
      </c>
      <c r="C161" s="9"/>
      <c r="D161" s="76" t="s">
        <v>333</v>
      </c>
      <c r="E161" s="88" t="str">
        <f>_xlfn.IFNA(VLOOKUP($D161,'Route-Details'!$B$2:$X$1048576,'Node Details'!E$1,0),"")</f>
        <v>Airtel</v>
      </c>
      <c r="F161" s="88" t="str">
        <f>_xlfn.IFNA(VLOOKUP($D161,'Route-Details'!$B$2:$X$1048576,'Node Details'!F$1,0),"")</f>
        <v>DARIA</v>
      </c>
      <c r="G161" s="88" t="str">
        <f>_xlfn.IFNA(VLOOKUP($D161,'Route-Details'!$B$2:$X$1048576,'Node Details'!G$1,0),"")</f>
        <v>Chandigarh</v>
      </c>
      <c r="H161" s="88" t="str">
        <f>_xlfn.IFNA(VLOOKUP($D162,'Route-Details'!$B$2:$X$1048576,'Node Details'!H$1,0),"")</f>
        <v>Punjab</v>
      </c>
      <c r="I161" s="88" t="str">
        <f>_xlfn.IFNA(VLOOKUP($D161,'Route-Details'!$B$2:$X$1048576,'Node Details'!I$1,0),"")</f>
        <v>AXY</v>
      </c>
      <c r="J161" s="88" t="str">
        <f>_xlfn.IFNA(VLOOKUP($D161,'Route-Details'!$B$2:$X$1048576,'Node Details'!J$1,0),"")</f>
        <v>AXY</v>
      </c>
      <c r="K161" s="76">
        <v>46112</v>
      </c>
      <c r="L161" s="76">
        <v>46113</v>
      </c>
      <c r="M161" s="89">
        <v>46125</v>
      </c>
      <c r="N161" s="76">
        <v>46112</v>
      </c>
      <c r="Q161" s="86" t="s">
        <v>958</v>
      </c>
      <c r="R161" s="90"/>
      <c r="S161" s="87"/>
      <c r="T161" s="87"/>
      <c r="U161" s="87"/>
      <c r="V161" s="93"/>
      <c r="W161" s="91"/>
      <c r="X161" s="87"/>
      <c r="Y161" s="92"/>
      <c r="Z161" s="90"/>
      <c r="AA161" s="93"/>
      <c r="AB161" s="87"/>
      <c r="AC161" s="91"/>
      <c r="AD161" s="90"/>
      <c r="AE161" s="86"/>
      <c r="AF161" s="82"/>
      <c r="AG161" s="24"/>
      <c r="AH161" s="93"/>
      <c r="AI161" s="87"/>
      <c r="AJ161" s="86"/>
      <c r="AK161" s="81"/>
      <c r="AL161" s="24"/>
      <c r="AM161" s="24"/>
      <c r="AN161" s="81"/>
      <c r="AO161" s="81"/>
      <c r="AP161" s="24"/>
      <c r="AQ161" s="93"/>
      <c r="AR161" s="94"/>
      <c r="AS161" s="82"/>
      <c r="AT161" s="82"/>
      <c r="AU161" s="24"/>
      <c r="AV161" s="93"/>
      <c r="AW161" s="94"/>
      <c r="AX161" s="95"/>
      <c r="AY161" s="95"/>
      <c r="AZ161" s="95"/>
      <c r="BA161" s="24"/>
      <c r="BB161" s="9" t="s">
        <v>336</v>
      </c>
      <c r="BC161" s="96" t="s">
        <v>93</v>
      </c>
    </row>
    <row r="162" spans="1:55" ht="15" customHeight="1">
      <c r="A162" s="86">
        <f t="shared" si="20"/>
        <v>160</v>
      </c>
      <c r="B162" s="75" t="s">
        <v>1039</v>
      </c>
      <c r="C162" s="9"/>
      <c r="D162" s="76" t="s">
        <v>333</v>
      </c>
      <c r="E162" s="88" t="str">
        <f>_xlfn.IFNA(VLOOKUP($D162,'Route-Details'!$B$2:$X$1048576,'Node Details'!E$1,0),"")</f>
        <v>Airtel</v>
      </c>
      <c r="F162" s="88" t="str">
        <f>_xlfn.IFNA(VLOOKUP($D162,'Route-Details'!$B$2:$X$1048576,'Node Details'!F$1,0),"")</f>
        <v>DARIA</v>
      </c>
      <c r="G162" s="88" t="str">
        <f>_xlfn.IFNA(VLOOKUP($D162,'Route-Details'!$B$2:$X$1048576,'Node Details'!G$1,0),"")</f>
        <v>Chandigarh</v>
      </c>
      <c r="H162" s="88" t="str">
        <f>_xlfn.IFNA(VLOOKUP($D163,'Route-Details'!$B$2:$X$1048576,'Node Details'!H$1,0),"")</f>
        <v>Punjab</v>
      </c>
      <c r="I162" s="88" t="str">
        <f>_xlfn.IFNA(VLOOKUP($D162,'Route-Details'!$B$2:$X$1048576,'Node Details'!I$1,0),"")</f>
        <v>AXY</v>
      </c>
      <c r="J162" s="88" t="str">
        <f>_xlfn.IFNA(VLOOKUP($D162,'Route-Details'!$B$2:$X$1048576,'Node Details'!J$1,0),"")</f>
        <v>AXY</v>
      </c>
      <c r="K162" s="76">
        <v>46112</v>
      </c>
      <c r="L162" s="76">
        <v>46113</v>
      </c>
      <c r="M162" s="89">
        <v>46125</v>
      </c>
      <c r="N162" s="76">
        <v>46112</v>
      </c>
      <c r="Q162" s="86" t="s">
        <v>958</v>
      </c>
      <c r="R162" s="90"/>
      <c r="S162" s="87"/>
      <c r="T162" s="87"/>
      <c r="U162" s="87"/>
      <c r="V162" s="93"/>
      <c r="W162" s="91"/>
      <c r="X162" s="87"/>
      <c r="Y162" s="92"/>
      <c r="Z162" s="90"/>
      <c r="AA162" s="93"/>
      <c r="AB162" s="87"/>
      <c r="AC162" s="91"/>
      <c r="AD162" s="90"/>
      <c r="AE162" s="86"/>
      <c r="AF162" s="82"/>
      <c r="AG162" s="24"/>
      <c r="AH162" s="93"/>
      <c r="AI162" s="87"/>
      <c r="AJ162" s="86"/>
      <c r="AK162" s="81"/>
      <c r="AL162" s="24"/>
      <c r="AM162" s="24"/>
      <c r="AN162" s="81"/>
      <c r="AO162" s="81"/>
      <c r="AP162" s="24"/>
      <c r="AQ162" s="93"/>
      <c r="AR162" s="94"/>
      <c r="AS162" s="82"/>
      <c r="AT162" s="82"/>
      <c r="AU162" s="24"/>
      <c r="AV162" s="93"/>
      <c r="AW162" s="94"/>
      <c r="AX162" s="95"/>
      <c r="AY162" s="95"/>
      <c r="AZ162" s="95"/>
      <c r="BA162" s="24"/>
      <c r="BB162" s="9" t="s">
        <v>336</v>
      </c>
      <c r="BC162" s="96" t="s">
        <v>93</v>
      </c>
    </row>
    <row r="163" spans="1:55" ht="15" customHeight="1">
      <c r="A163" s="86">
        <f t="shared" si="20"/>
        <v>161</v>
      </c>
      <c r="B163" s="75" t="s">
        <v>335</v>
      </c>
      <c r="C163" s="9"/>
      <c r="D163" s="76" t="s">
        <v>333</v>
      </c>
      <c r="E163" s="88" t="str">
        <f>_xlfn.IFNA(VLOOKUP($D163,'Route-Details'!$B$2:$X$1048576,'Node Details'!E$1,0),"")</f>
        <v>Airtel</v>
      </c>
      <c r="F163" s="88" t="str">
        <f>_xlfn.IFNA(VLOOKUP($D163,'Route-Details'!$B$2:$X$1048576,'Node Details'!F$1,0),"")</f>
        <v>DARIA</v>
      </c>
      <c r="G163" s="88" t="str">
        <f>_xlfn.IFNA(VLOOKUP($D163,'Route-Details'!$B$2:$X$1048576,'Node Details'!G$1,0),"")</f>
        <v>Chandigarh</v>
      </c>
      <c r="H163" s="88" t="str">
        <f>_xlfn.IFNA(VLOOKUP($D164,'Route-Details'!$B$2:$X$1048576,'Node Details'!H$1,0),"")</f>
        <v>Punjab</v>
      </c>
      <c r="I163" s="88" t="str">
        <f>_xlfn.IFNA(VLOOKUP($D163,'Route-Details'!$B$2:$X$1048576,'Node Details'!I$1,0),"")</f>
        <v>AXY</v>
      </c>
      <c r="J163" s="88" t="str">
        <f>_xlfn.IFNA(VLOOKUP($D163,'Route-Details'!$B$2:$X$1048576,'Node Details'!J$1,0),"")</f>
        <v>AXY</v>
      </c>
      <c r="K163" s="76">
        <v>46112</v>
      </c>
      <c r="L163" s="76">
        <v>46113</v>
      </c>
      <c r="M163" s="89">
        <v>46125</v>
      </c>
      <c r="N163" s="76">
        <v>46112</v>
      </c>
      <c r="Q163" s="86" t="s">
        <v>958</v>
      </c>
      <c r="R163" s="90"/>
      <c r="S163" s="87"/>
      <c r="T163" s="87"/>
      <c r="U163" s="87"/>
      <c r="V163" s="93"/>
      <c r="W163" s="91"/>
      <c r="X163" s="87"/>
      <c r="Y163" s="92"/>
      <c r="Z163" s="90"/>
      <c r="AA163" s="93"/>
      <c r="AB163" s="87"/>
      <c r="AC163" s="91"/>
      <c r="AD163" s="90"/>
      <c r="AE163" s="86"/>
      <c r="AF163" s="82"/>
      <c r="AG163" s="24"/>
      <c r="AH163" s="93"/>
      <c r="AI163" s="87"/>
      <c r="AJ163" s="86"/>
      <c r="AK163" s="81"/>
      <c r="AL163" s="24"/>
      <c r="AM163" s="24"/>
      <c r="AN163" s="81"/>
      <c r="AO163" s="81"/>
      <c r="AP163" s="24"/>
      <c r="AQ163" s="93"/>
      <c r="AR163" s="94"/>
      <c r="AS163" s="82"/>
      <c r="AT163" s="82"/>
      <c r="AU163" s="24"/>
      <c r="AV163" s="93"/>
      <c r="AW163" s="94"/>
      <c r="AX163" s="95"/>
      <c r="AY163" s="95"/>
      <c r="AZ163" s="95"/>
      <c r="BA163" s="24"/>
      <c r="BB163" s="9" t="s">
        <v>336</v>
      </c>
      <c r="BC163" s="96" t="s">
        <v>93</v>
      </c>
    </row>
    <row r="164" spans="1:55" ht="15" customHeight="1">
      <c r="A164" s="86">
        <f t="shared" si="20"/>
        <v>162</v>
      </c>
      <c r="B164" s="75" t="s">
        <v>339</v>
      </c>
      <c r="C164" s="9"/>
      <c r="D164" s="76" t="s">
        <v>337</v>
      </c>
      <c r="E164" s="88" t="str">
        <f>_xlfn.IFNA(VLOOKUP($D164,'Route-Details'!$B$2:$X$1048576,'Node Details'!E$1,0),"")</f>
        <v>Airtel</v>
      </c>
      <c r="F164" s="88" t="str">
        <f>_xlfn.IFNA(VLOOKUP($D164,'Route-Details'!$B$2:$X$1048576,'Node Details'!F$1,0),"")</f>
        <v>DARIA</v>
      </c>
      <c r="G164" s="88" t="str">
        <f>_xlfn.IFNA(VLOOKUP($D164,'Route-Details'!$B$2:$X$1048576,'Node Details'!G$1,0),"")</f>
        <v>Chandigarh</v>
      </c>
      <c r="H164" s="88" t="str">
        <f>_xlfn.IFNA(VLOOKUP($D165,'Route-Details'!$B$2:$X$1048576,'Node Details'!H$1,0),"")</f>
        <v>Punjab</v>
      </c>
      <c r="I164" s="88" t="str">
        <f>_xlfn.IFNA(VLOOKUP($D164,'Route-Details'!$B$2:$X$1048576,'Node Details'!I$1,0),"")</f>
        <v>AXY</v>
      </c>
      <c r="J164" s="88" t="str">
        <f>_xlfn.IFNA(VLOOKUP($D164,'Route-Details'!$B$2:$X$1048576,'Node Details'!J$1,0),"")</f>
        <v>AXY</v>
      </c>
      <c r="K164" s="76">
        <v>46112</v>
      </c>
      <c r="L164" s="76">
        <v>46113</v>
      </c>
      <c r="M164" s="89">
        <v>46125</v>
      </c>
      <c r="N164" s="76">
        <v>46112</v>
      </c>
      <c r="Q164" s="86" t="s">
        <v>958</v>
      </c>
      <c r="R164" s="90"/>
      <c r="S164" s="87"/>
      <c r="T164" s="87"/>
      <c r="U164" s="87"/>
      <c r="V164" s="93"/>
      <c r="W164" s="91"/>
      <c r="X164" s="87"/>
      <c r="Y164" s="92"/>
      <c r="Z164" s="90"/>
      <c r="AA164" s="93"/>
      <c r="AB164" s="87"/>
      <c r="AC164" s="91"/>
      <c r="AD164" s="90"/>
      <c r="AE164" s="86"/>
      <c r="AF164" s="82"/>
      <c r="AG164" s="24"/>
      <c r="AH164" s="93"/>
      <c r="AI164" s="87"/>
      <c r="AJ164" s="86"/>
      <c r="AK164" s="81"/>
      <c r="AL164" s="24"/>
      <c r="AM164" s="24"/>
      <c r="AN164" s="81"/>
      <c r="AO164" s="81"/>
      <c r="AP164" s="24"/>
      <c r="AQ164" s="93"/>
      <c r="AR164" s="94"/>
      <c r="AS164" s="82"/>
      <c r="AT164" s="82"/>
      <c r="AU164" s="24"/>
      <c r="AV164" s="93"/>
      <c r="AW164" s="94"/>
      <c r="AX164" s="95"/>
      <c r="AY164" s="95"/>
      <c r="AZ164" s="95"/>
      <c r="BA164" s="24"/>
      <c r="BB164" s="9" t="s">
        <v>340</v>
      </c>
      <c r="BC164" s="96" t="s">
        <v>93</v>
      </c>
    </row>
    <row r="165" spans="1:55" ht="15" customHeight="1">
      <c r="A165" s="86">
        <f t="shared" si="20"/>
        <v>163</v>
      </c>
      <c r="B165" s="75" t="s">
        <v>1040</v>
      </c>
      <c r="C165" s="9"/>
      <c r="D165" s="76" t="s">
        <v>341</v>
      </c>
      <c r="E165" s="88" t="str">
        <f>_xlfn.IFNA(VLOOKUP($D165,'Route-Details'!$B$2:$X$1048576,'Node Details'!E$1,0),"")</f>
        <v>Airtel</v>
      </c>
      <c r="F165" s="88" t="str">
        <f>_xlfn.IFNA(VLOOKUP($D165,'Route-Details'!$B$2:$X$1048576,'Node Details'!F$1,0),"")</f>
        <v>DARIA</v>
      </c>
      <c r="G165" s="88" t="str">
        <f>_xlfn.IFNA(VLOOKUP($D165,'Route-Details'!$B$2:$X$1048576,'Node Details'!G$1,0),"")</f>
        <v>Chandigarh</v>
      </c>
      <c r="H165" s="88" t="str">
        <f>_xlfn.IFNA(VLOOKUP($D166,'Route-Details'!$B$2:$X$1048576,'Node Details'!H$1,0),"")</f>
        <v>Punjab</v>
      </c>
      <c r="I165" s="88" t="str">
        <f>_xlfn.IFNA(VLOOKUP($D165,'Route-Details'!$B$2:$X$1048576,'Node Details'!I$1,0),"")</f>
        <v>AXY</v>
      </c>
      <c r="J165" s="88" t="str">
        <f>_xlfn.IFNA(VLOOKUP($D165,'Route-Details'!$B$2:$X$1048576,'Node Details'!J$1,0),"")</f>
        <v>AXY</v>
      </c>
      <c r="K165" s="76">
        <v>46112</v>
      </c>
      <c r="L165" s="76">
        <v>46113</v>
      </c>
      <c r="M165" s="89">
        <v>46125</v>
      </c>
      <c r="N165" s="76">
        <v>46112</v>
      </c>
      <c r="Q165" s="86" t="s">
        <v>958</v>
      </c>
      <c r="R165" s="90"/>
      <c r="S165" s="87"/>
      <c r="T165" s="87"/>
      <c r="U165" s="87"/>
      <c r="V165" s="93"/>
      <c r="W165" s="91"/>
      <c r="X165" s="87"/>
      <c r="Y165" s="92"/>
      <c r="Z165" s="90"/>
      <c r="AA165" s="93"/>
      <c r="AB165" s="87"/>
      <c r="AC165" s="91"/>
      <c r="AD165" s="90"/>
      <c r="AE165" s="86"/>
      <c r="AF165" s="82"/>
      <c r="AG165" s="24"/>
      <c r="AH165" s="93"/>
      <c r="AI165" s="87"/>
      <c r="AJ165" s="86"/>
      <c r="AK165" s="81"/>
      <c r="AL165" s="24"/>
      <c r="AM165" s="24"/>
      <c r="AN165" s="81"/>
      <c r="AO165" s="81"/>
      <c r="AP165" s="24"/>
      <c r="AQ165" s="93"/>
      <c r="AR165" s="94"/>
      <c r="AS165" s="82"/>
      <c r="AT165" s="82"/>
      <c r="AU165" s="24"/>
      <c r="AV165" s="93"/>
      <c r="AW165" s="94"/>
      <c r="AX165" s="95"/>
      <c r="AY165" s="95"/>
      <c r="AZ165" s="95"/>
      <c r="BA165" s="24"/>
      <c r="BB165" s="9" t="s">
        <v>343</v>
      </c>
      <c r="BC165" s="96" t="s">
        <v>93</v>
      </c>
    </row>
    <row r="166" spans="1:55" ht="15" customHeight="1">
      <c r="A166" s="86">
        <f t="shared" si="20"/>
        <v>164</v>
      </c>
      <c r="B166" s="75" t="s">
        <v>1041</v>
      </c>
      <c r="C166" s="9"/>
      <c r="D166" s="76" t="s">
        <v>341</v>
      </c>
      <c r="E166" s="88" t="str">
        <f>_xlfn.IFNA(VLOOKUP($D166,'Route-Details'!$B$2:$X$1048576,'Node Details'!E$1,0),"")</f>
        <v>Airtel</v>
      </c>
      <c r="F166" s="88" t="str">
        <f>_xlfn.IFNA(VLOOKUP($D166,'Route-Details'!$B$2:$X$1048576,'Node Details'!F$1,0),"")</f>
        <v>DARIA</v>
      </c>
      <c r="G166" s="88" t="str">
        <f>_xlfn.IFNA(VLOOKUP($D166,'Route-Details'!$B$2:$X$1048576,'Node Details'!G$1,0),"")</f>
        <v>Chandigarh</v>
      </c>
      <c r="H166" s="88" t="str">
        <f>_xlfn.IFNA(VLOOKUP($D167,'Route-Details'!$B$2:$X$1048576,'Node Details'!H$1,0),"")</f>
        <v>Punjab</v>
      </c>
      <c r="I166" s="88" t="str">
        <f>_xlfn.IFNA(VLOOKUP($D166,'Route-Details'!$B$2:$X$1048576,'Node Details'!I$1,0),"")</f>
        <v>AXY</v>
      </c>
      <c r="J166" s="88" t="str">
        <f>_xlfn.IFNA(VLOOKUP($D166,'Route-Details'!$B$2:$X$1048576,'Node Details'!J$1,0),"")</f>
        <v>AXY</v>
      </c>
      <c r="K166" s="76">
        <v>46112</v>
      </c>
      <c r="L166" s="76">
        <v>46113</v>
      </c>
      <c r="M166" s="89">
        <v>46125</v>
      </c>
      <c r="N166" s="76">
        <v>46112</v>
      </c>
      <c r="Q166" s="86" t="s">
        <v>958</v>
      </c>
      <c r="R166" s="90"/>
      <c r="S166" s="87"/>
      <c r="T166" s="87"/>
      <c r="U166" s="87"/>
      <c r="V166" s="93"/>
      <c r="W166" s="91"/>
      <c r="X166" s="87"/>
      <c r="Y166" s="92"/>
      <c r="Z166" s="90"/>
      <c r="AA166" s="93"/>
      <c r="AB166" s="87"/>
      <c r="AC166" s="91"/>
      <c r="AD166" s="90"/>
      <c r="AE166" s="86"/>
      <c r="AF166" s="82"/>
      <c r="AG166" s="24"/>
      <c r="AH166" s="93"/>
      <c r="AI166" s="87"/>
      <c r="AJ166" s="86"/>
      <c r="AK166" s="81"/>
      <c r="AL166" s="24"/>
      <c r="AM166" s="24"/>
      <c r="AN166" s="81"/>
      <c r="AO166" s="81"/>
      <c r="AP166" s="24"/>
      <c r="AQ166" s="93"/>
      <c r="AR166" s="94"/>
      <c r="AS166" s="82"/>
      <c r="AT166" s="82"/>
      <c r="AU166" s="24"/>
      <c r="AV166" s="93"/>
      <c r="AW166" s="94"/>
      <c r="AX166" s="95"/>
      <c r="AY166" s="95"/>
      <c r="AZ166" s="95"/>
      <c r="BA166" s="24"/>
      <c r="BB166" s="9" t="s">
        <v>343</v>
      </c>
      <c r="BC166" s="96" t="s">
        <v>93</v>
      </c>
    </row>
    <row r="167" spans="1:55" ht="15" customHeight="1">
      <c r="A167" s="86">
        <f t="shared" si="20"/>
        <v>165</v>
      </c>
      <c r="B167" s="75" t="s">
        <v>342</v>
      </c>
      <c r="C167" s="9"/>
      <c r="D167" s="76" t="s">
        <v>341</v>
      </c>
      <c r="E167" s="88" t="str">
        <f>_xlfn.IFNA(VLOOKUP($D167,'Route-Details'!$B$2:$X$1048576,'Node Details'!E$1,0),"")</f>
        <v>Airtel</v>
      </c>
      <c r="F167" s="88" t="str">
        <f>_xlfn.IFNA(VLOOKUP($D167,'Route-Details'!$B$2:$X$1048576,'Node Details'!F$1,0),"")</f>
        <v>DARIA</v>
      </c>
      <c r="G167" s="88" t="str">
        <f>_xlfn.IFNA(VLOOKUP($D167,'Route-Details'!$B$2:$X$1048576,'Node Details'!G$1,0),"")</f>
        <v>Chandigarh</v>
      </c>
      <c r="H167" s="88" t="str">
        <f>_xlfn.IFNA(VLOOKUP($D168,'Route-Details'!$B$2:$X$1048576,'Node Details'!H$1,0),"")</f>
        <v>Punjab</v>
      </c>
      <c r="I167" s="88" t="str">
        <f>_xlfn.IFNA(VLOOKUP($D167,'Route-Details'!$B$2:$X$1048576,'Node Details'!I$1,0),"")</f>
        <v>AXY</v>
      </c>
      <c r="J167" s="88" t="str">
        <f>_xlfn.IFNA(VLOOKUP($D167,'Route-Details'!$B$2:$X$1048576,'Node Details'!J$1,0),"")</f>
        <v>AXY</v>
      </c>
      <c r="K167" s="76">
        <v>46112</v>
      </c>
      <c r="L167" s="76">
        <v>46113</v>
      </c>
      <c r="M167" s="89">
        <v>46125</v>
      </c>
      <c r="N167" s="76">
        <v>46112</v>
      </c>
      <c r="Q167" s="86" t="s">
        <v>958</v>
      </c>
      <c r="R167" s="90"/>
      <c r="S167" s="87"/>
      <c r="T167" s="87"/>
      <c r="U167" s="87"/>
      <c r="V167" s="93"/>
      <c r="W167" s="91"/>
      <c r="X167" s="87"/>
      <c r="Y167" s="92"/>
      <c r="Z167" s="90"/>
      <c r="AA167" s="93"/>
      <c r="AB167" s="87"/>
      <c r="AC167" s="91"/>
      <c r="AD167" s="90"/>
      <c r="AE167" s="86"/>
      <c r="AF167" s="82"/>
      <c r="AG167" s="24"/>
      <c r="AH167" s="93"/>
      <c r="AI167" s="87"/>
      <c r="AJ167" s="86"/>
      <c r="AK167" s="81"/>
      <c r="AL167" s="24"/>
      <c r="AM167" s="24"/>
      <c r="AN167" s="81"/>
      <c r="AO167" s="81"/>
      <c r="AP167" s="24"/>
      <c r="AQ167" s="93"/>
      <c r="AR167" s="94"/>
      <c r="AS167" s="82"/>
      <c r="AT167" s="82"/>
      <c r="AU167" s="24"/>
      <c r="AV167" s="93"/>
      <c r="AW167" s="94"/>
      <c r="AX167" s="95"/>
      <c r="AY167" s="95"/>
      <c r="AZ167" s="95"/>
      <c r="BA167" s="24"/>
      <c r="BB167" s="9" t="s">
        <v>343</v>
      </c>
      <c r="BC167" s="96" t="s">
        <v>93</v>
      </c>
    </row>
    <row r="168" spans="1:55" ht="15" customHeight="1">
      <c r="A168" s="86">
        <f t="shared" si="20"/>
        <v>166</v>
      </c>
      <c r="B168" s="75" t="s">
        <v>1042</v>
      </c>
      <c r="C168" s="9"/>
      <c r="D168" s="76" t="s">
        <v>146</v>
      </c>
      <c r="E168" s="88" t="str">
        <f>_xlfn.IFNA(VLOOKUP($D168,'Route-Details'!$B$2:$X$1048576,'Node Details'!E$1,0),"")</f>
        <v>Airtel</v>
      </c>
      <c r="F168" s="88" t="str">
        <f>_xlfn.IFNA(VLOOKUP($D168,'Route-Details'!$B$2:$X$1048576,'Node Details'!F$1,0),"")</f>
        <v>DARIA</v>
      </c>
      <c r="G168" s="88" t="str">
        <f>_xlfn.IFNA(VLOOKUP($D168,'Route-Details'!$B$2:$X$1048576,'Node Details'!G$1,0),"")</f>
        <v>Chandigarh</v>
      </c>
      <c r="H168" s="88" t="str">
        <f>_xlfn.IFNA(VLOOKUP($D169,'Route-Details'!$B$2:$X$1048576,'Node Details'!H$1,0),"")</f>
        <v>Punjab</v>
      </c>
      <c r="I168" s="88" t="str">
        <f>_xlfn.IFNA(VLOOKUP($D168,'Route-Details'!$B$2:$X$1048576,'Node Details'!I$1,0),"")</f>
        <v>AXY</v>
      </c>
      <c r="J168" s="88" t="str">
        <f>_xlfn.IFNA(VLOOKUP($D168,'Route-Details'!$B$2:$X$1048576,'Node Details'!J$1,0),"")</f>
        <v>AXY</v>
      </c>
      <c r="K168" s="76">
        <v>46112</v>
      </c>
      <c r="L168" s="76">
        <v>46113</v>
      </c>
      <c r="M168" s="89">
        <v>46125</v>
      </c>
      <c r="N168" s="76">
        <v>46112</v>
      </c>
      <c r="Q168" s="86" t="s">
        <v>958</v>
      </c>
      <c r="R168" s="90"/>
      <c r="S168" s="87"/>
      <c r="T168" s="87"/>
      <c r="U168" s="87"/>
      <c r="V168" s="93"/>
      <c r="W168" s="91"/>
      <c r="X168" s="87"/>
      <c r="Y168" s="92"/>
      <c r="Z168" s="90"/>
      <c r="AA168" s="93"/>
      <c r="AB168" s="87"/>
      <c r="AC168" s="91"/>
      <c r="AD168" s="90"/>
      <c r="AE168" s="86"/>
      <c r="AF168" s="82"/>
      <c r="AG168" s="24"/>
      <c r="AH168" s="93"/>
      <c r="AI168" s="87"/>
      <c r="AJ168" s="86"/>
      <c r="AK168" s="81"/>
      <c r="AL168" s="24"/>
      <c r="AM168" s="24"/>
      <c r="AN168" s="81"/>
      <c r="AO168" s="81"/>
      <c r="AP168" s="24"/>
      <c r="AQ168" s="93"/>
      <c r="AR168" s="94"/>
      <c r="AS168" s="82"/>
      <c r="AT168" s="82"/>
      <c r="AU168" s="24"/>
      <c r="AV168" s="93"/>
      <c r="AW168" s="94"/>
      <c r="AX168" s="95"/>
      <c r="AY168" s="95"/>
      <c r="AZ168" s="95"/>
      <c r="BA168" s="24"/>
      <c r="BB168" s="9" t="s">
        <v>96</v>
      </c>
      <c r="BC168" s="96" t="s">
        <v>93</v>
      </c>
    </row>
    <row r="169" spans="1:55" ht="15" customHeight="1">
      <c r="A169" s="86">
        <f t="shared" si="20"/>
        <v>167</v>
      </c>
      <c r="B169" s="75" t="s">
        <v>346</v>
      </c>
      <c r="C169" s="9"/>
      <c r="D169" s="76" t="s">
        <v>344</v>
      </c>
      <c r="E169" s="88" t="str">
        <f>_xlfn.IFNA(VLOOKUP($D169,'Route-Details'!$B$2:$X$1048576,'Node Details'!E$1,0),"")</f>
        <v>Airtel</v>
      </c>
      <c r="F169" s="88" t="str">
        <f>_xlfn.IFNA(VLOOKUP($D169,'Route-Details'!$B$2:$X$1048576,'Node Details'!F$1,0),"")</f>
        <v>DARIA</v>
      </c>
      <c r="G169" s="88" t="str">
        <f>_xlfn.IFNA(VLOOKUP($D169,'Route-Details'!$B$2:$X$1048576,'Node Details'!G$1,0),"")</f>
        <v>Chandigarh</v>
      </c>
      <c r="H169" s="88" t="str">
        <f>_xlfn.IFNA(VLOOKUP($D170,'Route-Details'!$B$2:$X$1048576,'Node Details'!H$1,0),"")</f>
        <v>Punjab</v>
      </c>
      <c r="I169" s="88" t="str">
        <f>_xlfn.IFNA(VLOOKUP($D169,'Route-Details'!$B$2:$X$1048576,'Node Details'!I$1,0),"")</f>
        <v>AXY</v>
      </c>
      <c r="J169" s="88" t="str">
        <f>_xlfn.IFNA(VLOOKUP($D169,'Route-Details'!$B$2:$X$1048576,'Node Details'!J$1,0),"")</f>
        <v>AXY</v>
      </c>
      <c r="K169" s="76">
        <v>46112</v>
      </c>
      <c r="L169" s="76">
        <v>46113</v>
      </c>
      <c r="M169" s="89">
        <v>46125</v>
      </c>
      <c r="N169" s="76">
        <v>46112</v>
      </c>
      <c r="Q169" s="86" t="s">
        <v>958</v>
      </c>
      <c r="R169" s="90"/>
      <c r="S169" s="87"/>
      <c r="T169" s="87"/>
      <c r="U169" s="87"/>
      <c r="V169" s="93"/>
      <c r="W169" s="91"/>
      <c r="X169" s="87"/>
      <c r="Y169" s="92"/>
      <c r="Z169" s="90"/>
      <c r="AA169" s="93"/>
      <c r="AB169" s="87"/>
      <c r="AC169" s="91"/>
      <c r="AD169" s="90"/>
      <c r="AE169" s="86"/>
      <c r="AF169" s="82"/>
      <c r="AG169" s="24"/>
      <c r="AH169" s="93"/>
      <c r="AI169" s="87"/>
      <c r="AJ169" s="86"/>
      <c r="AK169" s="81"/>
      <c r="AL169" s="24"/>
      <c r="AM169" s="24"/>
      <c r="AN169" s="81"/>
      <c r="AO169" s="81"/>
      <c r="AP169" s="24"/>
      <c r="AQ169" s="93"/>
      <c r="AR169" s="94"/>
      <c r="AS169" s="82"/>
      <c r="AT169" s="82"/>
      <c r="AU169" s="24"/>
      <c r="AV169" s="93"/>
      <c r="AW169" s="94"/>
      <c r="AX169" s="95"/>
      <c r="AY169" s="95"/>
      <c r="AZ169" s="95"/>
      <c r="BA169" s="24"/>
      <c r="BB169" s="9" t="s">
        <v>347</v>
      </c>
      <c r="BC169" s="96" t="s">
        <v>93</v>
      </c>
    </row>
    <row r="170" spans="1:55" ht="15" customHeight="1">
      <c r="A170" s="86">
        <f t="shared" si="20"/>
        <v>168</v>
      </c>
      <c r="B170" s="75" t="s">
        <v>1043</v>
      </c>
      <c r="C170" s="9"/>
      <c r="D170" s="76" t="s">
        <v>348</v>
      </c>
      <c r="E170" s="88" t="str">
        <f>_xlfn.IFNA(VLOOKUP($D170,'Route-Details'!$B$2:$X$1048576,'Node Details'!E$1,0),"")</f>
        <v>Airtel</v>
      </c>
      <c r="F170" s="88" t="str">
        <f>_xlfn.IFNA(VLOOKUP($D170,'Route-Details'!$B$2:$X$1048576,'Node Details'!F$1,0),"")</f>
        <v>DARIA</v>
      </c>
      <c r="G170" s="88" t="str">
        <f>_xlfn.IFNA(VLOOKUP($D170,'Route-Details'!$B$2:$X$1048576,'Node Details'!G$1,0),"")</f>
        <v>Chandigarh</v>
      </c>
      <c r="H170" s="88" t="str">
        <f>_xlfn.IFNA(VLOOKUP($D171,'Route-Details'!$B$2:$X$1048576,'Node Details'!H$1,0),"")</f>
        <v>Punjab</v>
      </c>
      <c r="I170" s="88" t="str">
        <f>_xlfn.IFNA(VLOOKUP($D170,'Route-Details'!$B$2:$X$1048576,'Node Details'!I$1,0),"")</f>
        <v>AXY</v>
      </c>
      <c r="J170" s="88" t="str">
        <f>_xlfn.IFNA(VLOOKUP($D170,'Route-Details'!$B$2:$X$1048576,'Node Details'!J$1,0),"")</f>
        <v>AXY</v>
      </c>
      <c r="K170" s="76">
        <v>46112</v>
      </c>
      <c r="L170" s="76">
        <v>46113</v>
      </c>
      <c r="M170" s="89">
        <v>46125</v>
      </c>
      <c r="N170" s="76">
        <v>46112</v>
      </c>
      <c r="Q170" s="86" t="s">
        <v>958</v>
      </c>
      <c r="R170" s="90"/>
      <c r="S170" s="87"/>
      <c r="T170" s="87"/>
      <c r="U170" s="87"/>
      <c r="V170" s="93"/>
      <c r="W170" s="91"/>
      <c r="X170" s="87"/>
      <c r="Y170" s="92"/>
      <c r="Z170" s="90"/>
      <c r="AA170" s="93"/>
      <c r="AB170" s="87"/>
      <c r="AC170" s="91"/>
      <c r="AD170" s="90"/>
      <c r="AE170" s="86"/>
      <c r="AF170" s="82"/>
      <c r="AG170" s="24"/>
      <c r="AH170" s="93"/>
      <c r="AI170" s="87"/>
      <c r="AJ170" s="86"/>
      <c r="AK170" s="81"/>
      <c r="AL170" s="24"/>
      <c r="AM170" s="24"/>
      <c r="AN170" s="81"/>
      <c r="AO170" s="81"/>
      <c r="AP170" s="24"/>
      <c r="AQ170" s="93"/>
      <c r="AR170" s="94"/>
      <c r="AS170" s="82"/>
      <c r="AT170" s="82"/>
      <c r="AU170" s="24"/>
      <c r="AV170" s="93"/>
      <c r="AW170" s="94"/>
      <c r="AX170" s="95"/>
      <c r="AY170" s="95"/>
      <c r="AZ170" s="95"/>
      <c r="BA170" s="24"/>
      <c r="BB170" s="9" t="s">
        <v>350</v>
      </c>
      <c r="BC170" s="96" t="s">
        <v>93</v>
      </c>
    </row>
    <row r="171" spans="1:55" ht="15" customHeight="1">
      <c r="A171" s="86">
        <f t="shared" si="20"/>
        <v>169</v>
      </c>
      <c r="B171" s="75" t="s">
        <v>1044</v>
      </c>
      <c r="C171" s="9"/>
      <c r="D171" s="76" t="s">
        <v>348</v>
      </c>
      <c r="E171" s="88" t="str">
        <f>_xlfn.IFNA(VLOOKUP($D171,'Route-Details'!$B$2:$X$1048576,'Node Details'!E$1,0),"")</f>
        <v>Airtel</v>
      </c>
      <c r="F171" s="88" t="str">
        <f>_xlfn.IFNA(VLOOKUP($D171,'Route-Details'!$B$2:$X$1048576,'Node Details'!F$1,0),"")</f>
        <v>DARIA</v>
      </c>
      <c r="G171" s="88" t="str">
        <f>_xlfn.IFNA(VLOOKUP($D171,'Route-Details'!$B$2:$X$1048576,'Node Details'!G$1,0),"")</f>
        <v>Chandigarh</v>
      </c>
      <c r="H171" s="88" t="str">
        <f>_xlfn.IFNA(VLOOKUP($D172,'Route-Details'!$B$2:$X$1048576,'Node Details'!H$1,0),"")</f>
        <v>Punjab</v>
      </c>
      <c r="I171" s="88" t="str">
        <f>_xlfn.IFNA(VLOOKUP($D171,'Route-Details'!$B$2:$X$1048576,'Node Details'!I$1,0),"")</f>
        <v>AXY</v>
      </c>
      <c r="J171" s="88" t="str">
        <f>_xlfn.IFNA(VLOOKUP($D171,'Route-Details'!$B$2:$X$1048576,'Node Details'!J$1,0),"")</f>
        <v>AXY</v>
      </c>
      <c r="K171" s="76">
        <v>46112</v>
      </c>
      <c r="L171" s="76">
        <v>46113</v>
      </c>
      <c r="M171" s="89">
        <v>46125</v>
      </c>
      <c r="N171" s="76">
        <v>46112</v>
      </c>
      <c r="Q171" s="86" t="s">
        <v>958</v>
      </c>
      <c r="R171" s="90"/>
      <c r="S171" s="87"/>
      <c r="T171" s="87"/>
      <c r="U171" s="87"/>
      <c r="V171" s="93"/>
      <c r="W171" s="91"/>
      <c r="X171" s="87"/>
      <c r="Y171" s="92"/>
      <c r="Z171" s="90"/>
      <c r="AA171" s="93"/>
      <c r="AB171" s="87"/>
      <c r="AC171" s="91"/>
      <c r="AD171" s="90"/>
      <c r="AE171" s="86"/>
      <c r="AF171" s="82"/>
      <c r="AG171" s="24"/>
      <c r="AH171" s="93"/>
      <c r="AI171" s="87"/>
      <c r="AJ171" s="86"/>
      <c r="AK171" s="81"/>
      <c r="AL171" s="24"/>
      <c r="AM171" s="24"/>
      <c r="AN171" s="81"/>
      <c r="AO171" s="81"/>
      <c r="AP171" s="24"/>
      <c r="AQ171" s="93"/>
      <c r="AR171" s="94"/>
      <c r="AS171" s="82"/>
      <c r="AT171" s="82"/>
      <c r="AU171" s="24"/>
      <c r="AV171" s="93"/>
      <c r="AW171" s="94"/>
      <c r="AX171" s="95"/>
      <c r="AY171" s="95"/>
      <c r="AZ171" s="95"/>
      <c r="BA171" s="24"/>
      <c r="BB171" s="9" t="s">
        <v>350</v>
      </c>
      <c r="BC171" s="96" t="s">
        <v>93</v>
      </c>
    </row>
    <row r="172" spans="1:55" ht="15" customHeight="1">
      <c r="A172" s="86">
        <f t="shared" si="20"/>
        <v>170</v>
      </c>
      <c r="B172" s="75" t="s">
        <v>349</v>
      </c>
      <c r="C172" s="9"/>
      <c r="D172" s="76" t="s">
        <v>348</v>
      </c>
      <c r="E172" s="88" t="str">
        <f>_xlfn.IFNA(VLOOKUP($D172,'Route-Details'!$B$2:$X$1048576,'Node Details'!E$1,0),"")</f>
        <v>Airtel</v>
      </c>
      <c r="F172" s="88" t="str">
        <f>_xlfn.IFNA(VLOOKUP($D172,'Route-Details'!$B$2:$X$1048576,'Node Details'!F$1,0),"")</f>
        <v>DARIA</v>
      </c>
      <c r="G172" s="88" t="str">
        <f>_xlfn.IFNA(VLOOKUP($D172,'Route-Details'!$B$2:$X$1048576,'Node Details'!G$1,0),"")</f>
        <v>Chandigarh</v>
      </c>
      <c r="H172" s="88" t="str">
        <f>_xlfn.IFNA(VLOOKUP($D173,'Route-Details'!$B$2:$X$1048576,'Node Details'!H$1,0),"")</f>
        <v>Punjab</v>
      </c>
      <c r="I172" s="88" t="str">
        <f>_xlfn.IFNA(VLOOKUP($D172,'Route-Details'!$B$2:$X$1048576,'Node Details'!I$1,0),"")</f>
        <v>AXY</v>
      </c>
      <c r="J172" s="88" t="str">
        <f>_xlfn.IFNA(VLOOKUP($D172,'Route-Details'!$B$2:$X$1048576,'Node Details'!J$1,0),"")</f>
        <v>AXY</v>
      </c>
      <c r="K172" s="76">
        <v>46112</v>
      </c>
      <c r="L172" s="76">
        <v>46113</v>
      </c>
      <c r="M172" s="89">
        <v>46125</v>
      </c>
      <c r="N172" s="76">
        <v>46112</v>
      </c>
      <c r="Q172" s="86" t="s">
        <v>958</v>
      </c>
      <c r="R172" s="90"/>
      <c r="S172" s="87"/>
      <c r="T172" s="87"/>
      <c r="U172" s="87"/>
      <c r="V172" s="93"/>
      <c r="W172" s="91"/>
      <c r="X172" s="87"/>
      <c r="Y172" s="92"/>
      <c r="Z172" s="90"/>
      <c r="AA172" s="93"/>
      <c r="AB172" s="87"/>
      <c r="AC172" s="91"/>
      <c r="AD172" s="90"/>
      <c r="AE172" s="86"/>
      <c r="AF172" s="82"/>
      <c r="AG172" s="24"/>
      <c r="AH172" s="93"/>
      <c r="AI172" s="87"/>
      <c r="AJ172" s="86"/>
      <c r="AK172" s="81"/>
      <c r="AL172" s="24"/>
      <c r="AM172" s="24"/>
      <c r="AN172" s="81"/>
      <c r="AO172" s="81"/>
      <c r="AP172" s="24"/>
      <c r="AQ172" s="93"/>
      <c r="AR172" s="94"/>
      <c r="AS172" s="82"/>
      <c r="AT172" s="82"/>
      <c r="AU172" s="24"/>
      <c r="AV172" s="93"/>
      <c r="AW172" s="94"/>
      <c r="AX172" s="95"/>
      <c r="AY172" s="95"/>
      <c r="AZ172" s="95"/>
      <c r="BA172" s="24"/>
      <c r="BB172" s="9" t="s">
        <v>350</v>
      </c>
      <c r="BC172" s="96" t="s">
        <v>93</v>
      </c>
    </row>
    <row r="173" spans="1:55" ht="15" customHeight="1">
      <c r="A173" s="86">
        <f t="shared" si="20"/>
        <v>171</v>
      </c>
      <c r="B173" s="75" t="s">
        <v>1045</v>
      </c>
      <c r="C173" s="9"/>
      <c r="D173" s="76" t="s">
        <v>351</v>
      </c>
      <c r="E173" s="88" t="str">
        <f>_xlfn.IFNA(VLOOKUP($D173,'Route-Details'!$B$2:$X$1048576,'Node Details'!E$1,0),"")</f>
        <v>Airtel</v>
      </c>
      <c r="F173" s="88" t="str">
        <f>_xlfn.IFNA(VLOOKUP($D173,'Route-Details'!$B$2:$X$1048576,'Node Details'!F$1,0),"")</f>
        <v>DARIA</v>
      </c>
      <c r="G173" s="88" t="str">
        <f>_xlfn.IFNA(VLOOKUP($D173,'Route-Details'!$B$2:$X$1048576,'Node Details'!G$1,0),"")</f>
        <v>Chandigarh</v>
      </c>
      <c r="H173" s="88" t="str">
        <f>_xlfn.IFNA(VLOOKUP($D174,'Route-Details'!$B$2:$X$1048576,'Node Details'!H$1,0),"")</f>
        <v>Punjab</v>
      </c>
      <c r="I173" s="88" t="str">
        <f>_xlfn.IFNA(VLOOKUP($D173,'Route-Details'!$B$2:$X$1048576,'Node Details'!I$1,0),"")</f>
        <v>AXY</v>
      </c>
      <c r="J173" s="88" t="str">
        <f>_xlfn.IFNA(VLOOKUP($D173,'Route-Details'!$B$2:$X$1048576,'Node Details'!J$1,0),"")</f>
        <v>AXY</v>
      </c>
      <c r="K173" s="76">
        <v>46112</v>
      </c>
      <c r="L173" s="76">
        <v>46113</v>
      </c>
      <c r="M173" s="89">
        <v>46125</v>
      </c>
      <c r="N173" s="76">
        <v>46112</v>
      </c>
      <c r="Q173" s="86" t="s">
        <v>958</v>
      </c>
      <c r="R173" s="90"/>
      <c r="S173" s="87"/>
      <c r="T173" s="87"/>
      <c r="U173" s="87"/>
      <c r="V173" s="93"/>
      <c r="W173" s="91"/>
      <c r="X173" s="87"/>
      <c r="Y173" s="92"/>
      <c r="Z173" s="90"/>
      <c r="AA173" s="93"/>
      <c r="AB173" s="87"/>
      <c r="AC173" s="91"/>
      <c r="AD173" s="90"/>
      <c r="AE173" s="86"/>
      <c r="AF173" s="82"/>
      <c r="AG173" s="24"/>
      <c r="AH173" s="93"/>
      <c r="AI173" s="87"/>
      <c r="AJ173" s="86"/>
      <c r="AK173" s="81"/>
      <c r="AL173" s="24"/>
      <c r="AM173" s="24"/>
      <c r="AN173" s="81"/>
      <c r="AO173" s="81"/>
      <c r="AP173" s="24"/>
      <c r="AQ173" s="93"/>
      <c r="AR173" s="94"/>
      <c r="AS173" s="82"/>
      <c r="AT173" s="82"/>
      <c r="AU173" s="24"/>
      <c r="AV173" s="93"/>
      <c r="AW173" s="94"/>
      <c r="AX173" s="95"/>
      <c r="AY173" s="95"/>
      <c r="AZ173" s="95"/>
      <c r="BA173" s="24"/>
      <c r="BB173" s="9" t="s">
        <v>353</v>
      </c>
      <c r="BC173" s="96" t="s">
        <v>93</v>
      </c>
    </row>
    <row r="174" spans="1:55" ht="15" customHeight="1">
      <c r="A174" s="86">
        <f t="shared" si="20"/>
        <v>172</v>
      </c>
      <c r="B174" s="75" t="s">
        <v>1046</v>
      </c>
      <c r="C174" s="9"/>
      <c r="D174" s="76" t="s">
        <v>351</v>
      </c>
      <c r="E174" s="88" t="str">
        <f>_xlfn.IFNA(VLOOKUP($D174,'Route-Details'!$B$2:$X$1048576,'Node Details'!E$1,0),"")</f>
        <v>Airtel</v>
      </c>
      <c r="F174" s="88" t="str">
        <f>_xlfn.IFNA(VLOOKUP($D174,'Route-Details'!$B$2:$X$1048576,'Node Details'!F$1,0),"")</f>
        <v>DARIA</v>
      </c>
      <c r="G174" s="88" t="str">
        <f>_xlfn.IFNA(VLOOKUP($D174,'Route-Details'!$B$2:$X$1048576,'Node Details'!G$1,0),"")</f>
        <v>Chandigarh</v>
      </c>
      <c r="H174" s="88" t="str">
        <f>_xlfn.IFNA(VLOOKUP($D175,'Route-Details'!$B$2:$X$1048576,'Node Details'!H$1,0),"")</f>
        <v>Punjab</v>
      </c>
      <c r="I174" s="88" t="str">
        <f>_xlfn.IFNA(VLOOKUP($D174,'Route-Details'!$B$2:$X$1048576,'Node Details'!I$1,0),"")</f>
        <v>AXY</v>
      </c>
      <c r="J174" s="88" t="str">
        <f>_xlfn.IFNA(VLOOKUP($D174,'Route-Details'!$B$2:$X$1048576,'Node Details'!J$1,0),"")</f>
        <v>AXY</v>
      </c>
      <c r="K174" s="76">
        <v>46112</v>
      </c>
      <c r="L174" s="76">
        <v>46113</v>
      </c>
      <c r="M174" s="89">
        <v>46125</v>
      </c>
      <c r="N174" s="76">
        <v>46112</v>
      </c>
      <c r="Q174" s="86" t="s">
        <v>958</v>
      </c>
      <c r="R174" s="90"/>
      <c r="S174" s="87"/>
      <c r="T174" s="87"/>
      <c r="U174" s="87"/>
      <c r="V174" s="93"/>
      <c r="W174" s="91"/>
      <c r="X174" s="87"/>
      <c r="Y174" s="92"/>
      <c r="Z174" s="90"/>
      <c r="AA174" s="93"/>
      <c r="AB174" s="87"/>
      <c r="AC174" s="91"/>
      <c r="AD174" s="90"/>
      <c r="AE174" s="86"/>
      <c r="AF174" s="82"/>
      <c r="AG174" s="24"/>
      <c r="AH174" s="93"/>
      <c r="AI174" s="87"/>
      <c r="AJ174" s="86"/>
      <c r="AK174" s="81"/>
      <c r="AL174" s="24"/>
      <c r="AM174" s="24"/>
      <c r="AN174" s="81"/>
      <c r="AO174" s="81"/>
      <c r="AP174" s="24"/>
      <c r="AQ174" s="93"/>
      <c r="AR174" s="94"/>
      <c r="AS174" s="82"/>
      <c r="AT174" s="82"/>
      <c r="AU174" s="24"/>
      <c r="AV174" s="93"/>
      <c r="AW174" s="94"/>
      <c r="AX174" s="95"/>
      <c r="AY174" s="95"/>
      <c r="AZ174" s="95"/>
      <c r="BA174" s="24"/>
      <c r="BB174" s="9" t="s">
        <v>353</v>
      </c>
      <c r="BC174" s="96" t="s">
        <v>93</v>
      </c>
    </row>
    <row r="175" spans="1:55" ht="15" customHeight="1">
      <c r="A175" s="86">
        <f t="shared" si="20"/>
        <v>173</v>
      </c>
      <c r="B175" s="75" t="s">
        <v>352</v>
      </c>
      <c r="C175" s="9"/>
      <c r="D175" s="76" t="s">
        <v>351</v>
      </c>
      <c r="E175" s="88" t="str">
        <f>_xlfn.IFNA(VLOOKUP($D175,'Route-Details'!$B$2:$X$1048576,'Node Details'!E$1,0),"")</f>
        <v>Airtel</v>
      </c>
      <c r="F175" s="88" t="str">
        <f>_xlfn.IFNA(VLOOKUP($D175,'Route-Details'!$B$2:$X$1048576,'Node Details'!F$1,0),"")</f>
        <v>DARIA</v>
      </c>
      <c r="G175" s="88" t="str">
        <f>_xlfn.IFNA(VLOOKUP($D175,'Route-Details'!$B$2:$X$1048576,'Node Details'!G$1,0),"")</f>
        <v>Chandigarh</v>
      </c>
      <c r="H175" s="88" t="str">
        <f>_xlfn.IFNA(VLOOKUP($D176,'Route-Details'!$B$2:$X$1048576,'Node Details'!H$1,0),"")</f>
        <v>Punjab</v>
      </c>
      <c r="I175" s="88" t="str">
        <f>_xlfn.IFNA(VLOOKUP($D175,'Route-Details'!$B$2:$X$1048576,'Node Details'!I$1,0),"")</f>
        <v>AXY</v>
      </c>
      <c r="J175" s="88" t="str">
        <f>_xlfn.IFNA(VLOOKUP($D175,'Route-Details'!$B$2:$X$1048576,'Node Details'!J$1,0),"")</f>
        <v>AXY</v>
      </c>
      <c r="K175" s="76">
        <v>46112</v>
      </c>
      <c r="L175" s="76">
        <v>46113</v>
      </c>
      <c r="M175" s="89">
        <v>46125</v>
      </c>
      <c r="N175" s="76">
        <v>46112</v>
      </c>
      <c r="Q175" s="86" t="s">
        <v>958</v>
      </c>
      <c r="R175" s="90"/>
      <c r="S175" s="87"/>
      <c r="T175" s="87"/>
      <c r="U175" s="87"/>
      <c r="V175" s="93"/>
      <c r="W175" s="91"/>
      <c r="X175" s="87"/>
      <c r="Y175" s="92"/>
      <c r="Z175" s="90"/>
      <c r="AA175" s="93"/>
      <c r="AB175" s="87"/>
      <c r="AC175" s="91"/>
      <c r="AD175" s="90"/>
      <c r="AE175" s="86"/>
      <c r="AF175" s="82"/>
      <c r="AG175" s="24"/>
      <c r="AH175" s="93"/>
      <c r="AI175" s="87"/>
      <c r="AJ175" s="86"/>
      <c r="AK175" s="81"/>
      <c r="AL175" s="24"/>
      <c r="AM175" s="24"/>
      <c r="AN175" s="81"/>
      <c r="AO175" s="81"/>
      <c r="AP175" s="24"/>
      <c r="AQ175" s="93"/>
      <c r="AR175" s="94"/>
      <c r="AS175" s="82"/>
      <c r="AT175" s="82"/>
      <c r="AU175" s="24"/>
      <c r="AV175" s="93"/>
      <c r="AW175" s="94"/>
      <c r="AX175" s="95"/>
      <c r="AY175" s="95"/>
      <c r="AZ175" s="95"/>
      <c r="BA175" s="24"/>
      <c r="BB175" s="9" t="s">
        <v>353</v>
      </c>
      <c r="BC175" s="96" t="s">
        <v>93</v>
      </c>
    </row>
    <row r="176" spans="1:55" ht="15" customHeight="1">
      <c r="A176" s="86">
        <f t="shared" si="20"/>
        <v>174</v>
      </c>
      <c r="B176" s="75" t="s">
        <v>355</v>
      </c>
      <c r="C176" s="9"/>
      <c r="D176" s="76" t="s">
        <v>354</v>
      </c>
      <c r="E176" s="88" t="str">
        <f>_xlfn.IFNA(VLOOKUP($D176,'Route-Details'!$B$2:$X$1048576,'Node Details'!E$1,0),"")</f>
        <v>Airtel</v>
      </c>
      <c r="F176" s="88" t="str">
        <f>_xlfn.IFNA(VLOOKUP($D176,'Route-Details'!$B$2:$X$1048576,'Node Details'!F$1,0),"")</f>
        <v>DARIA</v>
      </c>
      <c r="G176" s="88" t="str">
        <f>_xlfn.IFNA(VLOOKUP($D176,'Route-Details'!$B$2:$X$1048576,'Node Details'!G$1,0),"")</f>
        <v>Chandigarh</v>
      </c>
      <c r="H176" s="88" t="str">
        <f>_xlfn.IFNA(VLOOKUP($D177,'Route-Details'!$B$2:$X$1048576,'Node Details'!H$1,0),"")</f>
        <v>Punjab</v>
      </c>
      <c r="I176" s="88" t="str">
        <f>_xlfn.IFNA(VLOOKUP($D176,'Route-Details'!$B$2:$X$1048576,'Node Details'!I$1,0),"")</f>
        <v>AXY</v>
      </c>
      <c r="J176" s="88" t="str">
        <f>_xlfn.IFNA(VLOOKUP($D176,'Route-Details'!$B$2:$X$1048576,'Node Details'!J$1,0),"")</f>
        <v>AXY</v>
      </c>
      <c r="K176" s="76">
        <v>46112</v>
      </c>
      <c r="L176" s="76">
        <v>46113</v>
      </c>
      <c r="M176" s="89">
        <v>46125</v>
      </c>
      <c r="N176" s="76">
        <v>46112</v>
      </c>
      <c r="Q176" s="86" t="s">
        <v>958</v>
      </c>
      <c r="R176" s="90"/>
      <c r="S176" s="87"/>
      <c r="T176" s="87"/>
      <c r="U176" s="87"/>
      <c r="V176" s="93"/>
      <c r="W176" s="91"/>
      <c r="X176" s="87"/>
      <c r="Y176" s="92"/>
      <c r="Z176" s="90"/>
      <c r="AA176" s="93"/>
      <c r="AB176" s="87"/>
      <c r="AC176" s="91"/>
      <c r="AD176" s="90"/>
      <c r="AE176" s="86"/>
      <c r="AF176" s="82"/>
      <c r="AG176" s="24"/>
      <c r="AH176" s="93"/>
      <c r="AI176" s="87"/>
      <c r="AJ176" s="86"/>
      <c r="AK176" s="81"/>
      <c r="AL176" s="24"/>
      <c r="AM176" s="24"/>
      <c r="AN176" s="81"/>
      <c r="AO176" s="81"/>
      <c r="AP176" s="24"/>
      <c r="AQ176" s="93"/>
      <c r="AR176" s="94"/>
      <c r="AS176" s="82"/>
      <c r="AT176" s="82"/>
      <c r="AU176" s="24"/>
      <c r="AV176" s="93"/>
      <c r="AW176" s="94"/>
      <c r="AX176" s="95"/>
      <c r="AY176" s="95"/>
      <c r="AZ176" s="95"/>
      <c r="BA176" s="24"/>
      <c r="BB176" s="9" t="s">
        <v>356</v>
      </c>
      <c r="BC176" s="96" t="s">
        <v>93</v>
      </c>
    </row>
    <row r="177" spans="1:55" ht="15" customHeight="1">
      <c r="A177" s="86">
        <f t="shared" si="20"/>
        <v>175</v>
      </c>
      <c r="B177" s="75" t="s">
        <v>147</v>
      </c>
      <c r="C177" s="9"/>
      <c r="D177" s="76" t="s">
        <v>146</v>
      </c>
      <c r="E177" s="88" t="str">
        <f>_xlfn.IFNA(VLOOKUP($D177,'Route-Details'!$B$2:$X$1048576,'Node Details'!E$1,0),"")</f>
        <v>Airtel</v>
      </c>
      <c r="F177" s="88" t="str">
        <f>_xlfn.IFNA(VLOOKUP($D177,'Route-Details'!$B$2:$X$1048576,'Node Details'!F$1,0),"")</f>
        <v>DARIA</v>
      </c>
      <c r="G177" s="88" t="str">
        <f>_xlfn.IFNA(VLOOKUP($D177,'Route-Details'!$B$2:$X$1048576,'Node Details'!G$1,0),"")</f>
        <v>Chandigarh</v>
      </c>
      <c r="H177" s="88" t="str">
        <f>_xlfn.IFNA(VLOOKUP($D178,'Route-Details'!$B$2:$X$1048576,'Node Details'!H$1,0),"")</f>
        <v>Punjab</v>
      </c>
      <c r="I177" s="88" t="str">
        <f>_xlfn.IFNA(VLOOKUP($D177,'Route-Details'!$B$2:$X$1048576,'Node Details'!I$1,0),"")</f>
        <v>AXY</v>
      </c>
      <c r="J177" s="88" t="str">
        <f>_xlfn.IFNA(VLOOKUP($D177,'Route-Details'!$B$2:$X$1048576,'Node Details'!J$1,0),"")</f>
        <v>AXY</v>
      </c>
      <c r="K177" s="76">
        <v>46112</v>
      </c>
      <c r="L177" s="76">
        <v>46113</v>
      </c>
      <c r="M177" s="89">
        <v>46125</v>
      </c>
      <c r="N177" s="76">
        <v>46112</v>
      </c>
      <c r="Q177" s="86" t="s">
        <v>958</v>
      </c>
      <c r="R177" s="90"/>
      <c r="S177" s="87"/>
      <c r="T177" s="87"/>
      <c r="U177" s="87"/>
      <c r="V177" s="93"/>
      <c r="W177" s="91"/>
      <c r="X177" s="87"/>
      <c r="Y177" s="92"/>
      <c r="Z177" s="90"/>
      <c r="AA177" s="93"/>
      <c r="AB177" s="87"/>
      <c r="AC177" s="91"/>
      <c r="AD177" s="90"/>
      <c r="AE177" s="86"/>
      <c r="AF177" s="82"/>
      <c r="AG177" s="24"/>
      <c r="AH177" s="93"/>
      <c r="AI177" s="87"/>
      <c r="AJ177" s="86"/>
      <c r="AK177" s="81"/>
      <c r="AL177" s="24"/>
      <c r="AM177" s="24"/>
      <c r="AN177" s="81"/>
      <c r="AO177" s="81"/>
      <c r="AP177" s="24"/>
      <c r="AQ177" s="93"/>
      <c r="AR177" s="94"/>
      <c r="AS177" s="82"/>
      <c r="AT177" s="82"/>
      <c r="AU177" s="24"/>
      <c r="AV177" s="93"/>
      <c r="AW177" s="94"/>
      <c r="AX177" s="95"/>
      <c r="AY177" s="95"/>
      <c r="AZ177" s="95"/>
      <c r="BA177" s="24"/>
      <c r="BB177" s="9" t="s">
        <v>96</v>
      </c>
      <c r="BC177" s="96" t="s">
        <v>93</v>
      </c>
    </row>
    <row r="178" spans="1:55" ht="15" customHeight="1">
      <c r="A178" s="86">
        <f t="shared" si="20"/>
        <v>176</v>
      </c>
      <c r="B178" s="75" t="s">
        <v>359</v>
      </c>
      <c r="C178" s="9"/>
      <c r="D178" s="76" t="s">
        <v>357</v>
      </c>
      <c r="E178" s="88" t="str">
        <f>_xlfn.IFNA(VLOOKUP($D178,'Route-Details'!$B$2:$X$1048576,'Node Details'!E$1,0),"")</f>
        <v>Airtel</v>
      </c>
      <c r="F178" s="88" t="str">
        <f>_xlfn.IFNA(VLOOKUP($D178,'Route-Details'!$B$2:$X$1048576,'Node Details'!F$1,0),"")</f>
        <v>DARIA</v>
      </c>
      <c r="G178" s="88" t="str">
        <f>_xlfn.IFNA(VLOOKUP($D178,'Route-Details'!$B$2:$X$1048576,'Node Details'!G$1,0),"")</f>
        <v>Chandigarh</v>
      </c>
      <c r="H178" s="88" t="str">
        <f>_xlfn.IFNA(VLOOKUP($D179,'Route-Details'!$B$2:$X$1048576,'Node Details'!H$1,0),"")</f>
        <v>Punjab</v>
      </c>
      <c r="I178" s="88" t="str">
        <f>_xlfn.IFNA(VLOOKUP($D178,'Route-Details'!$B$2:$X$1048576,'Node Details'!I$1,0),"")</f>
        <v>AXY</v>
      </c>
      <c r="J178" s="88" t="str">
        <f>_xlfn.IFNA(VLOOKUP($D178,'Route-Details'!$B$2:$X$1048576,'Node Details'!J$1,0),"")</f>
        <v>AXY</v>
      </c>
      <c r="K178" s="76">
        <v>46112</v>
      </c>
      <c r="L178" s="76">
        <v>46113</v>
      </c>
      <c r="M178" s="89">
        <v>46125</v>
      </c>
      <c r="N178" s="76">
        <v>46112</v>
      </c>
      <c r="Q178" s="86" t="s">
        <v>958</v>
      </c>
      <c r="R178" s="90"/>
      <c r="S178" s="87"/>
      <c r="T178" s="87"/>
      <c r="U178" s="87"/>
      <c r="V178" s="93"/>
      <c r="W178" s="91"/>
      <c r="X178" s="87"/>
      <c r="Y178" s="92"/>
      <c r="Z178" s="90"/>
      <c r="AA178" s="93"/>
      <c r="AB178" s="87"/>
      <c r="AC178" s="91"/>
      <c r="AD178" s="90"/>
      <c r="AE178" s="86"/>
      <c r="AF178" s="82"/>
      <c r="AG178" s="24"/>
      <c r="AH178" s="93"/>
      <c r="AI178" s="87"/>
      <c r="AJ178" s="86"/>
      <c r="AK178" s="81"/>
      <c r="AL178" s="24"/>
      <c r="AM178" s="24"/>
      <c r="AN178" s="81"/>
      <c r="AO178" s="81"/>
      <c r="AP178" s="24"/>
      <c r="AQ178" s="93"/>
      <c r="AR178" s="94"/>
      <c r="AS178" s="82"/>
      <c r="AT178" s="82"/>
      <c r="AU178" s="24"/>
      <c r="AV178" s="93"/>
      <c r="AW178" s="94"/>
      <c r="AX178" s="95"/>
      <c r="AY178" s="95"/>
      <c r="AZ178" s="95"/>
      <c r="BA178" s="24"/>
      <c r="BB178" s="9" t="s">
        <v>360</v>
      </c>
      <c r="BC178" s="96" t="s">
        <v>93</v>
      </c>
    </row>
    <row r="179" spans="1:55" ht="15" customHeight="1">
      <c r="A179" s="86">
        <f t="shared" si="20"/>
        <v>177</v>
      </c>
      <c r="B179" s="75" t="s">
        <v>1047</v>
      </c>
      <c r="C179" s="9"/>
      <c r="D179" s="76" t="s">
        <v>361</v>
      </c>
      <c r="E179" s="88" t="str">
        <f>_xlfn.IFNA(VLOOKUP($D179,'Route-Details'!$B$2:$X$1048576,'Node Details'!E$1,0),"")</f>
        <v>Airtel</v>
      </c>
      <c r="F179" s="88" t="str">
        <f>_xlfn.IFNA(VLOOKUP($D179,'Route-Details'!$B$2:$X$1048576,'Node Details'!F$1,0),"")</f>
        <v>DARIA</v>
      </c>
      <c r="G179" s="88" t="str">
        <f>_xlfn.IFNA(VLOOKUP($D179,'Route-Details'!$B$2:$X$1048576,'Node Details'!G$1,0),"")</f>
        <v>Chandigarh</v>
      </c>
      <c r="H179" s="88" t="str">
        <f>_xlfn.IFNA(VLOOKUP($D180,'Route-Details'!$B$2:$X$1048576,'Node Details'!H$1,0),"")</f>
        <v>Punjab</v>
      </c>
      <c r="I179" s="88" t="str">
        <f>_xlfn.IFNA(VLOOKUP($D179,'Route-Details'!$B$2:$X$1048576,'Node Details'!I$1,0),"")</f>
        <v>AXY</v>
      </c>
      <c r="J179" s="88" t="str">
        <f>_xlfn.IFNA(VLOOKUP($D179,'Route-Details'!$B$2:$X$1048576,'Node Details'!J$1,0),"")</f>
        <v>AXY</v>
      </c>
      <c r="K179" s="76">
        <v>46112</v>
      </c>
      <c r="L179" s="76">
        <v>46113</v>
      </c>
      <c r="M179" s="89">
        <v>46125</v>
      </c>
      <c r="N179" s="76">
        <v>46112</v>
      </c>
      <c r="Q179" s="86" t="s">
        <v>958</v>
      </c>
      <c r="R179" s="90"/>
      <c r="S179" s="87"/>
      <c r="T179" s="87"/>
      <c r="U179" s="87"/>
      <c r="V179" s="93"/>
      <c r="W179" s="91"/>
      <c r="X179" s="87"/>
      <c r="Y179" s="92"/>
      <c r="Z179" s="90"/>
      <c r="AA179" s="93"/>
      <c r="AB179" s="87"/>
      <c r="AC179" s="91"/>
      <c r="AD179" s="90"/>
      <c r="AE179" s="86"/>
      <c r="AF179" s="82"/>
      <c r="AG179" s="24"/>
      <c r="AH179" s="93"/>
      <c r="AI179" s="87"/>
      <c r="AJ179" s="86"/>
      <c r="AK179" s="81"/>
      <c r="AL179" s="24"/>
      <c r="AM179" s="24"/>
      <c r="AN179" s="81"/>
      <c r="AO179" s="81"/>
      <c r="AP179" s="24"/>
      <c r="AQ179" s="93"/>
      <c r="AR179" s="94"/>
      <c r="AS179" s="82"/>
      <c r="AT179" s="82"/>
      <c r="AU179" s="24"/>
      <c r="AV179" s="93"/>
      <c r="AW179" s="94"/>
      <c r="AX179" s="95"/>
      <c r="AY179" s="95"/>
      <c r="AZ179" s="95"/>
      <c r="BA179" s="24"/>
      <c r="BB179" s="9" t="s">
        <v>363</v>
      </c>
      <c r="BC179" s="96" t="s">
        <v>93</v>
      </c>
    </row>
    <row r="180" spans="1:55" ht="15" customHeight="1">
      <c r="A180" s="86">
        <f t="shared" si="20"/>
        <v>178</v>
      </c>
      <c r="B180" s="75" t="s">
        <v>1048</v>
      </c>
      <c r="C180" s="9"/>
      <c r="D180" s="76" t="s">
        <v>361</v>
      </c>
      <c r="E180" s="88" t="str">
        <f>_xlfn.IFNA(VLOOKUP($D180,'Route-Details'!$B$2:$X$1048576,'Node Details'!E$1,0),"")</f>
        <v>Airtel</v>
      </c>
      <c r="F180" s="88" t="str">
        <f>_xlfn.IFNA(VLOOKUP($D180,'Route-Details'!$B$2:$X$1048576,'Node Details'!F$1,0),"")</f>
        <v>DARIA</v>
      </c>
      <c r="G180" s="88" t="str">
        <f>_xlfn.IFNA(VLOOKUP($D180,'Route-Details'!$B$2:$X$1048576,'Node Details'!G$1,0),"")</f>
        <v>Chandigarh</v>
      </c>
      <c r="H180" s="88" t="str">
        <f>_xlfn.IFNA(VLOOKUP($D181,'Route-Details'!$B$2:$X$1048576,'Node Details'!H$1,0),"")</f>
        <v>Punjab</v>
      </c>
      <c r="I180" s="88" t="str">
        <f>_xlfn.IFNA(VLOOKUP($D180,'Route-Details'!$B$2:$X$1048576,'Node Details'!I$1,0),"")</f>
        <v>AXY</v>
      </c>
      <c r="J180" s="88" t="str">
        <f>_xlfn.IFNA(VLOOKUP($D180,'Route-Details'!$B$2:$X$1048576,'Node Details'!J$1,0),"")</f>
        <v>AXY</v>
      </c>
      <c r="K180" s="76">
        <v>46112</v>
      </c>
      <c r="L180" s="76">
        <v>46113</v>
      </c>
      <c r="M180" s="89">
        <v>46125</v>
      </c>
      <c r="N180" s="76">
        <v>46112</v>
      </c>
      <c r="Q180" s="86" t="s">
        <v>958</v>
      </c>
      <c r="R180" s="90"/>
      <c r="S180" s="87"/>
      <c r="T180" s="87"/>
      <c r="U180" s="87"/>
      <c r="V180" s="93"/>
      <c r="W180" s="91"/>
      <c r="X180" s="87"/>
      <c r="Y180" s="92"/>
      <c r="Z180" s="90"/>
      <c r="AA180" s="93"/>
      <c r="AB180" s="87"/>
      <c r="AC180" s="91"/>
      <c r="AD180" s="90"/>
      <c r="AE180" s="86"/>
      <c r="AF180" s="82"/>
      <c r="AG180" s="24"/>
      <c r="AH180" s="93"/>
      <c r="AI180" s="87"/>
      <c r="AJ180" s="86"/>
      <c r="AK180" s="81"/>
      <c r="AL180" s="24"/>
      <c r="AM180" s="24"/>
      <c r="AN180" s="81"/>
      <c r="AO180" s="81"/>
      <c r="AP180" s="24"/>
      <c r="AQ180" s="93"/>
      <c r="AR180" s="94"/>
      <c r="AS180" s="82"/>
      <c r="AT180" s="82"/>
      <c r="AU180" s="24"/>
      <c r="AV180" s="93"/>
      <c r="AW180" s="94"/>
      <c r="AX180" s="95"/>
      <c r="AY180" s="95"/>
      <c r="AZ180" s="95"/>
      <c r="BA180" s="24"/>
      <c r="BB180" s="9" t="s">
        <v>363</v>
      </c>
      <c r="BC180" s="96" t="s">
        <v>93</v>
      </c>
    </row>
    <row r="181" spans="1:55" ht="15" customHeight="1">
      <c r="A181" s="86">
        <f t="shared" si="20"/>
        <v>179</v>
      </c>
      <c r="B181" s="75" t="s">
        <v>1049</v>
      </c>
      <c r="C181" s="9"/>
      <c r="D181" s="76" t="s">
        <v>364</v>
      </c>
      <c r="E181" s="88" t="str">
        <f>_xlfn.IFNA(VLOOKUP($D181,'Route-Details'!$B$2:$X$1048576,'Node Details'!E$1,0),"")</f>
        <v>Airtel</v>
      </c>
      <c r="F181" s="88" t="str">
        <f>_xlfn.IFNA(VLOOKUP($D181,'Route-Details'!$B$2:$X$1048576,'Node Details'!F$1,0),"")</f>
        <v>DARIA</v>
      </c>
      <c r="G181" s="88" t="str">
        <f>_xlfn.IFNA(VLOOKUP($D181,'Route-Details'!$B$2:$X$1048576,'Node Details'!G$1,0),"")</f>
        <v>Chandigarh</v>
      </c>
      <c r="H181" s="88" t="str">
        <f>_xlfn.IFNA(VLOOKUP($D182,'Route-Details'!$B$2:$X$1048576,'Node Details'!H$1,0),"")</f>
        <v>Punjab</v>
      </c>
      <c r="I181" s="88" t="str">
        <f>_xlfn.IFNA(VLOOKUP($D181,'Route-Details'!$B$2:$X$1048576,'Node Details'!I$1,0),"")</f>
        <v>AXY</v>
      </c>
      <c r="J181" s="88" t="str">
        <f>_xlfn.IFNA(VLOOKUP($D181,'Route-Details'!$B$2:$X$1048576,'Node Details'!J$1,0),"")</f>
        <v>AXY</v>
      </c>
      <c r="K181" s="76">
        <v>46112</v>
      </c>
      <c r="L181" s="76">
        <v>46113</v>
      </c>
      <c r="M181" s="89">
        <v>46125</v>
      </c>
      <c r="N181" s="76">
        <v>46112</v>
      </c>
      <c r="Q181" s="86" t="s">
        <v>958</v>
      </c>
      <c r="R181" s="90"/>
      <c r="S181" s="87"/>
      <c r="T181" s="87"/>
      <c r="U181" s="87"/>
      <c r="V181" s="93"/>
      <c r="W181" s="91"/>
      <c r="X181" s="87"/>
      <c r="Y181" s="92"/>
      <c r="Z181" s="90"/>
      <c r="AA181" s="93"/>
      <c r="AB181" s="87"/>
      <c r="AC181" s="91"/>
      <c r="AD181" s="90"/>
      <c r="AE181" s="86"/>
      <c r="AF181" s="82"/>
      <c r="AG181" s="24"/>
      <c r="AH181" s="93"/>
      <c r="AI181" s="87"/>
      <c r="AJ181" s="86"/>
      <c r="AK181" s="81"/>
      <c r="AL181" s="24"/>
      <c r="AM181" s="24"/>
      <c r="AN181" s="81"/>
      <c r="AO181" s="81"/>
      <c r="AP181" s="24"/>
      <c r="AQ181" s="93"/>
      <c r="AR181" s="94"/>
      <c r="AS181" s="82"/>
      <c r="AT181" s="82"/>
      <c r="AU181" s="24"/>
      <c r="AV181" s="93"/>
      <c r="AW181" s="94"/>
      <c r="AX181" s="95"/>
      <c r="AY181" s="95"/>
      <c r="AZ181" s="95"/>
      <c r="BA181" s="24"/>
      <c r="BB181" s="9" t="s">
        <v>366</v>
      </c>
      <c r="BC181" s="96" t="s">
        <v>93</v>
      </c>
    </row>
    <row r="182" spans="1:55" ht="15" customHeight="1">
      <c r="A182" s="86">
        <f t="shared" si="20"/>
        <v>180</v>
      </c>
      <c r="B182" s="75" t="s">
        <v>362</v>
      </c>
      <c r="C182" s="9"/>
      <c r="D182" s="76" t="s">
        <v>364</v>
      </c>
      <c r="E182" s="88" t="str">
        <f>_xlfn.IFNA(VLOOKUP($D182,'Route-Details'!$B$2:$X$1048576,'Node Details'!E$1,0),"")</f>
        <v>Airtel</v>
      </c>
      <c r="F182" s="88" t="str">
        <f>_xlfn.IFNA(VLOOKUP($D182,'Route-Details'!$B$2:$X$1048576,'Node Details'!F$1,0),"")</f>
        <v>DARIA</v>
      </c>
      <c r="G182" s="88" t="str">
        <f>_xlfn.IFNA(VLOOKUP($D182,'Route-Details'!$B$2:$X$1048576,'Node Details'!G$1,0),"")</f>
        <v>Chandigarh</v>
      </c>
      <c r="H182" s="88" t="str">
        <f>_xlfn.IFNA(VLOOKUP($D183,'Route-Details'!$B$2:$X$1048576,'Node Details'!H$1,0),"")</f>
        <v>Punjab</v>
      </c>
      <c r="I182" s="88" t="str">
        <f>_xlfn.IFNA(VLOOKUP($D182,'Route-Details'!$B$2:$X$1048576,'Node Details'!I$1,0),"")</f>
        <v>AXY</v>
      </c>
      <c r="J182" s="88" t="str">
        <f>_xlfn.IFNA(VLOOKUP($D182,'Route-Details'!$B$2:$X$1048576,'Node Details'!J$1,0),"")</f>
        <v>AXY</v>
      </c>
      <c r="K182" s="76">
        <v>46112</v>
      </c>
      <c r="L182" s="76">
        <v>46113</v>
      </c>
      <c r="M182" s="89">
        <v>46125</v>
      </c>
      <c r="N182" s="76">
        <v>46112</v>
      </c>
      <c r="Q182" s="86" t="s">
        <v>958</v>
      </c>
      <c r="R182" s="90"/>
      <c r="S182" s="87"/>
      <c r="T182" s="87"/>
      <c r="U182" s="87"/>
      <c r="V182" s="93"/>
      <c r="W182" s="91"/>
      <c r="X182" s="87"/>
      <c r="Y182" s="92"/>
      <c r="Z182" s="90"/>
      <c r="AA182" s="93"/>
      <c r="AB182" s="87"/>
      <c r="AC182" s="91"/>
      <c r="AD182" s="90"/>
      <c r="AE182" s="86"/>
      <c r="AF182" s="82"/>
      <c r="AG182" s="24"/>
      <c r="AH182" s="93"/>
      <c r="AI182" s="87"/>
      <c r="AJ182" s="86"/>
      <c r="AK182" s="81"/>
      <c r="AL182" s="24"/>
      <c r="AM182" s="24"/>
      <c r="AN182" s="81"/>
      <c r="AO182" s="81"/>
      <c r="AP182" s="24"/>
      <c r="AQ182" s="93"/>
      <c r="AR182" s="94"/>
      <c r="AS182" s="82"/>
      <c r="AT182" s="82"/>
      <c r="AU182" s="24"/>
      <c r="AV182" s="93"/>
      <c r="AW182" s="94"/>
      <c r="AX182" s="95"/>
      <c r="AY182" s="95"/>
      <c r="AZ182" s="95"/>
      <c r="BA182" s="24"/>
      <c r="BB182" s="9" t="s">
        <v>366</v>
      </c>
      <c r="BC182" s="96" t="s">
        <v>93</v>
      </c>
    </row>
    <row r="183" spans="1:55" ht="15" customHeight="1">
      <c r="A183" s="86">
        <f t="shared" si="20"/>
        <v>181</v>
      </c>
      <c r="B183" s="75" t="s">
        <v>365</v>
      </c>
      <c r="C183" s="9"/>
      <c r="D183" s="76" t="s">
        <v>367</v>
      </c>
      <c r="E183" s="88" t="str">
        <f>_xlfn.IFNA(VLOOKUP($D183,'Route-Details'!$B$2:$X$1048576,'Node Details'!E$1,0),"")</f>
        <v>Airtel</v>
      </c>
      <c r="F183" s="88" t="str">
        <f>_xlfn.IFNA(VLOOKUP($D183,'Route-Details'!$B$2:$X$1048576,'Node Details'!F$1,0),"")</f>
        <v>DARIA</v>
      </c>
      <c r="G183" s="88" t="str">
        <f>_xlfn.IFNA(VLOOKUP($D183,'Route-Details'!$B$2:$X$1048576,'Node Details'!G$1,0),"")</f>
        <v>Chandigarh</v>
      </c>
      <c r="H183" s="88" t="str">
        <f>_xlfn.IFNA(VLOOKUP($D184,'Route-Details'!$B$2:$X$1048576,'Node Details'!H$1,0),"")</f>
        <v>Punjab</v>
      </c>
      <c r="I183" s="88" t="str">
        <f>_xlfn.IFNA(VLOOKUP($D183,'Route-Details'!$B$2:$X$1048576,'Node Details'!I$1,0),"")</f>
        <v>AXY</v>
      </c>
      <c r="J183" s="88" t="str">
        <f>_xlfn.IFNA(VLOOKUP($D183,'Route-Details'!$B$2:$X$1048576,'Node Details'!J$1,0),"")</f>
        <v>AXY</v>
      </c>
      <c r="K183" s="76">
        <v>46112</v>
      </c>
      <c r="L183" s="76">
        <v>46113</v>
      </c>
      <c r="M183" s="89">
        <v>46125</v>
      </c>
      <c r="N183" s="76">
        <v>46112</v>
      </c>
      <c r="Q183" s="86" t="s">
        <v>958</v>
      </c>
      <c r="R183" s="90"/>
      <c r="S183" s="87"/>
      <c r="T183" s="87"/>
      <c r="U183" s="87"/>
      <c r="V183" s="93"/>
      <c r="W183" s="91"/>
      <c r="X183" s="87"/>
      <c r="Y183" s="92"/>
      <c r="Z183" s="90"/>
      <c r="AA183" s="93"/>
      <c r="AB183" s="87"/>
      <c r="AC183" s="91"/>
      <c r="AD183" s="90"/>
      <c r="AE183" s="86"/>
      <c r="AF183" s="82"/>
      <c r="AG183" s="24"/>
      <c r="AH183" s="93"/>
      <c r="AI183" s="87"/>
      <c r="AJ183" s="86"/>
      <c r="AK183" s="81"/>
      <c r="AL183" s="24"/>
      <c r="AM183" s="24"/>
      <c r="AN183" s="81"/>
      <c r="AO183" s="81"/>
      <c r="AP183" s="24"/>
      <c r="AQ183" s="93"/>
      <c r="AR183" s="94"/>
      <c r="AS183" s="82"/>
      <c r="AT183" s="82"/>
      <c r="AU183" s="24"/>
      <c r="AV183" s="93"/>
      <c r="AW183" s="94"/>
      <c r="AX183" s="95"/>
      <c r="AY183" s="95"/>
      <c r="AZ183" s="95"/>
      <c r="BA183" s="24"/>
      <c r="BB183" s="9" t="s">
        <v>369</v>
      </c>
      <c r="BC183" s="96" t="s">
        <v>93</v>
      </c>
    </row>
    <row r="184" spans="1:55" ht="15" customHeight="1">
      <c r="A184" s="86">
        <f t="shared" si="20"/>
        <v>182</v>
      </c>
      <c r="B184" s="75" t="s">
        <v>1050</v>
      </c>
      <c r="C184" s="9"/>
      <c r="D184" s="76" t="s">
        <v>367</v>
      </c>
      <c r="E184" s="88" t="str">
        <f>_xlfn.IFNA(VLOOKUP($D184,'Route-Details'!$B$2:$X$1048576,'Node Details'!E$1,0),"")</f>
        <v>Airtel</v>
      </c>
      <c r="F184" s="88" t="str">
        <f>_xlfn.IFNA(VLOOKUP($D184,'Route-Details'!$B$2:$X$1048576,'Node Details'!F$1,0),"")</f>
        <v>DARIA</v>
      </c>
      <c r="G184" s="88" t="str">
        <f>_xlfn.IFNA(VLOOKUP($D184,'Route-Details'!$B$2:$X$1048576,'Node Details'!G$1,0),"")</f>
        <v>Chandigarh</v>
      </c>
      <c r="H184" s="88" t="str">
        <f>_xlfn.IFNA(VLOOKUP($D185,'Route-Details'!$B$2:$X$1048576,'Node Details'!H$1,0),"")</f>
        <v>Punjab</v>
      </c>
      <c r="I184" s="88" t="str">
        <f>_xlfn.IFNA(VLOOKUP($D184,'Route-Details'!$B$2:$X$1048576,'Node Details'!I$1,0),"")</f>
        <v>AXY</v>
      </c>
      <c r="J184" s="88" t="str">
        <f>_xlfn.IFNA(VLOOKUP($D184,'Route-Details'!$B$2:$X$1048576,'Node Details'!J$1,0),"")</f>
        <v>AXY</v>
      </c>
      <c r="K184" s="76">
        <v>46112</v>
      </c>
      <c r="L184" s="76">
        <v>46113</v>
      </c>
      <c r="M184" s="89">
        <v>46125</v>
      </c>
      <c r="N184" s="76">
        <v>46112</v>
      </c>
      <c r="Q184" s="86" t="s">
        <v>958</v>
      </c>
      <c r="R184" s="90"/>
      <c r="S184" s="87"/>
      <c r="T184" s="87"/>
      <c r="U184" s="87"/>
      <c r="V184" s="93"/>
      <c r="W184" s="91"/>
      <c r="X184" s="87"/>
      <c r="Y184" s="92"/>
      <c r="Z184" s="90"/>
      <c r="AA184" s="93"/>
      <c r="AB184" s="87"/>
      <c r="AC184" s="91"/>
      <c r="AD184" s="90"/>
      <c r="AE184" s="86"/>
      <c r="AF184" s="82"/>
      <c r="AG184" s="24"/>
      <c r="AH184" s="93"/>
      <c r="AI184" s="87"/>
      <c r="AJ184" s="86"/>
      <c r="AK184" s="81"/>
      <c r="AL184" s="24"/>
      <c r="AM184" s="24"/>
      <c r="AN184" s="81"/>
      <c r="AO184" s="81"/>
      <c r="AP184" s="24"/>
      <c r="AQ184" s="93"/>
      <c r="AR184" s="94"/>
      <c r="AS184" s="82"/>
      <c r="AT184" s="82"/>
      <c r="AU184" s="24"/>
      <c r="AV184" s="93"/>
      <c r="AW184" s="94"/>
      <c r="AX184" s="95"/>
      <c r="AY184" s="95"/>
      <c r="AZ184" s="95"/>
      <c r="BA184" s="24"/>
      <c r="BB184" s="9" t="s">
        <v>369</v>
      </c>
      <c r="BC184" s="96" t="s">
        <v>93</v>
      </c>
    </row>
    <row r="185" spans="1:55" ht="15" customHeight="1">
      <c r="A185" s="86">
        <f t="shared" si="20"/>
        <v>183</v>
      </c>
      <c r="B185" s="75" t="s">
        <v>140</v>
      </c>
      <c r="C185" s="9"/>
      <c r="D185" s="76" t="s">
        <v>139</v>
      </c>
      <c r="E185" s="88" t="str">
        <f>_xlfn.IFNA(VLOOKUP($D185,'Route-Details'!$B$2:$X$1048576,'Node Details'!E$1,0),"")</f>
        <v>Airtel</v>
      </c>
      <c r="F185" s="88" t="str">
        <f>_xlfn.IFNA(VLOOKUP($D185,'Route-Details'!$B$2:$X$1048576,'Node Details'!F$1,0),"")</f>
        <v>DARIA</v>
      </c>
      <c r="G185" s="88" t="str">
        <f>_xlfn.IFNA(VLOOKUP($D185,'Route-Details'!$B$2:$X$1048576,'Node Details'!G$1,0),"")</f>
        <v>Chandigarh</v>
      </c>
      <c r="H185" s="88" t="str">
        <f>_xlfn.IFNA(VLOOKUP($D186,'Route-Details'!$B$2:$X$1048576,'Node Details'!H$1,0),"")</f>
        <v>Punjab</v>
      </c>
      <c r="I185" s="88" t="str">
        <f>_xlfn.IFNA(VLOOKUP($D185,'Route-Details'!$B$2:$X$1048576,'Node Details'!I$1,0),"")</f>
        <v>AXY</v>
      </c>
      <c r="J185" s="88" t="str">
        <f>_xlfn.IFNA(VLOOKUP($D185,'Route-Details'!$B$2:$X$1048576,'Node Details'!J$1,0),"")</f>
        <v>AXY</v>
      </c>
      <c r="K185" s="76">
        <v>46112</v>
      </c>
      <c r="L185" s="76">
        <v>46113</v>
      </c>
      <c r="M185" s="89">
        <v>46125</v>
      </c>
      <c r="N185" s="76">
        <v>46112</v>
      </c>
      <c r="Q185" s="86" t="s">
        <v>958</v>
      </c>
      <c r="R185" s="90"/>
      <c r="S185" s="87"/>
      <c r="T185" s="87"/>
      <c r="U185" s="87"/>
      <c r="V185" s="93"/>
      <c r="W185" s="91"/>
      <c r="X185" s="87"/>
      <c r="Y185" s="92"/>
      <c r="Z185" s="90"/>
      <c r="AA185" s="93"/>
      <c r="AB185" s="87"/>
      <c r="AC185" s="91"/>
      <c r="AD185" s="90"/>
      <c r="AE185" s="86"/>
      <c r="AF185" s="82"/>
      <c r="AG185" s="24"/>
      <c r="AH185" s="93"/>
      <c r="AI185" s="87"/>
      <c r="AJ185" s="86"/>
      <c r="AK185" s="81"/>
      <c r="AL185" s="24"/>
      <c r="AM185" s="24"/>
      <c r="AN185" s="81"/>
      <c r="AO185" s="81"/>
      <c r="AP185" s="24"/>
      <c r="AQ185" s="93"/>
      <c r="AR185" s="94"/>
      <c r="AS185" s="82"/>
      <c r="AT185" s="82"/>
      <c r="AU185" s="24"/>
      <c r="AV185" s="93"/>
      <c r="AW185" s="94"/>
      <c r="AX185" s="95"/>
      <c r="AY185" s="95"/>
      <c r="AZ185" s="95"/>
      <c r="BA185" s="24"/>
      <c r="BB185" s="9" t="s">
        <v>92</v>
      </c>
      <c r="BC185" s="96" t="s">
        <v>93</v>
      </c>
    </row>
    <row r="186" spans="1:55" ht="15" customHeight="1">
      <c r="A186" s="86">
        <f t="shared" si="20"/>
        <v>184</v>
      </c>
      <c r="B186" s="75" t="s">
        <v>376</v>
      </c>
      <c r="C186" s="9"/>
      <c r="D186" s="76" t="s">
        <v>370</v>
      </c>
      <c r="E186" s="88" t="str">
        <f>_xlfn.IFNA(VLOOKUP($D186,'Route-Details'!$B$2:$X$1048576,'Node Details'!E$1,0),"")</f>
        <v>Airtel</v>
      </c>
      <c r="F186" s="88" t="str">
        <f>_xlfn.IFNA(VLOOKUP($D186,'Route-Details'!$B$2:$X$1048576,'Node Details'!F$1,0),"")</f>
        <v>DARIA</v>
      </c>
      <c r="G186" s="88" t="str">
        <f>_xlfn.IFNA(VLOOKUP($D186,'Route-Details'!$B$2:$X$1048576,'Node Details'!G$1,0),"")</f>
        <v>Chandigarh</v>
      </c>
      <c r="H186" s="88" t="str">
        <f>_xlfn.IFNA(VLOOKUP($D187,'Route-Details'!$B$2:$X$1048576,'Node Details'!H$1,0),"")</f>
        <v>Punjab</v>
      </c>
      <c r="I186" s="88" t="str">
        <f>_xlfn.IFNA(VLOOKUP($D186,'Route-Details'!$B$2:$X$1048576,'Node Details'!I$1,0),"")</f>
        <v>AXW</v>
      </c>
      <c r="J186" s="88" t="str">
        <f>_xlfn.IFNA(VLOOKUP($D186,'Route-Details'!$B$2:$X$1048576,'Node Details'!J$1,0),"")</f>
        <v>AXW</v>
      </c>
      <c r="K186" s="76">
        <v>46112</v>
      </c>
      <c r="L186" s="76">
        <v>46114</v>
      </c>
      <c r="M186" s="89">
        <v>46147</v>
      </c>
      <c r="N186" s="76">
        <v>46114</v>
      </c>
      <c r="Q186" s="86" t="s">
        <v>958</v>
      </c>
      <c r="R186" s="90"/>
      <c r="S186" s="87"/>
      <c r="T186" s="87"/>
      <c r="U186" s="87"/>
      <c r="V186" s="93"/>
      <c r="W186" s="91"/>
      <c r="X186" s="87"/>
      <c r="Y186" s="92"/>
      <c r="Z186" s="90"/>
      <c r="AA186" s="93"/>
      <c r="AB186" s="87"/>
      <c r="AC186" s="91"/>
      <c r="AD186" s="90"/>
      <c r="AE186" s="86"/>
      <c r="AF186" s="82"/>
      <c r="AG186" s="24"/>
      <c r="AH186" s="93"/>
      <c r="AI186" s="87"/>
      <c r="AJ186" s="86"/>
      <c r="AK186" s="81"/>
      <c r="AL186" s="24"/>
      <c r="AM186" s="24"/>
      <c r="AN186" s="81"/>
      <c r="AO186" s="81"/>
      <c r="AP186" s="24"/>
      <c r="AQ186" s="93"/>
      <c r="AR186" s="94"/>
      <c r="AS186" s="82"/>
      <c r="AT186" s="82"/>
      <c r="AU186" s="24"/>
      <c r="AV186" s="93"/>
      <c r="AW186" s="94"/>
      <c r="AX186" s="95"/>
      <c r="AY186" s="95"/>
      <c r="AZ186" s="95"/>
      <c r="BA186" s="24"/>
      <c r="BB186" s="9" t="s">
        <v>92</v>
      </c>
      <c r="BC186" s="96" t="s">
        <v>93</v>
      </c>
    </row>
    <row r="187" spans="1:55" ht="15" customHeight="1">
      <c r="A187" s="86">
        <f t="shared" si="20"/>
        <v>185</v>
      </c>
      <c r="B187" s="75" t="s">
        <v>392</v>
      </c>
      <c r="C187" s="9"/>
      <c r="D187" s="76" t="s">
        <v>391</v>
      </c>
      <c r="E187" s="88" t="str">
        <f>_xlfn.IFNA(VLOOKUP($D187,'Route-Details'!$B$2:$X$1048576,'Node Details'!E$1,0),"")</f>
        <v>Airtel</v>
      </c>
      <c r="F187" s="88" t="str">
        <f>_xlfn.IFNA(VLOOKUP($D187,'Route-Details'!$B$2:$X$1048576,'Node Details'!F$1,0),"")</f>
        <v>DARIA</v>
      </c>
      <c r="G187" s="88" t="str">
        <f>_xlfn.IFNA(VLOOKUP($D187,'Route-Details'!$B$2:$X$1048576,'Node Details'!G$1,0),"")</f>
        <v>Chandigarh</v>
      </c>
      <c r="H187" s="88" t="str">
        <f>_xlfn.IFNA(VLOOKUP($D188,'Route-Details'!$B$2:$X$1048576,'Node Details'!H$1,0),"")</f>
        <v>Punjab</v>
      </c>
      <c r="I187" s="88" t="str">
        <f>_xlfn.IFNA(VLOOKUP($D187,'Route-Details'!$B$2:$X$1048576,'Node Details'!I$1,0),"")</f>
        <v>AXW</v>
      </c>
      <c r="J187" s="88" t="str">
        <f>_xlfn.IFNA(VLOOKUP($D187,'Route-Details'!$B$2:$X$1048576,'Node Details'!J$1,0),"")</f>
        <v>AXW</v>
      </c>
      <c r="K187" s="76">
        <v>46112</v>
      </c>
      <c r="L187" s="76">
        <v>46114</v>
      </c>
      <c r="M187" s="89">
        <v>46147</v>
      </c>
      <c r="N187" s="76">
        <v>46114</v>
      </c>
      <c r="Q187" s="86" t="s">
        <v>958</v>
      </c>
      <c r="R187" s="90"/>
      <c r="S187" s="87"/>
      <c r="T187" s="87"/>
      <c r="U187" s="87"/>
      <c r="V187" s="93"/>
      <c r="W187" s="91"/>
      <c r="X187" s="87"/>
      <c r="Y187" s="92"/>
      <c r="Z187" s="90"/>
      <c r="AA187" s="93"/>
      <c r="AB187" s="87"/>
      <c r="AC187" s="91"/>
      <c r="AD187" s="90"/>
      <c r="AE187" s="86"/>
      <c r="AF187" s="82"/>
      <c r="AG187" s="24"/>
      <c r="AH187" s="93"/>
      <c r="AI187" s="87"/>
      <c r="AJ187" s="86"/>
      <c r="AK187" s="81"/>
      <c r="AL187" s="24"/>
      <c r="AM187" s="24"/>
      <c r="AN187" s="81"/>
      <c r="AO187" s="81"/>
      <c r="AP187" s="24"/>
      <c r="AQ187" s="93"/>
      <c r="AR187" s="94"/>
      <c r="AS187" s="82"/>
      <c r="AT187" s="82"/>
      <c r="AU187" s="24"/>
      <c r="AV187" s="93"/>
      <c r="AW187" s="94"/>
      <c r="AX187" s="95"/>
      <c r="AY187" s="95"/>
      <c r="AZ187" s="95"/>
      <c r="BA187" s="24"/>
      <c r="BB187" s="9" t="s">
        <v>117</v>
      </c>
      <c r="BC187" s="96" t="s">
        <v>93</v>
      </c>
    </row>
    <row r="188" spans="1:55" ht="15" customHeight="1">
      <c r="A188" s="86">
        <f t="shared" si="20"/>
        <v>186</v>
      </c>
      <c r="B188" s="75" t="s">
        <v>1051</v>
      </c>
      <c r="C188" s="9"/>
      <c r="D188" s="76" t="s">
        <v>393</v>
      </c>
      <c r="E188" s="88" t="str">
        <f>_xlfn.IFNA(VLOOKUP($D188,'Route-Details'!$B$2:$X$1048576,'Node Details'!E$1,0),"")</f>
        <v>Airtel</v>
      </c>
      <c r="F188" s="88" t="str">
        <f>_xlfn.IFNA(VLOOKUP($D188,'Route-Details'!$B$2:$X$1048576,'Node Details'!F$1,0),"")</f>
        <v>DARIA</v>
      </c>
      <c r="G188" s="88" t="str">
        <f>_xlfn.IFNA(VLOOKUP($D188,'Route-Details'!$B$2:$X$1048576,'Node Details'!G$1,0),"")</f>
        <v>Chandigarh</v>
      </c>
      <c r="H188" s="88" t="str">
        <f>_xlfn.IFNA(VLOOKUP($D189,'Route-Details'!$B$2:$X$1048576,'Node Details'!H$1,0),"")</f>
        <v>Punjab</v>
      </c>
      <c r="I188" s="88" t="str">
        <f>_xlfn.IFNA(VLOOKUP($D188,'Route-Details'!$B$2:$X$1048576,'Node Details'!I$1,0),"")</f>
        <v>AXW</v>
      </c>
      <c r="J188" s="88" t="str">
        <f>_xlfn.IFNA(VLOOKUP($D188,'Route-Details'!$B$2:$X$1048576,'Node Details'!J$1,0),"")</f>
        <v>AXW</v>
      </c>
      <c r="K188" s="76">
        <v>46112</v>
      </c>
      <c r="L188" s="76">
        <v>46114</v>
      </c>
      <c r="M188" s="89">
        <v>46147</v>
      </c>
      <c r="N188" s="76">
        <v>46114</v>
      </c>
      <c r="Q188" s="86" t="s">
        <v>958</v>
      </c>
      <c r="R188" s="90"/>
      <c r="S188" s="87"/>
      <c r="T188" s="87"/>
      <c r="U188" s="87"/>
      <c r="V188" s="93"/>
      <c r="W188" s="91"/>
      <c r="X188" s="87"/>
      <c r="Y188" s="92"/>
      <c r="Z188" s="90"/>
      <c r="AA188" s="93"/>
      <c r="AB188" s="87"/>
      <c r="AC188" s="91"/>
      <c r="AD188" s="90"/>
      <c r="AE188" s="86"/>
      <c r="AF188" s="82"/>
      <c r="AG188" s="24"/>
      <c r="AH188" s="93"/>
      <c r="AI188" s="87"/>
      <c r="AJ188" s="86"/>
      <c r="AK188" s="81"/>
      <c r="AL188" s="24"/>
      <c r="AM188" s="24"/>
      <c r="AN188" s="81"/>
      <c r="AO188" s="81"/>
      <c r="AP188" s="24"/>
      <c r="AQ188" s="93"/>
      <c r="AR188" s="94"/>
      <c r="AS188" s="82"/>
      <c r="AT188" s="82"/>
      <c r="AU188" s="24"/>
      <c r="AV188" s="93"/>
      <c r="AW188" s="94"/>
      <c r="AX188" s="95"/>
      <c r="AY188" s="95"/>
      <c r="AZ188" s="95"/>
      <c r="BA188" s="24"/>
      <c r="BB188" s="9" t="s">
        <v>120</v>
      </c>
      <c r="BC188" s="96" t="s">
        <v>93</v>
      </c>
    </row>
    <row r="189" spans="1:55" ht="15" customHeight="1">
      <c r="A189" s="86">
        <f t="shared" si="20"/>
        <v>187</v>
      </c>
      <c r="B189" s="75" t="s">
        <v>1052</v>
      </c>
      <c r="C189" s="9"/>
      <c r="D189" s="76" t="s">
        <v>393</v>
      </c>
      <c r="E189" s="88" t="str">
        <f>_xlfn.IFNA(VLOOKUP($D189,'Route-Details'!$B$2:$X$1048576,'Node Details'!E$1,0),"")</f>
        <v>Airtel</v>
      </c>
      <c r="F189" s="88" t="str">
        <f>_xlfn.IFNA(VLOOKUP($D189,'Route-Details'!$B$2:$X$1048576,'Node Details'!F$1,0),"")</f>
        <v>DARIA</v>
      </c>
      <c r="G189" s="88" t="str">
        <f>_xlfn.IFNA(VLOOKUP($D189,'Route-Details'!$B$2:$X$1048576,'Node Details'!G$1,0),"")</f>
        <v>Chandigarh</v>
      </c>
      <c r="H189" s="88" t="str">
        <f>_xlfn.IFNA(VLOOKUP($D190,'Route-Details'!$B$2:$X$1048576,'Node Details'!H$1,0),"")</f>
        <v>Punjab</v>
      </c>
      <c r="I189" s="88" t="str">
        <f>_xlfn.IFNA(VLOOKUP($D189,'Route-Details'!$B$2:$X$1048576,'Node Details'!I$1,0),"")</f>
        <v>AXW</v>
      </c>
      <c r="J189" s="88" t="str">
        <f>_xlfn.IFNA(VLOOKUP($D189,'Route-Details'!$B$2:$X$1048576,'Node Details'!J$1,0),"")</f>
        <v>AXW</v>
      </c>
      <c r="K189" s="76">
        <v>46112</v>
      </c>
      <c r="L189" s="76">
        <v>46114</v>
      </c>
      <c r="M189" s="89">
        <v>46147</v>
      </c>
      <c r="N189" s="76">
        <v>46114</v>
      </c>
      <c r="Q189" s="86" t="s">
        <v>958</v>
      </c>
      <c r="R189" s="90"/>
      <c r="S189" s="87"/>
      <c r="T189" s="87"/>
      <c r="U189" s="87"/>
      <c r="V189" s="93"/>
      <c r="W189" s="91"/>
      <c r="X189" s="87"/>
      <c r="Y189" s="92"/>
      <c r="Z189" s="90"/>
      <c r="AA189" s="93"/>
      <c r="AB189" s="87"/>
      <c r="AC189" s="91"/>
      <c r="AD189" s="90"/>
      <c r="AE189" s="86"/>
      <c r="AF189" s="82"/>
      <c r="AG189" s="24"/>
      <c r="AH189" s="93"/>
      <c r="AI189" s="87"/>
      <c r="AJ189" s="86"/>
      <c r="AK189" s="81"/>
      <c r="AL189" s="24"/>
      <c r="AM189" s="24"/>
      <c r="AN189" s="81"/>
      <c r="AO189" s="81"/>
      <c r="AP189" s="24"/>
      <c r="AQ189" s="93"/>
      <c r="AR189" s="94"/>
      <c r="AS189" s="82"/>
      <c r="AT189" s="82"/>
      <c r="AU189" s="24"/>
      <c r="AV189" s="93"/>
      <c r="AW189" s="94"/>
      <c r="AX189" s="95"/>
      <c r="AY189" s="95"/>
      <c r="AZ189" s="95"/>
      <c r="BA189" s="24"/>
      <c r="BB189" s="9" t="s">
        <v>120</v>
      </c>
      <c r="BC189" s="96" t="s">
        <v>93</v>
      </c>
    </row>
    <row r="190" spans="1:55" ht="15" customHeight="1">
      <c r="A190" s="86">
        <f t="shared" si="20"/>
        <v>188</v>
      </c>
      <c r="B190" s="75" t="s">
        <v>394</v>
      </c>
      <c r="C190" s="9"/>
      <c r="D190" s="76" t="s">
        <v>393</v>
      </c>
      <c r="E190" s="88" t="str">
        <f>_xlfn.IFNA(VLOOKUP($D190,'Route-Details'!$B$2:$X$1048576,'Node Details'!E$1,0),"")</f>
        <v>Airtel</v>
      </c>
      <c r="F190" s="88" t="str">
        <f>_xlfn.IFNA(VLOOKUP($D190,'Route-Details'!$B$2:$X$1048576,'Node Details'!F$1,0),"")</f>
        <v>DARIA</v>
      </c>
      <c r="G190" s="88" t="str">
        <f>_xlfn.IFNA(VLOOKUP($D190,'Route-Details'!$B$2:$X$1048576,'Node Details'!G$1,0),"")</f>
        <v>Chandigarh</v>
      </c>
      <c r="H190" s="88" t="str">
        <f>_xlfn.IFNA(VLOOKUP($D191,'Route-Details'!$B$2:$X$1048576,'Node Details'!H$1,0),"")</f>
        <v>Punjab</v>
      </c>
      <c r="I190" s="88" t="str">
        <f>_xlfn.IFNA(VLOOKUP($D190,'Route-Details'!$B$2:$X$1048576,'Node Details'!I$1,0),"")</f>
        <v>AXW</v>
      </c>
      <c r="J190" s="88" t="str">
        <f>_xlfn.IFNA(VLOOKUP($D190,'Route-Details'!$B$2:$X$1048576,'Node Details'!J$1,0),"")</f>
        <v>AXW</v>
      </c>
      <c r="K190" s="76">
        <v>46112</v>
      </c>
      <c r="L190" s="76">
        <v>46114</v>
      </c>
      <c r="M190" s="89">
        <v>46147</v>
      </c>
      <c r="N190" s="76">
        <v>46114</v>
      </c>
      <c r="Q190" s="86" t="s">
        <v>958</v>
      </c>
      <c r="R190" s="90"/>
      <c r="S190" s="87"/>
      <c r="T190" s="87"/>
      <c r="U190" s="87"/>
      <c r="V190" s="93"/>
      <c r="W190" s="91"/>
      <c r="X190" s="87"/>
      <c r="Y190" s="92"/>
      <c r="Z190" s="90"/>
      <c r="AA190" s="93"/>
      <c r="AB190" s="87"/>
      <c r="AC190" s="91"/>
      <c r="AD190" s="90"/>
      <c r="AE190" s="86"/>
      <c r="AF190" s="82"/>
      <c r="AG190" s="24"/>
      <c r="AH190" s="93"/>
      <c r="AI190" s="87"/>
      <c r="AJ190" s="86"/>
      <c r="AK190" s="81"/>
      <c r="AL190" s="24"/>
      <c r="AM190" s="24"/>
      <c r="AN190" s="81"/>
      <c r="AO190" s="81"/>
      <c r="AP190" s="24"/>
      <c r="AQ190" s="93"/>
      <c r="AR190" s="94"/>
      <c r="AS190" s="82"/>
      <c r="AT190" s="82"/>
      <c r="AU190" s="24"/>
      <c r="AV190" s="93"/>
      <c r="AW190" s="94"/>
      <c r="AX190" s="95"/>
      <c r="AY190" s="95"/>
      <c r="AZ190" s="95"/>
      <c r="BA190" s="24"/>
      <c r="BB190" s="9" t="s">
        <v>120</v>
      </c>
      <c r="BC190" s="96" t="s">
        <v>93</v>
      </c>
    </row>
    <row r="191" spans="1:55" ht="15" customHeight="1">
      <c r="A191" s="86">
        <f t="shared" si="20"/>
        <v>189</v>
      </c>
      <c r="B191" s="75" t="s">
        <v>396</v>
      </c>
      <c r="C191" s="9"/>
      <c r="D191" s="76" t="s">
        <v>370</v>
      </c>
      <c r="E191" s="88" t="str">
        <f>_xlfn.IFNA(VLOOKUP($D191,'Route-Details'!$B$2:$X$1048576,'Node Details'!E$1,0),"")</f>
        <v>Airtel</v>
      </c>
      <c r="F191" s="88" t="str">
        <f>_xlfn.IFNA(VLOOKUP($D191,'Route-Details'!$B$2:$X$1048576,'Node Details'!F$1,0),"")</f>
        <v>DARIA</v>
      </c>
      <c r="G191" s="88" t="str">
        <f>_xlfn.IFNA(VLOOKUP($D191,'Route-Details'!$B$2:$X$1048576,'Node Details'!G$1,0),"")</f>
        <v>Chandigarh</v>
      </c>
      <c r="H191" s="88" t="str">
        <f>_xlfn.IFNA(VLOOKUP($D192,'Route-Details'!$B$2:$X$1048576,'Node Details'!H$1,0),"")</f>
        <v>Punjab</v>
      </c>
      <c r="I191" s="88" t="str">
        <f>_xlfn.IFNA(VLOOKUP($D191,'Route-Details'!$B$2:$X$1048576,'Node Details'!I$1,0),"")</f>
        <v>AXW</v>
      </c>
      <c r="J191" s="88" t="str">
        <f>_xlfn.IFNA(VLOOKUP($D191,'Route-Details'!$B$2:$X$1048576,'Node Details'!J$1,0),"")</f>
        <v>AXW</v>
      </c>
      <c r="K191" s="76">
        <v>46112</v>
      </c>
      <c r="L191" s="76">
        <v>46114</v>
      </c>
      <c r="M191" s="89">
        <v>46147</v>
      </c>
      <c r="N191" s="76">
        <v>46114</v>
      </c>
      <c r="Q191" s="86" t="s">
        <v>958</v>
      </c>
      <c r="R191" s="90"/>
      <c r="S191" s="87"/>
      <c r="T191" s="87"/>
      <c r="U191" s="87"/>
      <c r="V191" s="93"/>
      <c r="W191" s="91"/>
      <c r="X191" s="87"/>
      <c r="Y191" s="92"/>
      <c r="Z191" s="90"/>
      <c r="AA191" s="93"/>
      <c r="AB191" s="87"/>
      <c r="AC191" s="91"/>
      <c r="AD191" s="90"/>
      <c r="AE191" s="86"/>
      <c r="AF191" s="82"/>
      <c r="AG191" s="24"/>
      <c r="AH191" s="93"/>
      <c r="AI191" s="87"/>
      <c r="AJ191" s="86"/>
      <c r="AK191" s="81"/>
      <c r="AL191" s="24"/>
      <c r="AM191" s="24"/>
      <c r="AN191" s="81"/>
      <c r="AO191" s="81"/>
      <c r="AP191" s="24"/>
      <c r="AQ191" s="93"/>
      <c r="AR191" s="94"/>
      <c r="AS191" s="82"/>
      <c r="AT191" s="82"/>
      <c r="AU191" s="24"/>
      <c r="AV191" s="93"/>
      <c r="AW191" s="94"/>
      <c r="AX191" s="95"/>
      <c r="AY191" s="95"/>
      <c r="AZ191" s="95"/>
      <c r="BA191" s="24"/>
      <c r="BB191" s="9" t="s">
        <v>92</v>
      </c>
      <c r="BC191" s="96" t="s">
        <v>93</v>
      </c>
    </row>
    <row r="192" spans="1:55" ht="15" customHeight="1">
      <c r="A192" s="86">
        <f t="shared" si="20"/>
        <v>190</v>
      </c>
      <c r="B192" s="75" t="s">
        <v>1053</v>
      </c>
      <c r="C192" s="9"/>
      <c r="D192" s="76" t="s">
        <v>395</v>
      </c>
      <c r="E192" s="88" t="str">
        <f>_xlfn.IFNA(VLOOKUP($D192,'Route-Details'!$B$2:$X$1048576,'Node Details'!E$1,0),"")</f>
        <v>Airtel</v>
      </c>
      <c r="F192" s="88" t="str">
        <f>_xlfn.IFNA(VLOOKUP($D192,'Route-Details'!$B$2:$X$1048576,'Node Details'!F$1,0),"")</f>
        <v>DARIA</v>
      </c>
      <c r="G192" s="88" t="str">
        <f>_xlfn.IFNA(VLOOKUP($D192,'Route-Details'!$B$2:$X$1048576,'Node Details'!G$1,0),"")</f>
        <v>Chandigarh</v>
      </c>
      <c r="H192" s="88" t="str">
        <f>_xlfn.IFNA(VLOOKUP($D193,'Route-Details'!$B$2:$X$1048576,'Node Details'!H$1,0),"")</f>
        <v>Punjab</v>
      </c>
      <c r="I192" s="88" t="str">
        <f>_xlfn.IFNA(VLOOKUP($D192,'Route-Details'!$B$2:$X$1048576,'Node Details'!I$1,0),"")</f>
        <v>AXW</v>
      </c>
      <c r="J192" s="88" t="str">
        <f>_xlfn.IFNA(VLOOKUP($D192,'Route-Details'!$B$2:$X$1048576,'Node Details'!J$1,0),"")</f>
        <v>AXW</v>
      </c>
      <c r="K192" s="76">
        <v>46112</v>
      </c>
      <c r="L192" s="76">
        <v>46114</v>
      </c>
      <c r="M192" s="89">
        <v>46147</v>
      </c>
      <c r="N192" s="76">
        <v>46114</v>
      </c>
      <c r="Q192" s="86" t="s">
        <v>958</v>
      </c>
      <c r="R192" s="90"/>
      <c r="S192" s="87"/>
      <c r="T192" s="87"/>
      <c r="U192" s="87"/>
      <c r="V192" s="93"/>
      <c r="W192" s="91"/>
      <c r="X192" s="87"/>
      <c r="Y192" s="92"/>
      <c r="Z192" s="90"/>
      <c r="AA192" s="93"/>
      <c r="AB192" s="87"/>
      <c r="AC192" s="91"/>
      <c r="AD192" s="90"/>
      <c r="AE192" s="86"/>
      <c r="AF192" s="82"/>
      <c r="AG192" s="24"/>
      <c r="AH192" s="93"/>
      <c r="AI192" s="87"/>
      <c r="AJ192" s="86"/>
      <c r="AK192" s="81"/>
      <c r="AL192" s="24"/>
      <c r="AM192" s="24"/>
      <c r="AN192" s="81"/>
      <c r="AO192" s="81"/>
      <c r="AP192" s="24"/>
      <c r="AQ192" s="93"/>
      <c r="AR192" s="94"/>
      <c r="AS192" s="82"/>
      <c r="AT192" s="82"/>
      <c r="AU192" s="24"/>
      <c r="AV192" s="93"/>
      <c r="AW192" s="94"/>
      <c r="AX192" s="95"/>
      <c r="AY192" s="95"/>
      <c r="AZ192" s="95"/>
      <c r="BA192" s="24"/>
      <c r="BB192" s="9" t="s">
        <v>123</v>
      </c>
      <c r="BC192" s="96" t="s">
        <v>93</v>
      </c>
    </row>
    <row r="193" spans="1:55" ht="15" customHeight="1">
      <c r="A193" s="86">
        <f t="shared" si="20"/>
        <v>191</v>
      </c>
      <c r="B193" s="75" t="s">
        <v>399</v>
      </c>
      <c r="C193" s="9"/>
      <c r="D193" s="76" t="s">
        <v>398</v>
      </c>
      <c r="E193" s="88" t="str">
        <f>_xlfn.IFNA(VLOOKUP($D193,'Route-Details'!$B$2:$X$1048576,'Node Details'!E$1,0),"")</f>
        <v>Airtel</v>
      </c>
      <c r="F193" s="88" t="str">
        <f>_xlfn.IFNA(VLOOKUP($D193,'Route-Details'!$B$2:$X$1048576,'Node Details'!F$1,0),"")</f>
        <v>DARIA</v>
      </c>
      <c r="G193" s="88" t="str">
        <f>_xlfn.IFNA(VLOOKUP($D193,'Route-Details'!$B$2:$X$1048576,'Node Details'!G$1,0),"")</f>
        <v>Chandigarh</v>
      </c>
      <c r="H193" s="88" t="str">
        <f>_xlfn.IFNA(VLOOKUP($D194,'Route-Details'!$B$2:$X$1048576,'Node Details'!H$1,0),"")</f>
        <v>Punjab</v>
      </c>
      <c r="I193" s="88" t="str">
        <f>_xlfn.IFNA(VLOOKUP($D193,'Route-Details'!$B$2:$X$1048576,'Node Details'!I$1,0),"")</f>
        <v>AXW</v>
      </c>
      <c r="J193" s="88" t="str">
        <f>_xlfn.IFNA(VLOOKUP($D193,'Route-Details'!$B$2:$X$1048576,'Node Details'!J$1,0),"")</f>
        <v>AXW</v>
      </c>
      <c r="K193" s="76">
        <v>46112</v>
      </c>
      <c r="L193" s="76">
        <v>46114</v>
      </c>
      <c r="M193" s="89">
        <v>46147</v>
      </c>
      <c r="N193" s="76">
        <v>46114</v>
      </c>
      <c r="Q193" s="86" t="s">
        <v>958</v>
      </c>
      <c r="R193" s="90"/>
      <c r="S193" s="87"/>
      <c r="T193" s="87"/>
      <c r="U193" s="87"/>
      <c r="V193" s="93"/>
      <c r="W193" s="91"/>
      <c r="X193" s="87"/>
      <c r="Y193" s="92"/>
      <c r="Z193" s="90"/>
      <c r="AA193" s="93"/>
      <c r="AB193" s="87"/>
      <c r="AC193" s="91"/>
      <c r="AD193" s="90"/>
      <c r="AE193" s="86"/>
      <c r="AF193" s="82"/>
      <c r="AG193" s="24"/>
      <c r="AH193" s="93"/>
      <c r="AI193" s="87"/>
      <c r="AJ193" s="86"/>
      <c r="AK193" s="81"/>
      <c r="AL193" s="24"/>
      <c r="AM193" s="24"/>
      <c r="AN193" s="81"/>
      <c r="AO193" s="81"/>
      <c r="AP193" s="24"/>
      <c r="AQ193" s="93"/>
      <c r="AR193" s="94"/>
      <c r="AS193" s="82"/>
      <c r="AT193" s="82"/>
      <c r="AU193" s="24"/>
      <c r="AV193" s="93"/>
      <c r="AW193" s="94"/>
      <c r="AX193" s="95"/>
      <c r="AY193" s="95"/>
      <c r="AZ193" s="95"/>
      <c r="BA193" s="24"/>
      <c r="BB193" s="9" t="s">
        <v>126</v>
      </c>
      <c r="BC193" s="96" t="s">
        <v>93</v>
      </c>
    </row>
    <row r="194" spans="1:55" ht="15" customHeight="1">
      <c r="A194" s="86">
        <f t="shared" si="20"/>
        <v>192</v>
      </c>
      <c r="B194" s="75" t="s">
        <v>1054</v>
      </c>
      <c r="C194" s="9"/>
      <c r="D194" s="76" t="s">
        <v>395</v>
      </c>
      <c r="E194" s="88" t="str">
        <f>_xlfn.IFNA(VLOOKUP($D194,'Route-Details'!$B$2:$X$1048576,'Node Details'!E$1,0),"")</f>
        <v>Airtel</v>
      </c>
      <c r="F194" s="88" t="str">
        <f>_xlfn.IFNA(VLOOKUP($D194,'Route-Details'!$B$2:$X$1048576,'Node Details'!F$1,0),"")</f>
        <v>DARIA</v>
      </c>
      <c r="G194" s="88" t="str">
        <f>_xlfn.IFNA(VLOOKUP($D194,'Route-Details'!$B$2:$X$1048576,'Node Details'!G$1,0),"")</f>
        <v>Chandigarh</v>
      </c>
      <c r="H194" s="88" t="str">
        <f>_xlfn.IFNA(VLOOKUP($D195,'Route-Details'!$B$2:$X$1048576,'Node Details'!H$1,0),"")</f>
        <v>Punjab</v>
      </c>
      <c r="I194" s="88" t="str">
        <f>_xlfn.IFNA(VLOOKUP($D194,'Route-Details'!$B$2:$X$1048576,'Node Details'!I$1,0),"")</f>
        <v>AXW</v>
      </c>
      <c r="J194" s="88" t="str">
        <f>_xlfn.IFNA(VLOOKUP($D194,'Route-Details'!$B$2:$X$1048576,'Node Details'!J$1,0),"")</f>
        <v>AXW</v>
      </c>
      <c r="K194" s="76">
        <v>46112</v>
      </c>
      <c r="L194" s="76">
        <v>46114</v>
      </c>
      <c r="M194" s="89">
        <v>46147</v>
      </c>
      <c r="N194" s="76">
        <v>46114</v>
      </c>
      <c r="Q194" s="86" t="s">
        <v>958</v>
      </c>
      <c r="R194" s="90"/>
      <c r="S194" s="87"/>
      <c r="T194" s="87"/>
      <c r="U194" s="87"/>
      <c r="V194" s="93"/>
      <c r="W194" s="91"/>
      <c r="X194" s="87"/>
      <c r="Y194" s="92"/>
      <c r="Z194" s="90"/>
      <c r="AA194" s="93"/>
      <c r="AB194" s="87"/>
      <c r="AC194" s="91"/>
      <c r="AD194" s="90"/>
      <c r="AE194" s="86"/>
      <c r="AF194" s="82"/>
      <c r="AG194" s="24"/>
      <c r="AH194" s="93"/>
      <c r="AI194" s="87"/>
      <c r="AJ194" s="86"/>
      <c r="AK194" s="81"/>
      <c r="AL194" s="24"/>
      <c r="AM194" s="24"/>
      <c r="AN194" s="81"/>
      <c r="AO194" s="81"/>
      <c r="AP194" s="24"/>
      <c r="AQ194" s="93"/>
      <c r="AR194" s="94"/>
      <c r="AS194" s="82"/>
      <c r="AT194" s="82"/>
      <c r="AU194" s="24"/>
      <c r="AV194" s="93"/>
      <c r="AW194" s="94"/>
      <c r="AX194" s="95"/>
      <c r="AY194" s="95"/>
      <c r="AZ194" s="95"/>
      <c r="BA194" s="24"/>
      <c r="BB194" s="9" t="s">
        <v>123</v>
      </c>
      <c r="BC194" s="96" t="s">
        <v>93</v>
      </c>
    </row>
    <row r="195" spans="1:55" ht="15" customHeight="1">
      <c r="A195" s="86">
        <f t="shared" si="20"/>
        <v>193</v>
      </c>
      <c r="B195" s="75" t="s">
        <v>1055</v>
      </c>
      <c r="C195" s="9"/>
      <c r="D195" s="76" t="s">
        <v>395</v>
      </c>
      <c r="E195" s="88" t="str">
        <f>_xlfn.IFNA(VLOOKUP($D195,'Route-Details'!$B$2:$X$1048576,'Node Details'!E$1,0),"")</f>
        <v>Airtel</v>
      </c>
      <c r="F195" s="88" t="str">
        <f>_xlfn.IFNA(VLOOKUP($D195,'Route-Details'!$B$2:$X$1048576,'Node Details'!F$1,0),"")</f>
        <v>DARIA</v>
      </c>
      <c r="G195" s="88" t="str">
        <f>_xlfn.IFNA(VLOOKUP($D195,'Route-Details'!$B$2:$X$1048576,'Node Details'!G$1,0),"")</f>
        <v>Chandigarh</v>
      </c>
      <c r="H195" s="88" t="str">
        <f>_xlfn.IFNA(VLOOKUP($D196,'Route-Details'!$B$2:$X$1048576,'Node Details'!H$1,0),"")</f>
        <v>Punjab</v>
      </c>
      <c r="I195" s="88" t="str">
        <f>_xlfn.IFNA(VLOOKUP($D195,'Route-Details'!$B$2:$X$1048576,'Node Details'!I$1,0),"")</f>
        <v>AXW</v>
      </c>
      <c r="J195" s="88" t="str">
        <f>_xlfn.IFNA(VLOOKUP($D195,'Route-Details'!$B$2:$X$1048576,'Node Details'!J$1,0),"")</f>
        <v>AXW</v>
      </c>
      <c r="K195" s="76">
        <v>46112</v>
      </c>
      <c r="L195" s="76">
        <v>46114</v>
      </c>
      <c r="M195" s="89">
        <v>46147</v>
      </c>
      <c r="N195" s="76">
        <v>46114</v>
      </c>
      <c r="Q195" s="86" t="s">
        <v>958</v>
      </c>
      <c r="R195" s="90"/>
      <c r="S195" s="87"/>
      <c r="T195" s="87"/>
      <c r="U195" s="87"/>
      <c r="V195" s="93"/>
      <c r="W195" s="91"/>
      <c r="X195" s="87"/>
      <c r="Y195" s="92"/>
      <c r="Z195" s="90"/>
      <c r="AA195" s="93"/>
      <c r="AB195" s="87"/>
      <c r="AC195" s="91"/>
      <c r="AD195" s="90"/>
      <c r="AE195" s="86"/>
      <c r="AF195" s="82"/>
      <c r="AG195" s="24"/>
      <c r="AH195" s="93"/>
      <c r="AI195" s="87"/>
      <c r="AJ195" s="86"/>
      <c r="AK195" s="81"/>
      <c r="AL195" s="24"/>
      <c r="AM195" s="24"/>
      <c r="AN195" s="81"/>
      <c r="AO195" s="81"/>
      <c r="AP195" s="24"/>
      <c r="AQ195" s="93"/>
      <c r="AR195" s="94"/>
      <c r="AS195" s="82"/>
      <c r="AT195" s="82"/>
      <c r="AU195" s="24"/>
      <c r="AV195" s="93"/>
      <c r="AW195" s="94"/>
      <c r="AX195" s="95"/>
      <c r="AY195" s="95"/>
      <c r="AZ195" s="95"/>
      <c r="BA195" s="24"/>
      <c r="BB195" s="9" t="s">
        <v>123</v>
      </c>
      <c r="BC195" s="96" t="s">
        <v>93</v>
      </c>
    </row>
    <row r="196" spans="1:55" ht="15" customHeight="1">
      <c r="A196" s="86">
        <f t="shared" si="20"/>
        <v>194</v>
      </c>
      <c r="B196" s="75" t="s">
        <v>397</v>
      </c>
      <c r="C196" s="9"/>
      <c r="D196" s="76" t="s">
        <v>395</v>
      </c>
      <c r="E196" s="88" t="str">
        <f>_xlfn.IFNA(VLOOKUP($D196,'Route-Details'!$B$2:$X$1048576,'Node Details'!E$1,0),"")</f>
        <v>Airtel</v>
      </c>
      <c r="F196" s="88" t="str">
        <f>_xlfn.IFNA(VLOOKUP($D196,'Route-Details'!$B$2:$X$1048576,'Node Details'!F$1,0),"")</f>
        <v>DARIA</v>
      </c>
      <c r="G196" s="88" t="str">
        <f>_xlfn.IFNA(VLOOKUP($D196,'Route-Details'!$B$2:$X$1048576,'Node Details'!G$1,0),"")</f>
        <v>Chandigarh</v>
      </c>
      <c r="H196" s="88" t="str">
        <f>_xlfn.IFNA(VLOOKUP($D197,'Route-Details'!$B$2:$X$1048576,'Node Details'!H$1,0),"")</f>
        <v>Punjab</v>
      </c>
      <c r="I196" s="88" t="str">
        <f>_xlfn.IFNA(VLOOKUP($D196,'Route-Details'!$B$2:$X$1048576,'Node Details'!I$1,0),"")</f>
        <v>AXW</v>
      </c>
      <c r="J196" s="88" t="str">
        <f>_xlfn.IFNA(VLOOKUP($D196,'Route-Details'!$B$2:$X$1048576,'Node Details'!J$1,0),"")</f>
        <v>AXW</v>
      </c>
      <c r="K196" s="76">
        <v>46112</v>
      </c>
      <c r="L196" s="76">
        <v>46114</v>
      </c>
      <c r="M196" s="89">
        <v>46147</v>
      </c>
      <c r="N196" s="76">
        <v>46114</v>
      </c>
      <c r="Q196" s="86" t="s">
        <v>958</v>
      </c>
      <c r="R196" s="90"/>
      <c r="S196" s="87"/>
      <c r="T196" s="87"/>
      <c r="U196" s="87"/>
      <c r="V196" s="93"/>
      <c r="W196" s="91"/>
      <c r="X196" s="87"/>
      <c r="Y196" s="92"/>
      <c r="Z196" s="90"/>
      <c r="AA196" s="93"/>
      <c r="AB196" s="87"/>
      <c r="AC196" s="91"/>
      <c r="AD196" s="90"/>
      <c r="AE196" s="86"/>
      <c r="AF196" s="82"/>
      <c r="AG196" s="24"/>
      <c r="AH196" s="93"/>
      <c r="AI196" s="87"/>
      <c r="AJ196" s="86"/>
      <c r="AK196" s="81"/>
      <c r="AL196" s="24"/>
      <c r="AM196" s="24"/>
      <c r="AN196" s="81"/>
      <c r="AO196" s="81"/>
      <c r="AP196" s="24"/>
      <c r="AQ196" s="93"/>
      <c r="AR196" s="94"/>
      <c r="AS196" s="82"/>
      <c r="AT196" s="82"/>
      <c r="AU196" s="24"/>
      <c r="AV196" s="93"/>
      <c r="AW196" s="94"/>
      <c r="AX196" s="95"/>
      <c r="AY196" s="95"/>
      <c r="AZ196" s="95"/>
      <c r="BA196" s="24"/>
      <c r="BB196" s="9" t="s">
        <v>123</v>
      </c>
      <c r="BC196" s="96" t="s">
        <v>93</v>
      </c>
    </row>
    <row r="197" spans="1:55" ht="15" customHeight="1">
      <c r="A197" s="86">
        <f t="shared" ref="A197:A260" si="21">A196+1</f>
        <v>195</v>
      </c>
      <c r="B197" s="75" t="s">
        <v>401</v>
      </c>
      <c r="C197" s="9"/>
      <c r="D197" s="76" t="s">
        <v>400</v>
      </c>
      <c r="E197" s="88" t="str">
        <f>_xlfn.IFNA(VLOOKUP($D197,'Route-Details'!$B$2:$X$1048576,'Node Details'!E$1,0),"")</f>
        <v>Airtel</v>
      </c>
      <c r="F197" s="88" t="str">
        <f>_xlfn.IFNA(VLOOKUP($D197,'Route-Details'!$B$2:$X$1048576,'Node Details'!F$1,0),"")</f>
        <v>DARIA</v>
      </c>
      <c r="G197" s="88" t="str">
        <f>_xlfn.IFNA(VLOOKUP($D197,'Route-Details'!$B$2:$X$1048576,'Node Details'!G$1,0),"")</f>
        <v>Chandigarh</v>
      </c>
      <c r="H197" s="88" t="str">
        <f>_xlfn.IFNA(VLOOKUP($D198,'Route-Details'!$B$2:$X$1048576,'Node Details'!H$1,0),"")</f>
        <v>Punjab</v>
      </c>
      <c r="I197" s="88" t="str">
        <f>_xlfn.IFNA(VLOOKUP($D197,'Route-Details'!$B$2:$X$1048576,'Node Details'!I$1,0),"")</f>
        <v>AXW</v>
      </c>
      <c r="J197" s="88" t="str">
        <f>_xlfn.IFNA(VLOOKUP($D197,'Route-Details'!$B$2:$X$1048576,'Node Details'!J$1,0),"")</f>
        <v>AXW</v>
      </c>
      <c r="K197" s="76">
        <v>46112</v>
      </c>
      <c r="L197" s="76">
        <v>46114</v>
      </c>
      <c r="M197" s="89">
        <v>46147</v>
      </c>
      <c r="N197" s="76">
        <v>46114</v>
      </c>
      <c r="Q197" s="86" t="s">
        <v>958</v>
      </c>
      <c r="R197" s="90"/>
      <c r="S197" s="87"/>
      <c r="T197" s="87"/>
      <c r="U197" s="87"/>
      <c r="V197" s="93"/>
      <c r="W197" s="91"/>
      <c r="X197" s="87"/>
      <c r="Y197" s="92"/>
      <c r="Z197" s="90"/>
      <c r="AA197" s="93"/>
      <c r="AB197" s="87"/>
      <c r="AC197" s="91"/>
      <c r="AD197" s="90"/>
      <c r="AE197" s="86"/>
      <c r="AF197" s="82"/>
      <c r="AG197" s="24"/>
      <c r="AH197" s="93"/>
      <c r="AI197" s="87"/>
      <c r="AJ197" s="86"/>
      <c r="AK197" s="81"/>
      <c r="AL197" s="24"/>
      <c r="AM197" s="24"/>
      <c r="AN197" s="81"/>
      <c r="AO197" s="81"/>
      <c r="AP197" s="24"/>
      <c r="AQ197" s="93"/>
      <c r="AR197" s="94"/>
      <c r="AS197" s="82"/>
      <c r="AT197" s="82"/>
      <c r="AU197" s="24"/>
      <c r="AV197" s="93"/>
      <c r="AW197" s="94"/>
      <c r="AX197" s="95"/>
      <c r="AY197" s="95"/>
      <c r="AZ197" s="95"/>
      <c r="BA197" s="24"/>
      <c r="BB197" s="9" t="s">
        <v>129</v>
      </c>
      <c r="BC197" s="96" t="s">
        <v>93</v>
      </c>
    </row>
    <row r="198" spans="1:55" ht="15" customHeight="1">
      <c r="A198" s="86">
        <f t="shared" si="21"/>
        <v>196</v>
      </c>
      <c r="B198" s="75" t="s">
        <v>1056</v>
      </c>
      <c r="C198" s="9"/>
      <c r="D198" s="76" t="s">
        <v>402</v>
      </c>
      <c r="E198" s="88" t="str">
        <f>_xlfn.IFNA(VLOOKUP($D198,'Route-Details'!$B$2:$X$1048576,'Node Details'!E$1,0),"")</f>
        <v>Airtel</v>
      </c>
      <c r="F198" s="88" t="str">
        <f>_xlfn.IFNA(VLOOKUP($D198,'Route-Details'!$B$2:$X$1048576,'Node Details'!F$1,0),"")</f>
        <v>DARIA</v>
      </c>
      <c r="G198" s="88" t="str">
        <f>_xlfn.IFNA(VLOOKUP($D198,'Route-Details'!$B$2:$X$1048576,'Node Details'!G$1,0),"")</f>
        <v>Chandigarh</v>
      </c>
      <c r="H198" s="88" t="str">
        <f>_xlfn.IFNA(VLOOKUP($D199,'Route-Details'!$B$2:$X$1048576,'Node Details'!H$1,0),"")</f>
        <v>Punjab</v>
      </c>
      <c r="I198" s="88" t="str">
        <f>_xlfn.IFNA(VLOOKUP($D198,'Route-Details'!$B$2:$X$1048576,'Node Details'!I$1,0),"")</f>
        <v>AXW</v>
      </c>
      <c r="J198" s="88" t="str">
        <f>_xlfn.IFNA(VLOOKUP($D198,'Route-Details'!$B$2:$X$1048576,'Node Details'!J$1,0),"")</f>
        <v>AXW</v>
      </c>
      <c r="K198" s="76">
        <v>46112</v>
      </c>
      <c r="L198" s="76">
        <v>46114</v>
      </c>
      <c r="M198" s="89">
        <v>46147</v>
      </c>
      <c r="N198" s="76">
        <v>46114</v>
      </c>
      <c r="Q198" s="86" t="s">
        <v>958</v>
      </c>
      <c r="R198" s="90"/>
      <c r="S198" s="87"/>
      <c r="T198" s="87"/>
      <c r="U198" s="87"/>
      <c r="V198" s="93"/>
      <c r="W198" s="91"/>
      <c r="X198" s="87"/>
      <c r="Y198" s="92"/>
      <c r="Z198" s="90"/>
      <c r="AA198" s="93"/>
      <c r="AB198" s="87"/>
      <c r="AC198" s="91"/>
      <c r="AD198" s="90"/>
      <c r="AE198" s="86"/>
      <c r="AF198" s="82"/>
      <c r="AG198" s="24"/>
      <c r="AH198" s="93"/>
      <c r="AI198" s="87"/>
      <c r="AJ198" s="86"/>
      <c r="AK198" s="81"/>
      <c r="AL198" s="24"/>
      <c r="AM198" s="24"/>
      <c r="AN198" s="81"/>
      <c r="AO198" s="81"/>
      <c r="AP198" s="24"/>
      <c r="AQ198" s="93"/>
      <c r="AR198" s="94"/>
      <c r="AS198" s="82"/>
      <c r="AT198" s="82"/>
      <c r="AU198" s="24"/>
      <c r="AV198" s="93"/>
      <c r="AW198" s="94"/>
      <c r="AX198" s="95"/>
      <c r="AY198" s="95"/>
      <c r="AZ198" s="95"/>
      <c r="BA198" s="24"/>
      <c r="BB198" s="9" t="s">
        <v>135</v>
      </c>
      <c r="BC198" s="96" t="s">
        <v>93</v>
      </c>
    </row>
    <row r="199" spans="1:55" ht="15" customHeight="1">
      <c r="A199" s="86">
        <f t="shared" si="21"/>
        <v>197</v>
      </c>
      <c r="B199" s="75" t="s">
        <v>403</v>
      </c>
      <c r="C199" s="9"/>
      <c r="D199" s="76" t="s">
        <v>402</v>
      </c>
      <c r="E199" s="88" t="str">
        <f>_xlfn.IFNA(VLOOKUP($D199,'Route-Details'!$B$2:$X$1048576,'Node Details'!E$1,0),"")</f>
        <v>Airtel</v>
      </c>
      <c r="F199" s="88" t="str">
        <f>_xlfn.IFNA(VLOOKUP($D199,'Route-Details'!$B$2:$X$1048576,'Node Details'!F$1,0),"")</f>
        <v>DARIA</v>
      </c>
      <c r="G199" s="88" t="str">
        <f>_xlfn.IFNA(VLOOKUP($D199,'Route-Details'!$B$2:$X$1048576,'Node Details'!G$1,0),"")</f>
        <v>Chandigarh</v>
      </c>
      <c r="H199" s="88" t="str">
        <f>_xlfn.IFNA(VLOOKUP($D200,'Route-Details'!$B$2:$X$1048576,'Node Details'!H$1,0),"")</f>
        <v>Punjab</v>
      </c>
      <c r="I199" s="88" t="str">
        <f>_xlfn.IFNA(VLOOKUP($D199,'Route-Details'!$B$2:$X$1048576,'Node Details'!I$1,0),"")</f>
        <v>AXW</v>
      </c>
      <c r="J199" s="88" t="str">
        <f>_xlfn.IFNA(VLOOKUP($D199,'Route-Details'!$B$2:$X$1048576,'Node Details'!J$1,0),"")</f>
        <v>AXW</v>
      </c>
      <c r="K199" s="76">
        <v>46112</v>
      </c>
      <c r="L199" s="76">
        <v>46114</v>
      </c>
      <c r="M199" s="89">
        <v>46147</v>
      </c>
      <c r="N199" s="76">
        <v>46114</v>
      </c>
      <c r="Q199" s="86" t="s">
        <v>958</v>
      </c>
      <c r="R199" s="90"/>
      <c r="S199" s="87"/>
      <c r="T199" s="87"/>
      <c r="U199" s="87"/>
      <c r="V199" s="93"/>
      <c r="W199" s="91"/>
      <c r="X199" s="87"/>
      <c r="Y199" s="92"/>
      <c r="Z199" s="90"/>
      <c r="AA199" s="93"/>
      <c r="AB199" s="87"/>
      <c r="AC199" s="91"/>
      <c r="AD199" s="90"/>
      <c r="AE199" s="86"/>
      <c r="AF199" s="82"/>
      <c r="AG199" s="24"/>
      <c r="AH199" s="93"/>
      <c r="AI199" s="87"/>
      <c r="AJ199" s="86"/>
      <c r="AK199" s="81"/>
      <c r="AL199" s="24"/>
      <c r="AM199" s="24"/>
      <c r="AN199" s="81"/>
      <c r="AO199" s="81"/>
      <c r="AP199" s="24"/>
      <c r="AQ199" s="93"/>
      <c r="AR199" s="94"/>
      <c r="AS199" s="82"/>
      <c r="AT199" s="82"/>
      <c r="AU199" s="24"/>
      <c r="AV199" s="93"/>
      <c r="AW199" s="94"/>
      <c r="AX199" s="95"/>
      <c r="AY199" s="95"/>
      <c r="AZ199" s="95"/>
      <c r="BA199" s="24"/>
      <c r="BB199" s="9" t="s">
        <v>135</v>
      </c>
      <c r="BC199" s="96" t="s">
        <v>93</v>
      </c>
    </row>
    <row r="200" spans="1:55" ht="15" customHeight="1">
      <c r="A200" s="86">
        <f t="shared" si="21"/>
        <v>198</v>
      </c>
      <c r="B200" s="75" t="s">
        <v>1057</v>
      </c>
      <c r="C200" s="9"/>
      <c r="D200" s="76" t="s">
        <v>404</v>
      </c>
      <c r="E200" s="88" t="str">
        <f>_xlfn.IFNA(VLOOKUP($D200,'Route-Details'!$B$2:$X$1048576,'Node Details'!E$1,0),"")</f>
        <v>Airtel</v>
      </c>
      <c r="F200" s="88" t="str">
        <f>_xlfn.IFNA(VLOOKUP($D200,'Route-Details'!$B$2:$X$1048576,'Node Details'!F$1,0),"")</f>
        <v>DARIA</v>
      </c>
      <c r="G200" s="88" t="str">
        <f>_xlfn.IFNA(VLOOKUP($D200,'Route-Details'!$B$2:$X$1048576,'Node Details'!G$1,0),"")</f>
        <v>Chandigarh</v>
      </c>
      <c r="H200" s="88" t="str">
        <f>_xlfn.IFNA(VLOOKUP($D201,'Route-Details'!$B$2:$X$1048576,'Node Details'!H$1,0),"")</f>
        <v>Punjab</v>
      </c>
      <c r="I200" s="88" t="str">
        <f>_xlfn.IFNA(VLOOKUP($D200,'Route-Details'!$B$2:$X$1048576,'Node Details'!I$1,0),"")</f>
        <v>AXW</v>
      </c>
      <c r="J200" s="88" t="str">
        <f>_xlfn.IFNA(VLOOKUP($D200,'Route-Details'!$B$2:$X$1048576,'Node Details'!J$1,0),"")</f>
        <v>AXW</v>
      </c>
      <c r="K200" s="76">
        <v>46112</v>
      </c>
      <c r="L200" s="76">
        <v>46114</v>
      </c>
      <c r="M200" s="89">
        <v>46147</v>
      </c>
      <c r="N200" s="76">
        <v>46114</v>
      </c>
      <c r="Q200" s="86" t="s">
        <v>958</v>
      </c>
      <c r="R200" s="90"/>
      <c r="S200" s="87"/>
      <c r="T200" s="87"/>
      <c r="U200" s="87"/>
      <c r="V200" s="93"/>
      <c r="W200" s="91"/>
      <c r="X200" s="87"/>
      <c r="Y200" s="92"/>
      <c r="Z200" s="90"/>
      <c r="AA200" s="93"/>
      <c r="AB200" s="87"/>
      <c r="AC200" s="91"/>
      <c r="AD200" s="90"/>
      <c r="AE200" s="86"/>
      <c r="AF200" s="82"/>
      <c r="AG200" s="24"/>
      <c r="AH200" s="93"/>
      <c r="AI200" s="87"/>
      <c r="AJ200" s="86"/>
      <c r="AK200" s="81"/>
      <c r="AL200" s="24"/>
      <c r="AM200" s="24"/>
      <c r="AN200" s="81"/>
      <c r="AO200" s="81"/>
      <c r="AP200" s="24"/>
      <c r="AQ200" s="93"/>
      <c r="AR200" s="94"/>
      <c r="AS200" s="82"/>
      <c r="AT200" s="82"/>
      <c r="AU200" s="24"/>
      <c r="AV200" s="93"/>
      <c r="AW200" s="94"/>
      <c r="AX200" s="95"/>
      <c r="AY200" s="95"/>
      <c r="AZ200" s="95"/>
      <c r="BA200" s="24"/>
      <c r="BB200" s="9" t="s">
        <v>138</v>
      </c>
      <c r="BC200" s="96" t="s">
        <v>93</v>
      </c>
    </row>
    <row r="201" spans="1:55" ht="15" customHeight="1">
      <c r="A201" s="86">
        <f t="shared" si="21"/>
        <v>199</v>
      </c>
      <c r="B201" s="75" t="s">
        <v>1058</v>
      </c>
      <c r="C201" s="9"/>
      <c r="D201" s="76" t="s">
        <v>404</v>
      </c>
      <c r="E201" s="88" t="str">
        <f>_xlfn.IFNA(VLOOKUP($D201,'Route-Details'!$B$2:$X$1048576,'Node Details'!E$1,0),"")</f>
        <v>Airtel</v>
      </c>
      <c r="F201" s="88" t="str">
        <f>_xlfn.IFNA(VLOOKUP($D201,'Route-Details'!$B$2:$X$1048576,'Node Details'!F$1,0),"")</f>
        <v>DARIA</v>
      </c>
      <c r="G201" s="88" t="str">
        <f>_xlfn.IFNA(VLOOKUP($D201,'Route-Details'!$B$2:$X$1048576,'Node Details'!G$1,0),"")</f>
        <v>Chandigarh</v>
      </c>
      <c r="H201" s="88" t="str">
        <f>_xlfn.IFNA(VLOOKUP($D202,'Route-Details'!$B$2:$X$1048576,'Node Details'!H$1,0),"")</f>
        <v>Punjab</v>
      </c>
      <c r="I201" s="88" t="str">
        <f>_xlfn.IFNA(VLOOKUP($D201,'Route-Details'!$B$2:$X$1048576,'Node Details'!I$1,0),"")</f>
        <v>AXW</v>
      </c>
      <c r="J201" s="88" t="str">
        <f>_xlfn.IFNA(VLOOKUP($D201,'Route-Details'!$B$2:$X$1048576,'Node Details'!J$1,0),"")</f>
        <v>AXW</v>
      </c>
      <c r="K201" s="76">
        <v>46112</v>
      </c>
      <c r="L201" s="76">
        <v>46114</v>
      </c>
      <c r="M201" s="89">
        <v>46147</v>
      </c>
      <c r="N201" s="76">
        <v>46114</v>
      </c>
      <c r="Q201" s="86" t="s">
        <v>958</v>
      </c>
      <c r="R201" s="90"/>
      <c r="S201" s="87"/>
      <c r="T201" s="87"/>
      <c r="U201" s="87"/>
      <c r="V201" s="93"/>
      <c r="W201" s="91"/>
      <c r="X201" s="87"/>
      <c r="Y201" s="92"/>
      <c r="Z201" s="90"/>
      <c r="AA201" s="93"/>
      <c r="AB201" s="87"/>
      <c r="AC201" s="91"/>
      <c r="AD201" s="90"/>
      <c r="AE201" s="86"/>
      <c r="AF201" s="82"/>
      <c r="AG201" s="24"/>
      <c r="AH201" s="93"/>
      <c r="AI201" s="87"/>
      <c r="AJ201" s="86"/>
      <c r="AK201" s="81"/>
      <c r="AL201" s="24"/>
      <c r="AM201" s="24"/>
      <c r="AN201" s="81"/>
      <c r="AO201" s="81"/>
      <c r="AP201" s="24"/>
      <c r="AQ201" s="93"/>
      <c r="AR201" s="94"/>
      <c r="AS201" s="82"/>
      <c r="AT201" s="82"/>
      <c r="AU201" s="24"/>
      <c r="AV201" s="93"/>
      <c r="AW201" s="94"/>
      <c r="AX201" s="95"/>
      <c r="AY201" s="95"/>
      <c r="AZ201" s="95"/>
      <c r="BA201" s="24"/>
      <c r="BB201" s="9" t="s">
        <v>138</v>
      </c>
      <c r="BC201" s="96" t="s">
        <v>93</v>
      </c>
    </row>
    <row r="202" spans="1:55" ht="15" customHeight="1">
      <c r="A202" s="86">
        <f t="shared" si="21"/>
        <v>200</v>
      </c>
      <c r="B202" s="75" t="s">
        <v>405</v>
      </c>
      <c r="C202" s="9"/>
      <c r="D202" s="76" t="s">
        <v>404</v>
      </c>
      <c r="E202" s="88" t="str">
        <f>_xlfn.IFNA(VLOOKUP($D202,'Route-Details'!$B$2:$X$1048576,'Node Details'!E$1,0),"")</f>
        <v>Airtel</v>
      </c>
      <c r="F202" s="88" t="str">
        <f>_xlfn.IFNA(VLOOKUP($D202,'Route-Details'!$B$2:$X$1048576,'Node Details'!F$1,0),"")</f>
        <v>DARIA</v>
      </c>
      <c r="G202" s="88" t="str">
        <f>_xlfn.IFNA(VLOOKUP($D202,'Route-Details'!$B$2:$X$1048576,'Node Details'!G$1,0),"")</f>
        <v>Chandigarh</v>
      </c>
      <c r="H202" s="88" t="str">
        <f>_xlfn.IFNA(VLOOKUP($D203,'Route-Details'!$B$2:$X$1048576,'Node Details'!H$1,0),"")</f>
        <v>Punjab</v>
      </c>
      <c r="I202" s="88" t="str">
        <f>_xlfn.IFNA(VLOOKUP($D202,'Route-Details'!$B$2:$X$1048576,'Node Details'!I$1,0),"")</f>
        <v>AXW</v>
      </c>
      <c r="J202" s="88" t="str">
        <f>_xlfn.IFNA(VLOOKUP($D202,'Route-Details'!$B$2:$X$1048576,'Node Details'!J$1,0),"")</f>
        <v>AXW</v>
      </c>
      <c r="K202" s="76">
        <v>46112</v>
      </c>
      <c r="L202" s="76">
        <v>46114</v>
      </c>
      <c r="M202" s="89">
        <v>46147</v>
      </c>
      <c r="N202" s="76">
        <v>46114</v>
      </c>
      <c r="Q202" s="86" t="s">
        <v>958</v>
      </c>
      <c r="R202" s="90"/>
      <c r="S202" s="87"/>
      <c r="T202" s="87"/>
      <c r="U202" s="87"/>
      <c r="V202" s="93"/>
      <c r="W202" s="91"/>
      <c r="X202" s="87"/>
      <c r="Y202" s="92"/>
      <c r="Z202" s="90"/>
      <c r="AA202" s="93"/>
      <c r="AB202" s="87"/>
      <c r="AC202" s="91"/>
      <c r="AD202" s="90"/>
      <c r="AE202" s="86"/>
      <c r="AF202" s="82"/>
      <c r="AG202" s="24"/>
      <c r="AH202" s="93"/>
      <c r="AI202" s="87"/>
      <c r="AJ202" s="86"/>
      <c r="AK202" s="81"/>
      <c r="AL202" s="24"/>
      <c r="AM202" s="24"/>
      <c r="AN202" s="81"/>
      <c r="AO202" s="81"/>
      <c r="AP202" s="24"/>
      <c r="AQ202" s="93"/>
      <c r="AR202" s="94"/>
      <c r="AS202" s="82"/>
      <c r="AT202" s="82"/>
      <c r="AU202" s="24"/>
      <c r="AV202" s="93"/>
      <c r="AW202" s="94"/>
      <c r="AX202" s="95"/>
      <c r="AY202" s="95"/>
      <c r="AZ202" s="95"/>
      <c r="BA202" s="24"/>
      <c r="BB202" s="9" t="s">
        <v>138</v>
      </c>
      <c r="BC202" s="96" t="s">
        <v>93</v>
      </c>
    </row>
    <row r="203" spans="1:55" ht="15" customHeight="1">
      <c r="A203" s="86">
        <f t="shared" si="21"/>
        <v>201</v>
      </c>
      <c r="B203" s="75" t="s">
        <v>611</v>
      </c>
      <c r="C203" s="9"/>
      <c r="D203" s="76" t="s">
        <v>610</v>
      </c>
      <c r="E203" s="88" t="str">
        <f>_xlfn.IFNA(VLOOKUP($D203,'Route-Details'!$B$2:$X$1048576,'Node Details'!E$1,0),"")</f>
        <v>Airtel</v>
      </c>
      <c r="F203" s="88" t="str">
        <f>_xlfn.IFNA(VLOOKUP($D203,'Route-Details'!$B$2:$X$1048576,'Node Details'!F$1,0),"")</f>
        <v>DARIA</v>
      </c>
      <c r="G203" s="88" t="str">
        <f>_xlfn.IFNA(VLOOKUP($D203,'Route-Details'!$B$2:$X$1048576,'Node Details'!G$1,0),"")</f>
        <v>Chandigarh</v>
      </c>
      <c r="H203" s="88" t="str">
        <f>_xlfn.IFNA(VLOOKUP($D204,'Route-Details'!$B$2:$X$1048576,'Node Details'!H$1,0),"")</f>
        <v>Punjab</v>
      </c>
      <c r="I203" s="88" t="str">
        <f>_xlfn.IFNA(VLOOKUP($D203,'Route-Details'!$B$2:$X$1048576,'Node Details'!I$1,0),"")</f>
        <v>AXW</v>
      </c>
      <c r="J203" s="88" t="str">
        <f>_xlfn.IFNA(VLOOKUP($D203,'Route-Details'!$B$2:$X$1048576,'Node Details'!J$1,0),"")</f>
        <v>AXW</v>
      </c>
      <c r="K203" s="76">
        <v>46112</v>
      </c>
      <c r="L203" s="76">
        <v>46114</v>
      </c>
      <c r="M203" s="89">
        <v>46147</v>
      </c>
      <c r="N203" s="76">
        <v>46114</v>
      </c>
      <c r="Q203" s="86" t="s">
        <v>958</v>
      </c>
      <c r="R203" s="90"/>
      <c r="S203" s="87"/>
      <c r="T203" s="87"/>
      <c r="U203" s="87"/>
      <c r="V203" s="93"/>
      <c r="W203" s="91"/>
      <c r="X203" s="87"/>
      <c r="Y203" s="92"/>
      <c r="Z203" s="90"/>
      <c r="AA203" s="93"/>
      <c r="AB203" s="87"/>
      <c r="AC203" s="91"/>
      <c r="AD203" s="90"/>
      <c r="AE203" s="86"/>
      <c r="AF203" s="82"/>
      <c r="AG203" s="24"/>
      <c r="AH203" s="93"/>
      <c r="AI203" s="87"/>
      <c r="AJ203" s="86"/>
      <c r="AK203" s="81"/>
      <c r="AL203" s="24"/>
      <c r="AM203" s="24"/>
      <c r="AN203" s="81"/>
      <c r="AO203" s="81"/>
      <c r="AP203" s="24"/>
      <c r="AQ203" s="93"/>
      <c r="AR203" s="94"/>
      <c r="AS203" s="82"/>
      <c r="AT203" s="82"/>
      <c r="AU203" s="24"/>
      <c r="AV203" s="93"/>
      <c r="AW203" s="94"/>
      <c r="AX203" s="95"/>
      <c r="AY203" s="95"/>
      <c r="AZ203" s="95"/>
      <c r="BA203" s="24"/>
      <c r="BB203" s="9" t="s">
        <v>612</v>
      </c>
      <c r="BC203" s="96" t="s">
        <v>93</v>
      </c>
    </row>
    <row r="204" spans="1:55" ht="15" customHeight="1">
      <c r="A204" s="86">
        <f t="shared" si="21"/>
        <v>202</v>
      </c>
      <c r="B204" s="75" t="s">
        <v>407</v>
      </c>
      <c r="C204" s="9"/>
      <c r="D204" s="76" t="s">
        <v>370</v>
      </c>
      <c r="E204" s="88" t="str">
        <f>_xlfn.IFNA(VLOOKUP($D204,'Route-Details'!$B$2:$X$1048576,'Node Details'!E$1,0),"")</f>
        <v>Airtel</v>
      </c>
      <c r="F204" s="88" t="str">
        <f>_xlfn.IFNA(VLOOKUP($D204,'Route-Details'!$B$2:$X$1048576,'Node Details'!F$1,0),"")</f>
        <v>DARIA</v>
      </c>
      <c r="G204" s="88" t="str">
        <f>_xlfn.IFNA(VLOOKUP($D204,'Route-Details'!$B$2:$X$1048576,'Node Details'!G$1,0),"")</f>
        <v>Chandigarh</v>
      </c>
      <c r="H204" s="88" t="str">
        <f>_xlfn.IFNA(VLOOKUP($D205,'Route-Details'!$B$2:$X$1048576,'Node Details'!H$1,0),"")</f>
        <v>Punjab</v>
      </c>
      <c r="I204" s="88" t="str">
        <f>_xlfn.IFNA(VLOOKUP($D204,'Route-Details'!$B$2:$X$1048576,'Node Details'!I$1,0),"")</f>
        <v>AXW</v>
      </c>
      <c r="J204" s="88" t="str">
        <f>_xlfn.IFNA(VLOOKUP($D204,'Route-Details'!$B$2:$X$1048576,'Node Details'!J$1,0),"")</f>
        <v>AXW</v>
      </c>
      <c r="K204" s="76">
        <v>46112</v>
      </c>
      <c r="L204" s="76">
        <v>46114</v>
      </c>
      <c r="M204" s="89">
        <v>46147</v>
      </c>
      <c r="N204" s="76">
        <v>46114</v>
      </c>
      <c r="Q204" s="86" t="s">
        <v>958</v>
      </c>
      <c r="R204" s="90"/>
      <c r="S204" s="87"/>
      <c r="T204" s="87"/>
      <c r="U204" s="87"/>
      <c r="V204" s="93"/>
      <c r="W204" s="91"/>
      <c r="X204" s="87"/>
      <c r="Y204" s="92"/>
      <c r="Z204" s="90"/>
      <c r="AA204" s="93"/>
      <c r="AB204" s="87"/>
      <c r="AC204" s="91"/>
      <c r="AD204" s="90"/>
      <c r="AE204" s="86"/>
      <c r="AF204" s="82"/>
      <c r="AG204" s="24"/>
      <c r="AH204" s="93"/>
      <c r="AI204" s="87"/>
      <c r="AJ204" s="86"/>
      <c r="AK204" s="81"/>
      <c r="AL204" s="24"/>
      <c r="AM204" s="24"/>
      <c r="AN204" s="81"/>
      <c r="AO204" s="81"/>
      <c r="AP204" s="24"/>
      <c r="AQ204" s="93"/>
      <c r="AR204" s="94"/>
      <c r="AS204" s="82"/>
      <c r="AT204" s="82"/>
      <c r="AU204" s="24"/>
      <c r="AV204" s="93"/>
      <c r="AW204" s="94"/>
      <c r="AX204" s="95"/>
      <c r="AY204" s="95"/>
      <c r="AZ204" s="95"/>
      <c r="BA204" s="24"/>
      <c r="BB204" s="9" t="s">
        <v>92</v>
      </c>
      <c r="BC204" s="96" t="s">
        <v>93</v>
      </c>
    </row>
    <row r="205" spans="1:55" ht="15" customHeight="1">
      <c r="A205" s="86">
        <f t="shared" si="21"/>
        <v>203</v>
      </c>
      <c r="B205" s="75" t="s">
        <v>1059</v>
      </c>
      <c r="C205" s="9"/>
      <c r="D205" s="76" t="s">
        <v>406</v>
      </c>
      <c r="E205" s="88" t="str">
        <f>_xlfn.IFNA(VLOOKUP($D205,'Route-Details'!$B$2:$X$1048576,'Node Details'!E$1,0),"")</f>
        <v>Airtel</v>
      </c>
      <c r="F205" s="88" t="str">
        <f>_xlfn.IFNA(VLOOKUP($D205,'Route-Details'!$B$2:$X$1048576,'Node Details'!F$1,0),"")</f>
        <v>DARIA</v>
      </c>
      <c r="G205" s="88" t="str">
        <f>_xlfn.IFNA(VLOOKUP($D205,'Route-Details'!$B$2:$X$1048576,'Node Details'!G$1,0),"")</f>
        <v>Chandigarh</v>
      </c>
      <c r="H205" s="88" t="str">
        <f>_xlfn.IFNA(VLOOKUP($D206,'Route-Details'!$B$2:$X$1048576,'Node Details'!H$1,0),"")</f>
        <v>Punjab</v>
      </c>
      <c r="I205" s="88" t="str">
        <f>_xlfn.IFNA(VLOOKUP($D205,'Route-Details'!$B$2:$X$1048576,'Node Details'!I$1,0),"")</f>
        <v>AXW</v>
      </c>
      <c r="J205" s="88" t="str">
        <f>_xlfn.IFNA(VLOOKUP($D205,'Route-Details'!$B$2:$X$1048576,'Node Details'!J$1,0),"")</f>
        <v>AXW</v>
      </c>
      <c r="K205" s="76">
        <v>46112</v>
      </c>
      <c r="L205" s="76">
        <v>46114</v>
      </c>
      <c r="M205" s="89">
        <v>46147</v>
      </c>
      <c r="N205" s="76">
        <v>46114</v>
      </c>
      <c r="Q205" s="86" t="s">
        <v>958</v>
      </c>
      <c r="R205" s="90"/>
      <c r="S205" s="87"/>
      <c r="T205" s="87"/>
      <c r="U205" s="87"/>
      <c r="V205" s="93"/>
      <c r="W205" s="91"/>
      <c r="X205" s="87"/>
      <c r="Y205" s="92"/>
      <c r="Z205" s="90"/>
      <c r="AA205" s="93"/>
      <c r="AB205" s="87"/>
      <c r="AC205" s="91"/>
      <c r="AD205" s="90"/>
      <c r="AE205" s="86"/>
      <c r="AF205" s="82"/>
      <c r="AG205" s="24"/>
      <c r="AH205" s="93"/>
      <c r="AI205" s="87"/>
      <c r="AJ205" s="86"/>
      <c r="AK205" s="81"/>
      <c r="AL205" s="24"/>
      <c r="AM205" s="24"/>
      <c r="AN205" s="81"/>
      <c r="AO205" s="81"/>
      <c r="AP205" s="24"/>
      <c r="AQ205" s="93"/>
      <c r="AR205" s="94"/>
      <c r="AS205" s="82"/>
      <c r="AT205" s="82"/>
      <c r="AU205" s="24"/>
      <c r="AV205" s="93"/>
      <c r="AW205" s="94"/>
      <c r="AX205" s="95"/>
      <c r="AY205" s="95"/>
      <c r="AZ205" s="95"/>
      <c r="BA205" s="24"/>
      <c r="BB205" s="9" t="s">
        <v>132</v>
      </c>
      <c r="BC205" s="96" t="s">
        <v>93</v>
      </c>
    </row>
    <row r="206" spans="1:55" ht="15" customHeight="1">
      <c r="A206" s="86">
        <f t="shared" si="21"/>
        <v>204</v>
      </c>
      <c r="B206" s="75" t="s">
        <v>1060</v>
      </c>
      <c r="C206" s="9"/>
      <c r="D206" s="76" t="s">
        <v>406</v>
      </c>
      <c r="E206" s="88" t="str">
        <f>_xlfn.IFNA(VLOOKUP($D206,'Route-Details'!$B$2:$X$1048576,'Node Details'!E$1,0),"")</f>
        <v>Airtel</v>
      </c>
      <c r="F206" s="88" t="str">
        <f>_xlfn.IFNA(VLOOKUP($D206,'Route-Details'!$B$2:$X$1048576,'Node Details'!F$1,0),"")</f>
        <v>DARIA</v>
      </c>
      <c r="G206" s="88" t="str">
        <f>_xlfn.IFNA(VLOOKUP($D206,'Route-Details'!$B$2:$X$1048576,'Node Details'!G$1,0),"")</f>
        <v>Chandigarh</v>
      </c>
      <c r="H206" s="88" t="str">
        <f>_xlfn.IFNA(VLOOKUP($D207,'Route-Details'!$B$2:$X$1048576,'Node Details'!H$1,0),"")</f>
        <v>Punjab</v>
      </c>
      <c r="I206" s="88" t="str">
        <f>_xlfn.IFNA(VLOOKUP($D206,'Route-Details'!$B$2:$X$1048576,'Node Details'!I$1,0),"")</f>
        <v>AXW</v>
      </c>
      <c r="J206" s="88" t="str">
        <f>_xlfn.IFNA(VLOOKUP($D206,'Route-Details'!$B$2:$X$1048576,'Node Details'!J$1,0),"")</f>
        <v>AXW</v>
      </c>
      <c r="K206" s="76">
        <v>46112</v>
      </c>
      <c r="L206" s="76">
        <v>46114</v>
      </c>
      <c r="M206" s="89">
        <v>46147</v>
      </c>
      <c r="N206" s="76">
        <v>46114</v>
      </c>
      <c r="Q206" s="86" t="s">
        <v>958</v>
      </c>
      <c r="R206" s="90"/>
      <c r="S206" s="87"/>
      <c r="T206" s="87"/>
      <c r="U206" s="87"/>
      <c r="V206" s="93"/>
      <c r="W206" s="91"/>
      <c r="X206" s="87"/>
      <c r="Y206" s="92"/>
      <c r="Z206" s="90"/>
      <c r="AA206" s="93"/>
      <c r="AB206" s="87"/>
      <c r="AC206" s="91"/>
      <c r="AD206" s="90"/>
      <c r="AE206" s="86"/>
      <c r="AF206" s="82"/>
      <c r="AG206" s="24"/>
      <c r="AH206" s="93"/>
      <c r="AI206" s="87"/>
      <c r="AJ206" s="86"/>
      <c r="AK206" s="81"/>
      <c r="AL206" s="24"/>
      <c r="AM206" s="24"/>
      <c r="AN206" s="81"/>
      <c r="AO206" s="81"/>
      <c r="AP206" s="24"/>
      <c r="AQ206" s="93"/>
      <c r="AR206" s="94"/>
      <c r="AS206" s="82"/>
      <c r="AT206" s="82"/>
      <c r="AU206" s="24"/>
      <c r="AV206" s="93"/>
      <c r="AW206" s="94"/>
      <c r="AX206" s="95"/>
      <c r="AY206" s="95"/>
      <c r="AZ206" s="95"/>
      <c r="BA206" s="24"/>
      <c r="BB206" s="9" t="s">
        <v>132</v>
      </c>
      <c r="BC206" s="96" t="s">
        <v>93</v>
      </c>
    </row>
    <row r="207" spans="1:55" ht="15" customHeight="1">
      <c r="A207" s="86">
        <f t="shared" si="21"/>
        <v>205</v>
      </c>
      <c r="B207" s="75" t="s">
        <v>1061</v>
      </c>
      <c r="C207" s="9"/>
      <c r="D207" s="76" t="s">
        <v>406</v>
      </c>
      <c r="E207" s="88" t="str">
        <f>_xlfn.IFNA(VLOOKUP($D207,'Route-Details'!$B$2:$X$1048576,'Node Details'!E$1,0),"")</f>
        <v>Airtel</v>
      </c>
      <c r="F207" s="88" t="str">
        <f>_xlfn.IFNA(VLOOKUP($D207,'Route-Details'!$B$2:$X$1048576,'Node Details'!F$1,0),"")</f>
        <v>DARIA</v>
      </c>
      <c r="G207" s="88" t="str">
        <f>_xlfn.IFNA(VLOOKUP($D207,'Route-Details'!$B$2:$X$1048576,'Node Details'!G$1,0),"")</f>
        <v>Chandigarh</v>
      </c>
      <c r="H207" s="88" t="str">
        <f>_xlfn.IFNA(VLOOKUP($D208,'Route-Details'!$B$2:$X$1048576,'Node Details'!H$1,0),"")</f>
        <v>Punjab</v>
      </c>
      <c r="I207" s="88" t="str">
        <f>_xlfn.IFNA(VLOOKUP($D207,'Route-Details'!$B$2:$X$1048576,'Node Details'!I$1,0),"")</f>
        <v>AXW</v>
      </c>
      <c r="J207" s="88" t="str">
        <f>_xlfn.IFNA(VLOOKUP($D207,'Route-Details'!$B$2:$X$1048576,'Node Details'!J$1,0),"")</f>
        <v>AXW</v>
      </c>
      <c r="K207" s="76">
        <v>46112</v>
      </c>
      <c r="L207" s="76">
        <v>46114</v>
      </c>
      <c r="M207" s="89">
        <v>46147</v>
      </c>
      <c r="N207" s="76">
        <v>46114</v>
      </c>
      <c r="Q207" s="86" t="s">
        <v>958</v>
      </c>
      <c r="R207" s="90"/>
      <c r="S207" s="87"/>
      <c r="T207" s="87"/>
      <c r="U207" s="87"/>
      <c r="V207" s="93"/>
      <c r="W207" s="91"/>
      <c r="X207" s="87"/>
      <c r="Y207" s="92"/>
      <c r="Z207" s="90"/>
      <c r="AA207" s="93"/>
      <c r="AB207" s="87"/>
      <c r="AC207" s="91"/>
      <c r="AD207" s="90"/>
      <c r="AE207" s="86"/>
      <c r="AF207" s="82"/>
      <c r="AG207" s="24"/>
      <c r="AH207" s="93"/>
      <c r="AI207" s="87"/>
      <c r="AJ207" s="86"/>
      <c r="AK207" s="81"/>
      <c r="AL207" s="24"/>
      <c r="AM207" s="24"/>
      <c r="AN207" s="81"/>
      <c r="AO207" s="81"/>
      <c r="AP207" s="24"/>
      <c r="AQ207" s="93"/>
      <c r="AR207" s="94"/>
      <c r="AS207" s="82"/>
      <c r="AT207" s="82"/>
      <c r="AU207" s="24"/>
      <c r="AV207" s="93"/>
      <c r="AW207" s="94"/>
      <c r="AX207" s="95"/>
      <c r="AY207" s="95"/>
      <c r="AZ207" s="95"/>
      <c r="BA207" s="24"/>
      <c r="BB207" s="9" t="s">
        <v>132</v>
      </c>
      <c r="BC207" s="96" t="s">
        <v>93</v>
      </c>
    </row>
    <row r="208" spans="1:55" ht="15" customHeight="1">
      <c r="A208" s="86">
        <f t="shared" si="21"/>
        <v>206</v>
      </c>
      <c r="B208" s="75" t="s">
        <v>408</v>
      </c>
      <c r="C208" s="9"/>
      <c r="D208" s="76" t="s">
        <v>406</v>
      </c>
      <c r="E208" s="88" t="str">
        <f>_xlfn.IFNA(VLOOKUP($D208,'Route-Details'!$B$2:$X$1048576,'Node Details'!E$1,0),"")</f>
        <v>Airtel</v>
      </c>
      <c r="F208" s="88" t="str">
        <f>_xlfn.IFNA(VLOOKUP($D208,'Route-Details'!$B$2:$X$1048576,'Node Details'!F$1,0),"")</f>
        <v>DARIA</v>
      </c>
      <c r="G208" s="88" t="str">
        <f>_xlfn.IFNA(VLOOKUP($D208,'Route-Details'!$B$2:$X$1048576,'Node Details'!G$1,0),"")</f>
        <v>Chandigarh</v>
      </c>
      <c r="H208" s="88" t="str">
        <f>_xlfn.IFNA(VLOOKUP($D209,'Route-Details'!$B$2:$X$1048576,'Node Details'!H$1,0),"")</f>
        <v>Punjab</v>
      </c>
      <c r="I208" s="88" t="str">
        <f>_xlfn.IFNA(VLOOKUP($D208,'Route-Details'!$B$2:$X$1048576,'Node Details'!I$1,0),"")</f>
        <v>AXW</v>
      </c>
      <c r="J208" s="88" t="str">
        <f>_xlfn.IFNA(VLOOKUP($D208,'Route-Details'!$B$2:$X$1048576,'Node Details'!J$1,0),"")</f>
        <v>AXW</v>
      </c>
      <c r="K208" s="76">
        <v>46112</v>
      </c>
      <c r="L208" s="76">
        <v>46114</v>
      </c>
      <c r="M208" s="89">
        <v>46147</v>
      </c>
      <c r="N208" s="76">
        <v>46114</v>
      </c>
      <c r="Q208" s="86" t="s">
        <v>958</v>
      </c>
      <c r="R208" s="90"/>
      <c r="S208" s="87"/>
      <c r="T208" s="87"/>
      <c r="U208" s="87"/>
      <c r="V208" s="93"/>
      <c r="W208" s="91"/>
      <c r="X208" s="87"/>
      <c r="Y208" s="92"/>
      <c r="Z208" s="90"/>
      <c r="AA208" s="93"/>
      <c r="AB208" s="87"/>
      <c r="AC208" s="91"/>
      <c r="AD208" s="90"/>
      <c r="AE208" s="86"/>
      <c r="AF208" s="82"/>
      <c r="AG208" s="24"/>
      <c r="AH208" s="93"/>
      <c r="AI208" s="87"/>
      <c r="AJ208" s="86"/>
      <c r="AK208" s="81"/>
      <c r="AL208" s="24"/>
      <c r="AM208" s="24"/>
      <c r="AN208" s="81"/>
      <c r="AO208" s="81"/>
      <c r="AP208" s="24"/>
      <c r="AQ208" s="93"/>
      <c r="AR208" s="94"/>
      <c r="AS208" s="82"/>
      <c r="AT208" s="82"/>
      <c r="AU208" s="24"/>
      <c r="AV208" s="93"/>
      <c r="AW208" s="94"/>
      <c r="AX208" s="95"/>
      <c r="AY208" s="95"/>
      <c r="AZ208" s="95"/>
      <c r="BA208" s="24"/>
      <c r="BB208" s="9" t="s">
        <v>132</v>
      </c>
      <c r="BC208" s="96" t="s">
        <v>93</v>
      </c>
    </row>
    <row r="209" spans="1:55" ht="15" customHeight="1">
      <c r="A209" s="86">
        <f t="shared" si="21"/>
        <v>207</v>
      </c>
      <c r="B209" s="75" t="s">
        <v>410</v>
      </c>
      <c r="C209" s="9"/>
      <c r="D209" s="76" t="s">
        <v>409</v>
      </c>
      <c r="E209" s="88" t="str">
        <f>_xlfn.IFNA(VLOOKUP($D209,'Route-Details'!$B$2:$X$1048576,'Node Details'!E$1,0),"")</f>
        <v>Airtel</v>
      </c>
      <c r="F209" s="88" t="str">
        <f>_xlfn.IFNA(VLOOKUP($D209,'Route-Details'!$B$2:$X$1048576,'Node Details'!F$1,0),"")</f>
        <v>DARIA</v>
      </c>
      <c r="G209" s="88" t="str">
        <f>_xlfn.IFNA(VLOOKUP($D209,'Route-Details'!$B$2:$X$1048576,'Node Details'!G$1,0),"")</f>
        <v>Chandigarh</v>
      </c>
      <c r="H209" s="88" t="str">
        <f>_xlfn.IFNA(VLOOKUP($D210,'Route-Details'!$B$2:$X$1048576,'Node Details'!H$1,0),"")</f>
        <v>Punjab</v>
      </c>
      <c r="I209" s="88" t="str">
        <f>_xlfn.IFNA(VLOOKUP($D209,'Route-Details'!$B$2:$X$1048576,'Node Details'!I$1,0),"")</f>
        <v>AXW</v>
      </c>
      <c r="J209" s="88" t="str">
        <f>_xlfn.IFNA(VLOOKUP($D209,'Route-Details'!$B$2:$X$1048576,'Node Details'!J$1,0),"")</f>
        <v>AXW</v>
      </c>
      <c r="K209" s="76">
        <v>46112</v>
      </c>
      <c r="L209" s="76">
        <v>46114</v>
      </c>
      <c r="M209" s="89">
        <v>46147</v>
      </c>
      <c r="N209" s="76">
        <v>46114</v>
      </c>
      <c r="Q209" s="86" t="s">
        <v>958</v>
      </c>
      <c r="R209" s="90"/>
      <c r="S209" s="87"/>
      <c r="T209" s="87"/>
      <c r="U209" s="87"/>
      <c r="V209" s="93"/>
      <c r="W209" s="91"/>
      <c r="X209" s="87"/>
      <c r="Y209" s="92"/>
      <c r="Z209" s="90"/>
      <c r="AA209" s="93"/>
      <c r="AB209" s="87"/>
      <c r="AC209" s="91"/>
      <c r="AD209" s="90"/>
      <c r="AE209" s="86"/>
      <c r="AF209" s="82"/>
      <c r="AG209" s="24"/>
      <c r="AH209" s="93"/>
      <c r="AI209" s="87"/>
      <c r="AJ209" s="86"/>
      <c r="AK209" s="81"/>
      <c r="AL209" s="24"/>
      <c r="AM209" s="24"/>
      <c r="AN209" s="81"/>
      <c r="AO209" s="81"/>
      <c r="AP209" s="24"/>
      <c r="AQ209" s="93"/>
      <c r="AR209" s="94"/>
      <c r="AS209" s="82"/>
      <c r="AT209" s="82"/>
      <c r="AU209" s="24"/>
      <c r="AV209" s="93"/>
      <c r="AW209" s="94"/>
      <c r="AX209" s="95"/>
      <c r="AY209" s="95"/>
      <c r="AZ209" s="95"/>
      <c r="BA209" s="24"/>
      <c r="BB209" s="9" t="s">
        <v>182</v>
      </c>
      <c r="BC209" s="96" t="s">
        <v>93</v>
      </c>
    </row>
    <row r="210" spans="1:55" ht="15" customHeight="1">
      <c r="A210" s="86">
        <f t="shared" si="21"/>
        <v>208</v>
      </c>
      <c r="B210" s="75" t="s">
        <v>1062</v>
      </c>
      <c r="C210" s="9"/>
      <c r="D210" s="76" t="s">
        <v>411</v>
      </c>
      <c r="E210" s="88" t="str">
        <f>_xlfn.IFNA(VLOOKUP($D210,'Route-Details'!$B$2:$X$1048576,'Node Details'!E$1,0),"")</f>
        <v>Airtel</v>
      </c>
      <c r="F210" s="88" t="str">
        <f>_xlfn.IFNA(VLOOKUP($D210,'Route-Details'!$B$2:$X$1048576,'Node Details'!F$1,0),"")</f>
        <v>DARIA</v>
      </c>
      <c r="G210" s="88" t="str">
        <f>_xlfn.IFNA(VLOOKUP($D210,'Route-Details'!$B$2:$X$1048576,'Node Details'!G$1,0),"")</f>
        <v>Chandigarh</v>
      </c>
      <c r="H210" s="88" t="str">
        <f>_xlfn.IFNA(VLOOKUP($D211,'Route-Details'!$B$2:$X$1048576,'Node Details'!H$1,0),"")</f>
        <v>Punjab</v>
      </c>
      <c r="I210" s="88" t="str">
        <f>_xlfn.IFNA(VLOOKUP($D210,'Route-Details'!$B$2:$X$1048576,'Node Details'!I$1,0),"")</f>
        <v>AXW</v>
      </c>
      <c r="J210" s="88" t="str">
        <f>_xlfn.IFNA(VLOOKUP($D210,'Route-Details'!$B$2:$X$1048576,'Node Details'!J$1,0),"")</f>
        <v>AXW</v>
      </c>
      <c r="K210" s="76">
        <v>46112</v>
      </c>
      <c r="L210" s="76">
        <v>46114</v>
      </c>
      <c r="M210" s="89">
        <v>46147</v>
      </c>
      <c r="N210" s="76">
        <v>46114</v>
      </c>
      <c r="Q210" s="86" t="s">
        <v>958</v>
      </c>
      <c r="R210" s="90"/>
      <c r="S210" s="87"/>
      <c r="T210" s="87"/>
      <c r="U210" s="87"/>
      <c r="V210" s="93"/>
      <c r="W210" s="91"/>
      <c r="X210" s="87"/>
      <c r="Y210" s="92"/>
      <c r="Z210" s="90"/>
      <c r="AA210" s="93"/>
      <c r="AB210" s="87"/>
      <c r="AC210" s="91"/>
      <c r="AD210" s="90"/>
      <c r="AE210" s="86"/>
      <c r="AF210" s="82"/>
      <c r="AG210" s="24"/>
      <c r="AH210" s="93"/>
      <c r="AI210" s="87"/>
      <c r="AJ210" s="86"/>
      <c r="AK210" s="81"/>
      <c r="AL210" s="24"/>
      <c r="AM210" s="24"/>
      <c r="AN210" s="81"/>
      <c r="AO210" s="81"/>
      <c r="AP210" s="24"/>
      <c r="AQ210" s="93"/>
      <c r="AR210" s="94"/>
      <c r="AS210" s="82"/>
      <c r="AT210" s="82"/>
      <c r="AU210" s="24"/>
      <c r="AV210" s="93"/>
      <c r="AW210" s="94"/>
      <c r="AX210" s="95"/>
      <c r="AY210" s="95"/>
      <c r="AZ210" s="95"/>
      <c r="BA210" s="24"/>
      <c r="BB210" s="9" t="s">
        <v>185</v>
      </c>
      <c r="BC210" s="96" t="s">
        <v>93</v>
      </c>
    </row>
    <row r="211" spans="1:55" ht="15" customHeight="1">
      <c r="A211" s="86">
        <f t="shared" si="21"/>
        <v>209</v>
      </c>
      <c r="B211" s="75" t="s">
        <v>412</v>
      </c>
      <c r="C211" s="9"/>
      <c r="D211" s="76" t="s">
        <v>411</v>
      </c>
      <c r="E211" s="88" t="str">
        <f>_xlfn.IFNA(VLOOKUP($D211,'Route-Details'!$B$2:$X$1048576,'Node Details'!E$1,0),"")</f>
        <v>Airtel</v>
      </c>
      <c r="F211" s="88" t="str">
        <f>_xlfn.IFNA(VLOOKUP($D211,'Route-Details'!$B$2:$X$1048576,'Node Details'!F$1,0),"")</f>
        <v>DARIA</v>
      </c>
      <c r="G211" s="88" t="str">
        <f>_xlfn.IFNA(VLOOKUP($D211,'Route-Details'!$B$2:$X$1048576,'Node Details'!G$1,0),"")</f>
        <v>Chandigarh</v>
      </c>
      <c r="H211" s="88" t="str">
        <f>_xlfn.IFNA(VLOOKUP($D212,'Route-Details'!$B$2:$X$1048576,'Node Details'!H$1,0),"")</f>
        <v>Punjab</v>
      </c>
      <c r="I211" s="88" t="str">
        <f>_xlfn.IFNA(VLOOKUP($D211,'Route-Details'!$B$2:$X$1048576,'Node Details'!I$1,0),"")</f>
        <v>AXW</v>
      </c>
      <c r="J211" s="88" t="str">
        <f>_xlfn.IFNA(VLOOKUP($D211,'Route-Details'!$B$2:$X$1048576,'Node Details'!J$1,0),"")</f>
        <v>AXW</v>
      </c>
      <c r="K211" s="76">
        <v>46112</v>
      </c>
      <c r="L211" s="76">
        <v>46114</v>
      </c>
      <c r="M211" s="89">
        <v>46147</v>
      </c>
      <c r="N211" s="76">
        <v>46114</v>
      </c>
      <c r="Q211" s="86" t="s">
        <v>958</v>
      </c>
      <c r="R211" s="90"/>
      <c r="S211" s="87"/>
      <c r="T211" s="87"/>
      <c r="U211" s="87"/>
      <c r="V211" s="93"/>
      <c r="W211" s="91"/>
      <c r="X211" s="87"/>
      <c r="Y211" s="92"/>
      <c r="Z211" s="90"/>
      <c r="AA211" s="93"/>
      <c r="AB211" s="87"/>
      <c r="AC211" s="91"/>
      <c r="AD211" s="90"/>
      <c r="AE211" s="86"/>
      <c r="AF211" s="82"/>
      <c r="AG211" s="24"/>
      <c r="AH211" s="93"/>
      <c r="AI211" s="87"/>
      <c r="AJ211" s="86"/>
      <c r="AK211" s="81"/>
      <c r="AL211" s="24"/>
      <c r="AM211" s="24"/>
      <c r="AN211" s="81"/>
      <c r="AO211" s="81"/>
      <c r="AP211" s="24"/>
      <c r="AQ211" s="93"/>
      <c r="AR211" s="94"/>
      <c r="AS211" s="82"/>
      <c r="AT211" s="82"/>
      <c r="AU211" s="24"/>
      <c r="AV211" s="93"/>
      <c r="AW211" s="94"/>
      <c r="AX211" s="95"/>
      <c r="AY211" s="95"/>
      <c r="AZ211" s="95"/>
      <c r="BA211" s="24"/>
      <c r="BB211" s="9" t="s">
        <v>185</v>
      </c>
      <c r="BC211" s="96" t="s">
        <v>93</v>
      </c>
    </row>
    <row r="212" spans="1:55" ht="15" customHeight="1">
      <c r="A212" s="86">
        <f t="shared" si="21"/>
        <v>210</v>
      </c>
      <c r="B212" s="75" t="s">
        <v>414</v>
      </c>
      <c r="C212" s="9"/>
      <c r="D212" s="76" t="s">
        <v>370</v>
      </c>
      <c r="E212" s="88" t="str">
        <f>_xlfn.IFNA(VLOOKUP($D212,'Route-Details'!$B$2:$X$1048576,'Node Details'!E$1,0),"")</f>
        <v>Airtel</v>
      </c>
      <c r="F212" s="88" t="str">
        <f>_xlfn.IFNA(VLOOKUP($D212,'Route-Details'!$B$2:$X$1048576,'Node Details'!F$1,0),"")</f>
        <v>DARIA</v>
      </c>
      <c r="G212" s="88" t="str">
        <f>_xlfn.IFNA(VLOOKUP($D212,'Route-Details'!$B$2:$X$1048576,'Node Details'!G$1,0),"")</f>
        <v>Chandigarh</v>
      </c>
      <c r="H212" s="88" t="str">
        <f>_xlfn.IFNA(VLOOKUP($D213,'Route-Details'!$B$2:$X$1048576,'Node Details'!H$1,0),"")</f>
        <v>Punjab</v>
      </c>
      <c r="I212" s="88" t="str">
        <f>_xlfn.IFNA(VLOOKUP($D212,'Route-Details'!$B$2:$X$1048576,'Node Details'!I$1,0),"")</f>
        <v>AXW</v>
      </c>
      <c r="J212" s="88" t="str">
        <f>_xlfn.IFNA(VLOOKUP($D212,'Route-Details'!$B$2:$X$1048576,'Node Details'!J$1,0),"")</f>
        <v>AXW</v>
      </c>
      <c r="K212" s="76">
        <v>46112</v>
      </c>
      <c r="L212" s="76">
        <v>46114</v>
      </c>
      <c r="M212" s="89">
        <v>46147</v>
      </c>
      <c r="N212" s="76">
        <v>46114</v>
      </c>
      <c r="Q212" s="86" t="s">
        <v>958</v>
      </c>
      <c r="R212" s="90"/>
      <c r="S212" s="87"/>
      <c r="T212" s="87"/>
      <c r="U212" s="87"/>
      <c r="V212" s="93"/>
      <c r="W212" s="91"/>
      <c r="X212" s="87"/>
      <c r="Y212" s="92"/>
      <c r="Z212" s="90"/>
      <c r="AA212" s="93"/>
      <c r="AB212" s="87"/>
      <c r="AC212" s="91"/>
      <c r="AD212" s="90"/>
      <c r="AE212" s="86"/>
      <c r="AF212" s="82"/>
      <c r="AG212" s="24"/>
      <c r="AH212" s="93"/>
      <c r="AI212" s="87"/>
      <c r="AJ212" s="86"/>
      <c r="AK212" s="81"/>
      <c r="AL212" s="24"/>
      <c r="AM212" s="24"/>
      <c r="AN212" s="81"/>
      <c r="AO212" s="81"/>
      <c r="AP212" s="24"/>
      <c r="AQ212" s="93"/>
      <c r="AR212" s="94"/>
      <c r="AS212" s="82"/>
      <c r="AT212" s="82"/>
      <c r="AU212" s="24"/>
      <c r="AV212" s="93"/>
      <c r="AW212" s="94"/>
      <c r="AX212" s="95"/>
      <c r="AY212" s="95"/>
      <c r="AZ212" s="95"/>
      <c r="BA212" s="24"/>
      <c r="BB212" s="9" t="s">
        <v>92</v>
      </c>
      <c r="BC212" s="96" t="s">
        <v>93</v>
      </c>
    </row>
    <row r="213" spans="1:55" ht="15" customHeight="1">
      <c r="A213" s="86">
        <f t="shared" si="21"/>
        <v>211</v>
      </c>
      <c r="B213" s="75" t="s">
        <v>1063</v>
      </c>
      <c r="C213" s="9"/>
      <c r="D213" s="76" t="s">
        <v>413</v>
      </c>
      <c r="E213" s="88" t="str">
        <f>_xlfn.IFNA(VLOOKUP($D213,'Route-Details'!$B$2:$X$1048576,'Node Details'!E$1,0),"")</f>
        <v>Airtel</v>
      </c>
      <c r="F213" s="88" t="str">
        <f>_xlfn.IFNA(VLOOKUP($D213,'Route-Details'!$B$2:$X$1048576,'Node Details'!F$1,0),"")</f>
        <v>DARIA</v>
      </c>
      <c r="G213" s="88" t="str">
        <f>_xlfn.IFNA(VLOOKUP($D213,'Route-Details'!$B$2:$X$1048576,'Node Details'!G$1,0),"")</f>
        <v>Chandigarh</v>
      </c>
      <c r="H213" s="88" t="str">
        <f>_xlfn.IFNA(VLOOKUP($D214,'Route-Details'!$B$2:$X$1048576,'Node Details'!H$1,0),"")</f>
        <v>Punjab</v>
      </c>
      <c r="I213" s="88" t="str">
        <f>_xlfn.IFNA(VLOOKUP($D213,'Route-Details'!$B$2:$X$1048576,'Node Details'!I$1,0),"")</f>
        <v>AXW</v>
      </c>
      <c r="J213" s="88" t="str">
        <f>_xlfn.IFNA(VLOOKUP($D213,'Route-Details'!$B$2:$X$1048576,'Node Details'!J$1,0),"")</f>
        <v>AXW</v>
      </c>
      <c r="K213" s="76">
        <v>46112</v>
      </c>
      <c r="L213" s="76">
        <v>46114</v>
      </c>
      <c r="M213" s="89">
        <v>46147</v>
      </c>
      <c r="N213" s="76">
        <v>46114</v>
      </c>
      <c r="Q213" s="86" t="s">
        <v>958</v>
      </c>
      <c r="R213" s="90"/>
      <c r="S213" s="87"/>
      <c r="T213" s="87"/>
      <c r="U213" s="87"/>
      <c r="V213" s="93"/>
      <c r="W213" s="91"/>
      <c r="X213" s="87"/>
      <c r="Y213" s="92"/>
      <c r="Z213" s="90"/>
      <c r="AA213" s="93"/>
      <c r="AB213" s="87"/>
      <c r="AC213" s="91"/>
      <c r="AD213" s="90"/>
      <c r="AE213" s="86"/>
      <c r="AF213" s="82"/>
      <c r="AG213" s="24"/>
      <c r="AH213" s="93"/>
      <c r="AI213" s="87"/>
      <c r="AJ213" s="86"/>
      <c r="AK213" s="81"/>
      <c r="AL213" s="24"/>
      <c r="AM213" s="24"/>
      <c r="AN213" s="81"/>
      <c r="AO213" s="81"/>
      <c r="AP213" s="24"/>
      <c r="AQ213" s="93"/>
      <c r="AR213" s="94"/>
      <c r="AS213" s="82"/>
      <c r="AT213" s="82"/>
      <c r="AU213" s="24"/>
      <c r="AV213" s="93"/>
      <c r="AW213" s="94"/>
      <c r="AX213" s="95"/>
      <c r="AY213" s="95"/>
      <c r="AZ213" s="95"/>
      <c r="BA213" s="24"/>
      <c r="BB213" s="9" t="s">
        <v>188</v>
      </c>
      <c r="BC213" s="96" t="s">
        <v>93</v>
      </c>
    </row>
    <row r="214" spans="1:55" ht="15" customHeight="1">
      <c r="A214" s="86">
        <f t="shared" si="21"/>
        <v>212</v>
      </c>
      <c r="B214" s="75" t="s">
        <v>415</v>
      </c>
      <c r="C214" s="9"/>
      <c r="D214" s="76" t="s">
        <v>413</v>
      </c>
      <c r="E214" s="88" t="str">
        <f>_xlfn.IFNA(VLOOKUP($D214,'Route-Details'!$B$2:$X$1048576,'Node Details'!E$1,0),"")</f>
        <v>Airtel</v>
      </c>
      <c r="F214" s="88" t="str">
        <f>_xlfn.IFNA(VLOOKUP($D214,'Route-Details'!$B$2:$X$1048576,'Node Details'!F$1,0),"")</f>
        <v>DARIA</v>
      </c>
      <c r="G214" s="88" t="str">
        <f>_xlfn.IFNA(VLOOKUP($D214,'Route-Details'!$B$2:$X$1048576,'Node Details'!G$1,0),"")</f>
        <v>Chandigarh</v>
      </c>
      <c r="H214" s="88" t="str">
        <f>_xlfn.IFNA(VLOOKUP($D215,'Route-Details'!$B$2:$X$1048576,'Node Details'!H$1,0),"")</f>
        <v>Punjab</v>
      </c>
      <c r="I214" s="88" t="str">
        <f>_xlfn.IFNA(VLOOKUP($D214,'Route-Details'!$B$2:$X$1048576,'Node Details'!I$1,0),"")</f>
        <v>AXW</v>
      </c>
      <c r="J214" s="88" t="str">
        <f>_xlfn.IFNA(VLOOKUP($D214,'Route-Details'!$B$2:$X$1048576,'Node Details'!J$1,0),"")</f>
        <v>AXW</v>
      </c>
      <c r="K214" s="76">
        <v>46112</v>
      </c>
      <c r="L214" s="76">
        <v>46114</v>
      </c>
      <c r="M214" s="89">
        <v>46147</v>
      </c>
      <c r="N214" s="76">
        <v>46114</v>
      </c>
      <c r="Q214" s="86" t="s">
        <v>958</v>
      </c>
      <c r="R214" s="90"/>
      <c r="S214" s="87"/>
      <c r="T214" s="87"/>
      <c r="U214" s="87"/>
      <c r="V214" s="93"/>
      <c r="W214" s="91"/>
      <c r="X214" s="87"/>
      <c r="Y214" s="92"/>
      <c r="Z214" s="90"/>
      <c r="AA214" s="93"/>
      <c r="AB214" s="87"/>
      <c r="AC214" s="91"/>
      <c r="AD214" s="90"/>
      <c r="AE214" s="86"/>
      <c r="AF214" s="82"/>
      <c r="AG214" s="24"/>
      <c r="AH214" s="93"/>
      <c r="AI214" s="87"/>
      <c r="AJ214" s="86"/>
      <c r="AK214" s="81"/>
      <c r="AL214" s="24"/>
      <c r="AM214" s="24"/>
      <c r="AN214" s="81"/>
      <c r="AO214" s="81"/>
      <c r="AP214" s="24"/>
      <c r="AQ214" s="93"/>
      <c r="AR214" s="94"/>
      <c r="AS214" s="82"/>
      <c r="AT214" s="82"/>
      <c r="AU214" s="24"/>
      <c r="AV214" s="93"/>
      <c r="AW214" s="94"/>
      <c r="AX214" s="95"/>
      <c r="AY214" s="95"/>
      <c r="AZ214" s="95"/>
      <c r="BA214" s="24"/>
      <c r="BB214" s="9" t="s">
        <v>188</v>
      </c>
      <c r="BC214" s="96" t="s">
        <v>93</v>
      </c>
    </row>
    <row r="215" spans="1:55" ht="15" customHeight="1">
      <c r="A215" s="86">
        <f t="shared" si="21"/>
        <v>213</v>
      </c>
      <c r="B215" s="75" t="s">
        <v>1064</v>
      </c>
      <c r="C215" s="9"/>
      <c r="D215" s="76" t="s">
        <v>416</v>
      </c>
      <c r="E215" s="88" t="str">
        <f>_xlfn.IFNA(VLOOKUP($D215,'Route-Details'!$B$2:$X$1048576,'Node Details'!E$1,0),"")</f>
        <v>Airtel</v>
      </c>
      <c r="F215" s="88" t="str">
        <f>_xlfn.IFNA(VLOOKUP($D215,'Route-Details'!$B$2:$X$1048576,'Node Details'!F$1,0),"")</f>
        <v>DARIA</v>
      </c>
      <c r="G215" s="88" t="str">
        <f>_xlfn.IFNA(VLOOKUP($D215,'Route-Details'!$B$2:$X$1048576,'Node Details'!G$1,0),"")</f>
        <v>Chandigarh</v>
      </c>
      <c r="H215" s="88" t="str">
        <f>_xlfn.IFNA(VLOOKUP($D216,'Route-Details'!$B$2:$X$1048576,'Node Details'!H$1,0),"")</f>
        <v>Punjab</v>
      </c>
      <c r="I215" s="88" t="str">
        <f>_xlfn.IFNA(VLOOKUP($D215,'Route-Details'!$B$2:$X$1048576,'Node Details'!I$1,0),"")</f>
        <v>AXW</v>
      </c>
      <c r="J215" s="88" t="str">
        <f>_xlfn.IFNA(VLOOKUP($D215,'Route-Details'!$B$2:$X$1048576,'Node Details'!J$1,0),"")</f>
        <v>AXW</v>
      </c>
      <c r="K215" s="76">
        <v>46112</v>
      </c>
      <c r="L215" s="76">
        <v>46114</v>
      </c>
      <c r="M215" s="89">
        <v>46147</v>
      </c>
      <c r="N215" s="76">
        <v>46114</v>
      </c>
      <c r="Q215" s="86" t="s">
        <v>958</v>
      </c>
      <c r="R215" s="90"/>
      <c r="S215" s="87"/>
      <c r="T215" s="87"/>
      <c r="U215" s="87"/>
      <c r="V215" s="93"/>
      <c r="W215" s="91"/>
      <c r="X215" s="87"/>
      <c r="Y215" s="92"/>
      <c r="Z215" s="90"/>
      <c r="AA215" s="93"/>
      <c r="AB215" s="87"/>
      <c r="AC215" s="91"/>
      <c r="AD215" s="90"/>
      <c r="AE215" s="86"/>
      <c r="AF215" s="82"/>
      <c r="AG215" s="24"/>
      <c r="AH215" s="93"/>
      <c r="AI215" s="87"/>
      <c r="AJ215" s="86"/>
      <c r="AK215" s="81"/>
      <c r="AL215" s="24"/>
      <c r="AM215" s="24"/>
      <c r="AN215" s="81"/>
      <c r="AO215" s="81"/>
      <c r="AP215" s="24"/>
      <c r="AQ215" s="93"/>
      <c r="AR215" s="94"/>
      <c r="AS215" s="82"/>
      <c r="AT215" s="82"/>
      <c r="AU215" s="24"/>
      <c r="AV215" s="93"/>
      <c r="AW215" s="94"/>
      <c r="AX215" s="95"/>
      <c r="AY215" s="95"/>
      <c r="AZ215" s="95"/>
      <c r="BA215" s="24"/>
      <c r="BB215" s="9" t="s">
        <v>192</v>
      </c>
      <c r="BC215" s="96" t="s">
        <v>93</v>
      </c>
    </row>
    <row r="216" spans="1:55" ht="15" customHeight="1">
      <c r="A216" s="86">
        <f t="shared" si="21"/>
        <v>214</v>
      </c>
      <c r="B216" s="75" t="s">
        <v>417</v>
      </c>
      <c r="C216" s="9"/>
      <c r="D216" s="76" t="s">
        <v>416</v>
      </c>
      <c r="E216" s="88" t="str">
        <f>_xlfn.IFNA(VLOOKUP($D216,'Route-Details'!$B$2:$X$1048576,'Node Details'!E$1,0),"")</f>
        <v>Airtel</v>
      </c>
      <c r="F216" s="88" t="str">
        <f>_xlfn.IFNA(VLOOKUP($D216,'Route-Details'!$B$2:$X$1048576,'Node Details'!F$1,0),"")</f>
        <v>DARIA</v>
      </c>
      <c r="G216" s="88" t="str">
        <f>_xlfn.IFNA(VLOOKUP($D216,'Route-Details'!$B$2:$X$1048576,'Node Details'!G$1,0),"")</f>
        <v>Chandigarh</v>
      </c>
      <c r="H216" s="88" t="str">
        <f>_xlfn.IFNA(VLOOKUP($D217,'Route-Details'!$B$2:$X$1048576,'Node Details'!H$1,0),"")</f>
        <v>Punjab</v>
      </c>
      <c r="I216" s="88" t="str">
        <f>_xlfn.IFNA(VLOOKUP($D216,'Route-Details'!$B$2:$X$1048576,'Node Details'!I$1,0),"")</f>
        <v>AXW</v>
      </c>
      <c r="J216" s="88" t="str">
        <f>_xlfn.IFNA(VLOOKUP($D216,'Route-Details'!$B$2:$X$1048576,'Node Details'!J$1,0),"")</f>
        <v>AXW</v>
      </c>
      <c r="K216" s="76">
        <v>46112</v>
      </c>
      <c r="L216" s="76">
        <v>46114</v>
      </c>
      <c r="M216" s="89">
        <v>46147</v>
      </c>
      <c r="N216" s="76">
        <v>46114</v>
      </c>
      <c r="Q216" s="86" t="s">
        <v>958</v>
      </c>
      <c r="R216" s="90"/>
      <c r="S216" s="87"/>
      <c r="T216" s="87"/>
      <c r="U216" s="87"/>
      <c r="V216" s="93"/>
      <c r="W216" s="91"/>
      <c r="X216" s="87"/>
      <c r="Y216" s="92"/>
      <c r="Z216" s="90"/>
      <c r="AA216" s="93"/>
      <c r="AB216" s="87"/>
      <c r="AC216" s="91"/>
      <c r="AD216" s="90"/>
      <c r="AE216" s="86"/>
      <c r="AF216" s="82"/>
      <c r="AG216" s="24"/>
      <c r="AH216" s="93"/>
      <c r="AI216" s="87"/>
      <c r="AJ216" s="86"/>
      <c r="AK216" s="81"/>
      <c r="AL216" s="24"/>
      <c r="AM216" s="24"/>
      <c r="AN216" s="81"/>
      <c r="AO216" s="81"/>
      <c r="AP216" s="24"/>
      <c r="AQ216" s="93"/>
      <c r="AR216" s="94"/>
      <c r="AS216" s="82"/>
      <c r="AT216" s="82"/>
      <c r="AU216" s="24"/>
      <c r="AV216" s="93"/>
      <c r="AW216" s="94"/>
      <c r="AX216" s="95"/>
      <c r="AY216" s="95"/>
      <c r="AZ216" s="95"/>
      <c r="BA216" s="24"/>
      <c r="BB216" s="9" t="s">
        <v>192</v>
      </c>
      <c r="BC216" s="96" t="s">
        <v>93</v>
      </c>
    </row>
    <row r="217" spans="1:55" ht="15" customHeight="1">
      <c r="A217" s="86">
        <f t="shared" si="21"/>
        <v>215</v>
      </c>
      <c r="B217" s="75" t="s">
        <v>1065</v>
      </c>
      <c r="C217" s="9"/>
      <c r="D217" s="76" t="s">
        <v>418</v>
      </c>
      <c r="E217" s="88" t="str">
        <f>_xlfn.IFNA(VLOOKUP($D217,'Route-Details'!$B$2:$X$1048576,'Node Details'!E$1,0),"")</f>
        <v>Airtel</v>
      </c>
      <c r="F217" s="88" t="str">
        <f>_xlfn.IFNA(VLOOKUP($D217,'Route-Details'!$B$2:$X$1048576,'Node Details'!F$1,0),"")</f>
        <v>DARIA</v>
      </c>
      <c r="G217" s="88" t="str">
        <f>_xlfn.IFNA(VLOOKUP($D217,'Route-Details'!$B$2:$X$1048576,'Node Details'!G$1,0),"")</f>
        <v>Chandigarh</v>
      </c>
      <c r="H217" s="88" t="str">
        <f>_xlfn.IFNA(VLOOKUP($D218,'Route-Details'!$B$2:$X$1048576,'Node Details'!H$1,0),"")</f>
        <v>Punjab</v>
      </c>
      <c r="I217" s="88" t="str">
        <f>_xlfn.IFNA(VLOOKUP($D217,'Route-Details'!$B$2:$X$1048576,'Node Details'!I$1,0),"")</f>
        <v>AXW</v>
      </c>
      <c r="J217" s="88" t="str">
        <f>_xlfn.IFNA(VLOOKUP($D217,'Route-Details'!$B$2:$X$1048576,'Node Details'!J$1,0),"")</f>
        <v>AXW</v>
      </c>
      <c r="K217" s="76">
        <v>46112</v>
      </c>
      <c r="L217" s="76">
        <v>46114</v>
      </c>
      <c r="M217" s="89">
        <v>46147</v>
      </c>
      <c r="N217" s="76">
        <v>46114</v>
      </c>
      <c r="Q217" s="86" t="s">
        <v>958</v>
      </c>
      <c r="R217" s="90"/>
      <c r="S217" s="87"/>
      <c r="T217" s="87"/>
      <c r="U217" s="87"/>
      <c r="V217" s="93"/>
      <c r="W217" s="91"/>
      <c r="X217" s="87"/>
      <c r="Y217" s="92"/>
      <c r="Z217" s="90"/>
      <c r="AA217" s="93"/>
      <c r="AB217" s="87"/>
      <c r="AC217" s="91"/>
      <c r="AD217" s="90"/>
      <c r="AE217" s="86"/>
      <c r="AF217" s="82"/>
      <c r="AG217" s="24"/>
      <c r="AH217" s="93"/>
      <c r="AI217" s="87"/>
      <c r="AJ217" s="86"/>
      <c r="AK217" s="81"/>
      <c r="AL217" s="24"/>
      <c r="AM217" s="24"/>
      <c r="AN217" s="81"/>
      <c r="AO217" s="81"/>
      <c r="AP217" s="24"/>
      <c r="AQ217" s="93"/>
      <c r="AR217" s="94"/>
      <c r="AS217" s="82"/>
      <c r="AT217" s="82"/>
      <c r="AU217" s="24"/>
      <c r="AV217" s="93"/>
      <c r="AW217" s="94"/>
      <c r="AX217" s="95"/>
      <c r="AY217" s="95"/>
      <c r="AZ217" s="95"/>
      <c r="BA217" s="24"/>
      <c r="BB217" s="9" t="s">
        <v>195</v>
      </c>
      <c r="BC217" s="96" t="s">
        <v>93</v>
      </c>
    </row>
    <row r="218" spans="1:55" ht="15" customHeight="1">
      <c r="A218" s="86">
        <f t="shared" si="21"/>
        <v>216</v>
      </c>
      <c r="B218" s="75" t="s">
        <v>1066</v>
      </c>
      <c r="C218" s="9"/>
      <c r="D218" s="76" t="s">
        <v>418</v>
      </c>
      <c r="E218" s="88" t="str">
        <f>_xlfn.IFNA(VLOOKUP($D218,'Route-Details'!$B$2:$X$1048576,'Node Details'!E$1,0),"")</f>
        <v>Airtel</v>
      </c>
      <c r="F218" s="88" t="str">
        <f>_xlfn.IFNA(VLOOKUP($D218,'Route-Details'!$B$2:$X$1048576,'Node Details'!F$1,0),"")</f>
        <v>DARIA</v>
      </c>
      <c r="G218" s="88" t="str">
        <f>_xlfn.IFNA(VLOOKUP($D218,'Route-Details'!$B$2:$X$1048576,'Node Details'!G$1,0),"")</f>
        <v>Chandigarh</v>
      </c>
      <c r="H218" s="88" t="str">
        <f>_xlfn.IFNA(VLOOKUP($D219,'Route-Details'!$B$2:$X$1048576,'Node Details'!H$1,0),"")</f>
        <v>Punjab</v>
      </c>
      <c r="I218" s="88" t="str">
        <f>_xlfn.IFNA(VLOOKUP($D218,'Route-Details'!$B$2:$X$1048576,'Node Details'!I$1,0),"")</f>
        <v>AXW</v>
      </c>
      <c r="J218" s="88" t="str">
        <f>_xlfn.IFNA(VLOOKUP($D218,'Route-Details'!$B$2:$X$1048576,'Node Details'!J$1,0),"")</f>
        <v>AXW</v>
      </c>
      <c r="K218" s="76">
        <v>46112</v>
      </c>
      <c r="L218" s="76">
        <v>46114</v>
      </c>
      <c r="M218" s="89">
        <v>46147</v>
      </c>
      <c r="N218" s="76">
        <v>46114</v>
      </c>
      <c r="Q218" s="86" t="s">
        <v>958</v>
      </c>
      <c r="R218" s="90"/>
      <c r="S218" s="87"/>
      <c r="T218" s="87"/>
      <c r="U218" s="87"/>
      <c r="V218" s="93"/>
      <c r="W218" s="91"/>
      <c r="X218" s="87"/>
      <c r="Y218" s="92"/>
      <c r="Z218" s="90"/>
      <c r="AA218" s="93"/>
      <c r="AB218" s="87"/>
      <c r="AC218" s="91"/>
      <c r="AD218" s="90"/>
      <c r="AE218" s="86"/>
      <c r="AF218" s="82"/>
      <c r="AG218" s="24"/>
      <c r="AH218" s="93"/>
      <c r="AI218" s="87"/>
      <c r="AJ218" s="86"/>
      <c r="AK218" s="81"/>
      <c r="AL218" s="24"/>
      <c r="AM218" s="24"/>
      <c r="AN218" s="81"/>
      <c r="AO218" s="81"/>
      <c r="AP218" s="24"/>
      <c r="AQ218" s="93"/>
      <c r="AR218" s="94"/>
      <c r="AS218" s="82"/>
      <c r="AT218" s="82"/>
      <c r="AU218" s="24"/>
      <c r="AV218" s="93"/>
      <c r="AW218" s="94"/>
      <c r="AX218" s="95"/>
      <c r="AY218" s="95"/>
      <c r="AZ218" s="95"/>
      <c r="BA218" s="24"/>
      <c r="BB218" s="9" t="s">
        <v>195</v>
      </c>
      <c r="BC218" s="96" t="s">
        <v>93</v>
      </c>
    </row>
    <row r="219" spans="1:55" ht="15" customHeight="1">
      <c r="A219" s="86">
        <f t="shared" si="21"/>
        <v>217</v>
      </c>
      <c r="B219" s="75" t="s">
        <v>1067</v>
      </c>
      <c r="C219" s="9"/>
      <c r="D219" s="76" t="s">
        <v>418</v>
      </c>
      <c r="E219" s="88" t="str">
        <f>_xlfn.IFNA(VLOOKUP($D219,'Route-Details'!$B$2:$X$1048576,'Node Details'!E$1,0),"")</f>
        <v>Airtel</v>
      </c>
      <c r="F219" s="88" t="str">
        <f>_xlfn.IFNA(VLOOKUP($D219,'Route-Details'!$B$2:$X$1048576,'Node Details'!F$1,0),"")</f>
        <v>DARIA</v>
      </c>
      <c r="G219" s="88" t="str">
        <f>_xlfn.IFNA(VLOOKUP($D219,'Route-Details'!$B$2:$X$1048576,'Node Details'!G$1,0),"")</f>
        <v>Chandigarh</v>
      </c>
      <c r="H219" s="88" t="str">
        <f>_xlfn.IFNA(VLOOKUP($D220,'Route-Details'!$B$2:$X$1048576,'Node Details'!H$1,0),"")</f>
        <v>Punjab</v>
      </c>
      <c r="I219" s="88" t="str">
        <f>_xlfn.IFNA(VLOOKUP($D219,'Route-Details'!$B$2:$X$1048576,'Node Details'!I$1,0),"")</f>
        <v>AXW</v>
      </c>
      <c r="J219" s="88" t="str">
        <f>_xlfn.IFNA(VLOOKUP($D219,'Route-Details'!$B$2:$X$1048576,'Node Details'!J$1,0),"")</f>
        <v>AXW</v>
      </c>
      <c r="K219" s="76">
        <v>46112</v>
      </c>
      <c r="L219" s="76">
        <v>46114</v>
      </c>
      <c r="M219" s="89">
        <v>46147</v>
      </c>
      <c r="N219" s="76">
        <v>46114</v>
      </c>
      <c r="Q219" s="86" t="s">
        <v>958</v>
      </c>
      <c r="R219" s="90"/>
      <c r="S219" s="87"/>
      <c r="T219" s="87"/>
      <c r="U219" s="87"/>
      <c r="V219" s="93"/>
      <c r="W219" s="91"/>
      <c r="X219" s="87"/>
      <c r="Y219" s="92"/>
      <c r="Z219" s="90"/>
      <c r="AA219" s="93"/>
      <c r="AB219" s="87"/>
      <c r="AC219" s="91"/>
      <c r="AD219" s="90"/>
      <c r="AE219" s="86"/>
      <c r="AF219" s="82"/>
      <c r="AG219" s="24"/>
      <c r="AH219" s="93"/>
      <c r="AI219" s="87"/>
      <c r="AJ219" s="86"/>
      <c r="AK219" s="81"/>
      <c r="AL219" s="24"/>
      <c r="AM219" s="24"/>
      <c r="AN219" s="81"/>
      <c r="AO219" s="81"/>
      <c r="AP219" s="24"/>
      <c r="AQ219" s="93"/>
      <c r="AR219" s="94"/>
      <c r="AS219" s="82"/>
      <c r="AT219" s="82"/>
      <c r="AU219" s="24"/>
      <c r="AV219" s="93"/>
      <c r="AW219" s="94"/>
      <c r="AX219" s="95"/>
      <c r="AY219" s="95"/>
      <c r="AZ219" s="95"/>
      <c r="BA219" s="24"/>
      <c r="BB219" s="9" t="s">
        <v>195</v>
      </c>
      <c r="BC219" s="96" t="s">
        <v>93</v>
      </c>
    </row>
    <row r="220" spans="1:55" ht="15" customHeight="1">
      <c r="A220" s="86">
        <f t="shared" si="21"/>
        <v>218</v>
      </c>
      <c r="B220" s="75" t="s">
        <v>420</v>
      </c>
      <c r="C220" s="9"/>
      <c r="D220" s="76" t="s">
        <v>418</v>
      </c>
      <c r="E220" s="88" t="str">
        <f>_xlfn.IFNA(VLOOKUP($D220,'Route-Details'!$B$2:$X$1048576,'Node Details'!E$1,0),"")</f>
        <v>Airtel</v>
      </c>
      <c r="F220" s="88" t="str">
        <f>_xlfn.IFNA(VLOOKUP($D220,'Route-Details'!$B$2:$X$1048576,'Node Details'!F$1,0),"")</f>
        <v>DARIA</v>
      </c>
      <c r="G220" s="88" t="str">
        <f>_xlfn.IFNA(VLOOKUP($D220,'Route-Details'!$B$2:$X$1048576,'Node Details'!G$1,0),"")</f>
        <v>Chandigarh</v>
      </c>
      <c r="H220" s="88" t="str">
        <f>_xlfn.IFNA(VLOOKUP($D221,'Route-Details'!$B$2:$X$1048576,'Node Details'!H$1,0),"")</f>
        <v>Punjab</v>
      </c>
      <c r="I220" s="88" t="str">
        <f>_xlfn.IFNA(VLOOKUP($D220,'Route-Details'!$B$2:$X$1048576,'Node Details'!I$1,0),"")</f>
        <v>AXW</v>
      </c>
      <c r="J220" s="88" t="str">
        <f>_xlfn.IFNA(VLOOKUP($D220,'Route-Details'!$B$2:$X$1048576,'Node Details'!J$1,0),"")</f>
        <v>AXW</v>
      </c>
      <c r="K220" s="76">
        <v>46112</v>
      </c>
      <c r="L220" s="76">
        <v>46114</v>
      </c>
      <c r="M220" s="89">
        <v>46147</v>
      </c>
      <c r="N220" s="76">
        <v>46114</v>
      </c>
      <c r="Q220" s="86" t="s">
        <v>958</v>
      </c>
      <c r="R220" s="90"/>
      <c r="S220" s="87"/>
      <c r="T220" s="87"/>
      <c r="U220" s="87"/>
      <c r="V220" s="93"/>
      <c r="W220" s="91"/>
      <c r="X220" s="87"/>
      <c r="Y220" s="92"/>
      <c r="Z220" s="90"/>
      <c r="AA220" s="93"/>
      <c r="AB220" s="87"/>
      <c r="AC220" s="91"/>
      <c r="AD220" s="90"/>
      <c r="AE220" s="86"/>
      <c r="AF220" s="82"/>
      <c r="AG220" s="24"/>
      <c r="AH220" s="93"/>
      <c r="AI220" s="87"/>
      <c r="AJ220" s="86"/>
      <c r="AK220" s="81"/>
      <c r="AL220" s="24"/>
      <c r="AM220" s="24"/>
      <c r="AN220" s="81"/>
      <c r="AO220" s="81"/>
      <c r="AP220" s="24"/>
      <c r="AQ220" s="93"/>
      <c r="AR220" s="94"/>
      <c r="AS220" s="82"/>
      <c r="AT220" s="82"/>
      <c r="AU220" s="24"/>
      <c r="AV220" s="93"/>
      <c r="AW220" s="94"/>
      <c r="AX220" s="95"/>
      <c r="AY220" s="95"/>
      <c r="AZ220" s="95"/>
      <c r="BA220" s="24"/>
      <c r="BB220" s="9" t="s">
        <v>195</v>
      </c>
      <c r="BC220" s="96" t="s">
        <v>93</v>
      </c>
    </row>
    <row r="221" spans="1:55" ht="15" customHeight="1">
      <c r="A221" s="86">
        <f t="shared" si="21"/>
        <v>219</v>
      </c>
      <c r="B221" s="75" t="s">
        <v>422</v>
      </c>
      <c r="C221" s="9"/>
      <c r="D221" s="76" t="s">
        <v>421</v>
      </c>
      <c r="E221" s="88" t="str">
        <f>_xlfn.IFNA(VLOOKUP($D221,'Route-Details'!$B$2:$X$1048576,'Node Details'!E$1,0),"")</f>
        <v>Airtel</v>
      </c>
      <c r="F221" s="88" t="str">
        <f>_xlfn.IFNA(VLOOKUP($D221,'Route-Details'!$B$2:$X$1048576,'Node Details'!F$1,0),"")</f>
        <v>DARIA</v>
      </c>
      <c r="G221" s="88" t="str">
        <f>_xlfn.IFNA(VLOOKUP($D221,'Route-Details'!$B$2:$X$1048576,'Node Details'!G$1,0),"")</f>
        <v>Chandigarh</v>
      </c>
      <c r="H221" s="88" t="str">
        <f>_xlfn.IFNA(VLOOKUP($D222,'Route-Details'!$B$2:$X$1048576,'Node Details'!H$1,0),"")</f>
        <v>Punjab</v>
      </c>
      <c r="I221" s="88" t="str">
        <f>_xlfn.IFNA(VLOOKUP($D221,'Route-Details'!$B$2:$X$1048576,'Node Details'!I$1,0),"")</f>
        <v>AXW</v>
      </c>
      <c r="J221" s="88" t="str">
        <f>_xlfn.IFNA(VLOOKUP($D221,'Route-Details'!$B$2:$X$1048576,'Node Details'!J$1,0),"")</f>
        <v>AXW</v>
      </c>
      <c r="K221" s="76">
        <v>46112</v>
      </c>
      <c r="L221" s="76">
        <v>46114</v>
      </c>
      <c r="M221" s="89">
        <v>46147</v>
      </c>
      <c r="N221" s="76">
        <v>46114</v>
      </c>
      <c r="Q221" s="86" t="s">
        <v>958</v>
      </c>
      <c r="R221" s="90"/>
      <c r="S221" s="87"/>
      <c r="T221" s="87"/>
      <c r="U221" s="87"/>
      <c r="V221" s="93"/>
      <c r="W221" s="91"/>
      <c r="X221" s="87"/>
      <c r="Y221" s="92"/>
      <c r="Z221" s="90"/>
      <c r="AA221" s="93"/>
      <c r="AB221" s="87"/>
      <c r="AC221" s="91"/>
      <c r="AD221" s="90"/>
      <c r="AE221" s="86"/>
      <c r="AF221" s="82"/>
      <c r="AG221" s="24"/>
      <c r="AH221" s="93"/>
      <c r="AI221" s="87"/>
      <c r="AJ221" s="86"/>
      <c r="AK221" s="81"/>
      <c r="AL221" s="24"/>
      <c r="AM221" s="24"/>
      <c r="AN221" s="81"/>
      <c r="AO221" s="81"/>
      <c r="AP221" s="24"/>
      <c r="AQ221" s="93"/>
      <c r="AR221" s="94"/>
      <c r="AS221" s="82"/>
      <c r="AT221" s="82"/>
      <c r="AU221" s="24"/>
      <c r="AV221" s="93"/>
      <c r="AW221" s="94"/>
      <c r="AX221" s="95"/>
      <c r="AY221" s="95"/>
      <c r="AZ221" s="95"/>
      <c r="BA221" s="24"/>
      <c r="BB221" s="9" t="s">
        <v>199</v>
      </c>
      <c r="BC221" s="96" t="s">
        <v>93</v>
      </c>
    </row>
    <row r="222" spans="1:55" ht="15" customHeight="1">
      <c r="A222" s="86">
        <f t="shared" si="21"/>
        <v>220</v>
      </c>
      <c r="B222" s="75" t="s">
        <v>372</v>
      </c>
      <c r="C222" s="9"/>
      <c r="D222" s="76" t="s">
        <v>370</v>
      </c>
      <c r="E222" s="88" t="str">
        <f>_xlfn.IFNA(VLOOKUP($D222,'Route-Details'!$B$2:$X$1048576,'Node Details'!E$1,0),"")</f>
        <v>Airtel</v>
      </c>
      <c r="F222" s="88" t="str">
        <f>_xlfn.IFNA(VLOOKUP($D222,'Route-Details'!$B$2:$X$1048576,'Node Details'!F$1,0),"")</f>
        <v>DARIA</v>
      </c>
      <c r="G222" s="88" t="str">
        <f>_xlfn.IFNA(VLOOKUP($D222,'Route-Details'!$B$2:$X$1048576,'Node Details'!G$1,0),"")</f>
        <v>Chandigarh</v>
      </c>
      <c r="H222" s="88" t="str">
        <f>_xlfn.IFNA(VLOOKUP($D223,'Route-Details'!$B$2:$X$1048576,'Node Details'!H$1,0),"")</f>
        <v>Punjab</v>
      </c>
      <c r="I222" s="88" t="str">
        <f>_xlfn.IFNA(VLOOKUP($D222,'Route-Details'!$B$2:$X$1048576,'Node Details'!I$1,0),"")</f>
        <v>AXW</v>
      </c>
      <c r="J222" s="88" t="str">
        <f>_xlfn.IFNA(VLOOKUP($D222,'Route-Details'!$B$2:$X$1048576,'Node Details'!J$1,0),"")</f>
        <v>AXW</v>
      </c>
      <c r="K222" s="76">
        <v>46112</v>
      </c>
      <c r="L222" s="76">
        <v>46114</v>
      </c>
      <c r="M222" s="89">
        <v>46147</v>
      </c>
      <c r="N222" s="76">
        <v>46114</v>
      </c>
      <c r="Q222" s="86" t="s">
        <v>958</v>
      </c>
      <c r="R222" s="90"/>
      <c r="S222" s="87"/>
      <c r="T222" s="87"/>
      <c r="U222" s="87"/>
      <c r="V222" s="93"/>
      <c r="W222" s="91"/>
      <c r="X222" s="87"/>
      <c r="Y222" s="92"/>
      <c r="Z222" s="90"/>
      <c r="AA222" s="93"/>
      <c r="AB222" s="87"/>
      <c r="AC222" s="91"/>
      <c r="AD222" s="90"/>
      <c r="AE222" s="86"/>
      <c r="AF222" s="82"/>
      <c r="AG222" s="24"/>
      <c r="AH222" s="93"/>
      <c r="AI222" s="87"/>
      <c r="AJ222" s="86"/>
      <c r="AK222" s="81"/>
      <c r="AL222" s="24"/>
      <c r="AM222" s="24"/>
      <c r="AN222" s="81"/>
      <c r="AO222" s="81"/>
      <c r="AP222" s="24"/>
      <c r="AQ222" s="93"/>
      <c r="AR222" s="94"/>
      <c r="AS222" s="82"/>
      <c r="AT222" s="82"/>
      <c r="AU222" s="24"/>
      <c r="AV222" s="93"/>
      <c r="AW222" s="94"/>
      <c r="AX222" s="95"/>
      <c r="AY222" s="95"/>
      <c r="AZ222" s="95"/>
      <c r="BA222" s="24"/>
      <c r="BB222" s="9" t="s">
        <v>92</v>
      </c>
      <c r="BC222" s="96" t="s">
        <v>93</v>
      </c>
    </row>
    <row r="223" spans="1:55" ht="15" customHeight="1">
      <c r="A223" s="86">
        <f t="shared" si="21"/>
        <v>221</v>
      </c>
      <c r="B223" s="75" t="s">
        <v>424</v>
      </c>
      <c r="C223" s="9"/>
      <c r="D223" s="76" t="s">
        <v>423</v>
      </c>
      <c r="E223" s="88" t="str">
        <f>_xlfn.IFNA(VLOOKUP($D223,'Route-Details'!$B$2:$X$1048576,'Node Details'!E$1,0),"")</f>
        <v>Airtel</v>
      </c>
      <c r="F223" s="88" t="str">
        <f>_xlfn.IFNA(VLOOKUP($D223,'Route-Details'!$B$2:$X$1048576,'Node Details'!F$1,0),"")</f>
        <v>DARIA</v>
      </c>
      <c r="G223" s="88" t="str">
        <f>_xlfn.IFNA(VLOOKUP($D223,'Route-Details'!$B$2:$X$1048576,'Node Details'!G$1,0),"")</f>
        <v>Chandigarh</v>
      </c>
      <c r="H223" s="88" t="str">
        <f>_xlfn.IFNA(VLOOKUP($D224,'Route-Details'!$B$2:$X$1048576,'Node Details'!H$1,0),"")</f>
        <v>Punjab</v>
      </c>
      <c r="I223" s="88" t="str">
        <f>_xlfn.IFNA(VLOOKUP($D223,'Route-Details'!$B$2:$X$1048576,'Node Details'!I$1,0),"")</f>
        <v>AXW</v>
      </c>
      <c r="J223" s="88" t="str">
        <f>_xlfn.IFNA(VLOOKUP($D223,'Route-Details'!$B$2:$X$1048576,'Node Details'!J$1,0),"")</f>
        <v>AXW</v>
      </c>
      <c r="K223" s="76">
        <v>46112</v>
      </c>
      <c r="L223" s="76">
        <v>46114</v>
      </c>
      <c r="M223" s="89">
        <v>46147</v>
      </c>
      <c r="N223" s="76">
        <v>46114</v>
      </c>
      <c r="Q223" s="86" t="s">
        <v>958</v>
      </c>
      <c r="R223" s="90"/>
      <c r="S223" s="87"/>
      <c r="T223" s="87"/>
      <c r="U223" s="87"/>
      <c r="V223" s="93"/>
      <c r="W223" s="91"/>
      <c r="X223" s="87"/>
      <c r="Y223" s="92"/>
      <c r="Z223" s="90"/>
      <c r="AA223" s="93"/>
      <c r="AB223" s="87"/>
      <c r="AC223" s="91"/>
      <c r="AD223" s="90"/>
      <c r="AE223" s="86"/>
      <c r="AF223" s="82"/>
      <c r="AG223" s="24"/>
      <c r="AH223" s="93"/>
      <c r="AI223" s="87"/>
      <c r="AJ223" s="86"/>
      <c r="AK223" s="81"/>
      <c r="AL223" s="24"/>
      <c r="AM223" s="24"/>
      <c r="AN223" s="81"/>
      <c r="AO223" s="81"/>
      <c r="AP223" s="24"/>
      <c r="AQ223" s="93"/>
      <c r="AR223" s="94"/>
      <c r="AS223" s="82"/>
      <c r="AT223" s="82"/>
      <c r="AU223" s="24"/>
      <c r="AV223" s="93"/>
      <c r="AW223" s="94"/>
      <c r="AX223" s="95"/>
      <c r="AY223" s="95"/>
      <c r="AZ223" s="95"/>
      <c r="BA223" s="24"/>
      <c r="BB223" s="9" t="s">
        <v>202</v>
      </c>
      <c r="BC223" s="96" t="s">
        <v>93</v>
      </c>
    </row>
    <row r="224" spans="1:55" ht="15" customHeight="1">
      <c r="A224" s="86">
        <f t="shared" si="21"/>
        <v>222</v>
      </c>
      <c r="B224" s="75" t="s">
        <v>426</v>
      </c>
      <c r="C224" s="9"/>
      <c r="D224" s="76" t="s">
        <v>425</v>
      </c>
      <c r="E224" s="88" t="str">
        <f>_xlfn.IFNA(VLOOKUP($D224,'Route-Details'!$B$2:$X$1048576,'Node Details'!E$1,0),"")</f>
        <v>Airtel</v>
      </c>
      <c r="F224" s="88" t="str">
        <f>_xlfn.IFNA(VLOOKUP($D224,'Route-Details'!$B$2:$X$1048576,'Node Details'!F$1,0),"")</f>
        <v>DARIA</v>
      </c>
      <c r="G224" s="88" t="str">
        <f>_xlfn.IFNA(VLOOKUP($D224,'Route-Details'!$B$2:$X$1048576,'Node Details'!G$1,0),"")</f>
        <v>Chandigarh</v>
      </c>
      <c r="H224" s="88" t="str">
        <f>_xlfn.IFNA(VLOOKUP($D225,'Route-Details'!$B$2:$X$1048576,'Node Details'!H$1,0),"")</f>
        <v>Punjab</v>
      </c>
      <c r="I224" s="88" t="str">
        <f>_xlfn.IFNA(VLOOKUP($D224,'Route-Details'!$B$2:$X$1048576,'Node Details'!I$1,0),"")</f>
        <v>AXW</v>
      </c>
      <c r="J224" s="88" t="str">
        <f>_xlfn.IFNA(VLOOKUP($D224,'Route-Details'!$B$2:$X$1048576,'Node Details'!J$1,0),"")</f>
        <v>AXW</v>
      </c>
      <c r="K224" s="76">
        <v>46112</v>
      </c>
      <c r="L224" s="76">
        <v>46114</v>
      </c>
      <c r="M224" s="89">
        <v>46147</v>
      </c>
      <c r="N224" s="76">
        <v>46114</v>
      </c>
      <c r="Q224" s="86" t="s">
        <v>958</v>
      </c>
      <c r="R224" s="90"/>
      <c r="S224" s="87"/>
      <c r="T224" s="87"/>
      <c r="U224" s="87"/>
      <c r="V224" s="93"/>
      <c r="W224" s="91"/>
      <c r="X224" s="87"/>
      <c r="Y224" s="92"/>
      <c r="Z224" s="90"/>
      <c r="AA224" s="93"/>
      <c r="AB224" s="87"/>
      <c r="AC224" s="91"/>
      <c r="AD224" s="90"/>
      <c r="AE224" s="86"/>
      <c r="AF224" s="82"/>
      <c r="AG224" s="24"/>
      <c r="AH224" s="93"/>
      <c r="AI224" s="87"/>
      <c r="AJ224" s="86"/>
      <c r="AK224" s="81"/>
      <c r="AL224" s="24"/>
      <c r="AM224" s="24"/>
      <c r="AN224" s="81"/>
      <c r="AO224" s="81"/>
      <c r="AP224" s="24"/>
      <c r="AQ224" s="93"/>
      <c r="AR224" s="94"/>
      <c r="AS224" s="82"/>
      <c r="AT224" s="82"/>
      <c r="AU224" s="24"/>
      <c r="AV224" s="93"/>
      <c r="AW224" s="94"/>
      <c r="AX224" s="95"/>
      <c r="AY224" s="95"/>
      <c r="AZ224" s="95"/>
      <c r="BA224" s="24"/>
      <c r="BB224" s="9" t="s">
        <v>206</v>
      </c>
      <c r="BC224" s="96" t="s">
        <v>93</v>
      </c>
    </row>
    <row r="225" spans="1:55" ht="15" customHeight="1">
      <c r="A225" s="86">
        <f t="shared" si="21"/>
        <v>223</v>
      </c>
      <c r="B225" s="75" t="s">
        <v>428</v>
      </c>
      <c r="C225" s="9"/>
      <c r="D225" s="76" t="s">
        <v>427</v>
      </c>
      <c r="E225" s="88" t="str">
        <f>_xlfn.IFNA(VLOOKUP($D225,'Route-Details'!$B$2:$X$1048576,'Node Details'!E$1,0),"")</f>
        <v>Airtel</v>
      </c>
      <c r="F225" s="88" t="str">
        <f>_xlfn.IFNA(VLOOKUP($D225,'Route-Details'!$B$2:$X$1048576,'Node Details'!F$1,0),"")</f>
        <v>DARIA</v>
      </c>
      <c r="G225" s="88" t="str">
        <f>_xlfn.IFNA(VLOOKUP($D225,'Route-Details'!$B$2:$X$1048576,'Node Details'!G$1,0),"")</f>
        <v>Chandigarh</v>
      </c>
      <c r="H225" s="88" t="str">
        <f>_xlfn.IFNA(VLOOKUP($D226,'Route-Details'!$B$2:$X$1048576,'Node Details'!H$1,0),"")</f>
        <v>Punjab</v>
      </c>
      <c r="I225" s="88" t="str">
        <f>_xlfn.IFNA(VLOOKUP($D225,'Route-Details'!$B$2:$X$1048576,'Node Details'!I$1,0),"")</f>
        <v>AXW</v>
      </c>
      <c r="J225" s="88" t="str">
        <f>_xlfn.IFNA(VLOOKUP($D225,'Route-Details'!$B$2:$X$1048576,'Node Details'!J$1,0),"")</f>
        <v>AXW</v>
      </c>
      <c r="K225" s="76">
        <v>46112</v>
      </c>
      <c r="L225" s="76">
        <v>46114</v>
      </c>
      <c r="M225" s="89">
        <v>46147</v>
      </c>
      <c r="N225" s="76">
        <v>46114</v>
      </c>
      <c r="Q225" s="86" t="s">
        <v>958</v>
      </c>
      <c r="R225" s="90"/>
      <c r="S225" s="87"/>
      <c r="T225" s="87"/>
      <c r="U225" s="87"/>
      <c r="V225" s="93"/>
      <c r="W225" s="91"/>
      <c r="X225" s="87"/>
      <c r="Y225" s="92"/>
      <c r="Z225" s="90"/>
      <c r="AA225" s="93"/>
      <c r="AB225" s="87"/>
      <c r="AC225" s="91"/>
      <c r="AD225" s="90"/>
      <c r="AE225" s="86"/>
      <c r="AF225" s="82"/>
      <c r="AG225" s="24"/>
      <c r="AH225" s="93"/>
      <c r="AI225" s="87"/>
      <c r="AJ225" s="86"/>
      <c r="AK225" s="81"/>
      <c r="AL225" s="24"/>
      <c r="AM225" s="24"/>
      <c r="AN225" s="81"/>
      <c r="AO225" s="81"/>
      <c r="AP225" s="24"/>
      <c r="AQ225" s="93"/>
      <c r="AR225" s="94"/>
      <c r="AS225" s="82"/>
      <c r="AT225" s="82"/>
      <c r="AU225" s="24"/>
      <c r="AV225" s="93"/>
      <c r="AW225" s="94"/>
      <c r="AX225" s="95"/>
      <c r="AY225" s="95"/>
      <c r="AZ225" s="95"/>
      <c r="BA225" s="24"/>
      <c r="BB225" s="9" t="s">
        <v>210</v>
      </c>
      <c r="BC225" s="96" t="s">
        <v>93</v>
      </c>
    </row>
    <row r="226" spans="1:55" ht="15" customHeight="1">
      <c r="A226" s="86">
        <f t="shared" si="21"/>
        <v>224</v>
      </c>
      <c r="B226" s="75" t="s">
        <v>1068</v>
      </c>
      <c r="C226" s="9"/>
      <c r="D226" s="76" t="s">
        <v>429</v>
      </c>
      <c r="E226" s="88" t="str">
        <f>_xlfn.IFNA(VLOOKUP($D226,'Route-Details'!$B$2:$X$1048576,'Node Details'!E$1,0),"")</f>
        <v>Airtel</v>
      </c>
      <c r="F226" s="88" t="str">
        <f>_xlfn.IFNA(VLOOKUP($D226,'Route-Details'!$B$2:$X$1048576,'Node Details'!F$1,0),"")</f>
        <v>DARIA</v>
      </c>
      <c r="G226" s="88" t="str">
        <f>_xlfn.IFNA(VLOOKUP($D226,'Route-Details'!$B$2:$X$1048576,'Node Details'!G$1,0),"")</f>
        <v>Chandigarh</v>
      </c>
      <c r="H226" s="88" t="str">
        <f>_xlfn.IFNA(VLOOKUP($D227,'Route-Details'!$B$2:$X$1048576,'Node Details'!H$1,0),"")</f>
        <v>Punjab</v>
      </c>
      <c r="I226" s="88" t="str">
        <f>_xlfn.IFNA(VLOOKUP($D226,'Route-Details'!$B$2:$X$1048576,'Node Details'!I$1,0),"")</f>
        <v>AXW</v>
      </c>
      <c r="J226" s="88" t="str">
        <f>_xlfn.IFNA(VLOOKUP($D226,'Route-Details'!$B$2:$X$1048576,'Node Details'!J$1,0),"")</f>
        <v>AXW</v>
      </c>
      <c r="K226" s="76">
        <v>46112</v>
      </c>
      <c r="L226" s="76">
        <v>46114</v>
      </c>
      <c r="M226" s="89">
        <v>46147</v>
      </c>
      <c r="N226" s="76">
        <v>46114</v>
      </c>
      <c r="Q226" s="86" t="s">
        <v>958</v>
      </c>
      <c r="R226" s="90"/>
      <c r="S226" s="87"/>
      <c r="T226" s="87"/>
      <c r="U226" s="87"/>
      <c r="V226" s="93"/>
      <c r="W226" s="91"/>
      <c r="X226" s="87"/>
      <c r="Y226" s="92"/>
      <c r="Z226" s="90"/>
      <c r="AA226" s="93"/>
      <c r="AB226" s="87"/>
      <c r="AC226" s="91"/>
      <c r="AD226" s="90"/>
      <c r="AE226" s="86"/>
      <c r="AF226" s="82"/>
      <c r="AG226" s="24"/>
      <c r="AH226" s="93"/>
      <c r="AI226" s="87"/>
      <c r="AJ226" s="86"/>
      <c r="AK226" s="81"/>
      <c r="AL226" s="24"/>
      <c r="AM226" s="24"/>
      <c r="AN226" s="81"/>
      <c r="AO226" s="81"/>
      <c r="AP226" s="24"/>
      <c r="AQ226" s="93"/>
      <c r="AR226" s="94"/>
      <c r="AS226" s="82"/>
      <c r="AT226" s="82"/>
      <c r="AU226" s="24"/>
      <c r="AV226" s="93"/>
      <c r="AW226" s="94"/>
      <c r="AX226" s="95"/>
      <c r="AY226" s="95"/>
      <c r="AZ226" s="95"/>
      <c r="BA226" s="24"/>
      <c r="BB226" s="9" t="s">
        <v>213</v>
      </c>
      <c r="BC226" s="96" t="s">
        <v>93</v>
      </c>
    </row>
    <row r="227" spans="1:55" ht="15" customHeight="1">
      <c r="A227" s="86">
        <f t="shared" si="21"/>
        <v>225</v>
      </c>
      <c r="B227" s="75" t="s">
        <v>1069</v>
      </c>
      <c r="C227" s="9"/>
      <c r="D227" s="76" t="s">
        <v>429</v>
      </c>
      <c r="E227" s="88" t="str">
        <f>_xlfn.IFNA(VLOOKUP($D227,'Route-Details'!$B$2:$X$1048576,'Node Details'!E$1,0),"")</f>
        <v>Airtel</v>
      </c>
      <c r="F227" s="88" t="str">
        <f>_xlfn.IFNA(VLOOKUP($D227,'Route-Details'!$B$2:$X$1048576,'Node Details'!F$1,0),"")</f>
        <v>DARIA</v>
      </c>
      <c r="G227" s="88" t="str">
        <f>_xlfn.IFNA(VLOOKUP($D227,'Route-Details'!$B$2:$X$1048576,'Node Details'!G$1,0),"")</f>
        <v>Chandigarh</v>
      </c>
      <c r="H227" s="88" t="str">
        <f>_xlfn.IFNA(VLOOKUP($D228,'Route-Details'!$B$2:$X$1048576,'Node Details'!H$1,0),"")</f>
        <v>Punjab</v>
      </c>
      <c r="I227" s="88" t="str">
        <f>_xlfn.IFNA(VLOOKUP($D227,'Route-Details'!$B$2:$X$1048576,'Node Details'!I$1,0),"")</f>
        <v>AXW</v>
      </c>
      <c r="J227" s="88" t="str">
        <f>_xlfn.IFNA(VLOOKUP($D227,'Route-Details'!$B$2:$X$1048576,'Node Details'!J$1,0),"")</f>
        <v>AXW</v>
      </c>
      <c r="K227" s="76">
        <v>46112</v>
      </c>
      <c r="L227" s="76">
        <v>46114</v>
      </c>
      <c r="M227" s="89">
        <v>46147</v>
      </c>
      <c r="N227" s="76">
        <v>46114</v>
      </c>
      <c r="Q227" s="86" t="s">
        <v>958</v>
      </c>
      <c r="R227" s="90"/>
      <c r="S227" s="87"/>
      <c r="T227" s="87"/>
      <c r="U227" s="87"/>
      <c r="V227" s="93"/>
      <c r="W227" s="91"/>
      <c r="X227" s="87"/>
      <c r="Y227" s="92"/>
      <c r="Z227" s="90"/>
      <c r="AA227" s="93"/>
      <c r="AB227" s="87"/>
      <c r="AC227" s="91"/>
      <c r="AD227" s="90"/>
      <c r="AE227" s="86"/>
      <c r="AF227" s="82"/>
      <c r="AG227" s="24"/>
      <c r="AH227" s="93"/>
      <c r="AI227" s="87"/>
      <c r="AJ227" s="86"/>
      <c r="AK227" s="81"/>
      <c r="AL227" s="24"/>
      <c r="AM227" s="24"/>
      <c r="AN227" s="81"/>
      <c r="AO227" s="81"/>
      <c r="AP227" s="24"/>
      <c r="AQ227" s="93"/>
      <c r="AR227" s="94"/>
      <c r="AS227" s="82"/>
      <c r="AT227" s="82"/>
      <c r="AU227" s="24"/>
      <c r="AV227" s="93"/>
      <c r="AW227" s="94"/>
      <c r="AX227" s="95"/>
      <c r="AY227" s="95"/>
      <c r="AZ227" s="95"/>
      <c r="BA227" s="24"/>
      <c r="BB227" s="9" t="s">
        <v>213</v>
      </c>
      <c r="BC227" s="96" t="s">
        <v>93</v>
      </c>
    </row>
    <row r="228" spans="1:55" ht="15" customHeight="1">
      <c r="A228" s="86">
        <f t="shared" si="21"/>
        <v>226</v>
      </c>
      <c r="B228" s="75" t="s">
        <v>1070</v>
      </c>
      <c r="C228" s="9"/>
      <c r="D228" s="76" t="s">
        <v>429</v>
      </c>
      <c r="E228" s="88" t="str">
        <f>_xlfn.IFNA(VLOOKUP($D228,'Route-Details'!$B$2:$X$1048576,'Node Details'!E$1,0),"")</f>
        <v>Airtel</v>
      </c>
      <c r="F228" s="88" t="str">
        <f>_xlfn.IFNA(VLOOKUP($D228,'Route-Details'!$B$2:$X$1048576,'Node Details'!F$1,0),"")</f>
        <v>DARIA</v>
      </c>
      <c r="G228" s="88" t="str">
        <f>_xlfn.IFNA(VLOOKUP($D228,'Route-Details'!$B$2:$X$1048576,'Node Details'!G$1,0),"")</f>
        <v>Chandigarh</v>
      </c>
      <c r="H228" s="88" t="str">
        <f>_xlfn.IFNA(VLOOKUP($D229,'Route-Details'!$B$2:$X$1048576,'Node Details'!H$1,0),"")</f>
        <v>Punjab</v>
      </c>
      <c r="I228" s="88" t="str">
        <f>_xlfn.IFNA(VLOOKUP($D228,'Route-Details'!$B$2:$X$1048576,'Node Details'!I$1,0),"")</f>
        <v>AXW</v>
      </c>
      <c r="J228" s="88" t="str">
        <f>_xlfn.IFNA(VLOOKUP($D228,'Route-Details'!$B$2:$X$1048576,'Node Details'!J$1,0),"")</f>
        <v>AXW</v>
      </c>
      <c r="K228" s="76">
        <v>46112</v>
      </c>
      <c r="L228" s="76">
        <v>46114</v>
      </c>
      <c r="M228" s="89">
        <v>46147</v>
      </c>
      <c r="N228" s="76">
        <v>46114</v>
      </c>
      <c r="Q228" s="86" t="s">
        <v>958</v>
      </c>
      <c r="R228" s="90"/>
      <c r="S228" s="87"/>
      <c r="T228" s="87"/>
      <c r="U228" s="87"/>
      <c r="V228" s="93"/>
      <c r="W228" s="91"/>
      <c r="X228" s="87"/>
      <c r="Y228" s="92"/>
      <c r="Z228" s="90"/>
      <c r="AA228" s="93"/>
      <c r="AB228" s="87"/>
      <c r="AC228" s="91"/>
      <c r="AD228" s="90"/>
      <c r="AE228" s="86"/>
      <c r="AF228" s="82"/>
      <c r="AG228" s="24"/>
      <c r="AH228" s="93"/>
      <c r="AI228" s="87"/>
      <c r="AJ228" s="86"/>
      <c r="AK228" s="81"/>
      <c r="AL228" s="24"/>
      <c r="AM228" s="24"/>
      <c r="AN228" s="81"/>
      <c r="AO228" s="81"/>
      <c r="AP228" s="24"/>
      <c r="AQ228" s="93"/>
      <c r="AR228" s="94"/>
      <c r="AS228" s="82"/>
      <c r="AT228" s="82"/>
      <c r="AU228" s="24"/>
      <c r="AV228" s="93"/>
      <c r="AW228" s="94"/>
      <c r="AX228" s="95"/>
      <c r="AY228" s="95"/>
      <c r="AZ228" s="95"/>
      <c r="BA228" s="24"/>
      <c r="BB228" s="9" t="s">
        <v>213</v>
      </c>
      <c r="BC228" s="96" t="s">
        <v>93</v>
      </c>
    </row>
    <row r="229" spans="1:55" ht="15" customHeight="1">
      <c r="A229" s="86">
        <f t="shared" si="21"/>
        <v>227</v>
      </c>
      <c r="B229" s="75" t="s">
        <v>1071</v>
      </c>
      <c r="C229" s="9"/>
      <c r="D229" s="76" t="s">
        <v>429</v>
      </c>
      <c r="E229" s="88" t="str">
        <f>_xlfn.IFNA(VLOOKUP($D229,'Route-Details'!$B$2:$X$1048576,'Node Details'!E$1,0),"")</f>
        <v>Airtel</v>
      </c>
      <c r="F229" s="88" t="str">
        <f>_xlfn.IFNA(VLOOKUP($D229,'Route-Details'!$B$2:$X$1048576,'Node Details'!F$1,0),"")</f>
        <v>DARIA</v>
      </c>
      <c r="G229" s="88" t="str">
        <f>_xlfn.IFNA(VLOOKUP($D229,'Route-Details'!$B$2:$X$1048576,'Node Details'!G$1,0),"")</f>
        <v>Chandigarh</v>
      </c>
      <c r="H229" s="88" t="str">
        <f>_xlfn.IFNA(VLOOKUP($D230,'Route-Details'!$B$2:$X$1048576,'Node Details'!H$1,0),"")</f>
        <v>Punjab</v>
      </c>
      <c r="I229" s="88" t="str">
        <f>_xlfn.IFNA(VLOOKUP($D229,'Route-Details'!$B$2:$X$1048576,'Node Details'!I$1,0),"")</f>
        <v>AXW</v>
      </c>
      <c r="J229" s="88" t="str">
        <f>_xlfn.IFNA(VLOOKUP($D229,'Route-Details'!$B$2:$X$1048576,'Node Details'!J$1,0),"")</f>
        <v>AXW</v>
      </c>
      <c r="K229" s="76">
        <v>46112</v>
      </c>
      <c r="L229" s="76">
        <v>46114</v>
      </c>
      <c r="M229" s="89">
        <v>46147</v>
      </c>
      <c r="N229" s="76">
        <v>46114</v>
      </c>
      <c r="Q229" s="86" t="s">
        <v>958</v>
      </c>
      <c r="R229" s="90"/>
      <c r="S229" s="87"/>
      <c r="T229" s="87"/>
      <c r="U229" s="87"/>
      <c r="V229" s="93"/>
      <c r="W229" s="91"/>
      <c r="X229" s="87"/>
      <c r="Y229" s="92"/>
      <c r="Z229" s="90"/>
      <c r="AA229" s="93"/>
      <c r="AB229" s="87"/>
      <c r="AC229" s="91"/>
      <c r="AD229" s="90"/>
      <c r="AE229" s="86"/>
      <c r="AF229" s="82"/>
      <c r="AG229" s="24"/>
      <c r="AH229" s="93"/>
      <c r="AI229" s="87"/>
      <c r="AJ229" s="86"/>
      <c r="AK229" s="81"/>
      <c r="AL229" s="24"/>
      <c r="AM229" s="24"/>
      <c r="AN229" s="81"/>
      <c r="AO229" s="81"/>
      <c r="AP229" s="24"/>
      <c r="AQ229" s="93"/>
      <c r="AR229" s="94"/>
      <c r="AS229" s="82"/>
      <c r="AT229" s="82"/>
      <c r="AU229" s="24"/>
      <c r="AV229" s="93"/>
      <c r="AW229" s="94"/>
      <c r="AX229" s="95"/>
      <c r="AY229" s="95"/>
      <c r="AZ229" s="95"/>
      <c r="BA229" s="24"/>
      <c r="BB229" s="9" t="s">
        <v>213</v>
      </c>
      <c r="BC229" s="96" t="s">
        <v>93</v>
      </c>
    </row>
    <row r="230" spans="1:55" ht="15" customHeight="1">
      <c r="A230" s="86">
        <f t="shared" si="21"/>
        <v>228</v>
      </c>
      <c r="B230" s="75" t="s">
        <v>1072</v>
      </c>
      <c r="C230" s="9"/>
      <c r="D230" s="76" t="s">
        <v>429</v>
      </c>
      <c r="E230" s="88" t="str">
        <f>_xlfn.IFNA(VLOOKUP($D230,'Route-Details'!$B$2:$X$1048576,'Node Details'!E$1,0),"")</f>
        <v>Airtel</v>
      </c>
      <c r="F230" s="88" t="str">
        <f>_xlfn.IFNA(VLOOKUP($D230,'Route-Details'!$B$2:$X$1048576,'Node Details'!F$1,0),"")</f>
        <v>DARIA</v>
      </c>
      <c r="G230" s="88" t="str">
        <f>_xlfn.IFNA(VLOOKUP($D230,'Route-Details'!$B$2:$X$1048576,'Node Details'!G$1,0),"")</f>
        <v>Chandigarh</v>
      </c>
      <c r="H230" s="88" t="str">
        <f>_xlfn.IFNA(VLOOKUP($D231,'Route-Details'!$B$2:$X$1048576,'Node Details'!H$1,0),"")</f>
        <v>Punjab</v>
      </c>
      <c r="I230" s="88" t="str">
        <f>_xlfn.IFNA(VLOOKUP($D230,'Route-Details'!$B$2:$X$1048576,'Node Details'!I$1,0),"")</f>
        <v>AXW</v>
      </c>
      <c r="J230" s="88" t="str">
        <f>_xlfn.IFNA(VLOOKUP($D230,'Route-Details'!$B$2:$X$1048576,'Node Details'!J$1,0),"")</f>
        <v>AXW</v>
      </c>
      <c r="K230" s="76">
        <v>46112</v>
      </c>
      <c r="L230" s="76">
        <v>46114</v>
      </c>
      <c r="M230" s="89">
        <v>46147</v>
      </c>
      <c r="N230" s="76">
        <v>46114</v>
      </c>
      <c r="Q230" s="86" t="s">
        <v>958</v>
      </c>
      <c r="R230" s="90"/>
      <c r="S230" s="87"/>
      <c r="T230" s="87"/>
      <c r="U230" s="87"/>
      <c r="V230" s="93"/>
      <c r="W230" s="91"/>
      <c r="X230" s="87"/>
      <c r="Y230" s="92"/>
      <c r="Z230" s="90"/>
      <c r="AA230" s="93"/>
      <c r="AB230" s="87"/>
      <c r="AC230" s="91"/>
      <c r="AD230" s="90"/>
      <c r="AE230" s="86"/>
      <c r="AF230" s="82"/>
      <c r="AG230" s="24"/>
      <c r="AH230" s="93"/>
      <c r="AI230" s="87"/>
      <c r="AJ230" s="86"/>
      <c r="AK230" s="81"/>
      <c r="AL230" s="24"/>
      <c r="AM230" s="24"/>
      <c r="AN230" s="81"/>
      <c r="AO230" s="81"/>
      <c r="AP230" s="24"/>
      <c r="AQ230" s="93"/>
      <c r="AR230" s="94"/>
      <c r="AS230" s="82"/>
      <c r="AT230" s="82"/>
      <c r="AU230" s="24"/>
      <c r="AV230" s="93"/>
      <c r="AW230" s="94"/>
      <c r="AX230" s="95"/>
      <c r="AY230" s="95"/>
      <c r="AZ230" s="95"/>
      <c r="BA230" s="24"/>
      <c r="BB230" s="9" t="s">
        <v>213</v>
      </c>
      <c r="BC230" s="96" t="s">
        <v>93</v>
      </c>
    </row>
    <row r="231" spans="1:55" ht="15" customHeight="1">
      <c r="A231" s="86">
        <f t="shared" si="21"/>
        <v>229</v>
      </c>
      <c r="B231" s="75" t="s">
        <v>430</v>
      </c>
      <c r="C231" s="9"/>
      <c r="D231" s="76" t="s">
        <v>429</v>
      </c>
      <c r="E231" s="88" t="str">
        <f>_xlfn.IFNA(VLOOKUP($D231,'Route-Details'!$B$2:$X$1048576,'Node Details'!E$1,0),"")</f>
        <v>Airtel</v>
      </c>
      <c r="F231" s="88" t="str">
        <f>_xlfn.IFNA(VLOOKUP($D231,'Route-Details'!$B$2:$X$1048576,'Node Details'!F$1,0),"")</f>
        <v>DARIA</v>
      </c>
      <c r="G231" s="88" t="str">
        <f>_xlfn.IFNA(VLOOKUP($D231,'Route-Details'!$B$2:$X$1048576,'Node Details'!G$1,0),"")</f>
        <v>Chandigarh</v>
      </c>
      <c r="H231" s="88" t="str">
        <f>_xlfn.IFNA(VLOOKUP($D232,'Route-Details'!$B$2:$X$1048576,'Node Details'!H$1,0),"")</f>
        <v>Punjab</v>
      </c>
      <c r="I231" s="88" t="str">
        <f>_xlfn.IFNA(VLOOKUP($D231,'Route-Details'!$B$2:$X$1048576,'Node Details'!I$1,0),"")</f>
        <v>AXW</v>
      </c>
      <c r="J231" s="88" t="str">
        <f>_xlfn.IFNA(VLOOKUP($D231,'Route-Details'!$B$2:$X$1048576,'Node Details'!J$1,0),"")</f>
        <v>AXW</v>
      </c>
      <c r="K231" s="76">
        <v>46112</v>
      </c>
      <c r="L231" s="76">
        <v>46114</v>
      </c>
      <c r="M231" s="89">
        <v>46147</v>
      </c>
      <c r="N231" s="76">
        <v>46114</v>
      </c>
      <c r="Q231" s="86" t="s">
        <v>958</v>
      </c>
      <c r="R231" s="90"/>
      <c r="S231" s="87"/>
      <c r="T231" s="87"/>
      <c r="U231" s="87"/>
      <c r="V231" s="93"/>
      <c r="W231" s="91"/>
      <c r="X231" s="87"/>
      <c r="Y231" s="92"/>
      <c r="Z231" s="90"/>
      <c r="AA231" s="93"/>
      <c r="AB231" s="87"/>
      <c r="AC231" s="91"/>
      <c r="AD231" s="90"/>
      <c r="AE231" s="86"/>
      <c r="AF231" s="82"/>
      <c r="AG231" s="24"/>
      <c r="AH231" s="93"/>
      <c r="AI231" s="87"/>
      <c r="AJ231" s="86"/>
      <c r="AK231" s="81"/>
      <c r="AL231" s="24"/>
      <c r="AM231" s="24"/>
      <c r="AN231" s="81"/>
      <c r="AO231" s="81"/>
      <c r="AP231" s="24"/>
      <c r="AQ231" s="93"/>
      <c r="AR231" s="94"/>
      <c r="AS231" s="82"/>
      <c r="AT231" s="82"/>
      <c r="AU231" s="24"/>
      <c r="AV231" s="93"/>
      <c r="AW231" s="94"/>
      <c r="AX231" s="95"/>
      <c r="AY231" s="95"/>
      <c r="AZ231" s="95"/>
      <c r="BA231" s="24"/>
      <c r="BB231" s="9" t="s">
        <v>213</v>
      </c>
      <c r="BC231" s="96" t="s">
        <v>93</v>
      </c>
    </row>
    <row r="232" spans="1:55" ht="15" customHeight="1">
      <c r="A232" s="86">
        <f t="shared" si="21"/>
        <v>230</v>
      </c>
      <c r="B232" s="75" t="s">
        <v>432</v>
      </c>
      <c r="C232" s="9"/>
      <c r="D232" s="76" t="s">
        <v>375</v>
      </c>
      <c r="E232" s="88" t="str">
        <f>_xlfn.IFNA(VLOOKUP($D232,'Route-Details'!$B$2:$X$1048576,'Node Details'!E$1,0),"")</f>
        <v>Airtel</v>
      </c>
      <c r="F232" s="88" t="str">
        <f>_xlfn.IFNA(VLOOKUP($D232,'Route-Details'!$B$2:$X$1048576,'Node Details'!F$1,0),"")</f>
        <v>DARIA</v>
      </c>
      <c r="G232" s="88" t="str">
        <f>_xlfn.IFNA(VLOOKUP($D232,'Route-Details'!$B$2:$X$1048576,'Node Details'!G$1,0),"")</f>
        <v>Chandigarh</v>
      </c>
      <c r="H232" s="88" t="str">
        <f>_xlfn.IFNA(VLOOKUP($D233,'Route-Details'!$B$2:$X$1048576,'Node Details'!H$1,0),"")</f>
        <v>Punjab</v>
      </c>
      <c r="I232" s="88" t="str">
        <f>_xlfn.IFNA(VLOOKUP($D232,'Route-Details'!$B$2:$X$1048576,'Node Details'!I$1,0),"")</f>
        <v>AXW</v>
      </c>
      <c r="J232" s="88" t="str">
        <f>_xlfn.IFNA(VLOOKUP($D232,'Route-Details'!$B$2:$X$1048576,'Node Details'!J$1,0),"")</f>
        <v>AXW</v>
      </c>
      <c r="K232" s="76">
        <v>46112</v>
      </c>
      <c r="L232" s="76">
        <v>46114</v>
      </c>
      <c r="M232" s="89">
        <v>46147</v>
      </c>
      <c r="N232" s="76">
        <v>46114</v>
      </c>
      <c r="Q232" s="86" t="s">
        <v>958</v>
      </c>
      <c r="R232" s="90"/>
      <c r="S232" s="87"/>
      <c r="T232" s="87"/>
      <c r="U232" s="87"/>
      <c r="V232" s="93"/>
      <c r="W232" s="91"/>
      <c r="X232" s="87"/>
      <c r="Y232" s="92"/>
      <c r="Z232" s="90"/>
      <c r="AA232" s="93"/>
      <c r="AB232" s="87"/>
      <c r="AC232" s="91"/>
      <c r="AD232" s="90"/>
      <c r="AE232" s="86"/>
      <c r="AF232" s="82"/>
      <c r="AG232" s="24"/>
      <c r="AH232" s="93"/>
      <c r="AI232" s="87"/>
      <c r="AJ232" s="86"/>
      <c r="AK232" s="81"/>
      <c r="AL232" s="24"/>
      <c r="AM232" s="24"/>
      <c r="AN232" s="81"/>
      <c r="AO232" s="81"/>
      <c r="AP232" s="24"/>
      <c r="AQ232" s="93"/>
      <c r="AR232" s="94"/>
      <c r="AS232" s="82"/>
      <c r="AT232" s="82"/>
      <c r="AU232" s="24"/>
      <c r="AV232" s="93"/>
      <c r="AW232" s="94"/>
      <c r="AX232" s="95"/>
      <c r="AY232" s="95"/>
      <c r="AZ232" s="95"/>
      <c r="BA232" s="24"/>
      <c r="BB232" s="9" t="s">
        <v>96</v>
      </c>
      <c r="BC232" s="96" t="s">
        <v>93</v>
      </c>
    </row>
    <row r="233" spans="1:55" ht="15" customHeight="1">
      <c r="A233" s="86">
        <f t="shared" si="21"/>
        <v>231</v>
      </c>
      <c r="B233" s="75" t="s">
        <v>433</v>
      </c>
      <c r="C233" s="9"/>
      <c r="D233" s="76" t="s">
        <v>431</v>
      </c>
      <c r="E233" s="88" t="str">
        <f>_xlfn.IFNA(VLOOKUP($D233,'Route-Details'!$B$2:$X$1048576,'Node Details'!E$1,0),"")</f>
        <v>Airtel</v>
      </c>
      <c r="F233" s="88" t="str">
        <f>_xlfn.IFNA(VLOOKUP($D233,'Route-Details'!$B$2:$X$1048576,'Node Details'!F$1,0),"")</f>
        <v>DARIA</v>
      </c>
      <c r="G233" s="88" t="str">
        <f>_xlfn.IFNA(VLOOKUP($D233,'Route-Details'!$B$2:$X$1048576,'Node Details'!G$1,0),"")</f>
        <v>Chandigarh</v>
      </c>
      <c r="H233" s="88" t="str">
        <f>_xlfn.IFNA(VLOOKUP($D234,'Route-Details'!$B$2:$X$1048576,'Node Details'!H$1,0),"")</f>
        <v>Punjab</v>
      </c>
      <c r="I233" s="88" t="str">
        <f>_xlfn.IFNA(VLOOKUP($D233,'Route-Details'!$B$2:$X$1048576,'Node Details'!I$1,0),"")</f>
        <v>AXW</v>
      </c>
      <c r="J233" s="88" t="str">
        <f>_xlfn.IFNA(VLOOKUP($D233,'Route-Details'!$B$2:$X$1048576,'Node Details'!J$1,0),"")</f>
        <v>AXW</v>
      </c>
      <c r="K233" s="76">
        <v>46112</v>
      </c>
      <c r="L233" s="76">
        <v>46114</v>
      </c>
      <c r="M233" s="89">
        <v>46147</v>
      </c>
      <c r="N233" s="76">
        <v>46114</v>
      </c>
      <c r="Q233" s="86" t="s">
        <v>958</v>
      </c>
      <c r="R233" s="90"/>
      <c r="S233" s="87"/>
      <c r="T233" s="87"/>
      <c r="U233" s="87"/>
      <c r="V233" s="93"/>
      <c r="W233" s="91"/>
      <c r="X233" s="87"/>
      <c r="Y233" s="92"/>
      <c r="Z233" s="90"/>
      <c r="AA233" s="93"/>
      <c r="AB233" s="87"/>
      <c r="AC233" s="91"/>
      <c r="AD233" s="90"/>
      <c r="AE233" s="86"/>
      <c r="AF233" s="82"/>
      <c r="AG233" s="24"/>
      <c r="AH233" s="93"/>
      <c r="AI233" s="87"/>
      <c r="AJ233" s="86"/>
      <c r="AK233" s="81"/>
      <c r="AL233" s="24"/>
      <c r="AM233" s="24"/>
      <c r="AN233" s="81"/>
      <c r="AO233" s="81"/>
      <c r="AP233" s="24"/>
      <c r="AQ233" s="93"/>
      <c r="AR233" s="94"/>
      <c r="AS233" s="82"/>
      <c r="AT233" s="82"/>
      <c r="AU233" s="24"/>
      <c r="AV233" s="93"/>
      <c r="AW233" s="94"/>
      <c r="AX233" s="95"/>
      <c r="AY233" s="95"/>
      <c r="AZ233" s="95"/>
      <c r="BA233" s="24"/>
      <c r="BB233" s="9" t="s">
        <v>216</v>
      </c>
      <c r="BC233" s="96" t="s">
        <v>93</v>
      </c>
    </row>
    <row r="234" spans="1:55" ht="15" customHeight="1">
      <c r="A234" s="86">
        <f t="shared" si="21"/>
        <v>232</v>
      </c>
      <c r="B234" s="75" t="s">
        <v>1073</v>
      </c>
      <c r="C234" s="9"/>
      <c r="D234" s="76" t="s">
        <v>434</v>
      </c>
      <c r="E234" s="88" t="str">
        <f>_xlfn.IFNA(VLOOKUP($D234,'Route-Details'!$B$2:$X$1048576,'Node Details'!E$1,0),"")</f>
        <v>Airtel</v>
      </c>
      <c r="F234" s="88" t="str">
        <f>_xlfn.IFNA(VLOOKUP($D234,'Route-Details'!$B$2:$X$1048576,'Node Details'!F$1,0),"")</f>
        <v>DARIA</v>
      </c>
      <c r="G234" s="88" t="str">
        <f>_xlfn.IFNA(VLOOKUP($D234,'Route-Details'!$B$2:$X$1048576,'Node Details'!G$1,0),"")</f>
        <v>Chandigarh</v>
      </c>
      <c r="H234" s="88" t="str">
        <f>_xlfn.IFNA(VLOOKUP($D235,'Route-Details'!$B$2:$X$1048576,'Node Details'!H$1,0),"")</f>
        <v>Punjab</v>
      </c>
      <c r="I234" s="88" t="str">
        <f>_xlfn.IFNA(VLOOKUP($D234,'Route-Details'!$B$2:$X$1048576,'Node Details'!I$1,0),"")</f>
        <v>AXW</v>
      </c>
      <c r="J234" s="88" t="str">
        <f>_xlfn.IFNA(VLOOKUP($D234,'Route-Details'!$B$2:$X$1048576,'Node Details'!J$1,0),"")</f>
        <v>AXW</v>
      </c>
      <c r="K234" s="76">
        <v>46112</v>
      </c>
      <c r="L234" s="76">
        <v>46114</v>
      </c>
      <c r="M234" s="89">
        <v>46147</v>
      </c>
      <c r="N234" s="76">
        <v>46114</v>
      </c>
      <c r="Q234" s="86" t="s">
        <v>958</v>
      </c>
      <c r="R234" s="90"/>
      <c r="S234" s="87"/>
      <c r="T234" s="87"/>
      <c r="U234" s="87"/>
      <c r="V234" s="93"/>
      <c r="W234" s="91"/>
      <c r="X234" s="87"/>
      <c r="Y234" s="92"/>
      <c r="Z234" s="90"/>
      <c r="AA234" s="93"/>
      <c r="AB234" s="87"/>
      <c r="AC234" s="91"/>
      <c r="AD234" s="90"/>
      <c r="AE234" s="86"/>
      <c r="AF234" s="82"/>
      <c r="AG234" s="24"/>
      <c r="AH234" s="93"/>
      <c r="AI234" s="87"/>
      <c r="AJ234" s="86"/>
      <c r="AK234" s="81"/>
      <c r="AL234" s="24"/>
      <c r="AM234" s="24"/>
      <c r="AN234" s="81"/>
      <c r="AO234" s="81"/>
      <c r="AP234" s="24"/>
      <c r="AQ234" s="93"/>
      <c r="AR234" s="94"/>
      <c r="AS234" s="82"/>
      <c r="AT234" s="82"/>
      <c r="AU234" s="24"/>
      <c r="AV234" s="93"/>
      <c r="AW234" s="94"/>
      <c r="AX234" s="95"/>
      <c r="AY234" s="95"/>
      <c r="AZ234" s="95"/>
      <c r="BA234" s="24"/>
      <c r="BB234" s="9" t="s">
        <v>220</v>
      </c>
      <c r="BC234" s="96" t="s">
        <v>93</v>
      </c>
    </row>
    <row r="235" spans="1:55" ht="15" customHeight="1">
      <c r="A235" s="86">
        <f t="shared" si="21"/>
        <v>233</v>
      </c>
      <c r="B235" s="75" t="s">
        <v>435</v>
      </c>
      <c r="C235" s="9"/>
      <c r="D235" s="76" t="s">
        <v>434</v>
      </c>
      <c r="E235" s="88" t="str">
        <f>_xlfn.IFNA(VLOOKUP($D235,'Route-Details'!$B$2:$X$1048576,'Node Details'!E$1,0),"")</f>
        <v>Airtel</v>
      </c>
      <c r="F235" s="88" t="str">
        <f>_xlfn.IFNA(VLOOKUP($D235,'Route-Details'!$B$2:$X$1048576,'Node Details'!F$1,0),"")</f>
        <v>DARIA</v>
      </c>
      <c r="G235" s="88" t="str">
        <f>_xlfn.IFNA(VLOOKUP($D235,'Route-Details'!$B$2:$X$1048576,'Node Details'!G$1,0),"")</f>
        <v>Chandigarh</v>
      </c>
      <c r="H235" s="88" t="str">
        <f>_xlfn.IFNA(VLOOKUP($D236,'Route-Details'!$B$2:$X$1048576,'Node Details'!H$1,0),"")</f>
        <v>Punjab</v>
      </c>
      <c r="I235" s="88" t="str">
        <f>_xlfn.IFNA(VLOOKUP($D235,'Route-Details'!$B$2:$X$1048576,'Node Details'!I$1,0),"")</f>
        <v>AXW</v>
      </c>
      <c r="J235" s="88" t="str">
        <f>_xlfn.IFNA(VLOOKUP($D235,'Route-Details'!$B$2:$X$1048576,'Node Details'!J$1,0),"")</f>
        <v>AXW</v>
      </c>
      <c r="K235" s="76">
        <v>46112</v>
      </c>
      <c r="L235" s="76">
        <v>46114</v>
      </c>
      <c r="M235" s="89">
        <v>46147</v>
      </c>
      <c r="N235" s="76">
        <v>46114</v>
      </c>
      <c r="Q235" s="86" t="s">
        <v>958</v>
      </c>
      <c r="R235" s="90"/>
      <c r="S235" s="87"/>
      <c r="T235" s="87"/>
      <c r="U235" s="87"/>
      <c r="V235" s="93"/>
      <c r="W235" s="91"/>
      <c r="X235" s="87"/>
      <c r="Y235" s="92"/>
      <c r="Z235" s="90"/>
      <c r="AA235" s="93"/>
      <c r="AB235" s="87"/>
      <c r="AC235" s="91"/>
      <c r="AD235" s="90"/>
      <c r="AE235" s="86"/>
      <c r="AF235" s="82"/>
      <c r="AG235" s="24"/>
      <c r="AH235" s="93"/>
      <c r="AI235" s="87"/>
      <c r="AJ235" s="86"/>
      <c r="AK235" s="81"/>
      <c r="AL235" s="24"/>
      <c r="AM235" s="24"/>
      <c r="AN235" s="81"/>
      <c r="AO235" s="81"/>
      <c r="AP235" s="24"/>
      <c r="AQ235" s="93"/>
      <c r="AR235" s="94"/>
      <c r="AS235" s="82"/>
      <c r="AT235" s="82"/>
      <c r="AU235" s="24"/>
      <c r="AV235" s="93"/>
      <c r="AW235" s="94"/>
      <c r="AX235" s="95"/>
      <c r="AY235" s="95"/>
      <c r="AZ235" s="95"/>
      <c r="BA235" s="24"/>
      <c r="BB235" s="9" t="s">
        <v>220</v>
      </c>
      <c r="BC235" s="96" t="s">
        <v>93</v>
      </c>
    </row>
    <row r="236" spans="1:55" ht="15" customHeight="1">
      <c r="A236" s="86">
        <f t="shared" si="21"/>
        <v>234</v>
      </c>
      <c r="B236" s="75" t="s">
        <v>1074</v>
      </c>
      <c r="C236" s="9"/>
      <c r="D236" s="76" t="s">
        <v>436</v>
      </c>
      <c r="E236" s="88" t="str">
        <f>_xlfn.IFNA(VLOOKUP($D236,'Route-Details'!$B$2:$X$1048576,'Node Details'!E$1,0),"")</f>
        <v>Airtel</v>
      </c>
      <c r="F236" s="88" t="str">
        <f>_xlfn.IFNA(VLOOKUP($D236,'Route-Details'!$B$2:$X$1048576,'Node Details'!F$1,0),"")</f>
        <v>DARIA</v>
      </c>
      <c r="G236" s="88" t="str">
        <f>_xlfn.IFNA(VLOOKUP($D236,'Route-Details'!$B$2:$X$1048576,'Node Details'!G$1,0),"")</f>
        <v>Chandigarh</v>
      </c>
      <c r="H236" s="88" t="str">
        <f>_xlfn.IFNA(VLOOKUP($D237,'Route-Details'!$B$2:$X$1048576,'Node Details'!H$1,0),"")</f>
        <v>Punjab</v>
      </c>
      <c r="I236" s="88" t="str">
        <f>_xlfn.IFNA(VLOOKUP($D236,'Route-Details'!$B$2:$X$1048576,'Node Details'!I$1,0),"")</f>
        <v>AXW</v>
      </c>
      <c r="J236" s="88" t="str">
        <f>_xlfn.IFNA(VLOOKUP($D236,'Route-Details'!$B$2:$X$1048576,'Node Details'!J$1,0),"")</f>
        <v>AXW</v>
      </c>
      <c r="K236" s="76">
        <v>46112</v>
      </c>
      <c r="L236" s="76">
        <v>46114</v>
      </c>
      <c r="M236" s="89">
        <v>46147</v>
      </c>
      <c r="N236" s="76">
        <v>46114</v>
      </c>
      <c r="Q236" s="86" t="s">
        <v>958</v>
      </c>
      <c r="R236" s="90"/>
      <c r="S236" s="87"/>
      <c r="T236" s="87"/>
      <c r="U236" s="87"/>
      <c r="V236" s="93"/>
      <c r="W236" s="91"/>
      <c r="X236" s="87"/>
      <c r="Y236" s="92"/>
      <c r="Z236" s="90"/>
      <c r="AA236" s="93"/>
      <c r="AB236" s="87"/>
      <c r="AC236" s="91"/>
      <c r="AD236" s="90"/>
      <c r="AE236" s="86"/>
      <c r="AF236" s="82"/>
      <c r="AG236" s="24"/>
      <c r="AH236" s="93"/>
      <c r="AI236" s="87"/>
      <c r="AJ236" s="86"/>
      <c r="AK236" s="81"/>
      <c r="AL236" s="24"/>
      <c r="AM236" s="24"/>
      <c r="AN236" s="81"/>
      <c r="AO236" s="81"/>
      <c r="AP236" s="24"/>
      <c r="AQ236" s="93"/>
      <c r="AR236" s="94"/>
      <c r="AS236" s="82"/>
      <c r="AT236" s="82"/>
      <c r="AU236" s="24"/>
      <c r="AV236" s="93"/>
      <c r="AW236" s="94"/>
      <c r="AX236" s="95"/>
      <c r="AY236" s="95"/>
      <c r="AZ236" s="95"/>
      <c r="BA236" s="24"/>
      <c r="BB236" s="9" t="s">
        <v>223</v>
      </c>
      <c r="BC236" s="96" t="s">
        <v>93</v>
      </c>
    </row>
    <row r="237" spans="1:55" ht="15" customHeight="1">
      <c r="A237" s="86">
        <f t="shared" si="21"/>
        <v>235</v>
      </c>
      <c r="B237" s="75" t="s">
        <v>1075</v>
      </c>
      <c r="C237" s="9"/>
      <c r="D237" s="76" t="s">
        <v>436</v>
      </c>
      <c r="E237" s="88" t="str">
        <f>_xlfn.IFNA(VLOOKUP($D237,'Route-Details'!$B$2:$X$1048576,'Node Details'!E$1,0),"")</f>
        <v>Airtel</v>
      </c>
      <c r="F237" s="88" t="str">
        <f>_xlfn.IFNA(VLOOKUP($D237,'Route-Details'!$B$2:$X$1048576,'Node Details'!F$1,0),"")</f>
        <v>DARIA</v>
      </c>
      <c r="G237" s="88" t="str">
        <f>_xlfn.IFNA(VLOOKUP($D237,'Route-Details'!$B$2:$X$1048576,'Node Details'!G$1,0),"")</f>
        <v>Chandigarh</v>
      </c>
      <c r="H237" s="88" t="str">
        <f>_xlfn.IFNA(VLOOKUP($D238,'Route-Details'!$B$2:$X$1048576,'Node Details'!H$1,0),"")</f>
        <v>Punjab</v>
      </c>
      <c r="I237" s="88" t="str">
        <f>_xlfn.IFNA(VLOOKUP($D237,'Route-Details'!$B$2:$X$1048576,'Node Details'!I$1,0),"")</f>
        <v>AXW</v>
      </c>
      <c r="J237" s="88" t="str">
        <f>_xlfn.IFNA(VLOOKUP($D237,'Route-Details'!$B$2:$X$1048576,'Node Details'!J$1,0),"")</f>
        <v>AXW</v>
      </c>
      <c r="K237" s="76">
        <v>46112</v>
      </c>
      <c r="L237" s="76">
        <v>46114</v>
      </c>
      <c r="M237" s="89">
        <v>46147</v>
      </c>
      <c r="N237" s="76">
        <v>46114</v>
      </c>
      <c r="Q237" s="86" t="s">
        <v>958</v>
      </c>
      <c r="R237" s="90"/>
      <c r="S237" s="87"/>
      <c r="T237" s="87"/>
      <c r="U237" s="87"/>
      <c r="V237" s="93"/>
      <c r="W237" s="91"/>
      <c r="X237" s="87"/>
      <c r="Y237" s="92"/>
      <c r="Z237" s="90"/>
      <c r="AA237" s="93"/>
      <c r="AB237" s="87"/>
      <c r="AC237" s="91"/>
      <c r="AD237" s="90"/>
      <c r="AE237" s="86"/>
      <c r="AF237" s="82"/>
      <c r="AG237" s="24"/>
      <c r="AH237" s="93"/>
      <c r="AI237" s="87"/>
      <c r="AJ237" s="86"/>
      <c r="AK237" s="81"/>
      <c r="AL237" s="24"/>
      <c r="AM237" s="24"/>
      <c r="AN237" s="81"/>
      <c r="AO237" s="81"/>
      <c r="AP237" s="24"/>
      <c r="AQ237" s="93"/>
      <c r="AR237" s="94"/>
      <c r="AS237" s="82"/>
      <c r="AT237" s="82"/>
      <c r="AU237" s="24"/>
      <c r="AV237" s="93"/>
      <c r="AW237" s="94"/>
      <c r="AX237" s="95"/>
      <c r="AY237" s="95"/>
      <c r="AZ237" s="95"/>
      <c r="BA237" s="24"/>
      <c r="BB237" s="9" t="s">
        <v>223</v>
      </c>
      <c r="BC237" s="96" t="s">
        <v>93</v>
      </c>
    </row>
    <row r="238" spans="1:55" ht="15" customHeight="1">
      <c r="A238" s="86">
        <f t="shared" si="21"/>
        <v>236</v>
      </c>
      <c r="B238" s="75" t="s">
        <v>1076</v>
      </c>
      <c r="C238" s="9"/>
      <c r="D238" s="76" t="s">
        <v>436</v>
      </c>
      <c r="E238" s="88" t="str">
        <f>_xlfn.IFNA(VLOOKUP($D238,'Route-Details'!$B$2:$X$1048576,'Node Details'!E$1,0),"")</f>
        <v>Airtel</v>
      </c>
      <c r="F238" s="88" t="str">
        <f>_xlfn.IFNA(VLOOKUP($D238,'Route-Details'!$B$2:$X$1048576,'Node Details'!F$1,0),"")</f>
        <v>DARIA</v>
      </c>
      <c r="G238" s="88" t="str">
        <f>_xlfn.IFNA(VLOOKUP($D238,'Route-Details'!$B$2:$X$1048576,'Node Details'!G$1,0),"")</f>
        <v>Chandigarh</v>
      </c>
      <c r="H238" s="88" t="str">
        <f>_xlfn.IFNA(VLOOKUP($D239,'Route-Details'!$B$2:$X$1048576,'Node Details'!H$1,0),"")</f>
        <v>Punjab</v>
      </c>
      <c r="I238" s="88" t="str">
        <f>_xlfn.IFNA(VLOOKUP($D238,'Route-Details'!$B$2:$X$1048576,'Node Details'!I$1,0),"")</f>
        <v>AXW</v>
      </c>
      <c r="J238" s="88" t="str">
        <f>_xlfn.IFNA(VLOOKUP($D238,'Route-Details'!$B$2:$X$1048576,'Node Details'!J$1,0),"")</f>
        <v>AXW</v>
      </c>
      <c r="K238" s="76">
        <v>46112</v>
      </c>
      <c r="L238" s="76">
        <v>46114</v>
      </c>
      <c r="M238" s="89">
        <v>46147</v>
      </c>
      <c r="N238" s="76">
        <v>46114</v>
      </c>
      <c r="Q238" s="86" t="s">
        <v>958</v>
      </c>
      <c r="R238" s="90"/>
      <c r="S238" s="87"/>
      <c r="T238" s="87"/>
      <c r="U238" s="87"/>
      <c r="V238" s="93"/>
      <c r="W238" s="91"/>
      <c r="X238" s="87"/>
      <c r="Y238" s="92"/>
      <c r="Z238" s="90"/>
      <c r="AA238" s="93"/>
      <c r="AB238" s="87"/>
      <c r="AC238" s="91"/>
      <c r="AD238" s="90"/>
      <c r="AE238" s="86"/>
      <c r="AF238" s="82"/>
      <c r="AG238" s="24"/>
      <c r="AH238" s="93"/>
      <c r="AI238" s="87"/>
      <c r="AJ238" s="86"/>
      <c r="AK238" s="81"/>
      <c r="AL238" s="24"/>
      <c r="AM238" s="24"/>
      <c r="AN238" s="81"/>
      <c r="AO238" s="81"/>
      <c r="AP238" s="24"/>
      <c r="AQ238" s="93"/>
      <c r="AR238" s="94"/>
      <c r="AS238" s="82"/>
      <c r="AT238" s="82"/>
      <c r="AU238" s="24"/>
      <c r="AV238" s="93"/>
      <c r="AW238" s="94"/>
      <c r="AX238" s="95"/>
      <c r="AY238" s="95"/>
      <c r="AZ238" s="95"/>
      <c r="BA238" s="24"/>
      <c r="BB238" s="9" t="s">
        <v>223</v>
      </c>
      <c r="BC238" s="96" t="s">
        <v>93</v>
      </c>
    </row>
    <row r="239" spans="1:55" ht="15" customHeight="1">
      <c r="A239" s="86">
        <f t="shared" si="21"/>
        <v>237</v>
      </c>
      <c r="B239" s="75" t="s">
        <v>437</v>
      </c>
      <c r="C239" s="9"/>
      <c r="D239" s="76" t="s">
        <v>436</v>
      </c>
      <c r="E239" s="88" t="str">
        <f>_xlfn.IFNA(VLOOKUP($D239,'Route-Details'!$B$2:$X$1048576,'Node Details'!E$1,0),"")</f>
        <v>Airtel</v>
      </c>
      <c r="F239" s="88" t="str">
        <f>_xlfn.IFNA(VLOOKUP($D239,'Route-Details'!$B$2:$X$1048576,'Node Details'!F$1,0),"")</f>
        <v>DARIA</v>
      </c>
      <c r="G239" s="88" t="str">
        <f>_xlfn.IFNA(VLOOKUP($D239,'Route-Details'!$B$2:$X$1048576,'Node Details'!G$1,0),"")</f>
        <v>Chandigarh</v>
      </c>
      <c r="H239" s="88" t="str">
        <f>_xlfn.IFNA(VLOOKUP($D240,'Route-Details'!$B$2:$X$1048576,'Node Details'!H$1,0),"")</f>
        <v>Punjab</v>
      </c>
      <c r="I239" s="88" t="str">
        <f>_xlfn.IFNA(VLOOKUP($D239,'Route-Details'!$B$2:$X$1048576,'Node Details'!I$1,0),"")</f>
        <v>AXW</v>
      </c>
      <c r="J239" s="88" t="str">
        <f>_xlfn.IFNA(VLOOKUP($D239,'Route-Details'!$B$2:$X$1048576,'Node Details'!J$1,0),"")</f>
        <v>AXW</v>
      </c>
      <c r="K239" s="76">
        <v>46112</v>
      </c>
      <c r="L239" s="76">
        <v>46114</v>
      </c>
      <c r="M239" s="89">
        <v>46147</v>
      </c>
      <c r="N239" s="76">
        <v>46114</v>
      </c>
      <c r="Q239" s="86" t="s">
        <v>958</v>
      </c>
      <c r="R239" s="90"/>
      <c r="S239" s="87"/>
      <c r="T239" s="87"/>
      <c r="U239" s="87"/>
      <c r="V239" s="93"/>
      <c r="W239" s="91"/>
      <c r="X239" s="87"/>
      <c r="Y239" s="92"/>
      <c r="Z239" s="90"/>
      <c r="AA239" s="93"/>
      <c r="AB239" s="87"/>
      <c r="AC239" s="91"/>
      <c r="AD239" s="90"/>
      <c r="AE239" s="86"/>
      <c r="AF239" s="82"/>
      <c r="AG239" s="24"/>
      <c r="AH239" s="93"/>
      <c r="AI239" s="87"/>
      <c r="AJ239" s="86"/>
      <c r="AK239" s="81"/>
      <c r="AL239" s="24"/>
      <c r="AM239" s="24"/>
      <c r="AN239" s="81"/>
      <c r="AO239" s="81"/>
      <c r="AP239" s="24"/>
      <c r="AQ239" s="93"/>
      <c r="AR239" s="94"/>
      <c r="AS239" s="82"/>
      <c r="AT239" s="82"/>
      <c r="AU239" s="24"/>
      <c r="AV239" s="93"/>
      <c r="AW239" s="94"/>
      <c r="AX239" s="95"/>
      <c r="AY239" s="95"/>
      <c r="AZ239" s="95"/>
      <c r="BA239" s="24"/>
      <c r="BB239" s="9" t="s">
        <v>223</v>
      </c>
      <c r="BC239" s="96" t="s">
        <v>93</v>
      </c>
    </row>
    <row r="240" spans="1:55" ht="15" customHeight="1">
      <c r="A240" s="86">
        <f t="shared" si="21"/>
        <v>238</v>
      </c>
      <c r="B240" s="75" t="s">
        <v>377</v>
      </c>
      <c r="C240" s="9"/>
      <c r="D240" s="76" t="s">
        <v>375</v>
      </c>
      <c r="E240" s="88" t="str">
        <f>_xlfn.IFNA(VLOOKUP($D240,'Route-Details'!$B$2:$X$1048576,'Node Details'!E$1,0),"")</f>
        <v>Airtel</v>
      </c>
      <c r="F240" s="88" t="str">
        <f>_xlfn.IFNA(VLOOKUP($D240,'Route-Details'!$B$2:$X$1048576,'Node Details'!F$1,0),"")</f>
        <v>DARIA</v>
      </c>
      <c r="G240" s="88" t="str">
        <f>_xlfn.IFNA(VLOOKUP($D240,'Route-Details'!$B$2:$X$1048576,'Node Details'!G$1,0),"")</f>
        <v>Chandigarh</v>
      </c>
      <c r="H240" s="88" t="str">
        <f>_xlfn.IFNA(VLOOKUP($D241,'Route-Details'!$B$2:$X$1048576,'Node Details'!H$1,0),"")</f>
        <v>Punjab</v>
      </c>
      <c r="I240" s="88" t="str">
        <f>_xlfn.IFNA(VLOOKUP($D240,'Route-Details'!$B$2:$X$1048576,'Node Details'!I$1,0),"")</f>
        <v>AXW</v>
      </c>
      <c r="J240" s="88" t="str">
        <f>_xlfn.IFNA(VLOOKUP($D240,'Route-Details'!$B$2:$X$1048576,'Node Details'!J$1,0),"")</f>
        <v>AXW</v>
      </c>
      <c r="K240" s="76">
        <v>46112</v>
      </c>
      <c r="L240" s="76">
        <v>46114</v>
      </c>
      <c r="M240" s="89">
        <v>46147</v>
      </c>
      <c r="N240" s="76">
        <v>46114</v>
      </c>
      <c r="Q240" s="86" t="s">
        <v>958</v>
      </c>
      <c r="R240" s="90"/>
      <c r="S240" s="87"/>
      <c r="T240" s="87"/>
      <c r="U240" s="87"/>
      <c r="V240" s="93"/>
      <c r="W240" s="91"/>
      <c r="X240" s="87"/>
      <c r="Y240" s="92"/>
      <c r="Z240" s="90"/>
      <c r="AA240" s="93"/>
      <c r="AB240" s="87"/>
      <c r="AC240" s="91"/>
      <c r="AD240" s="90"/>
      <c r="AE240" s="86"/>
      <c r="AF240" s="82"/>
      <c r="AG240" s="24"/>
      <c r="AH240" s="93"/>
      <c r="AI240" s="87"/>
      <c r="AJ240" s="86"/>
      <c r="AK240" s="81"/>
      <c r="AL240" s="24"/>
      <c r="AM240" s="24"/>
      <c r="AN240" s="81"/>
      <c r="AO240" s="81"/>
      <c r="AP240" s="24"/>
      <c r="AQ240" s="93"/>
      <c r="AR240" s="94"/>
      <c r="AS240" s="82"/>
      <c r="AT240" s="82"/>
      <c r="AU240" s="24"/>
      <c r="AV240" s="93"/>
      <c r="AW240" s="94"/>
      <c r="AX240" s="95"/>
      <c r="AY240" s="95"/>
      <c r="AZ240" s="95"/>
      <c r="BA240" s="24"/>
      <c r="BB240" s="9" t="s">
        <v>96</v>
      </c>
      <c r="BC240" s="96" t="s">
        <v>93</v>
      </c>
    </row>
    <row r="241" spans="1:55" ht="15" customHeight="1">
      <c r="A241" s="86">
        <f t="shared" si="21"/>
        <v>239</v>
      </c>
      <c r="B241" s="75" t="s">
        <v>439</v>
      </c>
      <c r="C241" s="9"/>
      <c r="D241" s="76" t="s">
        <v>438</v>
      </c>
      <c r="E241" s="88" t="str">
        <f>_xlfn.IFNA(VLOOKUP($D241,'Route-Details'!$B$2:$X$1048576,'Node Details'!E$1,0),"")</f>
        <v>Airtel</v>
      </c>
      <c r="F241" s="88" t="str">
        <f>_xlfn.IFNA(VLOOKUP($D241,'Route-Details'!$B$2:$X$1048576,'Node Details'!F$1,0),"")</f>
        <v>DARIA</v>
      </c>
      <c r="G241" s="88" t="str">
        <f>_xlfn.IFNA(VLOOKUP($D241,'Route-Details'!$B$2:$X$1048576,'Node Details'!G$1,0),"")</f>
        <v>Chandigarh</v>
      </c>
      <c r="H241" s="88" t="str">
        <f>_xlfn.IFNA(VLOOKUP($D242,'Route-Details'!$B$2:$X$1048576,'Node Details'!H$1,0),"")</f>
        <v>Punjab</v>
      </c>
      <c r="I241" s="88" t="str">
        <f>_xlfn.IFNA(VLOOKUP($D241,'Route-Details'!$B$2:$X$1048576,'Node Details'!I$1,0),"")</f>
        <v>AXW</v>
      </c>
      <c r="J241" s="88" t="str">
        <f>_xlfn.IFNA(VLOOKUP($D241,'Route-Details'!$B$2:$X$1048576,'Node Details'!J$1,0),"")</f>
        <v>AXW</v>
      </c>
      <c r="K241" s="76">
        <v>46112</v>
      </c>
      <c r="L241" s="76">
        <v>46114</v>
      </c>
      <c r="M241" s="89">
        <v>46147</v>
      </c>
      <c r="N241" s="76">
        <v>46114</v>
      </c>
      <c r="Q241" s="86" t="s">
        <v>958</v>
      </c>
      <c r="R241" s="90"/>
      <c r="S241" s="87"/>
      <c r="T241" s="87"/>
      <c r="U241" s="87"/>
      <c r="V241" s="93"/>
      <c r="W241" s="91"/>
      <c r="X241" s="87"/>
      <c r="Y241" s="92"/>
      <c r="Z241" s="90"/>
      <c r="AA241" s="93"/>
      <c r="AB241" s="87"/>
      <c r="AC241" s="91"/>
      <c r="AD241" s="90"/>
      <c r="AE241" s="86"/>
      <c r="AF241" s="82"/>
      <c r="AG241" s="24"/>
      <c r="AH241" s="93"/>
      <c r="AI241" s="87"/>
      <c r="AJ241" s="86"/>
      <c r="AK241" s="81"/>
      <c r="AL241" s="24"/>
      <c r="AM241" s="24"/>
      <c r="AN241" s="81"/>
      <c r="AO241" s="81"/>
      <c r="AP241" s="24"/>
      <c r="AQ241" s="93"/>
      <c r="AR241" s="94"/>
      <c r="AS241" s="82"/>
      <c r="AT241" s="82"/>
      <c r="AU241" s="24"/>
      <c r="AV241" s="93"/>
      <c r="AW241" s="94"/>
      <c r="AX241" s="95"/>
      <c r="AY241" s="95"/>
      <c r="AZ241" s="95"/>
      <c r="BA241" s="24"/>
      <c r="BB241" s="9" t="s">
        <v>227</v>
      </c>
      <c r="BC241" s="96" t="s">
        <v>93</v>
      </c>
    </row>
    <row r="242" spans="1:55" ht="15" customHeight="1">
      <c r="A242" s="86">
        <f t="shared" si="21"/>
        <v>240</v>
      </c>
      <c r="B242" s="75" t="s">
        <v>1077</v>
      </c>
      <c r="C242" s="9"/>
      <c r="D242" s="76" t="s">
        <v>440</v>
      </c>
      <c r="E242" s="88" t="str">
        <f>_xlfn.IFNA(VLOOKUP($D242,'Route-Details'!$B$2:$X$1048576,'Node Details'!E$1,0),"")</f>
        <v>Airtel</v>
      </c>
      <c r="F242" s="88" t="str">
        <f>_xlfn.IFNA(VLOOKUP($D242,'Route-Details'!$B$2:$X$1048576,'Node Details'!F$1,0),"")</f>
        <v>DARIA</v>
      </c>
      <c r="G242" s="88" t="str">
        <f>_xlfn.IFNA(VLOOKUP($D242,'Route-Details'!$B$2:$X$1048576,'Node Details'!G$1,0),"")</f>
        <v>Chandigarh</v>
      </c>
      <c r="H242" s="88" t="str">
        <f>_xlfn.IFNA(VLOOKUP($D243,'Route-Details'!$B$2:$X$1048576,'Node Details'!H$1,0),"")</f>
        <v>Punjab</v>
      </c>
      <c r="I242" s="88" t="str">
        <f>_xlfn.IFNA(VLOOKUP($D242,'Route-Details'!$B$2:$X$1048576,'Node Details'!I$1,0),"")</f>
        <v>AXW</v>
      </c>
      <c r="J242" s="88" t="str">
        <f>_xlfn.IFNA(VLOOKUP($D242,'Route-Details'!$B$2:$X$1048576,'Node Details'!J$1,0),"")</f>
        <v>AXW</v>
      </c>
      <c r="K242" s="76">
        <v>46112</v>
      </c>
      <c r="L242" s="76">
        <v>46114</v>
      </c>
      <c r="M242" s="89">
        <v>46147</v>
      </c>
      <c r="N242" s="76">
        <v>46114</v>
      </c>
      <c r="Q242" s="86" t="s">
        <v>958</v>
      </c>
      <c r="R242" s="90"/>
      <c r="S242" s="87"/>
      <c r="T242" s="87"/>
      <c r="U242" s="87"/>
      <c r="V242" s="93"/>
      <c r="W242" s="91"/>
      <c r="X242" s="87"/>
      <c r="Y242" s="92"/>
      <c r="Z242" s="90"/>
      <c r="AA242" s="93"/>
      <c r="AB242" s="87"/>
      <c r="AC242" s="91"/>
      <c r="AD242" s="90"/>
      <c r="AE242" s="86"/>
      <c r="AF242" s="82"/>
      <c r="AG242" s="24"/>
      <c r="AH242" s="93"/>
      <c r="AI242" s="87"/>
      <c r="AJ242" s="86"/>
      <c r="AK242" s="81"/>
      <c r="AL242" s="24"/>
      <c r="AM242" s="24"/>
      <c r="AN242" s="81"/>
      <c r="AO242" s="81"/>
      <c r="AP242" s="24"/>
      <c r="AQ242" s="93"/>
      <c r="AR242" s="94"/>
      <c r="AS242" s="82"/>
      <c r="AT242" s="82"/>
      <c r="AU242" s="24"/>
      <c r="AV242" s="93"/>
      <c r="AW242" s="94"/>
      <c r="AX242" s="95"/>
      <c r="AY242" s="95"/>
      <c r="AZ242" s="95"/>
      <c r="BA242" s="24"/>
      <c r="BB242" s="9" t="s">
        <v>231</v>
      </c>
      <c r="BC242" s="96" t="s">
        <v>93</v>
      </c>
    </row>
    <row r="243" spans="1:55" ht="15" customHeight="1">
      <c r="A243" s="86">
        <f t="shared" si="21"/>
        <v>241</v>
      </c>
      <c r="B243" s="75" t="s">
        <v>441</v>
      </c>
      <c r="C243" s="9"/>
      <c r="D243" s="76" t="s">
        <v>440</v>
      </c>
      <c r="E243" s="88" t="str">
        <f>_xlfn.IFNA(VLOOKUP($D243,'Route-Details'!$B$2:$X$1048576,'Node Details'!E$1,0),"")</f>
        <v>Airtel</v>
      </c>
      <c r="F243" s="88" t="str">
        <f>_xlfn.IFNA(VLOOKUP($D243,'Route-Details'!$B$2:$X$1048576,'Node Details'!F$1,0),"")</f>
        <v>DARIA</v>
      </c>
      <c r="G243" s="88" t="str">
        <f>_xlfn.IFNA(VLOOKUP($D243,'Route-Details'!$B$2:$X$1048576,'Node Details'!G$1,0),"")</f>
        <v>Chandigarh</v>
      </c>
      <c r="H243" s="88" t="str">
        <f>_xlfn.IFNA(VLOOKUP($D244,'Route-Details'!$B$2:$X$1048576,'Node Details'!H$1,0),"")</f>
        <v>Punjab</v>
      </c>
      <c r="I243" s="88" t="str">
        <f>_xlfn.IFNA(VLOOKUP($D243,'Route-Details'!$B$2:$X$1048576,'Node Details'!I$1,0),"")</f>
        <v>AXW</v>
      </c>
      <c r="J243" s="88" t="str">
        <f>_xlfn.IFNA(VLOOKUP($D243,'Route-Details'!$B$2:$X$1048576,'Node Details'!J$1,0),"")</f>
        <v>AXW</v>
      </c>
      <c r="K243" s="76">
        <v>46112</v>
      </c>
      <c r="L243" s="76">
        <v>46114</v>
      </c>
      <c r="M243" s="89">
        <v>46147</v>
      </c>
      <c r="N243" s="76">
        <v>46114</v>
      </c>
      <c r="Q243" s="86" t="s">
        <v>958</v>
      </c>
      <c r="R243" s="90"/>
      <c r="S243" s="87"/>
      <c r="T243" s="87"/>
      <c r="U243" s="87"/>
      <c r="V243" s="93"/>
      <c r="W243" s="91"/>
      <c r="X243" s="87"/>
      <c r="Y243" s="92"/>
      <c r="Z243" s="90"/>
      <c r="AA243" s="93"/>
      <c r="AB243" s="87"/>
      <c r="AC243" s="91"/>
      <c r="AD243" s="90"/>
      <c r="AE243" s="86"/>
      <c r="AF243" s="82"/>
      <c r="AG243" s="24"/>
      <c r="AH243" s="93"/>
      <c r="AI243" s="87"/>
      <c r="AJ243" s="86"/>
      <c r="AK243" s="81"/>
      <c r="AL243" s="24"/>
      <c r="AM243" s="24"/>
      <c r="AN243" s="81"/>
      <c r="AO243" s="81"/>
      <c r="AP243" s="24"/>
      <c r="AQ243" s="93"/>
      <c r="AR243" s="94"/>
      <c r="AS243" s="82"/>
      <c r="AT243" s="82"/>
      <c r="AU243" s="24"/>
      <c r="AV243" s="93"/>
      <c r="AW243" s="94"/>
      <c r="AX243" s="95"/>
      <c r="AY243" s="95"/>
      <c r="AZ243" s="95"/>
      <c r="BA243" s="24"/>
      <c r="BB243" s="9" t="s">
        <v>231</v>
      </c>
      <c r="BC243" s="96" t="s">
        <v>93</v>
      </c>
    </row>
    <row r="244" spans="1:55" ht="15" customHeight="1">
      <c r="A244" s="86">
        <f t="shared" si="21"/>
        <v>242</v>
      </c>
      <c r="B244" s="75" t="s">
        <v>1078</v>
      </c>
      <c r="C244" s="9"/>
      <c r="D244" s="76" t="s">
        <v>442</v>
      </c>
      <c r="E244" s="88" t="str">
        <f>_xlfn.IFNA(VLOOKUP($D244,'Route-Details'!$B$2:$X$1048576,'Node Details'!E$1,0),"")</f>
        <v>Airtel</v>
      </c>
      <c r="F244" s="88" t="str">
        <f>_xlfn.IFNA(VLOOKUP($D244,'Route-Details'!$B$2:$X$1048576,'Node Details'!F$1,0),"")</f>
        <v>DARIA</v>
      </c>
      <c r="G244" s="88" t="str">
        <f>_xlfn.IFNA(VLOOKUP($D244,'Route-Details'!$B$2:$X$1048576,'Node Details'!G$1,0),"")</f>
        <v>Chandigarh</v>
      </c>
      <c r="H244" s="88" t="str">
        <f>_xlfn.IFNA(VLOOKUP($D245,'Route-Details'!$B$2:$X$1048576,'Node Details'!H$1,0),"")</f>
        <v>Punjab</v>
      </c>
      <c r="I244" s="88" t="str">
        <f>_xlfn.IFNA(VLOOKUP($D244,'Route-Details'!$B$2:$X$1048576,'Node Details'!I$1,0),"")</f>
        <v>AXW</v>
      </c>
      <c r="J244" s="88" t="str">
        <f>_xlfn.IFNA(VLOOKUP($D244,'Route-Details'!$B$2:$X$1048576,'Node Details'!J$1,0),"")</f>
        <v>AXW</v>
      </c>
      <c r="K244" s="76">
        <v>46112</v>
      </c>
      <c r="L244" s="76">
        <v>46114</v>
      </c>
      <c r="M244" s="89">
        <v>46147</v>
      </c>
      <c r="N244" s="76">
        <v>46114</v>
      </c>
      <c r="Q244" s="86" t="s">
        <v>958</v>
      </c>
      <c r="R244" s="90"/>
      <c r="S244" s="87"/>
      <c r="T244" s="87"/>
      <c r="U244" s="87"/>
      <c r="V244" s="93"/>
      <c r="W244" s="91"/>
      <c r="X244" s="87"/>
      <c r="Y244" s="92"/>
      <c r="Z244" s="90"/>
      <c r="AA244" s="93"/>
      <c r="AB244" s="87"/>
      <c r="AC244" s="91"/>
      <c r="AD244" s="90"/>
      <c r="AE244" s="86"/>
      <c r="AF244" s="82"/>
      <c r="AG244" s="24"/>
      <c r="AH244" s="93"/>
      <c r="AI244" s="87"/>
      <c r="AJ244" s="86"/>
      <c r="AK244" s="81"/>
      <c r="AL244" s="24"/>
      <c r="AM244" s="24"/>
      <c r="AN244" s="81"/>
      <c r="AO244" s="81"/>
      <c r="AP244" s="24"/>
      <c r="AQ244" s="93"/>
      <c r="AR244" s="94"/>
      <c r="AS244" s="82"/>
      <c r="AT244" s="82"/>
      <c r="AU244" s="24"/>
      <c r="AV244" s="93"/>
      <c r="AW244" s="94"/>
      <c r="AX244" s="95"/>
      <c r="AY244" s="95"/>
      <c r="AZ244" s="95"/>
      <c r="BA244" s="24"/>
      <c r="BB244" s="9" t="s">
        <v>234</v>
      </c>
      <c r="BC244" s="96" t="s">
        <v>93</v>
      </c>
    </row>
    <row r="245" spans="1:55" ht="15" customHeight="1">
      <c r="A245" s="86">
        <f t="shared" si="21"/>
        <v>243</v>
      </c>
      <c r="B245" s="75" t="s">
        <v>443</v>
      </c>
      <c r="C245" s="9"/>
      <c r="D245" s="76" t="s">
        <v>442</v>
      </c>
      <c r="E245" s="88" t="str">
        <f>_xlfn.IFNA(VLOOKUP($D245,'Route-Details'!$B$2:$X$1048576,'Node Details'!E$1,0),"")</f>
        <v>Airtel</v>
      </c>
      <c r="F245" s="88" t="str">
        <f>_xlfn.IFNA(VLOOKUP($D245,'Route-Details'!$B$2:$X$1048576,'Node Details'!F$1,0),"")</f>
        <v>DARIA</v>
      </c>
      <c r="G245" s="88" t="str">
        <f>_xlfn.IFNA(VLOOKUP($D245,'Route-Details'!$B$2:$X$1048576,'Node Details'!G$1,0),"")</f>
        <v>Chandigarh</v>
      </c>
      <c r="H245" s="88" t="str">
        <f>_xlfn.IFNA(VLOOKUP($D246,'Route-Details'!$B$2:$X$1048576,'Node Details'!H$1,0),"")</f>
        <v>Punjab</v>
      </c>
      <c r="I245" s="88" t="str">
        <f>_xlfn.IFNA(VLOOKUP($D245,'Route-Details'!$B$2:$X$1048576,'Node Details'!I$1,0),"")</f>
        <v>AXW</v>
      </c>
      <c r="J245" s="88" t="str">
        <f>_xlfn.IFNA(VLOOKUP($D245,'Route-Details'!$B$2:$X$1048576,'Node Details'!J$1,0),"")</f>
        <v>AXW</v>
      </c>
      <c r="K245" s="76">
        <v>46112</v>
      </c>
      <c r="L245" s="76">
        <v>46114</v>
      </c>
      <c r="M245" s="89">
        <v>46147</v>
      </c>
      <c r="N245" s="76">
        <v>46114</v>
      </c>
      <c r="Q245" s="86" t="s">
        <v>958</v>
      </c>
      <c r="R245" s="90"/>
      <c r="S245" s="87"/>
      <c r="T245" s="87"/>
      <c r="U245" s="87"/>
      <c r="V245" s="93"/>
      <c r="W245" s="91"/>
      <c r="X245" s="87"/>
      <c r="Y245" s="92"/>
      <c r="Z245" s="90"/>
      <c r="AA245" s="93"/>
      <c r="AB245" s="87"/>
      <c r="AC245" s="91"/>
      <c r="AD245" s="90"/>
      <c r="AE245" s="86"/>
      <c r="AF245" s="82"/>
      <c r="AG245" s="24"/>
      <c r="AH245" s="93"/>
      <c r="AI245" s="87"/>
      <c r="AJ245" s="86"/>
      <c r="AK245" s="81"/>
      <c r="AL245" s="24"/>
      <c r="AM245" s="24"/>
      <c r="AN245" s="81"/>
      <c r="AO245" s="81"/>
      <c r="AP245" s="24"/>
      <c r="AQ245" s="93"/>
      <c r="AR245" s="94"/>
      <c r="AS245" s="82"/>
      <c r="AT245" s="82"/>
      <c r="AU245" s="24"/>
      <c r="AV245" s="93"/>
      <c r="AW245" s="94"/>
      <c r="AX245" s="95"/>
      <c r="AY245" s="95"/>
      <c r="AZ245" s="95"/>
      <c r="BA245" s="24"/>
      <c r="BB245" s="9" t="s">
        <v>234</v>
      </c>
      <c r="BC245" s="96" t="s">
        <v>93</v>
      </c>
    </row>
    <row r="246" spans="1:55" ht="15" customHeight="1">
      <c r="A246" s="86">
        <f t="shared" si="21"/>
        <v>244</v>
      </c>
      <c r="B246" s="75" t="s">
        <v>445</v>
      </c>
      <c r="C246" s="9"/>
      <c r="D246" s="76" t="s">
        <v>378</v>
      </c>
      <c r="E246" s="88" t="str">
        <f>_xlfn.IFNA(VLOOKUP($D246,'Route-Details'!$B$2:$X$1048576,'Node Details'!E$1,0),"")</f>
        <v>Airtel</v>
      </c>
      <c r="F246" s="88" t="str">
        <f>_xlfn.IFNA(VLOOKUP($D246,'Route-Details'!$B$2:$X$1048576,'Node Details'!F$1,0),"")</f>
        <v>DARIA</v>
      </c>
      <c r="G246" s="88" t="str">
        <f>_xlfn.IFNA(VLOOKUP($D246,'Route-Details'!$B$2:$X$1048576,'Node Details'!G$1,0),"")</f>
        <v>Chandigarh</v>
      </c>
      <c r="H246" s="88" t="str">
        <f>_xlfn.IFNA(VLOOKUP($D247,'Route-Details'!$B$2:$X$1048576,'Node Details'!H$1,0),"")</f>
        <v>Punjab</v>
      </c>
      <c r="I246" s="88" t="str">
        <f>_xlfn.IFNA(VLOOKUP($D246,'Route-Details'!$B$2:$X$1048576,'Node Details'!I$1,0),"")</f>
        <v>AXW</v>
      </c>
      <c r="J246" s="88" t="str">
        <f>_xlfn.IFNA(VLOOKUP($D246,'Route-Details'!$B$2:$X$1048576,'Node Details'!J$1,0),"")</f>
        <v>AXW</v>
      </c>
      <c r="K246" s="76">
        <v>46112</v>
      </c>
      <c r="L246" s="76">
        <v>46114</v>
      </c>
      <c r="M246" s="89">
        <v>46147</v>
      </c>
      <c r="N246" s="76">
        <v>46114</v>
      </c>
      <c r="Q246" s="86" t="s">
        <v>958</v>
      </c>
      <c r="R246" s="90"/>
      <c r="S246" s="87"/>
      <c r="T246" s="87"/>
      <c r="U246" s="87"/>
      <c r="V246" s="93"/>
      <c r="W246" s="91"/>
      <c r="X246" s="87"/>
      <c r="Y246" s="92"/>
      <c r="Z246" s="90"/>
      <c r="AA246" s="93"/>
      <c r="AB246" s="87"/>
      <c r="AC246" s="91"/>
      <c r="AD246" s="90"/>
      <c r="AE246" s="86"/>
      <c r="AF246" s="82"/>
      <c r="AG246" s="24"/>
      <c r="AH246" s="93"/>
      <c r="AI246" s="87"/>
      <c r="AJ246" s="86"/>
      <c r="AK246" s="81"/>
      <c r="AL246" s="24"/>
      <c r="AM246" s="24"/>
      <c r="AN246" s="81"/>
      <c r="AO246" s="81"/>
      <c r="AP246" s="24"/>
      <c r="AQ246" s="93"/>
      <c r="AR246" s="94"/>
      <c r="AS246" s="82"/>
      <c r="AT246" s="82"/>
      <c r="AU246" s="24"/>
      <c r="AV246" s="93"/>
      <c r="AW246" s="94"/>
      <c r="AX246" s="95"/>
      <c r="AY246" s="95"/>
      <c r="AZ246" s="95"/>
      <c r="BA246" s="24"/>
      <c r="BB246" s="9" t="s">
        <v>100</v>
      </c>
      <c r="BC246" s="96" t="s">
        <v>93</v>
      </c>
    </row>
    <row r="247" spans="1:55" ht="15" customHeight="1">
      <c r="A247" s="86">
        <f t="shared" si="21"/>
        <v>245</v>
      </c>
      <c r="B247" s="75" t="s">
        <v>446</v>
      </c>
      <c r="C247" s="9"/>
      <c r="D247" s="76" t="s">
        <v>444</v>
      </c>
      <c r="E247" s="88" t="str">
        <f>_xlfn.IFNA(VLOOKUP($D247,'Route-Details'!$B$2:$X$1048576,'Node Details'!E$1,0),"")</f>
        <v>Airtel</v>
      </c>
      <c r="F247" s="88" t="str">
        <f>_xlfn.IFNA(VLOOKUP($D247,'Route-Details'!$B$2:$X$1048576,'Node Details'!F$1,0),"")</f>
        <v>DARIA</v>
      </c>
      <c r="G247" s="88" t="str">
        <f>_xlfn.IFNA(VLOOKUP($D247,'Route-Details'!$B$2:$X$1048576,'Node Details'!G$1,0),"")</f>
        <v>Chandigarh</v>
      </c>
      <c r="H247" s="88" t="str">
        <f>_xlfn.IFNA(VLOOKUP($D248,'Route-Details'!$B$2:$X$1048576,'Node Details'!H$1,0),"")</f>
        <v>Punjab</v>
      </c>
      <c r="I247" s="88" t="str">
        <f>_xlfn.IFNA(VLOOKUP($D247,'Route-Details'!$B$2:$X$1048576,'Node Details'!I$1,0),"")</f>
        <v>AXW</v>
      </c>
      <c r="J247" s="88" t="str">
        <f>_xlfn.IFNA(VLOOKUP($D247,'Route-Details'!$B$2:$X$1048576,'Node Details'!J$1,0),"")</f>
        <v>AXW</v>
      </c>
      <c r="K247" s="76">
        <v>46112</v>
      </c>
      <c r="L247" s="76">
        <v>46114</v>
      </c>
      <c r="M247" s="89">
        <v>46147</v>
      </c>
      <c r="N247" s="76">
        <v>46114</v>
      </c>
      <c r="Q247" s="86" t="s">
        <v>958</v>
      </c>
      <c r="R247" s="90"/>
      <c r="S247" s="87"/>
      <c r="T247" s="87"/>
      <c r="U247" s="87"/>
      <c r="V247" s="93"/>
      <c r="W247" s="91"/>
      <c r="X247" s="87"/>
      <c r="Y247" s="92"/>
      <c r="Z247" s="90"/>
      <c r="AA247" s="93"/>
      <c r="AB247" s="87"/>
      <c r="AC247" s="91"/>
      <c r="AD247" s="90"/>
      <c r="AE247" s="86"/>
      <c r="AF247" s="82"/>
      <c r="AG247" s="24"/>
      <c r="AH247" s="93"/>
      <c r="AI247" s="87"/>
      <c r="AJ247" s="86"/>
      <c r="AK247" s="81"/>
      <c r="AL247" s="24"/>
      <c r="AM247" s="24"/>
      <c r="AN247" s="81"/>
      <c r="AO247" s="81"/>
      <c r="AP247" s="24"/>
      <c r="AQ247" s="93"/>
      <c r="AR247" s="94"/>
      <c r="AS247" s="82"/>
      <c r="AT247" s="82"/>
      <c r="AU247" s="24"/>
      <c r="AV247" s="93"/>
      <c r="AW247" s="94"/>
      <c r="AX247" s="95"/>
      <c r="AY247" s="95"/>
      <c r="AZ247" s="95"/>
      <c r="BA247" s="24"/>
      <c r="BB247" s="9" t="s">
        <v>237</v>
      </c>
      <c r="BC247" s="96" t="s">
        <v>93</v>
      </c>
    </row>
    <row r="248" spans="1:55" ht="15" customHeight="1">
      <c r="A248" s="86">
        <f t="shared" si="21"/>
        <v>246</v>
      </c>
      <c r="B248" s="75" t="s">
        <v>448</v>
      </c>
      <c r="C248" s="9"/>
      <c r="D248" s="76" t="s">
        <v>447</v>
      </c>
      <c r="E248" s="88" t="str">
        <f>_xlfn.IFNA(VLOOKUP($D248,'Route-Details'!$B$2:$X$1048576,'Node Details'!E$1,0),"")</f>
        <v>Airtel</v>
      </c>
      <c r="F248" s="88" t="str">
        <f>_xlfn.IFNA(VLOOKUP($D248,'Route-Details'!$B$2:$X$1048576,'Node Details'!F$1,0),"")</f>
        <v>DARIA</v>
      </c>
      <c r="G248" s="88" t="str">
        <f>_xlfn.IFNA(VLOOKUP($D248,'Route-Details'!$B$2:$X$1048576,'Node Details'!G$1,0),"")</f>
        <v>Chandigarh</v>
      </c>
      <c r="H248" s="88" t="str">
        <f>_xlfn.IFNA(VLOOKUP($D249,'Route-Details'!$B$2:$X$1048576,'Node Details'!H$1,0),"")</f>
        <v>Punjab</v>
      </c>
      <c r="I248" s="88" t="str">
        <f>_xlfn.IFNA(VLOOKUP($D248,'Route-Details'!$B$2:$X$1048576,'Node Details'!I$1,0),"")</f>
        <v>AXW</v>
      </c>
      <c r="J248" s="88" t="str">
        <f>_xlfn.IFNA(VLOOKUP($D248,'Route-Details'!$B$2:$X$1048576,'Node Details'!J$1,0),"")</f>
        <v>AXW</v>
      </c>
      <c r="K248" s="76">
        <v>46112</v>
      </c>
      <c r="L248" s="76">
        <v>46114</v>
      </c>
      <c r="M248" s="89">
        <v>46147</v>
      </c>
      <c r="N248" s="76">
        <v>46114</v>
      </c>
      <c r="Q248" s="86" t="s">
        <v>958</v>
      </c>
      <c r="R248" s="90"/>
      <c r="S248" s="87"/>
      <c r="T248" s="87"/>
      <c r="U248" s="87"/>
      <c r="V248" s="93"/>
      <c r="W248" s="91"/>
      <c r="X248" s="87"/>
      <c r="Y248" s="92"/>
      <c r="Z248" s="90"/>
      <c r="AA248" s="93"/>
      <c r="AB248" s="87"/>
      <c r="AC248" s="91"/>
      <c r="AD248" s="90"/>
      <c r="AE248" s="86"/>
      <c r="AF248" s="82"/>
      <c r="AG248" s="24"/>
      <c r="AH248" s="93"/>
      <c r="AI248" s="87"/>
      <c r="AJ248" s="86"/>
      <c r="AK248" s="81"/>
      <c r="AL248" s="24"/>
      <c r="AM248" s="24"/>
      <c r="AN248" s="81"/>
      <c r="AO248" s="81"/>
      <c r="AP248" s="24"/>
      <c r="AQ248" s="93"/>
      <c r="AR248" s="94"/>
      <c r="AS248" s="82"/>
      <c r="AT248" s="82"/>
      <c r="AU248" s="24"/>
      <c r="AV248" s="93"/>
      <c r="AW248" s="94"/>
      <c r="AX248" s="95"/>
      <c r="AY248" s="95"/>
      <c r="AZ248" s="95"/>
      <c r="BA248" s="24"/>
      <c r="BB248" s="9" t="s">
        <v>240</v>
      </c>
      <c r="BC248" s="96" t="s">
        <v>93</v>
      </c>
    </row>
    <row r="249" spans="1:55" ht="15" customHeight="1">
      <c r="A249" s="86">
        <f t="shared" si="21"/>
        <v>247</v>
      </c>
      <c r="B249" s="75" t="s">
        <v>1079</v>
      </c>
      <c r="C249" s="9"/>
      <c r="D249" s="76" t="s">
        <v>449</v>
      </c>
      <c r="E249" s="88" t="str">
        <f>_xlfn.IFNA(VLOOKUP($D249,'Route-Details'!$B$2:$X$1048576,'Node Details'!E$1,0),"")</f>
        <v>Airtel</v>
      </c>
      <c r="F249" s="88" t="str">
        <f>_xlfn.IFNA(VLOOKUP($D249,'Route-Details'!$B$2:$X$1048576,'Node Details'!F$1,0),"")</f>
        <v>DARIA</v>
      </c>
      <c r="G249" s="88" t="str">
        <f>_xlfn.IFNA(VLOOKUP($D249,'Route-Details'!$B$2:$X$1048576,'Node Details'!G$1,0),"")</f>
        <v>Chandigarh</v>
      </c>
      <c r="H249" s="88" t="str">
        <f>_xlfn.IFNA(VLOOKUP($D250,'Route-Details'!$B$2:$X$1048576,'Node Details'!H$1,0),"")</f>
        <v>Punjab</v>
      </c>
      <c r="I249" s="88" t="str">
        <f>_xlfn.IFNA(VLOOKUP($D249,'Route-Details'!$B$2:$X$1048576,'Node Details'!I$1,0),"")</f>
        <v>AXW</v>
      </c>
      <c r="J249" s="88" t="str">
        <f>_xlfn.IFNA(VLOOKUP($D249,'Route-Details'!$B$2:$X$1048576,'Node Details'!J$1,0),"")</f>
        <v>AXW</v>
      </c>
      <c r="K249" s="76">
        <v>46112</v>
      </c>
      <c r="L249" s="76">
        <v>46114</v>
      </c>
      <c r="M249" s="89">
        <v>46147</v>
      </c>
      <c r="N249" s="76">
        <v>46114</v>
      </c>
      <c r="Q249" s="86" t="s">
        <v>958</v>
      </c>
      <c r="R249" s="90"/>
      <c r="S249" s="87"/>
      <c r="T249" s="87"/>
      <c r="U249" s="87"/>
      <c r="V249" s="93"/>
      <c r="W249" s="91"/>
      <c r="X249" s="87"/>
      <c r="Y249" s="92"/>
      <c r="Z249" s="90"/>
      <c r="AA249" s="93"/>
      <c r="AB249" s="87"/>
      <c r="AC249" s="91"/>
      <c r="AD249" s="90"/>
      <c r="AE249" s="86"/>
      <c r="AF249" s="82"/>
      <c r="AG249" s="24"/>
      <c r="AH249" s="93"/>
      <c r="AI249" s="87"/>
      <c r="AJ249" s="86"/>
      <c r="AK249" s="81"/>
      <c r="AL249" s="24"/>
      <c r="AM249" s="24"/>
      <c r="AN249" s="81"/>
      <c r="AO249" s="81"/>
      <c r="AP249" s="24"/>
      <c r="AQ249" s="93"/>
      <c r="AR249" s="94"/>
      <c r="AS249" s="82"/>
      <c r="AT249" s="82"/>
      <c r="AU249" s="24"/>
      <c r="AV249" s="93"/>
      <c r="AW249" s="94"/>
      <c r="AX249" s="95"/>
      <c r="AY249" s="95"/>
      <c r="AZ249" s="95"/>
      <c r="BA249" s="24"/>
      <c r="BB249" s="9" t="s">
        <v>244</v>
      </c>
      <c r="BC249" s="96" t="s">
        <v>93</v>
      </c>
    </row>
    <row r="250" spans="1:55" ht="15" customHeight="1">
      <c r="A250" s="86">
        <f t="shared" si="21"/>
        <v>248</v>
      </c>
      <c r="B250" s="75" t="s">
        <v>450</v>
      </c>
      <c r="C250" s="9"/>
      <c r="D250" s="76" t="s">
        <v>449</v>
      </c>
      <c r="E250" s="88" t="str">
        <f>_xlfn.IFNA(VLOOKUP($D250,'Route-Details'!$B$2:$X$1048576,'Node Details'!E$1,0),"")</f>
        <v>Airtel</v>
      </c>
      <c r="F250" s="88" t="str">
        <f>_xlfn.IFNA(VLOOKUP($D250,'Route-Details'!$B$2:$X$1048576,'Node Details'!F$1,0),"")</f>
        <v>DARIA</v>
      </c>
      <c r="G250" s="88" t="str">
        <f>_xlfn.IFNA(VLOOKUP($D250,'Route-Details'!$B$2:$X$1048576,'Node Details'!G$1,0),"")</f>
        <v>Chandigarh</v>
      </c>
      <c r="H250" s="88" t="str">
        <f>_xlfn.IFNA(VLOOKUP($D251,'Route-Details'!$B$2:$X$1048576,'Node Details'!H$1,0),"")</f>
        <v>Punjab</v>
      </c>
      <c r="I250" s="88" t="str">
        <f>_xlfn.IFNA(VLOOKUP($D250,'Route-Details'!$B$2:$X$1048576,'Node Details'!I$1,0),"")</f>
        <v>AXW</v>
      </c>
      <c r="J250" s="88" t="str">
        <f>_xlfn.IFNA(VLOOKUP($D250,'Route-Details'!$B$2:$X$1048576,'Node Details'!J$1,0),"")</f>
        <v>AXW</v>
      </c>
      <c r="K250" s="76">
        <v>46112</v>
      </c>
      <c r="L250" s="76">
        <v>46114</v>
      </c>
      <c r="M250" s="89">
        <v>46147</v>
      </c>
      <c r="N250" s="76">
        <v>46114</v>
      </c>
      <c r="Q250" s="86" t="s">
        <v>958</v>
      </c>
      <c r="R250" s="90"/>
      <c r="S250" s="87"/>
      <c r="T250" s="87"/>
      <c r="U250" s="87"/>
      <c r="V250" s="93"/>
      <c r="W250" s="91"/>
      <c r="X250" s="87"/>
      <c r="Y250" s="92"/>
      <c r="Z250" s="90"/>
      <c r="AA250" s="93"/>
      <c r="AB250" s="87"/>
      <c r="AC250" s="91"/>
      <c r="AD250" s="90"/>
      <c r="AE250" s="86"/>
      <c r="AF250" s="82"/>
      <c r="AG250" s="24"/>
      <c r="AH250" s="93"/>
      <c r="AI250" s="87"/>
      <c r="AJ250" s="86"/>
      <c r="AK250" s="81"/>
      <c r="AL250" s="24"/>
      <c r="AM250" s="24"/>
      <c r="AN250" s="81"/>
      <c r="AO250" s="81"/>
      <c r="AP250" s="24"/>
      <c r="AQ250" s="93"/>
      <c r="AR250" s="94"/>
      <c r="AS250" s="82"/>
      <c r="AT250" s="82"/>
      <c r="AU250" s="24"/>
      <c r="AV250" s="93"/>
      <c r="AW250" s="94"/>
      <c r="AX250" s="95"/>
      <c r="AY250" s="95"/>
      <c r="AZ250" s="95"/>
      <c r="BA250" s="24"/>
      <c r="BB250" s="9" t="s">
        <v>244</v>
      </c>
      <c r="BC250" s="96" t="s">
        <v>93</v>
      </c>
    </row>
    <row r="251" spans="1:55" ht="15" customHeight="1">
      <c r="A251" s="86">
        <f t="shared" si="21"/>
        <v>249</v>
      </c>
      <c r="B251" s="75" t="s">
        <v>452</v>
      </c>
      <c r="C251" s="9"/>
      <c r="D251" s="76" t="s">
        <v>451</v>
      </c>
      <c r="E251" s="88" t="str">
        <f>_xlfn.IFNA(VLOOKUP($D251,'Route-Details'!$B$2:$X$1048576,'Node Details'!E$1,0),"")</f>
        <v>Airtel</v>
      </c>
      <c r="F251" s="88" t="str">
        <f>_xlfn.IFNA(VLOOKUP($D251,'Route-Details'!$B$2:$X$1048576,'Node Details'!F$1,0),"")</f>
        <v>DARIA</v>
      </c>
      <c r="G251" s="88" t="str">
        <f>_xlfn.IFNA(VLOOKUP($D251,'Route-Details'!$B$2:$X$1048576,'Node Details'!G$1,0),"")</f>
        <v>Chandigarh</v>
      </c>
      <c r="H251" s="88" t="str">
        <f>_xlfn.IFNA(VLOOKUP($D252,'Route-Details'!$B$2:$X$1048576,'Node Details'!H$1,0),"")</f>
        <v>Punjab</v>
      </c>
      <c r="I251" s="88" t="str">
        <f>_xlfn.IFNA(VLOOKUP($D251,'Route-Details'!$B$2:$X$1048576,'Node Details'!I$1,0),"")</f>
        <v>AXW</v>
      </c>
      <c r="J251" s="88" t="str">
        <f>_xlfn.IFNA(VLOOKUP($D251,'Route-Details'!$B$2:$X$1048576,'Node Details'!J$1,0),"")</f>
        <v>AXW</v>
      </c>
      <c r="K251" s="76">
        <v>46112</v>
      </c>
      <c r="L251" s="76">
        <v>46114</v>
      </c>
      <c r="M251" s="89">
        <v>46147</v>
      </c>
      <c r="N251" s="76">
        <v>46114</v>
      </c>
      <c r="Q251" s="86" t="s">
        <v>958</v>
      </c>
      <c r="R251" s="90"/>
      <c r="S251" s="87"/>
      <c r="T251" s="87"/>
      <c r="U251" s="87"/>
      <c r="V251" s="93"/>
      <c r="W251" s="91"/>
      <c r="X251" s="87"/>
      <c r="Y251" s="92"/>
      <c r="Z251" s="90"/>
      <c r="AA251" s="93"/>
      <c r="AB251" s="87"/>
      <c r="AC251" s="91"/>
      <c r="AD251" s="90"/>
      <c r="AE251" s="86"/>
      <c r="AF251" s="82"/>
      <c r="AG251" s="24"/>
      <c r="AH251" s="93"/>
      <c r="AI251" s="87"/>
      <c r="AJ251" s="86"/>
      <c r="AK251" s="81"/>
      <c r="AL251" s="24"/>
      <c r="AM251" s="24"/>
      <c r="AN251" s="81"/>
      <c r="AO251" s="81"/>
      <c r="AP251" s="24"/>
      <c r="AQ251" s="93"/>
      <c r="AR251" s="94"/>
      <c r="AS251" s="82"/>
      <c r="AT251" s="82"/>
      <c r="AU251" s="24"/>
      <c r="AV251" s="93"/>
      <c r="AW251" s="94"/>
      <c r="AX251" s="95"/>
      <c r="AY251" s="95"/>
      <c r="AZ251" s="95"/>
      <c r="BA251" s="24"/>
      <c r="BB251" s="9" t="s">
        <v>247</v>
      </c>
      <c r="BC251" s="96" t="s">
        <v>93</v>
      </c>
    </row>
    <row r="252" spans="1:55" ht="15" customHeight="1">
      <c r="A252" s="86">
        <f t="shared" si="21"/>
        <v>250</v>
      </c>
      <c r="B252" s="75" t="s">
        <v>1080</v>
      </c>
      <c r="C252" s="9"/>
      <c r="D252" s="76" t="s">
        <v>453</v>
      </c>
      <c r="E252" s="88" t="str">
        <f>_xlfn.IFNA(VLOOKUP($D252,'Route-Details'!$B$2:$X$1048576,'Node Details'!E$1,0),"")</f>
        <v>Airtel</v>
      </c>
      <c r="F252" s="88" t="str">
        <f>_xlfn.IFNA(VLOOKUP($D252,'Route-Details'!$B$2:$X$1048576,'Node Details'!F$1,0),"")</f>
        <v>DARIA</v>
      </c>
      <c r="G252" s="88" t="str">
        <f>_xlfn.IFNA(VLOOKUP($D252,'Route-Details'!$B$2:$X$1048576,'Node Details'!G$1,0),"")</f>
        <v>Chandigarh</v>
      </c>
      <c r="H252" s="88" t="str">
        <f>_xlfn.IFNA(VLOOKUP($D253,'Route-Details'!$B$2:$X$1048576,'Node Details'!H$1,0),"")</f>
        <v>Punjab</v>
      </c>
      <c r="I252" s="88" t="str">
        <f>_xlfn.IFNA(VLOOKUP($D252,'Route-Details'!$B$2:$X$1048576,'Node Details'!I$1,0),"")</f>
        <v>AXW</v>
      </c>
      <c r="J252" s="88" t="str">
        <f>_xlfn.IFNA(VLOOKUP($D252,'Route-Details'!$B$2:$X$1048576,'Node Details'!J$1,0),"")</f>
        <v>AXW</v>
      </c>
      <c r="K252" s="76">
        <v>46112</v>
      </c>
      <c r="L252" s="76">
        <v>46114</v>
      </c>
      <c r="M252" s="89">
        <v>46147</v>
      </c>
      <c r="N252" s="76">
        <v>46114</v>
      </c>
      <c r="Q252" s="86" t="s">
        <v>958</v>
      </c>
      <c r="R252" s="90"/>
      <c r="S252" s="87"/>
      <c r="T252" s="87"/>
      <c r="U252" s="87"/>
      <c r="V252" s="93"/>
      <c r="W252" s="91"/>
      <c r="X252" s="87"/>
      <c r="Y252" s="92"/>
      <c r="Z252" s="90"/>
      <c r="AA252" s="93"/>
      <c r="AB252" s="87"/>
      <c r="AC252" s="91"/>
      <c r="AD252" s="90"/>
      <c r="AE252" s="86"/>
      <c r="AF252" s="82"/>
      <c r="AG252" s="24"/>
      <c r="AH252" s="93"/>
      <c r="AI252" s="87"/>
      <c r="AJ252" s="86"/>
      <c r="AK252" s="81"/>
      <c r="AL252" s="24"/>
      <c r="AM252" s="24"/>
      <c r="AN252" s="81"/>
      <c r="AO252" s="81"/>
      <c r="AP252" s="24"/>
      <c r="AQ252" s="93"/>
      <c r="AR252" s="94"/>
      <c r="AS252" s="82"/>
      <c r="AT252" s="82"/>
      <c r="AU252" s="24"/>
      <c r="AV252" s="93"/>
      <c r="AW252" s="94"/>
      <c r="AX252" s="95"/>
      <c r="AY252" s="95"/>
      <c r="AZ252" s="95"/>
      <c r="BA252" s="24"/>
      <c r="BB252" s="9" t="s">
        <v>251</v>
      </c>
      <c r="BC252" s="96" t="s">
        <v>93</v>
      </c>
    </row>
    <row r="253" spans="1:55" ht="15" customHeight="1">
      <c r="A253" s="86">
        <f t="shared" si="21"/>
        <v>251</v>
      </c>
      <c r="B253" s="75" t="s">
        <v>454</v>
      </c>
      <c r="C253" s="9"/>
      <c r="D253" s="76" t="s">
        <v>453</v>
      </c>
      <c r="E253" s="88" t="str">
        <f>_xlfn.IFNA(VLOOKUP($D253,'Route-Details'!$B$2:$X$1048576,'Node Details'!E$1,0),"")</f>
        <v>Airtel</v>
      </c>
      <c r="F253" s="88" t="str">
        <f>_xlfn.IFNA(VLOOKUP($D253,'Route-Details'!$B$2:$X$1048576,'Node Details'!F$1,0),"")</f>
        <v>DARIA</v>
      </c>
      <c r="G253" s="88" t="str">
        <f>_xlfn.IFNA(VLOOKUP($D253,'Route-Details'!$B$2:$X$1048576,'Node Details'!G$1,0),"")</f>
        <v>Chandigarh</v>
      </c>
      <c r="H253" s="88" t="str">
        <f>_xlfn.IFNA(VLOOKUP($D254,'Route-Details'!$B$2:$X$1048576,'Node Details'!H$1,0),"")</f>
        <v>Punjab</v>
      </c>
      <c r="I253" s="88" t="str">
        <f>_xlfn.IFNA(VLOOKUP($D253,'Route-Details'!$B$2:$X$1048576,'Node Details'!I$1,0),"")</f>
        <v>AXW</v>
      </c>
      <c r="J253" s="88" t="str">
        <f>_xlfn.IFNA(VLOOKUP($D253,'Route-Details'!$B$2:$X$1048576,'Node Details'!J$1,0),"")</f>
        <v>AXW</v>
      </c>
      <c r="K253" s="76">
        <v>46112</v>
      </c>
      <c r="L253" s="76">
        <v>46114</v>
      </c>
      <c r="M253" s="89">
        <v>46147</v>
      </c>
      <c r="N253" s="76">
        <v>46114</v>
      </c>
      <c r="Q253" s="86" t="s">
        <v>958</v>
      </c>
      <c r="R253" s="90"/>
      <c r="S253" s="87"/>
      <c r="T253" s="87"/>
      <c r="U253" s="87"/>
      <c r="V253" s="93"/>
      <c r="W253" s="91"/>
      <c r="X253" s="87"/>
      <c r="Y253" s="92"/>
      <c r="Z253" s="90"/>
      <c r="AA253" s="93"/>
      <c r="AB253" s="87"/>
      <c r="AC253" s="91"/>
      <c r="AD253" s="90"/>
      <c r="AE253" s="86"/>
      <c r="AF253" s="82"/>
      <c r="AG253" s="24"/>
      <c r="AH253" s="93"/>
      <c r="AI253" s="87"/>
      <c r="AJ253" s="86"/>
      <c r="AK253" s="81"/>
      <c r="AL253" s="24"/>
      <c r="AM253" s="24"/>
      <c r="AN253" s="81"/>
      <c r="AO253" s="81"/>
      <c r="AP253" s="24"/>
      <c r="AQ253" s="93"/>
      <c r="AR253" s="94"/>
      <c r="AS253" s="82"/>
      <c r="AT253" s="82"/>
      <c r="AU253" s="24"/>
      <c r="AV253" s="93"/>
      <c r="AW253" s="94"/>
      <c r="AX253" s="95"/>
      <c r="AY253" s="95"/>
      <c r="AZ253" s="95"/>
      <c r="BA253" s="24"/>
      <c r="BB253" s="9" t="s">
        <v>251</v>
      </c>
      <c r="BC253" s="96" t="s">
        <v>93</v>
      </c>
    </row>
    <row r="254" spans="1:55" ht="15" customHeight="1">
      <c r="A254" s="86">
        <f t="shared" si="21"/>
        <v>252</v>
      </c>
      <c r="B254" s="75" t="s">
        <v>1081</v>
      </c>
      <c r="C254" s="9"/>
      <c r="D254" s="76" t="s">
        <v>455</v>
      </c>
      <c r="E254" s="88" t="str">
        <f>_xlfn.IFNA(VLOOKUP($D254,'Route-Details'!$B$2:$X$1048576,'Node Details'!E$1,0),"")</f>
        <v>Airtel</v>
      </c>
      <c r="F254" s="88" t="str">
        <f>_xlfn.IFNA(VLOOKUP($D254,'Route-Details'!$B$2:$X$1048576,'Node Details'!F$1,0),"")</f>
        <v>DARIA</v>
      </c>
      <c r="G254" s="88" t="str">
        <f>_xlfn.IFNA(VLOOKUP($D254,'Route-Details'!$B$2:$X$1048576,'Node Details'!G$1,0),"")</f>
        <v>Chandigarh</v>
      </c>
      <c r="H254" s="88" t="str">
        <f>_xlfn.IFNA(VLOOKUP($D255,'Route-Details'!$B$2:$X$1048576,'Node Details'!H$1,0),"")</f>
        <v>Punjab</v>
      </c>
      <c r="I254" s="88" t="str">
        <f>_xlfn.IFNA(VLOOKUP($D254,'Route-Details'!$B$2:$X$1048576,'Node Details'!I$1,0),"")</f>
        <v>AXW</v>
      </c>
      <c r="J254" s="88" t="str">
        <f>_xlfn.IFNA(VLOOKUP($D254,'Route-Details'!$B$2:$X$1048576,'Node Details'!J$1,0),"")</f>
        <v>AXW</v>
      </c>
      <c r="K254" s="76">
        <v>46112</v>
      </c>
      <c r="L254" s="76">
        <v>46114</v>
      </c>
      <c r="M254" s="89">
        <v>46147</v>
      </c>
      <c r="N254" s="76">
        <v>46114</v>
      </c>
      <c r="Q254" s="86" t="s">
        <v>958</v>
      </c>
      <c r="R254" s="90"/>
      <c r="S254" s="87"/>
      <c r="T254" s="87"/>
      <c r="U254" s="87"/>
      <c r="V254" s="93"/>
      <c r="W254" s="91"/>
      <c r="X254" s="87"/>
      <c r="Y254" s="92"/>
      <c r="Z254" s="90"/>
      <c r="AA254" s="93"/>
      <c r="AB254" s="87"/>
      <c r="AC254" s="91"/>
      <c r="AD254" s="90"/>
      <c r="AE254" s="86"/>
      <c r="AF254" s="82"/>
      <c r="AG254" s="24"/>
      <c r="AH254" s="93"/>
      <c r="AI254" s="87"/>
      <c r="AJ254" s="86"/>
      <c r="AK254" s="81"/>
      <c r="AL254" s="24"/>
      <c r="AM254" s="24"/>
      <c r="AN254" s="81"/>
      <c r="AO254" s="81"/>
      <c r="AP254" s="24"/>
      <c r="AQ254" s="93"/>
      <c r="AR254" s="94"/>
      <c r="AS254" s="82"/>
      <c r="AT254" s="82"/>
      <c r="AU254" s="24"/>
      <c r="AV254" s="93"/>
      <c r="AW254" s="94"/>
      <c r="AX254" s="95"/>
      <c r="AY254" s="95"/>
      <c r="AZ254" s="95"/>
      <c r="BA254" s="24"/>
      <c r="BB254" s="9" t="s">
        <v>255</v>
      </c>
      <c r="BC254" s="96" t="s">
        <v>93</v>
      </c>
    </row>
    <row r="255" spans="1:55" ht="15" customHeight="1">
      <c r="A255" s="86">
        <f t="shared" si="21"/>
        <v>253</v>
      </c>
      <c r="B255" s="75" t="s">
        <v>456</v>
      </c>
      <c r="C255" s="9"/>
      <c r="D255" s="76" t="s">
        <v>455</v>
      </c>
      <c r="E255" s="88" t="str">
        <f>_xlfn.IFNA(VLOOKUP($D255,'Route-Details'!$B$2:$X$1048576,'Node Details'!E$1,0),"")</f>
        <v>Airtel</v>
      </c>
      <c r="F255" s="88" t="str">
        <f>_xlfn.IFNA(VLOOKUP($D255,'Route-Details'!$B$2:$X$1048576,'Node Details'!F$1,0),"")</f>
        <v>DARIA</v>
      </c>
      <c r="G255" s="88" t="str">
        <f>_xlfn.IFNA(VLOOKUP($D255,'Route-Details'!$B$2:$X$1048576,'Node Details'!G$1,0),"")</f>
        <v>Chandigarh</v>
      </c>
      <c r="H255" s="88" t="str">
        <f>_xlfn.IFNA(VLOOKUP($D256,'Route-Details'!$B$2:$X$1048576,'Node Details'!H$1,0),"")</f>
        <v>Punjab</v>
      </c>
      <c r="I255" s="88" t="str">
        <f>_xlfn.IFNA(VLOOKUP($D255,'Route-Details'!$B$2:$X$1048576,'Node Details'!I$1,0),"")</f>
        <v>AXW</v>
      </c>
      <c r="J255" s="88" t="str">
        <f>_xlfn.IFNA(VLOOKUP($D255,'Route-Details'!$B$2:$X$1048576,'Node Details'!J$1,0),"")</f>
        <v>AXW</v>
      </c>
      <c r="K255" s="76">
        <v>46112</v>
      </c>
      <c r="L255" s="76">
        <v>46114</v>
      </c>
      <c r="M255" s="89">
        <v>46147</v>
      </c>
      <c r="N255" s="76">
        <v>46114</v>
      </c>
      <c r="Q255" s="86" t="s">
        <v>958</v>
      </c>
      <c r="R255" s="90"/>
      <c r="S255" s="87"/>
      <c r="T255" s="87"/>
      <c r="U255" s="87"/>
      <c r="V255" s="93"/>
      <c r="W255" s="91"/>
      <c r="X255" s="87"/>
      <c r="Y255" s="92"/>
      <c r="Z255" s="90"/>
      <c r="AA255" s="93"/>
      <c r="AB255" s="87"/>
      <c r="AC255" s="91"/>
      <c r="AD255" s="90"/>
      <c r="AE255" s="86"/>
      <c r="AF255" s="82"/>
      <c r="AG255" s="24"/>
      <c r="AH255" s="93"/>
      <c r="AI255" s="87"/>
      <c r="AJ255" s="86"/>
      <c r="AK255" s="81"/>
      <c r="AL255" s="24"/>
      <c r="AM255" s="24"/>
      <c r="AN255" s="81"/>
      <c r="AO255" s="81"/>
      <c r="AP255" s="24"/>
      <c r="AQ255" s="93"/>
      <c r="AR255" s="94"/>
      <c r="AS255" s="82"/>
      <c r="AT255" s="82"/>
      <c r="AU255" s="24"/>
      <c r="AV255" s="93"/>
      <c r="AW255" s="94"/>
      <c r="AX255" s="95"/>
      <c r="AY255" s="95"/>
      <c r="AZ255" s="95"/>
      <c r="BA255" s="24"/>
      <c r="BB255" s="9" t="s">
        <v>255</v>
      </c>
      <c r="BC255" s="96" t="s">
        <v>93</v>
      </c>
    </row>
    <row r="256" spans="1:55" ht="15" customHeight="1">
      <c r="A256" s="86">
        <f t="shared" si="21"/>
        <v>254</v>
      </c>
      <c r="B256" s="75" t="s">
        <v>458</v>
      </c>
      <c r="C256" s="9"/>
      <c r="D256" s="76" t="s">
        <v>380</v>
      </c>
      <c r="E256" s="88" t="str">
        <f>_xlfn.IFNA(VLOOKUP($D256,'Route-Details'!$B$2:$X$1048576,'Node Details'!E$1,0),"")</f>
        <v>Airtel</v>
      </c>
      <c r="F256" s="88" t="str">
        <f>_xlfn.IFNA(VLOOKUP($D256,'Route-Details'!$B$2:$X$1048576,'Node Details'!F$1,0),"")</f>
        <v>DARIA</v>
      </c>
      <c r="G256" s="88" t="str">
        <f>_xlfn.IFNA(VLOOKUP($D256,'Route-Details'!$B$2:$X$1048576,'Node Details'!G$1,0),"")</f>
        <v>Chandigarh</v>
      </c>
      <c r="H256" s="88" t="str">
        <f>_xlfn.IFNA(VLOOKUP($D257,'Route-Details'!$B$2:$X$1048576,'Node Details'!H$1,0),"")</f>
        <v>Punjab</v>
      </c>
      <c r="I256" s="88" t="str">
        <f>_xlfn.IFNA(VLOOKUP($D256,'Route-Details'!$B$2:$X$1048576,'Node Details'!I$1,0),"")</f>
        <v>AXW</v>
      </c>
      <c r="J256" s="88" t="str">
        <f>_xlfn.IFNA(VLOOKUP($D256,'Route-Details'!$B$2:$X$1048576,'Node Details'!J$1,0),"")</f>
        <v>AXW</v>
      </c>
      <c r="K256" s="76">
        <v>46112</v>
      </c>
      <c r="L256" s="76">
        <v>46114</v>
      </c>
      <c r="M256" s="89">
        <v>46147</v>
      </c>
      <c r="N256" s="76">
        <v>46114</v>
      </c>
      <c r="Q256" s="86" t="s">
        <v>958</v>
      </c>
      <c r="R256" s="90"/>
      <c r="S256" s="87"/>
      <c r="T256" s="87"/>
      <c r="U256" s="87"/>
      <c r="V256" s="93"/>
      <c r="W256" s="91"/>
      <c r="X256" s="87"/>
      <c r="Y256" s="92"/>
      <c r="Z256" s="90"/>
      <c r="AA256" s="93"/>
      <c r="AB256" s="87"/>
      <c r="AC256" s="91"/>
      <c r="AD256" s="90"/>
      <c r="AE256" s="86"/>
      <c r="AF256" s="82"/>
      <c r="AG256" s="24"/>
      <c r="AH256" s="93"/>
      <c r="AI256" s="87"/>
      <c r="AJ256" s="86"/>
      <c r="AK256" s="81"/>
      <c r="AL256" s="24"/>
      <c r="AM256" s="24"/>
      <c r="AN256" s="81"/>
      <c r="AO256" s="81"/>
      <c r="AP256" s="24"/>
      <c r="AQ256" s="93"/>
      <c r="AR256" s="94"/>
      <c r="AS256" s="82"/>
      <c r="AT256" s="82"/>
      <c r="AU256" s="24"/>
      <c r="AV256" s="93"/>
      <c r="AW256" s="94"/>
      <c r="AX256" s="95"/>
      <c r="AY256" s="95"/>
      <c r="AZ256" s="95"/>
      <c r="BA256" s="24"/>
      <c r="BB256" s="9" t="s">
        <v>104</v>
      </c>
      <c r="BC256" s="96" t="s">
        <v>93</v>
      </c>
    </row>
    <row r="257" spans="1:55" ht="15" customHeight="1">
      <c r="A257" s="86">
        <f t="shared" si="21"/>
        <v>255</v>
      </c>
      <c r="B257" s="75" t="s">
        <v>459</v>
      </c>
      <c r="C257" s="9"/>
      <c r="D257" s="76" t="s">
        <v>457</v>
      </c>
      <c r="E257" s="88" t="str">
        <f>_xlfn.IFNA(VLOOKUP($D257,'Route-Details'!$B$2:$X$1048576,'Node Details'!E$1,0),"")</f>
        <v>Airtel</v>
      </c>
      <c r="F257" s="88" t="str">
        <f>_xlfn.IFNA(VLOOKUP($D257,'Route-Details'!$B$2:$X$1048576,'Node Details'!F$1,0),"")</f>
        <v>DARIA</v>
      </c>
      <c r="G257" s="88" t="str">
        <f>_xlfn.IFNA(VLOOKUP($D257,'Route-Details'!$B$2:$X$1048576,'Node Details'!G$1,0),"")</f>
        <v>Chandigarh</v>
      </c>
      <c r="H257" s="88" t="str">
        <f>_xlfn.IFNA(VLOOKUP($D258,'Route-Details'!$B$2:$X$1048576,'Node Details'!H$1,0),"")</f>
        <v>Punjab</v>
      </c>
      <c r="I257" s="88" t="str">
        <f>_xlfn.IFNA(VLOOKUP($D257,'Route-Details'!$B$2:$X$1048576,'Node Details'!I$1,0),"")</f>
        <v>AXW</v>
      </c>
      <c r="J257" s="88" t="str">
        <f>_xlfn.IFNA(VLOOKUP($D257,'Route-Details'!$B$2:$X$1048576,'Node Details'!J$1,0),"")</f>
        <v>AXW</v>
      </c>
      <c r="K257" s="76">
        <v>46112</v>
      </c>
      <c r="L257" s="76">
        <v>46114</v>
      </c>
      <c r="M257" s="89">
        <v>46147</v>
      </c>
      <c r="N257" s="76">
        <v>46114</v>
      </c>
      <c r="Q257" s="86" t="s">
        <v>958</v>
      </c>
      <c r="R257" s="90"/>
      <c r="S257" s="87"/>
      <c r="T257" s="87"/>
      <c r="U257" s="87"/>
      <c r="V257" s="93"/>
      <c r="W257" s="91"/>
      <c r="X257" s="87"/>
      <c r="Y257" s="92"/>
      <c r="Z257" s="90"/>
      <c r="AA257" s="93"/>
      <c r="AB257" s="87"/>
      <c r="AC257" s="91"/>
      <c r="AD257" s="90"/>
      <c r="AE257" s="86"/>
      <c r="AF257" s="82"/>
      <c r="AG257" s="24"/>
      <c r="AH257" s="93"/>
      <c r="AI257" s="87"/>
      <c r="AJ257" s="86"/>
      <c r="AK257" s="81"/>
      <c r="AL257" s="24"/>
      <c r="AM257" s="24"/>
      <c r="AN257" s="81"/>
      <c r="AO257" s="81"/>
      <c r="AP257" s="24"/>
      <c r="AQ257" s="93"/>
      <c r="AR257" s="94"/>
      <c r="AS257" s="82"/>
      <c r="AT257" s="82"/>
      <c r="AU257" s="24"/>
      <c r="AV257" s="93"/>
      <c r="AW257" s="94"/>
      <c r="AX257" s="95"/>
      <c r="AY257" s="95"/>
      <c r="AZ257" s="95"/>
      <c r="BA257" s="24"/>
      <c r="BB257" s="9" t="s">
        <v>258</v>
      </c>
      <c r="BC257" s="96" t="s">
        <v>93</v>
      </c>
    </row>
    <row r="258" spans="1:55" ht="15" customHeight="1">
      <c r="A258" s="86">
        <f t="shared" si="21"/>
        <v>256</v>
      </c>
      <c r="B258" s="75" t="s">
        <v>461</v>
      </c>
      <c r="C258" s="9"/>
      <c r="D258" s="76" t="s">
        <v>460</v>
      </c>
      <c r="E258" s="88" t="str">
        <f>_xlfn.IFNA(VLOOKUP($D258,'Route-Details'!$B$2:$X$1048576,'Node Details'!E$1,0),"")</f>
        <v>Airtel</v>
      </c>
      <c r="F258" s="88" t="str">
        <f>_xlfn.IFNA(VLOOKUP($D258,'Route-Details'!$B$2:$X$1048576,'Node Details'!F$1,0),"")</f>
        <v>DARIA</v>
      </c>
      <c r="G258" s="88" t="str">
        <f>_xlfn.IFNA(VLOOKUP($D258,'Route-Details'!$B$2:$X$1048576,'Node Details'!G$1,0),"")</f>
        <v>Chandigarh</v>
      </c>
      <c r="H258" s="88" t="str">
        <f>_xlfn.IFNA(VLOOKUP($D259,'Route-Details'!$B$2:$X$1048576,'Node Details'!H$1,0),"")</f>
        <v>Punjab</v>
      </c>
      <c r="I258" s="88" t="str">
        <f>_xlfn.IFNA(VLOOKUP($D258,'Route-Details'!$B$2:$X$1048576,'Node Details'!I$1,0),"")</f>
        <v>AXW</v>
      </c>
      <c r="J258" s="88" t="str">
        <f>_xlfn.IFNA(VLOOKUP($D258,'Route-Details'!$B$2:$X$1048576,'Node Details'!J$1,0),"")</f>
        <v>AXW</v>
      </c>
      <c r="K258" s="76">
        <v>46112</v>
      </c>
      <c r="L258" s="76">
        <v>46114</v>
      </c>
      <c r="M258" s="89">
        <v>46147</v>
      </c>
      <c r="N258" s="76">
        <v>46114</v>
      </c>
      <c r="Q258" s="86" t="s">
        <v>958</v>
      </c>
      <c r="R258" s="90"/>
      <c r="S258" s="87"/>
      <c r="T258" s="87"/>
      <c r="U258" s="87"/>
      <c r="V258" s="93"/>
      <c r="W258" s="91"/>
      <c r="X258" s="87"/>
      <c r="Y258" s="92"/>
      <c r="Z258" s="90"/>
      <c r="AA258" s="93"/>
      <c r="AB258" s="87"/>
      <c r="AC258" s="91"/>
      <c r="AD258" s="90"/>
      <c r="AE258" s="86"/>
      <c r="AF258" s="82"/>
      <c r="AG258" s="24"/>
      <c r="AH258" s="93"/>
      <c r="AI258" s="87"/>
      <c r="AJ258" s="86"/>
      <c r="AK258" s="81"/>
      <c r="AL258" s="24"/>
      <c r="AM258" s="24"/>
      <c r="AN258" s="81"/>
      <c r="AO258" s="81"/>
      <c r="AP258" s="24"/>
      <c r="AQ258" s="93"/>
      <c r="AR258" s="94"/>
      <c r="AS258" s="82"/>
      <c r="AT258" s="82"/>
      <c r="AU258" s="24"/>
      <c r="AV258" s="93"/>
      <c r="AW258" s="94"/>
      <c r="AX258" s="95"/>
      <c r="AY258" s="95"/>
      <c r="AZ258" s="95"/>
      <c r="BA258" s="24"/>
      <c r="BB258" s="9" t="s">
        <v>262</v>
      </c>
      <c r="BC258" s="96" t="s">
        <v>93</v>
      </c>
    </row>
    <row r="259" spans="1:55" ht="15" customHeight="1">
      <c r="A259" s="86">
        <f t="shared" si="21"/>
        <v>257</v>
      </c>
      <c r="B259" s="75" t="s">
        <v>1082</v>
      </c>
      <c r="C259" s="9"/>
      <c r="D259" s="76" t="s">
        <v>462</v>
      </c>
      <c r="E259" s="88" t="str">
        <f>_xlfn.IFNA(VLOOKUP($D259,'Route-Details'!$B$2:$X$1048576,'Node Details'!E$1,0),"")</f>
        <v>Airtel</v>
      </c>
      <c r="F259" s="88" t="str">
        <f>_xlfn.IFNA(VLOOKUP($D259,'Route-Details'!$B$2:$X$1048576,'Node Details'!F$1,0),"")</f>
        <v>DARIA</v>
      </c>
      <c r="G259" s="88" t="str">
        <f>_xlfn.IFNA(VLOOKUP($D259,'Route-Details'!$B$2:$X$1048576,'Node Details'!G$1,0),"")</f>
        <v>Chandigarh</v>
      </c>
      <c r="H259" s="88" t="str">
        <f>_xlfn.IFNA(VLOOKUP($D260,'Route-Details'!$B$2:$X$1048576,'Node Details'!H$1,0),"")</f>
        <v>Punjab</v>
      </c>
      <c r="I259" s="88" t="str">
        <f>_xlfn.IFNA(VLOOKUP($D259,'Route-Details'!$B$2:$X$1048576,'Node Details'!I$1,0),"")</f>
        <v>AXW</v>
      </c>
      <c r="J259" s="88" t="str">
        <f>_xlfn.IFNA(VLOOKUP($D259,'Route-Details'!$B$2:$X$1048576,'Node Details'!J$1,0),"")</f>
        <v>AXW</v>
      </c>
      <c r="K259" s="76">
        <v>46112</v>
      </c>
      <c r="L259" s="76">
        <v>46114</v>
      </c>
      <c r="M259" s="89">
        <v>46147</v>
      </c>
      <c r="N259" s="76">
        <v>46114</v>
      </c>
      <c r="Q259" s="86" t="s">
        <v>958</v>
      </c>
      <c r="R259" s="90"/>
      <c r="S259" s="87"/>
      <c r="T259" s="87"/>
      <c r="U259" s="87"/>
      <c r="V259" s="93"/>
      <c r="W259" s="91"/>
      <c r="X259" s="87"/>
      <c r="Y259" s="92"/>
      <c r="Z259" s="90"/>
      <c r="AA259" s="93"/>
      <c r="AB259" s="87"/>
      <c r="AC259" s="91"/>
      <c r="AD259" s="90"/>
      <c r="AE259" s="86"/>
      <c r="AF259" s="82"/>
      <c r="AG259" s="24"/>
      <c r="AH259" s="93"/>
      <c r="AI259" s="87"/>
      <c r="AJ259" s="86"/>
      <c r="AK259" s="81"/>
      <c r="AL259" s="24"/>
      <c r="AM259" s="24"/>
      <c r="AN259" s="81"/>
      <c r="AO259" s="81"/>
      <c r="AP259" s="24"/>
      <c r="AQ259" s="93"/>
      <c r="AR259" s="94"/>
      <c r="AS259" s="82"/>
      <c r="AT259" s="82"/>
      <c r="AU259" s="24"/>
      <c r="AV259" s="93"/>
      <c r="AW259" s="94"/>
      <c r="AX259" s="95"/>
      <c r="AY259" s="95"/>
      <c r="AZ259" s="95"/>
      <c r="BA259" s="24"/>
      <c r="BB259" s="9" t="s">
        <v>266</v>
      </c>
      <c r="BC259" s="96" t="s">
        <v>93</v>
      </c>
    </row>
    <row r="260" spans="1:55" ht="15" customHeight="1">
      <c r="A260" s="86">
        <f t="shared" si="21"/>
        <v>258</v>
      </c>
      <c r="B260" s="75" t="s">
        <v>1083</v>
      </c>
      <c r="C260" s="9"/>
      <c r="D260" s="76" t="s">
        <v>462</v>
      </c>
      <c r="E260" s="88" t="str">
        <f>_xlfn.IFNA(VLOOKUP($D260,'Route-Details'!$B$2:$X$1048576,'Node Details'!E$1,0),"")</f>
        <v>Airtel</v>
      </c>
      <c r="F260" s="88" t="str">
        <f>_xlfn.IFNA(VLOOKUP($D260,'Route-Details'!$B$2:$X$1048576,'Node Details'!F$1,0),"")</f>
        <v>DARIA</v>
      </c>
      <c r="G260" s="88" t="str">
        <f>_xlfn.IFNA(VLOOKUP($D260,'Route-Details'!$B$2:$X$1048576,'Node Details'!G$1,0),"")</f>
        <v>Chandigarh</v>
      </c>
      <c r="H260" s="88" t="str">
        <f>_xlfn.IFNA(VLOOKUP($D261,'Route-Details'!$B$2:$X$1048576,'Node Details'!H$1,0),"")</f>
        <v>Punjab</v>
      </c>
      <c r="I260" s="88" t="str">
        <f>_xlfn.IFNA(VLOOKUP($D260,'Route-Details'!$B$2:$X$1048576,'Node Details'!I$1,0),"")</f>
        <v>AXW</v>
      </c>
      <c r="J260" s="88" t="str">
        <f>_xlfn.IFNA(VLOOKUP($D260,'Route-Details'!$B$2:$X$1048576,'Node Details'!J$1,0),"")</f>
        <v>AXW</v>
      </c>
      <c r="K260" s="76">
        <v>46112</v>
      </c>
      <c r="L260" s="76">
        <v>46114</v>
      </c>
      <c r="M260" s="89">
        <v>46147</v>
      </c>
      <c r="N260" s="76">
        <v>46114</v>
      </c>
      <c r="Q260" s="86" t="s">
        <v>958</v>
      </c>
      <c r="R260" s="90"/>
      <c r="S260" s="87"/>
      <c r="T260" s="87"/>
      <c r="U260" s="87"/>
      <c r="V260" s="93"/>
      <c r="W260" s="91"/>
      <c r="X260" s="87"/>
      <c r="Y260" s="92"/>
      <c r="Z260" s="90"/>
      <c r="AA260" s="93"/>
      <c r="AB260" s="87"/>
      <c r="AC260" s="91"/>
      <c r="AD260" s="90"/>
      <c r="AE260" s="86"/>
      <c r="AF260" s="82"/>
      <c r="AG260" s="24"/>
      <c r="AH260" s="93"/>
      <c r="AI260" s="87"/>
      <c r="AJ260" s="86"/>
      <c r="AK260" s="81"/>
      <c r="AL260" s="24"/>
      <c r="AM260" s="24"/>
      <c r="AN260" s="81"/>
      <c r="AO260" s="81"/>
      <c r="AP260" s="24"/>
      <c r="AQ260" s="93"/>
      <c r="AR260" s="94"/>
      <c r="AS260" s="82"/>
      <c r="AT260" s="82"/>
      <c r="AU260" s="24"/>
      <c r="AV260" s="93"/>
      <c r="AW260" s="94"/>
      <c r="AX260" s="95"/>
      <c r="AY260" s="95"/>
      <c r="AZ260" s="95"/>
      <c r="BA260" s="24"/>
      <c r="BB260" s="9" t="s">
        <v>266</v>
      </c>
      <c r="BC260" s="96" t="s">
        <v>93</v>
      </c>
    </row>
    <row r="261" spans="1:55" ht="15" customHeight="1">
      <c r="A261" s="86">
        <f t="shared" ref="A261:A324" si="22">A260+1</f>
        <v>259</v>
      </c>
      <c r="B261" s="75" t="s">
        <v>1084</v>
      </c>
      <c r="C261" s="9"/>
      <c r="D261" s="76" t="s">
        <v>462</v>
      </c>
      <c r="E261" s="88" t="str">
        <f>_xlfn.IFNA(VLOOKUP($D261,'Route-Details'!$B$2:$X$1048576,'Node Details'!E$1,0),"")</f>
        <v>Airtel</v>
      </c>
      <c r="F261" s="88" t="str">
        <f>_xlfn.IFNA(VLOOKUP($D261,'Route-Details'!$B$2:$X$1048576,'Node Details'!F$1,0),"")</f>
        <v>DARIA</v>
      </c>
      <c r="G261" s="88" t="str">
        <f>_xlfn.IFNA(VLOOKUP($D261,'Route-Details'!$B$2:$X$1048576,'Node Details'!G$1,0),"")</f>
        <v>Chandigarh</v>
      </c>
      <c r="H261" s="88" t="str">
        <f>_xlfn.IFNA(VLOOKUP($D262,'Route-Details'!$B$2:$X$1048576,'Node Details'!H$1,0),"")</f>
        <v>Punjab</v>
      </c>
      <c r="I261" s="88" t="str">
        <f>_xlfn.IFNA(VLOOKUP($D261,'Route-Details'!$B$2:$X$1048576,'Node Details'!I$1,0),"")</f>
        <v>AXW</v>
      </c>
      <c r="J261" s="88" t="str">
        <f>_xlfn.IFNA(VLOOKUP($D261,'Route-Details'!$B$2:$X$1048576,'Node Details'!J$1,0),"")</f>
        <v>AXW</v>
      </c>
      <c r="K261" s="76">
        <v>46112</v>
      </c>
      <c r="L261" s="76">
        <v>46114</v>
      </c>
      <c r="M261" s="89">
        <v>46147</v>
      </c>
      <c r="N261" s="76">
        <v>46114</v>
      </c>
      <c r="Q261" s="86" t="s">
        <v>958</v>
      </c>
      <c r="R261" s="90"/>
      <c r="S261" s="87"/>
      <c r="T261" s="87"/>
      <c r="U261" s="87"/>
      <c r="V261" s="93"/>
      <c r="W261" s="91"/>
      <c r="X261" s="87"/>
      <c r="Y261" s="92"/>
      <c r="Z261" s="90"/>
      <c r="AA261" s="93"/>
      <c r="AB261" s="87"/>
      <c r="AC261" s="91"/>
      <c r="AD261" s="90"/>
      <c r="AE261" s="86"/>
      <c r="AF261" s="82"/>
      <c r="AG261" s="24"/>
      <c r="AH261" s="93"/>
      <c r="AI261" s="87"/>
      <c r="AJ261" s="86"/>
      <c r="AK261" s="81"/>
      <c r="AL261" s="24"/>
      <c r="AM261" s="24"/>
      <c r="AN261" s="81"/>
      <c r="AO261" s="81"/>
      <c r="AP261" s="24"/>
      <c r="AQ261" s="93"/>
      <c r="AR261" s="94"/>
      <c r="AS261" s="82"/>
      <c r="AT261" s="82"/>
      <c r="AU261" s="24"/>
      <c r="AV261" s="93"/>
      <c r="AW261" s="94"/>
      <c r="AX261" s="95"/>
      <c r="AY261" s="95"/>
      <c r="AZ261" s="95"/>
      <c r="BA261" s="24"/>
      <c r="BB261" s="9" t="s">
        <v>266</v>
      </c>
      <c r="BC261" s="96" t="s">
        <v>93</v>
      </c>
    </row>
    <row r="262" spans="1:55" ht="15" customHeight="1">
      <c r="A262" s="86">
        <f t="shared" si="22"/>
        <v>260</v>
      </c>
      <c r="B262" s="75" t="s">
        <v>463</v>
      </c>
      <c r="C262" s="9"/>
      <c r="D262" s="76" t="s">
        <v>462</v>
      </c>
      <c r="E262" s="88" t="str">
        <f>_xlfn.IFNA(VLOOKUP($D262,'Route-Details'!$B$2:$X$1048576,'Node Details'!E$1,0),"")</f>
        <v>Airtel</v>
      </c>
      <c r="F262" s="88" t="str">
        <f>_xlfn.IFNA(VLOOKUP($D262,'Route-Details'!$B$2:$X$1048576,'Node Details'!F$1,0),"")</f>
        <v>DARIA</v>
      </c>
      <c r="G262" s="88" t="str">
        <f>_xlfn.IFNA(VLOOKUP($D262,'Route-Details'!$B$2:$X$1048576,'Node Details'!G$1,0),"")</f>
        <v>Chandigarh</v>
      </c>
      <c r="H262" s="88" t="str">
        <f>_xlfn.IFNA(VLOOKUP($D263,'Route-Details'!$B$2:$X$1048576,'Node Details'!H$1,0),"")</f>
        <v>Punjab</v>
      </c>
      <c r="I262" s="88" t="str">
        <f>_xlfn.IFNA(VLOOKUP($D262,'Route-Details'!$B$2:$X$1048576,'Node Details'!I$1,0),"")</f>
        <v>AXW</v>
      </c>
      <c r="J262" s="88" t="str">
        <f>_xlfn.IFNA(VLOOKUP($D262,'Route-Details'!$B$2:$X$1048576,'Node Details'!J$1,0),"")</f>
        <v>AXW</v>
      </c>
      <c r="K262" s="76">
        <v>46112</v>
      </c>
      <c r="L262" s="76">
        <v>46114</v>
      </c>
      <c r="M262" s="89">
        <v>46147</v>
      </c>
      <c r="N262" s="76">
        <v>46114</v>
      </c>
      <c r="Q262" s="86" t="s">
        <v>958</v>
      </c>
      <c r="R262" s="90"/>
      <c r="S262" s="87"/>
      <c r="T262" s="87"/>
      <c r="U262" s="87"/>
      <c r="V262" s="93"/>
      <c r="W262" s="91"/>
      <c r="X262" s="87"/>
      <c r="Y262" s="92"/>
      <c r="Z262" s="90"/>
      <c r="AA262" s="93"/>
      <c r="AB262" s="87"/>
      <c r="AC262" s="91"/>
      <c r="AD262" s="90"/>
      <c r="AE262" s="86"/>
      <c r="AF262" s="82"/>
      <c r="AG262" s="24"/>
      <c r="AH262" s="93"/>
      <c r="AI262" s="87"/>
      <c r="AJ262" s="86"/>
      <c r="AK262" s="81"/>
      <c r="AL262" s="24"/>
      <c r="AM262" s="24"/>
      <c r="AN262" s="81"/>
      <c r="AO262" s="81"/>
      <c r="AP262" s="24"/>
      <c r="AQ262" s="93"/>
      <c r="AR262" s="94"/>
      <c r="AS262" s="82"/>
      <c r="AT262" s="82"/>
      <c r="AU262" s="24"/>
      <c r="AV262" s="93"/>
      <c r="AW262" s="94"/>
      <c r="AX262" s="95"/>
      <c r="AY262" s="95"/>
      <c r="AZ262" s="95"/>
      <c r="BA262" s="24"/>
      <c r="BB262" s="9" t="s">
        <v>266</v>
      </c>
      <c r="BC262" s="96" t="s">
        <v>93</v>
      </c>
    </row>
    <row r="263" spans="1:55" ht="15" customHeight="1">
      <c r="A263" s="86">
        <f t="shared" si="22"/>
        <v>261</v>
      </c>
      <c r="B263" s="75" t="s">
        <v>383</v>
      </c>
      <c r="C263" s="9"/>
      <c r="D263" s="76" t="s">
        <v>380</v>
      </c>
      <c r="E263" s="88" t="str">
        <f>_xlfn.IFNA(VLOOKUP($D263,'Route-Details'!$B$2:$X$1048576,'Node Details'!E$1,0),"")</f>
        <v>Airtel</v>
      </c>
      <c r="F263" s="88" t="str">
        <f>_xlfn.IFNA(VLOOKUP($D263,'Route-Details'!$B$2:$X$1048576,'Node Details'!F$1,0),"")</f>
        <v>DARIA</v>
      </c>
      <c r="G263" s="88" t="str">
        <f>_xlfn.IFNA(VLOOKUP($D263,'Route-Details'!$B$2:$X$1048576,'Node Details'!G$1,0),"")</f>
        <v>Chandigarh</v>
      </c>
      <c r="H263" s="88" t="str">
        <f>_xlfn.IFNA(VLOOKUP($D264,'Route-Details'!$B$2:$X$1048576,'Node Details'!H$1,0),"")</f>
        <v>Punjab</v>
      </c>
      <c r="I263" s="88" t="str">
        <f>_xlfn.IFNA(VLOOKUP($D263,'Route-Details'!$B$2:$X$1048576,'Node Details'!I$1,0),"")</f>
        <v>AXW</v>
      </c>
      <c r="J263" s="88" t="str">
        <f>_xlfn.IFNA(VLOOKUP($D263,'Route-Details'!$B$2:$X$1048576,'Node Details'!J$1,0),"")</f>
        <v>AXW</v>
      </c>
      <c r="K263" s="76">
        <v>46112</v>
      </c>
      <c r="L263" s="76">
        <v>46114</v>
      </c>
      <c r="M263" s="89">
        <v>46147</v>
      </c>
      <c r="N263" s="76">
        <v>46114</v>
      </c>
      <c r="Q263" s="86" t="s">
        <v>958</v>
      </c>
      <c r="R263" s="90"/>
      <c r="S263" s="87"/>
      <c r="T263" s="87"/>
      <c r="U263" s="87"/>
      <c r="V263" s="93"/>
      <c r="W263" s="91"/>
      <c r="X263" s="87"/>
      <c r="Y263" s="92"/>
      <c r="Z263" s="90"/>
      <c r="AA263" s="93"/>
      <c r="AB263" s="87"/>
      <c r="AC263" s="91"/>
      <c r="AD263" s="90"/>
      <c r="AE263" s="86"/>
      <c r="AF263" s="82"/>
      <c r="AG263" s="24"/>
      <c r="AH263" s="93"/>
      <c r="AI263" s="87"/>
      <c r="AJ263" s="86"/>
      <c r="AK263" s="81"/>
      <c r="AL263" s="24"/>
      <c r="AM263" s="24"/>
      <c r="AN263" s="81"/>
      <c r="AO263" s="81"/>
      <c r="AP263" s="24"/>
      <c r="AQ263" s="93"/>
      <c r="AR263" s="94"/>
      <c r="AS263" s="82"/>
      <c r="AT263" s="82"/>
      <c r="AU263" s="24"/>
      <c r="AV263" s="93"/>
      <c r="AW263" s="94"/>
      <c r="AX263" s="95"/>
      <c r="AY263" s="95"/>
      <c r="AZ263" s="95"/>
      <c r="BA263" s="24"/>
      <c r="BB263" s="9" t="s">
        <v>104</v>
      </c>
      <c r="BC263" s="96" t="s">
        <v>93</v>
      </c>
    </row>
    <row r="264" spans="1:55" ht="15" customHeight="1">
      <c r="A264" s="86">
        <f t="shared" si="22"/>
        <v>262</v>
      </c>
      <c r="B264" s="75" t="s">
        <v>471</v>
      </c>
      <c r="C264" s="9"/>
      <c r="D264" s="76" t="s">
        <v>464</v>
      </c>
      <c r="E264" s="88" t="str">
        <f>_xlfn.IFNA(VLOOKUP($D264,'Route-Details'!$B$2:$X$1048576,'Node Details'!E$1,0),"")</f>
        <v>Airtel</v>
      </c>
      <c r="F264" s="88" t="str">
        <f>_xlfn.IFNA(VLOOKUP($D264,'Route-Details'!$B$2:$X$1048576,'Node Details'!F$1,0),"")</f>
        <v>DARIA</v>
      </c>
      <c r="G264" s="88" t="str">
        <f>_xlfn.IFNA(VLOOKUP($D264,'Route-Details'!$B$2:$X$1048576,'Node Details'!G$1,0),"")</f>
        <v>Chandigarh</v>
      </c>
      <c r="H264" s="88" t="str">
        <f>_xlfn.IFNA(VLOOKUP($D265,'Route-Details'!$B$2:$X$1048576,'Node Details'!H$1,0),"")</f>
        <v>Punjab</v>
      </c>
      <c r="I264" s="88" t="str">
        <f>_xlfn.IFNA(VLOOKUP($D264,'Route-Details'!$B$2:$X$1048576,'Node Details'!I$1,0),"")</f>
        <v>AXW</v>
      </c>
      <c r="J264" s="88" t="str">
        <f>_xlfn.IFNA(VLOOKUP($D264,'Route-Details'!$B$2:$X$1048576,'Node Details'!J$1,0),"")</f>
        <v>AXW</v>
      </c>
      <c r="K264" s="76">
        <v>46112</v>
      </c>
      <c r="L264" s="76">
        <v>46114</v>
      </c>
      <c r="M264" s="89">
        <v>46147</v>
      </c>
      <c r="N264" s="76">
        <v>46114</v>
      </c>
      <c r="Q264" s="86" t="s">
        <v>958</v>
      </c>
      <c r="R264" s="90"/>
      <c r="S264" s="87"/>
      <c r="T264" s="87"/>
      <c r="U264" s="87"/>
      <c r="V264" s="93"/>
      <c r="W264" s="91"/>
      <c r="X264" s="87"/>
      <c r="Y264" s="92"/>
      <c r="Z264" s="90"/>
      <c r="AA264" s="93"/>
      <c r="AB264" s="87"/>
      <c r="AC264" s="91"/>
      <c r="AD264" s="90"/>
      <c r="AE264" s="86"/>
      <c r="AF264" s="82"/>
      <c r="AG264" s="24"/>
      <c r="AH264" s="93"/>
      <c r="AI264" s="87"/>
      <c r="AJ264" s="86"/>
      <c r="AK264" s="81"/>
      <c r="AL264" s="24"/>
      <c r="AM264" s="24"/>
      <c r="AN264" s="81"/>
      <c r="AO264" s="81"/>
      <c r="AP264" s="24"/>
      <c r="AQ264" s="93"/>
      <c r="AR264" s="94"/>
      <c r="AS264" s="82"/>
      <c r="AT264" s="82"/>
      <c r="AU264" s="24"/>
      <c r="AV264" s="93"/>
      <c r="AW264" s="94"/>
      <c r="AX264" s="95"/>
      <c r="AY264" s="95"/>
      <c r="AZ264" s="95"/>
      <c r="BA264" s="24"/>
      <c r="BB264" s="9" t="s">
        <v>270</v>
      </c>
      <c r="BC264" s="96" t="s">
        <v>93</v>
      </c>
    </row>
    <row r="265" spans="1:55" ht="15" customHeight="1">
      <c r="A265" s="86">
        <f t="shared" si="22"/>
        <v>263</v>
      </c>
      <c r="B265" s="75" t="s">
        <v>467</v>
      </c>
      <c r="C265" s="9"/>
      <c r="D265" s="76" t="s">
        <v>466</v>
      </c>
      <c r="E265" s="88" t="str">
        <f>_xlfn.IFNA(VLOOKUP($D265,'Route-Details'!$B$2:$X$1048576,'Node Details'!E$1,0),"")</f>
        <v>Airtel</v>
      </c>
      <c r="F265" s="88" t="str">
        <f>_xlfn.IFNA(VLOOKUP($D265,'Route-Details'!$B$2:$X$1048576,'Node Details'!F$1,0),"")</f>
        <v>DARIA</v>
      </c>
      <c r="G265" s="88" t="str">
        <f>_xlfn.IFNA(VLOOKUP($D265,'Route-Details'!$B$2:$X$1048576,'Node Details'!G$1,0),"")</f>
        <v>Chandigarh</v>
      </c>
      <c r="H265" s="88" t="str">
        <f>_xlfn.IFNA(VLOOKUP($D266,'Route-Details'!$B$2:$X$1048576,'Node Details'!H$1,0),"")</f>
        <v>Punjab</v>
      </c>
      <c r="I265" s="88" t="str">
        <f>_xlfn.IFNA(VLOOKUP($D265,'Route-Details'!$B$2:$X$1048576,'Node Details'!I$1,0),"")</f>
        <v>AXW</v>
      </c>
      <c r="J265" s="88" t="str">
        <f>_xlfn.IFNA(VLOOKUP($D265,'Route-Details'!$B$2:$X$1048576,'Node Details'!J$1,0),"")</f>
        <v>AXW</v>
      </c>
      <c r="K265" s="76">
        <v>46112</v>
      </c>
      <c r="L265" s="76">
        <v>46114</v>
      </c>
      <c r="M265" s="89">
        <v>46147</v>
      </c>
      <c r="N265" s="76">
        <v>46114</v>
      </c>
      <c r="Q265" s="86" t="s">
        <v>958</v>
      </c>
      <c r="R265" s="90"/>
      <c r="S265" s="87"/>
      <c r="T265" s="87"/>
      <c r="U265" s="87"/>
      <c r="V265" s="93"/>
      <c r="W265" s="91"/>
      <c r="X265" s="87"/>
      <c r="Y265" s="92"/>
      <c r="Z265" s="90"/>
      <c r="AA265" s="93"/>
      <c r="AB265" s="87"/>
      <c r="AC265" s="91"/>
      <c r="AD265" s="90"/>
      <c r="AE265" s="86"/>
      <c r="AF265" s="82"/>
      <c r="AG265" s="24"/>
      <c r="AH265" s="93"/>
      <c r="AI265" s="87"/>
      <c r="AJ265" s="86"/>
      <c r="AK265" s="81"/>
      <c r="AL265" s="24"/>
      <c r="AM265" s="24"/>
      <c r="AN265" s="81"/>
      <c r="AO265" s="81"/>
      <c r="AP265" s="24"/>
      <c r="AQ265" s="93"/>
      <c r="AR265" s="94"/>
      <c r="AS265" s="82"/>
      <c r="AT265" s="82"/>
      <c r="AU265" s="24"/>
      <c r="AV265" s="93"/>
      <c r="AW265" s="94"/>
      <c r="AX265" s="95"/>
      <c r="AY265" s="95"/>
      <c r="AZ265" s="95"/>
      <c r="BA265" s="24"/>
      <c r="BB265" s="9" t="s">
        <v>274</v>
      </c>
      <c r="BC265" s="96" t="s">
        <v>93</v>
      </c>
    </row>
    <row r="266" spans="1:55" ht="15" customHeight="1">
      <c r="A266" s="86">
        <f t="shared" si="22"/>
        <v>264</v>
      </c>
      <c r="B266" s="75" t="s">
        <v>1085</v>
      </c>
      <c r="C266" s="9"/>
      <c r="D266" s="76" t="s">
        <v>468</v>
      </c>
      <c r="E266" s="88" t="str">
        <f>_xlfn.IFNA(VLOOKUP($D266,'Route-Details'!$B$2:$X$1048576,'Node Details'!E$1,0),"")</f>
        <v>Airtel</v>
      </c>
      <c r="F266" s="88" t="str">
        <f>_xlfn.IFNA(VLOOKUP($D266,'Route-Details'!$B$2:$X$1048576,'Node Details'!F$1,0),"")</f>
        <v>DARIA</v>
      </c>
      <c r="G266" s="88" t="str">
        <f>_xlfn.IFNA(VLOOKUP($D266,'Route-Details'!$B$2:$X$1048576,'Node Details'!G$1,0),"")</f>
        <v>Chandigarh</v>
      </c>
      <c r="H266" s="88" t="str">
        <f>_xlfn.IFNA(VLOOKUP($D267,'Route-Details'!$B$2:$X$1048576,'Node Details'!H$1,0),"")</f>
        <v>Punjab</v>
      </c>
      <c r="I266" s="88" t="str">
        <f>_xlfn.IFNA(VLOOKUP($D266,'Route-Details'!$B$2:$X$1048576,'Node Details'!I$1,0),"")</f>
        <v>AXW</v>
      </c>
      <c r="J266" s="88" t="str">
        <f>_xlfn.IFNA(VLOOKUP($D266,'Route-Details'!$B$2:$X$1048576,'Node Details'!J$1,0),"")</f>
        <v>AXW</v>
      </c>
      <c r="K266" s="76">
        <v>46112</v>
      </c>
      <c r="L266" s="76">
        <v>46114</v>
      </c>
      <c r="M266" s="89">
        <v>46147</v>
      </c>
      <c r="N266" s="76">
        <v>46114</v>
      </c>
      <c r="Q266" s="86" t="s">
        <v>958</v>
      </c>
      <c r="R266" s="90"/>
      <c r="S266" s="87"/>
      <c r="T266" s="87"/>
      <c r="U266" s="87"/>
      <c r="V266" s="93"/>
      <c r="W266" s="91"/>
      <c r="X266" s="87"/>
      <c r="Y266" s="92"/>
      <c r="Z266" s="90"/>
      <c r="AA266" s="93"/>
      <c r="AB266" s="87"/>
      <c r="AC266" s="91"/>
      <c r="AD266" s="90"/>
      <c r="AE266" s="86"/>
      <c r="AF266" s="82"/>
      <c r="AG266" s="24"/>
      <c r="AH266" s="93"/>
      <c r="AI266" s="87"/>
      <c r="AJ266" s="86"/>
      <c r="AK266" s="81"/>
      <c r="AL266" s="24"/>
      <c r="AM266" s="24"/>
      <c r="AN266" s="81"/>
      <c r="AO266" s="81"/>
      <c r="AP266" s="24"/>
      <c r="AQ266" s="93"/>
      <c r="AR266" s="94"/>
      <c r="AS266" s="82"/>
      <c r="AT266" s="82"/>
      <c r="AU266" s="24"/>
      <c r="AV266" s="93"/>
      <c r="AW266" s="94"/>
      <c r="AX266" s="95"/>
      <c r="AY266" s="95"/>
      <c r="AZ266" s="95"/>
      <c r="BA266" s="24"/>
      <c r="BB266" s="9" t="s">
        <v>278</v>
      </c>
      <c r="BC266" s="96" t="s">
        <v>93</v>
      </c>
    </row>
    <row r="267" spans="1:55" ht="15" customHeight="1">
      <c r="A267" s="86">
        <f t="shared" si="22"/>
        <v>265</v>
      </c>
      <c r="B267" s="75" t="s">
        <v>1086</v>
      </c>
      <c r="C267" s="9"/>
      <c r="D267" s="76" t="s">
        <v>468</v>
      </c>
      <c r="E267" s="88" t="str">
        <f>_xlfn.IFNA(VLOOKUP($D267,'Route-Details'!$B$2:$X$1048576,'Node Details'!E$1,0),"")</f>
        <v>Airtel</v>
      </c>
      <c r="F267" s="88" t="str">
        <f>_xlfn.IFNA(VLOOKUP($D267,'Route-Details'!$B$2:$X$1048576,'Node Details'!F$1,0),"")</f>
        <v>DARIA</v>
      </c>
      <c r="G267" s="88" t="str">
        <f>_xlfn.IFNA(VLOOKUP($D267,'Route-Details'!$B$2:$X$1048576,'Node Details'!G$1,0),"")</f>
        <v>Chandigarh</v>
      </c>
      <c r="H267" s="88" t="str">
        <f>_xlfn.IFNA(VLOOKUP($D268,'Route-Details'!$B$2:$X$1048576,'Node Details'!H$1,0),"")</f>
        <v>Punjab</v>
      </c>
      <c r="I267" s="88" t="str">
        <f>_xlfn.IFNA(VLOOKUP($D267,'Route-Details'!$B$2:$X$1048576,'Node Details'!I$1,0),"")</f>
        <v>AXW</v>
      </c>
      <c r="J267" s="88" t="str">
        <f>_xlfn.IFNA(VLOOKUP($D267,'Route-Details'!$B$2:$X$1048576,'Node Details'!J$1,0),"")</f>
        <v>AXW</v>
      </c>
      <c r="K267" s="76">
        <v>46112</v>
      </c>
      <c r="L267" s="76">
        <v>46114</v>
      </c>
      <c r="M267" s="89">
        <v>46147</v>
      </c>
      <c r="N267" s="76">
        <v>46114</v>
      </c>
      <c r="Q267" s="86" t="s">
        <v>958</v>
      </c>
      <c r="R267" s="90"/>
      <c r="S267" s="87"/>
      <c r="T267" s="87"/>
      <c r="U267" s="87"/>
      <c r="V267" s="93"/>
      <c r="W267" s="91"/>
      <c r="X267" s="87"/>
      <c r="Y267" s="92"/>
      <c r="Z267" s="90"/>
      <c r="AA267" s="93"/>
      <c r="AB267" s="87"/>
      <c r="AC267" s="91"/>
      <c r="AD267" s="90"/>
      <c r="AE267" s="86"/>
      <c r="AF267" s="82"/>
      <c r="AG267" s="24"/>
      <c r="AH267" s="93"/>
      <c r="AI267" s="87"/>
      <c r="AJ267" s="86"/>
      <c r="AK267" s="81"/>
      <c r="AL267" s="24"/>
      <c r="AM267" s="24"/>
      <c r="AN267" s="81"/>
      <c r="AO267" s="81"/>
      <c r="AP267" s="24"/>
      <c r="AQ267" s="93"/>
      <c r="AR267" s="94"/>
      <c r="AS267" s="82"/>
      <c r="AT267" s="82"/>
      <c r="AU267" s="24"/>
      <c r="AV267" s="93"/>
      <c r="AW267" s="94"/>
      <c r="AX267" s="95"/>
      <c r="AY267" s="95"/>
      <c r="AZ267" s="95"/>
      <c r="BA267" s="24"/>
      <c r="BB267" s="9" t="s">
        <v>278</v>
      </c>
      <c r="BC267" s="96" t="s">
        <v>93</v>
      </c>
    </row>
    <row r="268" spans="1:55" ht="15" customHeight="1">
      <c r="A268" s="86">
        <f t="shared" si="22"/>
        <v>266</v>
      </c>
      <c r="B268" s="75" t="s">
        <v>469</v>
      </c>
      <c r="C268" s="9"/>
      <c r="D268" s="76" t="s">
        <v>468</v>
      </c>
      <c r="E268" s="88" t="str">
        <f>_xlfn.IFNA(VLOOKUP($D268,'Route-Details'!$B$2:$X$1048576,'Node Details'!E$1,0),"")</f>
        <v>Airtel</v>
      </c>
      <c r="F268" s="88" t="str">
        <f>_xlfn.IFNA(VLOOKUP($D268,'Route-Details'!$B$2:$X$1048576,'Node Details'!F$1,0),"")</f>
        <v>DARIA</v>
      </c>
      <c r="G268" s="88" t="str">
        <f>_xlfn.IFNA(VLOOKUP($D268,'Route-Details'!$B$2:$X$1048576,'Node Details'!G$1,0),"")</f>
        <v>Chandigarh</v>
      </c>
      <c r="H268" s="88" t="str">
        <f>_xlfn.IFNA(VLOOKUP($D269,'Route-Details'!$B$2:$X$1048576,'Node Details'!H$1,0),"")</f>
        <v>Punjab</v>
      </c>
      <c r="I268" s="88" t="str">
        <f>_xlfn.IFNA(VLOOKUP($D268,'Route-Details'!$B$2:$X$1048576,'Node Details'!I$1,0),"")</f>
        <v>AXW</v>
      </c>
      <c r="J268" s="88" t="str">
        <f>_xlfn.IFNA(VLOOKUP($D268,'Route-Details'!$B$2:$X$1048576,'Node Details'!J$1,0),"")</f>
        <v>AXW</v>
      </c>
      <c r="K268" s="76">
        <v>46112</v>
      </c>
      <c r="L268" s="76">
        <v>46114</v>
      </c>
      <c r="M268" s="89">
        <v>46147</v>
      </c>
      <c r="N268" s="76">
        <v>46114</v>
      </c>
      <c r="Q268" s="86" t="s">
        <v>958</v>
      </c>
      <c r="R268" s="90"/>
      <c r="S268" s="87"/>
      <c r="T268" s="87"/>
      <c r="U268" s="87"/>
      <c r="V268" s="93"/>
      <c r="W268" s="91"/>
      <c r="X268" s="87"/>
      <c r="Y268" s="92"/>
      <c r="Z268" s="90"/>
      <c r="AA268" s="93"/>
      <c r="AB268" s="87"/>
      <c r="AC268" s="91"/>
      <c r="AD268" s="90"/>
      <c r="AE268" s="86"/>
      <c r="AF268" s="82"/>
      <c r="AG268" s="24"/>
      <c r="AH268" s="93"/>
      <c r="AI268" s="87"/>
      <c r="AJ268" s="86"/>
      <c r="AK268" s="81"/>
      <c r="AL268" s="24"/>
      <c r="AM268" s="24"/>
      <c r="AN268" s="81"/>
      <c r="AO268" s="81"/>
      <c r="AP268" s="24"/>
      <c r="AQ268" s="93"/>
      <c r="AR268" s="94"/>
      <c r="AS268" s="82"/>
      <c r="AT268" s="82"/>
      <c r="AU268" s="24"/>
      <c r="AV268" s="93"/>
      <c r="AW268" s="94"/>
      <c r="AX268" s="95"/>
      <c r="AY268" s="95"/>
      <c r="AZ268" s="95"/>
      <c r="BA268" s="24"/>
      <c r="BB268" s="9" t="s">
        <v>278</v>
      </c>
      <c r="BC268" s="96" t="s">
        <v>93</v>
      </c>
    </row>
    <row r="269" spans="1:55" ht="15" customHeight="1">
      <c r="A269" s="86">
        <f t="shared" si="22"/>
        <v>267</v>
      </c>
      <c r="B269" s="75" t="s">
        <v>1087</v>
      </c>
      <c r="C269" s="9"/>
      <c r="D269" s="76" t="s">
        <v>464</v>
      </c>
      <c r="E269" s="88" t="str">
        <f>_xlfn.IFNA(VLOOKUP($D269,'Route-Details'!$B$2:$X$1048576,'Node Details'!E$1,0),"")</f>
        <v>Airtel</v>
      </c>
      <c r="F269" s="88" t="str">
        <f>_xlfn.IFNA(VLOOKUP($D269,'Route-Details'!$B$2:$X$1048576,'Node Details'!F$1,0),"")</f>
        <v>DARIA</v>
      </c>
      <c r="G269" s="88" t="str">
        <f>_xlfn.IFNA(VLOOKUP($D269,'Route-Details'!$B$2:$X$1048576,'Node Details'!G$1,0),"")</f>
        <v>Chandigarh</v>
      </c>
      <c r="H269" s="88" t="str">
        <f>_xlfn.IFNA(VLOOKUP($D270,'Route-Details'!$B$2:$X$1048576,'Node Details'!H$1,0),"")</f>
        <v>Punjab</v>
      </c>
      <c r="I269" s="88" t="str">
        <f>_xlfn.IFNA(VLOOKUP($D269,'Route-Details'!$B$2:$X$1048576,'Node Details'!I$1,0),"")</f>
        <v>AXW</v>
      </c>
      <c r="J269" s="88" t="str">
        <f>_xlfn.IFNA(VLOOKUP($D269,'Route-Details'!$B$2:$X$1048576,'Node Details'!J$1,0),"")</f>
        <v>AXW</v>
      </c>
      <c r="K269" s="76">
        <v>46112</v>
      </c>
      <c r="L269" s="76">
        <v>46114</v>
      </c>
      <c r="M269" s="89">
        <v>46147</v>
      </c>
      <c r="N269" s="76">
        <v>46114</v>
      </c>
      <c r="Q269" s="86" t="s">
        <v>958</v>
      </c>
      <c r="R269" s="90"/>
      <c r="S269" s="87"/>
      <c r="T269" s="87"/>
      <c r="U269" s="87"/>
      <c r="V269" s="93"/>
      <c r="W269" s="91"/>
      <c r="X269" s="87"/>
      <c r="Y269" s="92"/>
      <c r="Z269" s="90"/>
      <c r="AA269" s="93"/>
      <c r="AB269" s="87"/>
      <c r="AC269" s="91"/>
      <c r="AD269" s="90"/>
      <c r="AE269" s="86"/>
      <c r="AF269" s="82"/>
      <c r="AG269" s="24"/>
      <c r="AH269" s="93"/>
      <c r="AI269" s="87"/>
      <c r="AJ269" s="86"/>
      <c r="AK269" s="81"/>
      <c r="AL269" s="24"/>
      <c r="AM269" s="24"/>
      <c r="AN269" s="81"/>
      <c r="AO269" s="81"/>
      <c r="AP269" s="24"/>
      <c r="AQ269" s="93"/>
      <c r="AR269" s="94"/>
      <c r="AS269" s="82"/>
      <c r="AT269" s="82"/>
      <c r="AU269" s="24"/>
      <c r="AV269" s="93"/>
      <c r="AW269" s="94"/>
      <c r="AX269" s="95"/>
      <c r="AY269" s="95"/>
      <c r="AZ269" s="95"/>
      <c r="BA269" s="24"/>
      <c r="BB269" s="9" t="s">
        <v>270</v>
      </c>
      <c r="BC269" s="96" t="s">
        <v>93</v>
      </c>
    </row>
    <row r="270" spans="1:55" ht="15" customHeight="1">
      <c r="A270" s="86">
        <f t="shared" si="22"/>
        <v>268</v>
      </c>
      <c r="B270" s="75" t="s">
        <v>465</v>
      </c>
      <c r="C270" s="9"/>
      <c r="D270" s="76" t="s">
        <v>464</v>
      </c>
      <c r="E270" s="88" t="str">
        <f>_xlfn.IFNA(VLOOKUP($D270,'Route-Details'!$B$2:$X$1048576,'Node Details'!E$1,0),"")</f>
        <v>Airtel</v>
      </c>
      <c r="F270" s="88" t="str">
        <f>_xlfn.IFNA(VLOOKUP($D270,'Route-Details'!$B$2:$X$1048576,'Node Details'!F$1,0),"")</f>
        <v>DARIA</v>
      </c>
      <c r="G270" s="88" t="str">
        <f>_xlfn.IFNA(VLOOKUP($D270,'Route-Details'!$B$2:$X$1048576,'Node Details'!G$1,0),"")</f>
        <v>Chandigarh</v>
      </c>
      <c r="H270" s="88" t="str">
        <f>_xlfn.IFNA(VLOOKUP($D271,'Route-Details'!$B$2:$X$1048576,'Node Details'!H$1,0),"")</f>
        <v>Punjab</v>
      </c>
      <c r="I270" s="88" t="str">
        <f>_xlfn.IFNA(VLOOKUP($D270,'Route-Details'!$B$2:$X$1048576,'Node Details'!I$1,0),"")</f>
        <v>AXW</v>
      </c>
      <c r="J270" s="88" t="str">
        <f>_xlfn.IFNA(VLOOKUP($D270,'Route-Details'!$B$2:$X$1048576,'Node Details'!J$1,0),"")</f>
        <v>AXW</v>
      </c>
      <c r="K270" s="76">
        <v>46112</v>
      </c>
      <c r="L270" s="76">
        <v>46114</v>
      </c>
      <c r="M270" s="89">
        <v>46147</v>
      </c>
      <c r="N270" s="76">
        <v>46114</v>
      </c>
      <c r="Q270" s="86" t="s">
        <v>958</v>
      </c>
      <c r="R270" s="90"/>
      <c r="S270" s="87"/>
      <c r="T270" s="87"/>
      <c r="U270" s="87"/>
      <c r="V270" s="93"/>
      <c r="W270" s="91"/>
      <c r="X270" s="87"/>
      <c r="Y270" s="92"/>
      <c r="Z270" s="90"/>
      <c r="AA270" s="93"/>
      <c r="AB270" s="87"/>
      <c r="AC270" s="91"/>
      <c r="AD270" s="90"/>
      <c r="AE270" s="86"/>
      <c r="AF270" s="82"/>
      <c r="AG270" s="24"/>
      <c r="AH270" s="93"/>
      <c r="AI270" s="87"/>
      <c r="AJ270" s="86"/>
      <c r="AK270" s="81"/>
      <c r="AL270" s="24"/>
      <c r="AM270" s="24"/>
      <c r="AN270" s="81"/>
      <c r="AO270" s="81"/>
      <c r="AP270" s="24"/>
      <c r="AQ270" s="93"/>
      <c r="AR270" s="94"/>
      <c r="AS270" s="82"/>
      <c r="AT270" s="82"/>
      <c r="AU270" s="24"/>
      <c r="AV270" s="93"/>
      <c r="AW270" s="94"/>
      <c r="AX270" s="95"/>
      <c r="AY270" s="95"/>
      <c r="AZ270" s="95"/>
      <c r="BA270" s="24"/>
      <c r="BB270" s="9" t="s">
        <v>270</v>
      </c>
      <c r="BC270" s="96" t="s">
        <v>93</v>
      </c>
    </row>
    <row r="271" spans="1:55" ht="15" customHeight="1">
      <c r="A271" s="86">
        <f t="shared" si="22"/>
        <v>269</v>
      </c>
      <c r="B271" s="75" t="s">
        <v>1088</v>
      </c>
      <c r="C271" s="9"/>
      <c r="D271" s="76" t="s">
        <v>470</v>
      </c>
      <c r="E271" s="88" t="str">
        <f>_xlfn.IFNA(VLOOKUP($D271,'Route-Details'!$B$2:$X$1048576,'Node Details'!E$1,0),"")</f>
        <v>Airtel</v>
      </c>
      <c r="F271" s="88" t="str">
        <f>_xlfn.IFNA(VLOOKUP($D271,'Route-Details'!$B$2:$X$1048576,'Node Details'!F$1,0),"")</f>
        <v>DARIA</v>
      </c>
      <c r="G271" s="88" t="str">
        <f>_xlfn.IFNA(VLOOKUP($D271,'Route-Details'!$B$2:$X$1048576,'Node Details'!G$1,0),"")</f>
        <v>Chandigarh</v>
      </c>
      <c r="H271" s="88" t="str">
        <f>_xlfn.IFNA(VLOOKUP($D272,'Route-Details'!$B$2:$X$1048576,'Node Details'!H$1,0),"")</f>
        <v>Punjab</v>
      </c>
      <c r="I271" s="88" t="str">
        <f>_xlfn.IFNA(VLOOKUP($D271,'Route-Details'!$B$2:$X$1048576,'Node Details'!I$1,0),"")</f>
        <v>AXW</v>
      </c>
      <c r="J271" s="88" t="str">
        <f>_xlfn.IFNA(VLOOKUP($D271,'Route-Details'!$B$2:$X$1048576,'Node Details'!J$1,0),"")</f>
        <v>AXW</v>
      </c>
      <c r="K271" s="76">
        <v>46112</v>
      </c>
      <c r="L271" s="76">
        <v>46114</v>
      </c>
      <c r="M271" s="89">
        <v>46147</v>
      </c>
      <c r="N271" s="76">
        <v>46114</v>
      </c>
      <c r="Q271" s="86" t="s">
        <v>958</v>
      </c>
      <c r="R271" s="90"/>
      <c r="S271" s="87"/>
      <c r="T271" s="87"/>
      <c r="U271" s="87"/>
      <c r="V271" s="93"/>
      <c r="W271" s="91"/>
      <c r="X271" s="87"/>
      <c r="Y271" s="92"/>
      <c r="Z271" s="90"/>
      <c r="AA271" s="93"/>
      <c r="AB271" s="87"/>
      <c r="AC271" s="91"/>
      <c r="AD271" s="90"/>
      <c r="AE271" s="86"/>
      <c r="AF271" s="82"/>
      <c r="AG271" s="24"/>
      <c r="AH271" s="93"/>
      <c r="AI271" s="87"/>
      <c r="AJ271" s="86"/>
      <c r="AK271" s="81"/>
      <c r="AL271" s="24"/>
      <c r="AM271" s="24"/>
      <c r="AN271" s="81"/>
      <c r="AO271" s="81"/>
      <c r="AP271" s="24"/>
      <c r="AQ271" s="93"/>
      <c r="AR271" s="94"/>
      <c r="AS271" s="82"/>
      <c r="AT271" s="82"/>
      <c r="AU271" s="24"/>
      <c r="AV271" s="93"/>
      <c r="AW271" s="94"/>
      <c r="AX271" s="95"/>
      <c r="AY271" s="95"/>
      <c r="AZ271" s="95"/>
      <c r="BA271" s="24"/>
      <c r="BB271" s="9" t="s">
        <v>281</v>
      </c>
      <c r="BC271" s="96" t="s">
        <v>93</v>
      </c>
    </row>
    <row r="272" spans="1:55" ht="15" customHeight="1">
      <c r="A272" s="86">
        <f t="shared" si="22"/>
        <v>270</v>
      </c>
      <c r="B272" s="75" t="s">
        <v>472</v>
      </c>
      <c r="C272" s="9"/>
      <c r="D272" s="76" t="s">
        <v>470</v>
      </c>
      <c r="E272" s="88" t="str">
        <f>_xlfn.IFNA(VLOOKUP($D272,'Route-Details'!$B$2:$X$1048576,'Node Details'!E$1,0),"")</f>
        <v>Airtel</v>
      </c>
      <c r="F272" s="88" t="str">
        <f>_xlfn.IFNA(VLOOKUP($D272,'Route-Details'!$B$2:$X$1048576,'Node Details'!F$1,0),"")</f>
        <v>DARIA</v>
      </c>
      <c r="G272" s="88" t="str">
        <f>_xlfn.IFNA(VLOOKUP($D272,'Route-Details'!$B$2:$X$1048576,'Node Details'!G$1,0),"")</f>
        <v>Chandigarh</v>
      </c>
      <c r="H272" s="88" t="str">
        <f>_xlfn.IFNA(VLOOKUP($D273,'Route-Details'!$B$2:$X$1048576,'Node Details'!H$1,0),"")</f>
        <v>Punjab</v>
      </c>
      <c r="I272" s="88" t="str">
        <f>_xlfn.IFNA(VLOOKUP($D272,'Route-Details'!$B$2:$X$1048576,'Node Details'!I$1,0),"")</f>
        <v>AXW</v>
      </c>
      <c r="J272" s="88" t="str">
        <f>_xlfn.IFNA(VLOOKUP($D272,'Route-Details'!$B$2:$X$1048576,'Node Details'!J$1,0),"")</f>
        <v>AXW</v>
      </c>
      <c r="K272" s="76">
        <v>46112</v>
      </c>
      <c r="L272" s="76">
        <v>46114</v>
      </c>
      <c r="M272" s="89">
        <v>46147</v>
      </c>
      <c r="N272" s="76">
        <v>46114</v>
      </c>
      <c r="Q272" s="86" t="s">
        <v>958</v>
      </c>
      <c r="R272" s="90"/>
      <c r="S272" s="87"/>
      <c r="T272" s="87"/>
      <c r="U272" s="87"/>
      <c r="V272" s="93"/>
      <c r="W272" s="91"/>
      <c r="X272" s="87"/>
      <c r="Y272" s="92"/>
      <c r="Z272" s="90"/>
      <c r="AA272" s="93"/>
      <c r="AB272" s="87"/>
      <c r="AC272" s="91"/>
      <c r="AD272" s="90"/>
      <c r="AE272" s="86"/>
      <c r="AF272" s="82"/>
      <c r="AG272" s="24"/>
      <c r="AH272" s="93"/>
      <c r="AI272" s="87"/>
      <c r="AJ272" s="86"/>
      <c r="AK272" s="81"/>
      <c r="AL272" s="24"/>
      <c r="AM272" s="24"/>
      <c r="AN272" s="81"/>
      <c r="AO272" s="81"/>
      <c r="AP272" s="24"/>
      <c r="AQ272" s="93"/>
      <c r="AR272" s="94"/>
      <c r="AS272" s="82"/>
      <c r="AT272" s="82"/>
      <c r="AU272" s="24"/>
      <c r="AV272" s="93"/>
      <c r="AW272" s="94"/>
      <c r="AX272" s="95"/>
      <c r="AY272" s="95"/>
      <c r="AZ272" s="95"/>
      <c r="BA272" s="24"/>
      <c r="BB272" s="9" t="s">
        <v>281</v>
      </c>
      <c r="BC272" s="96" t="s">
        <v>93</v>
      </c>
    </row>
    <row r="273" spans="1:55" ht="15" customHeight="1">
      <c r="A273" s="86">
        <f t="shared" si="22"/>
        <v>271</v>
      </c>
      <c r="B273" s="75" t="s">
        <v>474</v>
      </c>
      <c r="C273" s="9"/>
      <c r="D273" s="76" t="s">
        <v>380</v>
      </c>
      <c r="E273" s="88" t="str">
        <f>_xlfn.IFNA(VLOOKUP($D273,'Route-Details'!$B$2:$X$1048576,'Node Details'!E$1,0),"")</f>
        <v>Airtel</v>
      </c>
      <c r="F273" s="88" t="str">
        <f>_xlfn.IFNA(VLOOKUP($D273,'Route-Details'!$B$2:$X$1048576,'Node Details'!F$1,0),"")</f>
        <v>DARIA</v>
      </c>
      <c r="G273" s="88" t="str">
        <f>_xlfn.IFNA(VLOOKUP($D273,'Route-Details'!$B$2:$X$1048576,'Node Details'!G$1,0),"")</f>
        <v>Chandigarh</v>
      </c>
      <c r="H273" s="88" t="str">
        <f>_xlfn.IFNA(VLOOKUP($D274,'Route-Details'!$B$2:$X$1048576,'Node Details'!H$1,0),"")</f>
        <v>Punjab</v>
      </c>
      <c r="I273" s="88" t="str">
        <f>_xlfn.IFNA(VLOOKUP($D273,'Route-Details'!$B$2:$X$1048576,'Node Details'!I$1,0),"")</f>
        <v>AXW</v>
      </c>
      <c r="J273" s="88" t="str">
        <f>_xlfn.IFNA(VLOOKUP($D273,'Route-Details'!$B$2:$X$1048576,'Node Details'!J$1,0),"")</f>
        <v>AXW</v>
      </c>
      <c r="K273" s="76">
        <v>46112</v>
      </c>
      <c r="L273" s="76">
        <v>46114</v>
      </c>
      <c r="M273" s="89">
        <v>46147</v>
      </c>
      <c r="N273" s="76">
        <v>46114</v>
      </c>
      <c r="Q273" s="86" t="s">
        <v>958</v>
      </c>
      <c r="R273" s="90"/>
      <c r="S273" s="87"/>
      <c r="T273" s="87"/>
      <c r="U273" s="87"/>
      <c r="V273" s="93"/>
      <c r="W273" s="91"/>
      <c r="X273" s="87"/>
      <c r="Y273" s="92"/>
      <c r="Z273" s="90"/>
      <c r="AA273" s="93"/>
      <c r="AB273" s="87"/>
      <c r="AC273" s="91"/>
      <c r="AD273" s="90"/>
      <c r="AE273" s="86"/>
      <c r="AF273" s="82"/>
      <c r="AG273" s="24"/>
      <c r="AH273" s="93"/>
      <c r="AI273" s="87"/>
      <c r="AJ273" s="86"/>
      <c r="AK273" s="81"/>
      <c r="AL273" s="24"/>
      <c r="AM273" s="24"/>
      <c r="AN273" s="81"/>
      <c r="AO273" s="81"/>
      <c r="AP273" s="24"/>
      <c r="AQ273" s="93"/>
      <c r="AR273" s="94"/>
      <c r="AS273" s="82"/>
      <c r="AT273" s="82"/>
      <c r="AU273" s="24"/>
      <c r="AV273" s="93"/>
      <c r="AW273" s="94"/>
      <c r="AX273" s="95"/>
      <c r="AY273" s="95"/>
      <c r="AZ273" s="95"/>
      <c r="BA273" s="24"/>
      <c r="BB273" s="9" t="s">
        <v>104</v>
      </c>
      <c r="BC273" s="96" t="s">
        <v>93</v>
      </c>
    </row>
    <row r="274" spans="1:55" ht="15" customHeight="1">
      <c r="A274" s="86">
        <f t="shared" si="22"/>
        <v>272</v>
      </c>
      <c r="B274" s="75" t="s">
        <v>475</v>
      </c>
      <c r="C274" s="9"/>
      <c r="D274" s="76" t="s">
        <v>473</v>
      </c>
      <c r="E274" s="88" t="str">
        <f>_xlfn.IFNA(VLOOKUP($D274,'Route-Details'!$B$2:$X$1048576,'Node Details'!E$1,0),"")</f>
        <v>Airtel</v>
      </c>
      <c r="F274" s="88" t="str">
        <f>_xlfn.IFNA(VLOOKUP($D274,'Route-Details'!$B$2:$X$1048576,'Node Details'!F$1,0),"")</f>
        <v>DARIA</v>
      </c>
      <c r="G274" s="88" t="str">
        <f>_xlfn.IFNA(VLOOKUP($D274,'Route-Details'!$B$2:$X$1048576,'Node Details'!G$1,0),"")</f>
        <v>Chandigarh</v>
      </c>
      <c r="H274" s="88" t="str">
        <f>_xlfn.IFNA(VLOOKUP($D275,'Route-Details'!$B$2:$X$1048576,'Node Details'!H$1,0),"")</f>
        <v>Punjab</v>
      </c>
      <c r="I274" s="88" t="str">
        <f>_xlfn.IFNA(VLOOKUP($D274,'Route-Details'!$B$2:$X$1048576,'Node Details'!I$1,0),"")</f>
        <v>AXW</v>
      </c>
      <c r="J274" s="88" t="str">
        <f>_xlfn.IFNA(VLOOKUP($D274,'Route-Details'!$B$2:$X$1048576,'Node Details'!J$1,0),"")</f>
        <v>AXW</v>
      </c>
      <c r="K274" s="76">
        <v>46112</v>
      </c>
      <c r="L274" s="76">
        <v>46114</v>
      </c>
      <c r="M274" s="89">
        <v>46147</v>
      </c>
      <c r="N274" s="76">
        <v>46114</v>
      </c>
      <c r="Q274" s="86" t="s">
        <v>958</v>
      </c>
      <c r="R274" s="90"/>
      <c r="S274" s="87"/>
      <c r="T274" s="87"/>
      <c r="U274" s="87"/>
      <c r="V274" s="93"/>
      <c r="W274" s="91"/>
      <c r="X274" s="87"/>
      <c r="Y274" s="92"/>
      <c r="Z274" s="90"/>
      <c r="AA274" s="93"/>
      <c r="AB274" s="87"/>
      <c r="AC274" s="91"/>
      <c r="AD274" s="90"/>
      <c r="AE274" s="86"/>
      <c r="AF274" s="82"/>
      <c r="AG274" s="24"/>
      <c r="AH274" s="93"/>
      <c r="AI274" s="87"/>
      <c r="AJ274" s="86"/>
      <c r="AK274" s="81"/>
      <c r="AL274" s="24"/>
      <c r="AM274" s="24"/>
      <c r="AN274" s="81"/>
      <c r="AO274" s="81"/>
      <c r="AP274" s="24"/>
      <c r="AQ274" s="93"/>
      <c r="AR274" s="94"/>
      <c r="AS274" s="82"/>
      <c r="AT274" s="82"/>
      <c r="AU274" s="24"/>
      <c r="AV274" s="93"/>
      <c r="AW274" s="94"/>
      <c r="AX274" s="95"/>
      <c r="AY274" s="95"/>
      <c r="AZ274" s="95"/>
      <c r="BA274" s="24"/>
      <c r="BB274" s="9" t="s">
        <v>285</v>
      </c>
      <c r="BC274" s="96" t="s">
        <v>93</v>
      </c>
    </row>
    <row r="275" spans="1:55" ht="15" customHeight="1">
      <c r="A275" s="86">
        <f t="shared" si="22"/>
        <v>273</v>
      </c>
      <c r="B275" s="75" t="s">
        <v>1089</v>
      </c>
      <c r="C275" s="9"/>
      <c r="D275" s="76" t="s">
        <v>476</v>
      </c>
      <c r="E275" s="88" t="str">
        <f>_xlfn.IFNA(VLOOKUP($D275,'Route-Details'!$B$2:$X$1048576,'Node Details'!E$1,0),"")</f>
        <v>Airtel</v>
      </c>
      <c r="F275" s="88" t="str">
        <f>_xlfn.IFNA(VLOOKUP($D275,'Route-Details'!$B$2:$X$1048576,'Node Details'!F$1,0),"")</f>
        <v>DARIA</v>
      </c>
      <c r="G275" s="88" t="str">
        <f>_xlfn.IFNA(VLOOKUP($D275,'Route-Details'!$B$2:$X$1048576,'Node Details'!G$1,0),"")</f>
        <v>Chandigarh</v>
      </c>
      <c r="H275" s="88" t="str">
        <f>_xlfn.IFNA(VLOOKUP($D276,'Route-Details'!$B$2:$X$1048576,'Node Details'!H$1,0),"")</f>
        <v>Punjab</v>
      </c>
      <c r="I275" s="88" t="str">
        <f>_xlfn.IFNA(VLOOKUP($D275,'Route-Details'!$B$2:$X$1048576,'Node Details'!I$1,0),"")</f>
        <v>AXW</v>
      </c>
      <c r="J275" s="88" t="str">
        <f>_xlfn.IFNA(VLOOKUP($D275,'Route-Details'!$B$2:$X$1048576,'Node Details'!J$1,0),"")</f>
        <v>AXW</v>
      </c>
      <c r="K275" s="76">
        <v>46112</v>
      </c>
      <c r="L275" s="76">
        <v>46114</v>
      </c>
      <c r="M275" s="89">
        <v>46147</v>
      </c>
      <c r="N275" s="76">
        <v>46114</v>
      </c>
      <c r="Q275" s="86" t="s">
        <v>958</v>
      </c>
      <c r="R275" s="90"/>
      <c r="S275" s="87"/>
      <c r="T275" s="87"/>
      <c r="U275" s="87"/>
      <c r="V275" s="93"/>
      <c r="W275" s="91"/>
      <c r="X275" s="87"/>
      <c r="Y275" s="92"/>
      <c r="Z275" s="90"/>
      <c r="AA275" s="93"/>
      <c r="AB275" s="87"/>
      <c r="AC275" s="91"/>
      <c r="AD275" s="90"/>
      <c r="AE275" s="86"/>
      <c r="AF275" s="82"/>
      <c r="AG275" s="24"/>
      <c r="AH275" s="93"/>
      <c r="AI275" s="87"/>
      <c r="AJ275" s="86"/>
      <c r="AK275" s="81"/>
      <c r="AL275" s="24"/>
      <c r="AM275" s="24"/>
      <c r="AN275" s="81"/>
      <c r="AO275" s="81"/>
      <c r="AP275" s="24"/>
      <c r="AQ275" s="93"/>
      <c r="AR275" s="94"/>
      <c r="AS275" s="82"/>
      <c r="AT275" s="82"/>
      <c r="AU275" s="24"/>
      <c r="AV275" s="93"/>
      <c r="AW275" s="94"/>
      <c r="AX275" s="95"/>
      <c r="AY275" s="95"/>
      <c r="AZ275" s="95"/>
      <c r="BA275" s="24"/>
      <c r="BB275" s="9" t="s">
        <v>288</v>
      </c>
      <c r="BC275" s="96" t="s">
        <v>93</v>
      </c>
    </row>
    <row r="276" spans="1:55" ht="15" customHeight="1">
      <c r="A276" s="86">
        <f t="shared" si="22"/>
        <v>274</v>
      </c>
      <c r="B276" s="75" t="s">
        <v>477</v>
      </c>
      <c r="C276" s="9"/>
      <c r="D276" s="76" t="s">
        <v>476</v>
      </c>
      <c r="E276" s="88" t="str">
        <f>_xlfn.IFNA(VLOOKUP($D276,'Route-Details'!$B$2:$X$1048576,'Node Details'!E$1,0),"")</f>
        <v>Airtel</v>
      </c>
      <c r="F276" s="88" t="str">
        <f>_xlfn.IFNA(VLOOKUP($D276,'Route-Details'!$B$2:$X$1048576,'Node Details'!F$1,0),"")</f>
        <v>DARIA</v>
      </c>
      <c r="G276" s="88" t="str">
        <f>_xlfn.IFNA(VLOOKUP($D276,'Route-Details'!$B$2:$X$1048576,'Node Details'!G$1,0),"")</f>
        <v>Chandigarh</v>
      </c>
      <c r="H276" s="88" t="str">
        <f>_xlfn.IFNA(VLOOKUP($D277,'Route-Details'!$B$2:$X$1048576,'Node Details'!H$1,0),"")</f>
        <v>Punjab</v>
      </c>
      <c r="I276" s="88" t="str">
        <f>_xlfn.IFNA(VLOOKUP($D276,'Route-Details'!$B$2:$X$1048576,'Node Details'!I$1,0),"")</f>
        <v>AXW</v>
      </c>
      <c r="J276" s="88" t="str">
        <f>_xlfn.IFNA(VLOOKUP($D276,'Route-Details'!$B$2:$X$1048576,'Node Details'!J$1,0),"")</f>
        <v>AXW</v>
      </c>
      <c r="K276" s="76">
        <v>46112</v>
      </c>
      <c r="L276" s="76">
        <v>46114</v>
      </c>
      <c r="M276" s="89">
        <v>46147</v>
      </c>
      <c r="N276" s="76">
        <v>46114</v>
      </c>
      <c r="Q276" s="86" t="s">
        <v>958</v>
      </c>
      <c r="R276" s="90"/>
      <c r="S276" s="87"/>
      <c r="T276" s="87"/>
      <c r="U276" s="87"/>
      <c r="V276" s="93"/>
      <c r="W276" s="91"/>
      <c r="X276" s="87"/>
      <c r="Y276" s="92"/>
      <c r="Z276" s="90"/>
      <c r="AA276" s="93"/>
      <c r="AB276" s="87"/>
      <c r="AC276" s="91"/>
      <c r="AD276" s="90"/>
      <c r="AE276" s="86"/>
      <c r="AF276" s="82"/>
      <c r="AG276" s="24"/>
      <c r="AH276" s="93"/>
      <c r="AI276" s="87"/>
      <c r="AJ276" s="86"/>
      <c r="AK276" s="81"/>
      <c r="AL276" s="24"/>
      <c r="AM276" s="24"/>
      <c r="AN276" s="81"/>
      <c r="AO276" s="81"/>
      <c r="AP276" s="24"/>
      <c r="AQ276" s="93"/>
      <c r="AR276" s="94"/>
      <c r="AS276" s="82"/>
      <c r="AT276" s="82"/>
      <c r="AU276" s="24"/>
      <c r="AV276" s="93"/>
      <c r="AW276" s="94"/>
      <c r="AX276" s="95"/>
      <c r="AY276" s="95"/>
      <c r="AZ276" s="95"/>
      <c r="BA276" s="24"/>
      <c r="BB276" s="9" t="s">
        <v>288</v>
      </c>
      <c r="BC276" s="96" t="s">
        <v>93</v>
      </c>
    </row>
    <row r="277" spans="1:55" ht="15" customHeight="1">
      <c r="A277" s="86">
        <f t="shared" si="22"/>
        <v>275</v>
      </c>
      <c r="B277" s="75" t="s">
        <v>381</v>
      </c>
      <c r="C277" s="9"/>
      <c r="D277" s="76" t="s">
        <v>380</v>
      </c>
      <c r="E277" s="88" t="str">
        <f>_xlfn.IFNA(VLOOKUP($D277,'Route-Details'!$B$2:$X$1048576,'Node Details'!E$1,0),"")</f>
        <v>Airtel</v>
      </c>
      <c r="F277" s="88" t="str">
        <f>_xlfn.IFNA(VLOOKUP($D277,'Route-Details'!$B$2:$X$1048576,'Node Details'!F$1,0),"")</f>
        <v>DARIA</v>
      </c>
      <c r="G277" s="88" t="str">
        <f>_xlfn.IFNA(VLOOKUP($D277,'Route-Details'!$B$2:$X$1048576,'Node Details'!G$1,0),"")</f>
        <v>Chandigarh</v>
      </c>
      <c r="H277" s="88" t="str">
        <f>_xlfn.IFNA(VLOOKUP($D278,'Route-Details'!$B$2:$X$1048576,'Node Details'!H$1,0),"")</f>
        <v>Punjab</v>
      </c>
      <c r="I277" s="88" t="str">
        <f>_xlfn.IFNA(VLOOKUP($D277,'Route-Details'!$B$2:$X$1048576,'Node Details'!I$1,0),"")</f>
        <v>AXW</v>
      </c>
      <c r="J277" s="88" t="str">
        <f>_xlfn.IFNA(VLOOKUP($D277,'Route-Details'!$B$2:$X$1048576,'Node Details'!J$1,0),"")</f>
        <v>AXW</v>
      </c>
      <c r="K277" s="76">
        <v>46112</v>
      </c>
      <c r="L277" s="76">
        <v>46114</v>
      </c>
      <c r="M277" s="89">
        <v>46147</v>
      </c>
      <c r="N277" s="76">
        <v>46114</v>
      </c>
      <c r="Q277" s="86" t="s">
        <v>958</v>
      </c>
      <c r="R277" s="90"/>
      <c r="S277" s="87"/>
      <c r="T277" s="87"/>
      <c r="U277" s="87"/>
      <c r="V277" s="93"/>
      <c r="W277" s="91"/>
      <c r="X277" s="87"/>
      <c r="Y277" s="92"/>
      <c r="Z277" s="90"/>
      <c r="AA277" s="93"/>
      <c r="AB277" s="87"/>
      <c r="AC277" s="91"/>
      <c r="AD277" s="90"/>
      <c r="AE277" s="86"/>
      <c r="AF277" s="82"/>
      <c r="AG277" s="24"/>
      <c r="AH277" s="93"/>
      <c r="AI277" s="87"/>
      <c r="AJ277" s="86"/>
      <c r="AK277" s="81"/>
      <c r="AL277" s="24"/>
      <c r="AM277" s="24"/>
      <c r="AN277" s="81"/>
      <c r="AO277" s="81"/>
      <c r="AP277" s="24"/>
      <c r="AQ277" s="93"/>
      <c r="AR277" s="94"/>
      <c r="AS277" s="82"/>
      <c r="AT277" s="82"/>
      <c r="AU277" s="24"/>
      <c r="AV277" s="93"/>
      <c r="AW277" s="94"/>
      <c r="AX277" s="95"/>
      <c r="AY277" s="95"/>
      <c r="AZ277" s="95"/>
      <c r="BA277" s="24"/>
      <c r="BB277" s="9" t="s">
        <v>104</v>
      </c>
      <c r="BC277" s="96" t="s">
        <v>93</v>
      </c>
    </row>
    <row r="278" spans="1:55" ht="15" customHeight="1">
      <c r="A278" s="86">
        <f t="shared" si="22"/>
        <v>276</v>
      </c>
      <c r="B278" s="75" t="s">
        <v>479</v>
      </c>
      <c r="C278" s="9"/>
      <c r="D278" s="76" t="s">
        <v>478</v>
      </c>
      <c r="E278" s="88" t="str">
        <f>_xlfn.IFNA(VLOOKUP($D278,'Route-Details'!$B$2:$X$1048576,'Node Details'!E$1,0),"")</f>
        <v>Airtel</v>
      </c>
      <c r="F278" s="88" t="str">
        <f>_xlfn.IFNA(VLOOKUP($D278,'Route-Details'!$B$2:$X$1048576,'Node Details'!F$1,0),"")</f>
        <v>DARIA</v>
      </c>
      <c r="G278" s="88" t="str">
        <f>_xlfn.IFNA(VLOOKUP($D278,'Route-Details'!$B$2:$X$1048576,'Node Details'!G$1,0),"")</f>
        <v>Chandigarh</v>
      </c>
      <c r="H278" s="88" t="str">
        <f>_xlfn.IFNA(VLOOKUP($D279,'Route-Details'!$B$2:$X$1048576,'Node Details'!H$1,0),"")</f>
        <v>Punjab</v>
      </c>
      <c r="I278" s="88" t="str">
        <f>_xlfn.IFNA(VLOOKUP($D278,'Route-Details'!$B$2:$X$1048576,'Node Details'!I$1,0),"")</f>
        <v>AXW</v>
      </c>
      <c r="J278" s="88" t="str">
        <f>_xlfn.IFNA(VLOOKUP($D278,'Route-Details'!$B$2:$X$1048576,'Node Details'!J$1,0),"")</f>
        <v>AXW</v>
      </c>
      <c r="K278" s="76">
        <v>46112</v>
      </c>
      <c r="L278" s="76">
        <v>46114</v>
      </c>
      <c r="M278" s="89">
        <v>46147</v>
      </c>
      <c r="N278" s="76">
        <v>46114</v>
      </c>
      <c r="Q278" s="86" t="s">
        <v>958</v>
      </c>
      <c r="R278" s="90"/>
      <c r="S278" s="87"/>
      <c r="T278" s="87"/>
      <c r="U278" s="87"/>
      <c r="V278" s="93"/>
      <c r="W278" s="91"/>
      <c r="X278" s="87"/>
      <c r="Y278" s="92"/>
      <c r="Z278" s="90"/>
      <c r="AA278" s="93"/>
      <c r="AB278" s="87"/>
      <c r="AC278" s="91"/>
      <c r="AD278" s="90"/>
      <c r="AE278" s="86"/>
      <c r="AF278" s="82"/>
      <c r="AG278" s="24"/>
      <c r="AH278" s="93"/>
      <c r="AI278" s="87"/>
      <c r="AJ278" s="86"/>
      <c r="AK278" s="81"/>
      <c r="AL278" s="24"/>
      <c r="AM278" s="24"/>
      <c r="AN278" s="81"/>
      <c r="AO278" s="81"/>
      <c r="AP278" s="24"/>
      <c r="AQ278" s="93"/>
      <c r="AR278" s="94"/>
      <c r="AS278" s="82"/>
      <c r="AT278" s="82"/>
      <c r="AU278" s="24"/>
      <c r="AV278" s="93"/>
      <c r="AW278" s="94"/>
      <c r="AX278" s="95"/>
      <c r="AY278" s="95"/>
      <c r="AZ278" s="95"/>
      <c r="BA278" s="24"/>
      <c r="BB278" s="9" t="s">
        <v>292</v>
      </c>
      <c r="BC278" s="96" t="s">
        <v>93</v>
      </c>
    </row>
    <row r="279" spans="1:55" ht="15" customHeight="1">
      <c r="A279" s="86">
        <f t="shared" si="22"/>
        <v>277</v>
      </c>
      <c r="B279" s="75" t="s">
        <v>481</v>
      </c>
      <c r="C279" s="9"/>
      <c r="D279" s="76" t="s">
        <v>480</v>
      </c>
      <c r="E279" s="88" t="str">
        <f>_xlfn.IFNA(VLOOKUP($D279,'Route-Details'!$B$2:$X$1048576,'Node Details'!E$1,0),"")</f>
        <v>Airtel</v>
      </c>
      <c r="F279" s="88" t="str">
        <f>_xlfn.IFNA(VLOOKUP($D279,'Route-Details'!$B$2:$X$1048576,'Node Details'!F$1,0),"")</f>
        <v>DARIA</v>
      </c>
      <c r="G279" s="88" t="str">
        <f>_xlfn.IFNA(VLOOKUP($D279,'Route-Details'!$B$2:$X$1048576,'Node Details'!G$1,0),"")</f>
        <v>Chandigarh</v>
      </c>
      <c r="H279" s="88" t="str">
        <f>_xlfn.IFNA(VLOOKUP($D280,'Route-Details'!$B$2:$X$1048576,'Node Details'!H$1,0),"")</f>
        <v>Punjab</v>
      </c>
      <c r="I279" s="88" t="str">
        <f>_xlfn.IFNA(VLOOKUP($D279,'Route-Details'!$B$2:$X$1048576,'Node Details'!I$1,0),"")</f>
        <v>AXW</v>
      </c>
      <c r="J279" s="88" t="str">
        <f>_xlfn.IFNA(VLOOKUP($D279,'Route-Details'!$B$2:$X$1048576,'Node Details'!J$1,0),"")</f>
        <v>AXW</v>
      </c>
      <c r="K279" s="76">
        <v>46112</v>
      </c>
      <c r="L279" s="76">
        <v>46114</v>
      </c>
      <c r="M279" s="89">
        <v>46147</v>
      </c>
      <c r="N279" s="76">
        <v>46114</v>
      </c>
      <c r="Q279" s="86" t="s">
        <v>958</v>
      </c>
      <c r="R279" s="90"/>
      <c r="S279" s="87"/>
      <c r="T279" s="87"/>
      <c r="U279" s="87"/>
      <c r="V279" s="93"/>
      <c r="W279" s="91"/>
      <c r="X279" s="87"/>
      <c r="Y279" s="92"/>
      <c r="Z279" s="90"/>
      <c r="AA279" s="93"/>
      <c r="AB279" s="87"/>
      <c r="AC279" s="91"/>
      <c r="AD279" s="90"/>
      <c r="AE279" s="86"/>
      <c r="AF279" s="82"/>
      <c r="AG279" s="24"/>
      <c r="AH279" s="93"/>
      <c r="AI279" s="87"/>
      <c r="AJ279" s="86"/>
      <c r="AK279" s="81"/>
      <c r="AL279" s="24"/>
      <c r="AM279" s="24"/>
      <c r="AN279" s="81"/>
      <c r="AO279" s="81"/>
      <c r="AP279" s="24"/>
      <c r="AQ279" s="93"/>
      <c r="AR279" s="94"/>
      <c r="AS279" s="82"/>
      <c r="AT279" s="82"/>
      <c r="AU279" s="24"/>
      <c r="AV279" s="93"/>
      <c r="AW279" s="94"/>
      <c r="AX279" s="95"/>
      <c r="AY279" s="95"/>
      <c r="AZ279" s="95"/>
      <c r="BA279" s="24"/>
      <c r="BB279" s="9" t="s">
        <v>296</v>
      </c>
      <c r="BC279" s="96" t="s">
        <v>93</v>
      </c>
    </row>
    <row r="280" spans="1:55" ht="15" customHeight="1">
      <c r="A280" s="86">
        <f t="shared" si="22"/>
        <v>278</v>
      </c>
      <c r="B280" s="75" t="s">
        <v>1090</v>
      </c>
      <c r="C280" s="9"/>
      <c r="D280" s="76" t="s">
        <v>482</v>
      </c>
      <c r="E280" s="88" t="str">
        <f>_xlfn.IFNA(VLOOKUP($D280,'Route-Details'!$B$2:$X$1048576,'Node Details'!E$1,0),"")</f>
        <v>Airtel</v>
      </c>
      <c r="F280" s="88" t="str">
        <f>_xlfn.IFNA(VLOOKUP($D280,'Route-Details'!$B$2:$X$1048576,'Node Details'!F$1,0),"")</f>
        <v>DARIA</v>
      </c>
      <c r="G280" s="88" t="str">
        <f>_xlfn.IFNA(VLOOKUP($D280,'Route-Details'!$B$2:$X$1048576,'Node Details'!G$1,0),"")</f>
        <v>Chandigarh</v>
      </c>
      <c r="H280" s="88" t="str">
        <f>_xlfn.IFNA(VLOOKUP($D281,'Route-Details'!$B$2:$X$1048576,'Node Details'!H$1,0),"")</f>
        <v>Punjab</v>
      </c>
      <c r="I280" s="88" t="str">
        <f>_xlfn.IFNA(VLOOKUP($D280,'Route-Details'!$B$2:$X$1048576,'Node Details'!I$1,0),"")</f>
        <v>AXW</v>
      </c>
      <c r="J280" s="88" t="str">
        <f>_xlfn.IFNA(VLOOKUP($D280,'Route-Details'!$B$2:$X$1048576,'Node Details'!J$1,0),"")</f>
        <v>AXW</v>
      </c>
      <c r="K280" s="76">
        <v>46112</v>
      </c>
      <c r="L280" s="76">
        <v>46114</v>
      </c>
      <c r="M280" s="89">
        <v>46147</v>
      </c>
      <c r="N280" s="76">
        <v>46114</v>
      </c>
      <c r="Q280" s="86" t="s">
        <v>958</v>
      </c>
      <c r="R280" s="90"/>
      <c r="S280" s="87"/>
      <c r="T280" s="87"/>
      <c r="U280" s="87"/>
      <c r="V280" s="93"/>
      <c r="W280" s="91"/>
      <c r="X280" s="87"/>
      <c r="Y280" s="92"/>
      <c r="Z280" s="90"/>
      <c r="AA280" s="93"/>
      <c r="AB280" s="87"/>
      <c r="AC280" s="91"/>
      <c r="AD280" s="90"/>
      <c r="AE280" s="86"/>
      <c r="AF280" s="82"/>
      <c r="AG280" s="24"/>
      <c r="AH280" s="93"/>
      <c r="AI280" s="87"/>
      <c r="AJ280" s="86"/>
      <c r="AK280" s="81"/>
      <c r="AL280" s="24"/>
      <c r="AM280" s="24"/>
      <c r="AN280" s="81"/>
      <c r="AO280" s="81"/>
      <c r="AP280" s="24"/>
      <c r="AQ280" s="93"/>
      <c r="AR280" s="94"/>
      <c r="AS280" s="82"/>
      <c r="AT280" s="82"/>
      <c r="AU280" s="24"/>
      <c r="AV280" s="93"/>
      <c r="AW280" s="94"/>
      <c r="AX280" s="95"/>
      <c r="AY280" s="95"/>
      <c r="AZ280" s="95"/>
      <c r="BA280" s="24"/>
      <c r="BB280" s="9" t="s">
        <v>300</v>
      </c>
      <c r="BC280" s="96" t="s">
        <v>93</v>
      </c>
    </row>
    <row r="281" spans="1:55" ht="15" customHeight="1">
      <c r="A281" s="86">
        <f t="shared" si="22"/>
        <v>279</v>
      </c>
      <c r="B281" s="75" t="s">
        <v>1091</v>
      </c>
      <c r="C281" s="9"/>
      <c r="D281" s="76" t="s">
        <v>482</v>
      </c>
      <c r="E281" s="88" t="str">
        <f>_xlfn.IFNA(VLOOKUP($D281,'Route-Details'!$B$2:$X$1048576,'Node Details'!E$1,0),"")</f>
        <v>Airtel</v>
      </c>
      <c r="F281" s="88" t="str">
        <f>_xlfn.IFNA(VLOOKUP($D281,'Route-Details'!$B$2:$X$1048576,'Node Details'!F$1,0),"")</f>
        <v>DARIA</v>
      </c>
      <c r="G281" s="88" t="str">
        <f>_xlfn.IFNA(VLOOKUP($D281,'Route-Details'!$B$2:$X$1048576,'Node Details'!G$1,0),"")</f>
        <v>Chandigarh</v>
      </c>
      <c r="H281" s="88" t="str">
        <f>_xlfn.IFNA(VLOOKUP($D282,'Route-Details'!$B$2:$X$1048576,'Node Details'!H$1,0),"")</f>
        <v>Punjab</v>
      </c>
      <c r="I281" s="88" t="str">
        <f>_xlfn.IFNA(VLOOKUP($D281,'Route-Details'!$B$2:$X$1048576,'Node Details'!I$1,0),"")</f>
        <v>AXW</v>
      </c>
      <c r="J281" s="88" t="str">
        <f>_xlfn.IFNA(VLOOKUP($D281,'Route-Details'!$B$2:$X$1048576,'Node Details'!J$1,0),"")</f>
        <v>AXW</v>
      </c>
      <c r="K281" s="76">
        <v>46112</v>
      </c>
      <c r="L281" s="76">
        <v>46114</v>
      </c>
      <c r="M281" s="89">
        <v>46147</v>
      </c>
      <c r="N281" s="76">
        <v>46114</v>
      </c>
      <c r="Q281" s="86" t="s">
        <v>958</v>
      </c>
      <c r="R281" s="90"/>
      <c r="S281" s="87"/>
      <c r="T281" s="87"/>
      <c r="U281" s="87"/>
      <c r="V281" s="93"/>
      <c r="W281" s="91"/>
      <c r="X281" s="87"/>
      <c r="Y281" s="92"/>
      <c r="Z281" s="90"/>
      <c r="AA281" s="93"/>
      <c r="AB281" s="87"/>
      <c r="AC281" s="91"/>
      <c r="AD281" s="90"/>
      <c r="AE281" s="86"/>
      <c r="AF281" s="82"/>
      <c r="AG281" s="24"/>
      <c r="AH281" s="93"/>
      <c r="AI281" s="87"/>
      <c r="AJ281" s="86"/>
      <c r="AK281" s="81"/>
      <c r="AL281" s="24"/>
      <c r="AM281" s="24"/>
      <c r="AN281" s="81"/>
      <c r="AO281" s="81"/>
      <c r="AP281" s="24"/>
      <c r="AQ281" s="93"/>
      <c r="AR281" s="94"/>
      <c r="AS281" s="82"/>
      <c r="AT281" s="82"/>
      <c r="AU281" s="24"/>
      <c r="AV281" s="93"/>
      <c r="AW281" s="94"/>
      <c r="AX281" s="95"/>
      <c r="AY281" s="95"/>
      <c r="AZ281" s="95"/>
      <c r="BA281" s="24"/>
      <c r="BB281" s="9" t="s">
        <v>300</v>
      </c>
      <c r="BC281" s="96" t="s">
        <v>93</v>
      </c>
    </row>
    <row r="282" spans="1:55" ht="15" customHeight="1">
      <c r="A282" s="86">
        <f t="shared" si="22"/>
        <v>280</v>
      </c>
      <c r="B282" s="75" t="s">
        <v>1092</v>
      </c>
      <c r="C282" s="9"/>
      <c r="D282" s="76" t="s">
        <v>482</v>
      </c>
      <c r="E282" s="88" t="str">
        <f>_xlfn.IFNA(VLOOKUP($D282,'Route-Details'!$B$2:$X$1048576,'Node Details'!E$1,0),"")</f>
        <v>Airtel</v>
      </c>
      <c r="F282" s="88" t="str">
        <f>_xlfn.IFNA(VLOOKUP($D282,'Route-Details'!$B$2:$X$1048576,'Node Details'!F$1,0),"")</f>
        <v>DARIA</v>
      </c>
      <c r="G282" s="88" t="str">
        <f>_xlfn.IFNA(VLOOKUP($D282,'Route-Details'!$B$2:$X$1048576,'Node Details'!G$1,0),"")</f>
        <v>Chandigarh</v>
      </c>
      <c r="H282" s="88" t="str">
        <f>_xlfn.IFNA(VLOOKUP($D283,'Route-Details'!$B$2:$X$1048576,'Node Details'!H$1,0),"")</f>
        <v>Punjab</v>
      </c>
      <c r="I282" s="88" t="str">
        <f>_xlfn.IFNA(VLOOKUP($D282,'Route-Details'!$B$2:$X$1048576,'Node Details'!I$1,0),"")</f>
        <v>AXW</v>
      </c>
      <c r="J282" s="88" t="str">
        <f>_xlfn.IFNA(VLOOKUP($D282,'Route-Details'!$B$2:$X$1048576,'Node Details'!J$1,0),"")</f>
        <v>AXW</v>
      </c>
      <c r="K282" s="76">
        <v>46112</v>
      </c>
      <c r="L282" s="76">
        <v>46114</v>
      </c>
      <c r="M282" s="89">
        <v>46147</v>
      </c>
      <c r="N282" s="76">
        <v>46114</v>
      </c>
      <c r="Q282" s="86" t="s">
        <v>958</v>
      </c>
      <c r="R282" s="90"/>
      <c r="S282" s="87"/>
      <c r="T282" s="87"/>
      <c r="U282" s="87"/>
      <c r="V282" s="93"/>
      <c r="W282" s="91"/>
      <c r="X282" s="87"/>
      <c r="Y282" s="92"/>
      <c r="Z282" s="90"/>
      <c r="AA282" s="93"/>
      <c r="AB282" s="87"/>
      <c r="AC282" s="91"/>
      <c r="AD282" s="90"/>
      <c r="AE282" s="86"/>
      <c r="AF282" s="82"/>
      <c r="AG282" s="24"/>
      <c r="AH282" s="93"/>
      <c r="AI282" s="87"/>
      <c r="AJ282" s="86"/>
      <c r="AK282" s="81"/>
      <c r="AL282" s="24"/>
      <c r="AM282" s="24"/>
      <c r="AN282" s="81"/>
      <c r="AO282" s="81"/>
      <c r="AP282" s="24"/>
      <c r="AQ282" s="93"/>
      <c r="AR282" s="94"/>
      <c r="AS282" s="82"/>
      <c r="AT282" s="82"/>
      <c r="AU282" s="24"/>
      <c r="AV282" s="93"/>
      <c r="AW282" s="94"/>
      <c r="AX282" s="95"/>
      <c r="AY282" s="95"/>
      <c r="AZ282" s="95"/>
      <c r="BA282" s="24"/>
      <c r="BB282" s="9" t="s">
        <v>300</v>
      </c>
      <c r="BC282" s="96" t="s">
        <v>93</v>
      </c>
    </row>
    <row r="283" spans="1:55" ht="15" customHeight="1">
      <c r="A283" s="86">
        <f t="shared" si="22"/>
        <v>281</v>
      </c>
      <c r="B283" s="75" t="s">
        <v>483</v>
      </c>
      <c r="C283" s="9"/>
      <c r="D283" s="76" t="s">
        <v>482</v>
      </c>
      <c r="E283" s="88" t="str">
        <f>_xlfn.IFNA(VLOOKUP($D283,'Route-Details'!$B$2:$X$1048576,'Node Details'!E$1,0),"")</f>
        <v>Airtel</v>
      </c>
      <c r="F283" s="88" t="str">
        <f>_xlfn.IFNA(VLOOKUP($D283,'Route-Details'!$B$2:$X$1048576,'Node Details'!F$1,0),"")</f>
        <v>DARIA</v>
      </c>
      <c r="G283" s="88" t="str">
        <f>_xlfn.IFNA(VLOOKUP($D283,'Route-Details'!$B$2:$X$1048576,'Node Details'!G$1,0),"")</f>
        <v>Chandigarh</v>
      </c>
      <c r="H283" s="88" t="str">
        <f>_xlfn.IFNA(VLOOKUP($D284,'Route-Details'!$B$2:$X$1048576,'Node Details'!H$1,0),"")</f>
        <v>Punjab</v>
      </c>
      <c r="I283" s="88" t="str">
        <f>_xlfn.IFNA(VLOOKUP($D283,'Route-Details'!$B$2:$X$1048576,'Node Details'!I$1,0),"")</f>
        <v>AXW</v>
      </c>
      <c r="J283" s="88" t="str">
        <f>_xlfn.IFNA(VLOOKUP($D283,'Route-Details'!$B$2:$X$1048576,'Node Details'!J$1,0),"")</f>
        <v>AXW</v>
      </c>
      <c r="K283" s="76">
        <v>46112</v>
      </c>
      <c r="L283" s="76">
        <v>46114</v>
      </c>
      <c r="M283" s="89">
        <v>46147</v>
      </c>
      <c r="N283" s="76">
        <v>46114</v>
      </c>
      <c r="Q283" s="86" t="s">
        <v>958</v>
      </c>
      <c r="R283" s="90"/>
      <c r="S283" s="87"/>
      <c r="T283" s="87"/>
      <c r="U283" s="87"/>
      <c r="V283" s="93"/>
      <c r="W283" s="91"/>
      <c r="X283" s="87"/>
      <c r="Y283" s="92"/>
      <c r="Z283" s="90"/>
      <c r="AA283" s="93"/>
      <c r="AB283" s="87"/>
      <c r="AC283" s="91"/>
      <c r="AD283" s="90"/>
      <c r="AE283" s="86"/>
      <c r="AF283" s="82"/>
      <c r="AG283" s="24"/>
      <c r="AH283" s="93"/>
      <c r="AI283" s="87"/>
      <c r="AJ283" s="86"/>
      <c r="AK283" s="81"/>
      <c r="AL283" s="24"/>
      <c r="AM283" s="24"/>
      <c r="AN283" s="81"/>
      <c r="AO283" s="81"/>
      <c r="AP283" s="24"/>
      <c r="AQ283" s="93"/>
      <c r="AR283" s="94"/>
      <c r="AS283" s="82"/>
      <c r="AT283" s="82"/>
      <c r="AU283" s="24"/>
      <c r="AV283" s="93"/>
      <c r="AW283" s="94"/>
      <c r="AX283" s="95"/>
      <c r="AY283" s="95"/>
      <c r="AZ283" s="95"/>
      <c r="BA283" s="24"/>
      <c r="BB283" s="9" t="s">
        <v>300</v>
      </c>
      <c r="BC283" s="96" t="s">
        <v>93</v>
      </c>
    </row>
    <row r="284" spans="1:55" ht="15" customHeight="1">
      <c r="A284" s="86">
        <f t="shared" si="22"/>
        <v>282</v>
      </c>
      <c r="B284" s="75" t="s">
        <v>1093</v>
      </c>
      <c r="C284" s="9"/>
      <c r="D284" s="76" t="s">
        <v>484</v>
      </c>
      <c r="E284" s="88" t="str">
        <f>_xlfn.IFNA(VLOOKUP($D284,'Route-Details'!$B$2:$X$1048576,'Node Details'!E$1,0),"")</f>
        <v>Airtel</v>
      </c>
      <c r="F284" s="88" t="str">
        <f>_xlfn.IFNA(VLOOKUP($D284,'Route-Details'!$B$2:$X$1048576,'Node Details'!F$1,0),"")</f>
        <v>DARIA</v>
      </c>
      <c r="G284" s="88" t="str">
        <f>_xlfn.IFNA(VLOOKUP($D284,'Route-Details'!$B$2:$X$1048576,'Node Details'!G$1,0),"")</f>
        <v>Chandigarh</v>
      </c>
      <c r="H284" s="88" t="str">
        <f>_xlfn.IFNA(VLOOKUP($D285,'Route-Details'!$B$2:$X$1048576,'Node Details'!H$1,0),"")</f>
        <v>Punjab</v>
      </c>
      <c r="I284" s="88" t="str">
        <f>_xlfn.IFNA(VLOOKUP($D284,'Route-Details'!$B$2:$X$1048576,'Node Details'!I$1,0),"")</f>
        <v>AXW</v>
      </c>
      <c r="J284" s="88" t="str">
        <f>_xlfn.IFNA(VLOOKUP($D284,'Route-Details'!$B$2:$X$1048576,'Node Details'!J$1,0),"")</f>
        <v>AXW</v>
      </c>
      <c r="K284" s="76">
        <v>46112</v>
      </c>
      <c r="L284" s="76">
        <v>46114</v>
      </c>
      <c r="M284" s="89">
        <v>46147</v>
      </c>
      <c r="N284" s="76">
        <v>46114</v>
      </c>
      <c r="Q284" s="86" t="s">
        <v>958</v>
      </c>
      <c r="R284" s="90"/>
      <c r="S284" s="87"/>
      <c r="T284" s="87"/>
      <c r="U284" s="87"/>
      <c r="V284" s="93"/>
      <c r="W284" s="91"/>
      <c r="X284" s="87"/>
      <c r="Y284" s="92"/>
      <c r="Z284" s="90"/>
      <c r="AA284" s="93"/>
      <c r="AB284" s="87"/>
      <c r="AC284" s="91"/>
      <c r="AD284" s="90"/>
      <c r="AE284" s="86"/>
      <c r="AF284" s="82"/>
      <c r="AG284" s="24"/>
      <c r="AH284" s="93"/>
      <c r="AI284" s="87"/>
      <c r="AJ284" s="86"/>
      <c r="AK284" s="81"/>
      <c r="AL284" s="24"/>
      <c r="AM284" s="24"/>
      <c r="AN284" s="81"/>
      <c r="AO284" s="81"/>
      <c r="AP284" s="24"/>
      <c r="AQ284" s="93"/>
      <c r="AR284" s="94"/>
      <c r="AS284" s="82"/>
      <c r="AT284" s="82"/>
      <c r="AU284" s="24"/>
      <c r="AV284" s="93"/>
      <c r="AW284" s="94"/>
      <c r="AX284" s="95"/>
      <c r="AY284" s="95"/>
      <c r="AZ284" s="95"/>
      <c r="BA284" s="24"/>
      <c r="BB284" s="9" t="s">
        <v>303</v>
      </c>
      <c r="BC284" s="96" t="s">
        <v>93</v>
      </c>
    </row>
    <row r="285" spans="1:55" ht="15" customHeight="1">
      <c r="A285" s="86">
        <f t="shared" si="22"/>
        <v>283</v>
      </c>
      <c r="B285" s="75" t="s">
        <v>485</v>
      </c>
      <c r="C285" s="9"/>
      <c r="D285" s="76" t="s">
        <v>484</v>
      </c>
      <c r="E285" s="88" t="str">
        <f>_xlfn.IFNA(VLOOKUP($D285,'Route-Details'!$B$2:$X$1048576,'Node Details'!E$1,0),"")</f>
        <v>Airtel</v>
      </c>
      <c r="F285" s="88" t="str">
        <f>_xlfn.IFNA(VLOOKUP($D285,'Route-Details'!$B$2:$X$1048576,'Node Details'!F$1,0),"")</f>
        <v>DARIA</v>
      </c>
      <c r="G285" s="88" t="str">
        <f>_xlfn.IFNA(VLOOKUP($D285,'Route-Details'!$B$2:$X$1048576,'Node Details'!G$1,0),"")</f>
        <v>Chandigarh</v>
      </c>
      <c r="H285" s="88" t="str">
        <f>_xlfn.IFNA(VLOOKUP($D286,'Route-Details'!$B$2:$X$1048576,'Node Details'!H$1,0),"")</f>
        <v>Punjab</v>
      </c>
      <c r="I285" s="88" t="str">
        <f>_xlfn.IFNA(VLOOKUP($D285,'Route-Details'!$B$2:$X$1048576,'Node Details'!I$1,0),"")</f>
        <v>AXW</v>
      </c>
      <c r="J285" s="88" t="str">
        <f>_xlfn.IFNA(VLOOKUP($D285,'Route-Details'!$B$2:$X$1048576,'Node Details'!J$1,0),"")</f>
        <v>AXW</v>
      </c>
      <c r="K285" s="76">
        <v>46112</v>
      </c>
      <c r="L285" s="76">
        <v>46114</v>
      </c>
      <c r="M285" s="89">
        <v>46147</v>
      </c>
      <c r="N285" s="76">
        <v>46114</v>
      </c>
      <c r="Q285" s="86" t="s">
        <v>958</v>
      </c>
      <c r="R285" s="90"/>
      <c r="S285" s="87"/>
      <c r="T285" s="87"/>
      <c r="U285" s="87"/>
      <c r="V285" s="93"/>
      <c r="W285" s="91"/>
      <c r="X285" s="87"/>
      <c r="Y285" s="92"/>
      <c r="Z285" s="90"/>
      <c r="AA285" s="93"/>
      <c r="AB285" s="87"/>
      <c r="AC285" s="91"/>
      <c r="AD285" s="90"/>
      <c r="AE285" s="86"/>
      <c r="AF285" s="82"/>
      <c r="AG285" s="24"/>
      <c r="AH285" s="93"/>
      <c r="AI285" s="87"/>
      <c r="AJ285" s="86"/>
      <c r="AK285" s="81"/>
      <c r="AL285" s="24"/>
      <c r="AM285" s="24"/>
      <c r="AN285" s="81"/>
      <c r="AO285" s="81"/>
      <c r="AP285" s="24"/>
      <c r="AQ285" s="93"/>
      <c r="AR285" s="94"/>
      <c r="AS285" s="82"/>
      <c r="AT285" s="82"/>
      <c r="AU285" s="24"/>
      <c r="AV285" s="93"/>
      <c r="AW285" s="94"/>
      <c r="AX285" s="95"/>
      <c r="AY285" s="95"/>
      <c r="AZ285" s="95"/>
      <c r="BA285" s="24"/>
      <c r="BB285" s="9" t="s">
        <v>303</v>
      </c>
      <c r="BC285" s="96" t="s">
        <v>93</v>
      </c>
    </row>
    <row r="286" spans="1:55" ht="15" customHeight="1">
      <c r="A286" s="86">
        <f t="shared" si="22"/>
        <v>284</v>
      </c>
      <c r="B286" s="75" t="s">
        <v>487</v>
      </c>
      <c r="C286" s="9"/>
      <c r="D286" s="76" t="s">
        <v>382</v>
      </c>
      <c r="E286" s="88" t="str">
        <f>_xlfn.IFNA(VLOOKUP($D286,'Route-Details'!$B$2:$X$1048576,'Node Details'!E$1,0),"")</f>
        <v>Airtel</v>
      </c>
      <c r="F286" s="88" t="str">
        <f>_xlfn.IFNA(VLOOKUP($D286,'Route-Details'!$B$2:$X$1048576,'Node Details'!F$1,0),"")</f>
        <v>DARIA</v>
      </c>
      <c r="G286" s="88" t="str">
        <f>_xlfn.IFNA(VLOOKUP($D286,'Route-Details'!$B$2:$X$1048576,'Node Details'!G$1,0),"")</f>
        <v>Chandigarh</v>
      </c>
      <c r="H286" s="88" t="str">
        <f>_xlfn.IFNA(VLOOKUP($D287,'Route-Details'!$B$2:$X$1048576,'Node Details'!H$1,0),"")</f>
        <v>Punjab</v>
      </c>
      <c r="I286" s="88" t="str">
        <f>_xlfn.IFNA(VLOOKUP($D286,'Route-Details'!$B$2:$X$1048576,'Node Details'!I$1,0),"")</f>
        <v>AXW</v>
      </c>
      <c r="J286" s="88" t="str">
        <f>_xlfn.IFNA(VLOOKUP($D286,'Route-Details'!$B$2:$X$1048576,'Node Details'!J$1,0),"")</f>
        <v>AXW</v>
      </c>
      <c r="K286" s="76">
        <v>46112</v>
      </c>
      <c r="L286" s="76">
        <v>46114</v>
      </c>
      <c r="M286" s="89">
        <v>46147</v>
      </c>
      <c r="N286" s="76">
        <v>46114</v>
      </c>
      <c r="Q286" s="86" t="s">
        <v>958</v>
      </c>
      <c r="R286" s="90"/>
      <c r="S286" s="87"/>
      <c r="T286" s="87"/>
      <c r="U286" s="87"/>
      <c r="V286" s="93"/>
      <c r="W286" s="91"/>
      <c r="X286" s="87"/>
      <c r="Y286" s="92"/>
      <c r="Z286" s="90"/>
      <c r="AA286" s="93"/>
      <c r="AB286" s="87"/>
      <c r="AC286" s="91"/>
      <c r="AD286" s="90"/>
      <c r="AE286" s="86"/>
      <c r="AF286" s="82"/>
      <c r="AG286" s="24"/>
      <c r="AH286" s="93"/>
      <c r="AI286" s="87"/>
      <c r="AJ286" s="86"/>
      <c r="AK286" s="81"/>
      <c r="AL286" s="24"/>
      <c r="AM286" s="24"/>
      <c r="AN286" s="81"/>
      <c r="AO286" s="81"/>
      <c r="AP286" s="24"/>
      <c r="AQ286" s="93"/>
      <c r="AR286" s="94"/>
      <c r="AS286" s="82"/>
      <c r="AT286" s="82"/>
      <c r="AU286" s="24"/>
      <c r="AV286" s="93"/>
      <c r="AW286" s="94"/>
      <c r="AX286" s="95"/>
      <c r="AY286" s="95"/>
      <c r="AZ286" s="95"/>
      <c r="BA286" s="24"/>
      <c r="BB286" s="9" t="s">
        <v>107</v>
      </c>
      <c r="BC286" s="96" t="s">
        <v>93</v>
      </c>
    </row>
    <row r="287" spans="1:55" ht="15" customHeight="1">
      <c r="A287" s="86">
        <f t="shared" si="22"/>
        <v>285</v>
      </c>
      <c r="B287" s="75" t="s">
        <v>1094</v>
      </c>
      <c r="C287" s="9"/>
      <c r="D287" s="76" t="s">
        <v>486</v>
      </c>
      <c r="E287" s="88" t="str">
        <f>_xlfn.IFNA(VLOOKUP($D287,'Route-Details'!$B$2:$X$1048576,'Node Details'!E$1,0),"")</f>
        <v>Airtel</v>
      </c>
      <c r="F287" s="88" t="str">
        <f>_xlfn.IFNA(VLOOKUP($D287,'Route-Details'!$B$2:$X$1048576,'Node Details'!F$1,0),"")</f>
        <v>DARIA</v>
      </c>
      <c r="G287" s="88" t="str">
        <f>_xlfn.IFNA(VLOOKUP($D287,'Route-Details'!$B$2:$X$1048576,'Node Details'!G$1,0),"")</f>
        <v>Chandigarh</v>
      </c>
      <c r="H287" s="88" t="str">
        <f>_xlfn.IFNA(VLOOKUP($D288,'Route-Details'!$B$2:$X$1048576,'Node Details'!H$1,0),"")</f>
        <v>Punjab</v>
      </c>
      <c r="I287" s="88" t="str">
        <f>_xlfn.IFNA(VLOOKUP($D287,'Route-Details'!$B$2:$X$1048576,'Node Details'!I$1,0),"")</f>
        <v>AXW</v>
      </c>
      <c r="J287" s="88" t="str">
        <f>_xlfn.IFNA(VLOOKUP($D287,'Route-Details'!$B$2:$X$1048576,'Node Details'!J$1,0),"")</f>
        <v>AXW</v>
      </c>
      <c r="K287" s="76">
        <v>46112</v>
      </c>
      <c r="L287" s="76">
        <v>46114</v>
      </c>
      <c r="M287" s="89">
        <v>46147</v>
      </c>
      <c r="N287" s="76">
        <v>46114</v>
      </c>
      <c r="Q287" s="86" t="s">
        <v>958</v>
      </c>
      <c r="R287" s="90"/>
      <c r="S287" s="87"/>
      <c r="T287" s="87"/>
      <c r="U287" s="87"/>
      <c r="V287" s="93"/>
      <c r="W287" s="91"/>
      <c r="X287" s="87"/>
      <c r="Y287" s="92"/>
      <c r="Z287" s="90"/>
      <c r="AA287" s="93"/>
      <c r="AB287" s="87"/>
      <c r="AC287" s="91"/>
      <c r="AD287" s="90"/>
      <c r="AE287" s="86"/>
      <c r="AF287" s="82"/>
      <c r="AG287" s="24"/>
      <c r="AH287" s="93"/>
      <c r="AI287" s="87"/>
      <c r="AJ287" s="86"/>
      <c r="AK287" s="81"/>
      <c r="AL287" s="24"/>
      <c r="AM287" s="24"/>
      <c r="AN287" s="81"/>
      <c r="AO287" s="81"/>
      <c r="AP287" s="24"/>
      <c r="AQ287" s="93"/>
      <c r="AR287" s="94"/>
      <c r="AS287" s="82"/>
      <c r="AT287" s="82"/>
      <c r="AU287" s="24"/>
      <c r="AV287" s="93"/>
      <c r="AW287" s="94"/>
      <c r="AX287" s="95"/>
      <c r="AY287" s="95"/>
      <c r="AZ287" s="95"/>
      <c r="BA287" s="24"/>
      <c r="BB287" s="9" t="s">
        <v>307</v>
      </c>
      <c r="BC287" s="96" t="s">
        <v>93</v>
      </c>
    </row>
    <row r="288" spans="1:55" ht="15" customHeight="1">
      <c r="A288" s="86">
        <f t="shared" si="22"/>
        <v>286</v>
      </c>
      <c r="B288" s="75" t="s">
        <v>490</v>
      </c>
      <c r="C288" s="9"/>
      <c r="D288" s="76" t="s">
        <v>489</v>
      </c>
      <c r="E288" s="88" t="str">
        <f>_xlfn.IFNA(VLOOKUP($D288,'Route-Details'!$B$2:$X$1048576,'Node Details'!E$1,0),"")</f>
        <v>Airtel</v>
      </c>
      <c r="F288" s="88" t="str">
        <f>_xlfn.IFNA(VLOOKUP($D288,'Route-Details'!$B$2:$X$1048576,'Node Details'!F$1,0),"")</f>
        <v>DARIA</v>
      </c>
      <c r="G288" s="88" t="str">
        <f>_xlfn.IFNA(VLOOKUP($D288,'Route-Details'!$B$2:$X$1048576,'Node Details'!G$1,0),"")</f>
        <v>Chandigarh</v>
      </c>
      <c r="H288" s="88" t="str">
        <f>_xlfn.IFNA(VLOOKUP($D289,'Route-Details'!$B$2:$X$1048576,'Node Details'!H$1,0),"")</f>
        <v>Punjab</v>
      </c>
      <c r="I288" s="88" t="str">
        <f>_xlfn.IFNA(VLOOKUP($D288,'Route-Details'!$B$2:$X$1048576,'Node Details'!I$1,0),"")</f>
        <v>AXW</v>
      </c>
      <c r="J288" s="88" t="str">
        <f>_xlfn.IFNA(VLOOKUP($D288,'Route-Details'!$B$2:$X$1048576,'Node Details'!J$1,0),"")</f>
        <v>AXW</v>
      </c>
      <c r="K288" s="76">
        <v>46112</v>
      </c>
      <c r="L288" s="76">
        <v>46114</v>
      </c>
      <c r="M288" s="89">
        <v>46147</v>
      </c>
      <c r="N288" s="76">
        <v>46114</v>
      </c>
      <c r="Q288" s="86" t="s">
        <v>958</v>
      </c>
      <c r="R288" s="90"/>
      <c r="S288" s="87"/>
      <c r="T288" s="87"/>
      <c r="U288" s="87"/>
      <c r="V288" s="93"/>
      <c r="W288" s="91"/>
      <c r="X288" s="87"/>
      <c r="Y288" s="92"/>
      <c r="Z288" s="90"/>
      <c r="AA288" s="93"/>
      <c r="AB288" s="87"/>
      <c r="AC288" s="91"/>
      <c r="AD288" s="90"/>
      <c r="AE288" s="86"/>
      <c r="AF288" s="82"/>
      <c r="AG288" s="24"/>
      <c r="AH288" s="93"/>
      <c r="AI288" s="87"/>
      <c r="AJ288" s="86"/>
      <c r="AK288" s="81"/>
      <c r="AL288" s="24"/>
      <c r="AM288" s="24"/>
      <c r="AN288" s="81"/>
      <c r="AO288" s="81"/>
      <c r="AP288" s="24"/>
      <c r="AQ288" s="93"/>
      <c r="AR288" s="94"/>
      <c r="AS288" s="82"/>
      <c r="AT288" s="82"/>
      <c r="AU288" s="24"/>
      <c r="AV288" s="93"/>
      <c r="AW288" s="94"/>
      <c r="AX288" s="95"/>
      <c r="AY288" s="95"/>
      <c r="AZ288" s="95"/>
      <c r="BA288" s="24"/>
      <c r="BB288" s="9" t="s">
        <v>310</v>
      </c>
      <c r="BC288" s="96" t="s">
        <v>93</v>
      </c>
    </row>
    <row r="289" spans="1:55" ht="15" customHeight="1">
      <c r="A289" s="86">
        <f t="shared" si="22"/>
        <v>287</v>
      </c>
      <c r="B289" s="75" t="s">
        <v>1095</v>
      </c>
      <c r="C289" s="9"/>
      <c r="D289" s="76" t="s">
        <v>491</v>
      </c>
      <c r="E289" s="88" t="str">
        <f>_xlfn.IFNA(VLOOKUP($D289,'Route-Details'!$B$2:$X$1048576,'Node Details'!E$1,0),"")</f>
        <v>Airtel</v>
      </c>
      <c r="F289" s="88" t="str">
        <f>_xlfn.IFNA(VLOOKUP($D289,'Route-Details'!$B$2:$X$1048576,'Node Details'!F$1,0),"")</f>
        <v>DARIA</v>
      </c>
      <c r="G289" s="88" t="str">
        <f>_xlfn.IFNA(VLOOKUP($D289,'Route-Details'!$B$2:$X$1048576,'Node Details'!G$1,0),"")</f>
        <v>Chandigarh</v>
      </c>
      <c r="H289" s="88" t="str">
        <f>_xlfn.IFNA(VLOOKUP($D290,'Route-Details'!$B$2:$X$1048576,'Node Details'!H$1,0),"")</f>
        <v>Punjab</v>
      </c>
      <c r="I289" s="88" t="str">
        <f>_xlfn.IFNA(VLOOKUP($D289,'Route-Details'!$B$2:$X$1048576,'Node Details'!I$1,0),"")</f>
        <v>AXW</v>
      </c>
      <c r="J289" s="88" t="str">
        <f>_xlfn.IFNA(VLOOKUP($D289,'Route-Details'!$B$2:$X$1048576,'Node Details'!J$1,0),"")</f>
        <v>AXW</v>
      </c>
      <c r="K289" s="76">
        <v>46112</v>
      </c>
      <c r="L289" s="76">
        <v>46114</v>
      </c>
      <c r="M289" s="89">
        <v>46147</v>
      </c>
      <c r="N289" s="76">
        <v>46114</v>
      </c>
      <c r="Q289" s="86" t="s">
        <v>958</v>
      </c>
      <c r="R289" s="90"/>
      <c r="S289" s="87"/>
      <c r="T289" s="87"/>
      <c r="U289" s="87"/>
      <c r="V289" s="93"/>
      <c r="W289" s="91"/>
      <c r="X289" s="87"/>
      <c r="Y289" s="92"/>
      <c r="Z289" s="90"/>
      <c r="AA289" s="93"/>
      <c r="AB289" s="87"/>
      <c r="AC289" s="91"/>
      <c r="AD289" s="90"/>
      <c r="AE289" s="86"/>
      <c r="AF289" s="82"/>
      <c r="AG289" s="24"/>
      <c r="AH289" s="93"/>
      <c r="AI289" s="87"/>
      <c r="AJ289" s="86"/>
      <c r="AK289" s="81"/>
      <c r="AL289" s="24"/>
      <c r="AM289" s="24"/>
      <c r="AN289" s="81"/>
      <c r="AO289" s="81"/>
      <c r="AP289" s="24"/>
      <c r="AQ289" s="93"/>
      <c r="AR289" s="94"/>
      <c r="AS289" s="82"/>
      <c r="AT289" s="82"/>
      <c r="AU289" s="24"/>
      <c r="AV289" s="93"/>
      <c r="AW289" s="94"/>
      <c r="AX289" s="95"/>
      <c r="AY289" s="95"/>
      <c r="AZ289" s="95"/>
      <c r="BA289" s="24"/>
      <c r="BB289" s="9" t="s">
        <v>313</v>
      </c>
      <c r="BC289" s="96" t="s">
        <v>93</v>
      </c>
    </row>
    <row r="290" spans="1:55" ht="15" customHeight="1">
      <c r="A290" s="86">
        <f t="shared" si="22"/>
        <v>288</v>
      </c>
      <c r="B290" s="75" t="s">
        <v>492</v>
      </c>
      <c r="C290" s="9"/>
      <c r="D290" s="76" t="s">
        <v>491</v>
      </c>
      <c r="E290" s="88" t="str">
        <f>_xlfn.IFNA(VLOOKUP($D290,'Route-Details'!$B$2:$X$1048576,'Node Details'!E$1,0),"")</f>
        <v>Airtel</v>
      </c>
      <c r="F290" s="88" t="str">
        <f>_xlfn.IFNA(VLOOKUP($D290,'Route-Details'!$B$2:$X$1048576,'Node Details'!F$1,0),"")</f>
        <v>DARIA</v>
      </c>
      <c r="G290" s="88" t="str">
        <f>_xlfn.IFNA(VLOOKUP($D290,'Route-Details'!$B$2:$X$1048576,'Node Details'!G$1,0),"")</f>
        <v>Chandigarh</v>
      </c>
      <c r="H290" s="88" t="str">
        <f>_xlfn.IFNA(VLOOKUP($D291,'Route-Details'!$B$2:$X$1048576,'Node Details'!H$1,0),"")</f>
        <v>Punjab</v>
      </c>
      <c r="I290" s="88" t="str">
        <f>_xlfn.IFNA(VLOOKUP($D290,'Route-Details'!$B$2:$X$1048576,'Node Details'!I$1,0),"")</f>
        <v>AXW</v>
      </c>
      <c r="J290" s="88" t="str">
        <f>_xlfn.IFNA(VLOOKUP($D290,'Route-Details'!$B$2:$X$1048576,'Node Details'!J$1,0),"")</f>
        <v>AXW</v>
      </c>
      <c r="K290" s="76">
        <v>46112</v>
      </c>
      <c r="L290" s="76">
        <v>46114</v>
      </c>
      <c r="M290" s="89">
        <v>46147</v>
      </c>
      <c r="N290" s="76">
        <v>46114</v>
      </c>
      <c r="Q290" s="86" t="s">
        <v>958</v>
      </c>
      <c r="R290" s="90"/>
      <c r="S290" s="87"/>
      <c r="T290" s="87"/>
      <c r="U290" s="87"/>
      <c r="V290" s="93"/>
      <c r="W290" s="91"/>
      <c r="X290" s="87"/>
      <c r="Y290" s="92"/>
      <c r="Z290" s="90"/>
      <c r="AA290" s="93"/>
      <c r="AB290" s="87"/>
      <c r="AC290" s="91"/>
      <c r="AD290" s="90"/>
      <c r="AE290" s="86"/>
      <c r="AF290" s="82"/>
      <c r="AG290" s="24"/>
      <c r="AH290" s="93"/>
      <c r="AI290" s="87"/>
      <c r="AJ290" s="86"/>
      <c r="AK290" s="81"/>
      <c r="AL290" s="24"/>
      <c r="AM290" s="24"/>
      <c r="AN290" s="81"/>
      <c r="AO290" s="81"/>
      <c r="AP290" s="24"/>
      <c r="AQ290" s="93"/>
      <c r="AR290" s="94"/>
      <c r="AS290" s="82"/>
      <c r="AT290" s="82"/>
      <c r="AU290" s="24"/>
      <c r="AV290" s="93"/>
      <c r="AW290" s="94"/>
      <c r="AX290" s="95"/>
      <c r="AY290" s="95"/>
      <c r="AZ290" s="95"/>
      <c r="BA290" s="24"/>
      <c r="BB290" s="9" t="s">
        <v>313</v>
      </c>
      <c r="BC290" s="96" t="s">
        <v>93</v>
      </c>
    </row>
    <row r="291" spans="1:55" ht="15" customHeight="1">
      <c r="A291" s="86">
        <f t="shared" si="22"/>
        <v>289</v>
      </c>
      <c r="B291" s="75" t="s">
        <v>1096</v>
      </c>
      <c r="C291" s="9"/>
      <c r="D291" s="76" t="s">
        <v>486</v>
      </c>
      <c r="E291" s="88" t="str">
        <f>_xlfn.IFNA(VLOOKUP($D291,'Route-Details'!$B$2:$X$1048576,'Node Details'!E$1,0),"")</f>
        <v>Airtel</v>
      </c>
      <c r="F291" s="88" t="str">
        <f>_xlfn.IFNA(VLOOKUP($D291,'Route-Details'!$B$2:$X$1048576,'Node Details'!F$1,0),"")</f>
        <v>DARIA</v>
      </c>
      <c r="G291" s="88" t="str">
        <f>_xlfn.IFNA(VLOOKUP($D291,'Route-Details'!$B$2:$X$1048576,'Node Details'!G$1,0),"")</f>
        <v>Chandigarh</v>
      </c>
      <c r="H291" s="88" t="str">
        <f>_xlfn.IFNA(VLOOKUP($D292,'Route-Details'!$B$2:$X$1048576,'Node Details'!H$1,0),"")</f>
        <v>Punjab</v>
      </c>
      <c r="I291" s="88" t="str">
        <f>_xlfn.IFNA(VLOOKUP($D291,'Route-Details'!$B$2:$X$1048576,'Node Details'!I$1,0),"")</f>
        <v>AXW</v>
      </c>
      <c r="J291" s="88" t="str">
        <f>_xlfn.IFNA(VLOOKUP($D291,'Route-Details'!$B$2:$X$1048576,'Node Details'!J$1,0),"")</f>
        <v>AXW</v>
      </c>
      <c r="K291" s="76">
        <v>46112</v>
      </c>
      <c r="L291" s="76">
        <v>46114</v>
      </c>
      <c r="M291" s="89">
        <v>46147</v>
      </c>
      <c r="N291" s="76">
        <v>46114</v>
      </c>
      <c r="Q291" s="86" t="s">
        <v>958</v>
      </c>
      <c r="R291" s="90"/>
      <c r="S291" s="87"/>
      <c r="T291" s="87"/>
      <c r="U291" s="87"/>
      <c r="V291" s="93"/>
      <c r="W291" s="91"/>
      <c r="X291" s="87"/>
      <c r="Y291" s="92"/>
      <c r="Z291" s="90"/>
      <c r="AA291" s="93"/>
      <c r="AB291" s="87"/>
      <c r="AC291" s="91"/>
      <c r="AD291" s="90"/>
      <c r="AE291" s="86"/>
      <c r="AF291" s="82"/>
      <c r="AG291" s="24"/>
      <c r="AH291" s="93"/>
      <c r="AI291" s="87"/>
      <c r="AJ291" s="86"/>
      <c r="AK291" s="81"/>
      <c r="AL291" s="24"/>
      <c r="AM291" s="24"/>
      <c r="AN291" s="81"/>
      <c r="AO291" s="81"/>
      <c r="AP291" s="24"/>
      <c r="AQ291" s="93"/>
      <c r="AR291" s="94"/>
      <c r="AS291" s="82"/>
      <c r="AT291" s="82"/>
      <c r="AU291" s="24"/>
      <c r="AV291" s="93"/>
      <c r="AW291" s="94"/>
      <c r="AX291" s="95"/>
      <c r="AY291" s="95"/>
      <c r="AZ291" s="95"/>
      <c r="BA291" s="24"/>
      <c r="BB291" s="9" t="s">
        <v>307</v>
      </c>
      <c r="BC291" s="96" t="s">
        <v>93</v>
      </c>
    </row>
    <row r="292" spans="1:55" ht="15" customHeight="1">
      <c r="A292" s="86">
        <f t="shared" si="22"/>
        <v>290</v>
      </c>
      <c r="B292" s="75" t="s">
        <v>1097</v>
      </c>
      <c r="C292" s="9"/>
      <c r="D292" s="76" t="s">
        <v>486</v>
      </c>
      <c r="E292" s="88" t="str">
        <f>_xlfn.IFNA(VLOOKUP($D292,'Route-Details'!$B$2:$X$1048576,'Node Details'!E$1,0),"")</f>
        <v>Airtel</v>
      </c>
      <c r="F292" s="88" t="str">
        <f>_xlfn.IFNA(VLOOKUP($D292,'Route-Details'!$B$2:$X$1048576,'Node Details'!F$1,0),"")</f>
        <v>DARIA</v>
      </c>
      <c r="G292" s="88" t="str">
        <f>_xlfn.IFNA(VLOOKUP($D292,'Route-Details'!$B$2:$X$1048576,'Node Details'!G$1,0),"")</f>
        <v>Chandigarh</v>
      </c>
      <c r="H292" s="88" t="str">
        <f>_xlfn.IFNA(VLOOKUP($D293,'Route-Details'!$B$2:$X$1048576,'Node Details'!H$1,0),"")</f>
        <v>Punjab</v>
      </c>
      <c r="I292" s="88" t="str">
        <f>_xlfn.IFNA(VLOOKUP($D292,'Route-Details'!$B$2:$X$1048576,'Node Details'!I$1,0),"")</f>
        <v>AXW</v>
      </c>
      <c r="J292" s="88" t="str">
        <f>_xlfn.IFNA(VLOOKUP($D292,'Route-Details'!$B$2:$X$1048576,'Node Details'!J$1,0),"")</f>
        <v>AXW</v>
      </c>
      <c r="K292" s="76">
        <v>46112</v>
      </c>
      <c r="L292" s="76">
        <v>46114</v>
      </c>
      <c r="M292" s="89">
        <v>46147</v>
      </c>
      <c r="N292" s="76">
        <v>46114</v>
      </c>
      <c r="Q292" s="86" t="s">
        <v>958</v>
      </c>
      <c r="R292" s="90"/>
      <c r="S292" s="87"/>
      <c r="T292" s="87"/>
      <c r="U292" s="87"/>
      <c r="V292" s="93"/>
      <c r="W292" s="91"/>
      <c r="X292" s="87"/>
      <c r="Y292" s="92"/>
      <c r="Z292" s="90"/>
      <c r="AA292" s="93"/>
      <c r="AB292" s="87"/>
      <c r="AC292" s="91"/>
      <c r="AD292" s="90"/>
      <c r="AE292" s="86"/>
      <c r="AF292" s="82"/>
      <c r="AG292" s="24"/>
      <c r="AH292" s="93"/>
      <c r="AI292" s="87"/>
      <c r="AJ292" s="86"/>
      <c r="AK292" s="81"/>
      <c r="AL292" s="24"/>
      <c r="AM292" s="24"/>
      <c r="AN292" s="81"/>
      <c r="AO292" s="81"/>
      <c r="AP292" s="24"/>
      <c r="AQ292" s="93"/>
      <c r="AR292" s="94"/>
      <c r="AS292" s="82"/>
      <c r="AT292" s="82"/>
      <c r="AU292" s="24"/>
      <c r="AV292" s="93"/>
      <c r="AW292" s="94"/>
      <c r="AX292" s="95"/>
      <c r="AY292" s="95"/>
      <c r="AZ292" s="95"/>
      <c r="BA292" s="24"/>
      <c r="BB292" s="9" t="s">
        <v>307</v>
      </c>
      <c r="BC292" s="96" t="s">
        <v>93</v>
      </c>
    </row>
    <row r="293" spans="1:55" ht="15" customHeight="1">
      <c r="A293" s="86">
        <f t="shared" si="22"/>
        <v>291</v>
      </c>
      <c r="B293" s="75" t="s">
        <v>1098</v>
      </c>
      <c r="C293" s="9"/>
      <c r="D293" s="76" t="s">
        <v>486</v>
      </c>
      <c r="E293" s="88" t="str">
        <f>_xlfn.IFNA(VLOOKUP($D293,'Route-Details'!$B$2:$X$1048576,'Node Details'!E$1,0),"")</f>
        <v>Airtel</v>
      </c>
      <c r="F293" s="88" t="str">
        <f>_xlfn.IFNA(VLOOKUP($D293,'Route-Details'!$B$2:$X$1048576,'Node Details'!F$1,0),"")</f>
        <v>DARIA</v>
      </c>
      <c r="G293" s="88" t="str">
        <f>_xlfn.IFNA(VLOOKUP($D293,'Route-Details'!$B$2:$X$1048576,'Node Details'!G$1,0),"")</f>
        <v>Chandigarh</v>
      </c>
      <c r="H293" s="88" t="str">
        <f>_xlfn.IFNA(VLOOKUP($D294,'Route-Details'!$B$2:$X$1048576,'Node Details'!H$1,0),"")</f>
        <v>Punjab</v>
      </c>
      <c r="I293" s="88" t="str">
        <f>_xlfn.IFNA(VLOOKUP($D293,'Route-Details'!$B$2:$X$1048576,'Node Details'!I$1,0),"")</f>
        <v>AXW</v>
      </c>
      <c r="J293" s="88" t="str">
        <f>_xlfn.IFNA(VLOOKUP($D293,'Route-Details'!$B$2:$X$1048576,'Node Details'!J$1,0),"")</f>
        <v>AXW</v>
      </c>
      <c r="K293" s="76">
        <v>46112</v>
      </c>
      <c r="L293" s="76">
        <v>46114</v>
      </c>
      <c r="M293" s="89">
        <v>46147</v>
      </c>
      <c r="N293" s="76">
        <v>46114</v>
      </c>
      <c r="Q293" s="86" t="s">
        <v>958</v>
      </c>
      <c r="R293" s="90"/>
      <c r="S293" s="87"/>
      <c r="T293" s="87"/>
      <c r="U293" s="87"/>
      <c r="V293" s="93"/>
      <c r="W293" s="91"/>
      <c r="X293" s="87"/>
      <c r="Y293" s="92"/>
      <c r="Z293" s="90"/>
      <c r="AA293" s="93"/>
      <c r="AB293" s="87"/>
      <c r="AC293" s="91"/>
      <c r="AD293" s="90"/>
      <c r="AE293" s="86"/>
      <c r="AF293" s="82"/>
      <c r="AG293" s="24"/>
      <c r="AH293" s="93"/>
      <c r="AI293" s="87"/>
      <c r="AJ293" s="86"/>
      <c r="AK293" s="81"/>
      <c r="AL293" s="24"/>
      <c r="AM293" s="24"/>
      <c r="AN293" s="81"/>
      <c r="AO293" s="81"/>
      <c r="AP293" s="24"/>
      <c r="AQ293" s="93"/>
      <c r="AR293" s="94"/>
      <c r="AS293" s="82"/>
      <c r="AT293" s="82"/>
      <c r="AU293" s="24"/>
      <c r="AV293" s="93"/>
      <c r="AW293" s="94"/>
      <c r="AX293" s="95"/>
      <c r="AY293" s="95"/>
      <c r="AZ293" s="95"/>
      <c r="BA293" s="24"/>
      <c r="BB293" s="9" t="s">
        <v>307</v>
      </c>
      <c r="BC293" s="96" t="s">
        <v>93</v>
      </c>
    </row>
    <row r="294" spans="1:55" ht="15" customHeight="1">
      <c r="A294" s="86">
        <f t="shared" si="22"/>
        <v>292</v>
      </c>
      <c r="B294" s="75" t="s">
        <v>488</v>
      </c>
      <c r="C294" s="9"/>
      <c r="D294" s="76" t="s">
        <v>486</v>
      </c>
      <c r="E294" s="88" t="str">
        <f>_xlfn.IFNA(VLOOKUP($D294,'Route-Details'!$B$2:$X$1048576,'Node Details'!E$1,0),"")</f>
        <v>Airtel</v>
      </c>
      <c r="F294" s="88" t="str">
        <f>_xlfn.IFNA(VLOOKUP($D294,'Route-Details'!$B$2:$X$1048576,'Node Details'!F$1,0),"")</f>
        <v>DARIA</v>
      </c>
      <c r="G294" s="88" t="str">
        <f>_xlfn.IFNA(VLOOKUP($D294,'Route-Details'!$B$2:$X$1048576,'Node Details'!G$1,0),"")</f>
        <v>Chandigarh</v>
      </c>
      <c r="H294" s="88" t="str">
        <f>_xlfn.IFNA(VLOOKUP($D295,'Route-Details'!$B$2:$X$1048576,'Node Details'!H$1,0),"")</f>
        <v>Punjab</v>
      </c>
      <c r="I294" s="88" t="str">
        <f>_xlfn.IFNA(VLOOKUP($D294,'Route-Details'!$B$2:$X$1048576,'Node Details'!I$1,0),"")</f>
        <v>AXW</v>
      </c>
      <c r="J294" s="88" t="str">
        <f>_xlfn.IFNA(VLOOKUP($D294,'Route-Details'!$B$2:$X$1048576,'Node Details'!J$1,0),"")</f>
        <v>AXW</v>
      </c>
      <c r="K294" s="76">
        <v>46112</v>
      </c>
      <c r="L294" s="76">
        <v>46114</v>
      </c>
      <c r="M294" s="89">
        <v>46147</v>
      </c>
      <c r="N294" s="76">
        <v>46114</v>
      </c>
      <c r="Q294" s="86" t="s">
        <v>958</v>
      </c>
      <c r="R294" s="90"/>
      <c r="S294" s="87"/>
      <c r="T294" s="87"/>
      <c r="U294" s="87"/>
      <c r="V294" s="93"/>
      <c r="W294" s="91"/>
      <c r="X294" s="87"/>
      <c r="Y294" s="92"/>
      <c r="Z294" s="90"/>
      <c r="AA294" s="93"/>
      <c r="AB294" s="87"/>
      <c r="AC294" s="91"/>
      <c r="AD294" s="90"/>
      <c r="AE294" s="86"/>
      <c r="AF294" s="82"/>
      <c r="AG294" s="24"/>
      <c r="AH294" s="93"/>
      <c r="AI294" s="87"/>
      <c r="AJ294" s="86"/>
      <c r="AK294" s="81"/>
      <c r="AL294" s="24"/>
      <c r="AM294" s="24"/>
      <c r="AN294" s="81"/>
      <c r="AO294" s="81"/>
      <c r="AP294" s="24"/>
      <c r="AQ294" s="93"/>
      <c r="AR294" s="94"/>
      <c r="AS294" s="82"/>
      <c r="AT294" s="82"/>
      <c r="AU294" s="24"/>
      <c r="AV294" s="93"/>
      <c r="AW294" s="94"/>
      <c r="AX294" s="95"/>
      <c r="AY294" s="95"/>
      <c r="AZ294" s="95"/>
      <c r="BA294" s="24"/>
      <c r="BB294" s="9" t="s">
        <v>307</v>
      </c>
      <c r="BC294" s="96" t="s">
        <v>93</v>
      </c>
    </row>
    <row r="295" spans="1:55" ht="15" customHeight="1">
      <c r="A295" s="86">
        <f t="shared" si="22"/>
        <v>293</v>
      </c>
      <c r="B295" s="75" t="s">
        <v>494</v>
      </c>
      <c r="C295" s="9"/>
      <c r="D295" s="76" t="s">
        <v>382</v>
      </c>
      <c r="E295" s="88" t="str">
        <f>_xlfn.IFNA(VLOOKUP($D295,'Route-Details'!$B$2:$X$1048576,'Node Details'!E$1,0),"")</f>
        <v>Airtel</v>
      </c>
      <c r="F295" s="88" t="str">
        <f>_xlfn.IFNA(VLOOKUP($D295,'Route-Details'!$B$2:$X$1048576,'Node Details'!F$1,0),"")</f>
        <v>DARIA</v>
      </c>
      <c r="G295" s="88" t="str">
        <f>_xlfn.IFNA(VLOOKUP($D295,'Route-Details'!$B$2:$X$1048576,'Node Details'!G$1,0),"")</f>
        <v>Chandigarh</v>
      </c>
      <c r="H295" s="88" t="str">
        <f>_xlfn.IFNA(VLOOKUP($D296,'Route-Details'!$B$2:$X$1048576,'Node Details'!H$1,0),"")</f>
        <v>Punjab</v>
      </c>
      <c r="I295" s="88" t="str">
        <f>_xlfn.IFNA(VLOOKUP($D295,'Route-Details'!$B$2:$X$1048576,'Node Details'!I$1,0),"")</f>
        <v>AXW</v>
      </c>
      <c r="J295" s="88" t="str">
        <f>_xlfn.IFNA(VLOOKUP($D295,'Route-Details'!$B$2:$X$1048576,'Node Details'!J$1,0),"")</f>
        <v>AXW</v>
      </c>
      <c r="K295" s="76">
        <v>46112</v>
      </c>
      <c r="L295" s="76">
        <v>46114</v>
      </c>
      <c r="M295" s="89">
        <v>46147</v>
      </c>
      <c r="N295" s="76">
        <v>46114</v>
      </c>
      <c r="Q295" s="86" t="s">
        <v>958</v>
      </c>
      <c r="R295" s="90"/>
      <c r="S295" s="87"/>
      <c r="T295" s="87"/>
      <c r="U295" s="87"/>
      <c r="V295" s="93"/>
      <c r="W295" s="91"/>
      <c r="X295" s="87"/>
      <c r="Y295" s="92"/>
      <c r="Z295" s="90"/>
      <c r="AA295" s="93"/>
      <c r="AB295" s="87"/>
      <c r="AC295" s="91"/>
      <c r="AD295" s="90"/>
      <c r="AE295" s="86"/>
      <c r="AF295" s="82"/>
      <c r="AG295" s="24"/>
      <c r="AH295" s="93"/>
      <c r="AI295" s="87"/>
      <c r="AJ295" s="86"/>
      <c r="AK295" s="81"/>
      <c r="AL295" s="24"/>
      <c r="AM295" s="24"/>
      <c r="AN295" s="81"/>
      <c r="AO295" s="81"/>
      <c r="AP295" s="24"/>
      <c r="AQ295" s="93"/>
      <c r="AR295" s="94"/>
      <c r="AS295" s="82"/>
      <c r="AT295" s="82"/>
      <c r="AU295" s="24"/>
      <c r="AV295" s="93"/>
      <c r="AW295" s="94"/>
      <c r="AX295" s="95"/>
      <c r="AY295" s="95"/>
      <c r="AZ295" s="95"/>
      <c r="BA295" s="24"/>
      <c r="BB295" s="9" t="s">
        <v>107</v>
      </c>
      <c r="BC295" s="96" t="s">
        <v>93</v>
      </c>
    </row>
    <row r="296" spans="1:55" ht="15" customHeight="1">
      <c r="A296" s="86">
        <f t="shared" si="22"/>
        <v>294</v>
      </c>
      <c r="B296" s="75" t="s">
        <v>495</v>
      </c>
      <c r="C296" s="9"/>
      <c r="D296" s="76" t="s">
        <v>493</v>
      </c>
      <c r="E296" s="88" t="str">
        <f>_xlfn.IFNA(VLOOKUP($D296,'Route-Details'!$B$2:$X$1048576,'Node Details'!E$1,0),"")</f>
        <v>Airtel</v>
      </c>
      <c r="F296" s="88" t="str">
        <f>_xlfn.IFNA(VLOOKUP($D296,'Route-Details'!$B$2:$X$1048576,'Node Details'!F$1,0),"")</f>
        <v>DARIA</v>
      </c>
      <c r="G296" s="88" t="str">
        <f>_xlfn.IFNA(VLOOKUP($D296,'Route-Details'!$B$2:$X$1048576,'Node Details'!G$1,0),"")</f>
        <v>Chandigarh</v>
      </c>
      <c r="H296" s="88" t="str">
        <f>_xlfn.IFNA(VLOOKUP($D297,'Route-Details'!$B$2:$X$1048576,'Node Details'!H$1,0),"")</f>
        <v>Punjab</v>
      </c>
      <c r="I296" s="88" t="str">
        <f>_xlfn.IFNA(VLOOKUP($D296,'Route-Details'!$B$2:$X$1048576,'Node Details'!I$1,0),"")</f>
        <v>AXW</v>
      </c>
      <c r="J296" s="88" t="str">
        <f>_xlfn.IFNA(VLOOKUP($D296,'Route-Details'!$B$2:$X$1048576,'Node Details'!J$1,0),"")</f>
        <v>AXW</v>
      </c>
      <c r="K296" s="76">
        <v>46112</v>
      </c>
      <c r="L296" s="76">
        <v>46114</v>
      </c>
      <c r="M296" s="89">
        <v>46147</v>
      </c>
      <c r="N296" s="76">
        <v>46114</v>
      </c>
      <c r="Q296" s="86" t="s">
        <v>958</v>
      </c>
      <c r="R296" s="90"/>
      <c r="S296" s="87"/>
      <c r="T296" s="87"/>
      <c r="U296" s="87"/>
      <c r="V296" s="93"/>
      <c r="W296" s="91"/>
      <c r="X296" s="87"/>
      <c r="Y296" s="92"/>
      <c r="Z296" s="90"/>
      <c r="AA296" s="93"/>
      <c r="AB296" s="87"/>
      <c r="AC296" s="91"/>
      <c r="AD296" s="90"/>
      <c r="AE296" s="86"/>
      <c r="AF296" s="82"/>
      <c r="AG296" s="24"/>
      <c r="AH296" s="93"/>
      <c r="AI296" s="87"/>
      <c r="AJ296" s="86"/>
      <c r="AK296" s="81"/>
      <c r="AL296" s="24"/>
      <c r="AM296" s="24"/>
      <c r="AN296" s="81"/>
      <c r="AO296" s="81"/>
      <c r="AP296" s="24"/>
      <c r="AQ296" s="93"/>
      <c r="AR296" s="94"/>
      <c r="AS296" s="82"/>
      <c r="AT296" s="82"/>
      <c r="AU296" s="24"/>
      <c r="AV296" s="93"/>
      <c r="AW296" s="94"/>
      <c r="AX296" s="95"/>
      <c r="AY296" s="95"/>
      <c r="AZ296" s="95"/>
      <c r="BA296" s="24"/>
      <c r="BB296" s="9" t="s">
        <v>317</v>
      </c>
      <c r="BC296" s="96" t="s">
        <v>93</v>
      </c>
    </row>
    <row r="297" spans="1:55" ht="15" customHeight="1">
      <c r="A297" s="86">
        <f t="shared" si="22"/>
        <v>295</v>
      </c>
      <c r="B297" s="75" t="s">
        <v>499</v>
      </c>
      <c r="C297" s="9"/>
      <c r="D297" s="76" t="s">
        <v>496</v>
      </c>
      <c r="E297" s="88" t="str">
        <f>_xlfn.IFNA(VLOOKUP($D297,'Route-Details'!$B$2:$X$1048576,'Node Details'!E$1,0),"")</f>
        <v>Airtel</v>
      </c>
      <c r="F297" s="88" t="str">
        <f>_xlfn.IFNA(VLOOKUP($D297,'Route-Details'!$B$2:$X$1048576,'Node Details'!F$1,0),"")</f>
        <v>DARIA</v>
      </c>
      <c r="G297" s="88" t="str">
        <f>_xlfn.IFNA(VLOOKUP($D297,'Route-Details'!$B$2:$X$1048576,'Node Details'!G$1,0),"")</f>
        <v>Chandigarh</v>
      </c>
      <c r="H297" s="88" t="str">
        <f>_xlfn.IFNA(VLOOKUP($D298,'Route-Details'!$B$2:$X$1048576,'Node Details'!H$1,0),"")</f>
        <v>Punjab</v>
      </c>
      <c r="I297" s="88" t="str">
        <f>_xlfn.IFNA(VLOOKUP($D297,'Route-Details'!$B$2:$X$1048576,'Node Details'!I$1,0),"")</f>
        <v>AXW</v>
      </c>
      <c r="J297" s="88" t="str">
        <f>_xlfn.IFNA(VLOOKUP($D297,'Route-Details'!$B$2:$X$1048576,'Node Details'!J$1,0),"")</f>
        <v>AXW</v>
      </c>
      <c r="K297" s="76">
        <v>46112</v>
      </c>
      <c r="L297" s="76">
        <v>46114</v>
      </c>
      <c r="M297" s="89">
        <v>46147</v>
      </c>
      <c r="N297" s="76">
        <v>46114</v>
      </c>
      <c r="Q297" s="86" t="s">
        <v>958</v>
      </c>
      <c r="R297" s="90"/>
      <c r="S297" s="87"/>
      <c r="T297" s="87"/>
      <c r="U297" s="87"/>
      <c r="V297" s="93"/>
      <c r="W297" s="91"/>
      <c r="X297" s="87"/>
      <c r="Y297" s="92"/>
      <c r="Z297" s="90"/>
      <c r="AA297" s="93"/>
      <c r="AB297" s="87"/>
      <c r="AC297" s="91"/>
      <c r="AD297" s="90"/>
      <c r="AE297" s="86"/>
      <c r="AF297" s="82"/>
      <c r="AG297" s="24"/>
      <c r="AH297" s="93"/>
      <c r="AI297" s="87"/>
      <c r="AJ297" s="86"/>
      <c r="AK297" s="81"/>
      <c r="AL297" s="24"/>
      <c r="AM297" s="24"/>
      <c r="AN297" s="81"/>
      <c r="AO297" s="81"/>
      <c r="AP297" s="24"/>
      <c r="AQ297" s="93"/>
      <c r="AR297" s="94"/>
      <c r="AS297" s="82"/>
      <c r="AT297" s="82"/>
      <c r="AU297" s="24"/>
      <c r="AV297" s="93"/>
      <c r="AW297" s="94"/>
      <c r="AX297" s="95"/>
      <c r="AY297" s="95"/>
      <c r="AZ297" s="95"/>
      <c r="BA297" s="24"/>
      <c r="BB297" s="9" t="s">
        <v>320</v>
      </c>
      <c r="BC297" s="96" t="s">
        <v>93</v>
      </c>
    </row>
    <row r="298" spans="1:55" ht="15" customHeight="1">
      <c r="A298" s="86">
        <f t="shared" si="22"/>
        <v>296</v>
      </c>
      <c r="B298" s="75" t="s">
        <v>497</v>
      </c>
      <c r="C298" s="9"/>
      <c r="D298" s="76" t="s">
        <v>496</v>
      </c>
      <c r="E298" s="88" t="str">
        <f>_xlfn.IFNA(VLOOKUP($D298,'Route-Details'!$B$2:$X$1048576,'Node Details'!E$1,0),"")</f>
        <v>Airtel</v>
      </c>
      <c r="F298" s="88" t="str">
        <f>_xlfn.IFNA(VLOOKUP($D298,'Route-Details'!$B$2:$X$1048576,'Node Details'!F$1,0),"")</f>
        <v>DARIA</v>
      </c>
      <c r="G298" s="88" t="str">
        <f>_xlfn.IFNA(VLOOKUP($D298,'Route-Details'!$B$2:$X$1048576,'Node Details'!G$1,0),"")</f>
        <v>Chandigarh</v>
      </c>
      <c r="H298" s="88" t="str">
        <f>_xlfn.IFNA(VLOOKUP($D299,'Route-Details'!$B$2:$X$1048576,'Node Details'!H$1,0),"")</f>
        <v>Punjab</v>
      </c>
      <c r="I298" s="88" t="str">
        <f>_xlfn.IFNA(VLOOKUP($D298,'Route-Details'!$B$2:$X$1048576,'Node Details'!I$1,0),"")</f>
        <v>AXW</v>
      </c>
      <c r="J298" s="88" t="str">
        <f>_xlfn.IFNA(VLOOKUP($D298,'Route-Details'!$B$2:$X$1048576,'Node Details'!J$1,0),"")</f>
        <v>AXW</v>
      </c>
      <c r="K298" s="76">
        <v>46112</v>
      </c>
      <c r="L298" s="76">
        <v>46114</v>
      </c>
      <c r="M298" s="89">
        <v>46147</v>
      </c>
      <c r="N298" s="76">
        <v>46114</v>
      </c>
      <c r="Q298" s="86" t="s">
        <v>958</v>
      </c>
      <c r="R298" s="90"/>
      <c r="S298" s="87"/>
      <c r="T298" s="87"/>
      <c r="U298" s="87"/>
      <c r="V298" s="93"/>
      <c r="W298" s="91"/>
      <c r="X298" s="87"/>
      <c r="Y298" s="92"/>
      <c r="Z298" s="90"/>
      <c r="AA298" s="93"/>
      <c r="AB298" s="87"/>
      <c r="AC298" s="91"/>
      <c r="AD298" s="90"/>
      <c r="AE298" s="86"/>
      <c r="AF298" s="82"/>
      <c r="AG298" s="24"/>
      <c r="AH298" s="93"/>
      <c r="AI298" s="87"/>
      <c r="AJ298" s="86"/>
      <c r="AK298" s="81"/>
      <c r="AL298" s="24"/>
      <c r="AM298" s="24"/>
      <c r="AN298" s="81"/>
      <c r="AO298" s="81"/>
      <c r="AP298" s="24"/>
      <c r="AQ298" s="93"/>
      <c r="AR298" s="94"/>
      <c r="AS298" s="82"/>
      <c r="AT298" s="82"/>
      <c r="AU298" s="24"/>
      <c r="AV298" s="93"/>
      <c r="AW298" s="94"/>
      <c r="AX298" s="95"/>
      <c r="AY298" s="95"/>
      <c r="AZ298" s="95"/>
      <c r="BA298" s="24"/>
      <c r="BB298" s="9" t="s">
        <v>320</v>
      </c>
      <c r="BC298" s="96" t="s">
        <v>93</v>
      </c>
    </row>
    <row r="299" spans="1:55" ht="15" customHeight="1">
      <c r="A299" s="86">
        <f t="shared" si="22"/>
        <v>297</v>
      </c>
      <c r="B299" s="75" t="s">
        <v>1099</v>
      </c>
      <c r="C299" s="9"/>
      <c r="D299" s="76" t="s">
        <v>498</v>
      </c>
      <c r="E299" s="88" t="str">
        <f>_xlfn.IFNA(VLOOKUP($D299,'Route-Details'!$B$2:$X$1048576,'Node Details'!E$1,0),"")</f>
        <v>Airtel</v>
      </c>
      <c r="F299" s="88" t="str">
        <f>_xlfn.IFNA(VLOOKUP($D299,'Route-Details'!$B$2:$X$1048576,'Node Details'!F$1,0),"")</f>
        <v>DARIA</v>
      </c>
      <c r="G299" s="88" t="str">
        <f>_xlfn.IFNA(VLOOKUP($D299,'Route-Details'!$B$2:$X$1048576,'Node Details'!G$1,0),"")</f>
        <v>Chandigarh</v>
      </c>
      <c r="H299" s="88" t="str">
        <f>_xlfn.IFNA(VLOOKUP($D300,'Route-Details'!$B$2:$X$1048576,'Node Details'!H$1,0),"")</f>
        <v>Punjab</v>
      </c>
      <c r="I299" s="88" t="str">
        <f>_xlfn.IFNA(VLOOKUP($D299,'Route-Details'!$B$2:$X$1048576,'Node Details'!I$1,0),"")</f>
        <v>AXW</v>
      </c>
      <c r="J299" s="88" t="str">
        <f>_xlfn.IFNA(VLOOKUP($D299,'Route-Details'!$B$2:$X$1048576,'Node Details'!J$1,0),"")</f>
        <v>AXW</v>
      </c>
      <c r="K299" s="76">
        <v>46112</v>
      </c>
      <c r="L299" s="76">
        <v>46114</v>
      </c>
      <c r="M299" s="89">
        <v>46147</v>
      </c>
      <c r="N299" s="76">
        <v>46114</v>
      </c>
      <c r="Q299" s="86" t="s">
        <v>958</v>
      </c>
      <c r="R299" s="90"/>
      <c r="S299" s="87"/>
      <c r="T299" s="87"/>
      <c r="U299" s="87"/>
      <c r="V299" s="93"/>
      <c r="W299" s="91"/>
      <c r="X299" s="87"/>
      <c r="Y299" s="92"/>
      <c r="Z299" s="90"/>
      <c r="AA299" s="93"/>
      <c r="AB299" s="87"/>
      <c r="AC299" s="91"/>
      <c r="AD299" s="90"/>
      <c r="AE299" s="86"/>
      <c r="AF299" s="82"/>
      <c r="AG299" s="24"/>
      <c r="AH299" s="93"/>
      <c r="AI299" s="87"/>
      <c r="AJ299" s="86"/>
      <c r="AK299" s="81"/>
      <c r="AL299" s="24"/>
      <c r="AM299" s="24"/>
      <c r="AN299" s="81"/>
      <c r="AO299" s="81"/>
      <c r="AP299" s="24"/>
      <c r="AQ299" s="93"/>
      <c r="AR299" s="94"/>
      <c r="AS299" s="82"/>
      <c r="AT299" s="82"/>
      <c r="AU299" s="24"/>
      <c r="AV299" s="93"/>
      <c r="AW299" s="94"/>
      <c r="AX299" s="95"/>
      <c r="AY299" s="95"/>
      <c r="AZ299" s="95"/>
      <c r="BA299" s="24"/>
      <c r="BB299" s="9" t="s">
        <v>323</v>
      </c>
      <c r="BC299" s="96" t="s">
        <v>93</v>
      </c>
    </row>
    <row r="300" spans="1:55" ht="15" customHeight="1">
      <c r="A300" s="86">
        <f t="shared" si="22"/>
        <v>298</v>
      </c>
      <c r="B300" s="75" t="s">
        <v>500</v>
      </c>
      <c r="C300" s="9"/>
      <c r="D300" s="76" t="s">
        <v>498</v>
      </c>
      <c r="E300" s="88" t="str">
        <f>_xlfn.IFNA(VLOOKUP($D300,'Route-Details'!$B$2:$X$1048576,'Node Details'!E$1,0),"")</f>
        <v>Airtel</v>
      </c>
      <c r="F300" s="88" t="str">
        <f>_xlfn.IFNA(VLOOKUP($D300,'Route-Details'!$B$2:$X$1048576,'Node Details'!F$1,0),"")</f>
        <v>DARIA</v>
      </c>
      <c r="G300" s="88" t="str">
        <f>_xlfn.IFNA(VLOOKUP($D300,'Route-Details'!$B$2:$X$1048576,'Node Details'!G$1,0),"")</f>
        <v>Chandigarh</v>
      </c>
      <c r="H300" s="88" t="str">
        <f>_xlfn.IFNA(VLOOKUP($D301,'Route-Details'!$B$2:$X$1048576,'Node Details'!H$1,0),"")</f>
        <v>Punjab</v>
      </c>
      <c r="I300" s="88" t="str">
        <f>_xlfn.IFNA(VLOOKUP($D300,'Route-Details'!$B$2:$X$1048576,'Node Details'!I$1,0),"")</f>
        <v>AXW</v>
      </c>
      <c r="J300" s="88" t="str">
        <f>_xlfn.IFNA(VLOOKUP($D300,'Route-Details'!$B$2:$X$1048576,'Node Details'!J$1,0),"")</f>
        <v>AXW</v>
      </c>
      <c r="K300" s="76">
        <v>46112</v>
      </c>
      <c r="L300" s="76">
        <v>46114</v>
      </c>
      <c r="M300" s="89">
        <v>46147</v>
      </c>
      <c r="N300" s="76">
        <v>46114</v>
      </c>
      <c r="Q300" s="86" t="s">
        <v>958</v>
      </c>
      <c r="R300" s="90"/>
      <c r="S300" s="87"/>
      <c r="T300" s="87"/>
      <c r="U300" s="87"/>
      <c r="V300" s="93"/>
      <c r="W300" s="91"/>
      <c r="X300" s="87"/>
      <c r="Y300" s="92"/>
      <c r="Z300" s="90"/>
      <c r="AA300" s="93"/>
      <c r="AB300" s="87"/>
      <c r="AC300" s="91"/>
      <c r="AD300" s="90"/>
      <c r="AE300" s="86"/>
      <c r="AF300" s="82"/>
      <c r="AG300" s="24"/>
      <c r="AH300" s="93"/>
      <c r="AI300" s="87"/>
      <c r="AJ300" s="86"/>
      <c r="AK300" s="81"/>
      <c r="AL300" s="24"/>
      <c r="AM300" s="24"/>
      <c r="AN300" s="81"/>
      <c r="AO300" s="81"/>
      <c r="AP300" s="24"/>
      <c r="AQ300" s="93"/>
      <c r="AR300" s="94"/>
      <c r="AS300" s="82"/>
      <c r="AT300" s="82"/>
      <c r="AU300" s="24"/>
      <c r="AV300" s="93"/>
      <c r="AW300" s="94"/>
      <c r="AX300" s="95"/>
      <c r="AY300" s="95"/>
      <c r="AZ300" s="95"/>
      <c r="BA300" s="24"/>
      <c r="BB300" s="9" t="s">
        <v>323</v>
      </c>
      <c r="BC300" s="96" t="s">
        <v>93</v>
      </c>
    </row>
    <row r="301" spans="1:55" ht="15" customHeight="1">
      <c r="A301" s="86">
        <f t="shared" si="22"/>
        <v>299</v>
      </c>
      <c r="B301" s="75" t="s">
        <v>384</v>
      </c>
      <c r="C301" s="9"/>
      <c r="D301" s="76" t="s">
        <v>382</v>
      </c>
      <c r="E301" s="88" t="str">
        <f>_xlfn.IFNA(VLOOKUP($D301,'Route-Details'!$B$2:$X$1048576,'Node Details'!E$1,0),"")</f>
        <v>Airtel</v>
      </c>
      <c r="F301" s="88" t="str">
        <f>_xlfn.IFNA(VLOOKUP($D301,'Route-Details'!$B$2:$X$1048576,'Node Details'!F$1,0),"")</f>
        <v>DARIA</v>
      </c>
      <c r="G301" s="88" t="str">
        <f>_xlfn.IFNA(VLOOKUP($D301,'Route-Details'!$B$2:$X$1048576,'Node Details'!G$1,0),"")</f>
        <v>Chandigarh</v>
      </c>
      <c r="H301" s="88" t="str">
        <f>_xlfn.IFNA(VLOOKUP($D302,'Route-Details'!$B$2:$X$1048576,'Node Details'!H$1,0),"")</f>
        <v>Punjab</v>
      </c>
      <c r="I301" s="88" t="str">
        <f>_xlfn.IFNA(VLOOKUP($D301,'Route-Details'!$B$2:$X$1048576,'Node Details'!I$1,0),"")</f>
        <v>AXW</v>
      </c>
      <c r="J301" s="88" t="str">
        <f>_xlfn.IFNA(VLOOKUP($D301,'Route-Details'!$B$2:$X$1048576,'Node Details'!J$1,0),"")</f>
        <v>AXW</v>
      </c>
      <c r="K301" s="76">
        <v>46112</v>
      </c>
      <c r="L301" s="76">
        <v>46114</v>
      </c>
      <c r="M301" s="89">
        <v>46147</v>
      </c>
      <c r="N301" s="76">
        <v>46114</v>
      </c>
      <c r="Q301" s="86" t="s">
        <v>958</v>
      </c>
      <c r="R301" s="90"/>
      <c r="S301" s="87"/>
      <c r="T301" s="87"/>
      <c r="U301" s="87"/>
      <c r="V301" s="93"/>
      <c r="W301" s="91"/>
      <c r="X301" s="87"/>
      <c r="Y301" s="92"/>
      <c r="Z301" s="90"/>
      <c r="AA301" s="93"/>
      <c r="AB301" s="87"/>
      <c r="AC301" s="91"/>
      <c r="AD301" s="90"/>
      <c r="AE301" s="86"/>
      <c r="AF301" s="82"/>
      <c r="AG301" s="24"/>
      <c r="AH301" s="93"/>
      <c r="AI301" s="87"/>
      <c r="AJ301" s="86"/>
      <c r="AK301" s="81"/>
      <c r="AL301" s="24"/>
      <c r="AM301" s="24"/>
      <c r="AN301" s="81"/>
      <c r="AO301" s="81"/>
      <c r="AP301" s="24"/>
      <c r="AQ301" s="93"/>
      <c r="AR301" s="94"/>
      <c r="AS301" s="82"/>
      <c r="AT301" s="82"/>
      <c r="AU301" s="24"/>
      <c r="AV301" s="93"/>
      <c r="AW301" s="94"/>
      <c r="AX301" s="95"/>
      <c r="AY301" s="95"/>
      <c r="AZ301" s="95"/>
      <c r="BA301" s="24"/>
      <c r="BB301" s="9" t="s">
        <v>107</v>
      </c>
      <c r="BC301" s="96" t="s">
        <v>93</v>
      </c>
    </row>
    <row r="302" spans="1:55" ht="15" customHeight="1">
      <c r="A302" s="86">
        <f t="shared" si="22"/>
        <v>300</v>
      </c>
      <c r="B302" s="75" t="s">
        <v>502</v>
      </c>
      <c r="C302" s="9"/>
      <c r="D302" s="76" t="s">
        <v>501</v>
      </c>
      <c r="E302" s="88" t="str">
        <f>_xlfn.IFNA(VLOOKUP($D302,'Route-Details'!$B$2:$X$1048576,'Node Details'!E$1,0),"")</f>
        <v>Airtel</v>
      </c>
      <c r="F302" s="88" t="str">
        <f>_xlfn.IFNA(VLOOKUP($D302,'Route-Details'!$B$2:$X$1048576,'Node Details'!F$1,0),"")</f>
        <v>DARIA</v>
      </c>
      <c r="G302" s="88" t="str">
        <f>_xlfn.IFNA(VLOOKUP($D302,'Route-Details'!$B$2:$X$1048576,'Node Details'!G$1,0),"")</f>
        <v>Chandigarh</v>
      </c>
      <c r="H302" s="88" t="str">
        <f>_xlfn.IFNA(VLOOKUP($D303,'Route-Details'!$B$2:$X$1048576,'Node Details'!H$1,0),"")</f>
        <v>Punjab</v>
      </c>
      <c r="I302" s="88" t="str">
        <f>_xlfn.IFNA(VLOOKUP($D302,'Route-Details'!$B$2:$X$1048576,'Node Details'!I$1,0),"")</f>
        <v>AXW</v>
      </c>
      <c r="J302" s="88" t="str">
        <f>_xlfn.IFNA(VLOOKUP($D302,'Route-Details'!$B$2:$X$1048576,'Node Details'!J$1,0),"")</f>
        <v>AXW</v>
      </c>
      <c r="K302" s="76">
        <v>46112</v>
      </c>
      <c r="L302" s="76">
        <v>46114</v>
      </c>
      <c r="M302" s="89">
        <v>46147</v>
      </c>
      <c r="N302" s="76">
        <v>46114</v>
      </c>
      <c r="Q302" s="86" t="s">
        <v>958</v>
      </c>
      <c r="R302" s="90"/>
      <c r="S302" s="87"/>
      <c r="T302" s="87"/>
      <c r="U302" s="87"/>
      <c r="V302" s="93"/>
      <c r="W302" s="91"/>
      <c r="X302" s="87"/>
      <c r="Y302" s="92"/>
      <c r="Z302" s="90"/>
      <c r="AA302" s="93"/>
      <c r="AB302" s="87"/>
      <c r="AC302" s="91"/>
      <c r="AD302" s="90"/>
      <c r="AE302" s="86"/>
      <c r="AF302" s="82"/>
      <c r="AG302" s="24"/>
      <c r="AH302" s="93"/>
      <c r="AI302" s="87"/>
      <c r="AJ302" s="86"/>
      <c r="AK302" s="81"/>
      <c r="AL302" s="24"/>
      <c r="AM302" s="24"/>
      <c r="AN302" s="81"/>
      <c r="AO302" s="81"/>
      <c r="AP302" s="24"/>
      <c r="AQ302" s="93"/>
      <c r="AR302" s="94"/>
      <c r="AS302" s="82"/>
      <c r="AT302" s="82"/>
      <c r="AU302" s="24"/>
      <c r="AV302" s="93"/>
      <c r="AW302" s="94"/>
      <c r="AX302" s="95"/>
      <c r="AY302" s="95"/>
      <c r="AZ302" s="95"/>
      <c r="BA302" s="24"/>
      <c r="BB302" s="9" t="s">
        <v>327</v>
      </c>
      <c r="BC302" s="96" t="s">
        <v>93</v>
      </c>
    </row>
    <row r="303" spans="1:55" ht="15" customHeight="1">
      <c r="A303" s="86">
        <f t="shared" si="22"/>
        <v>301</v>
      </c>
      <c r="B303" s="75" t="s">
        <v>506</v>
      </c>
      <c r="C303" s="9"/>
      <c r="D303" s="76" t="s">
        <v>503</v>
      </c>
      <c r="E303" s="88" t="str">
        <f>_xlfn.IFNA(VLOOKUP($D303,'Route-Details'!$B$2:$X$1048576,'Node Details'!E$1,0),"")</f>
        <v>Airtel</v>
      </c>
      <c r="F303" s="88" t="str">
        <f>_xlfn.IFNA(VLOOKUP($D303,'Route-Details'!$B$2:$X$1048576,'Node Details'!F$1,0),"")</f>
        <v>DARIA</v>
      </c>
      <c r="G303" s="88" t="str">
        <f>_xlfn.IFNA(VLOOKUP($D303,'Route-Details'!$B$2:$X$1048576,'Node Details'!G$1,0),"")</f>
        <v>Chandigarh</v>
      </c>
      <c r="H303" s="88" t="str">
        <f>_xlfn.IFNA(VLOOKUP($D304,'Route-Details'!$B$2:$X$1048576,'Node Details'!H$1,0),"")</f>
        <v>Punjab</v>
      </c>
      <c r="I303" s="88" t="str">
        <f>_xlfn.IFNA(VLOOKUP($D303,'Route-Details'!$B$2:$X$1048576,'Node Details'!I$1,0),"")</f>
        <v>AXW</v>
      </c>
      <c r="J303" s="88" t="str">
        <f>_xlfn.IFNA(VLOOKUP($D303,'Route-Details'!$B$2:$X$1048576,'Node Details'!J$1,0),"")</f>
        <v>AXW</v>
      </c>
      <c r="K303" s="76">
        <v>46112</v>
      </c>
      <c r="L303" s="76">
        <v>46114</v>
      </c>
      <c r="M303" s="89">
        <v>46147</v>
      </c>
      <c r="N303" s="76">
        <v>46114</v>
      </c>
      <c r="Q303" s="86" t="s">
        <v>958</v>
      </c>
      <c r="R303" s="90"/>
      <c r="S303" s="87"/>
      <c r="T303" s="87"/>
      <c r="U303" s="87"/>
      <c r="V303" s="93"/>
      <c r="W303" s="91"/>
      <c r="X303" s="87"/>
      <c r="Y303" s="92"/>
      <c r="Z303" s="90"/>
      <c r="AA303" s="93"/>
      <c r="AB303" s="87"/>
      <c r="AC303" s="91"/>
      <c r="AD303" s="90"/>
      <c r="AE303" s="86"/>
      <c r="AF303" s="82"/>
      <c r="AG303" s="24"/>
      <c r="AH303" s="93"/>
      <c r="AI303" s="87"/>
      <c r="AJ303" s="86"/>
      <c r="AK303" s="81"/>
      <c r="AL303" s="24"/>
      <c r="AM303" s="24"/>
      <c r="AN303" s="81"/>
      <c r="AO303" s="81"/>
      <c r="AP303" s="24"/>
      <c r="AQ303" s="93"/>
      <c r="AR303" s="94"/>
      <c r="AS303" s="82"/>
      <c r="AT303" s="82"/>
      <c r="AU303" s="24"/>
      <c r="AV303" s="93"/>
      <c r="AW303" s="94"/>
      <c r="AX303" s="95"/>
      <c r="AY303" s="95"/>
      <c r="AZ303" s="95"/>
      <c r="BA303" s="24"/>
      <c r="BB303" s="9" t="s">
        <v>332</v>
      </c>
      <c r="BC303" s="96" t="s">
        <v>93</v>
      </c>
    </row>
    <row r="304" spans="1:55" ht="15" customHeight="1">
      <c r="A304" s="86">
        <f t="shared" si="22"/>
        <v>302</v>
      </c>
      <c r="B304" s="75" t="s">
        <v>504</v>
      </c>
      <c r="C304" s="9"/>
      <c r="D304" s="76" t="s">
        <v>503</v>
      </c>
      <c r="E304" s="88" t="str">
        <f>_xlfn.IFNA(VLOOKUP($D304,'Route-Details'!$B$2:$X$1048576,'Node Details'!E$1,0),"")</f>
        <v>Airtel</v>
      </c>
      <c r="F304" s="88" t="str">
        <f>_xlfn.IFNA(VLOOKUP($D304,'Route-Details'!$B$2:$X$1048576,'Node Details'!F$1,0),"")</f>
        <v>DARIA</v>
      </c>
      <c r="G304" s="88" t="str">
        <f>_xlfn.IFNA(VLOOKUP($D304,'Route-Details'!$B$2:$X$1048576,'Node Details'!G$1,0),"")</f>
        <v>Chandigarh</v>
      </c>
      <c r="H304" s="88" t="str">
        <f>_xlfn.IFNA(VLOOKUP($D305,'Route-Details'!$B$2:$X$1048576,'Node Details'!H$1,0),"")</f>
        <v>Punjab</v>
      </c>
      <c r="I304" s="88" t="str">
        <f>_xlfn.IFNA(VLOOKUP($D304,'Route-Details'!$B$2:$X$1048576,'Node Details'!I$1,0),"")</f>
        <v>AXW</v>
      </c>
      <c r="J304" s="88" t="str">
        <f>_xlfn.IFNA(VLOOKUP($D304,'Route-Details'!$B$2:$X$1048576,'Node Details'!J$1,0),"")</f>
        <v>AXW</v>
      </c>
      <c r="K304" s="76">
        <v>46112</v>
      </c>
      <c r="L304" s="76">
        <v>46114</v>
      </c>
      <c r="M304" s="89">
        <v>46147</v>
      </c>
      <c r="N304" s="76">
        <v>46114</v>
      </c>
      <c r="Q304" s="86" t="s">
        <v>958</v>
      </c>
      <c r="R304" s="90"/>
      <c r="S304" s="87"/>
      <c r="T304" s="87"/>
      <c r="U304" s="87"/>
      <c r="V304" s="93"/>
      <c r="W304" s="91"/>
      <c r="X304" s="87"/>
      <c r="Y304" s="92"/>
      <c r="Z304" s="90"/>
      <c r="AA304" s="93"/>
      <c r="AB304" s="87"/>
      <c r="AC304" s="91"/>
      <c r="AD304" s="90"/>
      <c r="AE304" s="86"/>
      <c r="AF304" s="82"/>
      <c r="AG304" s="24"/>
      <c r="AH304" s="93"/>
      <c r="AI304" s="87"/>
      <c r="AJ304" s="86"/>
      <c r="AK304" s="81"/>
      <c r="AL304" s="24"/>
      <c r="AM304" s="24"/>
      <c r="AN304" s="81"/>
      <c r="AO304" s="81"/>
      <c r="AP304" s="24"/>
      <c r="AQ304" s="93"/>
      <c r="AR304" s="94"/>
      <c r="AS304" s="82"/>
      <c r="AT304" s="82"/>
      <c r="AU304" s="24"/>
      <c r="AV304" s="93"/>
      <c r="AW304" s="94"/>
      <c r="AX304" s="95"/>
      <c r="AY304" s="95"/>
      <c r="AZ304" s="95"/>
      <c r="BA304" s="24"/>
      <c r="BB304" s="9" t="s">
        <v>332</v>
      </c>
      <c r="BC304" s="96" t="s">
        <v>93</v>
      </c>
    </row>
    <row r="305" spans="1:55" ht="15" customHeight="1">
      <c r="A305" s="86">
        <f t="shared" si="22"/>
        <v>303</v>
      </c>
      <c r="B305" s="75" t="s">
        <v>507</v>
      </c>
      <c r="C305" s="9"/>
      <c r="D305" s="76" t="s">
        <v>505</v>
      </c>
      <c r="E305" s="88" t="str">
        <f>_xlfn.IFNA(VLOOKUP($D305,'Route-Details'!$B$2:$X$1048576,'Node Details'!E$1,0),"")</f>
        <v>Airtel</v>
      </c>
      <c r="F305" s="88" t="str">
        <f>_xlfn.IFNA(VLOOKUP($D305,'Route-Details'!$B$2:$X$1048576,'Node Details'!F$1,0),"")</f>
        <v>DARIA</v>
      </c>
      <c r="G305" s="88" t="str">
        <f>_xlfn.IFNA(VLOOKUP($D305,'Route-Details'!$B$2:$X$1048576,'Node Details'!G$1,0),"")</f>
        <v>Chandigarh</v>
      </c>
      <c r="H305" s="88" t="str">
        <f>_xlfn.IFNA(VLOOKUP($D306,'Route-Details'!$B$2:$X$1048576,'Node Details'!H$1,0),"")</f>
        <v>Punjab</v>
      </c>
      <c r="I305" s="88" t="str">
        <f>_xlfn.IFNA(VLOOKUP($D305,'Route-Details'!$B$2:$X$1048576,'Node Details'!I$1,0),"")</f>
        <v>AXW</v>
      </c>
      <c r="J305" s="88" t="str">
        <f>_xlfn.IFNA(VLOOKUP($D305,'Route-Details'!$B$2:$X$1048576,'Node Details'!J$1,0),"")</f>
        <v>AXW</v>
      </c>
      <c r="K305" s="76">
        <v>46112</v>
      </c>
      <c r="L305" s="76">
        <v>46114</v>
      </c>
      <c r="M305" s="89">
        <v>46147</v>
      </c>
      <c r="N305" s="76">
        <v>46114</v>
      </c>
      <c r="Q305" s="86" t="s">
        <v>958</v>
      </c>
      <c r="R305" s="90"/>
      <c r="S305" s="87"/>
      <c r="T305" s="87"/>
      <c r="U305" s="87"/>
      <c r="V305" s="93"/>
      <c r="W305" s="91"/>
      <c r="X305" s="87"/>
      <c r="Y305" s="92"/>
      <c r="Z305" s="90"/>
      <c r="AA305" s="93"/>
      <c r="AB305" s="87"/>
      <c r="AC305" s="91"/>
      <c r="AD305" s="90"/>
      <c r="AE305" s="86"/>
      <c r="AF305" s="82"/>
      <c r="AG305" s="24"/>
      <c r="AH305" s="93"/>
      <c r="AI305" s="87"/>
      <c r="AJ305" s="86"/>
      <c r="AK305" s="81"/>
      <c r="AL305" s="24"/>
      <c r="AM305" s="24"/>
      <c r="AN305" s="81"/>
      <c r="AO305" s="81"/>
      <c r="AP305" s="24"/>
      <c r="AQ305" s="93"/>
      <c r="AR305" s="94"/>
      <c r="AS305" s="82"/>
      <c r="AT305" s="82"/>
      <c r="AU305" s="24"/>
      <c r="AV305" s="93"/>
      <c r="AW305" s="94"/>
      <c r="AX305" s="95"/>
      <c r="AY305" s="95"/>
      <c r="AZ305" s="95"/>
      <c r="BA305" s="24"/>
      <c r="BB305" s="9" t="s">
        <v>336</v>
      </c>
      <c r="BC305" s="96" t="s">
        <v>93</v>
      </c>
    </row>
    <row r="306" spans="1:55" ht="15" customHeight="1">
      <c r="A306" s="86">
        <f t="shared" si="22"/>
        <v>304</v>
      </c>
      <c r="B306" s="75" t="s">
        <v>509</v>
      </c>
      <c r="C306" s="9"/>
      <c r="D306" s="76" t="s">
        <v>508</v>
      </c>
      <c r="E306" s="88" t="str">
        <f>_xlfn.IFNA(VLOOKUP($D306,'Route-Details'!$B$2:$X$1048576,'Node Details'!E$1,0),"")</f>
        <v>Airtel</v>
      </c>
      <c r="F306" s="88" t="str">
        <f>_xlfn.IFNA(VLOOKUP($D306,'Route-Details'!$B$2:$X$1048576,'Node Details'!F$1,0),"")</f>
        <v>DARIA</v>
      </c>
      <c r="G306" s="88" t="str">
        <f>_xlfn.IFNA(VLOOKUP($D306,'Route-Details'!$B$2:$X$1048576,'Node Details'!G$1,0),"")</f>
        <v>Chandigarh</v>
      </c>
      <c r="H306" s="88" t="str">
        <f>_xlfn.IFNA(VLOOKUP($D307,'Route-Details'!$B$2:$X$1048576,'Node Details'!H$1,0),"")</f>
        <v>Punjab</v>
      </c>
      <c r="I306" s="88" t="str">
        <f>_xlfn.IFNA(VLOOKUP($D306,'Route-Details'!$B$2:$X$1048576,'Node Details'!I$1,0),"")</f>
        <v>AXW</v>
      </c>
      <c r="J306" s="88" t="str">
        <f>_xlfn.IFNA(VLOOKUP($D306,'Route-Details'!$B$2:$X$1048576,'Node Details'!J$1,0),"")</f>
        <v>AXW</v>
      </c>
      <c r="K306" s="76">
        <v>46112</v>
      </c>
      <c r="L306" s="76">
        <v>46114</v>
      </c>
      <c r="M306" s="89">
        <v>46147</v>
      </c>
      <c r="N306" s="76">
        <v>46114</v>
      </c>
      <c r="Q306" s="86" t="s">
        <v>958</v>
      </c>
      <c r="R306" s="90"/>
      <c r="S306" s="87"/>
      <c r="T306" s="87"/>
      <c r="U306" s="87"/>
      <c r="V306" s="93"/>
      <c r="W306" s="91"/>
      <c r="X306" s="87"/>
      <c r="Y306" s="92"/>
      <c r="Z306" s="90"/>
      <c r="AA306" s="93"/>
      <c r="AB306" s="87"/>
      <c r="AC306" s="91"/>
      <c r="AD306" s="90"/>
      <c r="AE306" s="86"/>
      <c r="AF306" s="82"/>
      <c r="AG306" s="24"/>
      <c r="AH306" s="93"/>
      <c r="AI306" s="87"/>
      <c r="AJ306" s="86"/>
      <c r="AK306" s="81"/>
      <c r="AL306" s="24"/>
      <c r="AM306" s="24"/>
      <c r="AN306" s="81"/>
      <c r="AO306" s="81"/>
      <c r="AP306" s="24"/>
      <c r="AQ306" s="93"/>
      <c r="AR306" s="94"/>
      <c r="AS306" s="82"/>
      <c r="AT306" s="82"/>
      <c r="AU306" s="24"/>
      <c r="AV306" s="93"/>
      <c r="AW306" s="94"/>
      <c r="AX306" s="95"/>
      <c r="AY306" s="95"/>
      <c r="AZ306" s="95"/>
      <c r="BA306" s="24"/>
      <c r="BB306" s="9" t="s">
        <v>340</v>
      </c>
      <c r="BC306" s="96" t="s">
        <v>93</v>
      </c>
    </row>
    <row r="307" spans="1:55" ht="15" customHeight="1">
      <c r="A307" s="86">
        <f t="shared" si="22"/>
        <v>305</v>
      </c>
      <c r="B307" s="75" t="s">
        <v>511</v>
      </c>
      <c r="C307" s="9"/>
      <c r="D307" s="76" t="s">
        <v>510</v>
      </c>
      <c r="E307" s="88" t="str">
        <f>_xlfn.IFNA(VLOOKUP($D307,'Route-Details'!$B$2:$X$1048576,'Node Details'!E$1,0),"")</f>
        <v>Airtel</v>
      </c>
      <c r="F307" s="88" t="str">
        <f>_xlfn.IFNA(VLOOKUP($D307,'Route-Details'!$B$2:$X$1048576,'Node Details'!F$1,0),"")</f>
        <v>DARIA</v>
      </c>
      <c r="G307" s="88" t="str">
        <f>_xlfn.IFNA(VLOOKUP($D307,'Route-Details'!$B$2:$X$1048576,'Node Details'!G$1,0),"")</f>
        <v>Chandigarh</v>
      </c>
      <c r="H307" s="88" t="str">
        <f>_xlfn.IFNA(VLOOKUP($D308,'Route-Details'!$B$2:$X$1048576,'Node Details'!H$1,0),"")</f>
        <v>Punjab</v>
      </c>
      <c r="I307" s="88" t="str">
        <f>_xlfn.IFNA(VLOOKUP($D307,'Route-Details'!$B$2:$X$1048576,'Node Details'!I$1,0),"")</f>
        <v>AXW</v>
      </c>
      <c r="J307" s="88" t="str">
        <f>_xlfn.IFNA(VLOOKUP($D307,'Route-Details'!$B$2:$X$1048576,'Node Details'!J$1,0),"")</f>
        <v>AXW</v>
      </c>
      <c r="K307" s="76">
        <v>46112</v>
      </c>
      <c r="L307" s="76">
        <v>46114</v>
      </c>
      <c r="M307" s="89">
        <v>46147</v>
      </c>
      <c r="N307" s="76">
        <v>46114</v>
      </c>
      <c r="Q307" s="86" t="s">
        <v>958</v>
      </c>
      <c r="R307" s="90"/>
      <c r="S307" s="87"/>
      <c r="T307" s="87"/>
      <c r="U307" s="87"/>
      <c r="V307" s="93"/>
      <c r="W307" s="91"/>
      <c r="X307" s="87"/>
      <c r="Y307" s="92"/>
      <c r="Z307" s="90"/>
      <c r="AA307" s="93"/>
      <c r="AB307" s="87"/>
      <c r="AC307" s="91"/>
      <c r="AD307" s="90"/>
      <c r="AE307" s="86"/>
      <c r="AF307" s="82"/>
      <c r="AG307" s="24"/>
      <c r="AH307" s="93"/>
      <c r="AI307" s="87"/>
      <c r="AJ307" s="86"/>
      <c r="AK307" s="81"/>
      <c r="AL307" s="24"/>
      <c r="AM307" s="24"/>
      <c r="AN307" s="81"/>
      <c r="AO307" s="81"/>
      <c r="AP307" s="24"/>
      <c r="AQ307" s="93"/>
      <c r="AR307" s="94"/>
      <c r="AS307" s="82"/>
      <c r="AT307" s="82"/>
      <c r="AU307" s="24"/>
      <c r="AV307" s="93"/>
      <c r="AW307" s="94"/>
      <c r="AX307" s="95"/>
      <c r="AY307" s="95"/>
      <c r="AZ307" s="95"/>
      <c r="BA307" s="24"/>
      <c r="BB307" s="9" t="s">
        <v>343</v>
      </c>
      <c r="BC307" s="96" t="s">
        <v>93</v>
      </c>
    </row>
    <row r="308" spans="1:55" ht="15" customHeight="1">
      <c r="A308" s="86">
        <f t="shared" si="22"/>
        <v>306</v>
      </c>
      <c r="B308" s="75" t="s">
        <v>386</v>
      </c>
      <c r="C308" s="9"/>
      <c r="D308" s="76" t="s">
        <v>378</v>
      </c>
      <c r="E308" s="88" t="str">
        <f>_xlfn.IFNA(VLOOKUP($D308,'Route-Details'!$B$2:$X$1048576,'Node Details'!E$1,0),"")</f>
        <v>Airtel</v>
      </c>
      <c r="F308" s="88" t="str">
        <f>_xlfn.IFNA(VLOOKUP($D308,'Route-Details'!$B$2:$X$1048576,'Node Details'!F$1,0),"")</f>
        <v>DARIA</v>
      </c>
      <c r="G308" s="88" t="str">
        <f>_xlfn.IFNA(VLOOKUP($D308,'Route-Details'!$B$2:$X$1048576,'Node Details'!G$1,0),"")</f>
        <v>Chandigarh</v>
      </c>
      <c r="H308" s="88" t="str">
        <f>_xlfn.IFNA(VLOOKUP($D309,'Route-Details'!$B$2:$X$1048576,'Node Details'!H$1,0),"")</f>
        <v>Punjab</v>
      </c>
      <c r="I308" s="88" t="str">
        <f>_xlfn.IFNA(VLOOKUP($D308,'Route-Details'!$B$2:$X$1048576,'Node Details'!I$1,0),"")</f>
        <v>AXW</v>
      </c>
      <c r="J308" s="88" t="str">
        <f>_xlfn.IFNA(VLOOKUP($D308,'Route-Details'!$B$2:$X$1048576,'Node Details'!J$1,0),"")</f>
        <v>AXW</v>
      </c>
      <c r="K308" s="76">
        <v>46112</v>
      </c>
      <c r="L308" s="76">
        <v>46114</v>
      </c>
      <c r="M308" s="89">
        <v>46147</v>
      </c>
      <c r="N308" s="76">
        <v>46114</v>
      </c>
      <c r="Q308" s="86" t="s">
        <v>958</v>
      </c>
      <c r="R308" s="90"/>
      <c r="S308" s="87"/>
      <c r="T308" s="87"/>
      <c r="U308" s="87"/>
      <c r="V308" s="93"/>
      <c r="W308" s="91"/>
      <c r="X308" s="87"/>
      <c r="Y308" s="92"/>
      <c r="Z308" s="90"/>
      <c r="AA308" s="93"/>
      <c r="AB308" s="87"/>
      <c r="AC308" s="91"/>
      <c r="AD308" s="90"/>
      <c r="AE308" s="86"/>
      <c r="AF308" s="82"/>
      <c r="AG308" s="24"/>
      <c r="AH308" s="93"/>
      <c r="AI308" s="87"/>
      <c r="AJ308" s="86"/>
      <c r="AK308" s="81"/>
      <c r="AL308" s="24"/>
      <c r="AM308" s="24"/>
      <c r="AN308" s="81"/>
      <c r="AO308" s="81"/>
      <c r="AP308" s="24"/>
      <c r="AQ308" s="93"/>
      <c r="AR308" s="94"/>
      <c r="AS308" s="82"/>
      <c r="AT308" s="82"/>
      <c r="AU308" s="24"/>
      <c r="AV308" s="93"/>
      <c r="AW308" s="94"/>
      <c r="AX308" s="95"/>
      <c r="AY308" s="95"/>
      <c r="AZ308" s="95"/>
      <c r="BA308" s="24"/>
      <c r="BB308" s="9" t="s">
        <v>100</v>
      </c>
      <c r="BC308" s="96" t="s">
        <v>93</v>
      </c>
    </row>
    <row r="309" spans="1:55" ht="15" customHeight="1">
      <c r="A309" s="86">
        <f t="shared" si="22"/>
        <v>307</v>
      </c>
      <c r="B309" s="75" t="s">
        <v>513</v>
      </c>
      <c r="C309" s="9"/>
      <c r="D309" s="76" t="s">
        <v>512</v>
      </c>
      <c r="E309" s="88" t="str">
        <f>_xlfn.IFNA(VLOOKUP($D309,'Route-Details'!$B$2:$X$1048576,'Node Details'!E$1,0),"")</f>
        <v>Airtel</v>
      </c>
      <c r="F309" s="88" t="str">
        <f>_xlfn.IFNA(VLOOKUP($D309,'Route-Details'!$B$2:$X$1048576,'Node Details'!F$1,0),"")</f>
        <v>DARIA</v>
      </c>
      <c r="G309" s="88" t="str">
        <f>_xlfn.IFNA(VLOOKUP($D309,'Route-Details'!$B$2:$X$1048576,'Node Details'!G$1,0),"")</f>
        <v>Chandigarh</v>
      </c>
      <c r="H309" s="88" t="str">
        <f>_xlfn.IFNA(VLOOKUP($D310,'Route-Details'!$B$2:$X$1048576,'Node Details'!H$1,0),"")</f>
        <v>Punjab</v>
      </c>
      <c r="I309" s="88" t="str">
        <f>_xlfn.IFNA(VLOOKUP($D309,'Route-Details'!$B$2:$X$1048576,'Node Details'!I$1,0),"")</f>
        <v>AXW</v>
      </c>
      <c r="J309" s="88" t="str">
        <f>_xlfn.IFNA(VLOOKUP($D309,'Route-Details'!$B$2:$X$1048576,'Node Details'!J$1,0),"")</f>
        <v>AXW</v>
      </c>
      <c r="K309" s="76">
        <v>46112</v>
      </c>
      <c r="L309" s="76">
        <v>46114</v>
      </c>
      <c r="M309" s="89">
        <v>46147</v>
      </c>
      <c r="N309" s="76">
        <v>46114</v>
      </c>
      <c r="Q309" s="86" t="s">
        <v>958</v>
      </c>
      <c r="R309" s="90"/>
      <c r="S309" s="87"/>
      <c r="T309" s="87"/>
      <c r="U309" s="87"/>
      <c r="V309" s="93"/>
      <c r="W309" s="91"/>
      <c r="X309" s="87"/>
      <c r="Y309" s="92"/>
      <c r="Z309" s="90"/>
      <c r="AA309" s="93"/>
      <c r="AB309" s="87"/>
      <c r="AC309" s="91"/>
      <c r="AD309" s="90"/>
      <c r="AE309" s="86"/>
      <c r="AF309" s="82"/>
      <c r="AG309" s="24"/>
      <c r="AH309" s="93"/>
      <c r="AI309" s="87"/>
      <c r="AJ309" s="86"/>
      <c r="AK309" s="81"/>
      <c r="AL309" s="24"/>
      <c r="AM309" s="24"/>
      <c r="AN309" s="81"/>
      <c r="AO309" s="81"/>
      <c r="AP309" s="24"/>
      <c r="AQ309" s="93"/>
      <c r="AR309" s="94"/>
      <c r="AS309" s="82"/>
      <c r="AT309" s="82"/>
      <c r="AU309" s="24"/>
      <c r="AV309" s="93"/>
      <c r="AW309" s="94"/>
      <c r="AX309" s="95"/>
      <c r="AY309" s="95"/>
      <c r="AZ309" s="95"/>
      <c r="BA309" s="24"/>
      <c r="BB309" s="9" t="s">
        <v>347</v>
      </c>
      <c r="BC309" s="96" t="s">
        <v>93</v>
      </c>
    </row>
    <row r="310" spans="1:55" ht="15" customHeight="1">
      <c r="A310" s="86">
        <f t="shared" si="22"/>
        <v>308</v>
      </c>
      <c r="B310" s="75" t="s">
        <v>515</v>
      </c>
      <c r="C310" s="9"/>
      <c r="D310" s="76" t="s">
        <v>514</v>
      </c>
      <c r="E310" s="88" t="str">
        <f>_xlfn.IFNA(VLOOKUP($D310,'Route-Details'!$B$2:$X$1048576,'Node Details'!E$1,0),"")</f>
        <v>Airtel</v>
      </c>
      <c r="F310" s="88" t="str">
        <f>_xlfn.IFNA(VLOOKUP($D310,'Route-Details'!$B$2:$X$1048576,'Node Details'!F$1,0),"")</f>
        <v>DARIA</v>
      </c>
      <c r="G310" s="88" t="str">
        <f>_xlfn.IFNA(VLOOKUP($D310,'Route-Details'!$B$2:$X$1048576,'Node Details'!G$1,0),"")</f>
        <v>Chandigarh</v>
      </c>
      <c r="H310" s="88" t="str">
        <f>_xlfn.IFNA(VLOOKUP($D311,'Route-Details'!$B$2:$X$1048576,'Node Details'!H$1,0),"")</f>
        <v>Punjab</v>
      </c>
      <c r="I310" s="88" t="str">
        <f>_xlfn.IFNA(VLOOKUP($D310,'Route-Details'!$B$2:$X$1048576,'Node Details'!I$1,0),"")</f>
        <v>AXW</v>
      </c>
      <c r="J310" s="88" t="str">
        <f>_xlfn.IFNA(VLOOKUP($D310,'Route-Details'!$B$2:$X$1048576,'Node Details'!J$1,0),"")</f>
        <v>AXW</v>
      </c>
      <c r="K310" s="76">
        <v>46112</v>
      </c>
      <c r="L310" s="76">
        <v>46114</v>
      </c>
      <c r="M310" s="89">
        <v>46147</v>
      </c>
      <c r="N310" s="76">
        <v>46114</v>
      </c>
      <c r="Q310" s="86" t="s">
        <v>958</v>
      </c>
      <c r="R310" s="90"/>
      <c r="S310" s="87"/>
      <c r="T310" s="87"/>
      <c r="U310" s="87"/>
      <c r="V310" s="93"/>
      <c r="W310" s="91"/>
      <c r="X310" s="87"/>
      <c r="Y310" s="92"/>
      <c r="Z310" s="90"/>
      <c r="AA310" s="93"/>
      <c r="AB310" s="87"/>
      <c r="AC310" s="91"/>
      <c r="AD310" s="90"/>
      <c r="AE310" s="86"/>
      <c r="AF310" s="82"/>
      <c r="AG310" s="24"/>
      <c r="AH310" s="93"/>
      <c r="AI310" s="87"/>
      <c r="AJ310" s="86"/>
      <c r="AK310" s="81"/>
      <c r="AL310" s="24"/>
      <c r="AM310" s="24"/>
      <c r="AN310" s="81"/>
      <c r="AO310" s="81"/>
      <c r="AP310" s="24"/>
      <c r="AQ310" s="93"/>
      <c r="AR310" s="94"/>
      <c r="AS310" s="82"/>
      <c r="AT310" s="82"/>
      <c r="AU310" s="24"/>
      <c r="AV310" s="93"/>
      <c r="AW310" s="94"/>
      <c r="AX310" s="95"/>
      <c r="AY310" s="95"/>
      <c r="AZ310" s="95"/>
      <c r="BA310" s="24"/>
      <c r="BB310" s="9" t="s">
        <v>350</v>
      </c>
      <c r="BC310" s="96" t="s">
        <v>93</v>
      </c>
    </row>
    <row r="311" spans="1:55" ht="15" customHeight="1">
      <c r="A311" s="86">
        <f t="shared" si="22"/>
        <v>309</v>
      </c>
      <c r="B311" s="75" t="s">
        <v>1100</v>
      </c>
      <c r="C311" s="9"/>
      <c r="D311" s="76" t="s">
        <v>516</v>
      </c>
      <c r="E311" s="88" t="str">
        <f>_xlfn.IFNA(VLOOKUP($D311,'Route-Details'!$B$2:$X$1048576,'Node Details'!E$1,0),"")</f>
        <v>Airtel</v>
      </c>
      <c r="F311" s="88" t="str">
        <f>_xlfn.IFNA(VLOOKUP($D311,'Route-Details'!$B$2:$X$1048576,'Node Details'!F$1,0),"")</f>
        <v>DARIA</v>
      </c>
      <c r="G311" s="88" t="str">
        <f>_xlfn.IFNA(VLOOKUP($D311,'Route-Details'!$B$2:$X$1048576,'Node Details'!G$1,0),"")</f>
        <v>Chandigarh</v>
      </c>
      <c r="H311" s="88" t="str">
        <f>_xlfn.IFNA(VLOOKUP($D312,'Route-Details'!$B$2:$X$1048576,'Node Details'!H$1,0),"")</f>
        <v>Punjab</v>
      </c>
      <c r="I311" s="88" t="str">
        <f>_xlfn.IFNA(VLOOKUP($D311,'Route-Details'!$B$2:$X$1048576,'Node Details'!I$1,0),"")</f>
        <v>AXW</v>
      </c>
      <c r="J311" s="88" t="str">
        <f>_xlfn.IFNA(VLOOKUP($D311,'Route-Details'!$B$2:$X$1048576,'Node Details'!J$1,0),"")</f>
        <v>AXW</v>
      </c>
      <c r="K311" s="76">
        <v>46112</v>
      </c>
      <c r="L311" s="76">
        <v>46114</v>
      </c>
      <c r="M311" s="89">
        <v>46147</v>
      </c>
      <c r="N311" s="76">
        <v>46114</v>
      </c>
      <c r="Q311" s="86" t="s">
        <v>958</v>
      </c>
      <c r="R311" s="90"/>
      <c r="S311" s="87"/>
      <c r="T311" s="87"/>
      <c r="U311" s="87"/>
      <c r="V311" s="93"/>
      <c r="W311" s="91"/>
      <c r="X311" s="87"/>
      <c r="Y311" s="92"/>
      <c r="Z311" s="90"/>
      <c r="AA311" s="93"/>
      <c r="AB311" s="87"/>
      <c r="AC311" s="91"/>
      <c r="AD311" s="90"/>
      <c r="AE311" s="86"/>
      <c r="AF311" s="82"/>
      <c r="AG311" s="24"/>
      <c r="AH311" s="93"/>
      <c r="AI311" s="87"/>
      <c r="AJ311" s="86"/>
      <c r="AK311" s="81"/>
      <c r="AL311" s="24"/>
      <c r="AM311" s="24"/>
      <c r="AN311" s="81"/>
      <c r="AO311" s="81"/>
      <c r="AP311" s="24"/>
      <c r="AQ311" s="93"/>
      <c r="AR311" s="94"/>
      <c r="AS311" s="82"/>
      <c r="AT311" s="82"/>
      <c r="AU311" s="24"/>
      <c r="AV311" s="93"/>
      <c r="AW311" s="94"/>
      <c r="AX311" s="95"/>
      <c r="AY311" s="95"/>
      <c r="AZ311" s="95"/>
      <c r="BA311" s="24"/>
      <c r="BB311" s="9" t="s">
        <v>353</v>
      </c>
      <c r="BC311" s="96" t="s">
        <v>93</v>
      </c>
    </row>
    <row r="312" spans="1:55" ht="15" customHeight="1">
      <c r="A312" s="86">
        <f t="shared" si="22"/>
        <v>310</v>
      </c>
      <c r="B312" s="75" t="s">
        <v>517</v>
      </c>
      <c r="C312" s="9"/>
      <c r="D312" s="76" t="s">
        <v>516</v>
      </c>
      <c r="E312" s="88" t="str">
        <f>_xlfn.IFNA(VLOOKUP($D312,'Route-Details'!$B$2:$X$1048576,'Node Details'!E$1,0),"")</f>
        <v>Airtel</v>
      </c>
      <c r="F312" s="88" t="str">
        <f>_xlfn.IFNA(VLOOKUP($D312,'Route-Details'!$B$2:$X$1048576,'Node Details'!F$1,0),"")</f>
        <v>DARIA</v>
      </c>
      <c r="G312" s="88" t="str">
        <f>_xlfn.IFNA(VLOOKUP($D312,'Route-Details'!$B$2:$X$1048576,'Node Details'!G$1,0),"")</f>
        <v>Chandigarh</v>
      </c>
      <c r="H312" s="88" t="str">
        <f>_xlfn.IFNA(VLOOKUP($D313,'Route-Details'!$B$2:$X$1048576,'Node Details'!H$1,0),"")</f>
        <v>Punjab</v>
      </c>
      <c r="I312" s="88" t="str">
        <f>_xlfn.IFNA(VLOOKUP($D312,'Route-Details'!$B$2:$X$1048576,'Node Details'!I$1,0),"")</f>
        <v>AXW</v>
      </c>
      <c r="J312" s="88" t="str">
        <f>_xlfn.IFNA(VLOOKUP($D312,'Route-Details'!$B$2:$X$1048576,'Node Details'!J$1,0),"")</f>
        <v>AXW</v>
      </c>
      <c r="K312" s="76">
        <v>46112</v>
      </c>
      <c r="L312" s="76">
        <v>46114</v>
      </c>
      <c r="M312" s="89">
        <v>46147</v>
      </c>
      <c r="N312" s="76">
        <v>46114</v>
      </c>
      <c r="Q312" s="86" t="s">
        <v>958</v>
      </c>
      <c r="R312" s="90"/>
      <c r="S312" s="87"/>
      <c r="T312" s="87"/>
      <c r="U312" s="87"/>
      <c r="V312" s="93"/>
      <c r="W312" s="91"/>
      <c r="X312" s="87"/>
      <c r="Y312" s="92"/>
      <c r="Z312" s="90"/>
      <c r="AA312" s="93"/>
      <c r="AB312" s="87"/>
      <c r="AC312" s="91"/>
      <c r="AD312" s="90"/>
      <c r="AE312" s="86"/>
      <c r="AF312" s="82"/>
      <c r="AG312" s="24"/>
      <c r="AH312" s="93"/>
      <c r="AI312" s="87"/>
      <c r="AJ312" s="86"/>
      <c r="AK312" s="81"/>
      <c r="AL312" s="24"/>
      <c r="AM312" s="24"/>
      <c r="AN312" s="81"/>
      <c r="AO312" s="81"/>
      <c r="AP312" s="24"/>
      <c r="AQ312" s="93"/>
      <c r="AR312" s="94"/>
      <c r="AS312" s="82"/>
      <c r="AT312" s="82"/>
      <c r="AU312" s="24"/>
      <c r="AV312" s="93"/>
      <c r="AW312" s="94"/>
      <c r="AX312" s="95"/>
      <c r="AY312" s="95"/>
      <c r="AZ312" s="95"/>
      <c r="BA312" s="24"/>
      <c r="BB312" s="9" t="s">
        <v>353</v>
      </c>
      <c r="BC312" s="96" t="s">
        <v>93</v>
      </c>
    </row>
    <row r="313" spans="1:55" ht="15" customHeight="1">
      <c r="A313" s="86">
        <f t="shared" si="22"/>
        <v>311</v>
      </c>
      <c r="B313" s="75" t="s">
        <v>519</v>
      </c>
      <c r="C313" s="9"/>
      <c r="D313" s="76" t="s">
        <v>518</v>
      </c>
      <c r="E313" s="88" t="str">
        <f>_xlfn.IFNA(VLOOKUP($D313,'Route-Details'!$B$2:$X$1048576,'Node Details'!E$1,0),"")</f>
        <v>Airtel</v>
      </c>
      <c r="F313" s="88" t="str">
        <f>_xlfn.IFNA(VLOOKUP($D313,'Route-Details'!$B$2:$X$1048576,'Node Details'!F$1,0),"")</f>
        <v>DARIA</v>
      </c>
      <c r="G313" s="88" t="str">
        <f>_xlfn.IFNA(VLOOKUP($D313,'Route-Details'!$B$2:$X$1048576,'Node Details'!G$1,0),"")</f>
        <v>Chandigarh</v>
      </c>
      <c r="H313" s="88" t="str">
        <f>_xlfn.IFNA(VLOOKUP($D314,'Route-Details'!$B$2:$X$1048576,'Node Details'!H$1,0),"")</f>
        <v>Punjab</v>
      </c>
      <c r="I313" s="88" t="str">
        <f>_xlfn.IFNA(VLOOKUP($D313,'Route-Details'!$B$2:$X$1048576,'Node Details'!I$1,0),"")</f>
        <v>AXW</v>
      </c>
      <c r="J313" s="88" t="str">
        <f>_xlfn.IFNA(VLOOKUP($D313,'Route-Details'!$B$2:$X$1048576,'Node Details'!J$1,0),"")</f>
        <v>AXW</v>
      </c>
      <c r="K313" s="76">
        <v>46112</v>
      </c>
      <c r="L313" s="76">
        <v>46114</v>
      </c>
      <c r="M313" s="89">
        <v>46147</v>
      </c>
      <c r="N313" s="76">
        <v>46114</v>
      </c>
      <c r="Q313" s="86" t="s">
        <v>958</v>
      </c>
      <c r="R313" s="90"/>
      <c r="S313" s="87"/>
      <c r="T313" s="87"/>
      <c r="U313" s="87"/>
      <c r="V313" s="93"/>
      <c r="W313" s="91"/>
      <c r="X313" s="87"/>
      <c r="Y313" s="92"/>
      <c r="Z313" s="90"/>
      <c r="AA313" s="93"/>
      <c r="AB313" s="87"/>
      <c r="AC313" s="91"/>
      <c r="AD313" s="90"/>
      <c r="AE313" s="86"/>
      <c r="AF313" s="82"/>
      <c r="AG313" s="24"/>
      <c r="AH313" s="93"/>
      <c r="AI313" s="87"/>
      <c r="AJ313" s="86"/>
      <c r="AK313" s="81"/>
      <c r="AL313" s="24"/>
      <c r="AM313" s="24"/>
      <c r="AN313" s="81"/>
      <c r="AO313" s="81"/>
      <c r="AP313" s="24"/>
      <c r="AQ313" s="93"/>
      <c r="AR313" s="94"/>
      <c r="AS313" s="82"/>
      <c r="AT313" s="82"/>
      <c r="AU313" s="24"/>
      <c r="AV313" s="93"/>
      <c r="AW313" s="94"/>
      <c r="AX313" s="95"/>
      <c r="AY313" s="95"/>
      <c r="AZ313" s="95"/>
      <c r="BA313" s="24"/>
      <c r="BB313" s="9" t="s">
        <v>356</v>
      </c>
      <c r="BC313" s="96" t="s">
        <v>93</v>
      </c>
    </row>
    <row r="314" spans="1:55" ht="15" customHeight="1">
      <c r="A314" s="86">
        <f t="shared" si="22"/>
        <v>312</v>
      </c>
      <c r="B314" s="75" t="s">
        <v>521</v>
      </c>
      <c r="C314" s="9"/>
      <c r="D314" s="76" t="s">
        <v>520</v>
      </c>
      <c r="E314" s="88" t="str">
        <f>_xlfn.IFNA(VLOOKUP($D314,'Route-Details'!$B$2:$X$1048576,'Node Details'!E$1,0),"")</f>
        <v>Airtel</v>
      </c>
      <c r="F314" s="88" t="str">
        <f>_xlfn.IFNA(VLOOKUP($D314,'Route-Details'!$B$2:$X$1048576,'Node Details'!F$1,0),"")</f>
        <v>DARIA</v>
      </c>
      <c r="G314" s="88" t="str">
        <f>_xlfn.IFNA(VLOOKUP($D314,'Route-Details'!$B$2:$X$1048576,'Node Details'!G$1,0),"")</f>
        <v>Chandigarh</v>
      </c>
      <c r="H314" s="88" t="str">
        <f>_xlfn.IFNA(VLOOKUP($D315,'Route-Details'!$B$2:$X$1048576,'Node Details'!H$1,0),"")</f>
        <v>Punjab</v>
      </c>
      <c r="I314" s="88" t="str">
        <f>_xlfn.IFNA(VLOOKUP($D314,'Route-Details'!$B$2:$X$1048576,'Node Details'!I$1,0),"")</f>
        <v>AXW</v>
      </c>
      <c r="J314" s="88" t="str">
        <f>_xlfn.IFNA(VLOOKUP($D314,'Route-Details'!$B$2:$X$1048576,'Node Details'!J$1,0),"")</f>
        <v>AXW</v>
      </c>
      <c r="K314" s="76">
        <v>46112</v>
      </c>
      <c r="L314" s="76">
        <v>46114</v>
      </c>
      <c r="M314" s="89">
        <v>46147</v>
      </c>
      <c r="N314" s="76">
        <v>46114</v>
      </c>
      <c r="Q314" s="86" t="s">
        <v>958</v>
      </c>
      <c r="R314" s="90"/>
      <c r="S314" s="87"/>
      <c r="T314" s="87"/>
      <c r="U314" s="87"/>
      <c r="V314" s="93"/>
      <c r="W314" s="91"/>
      <c r="X314" s="87"/>
      <c r="Y314" s="92"/>
      <c r="Z314" s="90"/>
      <c r="AA314" s="93"/>
      <c r="AB314" s="87"/>
      <c r="AC314" s="91"/>
      <c r="AD314" s="90"/>
      <c r="AE314" s="86"/>
      <c r="AF314" s="82"/>
      <c r="AG314" s="24"/>
      <c r="AH314" s="93"/>
      <c r="AI314" s="87"/>
      <c r="AJ314" s="86"/>
      <c r="AK314" s="81"/>
      <c r="AL314" s="24"/>
      <c r="AM314" s="24"/>
      <c r="AN314" s="81"/>
      <c r="AO314" s="81"/>
      <c r="AP314" s="24"/>
      <c r="AQ314" s="93"/>
      <c r="AR314" s="94"/>
      <c r="AS314" s="82"/>
      <c r="AT314" s="82"/>
      <c r="AU314" s="24"/>
      <c r="AV314" s="93"/>
      <c r="AW314" s="94"/>
      <c r="AX314" s="95"/>
      <c r="AY314" s="95"/>
      <c r="AZ314" s="95"/>
      <c r="BA314" s="24"/>
      <c r="BB314" s="9" t="s">
        <v>360</v>
      </c>
      <c r="BC314" s="96" t="s">
        <v>93</v>
      </c>
    </row>
    <row r="315" spans="1:55" ht="15" customHeight="1">
      <c r="A315" s="86">
        <f t="shared" si="22"/>
        <v>313</v>
      </c>
      <c r="B315" s="75" t="s">
        <v>1101</v>
      </c>
      <c r="C315" s="9"/>
      <c r="D315" s="76" t="s">
        <v>522</v>
      </c>
      <c r="E315" s="88" t="str">
        <f>_xlfn.IFNA(VLOOKUP($D315,'Route-Details'!$B$2:$X$1048576,'Node Details'!E$1,0),"")</f>
        <v>Airtel</v>
      </c>
      <c r="F315" s="88" t="str">
        <f>_xlfn.IFNA(VLOOKUP($D315,'Route-Details'!$B$2:$X$1048576,'Node Details'!F$1,0),"")</f>
        <v>DARIA</v>
      </c>
      <c r="G315" s="88" t="str">
        <f>_xlfn.IFNA(VLOOKUP($D315,'Route-Details'!$B$2:$X$1048576,'Node Details'!G$1,0),"")</f>
        <v>Chandigarh</v>
      </c>
      <c r="H315" s="88" t="str">
        <f>_xlfn.IFNA(VLOOKUP($D316,'Route-Details'!$B$2:$X$1048576,'Node Details'!H$1,0),"")</f>
        <v>Punjab</v>
      </c>
      <c r="I315" s="88" t="str">
        <f>_xlfn.IFNA(VLOOKUP($D315,'Route-Details'!$B$2:$X$1048576,'Node Details'!I$1,0),"")</f>
        <v>AXW</v>
      </c>
      <c r="J315" s="88" t="str">
        <f>_xlfn.IFNA(VLOOKUP($D315,'Route-Details'!$B$2:$X$1048576,'Node Details'!J$1,0),"")</f>
        <v>AXW</v>
      </c>
      <c r="K315" s="76">
        <v>46112</v>
      </c>
      <c r="L315" s="76">
        <v>46114</v>
      </c>
      <c r="M315" s="89">
        <v>46147</v>
      </c>
      <c r="N315" s="76">
        <v>46114</v>
      </c>
      <c r="Q315" s="86" t="s">
        <v>958</v>
      </c>
      <c r="R315" s="90"/>
      <c r="S315" s="87"/>
      <c r="T315" s="87"/>
      <c r="U315" s="87"/>
      <c r="V315" s="93"/>
      <c r="W315" s="91"/>
      <c r="X315" s="87"/>
      <c r="Y315" s="92"/>
      <c r="Z315" s="90"/>
      <c r="AA315" s="93"/>
      <c r="AB315" s="87"/>
      <c r="AC315" s="91"/>
      <c r="AD315" s="90"/>
      <c r="AE315" s="86"/>
      <c r="AF315" s="82"/>
      <c r="AG315" s="24"/>
      <c r="AH315" s="93"/>
      <c r="AI315" s="87"/>
      <c r="AJ315" s="86"/>
      <c r="AK315" s="81"/>
      <c r="AL315" s="24"/>
      <c r="AM315" s="24"/>
      <c r="AN315" s="81"/>
      <c r="AO315" s="81"/>
      <c r="AP315" s="24"/>
      <c r="AQ315" s="93"/>
      <c r="AR315" s="94"/>
      <c r="AS315" s="82"/>
      <c r="AT315" s="82"/>
      <c r="AU315" s="24"/>
      <c r="AV315" s="93"/>
      <c r="AW315" s="94"/>
      <c r="AX315" s="95"/>
      <c r="AY315" s="95"/>
      <c r="AZ315" s="95"/>
      <c r="BA315" s="24"/>
      <c r="BB315" s="9" t="s">
        <v>363</v>
      </c>
      <c r="BC315" s="96" t="s">
        <v>93</v>
      </c>
    </row>
    <row r="316" spans="1:55" ht="15" customHeight="1">
      <c r="A316" s="86">
        <f t="shared" si="22"/>
        <v>314</v>
      </c>
      <c r="B316" s="75" t="s">
        <v>523</v>
      </c>
      <c r="C316" s="9"/>
      <c r="D316" s="76" t="s">
        <v>522</v>
      </c>
      <c r="E316" s="88" t="str">
        <f>_xlfn.IFNA(VLOOKUP($D316,'Route-Details'!$B$2:$X$1048576,'Node Details'!E$1,0),"")</f>
        <v>Airtel</v>
      </c>
      <c r="F316" s="88" t="str">
        <f>_xlfn.IFNA(VLOOKUP($D316,'Route-Details'!$B$2:$X$1048576,'Node Details'!F$1,0),"")</f>
        <v>DARIA</v>
      </c>
      <c r="G316" s="88" t="str">
        <f>_xlfn.IFNA(VLOOKUP($D316,'Route-Details'!$B$2:$X$1048576,'Node Details'!G$1,0),"")</f>
        <v>Chandigarh</v>
      </c>
      <c r="H316" s="88" t="str">
        <f>_xlfn.IFNA(VLOOKUP($D317,'Route-Details'!$B$2:$X$1048576,'Node Details'!H$1,0),"")</f>
        <v>Punjab</v>
      </c>
      <c r="I316" s="88" t="str">
        <f>_xlfn.IFNA(VLOOKUP($D316,'Route-Details'!$B$2:$X$1048576,'Node Details'!I$1,0),"")</f>
        <v>AXW</v>
      </c>
      <c r="J316" s="88" t="str">
        <f>_xlfn.IFNA(VLOOKUP($D316,'Route-Details'!$B$2:$X$1048576,'Node Details'!J$1,0),"")</f>
        <v>AXW</v>
      </c>
      <c r="K316" s="76">
        <v>46112</v>
      </c>
      <c r="L316" s="76">
        <v>46114</v>
      </c>
      <c r="M316" s="89">
        <v>46147</v>
      </c>
      <c r="N316" s="76">
        <v>46114</v>
      </c>
      <c r="Q316" s="86" t="s">
        <v>958</v>
      </c>
      <c r="R316" s="90"/>
      <c r="S316" s="87"/>
      <c r="T316" s="87"/>
      <c r="U316" s="87"/>
      <c r="V316" s="93"/>
      <c r="W316" s="91"/>
      <c r="X316" s="87"/>
      <c r="Y316" s="92"/>
      <c r="Z316" s="90"/>
      <c r="AA316" s="93"/>
      <c r="AB316" s="87"/>
      <c r="AC316" s="91"/>
      <c r="AD316" s="90"/>
      <c r="AE316" s="86"/>
      <c r="AF316" s="82"/>
      <c r="AG316" s="24"/>
      <c r="AH316" s="93"/>
      <c r="AI316" s="87"/>
      <c r="AJ316" s="86"/>
      <c r="AK316" s="81"/>
      <c r="AL316" s="24"/>
      <c r="AM316" s="24"/>
      <c r="AN316" s="81"/>
      <c r="AO316" s="81"/>
      <c r="AP316" s="24"/>
      <c r="AQ316" s="93"/>
      <c r="AR316" s="94"/>
      <c r="AS316" s="82"/>
      <c r="AT316" s="82"/>
      <c r="AU316" s="24"/>
      <c r="AV316" s="93"/>
      <c r="AW316" s="94"/>
      <c r="AX316" s="95"/>
      <c r="AY316" s="95"/>
      <c r="AZ316" s="95"/>
      <c r="BA316" s="24"/>
      <c r="BB316" s="9" t="s">
        <v>363</v>
      </c>
      <c r="BC316" s="96" t="s">
        <v>93</v>
      </c>
    </row>
    <row r="317" spans="1:55" ht="15" customHeight="1">
      <c r="A317" s="86">
        <f t="shared" si="22"/>
        <v>315</v>
      </c>
      <c r="B317" s="75" t="s">
        <v>379</v>
      </c>
      <c r="C317" s="9"/>
      <c r="D317" s="76" t="s">
        <v>378</v>
      </c>
      <c r="E317" s="88" t="str">
        <f>_xlfn.IFNA(VLOOKUP($D317,'Route-Details'!$B$2:$X$1048576,'Node Details'!E$1,0),"")</f>
        <v>Airtel</v>
      </c>
      <c r="F317" s="88" t="str">
        <f>_xlfn.IFNA(VLOOKUP($D317,'Route-Details'!$B$2:$X$1048576,'Node Details'!F$1,0),"")</f>
        <v>DARIA</v>
      </c>
      <c r="G317" s="88" t="str">
        <f>_xlfn.IFNA(VLOOKUP($D317,'Route-Details'!$B$2:$X$1048576,'Node Details'!G$1,0),"")</f>
        <v>Chandigarh</v>
      </c>
      <c r="H317" s="88" t="str">
        <f>_xlfn.IFNA(VLOOKUP($D318,'Route-Details'!$B$2:$X$1048576,'Node Details'!H$1,0),"")</f>
        <v>Punjab</v>
      </c>
      <c r="I317" s="88" t="str">
        <f>_xlfn.IFNA(VLOOKUP($D317,'Route-Details'!$B$2:$X$1048576,'Node Details'!I$1,0),"")</f>
        <v>AXW</v>
      </c>
      <c r="J317" s="88" t="str">
        <f>_xlfn.IFNA(VLOOKUP($D317,'Route-Details'!$B$2:$X$1048576,'Node Details'!J$1,0),"")</f>
        <v>AXW</v>
      </c>
      <c r="K317" s="76">
        <v>46112</v>
      </c>
      <c r="L317" s="76">
        <v>46114</v>
      </c>
      <c r="M317" s="89">
        <v>46147</v>
      </c>
      <c r="N317" s="76">
        <v>46114</v>
      </c>
      <c r="Q317" s="86" t="s">
        <v>958</v>
      </c>
      <c r="R317" s="90"/>
      <c r="S317" s="87"/>
      <c r="T317" s="87"/>
      <c r="U317" s="87"/>
      <c r="V317" s="93"/>
      <c r="W317" s="91"/>
      <c r="X317" s="87"/>
      <c r="Y317" s="92"/>
      <c r="Z317" s="90"/>
      <c r="AA317" s="93"/>
      <c r="AB317" s="87"/>
      <c r="AC317" s="91"/>
      <c r="AD317" s="90"/>
      <c r="AE317" s="86"/>
      <c r="AF317" s="82"/>
      <c r="AG317" s="24"/>
      <c r="AH317" s="93"/>
      <c r="AI317" s="87"/>
      <c r="AJ317" s="86"/>
      <c r="AK317" s="81"/>
      <c r="AL317" s="24"/>
      <c r="AM317" s="24"/>
      <c r="AN317" s="81"/>
      <c r="AO317" s="81"/>
      <c r="AP317" s="24"/>
      <c r="AQ317" s="93"/>
      <c r="AR317" s="94"/>
      <c r="AS317" s="82"/>
      <c r="AT317" s="82"/>
      <c r="AU317" s="24"/>
      <c r="AV317" s="93"/>
      <c r="AW317" s="94"/>
      <c r="AX317" s="95"/>
      <c r="AY317" s="95"/>
      <c r="AZ317" s="95"/>
      <c r="BA317" s="24"/>
      <c r="BB317" s="9" t="s">
        <v>100</v>
      </c>
      <c r="BC317" s="96" t="s">
        <v>93</v>
      </c>
    </row>
    <row r="318" spans="1:55" ht="15" customHeight="1">
      <c r="A318" s="86">
        <f t="shared" si="22"/>
        <v>316</v>
      </c>
      <c r="B318" s="75" t="s">
        <v>525</v>
      </c>
      <c r="C318" s="9"/>
      <c r="D318" s="76" t="s">
        <v>524</v>
      </c>
      <c r="E318" s="88" t="str">
        <f>_xlfn.IFNA(VLOOKUP($D318,'Route-Details'!$B$2:$X$1048576,'Node Details'!E$1,0),"")</f>
        <v>Airtel</v>
      </c>
      <c r="F318" s="88" t="str">
        <f>_xlfn.IFNA(VLOOKUP($D318,'Route-Details'!$B$2:$X$1048576,'Node Details'!F$1,0),"")</f>
        <v>DARIA</v>
      </c>
      <c r="G318" s="88" t="str">
        <f>_xlfn.IFNA(VLOOKUP($D318,'Route-Details'!$B$2:$X$1048576,'Node Details'!G$1,0),"")</f>
        <v>Chandigarh</v>
      </c>
      <c r="H318" s="88" t="str">
        <f>_xlfn.IFNA(VLOOKUP($D319,'Route-Details'!$B$2:$X$1048576,'Node Details'!H$1,0),"")</f>
        <v>Punjab</v>
      </c>
      <c r="I318" s="88" t="str">
        <f>_xlfn.IFNA(VLOOKUP($D318,'Route-Details'!$B$2:$X$1048576,'Node Details'!I$1,0),"")</f>
        <v>AXW</v>
      </c>
      <c r="J318" s="88" t="str">
        <f>_xlfn.IFNA(VLOOKUP($D318,'Route-Details'!$B$2:$X$1048576,'Node Details'!J$1,0),"")</f>
        <v>AXW</v>
      </c>
      <c r="K318" s="76">
        <v>46112</v>
      </c>
      <c r="L318" s="76">
        <v>46114</v>
      </c>
      <c r="M318" s="89">
        <v>46147</v>
      </c>
      <c r="N318" s="76">
        <v>46114</v>
      </c>
      <c r="Q318" s="86" t="s">
        <v>958</v>
      </c>
      <c r="R318" s="90"/>
      <c r="S318" s="87"/>
      <c r="T318" s="87"/>
      <c r="U318" s="87"/>
      <c r="V318" s="93"/>
      <c r="W318" s="91"/>
      <c r="X318" s="87"/>
      <c r="Y318" s="92"/>
      <c r="Z318" s="90"/>
      <c r="AA318" s="93"/>
      <c r="AB318" s="87"/>
      <c r="AC318" s="91"/>
      <c r="AD318" s="90"/>
      <c r="AE318" s="86"/>
      <c r="AF318" s="82"/>
      <c r="AG318" s="24"/>
      <c r="AH318" s="93"/>
      <c r="AI318" s="87"/>
      <c r="AJ318" s="86"/>
      <c r="AK318" s="81"/>
      <c r="AL318" s="24"/>
      <c r="AM318" s="24"/>
      <c r="AN318" s="81"/>
      <c r="AO318" s="81"/>
      <c r="AP318" s="24"/>
      <c r="AQ318" s="93"/>
      <c r="AR318" s="94"/>
      <c r="AS318" s="82"/>
      <c r="AT318" s="82"/>
      <c r="AU318" s="24"/>
      <c r="AV318" s="93"/>
      <c r="AW318" s="94"/>
      <c r="AX318" s="95"/>
      <c r="AY318" s="95"/>
      <c r="AZ318" s="95"/>
      <c r="BA318" s="24"/>
      <c r="BB318" s="9" t="s">
        <v>369</v>
      </c>
      <c r="BC318" s="96" t="s">
        <v>93</v>
      </c>
    </row>
    <row r="319" spans="1:55" ht="15" customHeight="1">
      <c r="A319" s="86">
        <f t="shared" si="22"/>
        <v>317</v>
      </c>
      <c r="B319" s="75" t="s">
        <v>1102</v>
      </c>
      <c r="C319" s="9"/>
      <c r="D319" s="76" t="s">
        <v>526</v>
      </c>
      <c r="E319" s="88" t="str">
        <f>_xlfn.IFNA(VLOOKUP($D319,'Route-Details'!$B$2:$X$1048576,'Node Details'!E$1,0),"")</f>
        <v>Airtel</v>
      </c>
      <c r="F319" s="88" t="str">
        <f>_xlfn.IFNA(VLOOKUP($D319,'Route-Details'!$B$2:$X$1048576,'Node Details'!F$1,0),"")</f>
        <v>DARIA</v>
      </c>
      <c r="G319" s="88" t="str">
        <f>_xlfn.IFNA(VLOOKUP($D319,'Route-Details'!$B$2:$X$1048576,'Node Details'!G$1,0),"")</f>
        <v>Chandigarh</v>
      </c>
      <c r="H319" s="88" t="str">
        <f>_xlfn.IFNA(VLOOKUP($D320,'Route-Details'!$B$2:$X$1048576,'Node Details'!H$1,0),"")</f>
        <v>Punjab</v>
      </c>
      <c r="I319" s="88" t="str">
        <f>_xlfn.IFNA(VLOOKUP($D319,'Route-Details'!$B$2:$X$1048576,'Node Details'!I$1,0),"")</f>
        <v>AXW</v>
      </c>
      <c r="J319" s="88" t="str">
        <f>_xlfn.IFNA(VLOOKUP($D319,'Route-Details'!$B$2:$X$1048576,'Node Details'!J$1,0),"")</f>
        <v>AXW</v>
      </c>
      <c r="K319" s="76">
        <v>46112</v>
      </c>
      <c r="L319" s="76">
        <v>46114</v>
      </c>
      <c r="M319" s="89">
        <v>46147</v>
      </c>
      <c r="N319" s="76">
        <v>46114</v>
      </c>
      <c r="Q319" s="86" t="s">
        <v>958</v>
      </c>
      <c r="R319" s="90"/>
      <c r="S319" s="87"/>
      <c r="T319" s="87"/>
      <c r="U319" s="87"/>
      <c r="V319" s="93"/>
      <c r="W319" s="91"/>
      <c r="X319" s="87"/>
      <c r="Y319" s="92"/>
      <c r="Z319" s="90"/>
      <c r="AA319" s="93"/>
      <c r="AB319" s="87"/>
      <c r="AC319" s="91"/>
      <c r="AD319" s="90"/>
      <c r="AE319" s="86"/>
      <c r="AF319" s="82"/>
      <c r="AG319" s="24"/>
      <c r="AH319" s="93"/>
      <c r="AI319" s="87"/>
      <c r="AJ319" s="86"/>
      <c r="AK319" s="81"/>
      <c r="AL319" s="24"/>
      <c r="AM319" s="24"/>
      <c r="AN319" s="81"/>
      <c r="AO319" s="81"/>
      <c r="AP319" s="24"/>
      <c r="AQ319" s="93"/>
      <c r="AR319" s="94"/>
      <c r="AS319" s="82"/>
      <c r="AT319" s="82"/>
      <c r="AU319" s="24"/>
      <c r="AV319" s="93"/>
      <c r="AW319" s="94"/>
      <c r="AX319" s="95"/>
      <c r="AY319" s="95"/>
      <c r="AZ319" s="95"/>
      <c r="BA319" s="24"/>
      <c r="BB319" s="9" t="s">
        <v>366</v>
      </c>
      <c r="BC319" s="96" t="s">
        <v>93</v>
      </c>
    </row>
    <row r="320" spans="1:55" ht="15" customHeight="1">
      <c r="A320" s="86">
        <f t="shared" si="22"/>
        <v>318</v>
      </c>
      <c r="B320" s="75" t="s">
        <v>1103</v>
      </c>
      <c r="C320" s="9"/>
      <c r="D320" s="76" t="s">
        <v>526</v>
      </c>
      <c r="E320" s="88" t="str">
        <f>_xlfn.IFNA(VLOOKUP($D320,'Route-Details'!$B$2:$X$1048576,'Node Details'!E$1,0),"")</f>
        <v>Airtel</v>
      </c>
      <c r="F320" s="88" t="str">
        <f>_xlfn.IFNA(VLOOKUP($D320,'Route-Details'!$B$2:$X$1048576,'Node Details'!F$1,0),"")</f>
        <v>DARIA</v>
      </c>
      <c r="G320" s="88" t="str">
        <f>_xlfn.IFNA(VLOOKUP($D320,'Route-Details'!$B$2:$X$1048576,'Node Details'!G$1,0),"")</f>
        <v>Chandigarh</v>
      </c>
      <c r="H320" s="88" t="str">
        <f>_xlfn.IFNA(VLOOKUP($D321,'Route-Details'!$B$2:$X$1048576,'Node Details'!H$1,0),"")</f>
        <v>Punjab</v>
      </c>
      <c r="I320" s="88" t="str">
        <f>_xlfn.IFNA(VLOOKUP($D320,'Route-Details'!$B$2:$X$1048576,'Node Details'!I$1,0),"")</f>
        <v>AXW</v>
      </c>
      <c r="J320" s="88" t="str">
        <f>_xlfn.IFNA(VLOOKUP($D320,'Route-Details'!$B$2:$X$1048576,'Node Details'!J$1,0),"")</f>
        <v>AXW</v>
      </c>
      <c r="K320" s="76">
        <v>46112</v>
      </c>
      <c r="L320" s="76">
        <v>46114</v>
      </c>
      <c r="M320" s="89">
        <v>46147</v>
      </c>
      <c r="N320" s="76">
        <v>46114</v>
      </c>
      <c r="Q320" s="86" t="s">
        <v>958</v>
      </c>
      <c r="R320" s="90"/>
      <c r="S320" s="87"/>
      <c r="T320" s="87"/>
      <c r="U320" s="87"/>
      <c r="V320" s="93"/>
      <c r="W320" s="91"/>
      <c r="X320" s="87"/>
      <c r="Y320" s="92"/>
      <c r="Z320" s="90"/>
      <c r="AA320" s="93"/>
      <c r="AB320" s="87"/>
      <c r="AC320" s="91"/>
      <c r="AD320" s="90"/>
      <c r="AE320" s="86"/>
      <c r="AF320" s="82"/>
      <c r="AG320" s="24"/>
      <c r="AH320" s="93"/>
      <c r="AI320" s="87"/>
      <c r="AJ320" s="86"/>
      <c r="AK320" s="81"/>
      <c r="AL320" s="24"/>
      <c r="AM320" s="24"/>
      <c r="AN320" s="81"/>
      <c r="AO320" s="81"/>
      <c r="AP320" s="24"/>
      <c r="AQ320" s="93"/>
      <c r="AR320" s="94"/>
      <c r="AS320" s="82"/>
      <c r="AT320" s="82"/>
      <c r="AU320" s="24"/>
      <c r="AV320" s="93"/>
      <c r="AW320" s="94"/>
      <c r="AX320" s="95"/>
      <c r="AY320" s="95"/>
      <c r="AZ320" s="95"/>
      <c r="BA320" s="24"/>
      <c r="BB320" s="9" t="s">
        <v>366</v>
      </c>
      <c r="BC320" s="96" t="s">
        <v>93</v>
      </c>
    </row>
    <row r="321" spans="1:55" ht="15" customHeight="1">
      <c r="A321" s="86">
        <f t="shared" si="22"/>
        <v>319</v>
      </c>
      <c r="B321" s="75" t="s">
        <v>1104</v>
      </c>
      <c r="C321" s="9"/>
      <c r="D321" s="76" t="s">
        <v>526</v>
      </c>
      <c r="E321" s="88" t="str">
        <f>_xlfn.IFNA(VLOOKUP($D321,'Route-Details'!$B$2:$X$1048576,'Node Details'!E$1,0),"")</f>
        <v>Airtel</v>
      </c>
      <c r="F321" s="88" t="str">
        <f>_xlfn.IFNA(VLOOKUP($D321,'Route-Details'!$B$2:$X$1048576,'Node Details'!F$1,0),"")</f>
        <v>DARIA</v>
      </c>
      <c r="G321" s="88" t="str">
        <f>_xlfn.IFNA(VLOOKUP($D321,'Route-Details'!$B$2:$X$1048576,'Node Details'!G$1,0),"")</f>
        <v>Chandigarh</v>
      </c>
      <c r="H321" s="88" t="str">
        <f>_xlfn.IFNA(VLOOKUP($D322,'Route-Details'!$B$2:$X$1048576,'Node Details'!H$1,0),"")</f>
        <v>Punjab</v>
      </c>
      <c r="I321" s="88" t="str">
        <f>_xlfn.IFNA(VLOOKUP($D321,'Route-Details'!$B$2:$X$1048576,'Node Details'!I$1,0),"")</f>
        <v>AXW</v>
      </c>
      <c r="J321" s="88" t="str">
        <f>_xlfn.IFNA(VLOOKUP($D321,'Route-Details'!$B$2:$X$1048576,'Node Details'!J$1,0),"")</f>
        <v>AXW</v>
      </c>
      <c r="K321" s="76">
        <v>46112</v>
      </c>
      <c r="L321" s="76">
        <v>46114</v>
      </c>
      <c r="M321" s="89">
        <v>46147</v>
      </c>
      <c r="N321" s="76">
        <v>46114</v>
      </c>
      <c r="Q321" s="86" t="s">
        <v>958</v>
      </c>
      <c r="R321" s="90"/>
      <c r="S321" s="87"/>
      <c r="T321" s="87"/>
      <c r="U321" s="87"/>
      <c r="V321" s="93"/>
      <c r="W321" s="91"/>
      <c r="X321" s="87"/>
      <c r="Y321" s="92"/>
      <c r="Z321" s="90"/>
      <c r="AA321" s="93"/>
      <c r="AB321" s="87"/>
      <c r="AC321" s="91"/>
      <c r="AD321" s="90"/>
      <c r="AE321" s="86"/>
      <c r="AF321" s="82"/>
      <c r="AG321" s="24"/>
      <c r="AH321" s="93"/>
      <c r="AI321" s="87"/>
      <c r="AJ321" s="86"/>
      <c r="AK321" s="81"/>
      <c r="AL321" s="24"/>
      <c r="AM321" s="24"/>
      <c r="AN321" s="81"/>
      <c r="AO321" s="81"/>
      <c r="AP321" s="24"/>
      <c r="AQ321" s="93"/>
      <c r="AR321" s="94"/>
      <c r="AS321" s="82"/>
      <c r="AT321" s="82"/>
      <c r="AU321" s="24"/>
      <c r="AV321" s="93"/>
      <c r="AW321" s="94"/>
      <c r="AX321" s="95"/>
      <c r="AY321" s="95"/>
      <c r="AZ321" s="95"/>
      <c r="BA321" s="24"/>
      <c r="BB321" s="9" t="s">
        <v>366</v>
      </c>
      <c r="BC321" s="96" t="s">
        <v>93</v>
      </c>
    </row>
    <row r="322" spans="1:55" ht="15" customHeight="1">
      <c r="A322" s="86">
        <f t="shared" si="22"/>
        <v>320</v>
      </c>
      <c r="B322" s="75" t="s">
        <v>527</v>
      </c>
      <c r="C322" s="9"/>
      <c r="D322" s="76" t="s">
        <v>526</v>
      </c>
      <c r="E322" s="88" t="str">
        <f>_xlfn.IFNA(VLOOKUP($D322,'Route-Details'!$B$2:$X$1048576,'Node Details'!E$1,0),"")</f>
        <v>Airtel</v>
      </c>
      <c r="F322" s="88" t="str">
        <f>_xlfn.IFNA(VLOOKUP($D322,'Route-Details'!$B$2:$X$1048576,'Node Details'!F$1,0),"")</f>
        <v>DARIA</v>
      </c>
      <c r="G322" s="88" t="str">
        <f>_xlfn.IFNA(VLOOKUP($D322,'Route-Details'!$B$2:$X$1048576,'Node Details'!G$1,0),"")</f>
        <v>Chandigarh</v>
      </c>
      <c r="H322" s="88" t="str">
        <f>_xlfn.IFNA(VLOOKUP($D323,'Route-Details'!$B$2:$X$1048576,'Node Details'!H$1,0),"")</f>
        <v>Punjab</v>
      </c>
      <c r="I322" s="88" t="str">
        <f>_xlfn.IFNA(VLOOKUP($D322,'Route-Details'!$B$2:$X$1048576,'Node Details'!I$1,0),"")</f>
        <v>AXW</v>
      </c>
      <c r="J322" s="88" t="str">
        <f>_xlfn.IFNA(VLOOKUP($D322,'Route-Details'!$B$2:$X$1048576,'Node Details'!J$1,0),"")</f>
        <v>AXW</v>
      </c>
      <c r="K322" s="76">
        <v>46112</v>
      </c>
      <c r="L322" s="76">
        <v>46114</v>
      </c>
      <c r="M322" s="89">
        <v>46147</v>
      </c>
      <c r="N322" s="76">
        <v>46114</v>
      </c>
      <c r="Q322" s="86" t="s">
        <v>958</v>
      </c>
      <c r="R322" s="90"/>
      <c r="S322" s="87"/>
      <c r="T322" s="87"/>
      <c r="U322" s="87"/>
      <c r="V322" s="93"/>
      <c r="W322" s="91"/>
      <c r="X322" s="87"/>
      <c r="Y322" s="92"/>
      <c r="Z322" s="90"/>
      <c r="AA322" s="93"/>
      <c r="AB322" s="87"/>
      <c r="AC322" s="91"/>
      <c r="AD322" s="90"/>
      <c r="AE322" s="86"/>
      <c r="AF322" s="82"/>
      <c r="AG322" s="24"/>
      <c r="AH322" s="93"/>
      <c r="AI322" s="87"/>
      <c r="AJ322" s="86"/>
      <c r="AK322" s="81"/>
      <c r="AL322" s="24"/>
      <c r="AM322" s="24"/>
      <c r="AN322" s="81"/>
      <c r="AO322" s="81"/>
      <c r="AP322" s="24"/>
      <c r="AQ322" s="93"/>
      <c r="AR322" s="94"/>
      <c r="AS322" s="82"/>
      <c r="AT322" s="82"/>
      <c r="AU322" s="24"/>
      <c r="AV322" s="93"/>
      <c r="AW322" s="94"/>
      <c r="AX322" s="95"/>
      <c r="AY322" s="95"/>
      <c r="AZ322" s="95"/>
      <c r="BA322" s="24"/>
      <c r="BB322" s="9" t="s">
        <v>366</v>
      </c>
      <c r="BC322" s="96" t="s">
        <v>93</v>
      </c>
    </row>
    <row r="323" spans="1:55" ht="15" customHeight="1">
      <c r="A323" s="86">
        <f t="shared" si="22"/>
        <v>321</v>
      </c>
      <c r="B323" s="75" t="s">
        <v>1105</v>
      </c>
      <c r="C323" s="9"/>
      <c r="D323" s="76" t="s">
        <v>528</v>
      </c>
      <c r="E323" s="88" t="str">
        <f>_xlfn.IFNA(VLOOKUP($D323,'Route-Details'!$B$2:$X$1048576,'Node Details'!E$1,0),"")</f>
        <v>Airtel</v>
      </c>
      <c r="F323" s="88" t="str">
        <f>_xlfn.IFNA(VLOOKUP($D323,'Route-Details'!$B$2:$X$1048576,'Node Details'!F$1,0),"")</f>
        <v>DARIA</v>
      </c>
      <c r="G323" s="88" t="str">
        <f>_xlfn.IFNA(VLOOKUP($D323,'Route-Details'!$B$2:$X$1048576,'Node Details'!G$1,0),"")</f>
        <v>Chandigarh</v>
      </c>
      <c r="H323" s="88" t="str">
        <f>_xlfn.IFNA(VLOOKUP($D324,'Route-Details'!$B$2:$X$1048576,'Node Details'!H$1,0),"")</f>
        <v>Punjab</v>
      </c>
      <c r="I323" s="88" t="str">
        <f>_xlfn.IFNA(VLOOKUP($D323,'Route-Details'!$B$2:$X$1048576,'Node Details'!I$1,0),"")</f>
        <v>AXW</v>
      </c>
      <c r="J323" s="88" t="str">
        <f>_xlfn.IFNA(VLOOKUP($D323,'Route-Details'!$B$2:$X$1048576,'Node Details'!J$1,0),"")</f>
        <v>AXW</v>
      </c>
      <c r="K323" s="76">
        <v>46112</v>
      </c>
      <c r="L323" s="76">
        <v>46114</v>
      </c>
      <c r="M323" s="89">
        <v>46147</v>
      </c>
      <c r="N323" s="76">
        <v>46114</v>
      </c>
      <c r="Q323" s="86" t="s">
        <v>958</v>
      </c>
      <c r="R323" s="90"/>
      <c r="S323" s="87"/>
      <c r="T323" s="87"/>
      <c r="U323" s="87"/>
      <c r="V323" s="93"/>
      <c r="W323" s="91"/>
      <c r="X323" s="87"/>
      <c r="Y323" s="92"/>
      <c r="Z323" s="90"/>
      <c r="AA323" s="93"/>
      <c r="AB323" s="87"/>
      <c r="AC323" s="91"/>
      <c r="AD323" s="90"/>
      <c r="AE323" s="86"/>
      <c r="AF323" s="82"/>
      <c r="AG323" s="24"/>
      <c r="AH323" s="93"/>
      <c r="AI323" s="87"/>
      <c r="AJ323" s="86"/>
      <c r="AK323" s="81"/>
      <c r="AL323" s="24"/>
      <c r="AM323" s="24"/>
      <c r="AN323" s="81"/>
      <c r="AO323" s="81"/>
      <c r="AP323" s="24"/>
      <c r="AQ323" s="93"/>
      <c r="AR323" s="94"/>
      <c r="AS323" s="82"/>
      <c r="AT323" s="82"/>
      <c r="AU323" s="24"/>
      <c r="AV323" s="93"/>
      <c r="AW323" s="94"/>
      <c r="AX323" s="95"/>
      <c r="AY323" s="95"/>
      <c r="AZ323" s="95"/>
      <c r="BA323" s="24"/>
      <c r="BB323" s="9" t="s">
        <v>530</v>
      </c>
      <c r="BC323" s="96" t="s">
        <v>93</v>
      </c>
    </row>
    <row r="324" spans="1:55" ht="15" customHeight="1">
      <c r="A324" s="86">
        <f t="shared" si="22"/>
        <v>322</v>
      </c>
      <c r="B324" s="75" t="s">
        <v>1106</v>
      </c>
      <c r="C324" s="9"/>
      <c r="D324" s="76" t="s">
        <v>528</v>
      </c>
      <c r="E324" s="88" t="str">
        <f>_xlfn.IFNA(VLOOKUP($D324,'Route-Details'!$B$2:$X$1048576,'Node Details'!E$1,0),"")</f>
        <v>Airtel</v>
      </c>
      <c r="F324" s="88" t="str">
        <f>_xlfn.IFNA(VLOOKUP($D324,'Route-Details'!$B$2:$X$1048576,'Node Details'!F$1,0),"")</f>
        <v>DARIA</v>
      </c>
      <c r="G324" s="88" t="str">
        <f>_xlfn.IFNA(VLOOKUP($D324,'Route-Details'!$B$2:$X$1048576,'Node Details'!G$1,0),"")</f>
        <v>Chandigarh</v>
      </c>
      <c r="H324" s="88" t="str">
        <f>_xlfn.IFNA(VLOOKUP($D325,'Route-Details'!$B$2:$X$1048576,'Node Details'!H$1,0),"")</f>
        <v>Punjab</v>
      </c>
      <c r="I324" s="88" t="str">
        <f>_xlfn.IFNA(VLOOKUP($D324,'Route-Details'!$B$2:$X$1048576,'Node Details'!I$1,0),"")</f>
        <v>AXW</v>
      </c>
      <c r="J324" s="88" t="str">
        <f>_xlfn.IFNA(VLOOKUP($D324,'Route-Details'!$B$2:$X$1048576,'Node Details'!J$1,0),"")</f>
        <v>AXW</v>
      </c>
      <c r="K324" s="76">
        <v>46112</v>
      </c>
      <c r="L324" s="76">
        <v>46114</v>
      </c>
      <c r="M324" s="89">
        <v>46147</v>
      </c>
      <c r="N324" s="76">
        <v>46114</v>
      </c>
      <c r="Q324" s="86" t="s">
        <v>958</v>
      </c>
      <c r="R324" s="90"/>
      <c r="S324" s="87"/>
      <c r="T324" s="87"/>
      <c r="U324" s="87"/>
      <c r="V324" s="93"/>
      <c r="W324" s="91"/>
      <c r="X324" s="87"/>
      <c r="Y324" s="92"/>
      <c r="Z324" s="90"/>
      <c r="AA324" s="93"/>
      <c r="AB324" s="87"/>
      <c r="AC324" s="91"/>
      <c r="AD324" s="90"/>
      <c r="AE324" s="86"/>
      <c r="AF324" s="82"/>
      <c r="AG324" s="24"/>
      <c r="AH324" s="93"/>
      <c r="AI324" s="87"/>
      <c r="AJ324" s="86"/>
      <c r="AK324" s="81"/>
      <c r="AL324" s="24"/>
      <c r="AM324" s="24"/>
      <c r="AN324" s="81"/>
      <c r="AO324" s="81"/>
      <c r="AP324" s="24"/>
      <c r="AQ324" s="93"/>
      <c r="AR324" s="94"/>
      <c r="AS324" s="82"/>
      <c r="AT324" s="82"/>
      <c r="AU324" s="24"/>
      <c r="AV324" s="93"/>
      <c r="AW324" s="94"/>
      <c r="AX324" s="95"/>
      <c r="AY324" s="95"/>
      <c r="AZ324" s="95"/>
      <c r="BA324" s="24"/>
      <c r="BB324" s="9" t="s">
        <v>530</v>
      </c>
      <c r="BC324" s="96" t="s">
        <v>93</v>
      </c>
    </row>
    <row r="325" spans="1:55" ht="15" customHeight="1">
      <c r="A325" s="86">
        <f t="shared" ref="A325:A388" si="23">A324+1</f>
        <v>323</v>
      </c>
      <c r="B325" s="75" t="s">
        <v>1107</v>
      </c>
      <c r="C325" s="9"/>
      <c r="D325" s="76" t="s">
        <v>528</v>
      </c>
      <c r="E325" s="88" t="str">
        <f>_xlfn.IFNA(VLOOKUP($D325,'Route-Details'!$B$2:$X$1048576,'Node Details'!E$1,0),"")</f>
        <v>Airtel</v>
      </c>
      <c r="F325" s="88" t="str">
        <f>_xlfn.IFNA(VLOOKUP($D325,'Route-Details'!$B$2:$X$1048576,'Node Details'!F$1,0),"")</f>
        <v>DARIA</v>
      </c>
      <c r="G325" s="88" t="str">
        <f>_xlfn.IFNA(VLOOKUP($D325,'Route-Details'!$B$2:$X$1048576,'Node Details'!G$1,0),"")</f>
        <v>Chandigarh</v>
      </c>
      <c r="H325" s="88" t="str">
        <f>_xlfn.IFNA(VLOOKUP($D326,'Route-Details'!$B$2:$X$1048576,'Node Details'!H$1,0),"")</f>
        <v>Punjab</v>
      </c>
      <c r="I325" s="88" t="str">
        <f>_xlfn.IFNA(VLOOKUP($D325,'Route-Details'!$B$2:$X$1048576,'Node Details'!I$1,0),"")</f>
        <v>AXW</v>
      </c>
      <c r="J325" s="88" t="str">
        <f>_xlfn.IFNA(VLOOKUP($D325,'Route-Details'!$B$2:$X$1048576,'Node Details'!J$1,0),"")</f>
        <v>AXW</v>
      </c>
      <c r="K325" s="76">
        <v>46112</v>
      </c>
      <c r="L325" s="76">
        <v>46114</v>
      </c>
      <c r="M325" s="89">
        <v>46147</v>
      </c>
      <c r="N325" s="76">
        <v>46114</v>
      </c>
      <c r="Q325" s="86" t="s">
        <v>958</v>
      </c>
      <c r="R325" s="90"/>
      <c r="S325" s="87"/>
      <c r="T325" s="87"/>
      <c r="U325" s="87"/>
      <c r="V325" s="93"/>
      <c r="W325" s="91"/>
      <c r="X325" s="87"/>
      <c r="Y325" s="92"/>
      <c r="Z325" s="90"/>
      <c r="AA325" s="93"/>
      <c r="AB325" s="87"/>
      <c r="AC325" s="91"/>
      <c r="AD325" s="90"/>
      <c r="AE325" s="86"/>
      <c r="AF325" s="82"/>
      <c r="AG325" s="24"/>
      <c r="AH325" s="93"/>
      <c r="AI325" s="87"/>
      <c r="AJ325" s="86"/>
      <c r="AK325" s="81"/>
      <c r="AL325" s="24"/>
      <c r="AM325" s="24"/>
      <c r="AN325" s="81"/>
      <c r="AO325" s="81"/>
      <c r="AP325" s="24"/>
      <c r="AQ325" s="93"/>
      <c r="AR325" s="94"/>
      <c r="AS325" s="82"/>
      <c r="AT325" s="82"/>
      <c r="AU325" s="24"/>
      <c r="AV325" s="93"/>
      <c r="AW325" s="94"/>
      <c r="AX325" s="95"/>
      <c r="AY325" s="95"/>
      <c r="AZ325" s="95"/>
      <c r="BA325" s="24"/>
      <c r="BB325" s="9" t="s">
        <v>530</v>
      </c>
      <c r="BC325" s="96" t="s">
        <v>93</v>
      </c>
    </row>
    <row r="326" spans="1:55" ht="15" customHeight="1">
      <c r="A326" s="86">
        <f t="shared" si="23"/>
        <v>324</v>
      </c>
      <c r="B326" s="75" t="s">
        <v>529</v>
      </c>
      <c r="C326" s="9"/>
      <c r="D326" s="76" t="s">
        <v>528</v>
      </c>
      <c r="E326" s="88" t="str">
        <f>_xlfn.IFNA(VLOOKUP($D326,'Route-Details'!$B$2:$X$1048576,'Node Details'!E$1,0),"")</f>
        <v>Airtel</v>
      </c>
      <c r="F326" s="88" t="str">
        <f>_xlfn.IFNA(VLOOKUP($D326,'Route-Details'!$B$2:$X$1048576,'Node Details'!F$1,0),"")</f>
        <v>DARIA</v>
      </c>
      <c r="G326" s="88" t="str">
        <f>_xlfn.IFNA(VLOOKUP($D326,'Route-Details'!$B$2:$X$1048576,'Node Details'!G$1,0),"")</f>
        <v>Chandigarh</v>
      </c>
      <c r="H326" s="88" t="str">
        <f>_xlfn.IFNA(VLOOKUP($D327,'Route-Details'!$B$2:$X$1048576,'Node Details'!H$1,0),"")</f>
        <v>Punjab</v>
      </c>
      <c r="I326" s="88" t="str">
        <f>_xlfn.IFNA(VLOOKUP($D326,'Route-Details'!$B$2:$X$1048576,'Node Details'!I$1,0),"")</f>
        <v>AXW</v>
      </c>
      <c r="J326" s="88" t="str">
        <f>_xlfn.IFNA(VLOOKUP($D326,'Route-Details'!$B$2:$X$1048576,'Node Details'!J$1,0),"")</f>
        <v>AXW</v>
      </c>
      <c r="K326" s="76">
        <v>46112</v>
      </c>
      <c r="L326" s="76">
        <v>46114</v>
      </c>
      <c r="M326" s="89">
        <v>46147</v>
      </c>
      <c r="N326" s="76">
        <v>46114</v>
      </c>
      <c r="Q326" s="86" t="s">
        <v>958</v>
      </c>
      <c r="R326" s="90"/>
      <c r="S326" s="87"/>
      <c r="T326" s="87"/>
      <c r="U326" s="87"/>
      <c r="V326" s="93"/>
      <c r="W326" s="91"/>
      <c r="X326" s="87"/>
      <c r="Y326" s="92"/>
      <c r="Z326" s="90"/>
      <c r="AA326" s="93"/>
      <c r="AB326" s="87"/>
      <c r="AC326" s="91"/>
      <c r="AD326" s="90"/>
      <c r="AE326" s="86"/>
      <c r="AF326" s="82"/>
      <c r="AG326" s="24"/>
      <c r="AH326" s="93"/>
      <c r="AI326" s="87"/>
      <c r="AJ326" s="86"/>
      <c r="AK326" s="81"/>
      <c r="AL326" s="24"/>
      <c r="AM326" s="24"/>
      <c r="AN326" s="81"/>
      <c r="AO326" s="81"/>
      <c r="AP326" s="24"/>
      <c r="AQ326" s="93"/>
      <c r="AR326" s="94"/>
      <c r="AS326" s="82"/>
      <c r="AT326" s="82"/>
      <c r="AU326" s="24"/>
      <c r="AV326" s="93"/>
      <c r="AW326" s="94"/>
      <c r="AX326" s="95"/>
      <c r="AY326" s="95"/>
      <c r="AZ326" s="95"/>
      <c r="BA326" s="24"/>
      <c r="BB326" s="9" t="s">
        <v>530</v>
      </c>
      <c r="BC326" s="96" t="s">
        <v>93</v>
      </c>
    </row>
    <row r="327" spans="1:55" ht="15" customHeight="1">
      <c r="A327" s="86">
        <f t="shared" si="23"/>
        <v>325</v>
      </c>
      <c r="B327" s="75" t="s">
        <v>532</v>
      </c>
      <c r="C327" s="9"/>
      <c r="D327" s="76" t="s">
        <v>385</v>
      </c>
      <c r="E327" s="88" t="str">
        <f>_xlfn.IFNA(VLOOKUP($D327,'Route-Details'!$B$2:$X$1048576,'Node Details'!E$1,0),"")</f>
        <v>Airtel</v>
      </c>
      <c r="F327" s="88" t="str">
        <f>_xlfn.IFNA(VLOOKUP($D327,'Route-Details'!$B$2:$X$1048576,'Node Details'!F$1,0),"")</f>
        <v>DARIA</v>
      </c>
      <c r="G327" s="88" t="str">
        <f>_xlfn.IFNA(VLOOKUP($D327,'Route-Details'!$B$2:$X$1048576,'Node Details'!G$1,0),"")</f>
        <v>Chandigarh</v>
      </c>
      <c r="H327" s="88" t="str">
        <f>_xlfn.IFNA(VLOOKUP($D328,'Route-Details'!$B$2:$X$1048576,'Node Details'!H$1,0),"")</f>
        <v>Punjab</v>
      </c>
      <c r="I327" s="88" t="str">
        <f>_xlfn.IFNA(VLOOKUP($D327,'Route-Details'!$B$2:$X$1048576,'Node Details'!I$1,0),"")</f>
        <v>AXW</v>
      </c>
      <c r="J327" s="88" t="str">
        <f>_xlfn.IFNA(VLOOKUP($D327,'Route-Details'!$B$2:$X$1048576,'Node Details'!J$1,0),"")</f>
        <v>AXW</v>
      </c>
      <c r="K327" s="76">
        <v>46112</v>
      </c>
      <c r="L327" s="76">
        <v>46114</v>
      </c>
      <c r="M327" s="89">
        <v>46147</v>
      </c>
      <c r="N327" s="76">
        <v>46114</v>
      </c>
      <c r="Q327" s="86" t="s">
        <v>958</v>
      </c>
      <c r="R327" s="90"/>
      <c r="S327" s="87"/>
      <c r="T327" s="87"/>
      <c r="U327" s="87"/>
      <c r="V327" s="93"/>
      <c r="W327" s="91"/>
      <c r="X327" s="87"/>
      <c r="Y327" s="92"/>
      <c r="Z327" s="90"/>
      <c r="AA327" s="93"/>
      <c r="AB327" s="87"/>
      <c r="AC327" s="91"/>
      <c r="AD327" s="90"/>
      <c r="AE327" s="86"/>
      <c r="AF327" s="82"/>
      <c r="AG327" s="24"/>
      <c r="AH327" s="93"/>
      <c r="AI327" s="87"/>
      <c r="AJ327" s="86"/>
      <c r="AK327" s="81"/>
      <c r="AL327" s="24"/>
      <c r="AM327" s="24"/>
      <c r="AN327" s="81"/>
      <c r="AO327" s="81"/>
      <c r="AP327" s="24"/>
      <c r="AQ327" s="93"/>
      <c r="AR327" s="94"/>
      <c r="AS327" s="82"/>
      <c r="AT327" s="82"/>
      <c r="AU327" s="24"/>
      <c r="AV327" s="93"/>
      <c r="AW327" s="94"/>
      <c r="AX327" s="95"/>
      <c r="AY327" s="95"/>
      <c r="AZ327" s="95"/>
      <c r="BA327" s="24"/>
      <c r="BB327" s="9" t="s">
        <v>110</v>
      </c>
      <c r="BC327" s="96" t="s">
        <v>93</v>
      </c>
    </row>
    <row r="328" spans="1:55" ht="15" customHeight="1">
      <c r="A328" s="86">
        <f t="shared" si="23"/>
        <v>326</v>
      </c>
      <c r="B328" s="75" t="s">
        <v>533</v>
      </c>
      <c r="C328" s="9"/>
      <c r="D328" s="76" t="s">
        <v>531</v>
      </c>
      <c r="E328" s="88" t="str">
        <f>_xlfn.IFNA(VLOOKUP($D328,'Route-Details'!$B$2:$X$1048576,'Node Details'!E$1,0),"")</f>
        <v>Airtel</v>
      </c>
      <c r="F328" s="88" t="str">
        <f>_xlfn.IFNA(VLOOKUP($D328,'Route-Details'!$B$2:$X$1048576,'Node Details'!F$1,0),"")</f>
        <v>DARIA</v>
      </c>
      <c r="G328" s="88" t="str">
        <f>_xlfn.IFNA(VLOOKUP($D328,'Route-Details'!$B$2:$X$1048576,'Node Details'!G$1,0),"")</f>
        <v>Chandigarh</v>
      </c>
      <c r="H328" s="88" t="str">
        <f>_xlfn.IFNA(VLOOKUP($D329,'Route-Details'!$B$2:$X$1048576,'Node Details'!H$1,0),"")</f>
        <v>Punjab</v>
      </c>
      <c r="I328" s="88" t="str">
        <f>_xlfn.IFNA(VLOOKUP($D328,'Route-Details'!$B$2:$X$1048576,'Node Details'!I$1,0),"")</f>
        <v>AXW</v>
      </c>
      <c r="J328" s="88" t="str">
        <f>_xlfn.IFNA(VLOOKUP($D328,'Route-Details'!$B$2:$X$1048576,'Node Details'!J$1,0),"")</f>
        <v>AXW</v>
      </c>
      <c r="K328" s="76">
        <v>46112</v>
      </c>
      <c r="L328" s="76">
        <v>46114</v>
      </c>
      <c r="M328" s="89">
        <v>46147</v>
      </c>
      <c r="N328" s="76">
        <v>46114</v>
      </c>
      <c r="Q328" s="86" t="s">
        <v>958</v>
      </c>
      <c r="R328" s="90"/>
      <c r="S328" s="87"/>
      <c r="T328" s="87"/>
      <c r="U328" s="87"/>
      <c r="V328" s="93"/>
      <c r="W328" s="91"/>
      <c r="X328" s="87"/>
      <c r="Y328" s="92"/>
      <c r="Z328" s="90"/>
      <c r="AA328" s="93"/>
      <c r="AB328" s="87"/>
      <c r="AC328" s="91"/>
      <c r="AD328" s="90"/>
      <c r="AE328" s="86"/>
      <c r="AF328" s="82"/>
      <c r="AG328" s="24"/>
      <c r="AH328" s="93"/>
      <c r="AI328" s="87"/>
      <c r="AJ328" s="86"/>
      <c r="AK328" s="81"/>
      <c r="AL328" s="24"/>
      <c r="AM328" s="24"/>
      <c r="AN328" s="81"/>
      <c r="AO328" s="81"/>
      <c r="AP328" s="24"/>
      <c r="AQ328" s="93"/>
      <c r="AR328" s="94"/>
      <c r="AS328" s="82"/>
      <c r="AT328" s="82"/>
      <c r="AU328" s="24"/>
      <c r="AV328" s="93"/>
      <c r="AW328" s="94"/>
      <c r="AX328" s="95"/>
      <c r="AY328" s="95"/>
      <c r="AZ328" s="95"/>
      <c r="BA328" s="24"/>
      <c r="BB328" s="9" t="s">
        <v>535</v>
      </c>
      <c r="BC328" s="96" t="s">
        <v>93</v>
      </c>
    </row>
    <row r="329" spans="1:55" ht="15" customHeight="1">
      <c r="A329" s="86">
        <f t="shared" si="23"/>
        <v>327</v>
      </c>
      <c r="B329" s="75" t="s">
        <v>1108</v>
      </c>
      <c r="C329" s="9"/>
      <c r="D329" s="76" t="s">
        <v>536</v>
      </c>
      <c r="E329" s="88" t="str">
        <f>_xlfn.IFNA(VLOOKUP($D329,'Route-Details'!$B$2:$X$1048576,'Node Details'!E$1,0),"")</f>
        <v>Airtel</v>
      </c>
      <c r="F329" s="88" t="str">
        <f>_xlfn.IFNA(VLOOKUP($D329,'Route-Details'!$B$2:$X$1048576,'Node Details'!F$1,0),"")</f>
        <v>DARIA</v>
      </c>
      <c r="G329" s="88" t="str">
        <f>_xlfn.IFNA(VLOOKUP($D329,'Route-Details'!$B$2:$X$1048576,'Node Details'!G$1,0),"")</f>
        <v>Chandigarh</v>
      </c>
      <c r="H329" s="88" t="str">
        <f>_xlfn.IFNA(VLOOKUP($D330,'Route-Details'!$B$2:$X$1048576,'Node Details'!H$1,0),"")</f>
        <v>Punjab</v>
      </c>
      <c r="I329" s="88" t="str">
        <f>_xlfn.IFNA(VLOOKUP($D329,'Route-Details'!$B$2:$X$1048576,'Node Details'!I$1,0),"")</f>
        <v>AXW</v>
      </c>
      <c r="J329" s="88" t="str">
        <f>_xlfn.IFNA(VLOOKUP($D329,'Route-Details'!$B$2:$X$1048576,'Node Details'!J$1,0),"")</f>
        <v>AXW</v>
      </c>
      <c r="K329" s="76">
        <v>46112</v>
      </c>
      <c r="L329" s="76">
        <v>46114</v>
      </c>
      <c r="M329" s="89">
        <v>46147</v>
      </c>
      <c r="N329" s="76">
        <v>46114</v>
      </c>
      <c r="Q329" s="86" t="s">
        <v>958</v>
      </c>
      <c r="R329" s="90"/>
      <c r="S329" s="87"/>
      <c r="T329" s="87"/>
      <c r="U329" s="87"/>
      <c r="V329" s="93"/>
      <c r="W329" s="91"/>
      <c r="X329" s="87"/>
      <c r="Y329" s="92"/>
      <c r="Z329" s="90"/>
      <c r="AA329" s="93"/>
      <c r="AB329" s="87"/>
      <c r="AC329" s="91"/>
      <c r="AD329" s="90"/>
      <c r="AE329" s="86"/>
      <c r="AF329" s="82"/>
      <c r="AG329" s="24"/>
      <c r="AH329" s="93"/>
      <c r="AI329" s="87"/>
      <c r="AJ329" s="86"/>
      <c r="AK329" s="81"/>
      <c r="AL329" s="24"/>
      <c r="AM329" s="24"/>
      <c r="AN329" s="81"/>
      <c r="AO329" s="81"/>
      <c r="AP329" s="24"/>
      <c r="AQ329" s="93"/>
      <c r="AR329" s="94"/>
      <c r="AS329" s="82"/>
      <c r="AT329" s="82"/>
      <c r="AU329" s="24"/>
      <c r="AV329" s="93"/>
      <c r="AW329" s="94"/>
      <c r="AX329" s="95"/>
      <c r="AY329" s="95"/>
      <c r="AZ329" s="95"/>
      <c r="BA329" s="24"/>
      <c r="BB329" s="9" t="s">
        <v>538</v>
      </c>
      <c r="BC329" s="96" t="s">
        <v>93</v>
      </c>
    </row>
    <row r="330" spans="1:55" ht="15" customHeight="1">
      <c r="A330" s="86">
        <f t="shared" si="23"/>
        <v>328</v>
      </c>
      <c r="B330" s="75" t="s">
        <v>1109</v>
      </c>
      <c r="C330" s="9"/>
      <c r="D330" s="76" t="s">
        <v>536</v>
      </c>
      <c r="E330" s="88" t="str">
        <f>_xlfn.IFNA(VLOOKUP($D330,'Route-Details'!$B$2:$X$1048576,'Node Details'!E$1,0),"")</f>
        <v>Airtel</v>
      </c>
      <c r="F330" s="88" t="str">
        <f>_xlfn.IFNA(VLOOKUP($D330,'Route-Details'!$B$2:$X$1048576,'Node Details'!F$1,0),"")</f>
        <v>DARIA</v>
      </c>
      <c r="G330" s="88" t="str">
        <f>_xlfn.IFNA(VLOOKUP($D330,'Route-Details'!$B$2:$X$1048576,'Node Details'!G$1,0),"")</f>
        <v>Chandigarh</v>
      </c>
      <c r="H330" s="88" t="str">
        <f>_xlfn.IFNA(VLOOKUP($D331,'Route-Details'!$B$2:$X$1048576,'Node Details'!H$1,0),"")</f>
        <v>Punjab</v>
      </c>
      <c r="I330" s="88" t="str">
        <f>_xlfn.IFNA(VLOOKUP($D330,'Route-Details'!$B$2:$X$1048576,'Node Details'!I$1,0),"")</f>
        <v>AXW</v>
      </c>
      <c r="J330" s="88" t="str">
        <f>_xlfn.IFNA(VLOOKUP($D330,'Route-Details'!$B$2:$X$1048576,'Node Details'!J$1,0),"")</f>
        <v>AXW</v>
      </c>
      <c r="K330" s="76">
        <v>46112</v>
      </c>
      <c r="L330" s="76">
        <v>46114</v>
      </c>
      <c r="M330" s="89">
        <v>46147</v>
      </c>
      <c r="N330" s="76">
        <v>46114</v>
      </c>
      <c r="Q330" s="86" t="s">
        <v>958</v>
      </c>
      <c r="R330" s="90"/>
      <c r="S330" s="87"/>
      <c r="T330" s="87"/>
      <c r="U330" s="87"/>
      <c r="V330" s="93"/>
      <c r="W330" s="91"/>
      <c r="X330" s="87"/>
      <c r="Y330" s="92"/>
      <c r="Z330" s="90"/>
      <c r="AA330" s="93"/>
      <c r="AB330" s="87"/>
      <c r="AC330" s="91"/>
      <c r="AD330" s="90"/>
      <c r="AE330" s="86"/>
      <c r="AF330" s="82"/>
      <c r="AG330" s="24"/>
      <c r="AH330" s="93"/>
      <c r="AI330" s="87"/>
      <c r="AJ330" s="86"/>
      <c r="AK330" s="81"/>
      <c r="AL330" s="24"/>
      <c r="AM330" s="24"/>
      <c r="AN330" s="81"/>
      <c r="AO330" s="81"/>
      <c r="AP330" s="24"/>
      <c r="AQ330" s="93"/>
      <c r="AR330" s="94"/>
      <c r="AS330" s="82"/>
      <c r="AT330" s="82"/>
      <c r="AU330" s="24"/>
      <c r="AV330" s="93"/>
      <c r="AW330" s="94"/>
      <c r="AX330" s="95"/>
      <c r="AY330" s="95"/>
      <c r="AZ330" s="95"/>
      <c r="BA330" s="24"/>
      <c r="BB330" s="9" t="s">
        <v>538</v>
      </c>
      <c r="BC330" s="96" t="s">
        <v>93</v>
      </c>
    </row>
    <row r="331" spans="1:55" ht="15" customHeight="1">
      <c r="A331" s="86">
        <f t="shared" si="23"/>
        <v>329</v>
      </c>
      <c r="B331" s="75" t="s">
        <v>1110</v>
      </c>
      <c r="C331" s="9"/>
      <c r="D331" s="76" t="s">
        <v>536</v>
      </c>
      <c r="E331" s="88" t="str">
        <f>_xlfn.IFNA(VLOOKUP($D331,'Route-Details'!$B$2:$X$1048576,'Node Details'!E$1,0),"")</f>
        <v>Airtel</v>
      </c>
      <c r="F331" s="88" t="str">
        <f>_xlfn.IFNA(VLOOKUP($D331,'Route-Details'!$B$2:$X$1048576,'Node Details'!F$1,0),"")</f>
        <v>DARIA</v>
      </c>
      <c r="G331" s="88" t="str">
        <f>_xlfn.IFNA(VLOOKUP($D331,'Route-Details'!$B$2:$X$1048576,'Node Details'!G$1,0),"")</f>
        <v>Chandigarh</v>
      </c>
      <c r="H331" s="88" t="str">
        <f>_xlfn.IFNA(VLOOKUP($D332,'Route-Details'!$B$2:$X$1048576,'Node Details'!H$1,0),"")</f>
        <v>Punjab</v>
      </c>
      <c r="I331" s="88" t="str">
        <f>_xlfn.IFNA(VLOOKUP($D331,'Route-Details'!$B$2:$X$1048576,'Node Details'!I$1,0),"")</f>
        <v>AXW</v>
      </c>
      <c r="J331" s="88" t="str">
        <f>_xlfn.IFNA(VLOOKUP($D331,'Route-Details'!$B$2:$X$1048576,'Node Details'!J$1,0),"")</f>
        <v>AXW</v>
      </c>
      <c r="K331" s="76">
        <v>46112</v>
      </c>
      <c r="L331" s="76">
        <v>46114</v>
      </c>
      <c r="M331" s="89">
        <v>46147</v>
      </c>
      <c r="N331" s="76">
        <v>46114</v>
      </c>
      <c r="Q331" s="86" t="s">
        <v>958</v>
      </c>
      <c r="R331" s="90"/>
      <c r="S331" s="87"/>
      <c r="T331" s="87"/>
      <c r="U331" s="87"/>
      <c r="V331" s="93"/>
      <c r="W331" s="91"/>
      <c r="X331" s="87"/>
      <c r="Y331" s="92"/>
      <c r="Z331" s="90"/>
      <c r="AA331" s="93"/>
      <c r="AB331" s="87"/>
      <c r="AC331" s="91"/>
      <c r="AD331" s="90"/>
      <c r="AE331" s="86"/>
      <c r="AF331" s="82"/>
      <c r="AG331" s="24"/>
      <c r="AH331" s="93"/>
      <c r="AI331" s="87"/>
      <c r="AJ331" s="86"/>
      <c r="AK331" s="81"/>
      <c r="AL331" s="24"/>
      <c r="AM331" s="24"/>
      <c r="AN331" s="81"/>
      <c r="AO331" s="81"/>
      <c r="AP331" s="24"/>
      <c r="AQ331" s="93"/>
      <c r="AR331" s="94"/>
      <c r="AS331" s="82"/>
      <c r="AT331" s="82"/>
      <c r="AU331" s="24"/>
      <c r="AV331" s="93"/>
      <c r="AW331" s="94"/>
      <c r="AX331" s="95"/>
      <c r="AY331" s="95"/>
      <c r="AZ331" s="95"/>
      <c r="BA331" s="24"/>
      <c r="BB331" s="9" t="s">
        <v>538</v>
      </c>
      <c r="BC331" s="96" t="s">
        <v>93</v>
      </c>
    </row>
    <row r="332" spans="1:55" ht="15" customHeight="1">
      <c r="A332" s="86">
        <f t="shared" si="23"/>
        <v>330</v>
      </c>
      <c r="B332" s="75" t="s">
        <v>537</v>
      </c>
      <c r="C332" s="9"/>
      <c r="D332" s="76" t="s">
        <v>536</v>
      </c>
      <c r="E332" s="88" t="str">
        <f>_xlfn.IFNA(VLOOKUP($D332,'Route-Details'!$B$2:$X$1048576,'Node Details'!E$1,0),"")</f>
        <v>Airtel</v>
      </c>
      <c r="F332" s="88" t="str">
        <f>_xlfn.IFNA(VLOOKUP($D332,'Route-Details'!$B$2:$X$1048576,'Node Details'!F$1,0),"")</f>
        <v>DARIA</v>
      </c>
      <c r="G332" s="88" t="str">
        <f>_xlfn.IFNA(VLOOKUP($D332,'Route-Details'!$B$2:$X$1048576,'Node Details'!G$1,0),"")</f>
        <v>Chandigarh</v>
      </c>
      <c r="H332" s="88" t="str">
        <f>_xlfn.IFNA(VLOOKUP($D333,'Route-Details'!$B$2:$X$1048576,'Node Details'!H$1,0),"")</f>
        <v>Punjab</v>
      </c>
      <c r="I332" s="88" t="str">
        <f>_xlfn.IFNA(VLOOKUP($D332,'Route-Details'!$B$2:$X$1048576,'Node Details'!I$1,0),"")</f>
        <v>AXW</v>
      </c>
      <c r="J332" s="88" t="str">
        <f>_xlfn.IFNA(VLOOKUP($D332,'Route-Details'!$B$2:$X$1048576,'Node Details'!J$1,0),"")</f>
        <v>AXW</v>
      </c>
      <c r="K332" s="76">
        <v>46112</v>
      </c>
      <c r="L332" s="76">
        <v>46114</v>
      </c>
      <c r="M332" s="89">
        <v>46147</v>
      </c>
      <c r="N332" s="76">
        <v>46114</v>
      </c>
      <c r="Q332" s="86" t="s">
        <v>958</v>
      </c>
      <c r="R332" s="90"/>
      <c r="S332" s="87"/>
      <c r="T332" s="87"/>
      <c r="U332" s="87"/>
      <c r="V332" s="93"/>
      <c r="W332" s="91"/>
      <c r="X332" s="87"/>
      <c r="Y332" s="92"/>
      <c r="Z332" s="90"/>
      <c r="AA332" s="93"/>
      <c r="AB332" s="87"/>
      <c r="AC332" s="91"/>
      <c r="AD332" s="90"/>
      <c r="AE332" s="86"/>
      <c r="AF332" s="82"/>
      <c r="AG332" s="24"/>
      <c r="AH332" s="93"/>
      <c r="AI332" s="87"/>
      <c r="AJ332" s="86"/>
      <c r="AK332" s="81"/>
      <c r="AL332" s="24"/>
      <c r="AM332" s="24"/>
      <c r="AN332" s="81"/>
      <c r="AO332" s="81"/>
      <c r="AP332" s="24"/>
      <c r="AQ332" s="93"/>
      <c r="AR332" s="94"/>
      <c r="AS332" s="82"/>
      <c r="AT332" s="82"/>
      <c r="AU332" s="24"/>
      <c r="AV332" s="93"/>
      <c r="AW332" s="94"/>
      <c r="AX332" s="95"/>
      <c r="AY332" s="95"/>
      <c r="AZ332" s="95"/>
      <c r="BA332" s="24"/>
      <c r="BB332" s="9" t="s">
        <v>538</v>
      </c>
      <c r="BC332" s="96" t="s">
        <v>93</v>
      </c>
    </row>
    <row r="333" spans="1:55" ht="15" customHeight="1">
      <c r="A333" s="86">
        <f t="shared" si="23"/>
        <v>331</v>
      </c>
      <c r="B333" s="75" t="s">
        <v>540</v>
      </c>
      <c r="C333" s="9"/>
      <c r="D333" s="76" t="s">
        <v>539</v>
      </c>
      <c r="E333" s="88" t="str">
        <f>_xlfn.IFNA(VLOOKUP($D333,'Route-Details'!$B$2:$X$1048576,'Node Details'!E$1,0),"")</f>
        <v>Airtel</v>
      </c>
      <c r="F333" s="88" t="str">
        <f>_xlfn.IFNA(VLOOKUP($D333,'Route-Details'!$B$2:$X$1048576,'Node Details'!F$1,0),"")</f>
        <v>DARIA</v>
      </c>
      <c r="G333" s="88" t="str">
        <f>_xlfn.IFNA(VLOOKUP($D333,'Route-Details'!$B$2:$X$1048576,'Node Details'!G$1,0),"")</f>
        <v>Chandigarh</v>
      </c>
      <c r="H333" s="88" t="str">
        <f>_xlfn.IFNA(VLOOKUP($D334,'Route-Details'!$B$2:$X$1048576,'Node Details'!H$1,0),"")</f>
        <v>Punjab</v>
      </c>
      <c r="I333" s="88" t="str">
        <f>_xlfn.IFNA(VLOOKUP($D333,'Route-Details'!$B$2:$X$1048576,'Node Details'!I$1,0),"")</f>
        <v>AXW</v>
      </c>
      <c r="J333" s="88" t="str">
        <f>_xlfn.IFNA(VLOOKUP($D333,'Route-Details'!$B$2:$X$1048576,'Node Details'!J$1,0),"")</f>
        <v>AXW</v>
      </c>
      <c r="K333" s="76">
        <v>46112</v>
      </c>
      <c r="L333" s="76">
        <v>46114</v>
      </c>
      <c r="M333" s="89">
        <v>46147</v>
      </c>
      <c r="N333" s="76">
        <v>46114</v>
      </c>
      <c r="Q333" s="86" t="s">
        <v>958</v>
      </c>
      <c r="R333" s="90"/>
      <c r="S333" s="87"/>
      <c r="T333" s="87"/>
      <c r="U333" s="87"/>
      <c r="V333" s="93"/>
      <c r="W333" s="91"/>
      <c r="X333" s="87"/>
      <c r="Y333" s="92"/>
      <c r="Z333" s="90"/>
      <c r="AA333" s="93"/>
      <c r="AB333" s="87"/>
      <c r="AC333" s="91"/>
      <c r="AD333" s="90"/>
      <c r="AE333" s="86"/>
      <c r="AF333" s="82"/>
      <c r="AG333" s="24"/>
      <c r="AH333" s="93"/>
      <c r="AI333" s="87"/>
      <c r="AJ333" s="86"/>
      <c r="AK333" s="81"/>
      <c r="AL333" s="24"/>
      <c r="AM333" s="24"/>
      <c r="AN333" s="81"/>
      <c r="AO333" s="81"/>
      <c r="AP333" s="24"/>
      <c r="AQ333" s="93"/>
      <c r="AR333" s="94"/>
      <c r="AS333" s="82"/>
      <c r="AT333" s="82"/>
      <c r="AU333" s="24"/>
      <c r="AV333" s="93"/>
      <c r="AW333" s="94"/>
      <c r="AX333" s="95"/>
      <c r="AY333" s="95"/>
      <c r="AZ333" s="95"/>
      <c r="BA333" s="24"/>
      <c r="BB333" s="9" t="s">
        <v>541</v>
      </c>
      <c r="BC333" s="96" t="s">
        <v>93</v>
      </c>
    </row>
    <row r="334" spans="1:55" ht="15" customHeight="1">
      <c r="A334" s="86">
        <f t="shared" si="23"/>
        <v>332</v>
      </c>
      <c r="B334" s="75" t="s">
        <v>1111</v>
      </c>
      <c r="C334" s="9"/>
      <c r="D334" s="76" t="s">
        <v>542</v>
      </c>
      <c r="E334" s="88" t="str">
        <f>_xlfn.IFNA(VLOOKUP($D334,'Route-Details'!$B$2:$X$1048576,'Node Details'!E$1,0),"")</f>
        <v>Airtel</v>
      </c>
      <c r="F334" s="88" t="str">
        <f>_xlfn.IFNA(VLOOKUP($D334,'Route-Details'!$B$2:$X$1048576,'Node Details'!F$1,0),"")</f>
        <v>DARIA</v>
      </c>
      <c r="G334" s="88" t="str">
        <f>_xlfn.IFNA(VLOOKUP($D334,'Route-Details'!$B$2:$X$1048576,'Node Details'!G$1,0),"")</f>
        <v>Chandigarh</v>
      </c>
      <c r="H334" s="88" t="str">
        <f>_xlfn.IFNA(VLOOKUP($D335,'Route-Details'!$B$2:$X$1048576,'Node Details'!H$1,0),"")</f>
        <v>Punjab</v>
      </c>
      <c r="I334" s="88" t="str">
        <f>_xlfn.IFNA(VLOOKUP($D334,'Route-Details'!$B$2:$X$1048576,'Node Details'!I$1,0),"")</f>
        <v>AXW</v>
      </c>
      <c r="J334" s="88" t="str">
        <f>_xlfn.IFNA(VLOOKUP($D334,'Route-Details'!$B$2:$X$1048576,'Node Details'!J$1,0),"")</f>
        <v>AXW</v>
      </c>
      <c r="K334" s="76">
        <v>46112</v>
      </c>
      <c r="L334" s="76">
        <v>46114</v>
      </c>
      <c r="M334" s="89">
        <v>46147</v>
      </c>
      <c r="N334" s="76">
        <v>46114</v>
      </c>
      <c r="Q334" s="86" t="s">
        <v>958</v>
      </c>
      <c r="R334" s="90"/>
      <c r="S334" s="87"/>
      <c r="T334" s="87"/>
      <c r="U334" s="87"/>
      <c r="V334" s="93"/>
      <c r="W334" s="91"/>
      <c r="X334" s="87"/>
      <c r="Y334" s="92"/>
      <c r="Z334" s="90"/>
      <c r="AA334" s="93"/>
      <c r="AB334" s="87"/>
      <c r="AC334" s="91"/>
      <c r="AD334" s="90"/>
      <c r="AE334" s="86"/>
      <c r="AF334" s="82"/>
      <c r="AG334" s="24"/>
      <c r="AH334" s="93"/>
      <c r="AI334" s="87"/>
      <c r="AJ334" s="86"/>
      <c r="AK334" s="81"/>
      <c r="AL334" s="24"/>
      <c r="AM334" s="24"/>
      <c r="AN334" s="81"/>
      <c r="AO334" s="81"/>
      <c r="AP334" s="24"/>
      <c r="AQ334" s="93"/>
      <c r="AR334" s="94"/>
      <c r="AS334" s="82"/>
      <c r="AT334" s="82"/>
      <c r="AU334" s="24"/>
      <c r="AV334" s="93"/>
      <c r="AW334" s="94"/>
      <c r="AX334" s="95"/>
      <c r="AY334" s="95"/>
      <c r="AZ334" s="95"/>
      <c r="BA334" s="24"/>
      <c r="BB334" s="9" t="s">
        <v>544</v>
      </c>
      <c r="BC334" s="96" t="s">
        <v>93</v>
      </c>
    </row>
    <row r="335" spans="1:55" ht="15" customHeight="1">
      <c r="A335" s="86">
        <f t="shared" si="23"/>
        <v>333</v>
      </c>
      <c r="B335" s="75" t="s">
        <v>543</v>
      </c>
      <c r="C335" s="9"/>
      <c r="D335" s="76" t="s">
        <v>542</v>
      </c>
      <c r="E335" s="88" t="str">
        <f>_xlfn.IFNA(VLOOKUP($D335,'Route-Details'!$B$2:$X$1048576,'Node Details'!E$1,0),"")</f>
        <v>Airtel</v>
      </c>
      <c r="F335" s="88" t="str">
        <f>_xlfn.IFNA(VLOOKUP($D335,'Route-Details'!$B$2:$X$1048576,'Node Details'!F$1,0),"")</f>
        <v>DARIA</v>
      </c>
      <c r="G335" s="88" t="str">
        <f>_xlfn.IFNA(VLOOKUP($D335,'Route-Details'!$B$2:$X$1048576,'Node Details'!G$1,0),"")</f>
        <v>Chandigarh</v>
      </c>
      <c r="H335" s="88" t="str">
        <f>_xlfn.IFNA(VLOOKUP($D336,'Route-Details'!$B$2:$X$1048576,'Node Details'!H$1,0),"")</f>
        <v>Punjab</v>
      </c>
      <c r="I335" s="88" t="str">
        <f>_xlfn.IFNA(VLOOKUP($D335,'Route-Details'!$B$2:$X$1048576,'Node Details'!I$1,0),"")</f>
        <v>AXW</v>
      </c>
      <c r="J335" s="88" t="str">
        <f>_xlfn.IFNA(VLOOKUP($D335,'Route-Details'!$B$2:$X$1048576,'Node Details'!J$1,0),"")</f>
        <v>AXW</v>
      </c>
      <c r="K335" s="76">
        <v>46112</v>
      </c>
      <c r="L335" s="76">
        <v>46114</v>
      </c>
      <c r="M335" s="89">
        <v>46147</v>
      </c>
      <c r="N335" s="76">
        <v>46114</v>
      </c>
      <c r="Q335" s="86" t="s">
        <v>958</v>
      </c>
      <c r="R335" s="90"/>
      <c r="S335" s="87"/>
      <c r="T335" s="87"/>
      <c r="U335" s="87"/>
      <c r="V335" s="93"/>
      <c r="W335" s="91"/>
      <c r="X335" s="87"/>
      <c r="Y335" s="92"/>
      <c r="Z335" s="90"/>
      <c r="AA335" s="93"/>
      <c r="AB335" s="87"/>
      <c r="AC335" s="91"/>
      <c r="AD335" s="90"/>
      <c r="AE335" s="86"/>
      <c r="AF335" s="82"/>
      <c r="AG335" s="24"/>
      <c r="AH335" s="93"/>
      <c r="AI335" s="87"/>
      <c r="AJ335" s="86"/>
      <c r="AK335" s="81"/>
      <c r="AL335" s="24"/>
      <c r="AM335" s="24"/>
      <c r="AN335" s="81"/>
      <c r="AO335" s="81"/>
      <c r="AP335" s="24"/>
      <c r="AQ335" s="93"/>
      <c r="AR335" s="94"/>
      <c r="AS335" s="82"/>
      <c r="AT335" s="82"/>
      <c r="AU335" s="24"/>
      <c r="AV335" s="93"/>
      <c r="AW335" s="94"/>
      <c r="AX335" s="95"/>
      <c r="AY335" s="95"/>
      <c r="AZ335" s="95"/>
      <c r="BA335" s="24"/>
      <c r="BB335" s="9" t="s">
        <v>544</v>
      </c>
      <c r="BC335" s="96" t="s">
        <v>93</v>
      </c>
    </row>
    <row r="336" spans="1:55" ht="15" customHeight="1">
      <c r="A336" s="86">
        <f t="shared" si="23"/>
        <v>334</v>
      </c>
      <c r="B336" s="75" t="s">
        <v>389</v>
      </c>
      <c r="C336" s="9"/>
      <c r="D336" s="76" t="s">
        <v>385</v>
      </c>
      <c r="E336" s="88" t="str">
        <f>_xlfn.IFNA(VLOOKUP($D336,'Route-Details'!$B$2:$X$1048576,'Node Details'!E$1,0),"")</f>
        <v>Airtel</v>
      </c>
      <c r="F336" s="88" t="str">
        <f>_xlfn.IFNA(VLOOKUP($D336,'Route-Details'!$B$2:$X$1048576,'Node Details'!F$1,0),"")</f>
        <v>DARIA</v>
      </c>
      <c r="G336" s="88" t="str">
        <f>_xlfn.IFNA(VLOOKUP($D336,'Route-Details'!$B$2:$X$1048576,'Node Details'!G$1,0),"")</f>
        <v>Chandigarh</v>
      </c>
      <c r="H336" s="88" t="str">
        <f>_xlfn.IFNA(VLOOKUP($D337,'Route-Details'!$B$2:$X$1048576,'Node Details'!H$1,0),"")</f>
        <v>Punjab</v>
      </c>
      <c r="I336" s="88" t="str">
        <f>_xlfn.IFNA(VLOOKUP($D336,'Route-Details'!$B$2:$X$1048576,'Node Details'!I$1,0),"")</f>
        <v>AXW</v>
      </c>
      <c r="J336" s="88" t="str">
        <f>_xlfn.IFNA(VLOOKUP($D336,'Route-Details'!$B$2:$X$1048576,'Node Details'!J$1,0),"")</f>
        <v>AXW</v>
      </c>
      <c r="K336" s="76">
        <v>46112</v>
      </c>
      <c r="L336" s="76">
        <v>46114</v>
      </c>
      <c r="M336" s="89">
        <v>46147</v>
      </c>
      <c r="N336" s="76">
        <v>46114</v>
      </c>
      <c r="Q336" s="86" t="s">
        <v>958</v>
      </c>
      <c r="R336" s="90"/>
      <c r="S336" s="87"/>
      <c r="T336" s="87"/>
      <c r="U336" s="87"/>
      <c r="V336" s="93"/>
      <c r="W336" s="91"/>
      <c r="X336" s="87"/>
      <c r="Y336" s="92"/>
      <c r="Z336" s="90"/>
      <c r="AA336" s="93"/>
      <c r="AB336" s="87"/>
      <c r="AC336" s="91"/>
      <c r="AD336" s="90"/>
      <c r="AE336" s="86"/>
      <c r="AF336" s="82"/>
      <c r="AG336" s="24"/>
      <c r="AH336" s="93"/>
      <c r="AI336" s="87"/>
      <c r="AJ336" s="86"/>
      <c r="AK336" s="81"/>
      <c r="AL336" s="24"/>
      <c r="AM336" s="24"/>
      <c r="AN336" s="81"/>
      <c r="AO336" s="81"/>
      <c r="AP336" s="24"/>
      <c r="AQ336" s="93"/>
      <c r="AR336" s="94"/>
      <c r="AS336" s="82"/>
      <c r="AT336" s="82"/>
      <c r="AU336" s="24"/>
      <c r="AV336" s="93"/>
      <c r="AW336" s="94"/>
      <c r="AX336" s="95"/>
      <c r="AY336" s="95"/>
      <c r="AZ336" s="95"/>
      <c r="BA336" s="24"/>
      <c r="BB336" s="9" t="s">
        <v>110</v>
      </c>
      <c r="BC336" s="96" t="s">
        <v>93</v>
      </c>
    </row>
    <row r="337" spans="1:55" ht="15" customHeight="1">
      <c r="A337" s="86">
        <f t="shared" si="23"/>
        <v>335</v>
      </c>
      <c r="B337" s="75" t="s">
        <v>546</v>
      </c>
      <c r="C337" s="9"/>
      <c r="D337" s="76" t="s">
        <v>545</v>
      </c>
      <c r="E337" s="88" t="str">
        <f>_xlfn.IFNA(VLOOKUP($D337,'Route-Details'!$B$2:$X$1048576,'Node Details'!E$1,0),"")</f>
        <v>Airtel</v>
      </c>
      <c r="F337" s="88" t="str">
        <f>_xlfn.IFNA(VLOOKUP($D337,'Route-Details'!$B$2:$X$1048576,'Node Details'!F$1,0),"")</f>
        <v>DARIA</v>
      </c>
      <c r="G337" s="88" t="str">
        <f>_xlfn.IFNA(VLOOKUP($D337,'Route-Details'!$B$2:$X$1048576,'Node Details'!G$1,0),"")</f>
        <v>Chandigarh</v>
      </c>
      <c r="H337" s="88" t="str">
        <f>_xlfn.IFNA(VLOOKUP($D338,'Route-Details'!$B$2:$X$1048576,'Node Details'!H$1,0),"")</f>
        <v>Punjab</v>
      </c>
      <c r="I337" s="88" t="str">
        <f>_xlfn.IFNA(VLOOKUP($D337,'Route-Details'!$B$2:$X$1048576,'Node Details'!I$1,0),"")</f>
        <v>AXW</v>
      </c>
      <c r="J337" s="88" t="str">
        <f>_xlfn.IFNA(VLOOKUP($D337,'Route-Details'!$B$2:$X$1048576,'Node Details'!J$1,0),"")</f>
        <v>AXW</v>
      </c>
      <c r="K337" s="76">
        <v>46112</v>
      </c>
      <c r="L337" s="76">
        <v>46114</v>
      </c>
      <c r="M337" s="89">
        <v>46147</v>
      </c>
      <c r="N337" s="76">
        <v>46114</v>
      </c>
      <c r="Q337" s="86" t="s">
        <v>958</v>
      </c>
      <c r="R337" s="90"/>
      <c r="S337" s="87"/>
      <c r="T337" s="87"/>
      <c r="U337" s="87"/>
      <c r="V337" s="93"/>
      <c r="W337" s="91"/>
      <c r="X337" s="87"/>
      <c r="Y337" s="92"/>
      <c r="Z337" s="90"/>
      <c r="AA337" s="93"/>
      <c r="AB337" s="87"/>
      <c r="AC337" s="91"/>
      <c r="AD337" s="90"/>
      <c r="AE337" s="86"/>
      <c r="AF337" s="82"/>
      <c r="AG337" s="24"/>
      <c r="AH337" s="93"/>
      <c r="AI337" s="87"/>
      <c r="AJ337" s="86"/>
      <c r="AK337" s="81"/>
      <c r="AL337" s="24"/>
      <c r="AM337" s="24"/>
      <c r="AN337" s="81"/>
      <c r="AO337" s="81"/>
      <c r="AP337" s="24"/>
      <c r="AQ337" s="93"/>
      <c r="AR337" s="94"/>
      <c r="AS337" s="82"/>
      <c r="AT337" s="82"/>
      <c r="AU337" s="24"/>
      <c r="AV337" s="93"/>
      <c r="AW337" s="94"/>
      <c r="AX337" s="95"/>
      <c r="AY337" s="95"/>
      <c r="AZ337" s="95"/>
      <c r="BA337" s="24"/>
      <c r="BB337" s="9" t="s">
        <v>547</v>
      </c>
      <c r="BC337" s="96" t="s">
        <v>93</v>
      </c>
    </row>
    <row r="338" spans="1:55" ht="15" customHeight="1">
      <c r="A338" s="86">
        <f t="shared" si="23"/>
        <v>336</v>
      </c>
      <c r="B338" s="75" t="s">
        <v>1112</v>
      </c>
      <c r="C338" s="9"/>
      <c r="D338" s="76" t="s">
        <v>548</v>
      </c>
      <c r="E338" s="88" t="str">
        <f>_xlfn.IFNA(VLOOKUP($D338,'Route-Details'!$B$2:$X$1048576,'Node Details'!E$1,0),"")</f>
        <v>Airtel</v>
      </c>
      <c r="F338" s="88" t="str">
        <f>_xlfn.IFNA(VLOOKUP($D338,'Route-Details'!$B$2:$X$1048576,'Node Details'!F$1,0),"")</f>
        <v>DARIA</v>
      </c>
      <c r="G338" s="88" t="str">
        <f>_xlfn.IFNA(VLOOKUP($D338,'Route-Details'!$B$2:$X$1048576,'Node Details'!G$1,0),"")</f>
        <v>Chandigarh</v>
      </c>
      <c r="H338" s="88" t="str">
        <f>_xlfn.IFNA(VLOOKUP($D339,'Route-Details'!$B$2:$X$1048576,'Node Details'!H$1,0),"")</f>
        <v>Punjab</v>
      </c>
      <c r="I338" s="88" t="str">
        <f>_xlfn.IFNA(VLOOKUP($D338,'Route-Details'!$B$2:$X$1048576,'Node Details'!I$1,0),"")</f>
        <v>AXW</v>
      </c>
      <c r="J338" s="88" t="str">
        <f>_xlfn.IFNA(VLOOKUP($D338,'Route-Details'!$B$2:$X$1048576,'Node Details'!J$1,0),"")</f>
        <v>AXW</v>
      </c>
      <c r="K338" s="76">
        <v>46112</v>
      </c>
      <c r="L338" s="76">
        <v>46114</v>
      </c>
      <c r="M338" s="89">
        <v>46147</v>
      </c>
      <c r="N338" s="76">
        <v>46114</v>
      </c>
      <c r="Q338" s="86" t="s">
        <v>958</v>
      </c>
      <c r="R338" s="90"/>
      <c r="S338" s="87"/>
      <c r="T338" s="87"/>
      <c r="U338" s="87"/>
      <c r="V338" s="93"/>
      <c r="W338" s="91"/>
      <c r="X338" s="87"/>
      <c r="Y338" s="92"/>
      <c r="Z338" s="90"/>
      <c r="AA338" s="93"/>
      <c r="AB338" s="87"/>
      <c r="AC338" s="91"/>
      <c r="AD338" s="90"/>
      <c r="AE338" s="86"/>
      <c r="AF338" s="82"/>
      <c r="AG338" s="24"/>
      <c r="AH338" s="93"/>
      <c r="AI338" s="87"/>
      <c r="AJ338" s="86"/>
      <c r="AK338" s="81"/>
      <c r="AL338" s="24"/>
      <c r="AM338" s="24"/>
      <c r="AN338" s="81"/>
      <c r="AO338" s="81"/>
      <c r="AP338" s="24"/>
      <c r="AQ338" s="93"/>
      <c r="AR338" s="94"/>
      <c r="AS338" s="82"/>
      <c r="AT338" s="82"/>
      <c r="AU338" s="24"/>
      <c r="AV338" s="93"/>
      <c r="AW338" s="94"/>
      <c r="AX338" s="95"/>
      <c r="AY338" s="95"/>
      <c r="AZ338" s="95"/>
      <c r="BA338" s="24"/>
      <c r="BB338" s="9" t="s">
        <v>550</v>
      </c>
      <c r="BC338" s="96" t="s">
        <v>93</v>
      </c>
    </row>
    <row r="339" spans="1:55" ht="15" customHeight="1">
      <c r="A339" s="86">
        <f t="shared" si="23"/>
        <v>337</v>
      </c>
      <c r="B339" s="75" t="s">
        <v>1113</v>
      </c>
      <c r="C339" s="9"/>
      <c r="D339" s="76" t="s">
        <v>548</v>
      </c>
      <c r="E339" s="88" t="str">
        <f>_xlfn.IFNA(VLOOKUP($D339,'Route-Details'!$B$2:$X$1048576,'Node Details'!E$1,0),"")</f>
        <v>Airtel</v>
      </c>
      <c r="F339" s="88" t="str">
        <f>_xlfn.IFNA(VLOOKUP($D339,'Route-Details'!$B$2:$X$1048576,'Node Details'!F$1,0),"")</f>
        <v>DARIA</v>
      </c>
      <c r="G339" s="88" t="str">
        <f>_xlfn.IFNA(VLOOKUP($D339,'Route-Details'!$B$2:$X$1048576,'Node Details'!G$1,0),"")</f>
        <v>Chandigarh</v>
      </c>
      <c r="H339" s="88" t="str">
        <f>_xlfn.IFNA(VLOOKUP($D340,'Route-Details'!$B$2:$X$1048576,'Node Details'!H$1,0),"")</f>
        <v>Punjab</v>
      </c>
      <c r="I339" s="88" t="str">
        <f>_xlfn.IFNA(VLOOKUP($D339,'Route-Details'!$B$2:$X$1048576,'Node Details'!I$1,0),"")</f>
        <v>AXW</v>
      </c>
      <c r="J339" s="88" t="str">
        <f>_xlfn.IFNA(VLOOKUP($D339,'Route-Details'!$B$2:$X$1048576,'Node Details'!J$1,0),"")</f>
        <v>AXW</v>
      </c>
      <c r="K339" s="76">
        <v>46112</v>
      </c>
      <c r="L339" s="76">
        <v>46114</v>
      </c>
      <c r="M339" s="89">
        <v>46147</v>
      </c>
      <c r="N339" s="76">
        <v>46114</v>
      </c>
      <c r="Q339" s="86" t="s">
        <v>958</v>
      </c>
      <c r="R339" s="90"/>
      <c r="S339" s="87"/>
      <c r="T339" s="87"/>
      <c r="U339" s="87"/>
      <c r="V339" s="93"/>
      <c r="W339" s="91"/>
      <c r="X339" s="87"/>
      <c r="Y339" s="92"/>
      <c r="Z339" s="90"/>
      <c r="AA339" s="93"/>
      <c r="AB339" s="87"/>
      <c r="AC339" s="91"/>
      <c r="AD339" s="90"/>
      <c r="AE339" s="86"/>
      <c r="AF339" s="82"/>
      <c r="AG339" s="24"/>
      <c r="AH339" s="93"/>
      <c r="AI339" s="87"/>
      <c r="AJ339" s="86"/>
      <c r="AK339" s="81"/>
      <c r="AL339" s="24"/>
      <c r="AM339" s="24"/>
      <c r="AN339" s="81"/>
      <c r="AO339" s="81"/>
      <c r="AP339" s="24"/>
      <c r="AQ339" s="93"/>
      <c r="AR339" s="94"/>
      <c r="AS339" s="82"/>
      <c r="AT339" s="82"/>
      <c r="AU339" s="24"/>
      <c r="AV339" s="93"/>
      <c r="AW339" s="94"/>
      <c r="AX339" s="95"/>
      <c r="AY339" s="95"/>
      <c r="AZ339" s="95"/>
      <c r="BA339" s="24"/>
      <c r="BB339" s="9" t="s">
        <v>550</v>
      </c>
      <c r="BC339" s="96" t="s">
        <v>93</v>
      </c>
    </row>
    <row r="340" spans="1:55" ht="15" customHeight="1">
      <c r="A340" s="86">
        <f t="shared" si="23"/>
        <v>338</v>
      </c>
      <c r="B340" s="75" t="s">
        <v>549</v>
      </c>
      <c r="C340" s="9"/>
      <c r="D340" s="76" t="s">
        <v>548</v>
      </c>
      <c r="E340" s="88" t="str">
        <f>_xlfn.IFNA(VLOOKUP($D340,'Route-Details'!$B$2:$X$1048576,'Node Details'!E$1,0),"")</f>
        <v>Airtel</v>
      </c>
      <c r="F340" s="88" t="str">
        <f>_xlfn.IFNA(VLOOKUP($D340,'Route-Details'!$B$2:$X$1048576,'Node Details'!F$1,0),"")</f>
        <v>DARIA</v>
      </c>
      <c r="G340" s="88" t="str">
        <f>_xlfn.IFNA(VLOOKUP($D340,'Route-Details'!$B$2:$X$1048576,'Node Details'!G$1,0),"")</f>
        <v>Chandigarh</v>
      </c>
      <c r="H340" s="88" t="str">
        <f>_xlfn.IFNA(VLOOKUP($D341,'Route-Details'!$B$2:$X$1048576,'Node Details'!H$1,0),"")</f>
        <v>Punjab</v>
      </c>
      <c r="I340" s="88" t="str">
        <f>_xlfn.IFNA(VLOOKUP($D340,'Route-Details'!$B$2:$X$1048576,'Node Details'!I$1,0),"")</f>
        <v>AXW</v>
      </c>
      <c r="J340" s="88" t="str">
        <f>_xlfn.IFNA(VLOOKUP($D340,'Route-Details'!$B$2:$X$1048576,'Node Details'!J$1,0),"")</f>
        <v>AXW</v>
      </c>
      <c r="K340" s="76">
        <v>46112</v>
      </c>
      <c r="L340" s="76">
        <v>46114</v>
      </c>
      <c r="M340" s="89">
        <v>46147</v>
      </c>
      <c r="N340" s="76">
        <v>46114</v>
      </c>
      <c r="Q340" s="86" t="s">
        <v>958</v>
      </c>
      <c r="R340" s="90"/>
      <c r="S340" s="87"/>
      <c r="T340" s="87"/>
      <c r="U340" s="87"/>
      <c r="V340" s="93"/>
      <c r="W340" s="91"/>
      <c r="X340" s="87"/>
      <c r="Y340" s="92"/>
      <c r="Z340" s="90"/>
      <c r="AA340" s="93"/>
      <c r="AB340" s="87"/>
      <c r="AC340" s="91"/>
      <c r="AD340" s="90"/>
      <c r="AE340" s="86"/>
      <c r="AF340" s="82"/>
      <c r="AG340" s="24"/>
      <c r="AH340" s="93"/>
      <c r="AI340" s="87"/>
      <c r="AJ340" s="86"/>
      <c r="AK340" s="81"/>
      <c r="AL340" s="24"/>
      <c r="AM340" s="24"/>
      <c r="AN340" s="81"/>
      <c r="AO340" s="81"/>
      <c r="AP340" s="24"/>
      <c r="AQ340" s="93"/>
      <c r="AR340" s="94"/>
      <c r="AS340" s="82"/>
      <c r="AT340" s="82"/>
      <c r="AU340" s="24"/>
      <c r="AV340" s="93"/>
      <c r="AW340" s="94"/>
      <c r="AX340" s="95"/>
      <c r="AY340" s="95"/>
      <c r="AZ340" s="95"/>
      <c r="BA340" s="24"/>
      <c r="BB340" s="9" t="s">
        <v>550</v>
      </c>
      <c r="BC340" s="96" t="s">
        <v>93</v>
      </c>
    </row>
    <row r="341" spans="1:55" ht="15" customHeight="1">
      <c r="A341" s="86">
        <f t="shared" si="23"/>
        <v>339</v>
      </c>
      <c r="B341" s="75" t="s">
        <v>1114</v>
      </c>
      <c r="C341" s="9"/>
      <c r="D341" s="76" t="s">
        <v>551</v>
      </c>
      <c r="E341" s="88" t="str">
        <f>_xlfn.IFNA(VLOOKUP($D341,'Route-Details'!$B$2:$X$1048576,'Node Details'!E$1,0),"")</f>
        <v>Airtel</v>
      </c>
      <c r="F341" s="88" t="str">
        <f>_xlfn.IFNA(VLOOKUP($D341,'Route-Details'!$B$2:$X$1048576,'Node Details'!F$1,0),"")</f>
        <v>DARIA</v>
      </c>
      <c r="G341" s="88" t="str">
        <f>_xlfn.IFNA(VLOOKUP($D341,'Route-Details'!$B$2:$X$1048576,'Node Details'!G$1,0),"")</f>
        <v>Chandigarh</v>
      </c>
      <c r="H341" s="88" t="str">
        <f>_xlfn.IFNA(VLOOKUP($D342,'Route-Details'!$B$2:$X$1048576,'Node Details'!H$1,0),"")</f>
        <v>Punjab</v>
      </c>
      <c r="I341" s="88" t="str">
        <f>_xlfn.IFNA(VLOOKUP($D341,'Route-Details'!$B$2:$X$1048576,'Node Details'!I$1,0),"")</f>
        <v>AXW</v>
      </c>
      <c r="J341" s="88" t="str">
        <f>_xlfn.IFNA(VLOOKUP($D341,'Route-Details'!$B$2:$X$1048576,'Node Details'!J$1,0),"")</f>
        <v>AXW</v>
      </c>
      <c r="K341" s="76">
        <v>46112</v>
      </c>
      <c r="L341" s="76">
        <v>46114</v>
      </c>
      <c r="M341" s="89">
        <v>46147</v>
      </c>
      <c r="N341" s="76">
        <v>46114</v>
      </c>
      <c r="Q341" s="86" t="s">
        <v>958</v>
      </c>
      <c r="R341" s="90"/>
      <c r="S341" s="87"/>
      <c r="T341" s="87"/>
      <c r="U341" s="87"/>
      <c r="V341" s="93"/>
      <c r="W341" s="91"/>
      <c r="X341" s="87"/>
      <c r="Y341" s="92"/>
      <c r="Z341" s="90"/>
      <c r="AA341" s="93"/>
      <c r="AB341" s="87"/>
      <c r="AC341" s="91"/>
      <c r="AD341" s="90"/>
      <c r="AE341" s="86"/>
      <c r="AF341" s="82"/>
      <c r="AG341" s="24"/>
      <c r="AH341" s="93"/>
      <c r="AI341" s="87"/>
      <c r="AJ341" s="86"/>
      <c r="AK341" s="81"/>
      <c r="AL341" s="24"/>
      <c r="AM341" s="24"/>
      <c r="AN341" s="81"/>
      <c r="AO341" s="81"/>
      <c r="AP341" s="24"/>
      <c r="AQ341" s="93"/>
      <c r="AR341" s="94"/>
      <c r="AS341" s="82"/>
      <c r="AT341" s="82"/>
      <c r="AU341" s="24"/>
      <c r="AV341" s="93"/>
      <c r="AW341" s="94"/>
      <c r="AX341" s="95"/>
      <c r="AY341" s="95"/>
      <c r="AZ341" s="95"/>
      <c r="BA341" s="24"/>
      <c r="BB341" s="9" t="s">
        <v>553</v>
      </c>
      <c r="BC341" s="96" t="s">
        <v>93</v>
      </c>
    </row>
    <row r="342" spans="1:55" ht="15" customHeight="1">
      <c r="A342" s="86">
        <f t="shared" si="23"/>
        <v>340</v>
      </c>
      <c r="B342" s="75" t="s">
        <v>1115</v>
      </c>
      <c r="C342" s="9"/>
      <c r="D342" s="76" t="s">
        <v>551</v>
      </c>
      <c r="E342" s="88" t="str">
        <f>_xlfn.IFNA(VLOOKUP($D342,'Route-Details'!$B$2:$X$1048576,'Node Details'!E$1,0),"")</f>
        <v>Airtel</v>
      </c>
      <c r="F342" s="88" t="str">
        <f>_xlfn.IFNA(VLOOKUP($D342,'Route-Details'!$B$2:$X$1048576,'Node Details'!F$1,0),"")</f>
        <v>DARIA</v>
      </c>
      <c r="G342" s="88" t="str">
        <f>_xlfn.IFNA(VLOOKUP($D342,'Route-Details'!$B$2:$X$1048576,'Node Details'!G$1,0),"")</f>
        <v>Chandigarh</v>
      </c>
      <c r="H342" s="88" t="str">
        <f>_xlfn.IFNA(VLOOKUP($D343,'Route-Details'!$B$2:$X$1048576,'Node Details'!H$1,0),"")</f>
        <v>Punjab</v>
      </c>
      <c r="I342" s="88" t="str">
        <f>_xlfn.IFNA(VLOOKUP($D342,'Route-Details'!$B$2:$X$1048576,'Node Details'!I$1,0),"")</f>
        <v>AXW</v>
      </c>
      <c r="J342" s="88" t="str">
        <f>_xlfn.IFNA(VLOOKUP($D342,'Route-Details'!$B$2:$X$1048576,'Node Details'!J$1,0),"")</f>
        <v>AXW</v>
      </c>
      <c r="K342" s="76">
        <v>46112</v>
      </c>
      <c r="L342" s="76">
        <v>46114</v>
      </c>
      <c r="M342" s="89">
        <v>46147</v>
      </c>
      <c r="N342" s="76">
        <v>46114</v>
      </c>
      <c r="Q342" s="86" t="s">
        <v>958</v>
      </c>
      <c r="R342" s="90"/>
      <c r="S342" s="87"/>
      <c r="T342" s="87"/>
      <c r="U342" s="87"/>
      <c r="V342" s="93"/>
      <c r="W342" s="91"/>
      <c r="X342" s="87"/>
      <c r="Y342" s="92"/>
      <c r="Z342" s="90"/>
      <c r="AA342" s="93"/>
      <c r="AB342" s="87"/>
      <c r="AC342" s="91"/>
      <c r="AD342" s="90"/>
      <c r="AE342" s="86"/>
      <c r="AF342" s="82"/>
      <c r="AG342" s="24"/>
      <c r="AH342" s="93"/>
      <c r="AI342" s="87"/>
      <c r="AJ342" s="86"/>
      <c r="AK342" s="81"/>
      <c r="AL342" s="24"/>
      <c r="AM342" s="24"/>
      <c r="AN342" s="81"/>
      <c r="AO342" s="81"/>
      <c r="AP342" s="24"/>
      <c r="AQ342" s="93"/>
      <c r="AR342" s="94"/>
      <c r="AS342" s="82"/>
      <c r="AT342" s="82"/>
      <c r="AU342" s="24"/>
      <c r="AV342" s="93"/>
      <c r="AW342" s="94"/>
      <c r="AX342" s="95"/>
      <c r="AY342" s="95"/>
      <c r="AZ342" s="95"/>
      <c r="BA342" s="24"/>
      <c r="BB342" s="9" t="s">
        <v>553</v>
      </c>
      <c r="BC342" s="96" t="s">
        <v>93</v>
      </c>
    </row>
    <row r="343" spans="1:55" ht="15" customHeight="1">
      <c r="A343" s="86">
        <f t="shared" si="23"/>
        <v>341</v>
      </c>
      <c r="B343" s="75" t="s">
        <v>1116</v>
      </c>
      <c r="C343" s="9"/>
      <c r="D343" s="76" t="s">
        <v>551</v>
      </c>
      <c r="E343" s="88" t="str">
        <f>_xlfn.IFNA(VLOOKUP($D343,'Route-Details'!$B$2:$X$1048576,'Node Details'!E$1,0),"")</f>
        <v>Airtel</v>
      </c>
      <c r="F343" s="88" t="str">
        <f>_xlfn.IFNA(VLOOKUP($D343,'Route-Details'!$B$2:$X$1048576,'Node Details'!F$1,0),"")</f>
        <v>DARIA</v>
      </c>
      <c r="G343" s="88" t="str">
        <f>_xlfn.IFNA(VLOOKUP($D343,'Route-Details'!$B$2:$X$1048576,'Node Details'!G$1,0),"")</f>
        <v>Chandigarh</v>
      </c>
      <c r="H343" s="88" t="str">
        <f>_xlfn.IFNA(VLOOKUP($D344,'Route-Details'!$B$2:$X$1048576,'Node Details'!H$1,0),"")</f>
        <v>Punjab</v>
      </c>
      <c r="I343" s="88" t="str">
        <f>_xlfn.IFNA(VLOOKUP($D343,'Route-Details'!$B$2:$X$1048576,'Node Details'!I$1,0),"")</f>
        <v>AXW</v>
      </c>
      <c r="J343" s="88" t="str">
        <f>_xlfn.IFNA(VLOOKUP($D343,'Route-Details'!$B$2:$X$1048576,'Node Details'!J$1,0),"")</f>
        <v>AXW</v>
      </c>
      <c r="K343" s="76">
        <v>46112</v>
      </c>
      <c r="L343" s="76">
        <v>46114</v>
      </c>
      <c r="M343" s="89">
        <v>46147</v>
      </c>
      <c r="N343" s="76">
        <v>46114</v>
      </c>
      <c r="Q343" s="86" t="s">
        <v>958</v>
      </c>
      <c r="R343" s="90"/>
      <c r="S343" s="87"/>
      <c r="T343" s="87"/>
      <c r="U343" s="87"/>
      <c r="V343" s="93"/>
      <c r="W343" s="91"/>
      <c r="X343" s="87"/>
      <c r="Y343" s="92"/>
      <c r="Z343" s="90"/>
      <c r="AA343" s="93"/>
      <c r="AB343" s="87"/>
      <c r="AC343" s="91"/>
      <c r="AD343" s="90"/>
      <c r="AE343" s="86"/>
      <c r="AF343" s="82"/>
      <c r="AG343" s="24"/>
      <c r="AH343" s="93"/>
      <c r="AI343" s="87"/>
      <c r="AJ343" s="86"/>
      <c r="AK343" s="81"/>
      <c r="AL343" s="24"/>
      <c r="AM343" s="24"/>
      <c r="AN343" s="81"/>
      <c r="AO343" s="81"/>
      <c r="AP343" s="24"/>
      <c r="AQ343" s="93"/>
      <c r="AR343" s="94"/>
      <c r="AS343" s="82"/>
      <c r="AT343" s="82"/>
      <c r="AU343" s="24"/>
      <c r="AV343" s="93"/>
      <c r="AW343" s="94"/>
      <c r="AX343" s="95"/>
      <c r="AY343" s="95"/>
      <c r="AZ343" s="95"/>
      <c r="BA343" s="24"/>
      <c r="BB343" s="9" t="s">
        <v>553</v>
      </c>
      <c r="BC343" s="96" t="s">
        <v>93</v>
      </c>
    </row>
    <row r="344" spans="1:55" ht="15" customHeight="1">
      <c r="A344" s="86">
        <f t="shared" si="23"/>
        <v>342</v>
      </c>
      <c r="B344" s="75" t="s">
        <v>552</v>
      </c>
      <c r="C344" s="9"/>
      <c r="D344" s="76" t="s">
        <v>551</v>
      </c>
      <c r="E344" s="88" t="str">
        <f>_xlfn.IFNA(VLOOKUP($D344,'Route-Details'!$B$2:$X$1048576,'Node Details'!E$1,0),"")</f>
        <v>Airtel</v>
      </c>
      <c r="F344" s="88" t="str">
        <f>_xlfn.IFNA(VLOOKUP($D344,'Route-Details'!$B$2:$X$1048576,'Node Details'!F$1,0),"")</f>
        <v>DARIA</v>
      </c>
      <c r="G344" s="88" t="str">
        <f>_xlfn.IFNA(VLOOKUP($D344,'Route-Details'!$B$2:$X$1048576,'Node Details'!G$1,0),"")</f>
        <v>Chandigarh</v>
      </c>
      <c r="H344" s="88" t="str">
        <f>_xlfn.IFNA(VLOOKUP($D345,'Route-Details'!$B$2:$X$1048576,'Node Details'!H$1,0),"")</f>
        <v>Punjab</v>
      </c>
      <c r="I344" s="88" t="str">
        <f>_xlfn.IFNA(VLOOKUP($D344,'Route-Details'!$B$2:$X$1048576,'Node Details'!I$1,0),"")</f>
        <v>AXW</v>
      </c>
      <c r="J344" s="88" t="str">
        <f>_xlfn.IFNA(VLOOKUP($D344,'Route-Details'!$B$2:$X$1048576,'Node Details'!J$1,0),"")</f>
        <v>AXW</v>
      </c>
      <c r="K344" s="76">
        <v>46112</v>
      </c>
      <c r="L344" s="76">
        <v>46114</v>
      </c>
      <c r="M344" s="89">
        <v>46147</v>
      </c>
      <c r="N344" s="76">
        <v>46114</v>
      </c>
      <c r="Q344" s="86" t="s">
        <v>958</v>
      </c>
      <c r="R344" s="90"/>
      <c r="S344" s="87"/>
      <c r="T344" s="87"/>
      <c r="U344" s="87"/>
      <c r="V344" s="93"/>
      <c r="W344" s="91"/>
      <c r="X344" s="87"/>
      <c r="Y344" s="92"/>
      <c r="Z344" s="90"/>
      <c r="AA344" s="93"/>
      <c r="AB344" s="87"/>
      <c r="AC344" s="91"/>
      <c r="AD344" s="90"/>
      <c r="AE344" s="86"/>
      <c r="AF344" s="82"/>
      <c r="AG344" s="24"/>
      <c r="AH344" s="93"/>
      <c r="AI344" s="87"/>
      <c r="AJ344" s="86"/>
      <c r="AK344" s="81"/>
      <c r="AL344" s="24"/>
      <c r="AM344" s="24"/>
      <c r="AN344" s="81"/>
      <c r="AO344" s="81"/>
      <c r="AP344" s="24"/>
      <c r="AQ344" s="93"/>
      <c r="AR344" s="94"/>
      <c r="AS344" s="82"/>
      <c r="AT344" s="82"/>
      <c r="AU344" s="24"/>
      <c r="AV344" s="93"/>
      <c r="AW344" s="94"/>
      <c r="AX344" s="95"/>
      <c r="AY344" s="95"/>
      <c r="AZ344" s="95"/>
      <c r="BA344" s="24"/>
      <c r="BB344" s="9" t="s">
        <v>553</v>
      </c>
      <c r="BC344" s="96" t="s">
        <v>93</v>
      </c>
    </row>
    <row r="345" spans="1:55" ht="15" customHeight="1">
      <c r="A345" s="86">
        <f t="shared" si="23"/>
        <v>343</v>
      </c>
      <c r="B345" s="75" t="s">
        <v>387</v>
      </c>
      <c r="C345" s="9"/>
      <c r="D345" s="76" t="s">
        <v>385</v>
      </c>
      <c r="E345" s="88" t="str">
        <f>_xlfn.IFNA(VLOOKUP($D345,'Route-Details'!$B$2:$X$1048576,'Node Details'!E$1,0),"")</f>
        <v>Airtel</v>
      </c>
      <c r="F345" s="88" t="str">
        <f>_xlfn.IFNA(VLOOKUP($D345,'Route-Details'!$B$2:$X$1048576,'Node Details'!F$1,0),"")</f>
        <v>DARIA</v>
      </c>
      <c r="G345" s="88" t="str">
        <f>_xlfn.IFNA(VLOOKUP($D345,'Route-Details'!$B$2:$X$1048576,'Node Details'!G$1,0),"")</f>
        <v>Chandigarh</v>
      </c>
      <c r="H345" s="88" t="str">
        <f>_xlfn.IFNA(VLOOKUP($D346,'Route-Details'!$B$2:$X$1048576,'Node Details'!H$1,0),"")</f>
        <v>Punjab</v>
      </c>
      <c r="I345" s="88" t="str">
        <f>_xlfn.IFNA(VLOOKUP($D345,'Route-Details'!$B$2:$X$1048576,'Node Details'!I$1,0),"")</f>
        <v>AXW</v>
      </c>
      <c r="J345" s="88" t="str">
        <f>_xlfn.IFNA(VLOOKUP($D345,'Route-Details'!$B$2:$X$1048576,'Node Details'!J$1,0),"")</f>
        <v>AXW</v>
      </c>
      <c r="K345" s="76">
        <v>46112</v>
      </c>
      <c r="L345" s="76">
        <v>46114</v>
      </c>
      <c r="M345" s="89">
        <v>46147</v>
      </c>
      <c r="N345" s="76">
        <v>46114</v>
      </c>
      <c r="Q345" s="86" t="s">
        <v>958</v>
      </c>
      <c r="R345" s="90"/>
      <c r="S345" s="87"/>
      <c r="T345" s="87"/>
      <c r="U345" s="87"/>
      <c r="V345" s="93"/>
      <c r="W345" s="91"/>
      <c r="X345" s="87"/>
      <c r="Y345" s="92"/>
      <c r="Z345" s="90"/>
      <c r="AA345" s="93"/>
      <c r="AB345" s="87"/>
      <c r="AC345" s="91"/>
      <c r="AD345" s="90"/>
      <c r="AE345" s="86"/>
      <c r="AF345" s="82"/>
      <c r="AG345" s="24"/>
      <c r="AH345" s="93"/>
      <c r="AI345" s="87"/>
      <c r="AJ345" s="86"/>
      <c r="AK345" s="81"/>
      <c r="AL345" s="24"/>
      <c r="AM345" s="24"/>
      <c r="AN345" s="81"/>
      <c r="AO345" s="81"/>
      <c r="AP345" s="24"/>
      <c r="AQ345" s="93"/>
      <c r="AR345" s="94"/>
      <c r="AS345" s="82"/>
      <c r="AT345" s="82"/>
      <c r="AU345" s="24"/>
      <c r="AV345" s="93"/>
      <c r="AW345" s="94"/>
      <c r="AX345" s="95"/>
      <c r="AY345" s="95"/>
      <c r="AZ345" s="95"/>
      <c r="BA345" s="24"/>
      <c r="BB345" s="9" t="s">
        <v>110</v>
      </c>
      <c r="BC345" s="96" t="s">
        <v>93</v>
      </c>
    </row>
    <row r="346" spans="1:55" ht="15" customHeight="1">
      <c r="A346" s="86">
        <f t="shared" si="23"/>
        <v>344</v>
      </c>
      <c r="B346" s="75" t="s">
        <v>555</v>
      </c>
      <c r="C346" s="9"/>
      <c r="D346" s="76" t="s">
        <v>554</v>
      </c>
      <c r="E346" s="88" t="str">
        <f>_xlfn.IFNA(VLOOKUP($D346,'Route-Details'!$B$2:$X$1048576,'Node Details'!E$1,0),"")</f>
        <v>Airtel</v>
      </c>
      <c r="F346" s="88" t="str">
        <f>_xlfn.IFNA(VLOOKUP($D346,'Route-Details'!$B$2:$X$1048576,'Node Details'!F$1,0),"")</f>
        <v>DARIA</v>
      </c>
      <c r="G346" s="88" t="str">
        <f>_xlfn.IFNA(VLOOKUP($D346,'Route-Details'!$B$2:$X$1048576,'Node Details'!G$1,0),"")</f>
        <v>Chandigarh</v>
      </c>
      <c r="H346" s="88" t="str">
        <f>_xlfn.IFNA(VLOOKUP($D347,'Route-Details'!$B$2:$X$1048576,'Node Details'!H$1,0),"")</f>
        <v>Punjab</v>
      </c>
      <c r="I346" s="88" t="str">
        <f>_xlfn.IFNA(VLOOKUP($D346,'Route-Details'!$B$2:$X$1048576,'Node Details'!I$1,0),"")</f>
        <v>AXW</v>
      </c>
      <c r="J346" s="88" t="str">
        <f>_xlfn.IFNA(VLOOKUP($D346,'Route-Details'!$B$2:$X$1048576,'Node Details'!J$1,0),"")</f>
        <v>AXW</v>
      </c>
      <c r="K346" s="76">
        <v>46112</v>
      </c>
      <c r="L346" s="76">
        <v>46114</v>
      </c>
      <c r="M346" s="89">
        <v>46147</v>
      </c>
      <c r="N346" s="76">
        <v>46114</v>
      </c>
      <c r="Q346" s="86" t="s">
        <v>958</v>
      </c>
      <c r="R346" s="90"/>
      <c r="S346" s="87"/>
      <c r="T346" s="87"/>
      <c r="U346" s="87"/>
      <c r="V346" s="93"/>
      <c r="W346" s="91"/>
      <c r="X346" s="87"/>
      <c r="Y346" s="92"/>
      <c r="Z346" s="90"/>
      <c r="AA346" s="93"/>
      <c r="AB346" s="87"/>
      <c r="AC346" s="91"/>
      <c r="AD346" s="90"/>
      <c r="AE346" s="86"/>
      <c r="AF346" s="82"/>
      <c r="AG346" s="24"/>
      <c r="AH346" s="93"/>
      <c r="AI346" s="87"/>
      <c r="AJ346" s="86"/>
      <c r="AK346" s="81"/>
      <c r="AL346" s="24"/>
      <c r="AM346" s="24"/>
      <c r="AN346" s="81"/>
      <c r="AO346" s="81"/>
      <c r="AP346" s="24"/>
      <c r="AQ346" s="93"/>
      <c r="AR346" s="94"/>
      <c r="AS346" s="82"/>
      <c r="AT346" s="82"/>
      <c r="AU346" s="24"/>
      <c r="AV346" s="93"/>
      <c r="AW346" s="94"/>
      <c r="AX346" s="95"/>
      <c r="AY346" s="95"/>
      <c r="AZ346" s="95"/>
      <c r="BA346" s="24"/>
      <c r="BB346" s="9" t="s">
        <v>556</v>
      </c>
      <c r="BC346" s="96" t="s">
        <v>93</v>
      </c>
    </row>
    <row r="347" spans="1:55" ht="15" customHeight="1">
      <c r="A347" s="86">
        <f t="shared" si="23"/>
        <v>345</v>
      </c>
      <c r="B347" s="75" t="s">
        <v>1117</v>
      </c>
      <c r="C347" s="9"/>
      <c r="D347" s="76" t="s">
        <v>557</v>
      </c>
      <c r="E347" s="88" t="str">
        <f>_xlfn.IFNA(VLOOKUP($D347,'Route-Details'!$B$2:$X$1048576,'Node Details'!E$1,0),"")</f>
        <v>Airtel</v>
      </c>
      <c r="F347" s="88" t="str">
        <f>_xlfn.IFNA(VLOOKUP($D347,'Route-Details'!$B$2:$X$1048576,'Node Details'!F$1,0),"")</f>
        <v>DARIA</v>
      </c>
      <c r="G347" s="88" t="str">
        <f>_xlfn.IFNA(VLOOKUP($D347,'Route-Details'!$B$2:$X$1048576,'Node Details'!G$1,0),"")</f>
        <v>Chandigarh</v>
      </c>
      <c r="H347" s="88" t="str">
        <f>_xlfn.IFNA(VLOOKUP($D348,'Route-Details'!$B$2:$X$1048576,'Node Details'!H$1,0),"")</f>
        <v>Punjab</v>
      </c>
      <c r="I347" s="88" t="str">
        <f>_xlfn.IFNA(VLOOKUP($D347,'Route-Details'!$B$2:$X$1048576,'Node Details'!I$1,0),"")</f>
        <v>AXW</v>
      </c>
      <c r="J347" s="88" t="str">
        <f>_xlfn.IFNA(VLOOKUP($D347,'Route-Details'!$B$2:$X$1048576,'Node Details'!J$1,0),"")</f>
        <v>AXW</v>
      </c>
      <c r="K347" s="76">
        <v>46112</v>
      </c>
      <c r="L347" s="76">
        <v>46114</v>
      </c>
      <c r="M347" s="89">
        <v>46147</v>
      </c>
      <c r="N347" s="76">
        <v>46114</v>
      </c>
      <c r="Q347" s="86" t="s">
        <v>958</v>
      </c>
      <c r="R347" s="90"/>
      <c r="S347" s="87"/>
      <c r="T347" s="87"/>
      <c r="U347" s="87"/>
      <c r="V347" s="93"/>
      <c r="W347" s="91"/>
      <c r="X347" s="87"/>
      <c r="Y347" s="92"/>
      <c r="Z347" s="90"/>
      <c r="AA347" s="93"/>
      <c r="AB347" s="87"/>
      <c r="AC347" s="91"/>
      <c r="AD347" s="90"/>
      <c r="AE347" s="86"/>
      <c r="AF347" s="82"/>
      <c r="AG347" s="24"/>
      <c r="AH347" s="93"/>
      <c r="AI347" s="87"/>
      <c r="AJ347" s="86"/>
      <c r="AK347" s="81"/>
      <c r="AL347" s="24"/>
      <c r="AM347" s="24"/>
      <c r="AN347" s="81"/>
      <c r="AO347" s="81"/>
      <c r="AP347" s="24"/>
      <c r="AQ347" s="93"/>
      <c r="AR347" s="94"/>
      <c r="AS347" s="82"/>
      <c r="AT347" s="82"/>
      <c r="AU347" s="24"/>
      <c r="AV347" s="93"/>
      <c r="AW347" s="94"/>
      <c r="AX347" s="95"/>
      <c r="AY347" s="95"/>
      <c r="AZ347" s="95"/>
      <c r="BA347" s="24"/>
      <c r="BB347" s="9" t="s">
        <v>559</v>
      </c>
      <c r="BC347" s="96" t="s">
        <v>93</v>
      </c>
    </row>
    <row r="348" spans="1:55" ht="15" customHeight="1">
      <c r="A348" s="86">
        <f t="shared" si="23"/>
        <v>346</v>
      </c>
      <c r="B348" s="75" t="s">
        <v>1118</v>
      </c>
      <c r="C348" s="9"/>
      <c r="D348" s="76" t="s">
        <v>557</v>
      </c>
      <c r="E348" s="88" t="str">
        <f>_xlfn.IFNA(VLOOKUP($D348,'Route-Details'!$B$2:$X$1048576,'Node Details'!E$1,0),"")</f>
        <v>Airtel</v>
      </c>
      <c r="F348" s="88" t="str">
        <f>_xlfn.IFNA(VLOOKUP($D348,'Route-Details'!$B$2:$X$1048576,'Node Details'!F$1,0),"")</f>
        <v>DARIA</v>
      </c>
      <c r="G348" s="88" t="str">
        <f>_xlfn.IFNA(VLOOKUP($D348,'Route-Details'!$B$2:$X$1048576,'Node Details'!G$1,0),"")</f>
        <v>Chandigarh</v>
      </c>
      <c r="H348" s="88" t="str">
        <f>_xlfn.IFNA(VLOOKUP($D349,'Route-Details'!$B$2:$X$1048576,'Node Details'!H$1,0),"")</f>
        <v>Punjab</v>
      </c>
      <c r="I348" s="88" t="str">
        <f>_xlfn.IFNA(VLOOKUP($D348,'Route-Details'!$B$2:$X$1048576,'Node Details'!I$1,0),"")</f>
        <v>AXW</v>
      </c>
      <c r="J348" s="88" t="str">
        <f>_xlfn.IFNA(VLOOKUP($D348,'Route-Details'!$B$2:$X$1048576,'Node Details'!J$1,0),"")</f>
        <v>AXW</v>
      </c>
      <c r="K348" s="76">
        <v>46112</v>
      </c>
      <c r="L348" s="76">
        <v>46114</v>
      </c>
      <c r="M348" s="89">
        <v>46147</v>
      </c>
      <c r="N348" s="76">
        <v>46114</v>
      </c>
      <c r="Q348" s="86" t="s">
        <v>958</v>
      </c>
      <c r="R348" s="90"/>
      <c r="S348" s="87"/>
      <c r="T348" s="87"/>
      <c r="U348" s="87"/>
      <c r="V348" s="93"/>
      <c r="W348" s="91"/>
      <c r="X348" s="87"/>
      <c r="Y348" s="92"/>
      <c r="Z348" s="90"/>
      <c r="AA348" s="93"/>
      <c r="AB348" s="87"/>
      <c r="AC348" s="91"/>
      <c r="AD348" s="90"/>
      <c r="AE348" s="86"/>
      <c r="AF348" s="82"/>
      <c r="AG348" s="24"/>
      <c r="AH348" s="93"/>
      <c r="AI348" s="87"/>
      <c r="AJ348" s="86"/>
      <c r="AK348" s="81"/>
      <c r="AL348" s="24"/>
      <c r="AM348" s="24"/>
      <c r="AN348" s="81"/>
      <c r="AO348" s="81"/>
      <c r="AP348" s="24"/>
      <c r="AQ348" s="93"/>
      <c r="AR348" s="94"/>
      <c r="AS348" s="82"/>
      <c r="AT348" s="82"/>
      <c r="AU348" s="24"/>
      <c r="AV348" s="93"/>
      <c r="AW348" s="94"/>
      <c r="AX348" s="95"/>
      <c r="AY348" s="95"/>
      <c r="AZ348" s="95"/>
      <c r="BA348" s="24"/>
      <c r="BB348" s="9" t="s">
        <v>559</v>
      </c>
      <c r="BC348" s="96" t="s">
        <v>93</v>
      </c>
    </row>
    <row r="349" spans="1:55" ht="15" customHeight="1">
      <c r="A349" s="86">
        <f t="shared" si="23"/>
        <v>347</v>
      </c>
      <c r="B349" s="75" t="s">
        <v>561</v>
      </c>
      <c r="C349" s="9"/>
      <c r="D349" s="76" t="s">
        <v>557</v>
      </c>
      <c r="E349" s="88" t="str">
        <f>_xlfn.IFNA(VLOOKUP($D349,'Route-Details'!$B$2:$X$1048576,'Node Details'!E$1,0),"")</f>
        <v>Airtel</v>
      </c>
      <c r="F349" s="88" t="str">
        <f>_xlfn.IFNA(VLOOKUP($D349,'Route-Details'!$B$2:$X$1048576,'Node Details'!F$1,0),"")</f>
        <v>DARIA</v>
      </c>
      <c r="G349" s="88" t="str">
        <f>_xlfn.IFNA(VLOOKUP($D349,'Route-Details'!$B$2:$X$1048576,'Node Details'!G$1,0),"")</f>
        <v>Chandigarh</v>
      </c>
      <c r="H349" s="88" t="str">
        <f>_xlfn.IFNA(VLOOKUP($D350,'Route-Details'!$B$2:$X$1048576,'Node Details'!H$1,0),"")</f>
        <v>Punjab</v>
      </c>
      <c r="I349" s="88" t="str">
        <f>_xlfn.IFNA(VLOOKUP($D349,'Route-Details'!$B$2:$X$1048576,'Node Details'!I$1,0),"")</f>
        <v>AXW</v>
      </c>
      <c r="J349" s="88" t="str">
        <f>_xlfn.IFNA(VLOOKUP($D349,'Route-Details'!$B$2:$X$1048576,'Node Details'!J$1,0),"")</f>
        <v>AXW</v>
      </c>
      <c r="K349" s="76">
        <v>46112</v>
      </c>
      <c r="L349" s="76">
        <v>46114</v>
      </c>
      <c r="M349" s="89">
        <v>46147</v>
      </c>
      <c r="N349" s="76">
        <v>46114</v>
      </c>
      <c r="Q349" s="86" t="s">
        <v>958</v>
      </c>
      <c r="R349" s="90"/>
      <c r="S349" s="87"/>
      <c r="T349" s="87"/>
      <c r="U349" s="87"/>
      <c r="V349" s="93"/>
      <c r="W349" s="91"/>
      <c r="X349" s="87"/>
      <c r="Y349" s="92"/>
      <c r="Z349" s="90"/>
      <c r="AA349" s="93"/>
      <c r="AB349" s="87"/>
      <c r="AC349" s="91"/>
      <c r="AD349" s="90"/>
      <c r="AE349" s="86"/>
      <c r="AF349" s="82"/>
      <c r="AG349" s="24"/>
      <c r="AH349" s="93"/>
      <c r="AI349" s="87"/>
      <c r="AJ349" s="86"/>
      <c r="AK349" s="81"/>
      <c r="AL349" s="24"/>
      <c r="AM349" s="24"/>
      <c r="AN349" s="81"/>
      <c r="AO349" s="81"/>
      <c r="AP349" s="24"/>
      <c r="AQ349" s="93"/>
      <c r="AR349" s="94"/>
      <c r="AS349" s="82"/>
      <c r="AT349" s="82"/>
      <c r="AU349" s="24"/>
      <c r="AV349" s="93"/>
      <c r="AW349" s="94"/>
      <c r="AX349" s="95"/>
      <c r="AY349" s="95"/>
      <c r="AZ349" s="95"/>
      <c r="BA349" s="24"/>
      <c r="BB349" s="9" t="s">
        <v>559</v>
      </c>
      <c r="BC349" s="96" t="s">
        <v>93</v>
      </c>
    </row>
    <row r="350" spans="1:55" ht="15" customHeight="1">
      <c r="A350" s="86">
        <f t="shared" si="23"/>
        <v>348</v>
      </c>
      <c r="B350" s="75" t="s">
        <v>1119</v>
      </c>
      <c r="C350" s="9"/>
      <c r="D350" s="76" t="s">
        <v>560</v>
      </c>
      <c r="E350" s="88" t="str">
        <f>_xlfn.IFNA(VLOOKUP($D350,'Route-Details'!$B$2:$X$1048576,'Node Details'!E$1,0),"")</f>
        <v>Airtel</v>
      </c>
      <c r="F350" s="88" t="str">
        <f>_xlfn.IFNA(VLOOKUP($D350,'Route-Details'!$B$2:$X$1048576,'Node Details'!F$1,0),"")</f>
        <v>DARIA</v>
      </c>
      <c r="G350" s="88" t="str">
        <f>_xlfn.IFNA(VLOOKUP($D350,'Route-Details'!$B$2:$X$1048576,'Node Details'!G$1,0),"")</f>
        <v>Chandigarh</v>
      </c>
      <c r="H350" s="88" t="str">
        <f>_xlfn.IFNA(VLOOKUP($D351,'Route-Details'!$B$2:$X$1048576,'Node Details'!H$1,0),"")</f>
        <v>Punjab</v>
      </c>
      <c r="I350" s="88" t="str">
        <f>_xlfn.IFNA(VLOOKUP($D350,'Route-Details'!$B$2:$X$1048576,'Node Details'!I$1,0),"")</f>
        <v>AXW</v>
      </c>
      <c r="J350" s="88" t="str">
        <f>_xlfn.IFNA(VLOOKUP($D350,'Route-Details'!$B$2:$X$1048576,'Node Details'!J$1,0),"")</f>
        <v>AXW</v>
      </c>
      <c r="K350" s="76">
        <v>46112</v>
      </c>
      <c r="L350" s="76">
        <v>46114</v>
      </c>
      <c r="M350" s="89">
        <v>46147</v>
      </c>
      <c r="N350" s="76">
        <v>46114</v>
      </c>
      <c r="Q350" s="86" t="s">
        <v>958</v>
      </c>
      <c r="R350" s="90"/>
      <c r="S350" s="87"/>
      <c r="T350" s="87"/>
      <c r="U350" s="87"/>
      <c r="V350" s="93"/>
      <c r="W350" s="91"/>
      <c r="X350" s="87"/>
      <c r="Y350" s="92"/>
      <c r="Z350" s="90"/>
      <c r="AA350" s="93"/>
      <c r="AB350" s="87"/>
      <c r="AC350" s="91"/>
      <c r="AD350" s="90"/>
      <c r="AE350" s="86"/>
      <c r="AF350" s="82"/>
      <c r="AG350" s="24"/>
      <c r="AH350" s="93"/>
      <c r="AI350" s="87"/>
      <c r="AJ350" s="86"/>
      <c r="AK350" s="81"/>
      <c r="AL350" s="24"/>
      <c r="AM350" s="24"/>
      <c r="AN350" s="81"/>
      <c r="AO350" s="81"/>
      <c r="AP350" s="24"/>
      <c r="AQ350" s="93"/>
      <c r="AR350" s="94"/>
      <c r="AS350" s="82"/>
      <c r="AT350" s="82"/>
      <c r="AU350" s="24"/>
      <c r="AV350" s="93"/>
      <c r="AW350" s="94"/>
      <c r="AX350" s="95"/>
      <c r="AY350" s="95"/>
      <c r="AZ350" s="95"/>
      <c r="BA350" s="24"/>
      <c r="BB350" s="9" t="s">
        <v>563</v>
      </c>
      <c r="BC350" s="96" t="s">
        <v>93</v>
      </c>
    </row>
    <row r="351" spans="1:55" ht="15" customHeight="1">
      <c r="A351" s="86">
        <f t="shared" si="23"/>
        <v>349</v>
      </c>
      <c r="B351" s="75" t="s">
        <v>562</v>
      </c>
      <c r="C351" s="9"/>
      <c r="D351" s="76" t="s">
        <v>560</v>
      </c>
      <c r="E351" s="88" t="str">
        <f>_xlfn.IFNA(VLOOKUP($D351,'Route-Details'!$B$2:$X$1048576,'Node Details'!E$1,0),"")</f>
        <v>Airtel</v>
      </c>
      <c r="F351" s="88" t="str">
        <f>_xlfn.IFNA(VLOOKUP($D351,'Route-Details'!$B$2:$X$1048576,'Node Details'!F$1,0),"")</f>
        <v>DARIA</v>
      </c>
      <c r="G351" s="88" t="str">
        <f>_xlfn.IFNA(VLOOKUP($D351,'Route-Details'!$B$2:$X$1048576,'Node Details'!G$1,0),"")</f>
        <v>Chandigarh</v>
      </c>
      <c r="H351" s="88" t="str">
        <f>_xlfn.IFNA(VLOOKUP($D352,'Route-Details'!$B$2:$X$1048576,'Node Details'!H$1,0),"")</f>
        <v>Punjab</v>
      </c>
      <c r="I351" s="88" t="str">
        <f>_xlfn.IFNA(VLOOKUP($D351,'Route-Details'!$B$2:$X$1048576,'Node Details'!I$1,0),"")</f>
        <v>AXW</v>
      </c>
      <c r="J351" s="88" t="str">
        <f>_xlfn.IFNA(VLOOKUP($D351,'Route-Details'!$B$2:$X$1048576,'Node Details'!J$1,0),"")</f>
        <v>AXW</v>
      </c>
      <c r="K351" s="76">
        <v>46112</v>
      </c>
      <c r="L351" s="76">
        <v>46114</v>
      </c>
      <c r="M351" s="89">
        <v>46147</v>
      </c>
      <c r="N351" s="76">
        <v>46114</v>
      </c>
      <c r="Q351" s="86" t="s">
        <v>958</v>
      </c>
      <c r="R351" s="90"/>
      <c r="S351" s="87"/>
      <c r="T351" s="87"/>
      <c r="U351" s="87"/>
      <c r="V351" s="93"/>
      <c r="W351" s="91"/>
      <c r="X351" s="87"/>
      <c r="Y351" s="92"/>
      <c r="Z351" s="90"/>
      <c r="AA351" s="93"/>
      <c r="AB351" s="87"/>
      <c r="AC351" s="91"/>
      <c r="AD351" s="90"/>
      <c r="AE351" s="86"/>
      <c r="AF351" s="82"/>
      <c r="AG351" s="24"/>
      <c r="AH351" s="93"/>
      <c r="AI351" s="87"/>
      <c r="AJ351" s="86"/>
      <c r="AK351" s="81"/>
      <c r="AL351" s="24"/>
      <c r="AM351" s="24"/>
      <c r="AN351" s="81"/>
      <c r="AO351" s="81"/>
      <c r="AP351" s="24"/>
      <c r="AQ351" s="93"/>
      <c r="AR351" s="94"/>
      <c r="AS351" s="82"/>
      <c r="AT351" s="82"/>
      <c r="AU351" s="24"/>
      <c r="AV351" s="93"/>
      <c r="AW351" s="94"/>
      <c r="AX351" s="95"/>
      <c r="AY351" s="95"/>
      <c r="AZ351" s="95"/>
      <c r="BA351" s="24"/>
      <c r="BB351" s="9" t="s">
        <v>563</v>
      </c>
      <c r="BC351" s="96" t="s">
        <v>93</v>
      </c>
    </row>
    <row r="352" spans="1:55" ht="15" customHeight="1">
      <c r="A352" s="86">
        <f t="shared" si="23"/>
        <v>350</v>
      </c>
      <c r="B352" s="75" t="s">
        <v>558</v>
      </c>
      <c r="C352" s="9"/>
      <c r="D352" s="76" t="s">
        <v>557</v>
      </c>
      <c r="E352" s="88" t="str">
        <f>_xlfn.IFNA(VLOOKUP($D352,'Route-Details'!$B$2:$X$1048576,'Node Details'!E$1,0),"")</f>
        <v>Airtel</v>
      </c>
      <c r="F352" s="88" t="str">
        <f>_xlfn.IFNA(VLOOKUP($D352,'Route-Details'!$B$2:$X$1048576,'Node Details'!F$1,0),"")</f>
        <v>DARIA</v>
      </c>
      <c r="G352" s="88" t="str">
        <f>_xlfn.IFNA(VLOOKUP($D352,'Route-Details'!$B$2:$X$1048576,'Node Details'!G$1,0),"")</f>
        <v>Chandigarh</v>
      </c>
      <c r="H352" s="88" t="str">
        <f>_xlfn.IFNA(VLOOKUP($D353,'Route-Details'!$B$2:$X$1048576,'Node Details'!H$1,0),"")</f>
        <v>Punjab</v>
      </c>
      <c r="I352" s="88" t="str">
        <f>_xlfn.IFNA(VLOOKUP($D352,'Route-Details'!$B$2:$X$1048576,'Node Details'!I$1,0),"")</f>
        <v>AXW</v>
      </c>
      <c r="J352" s="88" t="str">
        <f>_xlfn.IFNA(VLOOKUP($D352,'Route-Details'!$B$2:$X$1048576,'Node Details'!J$1,0),"")</f>
        <v>AXW</v>
      </c>
      <c r="K352" s="76">
        <v>46112</v>
      </c>
      <c r="L352" s="76">
        <v>46114</v>
      </c>
      <c r="M352" s="89">
        <v>46147</v>
      </c>
      <c r="N352" s="76">
        <v>46114</v>
      </c>
      <c r="Q352" s="86" t="s">
        <v>958</v>
      </c>
      <c r="R352" s="90"/>
      <c r="S352" s="87"/>
      <c r="T352" s="87"/>
      <c r="U352" s="87"/>
      <c r="V352" s="93"/>
      <c r="W352" s="91"/>
      <c r="X352" s="87"/>
      <c r="Y352" s="92"/>
      <c r="Z352" s="90"/>
      <c r="AA352" s="93"/>
      <c r="AB352" s="87"/>
      <c r="AC352" s="91"/>
      <c r="AD352" s="90"/>
      <c r="AE352" s="86"/>
      <c r="AF352" s="82"/>
      <c r="AG352" s="24"/>
      <c r="AH352" s="93"/>
      <c r="AI352" s="87"/>
      <c r="AJ352" s="86"/>
      <c r="AK352" s="81"/>
      <c r="AL352" s="24"/>
      <c r="AM352" s="24"/>
      <c r="AN352" s="81"/>
      <c r="AO352" s="81"/>
      <c r="AP352" s="24"/>
      <c r="AQ352" s="93"/>
      <c r="AR352" s="94"/>
      <c r="AS352" s="82"/>
      <c r="AT352" s="82"/>
      <c r="AU352" s="24"/>
      <c r="AV352" s="93"/>
      <c r="AW352" s="94"/>
      <c r="AX352" s="95"/>
      <c r="AY352" s="95"/>
      <c r="AZ352" s="95"/>
      <c r="BA352" s="24"/>
      <c r="BB352" s="9" t="s">
        <v>559</v>
      </c>
      <c r="BC352" s="96" t="s">
        <v>93</v>
      </c>
    </row>
    <row r="353" spans="1:55" ht="15" customHeight="1">
      <c r="A353" s="86">
        <f t="shared" si="23"/>
        <v>351</v>
      </c>
      <c r="B353" s="75" t="s">
        <v>1120</v>
      </c>
      <c r="C353" s="9"/>
      <c r="D353" s="76" t="s">
        <v>564</v>
      </c>
      <c r="E353" s="88" t="str">
        <f>_xlfn.IFNA(VLOOKUP($D353,'Route-Details'!$B$2:$X$1048576,'Node Details'!E$1,0),"")</f>
        <v>Airtel</v>
      </c>
      <c r="F353" s="88" t="str">
        <f>_xlfn.IFNA(VLOOKUP($D353,'Route-Details'!$B$2:$X$1048576,'Node Details'!F$1,0),"")</f>
        <v>DARIA</v>
      </c>
      <c r="G353" s="88" t="str">
        <f>_xlfn.IFNA(VLOOKUP($D353,'Route-Details'!$B$2:$X$1048576,'Node Details'!G$1,0),"")</f>
        <v>Chandigarh</v>
      </c>
      <c r="H353" s="88" t="str">
        <f>_xlfn.IFNA(VLOOKUP($D354,'Route-Details'!$B$2:$X$1048576,'Node Details'!H$1,0),"")</f>
        <v>Punjab</v>
      </c>
      <c r="I353" s="88" t="str">
        <f>_xlfn.IFNA(VLOOKUP($D353,'Route-Details'!$B$2:$X$1048576,'Node Details'!I$1,0),"")</f>
        <v>AXW</v>
      </c>
      <c r="J353" s="88" t="str">
        <f>_xlfn.IFNA(VLOOKUP($D353,'Route-Details'!$B$2:$X$1048576,'Node Details'!J$1,0),"")</f>
        <v>AXW</v>
      </c>
      <c r="K353" s="76">
        <v>46112</v>
      </c>
      <c r="L353" s="76">
        <v>46114</v>
      </c>
      <c r="M353" s="89">
        <v>46147</v>
      </c>
      <c r="N353" s="76">
        <v>46114</v>
      </c>
      <c r="Q353" s="86" t="s">
        <v>958</v>
      </c>
      <c r="R353" s="90"/>
      <c r="S353" s="87"/>
      <c r="T353" s="87"/>
      <c r="U353" s="87"/>
      <c r="V353" s="93"/>
      <c r="W353" s="91"/>
      <c r="X353" s="87"/>
      <c r="Y353" s="92"/>
      <c r="Z353" s="90"/>
      <c r="AA353" s="93"/>
      <c r="AB353" s="87"/>
      <c r="AC353" s="91"/>
      <c r="AD353" s="90"/>
      <c r="AE353" s="86"/>
      <c r="AF353" s="82"/>
      <c r="AG353" s="24"/>
      <c r="AH353" s="93"/>
      <c r="AI353" s="87"/>
      <c r="AJ353" s="86"/>
      <c r="AK353" s="81"/>
      <c r="AL353" s="24"/>
      <c r="AM353" s="24"/>
      <c r="AN353" s="81"/>
      <c r="AO353" s="81"/>
      <c r="AP353" s="24"/>
      <c r="AQ353" s="93"/>
      <c r="AR353" s="94"/>
      <c r="AS353" s="82"/>
      <c r="AT353" s="82"/>
      <c r="AU353" s="24"/>
      <c r="AV353" s="93"/>
      <c r="AW353" s="94"/>
      <c r="AX353" s="95"/>
      <c r="AY353" s="95"/>
      <c r="AZ353" s="95"/>
      <c r="BA353" s="24"/>
      <c r="BB353" s="9" t="s">
        <v>566</v>
      </c>
      <c r="BC353" s="96" t="s">
        <v>93</v>
      </c>
    </row>
    <row r="354" spans="1:55" ht="15" customHeight="1">
      <c r="A354" s="86">
        <f t="shared" si="23"/>
        <v>352</v>
      </c>
      <c r="B354" s="75" t="s">
        <v>565</v>
      </c>
      <c r="C354" s="9"/>
      <c r="D354" s="76" t="s">
        <v>564</v>
      </c>
      <c r="E354" s="88" t="str">
        <f>_xlfn.IFNA(VLOOKUP($D354,'Route-Details'!$B$2:$X$1048576,'Node Details'!E$1,0),"")</f>
        <v>Airtel</v>
      </c>
      <c r="F354" s="88" t="str">
        <f>_xlfn.IFNA(VLOOKUP($D354,'Route-Details'!$B$2:$X$1048576,'Node Details'!F$1,0),"")</f>
        <v>DARIA</v>
      </c>
      <c r="G354" s="88" t="str">
        <f>_xlfn.IFNA(VLOOKUP($D354,'Route-Details'!$B$2:$X$1048576,'Node Details'!G$1,0),"")</f>
        <v>Chandigarh</v>
      </c>
      <c r="H354" s="88" t="str">
        <f>_xlfn.IFNA(VLOOKUP($D355,'Route-Details'!$B$2:$X$1048576,'Node Details'!H$1,0),"")</f>
        <v>Punjab</v>
      </c>
      <c r="I354" s="88" t="str">
        <f>_xlfn.IFNA(VLOOKUP($D354,'Route-Details'!$B$2:$X$1048576,'Node Details'!I$1,0),"")</f>
        <v>AXW</v>
      </c>
      <c r="J354" s="88" t="str">
        <f>_xlfn.IFNA(VLOOKUP($D354,'Route-Details'!$B$2:$X$1048576,'Node Details'!J$1,0),"")</f>
        <v>AXW</v>
      </c>
      <c r="K354" s="76">
        <v>46112</v>
      </c>
      <c r="L354" s="76">
        <v>46114</v>
      </c>
      <c r="M354" s="89">
        <v>46147</v>
      </c>
      <c r="N354" s="76">
        <v>46114</v>
      </c>
      <c r="Q354" s="86" t="s">
        <v>958</v>
      </c>
      <c r="R354" s="90"/>
      <c r="S354" s="87"/>
      <c r="T354" s="87"/>
      <c r="U354" s="87"/>
      <c r="V354" s="93"/>
      <c r="W354" s="91"/>
      <c r="X354" s="87"/>
      <c r="Y354" s="92"/>
      <c r="Z354" s="90"/>
      <c r="AA354" s="93"/>
      <c r="AB354" s="87"/>
      <c r="AC354" s="91"/>
      <c r="AD354" s="90"/>
      <c r="AE354" s="86"/>
      <c r="AF354" s="82"/>
      <c r="AG354" s="24"/>
      <c r="AH354" s="93"/>
      <c r="AI354" s="87"/>
      <c r="AJ354" s="86"/>
      <c r="AK354" s="81"/>
      <c r="AL354" s="24"/>
      <c r="AM354" s="24"/>
      <c r="AN354" s="81"/>
      <c r="AO354" s="81"/>
      <c r="AP354" s="24"/>
      <c r="AQ354" s="93"/>
      <c r="AR354" s="94"/>
      <c r="AS354" s="82"/>
      <c r="AT354" s="82"/>
      <c r="AU354" s="24"/>
      <c r="AV354" s="93"/>
      <c r="AW354" s="94"/>
      <c r="AX354" s="95"/>
      <c r="AY354" s="95"/>
      <c r="AZ354" s="95"/>
      <c r="BA354" s="24"/>
      <c r="BB354" s="9" t="s">
        <v>566</v>
      </c>
      <c r="BC354" s="96" t="s">
        <v>93</v>
      </c>
    </row>
    <row r="355" spans="1:55" ht="15" customHeight="1">
      <c r="A355" s="86">
        <f t="shared" si="23"/>
        <v>353</v>
      </c>
      <c r="B355" s="75" t="s">
        <v>1121</v>
      </c>
      <c r="C355" s="9"/>
      <c r="D355" s="76" t="s">
        <v>567</v>
      </c>
      <c r="E355" s="88" t="str">
        <f>_xlfn.IFNA(VLOOKUP($D355,'Route-Details'!$B$2:$X$1048576,'Node Details'!E$1,0),"")</f>
        <v>Airtel</v>
      </c>
      <c r="F355" s="88" t="str">
        <f>_xlfn.IFNA(VLOOKUP($D355,'Route-Details'!$B$2:$X$1048576,'Node Details'!F$1,0),"")</f>
        <v>DARIA</v>
      </c>
      <c r="G355" s="88" t="str">
        <f>_xlfn.IFNA(VLOOKUP($D355,'Route-Details'!$B$2:$X$1048576,'Node Details'!G$1,0),"")</f>
        <v>Chandigarh</v>
      </c>
      <c r="H355" s="88" t="str">
        <f>_xlfn.IFNA(VLOOKUP($D356,'Route-Details'!$B$2:$X$1048576,'Node Details'!H$1,0),"")</f>
        <v>Punjab</v>
      </c>
      <c r="I355" s="88" t="str">
        <f>_xlfn.IFNA(VLOOKUP($D355,'Route-Details'!$B$2:$X$1048576,'Node Details'!I$1,0),"")</f>
        <v>AXW</v>
      </c>
      <c r="J355" s="88" t="str">
        <f>_xlfn.IFNA(VLOOKUP($D355,'Route-Details'!$B$2:$X$1048576,'Node Details'!J$1,0),"")</f>
        <v>AXW</v>
      </c>
      <c r="K355" s="76">
        <v>46112</v>
      </c>
      <c r="L355" s="76">
        <v>46114</v>
      </c>
      <c r="M355" s="89">
        <v>46147</v>
      </c>
      <c r="N355" s="76">
        <v>46114</v>
      </c>
      <c r="Q355" s="86" t="s">
        <v>958</v>
      </c>
      <c r="R355" s="90"/>
      <c r="S355" s="87"/>
      <c r="T355" s="87"/>
      <c r="U355" s="87"/>
      <c r="V355" s="93"/>
      <c r="W355" s="91"/>
      <c r="X355" s="87"/>
      <c r="Y355" s="92"/>
      <c r="Z355" s="90"/>
      <c r="AA355" s="93"/>
      <c r="AB355" s="87"/>
      <c r="AC355" s="91"/>
      <c r="AD355" s="90"/>
      <c r="AE355" s="86"/>
      <c r="AF355" s="82"/>
      <c r="AG355" s="24"/>
      <c r="AH355" s="93"/>
      <c r="AI355" s="87"/>
      <c r="AJ355" s="86"/>
      <c r="AK355" s="81"/>
      <c r="AL355" s="24"/>
      <c r="AM355" s="24"/>
      <c r="AN355" s="81"/>
      <c r="AO355" s="81"/>
      <c r="AP355" s="24"/>
      <c r="AQ355" s="93"/>
      <c r="AR355" s="94"/>
      <c r="AS355" s="82"/>
      <c r="AT355" s="82"/>
      <c r="AU355" s="24"/>
      <c r="AV355" s="93"/>
      <c r="AW355" s="94"/>
      <c r="AX355" s="95"/>
      <c r="AY355" s="95"/>
      <c r="AZ355" s="95"/>
      <c r="BA355" s="24"/>
      <c r="BB355" s="9" t="s">
        <v>569</v>
      </c>
      <c r="BC355" s="96" t="s">
        <v>93</v>
      </c>
    </row>
    <row r="356" spans="1:55" ht="15" customHeight="1">
      <c r="A356" s="86">
        <f t="shared" si="23"/>
        <v>354</v>
      </c>
      <c r="B356" s="75" t="s">
        <v>568</v>
      </c>
      <c r="C356" s="9"/>
      <c r="D356" s="76" t="s">
        <v>567</v>
      </c>
      <c r="E356" s="88" t="str">
        <f>_xlfn.IFNA(VLOOKUP($D356,'Route-Details'!$B$2:$X$1048576,'Node Details'!E$1,0),"")</f>
        <v>Airtel</v>
      </c>
      <c r="F356" s="88" t="str">
        <f>_xlfn.IFNA(VLOOKUP($D356,'Route-Details'!$B$2:$X$1048576,'Node Details'!F$1,0),"")</f>
        <v>DARIA</v>
      </c>
      <c r="G356" s="88" t="str">
        <f>_xlfn.IFNA(VLOOKUP($D356,'Route-Details'!$B$2:$X$1048576,'Node Details'!G$1,0),"")</f>
        <v>Chandigarh</v>
      </c>
      <c r="H356" s="88" t="str">
        <f>_xlfn.IFNA(VLOOKUP($D357,'Route-Details'!$B$2:$X$1048576,'Node Details'!H$1,0),"")</f>
        <v>Punjab</v>
      </c>
      <c r="I356" s="88" t="str">
        <f>_xlfn.IFNA(VLOOKUP($D356,'Route-Details'!$B$2:$X$1048576,'Node Details'!I$1,0),"")</f>
        <v>AXW</v>
      </c>
      <c r="J356" s="88" t="str">
        <f>_xlfn.IFNA(VLOOKUP($D356,'Route-Details'!$B$2:$X$1048576,'Node Details'!J$1,0),"")</f>
        <v>AXW</v>
      </c>
      <c r="K356" s="76">
        <v>46112</v>
      </c>
      <c r="L356" s="76">
        <v>46114</v>
      </c>
      <c r="M356" s="89">
        <v>46147</v>
      </c>
      <c r="N356" s="76">
        <v>46114</v>
      </c>
      <c r="Q356" s="86" t="s">
        <v>958</v>
      </c>
      <c r="R356" s="90"/>
      <c r="S356" s="87"/>
      <c r="T356" s="87"/>
      <c r="U356" s="87"/>
      <c r="V356" s="93"/>
      <c r="W356" s="91"/>
      <c r="X356" s="87"/>
      <c r="Y356" s="92"/>
      <c r="Z356" s="90"/>
      <c r="AA356" s="93"/>
      <c r="AB356" s="87"/>
      <c r="AC356" s="91"/>
      <c r="AD356" s="90"/>
      <c r="AE356" s="86"/>
      <c r="AF356" s="82"/>
      <c r="AG356" s="24"/>
      <c r="AH356" s="93"/>
      <c r="AI356" s="87"/>
      <c r="AJ356" s="86"/>
      <c r="AK356" s="81"/>
      <c r="AL356" s="24"/>
      <c r="AM356" s="24"/>
      <c r="AN356" s="81"/>
      <c r="AO356" s="81"/>
      <c r="AP356" s="24"/>
      <c r="AQ356" s="93"/>
      <c r="AR356" s="94"/>
      <c r="AS356" s="82"/>
      <c r="AT356" s="82"/>
      <c r="AU356" s="24"/>
      <c r="AV356" s="93"/>
      <c r="AW356" s="94"/>
      <c r="AX356" s="95"/>
      <c r="AY356" s="95"/>
      <c r="AZ356" s="95"/>
      <c r="BA356" s="24"/>
      <c r="BB356" s="9" t="s">
        <v>569</v>
      </c>
      <c r="BC356" s="96" t="s">
        <v>93</v>
      </c>
    </row>
    <row r="357" spans="1:55" ht="15" customHeight="1">
      <c r="A357" s="86">
        <f t="shared" si="23"/>
        <v>355</v>
      </c>
      <c r="B357" s="75" t="s">
        <v>571</v>
      </c>
      <c r="C357" s="9"/>
      <c r="D357" s="76" t="s">
        <v>570</v>
      </c>
      <c r="E357" s="88" t="str">
        <f>_xlfn.IFNA(VLOOKUP($D357,'Route-Details'!$B$2:$X$1048576,'Node Details'!E$1,0),"")</f>
        <v>Airtel</v>
      </c>
      <c r="F357" s="88" t="str">
        <f>_xlfn.IFNA(VLOOKUP($D357,'Route-Details'!$B$2:$X$1048576,'Node Details'!F$1,0),"")</f>
        <v>DARIA</v>
      </c>
      <c r="G357" s="88" t="str">
        <f>_xlfn.IFNA(VLOOKUP($D357,'Route-Details'!$B$2:$X$1048576,'Node Details'!G$1,0),"")</f>
        <v>Chandigarh</v>
      </c>
      <c r="H357" s="88" t="str">
        <f>_xlfn.IFNA(VLOOKUP($D358,'Route-Details'!$B$2:$X$1048576,'Node Details'!H$1,0),"")</f>
        <v>Punjab</v>
      </c>
      <c r="I357" s="88" t="str">
        <f>_xlfn.IFNA(VLOOKUP($D357,'Route-Details'!$B$2:$X$1048576,'Node Details'!I$1,0),"")</f>
        <v>AXW</v>
      </c>
      <c r="J357" s="88" t="str">
        <f>_xlfn.IFNA(VLOOKUP($D357,'Route-Details'!$B$2:$X$1048576,'Node Details'!J$1,0),"")</f>
        <v>AXW</v>
      </c>
      <c r="K357" s="76">
        <v>46112</v>
      </c>
      <c r="L357" s="76">
        <v>46114</v>
      </c>
      <c r="M357" s="89">
        <v>46147</v>
      </c>
      <c r="N357" s="76">
        <v>46114</v>
      </c>
      <c r="Q357" s="86" t="s">
        <v>958</v>
      </c>
      <c r="R357" s="90"/>
      <c r="S357" s="87"/>
      <c r="T357" s="87"/>
      <c r="U357" s="87"/>
      <c r="V357" s="93"/>
      <c r="W357" s="91"/>
      <c r="X357" s="87"/>
      <c r="Y357" s="92"/>
      <c r="Z357" s="90"/>
      <c r="AA357" s="93"/>
      <c r="AB357" s="87"/>
      <c r="AC357" s="91"/>
      <c r="AD357" s="90"/>
      <c r="AE357" s="86"/>
      <c r="AF357" s="82"/>
      <c r="AG357" s="24"/>
      <c r="AH357" s="93"/>
      <c r="AI357" s="87"/>
      <c r="AJ357" s="86"/>
      <c r="AK357" s="81"/>
      <c r="AL357" s="24"/>
      <c r="AM357" s="24"/>
      <c r="AN357" s="81"/>
      <c r="AO357" s="81"/>
      <c r="AP357" s="24"/>
      <c r="AQ357" s="93"/>
      <c r="AR357" s="94"/>
      <c r="AS357" s="82"/>
      <c r="AT357" s="82"/>
      <c r="AU357" s="24"/>
      <c r="AV357" s="93"/>
      <c r="AW357" s="94"/>
      <c r="AX357" s="95"/>
      <c r="AY357" s="95"/>
      <c r="AZ357" s="95"/>
      <c r="BA357" s="24"/>
      <c r="BB357" s="9" t="s">
        <v>572</v>
      </c>
      <c r="BC357" s="96" t="s">
        <v>93</v>
      </c>
    </row>
    <row r="358" spans="1:55" ht="15" customHeight="1">
      <c r="A358" s="86">
        <f t="shared" si="23"/>
        <v>356</v>
      </c>
      <c r="B358" s="75" t="s">
        <v>574</v>
      </c>
      <c r="C358" s="9"/>
      <c r="D358" s="76" t="s">
        <v>388</v>
      </c>
      <c r="E358" s="88" t="str">
        <f>_xlfn.IFNA(VLOOKUP($D358,'Route-Details'!$B$2:$X$1048576,'Node Details'!E$1,0),"")</f>
        <v>Airtel</v>
      </c>
      <c r="F358" s="88" t="str">
        <f>_xlfn.IFNA(VLOOKUP($D358,'Route-Details'!$B$2:$X$1048576,'Node Details'!F$1,0),"")</f>
        <v>DARIA</v>
      </c>
      <c r="G358" s="88" t="str">
        <f>_xlfn.IFNA(VLOOKUP($D358,'Route-Details'!$B$2:$X$1048576,'Node Details'!G$1,0),"")</f>
        <v>Chandigarh</v>
      </c>
      <c r="H358" s="88" t="str">
        <f>_xlfn.IFNA(VLOOKUP($D359,'Route-Details'!$B$2:$X$1048576,'Node Details'!H$1,0),"")</f>
        <v>Punjab</v>
      </c>
      <c r="I358" s="88" t="str">
        <f>_xlfn.IFNA(VLOOKUP($D358,'Route-Details'!$B$2:$X$1048576,'Node Details'!I$1,0),"")</f>
        <v>AXW</v>
      </c>
      <c r="J358" s="88" t="str">
        <f>_xlfn.IFNA(VLOOKUP($D358,'Route-Details'!$B$2:$X$1048576,'Node Details'!J$1,0),"")</f>
        <v>AXW</v>
      </c>
      <c r="K358" s="76">
        <v>46112</v>
      </c>
      <c r="L358" s="76">
        <v>46114</v>
      </c>
      <c r="M358" s="89">
        <v>46147</v>
      </c>
      <c r="N358" s="76">
        <v>46114</v>
      </c>
      <c r="Q358" s="86" t="s">
        <v>958</v>
      </c>
      <c r="R358" s="90"/>
      <c r="S358" s="87"/>
      <c r="T358" s="87"/>
      <c r="U358" s="87"/>
      <c r="V358" s="93"/>
      <c r="W358" s="91"/>
      <c r="X358" s="87"/>
      <c r="Y358" s="92"/>
      <c r="Z358" s="90"/>
      <c r="AA358" s="93"/>
      <c r="AB358" s="87"/>
      <c r="AC358" s="91"/>
      <c r="AD358" s="90"/>
      <c r="AE358" s="86"/>
      <c r="AF358" s="82"/>
      <c r="AG358" s="24"/>
      <c r="AH358" s="93"/>
      <c r="AI358" s="87"/>
      <c r="AJ358" s="86"/>
      <c r="AK358" s="81"/>
      <c r="AL358" s="24"/>
      <c r="AM358" s="24"/>
      <c r="AN358" s="81"/>
      <c r="AO358" s="81"/>
      <c r="AP358" s="24"/>
      <c r="AQ358" s="93"/>
      <c r="AR358" s="94"/>
      <c r="AS358" s="82"/>
      <c r="AT358" s="82"/>
      <c r="AU358" s="24"/>
      <c r="AV358" s="93"/>
      <c r="AW358" s="94"/>
      <c r="AX358" s="95"/>
      <c r="AY358" s="95"/>
      <c r="AZ358" s="95"/>
      <c r="BA358" s="24"/>
      <c r="BB358" s="9" t="s">
        <v>114</v>
      </c>
      <c r="BC358" s="96" t="s">
        <v>93</v>
      </c>
    </row>
    <row r="359" spans="1:55" ht="15" customHeight="1">
      <c r="A359" s="86">
        <f t="shared" si="23"/>
        <v>357</v>
      </c>
      <c r="B359" s="75" t="s">
        <v>575</v>
      </c>
      <c r="C359" s="9"/>
      <c r="D359" s="76" t="s">
        <v>573</v>
      </c>
      <c r="E359" s="88" t="str">
        <f>_xlfn.IFNA(VLOOKUP($D359,'Route-Details'!$B$2:$X$1048576,'Node Details'!E$1,0),"")</f>
        <v>Airtel</v>
      </c>
      <c r="F359" s="88" t="str">
        <f>_xlfn.IFNA(VLOOKUP($D359,'Route-Details'!$B$2:$X$1048576,'Node Details'!F$1,0),"")</f>
        <v>DARIA</v>
      </c>
      <c r="G359" s="88" t="str">
        <f>_xlfn.IFNA(VLOOKUP($D359,'Route-Details'!$B$2:$X$1048576,'Node Details'!G$1,0),"")</f>
        <v>Chandigarh</v>
      </c>
      <c r="H359" s="88" t="str">
        <f>_xlfn.IFNA(VLOOKUP($D360,'Route-Details'!$B$2:$X$1048576,'Node Details'!H$1,0),"")</f>
        <v>Punjab</v>
      </c>
      <c r="I359" s="88" t="str">
        <f>_xlfn.IFNA(VLOOKUP($D359,'Route-Details'!$B$2:$X$1048576,'Node Details'!I$1,0),"")</f>
        <v>AXW</v>
      </c>
      <c r="J359" s="88" t="str">
        <f>_xlfn.IFNA(VLOOKUP($D359,'Route-Details'!$B$2:$X$1048576,'Node Details'!J$1,0),"")</f>
        <v>AXW</v>
      </c>
      <c r="K359" s="76">
        <v>46112</v>
      </c>
      <c r="L359" s="76">
        <v>46114</v>
      </c>
      <c r="M359" s="89">
        <v>46147</v>
      </c>
      <c r="N359" s="76">
        <v>46114</v>
      </c>
      <c r="Q359" s="86" t="s">
        <v>958</v>
      </c>
      <c r="R359" s="90"/>
      <c r="S359" s="87"/>
      <c r="T359" s="87"/>
      <c r="U359" s="87"/>
      <c r="V359" s="93"/>
      <c r="W359" s="91"/>
      <c r="X359" s="87"/>
      <c r="Y359" s="92"/>
      <c r="Z359" s="90"/>
      <c r="AA359" s="93"/>
      <c r="AB359" s="87"/>
      <c r="AC359" s="91"/>
      <c r="AD359" s="90"/>
      <c r="AE359" s="86"/>
      <c r="AF359" s="82"/>
      <c r="AG359" s="24"/>
      <c r="AH359" s="93"/>
      <c r="AI359" s="87"/>
      <c r="AJ359" s="86"/>
      <c r="AK359" s="81"/>
      <c r="AL359" s="24"/>
      <c r="AM359" s="24"/>
      <c r="AN359" s="81"/>
      <c r="AO359" s="81"/>
      <c r="AP359" s="24"/>
      <c r="AQ359" s="93"/>
      <c r="AR359" s="94"/>
      <c r="AS359" s="82"/>
      <c r="AT359" s="82"/>
      <c r="AU359" s="24"/>
      <c r="AV359" s="93"/>
      <c r="AW359" s="94"/>
      <c r="AX359" s="95"/>
      <c r="AY359" s="95"/>
      <c r="AZ359" s="95"/>
      <c r="BA359" s="24"/>
      <c r="BB359" s="9" t="s">
        <v>576</v>
      </c>
      <c r="BC359" s="96" t="s">
        <v>93</v>
      </c>
    </row>
    <row r="360" spans="1:55" ht="15" customHeight="1">
      <c r="A360" s="86">
        <f t="shared" si="23"/>
        <v>358</v>
      </c>
      <c r="B360" s="75" t="s">
        <v>578</v>
      </c>
      <c r="C360" s="9"/>
      <c r="D360" s="76" t="s">
        <v>577</v>
      </c>
      <c r="E360" s="88" t="str">
        <f>_xlfn.IFNA(VLOOKUP($D360,'Route-Details'!$B$2:$X$1048576,'Node Details'!E$1,0),"")</f>
        <v>Airtel</v>
      </c>
      <c r="F360" s="88" t="str">
        <f>_xlfn.IFNA(VLOOKUP($D360,'Route-Details'!$B$2:$X$1048576,'Node Details'!F$1,0),"")</f>
        <v>DARIA</v>
      </c>
      <c r="G360" s="88" t="str">
        <f>_xlfn.IFNA(VLOOKUP($D360,'Route-Details'!$B$2:$X$1048576,'Node Details'!G$1,0),"")</f>
        <v>Chandigarh</v>
      </c>
      <c r="H360" s="88" t="str">
        <f>_xlfn.IFNA(VLOOKUP($D361,'Route-Details'!$B$2:$X$1048576,'Node Details'!H$1,0),"")</f>
        <v>Punjab</v>
      </c>
      <c r="I360" s="88" t="str">
        <f>_xlfn.IFNA(VLOOKUP($D360,'Route-Details'!$B$2:$X$1048576,'Node Details'!I$1,0),"")</f>
        <v>AXW</v>
      </c>
      <c r="J360" s="88" t="str">
        <f>_xlfn.IFNA(VLOOKUP($D360,'Route-Details'!$B$2:$X$1048576,'Node Details'!J$1,0),"")</f>
        <v>AXW</v>
      </c>
      <c r="K360" s="76">
        <v>46112</v>
      </c>
      <c r="L360" s="76">
        <v>46114</v>
      </c>
      <c r="M360" s="89">
        <v>46147</v>
      </c>
      <c r="N360" s="76">
        <v>46114</v>
      </c>
      <c r="Q360" s="86" t="s">
        <v>958</v>
      </c>
      <c r="R360" s="90"/>
      <c r="S360" s="87"/>
      <c r="T360" s="87"/>
      <c r="U360" s="87"/>
      <c r="V360" s="93"/>
      <c r="W360" s="91"/>
      <c r="X360" s="87"/>
      <c r="Y360" s="92"/>
      <c r="Z360" s="90"/>
      <c r="AA360" s="93"/>
      <c r="AB360" s="87"/>
      <c r="AC360" s="91"/>
      <c r="AD360" s="90"/>
      <c r="AE360" s="86"/>
      <c r="AF360" s="82"/>
      <c r="AG360" s="24"/>
      <c r="AH360" s="93"/>
      <c r="AI360" s="87"/>
      <c r="AJ360" s="86"/>
      <c r="AK360" s="81"/>
      <c r="AL360" s="24"/>
      <c r="AM360" s="24"/>
      <c r="AN360" s="81"/>
      <c r="AO360" s="81"/>
      <c r="AP360" s="24"/>
      <c r="AQ360" s="93"/>
      <c r="AR360" s="94"/>
      <c r="AS360" s="82"/>
      <c r="AT360" s="82"/>
      <c r="AU360" s="24"/>
      <c r="AV360" s="93"/>
      <c r="AW360" s="94"/>
      <c r="AX360" s="95"/>
      <c r="AY360" s="95"/>
      <c r="AZ360" s="95"/>
      <c r="BA360" s="24"/>
      <c r="BB360" s="9" t="s">
        <v>579</v>
      </c>
      <c r="BC360" s="96" t="s">
        <v>93</v>
      </c>
    </row>
    <row r="361" spans="1:55" ht="15" customHeight="1">
      <c r="A361" s="86">
        <f t="shared" si="23"/>
        <v>359</v>
      </c>
      <c r="B361" s="75" t="s">
        <v>587</v>
      </c>
      <c r="C361" s="9"/>
      <c r="D361" s="76" t="s">
        <v>580</v>
      </c>
      <c r="E361" s="88" t="str">
        <f>_xlfn.IFNA(VLOOKUP($D361,'Route-Details'!$B$2:$X$1048576,'Node Details'!E$1,0),"")</f>
        <v>Airtel</v>
      </c>
      <c r="F361" s="88" t="str">
        <f>_xlfn.IFNA(VLOOKUP($D361,'Route-Details'!$B$2:$X$1048576,'Node Details'!F$1,0),"")</f>
        <v>DARIA</v>
      </c>
      <c r="G361" s="88" t="str">
        <f>_xlfn.IFNA(VLOOKUP($D361,'Route-Details'!$B$2:$X$1048576,'Node Details'!G$1,0),"")</f>
        <v>Chandigarh</v>
      </c>
      <c r="H361" s="88" t="str">
        <f>_xlfn.IFNA(VLOOKUP($D362,'Route-Details'!$B$2:$X$1048576,'Node Details'!H$1,0),"")</f>
        <v>Punjab</v>
      </c>
      <c r="I361" s="88" t="str">
        <f>_xlfn.IFNA(VLOOKUP($D361,'Route-Details'!$B$2:$X$1048576,'Node Details'!I$1,0),"")</f>
        <v>AXW</v>
      </c>
      <c r="J361" s="88" t="str">
        <f>_xlfn.IFNA(VLOOKUP($D361,'Route-Details'!$B$2:$X$1048576,'Node Details'!J$1,0),"")</f>
        <v>AXW</v>
      </c>
      <c r="K361" s="76">
        <v>46112</v>
      </c>
      <c r="L361" s="76">
        <v>46114</v>
      </c>
      <c r="M361" s="89">
        <v>46147</v>
      </c>
      <c r="N361" s="76">
        <v>46114</v>
      </c>
      <c r="Q361" s="86" t="s">
        <v>958</v>
      </c>
      <c r="R361" s="90"/>
      <c r="S361" s="87"/>
      <c r="T361" s="87"/>
      <c r="U361" s="87"/>
      <c r="V361" s="93"/>
      <c r="W361" s="91"/>
      <c r="X361" s="87"/>
      <c r="Y361" s="92"/>
      <c r="Z361" s="90"/>
      <c r="AA361" s="93"/>
      <c r="AB361" s="87"/>
      <c r="AC361" s="91"/>
      <c r="AD361" s="90"/>
      <c r="AE361" s="86"/>
      <c r="AF361" s="82"/>
      <c r="AG361" s="24"/>
      <c r="AH361" s="93"/>
      <c r="AI361" s="87"/>
      <c r="AJ361" s="86"/>
      <c r="AK361" s="81"/>
      <c r="AL361" s="24"/>
      <c r="AM361" s="24"/>
      <c r="AN361" s="81"/>
      <c r="AO361" s="81"/>
      <c r="AP361" s="24"/>
      <c r="AQ361" s="93"/>
      <c r="AR361" s="94"/>
      <c r="AS361" s="82"/>
      <c r="AT361" s="82"/>
      <c r="AU361" s="24"/>
      <c r="AV361" s="93"/>
      <c r="AW361" s="94"/>
      <c r="AX361" s="95"/>
      <c r="AY361" s="95"/>
      <c r="AZ361" s="95"/>
      <c r="BA361" s="24"/>
      <c r="BB361" s="9" t="s">
        <v>582</v>
      </c>
      <c r="BC361" s="96" t="s">
        <v>93</v>
      </c>
    </row>
    <row r="362" spans="1:55" ht="15" customHeight="1">
      <c r="A362" s="86">
        <f t="shared" si="23"/>
        <v>360</v>
      </c>
      <c r="B362" s="75" t="s">
        <v>1122</v>
      </c>
      <c r="C362" s="9"/>
      <c r="D362" s="76" t="s">
        <v>580</v>
      </c>
      <c r="E362" s="88" t="str">
        <f>_xlfn.IFNA(VLOOKUP($D362,'Route-Details'!$B$2:$X$1048576,'Node Details'!E$1,0),"")</f>
        <v>Airtel</v>
      </c>
      <c r="F362" s="88" t="str">
        <f>_xlfn.IFNA(VLOOKUP($D362,'Route-Details'!$B$2:$X$1048576,'Node Details'!F$1,0),"")</f>
        <v>DARIA</v>
      </c>
      <c r="G362" s="88" t="str">
        <f>_xlfn.IFNA(VLOOKUP($D362,'Route-Details'!$B$2:$X$1048576,'Node Details'!G$1,0),"")</f>
        <v>Chandigarh</v>
      </c>
      <c r="H362" s="88" t="str">
        <f>_xlfn.IFNA(VLOOKUP($D363,'Route-Details'!$B$2:$X$1048576,'Node Details'!H$1,0),"")</f>
        <v>Punjab</v>
      </c>
      <c r="I362" s="88" t="str">
        <f>_xlfn.IFNA(VLOOKUP($D362,'Route-Details'!$B$2:$X$1048576,'Node Details'!I$1,0),"")</f>
        <v>AXW</v>
      </c>
      <c r="J362" s="88" t="str">
        <f>_xlfn.IFNA(VLOOKUP($D362,'Route-Details'!$B$2:$X$1048576,'Node Details'!J$1,0),"")</f>
        <v>AXW</v>
      </c>
      <c r="K362" s="76">
        <v>46112</v>
      </c>
      <c r="L362" s="76">
        <v>46114</v>
      </c>
      <c r="M362" s="89">
        <v>46147</v>
      </c>
      <c r="N362" s="76">
        <v>46114</v>
      </c>
      <c r="Q362" s="86" t="s">
        <v>958</v>
      </c>
      <c r="R362" s="90"/>
      <c r="S362" s="87"/>
      <c r="T362" s="87"/>
      <c r="U362" s="87"/>
      <c r="V362" s="93"/>
      <c r="W362" s="91"/>
      <c r="X362" s="87"/>
      <c r="Y362" s="92"/>
      <c r="Z362" s="90"/>
      <c r="AA362" s="93"/>
      <c r="AB362" s="87"/>
      <c r="AC362" s="91"/>
      <c r="AD362" s="90"/>
      <c r="AE362" s="86"/>
      <c r="AF362" s="82"/>
      <c r="AG362" s="24"/>
      <c r="AH362" s="93"/>
      <c r="AI362" s="87"/>
      <c r="AJ362" s="86"/>
      <c r="AK362" s="81"/>
      <c r="AL362" s="24"/>
      <c r="AM362" s="24"/>
      <c r="AN362" s="81"/>
      <c r="AO362" s="81"/>
      <c r="AP362" s="24"/>
      <c r="AQ362" s="93"/>
      <c r="AR362" s="94"/>
      <c r="AS362" s="82"/>
      <c r="AT362" s="82"/>
      <c r="AU362" s="24"/>
      <c r="AV362" s="93"/>
      <c r="AW362" s="94"/>
      <c r="AX362" s="95"/>
      <c r="AY362" s="95"/>
      <c r="AZ362" s="95"/>
      <c r="BA362" s="24"/>
      <c r="BB362" s="9" t="s">
        <v>582</v>
      </c>
      <c r="BC362" s="96" t="s">
        <v>93</v>
      </c>
    </row>
    <row r="363" spans="1:55" ht="15" customHeight="1">
      <c r="A363" s="86">
        <f t="shared" si="23"/>
        <v>361</v>
      </c>
      <c r="B363" s="75" t="s">
        <v>581</v>
      </c>
      <c r="C363" s="9"/>
      <c r="D363" s="76" t="s">
        <v>580</v>
      </c>
      <c r="E363" s="88" t="str">
        <f>_xlfn.IFNA(VLOOKUP($D363,'Route-Details'!$B$2:$X$1048576,'Node Details'!E$1,0),"")</f>
        <v>Airtel</v>
      </c>
      <c r="F363" s="88" t="str">
        <f>_xlfn.IFNA(VLOOKUP($D363,'Route-Details'!$B$2:$X$1048576,'Node Details'!F$1,0),"")</f>
        <v>DARIA</v>
      </c>
      <c r="G363" s="88" t="str">
        <f>_xlfn.IFNA(VLOOKUP($D363,'Route-Details'!$B$2:$X$1048576,'Node Details'!G$1,0),"")</f>
        <v>Chandigarh</v>
      </c>
      <c r="H363" s="88" t="str">
        <f>_xlfn.IFNA(VLOOKUP($D364,'Route-Details'!$B$2:$X$1048576,'Node Details'!H$1,0),"")</f>
        <v>Punjab</v>
      </c>
      <c r="I363" s="88" t="str">
        <f>_xlfn.IFNA(VLOOKUP($D363,'Route-Details'!$B$2:$X$1048576,'Node Details'!I$1,0),"")</f>
        <v>AXW</v>
      </c>
      <c r="J363" s="88" t="str">
        <f>_xlfn.IFNA(VLOOKUP($D363,'Route-Details'!$B$2:$X$1048576,'Node Details'!J$1,0),"")</f>
        <v>AXW</v>
      </c>
      <c r="K363" s="76">
        <v>46112</v>
      </c>
      <c r="L363" s="76">
        <v>46114</v>
      </c>
      <c r="M363" s="89">
        <v>46147</v>
      </c>
      <c r="N363" s="76">
        <v>46114</v>
      </c>
      <c r="Q363" s="86" t="s">
        <v>958</v>
      </c>
      <c r="R363" s="90"/>
      <c r="S363" s="87"/>
      <c r="T363" s="87"/>
      <c r="U363" s="87"/>
      <c r="V363" s="93"/>
      <c r="W363" s="91"/>
      <c r="X363" s="87"/>
      <c r="Y363" s="92"/>
      <c r="Z363" s="90"/>
      <c r="AA363" s="93"/>
      <c r="AB363" s="87"/>
      <c r="AC363" s="91"/>
      <c r="AD363" s="90"/>
      <c r="AE363" s="86"/>
      <c r="AF363" s="82"/>
      <c r="AG363" s="24"/>
      <c r="AH363" s="93"/>
      <c r="AI363" s="87"/>
      <c r="AJ363" s="86"/>
      <c r="AK363" s="81"/>
      <c r="AL363" s="24"/>
      <c r="AM363" s="24"/>
      <c r="AN363" s="81"/>
      <c r="AO363" s="81"/>
      <c r="AP363" s="24"/>
      <c r="AQ363" s="93"/>
      <c r="AR363" s="94"/>
      <c r="AS363" s="82"/>
      <c r="AT363" s="82"/>
      <c r="AU363" s="24"/>
      <c r="AV363" s="93"/>
      <c r="AW363" s="94"/>
      <c r="AX363" s="95"/>
      <c r="AY363" s="95"/>
      <c r="AZ363" s="95"/>
      <c r="BA363" s="24"/>
      <c r="BB363" s="9" t="s">
        <v>582</v>
      </c>
      <c r="BC363" s="96" t="s">
        <v>93</v>
      </c>
    </row>
    <row r="364" spans="1:55" ht="15" customHeight="1">
      <c r="A364" s="86">
        <f t="shared" si="23"/>
        <v>362</v>
      </c>
      <c r="B364" s="75" t="s">
        <v>1123</v>
      </c>
      <c r="C364" s="9"/>
      <c r="D364" s="76" t="s">
        <v>583</v>
      </c>
      <c r="E364" s="88" t="str">
        <f>_xlfn.IFNA(VLOOKUP($D364,'Route-Details'!$B$2:$X$1048576,'Node Details'!E$1,0),"")</f>
        <v>Airtel</v>
      </c>
      <c r="F364" s="88" t="str">
        <f>_xlfn.IFNA(VLOOKUP($D364,'Route-Details'!$B$2:$X$1048576,'Node Details'!F$1,0),"")</f>
        <v>DARIA</v>
      </c>
      <c r="G364" s="88" t="str">
        <f>_xlfn.IFNA(VLOOKUP($D364,'Route-Details'!$B$2:$X$1048576,'Node Details'!G$1,0),"")</f>
        <v>Chandigarh</v>
      </c>
      <c r="H364" s="88" t="str">
        <f>_xlfn.IFNA(VLOOKUP($D365,'Route-Details'!$B$2:$X$1048576,'Node Details'!H$1,0),"")</f>
        <v>Punjab</v>
      </c>
      <c r="I364" s="88" t="str">
        <f>_xlfn.IFNA(VLOOKUP($D364,'Route-Details'!$B$2:$X$1048576,'Node Details'!I$1,0),"")</f>
        <v>AXW</v>
      </c>
      <c r="J364" s="88" t="str">
        <f>_xlfn.IFNA(VLOOKUP($D364,'Route-Details'!$B$2:$X$1048576,'Node Details'!J$1,0),"")</f>
        <v>AXW</v>
      </c>
      <c r="K364" s="76">
        <v>46112</v>
      </c>
      <c r="L364" s="76">
        <v>46114</v>
      </c>
      <c r="M364" s="89">
        <v>46147</v>
      </c>
      <c r="N364" s="76">
        <v>46114</v>
      </c>
      <c r="Q364" s="86" t="s">
        <v>958</v>
      </c>
      <c r="R364" s="90"/>
      <c r="S364" s="87"/>
      <c r="T364" s="87"/>
      <c r="U364" s="87"/>
      <c r="V364" s="93"/>
      <c r="W364" s="91"/>
      <c r="X364" s="87"/>
      <c r="Y364" s="92"/>
      <c r="Z364" s="90"/>
      <c r="AA364" s="93"/>
      <c r="AB364" s="87"/>
      <c r="AC364" s="91"/>
      <c r="AD364" s="90"/>
      <c r="AE364" s="86"/>
      <c r="AF364" s="82"/>
      <c r="AG364" s="24"/>
      <c r="AH364" s="93"/>
      <c r="AI364" s="87"/>
      <c r="AJ364" s="86"/>
      <c r="AK364" s="81"/>
      <c r="AL364" s="24"/>
      <c r="AM364" s="24"/>
      <c r="AN364" s="81"/>
      <c r="AO364" s="81"/>
      <c r="AP364" s="24"/>
      <c r="AQ364" s="93"/>
      <c r="AR364" s="94"/>
      <c r="AS364" s="82"/>
      <c r="AT364" s="82"/>
      <c r="AU364" s="24"/>
      <c r="AV364" s="93"/>
      <c r="AW364" s="94"/>
      <c r="AX364" s="95"/>
      <c r="AY364" s="95"/>
      <c r="AZ364" s="95"/>
      <c r="BA364" s="24"/>
      <c r="BB364" s="9" t="s">
        <v>585</v>
      </c>
      <c r="BC364" s="96" t="s">
        <v>93</v>
      </c>
    </row>
    <row r="365" spans="1:55" ht="15" customHeight="1">
      <c r="A365" s="86">
        <f t="shared" si="23"/>
        <v>363</v>
      </c>
      <c r="B365" s="75" t="s">
        <v>584</v>
      </c>
      <c r="C365" s="9"/>
      <c r="D365" s="76" t="s">
        <v>583</v>
      </c>
      <c r="E365" s="88" t="str">
        <f>_xlfn.IFNA(VLOOKUP($D365,'Route-Details'!$B$2:$X$1048576,'Node Details'!E$1,0),"")</f>
        <v>Airtel</v>
      </c>
      <c r="F365" s="88" t="str">
        <f>_xlfn.IFNA(VLOOKUP($D365,'Route-Details'!$B$2:$X$1048576,'Node Details'!F$1,0),"")</f>
        <v>DARIA</v>
      </c>
      <c r="G365" s="88" t="str">
        <f>_xlfn.IFNA(VLOOKUP($D365,'Route-Details'!$B$2:$X$1048576,'Node Details'!G$1,0),"")</f>
        <v>Chandigarh</v>
      </c>
      <c r="H365" s="88" t="str">
        <f>_xlfn.IFNA(VLOOKUP($D366,'Route-Details'!$B$2:$X$1048576,'Node Details'!H$1,0),"")</f>
        <v>Punjab</v>
      </c>
      <c r="I365" s="88" t="str">
        <f>_xlfn.IFNA(VLOOKUP($D365,'Route-Details'!$B$2:$X$1048576,'Node Details'!I$1,0),"")</f>
        <v>AXW</v>
      </c>
      <c r="J365" s="88" t="str">
        <f>_xlfn.IFNA(VLOOKUP($D365,'Route-Details'!$B$2:$X$1048576,'Node Details'!J$1,0),"")</f>
        <v>AXW</v>
      </c>
      <c r="K365" s="76">
        <v>46112</v>
      </c>
      <c r="L365" s="76">
        <v>46114</v>
      </c>
      <c r="M365" s="89">
        <v>46147</v>
      </c>
      <c r="N365" s="76">
        <v>46114</v>
      </c>
      <c r="Q365" s="86" t="s">
        <v>958</v>
      </c>
      <c r="R365" s="90"/>
      <c r="S365" s="87"/>
      <c r="T365" s="87"/>
      <c r="U365" s="87"/>
      <c r="V365" s="93"/>
      <c r="W365" s="91"/>
      <c r="X365" s="87"/>
      <c r="Y365" s="92"/>
      <c r="Z365" s="90"/>
      <c r="AA365" s="93"/>
      <c r="AB365" s="87"/>
      <c r="AC365" s="91"/>
      <c r="AD365" s="90"/>
      <c r="AE365" s="86"/>
      <c r="AF365" s="82"/>
      <c r="AG365" s="24"/>
      <c r="AH365" s="93"/>
      <c r="AI365" s="87"/>
      <c r="AJ365" s="86"/>
      <c r="AK365" s="81"/>
      <c r="AL365" s="24"/>
      <c r="AM365" s="24"/>
      <c r="AN365" s="81"/>
      <c r="AO365" s="81"/>
      <c r="AP365" s="24"/>
      <c r="AQ365" s="93"/>
      <c r="AR365" s="94"/>
      <c r="AS365" s="82"/>
      <c r="AT365" s="82"/>
      <c r="AU365" s="24"/>
      <c r="AV365" s="93"/>
      <c r="AW365" s="94"/>
      <c r="AX365" s="95"/>
      <c r="AY365" s="95"/>
      <c r="AZ365" s="95"/>
      <c r="BA365" s="24"/>
      <c r="BB365" s="9" t="s">
        <v>585</v>
      </c>
      <c r="BC365" s="96" t="s">
        <v>93</v>
      </c>
    </row>
    <row r="366" spans="1:55" ht="15" customHeight="1">
      <c r="A366" s="86">
        <f t="shared" si="23"/>
        <v>364</v>
      </c>
      <c r="B366" s="75" t="s">
        <v>588</v>
      </c>
      <c r="C366" s="9"/>
      <c r="D366" s="76" t="s">
        <v>586</v>
      </c>
      <c r="E366" s="88" t="str">
        <f>_xlfn.IFNA(VLOOKUP($D366,'Route-Details'!$B$2:$X$1048576,'Node Details'!E$1,0),"")</f>
        <v>Airtel</v>
      </c>
      <c r="F366" s="88" t="str">
        <f>_xlfn.IFNA(VLOOKUP($D366,'Route-Details'!$B$2:$X$1048576,'Node Details'!F$1,0),"")</f>
        <v>DARIA</v>
      </c>
      <c r="G366" s="88" t="str">
        <f>_xlfn.IFNA(VLOOKUP($D366,'Route-Details'!$B$2:$X$1048576,'Node Details'!G$1,0),"")</f>
        <v>Chandigarh</v>
      </c>
      <c r="H366" s="88" t="str">
        <f>_xlfn.IFNA(VLOOKUP($D367,'Route-Details'!$B$2:$X$1048576,'Node Details'!H$1,0),"")</f>
        <v>Punjab</v>
      </c>
      <c r="I366" s="88" t="str">
        <f>_xlfn.IFNA(VLOOKUP($D366,'Route-Details'!$B$2:$X$1048576,'Node Details'!I$1,0),"")</f>
        <v>AXW</v>
      </c>
      <c r="J366" s="88" t="str">
        <f>_xlfn.IFNA(VLOOKUP($D366,'Route-Details'!$B$2:$X$1048576,'Node Details'!J$1,0),"")</f>
        <v>AXW</v>
      </c>
      <c r="K366" s="76">
        <v>46112</v>
      </c>
      <c r="L366" s="76">
        <v>46114</v>
      </c>
      <c r="M366" s="89">
        <v>46147</v>
      </c>
      <c r="N366" s="76">
        <v>46114</v>
      </c>
      <c r="Q366" s="86" t="s">
        <v>958</v>
      </c>
      <c r="R366" s="90"/>
      <c r="S366" s="87"/>
      <c r="T366" s="87"/>
      <c r="U366" s="87"/>
      <c r="V366" s="93"/>
      <c r="W366" s="91"/>
      <c r="X366" s="87"/>
      <c r="Y366" s="92"/>
      <c r="Z366" s="90"/>
      <c r="AA366" s="93"/>
      <c r="AB366" s="87"/>
      <c r="AC366" s="91"/>
      <c r="AD366" s="90"/>
      <c r="AE366" s="86"/>
      <c r="AF366" s="82"/>
      <c r="AG366" s="24"/>
      <c r="AH366" s="93"/>
      <c r="AI366" s="87"/>
      <c r="AJ366" s="86"/>
      <c r="AK366" s="81"/>
      <c r="AL366" s="24"/>
      <c r="AM366" s="24"/>
      <c r="AN366" s="81"/>
      <c r="AO366" s="81"/>
      <c r="AP366" s="24"/>
      <c r="AQ366" s="93"/>
      <c r="AR366" s="94"/>
      <c r="AS366" s="82"/>
      <c r="AT366" s="82"/>
      <c r="AU366" s="24"/>
      <c r="AV366" s="93"/>
      <c r="AW366" s="94"/>
      <c r="AX366" s="95"/>
      <c r="AY366" s="95"/>
      <c r="AZ366" s="95"/>
      <c r="BA366" s="24"/>
      <c r="BB366" s="9" t="s">
        <v>589</v>
      </c>
      <c r="BC366" s="96" t="s">
        <v>93</v>
      </c>
    </row>
    <row r="367" spans="1:55" ht="15" customHeight="1">
      <c r="A367" s="86">
        <f t="shared" si="23"/>
        <v>365</v>
      </c>
      <c r="B367" s="75" t="s">
        <v>591</v>
      </c>
      <c r="C367" s="9"/>
      <c r="D367" s="76" t="s">
        <v>590</v>
      </c>
      <c r="E367" s="88" t="str">
        <f>_xlfn.IFNA(VLOOKUP($D367,'Route-Details'!$B$2:$X$1048576,'Node Details'!E$1,0),"")</f>
        <v>Airtel</v>
      </c>
      <c r="F367" s="88" t="str">
        <f>_xlfn.IFNA(VLOOKUP($D367,'Route-Details'!$B$2:$X$1048576,'Node Details'!F$1,0),"")</f>
        <v>DARIA</v>
      </c>
      <c r="G367" s="88" t="str">
        <f>_xlfn.IFNA(VLOOKUP($D367,'Route-Details'!$B$2:$X$1048576,'Node Details'!G$1,0),"")</f>
        <v>Chandigarh</v>
      </c>
      <c r="H367" s="88" t="str">
        <f>_xlfn.IFNA(VLOOKUP($D368,'Route-Details'!$B$2:$X$1048576,'Node Details'!H$1,0),"")</f>
        <v>Punjab</v>
      </c>
      <c r="I367" s="88" t="str">
        <f>_xlfn.IFNA(VLOOKUP($D367,'Route-Details'!$B$2:$X$1048576,'Node Details'!I$1,0),"")</f>
        <v>AXW</v>
      </c>
      <c r="J367" s="88" t="str">
        <f>_xlfn.IFNA(VLOOKUP($D367,'Route-Details'!$B$2:$X$1048576,'Node Details'!J$1,0),"")</f>
        <v>AXW</v>
      </c>
      <c r="K367" s="76">
        <v>46112</v>
      </c>
      <c r="L367" s="76">
        <v>46114</v>
      </c>
      <c r="M367" s="89">
        <v>46147</v>
      </c>
      <c r="N367" s="76">
        <v>46114</v>
      </c>
      <c r="Q367" s="86" t="s">
        <v>958</v>
      </c>
      <c r="R367" s="90"/>
      <c r="S367" s="87"/>
      <c r="T367" s="87"/>
      <c r="U367" s="87"/>
      <c r="V367" s="93"/>
      <c r="W367" s="91"/>
      <c r="X367" s="87"/>
      <c r="Y367" s="92"/>
      <c r="Z367" s="90"/>
      <c r="AA367" s="93"/>
      <c r="AB367" s="87"/>
      <c r="AC367" s="91"/>
      <c r="AD367" s="90"/>
      <c r="AE367" s="86"/>
      <c r="AF367" s="82"/>
      <c r="AG367" s="24"/>
      <c r="AH367" s="93"/>
      <c r="AI367" s="87"/>
      <c r="AJ367" s="86"/>
      <c r="AK367" s="81"/>
      <c r="AL367" s="24"/>
      <c r="AM367" s="24"/>
      <c r="AN367" s="81"/>
      <c r="AO367" s="81"/>
      <c r="AP367" s="24"/>
      <c r="AQ367" s="93"/>
      <c r="AR367" s="94"/>
      <c r="AS367" s="82"/>
      <c r="AT367" s="82"/>
      <c r="AU367" s="24"/>
      <c r="AV367" s="93"/>
      <c r="AW367" s="94"/>
      <c r="AX367" s="95"/>
      <c r="AY367" s="95"/>
      <c r="AZ367" s="95"/>
      <c r="BA367" s="24"/>
      <c r="BB367" s="9" t="s">
        <v>592</v>
      </c>
      <c r="BC367" s="96" t="s">
        <v>93</v>
      </c>
    </row>
    <row r="368" spans="1:55" ht="15" customHeight="1">
      <c r="A368" s="86">
        <f t="shared" si="23"/>
        <v>366</v>
      </c>
      <c r="B368" s="75" t="s">
        <v>390</v>
      </c>
      <c r="C368" s="9"/>
      <c r="D368" s="76" t="s">
        <v>388</v>
      </c>
      <c r="E368" s="88" t="str">
        <f>_xlfn.IFNA(VLOOKUP($D368,'Route-Details'!$B$2:$X$1048576,'Node Details'!E$1,0),"")</f>
        <v>Airtel</v>
      </c>
      <c r="F368" s="88" t="str">
        <f>_xlfn.IFNA(VLOOKUP($D368,'Route-Details'!$B$2:$X$1048576,'Node Details'!F$1,0),"")</f>
        <v>DARIA</v>
      </c>
      <c r="G368" s="88" t="str">
        <f>_xlfn.IFNA(VLOOKUP($D368,'Route-Details'!$B$2:$X$1048576,'Node Details'!G$1,0),"")</f>
        <v>Chandigarh</v>
      </c>
      <c r="H368" s="88" t="str">
        <f>_xlfn.IFNA(VLOOKUP($D369,'Route-Details'!$B$2:$X$1048576,'Node Details'!H$1,0),"")</f>
        <v>Punjab</v>
      </c>
      <c r="I368" s="88" t="str">
        <f>_xlfn.IFNA(VLOOKUP($D368,'Route-Details'!$B$2:$X$1048576,'Node Details'!I$1,0),"")</f>
        <v>AXW</v>
      </c>
      <c r="J368" s="88" t="str">
        <f>_xlfn.IFNA(VLOOKUP($D368,'Route-Details'!$B$2:$X$1048576,'Node Details'!J$1,0),"")</f>
        <v>AXW</v>
      </c>
      <c r="K368" s="76">
        <v>46112</v>
      </c>
      <c r="L368" s="76">
        <v>46114</v>
      </c>
      <c r="M368" s="89">
        <v>46147</v>
      </c>
      <c r="N368" s="76">
        <v>46114</v>
      </c>
      <c r="Q368" s="86" t="s">
        <v>958</v>
      </c>
      <c r="R368" s="90"/>
      <c r="S368" s="87"/>
      <c r="T368" s="87"/>
      <c r="U368" s="87"/>
      <c r="V368" s="93"/>
      <c r="W368" s="91"/>
      <c r="X368" s="87"/>
      <c r="Y368" s="92"/>
      <c r="Z368" s="90"/>
      <c r="AA368" s="93"/>
      <c r="AB368" s="87"/>
      <c r="AC368" s="91"/>
      <c r="AD368" s="90"/>
      <c r="AE368" s="86"/>
      <c r="AF368" s="82"/>
      <c r="AG368" s="24"/>
      <c r="AH368" s="93"/>
      <c r="AI368" s="87"/>
      <c r="AJ368" s="86"/>
      <c r="AK368" s="81"/>
      <c r="AL368" s="24"/>
      <c r="AM368" s="24"/>
      <c r="AN368" s="81"/>
      <c r="AO368" s="81"/>
      <c r="AP368" s="24"/>
      <c r="AQ368" s="93"/>
      <c r="AR368" s="94"/>
      <c r="AS368" s="82"/>
      <c r="AT368" s="82"/>
      <c r="AU368" s="24"/>
      <c r="AV368" s="93"/>
      <c r="AW368" s="94"/>
      <c r="AX368" s="95"/>
      <c r="AY368" s="95"/>
      <c r="AZ368" s="95"/>
      <c r="BA368" s="24"/>
      <c r="BB368" s="9" t="s">
        <v>114</v>
      </c>
      <c r="BC368" s="96" t="s">
        <v>93</v>
      </c>
    </row>
    <row r="369" spans="1:55" ht="15" customHeight="1">
      <c r="A369" s="86">
        <f t="shared" si="23"/>
        <v>367</v>
      </c>
      <c r="B369" s="75" t="s">
        <v>1124</v>
      </c>
      <c r="C369" s="9"/>
      <c r="D369" s="76" t="s">
        <v>593</v>
      </c>
      <c r="E369" s="88" t="str">
        <f>_xlfn.IFNA(VLOOKUP($D369,'Route-Details'!$B$2:$X$1048576,'Node Details'!E$1,0),"")</f>
        <v>Airtel</v>
      </c>
      <c r="F369" s="88" t="str">
        <f>_xlfn.IFNA(VLOOKUP($D369,'Route-Details'!$B$2:$X$1048576,'Node Details'!F$1,0),"")</f>
        <v>DARIA</v>
      </c>
      <c r="G369" s="88" t="str">
        <f>_xlfn.IFNA(VLOOKUP($D369,'Route-Details'!$B$2:$X$1048576,'Node Details'!G$1,0),"")</f>
        <v>Chandigarh</v>
      </c>
      <c r="H369" s="88" t="str">
        <f>_xlfn.IFNA(VLOOKUP($D370,'Route-Details'!$B$2:$X$1048576,'Node Details'!H$1,0),"")</f>
        <v>Punjab</v>
      </c>
      <c r="I369" s="88" t="str">
        <f>_xlfn.IFNA(VLOOKUP($D369,'Route-Details'!$B$2:$X$1048576,'Node Details'!I$1,0),"")</f>
        <v>AXW</v>
      </c>
      <c r="J369" s="88" t="str">
        <f>_xlfn.IFNA(VLOOKUP($D369,'Route-Details'!$B$2:$X$1048576,'Node Details'!J$1,0),"")</f>
        <v>AXW</v>
      </c>
      <c r="K369" s="76">
        <v>46112</v>
      </c>
      <c r="L369" s="76">
        <v>46114</v>
      </c>
      <c r="M369" s="89">
        <v>46147</v>
      </c>
      <c r="N369" s="76">
        <v>46114</v>
      </c>
      <c r="Q369" s="86" t="s">
        <v>958</v>
      </c>
      <c r="R369" s="90"/>
      <c r="S369" s="87"/>
      <c r="T369" s="87"/>
      <c r="U369" s="87"/>
      <c r="V369" s="93"/>
      <c r="W369" s="91"/>
      <c r="X369" s="87"/>
      <c r="Y369" s="92"/>
      <c r="Z369" s="90"/>
      <c r="AA369" s="93"/>
      <c r="AB369" s="87"/>
      <c r="AC369" s="91"/>
      <c r="AD369" s="90"/>
      <c r="AE369" s="86"/>
      <c r="AF369" s="82"/>
      <c r="AG369" s="24"/>
      <c r="AH369" s="93"/>
      <c r="AI369" s="87"/>
      <c r="AJ369" s="86"/>
      <c r="AK369" s="81"/>
      <c r="AL369" s="24"/>
      <c r="AM369" s="24"/>
      <c r="AN369" s="81"/>
      <c r="AO369" s="81"/>
      <c r="AP369" s="24"/>
      <c r="AQ369" s="93"/>
      <c r="AR369" s="94"/>
      <c r="AS369" s="82"/>
      <c r="AT369" s="82"/>
      <c r="AU369" s="24"/>
      <c r="AV369" s="93"/>
      <c r="AW369" s="94"/>
      <c r="AX369" s="95"/>
      <c r="AY369" s="95"/>
      <c r="AZ369" s="95"/>
      <c r="BA369" s="24"/>
      <c r="BB369" s="9" t="s">
        <v>595</v>
      </c>
      <c r="BC369" s="96" t="s">
        <v>93</v>
      </c>
    </row>
    <row r="370" spans="1:55" ht="15" customHeight="1">
      <c r="A370" s="86">
        <f t="shared" si="23"/>
        <v>368</v>
      </c>
      <c r="B370" s="75" t="s">
        <v>594</v>
      </c>
      <c r="C370" s="9"/>
      <c r="D370" s="76" t="s">
        <v>593</v>
      </c>
      <c r="E370" s="88" t="str">
        <f>_xlfn.IFNA(VLOOKUP($D370,'Route-Details'!$B$2:$X$1048576,'Node Details'!E$1,0),"")</f>
        <v>Airtel</v>
      </c>
      <c r="F370" s="88" t="str">
        <f>_xlfn.IFNA(VLOOKUP($D370,'Route-Details'!$B$2:$X$1048576,'Node Details'!F$1,0),"")</f>
        <v>DARIA</v>
      </c>
      <c r="G370" s="88" t="str">
        <f>_xlfn.IFNA(VLOOKUP($D370,'Route-Details'!$B$2:$X$1048576,'Node Details'!G$1,0),"")</f>
        <v>Chandigarh</v>
      </c>
      <c r="H370" s="88" t="str">
        <f>_xlfn.IFNA(VLOOKUP($D371,'Route-Details'!$B$2:$X$1048576,'Node Details'!H$1,0),"")</f>
        <v>Punjab</v>
      </c>
      <c r="I370" s="88" t="str">
        <f>_xlfn.IFNA(VLOOKUP($D370,'Route-Details'!$B$2:$X$1048576,'Node Details'!I$1,0),"")</f>
        <v>AXW</v>
      </c>
      <c r="J370" s="88" t="str">
        <f>_xlfn.IFNA(VLOOKUP($D370,'Route-Details'!$B$2:$X$1048576,'Node Details'!J$1,0),"")</f>
        <v>AXW</v>
      </c>
      <c r="K370" s="76">
        <v>46112</v>
      </c>
      <c r="L370" s="76">
        <v>46114</v>
      </c>
      <c r="M370" s="89">
        <v>46147</v>
      </c>
      <c r="N370" s="76">
        <v>46114</v>
      </c>
      <c r="Q370" s="86" t="s">
        <v>958</v>
      </c>
      <c r="R370" s="90"/>
      <c r="S370" s="87"/>
      <c r="T370" s="87"/>
      <c r="U370" s="87"/>
      <c r="V370" s="93"/>
      <c r="W370" s="91"/>
      <c r="X370" s="87"/>
      <c r="Y370" s="92"/>
      <c r="Z370" s="90"/>
      <c r="AA370" s="93"/>
      <c r="AB370" s="87"/>
      <c r="AC370" s="91"/>
      <c r="AD370" s="90"/>
      <c r="AE370" s="86"/>
      <c r="AF370" s="82"/>
      <c r="AG370" s="24"/>
      <c r="AH370" s="93"/>
      <c r="AI370" s="87"/>
      <c r="AJ370" s="86"/>
      <c r="AK370" s="81"/>
      <c r="AL370" s="24"/>
      <c r="AM370" s="24"/>
      <c r="AN370" s="81"/>
      <c r="AO370" s="81"/>
      <c r="AP370" s="24"/>
      <c r="AQ370" s="93"/>
      <c r="AR370" s="94"/>
      <c r="AS370" s="82"/>
      <c r="AT370" s="82"/>
      <c r="AU370" s="24"/>
      <c r="AV370" s="93"/>
      <c r="AW370" s="94"/>
      <c r="AX370" s="95"/>
      <c r="AY370" s="95"/>
      <c r="AZ370" s="95"/>
      <c r="BA370" s="24"/>
      <c r="BB370" s="9" t="s">
        <v>595</v>
      </c>
      <c r="BC370" s="96" t="s">
        <v>93</v>
      </c>
    </row>
    <row r="371" spans="1:55" ht="15" customHeight="1">
      <c r="A371" s="86">
        <f t="shared" si="23"/>
        <v>369</v>
      </c>
      <c r="B371" s="75" t="s">
        <v>597</v>
      </c>
      <c r="C371" s="9"/>
      <c r="D371" s="76" t="s">
        <v>596</v>
      </c>
      <c r="E371" s="88" t="str">
        <f>_xlfn.IFNA(VLOOKUP($D371,'Route-Details'!$B$2:$X$1048576,'Node Details'!E$1,0),"")</f>
        <v>Airtel</v>
      </c>
      <c r="F371" s="88" t="str">
        <f>_xlfn.IFNA(VLOOKUP($D371,'Route-Details'!$B$2:$X$1048576,'Node Details'!F$1,0),"")</f>
        <v>DARIA</v>
      </c>
      <c r="G371" s="88" t="str">
        <f>_xlfn.IFNA(VLOOKUP($D371,'Route-Details'!$B$2:$X$1048576,'Node Details'!G$1,0),"")</f>
        <v>Chandigarh</v>
      </c>
      <c r="H371" s="88" t="str">
        <f>_xlfn.IFNA(VLOOKUP($D372,'Route-Details'!$B$2:$X$1048576,'Node Details'!H$1,0),"")</f>
        <v>Punjab</v>
      </c>
      <c r="I371" s="88" t="str">
        <f>_xlfn.IFNA(VLOOKUP($D371,'Route-Details'!$B$2:$X$1048576,'Node Details'!I$1,0),"")</f>
        <v>AXW</v>
      </c>
      <c r="J371" s="88" t="str">
        <f>_xlfn.IFNA(VLOOKUP($D371,'Route-Details'!$B$2:$X$1048576,'Node Details'!J$1,0),"")</f>
        <v>AXW</v>
      </c>
      <c r="K371" s="76">
        <v>46112</v>
      </c>
      <c r="L371" s="76">
        <v>46114</v>
      </c>
      <c r="M371" s="89">
        <v>46147</v>
      </c>
      <c r="N371" s="76">
        <v>46114</v>
      </c>
      <c r="Q371" s="86" t="s">
        <v>958</v>
      </c>
      <c r="R371" s="90"/>
      <c r="S371" s="87"/>
      <c r="T371" s="87"/>
      <c r="U371" s="87"/>
      <c r="V371" s="93"/>
      <c r="W371" s="91"/>
      <c r="X371" s="87"/>
      <c r="Y371" s="92"/>
      <c r="Z371" s="90"/>
      <c r="AA371" s="93"/>
      <c r="AB371" s="87"/>
      <c r="AC371" s="91"/>
      <c r="AD371" s="90"/>
      <c r="AE371" s="86"/>
      <c r="AF371" s="82"/>
      <c r="AG371" s="24"/>
      <c r="AH371" s="93"/>
      <c r="AI371" s="87"/>
      <c r="AJ371" s="86"/>
      <c r="AK371" s="81"/>
      <c r="AL371" s="24"/>
      <c r="AM371" s="24"/>
      <c r="AN371" s="81"/>
      <c r="AO371" s="81"/>
      <c r="AP371" s="24"/>
      <c r="AQ371" s="93"/>
      <c r="AR371" s="94"/>
      <c r="AS371" s="82"/>
      <c r="AT371" s="82"/>
      <c r="AU371" s="24"/>
      <c r="AV371" s="93"/>
      <c r="AW371" s="94"/>
      <c r="AX371" s="95"/>
      <c r="AY371" s="95"/>
      <c r="AZ371" s="95"/>
      <c r="BA371" s="24"/>
      <c r="BB371" s="9" t="s">
        <v>598</v>
      </c>
      <c r="BC371" s="96" t="s">
        <v>93</v>
      </c>
    </row>
    <row r="372" spans="1:55" ht="15" customHeight="1">
      <c r="A372" s="86">
        <f t="shared" si="23"/>
        <v>370</v>
      </c>
      <c r="B372" s="75" t="s">
        <v>1125</v>
      </c>
      <c r="C372" s="9"/>
      <c r="D372" s="76" t="s">
        <v>599</v>
      </c>
      <c r="E372" s="88" t="str">
        <f>_xlfn.IFNA(VLOOKUP($D372,'Route-Details'!$B$2:$X$1048576,'Node Details'!E$1,0),"")</f>
        <v>Airtel</v>
      </c>
      <c r="F372" s="88" t="str">
        <f>_xlfn.IFNA(VLOOKUP($D372,'Route-Details'!$B$2:$X$1048576,'Node Details'!F$1,0),"")</f>
        <v>DARIA</v>
      </c>
      <c r="G372" s="88" t="str">
        <f>_xlfn.IFNA(VLOOKUP($D372,'Route-Details'!$B$2:$X$1048576,'Node Details'!G$1,0),"")</f>
        <v>Chandigarh</v>
      </c>
      <c r="H372" s="88" t="str">
        <f>_xlfn.IFNA(VLOOKUP($D373,'Route-Details'!$B$2:$X$1048576,'Node Details'!H$1,0),"")</f>
        <v>Punjab</v>
      </c>
      <c r="I372" s="88" t="str">
        <f>_xlfn.IFNA(VLOOKUP($D372,'Route-Details'!$B$2:$X$1048576,'Node Details'!I$1,0),"")</f>
        <v>AXW</v>
      </c>
      <c r="J372" s="88" t="str">
        <f>_xlfn.IFNA(VLOOKUP($D372,'Route-Details'!$B$2:$X$1048576,'Node Details'!J$1,0),"")</f>
        <v>AXW</v>
      </c>
      <c r="K372" s="76">
        <v>46112</v>
      </c>
      <c r="L372" s="76">
        <v>46114</v>
      </c>
      <c r="M372" s="89">
        <v>46147</v>
      </c>
      <c r="N372" s="76">
        <v>46114</v>
      </c>
      <c r="Q372" s="86" t="s">
        <v>958</v>
      </c>
      <c r="R372" s="90"/>
      <c r="S372" s="87"/>
      <c r="T372" s="87"/>
      <c r="U372" s="87"/>
      <c r="V372" s="93"/>
      <c r="W372" s="91"/>
      <c r="X372" s="87"/>
      <c r="Y372" s="92"/>
      <c r="Z372" s="90"/>
      <c r="AA372" s="93"/>
      <c r="AB372" s="87"/>
      <c r="AC372" s="91"/>
      <c r="AD372" s="90"/>
      <c r="AE372" s="86"/>
      <c r="AF372" s="82"/>
      <c r="AG372" s="24"/>
      <c r="AH372" s="93"/>
      <c r="AI372" s="87"/>
      <c r="AJ372" s="86"/>
      <c r="AK372" s="81"/>
      <c r="AL372" s="24"/>
      <c r="AM372" s="24"/>
      <c r="AN372" s="81"/>
      <c r="AO372" s="81"/>
      <c r="AP372" s="24"/>
      <c r="AQ372" s="93"/>
      <c r="AR372" s="94"/>
      <c r="AS372" s="82"/>
      <c r="AT372" s="82"/>
      <c r="AU372" s="24"/>
      <c r="AV372" s="93"/>
      <c r="AW372" s="94"/>
      <c r="AX372" s="95"/>
      <c r="AY372" s="95"/>
      <c r="AZ372" s="95"/>
      <c r="BA372" s="24"/>
      <c r="BB372" s="9" t="s">
        <v>601</v>
      </c>
      <c r="BC372" s="96" t="s">
        <v>93</v>
      </c>
    </row>
    <row r="373" spans="1:55" ht="15" customHeight="1">
      <c r="A373" s="86">
        <f t="shared" si="23"/>
        <v>371</v>
      </c>
      <c r="B373" s="75" t="s">
        <v>600</v>
      </c>
      <c r="C373" s="9"/>
      <c r="D373" s="76" t="s">
        <v>599</v>
      </c>
      <c r="E373" s="88" t="str">
        <f>_xlfn.IFNA(VLOOKUP($D373,'Route-Details'!$B$2:$X$1048576,'Node Details'!E$1,0),"")</f>
        <v>Airtel</v>
      </c>
      <c r="F373" s="88" t="str">
        <f>_xlfn.IFNA(VLOOKUP($D373,'Route-Details'!$B$2:$X$1048576,'Node Details'!F$1,0),"")</f>
        <v>DARIA</v>
      </c>
      <c r="G373" s="88" t="str">
        <f>_xlfn.IFNA(VLOOKUP($D373,'Route-Details'!$B$2:$X$1048576,'Node Details'!G$1,0),"")</f>
        <v>Chandigarh</v>
      </c>
      <c r="H373" s="88" t="str">
        <f>_xlfn.IFNA(VLOOKUP($D374,'Route-Details'!$B$2:$X$1048576,'Node Details'!H$1,0),"")</f>
        <v>Punjab</v>
      </c>
      <c r="I373" s="88" t="str">
        <f>_xlfn.IFNA(VLOOKUP($D373,'Route-Details'!$B$2:$X$1048576,'Node Details'!I$1,0),"")</f>
        <v>AXW</v>
      </c>
      <c r="J373" s="88" t="str">
        <f>_xlfn.IFNA(VLOOKUP($D373,'Route-Details'!$B$2:$X$1048576,'Node Details'!J$1,0),"")</f>
        <v>AXW</v>
      </c>
      <c r="K373" s="76">
        <v>46112</v>
      </c>
      <c r="L373" s="76">
        <v>46114</v>
      </c>
      <c r="M373" s="89">
        <v>46147</v>
      </c>
      <c r="N373" s="76">
        <v>46114</v>
      </c>
      <c r="Q373" s="86" t="s">
        <v>958</v>
      </c>
      <c r="R373" s="90"/>
      <c r="S373" s="87"/>
      <c r="T373" s="87"/>
      <c r="U373" s="87"/>
      <c r="V373" s="93"/>
      <c r="W373" s="91"/>
      <c r="X373" s="87"/>
      <c r="Y373" s="92"/>
      <c r="Z373" s="90"/>
      <c r="AA373" s="93"/>
      <c r="AB373" s="87"/>
      <c r="AC373" s="91"/>
      <c r="AD373" s="90"/>
      <c r="AE373" s="86"/>
      <c r="AF373" s="82"/>
      <c r="AG373" s="24"/>
      <c r="AH373" s="93"/>
      <c r="AI373" s="87"/>
      <c r="AJ373" s="86"/>
      <c r="AK373" s="81"/>
      <c r="AL373" s="24"/>
      <c r="AM373" s="24"/>
      <c r="AN373" s="81"/>
      <c r="AO373" s="81"/>
      <c r="AP373" s="24"/>
      <c r="AQ373" s="93"/>
      <c r="AR373" s="94"/>
      <c r="AS373" s="82"/>
      <c r="AT373" s="82"/>
      <c r="AU373" s="24"/>
      <c r="AV373" s="93"/>
      <c r="AW373" s="94"/>
      <c r="AX373" s="95"/>
      <c r="AY373" s="95"/>
      <c r="AZ373" s="95"/>
      <c r="BA373" s="24"/>
      <c r="BB373" s="9" t="s">
        <v>601</v>
      </c>
      <c r="BC373" s="96" t="s">
        <v>93</v>
      </c>
    </row>
    <row r="374" spans="1:55" ht="15" customHeight="1">
      <c r="A374" s="86">
        <f t="shared" si="23"/>
        <v>372</v>
      </c>
      <c r="B374" s="75" t="s">
        <v>603</v>
      </c>
      <c r="C374" s="9"/>
      <c r="D374" s="76" t="s">
        <v>602</v>
      </c>
      <c r="E374" s="88" t="str">
        <f>_xlfn.IFNA(VLOOKUP($D374,'Route-Details'!$B$2:$X$1048576,'Node Details'!E$1,0),"")</f>
        <v>Airtel</v>
      </c>
      <c r="F374" s="88" t="str">
        <f>_xlfn.IFNA(VLOOKUP($D374,'Route-Details'!$B$2:$X$1048576,'Node Details'!F$1,0),"")</f>
        <v>DARIA</v>
      </c>
      <c r="G374" s="88" t="str">
        <f>_xlfn.IFNA(VLOOKUP($D374,'Route-Details'!$B$2:$X$1048576,'Node Details'!G$1,0),"")</f>
        <v>Chandigarh</v>
      </c>
      <c r="H374" s="88" t="str">
        <f>_xlfn.IFNA(VLOOKUP($D375,'Route-Details'!$B$2:$X$1048576,'Node Details'!H$1,0),"")</f>
        <v>Punjab</v>
      </c>
      <c r="I374" s="88" t="str">
        <f>_xlfn.IFNA(VLOOKUP($D374,'Route-Details'!$B$2:$X$1048576,'Node Details'!I$1,0),"")</f>
        <v>AXW</v>
      </c>
      <c r="J374" s="88" t="str">
        <f>_xlfn.IFNA(VLOOKUP($D374,'Route-Details'!$B$2:$X$1048576,'Node Details'!J$1,0),"")</f>
        <v>AXW</v>
      </c>
      <c r="K374" s="76">
        <v>46112</v>
      </c>
      <c r="L374" s="76">
        <v>46114</v>
      </c>
      <c r="M374" s="89">
        <v>46147</v>
      </c>
      <c r="N374" s="76">
        <v>46114</v>
      </c>
      <c r="Q374" s="86" t="s">
        <v>958</v>
      </c>
      <c r="R374" s="90"/>
      <c r="S374" s="87"/>
      <c r="T374" s="87"/>
      <c r="U374" s="87"/>
      <c r="V374" s="93"/>
      <c r="W374" s="91"/>
      <c r="X374" s="87"/>
      <c r="Y374" s="92"/>
      <c r="Z374" s="90"/>
      <c r="AA374" s="93"/>
      <c r="AB374" s="87"/>
      <c r="AC374" s="91"/>
      <c r="AD374" s="90"/>
      <c r="AE374" s="86"/>
      <c r="AF374" s="82"/>
      <c r="AG374" s="24"/>
      <c r="AH374" s="93"/>
      <c r="AI374" s="87"/>
      <c r="AJ374" s="86"/>
      <c r="AK374" s="81"/>
      <c r="AL374" s="24"/>
      <c r="AM374" s="24"/>
      <c r="AN374" s="81"/>
      <c r="AO374" s="81"/>
      <c r="AP374" s="24"/>
      <c r="AQ374" s="93"/>
      <c r="AR374" s="94"/>
      <c r="AS374" s="82"/>
      <c r="AT374" s="82"/>
      <c r="AU374" s="24"/>
      <c r="AV374" s="93"/>
      <c r="AW374" s="94"/>
      <c r="AX374" s="95"/>
      <c r="AY374" s="95"/>
      <c r="AZ374" s="95"/>
      <c r="BA374" s="24"/>
      <c r="BB374" s="9" t="s">
        <v>604</v>
      </c>
      <c r="BC374" s="96" t="s">
        <v>93</v>
      </c>
    </row>
    <row r="375" spans="1:55" ht="15" customHeight="1">
      <c r="A375" s="86">
        <f t="shared" si="23"/>
        <v>373</v>
      </c>
      <c r="B375" s="75" t="s">
        <v>1126</v>
      </c>
      <c r="C375" s="9"/>
      <c r="D375" s="76" t="s">
        <v>605</v>
      </c>
      <c r="E375" s="88" t="str">
        <f>_xlfn.IFNA(VLOOKUP($D375,'Route-Details'!$B$2:$X$1048576,'Node Details'!E$1,0),"")</f>
        <v>Airtel</v>
      </c>
      <c r="F375" s="88" t="str">
        <f>_xlfn.IFNA(VLOOKUP($D375,'Route-Details'!$B$2:$X$1048576,'Node Details'!F$1,0),"")</f>
        <v>DARIA</v>
      </c>
      <c r="G375" s="88" t="str">
        <f>_xlfn.IFNA(VLOOKUP($D375,'Route-Details'!$B$2:$X$1048576,'Node Details'!G$1,0),"")</f>
        <v>Chandigarh</v>
      </c>
      <c r="H375" s="88" t="str">
        <f>_xlfn.IFNA(VLOOKUP($D376,'Route-Details'!$B$2:$X$1048576,'Node Details'!H$1,0),"")</f>
        <v>Punjab</v>
      </c>
      <c r="I375" s="88" t="str">
        <f>_xlfn.IFNA(VLOOKUP($D375,'Route-Details'!$B$2:$X$1048576,'Node Details'!I$1,0),"")</f>
        <v>AXW</v>
      </c>
      <c r="J375" s="88" t="str">
        <f>_xlfn.IFNA(VLOOKUP($D375,'Route-Details'!$B$2:$X$1048576,'Node Details'!J$1,0),"")</f>
        <v>AXW</v>
      </c>
      <c r="K375" s="76">
        <v>46112</v>
      </c>
      <c r="L375" s="76">
        <v>46114</v>
      </c>
      <c r="M375" s="89">
        <v>46147</v>
      </c>
      <c r="N375" s="76">
        <v>46114</v>
      </c>
      <c r="Q375" s="86" t="s">
        <v>958</v>
      </c>
      <c r="R375" s="90"/>
      <c r="S375" s="87"/>
      <c r="T375" s="87"/>
      <c r="U375" s="87"/>
      <c r="V375" s="93"/>
      <c r="W375" s="91"/>
      <c r="X375" s="87"/>
      <c r="Y375" s="92"/>
      <c r="Z375" s="90"/>
      <c r="AA375" s="93"/>
      <c r="AB375" s="87"/>
      <c r="AC375" s="91"/>
      <c r="AD375" s="90"/>
      <c r="AE375" s="86"/>
      <c r="AF375" s="82"/>
      <c r="AG375" s="24"/>
      <c r="AH375" s="93"/>
      <c r="AI375" s="87"/>
      <c r="AJ375" s="86"/>
      <c r="AK375" s="81"/>
      <c r="AL375" s="24"/>
      <c r="AM375" s="24"/>
      <c r="AN375" s="81"/>
      <c r="AO375" s="81"/>
      <c r="AP375" s="24"/>
      <c r="AQ375" s="93"/>
      <c r="AR375" s="94"/>
      <c r="AS375" s="82"/>
      <c r="AT375" s="82"/>
      <c r="AU375" s="24"/>
      <c r="AV375" s="93"/>
      <c r="AW375" s="94"/>
      <c r="AX375" s="95"/>
      <c r="AY375" s="95"/>
      <c r="AZ375" s="95"/>
      <c r="BA375" s="24"/>
      <c r="BB375" s="9" t="s">
        <v>607</v>
      </c>
      <c r="BC375" s="96" t="s">
        <v>93</v>
      </c>
    </row>
    <row r="376" spans="1:55" ht="15" customHeight="1">
      <c r="A376" s="86">
        <f t="shared" si="23"/>
        <v>374</v>
      </c>
      <c r="B376" s="75" t="s">
        <v>1127</v>
      </c>
      <c r="C376" s="9"/>
      <c r="D376" s="76" t="s">
        <v>605</v>
      </c>
      <c r="E376" s="88" t="str">
        <f>_xlfn.IFNA(VLOOKUP($D376,'Route-Details'!$B$2:$X$1048576,'Node Details'!E$1,0),"")</f>
        <v>Airtel</v>
      </c>
      <c r="F376" s="88" t="str">
        <f>_xlfn.IFNA(VLOOKUP($D376,'Route-Details'!$B$2:$X$1048576,'Node Details'!F$1,0),"")</f>
        <v>DARIA</v>
      </c>
      <c r="G376" s="88" t="str">
        <f>_xlfn.IFNA(VLOOKUP($D376,'Route-Details'!$B$2:$X$1048576,'Node Details'!G$1,0),"")</f>
        <v>Chandigarh</v>
      </c>
      <c r="H376" s="88" t="str">
        <f>_xlfn.IFNA(VLOOKUP($D377,'Route-Details'!$B$2:$X$1048576,'Node Details'!H$1,0),"")</f>
        <v>Punjab</v>
      </c>
      <c r="I376" s="88" t="str">
        <f>_xlfn.IFNA(VLOOKUP($D376,'Route-Details'!$B$2:$X$1048576,'Node Details'!I$1,0),"")</f>
        <v>AXW</v>
      </c>
      <c r="J376" s="88" t="str">
        <f>_xlfn.IFNA(VLOOKUP($D376,'Route-Details'!$B$2:$X$1048576,'Node Details'!J$1,0),"")</f>
        <v>AXW</v>
      </c>
      <c r="K376" s="76">
        <v>46112</v>
      </c>
      <c r="L376" s="76">
        <v>46114</v>
      </c>
      <c r="M376" s="89">
        <v>46147</v>
      </c>
      <c r="N376" s="76">
        <v>46114</v>
      </c>
      <c r="Q376" s="86" t="s">
        <v>958</v>
      </c>
      <c r="R376" s="90"/>
      <c r="S376" s="87"/>
      <c r="T376" s="87"/>
      <c r="U376" s="87"/>
      <c r="V376" s="93"/>
      <c r="W376" s="91"/>
      <c r="X376" s="87"/>
      <c r="Y376" s="92"/>
      <c r="Z376" s="90"/>
      <c r="AA376" s="93"/>
      <c r="AB376" s="87"/>
      <c r="AC376" s="91"/>
      <c r="AD376" s="90"/>
      <c r="AE376" s="86"/>
      <c r="AF376" s="82"/>
      <c r="AG376" s="24"/>
      <c r="AH376" s="93"/>
      <c r="AI376" s="87"/>
      <c r="AJ376" s="86"/>
      <c r="AK376" s="81"/>
      <c r="AL376" s="24"/>
      <c r="AM376" s="24"/>
      <c r="AN376" s="81"/>
      <c r="AO376" s="81"/>
      <c r="AP376" s="24"/>
      <c r="AQ376" s="93"/>
      <c r="AR376" s="94"/>
      <c r="AS376" s="82"/>
      <c r="AT376" s="82"/>
      <c r="AU376" s="24"/>
      <c r="AV376" s="93"/>
      <c r="AW376" s="94"/>
      <c r="AX376" s="95"/>
      <c r="AY376" s="95"/>
      <c r="AZ376" s="95"/>
      <c r="BA376" s="24"/>
      <c r="BB376" s="9" t="s">
        <v>607</v>
      </c>
      <c r="BC376" s="96" t="s">
        <v>93</v>
      </c>
    </row>
    <row r="377" spans="1:55" ht="15" customHeight="1">
      <c r="A377" s="86">
        <f t="shared" si="23"/>
        <v>375</v>
      </c>
      <c r="B377" s="75" t="s">
        <v>606</v>
      </c>
      <c r="C377" s="9"/>
      <c r="D377" s="76" t="s">
        <v>605</v>
      </c>
      <c r="E377" s="88" t="str">
        <f>_xlfn.IFNA(VLOOKUP($D377,'Route-Details'!$B$2:$X$1048576,'Node Details'!E$1,0),"")</f>
        <v>Airtel</v>
      </c>
      <c r="F377" s="88" t="str">
        <f>_xlfn.IFNA(VLOOKUP($D377,'Route-Details'!$B$2:$X$1048576,'Node Details'!F$1,0),"")</f>
        <v>DARIA</v>
      </c>
      <c r="G377" s="88" t="str">
        <f>_xlfn.IFNA(VLOOKUP($D377,'Route-Details'!$B$2:$X$1048576,'Node Details'!G$1,0),"")</f>
        <v>Chandigarh</v>
      </c>
      <c r="H377" s="88" t="str">
        <f>_xlfn.IFNA(VLOOKUP($D378,'Route-Details'!$B$2:$X$1048576,'Node Details'!H$1,0),"")</f>
        <v>Punjab</v>
      </c>
      <c r="I377" s="88" t="str">
        <f>_xlfn.IFNA(VLOOKUP($D377,'Route-Details'!$B$2:$X$1048576,'Node Details'!I$1,0),"")</f>
        <v>AXW</v>
      </c>
      <c r="J377" s="88" t="str">
        <f>_xlfn.IFNA(VLOOKUP($D377,'Route-Details'!$B$2:$X$1048576,'Node Details'!J$1,0),"")</f>
        <v>AXW</v>
      </c>
      <c r="K377" s="76">
        <v>46112</v>
      </c>
      <c r="L377" s="76">
        <v>46114</v>
      </c>
      <c r="M377" s="89">
        <v>46147</v>
      </c>
      <c r="N377" s="76">
        <v>46114</v>
      </c>
      <c r="Q377" s="86" t="s">
        <v>958</v>
      </c>
      <c r="R377" s="90"/>
      <c r="S377" s="87"/>
      <c r="T377" s="87"/>
      <c r="U377" s="87"/>
      <c r="V377" s="93"/>
      <c r="W377" s="91"/>
      <c r="X377" s="87"/>
      <c r="Y377" s="92"/>
      <c r="Z377" s="90"/>
      <c r="AA377" s="93"/>
      <c r="AB377" s="87"/>
      <c r="AC377" s="91"/>
      <c r="AD377" s="90"/>
      <c r="AE377" s="86"/>
      <c r="AF377" s="82"/>
      <c r="AG377" s="24"/>
      <c r="AH377" s="93"/>
      <c r="AI377" s="87"/>
      <c r="AJ377" s="86"/>
      <c r="AK377" s="81"/>
      <c r="AL377" s="24"/>
      <c r="AM377" s="24"/>
      <c r="AN377" s="81"/>
      <c r="AO377" s="81"/>
      <c r="AP377" s="24"/>
      <c r="AQ377" s="93"/>
      <c r="AR377" s="94"/>
      <c r="AS377" s="82"/>
      <c r="AT377" s="82"/>
      <c r="AU377" s="24"/>
      <c r="AV377" s="93"/>
      <c r="AW377" s="94"/>
      <c r="AX377" s="95"/>
      <c r="AY377" s="95"/>
      <c r="AZ377" s="95"/>
      <c r="BA377" s="24"/>
      <c r="BB377" s="9" t="s">
        <v>607</v>
      </c>
      <c r="BC377" s="96" t="s">
        <v>93</v>
      </c>
    </row>
    <row r="378" spans="1:55" ht="15" customHeight="1">
      <c r="A378" s="86">
        <f t="shared" si="23"/>
        <v>376</v>
      </c>
      <c r="B378" s="75" t="s">
        <v>371</v>
      </c>
      <c r="C378" s="9"/>
      <c r="D378" s="76" t="s">
        <v>370</v>
      </c>
      <c r="E378" s="88" t="str">
        <f>_xlfn.IFNA(VLOOKUP($D378,'Route-Details'!$B$2:$X$1048576,'Node Details'!E$1,0),"")</f>
        <v>Airtel</v>
      </c>
      <c r="F378" s="88" t="str">
        <f>_xlfn.IFNA(VLOOKUP($D378,'Route-Details'!$B$2:$X$1048576,'Node Details'!F$1,0),"")</f>
        <v>DARIA</v>
      </c>
      <c r="G378" s="88" t="str">
        <f>_xlfn.IFNA(VLOOKUP($D378,'Route-Details'!$B$2:$X$1048576,'Node Details'!G$1,0),"")</f>
        <v>Chandigarh</v>
      </c>
      <c r="H378" s="88" t="str">
        <f>_xlfn.IFNA(VLOOKUP($D379,'Route-Details'!$B$2:$X$1048576,'Node Details'!H$1,0),"")</f>
        <v>Punjab</v>
      </c>
      <c r="I378" s="88" t="str">
        <f>_xlfn.IFNA(VLOOKUP($D378,'Route-Details'!$B$2:$X$1048576,'Node Details'!I$1,0),"")</f>
        <v>AXW</v>
      </c>
      <c r="J378" s="88" t="str">
        <f>_xlfn.IFNA(VLOOKUP($D378,'Route-Details'!$B$2:$X$1048576,'Node Details'!J$1,0),"")</f>
        <v>AXW</v>
      </c>
      <c r="K378" s="76">
        <v>46112</v>
      </c>
      <c r="L378" s="76">
        <v>46114</v>
      </c>
      <c r="M378" s="89">
        <v>46147</v>
      </c>
      <c r="N378" s="76">
        <v>46114</v>
      </c>
      <c r="Q378" s="86" t="s">
        <v>958</v>
      </c>
      <c r="R378" s="90"/>
      <c r="S378" s="87"/>
      <c r="T378" s="87"/>
      <c r="U378" s="87"/>
      <c r="V378" s="93"/>
      <c r="W378" s="91"/>
      <c r="X378" s="87"/>
      <c r="Y378" s="92"/>
      <c r="Z378" s="90"/>
      <c r="AA378" s="93"/>
      <c r="AB378" s="87"/>
      <c r="AC378" s="91"/>
      <c r="AD378" s="90"/>
      <c r="AE378" s="86"/>
      <c r="AF378" s="82"/>
      <c r="AG378" s="24"/>
      <c r="AH378" s="93"/>
      <c r="AI378" s="87"/>
      <c r="AJ378" s="86"/>
      <c r="AK378" s="81"/>
      <c r="AL378" s="24"/>
      <c r="AM378" s="24"/>
      <c r="AN378" s="81"/>
      <c r="AO378" s="81"/>
      <c r="AP378" s="24"/>
      <c r="AQ378" s="93"/>
      <c r="AR378" s="94"/>
      <c r="AS378" s="82"/>
      <c r="AT378" s="82"/>
      <c r="AU378" s="24"/>
      <c r="AV378" s="93"/>
      <c r="AW378" s="94"/>
      <c r="AX378" s="95"/>
      <c r="AY378" s="95"/>
      <c r="AZ378" s="95"/>
      <c r="BA378" s="24"/>
      <c r="BB378" s="9" t="s">
        <v>92</v>
      </c>
      <c r="BC378" s="96" t="s">
        <v>93</v>
      </c>
    </row>
    <row r="379" spans="1:55" ht="15" customHeight="1">
      <c r="A379" s="86">
        <f t="shared" si="23"/>
        <v>377</v>
      </c>
      <c r="B379" s="75" t="s">
        <v>637</v>
      </c>
      <c r="C379" s="9"/>
      <c r="D379" s="76" t="s">
        <v>613</v>
      </c>
      <c r="E379" s="88" t="str">
        <f>_xlfn.IFNA(VLOOKUP($D379,'Route-Details'!$B$2:$X$1048576,'Node Details'!E$1,0),"")</f>
        <v>Airtel</v>
      </c>
      <c r="F379" s="88" t="str">
        <f>_xlfn.IFNA(VLOOKUP($D379,'Route-Details'!$B$2:$X$1048576,'Node Details'!F$1,0),"")</f>
        <v>Mani Majra</v>
      </c>
      <c r="G379" s="88" t="str">
        <f>_xlfn.IFNA(VLOOKUP($D379,'Route-Details'!$B$2:$X$1048576,'Node Details'!G$1,0),"")</f>
        <v>Chandigarh</v>
      </c>
      <c r="H379" s="88" t="str">
        <f>_xlfn.IFNA(VLOOKUP($D380,'Route-Details'!$B$2:$X$1048576,'Node Details'!H$1,0),"")</f>
        <v>Punjab</v>
      </c>
      <c r="I379" s="88" t="str">
        <f>_xlfn.IFNA(VLOOKUP($D379,'Route-Details'!$B$2:$X$1048576,'Node Details'!I$1,0),"")</f>
        <v>CM3</v>
      </c>
      <c r="J379" s="88" t="str">
        <f>_xlfn.IFNA(VLOOKUP($D379,'Route-Details'!$B$2:$X$1048576,'Node Details'!J$1,0),"")</f>
        <v>CM3</v>
      </c>
      <c r="K379" s="76">
        <v>46142</v>
      </c>
      <c r="L379" s="76">
        <v>46149</v>
      </c>
      <c r="M379" s="89">
        <v>46149</v>
      </c>
      <c r="N379" s="76">
        <v>46149</v>
      </c>
      <c r="Q379" s="86" t="s">
        <v>958</v>
      </c>
      <c r="R379" s="90"/>
      <c r="S379" s="87"/>
      <c r="T379" s="87"/>
      <c r="U379" s="87"/>
      <c r="V379" s="93"/>
      <c r="W379" s="91"/>
      <c r="X379" s="87"/>
      <c r="Y379" s="92"/>
      <c r="Z379" s="90"/>
      <c r="AA379" s="93"/>
      <c r="AB379" s="87"/>
      <c r="AC379" s="91"/>
      <c r="AD379" s="90"/>
      <c r="AE379" s="86"/>
      <c r="AF379" s="82"/>
      <c r="AG379" s="24"/>
      <c r="AH379" s="93"/>
      <c r="AI379" s="87"/>
      <c r="AJ379" s="86"/>
      <c r="AK379" s="81"/>
      <c r="AL379" s="24"/>
      <c r="AM379" s="24"/>
      <c r="AN379" s="81"/>
      <c r="AO379" s="81"/>
      <c r="AP379" s="24"/>
      <c r="AQ379" s="93"/>
      <c r="AR379" s="94"/>
      <c r="AS379" s="82"/>
      <c r="AT379" s="82"/>
      <c r="AU379" s="24"/>
      <c r="AV379" s="93"/>
      <c r="AW379" s="94"/>
      <c r="AX379" s="95"/>
      <c r="AY379" s="95"/>
      <c r="AZ379" s="95"/>
      <c r="BA379" s="24"/>
      <c r="BB379" s="9" t="s">
        <v>92</v>
      </c>
      <c r="BC379" s="96" t="s">
        <v>1128</v>
      </c>
    </row>
    <row r="380" spans="1:55" ht="15" customHeight="1">
      <c r="A380" s="86">
        <f t="shared" si="23"/>
        <v>378</v>
      </c>
      <c r="B380" s="75" t="s">
        <v>638</v>
      </c>
      <c r="C380" s="9"/>
      <c r="D380" s="76" t="s">
        <v>636</v>
      </c>
      <c r="E380" s="88" t="str">
        <f>_xlfn.IFNA(VLOOKUP($D380,'Route-Details'!$B$2:$X$1048576,'Node Details'!E$1,0),"")</f>
        <v>Airtel</v>
      </c>
      <c r="F380" s="88" t="str">
        <f>_xlfn.IFNA(VLOOKUP($D380,'Route-Details'!$B$2:$X$1048576,'Node Details'!F$1,0),"")</f>
        <v>Mani Majra</v>
      </c>
      <c r="G380" s="88" t="str">
        <f>_xlfn.IFNA(VLOOKUP($D380,'Route-Details'!$B$2:$X$1048576,'Node Details'!G$1,0),"")</f>
        <v>Chandigarh</v>
      </c>
      <c r="H380" s="88" t="str">
        <f>_xlfn.IFNA(VLOOKUP($D381,'Route-Details'!$B$2:$X$1048576,'Node Details'!H$1,0),"")</f>
        <v>Punjab</v>
      </c>
      <c r="I380" s="88" t="str">
        <f>_xlfn.IFNA(VLOOKUP($D380,'Route-Details'!$B$2:$X$1048576,'Node Details'!I$1,0),"")</f>
        <v>CM3</v>
      </c>
      <c r="J380" s="88" t="str">
        <f>_xlfn.IFNA(VLOOKUP($D380,'Route-Details'!$B$2:$X$1048576,'Node Details'!J$1,0),"")</f>
        <v>CM3</v>
      </c>
      <c r="K380" s="76">
        <v>46142</v>
      </c>
      <c r="L380" s="76">
        <v>46149</v>
      </c>
      <c r="M380" s="89">
        <v>46149</v>
      </c>
      <c r="N380" s="76">
        <v>46149</v>
      </c>
      <c r="Q380" s="86" t="s">
        <v>958</v>
      </c>
      <c r="R380" s="90"/>
      <c r="S380" s="87"/>
      <c r="T380" s="87"/>
      <c r="U380" s="87"/>
      <c r="V380" s="93"/>
      <c r="W380" s="91"/>
      <c r="X380" s="87"/>
      <c r="Y380" s="92"/>
      <c r="Z380" s="90"/>
      <c r="AA380" s="93"/>
      <c r="AB380" s="87"/>
      <c r="AC380" s="91"/>
      <c r="AD380" s="90"/>
      <c r="AE380" s="86"/>
      <c r="AF380" s="82"/>
      <c r="AG380" s="24"/>
      <c r="AH380" s="93"/>
      <c r="AI380" s="87"/>
      <c r="AJ380" s="86"/>
      <c r="AK380" s="81"/>
      <c r="AL380" s="24"/>
      <c r="AM380" s="24"/>
      <c r="AN380" s="81"/>
      <c r="AO380" s="81"/>
      <c r="AP380" s="24"/>
      <c r="AQ380" s="93"/>
      <c r="AR380" s="94"/>
      <c r="AS380" s="82"/>
      <c r="AT380" s="82"/>
      <c r="AU380" s="24"/>
      <c r="AV380" s="93"/>
      <c r="AW380" s="94"/>
      <c r="AX380" s="95"/>
      <c r="AY380" s="95"/>
      <c r="AZ380" s="95"/>
      <c r="BA380" s="24"/>
      <c r="BB380" s="9" t="s">
        <v>114</v>
      </c>
      <c r="BC380" s="96" t="s">
        <v>1128</v>
      </c>
    </row>
    <row r="381" spans="1:55" ht="15" customHeight="1">
      <c r="A381" s="86">
        <f t="shared" si="23"/>
        <v>379</v>
      </c>
      <c r="B381" s="75" t="s">
        <v>640</v>
      </c>
      <c r="C381" s="9"/>
      <c r="D381" s="76" t="s">
        <v>639</v>
      </c>
      <c r="E381" s="88" t="str">
        <f>_xlfn.IFNA(VLOOKUP($D381,'Route-Details'!$B$2:$X$1048576,'Node Details'!E$1,0),"")</f>
        <v>Airtel</v>
      </c>
      <c r="F381" s="88" t="str">
        <f>_xlfn.IFNA(VLOOKUP($D381,'Route-Details'!$B$2:$X$1048576,'Node Details'!F$1,0),"")</f>
        <v>Mani Majra</v>
      </c>
      <c r="G381" s="88" t="str">
        <f>_xlfn.IFNA(VLOOKUP($D381,'Route-Details'!$B$2:$X$1048576,'Node Details'!G$1,0),"")</f>
        <v>Chandigarh</v>
      </c>
      <c r="H381" s="88" t="str">
        <f>_xlfn.IFNA(VLOOKUP($D382,'Route-Details'!$B$2:$X$1048576,'Node Details'!H$1,0),"")</f>
        <v>Punjab</v>
      </c>
      <c r="I381" s="88" t="str">
        <f>_xlfn.IFNA(VLOOKUP($D381,'Route-Details'!$B$2:$X$1048576,'Node Details'!I$1,0),"")</f>
        <v>CM3</v>
      </c>
      <c r="J381" s="88" t="str">
        <f>_xlfn.IFNA(VLOOKUP($D381,'Route-Details'!$B$2:$X$1048576,'Node Details'!J$1,0),"")</f>
        <v>CM3</v>
      </c>
      <c r="K381" s="76">
        <v>46142</v>
      </c>
      <c r="L381" s="76">
        <v>46149</v>
      </c>
      <c r="M381" s="89">
        <v>46149</v>
      </c>
      <c r="N381" s="76">
        <v>46149</v>
      </c>
      <c r="Q381" s="86" t="s">
        <v>958</v>
      </c>
      <c r="R381" s="90"/>
      <c r="S381" s="87"/>
      <c r="T381" s="87"/>
      <c r="U381" s="87"/>
      <c r="V381" s="93"/>
      <c r="W381" s="91"/>
      <c r="X381" s="87"/>
      <c r="Y381" s="92"/>
      <c r="Z381" s="90"/>
      <c r="AA381" s="93"/>
      <c r="AB381" s="87"/>
      <c r="AC381" s="91"/>
      <c r="AD381" s="90"/>
      <c r="AE381" s="86"/>
      <c r="AF381" s="82"/>
      <c r="AG381" s="24"/>
      <c r="AH381" s="93"/>
      <c r="AI381" s="87"/>
      <c r="AJ381" s="86"/>
      <c r="AK381" s="81"/>
      <c r="AL381" s="24"/>
      <c r="AM381" s="24"/>
      <c r="AN381" s="81"/>
      <c r="AO381" s="81"/>
      <c r="AP381" s="24"/>
      <c r="AQ381" s="93"/>
      <c r="AR381" s="94"/>
      <c r="AS381" s="82"/>
      <c r="AT381" s="82"/>
      <c r="AU381" s="24"/>
      <c r="AV381" s="93"/>
      <c r="AW381" s="94"/>
      <c r="AX381" s="95"/>
      <c r="AY381" s="95"/>
      <c r="AZ381" s="95"/>
      <c r="BA381" s="24"/>
      <c r="BB381" s="9" t="s">
        <v>117</v>
      </c>
      <c r="BC381" s="96" t="s">
        <v>1128</v>
      </c>
    </row>
    <row r="382" spans="1:55" ht="15" customHeight="1">
      <c r="A382" s="86">
        <f t="shared" si="23"/>
        <v>380</v>
      </c>
      <c r="B382" s="75" t="s">
        <v>1129</v>
      </c>
      <c r="C382" s="9"/>
      <c r="D382" s="76" t="s">
        <v>641</v>
      </c>
      <c r="E382" s="88" t="str">
        <f>_xlfn.IFNA(VLOOKUP($D382,'Route-Details'!$B$2:$X$1048576,'Node Details'!E$1,0),"")</f>
        <v>Airtel</v>
      </c>
      <c r="F382" s="88" t="str">
        <f>_xlfn.IFNA(VLOOKUP($D382,'Route-Details'!$B$2:$X$1048576,'Node Details'!F$1,0),"")</f>
        <v>Mani Majra</v>
      </c>
      <c r="G382" s="88" t="str">
        <f>_xlfn.IFNA(VLOOKUP($D382,'Route-Details'!$B$2:$X$1048576,'Node Details'!G$1,0),"")</f>
        <v>Chandigarh</v>
      </c>
      <c r="H382" s="88" t="str">
        <f>_xlfn.IFNA(VLOOKUP($D383,'Route-Details'!$B$2:$X$1048576,'Node Details'!H$1,0),"")</f>
        <v>Punjab</v>
      </c>
      <c r="I382" s="88" t="str">
        <f>_xlfn.IFNA(VLOOKUP($D382,'Route-Details'!$B$2:$X$1048576,'Node Details'!I$1,0),"")</f>
        <v>CM3</v>
      </c>
      <c r="J382" s="88" t="str">
        <f>_xlfn.IFNA(VLOOKUP($D382,'Route-Details'!$B$2:$X$1048576,'Node Details'!J$1,0),"")</f>
        <v>CM3</v>
      </c>
      <c r="K382" s="76">
        <v>46142</v>
      </c>
      <c r="L382" s="76">
        <v>46149</v>
      </c>
      <c r="M382" s="89">
        <v>46149</v>
      </c>
      <c r="N382" s="76">
        <v>46149</v>
      </c>
      <c r="Q382" s="86" t="s">
        <v>958</v>
      </c>
      <c r="R382" s="90"/>
      <c r="S382" s="87"/>
      <c r="T382" s="87"/>
      <c r="U382" s="87"/>
      <c r="V382" s="93"/>
      <c r="W382" s="91"/>
      <c r="X382" s="87"/>
      <c r="Y382" s="92"/>
      <c r="Z382" s="90"/>
      <c r="AA382" s="93"/>
      <c r="AB382" s="87"/>
      <c r="AC382" s="91"/>
      <c r="AD382" s="90"/>
      <c r="AE382" s="86"/>
      <c r="AF382" s="82"/>
      <c r="AG382" s="24"/>
      <c r="AH382" s="93"/>
      <c r="AI382" s="87"/>
      <c r="AJ382" s="86"/>
      <c r="AK382" s="81"/>
      <c r="AL382" s="24"/>
      <c r="AM382" s="24"/>
      <c r="AN382" s="81"/>
      <c r="AO382" s="81"/>
      <c r="AP382" s="24"/>
      <c r="AQ382" s="93"/>
      <c r="AR382" s="94"/>
      <c r="AS382" s="82"/>
      <c r="AT382" s="82"/>
      <c r="AU382" s="24"/>
      <c r="AV382" s="93"/>
      <c r="AW382" s="94"/>
      <c r="AX382" s="95"/>
      <c r="AY382" s="95"/>
      <c r="AZ382" s="95"/>
      <c r="BA382" s="24"/>
      <c r="BB382" s="9" t="s">
        <v>120</v>
      </c>
      <c r="BC382" s="96" t="s">
        <v>1128</v>
      </c>
    </row>
    <row r="383" spans="1:55" ht="15" customHeight="1">
      <c r="A383" s="86">
        <f t="shared" si="23"/>
        <v>381</v>
      </c>
      <c r="B383" s="75" t="s">
        <v>1130</v>
      </c>
      <c r="C383" s="9"/>
      <c r="D383" s="76" t="s">
        <v>641</v>
      </c>
      <c r="E383" s="88" t="str">
        <f>_xlfn.IFNA(VLOOKUP($D383,'Route-Details'!$B$2:$X$1048576,'Node Details'!E$1,0),"")</f>
        <v>Airtel</v>
      </c>
      <c r="F383" s="88" t="str">
        <f>_xlfn.IFNA(VLOOKUP($D383,'Route-Details'!$B$2:$X$1048576,'Node Details'!F$1,0),"")</f>
        <v>Mani Majra</v>
      </c>
      <c r="G383" s="88" t="str">
        <f>_xlfn.IFNA(VLOOKUP($D383,'Route-Details'!$B$2:$X$1048576,'Node Details'!G$1,0),"")</f>
        <v>Chandigarh</v>
      </c>
      <c r="H383" s="88" t="str">
        <f>_xlfn.IFNA(VLOOKUP($D384,'Route-Details'!$B$2:$X$1048576,'Node Details'!H$1,0),"")</f>
        <v>Punjab</v>
      </c>
      <c r="I383" s="88" t="str">
        <f>_xlfn.IFNA(VLOOKUP($D383,'Route-Details'!$B$2:$X$1048576,'Node Details'!I$1,0),"")</f>
        <v>CM3</v>
      </c>
      <c r="J383" s="88" t="str">
        <f>_xlfn.IFNA(VLOOKUP($D383,'Route-Details'!$B$2:$X$1048576,'Node Details'!J$1,0),"")</f>
        <v>CM3</v>
      </c>
      <c r="K383" s="76">
        <v>46142</v>
      </c>
      <c r="L383" s="76">
        <v>46149</v>
      </c>
      <c r="M383" s="89">
        <v>46149</v>
      </c>
      <c r="N383" s="76">
        <v>46149</v>
      </c>
      <c r="Q383" s="86" t="s">
        <v>958</v>
      </c>
      <c r="R383" s="90"/>
      <c r="S383" s="87"/>
      <c r="T383" s="87"/>
      <c r="U383" s="87"/>
      <c r="V383" s="93"/>
      <c r="W383" s="91"/>
      <c r="X383" s="87"/>
      <c r="Y383" s="92"/>
      <c r="Z383" s="90"/>
      <c r="AA383" s="93"/>
      <c r="AB383" s="87"/>
      <c r="AC383" s="91"/>
      <c r="AD383" s="90"/>
      <c r="AE383" s="86"/>
      <c r="AF383" s="82"/>
      <c r="AG383" s="24"/>
      <c r="AH383" s="93"/>
      <c r="AI383" s="87"/>
      <c r="AJ383" s="86"/>
      <c r="AK383" s="81"/>
      <c r="AL383" s="24"/>
      <c r="AM383" s="24"/>
      <c r="AN383" s="81"/>
      <c r="AO383" s="81"/>
      <c r="AP383" s="24"/>
      <c r="AQ383" s="93"/>
      <c r="AR383" s="94"/>
      <c r="AS383" s="82"/>
      <c r="AT383" s="82"/>
      <c r="AU383" s="24"/>
      <c r="AV383" s="93"/>
      <c r="AW383" s="94"/>
      <c r="AX383" s="95"/>
      <c r="AY383" s="95"/>
      <c r="AZ383" s="95"/>
      <c r="BA383" s="24"/>
      <c r="BB383" s="9" t="s">
        <v>120</v>
      </c>
      <c r="BC383" s="96" t="s">
        <v>1128</v>
      </c>
    </row>
    <row r="384" spans="1:55" ht="15" customHeight="1">
      <c r="A384" s="86">
        <f t="shared" si="23"/>
        <v>382</v>
      </c>
      <c r="B384" s="75" t="s">
        <v>1131</v>
      </c>
      <c r="C384" s="9"/>
      <c r="D384" s="76" t="s">
        <v>641</v>
      </c>
      <c r="E384" s="88" t="str">
        <f>_xlfn.IFNA(VLOOKUP($D384,'Route-Details'!$B$2:$X$1048576,'Node Details'!E$1,0),"")</f>
        <v>Airtel</v>
      </c>
      <c r="F384" s="88" t="str">
        <f>_xlfn.IFNA(VLOOKUP($D384,'Route-Details'!$B$2:$X$1048576,'Node Details'!F$1,0),"")</f>
        <v>Mani Majra</v>
      </c>
      <c r="G384" s="88" t="str">
        <f>_xlfn.IFNA(VLOOKUP($D384,'Route-Details'!$B$2:$X$1048576,'Node Details'!G$1,0),"")</f>
        <v>Chandigarh</v>
      </c>
      <c r="H384" s="88" t="str">
        <f>_xlfn.IFNA(VLOOKUP($D385,'Route-Details'!$B$2:$X$1048576,'Node Details'!H$1,0),"")</f>
        <v>Punjab</v>
      </c>
      <c r="I384" s="88" t="str">
        <f>_xlfn.IFNA(VLOOKUP($D384,'Route-Details'!$B$2:$X$1048576,'Node Details'!I$1,0),"")</f>
        <v>CM3</v>
      </c>
      <c r="J384" s="88" t="str">
        <f>_xlfn.IFNA(VLOOKUP($D384,'Route-Details'!$B$2:$X$1048576,'Node Details'!J$1,0),"")</f>
        <v>CM3</v>
      </c>
      <c r="K384" s="76">
        <v>46142</v>
      </c>
      <c r="L384" s="76">
        <v>46149</v>
      </c>
      <c r="M384" s="89">
        <v>46149</v>
      </c>
      <c r="N384" s="76">
        <v>46149</v>
      </c>
      <c r="Q384" s="86" t="s">
        <v>958</v>
      </c>
      <c r="R384" s="90"/>
      <c r="S384" s="87"/>
      <c r="T384" s="87"/>
      <c r="U384" s="87"/>
      <c r="V384" s="93"/>
      <c r="W384" s="91"/>
      <c r="X384" s="87"/>
      <c r="Y384" s="92"/>
      <c r="Z384" s="90"/>
      <c r="AA384" s="93"/>
      <c r="AB384" s="87"/>
      <c r="AC384" s="91"/>
      <c r="AD384" s="90"/>
      <c r="AE384" s="86"/>
      <c r="AF384" s="82"/>
      <c r="AG384" s="24"/>
      <c r="AH384" s="93"/>
      <c r="AI384" s="87"/>
      <c r="AJ384" s="86"/>
      <c r="AK384" s="81"/>
      <c r="AL384" s="24"/>
      <c r="AM384" s="24"/>
      <c r="AN384" s="81"/>
      <c r="AO384" s="81"/>
      <c r="AP384" s="24"/>
      <c r="AQ384" s="93"/>
      <c r="AR384" s="94"/>
      <c r="AS384" s="82"/>
      <c r="AT384" s="82"/>
      <c r="AU384" s="24"/>
      <c r="AV384" s="93"/>
      <c r="AW384" s="94"/>
      <c r="AX384" s="95"/>
      <c r="AY384" s="95"/>
      <c r="AZ384" s="95"/>
      <c r="BA384" s="24"/>
      <c r="BB384" s="9" t="s">
        <v>120</v>
      </c>
      <c r="BC384" s="96" t="s">
        <v>1128</v>
      </c>
    </row>
    <row r="385" spans="1:55" ht="15" customHeight="1">
      <c r="A385" s="86">
        <f t="shared" si="23"/>
        <v>383</v>
      </c>
      <c r="B385" s="75" t="s">
        <v>642</v>
      </c>
      <c r="C385" s="9"/>
      <c r="D385" s="76" t="s">
        <v>641</v>
      </c>
      <c r="E385" s="88" t="str">
        <f>_xlfn.IFNA(VLOOKUP($D385,'Route-Details'!$B$2:$X$1048576,'Node Details'!E$1,0),"")</f>
        <v>Airtel</v>
      </c>
      <c r="F385" s="88" t="str">
        <f>_xlfn.IFNA(VLOOKUP($D385,'Route-Details'!$B$2:$X$1048576,'Node Details'!F$1,0),"")</f>
        <v>Mani Majra</v>
      </c>
      <c r="G385" s="88" t="str">
        <f>_xlfn.IFNA(VLOOKUP($D385,'Route-Details'!$B$2:$X$1048576,'Node Details'!G$1,0),"")</f>
        <v>Chandigarh</v>
      </c>
      <c r="H385" s="88" t="str">
        <f>_xlfn.IFNA(VLOOKUP($D386,'Route-Details'!$B$2:$X$1048576,'Node Details'!H$1,0),"")</f>
        <v>Punjab</v>
      </c>
      <c r="I385" s="88" t="str">
        <f>_xlfn.IFNA(VLOOKUP($D385,'Route-Details'!$B$2:$X$1048576,'Node Details'!I$1,0),"")</f>
        <v>CM3</v>
      </c>
      <c r="J385" s="88" t="str">
        <f>_xlfn.IFNA(VLOOKUP($D385,'Route-Details'!$B$2:$X$1048576,'Node Details'!J$1,0),"")</f>
        <v>CM3</v>
      </c>
      <c r="K385" s="76">
        <v>46142</v>
      </c>
      <c r="L385" s="76">
        <v>46149</v>
      </c>
      <c r="M385" s="89">
        <v>46149</v>
      </c>
      <c r="N385" s="76">
        <v>46149</v>
      </c>
      <c r="Q385" s="86" t="s">
        <v>958</v>
      </c>
      <c r="R385" s="90"/>
      <c r="S385" s="87"/>
      <c r="T385" s="87"/>
      <c r="U385" s="87"/>
      <c r="V385" s="93"/>
      <c r="W385" s="91"/>
      <c r="X385" s="87"/>
      <c r="Y385" s="92"/>
      <c r="Z385" s="90"/>
      <c r="AA385" s="93"/>
      <c r="AB385" s="87"/>
      <c r="AC385" s="91"/>
      <c r="AD385" s="90"/>
      <c r="AE385" s="86"/>
      <c r="AF385" s="82"/>
      <c r="AG385" s="24"/>
      <c r="AH385" s="93"/>
      <c r="AI385" s="87"/>
      <c r="AJ385" s="86"/>
      <c r="AK385" s="81"/>
      <c r="AL385" s="24"/>
      <c r="AM385" s="24"/>
      <c r="AN385" s="81"/>
      <c r="AO385" s="81"/>
      <c r="AP385" s="24"/>
      <c r="AQ385" s="93"/>
      <c r="AR385" s="94"/>
      <c r="AS385" s="82"/>
      <c r="AT385" s="82"/>
      <c r="AU385" s="24"/>
      <c r="AV385" s="93"/>
      <c r="AW385" s="94"/>
      <c r="AX385" s="95"/>
      <c r="AY385" s="95"/>
      <c r="AZ385" s="95"/>
      <c r="BA385" s="24"/>
      <c r="BB385" s="9" t="s">
        <v>120</v>
      </c>
      <c r="BC385" s="96" t="s">
        <v>1128</v>
      </c>
    </row>
    <row r="386" spans="1:55" ht="15" customHeight="1">
      <c r="A386" s="86">
        <f t="shared" si="23"/>
        <v>384</v>
      </c>
      <c r="B386" s="75" t="s">
        <v>644</v>
      </c>
      <c r="C386" s="9"/>
      <c r="D386" s="76" t="s">
        <v>613</v>
      </c>
      <c r="E386" s="88" t="str">
        <f>_xlfn.IFNA(VLOOKUP($D386,'Route-Details'!$B$2:$X$1048576,'Node Details'!E$1,0),"")</f>
        <v>Airtel</v>
      </c>
      <c r="F386" s="88" t="str">
        <f>_xlfn.IFNA(VLOOKUP($D386,'Route-Details'!$B$2:$X$1048576,'Node Details'!F$1,0),"")</f>
        <v>Mani Majra</v>
      </c>
      <c r="G386" s="88" t="str">
        <f>_xlfn.IFNA(VLOOKUP($D386,'Route-Details'!$B$2:$X$1048576,'Node Details'!G$1,0),"")</f>
        <v>Chandigarh</v>
      </c>
      <c r="H386" s="88" t="str">
        <f>_xlfn.IFNA(VLOOKUP($D387,'Route-Details'!$B$2:$X$1048576,'Node Details'!H$1,0),"")</f>
        <v>Punjab</v>
      </c>
      <c r="I386" s="88" t="str">
        <f>_xlfn.IFNA(VLOOKUP($D386,'Route-Details'!$B$2:$X$1048576,'Node Details'!I$1,0),"")</f>
        <v>CM3</v>
      </c>
      <c r="J386" s="88" t="str">
        <f>_xlfn.IFNA(VLOOKUP($D386,'Route-Details'!$B$2:$X$1048576,'Node Details'!J$1,0),"")</f>
        <v>CM3</v>
      </c>
      <c r="K386" s="76">
        <v>46142</v>
      </c>
      <c r="L386" s="76">
        <v>46149</v>
      </c>
      <c r="M386" s="89">
        <v>46149</v>
      </c>
      <c r="N386" s="76">
        <v>46149</v>
      </c>
      <c r="Q386" s="86" t="s">
        <v>958</v>
      </c>
      <c r="R386" s="90"/>
      <c r="S386" s="87"/>
      <c r="T386" s="87"/>
      <c r="U386" s="87"/>
      <c r="V386" s="93"/>
      <c r="W386" s="91"/>
      <c r="X386" s="87"/>
      <c r="Y386" s="92"/>
      <c r="Z386" s="90"/>
      <c r="AA386" s="93"/>
      <c r="AB386" s="87"/>
      <c r="AC386" s="91"/>
      <c r="AD386" s="90"/>
      <c r="AE386" s="86"/>
      <c r="AF386" s="82"/>
      <c r="AG386" s="24"/>
      <c r="AH386" s="93"/>
      <c r="AI386" s="87"/>
      <c r="AJ386" s="86"/>
      <c r="AK386" s="81"/>
      <c r="AL386" s="24"/>
      <c r="AM386" s="24"/>
      <c r="AN386" s="81"/>
      <c r="AO386" s="81"/>
      <c r="AP386" s="24"/>
      <c r="AQ386" s="93"/>
      <c r="AR386" s="94"/>
      <c r="AS386" s="82"/>
      <c r="AT386" s="82"/>
      <c r="AU386" s="24"/>
      <c r="AV386" s="93"/>
      <c r="AW386" s="94"/>
      <c r="AX386" s="95"/>
      <c r="AY386" s="95"/>
      <c r="AZ386" s="95"/>
      <c r="BA386" s="24"/>
      <c r="BB386" s="9" t="s">
        <v>92</v>
      </c>
      <c r="BC386" s="96" t="s">
        <v>1128</v>
      </c>
    </row>
    <row r="387" spans="1:55" ht="15" customHeight="1">
      <c r="A387" s="86">
        <f t="shared" si="23"/>
        <v>385</v>
      </c>
      <c r="B387" s="75" t="s">
        <v>645</v>
      </c>
      <c r="C387" s="9"/>
      <c r="D387" s="76" t="s">
        <v>643</v>
      </c>
      <c r="E387" s="88" t="str">
        <f>_xlfn.IFNA(VLOOKUP($D387,'Route-Details'!$B$2:$X$1048576,'Node Details'!E$1,0),"")</f>
        <v>Airtel</v>
      </c>
      <c r="F387" s="88" t="str">
        <f>_xlfn.IFNA(VLOOKUP($D387,'Route-Details'!$B$2:$X$1048576,'Node Details'!F$1,0),"")</f>
        <v>Mani Majra</v>
      </c>
      <c r="G387" s="88" t="str">
        <f>_xlfn.IFNA(VLOOKUP($D387,'Route-Details'!$B$2:$X$1048576,'Node Details'!G$1,0),"")</f>
        <v>Chandigarh</v>
      </c>
      <c r="H387" s="88" t="str">
        <f>_xlfn.IFNA(VLOOKUP($D388,'Route-Details'!$B$2:$X$1048576,'Node Details'!H$1,0),"")</f>
        <v>Punjab</v>
      </c>
      <c r="I387" s="88" t="str">
        <f>_xlfn.IFNA(VLOOKUP($D387,'Route-Details'!$B$2:$X$1048576,'Node Details'!I$1,0),"")</f>
        <v>CM3</v>
      </c>
      <c r="J387" s="88" t="str">
        <f>_xlfn.IFNA(VLOOKUP($D387,'Route-Details'!$B$2:$X$1048576,'Node Details'!J$1,0),"")</f>
        <v>CM3</v>
      </c>
      <c r="K387" s="76">
        <v>46142</v>
      </c>
      <c r="L387" s="76">
        <v>46149</v>
      </c>
      <c r="M387" s="89">
        <v>46149</v>
      </c>
      <c r="N387" s="76">
        <v>46149</v>
      </c>
      <c r="Q387" s="86" t="s">
        <v>958</v>
      </c>
      <c r="R387" s="90"/>
      <c r="S387" s="87"/>
      <c r="T387" s="87"/>
      <c r="U387" s="87"/>
      <c r="V387" s="93"/>
      <c r="W387" s="91"/>
      <c r="X387" s="87"/>
      <c r="Y387" s="92"/>
      <c r="Z387" s="90"/>
      <c r="AA387" s="93"/>
      <c r="AB387" s="87"/>
      <c r="AC387" s="91"/>
      <c r="AD387" s="90"/>
      <c r="AE387" s="86"/>
      <c r="AF387" s="82"/>
      <c r="AG387" s="24"/>
      <c r="AH387" s="93"/>
      <c r="AI387" s="87"/>
      <c r="AJ387" s="86"/>
      <c r="AK387" s="81"/>
      <c r="AL387" s="24"/>
      <c r="AM387" s="24"/>
      <c r="AN387" s="81"/>
      <c r="AO387" s="81"/>
      <c r="AP387" s="24"/>
      <c r="AQ387" s="93"/>
      <c r="AR387" s="94"/>
      <c r="AS387" s="82"/>
      <c r="AT387" s="82"/>
      <c r="AU387" s="24"/>
      <c r="AV387" s="93"/>
      <c r="AW387" s="94"/>
      <c r="AX387" s="95"/>
      <c r="AY387" s="95"/>
      <c r="AZ387" s="95"/>
      <c r="BA387" s="24"/>
      <c r="BB387" s="9" t="s">
        <v>123</v>
      </c>
      <c r="BC387" s="96" t="s">
        <v>1128</v>
      </c>
    </row>
    <row r="388" spans="1:55" ht="15" customHeight="1">
      <c r="A388" s="86">
        <f t="shared" si="23"/>
        <v>386</v>
      </c>
      <c r="B388" s="75" t="s">
        <v>1132</v>
      </c>
      <c r="C388" s="9"/>
      <c r="D388" s="76" t="s">
        <v>646</v>
      </c>
      <c r="E388" s="88" t="str">
        <f>_xlfn.IFNA(VLOOKUP($D388,'Route-Details'!$B$2:$X$1048576,'Node Details'!E$1,0),"")</f>
        <v>Airtel</v>
      </c>
      <c r="F388" s="88" t="str">
        <f>_xlfn.IFNA(VLOOKUP($D388,'Route-Details'!$B$2:$X$1048576,'Node Details'!F$1,0),"")</f>
        <v>Mani Majra</v>
      </c>
      <c r="G388" s="88" t="str">
        <f>_xlfn.IFNA(VLOOKUP($D388,'Route-Details'!$B$2:$X$1048576,'Node Details'!G$1,0),"")</f>
        <v>Chandigarh</v>
      </c>
      <c r="H388" s="88" t="str">
        <f>_xlfn.IFNA(VLOOKUP($D389,'Route-Details'!$B$2:$X$1048576,'Node Details'!H$1,0),"")</f>
        <v>Punjab</v>
      </c>
      <c r="I388" s="88" t="str">
        <f>_xlfn.IFNA(VLOOKUP($D388,'Route-Details'!$B$2:$X$1048576,'Node Details'!I$1,0),"")</f>
        <v>CM3</v>
      </c>
      <c r="J388" s="88" t="str">
        <f>_xlfn.IFNA(VLOOKUP($D388,'Route-Details'!$B$2:$X$1048576,'Node Details'!J$1,0),"")</f>
        <v>CM3</v>
      </c>
      <c r="K388" s="76">
        <v>46142</v>
      </c>
      <c r="L388" s="76">
        <v>46149</v>
      </c>
      <c r="M388" s="89">
        <v>46149</v>
      </c>
      <c r="N388" s="76">
        <v>46149</v>
      </c>
      <c r="Q388" s="86" t="s">
        <v>958</v>
      </c>
      <c r="R388" s="90"/>
      <c r="S388" s="87"/>
      <c r="T388" s="87"/>
      <c r="U388" s="87"/>
      <c r="V388" s="93"/>
      <c r="W388" s="91"/>
      <c r="X388" s="87"/>
      <c r="Y388" s="92"/>
      <c r="Z388" s="90"/>
      <c r="AA388" s="93"/>
      <c r="AB388" s="87"/>
      <c r="AC388" s="91"/>
      <c r="AD388" s="90"/>
      <c r="AE388" s="86"/>
      <c r="AF388" s="82"/>
      <c r="AG388" s="24"/>
      <c r="AH388" s="93"/>
      <c r="AI388" s="87"/>
      <c r="AJ388" s="86"/>
      <c r="AK388" s="81"/>
      <c r="AL388" s="24"/>
      <c r="AM388" s="24"/>
      <c r="AN388" s="81"/>
      <c r="AO388" s="81"/>
      <c r="AP388" s="24"/>
      <c r="AQ388" s="93"/>
      <c r="AR388" s="94"/>
      <c r="AS388" s="82"/>
      <c r="AT388" s="82"/>
      <c r="AU388" s="24"/>
      <c r="AV388" s="93"/>
      <c r="AW388" s="94"/>
      <c r="AX388" s="95"/>
      <c r="AY388" s="95"/>
      <c r="AZ388" s="95"/>
      <c r="BA388" s="24"/>
      <c r="BB388" s="9" t="s">
        <v>126</v>
      </c>
      <c r="BC388" s="96" t="s">
        <v>1128</v>
      </c>
    </row>
    <row r="389" spans="1:55" ht="15" customHeight="1">
      <c r="A389" s="86">
        <f t="shared" ref="A389:A452" si="24">A388+1</f>
        <v>387</v>
      </c>
      <c r="B389" s="75" t="s">
        <v>1133</v>
      </c>
      <c r="C389" s="9"/>
      <c r="D389" s="76" t="s">
        <v>646</v>
      </c>
      <c r="E389" s="88" t="str">
        <f>_xlfn.IFNA(VLOOKUP($D389,'Route-Details'!$B$2:$X$1048576,'Node Details'!E$1,0),"")</f>
        <v>Airtel</v>
      </c>
      <c r="F389" s="88" t="str">
        <f>_xlfn.IFNA(VLOOKUP($D389,'Route-Details'!$B$2:$X$1048576,'Node Details'!F$1,0),"")</f>
        <v>Mani Majra</v>
      </c>
      <c r="G389" s="88" t="str">
        <f>_xlfn.IFNA(VLOOKUP($D389,'Route-Details'!$B$2:$X$1048576,'Node Details'!G$1,0),"")</f>
        <v>Chandigarh</v>
      </c>
      <c r="H389" s="88" t="str">
        <f>_xlfn.IFNA(VLOOKUP($D390,'Route-Details'!$B$2:$X$1048576,'Node Details'!H$1,0),"")</f>
        <v>Punjab</v>
      </c>
      <c r="I389" s="88" t="str">
        <f>_xlfn.IFNA(VLOOKUP($D389,'Route-Details'!$B$2:$X$1048576,'Node Details'!I$1,0),"")</f>
        <v>CM3</v>
      </c>
      <c r="J389" s="88" t="str">
        <f>_xlfn.IFNA(VLOOKUP($D389,'Route-Details'!$B$2:$X$1048576,'Node Details'!J$1,0),"")</f>
        <v>CM3</v>
      </c>
      <c r="K389" s="76">
        <v>46142</v>
      </c>
      <c r="L389" s="76">
        <v>46149</v>
      </c>
      <c r="M389" s="89">
        <v>46149</v>
      </c>
      <c r="N389" s="76">
        <v>46149</v>
      </c>
      <c r="Q389" s="86" t="s">
        <v>958</v>
      </c>
      <c r="R389" s="90"/>
      <c r="S389" s="87"/>
      <c r="T389" s="87"/>
      <c r="U389" s="87"/>
      <c r="V389" s="93"/>
      <c r="W389" s="91"/>
      <c r="X389" s="87"/>
      <c r="Y389" s="92"/>
      <c r="Z389" s="90"/>
      <c r="AA389" s="93"/>
      <c r="AB389" s="87"/>
      <c r="AC389" s="91"/>
      <c r="AD389" s="90"/>
      <c r="AE389" s="86"/>
      <c r="AF389" s="82"/>
      <c r="AG389" s="24"/>
      <c r="AH389" s="93"/>
      <c r="AI389" s="87"/>
      <c r="AJ389" s="86"/>
      <c r="AK389" s="81"/>
      <c r="AL389" s="24"/>
      <c r="AM389" s="24"/>
      <c r="AN389" s="81"/>
      <c r="AO389" s="81"/>
      <c r="AP389" s="24"/>
      <c r="AQ389" s="93"/>
      <c r="AR389" s="94"/>
      <c r="AS389" s="82"/>
      <c r="AT389" s="82"/>
      <c r="AU389" s="24"/>
      <c r="AV389" s="93"/>
      <c r="AW389" s="94"/>
      <c r="AX389" s="95"/>
      <c r="AY389" s="95"/>
      <c r="AZ389" s="95"/>
      <c r="BA389" s="24"/>
      <c r="BB389" s="9" t="s">
        <v>126</v>
      </c>
      <c r="BC389" s="96" t="s">
        <v>1128</v>
      </c>
    </row>
    <row r="390" spans="1:55" ht="15" customHeight="1">
      <c r="A390" s="86">
        <f t="shared" si="24"/>
        <v>388</v>
      </c>
      <c r="B390" s="75" t="s">
        <v>647</v>
      </c>
      <c r="C390" s="9"/>
      <c r="D390" s="76" t="s">
        <v>646</v>
      </c>
      <c r="E390" s="88" t="str">
        <f>_xlfn.IFNA(VLOOKUP($D390,'Route-Details'!$B$2:$X$1048576,'Node Details'!E$1,0),"")</f>
        <v>Airtel</v>
      </c>
      <c r="F390" s="88" t="str">
        <f>_xlfn.IFNA(VLOOKUP($D390,'Route-Details'!$B$2:$X$1048576,'Node Details'!F$1,0),"")</f>
        <v>Mani Majra</v>
      </c>
      <c r="G390" s="88" t="str">
        <f>_xlfn.IFNA(VLOOKUP($D390,'Route-Details'!$B$2:$X$1048576,'Node Details'!G$1,0),"")</f>
        <v>Chandigarh</v>
      </c>
      <c r="H390" s="88" t="str">
        <f>_xlfn.IFNA(VLOOKUP($D391,'Route-Details'!$B$2:$X$1048576,'Node Details'!H$1,0),"")</f>
        <v>Punjab</v>
      </c>
      <c r="I390" s="88" t="str">
        <f>_xlfn.IFNA(VLOOKUP($D390,'Route-Details'!$B$2:$X$1048576,'Node Details'!I$1,0),"")</f>
        <v>CM3</v>
      </c>
      <c r="J390" s="88" t="str">
        <f>_xlfn.IFNA(VLOOKUP($D390,'Route-Details'!$B$2:$X$1048576,'Node Details'!J$1,0),"")</f>
        <v>CM3</v>
      </c>
      <c r="K390" s="76">
        <v>46142</v>
      </c>
      <c r="L390" s="76">
        <v>46149</v>
      </c>
      <c r="M390" s="89">
        <v>46149</v>
      </c>
      <c r="N390" s="76">
        <v>46149</v>
      </c>
      <c r="Q390" s="86" t="s">
        <v>958</v>
      </c>
      <c r="R390" s="90"/>
      <c r="S390" s="87"/>
      <c r="T390" s="87"/>
      <c r="U390" s="87"/>
      <c r="V390" s="93"/>
      <c r="W390" s="91"/>
      <c r="X390" s="87"/>
      <c r="Y390" s="92"/>
      <c r="Z390" s="90"/>
      <c r="AA390" s="93"/>
      <c r="AB390" s="87"/>
      <c r="AC390" s="91"/>
      <c r="AD390" s="90"/>
      <c r="AE390" s="86"/>
      <c r="AF390" s="82"/>
      <c r="AG390" s="24"/>
      <c r="AH390" s="93"/>
      <c r="AI390" s="87"/>
      <c r="AJ390" s="86"/>
      <c r="AK390" s="81"/>
      <c r="AL390" s="24"/>
      <c r="AM390" s="24"/>
      <c r="AN390" s="81"/>
      <c r="AO390" s="81"/>
      <c r="AP390" s="24"/>
      <c r="AQ390" s="93"/>
      <c r="AR390" s="94"/>
      <c r="AS390" s="82"/>
      <c r="AT390" s="82"/>
      <c r="AU390" s="24"/>
      <c r="AV390" s="93"/>
      <c r="AW390" s="94"/>
      <c r="AX390" s="95"/>
      <c r="AY390" s="95"/>
      <c r="AZ390" s="95"/>
      <c r="BA390" s="24"/>
      <c r="BB390" s="9" t="s">
        <v>126</v>
      </c>
      <c r="BC390" s="96" t="s">
        <v>1128</v>
      </c>
    </row>
    <row r="391" spans="1:55" ht="15" customHeight="1">
      <c r="A391" s="86">
        <f t="shared" si="24"/>
        <v>389</v>
      </c>
      <c r="B391" s="75" t="s">
        <v>649</v>
      </c>
      <c r="C391" s="9"/>
      <c r="D391" s="76" t="s">
        <v>613</v>
      </c>
      <c r="E391" s="88" t="str">
        <f>_xlfn.IFNA(VLOOKUP($D391,'Route-Details'!$B$2:$X$1048576,'Node Details'!E$1,0),"")</f>
        <v>Airtel</v>
      </c>
      <c r="F391" s="88" t="str">
        <f>_xlfn.IFNA(VLOOKUP($D391,'Route-Details'!$B$2:$X$1048576,'Node Details'!F$1,0),"")</f>
        <v>Mani Majra</v>
      </c>
      <c r="G391" s="88" t="str">
        <f>_xlfn.IFNA(VLOOKUP($D391,'Route-Details'!$B$2:$X$1048576,'Node Details'!G$1,0),"")</f>
        <v>Chandigarh</v>
      </c>
      <c r="H391" s="88" t="str">
        <f>_xlfn.IFNA(VLOOKUP($D392,'Route-Details'!$B$2:$X$1048576,'Node Details'!H$1,0),"")</f>
        <v>Punjab</v>
      </c>
      <c r="I391" s="88" t="str">
        <f>_xlfn.IFNA(VLOOKUP($D391,'Route-Details'!$B$2:$X$1048576,'Node Details'!I$1,0),"")</f>
        <v>CM3</v>
      </c>
      <c r="J391" s="88" t="str">
        <f>_xlfn.IFNA(VLOOKUP($D391,'Route-Details'!$B$2:$X$1048576,'Node Details'!J$1,0),"")</f>
        <v>CM3</v>
      </c>
      <c r="K391" s="76">
        <v>46142</v>
      </c>
      <c r="L391" s="76">
        <v>46149</v>
      </c>
      <c r="M391" s="89">
        <v>46149</v>
      </c>
      <c r="N391" s="76">
        <v>46149</v>
      </c>
      <c r="Q391" s="86" t="s">
        <v>958</v>
      </c>
      <c r="R391" s="90"/>
      <c r="S391" s="87"/>
      <c r="T391" s="87"/>
      <c r="U391" s="87"/>
      <c r="V391" s="93"/>
      <c r="W391" s="91"/>
      <c r="X391" s="87"/>
      <c r="Y391" s="92"/>
      <c r="Z391" s="90"/>
      <c r="AA391" s="93"/>
      <c r="AB391" s="87"/>
      <c r="AC391" s="91"/>
      <c r="AD391" s="90"/>
      <c r="AE391" s="86"/>
      <c r="AF391" s="82"/>
      <c r="AG391" s="24"/>
      <c r="AH391" s="93"/>
      <c r="AI391" s="87"/>
      <c r="AJ391" s="86"/>
      <c r="AK391" s="81"/>
      <c r="AL391" s="24"/>
      <c r="AM391" s="24"/>
      <c r="AN391" s="81"/>
      <c r="AO391" s="81"/>
      <c r="AP391" s="24"/>
      <c r="AQ391" s="93"/>
      <c r="AR391" s="94"/>
      <c r="AS391" s="82"/>
      <c r="AT391" s="82"/>
      <c r="AU391" s="24"/>
      <c r="AV391" s="93"/>
      <c r="AW391" s="94"/>
      <c r="AX391" s="95"/>
      <c r="AY391" s="95"/>
      <c r="AZ391" s="95"/>
      <c r="BA391" s="24"/>
      <c r="BB391" s="9" t="s">
        <v>92</v>
      </c>
      <c r="BC391" s="96" t="s">
        <v>1128</v>
      </c>
    </row>
    <row r="392" spans="1:55" ht="15" customHeight="1">
      <c r="A392" s="86">
        <f t="shared" si="24"/>
        <v>390</v>
      </c>
      <c r="B392" s="75" t="s">
        <v>650</v>
      </c>
      <c r="C392" s="9"/>
      <c r="D392" s="76" t="s">
        <v>648</v>
      </c>
      <c r="E392" s="88" t="str">
        <f>_xlfn.IFNA(VLOOKUP($D392,'Route-Details'!$B$2:$X$1048576,'Node Details'!E$1,0),"")</f>
        <v>Airtel</v>
      </c>
      <c r="F392" s="88" t="str">
        <f>_xlfn.IFNA(VLOOKUP($D392,'Route-Details'!$B$2:$X$1048576,'Node Details'!F$1,0),"")</f>
        <v>Mani Majra</v>
      </c>
      <c r="G392" s="88" t="str">
        <f>_xlfn.IFNA(VLOOKUP($D392,'Route-Details'!$B$2:$X$1048576,'Node Details'!G$1,0),"")</f>
        <v>Chandigarh</v>
      </c>
      <c r="H392" s="88" t="str">
        <f>_xlfn.IFNA(VLOOKUP($D393,'Route-Details'!$B$2:$X$1048576,'Node Details'!H$1,0),"")</f>
        <v>Punjab</v>
      </c>
      <c r="I392" s="88" t="str">
        <f>_xlfn.IFNA(VLOOKUP($D392,'Route-Details'!$B$2:$X$1048576,'Node Details'!I$1,0),"")</f>
        <v>CM3</v>
      </c>
      <c r="J392" s="88" t="str">
        <f>_xlfn.IFNA(VLOOKUP($D392,'Route-Details'!$B$2:$X$1048576,'Node Details'!J$1,0),"")</f>
        <v>CM3</v>
      </c>
      <c r="K392" s="76">
        <v>46142</v>
      </c>
      <c r="L392" s="76">
        <v>46149</v>
      </c>
      <c r="M392" s="89">
        <v>46149</v>
      </c>
      <c r="N392" s="76">
        <v>46149</v>
      </c>
      <c r="Q392" s="86" t="s">
        <v>958</v>
      </c>
      <c r="R392" s="90"/>
      <c r="S392" s="87"/>
      <c r="T392" s="87"/>
      <c r="U392" s="87"/>
      <c r="V392" s="93"/>
      <c r="W392" s="91"/>
      <c r="X392" s="87"/>
      <c r="Y392" s="92"/>
      <c r="Z392" s="90"/>
      <c r="AA392" s="93"/>
      <c r="AB392" s="87"/>
      <c r="AC392" s="91"/>
      <c r="AD392" s="90"/>
      <c r="AE392" s="86"/>
      <c r="AF392" s="82"/>
      <c r="AG392" s="24"/>
      <c r="AH392" s="93"/>
      <c r="AI392" s="87"/>
      <c r="AJ392" s="86"/>
      <c r="AK392" s="81"/>
      <c r="AL392" s="24"/>
      <c r="AM392" s="24"/>
      <c r="AN392" s="81"/>
      <c r="AO392" s="81"/>
      <c r="AP392" s="24"/>
      <c r="AQ392" s="93"/>
      <c r="AR392" s="94"/>
      <c r="AS392" s="82"/>
      <c r="AT392" s="82"/>
      <c r="AU392" s="24"/>
      <c r="AV392" s="93"/>
      <c r="AW392" s="94"/>
      <c r="AX392" s="95"/>
      <c r="AY392" s="95"/>
      <c r="AZ392" s="95"/>
      <c r="BA392" s="24"/>
      <c r="BB392" s="9" t="s">
        <v>129</v>
      </c>
      <c r="BC392" s="96" t="s">
        <v>1128</v>
      </c>
    </row>
    <row r="393" spans="1:55" ht="15" customHeight="1">
      <c r="A393" s="86">
        <f t="shared" si="24"/>
        <v>391</v>
      </c>
      <c r="B393" s="75" t="s">
        <v>1134</v>
      </c>
      <c r="C393" s="9"/>
      <c r="D393" s="76" t="s">
        <v>651</v>
      </c>
      <c r="E393" s="88" t="str">
        <f>_xlfn.IFNA(VLOOKUP($D393,'Route-Details'!$B$2:$X$1048576,'Node Details'!E$1,0),"")</f>
        <v>Airtel</v>
      </c>
      <c r="F393" s="88" t="str">
        <f>_xlfn.IFNA(VLOOKUP($D393,'Route-Details'!$B$2:$X$1048576,'Node Details'!F$1,0),"")</f>
        <v>Mani Majra</v>
      </c>
      <c r="G393" s="88" t="str">
        <f>_xlfn.IFNA(VLOOKUP($D393,'Route-Details'!$B$2:$X$1048576,'Node Details'!G$1,0),"")</f>
        <v>Chandigarh</v>
      </c>
      <c r="H393" s="88" t="str">
        <f>_xlfn.IFNA(VLOOKUP($D394,'Route-Details'!$B$2:$X$1048576,'Node Details'!H$1,0),"")</f>
        <v>Punjab</v>
      </c>
      <c r="I393" s="88" t="str">
        <f>_xlfn.IFNA(VLOOKUP($D393,'Route-Details'!$B$2:$X$1048576,'Node Details'!I$1,0),"")</f>
        <v>CM3</v>
      </c>
      <c r="J393" s="88" t="str">
        <f>_xlfn.IFNA(VLOOKUP($D393,'Route-Details'!$B$2:$X$1048576,'Node Details'!J$1,0),"")</f>
        <v>CM3</v>
      </c>
      <c r="K393" s="76">
        <v>46142</v>
      </c>
      <c r="L393" s="76">
        <v>46149</v>
      </c>
      <c r="M393" s="89">
        <v>46149</v>
      </c>
      <c r="N393" s="76">
        <v>46149</v>
      </c>
      <c r="Q393" s="86" t="s">
        <v>958</v>
      </c>
      <c r="R393" s="90"/>
      <c r="S393" s="87"/>
      <c r="T393" s="87"/>
      <c r="U393" s="87"/>
      <c r="V393" s="93"/>
      <c r="W393" s="91"/>
      <c r="X393" s="87"/>
      <c r="Y393" s="92"/>
      <c r="Z393" s="90"/>
      <c r="AA393" s="93"/>
      <c r="AB393" s="87"/>
      <c r="AC393" s="91"/>
      <c r="AD393" s="90"/>
      <c r="AE393" s="86"/>
      <c r="AF393" s="82"/>
      <c r="AG393" s="24"/>
      <c r="AH393" s="93"/>
      <c r="AI393" s="87"/>
      <c r="AJ393" s="86"/>
      <c r="AK393" s="81"/>
      <c r="AL393" s="24"/>
      <c r="AM393" s="24"/>
      <c r="AN393" s="81"/>
      <c r="AO393" s="81"/>
      <c r="AP393" s="24"/>
      <c r="AQ393" s="93"/>
      <c r="AR393" s="94"/>
      <c r="AS393" s="82"/>
      <c r="AT393" s="82"/>
      <c r="AU393" s="24"/>
      <c r="AV393" s="93"/>
      <c r="AW393" s="94"/>
      <c r="AX393" s="95"/>
      <c r="AY393" s="95"/>
      <c r="AZ393" s="95"/>
      <c r="BA393" s="24"/>
      <c r="BB393" s="9" t="s">
        <v>135</v>
      </c>
      <c r="BC393" s="96" t="s">
        <v>1128</v>
      </c>
    </row>
    <row r="394" spans="1:55" ht="15" customHeight="1">
      <c r="A394" s="86">
        <f t="shared" si="24"/>
        <v>392</v>
      </c>
      <c r="B394" s="75" t="s">
        <v>652</v>
      </c>
      <c r="C394" s="9"/>
      <c r="D394" s="76" t="s">
        <v>651</v>
      </c>
      <c r="E394" s="88" t="str">
        <f>_xlfn.IFNA(VLOOKUP($D394,'Route-Details'!$B$2:$X$1048576,'Node Details'!E$1,0),"")</f>
        <v>Airtel</v>
      </c>
      <c r="F394" s="88" t="str">
        <f>_xlfn.IFNA(VLOOKUP($D394,'Route-Details'!$B$2:$X$1048576,'Node Details'!F$1,0),"")</f>
        <v>Mani Majra</v>
      </c>
      <c r="G394" s="88" t="str">
        <f>_xlfn.IFNA(VLOOKUP($D394,'Route-Details'!$B$2:$X$1048576,'Node Details'!G$1,0),"")</f>
        <v>Chandigarh</v>
      </c>
      <c r="H394" s="88" t="str">
        <f>_xlfn.IFNA(VLOOKUP($D395,'Route-Details'!$B$2:$X$1048576,'Node Details'!H$1,0),"")</f>
        <v>Punjab</v>
      </c>
      <c r="I394" s="88" t="str">
        <f>_xlfn.IFNA(VLOOKUP($D394,'Route-Details'!$B$2:$X$1048576,'Node Details'!I$1,0),"")</f>
        <v>CM3</v>
      </c>
      <c r="J394" s="88" t="str">
        <f>_xlfn.IFNA(VLOOKUP($D394,'Route-Details'!$B$2:$X$1048576,'Node Details'!J$1,0),"")</f>
        <v>CM3</v>
      </c>
      <c r="K394" s="76">
        <v>46142</v>
      </c>
      <c r="L394" s="76">
        <v>46149</v>
      </c>
      <c r="M394" s="89">
        <v>46149</v>
      </c>
      <c r="N394" s="76">
        <v>46149</v>
      </c>
      <c r="Q394" s="86" t="s">
        <v>958</v>
      </c>
      <c r="R394" s="90"/>
      <c r="S394" s="87"/>
      <c r="T394" s="87"/>
      <c r="U394" s="87"/>
      <c r="V394" s="93"/>
      <c r="W394" s="91"/>
      <c r="X394" s="87"/>
      <c r="Y394" s="92"/>
      <c r="Z394" s="90"/>
      <c r="AA394" s="93"/>
      <c r="AB394" s="87"/>
      <c r="AC394" s="91"/>
      <c r="AD394" s="90"/>
      <c r="AE394" s="86"/>
      <c r="AF394" s="82"/>
      <c r="AG394" s="24"/>
      <c r="AH394" s="93"/>
      <c r="AI394" s="87"/>
      <c r="AJ394" s="86"/>
      <c r="AK394" s="81"/>
      <c r="AL394" s="24"/>
      <c r="AM394" s="24"/>
      <c r="AN394" s="81"/>
      <c r="AO394" s="81"/>
      <c r="AP394" s="24"/>
      <c r="AQ394" s="93"/>
      <c r="AR394" s="94"/>
      <c r="AS394" s="82"/>
      <c r="AT394" s="82"/>
      <c r="AU394" s="24"/>
      <c r="AV394" s="93"/>
      <c r="AW394" s="94"/>
      <c r="AX394" s="95"/>
      <c r="AY394" s="95"/>
      <c r="AZ394" s="95"/>
      <c r="BA394" s="24"/>
      <c r="BB394" s="9" t="s">
        <v>135</v>
      </c>
      <c r="BC394" s="96" t="s">
        <v>1128</v>
      </c>
    </row>
    <row r="395" spans="1:55" ht="15" customHeight="1">
      <c r="A395" s="86">
        <f t="shared" si="24"/>
        <v>393</v>
      </c>
      <c r="B395" s="75" t="s">
        <v>654</v>
      </c>
      <c r="C395" s="9"/>
      <c r="D395" s="76" t="s">
        <v>653</v>
      </c>
      <c r="E395" s="88" t="str">
        <f>_xlfn.IFNA(VLOOKUP($D395,'Route-Details'!$B$2:$X$1048576,'Node Details'!E$1,0),"")</f>
        <v>Airtel</v>
      </c>
      <c r="F395" s="88" t="str">
        <f>_xlfn.IFNA(VLOOKUP($D395,'Route-Details'!$B$2:$X$1048576,'Node Details'!F$1,0),"")</f>
        <v>Mani Majra</v>
      </c>
      <c r="G395" s="88" t="str">
        <f>_xlfn.IFNA(VLOOKUP($D395,'Route-Details'!$B$2:$X$1048576,'Node Details'!G$1,0),"")</f>
        <v>Chandigarh</v>
      </c>
      <c r="H395" s="88" t="str">
        <f>_xlfn.IFNA(VLOOKUP($D396,'Route-Details'!$B$2:$X$1048576,'Node Details'!H$1,0),"")</f>
        <v>Punjab</v>
      </c>
      <c r="I395" s="88" t="str">
        <f>_xlfn.IFNA(VLOOKUP($D395,'Route-Details'!$B$2:$X$1048576,'Node Details'!I$1,0),"")</f>
        <v>CM3</v>
      </c>
      <c r="J395" s="88" t="str">
        <f>_xlfn.IFNA(VLOOKUP($D395,'Route-Details'!$B$2:$X$1048576,'Node Details'!J$1,0),"")</f>
        <v>CM3</v>
      </c>
      <c r="K395" s="76">
        <v>46142</v>
      </c>
      <c r="L395" s="76">
        <v>46149</v>
      </c>
      <c r="M395" s="89">
        <v>46149</v>
      </c>
      <c r="N395" s="76">
        <v>46149</v>
      </c>
      <c r="Q395" s="86" t="s">
        <v>958</v>
      </c>
      <c r="R395" s="90"/>
      <c r="S395" s="87"/>
      <c r="T395" s="87"/>
      <c r="U395" s="87"/>
      <c r="V395" s="93"/>
      <c r="W395" s="91"/>
      <c r="X395" s="87"/>
      <c r="Y395" s="92"/>
      <c r="Z395" s="90"/>
      <c r="AA395" s="93"/>
      <c r="AB395" s="87"/>
      <c r="AC395" s="91"/>
      <c r="AD395" s="90"/>
      <c r="AE395" s="86"/>
      <c r="AF395" s="82"/>
      <c r="AG395" s="24"/>
      <c r="AH395" s="93"/>
      <c r="AI395" s="87"/>
      <c r="AJ395" s="86"/>
      <c r="AK395" s="81"/>
      <c r="AL395" s="24"/>
      <c r="AM395" s="24"/>
      <c r="AN395" s="81"/>
      <c r="AO395" s="81"/>
      <c r="AP395" s="24"/>
      <c r="AQ395" s="93"/>
      <c r="AR395" s="94"/>
      <c r="AS395" s="82"/>
      <c r="AT395" s="82"/>
      <c r="AU395" s="24"/>
      <c r="AV395" s="93"/>
      <c r="AW395" s="94"/>
      <c r="AX395" s="95"/>
      <c r="AY395" s="95"/>
      <c r="AZ395" s="95"/>
      <c r="BA395" s="24"/>
      <c r="BB395" s="9" t="s">
        <v>138</v>
      </c>
      <c r="BC395" s="96" t="s">
        <v>1128</v>
      </c>
    </row>
    <row r="396" spans="1:55" ht="15" customHeight="1">
      <c r="A396" s="86">
        <f t="shared" si="24"/>
        <v>394</v>
      </c>
      <c r="B396" s="75" t="s">
        <v>1135</v>
      </c>
      <c r="C396" s="9"/>
      <c r="D396" s="76" t="s">
        <v>655</v>
      </c>
      <c r="E396" s="88" t="str">
        <f>_xlfn.IFNA(VLOOKUP($D396,'Route-Details'!$B$2:$X$1048576,'Node Details'!E$1,0),"")</f>
        <v>Airtel</v>
      </c>
      <c r="F396" s="88" t="str">
        <f>_xlfn.IFNA(VLOOKUP($D396,'Route-Details'!$B$2:$X$1048576,'Node Details'!F$1,0),"")</f>
        <v>Mani Majra</v>
      </c>
      <c r="G396" s="88" t="str">
        <f>_xlfn.IFNA(VLOOKUP($D396,'Route-Details'!$B$2:$X$1048576,'Node Details'!G$1,0),"")</f>
        <v>Chandigarh</v>
      </c>
      <c r="H396" s="88" t="str">
        <f>_xlfn.IFNA(VLOOKUP($D397,'Route-Details'!$B$2:$X$1048576,'Node Details'!H$1,0),"")</f>
        <v>Punjab</v>
      </c>
      <c r="I396" s="88" t="str">
        <f>_xlfn.IFNA(VLOOKUP($D396,'Route-Details'!$B$2:$X$1048576,'Node Details'!I$1,0),"")</f>
        <v>CM3</v>
      </c>
      <c r="J396" s="88" t="str">
        <f>_xlfn.IFNA(VLOOKUP($D396,'Route-Details'!$B$2:$X$1048576,'Node Details'!J$1,0),"")</f>
        <v>CM3</v>
      </c>
      <c r="K396" s="76">
        <v>46142</v>
      </c>
      <c r="L396" s="76">
        <v>46149</v>
      </c>
      <c r="M396" s="89">
        <v>46149</v>
      </c>
      <c r="N396" s="76">
        <v>46149</v>
      </c>
      <c r="Q396" s="86" t="s">
        <v>958</v>
      </c>
      <c r="R396" s="90"/>
      <c r="S396" s="87"/>
      <c r="T396" s="87"/>
      <c r="U396" s="87"/>
      <c r="V396" s="93"/>
      <c r="W396" s="91"/>
      <c r="X396" s="87"/>
      <c r="Y396" s="92"/>
      <c r="Z396" s="90"/>
      <c r="AA396" s="93"/>
      <c r="AB396" s="87"/>
      <c r="AC396" s="91"/>
      <c r="AD396" s="90"/>
      <c r="AE396" s="86"/>
      <c r="AF396" s="82"/>
      <c r="AG396" s="24"/>
      <c r="AH396" s="93"/>
      <c r="AI396" s="87"/>
      <c r="AJ396" s="86"/>
      <c r="AK396" s="81"/>
      <c r="AL396" s="24"/>
      <c r="AM396" s="24"/>
      <c r="AN396" s="81"/>
      <c r="AO396" s="81"/>
      <c r="AP396" s="24"/>
      <c r="AQ396" s="93"/>
      <c r="AR396" s="94"/>
      <c r="AS396" s="82"/>
      <c r="AT396" s="82"/>
      <c r="AU396" s="24"/>
      <c r="AV396" s="93"/>
      <c r="AW396" s="94"/>
      <c r="AX396" s="95"/>
      <c r="AY396" s="95"/>
      <c r="AZ396" s="95"/>
      <c r="BA396" s="24"/>
      <c r="BB396" s="9" t="s">
        <v>132</v>
      </c>
      <c r="BC396" s="96" t="s">
        <v>1128</v>
      </c>
    </row>
    <row r="397" spans="1:55" ht="15" customHeight="1">
      <c r="A397" s="86">
        <f t="shared" si="24"/>
        <v>395</v>
      </c>
      <c r="B397" s="75" t="s">
        <v>1136</v>
      </c>
      <c r="C397" s="9"/>
      <c r="D397" s="76" t="s">
        <v>655</v>
      </c>
      <c r="E397" s="88" t="str">
        <f>_xlfn.IFNA(VLOOKUP($D397,'Route-Details'!$B$2:$X$1048576,'Node Details'!E$1,0),"")</f>
        <v>Airtel</v>
      </c>
      <c r="F397" s="88" t="str">
        <f>_xlfn.IFNA(VLOOKUP($D397,'Route-Details'!$B$2:$X$1048576,'Node Details'!F$1,0),"")</f>
        <v>Mani Majra</v>
      </c>
      <c r="G397" s="88" t="str">
        <f>_xlfn.IFNA(VLOOKUP($D397,'Route-Details'!$B$2:$X$1048576,'Node Details'!G$1,0),"")</f>
        <v>Chandigarh</v>
      </c>
      <c r="H397" s="88" t="str">
        <f>_xlfn.IFNA(VLOOKUP($D398,'Route-Details'!$B$2:$X$1048576,'Node Details'!H$1,0),"")</f>
        <v>Punjab</v>
      </c>
      <c r="I397" s="88" t="str">
        <f>_xlfn.IFNA(VLOOKUP($D397,'Route-Details'!$B$2:$X$1048576,'Node Details'!I$1,0),"")</f>
        <v>CM3</v>
      </c>
      <c r="J397" s="88" t="str">
        <f>_xlfn.IFNA(VLOOKUP($D397,'Route-Details'!$B$2:$X$1048576,'Node Details'!J$1,0),"")</f>
        <v>CM3</v>
      </c>
      <c r="K397" s="76">
        <v>46142</v>
      </c>
      <c r="L397" s="76">
        <v>46149</v>
      </c>
      <c r="M397" s="89">
        <v>46149</v>
      </c>
      <c r="N397" s="76">
        <v>46149</v>
      </c>
      <c r="Q397" s="86" t="s">
        <v>958</v>
      </c>
      <c r="R397" s="90"/>
      <c r="S397" s="87"/>
      <c r="T397" s="87"/>
      <c r="U397" s="87"/>
      <c r="V397" s="93"/>
      <c r="W397" s="91"/>
      <c r="X397" s="87"/>
      <c r="Y397" s="92"/>
      <c r="Z397" s="90"/>
      <c r="AA397" s="93"/>
      <c r="AB397" s="87"/>
      <c r="AC397" s="91"/>
      <c r="AD397" s="90"/>
      <c r="AE397" s="86"/>
      <c r="AF397" s="82"/>
      <c r="AG397" s="24"/>
      <c r="AH397" s="93"/>
      <c r="AI397" s="87"/>
      <c r="AJ397" s="86"/>
      <c r="AK397" s="81"/>
      <c r="AL397" s="24"/>
      <c r="AM397" s="24"/>
      <c r="AN397" s="81"/>
      <c r="AO397" s="81"/>
      <c r="AP397" s="24"/>
      <c r="AQ397" s="93"/>
      <c r="AR397" s="94"/>
      <c r="AS397" s="82"/>
      <c r="AT397" s="82"/>
      <c r="AU397" s="24"/>
      <c r="AV397" s="93"/>
      <c r="AW397" s="94"/>
      <c r="AX397" s="95"/>
      <c r="AY397" s="95"/>
      <c r="AZ397" s="95"/>
      <c r="BA397" s="24"/>
      <c r="BB397" s="9" t="s">
        <v>132</v>
      </c>
      <c r="BC397" s="96" t="s">
        <v>1128</v>
      </c>
    </row>
    <row r="398" spans="1:55" ht="15" customHeight="1">
      <c r="A398" s="86">
        <f t="shared" si="24"/>
        <v>396</v>
      </c>
      <c r="B398" s="75" t="s">
        <v>656</v>
      </c>
      <c r="C398" s="9"/>
      <c r="D398" s="76" t="s">
        <v>655</v>
      </c>
      <c r="E398" s="88" t="str">
        <f>_xlfn.IFNA(VLOOKUP($D398,'Route-Details'!$B$2:$X$1048576,'Node Details'!E$1,0),"")</f>
        <v>Airtel</v>
      </c>
      <c r="F398" s="88" t="str">
        <f>_xlfn.IFNA(VLOOKUP($D398,'Route-Details'!$B$2:$X$1048576,'Node Details'!F$1,0),"")</f>
        <v>Mani Majra</v>
      </c>
      <c r="G398" s="88" t="str">
        <f>_xlfn.IFNA(VLOOKUP($D398,'Route-Details'!$B$2:$X$1048576,'Node Details'!G$1,0),"")</f>
        <v>Chandigarh</v>
      </c>
      <c r="H398" s="88" t="str">
        <f>_xlfn.IFNA(VLOOKUP($D399,'Route-Details'!$B$2:$X$1048576,'Node Details'!H$1,0),"")</f>
        <v>Punjab</v>
      </c>
      <c r="I398" s="88" t="str">
        <f>_xlfn.IFNA(VLOOKUP($D398,'Route-Details'!$B$2:$X$1048576,'Node Details'!I$1,0),"")</f>
        <v>CM3</v>
      </c>
      <c r="J398" s="88" t="str">
        <f>_xlfn.IFNA(VLOOKUP($D398,'Route-Details'!$B$2:$X$1048576,'Node Details'!J$1,0),"")</f>
        <v>CM3</v>
      </c>
      <c r="K398" s="76">
        <v>46142</v>
      </c>
      <c r="L398" s="76">
        <v>46149</v>
      </c>
      <c r="M398" s="89">
        <v>46149</v>
      </c>
      <c r="N398" s="76">
        <v>46149</v>
      </c>
      <c r="Q398" s="86" t="s">
        <v>958</v>
      </c>
      <c r="R398" s="90"/>
      <c r="S398" s="87"/>
      <c r="T398" s="87"/>
      <c r="U398" s="87"/>
      <c r="V398" s="93"/>
      <c r="W398" s="91"/>
      <c r="X398" s="87"/>
      <c r="Y398" s="92"/>
      <c r="Z398" s="90"/>
      <c r="AA398" s="93"/>
      <c r="AB398" s="87"/>
      <c r="AC398" s="91"/>
      <c r="AD398" s="90"/>
      <c r="AE398" s="86"/>
      <c r="AF398" s="82"/>
      <c r="AG398" s="24"/>
      <c r="AH398" s="93"/>
      <c r="AI398" s="87"/>
      <c r="AJ398" s="86"/>
      <c r="AK398" s="81"/>
      <c r="AL398" s="24"/>
      <c r="AM398" s="24"/>
      <c r="AN398" s="81"/>
      <c r="AO398" s="81"/>
      <c r="AP398" s="24"/>
      <c r="AQ398" s="93"/>
      <c r="AR398" s="94"/>
      <c r="AS398" s="82"/>
      <c r="AT398" s="82"/>
      <c r="AU398" s="24"/>
      <c r="AV398" s="93"/>
      <c r="AW398" s="94"/>
      <c r="AX398" s="95"/>
      <c r="AY398" s="95"/>
      <c r="AZ398" s="95"/>
      <c r="BA398" s="24"/>
      <c r="BB398" s="9" t="s">
        <v>132</v>
      </c>
      <c r="BC398" s="96" t="s">
        <v>1128</v>
      </c>
    </row>
    <row r="399" spans="1:55" ht="15" customHeight="1">
      <c r="A399" s="86">
        <f t="shared" si="24"/>
        <v>397</v>
      </c>
      <c r="B399" s="75" t="s">
        <v>630</v>
      </c>
      <c r="C399" s="9"/>
      <c r="D399" s="76" t="s">
        <v>613</v>
      </c>
      <c r="E399" s="88" t="str">
        <f>_xlfn.IFNA(VLOOKUP($D399,'Route-Details'!$B$2:$X$1048576,'Node Details'!E$1,0),"")</f>
        <v>Airtel</v>
      </c>
      <c r="F399" s="88" t="str">
        <f>_xlfn.IFNA(VLOOKUP($D399,'Route-Details'!$B$2:$X$1048576,'Node Details'!F$1,0),"")</f>
        <v>Mani Majra</v>
      </c>
      <c r="G399" s="88" t="str">
        <f>_xlfn.IFNA(VLOOKUP($D399,'Route-Details'!$B$2:$X$1048576,'Node Details'!G$1,0),"")</f>
        <v>Chandigarh</v>
      </c>
      <c r="H399" s="88" t="str">
        <f>_xlfn.IFNA(VLOOKUP($D400,'Route-Details'!$B$2:$X$1048576,'Node Details'!H$1,0),"")</f>
        <v>Punjab</v>
      </c>
      <c r="I399" s="88" t="str">
        <f>_xlfn.IFNA(VLOOKUP($D399,'Route-Details'!$B$2:$X$1048576,'Node Details'!I$1,0),"")</f>
        <v>CM3</v>
      </c>
      <c r="J399" s="88" t="str">
        <f>_xlfn.IFNA(VLOOKUP($D399,'Route-Details'!$B$2:$X$1048576,'Node Details'!J$1,0),"")</f>
        <v>CM3</v>
      </c>
      <c r="K399" s="76">
        <v>46142</v>
      </c>
      <c r="L399" s="76">
        <v>46149</v>
      </c>
      <c r="M399" s="89">
        <v>46149</v>
      </c>
      <c r="N399" s="76">
        <v>46149</v>
      </c>
      <c r="Q399" s="86" t="s">
        <v>958</v>
      </c>
      <c r="R399" s="90"/>
      <c r="S399" s="87"/>
      <c r="T399" s="87"/>
      <c r="U399" s="87"/>
      <c r="V399" s="93"/>
      <c r="W399" s="91"/>
      <c r="X399" s="87"/>
      <c r="Y399" s="92"/>
      <c r="Z399" s="90"/>
      <c r="AA399" s="93"/>
      <c r="AB399" s="87"/>
      <c r="AC399" s="91"/>
      <c r="AD399" s="90"/>
      <c r="AE399" s="86"/>
      <c r="AF399" s="82"/>
      <c r="AG399" s="24"/>
      <c r="AH399" s="93"/>
      <c r="AI399" s="87"/>
      <c r="AJ399" s="86"/>
      <c r="AK399" s="81"/>
      <c r="AL399" s="24"/>
      <c r="AM399" s="24"/>
      <c r="AN399" s="81"/>
      <c r="AO399" s="81"/>
      <c r="AP399" s="24"/>
      <c r="AQ399" s="93"/>
      <c r="AR399" s="94"/>
      <c r="AS399" s="82"/>
      <c r="AT399" s="82"/>
      <c r="AU399" s="24"/>
      <c r="AV399" s="93"/>
      <c r="AW399" s="94"/>
      <c r="AX399" s="95"/>
      <c r="AY399" s="95"/>
      <c r="AZ399" s="95"/>
      <c r="BA399" s="24"/>
      <c r="BB399" s="9" t="s">
        <v>92</v>
      </c>
      <c r="BC399" s="96" t="s">
        <v>1128</v>
      </c>
    </row>
    <row r="400" spans="1:55" ht="15" customHeight="1">
      <c r="A400" s="86">
        <f t="shared" si="24"/>
        <v>398</v>
      </c>
      <c r="B400" s="75" t="s">
        <v>658</v>
      </c>
      <c r="C400" s="9"/>
      <c r="D400" s="76" t="s">
        <v>657</v>
      </c>
      <c r="E400" s="88" t="str">
        <f>_xlfn.IFNA(VLOOKUP($D400,'Route-Details'!$B$2:$X$1048576,'Node Details'!E$1,0),"")</f>
        <v>Airtel</v>
      </c>
      <c r="F400" s="88" t="str">
        <f>_xlfn.IFNA(VLOOKUP($D400,'Route-Details'!$B$2:$X$1048576,'Node Details'!F$1,0),"")</f>
        <v>Mani Majra</v>
      </c>
      <c r="G400" s="88" t="str">
        <f>_xlfn.IFNA(VLOOKUP($D400,'Route-Details'!$B$2:$X$1048576,'Node Details'!G$1,0),"")</f>
        <v>Chandigarh</v>
      </c>
      <c r="H400" s="88" t="str">
        <f>_xlfn.IFNA(VLOOKUP($D401,'Route-Details'!$B$2:$X$1048576,'Node Details'!H$1,0),"")</f>
        <v>Punjab</v>
      </c>
      <c r="I400" s="88" t="str">
        <f>_xlfn.IFNA(VLOOKUP($D400,'Route-Details'!$B$2:$X$1048576,'Node Details'!I$1,0),"")</f>
        <v>CM3</v>
      </c>
      <c r="J400" s="88" t="str">
        <f>_xlfn.IFNA(VLOOKUP($D400,'Route-Details'!$B$2:$X$1048576,'Node Details'!J$1,0),"")</f>
        <v>CM3</v>
      </c>
      <c r="K400" s="76">
        <v>46142</v>
      </c>
      <c r="L400" s="76">
        <v>46149</v>
      </c>
      <c r="M400" s="89">
        <v>46149</v>
      </c>
      <c r="N400" s="76">
        <v>46149</v>
      </c>
      <c r="Q400" s="86" t="s">
        <v>958</v>
      </c>
      <c r="R400" s="90"/>
      <c r="S400" s="87"/>
      <c r="T400" s="87"/>
      <c r="U400" s="87"/>
      <c r="V400" s="93"/>
      <c r="W400" s="91"/>
      <c r="X400" s="87"/>
      <c r="Y400" s="92"/>
      <c r="Z400" s="90"/>
      <c r="AA400" s="93"/>
      <c r="AB400" s="87"/>
      <c r="AC400" s="91"/>
      <c r="AD400" s="90"/>
      <c r="AE400" s="86"/>
      <c r="AF400" s="82"/>
      <c r="AG400" s="24"/>
      <c r="AH400" s="93"/>
      <c r="AI400" s="87"/>
      <c r="AJ400" s="86"/>
      <c r="AK400" s="81"/>
      <c r="AL400" s="24"/>
      <c r="AM400" s="24"/>
      <c r="AN400" s="81"/>
      <c r="AO400" s="81"/>
      <c r="AP400" s="24"/>
      <c r="AQ400" s="93"/>
      <c r="AR400" s="94"/>
      <c r="AS400" s="82"/>
      <c r="AT400" s="82"/>
      <c r="AU400" s="24"/>
      <c r="AV400" s="93"/>
      <c r="AW400" s="94"/>
      <c r="AX400" s="95"/>
      <c r="AY400" s="95"/>
      <c r="AZ400" s="95"/>
      <c r="BA400" s="24"/>
      <c r="BB400" s="9" t="s">
        <v>182</v>
      </c>
      <c r="BC400" s="96" t="s">
        <v>1128</v>
      </c>
    </row>
    <row r="401" spans="1:55" ht="15" customHeight="1">
      <c r="A401" s="86">
        <f t="shared" si="24"/>
        <v>399</v>
      </c>
      <c r="B401" s="75" t="s">
        <v>1137</v>
      </c>
      <c r="C401" s="9"/>
      <c r="D401" s="76" t="s">
        <v>659</v>
      </c>
      <c r="E401" s="88" t="str">
        <f>_xlfn.IFNA(VLOOKUP($D401,'Route-Details'!$B$2:$X$1048576,'Node Details'!E$1,0),"")</f>
        <v>Airtel</v>
      </c>
      <c r="F401" s="88" t="str">
        <f>_xlfn.IFNA(VLOOKUP($D401,'Route-Details'!$B$2:$X$1048576,'Node Details'!F$1,0),"")</f>
        <v>Mani Majra</v>
      </c>
      <c r="G401" s="88" t="str">
        <f>_xlfn.IFNA(VLOOKUP($D401,'Route-Details'!$B$2:$X$1048576,'Node Details'!G$1,0),"")</f>
        <v>Chandigarh</v>
      </c>
      <c r="H401" s="88" t="str">
        <f>_xlfn.IFNA(VLOOKUP($D402,'Route-Details'!$B$2:$X$1048576,'Node Details'!H$1,0),"")</f>
        <v>Punjab</v>
      </c>
      <c r="I401" s="88" t="str">
        <f>_xlfn.IFNA(VLOOKUP($D401,'Route-Details'!$B$2:$X$1048576,'Node Details'!I$1,0),"")</f>
        <v>CM3</v>
      </c>
      <c r="J401" s="88" t="str">
        <f>_xlfn.IFNA(VLOOKUP($D401,'Route-Details'!$B$2:$X$1048576,'Node Details'!J$1,0),"")</f>
        <v>CM3</v>
      </c>
      <c r="K401" s="76">
        <v>46142</v>
      </c>
      <c r="L401" s="76">
        <v>46149</v>
      </c>
      <c r="M401" s="89">
        <v>46149</v>
      </c>
      <c r="N401" s="76">
        <v>46149</v>
      </c>
      <c r="Q401" s="86" t="s">
        <v>958</v>
      </c>
      <c r="R401" s="90"/>
      <c r="S401" s="87"/>
      <c r="T401" s="87"/>
      <c r="U401" s="87"/>
      <c r="V401" s="93"/>
      <c r="W401" s="91"/>
      <c r="X401" s="87"/>
      <c r="Y401" s="92"/>
      <c r="Z401" s="90"/>
      <c r="AA401" s="93"/>
      <c r="AB401" s="87"/>
      <c r="AC401" s="91"/>
      <c r="AD401" s="90"/>
      <c r="AE401" s="86"/>
      <c r="AF401" s="82"/>
      <c r="AG401" s="24"/>
      <c r="AH401" s="93"/>
      <c r="AI401" s="87"/>
      <c r="AJ401" s="86"/>
      <c r="AK401" s="81"/>
      <c r="AL401" s="24"/>
      <c r="AM401" s="24"/>
      <c r="AN401" s="81"/>
      <c r="AO401" s="81"/>
      <c r="AP401" s="24"/>
      <c r="AQ401" s="93"/>
      <c r="AR401" s="94"/>
      <c r="AS401" s="82"/>
      <c r="AT401" s="82"/>
      <c r="AU401" s="24"/>
      <c r="AV401" s="93"/>
      <c r="AW401" s="94"/>
      <c r="AX401" s="95"/>
      <c r="AY401" s="95"/>
      <c r="AZ401" s="95"/>
      <c r="BA401" s="24"/>
      <c r="BB401" s="9" t="s">
        <v>185</v>
      </c>
      <c r="BC401" s="96" t="s">
        <v>1128</v>
      </c>
    </row>
    <row r="402" spans="1:55" ht="15" customHeight="1">
      <c r="A402" s="86">
        <f t="shared" si="24"/>
        <v>400</v>
      </c>
      <c r="B402" s="75" t="s">
        <v>1138</v>
      </c>
      <c r="C402" s="9"/>
      <c r="D402" s="76" t="s">
        <v>659</v>
      </c>
      <c r="E402" s="88" t="str">
        <f>_xlfn.IFNA(VLOOKUP($D402,'Route-Details'!$B$2:$X$1048576,'Node Details'!E$1,0),"")</f>
        <v>Airtel</v>
      </c>
      <c r="F402" s="88" t="str">
        <f>_xlfn.IFNA(VLOOKUP($D402,'Route-Details'!$B$2:$X$1048576,'Node Details'!F$1,0),"")</f>
        <v>Mani Majra</v>
      </c>
      <c r="G402" s="88" t="str">
        <f>_xlfn.IFNA(VLOOKUP($D402,'Route-Details'!$B$2:$X$1048576,'Node Details'!G$1,0),"")</f>
        <v>Chandigarh</v>
      </c>
      <c r="H402" s="88" t="str">
        <f>_xlfn.IFNA(VLOOKUP($D403,'Route-Details'!$B$2:$X$1048576,'Node Details'!H$1,0),"")</f>
        <v>Punjab</v>
      </c>
      <c r="I402" s="88" t="str">
        <f>_xlfn.IFNA(VLOOKUP($D402,'Route-Details'!$B$2:$X$1048576,'Node Details'!I$1,0),"")</f>
        <v>CM3</v>
      </c>
      <c r="J402" s="88" t="str">
        <f>_xlfn.IFNA(VLOOKUP($D402,'Route-Details'!$B$2:$X$1048576,'Node Details'!J$1,0),"")</f>
        <v>CM3</v>
      </c>
      <c r="K402" s="76">
        <v>46142</v>
      </c>
      <c r="L402" s="76">
        <v>46149</v>
      </c>
      <c r="M402" s="89">
        <v>46149</v>
      </c>
      <c r="N402" s="76">
        <v>46149</v>
      </c>
      <c r="Q402" s="86" t="s">
        <v>958</v>
      </c>
      <c r="R402" s="90"/>
      <c r="S402" s="87"/>
      <c r="T402" s="87"/>
      <c r="U402" s="87"/>
      <c r="V402" s="93"/>
      <c r="W402" s="91"/>
      <c r="X402" s="87"/>
      <c r="Y402" s="92"/>
      <c r="Z402" s="90"/>
      <c r="AA402" s="93"/>
      <c r="AB402" s="87"/>
      <c r="AC402" s="91"/>
      <c r="AD402" s="90"/>
      <c r="AE402" s="86"/>
      <c r="AF402" s="82"/>
      <c r="AG402" s="24"/>
      <c r="AH402" s="93"/>
      <c r="AI402" s="87"/>
      <c r="AJ402" s="86"/>
      <c r="AK402" s="81"/>
      <c r="AL402" s="24"/>
      <c r="AM402" s="24"/>
      <c r="AN402" s="81"/>
      <c r="AO402" s="81"/>
      <c r="AP402" s="24"/>
      <c r="AQ402" s="93"/>
      <c r="AR402" s="94"/>
      <c r="AS402" s="82"/>
      <c r="AT402" s="82"/>
      <c r="AU402" s="24"/>
      <c r="AV402" s="93"/>
      <c r="AW402" s="94"/>
      <c r="AX402" s="95"/>
      <c r="AY402" s="95"/>
      <c r="AZ402" s="95"/>
      <c r="BA402" s="24"/>
      <c r="BB402" s="9" t="s">
        <v>185</v>
      </c>
      <c r="BC402" s="96" t="s">
        <v>1128</v>
      </c>
    </row>
    <row r="403" spans="1:55" ht="15" customHeight="1">
      <c r="A403" s="86">
        <f t="shared" si="24"/>
        <v>401</v>
      </c>
      <c r="B403" s="75" t="s">
        <v>660</v>
      </c>
      <c r="C403" s="9"/>
      <c r="D403" s="76" t="s">
        <v>659</v>
      </c>
      <c r="E403" s="88" t="str">
        <f>_xlfn.IFNA(VLOOKUP($D403,'Route-Details'!$B$2:$X$1048576,'Node Details'!E$1,0),"")</f>
        <v>Airtel</v>
      </c>
      <c r="F403" s="88" t="str">
        <f>_xlfn.IFNA(VLOOKUP($D403,'Route-Details'!$B$2:$X$1048576,'Node Details'!F$1,0),"")</f>
        <v>Mani Majra</v>
      </c>
      <c r="G403" s="88" t="str">
        <f>_xlfn.IFNA(VLOOKUP($D403,'Route-Details'!$B$2:$X$1048576,'Node Details'!G$1,0),"")</f>
        <v>Chandigarh</v>
      </c>
      <c r="H403" s="88" t="str">
        <f>_xlfn.IFNA(VLOOKUP($D404,'Route-Details'!$B$2:$X$1048576,'Node Details'!H$1,0),"")</f>
        <v>Punjab</v>
      </c>
      <c r="I403" s="88" t="str">
        <f>_xlfn.IFNA(VLOOKUP($D403,'Route-Details'!$B$2:$X$1048576,'Node Details'!I$1,0),"")</f>
        <v>CM3</v>
      </c>
      <c r="J403" s="88" t="str">
        <f>_xlfn.IFNA(VLOOKUP($D403,'Route-Details'!$B$2:$X$1048576,'Node Details'!J$1,0),"")</f>
        <v>CM3</v>
      </c>
      <c r="K403" s="76">
        <v>46142</v>
      </c>
      <c r="L403" s="76">
        <v>46149</v>
      </c>
      <c r="M403" s="89">
        <v>46149</v>
      </c>
      <c r="N403" s="76">
        <v>46149</v>
      </c>
      <c r="Q403" s="86" t="s">
        <v>958</v>
      </c>
      <c r="R403" s="90"/>
      <c r="S403" s="87"/>
      <c r="T403" s="87"/>
      <c r="U403" s="87"/>
      <c r="V403" s="93"/>
      <c r="W403" s="91"/>
      <c r="X403" s="87"/>
      <c r="Y403" s="92"/>
      <c r="Z403" s="90"/>
      <c r="AA403" s="93"/>
      <c r="AB403" s="87"/>
      <c r="AC403" s="91"/>
      <c r="AD403" s="90"/>
      <c r="AE403" s="86"/>
      <c r="AF403" s="82"/>
      <c r="AG403" s="24"/>
      <c r="AH403" s="93"/>
      <c r="AI403" s="87"/>
      <c r="AJ403" s="86"/>
      <c r="AK403" s="81"/>
      <c r="AL403" s="24"/>
      <c r="AM403" s="24"/>
      <c r="AN403" s="81"/>
      <c r="AO403" s="81"/>
      <c r="AP403" s="24"/>
      <c r="AQ403" s="93"/>
      <c r="AR403" s="94"/>
      <c r="AS403" s="82"/>
      <c r="AT403" s="82"/>
      <c r="AU403" s="24"/>
      <c r="AV403" s="93"/>
      <c r="AW403" s="94"/>
      <c r="AX403" s="95"/>
      <c r="AY403" s="95"/>
      <c r="AZ403" s="95"/>
      <c r="BA403" s="24"/>
      <c r="BB403" s="9" t="s">
        <v>185</v>
      </c>
      <c r="BC403" s="96" t="s">
        <v>1128</v>
      </c>
    </row>
    <row r="404" spans="1:55" ht="15" customHeight="1">
      <c r="A404" s="86">
        <f t="shared" si="24"/>
        <v>402</v>
      </c>
      <c r="B404" s="75" t="s">
        <v>1139</v>
      </c>
      <c r="C404" s="9"/>
      <c r="D404" s="76" t="s">
        <v>661</v>
      </c>
      <c r="E404" s="88" t="str">
        <f>_xlfn.IFNA(VLOOKUP($D404,'Route-Details'!$B$2:$X$1048576,'Node Details'!E$1,0),"")</f>
        <v>Airtel</v>
      </c>
      <c r="F404" s="88" t="str">
        <f>_xlfn.IFNA(VLOOKUP($D404,'Route-Details'!$B$2:$X$1048576,'Node Details'!F$1,0),"")</f>
        <v>Mani Majra</v>
      </c>
      <c r="G404" s="88" t="str">
        <f>_xlfn.IFNA(VLOOKUP($D404,'Route-Details'!$B$2:$X$1048576,'Node Details'!G$1,0),"")</f>
        <v>Chandigarh</v>
      </c>
      <c r="H404" s="88" t="str">
        <f>_xlfn.IFNA(VLOOKUP($D405,'Route-Details'!$B$2:$X$1048576,'Node Details'!H$1,0),"")</f>
        <v>Punjab</v>
      </c>
      <c r="I404" s="88" t="str">
        <f>_xlfn.IFNA(VLOOKUP($D404,'Route-Details'!$B$2:$X$1048576,'Node Details'!I$1,0),"")</f>
        <v>CM3</v>
      </c>
      <c r="J404" s="88" t="str">
        <f>_xlfn.IFNA(VLOOKUP($D404,'Route-Details'!$B$2:$X$1048576,'Node Details'!J$1,0),"")</f>
        <v>CM3</v>
      </c>
      <c r="K404" s="76">
        <v>46142</v>
      </c>
      <c r="L404" s="76">
        <v>46149</v>
      </c>
      <c r="M404" s="89">
        <v>46149</v>
      </c>
      <c r="N404" s="76">
        <v>46149</v>
      </c>
      <c r="Q404" s="86" t="s">
        <v>958</v>
      </c>
      <c r="R404" s="90"/>
      <c r="S404" s="87"/>
      <c r="T404" s="87"/>
      <c r="U404" s="87"/>
      <c r="V404" s="93"/>
      <c r="W404" s="91"/>
      <c r="X404" s="87"/>
      <c r="Y404" s="92"/>
      <c r="Z404" s="90"/>
      <c r="AA404" s="93"/>
      <c r="AB404" s="87"/>
      <c r="AC404" s="91"/>
      <c r="AD404" s="90"/>
      <c r="AE404" s="86"/>
      <c r="AF404" s="82"/>
      <c r="AG404" s="24"/>
      <c r="AH404" s="93"/>
      <c r="AI404" s="87"/>
      <c r="AJ404" s="86"/>
      <c r="AK404" s="81"/>
      <c r="AL404" s="24"/>
      <c r="AM404" s="24"/>
      <c r="AN404" s="81"/>
      <c r="AO404" s="81"/>
      <c r="AP404" s="24"/>
      <c r="AQ404" s="93"/>
      <c r="AR404" s="94"/>
      <c r="AS404" s="82"/>
      <c r="AT404" s="82"/>
      <c r="AU404" s="24"/>
      <c r="AV404" s="93"/>
      <c r="AW404" s="94"/>
      <c r="AX404" s="95"/>
      <c r="AY404" s="95"/>
      <c r="AZ404" s="95"/>
      <c r="BA404" s="24"/>
      <c r="BB404" s="9" t="s">
        <v>188</v>
      </c>
      <c r="BC404" s="96" t="s">
        <v>1128</v>
      </c>
    </row>
    <row r="405" spans="1:55" ht="15" customHeight="1">
      <c r="A405" s="86">
        <f t="shared" si="24"/>
        <v>403</v>
      </c>
      <c r="B405" s="75" t="s">
        <v>1140</v>
      </c>
      <c r="C405" s="9"/>
      <c r="D405" s="76" t="s">
        <v>661</v>
      </c>
      <c r="E405" s="88" t="str">
        <f>_xlfn.IFNA(VLOOKUP($D405,'Route-Details'!$B$2:$X$1048576,'Node Details'!E$1,0),"")</f>
        <v>Airtel</v>
      </c>
      <c r="F405" s="88" t="str">
        <f>_xlfn.IFNA(VLOOKUP($D405,'Route-Details'!$B$2:$X$1048576,'Node Details'!F$1,0),"")</f>
        <v>Mani Majra</v>
      </c>
      <c r="G405" s="88" t="str">
        <f>_xlfn.IFNA(VLOOKUP($D405,'Route-Details'!$B$2:$X$1048576,'Node Details'!G$1,0),"")</f>
        <v>Chandigarh</v>
      </c>
      <c r="H405" s="88" t="str">
        <f>_xlfn.IFNA(VLOOKUP($D406,'Route-Details'!$B$2:$X$1048576,'Node Details'!H$1,0),"")</f>
        <v>Punjab</v>
      </c>
      <c r="I405" s="88" t="str">
        <f>_xlfn.IFNA(VLOOKUP($D405,'Route-Details'!$B$2:$X$1048576,'Node Details'!I$1,0),"")</f>
        <v>CM3</v>
      </c>
      <c r="J405" s="88" t="str">
        <f>_xlfn.IFNA(VLOOKUP($D405,'Route-Details'!$B$2:$X$1048576,'Node Details'!J$1,0),"")</f>
        <v>CM3</v>
      </c>
      <c r="K405" s="76">
        <v>46142</v>
      </c>
      <c r="L405" s="76">
        <v>46149</v>
      </c>
      <c r="M405" s="89">
        <v>46149</v>
      </c>
      <c r="N405" s="76">
        <v>46149</v>
      </c>
      <c r="Q405" s="86" t="s">
        <v>958</v>
      </c>
      <c r="R405" s="90"/>
      <c r="S405" s="87"/>
      <c r="T405" s="87"/>
      <c r="U405" s="87"/>
      <c r="V405" s="93"/>
      <c r="W405" s="91"/>
      <c r="X405" s="87"/>
      <c r="Y405" s="92"/>
      <c r="Z405" s="90"/>
      <c r="AA405" s="93"/>
      <c r="AB405" s="87"/>
      <c r="AC405" s="91"/>
      <c r="AD405" s="90"/>
      <c r="AE405" s="86"/>
      <c r="AF405" s="82"/>
      <c r="AG405" s="24"/>
      <c r="AH405" s="93"/>
      <c r="AI405" s="87"/>
      <c r="AJ405" s="86"/>
      <c r="AK405" s="81"/>
      <c r="AL405" s="24"/>
      <c r="AM405" s="24"/>
      <c r="AN405" s="81"/>
      <c r="AO405" s="81"/>
      <c r="AP405" s="24"/>
      <c r="AQ405" s="93"/>
      <c r="AR405" s="94"/>
      <c r="AS405" s="82"/>
      <c r="AT405" s="82"/>
      <c r="AU405" s="24"/>
      <c r="AV405" s="93"/>
      <c r="AW405" s="94"/>
      <c r="AX405" s="95"/>
      <c r="AY405" s="95"/>
      <c r="AZ405" s="95"/>
      <c r="BA405" s="24"/>
      <c r="BB405" s="9" t="s">
        <v>188</v>
      </c>
      <c r="BC405" s="96" t="s">
        <v>1128</v>
      </c>
    </row>
    <row r="406" spans="1:55" ht="15" customHeight="1">
      <c r="A406" s="86">
        <f t="shared" si="24"/>
        <v>404</v>
      </c>
      <c r="B406" s="75" t="s">
        <v>662</v>
      </c>
      <c r="C406" s="9"/>
      <c r="D406" s="76" t="s">
        <v>661</v>
      </c>
      <c r="E406" s="88" t="str">
        <f>_xlfn.IFNA(VLOOKUP($D406,'Route-Details'!$B$2:$X$1048576,'Node Details'!E$1,0),"")</f>
        <v>Airtel</v>
      </c>
      <c r="F406" s="88" t="str">
        <f>_xlfn.IFNA(VLOOKUP($D406,'Route-Details'!$B$2:$X$1048576,'Node Details'!F$1,0),"")</f>
        <v>Mani Majra</v>
      </c>
      <c r="G406" s="88" t="str">
        <f>_xlfn.IFNA(VLOOKUP($D406,'Route-Details'!$B$2:$X$1048576,'Node Details'!G$1,0),"")</f>
        <v>Chandigarh</v>
      </c>
      <c r="H406" s="88" t="str">
        <f>_xlfn.IFNA(VLOOKUP($D407,'Route-Details'!$B$2:$X$1048576,'Node Details'!H$1,0),"")</f>
        <v>Punjab</v>
      </c>
      <c r="I406" s="88" t="str">
        <f>_xlfn.IFNA(VLOOKUP($D406,'Route-Details'!$B$2:$X$1048576,'Node Details'!I$1,0),"")</f>
        <v>CM3</v>
      </c>
      <c r="J406" s="88" t="str">
        <f>_xlfn.IFNA(VLOOKUP($D406,'Route-Details'!$B$2:$X$1048576,'Node Details'!J$1,0),"")</f>
        <v>CM3</v>
      </c>
      <c r="K406" s="76">
        <v>46142</v>
      </c>
      <c r="L406" s="76">
        <v>46149</v>
      </c>
      <c r="M406" s="89">
        <v>46149</v>
      </c>
      <c r="N406" s="76">
        <v>46149</v>
      </c>
      <c r="Q406" s="86" t="s">
        <v>958</v>
      </c>
      <c r="R406" s="90"/>
      <c r="S406" s="87"/>
      <c r="T406" s="87"/>
      <c r="U406" s="87"/>
      <c r="V406" s="93"/>
      <c r="W406" s="91"/>
      <c r="X406" s="87"/>
      <c r="Y406" s="92"/>
      <c r="Z406" s="90"/>
      <c r="AA406" s="93"/>
      <c r="AB406" s="87"/>
      <c r="AC406" s="91"/>
      <c r="AD406" s="90"/>
      <c r="AE406" s="86"/>
      <c r="AF406" s="82"/>
      <c r="AG406" s="24"/>
      <c r="AH406" s="93"/>
      <c r="AI406" s="87"/>
      <c r="AJ406" s="86"/>
      <c r="AK406" s="81"/>
      <c r="AL406" s="24"/>
      <c r="AM406" s="24"/>
      <c r="AN406" s="81"/>
      <c r="AO406" s="81"/>
      <c r="AP406" s="24"/>
      <c r="AQ406" s="93"/>
      <c r="AR406" s="94"/>
      <c r="AS406" s="82"/>
      <c r="AT406" s="82"/>
      <c r="AU406" s="24"/>
      <c r="AV406" s="93"/>
      <c r="AW406" s="94"/>
      <c r="AX406" s="95"/>
      <c r="AY406" s="95"/>
      <c r="AZ406" s="95"/>
      <c r="BA406" s="24"/>
      <c r="BB406" s="9" t="s">
        <v>188</v>
      </c>
      <c r="BC406" s="96" t="s">
        <v>1128</v>
      </c>
    </row>
    <row r="407" spans="1:55" ht="15" customHeight="1">
      <c r="A407" s="86">
        <f t="shared" si="24"/>
        <v>405</v>
      </c>
      <c r="B407" s="75" t="s">
        <v>631</v>
      </c>
      <c r="C407" s="9"/>
      <c r="D407" s="76" t="s">
        <v>629</v>
      </c>
      <c r="E407" s="88" t="str">
        <f>_xlfn.IFNA(VLOOKUP($D407,'Route-Details'!$B$2:$X$1048576,'Node Details'!E$1,0),"")</f>
        <v>Airtel</v>
      </c>
      <c r="F407" s="88" t="str">
        <f>_xlfn.IFNA(VLOOKUP($D407,'Route-Details'!$B$2:$X$1048576,'Node Details'!F$1,0),"")</f>
        <v>Mani Majra</v>
      </c>
      <c r="G407" s="88" t="str">
        <f>_xlfn.IFNA(VLOOKUP($D407,'Route-Details'!$B$2:$X$1048576,'Node Details'!G$1,0),"")</f>
        <v>Chandigarh</v>
      </c>
      <c r="H407" s="88" t="str">
        <f>_xlfn.IFNA(VLOOKUP($D408,'Route-Details'!$B$2:$X$1048576,'Node Details'!H$1,0),"")</f>
        <v>Punjab</v>
      </c>
      <c r="I407" s="88" t="str">
        <f>_xlfn.IFNA(VLOOKUP($D407,'Route-Details'!$B$2:$X$1048576,'Node Details'!I$1,0),"")</f>
        <v>CM3</v>
      </c>
      <c r="J407" s="88" t="str">
        <f>_xlfn.IFNA(VLOOKUP($D407,'Route-Details'!$B$2:$X$1048576,'Node Details'!J$1,0),"")</f>
        <v>CM3</v>
      </c>
      <c r="K407" s="76">
        <v>46142</v>
      </c>
      <c r="L407" s="76">
        <v>46149</v>
      </c>
      <c r="M407" s="89">
        <v>46149</v>
      </c>
      <c r="N407" s="76">
        <v>46149</v>
      </c>
      <c r="Q407" s="86" t="s">
        <v>958</v>
      </c>
      <c r="R407" s="90"/>
      <c r="S407" s="87"/>
      <c r="T407" s="87"/>
      <c r="U407" s="87"/>
      <c r="V407" s="93"/>
      <c r="W407" s="91"/>
      <c r="X407" s="87"/>
      <c r="Y407" s="92"/>
      <c r="Z407" s="90"/>
      <c r="AA407" s="93"/>
      <c r="AB407" s="87"/>
      <c r="AC407" s="91"/>
      <c r="AD407" s="90"/>
      <c r="AE407" s="86"/>
      <c r="AF407" s="82"/>
      <c r="AG407" s="24"/>
      <c r="AH407" s="93"/>
      <c r="AI407" s="87"/>
      <c r="AJ407" s="86"/>
      <c r="AK407" s="81"/>
      <c r="AL407" s="24"/>
      <c r="AM407" s="24"/>
      <c r="AN407" s="81"/>
      <c r="AO407" s="81"/>
      <c r="AP407" s="24"/>
      <c r="AQ407" s="93"/>
      <c r="AR407" s="94"/>
      <c r="AS407" s="82"/>
      <c r="AT407" s="82"/>
      <c r="AU407" s="24"/>
      <c r="AV407" s="93"/>
      <c r="AW407" s="94"/>
      <c r="AX407" s="95"/>
      <c r="AY407" s="95"/>
      <c r="AZ407" s="95"/>
      <c r="BA407" s="24"/>
      <c r="BB407" s="9" t="s">
        <v>107</v>
      </c>
      <c r="BC407" s="96" t="s">
        <v>1128</v>
      </c>
    </row>
    <row r="408" spans="1:55" ht="15" customHeight="1">
      <c r="A408" s="86">
        <f t="shared" si="24"/>
        <v>406</v>
      </c>
      <c r="B408" s="75" t="s">
        <v>664</v>
      </c>
      <c r="C408" s="9"/>
      <c r="D408" s="76" t="s">
        <v>663</v>
      </c>
      <c r="E408" s="88" t="str">
        <f>_xlfn.IFNA(VLOOKUP($D408,'Route-Details'!$B$2:$X$1048576,'Node Details'!E$1,0),"")</f>
        <v>Airtel</v>
      </c>
      <c r="F408" s="88" t="str">
        <f>_xlfn.IFNA(VLOOKUP($D408,'Route-Details'!$B$2:$X$1048576,'Node Details'!F$1,0),"")</f>
        <v>Mani Majra</v>
      </c>
      <c r="G408" s="88" t="str">
        <f>_xlfn.IFNA(VLOOKUP($D408,'Route-Details'!$B$2:$X$1048576,'Node Details'!G$1,0),"")</f>
        <v>Chandigarh</v>
      </c>
      <c r="H408" s="88" t="str">
        <f>_xlfn.IFNA(VLOOKUP($D409,'Route-Details'!$B$2:$X$1048576,'Node Details'!H$1,0),"")</f>
        <v>Punjab</v>
      </c>
      <c r="I408" s="88" t="str">
        <f>_xlfn.IFNA(VLOOKUP($D408,'Route-Details'!$B$2:$X$1048576,'Node Details'!I$1,0),"")</f>
        <v>CM3</v>
      </c>
      <c r="J408" s="88" t="str">
        <f>_xlfn.IFNA(VLOOKUP($D408,'Route-Details'!$B$2:$X$1048576,'Node Details'!J$1,0),"")</f>
        <v>CM3</v>
      </c>
      <c r="K408" s="76">
        <v>46142</v>
      </c>
      <c r="L408" s="76">
        <v>46149</v>
      </c>
      <c r="M408" s="89">
        <v>46149</v>
      </c>
      <c r="N408" s="76">
        <v>46149</v>
      </c>
      <c r="Q408" s="86" t="s">
        <v>958</v>
      </c>
      <c r="R408" s="90"/>
      <c r="S408" s="87"/>
      <c r="T408" s="87"/>
      <c r="U408" s="87"/>
      <c r="V408" s="93"/>
      <c r="W408" s="91"/>
      <c r="X408" s="87"/>
      <c r="Y408" s="92"/>
      <c r="Z408" s="90"/>
      <c r="AA408" s="93"/>
      <c r="AB408" s="87"/>
      <c r="AC408" s="91"/>
      <c r="AD408" s="90"/>
      <c r="AE408" s="86"/>
      <c r="AF408" s="82"/>
      <c r="AG408" s="24"/>
      <c r="AH408" s="93"/>
      <c r="AI408" s="87"/>
      <c r="AJ408" s="86"/>
      <c r="AK408" s="81"/>
      <c r="AL408" s="24"/>
      <c r="AM408" s="24"/>
      <c r="AN408" s="81"/>
      <c r="AO408" s="81"/>
      <c r="AP408" s="24"/>
      <c r="AQ408" s="93"/>
      <c r="AR408" s="94"/>
      <c r="AS408" s="82"/>
      <c r="AT408" s="82"/>
      <c r="AU408" s="24"/>
      <c r="AV408" s="93"/>
      <c r="AW408" s="94"/>
      <c r="AX408" s="95"/>
      <c r="AY408" s="95"/>
      <c r="AZ408" s="95"/>
      <c r="BA408" s="24"/>
      <c r="BB408" s="9" t="s">
        <v>192</v>
      </c>
      <c r="BC408" s="96" t="s">
        <v>1128</v>
      </c>
    </row>
    <row r="409" spans="1:55" ht="15" customHeight="1">
      <c r="A409" s="86">
        <f t="shared" si="24"/>
        <v>407</v>
      </c>
      <c r="B409" s="75" t="s">
        <v>1141</v>
      </c>
      <c r="C409" s="9"/>
      <c r="D409" s="76" t="s">
        <v>665</v>
      </c>
      <c r="E409" s="88" t="str">
        <f>_xlfn.IFNA(VLOOKUP($D409,'Route-Details'!$B$2:$X$1048576,'Node Details'!E$1,0),"")</f>
        <v>Airtel</v>
      </c>
      <c r="F409" s="88" t="str">
        <f>_xlfn.IFNA(VLOOKUP($D409,'Route-Details'!$B$2:$X$1048576,'Node Details'!F$1,0),"")</f>
        <v>Mani Majra</v>
      </c>
      <c r="G409" s="88" t="str">
        <f>_xlfn.IFNA(VLOOKUP($D409,'Route-Details'!$B$2:$X$1048576,'Node Details'!G$1,0),"")</f>
        <v>Chandigarh</v>
      </c>
      <c r="H409" s="88" t="str">
        <f>_xlfn.IFNA(VLOOKUP($D410,'Route-Details'!$B$2:$X$1048576,'Node Details'!H$1,0),"")</f>
        <v>Punjab</v>
      </c>
      <c r="I409" s="88" t="str">
        <f>_xlfn.IFNA(VLOOKUP($D409,'Route-Details'!$B$2:$X$1048576,'Node Details'!I$1,0),"")</f>
        <v>CM3</v>
      </c>
      <c r="J409" s="88" t="str">
        <f>_xlfn.IFNA(VLOOKUP($D409,'Route-Details'!$B$2:$X$1048576,'Node Details'!J$1,0),"")</f>
        <v>CM3</v>
      </c>
      <c r="K409" s="76">
        <v>46142</v>
      </c>
      <c r="L409" s="76">
        <v>46149</v>
      </c>
      <c r="M409" s="89">
        <v>46149</v>
      </c>
      <c r="N409" s="76">
        <v>46149</v>
      </c>
      <c r="Q409" s="86" t="s">
        <v>958</v>
      </c>
      <c r="R409" s="90"/>
      <c r="S409" s="87"/>
      <c r="T409" s="87"/>
      <c r="U409" s="87"/>
      <c r="V409" s="93"/>
      <c r="W409" s="91"/>
      <c r="X409" s="87"/>
      <c r="Y409" s="92"/>
      <c r="Z409" s="90"/>
      <c r="AA409" s="93"/>
      <c r="AB409" s="87"/>
      <c r="AC409" s="91"/>
      <c r="AD409" s="90"/>
      <c r="AE409" s="86"/>
      <c r="AF409" s="82"/>
      <c r="AG409" s="24"/>
      <c r="AH409" s="93"/>
      <c r="AI409" s="87"/>
      <c r="AJ409" s="86"/>
      <c r="AK409" s="81"/>
      <c r="AL409" s="24"/>
      <c r="AM409" s="24"/>
      <c r="AN409" s="81"/>
      <c r="AO409" s="81"/>
      <c r="AP409" s="24"/>
      <c r="AQ409" s="93"/>
      <c r="AR409" s="94"/>
      <c r="AS409" s="82"/>
      <c r="AT409" s="82"/>
      <c r="AU409" s="24"/>
      <c r="AV409" s="93"/>
      <c r="AW409" s="94"/>
      <c r="AX409" s="95"/>
      <c r="AY409" s="95"/>
      <c r="AZ409" s="95"/>
      <c r="BA409" s="24"/>
      <c r="BB409" s="9" t="s">
        <v>195</v>
      </c>
      <c r="BC409" s="96" t="s">
        <v>1128</v>
      </c>
    </row>
    <row r="410" spans="1:55" ht="15" customHeight="1">
      <c r="A410" s="86">
        <f t="shared" si="24"/>
        <v>408</v>
      </c>
      <c r="B410" s="75" t="s">
        <v>666</v>
      </c>
      <c r="C410" s="9"/>
      <c r="D410" s="76" t="s">
        <v>665</v>
      </c>
      <c r="E410" s="88" t="str">
        <f>_xlfn.IFNA(VLOOKUP($D410,'Route-Details'!$B$2:$X$1048576,'Node Details'!E$1,0),"")</f>
        <v>Airtel</v>
      </c>
      <c r="F410" s="88" t="str">
        <f>_xlfn.IFNA(VLOOKUP($D410,'Route-Details'!$B$2:$X$1048576,'Node Details'!F$1,0),"")</f>
        <v>Mani Majra</v>
      </c>
      <c r="G410" s="88" t="str">
        <f>_xlfn.IFNA(VLOOKUP($D410,'Route-Details'!$B$2:$X$1048576,'Node Details'!G$1,0),"")</f>
        <v>Chandigarh</v>
      </c>
      <c r="H410" s="88" t="str">
        <f>_xlfn.IFNA(VLOOKUP($D411,'Route-Details'!$B$2:$X$1048576,'Node Details'!H$1,0),"")</f>
        <v>Punjab</v>
      </c>
      <c r="I410" s="88" t="str">
        <f>_xlfn.IFNA(VLOOKUP($D410,'Route-Details'!$B$2:$X$1048576,'Node Details'!I$1,0),"")</f>
        <v>CM3</v>
      </c>
      <c r="J410" s="88" t="str">
        <f>_xlfn.IFNA(VLOOKUP($D410,'Route-Details'!$B$2:$X$1048576,'Node Details'!J$1,0),"")</f>
        <v>CM3</v>
      </c>
      <c r="K410" s="76">
        <v>46142</v>
      </c>
      <c r="L410" s="76">
        <v>46149</v>
      </c>
      <c r="M410" s="89">
        <v>46149</v>
      </c>
      <c r="N410" s="76">
        <v>46149</v>
      </c>
      <c r="Q410" s="86" t="s">
        <v>958</v>
      </c>
      <c r="R410" s="90"/>
      <c r="S410" s="87"/>
      <c r="T410" s="87"/>
      <c r="U410" s="87"/>
      <c r="V410" s="93"/>
      <c r="W410" s="91"/>
      <c r="X410" s="87"/>
      <c r="Y410" s="92"/>
      <c r="Z410" s="90"/>
      <c r="AA410" s="93"/>
      <c r="AB410" s="87"/>
      <c r="AC410" s="91"/>
      <c r="AD410" s="90"/>
      <c r="AE410" s="86"/>
      <c r="AF410" s="82"/>
      <c r="AG410" s="24"/>
      <c r="AH410" s="93"/>
      <c r="AI410" s="87"/>
      <c r="AJ410" s="86"/>
      <c r="AK410" s="81"/>
      <c r="AL410" s="24"/>
      <c r="AM410" s="24"/>
      <c r="AN410" s="81"/>
      <c r="AO410" s="81"/>
      <c r="AP410" s="24"/>
      <c r="AQ410" s="93"/>
      <c r="AR410" s="94"/>
      <c r="AS410" s="82"/>
      <c r="AT410" s="82"/>
      <c r="AU410" s="24"/>
      <c r="AV410" s="93"/>
      <c r="AW410" s="94"/>
      <c r="AX410" s="95"/>
      <c r="AY410" s="95"/>
      <c r="AZ410" s="95"/>
      <c r="BA410" s="24"/>
      <c r="BB410" s="9" t="s">
        <v>195</v>
      </c>
      <c r="BC410" s="96" t="s">
        <v>1128</v>
      </c>
    </row>
    <row r="411" spans="1:55" ht="15" customHeight="1">
      <c r="A411" s="86">
        <f t="shared" si="24"/>
        <v>409</v>
      </c>
      <c r="B411" s="75" t="s">
        <v>634</v>
      </c>
      <c r="C411" s="9"/>
      <c r="D411" s="76" t="s">
        <v>613</v>
      </c>
      <c r="E411" s="88" t="str">
        <f>_xlfn.IFNA(VLOOKUP($D411,'Route-Details'!$B$2:$X$1048576,'Node Details'!E$1,0),"")</f>
        <v>Airtel</v>
      </c>
      <c r="F411" s="88" t="str">
        <f>_xlfn.IFNA(VLOOKUP($D411,'Route-Details'!$B$2:$X$1048576,'Node Details'!F$1,0),"")</f>
        <v>Mani Majra</v>
      </c>
      <c r="G411" s="88" t="str">
        <f>_xlfn.IFNA(VLOOKUP($D411,'Route-Details'!$B$2:$X$1048576,'Node Details'!G$1,0),"")</f>
        <v>Chandigarh</v>
      </c>
      <c r="H411" s="88" t="str">
        <f>_xlfn.IFNA(VLOOKUP($D412,'Route-Details'!$B$2:$X$1048576,'Node Details'!H$1,0),"")</f>
        <v>Punjab</v>
      </c>
      <c r="I411" s="88" t="str">
        <f>_xlfn.IFNA(VLOOKUP($D411,'Route-Details'!$B$2:$X$1048576,'Node Details'!I$1,0),"")</f>
        <v>CM3</v>
      </c>
      <c r="J411" s="88" t="str">
        <f>_xlfn.IFNA(VLOOKUP($D411,'Route-Details'!$B$2:$X$1048576,'Node Details'!J$1,0),"")</f>
        <v>CM3</v>
      </c>
      <c r="K411" s="76">
        <v>46142</v>
      </c>
      <c r="L411" s="76">
        <v>46149</v>
      </c>
      <c r="M411" s="89">
        <v>46149</v>
      </c>
      <c r="N411" s="76">
        <v>46149</v>
      </c>
      <c r="Q411" s="86" t="s">
        <v>958</v>
      </c>
      <c r="R411" s="90"/>
      <c r="S411" s="87"/>
      <c r="T411" s="87"/>
      <c r="U411" s="87"/>
      <c r="V411" s="93"/>
      <c r="W411" s="91"/>
      <c r="X411" s="87"/>
      <c r="Y411" s="92"/>
      <c r="Z411" s="90"/>
      <c r="AA411" s="93"/>
      <c r="AB411" s="87"/>
      <c r="AC411" s="91"/>
      <c r="AD411" s="90"/>
      <c r="AE411" s="86"/>
      <c r="AF411" s="82"/>
      <c r="AG411" s="24"/>
      <c r="AH411" s="93"/>
      <c r="AI411" s="87"/>
      <c r="AJ411" s="86"/>
      <c r="AK411" s="81"/>
      <c r="AL411" s="24"/>
      <c r="AM411" s="24"/>
      <c r="AN411" s="81"/>
      <c r="AO411" s="81"/>
      <c r="AP411" s="24"/>
      <c r="AQ411" s="93"/>
      <c r="AR411" s="94"/>
      <c r="AS411" s="82"/>
      <c r="AT411" s="82"/>
      <c r="AU411" s="24"/>
      <c r="AV411" s="93"/>
      <c r="AW411" s="94"/>
      <c r="AX411" s="95"/>
      <c r="AY411" s="95"/>
      <c r="AZ411" s="95"/>
      <c r="BA411" s="24"/>
      <c r="BB411" s="9" t="s">
        <v>92</v>
      </c>
      <c r="BC411" s="96" t="s">
        <v>1128</v>
      </c>
    </row>
    <row r="412" spans="1:55" ht="15" customHeight="1">
      <c r="A412" s="86">
        <f t="shared" si="24"/>
        <v>410</v>
      </c>
      <c r="B412" s="75" t="s">
        <v>668</v>
      </c>
      <c r="C412" s="9"/>
      <c r="D412" s="76" t="s">
        <v>667</v>
      </c>
      <c r="E412" s="88" t="str">
        <f>_xlfn.IFNA(VLOOKUP($D412,'Route-Details'!$B$2:$X$1048576,'Node Details'!E$1,0),"")</f>
        <v>Airtel</v>
      </c>
      <c r="F412" s="88" t="str">
        <f>_xlfn.IFNA(VLOOKUP($D412,'Route-Details'!$B$2:$X$1048576,'Node Details'!F$1,0),"")</f>
        <v>Mani Majra</v>
      </c>
      <c r="G412" s="88" t="str">
        <f>_xlfn.IFNA(VLOOKUP($D412,'Route-Details'!$B$2:$X$1048576,'Node Details'!G$1,0),"")</f>
        <v>Chandigarh</v>
      </c>
      <c r="H412" s="88" t="str">
        <f>_xlfn.IFNA(VLOOKUP($D413,'Route-Details'!$B$2:$X$1048576,'Node Details'!H$1,0),"")</f>
        <v>Punjab</v>
      </c>
      <c r="I412" s="88" t="str">
        <f>_xlfn.IFNA(VLOOKUP($D412,'Route-Details'!$B$2:$X$1048576,'Node Details'!I$1,0),"")</f>
        <v>CM3</v>
      </c>
      <c r="J412" s="88" t="str">
        <f>_xlfn.IFNA(VLOOKUP($D412,'Route-Details'!$B$2:$X$1048576,'Node Details'!J$1,0),"")</f>
        <v>CM3</v>
      </c>
      <c r="K412" s="76">
        <v>46142</v>
      </c>
      <c r="L412" s="76">
        <v>46149</v>
      </c>
      <c r="M412" s="89">
        <v>46149</v>
      </c>
      <c r="N412" s="76">
        <v>46149</v>
      </c>
      <c r="Q412" s="86" t="s">
        <v>958</v>
      </c>
      <c r="R412" s="90"/>
      <c r="S412" s="87"/>
      <c r="T412" s="87"/>
      <c r="U412" s="87"/>
      <c r="V412" s="93"/>
      <c r="W412" s="91"/>
      <c r="X412" s="87"/>
      <c r="Y412" s="92"/>
      <c r="Z412" s="90"/>
      <c r="AA412" s="93"/>
      <c r="AB412" s="87"/>
      <c r="AC412" s="91"/>
      <c r="AD412" s="90"/>
      <c r="AE412" s="86"/>
      <c r="AF412" s="82"/>
      <c r="AG412" s="24"/>
      <c r="AH412" s="93"/>
      <c r="AI412" s="87"/>
      <c r="AJ412" s="86"/>
      <c r="AK412" s="81"/>
      <c r="AL412" s="24"/>
      <c r="AM412" s="24"/>
      <c r="AN412" s="81"/>
      <c r="AO412" s="81"/>
      <c r="AP412" s="24"/>
      <c r="AQ412" s="93"/>
      <c r="AR412" s="94"/>
      <c r="AS412" s="82"/>
      <c r="AT412" s="82"/>
      <c r="AU412" s="24"/>
      <c r="AV412" s="93"/>
      <c r="AW412" s="94"/>
      <c r="AX412" s="95"/>
      <c r="AY412" s="95"/>
      <c r="AZ412" s="95"/>
      <c r="BA412" s="24"/>
      <c r="BB412" s="9" t="s">
        <v>199</v>
      </c>
      <c r="BC412" s="96" t="s">
        <v>1128</v>
      </c>
    </row>
    <row r="413" spans="1:55" ht="15" customHeight="1">
      <c r="A413" s="86">
        <f t="shared" si="24"/>
        <v>411</v>
      </c>
      <c r="B413" s="75" t="s">
        <v>1142</v>
      </c>
      <c r="C413" s="9"/>
      <c r="D413" s="76" t="s">
        <v>669</v>
      </c>
      <c r="E413" s="88" t="str">
        <f>_xlfn.IFNA(VLOOKUP($D413,'Route-Details'!$B$2:$X$1048576,'Node Details'!E$1,0),"")</f>
        <v>Airtel</v>
      </c>
      <c r="F413" s="88" t="str">
        <f>_xlfn.IFNA(VLOOKUP($D413,'Route-Details'!$B$2:$X$1048576,'Node Details'!F$1,0),"")</f>
        <v>Mani Majra</v>
      </c>
      <c r="G413" s="88" t="str">
        <f>_xlfn.IFNA(VLOOKUP($D413,'Route-Details'!$B$2:$X$1048576,'Node Details'!G$1,0),"")</f>
        <v>Chandigarh</v>
      </c>
      <c r="H413" s="88" t="str">
        <f>_xlfn.IFNA(VLOOKUP($D414,'Route-Details'!$B$2:$X$1048576,'Node Details'!H$1,0),"")</f>
        <v>Punjab</v>
      </c>
      <c r="I413" s="88" t="str">
        <f>_xlfn.IFNA(VLOOKUP($D413,'Route-Details'!$B$2:$X$1048576,'Node Details'!I$1,0),"")</f>
        <v>CM3</v>
      </c>
      <c r="J413" s="88" t="str">
        <f>_xlfn.IFNA(VLOOKUP($D413,'Route-Details'!$B$2:$X$1048576,'Node Details'!J$1,0),"")</f>
        <v>CM3</v>
      </c>
      <c r="K413" s="76">
        <v>46142</v>
      </c>
      <c r="L413" s="76">
        <v>46149</v>
      </c>
      <c r="M413" s="89">
        <v>46149</v>
      </c>
      <c r="N413" s="76">
        <v>46149</v>
      </c>
      <c r="Q413" s="86" t="s">
        <v>958</v>
      </c>
      <c r="R413" s="90"/>
      <c r="S413" s="87"/>
      <c r="T413" s="87"/>
      <c r="U413" s="87"/>
      <c r="V413" s="93"/>
      <c r="W413" s="91"/>
      <c r="X413" s="87"/>
      <c r="Y413" s="92"/>
      <c r="Z413" s="90"/>
      <c r="AA413" s="93"/>
      <c r="AB413" s="87"/>
      <c r="AC413" s="91"/>
      <c r="AD413" s="90"/>
      <c r="AE413" s="86"/>
      <c r="AF413" s="82"/>
      <c r="AG413" s="24"/>
      <c r="AH413" s="93"/>
      <c r="AI413" s="87"/>
      <c r="AJ413" s="86"/>
      <c r="AK413" s="81"/>
      <c r="AL413" s="24"/>
      <c r="AM413" s="24"/>
      <c r="AN413" s="81"/>
      <c r="AO413" s="81"/>
      <c r="AP413" s="24"/>
      <c r="AQ413" s="93"/>
      <c r="AR413" s="94"/>
      <c r="AS413" s="82"/>
      <c r="AT413" s="82"/>
      <c r="AU413" s="24"/>
      <c r="AV413" s="93"/>
      <c r="AW413" s="94"/>
      <c r="AX413" s="95"/>
      <c r="AY413" s="95"/>
      <c r="AZ413" s="95"/>
      <c r="BA413" s="24"/>
      <c r="BB413" s="9" t="s">
        <v>202</v>
      </c>
      <c r="BC413" s="96" t="s">
        <v>1128</v>
      </c>
    </row>
    <row r="414" spans="1:55" ht="15" customHeight="1">
      <c r="A414" s="86">
        <f t="shared" si="24"/>
        <v>412</v>
      </c>
      <c r="B414" s="75" t="s">
        <v>671</v>
      </c>
      <c r="C414" s="9"/>
      <c r="D414" s="76" t="s">
        <v>669</v>
      </c>
      <c r="E414" s="88" t="str">
        <f>_xlfn.IFNA(VLOOKUP($D414,'Route-Details'!$B$2:$X$1048576,'Node Details'!E$1,0),"")</f>
        <v>Airtel</v>
      </c>
      <c r="F414" s="88" t="str">
        <f>_xlfn.IFNA(VLOOKUP($D414,'Route-Details'!$B$2:$X$1048576,'Node Details'!F$1,0),"")</f>
        <v>Mani Majra</v>
      </c>
      <c r="G414" s="88" t="str">
        <f>_xlfn.IFNA(VLOOKUP($D414,'Route-Details'!$B$2:$X$1048576,'Node Details'!G$1,0),"")</f>
        <v>Chandigarh</v>
      </c>
      <c r="H414" s="88" t="str">
        <f>_xlfn.IFNA(VLOOKUP($D415,'Route-Details'!$B$2:$X$1048576,'Node Details'!H$1,0),"")</f>
        <v>Punjab</v>
      </c>
      <c r="I414" s="88" t="str">
        <f>_xlfn.IFNA(VLOOKUP($D414,'Route-Details'!$B$2:$X$1048576,'Node Details'!I$1,0),"")</f>
        <v>CM3</v>
      </c>
      <c r="J414" s="88" t="str">
        <f>_xlfn.IFNA(VLOOKUP($D414,'Route-Details'!$B$2:$X$1048576,'Node Details'!J$1,0),"")</f>
        <v>CM3</v>
      </c>
      <c r="K414" s="76">
        <v>46142</v>
      </c>
      <c r="L414" s="76">
        <v>46149</v>
      </c>
      <c r="M414" s="89">
        <v>46149</v>
      </c>
      <c r="N414" s="76">
        <v>46149</v>
      </c>
      <c r="Q414" s="86" t="s">
        <v>958</v>
      </c>
      <c r="R414" s="90"/>
      <c r="S414" s="87"/>
      <c r="T414" s="87"/>
      <c r="U414" s="87"/>
      <c r="V414" s="93"/>
      <c r="W414" s="91"/>
      <c r="X414" s="87"/>
      <c r="Y414" s="92"/>
      <c r="Z414" s="90"/>
      <c r="AA414" s="93"/>
      <c r="AB414" s="87"/>
      <c r="AC414" s="91"/>
      <c r="AD414" s="90"/>
      <c r="AE414" s="86"/>
      <c r="AF414" s="82"/>
      <c r="AG414" s="24"/>
      <c r="AH414" s="93"/>
      <c r="AI414" s="87"/>
      <c r="AJ414" s="86"/>
      <c r="AK414" s="81"/>
      <c r="AL414" s="24"/>
      <c r="AM414" s="24"/>
      <c r="AN414" s="81"/>
      <c r="AO414" s="81"/>
      <c r="AP414" s="24"/>
      <c r="AQ414" s="93"/>
      <c r="AR414" s="94"/>
      <c r="AS414" s="82"/>
      <c r="AT414" s="82"/>
      <c r="AU414" s="24"/>
      <c r="AV414" s="93"/>
      <c r="AW414" s="94"/>
      <c r="AX414" s="95"/>
      <c r="AY414" s="95"/>
      <c r="AZ414" s="95"/>
      <c r="BA414" s="24"/>
      <c r="BB414" s="9" t="s">
        <v>202</v>
      </c>
      <c r="BC414" s="96" t="s">
        <v>1128</v>
      </c>
    </row>
    <row r="415" spans="1:55" ht="15" customHeight="1">
      <c r="A415" s="86">
        <f t="shared" si="24"/>
        <v>413</v>
      </c>
      <c r="B415" s="75" t="s">
        <v>1143</v>
      </c>
      <c r="C415" s="9"/>
      <c r="D415" s="76" t="s">
        <v>672</v>
      </c>
      <c r="E415" s="88" t="str">
        <f>_xlfn.IFNA(VLOOKUP($D415,'Route-Details'!$B$2:$X$1048576,'Node Details'!E$1,0),"")</f>
        <v>Airtel</v>
      </c>
      <c r="F415" s="88" t="str">
        <f>_xlfn.IFNA(VLOOKUP($D415,'Route-Details'!$B$2:$X$1048576,'Node Details'!F$1,0),"")</f>
        <v>Mani Majra</v>
      </c>
      <c r="G415" s="88" t="str">
        <f>_xlfn.IFNA(VLOOKUP($D415,'Route-Details'!$B$2:$X$1048576,'Node Details'!G$1,0),"")</f>
        <v>Chandigarh</v>
      </c>
      <c r="H415" s="88" t="str">
        <f>_xlfn.IFNA(VLOOKUP($D416,'Route-Details'!$B$2:$X$1048576,'Node Details'!H$1,0),"")</f>
        <v>Punjab</v>
      </c>
      <c r="I415" s="88" t="str">
        <f>_xlfn.IFNA(VLOOKUP($D415,'Route-Details'!$B$2:$X$1048576,'Node Details'!I$1,0),"")</f>
        <v>CM3</v>
      </c>
      <c r="J415" s="88" t="str">
        <f>_xlfn.IFNA(VLOOKUP($D415,'Route-Details'!$B$2:$X$1048576,'Node Details'!J$1,0),"")</f>
        <v>CM3</v>
      </c>
      <c r="K415" s="76">
        <v>46142</v>
      </c>
      <c r="L415" s="76">
        <v>46149</v>
      </c>
      <c r="M415" s="89">
        <v>46149</v>
      </c>
      <c r="N415" s="76">
        <v>46149</v>
      </c>
      <c r="Q415" s="86" t="s">
        <v>958</v>
      </c>
      <c r="R415" s="90"/>
      <c r="S415" s="87"/>
      <c r="T415" s="87"/>
      <c r="U415" s="87"/>
      <c r="V415" s="93"/>
      <c r="W415" s="91"/>
      <c r="X415" s="87"/>
      <c r="Y415" s="92"/>
      <c r="Z415" s="90"/>
      <c r="AA415" s="93"/>
      <c r="AB415" s="87"/>
      <c r="AC415" s="91"/>
      <c r="AD415" s="90"/>
      <c r="AE415" s="86"/>
      <c r="AF415" s="82"/>
      <c r="AG415" s="24"/>
      <c r="AH415" s="93"/>
      <c r="AI415" s="87"/>
      <c r="AJ415" s="86"/>
      <c r="AK415" s="81"/>
      <c r="AL415" s="24"/>
      <c r="AM415" s="24"/>
      <c r="AN415" s="81"/>
      <c r="AO415" s="81"/>
      <c r="AP415" s="24"/>
      <c r="AQ415" s="93"/>
      <c r="AR415" s="94"/>
      <c r="AS415" s="82"/>
      <c r="AT415" s="82"/>
      <c r="AU415" s="24"/>
      <c r="AV415" s="93"/>
      <c r="AW415" s="94"/>
      <c r="AX415" s="95"/>
      <c r="AY415" s="95"/>
      <c r="AZ415" s="95"/>
      <c r="BA415" s="24"/>
      <c r="BB415" s="9" t="s">
        <v>206</v>
      </c>
      <c r="BC415" s="96" t="s">
        <v>1128</v>
      </c>
    </row>
    <row r="416" spans="1:55" ht="15" customHeight="1">
      <c r="A416" s="86">
        <f t="shared" si="24"/>
        <v>414</v>
      </c>
      <c r="B416" s="75" t="s">
        <v>1144</v>
      </c>
      <c r="C416" s="9"/>
      <c r="D416" s="76" t="s">
        <v>672</v>
      </c>
      <c r="E416" s="88" t="str">
        <f>_xlfn.IFNA(VLOOKUP($D416,'Route-Details'!$B$2:$X$1048576,'Node Details'!E$1,0),"")</f>
        <v>Airtel</v>
      </c>
      <c r="F416" s="88" t="str">
        <f>_xlfn.IFNA(VLOOKUP($D416,'Route-Details'!$B$2:$X$1048576,'Node Details'!F$1,0),"")</f>
        <v>Mani Majra</v>
      </c>
      <c r="G416" s="88" t="str">
        <f>_xlfn.IFNA(VLOOKUP($D416,'Route-Details'!$B$2:$X$1048576,'Node Details'!G$1,0),"")</f>
        <v>Chandigarh</v>
      </c>
      <c r="H416" s="88" t="str">
        <f>_xlfn.IFNA(VLOOKUP($D417,'Route-Details'!$B$2:$X$1048576,'Node Details'!H$1,0),"")</f>
        <v>Punjab</v>
      </c>
      <c r="I416" s="88" t="str">
        <f>_xlfn.IFNA(VLOOKUP($D416,'Route-Details'!$B$2:$X$1048576,'Node Details'!I$1,0),"")</f>
        <v>CM3</v>
      </c>
      <c r="J416" s="88" t="str">
        <f>_xlfn.IFNA(VLOOKUP($D416,'Route-Details'!$B$2:$X$1048576,'Node Details'!J$1,0),"")</f>
        <v>CM3</v>
      </c>
      <c r="K416" s="76">
        <v>46142</v>
      </c>
      <c r="L416" s="76">
        <v>46149</v>
      </c>
      <c r="M416" s="89">
        <v>46149</v>
      </c>
      <c r="N416" s="76">
        <v>46149</v>
      </c>
      <c r="Q416" s="86" t="s">
        <v>958</v>
      </c>
      <c r="R416" s="90"/>
      <c r="S416" s="87"/>
      <c r="T416" s="87"/>
      <c r="U416" s="87"/>
      <c r="V416" s="93"/>
      <c r="W416" s="91"/>
      <c r="X416" s="87"/>
      <c r="Y416" s="92"/>
      <c r="Z416" s="90"/>
      <c r="AA416" s="93"/>
      <c r="AB416" s="87"/>
      <c r="AC416" s="91"/>
      <c r="AD416" s="90"/>
      <c r="AE416" s="86"/>
      <c r="AF416" s="82"/>
      <c r="AG416" s="24"/>
      <c r="AH416" s="93"/>
      <c r="AI416" s="87"/>
      <c r="AJ416" s="86"/>
      <c r="AK416" s="81"/>
      <c r="AL416" s="24"/>
      <c r="AM416" s="24"/>
      <c r="AN416" s="81"/>
      <c r="AO416" s="81"/>
      <c r="AP416" s="24"/>
      <c r="AQ416" s="93"/>
      <c r="AR416" s="94"/>
      <c r="AS416" s="82"/>
      <c r="AT416" s="82"/>
      <c r="AU416" s="24"/>
      <c r="AV416" s="93"/>
      <c r="AW416" s="94"/>
      <c r="AX416" s="95"/>
      <c r="AY416" s="95"/>
      <c r="AZ416" s="95"/>
      <c r="BA416" s="24"/>
      <c r="BB416" s="9" t="s">
        <v>206</v>
      </c>
      <c r="BC416" s="96" t="s">
        <v>1128</v>
      </c>
    </row>
    <row r="417" spans="1:55" ht="15" customHeight="1">
      <c r="A417" s="86">
        <f t="shared" si="24"/>
        <v>415</v>
      </c>
      <c r="B417" s="75" t="s">
        <v>1145</v>
      </c>
      <c r="C417" s="9"/>
      <c r="D417" s="76" t="s">
        <v>672</v>
      </c>
      <c r="E417" s="88" t="str">
        <f>_xlfn.IFNA(VLOOKUP($D417,'Route-Details'!$B$2:$X$1048576,'Node Details'!E$1,0),"")</f>
        <v>Airtel</v>
      </c>
      <c r="F417" s="88" t="str">
        <f>_xlfn.IFNA(VLOOKUP($D417,'Route-Details'!$B$2:$X$1048576,'Node Details'!F$1,0),"")</f>
        <v>Mani Majra</v>
      </c>
      <c r="G417" s="88" t="str">
        <f>_xlfn.IFNA(VLOOKUP($D417,'Route-Details'!$B$2:$X$1048576,'Node Details'!G$1,0),"")</f>
        <v>Chandigarh</v>
      </c>
      <c r="H417" s="88" t="str">
        <f>_xlfn.IFNA(VLOOKUP($D418,'Route-Details'!$B$2:$X$1048576,'Node Details'!H$1,0),"")</f>
        <v>Punjab</v>
      </c>
      <c r="I417" s="88" t="str">
        <f>_xlfn.IFNA(VLOOKUP($D417,'Route-Details'!$B$2:$X$1048576,'Node Details'!I$1,0),"")</f>
        <v>CM3</v>
      </c>
      <c r="J417" s="88" t="str">
        <f>_xlfn.IFNA(VLOOKUP($D417,'Route-Details'!$B$2:$X$1048576,'Node Details'!J$1,0),"")</f>
        <v>CM3</v>
      </c>
      <c r="K417" s="76">
        <v>46142</v>
      </c>
      <c r="L417" s="76">
        <v>46149</v>
      </c>
      <c r="M417" s="89">
        <v>46149</v>
      </c>
      <c r="N417" s="76">
        <v>46149</v>
      </c>
      <c r="Q417" s="86" t="s">
        <v>958</v>
      </c>
      <c r="R417" s="90"/>
      <c r="S417" s="87"/>
      <c r="T417" s="87"/>
      <c r="U417" s="87"/>
      <c r="V417" s="93"/>
      <c r="W417" s="91"/>
      <c r="X417" s="87"/>
      <c r="Y417" s="92"/>
      <c r="Z417" s="90"/>
      <c r="AA417" s="93"/>
      <c r="AB417" s="87"/>
      <c r="AC417" s="91"/>
      <c r="AD417" s="90"/>
      <c r="AE417" s="86"/>
      <c r="AF417" s="82"/>
      <c r="AG417" s="24"/>
      <c r="AH417" s="93"/>
      <c r="AI417" s="87"/>
      <c r="AJ417" s="86"/>
      <c r="AK417" s="81"/>
      <c r="AL417" s="24"/>
      <c r="AM417" s="24"/>
      <c r="AN417" s="81"/>
      <c r="AO417" s="81"/>
      <c r="AP417" s="24"/>
      <c r="AQ417" s="93"/>
      <c r="AR417" s="94"/>
      <c r="AS417" s="82"/>
      <c r="AT417" s="82"/>
      <c r="AU417" s="24"/>
      <c r="AV417" s="93"/>
      <c r="AW417" s="94"/>
      <c r="AX417" s="95"/>
      <c r="AY417" s="95"/>
      <c r="AZ417" s="95"/>
      <c r="BA417" s="24"/>
      <c r="BB417" s="9" t="s">
        <v>206</v>
      </c>
      <c r="BC417" s="96" t="s">
        <v>1128</v>
      </c>
    </row>
    <row r="418" spans="1:55" ht="15" customHeight="1">
      <c r="A418" s="86">
        <f t="shared" si="24"/>
        <v>416</v>
      </c>
      <c r="B418" s="75" t="s">
        <v>673</v>
      </c>
      <c r="C418" s="9"/>
      <c r="D418" s="76" t="s">
        <v>672</v>
      </c>
      <c r="E418" s="88" t="str">
        <f>_xlfn.IFNA(VLOOKUP($D418,'Route-Details'!$B$2:$X$1048576,'Node Details'!E$1,0),"")</f>
        <v>Airtel</v>
      </c>
      <c r="F418" s="88" t="str">
        <f>_xlfn.IFNA(VLOOKUP($D418,'Route-Details'!$B$2:$X$1048576,'Node Details'!F$1,0),"")</f>
        <v>Mani Majra</v>
      </c>
      <c r="G418" s="88" t="str">
        <f>_xlfn.IFNA(VLOOKUP($D418,'Route-Details'!$B$2:$X$1048576,'Node Details'!G$1,0),"")</f>
        <v>Chandigarh</v>
      </c>
      <c r="H418" s="88" t="str">
        <f>_xlfn.IFNA(VLOOKUP($D419,'Route-Details'!$B$2:$X$1048576,'Node Details'!H$1,0),"")</f>
        <v>Punjab</v>
      </c>
      <c r="I418" s="88" t="str">
        <f>_xlfn.IFNA(VLOOKUP($D418,'Route-Details'!$B$2:$X$1048576,'Node Details'!I$1,0),"")</f>
        <v>CM3</v>
      </c>
      <c r="J418" s="88" t="str">
        <f>_xlfn.IFNA(VLOOKUP($D418,'Route-Details'!$B$2:$X$1048576,'Node Details'!J$1,0),"")</f>
        <v>CM3</v>
      </c>
      <c r="K418" s="76">
        <v>46142</v>
      </c>
      <c r="L418" s="76">
        <v>46149</v>
      </c>
      <c r="M418" s="89">
        <v>46149</v>
      </c>
      <c r="N418" s="76">
        <v>46149</v>
      </c>
      <c r="Q418" s="86" t="s">
        <v>958</v>
      </c>
      <c r="R418" s="90"/>
      <c r="S418" s="87"/>
      <c r="T418" s="87"/>
      <c r="U418" s="87"/>
      <c r="V418" s="93"/>
      <c r="W418" s="91"/>
      <c r="X418" s="87"/>
      <c r="Y418" s="92"/>
      <c r="Z418" s="90"/>
      <c r="AA418" s="93"/>
      <c r="AB418" s="87"/>
      <c r="AC418" s="91"/>
      <c r="AD418" s="90"/>
      <c r="AE418" s="86"/>
      <c r="AF418" s="82"/>
      <c r="AG418" s="24"/>
      <c r="AH418" s="93"/>
      <c r="AI418" s="87"/>
      <c r="AJ418" s="86"/>
      <c r="AK418" s="81"/>
      <c r="AL418" s="24"/>
      <c r="AM418" s="24"/>
      <c r="AN418" s="81"/>
      <c r="AO418" s="81"/>
      <c r="AP418" s="24"/>
      <c r="AQ418" s="93"/>
      <c r="AR418" s="94"/>
      <c r="AS418" s="82"/>
      <c r="AT418" s="82"/>
      <c r="AU418" s="24"/>
      <c r="AV418" s="93"/>
      <c r="AW418" s="94"/>
      <c r="AX418" s="95"/>
      <c r="AY418" s="95"/>
      <c r="AZ418" s="95"/>
      <c r="BA418" s="24"/>
      <c r="BB418" s="9" t="s">
        <v>206</v>
      </c>
      <c r="BC418" s="96" t="s">
        <v>1128</v>
      </c>
    </row>
    <row r="419" spans="1:55" ht="15" customHeight="1">
      <c r="A419" s="86">
        <f t="shared" si="24"/>
        <v>417</v>
      </c>
      <c r="B419" s="75" t="s">
        <v>635</v>
      </c>
      <c r="C419" s="9"/>
      <c r="D419" s="76" t="s">
        <v>633</v>
      </c>
      <c r="E419" s="88" t="str">
        <f>_xlfn.IFNA(VLOOKUP($D419,'Route-Details'!$B$2:$X$1048576,'Node Details'!E$1,0),"")</f>
        <v>Airtel</v>
      </c>
      <c r="F419" s="88" t="str">
        <f>_xlfn.IFNA(VLOOKUP($D419,'Route-Details'!$B$2:$X$1048576,'Node Details'!F$1,0),"")</f>
        <v>Mani Majra</v>
      </c>
      <c r="G419" s="88" t="str">
        <f>_xlfn.IFNA(VLOOKUP($D419,'Route-Details'!$B$2:$X$1048576,'Node Details'!G$1,0),"")</f>
        <v>Chandigarh</v>
      </c>
      <c r="H419" s="88" t="str">
        <f>_xlfn.IFNA(VLOOKUP($D420,'Route-Details'!$B$2:$X$1048576,'Node Details'!H$1,0),"")</f>
        <v>Punjab</v>
      </c>
      <c r="I419" s="88" t="str">
        <f>_xlfn.IFNA(VLOOKUP($D419,'Route-Details'!$B$2:$X$1048576,'Node Details'!I$1,0),"")</f>
        <v>CM3</v>
      </c>
      <c r="J419" s="88" t="str">
        <f>_xlfn.IFNA(VLOOKUP($D419,'Route-Details'!$B$2:$X$1048576,'Node Details'!J$1,0),"")</f>
        <v>CM3</v>
      </c>
      <c r="K419" s="76">
        <v>46142</v>
      </c>
      <c r="L419" s="76">
        <v>46149</v>
      </c>
      <c r="M419" s="89">
        <v>46149</v>
      </c>
      <c r="N419" s="76">
        <v>46149</v>
      </c>
      <c r="Q419" s="86" t="s">
        <v>958</v>
      </c>
      <c r="R419" s="90"/>
      <c r="S419" s="87"/>
      <c r="T419" s="87"/>
      <c r="U419" s="87"/>
      <c r="V419" s="93"/>
      <c r="W419" s="91"/>
      <c r="X419" s="87"/>
      <c r="Y419" s="92"/>
      <c r="Z419" s="90"/>
      <c r="AA419" s="93"/>
      <c r="AB419" s="87"/>
      <c r="AC419" s="91"/>
      <c r="AD419" s="90"/>
      <c r="AE419" s="86"/>
      <c r="AF419" s="82"/>
      <c r="AG419" s="24"/>
      <c r="AH419" s="93"/>
      <c r="AI419" s="87"/>
      <c r="AJ419" s="86"/>
      <c r="AK419" s="81"/>
      <c r="AL419" s="24"/>
      <c r="AM419" s="24"/>
      <c r="AN419" s="81"/>
      <c r="AO419" s="81"/>
      <c r="AP419" s="24"/>
      <c r="AQ419" s="93"/>
      <c r="AR419" s="94"/>
      <c r="AS419" s="82"/>
      <c r="AT419" s="82"/>
      <c r="AU419" s="24"/>
      <c r="AV419" s="93"/>
      <c r="AW419" s="94"/>
      <c r="AX419" s="95"/>
      <c r="AY419" s="95"/>
      <c r="AZ419" s="95"/>
      <c r="BA419" s="24"/>
      <c r="BB419" s="9" t="s">
        <v>110</v>
      </c>
      <c r="BC419" s="96" t="s">
        <v>1128</v>
      </c>
    </row>
    <row r="420" spans="1:55" ht="15" customHeight="1">
      <c r="A420" s="86">
        <f t="shared" si="24"/>
        <v>418</v>
      </c>
      <c r="B420" s="75" t="s">
        <v>1146</v>
      </c>
      <c r="C420" s="9"/>
      <c r="D420" s="76" t="s">
        <v>674</v>
      </c>
      <c r="E420" s="88" t="str">
        <f>_xlfn.IFNA(VLOOKUP($D420,'Route-Details'!$B$2:$X$1048576,'Node Details'!E$1,0),"")</f>
        <v>Airtel</v>
      </c>
      <c r="F420" s="88" t="str">
        <f>_xlfn.IFNA(VLOOKUP($D420,'Route-Details'!$B$2:$X$1048576,'Node Details'!F$1,0),"")</f>
        <v>Mani Majra</v>
      </c>
      <c r="G420" s="88" t="str">
        <f>_xlfn.IFNA(VLOOKUP($D420,'Route-Details'!$B$2:$X$1048576,'Node Details'!G$1,0),"")</f>
        <v>Chandigarh</v>
      </c>
      <c r="H420" s="88" t="str">
        <f>_xlfn.IFNA(VLOOKUP($D421,'Route-Details'!$B$2:$X$1048576,'Node Details'!H$1,0),"")</f>
        <v>Punjab</v>
      </c>
      <c r="I420" s="88" t="str">
        <f>_xlfn.IFNA(VLOOKUP($D420,'Route-Details'!$B$2:$X$1048576,'Node Details'!I$1,0),"")</f>
        <v>CM3</v>
      </c>
      <c r="J420" s="88" t="str">
        <f>_xlfn.IFNA(VLOOKUP($D420,'Route-Details'!$B$2:$X$1048576,'Node Details'!J$1,0),"")</f>
        <v>CM3</v>
      </c>
      <c r="K420" s="76">
        <v>46142</v>
      </c>
      <c r="L420" s="76">
        <v>46149</v>
      </c>
      <c r="M420" s="89">
        <v>46149</v>
      </c>
      <c r="N420" s="76">
        <v>46149</v>
      </c>
      <c r="Q420" s="86" t="s">
        <v>958</v>
      </c>
      <c r="R420" s="90"/>
      <c r="S420" s="87"/>
      <c r="T420" s="87"/>
      <c r="U420" s="87"/>
      <c r="V420" s="93"/>
      <c r="W420" s="91"/>
      <c r="X420" s="87"/>
      <c r="Y420" s="92"/>
      <c r="Z420" s="90"/>
      <c r="AA420" s="93"/>
      <c r="AB420" s="87"/>
      <c r="AC420" s="91"/>
      <c r="AD420" s="90"/>
      <c r="AE420" s="86"/>
      <c r="AF420" s="82"/>
      <c r="AG420" s="24"/>
      <c r="AH420" s="93"/>
      <c r="AI420" s="87"/>
      <c r="AJ420" s="86"/>
      <c r="AK420" s="81"/>
      <c r="AL420" s="24"/>
      <c r="AM420" s="24"/>
      <c r="AN420" s="81"/>
      <c r="AO420" s="81"/>
      <c r="AP420" s="24"/>
      <c r="AQ420" s="93"/>
      <c r="AR420" s="94"/>
      <c r="AS420" s="82"/>
      <c r="AT420" s="82"/>
      <c r="AU420" s="24"/>
      <c r="AV420" s="93"/>
      <c r="AW420" s="94"/>
      <c r="AX420" s="95"/>
      <c r="AY420" s="95"/>
      <c r="AZ420" s="95"/>
      <c r="BA420" s="24"/>
      <c r="BB420" s="9" t="s">
        <v>210</v>
      </c>
      <c r="BC420" s="96" t="s">
        <v>1128</v>
      </c>
    </row>
    <row r="421" spans="1:55" ht="15" customHeight="1">
      <c r="A421" s="86">
        <f t="shared" si="24"/>
        <v>419</v>
      </c>
      <c r="B421" s="75" t="s">
        <v>1147</v>
      </c>
      <c r="C421" s="9"/>
      <c r="D421" s="76" t="s">
        <v>674</v>
      </c>
      <c r="E421" s="88" t="str">
        <f>_xlfn.IFNA(VLOOKUP($D421,'Route-Details'!$B$2:$X$1048576,'Node Details'!E$1,0),"")</f>
        <v>Airtel</v>
      </c>
      <c r="F421" s="88" t="str">
        <f>_xlfn.IFNA(VLOOKUP($D421,'Route-Details'!$B$2:$X$1048576,'Node Details'!F$1,0),"")</f>
        <v>Mani Majra</v>
      </c>
      <c r="G421" s="88" t="str">
        <f>_xlfn.IFNA(VLOOKUP($D421,'Route-Details'!$B$2:$X$1048576,'Node Details'!G$1,0),"")</f>
        <v>Chandigarh</v>
      </c>
      <c r="H421" s="88" t="str">
        <f>_xlfn.IFNA(VLOOKUP($D422,'Route-Details'!$B$2:$X$1048576,'Node Details'!H$1,0),"")</f>
        <v>Punjab</v>
      </c>
      <c r="I421" s="88" t="str">
        <f>_xlfn.IFNA(VLOOKUP($D421,'Route-Details'!$B$2:$X$1048576,'Node Details'!I$1,0),"")</f>
        <v>CM3</v>
      </c>
      <c r="J421" s="88" t="str">
        <f>_xlfn.IFNA(VLOOKUP($D421,'Route-Details'!$B$2:$X$1048576,'Node Details'!J$1,0),"")</f>
        <v>CM3</v>
      </c>
      <c r="K421" s="76">
        <v>46142</v>
      </c>
      <c r="L421" s="76">
        <v>46149</v>
      </c>
      <c r="M421" s="89">
        <v>46149</v>
      </c>
      <c r="N421" s="76">
        <v>46149</v>
      </c>
      <c r="Q421" s="86" t="s">
        <v>958</v>
      </c>
      <c r="R421" s="90"/>
      <c r="S421" s="87"/>
      <c r="T421" s="87"/>
      <c r="U421" s="87"/>
      <c r="V421" s="93"/>
      <c r="W421" s="91"/>
      <c r="X421" s="87"/>
      <c r="Y421" s="92"/>
      <c r="Z421" s="90"/>
      <c r="AA421" s="93"/>
      <c r="AB421" s="87"/>
      <c r="AC421" s="91"/>
      <c r="AD421" s="90"/>
      <c r="AE421" s="86"/>
      <c r="AF421" s="82"/>
      <c r="AG421" s="24"/>
      <c r="AH421" s="93"/>
      <c r="AI421" s="87"/>
      <c r="AJ421" s="86"/>
      <c r="AK421" s="81"/>
      <c r="AL421" s="24"/>
      <c r="AM421" s="24"/>
      <c r="AN421" s="81"/>
      <c r="AO421" s="81"/>
      <c r="AP421" s="24"/>
      <c r="AQ421" s="93"/>
      <c r="AR421" s="94"/>
      <c r="AS421" s="82"/>
      <c r="AT421" s="82"/>
      <c r="AU421" s="24"/>
      <c r="AV421" s="93"/>
      <c r="AW421" s="94"/>
      <c r="AX421" s="95"/>
      <c r="AY421" s="95"/>
      <c r="AZ421" s="95"/>
      <c r="BA421" s="24"/>
      <c r="BB421" s="9" t="s">
        <v>210</v>
      </c>
      <c r="BC421" s="96" t="s">
        <v>1128</v>
      </c>
    </row>
    <row r="422" spans="1:55" ht="15" customHeight="1">
      <c r="A422" s="86">
        <f t="shared" si="24"/>
        <v>420</v>
      </c>
      <c r="B422" s="75" t="s">
        <v>675</v>
      </c>
      <c r="C422" s="9"/>
      <c r="D422" s="76" t="s">
        <v>674</v>
      </c>
      <c r="E422" s="88" t="str">
        <f>_xlfn.IFNA(VLOOKUP($D422,'Route-Details'!$B$2:$X$1048576,'Node Details'!E$1,0),"")</f>
        <v>Airtel</v>
      </c>
      <c r="F422" s="88" t="str">
        <f>_xlfn.IFNA(VLOOKUP($D422,'Route-Details'!$B$2:$X$1048576,'Node Details'!F$1,0),"")</f>
        <v>Mani Majra</v>
      </c>
      <c r="G422" s="88" t="str">
        <f>_xlfn.IFNA(VLOOKUP($D422,'Route-Details'!$B$2:$X$1048576,'Node Details'!G$1,0),"")</f>
        <v>Chandigarh</v>
      </c>
      <c r="H422" s="88" t="str">
        <f>_xlfn.IFNA(VLOOKUP($D423,'Route-Details'!$B$2:$X$1048576,'Node Details'!H$1,0),"")</f>
        <v>Punjab</v>
      </c>
      <c r="I422" s="88" t="str">
        <f>_xlfn.IFNA(VLOOKUP($D422,'Route-Details'!$B$2:$X$1048576,'Node Details'!I$1,0),"")</f>
        <v>CM3</v>
      </c>
      <c r="J422" s="88" t="str">
        <f>_xlfn.IFNA(VLOOKUP($D422,'Route-Details'!$B$2:$X$1048576,'Node Details'!J$1,0),"")</f>
        <v>CM3</v>
      </c>
      <c r="K422" s="76">
        <v>46142</v>
      </c>
      <c r="L422" s="76">
        <v>46149</v>
      </c>
      <c r="M422" s="89">
        <v>46149</v>
      </c>
      <c r="N422" s="76">
        <v>46149</v>
      </c>
      <c r="Q422" s="86" t="s">
        <v>958</v>
      </c>
      <c r="R422" s="90"/>
      <c r="S422" s="87"/>
      <c r="T422" s="87"/>
      <c r="U422" s="87"/>
      <c r="V422" s="93"/>
      <c r="W422" s="91"/>
      <c r="X422" s="87"/>
      <c r="Y422" s="92"/>
      <c r="Z422" s="90"/>
      <c r="AA422" s="93"/>
      <c r="AB422" s="87"/>
      <c r="AC422" s="91"/>
      <c r="AD422" s="90"/>
      <c r="AE422" s="86"/>
      <c r="AF422" s="82"/>
      <c r="AG422" s="24"/>
      <c r="AH422" s="93"/>
      <c r="AI422" s="87"/>
      <c r="AJ422" s="86"/>
      <c r="AK422" s="81"/>
      <c r="AL422" s="24"/>
      <c r="AM422" s="24"/>
      <c r="AN422" s="81"/>
      <c r="AO422" s="81"/>
      <c r="AP422" s="24"/>
      <c r="AQ422" s="93"/>
      <c r="AR422" s="94"/>
      <c r="AS422" s="82"/>
      <c r="AT422" s="82"/>
      <c r="AU422" s="24"/>
      <c r="AV422" s="93"/>
      <c r="AW422" s="94"/>
      <c r="AX422" s="95"/>
      <c r="AY422" s="95"/>
      <c r="AZ422" s="95"/>
      <c r="BA422" s="24"/>
      <c r="BB422" s="9" t="s">
        <v>210</v>
      </c>
      <c r="BC422" s="96" t="s">
        <v>1128</v>
      </c>
    </row>
    <row r="423" spans="1:55" ht="15" customHeight="1">
      <c r="A423" s="86">
        <f t="shared" si="24"/>
        <v>421</v>
      </c>
      <c r="B423" s="75" t="s">
        <v>679</v>
      </c>
      <c r="C423" s="9"/>
      <c r="D423" s="76" t="s">
        <v>676</v>
      </c>
      <c r="E423" s="88" t="str">
        <f>_xlfn.IFNA(VLOOKUP($D423,'Route-Details'!$B$2:$X$1048576,'Node Details'!E$1,0),"")</f>
        <v>Airtel</v>
      </c>
      <c r="F423" s="88" t="str">
        <f>_xlfn.IFNA(VLOOKUP($D423,'Route-Details'!$B$2:$X$1048576,'Node Details'!F$1,0),"")</f>
        <v>Mani Majra</v>
      </c>
      <c r="G423" s="88" t="str">
        <f>_xlfn.IFNA(VLOOKUP($D423,'Route-Details'!$B$2:$X$1048576,'Node Details'!G$1,0),"")</f>
        <v>Chandigarh</v>
      </c>
      <c r="H423" s="88" t="str">
        <f>_xlfn.IFNA(VLOOKUP($D424,'Route-Details'!$B$2:$X$1048576,'Node Details'!H$1,0),"")</f>
        <v>Punjab</v>
      </c>
      <c r="I423" s="88" t="str">
        <f>_xlfn.IFNA(VLOOKUP($D423,'Route-Details'!$B$2:$X$1048576,'Node Details'!I$1,0),"")</f>
        <v>CM3</v>
      </c>
      <c r="J423" s="88" t="str">
        <f>_xlfn.IFNA(VLOOKUP($D423,'Route-Details'!$B$2:$X$1048576,'Node Details'!J$1,0),"")</f>
        <v>CM3</v>
      </c>
      <c r="K423" s="76">
        <v>46142</v>
      </c>
      <c r="L423" s="76">
        <v>46149</v>
      </c>
      <c r="M423" s="89">
        <v>46149</v>
      </c>
      <c r="N423" s="76">
        <v>46149</v>
      </c>
      <c r="Q423" s="86" t="s">
        <v>958</v>
      </c>
      <c r="R423" s="90"/>
      <c r="S423" s="87"/>
      <c r="T423" s="87"/>
      <c r="U423" s="87"/>
      <c r="V423" s="93"/>
      <c r="W423" s="91"/>
      <c r="X423" s="87"/>
      <c r="Y423" s="92"/>
      <c r="Z423" s="90"/>
      <c r="AA423" s="93"/>
      <c r="AB423" s="87"/>
      <c r="AC423" s="91"/>
      <c r="AD423" s="90"/>
      <c r="AE423" s="86"/>
      <c r="AF423" s="82"/>
      <c r="AG423" s="24"/>
      <c r="AH423" s="93"/>
      <c r="AI423" s="87"/>
      <c r="AJ423" s="86"/>
      <c r="AK423" s="81"/>
      <c r="AL423" s="24"/>
      <c r="AM423" s="24"/>
      <c r="AN423" s="81"/>
      <c r="AO423" s="81"/>
      <c r="AP423" s="24"/>
      <c r="AQ423" s="93"/>
      <c r="AR423" s="94"/>
      <c r="AS423" s="82"/>
      <c r="AT423" s="82"/>
      <c r="AU423" s="24"/>
      <c r="AV423" s="93"/>
      <c r="AW423" s="94"/>
      <c r="AX423" s="95"/>
      <c r="AY423" s="95"/>
      <c r="AZ423" s="95"/>
      <c r="BA423" s="24"/>
      <c r="BB423" s="9" t="s">
        <v>213</v>
      </c>
      <c r="BC423" s="96" t="s">
        <v>1128</v>
      </c>
    </row>
    <row r="424" spans="1:55" ht="15" customHeight="1">
      <c r="A424" s="86">
        <f t="shared" si="24"/>
        <v>422</v>
      </c>
      <c r="B424" s="75" t="s">
        <v>677</v>
      </c>
      <c r="C424" s="9"/>
      <c r="D424" s="76" t="s">
        <v>676</v>
      </c>
      <c r="E424" s="88" t="str">
        <f>_xlfn.IFNA(VLOOKUP($D424,'Route-Details'!$B$2:$X$1048576,'Node Details'!E$1,0),"")</f>
        <v>Airtel</v>
      </c>
      <c r="F424" s="88" t="str">
        <f>_xlfn.IFNA(VLOOKUP($D424,'Route-Details'!$B$2:$X$1048576,'Node Details'!F$1,0),"")</f>
        <v>Mani Majra</v>
      </c>
      <c r="G424" s="88" t="str">
        <f>_xlfn.IFNA(VLOOKUP($D424,'Route-Details'!$B$2:$X$1048576,'Node Details'!G$1,0),"")</f>
        <v>Chandigarh</v>
      </c>
      <c r="H424" s="88" t="str">
        <f>_xlfn.IFNA(VLOOKUP($D425,'Route-Details'!$B$2:$X$1048576,'Node Details'!H$1,0),"")</f>
        <v>Punjab</v>
      </c>
      <c r="I424" s="88" t="str">
        <f>_xlfn.IFNA(VLOOKUP($D424,'Route-Details'!$B$2:$X$1048576,'Node Details'!I$1,0),"")</f>
        <v>CM3</v>
      </c>
      <c r="J424" s="88" t="str">
        <f>_xlfn.IFNA(VLOOKUP($D424,'Route-Details'!$B$2:$X$1048576,'Node Details'!J$1,0),"")</f>
        <v>CM3</v>
      </c>
      <c r="K424" s="76">
        <v>46142</v>
      </c>
      <c r="L424" s="76">
        <v>46149</v>
      </c>
      <c r="M424" s="89">
        <v>46149</v>
      </c>
      <c r="N424" s="76">
        <v>46149</v>
      </c>
      <c r="Q424" s="86" t="s">
        <v>958</v>
      </c>
      <c r="R424" s="90"/>
      <c r="S424" s="87"/>
      <c r="T424" s="87"/>
      <c r="U424" s="87"/>
      <c r="V424" s="93"/>
      <c r="W424" s="91"/>
      <c r="X424" s="87"/>
      <c r="Y424" s="92"/>
      <c r="Z424" s="90"/>
      <c r="AA424" s="93"/>
      <c r="AB424" s="87"/>
      <c r="AC424" s="91"/>
      <c r="AD424" s="90"/>
      <c r="AE424" s="86"/>
      <c r="AF424" s="82"/>
      <c r="AG424" s="24"/>
      <c r="AH424" s="93"/>
      <c r="AI424" s="87"/>
      <c r="AJ424" s="86"/>
      <c r="AK424" s="81"/>
      <c r="AL424" s="24"/>
      <c r="AM424" s="24"/>
      <c r="AN424" s="81"/>
      <c r="AO424" s="81"/>
      <c r="AP424" s="24"/>
      <c r="AQ424" s="93"/>
      <c r="AR424" s="94"/>
      <c r="AS424" s="82"/>
      <c r="AT424" s="82"/>
      <c r="AU424" s="24"/>
      <c r="AV424" s="93"/>
      <c r="AW424" s="94"/>
      <c r="AX424" s="95"/>
      <c r="AY424" s="95"/>
      <c r="AZ424" s="95"/>
      <c r="BA424" s="24"/>
      <c r="BB424" s="9" t="s">
        <v>213</v>
      </c>
      <c r="BC424" s="96" t="s">
        <v>1128</v>
      </c>
    </row>
    <row r="425" spans="1:55" ht="15" customHeight="1">
      <c r="A425" s="86">
        <f t="shared" si="24"/>
        <v>423</v>
      </c>
      <c r="B425" s="75" t="s">
        <v>1148</v>
      </c>
      <c r="C425" s="9"/>
      <c r="D425" s="76" t="s">
        <v>678</v>
      </c>
      <c r="E425" s="88" t="str">
        <f>_xlfn.IFNA(VLOOKUP($D425,'Route-Details'!$B$2:$X$1048576,'Node Details'!E$1,0),"")</f>
        <v>Airtel</v>
      </c>
      <c r="F425" s="88" t="str">
        <f>_xlfn.IFNA(VLOOKUP($D425,'Route-Details'!$B$2:$X$1048576,'Node Details'!F$1,0),"")</f>
        <v>Mani Majra</v>
      </c>
      <c r="G425" s="88" t="str">
        <f>_xlfn.IFNA(VLOOKUP($D425,'Route-Details'!$B$2:$X$1048576,'Node Details'!G$1,0),"")</f>
        <v>Chandigarh</v>
      </c>
      <c r="H425" s="88" t="str">
        <f>_xlfn.IFNA(VLOOKUP($D426,'Route-Details'!$B$2:$X$1048576,'Node Details'!H$1,0),"")</f>
        <v>Punjab</v>
      </c>
      <c r="I425" s="88" t="str">
        <f>_xlfn.IFNA(VLOOKUP($D425,'Route-Details'!$B$2:$X$1048576,'Node Details'!I$1,0),"")</f>
        <v>CM3</v>
      </c>
      <c r="J425" s="88" t="str">
        <f>_xlfn.IFNA(VLOOKUP($D425,'Route-Details'!$B$2:$X$1048576,'Node Details'!J$1,0),"")</f>
        <v>CM3</v>
      </c>
      <c r="K425" s="76">
        <v>46142</v>
      </c>
      <c r="L425" s="76">
        <v>46149</v>
      </c>
      <c r="M425" s="89">
        <v>46149</v>
      </c>
      <c r="N425" s="76">
        <v>46149</v>
      </c>
      <c r="Q425" s="86" t="s">
        <v>958</v>
      </c>
      <c r="R425" s="90"/>
      <c r="S425" s="87"/>
      <c r="T425" s="87"/>
      <c r="U425" s="87"/>
      <c r="V425" s="93"/>
      <c r="W425" s="91"/>
      <c r="X425" s="87"/>
      <c r="Y425" s="92"/>
      <c r="Z425" s="90"/>
      <c r="AA425" s="93"/>
      <c r="AB425" s="87"/>
      <c r="AC425" s="91"/>
      <c r="AD425" s="90"/>
      <c r="AE425" s="86"/>
      <c r="AF425" s="82"/>
      <c r="AG425" s="24"/>
      <c r="AH425" s="93"/>
      <c r="AI425" s="87"/>
      <c r="AJ425" s="86"/>
      <c r="AK425" s="81"/>
      <c r="AL425" s="24"/>
      <c r="AM425" s="24"/>
      <c r="AN425" s="81"/>
      <c r="AO425" s="81"/>
      <c r="AP425" s="24"/>
      <c r="AQ425" s="93"/>
      <c r="AR425" s="94"/>
      <c r="AS425" s="82"/>
      <c r="AT425" s="82"/>
      <c r="AU425" s="24"/>
      <c r="AV425" s="93"/>
      <c r="AW425" s="94"/>
      <c r="AX425" s="95"/>
      <c r="AY425" s="95"/>
      <c r="AZ425" s="95"/>
      <c r="BA425" s="24"/>
      <c r="BB425" s="9" t="s">
        <v>216</v>
      </c>
      <c r="BC425" s="96" t="s">
        <v>1128</v>
      </c>
    </row>
    <row r="426" spans="1:55" ht="15" customHeight="1">
      <c r="A426" s="86">
        <f t="shared" si="24"/>
        <v>424</v>
      </c>
      <c r="B426" s="75" t="s">
        <v>1149</v>
      </c>
      <c r="C426" s="9"/>
      <c r="D426" s="76" t="s">
        <v>678</v>
      </c>
      <c r="E426" s="88" t="str">
        <f>_xlfn.IFNA(VLOOKUP($D426,'Route-Details'!$B$2:$X$1048576,'Node Details'!E$1,0),"")</f>
        <v>Airtel</v>
      </c>
      <c r="F426" s="88" t="str">
        <f>_xlfn.IFNA(VLOOKUP($D426,'Route-Details'!$B$2:$X$1048576,'Node Details'!F$1,0),"")</f>
        <v>Mani Majra</v>
      </c>
      <c r="G426" s="88" t="str">
        <f>_xlfn.IFNA(VLOOKUP($D426,'Route-Details'!$B$2:$X$1048576,'Node Details'!G$1,0),"")</f>
        <v>Chandigarh</v>
      </c>
      <c r="H426" s="88" t="str">
        <f>_xlfn.IFNA(VLOOKUP($D427,'Route-Details'!$B$2:$X$1048576,'Node Details'!H$1,0),"")</f>
        <v>Punjab</v>
      </c>
      <c r="I426" s="88" t="str">
        <f>_xlfn.IFNA(VLOOKUP($D426,'Route-Details'!$B$2:$X$1048576,'Node Details'!I$1,0),"")</f>
        <v>CM3</v>
      </c>
      <c r="J426" s="88" t="str">
        <f>_xlfn.IFNA(VLOOKUP($D426,'Route-Details'!$B$2:$X$1048576,'Node Details'!J$1,0),"")</f>
        <v>CM3</v>
      </c>
      <c r="K426" s="76">
        <v>46142</v>
      </c>
      <c r="L426" s="76">
        <v>46149</v>
      </c>
      <c r="M426" s="89">
        <v>46149</v>
      </c>
      <c r="N426" s="76">
        <v>46149</v>
      </c>
      <c r="Q426" s="86" t="s">
        <v>958</v>
      </c>
      <c r="R426" s="90"/>
      <c r="S426" s="87"/>
      <c r="T426" s="87"/>
      <c r="U426" s="87"/>
      <c r="V426" s="93"/>
      <c r="W426" s="91"/>
      <c r="X426" s="87"/>
      <c r="Y426" s="92"/>
      <c r="Z426" s="90"/>
      <c r="AA426" s="93"/>
      <c r="AB426" s="87"/>
      <c r="AC426" s="91"/>
      <c r="AD426" s="90"/>
      <c r="AE426" s="86"/>
      <c r="AF426" s="82"/>
      <c r="AG426" s="24"/>
      <c r="AH426" s="93"/>
      <c r="AI426" s="87"/>
      <c r="AJ426" s="86"/>
      <c r="AK426" s="81"/>
      <c r="AL426" s="24"/>
      <c r="AM426" s="24"/>
      <c r="AN426" s="81"/>
      <c r="AO426" s="81"/>
      <c r="AP426" s="24"/>
      <c r="AQ426" s="93"/>
      <c r="AR426" s="94"/>
      <c r="AS426" s="82"/>
      <c r="AT426" s="82"/>
      <c r="AU426" s="24"/>
      <c r="AV426" s="93"/>
      <c r="AW426" s="94"/>
      <c r="AX426" s="95"/>
      <c r="AY426" s="95"/>
      <c r="AZ426" s="95"/>
      <c r="BA426" s="24"/>
      <c r="BB426" s="9" t="s">
        <v>216</v>
      </c>
      <c r="BC426" s="96" t="s">
        <v>1128</v>
      </c>
    </row>
    <row r="427" spans="1:55" ht="15" customHeight="1">
      <c r="A427" s="86">
        <f t="shared" si="24"/>
        <v>425</v>
      </c>
      <c r="B427" s="75" t="s">
        <v>680</v>
      </c>
      <c r="C427" s="9"/>
      <c r="D427" s="76" t="s">
        <v>678</v>
      </c>
      <c r="E427" s="88" t="str">
        <f>_xlfn.IFNA(VLOOKUP($D427,'Route-Details'!$B$2:$X$1048576,'Node Details'!E$1,0),"")</f>
        <v>Airtel</v>
      </c>
      <c r="F427" s="88" t="str">
        <f>_xlfn.IFNA(VLOOKUP($D427,'Route-Details'!$B$2:$X$1048576,'Node Details'!F$1,0),"")</f>
        <v>Mani Majra</v>
      </c>
      <c r="G427" s="88" t="str">
        <f>_xlfn.IFNA(VLOOKUP($D427,'Route-Details'!$B$2:$X$1048576,'Node Details'!G$1,0),"")</f>
        <v>Chandigarh</v>
      </c>
      <c r="H427" s="88" t="str">
        <f>_xlfn.IFNA(VLOOKUP($D428,'Route-Details'!$B$2:$X$1048576,'Node Details'!H$1,0),"")</f>
        <v>Punjab</v>
      </c>
      <c r="I427" s="88" t="str">
        <f>_xlfn.IFNA(VLOOKUP($D427,'Route-Details'!$B$2:$X$1048576,'Node Details'!I$1,0),"")</f>
        <v>CM3</v>
      </c>
      <c r="J427" s="88" t="str">
        <f>_xlfn.IFNA(VLOOKUP($D427,'Route-Details'!$B$2:$X$1048576,'Node Details'!J$1,0),"")</f>
        <v>CM3</v>
      </c>
      <c r="K427" s="76">
        <v>46142</v>
      </c>
      <c r="L427" s="76">
        <v>46149</v>
      </c>
      <c r="M427" s="89">
        <v>46149</v>
      </c>
      <c r="N427" s="76">
        <v>46149</v>
      </c>
      <c r="Q427" s="86" t="s">
        <v>958</v>
      </c>
      <c r="R427" s="90"/>
      <c r="S427" s="87"/>
      <c r="T427" s="87"/>
      <c r="U427" s="87"/>
      <c r="V427" s="93"/>
      <c r="W427" s="91"/>
      <c r="X427" s="87"/>
      <c r="Y427" s="92"/>
      <c r="Z427" s="90"/>
      <c r="AA427" s="93"/>
      <c r="AB427" s="87"/>
      <c r="AC427" s="91"/>
      <c r="AD427" s="90"/>
      <c r="AE427" s="86"/>
      <c r="AF427" s="82"/>
      <c r="AG427" s="24"/>
      <c r="AH427" s="93"/>
      <c r="AI427" s="87"/>
      <c r="AJ427" s="86"/>
      <c r="AK427" s="81"/>
      <c r="AL427" s="24"/>
      <c r="AM427" s="24"/>
      <c r="AN427" s="81"/>
      <c r="AO427" s="81"/>
      <c r="AP427" s="24"/>
      <c r="AQ427" s="93"/>
      <c r="AR427" s="94"/>
      <c r="AS427" s="82"/>
      <c r="AT427" s="82"/>
      <c r="AU427" s="24"/>
      <c r="AV427" s="93"/>
      <c r="AW427" s="94"/>
      <c r="AX427" s="95"/>
      <c r="AY427" s="95"/>
      <c r="AZ427" s="95"/>
      <c r="BA427" s="24"/>
      <c r="BB427" s="9" t="s">
        <v>216</v>
      </c>
      <c r="BC427" s="96" t="s">
        <v>1128</v>
      </c>
    </row>
    <row r="428" spans="1:55" ht="15" customHeight="1">
      <c r="A428" s="86">
        <f t="shared" si="24"/>
        <v>426</v>
      </c>
      <c r="B428" s="75" t="s">
        <v>682</v>
      </c>
      <c r="C428" s="9"/>
      <c r="D428" s="76" t="s">
        <v>613</v>
      </c>
      <c r="E428" s="88" t="str">
        <f>_xlfn.IFNA(VLOOKUP($D428,'Route-Details'!$B$2:$X$1048576,'Node Details'!E$1,0),"")</f>
        <v>Airtel</v>
      </c>
      <c r="F428" s="88" t="str">
        <f>_xlfn.IFNA(VLOOKUP($D428,'Route-Details'!$B$2:$X$1048576,'Node Details'!F$1,0),"")</f>
        <v>Mani Majra</v>
      </c>
      <c r="G428" s="88" t="str">
        <f>_xlfn.IFNA(VLOOKUP($D428,'Route-Details'!$B$2:$X$1048576,'Node Details'!G$1,0),"")</f>
        <v>Chandigarh</v>
      </c>
      <c r="H428" s="88" t="str">
        <f>_xlfn.IFNA(VLOOKUP($D429,'Route-Details'!$B$2:$X$1048576,'Node Details'!H$1,0),"")</f>
        <v>Punjab</v>
      </c>
      <c r="I428" s="88" t="str">
        <f>_xlfn.IFNA(VLOOKUP($D428,'Route-Details'!$B$2:$X$1048576,'Node Details'!I$1,0),"")</f>
        <v>CM3</v>
      </c>
      <c r="J428" s="88" t="str">
        <f>_xlfn.IFNA(VLOOKUP($D428,'Route-Details'!$B$2:$X$1048576,'Node Details'!J$1,0),"")</f>
        <v>CM3</v>
      </c>
      <c r="K428" s="76">
        <v>46142</v>
      </c>
      <c r="L428" s="76">
        <v>46149</v>
      </c>
      <c r="M428" s="89">
        <v>46149</v>
      </c>
      <c r="N428" s="76">
        <v>46149</v>
      </c>
      <c r="Q428" s="86" t="s">
        <v>958</v>
      </c>
      <c r="R428" s="90"/>
      <c r="S428" s="87"/>
      <c r="T428" s="87"/>
      <c r="U428" s="87"/>
      <c r="V428" s="93"/>
      <c r="W428" s="91"/>
      <c r="X428" s="87"/>
      <c r="Y428" s="92"/>
      <c r="Z428" s="90"/>
      <c r="AA428" s="93"/>
      <c r="AB428" s="87"/>
      <c r="AC428" s="91"/>
      <c r="AD428" s="90"/>
      <c r="AE428" s="86"/>
      <c r="AF428" s="82"/>
      <c r="AG428" s="24"/>
      <c r="AH428" s="93"/>
      <c r="AI428" s="87"/>
      <c r="AJ428" s="86"/>
      <c r="AK428" s="81"/>
      <c r="AL428" s="24"/>
      <c r="AM428" s="24"/>
      <c r="AN428" s="81"/>
      <c r="AO428" s="81"/>
      <c r="AP428" s="24"/>
      <c r="AQ428" s="93"/>
      <c r="AR428" s="94"/>
      <c r="AS428" s="82"/>
      <c r="AT428" s="82"/>
      <c r="AU428" s="24"/>
      <c r="AV428" s="93"/>
      <c r="AW428" s="94"/>
      <c r="AX428" s="95"/>
      <c r="AY428" s="95"/>
      <c r="AZ428" s="95"/>
      <c r="BA428" s="24"/>
      <c r="BB428" s="9" t="s">
        <v>92</v>
      </c>
      <c r="BC428" s="96" t="s">
        <v>1128</v>
      </c>
    </row>
    <row r="429" spans="1:55" ht="15" customHeight="1">
      <c r="A429" s="86">
        <f t="shared" si="24"/>
        <v>427</v>
      </c>
      <c r="B429" s="75" t="s">
        <v>685</v>
      </c>
      <c r="C429" s="9"/>
      <c r="D429" s="76" t="s">
        <v>681</v>
      </c>
      <c r="E429" s="88" t="str">
        <f>_xlfn.IFNA(VLOOKUP($D429,'Route-Details'!$B$2:$X$1048576,'Node Details'!E$1,0),"")</f>
        <v>Airtel</v>
      </c>
      <c r="F429" s="88" t="str">
        <f>_xlfn.IFNA(VLOOKUP($D429,'Route-Details'!$B$2:$X$1048576,'Node Details'!F$1,0),"")</f>
        <v>Mani Majra</v>
      </c>
      <c r="G429" s="88" t="str">
        <f>_xlfn.IFNA(VLOOKUP($D429,'Route-Details'!$B$2:$X$1048576,'Node Details'!G$1,0),"")</f>
        <v>Chandigarh</v>
      </c>
      <c r="H429" s="88" t="str">
        <f>_xlfn.IFNA(VLOOKUP($D430,'Route-Details'!$B$2:$X$1048576,'Node Details'!H$1,0),"")</f>
        <v>Punjab</v>
      </c>
      <c r="I429" s="88" t="str">
        <f>_xlfn.IFNA(VLOOKUP($D429,'Route-Details'!$B$2:$X$1048576,'Node Details'!I$1,0),"")</f>
        <v>CM3</v>
      </c>
      <c r="J429" s="88" t="str">
        <f>_xlfn.IFNA(VLOOKUP($D429,'Route-Details'!$B$2:$X$1048576,'Node Details'!J$1,0),"")</f>
        <v>CM3</v>
      </c>
      <c r="K429" s="76">
        <v>46142</v>
      </c>
      <c r="L429" s="76">
        <v>46149</v>
      </c>
      <c r="M429" s="89">
        <v>46149</v>
      </c>
      <c r="N429" s="76">
        <v>46149</v>
      </c>
      <c r="Q429" s="86" t="s">
        <v>958</v>
      </c>
      <c r="R429" s="90"/>
      <c r="S429" s="87"/>
      <c r="T429" s="87"/>
      <c r="U429" s="87"/>
      <c r="V429" s="93"/>
      <c r="W429" s="91"/>
      <c r="X429" s="87"/>
      <c r="Y429" s="92"/>
      <c r="Z429" s="90"/>
      <c r="AA429" s="93"/>
      <c r="AB429" s="87"/>
      <c r="AC429" s="91"/>
      <c r="AD429" s="90"/>
      <c r="AE429" s="86"/>
      <c r="AF429" s="82"/>
      <c r="AG429" s="24"/>
      <c r="AH429" s="93"/>
      <c r="AI429" s="87"/>
      <c r="AJ429" s="86"/>
      <c r="AK429" s="81"/>
      <c r="AL429" s="24"/>
      <c r="AM429" s="24"/>
      <c r="AN429" s="81"/>
      <c r="AO429" s="81"/>
      <c r="AP429" s="24"/>
      <c r="AQ429" s="93"/>
      <c r="AR429" s="94"/>
      <c r="AS429" s="82"/>
      <c r="AT429" s="82"/>
      <c r="AU429" s="24"/>
      <c r="AV429" s="93"/>
      <c r="AW429" s="94"/>
      <c r="AX429" s="95"/>
      <c r="AY429" s="95"/>
      <c r="AZ429" s="95"/>
      <c r="BA429" s="24"/>
      <c r="BB429" s="9" t="s">
        <v>220</v>
      </c>
      <c r="BC429" s="96" t="s">
        <v>1128</v>
      </c>
    </row>
    <row r="430" spans="1:55" ht="15" customHeight="1">
      <c r="A430" s="86">
        <f t="shared" si="24"/>
        <v>428</v>
      </c>
      <c r="B430" s="75" t="s">
        <v>683</v>
      </c>
      <c r="C430" s="9"/>
      <c r="D430" s="76" t="s">
        <v>681</v>
      </c>
      <c r="E430" s="88" t="str">
        <f>_xlfn.IFNA(VLOOKUP($D430,'Route-Details'!$B$2:$X$1048576,'Node Details'!E$1,0),"")</f>
        <v>Airtel</v>
      </c>
      <c r="F430" s="88" t="str">
        <f>_xlfn.IFNA(VLOOKUP($D430,'Route-Details'!$B$2:$X$1048576,'Node Details'!F$1,0),"")</f>
        <v>Mani Majra</v>
      </c>
      <c r="G430" s="88" t="str">
        <f>_xlfn.IFNA(VLOOKUP($D430,'Route-Details'!$B$2:$X$1048576,'Node Details'!G$1,0),"")</f>
        <v>Chandigarh</v>
      </c>
      <c r="H430" s="88" t="str">
        <f>_xlfn.IFNA(VLOOKUP($D431,'Route-Details'!$B$2:$X$1048576,'Node Details'!H$1,0),"")</f>
        <v>Punjab</v>
      </c>
      <c r="I430" s="88" t="str">
        <f>_xlfn.IFNA(VLOOKUP($D430,'Route-Details'!$B$2:$X$1048576,'Node Details'!I$1,0),"")</f>
        <v>CM3</v>
      </c>
      <c r="J430" s="88" t="str">
        <f>_xlfn.IFNA(VLOOKUP($D430,'Route-Details'!$B$2:$X$1048576,'Node Details'!J$1,0),"")</f>
        <v>CM3</v>
      </c>
      <c r="K430" s="76">
        <v>46142</v>
      </c>
      <c r="L430" s="76">
        <v>46149</v>
      </c>
      <c r="M430" s="89">
        <v>46149</v>
      </c>
      <c r="N430" s="76">
        <v>46149</v>
      </c>
      <c r="Q430" s="86" t="s">
        <v>958</v>
      </c>
      <c r="R430" s="90"/>
      <c r="S430" s="87"/>
      <c r="T430" s="87"/>
      <c r="U430" s="87"/>
      <c r="V430" s="93"/>
      <c r="W430" s="91"/>
      <c r="X430" s="87"/>
      <c r="Y430" s="92"/>
      <c r="Z430" s="90"/>
      <c r="AA430" s="93"/>
      <c r="AB430" s="87"/>
      <c r="AC430" s="91"/>
      <c r="AD430" s="90"/>
      <c r="AE430" s="86"/>
      <c r="AF430" s="82"/>
      <c r="AG430" s="24"/>
      <c r="AH430" s="93"/>
      <c r="AI430" s="87"/>
      <c r="AJ430" s="86"/>
      <c r="AK430" s="81"/>
      <c r="AL430" s="24"/>
      <c r="AM430" s="24"/>
      <c r="AN430" s="81"/>
      <c r="AO430" s="81"/>
      <c r="AP430" s="24"/>
      <c r="AQ430" s="93"/>
      <c r="AR430" s="94"/>
      <c r="AS430" s="82"/>
      <c r="AT430" s="82"/>
      <c r="AU430" s="24"/>
      <c r="AV430" s="93"/>
      <c r="AW430" s="94"/>
      <c r="AX430" s="95"/>
      <c r="AY430" s="95"/>
      <c r="AZ430" s="95"/>
      <c r="BA430" s="24"/>
      <c r="BB430" s="9" t="s">
        <v>220</v>
      </c>
      <c r="BC430" s="96" t="s">
        <v>1128</v>
      </c>
    </row>
    <row r="431" spans="1:55" ht="15" customHeight="1">
      <c r="A431" s="86">
        <f t="shared" si="24"/>
        <v>429</v>
      </c>
      <c r="B431" s="75" t="s">
        <v>686</v>
      </c>
      <c r="C431" s="9"/>
      <c r="D431" s="76" t="s">
        <v>684</v>
      </c>
      <c r="E431" s="88" t="str">
        <f>_xlfn.IFNA(VLOOKUP($D431,'Route-Details'!$B$2:$X$1048576,'Node Details'!E$1,0),"")</f>
        <v>Airtel</v>
      </c>
      <c r="F431" s="88" t="str">
        <f>_xlfn.IFNA(VLOOKUP($D431,'Route-Details'!$B$2:$X$1048576,'Node Details'!F$1,0),"")</f>
        <v>Mani Majra</v>
      </c>
      <c r="G431" s="88" t="str">
        <f>_xlfn.IFNA(VLOOKUP($D431,'Route-Details'!$B$2:$X$1048576,'Node Details'!G$1,0),"")</f>
        <v>Chandigarh</v>
      </c>
      <c r="H431" s="88" t="str">
        <f>_xlfn.IFNA(VLOOKUP($D432,'Route-Details'!$B$2:$X$1048576,'Node Details'!H$1,0),"")</f>
        <v>Punjab</v>
      </c>
      <c r="I431" s="88" t="str">
        <f>_xlfn.IFNA(VLOOKUP($D431,'Route-Details'!$B$2:$X$1048576,'Node Details'!I$1,0),"")</f>
        <v>CM3</v>
      </c>
      <c r="J431" s="88" t="str">
        <f>_xlfn.IFNA(VLOOKUP($D431,'Route-Details'!$B$2:$X$1048576,'Node Details'!J$1,0),"")</f>
        <v>CM3</v>
      </c>
      <c r="K431" s="76">
        <v>46142</v>
      </c>
      <c r="L431" s="76">
        <v>46149</v>
      </c>
      <c r="M431" s="89">
        <v>46149</v>
      </c>
      <c r="N431" s="76">
        <v>46149</v>
      </c>
      <c r="Q431" s="86" t="s">
        <v>958</v>
      </c>
      <c r="R431" s="90"/>
      <c r="S431" s="87"/>
      <c r="T431" s="87"/>
      <c r="U431" s="87"/>
      <c r="V431" s="93"/>
      <c r="W431" s="91"/>
      <c r="X431" s="87"/>
      <c r="Y431" s="92"/>
      <c r="Z431" s="90"/>
      <c r="AA431" s="93"/>
      <c r="AB431" s="87"/>
      <c r="AC431" s="91"/>
      <c r="AD431" s="90"/>
      <c r="AE431" s="86"/>
      <c r="AF431" s="82"/>
      <c r="AG431" s="24"/>
      <c r="AH431" s="93"/>
      <c r="AI431" s="87"/>
      <c r="AJ431" s="86"/>
      <c r="AK431" s="81"/>
      <c r="AL431" s="24"/>
      <c r="AM431" s="24"/>
      <c r="AN431" s="81"/>
      <c r="AO431" s="81"/>
      <c r="AP431" s="24"/>
      <c r="AQ431" s="93"/>
      <c r="AR431" s="94"/>
      <c r="AS431" s="82"/>
      <c r="AT431" s="82"/>
      <c r="AU431" s="24"/>
      <c r="AV431" s="93"/>
      <c r="AW431" s="94"/>
      <c r="AX431" s="95"/>
      <c r="AY431" s="95"/>
      <c r="AZ431" s="95"/>
      <c r="BA431" s="24"/>
      <c r="BB431" s="9" t="s">
        <v>223</v>
      </c>
      <c r="BC431" s="96" t="s">
        <v>1128</v>
      </c>
    </row>
    <row r="432" spans="1:55" ht="15" customHeight="1">
      <c r="A432" s="86">
        <f t="shared" si="24"/>
        <v>430</v>
      </c>
      <c r="B432" s="75" t="s">
        <v>688</v>
      </c>
      <c r="C432" s="9"/>
      <c r="D432" s="76" t="s">
        <v>687</v>
      </c>
      <c r="E432" s="88" t="str">
        <f>_xlfn.IFNA(VLOOKUP($D432,'Route-Details'!$B$2:$X$1048576,'Node Details'!E$1,0),"")</f>
        <v>Airtel</v>
      </c>
      <c r="F432" s="88" t="str">
        <f>_xlfn.IFNA(VLOOKUP($D432,'Route-Details'!$B$2:$X$1048576,'Node Details'!F$1,0),"")</f>
        <v>Mani Majra</v>
      </c>
      <c r="G432" s="88" t="str">
        <f>_xlfn.IFNA(VLOOKUP($D432,'Route-Details'!$B$2:$X$1048576,'Node Details'!G$1,0),"")</f>
        <v>Chandigarh</v>
      </c>
      <c r="H432" s="88" t="str">
        <f>_xlfn.IFNA(VLOOKUP($D433,'Route-Details'!$B$2:$X$1048576,'Node Details'!H$1,0),"")</f>
        <v>Punjab</v>
      </c>
      <c r="I432" s="88" t="str">
        <f>_xlfn.IFNA(VLOOKUP($D432,'Route-Details'!$B$2:$X$1048576,'Node Details'!I$1,0),"")</f>
        <v>CM3</v>
      </c>
      <c r="J432" s="88" t="str">
        <f>_xlfn.IFNA(VLOOKUP($D432,'Route-Details'!$B$2:$X$1048576,'Node Details'!J$1,0),"")</f>
        <v>CM3</v>
      </c>
      <c r="K432" s="76">
        <v>46142</v>
      </c>
      <c r="L432" s="76">
        <v>46149</v>
      </c>
      <c r="M432" s="89">
        <v>46149</v>
      </c>
      <c r="N432" s="76">
        <v>46149</v>
      </c>
      <c r="Q432" s="86" t="s">
        <v>958</v>
      </c>
      <c r="R432" s="90"/>
      <c r="S432" s="87"/>
      <c r="T432" s="87"/>
      <c r="U432" s="87"/>
      <c r="V432" s="93"/>
      <c r="W432" s="91"/>
      <c r="X432" s="87"/>
      <c r="Y432" s="92"/>
      <c r="Z432" s="90"/>
      <c r="AA432" s="93"/>
      <c r="AB432" s="87"/>
      <c r="AC432" s="91"/>
      <c r="AD432" s="90"/>
      <c r="AE432" s="86"/>
      <c r="AF432" s="82"/>
      <c r="AG432" s="24"/>
      <c r="AH432" s="93"/>
      <c r="AI432" s="87"/>
      <c r="AJ432" s="86"/>
      <c r="AK432" s="81"/>
      <c r="AL432" s="24"/>
      <c r="AM432" s="24"/>
      <c r="AN432" s="81"/>
      <c r="AO432" s="81"/>
      <c r="AP432" s="24"/>
      <c r="AQ432" s="93"/>
      <c r="AR432" s="94"/>
      <c r="AS432" s="82"/>
      <c r="AT432" s="82"/>
      <c r="AU432" s="24"/>
      <c r="AV432" s="93"/>
      <c r="AW432" s="94"/>
      <c r="AX432" s="95"/>
      <c r="AY432" s="95"/>
      <c r="AZ432" s="95"/>
      <c r="BA432" s="24"/>
      <c r="BB432" s="9" t="s">
        <v>227</v>
      </c>
      <c r="BC432" s="96" t="s">
        <v>1128</v>
      </c>
    </row>
    <row r="433" spans="1:55" ht="15" customHeight="1">
      <c r="A433" s="86">
        <f t="shared" si="24"/>
        <v>431</v>
      </c>
      <c r="B433" s="75" t="s">
        <v>1150</v>
      </c>
      <c r="C433" s="9"/>
      <c r="D433" s="76" t="s">
        <v>689</v>
      </c>
      <c r="E433" s="88" t="str">
        <f>_xlfn.IFNA(VLOOKUP($D433,'Route-Details'!$B$2:$X$1048576,'Node Details'!E$1,0),"")</f>
        <v>Airtel</v>
      </c>
      <c r="F433" s="88" t="str">
        <f>_xlfn.IFNA(VLOOKUP($D433,'Route-Details'!$B$2:$X$1048576,'Node Details'!F$1,0),"")</f>
        <v>Mani Majra</v>
      </c>
      <c r="G433" s="88" t="str">
        <f>_xlfn.IFNA(VLOOKUP($D433,'Route-Details'!$B$2:$X$1048576,'Node Details'!G$1,0),"")</f>
        <v>Chandigarh</v>
      </c>
      <c r="H433" s="88" t="str">
        <f>_xlfn.IFNA(VLOOKUP($D434,'Route-Details'!$B$2:$X$1048576,'Node Details'!H$1,0),"")</f>
        <v>Punjab</v>
      </c>
      <c r="I433" s="88" t="str">
        <f>_xlfn.IFNA(VLOOKUP($D433,'Route-Details'!$B$2:$X$1048576,'Node Details'!I$1,0),"")</f>
        <v>CM3</v>
      </c>
      <c r="J433" s="88" t="str">
        <f>_xlfn.IFNA(VLOOKUP($D433,'Route-Details'!$B$2:$X$1048576,'Node Details'!J$1,0),"")</f>
        <v>CM3</v>
      </c>
      <c r="K433" s="76">
        <v>46142</v>
      </c>
      <c r="L433" s="76">
        <v>46149</v>
      </c>
      <c r="M433" s="89">
        <v>46149</v>
      </c>
      <c r="N433" s="76">
        <v>46149</v>
      </c>
      <c r="Q433" s="86" t="s">
        <v>958</v>
      </c>
      <c r="R433" s="90"/>
      <c r="S433" s="87"/>
      <c r="T433" s="87"/>
      <c r="U433" s="87"/>
      <c r="V433" s="93"/>
      <c r="W433" s="91"/>
      <c r="X433" s="87"/>
      <c r="Y433" s="92"/>
      <c r="Z433" s="90"/>
      <c r="AA433" s="93"/>
      <c r="AB433" s="87"/>
      <c r="AC433" s="91"/>
      <c r="AD433" s="90"/>
      <c r="AE433" s="86"/>
      <c r="AF433" s="82"/>
      <c r="AG433" s="24"/>
      <c r="AH433" s="93"/>
      <c r="AI433" s="87"/>
      <c r="AJ433" s="86"/>
      <c r="AK433" s="81"/>
      <c r="AL433" s="24"/>
      <c r="AM433" s="24"/>
      <c r="AN433" s="81"/>
      <c r="AO433" s="81"/>
      <c r="AP433" s="24"/>
      <c r="AQ433" s="93"/>
      <c r="AR433" s="94"/>
      <c r="AS433" s="82"/>
      <c r="AT433" s="82"/>
      <c r="AU433" s="24"/>
      <c r="AV433" s="93"/>
      <c r="AW433" s="94"/>
      <c r="AX433" s="95"/>
      <c r="AY433" s="95"/>
      <c r="AZ433" s="95"/>
      <c r="BA433" s="24"/>
      <c r="BB433" s="9" t="s">
        <v>231</v>
      </c>
      <c r="BC433" s="96" t="s">
        <v>1128</v>
      </c>
    </row>
    <row r="434" spans="1:55" ht="15" customHeight="1">
      <c r="A434" s="86">
        <f t="shared" si="24"/>
        <v>432</v>
      </c>
      <c r="B434" s="75" t="s">
        <v>1151</v>
      </c>
      <c r="C434" s="9"/>
      <c r="D434" s="76" t="s">
        <v>689</v>
      </c>
      <c r="E434" s="88" t="str">
        <f>_xlfn.IFNA(VLOOKUP($D434,'Route-Details'!$B$2:$X$1048576,'Node Details'!E$1,0),"")</f>
        <v>Airtel</v>
      </c>
      <c r="F434" s="88" t="str">
        <f>_xlfn.IFNA(VLOOKUP($D434,'Route-Details'!$B$2:$X$1048576,'Node Details'!F$1,0),"")</f>
        <v>Mani Majra</v>
      </c>
      <c r="G434" s="88" t="str">
        <f>_xlfn.IFNA(VLOOKUP($D434,'Route-Details'!$B$2:$X$1048576,'Node Details'!G$1,0),"")</f>
        <v>Chandigarh</v>
      </c>
      <c r="H434" s="88" t="str">
        <f>_xlfn.IFNA(VLOOKUP($D435,'Route-Details'!$B$2:$X$1048576,'Node Details'!H$1,0),"")</f>
        <v>Punjab</v>
      </c>
      <c r="I434" s="88" t="str">
        <f>_xlfn.IFNA(VLOOKUP($D434,'Route-Details'!$B$2:$X$1048576,'Node Details'!I$1,0),"")</f>
        <v>CM3</v>
      </c>
      <c r="J434" s="88" t="str">
        <f>_xlfn.IFNA(VLOOKUP($D434,'Route-Details'!$B$2:$X$1048576,'Node Details'!J$1,0),"")</f>
        <v>CM3</v>
      </c>
      <c r="K434" s="76">
        <v>46142</v>
      </c>
      <c r="L434" s="76">
        <v>46149</v>
      </c>
      <c r="M434" s="89">
        <v>46149</v>
      </c>
      <c r="N434" s="76">
        <v>46149</v>
      </c>
      <c r="Q434" s="86" t="s">
        <v>958</v>
      </c>
      <c r="R434" s="90"/>
      <c r="S434" s="87"/>
      <c r="T434" s="87"/>
      <c r="U434" s="87"/>
      <c r="V434" s="93"/>
      <c r="W434" s="91"/>
      <c r="X434" s="87"/>
      <c r="Y434" s="92"/>
      <c r="Z434" s="90"/>
      <c r="AA434" s="93"/>
      <c r="AB434" s="87"/>
      <c r="AC434" s="91"/>
      <c r="AD434" s="90"/>
      <c r="AE434" s="86"/>
      <c r="AF434" s="82"/>
      <c r="AG434" s="24"/>
      <c r="AH434" s="93"/>
      <c r="AI434" s="87"/>
      <c r="AJ434" s="86"/>
      <c r="AK434" s="81"/>
      <c r="AL434" s="24"/>
      <c r="AM434" s="24"/>
      <c r="AN434" s="81"/>
      <c r="AO434" s="81"/>
      <c r="AP434" s="24"/>
      <c r="AQ434" s="93"/>
      <c r="AR434" s="94"/>
      <c r="AS434" s="82"/>
      <c r="AT434" s="82"/>
      <c r="AU434" s="24"/>
      <c r="AV434" s="93"/>
      <c r="AW434" s="94"/>
      <c r="AX434" s="95"/>
      <c r="AY434" s="95"/>
      <c r="AZ434" s="95"/>
      <c r="BA434" s="24"/>
      <c r="BB434" s="9" t="s">
        <v>231</v>
      </c>
      <c r="BC434" s="96" t="s">
        <v>1128</v>
      </c>
    </row>
    <row r="435" spans="1:55" ht="15" customHeight="1">
      <c r="A435" s="86">
        <f t="shared" si="24"/>
        <v>433</v>
      </c>
      <c r="B435" s="75" t="s">
        <v>1152</v>
      </c>
      <c r="C435" s="9"/>
      <c r="D435" s="76" t="s">
        <v>689</v>
      </c>
      <c r="E435" s="88" t="str">
        <f>_xlfn.IFNA(VLOOKUP($D435,'Route-Details'!$B$2:$X$1048576,'Node Details'!E$1,0),"")</f>
        <v>Airtel</v>
      </c>
      <c r="F435" s="88" t="str">
        <f>_xlfn.IFNA(VLOOKUP($D435,'Route-Details'!$B$2:$X$1048576,'Node Details'!F$1,0),"")</f>
        <v>Mani Majra</v>
      </c>
      <c r="G435" s="88" t="str">
        <f>_xlfn.IFNA(VLOOKUP($D435,'Route-Details'!$B$2:$X$1048576,'Node Details'!G$1,0),"")</f>
        <v>Chandigarh</v>
      </c>
      <c r="H435" s="88" t="str">
        <f>_xlfn.IFNA(VLOOKUP($D436,'Route-Details'!$B$2:$X$1048576,'Node Details'!H$1,0),"")</f>
        <v>Punjab</v>
      </c>
      <c r="I435" s="88" t="str">
        <f>_xlfn.IFNA(VLOOKUP($D435,'Route-Details'!$B$2:$X$1048576,'Node Details'!I$1,0),"")</f>
        <v>CM3</v>
      </c>
      <c r="J435" s="88" t="str">
        <f>_xlfn.IFNA(VLOOKUP($D435,'Route-Details'!$B$2:$X$1048576,'Node Details'!J$1,0),"")</f>
        <v>CM3</v>
      </c>
      <c r="K435" s="76">
        <v>46142</v>
      </c>
      <c r="L435" s="76">
        <v>46149</v>
      </c>
      <c r="M435" s="89">
        <v>46149</v>
      </c>
      <c r="N435" s="76">
        <v>46149</v>
      </c>
      <c r="Q435" s="86" t="s">
        <v>958</v>
      </c>
      <c r="R435" s="90"/>
      <c r="S435" s="87"/>
      <c r="T435" s="87"/>
      <c r="U435" s="87"/>
      <c r="V435" s="93"/>
      <c r="W435" s="91"/>
      <c r="X435" s="87"/>
      <c r="Y435" s="92"/>
      <c r="Z435" s="90"/>
      <c r="AA435" s="93"/>
      <c r="AB435" s="87"/>
      <c r="AC435" s="91"/>
      <c r="AD435" s="90"/>
      <c r="AE435" s="86"/>
      <c r="AF435" s="82"/>
      <c r="AG435" s="24"/>
      <c r="AH435" s="93"/>
      <c r="AI435" s="87"/>
      <c r="AJ435" s="86"/>
      <c r="AK435" s="81"/>
      <c r="AL435" s="24"/>
      <c r="AM435" s="24"/>
      <c r="AN435" s="81"/>
      <c r="AO435" s="81"/>
      <c r="AP435" s="24"/>
      <c r="AQ435" s="93"/>
      <c r="AR435" s="94"/>
      <c r="AS435" s="82"/>
      <c r="AT435" s="82"/>
      <c r="AU435" s="24"/>
      <c r="AV435" s="93"/>
      <c r="AW435" s="94"/>
      <c r="AX435" s="95"/>
      <c r="AY435" s="95"/>
      <c r="AZ435" s="95"/>
      <c r="BA435" s="24"/>
      <c r="BB435" s="9" t="s">
        <v>231</v>
      </c>
      <c r="BC435" s="96" t="s">
        <v>1128</v>
      </c>
    </row>
    <row r="436" spans="1:55" ht="15" customHeight="1">
      <c r="A436" s="86">
        <f t="shared" si="24"/>
        <v>434</v>
      </c>
      <c r="B436" s="75" t="s">
        <v>690</v>
      </c>
      <c r="C436" s="9"/>
      <c r="D436" s="76" t="s">
        <v>689</v>
      </c>
      <c r="E436" s="88" t="str">
        <f>_xlfn.IFNA(VLOOKUP($D436,'Route-Details'!$B$2:$X$1048576,'Node Details'!E$1,0),"")</f>
        <v>Airtel</v>
      </c>
      <c r="F436" s="88" t="str">
        <f>_xlfn.IFNA(VLOOKUP($D436,'Route-Details'!$B$2:$X$1048576,'Node Details'!F$1,0),"")</f>
        <v>Mani Majra</v>
      </c>
      <c r="G436" s="88" t="str">
        <f>_xlfn.IFNA(VLOOKUP($D436,'Route-Details'!$B$2:$X$1048576,'Node Details'!G$1,0),"")</f>
        <v>Chandigarh</v>
      </c>
      <c r="H436" s="88" t="str">
        <f>_xlfn.IFNA(VLOOKUP($D437,'Route-Details'!$B$2:$X$1048576,'Node Details'!H$1,0),"")</f>
        <v>Punjab</v>
      </c>
      <c r="I436" s="88" t="str">
        <f>_xlfn.IFNA(VLOOKUP($D436,'Route-Details'!$B$2:$X$1048576,'Node Details'!I$1,0),"")</f>
        <v>CM3</v>
      </c>
      <c r="J436" s="88" t="str">
        <f>_xlfn.IFNA(VLOOKUP($D436,'Route-Details'!$B$2:$X$1048576,'Node Details'!J$1,0),"")</f>
        <v>CM3</v>
      </c>
      <c r="K436" s="76">
        <v>46142</v>
      </c>
      <c r="L436" s="76">
        <v>46149</v>
      </c>
      <c r="M436" s="89">
        <v>46149</v>
      </c>
      <c r="N436" s="76">
        <v>46149</v>
      </c>
      <c r="Q436" s="86" t="s">
        <v>958</v>
      </c>
      <c r="R436" s="90"/>
      <c r="S436" s="87"/>
      <c r="T436" s="87"/>
      <c r="U436" s="87"/>
      <c r="V436" s="93"/>
      <c r="W436" s="91"/>
      <c r="X436" s="87"/>
      <c r="Y436" s="92"/>
      <c r="Z436" s="90"/>
      <c r="AA436" s="93"/>
      <c r="AB436" s="87"/>
      <c r="AC436" s="91"/>
      <c r="AD436" s="90"/>
      <c r="AE436" s="86"/>
      <c r="AF436" s="82"/>
      <c r="AG436" s="24"/>
      <c r="AH436" s="93"/>
      <c r="AI436" s="87"/>
      <c r="AJ436" s="86"/>
      <c r="AK436" s="81"/>
      <c r="AL436" s="24"/>
      <c r="AM436" s="24"/>
      <c r="AN436" s="81"/>
      <c r="AO436" s="81"/>
      <c r="AP436" s="24"/>
      <c r="AQ436" s="93"/>
      <c r="AR436" s="94"/>
      <c r="AS436" s="82"/>
      <c r="AT436" s="82"/>
      <c r="AU436" s="24"/>
      <c r="AV436" s="93"/>
      <c r="AW436" s="94"/>
      <c r="AX436" s="95"/>
      <c r="AY436" s="95"/>
      <c r="AZ436" s="95"/>
      <c r="BA436" s="24"/>
      <c r="BB436" s="9" t="s">
        <v>231</v>
      </c>
      <c r="BC436" s="96" t="s">
        <v>1128</v>
      </c>
    </row>
    <row r="437" spans="1:55" ht="15" customHeight="1">
      <c r="A437" s="86">
        <f t="shared" si="24"/>
        <v>435</v>
      </c>
      <c r="B437" s="75" t="s">
        <v>692</v>
      </c>
      <c r="C437" s="9"/>
      <c r="D437" s="76" t="s">
        <v>613</v>
      </c>
      <c r="E437" s="88" t="str">
        <f>_xlfn.IFNA(VLOOKUP($D437,'Route-Details'!$B$2:$X$1048576,'Node Details'!E$1,0),"")</f>
        <v>Airtel</v>
      </c>
      <c r="F437" s="88" t="str">
        <f>_xlfn.IFNA(VLOOKUP($D437,'Route-Details'!$B$2:$X$1048576,'Node Details'!F$1,0),"")</f>
        <v>Mani Majra</v>
      </c>
      <c r="G437" s="88" t="str">
        <f>_xlfn.IFNA(VLOOKUP($D437,'Route-Details'!$B$2:$X$1048576,'Node Details'!G$1,0),"")</f>
        <v>Chandigarh</v>
      </c>
      <c r="H437" s="88" t="str">
        <f>_xlfn.IFNA(VLOOKUP($D438,'Route-Details'!$B$2:$X$1048576,'Node Details'!H$1,0),"")</f>
        <v>Punjab</v>
      </c>
      <c r="I437" s="88" t="str">
        <f>_xlfn.IFNA(VLOOKUP($D437,'Route-Details'!$B$2:$X$1048576,'Node Details'!I$1,0),"")</f>
        <v>CM3</v>
      </c>
      <c r="J437" s="88" t="str">
        <f>_xlfn.IFNA(VLOOKUP($D437,'Route-Details'!$B$2:$X$1048576,'Node Details'!J$1,0),"")</f>
        <v>CM3</v>
      </c>
      <c r="K437" s="76">
        <v>46142</v>
      </c>
      <c r="L437" s="76">
        <v>46149</v>
      </c>
      <c r="M437" s="89">
        <v>46149</v>
      </c>
      <c r="N437" s="76">
        <v>46149</v>
      </c>
      <c r="Q437" s="86" t="s">
        <v>958</v>
      </c>
      <c r="R437" s="90"/>
      <c r="S437" s="87"/>
      <c r="T437" s="87"/>
      <c r="U437" s="87"/>
      <c r="V437" s="93"/>
      <c r="W437" s="91"/>
      <c r="X437" s="87"/>
      <c r="Y437" s="92"/>
      <c r="Z437" s="90"/>
      <c r="AA437" s="93"/>
      <c r="AB437" s="87"/>
      <c r="AC437" s="91"/>
      <c r="AD437" s="90"/>
      <c r="AE437" s="86"/>
      <c r="AF437" s="82"/>
      <c r="AG437" s="24"/>
      <c r="AH437" s="93"/>
      <c r="AI437" s="87"/>
      <c r="AJ437" s="86"/>
      <c r="AK437" s="81"/>
      <c r="AL437" s="24"/>
      <c r="AM437" s="24"/>
      <c r="AN437" s="81"/>
      <c r="AO437" s="81"/>
      <c r="AP437" s="24"/>
      <c r="AQ437" s="93"/>
      <c r="AR437" s="94"/>
      <c r="AS437" s="82"/>
      <c r="AT437" s="82"/>
      <c r="AU437" s="24"/>
      <c r="AV437" s="93"/>
      <c r="AW437" s="94"/>
      <c r="AX437" s="95"/>
      <c r="AY437" s="95"/>
      <c r="AZ437" s="95"/>
      <c r="BA437" s="24"/>
      <c r="BB437" s="9" t="s">
        <v>92</v>
      </c>
      <c r="BC437" s="96" t="s">
        <v>1128</v>
      </c>
    </row>
    <row r="438" spans="1:55" ht="15" customHeight="1">
      <c r="A438" s="86">
        <f t="shared" si="24"/>
        <v>436</v>
      </c>
      <c r="B438" s="75" t="s">
        <v>1153</v>
      </c>
      <c r="C438" s="9"/>
      <c r="D438" s="76" t="s">
        <v>691</v>
      </c>
      <c r="E438" s="88" t="str">
        <f>_xlfn.IFNA(VLOOKUP($D438,'Route-Details'!$B$2:$X$1048576,'Node Details'!E$1,0),"")</f>
        <v>Airtel</v>
      </c>
      <c r="F438" s="88" t="str">
        <f>_xlfn.IFNA(VLOOKUP($D438,'Route-Details'!$B$2:$X$1048576,'Node Details'!F$1,0),"")</f>
        <v>Mani Majra</v>
      </c>
      <c r="G438" s="88" t="str">
        <f>_xlfn.IFNA(VLOOKUP($D438,'Route-Details'!$B$2:$X$1048576,'Node Details'!G$1,0),"")</f>
        <v>Chandigarh</v>
      </c>
      <c r="H438" s="88" t="str">
        <f>_xlfn.IFNA(VLOOKUP($D439,'Route-Details'!$B$2:$X$1048576,'Node Details'!H$1,0),"")</f>
        <v>Punjab</v>
      </c>
      <c r="I438" s="88" t="str">
        <f>_xlfn.IFNA(VLOOKUP($D438,'Route-Details'!$B$2:$X$1048576,'Node Details'!I$1,0),"")</f>
        <v>CM3</v>
      </c>
      <c r="J438" s="88" t="str">
        <f>_xlfn.IFNA(VLOOKUP($D438,'Route-Details'!$B$2:$X$1048576,'Node Details'!J$1,0),"")</f>
        <v>CM3</v>
      </c>
      <c r="K438" s="76">
        <v>46142</v>
      </c>
      <c r="L438" s="76">
        <v>46149</v>
      </c>
      <c r="M438" s="89">
        <v>46149</v>
      </c>
      <c r="N438" s="76">
        <v>46149</v>
      </c>
      <c r="Q438" s="86" t="s">
        <v>958</v>
      </c>
      <c r="R438" s="90"/>
      <c r="S438" s="87"/>
      <c r="T438" s="87"/>
      <c r="U438" s="87"/>
      <c r="V438" s="93"/>
      <c r="W438" s="91"/>
      <c r="X438" s="87"/>
      <c r="Y438" s="92"/>
      <c r="Z438" s="90"/>
      <c r="AA438" s="93"/>
      <c r="AB438" s="87"/>
      <c r="AC438" s="91"/>
      <c r="AD438" s="90"/>
      <c r="AE438" s="86"/>
      <c r="AF438" s="82"/>
      <c r="AG438" s="24"/>
      <c r="AH438" s="93"/>
      <c r="AI438" s="87"/>
      <c r="AJ438" s="86"/>
      <c r="AK438" s="81"/>
      <c r="AL438" s="24"/>
      <c r="AM438" s="24"/>
      <c r="AN438" s="81"/>
      <c r="AO438" s="81"/>
      <c r="AP438" s="24"/>
      <c r="AQ438" s="93"/>
      <c r="AR438" s="94"/>
      <c r="AS438" s="82"/>
      <c r="AT438" s="82"/>
      <c r="AU438" s="24"/>
      <c r="AV438" s="93"/>
      <c r="AW438" s="94"/>
      <c r="AX438" s="95"/>
      <c r="AY438" s="95"/>
      <c r="AZ438" s="95"/>
      <c r="BA438" s="24"/>
      <c r="BB438" s="9" t="s">
        <v>234</v>
      </c>
      <c r="BC438" s="96" t="s">
        <v>1128</v>
      </c>
    </row>
    <row r="439" spans="1:55" ht="15" customHeight="1">
      <c r="A439" s="86">
        <f t="shared" si="24"/>
        <v>437</v>
      </c>
      <c r="B439" s="75" t="s">
        <v>1154</v>
      </c>
      <c r="C439" s="9"/>
      <c r="D439" s="76" t="s">
        <v>691</v>
      </c>
      <c r="E439" s="88" t="str">
        <f>_xlfn.IFNA(VLOOKUP($D439,'Route-Details'!$B$2:$X$1048576,'Node Details'!E$1,0),"")</f>
        <v>Airtel</v>
      </c>
      <c r="F439" s="88" t="str">
        <f>_xlfn.IFNA(VLOOKUP($D439,'Route-Details'!$B$2:$X$1048576,'Node Details'!F$1,0),"")</f>
        <v>Mani Majra</v>
      </c>
      <c r="G439" s="88" t="str">
        <f>_xlfn.IFNA(VLOOKUP($D439,'Route-Details'!$B$2:$X$1048576,'Node Details'!G$1,0),"")</f>
        <v>Chandigarh</v>
      </c>
      <c r="H439" s="88" t="str">
        <f>_xlfn.IFNA(VLOOKUP($D440,'Route-Details'!$B$2:$X$1048576,'Node Details'!H$1,0),"")</f>
        <v>Punjab</v>
      </c>
      <c r="I439" s="88" t="str">
        <f>_xlfn.IFNA(VLOOKUP($D439,'Route-Details'!$B$2:$X$1048576,'Node Details'!I$1,0),"")</f>
        <v>CM3</v>
      </c>
      <c r="J439" s="88" t="str">
        <f>_xlfn.IFNA(VLOOKUP($D439,'Route-Details'!$B$2:$X$1048576,'Node Details'!J$1,0),"")</f>
        <v>CM3</v>
      </c>
      <c r="K439" s="76">
        <v>46142</v>
      </c>
      <c r="L439" s="76">
        <v>46149</v>
      </c>
      <c r="M439" s="89">
        <v>46149</v>
      </c>
      <c r="N439" s="76">
        <v>46149</v>
      </c>
      <c r="Q439" s="86" t="s">
        <v>958</v>
      </c>
      <c r="R439" s="90"/>
      <c r="S439" s="87"/>
      <c r="T439" s="87"/>
      <c r="U439" s="87"/>
      <c r="V439" s="93"/>
      <c r="W439" s="91"/>
      <c r="X439" s="87"/>
      <c r="Y439" s="92"/>
      <c r="Z439" s="90"/>
      <c r="AA439" s="93"/>
      <c r="AB439" s="87"/>
      <c r="AC439" s="91"/>
      <c r="AD439" s="90"/>
      <c r="AE439" s="86"/>
      <c r="AF439" s="82"/>
      <c r="AG439" s="24"/>
      <c r="AH439" s="93"/>
      <c r="AI439" s="87"/>
      <c r="AJ439" s="86"/>
      <c r="AK439" s="81"/>
      <c r="AL439" s="24"/>
      <c r="AM439" s="24"/>
      <c r="AN439" s="81"/>
      <c r="AO439" s="81"/>
      <c r="AP439" s="24"/>
      <c r="AQ439" s="93"/>
      <c r="AR439" s="94"/>
      <c r="AS439" s="82"/>
      <c r="AT439" s="82"/>
      <c r="AU439" s="24"/>
      <c r="AV439" s="93"/>
      <c r="AW439" s="94"/>
      <c r="AX439" s="95"/>
      <c r="AY439" s="95"/>
      <c r="AZ439" s="95"/>
      <c r="BA439" s="24"/>
      <c r="BB439" s="9" t="s">
        <v>234</v>
      </c>
      <c r="BC439" s="96" t="s">
        <v>1128</v>
      </c>
    </row>
    <row r="440" spans="1:55" ht="15" customHeight="1">
      <c r="A440" s="86">
        <f t="shared" si="24"/>
        <v>438</v>
      </c>
      <c r="B440" s="75" t="s">
        <v>693</v>
      </c>
      <c r="C440" s="9"/>
      <c r="D440" s="76" t="s">
        <v>691</v>
      </c>
      <c r="E440" s="88" t="str">
        <f>_xlfn.IFNA(VLOOKUP($D440,'Route-Details'!$B$2:$X$1048576,'Node Details'!E$1,0),"")</f>
        <v>Airtel</v>
      </c>
      <c r="F440" s="88" t="str">
        <f>_xlfn.IFNA(VLOOKUP($D440,'Route-Details'!$B$2:$X$1048576,'Node Details'!F$1,0),"")</f>
        <v>Mani Majra</v>
      </c>
      <c r="G440" s="88" t="str">
        <f>_xlfn.IFNA(VLOOKUP($D440,'Route-Details'!$B$2:$X$1048576,'Node Details'!G$1,0),"")</f>
        <v>Chandigarh</v>
      </c>
      <c r="H440" s="88" t="str">
        <f>_xlfn.IFNA(VLOOKUP($D441,'Route-Details'!$B$2:$X$1048576,'Node Details'!H$1,0),"")</f>
        <v>Punjab</v>
      </c>
      <c r="I440" s="88" t="str">
        <f>_xlfn.IFNA(VLOOKUP($D440,'Route-Details'!$B$2:$X$1048576,'Node Details'!I$1,0),"")</f>
        <v>CM3</v>
      </c>
      <c r="J440" s="88" t="str">
        <f>_xlfn.IFNA(VLOOKUP($D440,'Route-Details'!$B$2:$X$1048576,'Node Details'!J$1,0),"")</f>
        <v>CM3</v>
      </c>
      <c r="K440" s="76">
        <v>46142</v>
      </c>
      <c r="L440" s="76">
        <v>46149</v>
      </c>
      <c r="M440" s="89">
        <v>46149</v>
      </c>
      <c r="N440" s="76">
        <v>46149</v>
      </c>
      <c r="Q440" s="86" t="s">
        <v>958</v>
      </c>
      <c r="R440" s="90"/>
      <c r="S440" s="87"/>
      <c r="T440" s="87"/>
      <c r="U440" s="87"/>
      <c r="V440" s="93"/>
      <c r="W440" s="91"/>
      <c r="X440" s="87"/>
      <c r="Y440" s="92"/>
      <c r="Z440" s="90"/>
      <c r="AA440" s="93"/>
      <c r="AB440" s="87"/>
      <c r="AC440" s="91"/>
      <c r="AD440" s="90"/>
      <c r="AE440" s="86"/>
      <c r="AF440" s="82"/>
      <c r="AG440" s="24"/>
      <c r="AH440" s="93"/>
      <c r="AI440" s="87"/>
      <c r="AJ440" s="86"/>
      <c r="AK440" s="81"/>
      <c r="AL440" s="24"/>
      <c r="AM440" s="24"/>
      <c r="AN440" s="81"/>
      <c r="AO440" s="81"/>
      <c r="AP440" s="24"/>
      <c r="AQ440" s="93"/>
      <c r="AR440" s="94"/>
      <c r="AS440" s="82"/>
      <c r="AT440" s="82"/>
      <c r="AU440" s="24"/>
      <c r="AV440" s="93"/>
      <c r="AW440" s="94"/>
      <c r="AX440" s="95"/>
      <c r="AY440" s="95"/>
      <c r="AZ440" s="95"/>
      <c r="BA440" s="24"/>
      <c r="BB440" s="9" t="s">
        <v>234</v>
      </c>
      <c r="BC440" s="96" t="s">
        <v>1128</v>
      </c>
    </row>
    <row r="441" spans="1:55" ht="15" customHeight="1">
      <c r="A441" s="86">
        <f t="shared" si="24"/>
        <v>439</v>
      </c>
      <c r="B441" s="75" t="s">
        <v>695</v>
      </c>
      <c r="C441" s="9"/>
      <c r="D441" s="76" t="s">
        <v>694</v>
      </c>
      <c r="E441" s="88" t="str">
        <f>_xlfn.IFNA(VLOOKUP($D441,'Route-Details'!$B$2:$X$1048576,'Node Details'!E$1,0),"")</f>
        <v>Airtel</v>
      </c>
      <c r="F441" s="88" t="str">
        <f>_xlfn.IFNA(VLOOKUP($D441,'Route-Details'!$B$2:$X$1048576,'Node Details'!F$1,0),"")</f>
        <v>Mani Majra</v>
      </c>
      <c r="G441" s="88" t="str">
        <f>_xlfn.IFNA(VLOOKUP($D441,'Route-Details'!$B$2:$X$1048576,'Node Details'!G$1,0),"")</f>
        <v>Chandigarh</v>
      </c>
      <c r="H441" s="88" t="str">
        <f>_xlfn.IFNA(VLOOKUP($D442,'Route-Details'!$B$2:$X$1048576,'Node Details'!H$1,0),"")</f>
        <v>Punjab</v>
      </c>
      <c r="I441" s="88" t="str">
        <f>_xlfn.IFNA(VLOOKUP($D441,'Route-Details'!$B$2:$X$1048576,'Node Details'!I$1,0),"")</f>
        <v>CM3</v>
      </c>
      <c r="J441" s="88" t="str">
        <f>_xlfn.IFNA(VLOOKUP($D441,'Route-Details'!$B$2:$X$1048576,'Node Details'!J$1,0),"")</f>
        <v>CM3</v>
      </c>
      <c r="K441" s="76">
        <v>46142</v>
      </c>
      <c r="L441" s="76">
        <v>46149</v>
      </c>
      <c r="M441" s="89">
        <v>46149</v>
      </c>
      <c r="N441" s="76">
        <v>46149</v>
      </c>
      <c r="Q441" s="86" t="s">
        <v>958</v>
      </c>
      <c r="R441" s="90"/>
      <c r="S441" s="87"/>
      <c r="T441" s="87"/>
      <c r="U441" s="87"/>
      <c r="V441" s="93"/>
      <c r="W441" s="91"/>
      <c r="X441" s="87"/>
      <c r="Y441" s="92"/>
      <c r="Z441" s="90"/>
      <c r="AA441" s="93"/>
      <c r="AB441" s="87"/>
      <c r="AC441" s="91"/>
      <c r="AD441" s="90"/>
      <c r="AE441" s="86"/>
      <c r="AF441" s="82"/>
      <c r="AG441" s="24"/>
      <c r="AH441" s="93"/>
      <c r="AI441" s="87"/>
      <c r="AJ441" s="86"/>
      <c r="AK441" s="81"/>
      <c r="AL441" s="24"/>
      <c r="AM441" s="24"/>
      <c r="AN441" s="81"/>
      <c r="AO441" s="81"/>
      <c r="AP441" s="24"/>
      <c r="AQ441" s="93"/>
      <c r="AR441" s="94"/>
      <c r="AS441" s="82"/>
      <c r="AT441" s="82"/>
      <c r="AU441" s="24"/>
      <c r="AV441" s="93"/>
      <c r="AW441" s="94"/>
      <c r="AX441" s="95"/>
      <c r="AY441" s="95"/>
      <c r="AZ441" s="95"/>
      <c r="BA441" s="24"/>
      <c r="BB441" s="9" t="s">
        <v>237</v>
      </c>
      <c r="BC441" s="96" t="s">
        <v>1128</v>
      </c>
    </row>
    <row r="442" spans="1:55" ht="15" customHeight="1">
      <c r="A442" s="86">
        <f t="shared" si="24"/>
        <v>440</v>
      </c>
      <c r="B442" s="75" t="s">
        <v>1155</v>
      </c>
      <c r="C442" s="9"/>
      <c r="D442" s="76" t="s">
        <v>696</v>
      </c>
      <c r="E442" s="88" t="str">
        <f>_xlfn.IFNA(VLOOKUP($D442,'Route-Details'!$B$2:$X$1048576,'Node Details'!E$1,0),"")</f>
        <v>Airtel</v>
      </c>
      <c r="F442" s="88" t="str">
        <f>_xlfn.IFNA(VLOOKUP($D442,'Route-Details'!$B$2:$X$1048576,'Node Details'!F$1,0),"")</f>
        <v>Mani Majra</v>
      </c>
      <c r="G442" s="88" t="str">
        <f>_xlfn.IFNA(VLOOKUP($D442,'Route-Details'!$B$2:$X$1048576,'Node Details'!G$1,0),"")</f>
        <v>Chandigarh</v>
      </c>
      <c r="H442" s="88" t="str">
        <f>_xlfn.IFNA(VLOOKUP($D443,'Route-Details'!$B$2:$X$1048576,'Node Details'!H$1,0),"")</f>
        <v>Punjab</v>
      </c>
      <c r="I442" s="88" t="str">
        <f>_xlfn.IFNA(VLOOKUP($D442,'Route-Details'!$B$2:$X$1048576,'Node Details'!I$1,0),"")</f>
        <v>CM3</v>
      </c>
      <c r="J442" s="88" t="str">
        <f>_xlfn.IFNA(VLOOKUP($D442,'Route-Details'!$B$2:$X$1048576,'Node Details'!J$1,0),"")</f>
        <v>CM3</v>
      </c>
      <c r="K442" s="76">
        <v>46142</v>
      </c>
      <c r="L442" s="76">
        <v>46149</v>
      </c>
      <c r="M442" s="89">
        <v>46149</v>
      </c>
      <c r="N442" s="76">
        <v>46149</v>
      </c>
      <c r="Q442" s="86" t="s">
        <v>958</v>
      </c>
      <c r="R442" s="90"/>
      <c r="S442" s="87"/>
      <c r="T442" s="87"/>
      <c r="U442" s="87"/>
      <c r="V442" s="93"/>
      <c r="W442" s="91"/>
      <c r="X442" s="87"/>
      <c r="Y442" s="92"/>
      <c r="Z442" s="90"/>
      <c r="AA442" s="93"/>
      <c r="AB442" s="87"/>
      <c r="AC442" s="91"/>
      <c r="AD442" s="90"/>
      <c r="AE442" s="86"/>
      <c r="AF442" s="82"/>
      <c r="AG442" s="24"/>
      <c r="AH442" s="93"/>
      <c r="AI442" s="87"/>
      <c r="AJ442" s="86"/>
      <c r="AK442" s="81"/>
      <c r="AL442" s="24"/>
      <c r="AM442" s="24"/>
      <c r="AN442" s="81"/>
      <c r="AO442" s="81"/>
      <c r="AP442" s="24"/>
      <c r="AQ442" s="93"/>
      <c r="AR442" s="94"/>
      <c r="AS442" s="82"/>
      <c r="AT442" s="82"/>
      <c r="AU442" s="24"/>
      <c r="AV442" s="93"/>
      <c r="AW442" s="94"/>
      <c r="AX442" s="95"/>
      <c r="AY442" s="95"/>
      <c r="AZ442" s="95"/>
      <c r="BA442" s="24"/>
      <c r="BB442" s="9" t="s">
        <v>240</v>
      </c>
      <c r="BC442" s="96" t="s">
        <v>1128</v>
      </c>
    </row>
    <row r="443" spans="1:55" ht="15" customHeight="1">
      <c r="A443" s="86">
        <f t="shared" si="24"/>
        <v>441</v>
      </c>
      <c r="B443" s="75" t="s">
        <v>1156</v>
      </c>
      <c r="C443" s="9"/>
      <c r="D443" s="76" t="s">
        <v>696</v>
      </c>
      <c r="E443" s="88" t="str">
        <f>_xlfn.IFNA(VLOOKUP($D443,'Route-Details'!$B$2:$X$1048576,'Node Details'!E$1,0),"")</f>
        <v>Airtel</v>
      </c>
      <c r="F443" s="88" t="str">
        <f>_xlfn.IFNA(VLOOKUP($D443,'Route-Details'!$B$2:$X$1048576,'Node Details'!F$1,0),"")</f>
        <v>Mani Majra</v>
      </c>
      <c r="G443" s="88" t="str">
        <f>_xlfn.IFNA(VLOOKUP($D443,'Route-Details'!$B$2:$X$1048576,'Node Details'!G$1,0),"")</f>
        <v>Chandigarh</v>
      </c>
      <c r="H443" s="88" t="str">
        <f>_xlfn.IFNA(VLOOKUP($D444,'Route-Details'!$B$2:$X$1048576,'Node Details'!H$1,0),"")</f>
        <v>Punjab</v>
      </c>
      <c r="I443" s="88" t="str">
        <f>_xlfn.IFNA(VLOOKUP($D443,'Route-Details'!$B$2:$X$1048576,'Node Details'!I$1,0),"")</f>
        <v>CM3</v>
      </c>
      <c r="J443" s="88" t="str">
        <f>_xlfn.IFNA(VLOOKUP($D443,'Route-Details'!$B$2:$X$1048576,'Node Details'!J$1,0),"")</f>
        <v>CM3</v>
      </c>
      <c r="K443" s="76">
        <v>46142</v>
      </c>
      <c r="L443" s="76">
        <v>46149</v>
      </c>
      <c r="M443" s="89">
        <v>46149</v>
      </c>
      <c r="N443" s="76">
        <v>46149</v>
      </c>
      <c r="Q443" s="86" t="s">
        <v>958</v>
      </c>
      <c r="R443" s="90"/>
      <c r="S443" s="87"/>
      <c r="T443" s="87"/>
      <c r="U443" s="87"/>
      <c r="V443" s="93"/>
      <c r="W443" s="91"/>
      <c r="X443" s="87"/>
      <c r="Y443" s="92"/>
      <c r="Z443" s="90"/>
      <c r="AA443" s="93"/>
      <c r="AB443" s="87"/>
      <c r="AC443" s="91"/>
      <c r="AD443" s="90"/>
      <c r="AE443" s="86"/>
      <c r="AF443" s="82"/>
      <c r="AG443" s="24"/>
      <c r="AH443" s="93"/>
      <c r="AI443" s="87"/>
      <c r="AJ443" s="86"/>
      <c r="AK443" s="81"/>
      <c r="AL443" s="24"/>
      <c r="AM443" s="24"/>
      <c r="AN443" s="81"/>
      <c r="AO443" s="81"/>
      <c r="AP443" s="24"/>
      <c r="AQ443" s="93"/>
      <c r="AR443" s="94"/>
      <c r="AS443" s="82"/>
      <c r="AT443" s="82"/>
      <c r="AU443" s="24"/>
      <c r="AV443" s="93"/>
      <c r="AW443" s="94"/>
      <c r="AX443" s="95"/>
      <c r="AY443" s="95"/>
      <c r="AZ443" s="95"/>
      <c r="BA443" s="24"/>
      <c r="BB443" s="9" t="s">
        <v>240</v>
      </c>
      <c r="BC443" s="96" t="s">
        <v>1128</v>
      </c>
    </row>
    <row r="444" spans="1:55" ht="15" customHeight="1">
      <c r="A444" s="86">
        <f t="shared" si="24"/>
        <v>442</v>
      </c>
      <c r="B444" s="75" t="s">
        <v>697</v>
      </c>
      <c r="C444" s="9"/>
      <c r="D444" s="76" t="s">
        <v>696</v>
      </c>
      <c r="E444" s="88" t="str">
        <f>_xlfn.IFNA(VLOOKUP($D444,'Route-Details'!$B$2:$X$1048576,'Node Details'!E$1,0),"")</f>
        <v>Airtel</v>
      </c>
      <c r="F444" s="88" t="str">
        <f>_xlfn.IFNA(VLOOKUP($D444,'Route-Details'!$B$2:$X$1048576,'Node Details'!F$1,0),"")</f>
        <v>Mani Majra</v>
      </c>
      <c r="G444" s="88" t="str">
        <f>_xlfn.IFNA(VLOOKUP($D444,'Route-Details'!$B$2:$X$1048576,'Node Details'!G$1,0),"")</f>
        <v>Chandigarh</v>
      </c>
      <c r="H444" s="88" t="str">
        <f>_xlfn.IFNA(VLOOKUP($D445,'Route-Details'!$B$2:$X$1048576,'Node Details'!H$1,0),"")</f>
        <v>Punjab</v>
      </c>
      <c r="I444" s="88" t="str">
        <f>_xlfn.IFNA(VLOOKUP($D444,'Route-Details'!$B$2:$X$1048576,'Node Details'!I$1,0),"")</f>
        <v>CM3</v>
      </c>
      <c r="J444" s="88" t="str">
        <f>_xlfn.IFNA(VLOOKUP($D444,'Route-Details'!$B$2:$X$1048576,'Node Details'!J$1,0),"")</f>
        <v>CM3</v>
      </c>
      <c r="K444" s="76">
        <v>46142</v>
      </c>
      <c r="L444" s="76">
        <v>46149</v>
      </c>
      <c r="M444" s="89">
        <v>46149</v>
      </c>
      <c r="N444" s="76">
        <v>46149</v>
      </c>
      <c r="Q444" s="86" t="s">
        <v>958</v>
      </c>
      <c r="R444" s="90"/>
      <c r="S444" s="87"/>
      <c r="T444" s="87"/>
      <c r="U444" s="87"/>
      <c r="V444" s="93"/>
      <c r="W444" s="91"/>
      <c r="X444" s="87"/>
      <c r="Y444" s="92"/>
      <c r="Z444" s="90"/>
      <c r="AA444" s="93"/>
      <c r="AB444" s="87"/>
      <c r="AC444" s="91"/>
      <c r="AD444" s="90"/>
      <c r="AE444" s="86"/>
      <c r="AF444" s="82"/>
      <c r="AG444" s="24"/>
      <c r="AH444" s="93"/>
      <c r="AI444" s="87"/>
      <c r="AJ444" s="86"/>
      <c r="AK444" s="81"/>
      <c r="AL444" s="24"/>
      <c r="AM444" s="24"/>
      <c r="AN444" s="81"/>
      <c r="AO444" s="81"/>
      <c r="AP444" s="24"/>
      <c r="AQ444" s="93"/>
      <c r="AR444" s="94"/>
      <c r="AS444" s="82"/>
      <c r="AT444" s="82"/>
      <c r="AU444" s="24"/>
      <c r="AV444" s="93"/>
      <c r="AW444" s="94"/>
      <c r="AX444" s="95"/>
      <c r="AY444" s="95"/>
      <c r="AZ444" s="95"/>
      <c r="BA444" s="24"/>
      <c r="BB444" s="9" t="s">
        <v>240</v>
      </c>
      <c r="BC444" s="96" t="s">
        <v>1128</v>
      </c>
    </row>
    <row r="445" spans="1:55" ht="15" customHeight="1">
      <c r="A445" s="86">
        <f t="shared" si="24"/>
        <v>443</v>
      </c>
      <c r="B445" s="75" t="s">
        <v>615</v>
      </c>
      <c r="C445" s="9"/>
      <c r="D445" s="76" t="s">
        <v>613</v>
      </c>
      <c r="E445" s="88" t="str">
        <f>_xlfn.IFNA(VLOOKUP($D445,'Route-Details'!$B$2:$X$1048576,'Node Details'!E$1,0),"")</f>
        <v>Airtel</v>
      </c>
      <c r="F445" s="88" t="str">
        <f>_xlfn.IFNA(VLOOKUP($D445,'Route-Details'!$B$2:$X$1048576,'Node Details'!F$1,0),"")</f>
        <v>Mani Majra</v>
      </c>
      <c r="G445" s="88" t="str">
        <f>_xlfn.IFNA(VLOOKUP($D445,'Route-Details'!$B$2:$X$1048576,'Node Details'!G$1,0),"")</f>
        <v>Chandigarh</v>
      </c>
      <c r="H445" s="88" t="str">
        <f>_xlfn.IFNA(VLOOKUP($D446,'Route-Details'!$B$2:$X$1048576,'Node Details'!H$1,0),"")</f>
        <v>Punjab</v>
      </c>
      <c r="I445" s="88" t="str">
        <f>_xlfn.IFNA(VLOOKUP($D445,'Route-Details'!$B$2:$X$1048576,'Node Details'!I$1,0),"")</f>
        <v>CM3</v>
      </c>
      <c r="J445" s="88" t="str">
        <f>_xlfn.IFNA(VLOOKUP($D445,'Route-Details'!$B$2:$X$1048576,'Node Details'!J$1,0),"")</f>
        <v>CM3</v>
      </c>
      <c r="K445" s="76">
        <v>46142</v>
      </c>
      <c r="L445" s="76">
        <v>46149</v>
      </c>
      <c r="M445" s="89">
        <v>46149</v>
      </c>
      <c r="N445" s="76">
        <v>46149</v>
      </c>
      <c r="Q445" s="86" t="s">
        <v>958</v>
      </c>
      <c r="R445" s="90"/>
      <c r="S445" s="87"/>
      <c r="T445" s="87"/>
      <c r="U445" s="87"/>
      <c r="V445" s="93"/>
      <c r="W445" s="91"/>
      <c r="X445" s="87"/>
      <c r="Y445" s="92"/>
      <c r="Z445" s="90"/>
      <c r="AA445" s="93"/>
      <c r="AB445" s="87"/>
      <c r="AC445" s="91"/>
      <c r="AD445" s="90"/>
      <c r="AE445" s="86"/>
      <c r="AF445" s="82"/>
      <c r="AG445" s="24"/>
      <c r="AH445" s="93"/>
      <c r="AI445" s="87"/>
      <c r="AJ445" s="86"/>
      <c r="AK445" s="81"/>
      <c r="AL445" s="24"/>
      <c r="AM445" s="24"/>
      <c r="AN445" s="81"/>
      <c r="AO445" s="81"/>
      <c r="AP445" s="24"/>
      <c r="AQ445" s="93"/>
      <c r="AR445" s="94"/>
      <c r="AS445" s="82"/>
      <c r="AT445" s="82"/>
      <c r="AU445" s="24"/>
      <c r="AV445" s="93"/>
      <c r="AW445" s="94"/>
      <c r="AX445" s="95"/>
      <c r="AY445" s="95"/>
      <c r="AZ445" s="95"/>
      <c r="BA445" s="24"/>
      <c r="BB445" s="9" t="s">
        <v>92</v>
      </c>
      <c r="BC445" s="96" t="s">
        <v>1128</v>
      </c>
    </row>
    <row r="446" spans="1:55" ht="15" customHeight="1">
      <c r="A446" s="86">
        <f t="shared" si="24"/>
        <v>444</v>
      </c>
      <c r="B446" s="75" t="s">
        <v>699</v>
      </c>
      <c r="C446" s="9"/>
      <c r="D446" s="76" t="s">
        <v>698</v>
      </c>
      <c r="E446" s="88" t="str">
        <f>_xlfn.IFNA(VLOOKUP($D446,'Route-Details'!$B$2:$X$1048576,'Node Details'!E$1,0),"")</f>
        <v>Airtel</v>
      </c>
      <c r="F446" s="88" t="str">
        <f>_xlfn.IFNA(VLOOKUP($D446,'Route-Details'!$B$2:$X$1048576,'Node Details'!F$1,0),"")</f>
        <v>Mani Majra</v>
      </c>
      <c r="G446" s="88" t="str">
        <f>_xlfn.IFNA(VLOOKUP($D446,'Route-Details'!$B$2:$X$1048576,'Node Details'!G$1,0),"")</f>
        <v>Chandigarh</v>
      </c>
      <c r="H446" s="88" t="str">
        <f>_xlfn.IFNA(VLOOKUP($D447,'Route-Details'!$B$2:$X$1048576,'Node Details'!H$1,0),"")</f>
        <v>Punjab</v>
      </c>
      <c r="I446" s="88" t="str">
        <f>_xlfn.IFNA(VLOOKUP($D446,'Route-Details'!$B$2:$X$1048576,'Node Details'!I$1,0),"")</f>
        <v>CM3</v>
      </c>
      <c r="J446" s="88" t="str">
        <f>_xlfn.IFNA(VLOOKUP($D446,'Route-Details'!$B$2:$X$1048576,'Node Details'!J$1,0),"")</f>
        <v>CM3</v>
      </c>
      <c r="K446" s="76">
        <v>46142</v>
      </c>
      <c r="L446" s="76">
        <v>46149</v>
      </c>
      <c r="M446" s="89">
        <v>46149</v>
      </c>
      <c r="N446" s="76">
        <v>46149</v>
      </c>
      <c r="Q446" s="86" t="s">
        <v>958</v>
      </c>
      <c r="R446" s="90"/>
      <c r="S446" s="87"/>
      <c r="T446" s="87"/>
      <c r="U446" s="87"/>
      <c r="V446" s="93"/>
      <c r="W446" s="91"/>
      <c r="X446" s="87"/>
      <c r="Y446" s="92"/>
      <c r="Z446" s="90"/>
      <c r="AA446" s="93"/>
      <c r="AB446" s="87"/>
      <c r="AC446" s="91"/>
      <c r="AD446" s="90"/>
      <c r="AE446" s="86"/>
      <c r="AF446" s="82"/>
      <c r="AG446" s="24"/>
      <c r="AH446" s="93"/>
      <c r="AI446" s="87"/>
      <c r="AJ446" s="86"/>
      <c r="AK446" s="81"/>
      <c r="AL446" s="24"/>
      <c r="AM446" s="24"/>
      <c r="AN446" s="81"/>
      <c r="AO446" s="81"/>
      <c r="AP446" s="24"/>
      <c r="AQ446" s="93"/>
      <c r="AR446" s="94"/>
      <c r="AS446" s="82"/>
      <c r="AT446" s="82"/>
      <c r="AU446" s="24"/>
      <c r="AV446" s="93"/>
      <c r="AW446" s="94"/>
      <c r="AX446" s="95"/>
      <c r="AY446" s="95"/>
      <c r="AZ446" s="95"/>
      <c r="BA446" s="24"/>
      <c r="BB446" s="9" t="s">
        <v>244</v>
      </c>
      <c r="BC446" s="96" t="s">
        <v>1128</v>
      </c>
    </row>
    <row r="447" spans="1:55" ht="15" customHeight="1">
      <c r="A447" s="86">
        <f t="shared" si="24"/>
        <v>445</v>
      </c>
      <c r="B447" s="75" t="s">
        <v>1157</v>
      </c>
      <c r="C447" s="9"/>
      <c r="D447" s="76" t="s">
        <v>700</v>
      </c>
      <c r="E447" s="88" t="str">
        <f>_xlfn.IFNA(VLOOKUP($D447,'Route-Details'!$B$2:$X$1048576,'Node Details'!E$1,0),"")</f>
        <v>Airtel</v>
      </c>
      <c r="F447" s="88" t="str">
        <f>_xlfn.IFNA(VLOOKUP($D447,'Route-Details'!$B$2:$X$1048576,'Node Details'!F$1,0),"")</f>
        <v>Mani Majra</v>
      </c>
      <c r="G447" s="88" t="str">
        <f>_xlfn.IFNA(VLOOKUP($D447,'Route-Details'!$B$2:$X$1048576,'Node Details'!G$1,0),"")</f>
        <v>Chandigarh</v>
      </c>
      <c r="H447" s="88" t="str">
        <f>_xlfn.IFNA(VLOOKUP($D448,'Route-Details'!$B$2:$X$1048576,'Node Details'!H$1,0),"")</f>
        <v>Punjab</v>
      </c>
      <c r="I447" s="88" t="str">
        <f>_xlfn.IFNA(VLOOKUP($D447,'Route-Details'!$B$2:$X$1048576,'Node Details'!I$1,0),"")</f>
        <v>CM3</v>
      </c>
      <c r="J447" s="88" t="str">
        <f>_xlfn.IFNA(VLOOKUP($D447,'Route-Details'!$B$2:$X$1048576,'Node Details'!J$1,0),"")</f>
        <v>CM3</v>
      </c>
      <c r="K447" s="76">
        <v>46142</v>
      </c>
      <c r="L447" s="76">
        <v>46149</v>
      </c>
      <c r="M447" s="89">
        <v>46149</v>
      </c>
      <c r="N447" s="76">
        <v>46149</v>
      </c>
      <c r="Q447" s="86" t="s">
        <v>958</v>
      </c>
      <c r="R447" s="90"/>
      <c r="S447" s="87"/>
      <c r="T447" s="87"/>
      <c r="U447" s="87"/>
      <c r="V447" s="93"/>
      <c r="W447" s="91"/>
      <c r="X447" s="87"/>
      <c r="Y447" s="92"/>
      <c r="Z447" s="90"/>
      <c r="AA447" s="93"/>
      <c r="AB447" s="87"/>
      <c r="AC447" s="91"/>
      <c r="AD447" s="90"/>
      <c r="AE447" s="86"/>
      <c r="AF447" s="82"/>
      <c r="AG447" s="24"/>
      <c r="AH447" s="93"/>
      <c r="AI447" s="87"/>
      <c r="AJ447" s="86"/>
      <c r="AK447" s="81"/>
      <c r="AL447" s="24"/>
      <c r="AM447" s="24"/>
      <c r="AN447" s="81"/>
      <c r="AO447" s="81"/>
      <c r="AP447" s="24"/>
      <c r="AQ447" s="93"/>
      <c r="AR447" s="94"/>
      <c r="AS447" s="82"/>
      <c r="AT447" s="82"/>
      <c r="AU447" s="24"/>
      <c r="AV447" s="93"/>
      <c r="AW447" s="94"/>
      <c r="AX447" s="95"/>
      <c r="AY447" s="95"/>
      <c r="AZ447" s="95"/>
      <c r="BA447" s="24"/>
      <c r="BB447" s="9" t="s">
        <v>247</v>
      </c>
      <c r="BC447" s="96" t="s">
        <v>1128</v>
      </c>
    </row>
    <row r="448" spans="1:55" ht="15" customHeight="1">
      <c r="A448" s="86">
        <f t="shared" si="24"/>
        <v>446</v>
      </c>
      <c r="B448" s="75" t="s">
        <v>1158</v>
      </c>
      <c r="C448" s="9"/>
      <c r="D448" s="76" t="s">
        <v>700</v>
      </c>
      <c r="E448" s="88" t="str">
        <f>_xlfn.IFNA(VLOOKUP($D448,'Route-Details'!$B$2:$X$1048576,'Node Details'!E$1,0),"")</f>
        <v>Airtel</v>
      </c>
      <c r="F448" s="88" t="str">
        <f>_xlfn.IFNA(VLOOKUP($D448,'Route-Details'!$B$2:$X$1048576,'Node Details'!F$1,0),"")</f>
        <v>Mani Majra</v>
      </c>
      <c r="G448" s="88" t="str">
        <f>_xlfn.IFNA(VLOOKUP($D448,'Route-Details'!$B$2:$X$1048576,'Node Details'!G$1,0),"")</f>
        <v>Chandigarh</v>
      </c>
      <c r="H448" s="88" t="str">
        <f>_xlfn.IFNA(VLOOKUP($D449,'Route-Details'!$B$2:$X$1048576,'Node Details'!H$1,0),"")</f>
        <v>Punjab</v>
      </c>
      <c r="I448" s="88" t="str">
        <f>_xlfn.IFNA(VLOOKUP($D448,'Route-Details'!$B$2:$X$1048576,'Node Details'!I$1,0),"")</f>
        <v>CM3</v>
      </c>
      <c r="J448" s="88" t="str">
        <f>_xlfn.IFNA(VLOOKUP($D448,'Route-Details'!$B$2:$X$1048576,'Node Details'!J$1,0),"")</f>
        <v>CM3</v>
      </c>
      <c r="K448" s="76">
        <v>46142</v>
      </c>
      <c r="L448" s="76">
        <v>46149</v>
      </c>
      <c r="M448" s="89">
        <v>46149</v>
      </c>
      <c r="N448" s="76">
        <v>46149</v>
      </c>
      <c r="Q448" s="86" t="s">
        <v>958</v>
      </c>
      <c r="R448" s="90"/>
      <c r="S448" s="87"/>
      <c r="T448" s="87"/>
      <c r="U448" s="87"/>
      <c r="V448" s="93"/>
      <c r="W448" s="91"/>
      <c r="X448" s="87"/>
      <c r="Y448" s="92"/>
      <c r="Z448" s="90"/>
      <c r="AA448" s="93"/>
      <c r="AB448" s="87"/>
      <c r="AC448" s="91"/>
      <c r="AD448" s="90"/>
      <c r="AE448" s="86"/>
      <c r="AF448" s="82"/>
      <c r="AG448" s="24"/>
      <c r="AH448" s="93"/>
      <c r="AI448" s="87"/>
      <c r="AJ448" s="86"/>
      <c r="AK448" s="81"/>
      <c r="AL448" s="24"/>
      <c r="AM448" s="24"/>
      <c r="AN448" s="81"/>
      <c r="AO448" s="81"/>
      <c r="AP448" s="24"/>
      <c r="AQ448" s="93"/>
      <c r="AR448" s="94"/>
      <c r="AS448" s="82"/>
      <c r="AT448" s="82"/>
      <c r="AU448" s="24"/>
      <c r="AV448" s="93"/>
      <c r="AW448" s="94"/>
      <c r="AX448" s="95"/>
      <c r="AY448" s="95"/>
      <c r="AZ448" s="95"/>
      <c r="BA448" s="24"/>
      <c r="BB448" s="9" t="s">
        <v>247</v>
      </c>
      <c r="BC448" s="96" t="s">
        <v>1128</v>
      </c>
    </row>
    <row r="449" spans="1:55" ht="15" customHeight="1">
      <c r="A449" s="86">
        <f t="shared" si="24"/>
        <v>447</v>
      </c>
      <c r="B449" s="75" t="s">
        <v>701</v>
      </c>
      <c r="C449" s="9"/>
      <c r="D449" s="76" t="s">
        <v>700</v>
      </c>
      <c r="E449" s="88" t="str">
        <f>_xlfn.IFNA(VLOOKUP($D449,'Route-Details'!$B$2:$X$1048576,'Node Details'!E$1,0),"")</f>
        <v>Airtel</v>
      </c>
      <c r="F449" s="88" t="str">
        <f>_xlfn.IFNA(VLOOKUP($D449,'Route-Details'!$B$2:$X$1048576,'Node Details'!F$1,0),"")</f>
        <v>Mani Majra</v>
      </c>
      <c r="G449" s="88" t="str">
        <f>_xlfn.IFNA(VLOOKUP($D449,'Route-Details'!$B$2:$X$1048576,'Node Details'!G$1,0),"")</f>
        <v>Chandigarh</v>
      </c>
      <c r="H449" s="88" t="str">
        <f>_xlfn.IFNA(VLOOKUP($D450,'Route-Details'!$B$2:$X$1048576,'Node Details'!H$1,0),"")</f>
        <v>Punjab</v>
      </c>
      <c r="I449" s="88" t="str">
        <f>_xlfn.IFNA(VLOOKUP($D449,'Route-Details'!$B$2:$X$1048576,'Node Details'!I$1,0),"")</f>
        <v>CM3</v>
      </c>
      <c r="J449" s="88" t="str">
        <f>_xlfn.IFNA(VLOOKUP($D449,'Route-Details'!$B$2:$X$1048576,'Node Details'!J$1,0),"")</f>
        <v>CM3</v>
      </c>
      <c r="K449" s="76">
        <v>46142</v>
      </c>
      <c r="L449" s="76">
        <v>46149</v>
      </c>
      <c r="M449" s="89">
        <v>46149</v>
      </c>
      <c r="N449" s="76">
        <v>46149</v>
      </c>
      <c r="Q449" s="86" t="s">
        <v>958</v>
      </c>
      <c r="R449" s="90"/>
      <c r="S449" s="87"/>
      <c r="T449" s="87"/>
      <c r="U449" s="87"/>
      <c r="V449" s="93"/>
      <c r="W449" s="91"/>
      <c r="X449" s="87"/>
      <c r="Y449" s="92"/>
      <c r="Z449" s="90"/>
      <c r="AA449" s="93"/>
      <c r="AB449" s="87"/>
      <c r="AC449" s="91"/>
      <c r="AD449" s="90"/>
      <c r="AE449" s="86"/>
      <c r="AF449" s="82"/>
      <c r="AG449" s="24"/>
      <c r="AH449" s="93"/>
      <c r="AI449" s="87"/>
      <c r="AJ449" s="86"/>
      <c r="AK449" s="81"/>
      <c r="AL449" s="24"/>
      <c r="AM449" s="24"/>
      <c r="AN449" s="81"/>
      <c r="AO449" s="81"/>
      <c r="AP449" s="24"/>
      <c r="AQ449" s="93"/>
      <c r="AR449" s="94"/>
      <c r="AS449" s="82"/>
      <c r="AT449" s="82"/>
      <c r="AU449" s="24"/>
      <c r="AV449" s="93"/>
      <c r="AW449" s="94"/>
      <c r="AX449" s="95"/>
      <c r="AY449" s="95"/>
      <c r="AZ449" s="95"/>
      <c r="BA449" s="24"/>
      <c r="BB449" s="9" t="s">
        <v>247</v>
      </c>
      <c r="BC449" s="96" t="s">
        <v>1128</v>
      </c>
    </row>
    <row r="450" spans="1:55" ht="15" customHeight="1">
      <c r="A450" s="86">
        <f t="shared" si="24"/>
        <v>448</v>
      </c>
      <c r="B450" s="75" t="s">
        <v>1159</v>
      </c>
      <c r="C450" s="9"/>
      <c r="D450" s="76" t="s">
        <v>702</v>
      </c>
      <c r="E450" s="88" t="str">
        <f>_xlfn.IFNA(VLOOKUP($D450,'Route-Details'!$B$2:$X$1048576,'Node Details'!E$1,0),"")</f>
        <v>Airtel</v>
      </c>
      <c r="F450" s="88" t="str">
        <f>_xlfn.IFNA(VLOOKUP($D450,'Route-Details'!$B$2:$X$1048576,'Node Details'!F$1,0),"")</f>
        <v>Mani Majra</v>
      </c>
      <c r="G450" s="88" t="str">
        <f>_xlfn.IFNA(VLOOKUP($D450,'Route-Details'!$B$2:$X$1048576,'Node Details'!G$1,0),"")</f>
        <v>Chandigarh</v>
      </c>
      <c r="H450" s="88" t="str">
        <f>_xlfn.IFNA(VLOOKUP($D451,'Route-Details'!$B$2:$X$1048576,'Node Details'!H$1,0),"")</f>
        <v>Punjab</v>
      </c>
      <c r="I450" s="88" t="str">
        <f>_xlfn.IFNA(VLOOKUP($D450,'Route-Details'!$B$2:$X$1048576,'Node Details'!I$1,0),"")</f>
        <v>CM3</v>
      </c>
      <c r="J450" s="88" t="str">
        <f>_xlfn.IFNA(VLOOKUP($D450,'Route-Details'!$B$2:$X$1048576,'Node Details'!J$1,0),"")</f>
        <v>CM3</v>
      </c>
      <c r="K450" s="76">
        <v>46142</v>
      </c>
      <c r="L450" s="76">
        <v>46149</v>
      </c>
      <c r="M450" s="89">
        <v>46149</v>
      </c>
      <c r="N450" s="76">
        <v>46149</v>
      </c>
      <c r="Q450" s="86" t="s">
        <v>958</v>
      </c>
      <c r="R450" s="90"/>
      <c r="S450" s="87"/>
      <c r="T450" s="87"/>
      <c r="U450" s="87"/>
      <c r="V450" s="93"/>
      <c r="W450" s="91"/>
      <c r="X450" s="87"/>
      <c r="Y450" s="92"/>
      <c r="Z450" s="90"/>
      <c r="AA450" s="93"/>
      <c r="AB450" s="87"/>
      <c r="AC450" s="91"/>
      <c r="AD450" s="90"/>
      <c r="AE450" s="86"/>
      <c r="AF450" s="82"/>
      <c r="AG450" s="24"/>
      <c r="AH450" s="93"/>
      <c r="AI450" s="87"/>
      <c r="AJ450" s="86"/>
      <c r="AK450" s="81"/>
      <c r="AL450" s="24"/>
      <c r="AM450" s="24"/>
      <c r="AN450" s="81"/>
      <c r="AO450" s="81"/>
      <c r="AP450" s="24"/>
      <c r="AQ450" s="93"/>
      <c r="AR450" s="94"/>
      <c r="AS450" s="82"/>
      <c r="AT450" s="82"/>
      <c r="AU450" s="24"/>
      <c r="AV450" s="93"/>
      <c r="AW450" s="94"/>
      <c r="AX450" s="95"/>
      <c r="AY450" s="95"/>
      <c r="AZ450" s="95"/>
      <c r="BA450" s="24"/>
      <c r="BB450" s="9" t="s">
        <v>251</v>
      </c>
      <c r="BC450" s="96" t="s">
        <v>1128</v>
      </c>
    </row>
    <row r="451" spans="1:55" ht="15" customHeight="1">
      <c r="A451" s="86">
        <f t="shared" si="24"/>
        <v>449</v>
      </c>
      <c r="B451" s="75" t="s">
        <v>703</v>
      </c>
      <c r="C451" s="9"/>
      <c r="D451" s="76" t="s">
        <v>702</v>
      </c>
      <c r="E451" s="88" t="str">
        <f>_xlfn.IFNA(VLOOKUP($D451,'Route-Details'!$B$2:$X$1048576,'Node Details'!E$1,0),"")</f>
        <v>Airtel</v>
      </c>
      <c r="F451" s="88" t="str">
        <f>_xlfn.IFNA(VLOOKUP($D451,'Route-Details'!$B$2:$X$1048576,'Node Details'!F$1,0),"")</f>
        <v>Mani Majra</v>
      </c>
      <c r="G451" s="88" t="str">
        <f>_xlfn.IFNA(VLOOKUP($D451,'Route-Details'!$B$2:$X$1048576,'Node Details'!G$1,0),"")</f>
        <v>Chandigarh</v>
      </c>
      <c r="H451" s="88" t="str">
        <f>_xlfn.IFNA(VLOOKUP($D452,'Route-Details'!$B$2:$X$1048576,'Node Details'!H$1,0),"")</f>
        <v>Punjab</v>
      </c>
      <c r="I451" s="88" t="str">
        <f>_xlfn.IFNA(VLOOKUP($D451,'Route-Details'!$B$2:$X$1048576,'Node Details'!I$1,0),"")</f>
        <v>CM3</v>
      </c>
      <c r="J451" s="88" t="str">
        <f>_xlfn.IFNA(VLOOKUP($D451,'Route-Details'!$B$2:$X$1048576,'Node Details'!J$1,0),"")</f>
        <v>CM3</v>
      </c>
      <c r="K451" s="76">
        <v>46142</v>
      </c>
      <c r="L451" s="76">
        <v>46149</v>
      </c>
      <c r="M451" s="89">
        <v>46149</v>
      </c>
      <c r="N451" s="76">
        <v>46149</v>
      </c>
      <c r="Q451" s="86" t="s">
        <v>958</v>
      </c>
      <c r="R451" s="90"/>
      <c r="S451" s="87"/>
      <c r="T451" s="87"/>
      <c r="U451" s="87"/>
      <c r="V451" s="93"/>
      <c r="W451" s="91"/>
      <c r="X451" s="87"/>
      <c r="Y451" s="92"/>
      <c r="Z451" s="90"/>
      <c r="AA451" s="93"/>
      <c r="AB451" s="87"/>
      <c r="AC451" s="91"/>
      <c r="AD451" s="90"/>
      <c r="AE451" s="86"/>
      <c r="AF451" s="82"/>
      <c r="AG451" s="24"/>
      <c r="AH451" s="93"/>
      <c r="AI451" s="87"/>
      <c r="AJ451" s="86"/>
      <c r="AK451" s="81"/>
      <c r="AL451" s="24"/>
      <c r="AM451" s="24"/>
      <c r="AN451" s="81"/>
      <c r="AO451" s="81"/>
      <c r="AP451" s="24"/>
      <c r="AQ451" s="93"/>
      <c r="AR451" s="94"/>
      <c r="AS451" s="82"/>
      <c r="AT451" s="82"/>
      <c r="AU451" s="24"/>
      <c r="AV451" s="93"/>
      <c r="AW451" s="94"/>
      <c r="AX451" s="95"/>
      <c r="AY451" s="95"/>
      <c r="AZ451" s="95"/>
      <c r="BA451" s="24"/>
      <c r="BB451" s="9" t="s">
        <v>251</v>
      </c>
      <c r="BC451" s="96" t="s">
        <v>1128</v>
      </c>
    </row>
    <row r="452" spans="1:55" ht="15" customHeight="1">
      <c r="A452" s="86">
        <f t="shared" si="24"/>
        <v>450</v>
      </c>
      <c r="B452" s="75" t="s">
        <v>705</v>
      </c>
      <c r="C452" s="9"/>
      <c r="D452" s="76" t="s">
        <v>620</v>
      </c>
      <c r="E452" s="88" t="str">
        <f>_xlfn.IFNA(VLOOKUP($D452,'Route-Details'!$B$2:$X$1048576,'Node Details'!E$1,0),"")</f>
        <v>Airtel</v>
      </c>
      <c r="F452" s="88" t="str">
        <f>_xlfn.IFNA(VLOOKUP($D452,'Route-Details'!$B$2:$X$1048576,'Node Details'!F$1,0),"")</f>
        <v>Mani Majra</v>
      </c>
      <c r="G452" s="88" t="str">
        <f>_xlfn.IFNA(VLOOKUP($D452,'Route-Details'!$B$2:$X$1048576,'Node Details'!G$1,0),"")</f>
        <v>Chandigarh</v>
      </c>
      <c r="H452" s="88" t="str">
        <f>_xlfn.IFNA(VLOOKUP($D453,'Route-Details'!$B$2:$X$1048576,'Node Details'!H$1,0),"")</f>
        <v>Punjab</v>
      </c>
      <c r="I452" s="88" t="str">
        <f>_xlfn.IFNA(VLOOKUP($D452,'Route-Details'!$B$2:$X$1048576,'Node Details'!I$1,0),"")</f>
        <v>CM3</v>
      </c>
      <c r="J452" s="88" t="str">
        <f>_xlfn.IFNA(VLOOKUP($D452,'Route-Details'!$B$2:$X$1048576,'Node Details'!J$1,0),"")</f>
        <v>CM3</v>
      </c>
      <c r="K452" s="76">
        <v>46142</v>
      </c>
      <c r="L452" s="76">
        <v>46149</v>
      </c>
      <c r="M452" s="89">
        <v>46149</v>
      </c>
      <c r="N452" s="76">
        <v>46149</v>
      </c>
      <c r="Q452" s="86" t="s">
        <v>958</v>
      </c>
      <c r="R452" s="90"/>
      <c r="S452" s="87"/>
      <c r="T452" s="87"/>
      <c r="U452" s="87"/>
      <c r="V452" s="93"/>
      <c r="W452" s="91"/>
      <c r="X452" s="87"/>
      <c r="Y452" s="92"/>
      <c r="Z452" s="90"/>
      <c r="AA452" s="93"/>
      <c r="AB452" s="87"/>
      <c r="AC452" s="91"/>
      <c r="AD452" s="90"/>
      <c r="AE452" s="86"/>
      <c r="AF452" s="82"/>
      <c r="AG452" s="24"/>
      <c r="AH452" s="93"/>
      <c r="AI452" s="87"/>
      <c r="AJ452" s="86"/>
      <c r="AK452" s="81"/>
      <c r="AL452" s="24"/>
      <c r="AM452" s="24"/>
      <c r="AN452" s="81"/>
      <c r="AO452" s="81"/>
      <c r="AP452" s="24"/>
      <c r="AQ452" s="93"/>
      <c r="AR452" s="94"/>
      <c r="AS452" s="82"/>
      <c r="AT452" s="82"/>
      <c r="AU452" s="24"/>
      <c r="AV452" s="93"/>
      <c r="AW452" s="94"/>
      <c r="AX452" s="95"/>
      <c r="AY452" s="95"/>
      <c r="AZ452" s="95"/>
      <c r="BA452" s="24"/>
      <c r="BB452" s="9" t="s">
        <v>96</v>
      </c>
      <c r="BC452" s="96" t="s">
        <v>1128</v>
      </c>
    </row>
    <row r="453" spans="1:55" ht="15" customHeight="1">
      <c r="A453" s="86">
        <f t="shared" ref="A453:A516" si="25">A452+1</f>
        <v>451</v>
      </c>
      <c r="B453" s="75" t="s">
        <v>706</v>
      </c>
      <c r="C453" s="9"/>
      <c r="D453" s="76" t="s">
        <v>704</v>
      </c>
      <c r="E453" s="88" t="str">
        <f>_xlfn.IFNA(VLOOKUP($D453,'Route-Details'!$B$2:$X$1048576,'Node Details'!E$1,0),"")</f>
        <v>Airtel</v>
      </c>
      <c r="F453" s="88" t="str">
        <f>_xlfn.IFNA(VLOOKUP($D453,'Route-Details'!$B$2:$X$1048576,'Node Details'!F$1,0),"")</f>
        <v>Mani Majra</v>
      </c>
      <c r="G453" s="88" t="str">
        <f>_xlfn.IFNA(VLOOKUP($D453,'Route-Details'!$B$2:$X$1048576,'Node Details'!G$1,0),"")</f>
        <v>Chandigarh</v>
      </c>
      <c r="H453" s="88" t="str">
        <f>_xlfn.IFNA(VLOOKUP($D454,'Route-Details'!$B$2:$X$1048576,'Node Details'!H$1,0),"")</f>
        <v>Punjab</v>
      </c>
      <c r="I453" s="88" t="str">
        <f>_xlfn.IFNA(VLOOKUP($D453,'Route-Details'!$B$2:$X$1048576,'Node Details'!I$1,0),"")</f>
        <v>CM3</v>
      </c>
      <c r="J453" s="88" t="str">
        <f>_xlfn.IFNA(VLOOKUP($D453,'Route-Details'!$B$2:$X$1048576,'Node Details'!J$1,0),"")</f>
        <v>CM3</v>
      </c>
      <c r="K453" s="76">
        <v>46142</v>
      </c>
      <c r="L453" s="76">
        <v>46149</v>
      </c>
      <c r="M453" s="89">
        <v>46149</v>
      </c>
      <c r="N453" s="76">
        <v>46149</v>
      </c>
      <c r="Q453" s="86" t="s">
        <v>958</v>
      </c>
      <c r="R453" s="90"/>
      <c r="S453" s="87"/>
      <c r="T453" s="87"/>
      <c r="U453" s="87"/>
      <c r="V453" s="93"/>
      <c r="W453" s="91"/>
      <c r="X453" s="87"/>
      <c r="Y453" s="92"/>
      <c r="Z453" s="90"/>
      <c r="AA453" s="93"/>
      <c r="AB453" s="87"/>
      <c r="AC453" s="91"/>
      <c r="AD453" s="90"/>
      <c r="AE453" s="86"/>
      <c r="AF453" s="82"/>
      <c r="AG453" s="24"/>
      <c r="AH453" s="93"/>
      <c r="AI453" s="87"/>
      <c r="AJ453" s="86"/>
      <c r="AK453" s="81"/>
      <c r="AL453" s="24"/>
      <c r="AM453" s="24"/>
      <c r="AN453" s="81"/>
      <c r="AO453" s="81"/>
      <c r="AP453" s="24"/>
      <c r="AQ453" s="93"/>
      <c r="AR453" s="94"/>
      <c r="AS453" s="82"/>
      <c r="AT453" s="82"/>
      <c r="AU453" s="24"/>
      <c r="AV453" s="93"/>
      <c r="AW453" s="94"/>
      <c r="AX453" s="95"/>
      <c r="AY453" s="95"/>
      <c r="AZ453" s="95"/>
      <c r="BA453" s="24"/>
      <c r="BB453" s="9" t="s">
        <v>255</v>
      </c>
      <c r="BC453" s="96" t="s">
        <v>1128</v>
      </c>
    </row>
    <row r="454" spans="1:55" ht="15" customHeight="1">
      <c r="A454" s="86">
        <f t="shared" si="25"/>
        <v>452</v>
      </c>
      <c r="B454" s="75" t="s">
        <v>1160</v>
      </c>
      <c r="C454" s="9"/>
      <c r="D454" s="76" t="s">
        <v>707</v>
      </c>
      <c r="E454" s="88" t="str">
        <f>_xlfn.IFNA(VLOOKUP($D454,'Route-Details'!$B$2:$X$1048576,'Node Details'!E$1,0),"")</f>
        <v>Airtel</v>
      </c>
      <c r="F454" s="88" t="str">
        <f>_xlfn.IFNA(VLOOKUP($D454,'Route-Details'!$B$2:$X$1048576,'Node Details'!F$1,0),"")</f>
        <v>Mani Majra</v>
      </c>
      <c r="G454" s="88" t="str">
        <f>_xlfn.IFNA(VLOOKUP($D454,'Route-Details'!$B$2:$X$1048576,'Node Details'!G$1,0),"")</f>
        <v>Chandigarh</v>
      </c>
      <c r="H454" s="88" t="str">
        <f>_xlfn.IFNA(VLOOKUP($D455,'Route-Details'!$B$2:$X$1048576,'Node Details'!H$1,0),"")</f>
        <v>Punjab</v>
      </c>
      <c r="I454" s="88" t="str">
        <f>_xlfn.IFNA(VLOOKUP($D454,'Route-Details'!$B$2:$X$1048576,'Node Details'!I$1,0),"")</f>
        <v>CM3</v>
      </c>
      <c r="J454" s="88" t="str">
        <f>_xlfn.IFNA(VLOOKUP($D454,'Route-Details'!$B$2:$X$1048576,'Node Details'!J$1,0),"")</f>
        <v>CM3</v>
      </c>
      <c r="K454" s="76">
        <v>46142</v>
      </c>
      <c r="L454" s="76">
        <v>46149</v>
      </c>
      <c r="M454" s="89">
        <v>46149</v>
      </c>
      <c r="N454" s="76">
        <v>46149</v>
      </c>
      <c r="Q454" s="86" t="s">
        <v>958</v>
      </c>
      <c r="R454" s="90"/>
      <c r="S454" s="87"/>
      <c r="T454" s="87"/>
      <c r="U454" s="87"/>
      <c r="V454" s="93"/>
      <c r="W454" s="91"/>
      <c r="X454" s="87"/>
      <c r="Y454" s="92"/>
      <c r="Z454" s="90"/>
      <c r="AA454" s="93"/>
      <c r="AB454" s="87"/>
      <c r="AC454" s="91"/>
      <c r="AD454" s="90"/>
      <c r="AE454" s="86"/>
      <c r="AF454" s="82"/>
      <c r="AG454" s="24"/>
      <c r="AH454" s="93"/>
      <c r="AI454" s="87"/>
      <c r="AJ454" s="86"/>
      <c r="AK454" s="81"/>
      <c r="AL454" s="24"/>
      <c r="AM454" s="24"/>
      <c r="AN454" s="81"/>
      <c r="AO454" s="81"/>
      <c r="AP454" s="24"/>
      <c r="AQ454" s="93"/>
      <c r="AR454" s="94"/>
      <c r="AS454" s="82"/>
      <c r="AT454" s="82"/>
      <c r="AU454" s="24"/>
      <c r="AV454" s="93"/>
      <c r="AW454" s="94"/>
      <c r="AX454" s="95"/>
      <c r="AY454" s="95"/>
      <c r="AZ454" s="95"/>
      <c r="BA454" s="24"/>
      <c r="BB454" s="9" t="s">
        <v>258</v>
      </c>
      <c r="BC454" s="96" t="s">
        <v>1128</v>
      </c>
    </row>
    <row r="455" spans="1:55" ht="15" customHeight="1">
      <c r="A455" s="86">
        <f t="shared" si="25"/>
        <v>453</v>
      </c>
      <c r="B455" s="75" t="s">
        <v>708</v>
      </c>
      <c r="C455" s="9"/>
      <c r="D455" s="76" t="s">
        <v>707</v>
      </c>
      <c r="E455" s="88" t="str">
        <f>_xlfn.IFNA(VLOOKUP($D455,'Route-Details'!$B$2:$X$1048576,'Node Details'!E$1,0),"")</f>
        <v>Airtel</v>
      </c>
      <c r="F455" s="88" t="str">
        <f>_xlfn.IFNA(VLOOKUP($D455,'Route-Details'!$B$2:$X$1048576,'Node Details'!F$1,0),"")</f>
        <v>Mani Majra</v>
      </c>
      <c r="G455" s="88" t="str">
        <f>_xlfn.IFNA(VLOOKUP($D455,'Route-Details'!$B$2:$X$1048576,'Node Details'!G$1,0),"")</f>
        <v>Chandigarh</v>
      </c>
      <c r="H455" s="88" t="str">
        <f>_xlfn.IFNA(VLOOKUP($D456,'Route-Details'!$B$2:$X$1048576,'Node Details'!H$1,0),"")</f>
        <v>Punjab</v>
      </c>
      <c r="I455" s="88" t="str">
        <f>_xlfn.IFNA(VLOOKUP($D455,'Route-Details'!$B$2:$X$1048576,'Node Details'!I$1,0),"")</f>
        <v>CM3</v>
      </c>
      <c r="J455" s="88" t="str">
        <f>_xlfn.IFNA(VLOOKUP($D455,'Route-Details'!$B$2:$X$1048576,'Node Details'!J$1,0),"")</f>
        <v>CM3</v>
      </c>
      <c r="K455" s="76">
        <v>46142</v>
      </c>
      <c r="L455" s="76">
        <v>46149</v>
      </c>
      <c r="M455" s="89">
        <v>46149</v>
      </c>
      <c r="N455" s="76">
        <v>46149</v>
      </c>
      <c r="Q455" s="86" t="s">
        <v>958</v>
      </c>
      <c r="R455" s="90"/>
      <c r="S455" s="87"/>
      <c r="T455" s="87"/>
      <c r="U455" s="87"/>
      <c r="V455" s="93"/>
      <c r="W455" s="91"/>
      <c r="X455" s="87"/>
      <c r="Y455" s="92"/>
      <c r="Z455" s="90"/>
      <c r="AA455" s="93"/>
      <c r="AB455" s="87"/>
      <c r="AC455" s="91"/>
      <c r="AD455" s="90"/>
      <c r="AE455" s="86"/>
      <c r="AF455" s="82"/>
      <c r="AG455" s="24"/>
      <c r="AH455" s="93"/>
      <c r="AI455" s="87"/>
      <c r="AJ455" s="86"/>
      <c r="AK455" s="81"/>
      <c r="AL455" s="24"/>
      <c r="AM455" s="24"/>
      <c r="AN455" s="81"/>
      <c r="AO455" s="81"/>
      <c r="AP455" s="24"/>
      <c r="AQ455" s="93"/>
      <c r="AR455" s="94"/>
      <c r="AS455" s="82"/>
      <c r="AT455" s="82"/>
      <c r="AU455" s="24"/>
      <c r="AV455" s="93"/>
      <c r="AW455" s="94"/>
      <c r="AX455" s="95"/>
      <c r="AY455" s="95"/>
      <c r="AZ455" s="95"/>
      <c r="BA455" s="24"/>
      <c r="BB455" s="9" t="s">
        <v>258</v>
      </c>
      <c r="BC455" s="96" t="s">
        <v>1128</v>
      </c>
    </row>
    <row r="456" spans="1:55" ht="15" customHeight="1">
      <c r="A456" s="86">
        <f t="shared" si="25"/>
        <v>454</v>
      </c>
      <c r="B456" s="75" t="s">
        <v>1161</v>
      </c>
      <c r="C456" s="9"/>
      <c r="D456" s="76" t="s">
        <v>709</v>
      </c>
      <c r="E456" s="88" t="str">
        <f>_xlfn.IFNA(VLOOKUP($D456,'Route-Details'!$B$2:$X$1048576,'Node Details'!E$1,0),"")</f>
        <v>Airtel</v>
      </c>
      <c r="F456" s="88" t="str">
        <f>_xlfn.IFNA(VLOOKUP($D456,'Route-Details'!$B$2:$X$1048576,'Node Details'!F$1,0),"")</f>
        <v>Mani Majra</v>
      </c>
      <c r="G456" s="88" t="str">
        <f>_xlfn.IFNA(VLOOKUP($D456,'Route-Details'!$B$2:$X$1048576,'Node Details'!G$1,0),"")</f>
        <v>Chandigarh</v>
      </c>
      <c r="H456" s="88" t="str">
        <f>_xlfn.IFNA(VLOOKUP($D457,'Route-Details'!$B$2:$X$1048576,'Node Details'!H$1,0),"")</f>
        <v>Punjab</v>
      </c>
      <c r="I456" s="88" t="str">
        <f>_xlfn.IFNA(VLOOKUP($D456,'Route-Details'!$B$2:$X$1048576,'Node Details'!I$1,0),"")</f>
        <v>CM3</v>
      </c>
      <c r="J456" s="88" t="str">
        <f>_xlfn.IFNA(VLOOKUP($D456,'Route-Details'!$B$2:$X$1048576,'Node Details'!J$1,0),"")</f>
        <v>CM3</v>
      </c>
      <c r="K456" s="76">
        <v>46142</v>
      </c>
      <c r="L456" s="76">
        <v>46149</v>
      </c>
      <c r="M456" s="89">
        <v>46149</v>
      </c>
      <c r="N456" s="76">
        <v>46149</v>
      </c>
      <c r="Q456" s="86" t="s">
        <v>958</v>
      </c>
      <c r="R456" s="90"/>
      <c r="S456" s="87"/>
      <c r="T456" s="87"/>
      <c r="U456" s="87"/>
      <c r="V456" s="93"/>
      <c r="W456" s="91"/>
      <c r="X456" s="87"/>
      <c r="Y456" s="92"/>
      <c r="Z456" s="90"/>
      <c r="AA456" s="93"/>
      <c r="AB456" s="87"/>
      <c r="AC456" s="91"/>
      <c r="AD456" s="90"/>
      <c r="AE456" s="86"/>
      <c r="AF456" s="82"/>
      <c r="AG456" s="24"/>
      <c r="AH456" s="93"/>
      <c r="AI456" s="87"/>
      <c r="AJ456" s="86"/>
      <c r="AK456" s="81"/>
      <c r="AL456" s="24"/>
      <c r="AM456" s="24"/>
      <c r="AN456" s="81"/>
      <c r="AO456" s="81"/>
      <c r="AP456" s="24"/>
      <c r="AQ456" s="93"/>
      <c r="AR456" s="94"/>
      <c r="AS456" s="82"/>
      <c r="AT456" s="82"/>
      <c r="AU456" s="24"/>
      <c r="AV456" s="93"/>
      <c r="AW456" s="94"/>
      <c r="AX456" s="95"/>
      <c r="AY456" s="95"/>
      <c r="AZ456" s="95"/>
      <c r="BA456" s="24"/>
      <c r="BB456" s="9" t="s">
        <v>262</v>
      </c>
      <c r="BC456" s="96" t="s">
        <v>1128</v>
      </c>
    </row>
    <row r="457" spans="1:55" ht="15" customHeight="1">
      <c r="A457" s="86">
        <f t="shared" si="25"/>
        <v>455</v>
      </c>
      <c r="B457" s="75" t="s">
        <v>1162</v>
      </c>
      <c r="C457" s="9"/>
      <c r="D457" s="76" t="s">
        <v>709</v>
      </c>
      <c r="E457" s="88" t="str">
        <f>_xlfn.IFNA(VLOOKUP($D457,'Route-Details'!$B$2:$X$1048576,'Node Details'!E$1,0),"")</f>
        <v>Airtel</v>
      </c>
      <c r="F457" s="88" t="str">
        <f>_xlfn.IFNA(VLOOKUP($D457,'Route-Details'!$B$2:$X$1048576,'Node Details'!F$1,0),"")</f>
        <v>Mani Majra</v>
      </c>
      <c r="G457" s="88" t="str">
        <f>_xlfn.IFNA(VLOOKUP($D457,'Route-Details'!$B$2:$X$1048576,'Node Details'!G$1,0),"")</f>
        <v>Chandigarh</v>
      </c>
      <c r="H457" s="88" t="str">
        <f>_xlfn.IFNA(VLOOKUP($D458,'Route-Details'!$B$2:$X$1048576,'Node Details'!H$1,0),"")</f>
        <v>Punjab</v>
      </c>
      <c r="I457" s="88" t="str">
        <f>_xlfn.IFNA(VLOOKUP($D457,'Route-Details'!$B$2:$X$1048576,'Node Details'!I$1,0),"")</f>
        <v>CM3</v>
      </c>
      <c r="J457" s="88" t="str">
        <f>_xlfn.IFNA(VLOOKUP($D457,'Route-Details'!$B$2:$X$1048576,'Node Details'!J$1,0),"")</f>
        <v>CM3</v>
      </c>
      <c r="K457" s="76">
        <v>46142</v>
      </c>
      <c r="L457" s="76">
        <v>46149</v>
      </c>
      <c r="M457" s="89">
        <v>46149</v>
      </c>
      <c r="N457" s="76">
        <v>46149</v>
      </c>
      <c r="Q457" s="86" t="s">
        <v>958</v>
      </c>
      <c r="R457" s="90"/>
      <c r="S457" s="87"/>
      <c r="T457" s="87"/>
      <c r="U457" s="87"/>
      <c r="V457" s="93"/>
      <c r="W457" s="91"/>
      <c r="X457" s="87"/>
      <c r="Y457" s="92"/>
      <c r="Z457" s="90"/>
      <c r="AA457" s="93"/>
      <c r="AB457" s="87"/>
      <c r="AC457" s="91"/>
      <c r="AD457" s="90"/>
      <c r="AE457" s="86"/>
      <c r="AF457" s="82"/>
      <c r="AG457" s="24"/>
      <c r="AH457" s="93"/>
      <c r="AI457" s="87"/>
      <c r="AJ457" s="86"/>
      <c r="AK457" s="81"/>
      <c r="AL457" s="24"/>
      <c r="AM457" s="24"/>
      <c r="AN457" s="81"/>
      <c r="AO457" s="81"/>
      <c r="AP457" s="24"/>
      <c r="AQ457" s="93"/>
      <c r="AR457" s="94"/>
      <c r="AS457" s="82"/>
      <c r="AT457" s="82"/>
      <c r="AU457" s="24"/>
      <c r="AV457" s="93"/>
      <c r="AW457" s="94"/>
      <c r="AX457" s="95"/>
      <c r="AY457" s="95"/>
      <c r="AZ457" s="95"/>
      <c r="BA457" s="24"/>
      <c r="BB457" s="9" t="s">
        <v>262</v>
      </c>
      <c r="BC457" s="96" t="s">
        <v>1128</v>
      </c>
    </row>
    <row r="458" spans="1:55" ht="15" customHeight="1">
      <c r="A458" s="86">
        <f t="shared" si="25"/>
        <v>456</v>
      </c>
      <c r="B458" s="75" t="s">
        <v>1163</v>
      </c>
      <c r="C458" s="9"/>
      <c r="D458" s="76" t="s">
        <v>709</v>
      </c>
      <c r="E458" s="88" t="str">
        <f>_xlfn.IFNA(VLOOKUP($D458,'Route-Details'!$B$2:$X$1048576,'Node Details'!E$1,0),"")</f>
        <v>Airtel</v>
      </c>
      <c r="F458" s="88" t="str">
        <f>_xlfn.IFNA(VLOOKUP($D458,'Route-Details'!$B$2:$X$1048576,'Node Details'!F$1,0),"")</f>
        <v>Mani Majra</v>
      </c>
      <c r="G458" s="88" t="str">
        <f>_xlfn.IFNA(VLOOKUP($D458,'Route-Details'!$B$2:$X$1048576,'Node Details'!G$1,0),"")</f>
        <v>Chandigarh</v>
      </c>
      <c r="H458" s="88" t="str">
        <f>_xlfn.IFNA(VLOOKUP($D459,'Route-Details'!$B$2:$X$1048576,'Node Details'!H$1,0),"")</f>
        <v>Punjab</v>
      </c>
      <c r="I458" s="88" t="str">
        <f>_xlfn.IFNA(VLOOKUP($D458,'Route-Details'!$B$2:$X$1048576,'Node Details'!I$1,0),"")</f>
        <v>CM3</v>
      </c>
      <c r="J458" s="88" t="str">
        <f>_xlfn.IFNA(VLOOKUP($D458,'Route-Details'!$B$2:$X$1048576,'Node Details'!J$1,0),"")</f>
        <v>CM3</v>
      </c>
      <c r="K458" s="76">
        <v>46142</v>
      </c>
      <c r="L458" s="76">
        <v>46149</v>
      </c>
      <c r="M458" s="89">
        <v>46149</v>
      </c>
      <c r="N458" s="76">
        <v>46149</v>
      </c>
      <c r="Q458" s="86" t="s">
        <v>958</v>
      </c>
      <c r="R458" s="90"/>
      <c r="S458" s="87"/>
      <c r="T458" s="87"/>
      <c r="U458" s="87"/>
      <c r="V458" s="93"/>
      <c r="W458" s="91"/>
      <c r="X458" s="87"/>
      <c r="Y458" s="92"/>
      <c r="Z458" s="90"/>
      <c r="AA458" s="93"/>
      <c r="AB458" s="87"/>
      <c r="AC458" s="91"/>
      <c r="AD458" s="90"/>
      <c r="AE458" s="86"/>
      <c r="AF458" s="82"/>
      <c r="AG458" s="24"/>
      <c r="AH458" s="93"/>
      <c r="AI458" s="87"/>
      <c r="AJ458" s="86"/>
      <c r="AK458" s="81"/>
      <c r="AL458" s="24"/>
      <c r="AM458" s="24"/>
      <c r="AN458" s="81"/>
      <c r="AO458" s="81"/>
      <c r="AP458" s="24"/>
      <c r="AQ458" s="93"/>
      <c r="AR458" s="94"/>
      <c r="AS458" s="82"/>
      <c r="AT458" s="82"/>
      <c r="AU458" s="24"/>
      <c r="AV458" s="93"/>
      <c r="AW458" s="94"/>
      <c r="AX458" s="95"/>
      <c r="AY458" s="95"/>
      <c r="AZ458" s="95"/>
      <c r="BA458" s="24"/>
      <c r="BB458" s="9" t="s">
        <v>262</v>
      </c>
      <c r="BC458" s="96" t="s">
        <v>1128</v>
      </c>
    </row>
    <row r="459" spans="1:55" ht="15" customHeight="1">
      <c r="A459" s="86">
        <f t="shared" si="25"/>
        <v>457</v>
      </c>
      <c r="B459" s="75" t="s">
        <v>710</v>
      </c>
      <c r="C459" s="9"/>
      <c r="D459" s="76" t="s">
        <v>709</v>
      </c>
      <c r="E459" s="88" t="str">
        <f>_xlfn.IFNA(VLOOKUP($D459,'Route-Details'!$B$2:$X$1048576,'Node Details'!E$1,0),"")</f>
        <v>Airtel</v>
      </c>
      <c r="F459" s="88" t="str">
        <f>_xlfn.IFNA(VLOOKUP($D459,'Route-Details'!$B$2:$X$1048576,'Node Details'!F$1,0),"")</f>
        <v>Mani Majra</v>
      </c>
      <c r="G459" s="88" t="str">
        <f>_xlfn.IFNA(VLOOKUP($D459,'Route-Details'!$B$2:$X$1048576,'Node Details'!G$1,0),"")</f>
        <v>Chandigarh</v>
      </c>
      <c r="H459" s="88" t="str">
        <f>_xlfn.IFNA(VLOOKUP($D460,'Route-Details'!$B$2:$X$1048576,'Node Details'!H$1,0),"")</f>
        <v>Punjab</v>
      </c>
      <c r="I459" s="88" t="str">
        <f>_xlfn.IFNA(VLOOKUP($D459,'Route-Details'!$B$2:$X$1048576,'Node Details'!I$1,0),"")</f>
        <v>CM3</v>
      </c>
      <c r="J459" s="88" t="str">
        <f>_xlfn.IFNA(VLOOKUP($D459,'Route-Details'!$B$2:$X$1048576,'Node Details'!J$1,0),"")</f>
        <v>CM3</v>
      </c>
      <c r="K459" s="76">
        <v>46142</v>
      </c>
      <c r="L459" s="76">
        <v>46149</v>
      </c>
      <c r="M459" s="89">
        <v>46149</v>
      </c>
      <c r="N459" s="76">
        <v>46149</v>
      </c>
      <c r="Q459" s="86" t="s">
        <v>958</v>
      </c>
      <c r="R459" s="90"/>
      <c r="S459" s="87"/>
      <c r="T459" s="87"/>
      <c r="U459" s="87"/>
      <c r="V459" s="93"/>
      <c r="W459" s="91"/>
      <c r="X459" s="87"/>
      <c r="Y459" s="92"/>
      <c r="Z459" s="90"/>
      <c r="AA459" s="93"/>
      <c r="AB459" s="87"/>
      <c r="AC459" s="91"/>
      <c r="AD459" s="90"/>
      <c r="AE459" s="86"/>
      <c r="AF459" s="82"/>
      <c r="AG459" s="24"/>
      <c r="AH459" s="93"/>
      <c r="AI459" s="87"/>
      <c r="AJ459" s="86"/>
      <c r="AK459" s="81"/>
      <c r="AL459" s="24"/>
      <c r="AM459" s="24"/>
      <c r="AN459" s="81"/>
      <c r="AO459" s="81"/>
      <c r="AP459" s="24"/>
      <c r="AQ459" s="93"/>
      <c r="AR459" s="94"/>
      <c r="AS459" s="82"/>
      <c r="AT459" s="82"/>
      <c r="AU459" s="24"/>
      <c r="AV459" s="93"/>
      <c r="AW459" s="94"/>
      <c r="AX459" s="95"/>
      <c r="AY459" s="95"/>
      <c r="AZ459" s="95"/>
      <c r="BA459" s="24"/>
      <c r="BB459" s="9" t="s">
        <v>262</v>
      </c>
      <c r="BC459" s="96" t="s">
        <v>1128</v>
      </c>
    </row>
    <row r="460" spans="1:55" ht="15" customHeight="1">
      <c r="A460" s="86">
        <f t="shared" si="25"/>
        <v>458</v>
      </c>
      <c r="B460" s="75" t="s">
        <v>712</v>
      </c>
      <c r="C460" s="9"/>
      <c r="D460" s="76" t="s">
        <v>620</v>
      </c>
      <c r="E460" s="88" t="str">
        <f>_xlfn.IFNA(VLOOKUP($D460,'Route-Details'!$B$2:$X$1048576,'Node Details'!E$1,0),"")</f>
        <v>Airtel</v>
      </c>
      <c r="F460" s="88" t="str">
        <f>_xlfn.IFNA(VLOOKUP($D460,'Route-Details'!$B$2:$X$1048576,'Node Details'!F$1,0),"")</f>
        <v>Mani Majra</v>
      </c>
      <c r="G460" s="88" t="str">
        <f>_xlfn.IFNA(VLOOKUP($D460,'Route-Details'!$B$2:$X$1048576,'Node Details'!G$1,0),"")</f>
        <v>Chandigarh</v>
      </c>
      <c r="H460" s="88" t="str">
        <f>_xlfn.IFNA(VLOOKUP($D461,'Route-Details'!$B$2:$X$1048576,'Node Details'!H$1,0),"")</f>
        <v>Punjab</v>
      </c>
      <c r="I460" s="88" t="str">
        <f>_xlfn.IFNA(VLOOKUP($D460,'Route-Details'!$B$2:$X$1048576,'Node Details'!I$1,0),"")</f>
        <v>CM3</v>
      </c>
      <c r="J460" s="88" t="str">
        <f>_xlfn.IFNA(VLOOKUP($D460,'Route-Details'!$B$2:$X$1048576,'Node Details'!J$1,0),"")</f>
        <v>CM3</v>
      </c>
      <c r="K460" s="76">
        <v>46142</v>
      </c>
      <c r="L460" s="76">
        <v>46149</v>
      </c>
      <c r="M460" s="89">
        <v>46149</v>
      </c>
      <c r="N460" s="76">
        <v>46149</v>
      </c>
      <c r="Q460" s="86" t="s">
        <v>958</v>
      </c>
      <c r="R460" s="90"/>
      <c r="S460" s="87"/>
      <c r="T460" s="87"/>
      <c r="U460" s="87"/>
      <c r="V460" s="93"/>
      <c r="W460" s="91"/>
      <c r="X460" s="87"/>
      <c r="Y460" s="92"/>
      <c r="Z460" s="90"/>
      <c r="AA460" s="93"/>
      <c r="AB460" s="87"/>
      <c r="AC460" s="91"/>
      <c r="AD460" s="90"/>
      <c r="AE460" s="86"/>
      <c r="AF460" s="82"/>
      <c r="AG460" s="24"/>
      <c r="AH460" s="93"/>
      <c r="AI460" s="87"/>
      <c r="AJ460" s="86"/>
      <c r="AK460" s="81"/>
      <c r="AL460" s="24"/>
      <c r="AM460" s="24"/>
      <c r="AN460" s="81"/>
      <c r="AO460" s="81"/>
      <c r="AP460" s="24"/>
      <c r="AQ460" s="93"/>
      <c r="AR460" s="94"/>
      <c r="AS460" s="82"/>
      <c r="AT460" s="82"/>
      <c r="AU460" s="24"/>
      <c r="AV460" s="93"/>
      <c r="AW460" s="94"/>
      <c r="AX460" s="95"/>
      <c r="AY460" s="95"/>
      <c r="AZ460" s="95"/>
      <c r="BA460" s="24"/>
      <c r="BB460" s="9" t="s">
        <v>96</v>
      </c>
      <c r="BC460" s="96" t="s">
        <v>1128</v>
      </c>
    </row>
    <row r="461" spans="1:55" ht="15" customHeight="1">
      <c r="A461" s="86">
        <f t="shared" si="25"/>
        <v>459</v>
      </c>
      <c r="B461" s="75" t="s">
        <v>713</v>
      </c>
      <c r="C461" s="9"/>
      <c r="D461" s="76" t="s">
        <v>711</v>
      </c>
      <c r="E461" s="88" t="str">
        <f>_xlfn.IFNA(VLOOKUP($D461,'Route-Details'!$B$2:$X$1048576,'Node Details'!E$1,0),"")</f>
        <v>Airtel</v>
      </c>
      <c r="F461" s="88" t="str">
        <f>_xlfn.IFNA(VLOOKUP($D461,'Route-Details'!$B$2:$X$1048576,'Node Details'!F$1,0),"")</f>
        <v>Mani Majra</v>
      </c>
      <c r="G461" s="88" t="str">
        <f>_xlfn.IFNA(VLOOKUP($D461,'Route-Details'!$B$2:$X$1048576,'Node Details'!G$1,0),"")</f>
        <v>Chandigarh</v>
      </c>
      <c r="H461" s="88" t="str">
        <f>_xlfn.IFNA(VLOOKUP($D462,'Route-Details'!$B$2:$X$1048576,'Node Details'!H$1,0),"")</f>
        <v>Punjab</v>
      </c>
      <c r="I461" s="88" t="str">
        <f>_xlfn.IFNA(VLOOKUP($D461,'Route-Details'!$B$2:$X$1048576,'Node Details'!I$1,0),"")</f>
        <v>CM3</v>
      </c>
      <c r="J461" s="88" t="str">
        <f>_xlfn.IFNA(VLOOKUP($D461,'Route-Details'!$B$2:$X$1048576,'Node Details'!J$1,0),"")</f>
        <v>CM3</v>
      </c>
      <c r="K461" s="76">
        <v>46142</v>
      </c>
      <c r="L461" s="76">
        <v>46149</v>
      </c>
      <c r="M461" s="89">
        <v>46149</v>
      </c>
      <c r="N461" s="76">
        <v>46149</v>
      </c>
      <c r="Q461" s="86" t="s">
        <v>958</v>
      </c>
      <c r="R461" s="90"/>
      <c r="S461" s="87"/>
      <c r="T461" s="87"/>
      <c r="U461" s="87"/>
      <c r="V461" s="93"/>
      <c r="W461" s="91"/>
      <c r="X461" s="87"/>
      <c r="Y461" s="92"/>
      <c r="Z461" s="90"/>
      <c r="AA461" s="93"/>
      <c r="AB461" s="87"/>
      <c r="AC461" s="91"/>
      <c r="AD461" s="90"/>
      <c r="AE461" s="86"/>
      <c r="AF461" s="82"/>
      <c r="AG461" s="24"/>
      <c r="AH461" s="93"/>
      <c r="AI461" s="87"/>
      <c r="AJ461" s="86"/>
      <c r="AK461" s="81"/>
      <c r="AL461" s="24"/>
      <c r="AM461" s="24"/>
      <c r="AN461" s="81"/>
      <c r="AO461" s="81"/>
      <c r="AP461" s="24"/>
      <c r="AQ461" s="93"/>
      <c r="AR461" s="94"/>
      <c r="AS461" s="82"/>
      <c r="AT461" s="82"/>
      <c r="AU461" s="24"/>
      <c r="AV461" s="93"/>
      <c r="AW461" s="94"/>
      <c r="AX461" s="95"/>
      <c r="AY461" s="95"/>
      <c r="AZ461" s="95"/>
      <c r="BA461" s="24"/>
      <c r="BB461" s="9" t="s">
        <v>266</v>
      </c>
      <c r="BC461" s="96" t="s">
        <v>1128</v>
      </c>
    </row>
    <row r="462" spans="1:55" ht="15" customHeight="1">
      <c r="A462" s="86">
        <f t="shared" si="25"/>
        <v>460</v>
      </c>
      <c r="B462" s="75" t="s">
        <v>715</v>
      </c>
      <c r="C462" s="9"/>
      <c r="D462" s="76" t="s">
        <v>714</v>
      </c>
      <c r="E462" s="88" t="str">
        <f>_xlfn.IFNA(VLOOKUP($D462,'Route-Details'!$B$2:$X$1048576,'Node Details'!E$1,0),"")</f>
        <v>Airtel</v>
      </c>
      <c r="F462" s="88" t="str">
        <f>_xlfn.IFNA(VLOOKUP($D462,'Route-Details'!$B$2:$X$1048576,'Node Details'!F$1,0),"")</f>
        <v>Mani Majra</v>
      </c>
      <c r="G462" s="88" t="str">
        <f>_xlfn.IFNA(VLOOKUP($D462,'Route-Details'!$B$2:$X$1048576,'Node Details'!G$1,0),"")</f>
        <v>Chandigarh</v>
      </c>
      <c r="H462" s="88" t="str">
        <f>_xlfn.IFNA(VLOOKUP($D463,'Route-Details'!$B$2:$X$1048576,'Node Details'!H$1,0),"")</f>
        <v>Punjab</v>
      </c>
      <c r="I462" s="88" t="str">
        <f>_xlfn.IFNA(VLOOKUP($D462,'Route-Details'!$B$2:$X$1048576,'Node Details'!I$1,0),"")</f>
        <v>CM3</v>
      </c>
      <c r="J462" s="88" t="str">
        <f>_xlfn.IFNA(VLOOKUP($D462,'Route-Details'!$B$2:$X$1048576,'Node Details'!J$1,0),"")</f>
        <v>CM3</v>
      </c>
      <c r="K462" s="76">
        <v>46142</v>
      </c>
      <c r="L462" s="76">
        <v>46149</v>
      </c>
      <c r="M462" s="89">
        <v>46149</v>
      </c>
      <c r="N462" s="76">
        <v>46149</v>
      </c>
      <c r="Q462" s="86" t="s">
        <v>958</v>
      </c>
      <c r="R462" s="90"/>
      <c r="S462" s="87"/>
      <c r="T462" s="87"/>
      <c r="U462" s="87"/>
      <c r="V462" s="93"/>
      <c r="W462" s="91"/>
      <c r="X462" s="87"/>
      <c r="Y462" s="92"/>
      <c r="Z462" s="90"/>
      <c r="AA462" s="93"/>
      <c r="AB462" s="87"/>
      <c r="AC462" s="91"/>
      <c r="AD462" s="90"/>
      <c r="AE462" s="86"/>
      <c r="AF462" s="82"/>
      <c r="AG462" s="24"/>
      <c r="AH462" s="93"/>
      <c r="AI462" s="87"/>
      <c r="AJ462" s="86"/>
      <c r="AK462" s="81"/>
      <c r="AL462" s="24"/>
      <c r="AM462" s="24"/>
      <c r="AN462" s="81"/>
      <c r="AO462" s="81"/>
      <c r="AP462" s="24"/>
      <c r="AQ462" s="93"/>
      <c r="AR462" s="94"/>
      <c r="AS462" s="82"/>
      <c r="AT462" s="82"/>
      <c r="AU462" s="24"/>
      <c r="AV462" s="93"/>
      <c r="AW462" s="94"/>
      <c r="AX462" s="95"/>
      <c r="AY462" s="95"/>
      <c r="AZ462" s="95"/>
      <c r="BA462" s="24"/>
      <c r="BB462" s="9" t="s">
        <v>270</v>
      </c>
      <c r="BC462" s="96" t="s">
        <v>1128</v>
      </c>
    </row>
    <row r="463" spans="1:55" ht="15" customHeight="1">
      <c r="A463" s="86">
        <f t="shared" si="25"/>
        <v>461</v>
      </c>
      <c r="B463" s="75" t="s">
        <v>717</v>
      </c>
      <c r="C463" s="9"/>
      <c r="D463" s="76" t="s">
        <v>716</v>
      </c>
      <c r="E463" s="88" t="str">
        <f>_xlfn.IFNA(VLOOKUP($D463,'Route-Details'!$B$2:$X$1048576,'Node Details'!E$1,0),"")</f>
        <v>Airtel</v>
      </c>
      <c r="F463" s="88" t="str">
        <f>_xlfn.IFNA(VLOOKUP($D463,'Route-Details'!$B$2:$X$1048576,'Node Details'!F$1,0),"")</f>
        <v>Mani Majra</v>
      </c>
      <c r="G463" s="88" t="str">
        <f>_xlfn.IFNA(VLOOKUP($D463,'Route-Details'!$B$2:$X$1048576,'Node Details'!G$1,0),"")</f>
        <v>Chandigarh</v>
      </c>
      <c r="H463" s="88" t="str">
        <f>_xlfn.IFNA(VLOOKUP($D464,'Route-Details'!$B$2:$X$1048576,'Node Details'!H$1,0),"")</f>
        <v>Punjab</v>
      </c>
      <c r="I463" s="88" t="str">
        <f>_xlfn.IFNA(VLOOKUP($D463,'Route-Details'!$B$2:$X$1048576,'Node Details'!I$1,0),"")</f>
        <v>CM3</v>
      </c>
      <c r="J463" s="88" t="str">
        <f>_xlfn.IFNA(VLOOKUP($D463,'Route-Details'!$B$2:$X$1048576,'Node Details'!J$1,0),"")</f>
        <v>CM3</v>
      </c>
      <c r="K463" s="76">
        <v>46142</v>
      </c>
      <c r="L463" s="76">
        <v>46149</v>
      </c>
      <c r="M463" s="89">
        <v>46149</v>
      </c>
      <c r="N463" s="76">
        <v>46149</v>
      </c>
      <c r="Q463" s="86" t="s">
        <v>958</v>
      </c>
      <c r="R463" s="90"/>
      <c r="S463" s="87"/>
      <c r="T463" s="87"/>
      <c r="U463" s="87"/>
      <c r="V463" s="93"/>
      <c r="W463" s="91"/>
      <c r="X463" s="87"/>
      <c r="Y463" s="92"/>
      <c r="Z463" s="90"/>
      <c r="AA463" s="93"/>
      <c r="AB463" s="87"/>
      <c r="AC463" s="91"/>
      <c r="AD463" s="90"/>
      <c r="AE463" s="86"/>
      <c r="AF463" s="82"/>
      <c r="AG463" s="24"/>
      <c r="AH463" s="93"/>
      <c r="AI463" s="87"/>
      <c r="AJ463" s="86"/>
      <c r="AK463" s="81"/>
      <c r="AL463" s="24"/>
      <c r="AM463" s="24"/>
      <c r="AN463" s="81"/>
      <c r="AO463" s="81"/>
      <c r="AP463" s="24"/>
      <c r="AQ463" s="93"/>
      <c r="AR463" s="94"/>
      <c r="AS463" s="82"/>
      <c r="AT463" s="82"/>
      <c r="AU463" s="24"/>
      <c r="AV463" s="93"/>
      <c r="AW463" s="94"/>
      <c r="AX463" s="95"/>
      <c r="AY463" s="95"/>
      <c r="AZ463" s="95"/>
      <c r="BA463" s="24"/>
      <c r="BB463" s="9" t="s">
        <v>274</v>
      </c>
      <c r="BC463" s="96" t="s">
        <v>1128</v>
      </c>
    </row>
    <row r="464" spans="1:55" ht="15" customHeight="1">
      <c r="A464" s="86">
        <f t="shared" si="25"/>
        <v>462</v>
      </c>
      <c r="B464" s="75" t="s">
        <v>1164</v>
      </c>
      <c r="C464" s="9"/>
      <c r="D464" s="76" t="s">
        <v>718</v>
      </c>
      <c r="E464" s="88" t="str">
        <f>_xlfn.IFNA(VLOOKUP($D464,'Route-Details'!$B$2:$X$1048576,'Node Details'!E$1,0),"")</f>
        <v>Airtel</v>
      </c>
      <c r="F464" s="88" t="str">
        <f>_xlfn.IFNA(VLOOKUP($D464,'Route-Details'!$B$2:$X$1048576,'Node Details'!F$1,0),"")</f>
        <v>Mani Majra</v>
      </c>
      <c r="G464" s="88" t="str">
        <f>_xlfn.IFNA(VLOOKUP($D464,'Route-Details'!$B$2:$X$1048576,'Node Details'!G$1,0),"")</f>
        <v>Chandigarh</v>
      </c>
      <c r="H464" s="88" t="str">
        <f>_xlfn.IFNA(VLOOKUP($D465,'Route-Details'!$B$2:$X$1048576,'Node Details'!H$1,0),"")</f>
        <v>Punjab</v>
      </c>
      <c r="I464" s="88" t="str">
        <f>_xlfn.IFNA(VLOOKUP($D464,'Route-Details'!$B$2:$X$1048576,'Node Details'!I$1,0),"")</f>
        <v>CM3</v>
      </c>
      <c r="J464" s="88" t="str">
        <f>_xlfn.IFNA(VLOOKUP($D464,'Route-Details'!$B$2:$X$1048576,'Node Details'!J$1,0),"")</f>
        <v>CM3</v>
      </c>
      <c r="K464" s="76">
        <v>46142</v>
      </c>
      <c r="L464" s="76">
        <v>46149</v>
      </c>
      <c r="M464" s="89">
        <v>46149</v>
      </c>
      <c r="N464" s="76">
        <v>46149</v>
      </c>
      <c r="Q464" s="86" t="s">
        <v>958</v>
      </c>
      <c r="R464" s="90"/>
      <c r="S464" s="87"/>
      <c r="T464" s="87"/>
      <c r="U464" s="87"/>
      <c r="V464" s="93"/>
      <c r="W464" s="91"/>
      <c r="X464" s="87"/>
      <c r="Y464" s="92"/>
      <c r="Z464" s="90"/>
      <c r="AA464" s="93"/>
      <c r="AB464" s="87"/>
      <c r="AC464" s="91"/>
      <c r="AD464" s="90"/>
      <c r="AE464" s="86"/>
      <c r="AF464" s="82"/>
      <c r="AG464" s="24"/>
      <c r="AH464" s="93"/>
      <c r="AI464" s="87"/>
      <c r="AJ464" s="86"/>
      <c r="AK464" s="81"/>
      <c r="AL464" s="24"/>
      <c r="AM464" s="24"/>
      <c r="AN464" s="81"/>
      <c r="AO464" s="81"/>
      <c r="AP464" s="24"/>
      <c r="AQ464" s="93"/>
      <c r="AR464" s="94"/>
      <c r="AS464" s="82"/>
      <c r="AT464" s="82"/>
      <c r="AU464" s="24"/>
      <c r="AV464" s="93"/>
      <c r="AW464" s="94"/>
      <c r="AX464" s="95"/>
      <c r="AY464" s="95"/>
      <c r="AZ464" s="95"/>
      <c r="BA464" s="24"/>
      <c r="BB464" s="9" t="s">
        <v>278</v>
      </c>
      <c r="BC464" s="96" t="s">
        <v>1128</v>
      </c>
    </row>
    <row r="465" spans="1:55" ht="15" customHeight="1">
      <c r="A465" s="86">
        <f t="shared" si="25"/>
        <v>463</v>
      </c>
      <c r="B465" s="75" t="s">
        <v>1165</v>
      </c>
      <c r="C465" s="9"/>
      <c r="D465" s="76" t="s">
        <v>718</v>
      </c>
      <c r="E465" s="88" t="str">
        <f>_xlfn.IFNA(VLOOKUP($D465,'Route-Details'!$B$2:$X$1048576,'Node Details'!E$1,0),"")</f>
        <v>Airtel</v>
      </c>
      <c r="F465" s="88" t="str">
        <f>_xlfn.IFNA(VLOOKUP($D465,'Route-Details'!$B$2:$X$1048576,'Node Details'!F$1,0),"")</f>
        <v>Mani Majra</v>
      </c>
      <c r="G465" s="88" t="str">
        <f>_xlfn.IFNA(VLOOKUP($D465,'Route-Details'!$B$2:$X$1048576,'Node Details'!G$1,0),"")</f>
        <v>Chandigarh</v>
      </c>
      <c r="H465" s="88" t="str">
        <f>_xlfn.IFNA(VLOOKUP($D466,'Route-Details'!$B$2:$X$1048576,'Node Details'!H$1,0),"")</f>
        <v>Punjab</v>
      </c>
      <c r="I465" s="88" t="str">
        <f>_xlfn.IFNA(VLOOKUP($D465,'Route-Details'!$B$2:$X$1048576,'Node Details'!I$1,0),"")</f>
        <v>CM3</v>
      </c>
      <c r="J465" s="88" t="str">
        <f>_xlfn.IFNA(VLOOKUP($D465,'Route-Details'!$B$2:$X$1048576,'Node Details'!J$1,0),"")</f>
        <v>CM3</v>
      </c>
      <c r="K465" s="76">
        <v>46142</v>
      </c>
      <c r="L465" s="76">
        <v>46149</v>
      </c>
      <c r="M465" s="89">
        <v>46149</v>
      </c>
      <c r="N465" s="76">
        <v>46149</v>
      </c>
      <c r="Q465" s="86" t="s">
        <v>958</v>
      </c>
      <c r="R465" s="90"/>
      <c r="S465" s="87"/>
      <c r="T465" s="87"/>
      <c r="U465" s="87"/>
      <c r="V465" s="93"/>
      <c r="W465" s="91"/>
      <c r="X465" s="87"/>
      <c r="Y465" s="92"/>
      <c r="Z465" s="90"/>
      <c r="AA465" s="93"/>
      <c r="AB465" s="87"/>
      <c r="AC465" s="91"/>
      <c r="AD465" s="90"/>
      <c r="AE465" s="86"/>
      <c r="AF465" s="82"/>
      <c r="AG465" s="24"/>
      <c r="AH465" s="93"/>
      <c r="AI465" s="87"/>
      <c r="AJ465" s="86"/>
      <c r="AK465" s="81"/>
      <c r="AL465" s="24"/>
      <c r="AM465" s="24"/>
      <c r="AN465" s="81"/>
      <c r="AO465" s="81"/>
      <c r="AP465" s="24"/>
      <c r="AQ465" s="93"/>
      <c r="AR465" s="94"/>
      <c r="AS465" s="82"/>
      <c r="AT465" s="82"/>
      <c r="AU465" s="24"/>
      <c r="AV465" s="93"/>
      <c r="AW465" s="94"/>
      <c r="AX465" s="95"/>
      <c r="AY465" s="95"/>
      <c r="AZ465" s="95"/>
      <c r="BA465" s="24"/>
      <c r="BB465" s="9" t="s">
        <v>278</v>
      </c>
      <c r="BC465" s="96" t="s">
        <v>1128</v>
      </c>
    </row>
    <row r="466" spans="1:55" ht="15" customHeight="1">
      <c r="A466" s="86">
        <f t="shared" si="25"/>
        <v>464</v>
      </c>
      <c r="B466" s="75" t="s">
        <v>1166</v>
      </c>
      <c r="C466" s="9"/>
      <c r="D466" s="76" t="s">
        <v>718</v>
      </c>
      <c r="E466" s="88" t="str">
        <f>_xlfn.IFNA(VLOOKUP($D466,'Route-Details'!$B$2:$X$1048576,'Node Details'!E$1,0),"")</f>
        <v>Airtel</v>
      </c>
      <c r="F466" s="88" t="str">
        <f>_xlfn.IFNA(VLOOKUP($D466,'Route-Details'!$B$2:$X$1048576,'Node Details'!F$1,0),"")</f>
        <v>Mani Majra</v>
      </c>
      <c r="G466" s="88" t="str">
        <f>_xlfn.IFNA(VLOOKUP($D466,'Route-Details'!$B$2:$X$1048576,'Node Details'!G$1,0),"")</f>
        <v>Chandigarh</v>
      </c>
      <c r="H466" s="88" t="str">
        <f>_xlfn.IFNA(VLOOKUP($D467,'Route-Details'!$B$2:$X$1048576,'Node Details'!H$1,0),"")</f>
        <v>Punjab</v>
      </c>
      <c r="I466" s="88" t="str">
        <f>_xlfn.IFNA(VLOOKUP($D466,'Route-Details'!$B$2:$X$1048576,'Node Details'!I$1,0),"")</f>
        <v>CM3</v>
      </c>
      <c r="J466" s="88" t="str">
        <f>_xlfn.IFNA(VLOOKUP($D466,'Route-Details'!$B$2:$X$1048576,'Node Details'!J$1,0),"")</f>
        <v>CM3</v>
      </c>
      <c r="K466" s="76">
        <v>46142</v>
      </c>
      <c r="L466" s="76">
        <v>46149</v>
      </c>
      <c r="M466" s="89">
        <v>46149</v>
      </c>
      <c r="N466" s="76">
        <v>46149</v>
      </c>
      <c r="Q466" s="86" t="s">
        <v>958</v>
      </c>
      <c r="R466" s="90"/>
      <c r="S466" s="87"/>
      <c r="T466" s="87"/>
      <c r="U466" s="87"/>
      <c r="V466" s="93"/>
      <c r="W466" s="91"/>
      <c r="X466" s="87"/>
      <c r="Y466" s="92"/>
      <c r="Z466" s="90"/>
      <c r="AA466" s="93"/>
      <c r="AB466" s="87"/>
      <c r="AC466" s="91"/>
      <c r="AD466" s="90"/>
      <c r="AE466" s="86"/>
      <c r="AF466" s="82"/>
      <c r="AG466" s="24"/>
      <c r="AH466" s="93"/>
      <c r="AI466" s="87"/>
      <c r="AJ466" s="86"/>
      <c r="AK466" s="81"/>
      <c r="AL466" s="24"/>
      <c r="AM466" s="24"/>
      <c r="AN466" s="81"/>
      <c r="AO466" s="81"/>
      <c r="AP466" s="24"/>
      <c r="AQ466" s="93"/>
      <c r="AR466" s="94"/>
      <c r="AS466" s="82"/>
      <c r="AT466" s="82"/>
      <c r="AU466" s="24"/>
      <c r="AV466" s="93"/>
      <c r="AW466" s="94"/>
      <c r="AX466" s="95"/>
      <c r="AY466" s="95"/>
      <c r="AZ466" s="95"/>
      <c r="BA466" s="24"/>
      <c r="BB466" s="9" t="s">
        <v>278</v>
      </c>
      <c r="BC466" s="96" t="s">
        <v>1128</v>
      </c>
    </row>
    <row r="467" spans="1:55" ht="15" customHeight="1">
      <c r="A467" s="86">
        <f t="shared" si="25"/>
        <v>465</v>
      </c>
      <c r="B467" s="75" t="s">
        <v>719</v>
      </c>
      <c r="C467" s="9"/>
      <c r="D467" s="76" t="s">
        <v>718</v>
      </c>
      <c r="E467" s="88" t="str">
        <f>_xlfn.IFNA(VLOOKUP($D467,'Route-Details'!$B$2:$X$1048576,'Node Details'!E$1,0),"")</f>
        <v>Airtel</v>
      </c>
      <c r="F467" s="88" t="str">
        <f>_xlfn.IFNA(VLOOKUP($D467,'Route-Details'!$B$2:$X$1048576,'Node Details'!F$1,0),"")</f>
        <v>Mani Majra</v>
      </c>
      <c r="G467" s="88" t="str">
        <f>_xlfn.IFNA(VLOOKUP($D467,'Route-Details'!$B$2:$X$1048576,'Node Details'!G$1,0),"")</f>
        <v>Chandigarh</v>
      </c>
      <c r="H467" s="88" t="str">
        <f>_xlfn.IFNA(VLOOKUP($D468,'Route-Details'!$B$2:$X$1048576,'Node Details'!H$1,0),"")</f>
        <v>Punjab</v>
      </c>
      <c r="I467" s="88" t="str">
        <f>_xlfn.IFNA(VLOOKUP($D467,'Route-Details'!$B$2:$X$1048576,'Node Details'!I$1,0),"")</f>
        <v>CM3</v>
      </c>
      <c r="J467" s="88" t="str">
        <f>_xlfn.IFNA(VLOOKUP($D467,'Route-Details'!$B$2:$X$1048576,'Node Details'!J$1,0),"")</f>
        <v>CM3</v>
      </c>
      <c r="K467" s="76">
        <v>46142</v>
      </c>
      <c r="L467" s="76">
        <v>46149</v>
      </c>
      <c r="M467" s="89">
        <v>46149</v>
      </c>
      <c r="N467" s="76">
        <v>46149</v>
      </c>
      <c r="Q467" s="86" t="s">
        <v>958</v>
      </c>
      <c r="R467" s="90"/>
      <c r="S467" s="87"/>
      <c r="T467" s="87"/>
      <c r="U467" s="87"/>
      <c r="V467" s="93"/>
      <c r="W467" s="91"/>
      <c r="X467" s="87"/>
      <c r="Y467" s="92"/>
      <c r="Z467" s="90"/>
      <c r="AA467" s="93"/>
      <c r="AB467" s="87"/>
      <c r="AC467" s="91"/>
      <c r="AD467" s="90"/>
      <c r="AE467" s="86"/>
      <c r="AF467" s="82"/>
      <c r="AG467" s="24"/>
      <c r="AH467" s="93"/>
      <c r="AI467" s="87"/>
      <c r="AJ467" s="86"/>
      <c r="AK467" s="81"/>
      <c r="AL467" s="24"/>
      <c r="AM467" s="24"/>
      <c r="AN467" s="81"/>
      <c r="AO467" s="81"/>
      <c r="AP467" s="24"/>
      <c r="AQ467" s="93"/>
      <c r="AR467" s="94"/>
      <c r="AS467" s="82"/>
      <c r="AT467" s="82"/>
      <c r="AU467" s="24"/>
      <c r="AV467" s="93"/>
      <c r="AW467" s="94"/>
      <c r="AX467" s="95"/>
      <c r="AY467" s="95"/>
      <c r="AZ467" s="95"/>
      <c r="BA467" s="24"/>
      <c r="BB467" s="9" t="s">
        <v>278</v>
      </c>
      <c r="BC467" s="96" t="s">
        <v>1128</v>
      </c>
    </row>
    <row r="468" spans="1:55" ht="15" customHeight="1">
      <c r="A468" s="86">
        <f t="shared" si="25"/>
        <v>466</v>
      </c>
      <c r="B468" s="75" t="s">
        <v>624</v>
      </c>
      <c r="C468" s="9"/>
      <c r="D468" s="76" t="s">
        <v>620</v>
      </c>
      <c r="E468" s="88" t="str">
        <f>_xlfn.IFNA(VLOOKUP($D468,'Route-Details'!$B$2:$X$1048576,'Node Details'!E$1,0),"")</f>
        <v>Airtel</v>
      </c>
      <c r="F468" s="88" t="str">
        <f>_xlfn.IFNA(VLOOKUP($D468,'Route-Details'!$B$2:$X$1048576,'Node Details'!F$1,0),"")</f>
        <v>Mani Majra</v>
      </c>
      <c r="G468" s="88" t="str">
        <f>_xlfn.IFNA(VLOOKUP($D468,'Route-Details'!$B$2:$X$1048576,'Node Details'!G$1,0),"")</f>
        <v>Chandigarh</v>
      </c>
      <c r="H468" s="88" t="str">
        <f>_xlfn.IFNA(VLOOKUP($D469,'Route-Details'!$B$2:$X$1048576,'Node Details'!H$1,0),"")</f>
        <v>Punjab</v>
      </c>
      <c r="I468" s="88" t="str">
        <f>_xlfn.IFNA(VLOOKUP($D468,'Route-Details'!$B$2:$X$1048576,'Node Details'!I$1,0),"")</f>
        <v>CM3</v>
      </c>
      <c r="J468" s="88" t="str">
        <f>_xlfn.IFNA(VLOOKUP($D468,'Route-Details'!$B$2:$X$1048576,'Node Details'!J$1,0),"")</f>
        <v>CM3</v>
      </c>
      <c r="K468" s="76">
        <v>46142</v>
      </c>
      <c r="L468" s="76">
        <v>46149</v>
      </c>
      <c r="M468" s="89">
        <v>46149</v>
      </c>
      <c r="N468" s="76">
        <v>46149</v>
      </c>
      <c r="Q468" s="86" t="s">
        <v>958</v>
      </c>
      <c r="R468" s="90"/>
      <c r="S468" s="87"/>
      <c r="T468" s="87"/>
      <c r="U468" s="87"/>
      <c r="V468" s="93"/>
      <c r="W468" s="91"/>
      <c r="X468" s="87"/>
      <c r="Y468" s="92"/>
      <c r="Z468" s="90"/>
      <c r="AA468" s="93"/>
      <c r="AB468" s="87"/>
      <c r="AC468" s="91"/>
      <c r="AD468" s="90"/>
      <c r="AE468" s="86"/>
      <c r="AF468" s="82"/>
      <c r="AG468" s="24"/>
      <c r="AH468" s="93"/>
      <c r="AI468" s="87"/>
      <c r="AJ468" s="86"/>
      <c r="AK468" s="81"/>
      <c r="AL468" s="24"/>
      <c r="AM468" s="24"/>
      <c r="AN468" s="81"/>
      <c r="AO468" s="81"/>
      <c r="AP468" s="24"/>
      <c r="AQ468" s="93"/>
      <c r="AR468" s="94"/>
      <c r="AS468" s="82"/>
      <c r="AT468" s="82"/>
      <c r="AU468" s="24"/>
      <c r="AV468" s="93"/>
      <c r="AW468" s="94"/>
      <c r="AX468" s="95"/>
      <c r="AY468" s="95"/>
      <c r="AZ468" s="95"/>
      <c r="BA468" s="24"/>
      <c r="BB468" s="9" t="s">
        <v>96</v>
      </c>
      <c r="BC468" s="96" t="s">
        <v>1128</v>
      </c>
    </row>
    <row r="469" spans="1:55" ht="15" customHeight="1">
      <c r="A469" s="86">
        <f t="shared" si="25"/>
        <v>467</v>
      </c>
      <c r="B469" s="75" t="s">
        <v>721</v>
      </c>
      <c r="C469" s="9"/>
      <c r="D469" s="76" t="s">
        <v>720</v>
      </c>
      <c r="E469" s="88" t="str">
        <f>_xlfn.IFNA(VLOOKUP($D469,'Route-Details'!$B$2:$X$1048576,'Node Details'!E$1,0),"")</f>
        <v>Airtel</v>
      </c>
      <c r="F469" s="88" t="str">
        <f>_xlfn.IFNA(VLOOKUP($D469,'Route-Details'!$B$2:$X$1048576,'Node Details'!F$1,0),"")</f>
        <v>Mani Majra</v>
      </c>
      <c r="G469" s="88" t="str">
        <f>_xlfn.IFNA(VLOOKUP($D469,'Route-Details'!$B$2:$X$1048576,'Node Details'!G$1,0),"")</f>
        <v>Chandigarh</v>
      </c>
      <c r="H469" s="88" t="str">
        <f>_xlfn.IFNA(VLOOKUP($D470,'Route-Details'!$B$2:$X$1048576,'Node Details'!H$1,0),"")</f>
        <v>Punjab</v>
      </c>
      <c r="I469" s="88" t="str">
        <f>_xlfn.IFNA(VLOOKUP($D469,'Route-Details'!$B$2:$X$1048576,'Node Details'!I$1,0),"")</f>
        <v>CM3</v>
      </c>
      <c r="J469" s="88" t="str">
        <f>_xlfn.IFNA(VLOOKUP($D469,'Route-Details'!$B$2:$X$1048576,'Node Details'!J$1,0),"")</f>
        <v>CM3</v>
      </c>
      <c r="K469" s="76">
        <v>46142</v>
      </c>
      <c r="L469" s="76">
        <v>46149</v>
      </c>
      <c r="M469" s="89">
        <v>46149</v>
      </c>
      <c r="N469" s="76">
        <v>46149</v>
      </c>
      <c r="Q469" s="86" t="s">
        <v>958</v>
      </c>
      <c r="R469" s="90"/>
      <c r="S469" s="87"/>
      <c r="T469" s="87"/>
      <c r="U469" s="87"/>
      <c r="V469" s="93"/>
      <c r="W469" s="91"/>
      <c r="X469" s="87"/>
      <c r="Y469" s="92"/>
      <c r="Z469" s="90"/>
      <c r="AA469" s="93"/>
      <c r="AB469" s="87"/>
      <c r="AC469" s="91"/>
      <c r="AD469" s="90"/>
      <c r="AE469" s="86"/>
      <c r="AF469" s="82"/>
      <c r="AG469" s="24"/>
      <c r="AH469" s="93"/>
      <c r="AI469" s="87"/>
      <c r="AJ469" s="86"/>
      <c r="AK469" s="81"/>
      <c r="AL469" s="24"/>
      <c r="AM469" s="24"/>
      <c r="AN469" s="81"/>
      <c r="AO469" s="81"/>
      <c r="AP469" s="24"/>
      <c r="AQ469" s="93"/>
      <c r="AR469" s="94"/>
      <c r="AS469" s="82"/>
      <c r="AT469" s="82"/>
      <c r="AU469" s="24"/>
      <c r="AV469" s="93"/>
      <c r="AW469" s="94"/>
      <c r="AX469" s="95"/>
      <c r="AY469" s="95"/>
      <c r="AZ469" s="95"/>
      <c r="BA469" s="24"/>
      <c r="BB469" s="9" t="s">
        <v>281</v>
      </c>
      <c r="BC469" s="96" t="s">
        <v>1128</v>
      </c>
    </row>
    <row r="470" spans="1:55" ht="15" customHeight="1">
      <c r="A470" s="86">
        <f t="shared" si="25"/>
        <v>468</v>
      </c>
      <c r="B470" s="75" t="s">
        <v>1167</v>
      </c>
      <c r="C470" s="9"/>
      <c r="D470" s="76" t="s">
        <v>722</v>
      </c>
      <c r="E470" s="88" t="str">
        <f>_xlfn.IFNA(VLOOKUP($D470,'Route-Details'!$B$2:$X$1048576,'Node Details'!E$1,0),"")</f>
        <v>Airtel</v>
      </c>
      <c r="F470" s="88" t="str">
        <f>_xlfn.IFNA(VLOOKUP($D470,'Route-Details'!$B$2:$X$1048576,'Node Details'!F$1,0),"")</f>
        <v>Mani Majra</v>
      </c>
      <c r="G470" s="88" t="str">
        <f>_xlfn.IFNA(VLOOKUP($D470,'Route-Details'!$B$2:$X$1048576,'Node Details'!G$1,0),"")</f>
        <v>Chandigarh</v>
      </c>
      <c r="H470" s="88" t="str">
        <f>_xlfn.IFNA(VLOOKUP($D471,'Route-Details'!$B$2:$X$1048576,'Node Details'!H$1,0),"")</f>
        <v>Punjab</v>
      </c>
      <c r="I470" s="88" t="str">
        <f>_xlfn.IFNA(VLOOKUP($D470,'Route-Details'!$B$2:$X$1048576,'Node Details'!I$1,0),"")</f>
        <v>CM3</v>
      </c>
      <c r="J470" s="88" t="str">
        <f>_xlfn.IFNA(VLOOKUP($D470,'Route-Details'!$B$2:$X$1048576,'Node Details'!J$1,0),"")</f>
        <v>CM3</v>
      </c>
      <c r="K470" s="76">
        <v>46142</v>
      </c>
      <c r="L470" s="76">
        <v>46149</v>
      </c>
      <c r="M470" s="89">
        <v>46149</v>
      </c>
      <c r="N470" s="76">
        <v>46149</v>
      </c>
      <c r="Q470" s="86" t="s">
        <v>958</v>
      </c>
      <c r="R470" s="90"/>
      <c r="S470" s="87"/>
      <c r="T470" s="87"/>
      <c r="U470" s="87"/>
      <c r="V470" s="93"/>
      <c r="W470" s="91"/>
      <c r="X470" s="87"/>
      <c r="Y470" s="92"/>
      <c r="Z470" s="90"/>
      <c r="AA470" s="93"/>
      <c r="AB470" s="87"/>
      <c r="AC470" s="91"/>
      <c r="AD470" s="90"/>
      <c r="AE470" s="86"/>
      <c r="AF470" s="82"/>
      <c r="AG470" s="24"/>
      <c r="AH470" s="93"/>
      <c r="AI470" s="87"/>
      <c r="AJ470" s="86"/>
      <c r="AK470" s="81"/>
      <c r="AL470" s="24"/>
      <c r="AM470" s="24"/>
      <c r="AN470" s="81"/>
      <c r="AO470" s="81"/>
      <c r="AP470" s="24"/>
      <c r="AQ470" s="93"/>
      <c r="AR470" s="94"/>
      <c r="AS470" s="82"/>
      <c r="AT470" s="82"/>
      <c r="AU470" s="24"/>
      <c r="AV470" s="93"/>
      <c r="AW470" s="94"/>
      <c r="AX470" s="95"/>
      <c r="AY470" s="95"/>
      <c r="AZ470" s="95"/>
      <c r="BA470" s="24"/>
      <c r="BB470" s="9" t="s">
        <v>285</v>
      </c>
      <c r="BC470" s="96" t="s">
        <v>1128</v>
      </c>
    </row>
    <row r="471" spans="1:55" ht="15" customHeight="1">
      <c r="A471" s="86">
        <f t="shared" si="25"/>
        <v>469</v>
      </c>
      <c r="B471" s="75" t="s">
        <v>723</v>
      </c>
      <c r="C471" s="9"/>
      <c r="D471" s="76" t="s">
        <v>722</v>
      </c>
      <c r="E471" s="88" t="str">
        <f>_xlfn.IFNA(VLOOKUP($D471,'Route-Details'!$B$2:$X$1048576,'Node Details'!E$1,0),"")</f>
        <v>Airtel</v>
      </c>
      <c r="F471" s="88" t="str">
        <f>_xlfn.IFNA(VLOOKUP($D471,'Route-Details'!$B$2:$X$1048576,'Node Details'!F$1,0),"")</f>
        <v>Mani Majra</v>
      </c>
      <c r="G471" s="88" t="str">
        <f>_xlfn.IFNA(VLOOKUP($D471,'Route-Details'!$B$2:$X$1048576,'Node Details'!G$1,0),"")</f>
        <v>Chandigarh</v>
      </c>
      <c r="H471" s="88" t="str">
        <f>_xlfn.IFNA(VLOOKUP($D472,'Route-Details'!$B$2:$X$1048576,'Node Details'!H$1,0),"")</f>
        <v>Punjab</v>
      </c>
      <c r="I471" s="88" t="str">
        <f>_xlfn.IFNA(VLOOKUP($D471,'Route-Details'!$B$2:$X$1048576,'Node Details'!I$1,0),"")</f>
        <v>CM3</v>
      </c>
      <c r="J471" s="88" t="str">
        <f>_xlfn.IFNA(VLOOKUP($D471,'Route-Details'!$B$2:$X$1048576,'Node Details'!J$1,0),"")</f>
        <v>CM3</v>
      </c>
      <c r="K471" s="76">
        <v>46142</v>
      </c>
      <c r="L471" s="76">
        <v>46149</v>
      </c>
      <c r="M471" s="89">
        <v>46149</v>
      </c>
      <c r="N471" s="76">
        <v>46149</v>
      </c>
      <c r="Q471" s="86" t="s">
        <v>958</v>
      </c>
      <c r="R471" s="90"/>
      <c r="S471" s="87"/>
      <c r="T471" s="87"/>
      <c r="U471" s="87"/>
      <c r="V471" s="93"/>
      <c r="W471" s="91"/>
      <c r="X471" s="87"/>
      <c r="Y471" s="92"/>
      <c r="Z471" s="90"/>
      <c r="AA471" s="93"/>
      <c r="AB471" s="87"/>
      <c r="AC471" s="91"/>
      <c r="AD471" s="90"/>
      <c r="AE471" s="86"/>
      <c r="AF471" s="82"/>
      <c r="AG471" s="24"/>
      <c r="AH471" s="93"/>
      <c r="AI471" s="87"/>
      <c r="AJ471" s="86"/>
      <c r="AK471" s="81"/>
      <c r="AL471" s="24"/>
      <c r="AM471" s="24"/>
      <c r="AN471" s="81"/>
      <c r="AO471" s="81"/>
      <c r="AP471" s="24"/>
      <c r="AQ471" s="93"/>
      <c r="AR471" s="94"/>
      <c r="AS471" s="82"/>
      <c r="AT471" s="82"/>
      <c r="AU471" s="24"/>
      <c r="AV471" s="93"/>
      <c r="AW471" s="94"/>
      <c r="AX471" s="95"/>
      <c r="AY471" s="95"/>
      <c r="AZ471" s="95"/>
      <c r="BA471" s="24"/>
      <c r="BB471" s="9" t="s">
        <v>285</v>
      </c>
      <c r="BC471" s="96" t="s">
        <v>1128</v>
      </c>
    </row>
    <row r="472" spans="1:55" ht="15" customHeight="1">
      <c r="A472" s="86">
        <f t="shared" si="25"/>
        <v>470</v>
      </c>
      <c r="B472" s="75" t="s">
        <v>1168</v>
      </c>
      <c r="C472" s="9"/>
      <c r="D472" s="76" t="s">
        <v>724</v>
      </c>
      <c r="E472" s="88" t="str">
        <f>_xlfn.IFNA(VLOOKUP($D472,'Route-Details'!$B$2:$X$1048576,'Node Details'!E$1,0),"")</f>
        <v>Airtel</v>
      </c>
      <c r="F472" s="88" t="str">
        <f>_xlfn.IFNA(VLOOKUP($D472,'Route-Details'!$B$2:$X$1048576,'Node Details'!F$1,0),"")</f>
        <v>Mani Majra</v>
      </c>
      <c r="G472" s="88" t="str">
        <f>_xlfn.IFNA(VLOOKUP($D472,'Route-Details'!$B$2:$X$1048576,'Node Details'!G$1,0),"")</f>
        <v>Chandigarh</v>
      </c>
      <c r="H472" s="88" t="str">
        <f>_xlfn.IFNA(VLOOKUP($D473,'Route-Details'!$B$2:$X$1048576,'Node Details'!H$1,0),"")</f>
        <v>Punjab</v>
      </c>
      <c r="I472" s="88" t="str">
        <f>_xlfn.IFNA(VLOOKUP($D472,'Route-Details'!$B$2:$X$1048576,'Node Details'!I$1,0),"")</f>
        <v>CM3</v>
      </c>
      <c r="J472" s="88" t="str">
        <f>_xlfn.IFNA(VLOOKUP($D472,'Route-Details'!$B$2:$X$1048576,'Node Details'!J$1,0),"")</f>
        <v>CM3</v>
      </c>
      <c r="K472" s="76">
        <v>46142</v>
      </c>
      <c r="L472" s="76">
        <v>46149</v>
      </c>
      <c r="M472" s="89">
        <v>46149</v>
      </c>
      <c r="N472" s="76">
        <v>46149</v>
      </c>
      <c r="Q472" s="86" t="s">
        <v>958</v>
      </c>
      <c r="R472" s="90"/>
      <c r="S472" s="87"/>
      <c r="T472" s="87"/>
      <c r="U472" s="87"/>
      <c r="V472" s="93"/>
      <c r="W472" s="91"/>
      <c r="X472" s="87"/>
      <c r="Y472" s="92"/>
      <c r="Z472" s="90"/>
      <c r="AA472" s="93"/>
      <c r="AB472" s="87"/>
      <c r="AC472" s="91"/>
      <c r="AD472" s="90"/>
      <c r="AE472" s="86"/>
      <c r="AF472" s="82"/>
      <c r="AG472" s="24"/>
      <c r="AH472" s="93"/>
      <c r="AI472" s="87"/>
      <c r="AJ472" s="86"/>
      <c r="AK472" s="81"/>
      <c r="AL472" s="24"/>
      <c r="AM472" s="24"/>
      <c r="AN472" s="81"/>
      <c r="AO472" s="81"/>
      <c r="AP472" s="24"/>
      <c r="AQ472" s="93"/>
      <c r="AR472" s="94"/>
      <c r="AS472" s="82"/>
      <c r="AT472" s="82"/>
      <c r="AU472" s="24"/>
      <c r="AV472" s="93"/>
      <c r="AW472" s="94"/>
      <c r="AX472" s="95"/>
      <c r="AY472" s="95"/>
      <c r="AZ472" s="95"/>
      <c r="BA472" s="24"/>
      <c r="BB472" s="9" t="s">
        <v>288</v>
      </c>
      <c r="BC472" s="96" t="s">
        <v>1128</v>
      </c>
    </row>
    <row r="473" spans="1:55" ht="15" customHeight="1">
      <c r="A473" s="86">
        <f t="shared" si="25"/>
        <v>471</v>
      </c>
      <c r="B473" s="75" t="s">
        <v>725</v>
      </c>
      <c r="C473" s="9"/>
      <c r="D473" s="76" t="s">
        <v>724</v>
      </c>
      <c r="E473" s="88" t="str">
        <f>_xlfn.IFNA(VLOOKUP($D473,'Route-Details'!$B$2:$X$1048576,'Node Details'!E$1,0),"")</f>
        <v>Airtel</v>
      </c>
      <c r="F473" s="88" t="str">
        <f>_xlfn.IFNA(VLOOKUP($D473,'Route-Details'!$B$2:$X$1048576,'Node Details'!F$1,0),"")</f>
        <v>Mani Majra</v>
      </c>
      <c r="G473" s="88" t="str">
        <f>_xlfn.IFNA(VLOOKUP($D473,'Route-Details'!$B$2:$X$1048576,'Node Details'!G$1,0),"")</f>
        <v>Chandigarh</v>
      </c>
      <c r="H473" s="88" t="str">
        <f>_xlfn.IFNA(VLOOKUP($D474,'Route-Details'!$B$2:$X$1048576,'Node Details'!H$1,0),"")</f>
        <v>Punjab</v>
      </c>
      <c r="I473" s="88" t="str">
        <f>_xlfn.IFNA(VLOOKUP($D473,'Route-Details'!$B$2:$X$1048576,'Node Details'!I$1,0),"")</f>
        <v>CM3</v>
      </c>
      <c r="J473" s="88" t="str">
        <f>_xlfn.IFNA(VLOOKUP($D473,'Route-Details'!$B$2:$X$1048576,'Node Details'!J$1,0),"")</f>
        <v>CM3</v>
      </c>
      <c r="K473" s="76">
        <v>46142</v>
      </c>
      <c r="L473" s="76">
        <v>46149</v>
      </c>
      <c r="M473" s="89">
        <v>46149</v>
      </c>
      <c r="N473" s="76">
        <v>46149</v>
      </c>
      <c r="Q473" s="86" t="s">
        <v>958</v>
      </c>
      <c r="R473" s="90"/>
      <c r="S473" s="87"/>
      <c r="T473" s="87"/>
      <c r="U473" s="87"/>
      <c r="V473" s="93"/>
      <c r="W473" s="91"/>
      <c r="X473" s="87"/>
      <c r="Y473" s="92"/>
      <c r="Z473" s="90"/>
      <c r="AA473" s="93"/>
      <c r="AB473" s="87"/>
      <c r="AC473" s="91"/>
      <c r="AD473" s="90"/>
      <c r="AE473" s="86"/>
      <c r="AF473" s="82"/>
      <c r="AG473" s="24"/>
      <c r="AH473" s="93"/>
      <c r="AI473" s="87"/>
      <c r="AJ473" s="86"/>
      <c r="AK473" s="81"/>
      <c r="AL473" s="24"/>
      <c r="AM473" s="24"/>
      <c r="AN473" s="81"/>
      <c r="AO473" s="81"/>
      <c r="AP473" s="24"/>
      <c r="AQ473" s="93"/>
      <c r="AR473" s="94"/>
      <c r="AS473" s="82"/>
      <c r="AT473" s="82"/>
      <c r="AU473" s="24"/>
      <c r="AV473" s="93"/>
      <c r="AW473" s="94"/>
      <c r="AX473" s="95"/>
      <c r="AY473" s="95"/>
      <c r="AZ473" s="95"/>
      <c r="BA473" s="24"/>
      <c r="BB473" s="9" t="s">
        <v>288</v>
      </c>
      <c r="BC473" s="96" t="s">
        <v>1128</v>
      </c>
    </row>
    <row r="474" spans="1:55" ht="15" customHeight="1">
      <c r="A474" s="86">
        <f t="shared" si="25"/>
        <v>472</v>
      </c>
      <c r="B474" s="75" t="s">
        <v>627</v>
      </c>
      <c r="C474" s="9"/>
      <c r="D474" s="76" t="s">
        <v>623</v>
      </c>
      <c r="E474" s="88" t="str">
        <f>_xlfn.IFNA(VLOOKUP($D474,'Route-Details'!$B$2:$X$1048576,'Node Details'!E$1,0),"")</f>
        <v>Airtel</v>
      </c>
      <c r="F474" s="88" t="str">
        <f>_xlfn.IFNA(VLOOKUP($D474,'Route-Details'!$B$2:$X$1048576,'Node Details'!F$1,0),"")</f>
        <v>Mani Majra</v>
      </c>
      <c r="G474" s="88" t="str">
        <f>_xlfn.IFNA(VLOOKUP($D474,'Route-Details'!$B$2:$X$1048576,'Node Details'!G$1,0),"")</f>
        <v>Chandigarh</v>
      </c>
      <c r="H474" s="88" t="str">
        <f>_xlfn.IFNA(VLOOKUP($D475,'Route-Details'!$B$2:$X$1048576,'Node Details'!H$1,0),"")</f>
        <v>Punjab</v>
      </c>
      <c r="I474" s="88" t="str">
        <f>_xlfn.IFNA(VLOOKUP($D474,'Route-Details'!$B$2:$X$1048576,'Node Details'!I$1,0),"")</f>
        <v>CM3</v>
      </c>
      <c r="J474" s="88" t="str">
        <f>_xlfn.IFNA(VLOOKUP($D474,'Route-Details'!$B$2:$X$1048576,'Node Details'!J$1,0),"")</f>
        <v>CM3</v>
      </c>
      <c r="K474" s="76">
        <v>46142</v>
      </c>
      <c r="L474" s="76">
        <v>46149</v>
      </c>
      <c r="M474" s="89">
        <v>46149</v>
      </c>
      <c r="N474" s="76">
        <v>46149</v>
      </c>
      <c r="Q474" s="86" t="s">
        <v>958</v>
      </c>
      <c r="R474" s="90"/>
      <c r="S474" s="87"/>
      <c r="T474" s="87"/>
      <c r="U474" s="87"/>
      <c r="V474" s="93"/>
      <c r="W474" s="91"/>
      <c r="X474" s="87"/>
      <c r="Y474" s="92"/>
      <c r="Z474" s="90"/>
      <c r="AA474" s="93"/>
      <c r="AB474" s="87"/>
      <c r="AC474" s="91"/>
      <c r="AD474" s="90"/>
      <c r="AE474" s="86"/>
      <c r="AF474" s="82"/>
      <c r="AG474" s="24"/>
      <c r="AH474" s="93"/>
      <c r="AI474" s="87"/>
      <c r="AJ474" s="86"/>
      <c r="AK474" s="81"/>
      <c r="AL474" s="24"/>
      <c r="AM474" s="24"/>
      <c r="AN474" s="81"/>
      <c r="AO474" s="81"/>
      <c r="AP474" s="24"/>
      <c r="AQ474" s="93"/>
      <c r="AR474" s="94"/>
      <c r="AS474" s="82"/>
      <c r="AT474" s="82"/>
      <c r="AU474" s="24"/>
      <c r="AV474" s="93"/>
      <c r="AW474" s="94"/>
      <c r="AX474" s="95"/>
      <c r="AY474" s="95"/>
      <c r="AZ474" s="95"/>
      <c r="BA474" s="24"/>
      <c r="BB474" s="9" t="s">
        <v>100</v>
      </c>
      <c r="BC474" s="96" t="s">
        <v>1128</v>
      </c>
    </row>
    <row r="475" spans="1:55" ht="15" customHeight="1">
      <c r="A475" s="86">
        <f t="shared" si="25"/>
        <v>473</v>
      </c>
      <c r="B475" s="75" t="s">
        <v>727</v>
      </c>
      <c r="C475" s="9"/>
      <c r="D475" s="76" t="s">
        <v>726</v>
      </c>
      <c r="E475" s="88" t="str">
        <f>_xlfn.IFNA(VLOOKUP($D475,'Route-Details'!$B$2:$X$1048576,'Node Details'!E$1,0),"")</f>
        <v>Airtel</v>
      </c>
      <c r="F475" s="88" t="str">
        <f>_xlfn.IFNA(VLOOKUP($D475,'Route-Details'!$B$2:$X$1048576,'Node Details'!F$1,0),"")</f>
        <v>Mani Majra</v>
      </c>
      <c r="G475" s="88" t="str">
        <f>_xlfn.IFNA(VLOOKUP($D475,'Route-Details'!$B$2:$X$1048576,'Node Details'!G$1,0),"")</f>
        <v>Chandigarh</v>
      </c>
      <c r="H475" s="88" t="str">
        <f>_xlfn.IFNA(VLOOKUP($D476,'Route-Details'!$B$2:$X$1048576,'Node Details'!H$1,0),"")</f>
        <v>Punjab</v>
      </c>
      <c r="I475" s="88" t="str">
        <f>_xlfn.IFNA(VLOOKUP($D475,'Route-Details'!$B$2:$X$1048576,'Node Details'!I$1,0),"")</f>
        <v>CM3</v>
      </c>
      <c r="J475" s="88" t="str">
        <f>_xlfn.IFNA(VLOOKUP($D475,'Route-Details'!$B$2:$X$1048576,'Node Details'!J$1,0),"")</f>
        <v>CM3</v>
      </c>
      <c r="K475" s="76">
        <v>46142</v>
      </c>
      <c r="L475" s="76">
        <v>46149</v>
      </c>
      <c r="M475" s="89">
        <v>46149</v>
      </c>
      <c r="N475" s="76">
        <v>46149</v>
      </c>
      <c r="Q475" s="86" t="s">
        <v>958</v>
      </c>
      <c r="R475" s="90"/>
      <c r="S475" s="87"/>
      <c r="T475" s="87"/>
      <c r="U475" s="87"/>
      <c r="V475" s="93"/>
      <c r="W475" s="91"/>
      <c r="X475" s="87"/>
      <c r="Y475" s="92"/>
      <c r="Z475" s="90"/>
      <c r="AA475" s="93"/>
      <c r="AB475" s="87"/>
      <c r="AC475" s="91"/>
      <c r="AD475" s="90"/>
      <c r="AE475" s="86"/>
      <c r="AF475" s="82"/>
      <c r="AG475" s="24"/>
      <c r="AH475" s="93"/>
      <c r="AI475" s="87"/>
      <c r="AJ475" s="86"/>
      <c r="AK475" s="81"/>
      <c r="AL475" s="24"/>
      <c r="AM475" s="24"/>
      <c r="AN475" s="81"/>
      <c r="AO475" s="81"/>
      <c r="AP475" s="24"/>
      <c r="AQ475" s="93"/>
      <c r="AR475" s="94"/>
      <c r="AS475" s="82"/>
      <c r="AT475" s="82"/>
      <c r="AU475" s="24"/>
      <c r="AV475" s="93"/>
      <c r="AW475" s="94"/>
      <c r="AX475" s="95"/>
      <c r="AY475" s="95"/>
      <c r="AZ475" s="95"/>
      <c r="BA475" s="24"/>
      <c r="BB475" s="9" t="s">
        <v>292</v>
      </c>
      <c r="BC475" s="96" t="s">
        <v>1128</v>
      </c>
    </row>
    <row r="476" spans="1:55" ht="15" customHeight="1">
      <c r="A476" s="86">
        <f t="shared" si="25"/>
        <v>474</v>
      </c>
      <c r="B476" s="75" t="s">
        <v>1169</v>
      </c>
      <c r="C476" s="9"/>
      <c r="D476" s="76" t="s">
        <v>728</v>
      </c>
      <c r="E476" s="88" t="str">
        <f>_xlfn.IFNA(VLOOKUP($D476,'Route-Details'!$B$2:$X$1048576,'Node Details'!E$1,0),"")</f>
        <v>Airtel</v>
      </c>
      <c r="F476" s="88" t="str">
        <f>_xlfn.IFNA(VLOOKUP($D476,'Route-Details'!$B$2:$X$1048576,'Node Details'!F$1,0),"")</f>
        <v>Mani Majra</v>
      </c>
      <c r="G476" s="88" t="str">
        <f>_xlfn.IFNA(VLOOKUP($D476,'Route-Details'!$B$2:$X$1048576,'Node Details'!G$1,0),"")</f>
        <v>Chandigarh</v>
      </c>
      <c r="H476" s="88" t="str">
        <f>_xlfn.IFNA(VLOOKUP($D477,'Route-Details'!$B$2:$X$1048576,'Node Details'!H$1,0),"")</f>
        <v>Punjab</v>
      </c>
      <c r="I476" s="88" t="str">
        <f>_xlfn.IFNA(VLOOKUP($D476,'Route-Details'!$B$2:$X$1048576,'Node Details'!I$1,0),"")</f>
        <v>CM3</v>
      </c>
      <c r="J476" s="88" t="str">
        <f>_xlfn.IFNA(VLOOKUP($D476,'Route-Details'!$B$2:$X$1048576,'Node Details'!J$1,0),"")</f>
        <v>CM3</v>
      </c>
      <c r="K476" s="76">
        <v>46142</v>
      </c>
      <c r="L476" s="76">
        <v>46149</v>
      </c>
      <c r="M476" s="89">
        <v>46149</v>
      </c>
      <c r="N476" s="76">
        <v>46149</v>
      </c>
      <c r="Q476" s="86" t="s">
        <v>958</v>
      </c>
      <c r="R476" s="90"/>
      <c r="S476" s="87"/>
      <c r="T476" s="87"/>
      <c r="U476" s="87"/>
      <c r="V476" s="93"/>
      <c r="W476" s="91"/>
      <c r="X476" s="87"/>
      <c r="Y476" s="92"/>
      <c r="Z476" s="90"/>
      <c r="AA476" s="93"/>
      <c r="AB476" s="87"/>
      <c r="AC476" s="91"/>
      <c r="AD476" s="90"/>
      <c r="AE476" s="86"/>
      <c r="AF476" s="82"/>
      <c r="AG476" s="24"/>
      <c r="AH476" s="93"/>
      <c r="AI476" s="87"/>
      <c r="AJ476" s="86"/>
      <c r="AK476" s="81"/>
      <c r="AL476" s="24"/>
      <c r="AM476" s="24"/>
      <c r="AN476" s="81"/>
      <c r="AO476" s="81"/>
      <c r="AP476" s="24"/>
      <c r="AQ476" s="93"/>
      <c r="AR476" s="94"/>
      <c r="AS476" s="82"/>
      <c r="AT476" s="82"/>
      <c r="AU476" s="24"/>
      <c r="AV476" s="93"/>
      <c r="AW476" s="94"/>
      <c r="AX476" s="95"/>
      <c r="AY476" s="95"/>
      <c r="AZ476" s="95"/>
      <c r="BA476" s="24"/>
      <c r="BB476" s="9" t="s">
        <v>296</v>
      </c>
      <c r="BC476" s="96" t="s">
        <v>1128</v>
      </c>
    </row>
    <row r="477" spans="1:55" ht="15" customHeight="1">
      <c r="A477" s="86">
        <f t="shared" si="25"/>
        <v>475</v>
      </c>
      <c r="B477" s="75" t="s">
        <v>1170</v>
      </c>
      <c r="C477" s="9"/>
      <c r="D477" s="76" t="s">
        <v>728</v>
      </c>
      <c r="E477" s="88" t="str">
        <f>_xlfn.IFNA(VLOOKUP($D477,'Route-Details'!$B$2:$X$1048576,'Node Details'!E$1,0),"")</f>
        <v>Airtel</v>
      </c>
      <c r="F477" s="88" t="str">
        <f>_xlfn.IFNA(VLOOKUP($D477,'Route-Details'!$B$2:$X$1048576,'Node Details'!F$1,0),"")</f>
        <v>Mani Majra</v>
      </c>
      <c r="G477" s="88" t="str">
        <f>_xlfn.IFNA(VLOOKUP($D477,'Route-Details'!$B$2:$X$1048576,'Node Details'!G$1,0),"")</f>
        <v>Chandigarh</v>
      </c>
      <c r="H477" s="88" t="str">
        <f>_xlfn.IFNA(VLOOKUP($D478,'Route-Details'!$B$2:$X$1048576,'Node Details'!H$1,0),"")</f>
        <v>Punjab</v>
      </c>
      <c r="I477" s="88" t="str">
        <f>_xlfn.IFNA(VLOOKUP($D477,'Route-Details'!$B$2:$X$1048576,'Node Details'!I$1,0),"")</f>
        <v>CM3</v>
      </c>
      <c r="J477" s="88" t="str">
        <f>_xlfn.IFNA(VLOOKUP($D477,'Route-Details'!$B$2:$X$1048576,'Node Details'!J$1,0),"")</f>
        <v>CM3</v>
      </c>
      <c r="K477" s="76">
        <v>46142</v>
      </c>
      <c r="L477" s="76">
        <v>46149</v>
      </c>
      <c r="M477" s="89">
        <v>46149</v>
      </c>
      <c r="N477" s="76">
        <v>46149</v>
      </c>
      <c r="Q477" s="86" t="s">
        <v>958</v>
      </c>
      <c r="R477" s="90"/>
      <c r="S477" s="87"/>
      <c r="T477" s="87"/>
      <c r="U477" s="87"/>
      <c r="V477" s="93"/>
      <c r="W477" s="91"/>
      <c r="X477" s="87"/>
      <c r="Y477" s="92"/>
      <c r="Z477" s="90"/>
      <c r="AA477" s="93"/>
      <c r="AB477" s="87"/>
      <c r="AC477" s="91"/>
      <c r="AD477" s="90"/>
      <c r="AE477" s="86"/>
      <c r="AF477" s="82"/>
      <c r="AG477" s="24"/>
      <c r="AH477" s="93"/>
      <c r="AI477" s="87"/>
      <c r="AJ477" s="86"/>
      <c r="AK477" s="81"/>
      <c r="AL477" s="24"/>
      <c r="AM477" s="24"/>
      <c r="AN477" s="81"/>
      <c r="AO477" s="81"/>
      <c r="AP477" s="24"/>
      <c r="AQ477" s="93"/>
      <c r="AR477" s="94"/>
      <c r="AS477" s="82"/>
      <c r="AT477" s="82"/>
      <c r="AU477" s="24"/>
      <c r="AV477" s="93"/>
      <c r="AW477" s="94"/>
      <c r="AX477" s="95"/>
      <c r="AY477" s="95"/>
      <c r="AZ477" s="95"/>
      <c r="BA477" s="24"/>
      <c r="BB477" s="9" t="s">
        <v>296</v>
      </c>
      <c r="BC477" s="96" t="s">
        <v>1128</v>
      </c>
    </row>
    <row r="478" spans="1:55" ht="15" customHeight="1">
      <c r="A478" s="86">
        <f t="shared" si="25"/>
        <v>476</v>
      </c>
      <c r="B478" s="75" t="s">
        <v>1171</v>
      </c>
      <c r="C478" s="9"/>
      <c r="D478" s="76" t="s">
        <v>728</v>
      </c>
      <c r="E478" s="88" t="str">
        <f>_xlfn.IFNA(VLOOKUP($D478,'Route-Details'!$B$2:$X$1048576,'Node Details'!E$1,0),"")</f>
        <v>Airtel</v>
      </c>
      <c r="F478" s="88" t="str">
        <f>_xlfn.IFNA(VLOOKUP($D478,'Route-Details'!$B$2:$X$1048576,'Node Details'!F$1,0),"")</f>
        <v>Mani Majra</v>
      </c>
      <c r="G478" s="88" t="str">
        <f>_xlfn.IFNA(VLOOKUP($D478,'Route-Details'!$B$2:$X$1048576,'Node Details'!G$1,0),"")</f>
        <v>Chandigarh</v>
      </c>
      <c r="H478" s="88" t="str">
        <f>_xlfn.IFNA(VLOOKUP($D479,'Route-Details'!$B$2:$X$1048576,'Node Details'!H$1,0),"")</f>
        <v>Punjab</v>
      </c>
      <c r="I478" s="88" t="str">
        <f>_xlfn.IFNA(VLOOKUP($D478,'Route-Details'!$B$2:$X$1048576,'Node Details'!I$1,0),"")</f>
        <v>CM3</v>
      </c>
      <c r="J478" s="88" t="str">
        <f>_xlfn.IFNA(VLOOKUP($D478,'Route-Details'!$B$2:$X$1048576,'Node Details'!J$1,0),"")</f>
        <v>CM3</v>
      </c>
      <c r="K478" s="76">
        <v>46142</v>
      </c>
      <c r="L478" s="76">
        <v>46149</v>
      </c>
      <c r="M478" s="89">
        <v>46149</v>
      </c>
      <c r="N478" s="76">
        <v>46149</v>
      </c>
      <c r="Q478" s="86" t="s">
        <v>958</v>
      </c>
      <c r="R478" s="90"/>
      <c r="S478" s="87"/>
      <c r="T478" s="87"/>
      <c r="U478" s="87"/>
      <c r="V478" s="93"/>
      <c r="W478" s="91"/>
      <c r="X478" s="87"/>
      <c r="Y478" s="92"/>
      <c r="Z478" s="90"/>
      <c r="AA478" s="93"/>
      <c r="AB478" s="87"/>
      <c r="AC478" s="91"/>
      <c r="AD478" s="90"/>
      <c r="AE478" s="86"/>
      <c r="AF478" s="82"/>
      <c r="AG478" s="24"/>
      <c r="AH478" s="93"/>
      <c r="AI478" s="87"/>
      <c r="AJ478" s="86"/>
      <c r="AK478" s="81"/>
      <c r="AL478" s="24"/>
      <c r="AM478" s="24"/>
      <c r="AN478" s="81"/>
      <c r="AO478" s="81"/>
      <c r="AP478" s="24"/>
      <c r="AQ478" s="93"/>
      <c r="AR478" s="94"/>
      <c r="AS478" s="82"/>
      <c r="AT478" s="82"/>
      <c r="AU478" s="24"/>
      <c r="AV478" s="93"/>
      <c r="AW478" s="94"/>
      <c r="AX478" s="95"/>
      <c r="AY478" s="95"/>
      <c r="AZ478" s="95"/>
      <c r="BA478" s="24"/>
      <c r="BB478" s="9" t="s">
        <v>296</v>
      </c>
      <c r="BC478" s="96" t="s">
        <v>1128</v>
      </c>
    </row>
    <row r="479" spans="1:55" ht="15" customHeight="1">
      <c r="A479" s="86">
        <f t="shared" si="25"/>
        <v>477</v>
      </c>
      <c r="B479" s="75" t="s">
        <v>729</v>
      </c>
      <c r="C479" s="9"/>
      <c r="D479" s="76" t="s">
        <v>728</v>
      </c>
      <c r="E479" s="88" t="str">
        <f>_xlfn.IFNA(VLOOKUP($D479,'Route-Details'!$B$2:$X$1048576,'Node Details'!E$1,0),"")</f>
        <v>Airtel</v>
      </c>
      <c r="F479" s="88" t="str">
        <f>_xlfn.IFNA(VLOOKUP($D479,'Route-Details'!$B$2:$X$1048576,'Node Details'!F$1,0),"")</f>
        <v>Mani Majra</v>
      </c>
      <c r="G479" s="88" t="str">
        <f>_xlfn.IFNA(VLOOKUP($D479,'Route-Details'!$B$2:$X$1048576,'Node Details'!G$1,0),"")</f>
        <v>Chandigarh</v>
      </c>
      <c r="H479" s="88" t="str">
        <f>_xlfn.IFNA(VLOOKUP($D480,'Route-Details'!$B$2:$X$1048576,'Node Details'!H$1,0),"")</f>
        <v>Punjab</v>
      </c>
      <c r="I479" s="88" t="str">
        <f>_xlfn.IFNA(VLOOKUP($D479,'Route-Details'!$B$2:$X$1048576,'Node Details'!I$1,0),"")</f>
        <v>CM3</v>
      </c>
      <c r="J479" s="88" t="str">
        <f>_xlfn.IFNA(VLOOKUP($D479,'Route-Details'!$B$2:$X$1048576,'Node Details'!J$1,0),"")</f>
        <v>CM3</v>
      </c>
      <c r="K479" s="76">
        <v>46142</v>
      </c>
      <c r="L479" s="76">
        <v>46149</v>
      </c>
      <c r="M479" s="89">
        <v>46149</v>
      </c>
      <c r="N479" s="76">
        <v>46149</v>
      </c>
      <c r="Q479" s="86" t="s">
        <v>958</v>
      </c>
      <c r="R479" s="90"/>
      <c r="S479" s="87"/>
      <c r="T479" s="87"/>
      <c r="U479" s="87"/>
      <c r="V479" s="93"/>
      <c r="W479" s="91"/>
      <c r="X479" s="87"/>
      <c r="Y479" s="92"/>
      <c r="Z479" s="90"/>
      <c r="AA479" s="93"/>
      <c r="AB479" s="87"/>
      <c r="AC479" s="91"/>
      <c r="AD479" s="90"/>
      <c r="AE479" s="86"/>
      <c r="AF479" s="82"/>
      <c r="AG479" s="24"/>
      <c r="AH479" s="93"/>
      <c r="AI479" s="87"/>
      <c r="AJ479" s="86"/>
      <c r="AK479" s="81"/>
      <c r="AL479" s="24"/>
      <c r="AM479" s="24"/>
      <c r="AN479" s="81"/>
      <c r="AO479" s="81"/>
      <c r="AP479" s="24"/>
      <c r="AQ479" s="93"/>
      <c r="AR479" s="94"/>
      <c r="AS479" s="82"/>
      <c r="AT479" s="82"/>
      <c r="AU479" s="24"/>
      <c r="AV479" s="93"/>
      <c r="AW479" s="94"/>
      <c r="AX479" s="95"/>
      <c r="AY479" s="95"/>
      <c r="AZ479" s="95"/>
      <c r="BA479" s="24"/>
      <c r="BB479" s="9" t="s">
        <v>296</v>
      </c>
      <c r="BC479" s="96" t="s">
        <v>1128</v>
      </c>
    </row>
    <row r="480" spans="1:55" ht="15" customHeight="1">
      <c r="A480" s="86">
        <f t="shared" si="25"/>
        <v>478</v>
      </c>
      <c r="B480" s="75" t="s">
        <v>1172</v>
      </c>
      <c r="C480" s="9"/>
      <c r="D480" s="76" t="s">
        <v>730</v>
      </c>
      <c r="E480" s="88" t="str">
        <f>_xlfn.IFNA(VLOOKUP($D480,'Route-Details'!$B$2:$X$1048576,'Node Details'!E$1,0),"")</f>
        <v>Airtel</v>
      </c>
      <c r="F480" s="88" t="str">
        <f>_xlfn.IFNA(VLOOKUP($D480,'Route-Details'!$B$2:$X$1048576,'Node Details'!F$1,0),"")</f>
        <v>Mani Majra</v>
      </c>
      <c r="G480" s="88" t="str">
        <f>_xlfn.IFNA(VLOOKUP($D480,'Route-Details'!$B$2:$X$1048576,'Node Details'!G$1,0),"")</f>
        <v>Chandigarh</v>
      </c>
      <c r="H480" s="88" t="str">
        <f>_xlfn.IFNA(VLOOKUP($D481,'Route-Details'!$B$2:$X$1048576,'Node Details'!H$1,0),"")</f>
        <v>Punjab</v>
      </c>
      <c r="I480" s="88" t="str">
        <f>_xlfn.IFNA(VLOOKUP($D480,'Route-Details'!$B$2:$X$1048576,'Node Details'!I$1,0),"")</f>
        <v>CM3</v>
      </c>
      <c r="J480" s="88" t="str">
        <f>_xlfn.IFNA(VLOOKUP($D480,'Route-Details'!$B$2:$X$1048576,'Node Details'!J$1,0),"")</f>
        <v>CM3</v>
      </c>
      <c r="K480" s="76">
        <v>46142</v>
      </c>
      <c r="L480" s="76">
        <v>46149</v>
      </c>
      <c r="M480" s="89">
        <v>46149</v>
      </c>
      <c r="N480" s="76">
        <v>46149</v>
      </c>
      <c r="Q480" s="86" t="s">
        <v>958</v>
      </c>
      <c r="R480" s="90"/>
      <c r="S480" s="87"/>
      <c r="T480" s="87"/>
      <c r="U480" s="87"/>
      <c r="V480" s="93"/>
      <c r="W480" s="91"/>
      <c r="X480" s="87"/>
      <c r="Y480" s="92"/>
      <c r="Z480" s="90"/>
      <c r="AA480" s="93"/>
      <c r="AB480" s="87"/>
      <c r="AC480" s="91"/>
      <c r="AD480" s="90"/>
      <c r="AE480" s="86"/>
      <c r="AF480" s="82"/>
      <c r="AG480" s="24"/>
      <c r="AH480" s="93"/>
      <c r="AI480" s="87"/>
      <c r="AJ480" s="86"/>
      <c r="AK480" s="81"/>
      <c r="AL480" s="24"/>
      <c r="AM480" s="24"/>
      <c r="AN480" s="81"/>
      <c r="AO480" s="81"/>
      <c r="AP480" s="24"/>
      <c r="AQ480" s="93"/>
      <c r="AR480" s="94"/>
      <c r="AS480" s="82"/>
      <c r="AT480" s="82"/>
      <c r="AU480" s="24"/>
      <c r="AV480" s="93"/>
      <c r="AW480" s="94"/>
      <c r="AX480" s="95"/>
      <c r="AY480" s="95"/>
      <c r="AZ480" s="95"/>
      <c r="BA480" s="24"/>
      <c r="BB480" s="9" t="s">
        <v>300</v>
      </c>
      <c r="BC480" s="96" t="s">
        <v>1128</v>
      </c>
    </row>
    <row r="481" spans="1:55" ht="15" customHeight="1">
      <c r="A481" s="86">
        <f t="shared" si="25"/>
        <v>479</v>
      </c>
      <c r="B481" s="75" t="s">
        <v>731</v>
      </c>
      <c r="C481" s="9"/>
      <c r="D481" s="76" t="s">
        <v>730</v>
      </c>
      <c r="E481" s="88" t="str">
        <f>_xlfn.IFNA(VLOOKUP($D481,'Route-Details'!$B$2:$X$1048576,'Node Details'!E$1,0),"")</f>
        <v>Airtel</v>
      </c>
      <c r="F481" s="88" t="str">
        <f>_xlfn.IFNA(VLOOKUP($D481,'Route-Details'!$B$2:$X$1048576,'Node Details'!F$1,0),"")</f>
        <v>Mani Majra</v>
      </c>
      <c r="G481" s="88" t="str">
        <f>_xlfn.IFNA(VLOOKUP($D481,'Route-Details'!$B$2:$X$1048576,'Node Details'!G$1,0),"")</f>
        <v>Chandigarh</v>
      </c>
      <c r="H481" s="88" t="str">
        <f>_xlfn.IFNA(VLOOKUP($D482,'Route-Details'!$B$2:$X$1048576,'Node Details'!H$1,0),"")</f>
        <v>Punjab</v>
      </c>
      <c r="I481" s="88" t="str">
        <f>_xlfn.IFNA(VLOOKUP($D481,'Route-Details'!$B$2:$X$1048576,'Node Details'!I$1,0),"")</f>
        <v>CM3</v>
      </c>
      <c r="J481" s="88" t="str">
        <f>_xlfn.IFNA(VLOOKUP($D481,'Route-Details'!$B$2:$X$1048576,'Node Details'!J$1,0),"")</f>
        <v>CM3</v>
      </c>
      <c r="K481" s="76">
        <v>46142</v>
      </c>
      <c r="L481" s="76">
        <v>46149</v>
      </c>
      <c r="M481" s="89">
        <v>46149</v>
      </c>
      <c r="N481" s="76">
        <v>46149</v>
      </c>
      <c r="Q481" s="86" t="s">
        <v>958</v>
      </c>
      <c r="R481" s="90"/>
      <c r="S481" s="87"/>
      <c r="T481" s="87"/>
      <c r="U481" s="87"/>
      <c r="V481" s="93"/>
      <c r="W481" s="91"/>
      <c r="X481" s="87"/>
      <c r="Y481" s="92"/>
      <c r="Z481" s="90"/>
      <c r="AA481" s="93"/>
      <c r="AB481" s="87"/>
      <c r="AC481" s="91"/>
      <c r="AD481" s="90"/>
      <c r="AE481" s="86"/>
      <c r="AF481" s="82"/>
      <c r="AG481" s="24"/>
      <c r="AH481" s="93"/>
      <c r="AI481" s="87"/>
      <c r="AJ481" s="86"/>
      <c r="AK481" s="81"/>
      <c r="AL481" s="24"/>
      <c r="AM481" s="24"/>
      <c r="AN481" s="81"/>
      <c r="AO481" s="81"/>
      <c r="AP481" s="24"/>
      <c r="AQ481" s="93"/>
      <c r="AR481" s="94"/>
      <c r="AS481" s="82"/>
      <c r="AT481" s="82"/>
      <c r="AU481" s="24"/>
      <c r="AV481" s="93"/>
      <c r="AW481" s="94"/>
      <c r="AX481" s="95"/>
      <c r="AY481" s="95"/>
      <c r="AZ481" s="95"/>
      <c r="BA481" s="24"/>
      <c r="BB481" s="9" t="s">
        <v>300</v>
      </c>
      <c r="BC481" s="96" t="s">
        <v>1128</v>
      </c>
    </row>
    <row r="482" spans="1:55" ht="15" customHeight="1">
      <c r="A482" s="86">
        <f t="shared" si="25"/>
        <v>480</v>
      </c>
      <c r="B482" s="75" t="s">
        <v>625</v>
      </c>
      <c r="C482" s="9"/>
      <c r="D482" s="76" t="s">
        <v>623</v>
      </c>
      <c r="E482" s="88" t="str">
        <f>_xlfn.IFNA(VLOOKUP($D482,'Route-Details'!$B$2:$X$1048576,'Node Details'!E$1,0),"")</f>
        <v>Airtel</v>
      </c>
      <c r="F482" s="88" t="str">
        <f>_xlfn.IFNA(VLOOKUP($D482,'Route-Details'!$B$2:$X$1048576,'Node Details'!F$1,0),"")</f>
        <v>Mani Majra</v>
      </c>
      <c r="G482" s="88" t="str">
        <f>_xlfn.IFNA(VLOOKUP($D482,'Route-Details'!$B$2:$X$1048576,'Node Details'!G$1,0),"")</f>
        <v>Chandigarh</v>
      </c>
      <c r="H482" s="88" t="str">
        <f>_xlfn.IFNA(VLOOKUP($D483,'Route-Details'!$B$2:$X$1048576,'Node Details'!H$1,0),"")</f>
        <v>Punjab</v>
      </c>
      <c r="I482" s="88" t="str">
        <f>_xlfn.IFNA(VLOOKUP($D482,'Route-Details'!$B$2:$X$1048576,'Node Details'!I$1,0),"")</f>
        <v>CM3</v>
      </c>
      <c r="J482" s="88" t="str">
        <f>_xlfn.IFNA(VLOOKUP($D482,'Route-Details'!$B$2:$X$1048576,'Node Details'!J$1,0),"")</f>
        <v>CM3</v>
      </c>
      <c r="K482" s="76">
        <v>46142</v>
      </c>
      <c r="L482" s="76">
        <v>46149</v>
      </c>
      <c r="M482" s="89">
        <v>46149</v>
      </c>
      <c r="N482" s="76">
        <v>46149</v>
      </c>
      <c r="Q482" s="86" t="s">
        <v>958</v>
      </c>
      <c r="R482" s="90"/>
      <c r="S482" s="87"/>
      <c r="T482" s="87"/>
      <c r="U482" s="87"/>
      <c r="V482" s="93"/>
      <c r="W482" s="91"/>
      <c r="X482" s="87"/>
      <c r="Y482" s="92"/>
      <c r="Z482" s="90"/>
      <c r="AA482" s="93"/>
      <c r="AB482" s="87"/>
      <c r="AC482" s="91"/>
      <c r="AD482" s="90"/>
      <c r="AE482" s="86"/>
      <c r="AF482" s="82"/>
      <c r="AG482" s="24"/>
      <c r="AH482" s="93"/>
      <c r="AI482" s="87"/>
      <c r="AJ482" s="86"/>
      <c r="AK482" s="81"/>
      <c r="AL482" s="24"/>
      <c r="AM482" s="24"/>
      <c r="AN482" s="81"/>
      <c r="AO482" s="81"/>
      <c r="AP482" s="24"/>
      <c r="AQ482" s="93"/>
      <c r="AR482" s="94"/>
      <c r="AS482" s="82"/>
      <c r="AT482" s="82"/>
      <c r="AU482" s="24"/>
      <c r="AV482" s="93"/>
      <c r="AW482" s="94"/>
      <c r="AX482" s="95"/>
      <c r="AY482" s="95"/>
      <c r="AZ482" s="95"/>
      <c r="BA482" s="24"/>
      <c r="BB482" s="9" t="s">
        <v>100</v>
      </c>
      <c r="BC482" s="96" t="s">
        <v>1128</v>
      </c>
    </row>
    <row r="483" spans="1:55" ht="15" customHeight="1">
      <c r="A483" s="86">
        <f t="shared" si="25"/>
        <v>481</v>
      </c>
      <c r="B483" s="75" t="s">
        <v>733</v>
      </c>
      <c r="C483" s="9"/>
      <c r="D483" s="76" t="s">
        <v>732</v>
      </c>
      <c r="E483" s="88" t="str">
        <f>_xlfn.IFNA(VLOOKUP($D483,'Route-Details'!$B$2:$X$1048576,'Node Details'!E$1,0),"")</f>
        <v>Airtel</v>
      </c>
      <c r="F483" s="88" t="str">
        <f>_xlfn.IFNA(VLOOKUP($D483,'Route-Details'!$B$2:$X$1048576,'Node Details'!F$1,0),"")</f>
        <v>Mani Majra</v>
      </c>
      <c r="G483" s="88" t="str">
        <f>_xlfn.IFNA(VLOOKUP($D483,'Route-Details'!$B$2:$X$1048576,'Node Details'!G$1,0),"")</f>
        <v>Chandigarh</v>
      </c>
      <c r="H483" s="88" t="str">
        <f>_xlfn.IFNA(VLOOKUP($D484,'Route-Details'!$B$2:$X$1048576,'Node Details'!H$1,0),"")</f>
        <v>Punjab</v>
      </c>
      <c r="I483" s="88" t="str">
        <f>_xlfn.IFNA(VLOOKUP($D483,'Route-Details'!$B$2:$X$1048576,'Node Details'!I$1,0),"")</f>
        <v>CM3</v>
      </c>
      <c r="J483" s="88" t="str">
        <f>_xlfn.IFNA(VLOOKUP($D483,'Route-Details'!$B$2:$X$1048576,'Node Details'!J$1,0),"")</f>
        <v>CM3</v>
      </c>
      <c r="K483" s="76">
        <v>46142</v>
      </c>
      <c r="L483" s="76">
        <v>46149</v>
      </c>
      <c r="M483" s="89">
        <v>46149</v>
      </c>
      <c r="N483" s="76">
        <v>46149</v>
      </c>
      <c r="Q483" s="86" t="s">
        <v>958</v>
      </c>
      <c r="R483" s="90"/>
      <c r="S483" s="87"/>
      <c r="T483" s="87"/>
      <c r="U483" s="87"/>
      <c r="V483" s="93"/>
      <c r="W483" s="91"/>
      <c r="X483" s="87"/>
      <c r="Y483" s="92"/>
      <c r="Z483" s="90"/>
      <c r="AA483" s="93"/>
      <c r="AB483" s="87"/>
      <c r="AC483" s="91"/>
      <c r="AD483" s="90"/>
      <c r="AE483" s="86"/>
      <c r="AF483" s="82"/>
      <c r="AG483" s="24"/>
      <c r="AH483" s="93"/>
      <c r="AI483" s="87"/>
      <c r="AJ483" s="86"/>
      <c r="AK483" s="81"/>
      <c r="AL483" s="24"/>
      <c r="AM483" s="24"/>
      <c r="AN483" s="81"/>
      <c r="AO483" s="81"/>
      <c r="AP483" s="24"/>
      <c r="AQ483" s="93"/>
      <c r="AR483" s="94"/>
      <c r="AS483" s="82"/>
      <c r="AT483" s="82"/>
      <c r="AU483" s="24"/>
      <c r="AV483" s="93"/>
      <c r="AW483" s="94"/>
      <c r="AX483" s="95"/>
      <c r="AY483" s="95"/>
      <c r="AZ483" s="95"/>
      <c r="BA483" s="24"/>
      <c r="BB483" s="9" t="s">
        <v>303</v>
      </c>
      <c r="BC483" s="96" t="s">
        <v>1128</v>
      </c>
    </row>
    <row r="484" spans="1:55" ht="15" customHeight="1">
      <c r="A484" s="86">
        <f t="shared" si="25"/>
        <v>482</v>
      </c>
      <c r="B484" s="75" t="s">
        <v>735</v>
      </c>
      <c r="C484" s="9"/>
      <c r="D484" s="76" t="s">
        <v>734</v>
      </c>
      <c r="E484" s="88" t="str">
        <f>_xlfn.IFNA(VLOOKUP($D484,'Route-Details'!$B$2:$X$1048576,'Node Details'!E$1,0),"")</f>
        <v>Airtel</v>
      </c>
      <c r="F484" s="88" t="str">
        <f>_xlfn.IFNA(VLOOKUP($D484,'Route-Details'!$B$2:$X$1048576,'Node Details'!F$1,0),"")</f>
        <v>Mani Majra</v>
      </c>
      <c r="G484" s="88" t="str">
        <f>_xlfn.IFNA(VLOOKUP($D484,'Route-Details'!$B$2:$X$1048576,'Node Details'!G$1,0),"")</f>
        <v>Chandigarh</v>
      </c>
      <c r="H484" s="88" t="str">
        <f>_xlfn.IFNA(VLOOKUP($D485,'Route-Details'!$B$2:$X$1048576,'Node Details'!H$1,0),"")</f>
        <v>Punjab</v>
      </c>
      <c r="I484" s="88" t="str">
        <f>_xlfn.IFNA(VLOOKUP($D484,'Route-Details'!$B$2:$X$1048576,'Node Details'!I$1,0),"")</f>
        <v>CM3</v>
      </c>
      <c r="J484" s="88" t="str">
        <f>_xlfn.IFNA(VLOOKUP($D484,'Route-Details'!$B$2:$X$1048576,'Node Details'!J$1,0),"")</f>
        <v>CM3</v>
      </c>
      <c r="K484" s="76">
        <v>46142</v>
      </c>
      <c r="L484" s="76">
        <v>46149</v>
      </c>
      <c r="M484" s="89">
        <v>46149</v>
      </c>
      <c r="N484" s="76">
        <v>46149</v>
      </c>
      <c r="Q484" s="86" t="s">
        <v>958</v>
      </c>
      <c r="R484" s="90"/>
      <c r="S484" s="87"/>
      <c r="T484" s="87"/>
      <c r="U484" s="87"/>
      <c r="V484" s="93"/>
      <c r="W484" s="91"/>
      <c r="X484" s="87"/>
      <c r="Y484" s="92"/>
      <c r="Z484" s="90"/>
      <c r="AA484" s="93"/>
      <c r="AB484" s="87"/>
      <c r="AC484" s="91"/>
      <c r="AD484" s="90"/>
      <c r="AE484" s="86"/>
      <c r="AF484" s="82"/>
      <c r="AG484" s="24"/>
      <c r="AH484" s="93"/>
      <c r="AI484" s="87"/>
      <c r="AJ484" s="86"/>
      <c r="AK484" s="81"/>
      <c r="AL484" s="24"/>
      <c r="AM484" s="24"/>
      <c r="AN484" s="81"/>
      <c r="AO484" s="81"/>
      <c r="AP484" s="24"/>
      <c r="AQ484" s="93"/>
      <c r="AR484" s="94"/>
      <c r="AS484" s="82"/>
      <c r="AT484" s="82"/>
      <c r="AU484" s="24"/>
      <c r="AV484" s="93"/>
      <c r="AW484" s="94"/>
      <c r="AX484" s="95"/>
      <c r="AY484" s="95"/>
      <c r="AZ484" s="95"/>
      <c r="BA484" s="24"/>
      <c r="BB484" s="9" t="s">
        <v>307</v>
      </c>
      <c r="BC484" s="96" t="s">
        <v>1128</v>
      </c>
    </row>
    <row r="485" spans="1:55" ht="15" customHeight="1">
      <c r="A485" s="86">
        <f t="shared" si="25"/>
        <v>483</v>
      </c>
      <c r="B485" s="75" t="s">
        <v>628</v>
      </c>
      <c r="C485" s="9"/>
      <c r="D485" s="76" t="s">
        <v>626</v>
      </c>
      <c r="E485" s="88" t="str">
        <f>_xlfn.IFNA(VLOOKUP($D485,'Route-Details'!$B$2:$X$1048576,'Node Details'!E$1,0),"")</f>
        <v>Airtel</v>
      </c>
      <c r="F485" s="88" t="str">
        <f>_xlfn.IFNA(VLOOKUP($D485,'Route-Details'!$B$2:$X$1048576,'Node Details'!F$1,0),"")</f>
        <v>Mani Majra</v>
      </c>
      <c r="G485" s="88" t="str">
        <f>_xlfn.IFNA(VLOOKUP($D485,'Route-Details'!$B$2:$X$1048576,'Node Details'!G$1,0),"")</f>
        <v>Chandigarh</v>
      </c>
      <c r="H485" s="88" t="str">
        <f>_xlfn.IFNA(VLOOKUP($D486,'Route-Details'!$B$2:$X$1048576,'Node Details'!H$1,0),"")</f>
        <v>Punjab</v>
      </c>
      <c r="I485" s="88" t="str">
        <f>_xlfn.IFNA(VLOOKUP($D485,'Route-Details'!$B$2:$X$1048576,'Node Details'!I$1,0),"")</f>
        <v>CM3</v>
      </c>
      <c r="J485" s="88" t="str">
        <f>_xlfn.IFNA(VLOOKUP($D485,'Route-Details'!$B$2:$X$1048576,'Node Details'!J$1,0),"")</f>
        <v>CM3</v>
      </c>
      <c r="K485" s="76">
        <v>46142</v>
      </c>
      <c r="L485" s="76">
        <v>46149</v>
      </c>
      <c r="M485" s="89">
        <v>46149</v>
      </c>
      <c r="N485" s="76">
        <v>46149</v>
      </c>
      <c r="Q485" s="86" t="s">
        <v>958</v>
      </c>
      <c r="R485" s="90"/>
      <c r="S485" s="87"/>
      <c r="T485" s="87"/>
      <c r="U485" s="87"/>
      <c r="V485" s="93"/>
      <c r="W485" s="91"/>
      <c r="X485" s="87"/>
      <c r="Y485" s="92"/>
      <c r="Z485" s="90"/>
      <c r="AA485" s="93"/>
      <c r="AB485" s="87"/>
      <c r="AC485" s="91"/>
      <c r="AD485" s="90"/>
      <c r="AE485" s="86"/>
      <c r="AF485" s="82"/>
      <c r="AG485" s="24"/>
      <c r="AH485" s="93"/>
      <c r="AI485" s="87"/>
      <c r="AJ485" s="86"/>
      <c r="AK485" s="81"/>
      <c r="AL485" s="24"/>
      <c r="AM485" s="24"/>
      <c r="AN485" s="81"/>
      <c r="AO485" s="81"/>
      <c r="AP485" s="24"/>
      <c r="AQ485" s="93"/>
      <c r="AR485" s="94"/>
      <c r="AS485" s="82"/>
      <c r="AT485" s="82"/>
      <c r="AU485" s="24"/>
      <c r="AV485" s="93"/>
      <c r="AW485" s="94"/>
      <c r="AX485" s="95"/>
      <c r="AY485" s="95"/>
      <c r="AZ485" s="95"/>
      <c r="BA485" s="24"/>
      <c r="BB485" s="9" t="s">
        <v>104</v>
      </c>
      <c r="BC485" s="96" t="s">
        <v>1128</v>
      </c>
    </row>
    <row r="486" spans="1:55" ht="15" customHeight="1">
      <c r="A486" s="86">
        <f t="shared" si="25"/>
        <v>484</v>
      </c>
      <c r="B486" s="75" t="s">
        <v>737</v>
      </c>
      <c r="C486" s="9"/>
      <c r="D486" s="76" t="s">
        <v>736</v>
      </c>
      <c r="E486" s="88" t="str">
        <f>_xlfn.IFNA(VLOOKUP($D486,'Route-Details'!$B$2:$X$1048576,'Node Details'!E$1,0),"")</f>
        <v>Airtel</v>
      </c>
      <c r="F486" s="88" t="str">
        <f>_xlfn.IFNA(VLOOKUP($D486,'Route-Details'!$B$2:$X$1048576,'Node Details'!F$1,0),"")</f>
        <v>Mani Majra</v>
      </c>
      <c r="G486" s="88" t="str">
        <f>_xlfn.IFNA(VLOOKUP($D486,'Route-Details'!$B$2:$X$1048576,'Node Details'!G$1,0),"")</f>
        <v>Chandigarh</v>
      </c>
      <c r="H486" s="88" t="str">
        <f>_xlfn.IFNA(VLOOKUP($D487,'Route-Details'!$B$2:$X$1048576,'Node Details'!H$1,0),"")</f>
        <v>Punjab</v>
      </c>
      <c r="I486" s="88" t="str">
        <f>_xlfn.IFNA(VLOOKUP($D486,'Route-Details'!$B$2:$X$1048576,'Node Details'!I$1,0),"")</f>
        <v>CM3</v>
      </c>
      <c r="J486" s="88" t="str">
        <f>_xlfn.IFNA(VLOOKUP($D486,'Route-Details'!$B$2:$X$1048576,'Node Details'!J$1,0),"")</f>
        <v>CM3</v>
      </c>
      <c r="K486" s="76">
        <v>46142</v>
      </c>
      <c r="L486" s="76">
        <v>46149</v>
      </c>
      <c r="M486" s="89">
        <v>46149</v>
      </c>
      <c r="N486" s="76">
        <v>46149</v>
      </c>
      <c r="Q486" s="86" t="s">
        <v>958</v>
      </c>
      <c r="R486" s="90"/>
      <c r="S486" s="87"/>
      <c r="T486" s="87"/>
      <c r="U486" s="87"/>
      <c r="V486" s="93"/>
      <c r="W486" s="91"/>
      <c r="X486" s="87"/>
      <c r="Y486" s="92"/>
      <c r="Z486" s="90"/>
      <c r="AA486" s="93"/>
      <c r="AB486" s="87"/>
      <c r="AC486" s="91"/>
      <c r="AD486" s="90"/>
      <c r="AE486" s="86"/>
      <c r="AF486" s="82"/>
      <c r="AG486" s="24"/>
      <c r="AH486" s="93"/>
      <c r="AI486" s="87"/>
      <c r="AJ486" s="86"/>
      <c r="AK486" s="81"/>
      <c r="AL486" s="24"/>
      <c r="AM486" s="24"/>
      <c r="AN486" s="81"/>
      <c r="AO486" s="81"/>
      <c r="AP486" s="24"/>
      <c r="AQ486" s="93"/>
      <c r="AR486" s="94"/>
      <c r="AS486" s="82"/>
      <c r="AT486" s="82"/>
      <c r="AU486" s="24"/>
      <c r="AV486" s="93"/>
      <c r="AW486" s="94"/>
      <c r="AX486" s="95"/>
      <c r="AY486" s="95"/>
      <c r="AZ486" s="95"/>
      <c r="BA486" s="24"/>
      <c r="BB486" s="9" t="s">
        <v>310</v>
      </c>
      <c r="BC486" s="96" t="s">
        <v>1128</v>
      </c>
    </row>
    <row r="487" spans="1:55" ht="15" customHeight="1">
      <c r="A487" s="86">
        <f t="shared" si="25"/>
        <v>485</v>
      </c>
      <c r="B487" s="75" t="s">
        <v>1173</v>
      </c>
      <c r="C487" s="9"/>
      <c r="D487" s="76" t="s">
        <v>738</v>
      </c>
      <c r="E487" s="88" t="str">
        <f>_xlfn.IFNA(VLOOKUP($D487,'Route-Details'!$B$2:$X$1048576,'Node Details'!E$1,0),"")</f>
        <v>Airtel</v>
      </c>
      <c r="F487" s="88" t="str">
        <f>_xlfn.IFNA(VLOOKUP($D487,'Route-Details'!$B$2:$X$1048576,'Node Details'!F$1,0),"")</f>
        <v>Mani Majra</v>
      </c>
      <c r="G487" s="88" t="str">
        <f>_xlfn.IFNA(VLOOKUP($D487,'Route-Details'!$B$2:$X$1048576,'Node Details'!G$1,0),"")</f>
        <v>Chandigarh</v>
      </c>
      <c r="H487" s="88" t="str">
        <f>_xlfn.IFNA(VLOOKUP($D488,'Route-Details'!$B$2:$X$1048576,'Node Details'!H$1,0),"")</f>
        <v>Punjab</v>
      </c>
      <c r="I487" s="88" t="str">
        <f>_xlfn.IFNA(VLOOKUP($D487,'Route-Details'!$B$2:$X$1048576,'Node Details'!I$1,0),"")</f>
        <v>CM3</v>
      </c>
      <c r="J487" s="88" t="str">
        <f>_xlfn.IFNA(VLOOKUP($D487,'Route-Details'!$B$2:$X$1048576,'Node Details'!J$1,0),"")</f>
        <v>CM3</v>
      </c>
      <c r="K487" s="76">
        <v>46142</v>
      </c>
      <c r="L487" s="76">
        <v>46149</v>
      </c>
      <c r="M487" s="89">
        <v>46149</v>
      </c>
      <c r="N487" s="76">
        <v>46149</v>
      </c>
      <c r="Q487" s="86" t="s">
        <v>958</v>
      </c>
      <c r="R487" s="90"/>
      <c r="S487" s="87"/>
      <c r="T487" s="87"/>
      <c r="U487" s="87"/>
      <c r="V487" s="93"/>
      <c r="W487" s="91"/>
      <c r="X487" s="87"/>
      <c r="Y487" s="92"/>
      <c r="Z487" s="90"/>
      <c r="AA487" s="93"/>
      <c r="AB487" s="87"/>
      <c r="AC487" s="91"/>
      <c r="AD487" s="90"/>
      <c r="AE487" s="86"/>
      <c r="AF487" s="82"/>
      <c r="AG487" s="24"/>
      <c r="AH487" s="93"/>
      <c r="AI487" s="87"/>
      <c r="AJ487" s="86"/>
      <c r="AK487" s="81"/>
      <c r="AL487" s="24"/>
      <c r="AM487" s="24"/>
      <c r="AN487" s="81"/>
      <c r="AO487" s="81"/>
      <c r="AP487" s="24"/>
      <c r="AQ487" s="93"/>
      <c r="AR487" s="94"/>
      <c r="AS487" s="82"/>
      <c r="AT487" s="82"/>
      <c r="AU487" s="24"/>
      <c r="AV487" s="93"/>
      <c r="AW487" s="94"/>
      <c r="AX487" s="95"/>
      <c r="AY487" s="95"/>
      <c r="AZ487" s="95"/>
      <c r="BA487" s="24"/>
      <c r="BB487" s="9" t="s">
        <v>313</v>
      </c>
      <c r="BC487" s="96" t="s">
        <v>1128</v>
      </c>
    </row>
    <row r="488" spans="1:55" ht="15" customHeight="1">
      <c r="A488" s="86">
        <f t="shared" si="25"/>
        <v>486</v>
      </c>
      <c r="B488" s="75" t="s">
        <v>741</v>
      </c>
      <c r="C488" s="9"/>
      <c r="D488" s="76" t="s">
        <v>738</v>
      </c>
      <c r="E488" s="88" t="str">
        <f>_xlfn.IFNA(VLOOKUP($D488,'Route-Details'!$B$2:$X$1048576,'Node Details'!E$1,0),"")</f>
        <v>Airtel</v>
      </c>
      <c r="F488" s="88" t="str">
        <f>_xlfn.IFNA(VLOOKUP($D488,'Route-Details'!$B$2:$X$1048576,'Node Details'!F$1,0),"")</f>
        <v>Mani Majra</v>
      </c>
      <c r="G488" s="88" t="str">
        <f>_xlfn.IFNA(VLOOKUP($D488,'Route-Details'!$B$2:$X$1048576,'Node Details'!G$1,0),"")</f>
        <v>Chandigarh</v>
      </c>
      <c r="H488" s="88" t="str">
        <f>_xlfn.IFNA(VLOOKUP($D489,'Route-Details'!$B$2:$X$1048576,'Node Details'!H$1,0),"")</f>
        <v>Punjab</v>
      </c>
      <c r="I488" s="88" t="str">
        <f>_xlfn.IFNA(VLOOKUP($D488,'Route-Details'!$B$2:$X$1048576,'Node Details'!I$1,0),"")</f>
        <v>CM3</v>
      </c>
      <c r="J488" s="88" t="str">
        <f>_xlfn.IFNA(VLOOKUP($D488,'Route-Details'!$B$2:$X$1048576,'Node Details'!J$1,0),"")</f>
        <v>CM3</v>
      </c>
      <c r="K488" s="76">
        <v>46142</v>
      </c>
      <c r="L488" s="76">
        <v>46149</v>
      </c>
      <c r="M488" s="89">
        <v>46149</v>
      </c>
      <c r="N488" s="76">
        <v>46149</v>
      </c>
      <c r="Q488" s="86" t="s">
        <v>958</v>
      </c>
      <c r="R488" s="90"/>
      <c r="S488" s="87"/>
      <c r="T488" s="87"/>
      <c r="U488" s="87"/>
      <c r="V488" s="93"/>
      <c r="W488" s="91"/>
      <c r="X488" s="87"/>
      <c r="Y488" s="92"/>
      <c r="Z488" s="90"/>
      <c r="AA488" s="93"/>
      <c r="AB488" s="87"/>
      <c r="AC488" s="91"/>
      <c r="AD488" s="90"/>
      <c r="AE488" s="86"/>
      <c r="AF488" s="82"/>
      <c r="AG488" s="24"/>
      <c r="AH488" s="93"/>
      <c r="AI488" s="87"/>
      <c r="AJ488" s="86"/>
      <c r="AK488" s="81"/>
      <c r="AL488" s="24"/>
      <c r="AM488" s="24"/>
      <c r="AN488" s="81"/>
      <c r="AO488" s="81"/>
      <c r="AP488" s="24"/>
      <c r="AQ488" s="93"/>
      <c r="AR488" s="94"/>
      <c r="AS488" s="82"/>
      <c r="AT488" s="82"/>
      <c r="AU488" s="24"/>
      <c r="AV488" s="93"/>
      <c r="AW488" s="94"/>
      <c r="AX488" s="95"/>
      <c r="AY488" s="95"/>
      <c r="AZ488" s="95"/>
      <c r="BA488" s="24"/>
      <c r="BB488" s="9" t="s">
        <v>313</v>
      </c>
      <c r="BC488" s="96" t="s">
        <v>1128</v>
      </c>
    </row>
    <row r="489" spans="1:55" ht="15" customHeight="1">
      <c r="A489" s="86">
        <f t="shared" si="25"/>
        <v>487</v>
      </c>
      <c r="B489" s="75" t="s">
        <v>739</v>
      </c>
      <c r="C489" s="9"/>
      <c r="D489" s="76" t="s">
        <v>738</v>
      </c>
      <c r="E489" s="88" t="str">
        <f>_xlfn.IFNA(VLOOKUP($D489,'Route-Details'!$B$2:$X$1048576,'Node Details'!E$1,0),"")</f>
        <v>Airtel</v>
      </c>
      <c r="F489" s="88" t="str">
        <f>_xlfn.IFNA(VLOOKUP($D489,'Route-Details'!$B$2:$X$1048576,'Node Details'!F$1,0),"")</f>
        <v>Mani Majra</v>
      </c>
      <c r="G489" s="88" t="str">
        <f>_xlfn.IFNA(VLOOKUP($D489,'Route-Details'!$B$2:$X$1048576,'Node Details'!G$1,0),"")</f>
        <v>Chandigarh</v>
      </c>
      <c r="H489" s="88" t="str">
        <f>_xlfn.IFNA(VLOOKUP($D490,'Route-Details'!$B$2:$X$1048576,'Node Details'!H$1,0),"")</f>
        <v>Punjab</v>
      </c>
      <c r="I489" s="88" t="str">
        <f>_xlfn.IFNA(VLOOKUP($D489,'Route-Details'!$B$2:$X$1048576,'Node Details'!I$1,0),"")</f>
        <v>CM3</v>
      </c>
      <c r="J489" s="88" t="str">
        <f>_xlfn.IFNA(VLOOKUP($D489,'Route-Details'!$B$2:$X$1048576,'Node Details'!J$1,0),"")</f>
        <v>CM3</v>
      </c>
      <c r="K489" s="76">
        <v>46142</v>
      </c>
      <c r="L489" s="76">
        <v>46149</v>
      </c>
      <c r="M489" s="89">
        <v>46149</v>
      </c>
      <c r="N489" s="76">
        <v>46149</v>
      </c>
      <c r="Q489" s="86" t="s">
        <v>958</v>
      </c>
      <c r="R489" s="90"/>
      <c r="S489" s="87"/>
      <c r="T489" s="87"/>
      <c r="U489" s="87"/>
      <c r="V489" s="93"/>
      <c r="W489" s="91"/>
      <c r="X489" s="87"/>
      <c r="Y489" s="92"/>
      <c r="Z489" s="90"/>
      <c r="AA489" s="93"/>
      <c r="AB489" s="87"/>
      <c r="AC489" s="91"/>
      <c r="AD489" s="90"/>
      <c r="AE489" s="86"/>
      <c r="AF489" s="82"/>
      <c r="AG489" s="24"/>
      <c r="AH489" s="93"/>
      <c r="AI489" s="87"/>
      <c r="AJ489" s="86"/>
      <c r="AK489" s="81"/>
      <c r="AL489" s="24"/>
      <c r="AM489" s="24"/>
      <c r="AN489" s="81"/>
      <c r="AO489" s="81"/>
      <c r="AP489" s="24"/>
      <c r="AQ489" s="93"/>
      <c r="AR489" s="94"/>
      <c r="AS489" s="82"/>
      <c r="AT489" s="82"/>
      <c r="AU489" s="24"/>
      <c r="AV489" s="93"/>
      <c r="AW489" s="94"/>
      <c r="AX489" s="95"/>
      <c r="AY489" s="95"/>
      <c r="AZ489" s="95"/>
      <c r="BA489" s="24"/>
      <c r="BB489" s="9" t="s">
        <v>313</v>
      </c>
      <c r="BC489" s="96" t="s">
        <v>1128</v>
      </c>
    </row>
    <row r="490" spans="1:55" ht="15" customHeight="1">
      <c r="A490" s="86">
        <f t="shared" si="25"/>
        <v>488</v>
      </c>
      <c r="B490" s="75" t="s">
        <v>742</v>
      </c>
      <c r="C490" s="9"/>
      <c r="D490" s="76" t="s">
        <v>740</v>
      </c>
      <c r="E490" s="88" t="str">
        <f>_xlfn.IFNA(VLOOKUP($D490,'Route-Details'!$B$2:$X$1048576,'Node Details'!E$1,0),"")</f>
        <v>Airtel</v>
      </c>
      <c r="F490" s="88" t="str">
        <f>_xlfn.IFNA(VLOOKUP($D490,'Route-Details'!$B$2:$X$1048576,'Node Details'!F$1,0),"")</f>
        <v>Mani Majra</v>
      </c>
      <c r="G490" s="88" t="str">
        <f>_xlfn.IFNA(VLOOKUP($D490,'Route-Details'!$B$2:$X$1048576,'Node Details'!G$1,0),"")</f>
        <v>Chandigarh</v>
      </c>
      <c r="H490" s="88" t="str">
        <f>_xlfn.IFNA(VLOOKUP($D491,'Route-Details'!$B$2:$X$1048576,'Node Details'!H$1,0),"")</f>
        <v>Punjab</v>
      </c>
      <c r="I490" s="88" t="str">
        <f>_xlfn.IFNA(VLOOKUP($D490,'Route-Details'!$B$2:$X$1048576,'Node Details'!I$1,0),"")</f>
        <v>CM3</v>
      </c>
      <c r="J490" s="88" t="str">
        <f>_xlfn.IFNA(VLOOKUP($D490,'Route-Details'!$B$2:$X$1048576,'Node Details'!J$1,0),"")</f>
        <v>CM3</v>
      </c>
      <c r="K490" s="76">
        <v>46142</v>
      </c>
      <c r="L490" s="76">
        <v>46149</v>
      </c>
      <c r="M490" s="89">
        <v>46149</v>
      </c>
      <c r="N490" s="76">
        <v>46149</v>
      </c>
      <c r="Q490" s="86" t="s">
        <v>958</v>
      </c>
      <c r="R490" s="90"/>
      <c r="S490" s="87"/>
      <c r="T490" s="87"/>
      <c r="U490" s="87"/>
      <c r="V490" s="93"/>
      <c r="W490" s="91"/>
      <c r="X490" s="87"/>
      <c r="Y490" s="92"/>
      <c r="Z490" s="90"/>
      <c r="AA490" s="93"/>
      <c r="AB490" s="87"/>
      <c r="AC490" s="91"/>
      <c r="AD490" s="90"/>
      <c r="AE490" s="86"/>
      <c r="AF490" s="82"/>
      <c r="AG490" s="24"/>
      <c r="AH490" s="93"/>
      <c r="AI490" s="87"/>
      <c r="AJ490" s="86"/>
      <c r="AK490" s="81"/>
      <c r="AL490" s="24"/>
      <c r="AM490" s="24"/>
      <c r="AN490" s="81"/>
      <c r="AO490" s="81"/>
      <c r="AP490" s="24"/>
      <c r="AQ490" s="93"/>
      <c r="AR490" s="94"/>
      <c r="AS490" s="82"/>
      <c r="AT490" s="82"/>
      <c r="AU490" s="24"/>
      <c r="AV490" s="93"/>
      <c r="AW490" s="94"/>
      <c r="AX490" s="95"/>
      <c r="AY490" s="95"/>
      <c r="AZ490" s="95"/>
      <c r="BA490" s="24"/>
      <c r="BB490" s="9" t="s">
        <v>317</v>
      </c>
      <c r="BC490" s="96" t="s">
        <v>1128</v>
      </c>
    </row>
    <row r="491" spans="1:55" ht="15" customHeight="1">
      <c r="A491" s="86">
        <f t="shared" si="25"/>
        <v>489</v>
      </c>
      <c r="B491" s="75" t="s">
        <v>1174</v>
      </c>
      <c r="C491" s="9"/>
      <c r="D491" s="76" t="s">
        <v>743</v>
      </c>
      <c r="E491" s="88" t="str">
        <f>_xlfn.IFNA(VLOOKUP($D491,'Route-Details'!$B$2:$X$1048576,'Node Details'!E$1,0),"")</f>
        <v>Airtel</v>
      </c>
      <c r="F491" s="88" t="str">
        <f>_xlfn.IFNA(VLOOKUP($D491,'Route-Details'!$B$2:$X$1048576,'Node Details'!F$1,0),"")</f>
        <v>Mani Majra</v>
      </c>
      <c r="G491" s="88" t="str">
        <f>_xlfn.IFNA(VLOOKUP($D491,'Route-Details'!$B$2:$X$1048576,'Node Details'!G$1,0),"")</f>
        <v>Chandigarh</v>
      </c>
      <c r="H491" s="88" t="str">
        <f>_xlfn.IFNA(VLOOKUP($D492,'Route-Details'!$B$2:$X$1048576,'Node Details'!H$1,0),"")</f>
        <v>Punjab</v>
      </c>
      <c r="I491" s="88" t="str">
        <f>_xlfn.IFNA(VLOOKUP($D491,'Route-Details'!$B$2:$X$1048576,'Node Details'!I$1,0),"")</f>
        <v>CM3</v>
      </c>
      <c r="J491" s="88" t="str">
        <f>_xlfn.IFNA(VLOOKUP($D491,'Route-Details'!$B$2:$X$1048576,'Node Details'!J$1,0),"")</f>
        <v>CM3</v>
      </c>
      <c r="K491" s="76">
        <v>46142</v>
      </c>
      <c r="L491" s="76">
        <v>46149</v>
      </c>
      <c r="M491" s="89">
        <v>46149</v>
      </c>
      <c r="N491" s="76">
        <v>46149</v>
      </c>
      <c r="Q491" s="86" t="s">
        <v>958</v>
      </c>
      <c r="R491" s="90"/>
      <c r="S491" s="87"/>
      <c r="T491" s="87"/>
      <c r="U491" s="87"/>
      <c r="V491" s="93"/>
      <c r="W491" s="91"/>
      <c r="X491" s="87"/>
      <c r="Y491" s="92"/>
      <c r="Z491" s="90"/>
      <c r="AA491" s="93"/>
      <c r="AB491" s="87"/>
      <c r="AC491" s="91"/>
      <c r="AD491" s="90"/>
      <c r="AE491" s="86"/>
      <c r="AF491" s="82"/>
      <c r="AG491" s="24"/>
      <c r="AH491" s="93"/>
      <c r="AI491" s="87"/>
      <c r="AJ491" s="86"/>
      <c r="AK491" s="81"/>
      <c r="AL491" s="24"/>
      <c r="AM491" s="24"/>
      <c r="AN491" s="81"/>
      <c r="AO491" s="81"/>
      <c r="AP491" s="24"/>
      <c r="AQ491" s="93"/>
      <c r="AR491" s="94"/>
      <c r="AS491" s="82"/>
      <c r="AT491" s="82"/>
      <c r="AU491" s="24"/>
      <c r="AV491" s="93"/>
      <c r="AW491" s="94"/>
      <c r="AX491" s="95"/>
      <c r="AY491" s="95"/>
      <c r="AZ491" s="95"/>
      <c r="BA491" s="24"/>
      <c r="BB491" s="9" t="s">
        <v>320</v>
      </c>
      <c r="BC491" s="96" t="s">
        <v>1128</v>
      </c>
    </row>
    <row r="492" spans="1:55" ht="15" customHeight="1">
      <c r="A492" s="86">
        <f t="shared" si="25"/>
        <v>490</v>
      </c>
      <c r="B492" s="75" t="s">
        <v>744</v>
      </c>
      <c r="C492" s="9"/>
      <c r="D492" s="76" t="s">
        <v>743</v>
      </c>
      <c r="E492" s="88" t="str">
        <f>_xlfn.IFNA(VLOOKUP($D492,'Route-Details'!$B$2:$X$1048576,'Node Details'!E$1,0),"")</f>
        <v>Airtel</v>
      </c>
      <c r="F492" s="88" t="str">
        <f>_xlfn.IFNA(VLOOKUP($D492,'Route-Details'!$B$2:$X$1048576,'Node Details'!F$1,0),"")</f>
        <v>Mani Majra</v>
      </c>
      <c r="G492" s="88" t="str">
        <f>_xlfn.IFNA(VLOOKUP($D492,'Route-Details'!$B$2:$X$1048576,'Node Details'!G$1,0),"")</f>
        <v>Chandigarh</v>
      </c>
      <c r="H492" s="88" t="str">
        <f>_xlfn.IFNA(VLOOKUP($D493,'Route-Details'!$B$2:$X$1048576,'Node Details'!H$1,0),"")</f>
        <v>Punjab</v>
      </c>
      <c r="I492" s="88" t="str">
        <f>_xlfn.IFNA(VLOOKUP($D492,'Route-Details'!$B$2:$X$1048576,'Node Details'!I$1,0),"")</f>
        <v>CM3</v>
      </c>
      <c r="J492" s="88" t="str">
        <f>_xlfn.IFNA(VLOOKUP($D492,'Route-Details'!$B$2:$X$1048576,'Node Details'!J$1,0),"")</f>
        <v>CM3</v>
      </c>
      <c r="K492" s="76">
        <v>46142</v>
      </c>
      <c r="L492" s="76">
        <v>46149</v>
      </c>
      <c r="M492" s="89">
        <v>46149</v>
      </c>
      <c r="N492" s="76">
        <v>46149</v>
      </c>
      <c r="Q492" s="86" t="s">
        <v>958</v>
      </c>
      <c r="R492" s="90"/>
      <c r="S492" s="87"/>
      <c r="T492" s="87"/>
      <c r="U492" s="87"/>
      <c r="V492" s="93"/>
      <c r="W492" s="91"/>
      <c r="X492" s="87"/>
      <c r="Y492" s="92"/>
      <c r="Z492" s="90"/>
      <c r="AA492" s="93"/>
      <c r="AB492" s="87"/>
      <c r="AC492" s="91"/>
      <c r="AD492" s="90"/>
      <c r="AE492" s="86"/>
      <c r="AF492" s="82"/>
      <c r="AG492" s="24"/>
      <c r="AH492" s="93"/>
      <c r="AI492" s="87"/>
      <c r="AJ492" s="86"/>
      <c r="AK492" s="81"/>
      <c r="AL492" s="24"/>
      <c r="AM492" s="24"/>
      <c r="AN492" s="81"/>
      <c r="AO492" s="81"/>
      <c r="AP492" s="24"/>
      <c r="AQ492" s="93"/>
      <c r="AR492" s="94"/>
      <c r="AS492" s="82"/>
      <c r="AT492" s="82"/>
      <c r="AU492" s="24"/>
      <c r="AV492" s="93"/>
      <c r="AW492" s="94"/>
      <c r="AX492" s="95"/>
      <c r="AY492" s="95"/>
      <c r="AZ492" s="95"/>
      <c r="BA492" s="24"/>
      <c r="BB492" s="9" t="s">
        <v>320</v>
      </c>
      <c r="BC492" s="96" t="s">
        <v>1128</v>
      </c>
    </row>
    <row r="493" spans="1:55" ht="15" customHeight="1">
      <c r="A493" s="86">
        <f t="shared" si="25"/>
        <v>491</v>
      </c>
      <c r="B493" s="75" t="s">
        <v>746</v>
      </c>
      <c r="C493" s="9"/>
      <c r="D493" s="76" t="s">
        <v>620</v>
      </c>
      <c r="E493" s="88" t="str">
        <f>_xlfn.IFNA(VLOOKUP($D493,'Route-Details'!$B$2:$X$1048576,'Node Details'!E$1,0),"")</f>
        <v>Airtel</v>
      </c>
      <c r="F493" s="88" t="str">
        <f>_xlfn.IFNA(VLOOKUP($D493,'Route-Details'!$B$2:$X$1048576,'Node Details'!F$1,0),"")</f>
        <v>Mani Majra</v>
      </c>
      <c r="G493" s="88" t="str">
        <f>_xlfn.IFNA(VLOOKUP($D493,'Route-Details'!$B$2:$X$1048576,'Node Details'!G$1,0),"")</f>
        <v>Chandigarh</v>
      </c>
      <c r="H493" s="88" t="str">
        <f>_xlfn.IFNA(VLOOKUP($D494,'Route-Details'!$B$2:$X$1048576,'Node Details'!H$1,0),"")</f>
        <v>Punjab</v>
      </c>
      <c r="I493" s="88" t="str">
        <f>_xlfn.IFNA(VLOOKUP($D493,'Route-Details'!$B$2:$X$1048576,'Node Details'!I$1,0),"")</f>
        <v>CM3</v>
      </c>
      <c r="J493" s="88" t="str">
        <f>_xlfn.IFNA(VLOOKUP($D493,'Route-Details'!$B$2:$X$1048576,'Node Details'!J$1,0),"")</f>
        <v>CM3</v>
      </c>
      <c r="K493" s="76">
        <v>46142</v>
      </c>
      <c r="L493" s="76">
        <v>46149</v>
      </c>
      <c r="M493" s="89">
        <v>46149</v>
      </c>
      <c r="N493" s="76">
        <v>46149</v>
      </c>
      <c r="Q493" s="86" t="s">
        <v>958</v>
      </c>
      <c r="R493" s="90"/>
      <c r="S493" s="87"/>
      <c r="T493" s="87"/>
      <c r="U493" s="87"/>
      <c r="V493" s="93"/>
      <c r="W493" s="91"/>
      <c r="X493" s="87"/>
      <c r="Y493" s="92"/>
      <c r="Z493" s="90"/>
      <c r="AA493" s="93"/>
      <c r="AB493" s="87"/>
      <c r="AC493" s="91"/>
      <c r="AD493" s="90"/>
      <c r="AE493" s="86"/>
      <c r="AF493" s="82"/>
      <c r="AG493" s="24"/>
      <c r="AH493" s="93"/>
      <c r="AI493" s="87"/>
      <c r="AJ493" s="86"/>
      <c r="AK493" s="81"/>
      <c r="AL493" s="24"/>
      <c r="AM493" s="24"/>
      <c r="AN493" s="81"/>
      <c r="AO493" s="81"/>
      <c r="AP493" s="24"/>
      <c r="AQ493" s="93"/>
      <c r="AR493" s="94"/>
      <c r="AS493" s="82"/>
      <c r="AT493" s="82"/>
      <c r="AU493" s="24"/>
      <c r="AV493" s="93"/>
      <c r="AW493" s="94"/>
      <c r="AX493" s="95"/>
      <c r="AY493" s="95"/>
      <c r="AZ493" s="95"/>
      <c r="BA493" s="24"/>
      <c r="BB493" s="9" t="s">
        <v>96</v>
      </c>
      <c r="BC493" s="96" t="s">
        <v>1128</v>
      </c>
    </row>
    <row r="494" spans="1:55" ht="15" customHeight="1">
      <c r="A494" s="86">
        <f t="shared" si="25"/>
        <v>492</v>
      </c>
      <c r="B494" s="75" t="s">
        <v>747</v>
      </c>
      <c r="C494" s="9"/>
      <c r="D494" s="76" t="s">
        <v>745</v>
      </c>
      <c r="E494" s="88" t="str">
        <f>_xlfn.IFNA(VLOOKUP($D494,'Route-Details'!$B$2:$X$1048576,'Node Details'!E$1,0),"")</f>
        <v>Airtel</v>
      </c>
      <c r="F494" s="88" t="str">
        <f>_xlfn.IFNA(VLOOKUP($D494,'Route-Details'!$B$2:$X$1048576,'Node Details'!F$1,0),"")</f>
        <v>Mani Majra</v>
      </c>
      <c r="G494" s="88" t="str">
        <f>_xlfn.IFNA(VLOOKUP($D494,'Route-Details'!$B$2:$X$1048576,'Node Details'!G$1,0),"")</f>
        <v>Chandigarh</v>
      </c>
      <c r="H494" s="88" t="str">
        <f>_xlfn.IFNA(VLOOKUP($D495,'Route-Details'!$B$2:$X$1048576,'Node Details'!H$1,0),"")</f>
        <v>Punjab</v>
      </c>
      <c r="I494" s="88" t="str">
        <f>_xlfn.IFNA(VLOOKUP($D494,'Route-Details'!$B$2:$X$1048576,'Node Details'!I$1,0),"")</f>
        <v>CM3</v>
      </c>
      <c r="J494" s="88" t="str">
        <f>_xlfn.IFNA(VLOOKUP($D494,'Route-Details'!$B$2:$X$1048576,'Node Details'!J$1,0),"")</f>
        <v>CM3</v>
      </c>
      <c r="K494" s="76">
        <v>46142</v>
      </c>
      <c r="L494" s="76">
        <v>46149</v>
      </c>
      <c r="M494" s="89">
        <v>46149</v>
      </c>
      <c r="N494" s="76">
        <v>46149</v>
      </c>
      <c r="Q494" s="86" t="s">
        <v>958</v>
      </c>
      <c r="R494" s="90"/>
      <c r="S494" s="87"/>
      <c r="T494" s="87"/>
      <c r="U494" s="87"/>
      <c r="V494" s="93"/>
      <c r="W494" s="91"/>
      <c r="X494" s="87"/>
      <c r="Y494" s="92"/>
      <c r="Z494" s="90"/>
      <c r="AA494" s="93"/>
      <c r="AB494" s="87"/>
      <c r="AC494" s="91"/>
      <c r="AD494" s="90"/>
      <c r="AE494" s="86"/>
      <c r="AF494" s="82"/>
      <c r="AG494" s="24"/>
      <c r="AH494" s="93"/>
      <c r="AI494" s="87"/>
      <c r="AJ494" s="86"/>
      <c r="AK494" s="81"/>
      <c r="AL494" s="24"/>
      <c r="AM494" s="24"/>
      <c r="AN494" s="81"/>
      <c r="AO494" s="81"/>
      <c r="AP494" s="24"/>
      <c r="AQ494" s="93"/>
      <c r="AR494" s="94"/>
      <c r="AS494" s="82"/>
      <c r="AT494" s="82"/>
      <c r="AU494" s="24"/>
      <c r="AV494" s="93"/>
      <c r="AW494" s="94"/>
      <c r="AX494" s="95"/>
      <c r="AY494" s="95"/>
      <c r="AZ494" s="95"/>
      <c r="BA494" s="24"/>
      <c r="BB494" s="9" t="s">
        <v>323</v>
      </c>
      <c r="BC494" s="96" t="s">
        <v>1128</v>
      </c>
    </row>
    <row r="495" spans="1:55" ht="15" customHeight="1">
      <c r="A495" s="86">
        <f t="shared" si="25"/>
        <v>493</v>
      </c>
      <c r="B495" s="75" t="s">
        <v>749</v>
      </c>
      <c r="C495" s="9"/>
      <c r="D495" s="76" t="s">
        <v>748</v>
      </c>
      <c r="E495" s="88" t="str">
        <f>_xlfn.IFNA(VLOOKUP($D495,'Route-Details'!$B$2:$X$1048576,'Node Details'!E$1,0),"")</f>
        <v>Airtel</v>
      </c>
      <c r="F495" s="88" t="str">
        <f>_xlfn.IFNA(VLOOKUP($D495,'Route-Details'!$B$2:$X$1048576,'Node Details'!F$1,0),"")</f>
        <v>Mani Majra</v>
      </c>
      <c r="G495" s="88" t="str">
        <f>_xlfn.IFNA(VLOOKUP($D495,'Route-Details'!$B$2:$X$1048576,'Node Details'!G$1,0),"")</f>
        <v>Chandigarh</v>
      </c>
      <c r="H495" s="88" t="str">
        <f>_xlfn.IFNA(VLOOKUP($D496,'Route-Details'!$B$2:$X$1048576,'Node Details'!H$1,0),"")</f>
        <v>Punjab</v>
      </c>
      <c r="I495" s="88" t="str">
        <f>_xlfn.IFNA(VLOOKUP($D495,'Route-Details'!$B$2:$X$1048576,'Node Details'!I$1,0),"")</f>
        <v>CM3</v>
      </c>
      <c r="J495" s="88" t="str">
        <f>_xlfn.IFNA(VLOOKUP($D495,'Route-Details'!$B$2:$X$1048576,'Node Details'!J$1,0),"")</f>
        <v>CM3</v>
      </c>
      <c r="K495" s="76">
        <v>46142</v>
      </c>
      <c r="L495" s="76">
        <v>46149</v>
      </c>
      <c r="M495" s="89">
        <v>46149</v>
      </c>
      <c r="N495" s="76">
        <v>46149</v>
      </c>
      <c r="Q495" s="86" t="s">
        <v>958</v>
      </c>
      <c r="R495" s="90"/>
      <c r="S495" s="87"/>
      <c r="T495" s="87"/>
      <c r="U495" s="87"/>
      <c r="V495" s="93"/>
      <c r="W495" s="91"/>
      <c r="X495" s="87"/>
      <c r="Y495" s="92"/>
      <c r="Z495" s="90"/>
      <c r="AA495" s="93"/>
      <c r="AB495" s="87"/>
      <c r="AC495" s="91"/>
      <c r="AD495" s="90"/>
      <c r="AE495" s="86"/>
      <c r="AF495" s="82"/>
      <c r="AG495" s="24"/>
      <c r="AH495" s="93"/>
      <c r="AI495" s="87"/>
      <c r="AJ495" s="86"/>
      <c r="AK495" s="81"/>
      <c r="AL495" s="24"/>
      <c r="AM495" s="24"/>
      <c r="AN495" s="81"/>
      <c r="AO495" s="81"/>
      <c r="AP495" s="24"/>
      <c r="AQ495" s="93"/>
      <c r="AR495" s="94"/>
      <c r="AS495" s="82"/>
      <c r="AT495" s="82"/>
      <c r="AU495" s="24"/>
      <c r="AV495" s="93"/>
      <c r="AW495" s="94"/>
      <c r="AX495" s="95"/>
      <c r="AY495" s="95"/>
      <c r="AZ495" s="95"/>
      <c r="BA495" s="24"/>
      <c r="BB495" s="9" t="s">
        <v>327</v>
      </c>
      <c r="BC495" s="96" t="s">
        <v>1128</v>
      </c>
    </row>
    <row r="496" spans="1:55" ht="15" customHeight="1">
      <c r="A496" s="86">
        <f t="shared" si="25"/>
        <v>494</v>
      </c>
      <c r="B496" s="75" t="s">
        <v>1175</v>
      </c>
      <c r="C496" s="9"/>
      <c r="D496" s="76" t="s">
        <v>750</v>
      </c>
      <c r="E496" s="88" t="str">
        <f>_xlfn.IFNA(VLOOKUP($D496,'Route-Details'!$B$2:$X$1048576,'Node Details'!E$1,0),"")</f>
        <v>Airtel</v>
      </c>
      <c r="F496" s="88" t="str">
        <f>_xlfn.IFNA(VLOOKUP($D496,'Route-Details'!$B$2:$X$1048576,'Node Details'!F$1,0),"")</f>
        <v>Mani Majra</v>
      </c>
      <c r="G496" s="88" t="str">
        <f>_xlfn.IFNA(VLOOKUP($D496,'Route-Details'!$B$2:$X$1048576,'Node Details'!G$1,0),"")</f>
        <v>Chandigarh</v>
      </c>
      <c r="H496" s="88" t="str">
        <f>_xlfn.IFNA(VLOOKUP($D497,'Route-Details'!$B$2:$X$1048576,'Node Details'!H$1,0),"")</f>
        <v>Punjab</v>
      </c>
      <c r="I496" s="88" t="str">
        <f>_xlfn.IFNA(VLOOKUP($D496,'Route-Details'!$B$2:$X$1048576,'Node Details'!I$1,0),"")</f>
        <v>CM3</v>
      </c>
      <c r="J496" s="88" t="str">
        <f>_xlfn.IFNA(VLOOKUP($D496,'Route-Details'!$B$2:$X$1048576,'Node Details'!J$1,0),"")</f>
        <v>CM3</v>
      </c>
      <c r="K496" s="76">
        <v>46142</v>
      </c>
      <c r="L496" s="76">
        <v>46149</v>
      </c>
      <c r="M496" s="89">
        <v>46149</v>
      </c>
      <c r="N496" s="76">
        <v>46149</v>
      </c>
      <c r="Q496" s="86" t="s">
        <v>958</v>
      </c>
      <c r="R496" s="90"/>
      <c r="S496" s="87"/>
      <c r="T496" s="87"/>
      <c r="U496" s="87"/>
      <c r="V496" s="93"/>
      <c r="W496" s="91"/>
      <c r="X496" s="87"/>
      <c r="Y496" s="92"/>
      <c r="Z496" s="90"/>
      <c r="AA496" s="93"/>
      <c r="AB496" s="87"/>
      <c r="AC496" s="91"/>
      <c r="AD496" s="90"/>
      <c r="AE496" s="86"/>
      <c r="AF496" s="82"/>
      <c r="AG496" s="24"/>
      <c r="AH496" s="93"/>
      <c r="AI496" s="87"/>
      <c r="AJ496" s="86"/>
      <c r="AK496" s="81"/>
      <c r="AL496" s="24"/>
      <c r="AM496" s="24"/>
      <c r="AN496" s="81"/>
      <c r="AO496" s="81"/>
      <c r="AP496" s="24"/>
      <c r="AQ496" s="93"/>
      <c r="AR496" s="94"/>
      <c r="AS496" s="82"/>
      <c r="AT496" s="82"/>
      <c r="AU496" s="24"/>
      <c r="AV496" s="93"/>
      <c r="AW496" s="94"/>
      <c r="AX496" s="95"/>
      <c r="AY496" s="95"/>
      <c r="AZ496" s="95"/>
      <c r="BA496" s="24"/>
      <c r="BB496" s="9" t="s">
        <v>332</v>
      </c>
      <c r="BC496" s="96" t="s">
        <v>1128</v>
      </c>
    </row>
    <row r="497" spans="1:55" ht="15" customHeight="1">
      <c r="A497" s="86">
        <f t="shared" si="25"/>
        <v>495</v>
      </c>
      <c r="B497" s="75" t="s">
        <v>751</v>
      </c>
      <c r="C497" s="9"/>
      <c r="D497" s="76" t="s">
        <v>750</v>
      </c>
      <c r="E497" s="88" t="str">
        <f>_xlfn.IFNA(VLOOKUP($D497,'Route-Details'!$B$2:$X$1048576,'Node Details'!E$1,0),"")</f>
        <v>Airtel</v>
      </c>
      <c r="F497" s="88" t="str">
        <f>_xlfn.IFNA(VLOOKUP($D497,'Route-Details'!$B$2:$X$1048576,'Node Details'!F$1,0),"")</f>
        <v>Mani Majra</v>
      </c>
      <c r="G497" s="88" t="str">
        <f>_xlfn.IFNA(VLOOKUP($D497,'Route-Details'!$B$2:$X$1048576,'Node Details'!G$1,0),"")</f>
        <v>Chandigarh</v>
      </c>
      <c r="H497" s="88" t="str">
        <f>_xlfn.IFNA(VLOOKUP($D498,'Route-Details'!$B$2:$X$1048576,'Node Details'!H$1,0),"")</f>
        <v>Punjab</v>
      </c>
      <c r="I497" s="88" t="str">
        <f>_xlfn.IFNA(VLOOKUP($D497,'Route-Details'!$B$2:$X$1048576,'Node Details'!I$1,0),"")</f>
        <v>CM3</v>
      </c>
      <c r="J497" s="88" t="str">
        <f>_xlfn.IFNA(VLOOKUP($D497,'Route-Details'!$B$2:$X$1048576,'Node Details'!J$1,0),"")</f>
        <v>CM3</v>
      </c>
      <c r="K497" s="76">
        <v>46142</v>
      </c>
      <c r="L497" s="76">
        <v>46149</v>
      </c>
      <c r="M497" s="89">
        <v>46149</v>
      </c>
      <c r="N497" s="76">
        <v>46149</v>
      </c>
      <c r="Q497" s="86" t="s">
        <v>958</v>
      </c>
      <c r="R497" s="90"/>
      <c r="S497" s="87"/>
      <c r="T497" s="87"/>
      <c r="U497" s="87"/>
      <c r="V497" s="93"/>
      <c r="W497" s="91"/>
      <c r="X497" s="87"/>
      <c r="Y497" s="92"/>
      <c r="Z497" s="90"/>
      <c r="AA497" s="93"/>
      <c r="AB497" s="87"/>
      <c r="AC497" s="91"/>
      <c r="AD497" s="90"/>
      <c r="AE497" s="86"/>
      <c r="AF497" s="82"/>
      <c r="AG497" s="24"/>
      <c r="AH497" s="93"/>
      <c r="AI497" s="87"/>
      <c r="AJ497" s="86"/>
      <c r="AK497" s="81"/>
      <c r="AL497" s="24"/>
      <c r="AM497" s="24"/>
      <c r="AN497" s="81"/>
      <c r="AO497" s="81"/>
      <c r="AP497" s="24"/>
      <c r="AQ497" s="93"/>
      <c r="AR497" s="94"/>
      <c r="AS497" s="82"/>
      <c r="AT497" s="82"/>
      <c r="AU497" s="24"/>
      <c r="AV497" s="93"/>
      <c r="AW497" s="94"/>
      <c r="AX497" s="95"/>
      <c r="AY497" s="95"/>
      <c r="AZ497" s="95"/>
      <c r="BA497" s="24"/>
      <c r="BB497" s="9" t="s">
        <v>332</v>
      </c>
      <c r="BC497" s="96" t="s">
        <v>1128</v>
      </c>
    </row>
    <row r="498" spans="1:55" ht="15" customHeight="1">
      <c r="A498" s="86">
        <f t="shared" si="25"/>
        <v>496</v>
      </c>
      <c r="B498" s="75" t="s">
        <v>753</v>
      </c>
      <c r="C498" s="9"/>
      <c r="D498" s="76" t="s">
        <v>620</v>
      </c>
      <c r="E498" s="88" t="str">
        <f>_xlfn.IFNA(VLOOKUP($D498,'Route-Details'!$B$2:$X$1048576,'Node Details'!E$1,0),"")</f>
        <v>Airtel</v>
      </c>
      <c r="F498" s="88" t="str">
        <f>_xlfn.IFNA(VLOOKUP($D498,'Route-Details'!$B$2:$X$1048576,'Node Details'!F$1,0),"")</f>
        <v>Mani Majra</v>
      </c>
      <c r="G498" s="88" t="str">
        <f>_xlfn.IFNA(VLOOKUP($D498,'Route-Details'!$B$2:$X$1048576,'Node Details'!G$1,0),"")</f>
        <v>Chandigarh</v>
      </c>
      <c r="H498" s="88" t="str">
        <f>_xlfn.IFNA(VLOOKUP($D499,'Route-Details'!$B$2:$X$1048576,'Node Details'!H$1,0),"")</f>
        <v>Punjab</v>
      </c>
      <c r="I498" s="88" t="str">
        <f>_xlfn.IFNA(VLOOKUP($D498,'Route-Details'!$B$2:$X$1048576,'Node Details'!I$1,0),"")</f>
        <v>CM3</v>
      </c>
      <c r="J498" s="88" t="str">
        <f>_xlfn.IFNA(VLOOKUP($D498,'Route-Details'!$B$2:$X$1048576,'Node Details'!J$1,0),"")</f>
        <v>CM3</v>
      </c>
      <c r="K498" s="76">
        <v>46142</v>
      </c>
      <c r="L498" s="76">
        <v>46149</v>
      </c>
      <c r="M498" s="89">
        <v>46149</v>
      </c>
      <c r="N498" s="76">
        <v>46149</v>
      </c>
      <c r="Q498" s="86" t="s">
        <v>958</v>
      </c>
      <c r="R498" s="90"/>
      <c r="S498" s="87"/>
      <c r="T498" s="87"/>
      <c r="U498" s="87"/>
      <c r="V498" s="93"/>
      <c r="W498" s="91"/>
      <c r="X498" s="87"/>
      <c r="Y498" s="92"/>
      <c r="Z498" s="90"/>
      <c r="AA498" s="93"/>
      <c r="AB498" s="87"/>
      <c r="AC498" s="91"/>
      <c r="AD498" s="90"/>
      <c r="AE498" s="86"/>
      <c r="AF498" s="82"/>
      <c r="AG498" s="24"/>
      <c r="AH498" s="93"/>
      <c r="AI498" s="87"/>
      <c r="AJ498" s="86"/>
      <c r="AK498" s="81"/>
      <c r="AL498" s="24"/>
      <c r="AM498" s="24"/>
      <c r="AN498" s="81"/>
      <c r="AO498" s="81"/>
      <c r="AP498" s="24"/>
      <c r="AQ498" s="93"/>
      <c r="AR498" s="94"/>
      <c r="AS498" s="82"/>
      <c r="AT498" s="82"/>
      <c r="AU498" s="24"/>
      <c r="AV498" s="93"/>
      <c r="AW498" s="94"/>
      <c r="AX498" s="95"/>
      <c r="AY498" s="95"/>
      <c r="AZ498" s="95"/>
      <c r="BA498" s="24"/>
      <c r="BB498" s="9" t="s">
        <v>96</v>
      </c>
      <c r="BC498" s="96" t="s">
        <v>1128</v>
      </c>
    </row>
    <row r="499" spans="1:55" ht="15" customHeight="1">
      <c r="A499" s="86">
        <f t="shared" si="25"/>
        <v>497</v>
      </c>
      <c r="B499" s="75" t="s">
        <v>754</v>
      </c>
      <c r="C499" s="9"/>
      <c r="D499" s="76" t="s">
        <v>752</v>
      </c>
      <c r="E499" s="88" t="str">
        <f>_xlfn.IFNA(VLOOKUP($D499,'Route-Details'!$B$2:$X$1048576,'Node Details'!E$1,0),"")</f>
        <v>Airtel</v>
      </c>
      <c r="F499" s="88" t="str">
        <f>_xlfn.IFNA(VLOOKUP($D499,'Route-Details'!$B$2:$X$1048576,'Node Details'!F$1,0),"")</f>
        <v>Mani Majra</v>
      </c>
      <c r="G499" s="88" t="str">
        <f>_xlfn.IFNA(VLOOKUP($D499,'Route-Details'!$B$2:$X$1048576,'Node Details'!G$1,0),"")</f>
        <v>Chandigarh</v>
      </c>
      <c r="H499" s="88" t="str">
        <f>_xlfn.IFNA(VLOOKUP($D500,'Route-Details'!$B$2:$X$1048576,'Node Details'!H$1,0),"")</f>
        <v>Punjab</v>
      </c>
      <c r="I499" s="88" t="str">
        <f>_xlfn.IFNA(VLOOKUP($D499,'Route-Details'!$B$2:$X$1048576,'Node Details'!I$1,0),"")</f>
        <v>CM3</v>
      </c>
      <c r="J499" s="88" t="str">
        <f>_xlfn.IFNA(VLOOKUP($D499,'Route-Details'!$B$2:$X$1048576,'Node Details'!J$1,0),"")</f>
        <v>CM3</v>
      </c>
      <c r="K499" s="76">
        <v>46142</v>
      </c>
      <c r="L499" s="76">
        <v>46149</v>
      </c>
      <c r="M499" s="89">
        <v>46149</v>
      </c>
      <c r="N499" s="76">
        <v>46149</v>
      </c>
      <c r="Q499" s="86" t="s">
        <v>958</v>
      </c>
      <c r="R499" s="90"/>
      <c r="S499" s="87"/>
      <c r="T499" s="87"/>
      <c r="U499" s="87"/>
      <c r="V499" s="93"/>
      <c r="W499" s="91"/>
      <c r="X499" s="87"/>
      <c r="Y499" s="92"/>
      <c r="Z499" s="90"/>
      <c r="AA499" s="93"/>
      <c r="AB499" s="87"/>
      <c r="AC499" s="91"/>
      <c r="AD499" s="90"/>
      <c r="AE499" s="86"/>
      <c r="AF499" s="82"/>
      <c r="AG499" s="24"/>
      <c r="AH499" s="93"/>
      <c r="AI499" s="87"/>
      <c r="AJ499" s="86"/>
      <c r="AK499" s="81"/>
      <c r="AL499" s="24"/>
      <c r="AM499" s="24"/>
      <c r="AN499" s="81"/>
      <c r="AO499" s="81"/>
      <c r="AP499" s="24"/>
      <c r="AQ499" s="93"/>
      <c r="AR499" s="94"/>
      <c r="AS499" s="82"/>
      <c r="AT499" s="82"/>
      <c r="AU499" s="24"/>
      <c r="AV499" s="93"/>
      <c r="AW499" s="94"/>
      <c r="AX499" s="95"/>
      <c r="AY499" s="95"/>
      <c r="AZ499" s="95"/>
      <c r="BA499" s="24"/>
      <c r="BB499" s="9" t="s">
        <v>336</v>
      </c>
      <c r="BC499" s="96" t="s">
        <v>1128</v>
      </c>
    </row>
    <row r="500" spans="1:55" ht="15" customHeight="1">
      <c r="A500" s="86">
        <f t="shared" si="25"/>
        <v>498</v>
      </c>
      <c r="B500" s="75" t="s">
        <v>1176</v>
      </c>
      <c r="C500" s="9"/>
      <c r="D500" s="76" t="s">
        <v>755</v>
      </c>
      <c r="E500" s="88" t="str">
        <f>_xlfn.IFNA(VLOOKUP($D500,'Route-Details'!$B$2:$X$1048576,'Node Details'!E$1,0),"")</f>
        <v>Airtel</v>
      </c>
      <c r="F500" s="88" t="str">
        <f>_xlfn.IFNA(VLOOKUP($D500,'Route-Details'!$B$2:$X$1048576,'Node Details'!F$1,0),"")</f>
        <v>Mani Majra</v>
      </c>
      <c r="G500" s="88" t="str">
        <f>_xlfn.IFNA(VLOOKUP($D500,'Route-Details'!$B$2:$X$1048576,'Node Details'!G$1,0),"")</f>
        <v>Chandigarh</v>
      </c>
      <c r="H500" s="88" t="str">
        <f>_xlfn.IFNA(VLOOKUP($D501,'Route-Details'!$B$2:$X$1048576,'Node Details'!H$1,0),"")</f>
        <v>Punjab</v>
      </c>
      <c r="I500" s="88" t="str">
        <f>_xlfn.IFNA(VLOOKUP($D500,'Route-Details'!$B$2:$X$1048576,'Node Details'!I$1,0),"")</f>
        <v>CM3</v>
      </c>
      <c r="J500" s="88" t="str">
        <f>_xlfn.IFNA(VLOOKUP($D500,'Route-Details'!$B$2:$X$1048576,'Node Details'!J$1,0),"")</f>
        <v>CM3</v>
      </c>
      <c r="K500" s="76">
        <v>46142</v>
      </c>
      <c r="L500" s="76">
        <v>46149</v>
      </c>
      <c r="M500" s="89">
        <v>46149</v>
      </c>
      <c r="N500" s="76">
        <v>46149</v>
      </c>
      <c r="Q500" s="86" t="s">
        <v>958</v>
      </c>
      <c r="R500" s="90"/>
      <c r="S500" s="87"/>
      <c r="T500" s="87"/>
      <c r="U500" s="87"/>
      <c r="V500" s="93"/>
      <c r="W500" s="91"/>
      <c r="X500" s="87"/>
      <c r="Y500" s="92"/>
      <c r="Z500" s="90"/>
      <c r="AA500" s="93"/>
      <c r="AB500" s="87"/>
      <c r="AC500" s="91"/>
      <c r="AD500" s="90"/>
      <c r="AE500" s="86"/>
      <c r="AF500" s="82"/>
      <c r="AG500" s="24"/>
      <c r="AH500" s="93"/>
      <c r="AI500" s="87"/>
      <c r="AJ500" s="86"/>
      <c r="AK500" s="81"/>
      <c r="AL500" s="24"/>
      <c r="AM500" s="24"/>
      <c r="AN500" s="81"/>
      <c r="AO500" s="81"/>
      <c r="AP500" s="24"/>
      <c r="AQ500" s="93"/>
      <c r="AR500" s="94"/>
      <c r="AS500" s="82"/>
      <c r="AT500" s="82"/>
      <c r="AU500" s="24"/>
      <c r="AV500" s="93"/>
      <c r="AW500" s="94"/>
      <c r="AX500" s="95"/>
      <c r="AY500" s="95"/>
      <c r="AZ500" s="95"/>
      <c r="BA500" s="24"/>
      <c r="BB500" s="9" t="s">
        <v>340</v>
      </c>
      <c r="BC500" s="96" t="s">
        <v>1128</v>
      </c>
    </row>
    <row r="501" spans="1:55" ht="15" customHeight="1">
      <c r="A501" s="86">
        <f t="shared" si="25"/>
        <v>499</v>
      </c>
      <c r="B501" s="75" t="s">
        <v>756</v>
      </c>
      <c r="C501" s="9"/>
      <c r="D501" s="76" t="s">
        <v>755</v>
      </c>
      <c r="E501" s="88" t="str">
        <f>_xlfn.IFNA(VLOOKUP($D501,'Route-Details'!$B$2:$X$1048576,'Node Details'!E$1,0),"")</f>
        <v>Airtel</v>
      </c>
      <c r="F501" s="88" t="str">
        <f>_xlfn.IFNA(VLOOKUP($D501,'Route-Details'!$B$2:$X$1048576,'Node Details'!F$1,0),"")</f>
        <v>Mani Majra</v>
      </c>
      <c r="G501" s="88" t="str">
        <f>_xlfn.IFNA(VLOOKUP($D501,'Route-Details'!$B$2:$X$1048576,'Node Details'!G$1,0),"")</f>
        <v>Chandigarh</v>
      </c>
      <c r="H501" s="88" t="str">
        <f>_xlfn.IFNA(VLOOKUP($D502,'Route-Details'!$B$2:$X$1048576,'Node Details'!H$1,0),"")</f>
        <v>Punjab</v>
      </c>
      <c r="I501" s="88" t="str">
        <f>_xlfn.IFNA(VLOOKUP($D501,'Route-Details'!$B$2:$X$1048576,'Node Details'!I$1,0),"")</f>
        <v>CM3</v>
      </c>
      <c r="J501" s="88" t="str">
        <f>_xlfn.IFNA(VLOOKUP($D501,'Route-Details'!$B$2:$X$1048576,'Node Details'!J$1,0),"")</f>
        <v>CM3</v>
      </c>
      <c r="K501" s="76">
        <v>46142</v>
      </c>
      <c r="L501" s="76">
        <v>46149</v>
      </c>
      <c r="M501" s="89">
        <v>46149</v>
      </c>
      <c r="N501" s="76">
        <v>46149</v>
      </c>
      <c r="Q501" s="86" t="s">
        <v>958</v>
      </c>
      <c r="R501" s="90"/>
      <c r="S501" s="87"/>
      <c r="T501" s="87"/>
      <c r="U501" s="87"/>
      <c r="V501" s="93"/>
      <c r="W501" s="91"/>
      <c r="X501" s="87"/>
      <c r="Y501" s="92"/>
      <c r="Z501" s="90"/>
      <c r="AA501" s="93"/>
      <c r="AB501" s="87"/>
      <c r="AC501" s="91"/>
      <c r="AD501" s="90"/>
      <c r="AE501" s="86"/>
      <c r="AF501" s="82"/>
      <c r="AG501" s="24"/>
      <c r="AH501" s="93"/>
      <c r="AI501" s="87"/>
      <c r="AJ501" s="86"/>
      <c r="AK501" s="81"/>
      <c r="AL501" s="24"/>
      <c r="AM501" s="24"/>
      <c r="AN501" s="81"/>
      <c r="AO501" s="81"/>
      <c r="AP501" s="24"/>
      <c r="AQ501" s="93"/>
      <c r="AR501" s="94"/>
      <c r="AS501" s="82"/>
      <c r="AT501" s="82"/>
      <c r="AU501" s="24"/>
      <c r="AV501" s="93"/>
      <c r="AW501" s="94"/>
      <c r="AX501" s="95"/>
      <c r="AY501" s="95"/>
      <c r="AZ501" s="95"/>
      <c r="BA501" s="24"/>
      <c r="BB501" s="9" t="s">
        <v>340</v>
      </c>
      <c r="BC501" s="96" t="s">
        <v>1128</v>
      </c>
    </row>
    <row r="502" spans="1:55" ht="15" customHeight="1">
      <c r="A502" s="86">
        <f t="shared" si="25"/>
        <v>500</v>
      </c>
      <c r="B502" s="75" t="s">
        <v>1177</v>
      </c>
      <c r="C502" s="9"/>
      <c r="D502" s="76" t="s">
        <v>757</v>
      </c>
      <c r="E502" s="88" t="str">
        <f>_xlfn.IFNA(VLOOKUP($D502,'Route-Details'!$B$2:$X$1048576,'Node Details'!E$1,0),"")</f>
        <v>Airtel</v>
      </c>
      <c r="F502" s="88" t="str">
        <f>_xlfn.IFNA(VLOOKUP($D502,'Route-Details'!$B$2:$X$1048576,'Node Details'!F$1,0),"")</f>
        <v>Mani Majra</v>
      </c>
      <c r="G502" s="88" t="str">
        <f>_xlfn.IFNA(VLOOKUP($D502,'Route-Details'!$B$2:$X$1048576,'Node Details'!G$1,0),"")</f>
        <v>Chandigarh</v>
      </c>
      <c r="H502" s="88" t="str">
        <f>_xlfn.IFNA(VLOOKUP($D503,'Route-Details'!$B$2:$X$1048576,'Node Details'!H$1,0),"")</f>
        <v>Punjab</v>
      </c>
      <c r="I502" s="88" t="str">
        <f>_xlfn.IFNA(VLOOKUP($D502,'Route-Details'!$B$2:$X$1048576,'Node Details'!I$1,0),"")</f>
        <v>CM3</v>
      </c>
      <c r="J502" s="88" t="str">
        <f>_xlfn.IFNA(VLOOKUP($D502,'Route-Details'!$B$2:$X$1048576,'Node Details'!J$1,0),"")</f>
        <v>CM3</v>
      </c>
      <c r="K502" s="76">
        <v>46142</v>
      </c>
      <c r="L502" s="76">
        <v>46149</v>
      </c>
      <c r="M502" s="89">
        <v>46149</v>
      </c>
      <c r="N502" s="76">
        <v>46149</v>
      </c>
      <c r="Q502" s="86" t="s">
        <v>958</v>
      </c>
      <c r="R502" s="90"/>
      <c r="S502" s="87"/>
      <c r="T502" s="87"/>
      <c r="U502" s="87"/>
      <c r="V502" s="93"/>
      <c r="W502" s="91"/>
      <c r="X502" s="87"/>
      <c r="Y502" s="92"/>
      <c r="Z502" s="90"/>
      <c r="AA502" s="93"/>
      <c r="AB502" s="87"/>
      <c r="AC502" s="91"/>
      <c r="AD502" s="90"/>
      <c r="AE502" s="86"/>
      <c r="AF502" s="82"/>
      <c r="AG502" s="24"/>
      <c r="AH502" s="93"/>
      <c r="AI502" s="87"/>
      <c r="AJ502" s="86"/>
      <c r="AK502" s="81"/>
      <c r="AL502" s="24"/>
      <c r="AM502" s="24"/>
      <c r="AN502" s="81"/>
      <c r="AO502" s="81"/>
      <c r="AP502" s="24"/>
      <c r="AQ502" s="93"/>
      <c r="AR502" s="94"/>
      <c r="AS502" s="82"/>
      <c r="AT502" s="82"/>
      <c r="AU502" s="24"/>
      <c r="AV502" s="93"/>
      <c r="AW502" s="94"/>
      <c r="AX502" s="95"/>
      <c r="AY502" s="95"/>
      <c r="AZ502" s="95"/>
      <c r="BA502" s="24"/>
      <c r="BB502" s="9" t="s">
        <v>343</v>
      </c>
      <c r="BC502" s="96" t="s">
        <v>1128</v>
      </c>
    </row>
    <row r="503" spans="1:55" ht="15" customHeight="1">
      <c r="A503" s="86">
        <f t="shared" si="25"/>
        <v>501</v>
      </c>
      <c r="B503" s="75" t="s">
        <v>758</v>
      </c>
      <c r="C503" s="9"/>
      <c r="D503" s="76" t="s">
        <v>757</v>
      </c>
      <c r="E503" s="88" t="str">
        <f>_xlfn.IFNA(VLOOKUP($D503,'Route-Details'!$B$2:$X$1048576,'Node Details'!E$1,0),"")</f>
        <v>Airtel</v>
      </c>
      <c r="F503" s="88" t="str">
        <f>_xlfn.IFNA(VLOOKUP($D503,'Route-Details'!$B$2:$X$1048576,'Node Details'!F$1,0),"")</f>
        <v>Mani Majra</v>
      </c>
      <c r="G503" s="88" t="str">
        <f>_xlfn.IFNA(VLOOKUP($D503,'Route-Details'!$B$2:$X$1048576,'Node Details'!G$1,0),"")</f>
        <v>Chandigarh</v>
      </c>
      <c r="H503" s="88" t="str">
        <f>_xlfn.IFNA(VLOOKUP($D504,'Route-Details'!$B$2:$X$1048576,'Node Details'!H$1,0),"")</f>
        <v>Punjab</v>
      </c>
      <c r="I503" s="88" t="str">
        <f>_xlfn.IFNA(VLOOKUP($D503,'Route-Details'!$B$2:$X$1048576,'Node Details'!I$1,0),"")</f>
        <v>CM3</v>
      </c>
      <c r="J503" s="88" t="str">
        <f>_xlfn.IFNA(VLOOKUP($D503,'Route-Details'!$B$2:$X$1048576,'Node Details'!J$1,0),"")</f>
        <v>CM3</v>
      </c>
      <c r="K503" s="76">
        <v>46142</v>
      </c>
      <c r="L503" s="76">
        <v>46149</v>
      </c>
      <c r="M503" s="89">
        <v>46149</v>
      </c>
      <c r="N503" s="76">
        <v>46149</v>
      </c>
      <c r="Q503" s="86" t="s">
        <v>958</v>
      </c>
      <c r="R503" s="90"/>
      <c r="S503" s="87"/>
      <c r="T503" s="87"/>
      <c r="U503" s="87"/>
      <c r="V503" s="93"/>
      <c r="W503" s="91"/>
      <c r="X503" s="87"/>
      <c r="Y503" s="92"/>
      <c r="Z503" s="90"/>
      <c r="AA503" s="93"/>
      <c r="AB503" s="87"/>
      <c r="AC503" s="91"/>
      <c r="AD503" s="90"/>
      <c r="AE503" s="86"/>
      <c r="AF503" s="82"/>
      <c r="AG503" s="24"/>
      <c r="AH503" s="93"/>
      <c r="AI503" s="87"/>
      <c r="AJ503" s="86"/>
      <c r="AK503" s="81"/>
      <c r="AL503" s="24"/>
      <c r="AM503" s="24"/>
      <c r="AN503" s="81"/>
      <c r="AO503" s="81"/>
      <c r="AP503" s="24"/>
      <c r="AQ503" s="93"/>
      <c r="AR503" s="94"/>
      <c r="AS503" s="82"/>
      <c r="AT503" s="82"/>
      <c r="AU503" s="24"/>
      <c r="AV503" s="93"/>
      <c r="AW503" s="94"/>
      <c r="AX503" s="95"/>
      <c r="AY503" s="95"/>
      <c r="AZ503" s="95"/>
      <c r="BA503" s="24"/>
      <c r="BB503" s="9" t="s">
        <v>343</v>
      </c>
      <c r="BC503" s="96" t="s">
        <v>1128</v>
      </c>
    </row>
    <row r="504" spans="1:55" ht="15" customHeight="1">
      <c r="A504" s="86">
        <f t="shared" si="25"/>
        <v>502</v>
      </c>
      <c r="B504" s="75" t="s">
        <v>1178</v>
      </c>
      <c r="C504" s="9"/>
      <c r="D504" s="76" t="s">
        <v>759</v>
      </c>
      <c r="E504" s="88" t="str">
        <f>_xlfn.IFNA(VLOOKUP($D504,'Route-Details'!$B$2:$X$1048576,'Node Details'!E$1,0),"")</f>
        <v>Airtel</v>
      </c>
      <c r="F504" s="88" t="str">
        <f>_xlfn.IFNA(VLOOKUP($D504,'Route-Details'!$B$2:$X$1048576,'Node Details'!F$1,0),"")</f>
        <v>Mani Majra</v>
      </c>
      <c r="G504" s="88" t="str">
        <f>_xlfn.IFNA(VLOOKUP($D504,'Route-Details'!$B$2:$X$1048576,'Node Details'!G$1,0),"")</f>
        <v>Chandigarh</v>
      </c>
      <c r="H504" s="88" t="str">
        <f>_xlfn.IFNA(VLOOKUP($D505,'Route-Details'!$B$2:$X$1048576,'Node Details'!H$1,0),"")</f>
        <v>Punjab</v>
      </c>
      <c r="I504" s="88" t="str">
        <f>_xlfn.IFNA(VLOOKUP($D504,'Route-Details'!$B$2:$X$1048576,'Node Details'!I$1,0),"")</f>
        <v>CM3</v>
      </c>
      <c r="J504" s="88" t="str">
        <f>_xlfn.IFNA(VLOOKUP($D504,'Route-Details'!$B$2:$X$1048576,'Node Details'!J$1,0),"")</f>
        <v>CM3</v>
      </c>
      <c r="K504" s="76">
        <v>46142</v>
      </c>
      <c r="L504" s="76">
        <v>46149</v>
      </c>
      <c r="M504" s="89">
        <v>46149</v>
      </c>
      <c r="N504" s="76">
        <v>46149</v>
      </c>
      <c r="Q504" s="86" t="s">
        <v>958</v>
      </c>
      <c r="R504" s="90"/>
      <c r="S504" s="87"/>
      <c r="T504" s="87"/>
      <c r="U504" s="87"/>
      <c r="V504" s="93"/>
      <c r="W504" s="91"/>
      <c r="X504" s="87"/>
      <c r="Y504" s="92"/>
      <c r="Z504" s="90"/>
      <c r="AA504" s="93"/>
      <c r="AB504" s="87"/>
      <c r="AC504" s="91"/>
      <c r="AD504" s="90"/>
      <c r="AE504" s="86"/>
      <c r="AF504" s="82"/>
      <c r="AG504" s="24"/>
      <c r="AH504" s="93"/>
      <c r="AI504" s="87"/>
      <c r="AJ504" s="86"/>
      <c r="AK504" s="81"/>
      <c r="AL504" s="24"/>
      <c r="AM504" s="24"/>
      <c r="AN504" s="81"/>
      <c r="AO504" s="81"/>
      <c r="AP504" s="24"/>
      <c r="AQ504" s="93"/>
      <c r="AR504" s="94"/>
      <c r="AS504" s="82"/>
      <c r="AT504" s="82"/>
      <c r="AU504" s="24"/>
      <c r="AV504" s="93"/>
      <c r="AW504" s="94"/>
      <c r="AX504" s="95"/>
      <c r="AY504" s="95"/>
      <c r="AZ504" s="95"/>
      <c r="BA504" s="24"/>
      <c r="BB504" s="9" t="s">
        <v>347</v>
      </c>
      <c r="BC504" s="96" t="s">
        <v>1128</v>
      </c>
    </row>
    <row r="505" spans="1:55" ht="15" customHeight="1">
      <c r="A505" s="86">
        <f t="shared" si="25"/>
        <v>503</v>
      </c>
      <c r="B505" s="75" t="s">
        <v>760</v>
      </c>
      <c r="C505" s="9"/>
      <c r="D505" s="76" t="s">
        <v>759</v>
      </c>
      <c r="E505" s="88" t="str">
        <f>_xlfn.IFNA(VLOOKUP($D505,'Route-Details'!$B$2:$X$1048576,'Node Details'!E$1,0),"")</f>
        <v>Airtel</v>
      </c>
      <c r="F505" s="88" t="str">
        <f>_xlfn.IFNA(VLOOKUP($D505,'Route-Details'!$B$2:$X$1048576,'Node Details'!F$1,0),"")</f>
        <v>Mani Majra</v>
      </c>
      <c r="G505" s="88" t="str">
        <f>_xlfn.IFNA(VLOOKUP($D505,'Route-Details'!$B$2:$X$1048576,'Node Details'!G$1,0),"")</f>
        <v>Chandigarh</v>
      </c>
      <c r="H505" s="88" t="str">
        <f>_xlfn.IFNA(VLOOKUP($D506,'Route-Details'!$B$2:$X$1048576,'Node Details'!H$1,0),"")</f>
        <v>Punjab</v>
      </c>
      <c r="I505" s="88" t="str">
        <f>_xlfn.IFNA(VLOOKUP($D505,'Route-Details'!$B$2:$X$1048576,'Node Details'!I$1,0),"")</f>
        <v>CM3</v>
      </c>
      <c r="J505" s="88" t="str">
        <f>_xlfn.IFNA(VLOOKUP($D505,'Route-Details'!$B$2:$X$1048576,'Node Details'!J$1,0),"")</f>
        <v>CM3</v>
      </c>
      <c r="K505" s="76">
        <v>46142</v>
      </c>
      <c r="L505" s="76">
        <v>46149</v>
      </c>
      <c r="M505" s="89">
        <v>46149</v>
      </c>
      <c r="N505" s="76">
        <v>46149</v>
      </c>
      <c r="Q505" s="86" t="s">
        <v>958</v>
      </c>
      <c r="R505" s="90"/>
      <c r="S505" s="87"/>
      <c r="T505" s="87"/>
      <c r="U505" s="87"/>
      <c r="V505" s="93"/>
      <c r="W505" s="91"/>
      <c r="X505" s="87"/>
      <c r="Y505" s="92"/>
      <c r="Z505" s="90"/>
      <c r="AA505" s="93"/>
      <c r="AB505" s="87"/>
      <c r="AC505" s="91"/>
      <c r="AD505" s="90"/>
      <c r="AE505" s="86"/>
      <c r="AF505" s="82"/>
      <c r="AG505" s="24"/>
      <c r="AH505" s="93"/>
      <c r="AI505" s="87"/>
      <c r="AJ505" s="86"/>
      <c r="AK505" s="81"/>
      <c r="AL505" s="24"/>
      <c r="AM505" s="24"/>
      <c r="AN505" s="81"/>
      <c r="AO505" s="81"/>
      <c r="AP505" s="24"/>
      <c r="AQ505" s="93"/>
      <c r="AR505" s="94"/>
      <c r="AS505" s="82"/>
      <c r="AT505" s="82"/>
      <c r="AU505" s="24"/>
      <c r="AV505" s="93"/>
      <c r="AW505" s="94"/>
      <c r="AX505" s="95"/>
      <c r="AY505" s="95"/>
      <c r="AZ505" s="95"/>
      <c r="BA505" s="24"/>
      <c r="BB505" s="9" t="s">
        <v>347</v>
      </c>
      <c r="BC505" s="96" t="s">
        <v>1128</v>
      </c>
    </row>
    <row r="506" spans="1:55" ht="15" customHeight="1">
      <c r="A506" s="86">
        <f t="shared" si="25"/>
        <v>504</v>
      </c>
      <c r="B506" s="75" t="s">
        <v>762</v>
      </c>
      <c r="C506" s="9"/>
      <c r="D506" s="76" t="s">
        <v>620</v>
      </c>
      <c r="E506" s="88" t="str">
        <f>_xlfn.IFNA(VLOOKUP($D506,'Route-Details'!$B$2:$X$1048576,'Node Details'!E$1,0),"")</f>
        <v>Airtel</v>
      </c>
      <c r="F506" s="88" t="str">
        <f>_xlfn.IFNA(VLOOKUP($D506,'Route-Details'!$B$2:$X$1048576,'Node Details'!F$1,0),"")</f>
        <v>Mani Majra</v>
      </c>
      <c r="G506" s="88" t="str">
        <f>_xlfn.IFNA(VLOOKUP($D506,'Route-Details'!$B$2:$X$1048576,'Node Details'!G$1,0),"")</f>
        <v>Chandigarh</v>
      </c>
      <c r="H506" s="88" t="str">
        <f>_xlfn.IFNA(VLOOKUP($D507,'Route-Details'!$B$2:$X$1048576,'Node Details'!H$1,0),"")</f>
        <v>Punjab</v>
      </c>
      <c r="I506" s="88" t="str">
        <f>_xlfn.IFNA(VLOOKUP($D506,'Route-Details'!$B$2:$X$1048576,'Node Details'!I$1,0),"")</f>
        <v>CM3</v>
      </c>
      <c r="J506" s="88" t="str">
        <f>_xlfn.IFNA(VLOOKUP($D506,'Route-Details'!$B$2:$X$1048576,'Node Details'!J$1,0),"")</f>
        <v>CM3</v>
      </c>
      <c r="K506" s="76">
        <v>46142</v>
      </c>
      <c r="L506" s="76">
        <v>46149</v>
      </c>
      <c r="M506" s="89">
        <v>46149</v>
      </c>
      <c r="N506" s="76">
        <v>46149</v>
      </c>
      <c r="Q506" s="86" t="s">
        <v>958</v>
      </c>
      <c r="R506" s="90"/>
      <c r="S506" s="87"/>
      <c r="T506" s="87"/>
      <c r="U506" s="87"/>
      <c r="V506" s="93"/>
      <c r="W506" s="91"/>
      <c r="X506" s="87"/>
      <c r="Y506" s="92"/>
      <c r="Z506" s="90"/>
      <c r="AA506" s="93"/>
      <c r="AB506" s="87"/>
      <c r="AC506" s="91"/>
      <c r="AD506" s="90"/>
      <c r="AE506" s="86"/>
      <c r="AF506" s="82"/>
      <c r="AG506" s="24"/>
      <c r="AH506" s="93"/>
      <c r="AI506" s="87"/>
      <c r="AJ506" s="86"/>
      <c r="AK506" s="81"/>
      <c r="AL506" s="24"/>
      <c r="AM506" s="24"/>
      <c r="AN506" s="81"/>
      <c r="AO506" s="81"/>
      <c r="AP506" s="24"/>
      <c r="AQ506" s="93"/>
      <c r="AR506" s="94"/>
      <c r="AS506" s="82"/>
      <c r="AT506" s="82"/>
      <c r="AU506" s="24"/>
      <c r="AV506" s="93"/>
      <c r="AW506" s="94"/>
      <c r="AX506" s="95"/>
      <c r="AY506" s="95"/>
      <c r="AZ506" s="95"/>
      <c r="BA506" s="24"/>
      <c r="BB506" s="9" t="s">
        <v>96</v>
      </c>
      <c r="BC506" s="96" t="s">
        <v>1128</v>
      </c>
    </row>
    <row r="507" spans="1:55" ht="15" customHeight="1">
      <c r="A507" s="86">
        <f t="shared" si="25"/>
        <v>505</v>
      </c>
      <c r="B507" s="75" t="s">
        <v>1179</v>
      </c>
      <c r="C507" s="9"/>
      <c r="D507" s="76" t="s">
        <v>761</v>
      </c>
      <c r="E507" s="88" t="str">
        <f>_xlfn.IFNA(VLOOKUP($D507,'Route-Details'!$B$2:$X$1048576,'Node Details'!E$1,0),"")</f>
        <v>Airtel</v>
      </c>
      <c r="F507" s="88" t="str">
        <f>_xlfn.IFNA(VLOOKUP($D507,'Route-Details'!$B$2:$X$1048576,'Node Details'!F$1,0),"")</f>
        <v>Mani Majra</v>
      </c>
      <c r="G507" s="88" t="str">
        <f>_xlfn.IFNA(VLOOKUP($D507,'Route-Details'!$B$2:$X$1048576,'Node Details'!G$1,0),"")</f>
        <v>Chandigarh</v>
      </c>
      <c r="H507" s="88" t="str">
        <f>_xlfn.IFNA(VLOOKUP($D508,'Route-Details'!$B$2:$X$1048576,'Node Details'!H$1,0),"")</f>
        <v>Punjab</v>
      </c>
      <c r="I507" s="88" t="str">
        <f>_xlfn.IFNA(VLOOKUP($D507,'Route-Details'!$B$2:$X$1048576,'Node Details'!I$1,0),"")</f>
        <v>CM3</v>
      </c>
      <c r="J507" s="88" t="str">
        <f>_xlfn.IFNA(VLOOKUP($D507,'Route-Details'!$B$2:$X$1048576,'Node Details'!J$1,0),"")</f>
        <v>CM3</v>
      </c>
      <c r="K507" s="76">
        <v>46142</v>
      </c>
      <c r="L507" s="76">
        <v>46149</v>
      </c>
      <c r="M507" s="89">
        <v>46149</v>
      </c>
      <c r="N507" s="76">
        <v>46149</v>
      </c>
      <c r="Q507" s="86" t="s">
        <v>958</v>
      </c>
      <c r="R507" s="90"/>
      <c r="S507" s="87"/>
      <c r="T507" s="87"/>
      <c r="U507" s="87"/>
      <c r="V507" s="93"/>
      <c r="W507" s="91"/>
      <c r="X507" s="87"/>
      <c r="Y507" s="92"/>
      <c r="Z507" s="90"/>
      <c r="AA507" s="93"/>
      <c r="AB507" s="87"/>
      <c r="AC507" s="91"/>
      <c r="AD507" s="90"/>
      <c r="AE507" s="86"/>
      <c r="AF507" s="82"/>
      <c r="AG507" s="24"/>
      <c r="AH507" s="93"/>
      <c r="AI507" s="87"/>
      <c r="AJ507" s="86"/>
      <c r="AK507" s="81"/>
      <c r="AL507" s="24"/>
      <c r="AM507" s="24"/>
      <c r="AN507" s="81"/>
      <c r="AO507" s="81"/>
      <c r="AP507" s="24"/>
      <c r="AQ507" s="93"/>
      <c r="AR507" s="94"/>
      <c r="AS507" s="82"/>
      <c r="AT507" s="82"/>
      <c r="AU507" s="24"/>
      <c r="AV507" s="93"/>
      <c r="AW507" s="94"/>
      <c r="AX507" s="95"/>
      <c r="AY507" s="95"/>
      <c r="AZ507" s="95"/>
      <c r="BA507" s="24"/>
      <c r="BB507" s="9" t="s">
        <v>350</v>
      </c>
      <c r="BC507" s="96" t="s">
        <v>1128</v>
      </c>
    </row>
    <row r="508" spans="1:55" ht="15" customHeight="1">
      <c r="A508" s="86">
        <f t="shared" si="25"/>
        <v>506</v>
      </c>
      <c r="B508" s="75" t="s">
        <v>1180</v>
      </c>
      <c r="C508" s="9"/>
      <c r="D508" s="76" t="s">
        <v>761</v>
      </c>
      <c r="E508" s="88" t="str">
        <f>_xlfn.IFNA(VLOOKUP($D508,'Route-Details'!$B$2:$X$1048576,'Node Details'!E$1,0),"")</f>
        <v>Airtel</v>
      </c>
      <c r="F508" s="88" t="str">
        <f>_xlfn.IFNA(VLOOKUP($D508,'Route-Details'!$B$2:$X$1048576,'Node Details'!F$1,0),"")</f>
        <v>Mani Majra</v>
      </c>
      <c r="G508" s="88" t="str">
        <f>_xlfn.IFNA(VLOOKUP($D508,'Route-Details'!$B$2:$X$1048576,'Node Details'!G$1,0),"")</f>
        <v>Chandigarh</v>
      </c>
      <c r="H508" s="88" t="str">
        <f>_xlfn.IFNA(VLOOKUP($D509,'Route-Details'!$B$2:$X$1048576,'Node Details'!H$1,0),"")</f>
        <v>Punjab</v>
      </c>
      <c r="I508" s="88" t="str">
        <f>_xlfn.IFNA(VLOOKUP($D508,'Route-Details'!$B$2:$X$1048576,'Node Details'!I$1,0),"")</f>
        <v>CM3</v>
      </c>
      <c r="J508" s="88" t="str">
        <f>_xlfn.IFNA(VLOOKUP($D508,'Route-Details'!$B$2:$X$1048576,'Node Details'!J$1,0),"")</f>
        <v>CM3</v>
      </c>
      <c r="K508" s="76">
        <v>46142</v>
      </c>
      <c r="L508" s="76">
        <v>46149</v>
      </c>
      <c r="M508" s="89">
        <v>46149</v>
      </c>
      <c r="N508" s="76">
        <v>46149</v>
      </c>
      <c r="Q508" s="86" t="s">
        <v>958</v>
      </c>
      <c r="R508" s="90"/>
      <c r="S508" s="87"/>
      <c r="T508" s="87"/>
      <c r="U508" s="87"/>
      <c r="V508" s="93"/>
      <c r="W508" s="91"/>
      <c r="X508" s="87"/>
      <c r="Y508" s="92"/>
      <c r="Z508" s="90"/>
      <c r="AA508" s="93"/>
      <c r="AB508" s="87"/>
      <c r="AC508" s="91"/>
      <c r="AD508" s="90"/>
      <c r="AE508" s="86"/>
      <c r="AF508" s="82"/>
      <c r="AG508" s="24"/>
      <c r="AH508" s="93"/>
      <c r="AI508" s="87"/>
      <c r="AJ508" s="86"/>
      <c r="AK508" s="81"/>
      <c r="AL508" s="24"/>
      <c r="AM508" s="24"/>
      <c r="AN508" s="81"/>
      <c r="AO508" s="81"/>
      <c r="AP508" s="24"/>
      <c r="AQ508" s="93"/>
      <c r="AR508" s="94"/>
      <c r="AS508" s="82"/>
      <c r="AT508" s="82"/>
      <c r="AU508" s="24"/>
      <c r="AV508" s="93"/>
      <c r="AW508" s="94"/>
      <c r="AX508" s="95"/>
      <c r="AY508" s="95"/>
      <c r="AZ508" s="95"/>
      <c r="BA508" s="24"/>
      <c r="BB508" s="9" t="s">
        <v>350</v>
      </c>
      <c r="BC508" s="96" t="s">
        <v>1128</v>
      </c>
    </row>
    <row r="509" spans="1:55" ht="15" customHeight="1">
      <c r="A509" s="86">
        <f t="shared" si="25"/>
        <v>507</v>
      </c>
      <c r="B509" s="75" t="s">
        <v>1181</v>
      </c>
      <c r="C509" s="9"/>
      <c r="D509" s="76" t="s">
        <v>761</v>
      </c>
      <c r="E509" s="88" t="str">
        <f>_xlfn.IFNA(VLOOKUP($D509,'Route-Details'!$B$2:$X$1048576,'Node Details'!E$1,0),"")</f>
        <v>Airtel</v>
      </c>
      <c r="F509" s="88" t="str">
        <f>_xlfn.IFNA(VLOOKUP($D509,'Route-Details'!$B$2:$X$1048576,'Node Details'!F$1,0),"")</f>
        <v>Mani Majra</v>
      </c>
      <c r="G509" s="88" t="str">
        <f>_xlfn.IFNA(VLOOKUP($D509,'Route-Details'!$B$2:$X$1048576,'Node Details'!G$1,0),"")</f>
        <v>Chandigarh</v>
      </c>
      <c r="H509" s="88" t="str">
        <f>_xlfn.IFNA(VLOOKUP($D510,'Route-Details'!$B$2:$X$1048576,'Node Details'!H$1,0),"")</f>
        <v>Punjab</v>
      </c>
      <c r="I509" s="88" t="str">
        <f>_xlfn.IFNA(VLOOKUP($D509,'Route-Details'!$B$2:$X$1048576,'Node Details'!I$1,0),"")</f>
        <v>CM3</v>
      </c>
      <c r="J509" s="88" t="str">
        <f>_xlfn.IFNA(VLOOKUP($D509,'Route-Details'!$B$2:$X$1048576,'Node Details'!J$1,0),"")</f>
        <v>CM3</v>
      </c>
      <c r="K509" s="76">
        <v>46142</v>
      </c>
      <c r="L509" s="76">
        <v>46149</v>
      </c>
      <c r="M509" s="89">
        <v>46149</v>
      </c>
      <c r="N509" s="76">
        <v>46149</v>
      </c>
      <c r="Q509" s="86" t="s">
        <v>958</v>
      </c>
      <c r="R509" s="90"/>
      <c r="S509" s="87"/>
      <c r="T509" s="87"/>
      <c r="U509" s="87"/>
      <c r="V509" s="93"/>
      <c r="W509" s="91"/>
      <c r="X509" s="87"/>
      <c r="Y509" s="92"/>
      <c r="Z509" s="90"/>
      <c r="AA509" s="93"/>
      <c r="AB509" s="87"/>
      <c r="AC509" s="91"/>
      <c r="AD509" s="90"/>
      <c r="AE509" s="86"/>
      <c r="AF509" s="82"/>
      <c r="AG509" s="24"/>
      <c r="AH509" s="93"/>
      <c r="AI509" s="87"/>
      <c r="AJ509" s="86"/>
      <c r="AK509" s="81"/>
      <c r="AL509" s="24"/>
      <c r="AM509" s="24"/>
      <c r="AN509" s="81"/>
      <c r="AO509" s="81"/>
      <c r="AP509" s="24"/>
      <c r="AQ509" s="93"/>
      <c r="AR509" s="94"/>
      <c r="AS509" s="82"/>
      <c r="AT509" s="82"/>
      <c r="AU509" s="24"/>
      <c r="AV509" s="93"/>
      <c r="AW509" s="94"/>
      <c r="AX509" s="95"/>
      <c r="AY509" s="95"/>
      <c r="AZ509" s="95"/>
      <c r="BA509" s="24"/>
      <c r="BB509" s="9" t="s">
        <v>350</v>
      </c>
      <c r="BC509" s="96" t="s">
        <v>1128</v>
      </c>
    </row>
    <row r="510" spans="1:55" ht="15" customHeight="1">
      <c r="A510" s="86">
        <f t="shared" si="25"/>
        <v>508</v>
      </c>
      <c r="B510" s="75" t="s">
        <v>763</v>
      </c>
      <c r="C510" s="9"/>
      <c r="D510" s="76" t="s">
        <v>761</v>
      </c>
      <c r="E510" s="88" t="str">
        <f>_xlfn.IFNA(VLOOKUP($D510,'Route-Details'!$B$2:$X$1048576,'Node Details'!E$1,0),"")</f>
        <v>Airtel</v>
      </c>
      <c r="F510" s="88" t="str">
        <f>_xlfn.IFNA(VLOOKUP($D510,'Route-Details'!$B$2:$X$1048576,'Node Details'!F$1,0),"")</f>
        <v>Mani Majra</v>
      </c>
      <c r="G510" s="88" t="str">
        <f>_xlfn.IFNA(VLOOKUP($D510,'Route-Details'!$B$2:$X$1048576,'Node Details'!G$1,0),"")</f>
        <v>Chandigarh</v>
      </c>
      <c r="H510" s="88" t="str">
        <f>_xlfn.IFNA(VLOOKUP($D511,'Route-Details'!$B$2:$X$1048576,'Node Details'!H$1,0),"")</f>
        <v>Punjab</v>
      </c>
      <c r="I510" s="88" t="str">
        <f>_xlfn.IFNA(VLOOKUP($D510,'Route-Details'!$B$2:$X$1048576,'Node Details'!I$1,0),"")</f>
        <v>CM3</v>
      </c>
      <c r="J510" s="88" t="str">
        <f>_xlfn.IFNA(VLOOKUP($D510,'Route-Details'!$B$2:$X$1048576,'Node Details'!J$1,0),"")</f>
        <v>CM3</v>
      </c>
      <c r="K510" s="76">
        <v>46142</v>
      </c>
      <c r="L510" s="76">
        <v>46149</v>
      </c>
      <c r="M510" s="89">
        <v>46149</v>
      </c>
      <c r="N510" s="76">
        <v>46149</v>
      </c>
      <c r="Q510" s="86" t="s">
        <v>958</v>
      </c>
      <c r="R510" s="90"/>
      <c r="S510" s="87"/>
      <c r="T510" s="87"/>
      <c r="U510" s="87"/>
      <c r="V510" s="93"/>
      <c r="W510" s="91"/>
      <c r="X510" s="87"/>
      <c r="Y510" s="92"/>
      <c r="Z510" s="90"/>
      <c r="AA510" s="93"/>
      <c r="AB510" s="87"/>
      <c r="AC510" s="91"/>
      <c r="AD510" s="90"/>
      <c r="AE510" s="86"/>
      <c r="AF510" s="82"/>
      <c r="AG510" s="24"/>
      <c r="AH510" s="93"/>
      <c r="AI510" s="87"/>
      <c r="AJ510" s="86"/>
      <c r="AK510" s="81"/>
      <c r="AL510" s="24"/>
      <c r="AM510" s="24"/>
      <c r="AN510" s="81"/>
      <c r="AO510" s="81"/>
      <c r="AP510" s="24"/>
      <c r="AQ510" s="93"/>
      <c r="AR510" s="94"/>
      <c r="AS510" s="82"/>
      <c r="AT510" s="82"/>
      <c r="AU510" s="24"/>
      <c r="AV510" s="93"/>
      <c r="AW510" s="94"/>
      <c r="AX510" s="95"/>
      <c r="AY510" s="95"/>
      <c r="AZ510" s="95"/>
      <c r="BA510" s="24"/>
      <c r="BB510" s="9" t="s">
        <v>350</v>
      </c>
      <c r="BC510" s="96" t="s">
        <v>1128</v>
      </c>
    </row>
    <row r="511" spans="1:55" ht="15" customHeight="1">
      <c r="A511" s="86">
        <f t="shared" si="25"/>
        <v>509</v>
      </c>
      <c r="B511" s="75" t="s">
        <v>1182</v>
      </c>
      <c r="C511" s="9"/>
      <c r="D511" s="76" t="s">
        <v>764</v>
      </c>
      <c r="E511" s="88" t="str">
        <f>_xlfn.IFNA(VLOOKUP($D511,'Route-Details'!$B$2:$X$1048576,'Node Details'!E$1,0),"")</f>
        <v>Airtel</v>
      </c>
      <c r="F511" s="88" t="str">
        <f>_xlfn.IFNA(VLOOKUP($D511,'Route-Details'!$B$2:$X$1048576,'Node Details'!F$1,0),"")</f>
        <v>Mani Majra</v>
      </c>
      <c r="G511" s="88" t="str">
        <f>_xlfn.IFNA(VLOOKUP($D511,'Route-Details'!$B$2:$X$1048576,'Node Details'!G$1,0),"")</f>
        <v>Chandigarh</v>
      </c>
      <c r="H511" s="88" t="str">
        <f>_xlfn.IFNA(VLOOKUP($D512,'Route-Details'!$B$2:$X$1048576,'Node Details'!H$1,0),"")</f>
        <v>Punjab</v>
      </c>
      <c r="I511" s="88" t="str">
        <f>_xlfn.IFNA(VLOOKUP($D511,'Route-Details'!$B$2:$X$1048576,'Node Details'!I$1,0),"")</f>
        <v>CM3</v>
      </c>
      <c r="J511" s="88" t="str">
        <f>_xlfn.IFNA(VLOOKUP($D511,'Route-Details'!$B$2:$X$1048576,'Node Details'!J$1,0),"")</f>
        <v>CM3</v>
      </c>
      <c r="K511" s="76">
        <v>46142</v>
      </c>
      <c r="L511" s="76">
        <v>46149</v>
      </c>
      <c r="M511" s="89">
        <v>46149</v>
      </c>
      <c r="N511" s="76">
        <v>46149</v>
      </c>
      <c r="Q511" s="86" t="s">
        <v>958</v>
      </c>
      <c r="R511" s="90"/>
      <c r="S511" s="87"/>
      <c r="T511" s="87"/>
      <c r="U511" s="87"/>
      <c r="V511" s="93"/>
      <c r="W511" s="91"/>
      <c r="X511" s="87"/>
      <c r="Y511" s="92"/>
      <c r="Z511" s="90"/>
      <c r="AA511" s="93"/>
      <c r="AB511" s="87"/>
      <c r="AC511" s="91"/>
      <c r="AD511" s="90"/>
      <c r="AE511" s="86"/>
      <c r="AF511" s="82"/>
      <c r="AG511" s="24"/>
      <c r="AH511" s="93"/>
      <c r="AI511" s="87"/>
      <c r="AJ511" s="86"/>
      <c r="AK511" s="81"/>
      <c r="AL511" s="24"/>
      <c r="AM511" s="24"/>
      <c r="AN511" s="81"/>
      <c r="AO511" s="81"/>
      <c r="AP511" s="24"/>
      <c r="AQ511" s="93"/>
      <c r="AR511" s="94"/>
      <c r="AS511" s="82"/>
      <c r="AT511" s="82"/>
      <c r="AU511" s="24"/>
      <c r="AV511" s="93"/>
      <c r="AW511" s="94"/>
      <c r="AX511" s="95"/>
      <c r="AY511" s="95"/>
      <c r="AZ511" s="95"/>
      <c r="BA511" s="24"/>
      <c r="BB511" s="9" t="s">
        <v>353</v>
      </c>
      <c r="BC511" s="96" t="s">
        <v>1128</v>
      </c>
    </row>
    <row r="512" spans="1:55" ht="15" customHeight="1">
      <c r="A512" s="86">
        <f t="shared" si="25"/>
        <v>510</v>
      </c>
      <c r="B512" s="75" t="s">
        <v>1183</v>
      </c>
      <c r="C512" s="9"/>
      <c r="D512" s="76" t="s">
        <v>764</v>
      </c>
      <c r="E512" s="88" t="str">
        <f>_xlfn.IFNA(VLOOKUP($D512,'Route-Details'!$B$2:$X$1048576,'Node Details'!E$1,0),"")</f>
        <v>Airtel</v>
      </c>
      <c r="F512" s="88" t="str">
        <f>_xlfn.IFNA(VLOOKUP($D512,'Route-Details'!$B$2:$X$1048576,'Node Details'!F$1,0),"")</f>
        <v>Mani Majra</v>
      </c>
      <c r="G512" s="88" t="str">
        <f>_xlfn.IFNA(VLOOKUP($D512,'Route-Details'!$B$2:$X$1048576,'Node Details'!G$1,0),"")</f>
        <v>Chandigarh</v>
      </c>
      <c r="H512" s="88" t="str">
        <f>_xlfn.IFNA(VLOOKUP($D513,'Route-Details'!$B$2:$X$1048576,'Node Details'!H$1,0),"")</f>
        <v>Punjab</v>
      </c>
      <c r="I512" s="88" t="str">
        <f>_xlfn.IFNA(VLOOKUP($D512,'Route-Details'!$B$2:$X$1048576,'Node Details'!I$1,0),"")</f>
        <v>CM3</v>
      </c>
      <c r="J512" s="88" t="str">
        <f>_xlfn.IFNA(VLOOKUP($D512,'Route-Details'!$B$2:$X$1048576,'Node Details'!J$1,0),"")</f>
        <v>CM3</v>
      </c>
      <c r="K512" s="76">
        <v>46142</v>
      </c>
      <c r="L512" s="76">
        <v>46149</v>
      </c>
      <c r="M512" s="89">
        <v>46149</v>
      </c>
      <c r="N512" s="76">
        <v>46149</v>
      </c>
      <c r="Q512" s="86" t="s">
        <v>958</v>
      </c>
      <c r="R512" s="90"/>
      <c r="S512" s="87"/>
      <c r="T512" s="87"/>
      <c r="U512" s="87"/>
      <c r="V512" s="93"/>
      <c r="W512" s="91"/>
      <c r="X512" s="87"/>
      <c r="Y512" s="92"/>
      <c r="Z512" s="90"/>
      <c r="AA512" s="93"/>
      <c r="AB512" s="87"/>
      <c r="AC512" s="91"/>
      <c r="AD512" s="90"/>
      <c r="AE512" s="86"/>
      <c r="AF512" s="82"/>
      <c r="AG512" s="24"/>
      <c r="AH512" s="93"/>
      <c r="AI512" s="87"/>
      <c r="AJ512" s="86"/>
      <c r="AK512" s="81"/>
      <c r="AL512" s="24"/>
      <c r="AM512" s="24"/>
      <c r="AN512" s="81"/>
      <c r="AO512" s="81"/>
      <c r="AP512" s="24"/>
      <c r="AQ512" s="93"/>
      <c r="AR512" s="94"/>
      <c r="AS512" s="82"/>
      <c r="AT512" s="82"/>
      <c r="AU512" s="24"/>
      <c r="AV512" s="93"/>
      <c r="AW512" s="94"/>
      <c r="AX512" s="95"/>
      <c r="AY512" s="95"/>
      <c r="AZ512" s="95"/>
      <c r="BA512" s="24"/>
      <c r="BB512" s="9" t="s">
        <v>353</v>
      </c>
      <c r="BC512" s="96" t="s">
        <v>1128</v>
      </c>
    </row>
    <row r="513" spans="1:55" ht="15" customHeight="1">
      <c r="A513" s="86">
        <f t="shared" si="25"/>
        <v>511</v>
      </c>
      <c r="B513" s="75" t="s">
        <v>1184</v>
      </c>
      <c r="C513" s="9"/>
      <c r="D513" s="76" t="s">
        <v>764</v>
      </c>
      <c r="E513" s="88" t="str">
        <f>_xlfn.IFNA(VLOOKUP($D513,'Route-Details'!$B$2:$X$1048576,'Node Details'!E$1,0),"")</f>
        <v>Airtel</v>
      </c>
      <c r="F513" s="88" t="str">
        <f>_xlfn.IFNA(VLOOKUP($D513,'Route-Details'!$B$2:$X$1048576,'Node Details'!F$1,0),"")</f>
        <v>Mani Majra</v>
      </c>
      <c r="G513" s="88" t="str">
        <f>_xlfn.IFNA(VLOOKUP($D513,'Route-Details'!$B$2:$X$1048576,'Node Details'!G$1,0),"")</f>
        <v>Chandigarh</v>
      </c>
      <c r="H513" s="88" t="str">
        <f>_xlfn.IFNA(VLOOKUP($D514,'Route-Details'!$B$2:$X$1048576,'Node Details'!H$1,0),"")</f>
        <v>Punjab</v>
      </c>
      <c r="I513" s="88" t="str">
        <f>_xlfn.IFNA(VLOOKUP($D513,'Route-Details'!$B$2:$X$1048576,'Node Details'!I$1,0),"")</f>
        <v>CM3</v>
      </c>
      <c r="J513" s="88" t="str">
        <f>_xlfn.IFNA(VLOOKUP($D513,'Route-Details'!$B$2:$X$1048576,'Node Details'!J$1,0),"")</f>
        <v>CM3</v>
      </c>
      <c r="K513" s="76">
        <v>46142</v>
      </c>
      <c r="L513" s="76">
        <v>46149</v>
      </c>
      <c r="M513" s="89">
        <v>46149</v>
      </c>
      <c r="N513" s="76">
        <v>46149</v>
      </c>
      <c r="Q513" s="86" t="s">
        <v>958</v>
      </c>
      <c r="R513" s="90"/>
      <c r="S513" s="87"/>
      <c r="T513" s="87"/>
      <c r="U513" s="87"/>
      <c r="V513" s="93"/>
      <c r="W513" s="91"/>
      <c r="X513" s="87"/>
      <c r="Y513" s="92"/>
      <c r="Z513" s="90"/>
      <c r="AA513" s="93"/>
      <c r="AB513" s="87"/>
      <c r="AC513" s="91"/>
      <c r="AD513" s="90"/>
      <c r="AE513" s="86"/>
      <c r="AF513" s="82"/>
      <c r="AG513" s="24"/>
      <c r="AH513" s="93"/>
      <c r="AI513" s="87"/>
      <c r="AJ513" s="86"/>
      <c r="AK513" s="81"/>
      <c r="AL513" s="24"/>
      <c r="AM513" s="24"/>
      <c r="AN513" s="81"/>
      <c r="AO513" s="81"/>
      <c r="AP513" s="24"/>
      <c r="AQ513" s="93"/>
      <c r="AR513" s="94"/>
      <c r="AS513" s="82"/>
      <c r="AT513" s="82"/>
      <c r="AU513" s="24"/>
      <c r="AV513" s="93"/>
      <c r="AW513" s="94"/>
      <c r="AX513" s="95"/>
      <c r="AY513" s="95"/>
      <c r="AZ513" s="95"/>
      <c r="BA513" s="24"/>
      <c r="BB513" s="9" t="s">
        <v>353</v>
      </c>
      <c r="BC513" s="96" t="s">
        <v>1128</v>
      </c>
    </row>
    <row r="514" spans="1:55" ht="15" customHeight="1">
      <c r="A514" s="86">
        <f t="shared" si="25"/>
        <v>512</v>
      </c>
      <c r="B514" s="75" t="s">
        <v>765</v>
      </c>
      <c r="C514" s="9"/>
      <c r="D514" s="76" t="s">
        <v>764</v>
      </c>
      <c r="E514" s="88" t="str">
        <f>_xlfn.IFNA(VLOOKUP($D514,'Route-Details'!$B$2:$X$1048576,'Node Details'!E$1,0),"")</f>
        <v>Airtel</v>
      </c>
      <c r="F514" s="88" t="str">
        <f>_xlfn.IFNA(VLOOKUP($D514,'Route-Details'!$B$2:$X$1048576,'Node Details'!F$1,0),"")</f>
        <v>Mani Majra</v>
      </c>
      <c r="G514" s="88" t="str">
        <f>_xlfn.IFNA(VLOOKUP($D514,'Route-Details'!$B$2:$X$1048576,'Node Details'!G$1,0),"")</f>
        <v>Chandigarh</v>
      </c>
      <c r="H514" s="88" t="str">
        <f>_xlfn.IFNA(VLOOKUP($D515,'Route-Details'!$B$2:$X$1048576,'Node Details'!H$1,0),"")</f>
        <v>Punjab</v>
      </c>
      <c r="I514" s="88" t="str">
        <f>_xlfn.IFNA(VLOOKUP($D514,'Route-Details'!$B$2:$X$1048576,'Node Details'!I$1,0),"")</f>
        <v>CM3</v>
      </c>
      <c r="J514" s="88" t="str">
        <f>_xlfn.IFNA(VLOOKUP($D514,'Route-Details'!$B$2:$X$1048576,'Node Details'!J$1,0),"")</f>
        <v>CM3</v>
      </c>
      <c r="K514" s="76">
        <v>46142</v>
      </c>
      <c r="L514" s="76">
        <v>46149</v>
      </c>
      <c r="M514" s="89">
        <v>46149</v>
      </c>
      <c r="N514" s="76">
        <v>46149</v>
      </c>
      <c r="Q514" s="86" t="s">
        <v>958</v>
      </c>
      <c r="R514" s="90"/>
      <c r="S514" s="87"/>
      <c r="T514" s="87"/>
      <c r="U514" s="87"/>
      <c r="V514" s="93"/>
      <c r="W514" s="91"/>
      <c r="X514" s="87"/>
      <c r="Y514" s="92"/>
      <c r="Z514" s="90"/>
      <c r="AA514" s="93"/>
      <c r="AB514" s="87"/>
      <c r="AC514" s="91"/>
      <c r="AD514" s="90"/>
      <c r="AE514" s="86"/>
      <c r="AF514" s="82"/>
      <c r="AG514" s="24"/>
      <c r="AH514" s="93"/>
      <c r="AI514" s="87"/>
      <c r="AJ514" s="86"/>
      <c r="AK514" s="81"/>
      <c r="AL514" s="24"/>
      <c r="AM514" s="24"/>
      <c r="AN514" s="81"/>
      <c r="AO514" s="81"/>
      <c r="AP514" s="24"/>
      <c r="AQ514" s="93"/>
      <c r="AR514" s="94"/>
      <c r="AS514" s="82"/>
      <c r="AT514" s="82"/>
      <c r="AU514" s="24"/>
      <c r="AV514" s="93"/>
      <c r="AW514" s="94"/>
      <c r="AX514" s="95"/>
      <c r="AY514" s="95"/>
      <c r="AZ514" s="95"/>
      <c r="BA514" s="24"/>
      <c r="BB514" s="9" t="s">
        <v>353</v>
      </c>
      <c r="BC514" s="96" t="s">
        <v>1128</v>
      </c>
    </row>
    <row r="515" spans="1:55" ht="15" customHeight="1">
      <c r="A515" s="86">
        <f t="shared" si="25"/>
        <v>513</v>
      </c>
      <c r="B515" s="75" t="s">
        <v>767</v>
      </c>
      <c r="C515" s="9"/>
      <c r="D515" s="76" t="s">
        <v>620</v>
      </c>
      <c r="E515" s="88" t="str">
        <f>_xlfn.IFNA(VLOOKUP($D515,'Route-Details'!$B$2:$X$1048576,'Node Details'!E$1,0),"")</f>
        <v>Airtel</v>
      </c>
      <c r="F515" s="88" t="str">
        <f>_xlfn.IFNA(VLOOKUP($D515,'Route-Details'!$B$2:$X$1048576,'Node Details'!F$1,0),"")</f>
        <v>Mani Majra</v>
      </c>
      <c r="G515" s="88" t="str">
        <f>_xlfn.IFNA(VLOOKUP($D515,'Route-Details'!$B$2:$X$1048576,'Node Details'!G$1,0),"")</f>
        <v>Chandigarh</v>
      </c>
      <c r="H515" s="88" t="str">
        <f>_xlfn.IFNA(VLOOKUP($D516,'Route-Details'!$B$2:$X$1048576,'Node Details'!H$1,0),"")</f>
        <v>Punjab</v>
      </c>
      <c r="I515" s="88" t="str">
        <f>_xlfn.IFNA(VLOOKUP($D515,'Route-Details'!$B$2:$X$1048576,'Node Details'!I$1,0),"")</f>
        <v>CM3</v>
      </c>
      <c r="J515" s="88" t="str">
        <f>_xlfn.IFNA(VLOOKUP($D515,'Route-Details'!$B$2:$X$1048576,'Node Details'!J$1,0),"")</f>
        <v>CM3</v>
      </c>
      <c r="K515" s="76">
        <v>46142</v>
      </c>
      <c r="L515" s="76">
        <v>46149</v>
      </c>
      <c r="M515" s="89">
        <v>46149</v>
      </c>
      <c r="N515" s="76">
        <v>46149</v>
      </c>
      <c r="Q515" s="86" t="s">
        <v>958</v>
      </c>
      <c r="R515" s="90"/>
      <c r="S515" s="87"/>
      <c r="T515" s="87"/>
      <c r="U515" s="87"/>
      <c r="V515" s="93"/>
      <c r="W515" s="91"/>
      <c r="X515" s="87"/>
      <c r="Y515" s="92"/>
      <c r="Z515" s="90"/>
      <c r="AA515" s="93"/>
      <c r="AB515" s="87"/>
      <c r="AC515" s="91"/>
      <c r="AD515" s="90"/>
      <c r="AE515" s="86"/>
      <c r="AF515" s="82"/>
      <c r="AG515" s="24"/>
      <c r="AH515" s="93"/>
      <c r="AI515" s="87"/>
      <c r="AJ515" s="86"/>
      <c r="AK515" s="81"/>
      <c r="AL515" s="24"/>
      <c r="AM515" s="24"/>
      <c r="AN515" s="81"/>
      <c r="AO515" s="81"/>
      <c r="AP515" s="24"/>
      <c r="AQ515" s="93"/>
      <c r="AR515" s="94"/>
      <c r="AS515" s="82"/>
      <c r="AT515" s="82"/>
      <c r="AU515" s="24"/>
      <c r="AV515" s="93"/>
      <c r="AW515" s="94"/>
      <c r="AX515" s="95"/>
      <c r="AY515" s="95"/>
      <c r="AZ515" s="95"/>
      <c r="BA515" s="24"/>
      <c r="BB515" s="9" t="s">
        <v>96</v>
      </c>
      <c r="BC515" s="96" t="s">
        <v>1128</v>
      </c>
    </row>
    <row r="516" spans="1:55" ht="15" customHeight="1">
      <c r="A516" s="86">
        <f t="shared" si="25"/>
        <v>514</v>
      </c>
      <c r="B516" s="75" t="s">
        <v>768</v>
      </c>
      <c r="C516" s="9"/>
      <c r="D516" s="76" t="s">
        <v>766</v>
      </c>
      <c r="E516" s="88" t="str">
        <f>_xlfn.IFNA(VLOOKUP($D516,'Route-Details'!$B$2:$X$1048576,'Node Details'!E$1,0),"")</f>
        <v>Airtel</v>
      </c>
      <c r="F516" s="88" t="str">
        <f>_xlfn.IFNA(VLOOKUP($D516,'Route-Details'!$B$2:$X$1048576,'Node Details'!F$1,0),"")</f>
        <v>Mani Majra</v>
      </c>
      <c r="G516" s="88" t="str">
        <f>_xlfn.IFNA(VLOOKUP($D516,'Route-Details'!$B$2:$X$1048576,'Node Details'!G$1,0),"")</f>
        <v>Chandigarh</v>
      </c>
      <c r="H516" s="88" t="str">
        <f>_xlfn.IFNA(VLOOKUP($D517,'Route-Details'!$B$2:$X$1048576,'Node Details'!H$1,0),"")</f>
        <v>Punjab</v>
      </c>
      <c r="I516" s="88" t="str">
        <f>_xlfn.IFNA(VLOOKUP($D516,'Route-Details'!$B$2:$X$1048576,'Node Details'!I$1,0),"")</f>
        <v>CM3</v>
      </c>
      <c r="J516" s="88" t="str">
        <f>_xlfn.IFNA(VLOOKUP($D516,'Route-Details'!$B$2:$X$1048576,'Node Details'!J$1,0),"")</f>
        <v>CM3</v>
      </c>
      <c r="K516" s="76">
        <v>46142</v>
      </c>
      <c r="L516" s="76">
        <v>46149</v>
      </c>
      <c r="M516" s="89">
        <v>46149</v>
      </c>
      <c r="N516" s="76">
        <v>46149</v>
      </c>
      <c r="Q516" s="86" t="s">
        <v>958</v>
      </c>
      <c r="R516" s="90"/>
      <c r="S516" s="87"/>
      <c r="T516" s="87"/>
      <c r="U516" s="87"/>
      <c r="V516" s="93"/>
      <c r="W516" s="91"/>
      <c r="X516" s="87"/>
      <c r="Y516" s="92"/>
      <c r="Z516" s="90"/>
      <c r="AA516" s="93"/>
      <c r="AB516" s="87"/>
      <c r="AC516" s="91"/>
      <c r="AD516" s="90"/>
      <c r="AE516" s="86"/>
      <c r="AF516" s="82"/>
      <c r="AG516" s="24"/>
      <c r="AH516" s="93"/>
      <c r="AI516" s="87"/>
      <c r="AJ516" s="86"/>
      <c r="AK516" s="81"/>
      <c r="AL516" s="24"/>
      <c r="AM516" s="24"/>
      <c r="AN516" s="81"/>
      <c r="AO516" s="81"/>
      <c r="AP516" s="24"/>
      <c r="AQ516" s="93"/>
      <c r="AR516" s="94"/>
      <c r="AS516" s="82"/>
      <c r="AT516" s="82"/>
      <c r="AU516" s="24"/>
      <c r="AV516" s="93"/>
      <c r="AW516" s="94"/>
      <c r="AX516" s="95"/>
      <c r="AY516" s="95"/>
      <c r="AZ516" s="95"/>
      <c r="BA516" s="24"/>
      <c r="BB516" s="9" t="s">
        <v>356</v>
      </c>
      <c r="BC516" s="96" t="s">
        <v>1128</v>
      </c>
    </row>
    <row r="517" spans="1:55" ht="15" customHeight="1">
      <c r="A517" s="86">
        <f t="shared" ref="A517:A580" si="26">A516+1</f>
        <v>515</v>
      </c>
      <c r="B517" s="75" t="s">
        <v>1185</v>
      </c>
      <c r="C517" s="9"/>
      <c r="D517" s="76" t="s">
        <v>769</v>
      </c>
      <c r="E517" s="88" t="str">
        <f>_xlfn.IFNA(VLOOKUP($D517,'Route-Details'!$B$2:$X$1048576,'Node Details'!E$1,0),"")</f>
        <v>Airtel</v>
      </c>
      <c r="F517" s="88" t="str">
        <f>_xlfn.IFNA(VLOOKUP($D517,'Route-Details'!$B$2:$X$1048576,'Node Details'!F$1,0),"")</f>
        <v>Mani Majra</v>
      </c>
      <c r="G517" s="88" t="str">
        <f>_xlfn.IFNA(VLOOKUP($D517,'Route-Details'!$B$2:$X$1048576,'Node Details'!G$1,0),"")</f>
        <v>Chandigarh</v>
      </c>
      <c r="H517" s="88" t="str">
        <f>_xlfn.IFNA(VLOOKUP($D518,'Route-Details'!$B$2:$X$1048576,'Node Details'!H$1,0),"")</f>
        <v>Punjab</v>
      </c>
      <c r="I517" s="88" t="str">
        <f>_xlfn.IFNA(VLOOKUP($D517,'Route-Details'!$B$2:$X$1048576,'Node Details'!I$1,0),"")</f>
        <v>CM3</v>
      </c>
      <c r="J517" s="88" t="str">
        <f>_xlfn.IFNA(VLOOKUP($D517,'Route-Details'!$B$2:$X$1048576,'Node Details'!J$1,0),"")</f>
        <v>CM3</v>
      </c>
      <c r="K517" s="76">
        <v>46142</v>
      </c>
      <c r="L517" s="76">
        <v>46149</v>
      </c>
      <c r="M517" s="89">
        <v>46149</v>
      </c>
      <c r="N517" s="76">
        <v>46149</v>
      </c>
      <c r="Q517" s="86" t="s">
        <v>958</v>
      </c>
      <c r="R517" s="90"/>
      <c r="S517" s="87"/>
      <c r="T517" s="87"/>
      <c r="U517" s="87"/>
      <c r="V517" s="93"/>
      <c r="W517" s="91"/>
      <c r="X517" s="87"/>
      <c r="Y517" s="92"/>
      <c r="Z517" s="90"/>
      <c r="AA517" s="93"/>
      <c r="AB517" s="87"/>
      <c r="AC517" s="91"/>
      <c r="AD517" s="90"/>
      <c r="AE517" s="86"/>
      <c r="AF517" s="82"/>
      <c r="AG517" s="24"/>
      <c r="AH517" s="93"/>
      <c r="AI517" s="87"/>
      <c r="AJ517" s="86"/>
      <c r="AK517" s="81"/>
      <c r="AL517" s="24"/>
      <c r="AM517" s="24"/>
      <c r="AN517" s="81"/>
      <c r="AO517" s="81"/>
      <c r="AP517" s="24"/>
      <c r="AQ517" s="93"/>
      <c r="AR517" s="94"/>
      <c r="AS517" s="82"/>
      <c r="AT517" s="82"/>
      <c r="AU517" s="24"/>
      <c r="AV517" s="93"/>
      <c r="AW517" s="94"/>
      <c r="AX517" s="95"/>
      <c r="AY517" s="95"/>
      <c r="AZ517" s="95"/>
      <c r="BA517" s="24"/>
      <c r="BB517" s="9" t="s">
        <v>360</v>
      </c>
      <c r="BC517" s="96" t="s">
        <v>1128</v>
      </c>
    </row>
    <row r="518" spans="1:55" ht="15" customHeight="1">
      <c r="A518" s="86">
        <f t="shared" si="26"/>
        <v>516</v>
      </c>
      <c r="B518" s="75" t="s">
        <v>1186</v>
      </c>
      <c r="C518" s="9"/>
      <c r="D518" s="76" t="s">
        <v>769</v>
      </c>
      <c r="E518" s="88" t="str">
        <f>_xlfn.IFNA(VLOOKUP($D518,'Route-Details'!$B$2:$X$1048576,'Node Details'!E$1,0),"")</f>
        <v>Airtel</v>
      </c>
      <c r="F518" s="88" t="str">
        <f>_xlfn.IFNA(VLOOKUP($D518,'Route-Details'!$B$2:$X$1048576,'Node Details'!F$1,0),"")</f>
        <v>Mani Majra</v>
      </c>
      <c r="G518" s="88" t="str">
        <f>_xlfn.IFNA(VLOOKUP($D518,'Route-Details'!$B$2:$X$1048576,'Node Details'!G$1,0),"")</f>
        <v>Chandigarh</v>
      </c>
      <c r="H518" s="88" t="str">
        <f>_xlfn.IFNA(VLOOKUP($D519,'Route-Details'!$B$2:$X$1048576,'Node Details'!H$1,0),"")</f>
        <v>Punjab</v>
      </c>
      <c r="I518" s="88" t="str">
        <f>_xlfn.IFNA(VLOOKUP($D518,'Route-Details'!$B$2:$X$1048576,'Node Details'!I$1,0),"")</f>
        <v>CM3</v>
      </c>
      <c r="J518" s="88" t="str">
        <f>_xlfn.IFNA(VLOOKUP($D518,'Route-Details'!$B$2:$X$1048576,'Node Details'!J$1,0),"")</f>
        <v>CM3</v>
      </c>
      <c r="K518" s="76">
        <v>46142</v>
      </c>
      <c r="L518" s="76">
        <v>46149</v>
      </c>
      <c r="M518" s="89">
        <v>46149</v>
      </c>
      <c r="N518" s="76">
        <v>46149</v>
      </c>
      <c r="Q518" s="86" t="s">
        <v>958</v>
      </c>
      <c r="R518" s="90"/>
      <c r="S518" s="87"/>
      <c r="T518" s="87"/>
      <c r="U518" s="87"/>
      <c r="V518" s="93"/>
      <c r="W518" s="91"/>
      <c r="X518" s="87"/>
      <c r="Y518" s="92"/>
      <c r="Z518" s="90"/>
      <c r="AA518" s="93"/>
      <c r="AB518" s="87"/>
      <c r="AC518" s="91"/>
      <c r="AD518" s="90"/>
      <c r="AE518" s="86"/>
      <c r="AF518" s="82"/>
      <c r="AG518" s="24"/>
      <c r="AH518" s="93"/>
      <c r="AI518" s="87"/>
      <c r="AJ518" s="86"/>
      <c r="AK518" s="81"/>
      <c r="AL518" s="24"/>
      <c r="AM518" s="24"/>
      <c r="AN518" s="81"/>
      <c r="AO518" s="81"/>
      <c r="AP518" s="24"/>
      <c r="AQ518" s="93"/>
      <c r="AR518" s="94"/>
      <c r="AS518" s="82"/>
      <c r="AT518" s="82"/>
      <c r="AU518" s="24"/>
      <c r="AV518" s="93"/>
      <c r="AW518" s="94"/>
      <c r="AX518" s="95"/>
      <c r="AY518" s="95"/>
      <c r="AZ518" s="95"/>
      <c r="BA518" s="24"/>
      <c r="BB518" s="9" t="s">
        <v>360</v>
      </c>
      <c r="BC518" s="96" t="s">
        <v>1128</v>
      </c>
    </row>
    <row r="519" spans="1:55" ht="15" customHeight="1">
      <c r="A519" s="86">
        <f t="shared" si="26"/>
        <v>517</v>
      </c>
      <c r="B519" s="75" t="s">
        <v>770</v>
      </c>
      <c r="C519" s="9"/>
      <c r="D519" s="76" t="s">
        <v>769</v>
      </c>
      <c r="E519" s="88" t="str">
        <f>_xlfn.IFNA(VLOOKUP($D519,'Route-Details'!$B$2:$X$1048576,'Node Details'!E$1,0),"")</f>
        <v>Airtel</v>
      </c>
      <c r="F519" s="88" t="str">
        <f>_xlfn.IFNA(VLOOKUP($D519,'Route-Details'!$B$2:$X$1048576,'Node Details'!F$1,0),"")</f>
        <v>Mani Majra</v>
      </c>
      <c r="G519" s="88" t="str">
        <f>_xlfn.IFNA(VLOOKUP($D519,'Route-Details'!$B$2:$X$1048576,'Node Details'!G$1,0),"")</f>
        <v>Chandigarh</v>
      </c>
      <c r="H519" s="88" t="str">
        <f>_xlfn.IFNA(VLOOKUP($D520,'Route-Details'!$B$2:$X$1048576,'Node Details'!H$1,0),"")</f>
        <v>Punjab</v>
      </c>
      <c r="I519" s="88" t="str">
        <f>_xlfn.IFNA(VLOOKUP($D519,'Route-Details'!$B$2:$X$1048576,'Node Details'!I$1,0),"")</f>
        <v>CM3</v>
      </c>
      <c r="J519" s="88" t="str">
        <f>_xlfn.IFNA(VLOOKUP($D519,'Route-Details'!$B$2:$X$1048576,'Node Details'!J$1,0),"")</f>
        <v>CM3</v>
      </c>
      <c r="K519" s="76">
        <v>46142</v>
      </c>
      <c r="L519" s="76">
        <v>46149</v>
      </c>
      <c r="M519" s="89">
        <v>46149</v>
      </c>
      <c r="N519" s="76">
        <v>46149</v>
      </c>
      <c r="Q519" s="86" t="s">
        <v>958</v>
      </c>
      <c r="R519" s="90"/>
      <c r="S519" s="87"/>
      <c r="T519" s="87"/>
      <c r="U519" s="87"/>
      <c r="V519" s="93"/>
      <c r="W519" s="91"/>
      <c r="X519" s="87"/>
      <c r="Y519" s="92"/>
      <c r="Z519" s="90"/>
      <c r="AA519" s="93"/>
      <c r="AB519" s="87"/>
      <c r="AC519" s="91"/>
      <c r="AD519" s="90"/>
      <c r="AE519" s="86"/>
      <c r="AF519" s="82"/>
      <c r="AG519" s="24"/>
      <c r="AH519" s="93"/>
      <c r="AI519" s="87"/>
      <c r="AJ519" s="86"/>
      <c r="AK519" s="81"/>
      <c r="AL519" s="24"/>
      <c r="AM519" s="24"/>
      <c r="AN519" s="81"/>
      <c r="AO519" s="81"/>
      <c r="AP519" s="24"/>
      <c r="AQ519" s="93"/>
      <c r="AR519" s="94"/>
      <c r="AS519" s="82"/>
      <c r="AT519" s="82"/>
      <c r="AU519" s="24"/>
      <c r="AV519" s="93"/>
      <c r="AW519" s="94"/>
      <c r="AX519" s="95"/>
      <c r="AY519" s="95"/>
      <c r="AZ519" s="95"/>
      <c r="BA519" s="24"/>
      <c r="BB519" s="9" t="s">
        <v>360</v>
      </c>
      <c r="BC519" s="96" t="s">
        <v>1128</v>
      </c>
    </row>
    <row r="520" spans="1:55" ht="15" customHeight="1">
      <c r="A520" s="86">
        <f t="shared" si="26"/>
        <v>518</v>
      </c>
      <c r="B520" s="75" t="s">
        <v>772</v>
      </c>
      <c r="C520" s="9"/>
      <c r="D520" s="76" t="s">
        <v>620</v>
      </c>
      <c r="E520" s="88" t="str">
        <f>_xlfn.IFNA(VLOOKUP($D520,'Route-Details'!$B$2:$X$1048576,'Node Details'!E$1,0),"")</f>
        <v>Airtel</v>
      </c>
      <c r="F520" s="88" t="str">
        <f>_xlfn.IFNA(VLOOKUP($D520,'Route-Details'!$B$2:$X$1048576,'Node Details'!F$1,0),"")</f>
        <v>Mani Majra</v>
      </c>
      <c r="G520" s="88" t="str">
        <f>_xlfn.IFNA(VLOOKUP($D520,'Route-Details'!$B$2:$X$1048576,'Node Details'!G$1,0),"")</f>
        <v>Chandigarh</v>
      </c>
      <c r="H520" s="88" t="str">
        <f>_xlfn.IFNA(VLOOKUP($D521,'Route-Details'!$B$2:$X$1048576,'Node Details'!H$1,0),"")</f>
        <v>Punjab</v>
      </c>
      <c r="I520" s="88" t="str">
        <f>_xlfn.IFNA(VLOOKUP($D520,'Route-Details'!$B$2:$X$1048576,'Node Details'!I$1,0),"")</f>
        <v>CM3</v>
      </c>
      <c r="J520" s="88" t="str">
        <f>_xlfn.IFNA(VLOOKUP($D520,'Route-Details'!$B$2:$X$1048576,'Node Details'!J$1,0),"")</f>
        <v>CM3</v>
      </c>
      <c r="K520" s="76">
        <v>46142</v>
      </c>
      <c r="L520" s="76">
        <v>46149</v>
      </c>
      <c r="M520" s="89">
        <v>46149</v>
      </c>
      <c r="N520" s="76">
        <v>46149</v>
      </c>
      <c r="Q520" s="86" t="s">
        <v>958</v>
      </c>
      <c r="R520" s="90"/>
      <c r="S520" s="87"/>
      <c r="T520" s="87"/>
      <c r="U520" s="87"/>
      <c r="V520" s="93"/>
      <c r="W520" s="91"/>
      <c r="X520" s="87"/>
      <c r="Y520" s="92"/>
      <c r="Z520" s="90"/>
      <c r="AA520" s="93"/>
      <c r="AB520" s="87"/>
      <c r="AC520" s="91"/>
      <c r="AD520" s="90"/>
      <c r="AE520" s="86"/>
      <c r="AF520" s="82"/>
      <c r="AG520" s="24"/>
      <c r="AH520" s="93"/>
      <c r="AI520" s="87"/>
      <c r="AJ520" s="86"/>
      <c r="AK520" s="81"/>
      <c r="AL520" s="24"/>
      <c r="AM520" s="24"/>
      <c r="AN520" s="81"/>
      <c r="AO520" s="81"/>
      <c r="AP520" s="24"/>
      <c r="AQ520" s="93"/>
      <c r="AR520" s="94"/>
      <c r="AS520" s="82"/>
      <c r="AT520" s="82"/>
      <c r="AU520" s="24"/>
      <c r="AV520" s="93"/>
      <c r="AW520" s="94"/>
      <c r="AX520" s="95"/>
      <c r="AY520" s="95"/>
      <c r="AZ520" s="95"/>
      <c r="BA520" s="24"/>
      <c r="BB520" s="9" t="s">
        <v>96</v>
      </c>
      <c r="BC520" s="96" t="s">
        <v>1128</v>
      </c>
    </row>
    <row r="521" spans="1:55" ht="15" customHeight="1">
      <c r="A521" s="86">
        <f t="shared" si="26"/>
        <v>519</v>
      </c>
      <c r="B521" s="75" t="s">
        <v>1187</v>
      </c>
      <c r="C521" s="9"/>
      <c r="D521" s="76" t="s">
        <v>771</v>
      </c>
      <c r="E521" s="88" t="str">
        <f>_xlfn.IFNA(VLOOKUP($D521,'Route-Details'!$B$2:$X$1048576,'Node Details'!E$1,0),"")</f>
        <v>Airtel</v>
      </c>
      <c r="F521" s="88" t="str">
        <f>_xlfn.IFNA(VLOOKUP($D521,'Route-Details'!$B$2:$X$1048576,'Node Details'!F$1,0),"")</f>
        <v>Mani Majra</v>
      </c>
      <c r="G521" s="88" t="str">
        <f>_xlfn.IFNA(VLOOKUP($D521,'Route-Details'!$B$2:$X$1048576,'Node Details'!G$1,0),"")</f>
        <v>Chandigarh</v>
      </c>
      <c r="H521" s="88" t="str">
        <f>_xlfn.IFNA(VLOOKUP($D522,'Route-Details'!$B$2:$X$1048576,'Node Details'!H$1,0),"")</f>
        <v>Punjab</v>
      </c>
      <c r="I521" s="88" t="str">
        <f>_xlfn.IFNA(VLOOKUP($D521,'Route-Details'!$B$2:$X$1048576,'Node Details'!I$1,0),"")</f>
        <v>CM3</v>
      </c>
      <c r="J521" s="88" t="str">
        <f>_xlfn.IFNA(VLOOKUP($D521,'Route-Details'!$B$2:$X$1048576,'Node Details'!J$1,0),"")</f>
        <v>CM3</v>
      </c>
      <c r="K521" s="76">
        <v>46142</v>
      </c>
      <c r="L521" s="76">
        <v>46149</v>
      </c>
      <c r="M521" s="89">
        <v>46149</v>
      </c>
      <c r="N521" s="76">
        <v>46149</v>
      </c>
      <c r="Q521" s="86" t="s">
        <v>958</v>
      </c>
      <c r="R521" s="90"/>
      <c r="S521" s="87"/>
      <c r="T521" s="87"/>
      <c r="U521" s="87"/>
      <c r="V521" s="93"/>
      <c r="W521" s="91"/>
      <c r="X521" s="87"/>
      <c r="Y521" s="92"/>
      <c r="Z521" s="90"/>
      <c r="AA521" s="93"/>
      <c r="AB521" s="87"/>
      <c r="AC521" s="91"/>
      <c r="AD521" s="90"/>
      <c r="AE521" s="86"/>
      <c r="AF521" s="82"/>
      <c r="AG521" s="24"/>
      <c r="AH521" s="93"/>
      <c r="AI521" s="87"/>
      <c r="AJ521" s="86"/>
      <c r="AK521" s="81"/>
      <c r="AL521" s="24"/>
      <c r="AM521" s="24"/>
      <c r="AN521" s="81"/>
      <c r="AO521" s="81"/>
      <c r="AP521" s="24"/>
      <c r="AQ521" s="93"/>
      <c r="AR521" s="94"/>
      <c r="AS521" s="82"/>
      <c r="AT521" s="82"/>
      <c r="AU521" s="24"/>
      <c r="AV521" s="93"/>
      <c r="AW521" s="94"/>
      <c r="AX521" s="95"/>
      <c r="AY521" s="95"/>
      <c r="AZ521" s="95"/>
      <c r="BA521" s="24"/>
      <c r="BB521" s="9" t="s">
        <v>363</v>
      </c>
      <c r="BC521" s="96" t="s">
        <v>1128</v>
      </c>
    </row>
    <row r="522" spans="1:55" ht="15" customHeight="1">
      <c r="A522" s="86">
        <f t="shared" si="26"/>
        <v>520</v>
      </c>
      <c r="B522" s="75" t="s">
        <v>1188</v>
      </c>
      <c r="C522" s="9"/>
      <c r="D522" s="76" t="s">
        <v>771</v>
      </c>
      <c r="E522" s="88" t="str">
        <f>_xlfn.IFNA(VLOOKUP($D522,'Route-Details'!$B$2:$X$1048576,'Node Details'!E$1,0),"")</f>
        <v>Airtel</v>
      </c>
      <c r="F522" s="88" t="str">
        <f>_xlfn.IFNA(VLOOKUP($D522,'Route-Details'!$B$2:$X$1048576,'Node Details'!F$1,0),"")</f>
        <v>Mani Majra</v>
      </c>
      <c r="G522" s="88" t="str">
        <f>_xlfn.IFNA(VLOOKUP($D522,'Route-Details'!$B$2:$X$1048576,'Node Details'!G$1,0),"")</f>
        <v>Chandigarh</v>
      </c>
      <c r="H522" s="88" t="str">
        <f>_xlfn.IFNA(VLOOKUP($D523,'Route-Details'!$B$2:$X$1048576,'Node Details'!H$1,0),"")</f>
        <v>Punjab</v>
      </c>
      <c r="I522" s="88" t="str">
        <f>_xlfn.IFNA(VLOOKUP($D522,'Route-Details'!$B$2:$X$1048576,'Node Details'!I$1,0),"")</f>
        <v>CM3</v>
      </c>
      <c r="J522" s="88" t="str">
        <f>_xlfn.IFNA(VLOOKUP($D522,'Route-Details'!$B$2:$X$1048576,'Node Details'!J$1,0),"")</f>
        <v>CM3</v>
      </c>
      <c r="K522" s="76">
        <v>46142</v>
      </c>
      <c r="L522" s="76">
        <v>46149</v>
      </c>
      <c r="M522" s="89">
        <v>46149</v>
      </c>
      <c r="N522" s="76">
        <v>46149</v>
      </c>
      <c r="Q522" s="86" t="s">
        <v>958</v>
      </c>
      <c r="R522" s="90"/>
      <c r="S522" s="87"/>
      <c r="T522" s="87"/>
      <c r="U522" s="87"/>
      <c r="V522" s="93"/>
      <c r="W522" s="91"/>
      <c r="X522" s="87"/>
      <c r="Y522" s="92"/>
      <c r="Z522" s="90"/>
      <c r="AA522" s="93"/>
      <c r="AB522" s="87"/>
      <c r="AC522" s="91"/>
      <c r="AD522" s="90"/>
      <c r="AE522" s="86"/>
      <c r="AF522" s="82"/>
      <c r="AG522" s="24"/>
      <c r="AH522" s="93"/>
      <c r="AI522" s="87"/>
      <c r="AJ522" s="86"/>
      <c r="AK522" s="81"/>
      <c r="AL522" s="24"/>
      <c r="AM522" s="24"/>
      <c r="AN522" s="81"/>
      <c r="AO522" s="81"/>
      <c r="AP522" s="24"/>
      <c r="AQ522" s="93"/>
      <c r="AR522" s="94"/>
      <c r="AS522" s="82"/>
      <c r="AT522" s="82"/>
      <c r="AU522" s="24"/>
      <c r="AV522" s="93"/>
      <c r="AW522" s="94"/>
      <c r="AX522" s="95"/>
      <c r="AY522" s="95"/>
      <c r="AZ522" s="95"/>
      <c r="BA522" s="24"/>
      <c r="BB522" s="9" t="s">
        <v>363</v>
      </c>
      <c r="BC522" s="96" t="s">
        <v>1128</v>
      </c>
    </row>
    <row r="523" spans="1:55" ht="15" customHeight="1">
      <c r="A523" s="86">
        <f t="shared" si="26"/>
        <v>521</v>
      </c>
      <c r="B523" s="75" t="s">
        <v>1189</v>
      </c>
      <c r="C523" s="9"/>
      <c r="D523" s="76" t="s">
        <v>771</v>
      </c>
      <c r="E523" s="88" t="str">
        <f>_xlfn.IFNA(VLOOKUP($D523,'Route-Details'!$B$2:$X$1048576,'Node Details'!E$1,0),"")</f>
        <v>Airtel</v>
      </c>
      <c r="F523" s="88" t="str">
        <f>_xlfn.IFNA(VLOOKUP($D523,'Route-Details'!$B$2:$X$1048576,'Node Details'!F$1,0),"")</f>
        <v>Mani Majra</v>
      </c>
      <c r="G523" s="88" t="str">
        <f>_xlfn.IFNA(VLOOKUP($D523,'Route-Details'!$B$2:$X$1048576,'Node Details'!G$1,0),"")</f>
        <v>Chandigarh</v>
      </c>
      <c r="H523" s="88" t="str">
        <f>_xlfn.IFNA(VLOOKUP($D524,'Route-Details'!$B$2:$X$1048576,'Node Details'!H$1,0),"")</f>
        <v>Punjab</v>
      </c>
      <c r="I523" s="88" t="str">
        <f>_xlfn.IFNA(VLOOKUP($D523,'Route-Details'!$B$2:$X$1048576,'Node Details'!I$1,0),"")</f>
        <v>CM3</v>
      </c>
      <c r="J523" s="88" t="str">
        <f>_xlfn.IFNA(VLOOKUP($D523,'Route-Details'!$B$2:$X$1048576,'Node Details'!J$1,0),"")</f>
        <v>CM3</v>
      </c>
      <c r="K523" s="76">
        <v>46142</v>
      </c>
      <c r="L523" s="76">
        <v>46149</v>
      </c>
      <c r="M523" s="89">
        <v>46149</v>
      </c>
      <c r="N523" s="76">
        <v>46149</v>
      </c>
      <c r="Q523" s="86" t="s">
        <v>958</v>
      </c>
      <c r="R523" s="90"/>
      <c r="S523" s="87"/>
      <c r="T523" s="87"/>
      <c r="U523" s="87"/>
      <c r="V523" s="93"/>
      <c r="W523" s="91"/>
      <c r="X523" s="87"/>
      <c r="Y523" s="92"/>
      <c r="Z523" s="90"/>
      <c r="AA523" s="93"/>
      <c r="AB523" s="87"/>
      <c r="AC523" s="91"/>
      <c r="AD523" s="90"/>
      <c r="AE523" s="86"/>
      <c r="AF523" s="82"/>
      <c r="AG523" s="24"/>
      <c r="AH523" s="93"/>
      <c r="AI523" s="87"/>
      <c r="AJ523" s="86"/>
      <c r="AK523" s="81"/>
      <c r="AL523" s="24"/>
      <c r="AM523" s="24"/>
      <c r="AN523" s="81"/>
      <c r="AO523" s="81"/>
      <c r="AP523" s="24"/>
      <c r="AQ523" s="93"/>
      <c r="AR523" s="94"/>
      <c r="AS523" s="82"/>
      <c r="AT523" s="82"/>
      <c r="AU523" s="24"/>
      <c r="AV523" s="93"/>
      <c r="AW523" s="94"/>
      <c r="AX523" s="95"/>
      <c r="AY523" s="95"/>
      <c r="AZ523" s="95"/>
      <c r="BA523" s="24"/>
      <c r="BB523" s="9" t="s">
        <v>363</v>
      </c>
      <c r="BC523" s="96" t="s">
        <v>1128</v>
      </c>
    </row>
    <row r="524" spans="1:55" ht="15" customHeight="1">
      <c r="A524" s="86">
        <f t="shared" si="26"/>
        <v>522</v>
      </c>
      <c r="B524" s="75" t="s">
        <v>773</v>
      </c>
      <c r="C524" s="9"/>
      <c r="D524" s="76" t="s">
        <v>771</v>
      </c>
      <c r="E524" s="88" t="str">
        <f>_xlfn.IFNA(VLOOKUP($D524,'Route-Details'!$B$2:$X$1048576,'Node Details'!E$1,0),"")</f>
        <v>Airtel</v>
      </c>
      <c r="F524" s="88" t="str">
        <f>_xlfn.IFNA(VLOOKUP($D524,'Route-Details'!$B$2:$X$1048576,'Node Details'!F$1,0),"")</f>
        <v>Mani Majra</v>
      </c>
      <c r="G524" s="88" t="str">
        <f>_xlfn.IFNA(VLOOKUP($D524,'Route-Details'!$B$2:$X$1048576,'Node Details'!G$1,0),"")</f>
        <v>Chandigarh</v>
      </c>
      <c r="H524" s="88" t="str">
        <f>_xlfn.IFNA(VLOOKUP($D525,'Route-Details'!$B$2:$X$1048576,'Node Details'!H$1,0),"")</f>
        <v>Punjab</v>
      </c>
      <c r="I524" s="88" t="str">
        <f>_xlfn.IFNA(VLOOKUP($D524,'Route-Details'!$B$2:$X$1048576,'Node Details'!I$1,0),"")</f>
        <v>CM3</v>
      </c>
      <c r="J524" s="88" t="str">
        <f>_xlfn.IFNA(VLOOKUP($D524,'Route-Details'!$B$2:$X$1048576,'Node Details'!J$1,0),"")</f>
        <v>CM3</v>
      </c>
      <c r="K524" s="76">
        <v>46142</v>
      </c>
      <c r="L524" s="76">
        <v>46149</v>
      </c>
      <c r="M524" s="89">
        <v>46149</v>
      </c>
      <c r="N524" s="76">
        <v>46149</v>
      </c>
      <c r="Q524" s="86" t="s">
        <v>958</v>
      </c>
      <c r="R524" s="90"/>
      <c r="S524" s="87"/>
      <c r="T524" s="87"/>
      <c r="U524" s="87"/>
      <c r="V524" s="93"/>
      <c r="W524" s="91"/>
      <c r="X524" s="87"/>
      <c r="Y524" s="92"/>
      <c r="Z524" s="90"/>
      <c r="AA524" s="93"/>
      <c r="AB524" s="87"/>
      <c r="AC524" s="91"/>
      <c r="AD524" s="90"/>
      <c r="AE524" s="86"/>
      <c r="AF524" s="82"/>
      <c r="AG524" s="24"/>
      <c r="AH524" s="93"/>
      <c r="AI524" s="87"/>
      <c r="AJ524" s="86"/>
      <c r="AK524" s="81"/>
      <c r="AL524" s="24"/>
      <c r="AM524" s="24"/>
      <c r="AN524" s="81"/>
      <c r="AO524" s="81"/>
      <c r="AP524" s="24"/>
      <c r="AQ524" s="93"/>
      <c r="AR524" s="94"/>
      <c r="AS524" s="82"/>
      <c r="AT524" s="82"/>
      <c r="AU524" s="24"/>
      <c r="AV524" s="93"/>
      <c r="AW524" s="94"/>
      <c r="AX524" s="95"/>
      <c r="AY524" s="95"/>
      <c r="AZ524" s="95"/>
      <c r="BA524" s="24"/>
      <c r="BB524" s="9" t="s">
        <v>363</v>
      </c>
      <c r="BC524" s="96" t="s">
        <v>1128</v>
      </c>
    </row>
    <row r="525" spans="1:55" ht="15" customHeight="1">
      <c r="A525" s="86">
        <f t="shared" si="26"/>
        <v>523</v>
      </c>
      <c r="B525" s="75" t="s">
        <v>775</v>
      </c>
      <c r="C525" s="9"/>
      <c r="D525" s="76" t="s">
        <v>620</v>
      </c>
      <c r="E525" s="88" t="str">
        <f>_xlfn.IFNA(VLOOKUP($D525,'Route-Details'!$B$2:$X$1048576,'Node Details'!E$1,0),"")</f>
        <v>Airtel</v>
      </c>
      <c r="F525" s="88" t="str">
        <f>_xlfn.IFNA(VLOOKUP($D525,'Route-Details'!$B$2:$X$1048576,'Node Details'!F$1,0),"")</f>
        <v>Mani Majra</v>
      </c>
      <c r="G525" s="88" t="str">
        <f>_xlfn.IFNA(VLOOKUP($D525,'Route-Details'!$B$2:$X$1048576,'Node Details'!G$1,0),"")</f>
        <v>Chandigarh</v>
      </c>
      <c r="H525" s="88" t="str">
        <f>_xlfn.IFNA(VLOOKUP($D526,'Route-Details'!$B$2:$X$1048576,'Node Details'!H$1,0),"")</f>
        <v>Punjab</v>
      </c>
      <c r="I525" s="88" t="str">
        <f>_xlfn.IFNA(VLOOKUP($D525,'Route-Details'!$B$2:$X$1048576,'Node Details'!I$1,0),"")</f>
        <v>CM3</v>
      </c>
      <c r="J525" s="88" t="str">
        <f>_xlfn.IFNA(VLOOKUP($D525,'Route-Details'!$B$2:$X$1048576,'Node Details'!J$1,0),"")</f>
        <v>CM3</v>
      </c>
      <c r="K525" s="76">
        <v>46142</v>
      </c>
      <c r="L525" s="76">
        <v>46149</v>
      </c>
      <c r="M525" s="89">
        <v>46149</v>
      </c>
      <c r="N525" s="76">
        <v>46149</v>
      </c>
      <c r="Q525" s="86" t="s">
        <v>958</v>
      </c>
      <c r="R525" s="90"/>
      <c r="S525" s="87"/>
      <c r="T525" s="87"/>
      <c r="U525" s="87"/>
      <c r="V525" s="93"/>
      <c r="W525" s="91"/>
      <c r="X525" s="87"/>
      <c r="Y525" s="92"/>
      <c r="Z525" s="90"/>
      <c r="AA525" s="93"/>
      <c r="AB525" s="87"/>
      <c r="AC525" s="91"/>
      <c r="AD525" s="90"/>
      <c r="AE525" s="86"/>
      <c r="AF525" s="82"/>
      <c r="AG525" s="24"/>
      <c r="AH525" s="93"/>
      <c r="AI525" s="87"/>
      <c r="AJ525" s="86"/>
      <c r="AK525" s="81"/>
      <c r="AL525" s="24"/>
      <c r="AM525" s="24"/>
      <c r="AN525" s="81"/>
      <c r="AO525" s="81"/>
      <c r="AP525" s="24"/>
      <c r="AQ525" s="93"/>
      <c r="AR525" s="94"/>
      <c r="AS525" s="82"/>
      <c r="AT525" s="82"/>
      <c r="AU525" s="24"/>
      <c r="AV525" s="93"/>
      <c r="AW525" s="94"/>
      <c r="AX525" s="95"/>
      <c r="AY525" s="95"/>
      <c r="AZ525" s="95"/>
      <c r="BA525" s="24"/>
      <c r="BB525" s="9" t="s">
        <v>96</v>
      </c>
      <c r="BC525" s="96" t="s">
        <v>1128</v>
      </c>
    </row>
    <row r="526" spans="1:55" ht="15" customHeight="1">
      <c r="A526" s="86">
        <f t="shared" si="26"/>
        <v>524</v>
      </c>
      <c r="B526" s="75" t="s">
        <v>1190</v>
      </c>
      <c r="C526" s="9"/>
      <c r="D526" s="76" t="s">
        <v>774</v>
      </c>
      <c r="E526" s="88" t="str">
        <f>_xlfn.IFNA(VLOOKUP($D526,'Route-Details'!$B$2:$X$1048576,'Node Details'!E$1,0),"")</f>
        <v>Airtel</v>
      </c>
      <c r="F526" s="88" t="str">
        <f>_xlfn.IFNA(VLOOKUP($D526,'Route-Details'!$B$2:$X$1048576,'Node Details'!F$1,0),"")</f>
        <v>Mani Majra</v>
      </c>
      <c r="G526" s="88" t="str">
        <f>_xlfn.IFNA(VLOOKUP($D526,'Route-Details'!$B$2:$X$1048576,'Node Details'!G$1,0),"")</f>
        <v>Chandigarh</v>
      </c>
      <c r="H526" s="88" t="str">
        <f>_xlfn.IFNA(VLOOKUP($D527,'Route-Details'!$B$2:$X$1048576,'Node Details'!H$1,0),"")</f>
        <v>Punjab</v>
      </c>
      <c r="I526" s="88" t="str">
        <f>_xlfn.IFNA(VLOOKUP($D526,'Route-Details'!$B$2:$X$1048576,'Node Details'!I$1,0),"")</f>
        <v>CM3</v>
      </c>
      <c r="J526" s="88" t="str">
        <f>_xlfn.IFNA(VLOOKUP($D526,'Route-Details'!$B$2:$X$1048576,'Node Details'!J$1,0),"")</f>
        <v>CM3</v>
      </c>
      <c r="K526" s="76">
        <v>46142</v>
      </c>
      <c r="L526" s="76">
        <v>46149</v>
      </c>
      <c r="M526" s="89">
        <v>46149</v>
      </c>
      <c r="N526" s="76">
        <v>46149</v>
      </c>
      <c r="Q526" s="86" t="s">
        <v>958</v>
      </c>
      <c r="R526" s="90"/>
      <c r="S526" s="87"/>
      <c r="T526" s="87"/>
      <c r="U526" s="87"/>
      <c r="V526" s="93"/>
      <c r="W526" s="91"/>
      <c r="X526" s="87"/>
      <c r="Y526" s="92"/>
      <c r="Z526" s="90"/>
      <c r="AA526" s="93"/>
      <c r="AB526" s="87"/>
      <c r="AC526" s="91"/>
      <c r="AD526" s="90"/>
      <c r="AE526" s="86"/>
      <c r="AF526" s="82"/>
      <c r="AG526" s="24"/>
      <c r="AH526" s="93"/>
      <c r="AI526" s="87"/>
      <c r="AJ526" s="86"/>
      <c r="AK526" s="81"/>
      <c r="AL526" s="24"/>
      <c r="AM526" s="24"/>
      <c r="AN526" s="81"/>
      <c r="AO526" s="81"/>
      <c r="AP526" s="24"/>
      <c r="AQ526" s="93"/>
      <c r="AR526" s="94"/>
      <c r="AS526" s="82"/>
      <c r="AT526" s="82"/>
      <c r="AU526" s="24"/>
      <c r="AV526" s="93"/>
      <c r="AW526" s="94"/>
      <c r="AX526" s="95"/>
      <c r="AY526" s="95"/>
      <c r="AZ526" s="95"/>
      <c r="BA526" s="24"/>
      <c r="BB526" s="9" t="s">
        <v>369</v>
      </c>
      <c r="BC526" s="96" t="s">
        <v>1128</v>
      </c>
    </row>
    <row r="527" spans="1:55" ht="15" customHeight="1">
      <c r="A527" s="86">
        <f t="shared" si="26"/>
        <v>525</v>
      </c>
      <c r="B527" s="75" t="s">
        <v>1191</v>
      </c>
      <c r="C527" s="9"/>
      <c r="D527" s="76" t="s">
        <v>774</v>
      </c>
      <c r="E527" s="88" t="str">
        <f>_xlfn.IFNA(VLOOKUP($D527,'Route-Details'!$B$2:$X$1048576,'Node Details'!E$1,0),"")</f>
        <v>Airtel</v>
      </c>
      <c r="F527" s="88" t="str">
        <f>_xlfn.IFNA(VLOOKUP($D527,'Route-Details'!$B$2:$X$1048576,'Node Details'!F$1,0),"")</f>
        <v>Mani Majra</v>
      </c>
      <c r="G527" s="88" t="str">
        <f>_xlfn.IFNA(VLOOKUP($D527,'Route-Details'!$B$2:$X$1048576,'Node Details'!G$1,0),"")</f>
        <v>Chandigarh</v>
      </c>
      <c r="H527" s="88" t="str">
        <f>_xlfn.IFNA(VLOOKUP($D528,'Route-Details'!$B$2:$X$1048576,'Node Details'!H$1,0),"")</f>
        <v>Punjab</v>
      </c>
      <c r="I527" s="88" t="str">
        <f>_xlfn.IFNA(VLOOKUP($D527,'Route-Details'!$B$2:$X$1048576,'Node Details'!I$1,0),"")</f>
        <v>CM3</v>
      </c>
      <c r="J527" s="88" t="str">
        <f>_xlfn.IFNA(VLOOKUP($D527,'Route-Details'!$B$2:$X$1048576,'Node Details'!J$1,0),"")</f>
        <v>CM3</v>
      </c>
      <c r="K527" s="76">
        <v>46142</v>
      </c>
      <c r="L527" s="76">
        <v>46149</v>
      </c>
      <c r="M527" s="89">
        <v>46149</v>
      </c>
      <c r="N527" s="76">
        <v>46149</v>
      </c>
      <c r="Q527" s="86" t="s">
        <v>958</v>
      </c>
      <c r="R527" s="90"/>
      <c r="S527" s="87"/>
      <c r="T527" s="87"/>
      <c r="U527" s="87"/>
      <c r="V527" s="93"/>
      <c r="W527" s="91"/>
      <c r="X527" s="87"/>
      <c r="Y527" s="92"/>
      <c r="Z527" s="90"/>
      <c r="AA527" s="93"/>
      <c r="AB527" s="87"/>
      <c r="AC527" s="91"/>
      <c r="AD527" s="90"/>
      <c r="AE527" s="86"/>
      <c r="AF527" s="82"/>
      <c r="AG527" s="24"/>
      <c r="AH527" s="93"/>
      <c r="AI527" s="87"/>
      <c r="AJ527" s="86"/>
      <c r="AK527" s="81"/>
      <c r="AL527" s="24"/>
      <c r="AM527" s="24"/>
      <c r="AN527" s="81"/>
      <c r="AO527" s="81"/>
      <c r="AP527" s="24"/>
      <c r="AQ527" s="93"/>
      <c r="AR527" s="94"/>
      <c r="AS527" s="82"/>
      <c r="AT527" s="82"/>
      <c r="AU527" s="24"/>
      <c r="AV527" s="93"/>
      <c r="AW527" s="94"/>
      <c r="AX527" s="95"/>
      <c r="AY527" s="95"/>
      <c r="AZ527" s="95"/>
      <c r="BA527" s="24"/>
      <c r="BB527" s="9" t="s">
        <v>369</v>
      </c>
      <c r="BC527" s="96" t="s">
        <v>1128</v>
      </c>
    </row>
    <row r="528" spans="1:55" ht="15" customHeight="1">
      <c r="A528" s="86">
        <f t="shared" si="26"/>
        <v>526</v>
      </c>
      <c r="B528" s="75" t="s">
        <v>1192</v>
      </c>
      <c r="C528" s="9"/>
      <c r="D528" s="76" t="s">
        <v>774</v>
      </c>
      <c r="E528" s="88" t="str">
        <f>_xlfn.IFNA(VLOOKUP($D528,'Route-Details'!$B$2:$X$1048576,'Node Details'!E$1,0),"")</f>
        <v>Airtel</v>
      </c>
      <c r="F528" s="88" t="str">
        <f>_xlfn.IFNA(VLOOKUP($D528,'Route-Details'!$B$2:$X$1048576,'Node Details'!F$1,0),"")</f>
        <v>Mani Majra</v>
      </c>
      <c r="G528" s="88" t="str">
        <f>_xlfn.IFNA(VLOOKUP($D528,'Route-Details'!$B$2:$X$1048576,'Node Details'!G$1,0),"")</f>
        <v>Chandigarh</v>
      </c>
      <c r="H528" s="88" t="str">
        <f>_xlfn.IFNA(VLOOKUP($D529,'Route-Details'!$B$2:$X$1048576,'Node Details'!H$1,0),"")</f>
        <v>Punjab</v>
      </c>
      <c r="I528" s="88" t="str">
        <f>_xlfn.IFNA(VLOOKUP($D528,'Route-Details'!$B$2:$X$1048576,'Node Details'!I$1,0),"")</f>
        <v>CM3</v>
      </c>
      <c r="J528" s="88" t="str">
        <f>_xlfn.IFNA(VLOOKUP($D528,'Route-Details'!$B$2:$X$1048576,'Node Details'!J$1,0),"")</f>
        <v>CM3</v>
      </c>
      <c r="K528" s="76">
        <v>46142</v>
      </c>
      <c r="L528" s="76">
        <v>46149</v>
      </c>
      <c r="M528" s="89">
        <v>46149</v>
      </c>
      <c r="N528" s="76">
        <v>46149</v>
      </c>
      <c r="Q528" s="86" t="s">
        <v>958</v>
      </c>
      <c r="R528" s="90"/>
      <c r="S528" s="87"/>
      <c r="T528" s="87"/>
      <c r="U528" s="87"/>
      <c r="V528" s="93"/>
      <c r="W528" s="91"/>
      <c r="X528" s="87"/>
      <c r="Y528" s="92"/>
      <c r="Z528" s="90"/>
      <c r="AA528" s="93"/>
      <c r="AB528" s="87"/>
      <c r="AC528" s="91"/>
      <c r="AD528" s="90"/>
      <c r="AE528" s="86"/>
      <c r="AF528" s="82"/>
      <c r="AG528" s="24"/>
      <c r="AH528" s="93"/>
      <c r="AI528" s="87"/>
      <c r="AJ528" s="86"/>
      <c r="AK528" s="81"/>
      <c r="AL528" s="24"/>
      <c r="AM528" s="24"/>
      <c r="AN528" s="81"/>
      <c r="AO528" s="81"/>
      <c r="AP528" s="24"/>
      <c r="AQ528" s="93"/>
      <c r="AR528" s="94"/>
      <c r="AS528" s="82"/>
      <c r="AT528" s="82"/>
      <c r="AU528" s="24"/>
      <c r="AV528" s="93"/>
      <c r="AW528" s="94"/>
      <c r="AX528" s="95"/>
      <c r="AY528" s="95"/>
      <c r="AZ528" s="95"/>
      <c r="BA528" s="24"/>
      <c r="BB528" s="9" t="s">
        <v>369</v>
      </c>
      <c r="BC528" s="96" t="s">
        <v>1128</v>
      </c>
    </row>
    <row r="529" spans="1:55" ht="15" customHeight="1">
      <c r="A529" s="86">
        <f t="shared" si="26"/>
        <v>527</v>
      </c>
      <c r="B529" s="75" t="s">
        <v>776</v>
      </c>
      <c r="C529" s="9"/>
      <c r="D529" s="76" t="s">
        <v>774</v>
      </c>
      <c r="E529" s="88" t="str">
        <f>_xlfn.IFNA(VLOOKUP($D529,'Route-Details'!$B$2:$X$1048576,'Node Details'!E$1,0),"")</f>
        <v>Airtel</v>
      </c>
      <c r="F529" s="88" t="str">
        <f>_xlfn.IFNA(VLOOKUP($D529,'Route-Details'!$B$2:$X$1048576,'Node Details'!F$1,0),"")</f>
        <v>Mani Majra</v>
      </c>
      <c r="G529" s="88" t="str">
        <f>_xlfn.IFNA(VLOOKUP($D529,'Route-Details'!$B$2:$X$1048576,'Node Details'!G$1,0),"")</f>
        <v>Chandigarh</v>
      </c>
      <c r="H529" s="88" t="str">
        <f>_xlfn.IFNA(VLOOKUP($D530,'Route-Details'!$B$2:$X$1048576,'Node Details'!H$1,0),"")</f>
        <v>Punjab</v>
      </c>
      <c r="I529" s="88" t="str">
        <f>_xlfn.IFNA(VLOOKUP($D529,'Route-Details'!$B$2:$X$1048576,'Node Details'!I$1,0),"")</f>
        <v>CM3</v>
      </c>
      <c r="J529" s="88" t="str">
        <f>_xlfn.IFNA(VLOOKUP($D529,'Route-Details'!$B$2:$X$1048576,'Node Details'!J$1,0),"")</f>
        <v>CM3</v>
      </c>
      <c r="K529" s="76">
        <v>46142</v>
      </c>
      <c r="L529" s="76">
        <v>46149</v>
      </c>
      <c r="M529" s="89">
        <v>46149</v>
      </c>
      <c r="N529" s="76">
        <v>46149</v>
      </c>
      <c r="Q529" s="86" t="s">
        <v>958</v>
      </c>
      <c r="R529" s="90"/>
      <c r="S529" s="87"/>
      <c r="T529" s="87"/>
      <c r="U529" s="87"/>
      <c r="V529" s="93"/>
      <c r="W529" s="91"/>
      <c r="X529" s="87"/>
      <c r="Y529" s="92"/>
      <c r="Z529" s="90"/>
      <c r="AA529" s="93"/>
      <c r="AB529" s="87"/>
      <c r="AC529" s="91"/>
      <c r="AD529" s="90"/>
      <c r="AE529" s="86"/>
      <c r="AF529" s="82"/>
      <c r="AG529" s="24"/>
      <c r="AH529" s="93"/>
      <c r="AI529" s="87"/>
      <c r="AJ529" s="86"/>
      <c r="AK529" s="81"/>
      <c r="AL529" s="24"/>
      <c r="AM529" s="24"/>
      <c r="AN529" s="81"/>
      <c r="AO529" s="81"/>
      <c r="AP529" s="24"/>
      <c r="AQ529" s="93"/>
      <c r="AR529" s="94"/>
      <c r="AS529" s="82"/>
      <c r="AT529" s="82"/>
      <c r="AU529" s="24"/>
      <c r="AV529" s="93"/>
      <c r="AW529" s="94"/>
      <c r="AX529" s="95"/>
      <c r="AY529" s="95"/>
      <c r="AZ529" s="95"/>
      <c r="BA529" s="24"/>
      <c r="BB529" s="9" t="s">
        <v>369</v>
      </c>
      <c r="BC529" s="96" t="s">
        <v>1128</v>
      </c>
    </row>
    <row r="530" spans="1:55" ht="15" customHeight="1">
      <c r="A530" s="86">
        <f t="shared" si="26"/>
        <v>528</v>
      </c>
      <c r="B530" s="75" t="s">
        <v>1193</v>
      </c>
      <c r="C530" s="9"/>
      <c r="D530" s="76" t="s">
        <v>777</v>
      </c>
      <c r="E530" s="88" t="str">
        <f>_xlfn.IFNA(VLOOKUP($D530,'Route-Details'!$B$2:$X$1048576,'Node Details'!E$1,0),"")</f>
        <v>Airtel</v>
      </c>
      <c r="F530" s="88" t="str">
        <f>_xlfn.IFNA(VLOOKUP($D530,'Route-Details'!$B$2:$X$1048576,'Node Details'!F$1,0),"")</f>
        <v>Mani Majra</v>
      </c>
      <c r="G530" s="88" t="str">
        <f>_xlfn.IFNA(VLOOKUP($D530,'Route-Details'!$B$2:$X$1048576,'Node Details'!G$1,0),"")</f>
        <v>Chandigarh</v>
      </c>
      <c r="H530" s="88" t="str">
        <f>_xlfn.IFNA(VLOOKUP($D531,'Route-Details'!$B$2:$X$1048576,'Node Details'!H$1,0),"")</f>
        <v>Punjab</v>
      </c>
      <c r="I530" s="88" t="str">
        <f>_xlfn.IFNA(VLOOKUP($D530,'Route-Details'!$B$2:$X$1048576,'Node Details'!I$1,0),"")</f>
        <v>CM3</v>
      </c>
      <c r="J530" s="88" t="str">
        <f>_xlfn.IFNA(VLOOKUP($D530,'Route-Details'!$B$2:$X$1048576,'Node Details'!J$1,0),"")</f>
        <v>CM3</v>
      </c>
      <c r="K530" s="76">
        <v>46142</v>
      </c>
      <c r="L530" s="76">
        <v>46149</v>
      </c>
      <c r="M530" s="89">
        <v>46149</v>
      </c>
      <c r="N530" s="76">
        <v>46149</v>
      </c>
      <c r="Q530" s="86" t="s">
        <v>958</v>
      </c>
      <c r="R530" s="90"/>
      <c r="S530" s="87"/>
      <c r="T530" s="87"/>
      <c r="U530" s="87"/>
      <c r="V530" s="93"/>
      <c r="W530" s="91"/>
      <c r="X530" s="87"/>
      <c r="Y530" s="92"/>
      <c r="Z530" s="90"/>
      <c r="AA530" s="93"/>
      <c r="AB530" s="87"/>
      <c r="AC530" s="91"/>
      <c r="AD530" s="90"/>
      <c r="AE530" s="86"/>
      <c r="AF530" s="82"/>
      <c r="AG530" s="24"/>
      <c r="AH530" s="93"/>
      <c r="AI530" s="87"/>
      <c r="AJ530" s="86"/>
      <c r="AK530" s="81"/>
      <c r="AL530" s="24"/>
      <c r="AM530" s="24"/>
      <c r="AN530" s="81"/>
      <c r="AO530" s="81"/>
      <c r="AP530" s="24"/>
      <c r="AQ530" s="93"/>
      <c r="AR530" s="94"/>
      <c r="AS530" s="82"/>
      <c r="AT530" s="82"/>
      <c r="AU530" s="24"/>
      <c r="AV530" s="93"/>
      <c r="AW530" s="94"/>
      <c r="AX530" s="95"/>
      <c r="AY530" s="95"/>
      <c r="AZ530" s="95"/>
      <c r="BA530" s="24"/>
      <c r="BB530" s="9" t="s">
        <v>366</v>
      </c>
      <c r="BC530" s="96" t="s">
        <v>1128</v>
      </c>
    </row>
    <row r="531" spans="1:55" ht="15" customHeight="1">
      <c r="A531" s="86">
        <f t="shared" si="26"/>
        <v>529</v>
      </c>
      <c r="B531" s="75" t="s">
        <v>780</v>
      </c>
      <c r="C531" s="9"/>
      <c r="D531" s="76" t="s">
        <v>777</v>
      </c>
      <c r="E531" s="88" t="str">
        <f>_xlfn.IFNA(VLOOKUP($D531,'Route-Details'!$B$2:$X$1048576,'Node Details'!E$1,0),"")</f>
        <v>Airtel</v>
      </c>
      <c r="F531" s="88" t="str">
        <f>_xlfn.IFNA(VLOOKUP($D531,'Route-Details'!$B$2:$X$1048576,'Node Details'!F$1,0),"")</f>
        <v>Mani Majra</v>
      </c>
      <c r="G531" s="88" t="str">
        <f>_xlfn.IFNA(VLOOKUP($D531,'Route-Details'!$B$2:$X$1048576,'Node Details'!G$1,0),"")</f>
        <v>Chandigarh</v>
      </c>
      <c r="H531" s="88" t="str">
        <f>_xlfn.IFNA(VLOOKUP($D532,'Route-Details'!$B$2:$X$1048576,'Node Details'!H$1,0),"")</f>
        <v>Punjab</v>
      </c>
      <c r="I531" s="88" t="str">
        <f>_xlfn.IFNA(VLOOKUP($D531,'Route-Details'!$B$2:$X$1048576,'Node Details'!I$1,0),"")</f>
        <v>CM3</v>
      </c>
      <c r="J531" s="88" t="str">
        <f>_xlfn.IFNA(VLOOKUP($D531,'Route-Details'!$B$2:$X$1048576,'Node Details'!J$1,0),"")</f>
        <v>CM3</v>
      </c>
      <c r="K531" s="76">
        <v>46142</v>
      </c>
      <c r="L531" s="76">
        <v>46149</v>
      </c>
      <c r="M531" s="89">
        <v>46149</v>
      </c>
      <c r="N531" s="76">
        <v>46149</v>
      </c>
      <c r="Q531" s="86" t="s">
        <v>958</v>
      </c>
      <c r="R531" s="90"/>
      <c r="S531" s="87"/>
      <c r="T531" s="87"/>
      <c r="U531" s="87"/>
      <c r="V531" s="93"/>
      <c r="W531" s="91"/>
      <c r="X531" s="87"/>
      <c r="Y531" s="92"/>
      <c r="Z531" s="90"/>
      <c r="AA531" s="93"/>
      <c r="AB531" s="87"/>
      <c r="AC531" s="91"/>
      <c r="AD531" s="90"/>
      <c r="AE531" s="86"/>
      <c r="AF531" s="82"/>
      <c r="AG531" s="24"/>
      <c r="AH531" s="93"/>
      <c r="AI531" s="87"/>
      <c r="AJ531" s="86"/>
      <c r="AK531" s="81"/>
      <c r="AL531" s="24"/>
      <c r="AM531" s="24"/>
      <c r="AN531" s="81"/>
      <c r="AO531" s="81"/>
      <c r="AP531" s="24"/>
      <c r="AQ531" s="93"/>
      <c r="AR531" s="94"/>
      <c r="AS531" s="82"/>
      <c r="AT531" s="82"/>
      <c r="AU531" s="24"/>
      <c r="AV531" s="93"/>
      <c r="AW531" s="94"/>
      <c r="AX531" s="95"/>
      <c r="AY531" s="95"/>
      <c r="AZ531" s="95"/>
      <c r="BA531" s="24"/>
      <c r="BB531" s="9" t="s">
        <v>366</v>
      </c>
      <c r="BC531" s="96" t="s">
        <v>1128</v>
      </c>
    </row>
    <row r="532" spans="1:55" ht="15" customHeight="1">
      <c r="A532" s="86">
        <f t="shared" si="26"/>
        <v>530</v>
      </c>
      <c r="B532" s="75" t="s">
        <v>778</v>
      </c>
      <c r="C532" s="9"/>
      <c r="D532" s="76" t="s">
        <v>777</v>
      </c>
      <c r="E532" s="88" t="str">
        <f>_xlfn.IFNA(VLOOKUP($D532,'Route-Details'!$B$2:$X$1048576,'Node Details'!E$1,0),"")</f>
        <v>Airtel</v>
      </c>
      <c r="F532" s="88" t="str">
        <f>_xlfn.IFNA(VLOOKUP($D532,'Route-Details'!$B$2:$X$1048576,'Node Details'!F$1,0),"")</f>
        <v>Mani Majra</v>
      </c>
      <c r="G532" s="88" t="str">
        <f>_xlfn.IFNA(VLOOKUP($D532,'Route-Details'!$B$2:$X$1048576,'Node Details'!G$1,0),"")</f>
        <v>Chandigarh</v>
      </c>
      <c r="H532" s="88" t="str">
        <f>_xlfn.IFNA(VLOOKUP($D533,'Route-Details'!$B$2:$X$1048576,'Node Details'!H$1,0),"")</f>
        <v>Punjab</v>
      </c>
      <c r="I532" s="88" t="str">
        <f>_xlfn.IFNA(VLOOKUP($D532,'Route-Details'!$B$2:$X$1048576,'Node Details'!I$1,0),"")</f>
        <v>CM3</v>
      </c>
      <c r="J532" s="88" t="str">
        <f>_xlfn.IFNA(VLOOKUP($D532,'Route-Details'!$B$2:$X$1048576,'Node Details'!J$1,0),"")</f>
        <v>CM3</v>
      </c>
      <c r="K532" s="76">
        <v>46142</v>
      </c>
      <c r="L532" s="76">
        <v>46149</v>
      </c>
      <c r="M532" s="89">
        <v>46149</v>
      </c>
      <c r="N532" s="76">
        <v>46149</v>
      </c>
      <c r="Q532" s="86" t="s">
        <v>958</v>
      </c>
      <c r="R532" s="90"/>
      <c r="S532" s="87"/>
      <c r="T532" s="87"/>
      <c r="U532" s="87"/>
      <c r="V532" s="93"/>
      <c r="W532" s="91"/>
      <c r="X532" s="87"/>
      <c r="Y532" s="92"/>
      <c r="Z532" s="90"/>
      <c r="AA532" s="93"/>
      <c r="AB532" s="87"/>
      <c r="AC532" s="91"/>
      <c r="AD532" s="90"/>
      <c r="AE532" s="86"/>
      <c r="AF532" s="82"/>
      <c r="AG532" s="24"/>
      <c r="AH532" s="93"/>
      <c r="AI532" s="87"/>
      <c r="AJ532" s="86"/>
      <c r="AK532" s="81"/>
      <c r="AL532" s="24"/>
      <c r="AM532" s="24"/>
      <c r="AN532" s="81"/>
      <c r="AO532" s="81"/>
      <c r="AP532" s="24"/>
      <c r="AQ532" s="93"/>
      <c r="AR532" s="94"/>
      <c r="AS532" s="82"/>
      <c r="AT532" s="82"/>
      <c r="AU532" s="24"/>
      <c r="AV532" s="93"/>
      <c r="AW532" s="94"/>
      <c r="AX532" s="95"/>
      <c r="AY532" s="95"/>
      <c r="AZ532" s="95"/>
      <c r="BA532" s="24"/>
      <c r="BB532" s="9" t="s">
        <v>366</v>
      </c>
      <c r="BC532" s="96" t="s">
        <v>1128</v>
      </c>
    </row>
    <row r="533" spans="1:55" ht="15" customHeight="1">
      <c r="A533" s="86">
        <f t="shared" si="26"/>
        <v>531</v>
      </c>
      <c r="B533" s="75" t="s">
        <v>781</v>
      </c>
      <c r="C533" s="9"/>
      <c r="D533" s="76" t="s">
        <v>779</v>
      </c>
      <c r="E533" s="88" t="str">
        <f>_xlfn.IFNA(VLOOKUP($D533,'Route-Details'!$B$2:$X$1048576,'Node Details'!E$1,0),"")</f>
        <v>Airtel</v>
      </c>
      <c r="F533" s="88" t="str">
        <f>_xlfn.IFNA(VLOOKUP($D533,'Route-Details'!$B$2:$X$1048576,'Node Details'!F$1,0),"")</f>
        <v>Mani Majra</v>
      </c>
      <c r="G533" s="88" t="str">
        <f>_xlfn.IFNA(VLOOKUP($D533,'Route-Details'!$B$2:$X$1048576,'Node Details'!G$1,0),"")</f>
        <v>Chandigarh</v>
      </c>
      <c r="H533" s="88" t="str">
        <f>_xlfn.IFNA(VLOOKUP($D534,'Route-Details'!$B$2:$X$1048576,'Node Details'!H$1,0),"")</f>
        <v>Punjab</v>
      </c>
      <c r="I533" s="88" t="str">
        <f>_xlfn.IFNA(VLOOKUP($D533,'Route-Details'!$B$2:$X$1048576,'Node Details'!I$1,0),"")</f>
        <v>CM3</v>
      </c>
      <c r="J533" s="88" t="str">
        <f>_xlfn.IFNA(VLOOKUP($D533,'Route-Details'!$B$2:$X$1048576,'Node Details'!J$1,0),"")</f>
        <v>CM3</v>
      </c>
      <c r="K533" s="76">
        <v>46142</v>
      </c>
      <c r="L533" s="76">
        <v>46149</v>
      </c>
      <c r="M533" s="89">
        <v>46149</v>
      </c>
      <c r="N533" s="76">
        <v>46149</v>
      </c>
      <c r="Q533" s="86" t="s">
        <v>958</v>
      </c>
      <c r="R533" s="90"/>
      <c r="S533" s="87"/>
      <c r="T533" s="87"/>
      <c r="U533" s="87"/>
      <c r="V533" s="93"/>
      <c r="W533" s="91"/>
      <c r="X533" s="87"/>
      <c r="Y533" s="92"/>
      <c r="Z533" s="90"/>
      <c r="AA533" s="93"/>
      <c r="AB533" s="87"/>
      <c r="AC533" s="91"/>
      <c r="AD533" s="90"/>
      <c r="AE533" s="86"/>
      <c r="AF533" s="82"/>
      <c r="AG533" s="24"/>
      <c r="AH533" s="93"/>
      <c r="AI533" s="87"/>
      <c r="AJ533" s="86"/>
      <c r="AK533" s="81"/>
      <c r="AL533" s="24"/>
      <c r="AM533" s="24"/>
      <c r="AN533" s="81"/>
      <c r="AO533" s="81"/>
      <c r="AP533" s="24"/>
      <c r="AQ533" s="93"/>
      <c r="AR533" s="94"/>
      <c r="AS533" s="82"/>
      <c r="AT533" s="82"/>
      <c r="AU533" s="24"/>
      <c r="AV533" s="93"/>
      <c r="AW533" s="94"/>
      <c r="AX533" s="95"/>
      <c r="AY533" s="95"/>
      <c r="AZ533" s="95"/>
      <c r="BA533" s="24"/>
      <c r="BB533" s="9" t="s">
        <v>530</v>
      </c>
      <c r="BC533" s="96" t="s">
        <v>1128</v>
      </c>
    </row>
    <row r="534" spans="1:55" ht="15" customHeight="1">
      <c r="A534" s="86">
        <f t="shared" si="26"/>
        <v>532</v>
      </c>
      <c r="B534" s="75" t="s">
        <v>783</v>
      </c>
      <c r="C534" s="9"/>
      <c r="D534" s="76" t="s">
        <v>620</v>
      </c>
      <c r="E534" s="88" t="str">
        <f>_xlfn.IFNA(VLOOKUP($D534,'Route-Details'!$B$2:$X$1048576,'Node Details'!E$1,0),"")</f>
        <v>Airtel</v>
      </c>
      <c r="F534" s="88" t="str">
        <f>_xlfn.IFNA(VLOOKUP($D534,'Route-Details'!$B$2:$X$1048576,'Node Details'!F$1,0),"")</f>
        <v>Mani Majra</v>
      </c>
      <c r="G534" s="88" t="str">
        <f>_xlfn.IFNA(VLOOKUP($D534,'Route-Details'!$B$2:$X$1048576,'Node Details'!G$1,0),"")</f>
        <v>Chandigarh</v>
      </c>
      <c r="H534" s="88" t="str">
        <f>_xlfn.IFNA(VLOOKUP($D535,'Route-Details'!$B$2:$X$1048576,'Node Details'!H$1,0),"")</f>
        <v>Punjab</v>
      </c>
      <c r="I534" s="88" t="str">
        <f>_xlfn.IFNA(VLOOKUP($D534,'Route-Details'!$B$2:$X$1048576,'Node Details'!I$1,0),"")</f>
        <v>CM3</v>
      </c>
      <c r="J534" s="88" t="str">
        <f>_xlfn.IFNA(VLOOKUP($D534,'Route-Details'!$B$2:$X$1048576,'Node Details'!J$1,0),"")</f>
        <v>CM3</v>
      </c>
      <c r="K534" s="76">
        <v>46142</v>
      </c>
      <c r="L534" s="76">
        <v>46149</v>
      </c>
      <c r="M534" s="89">
        <v>46149</v>
      </c>
      <c r="N534" s="76">
        <v>46149</v>
      </c>
      <c r="Q534" s="86" t="s">
        <v>958</v>
      </c>
      <c r="R534" s="90"/>
      <c r="S534" s="87"/>
      <c r="T534" s="87"/>
      <c r="U534" s="87"/>
      <c r="V534" s="93"/>
      <c r="W534" s="91"/>
      <c r="X534" s="87"/>
      <c r="Y534" s="92"/>
      <c r="Z534" s="90"/>
      <c r="AA534" s="93"/>
      <c r="AB534" s="87"/>
      <c r="AC534" s="91"/>
      <c r="AD534" s="90"/>
      <c r="AE534" s="86"/>
      <c r="AF534" s="82"/>
      <c r="AG534" s="24"/>
      <c r="AH534" s="93"/>
      <c r="AI534" s="87"/>
      <c r="AJ534" s="86"/>
      <c r="AK534" s="81"/>
      <c r="AL534" s="24"/>
      <c r="AM534" s="24"/>
      <c r="AN534" s="81"/>
      <c r="AO534" s="81"/>
      <c r="AP534" s="24"/>
      <c r="AQ534" s="93"/>
      <c r="AR534" s="94"/>
      <c r="AS534" s="82"/>
      <c r="AT534" s="82"/>
      <c r="AU534" s="24"/>
      <c r="AV534" s="93"/>
      <c r="AW534" s="94"/>
      <c r="AX534" s="95"/>
      <c r="AY534" s="95"/>
      <c r="AZ534" s="95"/>
      <c r="BA534" s="24"/>
      <c r="BB534" s="9" t="s">
        <v>96</v>
      </c>
      <c r="BC534" s="96" t="s">
        <v>1128</v>
      </c>
    </row>
    <row r="535" spans="1:55" ht="15" customHeight="1">
      <c r="A535" s="86">
        <f t="shared" si="26"/>
        <v>533</v>
      </c>
      <c r="B535" s="75" t="s">
        <v>784</v>
      </c>
      <c r="C535" s="9"/>
      <c r="D535" s="76" t="s">
        <v>782</v>
      </c>
      <c r="E535" s="88" t="str">
        <f>_xlfn.IFNA(VLOOKUP($D535,'Route-Details'!$B$2:$X$1048576,'Node Details'!E$1,0),"")</f>
        <v>Airtel</v>
      </c>
      <c r="F535" s="88" t="str">
        <f>_xlfn.IFNA(VLOOKUP($D535,'Route-Details'!$B$2:$X$1048576,'Node Details'!F$1,0),"")</f>
        <v>Mani Majra</v>
      </c>
      <c r="G535" s="88" t="str">
        <f>_xlfn.IFNA(VLOOKUP($D535,'Route-Details'!$B$2:$X$1048576,'Node Details'!G$1,0),"")</f>
        <v>Chandigarh</v>
      </c>
      <c r="H535" s="88" t="str">
        <f>_xlfn.IFNA(VLOOKUP($D536,'Route-Details'!$B$2:$X$1048576,'Node Details'!H$1,0),"")</f>
        <v>Punjab</v>
      </c>
      <c r="I535" s="88" t="str">
        <f>_xlfn.IFNA(VLOOKUP($D535,'Route-Details'!$B$2:$X$1048576,'Node Details'!I$1,0),"")</f>
        <v>CM3</v>
      </c>
      <c r="J535" s="88" t="str">
        <f>_xlfn.IFNA(VLOOKUP($D535,'Route-Details'!$B$2:$X$1048576,'Node Details'!J$1,0),"")</f>
        <v>CM3</v>
      </c>
      <c r="K535" s="76">
        <v>46142</v>
      </c>
      <c r="L535" s="76">
        <v>46149</v>
      </c>
      <c r="M535" s="89">
        <v>46149</v>
      </c>
      <c r="N535" s="76">
        <v>46149</v>
      </c>
      <c r="Q535" s="86" t="s">
        <v>958</v>
      </c>
      <c r="R535" s="90"/>
      <c r="S535" s="87"/>
      <c r="T535" s="87"/>
      <c r="U535" s="87"/>
      <c r="V535" s="93"/>
      <c r="W535" s="91"/>
      <c r="X535" s="87"/>
      <c r="Y535" s="92"/>
      <c r="Z535" s="90"/>
      <c r="AA535" s="93"/>
      <c r="AB535" s="87"/>
      <c r="AC535" s="91"/>
      <c r="AD535" s="90"/>
      <c r="AE535" s="86"/>
      <c r="AF535" s="82"/>
      <c r="AG535" s="24"/>
      <c r="AH535" s="93"/>
      <c r="AI535" s="87"/>
      <c r="AJ535" s="86"/>
      <c r="AK535" s="81"/>
      <c r="AL535" s="24"/>
      <c r="AM535" s="24"/>
      <c r="AN535" s="81"/>
      <c r="AO535" s="81"/>
      <c r="AP535" s="24"/>
      <c r="AQ535" s="93"/>
      <c r="AR535" s="94"/>
      <c r="AS535" s="82"/>
      <c r="AT535" s="82"/>
      <c r="AU535" s="24"/>
      <c r="AV535" s="93"/>
      <c r="AW535" s="94"/>
      <c r="AX535" s="95"/>
      <c r="AY535" s="95"/>
      <c r="AZ535" s="95"/>
      <c r="BA535" s="24"/>
      <c r="BB535" s="9" t="s">
        <v>535</v>
      </c>
      <c r="BC535" s="96" t="s">
        <v>1128</v>
      </c>
    </row>
    <row r="536" spans="1:55" ht="15" customHeight="1">
      <c r="A536" s="86">
        <f t="shared" si="26"/>
        <v>534</v>
      </c>
      <c r="B536" s="75" t="s">
        <v>1194</v>
      </c>
      <c r="C536" s="9"/>
      <c r="D536" s="76" t="s">
        <v>785</v>
      </c>
      <c r="E536" s="88" t="str">
        <f>_xlfn.IFNA(VLOOKUP($D536,'Route-Details'!$B$2:$X$1048576,'Node Details'!E$1,0),"")</f>
        <v>Airtel</v>
      </c>
      <c r="F536" s="88" t="str">
        <f>_xlfn.IFNA(VLOOKUP($D536,'Route-Details'!$B$2:$X$1048576,'Node Details'!F$1,0),"")</f>
        <v>Mani Majra</v>
      </c>
      <c r="G536" s="88" t="str">
        <f>_xlfn.IFNA(VLOOKUP($D536,'Route-Details'!$B$2:$X$1048576,'Node Details'!G$1,0),"")</f>
        <v>Chandigarh</v>
      </c>
      <c r="H536" s="88" t="str">
        <f>_xlfn.IFNA(VLOOKUP($D537,'Route-Details'!$B$2:$X$1048576,'Node Details'!H$1,0),"")</f>
        <v>Punjab</v>
      </c>
      <c r="I536" s="88" t="str">
        <f>_xlfn.IFNA(VLOOKUP($D536,'Route-Details'!$B$2:$X$1048576,'Node Details'!I$1,0),"")</f>
        <v>CM3</v>
      </c>
      <c r="J536" s="88" t="str">
        <f>_xlfn.IFNA(VLOOKUP($D536,'Route-Details'!$B$2:$X$1048576,'Node Details'!J$1,0),"")</f>
        <v>CM3</v>
      </c>
      <c r="K536" s="76">
        <v>46142</v>
      </c>
      <c r="L536" s="76">
        <v>46149</v>
      </c>
      <c r="M536" s="89">
        <v>46149</v>
      </c>
      <c r="N536" s="76">
        <v>46149</v>
      </c>
      <c r="Q536" s="86" t="s">
        <v>958</v>
      </c>
      <c r="R536" s="90"/>
      <c r="S536" s="87"/>
      <c r="T536" s="87"/>
      <c r="U536" s="87"/>
      <c r="V536" s="93"/>
      <c r="W536" s="91"/>
      <c r="X536" s="87"/>
      <c r="Y536" s="92"/>
      <c r="Z536" s="90"/>
      <c r="AA536" s="93"/>
      <c r="AB536" s="87"/>
      <c r="AC536" s="91"/>
      <c r="AD536" s="90"/>
      <c r="AE536" s="86"/>
      <c r="AF536" s="82"/>
      <c r="AG536" s="24"/>
      <c r="AH536" s="93"/>
      <c r="AI536" s="87"/>
      <c r="AJ536" s="86"/>
      <c r="AK536" s="81"/>
      <c r="AL536" s="24"/>
      <c r="AM536" s="24"/>
      <c r="AN536" s="81"/>
      <c r="AO536" s="81"/>
      <c r="AP536" s="24"/>
      <c r="AQ536" s="93"/>
      <c r="AR536" s="94"/>
      <c r="AS536" s="82"/>
      <c r="AT536" s="82"/>
      <c r="AU536" s="24"/>
      <c r="AV536" s="93"/>
      <c r="AW536" s="94"/>
      <c r="AX536" s="95"/>
      <c r="AY536" s="95"/>
      <c r="AZ536" s="95"/>
      <c r="BA536" s="24"/>
      <c r="BB536" s="9" t="s">
        <v>538</v>
      </c>
      <c r="BC536" s="96" t="s">
        <v>1128</v>
      </c>
    </row>
    <row r="537" spans="1:55" ht="15" customHeight="1">
      <c r="A537" s="86">
        <f t="shared" si="26"/>
        <v>535</v>
      </c>
      <c r="B537" s="75" t="s">
        <v>1195</v>
      </c>
      <c r="C537" s="9"/>
      <c r="D537" s="76" t="s">
        <v>785</v>
      </c>
      <c r="E537" s="88" t="str">
        <f>_xlfn.IFNA(VLOOKUP($D537,'Route-Details'!$B$2:$X$1048576,'Node Details'!E$1,0),"")</f>
        <v>Airtel</v>
      </c>
      <c r="F537" s="88" t="str">
        <f>_xlfn.IFNA(VLOOKUP($D537,'Route-Details'!$B$2:$X$1048576,'Node Details'!F$1,0),"")</f>
        <v>Mani Majra</v>
      </c>
      <c r="G537" s="88" t="str">
        <f>_xlfn.IFNA(VLOOKUP($D537,'Route-Details'!$B$2:$X$1048576,'Node Details'!G$1,0),"")</f>
        <v>Chandigarh</v>
      </c>
      <c r="H537" s="88" t="str">
        <f>_xlfn.IFNA(VLOOKUP($D538,'Route-Details'!$B$2:$X$1048576,'Node Details'!H$1,0),"")</f>
        <v>Punjab</v>
      </c>
      <c r="I537" s="88" t="str">
        <f>_xlfn.IFNA(VLOOKUP($D537,'Route-Details'!$B$2:$X$1048576,'Node Details'!I$1,0),"")</f>
        <v>CM3</v>
      </c>
      <c r="J537" s="88" t="str">
        <f>_xlfn.IFNA(VLOOKUP($D537,'Route-Details'!$B$2:$X$1048576,'Node Details'!J$1,0),"")</f>
        <v>CM3</v>
      </c>
      <c r="K537" s="76">
        <v>46142</v>
      </c>
      <c r="L537" s="76">
        <v>46149</v>
      </c>
      <c r="M537" s="89">
        <v>46149</v>
      </c>
      <c r="N537" s="76">
        <v>46149</v>
      </c>
      <c r="Q537" s="86" t="s">
        <v>958</v>
      </c>
      <c r="R537" s="90"/>
      <c r="S537" s="87"/>
      <c r="T537" s="87"/>
      <c r="U537" s="87"/>
      <c r="V537" s="93"/>
      <c r="W537" s="91"/>
      <c r="X537" s="87"/>
      <c r="Y537" s="92"/>
      <c r="Z537" s="90"/>
      <c r="AA537" s="93"/>
      <c r="AB537" s="87"/>
      <c r="AC537" s="91"/>
      <c r="AD537" s="90"/>
      <c r="AE537" s="86"/>
      <c r="AF537" s="82"/>
      <c r="AG537" s="24"/>
      <c r="AH537" s="93"/>
      <c r="AI537" s="87"/>
      <c r="AJ537" s="86"/>
      <c r="AK537" s="81"/>
      <c r="AL537" s="24"/>
      <c r="AM537" s="24"/>
      <c r="AN537" s="81"/>
      <c r="AO537" s="81"/>
      <c r="AP537" s="24"/>
      <c r="AQ537" s="93"/>
      <c r="AR537" s="94"/>
      <c r="AS537" s="82"/>
      <c r="AT537" s="82"/>
      <c r="AU537" s="24"/>
      <c r="AV537" s="93"/>
      <c r="AW537" s="94"/>
      <c r="AX537" s="95"/>
      <c r="AY537" s="95"/>
      <c r="AZ537" s="95"/>
      <c r="BA537" s="24"/>
      <c r="BB537" s="9" t="s">
        <v>538</v>
      </c>
      <c r="BC537" s="96" t="s">
        <v>1128</v>
      </c>
    </row>
    <row r="538" spans="1:55" ht="15" customHeight="1">
      <c r="A538" s="86">
        <f t="shared" si="26"/>
        <v>536</v>
      </c>
      <c r="B538" s="75" t="s">
        <v>786</v>
      </c>
      <c r="C538" s="9"/>
      <c r="D538" s="76" t="s">
        <v>785</v>
      </c>
      <c r="E538" s="88" t="str">
        <f>_xlfn.IFNA(VLOOKUP($D538,'Route-Details'!$B$2:$X$1048576,'Node Details'!E$1,0),"")</f>
        <v>Airtel</v>
      </c>
      <c r="F538" s="88" t="str">
        <f>_xlfn.IFNA(VLOOKUP($D538,'Route-Details'!$B$2:$X$1048576,'Node Details'!F$1,0),"")</f>
        <v>Mani Majra</v>
      </c>
      <c r="G538" s="88" t="str">
        <f>_xlfn.IFNA(VLOOKUP($D538,'Route-Details'!$B$2:$X$1048576,'Node Details'!G$1,0),"")</f>
        <v>Chandigarh</v>
      </c>
      <c r="H538" s="88" t="str">
        <f>_xlfn.IFNA(VLOOKUP($D539,'Route-Details'!$B$2:$X$1048576,'Node Details'!H$1,0),"")</f>
        <v>Punjab</v>
      </c>
      <c r="I538" s="88" t="str">
        <f>_xlfn.IFNA(VLOOKUP($D538,'Route-Details'!$B$2:$X$1048576,'Node Details'!I$1,0),"")</f>
        <v>CM3</v>
      </c>
      <c r="J538" s="88" t="str">
        <f>_xlfn.IFNA(VLOOKUP($D538,'Route-Details'!$B$2:$X$1048576,'Node Details'!J$1,0),"")</f>
        <v>CM3</v>
      </c>
      <c r="K538" s="76">
        <v>46142</v>
      </c>
      <c r="L538" s="76">
        <v>46149</v>
      </c>
      <c r="M538" s="89">
        <v>46149</v>
      </c>
      <c r="N538" s="76">
        <v>46149</v>
      </c>
      <c r="Q538" s="86" t="s">
        <v>958</v>
      </c>
      <c r="R538" s="90"/>
      <c r="S538" s="87"/>
      <c r="T538" s="87"/>
      <c r="U538" s="87"/>
      <c r="V538" s="93"/>
      <c r="W538" s="91"/>
      <c r="X538" s="87"/>
      <c r="Y538" s="92"/>
      <c r="Z538" s="90"/>
      <c r="AA538" s="93"/>
      <c r="AB538" s="87"/>
      <c r="AC538" s="91"/>
      <c r="AD538" s="90"/>
      <c r="AE538" s="86"/>
      <c r="AF538" s="82"/>
      <c r="AG538" s="24"/>
      <c r="AH538" s="93"/>
      <c r="AI538" s="87"/>
      <c r="AJ538" s="86"/>
      <c r="AK538" s="81"/>
      <c r="AL538" s="24"/>
      <c r="AM538" s="24"/>
      <c r="AN538" s="81"/>
      <c r="AO538" s="81"/>
      <c r="AP538" s="24"/>
      <c r="AQ538" s="93"/>
      <c r="AR538" s="94"/>
      <c r="AS538" s="82"/>
      <c r="AT538" s="82"/>
      <c r="AU538" s="24"/>
      <c r="AV538" s="93"/>
      <c r="AW538" s="94"/>
      <c r="AX538" s="95"/>
      <c r="AY538" s="95"/>
      <c r="AZ538" s="95"/>
      <c r="BA538" s="24"/>
      <c r="BB538" s="9" t="s">
        <v>538</v>
      </c>
      <c r="BC538" s="96" t="s">
        <v>1128</v>
      </c>
    </row>
    <row r="539" spans="1:55" ht="15" customHeight="1">
      <c r="A539" s="86">
        <f t="shared" si="26"/>
        <v>537</v>
      </c>
      <c r="B539" s="75" t="s">
        <v>1196</v>
      </c>
      <c r="C539" s="9"/>
      <c r="D539" s="76" t="s">
        <v>787</v>
      </c>
      <c r="E539" s="88" t="str">
        <f>_xlfn.IFNA(VLOOKUP($D539,'Route-Details'!$B$2:$X$1048576,'Node Details'!E$1,0),"")</f>
        <v>Airtel</v>
      </c>
      <c r="F539" s="88" t="str">
        <f>_xlfn.IFNA(VLOOKUP($D539,'Route-Details'!$B$2:$X$1048576,'Node Details'!F$1,0),"")</f>
        <v>Mani Majra</v>
      </c>
      <c r="G539" s="88" t="str">
        <f>_xlfn.IFNA(VLOOKUP($D539,'Route-Details'!$B$2:$X$1048576,'Node Details'!G$1,0),"")</f>
        <v>Chandigarh</v>
      </c>
      <c r="H539" s="88" t="str">
        <f>_xlfn.IFNA(VLOOKUP($D540,'Route-Details'!$B$2:$X$1048576,'Node Details'!H$1,0),"")</f>
        <v>Punjab</v>
      </c>
      <c r="I539" s="88" t="str">
        <f>_xlfn.IFNA(VLOOKUP($D539,'Route-Details'!$B$2:$X$1048576,'Node Details'!I$1,0),"")</f>
        <v>CM3</v>
      </c>
      <c r="J539" s="88" t="str">
        <f>_xlfn.IFNA(VLOOKUP($D539,'Route-Details'!$B$2:$X$1048576,'Node Details'!J$1,0),"")</f>
        <v>CM3</v>
      </c>
      <c r="K539" s="76">
        <v>46142</v>
      </c>
      <c r="L539" s="76">
        <v>46149</v>
      </c>
      <c r="M539" s="89">
        <v>46149</v>
      </c>
      <c r="N539" s="76">
        <v>46149</v>
      </c>
      <c r="Q539" s="86" t="s">
        <v>958</v>
      </c>
      <c r="R539" s="90"/>
      <c r="S539" s="87"/>
      <c r="T539" s="87"/>
      <c r="U539" s="87"/>
      <c r="V539" s="93"/>
      <c r="W539" s="91"/>
      <c r="X539" s="87"/>
      <c r="Y539" s="92"/>
      <c r="Z539" s="90"/>
      <c r="AA539" s="93"/>
      <c r="AB539" s="87"/>
      <c r="AC539" s="91"/>
      <c r="AD539" s="90"/>
      <c r="AE539" s="86"/>
      <c r="AF539" s="82"/>
      <c r="AG539" s="24"/>
      <c r="AH539" s="93"/>
      <c r="AI539" s="87"/>
      <c r="AJ539" s="86"/>
      <c r="AK539" s="81"/>
      <c r="AL539" s="24"/>
      <c r="AM539" s="24"/>
      <c r="AN539" s="81"/>
      <c r="AO539" s="81"/>
      <c r="AP539" s="24"/>
      <c r="AQ539" s="93"/>
      <c r="AR539" s="94"/>
      <c r="AS539" s="82"/>
      <c r="AT539" s="82"/>
      <c r="AU539" s="24"/>
      <c r="AV539" s="93"/>
      <c r="AW539" s="94"/>
      <c r="AX539" s="95"/>
      <c r="AY539" s="95"/>
      <c r="AZ539" s="95"/>
      <c r="BA539" s="24"/>
      <c r="BB539" s="9" t="s">
        <v>541</v>
      </c>
      <c r="BC539" s="96" t="s">
        <v>1128</v>
      </c>
    </row>
    <row r="540" spans="1:55" ht="15" customHeight="1">
      <c r="A540" s="86">
        <f t="shared" si="26"/>
        <v>538</v>
      </c>
      <c r="B540" s="75" t="s">
        <v>788</v>
      </c>
      <c r="C540" s="9"/>
      <c r="D540" s="76" t="s">
        <v>787</v>
      </c>
      <c r="E540" s="88" t="str">
        <f>_xlfn.IFNA(VLOOKUP($D540,'Route-Details'!$B$2:$X$1048576,'Node Details'!E$1,0),"")</f>
        <v>Airtel</v>
      </c>
      <c r="F540" s="88" t="str">
        <f>_xlfn.IFNA(VLOOKUP($D540,'Route-Details'!$B$2:$X$1048576,'Node Details'!F$1,0),"")</f>
        <v>Mani Majra</v>
      </c>
      <c r="G540" s="88" t="str">
        <f>_xlfn.IFNA(VLOOKUP($D540,'Route-Details'!$B$2:$X$1048576,'Node Details'!G$1,0),"")</f>
        <v>Chandigarh</v>
      </c>
      <c r="H540" s="88" t="str">
        <f>_xlfn.IFNA(VLOOKUP($D541,'Route-Details'!$B$2:$X$1048576,'Node Details'!H$1,0),"")</f>
        <v>Punjab</v>
      </c>
      <c r="I540" s="88" t="str">
        <f>_xlfn.IFNA(VLOOKUP($D540,'Route-Details'!$B$2:$X$1048576,'Node Details'!I$1,0),"")</f>
        <v>CM3</v>
      </c>
      <c r="J540" s="88" t="str">
        <f>_xlfn.IFNA(VLOOKUP($D540,'Route-Details'!$B$2:$X$1048576,'Node Details'!J$1,0),"")</f>
        <v>CM3</v>
      </c>
      <c r="K540" s="76">
        <v>46142</v>
      </c>
      <c r="L540" s="76">
        <v>46149</v>
      </c>
      <c r="M540" s="89">
        <v>46149</v>
      </c>
      <c r="N540" s="76">
        <v>46149</v>
      </c>
      <c r="Q540" s="86" t="s">
        <v>958</v>
      </c>
      <c r="R540" s="90"/>
      <c r="S540" s="87"/>
      <c r="T540" s="87"/>
      <c r="U540" s="87"/>
      <c r="V540" s="93"/>
      <c r="W540" s="91"/>
      <c r="X540" s="87"/>
      <c r="Y540" s="92"/>
      <c r="Z540" s="90"/>
      <c r="AA540" s="93"/>
      <c r="AB540" s="87"/>
      <c r="AC540" s="91"/>
      <c r="AD540" s="90"/>
      <c r="AE540" s="86"/>
      <c r="AF540" s="82"/>
      <c r="AG540" s="24"/>
      <c r="AH540" s="93"/>
      <c r="AI540" s="87"/>
      <c r="AJ540" s="86"/>
      <c r="AK540" s="81"/>
      <c r="AL540" s="24"/>
      <c r="AM540" s="24"/>
      <c r="AN540" s="81"/>
      <c r="AO540" s="81"/>
      <c r="AP540" s="24"/>
      <c r="AQ540" s="93"/>
      <c r="AR540" s="94"/>
      <c r="AS540" s="82"/>
      <c r="AT540" s="82"/>
      <c r="AU540" s="24"/>
      <c r="AV540" s="93"/>
      <c r="AW540" s="94"/>
      <c r="AX540" s="95"/>
      <c r="AY540" s="95"/>
      <c r="AZ540" s="95"/>
      <c r="BA540" s="24"/>
      <c r="BB540" s="9" t="s">
        <v>541</v>
      </c>
      <c r="BC540" s="96" t="s">
        <v>1128</v>
      </c>
    </row>
    <row r="541" spans="1:55" ht="15" customHeight="1">
      <c r="A541" s="86">
        <f t="shared" si="26"/>
        <v>539</v>
      </c>
      <c r="B541" s="75" t="s">
        <v>790</v>
      </c>
      <c r="C541" s="9"/>
      <c r="D541" s="76" t="s">
        <v>620</v>
      </c>
      <c r="E541" s="88" t="str">
        <f>_xlfn.IFNA(VLOOKUP($D541,'Route-Details'!$B$2:$X$1048576,'Node Details'!E$1,0),"")</f>
        <v>Airtel</v>
      </c>
      <c r="F541" s="88" t="str">
        <f>_xlfn.IFNA(VLOOKUP($D541,'Route-Details'!$B$2:$X$1048576,'Node Details'!F$1,0),"")</f>
        <v>Mani Majra</v>
      </c>
      <c r="G541" s="88" t="str">
        <f>_xlfn.IFNA(VLOOKUP($D541,'Route-Details'!$B$2:$X$1048576,'Node Details'!G$1,0),"")</f>
        <v>Chandigarh</v>
      </c>
      <c r="H541" s="88" t="str">
        <f>_xlfn.IFNA(VLOOKUP($D542,'Route-Details'!$B$2:$X$1048576,'Node Details'!H$1,0),"")</f>
        <v>Punjab</v>
      </c>
      <c r="I541" s="88" t="str">
        <f>_xlfn.IFNA(VLOOKUP($D541,'Route-Details'!$B$2:$X$1048576,'Node Details'!I$1,0),"")</f>
        <v>CM3</v>
      </c>
      <c r="J541" s="88" t="str">
        <f>_xlfn.IFNA(VLOOKUP($D541,'Route-Details'!$B$2:$X$1048576,'Node Details'!J$1,0),"")</f>
        <v>CM3</v>
      </c>
      <c r="K541" s="76">
        <v>46142</v>
      </c>
      <c r="L541" s="76">
        <v>46149</v>
      </c>
      <c r="M541" s="89">
        <v>46149</v>
      </c>
      <c r="N541" s="76">
        <v>46149</v>
      </c>
      <c r="Q541" s="86" t="s">
        <v>958</v>
      </c>
      <c r="R541" s="90"/>
      <c r="S541" s="87"/>
      <c r="T541" s="87"/>
      <c r="U541" s="87"/>
      <c r="V541" s="93"/>
      <c r="W541" s="91"/>
      <c r="X541" s="87"/>
      <c r="Y541" s="92"/>
      <c r="Z541" s="90"/>
      <c r="AA541" s="93"/>
      <c r="AB541" s="87"/>
      <c r="AC541" s="91"/>
      <c r="AD541" s="90"/>
      <c r="AE541" s="86"/>
      <c r="AF541" s="82"/>
      <c r="AG541" s="24"/>
      <c r="AH541" s="93"/>
      <c r="AI541" s="87"/>
      <c r="AJ541" s="86"/>
      <c r="AK541" s="81"/>
      <c r="AL541" s="24"/>
      <c r="AM541" s="24"/>
      <c r="AN541" s="81"/>
      <c r="AO541" s="81"/>
      <c r="AP541" s="24"/>
      <c r="AQ541" s="93"/>
      <c r="AR541" s="94"/>
      <c r="AS541" s="82"/>
      <c r="AT541" s="82"/>
      <c r="AU541" s="24"/>
      <c r="AV541" s="93"/>
      <c r="AW541" s="94"/>
      <c r="AX541" s="95"/>
      <c r="AY541" s="95"/>
      <c r="AZ541" s="95"/>
      <c r="BA541" s="24"/>
      <c r="BB541" s="9" t="s">
        <v>96</v>
      </c>
      <c r="BC541" s="96" t="s">
        <v>1128</v>
      </c>
    </row>
    <row r="542" spans="1:55" ht="15" customHeight="1">
      <c r="A542" s="86">
        <f t="shared" si="26"/>
        <v>540</v>
      </c>
      <c r="B542" s="75" t="s">
        <v>791</v>
      </c>
      <c r="C542" s="9"/>
      <c r="D542" s="76" t="s">
        <v>789</v>
      </c>
      <c r="E542" s="88" t="str">
        <f>_xlfn.IFNA(VLOOKUP($D542,'Route-Details'!$B$2:$X$1048576,'Node Details'!E$1,0),"")</f>
        <v>Airtel</v>
      </c>
      <c r="F542" s="88" t="str">
        <f>_xlfn.IFNA(VLOOKUP($D542,'Route-Details'!$B$2:$X$1048576,'Node Details'!F$1,0),"")</f>
        <v>Mani Majra</v>
      </c>
      <c r="G542" s="88" t="str">
        <f>_xlfn.IFNA(VLOOKUP($D542,'Route-Details'!$B$2:$X$1048576,'Node Details'!G$1,0),"")</f>
        <v>Chandigarh</v>
      </c>
      <c r="H542" s="88" t="str">
        <f>_xlfn.IFNA(VLOOKUP($D543,'Route-Details'!$B$2:$X$1048576,'Node Details'!H$1,0),"")</f>
        <v>Punjab</v>
      </c>
      <c r="I542" s="88" t="str">
        <f>_xlfn.IFNA(VLOOKUP($D542,'Route-Details'!$B$2:$X$1048576,'Node Details'!I$1,0),"")</f>
        <v>CM3</v>
      </c>
      <c r="J542" s="88" t="str">
        <f>_xlfn.IFNA(VLOOKUP($D542,'Route-Details'!$B$2:$X$1048576,'Node Details'!J$1,0),"")</f>
        <v>CM3</v>
      </c>
      <c r="K542" s="76">
        <v>46142</v>
      </c>
      <c r="L542" s="76">
        <v>46149</v>
      </c>
      <c r="M542" s="89">
        <v>46149</v>
      </c>
      <c r="N542" s="76">
        <v>46149</v>
      </c>
      <c r="Q542" s="86" t="s">
        <v>958</v>
      </c>
      <c r="R542" s="90"/>
      <c r="S542" s="87"/>
      <c r="T542" s="87"/>
      <c r="U542" s="87"/>
      <c r="V542" s="93"/>
      <c r="W542" s="91"/>
      <c r="X542" s="87"/>
      <c r="Y542" s="92"/>
      <c r="Z542" s="90"/>
      <c r="AA542" s="93"/>
      <c r="AB542" s="87"/>
      <c r="AC542" s="91"/>
      <c r="AD542" s="90"/>
      <c r="AE542" s="86"/>
      <c r="AF542" s="82"/>
      <c r="AG542" s="24"/>
      <c r="AH542" s="93"/>
      <c r="AI542" s="87"/>
      <c r="AJ542" s="86"/>
      <c r="AK542" s="81"/>
      <c r="AL542" s="24"/>
      <c r="AM542" s="24"/>
      <c r="AN542" s="81"/>
      <c r="AO542" s="81"/>
      <c r="AP542" s="24"/>
      <c r="AQ542" s="93"/>
      <c r="AR542" s="94"/>
      <c r="AS542" s="82"/>
      <c r="AT542" s="82"/>
      <c r="AU542" s="24"/>
      <c r="AV542" s="93"/>
      <c r="AW542" s="94"/>
      <c r="AX542" s="95"/>
      <c r="AY542" s="95"/>
      <c r="AZ542" s="95"/>
      <c r="BA542" s="24"/>
      <c r="BB542" s="9" t="s">
        <v>544</v>
      </c>
      <c r="BC542" s="96" t="s">
        <v>1128</v>
      </c>
    </row>
    <row r="543" spans="1:55" ht="15" customHeight="1">
      <c r="A543" s="86">
        <f t="shared" si="26"/>
        <v>541</v>
      </c>
      <c r="B543" s="75" t="s">
        <v>793</v>
      </c>
      <c r="C543" s="9"/>
      <c r="D543" s="76" t="s">
        <v>792</v>
      </c>
      <c r="E543" s="88" t="str">
        <f>_xlfn.IFNA(VLOOKUP($D543,'Route-Details'!$B$2:$X$1048576,'Node Details'!E$1,0),"")</f>
        <v>Airtel</v>
      </c>
      <c r="F543" s="88" t="str">
        <f>_xlfn.IFNA(VLOOKUP($D543,'Route-Details'!$B$2:$X$1048576,'Node Details'!F$1,0),"")</f>
        <v>Mani Majra</v>
      </c>
      <c r="G543" s="88" t="str">
        <f>_xlfn.IFNA(VLOOKUP($D543,'Route-Details'!$B$2:$X$1048576,'Node Details'!G$1,0),"")</f>
        <v>Chandigarh</v>
      </c>
      <c r="H543" s="88" t="str">
        <f>_xlfn.IFNA(VLOOKUP($D544,'Route-Details'!$B$2:$X$1048576,'Node Details'!H$1,0),"")</f>
        <v>Punjab</v>
      </c>
      <c r="I543" s="88" t="str">
        <f>_xlfn.IFNA(VLOOKUP($D543,'Route-Details'!$B$2:$X$1048576,'Node Details'!I$1,0),"")</f>
        <v>CM3</v>
      </c>
      <c r="J543" s="88" t="str">
        <f>_xlfn.IFNA(VLOOKUP($D543,'Route-Details'!$B$2:$X$1048576,'Node Details'!J$1,0),"")</f>
        <v>CM3</v>
      </c>
      <c r="K543" s="76">
        <v>46142</v>
      </c>
      <c r="L543" s="76">
        <v>46149</v>
      </c>
      <c r="M543" s="89">
        <v>46149</v>
      </c>
      <c r="N543" s="76">
        <v>46149</v>
      </c>
      <c r="Q543" s="86" t="s">
        <v>958</v>
      </c>
      <c r="R543" s="90"/>
      <c r="S543" s="87"/>
      <c r="T543" s="87"/>
      <c r="U543" s="87"/>
      <c r="V543" s="93"/>
      <c r="W543" s="91"/>
      <c r="X543" s="87"/>
      <c r="Y543" s="92"/>
      <c r="Z543" s="90"/>
      <c r="AA543" s="93"/>
      <c r="AB543" s="87"/>
      <c r="AC543" s="91"/>
      <c r="AD543" s="90"/>
      <c r="AE543" s="86"/>
      <c r="AF543" s="82"/>
      <c r="AG543" s="24"/>
      <c r="AH543" s="93"/>
      <c r="AI543" s="87"/>
      <c r="AJ543" s="86"/>
      <c r="AK543" s="81"/>
      <c r="AL543" s="24"/>
      <c r="AM543" s="24"/>
      <c r="AN543" s="81"/>
      <c r="AO543" s="81"/>
      <c r="AP543" s="24"/>
      <c r="AQ543" s="93"/>
      <c r="AR543" s="94"/>
      <c r="AS543" s="82"/>
      <c r="AT543" s="82"/>
      <c r="AU543" s="24"/>
      <c r="AV543" s="93"/>
      <c r="AW543" s="94"/>
      <c r="AX543" s="95"/>
      <c r="AY543" s="95"/>
      <c r="AZ543" s="95"/>
      <c r="BA543" s="24"/>
      <c r="BB543" s="9" t="s">
        <v>547</v>
      </c>
      <c r="BC543" s="96" t="s">
        <v>1128</v>
      </c>
    </row>
    <row r="544" spans="1:55" ht="15" customHeight="1">
      <c r="A544" s="86">
        <f t="shared" si="26"/>
        <v>542</v>
      </c>
      <c r="B544" s="75" t="s">
        <v>1197</v>
      </c>
      <c r="C544" s="9"/>
      <c r="D544" s="76" t="s">
        <v>794</v>
      </c>
      <c r="E544" s="88" t="str">
        <f>_xlfn.IFNA(VLOOKUP($D544,'Route-Details'!$B$2:$X$1048576,'Node Details'!E$1,0),"")</f>
        <v>Airtel</v>
      </c>
      <c r="F544" s="88" t="str">
        <f>_xlfn.IFNA(VLOOKUP($D544,'Route-Details'!$B$2:$X$1048576,'Node Details'!F$1,0),"")</f>
        <v>Mani Majra</v>
      </c>
      <c r="G544" s="88" t="str">
        <f>_xlfn.IFNA(VLOOKUP($D544,'Route-Details'!$B$2:$X$1048576,'Node Details'!G$1,0),"")</f>
        <v>Chandigarh</v>
      </c>
      <c r="H544" s="88" t="str">
        <f>_xlfn.IFNA(VLOOKUP($D545,'Route-Details'!$B$2:$X$1048576,'Node Details'!H$1,0),"")</f>
        <v>Punjab</v>
      </c>
      <c r="I544" s="88" t="str">
        <f>_xlfn.IFNA(VLOOKUP($D544,'Route-Details'!$B$2:$X$1048576,'Node Details'!I$1,0),"")</f>
        <v>CM3</v>
      </c>
      <c r="J544" s="88" t="str">
        <f>_xlfn.IFNA(VLOOKUP($D544,'Route-Details'!$B$2:$X$1048576,'Node Details'!J$1,0),"")</f>
        <v>CM3</v>
      </c>
      <c r="K544" s="76">
        <v>46142</v>
      </c>
      <c r="L544" s="76">
        <v>46149</v>
      </c>
      <c r="M544" s="89">
        <v>46149</v>
      </c>
      <c r="N544" s="76">
        <v>46149</v>
      </c>
      <c r="Q544" s="86" t="s">
        <v>958</v>
      </c>
      <c r="R544" s="90"/>
      <c r="S544" s="87"/>
      <c r="T544" s="87"/>
      <c r="U544" s="87"/>
      <c r="V544" s="93"/>
      <c r="W544" s="91"/>
      <c r="X544" s="87"/>
      <c r="Y544" s="92"/>
      <c r="Z544" s="90"/>
      <c r="AA544" s="93"/>
      <c r="AB544" s="87"/>
      <c r="AC544" s="91"/>
      <c r="AD544" s="90"/>
      <c r="AE544" s="86"/>
      <c r="AF544" s="82"/>
      <c r="AG544" s="24"/>
      <c r="AH544" s="93"/>
      <c r="AI544" s="87"/>
      <c r="AJ544" s="86"/>
      <c r="AK544" s="81"/>
      <c r="AL544" s="24"/>
      <c r="AM544" s="24"/>
      <c r="AN544" s="81"/>
      <c r="AO544" s="81"/>
      <c r="AP544" s="24"/>
      <c r="AQ544" s="93"/>
      <c r="AR544" s="94"/>
      <c r="AS544" s="82"/>
      <c r="AT544" s="82"/>
      <c r="AU544" s="24"/>
      <c r="AV544" s="93"/>
      <c r="AW544" s="94"/>
      <c r="AX544" s="95"/>
      <c r="AY544" s="95"/>
      <c r="AZ544" s="95"/>
      <c r="BA544" s="24"/>
      <c r="BB544" s="9" t="s">
        <v>550</v>
      </c>
      <c r="BC544" s="96" t="s">
        <v>1128</v>
      </c>
    </row>
    <row r="545" spans="1:55" ht="15" customHeight="1">
      <c r="A545" s="86">
        <f t="shared" si="26"/>
        <v>543</v>
      </c>
      <c r="B545" s="75" t="s">
        <v>1198</v>
      </c>
      <c r="C545" s="9"/>
      <c r="D545" s="76" t="s">
        <v>794</v>
      </c>
      <c r="E545" s="88" t="str">
        <f>_xlfn.IFNA(VLOOKUP($D545,'Route-Details'!$B$2:$X$1048576,'Node Details'!E$1,0),"")</f>
        <v>Airtel</v>
      </c>
      <c r="F545" s="88" t="str">
        <f>_xlfn.IFNA(VLOOKUP($D545,'Route-Details'!$B$2:$X$1048576,'Node Details'!F$1,0),"")</f>
        <v>Mani Majra</v>
      </c>
      <c r="G545" s="88" t="str">
        <f>_xlfn.IFNA(VLOOKUP($D545,'Route-Details'!$B$2:$X$1048576,'Node Details'!G$1,0),"")</f>
        <v>Chandigarh</v>
      </c>
      <c r="H545" s="88" t="str">
        <f>_xlfn.IFNA(VLOOKUP($D546,'Route-Details'!$B$2:$X$1048576,'Node Details'!H$1,0),"")</f>
        <v>Punjab</v>
      </c>
      <c r="I545" s="88" t="str">
        <f>_xlfn.IFNA(VLOOKUP($D545,'Route-Details'!$B$2:$X$1048576,'Node Details'!I$1,0),"")</f>
        <v>CM3</v>
      </c>
      <c r="J545" s="88" t="str">
        <f>_xlfn.IFNA(VLOOKUP($D545,'Route-Details'!$B$2:$X$1048576,'Node Details'!J$1,0),"")</f>
        <v>CM3</v>
      </c>
      <c r="K545" s="76">
        <v>46142</v>
      </c>
      <c r="L545" s="76">
        <v>46149</v>
      </c>
      <c r="M545" s="89">
        <v>46149</v>
      </c>
      <c r="N545" s="76">
        <v>46149</v>
      </c>
      <c r="Q545" s="86" t="s">
        <v>958</v>
      </c>
      <c r="R545" s="90"/>
      <c r="S545" s="87"/>
      <c r="T545" s="87"/>
      <c r="U545" s="87"/>
      <c r="V545" s="93"/>
      <c r="W545" s="91"/>
      <c r="X545" s="87"/>
      <c r="Y545" s="92"/>
      <c r="Z545" s="90"/>
      <c r="AA545" s="93"/>
      <c r="AB545" s="87"/>
      <c r="AC545" s="91"/>
      <c r="AD545" s="90"/>
      <c r="AE545" s="86"/>
      <c r="AF545" s="82"/>
      <c r="AG545" s="24"/>
      <c r="AH545" s="93"/>
      <c r="AI545" s="87"/>
      <c r="AJ545" s="86"/>
      <c r="AK545" s="81"/>
      <c r="AL545" s="24"/>
      <c r="AM545" s="24"/>
      <c r="AN545" s="81"/>
      <c r="AO545" s="81"/>
      <c r="AP545" s="24"/>
      <c r="AQ545" s="93"/>
      <c r="AR545" s="94"/>
      <c r="AS545" s="82"/>
      <c r="AT545" s="82"/>
      <c r="AU545" s="24"/>
      <c r="AV545" s="93"/>
      <c r="AW545" s="94"/>
      <c r="AX545" s="95"/>
      <c r="AY545" s="95"/>
      <c r="AZ545" s="95"/>
      <c r="BA545" s="24"/>
      <c r="BB545" s="9" t="s">
        <v>550</v>
      </c>
      <c r="BC545" s="96" t="s">
        <v>1128</v>
      </c>
    </row>
    <row r="546" spans="1:55" ht="15" customHeight="1">
      <c r="A546" s="86">
        <f t="shared" si="26"/>
        <v>544</v>
      </c>
      <c r="B546" s="75" t="s">
        <v>795</v>
      </c>
      <c r="C546" s="9"/>
      <c r="D546" s="76" t="s">
        <v>794</v>
      </c>
      <c r="E546" s="88" t="str">
        <f>_xlfn.IFNA(VLOOKUP($D546,'Route-Details'!$B$2:$X$1048576,'Node Details'!E$1,0),"")</f>
        <v>Airtel</v>
      </c>
      <c r="F546" s="88" t="str">
        <f>_xlfn.IFNA(VLOOKUP($D546,'Route-Details'!$B$2:$X$1048576,'Node Details'!F$1,0),"")</f>
        <v>Mani Majra</v>
      </c>
      <c r="G546" s="88" t="str">
        <f>_xlfn.IFNA(VLOOKUP($D546,'Route-Details'!$B$2:$X$1048576,'Node Details'!G$1,0),"")</f>
        <v>Chandigarh</v>
      </c>
      <c r="H546" s="88" t="str">
        <f>_xlfn.IFNA(VLOOKUP($D547,'Route-Details'!$B$2:$X$1048576,'Node Details'!H$1,0),"")</f>
        <v>Punjab</v>
      </c>
      <c r="I546" s="88" t="str">
        <f>_xlfn.IFNA(VLOOKUP($D546,'Route-Details'!$B$2:$X$1048576,'Node Details'!I$1,0),"")</f>
        <v>CM3</v>
      </c>
      <c r="J546" s="88" t="str">
        <f>_xlfn.IFNA(VLOOKUP($D546,'Route-Details'!$B$2:$X$1048576,'Node Details'!J$1,0),"")</f>
        <v>CM3</v>
      </c>
      <c r="K546" s="76">
        <v>46142</v>
      </c>
      <c r="L546" s="76">
        <v>46149</v>
      </c>
      <c r="M546" s="89">
        <v>46149</v>
      </c>
      <c r="N546" s="76">
        <v>46149</v>
      </c>
      <c r="Q546" s="86" t="s">
        <v>958</v>
      </c>
      <c r="R546" s="90"/>
      <c r="S546" s="87"/>
      <c r="T546" s="87"/>
      <c r="U546" s="87"/>
      <c r="V546" s="93"/>
      <c r="W546" s="91"/>
      <c r="X546" s="87"/>
      <c r="Y546" s="92"/>
      <c r="Z546" s="90"/>
      <c r="AA546" s="93"/>
      <c r="AB546" s="87"/>
      <c r="AC546" s="91"/>
      <c r="AD546" s="90"/>
      <c r="AE546" s="86"/>
      <c r="AF546" s="82"/>
      <c r="AG546" s="24"/>
      <c r="AH546" s="93"/>
      <c r="AI546" s="87"/>
      <c r="AJ546" s="86"/>
      <c r="AK546" s="81"/>
      <c r="AL546" s="24"/>
      <c r="AM546" s="24"/>
      <c r="AN546" s="81"/>
      <c r="AO546" s="81"/>
      <c r="AP546" s="24"/>
      <c r="AQ546" s="93"/>
      <c r="AR546" s="94"/>
      <c r="AS546" s="82"/>
      <c r="AT546" s="82"/>
      <c r="AU546" s="24"/>
      <c r="AV546" s="93"/>
      <c r="AW546" s="94"/>
      <c r="AX546" s="95"/>
      <c r="AY546" s="95"/>
      <c r="AZ546" s="95"/>
      <c r="BA546" s="24"/>
      <c r="BB546" s="9" t="s">
        <v>550</v>
      </c>
      <c r="BC546" s="96" t="s">
        <v>1128</v>
      </c>
    </row>
    <row r="547" spans="1:55" ht="15" customHeight="1">
      <c r="A547" s="86">
        <f t="shared" si="26"/>
        <v>545</v>
      </c>
      <c r="B547" s="75" t="s">
        <v>621</v>
      </c>
      <c r="C547" s="9"/>
      <c r="D547" s="76" t="s">
        <v>620</v>
      </c>
      <c r="E547" s="88" t="str">
        <f>_xlfn.IFNA(VLOOKUP($D547,'Route-Details'!$B$2:$X$1048576,'Node Details'!E$1,0),"")</f>
        <v>Airtel</v>
      </c>
      <c r="F547" s="88" t="str">
        <f>_xlfn.IFNA(VLOOKUP($D547,'Route-Details'!$B$2:$X$1048576,'Node Details'!F$1,0),"")</f>
        <v>Mani Majra</v>
      </c>
      <c r="G547" s="88" t="str">
        <f>_xlfn.IFNA(VLOOKUP($D547,'Route-Details'!$B$2:$X$1048576,'Node Details'!G$1,0),"")</f>
        <v>Chandigarh</v>
      </c>
      <c r="H547" s="88" t="str">
        <f>_xlfn.IFNA(VLOOKUP($D548,'Route-Details'!$B$2:$X$1048576,'Node Details'!H$1,0),"")</f>
        <v>Punjab</v>
      </c>
      <c r="I547" s="88" t="str">
        <f>_xlfn.IFNA(VLOOKUP($D547,'Route-Details'!$B$2:$X$1048576,'Node Details'!I$1,0),"")</f>
        <v>CM3</v>
      </c>
      <c r="J547" s="88" t="str">
        <f>_xlfn.IFNA(VLOOKUP($D547,'Route-Details'!$B$2:$X$1048576,'Node Details'!J$1,0),"")</f>
        <v>CM3</v>
      </c>
      <c r="K547" s="76">
        <v>46142</v>
      </c>
      <c r="L547" s="76">
        <v>46149</v>
      </c>
      <c r="M547" s="89">
        <v>46149</v>
      </c>
      <c r="N547" s="76">
        <v>46149</v>
      </c>
      <c r="Q547" s="86" t="s">
        <v>958</v>
      </c>
      <c r="R547" s="90"/>
      <c r="S547" s="87"/>
      <c r="T547" s="87"/>
      <c r="U547" s="87"/>
      <c r="V547" s="93"/>
      <c r="W547" s="91"/>
      <c r="X547" s="87"/>
      <c r="Y547" s="92"/>
      <c r="Z547" s="90"/>
      <c r="AA547" s="93"/>
      <c r="AB547" s="87"/>
      <c r="AC547" s="91"/>
      <c r="AD547" s="90"/>
      <c r="AE547" s="86"/>
      <c r="AF547" s="82"/>
      <c r="AG547" s="24"/>
      <c r="AH547" s="93"/>
      <c r="AI547" s="87"/>
      <c r="AJ547" s="86"/>
      <c r="AK547" s="81"/>
      <c r="AL547" s="24"/>
      <c r="AM547" s="24"/>
      <c r="AN547" s="81"/>
      <c r="AO547" s="81"/>
      <c r="AP547" s="24"/>
      <c r="AQ547" s="93"/>
      <c r="AR547" s="94"/>
      <c r="AS547" s="82"/>
      <c r="AT547" s="82"/>
      <c r="AU547" s="24"/>
      <c r="AV547" s="93"/>
      <c r="AW547" s="94"/>
      <c r="AX547" s="95"/>
      <c r="AY547" s="95"/>
      <c r="AZ547" s="95"/>
      <c r="BA547" s="24"/>
      <c r="BB547" s="9" t="s">
        <v>96</v>
      </c>
      <c r="BC547" s="96" t="s">
        <v>1128</v>
      </c>
    </row>
    <row r="548" spans="1:55" ht="15" customHeight="1">
      <c r="A548" s="86">
        <f t="shared" si="26"/>
        <v>546</v>
      </c>
      <c r="B548" s="75" t="s">
        <v>1199</v>
      </c>
      <c r="C548" s="9"/>
      <c r="D548" s="76" t="s">
        <v>796</v>
      </c>
      <c r="E548" s="88" t="str">
        <f>_xlfn.IFNA(VLOOKUP($D548,'Route-Details'!$B$2:$X$1048576,'Node Details'!E$1,0),"")</f>
        <v>Airtel</v>
      </c>
      <c r="F548" s="88" t="str">
        <f>_xlfn.IFNA(VLOOKUP($D548,'Route-Details'!$B$2:$X$1048576,'Node Details'!F$1,0),"")</f>
        <v>Mani Majra</v>
      </c>
      <c r="G548" s="88" t="str">
        <f>_xlfn.IFNA(VLOOKUP($D548,'Route-Details'!$B$2:$X$1048576,'Node Details'!G$1,0),"")</f>
        <v>Chandigarh</v>
      </c>
      <c r="H548" s="88" t="str">
        <f>_xlfn.IFNA(VLOOKUP($D549,'Route-Details'!$B$2:$X$1048576,'Node Details'!H$1,0),"")</f>
        <v>Punjab</v>
      </c>
      <c r="I548" s="88" t="str">
        <f>_xlfn.IFNA(VLOOKUP($D548,'Route-Details'!$B$2:$X$1048576,'Node Details'!I$1,0),"")</f>
        <v>CM3</v>
      </c>
      <c r="J548" s="88" t="str">
        <f>_xlfn.IFNA(VLOOKUP($D548,'Route-Details'!$B$2:$X$1048576,'Node Details'!J$1,0),"")</f>
        <v>CM3</v>
      </c>
      <c r="K548" s="76">
        <v>46142</v>
      </c>
      <c r="L548" s="76">
        <v>46149</v>
      </c>
      <c r="M548" s="89">
        <v>46149</v>
      </c>
      <c r="N548" s="76">
        <v>46149</v>
      </c>
      <c r="Q548" s="86" t="s">
        <v>958</v>
      </c>
      <c r="R548" s="90"/>
      <c r="S548" s="87"/>
      <c r="T548" s="87"/>
      <c r="U548" s="87"/>
      <c r="V548" s="93"/>
      <c r="W548" s="91"/>
      <c r="X548" s="87"/>
      <c r="Y548" s="92"/>
      <c r="Z548" s="90"/>
      <c r="AA548" s="93"/>
      <c r="AB548" s="87"/>
      <c r="AC548" s="91"/>
      <c r="AD548" s="90"/>
      <c r="AE548" s="86"/>
      <c r="AF548" s="82"/>
      <c r="AG548" s="24"/>
      <c r="AH548" s="93"/>
      <c r="AI548" s="87"/>
      <c r="AJ548" s="86"/>
      <c r="AK548" s="81"/>
      <c r="AL548" s="24"/>
      <c r="AM548" s="24"/>
      <c r="AN548" s="81"/>
      <c r="AO548" s="81"/>
      <c r="AP548" s="24"/>
      <c r="AQ548" s="93"/>
      <c r="AR548" s="94"/>
      <c r="AS548" s="82"/>
      <c r="AT548" s="82"/>
      <c r="AU548" s="24"/>
      <c r="AV548" s="93"/>
      <c r="AW548" s="94"/>
      <c r="AX548" s="95"/>
      <c r="AY548" s="95"/>
      <c r="AZ548" s="95"/>
      <c r="BA548" s="24"/>
      <c r="BB548" s="9" t="s">
        <v>553</v>
      </c>
      <c r="BC548" s="96" t="s">
        <v>1128</v>
      </c>
    </row>
    <row r="549" spans="1:55" ht="15" customHeight="1">
      <c r="A549" s="86">
        <f t="shared" si="26"/>
        <v>547</v>
      </c>
      <c r="B549" s="75" t="s">
        <v>1200</v>
      </c>
      <c r="C549" s="9"/>
      <c r="D549" s="76" t="s">
        <v>796</v>
      </c>
      <c r="E549" s="88" t="str">
        <f>_xlfn.IFNA(VLOOKUP($D549,'Route-Details'!$B$2:$X$1048576,'Node Details'!E$1,0),"")</f>
        <v>Airtel</v>
      </c>
      <c r="F549" s="88" t="str">
        <f>_xlfn.IFNA(VLOOKUP($D549,'Route-Details'!$B$2:$X$1048576,'Node Details'!F$1,0),"")</f>
        <v>Mani Majra</v>
      </c>
      <c r="G549" s="88" t="str">
        <f>_xlfn.IFNA(VLOOKUP($D549,'Route-Details'!$B$2:$X$1048576,'Node Details'!G$1,0),"")</f>
        <v>Chandigarh</v>
      </c>
      <c r="H549" s="88" t="str">
        <f>_xlfn.IFNA(VLOOKUP($D550,'Route-Details'!$B$2:$X$1048576,'Node Details'!H$1,0),"")</f>
        <v>Punjab</v>
      </c>
      <c r="I549" s="88" t="str">
        <f>_xlfn.IFNA(VLOOKUP($D549,'Route-Details'!$B$2:$X$1048576,'Node Details'!I$1,0),"")</f>
        <v>CM3</v>
      </c>
      <c r="J549" s="88" t="str">
        <f>_xlfn.IFNA(VLOOKUP($D549,'Route-Details'!$B$2:$X$1048576,'Node Details'!J$1,0),"")</f>
        <v>CM3</v>
      </c>
      <c r="K549" s="76">
        <v>46142</v>
      </c>
      <c r="L549" s="76">
        <v>46149</v>
      </c>
      <c r="M549" s="89">
        <v>46149</v>
      </c>
      <c r="N549" s="76">
        <v>46149</v>
      </c>
      <c r="Q549" s="86" t="s">
        <v>958</v>
      </c>
      <c r="R549" s="90"/>
      <c r="S549" s="87"/>
      <c r="T549" s="87"/>
      <c r="U549" s="87"/>
      <c r="V549" s="93"/>
      <c r="W549" s="91"/>
      <c r="X549" s="87"/>
      <c r="Y549" s="92"/>
      <c r="Z549" s="90"/>
      <c r="AA549" s="93"/>
      <c r="AB549" s="87"/>
      <c r="AC549" s="91"/>
      <c r="AD549" s="90"/>
      <c r="AE549" s="86"/>
      <c r="AF549" s="82"/>
      <c r="AG549" s="24"/>
      <c r="AH549" s="93"/>
      <c r="AI549" s="87"/>
      <c r="AJ549" s="86"/>
      <c r="AK549" s="81"/>
      <c r="AL549" s="24"/>
      <c r="AM549" s="24"/>
      <c r="AN549" s="81"/>
      <c r="AO549" s="81"/>
      <c r="AP549" s="24"/>
      <c r="AQ549" s="93"/>
      <c r="AR549" s="94"/>
      <c r="AS549" s="82"/>
      <c r="AT549" s="82"/>
      <c r="AU549" s="24"/>
      <c r="AV549" s="93"/>
      <c r="AW549" s="94"/>
      <c r="AX549" s="95"/>
      <c r="AY549" s="95"/>
      <c r="AZ549" s="95"/>
      <c r="BA549" s="24"/>
      <c r="BB549" s="9" t="s">
        <v>553</v>
      </c>
      <c r="BC549" s="96" t="s">
        <v>1128</v>
      </c>
    </row>
    <row r="550" spans="1:55" ht="15" customHeight="1">
      <c r="A550" s="86">
        <f t="shared" si="26"/>
        <v>548</v>
      </c>
      <c r="B550" s="75" t="s">
        <v>797</v>
      </c>
      <c r="C550" s="9"/>
      <c r="D550" s="76" t="s">
        <v>796</v>
      </c>
      <c r="E550" s="88" t="str">
        <f>_xlfn.IFNA(VLOOKUP($D550,'Route-Details'!$B$2:$X$1048576,'Node Details'!E$1,0),"")</f>
        <v>Airtel</v>
      </c>
      <c r="F550" s="88" t="str">
        <f>_xlfn.IFNA(VLOOKUP($D550,'Route-Details'!$B$2:$X$1048576,'Node Details'!F$1,0),"")</f>
        <v>Mani Majra</v>
      </c>
      <c r="G550" s="88" t="str">
        <f>_xlfn.IFNA(VLOOKUP($D550,'Route-Details'!$B$2:$X$1048576,'Node Details'!G$1,0),"")</f>
        <v>Chandigarh</v>
      </c>
      <c r="H550" s="88" t="str">
        <f>_xlfn.IFNA(VLOOKUP($D551,'Route-Details'!$B$2:$X$1048576,'Node Details'!H$1,0),"")</f>
        <v>Punjab</v>
      </c>
      <c r="I550" s="88" t="str">
        <f>_xlfn.IFNA(VLOOKUP($D550,'Route-Details'!$B$2:$X$1048576,'Node Details'!I$1,0),"")</f>
        <v>CM3</v>
      </c>
      <c r="J550" s="88" t="str">
        <f>_xlfn.IFNA(VLOOKUP($D550,'Route-Details'!$B$2:$X$1048576,'Node Details'!J$1,0),"")</f>
        <v>CM3</v>
      </c>
      <c r="K550" s="76">
        <v>46142</v>
      </c>
      <c r="L550" s="76">
        <v>46149</v>
      </c>
      <c r="M550" s="89">
        <v>46149</v>
      </c>
      <c r="N550" s="76">
        <v>46149</v>
      </c>
      <c r="Q550" s="86" t="s">
        <v>958</v>
      </c>
      <c r="R550" s="90"/>
      <c r="S550" s="87"/>
      <c r="T550" s="87"/>
      <c r="U550" s="87"/>
      <c r="V550" s="93"/>
      <c r="W550" s="91"/>
      <c r="X550" s="87"/>
      <c r="Y550" s="92"/>
      <c r="Z550" s="90"/>
      <c r="AA550" s="93"/>
      <c r="AB550" s="87"/>
      <c r="AC550" s="91"/>
      <c r="AD550" s="90"/>
      <c r="AE550" s="86"/>
      <c r="AF550" s="82"/>
      <c r="AG550" s="24"/>
      <c r="AH550" s="93"/>
      <c r="AI550" s="87"/>
      <c r="AJ550" s="86"/>
      <c r="AK550" s="81"/>
      <c r="AL550" s="24"/>
      <c r="AM550" s="24"/>
      <c r="AN550" s="81"/>
      <c r="AO550" s="81"/>
      <c r="AP550" s="24"/>
      <c r="AQ550" s="93"/>
      <c r="AR550" s="94"/>
      <c r="AS550" s="82"/>
      <c r="AT550" s="82"/>
      <c r="AU550" s="24"/>
      <c r="AV550" s="93"/>
      <c r="AW550" s="94"/>
      <c r="AX550" s="95"/>
      <c r="AY550" s="95"/>
      <c r="AZ550" s="95"/>
      <c r="BA550" s="24"/>
      <c r="BB550" s="9" t="s">
        <v>553</v>
      </c>
      <c r="BC550" s="96" t="s">
        <v>1128</v>
      </c>
    </row>
    <row r="551" spans="1:55" ht="15" customHeight="1">
      <c r="A551" s="86">
        <f t="shared" si="26"/>
        <v>549</v>
      </c>
      <c r="B551" s="75" t="s">
        <v>1201</v>
      </c>
      <c r="C551" s="9"/>
      <c r="D551" s="76" t="s">
        <v>798</v>
      </c>
      <c r="E551" s="88" t="str">
        <f>_xlfn.IFNA(VLOOKUP($D551,'Route-Details'!$B$2:$X$1048576,'Node Details'!E$1,0),"")</f>
        <v>Airtel</v>
      </c>
      <c r="F551" s="88" t="str">
        <f>_xlfn.IFNA(VLOOKUP($D551,'Route-Details'!$B$2:$X$1048576,'Node Details'!F$1,0),"")</f>
        <v>Mani Majra</v>
      </c>
      <c r="G551" s="88" t="str">
        <f>_xlfn.IFNA(VLOOKUP($D551,'Route-Details'!$B$2:$X$1048576,'Node Details'!G$1,0),"")</f>
        <v>Chandigarh</v>
      </c>
      <c r="H551" s="88" t="str">
        <f>_xlfn.IFNA(VLOOKUP($D552,'Route-Details'!$B$2:$X$1048576,'Node Details'!H$1,0),"")</f>
        <v>Punjab</v>
      </c>
      <c r="I551" s="88" t="str">
        <f>_xlfn.IFNA(VLOOKUP($D551,'Route-Details'!$B$2:$X$1048576,'Node Details'!I$1,0),"")</f>
        <v>CM3</v>
      </c>
      <c r="J551" s="88" t="str">
        <f>_xlfn.IFNA(VLOOKUP($D551,'Route-Details'!$B$2:$X$1048576,'Node Details'!J$1,0),"")</f>
        <v>CM3</v>
      </c>
      <c r="K551" s="76">
        <v>46142</v>
      </c>
      <c r="L551" s="76">
        <v>46149</v>
      </c>
      <c r="M551" s="89">
        <v>46149</v>
      </c>
      <c r="N551" s="76">
        <v>46149</v>
      </c>
      <c r="Q551" s="86" t="s">
        <v>958</v>
      </c>
      <c r="R551" s="90"/>
      <c r="S551" s="87"/>
      <c r="T551" s="87"/>
      <c r="U551" s="87"/>
      <c r="V551" s="93"/>
      <c r="W551" s="91"/>
      <c r="X551" s="87"/>
      <c r="Y551" s="92"/>
      <c r="Z551" s="90"/>
      <c r="AA551" s="93"/>
      <c r="AB551" s="87"/>
      <c r="AC551" s="91"/>
      <c r="AD551" s="90"/>
      <c r="AE551" s="86"/>
      <c r="AF551" s="82"/>
      <c r="AG551" s="24"/>
      <c r="AH551" s="93"/>
      <c r="AI551" s="87"/>
      <c r="AJ551" s="86"/>
      <c r="AK551" s="81"/>
      <c r="AL551" s="24"/>
      <c r="AM551" s="24"/>
      <c r="AN551" s="81"/>
      <c r="AO551" s="81"/>
      <c r="AP551" s="24"/>
      <c r="AQ551" s="93"/>
      <c r="AR551" s="94"/>
      <c r="AS551" s="82"/>
      <c r="AT551" s="82"/>
      <c r="AU551" s="24"/>
      <c r="AV551" s="93"/>
      <c r="AW551" s="94"/>
      <c r="AX551" s="95"/>
      <c r="AY551" s="95"/>
      <c r="AZ551" s="95"/>
      <c r="BA551" s="24"/>
      <c r="BB551" s="9" t="s">
        <v>556</v>
      </c>
      <c r="BC551" s="96" t="s">
        <v>1128</v>
      </c>
    </row>
    <row r="552" spans="1:55" ht="15" customHeight="1">
      <c r="A552" s="86">
        <f t="shared" si="26"/>
        <v>550</v>
      </c>
      <c r="B552" s="75" t="s">
        <v>1202</v>
      </c>
      <c r="C552" s="9"/>
      <c r="D552" s="76" t="s">
        <v>798</v>
      </c>
      <c r="E552" s="88" t="str">
        <f>_xlfn.IFNA(VLOOKUP($D552,'Route-Details'!$B$2:$X$1048576,'Node Details'!E$1,0),"")</f>
        <v>Airtel</v>
      </c>
      <c r="F552" s="88" t="str">
        <f>_xlfn.IFNA(VLOOKUP($D552,'Route-Details'!$B$2:$X$1048576,'Node Details'!F$1,0),"")</f>
        <v>Mani Majra</v>
      </c>
      <c r="G552" s="88" t="str">
        <f>_xlfn.IFNA(VLOOKUP($D552,'Route-Details'!$B$2:$X$1048576,'Node Details'!G$1,0),"")</f>
        <v>Chandigarh</v>
      </c>
      <c r="H552" s="88" t="str">
        <f>_xlfn.IFNA(VLOOKUP($D553,'Route-Details'!$B$2:$X$1048576,'Node Details'!H$1,0),"")</f>
        <v>Punjab</v>
      </c>
      <c r="I552" s="88" t="str">
        <f>_xlfn.IFNA(VLOOKUP($D552,'Route-Details'!$B$2:$X$1048576,'Node Details'!I$1,0),"")</f>
        <v>CM3</v>
      </c>
      <c r="J552" s="88" t="str">
        <f>_xlfn.IFNA(VLOOKUP($D552,'Route-Details'!$B$2:$X$1048576,'Node Details'!J$1,0),"")</f>
        <v>CM3</v>
      </c>
      <c r="K552" s="76">
        <v>46142</v>
      </c>
      <c r="L552" s="76">
        <v>46149</v>
      </c>
      <c r="M552" s="89">
        <v>46149</v>
      </c>
      <c r="N552" s="76">
        <v>46149</v>
      </c>
      <c r="Q552" s="86" t="s">
        <v>958</v>
      </c>
      <c r="R552" s="90"/>
      <c r="S552" s="87"/>
      <c r="T552" s="87"/>
      <c r="U552" s="87"/>
      <c r="V552" s="93"/>
      <c r="W552" s="91"/>
      <c r="X552" s="87"/>
      <c r="Y552" s="92"/>
      <c r="Z552" s="90"/>
      <c r="AA552" s="93"/>
      <c r="AB552" s="87"/>
      <c r="AC552" s="91"/>
      <c r="AD552" s="90"/>
      <c r="AE552" s="86"/>
      <c r="AF552" s="82"/>
      <c r="AG552" s="24"/>
      <c r="AH552" s="93"/>
      <c r="AI552" s="87"/>
      <c r="AJ552" s="86"/>
      <c r="AK552" s="81"/>
      <c r="AL552" s="24"/>
      <c r="AM552" s="24"/>
      <c r="AN552" s="81"/>
      <c r="AO552" s="81"/>
      <c r="AP552" s="24"/>
      <c r="AQ552" s="93"/>
      <c r="AR552" s="94"/>
      <c r="AS552" s="82"/>
      <c r="AT552" s="82"/>
      <c r="AU552" s="24"/>
      <c r="AV552" s="93"/>
      <c r="AW552" s="94"/>
      <c r="AX552" s="95"/>
      <c r="AY552" s="95"/>
      <c r="AZ552" s="95"/>
      <c r="BA552" s="24"/>
      <c r="BB552" s="9" t="s">
        <v>556</v>
      </c>
      <c r="BC552" s="96" t="s">
        <v>1128</v>
      </c>
    </row>
    <row r="553" spans="1:55" ht="15" customHeight="1">
      <c r="A553" s="86">
        <f t="shared" si="26"/>
        <v>551</v>
      </c>
      <c r="B553" s="75" t="s">
        <v>1203</v>
      </c>
      <c r="C553" s="9"/>
      <c r="D553" s="76" t="s">
        <v>798</v>
      </c>
      <c r="E553" s="88" t="str">
        <f>_xlfn.IFNA(VLOOKUP($D553,'Route-Details'!$B$2:$X$1048576,'Node Details'!E$1,0),"")</f>
        <v>Airtel</v>
      </c>
      <c r="F553" s="88" t="str">
        <f>_xlfn.IFNA(VLOOKUP($D553,'Route-Details'!$B$2:$X$1048576,'Node Details'!F$1,0),"")</f>
        <v>Mani Majra</v>
      </c>
      <c r="G553" s="88" t="str">
        <f>_xlfn.IFNA(VLOOKUP($D553,'Route-Details'!$B$2:$X$1048576,'Node Details'!G$1,0),"")</f>
        <v>Chandigarh</v>
      </c>
      <c r="H553" s="88" t="str">
        <f>_xlfn.IFNA(VLOOKUP($D554,'Route-Details'!$B$2:$X$1048576,'Node Details'!H$1,0),"")</f>
        <v>Punjab</v>
      </c>
      <c r="I553" s="88" t="str">
        <f>_xlfn.IFNA(VLOOKUP($D553,'Route-Details'!$B$2:$X$1048576,'Node Details'!I$1,0),"")</f>
        <v>CM3</v>
      </c>
      <c r="J553" s="88" t="str">
        <f>_xlfn.IFNA(VLOOKUP($D553,'Route-Details'!$B$2:$X$1048576,'Node Details'!J$1,0),"")</f>
        <v>CM3</v>
      </c>
      <c r="K553" s="76">
        <v>46142</v>
      </c>
      <c r="L553" s="76">
        <v>46149</v>
      </c>
      <c r="M553" s="89">
        <v>46149</v>
      </c>
      <c r="N553" s="76">
        <v>46149</v>
      </c>
      <c r="Q553" s="86" t="s">
        <v>958</v>
      </c>
      <c r="R553" s="90"/>
      <c r="S553" s="87"/>
      <c r="T553" s="87"/>
      <c r="U553" s="87"/>
      <c r="V553" s="93"/>
      <c r="W553" s="91"/>
      <c r="X553" s="87"/>
      <c r="Y553" s="92"/>
      <c r="Z553" s="90"/>
      <c r="AA553" s="93"/>
      <c r="AB553" s="87"/>
      <c r="AC553" s="91"/>
      <c r="AD553" s="90"/>
      <c r="AE553" s="86"/>
      <c r="AF553" s="82"/>
      <c r="AG553" s="24"/>
      <c r="AH553" s="93"/>
      <c r="AI553" s="87"/>
      <c r="AJ553" s="86"/>
      <c r="AK553" s="81"/>
      <c r="AL553" s="24"/>
      <c r="AM553" s="24"/>
      <c r="AN553" s="81"/>
      <c r="AO553" s="81"/>
      <c r="AP553" s="24"/>
      <c r="AQ553" s="93"/>
      <c r="AR553" s="94"/>
      <c r="AS553" s="82"/>
      <c r="AT553" s="82"/>
      <c r="AU553" s="24"/>
      <c r="AV553" s="93"/>
      <c r="AW553" s="94"/>
      <c r="AX553" s="95"/>
      <c r="AY553" s="95"/>
      <c r="AZ553" s="95"/>
      <c r="BA553" s="24"/>
      <c r="BB553" s="9" t="s">
        <v>556</v>
      </c>
      <c r="BC553" s="96" t="s">
        <v>1128</v>
      </c>
    </row>
    <row r="554" spans="1:55" ht="15" customHeight="1">
      <c r="A554" s="86">
        <f t="shared" si="26"/>
        <v>552</v>
      </c>
      <c r="B554" s="75" t="s">
        <v>799</v>
      </c>
      <c r="C554" s="9"/>
      <c r="D554" s="76" t="s">
        <v>798</v>
      </c>
      <c r="E554" s="88" t="str">
        <f>_xlfn.IFNA(VLOOKUP($D554,'Route-Details'!$B$2:$X$1048576,'Node Details'!E$1,0),"")</f>
        <v>Airtel</v>
      </c>
      <c r="F554" s="88" t="str">
        <f>_xlfn.IFNA(VLOOKUP($D554,'Route-Details'!$B$2:$X$1048576,'Node Details'!F$1,0),"")</f>
        <v>Mani Majra</v>
      </c>
      <c r="G554" s="88" t="str">
        <f>_xlfn.IFNA(VLOOKUP($D554,'Route-Details'!$B$2:$X$1048576,'Node Details'!G$1,0),"")</f>
        <v>Chandigarh</v>
      </c>
      <c r="H554" s="88" t="str">
        <f>_xlfn.IFNA(VLOOKUP($D555,'Route-Details'!$B$2:$X$1048576,'Node Details'!H$1,0),"")</f>
        <v>Punjab</v>
      </c>
      <c r="I554" s="88" t="str">
        <f>_xlfn.IFNA(VLOOKUP($D554,'Route-Details'!$B$2:$X$1048576,'Node Details'!I$1,0),"")</f>
        <v>CM3</v>
      </c>
      <c r="J554" s="88" t="str">
        <f>_xlfn.IFNA(VLOOKUP($D554,'Route-Details'!$B$2:$X$1048576,'Node Details'!J$1,0),"")</f>
        <v>CM3</v>
      </c>
      <c r="K554" s="76">
        <v>46142</v>
      </c>
      <c r="L554" s="76">
        <v>46149</v>
      </c>
      <c r="M554" s="89">
        <v>46149</v>
      </c>
      <c r="N554" s="76">
        <v>46149</v>
      </c>
      <c r="Q554" s="86" t="s">
        <v>958</v>
      </c>
      <c r="R554" s="90"/>
      <c r="S554" s="87"/>
      <c r="T554" s="87"/>
      <c r="U554" s="87"/>
      <c r="V554" s="93"/>
      <c r="W554" s="91"/>
      <c r="X554" s="87"/>
      <c r="Y554" s="92"/>
      <c r="Z554" s="90"/>
      <c r="AA554" s="93"/>
      <c r="AB554" s="87"/>
      <c r="AC554" s="91"/>
      <c r="AD554" s="90"/>
      <c r="AE554" s="86"/>
      <c r="AF554" s="82"/>
      <c r="AG554" s="24"/>
      <c r="AH554" s="93"/>
      <c r="AI554" s="87"/>
      <c r="AJ554" s="86"/>
      <c r="AK554" s="81"/>
      <c r="AL554" s="24"/>
      <c r="AM554" s="24"/>
      <c r="AN554" s="81"/>
      <c r="AO554" s="81"/>
      <c r="AP554" s="24"/>
      <c r="AQ554" s="93"/>
      <c r="AR554" s="94"/>
      <c r="AS554" s="82"/>
      <c r="AT554" s="82"/>
      <c r="AU554" s="24"/>
      <c r="AV554" s="93"/>
      <c r="AW554" s="94"/>
      <c r="AX554" s="95"/>
      <c r="AY554" s="95"/>
      <c r="AZ554" s="95"/>
      <c r="BA554" s="24"/>
      <c r="BB554" s="9" t="s">
        <v>556</v>
      </c>
      <c r="BC554" s="96" t="s">
        <v>1128</v>
      </c>
    </row>
    <row r="555" spans="1:55" ht="15" customHeight="1">
      <c r="A555" s="86">
        <f t="shared" si="26"/>
        <v>553</v>
      </c>
      <c r="B555" s="75" t="s">
        <v>614</v>
      </c>
      <c r="C555" s="9"/>
      <c r="D555" s="76" t="s">
        <v>613</v>
      </c>
      <c r="E555" s="88" t="str">
        <f>_xlfn.IFNA(VLOOKUP($D555,'Route-Details'!$B$2:$X$1048576,'Node Details'!E$1,0),"")</f>
        <v>Airtel</v>
      </c>
      <c r="F555" s="88" t="str">
        <f>_xlfn.IFNA(VLOOKUP($D555,'Route-Details'!$B$2:$X$1048576,'Node Details'!F$1,0),"")</f>
        <v>Mani Majra</v>
      </c>
      <c r="G555" s="88" t="str">
        <f>_xlfn.IFNA(VLOOKUP($D555,'Route-Details'!$B$2:$X$1048576,'Node Details'!G$1,0),"")</f>
        <v>Chandigarh</v>
      </c>
      <c r="H555" s="88" t="str">
        <f>_xlfn.IFNA(VLOOKUP($D556,'Route-Details'!$B$2:$X$1048576,'Node Details'!H$1,0),"")</f>
        <v>Punjab</v>
      </c>
      <c r="I555" s="88" t="str">
        <f>_xlfn.IFNA(VLOOKUP($D555,'Route-Details'!$B$2:$X$1048576,'Node Details'!I$1,0),"")</f>
        <v>CM3</v>
      </c>
      <c r="J555" s="88" t="str">
        <f>_xlfn.IFNA(VLOOKUP($D555,'Route-Details'!$B$2:$X$1048576,'Node Details'!J$1,0),"")</f>
        <v>CM3</v>
      </c>
      <c r="K555" s="76">
        <v>46142</v>
      </c>
      <c r="L555" s="76">
        <v>46149</v>
      </c>
      <c r="M555" s="89">
        <v>46149</v>
      </c>
      <c r="N555" s="76">
        <v>46149</v>
      </c>
      <c r="Q555" s="86" t="s">
        <v>958</v>
      </c>
      <c r="R555" s="90"/>
      <c r="S555" s="87"/>
      <c r="T555" s="87"/>
      <c r="U555" s="87"/>
      <c r="V555" s="93"/>
      <c r="W555" s="91"/>
      <c r="X555" s="87"/>
      <c r="Y555" s="92"/>
      <c r="Z555" s="90"/>
      <c r="AA555" s="93"/>
      <c r="AB555" s="87"/>
      <c r="AC555" s="91"/>
      <c r="AD555" s="90"/>
      <c r="AE555" s="86"/>
      <c r="AF555" s="82"/>
      <c r="AG555" s="24"/>
      <c r="AH555" s="93"/>
      <c r="AI555" s="87"/>
      <c r="AJ555" s="86"/>
      <c r="AK555" s="81"/>
      <c r="AL555" s="24"/>
      <c r="AM555" s="24"/>
      <c r="AN555" s="81"/>
      <c r="AO555" s="81"/>
      <c r="AP555" s="24"/>
      <c r="AQ555" s="93"/>
      <c r="AR555" s="94"/>
      <c r="AS555" s="82"/>
      <c r="AT555" s="82"/>
      <c r="AU555" s="24"/>
      <c r="AV555" s="93"/>
      <c r="AW555" s="94"/>
      <c r="AX555" s="95"/>
      <c r="AY555" s="95"/>
      <c r="AZ555" s="95"/>
      <c r="BA555" s="24"/>
      <c r="BB555" s="9" t="s">
        <v>92</v>
      </c>
      <c r="BC555" s="96" t="s">
        <v>1128</v>
      </c>
    </row>
    <row r="556" spans="1:55" ht="15" customHeight="1">
      <c r="A556" s="86">
        <f t="shared" si="26"/>
        <v>554</v>
      </c>
      <c r="B556" s="75" t="s">
        <v>820</v>
      </c>
      <c r="C556" s="9"/>
      <c r="D556" s="76" t="s">
        <v>806</v>
      </c>
      <c r="E556" s="88" t="str">
        <f>_xlfn.IFNA(VLOOKUP($D556,'Route-Details'!$B$2:$X$1048576,'Node Details'!E$1,0),"")</f>
        <v>Airtel</v>
      </c>
      <c r="F556" s="88" t="str">
        <f>_xlfn.IFNA(VLOOKUP($D556,'Route-Details'!$B$2:$X$1048576,'Node Details'!F$1,0),"")</f>
        <v>Mani Majra</v>
      </c>
      <c r="G556" s="88" t="str">
        <f>_xlfn.IFNA(VLOOKUP($D556,'Route-Details'!$B$2:$X$1048576,'Node Details'!G$1,0),"")</f>
        <v>Chandigarh</v>
      </c>
      <c r="H556" s="88" t="str">
        <f>_xlfn.IFNA(VLOOKUP($D557,'Route-Details'!$B$2:$X$1048576,'Node Details'!H$1,0),"")</f>
        <v>Punjab</v>
      </c>
      <c r="I556" s="88" t="str">
        <f>_xlfn.IFNA(VLOOKUP($D556,'Route-Details'!$B$2:$X$1048576,'Node Details'!I$1,0),"")</f>
        <v>CM4</v>
      </c>
      <c r="J556" s="88" t="str">
        <f>_xlfn.IFNA(VLOOKUP($D556,'Route-Details'!$B$2:$X$1048576,'Node Details'!J$1,0),"")</f>
        <v>CM4</v>
      </c>
      <c r="K556" s="76">
        <v>46142</v>
      </c>
      <c r="L556" s="76">
        <v>46148</v>
      </c>
      <c r="M556" s="89">
        <v>46149</v>
      </c>
      <c r="N556" s="76">
        <v>46148</v>
      </c>
      <c r="Q556" s="86" t="s">
        <v>958</v>
      </c>
      <c r="R556" s="90"/>
      <c r="S556" s="87"/>
      <c r="T556" s="87"/>
      <c r="U556" s="87"/>
      <c r="V556" s="93"/>
      <c r="W556" s="91"/>
      <c r="X556" s="87"/>
      <c r="Y556" s="92"/>
      <c r="Z556" s="90"/>
      <c r="AA556" s="93"/>
      <c r="AB556" s="87"/>
      <c r="AC556" s="91"/>
      <c r="AD556" s="90"/>
      <c r="AE556" s="86"/>
      <c r="AF556" s="82"/>
      <c r="AG556" s="24"/>
      <c r="AH556" s="93"/>
      <c r="AI556" s="87"/>
      <c r="AJ556" s="86"/>
      <c r="AK556" s="81"/>
      <c r="AL556" s="24"/>
      <c r="AM556" s="24"/>
      <c r="AN556" s="81"/>
      <c r="AO556" s="81"/>
      <c r="AP556" s="24"/>
      <c r="AQ556" s="93"/>
      <c r="AR556" s="94"/>
      <c r="AS556" s="82"/>
      <c r="AT556" s="82"/>
      <c r="AU556" s="24"/>
      <c r="AV556" s="93"/>
      <c r="AW556" s="94"/>
      <c r="AX556" s="95"/>
      <c r="AY556" s="95"/>
      <c r="AZ556" s="95"/>
      <c r="BA556" s="24"/>
      <c r="BB556" s="9" t="s">
        <v>100</v>
      </c>
      <c r="BC556" s="96" t="s">
        <v>1128</v>
      </c>
    </row>
    <row r="557" spans="1:55" ht="15" customHeight="1">
      <c r="A557" s="86">
        <f t="shared" si="26"/>
        <v>555</v>
      </c>
      <c r="B557" s="75" t="s">
        <v>821</v>
      </c>
      <c r="C557" s="9"/>
      <c r="D557" s="76" t="s">
        <v>819</v>
      </c>
      <c r="E557" s="88" t="str">
        <f>_xlfn.IFNA(VLOOKUP($D557,'Route-Details'!$B$2:$X$1048576,'Node Details'!E$1,0),"")</f>
        <v>Airtel</v>
      </c>
      <c r="F557" s="88" t="str">
        <f>_xlfn.IFNA(VLOOKUP($D557,'Route-Details'!$B$2:$X$1048576,'Node Details'!F$1,0),"")</f>
        <v>Mani Majra</v>
      </c>
      <c r="G557" s="88" t="str">
        <f>_xlfn.IFNA(VLOOKUP($D557,'Route-Details'!$B$2:$X$1048576,'Node Details'!G$1,0),"")</f>
        <v>Chandigarh</v>
      </c>
      <c r="H557" s="88" t="str">
        <f>_xlfn.IFNA(VLOOKUP($D558,'Route-Details'!$B$2:$X$1048576,'Node Details'!H$1,0),"")</f>
        <v>Punjab</v>
      </c>
      <c r="I557" s="88" t="str">
        <f>_xlfn.IFNA(VLOOKUP($D557,'Route-Details'!$B$2:$X$1048576,'Node Details'!I$1,0),"")</f>
        <v>CM4</v>
      </c>
      <c r="J557" s="88" t="str">
        <f>_xlfn.IFNA(VLOOKUP($D557,'Route-Details'!$B$2:$X$1048576,'Node Details'!J$1,0),"")</f>
        <v>CM4</v>
      </c>
      <c r="K557" s="76">
        <v>46142</v>
      </c>
      <c r="L557" s="76">
        <v>46148</v>
      </c>
      <c r="M557" s="89">
        <v>46149</v>
      </c>
      <c r="N557" s="76">
        <v>46148</v>
      </c>
      <c r="Q557" s="86" t="s">
        <v>958</v>
      </c>
      <c r="R557" s="90"/>
      <c r="S557" s="87"/>
      <c r="T557" s="87"/>
      <c r="U557" s="87"/>
      <c r="V557" s="93"/>
      <c r="W557" s="91"/>
      <c r="X557" s="87"/>
      <c r="Y557" s="92"/>
      <c r="Z557" s="90"/>
      <c r="AA557" s="93"/>
      <c r="AB557" s="87"/>
      <c r="AC557" s="91"/>
      <c r="AD557" s="90"/>
      <c r="AE557" s="86"/>
      <c r="AF557" s="82"/>
      <c r="AG557" s="24"/>
      <c r="AH557" s="93"/>
      <c r="AI557" s="87"/>
      <c r="AJ557" s="86"/>
      <c r="AK557" s="81"/>
      <c r="AL557" s="24"/>
      <c r="AM557" s="24"/>
      <c r="AN557" s="81"/>
      <c r="AO557" s="81"/>
      <c r="AP557" s="24"/>
      <c r="AQ557" s="93"/>
      <c r="AR557" s="94"/>
      <c r="AS557" s="82"/>
      <c r="AT557" s="82"/>
      <c r="AU557" s="24"/>
      <c r="AV557" s="93"/>
      <c r="AW557" s="94"/>
      <c r="AX557" s="95"/>
      <c r="AY557" s="95"/>
      <c r="AZ557" s="95"/>
      <c r="BA557" s="24"/>
      <c r="BB557" s="9" t="s">
        <v>117</v>
      </c>
      <c r="BC557" s="96" t="s">
        <v>1128</v>
      </c>
    </row>
    <row r="558" spans="1:55" ht="15" customHeight="1">
      <c r="A558" s="86">
        <f t="shared" si="26"/>
        <v>556</v>
      </c>
      <c r="B558" s="75" t="s">
        <v>823</v>
      </c>
      <c r="C558" s="9"/>
      <c r="D558" s="76" t="s">
        <v>822</v>
      </c>
      <c r="E558" s="88" t="str">
        <f>_xlfn.IFNA(VLOOKUP($D558,'Route-Details'!$B$2:$X$1048576,'Node Details'!E$1,0),"")</f>
        <v>Airtel</v>
      </c>
      <c r="F558" s="88" t="str">
        <f>_xlfn.IFNA(VLOOKUP($D558,'Route-Details'!$B$2:$X$1048576,'Node Details'!F$1,0),"")</f>
        <v>Mani Majra</v>
      </c>
      <c r="G558" s="88" t="str">
        <f>_xlfn.IFNA(VLOOKUP($D558,'Route-Details'!$B$2:$X$1048576,'Node Details'!G$1,0),"")</f>
        <v>Chandigarh</v>
      </c>
      <c r="H558" s="88" t="str">
        <f>_xlfn.IFNA(VLOOKUP($D559,'Route-Details'!$B$2:$X$1048576,'Node Details'!H$1,0),"")</f>
        <v>Punjab</v>
      </c>
      <c r="I558" s="88" t="str">
        <f>_xlfn.IFNA(VLOOKUP($D558,'Route-Details'!$B$2:$X$1048576,'Node Details'!I$1,0),"")</f>
        <v>CM4</v>
      </c>
      <c r="J558" s="88" t="str">
        <f>_xlfn.IFNA(VLOOKUP($D558,'Route-Details'!$B$2:$X$1048576,'Node Details'!J$1,0),"")</f>
        <v>CM4</v>
      </c>
      <c r="K558" s="76">
        <v>46142</v>
      </c>
      <c r="L558" s="76">
        <v>46148</v>
      </c>
      <c r="M558" s="89">
        <v>46149</v>
      </c>
      <c r="N558" s="76">
        <v>46148</v>
      </c>
      <c r="Q558" s="86" t="s">
        <v>958</v>
      </c>
      <c r="R558" s="90"/>
      <c r="S558" s="87"/>
      <c r="T558" s="87"/>
      <c r="U558" s="87"/>
      <c r="V558" s="93"/>
      <c r="W558" s="91"/>
      <c r="X558" s="87"/>
      <c r="Y558" s="92"/>
      <c r="Z558" s="90"/>
      <c r="AA558" s="93"/>
      <c r="AB558" s="87"/>
      <c r="AC558" s="91"/>
      <c r="AD558" s="90"/>
      <c r="AE558" s="86"/>
      <c r="AF558" s="82"/>
      <c r="AG558" s="24"/>
      <c r="AH558" s="93"/>
      <c r="AI558" s="87"/>
      <c r="AJ558" s="86"/>
      <c r="AK558" s="81"/>
      <c r="AL558" s="24"/>
      <c r="AM558" s="24"/>
      <c r="AN558" s="81"/>
      <c r="AO558" s="81"/>
      <c r="AP558" s="24"/>
      <c r="AQ558" s="93"/>
      <c r="AR558" s="94"/>
      <c r="AS558" s="82"/>
      <c r="AT558" s="82"/>
      <c r="AU558" s="24"/>
      <c r="AV558" s="93"/>
      <c r="AW558" s="94"/>
      <c r="AX558" s="95"/>
      <c r="AY558" s="95"/>
      <c r="AZ558" s="95"/>
      <c r="BA558" s="24"/>
      <c r="BB558" s="9" t="s">
        <v>120</v>
      </c>
      <c r="BC558" s="96" t="s">
        <v>1128</v>
      </c>
    </row>
    <row r="559" spans="1:55" ht="15" customHeight="1">
      <c r="A559" s="86">
        <f t="shared" si="26"/>
        <v>557</v>
      </c>
      <c r="B559" s="75" t="s">
        <v>1204</v>
      </c>
      <c r="C559" s="9"/>
      <c r="D559" s="76" t="s">
        <v>824</v>
      </c>
      <c r="E559" s="88" t="str">
        <f>_xlfn.IFNA(VLOOKUP($D559,'Route-Details'!$B$2:$X$1048576,'Node Details'!E$1,0),"")</f>
        <v>Airtel</v>
      </c>
      <c r="F559" s="88" t="str">
        <f>_xlfn.IFNA(VLOOKUP($D559,'Route-Details'!$B$2:$X$1048576,'Node Details'!F$1,0),"")</f>
        <v>Mani Majra</v>
      </c>
      <c r="G559" s="88" t="str">
        <f>_xlfn.IFNA(VLOOKUP($D559,'Route-Details'!$B$2:$X$1048576,'Node Details'!G$1,0),"")</f>
        <v>Chandigarh</v>
      </c>
      <c r="H559" s="88" t="str">
        <f>_xlfn.IFNA(VLOOKUP($D560,'Route-Details'!$B$2:$X$1048576,'Node Details'!H$1,0),"")</f>
        <v>Punjab</v>
      </c>
      <c r="I559" s="88" t="str">
        <f>_xlfn.IFNA(VLOOKUP($D559,'Route-Details'!$B$2:$X$1048576,'Node Details'!I$1,0),"")</f>
        <v>CM4</v>
      </c>
      <c r="J559" s="88" t="str">
        <f>_xlfn.IFNA(VLOOKUP($D559,'Route-Details'!$B$2:$X$1048576,'Node Details'!J$1,0),"")</f>
        <v>CM4</v>
      </c>
      <c r="K559" s="76">
        <v>46142</v>
      </c>
      <c r="L559" s="76">
        <v>46148</v>
      </c>
      <c r="M559" s="89">
        <v>46149</v>
      </c>
      <c r="N559" s="76">
        <v>46148</v>
      </c>
      <c r="Q559" s="86" t="s">
        <v>958</v>
      </c>
      <c r="R559" s="90"/>
      <c r="S559" s="87"/>
      <c r="T559" s="87"/>
      <c r="U559" s="87"/>
      <c r="V559" s="93"/>
      <c r="W559" s="91"/>
      <c r="X559" s="87"/>
      <c r="Y559" s="92"/>
      <c r="Z559" s="90"/>
      <c r="AA559" s="93"/>
      <c r="AB559" s="87"/>
      <c r="AC559" s="91"/>
      <c r="AD559" s="90"/>
      <c r="AE559" s="86"/>
      <c r="AF559" s="82"/>
      <c r="AG559" s="24"/>
      <c r="AH559" s="93"/>
      <c r="AI559" s="87"/>
      <c r="AJ559" s="86"/>
      <c r="AK559" s="81"/>
      <c r="AL559" s="24"/>
      <c r="AM559" s="24"/>
      <c r="AN559" s="81"/>
      <c r="AO559" s="81"/>
      <c r="AP559" s="24"/>
      <c r="AQ559" s="93"/>
      <c r="AR559" s="94"/>
      <c r="AS559" s="82"/>
      <c r="AT559" s="82"/>
      <c r="AU559" s="24"/>
      <c r="AV559" s="93"/>
      <c r="AW559" s="94"/>
      <c r="AX559" s="95"/>
      <c r="AY559" s="95"/>
      <c r="AZ559" s="95"/>
      <c r="BA559" s="24"/>
      <c r="BB559" s="9" t="s">
        <v>123</v>
      </c>
      <c r="BC559" s="96" t="s">
        <v>1128</v>
      </c>
    </row>
    <row r="560" spans="1:55" ht="15" customHeight="1">
      <c r="A560" s="86">
        <f t="shared" si="26"/>
        <v>558</v>
      </c>
      <c r="B560" s="75" t="s">
        <v>827</v>
      </c>
      <c r="C560" s="9"/>
      <c r="D560" s="76" t="s">
        <v>824</v>
      </c>
      <c r="E560" s="88" t="str">
        <f>_xlfn.IFNA(VLOOKUP($D560,'Route-Details'!$B$2:$X$1048576,'Node Details'!E$1,0),"")</f>
        <v>Airtel</v>
      </c>
      <c r="F560" s="88" t="str">
        <f>_xlfn.IFNA(VLOOKUP($D560,'Route-Details'!$B$2:$X$1048576,'Node Details'!F$1,0),"")</f>
        <v>Mani Majra</v>
      </c>
      <c r="G560" s="88" t="str">
        <f>_xlfn.IFNA(VLOOKUP($D560,'Route-Details'!$B$2:$X$1048576,'Node Details'!G$1,0),"")</f>
        <v>Chandigarh</v>
      </c>
      <c r="H560" s="88" t="str">
        <f>_xlfn.IFNA(VLOOKUP($D561,'Route-Details'!$B$2:$X$1048576,'Node Details'!H$1,0),"")</f>
        <v>Punjab</v>
      </c>
      <c r="I560" s="88" t="str">
        <f>_xlfn.IFNA(VLOOKUP($D560,'Route-Details'!$B$2:$X$1048576,'Node Details'!I$1,0),"")</f>
        <v>CM4</v>
      </c>
      <c r="J560" s="88" t="str">
        <f>_xlfn.IFNA(VLOOKUP($D560,'Route-Details'!$B$2:$X$1048576,'Node Details'!J$1,0),"")</f>
        <v>CM4</v>
      </c>
      <c r="K560" s="76">
        <v>46142</v>
      </c>
      <c r="L560" s="76">
        <v>46148</v>
      </c>
      <c r="M560" s="89">
        <v>46149</v>
      </c>
      <c r="N560" s="76">
        <v>46148</v>
      </c>
      <c r="Q560" s="86" t="s">
        <v>958</v>
      </c>
      <c r="R560" s="90"/>
      <c r="S560" s="87"/>
      <c r="T560" s="87"/>
      <c r="U560" s="87"/>
      <c r="V560" s="93"/>
      <c r="W560" s="91"/>
      <c r="X560" s="87"/>
      <c r="Y560" s="92"/>
      <c r="Z560" s="90"/>
      <c r="AA560" s="93"/>
      <c r="AB560" s="87"/>
      <c r="AC560" s="91"/>
      <c r="AD560" s="90"/>
      <c r="AE560" s="86"/>
      <c r="AF560" s="82"/>
      <c r="AG560" s="24"/>
      <c r="AH560" s="93"/>
      <c r="AI560" s="87"/>
      <c r="AJ560" s="86"/>
      <c r="AK560" s="81"/>
      <c r="AL560" s="24"/>
      <c r="AM560" s="24"/>
      <c r="AN560" s="81"/>
      <c r="AO560" s="81"/>
      <c r="AP560" s="24"/>
      <c r="AQ560" s="93"/>
      <c r="AR560" s="94"/>
      <c r="AS560" s="82"/>
      <c r="AT560" s="82"/>
      <c r="AU560" s="24"/>
      <c r="AV560" s="93"/>
      <c r="AW560" s="94"/>
      <c r="AX560" s="95"/>
      <c r="AY560" s="95"/>
      <c r="AZ560" s="95"/>
      <c r="BA560" s="24"/>
      <c r="BB560" s="9" t="s">
        <v>123</v>
      </c>
      <c r="BC560" s="96" t="s">
        <v>1128</v>
      </c>
    </row>
    <row r="561" spans="1:55" ht="15" customHeight="1">
      <c r="A561" s="86">
        <f t="shared" si="26"/>
        <v>559</v>
      </c>
      <c r="B561" s="75" t="s">
        <v>825</v>
      </c>
      <c r="C561" s="9"/>
      <c r="D561" s="76" t="s">
        <v>824</v>
      </c>
      <c r="E561" s="88" t="str">
        <f>_xlfn.IFNA(VLOOKUP($D561,'Route-Details'!$B$2:$X$1048576,'Node Details'!E$1,0),"")</f>
        <v>Airtel</v>
      </c>
      <c r="F561" s="88" t="str">
        <f>_xlfn.IFNA(VLOOKUP($D561,'Route-Details'!$B$2:$X$1048576,'Node Details'!F$1,0),"")</f>
        <v>Mani Majra</v>
      </c>
      <c r="G561" s="88" t="str">
        <f>_xlfn.IFNA(VLOOKUP($D561,'Route-Details'!$B$2:$X$1048576,'Node Details'!G$1,0),"")</f>
        <v>Chandigarh</v>
      </c>
      <c r="H561" s="88" t="str">
        <f>_xlfn.IFNA(VLOOKUP($D562,'Route-Details'!$B$2:$X$1048576,'Node Details'!H$1,0),"")</f>
        <v>Punjab</v>
      </c>
      <c r="I561" s="88" t="str">
        <f>_xlfn.IFNA(VLOOKUP($D561,'Route-Details'!$B$2:$X$1048576,'Node Details'!I$1,0),"")</f>
        <v>CM4</v>
      </c>
      <c r="J561" s="88" t="str">
        <f>_xlfn.IFNA(VLOOKUP($D561,'Route-Details'!$B$2:$X$1048576,'Node Details'!J$1,0),"")</f>
        <v>CM4</v>
      </c>
      <c r="K561" s="76">
        <v>46142</v>
      </c>
      <c r="L561" s="76">
        <v>46148</v>
      </c>
      <c r="M561" s="89">
        <v>46149</v>
      </c>
      <c r="N561" s="76">
        <v>46148</v>
      </c>
      <c r="Q561" s="86" t="s">
        <v>958</v>
      </c>
      <c r="R561" s="90"/>
      <c r="S561" s="87"/>
      <c r="T561" s="87"/>
      <c r="U561" s="87"/>
      <c r="V561" s="93"/>
      <c r="W561" s="91"/>
      <c r="X561" s="87"/>
      <c r="Y561" s="92"/>
      <c r="Z561" s="90"/>
      <c r="AA561" s="93"/>
      <c r="AB561" s="87"/>
      <c r="AC561" s="91"/>
      <c r="AD561" s="90"/>
      <c r="AE561" s="86"/>
      <c r="AF561" s="82"/>
      <c r="AG561" s="24"/>
      <c r="AH561" s="93"/>
      <c r="AI561" s="87"/>
      <c r="AJ561" s="86"/>
      <c r="AK561" s="81"/>
      <c r="AL561" s="24"/>
      <c r="AM561" s="24"/>
      <c r="AN561" s="81"/>
      <c r="AO561" s="81"/>
      <c r="AP561" s="24"/>
      <c r="AQ561" s="93"/>
      <c r="AR561" s="94"/>
      <c r="AS561" s="82"/>
      <c r="AT561" s="82"/>
      <c r="AU561" s="24"/>
      <c r="AV561" s="93"/>
      <c r="AW561" s="94"/>
      <c r="AX561" s="95"/>
      <c r="AY561" s="95"/>
      <c r="AZ561" s="95"/>
      <c r="BA561" s="24"/>
      <c r="BB561" s="9" t="s">
        <v>123</v>
      </c>
      <c r="BC561" s="96" t="s">
        <v>1128</v>
      </c>
    </row>
    <row r="562" spans="1:55" ht="15" customHeight="1">
      <c r="A562" s="86">
        <f t="shared" si="26"/>
        <v>560</v>
      </c>
      <c r="B562" s="75" t="s">
        <v>1205</v>
      </c>
      <c r="C562" s="9"/>
      <c r="D562" s="76" t="s">
        <v>826</v>
      </c>
      <c r="E562" s="88" t="str">
        <f>_xlfn.IFNA(VLOOKUP($D562,'Route-Details'!$B$2:$X$1048576,'Node Details'!E$1,0),"")</f>
        <v>Airtel</v>
      </c>
      <c r="F562" s="88" t="str">
        <f>_xlfn.IFNA(VLOOKUP($D562,'Route-Details'!$B$2:$X$1048576,'Node Details'!F$1,0),"")</f>
        <v>Mani Majra</v>
      </c>
      <c r="G562" s="88" t="str">
        <f>_xlfn.IFNA(VLOOKUP($D562,'Route-Details'!$B$2:$X$1048576,'Node Details'!G$1,0),"")</f>
        <v>Chandigarh</v>
      </c>
      <c r="H562" s="88" t="str">
        <f>_xlfn.IFNA(VLOOKUP($D563,'Route-Details'!$B$2:$X$1048576,'Node Details'!H$1,0),"")</f>
        <v>Punjab</v>
      </c>
      <c r="I562" s="88" t="str">
        <f>_xlfn.IFNA(VLOOKUP($D562,'Route-Details'!$B$2:$X$1048576,'Node Details'!I$1,0),"")</f>
        <v>CM4</v>
      </c>
      <c r="J562" s="88" t="str">
        <f>_xlfn.IFNA(VLOOKUP($D562,'Route-Details'!$B$2:$X$1048576,'Node Details'!J$1,0),"")</f>
        <v>CM4</v>
      </c>
      <c r="K562" s="76">
        <v>46142</v>
      </c>
      <c r="L562" s="76">
        <v>46148</v>
      </c>
      <c r="M562" s="89">
        <v>46149</v>
      </c>
      <c r="N562" s="76">
        <v>46148</v>
      </c>
      <c r="Q562" s="86" t="s">
        <v>958</v>
      </c>
      <c r="R562" s="90"/>
      <c r="S562" s="87"/>
      <c r="T562" s="87"/>
      <c r="U562" s="87"/>
      <c r="V562" s="93"/>
      <c r="W562" s="91"/>
      <c r="X562" s="87"/>
      <c r="Y562" s="92"/>
      <c r="Z562" s="90"/>
      <c r="AA562" s="93"/>
      <c r="AB562" s="87"/>
      <c r="AC562" s="91"/>
      <c r="AD562" s="90"/>
      <c r="AE562" s="86"/>
      <c r="AF562" s="82"/>
      <c r="AG562" s="24"/>
      <c r="AH562" s="93"/>
      <c r="AI562" s="87"/>
      <c r="AJ562" s="86"/>
      <c r="AK562" s="81"/>
      <c r="AL562" s="24"/>
      <c r="AM562" s="24"/>
      <c r="AN562" s="81"/>
      <c r="AO562" s="81"/>
      <c r="AP562" s="24"/>
      <c r="AQ562" s="93"/>
      <c r="AR562" s="94"/>
      <c r="AS562" s="82"/>
      <c r="AT562" s="82"/>
      <c r="AU562" s="24"/>
      <c r="AV562" s="93"/>
      <c r="AW562" s="94"/>
      <c r="AX562" s="95"/>
      <c r="AY562" s="95"/>
      <c r="AZ562" s="95"/>
      <c r="BA562" s="24"/>
      <c r="BB562" s="9" t="s">
        <v>126</v>
      </c>
      <c r="BC562" s="96" t="s">
        <v>1128</v>
      </c>
    </row>
    <row r="563" spans="1:55" ht="15" customHeight="1">
      <c r="A563" s="86">
        <f t="shared" si="26"/>
        <v>561</v>
      </c>
      <c r="B563" s="75" t="s">
        <v>828</v>
      </c>
      <c r="C563" s="9"/>
      <c r="D563" s="76" t="s">
        <v>826</v>
      </c>
      <c r="E563" s="88" t="str">
        <f>_xlfn.IFNA(VLOOKUP($D563,'Route-Details'!$B$2:$X$1048576,'Node Details'!E$1,0),"")</f>
        <v>Airtel</v>
      </c>
      <c r="F563" s="88" t="str">
        <f>_xlfn.IFNA(VLOOKUP($D563,'Route-Details'!$B$2:$X$1048576,'Node Details'!F$1,0),"")</f>
        <v>Mani Majra</v>
      </c>
      <c r="G563" s="88" t="str">
        <f>_xlfn.IFNA(VLOOKUP($D563,'Route-Details'!$B$2:$X$1048576,'Node Details'!G$1,0),"")</f>
        <v>Chandigarh</v>
      </c>
      <c r="H563" s="88" t="str">
        <f>_xlfn.IFNA(VLOOKUP($D564,'Route-Details'!$B$2:$X$1048576,'Node Details'!H$1,0),"")</f>
        <v>Punjab</v>
      </c>
      <c r="I563" s="88" t="str">
        <f>_xlfn.IFNA(VLOOKUP($D563,'Route-Details'!$B$2:$X$1048576,'Node Details'!I$1,0),"")</f>
        <v>CM4</v>
      </c>
      <c r="J563" s="88" t="str">
        <f>_xlfn.IFNA(VLOOKUP($D563,'Route-Details'!$B$2:$X$1048576,'Node Details'!J$1,0),"")</f>
        <v>CM4</v>
      </c>
      <c r="K563" s="76">
        <v>46142</v>
      </c>
      <c r="L563" s="76">
        <v>46148</v>
      </c>
      <c r="M563" s="89">
        <v>46149</v>
      </c>
      <c r="N563" s="76">
        <v>46148</v>
      </c>
      <c r="Q563" s="86" t="s">
        <v>958</v>
      </c>
      <c r="R563" s="90"/>
      <c r="S563" s="87"/>
      <c r="T563" s="87"/>
      <c r="U563" s="87"/>
      <c r="V563" s="93"/>
      <c r="W563" s="91"/>
      <c r="X563" s="87"/>
      <c r="Y563" s="92"/>
      <c r="Z563" s="90"/>
      <c r="AA563" s="93"/>
      <c r="AB563" s="87"/>
      <c r="AC563" s="91"/>
      <c r="AD563" s="90"/>
      <c r="AE563" s="86"/>
      <c r="AF563" s="82"/>
      <c r="AG563" s="24"/>
      <c r="AH563" s="93"/>
      <c r="AI563" s="87"/>
      <c r="AJ563" s="86"/>
      <c r="AK563" s="81"/>
      <c r="AL563" s="24"/>
      <c r="AM563" s="24"/>
      <c r="AN563" s="81"/>
      <c r="AO563" s="81"/>
      <c r="AP563" s="24"/>
      <c r="AQ563" s="93"/>
      <c r="AR563" s="94"/>
      <c r="AS563" s="82"/>
      <c r="AT563" s="82"/>
      <c r="AU563" s="24"/>
      <c r="AV563" s="93"/>
      <c r="AW563" s="94"/>
      <c r="AX563" s="95"/>
      <c r="AY563" s="95"/>
      <c r="AZ563" s="95"/>
      <c r="BA563" s="24"/>
      <c r="BB563" s="9" t="s">
        <v>126</v>
      </c>
      <c r="BC563" s="96" t="s">
        <v>1128</v>
      </c>
    </row>
    <row r="564" spans="1:55" ht="15" customHeight="1">
      <c r="A564" s="86">
        <f t="shared" si="26"/>
        <v>562</v>
      </c>
      <c r="B564" s="75" t="s">
        <v>809</v>
      </c>
      <c r="C564" s="9"/>
      <c r="D564" s="76" t="s">
        <v>806</v>
      </c>
      <c r="E564" s="88" t="str">
        <f>_xlfn.IFNA(VLOOKUP($D564,'Route-Details'!$B$2:$X$1048576,'Node Details'!E$1,0),"")</f>
        <v>Airtel</v>
      </c>
      <c r="F564" s="88" t="str">
        <f>_xlfn.IFNA(VLOOKUP($D564,'Route-Details'!$B$2:$X$1048576,'Node Details'!F$1,0),"")</f>
        <v>Mani Majra</v>
      </c>
      <c r="G564" s="88" t="str">
        <f>_xlfn.IFNA(VLOOKUP($D564,'Route-Details'!$B$2:$X$1048576,'Node Details'!G$1,0),"")</f>
        <v>Chandigarh</v>
      </c>
      <c r="H564" s="88" t="str">
        <f>_xlfn.IFNA(VLOOKUP($D565,'Route-Details'!$B$2:$X$1048576,'Node Details'!H$1,0),"")</f>
        <v>Punjab</v>
      </c>
      <c r="I564" s="88" t="str">
        <f>_xlfn.IFNA(VLOOKUP($D564,'Route-Details'!$B$2:$X$1048576,'Node Details'!I$1,0),"")</f>
        <v>CM4</v>
      </c>
      <c r="J564" s="88" t="str">
        <f>_xlfn.IFNA(VLOOKUP($D564,'Route-Details'!$B$2:$X$1048576,'Node Details'!J$1,0),"")</f>
        <v>CM4</v>
      </c>
      <c r="K564" s="76">
        <v>46142</v>
      </c>
      <c r="L564" s="76">
        <v>46148</v>
      </c>
      <c r="M564" s="89">
        <v>46149</v>
      </c>
      <c r="N564" s="76">
        <v>46148</v>
      </c>
      <c r="Q564" s="86" t="s">
        <v>958</v>
      </c>
      <c r="R564" s="90"/>
      <c r="S564" s="87"/>
      <c r="T564" s="87"/>
      <c r="U564" s="87"/>
      <c r="V564" s="93"/>
      <c r="W564" s="91"/>
      <c r="X564" s="87"/>
      <c r="Y564" s="92"/>
      <c r="Z564" s="90"/>
      <c r="AA564" s="93"/>
      <c r="AB564" s="87"/>
      <c r="AC564" s="91"/>
      <c r="AD564" s="90"/>
      <c r="AE564" s="86"/>
      <c r="AF564" s="82"/>
      <c r="AG564" s="24"/>
      <c r="AH564" s="93"/>
      <c r="AI564" s="87"/>
      <c r="AJ564" s="86"/>
      <c r="AK564" s="81"/>
      <c r="AL564" s="24"/>
      <c r="AM564" s="24"/>
      <c r="AN564" s="81"/>
      <c r="AO564" s="81"/>
      <c r="AP564" s="24"/>
      <c r="AQ564" s="93"/>
      <c r="AR564" s="94"/>
      <c r="AS564" s="82"/>
      <c r="AT564" s="82"/>
      <c r="AU564" s="24"/>
      <c r="AV564" s="93"/>
      <c r="AW564" s="94"/>
      <c r="AX564" s="95"/>
      <c r="AY564" s="95"/>
      <c r="AZ564" s="95"/>
      <c r="BA564" s="24"/>
      <c r="BB564" s="9" t="s">
        <v>100</v>
      </c>
      <c r="BC564" s="96" t="s">
        <v>1128</v>
      </c>
    </row>
    <row r="565" spans="1:55" ht="15" customHeight="1">
      <c r="A565" s="86">
        <f t="shared" si="26"/>
        <v>563</v>
      </c>
      <c r="B565" s="75" t="s">
        <v>1206</v>
      </c>
      <c r="C565" s="9"/>
      <c r="D565" s="76" t="s">
        <v>829</v>
      </c>
      <c r="E565" s="88" t="str">
        <f>_xlfn.IFNA(VLOOKUP($D565,'Route-Details'!$B$2:$X$1048576,'Node Details'!E$1,0),"")</f>
        <v>Airtel</v>
      </c>
      <c r="F565" s="88" t="str">
        <f>_xlfn.IFNA(VLOOKUP($D565,'Route-Details'!$B$2:$X$1048576,'Node Details'!F$1,0),"")</f>
        <v>Mani Majra</v>
      </c>
      <c r="G565" s="88" t="str">
        <f>_xlfn.IFNA(VLOOKUP($D565,'Route-Details'!$B$2:$X$1048576,'Node Details'!G$1,0),"")</f>
        <v>Chandigarh</v>
      </c>
      <c r="H565" s="88" t="str">
        <f>_xlfn.IFNA(VLOOKUP($D566,'Route-Details'!$B$2:$X$1048576,'Node Details'!H$1,0),"")</f>
        <v>Punjab</v>
      </c>
      <c r="I565" s="88" t="str">
        <f>_xlfn.IFNA(VLOOKUP($D565,'Route-Details'!$B$2:$X$1048576,'Node Details'!I$1,0),"")</f>
        <v>CM4</v>
      </c>
      <c r="J565" s="88" t="str">
        <f>_xlfn.IFNA(VLOOKUP($D565,'Route-Details'!$B$2:$X$1048576,'Node Details'!J$1,0),"")</f>
        <v>CM4</v>
      </c>
      <c r="K565" s="76">
        <v>46142</v>
      </c>
      <c r="L565" s="76">
        <v>46148</v>
      </c>
      <c r="M565" s="89">
        <v>46149</v>
      </c>
      <c r="N565" s="76">
        <v>46148</v>
      </c>
      <c r="Q565" s="86" t="s">
        <v>958</v>
      </c>
      <c r="R565" s="90"/>
      <c r="S565" s="87"/>
      <c r="T565" s="87"/>
      <c r="U565" s="87"/>
      <c r="V565" s="93"/>
      <c r="W565" s="91"/>
      <c r="X565" s="87"/>
      <c r="Y565" s="92"/>
      <c r="Z565" s="90"/>
      <c r="AA565" s="93"/>
      <c r="AB565" s="87"/>
      <c r="AC565" s="91"/>
      <c r="AD565" s="90"/>
      <c r="AE565" s="86"/>
      <c r="AF565" s="82"/>
      <c r="AG565" s="24"/>
      <c r="AH565" s="93"/>
      <c r="AI565" s="87"/>
      <c r="AJ565" s="86"/>
      <c r="AK565" s="81"/>
      <c r="AL565" s="24"/>
      <c r="AM565" s="24"/>
      <c r="AN565" s="81"/>
      <c r="AO565" s="81"/>
      <c r="AP565" s="24"/>
      <c r="AQ565" s="93"/>
      <c r="AR565" s="94"/>
      <c r="AS565" s="82"/>
      <c r="AT565" s="82"/>
      <c r="AU565" s="24"/>
      <c r="AV565" s="93"/>
      <c r="AW565" s="94"/>
      <c r="AX565" s="95"/>
      <c r="AY565" s="95"/>
      <c r="AZ565" s="95"/>
      <c r="BA565" s="24"/>
      <c r="BB565" s="9" t="s">
        <v>129</v>
      </c>
      <c r="BC565" s="96" t="s">
        <v>1128</v>
      </c>
    </row>
    <row r="566" spans="1:55" ht="15" customHeight="1">
      <c r="A566" s="86">
        <f t="shared" si="26"/>
        <v>564</v>
      </c>
      <c r="B566" s="75" t="s">
        <v>1207</v>
      </c>
      <c r="C566" s="9"/>
      <c r="D566" s="76" t="s">
        <v>829</v>
      </c>
      <c r="E566" s="88" t="str">
        <f>_xlfn.IFNA(VLOOKUP($D566,'Route-Details'!$B$2:$X$1048576,'Node Details'!E$1,0),"")</f>
        <v>Airtel</v>
      </c>
      <c r="F566" s="88" t="str">
        <f>_xlfn.IFNA(VLOOKUP($D566,'Route-Details'!$B$2:$X$1048576,'Node Details'!F$1,0),"")</f>
        <v>Mani Majra</v>
      </c>
      <c r="G566" s="88" t="str">
        <f>_xlfn.IFNA(VLOOKUP($D566,'Route-Details'!$B$2:$X$1048576,'Node Details'!G$1,0),"")</f>
        <v>Chandigarh</v>
      </c>
      <c r="H566" s="88" t="str">
        <f>_xlfn.IFNA(VLOOKUP($D567,'Route-Details'!$B$2:$X$1048576,'Node Details'!H$1,0),"")</f>
        <v>Punjab</v>
      </c>
      <c r="I566" s="88" t="str">
        <f>_xlfn.IFNA(VLOOKUP($D566,'Route-Details'!$B$2:$X$1048576,'Node Details'!I$1,0),"")</f>
        <v>CM4</v>
      </c>
      <c r="J566" s="88" t="str">
        <f>_xlfn.IFNA(VLOOKUP($D566,'Route-Details'!$B$2:$X$1048576,'Node Details'!J$1,0),"")</f>
        <v>CM4</v>
      </c>
      <c r="K566" s="76">
        <v>46142</v>
      </c>
      <c r="L566" s="76">
        <v>46148</v>
      </c>
      <c r="M566" s="89">
        <v>46149</v>
      </c>
      <c r="N566" s="76">
        <v>46148</v>
      </c>
      <c r="Q566" s="86" t="s">
        <v>958</v>
      </c>
      <c r="R566" s="90"/>
      <c r="S566" s="87"/>
      <c r="T566" s="87"/>
      <c r="U566" s="87"/>
      <c r="V566" s="93"/>
      <c r="W566" s="91"/>
      <c r="X566" s="87"/>
      <c r="Y566" s="92"/>
      <c r="Z566" s="90"/>
      <c r="AA566" s="93"/>
      <c r="AB566" s="87"/>
      <c r="AC566" s="91"/>
      <c r="AD566" s="90"/>
      <c r="AE566" s="86"/>
      <c r="AF566" s="82"/>
      <c r="AG566" s="24"/>
      <c r="AH566" s="93"/>
      <c r="AI566" s="87"/>
      <c r="AJ566" s="86"/>
      <c r="AK566" s="81"/>
      <c r="AL566" s="24"/>
      <c r="AM566" s="24"/>
      <c r="AN566" s="81"/>
      <c r="AO566" s="81"/>
      <c r="AP566" s="24"/>
      <c r="AQ566" s="93"/>
      <c r="AR566" s="94"/>
      <c r="AS566" s="82"/>
      <c r="AT566" s="82"/>
      <c r="AU566" s="24"/>
      <c r="AV566" s="93"/>
      <c r="AW566" s="94"/>
      <c r="AX566" s="95"/>
      <c r="AY566" s="95"/>
      <c r="AZ566" s="95"/>
      <c r="BA566" s="24"/>
      <c r="BB566" s="9" t="s">
        <v>129</v>
      </c>
      <c r="BC566" s="96" t="s">
        <v>1128</v>
      </c>
    </row>
    <row r="567" spans="1:55" ht="15" customHeight="1">
      <c r="A567" s="86">
        <f t="shared" si="26"/>
        <v>565</v>
      </c>
      <c r="B567" s="75" t="s">
        <v>1208</v>
      </c>
      <c r="C567" s="9"/>
      <c r="D567" s="76" t="s">
        <v>829</v>
      </c>
      <c r="E567" s="88" t="str">
        <f>_xlfn.IFNA(VLOOKUP($D567,'Route-Details'!$B$2:$X$1048576,'Node Details'!E$1,0),"")</f>
        <v>Airtel</v>
      </c>
      <c r="F567" s="88" t="str">
        <f>_xlfn.IFNA(VLOOKUP($D567,'Route-Details'!$B$2:$X$1048576,'Node Details'!F$1,0),"")</f>
        <v>Mani Majra</v>
      </c>
      <c r="G567" s="88" t="str">
        <f>_xlfn.IFNA(VLOOKUP($D567,'Route-Details'!$B$2:$X$1048576,'Node Details'!G$1,0),"")</f>
        <v>Chandigarh</v>
      </c>
      <c r="H567" s="88" t="str">
        <f>_xlfn.IFNA(VLOOKUP($D568,'Route-Details'!$B$2:$X$1048576,'Node Details'!H$1,0),"")</f>
        <v>Punjab</v>
      </c>
      <c r="I567" s="88" t="str">
        <f>_xlfn.IFNA(VLOOKUP($D567,'Route-Details'!$B$2:$X$1048576,'Node Details'!I$1,0),"")</f>
        <v>CM4</v>
      </c>
      <c r="J567" s="88" t="str">
        <f>_xlfn.IFNA(VLOOKUP($D567,'Route-Details'!$B$2:$X$1048576,'Node Details'!J$1,0),"")</f>
        <v>CM4</v>
      </c>
      <c r="K567" s="76">
        <v>46142</v>
      </c>
      <c r="L567" s="76">
        <v>46148</v>
      </c>
      <c r="M567" s="89">
        <v>46149</v>
      </c>
      <c r="N567" s="76">
        <v>46148</v>
      </c>
      <c r="Q567" s="86" t="s">
        <v>958</v>
      </c>
      <c r="R567" s="90"/>
      <c r="S567" s="87"/>
      <c r="T567" s="87"/>
      <c r="U567" s="87"/>
      <c r="V567" s="93"/>
      <c r="W567" s="91"/>
      <c r="X567" s="87"/>
      <c r="Y567" s="92"/>
      <c r="Z567" s="90"/>
      <c r="AA567" s="93"/>
      <c r="AB567" s="87"/>
      <c r="AC567" s="91"/>
      <c r="AD567" s="90"/>
      <c r="AE567" s="86"/>
      <c r="AF567" s="82"/>
      <c r="AG567" s="24"/>
      <c r="AH567" s="93"/>
      <c r="AI567" s="87"/>
      <c r="AJ567" s="86"/>
      <c r="AK567" s="81"/>
      <c r="AL567" s="24"/>
      <c r="AM567" s="24"/>
      <c r="AN567" s="81"/>
      <c r="AO567" s="81"/>
      <c r="AP567" s="24"/>
      <c r="AQ567" s="93"/>
      <c r="AR567" s="94"/>
      <c r="AS567" s="82"/>
      <c r="AT567" s="82"/>
      <c r="AU567" s="24"/>
      <c r="AV567" s="93"/>
      <c r="AW567" s="94"/>
      <c r="AX567" s="95"/>
      <c r="AY567" s="95"/>
      <c r="AZ567" s="95"/>
      <c r="BA567" s="24"/>
      <c r="BB567" s="9" t="s">
        <v>129</v>
      </c>
      <c r="BC567" s="96" t="s">
        <v>1128</v>
      </c>
    </row>
    <row r="568" spans="1:55" ht="15" customHeight="1">
      <c r="A568" s="86">
        <f t="shared" si="26"/>
        <v>566</v>
      </c>
      <c r="B568" s="75" t="s">
        <v>832</v>
      </c>
      <c r="C568" s="9"/>
      <c r="D568" s="76" t="s">
        <v>831</v>
      </c>
      <c r="E568" s="88" t="str">
        <f>_xlfn.IFNA(VLOOKUP($D568,'Route-Details'!$B$2:$X$1048576,'Node Details'!E$1,0),"")</f>
        <v>Airtel</v>
      </c>
      <c r="F568" s="88" t="str">
        <f>_xlfn.IFNA(VLOOKUP($D568,'Route-Details'!$B$2:$X$1048576,'Node Details'!F$1,0),"")</f>
        <v>Mani Majra</v>
      </c>
      <c r="G568" s="88" t="str">
        <f>_xlfn.IFNA(VLOOKUP($D568,'Route-Details'!$B$2:$X$1048576,'Node Details'!G$1,0),"")</f>
        <v>Chandigarh</v>
      </c>
      <c r="H568" s="88" t="str">
        <f>_xlfn.IFNA(VLOOKUP($D569,'Route-Details'!$B$2:$X$1048576,'Node Details'!H$1,0),"")</f>
        <v>Punjab</v>
      </c>
      <c r="I568" s="88" t="str">
        <f>_xlfn.IFNA(VLOOKUP($D568,'Route-Details'!$B$2:$X$1048576,'Node Details'!I$1,0),"")</f>
        <v>CM4</v>
      </c>
      <c r="J568" s="88" t="str">
        <f>_xlfn.IFNA(VLOOKUP($D568,'Route-Details'!$B$2:$X$1048576,'Node Details'!J$1,0),"")</f>
        <v>CM4</v>
      </c>
      <c r="K568" s="76">
        <v>46142</v>
      </c>
      <c r="L568" s="76">
        <v>46148</v>
      </c>
      <c r="M568" s="89">
        <v>46149</v>
      </c>
      <c r="N568" s="76">
        <v>46148</v>
      </c>
      <c r="Q568" s="86" t="s">
        <v>958</v>
      </c>
      <c r="R568" s="90"/>
      <c r="S568" s="87"/>
      <c r="T568" s="87"/>
      <c r="U568" s="87"/>
      <c r="V568" s="93"/>
      <c r="W568" s="91"/>
      <c r="X568" s="87"/>
      <c r="Y568" s="92"/>
      <c r="Z568" s="90"/>
      <c r="AA568" s="93"/>
      <c r="AB568" s="87"/>
      <c r="AC568" s="91"/>
      <c r="AD568" s="90"/>
      <c r="AE568" s="86"/>
      <c r="AF568" s="82"/>
      <c r="AG568" s="24"/>
      <c r="AH568" s="93"/>
      <c r="AI568" s="87"/>
      <c r="AJ568" s="86"/>
      <c r="AK568" s="81"/>
      <c r="AL568" s="24"/>
      <c r="AM568" s="24"/>
      <c r="AN568" s="81"/>
      <c r="AO568" s="81"/>
      <c r="AP568" s="24"/>
      <c r="AQ568" s="93"/>
      <c r="AR568" s="94"/>
      <c r="AS568" s="82"/>
      <c r="AT568" s="82"/>
      <c r="AU568" s="24"/>
      <c r="AV568" s="93"/>
      <c r="AW568" s="94"/>
      <c r="AX568" s="95"/>
      <c r="AY568" s="95"/>
      <c r="AZ568" s="95"/>
      <c r="BA568" s="24"/>
      <c r="BB568" s="9" t="s">
        <v>135</v>
      </c>
      <c r="BC568" s="96" t="s">
        <v>1128</v>
      </c>
    </row>
    <row r="569" spans="1:55" ht="15" customHeight="1">
      <c r="A569" s="86">
        <f t="shared" si="26"/>
        <v>567</v>
      </c>
      <c r="B569" s="75" t="s">
        <v>1209</v>
      </c>
      <c r="C569" s="9"/>
      <c r="D569" s="76" t="s">
        <v>833</v>
      </c>
      <c r="E569" s="88" t="str">
        <f>_xlfn.IFNA(VLOOKUP($D569,'Route-Details'!$B$2:$X$1048576,'Node Details'!E$1,0),"")</f>
        <v>Airtel</v>
      </c>
      <c r="F569" s="88" t="str">
        <f>_xlfn.IFNA(VLOOKUP($D569,'Route-Details'!$B$2:$X$1048576,'Node Details'!F$1,0),"")</f>
        <v>Mani Majra</v>
      </c>
      <c r="G569" s="88" t="str">
        <f>_xlfn.IFNA(VLOOKUP($D569,'Route-Details'!$B$2:$X$1048576,'Node Details'!G$1,0),"")</f>
        <v>Chandigarh</v>
      </c>
      <c r="H569" s="88" t="str">
        <f>_xlfn.IFNA(VLOOKUP($D570,'Route-Details'!$B$2:$X$1048576,'Node Details'!H$1,0),"")</f>
        <v>Punjab</v>
      </c>
      <c r="I569" s="88" t="str">
        <f>_xlfn.IFNA(VLOOKUP($D569,'Route-Details'!$B$2:$X$1048576,'Node Details'!I$1,0),"")</f>
        <v>CM4</v>
      </c>
      <c r="J569" s="88" t="str">
        <f>_xlfn.IFNA(VLOOKUP($D569,'Route-Details'!$B$2:$X$1048576,'Node Details'!J$1,0),"")</f>
        <v>CM4</v>
      </c>
      <c r="K569" s="76">
        <v>46142</v>
      </c>
      <c r="L569" s="76">
        <v>46148</v>
      </c>
      <c r="M569" s="89">
        <v>46149</v>
      </c>
      <c r="N569" s="76">
        <v>46148</v>
      </c>
      <c r="Q569" s="86" t="s">
        <v>958</v>
      </c>
      <c r="R569" s="90"/>
      <c r="S569" s="87"/>
      <c r="T569" s="87"/>
      <c r="U569" s="87"/>
      <c r="V569" s="93"/>
      <c r="W569" s="91"/>
      <c r="X569" s="87"/>
      <c r="Y569" s="92"/>
      <c r="Z569" s="90"/>
      <c r="AA569" s="93"/>
      <c r="AB569" s="87"/>
      <c r="AC569" s="91"/>
      <c r="AD569" s="90"/>
      <c r="AE569" s="86"/>
      <c r="AF569" s="82"/>
      <c r="AG569" s="24"/>
      <c r="AH569" s="93"/>
      <c r="AI569" s="87"/>
      <c r="AJ569" s="86"/>
      <c r="AK569" s="81"/>
      <c r="AL569" s="24"/>
      <c r="AM569" s="24"/>
      <c r="AN569" s="81"/>
      <c r="AO569" s="81"/>
      <c r="AP569" s="24"/>
      <c r="AQ569" s="93"/>
      <c r="AR569" s="94"/>
      <c r="AS569" s="82"/>
      <c r="AT569" s="82"/>
      <c r="AU569" s="24"/>
      <c r="AV569" s="93"/>
      <c r="AW569" s="94"/>
      <c r="AX569" s="95"/>
      <c r="AY569" s="95"/>
      <c r="AZ569" s="95"/>
      <c r="BA569" s="24"/>
      <c r="BB569" s="9" t="s">
        <v>138</v>
      </c>
      <c r="BC569" s="96" t="s">
        <v>1128</v>
      </c>
    </row>
    <row r="570" spans="1:55" ht="15" customHeight="1">
      <c r="A570" s="86">
        <f t="shared" si="26"/>
        <v>568</v>
      </c>
      <c r="B570" s="75" t="s">
        <v>1210</v>
      </c>
      <c r="C570" s="9"/>
      <c r="D570" s="76" t="s">
        <v>833</v>
      </c>
      <c r="E570" s="88" t="str">
        <f>_xlfn.IFNA(VLOOKUP($D570,'Route-Details'!$B$2:$X$1048576,'Node Details'!E$1,0),"")</f>
        <v>Airtel</v>
      </c>
      <c r="F570" s="88" t="str">
        <f>_xlfn.IFNA(VLOOKUP($D570,'Route-Details'!$B$2:$X$1048576,'Node Details'!F$1,0),"")</f>
        <v>Mani Majra</v>
      </c>
      <c r="G570" s="88" t="str">
        <f>_xlfn.IFNA(VLOOKUP($D570,'Route-Details'!$B$2:$X$1048576,'Node Details'!G$1,0),"")</f>
        <v>Chandigarh</v>
      </c>
      <c r="H570" s="88" t="str">
        <f>_xlfn.IFNA(VLOOKUP($D571,'Route-Details'!$B$2:$X$1048576,'Node Details'!H$1,0),"")</f>
        <v>Punjab</v>
      </c>
      <c r="I570" s="88" t="str">
        <f>_xlfn.IFNA(VLOOKUP($D570,'Route-Details'!$B$2:$X$1048576,'Node Details'!I$1,0),"")</f>
        <v>CM4</v>
      </c>
      <c r="J570" s="88" t="str">
        <f>_xlfn.IFNA(VLOOKUP($D570,'Route-Details'!$B$2:$X$1048576,'Node Details'!J$1,0),"")</f>
        <v>CM4</v>
      </c>
      <c r="K570" s="76">
        <v>46142</v>
      </c>
      <c r="L570" s="76">
        <v>46148</v>
      </c>
      <c r="M570" s="89">
        <v>46149</v>
      </c>
      <c r="N570" s="76">
        <v>46148</v>
      </c>
      <c r="Q570" s="86" t="s">
        <v>958</v>
      </c>
      <c r="R570" s="90"/>
      <c r="S570" s="87"/>
      <c r="T570" s="87"/>
      <c r="U570" s="87"/>
      <c r="V570" s="93"/>
      <c r="W570" s="91"/>
      <c r="X570" s="87"/>
      <c r="Y570" s="92"/>
      <c r="Z570" s="90"/>
      <c r="AA570" s="93"/>
      <c r="AB570" s="87"/>
      <c r="AC570" s="91"/>
      <c r="AD570" s="90"/>
      <c r="AE570" s="86"/>
      <c r="AF570" s="82"/>
      <c r="AG570" s="24"/>
      <c r="AH570" s="93"/>
      <c r="AI570" s="87"/>
      <c r="AJ570" s="86"/>
      <c r="AK570" s="81"/>
      <c r="AL570" s="24"/>
      <c r="AM570" s="24"/>
      <c r="AN570" s="81"/>
      <c r="AO570" s="81"/>
      <c r="AP570" s="24"/>
      <c r="AQ570" s="93"/>
      <c r="AR570" s="94"/>
      <c r="AS570" s="82"/>
      <c r="AT570" s="82"/>
      <c r="AU570" s="24"/>
      <c r="AV570" s="93"/>
      <c r="AW570" s="94"/>
      <c r="AX570" s="95"/>
      <c r="AY570" s="95"/>
      <c r="AZ570" s="95"/>
      <c r="BA570" s="24"/>
      <c r="BB570" s="9" t="s">
        <v>138</v>
      </c>
      <c r="BC570" s="96" t="s">
        <v>1128</v>
      </c>
    </row>
    <row r="571" spans="1:55" ht="15" customHeight="1">
      <c r="A571" s="86">
        <f t="shared" si="26"/>
        <v>569</v>
      </c>
      <c r="B571" s="75" t="s">
        <v>834</v>
      </c>
      <c r="C571" s="9"/>
      <c r="D571" s="76" t="s">
        <v>833</v>
      </c>
      <c r="E571" s="88" t="str">
        <f>_xlfn.IFNA(VLOOKUP($D571,'Route-Details'!$B$2:$X$1048576,'Node Details'!E$1,0),"")</f>
        <v>Airtel</v>
      </c>
      <c r="F571" s="88" t="str">
        <f>_xlfn.IFNA(VLOOKUP($D571,'Route-Details'!$B$2:$X$1048576,'Node Details'!F$1,0),"")</f>
        <v>Mani Majra</v>
      </c>
      <c r="G571" s="88" t="str">
        <f>_xlfn.IFNA(VLOOKUP($D571,'Route-Details'!$B$2:$X$1048576,'Node Details'!G$1,0),"")</f>
        <v>Chandigarh</v>
      </c>
      <c r="H571" s="88" t="str">
        <f>_xlfn.IFNA(VLOOKUP($D572,'Route-Details'!$B$2:$X$1048576,'Node Details'!H$1,0),"")</f>
        <v>Punjab</v>
      </c>
      <c r="I571" s="88" t="str">
        <f>_xlfn.IFNA(VLOOKUP($D571,'Route-Details'!$B$2:$X$1048576,'Node Details'!I$1,0),"")</f>
        <v>CM4</v>
      </c>
      <c r="J571" s="88" t="str">
        <f>_xlfn.IFNA(VLOOKUP($D571,'Route-Details'!$B$2:$X$1048576,'Node Details'!J$1,0),"")</f>
        <v>CM4</v>
      </c>
      <c r="K571" s="76">
        <v>46142</v>
      </c>
      <c r="L571" s="76">
        <v>46148</v>
      </c>
      <c r="M571" s="89">
        <v>46149</v>
      </c>
      <c r="N571" s="76">
        <v>46148</v>
      </c>
      <c r="Q571" s="86" t="s">
        <v>958</v>
      </c>
      <c r="R571" s="90"/>
      <c r="S571" s="87"/>
      <c r="T571" s="87"/>
      <c r="U571" s="87"/>
      <c r="V571" s="93"/>
      <c r="W571" s="91"/>
      <c r="X571" s="87"/>
      <c r="Y571" s="92"/>
      <c r="Z571" s="90"/>
      <c r="AA571" s="93"/>
      <c r="AB571" s="87"/>
      <c r="AC571" s="91"/>
      <c r="AD571" s="90"/>
      <c r="AE571" s="86"/>
      <c r="AF571" s="82"/>
      <c r="AG571" s="24"/>
      <c r="AH571" s="93"/>
      <c r="AI571" s="87"/>
      <c r="AJ571" s="86"/>
      <c r="AK571" s="81"/>
      <c r="AL571" s="24"/>
      <c r="AM571" s="24"/>
      <c r="AN571" s="81"/>
      <c r="AO571" s="81"/>
      <c r="AP571" s="24"/>
      <c r="AQ571" s="93"/>
      <c r="AR571" s="94"/>
      <c r="AS571" s="82"/>
      <c r="AT571" s="82"/>
      <c r="AU571" s="24"/>
      <c r="AV571" s="93"/>
      <c r="AW571" s="94"/>
      <c r="AX571" s="95"/>
      <c r="AY571" s="95"/>
      <c r="AZ571" s="95"/>
      <c r="BA571" s="24"/>
      <c r="BB571" s="9" t="s">
        <v>138</v>
      </c>
      <c r="BC571" s="96" t="s">
        <v>1128</v>
      </c>
    </row>
    <row r="572" spans="1:55" ht="15" customHeight="1">
      <c r="A572" s="86">
        <f t="shared" si="26"/>
        <v>570</v>
      </c>
      <c r="B572" s="75" t="s">
        <v>830</v>
      </c>
      <c r="C572" s="9"/>
      <c r="D572" s="76" t="s">
        <v>829</v>
      </c>
      <c r="E572" s="88" t="str">
        <f>_xlfn.IFNA(VLOOKUP($D572,'Route-Details'!$B$2:$X$1048576,'Node Details'!E$1,0),"")</f>
        <v>Airtel</v>
      </c>
      <c r="F572" s="88" t="str">
        <f>_xlfn.IFNA(VLOOKUP($D572,'Route-Details'!$B$2:$X$1048576,'Node Details'!F$1,0),"")</f>
        <v>Mani Majra</v>
      </c>
      <c r="G572" s="88" t="str">
        <f>_xlfn.IFNA(VLOOKUP($D572,'Route-Details'!$B$2:$X$1048576,'Node Details'!G$1,0),"")</f>
        <v>Chandigarh</v>
      </c>
      <c r="H572" s="88" t="str">
        <f>_xlfn.IFNA(VLOOKUP($D573,'Route-Details'!$B$2:$X$1048576,'Node Details'!H$1,0),"")</f>
        <v>Punjab</v>
      </c>
      <c r="I572" s="88" t="str">
        <f>_xlfn.IFNA(VLOOKUP($D572,'Route-Details'!$B$2:$X$1048576,'Node Details'!I$1,0),"")</f>
        <v>CM4</v>
      </c>
      <c r="J572" s="88" t="str">
        <f>_xlfn.IFNA(VLOOKUP($D572,'Route-Details'!$B$2:$X$1048576,'Node Details'!J$1,0),"")</f>
        <v>CM4</v>
      </c>
      <c r="K572" s="76">
        <v>46142</v>
      </c>
      <c r="L572" s="76">
        <v>46148</v>
      </c>
      <c r="M572" s="89">
        <v>46149</v>
      </c>
      <c r="N572" s="76">
        <v>46148</v>
      </c>
      <c r="Q572" s="86" t="s">
        <v>958</v>
      </c>
      <c r="R572" s="90"/>
      <c r="S572" s="87"/>
      <c r="T572" s="87"/>
      <c r="U572" s="87"/>
      <c r="V572" s="93"/>
      <c r="W572" s="91"/>
      <c r="X572" s="87"/>
      <c r="Y572" s="92"/>
      <c r="Z572" s="90"/>
      <c r="AA572" s="93"/>
      <c r="AB572" s="87"/>
      <c r="AC572" s="91"/>
      <c r="AD572" s="90"/>
      <c r="AE572" s="86"/>
      <c r="AF572" s="82"/>
      <c r="AG572" s="24"/>
      <c r="AH572" s="93"/>
      <c r="AI572" s="87"/>
      <c r="AJ572" s="86"/>
      <c r="AK572" s="81"/>
      <c r="AL572" s="24"/>
      <c r="AM572" s="24"/>
      <c r="AN572" s="81"/>
      <c r="AO572" s="81"/>
      <c r="AP572" s="24"/>
      <c r="AQ572" s="93"/>
      <c r="AR572" s="94"/>
      <c r="AS572" s="82"/>
      <c r="AT572" s="82"/>
      <c r="AU572" s="24"/>
      <c r="AV572" s="93"/>
      <c r="AW572" s="94"/>
      <c r="AX572" s="95"/>
      <c r="AY572" s="95"/>
      <c r="AZ572" s="95"/>
      <c r="BA572" s="24"/>
      <c r="BB572" s="9" t="s">
        <v>129</v>
      </c>
      <c r="BC572" s="96" t="s">
        <v>1128</v>
      </c>
    </row>
    <row r="573" spans="1:55" ht="15" customHeight="1">
      <c r="A573" s="86">
        <f t="shared" si="26"/>
        <v>571</v>
      </c>
      <c r="B573" s="75" t="s">
        <v>807</v>
      </c>
      <c r="C573" s="9"/>
      <c r="D573" s="76" t="s">
        <v>806</v>
      </c>
      <c r="E573" s="88" t="str">
        <f>_xlfn.IFNA(VLOOKUP($D573,'Route-Details'!$B$2:$X$1048576,'Node Details'!E$1,0),"")</f>
        <v>Airtel</v>
      </c>
      <c r="F573" s="88" t="str">
        <f>_xlfn.IFNA(VLOOKUP($D573,'Route-Details'!$B$2:$X$1048576,'Node Details'!F$1,0),"")</f>
        <v>Mani Majra</v>
      </c>
      <c r="G573" s="88" t="str">
        <f>_xlfn.IFNA(VLOOKUP($D573,'Route-Details'!$B$2:$X$1048576,'Node Details'!G$1,0),"")</f>
        <v>Chandigarh</v>
      </c>
      <c r="H573" s="88" t="str">
        <f>_xlfn.IFNA(VLOOKUP($D574,'Route-Details'!$B$2:$X$1048576,'Node Details'!H$1,0),"")</f>
        <v>Punjab</v>
      </c>
      <c r="I573" s="88" t="str">
        <f>_xlfn.IFNA(VLOOKUP($D573,'Route-Details'!$B$2:$X$1048576,'Node Details'!I$1,0),"")</f>
        <v>CM4</v>
      </c>
      <c r="J573" s="88" t="str">
        <f>_xlfn.IFNA(VLOOKUP($D573,'Route-Details'!$B$2:$X$1048576,'Node Details'!J$1,0),"")</f>
        <v>CM4</v>
      </c>
      <c r="K573" s="76">
        <v>46142</v>
      </c>
      <c r="L573" s="76">
        <v>46148</v>
      </c>
      <c r="M573" s="89">
        <v>46149</v>
      </c>
      <c r="N573" s="76">
        <v>46148</v>
      </c>
      <c r="Q573" s="86" t="s">
        <v>958</v>
      </c>
      <c r="R573" s="90"/>
      <c r="S573" s="87"/>
      <c r="T573" s="87"/>
      <c r="U573" s="87"/>
      <c r="V573" s="93"/>
      <c r="W573" s="91"/>
      <c r="X573" s="87"/>
      <c r="Y573" s="92"/>
      <c r="Z573" s="90"/>
      <c r="AA573" s="93"/>
      <c r="AB573" s="87"/>
      <c r="AC573" s="91"/>
      <c r="AD573" s="90"/>
      <c r="AE573" s="86"/>
      <c r="AF573" s="82"/>
      <c r="AG573" s="24"/>
      <c r="AH573" s="93"/>
      <c r="AI573" s="87"/>
      <c r="AJ573" s="86"/>
      <c r="AK573" s="81"/>
      <c r="AL573" s="24"/>
      <c r="AM573" s="24"/>
      <c r="AN573" s="81"/>
      <c r="AO573" s="81"/>
      <c r="AP573" s="24"/>
      <c r="AQ573" s="93"/>
      <c r="AR573" s="94"/>
      <c r="AS573" s="82"/>
      <c r="AT573" s="82"/>
      <c r="AU573" s="24"/>
      <c r="AV573" s="93"/>
      <c r="AW573" s="94"/>
      <c r="AX573" s="95"/>
      <c r="AY573" s="95"/>
      <c r="AZ573" s="95"/>
      <c r="BA573" s="24"/>
      <c r="BB573" s="9" t="s">
        <v>100</v>
      </c>
      <c r="BC573" s="96" t="s">
        <v>1128</v>
      </c>
    </row>
    <row r="574" spans="1:55" ht="15" customHeight="1">
      <c r="A574" s="86">
        <f t="shared" si="26"/>
        <v>572</v>
      </c>
      <c r="B574" s="75" t="s">
        <v>836</v>
      </c>
      <c r="C574" s="9"/>
      <c r="D574" s="76" t="s">
        <v>835</v>
      </c>
      <c r="E574" s="88" t="str">
        <f>_xlfn.IFNA(VLOOKUP($D574,'Route-Details'!$B$2:$X$1048576,'Node Details'!E$1,0),"")</f>
        <v>Airtel</v>
      </c>
      <c r="F574" s="88" t="str">
        <f>_xlfn.IFNA(VLOOKUP($D574,'Route-Details'!$B$2:$X$1048576,'Node Details'!F$1,0),"")</f>
        <v>Mani Majra</v>
      </c>
      <c r="G574" s="88" t="str">
        <f>_xlfn.IFNA(VLOOKUP($D574,'Route-Details'!$B$2:$X$1048576,'Node Details'!G$1,0),"")</f>
        <v>Chandigarh</v>
      </c>
      <c r="H574" s="88" t="str">
        <f>_xlfn.IFNA(VLOOKUP($D575,'Route-Details'!$B$2:$X$1048576,'Node Details'!H$1,0),"")</f>
        <v>Punjab</v>
      </c>
      <c r="I574" s="88" t="str">
        <f>_xlfn.IFNA(VLOOKUP($D574,'Route-Details'!$B$2:$X$1048576,'Node Details'!I$1,0),"")</f>
        <v>CM4</v>
      </c>
      <c r="J574" s="88" t="str">
        <f>_xlfn.IFNA(VLOOKUP($D574,'Route-Details'!$B$2:$X$1048576,'Node Details'!J$1,0),"")</f>
        <v>CM4</v>
      </c>
      <c r="K574" s="76">
        <v>46142</v>
      </c>
      <c r="L574" s="76">
        <v>46148</v>
      </c>
      <c r="M574" s="89">
        <v>46149</v>
      </c>
      <c r="N574" s="76">
        <v>46148</v>
      </c>
      <c r="Q574" s="86" t="s">
        <v>958</v>
      </c>
      <c r="R574" s="90"/>
      <c r="S574" s="87"/>
      <c r="T574" s="87"/>
      <c r="U574" s="87"/>
      <c r="V574" s="93"/>
      <c r="W574" s="91"/>
      <c r="X574" s="87"/>
      <c r="Y574" s="92"/>
      <c r="Z574" s="90"/>
      <c r="AA574" s="93"/>
      <c r="AB574" s="87"/>
      <c r="AC574" s="91"/>
      <c r="AD574" s="90"/>
      <c r="AE574" s="86"/>
      <c r="AF574" s="82"/>
      <c r="AG574" s="24"/>
      <c r="AH574" s="93"/>
      <c r="AI574" s="87"/>
      <c r="AJ574" s="86"/>
      <c r="AK574" s="81"/>
      <c r="AL574" s="24"/>
      <c r="AM574" s="24"/>
      <c r="AN574" s="81"/>
      <c r="AO574" s="81"/>
      <c r="AP574" s="24"/>
      <c r="AQ574" s="93"/>
      <c r="AR574" s="94"/>
      <c r="AS574" s="82"/>
      <c r="AT574" s="82"/>
      <c r="AU574" s="24"/>
      <c r="AV574" s="93"/>
      <c r="AW574" s="94"/>
      <c r="AX574" s="95"/>
      <c r="AY574" s="95"/>
      <c r="AZ574" s="95"/>
      <c r="BA574" s="24"/>
      <c r="BB574" s="9" t="s">
        <v>132</v>
      </c>
      <c r="BC574" s="96" t="s">
        <v>1128</v>
      </c>
    </row>
    <row r="575" spans="1:55" ht="15" customHeight="1">
      <c r="A575" s="86">
        <f t="shared" si="26"/>
        <v>573</v>
      </c>
      <c r="B575" s="75" t="s">
        <v>1211</v>
      </c>
      <c r="C575" s="9"/>
      <c r="D575" s="76" t="s">
        <v>837</v>
      </c>
      <c r="E575" s="88" t="str">
        <f>_xlfn.IFNA(VLOOKUP($D575,'Route-Details'!$B$2:$X$1048576,'Node Details'!E$1,0),"")</f>
        <v>Airtel</v>
      </c>
      <c r="F575" s="88" t="str">
        <f>_xlfn.IFNA(VLOOKUP($D575,'Route-Details'!$B$2:$X$1048576,'Node Details'!F$1,0),"")</f>
        <v>Mani Majra</v>
      </c>
      <c r="G575" s="88" t="str">
        <f>_xlfn.IFNA(VLOOKUP($D575,'Route-Details'!$B$2:$X$1048576,'Node Details'!G$1,0),"")</f>
        <v>Chandigarh</v>
      </c>
      <c r="H575" s="88" t="str">
        <f>_xlfn.IFNA(VLOOKUP($D576,'Route-Details'!$B$2:$X$1048576,'Node Details'!H$1,0),"")</f>
        <v>Punjab</v>
      </c>
      <c r="I575" s="88" t="str">
        <f>_xlfn.IFNA(VLOOKUP($D575,'Route-Details'!$B$2:$X$1048576,'Node Details'!I$1,0),"")</f>
        <v>CM4</v>
      </c>
      <c r="J575" s="88" t="str">
        <f>_xlfn.IFNA(VLOOKUP($D575,'Route-Details'!$B$2:$X$1048576,'Node Details'!J$1,0),"")</f>
        <v>CM4</v>
      </c>
      <c r="K575" s="76">
        <v>46142</v>
      </c>
      <c r="L575" s="76">
        <v>46148</v>
      </c>
      <c r="M575" s="89">
        <v>46149</v>
      </c>
      <c r="N575" s="76">
        <v>46148</v>
      </c>
      <c r="Q575" s="86" t="s">
        <v>958</v>
      </c>
      <c r="R575" s="90"/>
      <c r="S575" s="87"/>
      <c r="T575" s="87"/>
      <c r="U575" s="87"/>
      <c r="V575" s="93"/>
      <c r="W575" s="91"/>
      <c r="X575" s="87"/>
      <c r="Y575" s="92"/>
      <c r="Z575" s="90"/>
      <c r="AA575" s="93"/>
      <c r="AB575" s="87"/>
      <c r="AC575" s="91"/>
      <c r="AD575" s="90"/>
      <c r="AE575" s="86"/>
      <c r="AF575" s="82"/>
      <c r="AG575" s="24"/>
      <c r="AH575" s="93"/>
      <c r="AI575" s="87"/>
      <c r="AJ575" s="86"/>
      <c r="AK575" s="81"/>
      <c r="AL575" s="24"/>
      <c r="AM575" s="24"/>
      <c r="AN575" s="81"/>
      <c r="AO575" s="81"/>
      <c r="AP575" s="24"/>
      <c r="AQ575" s="93"/>
      <c r="AR575" s="94"/>
      <c r="AS575" s="82"/>
      <c r="AT575" s="82"/>
      <c r="AU575" s="24"/>
      <c r="AV575" s="93"/>
      <c r="AW575" s="94"/>
      <c r="AX575" s="95"/>
      <c r="AY575" s="95"/>
      <c r="AZ575" s="95"/>
      <c r="BA575" s="24"/>
      <c r="BB575" s="9" t="s">
        <v>182</v>
      </c>
      <c r="BC575" s="96" t="s">
        <v>1128</v>
      </c>
    </row>
    <row r="576" spans="1:55" ht="15" customHeight="1">
      <c r="A576" s="86">
        <f t="shared" si="26"/>
        <v>574</v>
      </c>
      <c r="B576" s="75" t="s">
        <v>838</v>
      </c>
      <c r="C576" s="9"/>
      <c r="D576" s="76" t="s">
        <v>837</v>
      </c>
      <c r="E576" s="88" t="str">
        <f>_xlfn.IFNA(VLOOKUP($D576,'Route-Details'!$B$2:$X$1048576,'Node Details'!E$1,0),"")</f>
        <v>Airtel</v>
      </c>
      <c r="F576" s="88" t="str">
        <f>_xlfn.IFNA(VLOOKUP($D576,'Route-Details'!$B$2:$X$1048576,'Node Details'!F$1,0),"")</f>
        <v>Mani Majra</v>
      </c>
      <c r="G576" s="88" t="str">
        <f>_xlfn.IFNA(VLOOKUP($D576,'Route-Details'!$B$2:$X$1048576,'Node Details'!G$1,0),"")</f>
        <v>Chandigarh</v>
      </c>
      <c r="H576" s="88" t="str">
        <f>_xlfn.IFNA(VLOOKUP($D577,'Route-Details'!$B$2:$X$1048576,'Node Details'!H$1,0),"")</f>
        <v>Punjab</v>
      </c>
      <c r="I576" s="88" t="str">
        <f>_xlfn.IFNA(VLOOKUP($D576,'Route-Details'!$B$2:$X$1048576,'Node Details'!I$1,0),"")</f>
        <v>CM4</v>
      </c>
      <c r="J576" s="88" t="str">
        <f>_xlfn.IFNA(VLOOKUP($D576,'Route-Details'!$B$2:$X$1048576,'Node Details'!J$1,0),"")</f>
        <v>CM4</v>
      </c>
      <c r="K576" s="76">
        <v>46142</v>
      </c>
      <c r="L576" s="76">
        <v>46148</v>
      </c>
      <c r="M576" s="89">
        <v>46149</v>
      </c>
      <c r="N576" s="76">
        <v>46148</v>
      </c>
      <c r="Q576" s="86" t="s">
        <v>958</v>
      </c>
      <c r="R576" s="90"/>
      <c r="S576" s="87"/>
      <c r="T576" s="87"/>
      <c r="U576" s="87"/>
      <c r="V576" s="93"/>
      <c r="W576" s="91"/>
      <c r="X576" s="87"/>
      <c r="Y576" s="92"/>
      <c r="Z576" s="90"/>
      <c r="AA576" s="93"/>
      <c r="AB576" s="87"/>
      <c r="AC576" s="91"/>
      <c r="AD576" s="90"/>
      <c r="AE576" s="86"/>
      <c r="AF576" s="82"/>
      <c r="AG576" s="24"/>
      <c r="AH576" s="93"/>
      <c r="AI576" s="87"/>
      <c r="AJ576" s="86"/>
      <c r="AK576" s="81"/>
      <c r="AL576" s="24"/>
      <c r="AM576" s="24"/>
      <c r="AN576" s="81"/>
      <c r="AO576" s="81"/>
      <c r="AP576" s="24"/>
      <c r="AQ576" s="93"/>
      <c r="AR576" s="94"/>
      <c r="AS576" s="82"/>
      <c r="AT576" s="82"/>
      <c r="AU576" s="24"/>
      <c r="AV576" s="93"/>
      <c r="AW576" s="94"/>
      <c r="AX576" s="95"/>
      <c r="AY576" s="95"/>
      <c r="AZ576" s="95"/>
      <c r="BA576" s="24"/>
      <c r="BB576" s="9" t="s">
        <v>182</v>
      </c>
      <c r="BC576" s="96" t="s">
        <v>1128</v>
      </c>
    </row>
    <row r="577" spans="1:55" ht="15" customHeight="1">
      <c r="A577" s="86">
        <f t="shared" si="26"/>
        <v>575</v>
      </c>
      <c r="B577" s="75" t="s">
        <v>1212</v>
      </c>
      <c r="C577" s="9"/>
      <c r="D577" s="76" t="s">
        <v>839</v>
      </c>
      <c r="E577" s="88" t="str">
        <f>_xlfn.IFNA(VLOOKUP($D577,'Route-Details'!$B$2:$X$1048576,'Node Details'!E$1,0),"")</f>
        <v>Airtel</v>
      </c>
      <c r="F577" s="88" t="str">
        <f>_xlfn.IFNA(VLOOKUP($D577,'Route-Details'!$B$2:$X$1048576,'Node Details'!F$1,0),"")</f>
        <v>Mani Majra</v>
      </c>
      <c r="G577" s="88" t="str">
        <f>_xlfn.IFNA(VLOOKUP($D577,'Route-Details'!$B$2:$X$1048576,'Node Details'!G$1,0),"")</f>
        <v>Chandigarh</v>
      </c>
      <c r="H577" s="88" t="str">
        <f>_xlfn.IFNA(VLOOKUP($D578,'Route-Details'!$B$2:$X$1048576,'Node Details'!H$1,0),"")</f>
        <v>Punjab</v>
      </c>
      <c r="I577" s="88" t="str">
        <f>_xlfn.IFNA(VLOOKUP($D577,'Route-Details'!$B$2:$X$1048576,'Node Details'!I$1,0),"")</f>
        <v>CM4</v>
      </c>
      <c r="J577" s="88" t="str">
        <f>_xlfn.IFNA(VLOOKUP($D577,'Route-Details'!$B$2:$X$1048576,'Node Details'!J$1,0),"")</f>
        <v>CM4</v>
      </c>
      <c r="K577" s="76">
        <v>46142</v>
      </c>
      <c r="L577" s="76">
        <v>46148</v>
      </c>
      <c r="M577" s="89">
        <v>46149</v>
      </c>
      <c r="N577" s="76">
        <v>46148</v>
      </c>
      <c r="Q577" s="86" t="s">
        <v>958</v>
      </c>
      <c r="R577" s="90"/>
      <c r="S577" s="87"/>
      <c r="T577" s="87"/>
      <c r="U577" s="87"/>
      <c r="V577" s="93"/>
      <c r="W577" s="91"/>
      <c r="X577" s="87"/>
      <c r="Y577" s="92"/>
      <c r="Z577" s="90"/>
      <c r="AA577" s="93"/>
      <c r="AB577" s="87"/>
      <c r="AC577" s="91"/>
      <c r="AD577" s="90"/>
      <c r="AE577" s="86"/>
      <c r="AF577" s="82"/>
      <c r="AG577" s="24"/>
      <c r="AH577" s="93"/>
      <c r="AI577" s="87"/>
      <c r="AJ577" s="86"/>
      <c r="AK577" s="81"/>
      <c r="AL577" s="24"/>
      <c r="AM577" s="24"/>
      <c r="AN577" s="81"/>
      <c r="AO577" s="81"/>
      <c r="AP577" s="24"/>
      <c r="AQ577" s="93"/>
      <c r="AR577" s="94"/>
      <c r="AS577" s="82"/>
      <c r="AT577" s="82"/>
      <c r="AU577" s="24"/>
      <c r="AV577" s="93"/>
      <c r="AW577" s="94"/>
      <c r="AX577" s="95"/>
      <c r="AY577" s="95"/>
      <c r="AZ577" s="95"/>
      <c r="BA577" s="24"/>
      <c r="BB577" s="9" t="s">
        <v>185</v>
      </c>
      <c r="BC577" s="96" t="s">
        <v>1128</v>
      </c>
    </row>
    <row r="578" spans="1:55" ht="15" customHeight="1">
      <c r="A578" s="86">
        <f t="shared" si="26"/>
        <v>576</v>
      </c>
      <c r="B578" s="75" t="s">
        <v>1213</v>
      </c>
      <c r="C578" s="9"/>
      <c r="D578" s="76" t="s">
        <v>839</v>
      </c>
      <c r="E578" s="88" t="str">
        <f>_xlfn.IFNA(VLOOKUP($D578,'Route-Details'!$B$2:$X$1048576,'Node Details'!E$1,0),"")</f>
        <v>Airtel</v>
      </c>
      <c r="F578" s="88" t="str">
        <f>_xlfn.IFNA(VLOOKUP($D578,'Route-Details'!$B$2:$X$1048576,'Node Details'!F$1,0),"")</f>
        <v>Mani Majra</v>
      </c>
      <c r="G578" s="88" t="str">
        <f>_xlfn.IFNA(VLOOKUP($D578,'Route-Details'!$B$2:$X$1048576,'Node Details'!G$1,0),"")</f>
        <v>Chandigarh</v>
      </c>
      <c r="H578" s="88" t="str">
        <f>_xlfn.IFNA(VLOOKUP($D579,'Route-Details'!$B$2:$X$1048576,'Node Details'!H$1,0),"")</f>
        <v>Punjab</v>
      </c>
      <c r="I578" s="88" t="str">
        <f>_xlfn.IFNA(VLOOKUP($D578,'Route-Details'!$B$2:$X$1048576,'Node Details'!I$1,0),"")</f>
        <v>CM4</v>
      </c>
      <c r="J578" s="88" t="str">
        <f>_xlfn.IFNA(VLOOKUP($D578,'Route-Details'!$B$2:$X$1048576,'Node Details'!J$1,0),"")</f>
        <v>CM4</v>
      </c>
      <c r="K578" s="76">
        <v>46142</v>
      </c>
      <c r="L578" s="76">
        <v>46148</v>
      </c>
      <c r="M578" s="89">
        <v>46149</v>
      </c>
      <c r="N578" s="76">
        <v>46148</v>
      </c>
      <c r="Q578" s="86" t="s">
        <v>958</v>
      </c>
      <c r="R578" s="90"/>
      <c r="S578" s="87"/>
      <c r="T578" s="87"/>
      <c r="U578" s="87"/>
      <c r="V578" s="93"/>
      <c r="W578" s="91"/>
      <c r="X578" s="87"/>
      <c r="Y578" s="92"/>
      <c r="Z578" s="90"/>
      <c r="AA578" s="93"/>
      <c r="AB578" s="87"/>
      <c r="AC578" s="91"/>
      <c r="AD578" s="90"/>
      <c r="AE578" s="86"/>
      <c r="AF578" s="82"/>
      <c r="AG578" s="24"/>
      <c r="AH578" s="93"/>
      <c r="AI578" s="87"/>
      <c r="AJ578" s="86"/>
      <c r="AK578" s="81"/>
      <c r="AL578" s="24"/>
      <c r="AM578" s="24"/>
      <c r="AN578" s="81"/>
      <c r="AO578" s="81"/>
      <c r="AP578" s="24"/>
      <c r="AQ578" s="93"/>
      <c r="AR578" s="94"/>
      <c r="AS578" s="82"/>
      <c r="AT578" s="82"/>
      <c r="AU578" s="24"/>
      <c r="AV578" s="93"/>
      <c r="AW578" s="94"/>
      <c r="AX578" s="95"/>
      <c r="AY578" s="95"/>
      <c r="AZ578" s="95"/>
      <c r="BA578" s="24"/>
      <c r="BB578" s="9" t="s">
        <v>185</v>
      </c>
      <c r="BC578" s="96" t="s">
        <v>1128</v>
      </c>
    </row>
    <row r="579" spans="1:55" ht="15" customHeight="1">
      <c r="A579" s="86">
        <f t="shared" si="26"/>
        <v>577</v>
      </c>
      <c r="B579" s="75" t="s">
        <v>840</v>
      </c>
      <c r="C579" s="9"/>
      <c r="D579" s="76" t="s">
        <v>839</v>
      </c>
      <c r="E579" s="88" t="str">
        <f>_xlfn.IFNA(VLOOKUP($D579,'Route-Details'!$B$2:$X$1048576,'Node Details'!E$1,0),"")</f>
        <v>Airtel</v>
      </c>
      <c r="F579" s="88" t="str">
        <f>_xlfn.IFNA(VLOOKUP($D579,'Route-Details'!$B$2:$X$1048576,'Node Details'!F$1,0),"")</f>
        <v>Mani Majra</v>
      </c>
      <c r="G579" s="88" t="str">
        <f>_xlfn.IFNA(VLOOKUP($D579,'Route-Details'!$B$2:$X$1048576,'Node Details'!G$1,0),"")</f>
        <v>Chandigarh</v>
      </c>
      <c r="H579" s="88" t="str">
        <f>_xlfn.IFNA(VLOOKUP($D580,'Route-Details'!$B$2:$X$1048576,'Node Details'!H$1,0),"")</f>
        <v>Punjab</v>
      </c>
      <c r="I579" s="88" t="str">
        <f>_xlfn.IFNA(VLOOKUP($D579,'Route-Details'!$B$2:$X$1048576,'Node Details'!I$1,0),"")</f>
        <v>CM4</v>
      </c>
      <c r="J579" s="88" t="str">
        <f>_xlfn.IFNA(VLOOKUP($D579,'Route-Details'!$B$2:$X$1048576,'Node Details'!J$1,0),"")</f>
        <v>CM4</v>
      </c>
      <c r="K579" s="76">
        <v>46142</v>
      </c>
      <c r="L579" s="76">
        <v>46148</v>
      </c>
      <c r="M579" s="89">
        <v>46149</v>
      </c>
      <c r="N579" s="76">
        <v>46148</v>
      </c>
      <c r="Q579" s="86" t="s">
        <v>958</v>
      </c>
      <c r="R579" s="90"/>
      <c r="S579" s="87"/>
      <c r="T579" s="87"/>
      <c r="U579" s="87"/>
      <c r="V579" s="93"/>
      <c r="W579" s="91"/>
      <c r="X579" s="87"/>
      <c r="Y579" s="92"/>
      <c r="Z579" s="90"/>
      <c r="AA579" s="93"/>
      <c r="AB579" s="87"/>
      <c r="AC579" s="91"/>
      <c r="AD579" s="90"/>
      <c r="AE579" s="86"/>
      <c r="AF579" s="82"/>
      <c r="AG579" s="24"/>
      <c r="AH579" s="93"/>
      <c r="AI579" s="87"/>
      <c r="AJ579" s="86"/>
      <c r="AK579" s="81"/>
      <c r="AL579" s="24"/>
      <c r="AM579" s="24"/>
      <c r="AN579" s="81"/>
      <c r="AO579" s="81"/>
      <c r="AP579" s="24"/>
      <c r="AQ579" s="93"/>
      <c r="AR579" s="94"/>
      <c r="AS579" s="82"/>
      <c r="AT579" s="82"/>
      <c r="AU579" s="24"/>
      <c r="AV579" s="93"/>
      <c r="AW579" s="94"/>
      <c r="AX579" s="95"/>
      <c r="AY579" s="95"/>
      <c r="AZ579" s="95"/>
      <c r="BA579" s="24"/>
      <c r="BB579" s="9" t="s">
        <v>185</v>
      </c>
      <c r="BC579" s="96" t="s">
        <v>1128</v>
      </c>
    </row>
    <row r="580" spans="1:55" ht="15" customHeight="1">
      <c r="A580" s="86">
        <f t="shared" si="26"/>
        <v>578</v>
      </c>
      <c r="B580" s="75" t="s">
        <v>810</v>
      </c>
      <c r="C580" s="9"/>
      <c r="D580" s="76" t="s">
        <v>808</v>
      </c>
      <c r="E580" s="88" t="str">
        <f>_xlfn.IFNA(VLOOKUP($D580,'Route-Details'!$B$2:$X$1048576,'Node Details'!E$1,0),"")</f>
        <v>Airtel</v>
      </c>
      <c r="F580" s="88" t="str">
        <f>_xlfn.IFNA(VLOOKUP($D580,'Route-Details'!$B$2:$X$1048576,'Node Details'!F$1,0),"")</f>
        <v>Mani Majra</v>
      </c>
      <c r="G580" s="88" t="str">
        <f>_xlfn.IFNA(VLOOKUP($D580,'Route-Details'!$B$2:$X$1048576,'Node Details'!G$1,0),"")</f>
        <v>Chandigarh</v>
      </c>
      <c r="H580" s="88" t="str">
        <f>_xlfn.IFNA(VLOOKUP($D581,'Route-Details'!$B$2:$X$1048576,'Node Details'!H$1,0),"")</f>
        <v>Punjab</v>
      </c>
      <c r="I580" s="88" t="str">
        <f>_xlfn.IFNA(VLOOKUP($D580,'Route-Details'!$B$2:$X$1048576,'Node Details'!I$1,0),"")</f>
        <v>CM4</v>
      </c>
      <c r="J580" s="88" t="str">
        <f>_xlfn.IFNA(VLOOKUP($D580,'Route-Details'!$B$2:$X$1048576,'Node Details'!J$1,0),"")</f>
        <v>CM4</v>
      </c>
      <c r="K580" s="76">
        <v>46142</v>
      </c>
      <c r="L580" s="76">
        <v>46148</v>
      </c>
      <c r="M580" s="89">
        <v>46149</v>
      </c>
      <c r="N580" s="76">
        <v>46148</v>
      </c>
      <c r="Q580" s="86" t="s">
        <v>958</v>
      </c>
      <c r="R580" s="90"/>
      <c r="S580" s="87"/>
      <c r="T580" s="87"/>
      <c r="U580" s="87"/>
      <c r="V580" s="93"/>
      <c r="W580" s="91"/>
      <c r="X580" s="87"/>
      <c r="Y580" s="92"/>
      <c r="Z580" s="90"/>
      <c r="AA580" s="93"/>
      <c r="AB580" s="87"/>
      <c r="AC580" s="91"/>
      <c r="AD580" s="90"/>
      <c r="AE580" s="86"/>
      <c r="AF580" s="82"/>
      <c r="AG580" s="24"/>
      <c r="AH580" s="93"/>
      <c r="AI580" s="87"/>
      <c r="AJ580" s="86"/>
      <c r="AK580" s="81"/>
      <c r="AL580" s="24"/>
      <c r="AM580" s="24"/>
      <c r="AN580" s="81"/>
      <c r="AO580" s="81"/>
      <c r="AP580" s="24"/>
      <c r="AQ580" s="93"/>
      <c r="AR580" s="94"/>
      <c r="AS580" s="82"/>
      <c r="AT580" s="82"/>
      <c r="AU580" s="24"/>
      <c r="AV580" s="93"/>
      <c r="AW580" s="94"/>
      <c r="AX580" s="95"/>
      <c r="AY580" s="95"/>
      <c r="AZ580" s="95"/>
      <c r="BA580" s="24"/>
      <c r="BB580" s="9" t="s">
        <v>104</v>
      </c>
      <c r="BC580" s="96" t="s">
        <v>1128</v>
      </c>
    </row>
    <row r="581" spans="1:55" ht="15" customHeight="1">
      <c r="A581" s="86">
        <f t="shared" ref="A581:A644" si="27">A580+1</f>
        <v>579</v>
      </c>
      <c r="B581" s="75" t="s">
        <v>1214</v>
      </c>
      <c r="C581" s="9"/>
      <c r="D581" s="76" t="s">
        <v>841</v>
      </c>
      <c r="E581" s="88" t="str">
        <f>_xlfn.IFNA(VLOOKUP($D581,'Route-Details'!$B$2:$X$1048576,'Node Details'!E$1,0),"")</f>
        <v>Airtel</v>
      </c>
      <c r="F581" s="88" t="str">
        <f>_xlfn.IFNA(VLOOKUP($D581,'Route-Details'!$B$2:$X$1048576,'Node Details'!F$1,0),"")</f>
        <v>Mani Majra</v>
      </c>
      <c r="G581" s="88" t="str">
        <f>_xlfn.IFNA(VLOOKUP($D581,'Route-Details'!$B$2:$X$1048576,'Node Details'!G$1,0),"")</f>
        <v>Chandigarh</v>
      </c>
      <c r="H581" s="88" t="str">
        <f>_xlfn.IFNA(VLOOKUP($D582,'Route-Details'!$B$2:$X$1048576,'Node Details'!H$1,0),"")</f>
        <v>Punjab</v>
      </c>
      <c r="I581" s="88" t="str">
        <f>_xlfn.IFNA(VLOOKUP($D581,'Route-Details'!$B$2:$X$1048576,'Node Details'!I$1,0),"")</f>
        <v>CM4</v>
      </c>
      <c r="J581" s="88" t="str">
        <f>_xlfn.IFNA(VLOOKUP($D581,'Route-Details'!$B$2:$X$1048576,'Node Details'!J$1,0),"")</f>
        <v>CM4</v>
      </c>
      <c r="K581" s="76">
        <v>46142</v>
      </c>
      <c r="L581" s="76">
        <v>46148</v>
      </c>
      <c r="M581" s="89">
        <v>46149</v>
      </c>
      <c r="N581" s="76">
        <v>46148</v>
      </c>
      <c r="Q581" s="86" t="s">
        <v>958</v>
      </c>
      <c r="R581" s="90"/>
      <c r="S581" s="87"/>
      <c r="T581" s="87"/>
      <c r="U581" s="87"/>
      <c r="V581" s="93"/>
      <c r="W581" s="91"/>
      <c r="X581" s="87"/>
      <c r="Y581" s="92"/>
      <c r="Z581" s="90"/>
      <c r="AA581" s="93"/>
      <c r="AB581" s="87"/>
      <c r="AC581" s="91"/>
      <c r="AD581" s="90"/>
      <c r="AE581" s="86"/>
      <c r="AF581" s="82"/>
      <c r="AG581" s="24"/>
      <c r="AH581" s="93"/>
      <c r="AI581" s="87"/>
      <c r="AJ581" s="86"/>
      <c r="AK581" s="81"/>
      <c r="AL581" s="24"/>
      <c r="AM581" s="24"/>
      <c r="AN581" s="81"/>
      <c r="AO581" s="81"/>
      <c r="AP581" s="24"/>
      <c r="AQ581" s="93"/>
      <c r="AR581" s="94"/>
      <c r="AS581" s="82"/>
      <c r="AT581" s="82"/>
      <c r="AU581" s="24"/>
      <c r="AV581" s="93"/>
      <c r="AW581" s="94"/>
      <c r="AX581" s="95"/>
      <c r="AY581" s="95"/>
      <c r="AZ581" s="95"/>
      <c r="BA581" s="24"/>
      <c r="BB581" s="9" t="s">
        <v>188</v>
      </c>
      <c r="BC581" s="96" t="s">
        <v>1128</v>
      </c>
    </row>
    <row r="582" spans="1:55" ht="15" customHeight="1">
      <c r="A582" s="86">
        <f t="shared" si="27"/>
        <v>580</v>
      </c>
      <c r="B582" s="75" t="s">
        <v>842</v>
      </c>
      <c r="C582" s="9"/>
      <c r="D582" s="76" t="s">
        <v>841</v>
      </c>
      <c r="E582" s="88" t="str">
        <f>_xlfn.IFNA(VLOOKUP($D582,'Route-Details'!$B$2:$X$1048576,'Node Details'!E$1,0),"")</f>
        <v>Airtel</v>
      </c>
      <c r="F582" s="88" t="str">
        <f>_xlfn.IFNA(VLOOKUP($D582,'Route-Details'!$B$2:$X$1048576,'Node Details'!F$1,0),"")</f>
        <v>Mani Majra</v>
      </c>
      <c r="G582" s="88" t="str">
        <f>_xlfn.IFNA(VLOOKUP($D582,'Route-Details'!$B$2:$X$1048576,'Node Details'!G$1,0),"")</f>
        <v>Chandigarh</v>
      </c>
      <c r="H582" s="88" t="str">
        <f>_xlfn.IFNA(VLOOKUP($D583,'Route-Details'!$B$2:$X$1048576,'Node Details'!H$1,0),"")</f>
        <v>Punjab</v>
      </c>
      <c r="I582" s="88" t="str">
        <f>_xlfn.IFNA(VLOOKUP($D582,'Route-Details'!$B$2:$X$1048576,'Node Details'!I$1,0),"")</f>
        <v>CM4</v>
      </c>
      <c r="J582" s="88" t="str">
        <f>_xlfn.IFNA(VLOOKUP($D582,'Route-Details'!$B$2:$X$1048576,'Node Details'!J$1,0),"")</f>
        <v>CM4</v>
      </c>
      <c r="K582" s="76">
        <v>46142</v>
      </c>
      <c r="L582" s="76">
        <v>46148</v>
      </c>
      <c r="M582" s="89">
        <v>46149</v>
      </c>
      <c r="N582" s="76">
        <v>46148</v>
      </c>
      <c r="Q582" s="86" t="s">
        <v>958</v>
      </c>
      <c r="R582" s="90"/>
      <c r="S582" s="87"/>
      <c r="T582" s="87"/>
      <c r="U582" s="87"/>
      <c r="V582" s="93"/>
      <c r="W582" s="91"/>
      <c r="X582" s="87"/>
      <c r="Y582" s="92"/>
      <c r="Z582" s="90"/>
      <c r="AA582" s="93"/>
      <c r="AB582" s="87"/>
      <c r="AC582" s="91"/>
      <c r="AD582" s="90"/>
      <c r="AE582" s="86"/>
      <c r="AF582" s="82"/>
      <c r="AG582" s="24"/>
      <c r="AH582" s="93"/>
      <c r="AI582" s="87"/>
      <c r="AJ582" s="86"/>
      <c r="AK582" s="81"/>
      <c r="AL582" s="24"/>
      <c r="AM582" s="24"/>
      <c r="AN582" s="81"/>
      <c r="AO582" s="81"/>
      <c r="AP582" s="24"/>
      <c r="AQ582" s="93"/>
      <c r="AR582" s="94"/>
      <c r="AS582" s="82"/>
      <c r="AT582" s="82"/>
      <c r="AU582" s="24"/>
      <c r="AV582" s="93"/>
      <c r="AW582" s="94"/>
      <c r="AX582" s="95"/>
      <c r="AY582" s="95"/>
      <c r="AZ582" s="95"/>
      <c r="BA582" s="24"/>
      <c r="BB582" s="9" t="s">
        <v>188</v>
      </c>
      <c r="BC582" s="96" t="s">
        <v>1128</v>
      </c>
    </row>
    <row r="583" spans="1:55" ht="15" customHeight="1">
      <c r="A583" s="86">
        <f t="shared" si="27"/>
        <v>581</v>
      </c>
      <c r="B583" s="75" t="s">
        <v>1215</v>
      </c>
      <c r="C583" s="9"/>
      <c r="D583" s="76" t="s">
        <v>843</v>
      </c>
      <c r="E583" s="88" t="str">
        <f>_xlfn.IFNA(VLOOKUP($D583,'Route-Details'!$B$2:$X$1048576,'Node Details'!E$1,0),"")</f>
        <v>Airtel</v>
      </c>
      <c r="F583" s="88" t="str">
        <f>_xlfn.IFNA(VLOOKUP($D583,'Route-Details'!$B$2:$X$1048576,'Node Details'!F$1,0),"")</f>
        <v>Mani Majra</v>
      </c>
      <c r="G583" s="88" t="str">
        <f>_xlfn.IFNA(VLOOKUP($D583,'Route-Details'!$B$2:$X$1048576,'Node Details'!G$1,0),"")</f>
        <v>Chandigarh</v>
      </c>
      <c r="H583" s="88" t="str">
        <f>_xlfn.IFNA(VLOOKUP($D584,'Route-Details'!$B$2:$X$1048576,'Node Details'!H$1,0),"")</f>
        <v>Punjab</v>
      </c>
      <c r="I583" s="88" t="str">
        <f>_xlfn.IFNA(VLOOKUP($D583,'Route-Details'!$B$2:$X$1048576,'Node Details'!I$1,0),"")</f>
        <v>CM4</v>
      </c>
      <c r="J583" s="88" t="str">
        <f>_xlfn.IFNA(VLOOKUP($D583,'Route-Details'!$B$2:$X$1048576,'Node Details'!J$1,0),"")</f>
        <v>CM4</v>
      </c>
      <c r="K583" s="76">
        <v>46142</v>
      </c>
      <c r="L583" s="76">
        <v>46148</v>
      </c>
      <c r="M583" s="89">
        <v>46149</v>
      </c>
      <c r="N583" s="76">
        <v>46148</v>
      </c>
      <c r="Q583" s="86" t="s">
        <v>958</v>
      </c>
      <c r="R583" s="90"/>
      <c r="S583" s="87"/>
      <c r="T583" s="87"/>
      <c r="U583" s="87"/>
      <c r="V583" s="93"/>
      <c r="W583" s="91"/>
      <c r="X583" s="87"/>
      <c r="Y583" s="92"/>
      <c r="Z583" s="90"/>
      <c r="AA583" s="93"/>
      <c r="AB583" s="87"/>
      <c r="AC583" s="91"/>
      <c r="AD583" s="90"/>
      <c r="AE583" s="86"/>
      <c r="AF583" s="82"/>
      <c r="AG583" s="24"/>
      <c r="AH583" s="93"/>
      <c r="AI583" s="87"/>
      <c r="AJ583" s="86"/>
      <c r="AK583" s="81"/>
      <c r="AL583" s="24"/>
      <c r="AM583" s="24"/>
      <c r="AN583" s="81"/>
      <c r="AO583" s="81"/>
      <c r="AP583" s="24"/>
      <c r="AQ583" s="93"/>
      <c r="AR583" s="94"/>
      <c r="AS583" s="82"/>
      <c r="AT583" s="82"/>
      <c r="AU583" s="24"/>
      <c r="AV583" s="93"/>
      <c r="AW583" s="94"/>
      <c r="AX583" s="95"/>
      <c r="AY583" s="95"/>
      <c r="AZ583" s="95"/>
      <c r="BA583" s="24"/>
      <c r="BB583" s="9" t="s">
        <v>192</v>
      </c>
      <c r="BC583" s="96" t="s">
        <v>1128</v>
      </c>
    </row>
    <row r="584" spans="1:55" ht="15" customHeight="1">
      <c r="A584" s="86">
        <f t="shared" si="27"/>
        <v>582</v>
      </c>
      <c r="B584" s="75" t="s">
        <v>844</v>
      </c>
      <c r="C584" s="9"/>
      <c r="D584" s="76" t="s">
        <v>843</v>
      </c>
      <c r="E584" s="88" t="str">
        <f>_xlfn.IFNA(VLOOKUP($D584,'Route-Details'!$B$2:$X$1048576,'Node Details'!E$1,0),"")</f>
        <v>Airtel</v>
      </c>
      <c r="F584" s="88" t="str">
        <f>_xlfn.IFNA(VLOOKUP($D584,'Route-Details'!$B$2:$X$1048576,'Node Details'!F$1,0),"")</f>
        <v>Mani Majra</v>
      </c>
      <c r="G584" s="88" t="str">
        <f>_xlfn.IFNA(VLOOKUP($D584,'Route-Details'!$B$2:$X$1048576,'Node Details'!G$1,0),"")</f>
        <v>Chandigarh</v>
      </c>
      <c r="H584" s="88" t="str">
        <f>_xlfn.IFNA(VLOOKUP($D585,'Route-Details'!$B$2:$X$1048576,'Node Details'!H$1,0),"")</f>
        <v>Punjab</v>
      </c>
      <c r="I584" s="88" t="str">
        <f>_xlfn.IFNA(VLOOKUP($D584,'Route-Details'!$B$2:$X$1048576,'Node Details'!I$1,0),"")</f>
        <v>CM4</v>
      </c>
      <c r="J584" s="88" t="str">
        <f>_xlfn.IFNA(VLOOKUP($D584,'Route-Details'!$B$2:$X$1048576,'Node Details'!J$1,0),"")</f>
        <v>CM4</v>
      </c>
      <c r="K584" s="76">
        <v>46142</v>
      </c>
      <c r="L584" s="76">
        <v>46148</v>
      </c>
      <c r="M584" s="89">
        <v>46149</v>
      </c>
      <c r="N584" s="76">
        <v>46148</v>
      </c>
      <c r="Q584" s="86" t="s">
        <v>958</v>
      </c>
      <c r="R584" s="90"/>
      <c r="S584" s="87"/>
      <c r="T584" s="87"/>
      <c r="U584" s="87"/>
      <c r="V584" s="93"/>
      <c r="W584" s="91"/>
      <c r="X584" s="87"/>
      <c r="Y584" s="92"/>
      <c r="Z584" s="90"/>
      <c r="AA584" s="93"/>
      <c r="AB584" s="87"/>
      <c r="AC584" s="91"/>
      <c r="AD584" s="90"/>
      <c r="AE584" s="86"/>
      <c r="AF584" s="82"/>
      <c r="AG584" s="24"/>
      <c r="AH584" s="93"/>
      <c r="AI584" s="87"/>
      <c r="AJ584" s="86"/>
      <c r="AK584" s="81"/>
      <c r="AL584" s="24"/>
      <c r="AM584" s="24"/>
      <c r="AN584" s="81"/>
      <c r="AO584" s="81"/>
      <c r="AP584" s="24"/>
      <c r="AQ584" s="93"/>
      <c r="AR584" s="94"/>
      <c r="AS584" s="82"/>
      <c r="AT584" s="82"/>
      <c r="AU584" s="24"/>
      <c r="AV584" s="93"/>
      <c r="AW584" s="94"/>
      <c r="AX584" s="95"/>
      <c r="AY584" s="95"/>
      <c r="AZ584" s="95"/>
      <c r="BA584" s="24"/>
      <c r="BB584" s="9" t="s">
        <v>192</v>
      </c>
      <c r="BC584" s="96" t="s">
        <v>1128</v>
      </c>
    </row>
    <row r="585" spans="1:55" ht="15" customHeight="1">
      <c r="A585" s="86">
        <f t="shared" si="27"/>
        <v>583</v>
      </c>
      <c r="B585" s="75" t="s">
        <v>805</v>
      </c>
      <c r="C585" s="9"/>
      <c r="D585" s="76" t="s">
        <v>804</v>
      </c>
      <c r="E585" s="88" t="str">
        <f>_xlfn.IFNA(VLOOKUP($D585,'Route-Details'!$B$2:$X$1048576,'Node Details'!E$1,0),"")</f>
        <v>Airtel</v>
      </c>
      <c r="F585" s="88" t="str">
        <f>_xlfn.IFNA(VLOOKUP($D585,'Route-Details'!$B$2:$X$1048576,'Node Details'!F$1,0),"")</f>
        <v>Mani Majra</v>
      </c>
      <c r="G585" s="88" t="str">
        <f>_xlfn.IFNA(VLOOKUP($D585,'Route-Details'!$B$2:$X$1048576,'Node Details'!G$1,0),"")</f>
        <v>Chandigarh</v>
      </c>
      <c r="H585" s="88" t="str">
        <f>_xlfn.IFNA(VLOOKUP($D586,'Route-Details'!$B$2:$X$1048576,'Node Details'!H$1,0),"")</f>
        <v>Punjab</v>
      </c>
      <c r="I585" s="88" t="str">
        <f>_xlfn.IFNA(VLOOKUP($D585,'Route-Details'!$B$2:$X$1048576,'Node Details'!I$1,0),"")</f>
        <v>CM4</v>
      </c>
      <c r="J585" s="88" t="str">
        <f>_xlfn.IFNA(VLOOKUP($D585,'Route-Details'!$B$2:$X$1048576,'Node Details'!J$1,0),"")</f>
        <v>CM4</v>
      </c>
      <c r="K585" s="76">
        <v>46142</v>
      </c>
      <c r="L585" s="76">
        <v>46148</v>
      </c>
      <c r="M585" s="89">
        <v>46149</v>
      </c>
      <c r="N585" s="76">
        <v>46148</v>
      </c>
      <c r="Q585" s="86" t="s">
        <v>958</v>
      </c>
      <c r="R585" s="90"/>
      <c r="S585" s="87"/>
      <c r="T585" s="87"/>
      <c r="U585" s="87"/>
      <c r="V585" s="93"/>
      <c r="W585" s="91"/>
      <c r="X585" s="87"/>
      <c r="Y585" s="92"/>
      <c r="Z585" s="90"/>
      <c r="AA585" s="93"/>
      <c r="AB585" s="87"/>
      <c r="AC585" s="91"/>
      <c r="AD585" s="90"/>
      <c r="AE585" s="86"/>
      <c r="AF585" s="82"/>
      <c r="AG585" s="24"/>
      <c r="AH585" s="93"/>
      <c r="AI585" s="87"/>
      <c r="AJ585" s="86"/>
      <c r="AK585" s="81"/>
      <c r="AL585" s="24"/>
      <c r="AM585" s="24"/>
      <c r="AN585" s="81"/>
      <c r="AO585" s="81"/>
      <c r="AP585" s="24"/>
      <c r="AQ585" s="93"/>
      <c r="AR585" s="94"/>
      <c r="AS585" s="82"/>
      <c r="AT585" s="82"/>
      <c r="AU585" s="24"/>
      <c r="AV585" s="93"/>
      <c r="AW585" s="94"/>
      <c r="AX585" s="95"/>
      <c r="AY585" s="95"/>
      <c r="AZ585" s="95"/>
      <c r="BA585" s="24"/>
      <c r="BB585" s="9" t="s">
        <v>96</v>
      </c>
      <c r="BC585" s="96" t="s">
        <v>1128</v>
      </c>
    </row>
    <row r="586" spans="1:55" ht="15" customHeight="1">
      <c r="A586" s="86">
        <f t="shared" si="27"/>
        <v>584</v>
      </c>
      <c r="B586" s="75" t="s">
        <v>1216</v>
      </c>
      <c r="C586" s="9"/>
      <c r="D586" s="76" t="s">
        <v>845</v>
      </c>
      <c r="E586" s="88" t="str">
        <f>_xlfn.IFNA(VLOOKUP($D586,'Route-Details'!$B$2:$X$1048576,'Node Details'!E$1,0),"")</f>
        <v>Airtel</v>
      </c>
      <c r="F586" s="88" t="str">
        <f>_xlfn.IFNA(VLOOKUP($D586,'Route-Details'!$B$2:$X$1048576,'Node Details'!F$1,0),"")</f>
        <v>Mani Majra</v>
      </c>
      <c r="G586" s="88" t="str">
        <f>_xlfn.IFNA(VLOOKUP($D586,'Route-Details'!$B$2:$X$1048576,'Node Details'!G$1,0),"")</f>
        <v>Chandigarh</v>
      </c>
      <c r="H586" s="88" t="str">
        <f>_xlfn.IFNA(VLOOKUP($D587,'Route-Details'!$B$2:$X$1048576,'Node Details'!H$1,0),"")</f>
        <v>Punjab</v>
      </c>
      <c r="I586" s="88" t="str">
        <f>_xlfn.IFNA(VLOOKUP($D586,'Route-Details'!$B$2:$X$1048576,'Node Details'!I$1,0),"")</f>
        <v>CM4</v>
      </c>
      <c r="J586" s="88" t="str">
        <f>_xlfn.IFNA(VLOOKUP($D586,'Route-Details'!$B$2:$X$1048576,'Node Details'!J$1,0),"")</f>
        <v>CM4</v>
      </c>
      <c r="K586" s="76">
        <v>46142</v>
      </c>
      <c r="L586" s="76">
        <v>46148</v>
      </c>
      <c r="M586" s="89">
        <v>46149</v>
      </c>
      <c r="N586" s="76">
        <v>46148</v>
      </c>
      <c r="Q586" s="86" t="s">
        <v>958</v>
      </c>
      <c r="R586" s="90"/>
      <c r="S586" s="87"/>
      <c r="T586" s="87"/>
      <c r="U586" s="87"/>
      <c r="V586" s="93"/>
      <c r="W586" s="91"/>
      <c r="X586" s="87"/>
      <c r="Y586" s="92"/>
      <c r="Z586" s="90"/>
      <c r="AA586" s="93"/>
      <c r="AB586" s="87"/>
      <c r="AC586" s="91"/>
      <c r="AD586" s="90"/>
      <c r="AE586" s="86"/>
      <c r="AF586" s="82"/>
      <c r="AG586" s="24"/>
      <c r="AH586" s="93"/>
      <c r="AI586" s="87"/>
      <c r="AJ586" s="86"/>
      <c r="AK586" s="81"/>
      <c r="AL586" s="24"/>
      <c r="AM586" s="24"/>
      <c r="AN586" s="81"/>
      <c r="AO586" s="81"/>
      <c r="AP586" s="24"/>
      <c r="AQ586" s="93"/>
      <c r="AR586" s="94"/>
      <c r="AS586" s="82"/>
      <c r="AT586" s="82"/>
      <c r="AU586" s="24"/>
      <c r="AV586" s="93"/>
      <c r="AW586" s="94"/>
      <c r="AX586" s="95"/>
      <c r="AY586" s="95"/>
      <c r="AZ586" s="95"/>
      <c r="BA586" s="24"/>
      <c r="BB586" s="9" t="s">
        <v>195</v>
      </c>
      <c r="BC586" s="96" t="s">
        <v>1128</v>
      </c>
    </row>
    <row r="587" spans="1:55" ht="15" customHeight="1">
      <c r="A587" s="86">
        <f t="shared" si="27"/>
        <v>585</v>
      </c>
      <c r="B587" s="75" t="s">
        <v>1217</v>
      </c>
      <c r="C587" s="9"/>
      <c r="D587" s="76" t="s">
        <v>845</v>
      </c>
      <c r="E587" s="88" t="str">
        <f>_xlfn.IFNA(VLOOKUP($D587,'Route-Details'!$B$2:$X$1048576,'Node Details'!E$1,0),"")</f>
        <v>Airtel</v>
      </c>
      <c r="F587" s="88" t="str">
        <f>_xlfn.IFNA(VLOOKUP($D587,'Route-Details'!$B$2:$X$1048576,'Node Details'!F$1,0),"")</f>
        <v>Mani Majra</v>
      </c>
      <c r="G587" s="88" t="str">
        <f>_xlfn.IFNA(VLOOKUP($D587,'Route-Details'!$B$2:$X$1048576,'Node Details'!G$1,0),"")</f>
        <v>Chandigarh</v>
      </c>
      <c r="H587" s="88" t="str">
        <f>_xlfn.IFNA(VLOOKUP($D588,'Route-Details'!$B$2:$X$1048576,'Node Details'!H$1,0),"")</f>
        <v>Punjab</v>
      </c>
      <c r="I587" s="88" t="str">
        <f>_xlfn.IFNA(VLOOKUP($D587,'Route-Details'!$B$2:$X$1048576,'Node Details'!I$1,0),"")</f>
        <v>CM4</v>
      </c>
      <c r="J587" s="88" t="str">
        <f>_xlfn.IFNA(VLOOKUP($D587,'Route-Details'!$B$2:$X$1048576,'Node Details'!J$1,0),"")</f>
        <v>CM4</v>
      </c>
      <c r="K587" s="76">
        <v>46142</v>
      </c>
      <c r="L587" s="76">
        <v>46148</v>
      </c>
      <c r="M587" s="89">
        <v>46149</v>
      </c>
      <c r="N587" s="76">
        <v>46148</v>
      </c>
      <c r="Q587" s="86" t="s">
        <v>958</v>
      </c>
      <c r="R587" s="90"/>
      <c r="S587" s="87"/>
      <c r="T587" s="87"/>
      <c r="U587" s="87"/>
      <c r="V587" s="93"/>
      <c r="W587" s="91"/>
      <c r="X587" s="87"/>
      <c r="Y587" s="92"/>
      <c r="Z587" s="90"/>
      <c r="AA587" s="93"/>
      <c r="AB587" s="87"/>
      <c r="AC587" s="91"/>
      <c r="AD587" s="90"/>
      <c r="AE587" s="86"/>
      <c r="AF587" s="82"/>
      <c r="AG587" s="24"/>
      <c r="AH587" s="93"/>
      <c r="AI587" s="87"/>
      <c r="AJ587" s="86"/>
      <c r="AK587" s="81"/>
      <c r="AL587" s="24"/>
      <c r="AM587" s="24"/>
      <c r="AN587" s="81"/>
      <c r="AO587" s="81"/>
      <c r="AP587" s="24"/>
      <c r="AQ587" s="93"/>
      <c r="AR587" s="94"/>
      <c r="AS587" s="82"/>
      <c r="AT587" s="82"/>
      <c r="AU587" s="24"/>
      <c r="AV587" s="93"/>
      <c r="AW587" s="94"/>
      <c r="AX587" s="95"/>
      <c r="AY587" s="95"/>
      <c r="AZ587" s="95"/>
      <c r="BA587" s="24"/>
      <c r="BB587" s="9" t="s">
        <v>195</v>
      </c>
      <c r="BC587" s="96" t="s">
        <v>1128</v>
      </c>
    </row>
    <row r="588" spans="1:55" ht="15" customHeight="1">
      <c r="A588" s="86">
        <f t="shared" si="27"/>
        <v>586</v>
      </c>
      <c r="B588" s="75" t="s">
        <v>1218</v>
      </c>
      <c r="C588" s="9"/>
      <c r="D588" s="76" t="s">
        <v>845</v>
      </c>
      <c r="E588" s="88" t="str">
        <f>_xlfn.IFNA(VLOOKUP($D588,'Route-Details'!$B$2:$X$1048576,'Node Details'!E$1,0),"")</f>
        <v>Airtel</v>
      </c>
      <c r="F588" s="88" t="str">
        <f>_xlfn.IFNA(VLOOKUP($D588,'Route-Details'!$B$2:$X$1048576,'Node Details'!F$1,0),"")</f>
        <v>Mani Majra</v>
      </c>
      <c r="G588" s="88" t="str">
        <f>_xlfn.IFNA(VLOOKUP($D588,'Route-Details'!$B$2:$X$1048576,'Node Details'!G$1,0),"")</f>
        <v>Chandigarh</v>
      </c>
      <c r="H588" s="88" t="str">
        <f>_xlfn.IFNA(VLOOKUP($D589,'Route-Details'!$B$2:$X$1048576,'Node Details'!H$1,0),"")</f>
        <v>Punjab</v>
      </c>
      <c r="I588" s="88" t="str">
        <f>_xlfn.IFNA(VLOOKUP($D588,'Route-Details'!$B$2:$X$1048576,'Node Details'!I$1,0),"")</f>
        <v>CM4</v>
      </c>
      <c r="J588" s="88" t="str">
        <f>_xlfn.IFNA(VLOOKUP($D588,'Route-Details'!$B$2:$X$1048576,'Node Details'!J$1,0),"")</f>
        <v>CM4</v>
      </c>
      <c r="K588" s="76">
        <v>46142</v>
      </c>
      <c r="L588" s="76">
        <v>46148</v>
      </c>
      <c r="M588" s="89">
        <v>46149</v>
      </c>
      <c r="N588" s="76">
        <v>46148</v>
      </c>
      <c r="Q588" s="86" t="s">
        <v>958</v>
      </c>
      <c r="R588" s="90"/>
      <c r="S588" s="87"/>
      <c r="T588" s="87"/>
      <c r="U588" s="87"/>
      <c r="V588" s="93"/>
      <c r="W588" s="91"/>
      <c r="X588" s="87"/>
      <c r="Y588" s="92"/>
      <c r="Z588" s="90"/>
      <c r="AA588" s="93"/>
      <c r="AB588" s="87"/>
      <c r="AC588" s="91"/>
      <c r="AD588" s="90"/>
      <c r="AE588" s="86"/>
      <c r="AF588" s="82"/>
      <c r="AG588" s="24"/>
      <c r="AH588" s="93"/>
      <c r="AI588" s="87"/>
      <c r="AJ588" s="86"/>
      <c r="AK588" s="81"/>
      <c r="AL588" s="24"/>
      <c r="AM588" s="24"/>
      <c r="AN588" s="81"/>
      <c r="AO588" s="81"/>
      <c r="AP588" s="24"/>
      <c r="AQ588" s="93"/>
      <c r="AR588" s="94"/>
      <c r="AS588" s="82"/>
      <c r="AT588" s="82"/>
      <c r="AU588" s="24"/>
      <c r="AV588" s="93"/>
      <c r="AW588" s="94"/>
      <c r="AX588" s="95"/>
      <c r="AY588" s="95"/>
      <c r="AZ588" s="95"/>
      <c r="BA588" s="24"/>
      <c r="BB588" s="9" t="s">
        <v>195</v>
      </c>
      <c r="BC588" s="96" t="s">
        <v>1128</v>
      </c>
    </row>
    <row r="589" spans="1:55" ht="15" customHeight="1">
      <c r="A589" s="86">
        <f t="shared" si="27"/>
        <v>587</v>
      </c>
      <c r="B589" s="75" t="s">
        <v>846</v>
      </c>
      <c r="C589" s="9"/>
      <c r="D589" s="76" t="s">
        <v>845</v>
      </c>
      <c r="E589" s="88" t="str">
        <f>_xlfn.IFNA(VLOOKUP($D589,'Route-Details'!$B$2:$X$1048576,'Node Details'!E$1,0),"")</f>
        <v>Airtel</v>
      </c>
      <c r="F589" s="88" t="str">
        <f>_xlfn.IFNA(VLOOKUP($D589,'Route-Details'!$B$2:$X$1048576,'Node Details'!F$1,0),"")</f>
        <v>Mani Majra</v>
      </c>
      <c r="G589" s="88" t="str">
        <f>_xlfn.IFNA(VLOOKUP($D589,'Route-Details'!$B$2:$X$1048576,'Node Details'!G$1,0),"")</f>
        <v>Chandigarh</v>
      </c>
      <c r="H589" s="88" t="str">
        <f>_xlfn.IFNA(VLOOKUP($D590,'Route-Details'!$B$2:$X$1048576,'Node Details'!H$1,0),"")</f>
        <v>Punjab</v>
      </c>
      <c r="I589" s="88" t="str">
        <f>_xlfn.IFNA(VLOOKUP($D589,'Route-Details'!$B$2:$X$1048576,'Node Details'!I$1,0),"")</f>
        <v>CM4</v>
      </c>
      <c r="J589" s="88" t="str">
        <f>_xlfn.IFNA(VLOOKUP($D589,'Route-Details'!$B$2:$X$1048576,'Node Details'!J$1,0),"")</f>
        <v>CM4</v>
      </c>
      <c r="K589" s="76">
        <v>46142</v>
      </c>
      <c r="L589" s="76">
        <v>46148</v>
      </c>
      <c r="M589" s="89">
        <v>46149</v>
      </c>
      <c r="N589" s="76">
        <v>46148</v>
      </c>
      <c r="Q589" s="86" t="s">
        <v>958</v>
      </c>
      <c r="R589" s="90"/>
      <c r="S589" s="87"/>
      <c r="T589" s="87"/>
      <c r="U589" s="87"/>
      <c r="V589" s="93"/>
      <c r="W589" s="91"/>
      <c r="X589" s="87"/>
      <c r="Y589" s="92"/>
      <c r="Z589" s="90"/>
      <c r="AA589" s="93"/>
      <c r="AB589" s="87"/>
      <c r="AC589" s="91"/>
      <c r="AD589" s="90"/>
      <c r="AE589" s="86"/>
      <c r="AF589" s="82"/>
      <c r="AG589" s="24"/>
      <c r="AH589" s="93"/>
      <c r="AI589" s="87"/>
      <c r="AJ589" s="86"/>
      <c r="AK589" s="81"/>
      <c r="AL589" s="24"/>
      <c r="AM589" s="24"/>
      <c r="AN589" s="81"/>
      <c r="AO589" s="81"/>
      <c r="AP589" s="24"/>
      <c r="AQ589" s="93"/>
      <c r="AR589" s="94"/>
      <c r="AS589" s="82"/>
      <c r="AT589" s="82"/>
      <c r="AU589" s="24"/>
      <c r="AV589" s="93"/>
      <c r="AW589" s="94"/>
      <c r="AX589" s="95"/>
      <c r="AY589" s="95"/>
      <c r="AZ589" s="95"/>
      <c r="BA589" s="24"/>
      <c r="BB589" s="9" t="s">
        <v>195</v>
      </c>
      <c r="BC589" s="96" t="s">
        <v>1128</v>
      </c>
    </row>
    <row r="590" spans="1:55" ht="15" customHeight="1">
      <c r="A590" s="86">
        <f t="shared" si="27"/>
        <v>588</v>
      </c>
      <c r="B590" s="75" t="s">
        <v>1219</v>
      </c>
      <c r="C590" s="9"/>
      <c r="D590" s="76" t="s">
        <v>847</v>
      </c>
      <c r="E590" s="88" t="str">
        <f>_xlfn.IFNA(VLOOKUP($D590,'Route-Details'!$B$2:$X$1048576,'Node Details'!E$1,0),"")</f>
        <v>Airtel</v>
      </c>
      <c r="F590" s="88" t="str">
        <f>_xlfn.IFNA(VLOOKUP($D590,'Route-Details'!$B$2:$X$1048576,'Node Details'!F$1,0),"")</f>
        <v>Mani Majra</v>
      </c>
      <c r="G590" s="88" t="str">
        <f>_xlfn.IFNA(VLOOKUP($D590,'Route-Details'!$B$2:$X$1048576,'Node Details'!G$1,0),"")</f>
        <v>Chandigarh</v>
      </c>
      <c r="H590" s="88" t="str">
        <f>_xlfn.IFNA(VLOOKUP($D591,'Route-Details'!$B$2:$X$1048576,'Node Details'!H$1,0),"")</f>
        <v>Punjab</v>
      </c>
      <c r="I590" s="88" t="str">
        <f>_xlfn.IFNA(VLOOKUP($D590,'Route-Details'!$B$2:$X$1048576,'Node Details'!I$1,0),"")</f>
        <v>CM4</v>
      </c>
      <c r="J590" s="88" t="str">
        <f>_xlfn.IFNA(VLOOKUP($D590,'Route-Details'!$B$2:$X$1048576,'Node Details'!J$1,0),"")</f>
        <v>CM4</v>
      </c>
      <c r="K590" s="76">
        <v>46142</v>
      </c>
      <c r="L590" s="76">
        <v>46148</v>
      </c>
      <c r="M590" s="89">
        <v>46149</v>
      </c>
      <c r="N590" s="76">
        <v>46148</v>
      </c>
      <c r="Q590" s="86" t="s">
        <v>958</v>
      </c>
      <c r="R590" s="90"/>
      <c r="S590" s="87"/>
      <c r="T590" s="87"/>
      <c r="U590" s="87"/>
      <c r="V590" s="93"/>
      <c r="W590" s="91"/>
      <c r="X590" s="87"/>
      <c r="Y590" s="92"/>
      <c r="Z590" s="90"/>
      <c r="AA590" s="93"/>
      <c r="AB590" s="87"/>
      <c r="AC590" s="91"/>
      <c r="AD590" s="90"/>
      <c r="AE590" s="86"/>
      <c r="AF590" s="82"/>
      <c r="AG590" s="24"/>
      <c r="AH590" s="93"/>
      <c r="AI590" s="87"/>
      <c r="AJ590" s="86"/>
      <c r="AK590" s="81"/>
      <c r="AL590" s="24"/>
      <c r="AM590" s="24"/>
      <c r="AN590" s="81"/>
      <c r="AO590" s="81"/>
      <c r="AP590" s="24"/>
      <c r="AQ590" s="93"/>
      <c r="AR590" s="94"/>
      <c r="AS590" s="82"/>
      <c r="AT590" s="82"/>
      <c r="AU590" s="24"/>
      <c r="AV590" s="93"/>
      <c r="AW590" s="94"/>
      <c r="AX590" s="95"/>
      <c r="AY590" s="95"/>
      <c r="AZ590" s="95"/>
      <c r="BA590" s="24"/>
      <c r="BB590" s="9" t="s">
        <v>199</v>
      </c>
      <c r="BC590" s="96" t="s">
        <v>1128</v>
      </c>
    </row>
    <row r="591" spans="1:55" ht="15" customHeight="1">
      <c r="A591" s="86">
        <f t="shared" si="27"/>
        <v>589</v>
      </c>
      <c r="B591" s="75" t="s">
        <v>848</v>
      </c>
      <c r="C591" s="9"/>
      <c r="D591" s="76" t="s">
        <v>847</v>
      </c>
      <c r="E591" s="88" t="str">
        <f>_xlfn.IFNA(VLOOKUP($D591,'Route-Details'!$B$2:$X$1048576,'Node Details'!E$1,0),"")</f>
        <v>Airtel</v>
      </c>
      <c r="F591" s="88" t="str">
        <f>_xlfn.IFNA(VLOOKUP($D591,'Route-Details'!$B$2:$X$1048576,'Node Details'!F$1,0),"")</f>
        <v>Mani Majra</v>
      </c>
      <c r="G591" s="88" t="str">
        <f>_xlfn.IFNA(VLOOKUP($D591,'Route-Details'!$B$2:$X$1048576,'Node Details'!G$1,0),"")</f>
        <v>Chandigarh</v>
      </c>
      <c r="H591" s="88" t="str">
        <f>_xlfn.IFNA(VLOOKUP($D592,'Route-Details'!$B$2:$X$1048576,'Node Details'!H$1,0),"")</f>
        <v>Punjab</v>
      </c>
      <c r="I591" s="88" t="str">
        <f>_xlfn.IFNA(VLOOKUP($D591,'Route-Details'!$B$2:$X$1048576,'Node Details'!I$1,0),"")</f>
        <v>CM4</v>
      </c>
      <c r="J591" s="88" t="str">
        <f>_xlfn.IFNA(VLOOKUP($D591,'Route-Details'!$B$2:$X$1048576,'Node Details'!J$1,0),"")</f>
        <v>CM4</v>
      </c>
      <c r="K591" s="76">
        <v>46142</v>
      </c>
      <c r="L591" s="76">
        <v>46148</v>
      </c>
      <c r="M591" s="89">
        <v>46149</v>
      </c>
      <c r="N591" s="76">
        <v>46148</v>
      </c>
      <c r="Q591" s="86" t="s">
        <v>958</v>
      </c>
      <c r="R591" s="90"/>
      <c r="S591" s="87"/>
      <c r="T591" s="87"/>
      <c r="U591" s="87"/>
      <c r="V591" s="93"/>
      <c r="W591" s="91"/>
      <c r="X591" s="87"/>
      <c r="Y591" s="92"/>
      <c r="Z591" s="90"/>
      <c r="AA591" s="93"/>
      <c r="AB591" s="87"/>
      <c r="AC591" s="91"/>
      <c r="AD591" s="90"/>
      <c r="AE591" s="86"/>
      <c r="AF591" s="82"/>
      <c r="AG591" s="24"/>
      <c r="AH591" s="93"/>
      <c r="AI591" s="87"/>
      <c r="AJ591" s="86"/>
      <c r="AK591" s="81"/>
      <c r="AL591" s="24"/>
      <c r="AM591" s="24"/>
      <c r="AN591" s="81"/>
      <c r="AO591" s="81"/>
      <c r="AP591" s="24"/>
      <c r="AQ591" s="93"/>
      <c r="AR591" s="94"/>
      <c r="AS591" s="82"/>
      <c r="AT591" s="82"/>
      <c r="AU591" s="24"/>
      <c r="AV591" s="93"/>
      <c r="AW591" s="94"/>
      <c r="AX591" s="95"/>
      <c r="AY591" s="95"/>
      <c r="AZ591" s="95"/>
      <c r="BA591" s="24"/>
      <c r="BB591" s="9" t="s">
        <v>199</v>
      </c>
      <c r="BC591" s="96" t="s">
        <v>1128</v>
      </c>
    </row>
    <row r="592" spans="1:55" ht="15" customHeight="1">
      <c r="A592" s="86">
        <f t="shared" si="27"/>
        <v>590</v>
      </c>
      <c r="B592" s="75" t="s">
        <v>850</v>
      </c>
      <c r="C592" s="9"/>
      <c r="D592" s="76" t="s">
        <v>849</v>
      </c>
      <c r="E592" s="88" t="str">
        <f>_xlfn.IFNA(VLOOKUP($D592,'Route-Details'!$B$2:$X$1048576,'Node Details'!E$1,0),"")</f>
        <v>Airtel</v>
      </c>
      <c r="F592" s="88" t="str">
        <f>_xlfn.IFNA(VLOOKUP($D592,'Route-Details'!$B$2:$X$1048576,'Node Details'!F$1,0),"")</f>
        <v>Mani Majra</v>
      </c>
      <c r="G592" s="88" t="str">
        <f>_xlfn.IFNA(VLOOKUP($D592,'Route-Details'!$B$2:$X$1048576,'Node Details'!G$1,0),"")</f>
        <v>Chandigarh</v>
      </c>
      <c r="H592" s="88" t="str">
        <f>_xlfn.IFNA(VLOOKUP($D593,'Route-Details'!$B$2:$X$1048576,'Node Details'!H$1,0),"")</f>
        <v>Punjab</v>
      </c>
      <c r="I592" s="88" t="str">
        <f>_xlfn.IFNA(VLOOKUP($D592,'Route-Details'!$B$2:$X$1048576,'Node Details'!I$1,0),"")</f>
        <v>CM4</v>
      </c>
      <c r="J592" s="88" t="str">
        <f>_xlfn.IFNA(VLOOKUP($D592,'Route-Details'!$B$2:$X$1048576,'Node Details'!J$1,0),"")</f>
        <v>CM4</v>
      </c>
      <c r="K592" s="76">
        <v>46142</v>
      </c>
      <c r="L592" s="76">
        <v>46148</v>
      </c>
      <c r="M592" s="89">
        <v>46149</v>
      </c>
      <c r="N592" s="76">
        <v>46148</v>
      </c>
      <c r="Q592" s="86" t="s">
        <v>958</v>
      </c>
      <c r="R592" s="90"/>
      <c r="S592" s="87"/>
      <c r="T592" s="87"/>
      <c r="U592" s="87"/>
      <c r="V592" s="93"/>
      <c r="W592" s="91"/>
      <c r="X592" s="87"/>
      <c r="Y592" s="92"/>
      <c r="Z592" s="90"/>
      <c r="AA592" s="93"/>
      <c r="AB592" s="87"/>
      <c r="AC592" s="91"/>
      <c r="AD592" s="90"/>
      <c r="AE592" s="86"/>
      <c r="AF592" s="82"/>
      <c r="AG592" s="24"/>
      <c r="AH592" s="93"/>
      <c r="AI592" s="87"/>
      <c r="AJ592" s="86"/>
      <c r="AK592" s="81"/>
      <c r="AL592" s="24"/>
      <c r="AM592" s="24"/>
      <c r="AN592" s="81"/>
      <c r="AO592" s="81"/>
      <c r="AP592" s="24"/>
      <c r="AQ592" s="93"/>
      <c r="AR592" s="94"/>
      <c r="AS592" s="82"/>
      <c r="AT592" s="82"/>
      <c r="AU592" s="24"/>
      <c r="AV592" s="93"/>
      <c r="AW592" s="94"/>
      <c r="AX592" s="95"/>
      <c r="AY592" s="95"/>
      <c r="AZ592" s="95"/>
      <c r="BA592" s="24"/>
      <c r="BB592" s="9" t="s">
        <v>202</v>
      </c>
      <c r="BC592" s="96" t="s">
        <v>1128</v>
      </c>
    </row>
    <row r="593" spans="1:55" ht="15" customHeight="1">
      <c r="A593" s="86">
        <f t="shared" si="27"/>
        <v>591</v>
      </c>
      <c r="B593" s="75" t="s">
        <v>852</v>
      </c>
      <c r="C593" s="9"/>
      <c r="D593" s="76" t="s">
        <v>851</v>
      </c>
      <c r="E593" s="88" t="str">
        <f>_xlfn.IFNA(VLOOKUP($D593,'Route-Details'!$B$2:$X$1048576,'Node Details'!E$1,0),"")</f>
        <v>Airtel</v>
      </c>
      <c r="F593" s="88" t="str">
        <f>_xlfn.IFNA(VLOOKUP($D593,'Route-Details'!$B$2:$X$1048576,'Node Details'!F$1,0),"")</f>
        <v>Mani Majra</v>
      </c>
      <c r="G593" s="88" t="str">
        <f>_xlfn.IFNA(VLOOKUP($D593,'Route-Details'!$B$2:$X$1048576,'Node Details'!G$1,0),"")</f>
        <v>Chandigarh</v>
      </c>
      <c r="H593" s="88" t="str">
        <f>_xlfn.IFNA(VLOOKUP($D594,'Route-Details'!$B$2:$X$1048576,'Node Details'!H$1,0),"")</f>
        <v>Punjab</v>
      </c>
      <c r="I593" s="88" t="str">
        <f>_xlfn.IFNA(VLOOKUP($D593,'Route-Details'!$B$2:$X$1048576,'Node Details'!I$1,0),"")</f>
        <v>CM4</v>
      </c>
      <c r="J593" s="88" t="str">
        <f>_xlfn.IFNA(VLOOKUP($D593,'Route-Details'!$B$2:$X$1048576,'Node Details'!J$1,0),"")</f>
        <v>CM4</v>
      </c>
      <c r="K593" s="76">
        <v>46142</v>
      </c>
      <c r="L593" s="76">
        <v>46148</v>
      </c>
      <c r="M593" s="89">
        <v>46149</v>
      </c>
      <c r="N593" s="76">
        <v>46148</v>
      </c>
      <c r="Q593" s="86" t="s">
        <v>958</v>
      </c>
      <c r="R593" s="90"/>
      <c r="S593" s="87"/>
      <c r="T593" s="87"/>
      <c r="U593" s="87"/>
      <c r="V593" s="93"/>
      <c r="W593" s="91"/>
      <c r="X593" s="87"/>
      <c r="Y593" s="92"/>
      <c r="Z593" s="90"/>
      <c r="AA593" s="93"/>
      <c r="AB593" s="87"/>
      <c r="AC593" s="91"/>
      <c r="AD593" s="90"/>
      <c r="AE593" s="86"/>
      <c r="AF593" s="82"/>
      <c r="AG593" s="24"/>
      <c r="AH593" s="93"/>
      <c r="AI593" s="87"/>
      <c r="AJ593" s="86"/>
      <c r="AK593" s="81"/>
      <c r="AL593" s="24"/>
      <c r="AM593" s="24"/>
      <c r="AN593" s="81"/>
      <c r="AO593" s="81"/>
      <c r="AP593" s="24"/>
      <c r="AQ593" s="93"/>
      <c r="AR593" s="94"/>
      <c r="AS593" s="82"/>
      <c r="AT593" s="82"/>
      <c r="AU593" s="24"/>
      <c r="AV593" s="93"/>
      <c r="AW593" s="94"/>
      <c r="AX593" s="95"/>
      <c r="AY593" s="95"/>
      <c r="AZ593" s="95"/>
      <c r="BA593" s="24"/>
      <c r="BB593" s="9" t="s">
        <v>206</v>
      </c>
      <c r="BC593" s="96" t="s">
        <v>1128</v>
      </c>
    </row>
    <row r="594" spans="1:55" ht="15" customHeight="1">
      <c r="A594" s="86">
        <f t="shared" si="27"/>
        <v>592</v>
      </c>
      <c r="B594" s="75" t="s">
        <v>854</v>
      </c>
      <c r="C594" s="9"/>
      <c r="D594" s="76" t="s">
        <v>800</v>
      </c>
      <c r="E594" s="88" t="str">
        <f>_xlfn.IFNA(VLOOKUP($D594,'Route-Details'!$B$2:$X$1048576,'Node Details'!E$1,0),"")</f>
        <v>Airtel</v>
      </c>
      <c r="F594" s="88" t="str">
        <f>_xlfn.IFNA(VLOOKUP($D594,'Route-Details'!$B$2:$X$1048576,'Node Details'!F$1,0),"")</f>
        <v>Mani Majra</v>
      </c>
      <c r="G594" s="88" t="str">
        <f>_xlfn.IFNA(VLOOKUP($D594,'Route-Details'!$B$2:$X$1048576,'Node Details'!G$1,0),"")</f>
        <v>Chandigarh</v>
      </c>
      <c r="H594" s="88" t="str">
        <f>_xlfn.IFNA(VLOOKUP($D595,'Route-Details'!$B$2:$X$1048576,'Node Details'!H$1,0),"")</f>
        <v>Punjab</v>
      </c>
      <c r="I594" s="88" t="str">
        <f>_xlfn.IFNA(VLOOKUP($D594,'Route-Details'!$B$2:$X$1048576,'Node Details'!I$1,0),"")</f>
        <v>CM4</v>
      </c>
      <c r="J594" s="88" t="str">
        <f>_xlfn.IFNA(VLOOKUP($D594,'Route-Details'!$B$2:$X$1048576,'Node Details'!J$1,0),"")</f>
        <v>CM4</v>
      </c>
      <c r="K594" s="76">
        <v>46142</v>
      </c>
      <c r="L594" s="76">
        <v>46148</v>
      </c>
      <c r="M594" s="89">
        <v>46149</v>
      </c>
      <c r="N594" s="76">
        <v>46148</v>
      </c>
      <c r="Q594" s="86" t="s">
        <v>958</v>
      </c>
      <c r="R594" s="90"/>
      <c r="S594" s="87"/>
      <c r="T594" s="87"/>
      <c r="U594" s="87"/>
      <c r="V594" s="93"/>
      <c r="W594" s="91"/>
      <c r="X594" s="87"/>
      <c r="Y594" s="92"/>
      <c r="Z594" s="90"/>
      <c r="AA594" s="93"/>
      <c r="AB594" s="87"/>
      <c r="AC594" s="91"/>
      <c r="AD594" s="90"/>
      <c r="AE594" s="86"/>
      <c r="AF594" s="82"/>
      <c r="AG594" s="24"/>
      <c r="AH594" s="93"/>
      <c r="AI594" s="87"/>
      <c r="AJ594" s="86"/>
      <c r="AK594" s="81"/>
      <c r="AL594" s="24"/>
      <c r="AM594" s="24"/>
      <c r="AN594" s="81"/>
      <c r="AO594" s="81"/>
      <c r="AP594" s="24"/>
      <c r="AQ594" s="93"/>
      <c r="AR594" s="94"/>
      <c r="AS594" s="82"/>
      <c r="AT594" s="82"/>
      <c r="AU594" s="24"/>
      <c r="AV594" s="93"/>
      <c r="AW594" s="94"/>
      <c r="AX594" s="95"/>
      <c r="AY594" s="95"/>
      <c r="AZ594" s="95"/>
      <c r="BA594" s="24"/>
      <c r="BB594" s="9" t="s">
        <v>92</v>
      </c>
      <c r="BC594" s="96" t="s">
        <v>1128</v>
      </c>
    </row>
    <row r="595" spans="1:55" ht="15" customHeight="1">
      <c r="A595" s="86">
        <f t="shared" si="27"/>
        <v>593</v>
      </c>
      <c r="B595" s="75" t="s">
        <v>855</v>
      </c>
      <c r="C595" s="9"/>
      <c r="D595" s="76" t="s">
        <v>853</v>
      </c>
      <c r="E595" s="88" t="str">
        <f>_xlfn.IFNA(VLOOKUP($D595,'Route-Details'!$B$2:$X$1048576,'Node Details'!E$1,0),"")</f>
        <v>Airtel</v>
      </c>
      <c r="F595" s="88" t="str">
        <f>_xlfn.IFNA(VLOOKUP($D595,'Route-Details'!$B$2:$X$1048576,'Node Details'!F$1,0),"")</f>
        <v>Mani Majra</v>
      </c>
      <c r="G595" s="88" t="str">
        <f>_xlfn.IFNA(VLOOKUP($D595,'Route-Details'!$B$2:$X$1048576,'Node Details'!G$1,0),"")</f>
        <v>Chandigarh</v>
      </c>
      <c r="H595" s="88" t="str">
        <f>_xlfn.IFNA(VLOOKUP($D596,'Route-Details'!$B$2:$X$1048576,'Node Details'!H$1,0),"")</f>
        <v>Punjab</v>
      </c>
      <c r="I595" s="88" t="str">
        <f>_xlfn.IFNA(VLOOKUP($D595,'Route-Details'!$B$2:$X$1048576,'Node Details'!I$1,0),"")</f>
        <v>CM4</v>
      </c>
      <c r="J595" s="88" t="str">
        <f>_xlfn.IFNA(VLOOKUP($D595,'Route-Details'!$B$2:$X$1048576,'Node Details'!J$1,0),"")</f>
        <v>CM4</v>
      </c>
      <c r="K595" s="76">
        <v>46142</v>
      </c>
      <c r="L595" s="76">
        <v>46148</v>
      </c>
      <c r="M595" s="89">
        <v>46149</v>
      </c>
      <c r="N595" s="76">
        <v>46148</v>
      </c>
      <c r="Q595" s="86" t="s">
        <v>958</v>
      </c>
      <c r="R595" s="90"/>
      <c r="S595" s="87"/>
      <c r="T595" s="87"/>
      <c r="U595" s="87"/>
      <c r="V595" s="93"/>
      <c r="W595" s="91"/>
      <c r="X595" s="87"/>
      <c r="Y595" s="92"/>
      <c r="Z595" s="90"/>
      <c r="AA595" s="93"/>
      <c r="AB595" s="87"/>
      <c r="AC595" s="91"/>
      <c r="AD595" s="90"/>
      <c r="AE595" s="86"/>
      <c r="AF595" s="82"/>
      <c r="AG595" s="24"/>
      <c r="AH595" s="93"/>
      <c r="AI595" s="87"/>
      <c r="AJ595" s="86"/>
      <c r="AK595" s="81"/>
      <c r="AL595" s="24"/>
      <c r="AM595" s="24"/>
      <c r="AN595" s="81"/>
      <c r="AO595" s="81"/>
      <c r="AP595" s="24"/>
      <c r="AQ595" s="93"/>
      <c r="AR595" s="94"/>
      <c r="AS595" s="82"/>
      <c r="AT595" s="82"/>
      <c r="AU595" s="24"/>
      <c r="AV595" s="93"/>
      <c r="AW595" s="94"/>
      <c r="AX595" s="95"/>
      <c r="AY595" s="95"/>
      <c r="AZ595" s="95"/>
      <c r="BA595" s="24"/>
      <c r="BB595" s="9" t="s">
        <v>210</v>
      </c>
      <c r="BC595" s="96" t="s">
        <v>1128</v>
      </c>
    </row>
    <row r="596" spans="1:55" ht="15" customHeight="1">
      <c r="A596" s="86">
        <f t="shared" si="27"/>
        <v>594</v>
      </c>
      <c r="B596" s="75" t="s">
        <v>857</v>
      </c>
      <c r="C596" s="9"/>
      <c r="D596" s="76" t="s">
        <v>856</v>
      </c>
      <c r="E596" s="88" t="str">
        <f>_xlfn.IFNA(VLOOKUP($D596,'Route-Details'!$B$2:$X$1048576,'Node Details'!E$1,0),"")</f>
        <v>Airtel</v>
      </c>
      <c r="F596" s="88" t="str">
        <f>_xlfn.IFNA(VLOOKUP($D596,'Route-Details'!$B$2:$X$1048576,'Node Details'!F$1,0),"")</f>
        <v>Mani Majra</v>
      </c>
      <c r="G596" s="88" t="str">
        <f>_xlfn.IFNA(VLOOKUP($D596,'Route-Details'!$B$2:$X$1048576,'Node Details'!G$1,0),"")</f>
        <v>Chandigarh</v>
      </c>
      <c r="H596" s="88" t="str">
        <f>_xlfn.IFNA(VLOOKUP($D597,'Route-Details'!$B$2:$X$1048576,'Node Details'!H$1,0),"")</f>
        <v>Punjab</v>
      </c>
      <c r="I596" s="88" t="str">
        <f>_xlfn.IFNA(VLOOKUP($D596,'Route-Details'!$B$2:$X$1048576,'Node Details'!I$1,0),"")</f>
        <v>CM4</v>
      </c>
      <c r="J596" s="88" t="str">
        <f>_xlfn.IFNA(VLOOKUP($D596,'Route-Details'!$B$2:$X$1048576,'Node Details'!J$1,0),"")</f>
        <v>CM4</v>
      </c>
      <c r="K596" s="76">
        <v>46142</v>
      </c>
      <c r="L596" s="76">
        <v>46148</v>
      </c>
      <c r="M596" s="89">
        <v>46149</v>
      </c>
      <c r="N596" s="76">
        <v>46148</v>
      </c>
      <c r="Q596" s="86" t="s">
        <v>958</v>
      </c>
      <c r="R596" s="90"/>
      <c r="S596" s="87"/>
      <c r="T596" s="87"/>
      <c r="U596" s="87"/>
      <c r="V596" s="93"/>
      <c r="W596" s="91"/>
      <c r="X596" s="87"/>
      <c r="Y596" s="92"/>
      <c r="Z596" s="90"/>
      <c r="AA596" s="93"/>
      <c r="AB596" s="87"/>
      <c r="AC596" s="91"/>
      <c r="AD596" s="90"/>
      <c r="AE596" s="86"/>
      <c r="AF596" s="82"/>
      <c r="AG596" s="24"/>
      <c r="AH596" s="93"/>
      <c r="AI596" s="87"/>
      <c r="AJ596" s="86"/>
      <c r="AK596" s="81"/>
      <c r="AL596" s="24"/>
      <c r="AM596" s="24"/>
      <c r="AN596" s="81"/>
      <c r="AO596" s="81"/>
      <c r="AP596" s="24"/>
      <c r="AQ596" s="93"/>
      <c r="AR596" s="94"/>
      <c r="AS596" s="82"/>
      <c r="AT596" s="82"/>
      <c r="AU596" s="24"/>
      <c r="AV596" s="93"/>
      <c r="AW596" s="94"/>
      <c r="AX596" s="95"/>
      <c r="AY596" s="95"/>
      <c r="AZ596" s="95"/>
      <c r="BA596" s="24"/>
      <c r="BB596" s="9" t="s">
        <v>213</v>
      </c>
      <c r="BC596" s="96" t="s">
        <v>1128</v>
      </c>
    </row>
    <row r="597" spans="1:55" ht="15" customHeight="1">
      <c r="A597" s="86">
        <f t="shared" si="27"/>
        <v>595</v>
      </c>
      <c r="B597" s="75" t="s">
        <v>859</v>
      </c>
      <c r="C597" s="9"/>
      <c r="D597" s="76" t="s">
        <v>858</v>
      </c>
      <c r="E597" s="88" t="str">
        <f>_xlfn.IFNA(VLOOKUP($D597,'Route-Details'!$B$2:$X$1048576,'Node Details'!E$1,0),"")</f>
        <v>Airtel</v>
      </c>
      <c r="F597" s="88" t="str">
        <f>_xlfn.IFNA(VLOOKUP($D597,'Route-Details'!$B$2:$X$1048576,'Node Details'!F$1,0),"")</f>
        <v>Mani Majra</v>
      </c>
      <c r="G597" s="88" t="str">
        <f>_xlfn.IFNA(VLOOKUP($D597,'Route-Details'!$B$2:$X$1048576,'Node Details'!G$1,0),"")</f>
        <v>Chandigarh</v>
      </c>
      <c r="H597" s="88" t="str">
        <f>_xlfn.IFNA(VLOOKUP($D598,'Route-Details'!$B$2:$X$1048576,'Node Details'!H$1,0),"")</f>
        <v>Punjab</v>
      </c>
      <c r="I597" s="88" t="str">
        <f>_xlfn.IFNA(VLOOKUP($D597,'Route-Details'!$B$2:$X$1048576,'Node Details'!I$1,0),"")</f>
        <v>CM4</v>
      </c>
      <c r="J597" s="88" t="str">
        <f>_xlfn.IFNA(VLOOKUP($D597,'Route-Details'!$B$2:$X$1048576,'Node Details'!J$1,0),"")</f>
        <v>CM4</v>
      </c>
      <c r="K597" s="76">
        <v>46142</v>
      </c>
      <c r="L597" s="76">
        <v>46148</v>
      </c>
      <c r="M597" s="89">
        <v>46149</v>
      </c>
      <c r="N597" s="76">
        <v>46148</v>
      </c>
      <c r="Q597" s="86" t="s">
        <v>958</v>
      </c>
      <c r="R597" s="90"/>
      <c r="S597" s="87"/>
      <c r="T597" s="87"/>
      <c r="U597" s="87"/>
      <c r="V597" s="93"/>
      <c r="W597" s="91"/>
      <c r="X597" s="87"/>
      <c r="Y597" s="92"/>
      <c r="Z597" s="90"/>
      <c r="AA597" s="93"/>
      <c r="AB597" s="87"/>
      <c r="AC597" s="91"/>
      <c r="AD597" s="90"/>
      <c r="AE597" s="86"/>
      <c r="AF597" s="82"/>
      <c r="AG597" s="24"/>
      <c r="AH597" s="93"/>
      <c r="AI597" s="87"/>
      <c r="AJ597" s="86"/>
      <c r="AK597" s="81"/>
      <c r="AL597" s="24"/>
      <c r="AM597" s="24"/>
      <c r="AN597" s="81"/>
      <c r="AO597" s="81"/>
      <c r="AP597" s="24"/>
      <c r="AQ597" s="93"/>
      <c r="AR597" s="94"/>
      <c r="AS597" s="82"/>
      <c r="AT597" s="82"/>
      <c r="AU597" s="24"/>
      <c r="AV597" s="93"/>
      <c r="AW597" s="94"/>
      <c r="AX597" s="95"/>
      <c r="AY597" s="95"/>
      <c r="AZ597" s="95"/>
      <c r="BA597" s="24"/>
      <c r="BB597" s="9" t="s">
        <v>216</v>
      </c>
      <c r="BC597" s="96" t="s">
        <v>1128</v>
      </c>
    </row>
    <row r="598" spans="1:55" ht="15" customHeight="1">
      <c r="A598" s="86">
        <f t="shared" si="27"/>
        <v>596</v>
      </c>
      <c r="B598" s="75" t="s">
        <v>861</v>
      </c>
      <c r="C598" s="9"/>
      <c r="D598" s="76" t="s">
        <v>860</v>
      </c>
      <c r="E598" s="88" t="str">
        <f>_xlfn.IFNA(VLOOKUP($D598,'Route-Details'!$B$2:$X$1048576,'Node Details'!E$1,0),"")</f>
        <v>Airtel</v>
      </c>
      <c r="F598" s="88" t="str">
        <f>_xlfn.IFNA(VLOOKUP($D598,'Route-Details'!$B$2:$X$1048576,'Node Details'!F$1,0),"")</f>
        <v>Mani Majra</v>
      </c>
      <c r="G598" s="88" t="str">
        <f>_xlfn.IFNA(VLOOKUP($D598,'Route-Details'!$B$2:$X$1048576,'Node Details'!G$1,0),"")</f>
        <v>Chandigarh</v>
      </c>
      <c r="H598" s="88" t="str">
        <f>_xlfn.IFNA(VLOOKUP($D599,'Route-Details'!$B$2:$X$1048576,'Node Details'!H$1,0),"")</f>
        <v>Punjab</v>
      </c>
      <c r="I598" s="88" t="str">
        <f>_xlfn.IFNA(VLOOKUP($D598,'Route-Details'!$B$2:$X$1048576,'Node Details'!I$1,0),"")</f>
        <v>CM4</v>
      </c>
      <c r="J598" s="88" t="str">
        <f>_xlfn.IFNA(VLOOKUP($D598,'Route-Details'!$B$2:$X$1048576,'Node Details'!J$1,0),"")</f>
        <v>CM4</v>
      </c>
      <c r="K598" s="76">
        <v>46142</v>
      </c>
      <c r="L598" s="76">
        <v>46148</v>
      </c>
      <c r="M598" s="89">
        <v>46149</v>
      </c>
      <c r="N598" s="76">
        <v>46148</v>
      </c>
      <c r="Q598" s="86" t="s">
        <v>958</v>
      </c>
      <c r="R598" s="90"/>
      <c r="S598" s="87"/>
      <c r="T598" s="87"/>
      <c r="U598" s="87"/>
      <c r="V598" s="93"/>
      <c r="W598" s="91"/>
      <c r="X598" s="87"/>
      <c r="Y598" s="92"/>
      <c r="Z598" s="90"/>
      <c r="AA598" s="93"/>
      <c r="AB598" s="87"/>
      <c r="AC598" s="91"/>
      <c r="AD598" s="90"/>
      <c r="AE598" s="86"/>
      <c r="AF598" s="82"/>
      <c r="AG598" s="24"/>
      <c r="AH598" s="93"/>
      <c r="AI598" s="87"/>
      <c r="AJ598" s="86"/>
      <c r="AK598" s="81"/>
      <c r="AL598" s="24"/>
      <c r="AM598" s="24"/>
      <c r="AN598" s="81"/>
      <c r="AO598" s="81"/>
      <c r="AP598" s="24"/>
      <c r="AQ598" s="93"/>
      <c r="AR598" s="94"/>
      <c r="AS598" s="82"/>
      <c r="AT598" s="82"/>
      <c r="AU598" s="24"/>
      <c r="AV598" s="93"/>
      <c r="AW598" s="94"/>
      <c r="AX598" s="95"/>
      <c r="AY598" s="95"/>
      <c r="AZ598" s="95"/>
      <c r="BA598" s="24"/>
      <c r="BB598" s="9" t="s">
        <v>220</v>
      </c>
      <c r="BC598" s="96" t="s">
        <v>1128</v>
      </c>
    </row>
    <row r="599" spans="1:55" ht="15" customHeight="1">
      <c r="A599" s="86">
        <f t="shared" si="27"/>
        <v>597</v>
      </c>
      <c r="B599" s="75" t="s">
        <v>1220</v>
      </c>
      <c r="C599" s="9"/>
      <c r="D599" s="76" t="s">
        <v>862</v>
      </c>
      <c r="E599" s="88" t="str">
        <f>_xlfn.IFNA(VLOOKUP($D599,'Route-Details'!$B$2:$X$1048576,'Node Details'!E$1,0),"")</f>
        <v>Airtel</v>
      </c>
      <c r="F599" s="88" t="str">
        <f>_xlfn.IFNA(VLOOKUP($D599,'Route-Details'!$B$2:$X$1048576,'Node Details'!F$1,0),"")</f>
        <v>Mani Majra</v>
      </c>
      <c r="G599" s="88" t="str">
        <f>_xlfn.IFNA(VLOOKUP($D599,'Route-Details'!$B$2:$X$1048576,'Node Details'!G$1,0),"")</f>
        <v>Chandigarh</v>
      </c>
      <c r="H599" s="88" t="str">
        <f>_xlfn.IFNA(VLOOKUP($D600,'Route-Details'!$B$2:$X$1048576,'Node Details'!H$1,0),"")</f>
        <v>Punjab</v>
      </c>
      <c r="I599" s="88" t="str">
        <f>_xlfn.IFNA(VLOOKUP($D599,'Route-Details'!$B$2:$X$1048576,'Node Details'!I$1,0),"")</f>
        <v>CM4</v>
      </c>
      <c r="J599" s="88" t="str">
        <f>_xlfn.IFNA(VLOOKUP($D599,'Route-Details'!$B$2:$X$1048576,'Node Details'!J$1,0),"")</f>
        <v>CM4</v>
      </c>
      <c r="K599" s="76">
        <v>46142</v>
      </c>
      <c r="L599" s="76">
        <v>46148</v>
      </c>
      <c r="M599" s="89">
        <v>46149</v>
      </c>
      <c r="N599" s="76">
        <v>46148</v>
      </c>
      <c r="Q599" s="86" t="s">
        <v>958</v>
      </c>
      <c r="R599" s="90"/>
      <c r="S599" s="87"/>
      <c r="T599" s="87"/>
      <c r="U599" s="87"/>
      <c r="V599" s="93"/>
      <c r="W599" s="91"/>
      <c r="X599" s="87"/>
      <c r="Y599" s="92"/>
      <c r="Z599" s="90"/>
      <c r="AA599" s="93"/>
      <c r="AB599" s="87"/>
      <c r="AC599" s="91"/>
      <c r="AD599" s="90"/>
      <c r="AE599" s="86"/>
      <c r="AF599" s="82"/>
      <c r="AG599" s="24"/>
      <c r="AH599" s="93"/>
      <c r="AI599" s="87"/>
      <c r="AJ599" s="86"/>
      <c r="AK599" s="81"/>
      <c r="AL599" s="24"/>
      <c r="AM599" s="24"/>
      <c r="AN599" s="81"/>
      <c r="AO599" s="81"/>
      <c r="AP599" s="24"/>
      <c r="AQ599" s="93"/>
      <c r="AR599" s="94"/>
      <c r="AS599" s="82"/>
      <c r="AT599" s="82"/>
      <c r="AU599" s="24"/>
      <c r="AV599" s="93"/>
      <c r="AW599" s="94"/>
      <c r="AX599" s="95"/>
      <c r="AY599" s="95"/>
      <c r="AZ599" s="95"/>
      <c r="BA599" s="24"/>
      <c r="BB599" s="9" t="s">
        <v>223</v>
      </c>
      <c r="BC599" s="96" t="s">
        <v>1128</v>
      </c>
    </row>
    <row r="600" spans="1:55" ht="15" customHeight="1">
      <c r="A600" s="86">
        <f t="shared" si="27"/>
        <v>598</v>
      </c>
      <c r="B600" s="75" t="s">
        <v>863</v>
      </c>
      <c r="C600" s="9"/>
      <c r="D600" s="76" t="s">
        <v>862</v>
      </c>
      <c r="E600" s="88" t="str">
        <f>_xlfn.IFNA(VLOOKUP($D600,'Route-Details'!$B$2:$X$1048576,'Node Details'!E$1,0),"")</f>
        <v>Airtel</v>
      </c>
      <c r="F600" s="88" t="str">
        <f>_xlfn.IFNA(VLOOKUP($D600,'Route-Details'!$B$2:$X$1048576,'Node Details'!F$1,0),"")</f>
        <v>Mani Majra</v>
      </c>
      <c r="G600" s="88" t="str">
        <f>_xlfn.IFNA(VLOOKUP($D600,'Route-Details'!$B$2:$X$1048576,'Node Details'!G$1,0),"")</f>
        <v>Chandigarh</v>
      </c>
      <c r="H600" s="88" t="str">
        <f>_xlfn.IFNA(VLOOKUP($D601,'Route-Details'!$B$2:$X$1048576,'Node Details'!H$1,0),"")</f>
        <v>Punjab</v>
      </c>
      <c r="I600" s="88" t="str">
        <f>_xlfn.IFNA(VLOOKUP($D600,'Route-Details'!$B$2:$X$1048576,'Node Details'!I$1,0),"")</f>
        <v>CM4</v>
      </c>
      <c r="J600" s="88" t="str">
        <f>_xlfn.IFNA(VLOOKUP($D600,'Route-Details'!$B$2:$X$1048576,'Node Details'!J$1,0),"")</f>
        <v>CM4</v>
      </c>
      <c r="K600" s="76">
        <v>46142</v>
      </c>
      <c r="L600" s="76">
        <v>46148</v>
      </c>
      <c r="M600" s="89">
        <v>46149</v>
      </c>
      <c r="N600" s="76">
        <v>46148</v>
      </c>
      <c r="Q600" s="86" t="s">
        <v>958</v>
      </c>
      <c r="R600" s="90"/>
      <c r="S600" s="87"/>
      <c r="T600" s="87"/>
      <c r="U600" s="87"/>
      <c r="V600" s="93"/>
      <c r="W600" s="91"/>
      <c r="X600" s="87"/>
      <c r="Y600" s="92"/>
      <c r="Z600" s="90"/>
      <c r="AA600" s="93"/>
      <c r="AB600" s="87"/>
      <c r="AC600" s="91"/>
      <c r="AD600" s="90"/>
      <c r="AE600" s="86"/>
      <c r="AF600" s="82"/>
      <c r="AG600" s="24"/>
      <c r="AH600" s="93"/>
      <c r="AI600" s="87"/>
      <c r="AJ600" s="86"/>
      <c r="AK600" s="81"/>
      <c r="AL600" s="24"/>
      <c r="AM600" s="24"/>
      <c r="AN600" s="81"/>
      <c r="AO600" s="81"/>
      <c r="AP600" s="24"/>
      <c r="AQ600" s="93"/>
      <c r="AR600" s="94"/>
      <c r="AS600" s="82"/>
      <c r="AT600" s="82"/>
      <c r="AU600" s="24"/>
      <c r="AV600" s="93"/>
      <c r="AW600" s="94"/>
      <c r="AX600" s="95"/>
      <c r="AY600" s="95"/>
      <c r="AZ600" s="95"/>
      <c r="BA600" s="24"/>
      <c r="BB600" s="9" t="s">
        <v>223</v>
      </c>
      <c r="BC600" s="96" t="s">
        <v>1128</v>
      </c>
    </row>
    <row r="601" spans="1:55" ht="15" customHeight="1">
      <c r="A601" s="86">
        <f t="shared" si="27"/>
        <v>599</v>
      </c>
      <c r="B601" s="75" t="s">
        <v>865</v>
      </c>
      <c r="C601" s="9"/>
      <c r="D601" s="76" t="s">
        <v>800</v>
      </c>
      <c r="E601" s="88" t="str">
        <f>_xlfn.IFNA(VLOOKUP($D601,'Route-Details'!$B$2:$X$1048576,'Node Details'!E$1,0),"")</f>
        <v>Airtel</v>
      </c>
      <c r="F601" s="88" t="str">
        <f>_xlfn.IFNA(VLOOKUP($D601,'Route-Details'!$B$2:$X$1048576,'Node Details'!F$1,0),"")</f>
        <v>Mani Majra</v>
      </c>
      <c r="G601" s="88" t="str">
        <f>_xlfn.IFNA(VLOOKUP($D601,'Route-Details'!$B$2:$X$1048576,'Node Details'!G$1,0),"")</f>
        <v>Chandigarh</v>
      </c>
      <c r="H601" s="88" t="str">
        <f>_xlfn.IFNA(VLOOKUP($D602,'Route-Details'!$B$2:$X$1048576,'Node Details'!H$1,0),"")</f>
        <v>Punjab</v>
      </c>
      <c r="I601" s="88" t="str">
        <f>_xlfn.IFNA(VLOOKUP($D601,'Route-Details'!$B$2:$X$1048576,'Node Details'!I$1,0),"")</f>
        <v>CM4</v>
      </c>
      <c r="J601" s="88" t="str">
        <f>_xlfn.IFNA(VLOOKUP($D601,'Route-Details'!$B$2:$X$1048576,'Node Details'!J$1,0),"")</f>
        <v>CM4</v>
      </c>
      <c r="K601" s="76">
        <v>46142</v>
      </c>
      <c r="L601" s="76">
        <v>46148</v>
      </c>
      <c r="M601" s="89">
        <v>46149</v>
      </c>
      <c r="N601" s="76">
        <v>46148</v>
      </c>
      <c r="Q601" s="86" t="s">
        <v>958</v>
      </c>
      <c r="R601" s="90"/>
      <c r="S601" s="87"/>
      <c r="T601" s="87"/>
      <c r="U601" s="87"/>
      <c r="V601" s="93"/>
      <c r="W601" s="91"/>
      <c r="X601" s="87"/>
      <c r="Y601" s="92"/>
      <c r="Z601" s="90"/>
      <c r="AA601" s="93"/>
      <c r="AB601" s="87"/>
      <c r="AC601" s="91"/>
      <c r="AD601" s="90"/>
      <c r="AE601" s="86"/>
      <c r="AF601" s="82"/>
      <c r="AG601" s="24"/>
      <c r="AH601" s="93"/>
      <c r="AI601" s="87"/>
      <c r="AJ601" s="86"/>
      <c r="AK601" s="81"/>
      <c r="AL601" s="24"/>
      <c r="AM601" s="24"/>
      <c r="AN601" s="81"/>
      <c r="AO601" s="81"/>
      <c r="AP601" s="24"/>
      <c r="AQ601" s="93"/>
      <c r="AR601" s="94"/>
      <c r="AS601" s="82"/>
      <c r="AT601" s="82"/>
      <c r="AU601" s="24"/>
      <c r="AV601" s="93"/>
      <c r="AW601" s="94"/>
      <c r="AX601" s="95"/>
      <c r="AY601" s="95"/>
      <c r="AZ601" s="95"/>
      <c r="BA601" s="24"/>
      <c r="BB601" s="9" t="s">
        <v>92</v>
      </c>
      <c r="BC601" s="96" t="s">
        <v>1128</v>
      </c>
    </row>
    <row r="602" spans="1:55" ht="15" customHeight="1">
      <c r="A602" s="86">
        <f t="shared" si="27"/>
        <v>600</v>
      </c>
      <c r="B602" s="75" t="s">
        <v>866</v>
      </c>
      <c r="C602" s="9"/>
      <c r="D602" s="76" t="s">
        <v>864</v>
      </c>
      <c r="E602" s="88" t="str">
        <f>_xlfn.IFNA(VLOOKUP($D602,'Route-Details'!$B$2:$X$1048576,'Node Details'!E$1,0),"")</f>
        <v>Airtel</v>
      </c>
      <c r="F602" s="88" t="str">
        <f>_xlfn.IFNA(VLOOKUP($D602,'Route-Details'!$B$2:$X$1048576,'Node Details'!F$1,0),"")</f>
        <v>Mani Majra</v>
      </c>
      <c r="G602" s="88" t="str">
        <f>_xlfn.IFNA(VLOOKUP($D602,'Route-Details'!$B$2:$X$1048576,'Node Details'!G$1,0),"")</f>
        <v>Chandigarh</v>
      </c>
      <c r="H602" s="88" t="str">
        <f>_xlfn.IFNA(VLOOKUP($D603,'Route-Details'!$B$2:$X$1048576,'Node Details'!H$1,0),"")</f>
        <v>Punjab</v>
      </c>
      <c r="I602" s="88" t="str">
        <f>_xlfn.IFNA(VLOOKUP($D602,'Route-Details'!$B$2:$X$1048576,'Node Details'!I$1,0),"")</f>
        <v>CM4</v>
      </c>
      <c r="J602" s="88" t="str">
        <f>_xlfn.IFNA(VLOOKUP($D602,'Route-Details'!$B$2:$X$1048576,'Node Details'!J$1,0),"")</f>
        <v>CM4</v>
      </c>
      <c r="K602" s="76">
        <v>46142</v>
      </c>
      <c r="L602" s="76">
        <v>46148</v>
      </c>
      <c r="M602" s="89">
        <v>46149</v>
      </c>
      <c r="N602" s="76">
        <v>46148</v>
      </c>
      <c r="Q602" s="86" t="s">
        <v>958</v>
      </c>
      <c r="R602" s="90"/>
      <c r="S602" s="87"/>
      <c r="T602" s="87"/>
      <c r="U602" s="87"/>
      <c r="V602" s="93"/>
      <c r="W602" s="91"/>
      <c r="X602" s="87"/>
      <c r="Y602" s="92"/>
      <c r="Z602" s="90"/>
      <c r="AA602" s="93"/>
      <c r="AB602" s="87"/>
      <c r="AC602" s="91"/>
      <c r="AD602" s="90"/>
      <c r="AE602" s="86"/>
      <c r="AF602" s="82"/>
      <c r="AG602" s="24"/>
      <c r="AH602" s="93"/>
      <c r="AI602" s="87"/>
      <c r="AJ602" s="86"/>
      <c r="AK602" s="81"/>
      <c r="AL602" s="24"/>
      <c r="AM602" s="24"/>
      <c r="AN602" s="81"/>
      <c r="AO602" s="81"/>
      <c r="AP602" s="24"/>
      <c r="AQ602" s="93"/>
      <c r="AR602" s="94"/>
      <c r="AS602" s="82"/>
      <c r="AT602" s="82"/>
      <c r="AU602" s="24"/>
      <c r="AV602" s="93"/>
      <c r="AW602" s="94"/>
      <c r="AX602" s="95"/>
      <c r="AY602" s="95"/>
      <c r="AZ602" s="95"/>
      <c r="BA602" s="24"/>
      <c r="BB602" s="9" t="s">
        <v>227</v>
      </c>
      <c r="BC602" s="96" t="s">
        <v>1128</v>
      </c>
    </row>
    <row r="603" spans="1:55" ht="15" customHeight="1">
      <c r="A603" s="86">
        <f t="shared" si="27"/>
        <v>601</v>
      </c>
      <c r="B603" s="75" t="s">
        <v>868</v>
      </c>
      <c r="C603" s="9"/>
      <c r="D603" s="76" t="s">
        <v>867</v>
      </c>
      <c r="E603" s="88" t="str">
        <f>_xlfn.IFNA(VLOOKUP($D603,'Route-Details'!$B$2:$X$1048576,'Node Details'!E$1,0),"")</f>
        <v>Airtel</v>
      </c>
      <c r="F603" s="88" t="str">
        <f>_xlfn.IFNA(VLOOKUP($D603,'Route-Details'!$B$2:$X$1048576,'Node Details'!F$1,0),"")</f>
        <v>Mani Majra</v>
      </c>
      <c r="G603" s="88" t="str">
        <f>_xlfn.IFNA(VLOOKUP($D603,'Route-Details'!$B$2:$X$1048576,'Node Details'!G$1,0),"")</f>
        <v>Chandigarh</v>
      </c>
      <c r="H603" s="88" t="str">
        <f>_xlfn.IFNA(VLOOKUP($D604,'Route-Details'!$B$2:$X$1048576,'Node Details'!H$1,0),"")</f>
        <v>Punjab</v>
      </c>
      <c r="I603" s="88" t="str">
        <f>_xlfn.IFNA(VLOOKUP($D603,'Route-Details'!$B$2:$X$1048576,'Node Details'!I$1,0),"")</f>
        <v>CM4</v>
      </c>
      <c r="J603" s="88" t="str">
        <f>_xlfn.IFNA(VLOOKUP($D603,'Route-Details'!$B$2:$X$1048576,'Node Details'!J$1,0),"")</f>
        <v>CM4</v>
      </c>
      <c r="K603" s="76">
        <v>46142</v>
      </c>
      <c r="L603" s="76">
        <v>46148</v>
      </c>
      <c r="M603" s="89">
        <v>46149</v>
      </c>
      <c r="N603" s="76">
        <v>46148</v>
      </c>
      <c r="Q603" s="86" t="s">
        <v>958</v>
      </c>
      <c r="R603" s="90"/>
      <c r="S603" s="87"/>
      <c r="T603" s="87"/>
      <c r="U603" s="87"/>
      <c r="V603" s="93"/>
      <c r="W603" s="91"/>
      <c r="X603" s="87"/>
      <c r="Y603" s="92"/>
      <c r="Z603" s="90"/>
      <c r="AA603" s="93"/>
      <c r="AB603" s="87"/>
      <c r="AC603" s="91"/>
      <c r="AD603" s="90"/>
      <c r="AE603" s="86"/>
      <c r="AF603" s="82"/>
      <c r="AG603" s="24"/>
      <c r="AH603" s="93"/>
      <c r="AI603" s="87"/>
      <c r="AJ603" s="86"/>
      <c r="AK603" s="81"/>
      <c r="AL603" s="24"/>
      <c r="AM603" s="24"/>
      <c r="AN603" s="81"/>
      <c r="AO603" s="81"/>
      <c r="AP603" s="24"/>
      <c r="AQ603" s="93"/>
      <c r="AR603" s="94"/>
      <c r="AS603" s="82"/>
      <c r="AT603" s="82"/>
      <c r="AU603" s="24"/>
      <c r="AV603" s="93"/>
      <c r="AW603" s="94"/>
      <c r="AX603" s="95"/>
      <c r="AY603" s="95"/>
      <c r="AZ603" s="95"/>
      <c r="BA603" s="24"/>
      <c r="BB603" s="9" t="s">
        <v>231</v>
      </c>
      <c r="BC603" s="96" t="s">
        <v>1128</v>
      </c>
    </row>
    <row r="604" spans="1:55" ht="15" customHeight="1">
      <c r="A604" s="86">
        <f t="shared" si="27"/>
        <v>602</v>
      </c>
      <c r="B604" s="75" t="s">
        <v>870</v>
      </c>
      <c r="C604" s="9"/>
      <c r="D604" s="76" t="s">
        <v>869</v>
      </c>
      <c r="E604" s="88" t="str">
        <f>_xlfn.IFNA(VLOOKUP($D604,'Route-Details'!$B$2:$X$1048576,'Node Details'!E$1,0),"")</f>
        <v>Airtel</v>
      </c>
      <c r="F604" s="88" t="str">
        <f>_xlfn.IFNA(VLOOKUP($D604,'Route-Details'!$B$2:$X$1048576,'Node Details'!F$1,0),"")</f>
        <v>Mani Majra</v>
      </c>
      <c r="G604" s="88" t="str">
        <f>_xlfn.IFNA(VLOOKUP($D604,'Route-Details'!$B$2:$X$1048576,'Node Details'!G$1,0),"")</f>
        <v>Chandigarh</v>
      </c>
      <c r="H604" s="88" t="str">
        <f>_xlfn.IFNA(VLOOKUP($D605,'Route-Details'!$B$2:$X$1048576,'Node Details'!H$1,0),"")</f>
        <v>Punjab</v>
      </c>
      <c r="I604" s="88" t="str">
        <f>_xlfn.IFNA(VLOOKUP($D604,'Route-Details'!$B$2:$X$1048576,'Node Details'!I$1,0),"")</f>
        <v>CM4</v>
      </c>
      <c r="J604" s="88" t="str">
        <f>_xlfn.IFNA(VLOOKUP($D604,'Route-Details'!$B$2:$X$1048576,'Node Details'!J$1,0),"")</f>
        <v>CM4</v>
      </c>
      <c r="K604" s="76">
        <v>46142</v>
      </c>
      <c r="L604" s="76">
        <v>46148</v>
      </c>
      <c r="M604" s="89">
        <v>46149</v>
      </c>
      <c r="N604" s="76">
        <v>46148</v>
      </c>
      <c r="Q604" s="86" t="s">
        <v>958</v>
      </c>
      <c r="R604" s="90"/>
      <c r="S604" s="87"/>
      <c r="T604" s="87"/>
      <c r="U604" s="87"/>
      <c r="V604" s="93"/>
      <c r="W604" s="91"/>
      <c r="X604" s="87"/>
      <c r="Y604" s="92"/>
      <c r="Z604" s="90"/>
      <c r="AA604" s="93"/>
      <c r="AB604" s="87"/>
      <c r="AC604" s="91"/>
      <c r="AD604" s="90"/>
      <c r="AE604" s="86"/>
      <c r="AF604" s="82"/>
      <c r="AG604" s="24"/>
      <c r="AH604" s="93"/>
      <c r="AI604" s="87"/>
      <c r="AJ604" s="86"/>
      <c r="AK604" s="81"/>
      <c r="AL604" s="24"/>
      <c r="AM604" s="24"/>
      <c r="AN604" s="81"/>
      <c r="AO604" s="81"/>
      <c r="AP604" s="24"/>
      <c r="AQ604" s="93"/>
      <c r="AR604" s="94"/>
      <c r="AS604" s="82"/>
      <c r="AT604" s="82"/>
      <c r="AU604" s="24"/>
      <c r="AV604" s="93"/>
      <c r="AW604" s="94"/>
      <c r="AX604" s="95"/>
      <c r="AY604" s="95"/>
      <c r="AZ604" s="95"/>
      <c r="BA604" s="24"/>
      <c r="BB604" s="9" t="s">
        <v>234</v>
      </c>
      <c r="BC604" s="96" t="s">
        <v>1128</v>
      </c>
    </row>
    <row r="605" spans="1:55" ht="15" customHeight="1">
      <c r="A605" s="86">
        <f t="shared" si="27"/>
        <v>603</v>
      </c>
      <c r="B605" s="75" t="s">
        <v>872</v>
      </c>
      <c r="C605" s="9"/>
      <c r="D605" s="76" t="s">
        <v>871</v>
      </c>
      <c r="E605" s="88" t="str">
        <f>_xlfn.IFNA(VLOOKUP($D605,'Route-Details'!$B$2:$X$1048576,'Node Details'!E$1,0),"")</f>
        <v>Airtel</v>
      </c>
      <c r="F605" s="88" t="str">
        <f>_xlfn.IFNA(VLOOKUP($D605,'Route-Details'!$B$2:$X$1048576,'Node Details'!F$1,0),"")</f>
        <v>Mani Majra</v>
      </c>
      <c r="G605" s="88" t="str">
        <f>_xlfn.IFNA(VLOOKUP($D605,'Route-Details'!$B$2:$X$1048576,'Node Details'!G$1,0),"")</f>
        <v>Chandigarh</v>
      </c>
      <c r="H605" s="88" t="str">
        <f>_xlfn.IFNA(VLOOKUP($D606,'Route-Details'!$B$2:$X$1048576,'Node Details'!H$1,0),"")</f>
        <v>Punjab</v>
      </c>
      <c r="I605" s="88" t="str">
        <f>_xlfn.IFNA(VLOOKUP($D605,'Route-Details'!$B$2:$X$1048576,'Node Details'!I$1,0),"")</f>
        <v>CM4</v>
      </c>
      <c r="J605" s="88" t="str">
        <f>_xlfn.IFNA(VLOOKUP($D605,'Route-Details'!$B$2:$X$1048576,'Node Details'!J$1,0),"")</f>
        <v>CM4</v>
      </c>
      <c r="K605" s="76">
        <v>46142</v>
      </c>
      <c r="L605" s="76">
        <v>46148</v>
      </c>
      <c r="M605" s="89">
        <v>46149</v>
      </c>
      <c r="N605" s="76">
        <v>46148</v>
      </c>
      <c r="Q605" s="86" t="s">
        <v>958</v>
      </c>
      <c r="R605" s="90"/>
      <c r="S605" s="87"/>
      <c r="T605" s="87"/>
      <c r="U605" s="87"/>
      <c r="V605" s="93"/>
      <c r="W605" s="91"/>
      <c r="X605" s="87"/>
      <c r="Y605" s="92"/>
      <c r="Z605" s="90"/>
      <c r="AA605" s="93"/>
      <c r="AB605" s="87"/>
      <c r="AC605" s="91"/>
      <c r="AD605" s="90"/>
      <c r="AE605" s="86"/>
      <c r="AF605" s="82"/>
      <c r="AG605" s="24"/>
      <c r="AH605" s="93"/>
      <c r="AI605" s="87"/>
      <c r="AJ605" s="86"/>
      <c r="AK605" s="81"/>
      <c r="AL605" s="24"/>
      <c r="AM605" s="24"/>
      <c r="AN605" s="81"/>
      <c r="AO605" s="81"/>
      <c r="AP605" s="24"/>
      <c r="AQ605" s="93"/>
      <c r="AR605" s="94"/>
      <c r="AS605" s="82"/>
      <c r="AT605" s="82"/>
      <c r="AU605" s="24"/>
      <c r="AV605" s="93"/>
      <c r="AW605" s="94"/>
      <c r="AX605" s="95"/>
      <c r="AY605" s="95"/>
      <c r="AZ605" s="95"/>
      <c r="BA605" s="24"/>
      <c r="BB605" s="9" t="s">
        <v>237</v>
      </c>
      <c r="BC605" s="96" t="s">
        <v>1128</v>
      </c>
    </row>
    <row r="606" spans="1:55" ht="15" customHeight="1">
      <c r="A606" s="86">
        <f t="shared" si="27"/>
        <v>604</v>
      </c>
      <c r="B606" s="75" t="s">
        <v>874</v>
      </c>
      <c r="C606" s="9"/>
      <c r="D606" s="76" t="s">
        <v>873</v>
      </c>
      <c r="E606" s="88" t="str">
        <f>_xlfn.IFNA(VLOOKUP($D606,'Route-Details'!$B$2:$X$1048576,'Node Details'!E$1,0),"")</f>
        <v>Airtel</v>
      </c>
      <c r="F606" s="88" t="str">
        <f>_xlfn.IFNA(VLOOKUP($D606,'Route-Details'!$B$2:$X$1048576,'Node Details'!F$1,0),"")</f>
        <v>Mani Majra</v>
      </c>
      <c r="G606" s="88" t="str">
        <f>_xlfn.IFNA(VLOOKUP($D606,'Route-Details'!$B$2:$X$1048576,'Node Details'!G$1,0),"")</f>
        <v>Chandigarh</v>
      </c>
      <c r="H606" s="88" t="str">
        <f>_xlfn.IFNA(VLOOKUP($D607,'Route-Details'!$B$2:$X$1048576,'Node Details'!H$1,0),"")</f>
        <v>Punjab</v>
      </c>
      <c r="I606" s="88" t="str">
        <f>_xlfn.IFNA(VLOOKUP($D606,'Route-Details'!$B$2:$X$1048576,'Node Details'!I$1,0),"")</f>
        <v>CM4</v>
      </c>
      <c r="J606" s="88" t="str">
        <f>_xlfn.IFNA(VLOOKUP($D606,'Route-Details'!$B$2:$X$1048576,'Node Details'!J$1,0),"")</f>
        <v>CM4</v>
      </c>
      <c r="K606" s="76">
        <v>46142</v>
      </c>
      <c r="L606" s="76">
        <v>46148</v>
      </c>
      <c r="M606" s="89">
        <v>46149</v>
      </c>
      <c r="N606" s="76">
        <v>46148</v>
      </c>
      <c r="Q606" s="86" t="s">
        <v>958</v>
      </c>
      <c r="R606" s="90"/>
      <c r="S606" s="87"/>
      <c r="T606" s="87"/>
      <c r="U606" s="87"/>
      <c r="V606" s="93"/>
      <c r="W606" s="91"/>
      <c r="X606" s="87"/>
      <c r="Y606" s="92"/>
      <c r="Z606" s="90"/>
      <c r="AA606" s="93"/>
      <c r="AB606" s="87"/>
      <c r="AC606" s="91"/>
      <c r="AD606" s="90"/>
      <c r="AE606" s="86"/>
      <c r="AF606" s="82"/>
      <c r="AG606" s="24"/>
      <c r="AH606" s="93"/>
      <c r="AI606" s="87"/>
      <c r="AJ606" s="86"/>
      <c r="AK606" s="81"/>
      <c r="AL606" s="24"/>
      <c r="AM606" s="24"/>
      <c r="AN606" s="81"/>
      <c r="AO606" s="81"/>
      <c r="AP606" s="24"/>
      <c r="AQ606" s="93"/>
      <c r="AR606" s="94"/>
      <c r="AS606" s="82"/>
      <c r="AT606" s="82"/>
      <c r="AU606" s="24"/>
      <c r="AV606" s="93"/>
      <c r="AW606" s="94"/>
      <c r="AX606" s="95"/>
      <c r="AY606" s="95"/>
      <c r="AZ606" s="95"/>
      <c r="BA606" s="24"/>
      <c r="BB606" s="9" t="s">
        <v>240</v>
      </c>
      <c r="BC606" s="96" t="s">
        <v>1128</v>
      </c>
    </row>
    <row r="607" spans="1:55" ht="15" customHeight="1">
      <c r="A607" s="86">
        <f t="shared" si="27"/>
        <v>605</v>
      </c>
      <c r="B607" s="75" t="s">
        <v>876</v>
      </c>
      <c r="C607" s="9"/>
      <c r="D607" s="76" t="s">
        <v>875</v>
      </c>
      <c r="E607" s="88" t="str">
        <f>_xlfn.IFNA(VLOOKUP($D607,'Route-Details'!$B$2:$X$1048576,'Node Details'!E$1,0),"")</f>
        <v>Airtel</v>
      </c>
      <c r="F607" s="88" t="str">
        <f>_xlfn.IFNA(VLOOKUP($D607,'Route-Details'!$B$2:$X$1048576,'Node Details'!F$1,0),"")</f>
        <v>Mani Majra</v>
      </c>
      <c r="G607" s="88" t="str">
        <f>_xlfn.IFNA(VLOOKUP($D607,'Route-Details'!$B$2:$X$1048576,'Node Details'!G$1,0),"")</f>
        <v>Chandigarh</v>
      </c>
      <c r="H607" s="88" t="str">
        <f>_xlfn.IFNA(VLOOKUP($D608,'Route-Details'!$B$2:$X$1048576,'Node Details'!H$1,0),"")</f>
        <v>Punjab</v>
      </c>
      <c r="I607" s="88" t="str">
        <f>_xlfn.IFNA(VLOOKUP($D607,'Route-Details'!$B$2:$X$1048576,'Node Details'!I$1,0),"")</f>
        <v>CM4</v>
      </c>
      <c r="J607" s="88" t="str">
        <f>_xlfn.IFNA(VLOOKUP($D607,'Route-Details'!$B$2:$X$1048576,'Node Details'!J$1,0),"")</f>
        <v>CM4</v>
      </c>
      <c r="K607" s="76">
        <v>46142</v>
      </c>
      <c r="L607" s="76">
        <v>46148</v>
      </c>
      <c r="M607" s="89">
        <v>46149</v>
      </c>
      <c r="N607" s="76">
        <v>46148</v>
      </c>
      <c r="Q607" s="86" t="s">
        <v>958</v>
      </c>
      <c r="R607" s="90"/>
      <c r="S607" s="87"/>
      <c r="T607" s="87"/>
      <c r="U607" s="87"/>
      <c r="V607" s="93"/>
      <c r="W607" s="91"/>
      <c r="X607" s="87"/>
      <c r="Y607" s="92"/>
      <c r="Z607" s="90"/>
      <c r="AA607" s="93"/>
      <c r="AB607" s="87"/>
      <c r="AC607" s="91"/>
      <c r="AD607" s="90"/>
      <c r="AE607" s="86"/>
      <c r="AF607" s="82"/>
      <c r="AG607" s="24"/>
      <c r="AH607" s="93"/>
      <c r="AI607" s="87"/>
      <c r="AJ607" s="86"/>
      <c r="AK607" s="81"/>
      <c r="AL607" s="24"/>
      <c r="AM607" s="24"/>
      <c r="AN607" s="81"/>
      <c r="AO607" s="81"/>
      <c r="AP607" s="24"/>
      <c r="AQ607" s="93"/>
      <c r="AR607" s="94"/>
      <c r="AS607" s="82"/>
      <c r="AT607" s="82"/>
      <c r="AU607" s="24"/>
      <c r="AV607" s="93"/>
      <c r="AW607" s="94"/>
      <c r="AX607" s="95"/>
      <c r="AY607" s="95"/>
      <c r="AZ607" s="95"/>
      <c r="BA607" s="24"/>
      <c r="BB607" s="9" t="s">
        <v>244</v>
      </c>
      <c r="BC607" s="96" t="s">
        <v>1128</v>
      </c>
    </row>
    <row r="608" spans="1:55" ht="15" customHeight="1">
      <c r="A608" s="86">
        <f t="shared" si="27"/>
        <v>606</v>
      </c>
      <c r="B608" s="75" t="s">
        <v>812</v>
      </c>
      <c r="C608" s="9"/>
      <c r="D608" s="76" t="s">
        <v>800</v>
      </c>
      <c r="E608" s="88" t="str">
        <f>_xlfn.IFNA(VLOOKUP($D608,'Route-Details'!$B$2:$X$1048576,'Node Details'!E$1,0),"")</f>
        <v>Airtel</v>
      </c>
      <c r="F608" s="88" t="str">
        <f>_xlfn.IFNA(VLOOKUP($D608,'Route-Details'!$B$2:$X$1048576,'Node Details'!F$1,0),"")</f>
        <v>Mani Majra</v>
      </c>
      <c r="G608" s="88" t="str">
        <f>_xlfn.IFNA(VLOOKUP($D608,'Route-Details'!$B$2:$X$1048576,'Node Details'!G$1,0),"")</f>
        <v>Chandigarh</v>
      </c>
      <c r="H608" s="88" t="str">
        <f>_xlfn.IFNA(VLOOKUP($D609,'Route-Details'!$B$2:$X$1048576,'Node Details'!H$1,0),"")</f>
        <v>Punjab</v>
      </c>
      <c r="I608" s="88" t="str">
        <f>_xlfn.IFNA(VLOOKUP($D608,'Route-Details'!$B$2:$X$1048576,'Node Details'!I$1,0),"")</f>
        <v>CM4</v>
      </c>
      <c r="J608" s="88" t="str">
        <f>_xlfn.IFNA(VLOOKUP($D608,'Route-Details'!$B$2:$X$1048576,'Node Details'!J$1,0),"")</f>
        <v>CM4</v>
      </c>
      <c r="K608" s="76">
        <v>46142</v>
      </c>
      <c r="L608" s="76">
        <v>46148</v>
      </c>
      <c r="M608" s="89">
        <v>46149</v>
      </c>
      <c r="N608" s="76">
        <v>46148</v>
      </c>
      <c r="Q608" s="86" t="s">
        <v>958</v>
      </c>
      <c r="R608" s="90"/>
      <c r="S608" s="87"/>
      <c r="T608" s="87"/>
      <c r="U608" s="87"/>
      <c r="V608" s="93"/>
      <c r="W608" s="91"/>
      <c r="X608" s="87"/>
      <c r="Y608" s="92"/>
      <c r="Z608" s="90"/>
      <c r="AA608" s="93"/>
      <c r="AB608" s="87"/>
      <c r="AC608" s="91"/>
      <c r="AD608" s="90"/>
      <c r="AE608" s="86"/>
      <c r="AF608" s="82"/>
      <c r="AG608" s="24"/>
      <c r="AH608" s="93"/>
      <c r="AI608" s="87"/>
      <c r="AJ608" s="86"/>
      <c r="AK608" s="81"/>
      <c r="AL608" s="24"/>
      <c r="AM608" s="24"/>
      <c r="AN608" s="81"/>
      <c r="AO608" s="81"/>
      <c r="AP608" s="24"/>
      <c r="AQ608" s="93"/>
      <c r="AR608" s="94"/>
      <c r="AS608" s="82"/>
      <c r="AT608" s="82"/>
      <c r="AU608" s="24"/>
      <c r="AV608" s="93"/>
      <c r="AW608" s="94"/>
      <c r="AX608" s="95"/>
      <c r="AY608" s="95"/>
      <c r="AZ608" s="95"/>
      <c r="BA608" s="24"/>
      <c r="BB608" s="9" t="s">
        <v>92</v>
      </c>
      <c r="BC608" s="96" t="s">
        <v>1128</v>
      </c>
    </row>
    <row r="609" spans="1:55" ht="15" customHeight="1">
      <c r="A609" s="86">
        <f t="shared" si="27"/>
        <v>607</v>
      </c>
      <c r="B609" s="75" t="s">
        <v>878</v>
      </c>
      <c r="C609" s="9"/>
      <c r="D609" s="76" t="s">
        <v>877</v>
      </c>
      <c r="E609" s="88" t="str">
        <f>_xlfn.IFNA(VLOOKUP($D609,'Route-Details'!$B$2:$X$1048576,'Node Details'!E$1,0),"")</f>
        <v>Airtel</v>
      </c>
      <c r="F609" s="88" t="str">
        <f>_xlfn.IFNA(VLOOKUP($D609,'Route-Details'!$B$2:$X$1048576,'Node Details'!F$1,0),"")</f>
        <v>Mani Majra</v>
      </c>
      <c r="G609" s="88" t="str">
        <f>_xlfn.IFNA(VLOOKUP($D609,'Route-Details'!$B$2:$X$1048576,'Node Details'!G$1,0),"")</f>
        <v>Chandigarh</v>
      </c>
      <c r="H609" s="88" t="str">
        <f>_xlfn.IFNA(VLOOKUP($D610,'Route-Details'!$B$2:$X$1048576,'Node Details'!H$1,0),"")</f>
        <v>Punjab</v>
      </c>
      <c r="I609" s="88" t="str">
        <f>_xlfn.IFNA(VLOOKUP($D609,'Route-Details'!$B$2:$X$1048576,'Node Details'!I$1,0),"")</f>
        <v>CM4</v>
      </c>
      <c r="J609" s="88" t="str">
        <f>_xlfn.IFNA(VLOOKUP($D609,'Route-Details'!$B$2:$X$1048576,'Node Details'!J$1,0),"")</f>
        <v>CM4</v>
      </c>
      <c r="K609" s="76">
        <v>46142</v>
      </c>
      <c r="L609" s="76">
        <v>46148</v>
      </c>
      <c r="M609" s="89">
        <v>46149</v>
      </c>
      <c r="N609" s="76">
        <v>46148</v>
      </c>
      <c r="Q609" s="86" t="s">
        <v>958</v>
      </c>
      <c r="R609" s="90"/>
      <c r="S609" s="87"/>
      <c r="T609" s="87"/>
      <c r="U609" s="87"/>
      <c r="V609" s="93"/>
      <c r="W609" s="91"/>
      <c r="X609" s="87"/>
      <c r="Y609" s="92"/>
      <c r="Z609" s="90"/>
      <c r="AA609" s="93"/>
      <c r="AB609" s="87"/>
      <c r="AC609" s="91"/>
      <c r="AD609" s="90"/>
      <c r="AE609" s="86"/>
      <c r="AF609" s="82"/>
      <c r="AG609" s="24"/>
      <c r="AH609" s="93"/>
      <c r="AI609" s="87"/>
      <c r="AJ609" s="86"/>
      <c r="AK609" s="81"/>
      <c r="AL609" s="24"/>
      <c r="AM609" s="24"/>
      <c r="AN609" s="81"/>
      <c r="AO609" s="81"/>
      <c r="AP609" s="24"/>
      <c r="AQ609" s="93"/>
      <c r="AR609" s="94"/>
      <c r="AS609" s="82"/>
      <c r="AT609" s="82"/>
      <c r="AU609" s="24"/>
      <c r="AV609" s="93"/>
      <c r="AW609" s="94"/>
      <c r="AX609" s="95"/>
      <c r="AY609" s="95"/>
      <c r="AZ609" s="95"/>
      <c r="BA609" s="24"/>
      <c r="BB609" s="9" t="s">
        <v>247</v>
      </c>
      <c r="BC609" s="96" t="s">
        <v>1128</v>
      </c>
    </row>
    <row r="610" spans="1:55" ht="15" customHeight="1">
      <c r="A610" s="86">
        <f t="shared" si="27"/>
        <v>608</v>
      </c>
      <c r="B610" s="75" t="s">
        <v>880</v>
      </c>
      <c r="C610" s="9"/>
      <c r="D610" s="76" t="s">
        <v>879</v>
      </c>
      <c r="E610" s="88" t="str">
        <f>_xlfn.IFNA(VLOOKUP($D610,'Route-Details'!$B$2:$X$1048576,'Node Details'!E$1,0),"")</f>
        <v>Airtel</v>
      </c>
      <c r="F610" s="88" t="str">
        <f>_xlfn.IFNA(VLOOKUP($D610,'Route-Details'!$B$2:$X$1048576,'Node Details'!F$1,0),"")</f>
        <v>Mani Majra</v>
      </c>
      <c r="G610" s="88" t="str">
        <f>_xlfn.IFNA(VLOOKUP($D610,'Route-Details'!$B$2:$X$1048576,'Node Details'!G$1,0),"")</f>
        <v>Chandigarh</v>
      </c>
      <c r="H610" s="88" t="str">
        <f>_xlfn.IFNA(VLOOKUP($D611,'Route-Details'!$B$2:$X$1048576,'Node Details'!H$1,0),"")</f>
        <v>Punjab</v>
      </c>
      <c r="I610" s="88" t="str">
        <f>_xlfn.IFNA(VLOOKUP($D610,'Route-Details'!$B$2:$X$1048576,'Node Details'!I$1,0),"")</f>
        <v>CM4</v>
      </c>
      <c r="J610" s="88" t="str">
        <f>_xlfn.IFNA(VLOOKUP($D610,'Route-Details'!$B$2:$X$1048576,'Node Details'!J$1,0),"")</f>
        <v>CM4</v>
      </c>
      <c r="K610" s="76">
        <v>46142</v>
      </c>
      <c r="L610" s="76">
        <v>46148</v>
      </c>
      <c r="M610" s="89">
        <v>46149</v>
      </c>
      <c r="N610" s="76">
        <v>46148</v>
      </c>
      <c r="Q610" s="86" t="s">
        <v>958</v>
      </c>
      <c r="R610" s="90"/>
      <c r="S610" s="87"/>
      <c r="T610" s="87"/>
      <c r="U610" s="87"/>
      <c r="V610" s="93"/>
      <c r="W610" s="91"/>
      <c r="X610" s="87"/>
      <c r="Y610" s="92"/>
      <c r="Z610" s="90"/>
      <c r="AA610" s="93"/>
      <c r="AB610" s="87"/>
      <c r="AC610" s="91"/>
      <c r="AD610" s="90"/>
      <c r="AE610" s="86"/>
      <c r="AF610" s="82"/>
      <c r="AG610" s="24"/>
      <c r="AH610" s="93"/>
      <c r="AI610" s="87"/>
      <c r="AJ610" s="86"/>
      <c r="AK610" s="81"/>
      <c r="AL610" s="24"/>
      <c r="AM610" s="24"/>
      <c r="AN610" s="81"/>
      <c r="AO610" s="81"/>
      <c r="AP610" s="24"/>
      <c r="AQ610" s="93"/>
      <c r="AR610" s="94"/>
      <c r="AS610" s="82"/>
      <c r="AT610" s="82"/>
      <c r="AU610" s="24"/>
      <c r="AV610" s="93"/>
      <c r="AW610" s="94"/>
      <c r="AX610" s="95"/>
      <c r="AY610" s="95"/>
      <c r="AZ610" s="95"/>
      <c r="BA610" s="24"/>
      <c r="BB610" s="9" t="s">
        <v>251</v>
      </c>
      <c r="BC610" s="96" t="s">
        <v>1128</v>
      </c>
    </row>
    <row r="611" spans="1:55" ht="15" customHeight="1">
      <c r="A611" s="86">
        <f t="shared" si="27"/>
        <v>609</v>
      </c>
      <c r="B611" s="75" t="s">
        <v>884</v>
      </c>
      <c r="C611" s="9"/>
      <c r="D611" s="76" t="s">
        <v>881</v>
      </c>
      <c r="E611" s="88" t="str">
        <f>_xlfn.IFNA(VLOOKUP($D611,'Route-Details'!$B$2:$X$1048576,'Node Details'!E$1,0),"")</f>
        <v>Airtel</v>
      </c>
      <c r="F611" s="88" t="str">
        <f>_xlfn.IFNA(VLOOKUP($D611,'Route-Details'!$B$2:$X$1048576,'Node Details'!F$1,0),"")</f>
        <v>Mani Majra</v>
      </c>
      <c r="G611" s="88" t="str">
        <f>_xlfn.IFNA(VLOOKUP($D611,'Route-Details'!$B$2:$X$1048576,'Node Details'!G$1,0),"")</f>
        <v>Chandigarh</v>
      </c>
      <c r="H611" s="88" t="str">
        <f>_xlfn.IFNA(VLOOKUP($D612,'Route-Details'!$B$2:$X$1048576,'Node Details'!H$1,0),"")</f>
        <v>Punjab</v>
      </c>
      <c r="I611" s="88" t="str">
        <f>_xlfn.IFNA(VLOOKUP($D611,'Route-Details'!$B$2:$X$1048576,'Node Details'!I$1,0),"")</f>
        <v>CM4</v>
      </c>
      <c r="J611" s="88" t="str">
        <f>_xlfn.IFNA(VLOOKUP($D611,'Route-Details'!$B$2:$X$1048576,'Node Details'!J$1,0),"")</f>
        <v>CM4</v>
      </c>
      <c r="K611" s="76">
        <v>46142</v>
      </c>
      <c r="L611" s="76">
        <v>46148</v>
      </c>
      <c r="M611" s="89">
        <v>46149</v>
      </c>
      <c r="N611" s="76">
        <v>46148</v>
      </c>
      <c r="Q611" s="86" t="s">
        <v>958</v>
      </c>
      <c r="R611" s="90"/>
      <c r="S611" s="87"/>
      <c r="T611" s="87"/>
      <c r="U611" s="87"/>
      <c r="V611" s="93"/>
      <c r="W611" s="91"/>
      <c r="X611" s="87"/>
      <c r="Y611" s="92"/>
      <c r="Z611" s="90"/>
      <c r="AA611" s="93"/>
      <c r="AB611" s="87"/>
      <c r="AC611" s="91"/>
      <c r="AD611" s="90"/>
      <c r="AE611" s="86"/>
      <c r="AF611" s="82"/>
      <c r="AG611" s="24"/>
      <c r="AH611" s="93"/>
      <c r="AI611" s="87"/>
      <c r="AJ611" s="86"/>
      <c r="AK611" s="81"/>
      <c r="AL611" s="24"/>
      <c r="AM611" s="24"/>
      <c r="AN611" s="81"/>
      <c r="AO611" s="81"/>
      <c r="AP611" s="24"/>
      <c r="AQ611" s="93"/>
      <c r="AR611" s="94"/>
      <c r="AS611" s="82"/>
      <c r="AT611" s="82"/>
      <c r="AU611" s="24"/>
      <c r="AV611" s="93"/>
      <c r="AW611" s="94"/>
      <c r="AX611" s="95"/>
      <c r="AY611" s="95"/>
      <c r="AZ611" s="95"/>
      <c r="BA611" s="24"/>
      <c r="BB611" s="9" t="s">
        <v>255</v>
      </c>
      <c r="BC611" s="96" t="s">
        <v>1128</v>
      </c>
    </row>
    <row r="612" spans="1:55" ht="15" customHeight="1">
      <c r="A612" s="86">
        <f t="shared" si="27"/>
        <v>610</v>
      </c>
      <c r="B612" s="75" t="s">
        <v>882</v>
      </c>
      <c r="C612" s="9"/>
      <c r="D612" s="76" t="s">
        <v>881</v>
      </c>
      <c r="E612" s="88" t="str">
        <f>_xlfn.IFNA(VLOOKUP($D612,'Route-Details'!$B$2:$X$1048576,'Node Details'!E$1,0),"")</f>
        <v>Airtel</v>
      </c>
      <c r="F612" s="88" t="str">
        <f>_xlfn.IFNA(VLOOKUP($D612,'Route-Details'!$B$2:$X$1048576,'Node Details'!F$1,0),"")</f>
        <v>Mani Majra</v>
      </c>
      <c r="G612" s="88" t="str">
        <f>_xlfn.IFNA(VLOOKUP($D612,'Route-Details'!$B$2:$X$1048576,'Node Details'!G$1,0),"")</f>
        <v>Chandigarh</v>
      </c>
      <c r="H612" s="88" t="str">
        <f>_xlfn.IFNA(VLOOKUP($D613,'Route-Details'!$B$2:$X$1048576,'Node Details'!H$1,0),"")</f>
        <v>Punjab</v>
      </c>
      <c r="I612" s="88" t="str">
        <f>_xlfn.IFNA(VLOOKUP($D612,'Route-Details'!$B$2:$X$1048576,'Node Details'!I$1,0),"")</f>
        <v>CM4</v>
      </c>
      <c r="J612" s="88" t="str">
        <f>_xlfn.IFNA(VLOOKUP($D612,'Route-Details'!$B$2:$X$1048576,'Node Details'!J$1,0),"")</f>
        <v>CM4</v>
      </c>
      <c r="K612" s="76">
        <v>46142</v>
      </c>
      <c r="L612" s="76">
        <v>46148</v>
      </c>
      <c r="M612" s="89">
        <v>46149</v>
      </c>
      <c r="N612" s="76">
        <v>46148</v>
      </c>
      <c r="Q612" s="86" t="s">
        <v>958</v>
      </c>
      <c r="R612" s="90"/>
      <c r="S612" s="87"/>
      <c r="T612" s="87"/>
      <c r="U612" s="87"/>
      <c r="V612" s="93"/>
      <c r="W612" s="91"/>
      <c r="X612" s="87"/>
      <c r="Y612" s="92"/>
      <c r="Z612" s="90"/>
      <c r="AA612" s="93"/>
      <c r="AB612" s="87"/>
      <c r="AC612" s="91"/>
      <c r="AD612" s="90"/>
      <c r="AE612" s="86"/>
      <c r="AF612" s="82"/>
      <c r="AG612" s="24"/>
      <c r="AH612" s="93"/>
      <c r="AI612" s="87"/>
      <c r="AJ612" s="86"/>
      <c r="AK612" s="81"/>
      <c r="AL612" s="24"/>
      <c r="AM612" s="24"/>
      <c r="AN612" s="81"/>
      <c r="AO612" s="81"/>
      <c r="AP612" s="24"/>
      <c r="AQ612" s="93"/>
      <c r="AR612" s="94"/>
      <c r="AS612" s="82"/>
      <c r="AT612" s="82"/>
      <c r="AU612" s="24"/>
      <c r="AV612" s="93"/>
      <c r="AW612" s="94"/>
      <c r="AX612" s="95"/>
      <c r="AY612" s="95"/>
      <c r="AZ612" s="95"/>
      <c r="BA612" s="24"/>
      <c r="BB612" s="9" t="s">
        <v>255</v>
      </c>
      <c r="BC612" s="96" t="s">
        <v>1128</v>
      </c>
    </row>
    <row r="613" spans="1:55" ht="15" customHeight="1">
      <c r="A613" s="86">
        <f t="shared" si="27"/>
        <v>611</v>
      </c>
      <c r="B613" s="75" t="s">
        <v>1221</v>
      </c>
      <c r="C613" s="9"/>
      <c r="D613" s="76" t="s">
        <v>883</v>
      </c>
      <c r="E613" s="88" t="str">
        <f>_xlfn.IFNA(VLOOKUP($D613,'Route-Details'!$B$2:$X$1048576,'Node Details'!E$1,0),"")</f>
        <v>Airtel</v>
      </c>
      <c r="F613" s="88" t="str">
        <f>_xlfn.IFNA(VLOOKUP($D613,'Route-Details'!$B$2:$X$1048576,'Node Details'!F$1,0),"")</f>
        <v>Mani Majra</v>
      </c>
      <c r="G613" s="88" t="str">
        <f>_xlfn.IFNA(VLOOKUP($D613,'Route-Details'!$B$2:$X$1048576,'Node Details'!G$1,0),"")</f>
        <v>Chandigarh</v>
      </c>
      <c r="H613" s="88" t="str">
        <f>_xlfn.IFNA(VLOOKUP($D614,'Route-Details'!$B$2:$X$1048576,'Node Details'!H$1,0),"")</f>
        <v>Punjab</v>
      </c>
      <c r="I613" s="88" t="str">
        <f>_xlfn.IFNA(VLOOKUP($D613,'Route-Details'!$B$2:$X$1048576,'Node Details'!I$1,0),"")</f>
        <v>CM4</v>
      </c>
      <c r="J613" s="88" t="str">
        <f>_xlfn.IFNA(VLOOKUP($D613,'Route-Details'!$B$2:$X$1048576,'Node Details'!J$1,0),"")</f>
        <v>CM4</v>
      </c>
      <c r="K613" s="76">
        <v>46142</v>
      </c>
      <c r="L613" s="76">
        <v>46148</v>
      </c>
      <c r="M613" s="89">
        <v>46149</v>
      </c>
      <c r="N613" s="76">
        <v>46148</v>
      </c>
      <c r="Q613" s="86" t="s">
        <v>958</v>
      </c>
      <c r="R613" s="90"/>
      <c r="S613" s="87"/>
      <c r="T613" s="87"/>
      <c r="U613" s="87"/>
      <c r="V613" s="93"/>
      <c r="W613" s="91"/>
      <c r="X613" s="87"/>
      <c r="Y613" s="92"/>
      <c r="Z613" s="90"/>
      <c r="AA613" s="93"/>
      <c r="AB613" s="87"/>
      <c r="AC613" s="91"/>
      <c r="AD613" s="90"/>
      <c r="AE613" s="86"/>
      <c r="AF613" s="82"/>
      <c r="AG613" s="24"/>
      <c r="AH613" s="93"/>
      <c r="AI613" s="87"/>
      <c r="AJ613" s="86"/>
      <c r="AK613" s="81"/>
      <c r="AL613" s="24"/>
      <c r="AM613" s="24"/>
      <c r="AN613" s="81"/>
      <c r="AO613" s="81"/>
      <c r="AP613" s="24"/>
      <c r="AQ613" s="93"/>
      <c r="AR613" s="94"/>
      <c r="AS613" s="82"/>
      <c r="AT613" s="82"/>
      <c r="AU613" s="24"/>
      <c r="AV613" s="93"/>
      <c r="AW613" s="94"/>
      <c r="AX613" s="95"/>
      <c r="AY613" s="95"/>
      <c r="AZ613" s="95"/>
      <c r="BA613" s="24"/>
      <c r="BB613" s="9" t="s">
        <v>258</v>
      </c>
      <c r="BC613" s="96" t="s">
        <v>1128</v>
      </c>
    </row>
    <row r="614" spans="1:55" ht="15" customHeight="1">
      <c r="A614" s="86">
        <f t="shared" si="27"/>
        <v>612</v>
      </c>
      <c r="B614" s="75" t="s">
        <v>885</v>
      </c>
      <c r="C614" s="9"/>
      <c r="D614" s="76" t="s">
        <v>883</v>
      </c>
      <c r="E614" s="88" t="str">
        <f>_xlfn.IFNA(VLOOKUP($D614,'Route-Details'!$B$2:$X$1048576,'Node Details'!E$1,0),"")</f>
        <v>Airtel</v>
      </c>
      <c r="F614" s="88" t="str">
        <f>_xlfn.IFNA(VLOOKUP($D614,'Route-Details'!$B$2:$X$1048576,'Node Details'!F$1,0),"")</f>
        <v>Mani Majra</v>
      </c>
      <c r="G614" s="88" t="str">
        <f>_xlfn.IFNA(VLOOKUP($D614,'Route-Details'!$B$2:$X$1048576,'Node Details'!G$1,0),"")</f>
        <v>Chandigarh</v>
      </c>
      <c r="H614" s="88" t="str">
        <f>_xlfn.IFNA(VLOOKUP($D615,'Route-Details'!$B$2:$X$1048576,'Node Details'!H$1,0),"")</f>
        <v>Punjab</v>
      </c>
      <c r="I614" s="88" t="str">
        <f>_xlfn.IFNA(VLOOKUP($D614,'Route-Details'!$B$2:$X$1048576,'Node Details'!I$1,0),"")</f>
        <v>CM4</v>
      </c>
      <c r="J614" s="88" t="str">
        <f>_xlfn.IFNA(VLOOKUP($D614,'Route-Details'!$B$2:$X$1048576,'Node Details'!J$1,0),"")</f>
        <v>CM4</v>
      </c>
      <c r="K614" s="76">
        <v>46142</v>
      </c>
      <c r="L614" s="76">
        <v>46148</v>
      </c>
      <c r="M614" s="89">
        <v>46149</v>
      </c>
      <c r="N614" s="76">
        <v>46148</v>
      </c>
      <c r="Q614" s="86" t="s">
        <v>958</v>
      </c>
      <c r="R614" s="90"/>
      <c r="S614" s="87"/>
      <c r="T614" s="87"/>
      <c r="U614" s="87"/>
      <c r="V614" s="93"/>
      <c r="W614" s="91"/>
      <c r="X614" s="87"/>
      <c r="Y614" s="92"/>
      <c r="Z614" s="90"/>
      <c r="AA614" s="93"/>
      <c r="AB614" s="87"/>
      <c r="AC614" s="91"/>
      <c r="AD614" s="90"/>
      <c r="AE614" s="86"/>
      <c r="AF614" s="82"/>
      <c r="AG614" s="24"/>
      <c r="AH614" s="93"/>
      <c r="AI614" s="87"/>
      <c r="AJ614" s="86"/>
      <c r="AK614" s="81"/>
      <c r="AL614" s="24"/>
      <c r="AM614" s="24"/>
      <c r="AN614" s="81"/>
      <c r="AO614" s="81"/>
      <c r="AP614" s="24"/>
      <c r="AQ614" s="93"/>
      <c r="AR614" s="94"/>
      <c r="AS614" s="82"/>
      <c r="AT614" s="82"/>
      <c r="AU614" s="24"/>
      <c r="AV614" s="93"/>
      <c r="AW614" s="94"/>
      <c r="AX614" s="95"/>
      <c r="AY614" s="95"/>
      <c r="AZ614" s="95"/>
      <c r="BA614" s="24"/>
      <c r="BB614" s="9" t="s">
        <v>258</v>
      </c>
      <c r="BC614" s="96" t="s">
        <v>1128</v>
      </c>
    </row>
    <row r="615" spans="1:55" ht="15" customHeight="1">
      <c r="A615" s="86">
        <f t="shared" si="27"/>
        <v>613</v>
      </c>
      <c r="B615" s="75" t="s">
        <v>887</v>
      </c>
      <c r="C615" s="9"/>
      <c r="D615" s="76" t="s">
        <v>886</v>
      </c>
      <c r="E615" s="88" t="str">
        <f>_xlfn.IFNA(VLOOKUP($D615,'Route-Details'!$B$2:$X$1048576,'Node Details'!E$1,0),"")</f>
        <v>Airtel</v>
      </c>
      <c r="F615" s="88" t="str">
        <f>_xlfn.IFNA(VLOOKUP($D615,'Route-Details'!$B$2:$X$1048576,'Node Details'!F$1,0),"")</f>
        <v>Mani Majra</v>
      </c>
      <c r="G615" s="88" t="str">
        <f>_xlfn.IFNA(VLOOKUP($D615,'Route-Details'!$B$2:$X$1048576,'Node Details'!G$1,0),"")</f>
        <v>Chandigarh</v>
      </c>
      <c r="H615" s="88" t="str">
        <f>_xlfn.IFNA(VLOOKUP($D616,'Route-Details'!$B$2:$X$1048576,'Node Details'!H$1,0),"")</f>
        <v>Punjab</v>
      </c>
      <c r="I615" s="88" t="str">
        <f>_xlfn.IFNA(VLOOKUP($D615,'Route-Details'!$B$2:$X$1048576,'Node Details'!I$1,0),"")</f>
        <v>CM4</v>
      </c>
      <c r="J615" s="88" t="str">
        <f>_xlfn.IFNA(VLOOKUP($D615,'Route-Details'!$B$2:$X$1048576,'Node Details'!J$1,0),"")</f>
        <v>CM4</v>
      </c>
      <c r="K615" s="76">
        <v>46142</v>
      </c>
      <c r="L615" s="76">
        <v>46148</v>
      </c>
      <c r="M615" s="89">
        <v>46149</v>
      </c>
      <c r="N615" s="76">
        <v>46148</v>
      </c>
      <c r="Q615" s="86" t="s">
        <v>958</v>
      </c>
      <c r="R615" s="90"/>
      <c r="S615" s="87"/>
      <c r="T615" s="87"/>
      <c r="U615" s="87"/>
      <c r="V615" s="93"/>
      <c r="W615" s="91"/>
      <c r="X615" s="87"/>
      <c r="Y615" s="92"/>
      <c r="Z615" s="90"/>
      <c r="AA615" s="93"/>
      <c r="AB615" s="87"/>
      <c r="AC615" s="91"/>
      <c r="AD615" s="90"/>
      <c r="AE615" s="86"/>
      <c r="AF615" s="82"/>
      <c r="AG615" s="24"/>
      <c r="AH615" s="93"/>
      <c r="AI615" s="87"/>
      <c r="AJ615" s="86"/>
      <c r="AK615" s="81"/>
      <c r="AL615" s="24"/>
      <c r="AM615" s="24"/>
      <c r="AN615" s="81"/>
      <c r="AO615" s="81"/>
      <c r="AP615" s="24"/>
      <c r="AQ615" s="93"/>
      <c r="AR615" s="94"/>
      <c r="AS615" s="82"/>
      <c r="AT615" s="82"/>
      <c r="AU615" s="24"/>
      <c r="AV615" s="93"/>
      <c r="AW615" s="94"/>
      <c r="AX615" s="95"/>
      <c r="AY615" s="95"/>
      <c r="AZ615" s="95"/>
      <c r="BA615" s="24"/>
      <c r="BB615" s="9" t="s">
        <v>262</v>
      </c>
      <c r="BC615" s="96" t="s">
        <v>1128</v>
      </c>
    </row>
    <row r="616" spans="1:55" ht="15" customHeight="1">
      <c r="A616" s="86">
        <f t="shared" si="27"/>
        <v>614</v>
      </c>
      <c r="B616" s="75" t="s">
        <v>813</v>
      </c>
      <c r="C616" s="9"/>
      <c r="D616" s="76" t="s">
        <v>811</v>
      </c>
      <c r="E616" s="88" t="str">
        <f>_xlfn.IFNA(VLOOKUP($D616,'Route-Details'!$B$2:$X$1048576,'Node Details'!E$1,0),"")</f>
        <v>Airtel</v>
      </c>
      <c r="F616" s="88" t="str">
        <f>_xlfn.IFNA(VLOOKUP($D616,'Route-Details'!$B$2:$X$1048576,'Node Details'!F$1,0),"")</f>
        <v>Mani Majra</v>
      </c>
      <c r="G616" s="88" t="str">
        <f>_xlfn.IFNA(VLOOKUP($D616,'Route-Details'!$B$2:$X$1048576,'Node Details'!G$1,0),"")</f>
        <v>Chandigarh</v>
      </c>
      <c r="H616" s="88" t="str">
        <f>_xlfn.IFNA(VLOOKUP($D617,'Route-Details'!$B$2:$X$1048576,'Node Details'!H$1,0),"")</f>
        <v>Punjab</v>
      </c>
      <c r="I616" s="88" t="str">
        <f>_xlfn.IFNA(VLOOKUP($D616,'Route-Details'!$B$2:$X$1048576,'Node Details'!I$1,0),"")</f>
        <v>CM4</v>
      </c>
      <c r="J616" s="88" t="str">
        <f>_xlfn.IFNA(VLOOKUP($D616,'Route-Details'!$B$2:$X$1048576,'Node Details'!J$1,0),"")</f>
        <v>CM4</v>
      </c>
      <c r="K616" s="76">
        <v>46142</v>
      </c>
      <c r="L616" s="76">
        <v>46148</v>
      </c>
      <c r="M616" s="89">
        <v>46149</v>
      </c>
      <c r="N616" s="76">
        <v>46148</v>
      </c>
      <c r="Q616" s="86" t="s">
        <v>958</v>
      </c>
      <c r="R616" s="90"/>
      <c r="S616" s="87"/>
      <c r="T616" s="87"/>
      <c r="U616" s="87"/>
      <c r="V616" s="93"/>
      <c r="W616" s="91"/>
      <c r="X616" s="87"/>
      <c r="Y616" s="92"/>
      <c r="Z616" s="90"/>
      <c r="AA616" s="93"/>
      <c r="AB616" s="87"/>
      <c r="AC616" s="91"/>
      <c r="AD616" s="90"/>
      <c r="AE616" s="86"/>
      <c r="AF616" s="82"/>
      <c r="AG616" s="24"/>
      <c r="AH616" s="93"/>
      <c r="AI616" s="87"/>
      <c r="AJ616" s="86"/>
      <c r="AK616" s="81"/>
      <c r="AL616" s="24"/>
      <c r="AM616" s="24"/>
      <c r="AN616" s="81"/>
      <c r="AO616" s="81"/>
      <c r="AP616" s="24"/>
      <c r="AQ616" s="93"/>
      <c r="AR616" s="94"/>
      <c r="AS616" s="82"/>
      <c r="AT616" s="82"/>
      <c r="AU616" s="24"/>
      <c r="AV616" s="93"/>
      <c r="AW616" s="94"/>
      <c r="AX616" s="95"/>
      <c r="AY616" s="95"/>
      <c r="AZ616" s="95"/>
      <c r="BA616" s="24"/>
      <c r="BB616" s="9" t="s">
        <v>107</v>
      </c>
      <c r="BC616" s="96" t="s">
        <v>1128</v>
      </c>
    </row>
    <row r="617" spans="1:55" ht="15" customHeight="1">
      <c r="A617" s="86">
        <f t="shared" si="27"/>
        <v>615</v>
      </c>
      <c r="B617" s="75" t="s">
        <v>889</v>
      </c>
      <c r="C617" s="9"/>
      <c r="D617" s="76" t="s">
        <v>888</v>
      </c>
      <c r="E617" s="88" t="str">
        <f>_xlfn.IFNA(VLOOKUP($D617,'Route-Details'!$B$2:$X$1048576,'Node Details'!E$1,0),"")</f>
        <v>Airtel</v>
      </c>
      <c r="F617" s="88" t="str">
        <f>_xlfn.IFNA(VLOOKUP($D617,'Route-Details'!$B$2:$X$1048576,'Node Details'!F$1,0),"")</f>
        <v>Mani Majra</v>
      </c>
      <c r="G617" s="88" t="str">
        <f>_xlfn.IFNA(VLOOKUP($D617,'Route-Details'!$B$2:$X$1048576,'Node Details'!G$1,0),"")</f>
        <v>Chandigarh</v>
      </c>
      <c r="H617" s="88" t="str">
        <f>_xlfn.IFNA(VLOOKUP($D618,'Route-Details'!$B$2:$X$1048576,'Node Details'!H$1,0),"")</f>
        <v>Punjab</v>
      </c>
      <c r="I617" s="88" t="str">
        <f>_xlfn.IFNA(VLOOKUP($D617,'Route-Details'!$B$2:$X$1048576,'Node Details'!I$1,0),"")</f>
        <v>CM4</v>
      </c>
      <c r="J617" s="88" t="str">
        <f>_xlfn.IFNA(VLOOKUP($D617,'Route-Details'!$B$2:$X$1048576,'Node Details'!J$1,0),"")</f>
        <v>CM4</v>
      </c>
      <c r="K617" s="76">
        <v>46142</v>
      </c>
      <c r="L617" s="76">
        <v>46148</v>
      </c>
      <c r="M617" s="89">
        <v>46149</v>
      </c>
      <c r="N617" s="76">
        <v>46148</v>
      </c>
      <c r="Q617" s="86" t="s">
        <v>958</v>
      </c>
      <c r="R617" s="90"/>
      <c r="S617" s="87"/>
      <c r="T617" s="87"/>
      <c r="U617" s="87"/>
      <c r="V617" s="93"/>
      <c r="W617" s="91"/>
      <c r="X617" s="87"/>
      <c r="Y617" s="92"/>
      <c r="Z617" s="90"/>
      <c r="AA617" s="93"/>
      <c r="AB617" s="87"/>
      <c r="AC617" s="91"/>
      <c r="AD617" s="90"/>
      <c r="AE617" s="86"/>
      <c r="AF617" s="82"/>
      <c r="AG617" s="24"/>
      <c r="AH617" s="93"/>
      <c r="AI617" s="87"/>
      <c r="AJ617" s="86"/>
      <c r="AK617" s="81"/>
      <c r="AL617" s="24"/>
      <c r="AM617" s="24"/>
      <c r="AN617" s="81"/>
      <c r="AO617" s="81"/>
      <c r="AP617" s="24"/>
      <c r="AQ617" s="93"/>
      <c r="AR617" s="94"/>
      <c r="AS617" s="82"/>
      <c r="AT617" s="82"/>
      <c r="AU617" s="24"/>
      <c r="AV617" s="93"/>
      <c r="AW617" s="94"/>
      <c r="AX617" s="95"/>
      <c r="AY617" s="95"/>
      <c r="AZ617" s="95"/>
      <c r="BA617" s="24"/>
      <c r="BB617" s="9" t="s">
        <v>266</v>
      </c>
      <c r="BC617" s="96" t="s">
        <v>1128</v>
      </c>
    </row>
    <row r="618" spans="1:55" ht="15" customHeight="1">
      <c r="A618" s="86">
        <f t="shared" si="27"/>
        <v>616</v>
      </c>
      <c r="B618" s="75" t="s">
        <v>891</v>
      </c>
      <c r="C618" s="9"/>
      <c r="D618" s="76" t="s">
        <v>890</v>
      </c>
      <c r="E618" s="88" t="str">
        <f>_xlfn.IFNA(VLOOKUP($D618,'Route-Details'!$B$2:$X$1048576,'Node Details'!E$1,0),"")</f>
        <v>Airtel</v>
      </c>
      <c r="F618" s="88" t="str">
        <f>_xlfn.IFNA(VLOOKUP($D618,'Route-Details'!$B$2:$X$1048576,'Node Details'!F$1,0),"")</f>
        <v>Mani Majra</v>
      </c>
      <c r="G618" s="88" t="str">
        <f>_xlfn.IFNA(VLOOKUP($D618,'Route-Details'!$B$2:$X$1048576,'Node Details'!G$1,0),"")</f>
        <v>Chandigarh</v>
      </c>
      <c r="H618" s="88" t="str">
        <f>_xlfn.IFNA(VLOOKUP($D619,'Route-Details'!$B$2:$X$1048576,'Node Details'!H$1,0),"")</f>
        <v>Punjab</v>
      </c>
      <c r="I618" s="88" t="str">
        <f>_xlfn.IFNA(VLOOKUP($D618,'Route-Details'!$B$2:$X$1048576,'Node Details'!I$1,0),"")</f>
        <v>CM4</v>
      </c>
      <c r="J618" s="88" t="str">
        <f>_xlfn.IFNA(VLOOKUP($D618,'Route-Details'!$B$2:$X$1048576,'Node Details'!J$1,0),"")</f>
        <v>CM4</v>
      </c>
      <c r="K618" s="76">
        <v>46142</v>
      </c>
      <c r="L618" s="76">
        <v>46148</v>
      </c>
      <c r="M618" s="89">
        <v>46149</v>
      </c>
      <c r="N618" s="76">
        <v>46148</v>
      </c>
      <c r="Q618" s="86" t="s">
        <v>958</v>
      </c>
      <c r="R618" s="90"/>
      <c r="S618" s="87"/>
      <c r="T618" s="87"/>
      <c r="U618" s="87"/>
      <c r="V618" s="93"/>
      <c r="W618" s="91"/>
      <c r="X618" s="87"/>
      <c r="Y618" s="92"/>
      <c r="Z618" s="90"/>
      <c r="AA618" s="93"/>
      <c r="AB618" s="87"/>
      <c r="AC618" s="91"/>
      <c r="AD618" s="90"/>
      <c r="AE618" s="86"/>
      <c r="AF618" s="82"/>
      <c r="AG618" s="24"/>
      <c r="AH618" s="93"/>
      <c r="AI618" s="87"/>
      <c r="AJ618" s="86"/>
      <c r="AK618" s="81"/>
      <c r="AL618" s="24"/>
      <c r="AM618" s="24"/>
      <c r="AN618" s="81"/>
      <c r="AO618" s="81"/>
      <c r="AP618" s="24"/>
      <c r="AQ618" s="93"/>
      <c r="AR618" s="94"/>
      <c r="AS618" s="82"/>
      <c r="AT618" s="82"/>
      <c r="AU618" s="24"/>
      <c r="AV618" s="93"/>
      <c r="AW618" s="94"/>
      <c r="AX618" s="95"/>
      <c r="AY618" s="95"/>
      <c r="AZ618" s="95"/>
      <c r="BA618" s="24"/>
      <c r="BB618" s="9" t="s">
        <v>270</v>
      </c>
      <c r="BC618" s="96" t="s">
        <v>1128</v>
      </c>
    </row>
    <row r="619" spans="1:55" ht="15" customHeight="1">
      <c r="A619" s="86">
        <f t="shared" si="27"/>
        <v>617</v>
      </c>
      <c r="B619" s="75" t="s">
        <v>893</v>
      </c>
      <c r="C619" s="9"/>
      <c r="D619" s="76" t="s">
        <v>892</v>
      </c>
      <c r="E619" s="88" t="str">
        <f>_xlfn.IFNA(VLOOKUP($D619,'Route-Details'!$B$2:$X$1048576,'Node Details'!E$1,0),"")</f>
        <v>Airtel</v>
      </c>
      <c r="F619" s="88" t="str">
        <f>_xlfn.IFNA(VLOOKUP($D619,'Route-Details'!$B$2:$X$1048576,'Node Details'!F$1,0),"")</f>
        <v>Mani Majra</v>
      </c>
      <c r="G619" s="88" t="str">
        <f>_xlfn.IFNA(VLOOKUP($D619,'Route-Details'!$B$2:$X$1048576,'Node Details'!G$1,0),"")</f>
        <v>Chandigarh</v>
      </c>
      <c r="H619" s="88" t="str">
        <f>_xlfn.IFNA(VLOOKUP($D620,'Route-Details'!$B$2:$X$1048576,'Node Details'!H$1,0),"")</f>
        <v>Punjab</v>
      </c>
      <c r="I619" s="88" t="str">
        <f>_xlfn.IFNA(VLOOKUP($D619,'Route-Details'!$B$2:$X$1048576,'Node Details'!I$1,0),"")</f>
        <v>CM4</v>
      </c>
      <c r="J619" s="88" t="str">
        <f>_xlfn.IFNA(VLOOKUP($D619,'Route-Details'!$B$2:$X$1048576,'Node Details'!J$1,0),"")</f>
        <v>CM4</v>
      </c>
      <c r="K619" s="76">
        <v>46142</v>
      </c>
      <c r="L619" s="76">
        <v>46148</v>
      </c>
      <c r="M619" s="89">
        <v>46149</v>
      </c>
      <c r="N619" s="76">
        <v>46148</v>
      </c>
      <c r="Q619" s="86" t="s">
        <v>958</v>
      </c>
      <c r="R619" s="90"/>
      <c r="S619" s="87"/>
      <c r="T619" s="87"/>
      <c r="U619" s="87"/>
      <c r="V619" s="93"/>
      <c r="W619" s="91"/>
      <c r="X619" s="87"/>
      <c r="Y619" s="92"/>
      <c r="Z619" s="90"/>
      <c r="AA619" s="93"/>
      <c r="AB619" s="87"/>
      <c r="AC619" s="91"/>
      <c r="AD619" s="90"/>
      <c r="AE619" s="86"/>
      <c r="AF619" s="82"/>
      <c r="AG619" s="24"/>
      <c r="AH619" s="93"/>
      <c r="AI619" s="87"/>
      <c r="AJ619" s="86"/>
      <c r="AK619" s="81"/>
      <c r="AL619" s="24"/>
      <c r="AM619" s="24"/>
      <c r="AN619" s="81"/>
      <c r="AO619" s="81"/>
      <c r="AP619" s="24"/>
      <c r="AQ619" s="93"/>
      <c r="AR619" s="94"/>
      <c r="AS619" s="82"/>
      <c r="AT619" s="82"/>
      <c r="AU619" s="24"/>
      <c r="AV619" s="93"/>
      <c r="AW619" s="94"/>
      <c r="AX619" s="95"/>
      <c r="AY619" s="95"/>
      <c r="AZ619" s="95"/>
      <c r="BA619" s="24"/>
      <c r="BB619" s="9" t="s">
        <v>274</v>
      </c>
      <c r="BC619" s="96" t="s">
        <v>1128</v>
      </c>
    </row>
    <row r="620" spans="1:55" ht="15" customHeight="1">
      <c r="A620" s="86">
        <f t="shared" si="27"/>
        <v>618</v>
      </c>
      <c r="B620" s="75" t="s">
        <v>1222</v>
      </c>
      <c r="C620" s="9"/>
      <c r="D620" s="76" t="s">
        <v>894</v>
      </c>
      <c r="E620" s="88" t="str">
        <f>_xlfn.IFNA(VLOOKUP($D620,'Route-Details'!$B$2:$X$1048576,'Node Details'!E$1,0),"")</f>
        <v>Airtel</v>
      </c>
      <c r="F620" s="88" t="str">
        <f>_xlfn.IFNA(VLOOKUP($D620,'Route-Details'!$B$2:$X$1048576,'Node Details'!F$1,0),"")</f>
        <v>Mani Majra</v>
      </c>
      <c r="G620" s="88" t="str">
        <f>_xlfn.IFNA(VLOOKUP($D620,'Route-Details'!$B$2:$X$1048576,'Node Details'!G$1,0),"")</f>
        <v>Chandigarh</v>
      </c>
      <c r="H620" s="88" t="str">
        <f>_xlfn.IFNA(VLOOKUP($D621,'Route-Details'!$B$2:$X$1048576,'Node Details'!H$1,0),"")</f>
        <v>Punjab</v>
      </c>
      <c r="I620" s="88" t="str">
        <f>_xlfn.IFNA(VLOOKUP($D620,'Route-Details'!$B$2:$X$1048576,'Node Details'!I$1,0),"")</f>
        <v>CM4</v>
      </c>
      <c r="J620" s="88" t="str">
        <f>_xlfn.IFNA(VLOOKUP($D620,'Route-Details'!$B$2:$X$1048576,'Node Details'!J$1,0),"")</f>
        <v>CM4</v>
      </c>
      <c r="K620" s="76">
        <v>46142</v>
      </c>
      <c r="L620" s="76">
        <v>46148</v>
      </c>
      <c r="M620" s="89">
        <v>46149</v>
      </c>
      <c r="N620" s="76">
        <v>46148</v>
      </c>
      <c r="Q620" s="86" t="s">
        <v>958</v>
      </c>
      <c r="R620" s="90"/>
      <c r="S620" s="87"/>
      <c r="T620" s="87"/>
      <c r="U620" s="87"/>
      <c r="V620" s="93"/>
      <c r="W620" s="91"/>
      <c r="X620" s="87"/>
      <c r="Y620" s="92"/>
      <c r="Z620" s="90"/>
      <c r="AA620" s="93"/>
      <c r="AB620" s="87"/>
      <c r="AC620" s="91"/>
      <c r="AD620" s="90"/>
      <c r="AE620" s="86"/>
      <c r="AF620" s="82"/>
      <c r="AG620" s="24"/>
      <c r="AH620" s="93"/>
      <c r="AI620" s="87"/>
      <c r="AJ620" s="86"/>
      <c r="AK620" s="81"/>
      <c r="AL620" s="24"/>
      <c r="AM620" s="24"/>
      <c r="AN620" s="81"/>
      <c r="AO620" s="81"/>
      <c r="AP620" s="24"/>
      <c r="AQ620" s="93"/>
      <c r="AR620" s="94"/>
      <c r="AS620" s="82"/>
      <c r="AT620" s="82"/>
      <c r="AU620" s="24"/>
      <c r="AV620" s="93"/>
      <c r="AW620" s="94"/>
      <c r="AX620" s="95"/>
      <c r="AY620" s="95"/>
      <c r="AZ620" s="95"/>
      <c r="BA620" s="24"/>
      <c r="BB620" s="9" t="s">
        <v>278</v>
      </c>
      <c r="BC620" s="96" t="s">
        <v>1128</v>
      </c>
    </row>
    <row r="621" spans="1:55" ht="15" customHeight="1">
      <c r="A621" s="86">
        <f t="shared" si="27"/>
        <v>619</v>
      </c>
      <c r="B621" s="75" t="s">
        <v>895</v>
      </c>
      <c r="C621" s="9"/>
      <c r="D621" s="76" t="s">
        <v>894</v>
      </c>
      <c r="E621" s="88" t="str">
        <f>_xlfn.IFNA(VLOOKUP($D621,'Route-Details'!$B$2:$X$1048576,'Node Details'!E$1,0),"")</f>
        <v>Airtel</v>
      </c>
      <c r="F621" s="88" t="str">
        <f>_xlfn.IFNA(VLOOKUP($D621,'Route-Details'!$B$2:$X$1048576,'Node Details'!F$1,0),"")</f>
        <v>Mani Majra</v>
      </c>
      <c r="G621" s="88" t="str">
        <f>_xlfn.IFNA(VLOOKUP($D621,'Route-Details'!$B$2:$X$1048576,'Node Details'!G$1,0),"")</f>
        <v>Chandigarh</v>
      </c>
      <c r="H621" s="88" t="str">
        <f>_xlfn.IFNA(VLOOKUP($D622,'Route-Details'!$B$2:$X$1048576,'Node Details'!H$1,0),"")</f>
        <v>Punjab</v>
      </c>
      <c r="I621" s="88" t="str">
        <f>_xlfn.IFNA(VLOOKUP($D621,'Route-Details'!$B$2:$X$1048576,'Node Details'!I$1,0),"")</f>
        <v>CM4</v>
      </c>
      <c r="J621" s="88" t="str">
        <f>_xlfn.IFNA(VLOOKUP($D621,'Route-Details'!$B$2:$X$1048576,'Node Details'!J$1,0),"")</f>
        <v>CM4</v>
      </c>
      <c r="K621" s="76">
        <v>46142</v>
      </c>
      <c r="L621" s="76">
        <v>46148</v>
      </c>
      <c r="M621" s="89">
        <v>46149</v>
      </c>
      <c r="N621" s="76">
        <v>46148</v>
      </c>
      <c r="Q621" s="86" t="s">
        <v>958</v>
      </c>
      <c r="R621" s="90"/>
      <c r="S621" s="87"/>
      <c r="T621" s="87"/>
      <c r="U621" s="87"/>
      <c r="V621" s="93"/>
      <c r="W621" s="91"/>
      <c r="X621" s="87"/>
      <c r="Y621" s="92"/>
      <c r="Z621" s="90"/>
      <c r="AA621" s="93"/>
      <c r="AB621" s="87"/>
      <c r="AC621" s="91"/>
      <c r="AD621" s="90"/>
      <c r="AE621" s="86"/>
      <c r="AF621" s="82"/>
      <c r="AG621" s="24"/>
      <c r="AH621" s="93"/>
      <c r="AI621" s="87"/>
      <c r="AJ621" s="86"/>
      <c r="AK621" s="81"/>
      <c r="AL621" s="24"/>
      <c r="AM621" s="24"/>
      <c r="AN621" s="81"/>
      <c r="AO621" s="81"/>
      <c r="AP621" s="24"/>
      <c r="AQ621" s="93"/>
      <c r="AR621" s="94"/>
      <c r="AS621" s="82"/>
      <c r="AT621" s="82"/>
      <c r="AU621" s="24"/>
      <c r="AV621" s="93"/>
      <c r="AW621" s="94"/>
      <c r="AX621" s="95"/>
      <c r="AY621" s="95"/>
      <c r="AZ621" s="95"/>
      <c r="BA621" s="24"/>
      <c r="BB621" s="9" t="s">
        <v>278</v>
      </c>
      <c r="BC621" s="96" t="s">
        <v>1128</v>
      </c>
    </row>
    <row r="622" spans="1:55" ht="15" customHeight="1">
      <c r="A622" s="86">
        <f t="shared" si="27"/>
        <v>620</v>
      </c>
      <c r="B622" s="75" t="s">
        <v>897</v>
      </c>
      <c r="C622" s="9"/>
      <c r="D622" s="76" t="s">
        <v>800</v>
      </c>
      <c r="E622" s="88" t="str">
        <f>_xlfn.IFNA(VLOOKUP($D622,'Route-Details'!$B$2:$X$1048576,'Node Details'!E$1,0),"")</f>
        <v>Airtel</v>
      </c>
      <c r="F622" s="88" t="str">
        <f>_xlfn.IFNA(VLOOKUP($D622,'Route-Details'!$B$2:$X$1048576,'Node Details'!F$1,0),"")</f>
        <v>Mani Majra</v>
      </c>
      <c r="G622" s="88" t="str">
        <f>_xlfn.IFNA(VLOOKUP($D622,'Route-Details'!$B$2:$X$1048576,'Node Details'!G$1,0),"")</f>
        <v>Chandigarh</v>
      </c>
      <c r="H622" s="88" t="str">
        <f>_xlfn.IFNA(VLOOKUP($D623,'Route-Details'!$B$2:$X$1048576,'Node Details'!H$1,0),"")</f>
        <v>Punjab</v>
      </c>
      <c r="I622" s="88" t="str">
        <f>_xlfn.IFNA(VLOOKUP($D622,'Route-Details'!$B$2:$X$1048576,'Node Details'!I$1,0),"")</f>
        <v>CM4</v>
      </c>
      <c r="J622" s="88" t="str">
        <f>_xlfn.IFNA(VLOOKUP($D622,'Route-Details'!$B$2:$X$1048576,'Node Details'!J$1,0),"")</f>
        <v>CM4</v>
      </c>
      <c r="K622" s="76">
        <v>46142</v>
      </c>
      <c r="L622" s="76">
        <v>46148</v>
      </c>
      <c r="M622" s="89">
        <v>46149</v>
      </c>
      <c r="N622" s="76">
        <v>46148</v>
      </c>
      <c r="Q622" s="86" t="s">
        <v>958</v>
      </c>
      <c r="R622" s="90"/>
      <c r="S622" s="87"/>
      <c r="T622" s="87"/>
      <c r="U622" s="87"/>
      <c r="V622" s="93"/>
      <c r="W622" s="91"/>
      <c r="X622" s="87"/>
      <c r="Y622" s="92"/>
      <c r="Z622" s="90"/>
      <c r="AA622" s="93"/>
      <c r="AB622" s="87"/>
      <c r="AC622" s="91"/>
      <c r="AD622" s="90"/>
      <c r="AE622" s="86"/>
      <c r="AF622" s="82"/>
      <c r="AG622" s="24"/>
      <c r="AH622" s="93"/>
      <c r="AI622" s="87"/>
      <c r="AJ622" s="86"/>
      <c r="AK622" s="81"/>
      <c r="AL622" s="24"/>
      <c r="AM622" s="24"/>
      <c r="AN622" s="81"/>
      <c r="AO622" s="81"/>
      <c r="AP622" s="24"/>
      <c r="AQ622" s="93"/>
      <c r="AR622" s="94"/>
      <c r="AS622" s="82"/>
      <c r="AT622" s="82"/>
      <c r="AU622" s="24"/>
      <c r="AV622" s="93"/>
      <c r="AW622" s="94"/>
      <c r="AX622" s="95"/>
      <c r="AY622" s="95"/>
      <c r="AZ622" s="95"/>
      <c r="BA622" s="24"/>
      <c r="BB622" s="9" t="s">
        <v>92</v>
      </c>
      <c r="BC622" s="96" t="s">
        <v>1128</v>
      </c>
    </row>
    <row r="623" spans="1:55" ht="15" customHeight="1">
      <c r="A623" s="86">
        <f t="shared" si="27"/>
        <v>621</v>
      </c>
      <c r="B623" s="75" t="s">
        <v>898</v>
      </c>
      <c r="C623" s="9"/>
      <c r="D623" s="76" t="s">
        <v>896</v>
      </c>
      <c r="E623" s="88" t="str">
        <f>_xlfn.IFNA(VLOOKUP($D623,'Route-Details'!$B$2:$X$1048576,'Node Details'!E$1,0),"")</f>
        <v>Airtel</v>
      </c>
      <c r="F623" s="88" t="str">
        <f>_xlfn.IFNA(VLOOKUP($D623,'Route-Details'!$B$2:$X$1048576,'Node Details'!F$1,0),"")</f>
        <v>Mani Majra</v>
      </c>
      <c r="G623" s="88" t="str">
        <f>_xlfn.IFNA(VLOOKUP($D623,'Route-Details'!$B$2:$X$1048576,'Node Details'!G$1,0),"")</f>
        <v>Chandigarh</v>
      </c>
      <c r="H623" s="88" t="str">
        <f>_xlfn.IFNA(VLOOKUP($D624,'Route-Details'!$B$2:$X$1048576,'Node Details'!H$1,0),"")</f>
        <v>Punjab</v>
      </c>
      <c r="I623" s="88" t="str">
        <f>_xlfn.IFNA(VLOOKUP($D623,'Route-Details'!$B$2:$X$1048576,'Node Details'!I$1,0),"")</f>
        <v>CM4</v>
      </c>
      <c r="J623" s="88" t="str">
        <f>_xlfn.IFNA(VLOOKUP($D623,'Route-Details'!$B$2:$X$1048576,'Node Details'!J$1,0),"")</f>
        <v>CM4</v>
      </c>
      <c r="K623" s="76">
        <v>46142</v>
      </c>
      <c r="L623" s="76">
        <v>46148</v>
      </c>
      <c r="M623" s="89">
        <v>46149</v>
      </c>
      <c r="N623" s="76">
        <v>46148</v>
      </c>
      <c r="Q623" s="86" t="s">
        <v>958</v>
      </c>
      <c r="R623" s="90"/>
      <c r="S623" s="87"/>
      <c r="T623" s="87"/>
      <c r="U623" s="87"/>
      <c r="V623" s="93"/>
      <c r="W623" s="91"/>
      <c r="X623" s="87"/>
      <c r="Y623" s="92"/>
      <c r="Z623" s="90"/>
      <c r="AA623" s="93"/>
      <c r="AB623" s="87"/>
      <c r="AC623" s="91"/>
      <c r="AD623" s="90"/>
      <c r="AE623" s="86"/>
      <c r="AF623" s="82"/>
      <c r="AG623" s="24"/>
      <c r="AH623" s="93"/>
      <c r="AI623" s="87"/>
      <c r="AJ623" s="86"/>
      <c r="AK623" s="81"/>
      <c r="AL623" s="24"/>
      <c r="AM623" s="24"/>
      <c r="AN623" s="81"/>
      <c r="AO623" s="81"/>
      <c r="AP623" s="24"/>
      <c r="AQ623" s="93"/>
      <c r="AR623" s="94"/>
      <c r="AS623" s="82"/>
      <c r="AT623" s="82"/>
      <c r="AU623" s="24"/>
      <c r="AV623" s="93"/>
      <c r="AW623" s="94"/>
      <c r="AX623" s="95"/>
      <c r="AY623" s="95"/>
      <c r="AZ623" s="95"/>
      <c r="BA623" s="24"/>
      <c r="BB623" s="9" t="s">
        <v>281</v>
      </c>
      <c r="BC623" s="96" t="s">
        <v>1128</v>
      </c>
    </row>
    <row r="624" spans="1:55" ht="15" customHeight="1">
      <c r="A624" s="86">
        <f t="shared" si="27"/>
        <v>622</v>
      </c>
      <c r="B624" s="75" t="s">
        <v>902</v>
      </c>
      <c r="C624" s="9"/>
      <c r="D624" s="76" t="s">
        <v>899</v>
      </c>
      <c r="E624" s="88" t="str">
        <f>_xlfn.IFNA(VLOOKUP($D624,'Route-Details'!$B$2:$X$1048576,'Node Details'!E$1,0),"")</f>
        <v>Airtel</v>
      </c>
      <c r="F624" s="88" t="str">
        <f>_xlfn.IFNA(VLOOKUP($D624,'Route-Details'!$B$2:$X$1048576,'Node Details'!F$1,0),"")</f>
        <v>Mani Majra</v>
      </c>
      <c r="G624" s="88" t="str">
        <f>_xlfn.IFNA(VLOOKUP($D624,'Route-Details'!$B$2:$X$1048576,'Node Details'!G$1,0),"")</f>
        <v>Chandigarh</v>
      </c>
      <c r="H624" s="88" t="str">
        <f>_xlfn.IFNA(VLOOKUP($D625,'Route-Details'!$B$2:$X$1048576,'Node Details'!H$1,0),"")</f>
        <v>Punjab</v>
      </c>
      <c r="I624" s="88" t="str">
        <f>_xlfn.IFNA(VLOOKUP($D624,'Route-Details'!$B$2:$X$1048576,'Node Details'!I$1,0),"")</f>
        <v>CM4</v>
      </c>
      <c r="J624" s="88" t="str">
        <f>_xlfn.IFNA(VLOOKUP($D624,'Route-Details'!$B$2:$X$1048576,'Node Details'!J$1,0),"")</f>
        <v>CM4</v>
      </c>
      <c r="K624" s="76">
        <v>46142</v>
      </c>
      <c r="L624" s="76">
        <v>46148</v>
      </c>
      <c r="M624" s="89">
        <v>46149</v>
      </c>
      <c r="N624" s="76">
        <v>46148</v>
      </c>
      <c r="Q624" s="86" t="s">
        <v>958</v>
      </c>
      <c r="R624" s="90"/>
      <c r="S624" s="87"/>
      <c r="T624" s="87"/>
      <c r="U624" s="87"/>
      <c r="V624" s="93"/>
      <c r="W624" s="91"/>
      <c r="X624" s="87"/>
      <c r="Y624" s="92"/>
      <c r="Z624" s="90"/>
      <c r="AA624" s="93"/>
      <c r="AB624" s="87"/>
      <c r="AC624" s="91"/>
      <c r="AD624" s="90"/>
      <c r="AE624" s="86"/>
      <c r="AF624" s="82"/>
      <c r="AG624" s="24"/>
      <c r="AH624" s="93"/>
      <c r="AI624" s="87"/>
      <c r="AJ624" s="86"/>
      <c r="AK624" s="81"/>
      <c r="AL624" s="24"/>
      <c r="AM624" s="24"/>
      <c r="AN624" s="81"/>
      <c r="AO624" s="81"/>
      <c r="AP624" s="24"/>
      <c r="AQ624" s="93"/>
      <c r="AR624" s="94"/>
      <c r="AS624" s="82"/>
      <c r="AT624" s="82"/>
      <c r="AU624" s="24"/>
      <c r="AV624" s="93"/>
      <c r="AW624" s="94"/>
      <c r="AX624" s="95"/>
      <c r="AY624" s="95"/>
      <c r="AZ624" s="95"/>
      <c r="BA624" s="24"/>
      <c r="BB624" s="9" t="s">
        <v>285</v>
      </c>
      <c r="BC624" s="96" t="s">
        <v>1128</v>
      </c>
    </row>
    <row r="625" spans="1:55" ht="15" customHeight="1">
      <c r="A625" s="86">
        <f t="shared" si="27"/>
        <v>623</v>
      </c>
      <c r="B625" s="75" t="s">
        <v>900</v>
      </c>
      <c r="C625" s="9"/>
      <c r="D625" s="76" t="s">
        <v>899</v>
      </c>
      <c r="E625" s="88" t="str">
        <f>_xlfn.IFNA(VLOOKUP($D625,'Route-Details'!$B$2:$X$1048576,'Node Details'!E$1,0),"")</f>
        <v>Airtel</v>
      </c>
      <c r="F625" s="88" t="str">
        <f>_xlfn.IFNA(VLOOKUP($D625,'Route-Details'!$B$2:$X$1048576,'Node Details'!F$1,0),"")</f>
        <v>Mani Majra</v>
      </c>
      <c r="G625" s="88" t="str">
        <f>_xlfn.IFNA(VLOOKUP($D625,'Route-Details'!$B$2:$X$1048576,'Node Details'!G$1,0),"")</f>
        <v>Chandigarh</v>
      </c>
      <c r="H625" s="88" t="str">
        <f>_xlfn.IFNA(VLOOKUP($D626,'Route-Details'!$B$2:$X$1048576,'Node Details'!H$1,0),"")</f>
        <v>Punjab</v>
      </c>
      <c r="I625" s="88" t="str">
        <f>_xlfn.IFNA(VLOOKUP($D625,'Route-Details'!$B$2:$X$1048576,'Node Details'!I$1,0),"")</f>
        <v>CM4</v>
      </c>
      <c r="J625" s="88" t="str">
        <f>_xlfn.IFNA(VLOOKUP($D625,'Route-Details'!$B$2:$X$1048576,'Node Details'!J$1,0),"")</f>
        <v>CM4</v>
      </c>
      <c r="K625" s="76">
        <v>46142</v>
      </c>
      <c r="L625" s="76">
        <v>46148</v>
      </c>
      <c r="M625" s="89">
        <v>46149</v>
      </c>
      <c r="N625" s="76">
        <v>46148</v>
      </c>
      <c r="Q625" s="86" t="s">
        <v>958</v>
      </c>
      <c r="R625" s="90"/>
      <c r="S625" s="87"/>
      <c r="T625" s="87"/>
      <c r="U625" s="87"/>
      <c r="V625" s="93"/>
      <c r="W625" s="91"/>
      <c r="X625" s="87"/>
      <c r="Y625" s="92"/>
      <c r="Z625" s="90"/>
      <c r="AA625" s="93"/>
      <c r="AB625" s="87"/>
      <c r="AC625" s="91"/>
      <c r="AD625" s="90"/>
      <c r="AE625" s="86"/>
      <c r="AF625" s="82"/>
      <c r="AG625" s="24"/>
      <c r="AH625" s="93"/>
      <c r="AI625" s="87"/>
      <c r="AJ625" s="86"/>
      <c r="AK625" s="81"/>
      <c r="AL625" s="24"/>
      <c r="AM625" s="24"/>
      <c r="AN625" s="81"/>
      <c r="AO625" s="81"/>
      <c r="AP625" s="24"/>
      <c r="AQ625" s="93"/>
      <c r="AR625" s="94"/>
      <c r="AS625" s="82"/>
      <c r="AT625" s="82"/>
      <c r="AU625" s="24"/>
      <c r="AV625" s="93"/>
      <c r="AW625" s="94"/>
      <c r="AX625" s="95"/>
      <c r="AY625" s="95"/>
      <c r="AZ625" s="95"/>
      <c r="BA625" s="24"/>
      <c r="BB625" s="9" t="s">
        <v>285</v>
      </c>
      <c r="BC625" s="96" t="s">
        <v>1128</v>
      </c>
    </row>
    <row r="626" spans="1:55" ht="15" customHeight="1">
      <c r="A626" s="86">
        <f t="shared" si="27"/>
        <v>624</v>
      </c>
      <c r="B626" s="75" t="s">
        <v>903</v>
      </c>
      <c r="C626" s="9"/>
      <c r="D626" s="76" t="s">
        <v>901</v>
      </c>
      <c r="E626" s="88" t="str">
        <f>_xlfn.IFNA(VLOOKUP($D626,'Route-Details'!$B$2:$X$1048576,'Node Details'!E$1,0),"")</f>
        <v>Airtel</v>
      </c>
      <c r="F626" s="88" t="str">
        <f>_xlfn.IFNA(VLOOKUP($D626,'Route-Details'!$B$2:$X$1048576,'Node Details'!F$1,0),"")</f>
        <v>Mani Majra</v>
      </c>
      <c r="G626" s="88" t="str">
        <f>_xlfn.IFNA(VLOOKUP($D626,'Route-Details'!$B$2:$X$1048576,'Node Details'!G$1,0),"")</f>
        <v>Chandigarh</v>
      </c>
      <c r="H626" s="88" t="str">
        <f>_xlfn.IFNA(VLOOKUP($D627,'Route-Details'!$B$2:$X$1048576,'Node Details'!H$1,0),"")</f>
        <v>Punjab</v>
      </c>
      <c r="I626" s="88" t="str">
        <f>_xlfn.IFNA(VLOOKUP($D626,'Route-Details'!$B$2:$X$1048576,'Node Details'!I$1,0),"")</f>
        <v>CM4</v>
      </c>
      <c r="J626" s="88" t="str">
        <f>_xlfn.IFNA(VLOOKUP($D626,'Route-Details'!$B$2:$X$1048576,'Node Details'!J$1,0),"")</f>
        <v>CM4</v>
      </c>
      <c r="K626" s="76">
        <v>46142</v>
      </c>
      <c r="L626" s="76">
        <v>46148</v>
      </c>
      <c r="M626" s="89">
        <v>46149</v>
      </c>
      <c r="N626" s="76">
        <v>46148</v>
      </c>
      <c r="Q626" s="86" t="s">
        <v>958</v>
      </c>
      <c r="R626" s="90"/>
      <c r="S626" s="87"/>
      <c r="T626" s="87"/>
      <c r="U626" s="87"/>
      <c r="V626" s="93"/>
      <c r="W626" s="91"/>
      <c r="X626" s="87"/>
      <c r="Y626" s="92"/>
      <c r="Z626" s="90"/>
      <c r="AA626" s="93"/>
      <c r="AB626" s="87"/>
      <c r="AC626" s="91"/>
      <c r="AD626" s="90"/>
      <c r="AE626" s="86"/>
      <c r="AF626" s="82"/>
      <c r="AG626" s="24"/>
      <c r="AH626" s="93"/>
      <c r="AI626" s="87"/>
      <c r="AJ626" s="86"/>
      <c r="AK626" s="81"/>
      <c r="AL626" s="24"/>
      <c r="AM626" s="24"/>
      <c r="AN626" s="81"/>
      <c r="AO626" s="81"/>
      <c r="AP626" s="24"/>
      <c r="AQ626" s="93"/>
      <c r="AR626" s="94"/>
      <c r="AS626" s="82"/>
      <c r="AT626" s="82"/>
      <c r="AU626" s="24"/>
      <c r="AV626" s="93"/>
      <c r="AW626" s="94"/>
      <c r="AX626" s="95"/>
      <c r="AY626" s="95"/>
      <c r="AZ626" s="95"/>
      <c r="BA626" s="24"/>
      <c r="BB626" s="9" t="s">
        <v>288</v>
      </c>
      <c r="BC626" s="96" t="s">
        <v>1128</v>
      </c>
    </row>
    <row r="627" spans="1:55" ht="15" customHeight="1">
      <c r="A627" s="86">
        <f t="shared" si="27"/>
        <v>625</v>
      </c>
      <c r="B627" s="75" t="s">
        <v>905</v>
      </c>
      <c r="C627" s="9"/>
      <c r="D627" s="76" t="s">
        <v>800</v>
      </c>
      <c r="E627" s="88" t="str">
        <f>_xlfn.IFNA(VLOOKUP($D627,'Route-Details'!$B$2:$X$1048576,'Node Details'!E$1,0),"")</f>
        <v>Airtel</v>
      </c>
      <c r="F627" s="88" t="str">
        <f>_xlfn.IFNA(VLOOKUP($D627,'Route-Details'!$B$2:$X$1048576,'Node Details'!F$1,0),"")</f>
        <v>Mani Majra</v>
      </c>
      <c r="G627" s="88" t="str">
        <f>_xlfn.IFNA(VLOOKUP($D627,'Route-Details'!$B$2:$X$1048576,'Node Details'!G$1,0),"")</f>
        <v>Chandigarh</v>
      </c>
      <c r="H627" s="88" t="str">
        <f>_xlfn.IFNA(VLOOKUP($D628,'Route-Details'!$B$2:$X$1048576,'Node Details'!H$1,0),"")</f>
        <v>Punjab</v>
      </c>
      <c r="I627" s="88" t="str">
        <f>_xlfn.IFNA(VLOOKUP($D627,'Route-Details'!$B$2:$X$1048576,'Node Details'!I$1,0),"")</f>
        <v>CM4</v>
      </c>
      <c r="J627" s="88" t="str">
        <f>_xlfn.IFNA(VLOOKUP($D627,'Route-Details'!$B$2:$X$1048576,'Node Details'!J$1,0),"")</f>
        <v>CM4</v>
      </c>
      <c r="K627" s="76">
        <v>46142</v>
      </c>
      <c r="L627" s="76">
        <v>46148</v>
      </c>
      <c r="M627" s="89">
        <v>46149</v>
      </c>
      <c r="N627" s="76">
        <v>46148</v>
      </c>
      <c r="Q627" s="86" t="s">
        <v>958</v>
      </c>
      <c r="R627" s="90"/>
      <c r="S627" s="87"/>
      <c r="T627" s="87"/>
      <c r="U627" s="87"/>
      <c r="V627" s="93"/>
      <c r="W627" s="91"/>
      <c r="X627" s="87"/>
      <c r="Y627" s="92"/>
      <c r="Z627" s="90"/>
      <c r="AA627" s="93"/>
      <c r="AB627" s="87"/>
      <c r="AC627" s="91"/>
      <c r="AD627" s="90"/>
      <c r="AE627" s="86"/>
      <c r="AF627" s="82"/>
      <c r="AG627" s="24"/>
      <c r="AH627" s="93"/>
      <c r="AI627" s="87"/>
      <c r="AJ627" s="86"/>
      <c r="AK627" s="81"/>
      <c r="AL627" s="24"/>
      <c r="AM627" s="24"/>
      <c r="AN627" s="81"/>
      <c r="AO627" s="81"/>
      <c r="AP627" s="24"/>
      <c r="AQ627" s="93"/>
      <c r="AR627" s="94"/>
      <c r="AS627" s="82"/>
      <c r="AT627" s="82"/>
      <c r="AU627" s="24"/>
      <c r="AV627" s="93"/>
      <c r="AW627" s="94"/>
      <c r="AX627" s="95"/>
      <c r="AY627" s="95"/>
      <c r="AZ627" s="95"/>
      <c r="BA627" s="24"/>
      <c r="BB627" s="9" t="s">
        <v>92</v>
      </c>
      <c r="BC627" s="96" t="s">
        <v>1128</v>
      </c>
    </row>
    <row r="628" spans="1:55" ht="15" customHeight="1">
      <c r="A628" s="86">
        <f t="shared" si="27"/>
        <v>626</v>
      </c>
      <c r="B628" s="75" t="s">
        <v>906</v>
      </c>
      <c r="C628" s="9"/>
      <c r="D628" s="76" t="s">
        <v>904</v>
      </c>
      <c r="E628" s="88" t="str">
        <f>_xlfn.IFNA(VLOOKUP($D628,'Route-Details'!$B$2:$X$1048576,'Node Details'!E$1,0),"")</f>
        <v>Airtel</v>
      </c>
      <c r="F628" s="88" t="str">
        <f>_xlfn.IFNA(VLOOKUP($D628,'Route-Details'!$B$2:$X$1048576,'Node Details'!F$1,0),"")</f>
        <v>Mani Majra</v>
      </c>
      <c r="G628" s="88" t="str">
        <f>_xlfn.IFNA(VLOOKUP($D628,'Route-Details'!$B$2:$X$1048576,'Node Details'!G$1,0),"")</f>
        <v>Chandigarh</v>
      </c>
      <c r="H628" s="88" t="str">
        <f>_xlfn.IFNA(VLOOKUP($D629,'Route-Details'!$B$2:$X$1048576,'Node Details'!H$1,0),"")</f>
        <v>Punjab</v>
      </c>
      <c r="I628" s="88" t="str">
        <f>_xlfn.IFNA(VLOOKUP($D628,'Route-Details'!$B$2:$X$1048576,'Node Details'!I$1,0),"")</f>
        <v>CM4</v>
      </c>
      <c r="J628" s="88" t="str">
        <f>_xlfn.IFNA(VLOOKUP($D628,'Route-Details'!$B$2:$X$1048576,'Node Details'!J$1,0),"")</f>
        <v>CM4</v>
      </c>
      <c r="K628" s="76">
        <v>46142</v>
      </c>
      <c r="L628" s="76">
        <v>46148</v>
      </c>
      <c r="M628" s="89">
        <v>46149</v>
      </c>
      <c r="N628" s="76">
        <v>46148</v>
      </c>
      <c r="Q628" s="86" t="s">
        <v>958</v>
      </c>
      <c r="R628" s="90"/>
      <c r="S628" s="87"/>
      <c r="T628" s="87"/>
      <c r="U628" s="87"/>
      <c r="V628" s="93"/>
      <c r="W628" s="91"/>
      <c r="X628" s="87"/>
      <c r="Y628" s="92"/>
      <c r="Z628" s="90"/>
      <c r="AA628" s="93"/>
      <c r="AB628" s="87"/>
      <c r="AC628" s="91"/>
      <c r="AD628" s="90"/>
      <c r="AE628" s="86"/>
      <c r="AF628" s="82"/>
      <c r="AG628" s="24"/>
      <c r="AH628" s="93"/>
      <c r="AI628" s="87"/>
      <c r="AJ628" s="86"/>
      <c r="AK628" s="81"/>
      <c r="AL628" s="24"/>
      <c r="AM628" s="24"/>
      <c r="AN628" s="81"/>
      <c r="AO628" s="81"/>
      <c r="AP628" s="24"/>
      <c r="AQ628" s="93"/>
      <c r="AR628" s="94"/>
      <c r="AS628" s="82"/>
      <c r="AT628" s="82"/>
      <c r="AU628" s="24"/>
      <c r="AV628" s="93"/>
      <c r="AW628" s="94"/>
      <c r="AX628" s="95"/>
      <c r="AY628" s="95"/>
      <c r="AZ628" s="95"/>
      <c r="BA628" s="24"/>
      <c r="BB628" s="9" t="s">
        <v>292</v>
      </c>
      <c r="BC628" s="96" t="s">
        <v>1128</v>
      </c>
    </row>
    <row r="629" spans="1:55" ht="15" customHeight="1">
      <c r="A629" s="86">
        <f t="shared" si="27"/>
        <v>627</v>
      </c>
      <c r="B629" s="75" t="s">
        <v>1223</v>
      </c>
      <c r="C629" s="9"/>
      <c r="D629" s="76" t="s">
        <v>907</v>
      </c>
      <c r="E629" s="88" t="str">
        <f>_xlfn.IFNA(VLOOKUP($D629,'Route-Details'!$B$2:$X$1048576,'Node Details'!E$1,0),"")</f>
        <v>Airtel</v>
      </c>
      <c r="F629" s="88" t="str">
        <f>_xlfn.IFNA(VLOOKUP($D629,'Route-Details'!$B$2:$X$1048576,'Node Details'!F$1,0),"")</f>
        <v>Mani Majra</v>
      </c>
      <c r="G629" s="88" t="str">
        <f>_xlfn.IFNA(VLOOKUP($D629,'Route-Details'!$B$2:$X$1048576,'Node Details'!G$1,0),"")</f>
        <v>Chandigarh</v>
      </c>
      <c r="H629" s="88" t="str">
        <f>_xlfn.IFNA(VLOOKUP($D630,'Route-Details'!$B$2:$X$1048576,'Node Details'!H$1,0),"")</f>
        <v>Punjab</v>
      </c>
      <c r="I629" s="88" t="str">
        <f>_xlfn.IFNA(VLOOKUP($D629,'Route-Details'!$B$2:$X$1048576,'Node Details'!I$1,0),"")</f>
        <v>CM4</v>
      </c>
      <c r="J629" s="88" t="str">
        <f>_xlfn.IFNA(VLOOKUP($D629,'Route-Details'!$B$2:$X$1048576,'Node Details'!J$1,0),"")</f>
        <v>CM4</v>
      </c>
      <c r="K629" s="76">
        <v>46142</v>
      </c>
      <c r="L629" s="76">
        <v>46148</v>
      </c>
      <c r="M629" s="89">
        <v>46149</v>
      </c>
      <c r="N629" s="76">
        <v>46148</v>
      </c>
      <c r="Q629" s="86" t="s">
        <v>958</v>
      </c>
      <c r="R629" s="90"/>
      <c r="S629" s="87"/>
      <c r="T629" s="87"/>
      <c r="U629" s="87"/>
      <c r="V629" s="93"/>
      <c r="W629" s="91"/>
      <c r="X629" s="87"/>
      <c r="Y629" s="92"/>
      <c r="Z629" s="90"/>
      <c r="AA629" s="93"/>
      <c r="AB629" s="87"/>
      <c r="AC629" s="91"/>
      <c r="AD629" s="90"/>
      <c r="AE629" s="86"/>
      <c r="AF629" s="82"/>
      <c r="AG629" s="24"/>
      <c r="AH629" s="93"/>
      <c r="AI629" s="87"/>
      <c r="AJ629" s="86"/>
      <c r="AK629" s="81"/>
      <c r="AL629" s="24"/>
      <c r="AM629" s="24"/>
      <c r="AN629" s="81"/>
      <c r="AO629" s="81"/>
      <c r="AP629" s="24"/>
      <c r="AQ629" s="93"/>
      <c r="AR629" s="94"/>
      <c r="AS629" s="82"/>
      <c r="AT629" s="82"/>
      <c r="AU629" s="24"/>
      <c r="AV629" s="93"/>
      <c r="AW629" s="94"/>
      <c r="AX629" s="95"/>
      <c r="AY629" s="95"/>
      <c r="AZ629" s="95"/>
      <c r="BA629" s="24"/>
      <c r="BB629" s="9" t="s">
        <v>296</v>
      </c>
      <c r="BC629" s="96" t="s">
        <v>1128</v>
      </c>
    </row>
    <row r="630" spans="1:55" ht="15" customHeight="1">
      <c r="A630" s="86">
        <f t="shared" si="27"/>
        <v>628</v>
      </c>
      <c r="B630" s="75" t="s">
        <v>908</v>
      </c>
      <c r="C630" s="9"/>
      <c r="D630" s="76" t="s">
        <v>907</v>
      </c>
      <c r="E630" s="88" t="str">
        <f>_xlfn.IFNA(VLOOKUP($D630,'Route-Details'!$B$2:$X$1048576,'Node Details'!E$1,0),"")</f>
        <v>Airtel</v>
      </c>
      <c r="F630" s="88" t="str">
        <f>_xlfn.IFNA(VLOOKUP($D630,'Route-Details'!$B$2:$X$1048576,'Node Details'!F$1,0),"")</f>
        <v>Mani Majra</v>
      </c>
      <c r="G630" s="88" t="str">
        <f>_xlfn.IFNA(VLOOKUP($D630,'Route-Details'!$B$2:$X$1048576,'Node Details'!G$1,0),"")</f>
        <v>Chandigarh</v>
      </c>
      <c r="H630" s="88" t="str">
        <f>_xlfn.IFNA(VLOOKUP($D631,'Route-Details'!$B$2:$X$1048576,'Node Details'!H$1,0),"")</f>
        <v>Punjab</v>
      </c>
      <c r="I630" s="88" t="str">
        <f>_xlfn.IFNA(VLOOKUP($D630,'Route-Details'!$B$2:$X$1048576,'Node Details'!I$1,0),"")</f>
        <v>CM4</v>
      </c>
      <c r="J630" s="88" t="str">
        <f>_xlfn.IFNA(VLOOKUP($D630,'Route-Details'!$B$2:$X$1048576,'Node Details'!J$1,0),"")</f>
        <v>CM4</v>
      </c>
      <c r="K630" s="76">
        <v>46142</v>
      </c>
      <c r="L630" s="76">
        <v>46148</v>
      </c>
      <c r="M630" s="89">
        <v>46149</v>
      </c>
      <c r="N630" s="76">
        <v>46148</v>
      </c>
      <c r="Q630" s="86" t="s">
        <v>958</v>
      </c>
      <c r="R630" s="90"/>
      <c r="S630" s="87"/>
      <c r="T630" s="87"/>
      <c r="U630" s="87"/>
      <c r="V630" s="93"/>
      <c r="W630" s="91"/>
      <c r="X630" s="87"/>
      <c r="Y630" s="92"/>
      <c r="Z630" s="90"/>
      <c r="AA630" s="93"/>
      <c r="AB630" s="87"/>
      <c r="AC630" s="91"/>
      <c r="AD630" s="90"/>
      <c r="AE630" s="86"/>
      <c r="AF630" s="82"/>
      <c r="AG630" s="24"/>
      <c r="AH630" s="93"/>
      <c r="AI630" s="87"/>
      <c r="AJ630" s="86"/>
      <c r="AK630" s="81"/>
      <c r="AL630" s="24"/>
      <c r="AM630" s="24"/>
      <c r="AN630" s="81"/>
      <c r="AO630" s="81"/>
      <c r="AP630" s="24"/>
      <c r="AQ630" s="93"/>
      <c r="AR630" s="94"/>
      <c r="AS630" s="82"/>
      <c r="AT630" s="82"/>
      <c r="AU630" s="24"/>
      <c r="AV630" s="93"/>
      <c r="AW630" s="94"/>
      <c r="AX630" s="95"/>
      <c r="AY630" s="95"/>
      <c r="AZ630" s="95"/>
      <c r="BA630" s="24"/>
      <c r="BB630" s="9" t="s">
        <v>296</v>
      </c>
      <c r="BC630" s="96" t="s">
        <v>1128</v>
      </c>
    </row>
    <row r="631" spans="1:55" ht="15" customHeight="1">
      <c r="A631" s="86">
        <f t="shared" si="27"/>
        <v>629</v>
      </c>
      <c r="B631" s="75" t="s">
        <v>910</v>
      </c>
      <c r="C631" s="9"/>
      <c r="D631" s="76" t="s">
        <v>909</v>
      </c>
      <c r="E631" s="88" t="str">
        <f>_xlfn.IFNA(VLOOKUP($D631,'Route-Details'!$B$2:$X$1048576,'Node Details'!E$1,0),"")</f>
        <v>Airtel</v>
      </c>
      <c r="F631" s="88" t="str">
        <f>_xlfn.IFNA(VLOOKUP($D631,'Route-Details'!$B$2:$X$1048576,'Node Details'!F$1,0),"")</f>
        <v>Mani Majra</v>
      </c>
      <c r="G631" s="88" t="str">
        <f>_xlfn.IFNA(VLOOKUP($D631,'Route-Details'!$B$2:$X$1048576,'Node Details'!G$1,0),"")</f>
        <v>Chandigarh</v>
      </c>
      <c r="H631" s="88" t="str">
        <f>_xlfn.IFNA(VLOOKUP($D632,'Route-Details'!$B$2:$X$1048576,'Node Details'!H$1,0),"")</f>
        <v>Punjab</v>
      </c>
      <c r="I631" s="88" t="str">
        <f>_xlfn.IFNA(VLOOKUP($D631,'Route-Details'!$B$2:$X$1048576,'Node Details'!I$1,0),"")</f>
        <v>CM4</v>
      </c>
      <c r="J631" s="88" t="str">
        <f>_xlfn.IFNA(VLOOKUP($D631,'Route-Details'!$B$2:$X$1048576,'Node Details'!J$1,0),"")</f>
        <v>CM4</v>
      </c>
      <c r="K631" s="76">
        <v>46142</v>
      </c>
      <c r="L631" s="76">
        <v>46148</v>
      </c>
      <c r="M631" s="89">
        <v>46149</v>
      </c>
      <c r="N631" s="76">
        <v>46148</v>
      </c>
      <c r="Q631" s="86" t="s">
        <v>958</v>
      </c>
      <c r="R631" s="90"/>
      <c r="S631" s="87"/>
      <c r="T631" s="87"/>
      <c r="U631" s="87"/>
      <c r="V631" s="93"/>
      <c r="W631" s="91"/>
      <c r="X631" s="87"/>
      <c r="Y631" s="92"/>
      <c r="Z631" s="90"/>
      <c r="AA631" s="93"/>
      <c r="AB631" s="87"/>
      <c r="AC631" s="91"/>
      <c r="AD631" s="90"/>
      <c r="AE631" s="86"/>
      <c r="AF631" s="82"/>
      <c r="AG631" s="24"/>
      <c r="AH631" s="93"/>
      <c r="AI631" s="87"/>
      <c r="AJ631" s="86"/>
      <c r="AK631" s="81"/>
      <c r="AL631" s="24"/>
      <c r="AM631" s="24"/>
      <c r="AN631" s="81"/>
      <c r="AO631" s="81"/>
      <c r="AP631" s="24"/>
      <c r="AQ631" s="93"/>
      <c r="AR631" s="94"/>
      <c r="AS631" s="82"/>
      <c r="AT631" s="82"/>
      <c r="AU631" s="24"/>
      <c r="AV631" s="93"/>
      <c r="AW631" s="94"/>
      <c r="AX631" s="95"/>
      <c r="AY631" s="95"/>
      <c r="AZ631" s="95"/>
      <c r="BA631" s="24"/>
      <c r="BB631" s="9" t="s">
        <v>300</v>
      </c>
      <c r="BC631" s="96" t="s">
        <v>1128</v>
      </c>
    </row>
    <row r="632" spans="1:55" ht="15" customHeight="1">
      <c r="A632" s="86">
        <f t="shared" si="27"/>
        <v>630</v>
      </c>
      <c r="B632" s="75" t="s">
        <v>815</v>
      </c>
      <c r="C632" s="9"/>
      <c r="D632" s="76" t="s">
        <v>800</v>
      </c>
      <c r="E632" s="88" t="str">
        <f>_xlfn.IFNA(VLOOKUP($D632,'Route-Details'!$B$2:$X$1048576,'Node Details'!E$1,0),"")</f>
        <v>Airtel</v>
      </c>
      <c r="F632" s="88" t="str">
        <f>_xlfn.IFNA(VLOOKUP($D632,'Route-Details'!$B$2:$X$1048576,'Node Details'!F$1,0),"")</f>
        <v>Mani Majra</v>
      </c>
      <c r="G632" s="88" t="str">
        <f>_xlfn.IFNA(VLOOKUP($D632,'Route-Details'!$B$2:$X$1048576,'Node Details'!G$1,0),"")</f>
        <v>Chandigarh</v>
      </c>
      <c r="H632" s="88" t="str">
        <f>_xlfn.IFNA(VLOOKUP($D633,'Route-Details'!$B$2:$X$1048576,'Node Details'!H$1,0),"")</f>
        <v>Punjab</v>
      </c>
      <c r="I632" s="88" t="str">
        <f>_xlfn.IFNA(VLOOKUP($D632,'Route-Details'!$B$2:$X$1048576,'Node Details'!I$1,0),"")</f>
        <v>CM4</v>
      </c>
      <c r="J632" s="88" t="str">
        <f>_xlfn.IFNA(VLOOKUP($D632,'Route-Details'!$B$2:$X$1048576,'Node Details'!J$1,0),"")</f>
        <v>CM4</v>
      </c>
      <c r="K632" s="76">
        <v>46142</v>
      </c>
      <c r="L632" s="76">
        <v>46148</v>
      </c>
      <c r="M632" s="89">
        <v>46149</v>
      </c>
      <c r="N632" s="76">
        <v>46148</v>
      </c>
      <c r="Q632" s="86" t="s">
        <v>958</v>
      </c>
      <c r="R632" s="90"/>
      <c r="S632" s="87"/>
      <c r="T632" s="87"/>
      <c r="U632" s="87"/>
      <c r="V632" s="93"/>
      <c r="W632" s="91"/>
      <c r="X632" s="87"/>
      <c r="Y632" s="92"/>
      <c r="Z632" s="90"/>
      <c r="AA632" s="93"/>
      <c r="AB632" s="87"/>
      <c r="AC632" s="91"/>
      <c r="AD632" s="90"/>
      <c r="AE632" s="86"/>
      <c r="AF632" s="82"/>
      <c r="AG632" s="24"/>
      <c r="AH632" s="93"/>
      <c r="AI632" s="87"/>
      <c r="AJ632" s="86"/>
      <c r="AK632" s="81"/>
      <c r="AL632" s="24"/>
      <c r="AM632" s="24"/>
      <c r="AN632" s="81"/>
      <c r="AO632" s="81"/>
      <c r="AP632" s="24"/>
      <c r="AQ632" s="93"/>
      <c r="AR632" s="94"/>
      <c r="AS632" s="82"/>
      <c r="AT632" s="82"/>
      <c r="AU632" s="24"/>
      <c r="AV632" s="93"/>
      <c r="AW632" s="94"/>
      <c r="AX632" s="95"/>
      <c r="AY632" s="95"/>
      <c r="AZ632" s="95"/>
      <c r="BA632" s="24"/>
      <c r="BB632" s="9" t="s">
        <v>92</v>
      </c>
      <c r="BC632" s="96" t="s">
        <v>1128</v>
      </c>
    </row>
    <row r="633" spans="1:55" ht="15" customHeight="1">
      <c r="A633" s="86">
        <f t="shared" si="27"/>
        <v>631</v>
      </c>
      <c r="B633" s="75" t="s">
        <v>912</v>
      </c>
      <c r="C633" s="9"/>
      <c r="D633" s="76" t="s">
        <v>911</v>
      </c>
      <c r="E633" s="88" t="str">
        <f>_xlfn.IFNA(VLOOKUP($D633,'Route-Details'!$B$2:$X$1048576,'Node Details'!E$1,0),"")</f>
        <v>Airtel</v>
      </c>
      <c r="F633" s="88" t="str">
        <f>_xlfn.IFNA(VLOOKUP($D633,'Route-Details'!$B$2:$X$1048576,'Node Details'!F$1,0),"")</f>
        <v>Mani Majra</v>
      </c>
      <c r="G633" s="88" t="str">
        <f>_xlfn.IFNA(VLOOKUP($D633,'Route-Details'!$B$2:$X$1048576,'Node Details'!G$1,0),"")</f>
        <v>Chandigarh</v>
      </c>
      <c r="H633" s="88" t="str">
        <f>_xlfn.IFNA(VLOOKUP($D634,'Route-Details'!$B$2:$X$1048576,'Node Details'!H$1,0),"")</f>
        <v>Punjab</v>
      </c>
      <c r="I633" s="88" t="str">
        <f>_xlfn.IFNA(VLOOKUP($D633,'Route-Details'!$B$2:$X$1048576,'Node Details'!I$1,0),"")</f>
        <v>CM4</v>
      </c>
      <c r="J633" s="88" t="str">
        <f>_xlfn.IFNA(VLOOKUP($D633,'Route-Details'!$B$2:$X$1048576,'Node Details'!J$1,0),"")</f>
        <v>CM4</v>
      </c>
      <c r="K633" s="76">
        <v>46142</v>
      </c>
      <c r="L633" s="76">
        <v>46148</v>
      </c>
      <c r="M633" s="89">
        <v>46149</v>
      </c>
      <c r="N633" s="76">
        <v>46148</v>
      </c>
      <c r="Q633" s="86" t="s">
        <v>958</v>
      </c>
      <c r="R633" s="90"/>
      <c r="S633" s="87"/>
      <c r="T633" s="87"/>
      <c r="U633" s="87"/>
      <c r="V633" s="93"/>
      <c r="W633" s="91"/>
      <c r="X633" s="87"/>
      <c r="Y633" s="92"/>
      <c r="Z633" s="90"/>
      <c r="AA633" s="93"/>
      <c r="AB633" s="87"/>
      <c r="AC633" s="91"/>
      <c r="AD633" s="90"/>
      <c r="AE633" s="86"/>
      <c r="AF633" s="82"/>
      <c r="AG633" s="24"/>
      <c r="AH633" s="93"/>
      <c r="AI633" s="87"/>
      <c r="AJ633" s="86"/>
      <c r="AK633" s="81"/>
      <c r="AL633" s="24"/>
      <c r="AM633" s="24"/>
      <c r="AN633" s="81"/>
      <c r="AO633" s="81"/>
      <c r="AP633" s="24"/>
      <c r="AQ633" s="93"/>
      <c r="AR633" s="94"/>
      <c r="AS633" s="82"/>
      <c r="AT633" s="82"/>
      <c r="AU633" s="24"/>
      <c r="AV633" s="93"/>
      <c r="AW633" s="94"/>
      <c r="AX633" s="95"/>
      <c r="AY633" s="95"/>
      <c r="AZ633" s="95"/>
      <c r="BA633" s="24"/>
      <c r="BB633" s="9" t="s">
        <v>303</v>
      </c>
      <c r="BC633" s="96" t="s">
        <v>1128</v>
      </c>
    </row>
    <row r="634" spans="1:55" ht="15" customHeight="1">
      <c r="A634" s="86">
        <f t="shared" si="27"/>
        <v>632</v>
      </c>
      <c r="B634" s="75" t="s">
        <v>1224</v>
      </c>
      <c r="C634" s="9"/>
      <c r="D634" s="76" t="s">
        <v>913</v>
      </c>
      <c r="E634" s="88" t="str">
        <f>_xlfn.IFNA(VLOOKUP($D634,'Route-Details'!$B$2:$X$1048576,'Node Details'!E$1,0),"")</f>
        <v>Airtel</v>
      </c>
      <c r="F634" s="88" t="str">
        <f>_xlfn.IFNA(VLOOKUP($D634,'Route-Details'!$B$2:$X$1048576,'Node Details'!F$1,0),"")</f>
        <v>Mani Majra</v>
      </c>
      <c r="G634" s="88" t="str">
        <f>_xlfn.IFNA(VLOOKUP($D634,'Route-Details'!$B$2:$X$1048576,'Node Details'!G$1,0),"")</f>
        <v>Chandigarh</v>
      </c>
      <c r="H634" s="88" t="str">
        <f>_xlfn.IFNA(VLOOKUP($D635,'Route-Details'!$B$2:$X$1048576,'Node Details'!H$1,0),"")</f>
        <v>Punjab</v>
      </c>
      <c r="I634" s="88" t="str">
        <f>_xlfn.IFNA(VLOOKUP($D634,'Route-Details'!$B$2:$X$1048576,'Node Details'!I$1,0),"")</f>
        <v>CM4</v>
      </c>
      <c r="J634" s="88" t="str">
        <f>_xlfn.IFNA(VLOOKUP($D634,'Route-Details'!$B$2:$X$1048576,'Node Details'!J$1,0),"")</f>
        <v>CM4</v>
      </c>
      <c r="K634" s="76">
        <v>46142</v>
      </c>
      <c r="L634" s="76">
        <v>46148</v>
      </c>
      <c r="M634" s="89">
        <v>46149</v>
      </c>
      <c r="N634" s="76">
        <v>46148</v>
      </c>
      <c r="Q634" s="86" t="s">
        <v>958</v>
      </c>
      <c r="R634" s="90"/>
      <c r="S634" s="87"/>
      <c r="T634" s="87"/>
      <c r="U634" s="87"/>
      <c r="V634" s="93"/>
      <c r="W634" s="91"/>
      <c r="X634" s="87"/>
      <c r="Y634" s="92"/>
      <c r="Z634" s="90"/>
      <c r="AA634" s="93"/>
      <c r="AB634" s="87"/>
      <c r="AC634" s="91"/>
      <c r="AD634" s="90"/>
      <c r="AE634" s="86"/>
      <c r="AF634" s="82"/>
      <c r="AG634" s="24"/>
      <c r="AH634" s="93"/>
      <c r="AI634" s="87"/>
      <c r="AJ634" s="86"/>
      <c r="AK634" s="81"/>
      <c r="AL634" s="24"/>
      <c r="AM634" s="24"/>
      <c r="AN634" s="81"/>
      <c r="AO634" s="81"/>
      <c r="AP634" s="24"/>
      <c r="AQ634" s="93"/>
      <c r="AR634" s="94"/>
      <c r="AS634" s="82"/>
      <c r="AT634" s="82"/>
      <c r="AU634" s="24"/>
      <c r="AV634" s="93"/>
      <c r="AW634" s="94"/>
      <c r="AX634" s="95"/>
      <c r="AY634" s="95"/>
      <c r="AZ634" s="95"/>
      <c r="BA634" s="24"/>
      <c r="BB634" s="9" t="s">
        <v>307</v>
      </c>
      <c r="BC634" s="96" t="s">
        <v>1128</v>
      </c>
    </row>
    <row r="635" spans="1:55" ht="15" customHeight="1">
      <c r="A635" s="86">
        <f t="shared" si="27"/>
        <v>633</v>
      </c>
      <c r="B635" s="75" t="s">
        <v>914</v>
      </c>
      <c r="C635" s="9"/>
      <c r="D635" s="76" t="s">
        <v>913</v>
      </c>
      <c r="E635" s="88" t="str">
        <f>_xlfn.IFNA(VLOOKUP($D635,'Route-Details'!$B$2:$X$1048576,'Node Details'!E$1,0),"")</f>
        <v>Airtel</v>
      </c>
      <c r="F635" s="88" t="str">
        <f>_xlfn.IFNA(VLOOKUP($D635,'Route-Details'!$B$2:$X$1048576,'Node Details'!F$1,0),"")</f>
        <v>Mani Majra</v>
      </c>
      <c r="G635" s="88" t="str">
        <f>_xlfn.IFNA(VLOOKUP($D635,'Route-Details'!$B$2:$X$1048576,'Node Details'!G$1,0),"")</f>
        <v>Chandigarh</v>
      </c>
      <c r="H635" s="88" t="str">
        <f>_xlfn.IFNA(VLOOKUP($D636,'Route-Details'!$B$2:$X$1048576,'Node Details'!H$1,0),"")</f>
        <v>Punjab</v>
      </c>
      <c r="I635" s="88" t="str">
        <f>_xlfn.IFNA(VLOOKUP($D635,'Route-Details'!$B$2:$X$1048576,'Node Details'!I$1,0),"")</f>
        <v>CM4</v>
      </c>
      <c r="J635" s="88" t="str">
        <f>_xlfn.IFNA(VLOOKUP($D635,'Route-Details'!$B$2:$X$1048576,'Node Details'!J$1,0),"")</f>
        <v>CM4</v>
      </c>
      <c r="K635" s="76">
        <v>46142</v>
      </c>
      <c r="L635" s="76">
        <v>46148</v>
      </c>
      <c r="M635" s="89">
        <v>46149</v>
      </c>
      <c r="N635" s="76">
        <v>46148</v>
      </c>
      <c r="Q635" s="86" t="s">
        <v>958</v>
      </c>
      <c r="R635" s="90"/>
      <c r="S635" s="87"/>
      <c r="T635" s="87"/>
      <c r="U635" s="87"/>
      <c r="V635" s="93"/>
      <c r="W635" s="91"/>
      <c r="X635" s="87"/>
      <c r="Y635" s="92"/>
      <c r="Z635" s="90"/>
      <c r="AA635" s="93"/>
      <c r="AB635" s="87"/>
      <c r="AC635" s="91"/>
      <c r="AD635" s="90"/>
      <c r="AE635" s="86"/>
      <c r="AF635" s="82"/>
      <c r="AG635" s="24"/>
      <c r="AH635" s="93"/>
      <c r="AI635" s="87"/>
      <c r="AJ635" s="86"/>
      <c r="AK635" s="81"/>
      <c r="AL635" s="24"/>
      <c r="AM635" s="24"/>
      <c r="AN635" s="81"/>
      <c r="AO635" s="81"/>
      <c r="AP635" s="24"/>
      <c r="AQ635" s="93"/>
      <c r="AR635" s="94"/>
      <c r="AS635" s="82"/>
      <c r="AT635" s="82"/>
      <c r="AU635" s="24"/>
      <c r="AV635" s="93"/>
      <c r="AW635" s="94"/>
      <c r="AX635" s="95"/>
      <c r="AY635" s="95"/>
      <c r="AZ635" s="95"/>
      <c r="BA635" s="24"/>
      <c r="BB635" s="9" t="s">
        <v>307</v>
      </c>
      <c r="BC635" s="96" t="s">
        <v>1128</v>
      </c>
    </row>
    <row r="636" spans="1:55" ht="15" customHeight="1">
      <c r="A636" s="86">
        <f t="shared" si="27"/>
        <v>634</v>
      </c>
      <c r="B636" s="75" t="s">
        <v>1225</v>
      </c>
      <c r="C636" s="9"/>
      <c r="D636" s="76" t="s">
        <v>915</v>
      </c>
      <c r="E636" s="88" t="str">
        <f>_xlfn.IFNA(VLOOKUP($D636,'Route-Details'!$B$2:$X$1048576,'Node Details'!E$1,0),"")</f>
        <v>Airtel</v>
      </c>
      <c r="F636" s="88" t="str">
        <f>_xlfn.IFNA(VLOOKUP($D636,'Route-Details'!$B$2:$X$1048576,'Node Details'!F$1,0),"")</f>
        <v>Mani Majra</v>
      </c>
      <c r="G636" s="88" t="str">
        <f>_xlfn.IFNA(VLOOKUP($D636,'Route-Details'!$B$2:$X$1048576,'Node Details'!G$1,0),"")</f>
        <v>Chandigarh</v>
      </c>
      <c r="H636" s="88" t="str">
        <f>_xlfn.IFNA(VLOOKUP($D637,'Route-Details'!$B$2:$X$1048576,'Node Details'!H$1,0),"")</f>
        <v>Punjab</v>
      </c>
      <c r="I636" s="88" t="str">
        <f>_xlfn.IFNA(VLOOKUP($D636,'Route-Details'!$B$2:$X$1048576,'Node Details'!I$1,0),"")</f>
        <v>CM4</v>
      </c>
      <c r="J636" s="88" t="str">
        <f>_xlfn.IFNA(VLOOKUP($D636,'Route-Details'!$B$2:$X$1048576,'Node Details'!J$1,0),"")</f>
        <v>CM4</v>
      </c>
      <c r="K636" s="76">
        <v>46142</v>
      </c>
      <c r="L636" s="76">
        <v>46148</v>
      </c>
      <c r="M636" s="89">
        <v>46149</v>
      </c>
      <c r="N636" s="76">
        <v>46148</v>
      </c>
      <c r="Q636" s="86" t="s">
        <v>958</v>
      </c>
      <c r="R636" s="90"/>
      <c r="S636" s="87"/>
      <c r="T636" s="87"/>
      <c r="U636" s="87"/>
      <c r="V636" s="93"/>
      <c r="W636" s="91"/>
      <c r="X636" s="87"/>
      <c r="Y636" s="92"/>
      <c r="Z636" s="90"/>
      <c r="AA636" s="93"/>
      <c r="AB636" s="87"/>
      <c r="AC636" s="91"/>
      <c r="AD636" s="90"/>
      <c r="AE636" s="86"/>
      <c r="AF636" s="82"/>
      <c r="AG636" s="24"/>
      <c r="AH636" s="93"/>
      <c r="AI636" s="87"/>
      <c r="AJ636" s="86"/>
      <c r="AK636" s="81"/>
      <c r="AL636" s="24"/>
      <c r="AM636" s="24"/>
      <c r="AN636" s="81"/>
      <c r="AO636" s="81"/>
      <c r="AP636" s="24"/>
      <c r="AQ636" s="93"/>
      <c r="AR636" s="94"/>
      <c r="AS636" s="82"/>
      <c r="AT636" s="82"/>
      <c r="AU636" s="24"/>
      <c r="AV636" s="93"/>
      <c r="AW636" s="94"/>
      <c r="AX636" s="95"/>
      <c r="AY636" s="95"/>
      <c r="AZ636" s="95"/>
      <c r="BA636" s="24"/>
      <c r="BB636" s="9" t="s">
        <v>310</v>
      </c>
      <c r="BC636" s="96" t="s">
        <v>1128</v>
      </c>
    </row>
    <row r="637" spans="1:55" ht="15" customHeight="1">
      <c r="A637" s="86">
        <f t="shared" si="27"/>
        <v>635</v>
      </c>
      <c r="B637" s="75" t="s">
        <v>1226</v>
      </c>
      <c r="C637" s="9"/>
      <c r="D637" s="76" t="s">
        <v>915</v>
      </c>
      <c r="E637" s="88" t="str">
        <f>_xlfn.IFNA(VLOOKUP($D637,'Route-Details'!$B$2:$X$1048576,'Node Details'!E$1,0),"")</f>
        <v>Airtel</v>
      </c>
      <c r="F637" s="88" t="str">
        <f>_xlfn.IFNA(VLOOKUP($D637,'Route-Details'!$B$2:$X$1048576,'Node Details'!F$1,0),"")</f>
        <v>Mani Majra</v>
      </c>
      <c r="G637" s="88" t="str">
        <f>_xlfn.IFNA(VLOOKUP($D637,'Route-Details'!$B$2:$X$1048576,'Node Details'!G$1,0),"")</f>
        <v>Chandigarh</v>
      </c>
      <c r="H637" s="88" t="str">
        <f>_xlfn.IFNA(VLOOKUP($D638,'Route-Details'!$B$2:$X$1048576,'Node Details'!H$1,0),"")</f>
        <v>Punjab</v>
      </c>
      <c r="I637" s="88" t="str">
        <f>_xlfn.IFNA(VLOOKUP($D637,'Route-Details'!$B$2:$X$1048576,'Node Details'!I$1,0),"")</f>
        <v>CM4</v>
      </c>
      <c r="J637" s="88" t="str">
        <f>_xlfn.IFNA(VLOOKUP($D637,'Route-Details'!$B$2:$X$1048576,'Node Details'!J$1,0),"")</f>
        <v>CM4</v>
      </c>
      <c r="K637" s="76">
        <v>46142</v>
      </c>
      <c r="L637" s="76">
        <v>46148</v>
      </c>
      <c r="M637" s="89">
        <v>46149</v>
      </c>
      <c r="N637" s="76">
        <v>46148</v>
      </c>
      <c r="Q637" s="86" t="s">
        <v>958</v>
      </c>
      <c r="R637" s="90"/>
      <c r="S637" s="87"/>
      <c r="T637" s="87"/>
      <c r="U637" s="87"/>
      <c r="V637" s="93"/>
      <c r="W637" s="91"/>
      <c r="X637" s="87"/>
      <c r="Y637" s="92"/>
      <c r="Z637" s="90"/>
      <c r="AA637" s="93"/>
      <c r="AB637" s="87"/>
      <c r="AC637" s="91"/>
      <c r="AD637" s="90"/>
      <c r="AE637" s="86"/>
      <c r="AF637" s="82"/>
      <c r="AG637" s="24"/>
      <c r="AH637" s="93"/>
      <c r="AI637" s="87"/>
      <c r="AJ637" s="86"/>
      <c r="AK637" s="81"/>
      <c r="AL637" s="24"/>
      <c r="AM637" s="24"/>
      <c r="AN637" s="81"/>
      <c r="AO637" s="81"/>
      <c r="AP637" s="24"/>
      <c r="AQ637" s="93"/>
      <c r="AR637" s="94"/>
      <c r="AS637" s="82"/>
      <c r="AT637" s="82"/>
      <c r="AU637" s="24"/>
      <c r="AV637" s="93"/>
      <c r="AW637" s="94"/>
      <c r="AX637" s="95"/>
      <c r="AY637" s="95"/>
      <c r="AZ637" s="95"/>
      <c r="BA637" s="24"/>
      <c r="BB637" s="9" t="s">
        <v>310</v>
      </c>
      <c r="BC637" s="96" t="s">
        <v>1128</v>
      </c>
    </row>
    <row r="638" spans="1:55" ht="15" customHeight="1">
      <c r="A638" s="86">
        <f t="shared" si="27"/>
        <v>636</v>
      </c>
      <c r="B638" s="75" t="s">
        <v>916</v>
      </c>
      <c r="C638" s="9"/>
      <c r="D638" s="76" t="s">
        <v>915</v>
      </c>
      <c r="E638" s="88" t="str">
        <f>_xlfn.IFNA(VLOOKUP($D638,'Route-Details'!$B$2:$X$1048576,'Node Details'!E$1,0),"")</f>
        <v>Airtel</v>
      </c>
      <c r="F638" s="88" t="str">
        <f>_xlfn.IFNA(VLOOKUP($D638,'Route-Details'!$B$2:$X$1048576,'Node Details'!F$1,0),"")</f>
        <v>Mani Majra</v>
      </c>
      <c r="G638" s="88" t="str">
        <f>_xlfn.IFNA(VLOOKUP($D638,'Route-Details'!$B$2:$X$1048576,'Node Details'!G$1,0),"")</f>
        <v>Chandigarh</v>
      </c>
      <c r="H638" s="88" t="str">
        <f>_xlfn.IFNA(VLOOKUP($D639,'Route-Details'!$B$2:$X$1048576,'Node Details'!H$1,0),"")</f>
        <v>Punjab</v>
      </c>
      <c r="I638" s="88" t="str">
        <f>_xlfn.IFNA(VLOOKUP($D638,'Route-Details'!$B$2:$X$1048576,'Node Details'!I$1,0),"")</f>
        <v>CM4</v>
      </c>
      <c r="J638" s="88" t="str">
        <f>_xlfn.IFNA(VLOOKUP($D638,'Route-Details'!$B$2:$X$1048576,'Node Details'!J$1,0),"")</f>
        <v>CM4</v>
      </c>
      <c r="K638" s="76">
        <v>46142</v>
      </c>
      <c r="L638" s="76">
        <v>46148</v>
      </c>
      <c r="M638" s="89">
        <v>46149</v>
      </c>
      <c r="N638" s="76">
        <v>46148</v>
      </c>
      <c r="Q638" s="86" t="s">
        <v>958</v>
      </c>
      <c r="R638" s="90"/>
      <c r="S638" s="87"/>
      <c r="T638" s="87"/>
      <c r="U638" s="87"/>
      <c r="V638" s="93"/>
      <c r="W638" s="91"/>
      <c r="X638" s="87"/>
      <c r="Y638" s="92"/>
      <c r="Z638" s="90"/>
      <c r="AA638" s="93"/>
      <c r="AB638" s="87"/>
      <c r="AC638" s="91"/>
      <c r="AD638" s="90"/>
      <c r="AE638" s="86"/>
      <c r="AF638" s="82"/>
      <c r="AG638" s="24"/>
      <c r="AH638" s="93"/>
      <c r="AI638" s="87"/>
      <c r="AJ638" s="86"/>
      <c r="AK638" s="81"/>
      <c r="AL638" s="24"/>
      <c r="AM638" s="24"/>
      <c r="AN638" s="81"/>
      <c r="AO638" s="81"/>
      <c r="AP638" s="24"/>
      <c r="AQ638" s="93"/>
      <c r="AR638" s="94"/>
      <c r="AS638" s="82"/>
      <c r="AT638" s="82"/>
      <c r="AU638" s="24"/>
      <c r="AV638" s="93"/>
      <c r="AW638" s="94"/>
      <c r="AX638" s="95"/>
      <c r="AY638" s="95"/>
      <c r="AZ638" s="95"/>
      <c r="BA638" s="24"/>
      <c r="BB638" s="9" t="s">
        <v>310</v>
      </c>
      <c r="BC638" s="96" t="s">
        <v>1128</v>
      </c>
    </row>
    <row r="639" spans="1:55" ht="15" customHeight="1">
      <c r="A639" s="86">
        <f t="shared" si="27"/>
        <v>637</v>
      </c>
      <c r="B639" s="75" t="s">
        <v>816</v>
      </c>
      <c r="C639" s="9"/>
      <c r="D639" s="76" t="s">
        <v>814</v>
      </c>
      <c r="E639" s="88" t="str">
        <f>_xlfn.IFNA(VLOOKUP($D639,'Route-Details'!$B$2:$X$1048576,'Node Details'!E$1,0),"")</f>
        <v>Airtel</v>
      </c>
      <c r="F639" s="88" t="str">
        <f>_xlfn.IFNA(VLOOKUP($D639,'Route-Details'!$B$2:$X$1048576,'Node Details'!F$1,0),"")</f>
        <v>Mani Majra</v>
      </c>
      <c r="G639" s="88" t="str">
        <f>_xlfn.IFNA(VLOOKUP($D639,'Route-Details'!$B$2:$X$1048576,'Node Details'!G$1,0),"")</f>
        <v>Chandigarh</v>
      </c>
      <c r="H639" s="88" t="str">
        <f>_xlfn.IFNA(VLOOKUP($D640,'Route-Details'!$B$2:$X$1048576,'Node Details'!H$1,0),"")</f>
        <v>Punjab</v>
      </c>
      <c r="I639" s="88" t="str">
        <f>_xlfn.IFNA(VLOOKUP($D639,'Route-Details'!$B$2:$X$1048576,'Node Details'!I$1,0),"")</f>
        <v>CM4</v>
      </c>
      <c r="J639" s="88" t="str">
        <f>_xlfn.IFNA(VLOOKUP($D639,'Route-Details'!$B$2:$X$1048576,'Node Details'!J$1,0),"")</f>
        <v>CM4</v>
      </c>
      <c r="K639" s="76">
        <v>46142</v>
      </c>
      <c r="L639" s="76">
        <v>46148</v>
      </c>
      <c r="M639" s="89">
        <v>46149</v>
      </c>
      <c r="N639" s="76">
        <v>46148</v>
      </c>
      <c r="Q639" s="86" t="s">
        <v>958</v>
      </c>
      <c r="R639" s="90"/>
      <c r="S639" s="87"/>
      <c r="T639" s="87"/>
      <c r="U639" s="87"/>
      <c r="V639" s="93"/>
      <c r="W639" s="91"/>
      <c r="X639" s="87"/>
      <c r="Y639" s="92"/>
      <c r="Z639" s="90"/>
      <c r="AA639" s="93"/>
      <c r="AB639" s="87"/>
      <c r="AC639" s="91"/>
      <c r="AD639" s="90"/>
      <c r="AE639" s="86"/>
      <c r="AF639" s="82"/>
      <c r="AG639" s="24"/>
      <c r="AH639" s="93"/>
      <c r="AI639" s="87"/>
      <c r="AJ639" s="86"/>
      <c r="AK639" s="81"/>
      <c r="AL639" s="24"/>
      <c r="AM639" s="24"/>
      <c r="AN639" s="81"/>
      <c r="AO639" s="81"/>
      <c r="AP639" s="24"/>
      <c r="AQ639" s="93"/>
      <c r="AR639" s="94"/>
      <c r="AS639" s="82"/>
      <c r="AT639" s="82"/>
      <c r="AU639" s="24"/>
      <c r="AV639" s="93"/>
      <c r="AW639" s="94"/>
      <c r="AX639" s="95"/>
      <c r="AY639" s="95"/>
      <c r="AZ639" s="95"/>
      <c r="BA639" s="24"/>
      <c r="BB639" s="9" t="s">
        <v>110</v>
      </c>
      <c r="BC639" s="96" t="s">
        <v>1128</v>
      </c>
    </row>
    <row r="640" spans="1:55" ht="15" customHeight="1">
      <c r="A640" s="86">
        <f t="shared" si="27"/>
        <v>638</v>
      </c>
      <c r="B640" s="75" t="s">
        <v>918</v>
      </c>
      <c r="C640" s="9"/>
      <c r="D640" s="76" t="s">
        <v>917</v>
      </c>
      <c r="E640" s="88" t="str">
        <f>_xlfn.IFNA(VLOOKUP($D640,'Route-Details'!$B$2:$X$1048576,'Node Details'!E$1,0),"")</f>
        <v>Airtel</v>
      </c>
      <c r="F640" s="88" t="str">
        <f>_xlfn.IFNA(VLOOKUP($D640,'Route-Details'!$B$2:$X$1048576,'Node Details'!F$1,0),"")</f>
        <v>Mani Majra</v>
      </c>
      <c r="G640" s="88" t="str">
        <f>_xlfn.IFNA(VLOOKUP($D640,'Route-Details'!$B$2:$X$1048576,'Node Details'!G$1,0),"")</f>
        <v>Chandigarh</v>
      </c>
      <c r="H640" s="88" t="str">
        <f>_xlfn.IFNA(VLOOKUP($D641,'Route-Details'!$B$2:$X$1048576,'Node Details'!H$1,0),"")</f>
        <v>Punjab</v>
      </c>
      <c r="I640" s="88" t="str">
        <f>_xlfn.IFNA(VLOOKUP($D640,'Route-Details'!$B$2:$X$1048576,'Node Details'!I$1,0),"")</f>
        <v>CM4</v>
      </c>
      <c r="J640" s="88" t="str">
        <f>_xlfn.IFNA(VLOOKUP($D640,'Route-Details'!$B$2:$X$1048576,'Node Details'!J$1,0),"")</f>
        <v>CM4</v>
      </c>
      <c r="K640" s="76">
        <v>46142</v>
      </c>
      <c r="L640" s="76">
        <v>46148</v>
      </c>
      <c r="M640" s="89">
        <v>46149</v>
      </c>
      <c r="N640" s="76">
        <v>46148</v>
      </c>
      <c r="Q640" s="86" t="s">
        <v>958</v>
      </c>
      <c r="R640" s="90"/>
      <c r="S640" s="87"/>
      <c r="T640" s="87"/>
      <c r="U640" s="87"/>
      <c r="V640" s="93"/>
      <c r="W640" s="91"/>
      <c r="X640" s="87"/>
      <c r="Y640" s="92"/>
      <c r="Z640" s="90"/>
      <c r="AA640" s="93"/>
      <c r="AB640" s="87"/>
      <c r="AC640" s="91"/>
      <c r="AD640" s="90"/>
      <c r="AE640" s="86"/>
      <c r="AF640" s="82"/>
      <c r="AG640" s="24"/>
      <c r="AH640" s="93"/>
      <c r="AI640" s="87"/>
      <c r="AJ640" s="86"/>
      <c r="AK640" s="81"/>
      <c r="AL640" s="24"/>
      <c r="AM640" s="24"/>
      <c r="AN640" s="81"/>
      <c r="AO640" s="81"/>
      <c r="AP640" s="24"/>
      <c r="AQ640" s="93"/>
      <c r="AR640" s="94"/>
      <c r="AS640" s="82"/>
      <c r="AT640" s="82"/>
      <c r="AU640" s="24"/>
      <c r="AV640" s="93"/>
      <c r="AW640" s="94"/>
      <c r="AX640" s="95"/>
      <c r="AY640" s="95"/>
      <c r="AZ640" s="95"/>
      <c r="BA640" s="24"/>
      <c r="BB640" s="9" t="s">
        <v>313</v>
      </c>
      <c r="BC640" s="96" t="s">
        <v>1128</v>
      </c>
    </row>
    <row r="641" spans="1:55" ht="15" customHeight="1">
      <c r="A641" s="86">
        <f t="shared" si="27"/>
        <v>639</v>
      </c>
      <c r="B641" s="75" t="s">
        <v>1227</v>
      </c>
      <c r="C641" s="9"/>
      <c r="D641" s="76" t="s">
        <v>919</v>
      </c>
      <c r="E641" s="88" t="str">
        <f>_xlfn.IFNA(VLOOKUP($D641,'Route-Details'!$B$2:$X$1048576,'Node Details'!E$1,0),"")</f>
        <v>Airtel</v>
      </c>
      <c r="F641" s="88" t="str">
        <f>_xlfn.IFNA(VLOOKUP($D641,'Route-Details'!$B$2:$X$1048576,'Node Details'!F$1,0),"")</f>
        <v>Mani Majra</v>
      </c>
      <c r="G641" s="88" t="str">
        <f>_xlfn.IFNA(VLOOKUP($D641,'Route-Details'!$B$2:$X$1048576,'Node Details'!G$1,0),"")</f>
        <v>Chandigarh</v>
      </c>
      <c r="H641" s="88" t="str">
        <f>_xlfn.IFNA(VLOOKUP($D642,'Route-Details'!$B$2:$X$1048576,'Node Details'!H$1,0),"")</f>
        <v>Punjab</v>
      </c>
      <c r="I641" s="88" t="str">
        <f>_xlfn.IFNA(VLOOKUP($D641,'Route-Details'!$B$2:$X$1048576,'Node Details'!I$1,0),"")</f>
        <v>CM4</v>
      </c>
      <c r="J641" s="88" t="str">
        <f>_xlfn.IFNA(VLOOKUP($D641,'Route-Details'!$B$2:$X$1048576,'Node Details'!J$1,0),"")</f>
        <v>CM4</v>
      </c>
      <c r="K641" s="76">
        <v>46142</v>
      </c>
      <c r="L641" s="76">
        <v>46148</v>
      </c>
      <c r="M641" s="89">
        <v>46149</v>
      </c>
      <c r="N641" s="76">
        <v>46148</v>
      </c>
      <c r="Q641" s="86" t="s">
        <v>958</v>
      </c>
      <c r="R641" s="90"/>
      <c r="S641" s="87"/>
      <c r="T641" s="87"/>
      <c r="U641" s="87"/>
      <c r="V641" s="93"/>
      <c r="W641" s="91"/>
      <c r="X641" s="87"/>
      <c r="Y641" s="92"/>
      <c r="Z641" s="90"/>
      <c r="AA641" s="93"/>
      <c r="AB641" s="87"/>
      <c r="AC641" s="91"/>
      <c r="AD641" s="90"/>
      <c r="AE641" s="86"/>
      <c r="AF641" s="82"/>
      <c r="AG641" s="24"/>
      <c r="AH641" s="93"/>
      <c r="AI641" s="87"/>
      <c r="AJ641" s="86"/>
      <c r="AK641" s="81"/>
      <c r="AL641" s="24"/>
      <c r="AM641" s="24"/>
      <c r="AN641" s="81"/>
      <c r="AO641" s="81"/>
      <c r="AP641" s="24"/>
      <c r="AQ641" s="93"/>
      <c r="AR641" s="94"/>
      <c r="AS641" s="82"/>
      <c r="AT641" s="82"/>
      <c r="AU641" s="24"/>
      <c r="AV641" s="93"/>
      <c r="AW641" s="94"/>
      <c r="AX641" s="95"/>
      <c r="AY641" s="95"/>
      <c r="AZ641" s="95"/>
      <c r="BA641" s="24"/>
      <c r="BB641" s="9" t="s">
        <v>317</v>
      </c>
      <c r="BC641" s="96" t="s">
        <v>1128</v>
      </c>
    </row>
    <row r="642" spans="1:55" ht="15" customHeight="1">
      <c r="A642" s="86">
        <f t="shared" si="27"/>
        <v>640</v>
      </c>
      <c r="B642" s="75" t="s">
        <v>1228</v>
      </c>
      <c r="C642" s="9"/>
      <c r="D642" s="76" t="s">
        <v>919</v>
      </c>
      <c r="E642" s="88" t="str">
        <f>_xlfn.IFNA(VLOOKUP($D642,'Route-Details'!$B$2:$X$1048576,'Node Details'!E$1,0),"")</f>
        <v>Airtel</v>
      </c>
      <c r="F642" s="88" t="str">
        <f>_xlfn.IFNA(VLOOKUP($D642,'Route-Details'!$B$2:$X$1048576,'Node Details'!F$1,0),"")</f>
        <v>Mani Majra</v>
      </c>
      <c r="G642" s="88" t="str">
        <f>_xlfn.IFNA(VLOOKUP($D642,'Route-Details'!$B$2:$X$1048576,'Node Details'!G$1,0),"")</f>
        <v>Chandigarh</v>
      </c>
      <c r="H642" s="88" t="str">
        <f>_xlfn.IFNA(VLOOKUP($D643,'Route-Details'!$B$2:$X$1048576,'Node Details'!H$1,0),"")</f>
        <v>Punjab</v>
      </c>
      <c r="I642" s="88" t="str">
        <f>_xlfn.IFNA(VLOOKUP($D642,'Route-Details'!$B$2:$X$1048576,'Node Details'!I$1,0),"")</f>
        <v>CM4</v>
      </c>
      <c r="J642" s="88" t="str">
        <f>_xlfn.IFNA(VLOOKUP($D642,'Route-Details'!$B$2:$X$1048576,'Node Details'!J$1,0),"")</f>
        <v>CM4</v>
      </c>
      <c r="K642" s="76">
        <v>46142</v>
      </c>
      <c r="L642" s="76">
        <v>46148</v>
      </c>
      <c r="M642" s="89">
        <v>46149</v>
      </c>
      <c r="N642" s="76">
        <v>46148</v>
      </c>
      <c r="Q642" s="86" t="s">
        <v>958</v>
      </c>
      <c r="R642" s="90"/>
      <c r="S642" s="87"/>
      <c r="T642" s="87"/>
      <c r="U642" s="87"/>
      <c r="V642" s="93"/>
      <c r="W642" s="91"/>
      <c r="X642" s="87"/>
      <c r="Y642" s="92"/>
      <c r="Z642" s="90"/>
      <c r="AA642" s="93"/>
      <c r="AB642" s="87"/>
      <c r="AC642" s="91"/>
      <c r="AD642" s="90"/>
      <c r="AE642" s="86"/>
      <c r="AF642" s="82"/>
      <c r="AG642" s="24"/>
      <c r="AH642" s="93"/>
      <c r="AI642" s="87"/>
      <c r="AJ642" s="86"/>
      <c r="AK642" s="81"/>
      <c r="AL642" s="24"/>
      <c r="AM642" s="24"/>
      <c r="AN642" s="81"/>
      <c r="AO642" s="81"/>
      <c r="AP642" s="24"/>
      <c r="AQ642" s="93"/>
      <c r="AR642" s="94"/>
      <c r="AS642" s="82"/>
      <c r="AT642" s="82"/>
      <c r="AU642" s="24"/>
      <c r="AV642" s="93"/>
      <c r="AW642" s="94"/>
      <c r="AX642" s="95"/>
      <c r="AY642" s="95"/>
      <c r="AZ642" s="95"/>
      <c r="BA642" s="24"/>
      <c r="BB642" s="9" t="s">
        <v>317</v>
      </c>
      <c r="BC642" s="96" t="s">
        <v>1128</v>
      </c>
    </row>
    <row r="643" spans="1:55" ht="15" customHeight="1">
      <c r="A643" s="86">
        <f t="shared" si="27"/>
        <v>641</v>
      </c>
      <c r="B643" s="75" t="s">
        <v>920</v>
      </c>
      <c r="C643" s="9"/>
      <c r="D643" s="76" t="s">
        <v>919</v>
      </c>
      <c r="E643" s="88" t="str">
        <f>_xlfn.IFNA(VLOOKUP($D643,'Route-Details'!$B$2:$X$1048576,'Node Details'!E$1,0),"")</f>
        <v>Airtel</v>
      </c>
      <c r="F643" s="88" t="str">
        <f>_xlfn.IFNA(VLOOKUP($D643,'Route-Details'!$B$2:$X$1048576,'Node Details'!F$1,0),"")</f>
        <v>Mani Majra</v>
      </c>
      <c r="G643" s="88" t="str">
        <f>_xlfn.IFNA(VLOOKUP($D643,'Route-Details'!$B$2:$X$1048576,'Node Details'!G$1,0),"")</f>
        <v>Chandigarh</v>
      </c>
      <c r="H643" s="88" t="str">
        <f>_xlfn.IFNA(VLOOKUP($D644,'Route-Details'!$B$2:$X$1048576,'Node Details'!H$1,0),"")</f>
        <v>Punjab</v>
      </c>
      <c r="I643" s="88" t="str">
        <f>_xlfn.IFNA(VLOOKUP($D643,'Route-Details'!$B$2:$X$1048576,'Node Details'!I$1,0),"")</f>
        <v>CM4</v>
      </c>
      <c r="J643" s="88" t="str">
        <f>_xlfn.IFNA(VLOOKUP($D643,'Route-Details'!$B$2:$X$1048576,'Node Details'!J$1,0),"")</f>
        <v>CM4</v>
      </c>
      <c r="K643" s="76">
        <v>46142</v>
      </c>
      <c r="L643" s="76">
        <v>46148</v>
      </c>
      <c r="M643" s="89">
        <v>46149</v>
      </c>
      <c r="N643" s="76">
        <v>46148</v>
      </c>
      <c r="Q643" s="86" t="s">
        <v>958</v>
      </c>
      <c r="R643" s="90"/>
      <c r="S643" s="87"/>
      <c r="T643" s="87"/>
      <c r="U643" s="87"/>
      <c r="V643" s="93"/>
      <c r="W643" s="91"/>
      <c r="X643" s="87"/>
      <c r="Y643" s="92"/>
      <c r="Z643" s="90"/>
      <c r="AA643" s="93"/>
      <c r="AB643" s="87"/>
      <c r="AC643" s="91"/>
      <c r="AD643" s="90"/>
      <c r="AE643" s="86"/>
      <c r="AF643" s="82"/>
      <c r="AG643" s="24"/>
      <c r="AH643" s="93"/>
      <c r="AI643" s="87"/>
      <c r="AJ643" s="86"/>
      <c r="AK643" s="81"/>
      <c r="AL643" s="24"/>
      <c r="AM643" s="24"/>
      <c r="AN643" s="81"/>
      <c r="AO643" s="81"/>
      <c r="AP643" s="24"/>
      <c r="AQ643" s="93"/>
      <c r="AR643" s="94"/>
      <c r="AS643" s="82"/>
      <c r="AT643" s="82"/>
      <c r="AU643" s="24"/>
      <c r="AV643" s="93"/>
      <c r="AW643" s="94"/>
      <c r="AX643" s="95"/>
      <c r="AY643" s="95"/>
      <c r="AZ643" s="95"/>
      <c r="BA643" s="24"/>
      <c r="BB643" s="9" t="s">
        <v>317</v>
      </c>
      <c r="BC643" s="96" t="s">
        <v>1128</v>
      </c>
    </row>
    <row r="644" spans="1:55" ht="15" customHeight="1">
      <c r="A644" s="86">
        <f t="shared" si="27"/>
        <v>642</v>
      </c>
      <c r="B644" s="75" t="s">
        <v>922</v>
      </c>
      <c r="C644" s="9"/>
      <c r="D644" s="76" t="s">
        <v>921</v>
      </c>
      <c r="E644" s="88" t="str">
        <f>_xlfn.IFNA(VLOOKUP($D644,'Route-Details'!$B$2:$X$1048576,'Node Details'!E$1,0),"")</f>
        <v>Airtel</v>
      </c>
      <c r="F644" s="88" t="str">
        <f>_xlfn.IFNA(VLOOKUP($D644,'Route-Details'!$B$2:$X$1048576,'Node Details'!F$1,0),"")</f>
        <v>Mani Majra</v>
      </c>
      <c r="G644" s="88" t="str">
        <f>_xlfn.IFNA(VLOOKUP($D644,'Route-Details'!$B$2:$X$1048576,'Node Details'!G$1,0),"")</f>
        <v>Chandigarh</v>
      </c>
      <c r="H644" s="88" t="str">
        <f>_xlfn.IFNA(VLOOKUP($D645,'Route-Details'!$B$2:$X$1048576,'Node Details'!H$1,0),"")</f>
        <v>Punjab</v>
      </c>
      <c r="I644" s="88" t="str">
        <f>_xlfn.IFNA(VLOOKUP($D644,'Route-Details'!$B$2:$X$1048576,'Node Details'!I$1,0),"")</f>
        <v>CM4</v>
      </c>
      <c r="J644" s="88" t="str">
        <f>_xlfn.IFNA(VLOOKUP($D644,'Route-Details'!$B$2:$X$1048576,'Node Details'!J$1,0),"")</f>
        <v>CM4</v>
      </c>
      <c r="K644" s="76">
        <v>46142</v>
      </c>
      <c r="L644" s="76">
        <v>46148</v>
      </c>
      <c r="M644" s="89">
        <v>46149</v>
      </c>
      <c r="N644" s="76">
        <v>46148</v>
      </c>
      <c r="Q644" s="86" t="s">
        <v>958</v>
      </c>
      <c r="R644" s="90"/>
      <c r="S644" s="87"/>
      <c r="T644" s="87"/>
      <c r="U644" s="87"/>
      <c r="V644" s="93"/>
      <c r="W644" s="91"/>
      <c r="X644" s="87"/>
      <c r="Y644" s="92"/>
      <c r="Z644" s="90"/>
      <c r="AA644" s="93"/>
      <c r="AB644" s="87"/>
      <c r="AC644" s="91"/>
      <c r="AD644" s="90"/>
      <c r="AE644" s="86"/>
      <c r="AF644" s="82"/>
      <c r="AG644" s="24"/>
      <c r="AH644" s="93"/>
      <c r="AI644" s="87"/>
      <c r="AJ644" s="86"/>
      <c r="AK644" s="81"/>
      <c r="AL644" s="24"/>
      <c r="AM644" s="24"/>
      <c r="AN644" s="81"/>
      <c r="AO644" s="81"/>
      <c r="AP644" s="24"/>
      <c r="AQ644" s="93"/>
      <c r="AR644" s="94"/>
      <c r="AS644" s="82"/>
      <c r="AT644" s="82"/>
      <c r="AU644" s="24"/>
      <c r="AV644" s="93"/>
      <c r="AW644" s="94"/>
      <c r="AX644" s="95"/>
      <c r="AY644" s="95"/>
      <c r="AZ644" s="95"/>
      <c r="BA644" s="24"/>
      <c r="BB644" s="9" t="s">
        <v>320</v>
      </c>
      <c r="BC644" s="96" t="s">
        <v>1128</v>
      </c>
    </row>
    <row r="645" spans="1:55" ht="15" customHeight="1">
      <c r="A645" s="86">
        <f t="shared" ref="A645:A676" si="28">A644+1</f>
        <v>643</v>
      </c>
      <c r="B645" s="75" t="s">
        <v>802</v>
      </c>
      <c r="C645" s="9"/>
      <c r="D645" s="76" t="s">
        <v>800</v>
      </c>
      <c r="E645" s="88" t="str">
        <f>_xlfn.IFNA(VLOOKUP($D645,'Route-Details'!$B$2:$X$1048576,'Node Details'!E$1,0),"")</f>
        <v>Airtel</v>
      </c>
      <c r="F645" s="88" t="str">
        <f>_xlfn.IFNA(VLOOKUP($D645,'Route-Details'!$B$2:$X$1048576,'Node Details'!F$1,0),"")</f>
        <v>Mani Majra</v>
      </c>
      <c r="G645" s="88" t="str">
        <f>_xlfn.IFNA(VLOOKUP($D645,'Route-Details'!$B$2:$X$1048576,'Node Details'!G$1,0),"")</f>
        <v>Chandigarh</v>
      </c>
      <c r="H645" s="88" t="str">
        <f>_xlfn.IFNA(VLOOKUP($D646,'Route-Details'!$B$2:$X$1048576,'Node Details'!H$1,0),"")</f>
        <v>Punjab</v>
      </c>
      <c r="I645" s="88" t="str">
        <f>_xlfn.IFNA(VLOOKUP($D645,'Route-Details'!$B$2:$X$1048576,'Node Details'!I$1,0),"")</f>
        <v>CM4</v>
      </c>
      <c r="J645" s="88" t="str">
        <f>_xlfn.IFNA(VLOOKUP($D645,'Route-Details'!$B$2:$X$1048576,'Node Details'!J$1,0),"")</f>
        <v>CM4</v>
      </c>
      <c r="K645" s="76">
        <v>46142</v>
      </c>
      <c r="L645" s="76">
        <v>46148</v>
      </c>
      <c r="M645" s="89">
        <v>46149</v>
      </c>
      <c r="N645" s="76">
        <v>46148</v>
      </c>
      <c r="Q645" s="86" t="s">
        <v>958</v>
      </c>
      <c r="R645" s="90"/>
      <c r="S645" s="87"/>
      <c r="T645" s="87"/>
      <c r="U645" s="87"/>
      <c r="V645" s="93"/>
      <c r="W645" s="91"/>
      <c r="X645" s="87"/>
      <c r="Y645" s="92"/>
      <c r="Z645" s="90"/>
      <c r="AA645" s="93"/>
      <c r="AB645" s="87"/>
      <c r="AC645" s="91"/>
      <c r="AD645" s="90"/>
      <c r="AE645" s="86"/>
      <c r="AF645" s="82"/>
      <c r="AG645" s="24"/>
      <c r="AH645" s="93"/>
      <c r="AI645" s="87"/>
      <c r="AJ645" s="86"/>
      <c r="AK645" s="81"/>
      <c r="AL645" s="24"/>
      <c r="AM645" s="24"/>
      <c r="AN645" s="81"/>
      <c r="AO645" s="81"/>
      <c r="AP645" s="24"/>
      <c r="AQ645" s="93"/>
      <c r="AR645" s="94"/>
      <c r="AS645" s="82"/>
      <c r="AT645" s="82"/>
      <c r="AU645" s="24"/>
      <c r="AV645" s="93"/>
      <c r="AW645" s="94"/>
      <c r="AX645" s="95"/>
      <c r="AY645" s="95"/>
      <c r="AZ645" s="95"/>
      <c r="BA645" s="24"/>
      <c r="BB645" s="9" t="s">
        <v>92</v>
      </c>
      <c r="BC645" s="96" t="s">
        <v>1128</v>
      </c>
    </row>
    <row r="646" spans="1:55" ht="15" customHeight="1">
      <c r="A646" s="86">
        <f t="shared" si="28"/>
        <v>644</v>
      </c>
      <c r="B646" s="75" t="s">
        <v>924</v>
      </c>
      <c r="C646" s="9"/>
      <c r="D646" s="76" t="s">
        <v>923</v>
      </c>
      <c r="E646" s="88" t="str">
        <f>_xlfn.IFNA(VLOOKUP($D646,'Route-Details'!$B$2:$X$1048576,'Node Details'!E$1,0),"")</f>
        <v>Airtel</v>
      </c>
      <c r="F646" s="88" t="str">
        <f>_xlfn.IFNA(VLOOKUP($D646,'Route-Details'!$B$2:$X$1048576,'Node Details'!F$1,0),"")</f>
        <v>Mani Majra</v>
      </c>
      <c r="G646" s="88" t="str">
        <f>_xlfn.IFNA(VLOOKUP($D646,'Route-Details'!$B$2:$X$1048576,'Node Details'!G$1,0),"")</f>
        <v>Chandigarh</v>
      </c>
      <c r="H646" s="88" t="str">
        <f>_xlfn.IFNA(VLOOKUP($D647,'Route-Details'!$B$2:$X$1048576,'Node Details'!H$1,0),"")</f>
        <v>Punjab</v>
      </c>
      <c r="I646" s="88" t="str">
        <f>_xlfn.IFNA(VLOOKUP($D646,'Route-Details'!$B$2:$X$1048576,'Node Details'!I$1,0),"")</f>
        <v>CM4</v>
      </c>
      <c r="J646" s="88" t="str">
        <f>_xlfn.IFNA(VLOOKUP($D646,'Route-Details'!$B$2:$X$1048576,'Node Details'!J$1,0),"")</f>
        <v>CM4</v>
      </c>
      <c r="K646" s="76">
        <v>46142</v>
      </c>
      <c r="L646" s="76">
        <v>46148</v>
      </c>
      <c r="M646" s="89">
        <v>46149</v>
      </c>
      <c r="N646" s="76">
        <v>46148</v>
      </c>
      <c r="Q646" s="86" t="s">
        <v>958</v>
      </c>
      <c r="R646" s="90"/>
      <c r="S646" s="87"/>
      <c r="T646" s="87"/>
      <c r="U646" s="87"/>
      <c r="V646" s="93"/>
      <c r="W646" s="91"/>
      <c r="X646" s="87"/>
      <c r="Y646" s="92"/>
      <c r="Z646" s="90"/>
      <c r="AA646" s="93"/>
      <c r="AB646" s="87"/>
      <c r="AC646" s="91"/>
      <c r="AD646" s="90"/>
      <c r="AE646" s="86"/>
      <c r="AF646" s="82"/>
      <c r="AG646" s="24"/>
      <c r="AH646" s="93"/>
      <c r="AI646" s="87"/>
      <c r="AJ646" s="86"/>
      <c r="AK646" s="81"/>
      <c r="AL646" s="24"/>
      <c r="AM646" s="24"/>
      <c r="AN646" s="81"/>
      <c r="AO646" s="81"/>
      <c r="AP646" s="24"/>
      <c r="AQ646" s="93"/>
      <c r="AR646" s="94"/>
      <c r="AS646" s="82"/>
      <c r="AT646" s="82"/>
      <c r="AU646" s="24"/>
      <c r="AV646" s="93"/>
      <c r="AW646" s="94"/>
      <c r="AX646" s="95"/>
      <c r="AY646" s="95"/>
      <c r="AZ646" s="95"/>
      <c r="BA646" s="24"/>
      <c r="BB646" s="9" t="s">
        <v>323</v>
      </c>
      <c r="BC646" s="96" t="s">
        <v>1128</v>
      </c>
    </row>
    <row r="647" spans="1:55" ht="15" customHeight="1">
      <c r="A647" s="86">
        <f t="shared" si="28"/>
        <v>645</v>
      </c>
      <c r="B647" s="75" t="s">
        <v>926</v>
      </c>
      <c r="C647" s="9"/>
      <c r="D647" s="76" t="s">
        <v>925</v>
      </c>
      <c r="E647" s="88" t="str">
        <f>_xlfn.IFNA(VLOOKUP($D647,'Route-Details'!$B$2:$X$1048576,'Node Details'!E$1,0),"")</f>
        <v>Airtel</v>
      </c>
      <c r="F647" s="88" t="str">
        <f>_xlfn.IFNA(VLOOKUP($D647,'Route-Details'!$B$2:$X$1048576,'Node Details'!F$1,0),"")</f>
        <v>Mani Majra</v>
      </c>
      <c r="G647" s="88" t="str">
        <f>_xlfn.IFNA(VLOOKUP($D647,'Route-Details'!$B$2:$X$1048576,'Node Details'!G$1,0),"")</f>
        <v>Chandigarh</v>
      </c>
      <c r="H647" s="88" t="str">
        <f>_xlfn.IFNA(VLOOKUP($D648,'Route-Details'!$B$2:$X$1048576,'Node Details'!H$1,0),"")</f>
        <v>Punjab</v>
      </c>
      <c r="I647" s="88" t="str">
        <f>_xlfn.IFNA(VLOOKUP($D647,'Route-Details'!$B$2:$X$1048576,'Node Details'!I$1,0),"")</f>
        <v>CM4</v>
      </c>
      <c r="J647" s="88" t="str">
        <f>_xlfn.IFNA(VLOOKUP($D647,'Route-Details'!$B$2:$X$1048576,'Node Details'!J$1,0),"")</f>
        <v>CM4</v>
      </c>
      <c r="K647" s="76">
        <v>46142</v>
      </c>
      <c r="L647" s="76">
        <v>46148</v>
      </c>
      <c r="M647" s="89">
        <v>46149</v>
      </c>
      <c r="N647" s="76">
        <v>46148</v>
      </c>
      <c r="Q647" s="86" t="s">
        <v>958</v>
      </c>
      <c r="R647" s="90"/>
      <c r="S647" s="87"/>
      <c r="T647" s="87"/>
      <c r="U647" s="87"/>
      <c r="V647" s="93"/>
      <c r="W647" s="91"/>
      <c r="X647" s="87"/>
      <c r="Y647" s="92"/>
      <c r="Z647" s="90"/>
      <c r="AA647" s="93"/>
      <c r="AB647" s="87"/>
      <c r="AC647" s="91"/>
      <c r="AD647" s="90"/>
      <c r="AE647" s="86"/>
      <c r="AF647" s="82"/>
      <c r="AG647" s="24"/>
      <c r="AH647" s="93"/>
      <c r="AI647" s="87"/>
      <c r="AJ647" s="86"/>
      <c r="AK647" s="81"/>
      <c r="AL647" s="24"/>
      <c r="AM647" s="24"/>
      <c r="AN647" s="81"/>
      <c r="AO647" s="81"/>
      <c r="AP647" s="24"/>
      <c r="AQ647" s="93"/>
      <c r="AR647" s="94"/>
      <c r="AS647" s="82"/>
      <c r="AT647" s="82"/>
      <c r="AU647" s="24"/>
      <c r="AV647" s="93"/>
      <c r="AW647" s="94"/>
      <c r="AX647" s="95"/>
      <c r="AY647" s="95"/>
      <c r="AZ647" s="95"/>
      <c r="BA647" s="24"/>
      <c r="BB647" s="9" t="s">
        <v>327</v>
      </c>
      <c r="BC647" s="96" t="s">
        <v>1128</v>
      </c>
    </row>
    <row r="648" spans="1:55" ht="15" customHeight="1">
      <c r="A648" s="86">
        <f t="shared" si="28"/>
        <v>646</v>
      </c>
      <c r="B648" s="75" t="s">
        <v>1229</v>
      </c>
      <c r="C648" s="9"/>
      <c r="D648" s="76" t="s">
        <v>927</v>
      </c>
      <c r="E648" s="88" t="str">
        <f>_xlfn.IFNA(VLOOKUP($D648,'Route-Details'!$B$2:$X$1048576,'Node Details'!E$1,0),"")</f>
        <v>Airtel</v>
      </c>
      <c r="F648" s="88" t="str">
        <f>_xlfn.IFNA(VLOOKUP($D648,'Route-Details'!$B$2:$X$1048576,'Node Details'!F$1,0),"")</f>
        <v>Mani Majra</v>
      </c>
      <c r="G648" s="88" t="str">
        <f>_xlfn.IFNA(VLOOKUP($D648,'Route-Details'!$B$2:$X$1048576,'Node Details'!G$1,0),"")</f>
        <v>Chandigarh</v>
      </c>
      <c r="H648" s="88" t="str">
        <f>_xlfn.IFNA(VLOOKUP($D649,'Route-Details'!$B$2:$X$1048576,'Node Details'!H$1,0),"")</f>
        <v>Punjab</v>
      </c>
      <c r="I648" s="88" t="str">
        <f>_xlfn.IFNA(VLOOKUP($D648,'Route-Details'!$B$2:$X$1048576,'Node Details'!I$1,0),"")</f>
        <v>CM4</v>
      </c>
      <c r="J648" s="88" t="str">
        <f>_xlfn.IFNA(VLOOKUP($D648,'Route-Details'!$B$2:$X$1048576,'Node Details'!J$1,0),"")</f>
        <v>CM4</v>
      </c>
      <c r="K648" s="76">
        <v>46142</v>
      </c>
      <c r="L648" s="76">
        <v>46148</v>
      </c>
      <c r="M648" s="89">
        <v>46149</v>
      </c>
      <c r="N648" s="76">
        <v>46148</v>
      </c>
      <c r="Q648" s="86" t="s">
        <v>958</v>
      </c>
      <c r="R648" s="90"/>
      <c r="S648" s="87"/>
      <c r="T648" s="87"/>
      <c r="U648" s="87"/>
      <c r="V648" s="93"/>
      <c r="W648" s="91"/>
      <c r="X648" s="87"/>
      <c r="Y648" s="92"/>
      <c r="Z648" s="90"/>
      <c r="AA648" s="93"/>
      <c r="AB648" s="87"/>
      <c r="AC648" s="91"/>
      <c r="AD648" s="90"/>
      <c r="AE648" s="86"/>
      <c r="AF648" s="82"/>
      <c r="AG648" s="24"/>
      <c r="AH648" s="93"/>
      <c r="AI648" s="87"/>
      <c r="AJ648" s="86"/>
      <c r="AK648" s="81"/>
      <c r="AL648" s="24"/>
      <c r="AM648" s="24"/>
      <c r="AN648" s="81"/>
      <c r="AO648" s="81"/>
      <c r="AP648" s="24"/>
      <c r="AQ648" s="93"/>
      <c r="AR648" s="94"/>
      <c r="AS648" s="82"/>
      <c r="AT648" s="82"/>
      <c r="AU648" s="24"/>
      <c r="AV648" s="93"/>
      <c r="AW648" s="94"/>
      <c r="AX648" s="95"/>
      <c r="AY648" s="95"/>
      <c r="AZ648" s="95"/>
      <c r="BA648" s="24"/>
      <c r="BB648" s="9" t="s">
        <v>332</v>
      </c>
      <c r="BC648" s="96" t="s">
        <v>1128</v>
      </c>
    </row>
    <row r="649" spans="1:55" ht="15" customHeight="1">
      <c r="A649" s="86">
        <f t="shared" si="28"/>
        <v>647</v>
      </c>
      <c r="B649" s="75" t="s">
        <v>928</v>
      </c>
      <c r="C649" s="9"/>
      <c r="D649" s="76" t="s">
        <v>927</v>
      </c>
      <c r="E649" s="88" t="str">
        <f>_xlfn.IFNA(VLOOKUP($D649,'Route-Details'!$B$2:$X$1048576,'Node Details'!E$1,0),"")</f>
        <v>Airtel</v>
      </c>
      <c r="F649" s="88" t="str">
        <f>_xlfn.IFNA(VLOOKUP($D649,'Route-Details'!$B$2:$X$1048576,'Node Details'!F$1,0),"")</f>
        <v>Mani Majra</v>
      </c>
      <c r="G649" s="88" t="str">
        <f>_xlfn.IFNA(VLOOKUP($D649,'Route-Details'!$B$2:$X$1048576,'Node Details'!G$1,0),"")</f>
        <v>Chandigarh</v>
      </c>
      <c r="H649" s="88" t="str">
        <f>_xlfn.IFNA(VLOOKUP($D650,'Route-Details'!$B$2:$X$1048576,'Node Details'!H$1,0),"")</f>
        <v>Punjab</v>
      </c>
      <c r="I649" s="88" t="str">
        <f>_xlfn.IFNA(VLOOKUP($D649,'Route-Details'!$B$2:$X$1048576,'Node Details'!I$1,0),"")</f>
        <v>CM4</v>
      </c>
      <c r="J649" s="88" t="str">
        <f>_xlfn.IFNA(VLOOKUP($D649,'Route-Details'!$B$2:$X$1048576,'Node Details'!J$1,0),"")</f>
        <v>CM4</v>
      </c>
      <c r="K649" s="76">
        <v>46142</v>
      </c>
      <c r="L649" s="76">
        <v>46148</v>
      </c>
      <c r="M649" s="89">
        <v>46149</v>
      </c>
      <c r="N649" s="76">
        <v>46148</v>
      </c>
      <c r="Q649" s="86" t="s">
        <v>958</v>
      </c>
      <c r="R649" s="90"/>
      <c r="S649" s="87"/>
      <c r="T649" s="87"/>
      <c r="U649" s="87"/>
      <c r="V649" s="93"/>
      <c r="W649" s="91"/>
      <c r="X649" s="87"/>
      <c r="Y649" s="92"/>
      <c r="Z649" s="90"/>
      <c r="AA649" s="93"/>
      <c r="AB649" s="87"/>
      <c r="AC649" s="91"/>
      <c r="AD649" s="90"/>
      <c r="AE649" s="86"/>
      <c r="AF649" s="82"/>
      <c r="AG649" s="24"/>
      <c r="AH649" s="93"/>
      <c r="AI649" s="87"/>
      <c r="AJ649" s="86"/>
      <c r="AK649" s="81"/>
      <c r="AL649" s="24"/>
      <c r="AM649" s="24"/>
      <c r="AN649" s="81"/>
      <c r="AO649" s="81"/>
      <c r="AP649" s="24"/>
      <c r="AQ649" s="93"/>
      <c r="AR649" s="94"/>
      <c r="AS649" s="82"/>
      <c r="AT649" s="82"/>
      <c r="AU649" s="24"/>
      <c r="AV649" s="93"/>
      <c r="AW649" s="94"/>
      <c r="AX649" s="95"/>
      <c r="AY649" s="95"/>
      <c r="AZ649" s="95"/>
      <c r="BA649" s="24"/>
      <c r="BB649" s="9" t="s">
        <v>332</v>
      </c>
      <c r="BC649" s="96" t="s">
        <v>1128</v>
      </c>
    </row>
    <row r="650" spans="1:55" ht="15" customHeight="1">
      <c r="A650" s="86">
        <f t="shared" si="28"/>
        <v>648</v>
      </c>
      <c r="B650" s="75" t="s">
        <v>1230</v>
      </c>
      <c r="C650" s="9"/>
      <c r="D650" s="76" t="s">
        <v>929</v>
      </c>
      <c r="E650" s="88" t="str">
        <f>_xlfn.IFNA(VLOOKUP($D650,'Route-Details'!$B$2:$X$1048576,'Node Details'!E$1,0),"")</f>
        <v>Airtel</v>
      </c>
      <c r="F650" s="88" t="str">
        <f>_xlfn.IFNA(VLOOKUP($D650,'Route-Details'!$B$2:$X$1048576,'Node Details'!F$1,0),"")</f>
        <v>Mani Majra</v>
      </c>
      <c r="G650" s="88" t="str">
        <f>_xlfn.IFNA(VLOOKUP($D650,'Route-Details'!$B$2:$X$1048576,'Node Details'!G$1,0),"")</f>
        <v>Chandigarh</v>
      </c>
      <c r="H650" s="88" t="str">
        <f>_xlfn.IFNA(VLOOKUP($D651,'Route-Details'!$B$2:$X$1048576,'Node Details'!H$1,0),"")</f>
        <v>Punjab</v>
      </c>
      <c r="I650" s="88" t="str">
        <f>_xlfn.IFNA(VLOOKUP($D650,'Route-Details'!$B$2:$X$1048576,'Node Details'!I$1,0),"")</f>
        <v>CM4</v>
      </c>
      <c r="J650" s="88" t="str">
        <f>_xlfn.IFNA(VLOOKUP($D650,'Route-Details'!$B$2:$X$1048576,'Node Details'!J$1,0),"")</f>
        <v>CM4</v>
      </c>
      <c r="K650" s="76">
        <v>46142</v>
      </c>
      <c r="L650" s="76">
        <v>46148</v>
      </c>
      <c r="M650" s="89">
        <v>46149</v>
      </c>
      <c r="N650" s="76">
        <v>46148</v>
      </c>
      <c r="Q650" s="86" t="s">
        <v>958</v>
      </c>
      <c r="R650" s="90"/>
      <c r="S650" s="87"/>
      <c r="T650" s="87"/>
      <c r="U650" s="87"/>
      <c r="V650" s="93"/>
      <c r="W650" s="91"/>
      <c r="X650" s="87"/>
      <c r="Y650" s="92"/>
      <c r="Z650" s="90"/>
      <c r="AA650" s="93"/>
      <c r="AB650" s="87"/>
      <c r="AC650" s="91"/>
      <c r="AD650" s="90"/>
      <c r="AE650" s="86"/>
      <c r="AF650" s="82"/>
      <c r="AG650" s="24"/>
      <c r="AH650" s="93"/>
      <c r="AI650" s="87"/>
      <c r="AJ650" s="86"/>
      <c r="AK650" s="81"/>
      <c r="AL650" s="24"/>
      <c r="AM650" s="24"/>
      <c r="AN650" s="81"/>
      <c r="AO650" s="81"/>
      <c r="AP650" s="24"/>
      <c r="AQ650" s="93"/>
      <c r="AR650" s="94"/>
      <c r="AS650" s="82"/>
      <c r="AT650" s="82"/>
      <c r="AU650" s="24"/>
      <c r="AV650" s="93"/>
      <c r="AW650" s="94"/>
      <c r="AX650" s="95"/>
      <c r="AY650" s="95"/>
      <c r="AZ650" s="95"/>
      <c r="BA650" s="24"/>
      <c r="BB650" s="9" t="s">
        <v>336</v>
      </c>
      <c r="BC650" s="96" t="s">
        <v>1128</v>
      </c>
    </row>
    <row r="651" spans="1:55" ht="15" customHeight="1">
      <c r="A651" s="86">
        <f t="shared" si="28"/>
        <v>649</v>
      </c>
      <c r="B651" s="75" t="s">
        <v>1231</v>
      </c>
      <c r="C651" s="9"/>
      <c r="D651" s="76" t="s">
        <v>929</v>
      </c>
      <c r="E651" s="88" t="str">
        <f>_xlfn.IFNA(VLOOKUP($D651,'Route-Details'!$B$2:$X$1048576,'Node Details'!E$1,0),"")</f>
        <v>Airtel</v>
      </c>
      <c r="F651" s="88" t="str">
        <f>_xlfn.IFNA(VLOOKUP($D651,'Route-Details'!$B$2:$X$1048576,'Node Details'!F$1,0),"")</f>
        <v>Mani Majra</v>
      </c>
      <c r="G651" s="88" t="str">
        <f>_xlfn.IFNA(VLOOKUP($D651,'Route-Details'!$B$2:$X$1048576,'Node Details'!G$1,0),"")</f>
        <v>Chandigarh</v>
      </c>
      <c r="H651" s="88" t="str">
        <f>_xlfn.IFNA(VLOOKUP($D652,'Route-Details'!$B$2:$X$1048576,'Node Details'!H$1,0),"")</f>
        <v>Punjab</v>
      </c>
      <c r="I651" s="88" t="str">
        <f>_xlfn.IFNA(VLOOKUP($D651,'Route-Details'!$B$2:$X$1048576,'Node Details'!I$1,0),"")</f>
        <v>CM4</v>
      </c>
      <c r="J651" s="88" t="str">
        <f>_xlfn.IFNA(VLOOKUP($D651,'Route-Details'!$B$2:$X$1048576,'Node Details'!J$1,0),"")</f>
        <v>CM4</v>
      </c>
      <c r="K651" s="76">
        <v>46142</v>
      </c>
      <c r="L651" s="76">
        <v>46148</v>
      </c>
      <c r="M651" s="89">
        <v>46149</v>
      </c>
      <c r="N651" s="76">
        <v>46148</v>
      </c>
      <c r="Q651" s="86" t="s">
        <v>958</v>
      </c>
      <c r="R651" s="90"/>
      <c r="S651" s="87"/>
      <c r="T651" s="87"/>
      <c r="U651" s="87"/>
      <c r="V651" s="93"/>
      <c r="W651" s="91"/>
      <c r="X651" s="87"/>
      <c r="Y651" s="92"/>
      <c r="Z651" s="90"/>
      <c r="AA651" s="93"/>
      <c r="AB651" s="87"/>
      <c r="AC651" s="91"/>
      <c r="AD651" s="90"/>
      <c r="AE651" s="86"/>
      <c r="AF651" s="82"/>
      <c r="AG651" s="24"/>
      <c r="AH651" s="93"/>
      <c r="AI651" s="87"/>
      <c r="AJ651" s="86"/>
      <c r="AK651" s="81"/>
      <c r="AL651" s="24"/>
      <c r="AM651" s="24"/>
      <c r="AN651" s="81"/>
      <c r="AO651" s="81"/>
      <c r="AP651" s="24"/>
      <c r="AQ651" s="93"/>
      <c r="AR651" s="94"/>
      <c r="AS651" s="82"/>
      <c r="AT651" s="82"/>
      <c r="AU651" s="24"/>
      <c r="AV651" s="93"/>
      <c r="AW651" s="94"/>
      <c r="AX651" s="95"/>
      <c r="AY651" s="95"/>
      <c r="AZ651" s="95"/>
      <c r="BA651" s="24"/>
      <c r="BB651" s="9" t="s">
        <v>336</v>
      </c>
      <c r="BC651" s="96" t="s">
        <v>1128</v>
      </c>
    </row>
    <row r="652" spans="1:55" ht="15" customHeight="1">
      <c r="A652" s="86">
        <f t="shared" si="28"/>
        <v>650</v>
      </c>
      <c r="B652" s="75" t="s">
        <v>1232</v>
      </c>
      <c r="C652" s="9"/>
      <c r="D652" s="76" t="s">
        <v>929</v>
      </c>
      <c r="E652" s="88" t="str">
        <f>_xlfn.IFNA(VLOOKUP($D652,'Route-Details'!$B$2:$X$1048576,'Node Details'!E$1,0),"")</f>
        <v>Airtel</v>
      </c>
      <c r="F652" s="88" t="str">
        <f>_xlfn.IFNA(VLOOKUP($D652,'Route-Details'!$B$2:$X$1048576,'Node Details'!F$1,0),"")</f>
        <v>Mani Majra</v>
      </c>
      <c r="G652" s="88" t="str">
        <f>_xlfn.IFNA(VLOOKUP($D652,'Route-Details'!$B$2:$X$1048576,'Node Details'!G$1,0),"")</f>
        <v>Chandigarh</v>
      </c>
      <c r="H652" s="88" t="str">
        <f>_xlfn.IFNA(VLOOKUP($D653,'Route-Details'!$B$2:$X$1048576,'Node Details'!H$1,0),"")</f>
        <v>Punjab</v>
      </c>
      <c r="I652" s="88" t="str">
        <f>_xlfn.IFNA(VLOOKUP($D652,'Route-Details'!$B$2:$X$1048576,'Node Details'!I$1,0),"")</f>
        <v>CM4</v>
      </c>
      <c r="J652" s="88" t="str">
        <f>_xlfn.IFNA(VLOOKUP($D652,'Route-Details'!$B$2:$X$1048576,'Node Details'!J$1,0),"")</f>
        <v>CM4</v>
      </c>
      <c r="K652" s="76">
        <v>46142</v>
      </c>
      <c r="L652" s="76">
        <v>46148</v>
      </c>
      <c r="M652" s="89">
        <v>46149</v>
      </c>
      <c r="N652" s="76">
        <v>46148</v>
      </c>
      <c r="Q652" s="86" t="s">
        <v>958</v>
      </c>
      <c r="R652" s="90"/>
      <c r="S652" s="87"/>
      <c r="T652" s="87"/>
      <c r="U652" s="87"/>
      <c r="V652" s="93"/>
      <c r="W652" s="91"/>
      <c r="X652" s="87"/>
      <c r="Y652" s="92"/>
      <c r="Z652" s="90"/>
      <c r="AA652" s="93"/>
      <c r="AB652" s="87"/>
      <c r="AC652" s="91"/>
      <c r="AD652" s="90"/>
      <c r="AE652" s="86"/>
      <c r="AF652" s="82"/>
      <c r="AG652" s="24"/>
      <c r="AH652" s="93"/>
      <c r="AI652" s="87"/>
      <c r="AJ652" s="86"/>
      <c r="AK652" s="81"/>
      <c r="AL652" s="24"/>
      <c r="AM652" s="24"/>
      <c r="AN652" s="81"/>
      <c r="AO652" s="81"/>
      <c r="AP652" s="24"/>
      <c r="AQ652" s="93"/>
      <c r="AR652" s="94"/>
      <c r="AS652" s="82"/>
      <c r="AT652" s="82"/>
      <c r="AU652" s="24"/>
      <c r="AV652" s="93"/>
      <c r="AW652" s="94"/>
      <c r="AX652" s="95"/>
      <c r="AY652" s="95"/>
      <c r="AZ652" s="95"/>
      <c r="BA652" s="24"/>
      <c r="BB652" s="9" t="s">
        <v>336</v>
      </c>
      <c r="BC652" s="96" t="s">
        <v>1128</v>
      </c>
    </row>
    <row r="653" spans="1:55" ht="15" customHeight="1">
      <c r="A653" s="86">
        <f t="shared" si="28"/>
        <v>651</v>
      </c>
      <c r="B653" s="75" t="s">
        <v>930</v>
      </c>
      <c r="C653" s="9"/>
      <c r="D653" s="76" t="s">
        <v>929</v>
      </c>
      <c r="E653" s="88" t="str">
        <f>_xlfn.IFNA(VLOOKUP($D653,'Route-Details'!$B$2:$X$1048576,'Node Details'!E$1,0),"")</f>
        <v>Airtel</v>
      </c>
      <c r="F653" s="88" t="str">
        <f>_xlfn.IFNA(VLOOKUP($D653,'Route-Details'!$B$2:$X$1048576,'Node Details'!F$1,0),"")</f>
        <v>Mani Majra</v>
      </c>
      <c r="G653" s="88" t="str">
        <f>_xlfn.IFNA(VLOOKUP($D653,'Route-Details'!$B$2:$X$1048576,'Node Details'!G$1,0),"")</f>
        <v>Chandigarh</v>
      </c>
      <c r="H653" s="88" t="str">
        <f>_xlfn.IFNA(VLOOKUP($D654,'Route-Details'!$B$2:$X$1048576,'Node Details'!H$1,0),"")</f>
        <v>Punjab</v>
      </c>
      <c r="I653" s="88" t="str">
        <f>_xlfn.IFNA(VLOOKUP($D653,'Route-Details'!$B$2:$X$1048576,'Node Details'!I$1,0),"")</f>
        <v>CM4</v>
      </c>
      <c r="J653" s="88" t="str">
        <f>_xlfn.IFNA(VLOOKUP($D653,'Route-Details'!$B$2:$X$1048576,'Node Details'!J$1,0),"")</f>
        <v>CM4</v>
      </c>
      <c r="K653" s="76">
        <v>46142</v>
      </c>
      <c r="L653" s="76">
        <v>46148</v>
      </c>
      <c r="M653" s="89">
        <v>46149</v>
      </c>
      <c r="N653" s="76">
        <v>46148</v>
      </c>
      <c r="Q653" s="86" t="s">
        <v>958</v>
      </c>
      <c r="R653" s="90"/>
      <c r="S653" s="87"/>
      <c r="T653" s="87"/>
      <c r="U653" s="87"/>
      <c r="V653" s="93"/>
      <c r="W653" s="91"/>
      <c r="X653" s="87"/>
      <c r="Y653" s="92"/>
      <c r="Z653" s="90"/>
      <c r="AA653" s="93"/>
      <c r="AB653" s="87"/>
      <c r="AC653" s="91"/>
      <c r="AD653" s="90"/>
      <c r="AE653" s="86"/>
      <c r="AF653" s="82"/>
      <c r="AG653" s="24"/>
      <c r="AH653" s="93"/>
      <c r="AI653" s="87"/>
      <c r="AJ653" s="86"/>
      <c r="AK653" s="81"/>
      <c r="AL653" s="24"/>
      <c r="AM653" s="24"/>
      <c r="AN653" s="81"/>
      <c r="AO653" s="81"/>
      <c r="AP653" s="24"/>
      <c r="AQ653" s="93"/>
      <c r="AR653" s="94"/>
      <c r="AS653" s="82"/>
      <c r="AT653" s="82"/>
      <c r="AU653" s="24"/>
      <c r="AV653" s="93"/>
      <c r="AW653" s="94"/>
      <c r="AX653" s="95"/>
      <c r="AY653" s="95"/>
      <c r="AZ653" s="95"/>
      <c r="BA653" s="24"/>
      <c r="BB653" s="9" t="s">
        <v>336</v>
      </c>
      <c r="BC653" s="96" t="s">
        <v>1128</v>
      </c>
    </row>
    <row r="654" spans="1:55" ht="15" customHeight="1">
      <c r="A654" s="86">
        <f t="shared" si="28"/>
        <v>652</v>
      </c>
      <c r="B654" s="75" t="s">
        <v>801</v>
      </c>
      <c r="C654" s="9"/>
      <c r="D654" s="76" t="s">
        <v>800</v>
      </c>
      <c r="E654" s="88" t="str">
        <f>_xlfn.IFNA(VLOOKUP($D654,'Route-Details'!$B$2:$X$1048576,'Node Details'!E$1,0),"")</f>
        <v>Airtel</v>
      </c>
      <c r="F654" s="88" t="str">
        <f>_xlfn.IFNA(VLOOKUP($D654,'Route-Details'!$B$2:$X$1048576,'Node Details'!F$1,0),"")</f>
        <v>Mani Majra</v>
      </c>
      <c r="G654" s="88" t="str">
        <f>_xlfn.IFNA(VLOOKUP($D654,'Route-Details'!$B$2:$X$1048576,'Node Details'!G$1,0),"")</f>
        <v>Chandigarh</v>
      </c>
      <c r="H654" s="88" t="str">
        <f>_xlfn.IFNA(VLOOKUP($D655,'Route-Details'!$B$2:$X$1048576,'Node Details'!H$1,0),"")</f>
        <v>Punjab</v>
      </c>
      <c r="I654" s="88" t="str">
        <f>_xlfn.IFNA(VLOOKUP($D654,'Route-Details'!$B$2:$X$1048576,'Node Details'!I$1,0),"")</f>
        <v>CM4</v>
      </c>
      <c r="J654" s="88" t="str">
        <f>_xlfn.IFNA(VLOOKUP($D654,'Route-Details'!$B$2:$X$1048576,'Node Details'!J$1,0),"")</f>
        <v>CM4</v>
      </c>
      <c r="K654" s="76">
        <v>46142</v>
      </c>
      <c r="L654" s="76">
        <v>46148</v>
      </c>
      <c r="M654" s="89">
        <v>46149</v>
      </c>
      <c r="N654" s="76">
        <v>46148</v>
      </c>
      <c r="Q654" s="86" t="s">
        <v>958</v>
      </c>
      <c r="R654" s="90"/>
      <c r="S654" s="87"/>
      <c r="T654" s="87"/>
      <c r="U654" s="87"/>
      <c r="V654" s="93"/>
      <c r="W654" s="91"/>
      <c r="X654" s="87"/>
      <c r="Y654" s="92"/>
      <c r="Z654" s="90"/>
      <c r="AA654" s="93"/>
      <c r="AB654" s="87"/>
      <c r="AC654" s="91"/>
      <c r="AD654" s="90"/>
      <c r="AE654" s="86"/>
      <c r="AF654" s="82"/>
      <c r="AG654" s="24"/>
      <c r="AH654" s="93"/>
      <c r="AI654" s="87"/>
      <c r="AJ654" s="86"/>
      <c r="AK654" s="81"/>
      <c r="AL654" s="24"/>
      <c r="AM654" s="24"/>
      <c r="AN654" s="81"/>
      <c r="AO654" s="81"/>
      <c r="AP654" s="24"/>
      <c r="AQ654" s="93"/>
      <c r="AR654" s="94"/>
      <c r="AS654" s="82"/>
      <c r="AT654" s="82"/>
      <c r="AU654" s="24"/>
      <c r="AV654" s="93"/>
      <c r="AW654" s="94"/>
      <c r="AX654" s="95"/>
      <c r="AY654" s="95"/>
      <c r="AZ654" s="95"/>
      <c r="BA654" s="24"/>
      <c r="BB654" s="9" t="s">
        <v>92</v>
      </c>
      <c r="BC654" s="96" t="s">
        <v>1128</v>
      </c>
    </row>
    <row r="655" spans="1:55" ht="15" customHeight="1">
      <c r="A655" s="86">
        <f t="shared" si="28"/>
        <v>653</v>
      </c>
      <c r="B655" s="75" t="s">
        <v>932</v>
      </c>
      <c r="C655" s="9"/>
      <c r="D655" s="76" t="s">
        <v>817</v>
      </c>
      <c r="E655" s="88" t="str">
        <f>_xlfn.IFNA(VLOOKUP($D655,'Route-Details'!$B$2:$X$1048576,'Node Details'!E$1,0),"")</f>
        <v>Airtel</v>
      </c>
      <c r="F655" s="88" t="str">
        <f>_xlfn.IFNA(VLOOKUP($D655,'Route-Details'!$B$2:$X$1048576,'Node Details'!F$1,0),"")</f>
        <v>Mani Majra</v>
      </c>
      <c r="G655" s="88" t="str">
        <f>_xlfn.IFNA(VLOOKUP($D655,'Route-Details'!$B$2:$X$1048576,'Node Details'!G$1,0),"")</f>
        <v>Chandigarh</v>
      </c>
      <c r="H655" s="88" t="str">
        <f>_xlfn.IFNA(VLOOKUP($D656,'Route-Details'!$B$2:$X$1048576,'Node Details'!H$1,0),"")</f>
        <v>Punjab</v>
      </c>
      <c r="I655" s="88" t="str">
        <f>_xlfn.IFNA(VLOOKUP($D655,'Route-Details'!$B$2:$X$1048576,'Node Details'!I$1,0),"")</f>
        <v>CM4</v>
      </c>
      <c r="J655" s="88" t="str">
        <f>_xlfn.IFNA(VLOOKUP($D655,'Route-Details'!$B$2:$X$1048576,'Node Details'!J$1,0),"")</f>
        <v>CM4</v>
      </c>
      <c r="K655" s="76">
        <v>46142</v>
      </c>
      <c r="L655" s="76">
        <v>46148</v>
      </c>
      <c r="M655" s="89">
        <v>46149</v>
      </c>
      <c r="N655" s="76">
        <v>46148</v>
      </c>
      <c r="Q655" s="86" t="s">
        <v>958</v>
      </c>
      <c r="R655" s="90"/>
      <c r="S655" s="87"/>
      <c r="T655" s="87"/>
      <c r="U655" s="87"/>
      <c r="V655" s="93"/>
      <c r="W655" s="91"/>
      <c r="X655" s="87"/>
      <c r="Y655" s="92"/>
      <c r="Z655" s="90"/>
      <c r="AA655" s="93"/>
      <c r="AB655" s="87"/>
      <c r="AC655" s="91"/>
      <c r="AD655" s="90"/>
      <c r="AE655" s="86"/>
      <c r="AF655" s="82"/>
      <c r="AG655" s="24"/>
      <c r="AH655" s="93"/>
      <c r="AI655" s="87"/>
      <c r="AJ655" s="86"/>
      <c r="AK655" s="81"/>
      <c r="AL655" s="24"/>
      <c r="AM655" s="24"/>
      <c r="AN655" s="81"/>
      <c r="AO655" s="81"/>
      <c r="AP655" s="24"/>
      <c r="AQ655" s="93"/>
      <c r="AR655" s="94"/>
      <c r="AS655" s="82"/>
      <c r="AT655" s="82"/>
      <c r="AU655" s="24"/>
      <c r="AV655" s="93"/>
      <c r="AW655" s="94"/>
      <c r="AX655" s="95"/>
      <c r="AY655" s="95"/>
      <c r="AZ655" s="95"/>
      <c r="BA655" s="24"/>
      <c r="BB655" s="9" t="s">
        <v>114</v>
      </c>
      <c r="BC655" s="96" t="s">
        <v>1128</v>
      </c>
    </row>
    <row r="656" spans="1:55" ht="15" customHeight="1">
      <c r="A656" s="86">
        <f t="shared" si="28"/>
        <v>654</v>
      </c>
      <c r="B656" s="75" t="s">
        <v>933</v>
      </c>
      <c r="C656" s="9"/>
      <c r="D656" s="76" t="s">
        <v>931</v>
      </c>
      <c r="E656" s="88" t="str">
        <f>_xlfn.IFNA(VLOOKUP($D656,'Route-Details'!$B$2:$X$1048576,'Node Details'!E$1,0),"")</f>
        <v>Airtel</v>
      </c>
      <c r="F656" s="88" t="str">
        <f>_xlfn.IFNA(VLOOKUP($D656,'Route-Details'!$B$2:$X$1048576,'Node Details'!F$1,0),"")</f>
        <v>Mani Majra</v>
      </c>
      <c r="G656" s="88" t="str">
        <f>_xlfn.IFNA(VLOOKUP($D656,'Route-Details'!$B$2:$X$1048576,'Node Details'!G$1,0),"")</f>
        <v>Chandigarh</v>
      </c>
      <c r="H656" s="88" t="str">
        <f>_xlfn.IFNA(VLOOKUP($D657,'Route-Details'!$B$2:$X$1048576,'Node Details'!H$1,0),"")</f>
        <v>Punjab</v>
      </c>
      <c r="I656" s="88" t="str">
        <f>_xlfn.IFNA(VLOOKUP($D656,'Route-Details'!$B$2:$X$1048576,'Node Details'!I$1,0),"")</f>
        <v>CM4</v>
      </c>
      <c r="J656" s="88" t="str">
        <f>_xlfn.IFNA(VLOOKUP($D656,'Route-Details'!$B$2:$X$1048576,'Node Details'!J$1,0),"")</f>
        <v>CM4</v>
      </c>
      <c r="K656" s="76">
        <v>46142</v>
      </c>
      <c r="L656" s="76">
        <v>46148</v>
      </c>
      <c r="M656" s="89">
        <v>46149</v>
      </c>
      <c r="N656" s="76">
        <v>46148</v>
      </c>
      <c r="Q656" s="86" t="s">
        <v>958</v>
      </c>
      <c r="R656" s="90"/>
      <c r="S656" s="87"/>
      <c r="T656" s="87"/>
      <c r="U656" s="87"/>
      <c r="V656" s="93"/>
      <c r="W656" s="91"/>
      <c r="X656" s="87"/>
      <c r="Y656" s="92"/>
      <c r="Z656" s="90"/>
      <c r="AA656" s="93"/>
      <c r="AB656" s="87"/>
      <c r="AC656" s="91"/>
      <c r="AD656" s="90"/>
      <c r="AE656" s="86"/>
      <c r="AF656" s="82"/>
      <c r="AG656" s="24"/>
      <c r="AH656" s="93"/>
      <c r="AI656" s="87"/>
      <c r="AJ656" s="86"/>
      <c r="AK656" s="81"/>
      <c r="AL656" s="24"/>
      <c r="AM656" s="24"/>
      <c r="AN656" s="81"/>
      <c r="AO656" s="81"/>
      <c r="AP656" s="24"/>
      <c r="AQ656" s="93"/>
      <c r="AR656" s="94"/>
      <c r="AS656" s="82"/>
      <c r="AT656" s="82"/>
      <c r="AU656" s="24"/>
      <c r="AV656" s="93"/>
      <c r="AW656" s="94"/>
      <c r="AX656" s="95"/>
      <c r="AY656" s="95"/>
      <c r="AZ656" s="95"/>
      <c r="BA656" s="24"/>
      <c r="BB656" s="9" t="s">
        <v>340</v>
      </c>
      <c r="BC656" s="96" t="s">
        <v>1128</v>
      </c>
    </row>
    <row r="657" spans="1:55" ht="15" customHeight="1">
      <c r="A657" s="86">
        <f t="shared" si="28"/>
        <v>655</v>
      </c>
      <c r="B657" s="75" t="s">
        <v>935</v>
      </c>
      <c r="C657" s="9"/>
      <c r="D657" s="76" t="s">
        <v>934</v>
      </c>
      <c r="E657" s="88" t="str">
        <f>_xlfn.IFNA(VLOOKUP($D657,'Route-Details'!$B$2:$X$1048576,'Node Details'!E$1,0),"")</f>
        <v>Airtel</v>
      </c>
      <c r="F657" s="88" t="str">
        <f>_xlfn.IFNA(VLOOKUP($D657,'Route-Details'!$B$2:$X$1048576,'Node Details'!F$1,0),"")</f>
        <v>Mani Majra</v>
      </c>
      <c r="G657" s="88" t="str">
        <f>_xlfn.IFNA(VLOOKUP($D657,'Route-Details'!$B$2:$X$1048576,'Node Details'!G$1,0),"")</f>
        <v>Chandigarh</v>
      </c>
      <c r="H657" s="88" t="str">
        <f>_xlfn.IFNA(VLOOKUP($D658,'Route-Details'!$B$2:$X$1048576,'Node Details'!H$1,0),"")</f>
        <v>Punjab</v>
      </c>
      <c r="I657" s="88" t="str">
        <f>_xlfn.IFNA(VLOOKUP($D657,'Route-Details'!$B$2:$X$1048576,'Node Details'!I$1,0),"")</f>
        <v>CM4</v>
      </c>
      <c r="J657" s="88" t="str">
        <f>_xlfn.IFNA(VLOOKUP($D657,'Route-Details'!$B$2:$X$1048576,'Node Details'!J$1,0),"")</f>
        <v>CM4</v>
      </c>
      <c r="K657" s="76">
        <v>46142</v>
      </c>
      <c r="L657" s="76">
        <v>46148</v>
      </c>
      <c r="M657" s="89">
        <v>46149</v>
      </c>
      <c r="N657" s="76">
        <v>46148</v>
      </c>
      <c r="Q657" s="86" t="s">
        <v>958</v>
      </c>
      <c r="R657" s="90"/>
      <c r="S657" s="87"/>
      <c r="T657" s="87"/>
      <c r="U657" s="87"/>
      <c r="V657" s="93"/>
      <c r="W657" s="91"/>
      <c r="X657" s="87"/>
      <c r="Y657" s="92"/>
      <c r="Z657" s="90"/>
      <c r="AA657" s="93"/>
      <c r="AB657" s="87"/>
      <c r="AC657" s="91"/>
      <c r="AD657" s="90"/>
      <c r="AE657" s="86"/>
      <c r="AF657" s="82"/>
      <c r="AG657" s="24"/>
      <c r="AH657" s="93"/>
      <c r="AI657" s="87"/>
      <c r="AJ657" s="86"/>
      <c r="AK657" s="81"/>
      <c r="AL657" s="24"/>
      <c r="AM657" s="24"/>
      <c r="AN657" s="81"/>
      <c r="AO657" s="81"/>
      <c r="AP657" s="24"/>
      <c r="AQ657" s="93"/>
      <c r="AR657" s="94"/>
      <c r="AS657" s="82"/>
      <c r="AT657" s="82"/>
      <c r="AU657" s="24"/>
      <c r="AV657" s="93"/>
      <c r="AW657" s="94"/>
      <c r="AX657" s="95"/>
      <c r="AY657" s="95"/>
      <c r="AZ657" s="95"/>
      <c r="BA657" s="24"/>
      <c r="BB657" s="9" t="s">
        <v>343</v>
      </c>
      <c r="BC657" s="96" t="s">
        <v>1128</v>
      </c>
    </row>
    <row r="658" spans="1:55" ht="15" customHeight="1">
      <c r="A658" s="86">
        <f t="shared" si="28"/>
        <v>656</v>
      </c>
      <c r="B658" s="75" t="s">
        <v>1233</v>
      </c>
      <c r="C658" s="9"/>
      <c r="D658" s="76" t="s">
        <v>936</v>
      </c>
      <c r="E658" s="88" t="str">
        <f>_xlfn.IFNA(VLOOKUP($D658,'Route-Details'!$B$2:$X$1048576,'Node Details'!E$1,0),"")</f>
        <v>Airtel</v>
      </c>
      <c r="F658" s="88" t="str">
        <f>_xlfn.IFNA(VLOOKUP($D658,'Route-Details'!$B$2:$X$1048576,'Node Details'!F$1,0),"")</f>
        <v>Mani Majra</v>
      </c>
      <c r="G658" s="88" t="str">
        <f>_xlfn.IFNA(VLOOKUP($D658,'Route-Details'!$B$2:$X$1048576,'Node Details'!G$1,0),"")</f>
        <v>Chandigarh</v>
      </c>
      <c r="H658" s="88" t="str">
        <f>_xlfn.IFNA(VLOOKUP($D659,'Route-Details'!$B$2:$X$1048576,'Node Details'!H$1,0),"")</f>
        <v>Punjab</v>
      </c>
      <c r="I658" s="88" t="str">
        <f>_xlfn.IFNA(VLOOKUP($D658,'Route-Details'!$B$2:$X$1048576,'Node Details'!I$1,0),"")</f>
        <v>CM4</v>
      </c>
      <c r="J658" s="88" t="str">
        <f>_xlfn.IFNA(VLOOKUP($D658,'Route-Details'!$B$2:$X$1048576,'Node Details'!J$1,0),"")</f>
        <v>CM4</v>
      </c>
      <c r="K658" s="76">
        <v>46142</v>
      </c>
      <c r="L658" s="76">
        <v>46148</v>
      </c>
      <c r="M658" s="89">
        <v>46149</v>
      </c>
      <c r="N658" s="76">
        <v>46148</v>
      </c>
      <c r="Q658" s="86" t="s">
        <v>958</v>
      </c>
      <c r="R658" s="90"/>
      <c r="S658" s="87"/>
      <c r="T658" s="87"/>
      <c r="U658" s="87"/>
      <c r="V658" s="93"/>
      <c r="W658" s="91"/>
      <c r="X658" s="87"/>
      <c r="Y658" s="92"/>
      <c r="Z658" s="90"/>
      <c r="AA658" s="93"/>
      <c r="AB658" s="87"/>
      <c r="AC658" s="91"/>
      <c r="AD658" s="90"/>
      <c r="AE658" s="86"/>
      <c r="AF658" s="82"/>
      <c r="AG658" s="24"/>
      <c r="AH658" s="93"/>
      <c r="AI658" s="87"/>
      <c r="AJ658" s="86"/>
      <c r="AK658" s="81"/>
      <c r="AL658" s="24"/>
      <c r="AM658" s="24"/>
      <c r="AN658" s="81"/>
      <c r="AO658" s="81"/>
      <c r="AP658" s="24"/>
      <c r="AQ658" s="93"/>
      <c r="AR658" s="94"/>
      <c r="AS658" s="82"/>
      <c r="AT658" s="82"/>
      <c r="AU658" s="24"/>
      <c r="AV658" s="93"/>
      <c r="AW658" s="94"/>
      <c r="AX658" s="95"/>
      <c r="AY658" s="95"/>
      <c r="AZ658" s="95"/>
      <c r="BA658" s="24"/>
      <c r="BB658" s="9" t="s">
        <v>347</v>
      </c>
      <c r="BC658" s="96" t="s">
        <v>1128</v>
      </c>
    </row>
    <row r="659" spans="1:55" ht="15" customHeight="1">
      <c r="A659" s="86">
        <f t="shared" si="28"/>
        <v>657</v>
      </c>
      <c r="B659" s="75" t="s">
        <v>1234</v>
      </c>
      <c r="C659" s="9"/>
      <c r="D659" s="76" t="s">
        <v>936</v>
      </c>
      <c r="E659" s="88" t="str">
        <f>_xlfn.IFNA(VLOOKUP($D659,'Route-Details'!$B$2:$X$1048576,'Node Details'!E$1,0),"")</f>
        <v>Airtel</v>
      </c>
      <c r="F659" s="88" t="str">
        <f>_xlfn.IFNA(VLOOKUP($D659,'Route-Details'!$B$2:$X$1048576,'Node Details'!F$1,0),"")</f>
        <v>Mani Majra</v>
      </c>
      <c r="G659" s="88" t="str">
        <f>_xlfn.IFNA(VLOOKUP($D659,'Route-Details'!$B$2:$X$1048576,'Node Details'!G$1,0),"")</f>
        <v>Chandigarh</v>
      </c>
      <c r="H659" s="88" t="str">
        <f>_xlfn.IFNA(VLOOKUP($D660,'Route-Details'!$B$2:$X$1048576,'Node Details'!H$1,0),"")</f>
        <v>Punjab</v>
      </c>
      <c r="I659" s="88" t="str">
        <f>_xlfn.IFNA(VLOOKUP($D659,'Route-Details'!$B$2:$X$1048576,'Node Details'!I$1,0),"")</f>
        <v>CM4</v>
      </c>
      <c r="J659" s="88" t="str">
        <f>_xlfn.IFNA(VLOOKUP($D659,'Route-Details'!$B$2:$X$1048576,'Node Details'!J$1,0),"")</f>
        <v>CM4</v>
      </c>
      <c r="K659" s="76">
        <v>46142</v>
      </c>
      <c r="L659" s="76">
        <v>46148</v>
      </c>
      <c r="M659" s="89">
        <v>46149</v>
      </c>
      <c r="N659" s="76">
        <v>46148</v>
      </c>
      <c r="Q659" s="86" t="s">
        <v>958</v>
      </c>
      <c r="R659" s="90"/>
      <c r="S659" s="87"/>
      <c r="T659" s="87"/>
      <c r="U659" s="87"/>
      <c r="V659" s="93"/>
      <c r="W659" s="91"/>
      <c r="X659" s="87"/>
      <c r="Y659" s="92"/>
      <c r="Z659" s="90"/>
      <c r="AA659" s="93"/>
      <c r="AB659" s="87"/>
      <c r="AC659" s="91"/>
      <c r="AD659" s="90"/>
      <c r="AE659" s="86"/>
      <c r="AF659" s="82"/>
      <c r="AG659" s="24"/>
      <c r="AH659" s="93"/>
      <c r="AI659" s="87"/>
      <c r="AJ659" s="86"/>
      <c r="AK659" s="81"/>
      <c r="AL659" s="24"/>
      <c r="AM659" s="24"/>
      <c r="AN659" s="81"/>
      <c r="AO659" s="81"/>
      <c r="AP659" s="24"/>
      <c r="AQ659" s="93"/>
      <c r="AR659" s="94"/>
      <c r="AS659" s="82"/>
      <c r="AT659" s="82"/>
      <c r="AU659" s="24"/>
      <c r="AV659" s="93"/>
      <c r="AW659" s="94"/>
      <c r="AX659" s="95"/>
      <c r="AY659" s="95"/>
      <c r="AZ659" s="95"/>
      <c r="BA659" s="24"/>
      <c r="BB659" s="9" t="s">
        <v>347</v>
      </c>
      <c r="BC659" s="96" t="s">
        <v>1128</v>
      </c>
    </row>
    <row r="660" spans="1:55" ht="15" customHeight="1">
      <c r="A660" s="86">
        <f t="shared" si="28"/>
        <v>658</v>
      </c>
      <c r="B660" s="75" t="s">
        <v>1235</v>
      </c>
      <c r="C660" s="9"/>
      <c r="D660" s="76" t="s">
        <v>936</v>
      </c>
      <c r="E660" s="88" t="str">
        <f>_xlfn.IFNA(VLOOKUP($D660,'Route-Details'!$B$2:$X$1048576,'Node Details'!E$1,0),"")</f>
        <v>Airtel</v>
      </c>
      <c r="F660" s="88" t="str">
        <f>_xlfn.IFNA(VLOOKUP($D660,'Route-Details'!$B$2:$X$1048576,'Node Details'!F$1,0),"")</f>
        <v>Mani Majra</v>
      </c>
      <c r="G660" s="88" t="str">
        <f>_xlfn.IFNA(VLOOKUP($D660,'Route-Details'!$B$2:$X$1048576,'Node Details'!G$1,0),"")</f>
        <v>Chandigarh</v>
      </c>
      <c r="H660" s="88" t="str">
        <f>_xlfn.IFNA(VLOOKUP($D661,'Route-Details'!$B$2:$X$1048576,'Node Details'!H$1,0),"")</f>
        <v>Punjab</v>
      </c>
      <c r="I660" s="88" t="str">
        <f>_xlfn.IFNA(VLOOKUP($D660,'Route-Details'!$B$2:$X$1048576,'Node Details'!I$1,0),"")</f>
        <v>CM4</v>
      </c>
      <c r="J660" s="88" t="str">
        <f>_xlfn.IFNA(VLOOKUP($D660,'Route-Details'!$B$2:$X$1048576,'Node Details'!J$1,0),"")</f>
        <v>CM4</v>
      </c>
      <c r="K660" s="76">
        <v>46142</v>
      </c>
      <c r="L660" s="76">
        <v>46148</v>
      </c>
      <c r="M660" s="89">
        <v>46149</v>
      </c>
      <c r="N660" s="76">
        <v>46148</v>
      </c>
      <c r="Q660" s="86" t="s">
        <v>958</v>
      </c>
      <c r="R660" s="90"/>
      <c r="S660" s="87"/>
      <c r="T660" s="87"/>
      <c r="U660" s="87"/>
      <c r="V660" s="93"/>
      <c r="W660" s="91"/>
      <c r="X660" s="87"/>
      <c r="Y660" s="92"/>
      <c r="Z660" s="90"/>
      <c r="AA660" s="93"/>
      <c r="AB660" s="87"/>
      <c r="AC660" s="91"/>
      <c r="AD660" s="90"/>
      <c r="AE660" s="86"/>
      <c r="AF660" s="82"/>
      <c r="AG660" s="24"/>
      <c r="AH660" s="93"/>
      <c r="AI660" s="87"/>
      <c r="AJ660" s="86"/>
      <c r="AK660" s="81"/>
      <c r="AL660" s="24"/>
      <c r="AM660" s="24"/>
      <c r="AN660" s="81"/>
      <c r="AO660" s="81"/>
      <c r="AP660" s="24"/>
      <c r="AQ660" s="93"/>
      <c r="AR660" s="94"/>
      <c r="AS660" s="82"/>
      <c r="AT660" s="82"/>
      <c r="AU660" s="24"/>
      <c r="AV660" s="93"/>
      <c r="AW660" s="94"/>
      <c r="AX660" s="95"/>
      <c r="AY660" s="95"/>
      <c r="AZ660" s="95"/>
      <c r="BA660" s="24"/>
      <c r="BB660" s="9" t="s">
        <v>347</v>
      </c>
      <c r="BC660" s="96" t="s">
        <v>1128</v>
      </c>
    </row>
    <row r="661" spans="1:55" ht="15" customHeight="1">
      <c r="A661" s="86">
        <f t="shared" si="28"/>
        <v>659</v>
      </c>
      <c r="B661" s="75" t="s">
        <v>1236</v>
      </c>
      <c r="C661" s="9"/>
      <c r="D661" s="76" t="s">
        <v>936</v>
      </c>
      <c r="E661" s="88" t="str">
        <f>_xlfn.IFNA(VLOOKUP($D661,'Route-Details'!$B$2:$X$1048576,'Node Details'!E$1,0),"")</f>
        <v>Airtel</v>
      </c>
      <c r="F661" s="88" t="str">
        <f>_xlfn.IFNA(VLOOKUP($D661,'Route-Details'!$B$2:$X$1048576,'Node Details'!F$1,0),"")</f>
        <v>Mani Majra</v>
      </c>
      <c r="G661" s="88" t="str">
        <f>_xlfn.IFNA(VLOOKUP($D661,'Route-Details'!$B$2:$X$1048576,'Node Details'!G$1,0),"")</f>
        <v>Chandigarh</v>
      </c>
      <c r="H661" s="88" t="str">
        <f>_xlfn.IFNA(VLOOKUP($D662,'Route-Details'!$B$2:$X$1048576,'Node Details'!H$1,0),"")</f>
        <v>Punjab</v>
      </c>
      <c r="I661" s="88" t="str">
        <f>_xlfn.IFNA(VLOOKUP($D661,'Route-Details'!$B$2:$X$1048576,'Node Details'!I$1,0),"")</f>
        <v>CM4</v>
      </c>
      <c r="J661" s="88" t="str">
        <f>_xlfn.IFNA(VLOOKUP($D661,'Route-Details'!$B$2:$X$1048576,'Node Details'!J$1,0),"")</f>
        <v>CM4</v>
      </c>
      <c r="K661" s="76">
        <v>46142</v>
      </c>
      <c r="L661" s="76">
        <v>46148</v>
      </c>
      <c r="M661" s="89">
        <v>46149</v>
      </c>
      <c r="N661" s="76">
        <v>46148</v>
      </c>
      <c r="Q661" s="86" t="s">
        <v>958</v>
      </c>
      <c r="R661" s="90"/>
      <c r="S661" s="87"/>
      <c r="T661" s="87"/>
      <c r="U661" s="87"/>
      <c r="V661" s="93"/>
      <c r="W661" s="91"/>
      <c r="X661" s="87"/>
      <c r="Y661" s="92"/>
      <c r="Z661" s="90"/>
      <c r="AA661" s="93"/>
      <c r="AB661" s="87"/>
      <c r="AC661" s="91"/>
      <c r="AD661" s="90"/>
      <c r="AE661" s="86"/>
      <c r="AF661" s="82"/>
      <c r="AG661" s="24"/>
      <c r="AH661" s="93"/>
      <c r="AI661" s="87"/>
      <c r="AJ661" s="86"/>
      <c r="AK661" s="81"/>
      <c r="AL661" s="24"/>
      <c r="AM661" s="24"/>
      <c r="AN661" s="81"/>
      <c r="AO661" s="81"/>
      <c r="AP661" s="24"/>
      <c r="AQ661" s="93"/>
      <c r="AR661" s="94"/>
      <c r="AS661" s="82"/>
      <c r="AT661" s="82"/>
      <c r="AU661" s="24"/>
      <c r="AV661" s="93"/>
      <c r="AW661" s="94"/>
      <c r="AX661" s="95"/>
      <c r="AY661" s="95"/>
      <c r="AZ661" s="95"/>
      <c r="BA661" s="24"/>
      <c r="BB661" s="9" t="s">
        <v>347</v>
      </c>
      <c r="BC661" s="96" t="s">
        <v>1128</v>
      </c>
    </row>
    <row r="662" spans="1:55" ht="15" customHeight="1">
      <c r="A662" s="86">
        <f t="shared" si="28"/>
        <v>660</v>
      </c>
      <c r="B662" s="75" t="s">
        <v>937</v>
      </c>
      <c r="C662" s="9"/>
      <c r="D662" s="76" t="s">
        <v>936</v>
      </c>
      <c r="E662" s="88" t="str">
        <f>_xlfn.IFNA(VLOOKUP($D662,'Route-Details'!$B$2:$X$1048576,'Node Details'!E$1,0),"")</f>
        <v>Airtel</v>
      </c>
      <c r="F662" s="88" t="str">
        <f>_xlfn.IFNA(VLOOKUP($D662,'Route-Details'!$B$2:$X$1048576,'Node Details'!F$1,0),"")</f>
        <v>Mani Majra</v>
      </c>
      <c r="G662" s="88" t="str">
        <f>_xlfn.IFNA(VLOOKUP($D662,'Route-Details'!$B$2:$X$1048576,'Node Details'!G$1,0),"")</f>
        <v>Chandigarh</v>
      </c>
      <c r="H662" s="88" t="str">
        <f>_xlfn.IFNA(VLOOKUP($D663,'Route-Details'!$B$2:$X$1048576,'Node Details'!H$1,0),"")</f>
        <v>Punjab</v>
      </c>
      <c r="I662" s="88" t="str">
        <f>_xlfn.IFNA(VLOOKUP($D662,'Route-Details'!$B$2:$X$1048576,'Node Details'!I$1,0),"")</f>
        <v>CM4</v>
      </c>
      <c r="J662" s="88" t="str">
        <f>_xlfn.IFNA(VLOOKUP($D662,'Route-Details'!$B$2:$X$1048576,'Node Details'!J$1,0),"")</f>
        <v>CM4</v>
      </c>
      <c r="K662" s="76">
        <v>46142</v>
      </c>
      <c r="L662" s="76">
        <v>46148</v>
      </c>
      <c r="M662" s="89">
        <v>46149</v>
      </c>
      <c r="N662" s="76">
        <v>46148</v>
      </c>
      <c r="Q662" s="86" t="s">
        <v>958</v>
      </c>
      <c r="R662" s="90"/>
      <c r="S662" s="87"/>
      <c r="T662" s="87"/>
      <c r="U662" s="87"/>
      <c r="V662" s="93"/>
      <c r="W662" s="91"/>
      <c r="X662" s="87"/>
      <c r="Y662" s="92"/>
      <c r="Z662" s="90"/>
      <c r="AA662" s="93"/>
      <c r="AB662" s="87"/>
      <c r="AC662" s="91"/>
      <c r="AD662" s="90"/>
      <c r="AE662" s="86"/>
      <c r="AF662" s="82"/>
      <c r="AG662" s="24"/>
      <c r="AH662" s="93"/>
      <c r="AI662" s="87"/>
      <c r="AJ662" s="86"/>
      <c r="AK662" s="81"/>
      <c r="AL662" s="24"/>
      <c r="AM662" s="24"/>
      <c r="AN662" s="81"/>
      <c r="AO662" s="81"/>
      <c r="AP662" s="24"/>
      <c r="AQ662" s="93"/>
      <c r="AR662" s="94"/>
      <c r="AS662" s="82"/>
      <c r="AT662" s="82"/>
      <c r="AU662" s="24"/>
      <c r="AV662" s="93"/>
      <c r="AW662" s="94"/>
      <c r="AX662" s="95"/>
      <c r="AY662" s="95"/>
      <c r="AZ662" s="95"/>
      <c r="BA662" s="24"/>
      <c r="BB662" s="9" t="s">
        <v>347</v>
      </c>
      <c r="BC662" s="96" t="s">
        <v>1128</v>
      </c>
    </row>
    <row r="663" spans="1:55" ht="15" customHeight="1">
      <c r="A663" s="86">
        <f t="shared" si="28"/>
        <v>661</v>
      </c>
      <c r="B663" s="75" t="s">
        <v>939</v>
      </c>
      <c r="C663" s="9"/>
      <c r="D663" s="76" t="s">
        <v>938</v>
      </c>
      <c r="E663" s="88" t="str">
        <f>_xlfn.IFNA(VLOOKUP($D663,'Route-Details'!$B$2:$X$1048576,'Node Details'!E$1,0),"")</f>
        <v>Airtel</v>
      </c>
      <c r="F663" s="88" t="str">
        <f>_xlfn.IFNA(VLOOKUP($D663,'Route-Details'!$B$2:$X$1048576,'Node Details'!F$1,0),"")</f>
        <v>Mani Majra</v>
      </c>
      <c r="G663" s="88" t="str">
        <f>_xlfn.IFNA(VLOOKUP($D663,'Route-Details'!$B$2:$X$1048576,'Node Details'!G$1,0),"")</f>
        <v>Chandigarh</v>
      </c>
      <c r="H663" s="88" t="str">
        <f>_xlfn.IFNA(VLOOKUP($D664,'Route-Details'!$B$2:$X$1048576,'Node Details'!H$1,0),"")</f>
        <v>Punjab</v>
      </c>
      <c r="I663" s="88" t="str">
        <f>_xlfn.IFNA(VLOOKUP($D663,'Route-Details'!$B$2:$X$1048576,'Node Details'!I$1,0),"")</f>
        <v>CM4</v>
      </c>
      <c r="J663" s="88" t="str">
        <f>_xlfn.IFNA(VLOOKUP($D663,'Route-Details'!$B$2:$X$1048576,'Node Details'!J$1,0),"")</f>
        <v>CM4</v>
      </c>
      <c r="K663" s="76">
        <v>46142</v>
      </c>
      <c r="L663" s="76">
        <v>46148</v>
      </c>
      <c r="M663" s="89">
        <v>46149</v>
      </c>
      <c r="N663" s="76">
        <v>46148</v>
      </c>
      <c r="Q663" s="86" t="s">
        <v>958</v>
      </c>
      <c r="R663" s="90"/>
      <c r="S663" s="87"/>
      <c r="T663" s="87"/>
      <c r="U663" s="87"/>
      <c r="V663" s="93"/>
      <c r="W663" s="91"/>
      <c r="X663" s="87"/>
      <c r="Y663" s="92"/>
      <c r="Z663" s="90"/>
      <c r="AA663" s="93"/>
      <c r="AB663" s="87"/>
      <c r="AC663" s="91"/>
      <c r="AD663" s="90"/>
      <c r="AE663" s="86"/>
      <c r="AF663" s="82"/>
      <c r="AG663" s="24"/>
      <c r="AH663" s="93"/>
      <c r="AI663" s="87"/>
      <c r="AJ663" s="86"/>
      <c r="AK663" s="81"/>
      <c r="AL663" s="24"/>
      <c r="AM663" s="24"/>
      <c r="AN663" s="81"/>
      <c r="AO663" s="81"/>
      <c r="AP663" s="24"/>
      <c r="AQ663" s="93"/>
      <c r="AR663" s="94"/>
      <c r="AS663" s="82"/>
      <c r="AT663" s="82"/>
      <c r="AU663" s="24"/>
      <c r="AV663" s="93"/>
      <c r="AW663" s="94"/>
      <c r="AX663" s="95"/>
      <c r="AY663" s="95"/>
      <c r="AZ663" s="95"/>
      <c r="BA663" s="24"/>
      <c r="BB663" s="9" t="s">
        <v>350</v>
      </c>
      <c r="BC663" s="96" t="s">
        <v>1128</v>
      </c>
    </row>
    <row r="664" spans="1:55" ht="15" customHeight="1">
      <c r="A664" s="86">
        <f t="shared" si="28"/>
        <v>662</v>
      </c>
      <c r="B664" s="75" t="s">
        <v>941</v>
      </c>
      <c r="C664" s="9"/>
      <c r="D664" s="76" t="s">
        <v>817</v>
      </c>
      <c r="E664" s="88" t="str">
        <f>_xlfn.IFNA(VLOOKUP($D664,'Route-Details'!$B$2:$X$1048576,'Node Details'!E$1,0),"")</f>
        <v>Airtel</v>
      </c>
      <c r="F664" s="88" t="str">
        <f>_xlfn.IFNA(VLOOKUP($D664,'Route-Details'!$B$2:$X$1048576,'Node Details'!F$1,0),"")</f>
        <v>Mani Majra</v>
      </c>
      <c r="G664" s="88" t="str">
        <f>_xlfn.IFNA(VLOOKUP($D664,'Route-Details'!$B$2:$X$1048576,'Node Details'!G$1,0),"")</f>
        <v>Chandigarh</v>
      </c>
      <c r="H664" s="88" t="str">
        <f>_xlfn.IFNA(VLOOKUP($D665,'Route-Details'!$B$2:$X$1048576,'Node Details'!H$1,0),"")</f>
        <v>Punjab</v>
      </c>
      <c r="I664" s="88" t="str">
        <f>_xlfn.IFNA(VLOOKUP($D664,'Route-Details'!$B$2:$X$1048576,'Node Details'!I$1,0),"")</f>
        <v>CM4</v>
      </c>
      <c r="J664" s="88" t="str">
        <f>_xlfn.IFNA(VLOOKUP($D664,'Route-Details'!$B$2:$X$1048576,'Node Details'!J$1,0),"")</f>
        <v>CM4</v>
      </c>
      <c r="K664" s="76">
        <v>46142</v>
      </c>
      <c r="L664" s="76">
        <v>46148</v>
      </c>
      <c r="M664" s="89">
        <v>46149</v>
      </c>
      <c r="N664" s="76">
        <v>46148</v>
      </c>
      <c r="Q664" s="86" t="s">
        <v>958</v>
      </c>
      <c r="R664" s="90"/>
      <c r="S664" s="87"/>
      <c r="T664" s="87"/>
      <c r="U664" s="87"/>
      <c r="V664" s="93"/>
      <c r="W664" s="91"/>
      <c r="X664" s="87"/>
      <c r="Y664" s="92"/>
      <c r="Z664" s="90"/>
      <c r="AA664" s="93"/>
      <c r="AB664" s="87"/>
      <c r="AC664" s="91"/>
      <c r="AD664" s="90"/>
      <c r="AE664" s="86"/>
      <c r="AF664" s="82"/>
      <c r="AG664" s="24"/>
      <c r="AH664" s="93"/>
      <c r="AI664" s="87"/>
      <c r="AJ664" s="86"/>
      <c r="AK664" s="81"/>
      <c r="AL664" s="24"/>
      <c r="AM664" s="24"/>
      <c r="AN664" s="81"/>
      <c r="AO664" s="81"/>
      <c r="AP664" s="24"/>
      <c r="AQ664" s="93"/>
      <c r="AR664" s="94"/>
      <c r="AS664" s="82"/>
      <c r="AT664" s="82"/>
      <c r="AU664" s="24"/>
      <c r="AV664" s="93"/>
      <c r="AW664" s="94"/>
      <c r="AX664" s="95"/>
      <c r="AY664" s="95"/>
      <c r="AZ664" s="95"/>
      <c r="BA664" s="24"/>
      <c r="BB664" s="9" t="s">
        <v>114</v>
      </c>
      <c r="BC664" s="96" t="s">
        <v>1128</v>
      </c>
    </row>
    <row r="665" spans="1:55" ht="15" customHeight="1">
      <c r="A665" s="86">
        <f t="shared" si="28"/>
        <v>663</v>
      </c>
      <c r="B665" s="75" t="s">
        <v>1237</v>
      </c>
      <c r="C665" s="9"/>
      <c r="D665" s="76" t="s">
        <v>940</v>
      </c>
      <c r="E665" s="88" t="str">
        <f>_xlfn.IFNA(VLOOKUP($D665,'Route-Details'!$B$2:$X$1048576,'Node Details'!E$1,0),"")</f>
        <v>Airtel</v>
      </c>
      <c r="F665" s="88" t="str">
        <f>_xlfn.IFNA(VLOOKUP($D665,'Route-Details'!$B$2:$X$1048576,'Node Details'!F$1,0),"")</f>
        <v>Mani Majra</v>
      </c>
      <c r="G665" s="88" t="str">
        <f>_xlfn.IFNA(VLOOKUP($D665,'Route-Details'!$B$2:$X$1048576,'Node Details'!G$1,0),"")</f>
        <v>Chandigarh</v>
      </c>
      <c r="H665" s="88" t="str">
        <f>_xlfn.IFNA(VLOOKUP($D666,'Route-Details'!$B$2:$X$1048576,'Node Details'!H$1,0),"")</f>
        <v>Punjab</v>
      </c>
      <c r="I665" s="88" t="str">
        <f>_xlfn.IFNA(VLOOKUP($D665,'Route-Details'!$B$2:$X$1048576,'Node Details'!I$1,0),"")</f>
        <v>CM4</v>
      </c>
      <c r="J665" s="88" t="str">
        <f>_xlfn.IFNA(VLOOKUP($D665,'Route-Details'!$B$2:$X$1048576,'Node Details'!J$1,0),"")</f>
        <v>CM4</v>
      </c>
      <c r="K665" s="76">
        <v>46142</v>
      </c>
      <c r="L665" s="76">
        <v>46148</v>
      </c>
      <c r="M665" s="89">
        <v>46149</v>
      </c>
      <c r="N665" s="76">
        <v>46148</v>
      </c>
      <c r="Q665" s="86" t="s">
        <v>958</v>
      </c>
      <c r="R665" s="90"/>
      <c r="S665" s="87"/>
      <c r="T665" s="87"/>
      <c r="U665" s="87"/>
      <c r="V665" s="93"/>
      <c r="W665" s="91"/>
      <c r="X665" s="87"/>
      <c r="Y665" s="92"/>
      <c r="Z665" s="90"/>
      <c r="AA665" s="93"/>
      <c r="AB665" s="87"/>
      <c r="AC665" s="91"/>
      <c r="AD665" s="90"/>
      <c r="AE665" s="86"/>
      <c r="AF665" s="82"/>
      <c r="AG665" s="24"/>
      <c r="AH665" s="93"/>
      <c r="AI665" s="87"/>
      <c r="AJ665" s="86"/>
      <c r="AK665" s="81"/>
      <c r="AL665" s="24"/>
      <c r="AM665" s="24"/>
      <c r="AN665" s="81"/>
      <c r="AO665" s="81"/>
      <c r="AP665" s="24"/>
      <c r="AQ665" s="93"/>
      <c r="AR665" s="94"/>
      <c r="AS665" s="82"/>
      <c r="AT665" s="82"/>
      <c r="AU665" s="24"/>
      <c r="AV665" s="93"/>
      <c r="AW665" s="94"/>
      <c r="AX665" s="95"/>
      <c r="AY665" s="95"/>
      <c r="AZ665" s="95"/>
      <c r="BA665" s="24"/>
      <c r="BB665" s="9" t="s">
        <v>353</v>
      </c>
      <c r="BC665" s="96" t="s">
        <v>1128</v>
      </c>
    </row>
    <row r="666" spans="1:55" ht="15" customHeight="1">
      <c r="A666" s="86">
        <f t="shared" si="28"/>
        <v>664</v>
      </c>
      <c r="B666" s="75" t="s">
        <v>942</v>
      </c>
      <c r="C666" s="9"/>
      <c r="D666" s="76" t="s">
        <v>940</v>
      </c>
      <c r="E666" s="88" t="str">
        <f>_xlfn.IFNA(VLOOKUP($D666,'Route-Details'!$B$2:$X$1048576,'Node Details'!E$1,0),"")</f>
        <v>Airtel</v>
      </c>
      <c r="F666" s="88" t="str">
        <f>_xlfn.IFNA(VLOOKUP($D666,'Route-Details'!$B$2:$X$1048576,'Node Details'!F$1,0),"")</f>
        <v>Mani Majra</v>
      </c>
      <c r="G666" s="88" t="str">
        <f>_xlfn.IFNA(VLOOKUP($D666,'Route-Details'!$B$2:$X$1048576,'Node Details'!G$1,0),"")</f>
        <v>Chandigarh</v>
      </c>
      <c r="H666" s="88" t="str">
        <f>_xlfn.IFNA(VLOOKUP($D667,'Route-Details'!$B$2:$X$1048576,'Node Details'!H$1,0),"")</f>
        <v>Punjab</v>
      </c>
      <c r="I666" s="88" t="str">
        <f>_xlfn.IFNA(VLOOKUP($D666,'Route-Details'!$B$2:$X$1048576,'Node Details'!I$1,0),"")</f>
        <v>CM4</v>
      </c>
      <c r="J666" s="88" t="str">
        <f>_xlfn.IFNA(VLOOKUP($D666,'Route-Details'!$B$2:$X$1048576,'Node Details'!J$1,0),"")</f>
        <v>CM4</v>
      </c>
      <c r="K666" s="76">
        <v>46142</v>
      </c>
      <c r="L666" s="76">
        <v>46148</v>
      </c>
      <c r="M666" s="89">
        <v>46149</v>
      </c>
      <c r="N666" s="76">
        <v>46148</v>
      </c>
      <c r="Q666" s="86" t="s">
        <v>958</v>
      </c>
      <c r="R666" s="90"/>
      <c r="S666" s="87"/>
      <c r="T666" s="87"/>
      <c r="U666" s="87"/>
      <c r="V666" s="93"/>
      <c r="W666" s="91"/>
      <c r="X666" s="87"/>
      <c r="Y666" s="92"/>
      <c r="Z666" s="90"/>
      <c r="AA666" s="93"/>
      <c r="AB666" s="87"/>
      <c r="AC666" s="91"/>
      <c r="AD666" s="90"/>
      <c r="AE666" s="86"/>
      <c r="AF666" s="82"/>
      <c r="AG666" s="24"/>
      <c r="AH666" s="93"/>
      <c r="AI666" s="87"/>
      <c r="AJ666" s="86"/>
      <c r="AK666" s="81"/>
      <c r="AL666" s="24"/>
      <c r="AM666" s="24"/>
      <c r="AN666" s="81"/>
      <c r="AO666" s="81"/>
      <c r="AP666" s="24"/>
      <c r="AQ666" s="93"/>
      <c r="AR666" s="94"/>
      <c r="AS666" s="82"/>
      <c r="AT666" s="82"/>
      <c r="AU666" s="24"/>
      <c r="AV666" s="93"/>
      <c r="AW666" s="94"/>
      <c r="AX666" s="95"/>
      <c r="AY666" s="95"/>
      <c r="AZ666" s="95"/>
      <c r="BA666" s="24"/>
      <c r="BB666" s="9" t="s">
        <v>353</v>
      </c>
      <c r="BC666" s="96" t="s">
        <v>1128</v>
      </c>
    </row>
    <row r="667" spans="1:55" ht="15" customHeight="1">
      <c r="A667" s="86">
        <f t="shared" si="28"/>
        <v>665</v>
      </c>
      <c r="B667" s="75" t="s">
        <v>1238</v>
      </c>
      <c r="C667" s="9"/>
      <c r="D667" s="76" t="s">
        <v>943</v>
      </c>
      <c r="E667" s="88" t="str">
        <f>_xlfn.IFNA(VLOOKUP($D667,'Route-Details'!$B$2:$X$1048576,'Node Details'!E$1,0),"")</f>
        <v>Airtel</v>
      </c>
      <c r="F667" s="88" t="str">
        <f>_xlfn.IFNA(VLOOKUP($D667,'Route-Details'!$B$2:$X$1048576,'Node Details'!F$1,0),"")</f>
        <v>Mani Majra</v>
      </c>
      <c r="G667" s="88" t="str">
        <f>_xlfn.IFNA(VLOOKUP($D667,'Route-Details'!$B$2:$X$1048576,'Node Details'!G$1,0),"")</f>
        <v>Chandigarh</v>
      </c>
      <c r="H667" s="88" t="str">
        <f>_xlfn.IFNA(VLOOKUP($D668,'Route-Details'!$B$2:$X$1048576,'Node Details'!H$1,0),"")</f>
        <v>Punjab</v>
      </c>
      <c r="I667" s="88" t="str">
        <f>_xlfn.IFNA(VLOOKUP($D667,'Route-Details'!$B$2:$X$1048576,'Node Details'!I$1,0),"")</f>
        <v>CM4</v>
      </c>
      <c r="J667" s="88" t="str">
        <f>_xlfn.IFNA(VLOOKUP($D667,'Route-Details'!$B$2:$X$1048576,'Node Details'!J$1,0),"")</f>
        <v>CM4</v>
      </c>
      <c r="K667" s="76">
        <v>46142</v>
      </c>
      <c r="L667" s="76">
        <v>46148</v>
      </c>
      <c r="M667" s="89">
        <v>46149</v>
      </c>
      <c r="N667" s="76">
        <v>46148</v>
      </c>
      <c r="Q667" s="86" t="s">
        <v>958</v>
      </c>
      <c r="R667" s="90"/>
      <c r="S667" s="87"/>
      <c r="T667" s="87"/>
      <c r="U667" s="87"/>
      <c r="V667" s="93"/>
      <c r="W667" s="91"/>
      <c r="X667" s="87"/>
      <c r="Y667" s="92"/>
      <c r="Z667" s="90"/>
      <c r="AA667" s="93"/>
      <c r="AB667" s="87"/>
      <c r="AC667" s="91"/>
      <c r="AD667" s="90"/>
      <c r="AE667" s="86"/>
      <c r="AF667" s="82"/>
      <c r="AG667" s="24"/>
      <c r="AH667" s="93"/>
      <c r="AI667" s="87"/>
      <c r="AJ667" s="86"/>
      <c r="AK667" s="81"/>
      <c r="AL667" s="24"/>
      <c r="AM667" s="24"/>
      <c r="AN667" s="81"/>
      <c r="AO667" s="81"/>
      <c r="AP667" s="24"/>
      <c r="AQ667" s="93"/>
      <c r="AR667" s="94"/>
      <c r="AS667" s="82"/>
      <c r="AT667" s="82"/>
      <c r="AU667" s="24"/>
      <c r="AV667" s="93"/>
      <c r="AW667" s="94"/>
      <c r="AX667" s="95"/>
      <c r="AY667" s="95"/>
      <c r="AZ667" s="95"/>
      <c r="BA667" s="24"/>
      <c r="BB667" s="9" t="s">
        <v>356</v>
      </c>
      <c r="BC667" s="96" t="s">
        <v>1128</v>
      </c>
    </row>
    <row r="668" spans="1:55" ht="15" customHeight="1">
      <c r="A668" s="86">
        <f t="shared" si="28"/>
        <v>666</v>
      </c>
      <c r="B668" s="75" t="s">
        <v>944</v>
      </c>
      <c r="C668" s="9"/>
      <c r="D668" s="76" t="s">
        <v>943</v>
      </c>
      <c r="E668" s="88" t="str">
        <f>_xlfn.IFNA(VLOOKUP($D668,'Route-Details'!$B$2:$X$1048576,'Node Details'!E$1,0),"")</f>
        <v>Airtel</v>
      </c>
      <c r="F668" s="88" t="str">
        <f>_xlfn.IFNA(VLOOKUP($D668,'Route-Details'!$B$2:$X$1048576,'Node Details'!F$1,0),"")</f>
        <v>Mani Majra</v>
      </c>
      <c r="G668" s="88" t="str">
        <f>_xlfn.IFNA(VLOOKUP($D668,'Route-Details'!$B$2:$X$1048576,'Node Details'!G$1,0),"")</f>
        <v>Chandigarh</v>
      </c>
      <c r="H668" s="88" t="str">
        <f>_xlfn.IFNA(VLOOKUP($D669,'Route-Details'!$B$2:$X$1048576,'Node Details'!H$1,0),"")</f>
        <v>Punjab</v>
      </c>
      <c r="I668" s="88" t="str">
        <f>_xlfn.IFNA(VLOOKUP($D668,'Route-Details'!$B$2:$X$1048576,'Node Details'!I$1,0),"")</f>
        <v>CM4</v>
      </c>
      <c r="J668" s="88" t="str">
        <f>_xlfn.IFNA(VLOOKUP($D668,'Route-Details'!$B$2:$X$1048576,'Node Details'!J$1,0),"")</f>
        <v>CM4</v>
      </c>
      <c r="K668" s="76">
        <v>46142</v>
      </c>
      <c r="L668" s="76">
        <v>46148</v>
      </c>
      <c r="M668" s="89">
        <v>46149</v>
      </c>
      <c r="N668" s="76">
        <v>46148</v>
      </c>
      <c r="Q668" s="86" t="s">
        <v>958</v>
      </c>
      <c r="R668" s="90"/>
      <c r="S668" s="87"/>
      <c r="T668" s="87"/>
      <c r="U668" s="87"/>
      <c r="V668" s="93"/>
      <c r="W668" s="91"/>
      <c r="X668" s="87"/>
      <c r="Y668" s="92"/>
      <c r="Z668" s="90"/>
      <c r="AA668" s="93"/>
      <c r="AB668" s="87"/>
      <c r="AC668" s="91"/>
      <c r="AD668" s="90"/>
      <c r="AE668" s="86"/>
      <c r="AF668" s="82"/>
      <c r="AG668" s="24"/>
      <c r="AH668" s="93"/>
      <c r="AI668" s="87"/>
      <c r="AJ668" s="86"/>
      <c r="AK668" s="81"/>
      <c r="AL668" s="24"/>
      <c r="AM668" s="24"/>
      <c r="AN668" s="81"/>
      <c r="AO668" s="81"/>
      <c r="AP668" s="24"/>
      <c r="AQ668" s="93"/>
      <c r="AR668" s="94"/>
      <c r="AS668" s="82"/>
      <c r="AT668" s="82"/>
      <c r="AU668" s="24"/>
      <c r="AV668" s="93"/>
      <c r="AW668" s="94"/>
      <c r="AX668" s="95"/>
      <c r="AY668" s="95"/>
      <c r="AZ668" s="95"/>
      <c r="BA668" s="24"/>
      <c r="BB668" s="9" t="s">
        <v>356</v>
      </c>
      <c r="BC668" s="96" t="s">
        <v>1128</v>
      </c>
    </row>
    <row r="669" spans="1:55" ht="15" customHeight="1">
      <c r="A669" s="86">
        <f t="shared" si="28"/>
        <v>667</v>
      </c>
      <c r="B669" s="75" t="s">
        <v>946</v>
      </c>
      <c r="C669" s="9"/>
      <c r="D669" s="76" t="s">
        <v>945</v>
      </c>
      <c r="E669" s="88" t="str">
        <f>_xlfn.IFNA(VLOOKUP($D669,'Route-Details'!$B$2:$X$1048576,'Node Details'!E$1,0),"")</f>
        <v>Airtel</v>
      </c>
      <c r="F669" s="88" t="str">
        <f>_xlfn.IFNA(VLOOKUP($D669,'Route-Details'!$B$2:$X$1048576,'Node Details'!F$1,0),"")</f>
        <v>Mani Majra</v>
      </c>
      <c r="G669" s="88" t="str">
        <f>_xlfn.IFNA(VLOOKUP($D669,'Route-Details'!$B$2:$X$1048576,'Node Details'!G$1,0),"")</f>
        <v>Chandigarh</v>
      </c>
      <c r="H669" s="88" t="str">
        <f>_xlfn.IFNA(VLOOKUP($D670,'Route-Details'!$B$2:$X$1048576,'Node Details'!H$1,0),"")</f>
        <v>Punjab</v>
      </c>
      <c r="I669" s="88" t="str">
        <f>_xlfn.IFNA(VLOOKUP($D669,'Route-Details'!$B$2:$X$1048576,'Node Details'!I$1,0),"")</f>
        <v>CM4</v>
      </c>
      <c r="J669" s="88" t="str">
        <f>_xlfn.IFNA(VLOOKUP($D669,'Route-Details'!$B$2:$X$1048576,'Node Details'!J$1,0),"")</f>
        <v>CM4</v>
      </c>
      <c r="K669" s="76">
        <v>46142</v>
      </c>
      <c r="L669" s="76">
        <v>46148</v>
      </c>
      <c r="M669" s="89">
        <v>46149</v>
      </c>
      <c r="N669" s="76">
        <v>46148</v>
      </c>
      <c r="Q669" s="86" t="s">
        <v>958</v>
      </c>
      <c r="R669" s="90"/>
      <c r="S669" s="87"/>
      <c r="T669" s="87"/>
      <c r="U669" s="87"/>
      <c r="V669" s="93"/>
      <c r="W669" s="91"/>
      <c r="X669" s="87"/>
      <c r="Y669" s="92"/>
      <c r="Z669" s="90"/>
      <c r="AA669" s="93"/>
      <c r="AB669" s="87"/>
      <c r="AC669" s="91"/>
      <c r="AD669" s="90"/>
      <c r="AE669" s="86"/>
      <c r="AF669" s="82"/>
      <c r="AG669" s="24"/>
      <c r="AH669" s="93"/>
      <c r="AI669" s="87"/>
      <c r="AJ669" s="86"/>
      <c r="AK669" s="81"/>
      <c r="AL669" s="24"/>
      <c r="AM669" s="24"/>
      <c r="AN669" s="81"/>
      <c r="AO669" s="81"/>
      <c r="AP669" s="24"/>
      <c r="AQ669" s="93"/>
      <c r="AR669" s="94"/>
      <c r="AS669" s="82"/>
      <c r="AT669" s="82"/>
      <c r="AU669" s="24"/>
      <c r="AV669" s="93"/>
      <c r="AW669" s="94"/>
      <c r="AX669" s="95"/>
      <c r="AY669" s="95"/>
      <c r="AZ669" s="95"/>
      <c r="BA669" s="24"/>
      <c r="BB669" s="9" t="s">
        <v>360</v>
      </c>
      <c r="BC669" s="96" t="s">
        <v>1128</v>
      </c>
    </row>
    <row r="670" spans="1:55" ht="15" customHeight="1">
      <c r="A670" s="86">
        <f t="shared" si="28"/>
        <v>668</v>
      </c>
      <c r="B670" s="75" t="s">
        <v>948</v>
      </c>
      <c r="C670" s="9"/>
      <c r="D670" s="76" t="s">
        <v>947</v>
      </c>
      <c r="E670" s="88" t="str">
        <f>_xlfn.IFNA(VLOOKUP($D670,'Route-Details'!$B$2:$X$1048576,'Node Details'!E$1,0),"")</f>
        <v>Airtel</v>
      </c>
      <c r="F670" s="88" t="str">
        <f>_xlfn.IFNA(VLOOKUP($D670,'Route-Details'!$B$2:$X$1048576,'Node Details'!F$1,0),"")</f>
        <v>Mani Majra</v>
      </c>
      <c r="G670" s="88" t="str">
        <f>_xlfn.IFNA(VLOOKUP($D670,'Route-Details'!$B$2:$X$1048576,'Node Details'!G$1,0),"")</f>
        <v>Chandigarh</v>
      </c>
      <c r="H670" s="88" t="str">
        <f>_xlfn.IFNA(VLOOKUP($D671,'Route-Details'!$B$2:$X$1048576,'Node Details'!H$1,0),"")</f>
        <v>Punjab</v>
      </c>
      <c r="I670" s="88" t="str">
        <f>_xlfn.IFNA(VLOOKUP($D670,'Route-Details'!$B$2:$X$1048576,'Node Details'!I$1,0),"")</f>
        <v>CM4</v>
      </c>
      <c r="J670" s="88" t="str">
        <f>_xlfn.IFNA(VLOOKUP($D670,'Route-Details'!$B$2:$X$1048576,'Node Details'!J$1,0),"")</f>
        <v>CM4</v>
      </c>
      <c r="K670" s="76">
        <v>46142</v>
      </c>
      <c r="L670" s="76">
        <v>46148</v>
      </c>
      <c r="M670" s="89">
        <v>46149</v>
      </c>
      <c r="N670" s="76">
        <v>46148</v>
      </c>
      <c r="Q670" s="86" t="s">
        <v>958</v>
      </c>
      <c r="R670" s="90"/>
      <c r="S670" s="87"/>
      <c r="T670" s="87"/>
      <c r="U670" s="87"/>
      <c r="V670" s="93"/>
      <c r="W670" s="91"/>
      <c r="X670" s="87"/>
      <c r="Y670" s="92"/>
      <c r="Z670" s="90"/>
      <c r="AA670" s="93"/>
      <c r="AB670" s="87"/>
      <c r="AC670" s="91"/>
      <c r="AD670" s="90"/>
      <c r="AE670" s="86"/>
      <c r="AF670" s="82"/>
      <c r="AG670" s="24"/>
      <c r="AH670" s="93"/>
      <c r="AI670" s="87"/>
      <c r="AJ670" s="86"/>
      <c r="AK670" s="81"/>
      <c r="AL670" s="24"/>
      <c r="AM670" s="24"/>
      <c r="AN670" s="81"/>
      <c r="AO670" s="81"/>
      <c r="AP670" s="24"/>
      <c r="AQ670" s="93"/>
      <c r="AR670" s="94"/>
      <c r="AS670" s="82"/>
      <c r="AT670" s="82"/>
      <c r="AU670" s="24"/>
      <c r="AV670" s="93"/>
      <c r="AW670" s="94"/>
      <c r="AX670" s="95"/>
      <c r="AY670" s="95"/>
      <c r="AZ670" s="95"/>
      <c r="BA670" s="24"/>
      <c r="BB670" s="9" t="s">
        <v>363</v>
      </c>
      <c r="BC670" s="96" t="s">
        <v>1128</v>
      </c>
    </row>
    <row r="671" spans="1:55" ht="15" customHeight="1">
      <c r="A671" s="86">
        <f t="shared" si="28"/>
        <v>669</v>
      </c>
      <c r="B671" s="75" t="s">
        <v>818</v>
      </c>
      <c r="C671" s="9"/>
      <c r="D671" s="76" t="s">
        <v>817</v>
      </c>
      <c r="E671" s="88" t="str">
        <f>_xlfn.IFNA(VLOOKUP($D671,'Route-Details'!$B$2:$X$1048576,'Node Details'!E$1,0),"")</f>
        <v>Airtel</v>
      </c>
      <c r="F671" s="88" t="str">
        <f>_xlfn.IFNA(VLOOKUP($D671,'Route-Details'!$B$2:$X$1048576,'Node Details'!F$1,0),"")</f>
        <v>Mani Majra</v>
      </c>
      <c r="G671" s="88" t="str">
        <f>_xlfn.IFNA(VLOOKUP($D671,'Route-Details'!$B$2:$X$1048576,'Node Details'!G$1,0),"")</f>
        <v>Chandigarh</v>
      </c>
      <c r="H671" s="88" t="str">
        <f>_xlfn.IFNA(VLOOKUP($D672,'Route-Details'!$B$2:$X$1048576,'Node Details'!H$1,0),"")</f>
        <v>Punjab</v>
      </c>
      <c r="I671" s="88" t="str">
        <f>_xlfn.IFNA(VLOOKUP($D671,'Route-Details'!$B$2:$X$1048576,'Node Details'!I$1,0),"")</f>
        <v>CM4</v>
      </c>
      <c r="J671" s="88" t="str">
        <f>_xlfn.IFNA(VLOOKUP($D671,'Route-Details'!$B$2:$X$1048576,'Node Details'!J$1,0),"")</f>
        <v>CM4</v>
      </c>
      <c r="K671" s="76">
        <v>46142</v>
      </c>
      <c r="L671" s="76">
        <v>46148</v>
      </c>
      <c r="M671" s="89">
        <v>46149</v>
      </c>
      <c r="N671" s="76">
        <v>46148</v>
      </c>
      <c r="Q671" s="86" t="s">
        <v>958</v>
      </c>
      <c r="R671" s="90"/>
      <c r="S671" s="87"/>
      <c r="T671" s="87"/>
      <c r="U671" s="87"/>
      <c r="V671" s="93"/>
      <c r="W671" s="91"/>
      <c r="X671" s="87"/>
      <c r="Y671" s="92"/>
      <c r="Z671" s="90"/>
      <c r="AA671" s="93"/>
      <c r="AB671" s="87"/>
      <c r="AC671" s="91"/>
      <c r="AD671" s="90"/>
      <c r="AE671" s="86"/>
      <c r="AF671" s="82"/>
      <c r="AG671" s="24"/>
      <c r="AH671" s="93"/>
      <c r="AI671" s="87"/>
      <c r="AJ671" s="86"/>
      <c r="AK671" s="81"/>
      <c r="AL671" s="24"/>
      <c r="AM671" s="24"/>
      <c r="AN671" s="81"/>
      <c r="AO671" s="81"/>
      <c r="AP671" s="24"/>
      <c r="AQ671" s="93"/>
      <c r="AR671" s="94"/>
      <c r="AS671" s="82"/>
      <c r="AT671" s="82"/>
      <c r="AU671" s="24"/>
      <c r="AV671" s="93"/>
      <c r="AW671" s="94"/>
      <c r="AX671" s="95"/>
      <c r="AY671" s="95"/>
      <c r="AZ671" s="95"/>
      <c r="BA671" s="24"/>
      <c r="BB671" s="9" t="s">
        <v>114</v>
      </c>
      <c r="BC671" s="96" t="s">
        <v>1128</v>
      </c>
    </row>
    <row r="672" spans="1:55" ht="15" customHeight="1">
      <c r="A672" s="86">
        <f t="shared" si="28"/>
        <v>670</v>
      </c>
      <c r="B672" s="75" t="s">
        <v>950</v>
      </c>
      <c r="C672" s="9"/>
      <c r="D672" s="76" t="s">
        <v>949</v>
      </c>
      <c r="E672" s="88" t="str">
        <f>_xlfn.IFNA(VLOOKUP($D672,'Route-Details'!$B$2:$X$1048576,'Node Details'!E$1,0),"")</f>
        <v>Airtel</v>
      </c>
      <c r="F672" s="88" t="str">
        <f>_xlfn.IFNA(VLOOKUP($D672,'Route-Details'!$B$2:$X$1048576,'Node Details'!F$1,0),"")</f>
        <v>Mani Majra</v>
      </c>
      <c r="G672" s="88" t="str">
        <f>_xlfn.IFNA(VLOOKUP($D672,'Route-Details'!$B$2:$X$1048576,'Node Details'!G$1,0),"")</f>
        <v>Chandigarh</v>
      </c>
      <c r="H672" s="88" t="str">
        <f>_xlfn.IFNA(VLOOKUP($D673,'Route-Details'!$B$2:$X$1048576,'Node Details'!H$1,0),"")</f>
        <v>Punjab</v>
      </c>
      <c r="I672" s="88" t="str">
        <f>_xlfn.IFNA(VLOOKUP($D672,'Route-Details'!$B$2:$X$1048576,'Node Details'!I$1,0),"")</f>
        <v>CM4</v>
      </c>
      <c r="J672" s="88" t="str">
        <f>_xlfn.IFNA(VLOOKUP($D672,'Route-Details'!$B$2:$X$1048576,'Node Details'!J$1,0),"")</f>
        <v>CM4</v>
      </c>
      <c r="K672" s="76">
        <v>46142</v>
      </c>
      <c r="L672" s="76">
        <v>46148</v>
      </c>
      <c r="M672" s="89">
        <v>46149</v>
      </c>
      <c r="N672" s="76">
        <v>46148</v>
      </c>
      <c r="Q672" s="86" t="s">
        <v>958</v>
      </c>
      <c r="R672" s="90"/>
      <c r="S672" s="87"/>
      <c r="T672" s="87"/>
      <c r="U672" s="87"/>
      <c r="V672" s="93"/>
      <c r="W672" s="91"/>
      <c r="X672" s="87"/>
      <c r="Y672" s="92"/>
      <c r="Z672" s="90"/>
      <c r="AA672" s="93"/>
      <c r="AB672" s="87"/>
      <c r="AC672" s="91"/>
      <c r="AD672" s="90"/>
      <c r="AE672" s="86"/>
      <c r="AF672" s="82"/>
      <c r="AG672" s="24"/>
      <c r="AH672" s="93"/>
      <c r="AI672" s="87"/>
      <c r="AJ672" s="86"/>
      <c r="AK672" s="81"/>
      <c r="AL672" s="24"/>
      <c r="AM672" s="24"/>
      <c r="AN672" s="81"/>
      <c r="AO672" s="81"/>
      <c r="AP672" s="24"/>
      <c r="AQ672" s="93"/>
      <c r="AR672" s="94"/>
      <c r="AS672" s="82"/>
      <c r="AT672" s="82"/>
      <c r="AU672" s="24"/>
      <c r="AV672" s="93"/>
      <c r="AW672" s="94"/>
      <c r="AX672" s="95"/>
      <c r="AY672" s="95"/>
      <c r="AZ672" s="95"/>
      <c r="BA672" s="24"/>
      <c r="BB672" s="9" t="s">
        <v>369</v>
      </c>
      <c r="BC672" s="96" t="s">
        <v>1128</v>
      </c>
    </row>
    <row r="673" spans="1:55" ht="15" customHeight="1">
      <c r="A673" s="86">
        <f t="shared" si="28"/>
        <v>671</v>
      </c>
      <c r="B673" s="75" t="s">
        <v>1239</v>
      </c>
      <c r="C673" s="9"/>
      <c r="D673" s="76" t="s">
        <v>951</v>
      </c>
      <c r="E673" s="88" t="str">
        <f>_xlfn.IFNA(VLOOKUP($D673,'Route-Details'!$B$2:$X$1048576,'Node Details'!E$1,0),"")</f>
        <v>Airtel</v>
      </c>
      <c r="F673" s="88" t="str">
        <f>_xlfn.IFNA(VLOOKUP($D673,'Route-Details'!$B$2:$X$1048576,'Node Details'!F$1,0),"")</f>
        <v>Mani Majra</v>
      </c>
      <c r="G673" s="88" t="str">
        <f>_xlfn.IFNA(VLOOKUP($D673,'Route-Details'!$B$2:$X$1048576,'Node Details'!G$1,0),"")</f>
        <v>Chandigarh</v>
      </c>
      <c r="H673" s="88" t="str">
        <f>_xlfn.IFNA(VLOOKUP($D674,'Route-Details'!$B$2:$X$1048576,'Node Details'!H$1,0),"")</f>
        <v>Punjab</v>
      </c>
      <c r="I673" s="88" t="str">
        <f>_xlfn.IFNA(VLOOKUP($D673,'Route-Details'!$B$2:$X$1048576,'Node Details'!I$1,0),"")</f>
        <v>CM4</v>
      </c>
      <c r="J673" s="88" t="str">
        <f>_xlfn.IFNA(VLOOKUP($D673,'Route-Details'!$B$2:$X$1048576,'Node Details'!J$1,0),"")</f>
        <v>CM4</v>
      </c>
      <c r="K673" s="76">
        <v>46142</v>
      </c>
      <c r="L673" s="76">
        <v>46148</v>
      </c>
      <c r="M673" s="89">
        <v>46149</v>
      </c>
      <c r="N673" s="76">
        <v>46148</v>
      </c>
      <c r="Q673" s="86" t="s">
        <v>958</v>
      </c>
      <c r="R673" s="90"/>
      <c r="S673" s="87"/>
      <c r="T673" s="87"/>
      <c r="U673" s="87"/>
      <c r="V673" s="93"/>
      <c r="W673" s="91"/>
      <c r="X673" s="87"/>
      <c r="Y673" s="92"/>
      <c r="Z673" s="90"/>
      <c r="AA673" s="93"/>
      <c r="AB673" s="87"/>
      <c r="AC673" s="91"/>
      <c r="AD673" s="90"/>
      <c r="AE673" s="86"/>
      <c r="AF673" s="82"/>
      <c r="AG673" s="24"/>
      <c r="AH673" s="93"/>
      <c r="AI673" s="87"/>
      <c r="AJ673" s="86"/>
      <c r="AK673" s="81"/>
      <c r="AL673" s="24"/>
      <c r="AM673" s="24"/>
      <c r="AN673" s="81"/>
      <c r="AO673" s="81"/>
      <c r="AP673" s="24"/>
      <c r="AQ673" s="93"/>
      <c r="AR673" s="94"/>
      <c r="AS673" s="82"/>
      <c r="AT673" s="82"/>
      <c r="AU673" s="24"/>
      <c r="AV673" s="93"/>
      <c r="AW673" s="94"/>
      <c r="AX673" s="95"/>
      <c r="AY673" s="95"/>
      <c r="AZ673" s="95"/>
      <c r="BA673" s="24"/>
      <c r="BB673" s="9" t="s">
        <v>366</v>
      </c>
      <c r="BC673" s="96" t="s">
        <v>1128</v>
      </c>
    </row>
    <row r="674" spans="1:55" ht="15" customHeight="1">
      <c r="A674" s="86">
        <f t="shared" si="28"/>
        <v>672</v>
      </c>
      <c r="B674" s="75" t="s">
        <v>1240</v>
      </c>
      <c r="C674" s="9"/>
      <c r="D674" s="76" t="s">
        <v>951</v>
      </c>
      <c r="E674" s="88" t="str">
        <f>_xlfn.IFNA(VLOOKUP($D674,'Route-Details'!$B$2:$X$1048576,'Node Details'!E$1,0),"")</f>
        <v>Airtel</v>
      </c>
      <c r="F674" s="88" t="str">
        <f>_xlfn.IFNA(VLOOKUP($D674,'Route-Details'!$B$2:$X$1048576,'Node Details'!F$1,0),"")</f>
        <v>Mani Majra</v>
      </c>
      <c r="G674" s="88" t="str">
        <f>_xlfn.IFNA(VLOOKUP($D674,'Route-Details'!$B$2:$X$1048576,'Node Details'!G$1,0),"")</f>
        <v>Chandigarh</v>
      </c>
      <c r="H674" s="88" t="str">
        <f>_xlfn.IFNA(VLOOKUP($D675,'Route-Details'!$B$2:$X$1048576,'Node Details'!H$1,0),"")</f>
        <v>Punjab</v>
      </c>
      <c r="I674" s="88" t="str">
        <f>_xlfn.IFNA(VLOOKUP($D674,'Route-Details'!$B$2:$X$1048576,'Node Details'!I$1,0),"")</f>
        <v>CM4</v>
      </c>
      <c r="J674" s="88" t="str">
        <f>_xlfn.IFNA(VLOOKUP($D674,'Route-Details'!$B$2:$X$1048576,'Node Details'!J$1,0),"")</f>
        <v>CM4</v>
      </c>
      <c r="K674" s="76">
        <v>46142</v>
      </c>
      <c r="L674" s="76">
        <v>46148</v>
      </c>
      <c r="M674" s="89">
        <v>46149</v>
      </c>
      <c r="N674" s="76">
        <v>46148</v>
      </c>
      <c r="Q674" s="86" t="s">
        <v>958</v>
      </c>
      <c r="R674" s="90"/>
      <c r="S674" s="87"/>
      <c r="T674" s="87"/>
      <c r="U674" s="87"/>
      <c r="V674" s="93"/>
      <c r="W674" s="91"/>
      <c r="X674" s="87"/>
      <c r="Y674" s="92"/>
      <c r="Z674" s="90"/>
      <c r="AA674" s="93"/>
      <c r="AB674" s="87"/>
      <c r="AC674" s="91"/>
      <c r="AD674" s="90"/>
      <c r="AE674" s="86"/>
      <c r="AF674" s="82"/>
      <c r="AG674" s="24"/>
      <c r="AH674" s="93"/>
      <c r="AI674" s="87"/>
      <c r="AJ674" s="86"/>
      <c r="AK674" s="81"/>
      <c r="AL674" s="24"/>
      <c r="AM674" s="24"/>
      <c r="AN674" s="81"/>
      <c r="AO674" s="81"/>
      <c r="AP674" s="24"/>
      <c r="AQ674" s="93"/>
      <c r="AR674" s="94"/>
      <c r="AS674" s="82"/>
      <c r="AT674" s="82"/>
      <c r="AU674" s="24"/>
      <c r="AV674" s="93"/>
      <c r="AW674" s="94"/>
      <c r="AX674" s="95"/>
      <c r="AY674" s="95"/>
      <c r="AZ674" s="95"/>
      <c r="BA674" s="24"/>
      <c r="BB674" s="9" t="s">
        <v>366</v>
      </c>
      <c r="BC674" s="96" t="s">
        <v>1128</v>
      </c>
    </row>
    <row r="675" spans="1:55" ht="15" customHeight="1">
      <c r="A675" s="86">
        <f t="shared" si="28"/>
        <v>673</v>
      </c>
      <c r="B675" s="75" t="s">
        <v>952</v>
      </c>
      <c r="C675" s="9"/>
      <c r="D675" s="76" t="s">
        <v>951</v>
      </c>
      <c r="E675" s="88" t="str">
        <f>_xlfn.IFNA(VLOOKUP($D675,'Route-Details'!$B$2:$X$1048576,'Node Details'!E$1,0),"")</f>
        <v>Airtel</v>
      </c>
      <c r="F675" s="88" t="str">
        <f>_xlfn.IFNA(VLOOKUP($D675,'Route-Details'!$B$2:$X$1048576,'Node Details'!F$1,0),"")</f>
        <v>Mani Majra</v>
      </c>
      <c r="G675" s="88" t="str">
        <f>_xlfn.IFNA(VLOOKUP($D675,'Route-Details'!$B$2:$X$1048576,'Node Details'!G$1,0),"")</f>
        <v>Chandigarh</v>
      </c>
      <c r="H675" s="88" t="str">
        <f>_xlfn.IFNA(VLOOKUP($D676,'Route-Details'!$B$2:$X$1048576,'Node Details'!H$1,0),"")</f>
        <v>Punjab</v>
      </c>
      <c r="I675" s="88" t="str">
        <f>_xlfn.IFNA(VLOOKUP($D675,'Route-Details'!$B$2:$X$1048576,'Node Details'!I$1,0),"")</f>
        <v>CM4</v>
      </c>
      <c r="J675" s="88" t="str">
        <f>_xlfn.IFNA(VLOOKUP($D675,'Route-Details'!$B$2:$X$1048576,'Node Details'!J$1,0),"")</f>
        <v>CM4</v>
      </c>
      <c r="K675" s="76">
        <v>46142</v>
      </c>
      <c r="L675" s="76">
        <v>46148</v>
      </c>
      <c r="M675" s="89">
        <v>46149</v>
      </c>
      <c r="N675" s="76">
        <v>46148</v>
      </c>
      <c r="Q675" s="86" t="s">
        <v>958</v>
      </c>
      <c r="R675" s="90"/>
      <c r="S675" s="87"/>
      <c r="T675" s="87"/>
      <c r="U675" s="87"/>
      <c r="V675" s="93"/>
      <c r="W675" s="91"/>
      <c r="X675" s="87"/>
      <c r="Y675" s="92"/>
      <c r="Z675" s="90"/>
      <c r="AA675" s="93"/>
      <c r="AB675" s="87"/>
      <c r="AC675" s="91"/>
      <c r="AD675" s="90"/>
      <c r="AE675" s="86"/>
      <c r="AF675" s="82"/>
      <c r="AG675" s="24"/>
      <c r="AH675" s="93"/>
      <c r="AI675" s="87"/>
      <c r="AJ675" s="86"/>
      <c r="AK675" s="81"/>
      <c r="AL675" s="24"/>
      <c r="AM675" s="24"/>
      <c r="AN675" s="81"/>
      <c r="AO675" s="81"/>
      <c r="AP675" s="24"/>
      <c r="AQ675" s="93"/>
      <c r="AR675" s="94"/>
      <c r="AS675" s="82"/>
      <c r="AT675" s="82"/>
      <c r="AU675" s="24"/>
      <c r="AV675" s="93"/>
      <c r="AW675" s="94"/>
      <c r="AX675" s="95"/>
      <c r="AY675" s="95"/>
      <c r="AZ675" s="95"/>
      <c r="BA675" s="24"/>
      <c r="BB675" s="9" t="s">
        <v>366</v>
      </c>
      <c r="BC675" s="96" t="s">
        <v>1128</v>
      </c>
    </row>
    <row r="676" spans="1:55" ht="15" customHeight="1">
      <c r="A676" s="86">
        <f t="shared" si="28"/>
        <v>674</v>
      </c>
      <c r="B676" s="75" t="s">
        <v>954</v>
      </c>
      <c r="C676" s="9"/>
      <c r="D676" s="76" t="s">
        <v>953</v>
      </c>
      <c r="E676" s="88" t="str">
        <f>_xlfn.IFNA(VLOOKUP($D676,'Route-Details'!$B$2:$X$1048576,'Node Details'!E$1,0),"")</f>
        <v>Airtel</v>
      </c>
      <c r="F676" s="88" t="str">
        <f>_xlfn.IFNA(VLOOKUP($D676,'Route-Details'!$B$2:$X$1048576,'Node Details'!F$1,0),"")</f>
        <v>Mani Majra</v>
      </c>
      <c r="G676" s="88" t="str">
        <f>_xlfn.IFNA(VLOOKUP($D676,'Route-Details'!$B$2:$X$1048576,'Node Details'!G$1,0),"")</f>
        <v>Chandigarh</v>
      </c>
      <c r="H676" s="88" t="str">
        <f>_xlfn.IFNA(VLOOKUP($D677,'Route-Details'!$B$2:$X$1048576,'Node Details'!H$1,0),"")</f>
        <v/>
      </c>
      <c r="I676" s="88" t="str">
        <f>_xlfn.IFNA(VLOOKUP($D676,'Route-Details'!$B$2:$X$1048576,'Node Details'!I$1,0),"")</f>
        <v>CM4</v>
      </c>
      <c r="J676" s="88" t="str">
        <f>_xlfn.IFNA(VLOOKUP($D676,'Route-Details'!$B$2:$X$1048576,'Node Details'!J$1,0),"")</f>
        <v>CM4</v>
      </c>
      <c r="K676" s="76">
        <v>46142</v>
      </c>
      <c r="L676" s="76">
        <v>46148</v>
      </c>
      <c r="M676" s="89">
        <v>46149</v>
      </c>
      <c r="N676" s="76">
        <v>46148</v>
      </c>
      <c r="Q676" s="86" t="s">
        <v>958</v>
      </c>
      <c r="R676" s="90"/>
      <c r="S676" s="87"/>
      <c r="T676" s="87"/>
      <c r="U676" s="87"/>
      <c r="V676" s="93"/>
      <c r="W676" s="91"/>
      <c r="X676" s="87"/>
      <c r="Y676" s="92"/>
      <c r="Z676" s="90"/>
      <c r="AA676" s="93"/>
      <c r="AB676" s="87"/>
      <c r="AC676" s="91"/>
      <c r="AD676" s="90"/>
      <c r="AE676" s="86"/>
      <c r="AF676" s="82"/>
      <c r="AG676" s="24"/>
      <c r="AH676" s="93"/>
      <c r="AI676" s="87"/>
      <c r="AJ676" s="86"/>
      <c r="AK676" s="81"/>
      <c r="AL676" s="24"/>
      <c r="AM676" s="24"/>
      <c r="AN676" s="81"/>
      <c r="AO676" s="81"/>
      <c r="AP676" s="24"/>
      <c r="AQ676" s="93"/>
      <c r="AR676" s="94"/>
      <c r="AS676" s="82"/>
      <c r="AT676" s="82"/>
      <c r="AU676" s="24"/>
      <c r="AV676" s="93"/>
      <c r="AW676" s="94"/>
      <c r="AX676" s="95"/>
      <c r="AY676" s="95"/>
      <c r="AZ676" s="95"/>
      <c r="BA676" s="24"/>
      <c r="BB676" s="9" t="s">
        <v>530</v>
      </c>
      <c r="BC676" s="96" t="s">
        <v>1128</v>
      </c>
    </row>
  </sheetData>
  <conditionalFormatting sqref="B3:B676">
    <cfRule type="duplicateValues" dxfId="5" priority="632"/>
    <cfRule type="duplicateValues" dxfId="4" priority="633"/>
  </conditionalFormatting>
  <dataValidations count="3">
    <dataValidation type="list" allowBlank="1" showInputMessage="1" showErrorMessage="1" sqref="AD3:AD14 R3:R14" xr:uid="{00000000-0002-0000-0400-000000000000}">
      <formula1>"6F,12F,24F,48F"</formula1>
    </dataValidation>
    <dataValidation type="list" allowBlank="1" showInputMessage="1" showErrorMessage="1" sqref="Q3:Q676" xr:uid="{00000000-0002-0000-0400-000001000000}">
      <formula1>"Yes,No"</formula1>
    </dataValidation>
    <dataValidation type="list" allowBlank="1" showInputMessage="1" showErrorMessage="1" sqref="AC3:AC40" xr:uid="{00000000-0002-0000-0400-000002000000}">
      <formula1>"ADSS, UA, A"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1926"/>
  <sheetViews>
    <sheetView zoomScaleNormal="100" workbookViewId="0">
      <pane ySplit="2" topLeftCell="A1906" activePane="bottomLeft" state="frozen"/>
      <selection pane="bottomLeft" activeCell="J1926" sqref="J1926"/>
    </sheetView>
  </sheetViews>
  <sheetFormatPr defaultRowHeight="15"/>
  <cols>
    <col min="1" max="1" width="7.5703125" style="9" bestFit="1" customWidth="1"/>
    <col min="2" max="2" width="12.85546875" style="9" customWidth="1"/>
    <col min="3" max="3" width="20.85546875" style="9" bestFit="1" customWidth="1"/>
    <col min="4" max="4" width="9.140625" style="9" bestFit="1" customWidth="1"/>
    <col min="5" max="5" width="9.28515625" style="9" bestFit="1" customWidth="1"/>
    <col min="6" max="6" width="10.42578125" style="15" bestFit="1" customWidth="1"/>
    <col min="7" max="7" width="1.7109375" style="9" customWidth="1"/>
    <col min="8" max="8" width="21.42578125" style="10" bestFit="1" customWidth="1"/>
    <col min="9" max="10" width="8.7109375" style="9" customWidth="1"/>
    <col min="11" max="11" width="11.5703125" style="9" bestFit="1" customWidth="1"/>
    <col min="12" max="12" width="11.5703125" style="14" customWidth="1"/>
    <col min="13" max="13" width="1.7109375" customWidth="1"/>
    <col min="14" max="14" width="25.85546875" bestFit="1" customWidth="1"/>
    <col min="15" max="15" width="9.85546875" style="12" bestFit="1" customWidth="1"/>
    <col min="16" max="16" width="7.85546875" bestFit="1" customWidth="1"/>
    <col min="17" max="17" width="13" bestFit="1" customWidth="1"/>
    <col min="18" max="18" width="1.7109375" customWidth="1"/>
    <col min="19" max="19" width="16" bestFit="1" customWidth="1"/>
    <col min="20" max="20" width="9.85546875" style="12" bestFit="1" customWidth="1"/>
    <col min="21" max="21" width="7.42578125" bestFit="1" customWidth="1"/>
    <col min="22" max="22" width="8.42578125" bestFit="1" customWidth="1"/>
    <col min="23" max="23" width="7.28515625" bestFit="1" customWidth="1"/>
    <col min="24" max="24" width="7.28515625" customWidth="1"/>
  </cols>
  <sheetData>
    <row r="1" spans="1:25" s="26" customFormat="1" ht="15.75" customHeight="1" thickBot="1">
      <c r="A1" s="29"/>
      <c r="B1" s="29"/>
      <c r="C1" s="29">
        <v>3</v>
      </c>
      <c r="D1" s="29">
        <f>MATCH(D2,'Node Details'!$B$2:$U$2,0)</f>
        <v>9</v>
      </c>
      <c r="E1" s="29">
        <f>MATCH(E2,'Node Details'!$B$2:$U$2,0)</f>
        <v>4</v>
      </c>
      <c r="F1" s="29"/>
      <c r="G1" s="29"/>
      <c r="H1" s="28"/>
      <c r="I1" s="29">
        <f>SUBTOTAL(9,I3:I1048576)</f>
        <v>3201</v>
      </c>
      <c r="J1" s="29"/>
      <c r="K1" s="29">
        <f>SUBTOTAL(9,K3:K1048576)</f>
        <v>758724</v>
      </c>
      <c r="L1" s="29"/>
      <c r="Q1" s="29">
        <f>SUBTOTAL(9,Q3:Q1048576)</f>
        <v>193158</v>
      </c>
    </row>
    <row r="2" spans="1:25" s="20" customFormat="1" ht="36" customHeight="1">
      <c r="A2" s="63" t="s">
        <v>0</v>
      </c>
      <c r="B2" s="64" t="s">
        <v>1241</v>
      </c>
      <c r="C2" s="65" t="s">
        <v>956</v>
      </c>
      <c r="D2" s="65" t="s">
        <v>38</v>
      </c>
      <c r="E2" s="65" t="s">
        <v>32</v>
      </c>
      <c r="F2" s="70" t="s">
        <v>41</v>
      </c>
      <c r="G2" s="22"/>
      <c r="H2" s="127" t="s">
        <v>5</v>
      </c>
      <c r="I2" s="64" t="s">
        <v>1242</v>
      </c>
      <c r="J2" s="64" t="s">
        <v>1243</v>
      </c>
      <c r="K2" s="71" t="s">
        <v>1244</v>
      </c>
      <c r="L2" s="72" t="s">
        <v>1245</v>
      </c>
      <c r="M2" s="23"/>
      <c r="N2" s="63" t="s">
        <v>66</v>
      </c>
      <c r="O2" s="73" t="s">
        <v>67</v>
      </c>
      <c r="P2" s="65" t="s">
        <v>68</v>
      </c>
      <c r="Q2" s="69" t="s">
        <v>69</v>
      </c>
      <c r="R2" s="22"/>
      <c r="S2" s="63" t="s">
        <v>70</v>
      </c>
      <c r="T2" s="73" t="s">
        <v>71</v>
      </c>
      <c r="U2" s="65" t="s">
        <v>72</v>
      </c>
      <c r="V2" s="65" t="s">
        <v>73</v>
      </c>
      <c r="W2" s="69" t="s">
        <v>74</v>
      </c>
      <c r="X2" s="39" t="s">
        <v>1246</v>
      </c>
      <c r="Y2" s="20" t="s">
        <v>76</v>
      </c>
    </row>
    <row r="3" spans="1:25" s="24" customFormat="1" ht="11.1" customHeight="1">
      <c r="A3" s="74">
        <v>1</v>
      </c>
      <c r="B3" s="75" t="s">
        <v>98</v>
      </c>
      <c r="C3" s="74" t="str">
        <f>IF($B3&lt;&gt;"",_xlfn.IFNA(VLOOKUP($B3,'Node Details'!$B:$U,C$1,0),"Check"),"")</f>
        <v>0000AXZ01-AXZ010101</v>
      </c>
      <c r="D3" s="74" t="str">
        <f>IF($B3&lt;&gt;"",_xlfn.IFNA(VLOOKUP($B3,'Node Details'!$B:$U,D$1,0),"Check"),"")</f>
        <v>AXZ</v>
      </c>
      <c r="E3" s="74" t="str">
        <f>IF($B3&lt;&gt;"",_xlfn.IFNA(VLOOKUP($B3,'Node Details'!$B:$U,E$1,0),"Check"),"")</f>
        <v>Airtel</v>
      </c>
      <c r="F3" s="76">
        <v>46110</v>
      </c>
      <c r="G3" s="74"/>
      <c r="H3" s="10" t="s">
        <v>22</v>
      </c>
      <c r="I3" s="9">
        <v>2</v>
      </c>
      <c r="J3" s="9">
        <v>42</v>
      </c>
      <c r="K3" s="77">
        <f t="shared" ref="K3:K66" si="0">IF(I3&lt;&gt;"",J3*I3,0)</f>
        <v>84</v>
      </c>
      <c r="L3" s="76">
        <v>46110</v>
      </c>
      <c r="N3" s="79"/>
      <c r="O3" s="80"/>
      <c r="P3" s="81">
        <f t="shared" ref="P3:P66" si="1">J3</f>
        <v>42</v>
      </c>
      <c r="Q3" s="81">
        <f t="shared" ref="Q3:Q66" si="2">P3*I3</f>
        <v>84</v>
      </c>
      <c r="R3" s="81"/>
      <c r="S3" s="79"/>
      <c r="T3" s="80"/>
      <c r="U3" s="81">
        <f t="shared" ref="U3:U66" si="3">J3</f>
        <v>42</v>
      </c>
      <c r="V3" s="81">
        <f t="shared" ref="V3:V66" si="4">I3</f>
        <v>2</v>
      </c>
      <c r="W3" s="82">
        <f t="shared" ref="W3:W66" si="5">IF(V3&lt;&gt;"",V3*U3,0)</f>
        <v>84</v>
      </c>
      <c r="X3" s="82" t="s">
        <v>84</v>
      </c>
      <c r="Y3" s="24" t="s">
        <v>93</v>
      </c>
    </row>
    <row r="4" spans="1:25" s="24" customFormat="1" ht="11.1" customHeight="1">
      <c r="A4" s="74">
        <f t="shared" ref="A4:A67" si="6">A3+1</f>
        <v>2</v>
      </c>
      <c r="B4" s="75" t="s">
        <v>103</v>
      </c>
      <c r="C4" s="74" t="str">
        <f>IF($B4&lt;&gt;"",_xlfn.IFNA(VLOOKUP($B4,'Node Details'!$B:$U,C$1,0),"Check"),"")</f>
        <v>0000AXZ01-AXZ010102</v>
      </c>
      <c r="D4" s="74" t="str">
        <f>IF($B4&lt;&gt;"",_xlfn.IFNA(VLOOKUP($B4,'Node Details'!$B:$U,D$1,0),"Check"),"")</f>
        <v>AXZ</v>
      </c>
      <c r="E4" s="74" t="str">
        <f>IF($B4&lt;&gt;"",_xlfn.IFNA(VLOOKUP($B4,'Node Details'!$B:$U,E$1,0),"Check"),"")</f>
        <v>Airtel</v>
      </c>
      <c r="F4" s="76">
        <v>46110</v>
      </c>
      <c r="G4" s="74"/>
      <c r="H4" s="10" t="s">
        <v>22</v>
      </c>
      <c r="I4" s="9">
        <v>2</v>
      </c>
      <c r="J4" s="9">
        <v>42</v>
      </c>
      <c r="K4" s="77">
        <f t="shared" si="0"/>
        <v>84</v>
      </c>
      <c r="L4" s="76">
        <v>46110</v>
      </c>
      <c r="N4" s="79"/>
      <c r="O4" s="80"/>
      <c r="P4" s="81">
        <f t="shared" si="1"/>
        <v>42</v>
      </c>
      <c r="Q4" s="81">
        <f t="shared" si="2"/>
        <v>84</v>
      </c>
      <c r="R4" s="81"/>
      <c r="S4" s="79"/>
      <c r="T4" s="80"/>
      <c r="U4" s="81">
        <f t="shared" si="3"/>
        <v>42</v>
      </c>
      <c r="V4" s="81">
        <f t="shared" si="4"/>
        <v>2</v>
      </c>
      <c r="W4" s="82">
        <f t="shared" si="5"/>
        <v>84</v>
      </c>
      <c r="X4" s="82" t="s">
        <v>84</v>
      </c>
      <c r="Y4" s="24" t="s">
        <v>93</v>
      </c>
    </row>
    <row r="5" spans="1:25" s="24" customFormat="1" ht="11.1" customHeight="1">
      <c r="A5" s="74">
        <f t="shared" si="6"/>
        <v>3</v>
      </c>
      <c r="B5" s="75" t="s">
        <v>959</v>
      </c>
      <c r="C5" s="74" t="str">
        <f>IF($B5&lt;&gt;"",_xlfn.IFNA(VLOOKUP($B5,'Node Details'!$B:$U,C$1,0),"Check"),"")</f>
        <v>0000AXZ01-AXZ010105</v>
      </c>
      <c r="D5" s="74" t="str">
        <f>IF($B5&lt;&gt;"",_xlfn.IFNA(VLOOKUP($B5,'Node Details'!$B:$U,D$1,0),"Check"),"")</f>
        <v>AXZ</v>
      </c>
      <c r="E5" s="74" t="str">
        <f>IF($B5&lt;&gt;"",_xlfn.IFNA(VLOOKUP($B5,'Node Details'!$B:$U,E$1,0),"Check"),"")</f>
        <v>Airtel</v>
      </c>
      <c r="F5" s="76">
        <v>46110</v>
      </c>
      <c r="G5" s="74"/>
      <c r="H5" s="10" t="s">
        <v>22</v>
      </c>
      <c r="I5" s="9">
        <v>2</v>
      </c>
      <c r="J5" s="9">
        <v>42</v>
      </c>
      <c r="K5" s="77">
        <f t="shared" si="0"/>
        <v>84</v>
      </c>
      <c r="L5" s="76">
        <v>46110</v>
      </c>
      <c r="N5" s="79"/>
      <c r="O5" s="80"/>
      <c r="P5" s="81">
        <f t="shared" si="1"/>
        <v>42</v>
      </c>
      <c r="Q5" s="81">
        <f t="shared" si="2"/>
        <v>84</v>
      </c>
      <c r="R5" s="81"/>
      <c r="S5" s="79"/>
      <c r="T5" s="80"/>
      <c r="U5" s="81">
        <f t="shared" si="3"/>
        <v>42</v>
      </c>
      <c r="V5" s="81">
        <f t="shared" si="4"/>
        <v>2</v>
      </c>
      <c r="W5" s="82">
        <f t="shared" si="5"/>
        <v>84</v>
      </c>
      <c r="X5" s="82" t="s">
        <v>84</v>
      </c>
      <c r="Y5" s="24" t="s">
        <v>93</v>
      </c>
    </row>
    <row r="6" spans="1:25" s="24" customFormat="1" ht="11.1" customHeight="1">
      <c r="A6" s="74">
        <f t="shared" si="6"/>
        <v>4</v>
      </c>
      <c r="B6" s="75" t="s">
        <v>960</v>
      </c>
      <c r="C6" s="74" t="str">
        <f>IF($B6&lt;&gt;"",_xlfn.IFNA(VLOOKUP($B6,'Node Details'!$B:$U,C$1,0),"Check"),"")</f>
        <v>0000AXZ01-AXZ010105</v>
      </c>
      <c r="D6" s="74" t="str">
        <f>IF($B6&lt;&gt;"",_xlfn.IFNA(VLOOKUP($B6,'Node Details'!$B:$U,D$1,0),"Check"),"")</f>
        <v>AXZ</v>
      </c>
      <c r="E6" s="74" t="str">
        <f>IF($B6&lt;&gt;"",_xlfn.IFNA(VLOOKUP($B6,'Node Details'!$B:$U,E$1,0),"Check"),"")</f>
        <v>Airtel</v>
      </c>
      <c r="F6" s="76">
        <v>46110</v>
      </c>
      <c r="G6" s="74"/>
      <c r="H6" s="10" t="s">
        <v>22</v>
      </c>
      <c r="I6" s="9">
        <v>2</v>
      </c>
      <c r="J6" s="9">
        <v>42</v>
      </c>
      <c r="K6" s="77">
        <f t="shared" si="0"/>
        <v>84</v>
      </c>
      <c r="L6" s="76">
        <v>46110</v>
      </c>
      <c r="N6" s="79"/>
      <c r="O6" s="80"/>
      <c r="P6" s="81">
        <f t="shared" si="1"/>
        <v>42</v>
      </c>
      <c r="Q6" s="81">
        <f t="shared" si="2"/>
        <v>84</v>
      </c>
      <c r="R6" s="81"/>
      <c r="S6" s="79"/>
      <c r="T6" s="80"/>
      <c r="U6" s="81">
        <f t="shared" si="3"/>
        <v>42</v>
      </c>
      <c r="V6" s="81">
        <f t="shared" si="4"/>
        <v>2</v>
      </c>
      <c r="W6" s="82">
        <f t="shared" si="5"/>
        <v>84</v>
      </c>
      <c r="X6" s="82" t="s">
        <v>84</v>
      </c>
      <c r="Y6" s="24" t="s">
        <v>93</v>
      </c>
    </row>
    <row r="7" spans="1:25" s="24" customFormat="1" ht="11.1" customHeight="1">
      <c r="A7" s="74">
        <f t="shared" si="6"/>
        <v>5</v>
      </c>
      <c r="B7" s="75" t="s">
        <v>106</v>
      </c>
      <c r="C7" s="74" t="str">
        <f>IF($B7&lt;&gt;"",_xlfn.IFNA(VLOOKUP($B7,'Node Details'!$B:$U,C$1,0),"Check"),"")</f>
        <v>0000AXZ01-AXZ010105</v>
      </c>
      <c r="D7" s="74" t="str">
        <f>IF($B7&lt;&gt;"",_xlfn.IFNA(VLOOKUP($B7,'Node Details'!$B:$U,D$1,0),"Check"),"")</f>
        <v>AXZ</v>
      </c>
      <c r="E7" s="74" t="str">
        <f>IF($B7&lt;&gt;"",_xlfn.IFNA(VLOOKUP($B7,'Node Details'!$B:$U,E$1,0),"Check"),"")</f>
        <v>Airtel</v>
      </c>
      <c r="F7" s="76">
        <v>46110</v>
      </c>
      <c r="G7" s="74"/>
      <c r="H7" s="10" t="s">
        <v>22</v>
      </c>
      <c r="I7" s="9">
        <v>2</v>
      </c>
      <c r="J7" s="9">
        <v>42</v>
      </c>
      <c r="K7" s="77">
        <f t="shared" si="0"/>
        <v>84</v>
      </c>
      <c r="L7" s="76">
        <v>46110</v>
      </c>
      <c r="N7" s="79"/>
      <c r="O7" s="80"/>
      <c r="P7" s="81">
        <f t="shared" si="1"/>
        <v>42</v>
      </c>
      <c r="Q7" s="81">
        <f t="shared" si="2"/>
        <v>84</v>
      </c>
      <c r="R7" s="81"/>
      <c r="S7" s="79"/>
      <c r="T7" s="80"/>
      <c r="U7" s="81">
        <f t="shared" si="3"/>
        <v>42</v>
      </c>
      <c r="V7" s="81">
        <f t="shared" si="4"/>
        <v>2</v>
      </c>
      <c r="W7" s="82">
        <f t="shared" si="5"/>
        <v>84</v>
      </c>
      <c r="X7" s="82" t="s">
        <v>84</v>
      </c>
      <c r="Y7" s="24" t="s">
        <v>93</v>
      </c>
    </row>
    <row r="8" spans="1:25" s="24" customFormat="1" ht="11.1" customHeight="1">
      <c r="A8" s="74">
        <f t="shared" si="6"/>
        <v>6</v>
      </c>
      <c r="B8" s="75" t="s">
        <v>961</v>
      </c>
      <c r="C8" s="74" t="str">
        <f>IF($B8&lt;&gt;"",_xlfn.IFNA(VLOOKUP($B8,'Node Details'!$B:$U,C$1,0),"Check"),"")</f>
        <v>0000AXZ01-AXZ010202</v>
      </c>
      <c r="D8" s="74" t="str">
        <f>IF($B8&lt;&gt;"",_xlfn.IFNA(VLOOKUP($B8,'Node Details'!$B:$U,D$1,0),"Check"),"")</f>
        <v>AXZ</v>
      </c>
      <c r="E8" s="74" t="str">
        <f>IF($B8&lt;&gt;"",_xlfn.IFNA(VLOOKUP($B8,'Node Details'!$B:$U,E$1,0),"Check"),"")</f>
        <v>Airtel</v>
      </c>
      <c r="F8" s="76">
        <v>46110</v>
      </c>
      <c r="G8" s="74"/>
      <c r="H8" s="10" t="s">
        <v>22</v>
      </c>
      <c r="I8" s="9">
        <v>2</v>
      </c>
      <c r="J8" s="9">
        <v>42</v>
      </c>
      <c r="K8" s="77">
        <f t="shared" si="0"/>
        <v>84</v>
      </c>
      <c r="L8" s="76">
        <v>46110</v>
      </c>
      <c r="N8" s="79"/>
      <c r="O8" s="80"/>
      <c r="P8" s="81">
        <f t="shared" si="1"/>
        <v>42</v>
      </c>
      <c r="Q8" s="81">
        <f t="shared" si="2"/>
        <v>84</v>
      </c>
      <c r="R8" s="81"/>
      <c r="S8" s="79"/>
      <c r="T8" s="80"/>
      <c r="U8" s="81">
        <f t="shared" si="3"/>
        <v>42</v>
      </c>
      <c r="V8" s="81">
        <f t="shared" si="4"/>
        <v>2</v>
      </c>
      <c r="W8" s="82">
        <f t="shared" si="5"/>
        <v>84</v>
      </c>
      <c r="X8" s="82" t="s">
        <v>84</v>
      </c>
      <c r="Y8" s="24" t="s">
        <v>93</v>
      </c>
    </row>
    <row r="9" spans="1:25" s="24" customFormat="1" ht="11.1" customHeight="1">
      <c r="A9" s="74">
        <f t="shared" si="6"/>
        <v>7</v>
      </c>
      <c r="B9" s="75" t="s">
        <v>962</v>
      </c>
      <c r="C9" s="74" t="str">
        <f>IF($B9&lt;&gt;"",_xlfn.IFNA(VLOOKUP($B9,'Node Details'!$B:$U,C$1,0),"Check"),"")</f>
        <v>0000AXZ01-AXZ010202</v>
      </c>
      <c r="D9" s="74" t="str">
        <f>IF($B9&lt;&gt;"",_xlfn.IFNA(VLOOKUP($B9,'Node Details'!$B:$U,D$1,0),"Check"),"")</f>
        <v>AXZ</v>
      </c>
      <c r="E9" s="74" t="str">
        <f>IF($B9&lt;&gt;"",_xlfn.IFNA(VLOOKUP($B9,'Node Details'!$B:$U,E$1,0),"Check"),"")</f>
        <v>Airtel</v>
      </c>
      <c r="F9" s="76">
        <v>46110</v>
      </c>
      <c r="G9" s="74"/>
      <c r="H9" s="10" t="s">
        <v>22</v>
      </c>
      <c r="I9" s="9">
        <v>2</v>
      </c>
      <c r="J9" s="9">
        <v>42</v>
      </c>
      <c r="K9" s="77">
        <f t="shared" si="0"/>
        <v>84</v>
      </c>
      <c r="L9" s="76">
        <v>46110</v>
      </c>
      <c r="N9" s="79"/>
      <c r="O9" s="80"/>
      <c r="P9" s="81">
        <f t="shared" si="1"/>
        <v>42</v>
      </c>
      <c r="Q9" s="81">
        <f t="shared" si="2"/>
        <v>84</v>
      </c>
      <c r="R9" s="81"/>
      <c r="S9" s="79"/>
      <c r="T9" s="80"/>
      <c r="U9" s="81">
        <f t="shared" si="3"/>
        <v>42</v>
      </c>
      <c r="V9" s="81">
        <f t="shared" si="4"/>
        <v>2</v>
      </c>
      <c r="W9" s="82">
        <f t="shared" si="5"/>
        <v>84</v>
      </c>
      <c r="X9" s="82" t="s">
        <v>84</v>
      </c>
      <c r="Y9" s="24" t="s">
        <v>93</v>
      </c>
    </row>
    <row r="10" spans="1:25" s="24" customFormat="1" ht="11.1" customHeight="1">
      <c r="A10" s="74">
        <f t="shared" si="6"/>
        <v>8</v>
      </c>
      <c r="B10" s="75" t="s">
        <v>963</v>
      </c>
      <c r="C10" s="74" t="str">
        <f>IF($B10&lt;&gt;"",_xlfn.IFNA(VLOOKUP($B10,'Node Details'!$B:$U,C$1,0),"Check"),"")</f>
        <v>0000AXZ01-AXZ010202</v>
      </c>
      <c r="D10" s="74" t="str">
        <f>IF($B10&lt;&gt;"",_xlfn.IFNA(VLOOKUP($B10,'Node Details'!$B:$U,D$1,0),"Check"),"")</f>
        <v>AXZ</v>
      </c>
      <c r="E10" s="74" t="str">
        <f>IF($B10&lt;&gt;"",_xlfn.IFNA(VLOOKUP($B10,'Node Details'!$B:$U,E$1,0),"Check"),"")</f>
        <v>Airtel</v>
      </c>
      <c r="F10" s="76">
        <v>46110</v>
      </c>
      <c r="G10" s="74"/>
      <c r="H10" s="10" t="s">
        <v>22</v>
      </c>
      <c r="I10" s="9">
        <v>2</v>
      </c>
      <c r="J10" s="9">
        <v>42</v>
      </c>
      <c r="K10" s="77">
        <f t="shared" si="0"/>
        <v>84</v>
      </c>
      <c r="L10" s="76">
        <v>46110</v>
      </c>
      <c r="N10" s="79"/>
      <c r="O10" s="80"/>
      <c r="P10" s="81">
        <f t="shared" si="1"/>
        <v>42</v>
      </c>
      <c r="Q10" s="81">
        <f t="shared" si="2"/>
        <v>84</v>
      </c>
      <c r="R10" s="81"/>
      <c r="S10" s="79"/>
      <c r="T10" s="80"/>
      <c r="U10" s="81">
        <f t="shared" si="3"/>
        <v>42</v>
      </c>
      <c r="V10" s="81">
        <f t="shared" si="4"/>
        <v>2</v>
      </c>
      <c r="W10" s="82">
        <f t="shared" si="5"/>
        <v>84</v>
      </c>
      <c r="X10" s="82" t="s">
        <v>84</v>
      </c>
      <c r="Y10" s="24" t="s">
        <v>93</v>
      </c>
    </row>
    <row r="11" spans="1:25" s="24" customFormat="1" ht="11.1" customHeight="1">
      <c r="A11" s="74">
        <f t="shared" si="6"/>
        <v>9</v>
      </c>
      <c r="B11" s="75" t="s">
        <v>964</v>
      </c>
      <c r="C11" s="74" t="str">
        <f>IF($B11&lt;&gt;"",_xlfn.IFNA(VLOOKUP($B11,'Node Details'!$B:$U,C$1,0),"Check"),"")</f>
        <v>0000AXZ01-AXZ010202</v>
      </c>
      <c r="D11" s="74" t="str">
        <f>IF($B11&lt;&gt;"",_xlfn.IFNA(VLOOKUP($B11,'Node Details'!$B:$U,D$1,0),"Check"),"")</f>
        <v>AXZ</v>
      </c>
      <c r="E11" s="74" t="str">
        <f>IF($B11&lt;&gt;"",_xlfn.IFNA(VLOOKUP($B11,'Node Details'!$B:$U,E$1,0),"Check"),"")</f>
        <v>Airtel</v>
      </c>
      <c r="F11" s="76">
        <v>46110</v>
      </c>
      <c r="G11" s="74"/>
      <c r="H11" s="10" t="s">
        <v>22</v>
      </c>
      <c r="I11" s="9">
        <v>2</v>
      </c>
      <c r="J11" s="9">
        <v>42</v>
      </c>
      <c r="K11" s="77">
        <f t="shared" si="0"/>
        <v>84</v>
      </c>
      <c r="L11" s="76">
        <v>46110</v>
      </c>
      <c r="N11" s="79"/>
      <c r="O11" s="80"/>
      <c r="P11" s="81">
        <f t="shared" si="1"/>
        <v>42</v>
      </c>
      <c r="Q11" s="81">
        <f t="shared" si="2"/>
        <v>84</v>
      </c>
      <c r="R11" s="81"/>
      <c r="S11" s="79"/>
      <c r="T11" s="80"/>
      <c r="U11" s="81">
        <f t="shared" si="3"/>
        <v>42</v>
      </c>
      <c r="V11" s="81">
        <f t="shared" si="4"/>
        <v>2</v>
      </c>
      <c r="W11" s="82">
        <f t="shared" si="5"/>
        <v>84</v>
      </c>
      <c r="X11" s="82" t="s">
        <v>84</v>
      </c>
      <c r="Y11" s="24" t="s">
        <v>93</v>
      </c>
    </row>
    <row r="12" spans="1:25" s="24" customFormat="1" ht="11.1" customHeight="1">
      <c r="A12" s="74">
        <f t="shared" si="6"/>
        <v>10</v>
      </c>
      <c r="B12" s="75" t="s">
        <v>109</v>
      </c>
      <c r="C12" s="74" t="str">
        <f>IF($B12&lt;&gt;"",_xlfn.IFNA(VLOOKUP($B12,'Node Details'!$B:$U,C$1,0),"Check"),"")</f>
        <v>0000AXZ01-AXZ010202</v>
      </c>
      <c r="D12" s="74" t="str">
        <f>IF($B12&lt;&gt;"",_xlfn.IFNA(VLOOKUP($B12,'Node Details'!$B:$U,D$1,0),"Check"),"")</f>
        <v>AXZ</v>
      </c>
      <c r="E12" s="74" t="str">
        <f>IF($B12&lt;&gt;"",_xlfn.IFNA(VLOOKUP($B12,'Node Details'!$B:$U,E$1,0),"Check"),"")</f>
        <v>Airtel</v>
      </c>
      <c r="F12" s="76">
        <v>46110</v>
      </c>
      <c r="G12" s="74"/>
      <c r="H12" s="10" t="s">
        <v>22</v>
      </c>
      <c r="I12" s="9">
        <v>2</v>
      </c>
      <c r="J12" s="9">
        <v>42</v>
      </c>
      <c r="K12" s="77">
        <f t="shared" si="0"/>
        <v>84</v>
      </c>
      <c r="L12" s="76">
        <v>46110</v>
      </c>
      <c r="N12" s="79"/>
      <c r="O12" s="80"/>
      <c r="P12" s="81">
        <f t="shared" si="1"/>
        <v>42</v>
      </c>
      <c r="Q12" s="81">
        <f t="shared" si="2"/>
        <v>84</v>
      </c>
      <c r="R12" s="81"/>
      <c r="S12" s="79"/>
      <c r="T12" s="80"/>
      <c r="U12" s="81">
        <f t="shared" si="3"/>
        <v>42</v>
      </c>
      <c r="V12" s="81">
        <f t="shared" si="4"/>
        <v>2</v>
      </c>
      <c r="W12" s="82">
        <f t="shared" si="5"/>
        <v>84</v>
      </c>
      <c r="X12" s="82" t="s">
        <v>84</v>
      </c>
      <c r="Y12" s="24" t="s">
        <v>93</v>
      </c>
    </row>
    <row r="13" spans="1:25" s="24" customFormat="1" ht="11.1" customHeight="1">
      <c r="A13" s="74">
        <f t="shared" si="6"/>
        <v>11</v>
      </c>
      <c r="B13" s="75" t="s">
        <v>113</v>
      </c>
      <c r="C13" s="74" t="str">
        <f>IF($B13&lt;&gt;"",_xlfn.IFNA(VLOOKUP($B13,'Node Details'!$B:$U,C$1,0),"Check"),"")</f>
        <v>0000AXZ02-AXZ020101</v>
      </c>
      <c r="D13" s="74" t="str">
        <f>IF($B13&lt;&gt;"",_xlfn.IFNA(VLOOKUP($B13,'Node Details'!$B:$U,D$1,0),"Check"),"")</f>
        <v>AXZ</v>
      </c>
      <c r="E13" s="74" t="str">
        <f>IF($B13&lt;&gt;"",_xlfn.IFNA(VLOOKUP($B13,'Node Details'!$B:$U,E$1,0),"Check"),"")</f>
        <v>Airtel</v>
      </c>
      <c r="F13" s="76">
        <v>46110</v>
      </c>
      <c r="G13" s="74"/>
      <c r="H13" s="10" t="s">
        <v>22</v>
      </c>
      <c r="I13" s="9">
        <v>2</v>
      </c>
      <c r="J13" s="9">
        <v>42</v>
      </c>
      <c r="K13" s="77">
        <f t="shared" si="0"/>
        <v>84</v>
      </c>
      <c r="L13" s="76">
        <v>46110</v>
      </c>
      <c r="N13" s="79"/>
      <c r="O13" s="80"/>
      <c r="P13" s="81">
        <f t="shared" si="1"/>
        <v>42</v>
      </c>
      <c r="Q13" s="81">
        <f t="shared" si="2"/>
        <v>84</v>
      </c>
      <c r="R13" s="81"/>
      <c r="S13" s="79"/>
      <c r="T13" s="80"/>
      <c r="U13" s="81">
        <f t="shared" si="3"/>
        <v>42</v>
      </c>
      <c r="V13" s="81">
        <f t="shared" si="4"/>
        <v>2</v>
      </c>
      <c r="W13" s="82">
        <f t="shared" si="5"/>
        <v>84</v>
      </c>
      <c r="X13" s="82" t="s">
        <v>84</v>
      </c>
      <c r="Y13" s="24" t="s">
        <v>93</v>
      </c>
    </row>
    <row r="14" spans="1:25" s="24" customFormat="1" ht="11.1" customHeight="1">
      <c r="A14" s="74">
        <f t="shared" si="6"/>
        <v>12</v>
      </c>
      <c r="B14" s="75" t="s">
        <v>965</v>
      </c>
      <c r="C14" s="74" t="str">
        <f>IF($B14&lt;&gt;"",_xlfn.IFNA(VLOOKUP($B14,'Node Details'!$B:$U,C$1,0),"Check"),"")</f>
        <v>0000AXZ02-AXZ020103</v>
      </c>
      <c r="D14" s="74" t="str">
        <f>IF($B14&lt;&gt;"",_xlfn.IFNA(VLOOKUP($B14,'Node Details'!$B:$U,D$1,0),"Check"),"")</f>
        <v>AXZ</v>
      </c>
      <c r="E14" s="74" t="str">
        <f>IF($B14&lt;&gt;"",_xlfn.IFNA(VLOOKUP($B14,'Node Details'!$B:$U,E$1,0),"Check"),"")</f>
        <v>Airtel</v>
      </c>
      <c r="F14" s="76">
        <v>46110</v>
      </c>
      <c r="G14" s="74"/>
      <c r="H14" s="10" t="s">
        <v>22</v>
      </c>
      <c r="I14" s="9">
        <v>2</v>
      </c>
      <c r="J14" s="9">
        <v>42</v>
      </c>
      <c r="K14" s="77">
        <f t="shared" si="0"/>
        <v>84</v>
      </c>
      <c r="L14" s="76">
        <v>46110</v>
      </c>
      <c r="N14" s="79"/>
      <c r="O14" s="80"/>
      <c r="P14" s="81">
        <f t="shared" si="1"/>
        <v>42</v>
      </c>
      <c r="Q14" s="81">
        <f t="shared" si="2"/>
        <v>84</v>
      </c>
      <c r="R14" s="81"/>
      <c r="S14" s="79"/>
      <c r="T14" s="80"/>
      <c r="U14" s="81">
        <f t="shared" si="3"/>
        <v>42</v>
      </c>
      <c r="V14" s="81">
        <f t="shared" si="4"/>
        <v>2</v>
      </c>
      <c r="W14" s="82">
        <f t="shared" si="5"/>
        <v>84</v>
      </c>
      <c r="X14" s="82" t="s">
        <v>84</v>
      </c>
      <c r="Y14" s="24" t="s">
        <v>93</v>
      </c>
    </row>
    <row r="15" spans="1:25" s="24" customFormat="1" ht="11.1" customHeight="1">
      <c r="A15" s="74">
        <f t="shared" si="6"/>
        <v>13</v>
      </c>
      <c r="B15" s="75" t="s">
        <v>116</v>
      </c>
      <c r="C15" s="74" t="str">
        <f>IF($B15&lt;&gt;"",_xlfn.IFNA(VLOOKUP($B15,'Node Details'!$B:$U,C$1,0),"Check"),"")</f>
        <v>0000AXZ02-AXZ020103</v>
      </c>
      <c r="D15" s="74" t="str">
        <f>IF($B15&lt;&gt;"",_xlfn.IFNA(VLOOKUP($B15,'Node Details'!$B:$U,D$1,0),"Check"),"")</f>
        <v>AXZ</v>
      </c>
      <c r="E15" s="74" t="str">
        <f>IF($B15&lt;&gt;"",_xlfn.IFNA(VLOOKUP($B15,'Node Details'!$B:$U,E$1,0),"Check"),"")</f>
        <v>Airtel</v>
      </c>
      <c r="F15" s="76">
        <v>46110</v>
      </c>
      <c r="G15" s="74"/>
      <c r="H15" s="10" t="s">
        <v>22</v>
      </c>
      <c r="I15" s="9">
        <v>2</v>
      </c>
      <c r="J15" s="9">
        <v>42</v>
      </c>
      <c r="K15" s="77">
        <f t="shared" si="0"/>
        <v>84</v>
      </c>
      <c r="L15" s="76">
        <v>46110</v>
      </c>
      <c r="N15" s="83"/>
      <c r="O15" s="84"/>
      <c r="P15" s="81">
        <f t="shared" si="1"/>
        <v>42</v>
      </c>
      <c r="Q15" s="81">
        <f t="shared" si="2"/>
        <v>84</v>
      </c>
      <c r="R15" s="81"/>
      <c r="S15" s="81"/>
      <c r="T15" s="85"/>
      <c r="U15" s="81">
        <f t="shared" si="3"/>
        <v>42</v>
      </c>
      <c r="V15" s="81">
        <f t="shared" si="4"/>
        <v>2</v>
      </c>
      <c r="W15" s="82">
        <f t="shared" si="5"/>
        <v>84</v>
      </c>
      <c r="X15" s="82" t="s">
        <v>84</v>
      </c>
      <c r="Y15" s="24" t="s">
        <v>93</v>
      </c>
    </row>
    <row r="16" spans="1:25" s="24" customFormat="1" ht="11.1" customHeight="1">
      <c r="A16" s="74">
        <f t="shared" si="6"/>
        <v>14</v>
      </c>
      <c r="B16" s="75" t="s">
        <v>966</v>
      </c>
      <c r="C16" s="74" t="str">
        <f>IF($B16&lt;&gt;"",_xlfn.IFNA(VLOOKUP($B16,'Node Details'!$B:$U,C$1,0),"Check"),"")</f>
        <v>0000AXZ02-AXZ020203</v>
      </c>
      <c r="D16" s="74" t="str">
        <f>IF($B16&lt;&gt;"",_xlfn.IFNA(VLOOKUP($B16,'Node Details'!$B:$U,D$1,0),"Check"),"")</f>
        <v>AXZ</v>
      </c>
      <c r="E16" s="74" t="str">
        <f>IF($B16&lt;&gt;"",_xlfn.IFNA(VLOOKUP($B16,'Node Details'!$B:$U,E$1,0),"Check"),"")</f>
        <v>Airtel</v>
      </c>
      <c r="F16" s="76">
        <v>46110</v>
      </c>
      <c r="G16" s="74"/>
      <c r="H16" s="10" t="s">
        <v>22</v>
      </c>
      <c r="I16" s="9">
        <v>2</v>
      </c>
      <c r="J16" s="9">
        <v>42</v>
      </c>
      <c r="K16" s="77">
        <f t="shared" si="0"/>
        <v>84</v>
      </c>
      <c r="L16" s="76">
        <v>46110</v>
      </c>
      <c r="N16" s="83"/>
      <c r="O16" s="84"/>
      <c r="P16" s="81">
        <f t="shared" si="1"/>
        <v>42</v>
      </c>
      <c r="Q16" s="81">
        <f t="shared" si="2"/>
        <v>84</v>
      </c>
      <c r="R16" s="81"/>
      <c r="S16" s="81"/>
      <c r="T16" s="85"/>
      <c r="U16" s="81">
        <f t="shared" si="3"/>
        <v>42</v>
      </c>
      <c r="V16" s="81">
        <f t="shared" si="4"/>
        <v>2</v>
      </c>
      <c r="W16" s="82">
        <f t="shared" si="5"/>
        <v>84</v>
      </c>
      <c r="X16" s="82" t="s">
        <v>84</v>
      </c>
      <c r="Y16" s="24" t="s">
        <v>93</v>
      </c>
    </row>
    <row r="17" spans="1:25" s="24" customFormat="1" ht="11.1" customHeight="1">
      <c r="A17" s="74">
        <f t="shared" si="6"/>
        <v>15</v>
      </c>
      <c r="B17" s="75" t="s">
        <v>967</v>
      </c>
      <c r="C17" s="74" t="str">
        <f>IF($B17&lt;&gt;"",_xlfn.IFNA(VLOOKUP($B17,'Node Details'!$B:$U,C$1,0),"Check"),"")</f>
        <v>0000AXZ02-AXZ020203</v>
      </c>
      <c r="D17" s="74" t="str">
        <f>IF($B17&lt;&gt;"",_xlfn.IFNA(VLOOKUP($B17,'Node Details'!$B:$U,D$1,0),"Check"),"")</f>
        <v>AXZ</v>
      </c>
      <c r="E17" s="74" t="str">
        <f>IF($B17&lt;&gt;"",_xlfn.IFNA(VLOOKUP($B17,'Node Details'!$B:$U,E$1,0),"Check"),"")</f>
        <v>Airtel</v>
      </c>
      <c r="F17" s="76">
        <v>46110</v>
      </c>
      <c r="G17" s="74"/>
      <c r="H17" s="10" t="s">
        <v>22</v>
      </c>
      <c r="I17" s="9">
        <v>2</v>
      </c>
      <c r="J17" s="9">
        <v>42</v>
      </c>
      <c r="K17" s="77">
        <f t="shared" si="0"/>
        <v>84</v>
      </c>
      <c r="L17" s="76">
        <v>46110</v>
      </c>
      <c r="N17" s="83"/>
      <c r="O17" s="84"/>
      <c r="P17" s="81">
        <f t="shared" si="1"/>
        <v>42</v>
      </c>
      <c r="Q17" s="81">
        <f t="shared" si="2"/>
        <v>84</v>
      </c>
      <c r="R17" s="81"/>
      <c r="S17" s="81"/>
      <c r="T17" s="85"/>
      <c r="U17" s="81">
        <f t="shared" si="3"/>
        <v>42</v>
      </c>
      <c r="V17" s="81">
        <f t="shared" si="4"/>
        <v>2</v>
      </c>
      <c r="W17" s="82">
        <f t="shared" si="5"/>
        <v>84</v>
      </c>
      <c r="X17" s="82" t="s">
        <v>84</v>
      </c>
      <c r="Y17" s="24" t="s">
        <v>93</v>
      </c>
    </row>
    <row r="18" spans="1:25" s="24" customFormat="1" ht="11.1" customHeight="1">
      <c r="A18" s="74">
        <f t="shared" si="6"/>
        <v>16</v>
      </c>
      <c r="B18" s="75" t="s">
        <v>968</v>
      </c>
      <c r="C18" s="74" t="str">
        <f>IF($B18&lt;&gt;"",_xlfn.IFNA(VLOOKUP($B18,'Node Details'!$B:$U,C$1,0),"Check"),"")</f>
        <v>0000AXZ02-AXZ020203</v>
      </c>
      <c r="D18" s="74" t="str">
        <f>IF($B18&lt;&gt;"",_xlfn.IFNA(VLOOKUP($B18,'Node Details'!$B:$U,D$1,0),"Check"),"")</f>
        <v>AXZ</v>
      </c>
      <c r="E18" s="74" t="str">
        <f>IF($B18&lt;&gt;"",_xlfn.IFNA(VLOOKUP($B18,'Node Details'!$B:$U,E$1,0),"Check"),"")</f>
        <v>Airtel</v>
      </c>
      <c r="F18" s="76">
        <v>46110</v>
      </c>
      <c r="G18" s="74"/>
      <c r="H18" s="10" t="s">
        <v>22</v>
      </c>
      <c r="I18" s="9">
        <v>2</v>
      </c>
      <c r="J18" s="9">
        <v>42</v>
      </c>
      <c r="K18" s="77">
        <f t="shared" si="0"/>
        <v>84</v>
      </c>
      <c r="L18" s="76">
        <v>46110</v>
      </c>
      <c r="N18" s="83"/>
      <c r="O18" s="84"/>
      <c r="P18" s="81">
        <f t="shared" si="1"/>
        <v>42</v>
      </c>
      <c r="Q18" s="81">
        <f t="shared" si="2"/>
        <v>84</v>
      </c>
      <c r="R18" s="81"/>
      <c r="S18" s="81"/>
      <c r="T18" s="85"/>
      <c r="U18" s="81">
        <f t="shared" si="3"/>
        <v>42</v>
      </c>
      <c r="V18" s="81">
        <f t="shared" si="4"/>
        <v>2</v>
      </c>
      <c r="W18" s="82">
        <f t="shared" si="5"/>
        <v>84</v>
      </c>
      <c r="X18" s="82" t="s">
        <v>84</v>
      </c>
      <c r="Y18" s="24" t="s">
        <v>93</v>
      </c>
    </row>
    <row r="19" spans="1:25" s="24" customFormat="1" ht="11.1" customHeight="1">
      <c r="A19" s="74">
        <f t="shared" si="6"/>
        <v>17</v>
      </c>
      <c r="B19" s="75" t="s">
        <v>969</v>
      </c>
      <c r="C19" s="74" t="str">
        <f>IF($B19&lt;&gt;"",_xlfn.IFNA(VLOOKUP($B19,'Node Details'!$B:$U,C$1,0),"Check"),"")</f>
        <v>0000AXZ02-AXZ020203</v>
      </c>
      <c r="D19" s="74" t="str">
        <f>IF($B19&lt;&gt;"",_xlfn.IFNA(VLOOKUP($B19,'Node Details'!$B:$U,D$1,0),"Check"),"")</f>
        <v>AXZ</v>
      </c>
      <c r="E19" s="74" t="str">
        <f>IF($B19&lt;&gt;"",_xlfn.IFNA(VLOOKUP($B19,'Node Details'!$B:$U,E$1,0),"Check"),"")</f>
        <v>Airtel</v>
      </c>
      <c r="F19" s="76">
        <v>46110</v>
      </c>
      <c r="G19" s="74"/>
      <c r="H19" s="10" t="s">
        <v>22</v>
      </c>
      <c r="I19" s="9">
        <v>2</v>
      </c>
      <c r="J19" s="9">
        <v>42</v>
      </c>
      <c r="K19" s="77">
        <f t="shared" si="0"/>
        <v>84</v>
      </c>
      <c r="L19" s="76">
        <v>46110</v>
      </c>
      <c r="N19" s="83"/>
      <c r="O19" s="84"/>
      <c r="P19" s="81">
        <f t="shared" si="1"/>
        <v>42</v>
      </c>
      <c r="Q19" s="81">
        <f t="shared" si="2"/>
        <v>84</v>
      </c>
      <c r="R19" s="81"/>
      <c r="S19" s="81"/>
      <c r="T19" s="85"/>
      <c r="U19" s="81">
        <f t="shared" si="3"/>
        <v>42</v>
      </c>
      <c r="V19" s="81">
        <f t="shared" si="4"/>
        <v>2</v>
      </c>
      <c r="W19" s="82">
        <f t="shared" si="5"/>
        <v>84</v>
      </c>
      <c r="X19" s="82" t="s">
        <v>84</v>
      </c>
      <c r="Y19" s="24" t="s">
        <v>93</v>
      </c>
    </row>
    <row r="20" spans="1:25" s="24" customFormat="1" ht="11.1" customHeight="1">
      <c r="A20" s="74">
        <f t="shared" si="6"/>
        <v>18</v>
      </c>
      <c r="B20" s="75" t="s">
        <v>970</v>
      </c>
      <c r="C20" s="74" t="str">
        <f>IF($B20&lt;&gt;"",_xlfn.IFNA(VLOOKUP($B20,'Node Details'!$B:$U,C$1,0),"Check"),"")</f>
        <v>0000AXZ02-AXZ020203</v>
      </c>
      <c r="D20" s="74" t="str">
        <f>IF($B20&lt;&gt;"",_xlfn.IFNA(VLOOKUP($B20,'Node Details'!$B:$U,D$1,0),"Check"),"")</f>
        <v>AXZ</v>
      </c>
      <c r="E20" s="74" t="str">
        <f>IF($B20&lt;&gt;"",_xlfn.IFNA(VLOOKUP($B20,'Node Details'!$B:$U,E$1,0),"Check"),"")</f>
        <v>Airtel</v>
      </c>
      <c r="F20" s="76">
        <v>46110</v>
      </c>
      <c r="G20" s="74"/>
      <c r="H20" s="10" t="s">
        <v>22</v>
      </c>
      <c r="I20" s="9">
        <v>2</v>
      </c>
      <c r="J20" s="9">
        <v>42</v>
      </c>
      <c r="K20" s="77">
        <f t="shared" si="0"/>
        <v>84</v>
      </c>
      <c r="L20" s="76">
        <v>46110</v>
      </c>
      <c r="N20" s="83"/>
      <c r="O20" s="84"/>
      <c r="P20" s="81">
        <f t="shared" si="1"/>
        <v>42</v>
      </c>
      <c r="Q20" s="81">
        <f t="shared" si="2"/>
        <v>84</v>
      </c>
      <c r="R20" s="81"/>
      <c r="S20" s="81"/>
      <c r="T20" s="85"/>
      <c r="U20" s="81">
        <f t="shared" si="3"/>
        <v>42</v>
      </c>
      <c r="V20" s="81">
        <f t="shared" si="4"/>
        <v>2</v>
      </c>
      <c r="W20" s="82">
        <f t="shared" si="5"/>
        <v>84</v>
      </c>
      <c r="X20" s="82" t="s">
        <v>84</v>
      </c>
      <c r="Y20" s="24" t="s">
        <v>93</v>
      </c>
    </row>
    <row r="21" spans="1:25" s="24" customFormat="1" ht="11.1" customHeight="1">
      <c r="A21" s="74">
        <f t="shared" si="6"/>
        <v>19</v>
      </c>
      <c r="B21" s="75" t="s">
        <v>971</v>
      </c>
      <c r="C21" s="74" t="str">
        <f>IF($B21&lt;&gt;"",_xlfn.IFNA(VLOOKUP($B21,'Node Details'!$B:$U,C$1,0),"Check"),"")</f>
        <v>0000AXZ02-AXZ020203</v>
      </c>
      <c r="D21" s="74" t="str">
        <f>IF($B21&lt;&gt;"",_xlfn.IFNA(VLOOKUP($B21,'Node Details'!$B:$U,D$1,0),"Check"),"")</f>
        <v>AXZ</v>
      </c>
      <c r="E21" s="74" t="str">
        <f>IF($B21&lt;&gt;"",_xlfn.IFNA(VLOOKUP($B21,'Node Details'!$B:$U,E$1,0),"Check"),"")</f>
        <v>Airtel</v>
      </c>
      <c r="F21" s="76">
        <v>46110</v>
      </c>
      <c r="G21" s="74"/>
      <c r="H21" s="10" t="s">
        <v>22</v>
      </c>
      <c r="I21" s="9">
        <v>2</v>
      </c>
      <c r="J21" s="9">
        <v>42</v>
      </c>
      <c r="K21" s="77">
        <f t="shared" si="0"/>
        <v>84</v>
      </c>
      <c r="L21" s="76">
        <v>46110</v>
      </c>
      <c r="N21" s="83"/>
      <c r="O21" s="84"/>
      <c r="P21" s="81">
        <f t="shared" si="1"/>
        <v>42</v>
      </c>
      <c r="Q21" s="81">
        <f t="shared" si="2"/>
        <v>84</v>
      </c>
      <c r="R21" s="81"/>
      <c r="S21" s="81"/>
      <c r="T21" s="85"/>
      <c r="U21" s="81">
        <f t="shared" si="3"/>
        <v>42</v>
      </c>
      <c r="V21" s="81">
        <f t="shared" si="4"/>
        <v>2</v>
      </c>
      <c r="W21" s="82">
        <f t="shared" si="5"/>
        <v>84</v>
      </c>
      <c r="X21" s="82" t="s">
        <v>84</v>
      </c>
      <c r="Y21" s="24" t="s">
        <v>93</v>
      </c>
    </row>
    <row r="22" spans="1:25" s="24" customFormat="1" ht="11.1" customHeight="1">
      <c r="A22" s="74">
        <f t="shared" si="6"/>
        <v>20</v>
      </c>
      <c r="B22" s="75" t="s">
        <v>972</v>
      </c>
      <c r="C22" s="74" t="str">
        <f>IF($B22&lt;&gt;"",_xlfn.IFNA(VLOOKUP($B22,'Node Details'!$B:$U,C$1,0),"Check"),"")</f>
        <v>0000AXZ02-AXZ020203</v>
      </c>
      <c r="D22" s="74" t="str">
        <f>IF($B22&lt;&gt;"",_xlfn.IFNA(VLOOKUP($B22,'Node Details'!$B:$U,D$1,0),"Check"),"")</f>
        <v>AXZ</v>
      </c>
      <c r="E22" s="74" t="str">
        <f>IF($B22&lt;&gt;"",_xlfn.IFNA(VLOOKUP($B22,'Node Details'!$B:$U,E$1,0),"Check"),"")</f>
        <v>Airtel</v>
      </c>
      <c r="F22" s="76">
        <v>46110</v>
      </c>
      <c r="G22" s="74"/>
      <c r="H22" s="10" t="s">
        <v>22</v>
      </c>
      <c r="I22" s="9">
        <v>2</v>
      </c>
      <c r="J22" s="9">
        <v>42</v>
      </c>
      <c r="K22" s="77">
        <f t="shared" si="0"/>
        <v>84</v>
      </c>
      <c r="L22" s="76">
        <v>46110</v>
      </c>
      <c r="N22" s="83"/>
      <c r="O22" s="84"/>
      <c r="P22" s="81">
        <f t="shared" si="1"/>
        <v>42</v>
      </c>
      <c r="Q22" s="81">
        <f t="shared" si="2"/>
        <v>84</v>
      </c>
      <c r="R22" s="81"/>
      <c r="S22" s="81"/>
      <c r="T22" s="85"/>
      <c r="U22" s="81">
        <f t="shared" si="3"/>
        <v>42</v>
      </c>
      <c r="V22" s="81">
        <f t="shared" si="4"/>
        <v>2</v>
      </c>
      <c r="W22" s="82">
        <f t="shared" si="5"/>
        <v>84</v>
      </c>
      <c r="X22" s="82" t="s">
        <v>84</v>
      </c>
      <c r="Y22" s="24" t="s">
        <v>93</v>
      </c>
    </row>
    <row r="23" spans="1:25" s="24" customFormat="1" ht="11.1" customHeight="1">
      <c r="A23" s="74">
        <f t="shared" si="6"/>
        <v>21</v>
      </c>
      <c r="B23" s="75" t="s">
        <v>119</v>
      </c>
      <c r="C23" s="74" t="str">
        <f>IF($B23&lt;&gt;"",_xlfn.IFNA(VLOOKUP($B23,'Node Details'!$B:$U,C$1,0),"Check"),"")</f>
        <v>0000AXZ02-AXZ020203</v>
      </c>
      <c r="D23" s="74" t="str">
        <f>IF($B23&lt;&gt;"",_xlfn.IFNA(VLOOKUP($B23,'Node Details'!$B:$U,D$1,0),"Check"),"")</f>
        <v>AXZ</v>
      </c>
      <c r="E23" s="74" t="str">
        <f>IF($B23&lt;&gt;"",_xlfn.IFNA(VLOOKUP($B23,'Node Details'!$B:$U,E$1,0),"Check"),"")</f>
        <v>Airtel</v>
      </c>
      <c r="F23" s="76">
        <v>46110</v>
      </c>
      <c r="G23" s="74"/>
      <c r="H23" s="10" t="s">
        <v>22</v>
      </c>
      <c r="I23" s="9">
        <v>2</v>
      </c>
      <c r="J23" s="9">
        <v>42</v>
      </c>
      <c r="K23" s="77">
        <f t="shared" si="0"/>
        <v>84</v>
      </c>
      <c r="L23" s="76">
        <v>46110</v>
      </c>
      <c r="N23" s="83"/>
      <c r="O23" s="84"/>
      <c r="P23" s="81">
        <f t="shared" si="1"/>
        <v>42</v>
      </c>
      <c r="Q23" s="81">
        <f t="shared" si="2"/>
        <v>84</v>
      </c>
      <c r="R23" s="81"/>
      <c r="S23" s="81"/>
      <c r="T23" s="85"/>
      <c r="U23" s="81">
        <f t="shared" si="3"/>
        <v>42</v>
      </c>
      <c r="V23" s="81">
        <f t="shared" si="4"/>
        <v>2</v>
      </c>
      <c r="W23" s="82">
        <f t="shared" si="5"/>
        <v>84</v>
      </c>
      <c r="X23" s="82" t="s">
        <v>84</v>
      </c>
      <c r="Y23" s="24" t="s">
        <v>93</v>
      </c>
    </row>
    <row r="24" spans="1:25" s="24" customFormat="1" ht="11.1" customHeight="1">
      <c r="A24" s="74">
        <f t="shared" si="6"/>
        <v>22</v>
      </c>
      <c r="B24" s="75" t="s">
        <v>122</v>
      </c>
      <c r="C24" s="74" t="str">
        <f>IF($B24&lt;&gt;"",_xlfn.IFNA(VLOOKUP($B24,'Node Details'!$B:$U,C$1,0),"Check"),"")</f>
        <v>0000AXZ03-AXZ030101</v>
      </c>
      <c r="D24" s="74" t="str">
        <f>IF($B24&lt;&gt;"",_xlfn.IFNA(VLOOKUP($B24,'Node Details'!$B:$U,D$1,0),"Check"),"")</f>
        <v>AXZ</v>
      </c>
      <c r="E24" s="74" t="str">
        <f>IF($B24&lt;&gt;"",_xlfn.IFNA(VLOOKUP($B24,'Node Details'!$B:$U,E$1,0),"Check"),"")</f>
        <v>Airtel</v>
      </c>
      <c r="F24" s="76">
        <v>46110</v>
      </c>
      <c r="G24" s="74"/>
      <c r="H24" s="10" t="s">
        <v>22</v>
      </c>
      <c r="I24" s="9">
        <v>2</v>
      </c>
      <c r="J24" s="9">
        <v>42</v>
      </c>
      <c r="K24" s="77">
        <f t="shared" si="0"/>
        <v>84</v>
      </c>
      <c r="L24" s="76">
        <v>46110</v>
      </c>
      <c r="N24" s="83"/>
      <c r="O24" s="84"/>
      <c r="P24" s="81">
        <f t="shared" si="1"/>
        <v>42</v>
      </c>
      <c r="Q24" s="81">
        <f t="shared" si="2"/>
        <v>84</v>
      </c>
      <c r="R24" s="81"/>
      <c r="S24" s="81"/>
      <c r="T24" s="85"/>
      <c r="U24" s="81">
        <f t="shared" si="3"/>
        <v>42</v>
      </c>
      <c r="V24" s="81">
        <f t="shared" si="4"/>
        <v>2</v>
      </c>
      <c r="W24" s="82">
        <f t="shared" si="5"/>
        <v>84</v>
      </c>
      <c r="X24" s="82" t="s">
        <v>84</v>
      </c>
      <c r="Y24" s="24" t="s">
        <v>93</v>
      </c>
    </row>
    <row r="25" spans="1:25" s="24" customFormat="1" ht="11.1" customHeight="1">
      <c r="A25" s="74">
        <f t="shared" si="6"/>
        <v>23</v>
      </c>
      <c r="B25" s="75" t="s">
        <v>125</v>
      </c>
      <c r="C25" s="74" t="str">
        <f>IF($B25&lt;&gt;"",_xlfn.IFNA(VLOOKUP($B25,'Node Details'!$B:$U,C$1,0),"Check"),"")</f>
        <v>0000AXZ03-AXZ030102</v>
      </c>
      <c r="D25" s="74" t="str">
        <f>IF($B25&lt;&gt;"",_xlfn.IFNA(VLOOKUP($B25,'Node Details'!$B:$U,D$1,0),"Check"),"")</f>
        <v>AXZ</v>
      </c>
      <c r="E25" s="74" t="str">
        <f>IF($B25&lt;&gt;"",_xlfn.IFNA(VLOOKUP($B25,'Node Details'!$B:$U,E$1,0),"Check"),"")</f>
        <v>Airtel</v>
      </c>
      <c r="F25" s="76">
        <v>46110</v>
      </c>
      <c r="G25" s="74"/>
      <c r="H25" s="10" t="s">
        <v>22</v>
      </c>
      <c r="I25" s="9">
        <v>2</v>
      </c>
      <c r="J25" s="9">
        <v>42</v>
      </c>
      <c r="K25" s="77">
        <f t="shared" si="0"/>
        <v>84</v>
      </c>
      <c r="L25" s="76">
        <v>46110</v>
      </c>
      <c r="N25" s="83"/>
      <c r="O25" s="84"/>
      <c r="P25" s="81">
        <f t="shared" si="1"/>
        <v>42</v>
      </c>
      <c r="Q25" s="81">
        <f t="shared" si="2"/>
        <v>84</v>
      </c>
      <c r="R25" s="81"/>
      <c r="S25" s="81"/>
      <c r="T25" s="85"/>
      <c r="U25" s="81">
        <f t="shared" si="3"/>
        <v>42</v>
      </c>
      <c r="V25" s="81">
        <f t="shared" si="4"/>
        <v>2</v>
      </c>
      <c r="W25" s="82">
        <f t="shared" si="5"/>
        <v>84</v>
      </c>
      <c r="X25" s="82" t="s">
        <v>84</v>
      </c>
      <c r="Y25" s="24" t="s">
        <v>93</v>
      </c>
    </row>
    <row r="26" spans="1:25" s="24" customFormat="1" ht="11.1" customHeight="1">
      <c r="A26" s="74">
        <f t="shared" si="6"/>
        <v>24</v>
      </c>
      <c r="B26" s="75" t="s">
        <v>973</v>
      </c>
      <c r="C26" s="74" t="str">
        <f>IF($B26&lt;&gt;"",_xlfn.IFNA(VLOOKUP($B26,'Node Details'!$B:$U,C$1,0),"Check"),"")</f>
        <v>0000AXZ03-AXZ030104</v>
      </c>
      <c r="D26" s="74" t="str">
        <f>IF($B26&lt;&gt;"",_xlfn.IFNA(VLOOKUP($B26,'Node Details'!$B:$U,D$1,0),"Check"),"")</f>
        <v>AXZ</v>
      </c>
      <c r="E26" s="74" t="str">
        <f>IF($B26&lt;&gt;"",_xlfn.IFNA(VLOOKUP($B26,'Node Details'!$B:$U,E$1,0),"Check"),"")</f>
        <v>Airtel</v>
      </c>
      <c r="F26" s="76">
        <v>46110</v>
      </c>
      <c r="G26" s="74"/>
      <c r="H26" s="10" t="s">
        <v>22</v>
      </c>
      <c r="I26" s="9">
        <v>2</v>
      </c>
      <c r="J26" s="9">
        <v>42</v>
      </c>
      <c r="K26" s="77">
        <f t="shared" si="0"/>
        <v>84</v>
      </c>
      <c r="L26" s="76">
        <v>46110</v>
      </c>
      <c r="N26" s="83"/>
      <c r="O26" s="84"/>
      <c r="P26" s="81">
        <f t="shared" si="1"/>
        <v>42</v>
      </c>
      <c r="Q26" s="81">
        <f t="shared" si="2"/>
        <v>84</v>
      </c>
      <c r="R26" s="81"/>
      <c r="S26" s="81"/>
      <c r="T26" s="85"/>
      <c r="U26" s="81">
        <f t="shared" si="3"/>
        <v>42</v>
      </c>
      <c r="V26" s="81">
        <f t="shared" si="4"/>
        <v>2</v>
      </c>
      <c r="W26" s="82">
        <f t="shared" si="5"/>
        <v>84</v>
      </c>
      <c r="X26" s="82" t="s">
        <v>84</v>
      </c>
      <c r="Y26" s="24" t="s">
        <v>93</v>
      </c>
    </row>
    <row r="27" spans="1:25" s="24" customFormat="1" ht="11.1" customHeight="1">
      <c r="A27" s="74">
        <f t="shared" si="6"/>
        <v>25</v>
      </c>
      <c r="B27" s="75" t="s">
        <v>128</v>
      </c>
      <c r="C27" s="74" t="str">
        <f>IF($B27&lt;&gt;"",_xlfn.IFNA(VLOOKUP($B27,'Node Details'!$B:$U,C$1,0),"Check"),"")</f>
        <v>0000AXZ03-AXZ030104</v>
      </c>
      <c r="D27" s="74" t="str">
        <f>IF($B27&lt;&gt;"",_xlfn.IFNA(VLOOKUP($B27,'Node Details'!$B:$U,D$1,0),"Check"),"")</f>
        <v>AXZ</v>
      </c>
      <c r="E27" s="74" t="str">
        <f>IF($B27&lt;&gt;"",_xlfn.IFNA(VLOOKUP($B27,'Node Details'!$B:$U,E$1,0),"Check"),"")</f>
        <v>Airtel</v>
      </c>
      <c r="F27" s="76">
        <v>46110</v>
      </c>
      <c r="G27" s="74"/>
      <c r="H27" s="10" t="s">
        <v>22</v>
      </c>
      <c r="I27" s="9">
        <v>2</v>
      </c>
      <c r="J27" s="9">
        <v>42</v>
      </c>
      <c r="K27" s="77">
        <f t="shared" si="0"/>
        <v>84</v>
      </c>
      <c r="L27" s="76">
        <v>46110</v>
      </c>
      <c r="N27" s="83"/>
      <c r="O27" s="84"/>
      <c r="P27" s="81">
        <f t="shared" si="1"/>
        <v>42</v>
      </c>
      <c r="Q27" s="81">
        <f t="shared" si="2"/>
        <v>84</v>
      </c>
      <c r="R27" s="81"/>
      <c r="S27" s="81"/>
      <c r="T27" s="85"/>
      <c r="U27" s="81">
        <f t="shared" si="3"/>
        <v>42</v>
      </c>
      <c r="V27" s="81">
        <f t="shared" si="4"/>
        <v>2</v>
      </c>
      <c r="W27" s="82">
        <f t="shared" si="5"/>
        <v>84</v>
      </c>
      <c r="X27" s="82" t="s">
        <v>84</v>
      </c>
      <c r="Y27" s="24" t="s">
        <v>93</v>
      </c>
    </row>
    <row r="28" spans="1:25" s="24" customFormat="1" ht="11.1" customHeight="1">
      <c r="A28" s="74">
        <f t="shared" si="6"/>
        <v>26</v>
      </c>
      <c r="B28" s="75" t="s">
        <v>974</v>
      </c>
      <c r="C28" s="74" t="str">
        <f>IF($B28&lt;&gt;"",_xlfn.IFNA(VLOOKUP($B28,'Node Details'!$B:$U,C$1,0),"Check"),"")</f>
        <v>AXZ030104-AXZ030106</v>
      </c>
      <c r="D28" s="74" t="str">
        <f>IF($B28&lt;&gt;"",_xlfn.IFNA(VLOOKUP($B28,'Node Details'!$B:$U,D$1,0),"Check"),"")</f>
        <v>AXZ</v>
      </c>
      <c r="E28" s="74" t="str">
        <f>IF($B28&lt;&gt;"",_xlfn.IFNA(VLOOKUP($B28,'Node Details'!$B:$U,E$1,0),"Check"),"")</f>
        <v>Airtel</v>
      </c>
      <c r="F28" s="76">
        <v>46110</v>
      </c>
      <c r="G28" s="74"/>
      <c r="H28" s="10" t="s">
        <v>22</v>
      </c>
      <c r="I28" s="9">
        <v>2</v>
      </c>
      <c r="J28" s="9">
        <v>42</v>
      </c>
      <c r="K28" s="77">
        <f t="shared" si="0"/>
        <v>84</v>
      </c>
      <c r="L28" s="76">
        <v>46110</v>
      </c>
      <c r="N28" s="83"/>
      <c r="O28" s="84"/>
      <c r="P28" s="81">
        <f t="shared" si="1"/>
        <v>42</v>
      </c>
      <c r="Q28" s="81">
        <f t="shared" si="2"/>
        <v>84</v>
      </c>
      <c r="R28" s="81"/>
      <c r="S28" s="81"/>
      <c r="T28" s="85"/>
      <c r="U28" s="81">
        <f t="shared" si="3"/>
        <v>42</v>
      </c>
      <c r="V28" s="81">
        <f t="shared" si="4"/>
        <v>2</v>
      </c>
      <c r="W28" s="82">
        <f t="shared" si="5"/>
        <v>84</v>
      </c>
      <c r="X28" s="82" t="s">
        <v>84</v>
      </c>
      <c r="Y28" s="24" t="s">
        <v>93</v>
      </c>
    </row>
    <row r="29" spans="1:25" s="24" customFormat="1" ht="11.1" customHeight="1">
      <c r="A29" s="74">
        <f t="shared" si="6"/>
        <v>27</v>
      </c>
      <c r="B29" s="75" t="s">
        <v>131</v>
      </c>
      <c r="C29" s="74" t="str">
        <f>IF($B29&lt;&gt;"",_xlfn.IFNA(VLOOKUP($B29,'Node Details'!$B:$U,C$1,0),"Check"),"")</f>
        <v>AXZ030104-AXZ030106</v>
      </c>
      <c r="D29" s="74" t="str">
        <f>IF($B29&lt;&gt;"",_xlfn.IFNA(VLOOKUP($B29,'Node Details'!$B:$U,D$1,0),"Check"),"")</f>
        <v>AXZ</v>
      </c>
      <c r="E29" s="74" t="str">
        <f>IF($B29&lt;&gt;"",_xlfn.IFNA(VLOOKUP($B29,'Node Details'!$B:$U,E$1,0),"Check"),"")</f>
        <v>Airtel</v>
      </c>
      <c r="F29" s="76">
        <v>46110</v>
      </c>
      <c r="G29" s="74"/>
      <c r="H29" s="10" t="s">
        <v>22</v>
      </c>
      <c r="I29" s="9">
        <v>2</v>
      </c>
      <c r="J29" s="9">
        <v>42</v>
      </c>
      <c r="K29" s="77">
        <f t="shared" si="0"/>
        <v>84</v>
      </c>
      <c r="L29" s="76">
        <v>46110</v>
      </c>
      <c r="N29" s="83"/>
      <c r="O29" s="84"/>
      <c r="P29" s="81">
        <f t="shared" si="1"/>
        <v>42</v>
      </c>
      <c r="Q29" s="81">
        <f t="shared" si="2"/>
        <v>84</v>
      </c>
      <c r="R29" s="81"/>
      <c r="S29" s="81"/>
      <c r="T29" s="85"/>
      <c r="U29" s="81">
        <f t="shared" si="3"/>
        <v>42</v>
      </c>
      <c r="V29" s="81">
        <f t="shared" si="4"/>
        <v>2</v>
      </c>
      <c r="W29" s="82">
        <f t="shared" si="5"/>
        <v>84</v>
      </c>
      <c r="X29" s="82" t="s">
        <v>84</v>
      </c>
      <c r="Y29" s="24" t="s">
        <v>93</v>
      </c>
    </row>
    <row r="30" spans="1:25" s="24" customFormat="1" ht="11.1" customHeight="1">
      <c r="A30" s="74">
        <f t="shared" si="6"/>
        <v>28</v>
      </c>
      <c r="B30" s="75" t="s">
        <v>975</v>
      </c>
      <c r="C30" s="74" t="str">
        <f>IF($B30&lt;&gt;"",_xlfn.IFNA(VLOOKUP($B30,'Node Details'!$B:$U,C$1,0),"Check"),"")</f>
        <v>0000AXZ03-AXZ030201</v>
      </c>
      <c r="D30" s="74" t="str">
        <f>IF($B30&lt;&gt;"",_xlfn.IFNA(VLOOKUP($B30,'Node Details'!$B:$U,D$1,0),"Check"),"")</f>
        <v>AXZ</v>
      </c>
      <c r="E30" s="74" t="str">
        <f>IF($B30&lt;&gt;"",_xlfn.IFNA(VLOOKUP($B30,'Node Details'!$B:$U,E$1,0),"Check"),"")</f>
        <v>Airtel</v>
      </c>
      <c r="F30" s="76">
        <v>46110</v>
      </c>
      <c r="G30" s="74"/>
      <c r="H30" s="10" t="s">
        <v>22</v>
      </c>
      <c r="I30" s="9">
        <v>2</v>
      </c>
      <c r="J30" s="9">
        <v>42</v>
      </c>
      <c r="K30" s="77">
        <f t="shared" si="0"/>
        <v>84</v>
      </c>
      <c r="L30" s="76">
        <v>46110</v>
      </c>
      <c r="N30" s="83"/>
      <c r="O30" s="84"/>
      <c r="P30" s="81">
        <f t="shared" si="1"/>
        <v>42</v>
      </c>
      <c r="Q30" s="81">
        <f t="shared" si="2"/>
        <v>84</v>
      </c>
      <c r="R30" s="81"/>
      <c r="S30" s="81"/>
      <c r="T30" s="85"/>
      <c r="U30" s="81">
        <f t="shared" si="3"/>
        <v>42</v>
      </c>
      <c r="V30" s="81">
        <f t="shared" si="4"/>
        <v>2</v>
      </c>
      <c r="W30" s="82">
        <f t="shared" si="5"/>
        <v>84</v>
      </c>
      <c r="X30" s="82" t="s">
        <v>84</v>
      </c>
      <c r="Y30" s="24" t="s">
        <v>93</v>
      </c>
    </row>
    <row r="31" spans="1:25" s="24" customFormat="1" ht="11.1" customHeight="1">
      <c r="A31" s="74">
        <f t="shared" si="6"/>
        <v>29</v>
      </c>
      <c r="B31" s="75" t="s">
        <v>976</v>
      </c>
      <c r="C31" s="74" t="str">
        <f>IF($B31&lt;&gt;"",_xlfn.IFNA(VLOOKUP($B31,'Node Details'!$B:$U,C$1,0),"Check"),"")</f>
        <v>0000AXZ03-AXZ030201</v>
      </c>
      <c r="D31" s="74" t="str">
        <f>IF($B31&lt;&gt;"",_xlfn.IFNA(VLOOKUP($B31,'Node Details'!$B:$U,D$1,0),"Check"),"")</f>
        <v>AXZ</v>
      </c>
      <c r="E31" s="74" t="str">
        <f>IF($B31&lt;&gt;"",_xlfn.IFNA(VLOOKUP($B31,'Node Details'!$B:$U,E$1,0),"Check"),"")</f>
        <v>Airtel</v>
      </c>
      <c r="F31" s="76">
        <v>46110</v>
      </c>
      <c r="G31" s="74"/>
      <c r="H31" s="10" t="s">
        <v>22</v>
      </c>
      <c r="I31" s="9">
        <v>2</v>
      </c>
      <c r="J31" s="9">
        <v>42</v>
      </c>
      <c r="K31" s="77">
        <f t="shared" si="0"/>
        <v>84</v>
      </c>
      <c r="L31" s="76">
        <v>46110</v>
      </c>
      <c r="N31" s="83"/>
      <c r="O31" s="84"/>
      <c r="P31" s="81">
        <f t="shared" si="1"/>
        <v>42</v>
      </c>
      <c r="Q31" s="81">
        <f t="shared" si="2"/>
        <v>84</v>
      </c>
      <c r="R31" s="81"/>
      <c r="S31" s="81"/>
      <c r="T31" s="85"/>
      <c r="U31" s="81">
        <f t="shared" si="3"/>
        <v>42</v>
      </c>
      <c r="V31" s="81">
        <f t="shared" si="4"/>
        <v>2</v>
      </c>
      <c r="W31" s="82">
        <f t="shared" si="5"/>
        <v>84</v>
      </c>
      <c r="X31" s="82" t="s">
        <v>84</v>
      </c>
      <c r="Y31" s="24" t="s">
        <v>93</v>
      </c>
    </row>
    <row r="32" spans="1:25" s="24" customFormat="1" ht="11.1" customHeight="1">
      <c r="A32" s="74">
        <f t="shared" si="6"/>
        <v>30</v>
      </c>
      <c r="B32" s="75" t="s">
        <v>134</v>
      </c>
      <c r="C32" s="74" t="str">
        <f>IF($B32&lt;&gt;"",_xlfn.IFNA(VLOOKUP($B32,'Node Details'!$B:$U,C$1,0),"Check"),"")</f>
        <v>0000AXZ03-AXZ030201</v>
      </c>
      <c r="D32" s="74" t="str">
        <f>IF($B32&lt;&gt;"",_xlfn.IFNA(VLOOKUP($B32,'Node Details'!$B:$U,D$1,0),"Check"),"")</f>
        <v>AXZ</v>
      </c>
      <c r="E32" s="74" t="str">
        <f>IF($B32&lt;&gt;"",_xlfn.IFNA(VLOOKUP($B32,'Node Details'!$B:$U,E$1,0),"Check"),"")</f>
        <v>Airtel</v>
      </c>
      <c r="F32" s="76">
        <v>46110</v>
      </c>
      <c r="G32" s="74"/>
      <c r="H32" s="10" t="s">
        <v>22</v>
      </c>
      <c r="I32" s="9">
        <v>2</v>
      </c>
      <c r="J32" s="9">
        <v>42</v>
      </c>
      <c r="K32" s="77">
        <f t="shared" si="0"/>
        <v>84</v>
      </c>
      <c r="L32" s="76">
        <v>46110</v>
      </c>
      <c r="N32" s="83"/>
      <c r="O32" s="84"/>
      <c r="P32" s="81">
        <f t="shared" si="1"/>
        <v>42</v>
      </c>
      <c r="Q32" s="81">
        <f t="shared" si="2"/>
        <v>84</v>
      </c>
      <c r="R32" s="81"/>
      <c r="S32" s="81"/>
      <c r="T32" s="85"/>
      <c r="U32" s="81">
        <f t="shared" si="3"/>
        <v>42</v>
      </c>
      <c r="V32" s="81">
        <f t="shared" si="4"/>
        <v>2</v>
      </c>
      <c r="W32" s="82">
        <f t="shared" si="5"/>
        <v>84</v>
      </c>
      <c r="X32" s="82" t="s">
        <v>84</v>
      </c>
      <c r="Y32" s="24" t="s">
        <v>93</v>
      </c>
    </row>
    <row r="33" spans="1:25" s="24" customFormat="1" ht="11.1" customHeight="1">
      <c r="A33" s="74">
        <f t="shared" si="6"/>
        <v>31</v>
      </c>
      <c r="B33" s="75" t="s">
        <v>977</v>
      </c>
      <c r="C33" s="74" t="str">
        <f>IF($B33&lt;&gt;"",_xlfn.IFNA(VLOOKUP($B33,'Node Details'!$B:$U,C$1,0),"Check"),"")</f>
        <v>AXZ030201-AXZ030205</v>
      </c>
      <c r="D33" s="74" t="str">
        <f>IF($B33&lt;&gt;"",_xlfn.IFNA(VLOOKUP($B33,'Node Details'!$B:$U,D$1,0),"Check"),"")</f>
        <v>AXZ</v>
      </c>
      <c r="E33" s="74" t="str">
        <f>IF($B33&lt;&gt;"",_xlfn.IFNA(VLOOKUP($B33,'Node Details'!$B:$U,E$1,0),"Check"),"")</f>
        <v>Airtel</v>
      </c>
      <c r="F33" s="76">
        <v>46110</v>
      </c>
      <c r="G33" s="74"/>
      <c r="H33" s="10" t="s">
        <v>22</v>
      </c>
      <c r="I33" s="9">
        <v>2</v>
      </c>
      <c r="J33" s="9">
        <v>42</v>
      </c>
      <c r="K33" s="77">
        <f t="shared" si="0"/>
        <v>84</v>
      </c>
      <c r="L33" s="76">
        <v>46110</v>
      </c>
      <c r="N33" s="83"/>
      <c r="O33" s="84"/>
      <c r="P33" s="81">
        <f t="shared" si="1"/>
        <v>42</v>
      </c>
      <c r="Q33" s="81">
        <f t="shared" si="2"/>
        <v>84</v>
      </c>
      <c r="R33" s="81"/>
      <c r="S33" s="81"/>
      <c r="T33" s="85"/>
      <c r="U33" s="81">
        <f t="shared" si="3"/>
        <v>42</v>
      </c>
      <c r="V33" s="81">
        <f t="shared" si="4"/>
        <v>2</v>
      </c>
      <c r="W33" s="82">
        <f t="shared" si="5"/>
        <v>84</v>
      </c>
      <c r="X33" s="82" t="s">
        <v>84</v>
      </c>
      <c r="Y33" s="24" t="s">
        <v>93</v>
      </c>
    </row>
    <row r="34" spans="1:25" s="24" customFormat="1" ht="11.1" customHeight="1">
      <c r="A34" s="74">
        <f t="shared" si="6"/>
        <v>32</v>
      </c>
      <c r="B34" s="75" t="s">
        <v>978</v>
      </c>
      <c r="C34" s="74" t="str">
        <f>IF($B34&lt;&gt;"",_xlfn.IFNA(VLOOKUP($B34,'Node Details'!$B:$U,C$1,0),"Check"),"")</f>
        <v>AXZ030201-AXZ030205</v>
      </c>
      <c r="D34" s="74" t="str">
        <f>IF($B34&lt;&gt;"",_xlfn.IFNA(VLOOKUP($B34,'Node Details'!$B:$U,D$1,0),"Check"),"")</f>
        <v>AXZ</v>
      </c>
      <c r="E34" s="74" t="str">
        <f>IF($B34&lt;&gt;"",_xlfn.IFNA(VLOOKUP($B34,'Node Details'!$B:$U,E$1,0),"Check"),"")</f>
        <v>Airtel</v>
      </c>
      <c r="F34" s="76">
        <v>46110</v>
      </c>
      <c r="G34" s="74"/>
      <c r="H34" s="10" t="s">
        <v>22</v>
      </c>
      <c r="I34" s="9">
        <v>2</v>
      </c>
      <c r="J34" s="9">
        <v>42</v>
      </c>
      <c r="K34" s="77">
        <f t="shared" si="0"/>
        <v>84</v>
      </c>
      <c r="L34" s="76">
        <v>46110</v>
      </c>
      <c r="N34" s="83"/>
      <c r="O34" s="84"/>
      <c r="P34" s="81">
        <f t="shared" si="1"/>
        <v>42</v>
      </c>
      <c r="Q34" s="81">
        <f t="shared" si="2"/>
        <v>84</v>
      </c>
      <c r="R34" s="81"/>
      <c r="S34" s="81"/>
      <c r="T34" s="85"/>
      <c r="U34" s="81">
        <f t="shared" si="3"/>
        <v>42</v>
      </c>
      <c r="V34" s="81">
        <f t="shared" si="4"/>
        <v>2</v>
      </c>
      <c r="W34" s="82">
        <f t="shared" si="5"/>
        <v>84</v>
      </c>
      <c r="X34" s="82" t="s">
        <v>84</v>
      </c>
      <c r="Y34" s="24" t="s">
        <v>93</v>
      </c>
    </row>
    <row r="35" spans="1:25" s="24" customFormat="1" ht="11.1" customHeight="1">
      <c r="A35" s="74">
        <f t="shared" si="6"/>
        <v>33</v>
      </c>
      <c r="B35" s="75" t="s">
        <v>979</v>
      </c>
      <c r="C35" s="74" t="str">
        <f>IF($B35&lt;&gt;"",_xlfn.IFNA(VLOOKUP($B35,'Node Details'!$B:$U,C$1,0),"Check"),"")</f>
        <v>AXZ030201-AXZ030205</v>
      </c>
      <c r="D35" s="74" t="str">
        <f>IF($B35&lt;&gt;"",_xlfn.IFNA(VLOOKUP($B35,'Node Details'!$B:$U,D$1,0),"Check"),"")</f>
        <v>AXZ</v>
      </c>
      <c r="E35" s="74" t="str">
        <f>IF($B35&lt;&gt;"",_xlfn.IFNA(VLOOKUP($B35,'Node Details'!$B:$U,E$1,0),"Check"),"")</f>
        <v>Airtel</v>
      </c>
      <c r="F35" s="76">
        <v>46110</v>
      </c>
      <c r="G35" s="74"/>
      <c r="H35" s="10" t="s">
        <v>22</v>
      </c>
      <c r="I35" s="9">
        <v>2</v>
      </c>
      <c r="J35" s="9">
        <v>42</v>
      </c>
      <c r="K35" s="77">
        <f t="shared" si="0"/>
        <v>84</v>
      </c>
      <c r="L35" s="76">
        <v>46110</v>
      </c>
      <c r="N35" s="83"/>
      <c r="O35" s="84"/>
      <c r="P35" s="81">
        <f t="shared" si="1"/>
        <v>42</v>
      </c>
      <c r="Q35" s="81">
        <f t="shared" si="2"/>
        <v>84</v>
      </c>
      <c r="R35" s="81"/>
      <c r="S35" s="81"/>
      <c r="T35" s="85"/>
      <c r="U35" s="81">
        <f t="shared" si="3"/>
        <v>42</v>
      </c>
      <c r="V35" s="81">
        <f t="shared" si="4"/>
        <v>2</v>
      </c>
      <c r="W35" s="82">
        <f t="shared" si="5"/>
        <v>84</v>
      </c>
      <c r="X35" s="82" t="s">
        <v>84</v>
      </c>
      <c r="Y35" s="24" t="s">
        <v>93</v>
      </c>
    </row>
    <row r="36" spans="1:25" s="24" customFormat="1" ht="11.1" customHeight="1">
      <c r="A36" s="74">
        <f t="shared" si="6"/>
        <v>34</v>
      </c>
      <c r="B36" s="75" t="s">
        <v>137</v>
      </c>
      <c r="C36" s="74" t="str">
        <f>IF($B36&lt;&gt;"",_xlfn.IFNA(VLOOKUP($B36,'Node Details'!$B:$U,C$1,0),"Check"),"")</f>
        <v>AXZ030201-AXZ030205</v>
      </c>
      <c r="D36" s="74" t="str">
        <f>IF($B36&lt;&gt;"",_xlfn.IFNA(VLOOKUP($B36,'Node Details'!$B:$U,D$1,0),"Check"),"")</f>
        <v>AXZ</v>
      </c>
      <c r="E36" s="74" t="str">
        <f>IF($B36&lt;&gt;"",_xlfn.IFNA(VLOOKUP($B36,'Node Details'!$B:$U,E$1,0),"Check"),"")</f>
        <v>Airtel</v>
      </c>
      <c r="F36" s="76">
        <v>46110</v>
      </c>
      <c r="G36" s="74"/>
      <c r="H36" s="10" t="s">
        <v>22</v>
      </c>
      <c r="I36" s="9">
        <v>2</v>
      </c>
      <c r="J36" s="9">
        <v>42</v>
      </c>
      <c r="K36" s="77">
        <f t="shared" si="0"/>
        <v>84</v>
      </c>
      <c r="L36" s="76">
        <v>46110</v>
      </c>
      <c r="N36" s="83"/>
      <c r="O36" s="84"/>
      <c r="P36" s="81">
        <f t="shared" si="1"/>
        <v>42</v>
      </c>
      <c r="Q36" s="81">
        <f t="shared" si="2"/>
        <v>84</v>
      </c>
      <c r="R36" s="81"/>
      <c r="S36" s="81"/>
      <c r="T36" s="85"/>
      <c r="U36" s="81">
        <f t="shared" si="3"/>
        <v>42</v>
      </c>
      <c r="V36" s="81">
        <f t="shared" si="4"/>
        <v>2</v>
      </c>
      <c r="W36" s="82">
        <f t="shared" si="5"/>
        <v>84</v>
      </c>
      <c r="X36" s="82" t="s">
        <v>84</v>
      </c>
      <c r="Y36" s="24" t="s">
        <v>93</v>
      </c>
    </row>
    <row r="37" spans="1:25" s="24" customFormat="1" ht="11.1" customHeight="1">
      <c r="A37" s="74">
        <f t="shared" si="6"/>
        <v>35</v>
      </c>
      <c r="B37" s="75" t="s">
        <v>80</v>
      </c>
      <c r="C37" s="74" t="str">
        <f>IF($B37&lt;&gt;"",_xlfn.IFNA(VLOOKUP($B37,'Node Details'!$B:$U,C$1,0),"Check"),"")</f>
        <v>000000AXZ-0000AXZ01</v>
      </c>
      <c r="D37" s="74" t="str">
        <f>IF($B37&lt;&gt;"",_xlfn.IFNA(VLOOKUP($B37,'Node Details'!$B:$U,D$1,0),"Check"),"")</f>
        <v>AXZ</v>
      </c>
      <c r="E37" s="74" t="str">
        <f>IF($B37&lt;&gt;"",_xlfn.IFNA(VLOOKUP($B37,'Node Details'!$B:$U,E$1,0),"Check"),"")</f>
        <v>Airtel</v>
      </c>
      <c r="F37" s="76">
        <v>46110</v>
      </c>
      <c r="G37" s="74"/>
      <c r="H37" s="10" t="s">
        <v>1247</v>
      </c>
      <c r="I37" s="9">
        <v>2</v>
      </c>
      <c r="J37" s="9">
        <v>650</v>
      </c>
      <c r="K37" s="77">
        <f t="shared" si="0"/>
        <v>1300</v>
      </c>
      <c r="L37" s="76">
        <v>46110</v>
      </c>
      <c r="N37" s="83"/>
      <c r="O37" s="84"/>
      <c r="P37" s="81">
        <f t="shared" si="1"/>
        <v>650</v>
      </c>
      <c r="Q37" s="81">
        <f t="shared" si="2"/>
        <v>1300</v>
      </c>
      <c r="R37" s="81"/>
      <c r="S37" s="81"/>
      <c r="T37" s="85"/>
      <c r="U37" s="81">
        <f t="shared" si="3"/>
        <v>650</v>
      </c>
      <c r="V37" s="81">
        <f t="shared" si="4"/>
        <v>2</v>
      </c>
      <c r="W37" s="82">
        <f t="shared" si="5"/>
        <v>1300</v>
      </c>
      <c r="X37" s="82" t="s">
        <v>84</v>
      </c>
      <c r="Y37" s="24" t="s">
        <v>93</v>
      </c>
    </row>
    <row r="38" spans="1:25" s="24" customFormat="1" ht="11.1" customHeight="1">
      <c r="A38" s="74">
        <f t="shared" si="6"/>
        <v>36</v>
      </c>
      <c r="B38" s="75" t="s">
        <v>112</v>
      </c>
      <c r="C38" s="74" t="str">
        <f>IF($B38&lt;&gt;"",_xlfn.IFNA(VLOOKUP($B38,'Node Details'!$B:$U,C$1,0),"Check"),"")</f>
        <v>000000AXZ-0000AXZ03</v>
      </c>
      <c r="D38" s="74" t="str">
        <f>IF($B38&lt;&gt;"",_xlfn.IFNA(VLOOKUP($B38,'Node Details'!$B:$U,D$1,0),"Check"),"")</f>
        <v>AXZ</v>
      </c>
      <c r="E38" s="74" t="str">
        <f>IF($B38&lt;&gt;"",_xlfn.IFNA(VLOOKUP($B38,'Node Details'!$B:$U,E$1,0),"Check"),"")</f>
        <v>Airtel</v>
      </c>
      <c r="F38" s="76">
        <v>46110</v>
      </c>
      <c r="G38" s="74"/>
      <c r="H38" s="10" t="s">
        <v>1247</v>
      </c>
      <c r="I38" s="9">
        <v>2</v>
      </c>
      <c r="J38" s="9">
        <v>650</v>
      </c>
      <c r="K38" s="77">
        <f t="shared" si="0"/>
        <v>1300</v>
      </c>
      <c r="L38" s="76">
        <v>46110</v>
      </c>
      <c r="N38" s="83"/>
      <c r="O38" s="84"/>
      <c r="P38" s="81">
        <f t="shared" si="1"/>
        <v>650</v>
      </c>
      <c r="Q38" s="81">
        <f t="shared" si="2"/>
        <v>1300</v>
      </c>
      <c r="R38" s="81"/>
      <c r="S38" s="81"/>
      <c r="T38" s="85"/>
      <c r="U38" s="81">
        <f t="shared" si="3"/>
        <v>650</v>
      </c>
      <c r="V38" s="81">
        <f t="shared" si="4"/>
        <v>2</v>
      </c>
      <c r="W38" s="82">
        <f t="shared" si="5"/>
        <v>1300</v>
      </c>
      <c r="X38" s="82" t="s">
        <v>84</v>
      </c>
      <c r="Y38" s="24" t="s">
        <v>93</v>
      </c>
    </row>
    <row r="39" spans="1:25" s="24" customFormat="1" ht="11.1" customHeight="1">
      <c r="A39" s="74">
        <f t="shared" si="6"/>
        <v>37</v>
      </c>
      <c r="B39" s="75" t="s">
        <v>95</v>
      </c>
      <c r="C39" s="74" t="str">
        <f>IF($B39&lt;&gt;"",_xlfn.IFNA(VLOOKUP($B39,'Node Details'!$B:$U,C$1,0),"Check"),"")</f>
        <v>000000AXZ-0000AXZ03</v>
      </c>
      <c r="D39" s="74" t="str">
        <f>IF($B39&lt;&gt;"",_xlfn.IFNA(VLOOKUP($B39,'Node Details'!$B:$U,D$1,0),"Check"),"")</f>
        <v>AXZ</v>
      </c>
      <c r="E39" s="74" t="str">
        <f>IF($B39&lt;&gt;"",_xlfn.IFNA(VLOOKUP($B39,'Node Details'!$B:$U,E$1,0),"Check"),"")</f>
        <v>Airtel</v>
      </c>
      <c r="F39" s="76">
        <v>46110</v>
      </c>
      <c r="G39" s="74"/>
      <c r="H39" s="10" t="s">
        <v>1247</v>
      </c>
      <c r="I39" s="9">
        <v>2</v>
      </c>
      <c r="J39" s="9">
        <v>650</v>
      </c>
      <c r="K39" s="77">
        <f t="shared" si="0"/>
        <v>1300</v>
      </c>
      <c r="L39" s="76">
        <v>46110</v>
      </c>
      <c r="N39" s="83"/>
      <c r="O39" s="84"/>
      <c r="P39" s="81">
        <f t="shared" si="1"/>
        <v>650</v>
      </c>
      <c r="Q39" s="81">
        <f t="shared" si="2"/>
        <v>1300</v>
      </c>
      <c r="R39" s="81"/>
      <c r="S39" s="81"/>
      <c r="T39" s="85"/>
      <c r="U39" s="81">
        <f t="shared" si="3"/>
        <v>650</v>
      </c>
      <c r="V39" s="81">
        <f t="shared" si="4"/>
        <v>2</v>
      </c>
      <c r="W39" s="82">
        <f t="shared" si="5"/>
        <v>1300</v>
      </c>
      <c r="X39" s="82" t="s">
        <v>84</v>
      </c>
      <c r="Y39" s="24" t="s">
        <v>93</v>
      </c>
    </row>
    <row r="40" spans="1:25" s="24" customFormat="1" ht="11.1" customHeight="1">
      <c r="A40" s="74">
        <f t="shared" si="6"/>
        <v>38</v>
      </c>
      <c r="B40" s="75" t="s">
        <v>98</v>
      </c>
      <c r="C40" s="74" t="str">
        <f>IF($B40&lt;&gt;"",_xlfn.IFNA(VLOOKUP($B40,'Node Details'!$B:$U,C$1,0),"Check"),"")</f>
        <v>0000AXZ01-AXZ010101</v>
      </c>
      <c r="D40" s="74" t="str">
        <f>IF($B40&lt;&gt;"",_xlfn.IFNA(VLOOKUP($B40,'Node Details'!$B:$U,D$1,0),"Check"),"")</f>
        <v>AXZ</v>
      </c>
      <c r="E40" s="74" t="str">
        <f>IF($B40&lt;&gt;"",_xlfn.IFNA(VLOOKUP($B40,'Node Details'!$B:$U,E$1,0),"Check"),"")</f>
        <v>Airtel</v>
      </c>
      <c r="F40" s="76">
        <v>46110</v>
      </c>
      <c r="G40" s="74"/>
      <c r="H40" s="10" t="s">
        <v>1248</v>
      </c>
      <c r="I40" s="9">
        <v>1</v>
      </c>
      <c r="J40" s="9">
        <v>950</v>
      </c>
      <c r="K40" s="77">
        <f t="shared" si="0"/>
        <v>950</v>
      </c>
      <c r="L40" s="76">
        <v>46110</v>
      </c>
      <c r="N40" s="83"/>
      <c r="O40" s="84"/>
      <c r="P40" s="81">
        <f t="shared" si="1"/>
        <v>950</v>
      </c>
      <c r="Q40" s="81">
        <f t="shared" si="2"/>
        <v>950</v>
      </c>
      <c r="R40" s="81"/>
      <c r="S40" s="81"/>
      <c r="T40" s="85"/>
      <c r="U40" s="81">
        <f t="shared" si="3"/>
        <v>950</v>
      </c>
      <c r="V40" s="81">
        <f t="shared" si="4"/>
        <v>1</v>
      </c>
      <c r="W40" s="82">
        <f t="shared" si="5"/>
        <v>950</v>
      </c>
      <c r="X40" s="82" t="s">
        <v>84</v>
      </c>
      <c r="Y40" s="24" t="s">
        <v>93</v>
      </c>
    </row>
    <row r="41" spans="1:25" s="24" customFormat="1" ht="11.1" customHeight="1">
      <c r="A41" s="74">
        <f t="shared" si="6"/>
        <v>39</v>
      </c>
      <c r="B41" s="75" t="s">
        <v>103</v>
      </c>
      <c r="C41" s="74" t="str">
        <f>IF($B41&lt;&gt;"",_xlfn.IFNA(VLOOKUP($B41,'Node Details'!$B:$U,C$1,0),"Check"),"")</f>
        <v>0000AXZ01-AXZ010102</v>
      </c>
      <c r="D41" s="74" t="str">
        <f>IF($B41&lt;&gt;"",_xlfn.IFNA(VLOOKUP($B41,'Node Details'!$B:$U,D$1,0),"Check"),"")</f>
        <v>AXZ</v>
      </c>
      <c r="E41" s="74" t="str">
        <f>IF($B41&lt;&gt;"",_xlfn.IFNA(VLOOKUP($B41,'Node Details'!$B:$U,E$1,0),"Check"),"")</f>
        <v>Airtel</v>
      </c>
      <c r="F41" s="76">
        <v>46110</v>
      </c>
      <c r="G41" s="74"/>
      <c r="H41" s="10" t="s">
        <v>1249</v>
      </c>
      <c r="I41" s="9">
        <v>1</v>
      </c>
      <c r="J41" s="9">
        <v>375</v>
      </c>
      <c r="K41" s="77">
        <f t="shared" si="0"/>
        <v>375</v>
      </c>
      <c r="L41" s="76">
        <v>46110</v>
      </c>
      <c r="N41" s="83"/>
      <c r="O41" s="84"/>
      <c r="P41" s="81">
        <f t="shared" si="1"/>
        <v>375</v>
      </c>
      <c r="Q41" s="81">
        <f t="shared" si="2"/>
        <v>375</v>
      </c>
      <c r="R41" s="81"/>
      <c r="S41" s="81"/>
      <c r="T41" s="85"/>
      <c r="U41" s="81">
        <f t="shared" si="3"/>
        <v>375</v>
      </c>
      <c r="V41" s="81">
        <f t="shared" si="4"/>
        <v>1</v>
      </c>
      <c r="W41" s="82">
        <f t="shared" si="5"/>
        <v>375</v>
      </c>
      <c r="X41" s="82" t="s">
        <v>84</v>
      </c>
      <c r="Y41" s="24" t="s">
        <v>93</v>
      </c>
    </row>
    <row r="42" spans="1:25" s="24" customFormat="1" ht="11.1" customHeight="1">
      <c r="A42" s="74">
        <f t="shared" si="6"/>
        <v>40</v>
      </c>
      <c r="B42" s="75" t="s">
        <v>959</v>
      </c>
      <c r="C42" s="74" t="str">
        <f>IF($B42&lt;&gt;"",_xlfn.IFNA(VLOOKUP($B42,'Node Details'!$B:$U,C$1,0),"Check"),"")</f>
        <v>0000AXZ01-AXZ010105</v>
      </c>
      <c r="D42" s="74" t="str">
        <f>IF($B42&lt;&gt;"",_xlfn.IFNA(VLOOKUP($B42,'Node Details'!$B:$U,D$1,0),"Check"),"")</f>
        <v>AXZ</v>
      </c>
      <c r="E42" s="74" t="str">
        <f>IF($B42&lt;&gt;"",_xlfn.IFNA(VLOOKUP($B42,'Node Details'!$B:$U,E$1,0),"Check"),"")</f>
        <v>Airtel</v>
      </c>
      <c r="F42" s="76">
        <v>46110</v>
      </c>
      <c r="G42" s="74"/>
      <c r="H42" s="10" t="s">
        <v>1249</v>
      </c>
      <c r="I42" s="9">
        <v>1</v>
      </c>
      <c r="J42" s="9">
        <v>375</v>
      </c>
      <c r="K42" s="77">
        <f t="shared" si="0"/>
        <v>375</v>
      </c>
      <c r="L42" s="76">
        <v>46110</v>
      </c>
      <c r="N42" s="83"/>
      <c r="O42" s="84"/>
      <c r="P42" s="81">
        <f t="shared" si="1"/>
        <v>375</v>
      </c>
      <c r="Q42" s="81">
        <f t="shared" si="2"/>
        <v>375</v>
      </c>
      <c r="R42" s="81"/>
      <c r="S42" s="81"/>
      <c r="T42" s="85"/>
      <c r="U42" s="81">
        <f t="shared" si="3"/>
        <v>375</v>
      </c>
      <c r="V42" s="81">
        <f t="shared" si="4"/>
        <v>1</v>
      </c>
      <c r="W42" s="82">
        <f t="shared" si="5"/>
        <v>375</v>
      </c>
      <c r="X42" s="82" t="s">
        <v>84</v>
      </c>
      <c r="Y42" s="24" t="s">
        <v>93</v>
      </c>
    </row>
    <row r="43" spans="1:25" s="24" customFormat="1" ht="11.1" customHeight="1">
      <c r="A43" s="74">
        <f t="shared" si="6"/>
        <v>41</v>
      </c>
      <c r="B43" s="75" t="s">
        <v>960</v>
      </c>
      <c r="C43" s="74" t="str">
        <f>IF($B43&lt;&gt;"",_xlfn.IFNA(VLOOKUP($B43,'Node Details'!$B:$U,C$1,0),"Check"),"")</f>
        <v>0000AXZ01-AXZ010105</v>
      </c>
      <c r="D43" s="74" t="str">
        <f>IF($B43&lt;&gt;"",_xlfn.IFNA(VLOOKUP($B43,'Node Details'!$B:$U,D$1,0),"Check"),"")</f>
        <v>AXZ</v>
      </c>
      <c r="E43" s="74" t="str">
        <f>IF($B43&lt;&gt;"",_xlfn.IFNA(VLOOKUP($B43,'Node Details'!$B:$U,E$1,0),"Check"),"")</f>
        <v>Airtel</v>
      </c>
      <c r="F43" s="76">
        <v>46110</v>
      </c>
      <c r="G43" s="74"/>
      <c r="H43" s="10" t="s">
        <v>1249</v>
      </c>
      <c r="I43" s="9">
        <v>1</v>
      </c>
      <c r="J43" s="9">
        <v>375</v>
      </c>
      <c r="K43" s="77">
        <f t="shared" si="0"/>
        <v>375</v>
      </c>
      <c r="L43" s="76">
        <v>46110</v>
      </c>
      <c r="N43" s="83"/>
      <c r="O43" s="84"/>
      <c r="P43" s="81">
        <f t="shared" si="1"/>
        <v>375</v>
      </c>
      <c r="Q43" s="81">
        <f t="shared" si="2"/>
        <v>375</v>
      </c>
      <c r="R43" s="81"/>
      <c r="S43" s="81"/>
      <c r="T43" s="85"/>
      <c r="U43" s="81">
        <f t="shared" si="3"/>
        <v>375</v>
      </c>
      <c r="V43" s="81">
        <f t="shared" si="4"/>
        <v>1</v>
      </c>
      <c r="W43" s="82">
        <f t="shared" si="5"/>
        <v>375</v>
      </c>
      <c r="X43" s="82" t="s">
        <v>84</v>
      </c>
      <c r="Y43" s="24" t="s">
        <v>93</v>
      </c>
    </row>
    <row r="44" spans="1:25" s="24" customFormat="1" ht="11.1" customHeight="1">
      <c r="A44" s="74">
        <f t="shared" si="6"/>
        <v>42</v>
      </c>
      <c r="B44" s="75" t="s">
        <v>106</v>
      </c>
      <c r="C44" s="74" t="str">
        <f>IF($B44&lt;&gt;"",_xlfn.IFNA(VLOOKUP($B44,'Node Details'!$B:$U,C$1,0),"Check"),"")</f>
        <v>0000AXZ01-AXZ010105</v>
      </c>
      <c r="D44" s="74" t="str">
        <f>IF($B44&lt;&gt;"",_xlfn.IFNA(VLOOKUP($B44,'Node Details'!$B:$U,D$1,0),"Check"),"")</f>
        <v>AXZ</v>
      </c>
      <c r="E44" s="74" t="str">
        <f>IF($B44&lt;&gt;"",_xlfn.IFNA(VLOOKUP($B44,'Node Details'!$B:$U,E$1,0),"Check"),"")</f>
        <v>Airtel</v>
      </c>
      <c r="F44" s="76">
        <v>46110</v>
      </c>
      <c r="G44" s="74"/>
      <c r="H44" s="10" t="s">
        <v>1249</v>
      </c>
      <c r="I44" s="9">
        <v>1</v>
      </c>
      <c r="J44" s="9">
        <v>375</v>
      </c>
      <c r="K44" s="77">
        <f t="shared" si="0"/>
        <v>375</v>
      </c>
      <c r="L44" s="76">
        <v>46110</v>
      </c>
      <c r="N44" s="83"/>
      <c r="O44" s="84"/>
      <c r="P44" s="81">
        <f t="shared" si="1"/>
        <v>375</v>
      </c>
      <c r="Q44" s="81">
        <f t="shared" si="2"/>
        <v>375</v>
      </c>
      <c r="R44" s="81"/>
      <c r="S44" s="81"/>
      <c r="T44" s="85"/>
      <c r="U44" s="81">
        <f t="shared" si="3"/>
        <v>375</v>
      </c>
      <c r="V44" s="81">
        <f t="shared" si="4"/>
        <v>1</v>
      </c>
      <c r="W44" s="82">
        <f t="shared" si="5"/>
        <v>375</v>
      </c>
      <c r="X44" s="82" t="s">
        <v>84</v>
      </c>
      <c r="Y44" s="24" t="s">
        <v>93</v>
      </c>
    </row>
    <row r="45" spans="1:25" s="24" customFormat="1" ht="11.1" customHeight="1">
      <c r="A45" s="74">
        <f t="shared" si="6"/>
        <v>43</v>
      </c>
      <c r="B45" s="75" t="s">
        <v>961</v>
      </c>
      <c r="C45" s="74" t="str">
        <f>IF($B45&lt;&gt;"",_xlfn.IFNA(VLOOKUP($B45,'Node Details'!$B:$U,C$1,0),"Check"),"")</f>
        <v>0000AXZ01-AXZ010202</v>
      </c>
      <c r="D45" s="74" t="str">
        <f>IF($B45&lt;&gt;"",_xlfn.IFNA(VLOOKUP($B45,'Node Details'!$B:$U,D$1,0),"Check"),"")</f>
        <v>AXZ</v>
      </c>
      <c r="E45" s="74" t="str">
        <f>IF($B45&lt;&gt;"",_xlfn.IFNA(VLOOKUP($B45,'Node Details'!$B:$U,E$1,0),"Check"),"")</f>
        <v>Airtel</v>
      </c>
      <c r="F45" s="76">
        <v>46110</v>
      </c>
      <c r="G45" s="74"/>
      <c r="H45" s="10" t="s">
        <v>1248</v>
      </c>
      <c r="I45" s="9">
        <v>1</v>
      </c>
      <c r="J45" s="9">
        <v>950</v>
      </c>
      <c r="K45" s="77">
        <f t="shared" si="0"/>
        <v>950</v>
      </c>
      <c r="L45" s="76">
        <v>46110</v>
      </c>
      <c r="N45" s="83"/>
      <c r="O45" s="84"/>
      <c r="P45" s="81">
        <f t="shared" si="1"/>
        <v>950</v>
      </c>
      <c r="Q45" s="81">
        <f t="shared" si="2"/>
        <v>950</v>
      </c>
      <c r="R45" s="81"/>
      <c r="S45" s="81"/>
      <c r="T45" s="85"/>
      <c r="U45" s="81">
        <f t="shared" si="3"/>
        <v>950</v>
      </c>
      <c r="V45" s="81">
        <f t="shared" si="4"/>
        <v>1</v>
      </c>
      <c r="W45" s="82">
        <f t="shared" si="5"/>
        <v>950</v>
      </c>
      <c r="X45" s="82" t="s">
        <v>84</v>
      </c>
      <c r="Y45" s="24" t="s">
        <v>93</v>
      </c>
    </row>
    <row r="46" spans="1:25" s="24" customFormat="1" ht="11.1" customHeight="1">
      <c r="A46" s="74">
        <f t="shared" si="6"/>
        <v>44</v>
      </c>
      <c r="B46" s="75" t="s">
        <v>962</v>
      </c>
      <c r="C46" s="74" t="str">
        <f>IF($B46&lt;&gt;"",_xlfn.IFNA(VLOOKUP($B46,'Node Details'!$B:$U,C$1,0),"Check"),"")</f>
        <v>0000AXZ01-AXZ010202</v>
      </c>
      <c r="D46" s="74" t="str">
        <f>IF($B46&lt;&gt;"",_xlfn.IFNA(VLOOKUP($B46,'Node Details'!$B:$U,D$1,0),"Check"),"")</f>
        <v>AXZ</v>
      </c>
      <c r="E46" s="74" t="str">
        <f>IF($B46&lt;&gt;"",_xlfn.IFNA(VLOOKUP($B46,'Node Details'!$B:$U,E$1,0),"Check"),"")</f>
        <v>Airtel</v>
      </c>
      <c r="F46" s="76">
        <v>46110</v>
      </c>
      <c r="G46" s="74"/>
      <c r="H46" s="10" t="s">
        <v>1249</v>
      </c>
      <c r="I46" s="9">
        <v>1</v>
      </c>
      <c r="J46" s="9">
        <v>375</v>
      </c>
      <c r="K46" s="77">
        <f t="shared" si="0"/>
        <v>375</v>
      </c>
      <c r="L46" s="76">
        <v>46110</v>
      </c>
      <c r="N46" s="83"/>
      <c r="O46" s="84"/>
      <c r="P46" s="81">
        <f t="shared" si="1"/>
        <v>375</v>
      </c>
      <c r="Q46" s="81">
        <f t="shared" si="2"/>
        <v>375</v>
      </c>
      <c r="R46" s="81"/>
      <c r="S46" s="81"/>
      <c r="T46" s="85"/>
      <c r="U46" s="81">
        <f t="shared" si="3"/>
        <v>375</v>
      </c>
      <c r="V46" s="81">
        <f t="shared" si="4"/>
        <v>1</v>
      </c>
      <c r="W46" s="82">
        <f t="shared" si="5"/>
        <v>375</v>
      </c>
      <c r="X46" s="82" t="s">
        <v>84</v>
      </c>
      <c r="Y46" s="24" t="s">
        <v>93</v>
      </c>
    </row>
    <row r="47" spans="1:25" s="24" customFormat="1" ht="11.1" customHeight="1">
      <c r="A47" s="74">
        <f t="shared" si="6"/>
        <v>45</v>
      </c>
      <c r="B47" s="75" t="s">
        <v>963</v>
      </c>
      <c r="C47" s="74" t="str">
        <f>IF($B47&lt;&gt;"",_xlfn.IFNA(VLOOKUP($B47,'Node Details'!$B:$U,C$1,0),"Check"),"")</f>
        <v>0000AXZ01-AXZ010202</v>
      </c>
      <c r="D47" s="74" t="str">
        <f>IF($B47&lt;&gt;"",_xlfn.IFNA(VLOOKUP($B47,'Node Details'!$B:$U,D$1,0),"Check"),"")</f>
        <v>AXZ</v>
      </c>
      <c r="E47" s="74" t="str">
        <f>IF($B47&lt;&gt;"",_xlfn.IFNA(VLOOKUP($B47,'Node Details'!$B:$U,E$1,0),"Check"),"")</f>
        <v>Airtel</v>
      </c>
      <c r="F47" s="76">
        <v>46110</v>
      </c>
      <c r="G47" s="74"/>
      <c r="H47" s="10" t="s">
        <v>1249</v>
      </c>
      <c r="I47" s="9">
        <v>1</v>
      </c>
      <c r="J47" s="9">
        <v>375</v>
      </c>
      <c r="K47" s="77">
        <f t="shared" si="0"/>
        <v>375</v>
      </c>
      <c r="L47" s="76">
        <v>46110</v>
      </c>
      <c r="N47" s="83"/>
      <c r="O47" s="84"/>
      <c r="P47" s="81">
        <f t="shared" si="1"/>
        <v>375</v>
      </c>
      <c r="Q47" s="81">
        <f t="shared" si="2"/>
        <v>375</v>
      </c>
      <c r="R47" s="81"/>
      <c r="S47" s="81"/>
      <c r="T47" s="85"/>
      <c r="U47" s="81">
        <f t="shared" si="3"/>
        <v>375</v>
      </c>
      <c r="V47" s="81">
        <f t="shared" si="4"/>
        <v>1</v>
      </c>
      <c r="W47" s="82">
        <f t="shared" si="5"/>
        <v>375</v>
      </c>
      <c r="X47" s="82" t="s">
        <v>84</v>
      </c>
      <c r="Y47" s="24" t="s">
        <v>93</v>
      </c>
    </row>
    <row r="48" spans="1:25" s="24" customFormat="1" ht="11.1" customHeight="1">
      <c r="A48" s="74">
        <f t="shared" si="6"/>
        <v>46</v>
      </c>
      <c r="B48" s="75" t="s">
        <v>964</v>
      </c>
      <c r="C48" s="74" t="str">
        <f>IF($B48&lt;&gt;"",_xlfn.IFNA(VLOOKUP($B48,'Node Details'!$B:$U,C$1,0),"Check"),"")</f>
        <v>0000AXZ01-AXZ010202</v>
      </c>
      <c r="D48" s="74" t="str">
        <f>IF($B48&lt;&gt;"",_xlfn.IFNA(VLOOKUP($B48,'Node Details'!$B:$U,D$1,0),"Check"),"")</f>
        <v>AXZ</v>
      </c>
      <c r="E48" s="74" t="str">
        <f>IF($B48&lt;&gt;"",_xlfn.IFNA(VLOOKUP($B48,'Node Details'!$B:$U,E$1,0),"Check"),"")</f>
        <v>Airtel</v>
      </c>
      <c r="F48" s="76">
        <v>46110</v>
      </c>
      <c r="G48" s="74"/>
      <c r="H48" s="10" t="s">
        <v>1249</v>
      </c>
      <c r="I48" s="9">
        <v>1</v>
      </c>
      <c r="J48" s="9">
        <v>375</v>
      </c>
      <c r="K48" s="77">
        <f t="shared" si="0"/>
        <v>375</v>
      </c>
      <c r="L48" s="76">
        <v>46110</v>
      </c>
      <c r="N48" s="83"/>
      <c r="O48" s="84"/>
      <c r="P48" s="81">
        <f t="shared" si="1"/>
        <v>375</v>
      </c>
      <c r="Q48" s="81">
        <f t="shared" si="2"/>
        <v>375</v>
      </c>
      <c r="R48" s="81"/>
      <c r="S48" s="81"/>
      <c r="T48" s="85"/>
      <c r="U48" s="81">
        <f t="shared" si="3"/>
        <v>375</v>
      </c>
      <c r="V48" s="81">
        <f t="shared" si="4"/>
        <v>1</v>
      </c>
      <c r="W48" s="82">
        <f t="shared" si="5"/>
        <v>375</v>
      </c>
      <c r="X48" s="82" t="s">
        <v>84</v>
      </c>
      <c r="Y48" s="24" t="s">
        <v>93</v>
      </c>
    </row>
    <row r="49" spans="1:25" s="24" customFormat="1" ht="11.1" customHeight="1">
      <c r="A49" s="74">
        <f t="shared" si="6"/>
        <v>47</v>
      </c>
      <c r="B49" s="75" t="s">
        <v>109</v>
      </c>
      <c r="C49" s="74" t="str">
        <f>IF($B49&lt;&gt;"",_xlfn.IFNA(VLOOKUP($B49,'Node Details'!$B:$U,C$1,0),"Check"),"")</f>
        <v>0000AXZ01-AXZ010202</v>
      </c>
      <c r="D49" s="74" t="str">
        <f>IF($B49&lt;&gt;"",_xlfn.IFNA(VLOOKUP($B49,'Node Details'!$B:$U,D$1,0),"Check"),"")</f>
        <v>AXZ</v>
      </c>
      <c r="E49" s="74" t="str">
        <f>IF($B49&lt;&gt;"",_xlfn.IFNA(VLOOKUP($B49,'Node Details'!$B:$U,E$1,0),"Check"),"")</f>
        <v>Airtel</v>
      </c>
      <c r="F49" s="76">
        <v>46110</v>
      </c>
      <c r="G49" s="74"/>
      <c r="H49" s="10" t="s">
        <v>1249</v>
      </c>
      <c r="I49" s="9">
        <v>1</v>
      </c>
      <c r="J49" s="9">
        <v>375</v>
      </c>
      <c r="K49" s="77">
        <f t="shared" si="0"/>
        <v>375</v>
      </c>
      <c r="L49" s="76">
        <v>46110</v>
      </c>
      <c r="N49" s="83"/>
      <c r="O49" s="84"/>
      <c r="P49" s="81">
        <f t="shared" si="1"/>
        <v>375</v>
      </c>
      <c r="Q49" s="81">
        <f t="shared" si="2"/>
        <v>375</v>
      </c>
      <c r="R49" s="81"/>
      <c r="S49" s="81"/>
      <c r="T49" s="85"/>
      <c r="U49" s="81">
        <f t="shared" si="3"/>
        <v>375</v>
      </c>
      <c r="V49" s="81">
        <f t="shared" si="4"/>
        <v>1</v>
      </c>
      <c r="W49" s="82">
        <f t="shared" si="5"/>
        <v>375</v>
      </c>
      <c r="X49" s="82" t="s">
        <v>84</v>
      </c>
      <c r="Y49" s="24" t="s">
        <v>93</v>
      </c>
    </row>
    <row r="50" spans="1:25" s="24" customFormat="1" ht="11.1" customHeight="1">
      <c r="A50" s="74">
        <f t="shared" si="6"/>
        <v>48</v>
      </c>
      <c r="B50" s="75" t="s">
        <v>113</v>
      </c>
      <c r="C50" s="74" t="str">
        <f>IF($B50&lt;&gt;"",_xlfn.IFNA(VLOOKUP($B50,'Node Details'!$B:$U,C$1,0),"Check"),"")</f>
        <v>0000AXZ02-AXZ020101</v>
      </c>
      <c r="D50" s="74" t="str">
        <f>IF($B50&lt;&gt;"",_xlfn.IFNA(VLOOKUP($B50,'Node Details'!$B:$U,D$1,0),"Check"),"")</f>
        <v>AXZ</v>
      </c>
      <c r="E50" s="74" t="str">
        <f>IF($B50&lt;&gt;"",_xlfn.IFNA(VLOOKUP($B50,'Node Details'!$B:$U,E$1,0),"Check"),"")</f>
        <v>Airtel</v>
      </c>
      <c r="F50" s="76">
        <v>46110</v>
      </c>
      <c r="G50" s="74"/>
      <c r="H50" s="10" t="s">
        <v>1249</v>
      </c>
      <c r="I50" s="9">
        <v>1</v>
      </c>
      <c r="J50" s="9">
        <v>375</v>
      </c>
      <c r="K50" s="77">
        <f t="shared" si="0"/>
        <v>375</v>
      </c>
      <c r="L50" s="76">
        <v>46110</v>
      </c>
      <c r="N50" s="83"/>
      <c r="O50" s="84"/>
      <c r="P50" s="81">
        <f t="shared" si="1"/>
        <v>375</v>
      </c>
      <c r="Q50" s="81">
        <f t="shared" si="2"/>
        <v>375</v>
      </c>
      <c r="R50" s="81"/>
      <c r="S50" s="81"/>
      <c r="T50" s="85"/>
      <c r="U50" s="81">
        <f t="shared" si="3"/>
        <v>375</v>
      </c>
      <c r="V50" s="81">
        <f t="shared" si="4"/>
        <v>1</v>
      </c>
      <c r="W50" s="82">
        <f t="shared" si="5"/>
        <v>375</v>
      </c>
      <c r="X50" s="82" t="s">
        <v>84</v>
      </c>
      <c r="Y50" s="24" t="s">
        <v>93</v>
      </c>
    </row>
    <row r="51" spans="1:25" s="24" customFormat="1" ht="11.1" customHeight="1">
      <c r="A51" s="74">
        <f t="shared" si="6"/>
        <v>49</v>
      </c>
      <c r="B51" s="75" t="s">
        <v>965</v>
      </c>
      <c r="C51" s="74" t="str">
        <f>IF($B51&lt;&gt;"",_xlfn.IFNA(VLOOKUP($B51,'Node Details'!$B:$U,C$1,0),"Check"),"")</f>
        <v>0000AXZ02-AXZ020103</v>
      </c>
      <c r="D51" s="74" t="str">
        <f>IF($B51&lt;&gt;"",_xlfn.IFNA(VLOOKUP($B51,'Node Details'!$B:$U,D$1,0),"Check"),"")</f>
        <v>AXZ</v>
      </c>
      <c r="E51" s="74" t="str">
        <f>IF($B51&lt;&gt;"",_xlfn.IFNA(VLOOKUP($B51,'Node Details'!$B:$U,E$1,0),"Check"),"")</f>
        <v>Airtel</v>
      </c>
      <c r="F51" s="76">
        <v>46110</v>
      </c>
      <c r="G51" s="74"/>
      <c r="H51" s="10" t="s">
        <v>1249</v>
      </c>
      <c r="I51" s="9">
        <v>1</v>
      </c>
      <c r="J51" s="9">
        <v>375</v>
      </c>
      <c r="K51" s="77">
        <f t="shared" si="0"/>
        <v>375</v>
      </c>
      <c r="L51" s="76">
        <v>46110</v>
      </c>
      <c r="N51" s="83"/>
      <c r="O51" s="84"/>
      <c r="P51" s="81">
        <f t="shared" si="1"/>
        <v>375</v>
      </c>
      <c r="Q51" s="81">
        <f t="shared" si="2"/>
        <v>375</v>
      </c>
      <c r="R51" s="81"/>
      <c r="S51" s="81"/>
      <c r="T51" s="85"/>
      <c r="U51" s="81">
        <f t="shared" si="3"/>
        <v>375</v>
      </c>
      <c r="V51" s="81">
        <f t="shared" si="4"/>
        <v>1</v>
      </c>
      <c r="W51" s="82">
        <f t="shared" si="5"/>
        <v>375</v>
      </c>
      <c r="X51" s="82" t="s">
        <v>84</v>
      </c>
      <c r="Y51" s="24" t="s">
        <v>93</v>
      </c>
    </row>
    <row r="52" spans="1:25" s="24" customFormat="1" ht="11.1" customHeight="1">
      <c r="A52" s="74">
        <f t="shared" si="6"/>
        <v>50</v>
      </c>
      <c r="B52" s="75" t="s">
        <v>116</v>
      </c>
      <c r="C52" s="74" t="str">
        <f>IF($B52&lt;&gt;"",_xlfn.IFNA(VLOOKUP($B52,'Node Details'!$B:$U,C$1,0),"Check"),"")</f>
        <v>0000AXZ02-AXZ020103</v>
      </c>
      <c r="D52" s="74" t="str">
        <f>IF($B52&lt;&gt;"",_xlfn.IFNA(VLOOKUP($B52,'Node Details'!$B:$U,D$1,0),"Check"),"")</f>
        <v>AXZ</v>
      </c>
      <c r="E52" s="74" t="str">
        <f>IF($B52&lt;&gt;"",_xlfn.IFNA(VLOOKUP($B52,'Node Details'!$B:$U,E$1,0),"Check"),"")</f>
        <v>Airtel</v>
      </c>
      <c r="F52" s="76">
        <v>46110</v>
      </c>
      <c r="G52" s="74"/>
      <c r="H52" s="10" t="s">
        <v>1249</v>
      </c>
      <c r="I52" s="9">
        <v>1</v>
      </c>
      <c r="J52" s="9">
        <v>375</v>
      </c>
      <c r="K52" s="77">
        <f t="shared" si="0"/>
        <v>375</v>
      </c>
      <c r="L52" s="76">
        <v>46110</v>
      </c>
      <c r="N52" s="83"/>
      <c r="O52" s="84"/>
      <c r="P52" s="81">
        <f t="shared" si="1"/>
        <v>375</v>
      </c>
      <c r="Q52" s="81">
        <f t="shared" si="2"/>
        <v>375</v>
      </c>
      <c r="R52" s="81"/>
      <c r="S52" s="81"/>
      <c r="T52" s="85"/>
      <c r="U52" s="81">
        <f t="shared" si="3"/>
        <v>375</v>
      </c>
      <c r="V52" s="81">
        <f t="shared" si="4"/>
        <v>1</v>
      </c>
      <c r="W52" s="82">
        <f t="shared" si="5"/>
        <v>375</v>
      </c>
      <c r="X52" s="82" t="s">
        <v>84</v>
      </c>
      <c r="Y52" s="24" t="s">
        <v>93</v>
      </c>
    </row>
    <row r="53" spans="1:25" s="24" customFormat="1" ht="11.1" customHeight="1">
      <c r="A53" s="74">
        <f t="shared" si="6"/>
        <v>51</v>
      </c>
      <c r="B53" s="75" t="s">
        <v>966</v>
      </c>
      <c r="C53" s="74" t="str">
        <f>IF($B53&lt;&gt;"",_xlfn.IFNA(VLOOKUP($B53,'Node Details'!$B:$U,C$1,0),"Check"),"")</f>
        <v>0000AXZ02-AXZ020203</v>
      </c>
      <c r="D53" s="74" t="str">
        <f>IF($B53&lt;&gt;"",_xlfn.IFNA(VLOOKUP($B53,'Node Details'!$B:$U,D$1,0),"Check"),"")</f>
        <v>AXZ</v>
      </c>
      <c r="E53" s="74" t="str">
        <f>IF($B53&lt;&gt;"",_xlfn.IFNA(VLOOKUP($B53,'Node Details'!$B:$U,E$1,0),"Check"),"")</f>
        <v>Airtel</v>
      </c>
      <c r="F53" s="76">
        <v>46110</v>
      </c>
      <c r="G53" s="74"/>
      <c r="H53" s="10" t="s">
        <v>1248</v>
      </c>
      <c r="I53" s="9">
        <v>1</v>
      </c>
      <c r="J53" s="9">
        <v>950</v>
      </c>
      <c r="K53" s="77">
        <f t="shared" si="0"/>
        <v>950</v>
      </c>
      <c r="L53" s="76">
        <v>46110</v>
      </c>
      <c r="N53" s="83"/>
      <c r="O53" s="84"/>
      <c r="P53" s="81">
        <f t="shared" si="1"/>
        <v>950</v>
      </c>
      <c r="Q53" s="81">
        <f t="shared" si="2"/>
        <v>950</v>
      </c>
      <c r="R53" s="81"/>
      <c r="S53" s="81"/>
      <c r="T53" s="85"/>
      <c r="U53" s="81">
        <f t="shared" si="3"/>
        <v>950</v>
      </c>
      <c r="V53" s="81">
        <f t="shared" si="4"/>
        <v>1</v>
      </c>
      <c r="W53" s="82">
        <f t="shared" si="5"/>
        <v>950</v>
      </c>
      <c r="X53" s="82" t="s">
        <v>84</v>
      </c>
      <c r="Y53" s="24" t="s">
        <v>93</v>
      </c>
    </row>
    <row r="54" spans="1:25" s="24" customFormat="1" ht="11.1" customHeight="1">
      <c r="A54" s="74">
        <f t="shared" si="6"/>
        <v>52</v>
      </c>
      <c r="B54" s="75" t="s">
        <v>967</v>
      </c>
      <c r="C54" s="74" t="str">
        <f>IF($B54&lt;&gt;"",_xlfn.IFNA(VLOOKUP($B54,'Node Details'!$B:$U,C$1,0),"Check"),"")</f>
        <v>0000AXZ02-AXZ020203</v>
      </c>
      <c r="D54" s="74" t="str">
        <f>IF($B54&lt;&gt;"",_xlfn.IFNA(VLOOKUP($B54,'Node Details'!$B:$U,D$1,0),"Check"),"")</f>
        <v>AXZ</v>
      </c>
      <c r="E54" s="74" t="str">
        <f>IF($B54&lt;&gt;"",_xlfn.IFNA(VLOOKUP($B54,'Node Details'!$B:$U,E$1,0),"Check"),"")</f>
        <v>Airtel</v>
      </c>
      <c r="F54" s="76">
        <v>46110</v>
      </c>
      <c r="G54" s="74"/>
      <c r="H54" s="10" t="s">
        <v>1249</v>
      </c>
      <c r="I54" s="9">
        <v>1</v>
      </c>
      <c r="J54" s="9">
        <v>375</v>
      </c>
      <c r="K54" s="77">
        <f t="shared" si="0"/>
        <v>375</v>
      </c>
      <c r="L54" s="76">
        <v>46110</v>
      </c>
      <c r="N54" s="83"/>
      <c r="O54" s="84"/>
      <c r="P54" s="81">
        <f t="shared" si="1"/>
        <v>375</v>
      </c>
      <c r="Q54" s="81">
        <f t="shared" si="2"/>
        <v>375</v>
      </c>
      <c r="R54" s="81"/>
      <c r="S54" s="81"/>
      <c r="T54" s="85"/>
      <c r="U54" s="81">
        <f t="shared" si="3"/>
        <v>375</v>
      </c>
      <c r="V54" s="81">
        <f t="shared" si="4"/>
        <v>1</v>
      </c>
      <c r="W54" s="82">
        <f t="shared" si="5"/>
        <v>375</v>
      </c>
      <c r="X54" s="82" t="s">
        <v>84</v>
      </c>
      <c r="Y54" s="24" t="s">
        <v>93</v>
      </c>
    </row>
    <row r="55" spans="1:25" s="24" customFormat="1" ht="11.1" customHeight="1">
      <c r="A55" s="74">
        <f t="shared" si="6"/>
        <v>53</v>
      </c>
      <c r="B55" s="75" t="s">
        <v>968</v>
      </c>
      <c r="C55" s="74" t="str">
        <f>IF($B55&lt;&gt;"",_xlfn.IFNA(VLOOKUP($B55,'Node Details'!$B:$U,C$1,0),"Check"),"")</f>
        <v>0000AXZ02-AXZ020203</v>
      </c>
      <c r="D55" s="74" t="str">
        <f>IF($B55&lt;&gt;"",_xlfn.IFNA(VLOOKUP($B55,'Node Details'!$B:$U,D$1,0),"Check"),"")</f>
        <v>AXZ</v>
      </c>
      <c r="E55" s="74" t="str">
        <f>IF($B55&lt;&gt;"",_xlfn.IFNA(VLOOKUP($B55,'Node Details'!$B:$U,E$1,0),"Check"),"")</f>
        <v>Airtel</v>
      </c>
      <c r="F55" s="76">
        <v>46110</v>
      </c>
      <c r="G55" s="74"/>
      <c r="H55" s="10" t="s">
        <v>1248</v>
      </c>
      <c r="I55" s="9">
        <v>1</v>
      </c>
      <c r="J55" s="9">
        <v>950</v>
      </c>
      <c r="K55" s="77">
        <f t="shared" si="0"/>
        <v>950</v>
      </c>
      <c r="L55" s="76">
        <v>46110</v>
      </c>
      <c r="N55" s="83"/>
      <c r="O55" s="84"/>
      <c r="P55" s="81">
        <f t="shared" si="1"/>
        <v>950</v>
      </c>
      <c r="Q55" s="81">
        <f t="shared" si="2"/>
        <v>950</v>
      </c>
      <c r="R55" s="81"/>
      <c r="S55" s="81"/>
      <c r="T55" s="85"/>
      <c r="U55" s="81">
        <f t="shared" si="3"/>
        <v>950</v>
      </c>
      <c r="V55" s="81">
        <f t="shared" si="4"/>
        <v>1</v>
      </c>
      <c r="W55" s="82">
        <f t="shared" si="5"/>
        <v>950</v>
      </c>
      <c r="X55" s="82" t="s">
        <v>84</v>
      </c>
      <c r="Y55" s="24" t="s">
        <v>93</v>
      </c>
    </row>
    <row r="56" spans="1:25" s="24" customFormat="1" ht="11.1" customHeight="1">
      <c r="A56" s="74">
        <f t="shared" si="6"/>
        <v>54</v>
      </c>
      <c r="B56" s="75" t="s">
        <v>969</v>
      </c>
      <c r="C56" s="74" t="str">
        <f>IF($B56&lt;&gt;"",_xlfn.IFNA(VLOOKUP($B56,'Node Details'!$B:$U,C$1,0),"Check"),"")</f>
        <v>0000AXZ02-AXZ020203</v>
      </c>
      <c r="D56" s="74" t="str">
        <f>IF($B56&lt;&gt;"",_xlfn.IFNA(VLOOKUP($B56,'Node Details'!$B:$U,D$1,0),"Check"),"")</f>
        <v>AXZ</v>
      </c>
      <c r="E56" s="74" t="str">
        <f>IF($B56&lt;&gt;"",_xlfn.IFNA(VLOOKUP($B56,'Node Details'!$B:$U,E$1,0),"Check"),"")</f>
        <v>Airtel</v>
      </c>
      <c r="F56" s="76">
        <v>46110</v>
      </c>
      <c r="G56" s="74"/>
      <c r="H56" s="10" t="s">
        <v>1248</v>
      </c>
      <c r="I56" s="9">
        <v>1</v>
      </c>
      <c r="J56" s="9">
        <v>950</v>
      </c>
      <c r="K56" s="77">
        <f t="shared" si="0"/>
        <v>950</v>
      </c>
      <c r="L56" s="76">
        <v>46110</v>
      </c>
      <c r="N56" s="83"/>
      <c r="O56" s="84"/>
      <c r="P56" s="81">
        <f t="shared" si="1"/>
        <v>950</v>
      </c>
      <c r="Q56" s="81">
        <f t="shared" si="2"/>
        <v>950</v>
      </c>
      <c r="R56" s="81"/>
      <c r="S56" s="81"/>
      <c r="T56" s="85"/>
      <c r="U56" s="81">
        <f t="shared" si="3"/>
        <v>950</v>
      </c>
      <c r="V56" s="81">
        <f t="shared" si="4"/>
        <v>1</v>
      </c>
      <c r="W56" s="82">
        <f t="shared" si="5"/>
        <v>950</v>
      </c>
      <c r="X56" s="82" t="s">
        <v>84</v>
      </c>
      <c r="Y56" s="24" t="s">
        <v>93</v>
      </c>
    </row>
    <row r="57" spans="1:25" s="24" customFormat="1" ht="11.1" customHeight="1">
      <c r="A57" s="74">
        <f t="shared" si="6"/>
        <v>55</v>
      </c>
      <c r="B57" s="75" t="s">
        <v>970</v>
      </c>
      <c r="C57" s="74" t="str">
        <f>IF($B57&lt;&gt;"",_xlfn.IFNA(VLOOKUP($B57,'Node Details'!$B:$U,C$1,0),"Check"),"")</f>
        <v>0000AXZ02-AXZ020203</v>
      </c>
      <c r="D57" s="74" t="str">
        <f>IF($B57&lt;&gt;"",_xlfn.IFNA(VLOOKUP($B57,'Node Details'!$B:$U,D$1,0),"Check"),"")</f>
        <v>AXZ</v>
      </c>
      <c r="E57" s="74" t="str">
        <f>IF($B57&lt;&gt;"",_xlfn.IFNA(VLOOKUP($B57,'Node Details'!$B:$U,E$1,0),"Check"),"")</f>
        <v>Airtel</v>
      </c>
      <c r="F57" s="76">
        <v>46110</v>
      </c>
      <c r="G57" s="74"/>
      <c r="H57" s="10" t="s">
        <v>1249</v>
      </c>
      <c r="I57" s="9">
        <v>1</v>
      </c>
      <c r="J57" s="9">
        <v>375</v>
      </c>
      <c r="K57" s="77">
        <f t="shared" si="0"/>
        <v>375</v>
      </c>
      <c r="L57" s="76">
        <v>46110</v>
      </c>
      <c r="N57" s="83"/>
      <c r="O57" s="84"/>
      <c r="P57" s="81">
        <f t="shared" si="1"/>
        <v>375</v>
      </c>
      <c r="Q57" s="81">
        <f t="shared" si="2"/>
        <v>375</v>
      </c>
      <c r="R57" s="81"/>
      <c r="S57" s="81"/>
      <c r="T57" s="85"/>
      <c r="U57" s="81">
        <f t="shared" si="3"/>
        <v>375</v>
      </c>
      <c r="V57" s="81">
        <f t="shared" si="4"/>
        <v>1</v>
      </c>
      <c r="W57" s="82">
        <f t="shared" si="5"/>
        <v>375</v>
      </c>
      <c r="X57" s="82" t="s">
        <v>84</v>
      </c>
      <c r="Y57" s="24" t="s">
        <v>93</v>
      </c>
    </row>
    <row r="58" spans="1:25" s="24" customFormat="1" ht="11.1" customHeight="1">
      <c r="A58" s="74">
        <f t="shared" si="6"/>
        <v>56</v>
      </c>
      <c r="B58" t="s">
        <v>971</v>
      </c>
      <c r="C58" s="74" t="str">
        <f>IF($B58&lt;&gt;"",_xlfn.IFNA(VLOOKUP($B58,'Node Details'!$B:$U,C$1,0),"Check"),"")</f>
        <v>0000AXZ02-AXZ020203</v>
      </c>
      <c r="D58" s="74" t="str">
        <f>IF($B58&lt;&gt;"",_xlfn.IFNA(VLOOKUP($B58,'Node Details'!$B:$U,D$1,0),"Check"),"")</f>
        <v>AXZ</v>
      </c>
      <c r="E58" s="74" t="str">
        <f>IF($B58&lt;&gt;"",_xlfn.IFNA(VLOOKUP($B58,'Node Details'!$B:$U,E$1,0),"Check"),"")</f>
        <v>Airtel</v>
      </c>
      <c r="F58" s="76">
        <v>46110</v>
      </c>
      <c r="G58" s="74"/>
      <c r="H58" s="10" t="s">
        <v>1249</v>
      </c>
      <c r="I58" s="9">
        <v>1</v>
      </c>
      <c r="J58" s="9">
        <v>375</v>
      </c>
      <c r="K58" s="77">
        <f t="shared" si="0"/>
        <v>375</v>
      </c>
      <c r="L58" s="76">
        <v>46110</v>
      </c>
      <c r="N58" s="79"/>
      <c r="O58" s="80"/>
      <c r="P58" s="81">
        <f t="shared" si="1"/>
        <v>375</v>
      </c>
      <c r="Q58" s="81">
        <f t="shared" si="2"/>
        <v>375</v>
      </c>
      <c r="R58" s="81"/>
      <c r="S58" s="79"/>
      <c r="T58" s="80"/>
      <c r="U58" s="81">
        <f t="shared" si="3"/>
        <v>375</v>
      </c>
      <c r="V58" s="81">
        <f t="shared" si="4"/>
        <v>1</v>
      </c>
      <c r="W58" s="82">
        <f t="shared" si="5"/>
        <v>375</v>
      </c>
      <c r="X58" s="82" t="s">
        <v>84</v>
      </c>
      <c r="Y58" s="24" t="s">
        <v>93</v>
      </c>
    </row>
    <row r="59" spans="1:25" s="24" customFormat="1" ht="11.1" customHeight="1">
      <c r="A59" s="74">
        <f t="shared" si="6"/>
        <v>57</v>
      </c>
      <c r="B59" t="s">
        <v>972</v>
      </c>
      <c r="C59" s="74" t="str">
        <f>IF($B59&lt;&gt;"",_xlfn.IFNA(VLOOKUP($B59,'Node Details'!$B:$U,C$1,0),"Check"),"")</f>
        <v>0000AXZ02-AXZ020203</v>
      </c>
      <c r="D59" s="74" t="str">
        <f>IF($B59&lt;&gt;"",_xlfn.IFNA(VLOOKUP($B59,'Node Details'!$B:$U,D$1,0),"Check"),"")</f>
        <v>AXZ</v>
      </c>
      <c r="E59" s="74" t="str">
        <f>IF($B59&lt;&gt;"",_xlfn.IFNA(VLOOKUP($B59,'Node Details'!$B:$U,E$1,0),"Check"),"")</f>
        <v>Airtel</v>
      </c>
      <c r="F59" s="76">
        <v>46110</v>
      </c>
      <c r="G59" s="74"/>
      <c r="H59" s="10" t="s">
        <v>1249</v>
      </c>
      <c r="I59" s="9">
        <v>1</v>
      </c>
      <c r="J59" s="9">
        <v>375</v>
      </c>
      <c r="K59" s="77">
        <f t="shared" si="0"/>
        <v>375</v>
      </c>
      <c r="L59" s="76">
        <v>46110</v>
      </c>
      <c r="N59" s="79"/>
      <c r="O59" s="80"/>
      <c r="P59" s="81">
        <f t="shared" si="1"/>
        <v>375</v>
      </c>
      <c r="Q59" s="81">
        <f t="shared" si="2"/>
        <v>375</v>
      </c>
      <c r="R59" s="81"/>
      <c r="S59" s="79"/>
      <c r="T59" s="80"/>
      <c r="U59" s="81">
        <f t="shared" si="3"/>
        <v>375</v>
      </c>
      <c r="V59" s="81">
        <f t="shared" si="4"/>
        <v>1</v>
      </c>
      <c r="W59" s="82">
        <f t="shared" si="5"/>
        <v>375</v>
      </c>
      <c r="X59" s="82" t="s">
        <v>84</v>
      </c>
      <c r="Y59" s="24" t="s">
        <v>93</v>
      </c>
    </row>
    <row r="60" spans="1:25" s="24" customFormat="1" ht="11.1" customHeight="1">
      <c r="A60" s="74">
        <f t="shared" si="6"/>
        <v>58</v>
      </c>
      <c r="B60" t="s">
        <v>119</v>
      </c>
      <c r="C60" s="74" t="str">
        <f>IF($B60&lt;&gt;"",_xlfn.IFNA(VLOOKUP($B60,'Node Details'!$B:$U,C$1,0),"Check"),"")</f>
        <v>0000AXZ02-AXZ020203</v>
      </c>
      <c r="D60" s="74" t="str">
        <f>IF($B60&lt;&gt;"",_xlfn.IFNA(VLOOKUP($B60,'Node Details'!$B:$U,D$1,0),"Check"),"")</f>
        <v>AXZ</v>
      </c>
      <c r="E60" s="74" t="str">
        <f>IF($B60&lt;&gt;"",_xlfn.IFNA(VLOOKUP($B60,'Node Details'!$B:$U,E$1,0),"Check"),"")</f>
        <v>Airtel</v>
      </c>
      <c r="F60" s="76">
        <v>46110</v>
      </c>
      <c r="G60" s="74"/>
      <c r="H60" s="10" t="s">
        <v>1248</v>
      </c>
      <c r="I60" s="9">
        <v>1</v>
      </c>
      <c r="J60" s="9">
        <v>950</v>
      </c>
      <c r="K60" s="77">
        <f t="shared" si="0"/>
        <v>950</v>
      </c>
      <c r="L60" s="76">
        <v>46110</v>
      </c>
      <c r="N60" s="79"/>
      <c r="O60" s="80"/>
      <c r="P60" s="81">
        <f t="shared" si="1"/>
        <v>950</v>
      </c>
      <c r="Q60" s="81">
        <f t="shared" si="2"/>
        <v>950</v>
      </c>
      <c r="R60" s="81"/>
      <c r="S60" s="79"/>
      <c r="T60" s="80"/>
      <c r="U60" s="81">
        <f t="shared" si="3"/>
        <v>950</v>
      </c>
      <c r="V60" s="81">
        <f t="shared" si="4"/>
        <v>1</v>
      </c>
      <c r="W60" s="82">
        <f t="shared" si="5"/>
        <v>950</v>
      </c>
      <c r="X60" s="82" t="s">
        <v>84</v>
      </c>
      <c r="Y60" s="24" t="s">
        <v>93</v>
      </c>
    </row>
    <row r="61" spans="1:25" s="24" customFormat="1" ht="11.1" customHeight="1">
      <c r="A61" s="74">
        <f t="shared" si="6"/>
        <v>59</v>
      </c>
      <c r="B61" t="s">
        <v>122</v>
      </c>
      <c r="C61" s="74" t="str">
        <f>IF($B61&lt;&gt;"",_xlfn.IFNA(VLOOKUP($B61,'Node Details'!$B:$U,C$1,0),"Check"),"")</f>
        <v>0000AXZ03-AXZ030101</v>
      </c>
      <c r="D61" s="74" t="str">
        <f>IF($B61&lt;&gt;"",_xlfn.IFNA(VLOOKUP($B61,'Node Details'!$B:$U,D$1,0),"Check"),"")</f>
        <v>AXZ</v>
      </c>
      <c r="E61" s="74" t="str">
        <f>IF($B61&lt;&gt;"",_xlfn.IFNA(VLOOKUP($B61,'Node Details'!$B:$U,E$1,0),"Check"),"")</f>
        <v>Airtel</v>
      </c>
      <c r="F61" s="76">
        <v>46110</v>
      </c>
      <c r="G61" s="74"/>
      <c r="H61" s="10" t="s">
        <v>1249</v>
      </c>
      <c r="I61" s="9">
        <v>1</v>
      </c>
      <c r="J61" s="9">
        <v>375</v>
      </c>
      <c r="K61" s="77">
        <f t="shared" si="0"/>
        <v>375</v>
      </c>
      <c r="L61" s="76">
        <v>46110</v>
      </c>
      <c r="N61" s="79"/>
      <c r="O61" s="80"/>
      <c r="P61" s="81">
        <f t="shared" si="1"/>
        <v>375</v>
      </c>
      <c r="Q61" s="81">
        <f t="shared" si="2"/>
        <v>375</v>
      </c>
      <c r="R61" s="81"/>
      <c r="S61" s="79"/>
      <c r="T61" s="80"/>
      <c r="U61" s="81">
        <f t="shared" si="3"/>
        <v>375</v>
      </c>
      <c r="V61" s="81">
        <f t="shared" si="4"/>
        <v>1</v>
      </c>
      <c r="W61" s="82">
        <f t="shared" si="5"/>
        <v>375</v>
      </c>
      <c r="X61" s="82" t="s">
        <v>84</v>
      </c>
      <c r="Y61" s="24" t="s">
        <v>93</v>
      </c>
    </row>
    <row r="62" spans="1:25" s="24" customFormat="1" ht="11.1" customHeight="1">
      <c r="A62" s="74">
        <f t="shared" si="6"/>
        <v>60</v>
      </c>
      <c r="B62" t="s">
        <v>125</v>
      </c>
      <c r="C62" s="74" t="str">
        <f>IF($B62&lt;&gt;"",_xlfn.IFNA(VLOOKUP($B62,'Node Details'!$B:$U,C$1,0),"Check"),"")</f>
        <v>0000AXZ03-AXZ030102</v>
      </c>
      <c r="D62" s="74" t="str">
        <f>IF($B62&lt;&gt;"",_xlfn.IFNA(VLOOKUP($B62,'Node Details'!$B:$U,D$1,0),"Check"),"")</f>
        <v>AXZ</v>
      </c>
      <c r="E62" s="74" t="str">
        <f>IF($B62&lt;&gt;"",_xlfn.IFNA(VLOOKUP($B62,'Node Details'!$B:$U,E$1,0),"Check"),"")</f>
        <v>Airtel</v>
      </c>
      <c r="F62" s="76">
        <v>46110</v>
      </c>
      <c r="G62" s="74"/>
      <c r="H62" s="10" t="s">
        <v>1249</v>
      </c>
      <c r="I62" s="9">
        <v>1</v>
      </c>
      <c r="J62" s="9">
        <v>375</v>
      </c>
      <c r="K62" s="77">
        <f t="shared" si="0"/>
        <v>375</v>
      </c>
      <c r="L62" s="76">
        <v>46110</v>
      </c>
      <c r="N62" s="79"/>
      <c r="O62" s="80"/>
      <c r="P62" s="81">
        <f t="shared" si="1"/>
        <v>375</v>
      </c>
      <c r="Q62" s="81">
        <f t="shared" si="2"/>
        <v>375</v>
      </c>
      <c r="R62" s="81"/>
      <c r="S62" s="79"/>
      <c r="T62" s="80"/>
      <c r="U62" s="81">
        <f t="shared" si="3"/>
        <v>375</v>
      </c>
      <c r="V62" s="81">
        <f t="shared" si="4"/>
        <v>1</v>
      </c>
      <c r="W62" s="82">
        <f t="shared" si="5"/>
        <v>375</v>
      </c>
      <c r="X62" s="82" t="s">
        <v>84</v>
      </c>
      <c r="Y62" s="24" t="s">
        <v>93</v>
      </c>
    </row>
    <row r="63" spans="1:25" s="24" customFormat="1" ht="11.1" customHeight="1">
      <c r="A63" s="74">
        <f t="shared" si="6"/>
        <v>61</v>
      </c>
      <c r="B63" t="s">
        <v>973</v>
      </c>
      <c r="C63" s="74" t="str">
        <f>IF($B63&lt;&gt;"",_xlfn.IFNA(VLOOKUP($B63,'Node Details'!$B:$U,C$1,0),"Check"),"")</f>
        <v>0000AXZ03-AXZ030104</v>
      </c>
      <c r="D63" s="74" t="str">
        <f>IF($B63&lt;&gt;"",_xlfn.IFNA(VLOOKUP($B63,'Node Details'!$B:$U,D$1,0),"Check"),"")</f>
        <v>AXZ</v>
      </c>
      <c r="E63" s="74" t="str">
        <f>IF($B63&lt;&gt;"",_xlfn.IFNA(VLOOKUP($B63,'Node Details'!$B:$U,E$1,0),"Check"),"")</f>
        <v>Airtel</v>
      </c>
      <c r="F63" s="76">
        <v>46110</v>
      </c>
      <c r="G63" s="74"/>
      <c r="H63" s="10" t="s">
        <v>1249</v>
      </c>
      <c r="I63" s="9">
        <v>1</v>
      </c>
      <c r="J63" s="9">
        <v>375</v>
      </c>
      <c r="K63" s="77">
        <f t="shared" si="0"/>
        <v>375</v>
      </c>
      <c r="L63" s="76">
        <v>46110</v>
      </c>
      <c r="N63" s="83"/>
      <c r="O63" s="84"/>
      <c r="P63" s="81">
        <f t="shared" si="1"/>
        <v>375</v>
      </c>
      <c r="Q63" s="81">
        <f t="shared" si="2"/>
        <v>375</v>
      </c>
      <c r="R63" s="81"/>
      <c r="S63" s="81"/>
      <c r="T63" s="85"/>
      <c r="U63" s="81">
        <f t="shared" si="3"/>
        <v>375</v>
      </c>
      <c r="V63" s="81">
        <f t="shared" si="4"/>
        <v>1</v>
      </c>
      <c r="W63" s="82">
        <f t="shared" si="5"/>
        <v>375</v>
      </c>
      <c r="X63" s="82" t="s">
        <v>84</v>
      </c>
      <c r="Y63" s="24" t="s">
        <v>93</v>
      </c>
    </row>
    <row r="64" spans="1:25" s="24" customFormat="1" ht="11.1" customHeight="1">
      <c r="A64" s="74">
        <f t="shared" si="6"/>
        <v>62</v>
      </c>
      <c r="B64" t="s">
        <v>128</v>
      </c>
      <c r="C64" s="74" t="str">
        <f>IF($B64&lt;&gt;"",_xlfn.IFNA(VLOOKUP($B64,'Node Details'!$B:$U,C$1,0),"Check"),"")</f>
        <v>0000AXZ03-AXZ030104</v>
      </c>
      <c r="D64" s="74" t="str">
        <f>IF($B64&lt;&gt;"",_xlfn.IFNA(VLOOKUP($B64,'Node Details'!$B:$U,D$1,0),"Check"),"")</f>
        <v>AXZ</v>
      </c>
      <c r="E64" s="74" t="str">
        <f>IF($B64&lt;&gt;"",_xlfn.IFNA(VLOOKUP($B64,'Node Details'!$B:$U,E$1,0),"Check"),"")</f>
        <v>Airtel</v>
      </c>
      <c r="F64" s="76">
        <v>46110</v>
      </c>
      <c r="G64" s="74"/>
      <c r="H64" s="10" t="s">
        <v>1248</v>
      </c>
      <c r="I64" s="9">
        <v>1</v>
      </c>
      <c r="J64" s="9">
        <v>950</v>
      </c>
      <c r="K64" s="77">
        <f t="shared" si="0"/>
        <v>950</v>
      </c>
      <c r="L64" s="76">
        <v>46110</v>
      </c>
      <c r="N64" s="83"/>
      <c r="O64" s="84"/>
      <c r="P64" s="81">
        <f t="shared" si="1"/>
        <v>950</v>
      </c>
      <c r="Q64" s="81">
        <f t="shared" si="2"/>
        <v>950</v>
      </c>
      <c r="R64" s="81"/>
      <c r="S64" s="81"/>
      <c r="T64" s="85"/>
      <c r="U64" s="81">
        <f t="shared" si="3"/>
        <v>950</v>
      </c>
      <c r="V64" s="81">
        <f t="shared" si="4"/>
        <v>1</v>
      </c>
      <c r="W64" s="82">
        <f t="shared" si="5"/>
        <v>950</v>
      </c>
      <c r="X64" s="82" t="s">
        <v>84</v>
      </c>
      <c r="Y64" s="24" t="s">
        <v>93</v>
      </c>
    </row>
    <row r="65" spans="1:25" s="24" customFormat="1" ht="11.1" customHeight="1">
      <c r="A65" s="74">
        <f t="shared" si="6"/>
        <v>63</v>
      </c>
      <c r="B65" t="s">
        <v>974</v>
      </c>
      <c r="C65" s="74" t="str">
        <f>IF($B65&lt;&gt;"",_xlfn.IFNA(VLOOKUP($B65,'Node Details'!$B:$U,C$1,0),"Check"),"")</f>
        <v>AXZ030104-AXZ030106</v>
      </c>
      <c r="D65" s="74" t="str">
        <f>IF($B65&lt;&gt;"",_xlfn.IFNA(VLOOKUP($B65,'Node Details'!$B:$U,D$1,0),"Check"),"")</f>
        <v>AXZ</v>
      </c>
      <c r="E65" s="74" t="str">
        <f>IF($B65&lt;&gt;"",_xlfn.IFNA(VLOOKUP($B65,'Node Details'!$B:$U,E$1,0),"Check"),"")</f>
        <v>Airtel</v>
      </c>
      <c r="F65" s="76">
        <v>46110</v>
      </c>
      <c r="G65" s="74"/>
      <c r="H65" s="10" t="s">
        <v>1249</v>
      </c>
      <c r="I65" s="9">
        <v>1</v>
      </c>
      <c r="J65" s="9">
        <v>375</v>
      </c>
      <c r="K65" s="77">
        <f t="shared" si="0"/>
        <v>375</v>
      </c>
      <c r="L65" s="76">
        <v>46110</v>
      </c>
      <c r="N65" s="83"/>
      <c r="O65" s="84"/>
      <c r="P65" s="81">
        <f t="shared" si="1"/>
        <v>375</v>
      </c>
      <c r="Q65" s="81">
        <f t="shared" si="2"/>
        <v>375</v>
      </c>
      <c r="R65" s="81"/>
      <c r="S65" s="81"/>
      <c r="T65" s="85"/>
      <c r="U65" s="81">
        <f t="shared" si="3"/>
        <v>375</v>
      </c>
      <c r="V65" s="81">
        <f t="shared" si="4"/>
        <v>1</v>
      </c>
      <c r="W65" s="82">
        <f t="shared" si="5"/>
        <v>375</v>
      </c>
      <c r="X65" s="82" t="s">
        <v>84</v>
      </c>
      <c r="Y65" s="24" t="s">
        <v>93</v>
      </c>
    </row>
    <row r="66" spans="1:25" s="24" customFormat="1" ht="11.1" customHeight="1">
      <c r="A66" s="74">
        <f t="shared" si="6"/>
        <v>64</v>
      </c>
      <c r="B66" t="s">
        <v>131</v>
      </c>
      <c r="C66" s="74" t="str">
        <f>IF($B66&lt;&gt;"",_xlfn.IFNA(VLOOKUP($B66,'Node Details'!$B:$U,C$1,0),"Check"),"")</f>
        <v>AXZ030104-AXZ030106</v>
      </c>
      <c r="D66" s="74" t="str">
        <f>IF($B66&lt;&gt;"",_xlfn.IFNA(VLOOKUP($B66,'Node Details'!$B:$U,D$1,0),"Check"),"")</f>
        <v>AXZ</v>
      </c>
      <c r="E66" s="74" t="str">
        <f>IF($B66&lt;&gt;"",_xlfn.IFNA(VLOOKUP($B66,'Node Details'!$B:$U,E$1,0),"Check"),"")</f>
        <v>Airtel</v>
      </c>
      <c r="F66" s="76">
        <v>46110</v>
      </c>
      <c r="G66" s="74"/>
      <c r="H66" s="10" t="s">
        <v>1249</v>
      </c>
      <c r="I66" s="9">
        <v>1</v>
      </c>
      <c r="J66" s="9">
        <v>375</v>
      </c>
      <c r="K66" s="77">
        <f t="shared" si="0"/>
        <v>375</v>
      </c>
      <c r="L66" s="76">
        <v>46110</v>
      </c>
      <c r="N66" s="83"/>
      <c r="O66" s="84"/>
      <c r="P66" s="81">
        <f t="shared" si="1"/>
        <v>375</v>
      </c>
      <c r="Q66" s="81">
        <f t="shared" si="2"/>
        <v>375</v>
      </c>
      <c r="R66" s="81"/>
      <c r="S66" s="81"/>
      <c r="T66" s="85"/>
      <c r="U66" s="81">
        <f t="shared" si="3"/>
        <v>375</v>
      </c>
      <c r="V66" s="81">
        <f t="shared" si="4"/>
        <v>1</v>
      </c>
      <c r="W66" s="82">
        <f t="shared" si="5"/>
        <v>375</v>
      </c>
      <c r="X66" s="82" t="s">
        <v>84</v>
      </c>
      <c r="Y66" s="24" t="s">
        <v>93</v>
      </c>
    </row>
    <row r="67" spans="1:25" s="24" customFormat="1" ht="11.1" customHeight="1">
      <c r="A67" s="74">
        <f t="shared" si="6"/>
        <v>65</v>
      </c>
      <c r="B67" t="s">
        <v>975</v>
      </c>
      <c r="C67" s="74" t="str">
        <f>IF($B67&lt;&gt;"",_xlfn.IFNA(VLOOKUP($B67,'Node Details'!$B:$U,C$1,0),"Check"),"")</f>
        <v>0000AXZ03-AXZ030201</v>
      </c>
      <c r="D67" s="74" t="str">
        <f>IF($B67&lt;&gt;"",_xlfn.IFNA(VLOOKUP($B67,'Node Details'!$B:$U,D$1,0),"Check"),"")</f>
        <v>AXZ</v>
      </c>
      <c r="E67" s="74" t="str">
        <f>IF($B67&lt;&gt;"",_xlfn.IFNA(VLOOKUP($B67,'Node Details'!$B:$U,E$1,0),"Check"),"")</f>
        <v>Airtel</v>
      </c>
      <c r="F67" s="76">
        <v>46110</v>
      </c>
      <c r="G67" s="74"/>
      <c r="H67" s="10" t="s">
        <v>1249</v>
      </c>
      <c r="I67" s="9">
        <v>1</v>
      </c>
      <c r="J67" s="9">
        <v>375</v>
      </c>
      <c r="K67" s="77">
        <f t="shared" ref="K67:K111" si="7">IF(I67&lt;&gt;"",J67*I67,0)</f>
        <v>375</v>
      </c>
      <c r="L67" s="76">
        <v>46110</v>
      </c>
      <c r="N67" s="83"/>
      <c r="O67" s="84"/>
      <c r="P67" s="81">
        <f t="shared" ref="P67:P110" si="8">J67</f>
        <v>375</v>
      </c>
      <c r="Q67" s="81">
        <f t="shared" ref="Q67:Q110" si="9">P67*I67</f>
        <v>375</v>
      </c>
      <c r="R67" s="81"/>
      <c r="S67" s="81"/>
      <c r="T67" s="85"/>
      <c r="U67" s="81">
        <f t="shared" ref="U67:U110" si="10">J67</f>
        <v>375</v>
      </c>
      <c r="V67" s="81">
        <f t="shared" ref="V67:V110" si="11">I67</f>
        <v>1</v>
      </c>
      <c r="W67" s="82">
        <f t="shared" ref="W67:W110" si="12">IF(V67&lt;&gt;"",V67*U67,0)</f>
        <v>375</v>
      </c>
      <c r="X67" s="82" t="s">
        <v>84</v>
      </c>
      <c r="Y67" s="24" t="s">
        <v>93</v>
      </c>
    </row>
    <row r="68" spans="1:25" s="24" customFormat="1" ht="11.1" customHeight="1">
      <c r="A68" s="74">
        <f t="shared" ref="A68:A131" si="13">A67+1</f>
        <v>66</v>
      </c>
      <c r="B68" t="s">
        <v>976</v>
      </c>
      <c r="C68" s="74" t="str">
        <f>IF($B68&lt;&gt;"",_xlfn.IFNA(VLOOKUP($B68,'Node Details'!$B:$U,C$1,0),"Check"),"")</f>
        <v>0000AXZ03-AXZ030201</v>
      </c>
      <c r="D68" s="74" t="str">
        <f>IF($B68&lt;&gt;"",_xlfn.IFNA(VLOOKUP($B68,'Node Details'!$B:$U,D$1,0),"Check"),"")</f>
        <v>AXZ</v>
      </c>
      <c r="E68" s="74" t="str">
        <f>IF($B68&lt;&gt;"",_xlfn.IFNA(VLOOKUP($B68,'Node Details'!$B:$U,E$1,0),"Check"),"")</f>
        <v>Airtel</v>
      </c>
      <c r="F68" s="76">
        <v>46110</v>
      </c>
      <c r="G68" s="74"/>
      <c r="H68" s="10" t="s">
        <v>1249</v>
      </c>
      <c r="I68" s="9">
        <v>1</v>
      </c>
      <c r="J68" s="9">
        <v>375</v>
      </c>
      <c r="K68" s="77">
        <f t="shared" si="7"/>
        <v>375</v>
      </c>
      <c r="L68" s="76">
        <v>46110</v>
      </c>
      <c r="N68" s="83"/>
      <c r="O68" s="84"/>
      <c r="P68" s="81">
        <f t="shared" si="8"/>
        <v>375</v>
      </c>
      <c r="Q68" s="81">
        <f t="shared" si="9"/>
        <v>375</v>
      </c>
      <c r="R68" s="81"/>
      <c r="S68" s="81"/>
      <c r="T68" s="85"/>
      <c r="U68" s="81">
        <f t="shared" si="10"/>
        <v>375</v>
      </c>
      <c r="V68" s="81">
        <f t="shared" si="11"/>
        <v>1</v>
      </c>
      <c r="W68" s="82">
        <f t="shared" si="12"/>
        <v>375</v>
      </c>
      <c r="X68" s="82" t="s">
        <v>84</v>
      </c>
      <c r="Y68" s="24" t="s">
        <v>93</v>
      </c>
    </row>
    <row r="69" spans="1:25" s="24" customFormat="1" ht="11.1" customHeight="1">
      <c r="A69" s="74">
        <f t="shared" si="13"/>
        <v>67</v>
      </c>
      <c r="B69" s="75" t="s">
        <v>134</v>
      </c>
      <c r="C69" s="74" t="str">
        <f>IF($B69&lt;&gt;"",_xlfn.IFNA(VLOOKUP($B69,'Node Details'!$B:$U,C$1,0),"Check"),"")</f>
        <v>0000AXZ03-AXZ030201</v>
      </c>
      <c r="D69" s="74" t="str">
        <f>IF($B69&lt;&gt;"",_xlfn.IFNA(VLOOKUP($B69,'Node Details'!$B:$U,D$1,0),"Check"),"")</f>
        <v>AXZ</v>
      </c>
      <c r="E69" s="74" t="str">
        <f>IF($B69&lt;&gt;"",_xlfn.IFNA(VLOOKUP($B69,'Node Details'!$B:$U,E$1,0),"Check"),"")</f>
        <v>Airtel</v>
      </c>
      <c r="F69" s="76">
        <v>46110</v>
      </c>
      <c r="G69" s="74"/>
      <c r="H69" s="10" t="s">
        <v>1249</v>
      </c>
      <c r="I69" s="9">
        <v>1</v>
      </c>
      <c r="J69" s="9">
        <v>375</v>
      </c>
      <c r="K69" s="77">
        <f t="shared" si="7"/>
        <v>375</v>
      </c>
      <c r="L69" s="76">
        <v>46110</v>
      </c>
      <c r="N69" s="79"/>
      <c r="O69" s="80"/>
      <c r="P69" s="81">
        <f t="shared" si="8"/>
        <v>375</v>
      </c>
      <c r="Q69" s="81">
        <f t="shared" si="9"/>
        <v>375</v>
      </c>
      <c r="R69" s="81"/>
      <c r="S69" s="79"/>
      <c r="T69" s="80"/>
      <c r="U69" s="81">
        <f t="shared" si="10"/>
        <v>375</v>
      </c>
      <c r="V69" s="81">
        <f t="shared" si="11"/>
        <v>1</v>
      </c>
      <c r="W69" s="82">
        <f t="shared" si="12"/>
        <v>375</v>
      </c>
      <c r="X69" s="82" t="s">
        <v>84</v>
      </c>
      <c r="Y69" s="24" t="s">
        <v>93</v>
      </c>
    </row>
    <row r="70" spans="1:25" s="24" customFormat="1" ht="11.1" customHeight="1">
      <c r="A70" s="74">
        <f t="shared" si="13"/>
        <v>68</v>
      </c>
      <c r="B70" s="75" t="s">
        <v>977</v>
      </c>
      <c r="C70" s="74" t="str">
        <f>IF($B70&lt;&gt;"",_xlfn.IFNA(VLOOKUP($B70,'Node Details'!$B:$U,C$1,0),"Check"),"")</f>
        <v>AXZ030201-AXZ030205</v>
      </c>
      <c r="D70" s="74" t="str">
        <f>IF($B70&lt;&gt;"",_xlfn.IFNA(VLOOKUP($B70,'Node Details'!$B:$U,D$1,0),"Check"),"")</f>
        <v>AXZ</v>
      </c>
      <c r="E70" s="74" t="str">
        <f>IF($B70&lt;&gt;"",_xlfn.IFNA(VLOOKUP($B70,'Node Details'!$B:$U,E$1,0),"Check"),"")</f>
        <v>Airtel</v>
      </c>
      <c r="F70" s="76">
        <v>46110</v>
      </c>
      <c r="G70" s="74"/>
      <c r="H70" s="10" t="s">
        <v>1249</v>
      </c>
      <c r="I70" s="9">
        <v>1</v>
      </c>
      <c r="J70" s="9">
        <v>375</v>
      </c>
      <c r="K70" s="77">
        <f t="shared" si="7"/>
        <v>375</v>
      </c>
      <c r="L70" s="76">
        <v>46110</v>
      </c>
      <c r="N70" s="79"/>
      <c r="O70" s="80"/>
      <c r="P70" s="81">
        <f t="shared" si="8"/>
        <v>375</v>
      </c>
      <c r="Q70" s="81">
        <f t="shared" si="9"/>
        <v>375</v>
      </c>
      <c r="R70" s="81"/>
      <c r="S70" s="79"/>
      <c r="T70" s="80"/>
      <c r="U70" s="81">
        <f t="shared" si="10"/>
        <v>375</v>
      </c>
      <c r="V70" s="81">
        <f t="shared" si="11"/>
        <v>1</v>
      </c>
      <c r="W70" s="82">
        <f t="shared" si="12"/>
        <v>375</v>
      </c>
      <c r="X70" s="82" t="s">
        <v>84</v>
      </c>
      <c r="Y70" s="24" t="s">
        <v>93</v>
      </c>
    </row>
    <row r="71" spans="1:25" s="24" customFormat="1" ht="11.1" customHeight="1">
      <c r="A71" s="74">
        <f t="shared" si="13"/>
        <v>69</v>
      </c>
      <c r="B71" s="75" t="s">
        <v>978</v>
      </c>
      <c r="C71" s="74" t="str">
        <f>IF($B71&lt;&gt;"",_xlfn.IFNA(VLOOKUP($B71,'Node Details'!$B:$U,C$1,0),"Check"),"")</f>
        <v>AXZ030201-AXZ030205</v>
      </c>
      <c r="D71" s="74" t="str">
        <f>IF($B71&lt;&gt;"",_xlfn.IFNA(VLOOKUP($B71,'Node Details'!$B:$U,D$1,0),"Check"),"")</f>
        <v>AXZ</v>
      </c>
      <c r="E71" s="74" t="str">
        <f>IF($B71&lt;&gt;"",_xlfn.IFNA(VLOOKUP($B71,'Node Details'!$B:$U,E$1,0),"Check"),"")</f>
        <v>Airtel</v>
      </c>
      <c r="F71" s="76">
        <v>46110</v>
      </c>
      <c r="G71" s="74"/>
      <c r="H71" s="10" t="s">
        <v>1249</v>
      </c>
      <c r="I71" s="9">
        <v>1</v>
      </c>
      <c r="J71" s="9">
        <v>375</v>
      </c>
      <c r="K71" s="77">
        <f t="shared" si="7"/>
        <v>375</v>
      </c>
      <c r="L71" s="76">
        <v>46110</v>
      </c>
      <c r="N71" s="79"/>
      <c r="O71" s="80"/>
      <c r="P71" s="81">
        <f t="shared" si="8"/>
        <v>375</v>
      </c>
      <c r="Q71" s="81">
        <f t="shared" si="9"/>
        <v>375</v>
      </c>
      <c r="R71" s="81"/>
      <c r="S71" s="79"/>
      <c r="T71" s="80"/>
      <c r="U71" s="81">
        <f t="shared" si="10"/>
        <v>375</v>
      </c>
      <c r="V71" s="81">
        <f t="shared" si="11"/>
        <v>1</v>
      </c>
      <c r="W71" s="82">
        <f t="shared" si="12"/>
        <v>375</v>
      </c>
      <c r="X71" s="82" t="s">
        <v>84</v>
      </c>
      <c r="Y71" s="24" t="s">
        <v>93</v>
      </c>
    </row>
    <row r="72" spans="1:25" s="24" customFormat="1" ht="11.1" customHeight="1">
      <c r="A72" s="74">
        <f t="shared" si="13"/>
        <v>70</v>
      </c>
      <c r="B72" s="75" t="s">
        <v>979</v>
      </c>
      <c r="C72" s="74" t="str">
        <f>IF($B72&lt;&gt;"",_xlfn.IFNA(VLOOKUP($B72,'Node Details'!$B:$U,C$1,0),"Check"),"")</f>
        <v>AXZ030201-AXZ030205</v>
      </c>
      <c r="D72" s="74" t="str">
        <f>IF($B72&lt;&gt;"",_xlfn.IFNA(VLOOKUP($B72,'Node Details'!$B:$U,D$1,0),"Check"),"")</f>
        <v>AXZ</v>
      </c>
      <c r="E72" s="74" t="str">
        <f>IF($B72&lt;&gt;"",_xlfn.IFNA(VLOOKUP($B72,'Node Details'!$B:$U,E$1,0),"Check"),"")</f>
        <v>Airtel</v>
      </c>
      <c r="F72" s="76">
        <v>46110</v>
      </c>
      <c r="G72" s="74"/>
      <c r="H72" s="10" t="s">
        <v>1249</v>
      </c>
      <c r="I72" s="9">
        <v>1</v>
      </c>
      <c r="J72" s="9">
        <v>375</v>
      </c>
      <c r="K72" s="77">
        <f t="shared" si="7"/>
        <v>375</v>
      </c>
      <c r="L72" s="76">
        <v>46110</v>
      </c>
      <c r="N72" s="79"/>
      <c r="O72" s="80"/>
      <c r="P72" s="81">
        <f t="shared" si="8"/>
        <v>375</v>
      </c>
      <c r="Q72" s="81">
        <f t="shared" si="9"/>
        <v>375</v>
      </c>
      <c r="R72" s="81"/>
      <c r="S72" s="79"/>
      <c r="T72" s="80"/>
      <c r="U72" s="81">
        <f t="shared" si="10"/>
        <v>375</v>
      </c>
      <c r="V72" s="81">
        <f t="shared" si="11"/>
        <v>1</v>
      </c>
      <c r="W72" s="82">
        <f t="shared" si="12"/>
        <v>375</v>
      </c>
      <c r="X72" s="82" t="s">
        <v>84</v>
      </c>
      <c r="Y72" s="24" t="s">
        <v>93</v>
      </c>
    </row>
    <row r="73" spans="1:25" s="24" customFormat="1" ht="11.1" customHeight="1">
      <c r="A73" s="74">
        <f t="shared" si="13"/>
        <v>71</v>
      </c>
      <c r="B73" s="75" t="s">
        <v>137</v>
      </c>
      <c r="C73" s="74" t="str">
        <f>IF($B73&lt;&gt;"",_xlfn.IFNA(VLOOKUP($B73,'Node Details'!$B:$U,C$1,0),"Check"),"")</f>
        <v>AXZ030201-AXZ030205</v>
      </c>
      <c r="D73" s="74" t="str">
        <f>IF($B73&lt;&gt;"",_xlfn.IFNA(VLOOKUP($B73,'Node Details'!$B:$U,D$1,0),"Check"),"")</f>
        <v>AXZ</v>
      </c>
      <c r="E73" s="74" t="str">
        <f>IF($B73&lt;&gt;"",_xlfn.IFNA(VLOOKUP($B73,'Node Details'!$B:$U,E$1,0),"Check"),"")</f>
        <v>Airtel</v>
      </c>
      <c r="F73" s="76">
        <v>46110</v>
      </c>
      <c r="G73" s="74"/>
      <c r="H73" s="10" t="s">
        <v>1249</v>
      </c>
      <c r="I73" s="9">
        <v>1</v>
      </c>
      <c r="J73" s="9">
        <v>375</v>
      </c>
      <c r="K73" s="77">
        <f t="shared" si="7"/>
        <v>375</v>
      </c>
      <c r="L73" s="76">
        <v>46110</v>
      </c>
      <c r="N73" s="79"/>
      <c r="O73" s="80"/>
      <c r="P73" s="81">
        <f t="shared" si="8"/>
        <v>375</v>
      </c>
      <c r="Q73" s="81">
        <f t="shared" si="9"/>
        <v>375</v>
      </c>
      <c r="R73" s="81"/>
      <c r="S73" s="79"/>
      <c r="T73" s="80"/>
      <c r="U73" s="81">
        <f t="shared" si="10"/>
        <v>375</v>
      </c>
      <c r="V73" s="81">
        <f t="shared" si="11"/>
        <v>1</v>
      </c>
      <c r="W73" s="82">
        <f t="shared" si="12"/>
        <v>375</v>
      </c>
      <c r="X73" s="82" t="s">
        <v>84</v>
      </c>
      <c r="Y73" s="24" t="s">
        <v>93</v>
      </c>
    </row>
    <row r="74" spans="1:25" s="24" customFormat="1" ht="11.1" customHeight="1">
      <c r="A74" s="74">
        <f t="shared" si="13"/>
        <v>72</v>
      </c>
      <c r="B74" s="75" t="s">
        <v>80</v>
      </c>
      <c r="C74" s="74" t="str">
        <f>IF($B74&lt;&gt;"",_xlfn.IFNA(VLOOKUP($B74,'Node Details'!$B:$U,C$1,0),"Check"),"")</f>
        <v>000000AXZ-0000AXZ01</v>
      </c>
      <c r="D74" s="74" t="str">
        <f>IF($B74&lt;&gt;"",_xlfn.IFNA(VLOOKUP($B74,'Node Details'!$B:$U,D$1,0),"Check"),"")</f>
        <v>AXZ</v>
      </c>
      <c r="E74" s="74" t="str">
        <f>IF($B74&lt;&gt;"",_xlfn.IFNA(VLOOKUP($B74,'Node Details'!$B:$U,E$1,0),"Check"),"")</f>
        <v>Airtel</v>
      </c>
      <c r="F74" s="76">
        <v>46110</v>
      </c>
      <c r="G74" s="74"/>
      <c r="H74" s="10" t="s">
        <v>1250</v>
      </c>
      <c r="I74" s="9">
        <v>2</v>
      </c>
      <c r="J74" s="9">
        <v>150</v>
      </c>
      <c r="K74" s="77">
        <f t="shared" si="7"/>
        <v>300</v>
      </c>
      <c r="L74" s="76">
        <v>46110</v>
      </c>
      <c r="N74" s="79"/>
      <c r="O74" s="80"/>
      <c r="P74" s="81">
        <f t="shared" si="8"/>
        <v>150</v>
      </c>
      <c r="Q74" s="81">
        <f t="shared" si="9"/>
        <v>300</v>
      </c>
      <c r="R74" s="81"/>
      <c r="S74" s="79"/>
      <c r="T74" s="80"/>
      <c r="U74" s="81">
        <f t="shared" si="10"/>
        <v>150</v>
      </c>
      <c r="V74" s="81">
        <f t="shared" si="11"/>
        <v>2</v>
      </c>
      <c r="W74" s="82">
        <f t="shared" si="12"/>
        <v>300</v>
      </c>
      <c r="X74" s="82" t="s">
        <v>84</v>
      </c>
      <c r="Y74" s="24" t="s">
        <v>93</v>
      </c>
    </row>
    <row r="75" spans="1:25" s="24" customFormat="1" ht="11.1" customHeight="1">
      <c r="A75" s="74">
        <f t="shared" si="13"/>
        <v>73</v>
      </c>
      <c r="B75" s="75" t="s">
        <v>98</v>
      </c>
      <c r="C75" s="74" t="str">
        <f>IF($B75&lt;&gt;"",_xlfn.IFNA(VLOOKUP($B75,'Node Details'!$B:$U,C$1,0),"Check"),"")</f>
        <v>0000AXZ01-AXZ010101</v>
      </c>
      <c r="D75" s="74" t="str">
        <f>IF($B75&lt;&gt;"",_xlfn.IFNA(VLOOKUP($B75,'Node Details'!$B:$U,D$1,0),"Check"),"")</f>
        <v>AXZ</v>
      </c>
      <c r="E75" s="74" t="str">
        <f>IF($B75&lt;&gt;"",_xlfn.IFNA(VLOOKUP($B75,'Node Details'!$B:$U,E$1,0),"Check"),"")</f>
        <v>Airtel</v>
      </c>
      <c r="F75" s="76">
        <v>46110</v>
      </c>
      <c r="G75" s="74"/>
      <c r="H75" s="10" t="s">
        <v>1250</v>
      </c>
      <c r="I75" s="9">
        <v>2</v>
      </c>
      <c r="J75" s="9">
        <v>150</v>
      </c>
      <c r="K75" s="77">
        <f t="shared" si="7"/>
        <v>300</v>
      </c>
      <c r="L75" s="76">
        <v>46110</v>
      </c>
      <c r="N75" s="79"/>
      <c r="O75" s="80"/>
      <c r="P75" s="81">
        <f t="shared" si="8"/>
        <v>150</v>
      </c>
      <c r="Q75" s="81">
        <f t="shared" si="9"/>
        <v>300</v>
      </c>
      <c r="R75" s="81"/>
      <c r="S75" s="79"/>
      <c r="T75" s="80"/>
      <c r="U75" s="81">
        <f t="shared" si="10"/>
        <v>150</v>
      </c>
      <c r="V75" s="81">
        <f t="shared" si="11"/>
        <v>2</v>
      </c>
      <c r="W75" s="82">
        <f t="shared" si="12"/>
        <v>300</v>
      </c>
      <c r="X75" s="82" t="s">
        <v>84</v>
      </c>
      <c r="Y75" s="24" t="s">
        <v>93</v>
      </c>
    </row>
    <row r="76" spans="1:25" s="24" customFormat="1" ht="11.1" customHeight="1">
      <c r="A76" s="74">
        <f t="shared" si="13"/>
        <v>74</v>
      </c>
      <c r="B76" s="75" t="s">
        <v>103</v>
      </c>
      <c r="C76" s="74" t="str">
        <f>IF($B76&lt;&gt;"",_xlfn.IFNA(VLOOKUP($B76,'Node Details'!$B:$U,C$1,0),"Check"),"")</f>
        <v>0000AXZ01-AXZ010102</v>
      </c>
      <c r="D76" s="74" t="str">
        <f>IF($B76&lt;&gt;"",_xlfn.IFNA(VLOOKUP($B76,'Node Details'!$B:$U,D$1,0),"Check"),"")</f>
        <v>AXZ</v>
      </c>
      <c r="E76" s="74" t="str">
        <f>IF($B76&lt;&gt;"",_xlfn.IFNA(VLOOKUP($B76,'Node Details'!$B:$U,E$1,0),"Check"),"")</f>
        <v>Airtel</v>
      </c>
      <c r="F76" s="76">
        <v>46110</v>
      </c>
      <c r="G76" s="74"/>
      <c r="H76" s="10" t="s">
        <v>1250</v>
      </c>
      <c r="I76" s="9">
        <v>2</v>
      </c>
      <c r="J76" s="9">
        <v>150</v>
      </c>
      <c r="K76" s="77">
        <f t="shared" si="7"/>
        <v>300</v>
      </c>
      <c r="L76" s="76">
        <v>46110</v>
      </c>
      <c r="N76" s="79"/>
      <c r="O76" s="80"/>
      <c r="P76" s="81">
        <f t="shared" si="8"/>
        <v>150</v>
      </c>
      <c r="Q76" s="81">
        <f t="shared" si="9"/>
        <v>300</v>
      </c>
      <c r="R76" s="81"/>
      <c r="S76" s="79"/>
      <c r="T76" s="80"/>
      <c r="U76" s="81">
        <f t="shared" si="10"/>
        <v>150</v>
      </c>
      <c r="V76" s="81">
        <f t="shared" si="11"/>
        <v>2</v>
      </c>
      <c r="W76" s="82">
        <f t="shared" si="12"/>
        <v>300</v>
      </c>
      <c r="X76" s="82" t="s">
        <v>84</v>
      </c>
      <c r="Y76" s="24" t="s">
        <v>93</v>
      </c>
    </row>
    <row r="77" spans="1:25" s="24" customFormat="1" ht="11.1" customHeight="1">
      <c r="A77" s="74">
        <f t="shared" si="13"/>
        <v>75</v>
      </c>
      <c r="B77" s="75" t="s">
        <v>959</v>
      </c>
      <c r="C77" s="74" t="str">
        <f>IF($B77&lt;&gt;"",_xlfn.IFNA(VLOOKUP($B77,'Node Details'!$B:$U,C$1,0),"Check"),"")</f>
        <v>0000AXZ01-AXZ010105</v>
      </c>
      <c r="D77" s="74" t="str">
        <f>IF($B77&lt;&gt;"",_xlfn.IFNA(VLOOKUP($B77,'Node Details'!$B:$U,D$1,0),"Check"),"")</f>
        <v>AXZ</v>
      </c>
      <c r="E77" s="74" t="str">
        <f>IF($B77&lt;&gt;"",_xlfn.IFNA(VLOOKUP($B77,'Node Details'!$B:$U,E$1,0),"Check"),"")</f>
        <v>Airtel</v>
      </c>
      <c r="F77" s="76">
        <v>46110</v>
      </c>
      <c r="G77" s="74"/>
      <c r="H77" s="10" t="s">
        <v>1250</v>
      </c>
      <c r="I77" s="9">
        <v>2</v>
      </c>
      <c r="J77" s="9">
        <v>150</v>
      </c>
      <c r="K77" s="77">
        <f t="shared" si="7"/>
        <v>300</v>
      </c>
      <c r="L77" s="76">
        <v>46110</v>
      </c>
      <c r="N77" s="79"/>
      <c r="O77" s="80"/>
      <c r="P77" s="81">
        <f t="shared" si="8"/>
        <v>150</v>
      </c>
      <c r="Q77" s="81">
        <f t="shared" si="9"/>
        <v>300</v>
      </c>
      <c r="R77" s="81"/>
      <c r="S77" s="79"/>
      <c r="T77" s="80"/>
      <c r="U77" s="81">
        <f t="shared" si="10"/>
        <v>150</v>
      </c>
      <c r="V77" s="81">
        <f t="shared" si="11"/>
        <v>2</v>
      </c>
      <c r="W77" s="82">
        <f t="shared" si="12"/>
        <v>300</v>
      </c>
      <c r="X77" s="82" t="s">
        <v>84</v>
      </c>
      <c r="Y77" s="24" t="s">
        <v>93</v>
      </c>
    </row>
    <row r="78" spans="1:25" s="24" customFormat="1" ht="11.1" customHeight="1">
      <c r="A78" s="74">
        <f t="shared" si="13"/>
        <v>76</v>
      </c>
      <c r="B78" s="75" t="s">
        <v>960</v>
      </c>
      <c r="C78" s="74" t="str">
        <f>IF($B78&lt;&gt;"",_xlfn.IFNA(VLOOKUP($B78,'Node Details'!$B:$U,C$1,0),"Check"),"")</f>
        <v>0000AXZ01-AXZ010105</v>
      </c>
      <c r="D78" s="74" t="str">
        <f>IF($B78&lt;&gt;"",_xlfn.IFNA(VLOOKUP($B78,'Node Details'!$B:$U,D$1,0),"Check"),"")</f>
        <v>AXZ</v>
      </c>
      <c r="E78" s="74" t="str">
        <f>IF($B78&lt;&gt;"",_xlfn.IFNA(VLOOKUP($B78,'Node Details'!$B:$U,E$1,0),"Check"),"")</f>
        <v>Airtel</v>
      </c>
      <c r="F78" s="76">
        <v>46110</v>
      </c>
      <c r="G78" s="74"/>
      <c r="H78" s="10" t="s">
        <v>1250</v>
      </c>
      <c r="I78" s="9">
        <v>2</v>
      </c>
      <c r="J78" s="9">
        <v>150</v>
      </c>
      <c r="K78" s="77">
        <f t="shared" si="7"/>
        <v>300</v>
      </c>
      <c r="L78" s="76">
        <v>46110</v>
      </c>
      <c r="N78" s="83"/>
      <c r="O78" s="84"/>
      <c r="P78" s="81">
        <f t="shared" si="8"/>
        <v>150</v>
      </c>
      <c r="Q78" s="81">
        <f t="shared" si="9"/>
        <v>300</v>
      </c>
      <c r="R78" s="81"/>
      <c r="S78" s="81"/>
      <c r="T78" s="85"/>
      <c r="U78" s="81">
        <f t="shared" si="10"/>
        <v>150</v>
      </c>
      <c r="V78" s="81">
        <f t="shared" si="11"/>
        <v>2</v>
      </c>
      <c r="W78" s="82">
        <f t="shared" si="12"/>
        <v>300</v>
      </c>
      <c r="X78" s="82" t="s">
        <v>84</v>
      </c>
      <c r="Y78" s="24" t="s">
        <v>93</v>
      </c>
    </row>
    <row r="79" spans="1:25" s="24" customFormat="1" ht="11.1" customHeight="1">
      <c r="A79" s="74">
        <f t="shared" si="13"/>
        <v>77</v>
      </c>
      <c r="B79" s="75" t="s">
        <v>106</v>
      </c>
      <c r="C79" s="74" t="str">
        <f>IF($B79&lt;&gt;"",_xlfn.IFNA(VLOOKUP($B79,'Node Details'!$B:$U,C$1,0),"Check"),"")</f>
        <v>0000AXZ01-AXZ010105</v>
      </c>
      <c r="D79" s="74" t="str">
        <f>IF($B79&lt;&gt;"",_xlfn.IFNA(VLOOKUP($B79,'Node Details'!$B:$U,D$1,0),"Check"),"")</f>
        <v>AXZ</v>
      </c>
      <c r="E79" s="74" t="str">
        <f>IF($B79&lt;&gt;"",_xlfn.IFNA(VLOOKUP($B79,'Node Details'!$B:$U,E$1,0),"Check"),"")</f>
        <v>Airtel</v>
      </c>
      <c r="F79" s="76">
        <v>46110</v>
      </c>
      <c r="G79" s="74"/>
      <c r="H79" s="10" t="s">
        <v>1250</v>
      </c>
      <c r="I79" s="9">
        <v>2</v>
      </c>
      <c r="J79" s="9">
        <v>150</v>
      </c>
      <c r="K79" s="77">
        <f t="shared" si="7"/>
        <v>300</v>
      </c>
      <c r="L79" s="76">
        <v>46110</v>
      </c>
      <c r="N79" s="83"/>
      <c r="O79" s="84"/>
      <c r="P79" s="81">
        <f t="shared" si="8"/>
        <v>150</v>
      </c>
      <c r="Q79" s="81">
        <f t="shared" si="9"/>
        <v>300</v>
      </c>
      <c r="R79" s="81"/>
      <c r="S79" s="81"/>
      <c r="T79" s="85"/>
      <c r="U79" s="81">
        <f t="shared" si="10"/>
        <v>150</v>
      </c>
      <c r="V79" s="81">
        <f t="shared" si="11"/>
        <v>2</v>
      </c>
      <c r="W79" s="82">
        <f t="shared" si="12"/>
        <v>300</v>
      </c>
      <c r="X79" s="82" t="s">
        <v>84</v>
      </c>
      <c r="Y79" s="24" t="s">
        <v>93</v>
      </c>
    </row>
    <row r="80" spans="1:25" s="24" customFormat="1" ht="11.1" customHeight="1">
      <c r="A80" s="74">
        <f t="shared" si="13"/>
        <v>78</v>
      </c>
      <c r="B80" s="75" t="s">
        <v>961</v>
      </c>
      <c r="C80" s="74" t="str">
        <f>IF($B80&lt;&gt;"",_xlfn.IFNA(VLOOKUP($B80,'Node Details'!$B:$U,C$1,0),"Check"),"")</f>
        <v>0000AXZ01-AXZ010202</v>
      </c>
      <c r="D80" s="74" t="str">
        <f>IF($B80&lt;&gt;"",_xlfn.IFNA(VLOOKUP($B80,'Node Details'!$B:$U,D$1,0),"Check"),"")</f>
        <v>AXZ</v>
      </c>
      <c r="E80" s="74" t="str">
        <f>IF($B80&lt;&gt;"",_xlfn.IFNA(VLOOKUP($B80,'Node Details'!$B:$U,E$1,0),"Check"),"")</f>
        <v>Airtel</v>
      </c>
      <c r="F80" s="76">
        <v>46110</v>
      </c>
      <c r="G80" s="74"/>
      <c r="H80" s="10" t="s">
        <v>1250</v>
      </c>
      <c r="I80" s="9">
        <v>2</v>
      </c>
      <c r="J80" s="9">
        <v>150</v>
      </c>
      <c r="K80" s="77">
        <f t="shared" si="7"/>
        <v>300</v>
      </c>
      <c r="L80" s="76">
        <v>46110</v>
      </c>
      <c r="N80" s="83"/>
      <c r="O80" s="84"/>
      <c r="P80" s="81">
        <f t="shared" si="8"/>
        <v>150</v>
      </c>
      <c r="Q80" s="81">
        <f t="shared" si="9"/>
        <v>300</v>
      </c>
      <c r="R80" s="81"/>
      <c r="S80" s="81"/>
      <c r="T80" s="85"/>
      <c r="U80" s="81">
        <f t="shared" si="10"/>
        <v>150</v>
      </c>
      <c r="V80" s="81">
        <f t="shared" si="11"/>
        <v>2</v>
      </c>
      <c r="W80" s="82">
        <f t="shared" si="12"/>
        <v>300</v>
      </c>
      <c r="X80" s="82" t="s">
        <v>84</v>
      </c>
      <c r="Y80" s="24" t="s">
        <v>93</v>
      </c>
    </row>
    <row r="81" spans="1:25" s="24" customFormat="1" ht="11.1" customHeight="1">
      <c r="A81" s="74">
        <f t="shared" si="13"/>
        <v>79</v>
      </c>
      <c r="B81" s="75" t="s">
        <v>962</v>
      </c>
      <c r="C81" s="74" t="str">
        <f>IF($B81&lt;&gt;"",_xlfn.IFNA(VLOOKUP($B81,'Node Details'!$B:$U,C$1,0),"Check"),"")</f>
        <v>0000AXZ01-AXZ010202</v>
      </c>
      <c r="D81" s="74" t="str">
        <f>IF($B81&lt;&gt;"",_xlfn.IFNA(VLOOKUP($B81,'Node Details'!$B:$U,D$1,0),"Check"),"")</f>
        <v>AXZ</v>
      </c>
      <c r="E81" s="74" t="str">
        <f>IF($B81&lt;&gt;"",_xlfn.IFNA(VLOOKUP($B81,'Node Details'!$B:$U,E$1,0),"Check"),"")</f>
        <v>Airtel</v>
      </c>
      <c r="F81" s="76">
        <v>46110</v>
      </c>
      <c r="G81" s="74"/>
      <c r="H81" s="10" t="s">
        <v>1250</v>
      </c>
      <c r="I81" s="9">
        <v>2</v>
      </c>
      <c r="J81" s="9">
        <v>150</v>
      </c>
      <c r="K81" s="77">
        <f t="shared" si="7"/>
        <v>300</v>
      </c>
      <c r="L81" s="76">
        <v>46110</v>
      </c>
      <c r="N81" s="83"/>
      <c r="O81" s="84"/>
      <c r="P81" s="81">
        <f t="shared" si="8"/>
        <v>150</v>
      </c>
      <c r="Q81" s="81">
        <f t="shared" si="9"/>
        <v>300</v>
      </c>
      <c r="R81" s="81"/>
      <c r="S81" s="81"/>
      <c r="T81" s="85"/>
      <c r="U81" s="81">
        <f t="shared" si="10"/>
        <v>150</v>
      </c>
      <c r="V81" s="81">
        <f t="shared" si="11"/>
        <v>2</v>
      </c>
      <c r="W81" s="82">
        <f t="shared" si="12"/>
        <v>300</v>
      </c>
      <c r="X81" s="82" t="s">
        <v>84</v>
      </c>
      <c r="Y81" s="24" t="s">
        <v>93</v>
      </c>
    </row>
    <row r="82" spans="1:25" s="24" customFormat="1" ht="11.1" customHeight="1">
      <c r="A82" s="74">
        <f t="shared" si="13"/>
        <v>80</v>
      </c>
      <c r="B82" s="75" t="s">
        <v>963</v>
      </c>
      <c r="C82" s="74" t="str">
        <f>IF($B82&lt;&gt;"",_xlfn.IFNA(VLOOKUP($B82,'Node Details'!$B:$U,C$1,0),"Check"),"")</f>
        <v>0000AXZ01-AXZ010202</v>
      </c>
      <c r="D82" s="74" t="str">
        <f>IF($B82&lt;&gt;"",_xlfn.IFNA(VLOOKUP($B82,'Node Details'!$B:$U,D$1,0),"Check"),"")</f>
        <v>AXZ</v>
      </c>
      <c r="E82" s="74" t="str">
        <f>IF($B82&lt;&gt;"",_xlfn.IFNA(VLOOKUP($B82,'Node Details'!$B:$U,E$1,0),"Check"),"")</f>
        <v>Airtel</v>
      </c>
      <c r="F82" s="76">
        <v>46110</v>
      </c>
      <c r="G82" s="74"/>
      <c r="H82" s="10" t="s">
        <v>1250</v>
      </c>
      <c r="I82" s="9">
        <v>2</v>
      </c>
      <c r="J82" s="9">
        <v>150</v>
      </c>
      <c r="K82" s="77">
        <f t="shared" si="7"/>
        <v>300</v>
      </c>
      <c r="L82" s="76">
        <v>46110</v>
      </c>
      <c r="N82" s="83"/>
      <c r="O82" s="84"/>
      <c r="P82" s="81">
        <f t="shared" si="8"/>
        <v>150</v>
      </c>
      <c r="Q82" s="81">
        <f t="shared" si="9"/>
        <v>300</v>
      </c>
      <c r="R82" s="81"/>
      <c r="S82" s="81"/>
      <c r="T82" s="85"/>
      <c r="U82" s="81">
        <f t="shared" si="10"/>
        <v>150</v>
      </c>
      <c r="V82" s="81">
        <f t="shared" si="11"/>
        <v>2</v>
      </c>
      <c r="W82" s="82">
        <f t="shared" si="12"/>
        <v>300</v>
      </c>
      <c r="X82" s="82" t="s">
        <v>84</v>
      </c>
      <c r="Y82" s="24" t="s">
        <v>93</v>
      </c>
    </row>
    <row r="83" spans="1:25" s="24" customFormat="1" ht="11.1" customHeight="1">
      <c r="A83" s="74">
        <f t="shared" si="13"/>
        <v>81</v>
      </c>
      <c r="B83" s="75" t="s">
        <v>964</v>
      </c>
      <c r="C83" s="74" t="str">
        <f>IF($B83&lt;&gt;"",_xlfn.IFNA(VLOOKUP($B83,'Node Details'!$B:$U,C$1,0),"Check"),"")</f>
        <v>0000AXZ01-AXZ010202</v>
      </c>
      <c r="D83" s="74" t="str">
        <f>IF($B83&lt;&gt;"",_xlfn.IFNA(VLOOKUP($B83,'Node Details'!$B:$U,D$1,0),"Check"),"")</f>
        <v>AXZ</v>
      </c>
      <c r="E83" s="74" t="str">
        <f>IF($B83&lt;&gt;"",_xlfn.IFNA(VLOOKUP($B83,'Node Details'!$B:$U,E$1,0),"Check"),"")</f>
        <v>Airtel</v>
      </c>
      <c r="F83" s="76">
        <v>46110</v>
      </c>
      <c r="G83" s="74"/>
      <c r="H83" s="10" t="s">
        <v>1250</v>
      </c>
      <c r="I83" s="9">
        <v>2</v>
      </c>
      <c r="J83" s="9">
        <v>150</v>
      </c>
      <c r="K83" s="77">
        <f t="shared" si="7"/>
        <v>300</v>
      </c>
      <c r="L83" s="76">
        <v>46110</v>
      </c>
      <c r="N83" s="83"/>
      <c r="O83" s="84"/>
      <c r="P83" s="81">
        <f t="shared" si="8"/>
        <v>150</v>
      </c>
      <c r="Q83" s="81">
        <f t="shared" si="9"/>
        <v>300</v>
      </c>
      <c r="R83" s="81"/>
      <c r="S83" s="81"/>
      <c r="T83" s="85"/>
      <c r="U83" s="81">
        <f t="shared" si="10"/>
        <v>150</v>
      </c>
      <c r="V83" s="81">
        <f t="shared" si="11"/>
        <v>2</v>
      </c>
      <c r="W83" s="82">
        <f t="shared" si="12"/>
        <v>300</v>
      </c>
      <c r="X83" s="82" t="s">
        <v>84</v>
      </c>
      <c r="Y83" s="24" t="s">
        <v>93</v>
      </c>
    </row>
    <row r="84" spans="1:25" s="24" customFormat="1" ht="11.1" customHeight="1">
      <c r="A84" s="74">
        <f t="shared" si="13"/>
        <v>82</v>
      </c>
      <c r="B84" s="75" t="s">
        <v>109</v>
      </c>
      <c r="C84" s="74" t="str">
        <f>IF($B84&lt;&gt;"",_xlfn.IFNA(VLOOKUP($B84,'Node Details'!$B:$U,C$1,0),"Check"),"")</f>
        <v>0000AXZ01-AXZ010202</v>
      </c>
      <c r="D84" s="74" t="str">
        <f>IF($B84&lt;&gt;"",_xlfn.IFNA(VLOOKUP($B84,'Node Details'!$B:$U,D$1,0),"Check"),"")</f>
        <v>AXZ</v>
      </c>
      <c r="E84" s="74" t="str">
        <f>IF($B84&lt;&gt;"",_xlfn.IFNA(VLOOKUP($B84,'Node Details'!$B:$U,E$1,0),"Check"),"")</f>
        <v>Airtel</v>
      </c>
      <c r="F84" s="76">
        <v>46110</v>
      </c>
      <c r="G84" s="74"/>
      <c r="H84" s="10" t="s">
        <v>1250</v>
      </c>
      <c r="I84" s="9">
        <v>2</v>
      </c>
      <c r="J84" s="9">
        <v>150</v>
      </c>
      <c r="K84" s="77">
        <f t="shared" si="7"/>
        <v>300</v>
      </c>
      <c r="L84" s="76">
        <v>46110</v>
      </c>
      <c r="N84" s="83"/>
      <c r="O84" s="84"/>
      <c r="P84" s="81">
        <f t="shared" si="8"/>
        <v>150</v>
      </c>
      <c r="Q84" s="81">
        <f t="shared" si="9"/>
        <v>300</v>
      </c>
      <c r="R84" s="81"/>
      <c r="S84" s="81"/>
      <c r="T84" s="85"/>
      <c r="U84" s="81">
        <f t="shared" si="10"/>
        <v>150</v>
      </c>
      <c r="V84" s="81">
        <f t="shared" si="11"/>
        <v>2</v>
      </c>
      <c r="W84" s="82">
        <f t="shared" si="12"/>
        <v>300</v>
      </c>
      <c r="X84" s="82" t="s">
        <v>84</v>
      </c>
      <c r="Y84" s="24" t="s">
        <v>93</v>
      </c>
    </row>
    <row r="85" spans="1:25" s="24" customFormat="1" ht="11.1" customHeight="1">
      <c r="A85" s="74">
        <f t="shared" si="13"/>
        <v>83</v>
      </c>
      <c r="B85" s="75" t="s">
        <v>112</v>
      </c>
      <c r="C85" s="74" t="str">
        <f>IF($B85&lt;&gt;"",_xlfn.IFNA(VLOOKUP($B85,'Node Details'!$B:$U,C$1,0),"Check"),"")</f>
        <v>000000AXZ-0000AXZ03</v>
      </c>
      <c r="D85" s="74" t="str">
        <f>IF($B85&lt;&gt;"",_xlfn.IFNA(VLOOKUP($B85,'Node Details'!$B:$U,D$1,0),"Check"),"")</f>
        <v>AXZ</v>
      </c>
      <c r="E85" s="74" t="str">
        <f>IF($B85&lt;&gt;"",_xlfn.IFNA(VLOOKUP($B85,'Node Details'!$B:$U,E$1,0),"Check"),"")</f>
        <v>Airtel</v>
      </c>
      <c r="F85" s="76">
        <v>46110</v>
      </c>
      <c r="G85" s="74"/>
      <c r="H85" s="10" t="s">
        <v>1250</v>
      </c>
      <c r="I85" s="9">
        <v>2</v>
      </c>
      <c r="J85" s="9">
        <v>150</v>
      </c>
      <c r="K85" s="77">
        <f t="shared" si="7"/>
        <v>300</v>
      </c>
      <c r="L85" s="76">
        <v>46110</v>
      </c>
      <c r="N85" s="83"/>
      <c r="O85" s="84"/>
      <c r="P85" s="81">
        <f t="shared" si="8"/>
        <v>150</v>
      </c>
      <c r="Q85" s="81">
        <f t="shared" si="9"/>
        <v>300</v>
      </c>
      <c r="R85" s="81"/>
      <c r="S85" s="81"/>
      <c r="T85" s="85"/>
      <c r="U85" s="81">
        <f t="shared" si="10"/>
        <v>150</v>
      </c>
      <c r="V85" s="81">
        <f t="shared" si="11"/>
        <v>2</v>
      </c>
      <c r="W85" s="82">
        <f t="shared" si="12"/>
        <v>300</v>
      </c>
      <c r="X85" s="82" t="s">
        <v>84</v>
      </c>
      <c r="Y85" s="24" t="s">
        <v>93</v>
      </c>
    </row>
    <row r="86" spans="1:25" s="24" customFormat="1" ht="11.1" customHeight="1">
      <c r="A86" s="74">
        <f t="shared" si="13"/>
        <v>84</v>
      </c>
      <c r="B86" s="75" t="s">
        <v>113</v>
      </c>
      <c r="C86" s="74" t="str">
        <f>IF($B86&lt;&gt;"",_xlfn.IFNA(VLOOKUP($B86,'Node Details'!$B:$U,C$1,0),"Check"),"")</f>
        <v>0000AXZ02-AXZ020101</v>
      </c>
      <c r="D86" s="74" t="str">
        <f>IF($B86&lt;&gt;"",_xlfn.IFNA(VLOOKUP($B86,'Node Details'!$B:$U,D$1,0),"Check"),"")</f>
        <v>AXZ</v>
      </c>
      <c r="E86" s="74" t="str">
        <f>IF($B86&lt;&gt;"",_xlfn.IFNA(VLOOKUP($B86,'Node Details'!$B:$U,E$1,0),"Check"),"")</f>
        <v>Airtel</v>
      </c>
      <c r="F86" s="76">
        <v>46110</v>
      </c>
      <c r="G86" s="74"/>
      <c r="H86" s="10" t="s">
        <v>1250</v>
      </c>
      <c r="I86" s="9">
        <v>2</v>
      </c>
      <c r="J86" s="9">
        <v>150</v>
      </c>
      <c r="K86" s="77">
        <f t="shared" si="7"/>
        <v>300</v>
      </c>
      <c r="L86" s="76">
        <v>46110</v>
      </c>
      <c r="N86" s="83"/>
      <c r="O86" s="84"/>
      <c r="P86" s="81">
        <f t="shared" si="8"/>
        <v>150</v>
      </c>
      <c r="Q86" s="81">
        <f t="shared" si="9"/>
        <v>300</v>
      </c>
      <c r="R86" s="81"/>
      <c r="S86" s="81"/>
      <c r="T86" s="85"/>
      <c r="U86" s="81">
        <f t="shared" si="10"/>
        <v>150</v>
      </c>
      <c r="V86" s="81">
        <f t="shared" si="11"/>
        <v>2</v>
      </c>
      <c r="W86" s="82">
        <f t="shared" si="12"/>
        <v>300</v>
      </c>
      <c r="X86" s="82" t="s">
        <v>84</v>
      </c>
      <c r="Y86" s="24" t="s">
        <v>93</v>
      </c>
    </row>
    <row r="87" spans="1:25" s="24" customFormat="1" ht="11.1" customHeight="1">
      <c r="A87" s="74">
        <f t="shared" si="13"/>
        <v>85</v>
      </c>
      <c r="B87" s="75" t="s">
        <v>965</v>
      </c>
      <c r="C87" s="74" t="str">
        <f>IF($B87&lt;&gt;"",_xlfn.IFNA(VLOOKUP($B87,'Node Details'!$B:$U,C$1,0),"Check"),"")</f>
        <v>0000AXZ02-AXZ020103</v>
      </c>
      <c r="D87" s="74" t="str">
        <f>IF($B87&lt;&gt;"",_xlfn.IFNA(VLOOKUP($B87,'Node Details'!$B:$U,D$1,0),"Check"),"")</f>
        <v>AXZ</v>
      </c>
      <c r="E87" s="74" t="str">
        <f>IF($B87&lt;&gt;"",_xlfn.IFNA(VLOOKUP($B87,'Node Details'!$B:$U,E$1,0),"Check"),"")</f>
        <v>Airtel</v>
      </c>
      <c r="F87" s="76">
        <v>46110</v>
      </c>
      <c r="G87" s="74"/>
      <c r="H87" s="10" t="s">
        <v>1250</v>
      </c>
      <c r="I87" s="9">
        <v>2</v>
      </c>
      <c r="J87" s="9">
        <v>150</v>
      </c>
      <c r="K87" s="77">
        <f t="shared" si="7"/>
        <v>300</v>
      </c>
      <c r="L87" s="76">
        <v>46110</v>
      </c>
      <c r="N87" s="83"/>
      <c r="O87" s="84"/>
      <c r="P87" s="81">
        <f t="shared" si="8"/>
        <v>150</v>
      </c>
      <c r="Q87" s="81">
        <f t="shared" si="9"/>
        <v>300</v>
      </c>
      <c r="R87" s="81"/>
      <c r="S87" s="81"/>
      <c r="T87" s="85"/>
      <c r="U87" s="81">
        <f t="shared" si="10"/>
        <v>150</v>
      </c>
      <c r="V87" s="81">
        <f t="shared" si="11"/>
        <v>2</v>
      </c>
      <c r="W87" s="82">
        <f t="shared" si="12"/>
        <v>300</v>
      </c>
      <c r="X87" s="82" t="s">
        <v>84</v>
      </c>
      <c r="Y87" s="24" t="s">
        <v>93</v>
      </c>
    </row>
    <row r="88" spans="1:25" s="24" customFormat="1" ht="11.1" customHeight="1">
      <c r="A88" s="74">
        <f t="shared" si="13"/>
        <v>86</v>
      </c>
      <c r="B88" s="75" t="s">
        <v>116</v>
      </c>
      <c r="C88" s="74" t="str">
        <f>IF($B88&lt;&gt;"",_xlfn.IFNA(VLOOKUP($B88,'Node Details'!$B:$U,C$1,0),"Check"),"")</f>
        <v>0000AXZ02-AXZ020103</v>
      </c>
      <c r="D88" s="74" t="str">
        <f>IF($B88&lt;&gt;"",_xlfn.IFNA(VLOOKUP($B88,'Node Details'!$B:$U,D$1,0),"Check"),"")</f>
        <v>AXZ</v>
      </c>
      <c r="E88" s="74" t="str">
        <f>IF($B88&lt;&gt;"",_xlfn.IFNA(VLOOKUP($B88,'Node Details'!$B:$U,E$1,0),"Check"),"")</f>
        <v>Airtel</v>
      </c>
      <c r="F88" s="76">
        <v>46110</v>
      </c>
      <c r="G88" s="74"/>
      <c r="H88" s="10" t="s">
        <v>1250</v>
      </c>
      <c r="I88" s="9">
        <v>2</v>
      </c>
      <c r="J88" s="9">
        <v>150</v>
      </c>
      <c r="K88" s="77">
        <f t="shared" si="7"/>
        <v>300</v>
      </c>
      <c r="L88" s="76">
        <v>46110</v>
      </c>
      <c r="N88" s="83"/>
      <c r="O88" s="84"/>
      <c r="P88" s="81">
        <f t="shared" si="8"/>
        <v>150</v>
      </c>
      <c r="Q88" s="81">
        <f t="shared" si="9"/>
        <v>300</v>
      </c>
      <c r="R88" s="81"/>
      <c r="S88" s="81"/>
      <c r="T88" s="85"/>
      <c r="U88" s="81">
        <f t="shared" si="10"/>
        <v>150</v>
      </c>
      <c r="V88" s="81">
        <f t="shared" si="11"/>
        <v>2</v>
      </c>
      <c r="W88" s="82">
        <f t="shared" si="12"/>
        <v>300</v>
      </c>
      <c r="X88" s="82" t="s">
        <v>84</v>
      </c>
      <c r="Y88" s="24" t="s">
        <v>93</v>
      </c>
    </row>
    <row r="89" spans="1:25" s="24" customFormat="1" ht="11.1" customHeight="1">
      <c r="A89" s="74">
        <f t="shared" si="13"/>
        <v>87</v>
      </c>
      <c r="B89" s="75" t="s">
        <v>966</v>
      </c>
      <c r="C89" s="74" t="str">
        <f>IF($B89&lt;&gt;"",_xlfn.IFNA(VLOOKUP($B89,'Node Details'!$B:$U,C$1,0),"Check"),"")</f>
        <v>0000AXZ02-AXZ020203</v>
      </c>
      <c r="D89" s="74" t="str">
        <f>IF($B89&lt;&gt;"",_xlfn.IFNA(VLOOKUP($B89,'Node Details'!$B:$U,D$1,0),"Check"),"")</f>
        <v>AXZ</v>
      </c>
      <c r="E89" s="74" t="str">
        <f>IF($B89&lt;&gt;"",_xlfn.IFNA(VLOOKUP($B89,'Node Details'!$B:$U,E$1,0),"Check"),"")</f>
        <v>Airtel</v>
      </c>
      <c r="F89" s="76">
        <v>46110</v>
      </c>
      <c r="G89" s="74"/>
      <c r="H89" s="10" t="s">
        <v>1250</v>
      </c>
      <c r="I89" s="9">
        <v>2</v>
      </c>
      <c r="J89" s="9">
        <v>150</v>
      </c>
      <c r="K89" s="77">
        <f t="shared" si="7"/>
        <v>300</v>
      </c>
      <c r="L89" s="76">
        <v>46110</v>
      </c>
      <c r="N89" s="83"/>
      <c r="O89" s="84"/>
      <c r="P89" s="81">
        <f t="shared" si="8"/>
        <v>150</v>
      </c>
      <c r="Q89" s="81">
        <f t="shared" si="9"/>
        <v>300</v>
      </c>
      <c r="R89" s="81"/>
      <c r="S89" s="81"/>
      <c r="T89" s="85"/>
      <c r="U89" s="81">
        <f t="shared" si="10"/>
        <v>150</v>
      </c>
      <c r="V89" s="81">
        <f t="shared" si="11"/>
        <v>2</v>
      </c>
      <c r="W89" s="82">
        <f t="shared" si="12"/>
        <v>300</v>
      </c>
      <c r="X89" s="82" t="s">
        <v>84</v>
      </c>
      <c r="Y89" s="24" t="s">
        <v>93</v>
      </c>
    </row>
    <row r="90" spans="1:25" s="24" customFormat="1" ht="11.1" customHeight="1">
      <c r="A90" s="74">
        <f t="shared" si="13"/>
        <v>88</v>
      </c>
      <c r="B90" s="75" t="s">
        <v>967</v>
      </c>
      <c r="C90" s="74" t="str">
        <f>IF($B90&lt;&gt;"",_xlfn.IFNA(VLOOKUP($B90,'Node Details'!$B:$U,C$1,0),"Check"),"")</f>
        <v>0000AXZ02-AXZ020203</v>
      </c>
      <c r="D90" s="74" t="str">
        <f>IF($B90&lt;&gt;"",_xlfn.IFNA(VLOOKUP($B90,'Node Details'!$B:$U,D$1,0),"Check"),"")</f>
        <v>AXZ</v>
      </c>
      <c r="E90" s="74" t="str">
        <f>IF($B90&lt;&gt;"",_xlfn.IFNA(VLOOKUP($B90,'Node Details'!$B:$U,E$1,0),"Check"),"")</f>
        <v>Airtel</v>
      </c>
      <c r="F90" s="76">
        <v>46110</v>
      </c>
      <c r="G90" s="74"/>
      <c r="H90" s="10" t="s">
        <v>1250</v>
      </c>
      <c r="I90" s="9">
        <v>2</v>
      </c>
      <c r="J90" s="9">
        <v>150</v>
      </c>
      <c r="K90" s="77">
        <f t="shared" si="7"/>
        <v>300</v>
      </c>
      <c r="L90" s="76">
        <v>46110</v>
      </c>
      <c r="N90" s="83"/>
      <c r="O90" s="84"/>
      <c r="P90" s="81">
        <f t="shared" si="8"/>
        <v>150</v>
      </c>
      <c r="Q90" s="81">
        <f t="shared" si="9"/>
        <v>300</v>
      </c>
      <c r="R90" s="81"/>
      <c r="S90" s="81"/>
      <c r="T90" s="85"/>
      <c r="U90" s="81">
        <f t="shared" si="10"/>
        <v>150</v>
      </c>
      <c r="V90" s="81">
        <f t="shared" si="11"/>
        <v>2</v>
      </c>
      <c r="W90" s="82">
        <f t="shared" si="12"/>
        <v>300</v>
      </c>
      <c r="X90" s="82" t="s">
        <v>84</v>
      </c>
      <c r="Y90" s="24" t="s">
        <v>93</v>
      </c>
    </row>
    <row r="91" spans="1:25" s="24" customFormat="1" ht="11.1" customHeight="1">
      <c r="A91" s="74">
        <f t="shared" si="13"/>
        <v>89</v>
      </c>
      <c r="B91" s="75" t="s">
        <v>968</v>
      </c>
      <c r="C91" s="74" t="str">
        <f>IF($B91&lt;&gt;"",_xlfn.IFNA(VLOOKUP($B91,'Node Details'!$B:$U,C$1,0),"Check"),"")</f>
        <v>0000AXZ02-AXZ020203</v>
      </c>
      <c r="D91" s="74" t="str">
        <f>IF($B91&lt;&gt;"",_xlfn.IFNA(VLOOKUP($B91,'Node Details'!$B:$U,D$1,0),"Check"),"")</f>
        <v>AXZ</v>
      </c>
      <c r="E91" s="74" t="str">
        <f>IF($B91&lt;&gt;"",_xlfn.IFNA(VLOOKUP($B91,'Node Details'!$B:$U,E$1,0),"Check"),"")</f>
        <v>Airtel</v>
      </c>
      <c r="F91" s="76">
        <v>46110</v>
      </c>
      <c r="G91" s="74"/>
      <c r="H91" s="10" t="s">
        <v>1250</v>
      </c>
      <c r="I91" s="9">
        <v>2</v>
      </c>
      <c r="J91" s="9">
        <v>150</v>
      </c>
      <c r="K91" s="77">
        <f t="shared" si="7"/>
        <v>300</v>
      </c>
      <c r="L91" s="76">
        <v>46110</v>
      </c>
      <c r="N91" s="83"/>
      <c r="O91" s="84"/>
      <c r="P91" s="81">
        <f t="shared" si="8"/>
        <v>150</v>
      </c>
      <c r="Q91" s="81">
        <f t="shared" si="9"/>
        <v>300</v>
      </c>
      <c r="R91" s="81"/>
      <c r="S91" s="81"/>
      <c r="T91" s="85"/>
      <c r="U91" s="81">
        <f t="shared" si="10"/>
        <v>150</v>
      </c>
      <c r="V91" s="81">
        <f t="shared" si="11"/>
        <v>2</v>
      </c>
      <c r="W91" s="82">
        <f t="shared" si="12"/>
        <v>300</v>
      </c>
      <c r="X91" s="82" t="s">
        <v>84</v>
      </c>
      <c r="Y91" s="24" t="s">
        <v>93</v>
      </c>
    </row>
    <row r="92" spans="1:25" s="24" customFormat="1" ht="11.1" customHeight="1">
      <c r="A92" s="74">
        <f t="shared" si="13"/>
        <v>90</v>
      </c>
      <c r="B92" s="75" t="s">
        <v>969</v>
      </c>
      <c r="C92" s="74" t="str">
        <f>IF($B92&lt;&gt;"",_xlfn.IFNA(VLOOKUP($B92,'Node Details'!$B:$U,C$1,0),"Check"),"")</f>
        <v>0000AXZ02-AXZ020203</v>
      </c>
      <c r="D92" s="74" t="str">
        <f>IF($B92&lt;&gt;"",_xlfn.IFNA(VLOOKUP($B92,'Node Details'!$B:$U,D$1,0),"Check"),"")</f>
        <v>AXZ</v>
      </c>
      <c r="E92" s="74" t="str">
        <f>IF($B92&lt;&gt;"",_xlfn.IFNA(VLOOKUP($B92,'Node Details'!$B:$U,E$1,0),"Check"),"")</f>
        <v>Airtel</v>
      </c>
      <c r="F92" s="76">
        <v>46110</v>
      </c>
      <c r="G92" s="74"/>
      <c r="H92" s="10" t="s">
        <v>1250</v>
      </c>
      <c r="I92" s="9">
        <v>2</v>
      </c>
      <c r="J92" s="9">
        <v>150</v>
      </c>
      <c r="K92" s="77">
        <f t="shared" si="7"/>
        <v>300</v>
      </c>
      <c r="L92" s="76">
        <v>46110</v>
      </c>
      <c r="N92" s="83"/>
      <c r="O92" s="84"/>
      <c r="P92" s="81">
        <f t="shared" si="8"/>
        <v>150</v>
      </c>
      <c r="Q92" s="81">
        <f t="shared" si="9"/>
        <v>300</v>
      </c>
      <c r="R92" s="81"/>
      <c r="S92" s="81"/>
      <c r="T92" s="85"/>
      <c r="U92" s="81">
        <f t="shared" si="10"/>
        <v>150</v>
      </c>
      <c r="V92" s="81">
        <f t="shared" si="11"/>
        <v>2</v>
      </c>
      <c r="W92" s="82">
        <f t="shared" si="12"/>
        <v>300</v>
      </c>
      <c r="X92" s="82" t="s">
        <v>84</v>
      </c>
      <c r="Y92" s="24" t="s">
        <v>93</v>
      </c>
    </row>
    <row r="93" spans="1:25" s="24" customFormat="1" ht="11.1" customHeight="1">
      <c r="A93" s="74">
        <f t="shared" si="13"/>
        <v>91</v>
      </c>
      <c r="B93" s="75" t="s">
        <v>970</v>
      </c>
      <c r="C93" s="74" t="str">
        <f>IF($B93&lt;&gt;"",_xlfn.IFNA(VLOOKUP($B93,'Node Details'!$B:$U,C$1,0),"Check"),"")</f>
        <v>0000AXZ02-AXZ020203</v>
      </c>
      <c r="D93" s="74" t="str">
        <f>IF($B93&lt;&gt;"",_xlfn.IFNA(VLOOKUP($B93,'Node Details'!$B:$U,D$1,0),"Check"),"")</f>
        <v>AXZ</v>
      </c>
      <c r="E93" s="74" t="str">
        <f>IF($B93&lt;&gt;"",_xlfn.IFNA(VLOOKUP($B93,'Node Details'!$B:$U,E$1,0),"Check"),"")</f>
        <v>Airtel</v>
      </c>
      <c r="F93" s="76">
        <v>46110</v>
      </c>
      <c r="G93" s="74"/>
      <c r="H93" s="10" t="s">
        <v>1250</v>
      </c>
      <c r="I93" s="9">
        <v>2</v>
      </c>
      <c r="J93" s="9">
        <v>150</v>
      </c>
      <c r="K93" s="77">
        <f t="shared" si="7"/>
        <v>300</v>
      </c>
      <c r="L93" s="76">
        <v>46110</v>
      </c>
      <c r="N93" s="83"/>
      <c r="O93" s="84"/>
      <c r="P93" s="81">
        <f t="shared" si="8"/>
        <v>150</v>
      </c>
      <c r="Q93" s="81">
        <f t="shared" si="9"/>
        <v>300</v>
      </c>
      <c r="R93" s="81"/>
      <c r="S93" s="81"/>
      <c r="T93" s="85"/>
      <c r="U93" s="81">
        <f t="shared" si="10"/>
        <v>150</v>
      </c>
      <c r="V93" s="81">
        <f t="shared" si="11"/>
        <v>2</v>
      </c>
      <c r="W93" s="82">
        <f t="shared" si="12"/>
        <v>300</v>
      </c>
      <c r="X93" s="82" t="s">
        <v>84</v>
      </c>
      <c r="Y93" s="24" t="s">
        <v>93</v>
      </c>
    </row>
    <row r="94" spans="1:25" s="24" customFormat="1" ht="11.1" customHeight="1">
      <c r="A94" s="74">
        <f t="shared" si="13"/>
        <v>92</v>
      </c>
      <c r="B94" s="75" t="s">
        <v>971</v>
      </c>
      <c r="C94" s="74" t="str">
        <f>IF($B94&lt;&gt;"",_xlfn.IFNA(VLOOKUP($B94,'Node Details'!$B:$U,C$1,0),"Check"),"")</f>
        <v>0000AXZ02-AXZ020203</v>
      </c>
      <c r="D94" s="74" t="str">
        <f>IF($B94&lt;&gt;"",_xlfn.IFNA(VLOOKUP($B94,'Node Details'!$B:$U,D$1,0),"Check"),"")</f>
        <v>AXZ</v>
      </c>
      <c r="E94" s="74" t="str">
        <f>IF($B94&lt;&gt;"",_xlfn.IFNA(VLOOKUP($B94,'Node Details'!$B:$U,E$1,0),"Check"),"")</f>
        <v>Airtel</v>
      </c>
      <c r="F94" s="76">
        <v>46110</v>
      </c>
      <c r="G94" s="74"/>
      <c r="H94" s="10" t="s">
        <v>1250</v>
      </c>
      <c r="I94" s="9">
        <v>2</v>
      </c>
      <c r="J94" s="9">
        <v>150</v>
      </c>
      <c r="K94" s="77">
        <f t="shared" si="7"/>
        <v>300</v>
      </c>
      <c r="L94" s="76">
        <v>46110</v>
      </c>
      <c r="N94" s="83"/>
      <c r="O94" s="84"/>
      <c r="P94" s="81">
        <f t="shared" si="8"/>
        <v>150</v>
      </c>
      <c r="Q94" s="81">
        <f t="shared" si="9"/>
        <v>300</v>
      </c>
      <c r="R94" s="81"/>
      <c r="S94" s="81"/>
      <c r="T94" s="85"/>
      <c r="U94" s="81">
        <f t="shared" si="10"/>
        <v>150</v>
      </c>
      <c r="V94" s="81">
        <f t="shared" si="11"/>
        <v>2</v>
      </c>
      <c r="W94" s="82">
        <f t="shared" si="12"/>
        <v>300</v>
      </c>
      <c r="X94" s="82" t="s">
        <v>84</v>
      </c>
      <c r="Y94" s="24" t="s">
        <v>93</v>
      </c>
    </row>
    <row r="95" spans="1:25" s="24" customFormat="1" ht="11.1" customHeight="1">
      <c r="A95" s="74">
        <f t="shared" si="13"/>
        <v>93</v>
      </c>
      <c r="B95" s="75" t="s">
        <v>972</v>
      </c>
      <c r="C95" s="74" t="str">
        <f>IF($B95&lt;&gt;"",_xlfn.IFNA(VLOOKUP($B95,'Node Details'!$B:$U,C$1,0),"Check"),"")</f>
        <v>0000AXZ02-AXZ020203</v>
      </c>
      <c r="D95" s="74" t="str">
        <f>IF($B95&lt;&gt;"",_xlfn.IFNA(VLOOKUP($B95,'Node Details'!$B:$U,D$1,0),"Check"),"")</f>
        <v>AXZ</v>
      </c>
      <c r="E95" s="74" t="str">
        <f>IF($B95&lt;&gt;"",_xlfn.IFNA(VLOOKUP($B95,'Node Details'!$B:$U,E$1,0),"Check"),"")</f>
        <v>Airtel</v>
      </c>
      <c r="F95" s="76">
        <v>46110</v>
      </c>
      <c r="G95" s="74"/>
      <c r="H95" s="10" t="s">
        <v>1250</v>
      </c>
      <c r="I95" s="9">
        <v>2</v>
      </c>
      <c r="J95" s="9">
        <v>150</v>
      </c>
      <c r="K95" s="77">
        <f t="shared" si="7"/>
        <v>300</v>
      </c>
      <c r="L95" s="76">
        <v>46110</v>
      </c>
      <c r="N95" s="83"/>
      <c r="O95" s="84"/>
      <c r="P95" s="81">
        <f t="shared" si="8"/>
        <v>150</v>
      </c>
      <c r="Q95" s="81">
        <f t="shared" si="9"/>
        <v>300</v>
      </c>
      <c r="R95" s="81"/>
      <c r="S95" s="81"/>
      <c r="T95" s="85"/>
      <c r="U95" s="81">
        <f t="shared" si="10"/>
        <v>150</v>
      </c>
      <c r="V95" s="81">
        <f t="shared" si="11"/>
        <v>2</v>
      </c>
      <c r="W95" s="82">
        <f t="shared" si="12"/>
        <v>300</v>
      </c>
      <c r="X95" s="82" t="s">
        <v>84</v>
      </c>
      <c r="Y95" s="24" t="s">
        <v>93</v>
      </c>
    </row>
    <row r="96" spans="1:25" s="24" customFormat="1" ht="11.1" customHeight="1">
      <c r="A96" s="74">
        <f t="shared" si="13"/>
        <v>94</v>
      </c>
      <c r="B96" s="75" t="s">
        <v>119</v>
      </c>
      <c r="C96" s="74" t="str">
        <f>IF($B96&lt;&gt;"",_xlfn.IFNA(VLOOKUP($B96,'Node Details'!$B:$U,C$1,0),"Check"),"")</f>
        <v>0000AXZ02-AXZ020203</v>
      </c>
      <c r="D96" s="74" t="str">
        <f>IF($B96&lt;&gt;"",_xlfn.IFNA(VLOOKUP($B96,'Node Details'!$B:$U,D$1,0),"Check"),"")</f>
        <v>AXZ</v>
      </c>
      <c r="E96" s="74" t="str">
        <f>IF($B96&lt;&gt;"",_xlfn.IFNA(VLOOKUP($B96,'Node Details'!$B:$U,E$1,0),"Check"),"")</f>
        <v>Airtel</v>
      </c>
      <c r="F96" s="76">
        <v>46110</v>
      </c>
      <c r="G96" s="74"/>
      <c r="H96" s="10" t="s">
        <v>1250</v>
      </c>
      <c r="I96" s="9">
        <v>2</v>
      </c>
      <c r="J96" s="9">
        <v>150</v>
      </c>
      <c r="K96" s="77">
        <f t="shared" si="7"/>
        <v>300</v>
      </c>
      <c r="L96" s="76">
        <v>46110</v>
      </c>
      <c r="N96" s="83"/>
      <c r="O96" s="84"/>
      <c r="P96" s="81">
        <f t="shared" si="8"/>
        <v>150</v>
      </c>
      <c r="Q96" s="81">
        <f t="shared" si="9"/>
        <v>300</v>
      </c>
      <c r="R96" s="81"/>
      <c r="S96" s="81"/>
      <c r="T96" s="85"/>
      <c r="U96" s="81">
        <f t="shared" si="10"/>
        <v>150</v>
      </c>
      <c r="V96" s="81">
        <f t="shared" si="11"/>
        <v>2</v>
      </c>
      <c r="W96" s="82">
        <f t="shared" si="12"/>
        <v>300</v>
      </c>
      <c r="X96" s="82" t="s">
        <v>84</v>
      </c>
      <c r="Y96" s="24" t="s">
        <v>93</v>
      </c>
    </row>
    <row r="97" spans="1:25" s="24" customFormat="1" ht="11.1" customHeight="1">
      <c r="A97" s="74">
        <f t="shared" si="13"/>
        <v>95</v>
      </c>
      <c r="B97" s="75" t="s">
        <v>95</v>
      </c>
      <c r="C97" s="74" t="str">
        <f>IF($B97&lt;&gt;"",_xlfn.IFNA(VLOOKUP($B97,'Node Details'!$B:$U,C$1,0),"Check"),"")</f>
        <v>000000AXZ-0000AXZ03</v>
      </c>
      <c r="D97" s="74" t="str">
        <f>IF($B97&lt;&gt;"",_xlfn.IFNA(VLOOKUP($B97,'Node Details'!$B:$U,D$1,0),"Check"),"")</f>
        <v>AXZ</v>
      </c>
      <c r="E97" s="74" t="str">
        <f>IF($B97&lt;&gt;"",_xlfn.IFNA(VLOOKUP($B97,'Node Details'!$B:$U,E$1,0),"Check"),"")</f>
        <v>Airtel</v>
      </c>
      <c r="F97" s="76">
        <v>46110</v>
      </c>
      <c r="G97" s="74"/>
      <c r="H97" s="10" t="s">
        <v>1250</v>
      </c>
      <c r="I97" s="9">
        <v>2</v>
      </c>
      <c r="J97" s="9">
        <v>150</v>
      </c>
      <c r="K97" s="77">
        <f t="shared" si="7"/>
        <v>300</v>
      </c>
      <c r="L97" s="76">
        <v>46110</v>
      </c>
      <c r="N97" s="83"/>
      <c r="O97" s="84"/>
      <c r="P97" s="81">
        <f t="shared" si="8"/>
        <v>150</v>
      </c>
      <c r="Q97" s="81">
        <f t="shared" si="9"/>
        <v>300</v>
      </c>
      <c r="R97" s="81"/>
      <c r="S97" s="81"/>
      <c r="T97" s="85"/>
      <c r="U97" s="81">
        <f t="shared" si="10"/>
        <v>150</v>
      </c>
      <c r="V97" s="81">
        <f t="shared" si="11"/>
        <v>2</v>
      </c>
      <c r="W97" s="82">
        <f t="shared" si="12"/>
        <v>300</v>
      </c>
      <c r="X97" s="82" t="s">
        <v>84</v>
      </c>
      <c r="Y97" s="24" t="s">
        <v>93</v>
      </c>
    </row>
    <row r="98" spans="1:25" s="24" customFormat="1" ht="11.1" customHeight="1">
      <c r="A98" s="74">
        <f t="shared" si="13"/>
        <v>96</v>
      </c>
      <c r="B98" s="75" t="s">
        <v>122</v>
      </c>
      <c r="C98" s="74" t="str">
        <f>IF($B98&lt;&gt;"",_xlfn.IFNA(VLOOKUP($B98,'Node Details'!$B:$U,C$1,0),"Check"),"")</f>
        <v>0000AXZ03-AXZ030101</v>
      </c>
      <c r="D98" s="74" t="str">
        <f>IF($B98&lt;&gt;"",_xlfn.IFNA(VLOOKUP($B98,'Node Details'!$B:$U,D$1,0),"Check"),"")</f>
        <v>AXZ</v>
      </c>
      <c r="E98" s="74" t="str">
        <f>IF($B98&lt;&gt;"",_xlfn.IFNA(VLOOKUP($B98,'Node Details'!$B:$U,E$1,0),"Check"),"")</f>
        <v>Airtel</v>
      </c>
      <c r="F98" s="76">
        <v>46110</v>
      </c>
      <c r="G98" s="74"/>
      <c r="H98" s="10" t="s">
        <v>1250</v>
      </c>
      <c r="I98" s="9">
        <v>2</v>
      </c>
      <c r="J98" s="9">
        <v>150</v>
      </c>
      <c r="K98" s="77">
        <f t="shared" si="7"/>
        <v>300</v>
      </c>
      <c r="L98" s="76">
        <v>46110</v>
      </c>
      <c r="N98" s="83"/>
      <c r="O98" s="84"/>
      <c r="P98" s="81">
        <f t="shared" si="8"/>
        <v>150</v>
      </c>
      <c r="Q98" s="81">
        <f t="shared" si="9"/>
        <v>300</v>
      </c>
      <c r="R98" s="81"/>
      <c r="S98" s="81"/>
      <c r="T98" s="85"/>
      <c r="U98" s="81">
        <f t="shared" si="10"/>
        <v>150</v>
      </c>
      <c r="V98" s="81">
        <f t="shared" si="11"/>
        <v>2</v>
      </c>
      <c r="W98" s="82">
        <f t="shared" si="12"/>
        <v>300</v>
      </c>
      <c r="X98" s="82" t="s">
        <v>84</v>
      </c>
      <c r="Y98" s="24" t="s">
        <v>93</v>
      </c>
    </row>
    <row r="99" spans="1:25" s="24" customFormat="1" ht="11.1" customHeight="1">
      <c r="A99" s="74">
        <f t="shared" si="13"/>
        <v>97</v>
      </c>
      <c r="B99" s="75" t="s">
        <v>125</v>
      </c>
      <c r="C99" s="74" t="str">
        <f>IF($B99&lt;&gt;"",_xlfn.IFNA(VLOOKUP($B99,'Node Details'!$B:$U,C$1,0),"Check"),"")</f>
        <v>0000AXZ03-AXZ030102</v>
      </c>
      <c r="D99" s="74" t="str">
        <f>IF($B99&lt;&gt;"",_xlfn.IFNA(VLOOKUP($B99,'Node Details'!$B:$U,D$1,0),"Check"),"")</f>
        <v>AXZ</v>
      </c>
      <c r="E99" s="74" t="str">
        <f>IF($B99&lt;&gt;"",_xlfn.IFNA(VLOOKUP($B99,'Node Details'!$B:$U,E$1,0),"Check"),"")</f>
        <v>Airtel</v>
      </c>
      <c r="F99" s="76">
        <v>46110</v>
      </c>
      <c r="G99" s="74"/>
      <c r="H99" s="10" t="s">
        <v>1250</v>
      </c>
      <c r="I99" s="9">
        <v>2</v>
      </c>
      <c r="J99" s="9">
        <v>150</v>
      </c>
      <c r="K99" s="77">
        <f t="shared" si="7"/>
        <v>300</v>
      </c>
      <c r="L99" s="76">
        <v>46110</v>
      </c>
      <c r="N99" s="83"/>
      <c r="O99" s="84"/>
      <c r="P99" s="81">
        <f t="shared" si="8"/>
        <v>150</v>
      </c>
      <c r="Q99" s="81">
        <f t="shared" si="9"/>
        <v>300</v>
      </c>
      <c r="R99" s="81"/>
      <c r="S99" s="81"/>
      <c r="T99" s="85"/>
      <c r="U99" s="81">
        <f t="shared" si="10"/>
        <v>150</v>
      </c>
      <c r="V99" s="81">
        <f t="shared" si="11"/>
        <v>2</v>
      </c>
      <c r="W99" s="82">
        <f t="shared" si="12"/>
        <v>300</v>
      </c>
      <c r="X99" s="82" t="s">
        <v>84</v>
      </c>
      <c r="Y99" s="24" t="s">
        <v>93</v>
      </c>
    </row>
    <row r="100" spans="1:25" s="24" customFormat="1" ht="11.1" customHeight="1">
      <c r="A100" s="74">
        <f t="shared" si="13"/>
        <v>98</v>
      </c>
      <c r="B100" s="75" t="s">
        <v>973</v>
      </c>
      <c r="C100" s="74" t="str">
        <f>IF($B100&lt;&gt;"",_xlfn.IFNA(VLOOKUP($B100,'Node Details'!$B:$U,C$1,0),"Check"),"")</f>
        <v>0000AXZ03-AXZ030104</v>
      </c>
      <c r="D100" s="74" t="str">
        <f>IF($B100&lt;&gt;"",_xlfn.IFNA(VLOOKUP($B100,'Node Details'!$B:$U,D$1,0),"Check"),"")</f>
        <v>AXZ</v>
      </c>
      <c r="E100" s="74" t="str">
        <f>IF($B100&lt;&gt;"",_xlfn.IFNA(VLOOKUP($B100,'Node Details'!$B:$U,E$1,0),"Check"),"")</f>
        <v>Airtel</v>
      </c>
      <c r="F100" s="76">
        <v>46110</v>
      </c>
      <c r="G100" s="74"/>
      <c r="H100" s="10" t="s">
        <v>1250</v>
      </c>
      <c r="I100" s="9">
        <v>2</v>
      </c>
      <c r="J100" s="9">
        <v>150</v>
      </c>
      <c r="K100" s="77">
        <f t="shared" si="7"/>
        <v>300</v>
      </c>
      <c r="L100" s="76">
        <v>46110</v>
      </c>
      <c r="N100" s="83"/>
      <c r="O100" s="84"/>
      <c r="P100" s="81">
        <f t="shared" si="8"/>
        <v>150</v>
      </c>
      <c r="Q100" s="81">
        <f t="shared" si="9"/>
        <v>300</v>
      </c>
      <c r="R100" s="81"/>
      <c r="S100" s="81"/>
      <c r="T100" s="85"/>
      <c r="U100" s="81">
        <f t="shared" si="10"/>
        <v>150</v>
      </c>
      <c r="V100" s="81">
        <f t="shared" si="11"/>
        <v>2</v>
      </c>
      <c r="W100" s="82">
        <f t="shared" si="12"/>
        <v>300</v>
      </c>
      <c r="X100" s="82" t="s">
        <v>84</v>
      </c>
      <c r="Y100" s="24" t="s">
        <v>93</v>
      </c>
    </row>
    <row r="101" spans="1:25" s="24" customFormat="1" ht="11.1" customHeight="1">
      <c r="A101" s="74">
        <f t="shared" si="13"/>
        <v>99</v>
      </c>
      <c r="B101" s="75" t="s">
        <v>128</v>
      </c>
      <c r="C101" s="74" t="str">
        <f>IF($B101&lt;&gt;"",_xlfn.IFNA(VLOOKUP($B101,'Node Details'!$B:$U,C$1,0),"Check"),"")</f>
        <v>0000AXZ03-AXZ030104</v>
      </c>
      <c r="D101" s="74" t="str">
        <f>IF($B101&lt;&gt;"",_xlfn.IFNA(VLOOKUP($B101,'Node Details'!$B:$U,D$1,0),"Check"),"")</f>
        <v>AXZ</v>
      </c>
      <c r="E101" s="74" t="str">
        <f>IF($B101&lt;&gt;"",_xlfn.IFNA(VLOOKUP($B101,'Node Details'!$B:$U,E$1,0),"Check"),"")</f>
        <v>Airtel</v>
      </c>
      <c r="F101" s="76">
        <v>46110</v>
      </c>
      <c r="G101" s="74"/>
      <c r="H101" s="10" t="s">
        <v>1250</v>
      </c>
      <c r="I101" s="9">
        <v>2</v>
      </c>
      <c r="J101" s="9">
        <v>150</v>
      </c>
      <c r="K101" s="77">
        <f t="shared" si="7"/>
        <v>300</v>
      </c>
      <c r="L101" s="76">
        <v>46110</v>
      </c>
      <c r="N101" s="83"/>
      <c r="O101" s="84"/>
      <c r="P101" s="81">
        <f t="shared" si="8"/>
        <v>150</v>
      </c>
      <c r="Q101" s="81">
        <f t="shared" si="9"/>
        <v>300</v>
      </c>
      <c r="R101" s="81"/>
      <c r="S101" s="81"/>
      <c r="T101" s="85"/>
      <c r="U101" s="81">
        <f t="shared" si="10"/>
        <v>150</v>
      </c>
      <c r="V101" s="81">
        <f t="shared" si="11"/>
        <v>2</v>
      </c>
      <c r="W101" s="82">
        <f t="shared" si="12"/>
        <v>300</v>
      </c>
      <c r="X101" s="82" t="s">
        <v>84</v>
      </c>
      <c r="Y101" s="24" t="s">
        <v>93</v>
      </c>
    </row>
    <row r="102" spans="1:25" s="24" customFormat="1" ht="11.1" customHeight="1">
      <c r="A102" s="74">
        <f t="shared" si="13"/>
        <v>100</v>
      </c>
      <c r="B102" s="75" t="s">
        <v>974</v>
      </c>
      <c r="C102" s="74" t="str">
        <f>IF($B102&lt;&gt;"",_xlfn.IFNA(VLOOKUP($B102,'Node Details'!$B:$U,C$1,0),"Check"),"")</f>
        <v>AXZ030104-AXZ030106</v>
      </c>
      <c r="D102" s="74" t="str">
        <f>IF($B102&lt;&gt;"",_xlfn.IFNA(VLOOKUP($B102,'Node Details'!$B:$U,D$1,0),"Check"),"")</f>
        <v>AXZ</v>
      </c>
      <c r="E102" s="74" t="str">
        <f>IF($B102&lt;&gt;"",_xlfn.IFNA(VLOOKUP($B102,'Node Details'!$B:$U,E$1,0),"Check"),"")</f>
        <v>Airtel</v>
      </c>
      <c r="F102" s="76">
        <v>46110</v>
      </c>
      <c r="G102" s="74"/>
      <c r="H102" s="10" t="s">
        <v>1250</v>
      </c>
      <c r="I102" s="9">
        <v>2</v>
      </c>
      <c r="J102" s="9">
        <v>150</v>
      </c>
      <c r="K102" s="77">
        <f t="shared" si="7"/>
        <v>300</v>
      </c>
      <c r="L102" s="76">
        <v>46110</v>
      </c>
      <c r="N102" s="83"/>
      <c r="O102" s="84"/>
      <c r="P102" s="81">
        <f t="shared" si="8"/>
        <v>150</v>
      </c>
      <c r="Q102" s="81">
        <f t="shared" si="9"/>
        <v>300</v>
      </c>
      <c r="R102" s="81"/>
      <c r="S102" s="81"/>
      <c r="T102" s="85"/>
      <c r="U102" s="81">
        <f t="shared" si="10"/>
        <v>150</v>
      </c>
      <c r="V102" s="81">
        <f t="shared" si="11"/>
        <v>2</v>
      </c>
      <c r="W102" s="82">
        <f t="shared" si="12"/>
        <v>300</v>
      </c>
      <c r="X102" s="82" t="s">
        <v>84</v>
      </c>
      <c r="Y102" s="24" t="s">
        <v>93</v>
      </c>
    </row>
    <row r="103" spans="1:25" s="24" customFormat="1" ht="11.1" customHeight="1">
      <c r="A103" s="74">
        <f t="shared" si="13"/>
        <v>101</v>
      </c>
      <c r="B103" s="75" t="s">
        <v>131</v>
      </c>
      <c r="C103" s="74" t="str">
        <f>IF($B103&lt;&gt;"",_xlfn.IFNA(VLOOKUP($B103,'Node Details'!$B:$U,C$1,0),"Check"),"")</f>
        <v>AXZ030104-AXZ030106</v>
      </c>
      <c r="D103" s="74" t="str">
        <f>IF($B103&lt;&gt;"",_xlfn.IFNA(VLOOKUP($B103,'Node Details'!$B:$U,D$1,0),"Check"),"")</f>
        <v>AXZ</v>
      </c>
      <c r="E103" s="74" t="str">
        <f>IF($B103&lt;&gt;"",_xlfn.IFNA(VLOOKUP($B103,'Node Details'!$B:$U,E$1,0),"Check"),"")</f>
        <v>Airtel</v>
      </c>
      <c r="F103" s="76">
        <v>46110</v>
      </c>
      <c r="G103" s="74"/>
      <c r="H103" s="10" t="s">
        <v>1250</v>
      </c>
      <c r="I103" s="9">
        <v>2</v>
      </c>
      <c r="J103" s="9">
        <v>150</v>
      </c>
      <c r="K103" s="77">
        <f t="shared" si="7"/>
        <v>300</v>
      </c>
      <c r="L103" s="76">
        <v>46110</v>
      </c>
      <c r="N103" s="83"/>
      <c r="O103" s="84"/>
      <c r="P103" s="81">
        <f t="shared" si="8"/>
        <v>150</v>
      </c>
      <c r="Q103" s="81">
        <f t="shared" si="9"/>
        <v>300</v>
      </c>
      <c r="R103" s="81"/>
      <c r="S103" s="81"/>
      <c r="T103" s="85"/>
      <c r="U103" s="81">
        <f t="shared" si="10"/>
        <v>150</v>
      </c>
      <c r="V103" s="81">
        <f t="shared" si="11"/>
        <v>2</v>
      </c>
      <c r="W103" s="82">
        <f t="shared" si="12"/>
        <v>300</v>
      </c>
      <c r="X103" s="82" t="s">
        <v>84</v>
      </c>
      <c r="Y103" s="24" t="s">
        <v>93</v>
      </c>
    </row>
    <row r="104" spans="1:25" s="24" customFormat="1" ht="11.1" customHeight="1">
      <c r="A104" s="74">
        <f t="shared" si="13"/>
        <v>102</v>
      </c>
      <c r="B104" s="75" t="s">
        <v>975</v>
      </c>
      <c r="C104" s="74" t="str">
        <f>IF($B104&lt;&gt;"",_xlfn.IFNA(VLOOKUP($B104,'Node Details'!$B:$U,C$1,0),"Check"),"")</f>
        <v>0000AXZ03-AXZ030201</v>
      </c>
      <c r="D104" s="74" t="str">
        <f>IF($B104&lt;&gt;"",_xlfn.IFNA(VLOOKUP($B104,'Node Details'!$B:$U,D$1,0),"Check"),"")</f>
        <v>AXZ</v>
      </c>
      <c r="E104" s="74" t="str">
        <f>IF($B104&lt;&gt;"",_xlfn.IFNA(VLOOKUP($B104,'Node Details'!$B:$U,E$1,0),"Check"),"")</f>
        <v>Airtel</v>
      </c>
      <c r="F104" s="76">
        <v>46110</v>
      </c>
      <c r="G104" s="74"/>
      <c r="H104" s="10" t="s">
        <v>1250</v>
      </c>
      <c r="I104" s="9">
        <v>2</v>
      </c>
      <c r="J104" s="9">
        <v>150</v>
      </c>
      <c r="K104" s="77">
        <f t="shared" si="7"/>
        <v>300</v>
      </c>
      <c r="L104" s="76">
        <v>46110</v>
      </c>
      <c r="N104" s="83"/>
      <c r="O104" s="84"/>
      <c r="P104" s="81">
        <f t="shared" si="8"/>
        <v>150</v>
      </c>
      <c r="Q104" s="81">
        <f t="shared" si="9"/>
        <v>300</v>
      </c>
      <c r="R104" s="81"/>
      <c r="S104" s="81"/>
      <c r="T104" s="85"/>
      <c r="U104" s="81">
        <f t="shared" si="10"/>
        <v>150</v>
      </c>
      <c r="V104" s="81">
        <f t="shared" si="11"/>
        <v>2</v>
      </c>
      <c r="W104" s="82">
        <f t="shared" si="12"/>
        <v>300</v>
      </c>
      <c r="X104" s="82" t="s">
        <v>84</v>
      </c>
      <c r="Y104" s="24" t="s">
        <v>93</v>
      </c>
    </row>
    <row r="105" spans="1:25" s="24" customFormat="1" ht="11.1" customHeight="1">
      <c r="A105" s="74">
        <f t="shared" si="13"/>
        <v>103</v>
      </c>
      <c r="B105" s="75" t="s">
        <v>976</v>
      </c>
      <c r="C105" s="74" t="str">
        <f>IF($B105&lt;&gt;"",_xlfn.IFNA(VLOOKUP($B105,'Node Details'!$B:$U,C$1,0),"Check"),"")</f>
        <v>0000AXZ03-AXZ030201</v>
      </c>
      <c r="D105" s="74" t="str">
        <f>IF($B105&lt;&gt;"",_xlfn.IFNA(VLOOKUP($B105,'Node Details'!$B:$U,D$1,0),"Check"),"")</f>
        <v>AXZ</v>
      </c>
      <c r="E105" s="74" t="str">
        <f>IF($B105&lt;&gt;"",_xlfn.IFNA(VLOOKUP($B105,'Node Details'!$B:$U,E$1,0),"Check"),"")</f>
        <v>Airtel</v>
      </c>
      <c r="F105" s="76">
        <v>46110</v>
      </c>
      <c r="G105" s="74"/>
      <c r="H105" s="10" t="s">
        <v>1250</v>
      </c>
      <c r="I105" s="9">
        <v>2</v>
      </c>
      <c r="J105" s="9">
        <v>150</v>
      </c>
      <c r="K105" s="77">
        <f t="shared" si="7"/>
        <v>300</v>
      </c>
      <c r="L105" s="76">
        <v>46110</v>
      </c>
      <c r="N105" s="83"/>
      <c r="O105" s="84"/>
      <c r="P105" s="81">
        <f t="shared" si="8"/>
        <v>150</v>
      </c>
      <c r="Q105" s="81">
        <f t="shared" si="9"/>
        <v>300</v>
      </c>
      <c r="R105" s="81"/>
      <c r="S105" s="81"/>
      <c r="T105" s="85"/>
      <c r="U105" s="81">
        <f t="shared" si="10"/>
        <v>150</v>
      </c>
      <c r="V105" s="81">
        <f t="shared" si="11"/>
        <v>2</v>
      </c>
      <c r="W105" s="82">
        <f t="shared" si="12"/>
        <v>300</v>
      </c>
      <c r="X105" s="82" t="s">
        <v>84</v>
      </c>
      <c r="Y105" s="24" t="s">
        <v>93</v>
      </c>
    </row>
    <row r="106" spans="1:25" s="24" customFormat="1" ht="11.1" customHeight="1">
      <c r="A106" s="74">
        <f t="shared" si="13"/>
        <v>104</v>
      </c>
      <c r="B106" s="75" t="s">
        <v>134</v>
      </c>
      <c r="C106" s="74" t="str">
        <f>IF($B106&lt;&gt;"",_xlfn.IFNA(VLOOKUP($B106,'Node Details'!$B:$U,C$1,0),"Check"),"")</f>
        <v>0000AXZ03-AXZ030201</v>
      </c>
      <c r="D106" s="74" t="str">
        <f>IF($B106&lt;&gt;"",_xlfn.IFNA(VLOOKUP($B106,'Node Details'!$B:$U,D$1,0),"Check"),"")</f>
        <v>AXZ</v>
      </c>
      <c r="E106" s="74" t="str">
        <f>IF($B106&lt;&gt;"",_xlfn.IFNA(VLOOKUP($B106,'Node Details'!$B:$U,E$1,0),"Check"),"")</f>
        <v>Airtel</v>
      </c>
      <c r="F106" s="76">
        <v>46110</v>
      </c>
      <c r="G106" s="74"/>
      <c r="H106" s="10" t="s">
        <v>1250</v>
      </c>
      <c r="I106" s="9">
        <v>2</v>
      </c>
      <c r="J106" s="9">
        <v>150</v>
      </c>
      <c r="K106" s="77">
        <f t="shared" si="7"/>
        <v>300</v>
      </c>
      <c r="L106" s="76">
        <v>46110</v>
      </c>
      <c r="N106" s="83"/>
      <c r="O106" s="84"/>
      <c r="P106" s="81">
        <f t="shared" si="8"/>
        <v>150</v>
      </c>
      <c r="Q106" s="81">
        <f t="shared" si="9"/>
        <v>300</v>
      </c>
      <c r="R106" s="81"/>
      <c r="S106" s="81"/>
      <c r="T106" s="85"/>
      <c r="U106" s="81">
        <f t="shared" si="10"/>
        <v>150</v>
      </c>
      <c r="V106" s="81">
        <f t="shared" si="11"/>
        <v>2</v>
      </c>
      <c r="W106" s="82">
        <f t="shared" si="12"/>
        <v>300</v>
      </c>
      <c r="X106" s="82" t="s">
        <v>84</v>
      </c>
      <c r="Y106" s="24" t="s">
        <v>93</v>
      </c>
    </row>
    <row r="107" spans="1:25" s="24" customFormat="1" ht="11.1" customHeight="1">
      <c r="A107" s="74">
        <f t="shared" si="13"/>
        <v>105</v>
      </c>
      <c r="B107" s="75" t="s">
        <v>977</v>
      </c>
      <c r="C107" s="74" t="str">
        <f>IF($B107&lt;&gt;"",_xlfn.IFNA(VLOOKUP($B107,'Node Details'!$B:$U,C$1,0),"Check"),"")</f>
        <v>AXZ030201-AXZ030205</v>
      </c>
      <c r="D107" s="74" t="str">
        <f>IF($B107&lt;&gt;"",_xlfn.IFNA(VLOOKUP($B107,'Node Details'!$B:$U,D$1,0),"Check"),"")</f>
        <v>AXZ</v>
      </c>
      <c r="E107" s="74" t="str">
        <f>IF($B107&lt;&gt;"",_xlfn.IFNA(VLOOKUP($B107,'Node Details'!$B:$U,E$1,0),"Check"),"")</f>
        <v>Airtel</v>
      </c>
      <c r="F107" s="76">
        <v>46110</v>
      </c>
      <c r="G107" s="74"/>
      <c r="H107" s="10" t="s">
        <v>1250</v>
      </c>
      <c r="I107" s="9">
        <v>2</v>
      </c>
      <c r="J107" s="9">
        <v>150</v>
      </c>
      <c r="K107" s="77">
        <f t="shared" si="7"/>
        <v>300</v>
      </c>
      <c r="L107" s="76">
        <v>46110</v>
      </c>
      <c r="N107" s="83"/>
      <c r="O107" s="84"/>
      <c r="P107" s="81">
        <f t="shared" si="8"/>
        <v>150</v>
      </c>
      <c r="Q107" s="81">
        <f t="shared" si="9"/>
        <v>300</v>
      </c>
      <c r="R107" s="81"/>
      <c r="S107" s="81"/>
      <c r="T107" s="85"/>
      <c r="U107" s="81">
        <f t="shared" si="10"/>
        <v>150</v>
      </c>
      <c r="V107" s="81">
        <f t="shared" si="11"/>
        <v>2</v>
      </c>
      <c r="W107" s="82">
        <f t="shared" si="12"/>
        <v>300</v>
      </c>
      <c r="X107" s="82" t="s">
        <v>84</v>
      </c>
      <c r="Y107" s="24" t="s">
        <v>93</v>
      </c>
    </row>
    <row r="108" spans="1:25" s="24" customFormat="1" ht="11.1" customHeight="1">
      <c r="A108" s="74">
        <f t="shared" si="13"/>
        <v>106</v>
      </c>
      <c r="B108" s="75" t="s">
        <v>978</v>
      </c>
      <c r="C108" s="74" t="str">
        <f>IF($B108&lt;&gt;"",_xlfn.IFNA(VLOOKUP($B108,'Node Details'!$B:$U,C$1,0),"Check"),"")</f>
        <v>AXZ030201-AXZ030205</v>
      </c>
      <c r="D108" s="74" t="str">
        <f>IF($B108&lt;&gt;"",_xlfn.IFNA(VLOOKUP($B108,'Node Details'!$B:$U,D$1,0),"Check"),"")</f>
        <v>AXZ</v>
      </c>
      <c r="E108" s="74" t="str">
        <f>IF($B108&lt;&gt;"",_xlfn.IFNA(VLOOKUP($B108,'Node Details'!$B:$U,E$1,0),"Check"),"")</f>
        <v>Airtel</v>
      </c>
      <c r="F108" s="76">
        <v>46110</v>
      </c>
      <c r="G108" s="74"/>
      <c r="H108" s="10" t="s">
        <v>1250</v>
      </c>
      <c r="I108" s="9">
        <v>2</v>
      </c>
      <c r="J108" s="9">
        <v>150</v>
      </c>
      <c r="K108" s="77">
        <f t="shared" si="7"/>
        <v>300</v>
      </c>
      <c r="L108" s="76">
        <v>46110</v>
      </c>
      <c r="N108" s="83"/>
      <c r="O108" s="84"/>
      <c r="P108" s="81">
        <f t="shared" si="8"/>
        <v>150</v>
      </c>
      <c r="Q108" s="81">
        <f t="shared" si="9"/>
        <v>300</v>
      </c>
      <c r="R108" s="81"/>
      <c r="S108" s="81"/>
      <c r="T108" s="85"/>
      <c r="U108" s="81">
        <f t="shared" si="10"/>
        <v>150</v>
      </c>
      <c r="V108" s="81">
        <f t="shared" si="11"/>
        <v>2</v>
      </c>
      <c r="W108" s="82">
        <f t="shared" si="12"/>
        <v>300</v>
      </c>
      <c r="X108" s="82" t="s">
        <v>84</v>
      </c>
      <c r="Y108" s="24" t="s">
        <v>93</v>
      </c>
    </row>
    <row r="109" spans="1:25" s="24" customFormat="1" ht="11.1" customHeight="1">
      <c r="A109" s="74">
        <f t="shared" si="13"/>
        <v>107</v>
      </c>
      <c r="B109" s="75" t="s">
        <v>979</v>
      </c>
      <c r="C109" s="74" t="str">
        <f>IF($B109&lt;&gt;"",_xlfn.IFNA(VLOOKUP($B109,'Node Details'!$B:$U,C$1,0),"Check"),"")</f>
        <v>AXZ030201-AXZ030205</v>
      </c>
      <c r="D109" s="74" t="str">
        <f>IF($B109&lt;&gt;"",_xlfn.IFNA(VLOOKUP($B109,'Node Details'!$B:$U,D$1,0),"Check"),"")</f>
        <v>AXZ</v>
      </c>
      <c r="E109" s="74" t="str">
        <f>IF($B109&lt;&gt;"",_xlfn.IFNA(VLOOKUP($B109,'Node Details'!$B:$U,E$1,0),"Check"),"")</f>
        <v>Airtel</v>
      </c>
      <c r="F109" s="76">
        <v>46110</v>
      </c>
      <c r="G109" s="74"/>
      <c r="H109" s="10" t="s">
        <v>1250</v>
      </c>
      <c r="I109" s="9">
        <v>2</v>
      </c>
      <c r="J109" s="9">
        <v>150</v>
      </c>
      <c r="K109" s="77">
        <f t="shared" si="7"/>
        <v>300</v>
      </c>
      <c r="L109" s="76">
        <v>46110</v>
      </c>
      <c r="N109" s="83"/>
      <c r="O109" s="84"/>
      <c r="P109" s="81">
        <f t="shared" si="8"/>
        <v>150</v>
      </c>
      <c r="Q109" s="81">
        <f t="shared" si="9"/>
        <v>300</v>
      </c>
      <c r="R109" s="81"/>
      <c r="S109" s="81"/>
      <c r="T109" s="85"/>
      <c r="U109" s="81">
        <f t="shared" si="10"/>
        <v>150</v>
      </c>
      <c r="V109" s="81">
        <f t="shared" si="11"/>
        <v>2</v>
      </c>
      <c r="W109" s="82">
        <f t="shared" si="12"/>
        <v>300</v>
      </c>
      <c r="X109" s="82" t="s">
        <v>84</v>
      </c>
      <c r="Y109" s="24" t="s">
        <v>93</v>
      </c>
    </row>
    <row r="110" spans="1:25" s="24" customFormat="1" ht="11.1" customHeight="1">
      <c r="A110" s="74">
        <f t="shared" si="13"/>
        <v>108</v>
      </c>
      <c r="B110" s="75" t="s">
        <v>137</v>
      </c>
      <c r="C110" s="74" t="str">
        <f>IF($B110&lt;&gt;"",_xlfn.IFNA(VLOOKUP($B110,'Node Details'!$B:$U,C$1,0),"Check"),"")</f>
        <v>AXZ030201-AXZ030205</v>
      </c>
      <c r="D110" s="74" t="str">
        <f>IF($B110&lt;&gt;"",_xlfn.IFNA(VLOOKUP($B110,'Node Details'!$B:$U,D$1,0),"Check"),"")</f>
        <v>AXZ</v>
      </c>
      <c r="E110" s="74" t="str">
        <f>IF($B110&lt;&gt;"",_xlfn.IFNA(VLOOKUP($B110,'Node Details'!$B:$U,E$1,0),"Check"),"")</f>
        <v>Airtel</v>
      </c>
      <c r="F110" s="76">
        <v>46110</v>
      </c>
      <c r="G110" s="74"/>
      <c r="H110" s="10" t="s">
        <v>1250</v>
      </c>
      <c r="I110" s="9">
        <v>2</v>
      </c>
      <c r="J110" s="9">
        <v>150</v>
      </c>
      <c r="K110" s="77">
        <f t="shared" si="7"/>
        <v>300</v>
      </c>
      <c r="L110" s="76">
        <v>46110</v>
      </c>
      <c r="N110" s="83"/>
      <c r="O110" s="84"/>
      <c r="P110" s="81">
        <f t="shared" si="8"/>
        <v>150</v>
      </c>
      <c r="Q110" s="81">
        <f t="shared" si="9"/>
        <v>300</v>
      </c>
      <c r="R110" s="81"/>
      <c r="S110" s="81"/>
      <c r="T110" s="85"/>
      <c r="U110" s="81">
        <f t="shared" si="10"/>
        <v>150</v>
      </c>
      <c r="V110" s="81">
        <f t="shared" si="11"/>
        <v>2</v>
      </c>
      <c r="W110" s="82">
        <f t="shared" si="12"/>
        <v>300</v>
      </c>
      <c r="X110" s="82" t="s">
        <v>84</v>
      </c>
      <c r="Y110" s="24" t="s">
        <v>93</v>
      </c>
    </row>
    <row r="111" spans="1:25" s="24" customFormat="1" ht="11.1" customHeight="1">
      <c r="A111" s="74">
        <f t="shared" si="13"/>
        <v>109</v>
      </c>
      <c r="B111" s="75" t="s">
        <v>157</v>
      </c>
      <c r="C111" s="74" t="str">
        <f>IF($B111&lt;&gt;"",_xlfn.IFNA(VLOOKUP($B111,'Node Details'!$B:$U,C$1,0),"Check"),"")</f>
        <v>0000AXY01-AXY010101</v>
      </c>
      <c r="D111" s="74" t="str">
        <f>IF($B111&lt;&gt;"",_xlfn.IFNA(VLOOKUP($B111,'Node Details'!$B:$U,D$1,0),"Check"),"")</f>
        <v>AXY</v>
      </c>
      <c r="E111" s="74" t="str">
        <f>IF($B111&lt;&gt;"",_xlfn.IFNA(VLOOKUP($B111,'Node Details'!$B:$U,E$1,0),"Check"),"")</f>
        <v>Airtel</v>
      </c>
      <c r="F111" s="76">
        <v>46113</v>
      </c>
      <c r="G111" s="74"/>
      <c r="H111" s="10" t="s">
        <v>22</v>
      </c>
      <c r="I111" s="9">
        <v>2</v>
      </c>
      <c r="J111" s="9">
        <v>42</v>
      </c>
      <c r="K111" s="77">
        <f t="shared" si="7"/>
        <v>84</v>
      </c>
      <c r="L111" s="76">
        <v>46112</v>
      </c>
      <c r="N111" s="83"/>
      <c r="O111" s="84"/>
      <c r="P111" s="81">
        <f t="shared" ref="P111:P174" si="14">J111</f>
        <v>42</v>
      </c>
      <c r="Q111" s="81">
        <f t="shared" ref="Q111:Q174" si="15">P111*I111</f>
        <v>84</v>
      </c>
      <c r="R111" s="81"/>
      <c r="S111" s="81"/>
      <c r="T111" s="85"/>
      <c r="U111" s="81">
        <f t="shared" ref="U111:U174" si="16">J111</f>
        <v>42</v>
      </c>
      <c r="V111" s="81">
        <f t="shared" ref="V111:V174" si="17">I111</f>
        <v>2</v>
      </c>
      <c r="W111" s="82">
        <f t="shared" ref="W111:W174" si="18">IF(V111&lt;&gt;"",V111*U111,0)</f>
        <v>84</v>
      </c>
      <c r="X111" s="82" t="s">
        <v>84</v>
      </c>
      <c r="Y111" s="24" t="s">
        <v>93</v>
      </c>
    </row>
    <row r="112" spans="1:25" s="24" customFormat="1" ht="11.1" customHeight="1">
      <c r="A112" s="74">
        <f t="shared" si="13"/>
        <v>110</v>
      </c>
      <c r="B112" s="75" t="s">
        <v>980</v>
      </c>
      <c r="C112" s="74" t="str">
        <f>IF($B112&lt;&gt;"",_xlfn.IFNA(VLOOKUP($B112,'Node Details'!$B:$U,C$1,0),"Check"),"")</f>
        <v>0000AXY01-AXY010104</v>
      </c>
      <c r="D112" s="74" t="str">
        <f>IF($B112&lt;&gt;"",_xlfn.IFNA(VLOOKUP($B112,'Node Details'!$B:$U,D$1,0),"Check"),"")</f>
        <v>AXY</v>
      </c>
      <c r="E112" s="74" t="str">
        <f>IF($B112&lt;&gt;"",_xlfn.IFNA(VLOOKUP($B112,'Node Details'!$B:$U,E$1,0),"Check"),"")</f>
        <v>Airtel</v>
      </c>
      <c r="F112" s="76">
        <v>46113</v>
      </c>
      <c r="G112" s="74"/>
      <c r="H112" s="10" t="s">
        <v>22</v>
      </c>
      <c r="I112" s="9">
        <v>2</v>
      </c>
      <c r="J112" s="9">
        <v>42</v>
      </c>
      <c r="K112" s="77">
        <f t="shared" ref="K112:K175" si="19">IF(I112&lt;&gt;"",J112*I112,0)</f>
        <v>84</v>
      </c>
      <c r="L112" s="76">
        <v>46112</v>
      </c>
      <c r="N112" s="83"/>
      <c r="O112" s="84"/>
      <c r="P112" s="81">
        <f t="shared" si="14"/>
        <v>42</v>
      </c>
      <c r="Q112" s="81">
        <f t="shared" si="15"/>
        <v>84</v>
      </c>
      <c r="R112" s="81"/>
      <c r="S112" s="81"/>
      <c r="T112" s="85"/>
      <c r="U112" s="81">
        <f t="shared" si="16"/>
        <v>42</v>
      </c>
      <c r="V112" s="81">
        <f t="shared" si="17"/>
        <v>2</v>
      </c>
      <c r="W112" s="82">
        <f t="shared" si="18"/>
        <v>84</v>
      </c>
      <c r="X112" s="82" t="s">
        <v>84</v>
      </c>
      <c r="Y112" s="24" t="s">
        <v>93</v>
      </c>
    </row>
    <row r="113" spans="1:25" s="24" customFormat="1" ht="11.1" customHeight="1">
      <c r="A113" s="74">
        <f t="shared" si="13"/>
        <v>111</v>
      </c>
      <c r="B113" s="75" t="s">
        <v>160</v>
      </c>
      <c r="C113" s="74" t="str">
        <f>IF($B113&lt;&gt;"",_xlfn.IFNA(VLOOKUP($B113,'Node Details'!$B:$U,C$1,0),"Check"),"")</f>
        <v>0000AXY01-AXY010104</v>
      </c>
      <c r="D113" s="74" t="str">
        <f>IF($B113&lt;&gt;"",_xlfn.IFNA(VLOOKUP($B113,'Node Details'!$B:$U,D$1,0),"Check"),"")</f>
        <v>AXY</v>
      </c>
      <c r="E113" s="74" t="str">
        <f>IF($B113&lt;&gt;"",_xlfn.IFNA(VLOOKUP($B113,'Node Details'!$B:$U,E$1,0),"Check"),"")</f>
        <v>Airtel</v>
      </c>
      <c r="F113" s="76">
        <v>46113</v>
      </c>
      <c r="G113" s="74"/>
      <c r="H113" s="10" t="s">
        <v>22</v>
      </c>
      <c r="I113" s="9">
        <v>2</v>
      </c>
      <c r="J113" s="9">
        <v>42</v>
      </c>
      <c r="K113" s="77">
        <f t="shared" si="19"/>
        <v>84</v>
      </c>
      <c r="L113" s="76">
        <v>46112</v>
      </c>
      <c r="N113" s="83"/>
      <c r="O113" s="84"/>
      <c r="P113" s="81">
        <f t="shared" si="14"/>
        <v>42</v>
      </c>
      <c r="Q113" s="81">
        <f t="shared" si="15"/>
        <v>84</v>
      </c>
      <c r="R113" s="81"/>
      <c r="S113" s="81"/>
      <c r="T113" s="85"/>
      <c r="U113" s="81">
        <f t="shared" si="16"/>
        <v>42</v>
      </c>
      <c r="V113" s="81">
        <f t="shared" si="17"/>
        <v>2</v>
      </c>
      <c r="W113" s="82">
        <f t="shared" si="18"/>
        <v>84</v>
      </c>
      <c r="X113" s="82" t="s">
        <v>84</v>
      </c>
      <c r="Y113" s="24" t="s">
        <v>93</v>
      </c>
    </row>
    <row r="114" spans="1:25" s="24" customFormat="1" ht="11.1" customHeight="1">
      <c r="A114" s="74">
        <f t="shared" si="13"/>
        <v>112</v>
      </c>
      <c r="B114" s="75" t="s">
        <v>162</v>
      </c>
      <c r="C114" s="74" t="str">
        <f>IF($B114&lt;&gt;"",_xlfn.IFNA(VLOOKUP($B114,'Node Details'!$B:$U,C$1,0),"Check"),"")</f>
        <v>0000AXY01-AXY010102</v>
      </c>
      <c r="D114" s="74" t="str">
        <f>IF($B114&lt;&gt;"",_xlfn.IFNA(VLOOKUP($B114,'Node Details'!$B:$U,D$1,0),"Check"),"")</f>
        <v>AXY</v>
      </c>
      <c r="E114" s="74" t="str">
        <f>IF($B114&lt;&gt;"",_xlfn.IFNA(VLOOKUP($B114,'Node Details'!$B:$U,E$1,0),"Check"),"")</f>
        <v>Airtel</v>
      </c>
      <c r="F114" s="76">
        <v>46113</v>
      </c>
      <c r="G114" s="74"/>
      <c r="H114" s="10" t="s">
        <v>22</v>
      </c>
      <c r="I114" s="9">
        <v>2</v>
      </c>
      <c r="J114" s="9">
        <v>42</v>
      </c>
      <c r="K114" s="77">
        <f t="shared" si="19"/>
        <v>84</v>
      </c>
      <c r="L114" s="76">
        <v>46112</v>
      </c>
      <c r="N114" s="83"/>
      <c r="O114" s="84"/>
      <c r="P114" s="81">
        <f t="shared" si="14"/>
        <v>42</v>
      </c>
      <c r="Q114" s="81">
        <f t="shared" si="15"/>
        <v>84</v>
      </c>
      <c r="R114" s="81"/>
      <c r="S114" s="81"/>
      <c r="T114" s="85"/>
      <c r="U114" s="81">
        <f t="shared" si="16"/>
        <v>42</v>
      </c>
      <c r="V114" s="81">
        <f t="shared" si="17"/>
        <v>2</v>
      </c>
      <c r="W114" s="82">
        <f t="shared" si="18"/>
        <v>84</v>
      </c>
      <c r="X114" s="82" t="s">
        <v>84</v>
      </c>
      <c r="Y114" s="24" t="s">
        <v>93</v>
      </c>
    </row>
    <row r="115" spans="1:25" s="24" customFormat="1" ht="11.1" customHeight="1">
      <c r="A115" s="74">
        <f t="shared" si="13"/>
        <v>113</v>
      </c>
      <c r="B115" s="75" t="s">
        <v>164</v>
      </c>
      <c r="C115" s="74" t="str">
        <f>IF($B115&lt;&gt;"",_xlfn.IFNA(VLOOKUP($B115,'Node Details'!$B:$U,C$1,0),"Check"),"")</f>
        <v>0000AXY03-AXY030101</v>
      </c>
      <c r="D115" s="74" t="str">
        <f>IF($B115&lt;&gt;"",_xlfn.IFNA(VLOOKUP($B115,'Node Details'!$B:$U,D$1,0),"Check"),"")</f>
        <v>AXY</v>
      </c>
      <c r="E115" s="74" t="str">
        <f>IF($B115&lt;&gt;"",_xlfn.IFNA(VLOOKUP($B115,'Node Details'!$B:$U,E$1,0),"Check"),"")</f>
        <v>Airtel</v>
      </c>
      <c r="F115" s="76">
        <v>46113</v>
      </c>
      <c r="G115" s="74"/>
      <c r="H115" s="10" t="s">
        <v>22</v>
      </c>
      <c r="I115" s="9">
        <v>2</v>
      </c>
      <c r="J115" s="9">
        <v>42</v>
      </c>
      <c r="K115" s="77">
        <f t="shared" si="19"/>
        <v>84</v>
      </c>
      <c r="L115" s="76">
        <v>46112</v>
      </c>
      <c r="N115" s="83"/>
      <c r="O115" s="84"/>
      <c r="P115" s="81">
        <f t="shared" si="14"/>
        <v>42</v>
      </c>
      <c r="Q115" s="81">
        <f t="shared" si="15"/>
        <v>84</v>
      </c>
      <c r="R115" s="81"/>
      <c r="S115" s="81"/>
      <c r="T115" s="85"/>
      <c r="U115" s="81">
        <f t="shared" si="16"/>
        <v>42</v>
      </c>
      <c r="V115" s="81">
        <f t="shared" si="17"/>
        <v>2</v>
      </c>
      <c r="W115" s="82">
        <f t="shared" si="18"/>
        <v>84</v>
      </c>
      <c r="X115" s="82" t="s">
        <v>84</v>
      </c>
      <c r="Y115" s="24" t="s">
        <v>93</v>
      </c>
    </row>
    <row r="116" spans="1:25" s="24" customFormat="1" ht="11.1" customHeight="1">
      <c r="A116" s="74">
        <f t="shared" si="13"/>
        <v>114</v>
      </c>
      <c r="B116" s="75" t="s">
        <v>168</v>
      </c>
      <c r="C116" s="74" t="str">
        <f>IF($B116&lt;&gt;"",_xlfn.IFNA(VLOOKUP($B116,'Node Details'!$B:$U,C$1,0),"Check"),"")</f>
        <v>0000AXY03-AXY030104</v>
      </c>
      <c r="D116" s="74" t="str">
        <f>IF($B116&lt;&gt;"",_xlfn.IFNA(VLOOKUP($B116,'Node Details'!$B:$U,D$1,0),"Check"),"")</f>
        <v>AXY</v>
      </c>
      <c r="E116" s="74" t="str">
        <f>IF($B116&lt;&gt;"",_xlfn.IFNA(VLOOKUP($B116,'Node Details'!$B:$U,E$1,0),"Check"),"")</f>
        <v>Airtel</v>
      </c>
      <c r="F116" s="76">
        <v>46113</v>
      </c>
      <c r="G116" s="74"/>
      <c r="H116" s="10" t="s">
        <v>22</v>
      </c>
      <c r="I116" s="9">
        <v>2</v>
      </c>
      <c r="J116" s="9">
        <v>42</v>
      </c>
      <c r="K116" s="77">
        <f t="shared" si="19"/>
        <v>84</v>
      </c>
      <c r="L116" s="76">
        <v>46112</v>
      </c>
      <c r="N116" s="83"/>
      <c r="O116" s="84"/>
      <c r="P116" s="81">
        <f t="shared" si="14"/>
        <v>42</v>
      </c>
      <c r="Q116" s="81">
        <f t="shared" si="15"/>
        <v>84</v>
      </c>
      <c r="R116" s="81"/>
      <c r="S116" s="81"/>
      <c r="T116" s="85"/>
      <c r="U116" s="81">
        <f t="shared" si="16"/>
        <v>42</v>
      </c>
      <c r="V116" s="81">
        <f t="shared" si="17"/>
        <v>2</v>
      </c>
      <c r="W116" s="82">
        <f t="shared" si="18"/>
        <v>84</v>
      </c>
      <c r="X116" s="82" t="s">
        <v>84</v>
      </c>
      <c r="Y116" s="24" t="s">
        <v>93</v>
      </c>
    </row>
    <row r="117" spans="1:25" s="24" customFormat="1" ht="11.1" customHeight="1">
      <c r="A117" s="74">
        <f t="shared" si="13"/>
        <v>115</v>
      </c>
      <c r="B117" s="75" t="s">
        <v>166</v>
      </c>
      <c r="C117" s="74" t="str">
        <f>IF($B117&lt;&gt;"",_xlfn.IFNA(VLOOKUP($B117,'Node Details'!$B:$U,C$1,0),"Check"),"")</f>
        <v>0000AXY03-AXY030104</v>
      </c>
      <c r="D117" s="74" t="str">
        <f>IF($B117&lt;&gt;"",_xlfn.IFNA(VLOOKUP($B117,'Node Details'!$B:$U,D$1,0),"Check"),"")</f>
        <v>AXY</v>
      </c>
      <c r="E117" s="74" t="str">
        <f>IF($B117&lt;&gt;"",_xlfn.IFNA(VLOOKUP($B117,'Node Details'!$B:$U,E$1,0),"Check"),"")</f>
        <v>Airtel</v>
      </c>
      <c r="F117" s="76">
        <v>46113</v>
      </c>
      <c r="G117" s="74"/>
      <c r="H117" s="10" t="s">
        <v>22</v>
      </c>
      <c r="I117" s="9">
        <v>2</v>
      </c>
      <c r="J117" s="9">
        <v>42</v>
      </c>
      <c r="K117" s="77">
        <f t="shared" si="19"/>
        <v>84</v>
      </c>
      <c r="L117" s="76">
        <v>46112</v>
      </c>
      <c r="N117" s="83"/>
      <c r="O117" s="84"/>
      <c r="P117" s="81">
        <f t="shared" si="14"/>
        <v>42</v>
      </c>
      <c r="Q117" s="81">
        <f t="shared" si="15"/>
        <v>84</v>
      </c>
      <c r="R117" s="81"/>
      <c r="S117" s="81"/>
      <c r="T117" s="85"/>
      <c r="U117" s="81">
        <f t="shared" si="16"/>
        <v>42</v>
      </c>
      <c r="V117" s="81">
        <f t="shared" si="17"/>
        <v>2</v>
      </c>
      <c r="W117" s="82">
        <f t="shared" si="18"/>
        <v>84</v>
      </c>
      <c r="X117" s="82" t="s">
        <v>84</v>
      </c>
      <c r="Y117" s="24" t="s">
        <v>93</v>
      </c>
    </row>
    <row r="118" spans="1:25" s="24" customFormat="1" ht="11.1" customHeight="1">
      <c r="A118" s="74">
        <f t="shared" si="13"/>
        <v>116</v>
      </c>
      <c r="B118" s="75" t="s">
        <v>169</v>
      </c>
      <c r="C118" s="74" t="str">
        <f>IF($B118&lt;&gt;"",_xlfn.IFNA(VLOOKUP($B118,'Node Details'!$B:$U,C$1,0),"Check"),"")</f>
        <v>AXY030103-AXY030105</v>
      </c>
      <c r="D118" s="74" t="str">
        <f>IF($B118&lt;&gt;"",_xlfn.IFNA(VLOOKUP($B118,'Node Details'!$B:$U,D$1,0),"Check"),"")</f>
        <v>AXY</v>
      </c>
      <c r="E118" s="74" t="str">
        <f>IF($B118&lt;&gt;"",_xlfn.IFNA(VLOOKUP($B118,'Node Details'!$B:$U,E$1,0),"Check"),"")</f>
        <v>Airtel</v>
      </c>
      <c r="F118" s="76">
        <v>46113</v>
      </c>
      <c r="G118" s="74"/>
      <c r="H118" s="10" t="s">
        <v>22</v>
      </c>
      <c r="I118" s="9">
        <v>2</v>
      </c>
      <c r="J118" s="9">
        <v>42</v>
      </c>
      <c r="K118" s="77">
        <f t="shared" si="19"/>
        <v>84</v>
      </c>
      <c r="L118" s="76">
        <v>46112</v>
      </c>
      <c r="N118" s="83"/>
      <c r="O118" s="84"/>
      <c r="P118" s="81">
        <f t="shared" si="14"/>
        <v>42</v>
      </c>
      <c r="Q118" s="81">
        <f t="shared" si="15"/>
        <v>84</v>
      </c>
      <c r="R118" s="81"/>
      <c r="S118" s="81"/>
      <c r="T118" s="85"/>
      <c r="U118" s="81">
        <f t="shared" si="16"/>
        <v>42</v>
      </c>
      <c r="V118" s="81">
        <f t="shared" si="17"/>
        <v>2</v>
      </c>
      <c r="W118" s="82">
        <f t="shared" si="18"/>
        <v>84</v>
      </c>
      <c r="X118" s="82" t="s">
        <v>84</v>
      </c>
      <c r="Y118" s="24" t="s">
        <v>93</v>
      </c>
    </row>
    <row r="119" spans="1:25" s="24" customFormat="1" ht="11.1" customHeight="1">
      <c r="A119" s="74">
        <f t="shared" si="13"/>
        <v>117</v>
      </c>
      <c r="B119" s="75" t="s">
        <v>174</v>
      </c>
      <c r="C119" s="74" t="str">
        <f>IF($B119&lt;&gt;"",_xlfn.IFNA(VLOOKUP($B119,'Node Details'!$B:$U,C$1,0),"Check"),"")</f>
        <v>0000AXY03-AXY030108</v>
      </c>
      <c r="D119" s="74" t="str">
        <f>IF($B119&lt;&gt;"",_xlfn.IFNA(VLOOKUP($B119,'Node Details'!$B:$U,D$1,0),"Check"),"")</f>
        <v>AXY</v>
      </c>
      <c r="E119" s="74" t="str">
        <f>IF($B119&lt;&gt;"",_xlfn.IFNA(VLOOKUP($B119,'Node Details'!$B:$U,E$1,0),"Check"),"")</f>
        <v>Airtel</v>
      </c>
      <c r="F119" s="76">
        <v>46113</v>
      </c>
      <c r="G119" s="74"/>
      <c r="H119" s="10" t="s">
        <v>22</v>
      </c>
      <c r="I119" s="9">
        <v>2</v>
      </c>
      <c r="J119" s="9">
        <v>42</v>
      </c>
      <c r="K119" s="77">
        <f t="shared" si="19"/>
        <v>84</v>
      </c>
      <c r="L119" s="76">
        <v>46112</v>
      </c>
      <c r="N119" s="83"/>
      <c r="O119" s="84"/>
      <c r="P119" s="81">
        <f t="shared" si="14"/>
        <v>42</v>
      </c>
      <c r="Q119" s="81">
        <f t="shared" si="15"/>
        <v>84</v>
      </c>
      <c r="R119" s="81"/>
      <c r="S119" s="81"/>
      <c r="T119" s="85"/>
      <c r="U119" s="81">
        <f t="shared" si="16"/>
        <v>42</v>
      </c>
      <c r="V119" s="81">
        <f t="shared" si="17"/>
        <v>2</v>
      </c>
      <c r="W119" s="82">
        <f t="shared" si="18"/>
        <v>84</v>
      </c>
      <c r="X119" s="82" t="s">
        <v>84</v>
      </c>
      <c r="Y119" s="24" t="s">
        <v>93</v>
      </c>
    </row>
    <row r="120" spans="1:25" s="24" customFormat="1" ht="11.1" customHeight="1">
      <c r="A120" s="74">
        <f t="shared" si="13"/>
        <v>118</v>
      </c>
      <c r="B120" s="75" t="s">
        <v>172</v>
      </c>
      <c r="C120" s="74" t="str">
        <f>IF($B120&lt;&gt;"",_xlfn.IFNA(VLOOKUP($B120,'Node Details'!$B:$U,C$1,0),"Check"),"")</f>
        <v>0000AXY03-AXY030108</v>
      </c>
      <c r="D120" s="74" t="str">
        <f>IF($B120&lt;&gt;"",_xlfn.IFNA(VLOOKUP($B120,'Node Details'!$B:$U,D$1,0),"Check"),"")</f>
        <v>AXY</v>
      </c>
      <c r="E120" s="74" t="str">
        <f>IF($B120&lt;&gt;"",_xlfn.IFNA(VLOOKUP($B120,'Node Details'!$B:$U,E$1,0),"Check"),"")</f>
        <v>Airtel</v>
      </c>
      <c r="F120" s="76">
        <v>46113</v>
      </c>
      <c r="G120" s="74"/>
      <c r="H120" s="10" t="s">
        <v>22</v>
      </c>
      <c r="I120" s="9">
        <v>2</v>
      </c>
      <c r="J120" s="9">
        <v>42</v>
      </c>
      <c r="K120" s="77">
        <f t="shared" si="19"/>
        <v>84</v>
      </c>
      <c r="L120" s="76">
        <v>46112</v>
      </c>
      <c r="N120" s="83"/>
      <c r="O120" s="84"/>
      <c r="P120" s="81">
        <f t="shared" si="14"/>
        <v>42</v>
      </c>
      <c r="Q120" s="81">
        <f t="shared" si="15"/>
        <v>84</v>
      </c>
      <c r="R120" s="81"/>
      <c r="S120" s="81"/>
      <c r="T120" s="85"/>
      <c r="U120" s="81">
        <f t="shared" si="16"/>
        <v>42</v>
      </c>
      <c r="V120" s="81">
        <f t="shared" si="17"/>
        <v>2</v>
      </c>
      <c r="W120" s="82">
        <f t="shared" si="18"/>
        <v>84</v>
      </c>
      <c r="X120" s="82" t="s">
        <v>84</v>
      </c>
      <c r="Y120" s="24" t="s">
        <v>93</v>
      </c>
    </row>
    <row r="121" spans="1:25" s="24" customFormat="1" ht="11.1" customHeight="1">
      <c r="A121" s="74">
        <f t="shared" si="13"/>
        <v>119</v>
      </c>
      <c r="B121" s="75" t="s">
        <v>175</v>
      </c>
      <c r="C121" s="74" t="str">
        <f>IF($B121&lt;&gt;"",_xlfn.IFNA(VLOOKUP($B121,'Node Details'!$B:$U,C$1,0),"Check"),"")</f>
        <v>AXY030107-AXY030201</v>
      </c>
      <c r="D121" s="74" t="str">
        <f>IF($B121&lt;&gt;"",_xlfn.IFNA(VLOOKUP($B121,'Node Details'!$B:$U,D$1,0),"Check"),"")</f>
        <v>AXY</v>
      </c>
      <c r="E121" s="74" t="str">
        <f>IF($B121&lt;&gt;"",_xlfn.IFNA(VLOOKUP($B121,'Node Details'!$B:$U,E$1,0),"Check"),"")</f>
        <v>Airtel</v>
      </c>
      <c r="F121" s="76">
        <v>46113</v>
      </c>
      <c r="G121" s="74"/>
      <c r="H121" s="10" t="s">
        <v>22</v>
      </c>
      <c r="I121" s="9">
        <v>2</v>
      </c>
      <c r="J121" s="9">
        <v>42</v>
      </c>
      <c r="K121" s="77">
        <f t="shared" si="19"/>
        <v>84</v>
      </c>
      <c r="L121" s="76">
        <v>46112</v>
      </c>
      <c r="N121" s="83"/>
      <c r="O121" s="84"/>
      <c r="P121" s="81">
        <f t="shared" si="14"/>
        <v>42</v>
      </c>
      <c r="Q121" s="81">
        <f t="shared" si="15"/>
        <v>84</v>
      </c>
      <c r="R121" s="81"/>
      <c r="S121" s="81"/>
      <c r="T121" s="85"/>
      <c r="U121" s="81">
        <f t="shared" si="16"/>
        <v>42</v>
      </c>
      <c r="V121" s="81">
        <f t="shared" si="17"/>
        <v>2</v>
      </c>
      <c r="W121" s="82">
        <f t="shared" si="18"/>
        <v>84</v>
      </c>
      <c r="X121" s="82" t="s">
        <v>84</v>
      </c>
      <c r="Y121" s="24" t="s">
        <v>93</v>
      </c>
    </row>
    <row r="122" spans="1:25" s="24" customFormat="1" ht="11.1" customHeight="1">
      <c r="A122" s="74">
        <f t="shared" si="13"/>
        <v>120</v>
      </c>
      <c r="B122" s="75" t="s">
        <v>981</v>
      </c>
      <c r="C122" s="74" t="str">
        <f>IF($B122&lt;&gt;"",_xlfn.IFNA(VLOOKUP($B122,'Node Details'!$B:$U,C$1,0),"Check"),"")</f>
        <v>AXY030201-AXY030204</v>
      </c>
      <c r="D122" s="74" t="str">
        <f>IF($B122&lt;&gt;"",_xlfn.IFNA(VLOOKUP($B122,'Node Details'!$B:$U,D$1,0),"Check"),"")</f>
        <v>AXY</v>
      </c>
      <c r="E122" s="74" t="str">
        <f>IF($B122&lt;&gt;"",_xlfn.IFNA(VLOOKUP($B122,'Node Details'!$B:$U,E$1,0),"Check"),"")</f>
        <v>Airtel</v>
      </c>
      <c r="F122" s="76">
        <v>46113</v>
      </c>
      <c r="G122" s="74"/>
      <c r="H122" s="10" t="s">
        <v>22</v>
      </c>
      <c r="I122" s="9">
        <v>2</v>
      </c>
      <c r="J122" s="9">
        <v>42</v>
      </c>
      <c r="K122" s="77">
        <f t="shared" si="19"/>
        <v>84</v>
      </c>
      <c r="L122" s="76">
        <v>46112</v>
      </c>
      <c r="N122" s="83"/>
      <c r="O122" s="84"/>
      <c r="P122" s="81">
        <f t="shared" si="14"/>
        <v>42</v>
      </c>
      <c r="Q122" s="81">
        <f t="shared" si="15"/>
        <v>84</v>
      </c>
      <c r="R122" s="81"/>
      <c r="S122" s="81"/>
      <c r="T122" s="85"/>
      <c r="U122" s="81">
        <f t="shared" si="16"/>
        <v>42</v>
      </c>
      <c r="V122" s="81">
        <f t="shared" si="17"/>
        <v>2</v>
      </c>
      <c r="W122" s="82">
        <f t="shared" si="18"/>
        <v>84</v>
      </c>
      <c r="X122" s="82" t="s">
        <v>84</v>
      </c>
      <c r="Y122" s="24" t="s">
        <v>93</v>
      </c>
    </row>
    <row r="123" spans="1:25" s="24" customFormat="1" ht="11.1" customHeight="1">
      <c r="A123" s="74">
        <f t="shared" si="13"/>
        <v>121</v>
      </c>
      <c r="B123" s="75" t="s">
        <v>177</v>
      </c>
      <c r="C123" s="74" t="str">
        <f>IF($B123&lt;&gt;"",_xlfn.IFNA(VLOOKUP($B123,'Node Details'!$B:$U,C$1,0),"Check"),"")</f>
        <v>AXY030201-AXY030204</v>
      </c>
      <c r="D123" s="74" t="str">
        <f>IF($B123&lt;&gt;"",_xlfn.IFNA(VLOOKUP($B123,'Node Details'!$B:$U,D$1,0),"Check"),"")</f>
        <v>AXY</v>
      </c>
      <c r="E123" s="74" t="str">
        <f>IF($B123&lt;&gt;"",_xlfn.IFNA(VLOOKUP($B123,'Node Details'!$B:$U,E$1,0),"Check"),"")</f>
        <v>Airtel</v>
      </c>
      <c r="F123" s="76">
        <v>46113</v>
      </c>
      <c r="G123" s="74"/>
      <c r="H123" s="10" t="s">
        <v>22</v>
      </c>
      <c r="I123" s="9">
        <v>2</v>
      </c>
      <c r="J123" s="9">
        <v>42</v>
      </c>
      <c r="K123" s="77">
        <f t="shared" si="19"/>
        <v>84</v>
      </c>
      <c r="L123" s="76">
        <v>46112</v>
      </c>
      <c r="N123" s="83"/>
      <c r="O123" s="84"/>
      <c r="P123" s="81">
        <f t="shared" si="14"/>
        <v>42</v>
      </c>
      <c r="Q123" s="81">
        <f t="shared" si="15"/>
        <v>84</v>
      </c>
      <c r="R123" s="81"/>
      <c r="S123" s="81"/>
      <c r="T123" s="85"/>
      <c r="U123" s="81">
        <f t="shared" si="16"/>
        <v>42</v>
      </c>
      <c r="V123" s="81">
        <f t="shared" si="17"/>
        <v>2</v>
      </c>
      <c r="W123" s="82">
        <f t="shared" si="18"/>
        <v>84</v>
      </c>
      <c r="X123" s="82" t="s">
        <v>84</v>
      </c>
      <c r="Y123" s="24" t="s">
        <v>93</v>
      </c>
    </row>
    <row r="124" spans="1:25" s="24" customFormat="1" ht="11.1" customHeight="1">
      <c r="A124" s="74">
        <f t="shared" si="13"/>
        <v>122</v>
      </c>
      <c r="B124" s="75" t="s">
        <v>179</v>
      </c>
      <c r="C124" s="74" t="str">
        <f>IF($B124&lt;&gt;"",_xlfn.IFNA(VLOOKUP($B124,'Node Details'!$B:$U,C$1,0),"Check"),"")</f>
        <v>0000AXY04-AXY040101</v>
      </c>
      <c r="D124" s="74" t="str">
        <f>IF($B124&lt;&gt;"",_xlfn.IFNA(VLOOKUP($B124,'Node Details'!$B:$U,D$1,0),"Check"),"")</f>
        <v>AXY</v>
      </c>
      <c r="E124" s="74" t="str">
        <f>IF($B124&lt;&gt;"",_xlfn.IFNA(VLOOKUP($B124,'Node Details'!$B:$U,E$1,0),"Check"),"")</f>
        <v>Airtel</v>
      </c>
      <c r="F124" s="76">
        <v>46113</v>
      </c>
      <c r="G124" s="74"/>
      <c r="H124" s="10" t="s">
        <v>22</v>
      </c>
      <c r="I124" s="9">
        <v>2</v>
      </c>
      <c r="J124" s="9">
        <v>42</v>
      </c>
      <c r="K124" s="77">
        <f t="shared" si="19"/>
        <v>84</v>
      </c>
      <c r="L124" s="76">
        <v>46112</v>
      </c>
      <c r="N124" s="83"/>
      <c r="O124" s="84"/>
      <c r="P124" s="81">
        <f t="shared" si="14"/>
        <v>42</v>
      </c>
      <c r="Q124" s="81">
        <f t="shared" si="15"/>
        <v>84</v>
      </c>
      <c r="R124" s="81"/>
      <c r="S124" s="81"/>
      <c r="T124" s="85"/>
      <c r="U124" s="81">
        <f t="shared" si="16"/>
        <v>42</v>
      </c>
      <c r="V124" s="81">
        <f t="shared" si="17"/>
        <v>2</v>
      </c>
      <c r="W124" s="82">
        <f t="shared" si="18"/>
        <v>84</v>
      </c>
      <c r="X124" s="82" t="s">
        <v>84</v>
      </c>
      <c r="Y124" s="24" t="s">
        <v>93</v>
      </c>
    </row>
    <row r="125" spans="1:25" s="24" customFormat="1" ht="11.1" customHeight="1">
      <c r="A125" s="74">
        <f t="shared" si="13"/>
        <v>123</v>
      </c>
      <c r="B125" s="75" t="s">
        <v>982</v>
      </c>
      <c r="C125" s="74" t="str">
        <f>IF($B125&lt;&gt;"",_xlfn.IFNA(VLOOKUP($B125,'Node Details'!$B:$U,C$1,0),"Check"),"")</f>
        <v>0000AXY04-00AXY-FMS</v>
      </c>
      <c r="D125" s="74" t="str">
        <f>IF($B125&lt;&gt;"",_xlfn.IFNA(VLOOKUP($B125,'Node Details'!$B:$U,D$1,0),"Check"),"")</f>
        <v>AXY</v>
      </c>
      <c r="E125" s="74" t="str">
        <f>IF($B125&lt;&gt;"",_xlfn.IFNA(VLOOKUP($B125,'Node Details'!$B:$U,E$1,0),"Check"),"")</f>
        <v>Airtel</v>
      </c>
      <c r="F125" s="76">
        <v>46113</v>
      </c>
      <c r="G125" s="74"/>
      <c r="H125" s="10" t="s">
        <v>22</v>
      </c>
      <c r="I125" s="9">
        <v>2</v>
      </c>
      <c r="J125" s="9">
        <v>42</v>
      </c>
      <c r="K125" s="77">
        <f t="shared" si="19"/>
        <v>84</v>
      </c>
      <c r="L125" s="76">
        <v>46112</v>
      </c>
      <c r="N125" s="83"/>
      <c r="O125" s="84"/>
      <c r="P125" s="81">
        <f t="shared" si="14"/>
        <v>42</v>
      </c>
      <c r="Q125" s="81">
        <f t="shared" si="15"/>
        <v>84</v>
      </c>
      <c r="R125" s="81"/>
      <c r="S125" s="81"/>
      <c r="T125" s="85"/>
      <c r="U125" s="81">
        <f t="shared" si="16"/>
        <v>42</v>
      </c>
      <c r="V125" s="81">
        <f t="shared" si="17"/>
        <v>2</v>
      </c>
      <c r="W125" s="82">
        <f t="shared" si="18"/>
        <v>84</v>
      </c>
      <c r="X125" s="82" t="s">
        <v>84</v>
      </c>
      <c r="Y125" s="24" t="s">
        <v>93</v>
      </c>
    </row>
    <row r="126" spans="1:25" s="24" customFormat="1" ht="11.1" customHeight="1">
      <c r="A126" s="74">
        <f t="shared" si="13"/>
        <v>124</v>
      </c>
      <c r="B126" s="75" t="s">
        <v>983</v>
      </c>
      <c r="C126" s="74" t="str">
        <f>IF($B126&lt;&gt;"",_xlfn.IFNA(VLOOKUP($B126,'Node Details'!$B:$U,C$1,0),"Check"),"")</f>
        <v>00AXY-FMS-AXY040108</v>
      </c>
      <c r="D126" s="74" t="str">
        <f>IF($B126&lt;&gt;"",_xlfn.IFNA(VLOOKUP($B126,'Node Details'!$B:$U,D$1,0),"Check"),"")</f>
        <v>AXY</v>
      </c>
      <c r="E126" s="74" t="str">
        <f>IF($B126&lt;&gt;"",_xlfn.IFNA(VLOOKUP($B126,'Node Details'!$B:$U,E$1,0),"Check"),"")</f>
        <v>Airtel</v>
      </c>
      <c r="F126" s="76">
        <v>46113</v>
      </c>
      <c r="G126" s="74"/>
      <c r="H126" s="10" t="s">
        <v>22</v>
      </c>
      <c r="I126" s="9">
        <v>2</v>
      </c>
      <c r="J126" s="9">
        <v>42</v>
      </c>
      <c r="K126" s="77">
        <f t="shared" si="19"/>
        <v>84</v>
      </c>
      <c r="L126" s="76">
        <v>46112</v>
      </c>
      <c r="N126" s="83"/>
      <c r="O126" s="84"/>
      <c r="P126" s="81">
        <f t="shared" si="14"/>
        <v>42</v>
      </c>
      <c r="Q126" s="81">
        <f t="shared" si="15"/>
        <v>84</v>
      </c>
      <c r="R126" s="81"/>
      <c r="S126" s="81"/>
      <c r="T126" s="85"/>
      <c r="U126" s="81">
        <f t="shared" si="16"/>
        <v>42</v>
      </c>
      <c r="V126" s="81">
        <f t="shared" si="17"/>
        <v>2</v>
      </c>
      <c r="W126" s="82">
        <f t="shared" si="18"/>
        <v>84</v>
      </c>
      <c r="X126" s="82" t="s">
        <v>84</v>
      </c>
      <c r="Y126" s="24" t="s">
        <v>93</v>
      </c>
    </row>
    <row r="127" spans="1:25" s="24" customFormat="1" ht="11.1" customHeight="1">
      <c r="A127" s="74">
        <f t="shared" si="13"/>
        <v>125</v>
      </c>
      <c r="B127" s="75" t="s">
        <v>984</v>
      </c>
      <c r="C127" s="74" t="str">
        <f>IF($B127&lt;&gt;"",_xlfn.IFNA(VLOOKUP($B127,'Node Details'!$B:$U,C$1,0),"Check"),"")</f>
        <v>00AXY-FMS-AXY040108</v>
      </c>
      <c r="D127" s="74" t="str">
        <f>IF($B127&lt;&gt;"",_xlfn.IFNA(VLOOKUP($B127,'Node Details'!$B:$U,D$1,0),"Check"),"")</f>
        <v>AXY</v>
      </c>
      <c r="E127" s="74" t="str">
        <f>IF($B127&lt;&gt;"",_xlfn.IFNA(VLOOKUP($B127,'Node Details'!$B:$U,E$1,0),"Check"),"")</f>
        <v>Airtel</v>
      </c>
      <c r="F127" s="76">
        <v>46113</v>
      </c>
      <c r="G127" s="74"/>
      <c r="H127" s="10" t="s">
        <v>22</v>
      </c>
      <c r="I127" s="9">
        <v>2</v>
      </c>
      <c r="J127" s="9">
        <v>42</v>
      </c>
      <c r="K127" s="77">
        <f t="shared" si="19"/>
        <v>84</v>
      </c>
      <c r="L127" s="76">
        <v>46112</v>
      </c>
      <c r="N127" s="83"/>
      <c r="O127" s="84"/>
      <c r="P127" s="81">
        <f t="shared" si="14"/>
        <v>42</v>
      </c>
      <c r="Q127" s="81">
        <f t="shared" si="15"/>
        <v>84</v>
      </c>
      <c r="R127" s="81"/>
      <c r="S127" s="81"/>
      <c r="T127" s="85"/>
      <c r="U127" s="81">
        <f t="shared" si="16"/>
        <v>42</v>
      </c>
      <c r="V127" s="81">
        <f t="shared" si="17"/>
        <v>2</v>
      </c>
      <c r="W127" s="82">
        <f t="shared" si="18"/>
        <v>84</v>
      </c>
      <c r="X127" s="82" t="s">
        <v>84</v>
      </c>
      <c r="Y127" s="24" t="s">
        <v>93</v>
      </c>
    </row>
    <row r="128" spans="1:25" s="24" customFormat="1" ht="11.1" customHeight="1">
      <c r="A128" s="74">
        <f t="shared" si="13"/>
        <v>126</v>
      </c>
      <c r="B128" s="75" t="s">
        <v>985</v>
      </c>
      <c r="C128" s="74" t="str">
        <f>IF($B128&lt;&gt;"",_xlfn.IFNA(VLOOKUP($B128,'Node Details'!$B:$U,C$1,0),"Check"),"")</f>
        <v>00AXY-FMS-AXY040108</v>
      </c>
      <c r="D128" s="74" t="str">
        <f>IF($B128&lt;&gt;"",_xlfn.IFNA(VLOOKUP($B128,'Node Details'!$B:$U,D$1,0),"Check"),"")</f>
        <v>AXY</v>
      </c>
      <c r="E128" s="74" t="str">
        <f>IF($B128&lt;&gt;"",_xlfn.IFNA(VLOOKUP($B128,'Node Details'!$B:$U,E$1,0),"Check"),"")</f>
        <v>Airtel</v>
      </c>
      <c r="F128" s="76">
        <v>46113</v>
      </c>
      <c r="G128" s="74"/>
      <c r="H128" s="10" t="s">
        <v>22</v>
      </c>
      <c r="I128" s="9">
        <v>2</v>
      </c>
      <c r="J128" s="9">
        <v>42</v>
      </c>
      <c r="K128" s="77">
        <f t="shared" si="19"/>
        <v>84</v>
      </c>
      <c r="L128" s="76">
        <v>46112</v>
      </c>
      <c r="N128" s="83"/>
      <c r="O128" s="84"/>
      <c r="P128" s="81">
        <f t="shared" si="14"/>
        <v>42</v>
      </c>
      <c r="Q128" s="81">
        <f t="shared" si="15"/>
        <v>84</v>
      </c>
      <c r="R128" s="81"/>
      <c r="S128" s="81"/>
      <c r="T128" s="85"/>
      <c r="U128" s="81">
        <f t="shared" si="16"/>
        <v>42</v>
      </c>
      <c r="V128" s="81">
        <f t="shared" si="17"/>
        <v>2</v>
      </c>
      <c r="W128" s="82">
        <f t="shared" si="18"/>
        <v>84</v>
      </c>
      <c r="X128" s="82" t="s">
        <v>84</v>
      </c>
      <c r="Y128" s="24" t="s">
        <v>93</v>
      </c>
    </row>
    <row r="129" spans="1:25" s="24" customFormat="1" ht="11.1" customHeight="1">
      <c r="A129" s="74">
        <f t="shared" si="13"/>
        <v>127</v>
      </c>
      <c r="B129" s="75" t="s">
        <v>184</v>
      </c>
      <c r="C129" s="74" t="str">
        <f>IF($B129&lt;&gt;"",_xlfn.IFNA(VLOOKUP($B129,'Node Details'!$B:$U,C$1,0),"Check"),"")</f>
        <v>00AXY-FMS-AXY040108</v>
      </c>
      <c r="D129" s="74" t="str">
        <f>IF($B129&lt;&gt;"",_xlfn.IFNA(VLOOKUP($B129,'Node Details'!$B:$U,D$1,0),"Check"),"")</f>
        <v>AXY</v>
      </c>
      <c r="E129" s="74" t="str">
        <f>IF($B129&lt;&gt;"",_xlfn.IFNA(VLOOKUP($B129,'Node Details'!$B:$U,E$1,0),"Check"),"")</f>
        <v>Airtel</v>
      </c>
      <c r="F129" s="76">
        <v>46113</v>
      </c>
      <c r="G129" s="74"/>
      <c r="H129" s="10" t="s">
        <v>22</v>
      </c>
      <c r="I129" s="9">
        <v>2</v>
      </c>
      <c r="J129" s="9">
        <v>42</v>
      </c>
      <c r="K129" s="77">
        <f t="shared" si="19"/>
        <v>84</v>
      </c>
      <c r="L129" s="76">
        <v>46112</v>
      </c>
      <c r="N129" s="83"/>
      <c r="O129" s="84"/>
      <c r="P129" s="81">
        <f t="shared" si="14"/>
        <v>42</v>
      </c>
      <c r="Q129" s="81">
        <f t="shared" si="15"/>
        <v>84</v>
      </c>
      <c r="R129" s="81"/>
      <c r="S129" s="81"/>
      <c r="T129" s="85"/>
      <c r="U129" s="81">
        <f t="shared" si="16"/>
        <v>42</v>
      </c>
      <c r="V129" s="81">
        <f t="shared" si="17"/>
        <v>2</v>
      </c>
      <c r="W129" s="82">
        <f t="shared" si="18"/>
        <v>84</v>
      </c>
      <c r="X129" s="82" t="s">
        <v>84</v>
      </c>
      <c r="Y129" s="24" t="s">
        <v>93</v>
      </c>
    </row>
    <row r="130" spans="1:25" s="24" customFormat="1" ht="11.1" customHeight="1">
      <c r="A130" s="74">
        <f t="shared" si="13"/>
        <v>128</v>
      </c>
      <c r="B130" s="75" t="s">
        <v>187</v>
      </c>
      <c r="C130" s="74" t="str">
        <f>IF($B130&lt;&gt;"",_xlfn.IFNA(VLOOKUP($B130,'Node Details'!$B:$U,C$1,0),"Check"),"")</f>
        <v>0000AXY04-AXY040201</v>
      </c>
      <c r="D130" s="74" t="str">
        <f>IF($B130&lt;&gt;"",_xlfn.IFNA(VLOOKUP($B130,'Node Details'!$B:$U,D$1,0),"Check"),"")</f>
        <v>AXY</v>
      </c>
      <c r="E130" s="74" t="str">
        <f>IF($B130&lt;&gt;"",_xlfn.IFNA(VLOOKUP($B130,'Node Details'!$B:$U,E$1,0),"Check"),"")</f>
        <v>Airtel</v>
      </c>
      <c r="F130" s="76">
        <v>46113</v>
      </c>
      <c r="G130" s="74"/>
      <c r="H130" s="10" t="s">
        <v>22</v>
      </c>
      <c r="I130" s="9">
        <v>2</v>
      </c>
      <c r="J130" s="9">
        <v>42</v>
      </c>
      <c r="K130" s="77">
        <f t="shared" si="19"/>
        <v>84</v>
      </c>
      <c r="L130" s="76">
        <v>46112</v>
      </c>
      <c r="N130" s="83"/>
      <c r="O130" s="84"/>
      <c r="P130" s="81">
        <f t="shared" si="14"/>
        <v>42</v>
      </c>
      <c r="Q130" s="81">
        <f t="shared" si="15"/>
        <v>84</v>
      </c>
      <c r="R130" s="81"/>
      <c r="S130" s="81"/>
      <c r="T130" s="85"/>
      <c r="U130" s="81">
        <f t="shared" si="16"/>
        <v>42</v>
      </c>
      <c r="V130" s="81">
        <f t="shared" si="17"/>
        <v>2</v>
      </c>
      <c r="W130" s="82">
        <f t="shared" si="18"/>
        <v>84</v>
      </c>
      <c r="X130" s="82" t="s">
        <v>84</v>
      </c>
      <c r="Y130" s="24" t="s">
        <v>93</v>
      </c>
    </row>
    <row r="131" spans="1:25" s="24" customFormat="1" ht="11.1" customHeight="1">
      <c r="A131" s="74">
        <f t="shared" si="13"/>
        <v>129</v>
      </c>
      <c r="B131" s="75" t="s">
        <v>986</v>
      </c>
      <c r="C131" s="74" t="str">
        <f>IF($B131&lt;&gt;"",_xlfn.IFNA(VLOOKUP($B131,'Node Details'!$B:$U,C$1,0),"Check"),"")</f>
        <v>AXY040201-AXY040204</v>
      </c>
      <c r="D131" s="74" t="str">
        <f>IF($B131&lt;&gt;"",_xlfn.IFNA(VLOOKUP($B131,'Node Details'!$B:$U,D$1,0),"Check"),"")</f>
        <v>AXY</v>
      </c>
      <c r="E131" s="74" t="str">
        <f>IF($B131&lt;&gt;"",_xlfn.IFNA(VLOOKUP($B131,'Node Details'!$B:$U,E$1,0),"Check"),"")</f>
        <v>Airtel</v>
      </c>
      <c r="F131" s="76">
        <v>46113</v>
      </c>
      <c r="G131" s="74"/>
      <c r="H131" s="10" t="s">
        <v>22</v>
      </c>
      <c r="I131" s="9">
        <v>2</v>
      </c>
      <c r="J131" s="9">
        <v>42</v>
      </c>
      <c r="K131" s="77">
        <f t="shared" si="19"/>
        <v>84</v>
      </c>
      <c r="L131" s="76">
        <v>46112</v>
      </c>
      <c r="N131" s="83"/>
      <c r="O131" s="84"/>
      <c r="P131" s="81">
        <f t="shared" si="14"/>
        <v>42</v>
      </c>
      <c r="Q131" s="81">
        <f t="shared" si="15"/>
        <v>84</v>
      </c>
      <c r="R131" s="81"/>
      <c r="S131" s="81"/>
      <c r="T131" s="85"/>
      <c r="U131" s="81">
        <f t="shared" si="16"/>
        <v>42</v>
      </c>
      <c r="V131" s="81">
        <f t="shared" si="17"/>
        <v>2</v>
      </c>
      <c r="W131" s="82">
        <f t="shared" si="18"/>
        <v>84</v>
      </c>
      <c r="X131" s="82" t="s">
        <v>84</v>
      </c>
      <c r="Y131" s="24" t="s">
        <v>93</v>
      </c>
    </row>
    <row r="132" spans="1:25" s="24" customFormat="1" ht="11.1" customHeight="1">
      <c r="A132" s="74">
        <f t="shared" ref="A132:A195" si="20">A131+1</f>
        <v>130</v>
      </c>
      <c r="B132" s="75" t="s">
        <v>987</v>
      </c>
      <c r="C132" s="74" t="str">
        <f>IF($B132&lt;&gt;"",_xlfn.IFNA(VLOOKUP($B132,'Node Details'!$B:$U,C$1,0),"Check"),"")</f>
        <v>AXY040201-AXY040204</v>
      </c>
      <c r="D132" s="74" t="str">
        <f>IF($B132&lt;&gt;"",_xlfn.IFNA(VLOOKUP($B132,'Node Details'!$B:$U,D$1,0),"Check"),"")</f>
        <v>AXY</v>
      </c>
      <c r="E132" s="74" t="str">
        <f>IF($B132&lt;&gt;"",_xlfn.IFNA(VLOOKUP($B132,'Node Details'!$B:$U,E$1,0),"Check"),"")</f>
        <v>Airtel</v>
      </c>
      <c r="F132" s="76">
        <v>46113</v>
      </c>
      <c r="G132" s="74"/>
      <c r="H132" s="10" t="s">
        <v>22</v>
      </c>
      <c r="I132" s="9">
        <v>2</v>
      </c>
      <c r="J132" s="9">
        <v>42</v>
      </c>
      <c r="K132" s="77">
        <f t="shared" si="19"/>
        <v>84</v>
      </c>
      <c r="L132" s="76">
        <v>46112</v>
      </c>
      <c r="N132" s="83"/>
      <c r="O132" s="84"/>
      <c r="P132" s="81">
        <f t="shared" si="14"/>
        <v>42</v>
      </c>
      <c r="Q132" s="81">
        <f t="shared" si="15"/>
        <v>84</v>
      </c>
      <c r="R132" s="81"/>
      <c r="S132" s="81"/>
      <c r="T132" s="85"/>
      <c r="U132" s="81">
        <f t="shared" si="16"/>
        <v>42</v>
      </c>
      <c r="V132" s="81">
        <f t="shared" si="17"/>
        <v>2</v>
      </c>
      <c r="W132" s="82">
        <f t="shared" si="18"/>
        <v>84</v>
      </c>
      <c r="X132" s="82" t="s">
        <v>84</v>
      </c>
      <c r="Y132" s="24" t="s">
        <v>93</v>
      </c>
    </row>
    <row r="133" spans="1:25" s="24" customFormat="1" ht="11.1" customHeight="1">
      <c r="A133" s="74">
        <f t="shared" si="20"/>
        <v>131</v>
      </c>
      <c r="B133" s="75" t="s">
        <v>191</v>
      </c>
      <c r="C133" s="74" t="str">
        <f>IF($B133&lt;&gt;"",_xlfn.IFNA(VLOOKUP($B133,'Node Details'!$B:$U,C$1,0),"Check"),"")</f>
        <v>AXY040201-AXY040204</v>
      </c>
      <c r="D133" s="74" t="str">
        <f>IF($B133&lt;&gt;"",_xlfn.IFNA(VLOOKUP($B133,'Node Details'!$B:$U,D$1,0),"Check"),"")</f>
        <v>AXY</v>
      </c>
      <c r="E133" s="74" t="str">
        <f>IF($B133&lt;&gt;"",_xlfn.IFNA(VLOOKUP($B133,'Node Details'!$B:$U,E$1,0),"Check"),"")</f>
        <v>Airtel</v>
      </c>
      <c r="F133" s="76">
        <v>46113</v>
      </c>
      <c r="G133" s="74"/>
      <c r="H133" s="10" t="s">
        <v>22</v>
      </c>
      <c r="I133" s="9">
        <v>2</v>
      </c>
      <c r="J133" s="9">
        <v>42</v>
      </c>
      <c r="K133" s="77">
        <f t="shared" si="19"/>
        <v>84</v>
      </c>
      <c r="L133" s="76">
        <v>46112</v>
      </c>
      <c r="N133" s="83"/>
      <c r="O133" s="84"/>
      <c r="P133" s="81">
        <f t="shared" si="14"/>
        <v>42</v>
      </c>
      <c r="Q133" s="81">
        <f t="shared" si="15"/>
        <v>84</v>
      </c>
      <c r="R133" s="81"/>
      <c r="S133" s="81"/>
      <c r="T133" s="85"/>
      <c r="U133" s="81">
        <f t="shared" si="16"/>
        <v>42</v>
      </c>
      <c r="V133" s="81">
        <f t="shared" si="17"/>
        <v>2</v>
      </c>
      <c r="W133" s="82">
        <f t="shared" si="18"/>
        <v>84</v>
      </c>
      <c r="X133" s="82" t="s">
        <v>84</v>
      </c>
      <c r="Y133" s="24" t="s">
        <v>93</v>
      </c>
    </row>
    <row r="134" spans="1:25" s="24" customFormat="1" ht="11.1" customHeight="1">
      <c r="A134" s="74">
        <f t="shared" si="20"/>
        <v>132</v>
      </c>
      <c r="B134" s="75" t="s">
        <v>194</v>
      </c>
      <c r="C134" s="74" t="str">
        <f>IF($B134&lt;&gt;"",_xlfn.IFNA(VLOOKUP($B134,'Node Details'!$B:$U,C$1,0),"Check"),"")</f>
        <v>0000AXY05-AXY050101</v>
      </c>
      <c r="D134" s="74" t="str">
        <f>IF($B134&lt;&gt;"",_xlfn.IFNA(VLOOKUP($B134,'Node Details'!$B:$U,D$1,0),"Check"),"")</f>
        <v>AXY</v>
      </c>
      <c r="E134" s="74" t="str">
        <f>IF($B134&lt;&gt;"",_xlfn.IFNA(VLOOKUP($B134,'Node Details'!$B:$U,E$1,0),"Check"),"")</f>
        <v>Airtel</v>
      </c>
      <c r="F134" s="76">
        <v>46113</v>
      </c>
      <c r="G134" s="74"/>
      <c r="H134" s="10" t="s">
        <v>22</v>
      </c>
      <c r="I134" s="9">
        <v>2</v>
      </c>
      <c r="J134" s="9">
        <v>42</v>
      </c>
      <c r="K134" s="77">
        <f t="shared" si="19"/>
        <v>84</v>
      </c>
      <c r="L134" s="76">
        <v>46112</v>
      </c>
      <c r="N134" s="83"/>
      <c r="O134" s="84"/>
      <c r="P134" s="81">
        <f t="shared" si="14"/>
        <v>42</v>
      </c>
      <c r="Q134" s="81">
        <f t="shared" si="15"/>
        <v>84</v>
      </c>
      <c r="R134" s="81"/>
      <c r="S134" s="81"/>
      <c r="T134" s="85"/>
      <c r="U134" s="81">
        <f t="shared" si="16"/>
        <v>42</v>
      </c>
      <c r="V134" s="81">
        <f t="shared" si="17"/>
        <v>2</v>
      </c>
      <c r="W134" s="82">
        <f t="shared" si="18"/>
        <v>84</v>
      </c>
      <c r="X134" s="82" t="s">
        <v>84</v>
      </c>
      <c r="Y134" s="24" t="s">
        <v>93</v>
      </c>
    </row>
    <row r="135" spans="1:25" s="24" customFormat="1" ht="11.1" customHeight="1">
      <c r="A135" s="74">
        <f t="shared" si="20"/>
        <v>133</v>
      </c>
      <c r="B135" s="75" t="s">
        <v>988</v>
      </c>
      <c r="C135" s="74" t="str">
        <f>IF($B135&lt;&gt;"",_xlfn.IFNA(VLOOKUP($B135,'Node Details'!$B:$U,C$1,0),"Check"),"")</f>
        <v>0000AXY5 -AXY050104</v>
      </c>
      <c r="D135" s="74" t="str">
        <f>IF($B135&lt;&gt;"",_xlfn.IFNA(VLOOKUP($B135,'Node Details'!$B:$U,D$1,0),"Check"),"")</f>
        <v>AXY</v>
      </c>
      <c r="E135" s="74" t="str">
        <f>IF($B135&lt;&gt;"",_xlfn.IFNA(VLOOKUP($B135,'Node Details'!$B:$U,E$1,0),"Check"),"")</f>
        <v>Airtel</v>
      </c>
      <c r="F135" s="76">
        <v>46113</v>
      </c>
      <c r="G135" s="74"/>
      <c r="H135" s="10" t="s">
        <v>22</v>
      </c>
      <c r="I135" s="9">
        <v>2</v>
      </c>
      <c r="J135" s="9">
        <v>42</v>
      </c>
      <c r="K135" s="77">
        <f t="shared" si="19"/>
        <v>84</v>
      </c>
      <c r="L135" s="76">
        <v>46112</v>
      </c>
      <c r="N135" s="83"/>
      <c r="O135" s="84"/>
      <c r="P135" s="81">
        <f t="shared" si="14"/>
        <v>42</v>
      </c>
      <c r="Q135" s="81">
        <f t="shared" si="15"/>
        <v>84</v>
      </c>
      <c r="R135" s="81"/>
      <c r="S135" s="81"/>
      <c r="T135" s="85"/>
      <c r="U135" s="81">
        <f t="shared" si="16"/>
        <v>42</v>
      </c>
      <c r="V135" s="81">
        <f t="shared" si="17"/>
        <v>2</v>
      </c>
      <c r="W135" s="82">
        <f t="shared" si="18"/>
        <v>84</v>
      </c>
      <c r="X135" s="82" t="s">
        <v>84</v>
      </c>
      <c r="Y135" s="24" t="s">
        <v>93</v>
      </c>
    </row>
    <row r="136" spans="1:25" s="24" customFormat="1" ht="11.1" customHeight="1">
      <c r="A136" s="74">
        <f t="shared" si="20"/>
        <v>134</v>
      </c>
      <c r="B136" s="75" t="s">
        <v>989</v>
      </c>
      <c r="C136" s="74" t="str">
        <f>IF($B136&lt;&gt;"",_xlfn.IFNA(VLOOKUP($B136,'Node Details'!$B:$U,C$1,0),"Check"),"")</f>
        <v>0000AXY5 -AXY050104</v>
      </c>
      <c r="D136" s="74" t="str">
        <f>IF($B136&lt;&gt;"",_xlfn.IFNA(VLOOKUP($B136,'Node Details'!$B:$U,D$1,0),"Check"),"")</f>
        <v>AXY</v>
      </c>
      <c r="E136" s="74" t="str">
        <f>IF($B136&lt;&gt;"",_xlfn.IFNA(VLOOKUP($B136,'Node Details'!$B:$U,E$1,0),"Check"),"")</f>
        <v>Airtel</v>
      </c>
      <c r="F136" s="76">
        <v>46113</v>
      </c>
      <c r="G136" s="74"/>
      <c r="H136" s="10" t="s">
        <v>22</v>
      </c>
      <c r="I136" s="9">
        <v>2</v>
      </c>
      <c r="J136" s="9">
        <v>42</v>
      </c>
      <c r="K136" s="77">
        <f t="shared" si="19"/>
        <v>84</v>
      </c>
      <c r="L136" s="76">
        <v>46112</v>
      </c>
      <c r="N136" s="83"/>
      <c r="O136" s="84"/>
      <c r="P136" s="81">
        <f t="shared" si="14"/>
        <v>42</v>
      </c>
      <c r="Q136" s="81">
        <f t="shared" si="15"/>
        <v>84</v>
      </c>
      <c r="R136" s="81"/>
      <c r="S136" s="81"/>
      <c r="T136" s="85"/>
      <c r="U136" s="81">
        <f t="shared" si="16"/>
        <v>42</v>
      </c>
      <c r="V136" s="81">
        <f t="shared" si="17"/>
        <v>2</v>
      </c>
      <c r="W136" s="82">
        <f t="shared" si="18"/>
        <v>84</v>
      </c>
      <c r="X136" s="82" t="s">
        <v>84</v>
      </c>
      <c r="Y136" s="24" t="s">
        <v>93</v>
      </c>
    </row>
    <row r="137" spans="1:25" s="24" customFormat="1" ht="11.1" customHeight="1">
      <c r="A137" s="74">
        <f t="shared" si="20"/>
        <v>135</v>
      </c>
      <c r="B137" s="75" t="s">
        <v>198</v>
      </c>
      <c r="C137" s="74" t="str">
        <f>IF($B137&lt;&gt;"",_xlfn.IFNA(VLOOKUP($B137,'Node Details'!$B:$U,C$1,0),"Check"),"")</f>
        <v>0000AXY5 -AXY050104</v>
      </c>
      <c r="D137" s="74" t="str">
        <f>IF($B137&lt;&gt;"",_xlfn.IFNA(VLOOKUP($B137,'Node Details'!$B:$U,D$1,0),"Check"),"")</f>
        <v>AXY</v>
      </c>
      <c r="E137" s="74" t="str">
        <f>IF($B137&lt;&gt;"",_xlfn.IFNA(VLOOKUP($B137,'Node Details'!$B:$U,E$1,0),"Check"),"")</f>
        <v>Airtel</v>
      </c>
      <c r="F137" s="76">
        <v>46113</v>
      </c>
      <c r="G137" s="74"/>
      <c r="H137" s="10" t="s">
        <v>22</v>
      </c>
      <c r="I137" s="9">
        <v>2</v>
      </c>
      <c r="J137" s="9">
        <v>42</v>
      </c>
      <c r="K137" s="77">
        <f t="shared" si="19"/>
        <v>84</v>
      </c>
      <c r="L137" s="76">
        <v>46112</v>
      </c>
      <c r="N137" s="83"/>
      <c r="O137" s="84"/>
      <c r="P137" s="81">
        <f t="shared" si="14"/>
        <v>42</v>
      </c>
      <c r="Q137" s="81">
        <f t="shared" si="15"/>
        <v>84</v>
      </c>
      <c r="R137" s="81"/>
      <c r="S137" s="81"/>
      <c r="T137" s="85"/>
      <c r="U137" s="81">
        <f t="shared" si="16"/>
        <v>42</v>
      </c>
      <c r="V137" s="81">
        <f t="shared" si="17"/>
        <v>2</v>
      </c>
      <c r="W137" s="82">
        <f t="shared" si="18"/>
        <v>84</v>
      </c>
      <c r="X137" s="82" t="s">
        <v>84</v>
      </c>
      <c r="Y137" s="24" t="s">
        <v>93</v>
      </c>
    </row>
    <row r="138" spans="1:25" s="24" customFormat="1" ht="11.1" customHeight="1">
      <c r="A138" s="74">
        <f t="shared" si="20"/>
        <v>136</v>
      </c>
      <c r="B138" s="75" t="s">
        <v>204</v>
      </c>
      <c r="C138" s="74" t="str">
        <f>IF($B138&lt;&gt;"",_xlfn.IFNA(VLOOKUP($B138,'Node Details'!$B:$U,C$1,0),"Check"),"")</f>
        <v>0000AXY05-AXY050107</v>
      </c>
      <c r="D138" s="74" t="str">
        <f>IF($B138&lt;&gt;"",_xlfn.IFNA(VLOOKUP($B138,'Node Details'!$B:$U,D$1,0),"Check"),"")</f>
        <v>AXY</v>
      </c>
      <c r="E138" s="74" t="str">
        <f>IF($B138&lt;&gt;"",_xlfn.IFNA(VLOOKUP($B138,'Node Details'!$B:$U,E$1,0),"Check"),"")</f>
        <v>Airtel</v>
      </c>
      <c r="F138" s="76">
        <v>46113</v>
      </c>
      <c r="G138" s="74"/>
      <c r="H138" s="10" t="s">
        <v>22</v>
      </c>
      <c r="I138" s="9">
        <v>2</v>
      </c>
      <c r="J138" s="9">
        <v>42</v>
      </c>
      <c r="K138" s="77">
        <f t="shared" si="19"/>
        <v>84</v>
      </c>
      <c r="L138" s="76">
        <v>46112</v>
      </c>
      <c r="N138" s="83"/>
      <c r="O138" s="84"/>
      <c r="P138" s="81">
        <f t="shared" si="14"/>
        <v>42</v>
      </c>
      <c r="Q138" s="81">
        <f t="shared" si="15"/>
        <v>84</v>
      </c>
      <c r="R138" s="81"/>
      <c r="S138" s="81"/>
      <c r="T138" s="85"/>
      <c r="U138" s="81">
        <f t="shared" si="16"/>
        <v>42</v>
      </c>
      <c r="V138" s="81">
        <f t="shared" si="17"/>
        <v>2</v>
      </c>
      <c r="W138" s="82">
        <f t="shared" si="18"/>
        <v>84</v>
      </c>
      <c r="X138" s="82" t="s">
        <v>84</v>
      </c>
      <c r="Y138" s="24" t="s">
        <v>93</v>
      </c>
    </row>
    <row r="139" spans="1:25" s="24" customFormat="1" ht="11.1" customHeight="1">
      <c r="A139" s="74">
        <f t="shared" si="20"/>
        <v>137</v>
      </c>
      <c r="B139" s="75" t="s">
        <v>990</v>
      </c>
      <c r="C139" s="74" t="str">
        <f>IF($B139&lt;&gt;"",_xlfn.IFNA(VLOOKUP($B139,'Node Details'!$B:$U,C$1,0),"Check"),"")</f>
        <v>0000AXY05-AXY050107</v>
      </c>
      <c r="D139" s="74" t="str">
        <f>IF($B139&lt;&gt;"",_xlfn.IFNA(VLOOKUP($B139,'Node Details'!$B:$U,D$1,0),"Check"),"")</f>
        <v>AXY</v>
      </c>
      <c r="E139" s="74" t="str">
        <f>IF($B139&lt;&gt;"",_xlfn.IFNA(VLOOKUP($B139,'Node Details'!$B:$U,E$1,0),"Check"),"")</f>
        <v>Airtel</v>
      </c>
      <c r="F139" s="76">
        <v>46113</v>
      </c>
      <c r="G139" s="74"/>
      <c r="H139" s="10" t="s">
        <v>22</v>
      </c>
      <c r="I139" s="9">
        <v>2</v>
      </c>
      <c r="J139" s="9">
        <v>42</v>
      </c>
      <c r="K139" s="77">
        <f t="shared" si="19"/>
        <v>84</v>
      </c>
      <c r="L139" s="76">
        <v>46112</v>
      </c>
      <c r="N139" s="83"/>
      <c r="O139" s="84"/>
      <c r="P139" s="81">
        <f t="shared" si="14"/>
        <v>42</v>
      </c>
      <c r="Q139" s="81">
        <f t="shared" si="15"/>
        <v>84</v>
      </c>
      <c r="R139" s="81"/>
      <c r="S139" s="81"/>
      <c r="T139" s="85"/>
      <c r="U139" s="81">
        <f t="shared" si="16"/>
        <v>42</v>
      </c>
      <c r="V139" s="81">
        <f t="shared" si="17"/>
        <v>2</v>
      </c>
      <c r="W139" s="82">
        <f t="shared" si="18"/>
        <v>84</v>
      </c>
      <c r="X139" s="82" t="s">
        <v>84</v>
      </c>
      <c r="Y139" s="24" t="s">
        <v>93</v>
      </c>
    </row>
    <row r="140" spans="1:25" s="24" customFormat="1" ht="11.1" customHeight="1">
      <c r="A140" s="74">
        <f t="shared" si="20"/>
        <v>138</v>
      </c>
      <c r="B140" s="75" t="s">
        <v>201</v>
      </c>
      <c r="C140" s="74" t="str">
        <f>IF($B140&lt;&gt;"",_xlfn.IFNA(VLOOKUP($B140,'Node Details'!$B:$U,C$1,0),"Check"),"")</f>
        <v>0000AXY05-AXY050107</v>
      </c>
      <c r="D140" s="74" t="str">
        <f>IF($B140&lt;&gt;"",_xlfn.IFNA(VLOOKUP($B140,'Node Details'!$B:$U,D$1,0),"Check"),"")</f>
        <v>AXY</v>
      </c>
      <c r="E140" s="74" t="str">
        <f>IF($B140&lt;&gt;"",_xlfn.IFNA(VLOOKUP($B140,'Node Details'!$B:$U,E$1,0),"Check"),"")</f>
        <v>Airtel</v>
      </c>
      <c r="F140" s="76">
        <v>46113</v>
      </c>
      <c r="G140" s="74"/>
      <c r="H140" s="10" t="s">
        <v>22</v>
      </c>
      <c r="I140" s="9">
        <v>2</v>
      </c>
      <c r="J140" s="9">
        <v>42</v>
      </c>
      <c r="K140" s="77">
        <f t="shared" si="19"/>
        <v>84</v>
      </c>
      <c r="L140" s="76">
        <v>46112</v>
      </c>
      <c r="N140" s="83"/>
      <c r="O140" s="84"/>
      <c r="P140" s="81">
        <f t="shared" si="14"/>
        <v>42</v>
      </c>
      <c r="Q140" s="81">
        <f t="shared" si="15"/>
        <v>84</v>
      </c>
      <c r="R140" s="81"/>
      <c r="S140" s="81"/>
      <c r="T140" s="85"/>
      <c r="U140" s="81">
        <f t="shared" si="16"/>
        <v>42</v>
      </c>
      <c r="V140" s="81">
        <f t="shared" si="17"/>
        <v>2</v>
      </c>
      <c r="W140" s="82">
        <f t="shared" si="18"/>
        <v>84</v>
      </c>
      <c r="X140" s="82" t="s">
        <v>84</v>
      </c>
      <c r="Y140" s="24" t="s">
        <v>93</v>
      </c>
    </row>
    <row r="141" spans="1:25" s="24" customFormat="1" ht="11.1" customHeight="1">
      <c r="A141" s="74">
        <f t="shared" si="20"/>
        <v>139</v>
      </c>
      <c r="B141" s="75" t="s">
        <v>991</v>
      </c>
      <c r="C141" s="74" t="str">
        <f>IF($B141&lt;&gt;"",_xlfn.IFNA(VLOOKUP($B141,'Node Details'!$B:$U,C$1,0),"Check"),"")</f>
        <v>AXY050105-AXY050202</v>
      </c>
      <c r="D141" s="74" t="str">
        <f>IF($B141&lt;&gt;"",_xlfn.IFNA(VLOOKUP($B141,'Node Details'!$B:$U,D$1,0),"Check"),"")</f>
        <v>AXY</v>
      </c>
      <c r="E141" s="74" t="str">
        <f>IF($B141&lt;&gt;"",_xlfn.IFNA(VLOOKUP($B141,'Node Details'!$B:$U,E$1,0),"Check"),"")</f>
        <v>Airtel</v>
      </c>
      <c r="F141" s="76">
        <v>46113</v>
      </c>
      <c r="G141" s="74"/>
      <c r="H141" s="10" t="s">
        <v>22</v>
      </c>
      <c r="I141" s="9">
        <v>2</v>
      </c>
      <c r="J141" s="9">
        <v>42</v>
      </c>
      <c r="K141" s="77">
        <f t="shared" si="19"/>
        <v>84</v>
      </c>
      <c r="L141" s="76">
        <v>46112</v>
      </c>
      <c r="N141" s="83"/>
      <c r="O141" s="84"/>
      <c r="P141" s="81">
        <f t="shared" si="14"/>
        <v>42</v>
      </c>
      <c r="Q141" s="81">
        <f t="shared" si="15"/>
        <v>84</v>
      </c>
      <c r="R141" s="81"/>
      <c r="S141" s="81"/>
      <c r="T141" s="85"/>
      <c r="U141" s="81">
        <f t="shared" si="16"/>
        <v>42</v>
      </c>
      <c r="V141" s="81">
        <f t="shared" si="17"/>
        <v>2</v>
      </c>
      <c r="W141" s="82">
        <f t="shared" si="18"/>
        <v>84</v>
      </c>
      <c r="X141" s="82" t="s">
        <v>84</v>
      </c>
      <c r="Y141" s="24" t="s">
        <v>93</v>
      </c>
    </row>
    <row r="142" spans="1:25" s="24" customFormat="1" ht="11.1" customHeight="1">
      <c r="A142" s="74">
        <f t="shared" si="20"/>
        <v>140</v>
      </c>
      <c r="B142" s="75" t="s">
        <v>992</v>
      </c>
      <c r="C142" s="74" t="str">
        <f>IF($B142&lt;&gt;"",_xlfn.IFNA(VLOOKUP($B142,'Node Details'!$B:$U,C$1,0),"Check"),"")</f>
        <v>AXY050105-AXY050202</v>
      </c>
      <c r="D142" s="74" t="str">
        <f>IF($B142&lt;&gt;"",_xlfn.IFNA(VLOOKUP($B142,'Node Details'!$B:$U,D$1,0),"Check"),"")</f>
        <v>AXY</v>
      </c>
      <c r="E142" s="74" t="str">
        <f>IF($B142&lt;&gt;"",_xlfn.IFNA(VLOOKUP($B142,'Node Details'!$B:$U,E$1,0),"Check"),"")</f>
        <v>Airtel</v>
      </c>
      <c r="F142" s="76">
        <v>46113</v>
      </c>
      <c r="G142" s="74"/>
      <c r="H142" s="10" t="s">
        <v>22</v>
      </c>
      <c r="I142" s="9">
        <v>2</v>
      </c>
      <c r="J142" s="9">
        <v>42</v>
      </c>
      <c r="K142" s="77">
        <f t="shared" si="19"/>
        <v>84</v>
      </c>
      <c r="L142" s="76">
        <v>46112</v>
      </c>
      <c r="N142" s="83"/>
      <c r="O142" s="84"/>
      <c r="P142" s="81">
        <f t="shared" si="14"/>
        <v>42</v>
      </c>
      <c r="Q142" s="81">
        <f t="shared" si="15"/>
        <v>84</v>
      </c>
      <c r="R142" s="81"/>
      <c r="S142" s="81"/>
      <c r="T142" s="85"/>
      <c r="U142" s="81">
        <f t="shared" si="16"/>
        <v>42</v>
      </c>
      <c r="V142" s="81">
        <f t="shared" si="17"/>
        <v>2</v>
      </c>
      <c r="W142" s="82">
        <f t="shared" si="18"/>
        <v>84</v>
      </c>
      <c r="X142" s="82" t="s">
        <v>84</v>
      </c>
      <c r="Y142" s="24" t="s">
        <v>93</v>
      </c>
    </row>
    <row r="143" spans="1:25" s="24" customFormat="1" ht="11.1" customHeight="1">
      <c r="A143" s="74">
        <f t="shared" si="20"/>
        <v>141</v>
      </c>
      <c r="B143" s="75" t="s">
        <v>205</v>
      </c>
      <c r="C143" s="74" t="str">
        <f>IF($B143&lt;&gt;"",_xlfn.IFNA(VLOOKUP($B143,'Node Details'!$B:$U,C$1,0),"Check"),"")</f>
        <v>AXY050105-AXY050202</v>
      </c>
      <c r="D143" s="74" t="str">
        <f>IF($B143&lt;&gt;"",_xlfn.IFNA(VLOOKUP($B143,'Node Details'!$B:$U,D$1,0),"Check"),"")</f>
        <v>AXY</v>
      </c>
      <c r="E143" s="74" t="str">
        <f>IF($B143&lt;&gt;"",_xlfn.IFNA(VLOOKUP($B143,'Node Details'!$B:$U,E$1,0),"Check"),"")</f>
        <v>Airtel</v>
      </c>
      <c r="F143" s="76">
        <v>46113</v>
      </c>
      <c r="G143" s="74"/>
      <c r="H143" s="10" t="s">
        <v>22</v>
      </c>
      <c r="I143" s="9">
        <v>2</v>
      </c>
      <c r="J143" s="9">
        <v>42</v>
      </c>
      <c r="K143" s="77">
        <f t="shared" si="19"/>
        <v>84</v>
      </c>
      <c r="L143" s="76">
        <v>46112</v>
      </c>
      <c r="N143" s="83"/>
      <c r="O143" s="84"/>
      <c r="P143" s="81">
        <f t="shared" si="14"/>
        <v>42</v>
      </c>
      <c r="Q143" s="81">
        <f t="shared" si="15"/>
        <v>84</v>
      </c>
      <c r="R143" s="81"/>
      <c r="S143" s="81"/>
      <c r="T143" s="85"/>
      <c r="U143" s="81">
        <f t="shared" si="16"/>
        <v>42</v>
      </c>
      <c r="V143" s="81">
        <f t="shared" si="17"/>
        <v>2</v>
      </c>
      <c r="W143" s="82">
        <f t="shared" si="18"/>
        <v>84</v>
      </c>
      <c r="X143" s="82" t="s">
        <v>84</v>
      </c>
      <c r="Y143" s="24" t="s">
        <v>93</v>
      </c>
    </row>
    <row r="144" spans="1:25" s="24" customFormat="1" ht="11.1" customHeight="1">
      <c r="A144" s="74">
        <f t="shared" si="20"/>
        <v>142</v>
      </c>
      <c r="B144" s="75" t="s">
        <v>993</v>
      </c>
      <c r="C144" s="74" t="str">
        <f>IF($B144&lt;&gt;"",_xlfn.IFNA(VLOOKUP($B144,'Node Details'!$B:$U,C$1,0),"Check"),"")</f>
        <v>0000AXY06-AXY060102</v>
      </c>
      <c r="D144" s="74" t="str">
        <f>IF($B144&lt;&gt;"",_xlfn.IFNA(VLOOKUP($B144,'Node Details'!$B:$U,D$1,0),"Check"),"")</f>
        <v>AXY</v>
      </c>
      <c r="E144" s="74" t="str">
        <f>IF($B144&lt;&gt;"",_xlfn.IFNA(VLOOKUP($B144,'Node Details'!$B:$U,E$1,0),"Check"),"")</f>
        <v>Airtel</v>
      </c>
      <c r="F144" s="76">
        <v>46113</v>
      </c>
      <c r="G144" s="74"/>
      <c r="H144" s="10" t="s">
        <v>22</v>
      </c>
      <c r="I144" s="9">
        <v>2</v>
      </c>
      <c r="J144" s="9">
        <v>42</v>
      </c>
      <c r="K144" s="77">
        <f t="shared" si="19"/>
        <v>84</v>
      </c>
      <c r="L144" s="76">
        <v>46112</v>
      </c>
      <c r="N144" s="83"/>
      <c r="O144" s="84"/>
      <c r="P144" s="81">
        <f t="shared" si="14"/>
        <v>42</v>
      </c>
      <c r="Q144" s="81">
        <f t="shared" si="15"/>
        <v>84</v>
      </c>
      <c r="R144" s="81"/>
      <c r="S144" s="81"/>
      <c r="T144" s="85"/>
      <c r="U144" s="81">
        <f t="shared" si="16"/>
        <v>42</v>
      </c>
      <c r="V144" s="81">
        <f t="shared" si="17"/>
        <v>2</v>
      </c>
      <c r="W144" s="82">
        <f t="shared" si="18"/>
        <v>84</v>
      </c>
      <c r="X144" s="82" t="s">
        <v>84</v>
      </c>
      <c r="Y144" s="24" t="s">
        <v>93</v>
      </c>
    </row>
    <row r="145" spans="1:25" s="24" customFormat="1" ht="11.1" customHeight="1">
      <c r="A145" s="74">
        <f t="shared" si="20"/>
        <v>143</v>
      </c>
      <c r="B145" s="75" t="s">
        <v>209</v>
      </c>
      <c r="C145" s="74" t="str">
        <f>IF($B145&lt;&gt;"",_xlfn.IFNA(VLOOKUP($B145,'Node Details'!$B:$U,C$1,0),"Check"),"")</f>
        <v>0000AXY06-AXY060102</v>
      </c>
      <c r="D145" s="74" t="str">
        <f>IF($B145&lt;&gt;"",_xlfn.IFNA(VLOOKUP($B145,'Node Details'!$B:$U,D$1,0),"Check"),"")</f>
        <v>AXY</v>
      </c>
      <c r="E145" s="74" t="str">
        <f>IF($B145&lt;&gt;"",_xlfn.IFNA(VLOOKUP($B145,'Node Details'!$B:$U,E$1,0),"Check"),"")</f>
        <v>Airtel</v>
      </c>
      <c r="F145" s="76">
        <v>46113</v>
      </c>
      <c r="G145" s="74"/>
      <c r="H145" s="10" t="s">
        <v>22</v>
      </c>
      <c r="I145" s="9">
        <v>2</v>
      </c>
      <c r="J145" s="9">
        <v>42</v>
      </c>
      <c r="K145" s="77">
        <f t="shared" si="19"/>
        <v>84</v>
      </c>
      <c r="L145" s="76">
        <v>46112</v>
      </c>
      <c r="N145" s="83"/>
      <c r="O145" s="84"/>
      <c r="P145" s="81">
        <f t="shared" si="14"/>
        <v>42</v>
      </c>
      <c r="Q145" s="81">
        <f t="shared" si="15"/>
        <v>84</v>
      </c>
      <c r="R145" s="81"/>
      <c r="S145" s="81"/>
      <c r="T145" s="85"/>
      <c r="U145" s="81">
        <f t="shared" si="16"/>
        <v>42</v>
      </c>
      <c r="V145" s="81">
        <f t="shared" si="17"/>
        <v>2</v>
      </c>
      <c r="W145" s="82">
        <f t="shared" si="18"/>
        <v>84</v>
      </c>
      <c r="X145" s="82" t="s">
        <v>84</v>
      </c>
      <c r="Y145" s="24" t="s">
        <v>93</v>
      </c>
    </row>
    <row r="146" spans="1:25" s="24" customFormat="1" ht="11.1" customHeight="1">
      <c r="A146" s="74">
        <f t="shared" si="20"/>
        <v>144</v>
      </c>
      <c r="B146" s="75" t="s">
        <v>994</v>
      </c>
      <c r="C146" s="74" t="str">
        <f>IF($B146&lt;&gt;"",_xlfn.IFNA(VLOOKUP($B146,'Node Details'!$B:$U,C$1,0),"Check"),"")</f>
        <v>0000AXY06-AXY060105</v>
      </c>
      <c r="D146" s="74" t="str">
        <f>IF($B146&lt;&gt;"",_xlfn.IFNA(VLOOKUP($B146,'Node Details'!$B:$U,D$1,0),"Check"),"")</f>
        <v>AXY</v>
      </c>
      <c r="E146" s="74" t="str">
        <f>IF($B146&lt;&gt;"",_xlfn.IFNA(VLOOKUP($B146,'Node Details'!$B:$U,E$1,0),"Check"),"")</f>
        <v>Airtel</v>
      </c>
      <c r="F146" s="76">
        <v>46113</v>
      </c>
      <c r="G146" s="74"/>
      <c r="H146" s="10" t="s">
        <v>22</v>
      </c>
      <c r="I146" s="9">
        <v>2</v>
      </c>
      <c r="J146" s="9">
        <v>42</v>
      </c>
      <c r="K146" s="77">
        <f t="shared" si="19"/>
        <v>84</v>
      </c>
      <c r="L146" s="76">
        <v>46112</v>
      </c>
      <c r="N146" s="83"/>
      <c r="O146" s="84"/>
      <c r="P146" s="81">
        <f t="shared" si="14"/>
        <v>42</v>
      </c>
      <c r="Q146" s="81">
        <f t="shared" si="15"/>
        <v>84</v>
      </c>
      <c r="R146" s="81"/>
      <c r="S146" s="81"/>
      <c r="T146" s="85"/>
      <c r="U146" s="81">
        <f t="shared" si="16"/>
        <v>42</v>
      </c>
      <c r="V146" s="81">
        <f t="shared" si="17"/>
        <v>2</v>
      </c>
      <c r="W146" s="82">
        <f t="shared" si="18"/>
        <v>84</v>
      </c>
      <c r="X146" s="82" t="s">
        <v>84</v>
      </c>
      <c r="Y146" s="24" t="s">
        <v>93</v>
      </c>
    </row>
    <row r="147" spans="1:25" s="24" customFormat="1" ht="11.1" customHeight="1">
      <c r="A147" s="74">
        <f t="shared" si="20"/>
        <v>145</v>
      </c>
      <c r="B147" s="75" t="s">
        <v>995</v>
      </c>
      <c r="C147" s="74" t="str">
        <f>IF($B147&lt;&gt;"",_xlfn.IFNA(VLOOKUP($B147,'Node Details'!$B:$U,C$1,0),"Check"),"")</f>
        <v>0000AXY06-AXY060105</v>
      </c>
      <c r="D147" s="74" t="str">
        <f>IF($B147&lt;&gt;"",_xlfn.IFNA(VLOOKUP($B147,'Node Details'!$B:$U,D$1,0),"Check"),"")</f>
        <v>AXY</v>
      </c>
      <c r="E147" s="74" t="str">
        <f>IF($B147&lt;&gt;"",_xlfn.IFNA(VLOOKUP($B147,'Node Details'!$B:$U,E$1,0),"Check"),"")</f>
        <v>Airtel</v>
      </c>
      <c r="F147" s="76">
        <v>46113</v>
      </c>
      <c r="G147" s="74"/>
      <c r="H147" s="10" t="s">
        <v>22</v>
      </c>
      <c r="I147" s="9">
        <v>2</v>
      </c>
      <c r="J147" s="9">
        <v>42</v>
      </c>
      <c r="K147" s="77">
        <f t="shared" si="19"/>
        <v>84</v>
      </c>
      <c r="L147" s="76">
        <v>46112</v>
      </c>
      <c r="N147" s="83"/>
      <c r="O147" s="84"/>
      <c r="P147" s="81">
        <f t="shared" si="14"/>
        <v>42</v>
      </c>
      <c r="Q147" s="81">
        <f t="shared" si="15"/>
        <v>84</v>
      </c>
      <c r="R147" s="81"/>
      <c r="S147" s="81"/>
      <c r="T147" s="85"/>
      <c r="U147" s="81">
        <f t="shared" si="16"/>
        <v>42</v>
      </c>
      <c r="V147" s="81">
        <f t="shared" si="17"/>
        <v>2</v>
      </c>
      <c r="W147" s="82">
        <f t="shared" si="18"/>
        <v>84</v>
      </c>
      <c r="X147" s="82" t="s">
        <v>84</v>
      </c>
      <c r="Y147" s="24" t="s">
        <v>93</v>
      </c>
    </row>
    <row r="148" spans="1:25" s="24" customFormat="1" ht="11.1" customHeight="1">
      <c r="A148" s="74">
        <f t="shared" si="20"/>
        <v>146</v>
      </c>
      <c r="B148" s="75" t="s">
        <v>212</v>
      </c>
      <c r="C148" s="74" t="str">
        <f>IF($B148&lt;&gt;"",_xlfn.IFNA(VLOOKUP($B148,'Node Details'!$B:$U,C$1,0),"Check"),"")</f>
        <v>0000AXY06-AXY060105</v>
      </c>
      <c r="D148" s="74" t="str">
        <f>IF($B148&lt;&gt;"",_xlfn.IFNA(VLOOKUP($B148,'Node Details'!$B:$U,D$1,0),"Check"),"")</f>
        <v>AXY</v>
      </c>
      <c r="E148" s="74" t="str">
        <f>IF($B148&lt;&gt;"",_xlfn.IFNA(VLOOKUP($B148,'Node Details'!$B:$U,E$1,0),"Check"),"")</f>
        <v>Airtel</v>
      </c>
      <c r="F148" s="76">
        <v>46113</v>
      </c>
      <c r="G148" s="74"/>
      <c r="H148" s="10" t="s">
        <v>22</v>
      </c>
      <c r="I148" s="9">
        <v>2</v>
      </c>
      <c r="J148" s="9">
        <v>42</v>
      </c>
      <c r="K148" s="77">
        <f t="shared" si="19"/>
        <v>84</v>
      </c>
      <c r="L148" s="76">
        <v>46112</v>
      </c>
      <c r="N148" s="83"/>
      <c r="O148" s="84"/>
      <c r="P148" s="81">
        <f t="shared" si="14"/>
        <v>42</v>
      </c>
      <c r="Q148" s="81">
        <f t="shared" si="15"/>
        <v>84</v>
      </c>
      <c r="R148" s="81"/>
      <c r="S148" s="81"/>
      <c r="T148" s="85"/>
      <c r="U148" s="81">
        <f t="shared" si="16"/>
        <v>42</v>
      </c>
      <c r="V148" s="81">
        <f t="shared" si="17"/>
        <v>2</v>
      </c>
      <c r="W148" s="82">
        <f t="shared" si="18"/>
        <v>84</v>
      </c>
      <c r="X148" s="82" t="s">
        <v>84</v>
      </c>
      <c r="Y148" s="24" t="s">
        <v>93</v>
      </c>
    </row>
    <row r="149" spans="1:25" s="24" customFormat="1" ht="11.1" customHeight="1">
      <c r="A149" s="74">
        <f t="shared" si="20"/>
        <v>147</v>
      </c>
      <c r="B149" s="75" t="s">
        <v>996</v>
      </c>
      <c r="C149" s="74" t="str">
        <f>IF($B149&lt;&gt;"",_xlfn.IFNA(VLOOKUP($B149,'Node Details'!$B:$U,C$1,0),"Check"),"")</f>
        <v>0000AXY06-AXY060201</v>
      </c>
      <c r="D149" s="74" t="str">
        <f>IF($B149&lt;&gt;"",_xlfn.IFNA(VLOOKUP($B149,'Node Details'!$B:$U,D$1,0),"Check"),"")</f>
        <v>AXY</v>
      </c>
      <c r="E149" s="74" t="str">
        <f>IF($B149&lt;&gt;"",_xlfn.IFNA(VLOOKUP($B149,'Node Details'!$B:$U,E$1,0),"Check"),"")</f>
        <v>Airtel</v>
      </c>
      <c r="F149" s="76">
        <v>46113</v>
      </c>
      <c r="G149" s="74"/>
      <c r="H149" s="10" t="s">
        <v>22</v>
      </c>
      <c r="I149" s="9">
        <v>2</v>
      </c>
      <c r="J149" s="9">
        <v>42</v>
      </c>
      <c r="K149" s="77">
        <f t="shared" si="19"/>
        <v>84</v>
      </c>
      <c r="L149" s="76">
        <v>46112</v>
      </c>
      <c r="N149" s="83"/>
      <c r="O149" s="84"/>
      <c r="P149" s="81">
        <f t="shared" si="14"/>
        <v>42</v>
      </c>
      <c r="Q149" s="81">
        <f t="shared" si="15"/>
        <v>84</v>
      </c>
      <c r="R149" s="81"/>
      <c r="S149" s="81"/>
      <c r="T149" s="85"/>
      <c r="U149" s="81">
        <f t="shared" si="16"/>
        <v>42</v>
      </c>
      <c r="V149" s="81">
        <f t="shared" si="17"/>
        <v>2</v>
      </c>
      <c r="W149" s="82">
        <f t="shared" si="18"/>
        <v>84</v>
      </c>
      <c r="X149" s="82" t="s">
        <v>84</v>
      </c>
      <c r="Y149" s="24" t="s">
        <v>93</v>
      </c>
    </row>
    <row r="150" spans="1:25" s="24" customFormat="1" ht="11.1" customHeight="1">
      <c r="A150" s="74">
        <f t="shared" si="20"/>
        <v>148</v>
      </c>
      <c r="B150" s="75" t="s">
        <v>997</v>
      </c>
      <c r="C150" s="74" t="str">
        <f>IF($B150&lt;&gt;"",_xlfn.IFNA(VLOOKUP($B150,'Node Details'!$B:$U,C$1,0),"Check"),"")</f>
        <v>0000AXY06-AXY060201</v>
      </c>
      <c r="D150" s="74" t="str">
        <f>IF($B150&lt;&gt;"",_xlfn.IFNA(VLOOKUP($B150,'Node Details'!$B:$U,D$1,0),"Check"),"")</f>
        <v>AXY</v>
      </c>
      <c r="E150" s="74" t="str">
        <f>IF($B150&lt;&gt;"",_xlfn.IFNA(VLOOKUP($B150,'Node Details'!$B:$U,E$1,0),"Check"),"")</f>
        <v>Airtel</v>
      </c>
      <c r="F150" s="76">
        <v>46113</v>
      </c>
      <c r="G150" s="74"/>
      <c r="H150" s="10" t="s">
        <v>22</v>
      </c>
      <c r="I150" s="9">
        <v>2</v>
      </c>
      <c r="J150" s="9">
        <v>42</v>
      </c>
      <c r="K150" s="77">
        <f t="shared" si="19"/>
        <v>84</v>
      </c>
      <c r="L150" s="76">
        <v>46112</v>
      </c>
      <c r="N150" s="83"/>
      <c r="O150" s="84"/>
      <c r="P150" s="81">
        <f t="shared" si="14"/>
        <v>42</v>
      </c>
      <c r="Q150" s="81">
        <f t="shared" si="15"/>
        <v>84</v>
      </c>
      <c r="R150" s="81"/>
      <c r="S150" s="81"/>
      <c r="T150" s="85"/>
      <c r="U150" s="81">
        <f t="shared" si="16"/>
        <v>42</v>
      </c>
      <c r="V150" s="81">
        <f t="shared" si="17"/>
        <v>2</v>
      </c>
      <c r="W150" s="82">
        <f t="shared" si="18"/>
        <v>84</v>
      </c>
      <c r="X150" s="82" t="s">
        <v>84</v>
      </c>
      <c r="Y150" s="24" t="s">
        <v>93</v>
      </c>
    </row>
    <row r="151" spans="1:25" s="24" customFormat="1" ht="11.1" customHeight="1">
      <c r="A151" s="74">
        <f t="shared" si="20"/>
        <v>149</v>
      </c>
      <c r="B151" s="75" t="s">
        <v>998</v>
      </c>
      <c r="C151" s="74" t="str">
        <f>IF($B151&lt;&gt;"",_xlfn.IFNA(VLOOKUP($B151,'Node Details'!$B:$U,C$1,0),"Check"),"")</f>
        <v>0000AXY06-AXY060201</v>
      </c>
      <c r="D151" s="74" t="str">
        <f>IF($B151&lt;&gt;"",_xlfn.IFNA(VLOOKUP($B151,'Node Details'!$B:$U,D$1,0),"Check"),"")</f>
        <v>AXY</v>
      </c>
      <c r="E151" s="74" t="str">
        <f>IF($B151&lt;&gt;"",_xlfn.IFNA(VLOOKUP($B151,'Node Details'!$B:$U,E$1,0),"Check"),"")</f>
        <v>Airtel</v>
      </c>
      <c r="F151" s="76">
        <v>46113</v>
      </c>
      <c r="G151" s="74"/>
      <c r="H151" s="10" t="s">
        <v>22</v>
      </c>
      <c r="I151" s="9">
        <v>2</v>
      </c>
      <c r="J151" s="9">
        <v>42</v>
      </c>
      <c r="K151" s="77">
        <f t="shared" si="19"/>
        <v>84</v>
      </c>
      <c r="L151" s="76">
        <v>46112</v>
      </c>
      <c r="N151" s="83"/>
      <c r="O151" s="84"/>
      <c r="P151" s="81">
        <f t="shared" si="14"/>
        <v>42</v>
      </c>
      <c r="Q151" s="81">
        <f t="shared" si="15"/>
        <v>84</v>
      </c>
      <c r="R151" s="81"/>
      <c r="S151" s="81"/>
      <c r="T151" s="85"/>
      <c r="U151" s="81">
        <f t="shared" si="16"/>
        <v>42</v>
      </c>
      <c r="V151" s="81">
        <f t="shared" si="17"/>
        <v>2</v>
      </c>
      <c r="W151" s="82">
        <f t="shared" si="18"/>
        <v>84</v>
      </c>
      <c r="X151" s="82" t="s">
        <v>84</v>
      </c>
      <c r="Y151" s="24" t="s">
        <v>93</v>
      </c>
    </row>
    <row r="152" spans="1:25" s="24" customFormat="1" ht="11.1" customHeight="1">
      <c r="A152" s="74">
        <f t="shared" si="20"/>
        <v>150</v>
      </c>
      <c r="B152" s="75" t="s">
        <v>215</v>
      </c>
      <c r="C152" s="74" t="str">
        <f>IF($B152&lt;&gt;"",_xlfn.IFNA(VLOOKUP($B152,'Node Details'!$B:$U,C$1,0),"Check"),"")</f>
        <v>0000AXY06-AXY060201</v>
      </c>
      <c r="D152" s="74" t="str">
        <f>IF($B152&lt;&gt;"",_xlfn.IFNA(VLOOKUP($B152,'Node Details'!$B:$U,D$1,0),"Check"),"")</f>
        <v>AXY</v>
      </c>
      <c r="E152" s="74" t="str">
        <f>IF($B152&lt;&gt;"",_xlfn.IFNA(VLOOKUP($B152,'Node Details'!$B:$U,E$1,0),"Check"),"")</f>
        <v>Airtel</v>
      </c>
      <c r="F152" s="76">
        <v>46113</v>
      </c>
      <c r="G152" s="74"/>
      <c r="H152" s="10" t="s">
        <v>22</v>
      </c>
      <c r="I152" s="9">
        <v>2</v>
      </c>
      <c r="J152" s="9">
        <v>42</v>
      </c>
      <c r="K152" s="77">
        <f t="shared" si="19"/>
        <v>84</v>
      </c>
      <c r="L152" s="76">
        <v>46112</v>
      </c>
      <c r="N152" s="83"/>
      <c r="O152" s="84"/>
      <c r="P152" s="81">
        <f t="shared" si="14"/>
        <v>42</v>
      </c>
      <c r="Q152" s="81">
        <f t="shared" si="15"/>
        <v>84</v>
      </c>
      <c r="R152" s="81"/>
      <c r="S152" s="81"/>
      <c r="T152" s="85"/>
      <c r="U152" s="81">
        <f t="shared" si="16"/>
        <v>42</v>
      </c>
      <c r="V152" s="81">
        <f t="shared" si="17"/>
        <v>2</v>
      </c>
      <c r="W152" s="82">
        <f t="shared" si="18"/>
        <v>84</v>
      </c>
      <c r="X152" s="82" t="s">
        <v>84</v>
      </c>
      <c r="Y152" s="24" t="s">
        <v>93</v>
      </c>
    </row>
    <row r="153" spans="1:25" s="24" customFormat="1" ht="11.1" customHeight="1">
      <c r="A153" s="74">
        <f t="shared" si="20"/>
        <v>151</v>
      </c>
      <c r="B153" s="75" t="s">
        <v>219</v>
      </c>
      <c r="C153" s="74" t="str">
        <f>IF($B153&lt;&gt;"",_xlfn.IFNA(VLOOKUP($B153,'Node Details'!$B:$U,C$1,0),"Check"),"")</f>
        <v>0000AXY07-AXY070101</v>
      </c>
      <c r="D153" s="74" t="str">
        <f>IF($B153&lt;&gt;"",_xlfn.IFNA(VLOOKUP($B153,'Node Details'!$B:$U,D$1,0),"Check"),"")</f>
        <v>AXY</v>
      </c>
      <c r="E153" s="74" t="str">
        <f>IF($B153&lt;&gt;"",_xlfn.IFNA(VLOOKUP($B153,'Node Details'!$B:$U,E$1,0),"Check"),"")</f>
        <v>Airtel</v>
      </c>
      <c r="F153" s="76">
        <v>46113</v>
      </c>
      <c r="G153" s="74"/>
      <c r="H153" s="10" t="s">
        <v>22</v>
      </c>
      <c r="I153" s="9">
        <v>2</v>
      </c>
      <c r="J153" s="9">
        <v>42</v>
      </c>
      <c r="K153" s="77">
        <f t="shared" si="19"/>
        <v>84</v>
      </c>
      <c r="L153" s="76">
        <v>46112</v>
      </c>
      <c r="N153" s="83"/>
      <c r="O153" s="84"/>
      <c r="P153" s="81">
        <f t="shared" si="14"/>
        <v>42</v>
      </c>
      <c r="Q153" s="81">
        <f t="shared" si="15"/>
        <v>84</v>
      </c>
      <c r="R153" s="81"/>
      <c r="S153" s="81"/>
      <c r="T153" s="85"/>
      <c r="U153" s="81">
        <f t="shared" si="16"/>
        <v>42</v>
      </c>
      <c r="V153" s="81">
        <f t="shared" si="17"/>
        <v>2</v>
      </c>
      <c r="W153" s="82">
        <f t="shared" si="18"/>
        <v>84</v>
      </c>
      <c r="X153" s="82" t="s">
        <v>84</v>
      </c>
      <c r="Y153" s="24" t="s">
        <v>93</v>
      </c>
    </row>
    <row r="154" spans="1:25" s="24" customFormat="1" ht="11.1" customHeight="1">
      <c r="A154" s="74">
        <f t="shared" si="20"/>
        <v>152</v>
      </c>
      <c r="B154" s="75" t="s">
        <v>222</v>
      </c>
      <c r="C154" s="74" t="str">
        <f>IF($B154&lt;&gt;"",_xlfn.IFNA(VLOOKUP($B154,'Node Details'!$B:$U,C$1,0),"Check"),"")</f>
        <v>0000AXY07-AXY070102</v>
      </c>
      <c r="D154" s="74" t="str">
        <f>IF($B154&lt;&gt;"",_xlfn.IFNA(VLOOKUP($B154,'Node Details'!$B:$U,D$1,0),"Check"),"")</f>
        <v>AXY</v>
      </c>
      <c r="E154" s="74" t="str">
        <f>IF($B154&lt;&gt;"",_xlfn.IFNA(VLOOKUP($B154,'Node Details'!$B:$U,E$1,0),"Check"),"")</f>
        <v>Airtel</v>
      </c>
      <c r="F154" s="76">
        <v>46113</v>
      </c>
      <c r="G154" s="74"/>
      <c r="H154" s="10" t="s">
        <v>22</v>
      </c>
      <c r="I154" s="9">
        <v>2</v>
      </c>
      <c r="J154" s="9">
        <v>42</v>
      </c>
      <c r="K154" s="77">
        <f t="shared" si="19"/>
        <v>84</v>
      </c>
      <c r="L154" s="76">
        <v>46112</v>
      </c>
      <c r="N154" s="83"/>
      <c r="O154" s="84"/>
      <c r="P154" s="81">
        <f t="shared" si="14"/>
        <v>42</v>
      </c>
      <c r="Q154" s="81">
        <f t="shared" si="15"/>
        <v>84</v>
      </c>
      <c r="R154" s="81"/>
      <c r="S154" s="81"/>
      <c r="T154" s="85"/>
      <c r="U154" s="81">
        <f t="shared" si="16"/>
        <v>42</v>
      </c>
      <c r="V154" s="81">
        <f t="shared" si="17"/>
        <v>2</v>
      </c>
      <c r="W154" s="82">
        <f t="shared" si="18"/>
        <v>84</v>
      </c>
      <c r="X154" s="82" t="s">
        <v>84</v>
      </c>
      <c r="Y154" s="24" t="s">
        <v>93</v>
      </c>
    </row>
    <row r="155" spans="1:25" s="24" customFormat="1" ht="11.1" customHeight="1">
      <c r="A155" s="74">
        <f t="shared" si="20"/>
        <v>153</v>
      </c>
      <c r="B155" s="75" t="s">
        <v>999</v>
      </c>
      <c r="C155" s="74" t="str">
        <f>IF($B155&lt;&gt;"",_xlfn.IFNA(VLOOKUP($B155,'Node Details'!$B:$U,C$1,0),"Check"),"")</f>
        <v>0000AXY07-AXY070105</v>
      </c>
      <c r="D155" s="74" t="str">
        <f>IF($B155&lt;&gt;"",_xlfn.IFNA(VLOOKUP($B155,'Node Details'!$B:$U,D$1,0),"Check"),"")</f>
        <v>AXY</v>
      </c>
      <c r="E155" s="74" t="str">
        <f>IF($B155&lt;&gt;"",_xlfn.IFNA(VLOOKUP($B155,'Node Details'!$B:$U,E$1,0),"Check"),"")</f>
        <v>Airtel</v>
      </c>
      <c r="F155" s="76">
        <v>46113</v>
      </c>
      <c r="G155" s="74"/>
      <c r="H155" s="10" t="s">
        <v>22</v>
      </c>
      <c r="I155" s="9">
        <v>2</v>
      </c>
      <c r="J155" s="9">
        <v>42</v>
      </c>
      <c r="K155" s="77">
        <f t="shared" si="19"/>
        <v>84</v>
      </c>
      <c r="L155" s="76">
        <v>46112</v>
      </c>
      <c r="N155" s="83"/>
      <c r="O155" s="84"/>
      <c r="P155" s="81">
        <f t="shared" si="14"/>
        <v>42</v>
      </c>
      <c r="Q155" s="81">
        <f t="shared" si="15"/>
        <v>84</v>
      </c>
      <c r="R155" s="81"/>
      <c r="S155" s="81"/>
      <c r="T155" s="85"/>
      <c r="U155" s="81">
        <f t="shared" si="16"/>
        <v>42</v>
      </c>
      <c r="V155" s="81">
        <f t="shared" si="17"/>
        <v>2</v>
      </c>
      <c r="W155" s="82">
        <f t="shared" si="18"/>
        <v>84</v>
      </c>
      <c r="X155" s="82" t="s">
        <v>84</v>
      </c>
      <c r="Y155" s="24" t="s">
        <v>93</v>
      </c>
    </row>
    <row r="156" spans="1:25" s="24" customFormat="1" ht="11.1" customHeight="1">
      <c r="A156" s="74">
        <f t="shared" si="20"/>
        <v>154</v>
      </c>
      <c r="B156" s="75" t="s">
        <v>1000</v>
      </c>
      <c r="C156" s="74" t="str">
        <f>IF($B156&lt;&gt;"",_xlfn.IFNA(VLOOKUP($B156,'Node Details'!$B:$U,C$1,0),"Check"),"")</f>
        <v>0000AXY07-AXY070105</v>
      </c>
      <c r="D156" s="74" t="str">
        <f>IF($B156&lt;&gt;"",_xlfn.IFNA(VLOOKUP($B156,'Node Details'!$B:$U,D$1,0),"Check"),"")</f>
        <v>AXY</v>
      </c>
      <c r="E156" s="74" t="str">
        <f>IF($B156&lt;&gt;"",_xlfn.IFNA(VLOOKUP($B156,'Node Details'!$B:$U,E$1,0),"Check"),"")</f>
        <v>Airtel</v>
      </c>
      <c r="F156" s="76">
        <v>46113</v>
      </c>
      <c r="G156" s="74"/>
      <c r="H156" s="10" t="s">
        <v>22</v>
      </c>
      <c r="I156" s="9">
        <v>2</v>
      </c>
      <c r="J156" s="9">
        <v>42</v>
      </c>
      <c r="K156" s="77">
        <f t="shared" si="19"/>
        <v>84</v>
      </c>
      <c r="L156" s="76">
        <v>46112</v>
      </c>
      <c r="N156" s="83"/>
      <c r="O156" s="84"/>
      <c r="P156" s="81">
        <f t="shared" si="14"/>
        <v>42</v>
      </c>
      <c r="Q156" s="81">
        <f t="shared" si="15"/>
        <v>84</v>
      </c>
      <c r="R156" s="81"/>
      <c r="S156" s="81"/>
      <c r="T156" s="85"/>
      <c r="U156" s="81">
        <f t="shared" si="16"/>
        <v>42</v>
      </c>
      <c r="V156" s="81">
        <f t="shared" si="17"/>
        <v>2</v>
      </c>
      <c r="W156" s="82">
        <f t="shared" si="18"/>
        <v>84</v>
      </c>
      <c r="X156" s="82" t="s">
        <v>84</v>
      </c>
      <c r="Y156" s="24" t="s">
        <v>93</v>
      </c>
    </row>
    <row r="157" spans="1:25" s="24" customFormat="1" ht="11.1" customHeight="1">
      <c r="A157" s="74">
        <f t="shared" si="20"/>
        <v>155</v>
      </c>
      <c r="B157" s="75" t="s">
        <v>226</v>
      </c>
      <c r="C157" s="74" t="str">
        <f>IF($B157&lt;&gt;"",_xlfn.IFNA(VLOOKUP($B157,'Node Details'!$B:$U,C$1,0),"Check"),"")</f>
        <v>0000AXY07-AXY070105</v>
      </c>
      <c r="D157" s="74" t="str">
        <f>IF($B157&lt;&gt;"",_xlfn.IFNA(VLOOKUP($B157,'Node Details'!$B:$U,D$1,0),"Check"),"")</f>
        <v>AXY</v>
      </c>
      <c r="E157" s="74" t="str">
        <f>IF($B157&lt;&gt;"",_xlfn.IFNA(VLOOKUP($B157,'Node Details'!$B:$U,E$1,0),"Check"),"")</f>
        <v>Airtel</v>
      </c>
      <c r="F157" s="76">
        <v>46113</v>
      </c>
      <c r="G157" s="74"/>
      <c r="H157" s="10" t="s">
        <v>22</v>
      </c>
      <c r="I157" s="9">
        <v>2</v>
      </c>
      <c r="J157" s="9">
        <v>42</v>
      </c>
      <c r="K157" s="77">
        <f t="shared" si="19"/>
        <v>84</v>
      </c>
      <c r="L157" s="76">
        <v>46112</v>
      </c>
      <c r="N157" s="83"/>
      <c r="O157" s="84"/>
      <c r="P157" s="81">
        <f t="shared" si="14"/>
        <v>42</v>
      </c>
      <c r="Q157" s="81">
        <f t="shared" si="15"/>
        <v>84</v>
      </c>
      <c r="R157" s="81"/>
      <c r="S157" s="81"/>
      <c r="T157" s="85"/>
      <c r="U157" s="81">
        <f t="shared" si="16"/>
        <v>42</v>
      </c>
      <c r="V157" s="81">
        <f t="shared" si="17"/>
        <v>2</v>
      </c>
      <c r="W157" s="82">
        <f t="shared" si="18"/>
        <v>84</v>
      </c>
      <c r="X157" s="82" t="s">
        <v>84</v>
      </c>
      <c r="Y157" s="24" t="s">
        <v>93</v>
      </c>
    </row>
    <row r="158" spans="1:25" s="24" customFormat="1" ht="11.1" customHeight="1">
      <c r="A158" s="74">
        <f t="shared" si="20"/>
        <v>156</v>
      </c>
      <c r="B158" s="75" t="s">
        <v>236</v>
      </c>
      <c r="C158" s="74" t="str">
        <f>IF($B158&lt;&gt;"",_xlfn.IFNA(VLOOKUP($B158,'Node Details'!$B:$U,C$1,0),"Check"),"")</f>
        <v>0000AXY08-AXY080104</v>
      </c>
      <c r="D158" s="74" t="str">
        <f>IF($B158&lt;&gt;"",_xlfn.IFNA(VLOOKUP($B158,'Node Details'!$B:$U,D$1,0),"Check"),"")</f>
        <v>AXY</v>
      </c>
      <c r="E158" s="74" t="str">
        <f>IF($B158&lt;&gt;"",_xlfn.IFNA(VLOOKUP($B158,'Node Details'!$B:$U,E$1,0),"Check"),"")</f>
        <v>Airtel</v>
      </c>
      <c r="F158" s="76">
        <v>46113</v>
      </c>
      <c r="G158" s="74"/>
      <c r="H158" s="10" t="s">
        <v>22</v>
      </c>
      <c r="I158" s="9">
        <v>2</v>
      </c>
      <c r="J158" s="9">
        <v>42</v>
      </c>
      <c r="K158" s="77">
        <f t="shared" si="19"/>
        <v>84</v>
      </c>
      <c r="L158" s="76">
        <v>46112</v>
      </c>
      <c r="N158" s="83"/>
      <c r="O158" s="84"/>
      <c r="P158" s="81">
        <f t="shared" si="14"/>
        <v>42</v>
      </c>
      <c r="Q158" s="81">
        <f t="shared" si="15"/>
        <v>84</v>
      </c>
      <c r="R158" s="81"/>
      <c r="S158" s="81"/>
      <c r="T158" s="85"/>
      <c r="U158" s="81">
        <f t="shared" si="16"/>
        <v>42</v>
      </c>
      <c r="V158" s="81">
        <f t="shared" si="17"/>
        <v>2</v>
      </c>
      <c r="W158" s="82">
        <f t="shared" si="18"/>
        <v>84</v>
      </c>
      <c r="X158" s="82" t="s">
        <v>84</v>
      </c>
      <c r="Y158" s="24" t="s">
        <v>93</v>
      </c>
    </row>
    <row r="159" spans="1:25" s="24" customFormat="1" ht="11.1" customHeight="1">
      <c r="A159" s="74">
        <f t="shared" si="20"/>
        <v>157</v>
      </c>
      <c r="B159" s="75" t="s">
        <v>1002</v>
      </c>
      <c r="C159" s="74" t="str">
        <f>IF($B159&lt;&gt;"",_xlfn.IFNA(VLOOKUP($B159,'Node Details'!$B:$U,C$1,0),"Check"),"")</f>
        <v>0000AXY08-AXY080103</v>
      </c>
      <c r="D159" s="74" t="str">
        <f>IF($B159&lt;&gt;"",_xlfn.IFNA(VLOOKUP($B159,'Node Details'!$B:$U,D$1,0),"Check"),"")</f>
        <v>AXY</v>
      </c>
      <c r="E159" s="74" t="str">
        <f>IF($B159&lt;&gt;"",_xlfn.IFNA(VLOOKUP($B159,'Node Details'!$B:$U,E$1,0),"Check"),"")</f>
        <v>Airtel</v>
      </c>
      <c r="F159" s="76">
        <v>46113</v>
      </c>
      <c r="G159" s="74"/>
      <c r="H159" s="10" t="s">
        <v>22</v>
      </c>
      <c r="I159" s="9">
        <v>2</v>
      </c>
      <c r="J159" s="9">
        <v>42</v>
      </c>
      <c r="K159" s="77">
        <f t="shared" si="19"/>
        <v>84</v>
      </c>
      <c r="L159" s="76">
        <v>46112</v>
      </c>
      <c r="N159" s="83"/>
      <c r="O159" s="84"/>
      <c r="P159" s="81">
        <f t="shared" si="14"/>
        <v>42</v>
      </c>
      <c r="Q159" s="81">
        <f t="shared" si="15"/>
        <v>84</v>
      </c>
      <c r="R159" s="81"/>
      <c r="S159" s="81"/>
      <c r="T159" s="85"/>
      <c r="U159" s="81">
        <f t="shared" si="16"/>
        <v>42</v>
      </c>
      <c r="V159" s="81">
        <f t="shared" si="17"/>
        <v>2</v>
      </c>
      <c r="W159" s="82">
        <f t="shared" si="18"/>
        <v>84</v>
      </c>
      <c r="X159" s="82" t="s">
        <v>84</v>
      </c>
      <c r="Y159" s="24" t="s">
        <v>93</v>
      </c>
    </row>
    <row r="160" spans="1:25" s="24" customFormat="1" ht="11.1" customHeight="1">
      <c r="A160" s="74">
        <f t="shared" si="20"/>
        <v>158</v>
      </c>
      <c r="B160" s="75" t="s">
        <v>1003</v>
      </c>
      <c r="C160" s="74" t="str">
        <f>IF($B160&lt;&gt;"",_xlfn.IFNA(VLOOKUP($B160,'Node Details'!$B:$U,C$1,0),"Check"),"")</f>
        <v>0000AXY08-AXY080103</v>
      </c>
      <c r="D160" s="74" t="str">
        <f>IF($B160&lt;&gt;"",_xlfn.IFNA(VLOOKUP($B160,'Node Details'!$B:$U,D$1,0),"Check"),"")</f>
        <v>AXY</v>
      </c>
      <c r="E160" s="74" t="str">
        <f>IF($B160&lt;&gt;"",_xlfn.IFNA(VLOOKUP($B160,'Node Details'!$B:$U,E$1,0),"Check"),"")</f>
        <v>Airtel</v>
      </c>
      <c r="F160" s="76">
        <v>46113</v>
      </c>
      <c r="G160" s="74"/>
      <c r="H160" s="10" t="s">
        <v>22</v>
      </c>
      <c r="I160" s="9">
        <v>2</v>
      </c>
      <c r="J160" s="9">
        <v>42</v>
      </c>
      <c r="K160" s="77">
        <f t="shared" si="19"/>
        <v>84</v>
      </c>
      <c r="L160" s="76">
        <v>46112</v>
      </c>
      <c r="N160" s="83"/>
      <c r="O160" s="84"/>
      <c r="P160" s="81">
        <f t="shared" si="14"/>
        <v>42</v>
      </c>
      <c r="Q160" s="81">
        <f t="shared" si="15"/>
        <v>84</v>
      </c>
      <c r="R160" s="81"/>
      <c r="S160" s="81"/>
      <c r="T160" s="85"/>
      <c r="U160" s="81">
        <f t="shared" si="16"/>
        <v>42</v>
      </c>
      <c r="V160" s="81">
        <f t="shared" si="17"/>
        <v>2</v>
      </c>
      <c r="W160" s="82">
        <f t="shared" si="18"/>
        <v>84</v>
      </c>
      <c r="X160" s="82" t="s">
        <v>84</v>
      </c>
      <c r="Y160" s="24" t="s">
        <v>93</v>
      </c>
    </row>
    <row r="161" spans="1:25" s="24" customFormat="1" ht="11.1" customHeight="1">
      <c r="A161" s="74">
        <f t="shared" si="20"/>
        <v>159</v>
      </c>
      <c r="B161" s="75" t="s">
        <v>239</v>
      </c>
      <c r="C161" s="74" t="str">
        <f>IF($B161&lt;&gt;"",_xlfn.IFNA(VLOOKUP($B161,'Node Details'!$B:$U,C$1,0),"Check"),"")</f>
        <v>0000AXY08-AXY080103</v>
      </c>
      <c r="D161" s="74" t="str">
        <f>IF($B161&lt;&gt;"",_xlfn.IFNA(VLOOKUP($B161,'Node Details'!$B:$U,D$1,0),"Check"),"")</f>
        <v>AXY</v>
      </c>
      <c r="E161" s="74" t="str">
        <f>IF($B161&lt;&gt;"",_xlfn.IFNA(VLOOKUP($B161,'Node Details'!$B:$U,E$1,0),"Check"),"")</f>
        <v>Airtel</v>
      </c>
      <c r="F161" s="76">
        <v>46113</v>
      </c>
      <c r="G161" s="74"/>
      <c r="H161" s="10" t="s">
        <v>22</v>
      </c>
      <c r="I161" s="9">
        <v>2</v>
      </c>
      <c r="J161" s="9">
        <v>42</v>
      </c>
      <c r="K161" s="77">
        <f t="shared" si="19"/>
        <v>84</v>
      </c>
      <c r="L161" s="76">
        <v>46112</v>
      </c>
      <c r="N161" s="83"/>
      <c r="O161" s="84"/>
      <c r="P161" s="81">
        <f t="shared" si="14"/>
        <v>42</v>
      </c>
      <c r="Q161" s="81">
        <f t="shared" si="15"/>
        <v>84</v>
      </c>
      <c r="R161" s="81"/>
      <c r="S161" s="81"/>
      <c r="T161" s="85"/>
      <c r="U161" s="81">
        <f t="shared" si="16"/>
        <v>42</v>
      </c>
      <c r="V161" s="81">
        <f t="shared" si="17"/>
        <v>2</v>
      </c>
      <c r="W161" s="82">
        <f t="shared" si="18"/>
        <v>84</v>
      </c>
      <c r="X161" s="82" t="s">
        <v>84</v>
      </c>
      <c r="Y161" s="24" t="s">
        <v>93</v>
      </c>
    </row>
    <row r="162" spans="1:25" s="24" customFormat="1" ht="11.1" customHeight="1">
      <c r="A162" s="74">
        <f t="shared" si="20"/>
        <v>160</v>
      </c>
      <c r="B162" s="75" t="s">
        <v>230</v>
      </c>
      <c r="C162" s="74" t="str">
        <f>IF($B162&lt;&gt;"",_xlfn.IFNA(VLOOKUP($B162,'Node Details'!$B:$U,C$1,0),"Check"),"")</f>
        <v>0000AXY08-AXY080105</v>
      </c>
      <c r="D162" s="74" t="str">
        <f>IF($B162&lt;&gt;"",_xlfn.IFNA(VLOOKUP($B162,'Node Details'!$B:$U,D$1,0),"Check"),"")</f>
        <v>AXY</v>
      </c>
      <c r="E162" s="74" t="str">
        <f>IF($B162&lt;&gt;"",_xlfn.IFNA(VLOOKUP($B162,'Node Details'!$B:$U,E$1,0),"Check"),"")</f>
        <v>Airtel</v>
      </c>
      <c r="F162" s="76">
        <v>46113</v>
      </c>
      <c r="G162" s="74"/>
      <c r="H162" s="10" t="s">
        <v>22</v>
      </c>
      <c r="I162" s="9">
        <v>2</v>
      </c>
      <c r="J162" s="9">
        <v>42</v>
      </c>
      <c r="K162" s="77">
        <f t="shared" si="19"/>
        <v>84</v>
      </c>
      <c r="L162" s="76">
        <v>46112</v>
      </c>
      <c r="N162" s="83"/>
      <c r="O162" s="84"/>
      <c r="P162" s="81">
        <f t="shared" si="14"/>
        <v>42</v>
      </c>
      <c r="Q162" s="81">
        <f t="shared" si="15"/>
        <v>84</v>
      </c>
      <c r="R162" s="81"/>
      <c r="S162" s="81"/>
      <c r="T162" s="85"/>
      <c r="U162" s="81">
        <f t="shared" si="16"/>
        <v>42</v>
      </c>
      <c r="V162" s="81">
        <f t="shared" si="17"/>
        <v>2</v>
      </c>
      <c r="W162" s="82">
        <f t="shared" si="18"/>
        <v>84</v>
      </c>
      <c r="X162" s="82" t="s">
        <v>84</v>
      </c>
      <c r="Y162" s="24" t="s">
        <v>93</v>
      </c>
    </row>
    <row r="163" spans="1:25" s="24" customFormat="1" ht="11.1" customHeight="1">
      <c r="A163" s="74">
        <f t="shared" si="20"/>
        <v>161</v>
      </c>
      <c r="B163" s="75" t="s">
        <v>233</v>
      </c>
      <c r="C163" s="74" t="str">
        <f>IF($B163&lt;&gt;"",_xlfn.IFNA(VLOOKUP($B163,'Node Details'!$B:$U,C$1,0),"Check"),"")</f>
        <v>0000AXY08-AXY080106</v>
      </c>
      <c r="D163" s="74" t="str">
        <f>IF($B163&lt;&gt;"",_xlfn.IFNA(VLOOKUP($B163,'Node Details'!$B:$U,D$1,0),"Check"),"")</f>
        <v>AXY</v>
      </c>
      <c r="E163" s="74" t="str">
        <f>IF($B163&lt;&gt;"",_xlfn.IFNA(VLOOKUP($B163,'Node Details'!$B:$U,E$1,0),"Check"),"")</f>
        <v>Airtel</v>
      </c>
      <c r="F163" s="76">
        <v>46113</v>
      </c>
      <c r="G163" s="74"/>
      <c r="H163" s="10" t="s">
        <v>22</v>
      </c>
      <c r="I163" s="9">
        <v>2</v>
      </c>
      <c r="J163" s="9">
        <v>42</v>
      </c>
      <c r="K163" s="77">
        <f t="shared" si="19"/>
        <v>84</v>
      </c>
      <c r="L163" s="76">
        <v>46112</v>
      </c>
      <c r="N163" s="83"/>
      <c r="O163" s="84"/>
      <c r="P163" s="81">
        <f t="shared" si="14"/>
        <v>42</v>
      </c>
      <c r="Q163" s="81">
        <f t="shared" si="15"/>
        <v>84</v>
      </c>
      <c r="R163" s="81"/>
      <c r="S163" s="81"/>
      <c r="T163" s="85"/>
      <c r="U163" s="81">
        <f t="shared" si="16"/>
        <v>42</v>
      </c>
      <c r="V163" s="81">
        <f t="shared" si="17"/>
        <v>2</v>
      </c>
      <c r="W163" s="82">
        <f t="shared" si="18"/>
        <v>84</v>
      </c>
      <c r="X163" s="82" t="s">
        <v>84</v>
      </c>
      <c r="Y163" s="24" t="s">
        <v>93</v>
      </c>
    </row>
    <row r="164" spans="1:25" s="24" customFormat="1" ht="11.1" customHeight="1">
      <c r="A164" s="74">
        <f t="shared" si="20"/>
        <v>162</v>
      </c>
      <c r="B164" s="75" t="s">
        <v>1004</v>
      </c>
      <c r="C164" s="74" t="str">
        <f>IF($B164&lt;&gt;"",_xlfn.IFNA(VLOOKUP($B164,'Node Details'!$B:$U,C$1,0),"Check"),"")</f>
        <v>AXY080106-AXY080203</v>
      </c>
      <c r="D164" s="74" t="str">
        <f>IF($B164&lt;&gt;"",_xlfn.IFNA(VLOOKUP($B164,'Node Details'!$B:$U,D$1,0),"Check"),"")</f>
        <v>AXY</v>
      </c>
      <c r="E164" s="74" t="str">
        <f>IF($B164&lt;&gt;"",_xlfn.IFNA(VLOOKUP($B164,'Node Details'!$B:$U,E$1,0),"Check"),"")</f>
        <v>Airtel</v>
      </c>
      <c r="F164" s="76">
        <v>46113</v>
      </c>
      <c r="G164" s="74"/>
      <c r="H164" s="10" t="s">
        <v>22</v>
      </c>
      <c r="I164" s="9">
        <v>2</v>
      </c>
      <c r="J164" s="9">
        <v>42</v>
      </c>
      <c r="K164" s="77">
        <f t="shared" si="19"/>
        <v>84</v>
      </c>
      <c r="L164" s="76">
        <v>46112</v>
      </c>
      <c r="N164" s="83"/>
      <c r="O164" s="84"/>
      <c r="P164" s="81">
        <f t="shared" si="14"/>
        <v>42</v>
      </c>
      <c r="Q164" s="81">
        <f t="shared" si="15"/>
        <v>84</v>
      </c>
      <c r="R164" s="81"/>
      <c r="S164" s="81"/>
      <c r="T164" s="85"/>
      <c r="U164" s="81">
        <f t="shared" si="16"/>
        <v>42</v>
      </c>
      <c r="V164" s="81">
        <f t="shared" si="17"/>
        <v>2</v>
      </c>
      <c r="W164" s="82">
        <f t="shared" si="18"/>
        <v>84</v>
      </c>
      <c r="X164" s="82" t="s">
        <v>84</v>
      </c>
      <c r="Y164" s="24" t="s">
        <v>93</v>
      </c>
    </row>
    <row r="165" spans="1:25" s="24" customFormat="1" ht="11.1" customHeight="1">
      <c r="A165" s="74">
        <f t="shared" si="20"/>
        <v>163</v>
      </c>
      <c r="B165" s="75" t="s">
        <v>243</v>
      </c>
      <c r="C165" s="74" t="str">
        <f>IF($B165&lt;&gt;"",_xlfn.IFNA(VLOOKUP($B165,'Node Details'!$B:$U,C$1,0),"Check"),"")</f>
        <v>AXY080106-AXY080203</v>
      </c>
      <c r="D165" s="74" t="str">
        <f>IF($B165&lt;&gt;"",_xlfn.IFNA(VLOOKUP($B165,'Node Details'!$B:$U,D$1,0),"Check"),"")</f>
        <v>AXY</v>
      </c>
      <c r="E165" s="74" t="str">
        <f>IF($B165&lt;&gt;"",_xlfn.IFNA(VLOOKUP($B165,'Node Details'!$B:$U,E$1,0),"Check"),"")</f>
        <v>Airtel</v>
      </c>
      <c r="F165" s="76">
        <v>46113</v>
      </c>
      <c r="G165" s="74"/>
      <c r="H165" s="10" t="s">
        <v>22</v>
      </c>
      <c r="I165" s="9">
        <v>2</v>
      </c>
      <c r="J165" s="9">
        <v>42</v>
      </c>
      <c r="K165" s="77">
        <f t="shared" si="19"/>
        <v>84</v>
      </c>
      <c r="L165" s="76">
        <v>46112</v>
      </c>
      <c r="N165" s="83"/>
      <c r="O165" s="84"/>
      <c r="P165" s="81">
        <f t="shared" si="14"/>
        <v>42</v>
      </c>
      <c r="Q165" s="81">
        <f t="shared" si="15"/>
        <v>84</v>
      </c>
      <c r="R165" s="81"/>
      <c r="S165" s="81"/>
      <c r="T165" s="85"/>
      <c r="U165" s="81">
        <f t="shared" si="16"/>
        <v>42</v>
      </c>
      <c r="V165" s="81">
        <f t="shared" si="17"/>
        <v>2</v>
      </c>
      <c r="W165" s="82">
        <f t="shared" si="18"/>
        <v>84</v>
      </c>
      <c r="X165" s="82" t="s">
        <v>84</v>
      </c>
      <c r="Y165" s="24" t="s">
        <v>93</v>
      </c>
    </row>
    <row r="166" spans="1:25" s="24" customFormat="1" ht="11.1" customHeight="1">
      <c r="A166" s="74">
        <f t="shared" si="20"/>
        <v>164</v>
      </c>
      <c r="B166" s="75" t="s">
        <v>1005</v>
      </c>
      <c r="C166" s="74" t="str">
        <f>IF($B166&lt;&gt;"",_xlfn.IFNA(VLOOKUP($B166,'Node Details'!$B:$U,C$1,0),"Check"),"")</f>
        <v>AXY080106-AXY080201</v>
      </c>
      <c r="D166" s="74" t="str">
        <f>IF($B166&lt;&gt;"",_xlfn.IFNA(VLOOKUP($B166,'Node Details'!$B:$U,D$1,0),"Check"),"")</f>
        <v>AXY</v>
      </c>
      <c r="E166" s="74" t="str">
        <f>IF($B166&lt;&gt;"",_xlfn.IFNA(VLOOKUP($B166,'Node Details'!$B:$U,E$1,0),"Check"),"")</f>
        <v>Airtel</v>
      </c>
      <c r="F166" s="76">
        <v>46113</v>
      </c>
      <c r="G166" s="74"/>
      <c r="H166" s="10" t="s">
        <v>22</v>
      </c>
      <c r="I166" s="9">
        <v>2</v>
      </c>
      <c r="J166" s="9">
        <v>42</v>
      </c>
      <c r="K166" s="77">
        <f t="shared" si="19"/>
        <v>84</v>
      </c>
      <c r="L166" s="76">
        <v>46112</v>
      </c>
      <c r="N166" s="83"/>
      <c r="O166" s="84"/>
      <c r="P166" s="81">
        <f t="shared" si="14"/>
        <v>42</v>
      </c>
      <c r="Q166" s="81">
        <f t="shared" si="15"/>
        <v>84</v>
      </c>
      <c r="R166" s="81"/>
      <c r="S166" s="81"/>
      <c r="T166" s="85"/>
      <c r="U166" s="81">
        <f t="shared" si="16"/>
        <v>42</v>
      </c>
      <c r="V166" s="81">
        <f t="shared" si="17"/>
        <v>2</v>
      </c>
      <c r="W166" s="82">
        <f t="shared" si="18"/>
        <v>84</v>
      </c>
      <c r="X166" s="82" t="s">
        <v>84</v>
      </c>
      <c r="Y166" s="24" t="s">
        <v>93</v>
      </c>
    </row>
    <row r="167" spans="1:25" s="24" customFormat="1" ht="11.1" customHeight="1">
      <c r="A167" s="74">
        <f t="shared" si="20"/>
        <v>165</v>
      </c>
      <c r="B167" s="75" t="s">
        <v>246</v>
      </c>
      <c r="C167" s="74" t="str">
        <f>IF($B167&lt;&gt;"",_xlfn.IFNA(VLOOKUP($B167,'Node Details'!$B:$U,C$1,0),"Check"),"")</f>
        <v>AXY080106-AXY080201</v>
      </c>
      <c r="D167" s="74" t="str">
        <f>IF($B167&lt;&gt;"",_xlfn.IFNA(VLOOKUP($B167,'Node Details'!$B:$U,D$1,0),"Check"),"")</f>
        <v>AXY</v>
      </c>
      <c r="E167" s="74" t="str">
        <f>IF($B167&lt;&gt;"",_xlfn.IFNA(VLOOKUP($B167,'Node Details'!$B:$U,E$1,0),"Check"),"")</f>
        <v>Airtel</v>
      </c>
      <c r="F167" s="76">
        <v>46113</v>
      </c>
      <c r="G167" s="74"/>
      <c r="H167" s="10" t="s">
        <v>22</v>
      </c>
      <c r="I167" s="9">
        <v>2</v>
      </c>
      <c r="J167" s="9">
        <v>42</v>
      </c>
      <c r="K167" s="77">
        <f t="shared" si="19"/>
        <v>84</v>
      </c>
      <c r="L167" s="76">
        <v>46112</v>
      </c>
      <c r="N167" s="83"/>
      <c r="O167" s="84"/>
      <c r="P167" s="81">
        <f t="shared" si="14"/>
        <v>42</v>
      </c>
      <c r="Q167" s="81">
        <f t="shared" si="15"/>
        <v>84</v>
      </c>
      <c r="R167" s="81"/>
      <c r="S167" s="81"/>
      <c r="T167" s="85"/>
      <c r="U167" s="81">
        <f t="shared" si="16"/>
        <v>42</v>
      </c>
      <c r="V167" s="81">
        <f t="shared" si="17"/>
        <v>2</v>
      </c>
      <c r="W167" s="82">
        <f t="shared" si="18"/>
        <v>84</v>
      </c>
      <c r="X167" s="82" t="s">
        <v>84</v>
      </c>
      <c r="Y167" s="24" t="s">
        <v>93</v>
      </c>
    </row>
    <row r="168" spans="1:25" s="24" customFormat="1" ht="11.1" customHeight="1">
      <c r="A168" s="74">
        <f t="shared" si="20"/>
        <v>166</v>
      </c>
      <c r="B168" s="75" t="s">
        <v>254</v>
      </c>
      <c r="C168" s="74" t="str">
        <f>IF($B168&lt;&gt;"",_xlfn.IFNA(VLOOKUP($B168,'Node Details'!$B:$U,C$1,0),"Check"),"")</f>
        <v>0000AXY09-AXY090101</v>
      </c>
      <c r="D168" s="74" t="str">
        <f>IF($B168&lt;&gt;"",_xlfn.IFNA(VLOOKUP($B168,'Node Details'!$B:$U,D$1,0),"Check"),"")</f>
        <v>AXY</v>
      </c>
      <c r="E168" s="74" t="str">
        <f>IF($B168&lt;&gt;"",_xlfn.IFNA(VLOOKUP($B168,'Node Details'!$B:$U,E$1,0),"Check"),"")</f>
        <v>Airtel</v>
      </c>
      <c r="F168" s="76">
        <v>46113</v>
      </c>
      <c r="G168" s="74"/>
      <c r="H168" s="10" t="s">
        <v>22</v>
      </c>
      <c r="I168" s="9">
        <v>2</v>
      </c>
      <c r="J168" s="9">
        <v>42</v>
      </c>
      <c r="K168" s="77">
        <f t="shared" si="19"/>
        <v>84</v>
      </c>
      <c r="L168" s="76">
        <v>46112</v>
      </c>
      <c r="N168" s="83"/>
      <c r="O168" s="84"/>
      <c r="P168" s="81">
        <f t="shared" si="14"/>
        <v>42</v>
      </c>
      <c r="Q168" s="81">
        <f t="shared" si="15"/>
        <v>84</v>
      </c>
      <c r="R168" s="81"/>
      <c r="S168" s="81"/>
      <c r="T168" s="85"/>
      <c r="U168" s="81">
        <f t="shared" si="16"/>
        <v>42</v>
      </c>
      <c r="V168" s="81">
        <f t="shared" si="17"/>
        <v>2</v>
      </c>
      <c r="W168" s="82">
        <f t="shared" si="18"/>
        <v>84</v>
      </c>
      <c r="X168" s="82" t="s">
        <v>84</v>
      </c>
      <c r="Y168" s="24" t="s">
        <v>93</v>
      </c>
    </row>
    <row r="169" spans="1:25" s="24" customFormat="1" ht="11.1" customHeight="1">
      <c r="A169" s="74">
        <f t="shared" si="20"/>
        <v>167</v>
      </c>
      <c r="B169" s="75" t="s">
        <v>1007</v>
      </c>
      <c r="C169" s="74" t="str">
        <f>IF($B169&lt;&gt;"",_xlfn.IFNA(VLOOKUP($B169,'Node Details'!$B:$U,C$1,0),"Check"),"")</f>
        <v>0000AXY09-AXY090105</v>
      </c>
      <c r="D169" s="74" t="str">
        <f>IF($B169&lt;&gt;"",_xlfn.IFNA(VLOOKUP($B169,'Node Details'!$B:$U,D$1,0),"Check"),"")</f>
        <v>AXY</v>
      </c>
      <c r="E169" s="74" t="str">
        <f>IF($B169&lt;&gt;"",_xlfn.IFNA(VLOOKUP($B169,'Node Details'!$B:$U,E$1,0),"Check"),"")</f>
        <v>Airtel</v>
      </c>
      <c r="F169" s="76">
        <v>46113</v>
      </c>
      <c r="G169" s="74"/>
      <c r="H169" s="10" t="s">
        <v>22</v>
      </c>
      <c r="I169" s="9">
        <v>2</v>
      </c>
      <c r="J169" s="9">
        <v>42</v>
      </c>
      <c r="K169" s="77">
        <f t="shared" si="19"/>
        <v>84</v>
      </c>
      <c r="L169" s="76">
        <v>46112</v>
      </c>
      <c r="N169" s="83"/>
      <c r="O169" s="84"/>
      <c r="P169" s="81">
        <f t="shared" si="14"/>
        <v>42</v>
      </c>
      <c r="Q169" s="81">
        <f t="shared" si="15"/>
        <v>84</v>
      </c>
      <c r="R169" s="81"/>
      <c r="S169" s="81"/>
      <c r="T169" s="85"/>
      <c r="U169" s="81">
        <f t="shared" si="16"/>
        <v>42</v>
      </c>
      <c r="V169" s="81">
        <f t="shared" si="17"/>
        <v>2</v>
      </c>
      <c r="W169" s="82">
        <f t="shared" si="18"/>
        <v>84</v>
      </c>
      <c r="X169" s="82" t="s">
        <v>84</v>
      </c>
      <c r="Y169" s="24" t="s">
        <v>93</v>
      </c>
    </row>
    <row r="170" spans="1:25" s="24" customFormat="1" ht="11.1" customHeight="1">
      <c r="A170" s="74">
        <f t="shared" si="20"/>
        <v>168</v>
      </c>
      <c r="B170" s="75" t="s">
        <v>1008</v>
      </c>
      <c r="C170" s="74" t="str">
        <f>IF($B170&lt;&gt;"",_xlfn.IFNA(VLOOKUP($B170,'Node Details'!$B:$U,C$1,0),"Check"),"")</f>
        <v>0000AXY09-AXY090105</v>
      </c>
      <c r="D170" s="74" t="str">
        <f>IF($B170&lt;&gt;"",_xlfn.IFNA(VLOOKUP($B170,'Node Details'!$B:$U,D$1,0),"Check"),"")</f>
        <v>AXY</v>
      </c>
      <c r="E170" s="74" t="str">
        <f>IF($B170&lt;&gt;"",_xlfn.IFNA(VLOOKUP($B170,'Node Details'!$B:$U,E$1,0),"Check"),"")</f>
        <v>Airtel</v>
      </c>
      <c r="F170" s="76">
        <v>46113</v>
      </c>
      <c r="G170" s="74"/>
      <c r="H170" s="10" t="s">
        <v>22</v>
      </c>
      <c r="I170" s="9">
        <v>2</v>
      </c>
      <c r="J170" s="9">
        <v>42</v>
      </c>
      <c r="K170" s="77">
        <f t="shared" si="19"/>
        <v>84</v>
      </c>
      <c r="L170" s="76">
        <v>46112</v>
      </c>
      <c r="N170" s="83"/>
      <c r="O170" s="84"/>
      <c r="P170" s="81">
        <f t="shared" si="14"/>
        <v>42</v>
      </c>
      <c r="Q170" s="81">
        <f t="shared" si="15"/>
        <v>84</v>
      </c>
      <c r="R170" s="81"/>
      <c r="S170" s="81"/>
      <c r="T170" s="85"/>
      <c r="U170" s="81">
        <f t="shared" si="16"/>
        <v>42</v>
      </c>
      <c r="V170" s="81">
        <f t="shared" si="17"/>
        <v>2</v>
      </c>
      <c r="W170" s="82">
        <f t="shared" si="18"/>
        <v>84</v>
      </c>
      <c r="X170" s="82" t="s">
        <v>84</v>
      </c>
      <c r="Y170" s="24" t="s">
        <v>93</v>
      </c>
    </row>
    <row r="171" spans="1:25" s="24" customFormat="1" ht="11.1" customHeight="1">
      <c r="A171" s="74">
        <f t="shared" si="20"/>
        <v>169</v>
      </c>
      <c r="B171" s="75" t="s">
        <v>257</v>
      </c>
      <c r="C171" s="74" t="str">
        <f>IF($B171&lt;&gt;"",_xlfn.IFNA(VLOOKUP($B171,'Node Details'!$B:$U,C$1,0),"Check"),"")</f>
        <v>0000AXY09-AXY090105</v>
      </c>
      <c r="D171" s="74" t="str">
        <f>IF($B171&lt;&gt;"",_xlfn.IFNA(VLOOKUP($B171,'Node Details'!$B:$U,D$1,0),"Check"),"")</f>
        <v>AXY</v>
      </c>
      <c r="E171" s="74" t="str">
        <f>IF($B171&lt;&gt;"",_xlfn.IFNA(VLOOKUP($B171,'Node Details'!$B:$U,E$1,0),"Check"),"")</f>
        <v>Airtel</v>
      </c>
      <c r="F171" s="76">
        <v>46113</v>
      </c>
      <c r="G171" s="74"/>
      <c r="H171" s="10" t="s">
        <v>22</v>
      </c>
      <c r="I171" s="9">
        <v>2</v>
      </c>
      <c r="J171" s="9">
        <v>42</v>
      </c>
      <c r="K171" s="77">
        <f t="shared" si="19"/>
        <v>84</v>
      </c>
      <c r="L171" s="76">
        <v>46112</v>
      </c>
      <c r="N171" s="83"/>
      <c r="O171" s="84"/>
      <c r="P171" s="81">
        <f t="shared" si="14"/>
        <v>42</v>
      </c>
      <c r="Q171" s="81">
        <f t="shared" si="15"/>
        <v>84</v>
      </c>
      <c r="R171" s="81"/>
      <c r="S171" s="81"/>
      <c r="T171" s="85"/>
      <c r="U171" s="81">
        <f t="shared" si="16"/>
        <v>42</v>
      </c>
      <c r="V171" s="81">
        <f t="shared" si="17"/>
        <v>2</v>
      </c>
      <c r="W171" s="82">
        <f t="shared" si="18"/>
        <v>84</v>
      </c>
      <c r="X171" s="82" t="s">
        <v>84</v>
      </c>
      <c r="Y171" s="24" t="s">
        <v>93</v>
      </c>
    </row>
    <row r="172" spans="1:25" s="24" customFormat="1" ht="11.1" customHeight="1">
      <c r="A172" s="74">
        <f t="shared" si="20"/>
        <v>170</v>
      </c>
      <c r="B172" s="75" t="s">
        <v>1009</v>
      </c>
      <c r="C172" s="74" t="str">
        <f>IF($B172&lt;&gt;"",_xlfn.IFNA(VLOOKUP($B172,'Node Details'!$B:$U,C$1,0),"Check"),"")</f>
        <v>0000AXY09-AXY090201</v>
      </c>
      <c r="D172" s="74" t="str">
        <f>IF($B172&lt;&gt;"",_xlfn.IFNA(VLOOKUP($B172,'Node Details'!$B:$U,D$1,0),"Check"),"")</f>
        <v>AXY</v>
      </c>
      <c r="E172" s="74" t="str">
        <f>IF($B172&lt;&gt;"",_xlfn.IFNA(VLOOKUP($B172,'Node Details'!$B:$U,E$1,0),"Check"),"")</f>
        <v>Airtel</v>
      </c>
      <c r="F172" s="76">
        <v>46113</v>
      </c>
      <c r="G172" s="74"/>
      <c r="H172" s="10" t="s">
        <v>22</v>
      </c>
      <c r="I172" s="9">
        <v>2</v>
      </c>
      <c r="J172" s="9">
        <v>42</v>
      </c>
      <c r="K172" s="77">
        <f t="shared" si="19"/>
        <v>84</v>
      </c>
      <c r="L172" s="76">
        <v>46112</v>
      </c>
      <c r="N172" s="83"/>
      <c r="O172" s="84"/>
      <c r="P172" s="81">
        <f t="shared" si="14"/>
        <v>42</v>
      </c>
      <c r="Q172" s="81">
        <f t="shared" si="15"/>
        <v>84</v>
      </c>
      <c r="R172" s="81"/>
      <c r="S172" s="81"/>
      <c r="T172" s="85"/>
      <c r="U172" s="81">
        <f t="shared" si="16"/>
        <v>42</v>
      </c>
      <c r="V172" s="81">
        <f t="shared" si="17"/>
        <v>2</v>
      </c>
      <c r="W172" s="82">
        <f t="shared" si="18"/>
        <v>84</v>
      </c>
      <c r="X172" s="82" t="s">
        <v>84</v>
      </c>
      <c r="Y172" s="24" t="s">
        <v>93</v>
      </c>
    </row>
    <row r="173" spans="1:25" s="24" customFormat="1" ht="11.1" customHeight="1">
      <c r="A173" s="74">
        <f t="shared" si="20"/>
        <v>171</v>
      </c>
      <c r="B173" s="75" t="s">
        <v>1010</v>
      </c>
      <c r="C173" s="74" t="str">
        <f>IF($B173&lt;&gt;"",_xlfn.IFNA(VLOOKUP($B173,'Node Details'!$B:$U,C$1,0),"Check"),"")</f>
        <v>0000AXY09-AXY090201</v>
      </c>
      <c r="D173" s="74" t="str">
        <f>IF($B173&lt;&gt;"",_xlfn.IFNA(VLOOKUP($B173,'Node Details'!$B:$U,D$1,0),"Check"),"")</f>
        <v>AXY</v>
      </c>
      <c r="E173" s="74" t="str">
        <f>IF($B173&lt;&gt;"",_xlfn.IFNA(VLOOKUP($B173,'Node Details'!$B:$U,E$1,0),"Check"),"")</f>
        <v>Airtel</v>
      </c>
      <c r="F173" s="76">
        <v>46113</v>
      </c>
      <c r="G173" s="74"/>
      <c r="H173" s="10" t="s">
        <v>22</v>
      </c>
      <c r="I173" s="9">
        <v>2</v>
      </c>
      <c r="J173" s="9">
        <v>42</v>
      </c>
      <c r="K173" s="77">
        <f t="shared" si="19"/>
        <v>84</v>
      </c>
      <c r="L173" s="76">
        <v>46112</v>
      </c>
      <c r="N173" s="83"/>
      <c r="O173" s="84"/>
      <c r="P173" s="81">
        <f t="shared" si="14"/>
        <v>42</v>
      </c>
      <c r="Q173" s="81">
        <f t="shared" si="15"/>
        <v>84</v>
      </c>
      <c r="R173" s="81"/>
      <c r="S173" s="81"/>
      <c r="T173" s="85"/>
      <c r="U173" s="81">
        <f t="shared" si="16"/>
        <v>42</v>
      </c>
      <c r="V173" s="81">
        <f t="shared" si="17"/>
        <v>2</v>
      </c>
      <c r="W173" s="82">
        <f t="shared" si="18"/>
        <v>84</v>
      </c>
      <c r="X173" s="82" t="s">
        <v>84</v>
      </c>
      <c r="Y173" s="24" t="s">
        <v>93</v>
      </c>
    </row>
    <row r="174" spans="1:25" s="24" customFormat="1" ht="11.1" customHeight="1">
      <c r="A174" s="74">
        <f t="shared" si="20"/>
        <v>172</v>
      </c>
      <c r="B174" s="75" t="s">
        <v>1011</v>
      </c>
      <c r="C174" s="74" t="str">
        <f>IF($B174&lt;&gt;"",_xlfn.IFNA(VLOOKUP($B174,'Node Details'!$B:$U,C$1,0),"Check"),"")</f>
        <v>0000AXY09-AXY090201</v>
      </c>
      <c r="D174" s="74" t="str">
        <f>IF($B174&lt;&gt;"",_xlfn.IFNA(VLOOKUP($B174,'Node Details'!$B:$U,D$1,0),"Check"),"")</f>
        <v>AXY</v>
      </c>
      <c r="E174" s="74" t="str">
        <f>IF($B174&lt;&gt;"",_xlfn.IFNA(VLOOKUP($B174,'Node Details'!$B:$U,E$1,0),"Check"),"")</f>
        <v>Airtel</v>
      </c>
      <c r="F174" s="76">
        <v>46113</v>
      </c>
      <c r="G174" s="74"/>
      <c r="H174" s="10" t="s">
        <v>22</v>
      </c>
      <c r="I174" s="9">
        <v>2</v>
      </c>
      <c r="J174" s="9">
        <v>42</v>
      </c>
      <c r="K174" s="77">
        <f t="shared" si="19"/>
        <v>84</v>
      </c>
      <c r="L174" s="76">
        <v>46112</v>
      </c>
      <c r="N174" s="83"/>
      <c r="O174" s="84"/>
      <c r="P174" s="81">
        <f t="shared" si="14"/>
        <v>42</v>
      </c>
      <c r="Q174" s="81">
        <f t="shared" si="15"/>
        <v>84</v>
      </c>
      <c r="R174" s="81"/>
      <c r="S174" s="81"/>
      <c r="T174" s="85"/>
      <c r="U174" s="81">
        <f t="shared" si="16"/>
        <v>42</v>
      </c>
      <c r="V174" s="81">
        <f t="shared" si="17"/>
        <v>2</v>
      </c>
      <c r="W174" s="82">
        <f t="shared" si="18"/>
        <v>84</v>
      </c>
      <c r="X174" s="82" t="s">
        <v>84</v>
      </c>
      <c r="Y174" s="24" t="s">
        <v>93</v>
      </c>
    </row>
    <row r="175" spans="1:25" s="24" customFormat="1" ht="11.1" customHeight="1">
      <c r="A175" s="74">
        <f t="shared" si="20"/>
        <v>173</v>
      </c>
      <c r="B175" s="75" t="s">
        <v>250</v>
      </c>
      <c r="C175" s="74" t="str">
        <f>IF($B175&lt;&gt;"",_xlfn.IFNA(VLOOKUP($B175,'Node Details'!$B:$U,C$1,0),"Check"),"")</f>
        <v>0000AXY09-AXY090201</v>
      </c>
      <c r="D175" s="74" t="str">
        <f>IF($B175&lt;&gt;"",_xlfn.IFNA(VLOOKUP($B175,'Node Details'!$B:$U,D$1,0),"Check"),"")</f>
        <v>AXY</v>
      </c>
      <c r="E175" s="74" t="str">
        <f>IF($B175&lt;&gt;"",_xlfn.IFNA(VLOOKUP($B175,'Node Details'!$B:$U,E$1,0),"Check"),"")</f>
        <v>Airtel</v>
      </c>
      <c r="F175" s="76">
        <v>46113</v>
      </c>
      <c r="G175" s="74"/>
      <c r="H175" s="10" t="s">
        <v>22</v>
      </c>
      <c r="I175" s="9">
        <v>2</v>
      </c>
      <c r="J175" s="9">
        <v>42</v>
      </c>
      <c r="K175" s="77">
        <f t="shared" si="19"/>
        <v>84</v>
      </c>
      <c r="L175" s="76">
        <v>46112</v>
      </c>
      <c r="N175" s="83"/>
      <c r="O175" s="84"/>
      <c r="P175" s="81">
        <f t="shared" ref="P175:P238" si="21">J175</f>
        <v>42</v>
      </c>
      <c r="Q175" s="81">
        <f t="shared" ref="Q175:Q238" si="22">P175*I175</f>
        <v>84</v>
      </c>
      <c r="R175" s="81"/>
      <c r="S175" s="81"/>
      <c r="T175" s="85"/>
      <c r="U175" s="81">
        <f t="shared" ref="U175:U238" si="23">J175</f>
        <v>42</v>
      </c>
      <c r="V175" s="81">
        <f t="shared" ref="V175:V238" si="24">I175</f>
        <v>2</v>
      </c>
      <c r="W175" s="82">
        <f t="shared" ref="W175:W238" si="25">IF(V175&lt;&gt;"",V175*U175,0)</f>
        <v>84</v>
      </c>
      <c r="X175" s="82" t="s">
        <v>84</v>
      </c>
      <c r="Y175" s="24" t="s">
        <v>93</v>
      </c>
    </row>
    <row r="176" spans="1:25" s="24" customFormat="1" ht="11.1" customHeight="1">
      <c r="A176" s="74">
        <f t="shared" si="20"/>
        <v>174</v>
      </c>
      <c r="B176" s="75" t="s">
        <v>1012</v>
      </c>
      <c r="C176" s="74" t="str">
        <f>IF($B176&lt;&gt;"",_xlfn.IFNA(VLOOKUP($B176,'Node Details'!$B:$U,C$1,0),"Check"),"")</f>
        <v>AXY090201-AXY090204</v>
      </c>
      <c r="D176" s="74" t="str">
        <f>IF($B176&lt;&gt;"",_xlfn.IFNA(VLOOKUP($B176,'Node Details'!$B:$U,D$1,0),"Check"),"")</f>
        <v>AXY</v>
      </c>
      <c r="E176" s="74" t="str">
        <f>IF($B176&lt;&gt;"",_xlfn.IFNA(VLOOKUP($B176,'Node Details'!$B:$U,E$1,0),"Check"),"")</f>
        <v>Airtel</v>
      </c>
      <c r="F176" s="76">
        <v>46113</v>
      </c>
      <c r="G176" s="74"/>
      <c r="H176" s="10" t="s">
        <v>22</v>
      </c>
      <c r="I176" s="9">
        <v>2</v>
      </c>
      <c r="J176" s="9">
        <v>42</v>
      </c>
      <c r="K176" s="77">
        <f t="shared" ref="K176:K239" si="26">IF(I176&lt;&gt;"",J176*I176,0)</f>
        <v>84</v>
      </c>
      <c r="L176" s="76">
        <v>46112</v>
      </c>
      <c r="N176" s="83"/>
      <c r="O176" s="84"/>
      <c r="P176" s="81">
        <f t="shared" si="21"/>
        <v>42</v>
      </c>
      <c r="Q176" s="81">
        <f t="shared" si="22"/>
        <v>84</v>
      </c>
      <c r="R176" s="81"/>
      <c r="S176" s="81"/>
      <c r="T176" s="85"/>
      <c r="U176" s="81">
        <f t="shared" si="23"/>
        <v>42</v>
      </c>
      <c r="V176" s="81">
        <f t="shared" si="24"/>
        <v>2</v>
      </c>
      <c r="W176" s="82">
        <f t="shared" si="25"/>
        <v>84</v>
      </c>
      <c r="X176" s="82" t="s">
        <v>84</v>
      </c>
      <c r="Y176" s="24" t="s">
        <v>93</v>
      </c>
    </row>
    <row r="177" spans="1:25" s="24" customFormat="1" ht="11.1" customHeight="1">
      <c r="A177" s="74">
        <f t="shared" si="20"/>
        <v>175</v>
      </c>
      <c r="B177" s="75" t="s">
        <v>1013</v>
      </c>
      <c r="C177" s="74" t="str">
        <f>IF($B177&lt;&gt;"",_xlfn.IFNA(VLOOKUP($B177,'Node Details'!$B:$U,C$1,0),"Check"),"")</f>
        <v>AXY090201-AXY090204</v>
      </c>
      <c r="D177" s="74" t="str">
        <f>IF($B177&lt;&gt;"",_xlfn.IFNA(VLOOKUP($B177,'Node Details'!$B:$U,D$1,0),"Check"),"")</f>
        <v>AXY</v>
      </c>
      <c r="E177" s="74" t="str">
        <f>IF($B177&lt;&gt;"",_xlfn.IFNA(VLOOKUP($B177,'Node Details'!$B:$U,E$1,0),"Check"),"")</f>
        <v>Airtel</v>
      </c>
      <c r="F177" s="76">
        <v>46113</v>
      </c>
      <c r="G177" s="74"/>
      <c r="H177" s="10" t="s">
        <v>22</v>
      </c>
      <c r="I177" s="9">
        <v>2</v>
      </c>
      <c r="J177" s="9">
        <v>42</v>
      </c>
      <c r="K177" s="77">
        <f t="shared" si="26"/>
        <v>84</v>
      </c>
      <c r="L177" s="76">
        <v>46112</v>
      </c>
      <c r="N177" s="83"/>
      <c r="O177" s="84"/>
      <c r="P177" s="81">
        <f t="shared" si="21"/>
        <v>42</v>
      </c>
      <c r="Q177" s="81">
        <f t="shared" si="22"/>
        <v>84</v>
      </c>
      <c r="R177" s="81"/>
      <c r="S177" s="81"/>
      <c r="T177" s="85"/>
      <c r="U177" s="81">
        <f t="shared" si="23"/>
        <v>42</v>
      </c>
      <c r="V177" s="81">
        <f t="shared" si="24"/>
        <v>2</v>
      </c>
      <c r="W177" s="82">
        <f t="shared" si="25"/>
        <v>84</v>
      </c>
      <c r="X177" s="82" t="s">
        <v>84</v>
      </c>
      <c r="Y177" s="24" t="s">
        <v>93</v>
      </c>
    </row>
    <row r="178" spans="1:25" s="24" customFormat="1" ht="11.1" customHeight="1">
      <c r="A178" s="74">
        <f t="shared" si="20"/>
        <v>176</v>
      </c>
      <c r="B178" s="75" t="s">
        <v>261</v>
      </c>
      <c r="C178" s="74" t="str">
        <f>IF($B178&lt;&gt;"",_xlfn.IFNA(VLOOKUP($B178,'Node Details'!$B:$U,C$1,0),"Check"),"")</f>
        <v>AXY090201-AXY090204</v>
      </c>
      <c r="D178" s="74" t="str">
        <f>IF($B178&lt;&gt;"",_xlfn.IFNA(VLOOKUP($B178,'Node Details'!$B:$U,D$1,0),"Check"),"")</f>
        <v>AXY</v>
      </c>
      <c r="E178" s="74" t="str">
        <f>IF($B178&lt;&gt;"",_xlfn.IFNA(VLOOKUP($B178,'Node Details'!$B:$U,E$1,0),"Check"),"")</f>
        <v>Airtel</v>
      </c>
      <c r="F178" s="76">
        <v>46113</v>
      </c>
      <c r="G178" s="74"/>
      <c r="H178" s="10" t="s">
        <v>22</v>
      </c>
      <c r="I178" s="9">
        <v>2</v>
      </c>
      <c r="J178" s="9">
        <v>42</v>
      </c>
      <c r="K178" s="77">
        <f t="shared" si="26"/>
        <v>84</v>
      </c>
      <c r="L178" s="76">
        <v>46112</v>
      </c>
      <c r="N178" s="83"/>
      <c r="O178" s="84"/>
      <c r="P178" s="81">
        <f t="shared" si="21"/>
        <v>42</v>
      </c>
      <c r="Q178" s="81">
        <f t="shared" si="22"/>
        <v>84</v>
      </c>
      <c r="R178" s="81"/>
      <c r="S178" s="81"/>
      <c r="T178" s="85"/>
      <c r="U178" s="81">
        <f t="shared" si="23"/>
        <v>42</v>
      </c>
      <c r="V178" s="81">
        <f t="shared" si="24"/>
        <v>2</v>
      </c>
      <c r="W178" s="82">
        <f t="shared" si="25"/>
        <v>84</v>
      </c>
      <c r="X178" s="82" t="s">
        <v>84</v>
      </c>
      <c r="Y178" s="24" t="s">
        <v>93</v>
      </c>
    </row>
    <row r="179" spans="1:25" s="24" customFormat="1" ht="11.1" customHeight="1">
      <c r="A179" s="74">
        <f t="shared" si="20"/>
        <v>177</v>
      </c>
      <c r="B179" s="75" t="s">
        <v>1015</v>
      </c>
      <c r="C179" s="74" t="str">
        <f>IF($B179&lt;&gt;"",_xlfn.IFNA(VLOOKUP($B179,'Node Details'!$B:$U,C$1,0),"Check"),"")</f>
        <v>0000AXY10-AXY100104</v>
      </c>
      <c r="D179" s="74" t="str">
        <f>IF($B179&lt;&gt;"",_xlfn.IFNA(VLOOKUP($B179,'Node Details'!$B:$U,D$1,0),"Check"),"")</f>
        <v>AXY</v>
      </c>
      <c r="E179" s="74" t="str">
        <f>IF($B179&lt;&gt;"",_xlfn.IFNA(VLOOKUP($B179,'Node Details'!$B:$U,E$1,0),"Check"),"")</f>
        <v>Airtel</v>
      </c>
      <c r="F179" s="76">
        <v>46113</v>
      </c>
      <c r="G179" s="74"/>
      <c r="H179" s="10" t="s">
        <v>22</v>
      </c>
      <c r="I179" s="9">
        <v>2</v>
      </c>
      <c r="J179" s="9">
        <v>42</v>
      </c>
      <c r="K179" s="77">
        <f t="shared" si="26"/>
        <v>84</v>
      </c>
      <c r="L179" s="76">
        <v>46112</v>
      </c>
      <c r="N179" s="83"/>
      <c r="O179" s="84"/>
      <c r="P179" s="81">
        <f t="shared" si="21"/>
        <v>42</v>
      </c>
      <c r="Q179" s="81">
        <f t="shared" si="22"/>
        <v>84</v>
      </c>
      <c r="R179" s="81"/>
      <c r="S179" s="81"/>
      <c r="T179" s="85"/>
      <c r="U179" s="81">
        <f t="shared" si="23"/>
        <v>42</v>
      </c>
      <c r="V179" s="81">
        <f t="shared" si="24"/>
        <v>2</v>
      </c>
      <c r="W179" s="82">
        <f t="shared" si="25"/>
        <v>84</v>
      </c>
      <c r="X179" s="82" t="s">
        <v>84</v>
      </c>
      <c r="Y179" s="24" t="s">
        <v>93</v>
      </c>
    </row>
    <row r="180" spans="1:25" s="24" customFormat="1" ht="11.1" customHeight="1">
      <c r="A180" s="74">
        <f t="shared" si="20"/>
        <v>178</v>
      </c>
      <c r="B180" s="75" t="s">
        <v>1016</v>
      </c>
      <c r="C180" s="74" t="str">
        <f>IF($B180&lt;&gt;"",_xlfn.IFNA(VLOOKUP($B180,'Node Details'!$B:$U,C$1,0),"Check"),"")</f>
        <v>0000AXY10-AXY100104</v>
      </c>
      <c r="D180" s="74" t="str">
        <f>IF($B180&lt;&gt;"",_xlfn.IFNA(VLOOKUP($B180,'Node Details'!$B:$U,D$1,0),"Check"),"")</f>
        <v>AXY</v>
      </c>
      <c r="E180" s="74" t="str">
        <f>IF($B180&lt;&gt;"",_xlfn.IFNA(VLOOKUP($B180,'Node Details'!$B:$U,E$1,0),"Check"),"")</f>
        <v>Airtel</v>
      </c>
      <c r="F180" s="76">
        <v>46113</v>
      </c>
      <c r="G180" s="74"/>
      <c r="H180" s="10" t="s">
        <v>22</v>
      </c>
      <c r="I180" s="9">
        <v>2</v>
      </c>
      <c r="J180" s="9">
        <v>42</v>
      </c>
      <c r="K180" s="77">
        <f t="shared" si="26"/>
        <v>84</v>
      </c>
      <c r="L180" s="76">
        <v>46112</v>
      </c>
      <c r="N180" s="83"/>
      <c r="O180" s="84"/>
      <c r="P180" s="81">
        <f t="shared" si="21"/>
        <v>42</v>
      </c>
      <c r="Q180" s="81">
        <f t="shared" si="22"/>
        <v>84</v>
      </c>
      <c r="R180" s="81"/>
      <c r="S180" s="81"/>
      <c r="T180" s="85"/>
      <c r="U180" s="81">
        <f t="shared" si="23"/>
        <v>42</v>
      </c>
      <c r="V180" s="81">
        <f t="shared" si="24"/>
        <v>2</v>
      </c>
      <c r="W180" s="82">
        <f t="shared" si="25"/>
        <v>84</v>
      </c>
      <c r="X180" s="82" t="s">
        <v>84</v>
      </c>
      <c r="Y180" s="24" t="s">
        <v>93</v>
      </c>
    </row>
    <row r="181" spans="1:25" s="24" customFormat="1" ht="11.1" customHeight="1">
      <c r="A181" s="74">
        <f t="shared" si="20"/>
        <v>179</v>
      </c>
      <c r="B181" s="75" t="s">
        <v>265</v>
      </c>
      <c r="C181" s="74" t="str">
        <f>IF($B181&lt;&gt;"",_xlfn.IFNA(VLOOKUP($B181,'Node Details'!$B:$U,C$1,0),"Check"),"")</f>
        <v>0000AXY10-AXY100104</v>
      </c>
      <c r="D181" s="74" t="str">
        <f>IF($B181&lt;&gt;"",_xlfn.IFNA(VLOOKUP($B181,'Node Details'!$B:$U,D$1,0),"Check"),"")</f>
        <v>AXY</v>
      </c>
      <c r="E181" s="74" t="str">
        <f>IF($B181&lt;&gt;"",_xlfn.IFNA(VLOOKUP($B181,'Node Details'!$B:$U,E$1,0),"Check"),"")</f>
        <v>Airtel</v>
      </c>
      <c r="F181" s="76">
        <v>46113</v>
      </c>
      <c r="G181" s="74"/>
      <c r="H181" s="10" t="s">
        <v>22</v>
      </c>
      <c r="I181" s="9">
        <v>2</v>
      </c>
      <c r="J181" s="9">
        <v>42</v>
      </c>
      <c r="K181" s="77">
        <f t="shared" si="26"/>
        <v>84</v>
      </c>
      <c r="L181" s="76">
        <v>46112</v>
      </c>
      <c r="N181" s="83"/>
      <c r="O181" s="84"/>
      <c r="P181" s="81">
        <f t="shared" si="21"/>
        <v>42</v>
      </c>
      <c r="Q181" s="81">
        <f t="shared" si="22"/>
        <v>84</v>
      </c>
      <c r="R181" s="81"/>
      <c r="S181" s="81"/>
      <c r="T181" s="85"/>
      <c r="U181" s="81">
        <f t="shared" si="23"/>
        <v>42</v>
      </c>
      <c r="V181" s="81">
        <f t="shared" si="24"/>
        <v>2</v>
      </c>
      <c r="W181" s="82">
        <f t="shared" si="25"/>
        <v>84</v>
      </c>
      <c r="X181" s="82" t="s">
        <v>84</v>
      </c>
      <c r="Y181" s="24" t="s">
        <v>93</v>
      </c>
    </row>
    <row r="182" spans="1:25" s="24" customFormat="1" ht="11.1" customHeight="1">
      <c r="A182" s="74">
        <f t="shared" si="20"/>
        <v>180</v>
      </c>
      <c r="B182" s="75" t="s">
        <v>1017</v>
      </c>
      <c r="C182" s="74" t="str">
        <f>IF($B182&lt;&gt;"",_xlfn.IFNA(VLOOKUP($B182,'Node Details'!$B:$U,C$1,0),"Check"),"")</f>
        <v>0000AXY10-AXY100105</v>
      </c>
      <c r="D182" s="74" t="str">
        <f>IF($B182&lt;&gt;"",_xlfn.IFNA(VLOOKUP($B182,'Node Details'!$B:$U,D$1,0),"Check"),"")</f>
        <v>AXY</v>
      </c>
      <c r="E182" s="74" t="str">
        <f>IF($B182&lt;&gt;"",_xlfn.IFNA(VLOOKUP($B182,'Node Details'!$B:$U,E$1,0),"Check"),"")</f>
        <v>Airtel</v>
      </c>
      <c r="F182" s="76">
        <v>46113</v>
      </c>
      <c r="G182" s="74"/>
      <c r="H182" s="10" t="s">
        <v>22</v>
      </c>
      <c r="I182" s="9">
        <v>2</v>
      </c>
      <c r="J182" s="9">
        <v>42</v>
      </c>
      <c r="K182" s="77">
        <f t="shared" si="26"/>
        <v>84</v>
      </c>
      <c r="L182" s="76">
        <v>46112</v>
      </c>
      <c r="N182" s="83"/>
      <c r="O182" s="84"/>
      <c r="P182" s="81">
        <f t="shared" si="21"/>
        <v>42</v>
      </c>
      <c r="Q182" s="81">
        <f t="shared" si="22"/>
        <v>84</v>
      </c>
      <c r="R182" s="81"/>
      <c r="S182" s="81"/>
      <c r="T182" s="85"/>
      <c r="U182" s="81">
        <f t="shared" si="23"/>
        <v>42</v>
      </c>
      <c r="V182" s="81">
        <f t="shared" si="24"/>
        <v>2</v>
      </c>
      <c r="W182" s="82">
        <f t="shared" si="25"/>
        <v>84</v>
      </c>
      <c r="X182" s="82" t="s">
        <v>84</v>
      </c>
      <c r="Y182" s="24" t="s">
        <v>93</v>
      </c>
    </row>
    <row r="183" spans="1:25" s="24" customFormat="1" ht="11.1" customHeight="1">
      <c r="A183" s="74">
        <f t="shared" si="20"/>
        <v>181</v>
      </c>
      <c r="B183" s="75" t="s">
        <v>269</v>
      </c>
      <c r="C183" s="74" t="str">
        <f>IF($B183&lt;&gt;"",_xlfn.IFNA(VLOOKUP($B183,'Node Details'!$B:$U,C$1,0),"Check"),"")</f>
        <v>0000AXY10-AXY100105</v>
      </c>
      <c r="D183" s="74" t="str">
        <f>IF($B183&lt;&gt;"",_xlfn.IFNA(VLOOKUP($B183,'Node Details'!$B:$U,D$1,0),"Check"),"")</f>
        <v>AXY</v>
      </c>
      <c r="E183" s="74" t="str">
        <f>IF($B183&lt;&gt;"",_xlfn.IFNA(VLOOKUP($B183,'Node Details'!$B:$U,E$1,0),"Check"),"")</f>
        <v>Airtel</v>
      </c>
      <c r="F183" s="76">
        <v>46113</v>
      </c>
      <c r="G183" s="74"/>
      <c r="H183" s="10" t="s">
        <v>22</v>
      </c>
      <c r="I183" s="9">
        <v>2</v>
      </c>
      <c r="J183" s="9">
        <v>42</v>
      </c>
      <c r="K183" s="77">
        <f t="shared" si="26"/>
        <v>84</v>
      </c>
      <c r="L183" s="76">
        <v>46112</v>
      </c>
      <c r="N183" s="83"/>
      <c r="O183" s="84"/>
      <c r="P183" s="81">
        <f t="shared" si="21"/>
        <v>42</v>
      </c>
      <c r="Q183" s="81">
        <f t="shared" si="22"/>
        <v>84</v>
      </c>
      <c r="R183" s="81"/>
      <c r="S183" s="81"/>
      <c r="T183" s="85"/>
      <c r="U183" s="81">
        <f t="shared" si="23"/>
        <v>42</v>
      </c>
      <c r="V183" s="81">
        <f t="shared" si="24"/>
        <v>2</v>
      </c>
      <c r="W183" s="82">
        <f t="shared" si="25"/>
        <v>84</v>
      </c>
      <c r="X183" s="82" t="s">
        <v>84</v>
      </c>
      <c r="Y183" s="24" t="s">
        <v>93</v>
      </c>
    </row>
    <row r="184" spans="1:25" s="24" customFormat="1" ht="11.1" customHeight="1">
      <c r="A184" s="74">
        <f t="shared" si="20"/>
        <v>182</v>
      </c>
      <c r="B184" s="75" t="s">
        <v>1018</v>
      </c>
      <c r="C184" s="74" t="str">
        <f>IF($B184&lt;&gt;"",_xlfn.IFNA(VLOOKUP($B184,'Node Details'!$B:$U,C$1,0),"Check"),"")</f>
        <v>AXY100106-AXY100201</v>
      </c>
      <c r="D184" s="74" t="str">
        <f>IF($B184&lt;&gt;"",_xlfn.IFNA(VLOOKUP($B184,'Node Details'!$B:$U,D$1,0),"Check"),"")</f>
        <v>AXY</v>
      </c>
      <c r="E184" s="74" t="str">
        <f>IF($B184&lt;&gt;"",_xlfn.IFNA(VLOOKUP($B184,'Node Details'!$B:$U,E$1,0),"Check"),"")</f>
        <v>Airtel</v>
      </c>
      <c r="F184" s="76">
        <v>46113</v>
      </c>
      <c r="G184" s="74"/>
      <c r="H184" s="10" t="s">
        <v>22</v>
      </c>
      <c r="I184" s="9">
        <v>2</v>
      </c>
      <c r="J184" s="9">
        <v>42</v>
      </c>
      <c r="K184" s="77">
        <f t="shared" si="26"/>
        <v>84</v>
      </c>
      <c r="L184" s="76">
        <v>46112</v>
      </c>
      <c r="N184" s="83"/>
      <c r="O184" s="84"/>
      <c r="P184" s="81">
        <f t="shared" si="21"/>
        <v>42</v>
      </c>
      <c r="Q184" s="81">
        <f t="shared" si="22"/>
        <v>84</v>
      </c>
      <c r="R184" s="81"/>
      <c r="S184" s="81"/>
      <c r="T184" s="85"/>
      <c r="U184" s="81">
        <f t="shared" si="23"/>
        <v>42</v>
      </c>
      <c r="V184" s="81">
        <f t="shared" si="24"/>
        <v>2</v>
      </c>
      <c r="W184" s="82">
        <f t="shared" si="25"/>
        <v>84</v>
      </c>
      <c r="X184" s="82" t="s">
        <v>84</v>
      </c>
      <c r="Y184" s="24" t="s">
        <v>93</v>
      </c>
    </row>
    <row r="185" spans="1:25" s="24" customFormat="1" ht="11.1" customHeight="1">
      <c r="A185" s="74">
        <f t="shared" si="20"/>
        <v>183</v>
      </c>
      <c r="B185" s="75" t="s">
        <v>273</v>
      </c>
      <c r="C185" s="74" t="str">
        <f>IF($B185&lt;&gt;"",_xlfn.IFNA(VLOOKUP($B185,'Node Details'!$B:$U,C$1,0),"Check"),"")</f>
        <v>AXY100106-AXY100201</v>
      </c>
      <c r="D185" s="74" t="str">
        <f>IF($B185&lt;&gt;"",_xlfn.IFNA(VLOOKUP($B185,'Node Details'!$B:$U,D$1,0),"Check"),"")</f>
        <v>AXY</v>
      </c>
      <c r="E185" s="74" t="str">
        <f>IF($B185&lt;&gt;"",_xlfn.IFNA(VLOOKUP($B185,'Node Details'!$B:$U,E$1,0),"Check"),"")</f>
        <v>Airtel</v>
      </c>
      <c r="F185" s="76">
        <v>46113</v>
      </c>
      <c r="G185" s="74"/>
      <c r="H185" s="10" t="s">
        <v>22</v>
      </c>
      <c r="I185" s="9">
        <v>2</v>
      </c>
      <c r="J185" s="9">
        <v>42</v>
      </c>
      <c r="K185" s="77">
        <f t="shared" si="26"/>
        <v>84</v>
      </c>
      <c r="L185" s="76">
        <v>46112</v>
      </c>
      <c r="N185" s="83"/>
      <c r="O185" s="84"/>
      <c r="P185" s="81">
        <f t="shared" si="21"/>
        <v>42</v>
      </c>
      <c r="Q185" s="81">
        <f t="shared" si="22"/>
        <v>84</v>
      </c>
      <c r="R185" s="81"/>
      <c r="S185" s="81"/>
      <c r="T185" s="85"/>
      <c r="U185" s="81">
        <f t="shared" si="23"/>
        <v>42</v>
      </c>
      <c r="V185" s="81">
        <f t="shared" si="24"/>
        <v>2</v>
      </c>
      <c r="W185" s="82">
        <f t="shared" si="25"/>
        <v>84</v>
      </c>
      <c r="X185" s="82" t="s">
        <v>84</v>
      </c>
      <c r="Y185" s="24" t="s">
        <v>93</v>
      </c>
    </row>
    <row r="186" spans="1:25" s="24" customFormat="1" ht="11.1" customHeight="1">
      <c r="A186" s="74">
        <f t="shared" si="20"/>
        <v>184</v>
      </c>
      <c r="B186" s="75" t="s">
        <v>1020</v>
      </c>
      <c r="C186" s="74" t="str">
        <f>IF($B186&lt;&gt;"",_xlfn.IFNA(VLOOKUP($B186,'Node Details'!$B:$U,C$1,0),"Check"),"")</f>
        <v>0000AXY11-AXY110102</v>
      </c>
      <c r="D186" s="74" t="str">
        <f>IF($B186&lt;&gt;"",_xlfn.IFNA(VLOOKUP($B186,'Node Details'!$B:$U,D$1,0),"Check"),"")</f>
        <v>AXY</v>
      </c>
      <c r="E186" s="74" t="str">
        <f>IF($B186&lt;&gt;"",_xlfn.IFNA(VLOOKUP($B186,'Node Details'!$B:$U,E$1,0),"Check"),"")</f>
        <v>Airtel</v>
      </c>
      <c r="F186" s="76">
        <v>46113</v>
      </c>
      <c r="G186" s="74"/>
      <c r="H186" s="10" t="s">
        <v>22</v>
      </c>
      <c r="I186" s="9">
        <v>2</v>
      </c>
      <c r="J186" s="9">
        <v>42</v>
      </c>
      <c r="K186" s="77">
        <f t="shared" si="26"/>
        <v>84</v>
      </c>
      <c r="L186" s="76">
        <v>46112</v>
      </c>
      <c r="N186" s="83"/>
      <c r="O186" s="84"/>
      <c r="P186" s="81">
        <f t="shared" si="21"/>
        <v>42</v>
      </c>
      <c r="Q186" s="81">
        <f t="shared" si="22"/>
        <v>84</v>
      </c>
      <c r="R186" s="81"/>
      <c r="S186" s="81"/>
      <c r="T186" s="85"/>
      <c r="U186" s="81">
        <f t="shared" si="23"/>
        <v>42</v>
      </c>
      <c r="V186" s="81">
        <f t="shared" si="24"/>
        <v>2</v>
      </c>
      <c r="W186" s="82">
        <f t="shared" si="25"/>
        <v>84</v>
      </c>
      <c r="X186" s="82" t="s">
        <v>84</v>
      </c>
      <c r="Y186" s="24" t="s">
        <v>93</v>
      </c>
    </row>
    <row r="187" spans="1:25" s="24" customFormat="1" ht="11.1" customHeight="1">
      <c r="A187" s="74">
        <f t="shared" si="20"/>
        <v>185</v>
      </c>
      <c r="B187" s="75" t="s">
        <v>277</v>
      </c>
      <c r="C187" s="74" t="str">
        <f>IF($B187&lt;&gt;"",_xlfn.IFNA(VLOOKUP($B187,'Node Details'!$B:$U,C$1,0),"Check"),"")</f>
        <v>0000AXY11-AXY110102</v>
      </c>
      <c r="D187" s="74" t="str">
        <f>IF($B187&lt;&gt;"",_xlfn.IFNA(VLOOKUP($B187,'Node Details'!$B:$U,D$1,0),"Check"),"")</f>
        <v>AXY</v>
      </c>
      <c r="E187" s="74" t="str">
        <f>IF($B187&lt;&gt;"",_xlfn.IFNA(VLOOKUP($B187,'Node Details'!$B:$U,E$1,0),"Check"),"")</f>
        <v>Airtel</v>
      </c>
      <c r="F187" s="76">
        <v>46113</v>
      </c>
      <c r="G187" s="74"/>
      <c r="H187" s="10" t="s">
        <v>22</v>
      </c>
      <c r="I187" s="9">
        <v>2</v>
      </c>
      <c r="J187" s="9">
        <v>42</v>
      </c>
      <c r="K187" s="77">
        <f t="shared" si="26"/>
        <v>84</v>
      </c>
      <c r="L187" s="76">
        <v>46112</v>
      </c>
      <c r="N187" s="83"/>
      <c r="O187" s="84"/>
      <c r="P187" s="81">
        <f t="shared" si="21"/>
        <v>42</v>
      </c>
      <c r="Q187" s="81">
        <f t="shared" si="22"/>
        <v>84</v>
      </c>
      <c r="R187" s="81"/>
      <c r="S187" s="81"/>
      <c r="T187" s="85"/>
      <c r="U187" s="81">
        <f t="shared" si="23"/>
        <v>42</v>
      </c>
      <c r="V187" s="81">
        <f t="shared" si="24"/>
        <v>2</v>
      </c>
      <c r="W187" s="82">
        <f t="shared" si="25"/>
        <v>84</v>
      </c>
      <c r="X187" s="82" t="s">
        <v>84</v>
      </c>
      <c r="Y187" s="24" t="s">
        <v>93</v>
      </c>
    </row>
    <row r="188" spans="1:25" s="24" customFormat="1" ht="11.1" customHeight="1">
      <c r="A188" s="74">
        <f t="shared" si="20"/>
        <v>186</v>
      </c>
      <c r="B188" s="75" t="s">
        <v>1021</v>
      </c>
      <c r="C188" s="74" t="str">
        <f>IF($B188&lt;&gt;"",_xlfn.IFNA(VLOOKUP($B188,'Node Details'!$B:$U,C$1,0),"Check"),"")</f>
        <v>0000AXY11-AXY110107</v>
      </c>
      <c r="D188" s="74" t="str">
        <f>IF($B188&lt;&gt;"",_xlfn.IFNA(VLOOKUP($B188,'Node Details'!$B:$U,D$1,0),"Check"),"")</f>
        <v>AXY</v>
      </c>
      <c r="E188" s="74" t="str">
        <f>IF($B188&lt;&gt;"",_xlfn.IFNA(VLOOKUP($B188,'Node Details'!$B:$U,E$1,0),"Check"),"")</f>
        <v>Airtel</v>
      </c>
      <c r="F188" s="76">
        <v>46113</v>
      </c>
      <c r="G188" s="74"/>
      <c r="H188" s="10" t="s">
        <v>22</v>
      </c>
      <c r="I188" s="9">
        <v>2</v>
      </c>
      <c r="J188" s="9">
        <v>42</v>
      </c>
      <c r="K188" s="77">
        <f t="shared" si="26"/>
        <v>84</v>
      </c>
      <c r="L188" s="76">
        <v>46112</v>
      </c>
      <c r="N188" s="83"/>
      <c r="O188" s="84"/>
      <c r="P188" s="81">
        <f t="shared" si="21"/>
        <v>42</v>
      </c>
      <c r="Q188" s="81">
        <f t="shared" si="22"/>
        <v>84</v>
      </c>
      <c r="R188" s="81"/>
      <c r="S188" s="81"/>
      <c r="T188" s="85"/>
      <c r="U188" s="81">
        <f t="shared" si="23"/>
        <v>42</v>
      </c>
      <c r="V188" s="81">
        <f t="shared" si="24"/>
        <v>2</v>
      </c>
      <c r="W188" s="82">
        <f t="shared" si="25"/>
        <v>84</v>
      </c>
      <c r="X188" s="82" t="s">
        <v>84</v>
      </c>
      <c r="Y188" s="24" t="s">
        <v>93</v>
      </c>
    </row>
    <row r="189" spans="1:25" s="24" customFormat="1" ht="11.1" customHeight="1">
      <c r="A189" s="74">
        <f t="shared" si="20"/>
        <v>187</v>
      </c>
      <c r="B189" s="75" t="s">
        <v>280</v>
      </c>
      <c r="C189" s="74" t="str">
        <f>IF($B189&lt;&gt;"",_xlfn.IFNA(VLOOKUP($B189,'Node Details'!$B:$U,C$1,0),"Check"),"")</f>
        <v>0000AXY11-AXY110107</v>
      </c>
      <c r="D189" s="74" t="str">
        <f>IF($B189&lt;&gt;"",_xlfn.IFNA(VLOOKUP($B189,'Node Details'!$B:$U,D$1,0),"Check"),"")</f>
        <v>AXY</v>
      </c>
      <c r="E189" s="74" t="str">
        <f>IF($B189&lt;&gt;"",_xlfn.IFNA(VLOOKUP($B189,'Node Details'!$B:$U,E$1,0),"Check"),"")</f>
        <v>Airtel</v>
      </c>
      <c r="F189" s="76">
        <v>46113</v>
      </c>
      <c r="G189" s="74"/>
      <c r="H189" s="10" t="s">
        <v>22</v>
      </c>
      <c r="I189" s="9">
        <v>2</v>
      </c>
      <c r="J189" s="9">
        <v>42</v>
      </c>
      <c r="K189" s="77">
        <f t="shared" si="26"/>
        <v>84</v>
      </c>
      <c r="L189" s="76">
        <v>46112</v>
      </c>
      <c r="N189" s="83"/>
      <c r="O189" s="84"/>
      <c r="P189" s="81">
        <f t="shared" si="21"/>
        <v>42</v>
      </c>
      <c r="Q189" s="81">
        <f t="shared" si="22"/>
        <v>84</v>
      </c>
      <c r="R189" s="81"/>
      <c r="S189" s="81"/>
      <c r="T189" s="85"/>
      <c r="U189" s="81">
        <f t="shared" si="23"/>
        <v>42</v>
      </c>
      <c r="V189" s="81">
        <f t="shared" si="24"/>
        <v>2</v>
      </c>
      <c r="W189" s="82">
        <f t="shared" si="25"/>
        <v>84</v>
      </c>
      <c r="X189" s="82" t="s">
        <v>84</v>
      </c>
      <c r="Y189" s="24" t="s">
        <v>93</v>
      </c>
    </row>
    <row r="190" spans="1:25" s="24" customFormat="1" ht="11.1" customHeight="1">
      <c r="A190" s="74">
        <f t="shared" si="20"/>
        <v>188</v>
      </c>
      <c r="B190" s="75" t="s">
        <v>1022</v>
      </c>
      <c r="C190" s="74" t="str">
        <f>IF($B190&lt;&gt;"",_xlfn.IFNA(VLOOKUP($B190,'Node Details'!$B:$U,C$1,0),"Check"),"")</f>
        <v>AXY110103-AXY110106</v>
      </c>
      <c r="D190" s="74" t="str">
        <f>IF($B190&lt;&gt;"",_xlfn.IFNA(VLOOKUP($B190,'Node Details'!$B:$U,D$1,0),"Check"),"")</f>
        <v>AXY</v>
      </c>
      <c r="E190" s="74" t="str">
        <f>IF($B190&lt;&gt;"",_xlfn.IFNA(VLOOKUP($B190,'Node Details'!$B:$U,E$1,0),"Check"),"")</f>
        <v>Airtel</v>
      </c>
      <c r="F190" s="76">
        <v>46113</v>
      </c>
      <c r="G190" s="74"/>
      <c r="H190" s="10" t="s">
        <v>22</v>
      </c>
      <c r="I190" s="9">
        <v>2</v>
      </c>
      <c r="J190" s="9">
        <v>42</v>
      </c>
      <c r="K190" s="77">
        <f t="shared" si="26"/>
        <v>84</v>
      </c>
      <c r="L190" s="76">
        <v>46112</v>
      </c>
      <c r="N190" s="83"/>
      <c r="O190" s="84"/>
      <c r="P190" s="81">
        <f t="shared" si="21"/>
        <v>42</v>
      </c>
      <c r="Q190" s="81">
        <f t="shared" si="22"/>
        <v>84</v>
      </c>
      <c r="R190" s="81"/>
      <c r="S190" s="81"/>
      <c r="T190" s="85"/>
      <c r="U190" s="81">
        <f t="shared" si="23"/>
        <v>42</v>
      </c>
      <c r="V190" s="81">
        <f t="shared" si="24"/>
        <v>2</v>
      </c>
      <c r="W190" s="82">
        <f t="shared" si="25"/>
        <v>84</v>
      </c>
      <c r="X190" s="82" t="s">
        <v>84</v>
      </c>
      <c r="Y190" s="24" t="s">
        <v>93</v>
      </c>
    </row>
    <row r="191" spans="1:25" s="24" customFormat="1" ht="11.1" customHeight="1">
      <c r="A191" s="74">
        <f t="shared" si="20"/>
        <v>189</v>
      </c>
      <c r="B191" s="75" t="s">
        <v>284</v>
      </c>
      <c r="C191" s="74" t="str">
        <f>IF($B191&lt;&gt;"",_xlfn.IFNA(VLOOKUP($B191,'Node Details'!$B:$U,C$1,0),"Check"),"")</f>
        <v>AXY110103-AXY110106</v>
      </c>
      <c r="D191" s="74" t="str">
        <f>IF($B191&lt;&gt;"",_xlfn.IFNA(VLOOKUP($B191,'Node Details'!$B:$U,D$1,0),"Check"),"")</f>
        <v>AXY</v>
      </c>
      <c r="E191" s="74" t="str">
        <f>IF($B191&lt;&gt;"",_xlfn.IFNA(VLOOKUP($B191,'Node Details'!$B:$U,E$1,0),"Check"),"")</f>
        <v>Airtel</v>
      </c>
      <c r="F191" s="76">
        <v>46113</v>
      </c>
      <c r="G191" s="74"/>
      <c r="H191" s="10" t="s">
        <v>22</v>
      </c>
      <c r="I191" s="9">
        <v>2</v>
      </c>
      <c r="J191" s="9">
        <v>42</v>
      </c>
      <c r="K191" s="77">
        <f t="shared" si="26"/>
        <v>84</v>
      </c>
      <c r="L191" s="76">
        <v>46112</v>
      </c>
      <c r="N191" s="83"/>
      <c r="O191" s="84"/>
      <c r="P191" s="81">
        <f t="shared" si="21"/>
        <v>42</v>
      </c>
      <c r="Q191" s="81">
        <f t="shared" si="22"/>
        <v>84</v>
      </c>
      <c r="R191" s="81"/>
      <c r="S191" s="81"/>
      <c r="T191" s="85"/>
      <c r="U191" s="81">
        <f t="shared" si="23"/>
        <v>42</v>
      </c>
      <c r="V191" s="81">
        <f t="shared" si="24"/>
        <v>2</v>
      </c>
      <c r="W191" s="82">
        <f t="shared" si="25"/>
        <v>84</v>
      </c>
      <c r="X191" s="82" t="s">
        <v>84</v>
      </c>
      <c r="Y191" s="24" t="s">
        <v>93</v>
      </c>
    </row>
    <row r="192" spans="1:25" s="24" customFormat="1" ht="11.1" customHeight="1">
      <c r="A192" s="74">
        <f t="shared" si="20"/>
        <v>190</v>
      </c>
      <c r="B192" s="75" t="s">
        <v>1023</v>
      </c>
      <c r="C192" s="74" t="str">
        <f>IF($B192&lt;&gt;"",_xlfn.IFNA(VLOOKUP($B192,'Node Details'!$B:$U,C$1,0),"Check"),"")</f>
        <v>AXY110107-AXY110202</v>
      </c>
      <c r="D192" s="74" t="str">
        <f>IF($B192&lt;&gt;"",_xlfn.IFNA(VLOOKUP($B192,'Node Details'!$B:$U,D$1,0),"Check"),"")</f>
        <v>AXY</v>
      </c>
      <c r="E192" s="74" t="str">
        <f>IF($B192&lt;&gt;"",_xlfn.IFNA(VLOOKUP($B192,'Node Details'!$B:$U,E$1,0),"Check"),"")</f>
        <v>Airtel</v>
      </c>
      <c r="F192" s="76">
        <v>46113</v>
      </c>
      <c r="G192" s="74"/>
      <c r="H192" s="10" t="s">
        <v>22</v>
      </c>
      <c r="I192" s="9">
        <v>2</v>
      </c>
      <c r="J192" s="9">
        <v>42</v>
      </c>
      <c r="K192" s="77">
        <f t="shared" si="26"/>
        <v>84</v>
      </c>
      <c r="L192" s="76">
        <v>46112</v>
      </c>
      <c r="N192" s="83"/>
      <c r="O192" s="84"/>
      <c r="P192" s="81">
        <f t="shared" si="21"/>
        <v>42</v>
      </c>
      <c r="Q192" s="81">
        <f t="shared" si="22"/>
        <v>84</v>
      </c>
      <c r="R192" s="81"/>
      <c r="S192" s="81"/>
      <c r="T192" s="85"/>
      <c r="U192" s="81">
        <f t="shared" si="23"/>
        <v>42</v>
      </c>
      <c r="V192" s="81">
        <f t="shared" si="24"/>
        <v>2</v>
      </c>
      <c r="W192" s="82">
        <f t="shared" si="25"/>
        <v>84</v>
      </c>
      <c r="X192" s="82" t="s">
        <v>84</v>
      </c>
      <c r="Y192" s="24" t="s">
        <v>93</v>
      </c>
    </row>
    <row r="193" spans="1:25" s="24" customFormat="1" ht="11.1" customHeight="1">
      <c r="A193" s="74">
        <f t="shared" si="20"/>
        <v>191</v>
      </c>
      <c r="B193" s="75" t="s">
        <v>287</v>
      </c>
      <c r="C193" s="74" t="str">
        <f>IF($B193&lt;&gt;"",_xlfn.IFNA(VLOOKUP($B193,'Node Details'!$B:$U,C$1,0),"Check"),"")</f>
        <v>AXY110107-AXY110202</v>
      </c>
      <c r="D193" s="74" t="str">
        <f>IF($B193&lt;&gt;"",_xlfn.IFNA(VLOOKUP($B193,'Node Details'!$B:$U,D$1,0),"Check"),"")</f>
        <v>AXY</v>
      </c>
      <c r="E193" s="74" t="str">
        <f>IF($B193&lt;&gt;"",_xlfn.IFNA(VLOOKUP($B193,'Node Details'!$B:$U,E$1,0),"Check"),"")</f>
        <v>Airtel</v>
      </c>
      <c r="F193" s="76">
        <v>46113</v>
      </c>
      <c r="G193" s="74"/>
      <c r="H193" s="10" t="s">
        <v>22</v>
      </c>
      <c r="I193" s="9">
        <v>2</v>
      </c>
      <c r="J193" s="9">
        <v>42</v>
      </c>
      <c r="K193" s="77">
        <f t="shared" si="26"/>
        <v>84</v>
      </c>
      <c r="L193" s="76">
        <v>46112</v>
      </c>
      <c r="N193" s="83"/>
      <c r="O193" s="84"/>
      <c r="P193" s="81">
        <f t="shared" si="21"/>
        <v>42</v>
      </c>
      <c r="Q193" s="81">
        <f t="shared" si="22"/>
        <v>84</v>
      </c>
      <c r="R193" s="81"/>
      <c r="S193" s="81"/>
      <c r="T193" s="85"/>
      <c r="U193" s="81">
        <f t="shared" si="23"/>
        <v>42</v>
      </c>
      <c r="V193" s="81">
        <f t="shared" si="24"/>
        <v>2</v>
      </c>
      <c r="W193" s="82">
        <f t="shared" si="25"/>
        <v>84</v>
      </c>
      <c r="X193" s="82" t="s">
        <v>84</v>
      </c>
      <c r="Y193" s="24" t="s">
        <v>93</v>
      </c>
    </row>
    <row r="194" spans="1:25" s="24" customFormat="1" ht="11.1" customHeight="1">
      <c r="A194" s="74">
        <f t="shared" si="20"/>
        <v>192</v>
      </c>
      <c r="B194" s="75" t="s">
        <v>291</v>
      </c>
      <c r="C194" s="74" t="str">
        <f>IF($B194&lt;&gt;"",_xlfn.IFNA(VLOOKUP($B194,'Node Details'!$B:$U,C$1,0),"Check"),"")</f>
        <v>AXY110108-AXY110201</v>
      </c>
      <c r="D194" s="74" t="str">
        <f>IF($B194&lt;&gt;"",_xlfn.IFNA(VLOOKUP($B194,'Node Details'!$B:$U,D$1,0),"Check"),"")</f>
        <v>AXY</v>
      </c>
      <c r="E194" s="74" t="str">
        <f>IF($B194&lt;&gt;"",_xlfn.IFNA(VLOOKUP($B194,'Node Details'!$B:$U,E$1,0),"Check"),"")</f>
        <v>Airtel</v>
      </c>
      <c r="F194" s="76">
        <v>46113</v>
      </c>
      <c r="G194" s="74"/>
      <c r="H194" s="10" t="s">
        <v>22</v>
      </c>
      <c r="I194" s="9">
        <v>2</v>
      </c>
      <c r="J194" s="9">
        <v>42</v>
      </c>
      <c r="K194" s="77">
        <f t="shared" si="26"/>
        <v>84</v>
      </c>
      <c r="L194" s="76">
        <v>46112</v>
      </c>
      <c r="N194" s="83"/>
      <c r="O194" s="84"/>
      <c r="P194" s="81">
        <f t="shared" si="21"/>
        <v>42</v>
      </c>
      <c r="Q194" s="81">
        <f t="shared" si="22"/>
        <v>84</v>
      </c>
      <c r="R194" s="81"/>
      <c r="S194" s="81"/>
      <c r="T194" s="85"/>
      <c r="U194" s="81">
        <f t="shared" si="23"/>
        <v>42</v>
      </c>
      <c r="V194" s="81">
        <f t="shared" si="24"/>
        <v>2</v>
      </c>
      <c r="W194" s="82">
        <f t="shared" si="25"/>
        <v>84</v>
      </c>
      <c r="X194" s="82" t="s">
        <v>84</v>
      </c>
      <c r="Y194" s="24" t="s">
        <v>93</v>
      </c>
    </row>
    <row r="195" spans="1:25" s="24" customFormat="1" ht="11.1" customHeight="1">
      <c r="A195" s="74">
        <f t="shared" si="20"/>
        <v>193</v>
      </c>
      <c r="B195" s="75" t="s">
        <v>295</v>
      </c>
      <c r="C195" s="74" t="str">
        <f>IF($B195&lt;&gt;"",_xlfn.IFNA(VLOOKUP($B195,'Node Details'!$B:$U,C$1,0),"Check"),"")</f>
        <v>0000AXY12-AXY120101</v>
      </c>
      <c r="D195" s="74" t="str">
        <f>IF($B195&lt;&gt;"",_xlfn.IFNA(VLOOKUP($B195,'Node Details'!$B:$U,D$1,0),"Check"),"")</f>
        <v>AXY</v>
      </c>
      <c r="E195" s="74" t="str">
        <f>IF($B195&lt;&gt;"",_xlfn.IFNA(VLOOKUP($B195,'Node Details'!$B:$U,E$1,0),"Check"),"")</f>
        <v>Airtel</v>
      </c>
      <c r="F195" s="76">
        <v>46113</v>
      </c>
      <c r="G195" s="74"/>
      <c r="H195" s="10" t="s">
        <v>22</v>
      </c>
      <c r="I195" s="9">
        <v>2</v>
      </c>
      <c r="J195" s="9">
        <v>42</v>
      </c>
      <c r="K195" s="77">
        <f t="shared" si="26"/>
        <v>84</v>
      </c>
      <c r="L195" s="76">
        <v>46112</v>
      </c>
      <c r="N195" s="83"/>
      <c r="O195" s="84"/>
      <c r="P195" s="81">
        <f t="shared" si="21"/>
        <v>42</v>
      </c>
      <c r="Q195" s="81">
        <f t="shared" si="22"/>
        <v>84</v>
      </c>
      <c r="R195" s="81"/>
      <c r="S195" s="81"/>
      <c r="T195" s="85"/>
      <c r="U195" s="81">
        <f t="shared" si="23"/>
        <v>42</v>
      </c>
      <c r="V195" s="81">
        <f t="shared" si="24"/>
        <v>2</v>
      </c>
      <c r="W195" s="82">
        <f t="shared" si="25"/>
        <v>84</v>
      </c>
      <c r="X195" s="82" t="s">
        <v>84</v>
      </c>
      <c r="Y195" s="24" t="s">
        <v>93</v>
      </c>
    </row>
    <row r="196" spans="1:25" s="24" customFormat="1" ht="11.1" customHeight="1">
      <c r="A196" s="74">
        <f t="shared" ref="A196:A259" si="27">A195+1</f>
        <v>194</v>
      </c>
      <c r="B196" s="75" t="s">
        <v>299</v>
      </c>
      <c r="C196" s="74" t="str">
        <f>IF($B196&lt;&gt;"",_xlfn.IFNA(VLOOKUP($B196,'Node Details'!$B:$U,C$1,0),"Check"),"")</f>
        <v>0000AXY12-AXY120102</v>
      </c>
      <c r="D196" s="74" t="str">
        <f>IF($B196&lt;&gt;"",_xlfn.IFNA(VLOOKUP($B196,'Node Details'!$B:$U,D$1,0),"Check"),"")</f>
        <v>AXY</v>
      </c>
      <c r="E196" s="74" t="str">
        <f>IF($B196&lt;&gt;"",_xlfn.IFNA(VLOOKUP($B196,'Node Details'!$B:$U,E$1,0),"Check"),"")</f>
        <v>Airtel</v>
      </c>
      <c r="F196" s="76">
        <v>46113</v>
      </c>
      <c r="G196" s="74"/>
      <c r="H196" s="10" t="s">
        <v>22</v>
      </c>
      <c r="I196" s="9">
        <v>2</v>
      </c>
      <c r="J196" s="9">
        <v>42</v>
      </c>
      <c r="K196" s="77">
        <f t="shared" si="26"/>
        <v>84</v>
      </c>
      <c r="L196" s="76">
        <v>46112</v>
      </c>
      <c r="N196" s="83"/>
      <c r="O196" s="84"/>
      <c r="P196" s="81">
        <f t="shared" si="21"/>
        <v>42</v>
      </c>
      <c r="Q196" s="81">
        <f t="shared" si="22"/>
        <v>84</v>
      </c>
      <c r="R196" s="81"/>
      <c r="S196" s="81"/>
      <c r="T196" s="85"/>
      <c r="U196" s="81">
        <f t="shared" si="23"/>
        <v>42</v>
      </c>
      <c r="V196" s="81">
        <f t="shared" si="24"/>
        <v>2</v>
      </c>
      <c r="W196" s="82">
        <f t="shared" si="25"/>
        <v>84</v>
      </c>
      <c r="X196" s="82" t="s">
        <v>84</v>
      </c>
      <c r="Y196" s="24" t="s">
        <v>93</v>
      </c>
    </row>
    <row r="197" spans="1:25" s="24" customFormat="1" ht="11.1" customHeight="1">
      <c r="A197" s="74">
        <f t="shared" si="27"/>
        <v>195</v>
      </c>
      <c r="B197" s="75" t="s">
        <v>1024</v>
      </c>
      <c r="C197" s="74" t="str">
        <f>IF($B197&lt;&gt;"",_xlfn.IFNA(VLOOKUP($B197,'Node Details'!$B:$U,C$1,0),"Check"),"")</f>
        <v>0000AXY12-AXY120105</v>
      </c>
      <c r="D197" s="74" t="str">
        <f>IF($B197&lt;&gt;"",_xlfn.IFNA(VLOOKUP($B197,'Node Details'!$B:$U,D$1,0),"Check"),"")</f>
        <v>AXY</v>
      </c>
      <c r="E197" s="74" t="str">
        <f>IF($B197&lt;&gt;"",_xlfn.IFNA(VLOOKUP($B197,'Node Details'!$B:$U,E$1,0),"Check"),"")</f>
        <v>Airtel</v>
      </c>
      <c r="F197" s="76">
        <v>46113</v>
      </c>
      <c r="G197" s="74"/>
      <c r="H197" s="10" t="s">
        <v>22</v>
      </c>
      <c r="I197" s="9">
        <v>2</v>
      </c>
      <c r="J197" s="9">
        <v>42</v>
      </c>
      <c r="K197" s="77">
        <f t="shared" si="26"/>
        <v>84</v>
      </c>
      <c r="L197" s="76">
        <v>46112</v>
      </c>
      <c r="N197" s="83"/>
      <c r="O197" s="84"/>
      <c r="P197" s="81">
        <f t="shared" si="21"/>
        <v>42</v>
      </c>
      <c r="Q197" s="81">
        <f t="shared" si="22"/>
        <v>84</v>
      </c>
      <c r="R197" s="81"/>
      <c r="S197" s="81"/>
      <c r="T197" s="85"/>
      <c r="U197" s="81">
        <f t="shared" si="23"/>
        <v>42</v>
      </c>
      <c r="V197" s="81">
        <f t="shared" si="24"/>
        <v>2</v>
      </c>
      <c r="W197" s="82">
        <f t="shared" si="25"/>
        <v>84</v>
      </c>
      <c r="X197" s="82" t="s">
        <v>84</v>
      </c>
      <c r="Y197" s="24" t="s">
        <v>93</v>
      </c>
    </row>
    <row r="198" spans="1:25" s="24" customFormat="1" ht="11.1" customHeight="1">
      <c r="A198" s="74">
        <f t="shared" si="27"/>
        <v>196</v>
      </c>
      <c r="B198" s="75" t="s">
        <v>302</v>
      </c>
      <c r="C198" s="74" t="str">
        <f>IF($B198&lt;&gt;"",_xlfn.IFNA(VLOOKUP($B198,'Node Details'!$B:$U,C$1,0),"Check"),"")</f>
        <v>0000AXY12-AXY120105</v>
      </c>
      <c r="D198" s="74" t="str">
        <f>IF($B198&lt;&gt;"",_xlfn.IFNA(VLOOKUP($B198,'Node Details'!$B:$U,D$1,0),"Check"),"")</f>
        <v>AXY</v>
      </c>
      <c r="E198" s="74" t="str">
        <f>IF($B198&lt;&gt;"",_xlfn.IFNA(VLOOKUP($B198,'Node Details'!$B:$U,E$1,0),"Check"),"")</f>
        <v>Airtel</v>
      </c>
      <c r="F198" s="76">
        <v>46113</v>
      </c>
      <c r="G198" s="74"/>
      <c r="H198" s="10" t="s">
        <v>22</v>
      </c>
      <c r="I198" s="9">
        <v>2</v>
      </c>
      <c r="J198" s="9">
        <v>42</v>
      </c>
      <c r="K198" s="77">
        <f t="shared" si="26"/>
        <v>84</v>
      </c>
      <c r="L198" s="76">
        <v>46112</v>
      </c>
      <c r="N198" s="83"/>
      <c r="O198" s="84"/>
      <c r="P198" s="81">
        <f t="shared" si="21"/>
        <v>42</v>
      </c>
      <c r="Q198" s="81">
        <f t="shared" si="22"/>
        <v>84</v>
      </c>
      <c r="R198" s="81"/>
      <c r="S198" s="81"/>
      <c r="T198" s="85"/>
      <c r="U198" s="81">
        <f t="shared" si="23"/>
        <v>42</v>
      </c>
      <c r="V198" s="81">
        <f t="shared" si="24"/>
        <v>2</v>
      </c>
      <c r="W198" s="82">
        <f t="shared" si="25"/>
        <v>84</v>
      </c>
      <c r="X198" s="82" t="s">
        <v>84</v>
      </c>
      <c r="Y198" s="24" t="s">
        <v>93</v>
      </c>
    </row>
    <row r="199" spans="1:25" s="24" customFormat="1" ht="11.1" customHeight="1">
      <c r="A199" s="74">
        <f t="shared" si="27"/>
        <v>197</v>
      </c>
      <c r="B199" s="75" t="s">
        <v>306</v>
      </c>
      <c r="C199" s="74" t="str">
        <f>IF($B199&lt;&gt;"",_xlfn.IFNA(VLOOKUP($B199,'Node Details'!$B:$U,C$1,0),"Check"),"")</f>
        <v>0000AXY13-AXY130101</v>
      </c>
      <c r="D199" s="74" t="str">
        <f>IF($B199&lt;&gt;"",_xlfn.IFNA(VLOOKUP($B199,'Node Details'!$B:$U,D$1,0),"Check"),"")</f>
        <v>AXY</v>
      </c>
      <c r="E199" s="74" t="str">
        <f>IF($B199&lt;&gt;"",_xlfn.IFNA(VLOOKUP($B199,'Node Details'!$B:$U,E$1,0),"Check"),"")</f>
        <v>Airtel</v>
      </c>
      <c r="F199" s="76">
        <v>46113</v>
      </c>
      <c r="G199" s="74"/>
      <c r="H199" s="10" t="s">
        <v>22</v>
      </c>
      <c r="I199" s="9">
        <v>2</v>
      </c>
      <c r="J199" s="9">
        <v>42</v>
      </c>
      <c r="K199" s="77">
        <f t="shared" si="26"/>
        <v>84</v>
      </c>
      <c r="L199" s="76">
        <v>46112</v>
      </c>
      <c r="N199" s="83"/>
      <c r="O199" s="84"/>
      <c r="P199" s="81">
        <f t="shared" si="21"/>
        <v>42</v>
      </c>
      <c r="Q199" s="81">
        <f t="shared" si="22"/>
        <v>84</v>
      </c>
      <c r="R199" s="81"/>
      <c r="S199" s="81"/>
      <c r="T199" s="85"/>
      <c r="U199" s="81">
        <f t="shared" si="23"/>
        <v>42</v>
      </c>
      <c r="V199" s="81">
        <f t="shared" si="24"/>
        <v>2</v>
      </c>
      <c r="W199" s="82">
        <f t="shared" si="25"/>
        <v>84</v>
      </c>
      <c r="X199" s="82" t="s">
        <v>84</v>
      </c>
      <c r="Y199" s="24" t="s">
        <v>93</v>
      </c>
    </row>
    <row r="200" spans="1:25" s="24" customFormat="1" ht="11.1" customHeight="1">
      <c r="A200" s="74">
        <f t="shared" si="27"/>
        <v>198</v>
      </c>
      <c r="B200" s="75" t="s">
        <v>1026</v>
      </c>
      <c r="C200" s="74" t="str">
        <f>IF($B200&lt;&gt;"",_xlfn.IFNA(VLOOKUP($B200,'Node Details'!$B:$U,C$1,0),"Check"),"")</f>
        <v>0000AXY13-AXY130104</v>
      </c>
      <c r="D200" s="74" t="str">
        <f>IF($B200&lt;&gt;"",_xlfn.IFNA(VLOOKUP($B200,'Node Details'!$B:$U,D$1,0),"Check"),"")</f>
        <v>AXY</v>
      </c>
      <c r="E200" s="74" t="str">
        <f>IF($B200&lt;&gt;"",_xlfn.IFNA(VLOOKUP($B200,'Node Details'!$B:$U,E$1,0),"Check"),"")</f>
        <v>Airtel</v>
      </c>
      <c r="F200" s="76">
        <v>46113</v>
      </c>
      <c r="G200" s="74"/>
      <c r="H200" s="10" t="s">
        <v>22</v>
      </c>
      <c r="I200" s="9">
        <v>2</v>
      </c>
      <c r="J200" s="9">
        <v>42</v>
      </c>
      <c r="K200" s="77">
        <f t="shared" si="26"/>
        <v>84</v>
      </c>
      <c r="L200" s="76">
        <v>46112</v>
      </c>
      <c r="N200" s="83"/>
      <c r="O200" s="84"/>
      <c r="P200" s="81">
        <f t="shared" si="21"/>
        <v>42</v>
      </c>
      <c r="Q200" s="81">
        <f t="shared" si="22"/>
        <v>84</v>
      </c>
      <c r="R200" s="81"/>
      <c r="S200" s="81"/>
      <c r="T200" s="85"/>
      <c r="U200" s="81">
        <f t="shared" si="23"/>
        <v>42</v>
      </c>
      <c r="V200" s="81">
        <f t="shared" si="24"/>
        <v>2</v>
      </c>
      <c r="W200" s="82">
        <f t="shared" si="25"/>
        <v>84</v>
      </c>
      <c r="X200" s="82" t="s">
        <v>84</v>
      </c>
      <c r="Y200" s="24" t="s">
        <v>93</v>
      </c>
    </row>
    <row r="201" spans="1:25" s="24" customFormat="1" ht="11.1" customHeight="1">
      <c r="A201" s="74">
        <f t="shared" si="27"/>
        <v>199</v>
      </c>
      <c r="B201" s="75" t="s">
        <v>1027</v>
      </c>
      <c r="C201" s="74" t="str">
        <f>IF($B201&lt;&gt;"",_xlfn.IFNA(VLOOKUP($B201,'Node Details'!$B:$U,C$1,0),"Check"),"")</f>
        <v>0000AXY13-AXY130104</v>
      </c>
      <c r="D201" s="74" t="str">
        <f>IF($B201&lt;&gt;"",_xlfn.IFNA(VLOOKUP($B201,'Node Details'!$B:$U,D$1,0),"Check"),"")</f>
        <v>AXY</v>
      </c>
      <c r="E201" s="74" t="str">
        <f>IF($B201&lt;&gt;"",_xlfn.IFNA(VLOOKUP($B201,'Node Details'!$B:$U,E$1,0),"Check"),"")</f>
        <v>Airtel</v>
      </c>
      <c r="F201" s="76">
        <v>46113</v>
      </c>
      <c r="G201" s="74"/>
      <c r="H201" s="10" t="s">
        <v>22</v>
      </c>
      <c r="I201" s="9">
        <v>2</v>
      </c>
      <c r="J201" s="9">
        <v>42</v>
      </c>
      <c r="K201" s="77">
        <f t="shared" si="26"/>
        <v>84</v>
      </c>
      <c r="L201" s="76">
        <v>46112</v>
      </c>
      <c r="N201" s="83"/>
      <c r="O201" s="84"/>
      <c r="P201" s="81">
        <f t="shared" si="21"/>
        <v>42</v>
      </c>
      <c r="Q201" s="81">
        <f t="shared" si="22"/>
        <v>84</v>
      </c>
      <c r="R201" s="81"/>
      <c r="S201" s="81"/>
      <c r="T201" s="85"/>
      <c r="U201" s="81">
        <f t="shared" si="23"/>
        <v>42</v>
      </c>
      <c r="V201" s="81">
        <f t="shared" si="24"/>
        <v>2</v>
      </c>
      <c r="W201" s="82">
        <f t="shared" si="25"/>
        <v>84</v>
      </c>
      <c r="X201" s="82" t="s">
        <v>84</v>
      </c>
      <c r="Y201" s="24" t="s">
        <v>93</v>
      </c>
    </row>
    <row r="202" spans="1:25" s="24" customFormat="1" ht="11.1" customHeight="1">
      <c r="A202" s="74">
        <f t="shared" si="27"/>
        <v>200</v>
      </c>
      <c r="B202" s="75" t="s">
        <v>309</v>
      </c>
      <c r="C202" s="74" t="str">
        <f>IF($B202&lt;&gt;"",_xlfn.IFNA(VLOOKUP($B202,'Node Details'!$B:$U,C$1,0),"Check"),"")</f>
        <v>0000AXY13-AXY130104</v>
      </c>
      <c r="D202" s="74" t="str">
        <f>IF($B202&lt;&gt;"",_xlfn.IFNA(VLOOKUP($B202,'Node Details'!$B:$U,D$1,0),"Check"),"")</f>
        <v>AXY</v>
      </c>
      <c r="E202" s="74" t="str">
        <f>IF($B202&lt;&gt;"",_xlfn.IFNA(VLOOKUP($B202,'Node Details'!$B:$U,E$1,0),"Check"),"")</f>
        <v>Airtel</v>
      </c>
      <c r="F202" s="76">
        <v>46113</v>
      </c>
      <c r="G202" s="74"/>
      <c r="H202" s="10" t="s">
        <v>22</v>
      </c>
      <c r="I202" s="9">
        <v>2</v>
      </c>
      <c r="J202" s="9">
        <v>42</v>
      </c>
      <c r="K202" s="77">
        <f t="shared" si="26"/>
        <v>84</v>
      </c>
      <c r="L202" s="76">
        <v>46112</v>
      </c>
      <c r="N202" s="83"/>
      <c r="O202" s="84"/>
      <c r="P202" s="81">
        <f t="shared" si="21"/>
        <v>42</v>
      </c>
      <c r="Q202" s="81">
        <f t="shared" si="22"/>
        <v>84</v>
      </c>
      <c r="R202" s="81"/>
      <c r="S202" s="81"/>
      <c r="T202" s="85"/>
      <c r="U202" s="81">
        <f t="shared" si="23"/>
        <v>42</v>
      </c>
      <c r="V202" s="81">
        <f t="shared" si="24"/>
        <v>2</v>
      </c>
      <c r="W202" s="82">
        <f t="shared" si="25"/>
        <v>84</v>
      </c>
      <c r="X202" s="82" t="s">
        <v>84</v>
      </c>
      <c r="Y202" s="24" t="s">
        <v>93</v>
      </c>
    </row>
    <row r="203" spans="1:25" s="24" customFormat="1" ht="11.1" customHeight="1">
      <c r="A203" s="74">
        <f t="shared" si="27"/>
        <v>201</v>
      </c>
      <c r="B203" s="75" t="s">
        <v>1028</v>
      </c>
      <c r="C203" s="74" t="str">
        <f>IF($B203&lt;&gt;"",_xlfn.IFNA(VLOOKUP($B203,'Node Details'!$B:$U,C$1,0),"Check"),"")</f>
        <v>0000AXY13-AXY130108</v>
      </c>
      <c r="D203" s="74" t="str">
        <f>IF($B203&lt;&gt;"",_xlfn.IFNA(VLOOKUP($B203,'Node Details'!$B:$U,D$1,0),"Check"),"")</f>
        <v>AXY</v>
      </c>
      <c r="E203" s="74" t="str">
        <f>IF($B203&lt;&gt;"",_xlfn.IFNA(VLOOKUP($B203,'Node Details'!$B:$U,E$1,0),"Check"),"")</f>
        <v>Airtel</v>
      </c>
      <c r="F203" s="76">
        <v>46113</v>
      </c>
      <c r="G203" s="74"/>
      <c r="H203" s="10" t="s">
        <v>22</v>
      </c>
      <c r="I203" s="9">
        <v>2</v>
      </c>
      <c r="J203" s="9">
        <v>42</v>
      </c>
      <c r="K203" s="77">
        <f t="shared" si="26"/>
        <v>84</v>
      </c>
      <c r="L203" s="76">
        <v>46112</v>
      </c>
      <c r="N203" s="83"/>
      <c r="O203" s="84"/>
      <c r="P203" s="81">
        <f t="shared" si="21"/>
        <v>42</v>
      </c>
      <c r="Q203" s="81">
        <f t="shared" si="22"/>
        <v>84</v>
      </c>
      <c r="R203" s="81"/>
      <c r="S203" s="81"/>
      <c r="T203" s="85"/>
      <c r="U203" s="81">
        <f t="shared" si="23"/>
        <v>42</v>
      </c>
      <c r="V203" s="81">
        <f t="shared" si="24"/>
        <v>2</v>
      </c>
      <c r="W203" s="82">
        <f t="shared" si="25"/>
        <v>84</v>
      </c>
      <c r="X203" s="82" t="s">
        <v>84</v>
      </c>
      <c r="Y203" s="24" t="s">
        <v>93</v>
      </c>
    </row>
    <row r="204" spans="1:25" s="24" customFormat="1" ht="11.1" customHeight="1">
      <c r="A204" s="74">
        <f t="shared" si="27"/>
        <v>202</v>
      </c>
      <c r="B204" s="75" t="s">
        <v>1029</v>
      </c>
      <c r="C204" s="74" t="str">
        <f>IF($B204&lt;&gt;"",_xlfn.IFNA(VLOOKUP($B204,'Node Details'!$B:$U,C$1,0),"Check"),"")</f>
        <v>0000AXY13-AXY130108</v>
      </c>
      <c r="D204" s="74" t="str">
        <f>IF($B204&lt;&gt;"",_xlfn.IFNA(VLOOKUP($B204,'Node Details'!$B:$U,D$1,0),"Check"),"")</f>
        <v>AXY</v>
      </c>
      <c r="E204" s="74" t="str">
        <f>IF($B204&lt;&gt;"",_xlfn.IFNA(VLOOKUP($B204,'Node Details'!$B:$U,E$1,0),"Check"),"")</f>
        <v>Airtel</v>
      </c>
      <c r="F204" s="76">
        <v>46113</v>
      </c>
      <c r="G204" s="74"/>
      <c r="H204" s="10" t="s">
        <v>22</v>
      </c>
      <c r="I204" s="9">
        <v>2</v>
      </c>
      <c r="J204" s="9">
        <v>42</v>
      </c>
      <c r="K204" s="77">
        <f t="shared" si="26"/>
        <v>84</v>
      </c>
      <c r="L204" s="76">
        <v>46112</v>
      </c>
      <c r="N204" s="83"/>
      <c r="O204" s="84"/>
      <c r="P204" s="81">
        <f t="shared" si="21"/>
        <v>42</v>
      </c>
      <c r="Q204" s="81">
        <f t="shared" si="22"/>
        <v>84</v>
      </c>
      <c r="R204" s="81"/>
      <c r="S204" s="81"/>
      <c r="T204" s="85"/>
      <c r="U204" s="81">
        <f t="shared" si="23"/>
        <v>42</v>
      </c>
      <c r="V204" s="81">
        <f t="shared" si="24"/>
        <v>2</v>
      </c>
      <c r="W204" s="82">
        <f t="shared" si="25"/>
        <v>84</v>
      </c>
      <c r="X204" s="82" t="s">
        <v>84</v>
      </c>
      <c r="Y204" s="24" t="s">
        <v>93</v>
      </c>
    </row>
    <row r="205" spans="1:25" s="24" customFormat="1" ht="11.1" customHeight="1">
      <c r="A205" s="74">
        <f t="shared" si="27"/>
        <v>203</v>
      </c>
      <c r="B205" s="75" t="s">
        <v>1030</v>
      </c>
      <c r="C205" s="74" t="str">
        <f>IF($B205&lt;&gt;"",_xlfn.IFNA(VLOOKUP($B205,'Node Details'!$B:$U,C$1,0),"Check"),"")</f>
        <v>0000AXY13-AXY130108</v>
      </c>
      <c r="D205" s="74" t="str">
        <f>IF($B205&lt;&gt;"",_xlfn.IFNA(VLOOKUP($B205,'Node Details'!$B:$U,D$1,0),"Check"),"")</f>
        <v>AXY</v>
      </c>
      <c r="E205" s="74" t="str">
        <f>IF($B205&lt;&gt;"",_xlfn.IFNA(VLOOKUP($B205,'Node Details'!$B:$U,E$1,0),"Check"),"")</f>
        <v>Airtel</v>
      </c>
      <c r="F205" s="76">
        <v>46113</v>
      </c>
      <c r="G205" s="74"/>
      <c r="H205" s="10" t="s">
        <v>22</v>
      </c>
      <c r="I205" s="9">
        <v>2</v>
      </c>
      <c r="J205" s="9">
        <v>42</v>
      </c>
      <c r="K205" s="77">
        <f t="shared" si="26"/>
        <v>84</v>
      </c>
      <c r="L205" s="76">
        <v>46112</v>
      </c>
      <c r="N205" s="83"/>
      <c r="O205" s="84"/>
      <c r="P205" s="81">
        <f t="shared" si="21"/>
        <v>42</v>
      </c>
      <c r="Q205" s="81">
        <f t="shared" si="22"/>
        <v>84</v>
      </c>
      <c r="R205" s="81"/>
      <c r="S205" s="81"/>
      <c r="T205" s="85"/>
      <c r="U205" s="81">
        <f t="shared" si="23"/>
        <v>42</v>
      </c>
      <c r="V205" s="81">
        <f t="shared" si="24"/>
        <v>2</v>
      </c>
      <c r="W205" s="82">
        <f t="shared" si="25"/>
        <v>84</v>
      </c>
      <c r="X205" s="82" t="s">
        <v>84</v>
      </c>
      <c r="Y205" s="24" t="s">
        <v>93</v>
      </c>
    </row>
    <row r="206" spans="1:25" s="24" customFormat="1" ht="11.1" customHeight="1">
      <c r="A206" s="74">
        <f t="shared" si="27"/>
        <v>204</v>
      </c>
      <c r="B206" s="75" t="s">
        <v>312</v>
      </c>
      <c r="C206" s="74" t="str">
        <f>IF($B206&lt;&gt;"",_xlfn.IFNA(VLOOKUP($B206,'Node Details'!$B:$U,C$1,0),"Check"),"")</f>
        <v>0000AXY13-AXY130108</v>
      </c>
      <c r="D206" s="74" t="str">
        <f>IF($B206&lt;&gt;"",_xlfn.IFNA(VLOOKUP($B206,'Node Details'!$B:$U,D$1,0),"Check"),"")</f>
        <v>AXY</v>
      </c>
      <c r="E206" s="74" t="str">
        <f>IF($B206&lt;&gt;"",_xlfn.IFNA(VLOOKUP($B206,'Node Details'!$B:$U,E$1,0),"Check"),"")</f>
        <v>Airtel</v>
      </c>
      <c r="F206" s="76">
        <v>46113</v>
      </c>
      <c r="G206" s="74"/>
      <c r="H206" s="10" t="s">
        <v>22</v>
      </c>
      <c r="I206" s="9">
        <v>2</v>
      </c>
      <c r="J206" s="9">
        <v>42</v>
      </c>
      <c r="K206" s="77">
        <f t="shared" si="26"/>
        <v>84</v>
      </c>
      <c r="L206" s="76">
        <v>46112</v>
      </c>
      <c r="N206" s="83"/>
      <c r="O206" s="84"/>
      <c r="P206" s="81">
        <f t="shared" si="21"/>
        <v>42</v>
      </c>
      <c r="Q206" s="81">
        <f t="shared" si="22"/>
        <v>84</v>
      </c>
      <c r="R206" s="81"/>
      <c r="S206" s="81"/>
      <c r="T206" s="85"/>
      <c r="U206" s="81">
        <f t="shared" si="23"/>
        <v>42</v>
      </c>
      <c r="V206" s="81">
        <f t="shared" si="24"/>
        <v>2</v>
      </c>
      <c r="W206" s="82">
        <f t="shared" si="25"/>
        <v>84</v>
      </c>
      <c r="X206" s="82" t="s">
        <v>84</v>
      </c>
      <c r="Y206" s="24" t="s">
        <v>93</v>
      </c>
    </row>
    <row r="207" spans="1:25" s="24" customFormat="1" ht="11.1" customHeight="1">
      <c r="A207" s="74">
        <f t="shared" si="27"/>
        <v>205</v>
      </c>
      <c r="B207" s="75" t="s">
        <v>316</v>
      </c>
      <c r="C207" s="74" t="str">
        <f>IF($B207&lt;&gt;"",_xlfn.IFNA(VLOOKUP($B207,'Node Details'!$B:$U,C$1,0),"Check"),"")</f>
        <v>0000AXY14-AXY140102</v>
      </c>
      <c r="D207" s="74" t="str">
        <f>IF($B207&lt;&gt;"",_xlfn.IFNA(VLOOKUP($B207,'Node Details'!$B:$U,D$1,0),"Check"),"")</f>
        <v>AXY</v>
      </c>
      <c r="E207" s="74" t="str">
        <f>IF($B207&lt;&gt;"",_xlfn.IFNA(VLOOKUP($B207,'Node Details'!$B:$U,E$1,0),"Check"),"")</f>
        <v>Airtel</v>
      </c>
      <c r="F207" s="76">
        <v>46113</v>
      </c>
      <c r="G207" s="74"/>
      <c r="H207" s="10" t="s">
        <v>22</v>
      </c>
      <c r="I207" s="9">
        <v>2</v>
      </c>
      <c r="J207" s="9">
        <v>42</v>
      </c>
      <c r="K207" s="77">
        <f t="shared" si="26"/>
        <v>84</v>
      </c>
      <c r="L207" s="76">
        <v>46112</v>
      </c>
      <c r="N207" s="83"/>
      <c r="O207" s="84"/>
      <c r="P207" s="81">
        <f t="shared" si="21"/>
        <v>42</v>
      </c>
      <c r="Q207" s="81">
        <f t="shared" si="22"/>
        <v>84</v>
      </c>
      <c r="R207" s="81"/>
      <c r="S207" s="81"/>
      <c r="T207" s="85"/>
      <c r="U207" s="81">
        <f t="shared" si="23"/>
        <v>42</v>
      </c>
      <c r="V207" s="81">
        <f t="shared" si="24"/>
        <v>2</v>
      </c>
      <c r="W207" s="82">
        <f t="shared" si="25"/>
        <v>84</v>
      </c>
      <c r="X207" s="82" t="s">
        <v>84</v>
      </c>
      <c r="Y207" s="24" t="s">
        <v>93</v>
      </c>
    </row>
    <row r="208" spans="1:25" s="24" customFormat="1" ht="11.1" customHeight="1">
      <c r="A208" s="74">
        <f t="shared" si="27"/>
        <v>206</v>
      </c>
      <c r="B208" s="75" t="s">
        <v>319</v>
      </c>
      <c r="C208" s="74" t="str">
        <f>IF($B208&lt;&gt;"",_xlfn.IFNA(VLOOKUP($B208,'Node Details'!$B:$U,C$1,0),"Check"),"")</f>
        <v>0000AXY14-AXY140101</v>
      </c>
      <c r="D208" s="74" t="str">
        <f>IF($B208&lt;&gt;"",_xlfn.IFNA(VLOOKUP($B208,'Node Details'!$B:$U,D$1,0),"Check"),"")</f>
        <v>AXY</v>
      </c>
      <c r="E208" s="74" t="str">
        <f>IF($B208&lt;&gt;"",_xlfn.IFNA(VLOOKUP($B208,'Node Details'!$B:$U,E$1,0),"Check"),"")</f>
        <v>Airtel</v>
      </c>
      <c r="F208" s="76">
        <v>46113</v>
      </c>
      <c r="G208" s="74"/>
      <c r="H208" s="10" t="s">
        <v>22</v>
      </c>
      <c r="I208" s="9">
        <v>2</v>
      </c>
      <c r="J208" s="9">
        <v>42</v>
      </c>
      <c r="K208" s="77">
        <f t="shared" si="26"/>
        <v>84</v>
      </c>
      <c r="L208" s="76">
        <v>46112</v>
      </c>
      <c r="N208" s="83"/>
      <c r="O208" s="84"/>
      <c r="P208" s="81">
        <f t="shared" si="21"/>
        <v>42</v>
      </c>
      <c r="Q208" s="81">
        <f t="shared" si="22"/>
        <v>84</v>
      </c>
      <c r="R208" s="81"/>
      <c r="S208" s="81"/>
      <c r="T208" s="85"/>
      <c r="U208" s="81">
        <f t="shared" si="23"/>
        <v>42</v>
      </c>
      <c r="V208" s="81">
        <f t="shared" si="24"/>
        <v>2</v>
      </c>
      <c r="W208" s="82">
        <f t="shared" si="25"/>
        <v>84</v>
      </c>
      <c r="X208" s="82" t="s">
        <v>84</v>
      </c>
      <c r="Y208" s="24" t="s">
        <v>93</v>
      </c>
    </row>
    <row r="209" spans="1:25" s="24" customFormat="1" ht="11.1" customHeight="1">
      <c r="A209" s="74">
        <f t="shared" si="27"/>
        <v>207</v>
      </c>
      <c r="B209" s="75" t="s">
        <v>1032</v>
      </c>
      <c r="C209" s="74" t="str">
        <f>IF($B209&lt;&gt;"",_xlfn.IFNA(VLOOKUP($B209,'Node Details'!$B:$U,C$1,0),"Check"),"")</f>
        <v>0000AXY14-AXY140202</v>
      </c>
      <c r="D209" s="74" t="str">
        <f>IF($B209&lt;&gt;"",_xlfn.IFNA(VLOOKUP($B209,'Node Details'!$B:$U,D$1,0),"Check"),"")</f>
        <v>AXY</v>
      </c>
      <c r="E209" s="74" t="str">
        <f>IF($B209&lt;&gt;"",_xlfn.IFNA(VLOOKUP($B209,'Node Details'!$B:$U,E$1,0),"Check"),"")</f>
        <v>Airtel</v>
      </c>
      <c r="F209" s="76">
        <v>46113</v>
      </c>
      <c r="G209" s="74"/>
      <c r="H209" s="10" t="s">
        <v>22</v>
      </c>
      <c r="I209" s="9">
        <v>2</v>
      </c>
      <c r="J209" s="9">
        <v>42</v>
      </c>
      <c r="K209" s="77">
        <f t="shared" si="26"/>
        <v>84</v>
      </c>
      <c r="L209" s="76">
        <v>46112</v>
      </c>
      <c r="N209" s="83"/>
      <c r="O209" s="84"/>
      <c r="P209" s="81">
        <f t="shared" si="21"/>
        <v>42</v>
      </c>
      <c r="Q209" s="81">
        <f t="shared" si="22"/>
        <v>84</v>
      </c>
      <c r="R209" s="81"/>
      <c r="S209" s="81"/>
      <c r="T209" s="85"/>
      <c r="U209" s="81">
        <f t="shared" si="23"/>
        <v>42</v>
      </c>
      <c r="V209" s="81">
        <f t="shared" si="24"/>
        <v>2</v>
      </c>
      <c r="W209" s="82">
        <f t="shared" si="25"/>
        <v>84</v>
      </c>
      <c r="X209" s="82" t="s">
        <v>84</v>
      </c>
      <c r="Y209" s="24" t="s">
        <v>93</v>
      </c>
    </row>
    <row r="210" spans="1:25" s="24" customFormat="1" ht="11.1" customHeight="1">
      <c r="A210" s="74">
        <f t="shared" si="27"/>
        <v>208</v>
      </c>
      <c r="B210" s="75" t="s">
        <v>1033</v>
      </c>
      <c r="C210" s="74" t="str">
        <f>IF($B210&lt;&gt;"",_xlfn.IFNA(VLOOKUP($B210,'Node Details'!$B:$U,C$1,0),"Check"),"")</f>
        <v>0000AXY14-AXY140202</v>
      </c>
      <c r="D210" s="74" t="str">
        <f>IF($B210&lt;&gt;"",_xlfn.IFNA(VLOOKUP($B210,'Node Details'!$B:$U,D$1,0),"Check"),"")</f>
        <v>AXY</v>
      </c>
      <c r="E210" s="74" t="str">
        <f>IF($B210&lt;&gt;"",_xlfn.IFNA(VLOOKUP($B210,'Node Details'!$B:$U,E$1,0),"Check"),"")</f>
        <v>Airtel</v>
      </c>
      <c r="F210" s="76">
        <v>46113</v>
      </c>
      <c r="G210" s="74"/>
      <c r="H210" s="10" t="s">
        <v>22</v>
      </c>
      <c r="I210" s="9">
        <v>2</v>
      </c>
      <c r="J210" s="9">
        <v>42</v>
      </c>
      <c r="K210" s="77">
        <f t="shared" si="26"/>
        <v>84</v>
      </c>
      <c r="L210" s="76">
        <v>46112</v>
      </c>
      <c r="N210" s="83"/>
      <c r="O210" s="84"/>
      <c r="P210" s="81">
        <f t="shared" si="21"/>
        <v>42</v>
      </c>
      <c r="Q210" s="81">
        <f t="shared" si="22"/>
        <v>84</v>
      </c>
      <c r="R210" s="81"/>
      <c r="S210" s="81"/>
      <c r="T210" s="85"/>
      <c r="U210" s="81">
        <f t="shared" si="23"/>
        <v>42</v>
      </c>
      <c r="V210" s="81">
        <f t="shared" si="24"/>
        <v>2</v>
      </c>
      <c r="W210" s="82">
        <f t="shared" si="25"/>
        <v>84</v>
      </c>
      <c r="X210" s="82" t="s">
        <v>84</v>
      </c>
      <c r="Y210" s="24" t="s">
        <v>93</v>
      </c>
    </row>
    <row r="211" spans="1:25" s="24" customFormat="1" ht="11.1" customHeight="1">
      <c r="A211" s="74">
        <f t="shared" si="27"/>
        <v>209</v>
      </c>
      <c r="B211" s="75" t="s">
        <v>322</v>
      </c>
      <c r="C211" s="74" t="str">
        <f>IF($B211&lt;&gt;"",_xlfn.IFNA(VLOOKUP($B211,'Node Details'!$B:$U,C$1,0),"Check"),"")</f>
        <v>0000AXY14-AXY140202</v>
      </c>
      <c r="D211" s="74" t="str">
        <f>IF($B211&lt;&gt;"",_xlfn.IFNA(VLOOKUP($B211,'Node Details'!$B:$U,D$1,0),"Check"),"")</f>
        <v>AXY</v>
      </c>
      <c r="E211" s="74" t="str">
        <f>IF($B211&lt;&gt;"",_xlfn.IFNA(VLOOKUP($B211,'Node Details'!$B:$U,E$1,0),"Check"),"")</f>
        <v>Airtel</v>
      </c>
      <c r="F211" s="76">
        <v>46113</v>
      </c>
      <c r="G211" s="74"/>
      <c r="H211" s="10" t="s">
        <v>22</v>
      </c>
      <c r="I211" s="9">
        <v>2</v>
      </c>
      <c r="J211" s="9">
        <v>42</v>
      </c>
      <c r="K211" s="77">
        <f t="shared" si="26"/>
        <v>84</v>
      </c>
      <c r="L211" s="76">
        <v>46112</v>
      </c>
      <c r="N211" s="83"/>
      <c r="O211" s="84"/>
      <c r="P211" s="81">
        <f t="shared" si="21"/>
        <v>42</v>
      </c>
      <c r="Q211" s="81">
        <f t="shared" si="22"/>
        <v>84</v>
      </c>
      <c r="R211" s="81"/>
      <c r="S211" s="81"/>
      <c r="T211" s="85"/>
      <c r="U211" s="81">
        <f t="shared" si="23"/>
        <v>42</v>
      </c>
      <c r="V211" s="81">
        <f t="shared" si="24"/>
        <v>2</v>
      </c>
      <c r="W211" s="82">
        <f t="shared" si="25"/>
        <v>84</v>
      </c>
      <c r="X211" s="82" t="s">
        <v>84</v>
      </c>
      <c r="Y211" s="24" t="s">
        <v>93</v>
      </c>
    </row>
    <row r="212" spans="1:25" s="24" customFormat="1" ht="11.1" customHeight="1">
      <c r="A212" s="74">
        <f t="shared" si="27"/>
        <v>210</v>
      </c>
      <c r="B212" s="75" t="s">
        <v>326</v>
      </c>
      <c r="C212" s="74" t="str">
        <f>IF($B212&lt;&gt;"",_xlfn.IFNA(VLOOKUP($B212,'Node Details'!$B:$U,C$1,0),"Check"),"")</f>
        <v>AXY140202-AXY140203</v>
      </c>
      <c r="D212" s="74" t="str">
        <f>IF($B212&lt;&gt;"",_xlfn.IFNA(VLOOKUP($B212,'Node Details'!$B:$U,D$1,0),"Check"),"")</f>
        <v>AXY</v>
      </c>
      <c r="E212" s="74" t="str">
        <f>IF($B212&lt;&gt;"",_xlfn.IFNA(VLOOKUP($B212,'Node Details'!$B:$U,E$1,0),"Check"),"")</f>
        <v>Airtel</v>
      </c>
      <c r="F212" s="76">
        <v>46113</v>
      </c>
      <c r="G212" s="74"/>
      <c r="H212" s="10" t="s">
        <v>22</v>
      </c>
      <c r="I212" s="9">
        <v>2</v>
      </c>
      <c r="J212" s="9">
        <v>42</v>
      </c>
      <c r="K212" s="77">
        <f t="shared" si="26"/>
        <v>84</v>
      </c>
      <c r="L212" s="76">
        <v>46112</v>
      </c>
      <c r="N212" s="83"/>
      <c r="O212" s="84"/>
      <c r="P212" s="81">
        <f t="shared" si="21"/>
        <v>42</v>
      </c>
      <c r="Q212" s="81">
        <f t="shared" si="22"/>
        <v>84</v>
      </c>
      <c r="R212" s="81"/>
      <c r="S212" s="81"/>
      <c r="T212" s="85"/>
      <c r="U212" s="81">
        <f t="shared" si="23"/>
        <v>42</v>
      </c>
      <c r="V212" s="81">
        <f t="shared" si="24"/>
        <v>2</v>
      </c>
      <c r="W212" s="82">
        <f t="shared" si="25"/>
        <v>84</v>
      </c>
      <c r="X212" s="82" t="s">
        <v>84</v>
      </c>
      <c r="Y212" s="24" t="s">
        <v>93</v>
      </c>
    </row>
    <row r="213" spans="1:25" s="24" customFormat="1" ht="11.1" customHeight="1">
      <c r="A213" s="74">
        <f t="shared" si="27"/>
        <v>211</v>
      </c>
      <c r="B213" s="75" t="s">
        <v>1034</v>
      </c>
      <c r="C213" s="74" t="str">
        <f>IF($B213&lt;&gt;"",_xlfn.IFNA(VLOOKUP($B213,'Node Details'!$B:$U,C$1,0),"Check"),"")</f>
        <v>AXY140108-AXY140104</v>
      </c>
      <c r="D213" s="74" t="str">
        <f>IF($B213&lt;&gt;"",_xlfn.IFNA(VLOOKUP($B213,'Node Details'!$B:$U,D$1,0),"Check"),"")</f>
        <v>AXY</v>
      </c>
      <c r="E213" s="74" t="str">
        <f>IF($B213&lt;&gt;"",_xlfn.IFNA(VLOOKUP($B213,'Node Details'!$B:$U,E$1,0),"Check"),"")</f>
        <v>Airtel</v>
      </c>
      <c r="F213" s="76">
        <v>46113</v>
      </c>
      <c r="G213" s="74"/>
      <c r="H213" s="10" t="s">
        <v>22</v>
      </c>
      <c r="I213" s="9">
        <v>2</v>
      </c>
      <c r="J213" s="9">
        <v>42</v>
      </c>
      <c r="K213" s="77">
        <f t="shared" si="26"/>
        <v>84</v>
      </c>
      <c r="L213" s="76">
        <v>46112</v>
      </c>
      <c r="N213" s="83"/>
      <c r="O213" s="84"/>
      <c r="P213" s="81">
        <f t="shared" si="21"/>
        <v>42</v>
      </c>
      <c r="Q213" s="81">
        <f t="shared" si="22"/>
        <v>84</v>
      </c>
      <c r="R213" s="81"/>
      <c r="S213" s="81"/>
      <c r="T213" s="85"/>
      <c r="U213" s="81">
        <f t="shared" si="23"/>
        <v>42</v>
      </c>
      <c r="V213" s="81">
        <f t="shared" si="24"/>
        <v>2</v>
      </c>
      <c r="W213" s="82">
        <f t="shared" si="25"/>
        <v>84</v>
      </c>
      <c r="X213" s="82" t="s">
        <v>84</v>
      </c>
      <c r="Y213" s="24" t="s">
        <v>93</v>
      </c>
    </row>
    <row r="214" spans="1:25" s="24" customFormat="1" ht="11.1" customHeight="1">
      <c r="A214" s="74">
        <f t="shared" si="27"/>
        <v>212</v>
      </c>
      <c r="B214" s="75" t="s">
        <v>1035</v>
      </c>
      <c r="C214" s="74" t="str">
        <f>IF($B214&lt;&gt;"",_xlfn.IFNA(VLOOKUP($B214,'Node Details'!$B:$U,C$1,0),"Check"),"")</f>
        <v>AXY140108-AXY140104</v>
      </c>
      <c r="D214" s="74" t="str">
        <f>IF($B214&lt;&gt;"",_xlfn.IFNA(VLOOKUP($B214,'Node Details'!$B:$U,D$1,0),"Check"),"")</f>
        <v>AXY</v>
      </c>
      <c r="E214" s="74" t="str">
        <f>IF($B214&lt;&gt;"",_xlfn.IFNA(VLOOKUP($B214,'Node Details'!$B:$U,E$1,0),"Check"),"")</f>
        <v>Airtel</v>
      </c>
      <c r="F214" s="76">
        <v>46113</v>
      </c>
      <c r="G214" s="74"/>
      <c r="H214" s="10" t="s">
        <v>22</v>
      </c>
      <c r="I214" s="9">
        <v>2</v>
      </c>
      <c r="J214" s="9">
        <v>42</v>
      </c>
      <c r="K214" s="77">
        <f t="shared" si="26"/>
        <v>84</v>
      </c>
      <c r="L214" s="76">
        <v>46112</v>
      </c>
      <c r="N214" s="83"/>
      <c r="O214" s="84"/>
      <c r="P214" s="81">
        <f t="shared" si="21"/>
        <v>42</v>
      </c>
      <c r="Q214" s="81">
        <f t="shared" si="22"/>
        <v>84</v>
      </c>
      <c r="R214" s="81"/>
      <c r="S214" s="81"/>
      <c r="T214" s="85"/>
      <c r="U214" s="81">
        <f t="shared" si="23"/>
        <v>42</v>
      </c>
      <c r="V214" s="81">
        <f t="shared" si="24"/>
        <v>2</v>
      </c>
      <c r="W214" s="82">
        <f t="shared" si="25"/>
        <v>84</v>
      </c>
      <c r="X214" s="82" t="s">
        <v>84</v>
      </c>
      <c r="Y214" s="24" t="s">
        <v>93</v>
      </c>
    </row>
    <row r="215" spans="1:25" s="24" customFormat="1" ht="11.1" customHeight="1">
      <c r="A215" s="74">
        <f t="shared" si="27"/>
        <v>213</v>
      </c>
      <c r="B215" s="75" t="s">
        <v>1036</v>
      </c>
      <c r="C215" s="74" t="str">
        <f>IF($B215&lt;&gt;"",_xlfn.IFNA(VLOOKUP($B215,'Node Details'!$B:$U,C$1,0),"Check"),"")</f>
        <v>AXY140108-AXY140104</v>
      </c>
      <c r="D215" s="74" t="str">
        <f>IF($B215&lt;&gt;"",_xlfn.IFNA(VLOOKUP($B215,'Node Details'!$B:$U,D$1,0),"Check"),"")</f>
        <v>AXY</v>
      </c>
      <c r="E215" s="74" t="str">
        <f>IF($B215&lt;&gt;"",_xlfn.IFNA(VLOOKUP($B215,'Node Details'!$B:$U,E$1,0),"Check"),"")</f>
        <v>Airtel</v>
      </c>
      <c r="F215" s="76">
        <v>46113</v>
      </c>
      <c r="G215" s="74"/>
      <c r="H215" s="10" t="s">
        <v>22</v>
      </c>
      <c r="I215" s="9">
        <v>2</v>
      </c>
      <c r="J215" s="9">
        <v>42</v>
      </c>
      <c r="K215" s="77">
        <f t="shared" si="26"/>
        <v>84</v>
      </c>
      <c r="L215" s="76">
        <v>46112</v>
      </c>
      <c r="N215" s="83"/>
      <c r="O215" s="84"/>
      <c r="P215" s="81">
        <f t="shared" si="21"/>
        <v>42</v>
      </c>
      <c r="Q215" s="81">
        <f t="shared" si="22"/>
        <v>84</v>
      </c>
      <c r="R215" s="81"/>
      <c r="S215" s="81"/>
      <c r="T215" s="85"/>
      <c r="U215" s="81">
        <f t="shared" si="23"/>
        <v>42</v>
      </c>
      <c r="V215" s="81">
        <f t="shared" si="24"/>
        <v>2</v>
      </c>
      <c r="W215" s="82">
        <f t="shared" si="25"/>
        <v>84</v>
      </c>
      <c r="X215" s="82" t="s">
        <v>84</v>
      </c>
      <c r="Y215" s="24" t="s">
        <v>93</v>
      </c>
    </row>
    <row r="216" spans="1:25" s="24" customFormat="1" ht="11.1" customHeight="1">
      <c r="A216" s="74">
        <f t="shared" si="27"/>
        <v>214</v>
      </c>
      <c r="B216" s="75" t="s">
        <v>330</v>
      </c>
      <c r="C216" s="74" t="str">
        <f>IF($B216&lt;&gt;"",_xlfn.IFNA(VLOOKUP($B216,'Node Details'!$B:$U,C$1,0),"Check"),"")</f>
        <v>AXY140108-AXY140104</v>
      </c>
      <c r="D216" s="74" t="str">
        <f>IF($B216&lt;&gt;"",_xlfn.IFNA(VLOOKUP($B216,'Node Details'!$B:$U,D$1,0),"Check"),"")</f>
        <v>AXY</v>
      </c>
      <c r="E216" s="74" t="str">
        <f>IF($B216&lt;&gt;"",_xlfn.IFNA(VLOOKUP($B216,'Node Details'!$B:$U,E$1,0),"Check"),"")</f>
        <v>Airtel</v>
      </c>
      <c r="F216" s="76">
        <v>46113</v>
      </c>
      <c r="G216" s="74"/>
      <c r="H216" s="10" t="s">
        <v>22</v>
      </c>
      <c r="I216" s="9">
        <v>2</v>
      </c>
      <c r="J216" s="9">
        <v>42</v>
      </c>
      <c r="K216" s="77">
        <f t="shared" si="26"/>
        <v>84</v>
      </c>
      <c r="L216" s="76">
        <v>46112</v>
      </c>
      <c r="N216" s="83"/>
      <c r="O216" s="84"/>
      <c r="P216" s="81">
        <f t="shared" si="21"/>
        <v>42</v>
      </c>
      <c r="Q216" s="81">
        <f t="shared" si="22"/>
        <v>84</v>
      </c>
      <c r="R216" s="81"/>
      <c r="S216" s="81"/>
      <c r="T216" s="85"/>
      <c r="U216" s="81">
        <f t="shared" si="23"/>
        <v>42</v>
      </c>
      <c r="V216" s="81">
        <f t="shared" si="24"/>
        <v>2</v>
      </c>
      <c r="W216" s="82">
        <f t="shared" si="25"/>
        <v>84</v>
      </c>
      <c r="X216" s="82" t="s">
        <v>84</v>
      </c>
      <c r="Y216" s="24" t="s">
        <v>93</v>
      </c>
    </row>
    <row r="217" spans="1:25" s="24" customFormat="1" ht="11.1" customHeight="1">
      <c r="A217" s="74">
        <f t="shared" si="27"/>
        <v>215</v>
      </c>
      <c r="B217" s="75" t="s">
        <v>1038</v>
      </c>
      <c r="C217" s="74" t="str">
        <f>IF($B217&lt;&gt;"",_xlfn.IFNA(VLOOKUP($B217,'Node Details'!$B:$U,C$1,0),"Check"),"")</f>
        <v>0000AXY15-AXY150103</v>
      </c>
      <c r="D217" s="74" t="str">
        <f>IF($B217&lt;&gt;"",_xlfn.IFNA(VLOOKUP($B217,'Node Details'!$B:$U,D$1,0),"Check"),"")</f>
        <v>AXY</v>
      </c>
      <c r="E217" s="74" t="str">
        <f>IF($B217&lt;&gt;"",_xlfn.IFNA(VLOOKUP($B217,'Node Details'!$B:$U,E$1,0),"Check"),"")</f>
        <v>Airtel</v>
      </c>
      <c r="F217" s="76">
        <v>46113</v>
      </c>
      <c r="G217" s="74"/>
      <c r="H217" s="10" t="s">
        <v>22</v>
      </c>
      <c r="I217" s="9">
        <v>2</v>
      </c>
      <c r="J217" s="9">
        <v>42</v>
      </c>
      <c r="K217" s="77">
        <f t="shared" si="26"/>
        <v>84</v>
      </c>
      <c r="L217" s="76">
        <v>46112</v>
      </c>
      <c r="N217" s="83"/>
      <c r="O217" s="84"/>
      <c r="P217" s="81">
        <f t="shared" si="21"/>
        <v>42</v>
      </c>
      <c r="Q217" s="81">
        <f t="shared" si="22"/>
        <v>84</v>
      </c>
      <c r="R217" s="81"/>
      <c r="S217" s="81"/>
      <c r="T217" s="85"/>
      <c r="U217" s="81">
        <f t="shared" si="23"/>
        <v>42</v>
      </c>
      <c r="V217" s="81">
        <f t="shared" si="24"/>
        <v>2</v>
      </c>
      <c r="W217" s="82">
        <f t="shared" si="25"/>
        <v>84</v>
      </c>
      <c r="X217" s="82" t="s">
        <v>84</v>
      </c>
      <c r="Y217" s="24" t="s">
        <v>93</v>
      </c>
    </row>
    <row r="218" spans="1:25" s="24" customFormat="1" ht="11.1" customHeight="1">
      <c r="A218" s="74">
        <f t="shared" si="27"/>
        <v>216</v>
      </c>
      <c r="B218" s="75" t="s">
        <v>1039</v>
      </c>
      <c r="C218" s="74" t="str">
        <f>IF($B218&lt;&gt;"",_xlfn.IFNA(VLOOKUP($B218,'Node Details'!$B:$U,C$1,0),"Check"),"")</f>
        <v>0000AXY15-AXY150103</v>
      </c>
      <c r="D218" s="74" t="str">
        <f>IF($B218&lt;&gt;"",_xlfn.IFNA(VLOOKUP($B218,'Node Details'!$B:$U,D$1,0),"Check"),"")</f>
        <v>AXY</v>
      </c>
      <c r="E218" s="74" t="str">
        <f>IF($B218&lt;&gt;"",_xlfn.IFNA(VLOOKUP($B218,'Node Details'!$B:$U,E$1,0),"Check"),"")</f>
        <v>Airtel</v>
      </c>
      <c r="F218" s="76">
        <v>46113</v>
      </c>
      <c r="G218" s="74"/>
      <c r="H218" s="10" t="s">
        <v>22</v>
      </c>
      <c r="I218" s="9">
        <v>2</v>
      </c>
      <c r="J218" s="9">
        <v>42</v>
      </c>
      <c r="K218" s="77">
        <f t="shared" si="26"/>
        <v>84</v>
      </c>
      <c r="L218" s="76">
        <v>46112</v>
      </c>
      <c r="N218" s="83"/>
      <c r="O218" s="84"/>
      <c r="P218" s="81">
        <f t="shared" si="21"/>
        <v>42</v>
      </c>
      <c r="Q218" s="81">
        <f t="shared" si="22"/>
        <v>84</v>
      </c>
      <c r="R218" s="81"/>
      <c r="S218" s="81"/>
      <c r="T218" s="85"/>
      <c r="U218" s="81">
        <f t="shared" si="23"/>
        <v>42</v>
      </c>
      <c r="V218" s="81">
        <f t="shared" si="24"/>
        <v>2</v>
      </c>
      <c r="W218" s="82">
        <f t="shared" si="25"/>
        <v>84</v>
      </c>
      <c r="X218" s="82" t="s">
        <v>84</v>
      </c>
      <c r="Y218" s="24" t="s">
        <v>93</v>
      </c>
    </row>
    <row r="219" spans="1:25" s="24" customFormat="1" ht="11.1" customHeight="1">
      <c r="A219" s="74">
        <f t="shared" si="27"/>
        <v>217</v>
      </c>
      <c r="B219" s="75" t="s">
        <v>335</v>
      </c>
      <c r="C219" s="74" t="str">
        <f>IF($B219&lt;&gt;"",_xlfn.IFNA(VLOOKUP($B219,'Node Details'!$B:$U,C$1,0),"Check"),"")</f>
        <v>0000AXY15-AXY150103</v>
      </c>
      <c r="D219" s="74" t="str">
        <f>IF($B219&lt;&gt;"",_xlfn.IFNA(VLOOKUP($B219,'Node Details'!$B:$U,D$1,0),"Check"),"")</f>
        <v>AXY</v>
      </c>
      <c r="E219" s="74" t="str">
        <f>IF($B219&lt;&gt;"",_xlfn.IFNA(VLOOKUP($B219,'Node Details'!$B:$U,E$1,0),"Check"),"")</f>
        <v>Airtel</v>
      </c>
      <c r="F219" s="76">
        <v>46113</v>
      </c>
      <c r="G219" s="74"/>
      <c r="H219" s="10" t="s">
        <v>22</v>
      </c>
      <c r="I219" s="9">
        <v>2</v>
      </c>
      <c r="J219" s="9">
        <v>42</v>
      </c>
      <c r="K219" s="77">
        <f t="shared" si="26"/>
        <v>84</v>
      </c>
      <c r="L219" s="76">
        <v>46112</v>
      </c>
      <c r="N219" s="83"/>
      <c r="O219" s="84"/>
      <c r="P219" s="81">
        <f t="shared" si="21"/>
        <v>42</v>
      </c>
      <c r="Q219" s="81">
        <f t="shared" si="22"/>
        <v>84</v>
      </c>
      <c r="R219" s="81"/>
      <c r="S219" s="81"/>
      <c r="T219" s="85"/>
      <c r="U219" s="81">
        <f t="shared" si="23"/>
        <v>42</v>
      </c>
      <c r="V219" s="81">
        <f t="shared" si="24"/>
        <v>2</v>
      </c>
      <c r="W219" s="82">
        <f t="shared" si="25"/>
        <v>84</v>
      </c>
      <c r="X219" s="82" t="s">
        <v>84</v>
      </c>
      <c r="Y219" s="24" t="s">
        <v>93</v>
      </c>
    </row>
    <row r="220" spans="1:25" s="24" customFormat="1" ht="11.1" customHeight="1">
      <c r="A220" s="74">
        <f t="shared" si="27"/>
        <v>218</v>
      </c>
      <c r="B220" s="75" t="s">
        <v>339</v>
      </c>
      <c r="C220" s="74" t="str">
        <f>IF($B220&lt;&gt;"",_xlfn.IFNA(VLOOKUP($B220,'Node Details'!$B:$U,C$1,0),"Check"),"")</f>
        <v>0000AXY15-AXY150104</v>
      </c>
      <c r="D220" s="74" t="str">
        <f>IF($B220&lt;&gt;"",_xlfn.IFNA(VLOOKUP($B220,'Node Details'!$B:$U,D$1,0),"Check"),"")</f>
        <v>AXY</v>
      </c>
      <c r="E220" s="74" t="str">
        <f>IF($B220&lt;&gt;"",_xlfn.IFNA(VLOOKUP($B220,'Node Details'!$B:$U,E$1,0),"Check"),"")</f>
        <v>Airtel</v>
      </c>
      <c r="F220" s="76">
        <v>46113</v>
      </c>
      <c r="G220" s="74"/>
      <c r="H220" s="10" t="s">
        <v>22</v>
      </c>
      <c r="I220" s="9">
        <v>2</v>
      </c>
      <c r="J220" s="9">
        <v>42</v>
      </c>
      <c r="K220" s="77">
        <f t="shared" si="26"/>
        <v>84</v>
      </c>
      <c r="L220" s="76">
        <v>46112</v>
      </c>
      <c r="N220" s="83"/>
      <c r="O220" s="84"/>
      <c r="P220" s="81">
        <f t="shared" si="21"/>
        <v>42</v>
      </c>
      <c r="Q220" s="81">
        <f t="shared" si="22"/>
        <v>84</v>
      </c>
      <c r="R220" s="81"/>
      <c r="S220" s="81"/>
      <c r="T220" s="85"/>
      <c r="U220" s="81">
        <f t="shared" si="23"/>
        <v>42</v>
      </c>
      <c r="V220" s="81">
        <f t="shared" si="24"/>
        <v>2</v>
      </c>
      <c r="W220" s="82">
        <f t="shared" si="25"/>
        <v>84</v>
      </c>
      <c r="X220" s="82" t="s">
        <v>84</v>
      </c>
      <c r="Y220" s="24" t="s">
        <v>93</v>
      </c>
    </row>
    <row r="221" spans="1:25" s="24" customFormat="1" ht="11.1" customHeight="1">
      <c r="A221" s="74">
        <f t="shared" si="27"/>
        <v>219</v>
      </c>
      <c r="B221" s="75" t="s">
        <v>1040</v>
      </c>
      <c r="C221" s="74" t="str">
        <f>IF($B221&lt;&gt;"",_xlfn.IFNA(VLOOKUP($B221,'Node Details'!$B:$U,C$1,0),"Check"),"")</f>
        <v>0000AXY15-AXY150108</v>
      </c>
      <c r="D221" s="74" t="str">
        <f>IF($B221&lt;&gt;"",_xlfn.IFNA(VLOOKUP($B221,'Node Details'!$B:$U,D$1,0),"Check"),"")</f>
        <v>AXY</v>
      </c>
      <c r="E221" s="74" t="str">
        <f>IF($B221&lt;&gt;"",_xlfn.IFNA(VLOOKUP($B221,'Node Details'!$B:$U,E$1,0),"Check"),"")</f>
        <v>Airtel</v>
      </c>
      <c r="F221" s="76">
        <v>46113</v>
      </c>
      <c r="G221" s="74"/>
      <c r="H221" s="10" t="s">
        <v>22</v>
      </c>
      <c r="I221" s="9">
        <v>2</v>
      </c>
      <c r="J221" s="9">
        <v>42</v>
      </c>
      <c r="K221" s="77">
        <f t="shared" si="26"/>
        <v>84</v>
      </c>
      <c r="L221" s="76">
        <v>46112</v>
      </c>
      <c r="N221" s="83"/>
      <c r="O221" s="84"/>
      <c r="P221" s="81">
        <f t="shared" si="21"/>
        <v>42</v>
      </c>
      <c r="Q221" s="81">
        <f t="shared" si="22"/>
        <v>84</v>
      </c>
      <c r="R221" s="81"/>
      <c r="S221" s="81"/>
      <c r="T221" s="85"/>
      <c r="U221" s="81">
        <f t="shared" si="23"/>
        <v>42</v>
      </c>
      <c r="V221" s="81">
        <f t="shared" si="24"/>
        <v>2</v>
      </c>
      <c r="W221" s="82">
        <f t="shared" si="25"/>
        <v>84</v>
      </c>
      <c r="X221" s="82" t="s">
        <v>84</v>
      </c>
      <c r="Y221" s="24" t="s">
        <v>93</v>
      </c>
    </row>
    <row r="222" spans="1:25" s="24" customFormat="1" ht="11.1" customHeight="1">
      <c r="A222" s="74">
        <f t="shared" si="27"/>
        <v>220</v>
      </c>
      <c r="B222" s="75" t="s">
        <v>1041</v>
      </c>
      <c r="C222" s="74" t="str">
        <f>IF($B222&lt;&gt;"",_xlfn.IFNA(VLOOKUP($B222,'Node Details'!$B:$U,C$1,0),"Check"),"")</f>
        <v>0000AXY15-AXY150108</v>
      </c>
      <c r="D222" s="74" t="str">
        <f>IF($B222&lt;&gt;"",_xlfn.IFNA(VLOOKUP($B222,'Node Details'!$B:$U,D$1,0),"Check"),"")</f>
        <v>AXY</v>
      </c>
      <c r="E222" s="74" t="str">
        <f>IF($B222&lt;&gt;"",_xlfn.IFNA(VLOOKUP($B222,'Node Details'!$B:$U,E$1,0),"Check"),"")</f>
        <v>Airtel</v>
      </c>
      <c r="F222" s="76">
        <v>46113</v>
      </c>
      <c r="G222" s="74"/>
      <c r="H222" s="10" t="s">
        <v>22</v>
      </c>
      <c r="I222" s="9">
        <v>2</v>
      </c>
      <c r="J222" s="9">
        <v>42</v>
      </c>
      <c r="K222" s="77">
        <f t="shared" si="26"/>
        <v>84</v>
      </c>
      <c r="L222" s="76">
        <v>46112</v>
      </c>
      <c r="N222" s="83"/>
      <c r="O222" s="84"/>
      <c r="P222" s="81">
        <f t="shared" si="21"/>
        <v>42</v>
      </c>
      <c r="Q222" s="81">
        <f t="shared" si="22"/>
        <v>84</v>
      </c>
      <c r="R222" s="81"/>
      <c r="S222" s="81"/>
      <c r="T222" s="85"/>
      <c r="U222" s="81">
        <f t="shared" si="23"/>
        <v>42</v>
      </c>
      <c r="V222" s="81">
        <f t="shared" si="24"/>
        <v>2</v>
      </c>
      <c r="W222" s="82">
        <f t="shared" si="25"/>
        <v>84</v>
      </c>
      <c r="X222" s="82" t="s">
        <v>84</v>
      </c>
      <c r="Y222" s="24" t="s">
        <v>93</v>
      </c>
    </row>
    <row r="223" spans="1:25" s="24" customFormat="1" ht="11.1" customHeight="1">
      <c r="A223" s="74">
        <f t="shared" si="27"/>
        <v>221</v>
      </c>
      <c r="B223" s="75" t="s">
        <v>342</v>
      </c>
      <c r="C223" s="74" t="str">
        <f>IF($B223&lt;&gt;"",_xlfn.IFNA(VLOOKUP($B223,'Node Details'!$B:$U,C$1,0),"Check"),"")</f>
        <v>0000AXY15-AXY150108</v>
      </c>
      <c r="D223" s="74" t="str">
        <f>IF($B223&lt;&gt;"",_xlfn.IFNA(VLOOKUP($B223,'Node Details'!$B:$U,D$1,0),"Check"),"")</f>
        <v>AXY</v>
      </c>
      <c r="E223" s="74" t="str">
        <f>IF($B223&lt;&gt;"",_xlfn.IFNA(VLOOKUP($B223,'Node Details'!$B:$U,E$1,0),"Check"),"")</f>
        <v>Airtel</v>
      </c>
      <c r="F223" s="76">
        <v>46113</v>
      </c>
      <c r="G223" s="74"/>
      <c r="H223" s="10" t="s">
        <v>22</v>
      </c>
      <c r="I223" s="9">
        <v>2</v>
      </c>
      <c r="J223" s="9">
        <v>42</v>
      </c>
      <c r="K223" s="77">
        <f t="shared" si="26"/>
        <v>84</v>
      </c>
      <c r="L223" s="76">
        <v>46112</v>
      </c>
      <c r="N223" s="83"/>
      <c r="O223" s="84"/>
      <c r="P223" s="81">
        <f t="shared" si="21"/>
        <v>42</v>
      </c>
      <c r="Q223" s="81">
        <f t="shared" si="22"/>
        <v>84</v>
      </c>
      <c r="R223" s="81"/>
      <c r="S223" s="81"/>
      <c r="T223" s="85"/>
      <c r="U223" s="81">
        <f t="shared" si="23"/>
        <v>42</v>
      </c>
      <c r="V223" s="81">
        <f t="shared" si="24"/>
        <v>2</v>
      </c>
      <c r="W223" s="82">
        <f t="shared" si="25"/>
        <v>84</v>
      </c>
      <c r="X223" s="82" t="s">
        <v>84</v>
      </c>
      <c r="Y223" s="24" t="s">
        <v>93</v>
      </c>
    </row>
    <row r="224" spans="1:25" s="24" customFormat="1" ht="11.1" customHeight="1">
      <c r="A224" s="74">
        <f t="shared" si="27"/>
        <v>222</v>
      </c>
      <c r="B224" s="75" t="s">
        <v>346</v>
      </c>
      <c r="C224" s="74" t="str">
        <f>IF($B224&lt;&gt;"",_xlfn.IFNA(VLOOKUP($B224,'Node Details'!$B:$U,C$1,0),"Check"),"")</f>
        <v>0000AXY16-AXY160104</v>
      </c>
      <c r="D224" s="74" t="str">
        <f>IF($B224&lt;&gt;"",_xlfn.IFNA(VLOOKUP($B224,'Node Details'!$B:$U,D$1,0),"Check"),"")</f>
        <v>AXY</v>
      </c>
      <c r="E224" s="74" t="str">
        <f>IF($B224&lt;&gt;"",_xlfn.IFNA(VLOOKUP($B224,'Node Details'!$B:$U,E$1,0),"Check"),"")</f>
        <v>Airtel</v>
      </c>
      <c r="F224" s="76">
        <v>46113</v>
      </c>
      <c r="G224" s="74"/>
      <c r="H224" s="10" t="s">
        <v>22</v>
      </c>
      <c r="I224" s="9">
        <v>2</v>
      </c>
      <c r="J224" s="9">
        <v>42</v>
      </c>
      <c r="K224" s="77">
        <f t="shared" si="26"/>
        <v>84</v>
      </c>
      <c r="L224" s="76">
        <v>46112</v>
      </c>
      <c r="N224" s="83"/>
      <c r="O224" s="84"/>
      <c r="P224" s="81">
        <f t="shared" si="21"/>
        <v>42</v>
      </c>
      <c r="Q224" s="81">
        <f t="shared" si="22"/>
        <v>84</v>
      </c>
      <c r="R224" s="81"/>
      <c r="S224" s="81"/>
      <c r="T224" s="85"/>
      <c r="U224" s="81">
        <f t="shared" si="23"/>
        <v>42</v>
      </c>
      <c r="V224" s="81">
        <f t="shared" si="24"/>
        <v>2</v>
      </c>
      <c r="W224" s="82">
        <f t="shared" si="25"/>
        <v>84</v>
      </c>
      <c r="X224" s="82" t="s">
        <v>84</v>
      </c>
      <c r="Y224" s="24" t="s">
        <v>93</v>
      </c>
    </row>
    <row r="225" spans="1:25" s="24" customFormat="1" ht="11.1" customHeight="1">
      <c r="A225" s="74">
        <f t="shared" si="27"/>
        <v>223</v>
      </c>
      <c r="B225" s="75" t="s">
        <v>1043</v>
      </c>
      <c r="C225" s="74" t="str">
        <f>IF($B225&lt;&gt;"",_xlfn.IFNA(VLOOKUP($B225,'Node Details'!$B:$U,C$1,0),"Check"),"")</f>
        <v>0000AXY16-AXY160103</v>
      </c>
      <c r="D225" s="74" t="str">
        <f>IF($B225&lt;&gt;"",_xlfn.IFNA(VLOOKUP($B225,'Node Details'!$B:$U,D$1,0),"Check"),"")</f>
        <v>AXY</v>
      </c>
      <c r="E225" s="74" t="str">
        <f>IF($B225&lt;&gt;"",_xlfn.IFNA(VLOOKUP($B225,'Node Details'!$B:$U,E$1,0),"Check"),"")</f>
        <v>Airtel</v>
      </c>
      <c r="F225" s="76">
        <v>46113</v>
      </c>
      <c r="G225" s="74"/>
      <c r="H225" s="10" t="s">
        <v>22</v>
      </c>
      <c r="I225" s="9">
        <v>2</v>
      </c>
      <c r="J225" s="9">
        <v>42</v>
      </c>
      <c r="K225" s="77">
        <f t="shared" si="26"/>
        <v>84</v>
      </c>
      <c r="L225" s="76">
        <v>46112</v>
      </c>
      <c r="N225" s="83"/>
      <c r="O225" s="84"/>
      <c r="P225" s="81">
        <f t="shared" si="21"/>
        <v>42</v>
      </c>
      <c r="Q225" s="81">
        <f t="shared" si="22"/>
        <v>84</v>
      </c>
      <c r="R225" s="81"/>
      <c r="S225" s="81"/>
      <c r="T225" s="85"/>
      <c r="U225" s="81">
        <f t="shared" si="23"/>
        <v>42</v>
      </c>
      <c r="V225" s="81">
        <f t="shared" si="24"/>
        <v>2</v>
      </c>
      <c r="W225" s="82">
        <f t="shared" si="25"/>
        <v>84</v>
      </c>
      <c r="X225" s="82" t="s">
        <v>84</v>
      </c>
      <c r="Y225" s="24" t="s">
        <v>93</v>
      </c>
    </row>
    <row r="226" spans="1:25" s="24" customFormat="1" ht="11.1" customHeight="1">
      <c r="A226" s="74">
        <f t="shared" si="27"/>
        <v>224</v>
      </c>
      <c r="B226" s="75" t="s">
        <v>1044</v>
      </c>
      <c r="C226" s="74" t="str">
        <f>IF($B226&lt;&gt;"",_xlfn.IFNA(VLOOKUP($B226,'Node Details'!$B:$U,C$1,0),"Check"),"")</f>
        <v>0000AXY16-AXY160103</v>
      </c>
      <c r="D226" s="74" t="str">
        <f>IF($B226&lt;&gt;"",_xlfn.IFNA(VLOOKUP($B226,'Node Details'!$B:$U,D$1,0),"Check"),"")</f>
        <v>AXY</v>
      </c>
      <c r="E226" s="74" t="str">
        <f>IF($B226&lt;&gt;"",_xlfn.IFNA(VLOOKUP($B226,'Node Details'!$B:$U,E$1,0),"Check"),"")</f>
        <v>Airtel</v>
      </c>
      <c r="F226" s="76">
        <v>46113</v>
      </c>
      <c r="G226" s="74"/>
      <c r="H226" s="10" t="s">
        <v>22</v>
      </c>
      <c r="I226" s="9">
        <v>2</v>
      </c>
      <c r="J226" s="9">
        <v>42</v>
      </c>
      <c r="K226" s="77">
        <f t="shared" si="26"/>
        <v>84</v>
      </c>
      <c r="L226" s="76">
        <v>46112</v>
      </c>
      <c r="N226" s="83"/>
      <c r="O226" s="84"/>
      <c r="P226" s="81">
        <f t="shared" si="21"/>
        <v>42</v>
      </c>
      <c r="Q226" s="81">
        <f t="shared" si="22"/>
        <v>84</v>
      </c>
      <c r="R226" s="81"/>
      <c r="S226" s="81"/>
      <c r="T226" s="85"/>
      <c r="U226" s="81">
        <f t="shared" si="23"/>
        <v>42</v>
      </c>
      <c r="V226" s="81">
        <f t="shared" si="24"/>
        <v>2</v>
      </c>
      <c r="W226" s="82">
        <f t="shared" si="25"/>
        <v>84</v>
      </c>
      <c r="X226" s="82" t="s">
        <v>84</v>
      </c>
      <c r="Y226" s="24" t="s">
        <v>93</v>
      </c>
    </row>
    <row r="227" spans="1:25" s="24" customFormat="1" ht="11.1" customHeight="1">
      <c r="A227" s="74">
        <f t="shared" si="27"/>
        <v>225</v>
      </c>
      <c r="B227" s="75" t="s">
        <v>349</v>
      </c>
      <c r="C227" s="74" t="str">
        <f>IF($B227&lt;&gt;"",_xlfn.IFNA(VLOOKUP($B227,'Node Details'!$B:$U,C$1,0),"Check"),"")</f>
        <v>0000AXY16-AXY160103</v>
      </c>
      <c r="D227" s="74" t="str">
        <f>IF($B227&lt;&gt;"",_xlfn.IFNA(VLOOKUP($B227,'Node Details'!$B:$U,D$1,0),"Check"),"")</f>
        <v>AXY</v>
      </c>
      <c r="E227" s="74" t="str">
        <f>IF($B227&lt;&gt;"",_xlfn.IFNA(VLOOKUP($B227,'Node Details'!$B:$U,E$1,0),"Check"),"")</f>
        <v>Airtel</v>
      </c>
      <c r="F227" s="76">
        <v>46113</v>
      </c>
      <c r="G227" s="74"/>
      <c r="H227" s="10" t="s">
        <v>22</v>
      </c>
      <c r="I227" s="9">
        <v>2</v>
      </c>
      <c r="J227" s="9">
        <v>42</v>
      </c>
      <c r="K227" s="77">
        <f t="shared" si="26"/>
        <v>84</v>
      </c>
      <c r="L227" s="76">
        <v>46112</v>
      </c>
      <c r="N227" s="83"/>
      <c r="O227" s="84"/>
      <c r="P227" s="81">
        <f t="shared" si="21"/>
        <v>42</v>
      </c>
      <c r="Q227" s="81">
        <f t="shared" si="22"/>
        <v>84</v>
      </c>
      <c r="R227" s="81"/>
      <c r="S227" s="81"/>
      <c r="T227" s="85"/>
      <c r="U227" s="81">
        <f t="shared" si="23"/>
        <v>42</v>
      </c>
      <c r="V227" s="81">
        <f t="shared" si="24"/>
        <v>2</v>
      </c>
      <c r="W227" s="82">
        <f t="shared" si="25"/>
        <v>84</v>
      </c>
      <c r="X227" s="82" t="s">
        <v>84</v>
      </c>
      <c r="Y227" s="24" t="s">
        <v>93</v>
      </c>
    </row>
    <row r="228" spans="1:25" s="24" customFormat="1" ht="11.1" customHeight="1">
      <c r="A228" s="74">
        <f t="shared" si="27"/>
        <v>226</v>
      </c>
      <c r="B228" s="75" t="s">
        <v>1045</v>
      </c>
      <c r="C228" s="74" t="str">
        <f>IF($B228&lt;&gt;"",_xlfn.IFNA(VLOOKUP($B228,'Node Details'!$B:$U,C$1,0),"Check"),"")</f>
        <v>0000AXY16-AXY160107</v>
      </c>
      <c r="D228" s="74" t="str">
        <f>IF($B228&lt;&gt;"",_xlfn.IFNA(VLOOKUP($B228,'Node Details'!$B:$U,D$1,0),"Check"),"")</f>
        <v>AXY</v>
      </c>
      <c r="E228" s="74" t="str">
        <f>IF($B228&lt;&gt;"",_xlfn.IFNA(VLOOKUP($B228,'Node Details'!$B:$U,E$1,0),"Check"),"")</f>
        <v>Airtel</v>
      </c>
      <c r="F228" s="76">
        <v>46113</v>
      </c>
      <c r="G228" s="74"/>
      <c r="H228" s="10" t="s">
        <v>22</v>
      </c>
      <c r="I228" s="9">
        <v>2</v>
      </c>
      <c r="J228" s="9">
        <v>42</v>
      </c>
      <c r="K228" s="77">
        <f t="shared" si="26"/>
        <v>84</v>
      </c>
      <c r="L228" s="76">
        <v>46112</v>
      </c>
      <c r="N228" s="83"/>
      <c r="O228" s="84"/>
      <c r="P228" s="81">
        <f t="shared" si="21"/>
        <v>42</v>
      </c>
      <c r="Q228" s="81">
        <f t="shared" si="22"/>
        <v>84</v>
      </c>
      <c r="R228" s="81"/>
      <c r="S228" s="81"/>
      <c r="T228" s="85"/>
      <c r="U228" s="81">
        <f t="shared" si="23"/>
        <v>42</v>
      </c>
      <c r="V228" s="81">
        <f t="shared" si="24"/>
        <v>2</v>
      </c>
      <c r="W228" s="82">
        <f t="shared" si="25"/>
        <v>84</v>
      </c>
      <c r="X228" s="82" t="s">
        <v>84</v>
      </c>
      <c r="Y228" s="24" t="s">
        <v>93</v>
      </c>
    </row>
    <row r="229" spans="1:25" s="24" customFormat="1" ht="11.1" customHeight="1">
      <c r="A229" s="74">
        <f t="shared" si="27"/>
        <v>227</v>
      </c>
      <c r="B229" s="75" t="s">
        <v>1046</v>
      </c>
      <c r="C229" s="74" t="str">
        <f>IF($B229&lt;&gt;"",_xlfn.IFNA(VLOOKUP($B229,'Node Details'!$B:$U,C$1,0),"Check"),"")</f>
        <v>0000AXY16-AXY160107</v>
      </c>
      <c r="D229" s="74" t="str">
        <f>IF($B229&lt;&gt;"",_xlfn.IFNA(VLOOKUP($B229,'Node Details'!$B:$U,D$1,0),"Check"),"")</f>
        <v>AXY</v>
      </c>
      <c r="E229" s="74" t="str">
        <f>IF($B229&lt;&gt;"",_xlfn.IFNA(VLOOKUP($B229,'Node Details'!$B:$U,E$1,0),"Check"),"")</f>
        <v>Airtel</v>
      </c>
      <c r="F229" s="76">
        <v>46113</v>
      </c>
      <c r="G229" s="74"/>
      <c r="H229" s="10" t="s">
        <v>22</v>
      </c>
      <c r="I229" s="9">
        <v>2</v>
      </c>
      <c r="J229" s="9">
        <v>42</v>
      </c>
      <c r="K229" s="77">
        <f t="shared" si="26"/>
        <v>84</v>
      </c>
      <c r="L229" s="76">
        <v>46112</v>
      </c>
      <c r="N229" s="83"/>
      <c r="O229" s="84"/>
      <c r="P229" s="81">
        <f t="shared" si="21"/>
        <v>42</v>
      </c>
      <c r="Q229" s="81">
        <f t="shared" si="22"/>
        <v>84</v>
      </c>
      <c r="R229" s="81"/>
      <c r="S229" s="81"/>
      <c r="T229" s="85"/>
      <c r="U229" s="81">
        <f t="shared" si="23"/>
        <v>42</v>
      </c>
      <c r="V229" s="81">
        <f t="shared" si="24"/>
        <v>2</v>
      </c>
      <c r="W229" s="82">
        <f t="shared" si="25"/>
        <v>84</v>
      </c>
      <c r="X229" s="82" t="s">
        <v>84</v>
      </c>
      <c r="Y229" s="24" t="s">
        <v>93</v>
      </c>
    </row>
    <row r="230" spans="1:25" s="24" customFormat="1" ht="11.1" customHeight="1">
      <c r="A230" s="74">
        <f t="shared" si="27"/>
        <v>228</v>
      </c>
      <c r="B230" s="75" t="s">
        <v>352</v>
      </c>
      <c r="C230" s="74" t="str">
        <f>IF($B230&lt;&gt;"",_xlfn.IFNA(VLOOKUP($B230,'Node Details'!$B:$U,C$1,0),"Check"),"")</f>
        <v>0000AXY16-AXY160107</v>
      </c>
      <c r="D230" s="74" t="str">
        <f>IF($B230&lt;&gt;"",_xlfn.IFNA(VLOOKUP($B230,'Node Details'!$B:$U,D$1,0),"Check"),"")</f>
        <v>AXY</v>
      </c>
      <c r="E230" s="74" t="str">
        <f>IF($B230&lt;&gt;"",_xlfn.IFNA(VLOOKUP($B230,'Node Details'!$B:$U,E$1,0),"Check"),"")</f>
        <v>Airtel</v>
      </c>
      <c r="F230" s="76">
        <v>46113</v>
      </c>
      <c r="G230" s="74"/>
      <c r="H230" s="10" t="s">
        <v>22</v>
      </c>
      <c r="I230" s="9">
        <v>2</v>
      </c>
      <c r="J230" s="9">
        <v>42</v>
      </c>
      <c r="K230" s="77">
        <f t="shared" si="26"/>
        <v>84</v>
      </c>
      <c r="L230" s="76">
        <v>46112</v>
      </c>
      <c r="N230" s="83"/>
      <c r="O230" s="84"/>
      <c r="P230" s="81">
        <f t="shared" si="21"/>
        <v>42</v>
      </c>
      <c r="Q230" s="81">
        <f t="shared" si="22"/>
        <v>84</v>
      </c>
      <c r="R230" s="81"/>
      <c r="S230" s="81"/>
      <c r="T230" s="85"/>
      <c r="U230" s="81">
        <f t="shared" si="23"/>
        <v>42</v>
      </c>
      <c r="V230" s="81">
        <f t="shared" si="24"/>
        <v>2</v>
      </c>
      <c r="W230" s="82">
        <f t="shared" si="25"/>
        <v>84</v>
      </c>
      <c r="X230" s="82" t="s">
        <v>84</v>
      </c>
      <c r="Y230" s="24" t="s">
        <v>93</v>
      </c>
    </row>
    <row r="231" spans="1:25" s="24" customFormat="1" ht="11.1" customHeight="1">
      <c r="A231" s="74">
        <f t="shared" si="27"/>
        <v>229</v>
      </c>
      <c r="B231" s="75" t="s">
        <v>355</v>
      </c>
      <c r="C231" s="74" t="str">
        <f>IF($B231&lt;&gt;"",_xlfn.IFNA(VLOOKUP($B231,'Node Details'!$B:$U,C$1,0),"Check"),"")</f>
        <v>0000AXY16-AXY160108</v>
      </c>
      <c r="D231" s="74" t="str">
        <f>IF($B231&lt;&gt;"",_xlfn.IFNA(VLOOKUP($B231,'Node Details'!$B:$U,D$1,0),"Check"),"")</f>
        <v>AXY</v>
      </c>
      <c r="E231" s="74" t="str">
        <f>IF($B231&lt;&gt;"",_xlfn.IFNA(VLOOKUP($B231,'Node Details'!$B:$U,E$1,0),"Check"),"")</f>
        <v>Airtel</v>
      </c>
      <c r="F231" s="76">
        <v>46113</v>
      </c>
      <c r="G231" s="74"/>
      <c r="H231" s="10" t="s">
        <v>22</v>
      </c>
      <c r="I231" s="9">
        <v>2</v>
      </c>
      <c r="J231" s="9">
        <v>42</v>
      </c>
      <c r="K231" s="77">
        <f t="shared" si="26"/>
        <v>84</v>
      </c>
      <c r="L231" s="76">
        <v>46112</v>
      </c>
      <c r="N231" s="83"/>
      <c r="O231" s="84"/>
      <c r="P231" s="81">
        <f t="shared" si="21"/>
        <v>42</v>
      </c>
      <c r="Q231" s="81">
        <f t="shared" si="22"/>
        <v>84</v>
      </c>
      <c r="R231" s="81"/>
      <c r="S231" s="81"/>
      <c r="T231" s="85"/>
      <c r="U231" s="81">
        <f t="shared" si="23"/>
        <v>42</v>
      </c>
      <c r="V231" s="81">
        <f t="shared" si="24"/>
        <v>2</v>
      </c>
      <c r="W231" s="82">
        <f t="shared" si="25"/>
        <v>84</v>
      </c>
      <c r="X231" s="82" t="s">
        <v>84</v>
      </c>
      <c r="Y231" s="24" t="s">
        <v>93</v>
      </c>
    </row>
    <row r="232" spans="1:25" s="24" customFormat="1" ht="11.1" customHeight="1">
      <c r="A232" s="74">
        <f t="shared" si="27"/>
        <v>230</v>
      </c>
      <c r="B232" s="75" t="s">
        <v>359</v>
      </c>
      <c r="C232" s="74" t="str">
        <f>IF($B232&lt;&gt;"",_xlfn.IFNA(VLOOKUP($B232,'Node Details'!$B:$U,C$1,0),"Check"),"")</f>
        <v>0000AXY17-AXY170101</v>
      </c>
      <c r="D232" s="74" t="str">
        <f>IF($B232&lt;&gt;"",_xlfn.IFNA(VLOOKUP($B232,'Node Details'!$B:$U,D$1,0),"Check"),"")</f>
        <v>AXY</v>
      </c>
      <c r="E232" s="74" t="str">
        <f>IF($B232&lt;&gt;"",_xlfn.IFNA(VLOOKUP($B232,'Node Details'!$B:$U,E$1,0),"Check"),"")</f>
        <v>Airtel</v>
      </c>
      <c r="F232" s="76">
        <v>46113</v>
      </c>
      <c r="G232" s="74"/>
      <c r="H232" s="10" t="s">
        <v>22</v>
      </c>
      <c r="I232" s="9">
        <v>2</v>
      </c>
      <c r="J232" s="9">
        <v>42</v>
      </c>
      <c r="K232" s="77">
        <f t="shared" si="26"/>
        <v>84</v>
      </c>
      <c r="L232" s="76">
        <v>46112</v>
      </c>
      <c r="N232" s="83"/>
      <c r="O232" s="84"/>
      <c r="P232" s="81">
        <f t="shared" si="21"/>
        <v>42</v>
      </c>
      <c r="Q232" s="81">
        <f t="shared" si="22"/>
        <v>84</v>
      </c>
      <c r="R232" s="81"/>
      <c r="S232" s="81"/>
      <c r="T232" s="85"/>
      <c r="U232" s="81">
        <f t="shared" si="23"/>
        <v>42</v>
      </c>
      <c r="V232" s="81">
        <f t="shared" si="24"/>
        <v>2</v>
      </c>
      <c r="W232" s="82">
        <f t="shared" si="25"/>
        <v>84</v>
      </c>
      <c r="X232" s="82" t="s">
        <v>84</v>
      </c>
      <c r="Y232" s="24" t="s">
        <v>93</v>
      </c>
    </row>
    <row r="233" spans="1:25" s="24" customFormat="1" ht="11.1" customHeight="1">
      <c r="A233" s="74">
        <f t="shared" si="27"/>
        <v>231</v>
      </c>
      <c r="B233" s="75" t="s">
        <v>1047</v>
      </c>
      <c r="C233" s="74" t="str">
        <f>IF($B233&lt;&gt;"",_xlfn.IFNA(VLOOKUP($B233,'Node Details'!$B:$U,C$1,0),"Check"),"")</f>
        <v>0000AXY17-AXY170107</v>
      </c>
      <c r="D233" s="74" t="str">
        <f>IF($B233&lt;&gt;"",_xlfn.IFNA(VLOOKUP($B233,'Node Details'!$B:$U,D$1,0),"Check"),"")</f>
        <v>AXY</v>
      </c>
      <c r="E233" s="74" t="str">
        <f>IF($B233&lt;&gt;"",_xlfn.IFNA(VLOOKUP($B233,'Node Details'!$B:$U,E$1,0),"Check"),"")</f>
        <v>Airtel</v>
      </c>
      <c r="F233" s="76">
        <v>46113</v>
      </c>
      <c r="G233" s="74"/>
      <c r="H233" s="10" t="s">
        <v>22</v>
      </c>
      <c r="I233" s="9">
        <v>2</v>
      </c>
      <c r="J233" s="9">
        <v>42</v>
      </c>
      <c r="K233" s="77">
        <f t="shared" si="26"/>
        <v>84</v>
      </c>
      <c r="L233" s="76">
        <v>46112</v>
      </c>
      <c r="N233" s="83"/>
      <c r="O233" s="84"/>
      <c r="P233" s="81">
        <f t="shared" si="21"/>
        <v>42</v>
      </c>
      <c r="Q233" s="81">
        <f t="shared" si="22"/>
        <v>84</v>
      </c>
      <c r="R233" s="81"/>
      <c r="S233" s="81"/>
      <c r="T233" s="85"/>
      <c r="U233" s="81">
        <f t="shared" si="23"/>
        <v>42</v>
      </c>
      <c r="V233" s="81">
        <f t="shared" si="24"/>
        <v>2</v>
      </c>
      <c r="W233" s="82">
        <f t="shared" si="25"/>
        <v>84</v>
      </c>
      <c r="X233" s="82" t="s">
        <v>84</v>
      </c>
      <c r="Y233" s="24" t="s">
        <v>93</v>
      </c>
    </row>
    <row r="234" spans="1:25" s="24" customFormat="1" ht="11.1" customHeight="1">
      <c r="A234" s="74">
        <f t="shared" si="27"/>
        <v>232</v>
      </c>
      <c r="B234" s="75" t="s">
        <v>1048</v>
      </c>
      <c r="C234" s="74" t="str">
        <f>IF($B234&lt;&gt;"",_xlfn.IFNA(VLOOKUP($B234,'Node Details'!$B:$U,C$1,0),"Check"),"")</f>
        <v>0000AXY17-AXY170107</v>
      </c>
      <c r="D234" s="74" t="str">
        <f>IF($B234&lt;&gt;"",_xlfn.IFNA(VLOOKUP($B234,'Node Details'!$B:$U,D$1,0),"Check"),"")</f>
        <v>AXY</v>
      </c>
      <c r="E234" s="74" t="str">
        <f>IF($B234&lt;&gt;"",_xlfn.IFNA(VLOOKUP($B234,'Node Details'!$B:$U,E$1,0),"Check"),"")</f>
        <v>Airtel</v>
      </c>
      <c r="F234" s="76">
        <v>46113</v>
      </c>
      <c r="G234" s="74"/>
      <c r="H234" s="10" t="s">
        <v>22</v>
      </c>
      <c r="I234" s="9">
        <v>2</v>
      </c>
      <c r="J234" s="9">
        <v>42</v>
      </c>
      <c r="K234" s="77">
        <f t="shared" si="26"/>
        <v>84</v>
      </c>
      <c r="L234" s="76">
        <v>46112</v>
      </c>
      <c r="N234" s="83"/>
      <c r="O234" s="84"/>
      <c r="P234" s="81">
        <f t="shared" si="21"/>
        <v>42</v>
      </c>
      <c r="Q234" s="81">
        <f t="shared" si="22"/>
        <v>84</v>
      </c>
      <c r="R234" s="81"/>
      <c r="S234" s="81"/>
      <c r="T234" s="85"/>
      <c r="U234" s="81">
        <f t="shared" si="23"/>
        <v>42</v>
      </c>
      <c r="V234" s="81">
        <f t="shared" si="24"/>
        <v>2</v>
      </c>
      <c r="W234" s="82">
        <f t="shared" si="25"/>
        <v>84</v>
      </c>
      <c r="X234" s="82" t="s">
        <v>84</v>
      </c>
      <c r="Y234" s="24" t="s">
        <v>93</v>
      </c>
    </row>
    <row r="235" spans="1:25" s="24" customFormat="1" ht="11.1" customHeight="1">
      <c r="A235" s="74">
        <f t="shared" si="27"/>
        <v>233</v>
      </c>
      <c r="B235" s="75" t="s">
        <v>1049</v>
      </c>
      <c r="C235" s="74" t="str">
        <f>IF($B235&lt;&gt;"",_xlfn.IFNA(VLOOKUP($B235,'Node Details'!$B:$U,C$1,0),"Check"),"")</f>
        <v>0000AXY17-AXY170201</v>
      </c>
      <c r="D235" s="74" t="str">
        <f>IF($B235&lt;&gt;"",_xlfn.IFNA(VLOOKUP($B235,'Node Details'!$B:$U,D$1,0),"Check"),"")</f>
        <v>AXY</v>
      </c>
      <c r="E235" s="74" t="str">
        <f>IF($B235&lt;&gt;"",_xlfn.IFNA(VLOOKUP($B235,'Node Details'!$B:$U,E$1,0),"Check"),"")</f>
        <v>Airtel</v>
      </c>
      <c r="F235" s="76">
        <v>46113</v>
      </c>
      <c r="G235" s="74"/>
      <c r="H235" s="10" t="s">
        <v>22</v>
      </c>
      <c r="I235" s="9">
        <v>2</v>
      </c>
      <c r="J235" s="9">
        <v>42</v>
      </c>
      <c r="K235" s="77">
        <f t="shared" si="26"/>
        <v>84</v>
      </c>
      <c r="L235" s="76">
        <v>46112</v>
      </c>
      <c r="N235" s="83"/>
      <c r="O235" s="84"/>
      <c r="P235" s="81">
        <f t="shared" si="21"/>
        <v>42</v>
      </c>
      <c r="Q235" s="81">
        <f t="shared" si="22"/>
        <v>84</v>
      </c>
      <c r="R235" s="81"/>
      <c r="S235" s="81"/>
      <c r="T235" s="85"/>
      <c r="U235" s="81">
        <f t="shared" si="23"/>
        <v>42</v>
      </c>
      <c r="V235" s="81">
        <f t="shared" si="24"/>
        <v>2</v>
      </c>
      <c r="W235" s="82">
        <f t="shared" si="25"/>
        <v>84</v>
      </c>
      <c r="X235" s="82" t="s">
        <v>84</v>
      </c>
      <c r="Y235" s="24" t="s">
        <v>93</v>
      </c>
    </row>
    <row r="236" spans="1:25" s="24" customFormat="1" ht="11.1" customHeight="1">
      <c r="A236" s="74">
        <f t="shared" si="27"/>
        <v>234</v>
      </c>
      <c r="B236" s="75" t="s">
        <v>362</v>
      </c>
      <c r="C236" s="74" t="str">
        <f>IF($B236&lt;&gt;"",_xlfn.IFNA(VLOOKUP($B236,'Node Details'!$B:$U,C$1,0),"Check"),"")</f>
        <v>0000AXY17-AXY170201</v>
      </c>
      <c r="D236" s="74" t="str">
        <f>IF($B236&lt;&gt;"",_xlfn.IFNA(VLOOKUP($B236,'Node Details'!$B:$U,D$1,0),"Check"),"")</f>
        <v>AXY</v>
      </c>
      <c r="E236" s="74" t="str">
        <f>IF($B236&lt;&gt;"",_xlfn.IFNA(VLOOKUP($B236,'Node Details'!$B:$U,E$1,0),"Check"),"")</f>
        <v>Airtel</v>
      </c>
      <c r="F236" s="76">
        <v>46113</v>
      </c>
      <c r="G236" s="74"/>
      <c r="H236" s="10" t="s">
        <v>22</v>
      </c>
      <c r="I236" s="9">
        <v>2</v>
      </c>
      <c r="J236" s="9">
        <v>42</v>
      </c>
      <c r="K236" s="77">
        <f t="shared" si="26"/>
        <v>84</v>
      </c>
      <c r="L236" s="76">
        <v>46112</v>
      </c>
      <c r="N236" s="83"/>
      <c r="O236" s="84"/>
      <c r="P236" s="81">
        <f t="shared" si="21"/>
        <v>42</v>
      </c>
      <c r="Q236" s="81">
        <f t="shared" si="22"/>
        <v>84</v>
      </c>
      <c r="R236" s="81"/>
      <c r="S236" s="81"/>
      <c r="T236" s="85"/>
      <c r="U236" s="81">
        <f t="shared" si="23"/>
        <v>42</v>
      </c>
      <c r="V236" s="81">
        <f t="shared" si="24"/>
        <v>2</v>
      </c>
      <c r="W236" s="82">
        <f t="shared" si="25"/>
        <v>84</v>
      </c>
      <c r="X236" s="82" t="s">
        <v>84</v>
      </c>
      <c r="Y236" s="24" t="s">
        <v>93</v>
      </c>
    </row>
    <row r="237" spans="1:25" s="24" customFormat="1" ht="11.1" customHeight="1">
      <c r="A237" s="74">
        <f t="shared" si="27"/>
        <v>235</v>
      </c>
      <c r="B237" s="75" t="s">
        <v>365</v>
      </c>
      <c r="C237" s="74" t="str">
        <f>IF($B237&lt;&gt;"",_xlfn.IFNA(VLOOKUP($B237,'Node Details'!$B:$U,C$1,0),"Check"),"")</f>
        <v>AXY170103-AXY170107</v>
      </c>
      <c r="D237" s="74" t="str">
        <f>IF($B237&lt;&gt;"",_xlfn.IFNA(VLOOKUP($B237,'Node Details'!$B:$U,D$1,0),"Check"),"")</f>
        <v>AXY</v>
      </c>
      <c r="E237" s="74" t="str">
        <f>IF($B237&lt;&gt;"",_xlfn.IFNA(VLOOKUP($B237,'Node Details'!$B:$U,E$1,0),"Check"),"")</f>
        <v>Airtel</v>
      </c>
      <c r="F237" s="76">
        <v>46113</v>
      </c>
      <c r="G237" s="74"/>
      <c r="H237" s="10" t="s">
        <v>22</v>
      </c>
      <c r="I237" s="9">
        <v>2</v>
      </c>
      <c r="J237" s="9">
        <v>42</v>
      </c>
      <c r="K237" s="77">
        <f t="shared" si="26"/>
        <v>84</v>
      </c>
      <c r="L237" s="76">
        <v>46112</v>
      </c>
      <c r="N237" s="83"/>
      <c r="O237" s="84"/>
      <c r="P237" s="81">
        <f t="shared" si="21"/>
        <v>42</v>
      </c>
      <c r="Q237" s="81">
        <f t="shared" si="22"/>
        <v>84</v>
      </c>
      <c r="R237" s="81"/>
      <c r="S237" s="81"/>
      <c r="T237" s="85"/>
      <c r="U237" s="81">
        <f t="shared" si="23"/>
        <v>42</v>
      </c>
      <c r="V237" s="81">
        <f t="shared" si="24"/>
        <v>2</v>
      </c>
      <c r="W237" s="82">
        <f t="shared" si="25"/>
        <v>84</v>
      </c>
      <c r="X237" s="82" t="s">
        <v>84</v>
      </c>
      <c r="Y237" s="24" t="s">
        <v>93</v>
      </c>
    </row>
    <row r="238" spans="1:25" s="24" customFormat="1" ht="11.1" customHeight="1">
      <c r="A238" s="74">
        <f t="shared" si="27"/>
        <v>236</v>
      </c>
      <c r="B238" s="75" t="s">
        <v>1050</v>
      </c>
      <c r="C238" s="74" t="str">
        <f>IF($B238&lt;&gt;"",_xlfn.IFNA(VLOOKUP($B238,'Node Details'!$B:$U,C$1,0),"Check"),"")</f>
        <v>AXY170103-AXY170107</v>
      </c>
      <c r="D238" s="74" t="str">
        <f>IF($B238&lt;&gt;"",_xlfn.IFNA(VLOOKUP($B238,'Node Details'!$B:$U,D$1,0),"Check"),"")</f>
        <v>AXY</v>
      </c>
      <c r="E238" s="74" t="str">
        <f>IF($B238&lt;&gt;"",_xlfn.IFNA(VLOOKUP($B238,'Node Details'!$B:$U,E$1,0),"Check"),"")</f>
        <v>Airtel</v>
      </c>
      <c r="F238" s="76">
        <v>46113</v>
      </c>
      <c r="G238" s="74"/>
      <c r="H238" s="10" t="s">
        <v>22</v>
      </c>
      <c r="I238" s="9">
        <v>2</v>
      </c>
      <c r="J238" s="9">
        <v>42</v>
      </c>
      <c r="K238" s="77">
        <f t="shared" si="26"/>
        <v>84</v>
      </c>
      <c r="L238" s="76">
        <v>46112</v>
      </c>
      <c r="N238" s="83"/>
      <c r="O238" s="84"/>
      <c r="P238" s="81">
        <f t="shared" si="21"/>
        <v>42</v>
      </c>
      <c r="Q238" s="81">
        <f t="shared" si="22"/>
        <v>84</v>
      </c>
      <c r="R238" s="81"/>
      <c r="S238" s="81"/>
      <c r="T238" s="85"/>
      <c r="U238" s="81">
        <f t="shared" si="23"/>
        <v>42</v>
      </c>
      <c r="V238" s="81">
        <f t="shared" si="24"/>
        <v>2</v>
      </c>
      <c r="W238" s="82">
        <f t="shared" si="25"/>
        <v>84</v>
      </c>
      <c r="X238" s="82" t="s">
        <v>84</v>
      </c>
      <c r="Y238" s="24" t="s">
        <v>93</v>
      </c>
    </row>
    <row r="239" spans="1:25" s="24" customFormat="1" ht="11.1" customHeight="1">
      <c r="A239" s="74">
        <f t="shared" si="27"/>
        <v>237</v>
      </c>
      <c r="B239" s="75" t="s">
        <v>149</v>
      </c>
      <c r="C239" s="74" t="str">
        <f>IF($B239&lt;&gt;"",_xlfn.IFNA(VLOOKUP($B239,'Node Details'!$B:$U,C$1,0),"Check"),"")</f>
        <v>000000AXY-0000AXY01</v>
      </c>
      <c r="D239" s="74" t="str">
        <f>IF($B239&lt;&gt;"",_xlfn.IFNA(VLOOKUP($B239,'Node Details'!$B:$U,D$1,0),"Check"),"")</f>
        <v>AXY</v>
      </c>
      <c r="E239" s="74" t="str">
        <f>IF($B239&lt;&gt;"",_xlfn.IFNA(VLOOKUP($B239,'Node Details'!$B:$U,E$1,0),"Check"),"")</f>
        <v>Airtel</v>
      </c>
      <c r="F239" s="76">
        <v>46113</v>
      </c>
      <c r="G239" s="74"/>
      <c r="H239" s="10" t="s">
        <v>1247</v>
      </c>
      <c r="I239" s="9">
        <v>1</v>
      </c>
      <c r="J239" s="9">
        <v>650</v>
      </c>
      <c r="K239" s="77">
        <f t="shared" si="26"/>
        <v>650</v>
      </c>
      <c r="L239" s="76">
        <v>46112</v>
      </c>
      <c r="N239" s="83"/>
      <c r="O239" s="84"/>
      <c r="P239" s="81">
        <f t="shared" ref="P239:P302" si="28">J239</f>
        <v>650</v>
      </c>
      <c r="Q239" s="81">
        <f t="shared" ref="Q239:Q302" si="29">P239*I239</f>
        <v>650</v>
      </c>
      <c r="R239" s="81"/>
      <c r="S239" s="81"/>
      <c r="T239" s="85"/>
      <c r="U239" s="81">
        <f t="shared" ref="U239:U302" si="30">J239</f>
        <v>650</v>
      </c>
      <c r="V239" s="81">
        <f t="shared" ref="V239:V302" si="31">I239</f>
        <v>1</v>
      </c>
      <c r="W239" s="82">
        <f t="shared" ref="W239:W302" si="32">IF(V239&lt;&gt;"",V239*U239,0)</f>
        <v>650</v>
      </c>
      <c r="X239" s="82" t="s">
        <v>84</v>
      </c>
      <c r="Y239" s="24" t="s">
        <v>93</v>
      </c>
    </row>
    <row r="240" spans="1:25" s="24" customFormat="1" ht="11.1" customHeight="1">
      <c r="A240" s="74">
        <f t="shared" si="27"/>
        <v>238</v>
      </c>
      <c r="B240" s="75" t="s">
        <v>155</v>
      </c>
      <c r="C240" s="74" t="str">
        <f>IF($B240&lt;&gt;"",_xlfn.IFNA(VLOOKUP($B240,'Node Details'!$B:$U,C$1,0),"Check"),"")</f>
        <v>0000AXY02-0000AXY03</v>
      </c>
      <c r="D240" s="74" t="str">
        <f>IF($B240&lt;&gt;"",_xlfn.IFNA(VLOOKUP($B240,'Node Details'!$B:$U,D$1,0),"Check"),"")</f>
        <v>AXY</v>
      </c>
      <c r="E240" s="74" t="str">
        <f>IF($B240&lt;&gt;"",_xlfn.IFNA(VLOOKUP($B240,'Node Details'!$B:$U,E$1,0),"Check"),"")</f>
        <v>Airtel</v>
      </c>
      <c r="F240" s="76">
        <v>46113</v>
      </c>
      <c r="G240" s="74"/>
      <c r="H240" s="10" t="s">
        <v>1247</v>
      </c>
      <c r="I240" s="9">
        <v>1</v>
      </c>
      <c r="J240" s="9">
        <v>650</v>
      </c>
      <c r="K240" s="77">
        <f t="shared" ref="K240:K303" si="33">IF(I240&lt;&gt;"",J240*I240,0)</f>
        <v>650</v>
      </c>
      <c r="L240" s="76">
        <v>46112</v>
      </c>
      <c r="N240" s="83"/>
      <c r="O240" s="84"/>
      <c r="P240" s="81">
        <f t="shared" si="28"/>
        <v>650</v>
      </c>
      <c r="Q240" s="81">
        <f t="shared" si="29"/>
        <v>650</v>
      </c>
      <c r="R240" s="81"/>
      <c r="S240" s="81"/>
      <c r="T240" s="85"/>
      <c r="U240" s="81">
        <f t="shared" si="30"/>
        <v>650</v>
      </c>
      <c r="V240" s="81">
        <f t="shared" si="31"/>
        <v>1</v>
      </c>
      <c r="W240" s="82">
        <f t="shared" si="32"/>
        <v>650</v>
      </c>
      <c r="X240" s="82" t="s">
        <v>84</v>
      </c>
      <c r="Y240" s="24" t="s">
        <v>93</v>
      </c>
    </row>
    <row r="241" spans="1:25" s="24" customFormat="1" ht="11.1" customHeight="1">
      <c r="A241" s="74">
        <f t="shared" si="27"/>
        <v>239</v>
      </c>
      <c r="B241" s="75" t="s">
        <v>151</v>
      </c>
      <c r="C241" s="74" t="str">
        <f>IF($B241&lt;&gt;"",_xlfn.IFNA(VLOOKUP($B241,'Node Details'!$B:$U,C$1,0),"Check"),"")</f>
        <v>000000AXY-0000AXY12</v>
      </c>
      <c r="D241" s="74" t="str">
        <f>IF($B241&lt;&gt;"",_xlfn.IFNA(VLOOKUP($B241,'Node Details'!$B:$U,D$1,0),"Check"),"")</f>
        <v>AXY</v>
      </c>
      <c r="E241" s="74" t="str">
        <f>IF($B241&lt;&gt;"",_xlfn.IFNA(VLOOKUP($B241,'Node Details'!$B:$U,E$1,0),"Check"),"")</f>
        <v>Airtel</v>
      </c>
      <c r="F241" s="76">
        <v>46113</v>
      </c>
      <c r="G241" s="74"/>
      <c r="H241" s="10" t="s">
        <v>1247</v>
      </c>
      <c r="I241" s="9">
        <v>1</v>
      </c>
      <c r="J241" s="9">
        <v>650</v>
      </c>
      <c r="K241" s="77">
        <f t="shared" si="33"/>
        <v>650</v>
      </c>
      <c r="L241" s="76">
        <v>46112</v>
      </c>
      <c r="N241" s="83"/>
      <c r="O241" s="84"/>
      <c r="P241" s="81">
        <f t="shared" si="28"/>
        <v>650</v>
      </c>
      <c r="Q241" s="81">
        <f t="shared" si="29"/>
        <v>650</v>
      </c>
      <c r="R241" s="81"/>
      <c r="S241" s="81"/>
      <c r="T241" s="85"/>
      <c r="U241" s="81">
        <f t="shared" si="30"/>
        <v>650</v>
      </c>
      <c r="V241" s="81">
        <f t="shared" si="31"/>
        <v>1</v>
      </c>
      <c r="W241" s="82">
        <f t="shared" si="32"/>
        <v>650</v>
      </c>
      <c r="X241" s="82" t="s">
        <v>84</v>
      </c>
      <c r="Y241" s="24" t="s">
        <v>93</v>
      </c>
    </row>
    <row r="242" spans="1:25" s="24" customFormat="1" ht="11.1" customHeight="1">
      <c r="A242" s="74">
        <f t="shared" si="27"/>
        <v>240</v>
      </c>
      <c r="B242" s="75" t="s">
        <v>152</v>
      </c>
      <c r="C242" s="74" t="str">
        <f>IF($B242&lt;&gt;"",_xlfn.IFNA(VLOOKUP($B242,'Node Details'!$B:$U,C$1,0),"Check"),"")</f>
        <v>0000AXY04-0000AXY05</v>
      </c>
      <c r="D242" s="74" t="str">
        <f>IF($B242&lt;&gt;"",_xlfn.IFNA(VLOOKUP($B242,'Node Details'!$B:$U,D$1,0),"Check"),"")</f>
        <v>AXY</v>
      </c>
      <c r="E242" s="74" t="str">
        <f>IF($B242&lt;&gt;"",_xlfn.IFNA(VLOOKUP($B242,'Node Details'!$B:$U,E$1,0),"Check"),"")</f>
        <v>Airtel</v>
      </c>
      <c r="F242" s="76">
        <v>46113</v>
      </c>
      <c r="G242" s="74"/>
      <c r="H242" s="10" t="s">
        <v>1247</v>
      </c>
      <c r="I242" s="9">
        <v>1</v>
      </c>
      <c r="J242" s="9">
        <v>650</v>
      </c>
      <c r="K242" s="77">
        <f t="shared" si="33"/>
        <v>650</v>
      </c>
      <c r="L242" s="76">
        <v>46112</v>
      </c>
      <c r="N242" s="83"/>
      <c r="O242" s="84"/>
      <c r="P242" s="81">
        <f t="shared" si="28"/>
        <v>650</v>
      </c>
      <c r="Q242" s="81">
        <f t="shared" si="29"/>
        <v>650</v>
      </c>
      <c r="R242" s="81"/>
      <c r="S242" s="81"/>
      <c r="T242" s="85"/>
      <c r="U242" s="81">
        <f t="shared" si="30"/>
        <v>650</v>
      </c>
      <c r="V242" s="81">
        <f t="shared" si="31"/>
        <v>1</v>
      </c>
      <c r="W242" s="82">
        <f t="shared" si="32"/>
        <v>650</v>
      </c>
      <c r="X242" s="82" t="s">
        <v>84</v>
      </c>
      <c r="Y242" s="24" t="s">
        <v>93</v>
      </c>
    </row>
    <row r="243" spans="1:25" s="24" customFormat="1" ht="11.1" customHeight="1">
      <c r="A243" s="74">
        <f t="shared" si="27"/>
        <v>241</v>
      </c>
      <c r="B243" s="75" t="s">
        <v>208</v>
      </c>
      <c r="C243" s="74" t="str">
        <f>IF($B243&lt;&gt;"",_xlfn.IFNA(VLOOKUP($B243,'Node Details'!$B:$U,C$1,0),"Check"),"")</f>
        <v>000000AXY-0000AXY12</v>
      </c>
      <c r="D243" s="74" t="str">
        <f>IF($B243&lt;&gt;"",_xlfn.IFNA(VLOOKUP($B243,'Node Details'!$B:$U,D$1,0),"Check"),"")</f>
        <v>AXY</v>
      </c>
      <c r="E243" s="74" t="str">
        <f>IF($B243&lt;&gt;"",_xlfn.IFNA(VLOOKUP($B243,'Node Details'!$B:$U,E$1,0),"Check"),"")</f>
        <v>Airtel</v>
      </c>
      <c r="F243" s="76">
        <v>46113</v>
      </c>
      <c r="G243" s="74"/>
      <c r="H243" s="10" t="s">
        <v>1247</v>
      </c>
      <c r="I243" s="9">
        <v>1</v>
      </c>
      <c r="J243" s="9">
        <v>650</v>
      </c>
      <c r="K243" s="77">
        <f t="shared" si="33"/>
        <v>650</v>
      </c>
      <c r="L243" s="76">
        <v>46112</v>
      </c>
      <c r="N243" s="83"/>
      <c r="O243" s="84"/>
      <c r="P243" s="81">
        <f t="shared" si="28"/>
        <v>650</v>
      </c>
      <c r="Q243" s="81">
        <f t="shared" si="29"/>
        <v>650</v>
      </c>
      <c r="R243" s="81"/>
      <c r="S243" s="81"/>
      <c r="T243" s="85"/>
      <c r="U243" s="81">
        <f t="shared" si="30"/>
        <v>650</v>
      </c>
      <c r="V243" s="81">
        <f t="shared" si="31"/>
        <v>1</v>
      </c>
      <c r="W243" s="82">
        <f t="shared" si="32"/>
        <v>650</v>
      </c>
      <c r="X243" s="82" t="s">
        <v>84</v>
      </c>
      <c r="Y243" s="24" t="s">
        <v>93</v>
      </c>
    </row>
    <row r="244" spans="1:25" s="24" customFormat="1" ht="11.1" customHeight="1">
      <c r="A244" s="74">
        <f t="shared" si="27"/>
        <v>242</v>
      </c>
      <c r="B244" s="75" t="s">
        <v>218</v>
      </c>
      <c r="C244" s="74" t="str">
        <f>IF($B244&lt;&gt;"",_xlfn.IFNA(VLOOKUP($B244,'Node Details'!$B:$U,C$1,0),"Check"),"")</f>
        <v>000000AXY-0000AXY12</v>
      </c>
      <c r="D244" s="74" t="str">
        <f>IF($B244&lt;&gt;"",_xlfn.IFNA(VLOOKUP($B244,'Node Details'!$B:$U,D$1,0),"Check"),"")</f>
        <v>AXY</v>
      </c>
      <c r="E244" s="74" t="str">
        <f>IF($B244&lt;&gt;"",_xlfn.IFNA(VLOOKUP($B244,'Node Details'!$B:$U,E$1,0),"Check"),"")</f>
        <v>Airtel</v>
      </c>
      <c r="F244" s="76">
        <v>46113</v>
      </c>
      <c r="G244" s="74"/>
      <c r="H244" s="10" t="s">
        <v>1247</v>
      </c>
      <c r="I244" s="9">
        <v>1</v>
      </c>
      <c r="J244" s="9">
        <v>650</v>
      </c>
      <c r="K244" s="77">
        <f t="shared" si="33"/>
        <v>650</v>
      </c>
      <c r="L244" s="76">
        <v>46112</v>
      </c>
      <c r="N244" s="83"/>
      <c r="O244" s="84"/>
      <c r="P244" s="81">
        <f t="shared" si="28"/>
        <v>650</v>
      </c>
      <c r="Q244" s="81">
        <f t="shared" si="29"/>
        <v>650</v>
      </c>
      <c r="R244" s="81"/>
      <c r="S244" s="81"/>
      <c r="T244" s="85"/>
      <c r="U244" s="81">
        <f t="shared" si="30"/>
        <v>650</v>
      </c>
      <c r="V244" s="81">
        <f t="shared" si="31"/>
        <v>1</v>
      </c>
      <c r="W244" s="82">
        <f t="shared" si="32"/>
        <v>650</v>
      </c>
      <c r="X244" s="82" t="s">
        <v>84</v>
      </c>
      <c r="Y244" s="24" t="s">
        <v>93</v>
      </c>
    </row>
    <row r="245" spans="1:25" s="24" customFormat="1" ht="11.1" customHeight="1">
      <c r="A245" s="74">
        <f t="shared" si="27"/>
        <v>243</v>
      </c>
      <c r="B245" s="75" t="s">
        <v>1001</v>
      </c>
      <c r="C245" s="74" t="str">
        <f>IF($B245&lt;&gt;"",_xlfn.IFNA(VLOOKUP($B245,'Node Details'!$B:$U,C$1,0),"Check"),"")</f>
        <v>000000AXY-0000AXY12</v>
      </c>
      <c r="D245" s="74" t="str">
        <f>IF($B245&lt;&gt;"",_xlfn.IFNA(VLOOKUP($B245,'Node Details'!$B:$U,D$1,0),"Check"),"")</f>
        <v>AXY</v>
      </c>
      <c r="E245" s="74" t="str">
        <f>IF($B245&lt;&gt;"",_xlfn.IFNA(VLOOKUP($B245,'Node Details'!$B:$U,E$1,0),"Check"),"")</f>
        <v>Airtel</v>
      </c>
      <c r="F245" s="76">
        <v>46113</v>
      </c>
      <c r="G245" s="74"/>
      <c r="H245" s="10" t="s">
        <v>1247</v>
      </c>
      <c r="I245" s="9">
        <v>2</v>
      </c>
      <c r="J245" s="9">
        <v>650</v>
      </c>
      <c r="K245" s="77">
        <f t="shared" si="33"/>
        <v>1300</v>
      </c>
      <c r="L245" s="76">
        <v>46112</v>
      </c>
      <c r="N245" s="83"/>
      <c r="O245" s="84"/>
      <c r="P245" s="81">
        <f t="shared" si="28"/>
        <v>650</v>
      </c>
      <c r="Q245" s="81">
        <f t="shared" si="29"/>
        <v>1300</v>
      </c>
      <c r="R245" s="81"/>
      <c r="S245" s="81"/>
      <c r="T245" s="85"/>
      <c r="U245" s="81">
        <f t="shared" si="30"/>
        <v>650</v>
      </c>
      <c r="V245" s="81">
        <f t="shared" si="31"/>
        <v>2</v>
      </c>
      <c r="W245" s="82">
        <f t="shared" si="32"/>
        <v>1300</v>
      </c>
      <c r="X245" s="82" t="s">
        <v>84</v>
      </c>
      <c r="Y245" s="24" t="s">
        <v>93</v>
      </c>
    </row>
    <row r="246" spans="1:25" s="24" customFormat="1" ht="11.1" customHeight="1">
      <c r="A246" s="74">
        <f t="shared" si="27"/>
        <v>244</v>
      </c>
      <c r="B246" s="75" t="s">
        <v>1006</v>
      </c>
      <c r="C246" s="74" t="str">
        <f>IF($B246&lt;&gt;"",_xlfn.IFNA(VLOOKUP($B246,'Node Details'!$B:$U,C$1,0),"Check"),"")</f>
        <v>000000AXY-0000AXY12</v>
      </c>
      <c r="D246" s="74" t="str">
        <f>IF($B246&lt;&gt;"",_xlfn.IFNA(VLOOKUP($B246,'Node Details'!$B:$U,D$1,0),"Check"),"")</f>
        <v>AXY</v>
      </c>
      <c r="E246" s="74" t="str">
        <f>IF($B246&lt;&gt;"",_xlfn.IFNA(VLOOKUP($B246,'Node Details'!$B:$U,E$1,0),"Check"),"")</f>
        <v>Airtel</v>
      </c>
      <c r="F246" s="76">
        <v>46113</v>
      </c>
      <c r="G246" s="74"/>
      <c r="H246" s="10" t="s">
        <v>1247</v>
      </c>
      <c r="I246" s="9">
        <v>2</v>
      </c>
      <c r="J246" s="9">
        <v>650</v>
      </c>
      <c r="K246" s="77">
        <f t="shared" si="33"/>
        <v>1300</v>
      </c>
      <c r="L246" s="76">
        <v>46112</v>
      </c>
      <c r="N246" s="83"/>
      <c r="O246" s="84"/>
      <c r="P246" s="81">
        <f t="shared" si="28"/>
        <v>650</v>
      </c>
      <c r="Q246" s="81">
        <f t="shared" si="29"/>
        <v>1300</v>
      </c>
      <c r="R246" s="81"/>
      <c r="S246" s="81"/>
      <c r="T246" s="85"/>
      <c r="U246" s="81">
        <f t="shared" si="30"/>
        <v>650</v>
      </c>
      <c r="V246" s="81">
        <f t="shared" si="31"/>
        <v>2</v>
      </c>
      <c r="W246" s="82">
        <f t="shared" si="32"/>
        <v>1300</v>
      </c>
      <c r="X246" s="82" t="s">
        <v>84</v>
      </c>
      <c r="Y246" s="24" t="s">
        <v>93</v>
      </c>
    </row>
    <row r="247" spans="1:25" s="24" customFormat="1" ht="11.1" customHeight="1">
      <c r="A247" s="74">
        <f t="shared" si="27"/>
        <v>245</v>
      </c>
      <c r="B247" s="75" t="s">
        <v>1014</v>
      </c>
      <c r="C247" s="74" t="str">
        <f>IF($B247&lt;&gt;"",_xlfn.IFNA(VLOOKUP($B247,'Node Details'!$B:$U,C$1,0),"Check"),"")</f>
        <v>000000AXY-0000AXY12</v>
      </c>
      <c r="D247" s="74" t="str">
        <f>IF($B247&lt;&gt;"",_xlfn.IFNA(VLOOKUP($B247,'Node Details'!$B:$U,D$1,0),"Check"),"")</f>
        <v>AXY</v>
      </c>
      <c r="E247" s="74" t="str">
        <f>IF($B247&lt;&gt;"",_xlfn.IFNA(VLOOKUP($B247,'Node Details'!$B:$U,E$1,0),"Check"),"")</f>
        <v>Airtel</v>
      </c>
      <c r="F247" s="76">
        <v>46113</v>
      </c>
      <c r="G247" s="74"/>
      <c r="H247" s="10" t="s">
        <v>1247</v>
      </c>
      <c r="I247" s="9">
        <v>2</v>
      </c>
      <c r="J247" s="9">
        <v>650</v>
      </c>
      <c r="K247" s="77">
        <f t="shared" si="33"/>
        <v>1300</v>
      </c>
      <c r="L247" s="76">
        <v>46112</v>
      </c>
      <c r="N247" s="83"/>
      <c r="O247" s="84"/>
      <c r="P247" s="81">
        <f t="shared" si="28"/>
        <v>650</v>
      </c>
      <c r="Q247" s="81">
        <f t="shared" si="29"/>
        <v>1300</v>
      </c>
      <c r="R247" s="81"/>
      <c r="S247" s="81"/>
      <c r="T247" s="85"/>
      <c r="U247" s="81">
        <f t="shared" si="30"/>
        <v>650</v>
      </c>
      <c r="V247" s="81">
        <f t="shared" si="31"/>
        <v>2</v>
      </c>
      <c r="W247" s="82">
        <f t="shared" si="32"/>
        <v>1300</v>
      </c>
      <c r="X247" s="82" t="s">
        <v>84</v>
      </c>
      <c r="Y247" s="24" t="s">
        <v>93</v>
      </c>
    </row>
    <row r="248" spans="1:25" s="24" customFormat="1" ht="11.1" customHeight="1">
      <c r="A248" s="74">
        <f t="shared" si="27"/>
        <v>246</v>
      </c>
      <c r="B248" s="75" t="s">
        <v>1019</v>
      </c>
      <c r="C248" s="74" t="str">
        <f>IF($B248&lt;&gt;"",_xlfn.IFNA(VLOOKUP($B248,'Node Details'!$B:$U,C$1,0),"Check"),"")</f>
        <v>000000AXY-0000AXY12</v>
      </c>
      <c r="D248" s="74" t="str">
        <f>IF($B248&lt;&gt;"",_xlfn.IFNA(VLOOKUP($B248,'Node Details'!$B:$U,D$1,0),"Check"),"")</f>
        <v>AXY</v>
      </c>
      <c r="E248" s="74" t="str">
        <f>IF($B248&lt;&gt;"",_xlfn.IFNA(VLOOKUP($B248,'Node Details'!$B:$U,E$1,0),"Check"),"")</f>
        <v>Airtel</v>
      </c>
      <c r="F248" s="76">
        <v>46113</v>
      </c>
      <c r="G248" s="74"/>
      <c r="H248" s="10" t="s">
        <v>1247</v>
      </c>
      <c r="I248" s="9">
        <v>2</v>
      </c>
      <c r="J248" s="9">
        <v>650</v>
      </c>
      <c r="K248" s="77">
        <f t="shared" si="33"/>
        <v>1300</v>
      </c>
      <c r="L248" s="76">
        <v>46112</v>
      </c>
      <c r="N248" s="83"/>
      <c r="O248" s="84"/>
      <c r="P248" s="81">
        <f t="shared" si="28"/>
        <v>650</v>
      </c>
      <c r="Q248" s="81">
        <f t="shared" si="29"/>
        <v>1300</v>
      </c>
      <c r="R248" s="81"/>
      <c r="S248" s="81"/>
      <c r="T248" s="85"/>
      <c r="U248" s="81">
        <f t="shared" si="30"/>
        <v>650</v>
      </c>
      <c r="V248" s="81">
        <f t="shared" si="31"/>
        <v>2</v>
      </c>
      <c r="W248" s="82">
        <f t="shared" si="32"/>
        <v>1300</v>
      </c>
      <c r="X248" s="82" t="s">
        <v>84</v>
      </c>
      <c r="Y248" s="24" t="s">
        <v>93</v>
      </c>
    </row>
    <row r="249" spans="1:25" s="24" customFormat="1" ht="11.1" customHeight="1">
      <c r="A249" s="74">
        <f t="shared" si="27"/>
        <v>247</v>
      </c>
      <c r="B249" s="75" t="s">
        <v>141</v>
      </c>
      <c r="C249" s="74" t="str">
        <f>IF($B249&lt;&gt;"",_xlfn.IFNA(VLOOKUP($B249,'Node Details'!$B:$U,C$1,0),"Check"),"")</f>
        <v>000000AXY-0000AXY12</v>
      </c>
      <c r="D249" s="74" t="str">
        <f>IF($B249&lt;&gt;"",_xlfn.IFNA(VLOOKUP($B249,'Node Details'!$B:$U,D$1,0),"Check"),"")</f>
        <v>AXY</v>
      </c>
      <c r="E249" s="74" t="str">
        <f>IF($B249&lt;&gt;"",_xlfn.IFNA(VLOOKUP($B249,'Node Details'!$B:$U,E$1,0),"Check"),"")</f>
        <v>Airtel</v>
      </c>
      <c r="F249" s="76">
        <v>46113</v>
      </c>
      <c r="G249" s="74"/>
      <c r="H249" s="10" t="s">
        <v>1247</v>
      </c>
      <c r="I249" s="9">
        <v>2</v>
      </c>
      <c r="J249" s="9">
        <v>650</v>
      </c>
      <c r="K249" s="77">
        <f t="shared" si="33"/>
        <v>1300</v>
      </c>
      <c r="L249" s="76">
        <v>46112</v>
      </c>
      <c r="N249" s="83"/>
      <c r="O249" s="84"/>
      <c r="P249" s="81">
        <f t="shared" si="28"/>
        <v>650</v>
      </c>
      <c r="Q249" s="81">
        <f t="shared" si="29"/>
        <v>1300</v>
      </c>
      <c r="R249" s="81"/>
      <c r="S249" s="81"/>
      <c r="T249" s="85"/>
      <c r="U249" s="81">
        <f t="shared" si="30"/>
        <v>650</v>
      </c>
      <c r="V249" s="81">
        <f t="shared" si="31"/>
        <v>2</v>
      </c>
      <c r="W249" s="82">
        <f t="shared" si="32"/>
        <v>1300</v>
      </c>
      <c r="X249" s="82" t="s">
        <v>84</v>
      </c>
      <c r="Y249" s="24" t="s">
        <v>93</v>
      </c>
    </row>
    <row r="250" spans="1:25" s="24" customFormat="1" ht="11.1" customHeight="1">
      <c r="A250" s="74">
        <f t="shared" si="27"/>
        <v>248</v>
      </c>
      <c r="B250" s="75" t="s">
        <v>1025</v>
      </c>
      <c r="C250" s="74" t="str">
        <f>IF($B250&lt;&gt;"",_xlfn.IFNA(VLOOKUP($B250,'Node Details'!$B:$U,C$1,0),"Check"),"")</f>
        <v>000000AXY-0000AXY17</v>
      </c>
      <c r="D250" s="74" t="str">
        <f>IF($B250&lt;&gt;"",_xlfn.IFNA(VLOOKUP($B250,'Node Details'!$B:$U,D$1,0),"Check"),"")</f>
        <v>AXY</v>
      </c>
      <c r="E250" s="74" t="str">
        <f>IF($B250&lt;&gt;"",_xlfn.IFNA(VLOOKUP($B250,'Node Details'!$B:$U,E$1,0),"Check"),"")</f>
        <v>Airtel</v>
      </c>
      <c r="F250" s="76">
        <v>46113</v>
      </c>
      <c r="G250" s="74"/>
      <c r="H250" s="10" t="s">
        <v>1247</v>
      </c>
      <c r="I250" s="9">
        <v>2</v>
      </c>
      <c r="J250" s="9">
        <v>650</v>
      </c>
      <c r="K250" s="77">
        <f t="shared" si="33"/>
        <v>1300</v>
      </c>
      <c r="L250" s="76">
        <v>46112</v>
      </c>
      <c r="N250" s="83"/>
      <c r="O250" s="84"/>
      <c r="P250" s="81">
        <f t="shared" si="28"/>
        <v>650</v>
      </c>
      <c r="Q250" s="81">
        <f t="shared" si="29"/>
        <v>1300</v>
      </c>
      <c r="R250" s="81"/>
      <c r="S250" s="81"/>
      <c r="T250" s="85"/>
      <c r="U250" s="81">
        <f t="shared" si="30"/>
        <v>650</v>
      </c>
      <c r="V250" s="81">
        <f t="shared" si="31"/>
        <v>2</v>
      </c>
      <c r="W250" s="82">
        <f t="shared" si="32"/>
        <v>1300</v>
      </c>
      <c r="X250" s="82" t="s">
        <v>84</v>
      </c>
      <c r="Y250" s="24" t="s">
        <v>93</v>
      </c>
    </row>
    <row r="251" spans="1:25" s="24" customFormat="1" ht="11.1" customHeight="1">
      <c r="A251" s="74">
        <f t="shared" si="27"/>
        <v>249</v>
      </c>
      <c r="B251" s="75" t="s">
        <v>1031</v>
      </c>
      <c r="C251" s="74" t="str">
        <f>IF($B251&lt;&gt;"",_xlfn.IFNA(VLOOKUP($B251,'Node Details'!$B:$U,C$1,0),"Check"),"")</f>
        <v>000000AXY-0000AXY17</v>
      </c>
      <c r="D251" s="74" t="str">
        <f>IF($B251&lt;&gt;"",_xlfn.IFNA(VLOOKUP($B251,'Node Details'!$B:$U,D$1,0),"Check"),"")</f>
        <v>AXY</v>
      </c>
      <c r="E251" s="74" t="str">
        <f>IF($B251&lt;&gt;"",_xlfn.IFNA(VLOOKUP($B251,'Node Details'!$B:$U,E$1,0),"Check"),"")</f>
        <v>Airtel</v>
      </c>
      <c r="F251" s="76">
        <v>46113</v>
      </c>
      <c r="G251" s="74"/>
      <c r="H251" s="10" t="s">
        <v>1247</v>
      </c>
      <c r="I251" s="9">
        <v>2</v>
      </c>
      <c r="J251" s="9">
        <v>650</v>
      </c>
      <c r="K251" s="77">
        <f t="shared" si="33"/>
        <v>1300</v>
      </c>
      <c r="L251" s="76">
        <v>46112</v>
      </c>
      <c r="N251" s="83"/>
      <c r="O251" s="84"/>
      <c r="P251" s="81">
        <f t="shared" si="28"/>
        <v>650</v>
      </c>
      <c r="Q251" s="81">
        <f t="shared" si="29"/>
        <v>1300</v>
      </c>
      <c r="R251" s="81"/>
      <c r="S251" s="81"/>
      <c r="T251" s="85"/>
      <c r="U251" s="81">
        <f t="shared" si="30"/>
        <v>650</v>
      </c>
      <c r="V251" s="81">
        <f t="shared" si="31"/>
        <v>2</v>
      </c>
      <c r="W251" s="82">
        <f t="shared" si="32"/>
        <v>1300</v>
      </c>
      <c r="X251" s="82" t="s">
        <v>84</v>
      </c>
      <c r="Y251" s="24" t="s">
        <v>93</v>
      </c>
    </row>
    <row r="252" spans="1:25" s="24" customFormat="1" ht="11.1" customHeight="1">
      <c r="A252" s="74">
        <f t="shared" si="27"/>
        <v>250</v>
      </c>
      <c r="B252" s="75" t="s">
        <v>1037</v>
      </c>
      <c r="C252" s="74" t="str">
        <f>IF($B252&lt;&gt;"",_xlfn.IFNA(VLOOKUP($B252,'Node Details'!$B:$U,C$1,0),"Check"),"")</f>
        <v>000000AXY-0000AXY17</v>
      </c>
      <c r="D252" s="74" t="str">
        <f>IF($B252&lt;&gt;"",_xlfn.IFNA(VLOOKUP($B252,'Node Details'!$B:$U,D$1,0),"Check"),"")</f>
        <v>AXY</v>
      </c>
      <c r="E252" s="74" t="str">
        <f>IF($B252&lt;&gt;"",_xlfn.IFNA(VLOOKUP($B252,'Node Details'!$B:$U,E$1,0),"Check"),"")</f>
        <v>Airtel</v>
      </c>
      <c r="F252" s="76">
        <v>46113</v>
      </c>
      <c r="G252" s="74"/>
      <c r="H252" s="10" t="s">
        <v>1247</v>
      </c>
      <c r="I252" s="9">
        <v>2</v>
      </c>
      <c r="J252" s="9">
        <v>650</v>
      </c>
      <c r="K252" s="77">
        <f t="shared" si="33"/>
        <v>1300</v>
      </c>
      <c r="L252" s="76">
        <v>46112</v>
      </c>
      <c r="N252" s="83"/>
      <c r="O252" s="84"/>
      <c r="P252" s="81">
        <f t="shared" si="28"/>
        <v>650</v>
      </c>
      <c r="Q252" s="81">
        <f t="shared" si="29"/>
        <v>1300</v>
      </c>
      <c r="R252" s="81"/>
      <c r="S252" s="81"/>
      <c r="T252" s="85"/>
      <c r="U252" s="81">
        <f t="shared" si="30"/>
        <v>650</v>
      </c>
      <c r="V252" s="81">
        <f t="shared" si="31"/>
        <v>2</v>
      </c>
      <c r="W252" s="82">
        <f t="shared" si="32"/>
        <v>1300</v>
      </c>
      <c r="X252" s="82" t="s">
        <v>84</v>
      </c>
      <c r="Y252" s="24" t="s">
        <v>93</v>
      </c>
    </row>
    <row r="253" spans="1:25" s="24" customFormat="1" ht="11.1" customHeight="1">
      <c r="A253" s="74">
        <f t="shared" si="27"/>
        <v>251</v>
      </c>
      <c r="B253" s="75" t="s">
        <v>1042</v>
      </c>
      <c r="C253" s="74" t="str">
        <f>IF($B253&lt;&gt;"",_xlfn.IFNA(VLOOKUP($B253,'Node Details'!$B:$U,C$1,0),"Check"),"")</f>
        <v>000000AXY-0000AXY17</v>
      </c>
      <c r="D253" s="74" t="str">
        <f>IF($B253&lt;&gt;"",_xlfn.IFNA(VLOOKUP($B253,'Node Details'!$B:$U,D$1,0),"Check"),"")</f>
        <v>AXY</v>
      </c>
      <c r="E253" s="74" t="str">
        <f>IF($B253&lt;&gt;"",_xlfn.IFNA(VLOOKUP($B253,'Node Details'!$B:$U,E$1,0),"Check"),"")</f>
        <v>Airtel</v>
      </c>
      <c r="F253" s="76">
        <v>46113</v>
      </c>
      <c r="G253" s="74"/>
      <c r="H253" s="10" t="s">
        <v>1247</v>
      </c>
      <c r="I253" s="9">
        <v>2</v>
      </c>
      <c r="J253" s="9">
        <v>650</v>
      </c>
      <c r="K253" s="77">
        <f t="shared" si="33"/>
        <v>1300</v>
      </c>
      <c r="L253" s="76">
        <v>46112</v>
      </c>
      <c r="N253" s="83"/>
      <c r="O253" s="84"/>
      <c r="P253" s="81">
        <f t="shared" si="28"/>
        <v>650</v>
      </c>
      <c r="Q253" s="81">
        <f t="shared" si="29"/>
        <v>1300</v>
      </c>
      <c r="R253" s="81"/>
      <c r="S253" s="81"/>
      <c r="T253" s="85"/>
      <c r="U253" s="81">
        <f t="shared" si="30"/>
        <v>650</v>
      </c>
      <c r="V253" s="81">
        <f t="shared" si="31"/>
        <v>2</v>
      </c>
      <c r="W253" s="82">
        <f t="shared" si="32"/>
        <v>1300</v>
      </c>
      <c r="X253" s="82" t="s">
        <v>84</v>
      </c>
      <c r="Y253" s="24" t="s">
        <v>93</v>
      </c>
    </row>
    <row r="254" spans="1:25" s="24" customFormat="1" ht="11.1" customHeight="1">
      <c r="A254" s="74">
        <f t="shared" si="27"/>
        <v>252</v>
      </c>
      <c r="B254" s="75" t="s">
        <v>147</v>
      </c>
      <c r="C254" s="74" t="str">
        <f>IF($B254&lt;&gt;"",_xlfn.IFNA(VLOOKUP($B254,'Node Details'!$B:$U,C$1,0),"Check"),"")</f>
        <v>000000AXY-0000AXY17</v>
      </c>
      <c r="D254" s="74" t="str">
        <f>IF($B254&lt;&gt;"",_xlfn.IFNA(VLOOKUP($B254,'Node Details'!$B:$U,D$1,0),"Check"),"")</f>
        <v>AXY</v>
      </c>
      <c r="E254" s="74" t="str">
        <f>IF($B254&lt;&gt;"",_xlfn.IFNA(VLOOKUP($B254,'Node Details'!$B:$U,E$1,0),"Check"),"")</f>
        <v>Airtel</v>
      </c>
      <c r="F254" s="76">
        <v>46113</v>
      </c>
      <c r="G254" s="74"/>
      <c r="H254" s="10" t="s">
        <v>1247</v>
      </c>
      <c r="I254" s="9">
        <v>2</v>
      </c>
      <c r="J254" s="9">
        <v>650</v>
      </c>
      <c r="K254" s="77">
        <f t="shared" si="33"/>
        <v>1300</v>
      </c>
      <c r="L254" s="76">
        <v>46112</v>
      </c>
      <c r="N254" s="83"/>
      <c r="O254" s="84"/>
      <c r="P254" s="81">
        <f t="shared" si="28"/>
        <v>650</v>
      </c>
      <c r="Q254" s="81">
        <f t="shared" si="29"/>
        <v>1300</v>
      </c>
      <c r="R254" s="81"/>
      <c r="S254" s="81"/>
      <c r="T254" s="85"/>
      <c r="U254" s="81">
        <f t="shared" si="30"/>
        <v>650</v>
      </c>
      <c r="V254" s="81">
        <f t="shared" si="31"/>
        <v>2</v>
      </c>
      <c r="W254" s="82">
        <f t="shared" si="32"/>
        <v>1300</v>
      </c>
      <c r="X254" s="82" t="s">
        <v>84</v>
      </c>
      <c r="Y254" s="24" t="s">
        <v>93</v>
      </c>
    </row>
    <row r="255" spans="1:25" s="24" customFormat="1" ht="11.1" customHeight="1">
      <c r="A255" s="74">
        <f t="shared" si="27"/>
        <v>253</v>
      </c>
      <c r="B255" s="75" t="s">
        <v>157</v>
      </c>
      <c r="C255" s="74" t="str">
        <f>IF($B255&lt;&gt;"",_xlfn.IFNA(VLOOKUP($B255,'Node Details'!$B:$U,C$1,0),"Check"),"")</f>
        <v>0000AXY01-AXY010101</v>
      </c>
      <c r="D255" s="74" t="str">
        <f>IF($B255&lt;&gt;"",_xlfn.IFNA(VLOOKUP($B255,'Node Details'!$B:$U,D$1,0),"Check"),"")</f>
        <v>AXY</v>
      </c>
      <c r="E255" s="74" t="str">
        <f>IF($B255&lt;&gt;"",_xlfn.IFNA(VLOOKUP($B255,'Node Details'!$B:$U,E$1,0),"Check"),"")</f>
        <v>Airtel</v>
      </c>
      <c r="F255" s="76">
        <v>46113</v>
      </c>
      <c r="G255" s="74"/>
      <c r="H255" s="10" t="s">
        <v>1249</v>
      </c>
      <c r="I255" s="9">
        <v>1</v>
      </c>
      <c r="J255" s="9">
        <v>375</v>
      </c>
      <c r="K255" s="77">
        <f t="shared" si="33"/>
        <v>375</v>
      </c>
      <c r="L255" s="76">
        <v>46112</v>
      </c>
      <c r="N255" s="83"/>
      <c r="O255" s="84"/>
      <c r="P255" s="81">
        <f t="shared" si="28"/>
        <v>375</v>
      </c>
      <c r="Q255" s="81">
        <f t="shared" si="29"/>
        <v>375</v>
      </c>
      <c r="R255" s="81"/>
      <c r="S255" s="81"/>
      <c r="T255" s="85"/>
      <c r="U255" s="81">
        <f t="shared" si="30"/>
        <v>375</v>
      </c>
      <c r="V255" s="81">
        <f t="shared" si="31"/>
        <v>1</v>
      </c>
      <c r="W255" s="82">
        <f t="shared" si="32"/>
        <v>375</v>
      </c>
      <c r="X255" s="82" t="s">
        <v>84</v>
      </c>
      <c r="Y255" s="24" t="s">
        <v>93</v>
      </c>
    </row>
    <row r="256" spans="1:25" s="24" customFormat="1" ht="11.1" customHeight="1">
      <c r="A256" s="74">
        <f t="shared" si="27"/>
        <v>254</v>
      </c>
      <c r="B256" s="75" t="s">
        <v>980</v>
      </c>
      <c r="C256" s="74" t="str">
        <f>IF($B256&lt;&gt;"",_xlfn.IFNA(VLOOKUP($B256,'Node Details'!$B:$U,C$1,0),"Check"),"")</f>
        <v>0000AXY01-AXY010104</v>
      </c>
      <c r="D256" s="74" t="str">
        <f>IF($B256&lt;&gt;"",_xlfn.IFNA(VLOOKUP($B256,'Node Details'!$B:$U,D$1,0),"Check"),"")</f>
        <v>AXY</v>
      </c>
      <c r="E256" s="74" t="str">
        <f>IF($B256&lt;&gt;"",_xlfn.IFNA(VLOOKUP($B256,'Node Details'!$B:$U,E$1,0),"Check"),"")</f>
        <v>Airtel</v>
      </c>
      <c r="F256" s="76">
        <v>46113</v>
      </c>
      <c r="G256" s="74"/>
      <c r="H256" s="10" t="s">
        <v>1249</v>
      </c>
      <c r="I256" s="9">
        <v>1</v>
      </c>
      <c r="J256" s="9">
        <v>375</v>
      </c>
      <c r="K256" s="77">
        <f t="shared" si="33"/>
        <v>375</v>
      </c>
      <c r="L256" s="76">
        <v>46112</v>
      </c>
      <c r="N256" s="83"/>
      <c r="O256" s="84"/>
      <c r="P256" s="81">
        <f t="shared" si="28"/>
        <v>375</v>
      </c>
      <c r="Q256" s="81">
        <f t="shared" si="29"/>
        <v>375</v>
      </c>
      <c r="R256" s="81"/>
      <c r="S256" s="81"/>
      <c r="T256" s="85"/>
      <c r="U256" s="81">
        <f t="shared" si="30"/>
        <v>375</v>
      </c>
      <c r="V256" s="81">
        <f t="shared" si="31"/>
        <v>1</v>
      </c>
      <c r="W256" s="82">
        <f t="shared" si="32"/>
        <v>375</v>
      </c>
      <c r="X256" s="82" t="s">
        <v>84</v>
      </c>
      <c r="Y256" s="24" t="s">
        <v>93</v>
      </c>
    </row>
    <row r="257" spans="1:25" s="24" customFormat="1" ht="11.1" customHeight="1">
      <c r="A257" s="74">
        <f t="shared" si="27"/>
        <v>255</v>
      </c>
      <c r="B257" s="75" t="s">
        <v>160</v>
      </c>
      <c r="C257" s="74" t="str">
        <f>IF($B257&lt;&gt;"",_xlfn.IFNA(VLOOKUP($B257,'Node Details'!$B:$U,C$1,0),"Check"),"")</f>
        <v>0000AXY01-AXY010104</v>
      </c>
      <c r="D257" s="74" t="str">
        <f>IF($B257&lt;&gt;"",_xlfn.IFNA(VLOOKUP($B257,'Node Details'!$B:$U,D$1,0),"Check"),"")</f>
        <v>AXY</v>
      </c>
      <c r="E257" s="74" t="str">
        <f>IF($B257&lt;&gt;"",_xlfn.IFNA(VLOOKUP($B257,'Node Details'!$B:$U,E$1,0),"Check"),"")</f>
        <v>Airtel</v>
      </c>
      <c r="F257" s="76">
        <v>46113</v>
      </c>
      <c r="G257" s="74"/>
      <c r="H257" s="10" t="s">
        <v>1249</v>
      </c>
      <c r="I257" s="9">
        <v>1</v>
      </c>
      <c r="J257" s="9">
        <v>375</v>
      </c>
      <c r="K257" s="77">
        <f t="shared" si="33"/>
        <v>375</v>
      </c>
      <c r="L257" s="76">
        <v>46112</v>
      </c>
      <c r="N257" s="83"/>
      <c r="O257" s="84"/>
      <c r="P257" s="81">
        <f t="shared" si="28"/>
        <v>375</v>
      </c>
      <c r="Q257" s="81">
        <f t="shared" si="29"/>
        <v>375</v>
      </c>
      <c r="R257" s="81"/>
      <c r="S257" s="81"/>
      <c r="T257" s="85"/>
      <c r="U257" s="81">
        <f t="shared" si="30"/>
        <v>375</v>
      </c>
      <c r="V257" s="81">
        <f t="shared" si="31"/>
        <v>1</v>
      </c>
      <c r="W257" s="82">
        <f t="shared" si="32"/>
        <v>375</v>
      </c>
      <c r="X257" s="82" t="s">
        <v>84</v>
      </c>
      <c r="Y257" s="24" t="s">
        <v>93</v>
      </c>
    </row>
    <row r="258" spans="1:25" s="24" customFormat="1" ht="11.1" customHeight="1">
      <c r="A258" s="74">
        <f t="shared" si="27"/>
        <v>256</v>
      </c>
      <c r="B258" s="75" t="s">
        <v>162</v>
      </c>
      <c r="C258" s="74" t="str">
        <f>IF($B258&lt;&gt;"",_xlfn.IFNA(VLOOKUP($B258,'Node Details'!$B:$U,C$1,0),"Check"),"")</f>
        <v>0000AXY01-AXY010102</v>
      </c>
      <c r="D258" s="74" t="str">
        <f>IF($B258&lt;&gt;"",_xlfn.IFNA(VLOOKUP($B258,'Node Details'!$B:$U,D$1,0),"Check"),"")</f>
        <v>AXY</v>
      </c>
      <c r="E258" s="74" t="str">
        <f>IF($B258&lt;&gt;"",_xlfn.IFNA(VLOOKUP($B258,'Node Details'!$B:$U,E$1,0),"Check"),"")</f>
        <v>Airtel</v>
      </c>
      <c r="F258" s="76">
        <v>46113</v>
      </c>
      <c r="G258" s="74"/>
      <c r="H258" s="10" t="s">
        <v>1248</v>
      </c>
      <c r="I258" s="9">
        <v>1</v>
      </c>
      <c r="J258" s="9">
        <v>950</v>
      </c>
      <c r="K258" s="77">
        <f t="shared" si="33"/>
        <v>950</v>
      </c>
      <c r="L258" s="76">
        <v>46112</v>
      </c>
      <c r="N258" s="83"/>
      <c r="O258" s="84"/>
      <c r="P258" s="81">
        <f t="shared" si="28"/>
        <v>950</v>
      </c>
      <c r="Q258" s="81">
        <f t="shared" si="29"/>
        <v>950</v>
      </c>
      <c r="R258" s="81"/>
      <c r="S258" s="81"/>
      <c r="T258" s="85"/>
      <c r="U258" s="81">
        <f t="shared" si="30"/>
        <v>950</v>
      </c>
      <c r="V258" s="81">
        <f t="shared" si="31"/>
        <v>1</v>
      </c>
      <c r="W258" s="82">
        <f t="shared" si="32"/>
        <v>950</v>
      </c>
      <c r="X258" s="82" t="s">
        <v>84</v>
      </c>
      <c r="Y258" s="24" t="s">
        <v>93</v>
      </c>
    </row>
    <row r="259" spans="1:25" s="24" customFormat="1" ht="11.1" customHeight="1">
      <c r="A259" s="74">
        <f t="shared" si="27"/>
        <v>257</v>
      </c>
      <c r="B259" s="75" t="s">
        <v>164</v>
      </c>
      <c r="C259" s="74" t="str">
        <f>IF($B259&lt;&gt;"",_xlfn.IFNA(VLOOKUP($B259,'Node Details'!$B:$U,C$1,0),"Check"),"")</f>
        <v>0000AXY03-AXY030101</v>
      </c>
      <c r="D259" s="74" t="str">
        <f>IF($B259&lt;&gt;"",_xlfn.IFNA(VLOOKUP($B259,'Node Details'!$B:$U,D$1,0),"Check"),"")</f>
        <v>AXY</v>
      </c>
      <c r="E259" s="74" t="str">
        <f>IF($B259&lt;&gt;"",_xlfn.IFNA(VLOOKUP($B259,'Node Details'!$B:$U,E$1,0),"Check"),"")</f>
        <v>Airtel</v>
      </c>
      <c r="F259" s="76">
        <v>46113</v>
      </c>
      <c r="G259" s="74"/>
      <c r="H259" s="10" t="s">
        <v>1249</v>
      </c>
      <c r="I259" s="9">
        <v>1</v>
      </c>
      <c r="J259" s="9">
        <v>375</v>
      </c>
      <c r="K259" s="77">
        <f t="shared" si="33"/>
        <v>375</v>
      </c>
      <c r="L259" s="76">
        <v>46112</v>
      </c>
      <c r="N259" s="83"/>
      <c r="O259" s="84"/>
      <c r="P259" s="81">
        <f t="shared" si="28"/>
        <v>375</v>
      </c>
      <c r="Q259" s="81">
        <f t="shared" si="29"/>
        <v>375</v>
      </c>
      <c r="R259" s="81"/>
      <c r="S259" s="81"/>
      <c r="T259" s="85"/>
      <c r="U259" s="81">
        <f t="shared" si="30"/>
        <v>375</v>
      </c>
      <c r="V259" s="81">
        <f t="shared" si="31"/>
        <v>1</v>
      </c>
      <c r="W259" s="82">
        <f t="shared" si="32"/>
        <v>375</v>
      </c>
      <c r="X259" s="82" t="s">
        <v>84</v>
      </c>
      <c r="Y259" s="24" t="s">
        <v>93</v>
      </c>
    </row>
    <row r="260" spans="1:25" s="24" customFormat="1" ht="11.1" customHeight="1">
      <c r="A260" s="74">
        <f t="shared" ref="A260:A323" si="34">A259+1</f>
        <v>258</v>
      </c>
      <c r="B260" s="75" t="s">
        <v>168</v>
      </c>
      <c r="C260" s="74" t="str">
        <f>IF($B260&lt;&gt;"",_xlfn.IFNA(VLOOKUP($B260,'Node Details'!$B:$U,C$1,0),"Check"),"")</f>
        <v>0000AXY03-AXY030104</v>
      </c>
      <c r="D260" s="74" t="str">
        <f>IF($B260&lt;&gt;"",_xlfn.IFNA(VLOOKUP($B260,'Node Details'!$B:$U,D$1,0),"Check"),"")</f>
        <v>AXY</v>
      </c>
      <c r="E260" s="74" t="str">
        <f>IF($B260&lt;&gt;"",_xlfn.IFNA(VLOOKUP($B260,'Node Details'!$B:$U,E$1,0),"Check"),"")</f>
        <v>Airtel</v>
      </c>
      <c r="F260" s="76">
        <v>46113</v>
      </c>
      <c r="G260" s="74"/>
      <c r="H260" s="10" t="s">
        <v>1248</v>
      </c>
      <c r="I260" s="9">
        <v>1</v>
      </c>
      <c r="J260" s="9">
        <v>950</v>
      </c>
      <c r="K260" s="77">
        <f t="shared" si="33"/>
        <v>950</v>
      </c>
      <c r="L260" s="76">
        <v>46112</v>
      </c>
      <c r="N260" s="83"/>
      <c r="O260" s="84"/>
      <c r="P260" s="81">
        <f t="shared" si="28"/>
        <v>950</v>
      </c>
      <c r="Q260" s="81">
        <f t="shared" si="29"/>
        <v>950</v>
      </c>
      <c r="R260" s="81"/>
      <c r="S260" s="81"/>
      <c r="T260" s="85"/>
      <c r="U260" s="81">
        <f t="shared" si="30"/>
        <v>950</v>
      </c>
      <c r="V260" s="81">
        <f t="shared" si="31"/>
        <v>1</v>
      </c>
      <c r="W260" s="82">
        <f t="shared" si="32"/>
        <v>950</v>
      </c>
      <c r="X260" s="82" t="s">
        <v>84</v>
      </c>
      <c r="Y260" s="24" t="s">
        <v>93</v>
      </c>
    </row>
    <row r="261" spans="1:25" s="24" customFormat="1" ht="11.1" customHeight="1">
      <c r="A261" s="74">
        <f t="shared" si="34"/>
        <v>259</v>
      </c>
      <c r="B261" s="75" t="s">
        <v>166</v>
      </c>
      <c r="C261" s="74" t="str">
        <f>IF($B261&lt;&gt;"",_xlfn.IFNA(VLOOKUP($B261,'Node Details'!$B:$U,C$1,0),"Check"),"")</f>
        <v>0000AXY03-AXY030104</v>
      </c>
      <c r="D261" s="74" t="str">
        <f>IF($B261&lt;&gt;"",_xlfn.IFNA(VLOOKUP($B261,'Node Details'!$B:$U,D$1,0),"Check"),"")</f>
        <v>AXY</v>
      </c>
      <c r="E261" s="74" t="str">
        <f>IF($B261&lt;&gt;"",_xlfn.IFNA(VLOOKUP($B261,'Node Details'!$B:$U,E$1,0),"Check"),"")</f>
        <v>Airtel</v>
      </c>
      <c r="F261" s="76">
        <v>46113</v>
      </c>
      <c r="G261" s="74"/>
      <c r="H261" s="10" t="s">
        <v>1248</v>
      </c>
      <c r="I261" s="9">
        <v>1</v>
      </c>
      <c r="J261" s="9">
        <v>950</v>
      </c>
      <c r="K261" s="77">
        <f t="shared" si="33"/>
        <v>950</v>
      </c>
      <c r="L261" s="76">
        <v>46112</v>
      </c>
      <c r="N261" s="83"/>
      <c r="O261" s="84"/>
      <c r="P261" s="81">
        <f t="shared" si="28"/>
        <v>950</v>
      </c>
      <c r="Q261" s="81">
        <f t="shared" si="29"/>
        <v>950</v>
      </c>
      <c r="R261" s="81"/>
      <c r="S261" s="81"/>
      <c r="T261" s="85"/>
      <c r="U261" s="81">
        <f t="shared" si="30"/>
        <v>950</v>
      </c>
      <c r="V261" s="81">
        <f t="shared" si="31"/>
        <v>1</v>
      </c>
      <c r="W261" s="82">
        <f t="shared" si="32"/>
        <v>950</v>
      </c>
      <c r="X261" s="82" t="s">
        <v>84</v>
      </c>
      <c r="Y261" s="24" t="s">
        <v>93</v>
      </c>
    </row>
    <row r="262" spans="1:25" s="24" customFormat="1" ht="11.1" customHeight="1">
      <c r="A262" s="74">
        <f t="shared" si="34"/>
        <v>260</v>
      </c>
      <c r="B262" s="75" t="s">
        <v>169</v>
      </c>
      <c r="C262" s="74" t="str">
        <f>IF($B262&lt;&gt;"",_xlfn.IFNA(VLOOKUP($B262,'Node Details'!$B:$U,C$1,0),"Check"),"")</f>
        <v>AXY030103-AXY030105</v>
      </c>
      <c r="D262" s="74" t="str">
        <f>IF($B262&lt;&gt;"",_xlfn.IFNA(VLOOKUP($B262,'Node Details'!$B:$U,D$1,0),"Check"),"")</f>
        <v>AXY</v>
      </c>
      <c r="E262" s="74" t="str">
        <f>IF($B262&lt;&gt;"",_xlfn.IFNA(VLOOKUP($B262,'Node Details'!$B:$U,E$1,0),"Check"),"")</f>
        <v>Airtel</v>
      </c>
      <c r="F262" s="76">
        <v>46113</v>
      </c>
      <c r="G262" s="74"/>
      <c r="H262" s="10" t="s">
        <v>1249</v>
      </c>
      <c r="I262" s="9">
        <v>1</v>
      </c>
      <c r="J262" s="9">
        <v>375</v>
      </c>
      <c r="K262" s="77">
        <f t="shared" si="33"/>
        <v>375</v>
      </c>
      <c r="L262" s="76">
        <v>46112</v>
      </c>
      <c r="N262" s="83"/>
      <c r="O262" s="84"/>
      <c r="P262" s="81">
        <f t="shared" si="28"/>
        <v>375</v>
      </c>
      <c r="Q262" s="81">
        <f t="shared" si="29"/>
        <v>375</v>
      </c>
      <c r="R262" s="81"/>
      <c r="S262" s="81"/>
      <c r="T262" s="85"/>
      <c r="U262" s="81">
        <f t="shared" si="30"/>
        <v>375</v>
      </c>
      <c r="V262" s="81">
        <f t="shared" si="31"/>
        <v>1</v>
      </c>
      <c r="W262" s="82">
        <f t="shared" si="32"/>
        <v>375</v>
      </c>
      <c r="X262" s="82" t="s">
        <v>84</v>
      </c>
      <c r="Y262" s="24" t="s">
        <v>93</v>
      </c>
    </row>
    <row r="263" spans="1:25" s="24" customFormat="1" ht="11.1" customHeight="1">
      <c r="A263" s="74">
        <f t="shared" si="34"/>
        <v>261</v>
      </c>
      <c r="B263" s="75" t="s">
        <v>174</v>
      </c>
      <c r="C263" s="74" t="str">
        <f>IF($B263&lt;&gt;"",_xlfn.IFNA(VLOOKUP($B263,'Node Details'!$B:$U,C$1,0),"Check"),"")</f>
        <v>0000AXY03-AXY030108</v>
      </c>
      <c r="D263" s="74" t="str">
        <f>IF($B263&lt;&gt;"",_xlfn.IFNA(VLOOKUP($B263,'Node Details'!$B:$U,D$1,0),"Check"),"")</f>
        <v>AXY</v>
      </c>
      <c r="E263" s="74" t="str">
        <f>IF($B263&lt;&gt;"",_xlfn.IFNA(VLOOKUP($B263,'Node Details'!$B:$U,E$1,0),"Check"),"")</f>
        <v>Airtel</v>
      </c>
      <c r="F263" s="76">
        <v>46113</v>
      </c>
      <c r="G263" s="74"/>
      <c r="H263" s="10" t="s">
        <v>1249</v>
      </c>
      <c r="I263" s="9">
        <v>1</v>
      </c>
      <c r="J263" s="9">
        <v>375</v>
      </c>
      <c r="K263" s="77">
        <f t="shared" si="33"/>
        <v>375</v>
      </c>
      <c r="L263" s="76">
        <v>46112</v>
      </c>
      <c r="N263" s="83"/>
      <c r="O263" s="84"/>
      <c r="P263" s="81">
        <f t="shared" si="28"/>
        <v>375</v>
      </c>
      <c r="Q263" s="81">
        <f t="shared" si="29"/>
        <v>375</v>
      </c>
      <c r="R263" s="81"/>
      <c r="S263" s="81"/>
      <c r="T263" s="85"/>
      <c r="U263" s="81">
        <f t="shared" si="30"/>
        <v>375</v>
      </c>
      <c r="V263" s="81">
        <f t="shared" si="31"/>
        <v>1</v>
      </c>
      <c r="W263" s="82">
        <f t="shared" si="32"/>
        <v>375</v>
      </c>
      <c r="X263" s="82" t="s">
        <v>84</v>
      </c>
      <c r="Y263" s="24" t="s">
        <v>93</v>
      </c>
    </row>
    <row r="264" spans="1:25" s="24" customFormat="1" ht="11.1" customHeight="1">
      <c r="A264" s="74">
        <f t="shared" si="34"/>
        <v>262</v>
      </c>
      <c r="B264" s="75" t="s">
        <v>172</v>
      </c>
      <c r="C264" s="74" t="str">
        <f>IF($B264&lt;&gt;"",_xlfn.IFNA(VLOOKUP($B264,'Node Details'!$B:$U,C$1,0),"Check"),"")</f>
        <v>0000AXY03-AXY030108</v>
      </c>
      <c r="D264" s="74" t="str">
        <f>IF($B264&lt;&gt;"",_xlfn.IFNA(VLOOKUP($B264,'Node Details'!$B:$U,D$1,0),"Check"),"")</f>
        <v>AXY</v>
      </c>
      <c r="E264" s="74" t="str">
        <f>IF($B264&lt;&gt;"",_xlfn.IFNA(VLOOKUP($B264,'Node Details'!$B:$U,E$1,0),"Check"),"")</f>
        <v>Airtel</v>
      </c>
      <c r="F264" s="76">
        <v>46113</v>
      </c>
      <c r="G264" s="74"/>
      <c r="H264" s="10" t="s">
        <v>1249</v>
      </c>
      <c r="I264" s="9">
        <v>1</v>
      </c>
      <c r="J264" s="9">
        <v>375</v>
      </c>
      <c r="K264" s="77">
        <f t="shared" si="33"/>
        <v>375</v>
      </c>
      <c r="L264" s="76">
        <v>46112</v>
      </c>
      <c r="N264" s="83"/>
      <c r="O264" s="84"/>
      <c r="P264" s="81">
        <f t="shared" si="28"/>
        <v>375</v>
      </c>
      <c r="Q264" s="81">
        <f t="shared" si="29"/>
        <v>375</v>
      </c>
      <c r="R264" s="81"/>
      <c r="S264" s="81"/>
      <c r="T264" s="85"/>
      <c r="U264" s="81">
        <f t="shared" si="30"/>
        <v>375</v>
      </c>
      <c r="V264" s="81">
        <f t="shared" si="31"/>
        <v>1</v>
      </c>
      <c r="W264" s="82">
        <f t="shared" si="32"/>
        <v>375</v>
      </c>
      <c r="X264" s="82" t="s">
        <v>84</v>
      </c>
      <c r="Y264" s="24" t="s">
        <v>93</v>
      </c>
    </row>
    <row r="265" spans="1:25" s="24" customFormat="1" ht="11.1" customHeight="1">
      <c r="A265" s="74">
        <f t="shared" si="34"/>
        <v>263</v>
      </c>
      <c r="B265" s="75" t="s">
        <v>175</v>
      </c>
      <c r="C265" s="74" t="str">
        <f>IF($B265&lt;&gt;"",_xlfn.IFNA(VLOOKUP($B265,'Node Details'!$B:$U,C$1,0),"Check"),"")</f>
        <v>AXY030107-AXY030201</v>
      </c>
      <c r="D265" s="74" t="str">
        <f>IF($B265&lt;&gt;"",_xlfn.IFNA(VLOOKUP($B265,'Node Details'!$B:$U,D$1,0),"Check"),"")</f>
        <v>AXY</v>
      </c>
      <c r="E265" s="74" t="str">
        <f>IF($B265&lt;&gt;"",_xlfn.IFNA(VLOOKUP($B265,'Node Details'!$B:$U,E$1,0),"Check"),"")</f>
        <v>Airtel</v>
      </c>
      <c r="F265" s="76">
        <v>46113</v>
      </c>
      <c r="G265" s="74"/>
      <c r="H265" s="10" t="s">
        <v>1249</v>
      </c>
      <c r="I265" s="9">
        <v>1</v>
      </c>
      <c r="J265" s="9">
        <v>375</v>
      </c>
      <c r="K265" s="77">
        <f t="shared" si="33"/>
        <v>375</v>
      </c>
      <c r="L265" s="76">
        <v>46112</v>
      </c>
      <c r="N265" s="83"/>
      <c r="O265" s="84"/>
      <c r="P265" s="81">
        <f t="shared" si="28"/>
        <v>375</v>
      </c>
      <c r="Q265" s="81">
        <f t="shared" si="29"/>
        <v>375</v>
      </c>
      <c r="R265" s="81"/>
      <c r="S265" s="81"/>
      <c r="T265" s="85"/>
      <c r="U265" s="81">
        <f t="shared" si="30"/>
        <v>375</v>
      </c>
      <c r="V265" s="81">
        <f t="shared" si="31"/>
        <v>1</v>
      </c>
      <c r="W265" s="82">
        <f t="shared" si="32"/>
        <v>375</v>
      </c>
      <c r="X265" s="82" t="s">
        <v>84</v>
      </c>
      <c r="Y265" s="24" t="s">
        <v>93</v>
      </c>
    </row>
    <row r="266" spans="1:25" s="24" customFormat="1" ht="11.1" customHeight="1">
      <c r="A266" s="74">
        <f t="shared" si="34"/>
        <v>264</v>
      </c>
      <c r="B266" s="75" t="s">
        <v>981</v>
      </c>
      <c r="C266" s="74" t="str">
        <f>IF($B266&lt;&gt;"",_xlfn.IFNA(VLOOKUP($B266,'Node Details'!$B:$U,C$1,0),"Check"),"")</f>
        <v>AXY030201-AXY030204</v>
      </c>
      <c r="D266" s="74" t="str">
        <f>IF($B266&lt;&gt;"",_xlfn.IFNA(VLOOKUP($B266,'Node Details'!$B:$U,D$1,0),"Check"),"")</f>
        <v>AXY</v>
      </c>
      <c r="E266" s="74" t="str">
        <f>IF($B266&lt;&gt;"",_xlfn.IFNA(VLOOKUP($B266,'Node Details'!$B:$U,E$1,0),"Check"),"")</f>
        <v>Airtel</v>
      </c>
      <c r="F266" s="76">
        <v>46113</v>
      </c>
      <c r="G266" s="74"/>
      <c r="H266" s="10" t="s">
        <v>1249</v>
      </c>
      <c r="I266" s="9">
        <v>1</v>
      </c>
      <c r="J266" s="9">
        <v>375</v>
      </c>
      <c r="K266" s="77">
        <f t="shared" si="33"/>
        <v>375</v>
      </c>
      <c r="L266" s="76">
        <v>46112</v>
      </c>
      <c r="N266" s="83"/>
      <c r="O266" s="84"/>
      <c r="P266" s="81">
        <f t="shared" si="28"/>
        <v>375</v>
      </c>
      <c r="Q266" s="81">
        <f t="shared" si="29"/>
        <v>375</v>
      </c>
      <c r="R266" s="81"/>
      <c r="S266" s="81"/>
      <c r="T266" s="85"/>
      <c r="U266" s="81">
        <f t="shared" si="30"/>
        <v>375</v>
      </c>
      <c r="V266" s="81">
        <f t="shared" si="31"/>
        <v>1</v>
      </c>
      <c r="W266" s="82">
        <f t="shared" si="32"/>
        <v>375</v>
      </c>
      <c r="X266" s="82" t="s">
        <v>84</v>
      </c>
      <c r="Y266" s="24" t="s">
        <v>93</v>
      </c>
    </row>
    <row r="267" spans="1:25" s="24" customFormat="1" ht="11.1" customHeight="1">
      <c r="A267" s="74">
        <f t="shared" si="34"/>
        <v>265</v>
      </c>
      <c r="B267" s="75" t="s">
        <v>177</v>
      </c>
      <c r="C267" s="74" t="str">
        <f>IF($B267&lt;&gt;"",_xlfn.IFNA(VLOOKUP($B267,'Node Details'!$B:$U,C$1,0),"Check"),"")</f>
        <v>AXY030201-AXY030204</v>
      </c>
      <c r="D267" s="74" t="str">
        <f>IF($B267&lt;&gt;"",_xlfn.IFNA(VLOOKUP($B267,'Node Details'!$B:$U,D$1,0),"Check"),"")</f>
        <v>AXY</v>
      </c>
      <c r="E267" s="74" t="str">
        <f>IF($B267&lt;&gt;"",_xlfn.IFNA(VLOOKUP($B267,'Node Details'!$B:$U,E$1,0),"Check"),"")</f>
        <v>Airtel</v>
      </c>
      <c r="F267" s="76">
        <v>46113</v>
      </c>
      <c r="G267" s="74"/>
      <c r="H267" s="10" t="s">
        <v>1249</v>
      </c>
      <c r="I267" s="9">
        <v>1</v>
      </c>
      <c r="J267" s="9">
        <v>375</v>
      </c>
      <c r="K267" s="77">
        <f t="shared" si="33"/>
        <v>375</v>
      </c>
      <c r="L267" s="76">
        <v>46112</v>
      </c>
      <c r="N267" s="83"/>
      <c r="O267" s="84"/>
      <c r="P267" s="81">
        <f t="shared" si="28"/>
        <v>375</v>
      </c>
      <c r="Q267" s="81">
        <f t="shared" si="29"/>
        <v>375</v>
      </c>
      <c r="R267" s="81"/>
      <c r="S267" s="81"/>
      <c r="T267" s="85"/>
      <c r="U267" s="81">
        <f t="shared" si="30"/>
        <v>375</v>
      </c>
      <c r="V267" s="81">
        <f t="shared" si="31"/>
        <v>1</v>
      </c>
      <c r="W267" s="82">
        <f t="shared" si="32"/>
        <v>375</v>
      </c>
      <c r="X267" s="82" t="s">
        <v>84</v>
      </c>
      <c r="Y267" s="24" t="s">
        <v>93</v>
      </c>
    </row>
    <row r="268" spans="1:25" s="24" customFormat="1" ht="11.1" customHeight="1">
      <c r="A268" s="74">
        <f t="shared" si="34"/>
        <v>266</v>
      </c>
      <c r="B268" s="75" t="s">
        <v>179</v>
      </c>
      <c r="C268" s="74" t="str">
        <f>IF($B268&lt;&gt;"",_xlfn.IFNA(VLOOKUP($B268,'Node Details'!$B:$U,C$1,0),"Check"),"")</f>
        <v>0000AXY04-AXY040101</v>
      </c>
      <c r="D268" s="74" t="str">
        <f>IF($B268&lt;&gt;"",_xlfn.IFNA(VLOOKUP($B268,'Node Details'!$B:$U,D$1,0),"Check"),"")</f>
        <v>AXY</v>
      </c>
      <c r="E268" s="74" t="str">
        <f>IF($B268&lt;&gt;"",_xlfn.IFNA(VLOOKUP($B268,'Node Details'!$B:$U,E$1,0),"Check"),"")</f>
        <v>Airtel</v>
      </c>
      <c r="F268" s="76">
        <v>46113</v>
      </c>
      <c r="G268" s="74"/>
      <c r="H268" s="10" t="s">
        <v>1248</v>
      </c>
      <c r="I268" s="9">
        <v>1</v>
      </c>
      <c r="J268" s="9">
        <v>950</v>
      </c>
      <c r="K268" s="77">
        <f t="shared" si="33"/>
        <v>950</v>
      </c>
      <c r="L268" s="76">
        <v>46112</v>
      </c>
      <c r="N268" s="83"/>
      <c r="O268" s="84"/>
      <c r="P268" s="81">
        <f t="shared" si="28"/>
        <v>950</v>
      </c>
      <c r="Q268" s="81">
        <f t="shared" si="29"/>
        <v>950</v>
      </c>
      <c r="R268" s="81"/>
      <c r="S268" s="81"/>
      <c r="T268" s="85"/>
      <c r="U268" s="81">
        <f t="shared" si="30"/>
        <v>950</v>
      </c>
      <c r="V268" s="81">
        <f t="shared" si="31"/>
        <v>1</v>
      </c>
      <c r="W268" s="82">
        <f t="shared" si="32"/>
        <v>950</v>
      </c>
      <c r="X268" s="82" t="s">
        <v>84</v>
      </c>
      <c r="Y268" s="24" t="s">
        <v>93</v>
      </c>
    </row>
    <row r="269" spans="1:25" s="24" customFormat="1" ht="11.1" customHeight="1">
      <c r="A269" s="74">
        <f t="shared" si="34"/>
        <v>267</v>
      </c>
      <c r="B269" s="75" t="s">
        <v>982</v>
      </c>
      <c r="C269" s="74" t="str">
        <f>IF($B269&lt;&gt;"",_xlfn.IFNA(VLOOKUP($B269,'Node Details'!$B:$U,C$1,0),"Check"),"")</f>
        <v>0000AXY04-00AXY-FMS</v>
      </c>
      <c r="D269" s="74" t="str">
        <f>IF($B269&lt;&gt;"",_xlfn.IFNA(VLOOKUP($B269,'Node Details'!$B:$U,D$1,0),"Check"),"")</f>
        <v>AXY</v>
      </c>
      <c r="E269" s="74" t="str">
        <f>IF($B269&lt;&gt;"",_xlfn.IFNA(VLOOKUP($B269,'Node Details'!$B:$U,E$1,0),"Check"),"")</f>
        <v>Airtel</v>
      </c>
      <c r="F269" s="76">
        <v>46113</v>
      </c>
      <c r="G269" s="74"/>
      <c r="H269" s="10" t="s">
        <v>1249</v>
      </c>
      <c r="I269" s="9">
        <v>1</v>
      </c>
      <c r="J269" s="9">
        <v>375</v>
      </c>
      <c r="K269" s="77">
        <f t="shared" si="33"/>
        <v>375</v>
      </c>
      <c r="L269" s="76">
        <v>46112</v>
      </c>
      <c r="N269" s="83"/>
      <c r="O269" s="84"/>
      <c r="P269" s="81">
        <f t="shared" si="28"/>
        <v>375</v>
      </c>
      <c r="Q269" s="81">
        <f t="shared" si="29"/>
        <v>375</v>
      </c>
      <c r="R269" s="81"/>
      <c r="S269" s="81"/>
      <c r="T269" s="85"/>
      <c r="U269" s="81">
        <f t="shared" si="30"/>
        <v>375</v>
      </c>
      <c r="V269" s="81">
        <f t="shared" si="31"/>
        <v>1</v>
      </c>
      <c r="W269" s="82">
        <f t="shared" si="32"/>
        <v>375</v>
      </c>
      <c r="X269" s="82" t="s">
        <v>84</v>
      </c>
      <c r="Y269" s="24" t="s">
        <v>93</v>
      </c>
    </row>
    <row r="270" spans="1:25" s="24" customFormat="1" ht="11.1" customHeight="1">
      <c r="A270" s="74">
        <f t="shared" si="34"/>
        <v>268</v>
      </c>
      <c r="B270" s="75" t="s">
        <v>983</v>
      </c>
      <c r="C270" s="74" t="str">
        <f>IF($B270&lt;&gt;"",_xlfn.IFNA(VLOOKUP($B270,'Node Details'!$B:$U,C$1,0),"Check"),"")</f>
        <v>00AXY-FMS-AXY040108</v>
      </c>
      <c r="D270" s="74" t="str">
        <f>IF($B270&lt;&gt;"",_xlfn.IFNA(VLOOKUP($B270,'Node Details'!$B:$U,D$1,0),"Check"),"")</f>
        <v>AXY</v>
      </c>
      <c r="E270" s="74" t="str">
        <f>IF($B270&lt;&gt;"",_xlfn.IFNA(VLOOKUP($B270,'Node Details'!$B:$U,E$1,0),"Check"),"")</f>
        <v>Airtel</v>
      </c>
      <c r="F270" s="76">
        <v>46113</v>
      </c>
      <c r="G270" s="74"/>
      <c r="H270" s="10" t="s">
        <v>1249</v>
      </c>
      <c r="I270" s="9">
        <v>1</v>
      </c>
      <c r="J270" s="9">
        <v>375</v>
      </c>
      <c r="K270" s="77">
        <f t="shared" si="33"/>
        <v>375</v>
      </c>
      <c r="L270" s="76">
        <v>46112</v>
      </c>
      <c r="N270" s="83"/>
      <c r="O270" s="84"/>
      <c r="P270" s="81">
        <f t="shared" si="28"/>
        <v>375</v>
      </c>
      <c r="Q270" s="81">
        <f t="shared" si="29"/>
        <v>375</v>
      </c>
      <c r="R270" s="81"/>
      <c r="S270" s="81"/>
      <c r="T270" s="85"/>
      <c r="U270" s="81">
        <f t="shared" si="30"/>
        <v>375</v>
      </c>
      <c r="V270" s="81">
        <f t="shared" si="31"/>
        <v>1</v>
      </c>
      <c r="W270" s="82">
        <f t="shared" si="32"/>
        <v>375</v>
      </c>
      <c r="X270" s="82" t="s">
        <v>84</v>
      </c>
      <c r="Y270" s="24" t="s">
        <v>93</v>
      </c>
    </row>
    <row r="271" spans="1:25" s="24" customFormat="1" ht="11.1" customHeight="1">
      <c r="A271" s="74">
        <f t="shared" si="34"/>
        <v>269</v>
      </c>
      <c r="B271" s="75" t="s">
        <v>984</v>
      </c>
      <c r="C271" s="74" t="str">
        <f>IF($B271&lt;&gt;"",_xlfn.IFNA(VLOOKUP($B271,'Node Details'!$B:$U,C$1,0),"Check"),"")</f>
        <v>00AXY-FMS-AXY040108</v>
      </c>
      <c r="D271" s="74" t="str">
        <f>IF($B271&lt;&gt;"",_xlfn.IFNA(VLOOKUP($B271,'Node Details'!$B:$U,D$1,0),"Check"),"")</f>
        <v>AXY</v>
      </c>
      <c r="E271" s="74" t="str">
        <f>IF($B271&lt;&gt;"",_xlfn.IFNA(VLOOKUP($B271,'Node Details'!$B:$U,E$1,0),"Check"),"")</f>
        <v>Airtel</v>
      </c>
      <c r="F271" s="76">
        <v>46113</v>
      </c>
      <c r="G271" s="74"/>
      <c r="H271" s="10" t="s">
        <v>1249</v>
      </c>
      <c r="I271" s="9">
        <v>1</v>
      </c>
      <c r="J271" s="9">
        <v>375</v>
      </c>
      <c r="K271" s="77">
        <f t="shared" si="33"/>
        <v>375</v>
      </c>
      <c r="L271" s="76">
        <v>46112</v>
      </c>
      <c r="N271" s="83"/>
      <c r="O271" s="84"/>
      <c r="P271" s="81">
        <f t="shared" si="28"/>
        <v>375</v>
      </c>
      <c r="Q271" s="81">
        <f t="shared" si="29"/>
        <v>375</v>
      </c>
      <c r="R271" s="81"/>
      <c r="S271" s="81"/>
      <c r="T271" s="85"/>
      <c r="U271" s="81">
        <f t="shared" si="30"/>
        <v>375</v>
      </c>
      <c r="V271" s="81">
        <f t="shared" si="31"/>
        <v>1</v>
      </c>
      <c r="W271" s="82">
        <f t="shared" si="32"/>
        <v>375</v>
      </c>
      <c r="X271" s="82" t="s">
        <v>84</v>
      </c>
      <c r="Y271" s="24" t="s">
        <v>93</v>
      </c>
    </row>
    <row r="272" spans="1:25" s="24" customFormat="1" ht="11.1" customHeight="1">
      <c r="A272" s="74">
        <f t="shared" si="34"/>
        <v>270</v>
      </c>
      <c r="B272" s="75" t="s">
        <v>985</v>
      </c>
      <c r="C272" s="74" t="str">
        <f>IF($B272&lt;&gt;"",_xlfn.IFNA(VLOOKUP($B272,'Node Details'!$B:$U,C$1,0),"Check"),"")</f>
        <v>00AXY-FMS-AXY040108</v>
      </c>
      <c r="D272" s="74" t="str">
        <f>IF($B272&lt;&gt;"",_xlfn.IFNA(VLOOKUP($B272,'Node Details'!$B:$U,D$1,0),"Check"),"")</f>
        <v>AXY</v>
      </c>
      <c r="E272" s="74" t="str">
        <f>IF($B272&lt;&gt;"",_xlfn.IFNA(VLOOKUP($B272,'Node Details'!$B:$U,E$1,0),"Check"),"")</f>
        <v>Airtel</v>
      </c>
      <c r="F272" s="76">
        <v>46113</v>
      </c>
      <c r="G272" s="74"/>
      <c r="H272" s="10" t="s">
        <v>1249</v>
      </c>
      <c r="I272" s="9">
        <v>1</v>
      </c>
      <c r="J272" s="9">
        <v>375</v>
      </c>
      <c r="K272" s="77">
        <f t="shared" si="33"/>
        <v>375</v>
      </c>
      <c r="L272" s="76">
        <v>46112</v>
      </c>
      <c r="N272" s="83"/>
      <c r="O272" s="84"/>
      <c r="P272" s="81">
        <f t="shared" si="28"/>
        <v>375</v>
      </c>
      <c r="Q272" s="81">
        <f t="shared" si="29"/>
        <v>375</v>
      </c>
      <c r="R272" s="81"/>
      <c r="S272" s="81"/>
      <c r="T272" s="85"/>
      <c r="U272" s="81">
        <f t="shared" si="30"/>
        <v>375</v>
      </c>
      <c r="V272" s="81">
        <f t="shared" si="31"/>
        <v>1</v>
      </c>
      <c r="W272" s="82">
        <f t="shared" si="32"/>
        <v>375</v>
      </c>
      <c r="X272" s="82" t="s">
        <v>84</v>
      </c>
      <c r="Y272" s="24" t="s">
        <v>93</v>
      </c>
    </row>
    <row r="273" spans="1:25" s="24" customFormat="1" ht="11.1" customHeight="1">
      <c r="A273" s="74">
        <f t="shared" si="34"/>
        <v>271</v>
      </c>
      <c r="B273" s="75" t="s">
        <v>184</v>
      </c>
      <c r="C273" s="74" t="str">
        <f>IF($B273&lt;&gt;"",_xlfn.IFNA(VLOOKUP($B273,'Node Details'!$B:$U,C$1,0),"Check"),"")</f>
        <v>00AXY-FMS-AXY040108</v>
      </c>
      <c r="D273" s="74" t="str">
        <f>IF($B273&lt;&gt;"",_xlfn.IFNA(VLOOKUP($B273,'Node Details'!$B:$U,D$1,0),"Check"),"")</f>
        <v>AXY</v>
      </c>
      <c r="E273" s="74" t="str">
        <f>IF($B273&lt;&gt;"",_xlfn.IFNA(VLOOKUP($B273,'Node Details'!$B:$U,E$1,0),"Check"),"")</f>
        <v>Airtel</v>
      </c>
      <c r="F273" s="76">
        <v>46113</v>
      </c>
      <c r="G273" s="74"/>
      <c r="H273" s="10" t="s">
        <v>1249</v>
      </c>
      <c r="I273" s="9">
        <v>1</v>
      </c>
      <c r="J273" s="9">
        <v>375</v>
      </c>
      <c r="K273" s="77">
        <f t="shared" si="33"/>
        <v>375</v>
      </c>
      <c r="L273" s="76">
        <v>46112</v>
      </c>
      <c r="N273" s="83"/>
      <c r="O273" s="84"/>
      <c r="P273" s="81">
        <f t="shared" si="28"/>
        <v>375</v>
      </c>
      <c r="Q273" s="81">
        <f t="shared" si="29"/>
        <v>375</v>
      </c>
      <c r="R273" s="81"/>
      <c r="S273" s="81"/>
      <c r="T273" s="85"/>
      <c r="U273" s="81">
        <f t="shared" si="30"/>
        <v>375</v>
      </c>
      <c r="V273" s="81">
        <f t="shared" si="31"/>
        <v>1</v>
      </c>
      <c r="W273" s="82">
        <f t="shared" si="32"/>
        <v>375</v>
      </c>
      <c r="X273" s="82" t="s">
        <v>84</v>
      </c>
      <c r="Y273" s="24" t="s">
        <v>93</v>
      </c>
    </row>
    <row r="274" spans="1:25" s="24" customFormat="1" ht="11.1" customHeight="1">
      <c r="A274" s="74">
        <f t="shared" si="34"/>
        <v>272</v>
      </c>
      <c r="B274" s="75" t="s">
        <v>187</v>
      </c>
      <c r="C274" s="74" t="str">
        <f>IF($B274&lt;&gt;"",_xlfn.IFNA(VLOOKUP($B274,'Node Details'!$B:$U,C$1,0),"Check"),"")</f>
        <v>0000AXY04-AXY040201</v>
      </c>
      <c r="D274" s="74" t="str">
        <f>IF($B274&lt;&gt;"",_xlfn.IFNA(VLOOKUP($B274,'Node Details'!$B:$U,D$1,0),"Check"),"")</f>
        <v>AXY</v>
      </c>
      <c r="E274" s="74" t="str">
        <f>IF($B274&lt;&gt;"",_xlfn.IFNA(VLOOKUP($B274,'Node Details'!$B:$U,E$1,0),"Check"),"")</f>
        <v>Airtel</v>
      </c>
      <c r="F274" s="76">
        <v>46113</v>
      </c>
      <c r="G274" s="74"/>
      <c r="H274" s="10" t="s">
        <v>1248</v>
      </c>
      <c r="I274" s="9">
        <v>1</v>
      </c>
      <c r="J274" s="9">
        <v>950</v>
      </c>
      <c r="K274" s="77">
        <f t="shared" si="33"/>
        <v>950</v>
      </c>
      <c r="L274" s="76">
        <v>46112</v>
      </c>
      <c r="N274" s="83"/>
      <c r="O274" s="84"/>
      <c r="P274" s="81">
        <f t="shared" si="28"/>
        <v>950</v>
      </c>
      <c r="Q274" s="81">
        <f t="shared" si="29"/>
        <v>950</v>
      </c>
      <c r="R274" s="81"/>
      <c r="S274" s="81"/>
      <c r="T274" s="85"/>
      <c r="U274" s="81">
        <f t="shared" si="30"/>
        <v>950</v>
      </c>
      <c r="V274" s="81">
        <f t="shared" si="31"/>
        <v>1</v>
      </c>
      <c r="W274" s="82">
        <f t="shared" si="32"/>
        <v>950</v>
      </c>
      <c r="X274" s="82" t="s">
        <v>84</v>
      </c>
      <c r="Y274" s="24" t="s">
        <v>93</v>
      </c>
    </row>
    <row r="275" spans="1:25" s="24" customFormat="1" ht="11.1" customHeight="1">
      <c r="A275" s="74">
        <f t="shared" si="34"/>
        <v>273</v>
      </c>
      <c r="B275" s="75" t="s">
        <v>986</v>
      </c>
      <c r="C275" s="74" t="str">
        <f>IF($B275&lt;&gt;"",_xlfn.IFNA(VLOOKUP($B275,'Node Details'!$B:$U,C$1,0),"Check"),"")</f>
        <v>AXY040201-AXY040204</v>
      </c>
      <c r="D275" s="74" t="str">
        <f>IF($B275&lt;&gt;"",_xlfn.IFNA(VLOOKUP($B275,'Node Details'!$B:$U,D$1,0),"Check"),"")</f>
        <v>AXY</v>
      </c>
      <c r="E275" s="74" t="str">
        <f>IF($B275&lt;&gt;"",_xlfn.IFNA(VLOOKUP($B275,'Node Details'!$B:$U,E$1,0),"Check"),"")</f>
        <v>Airtel</v>
      </c>
      <c r="F275" s="76">
        <v>46113</v>
      </c>
      <c r="G275" s="74"/>
      <c r="H275" s="10" t="s">
        <v>1248</v>
      </c>
      <c r="I275" s="9">
        <v>1</v>
      </c>
      <c r="J275" s="9">
        <v>950</v>
      </c>
      <c r="K275" s="77">
        <f t="shared" si="33"/>
        <v>950</v>
      </c>
      <c r="L275" s="76">
        <v>46112</v>
      </c>
      <c r="N275" s="83"/>
      <c r="O275" s="84"/>
      <c r="P275" s="81">
        <f t="shared" si="28"/>
        <v>950</v>
      </c>
      <c r="Q275" s="81">
        <f t="shared" si="29"/>
        <v>950</v>
      </c>
      <c r="R275" s="81"/>
      <c r="S275" s="81"/>
      <c r="T275" s="85"/>
      <c r="U275" s="81">
        <f t="shared" si="30"/>
        <v>950</v>
      </c>
      <c r="V275" s="81">
        <f t="shared" si="31"/>
        <v>1</v>
      </c>
      <c r="W275" s="82">
        <f t="shared" si="32"/>
        <v>950</v>
      </c>
      <c r="X275" s="82" t="s">
        <v>84</v>
      </c>
      <c r="Y275" s="24" t="s">
        <v>93</v>
      </c>
    </row>
    <row r="276" spans="1:25" s="24" customFormat="1" ht="11.1" customHeight="1">
      <c r="A276" s="74">
        <f t="shared" si="34"/>
        <v>274</v>
      </c>
      <c r="B276" s="75" t="s">
        <v>987</v>
      </c>
      <c r="C276" s="74" t="str">
        <f>IF($B276&lt;&gt;"",_xlfn.IFNA(VLOOKUP($B276,'Node Details'!$B:$U,C$1,0),"Check"),"")</f>
        <v>AXY040201-AXY040204</v>
      </c>
      <c r="D276" s="74" t="str">
        <f>IF($B276&lt;&gt;"",_xlfn.IFNA(VLOOKUP($B276,'Node Details'!$B:$U,D$1,0),"Check"),"")</f>
        <v>AXY</v>
      </c>
      <c r="E276" s="74" t="str">
        <f>IF($B276&lt;&gt;"",_xlfn.IFNA(VLOOKUP($B276,'Node Details'!$B:$U,E$1,0),"Check"),"")</f>
        <v>Airtel</v>
      </c>
      <c r="F276" s="76">
        <v>46113</v>
      </c>
      <c r="G276" s="74"/>
      <c r="H276" s="10" t="s">
        <v>1249</v>
      </c>
      <c r="I276" s="9">
        <v>1</v>
      </c>
      <c r="J276" s="9">
        <v>375</v>
      </c>
      <c r="K276" s="77">
        <f t="shared" si="33"/>
        <v>375</v>
      </c>
      <c r="L276" s="76">
        <v>46112</v>
      </c>
      <c r="N276" s="83"/>
      <c r="O276" s="84"/>
      <c r="P276" s="81">
        <f t="shared" si="28"/>
        <v>375</v>
      </c>
      <c r="Q276" s="81">
        <f t="shared" si="29"/>
        <v>375</v>
      </c>
      <c r="R276" s="81"/>
      <c r="S276" s="81"/>
      <c r="T276" s="85"/>
      <c r="U276" s="81">
        <f t="shared" si="30"/>
        <v>375</v>
      </c>
      <c r="V276" s="81">
        <f t="shared" si="31"/>
        <v>1</v>
      </c>
      <c r="W276" s="82">
        <f t="shared" si="32"/>
        <v>375</v>
      </c>
      <c r="X276" s="82" t="s">
        <v>84</v>
      </c>
      <c r="Y276" s="24" t="s">
        <v>93</v>
      </c>
    </row>
    <row r="277" spans="1:25" s="24" customFormat="1" ht="11.1" customHeight="1">
      <c r="A277" s="74">
        <f t="shared" si="34"/>
        <v>275</v>
      </c>
      <c r="B277" s="75" t="s">
        <v>191</v>
      </c>
      <c r="C277" s="74" t="str">
        <f>IF($B277&lt;&gt;"",_xlfn.IFNA(VLOOKUP($B277,'Node Details'!$B:$U,C$1,0),"Check"),"")</f>
        <v>AXY040201-AXY040204</v>
      </c>
      <c r="D277" s="74" t="str">
        <f>IF($B277&lt;&gt;"",_xlfn.IFNA(VLOOKUP($B277,'Node Details'!$B:$U,D$1,0),"Check"),"")</f>
        <v>AXY</v>
      </c>
      <c r="E277" s="74" t="str">
        <f>IF($B277&lt;&gt;"",_xlfn.IFNA(VLOOKUP($B277,'Node Details'!$B:$U,E$1,0),"Check"),"")</f>
        <v>Airtel</v>
      </c>
      <c r="F277" s="76">
        <v>46113</v>
      </c>
      <c r="G277" s="74"/>
      <c r="H277" s="10" t="s">
        <v>1248</v>
      </c>
      <c r="I277" s="9">
        <v>1</v>
      </c>
      <c r="J277" s="9">
        <v>950</v>
      </c>
      <c r="K277" s="77">
        <f t="shared" si="33"/>
        <v>950</v>
      </c>
      <c r="L277" s="76">
        <v>46112</v>
      </c>
      <c r="N277" s="83"/>
      <c r="O277" s="84"/>
      <c r="P277" s="81">
        <f t="shared" si="28"/>
        <v>950</v>
      </c>
      <c r="Q277" s="81">
        <f t="shared" si="29"/>
        <v>950</v>
      </c>
      <c r="R277" s="81"/>
      <c r="S277" s="81"/>
      <c r="T277" s="85"/>
      <c r="U277" s="81">
        <f t="shared" si="30"/>
        <v>950</v>
      </c>
      <c r="V277" s="81">
        <f t="shared" si="31"/>
        <v>1</v>
      </c>
      <c r="W277" s="82">
        <f t="shared" si="32"/>
        <v>950</v>
      </c>
      <c r="X277" s="82" t="s">
        <v>84</v>
      </c>
      <c r="Y277" s="24" t="s">
        <v>93</v>
      </c>
    </row>
    <row r="278" spans="1:25" s="24" customFormat="1" ht="11.1" customHeight="1">
      <c r="A278" s="74">
        <f t="shared" si="34"/>
        <v>276</v>
      </c>
      <c r="B278" s="75" t="s">
        <v>194</v>
      </c>
      <c r="C278" s="74" t="str">
        <f>IF($B278&lt;&gt;"",_xlfn.IFNA(VLOOKUP($B278,'Node Details'!$B:$U,C$1,0),"Check"),"")</f>
        <v>0000AXY05-AXY050101</v>
      </c>
      <c r="D278" s="74" t="str">
        <f>IF($B278&lt;&gt;"",_xlfn.IFNA(VLOOKUP($B278,'Node Details'!$B:$U,D$1,0),"Check"),"")</f>
        <v>AXY</v>
      </c>
      <c r="E278" s="74" t="str">
        <f>IF($B278&lt;&gt;"",_xlfn.IFNA(VLOOKUP($B278,'Node Details'!$B:$U,E$1,0),"Check"),"")</f>
        <v>Airtel</v>
      </c>
      <c r="F278" s="76">
        <v>46113</v>
      </c>
      <c r="G278" s="74"/>
      <c r="H278" s="10" t="s">
        <v>1249</v>
      </c>
      <c r="I278" s="9">
        <v>1</v>
      </c>
      <c r="J278" s="9">
        <v>375</v>
      </c>
      <c r="K278" s="77">
        <f t="shared" si="33"/>
        <v>375</v>
      </c>
      <c r="L278" s="76">
        <v>46112</v>
      </c>
      <c r="N278" s="83"/>
      <c r="O278" s="84"/>
      <c r="P278" s="81">
        <f t="shared" si="28"/>
        <v>375</v>
      </c>
      <c r="Q278" s="81">
        <f t="shared" si="29"/>
        <v>375</v>
      </c>
      <c r="R278" s="81"/>
      <c r="S278" s="81"/>
      <c r="T278" s="85"/>
      <c r="U278" s="81">
        <f t="shared" si="30"/>
        <v>375</v>
      </c>
      <c r="V278" s="81">
        <f t="shared" si="31"/>
        <v>1</v>
      </c>
      <c r="W278" s="82">
        <f t="shared" si="32"/>
        <v>375</v>
      </c>
      <c r="X278" s="82" t="s">
        <v>84</v>
      </c>
      <c r="Y278" s="24" t="s">
        <v>93</v>
      </c>
    </row>
    <row r="279" spans="1:25" s="24" customFormat="1" ht="11.1" customHeight="1">
      <c r="A279" s="74">
        <f t="shared" si="34"/>
        <v>277</v>
      </c>
      <c r="B279" s="75" t="s">
        <v>988</v>
      </c>
      <c r="C279" s="74" t="str">
        <f>IF($B279&lt;&gt;"",_xlfn.IFNA(VLOOKUP($B279,'Node Details'!$B:$U,C$1,0),"Check"),"")</f>
        <v>0000AXY5 -AXY050104</v>
      </c>
      <c r="D279" s="74" t="str">
        <f>IF($B279&lt;&gt;"",_xlfn.IFNA(VLOOKUP($B279,'Node Details'!$B:$U,D$1,0),"Check"),"")</f>
        <v>AXY</v>
      </c>
      <c r="E279" s="74" t="str">
        <f>IF($B279&lt;&gt;"",_xlfn.IFNA(VLOOKUP($B279,'Node Details'!$B:$U,E$1,0),"Check"),"")</f>
        <v>Airtel</v>
      </c>
      <c r="F279" s="76">
        <v>46113</v>
      </c>
      <c r="G279" s="74"/>
      <c r="H279" s="10" t="s">
        <v>1248</v>
      </c>
      <c r="I279" s="9">
        <v>1</v>
      </c>
      <c r="J279" s="9">
        <v>950</v>
      </c>
      <c r="K279" s="77">
        <f t="shared" si="33"/>
        <v>950</v>
      </c>
      <c r="L279" s="76">
        <v>46112</v>
      </c>
      <c r="N279" s="83"/>
      <c r="O279" s="84"/>
      <c r="P279" s="81">
        <f t="shared" si="28"/>
        <v>950</v>
      </c>
      <c r="Q279" s="81">
        <f t="shared" si="29"/>
        <v>950</v>
      </c>
      <c r="R279" s="81"/>
      <c r="S279" s="81"/>
      <c r="T279" s="85"/>
      <c r="U279" s="81">
        <f t="shared" si="30"/>
        <v>950</v>
      </c>
      <c r="V279" s="81">
        <f t="shared" si="31"/>
        <v>1</v>
      </c>
      <c r="W279" s="82">
        <f t="shared" si="32"/>
        <v>950</v>
      </c>
      <c r="X279" s="82" t="s">
        <v>84</v>
      </c>
      <c r="Y279" s="24" t="s">
        <v>93</v>
      </c>
    </row>
    <row r="280" spans="1:25" s="24" customFormat="1" ht="11.1" customHeight="1">
      <c r="A280" s="74">
        <f t="shared" si="34"/>
        <v>278</v>
      </c>
      <c r="B280" s="75" t="s">
        <v>989</v>
      </c>
      <c r="C280" s="74" t="str">
        <f>IF($B280&lt;&gt;"",_xlfn.IFNA(VLOOKUP($B280,'Node Details'!$B:$U,C$1,0),"Check"),"")</f>
        <v>0000AXY5 -AXY050104</v>
      </c>
      <c r="D280" s="74" t="str">
        <f>IF($B280&lt;&gt;"",_xlfn.IFNA(VLOOKUP($B280,'Node Details'!$B:$U,D$1,0),"Check"),"")</f>
        <v>AXY</v>
      </c>
      <c r="E280" s="74" t="str">
        <f>IF($B280&lt;&gt;"",_xlfn.IFNA(VLOOKUP($B280,'Node Details'!$B:$U,E$1,0),"Check"),"")</f>
        <v>Airtel</v>
      </c>
      <c r="F280" s="76">
        <v>46113</v>
      </c>
      <c r="G280" s="74"/>
      <c r="H280" s="10" t="s">
        <v>1248</v>
      </c>
      <c r="I280" s="9">
        <v>1</v>
      </c>
      <c r="J280" s="9">
        <v>950</v>
      </c>
      <c r="K280" s="77">
        <f t="shared" si="33"/>
        <v>950</v>
      </c>
      <c r="L280" s="76">
        <v>46112</v>
      </c>
      <c r="N280" s="83"/>
      <c r="O280" s="84"/>
      <c r="P280" s="81">
        <f t="shared" si="28"/>
        <v>950</v>
      </c>
      <c r="Q280" s="81">
        <f t="shared" si="29"/>
        <v>950</v>
      </c>
      <c r="R280" s="81"/>
      <c r="S280" s="81"/>
      <c r="T280" s="85"/>
      <c r="U280" s="81">
        <f t="shared" si="30"/>
        <v>950</v>
      </c>
      <c r="V280" s="81">
        <f t="shared" si="31"/>
        <v>1</v>
      </c>
      <c r="W280" s="82">
        <f t="shared" si="32"/>
        <v>950</v>
      </c>
      <c r="X280" s="82" t="s">
        <v>84</v>
      </c>
      <c r="Y280" s="24" t="s">
        <v>93</v>
      </c>
    </row>
    <row r="281" spans="1:25" s="24" customFormat="1" ht="11.1" customHeight="1">
      <c r="A281" s="74">
        <f t="shared" si="34"/>
        <v>279</v>
      </c>
      <c r="B281" s="75" t="s">
        <v>198</v>
      </c>
      <c r="C281" s="74" t="str">
        <f>IF($B281&lt;&gt;"",_xlfn.IFNA(VLOOKUP($B281,'Node Details'!$B:$U,C$1,0),"Check"),"")</f>
        <v>0000AXY5 -AXY050104</v>
      </c>
      <c r="D281" s="74" t="str">
        <f>IF($B281&lt;&gt;"",_xlfn.IFNA(VLOOKUP($B281,'Node Details'!$B:$U,D$1,0),"Check"),"")</f>
        <v>AXY</v>
      </c>
      <c r="E281" s="74" t="str">
        <f>IF($B281&lt;&gt;"",_xlfn.IFNA(VLOOKUP($B281,'Node Details'!$B:$U,E$1,0),"Check"),"")</f>
        <v>Airtel</v>
      </c>
      <c r="F281" s="76">
        <v>46113</v>
      </c>
      <c r="G281" s="74"/>
      <c r="H281" s="10" t="s">
        <v>1248</v>
      </c>
      <c r="I281" s="9">
        <v>1</v>
      </c>
      <c r="J281" s="9">
        <v>950</v>
      </c>
      <c r="K281" s="77">
        <f t="shared" si="33"/>
        <v>950</v>
      </c>
      <c r="L281" s="76">
        <v>46112</v>
      </c>
      <c r="N281" s="83"/>
      <c r="O281" s="84"/>
      <c r="P281" s="81">
        <f t="shared" si="28"/>
        <v>950</v>
      </c>
      <c r="Q281" s="81">
        <f t="shared" si="29"/>
        <v>950</v>
      </c>
      <c r="R281" s="81"/>
      <c r="S281" s="81"/>
      <c r="T281" s="85"/>
      <c r="U281" s="81">
        <f t="shared" si="30"/>
        <v>950</v>
      </c>
      <c r="V281" s="81">
        <f t="shared" si="31"/>
        <v>1</v>
      </c>
      <c r="W281" s="82">
        <f t="shared" si="32"/>
        <v>950</v>
      </c>
      <c r="X281" s="82" t="s">
        <v>84</v>
      </c>
      <c r="Y281" s="24" t="s">
        <v>93</v>
      </c>
    </row>
    <row r="282" spans="1:25" s="24" customFormat="1" ht="11.1" customHeight="1">
      <c r="A282" s="74">
        <f t="shared" si="34"/>
        <v>280</v>
      </c>
      <c r="B282" s="75" t="s">
        <v>204</v>
      </c>
      <c r="C282" s="74" t="str">
        <f>IF($B282&lt;&gt;"",_xlfn.IFNA(VLOOKUP($B282,'Node Details'!$B:$U,C$1,0),"Check"),"")</f>
        <v>0000AXY05-AXY050107</v>
      </c>
      <c r="D282" s="74" t="str">
        <f>IF($B282&lt;&gt;"",_xlfn.IFNA(VLOOKUP($B282,'Node Details'!$B:$U,D$1,0),"Check"),"")</f>
        <v>AXY</v>
      </c>
      <c r="E282" s="74" t="str">
        <f>IF($B282&lt;&gt;"",_xlfn.IFNA(VLOOKUP($B282,'Node Details'!$B:$U,E$1,0),"Check"),"")</f>
        <v>Airtel</v>
      </c>
      <c r="F282" s="76">
        <v>46113</v>
      </c>
      <c r="G282" s="74"/>
      <c r="H282" s="10" t="s">
        <v>1248</v>
      </c>
      <c r="I282" s="9">
        <v>1</v>
      </c>
      <c r="J282" s="9">
        <v>950</v>
      </c>
      <c r="K282" s="77">
        <f t="shared" si="33"/>
        <v>950</v>
      </c>
      <c r="L282" s="76">
        <v>46112</v>
      </c>
      <c r="N282" s="83"/>
      <c r="O282" s="84"/>
      <c r="P282" s="81">
        <f t="shared" si="28"/>
        <v>950</v>
      </c>
      <c r="Q282" s="81">
        <f t="shared" si="29"/>
        <v>950</v>
      </c>
      <c r="R282" s="81"/>
      <c r="S282" s="81"/>
      <c r="T282" s="85"/>
      <c r="U282" s="81">
        <f t="shared" si="30"/>
        <v>950</v>
      </c>
      <c r="V282" s="81">
        <f t="shared" si="31"/>
        <v>1</v>
      </c>
      <c r="W282" s="82">
        <f t="shared" si="32"/>
        <v>950</v>
      </c>
      <c r="X282" s="82" t="s">
        <v>84</v>
      </c>
      <c r="Y282" s="24" t="s">
        <v>93</v>
      </c>
    </row>
    <row r="283" spans="1:25" s="24" customFormat="1" ht="11.1" customHeight="1">
      <c r="A283" s="74">
        <f t="shared" si="34"/>
        <v>281</v>
      </c>
      <c r="B283" s="75" t="s">
        <v>990</v>
      </c>
      <c r="C283" s="74" t="str">
        <f>IF($B283&lt;&gt;"",_xlfn.IFNA(VLOOKUP($B283,'Node Details'!$B:$U,C$1,0),"Check"),"")</f>
        <v>0000AXY05-AXY050107</v>
      </c>
      <c r="D283" s="74" t="str">
        <f>IF($B283&lt;&gt;"",_xlfn.IFNA(VLOOKUP($B283,'Node Details'!$B:$U,D$1,0),"Check"),"")</f>
        <v>AXY</v>
      </c>
      <c r="E283" s="74" t="str">
        <f>IF($B283&lt;&gt;"",_xlfn.IFNA(VLOOKUP($B283,'Node Details'!$B:$U,E$1,0),"Check"),"")</f>
        <v>Airtel</v>
      </c>
      <c r="F283" s="76">
        <v>46113</v>
      </c>
      <c r="G283" s="74"/>
      <c r="H283" s="10" t="s">
        <v>1249</v>
      </c>
      <c r="I283" s="9">
        <v>1</v>
      </c>
      <c r="J283" s="9">
        <v>375</v>
      </c>
      <c r="K283" s="77">
        <f t="shared" si="33"/>
        <v>375</v>
      </c>
      <c r="L283" s="76">
        <v>46112</v>
      </c>
      <c r="N283" s="83"/>
      <c r="O283" s="84"/>
      <c r="P283" s="81">
        <f t="shared" si="28"/>
        <v>375</v>
      </c>
      <c r="Q283" s="81">
        <f t="shared" si="29"/>
        <v>375</v>
      </c>
      <c r="R283" s="81"/>
      <c r="S283" s="81"/>
      <c r="T283" s="85"/>
      <c r="U283" s="81">
        <f t="shared" si="30"/>
        <v>375</v>
      </c>
      <c r="V283" s="81">
        <f t="shared" si="31"/>
        <v>1</v>
      </c>
      <c r="W283" s="82">
        <f t="shared" si="32"/>
        <v>375</v>
      </c>
      <c r="X283" s="82" t="s">
        <v>84</v>
      </c>
      <c r="Y283" s="24" t="s">
        <v>93</v>
      </c>
    </row>
    <row r="284" spans="1:25" s="24" customFormat="1" ht="11.1" customHeight="1">
      <c r="A284" s="74">
        <f t="shared" si="34"/>
        <v>282</v>
      </c>
      <c r="B284" s="75" t="s">
        <v>201</v>
      </c>
      <c r="C284" s="74" t="str">
        <f>IF($B284&lt;&gt;"",_xlfn.IFNA(VLOOKUP($B284,'Node Details'!$B:$U,C$1,0),"Check"),"")</f>
        <v>0000AXY05-AXY050107</v>
      </c>
      <c r="D284" s="74" t="str">
        <f>IF($B284&lt;&gt;"",_xlfn.IFNA(VLOOKUP($B284,'Node Details'!$B:$U,D$1,0),"Check"),"")</f>
        <v>AXY</v>
      </c>
      <c r="E284" s="74" t="str">
        <f>IF($B284&lt;&gt;"",_xlfn.IFNA(VLOOKUP($B284,'Node Details'!$B:$U,E$1,0),"Check"),"")</f>
        <v>Airtel</v>
      </c>
      <c r="F284" s="76">
        <v>46113</v>
      </c>
      <c r="G284" s="74"/>
      <c r="H284" s="10" t="s">
        <v>1248</v>
      </c>
      <c r="I284" s="9">
        <v>1</v>
      </c>
      <c r="J284" s="9">
        <v>950</v>
      </c>
      <c r="K284" s="77">
        <f t="shared" si="33"/>
        <v>950</v>
      </c>
      <c r="L284" s="76">
        <v>46112</v>
      </c>
      <c r="N284" s="83"/>
      <c r="O284" s="84"/>
      <c r="P284" s="81">
        <f t="shared" si="28"/>
        <v>950</v>
      </c>
      <c r="Q284" s="81">
        <f t="shared" si="29"/>
        <v>950</v>
      </c>
      <c r="R284" s="81"/>
      <c r="S284" s="81"/>
      <c r="T284" s="85"/>
      <c r="U284" s="81">
        <f t="shared" si="30"/>
        <v>950</v>
      </c>
      <c r="V284" s="81">
        <f t="shared" si="31"/>
        <v>1</v>
      </c>
      <c r="W284" s="82">
        <f t="shared" si="32"/>
        <v>950</v>
      </c>
      <c r="X284" s="82" t="s">
        <v>84</v>
      </c>
      <c r="Y284" s="24" t="s">
        <v>93</v>
      </c>
    </row>
    <row r="285" spans="1:25" s="24" customFormat="1" ht="11.1" customHeight="1">
      <c r="A285" s="74">
        <f t="shared" si="34"/>
        <v>283</v>
      </c>
      <c r="B285" s="75" t="s">
        <v>991</v>
      </c>
      <c r="C285" s="74" t="str">
        <f>IF($B285&lt;&gt;"",_xlfn.IFNA(VLOOKUP($B285,'Node Details'!$B:$U,C$1,0),"Check"),"")</f>
        <v>AXY050105-AXY050202</v>
      </c>
      <c r="D285" s="74" t="str">
        <f>IF($B285&lt;&gt;"",_xlfn.IFNA(VLOOKUP($B285,'Node Details'!$B:$U,D$1,0),"Check"),"")</f>
        <v>AXY</v>
      </c>
      <c r="E285" s="74" t="str">
        <f>IF($B285&lt;&gt;"",_xlfn.IFNA(VLOOKUP($B285,'Node Details'!$B:$U,E$1,0),"Check"),"")</f>
        <v>Airtel</v>
      </c>
      <c r="F285" s="76">
        <v>46113</v>
      </c>
      <c r="G285" s="74"/>
      <c r="H285" s="10" t="s">
        <v>1249</v>
      </c>
      <c r="I285" s="9">
        <v>1</v>
      </c>
      <c r="J285" s="9">
        <v>375</v>
      </c>
      <c r="K285" s="77">
        <f t="shared" si="33"/>
        <v>375</v>
      </c>
      <c r="L285" s="76">
        <v>46112</v>
      </c>
      <c r="N285" s="83"/>
      <c r="O285" s="84"/>
      <c r="P285" s="81">
        <f t="shared" si="28"/>
        <v>375</v>
      </c>
      <c r="Q285" s="81">
        <f t="shared" si="29"/>
        <v>375</v>
      </c>
      <c r="R285" s="81"/>
      <c r="S285" s="81"/>
      <c r="T285" s="85"/>
      <c r="U285" s="81">
        <f t="shared" si="30"/>
        <v>375</v>
      </c>
      <c r="V285" s="81">
        <f t="shared" si="31"/>
        <v>1</v>
      </c>
      <c r="W285" s="82">
        <f t="shared" si="32"/>
        <v>375</v>
      </c>
      <c r="X285" s="82" t="s">
        <v>84</v>
      </c>
      <c r="Y285" s="24" t="s">
        <v>93</v>
      </c>
    </row>
    <row r="286" spans="1:25" s="24" customFormat="1" ht="11.1" customHeight="1">
      <c r="A286" s="74">
        <f t="shared" si="34"/>
        <v>284</v>
      </c>
      <c r="B286" s="75" t="s">
        <v>992</v>
      </c>
      <c r="C286" s="74" t="str">
        <f>IF($B286&lt;&gt;"",_xlfn.IFNA(VLOOKUP($B286,'Node Details'!$B:$U,C$1,0),"Check"),"")</f>
        <v>AXY050105-AXY050202</v>
      </c>
      <c r="D286" s="74" t="str">
        <f>IF($B286&lt;&gt;"",_xlfn.IFNA(VLOOKUP($B286,'Node Details'!$B:$U,D$1,0),"Check"),"")</f>
        <v>AXY</v>
      </c>
      <c r="E286" s="74" t="str">
        <f>IF($B286&lt;&gt;"",_xlfn.IFNA(VLOOKUP($B286,'Node Details'!$B:$U,E$1,0),"Check"),"")</f>
        <v>Airtel</v>
      </c>
      <c r="F286" s="76">
        <v>46113</v>
      </c>
      <c r="G286" s="74"/>
      <c r="H286" s="10" t="s">
        <v>1249</v>
      </c>
      <c r="I286" s="9">
        <v>1</v>
      </c>
      <c r="J286" s="9">
        <v>375</v>
      </c>
      <c r="K286" s="77">
        <f t="shared" si="33"/>
        <v>375</v>
      </c>
      <c r="L286" s="76">
        <v>46112</v>
      </c>
      <c r="N286" s="83"/>
      <c r="O286" s="84"/>
      <c r="P286" s="81">
        <f t="shared" si="28"/>
        <v>375</v>
      </c>
      <c r="Q286" s="81">
        <f t="shared" si="29"/>
        <v>375</v>
      </c>
      <c r="R286" s="81"/>
      <c r="S286" s="81"/>
      <c r="T286" s="85"/>
      <c r="U286" s="81">
        <f t="shared" si="30"/>
        <v>375</v>
      </c>
      <c r="V286" s="81">
        <f t="shared" si="31"/>
        <v>1</v>
      </c>
      <c r="W286" s="82">
        <f t="shared" si="32"/>
        <v>375</v>
      </c>
      <c r="X286" s="82" t="s">
        <v>84</v>
      </c>
      <c r="Y286" s="24" t="s">
        <v>93</v>
      </c>
    </row>
    <row r="287" spans="1:25" s="24" customFormat="1" ht="11.1" customHeight="1">
      <c r="A287" s="74">
        <f t="shared" si="34"/>
        <v>285</v>
      </c>
      <c r="B287" s="75" t="s">
        <v>205</v>
      </c>
      <c r="C287" s="74" t="str">
        <f>IF($B287&lt;&gt;"",_xlfn.IFNA(VLOOKUP($B287,'Node Details'!$B:$U,C$1,0),"Check"),"")</f>
        <v>AXY050105-AXY050202</v>
      </c>
      <c r="D287" s="74" t="str">
        <f>IF($B287&lt;&gt;"",_xlfn.IFNA(VLOOKUP($B287,'Node Details'!$B:$U,D$1,0),"Check"),"")</f>
        <v>AXY</v>
      </c>
      <c r="E287" s="74" t="str">
        <f>IF($B287&lt;&gt;"",_xlfn.IFNA(VLOOKUP($B287,'Node Details'!$B:$U,E$1,0),"Check"),"")</f>
        <v>Airtel</v>
      </c>
      <c r="F287" s="76">
        <v>46113</v>
      </c>
      <c r="G287" s="74"/>
      <c r="H287" s="10" t="s">
        <v>1248</v>
      </c>
      <c r="I287" s="9">
        <v>1</v>
      </c>
      <c r="J287" s="9">
        <v>950</v>
      </c>
      <c r="K287" s="77">
        <f t="shared" si="33"/>
        <v>950</v>
      </c>
      <c r="L287" s="76">
        <v>46112</v>
      </c>
      <c r="N287" s="83"/>
      <c r="O287" s="84"/>
      <c r="P287" s="81">
        <f t="shared" si="28"/>
        <v>950</v>
      </c>
      <c r="Q287" s="81">
        <f t="shared" si="29"/>
        <v>950</v>
      </c>
      <c r="R287" s="81"/>
      <c r="S287" s="81"/>
      <c r="T287" s="85"/>
      <c r="U287" s="81">
        <f t="shared" si="30"/>
        <v>950</v>
      </c>
      <c r="V287" s="81">
        <f t="shared" si="31"/>
        <v>1</v>
      </c>
      <c r="W287" s="82">
        <f t="shared" si="32"/>
        <v>950</v>
      </c>
      <c r="X287" s="82" t="s">
        <v>84</v>
      </c>
      <c r="Y287" s="24" t="s">
        <v>93</v>
      </c>
    </row>
    <row r="288" spans="1:25" s="24" customFormat="1" ht="11.1" customHeight="1">
      <c r="A288" s="74">
        <f t="shared" si="34"/>
        <v>286</v>
      </c>
      <c r="B288" s="75" t="s">
        <v>993</v>
      </c>
      <c r="C288" s="74" t="str">
        <f>IF($B288&lt;&gt;"",_xlfn.IFNA(VLOOKUP($B288,'Node Details'!$B:$U,C$1,0),"Check"),"")</f>
        <v>0000AXY06-AXY060102</v>
      </c>
      <c r="D288" s="74" t="str">
        <f>IF($B288&lt;&gt;"",_xlfn.IFNA(VLOOKUP($B288,'Node Details'!$B:$U,D$1,0),"Check"),"")</f>
        <v>AXY</v>
      </c>
      <c r="E288" s="74" t="str">
        <f>IF($B288&lt;&gt;"",_xlfn.IFNA(VLOOKUP($B288,'Node Details'!$B:$U,E$1,0),"Check"),"")</f>
        <v>Airtel</v>
      </c>
      <c r="F288" s="76">
        <v>46113</v>
      </c>
      <c r="G288" s="74"/>
      <c r="H288" s="10" t="s">
        <v>1248</v>
      </c>
      <c r="I288" s="9">
        <v>1</v>
      </c>
      <c r="J288" s="9">
        <v>950</v>
      </c>
      <c r="K288" s="77">
        <f t="shared" si="33"/>
        <v>950</v>
      </c>
      <c r="L288" s="76">
        <v>46112</v>
      </c>
      <c r="N288" s="83"/>
      <c r="O288" s="84"/>
      <c r="P288" s="81">
        <f t="shared" si="28"/>
        <v>950</v>
      </c>
      <c r="Q288" s="81">
        <f t="shared" si="29"/>
        <v>950</v>
      </c>
      <c r="R288" s="81"/>
      <c r="S288" s="81"/>
      <c r="T288" s="85"/>
      <c r="U288" s="81">
        <f t="shared" si="30"/>
        <v>950</v>
      </c>
      <c r="V288" s="81">
        <f t="shared" si="31"/>
        <v>1</v>
      </c>
      <c r="W288" s="82">
        <f t="shared" si="32"/>
        <v>950</v>
      </c>
      <c r="X288" s="82" t="s">
        <v>84</v>
      </c>
      <c r="Y288" s="24" t="s">
        <v>93</v>
      </c>
    </row>
    <row r="289" spans="1:25" s="24" customFormat="1" ht="11.1" customHeight="1">
      <c r="A289" s="74">
        <f t="shared" si="34"/>
        <v>287</v>
      </c>
      <c r="B289" s="75" t="s">
        <v>209</v>
      </c>
      <c r="C289" s="74" t="str">
        <f>IF($B289&lt;&gt;"",_xlfn.IFNA(VLOOKUP($B289,'Node Details'!$B:$U,C$1,0),"Check"),"")</f>
        <v>0000AXY06-AXY060102</v>
      </c>
      <c r="D289" s="74" t="str">
        <f>IF($B289&lt;&gt;"",_xlfn.IFNA(VLOOKUP($B289,'Node Details'!$B:$U,D$1,0),"Check"),"")</f>
        <v>AXY</v>
      </c>
      <c r="E289" s="74" t="str">
        <f>IF($B289&lt;&gt;"",_xlfn.IFNA(VLOOKUP($B289,'Node Details'!$B:$U,E$1,0),"Check"),"")</f>
        <v>Airtel</v>
      </c>
      <c r="F289" s="76">
        <v>46113</v>
      </c>
      <c r="G289" s="74"/>
      <c r="H289" s="10" t="s">
        <v>1249</v>
      </c>
      <c r="I289" s="9">
        <v>1</v>
      </c>
      <c r="J289" s="9">
        <v>375</v>
      </c>
      <c r="K289" s="77">
        <f t="shared" si="33"/>
        <v>375</v>
      </c>
      <c r="L289" s="76">
        <v>46112</v>
      </c>
      <c r="N289" s="83"/>
      <c r="O289" s="84"/>
      <c r="P289" s="81">
        <f t="shared" si="28"/>
        <v>375</v>
      </c>
      <c r="Q289" s="81">
        <f t="shared" si="29"/>
        <v>375</v>
      </c>
      <c r="R289" s="81"/>
      <c r="S289" s="81"/>
      <c r="T289" s="85"/>
      <c r="U289" s="81">
        <f t="shared" si="30"/>
        <v>375</v>
      </c>
      <c r="V289" s="81">
        <f t="shared" si="31"/>
        <v>1</v>
      </c>
      <c r="W289" s="82">
        <f t="shared" si="32"/>
        <v>375</v>
      </c>
      <c r="X289" s="82" t="s">
        <v>84</v>
      </c>
      <c r="Y289" s="24" t="s">
        <v>93</v>
      </c>
    </row>
    <row r="290" spans="1:25" s="24" customFormat="1" ht="11.1" customHeight="1">
      <c r="A290" s="74">
        <f t="shared" si="34"/>
        <v>288</v>
      </c>
      <c r="B290" s="75" t="s">
        <v>994</v>
      </c>
      <c r="C290" s="74" t="str">
        <f>IF($B290&lt;&gt;"",_xlfn.IFNA(VLOOKUP($B290,'Node Details'!$B:$U,C$1,0),"Check"),"")</f>
        <v>0000AXY06-AXY060105</v>
      </c>
      <c r="D290" s="74" t="str">
        <f>IF($B290&lt;&gt;"",_xlfn.IFNA(VLOOKUP($B290,'Node Details'!$B:$U,D$1,0),"Check"),"")</f>
        <v>AXY</v>
      </c>
      <c r="E290" s="74" t="str">
        <f>IF($B290&lt;&gt;"",_xlfn.IFNA(VLOOKUP($B290,'Node Details'!$B:$U,E$1,0),"Check"),"")</f>
        <v>Airtel</v>
      </c>
      <c r="F290" s="76">
        <v>46113</v>
      </c>
      <c r="G290" s="74"/>
      <c r="H290" s="10" t="s">
        <v>1248</v>
      </c>
      <c r="I290" s="9">
        <v>1</v>
      </c>
      <c r="J290" s="9">
        <v>950</v>
      </c>
      <c r="K290" s="77">
        <f t="shared" si="33"/>
        <v>950</v>
      </c>
      <c r="L290" s="76">
        <v>46112</v>
      </c>
      <c r="N290" s="83"/>
      <c r="O290" s="84"/>
      <c r="P290" s="81">
        <f t="shared" si="28"/>
        <v>950</v>
      </c>
      <c r="Q290" s="81">
        <f t="shared" si="29"/>
        <v>950</v>
      </c>
      <c r="R290" s="81"/>
      <c r="S290" s="81"/>
      <c r="T290" s="85"/>
      <c r="U290" s="81">
        <f t="shared" si="30"/>
        <v>950</v>
      </c>
      <c r="V290" s="81">
        <f t="shared" si="31"/>
        <v>1</v>
      </c>
      <c r="W290" s="82">
        <f t="shared" si="32"/>
        <v>950</v>
      </c>
      <c r="X290" s="82" t="s">
        <v>84</v>
      </c>
      <c r="Y290" s="24" t="s">
        <v>93</v>
      </c>
    </row>
    <row r="291" spans="1:25" s="24" customFormat="1" ht="11.1" customHeight="1">
      <c r="A291" s="74">
        <f t="shared" si="34"/>
        <v>289</v>
      </c>
      <c r="B291" s="75" t="s">
        <v>995</v>
      </c>
      <c r="C291" s="74" t="str">
        <f>IF($B291&lt;&gt;"",_xlfn.IFNA(VLOOKUP($B291,'Node Details'!$B:$U,C$1,0),"Check"),"")</f>
        <v>0000AXY06-AXY060105</v>
      </c>
      <c r="D291" s="74" t="str">
        <f>IF($B291&lt;&gt;"",_xlfn.IFNA(VLOOKUP($B291,'Node Details'!$B:$U,D$1,0),"Check"),"")</f>
        <v>AXY</v>
      </c>
      <c r="E291" s="74" t="str">
        <f>IF($B291&lt;&gt;"",_xlfn.IFNA(VLOOKUP($B291,'Node Details'!$B:$U,E$1,0),"Check"),"")</f>
        <v>Airtel</v>
      </c>
      <c r="F291" s="76">
        <v>46113</v>
      </c>
      <c r="G291" s="74"/>
      <c r="H291" s="10" t="s">
        <v>1248</v>
      </c>
      <c r="I291" s="9">
        <v>1</v>
      </c>
      <c r="J291" s="9">
        <v>950</v>
      </c>
      <c r="K291" s="77">
        <f t="shared" si="33"/>
        <v>950</v>
      </c>
      <c r="L291" s="76">
        <v>46112</v>
      </c>
      <c r="N291" s="83"/>
      <c r="O291" s="84"/>
      <c r="P291" s="81">
        <f t="shared" si="28"/>
        <v>950</v>
      </c>
      <c r="Q291" s="81">
        <f t="shared" si="29"/>
        <v>950</v>
      </c>
      <c r="R291" s="81"/>
      <c r="S291" s="81"/>
      <c r="T291" s="85"/>
      <c r="U291" s="81">
        <f t="shared" si="30"/>
        <v>950</v>
      </c>
      <c r="V291" s="81">
        <f t="shared" si="31"/>
        <v>1</v>
      </c>
      <c r="W291" s="82">
        <f t="shared" si="32"/>
        <v>950</v>
      </c>
      <c r="X291" s="82" t="s">
        <v>84</v>
      </c>
      <c r="Y291" s="24" t="s">
        <v>93</v>
      </c>
    </row>
    <row r="292" spans="1:25" s="24" customFormat="1" ht="11.1" customHeight="1">
      <c r="A292" s="74">
        <f t="shared" si="34"/>
        <v>290</v>
      </c>
      <c r="B292" s="75" t="s">
        <v>212</v>
      </c>
      <c r="C292" s="74" t="str">
        <f>IF($B292&lt;&gt;"",_xlfn.IFNA(VLOOKUP($B292,'Node Details'!$B:$U,C$1,0),"Check"),"")</f>
        <v>0000AXY06-AXY060105</v>
      </c>
      <c r="D292" s="74" t="str">
        <f>IF($B292&lt;&gt;"",_xlfn.IFNA(VLOOKUP($B292,'Node Details'!$B:$U,D$1,0),"Check"),"")</f>
        <v>AXY</v>
      </c>
      <c r="E292" s="74" t="str">
        <f>IF($B292&lt;&gt;"",_xlfn.IFNA(VLOOKUP($B292,'Node Details'!$B:$U,E$1,0),"Check"),"")</f>
        <v>Airtel</v>
      </c>
      <c r="F292" s="76">
        <v>46113</v>
      </c>
      <c r="G292" s="74"/>
      <c r="H292" s="10" t="s">
        <v>1248</v>
      </c>
      <c r="I292" s="9">
        <v>1</v>
      </c>
      <c r="J292" s="9">
        <v>950</v>
      </c>
      <c r="K292" s="77">
        <f t="shared" si="33"/>
        <v>950</v>
      </c>
      <c r="L292" s="76">
        <v>46112</v>
      </c>
      <c r="N292" s="83"/>
      <c r="O292" s="84"/>
      <c r="P292" s="81">
        <f t="shared" si="28"/>
        <v>950</v>
      </c>
      <c r="Q292" s="81">
        <f t="shared" si="29"/>
        <v>950</v>
      </c>
      <c r="R292" s="81"/>
      <c r="S292" s="81"/>
      <c r="T292" s="85"/>
      <c r="U292" s="81">
        <f t="shared" si="30"/>
        <v>950</v>
      </c>
      <c r="V292" s="81">
        <f t="shared" si="31"/>
        <v>1</v>
      </c>
      <c r="W292" s="82">
        <f t="shared" si="32"/>
        <v>950</v>
      </c>
      <c r="X292" s="82" t="s">
        <v>84</v>
      </c>
      <c r="Y292" s="24" t="s">
        <v>93</v>
      </c>
    </row>
    <row r="293" spans="1:25" s="24" customFormat="1" ht="11.1" customHeight="1">
      <c r="A293" s="74">
        <f t="shared" si="34"/>
        <v>291</v>
      </c>
      <c r="B293" s="75" t="s">
        <v>996</v>
      </c>
      <c r="C293" s="74" t="str">
        <f>IF($B293&lt;&gt;"",_xlfn.IFNA(VLOOKUP($B293,'Node Details'!$B:$U,C$1,0),"Check"),"")</f>
        <v>0000AXY06-AXY060201</v>
      </c>
      <c r="D293" s="74" t="str">
        <f>IF($B293&lt;&gt;"",_xlfn.IFNA(VLOOKUP($B293,'Node Details'!$B:$U,D$1,0),"Check"),"")</f>
        <v>AXY</v>
      </c>
      <c r="E293" s="74" t="str">
        <f>IF($B293&lt;&gt;"",_xlfn.IFNA(VLOOKUP($B293,'Node Details'!$B:$U,E$1,0),"Check"),"")</f>
        <v>Airtel</v>
      </c>
      <c r="F293" s="76">
        <v>46113</v>
      </c>
      <c r="G293" s="74"/>
      <c r="H293" s="10" t="s">
        <v>1248</v>
      </c>
      <c r="I293" s="9">
        <v>1</v>
      </c>
      <c r="J293" s="9">
        <v>950</v>
      </c>
      <c r="K293" s="77">
        <f t="shared" si="33"/>
        <v>950</v>
      </c>
      <c r="L293" s="76">
        <v>46112</v>
      </c>
      <c r="N293" s="83"/>
      <c r="O293" s="84"/>
      <c r="P293" s="81">
        <f t="shared" si="28"/>
        <v>950</v>
      </c>
      <c r="Q293" s="81">
        <f t="shared" si="29"/>
        <v>950</v>
      </c>
      <c r="R293" s="81"/>
      <c r="S293" s="81"/>
      <c r="T293" s="85"/>
      <c r="U293" s="81">
        <f t="shared" si="30"/>
        <v>950</v>
      </c>
      <c r="V293" s="81">
        <f t="shared" si="31"/>
        <v>1</v>
      </c>
      <c r="W293" s="82">
        <f t="shared" si="32"/>
        <v>950</v>
      </c>
      <c r="X293" s="82" t="s">
        <v>84</v>
      </c>
      <c r="Y293" s="24" t="s">
        <v>93</v>
      </c>
    </row>
    <row r="294" spans="1:25" s="24" customFormat="1" ht="11.1" customHeight="1">
      <c r="A294" s="74">
        <f t="shared" si="34"/>
        <v>292</v>
      </c>
      <c r="B294" s="75" t="s">
        <v>997</v>
      </c>
      <c r="C294" s="74" t="str">
        <f>IF($B294&lt;&gt;"",_xlfn.IFNA(VLOOKUP($B294,'Node Details'!$B:$U,C$1,0),"Check"),"")</f>
        <v>0000AXY06-AXY060201</v>
      </c>
      <c r="D294" s="74" t="str">
        <f>IF($B294&lt;&gt;"",_xlfn.IFNA(VLOOKUP($B294,'Node Details'!$B:$U,D$1,0),"Check"),"")</f>
        <v>AXY</v>
      </c>
      <c r="E294" s="74" t="str">
        <f>IF($B294&lt;&gt;"",_xlfn.IFNA(VLOOKUP($B294,'Node Details'!$B:$U,E$1,0),"Check"),"")</f>
        <v>Airtel</v>
      </c>
      <c r="F294" s="76">
        <v>46113</v>
      </c>
      <c r="G294" s="74"/>
      <c r="H294" s="10" t="s">
        <v>1249</v>
      </c>
      <c r="I294" s="9">
        <v>1</v>
      </c>
      <c r="J294" s="9">
        <v>375</v>
      </c>
      <c r="K294" s="77">
        <f t="shared" si="33"/>
        <v>375</v>
      </c>
      <c r="L294" s="76">
        <v>46112</v>
      </c>
      <c r="N294" s="83"/>
      <c r="O294" s="84"/>
      <c r="P294" s="81">
        <f t="shared" si="28"/>
        <v>375</v>
      </c>
      <c r="Q294" s="81">
        <f t="shared" si="29"/>
        <v>375</v>
      </c>
      <c r="R294" s="81"/>
      <c r="S294" s="81"/>
      <c r="T294" s="85"/>
      <c r="U294" s="81">
        <f t="shared" si="30"/>
        <v>375</v>
      </c>
      <c r="V294" s="81">
        <f t="shared" si="31"/>
        <v>1</v>
      </c>
      <c r="W294" s="82">
        <f t="shared" si="32"/>
        <v>375</v>
      </c>
      <c r="X294" s="82" t="s">
        <v>84</v>
      </c>
      <c r="Y294" s="24" t="s">
        <v>93</v>
      </c>
    </row>
    <row r="295" spans="1:25" s="24" customFormat="1" ht="11.1" customHeight="1">
      <c r="A295" s="74">
        <f t="shared" si="34"/>
        <v>293</v>
      </c>
      <c r="B295" s="75" t="s">
        <v>998</v>
      </c>
      <c r="C295" s="74" t="str">
        <f>IF($B295&lt;&gt;"",_xlfn.IFNA(VLOOKUP($B295,'Node Details'!$B:$U,C$1,0),"Check"),"")</f>
        <v>0000AXY06-AXY060201</v>
      </c>
      <c r="D295" s="74" t="str">
        <f>IF($B295&lt;&gt;"",_xlfn.IFNA(VLOOKUP($B295,'Node Details'!$B:$U,D$1,0),"Check"),"")</f>
        <v>AXY</v>
      </c>
      <c r="E295" s="74" t="str">
        <f>IF($B295&lt;&gt;"",_xlfn.IFNA(VLOOKUP($B295,'Node Details'!$B:$U,E$1,0),"Check"),"")</f>
        <v>Airtel</v>
      </c>
      <c r="F295" s="76">
        <v>46113</v>
      </c>
      <c r="G295" s="74"/>
      <c r="H295" s="10" t="s">
        <v>1249</v>
      </c>
      <c r="I295" s="9">
        <v>1</v>
      </c>
      <c r="J295" s="9">
        <v>375</v>
      </c>
      <c r="K295" s="77">
        <f t="shared" si="33"/>
        <v>375</v>
      </c>
      <c r="L295" s="76">
        <v>46112</v>
      </c>
      <c r="N295" s="83"/>
      <c r="O295" s="84"/>
      <c r="P295" s="81">
        <f t="shared" si="28"/>
        <v>375</v>
      </c>
      <c r="Q295" s="81">
        <f t="shared" si="29"/>
        <v>375</v>
      </c>
      <c r="R295" s="81"/>
      <c r="S295" s="81"/>
      <c r="T295" s="85"/>
      <c r="U295" s="81">
        <f t="shared" si="30"/>
        <v>375</v>
      </c>
      <c r="V295" s="81">
        <f t="shared" si="31"/>
        <v>1</v>
      </c>
      <c r="W295" s="82">
        <f t="shared" si="32"/>
        <v>375</v>
      </c>
      <c r="X295" s="82" t="s">
        <v>84</v>
      </c>
      <c r="Y295" s="24" t="s">
        <v>93</v>
      </c>
    </row>
    <row r="296" spans="1:25" s="24" customFormat="1" ht="11.1" customHeight="1">
      <c r="A296" s="74">
        <f t="shared" si="34"/>
        <v>294</v>
      </c>
      <c r="B296" s="75" t="s">
        <v>215</v>
      </c>
      <c r="C296" s="74" t="str">
        <f>IF($B296&lt;&gt;"",_xlfn.IFNA(VLOOKUP($B296,'Node Details'!$B:$U,C$1,0),"Check"),"")</f>
        <v>0000AXY06-AXY060201</v>
      </c>
      <c r="D296" s="74" t="str">
        <f>IF($B296&lt;&gt;"",_xlfn.IFNA(VLOOKUP($B296,'Node Details'!$B:$U,D$1,0),"Check"),"")</f>
        <v>AXY</v>
      </c>
      <c r="E296" s="74" t="str">
        <f>IF($B296&lt;&gt;"",_xlfn.IFNA(VLOOKUP($B296,'Node Details'!$B:$U,E$1,0),"Check"),"")</f>
        <v>Airtel</v>
      </c>
      <c r="F296" s="76">
        <v>46113</v>
      </c>
      <c r="G296" s="74"/>
      <c r="H296" s="10" t="s">
        <v>1249</v>
      </c>
      <c r="I296" s="9">
        <v>1</v>
      </c>
      <c r="J296" s="9">
        <v>375</v>
      </c>
      <c r="K296" s="77">
        <f t="shared" si="33"/>
        <v>375</v>
      </c>
      <c r="L296" s="76">
        <v>46112</v>
      </c>
      <c r="N296" s="83"/>
      <c r="O296" s="84"/>
      <c r="P296" s="81">
        <f t="shared" si="28"/>
        <v>375</v>
      </c>
      <c r="Q296" s="81">
        <f t="shared" si="29"/>
        <v>375</v>
      </c>
      <c r="R296" s="81"/>
      <c r="S296" s="81"/>
      <c r="T296" s="85"/>
      <c r="U296" s="81">
        <f t="shared" si="30"/>
        <v>375</v>
      </c>
      <c r="V296" s="81">
        <f t="shared" si="31"/>
        <v>1</v>
      </c>
      <c r="W296" s="82">
        <f t="shared" si="32"/>
        <v>375</v>
      </c>
      <c r="X296" s="82" t="s">
        <v>84</v>
      </c>
      <c r="Y296" s="24" t="s">
        <v>93</v>
      </c>
    </row>
    <row r="297" spans="1:25" s="24" customFormat="1" ht="11.1" customHeight="1">
      <c r="A297" s="74">
        <f t="shared" si="34"/>
        <v>295</v>
      </c>
      <c r="B297" s="75" t="s">
        <v>219</v>
      </c>
      <c r="C297" s="74" t="str">
        <f>IF($B297&lt;&gt;"",_xlfn.IFNA(VLOOKUP($B297,'Node Details'!$B:$U,C$1,0),"Check"),"")</f>
        <v>0000AXY07-AXY070101</v>
      </c>
      <c r="D297" s="74" t="str">
        <f>IF($B297&lt;&gt;"",_xlfn.IFNA(VLOOKUP($B297,'Node Details'!$B:$U,D$1,0),"Check"),"")</f>
        <v>AXY</v>
      </c>
      <c r="E297" s="74" t="str">
        <f>IF($B297&lt;&gt;"",_xlfn.IFNA(VLOOKUP($B297,'Node Details'!$B:$U,E$1,0),"Check"),"")</f>
        <v>Airtel</v>
      </c>
      <c r="F297" s="76">
        <v>46113</v>
      </c>
      <c r="G297" s="74"/>
      <c r="H297" s="10" t="s">
        <v>1248</v>
      </c>
      <c r="I297" s="9">
        <v>1</v>
      </c>
      <c r="J297" s="9">
        <v>950</v>
      </c>
      <c r="K297" s="77">
        <f t="shared" si="33"/>
        <v>950</v>
      </c>
      <c r="L297" s="76">
        <v>46112</v>
      </c>
      <c r="N297" s="83"/>
      <c r="O297" s="84"/>
      <c r="P297" s="81">
        <f t="shared" si="28"/>
        <v>950</v>
      </c>
      <c r="Q297" s="81">
        <f t="shared" si="29"/>
        <v>950</v>
      </c>
      <c r="R297" s="81"/>
      <c r="S297" s="81"/>
      <c r="T297" s="85"/>
      <c r="U297" s="81">
        <f t="shared" si="30"/>
        <v>950</v>
      </c>
      <c r="V297" s="81">
        <f t="shared" si="31"/>
        <v>1</v>
      </c>
      <c r="W297" s="82">
        <f t="shared" si="32"/>
        <v>950</v>
      </c>
      <c r="X297" s="82" t="s">
        <v>84</v>
      </c>
      <c r="Y297" s="24" t="s">
        <v>93</v>
      </c>
    </row>
    <row r="298" spans="1:25" s="24" customFormat="1" ht="11.1" customHeight="1">
      <c r="A298" s="74">
        <f t="shared" si="34"/>
        <v>296</v>
      </c>
      <c r="B298" s="75" t="s">
        <v>222</v>
      </c>
      <c r="C298" s="74" t="str">
        <f>IF($B298&lt;&gt;"",_xlfn.IFNA(VLOOKUP($B298,'Node Details'!$B:$U,C$1,0),"Check"),"")</f>
        <v>0000AXY07-AXY070102</v>
      </c>
      <c r="D298" s="74" t="str">
        <f>IF($B298&lt;&gt;"",_xlfn.IFNA(VLOOKUP($B298,'Node Details'!$B:$U,D$1,0),"Check"),"")</f>
        <v>AXY</v>
      </c>
      <c r="E298" s="74" t="str">
        <f>IF($B298&lt;&gt;"",_xlfn.IFNA(VLOOKUP($B298,'Node Details'!$B:$U,E$1,0),"Check"),"")</f>
        <v>Airtel</v>
      </c>
      <c r="F298" s="76">
        <v>46113</v>
      </c>
      <c r="G298" s="74"/>
      <c r="H298" s="10" t="s">
        <v>1249</v>
      </c>
      <c r="I298" s="9">
        <v>1</v>
      </c>
      <c r="J298" s="9">
        <v>375</v>
      </c>
      <c r="K298" s="77">
        <f t="shared" si="33"/>
        <v>375</v>
      </c>
      <c r="L298" s="76">
        <v>46112</v>
      </c>
      <c r="N298" s="83"/>
      <c r="O298" s="84"/>
      <c r="P298" s="81">
        <f t="shared" si="28"/>
        <v>375</v>
      </c>
      <c r="Q298" s="81">
        <f t="shared" si="29"/>
        <v>375</v>
      </c>
      <c r="R298" s="81"/>
      <c r="S298" s="81"/>
      <c r="T298" s="85"/>
      <c r="U298" s="81">
        <f t="shared" si="30"/>
        <v>375</v>
      </c>
      <c r="V298" s="81">
        <f t="shared" si="31"/>
        <v>1</v>
      </c>
      <c r="W298" s="82">
        <f t="shared" si="32"/>
        <v>375</v>
      </c>
      <c r="X298" s="82" t="s">
        <v>84</v>
      </c>
      <c r="Y298" s="24" t="s">
        <v>93</v>
      </c>
    </row>
    <row r="299" spans="1:25" s="24" customFormat="1" ht="11.1" customHeight="1">
      <c r="A299" s="74">
        <f t="shared" si="34"/>
        <v>297</v>
      </c>
      <c r="B299" s="75" t="s">
        <v>999</v>
      </c>
      <c r="C299" s="74" t="str">
        <f>IF($B299&lt;&gt;"",_xlfn.IFNA(VLOOKUP($B299,'Node Details'!$B:$U,C$1,0),"Check"),"")</f>
        <v>0000AXY07-AXY070105</v>
      </c>
      <c r="D299" s="74" t="str">
        <f>IF($B299&lt;&gt;"",_xlfn.IFNA(VLOOKUP($B299,'Node Details'!$B:$U,D$1,0),"Check"),"")</f>
        <v>AXY</v>
      </c>
      <c r="E299" s="74" t="str">
        <f>IF($B299&lt;&gt;"",_xlfn.IFNA(VLOOKUP($B299,'Node Details'!$B:$U,E$1,0),"Check"),"")</f>
        <v>Airtel</v>
      </c>
      <c r="F299" s="76">
        <v>46113</v>
      </c>
      <c r="G299" s="74"/>
      <c r="H299" s="10" t="s">
        <v>1248</v>
      </c>
      <c r="I299" s="9">
        <v>1</v>
      </c>
      <c r="J299" s="9">
        <v>950</v>
      </c>
      <c r="K299" s="77">
        <f t="shared" si="33"/>
        <v>950</v>
      </c>
      <c r="L299" s="76">
        <v>46112</v>
      </c>
      <c r="N299" s="83"/>
      <c r="O299" s="84"/>
      <c r="P299" s="81">
        <f t="shared" si="28"/>
        <v>950</v>
      </c>
      <c r="Q299" s="81">
        <f t="shared" si="29"/>
        <v>950</v>
      </c>
      <c r="R299" s="81"/>
      <c r="S299" s="81"/>
      <c r="T299" s="85"/>
      <c r="U299" s="81">
        <f t="shared" si="30"/>
        <v>950</v>
      </c>
      <c r="V299" s="81">
        <f t="shared" si="31"/>
        <v>1</v>
      </c>
      <c r="W299" s="82">
        <f t="shared" si="32"/>
        <v>950</v>
      </c>
      <c r="X299" s="82" t="s">
        <v>84</v>
      </c>
      <c r="Y299" s="24" t="s">
        <v>93</v>
      </c>
    </row>
    <row r="300" spans="1:25" s="24" customFormat="1" ht="11.1" customHeight="1">
      <c r="A300" s="74">
        <f t="shared" si="34"/>
        <v>298</v>
      </c>
      <c r="B300" s="75" t="s">
        <v>1000</v>
      </c>
      <c r="C300" s="74" t="str">
        <f>IF($B300&lt;&gt;"",_xlfn.IFNA(VLOOKUP($B300,'Node Details'!$B:$U,C$1,0),"Check"),"")</f>
        <v>0000AXY07-AXY070105</v>
      </c>
      <c r="D300" s="74" t="str">
        <f>IF($B300&lt;&gt;"",_xlfn.IFNA(VLOOKUP($B300,'Node Details'!$B:$U,D$1,0),"Check"),"")</f>
        <v>AXY</v>
      </c>
      <c r="E300" s="74" t="str">
        <f>IF($B300&lt;&gt;"",_xlfn.IFNA(VLOOKUP($B300,'Node Details'!$B:$U,E$1,0),"Check"),"")</f>
        <v>Airtel</v>
      </c>
      <c r="F300" s="76">
        <v>46113</v>
      </c>
      <c r="G300" s="74"/>
      <c r="H300" s="10" t="s">
        <v>1249</v>
      </c>
      <c r="I300" s="9">
        <v>1</v>
      </c>
      <c r="J300" s="9">
        <v>375</v>
      </c>
      <c r="K300" s="77">
        <f t="shared" si="33"/>
        <v>375</v>
      </c>
      <c r="L300" s="76">
        <v>46112</v>
      </c>
      <c r="N300" s="83"/>
      <c r="O300" s="84"/>
      <c r="P300" s="81">
        <f t="shared" si="28"/>
        <v>375</v>
      </c>
      <c r="Q300" s="81">
        <f t="shared" si="29"/>
        <v>375</v>
      </c>
      <c r="R300" s="81"/>
      <c r="S300" s="81"/>
      <c r="T300" s="85"/>
      <c r="U300" s="81">
        <f t="shared" si="30"/>
        <v>375</v>
      </c>
      <c r="V300" s="81">
        <f t="shared" si="31"/>
        <v>1</v>
      </c>
      <c r="W300" s="82">
        <f t="shared" si="32"/>
        <v>375</v>
      </c>
      <c r="X300" s="82" t="s">
        <v>84</v>
      </c>
      <c r="Y300" s="24" t="s">
        <v>93</v>
      </c>
    </row>
    <row r="301" spans="1:25" s="24" customFormat="1" ht="11.1" customHeight="1">
      <c r="A301" s="74">
        <f t="shared" si="34"/>
        <v>299</v>
      </c>
      <c r="B301" s="75" t="s">
        <v>226</v>
      </c>
      <c r="C301" s="74" t="str">
        <f>IF($B301&lt;&gt;"",_xlfn.IFNA(VLOOKUP($B301,'Node Details'!$B:$U,C$1,0),"Check"),"")</f>
        <v>0000AXY07-AXY070105</v>
      </c>
      <c r="D301" s="74" t="str">
        <f>IF($B301&lt;&gt;"",_xlfn.IFNA(VLOOKUP($B301,'Node Details'!$B:$U,D$1,0),"Check"),"")</f>
        <v>AXY</v>
      </c>
      <c r="E301" s="74" t="str">
        <f>IF($B301&lt;&gt;"",_xlfn.IFNA(VLOOKUP($B301,'Node Details'!$B:$U,E$1,0),"Check"),"")</f>
        <v>Airtel</v>
      </c>
      <c r="F301" s="76">
        <v>46113</v>
      </c>
      <c r="G301" s="74"/>
      <c r="H301" s="10" t="s">
        <v>1248</v>
      </c>
      <c r="I301" s="9">
        <v>1</v>
      </c>
      <c r="J301" s="9">
        <v>950</v>
      </c>
      <c r="K301" s="77">
        <f t="shared" si="33"/>
        <v>950</v>
      </c>
      <c r="L301" s="76">
        <v>46112</v>
      </c>
      <c r="N301" s="83"/>
      <c r="O301" s="84"/>
      <c r="P301" s="81">
        <f t="shared" si="28"/>
        <v>950</v>
      </c>
      <c r="Q301" s="81">
        <f t="shared" si="29"/>
        <v>950</v>
      </c>
      <c r="R301" s="81"/>
      <c r="S301" s="81"/>
      <c r="T301" s="85"/>
      <c r="U301" s="81">
        <f t="shared" si="30"/>
        <v>950</v>
      </c>
      <c r="V301" s="81">
        <f t="shared" si="31"/>
        <v>1</v>
      </c>
      <c r="W301" s="82">
        <f t="shared" si="32"/>
        <v>950</v>
      </c>
      <c r="X301" s="82" t="s">
        <v>84</v>
      </c>
      <c r="Y301" s="24" t="s">
        <v>93</v>
      </c>
    </row>
    <row r="302" spans="1:25" s="24" customFormat="1" ht="11.1" customHeight="1">
      <c r="A302" s="74">
        <f t="shared" si="34"/>
        <v>300</v>
      </c>
      <c r="B302" s="75" t="s">
        <v>236</v>
      </c>
      <c r="C302" s="74" t="str">
        <f>IF($B302&lt;&gt;"",_xlfn.IFNA(VLOOKUP($B302,'Node Details'!$B:$U,C$1,0),"Check"),"")</f>
        <v>0000AXY08-AXY080104</v>
      </c>
      <c r="D302" s="74" t="str">
        <f>IF($B302&lt;&gt;"",_xlfn.IFNA(VLOOKUP($B302,'Node Details'!$B:$U,D$1,0),"Check"),"")</f>
        <v>AXY</v>
      </c>
      <c r="E302" s="74" t="str">
        <f>IF($B302&lt;&gt;"",_xlfn.IFNA(VLOOKUP($B302,'Node Details'!$B:$U,E$1,0),"Check"),"")</f>
        <v>Airtel</v>
      </c>
      <c r="F302" s="76">
        <v>46113</v>
      </c>
      <c r="G302" s="74"/>
      <c r="H302" s="10" t="s">
        <v>1249</v>
      </c>
      <c r="I302" s="9">
        <v>1</v>
      </c>
      <c r="J302" s="9">
        <v>375</v>
      </c>
      <c r="K302" s="77">
        <f t="shared" si="33"/>
        <v>375</v>
      </c>
      <c r="L302" s="76">
        <v>46112</v>
      </c>
      <c r="N302" s="83"/>
      <c r="O302" s="84"/>
      <c r="P302" s="81">
        <f t="shared" si="28"/>
        <v>375</v>
      </c>
      <c r="Q302" s="81">
        <f t="shared" si="29"/>
        <v>375</v>
      </c>
      <c r="R302" s="81"/>
      <c r="S302" s="81"/>
      <c r="T302" s="85"/>
      <c r="U302" s="81">
        <f t="shared" si="30"/>
        <v>375</v>
      </c>
      <c r="V302" s="81">
        <f t="shared" si="31"/>
        <v>1</v>
      </c>
      <c r="W302" s="82">
        <f t="shared" si="32"/>
        <v>375</v>
      </c>
      <c r="X302" s="82" t="s">
        <v>84</v>
      </c>
      <c r="Y302" s="24" t="s">
        <v>93</v>
      </c>
    </row>
    <row r="303" spans="1:25" s="24" customFormat="1" ht="11.1" customHeight="1">
      <c r="A303" s="74">
        <f t="shared" si="34"/>
        <v>301</v>
      </c>
      <c r="B303" s="75" t="s">
        <v>1002</v>
      </c>
      <c r="C303" s="74" t="str">
        <f>IF($B303&lt;&gt;"",_xlfn.IFNA(VLOOKUP($B303,'Node Details'!$B:$U,C$1,0),"Check"),"")</f>
        <v>0000AXY08-AXY080103</v>
      </c>
      <c r="D303" s="74" t="str">
        <f>IF($B303&lt;&gt;"",_xlfn.IFNA(VLOOKUP($B303,'Node Details'!$B:$U,D$1,0),"Check"),"")</f>
        <v>AXY</v>
      </c>
      <c r="E303" s="74" t="str">
        <f>IF($B303&lt;&gt;"",_xlfn.IFNA(VLOOKUP($B303,'Node Details'!$B:$U,E$1,0),"Check"),"")</f>
        <v>Airtel</v>
      </c>
      <c r="F303" s="76">
        <v>46113</v>
      </c>
      <c r="G303" s="74"/>
      <c r="H303" s="10" t="s">
        <v>1249</v>
      </c>
      <c r="I303" s="9">
        <v>1</v>
      </c>
      <c r="J303" s="9">
        <v>375</v>
      </c>
      <c r="K303" s="77">
        <f t="shared" si="33"/>
        <v>375</v>
      </c>
      <c r="L303" s="76">
        <v>46112</v>
      </c>
      <c r="N303" s="83"/>
      <c r="O303" s="84"/>
      <c r="P303" s="81">
        <f t="shared" ref="P303:P366" si="35">J303</f>
        <v>375</v>
      </c>
      <c r="Q303" s="81">
        <f t="shared" ref="Q303:Q366" si="36">P303*I303</f>
        <v>375</v>
      </c>
      <c r="R303" s="81"/>
      <c r="S303" s="81"/>
      <c r="T303" s="85"/>
      <c r="U303" s="81">
        <f t="shared" ref="U303:U366" si="37">J303</f>
        <v>375</v>
      </c>
      <c r="V303" s="81">
        <f t="shared" ref="V303:V366" si="38">I303</f>
        <v>1</v>
      </c>
      <c r="W303" s="82">
        <f t="shared" ref="W303:W366" si="39">IF(V303&lt;&gt;"",V303*U303,0)</f>
        <v>375</v>
      </c>
      <c r="X303" s="82" t="s">
        <v>84</v>
      </c>
      <c r="Y303" s="24" t="s">
        <v>93</v>
      </c>
    </row>
    <row r="304" spans="1:25" s="24" customFormat="1" ht="11.1" customHeight="1">
      <c r="A304" s="74">
        <f t="shared" si="34"/>
        <v>302</v>
      </c>
      <c r="B304" s="75" t="s">
        <v>1003</v>
      </c>
      <c r="C304" s="74" t="str">
        <f>IF($B304&lt;&gt;"",_xlfn.IFNA(VLOOKUP($B304,'Node Details'!$B:$U,C$1,0),"Check"),"")</f>
        <v>0000AXY08-AXY080103</v>
      </c>
      <c r="D304" s="74" t="str">
        <f>IF($B304&lt;&gt;"",_xlfn.IFNA(VLOOKUP($B304,'Node Details'!$B:$U,D$1,0),"Check"),"")</f>
        <v>AXY</v>
      </c>
      <c r="E304" s="74" t="str">
        <f>IF($B304&lt;&gt;"",_xlfn.IFNA(VLOOKUP($B304,'Node Details'!$B:$U,E$1,0),"Check"),"")</f>
        <v>Airtel</v>
      </c>
      <c r="F304" s="76">
        <v>46113</v>
      </c>
      <c r="G304" s="74"/>
      <c r="H304" s="10" t="s">
        <v>1249</v>
      </c>
      <c r="I304" s="9">
        <v>1</v>
      </c>
      <c r="J304" s="9">
        <v>375</v>
      </c>
      <c r="K304" s="77">
        <f t="shared" ref="K304:K367" si="40">IF(I304&lt;&gt;"",J304*I304,0)</f>
        <v>375</v>
      </c>
      <c r="L304" s="76">
        <v>46112</v>
      </c>
      <c r="N304" s="83"/>
      <c r="O304" s="84"/>
      <c r="P304" s="81">
        <f t="shared" si="35"/>
        <v>375</v>
      </c>
      <c r="Q304" s="81">
        <f t="shared" si="36"/>
        <v>375</v>
      </c>
      <c r="R304" s="81"/>
      <c r="S304" s="81"/>
      <c r="T304" s="85"/>
      <c r="U304" s="81">
        <f t="shared" si="37"/>
        <v>375</v>
      </c>
      <c r="V304" s="81">
        <f t="shared" si="38"/>
        <v>1</v>
      </c>
      <c r="W304" s="82">
        <f t="shared" si="39"/>
        <v>375</v>
      </c>
      <c r="X304" s="82" t="s">
        <v>84</v>
      </c>
      <c r="Y304" s="24" t="s">
        <v>93</v>
      </c>
    </row>
    <row r="305" spans="1:25" s="24" customFormat="1" ht="11.1" customHeight="1">
      <c r="A305" s="74">
        <f t="shared" si="34"/>
        <v>303</v>
      </c>
      <c r="B305" s="75" t="s">
        <v>239</v>
      </c>
      <c r="C305" s="74" t="str">
        <f>IF($B305&lt;&gt;"",_xlfn.IFNA(VLOOKUP($B305,'Node Details'!$B:$U,C$1,0),"Check"),"")</f>
        <v>0000AXY08-AXY080103</v>
      </c>
      <c r="D305" s="74" t="str">
        <f>IF($B305&lt;&gt;"",_xlfn.IFNA(VLOOKUP($B305,'Node Details'!$B:$U,D$1,0),"Check"),"")</f>
        <v>AXY</v>
      </c>
      <c r="E305" s="74" t="str">
        <f>IF($B305&lt;&gt;"",_xlfn.IFNA(VLOOKUP($B305,'Node Details'!$B:$U,E$1,0),"Check"),"")</f>
        <v>Airtel</v>
      </c>
      <c r="F305" s="76">
        <v>46113</v>
      </c>
      <c r="G305" s="74"/>
      <c r="H305" s="10" t="s">
        <v>1248</v>
      </c>
      <c r="I305" s="9">
        <v>1</v>
      </c>
      <c r="J305" s="9">
        <v>950</v>
      </c>
      <c r="K305" s="77">
        <f t="shared" si="40"/>
        <v>950</v>
      </c>
      <c r="L305" s="76">
        <v>46112</v>
      </c>
      <c r="N305" s="83"/>
      <c r="O305" s="84"/>
      <c r="P305" s="81">
        <f t="shared" si="35"/>
        <v>950</v>
      </c>
      <c r="Q305" s="81">
        <f t="shared" si="36"/>
        <v>950</v>
      </c>
      <c r="R305" s="81"/>
      <c r="S305" s="81"/>
      <c r="T305" s="85"/>
      <c r="U305" s="81">
        <f t="shared" si="37"/>
        <v>950</v>
      </c>
      <c r="V305" s="81">
        <f t="shared" si="38"/>
        <v>1</v>
      </c>
      <c r="W305" s="82">
        <f t="shared" si="39"/>
        <v>950</v>
      </c>
      <c r="X305" s="82" t="s">
        <v>84</v>
      </c>
      <c r="Y305" s="24" t="s">
        <v>93</v>
      </c>
    </row>
    <row r="306" spans="1:25" s="24" customFormat="1" ht="11.1" customHeight="1">
      <c r="A306" s="74">
        <f t="shared" si="34"/>
        <v>304</v>
      </c>
      <c r="B306" s="75" t="s">
        <v>230</v>
      </c>
      <c r="C306" s="74" t="str">
        <f>IF($B306&lt;&gt;"",_xlfn.IFNA(VLOOKUP($B306,'Node Details'!$B:$U,C$1,0),"Check"),"")</f>
        <v>0000AXY08-AXY080105</v>
      </c>
      <c r="D306" s="74" t="str">
        <f>IF($B306&lt;&gt;"",_xlfn.IFNA(VLOOKUP($B306,'Node Details'!$B:$U,D$1,0),"Check"),"")</f>
        <v>AXY</v>
      </c>
      <c r="E306" s="74" t="str">
        <f>IF($B306&lt;&gt;"",_xlfn.IFNA(VLOOKUP($B306,'Node Details'!$B:$U,E$1,0),"Check"),"")</f>
        <v>Airtel</v>
      </c>
      <c r="F306" s="76">
        <v>46113</v>
      </c>
      <c r="G306" s="74"/>
      <c r="H306" s="10" t="s">
        <v>1249</v>
      </c>
      <c r="I306" s="9">
        <v>1</v>
      </c>
      <c r="J306" s="9">
        <v>375</v>
      </c>
      <c r="K306" s="77">
        <f t="shared" si="40"/>
        <v>375</v>
      </c>
      <c r="L306" s="76">
        <v>46112</v>
      </c>
      <c r="N306" s="83"/>
      <c r="O306" s="84"/>
      <c r="P306" s="81">
        <f t="shared" si="35"/>
        <v>375</v>
      </c>
      <c r="Q306" s="81">
        <f t="shared" si="36"/>
        <v>375</v>
      </c>
      <c r="R306" s="81"/>
      <c r="S306" s="81"/>
      <c r="T306" s="85"/>
      <c r="U306" s="81">
        <f t="shared" si="37"/>
        <v>375</v>
      </c>
      <c r="V306" s="81">
        <f t="shared" si="38"/>
        <v>1</v>
      </c>
      <c r="W306" s="82">
        <f t="shared" si="39"/>
        <v>375</v>
      </c>
      <c r="X306" s="82" t="s">
        <v>84</v>
      </c>
      <c r="Y306" s="24" t="s">
        <v>93</v>
      </c>
    </row>
    <row r="307" spans="1:25" s="24" customFormat="1" ht="11.1" customHeight="1">
      <c r="A307" s="74">
        <f t="shared" si="34"/>
        <v>305</v>
      </c>
      <c r="B307" s="75" t="s">
        <v>233</v>
      </c>
      <c r="C307" s="74" t="str">
        <f>IF($B307&lt;&gt;"",_xlfn.IFNA(VLOOKUP($B307,'Node Details'!$B:$U,C$1,0),"Check"),"")</f>
        <v>0000AXY08-AXY080106</v>
      </c>
      <c r="D307" s="74" t="str">
        <f>IF($B307&lt;&gt;"",_xlfn.IFNA(VLOOKUP($B307,'Node Details'!$B:$U,D$1,0),"Check"),"")</f>
        <v>AXY</v>
      </c>
      <c r="E307" s="74" t="str">
        <f>IF($B307&lt;&gt;"",_xlfn.IFNA(VLOOKUP($B307,'Node Details'!$B:$U,E$1,0),"Check"),"")</f>
        <v>Airtel</v>
      </c>
      <c r="F307" s="76">
        <v>46113</v>
      </c>
      <c r="G307" s="74"/>
      <c r="H307" s="10" t="s">
        <v>1249</v>
      </c>
      <c r="I307" s="9">
        <v>1</v>
      </c>
      <c r="J307" s="9">
        <v>375</v>
      </c>
      <c r="K307" s="77">
        <f t="shared" si="40"/>
        <v>375</v>
      </c>
      <c r="L307" s="76">
        <v>46112</v>
      </c>
      <c r="N307" s="83"/>
      <c r="O307" s="84"/>
      <c r="P307" s="81">
        <f t="shared" si="35"/>
        <v>375</v>
      </c>
      <c r="Q307" s="81">
        <f t="shared" si="36"/>
        <v>375</v>
      </c>
      <c r="R307" s="81"/>
      <c r="S307" s="81"/>
      <c r="T307" s="85"/>
      <c r="U307" s="81">
        <f t="shared" si="37"/>
        <v>375</v>
      </c>
      <c r="V307" s="81">
        <f t="shared" si="38"/>
        <v>1</v>
      </c>
      <c r="W307" s="82">
        <f t="shared" si="39"/>
        <v>375</v>
      </c>
      <c r="X307" s="82" t="s">
        <v>84</v>
      </c>
      <c r="Y307" s="24" t="s">
        <v>93</v>
      </c>
    </row>
    <row r="308" spans="1:25" s="24" customFormat="1" ht="11.1" customHeight="1">
      <c r="A308" s="74">
        <f t="shared" si="34"/>
        <v>306</v>
      </c>
      <c r="B308" s="75" t="s">
        <v>1004</v>
      </c>
      <c r="C308" s="74" t="str">
        <f>IF($B308&lt;&gt;"",_xlfn.IFNA(VLOOKUP($B308,'Node Details'!$B:$U,C$1,0),"Check"),"")</f>
        <v>AXY080106-AXY080203</v>
      </c>
      <c r="D308" s="74" t="str">
        <f>IF($B308&lt;&gt;"",_xlfn.IFNA(VLOOKUP($B308,'Node Details'!$B:$U,D$1,0),"Check"),"")</f>
        <v>AXY</v>
      </c>
      <c r="E308" s="74" t="str">
        <f>IF($B308&lt;&gt;"",_xlfn.IFNA(VLOOKUP($B308,'Node Details'!$B:$U,E$1,0),"Check"),"")</f>
        <v>Airtel</v>
      </c>
      <c r="F308" s="76">
        <v>46113</v>
      </c>
      <c r="G308" s="74"/>
      <c r="H308" s="10" t="s">
        <v>1249</v>
      </c>
      <c r="I308" s="9">
        <v>1</v>
      </c>
      <c r="J308" s="9">
        <v>375</v>
      </c>
      <c r="K308" s="77">
        <f t="shared" si="40"/>
        <v>375</v>
      </c>
      <c r="L308" s="76">
        <v>46112</v>
      </c>
      <c r="N308" s="83"/>
      <c r="O308" s="84"/>
      <c r="P308" s="81">
        <f t="shared" si="35"/>
        <v>375</v>
      </c>
      <c r="Q308" s="81">
        <f t="shared" si="36"/>
        <v>375</v>
      </c>
      <c r="R308" s="81"/>
      <c r="S308" s="81"/>
      <c r="T308" s="85"/>
      <c r="U308" s="81">
        <f t="shared" si="37"/>
        <v>375</v>
      </c>
      <c r="V308" s="81">
        <f t="shared" si="38"/>
        <v>1</v>
      </c>
      <c r="W308" s="82">
        <f t="shared" si="39"/>
        <v>375</v>
      </c>
      <c r="X308" s="82" t="s">
        <v>84</v>
      </c>
      <c r="Y308" s="24" t="s">
        <v>93</v>
      </c>
    </row>
    <row r="309" spans="1:25" s="24" customFormat="1" ht="11.1" customHeight="1">
      <c r="A309" s="74">
        <f t="shared" si="34"/>
        <v>307</v>
      </c>
      <c r="B309" s="75" t="s">
        <v>243</v>
      </c>
      <c r="C309" s="74" t="str">
        <f>IF($B309&lt;&gt;"",_xlfn.IFNA(VLOOKUP($B309,'Node Details'!$B:$U,C$1,0),"Check"),"")</f>
        <v>AXY080106-AXY080203</v>
      </c>
      <c r="D309" s="74" t="str">
        <f>IF($B309&lt;&gt;"",_xlfn.IFNA(VLOOKUP($B309,'Node Details'!$B:$U,D$1,0),"Check"),"")</f>
        <v>AXY</v>
      </c>
      <c r="E309" s="74" t="str">
        <f>IF($B309&lt;&gt;"",_xlfn.IFNA(VLOOKUP($B309,'Node Details'!$B:$U,E$1,0),"Check"),"")</f>
        <v>Airtel</v>
      </c>
      <c r="F309" s="76">
        <v>46113</v>
      </c>
      <c r="G309" s="74"/>
      <c r="H309" s="10" t="s">
        <v>1249</v>
      </c>
      <c r="I309" s="9">
        <v>1</v>
      </c>
      <c r="J309" s="9">
        <v>375</v>
      </c>
      <c r="K309" s="77">
        <f t="shared" si="40"/>
        <v>375</v>
      </c>
      <c r="L309" s="76">
        <v>46112</v>
      </c>
      <c r="N309" s="83"/>
      <c r="O309" s="84"/>
      <c r="P309" s="81">
        <f t="shared" si="35"/>
        <v>375</v>
      </c>
      <c r="Q309" s="81">
        <f t="shared" si="36"/>
        <v>375</v>
      </c>
      <c r="R309" s="81"/>
      <c r="S309" s="81"/>
      <c r="T309" s="85"/>
      <c r="U309" s="81">
        <f t="shared" si="37"/>
        <v>375</v>
      </c>
      <c r="V309" s="81">
        <f t="shared" si="38"/>
        <v>1</v>
      </c>
      <c r="W309" s="82">
        <f t="shared" si="39"/>
        <v>375</v>
      </c>
      <c r="X309" s="82" t="s">
        <v>84</v>
      </c>
      <c r="Y309" s="24" t="s">
        <v>93</v>
      </c>
    </row>
    <row r="310" spans="1:25" s="24" customFormat="1" ht="11.1" customHeight="1">
      <c r="A310" s="74">
        <f t="shared" si="34"/>
        <v>308</v>
      </c>
      <c r="B310" s="75" t="s">
        <v>1005</v>
      </c>
      <c r="C310" s="74" t="str">
        <f>IF($B310&lt;&gt;"",_xlfn.IFNA(VLOOKUP($B310,'Node Details'!$B:$U,C$1,0),"Check"),"")</f>
        <v>AXY080106-AXY080201</v>
      </c>
      <c r="D310" s="74" t="str">
        <f>IF($B310&lt;&gt;"",_xlfn.IFNA(VLOOKUP($B310,'Node Details'!$B:$U,D$1,0),"Check"),"")</f>
        <v>AXY</v>
      </c>
      <c r="E310" s="74" t="str">
        <f>IF($B310&lt;&gt;"",_xlfn.IFNA(VLOOKUP($B310,'Node Details'!$B:$U,E$1,0),"Check"),"")</f>
        <v>Airtel</v>
      </c>
      <c r="F310" s="76">
        <v>46113</v>
      </c>
      <c r="G310" s="74"/>
      <c r="H310" s="10" t="s">
        <v>1248</v>
      </c>
      <c r="I310" s="9">
        <v>1</v>
      </c>
      <c r="J310" s="9">
        <v>950</v>
      </c>
      <c r="K310" s="77">
        <f t="shared" si="40"/>
        <v>950</v>
      </c>
      <c r="L310" s="76">
        <v>46112</v>
      </c>
      <c r="N310" s="83"/>
      <c r="O310" s="84"/>
      <c r="P310" s="81">
        <f t="shared" si="35"/>
        <v>950</v>
      </c>
      <c r="Q310" s="81">
        <f t="shared" si="36"/>
        <v>950</v>
      </c>
      <c r="R310" s="81"/>
      <c r="S310" s="81"/>
      <c r="T310" s="85"/>
      <c r="U310" s="81">
        <f t="shared" si="37"/>
        <v>950</v>
      </c>
      <c r="V310" s="81">
        <f t="shared" si="38"/>
        <v>1</v>
      </c>
      <c r="W310" s="82">
        <f t="shared" si="39"/>
        <v>950</v>
      </c>
      <c r="X310" s="82" t="s">
        <v>84</v>
      </c>
      <c r="Y310" s="24" t="s">
        <v>93</v>
      </c>
    </row>
    <row r="311" spans="1:25" s="24" customFormat="1" ht="11.1" customHeight="1">
      <c r="A311" s="74">
        <f t="shared" si="34"/>
        <v>309</v>
      </c>
      <c r="B311" s="75" t="s">
        <v>246</v>
      </c>
      <c r="C311" s="74" t="str">
        <f>IF($B311&lt;&gt;"",_xlfn.IFNA(VLOOKUP($B311,'Node Details'!$B:$U,C$1,0),"Check"),"")</f>
        <v>AXY080106-AXY080201</v>
      </c>
      <c r="D311" s="74" t="str">
        <f>IF($B311&lt;&gt;"",_xlfn.IFNA(VLOOKUP($B311,'Node Details'!$B:$U,D$1,0),"Check"),"")</f>
        <v>AXY</v>
      </c>
      <c r="E311" s="74" t="str">
        <f>IF($B311&lt;&gt;"",_xlfn.IFNA(VLOOKUP($B311,'Node Details'!$B:$U,E$1,0),"Check"),"")</f>
        <v>Airtel</v>
      </c>
      <c r="F311" s="76">
        <v>46113</v>
      </c>
      <c r="G311" s="74"/>
      <c r="H311" s="10" t="s">
        <v>1249</v>
      </c>
      <c r="I311" s="9">
        <v>1</v>
      </c>
      <c r="J311" s="9">
        <v>375</v>
      </c>
      <c r="K311" s="77">
        <f t="shared" si="40"/>
        <v>375</v>
      </c>
      <c r="L311" s="76">
        <v>46112</v>
      </c>
      <c r="N311" s="83"/>
      <c r="O311" s="84"/>
      <c r="P311" s="81">
        <f t="shared" si="35"/>
        <v>375</v>
      </c>
      <c r="Q311" s="81">
        <f t="shared" si="36"/>
        <v>375</v>
      </c>
      <c r="R311" s="81"/>
      <c r="S311" s="81"/>
      <c r="T311" s="85"/>
      <c r="U311" s="81">
        <f t="shared" si="37"/>
        <v>375</v>
      </c>
      <c r="V311" s="81">
        <f t="shared" si="38"/>
        <v>1</v>
      </c>
      <c r="W311" s="82">
        <f t="shared" si="39"/>
        <v>375</v>
      </c>
      <c r="X311" s="82" t="s">
        <v>84</v>
      </c>
      <c r="Y311" s="24" t="s">
        <v>93</v>
      </c>
    </row>
    <row r="312" spans="1:25" s="24" customFormat="1" ht="11.1" customHeight="1">
      <c r="A312" s="74">
        <f t="shared" si="34"/>
        <v>310</v>
      </c>
      <c r="B312" s="75" t="s">
        <v>254</v>
      </c>
      <c r="C312" s="74" t="str">
        <f>IF($B312&lt;&gt;"",_xlfn.IFNA(VLOOKUP($B312,'Node Details'!$B:$U,C$1,0),"Check"),"")</f>
        <v>0000AXY09-AXY090101</v>
      </c>
      <c r="D312" s="74" t="str">
        <f>IF($B312&lt;&gt;"",_xlfn.IFNA(VLOOKUP($B312,'Node Details'!$B:$U,D$1,0),"Check"),"")</f>
        <v>AXY</v>
      </c>
      <c r="E312" s="74" t="str">
        <f>IF($B312&lt;&gt;"",_xlfn.IFNA(VLOOKUP($B312,'Node Details'!$B:$U,E$1,0),"Check"),"")</f>
        <v>Airtel</v>
      </c>
      <c r="F312" s="76">
        <v>46113</v>
      </c>
      <c r="G312" s="74"/>
      <c r="H312" s="10" t="s">
        <v>1249</v>
      </c>
      <c r="I312" s="9">
        <v>1</v>
      </c>
      <c r="J312" s="9">
        <v>375</v>
      </c>
      <c r="K312" s="77">
        <f t="shared" si="40"/>
        <v>375</v>
      </c>
      <c r="L312" s="76">
        <v>46112</v>
      </c>
      <c r="N312" s="83"/>
      <c r="O312" s="84"/>
      <c r="P312" s="81">
        <f t="shared" si="35"/>
        <v>375</v>
      </c>
      <c r="Q312" s="81">
        <f t="shared" si="36"/>
        <v>375</v>
      </c>
      <c r="R312" s="81"/>
      <c r="S312" s="81"/>
      <c r="T312" s="85"/>
      <c r="U312" s="81">
        <f t="shared" si="37"/>
        <v>375</v>
      </c>
      <c r="V312" s="81">
        <f t="shared" si="38"/>
        <v>1</v>
      </c>
      <c r="W312" s="82">
        <f t="shared" si="39"/>
        <v>375</v>
      </c>
      <c r="X312" s="82" t="s">
        <v>84</v>
      </c>
      <c r="Y312" s="24" t="s">
        <v>93</v>
      </c>
    </row>
    <row r="313" spans="1:25" s="24" customFormat="1" ht="11.1" customHeight="1">
      <c r="A313" s="74">
        <f t="shared" si="34"/>
        <v>311</v>
      </c>
      <c r="B313" s="75" t="s">
        <v>1007</v>
      </c>
      <c r="C313" s="74" t="str">
        <f>IF($B313&lt;&gt;"",_xlfn.IFNA(VLOOKUP($B313,'Node Details'!$B:$U,C$1,0),"Check"),"")</f>
        <v>0000AXY09-AXY090105</v>
      </c>
      <c r="D313" s="74" t="str">
        <f>IF($B313&lt;&gt;"",_xlfn.IFNA(VLOOKUP($B313,'Node Details'!$B:$U,D$1,0),"Check"),"")</f>
        <v>AXY</v>
      </c>
      <c r="E313" s="74" t="str">
        <f>IF($B313&lt;&gt;"",_xlfn.IFNA(VLOOKUP($B313,'Node Details'!$B:$U,E$1,0),"Check"),"")</f>
        <v>Airtel</v>
      </c>
      <c r="F313" s="76">
        <v>46113</v>
      </c>
      <c r="G313" s="74"/>
      <c r="H313" s="10" t="s">
        <v>1249</v>
      </c>
      <c r="I313" s="9">
        <v>1</v>
      </c>
      <c r="J313" s="9">
        <v>375</v>
      </c>
      <c r="K313" s="77">
        <f t="shared" si="40"/>
        <v>375</v>
      </c>
      <c r="L313" s="76">
        <v>46112</v>
      </c>
      <c r="N313" s="83"/>
      <c r="O313" s="84"/>
      <c r="P313" s="81">
        <f t="shared" si="35"/>
        <v>375</v>
      </c>
      <c r="Q313" s="81">
        <f t="shared" si="36"/>
        <v>375</v>
      </c>
      <c r="R313" s="81"/>
      <c r="S313" s="81"/>
      <c r="T313" s="85"/>
      <c r="U313" s="81">
        <f t="shared" si="37"/>
        <v>375</v>
      </c>
      <c r="V313" s="81">
        <f t="shared" si="38"/>
        <v>1</v>
      </c>
      <c r="W313" s="82">
        <f t="shared" si="39"/>
        <v>375</v>
      </c>
      <c r="X313" s="82" t="s">
        <v>84</v>
      </c>
      <c r="Y313" s="24" t="s">
        <v>93</v>
      </c>
    </row>
    <row r="314" spans="1:25" s="24" customFormat="1" ht="11.1" customHeight="1">
      <c r="A314" s="74">
        <f t="shared" si="34"/>
        <v>312</v>
      </c>
      <c r="B314" s="75" t="s">
        <v>1008</v>
      </c>
      <c r="C314" s="74" t="str">
        <f>IF($B314&lt;&gt;"",_xlfn.IFNA(VLOOKUP($B314,'Node Details'!$B:$U,C$1,0),"Check"),"")</f>
        <v>0000AXY09-AXY090105</v>
      </c>
      <c r="D314" s="74" t="str">
        <f>IF($B314&lt;&gt;"",_xlfn.IFNA(VLOOKUP($B314,'Node Details'!$B:$U,D$1,0),"Check"),"")</f>
        <v>AXY</v>
      </c>
      <c r="E314" s="74" t="str">
        <f>IF($B314&lt;&gt;"",_xlfn.IFNA(VLOOKUP($B314,'Node Details'!$B:$U,E$1,0),"Check"),"")</f>
        <v>Airtel</v>
      </c>
      <c r="F314" s="76">
        <v>46113</v>
      </c>
      <c r="G314" s="74"/>
      <c r="H314" s="10" t="s">
        <v>1249</v>
      </c>
      <c r="I314" s="9">
        <v>1</v>
      </c>
      <c r="J314" s="9">
        <v>375</v>
      </c>
      <c r="K314" s="77">
        <f t="shared" si="40"/>
        <v>375</v>
      </c>
      <c r="L314" s="76">
        <v>46112</v>
      </c>
      <c r="N314" s="83"/>
      <c r="O314" s="84"/>
      <c r="P314" s="81">
        <f t="shared" si="35"/>
        <v>375</v>
      </c>
      <c r="Q314" s="81">
        <f t="shared" si="36"/>
        <v>375</v>
      </c>
      <c r="R314" s="81"/>
      <c r="S314" s="81"/>
      <c r="T314" s="85"/>
      <c r="U314" s="81">
        <f t="shared" si="37"/>
        <v>375</v>
      </c>
      <c r="V314" s="81">
        <f t="shared" si="38"/>
        <v>1</v>
      </c>
      <c r="W314" s="82">
        <f t="shared" si="39"/>
        <v>375</v>
      </c>
      <c r="X314" s="82" t="s">
        <v>84</v>
      </c>
      <c r="Y314" s="24" t="s">
        <v>93</v>
      </c>
    </row>
    <row r="315" spans="1:25" s="24" customFormat="1" ht="11.1" customHeight="1">
      <c r="A315" s="74">
        <f t="shared" si="34"/>
        <v>313</v>
      </c>
      <c r="B315" s="75" t="s">
        <v>257</v>
      </c>
      <c r="C315" s="74" t="str">
        <f>IF($B315&lt;&gt;"",_xlfn.IFNA(VLOOKUP($B315,'Node Details'!$B:$U,C$1,0),"Check"),"")</f>
        <v>0000AXY09-AXY090105</v>
      </c>
      <c r="D315" s="74" t="str">
        <f>IF($B315&lt;&gt;"",_xlfn.IFNA(VLOOKUP($B315,'Node Details'!$B:$U,D$1,0),"Check"),"")</f>
        <v>AXY</v>
      </c>
      <c r="E315" s="74" t="str">
        <f>IF($B315&lt;&gt;"",_xlfn.IFNA(VLOOKUP($B315,'Node Details'!$B:$U,E$1,0),"Check"),"")</f>
        <v>Airtel</v>
      </c>
      <c r="F315" s="76">
        <v>46113</v>
      </c>
      <c r="G315" s="74"/>
      <c r="H315" s="10" t="s">
        <v>1249</v>
      </c>
      <c r="I315" s="9">
        <v>1</v>
      </c>
      <c r="J315" s="9">
        <v>375</v>
      </c>
      <c r="K315" s="77">
        <f t="shared" si="40"/>
        <v>375</v>
      </c>
      <c r="L315" s="76">
        <v>46112</v>
      </c>
      <c r="N315" s="83"/>
      <c r="O315" s="84"/>
      <c r="P315" s="81">
        <f t="shared" si="35"/>
        <v>375</v>
      </c>
      <c r="Q315" s="81">
        <f t="shared" si="36"/>
        <v>375</v>
      </c>
      <c r="R315" s="81"/>
      <c r="S315" s="81"/>
      <c r="T315" s="85"/>
      <c r="U315" s="81">
        <f t="shared" si="37"/>
        <v>375</v>
      </c>
      <c r="V315" s="81">
        <f t="shared" si="38"/>
        <v>1</v>
      </c>
      <c r="W315" s="82">
        <f t="shared" si="39"/>
        <v>375</v>
      </c>
      <c r="X315" s="82" t="s">
        <v>84</v>
      </c>
      <c r="Y315" s="24" t="s">
        <v>93</v>
      </c>
    </row>
    <row r="316" spans="1:25" s="24" customFormat="1" ht="11.1" customHeight="1">
      <c r="A316" s="74">
        <f t="shared" si="34"/>
        <v>314</v>
      </c>
      <c r="B316" s="75" t="s">
        <v>1009</v>
      </c>
      <c r="C316" s="74" t="str">
        <f>IF($B316&lt;&gt;"",_xlfn.IFNA(VLOOKUP($B316,'Node Details'!$B:$U,C$1,0),"Check"),"")</f>
        <v>0000AXY09-AXY090201</v>
      </c>
      <c r="D316" s="74" t="str">
        <f>IF($B316&lt;&gt;"",_xlfn.IFNA(VLOOKUP($B316,'Node Details'!$B:$U,D$1,0),"Check"),"")</f>
        <v>AXY</v>
      </c>
      <c r="E316" s="74" t="str">
        <f>IF($B316&lt;&gt;"",_xlfn.IFNA(VLOOKUP($B316,'Node Details'!$B:$U,E$1,0),"Check"),"")</f>
        <v>Airtel</v>
      </c>
      <c r="F316" s="76">
        <v>46113</v>
      </c>
      <c r="G316" s="74"/>
      <c r="H316" s="10" t="s">
        <v>1249</v>
      </c>
      <c r="I316" s="9">
        <v>1</v>
      </c>
      <c r="J316" s="9">
        <v>375</v>
      </c>
      <c r="K316" s="77">
        <f t="shared" si="40"/>
        <v>375</v>
      </c>
      <c r="L316" s="76">
        <v>46112</v>
      </c>
      <c r="N316" s="83"/>
      <c r="O316" s="84"/>
      <c r="P316" s="81">
        <f t="shared" si="35"/>
        <v>375</v>
      </c>
      <c r="Q316" s="81">
        <f t="shared" si="36"/>
        <v>375</v>
      </c>
      <c r="R316" s="81"/>
      <c r="S316" s="81"/>
      <c r="T316" s="85"/>
      <c r="U316" s="81">
        <f t="shared" si="37"/>
        <v>375</v>
      </c>
      <c r="V316" s="81">
        <f t="shared" si="38"/>
        <v>1</v>
      </c>
      <c r="W316" s="82">
        <f t="shared" si="39"/>
        <v>375</v>
      </c>
      <c r="X316" s="82" t="s">
        <v>84</v>
      </c>
      <c r="Y316" s="24" t="s">
        <v>93</v>
      </c>
    </row>
    <row r="317" spans="1:25" s="24" customFormat="1" ht="11.1" customHeight="1">
      <c r="A317" s="74">
        <f t="shared" si="34"/>
        <v>315</v>
      </c>
      <c r="B317" s="75" t="s">
        <v>1010</v>
      </c>
      <c r="C317" s="74" t="str">
        <f>IF($B317&lt;&gt;"",_xlfn.IFNA(VLOOKUP($B317,'Node Details'!$B:$U,C$1,0),"Check"),"")</f>
        <v>0000AXY09-AXY090201</v>
      </c>
      <c r="D317" s="74" t="str">
        <f>IF($B317&lt;&gt;"",_xlfn.IFNA(VLOOKUP($B317,'Node Details'!$B:$U,D$1,0),"Check"),"")</f>
        <v>AXY</v>
      </c>
      <c r="E317" s="74" t="str">
        <f>IF($B317&lt;&gt;"",_xlfn.IFNA(VLOOKUP($B317,'Node Details'!$B:$U,E$1,0),"Check"),"")</f>
        <v>Airtel</v>
      </c>
      <c r="F317" s="76">
        <v>46113</v>
      </c>
      <c r="G317" s="74"/>
      <c r="H317" s="10" t="s">
        <v>1249</v>
      </c>
      <c r="I317" s="9">
        <v>1</v>
      </c>
      <c r="J317" s="9">
        <v>375</v>
      </c>
      <c r="K317" s="77">
        <f t="shared" si="40"/>
        <v>375</v>
      </c>
      <c r="L317" s="76">
        <v>46112</v>
      </c>
      <c r="N317" s="83"/>
      <c r="O317" s="84"/>
      <c r="P317" s="81">
        <f t="shared" si="35"/>
        <v>375</v>
      </c>
      <c r="Q317" s="81">
        <f t="shared" si="36"/>
        <v>375</v>
      </c>
      <c r="R317" s="81"/>
      <c r="S317" s="81"/>
      <c r="T317" s="85"/>
      <c r="U317" s="81">
        <f t="shared" si="37"/>
        <v>375</v>
      </c>
      <c r="V317" s="81">
        <f t="shared" si="38"/>
        <v>1</v>
      </c>
      <c r="W317" s="82">
        <f t="shared" si="39"/>
        <v>375</v>
      </c>
      <c r="X317" s="82" t="s">
        <v>84</v>
      </c>
      <c r="Y317" s="24" t="s">
        <v>93</v>
      </c>
    </row>
    <row r="318" spans="1:25" s="24" customFormat="1" ht="11.1" customHeight="1">
      <c r="A318" s="74">
        <f t="shared" si="34"/>
        <v>316</v>
      </c>
      <c r="B318" s="75" t="s">
        <v>1011</v>
      </c>
      <c r="C318" s="74" t="str">
        <f>IF($B318&lt;&gt;"",_xlfn.IFNA(VLOOKUP($B318,'Node Details'!$B:$U,C$1,0),"Check"),"")</f>
        <v>0000AXY09-AXY090201</v>
      </c>
      <c r="D318" s="74" t="str">
        <f>IF($B318&lt;&gt;"",_xlfn.IFNA(VLOOKUP($B318,'Node Details'!$B:$U,D$1,0),"Check"),"")</f>
        <v>AXY</v>
      </c>
      <c r="E318" s="74" t="str">
        <f>IF($B318&lt;&gt;"",_xlfn.IFNA(VLOOKUP($B318,'Node Details'!$B:$U,E$1,0),"Check"),"")</f>
        <v>Airtel</v>
      </c>
      <c r="F318" s="76">
        <v>46113</v>
      </c>
      <c r="G318" s="74"/>
      <c r="H318" s="10" t="s">
        <v>1248</v>
      </c>
      <c r="I318" s="9">
        <v>1</v>
      </c>
      <c r="J318" s="9">
        <v>950</v>
      </c>
      <c r="K318" s="77">
        <f t="shared" si="40"/>
        <v>950</v>
      </c>
      <c r="L318" s="76">
        <v>46112</v>
      </c>
      <c r="N318" s="83"/>
      <c r="O318" s="84"/>
      <c r="P318" s="81">
        <f t="shared" si="35"/>
        <v>950</v>
      </c>
      <c r="Q318" s="81">
        <f t="shared" si="36"/>
        <v>950</v>
      </c>
      <c r="R318" s="81"/>
      <c r="S318" s="81"/>
      <c r="T318" s="85"/>
      <c r="U318" s="81">
        <f t="shared" si="37"/>
        <v>950</v>
      </c>
      <c r="V318" s="81">
        <f t="shared" si="38"/>
        <v>1</v>
      </c>
      <c r="W318" s="82">
        <f t="shared" si="39"/>
        <v>950</v>
      </c>
      <c r="X318" s="82" t="s">
        <v>84</v>
      </c>
      <c r="Y318" s="24" t="s">
        <v>93</v>
      </c>
    </row>
    <row r="319" spans="1:25" s="24" customFormat="1" ht="11.1" customHeight="1">
      <c r="A319" s="74">
        <f t="shared" si="34"/>
        <v>317</v>
      </c>
      <c r="B319" s="75" t="s">
        <v>250</v>
      </c>
      <c r="C319" s="74" t="str">
        <f>IF($B319&lt;&gt;"",_xlfn.IFNA(VLOOKUP($B319,'Node Details'!$B:$U,C$1,0),"Check"),"")</f>
        <v>0000AXY09-AXY090201</v>
      </c>
      <c r="D319" s="74" t="str">
        <f>IF($B319&lt;&gt;"",_xlfn.IFNA(VLOOKUP($B319,'Node Details'!$B:$U,D$1,0),"Check"),"")</f>
        <v>AXY</v>
      </c>
      <c r="E319" s="74" t="str">
        <f>IF($B319&lt;&gt;"",_xlfn.IFNA(VLOOKUP($B319,'Node Details'!$B:$U,E$1,0),"Check"),"")</f>
        <v>Airtel</v>
      </c>
      <c r="F319" s="76">
        <v>46113</v>
      </c>
      <c r="G319" s="74"/>
      <c r="H319" s="10" t="s">
        <v>1248</v>
      </c>
      <c r="I319" s="9">
        <v>1</v>
      </c>
      <c r="J319" s="9">
        <v>950</v>
      </c>
      <c r="K319" s="77">
        <f t="shared" si="40"/>
        <v>950</v>
      </c>
      <c r="L319" s="76">
        <v>46112</v>
      </c>
      <c r="N319" s="83"/>
      <c r="O319" s="84"/>
      <c r="P319" s="81">
        <f t="shared" si="35"/>
        <v>950</v>
      </c>
      <c r="Q319" s="81">
        <f t="shared" si="36"/>
        <v>950</v>
      </c>
      <c r="R319" s="81"/>
      <c r="S319" s="81"/>
      <c r="T319" s="85"/>
      <c r="U319" s="81">
        <f t="shared" si="37"/>
        <v>950</v>
      </c>
      <c r="V319" s="81">
        <f t="shared" si="38"/>
        <v>1</v>
      </c>
      <c r="W319" s="82">
        <f t="shared" si="39"/>
        <v>950</v>
      </c>
      <c r="X319" s="82" t="s">
        <v>84</v>
      </c>
      <c r="Y319" s="24" t="s">
        <v>93</v>
      </c>
    </row>
    <row r="320" spans="1:25" s="24" customFormat="1" ht="11.1" customHeight="1">
      <c r="A320" s="74">
        <f t="shared" si="34"/>
        <v>318</v>
      </c>
      <c r="B320" s="75" t="s">
        <v>1012</v>
      </c>
      <c r="C320" s="74" t="str">
        <f>IF($B320&lt;&gt;"",_xlfn.IFNA(VLOOKUP($B320,'Node Details'!$B:$U,C$1,0),"Check"),"")</f>
        <v>AXY090201-AXY090204</v>
      </c>
      <c r="D320" s="74" t="str">
        <f>IF($B320&lt;&gt;"",_xlfn.IFNA(VLOOKUP($B320,'Node Details'!$B:$U,D$1,0),"Check"),"")</f>
        <v>AXY</v>
      </c>
      <c r="E320" s="74" t="str">
        <f>IF($B320&lt;&gt;"",_xlfn.IFNA(VLOOKUP($B320,'Node Details'!$B:$U,E$1,0),"Check"),"")</f>
        <v>Airtel</v>
      </c>
      <c r="F320" s="76">
        <v>46113</v>
      </c>
      <c r="G320" s="74"/>
      <c r="H320" s="10" t="s">
        <v>1248</v>
      </c>
      <c r="I320" s="9">
        <v>1</v>
      </c>
      <c r="J320" s="9">
        <v>950</v>
      </c>
      <c r="K320" s="77">
        <f t="shared" si="40"/>
        <v>950</v>
      </c>
      <c r="L320" s="76">
        <v>46112</v>
      </c>
      <c r="N320" s="83"/>
      <c r="O320" s="84"/>
      <c r="P320" s="81">
        <f t="shared" si="35"/>
        <v>950</v>
      </c>
      <c r="Q320" s="81">
        <f t="shared" si="36"/>
        <v>950</v>
      </c>
      <c r="R320" s="81"/>
      <c r="S320" s="81"/>
      <c r="T320" s="85"/>
      <c r="U320" s="81">
        <f t="shared" si="37"/>
        <v>950</v>
      </c>
      <c r="V320" s="81">
        <f t="shared" si="38"/>
        <v>1</v>
      </c>
      <c r="W320" s="82">
        <f t="shared" si="39"/>
        <v>950</v>
      </c>
      <c r="X320" s="82" t="s">
        <v>84</v>
      </c>
      <c r="Y320" s="24" t="s">
        <v>93</v>
      </c>
    </row>
    <row r="321" spans="1:25" s="24" customFormat="1" ht="11.1" customHeight="1">
      <c r="A321" s="74">
        <f t="shared" si="34"/>
        <v>319</v>
      </c>
      <c r="B321" s="75" t="s">
        <v>1013</v>
      </c>
      <c r="C321" s="74" t="str">
        <f>IF($B321&lt;&gt;"",_xlfn.IFNA(VLOOKUP($B321,'Node Details'!$B:$U,C$1,0),"Check"),"")</f>
        <v>AXY090201-AXY090204</v>
      </c>
      <c r="D321" s="74" t="str">
        <f>IF($B321&lt;&gt;"",_xlfn.IFNA(VLOOKUP($B321,'Node Details'!$B:$U,D$1,0),"Check"),"")</f>
        <v>AXY</v>
      </c>
      <c r="E321" s="74" t="str">
        <f>IF($B321&lt;&gt;"",_xlfn.IFNA(VLOOKUP($B321,'Node Details'!$B:$U,E$1,0),"Check"),"")</f>
        <v>Airtel</v>
      </c>
      <c r="F321" s="76">
        <v>46113</v>
      </c>
      <c r="G321" s="74"/>
      <c r="H321" s="10" t="s">
        <v>1249</v>
      </c>
      <c r="I321" s="9">
        <v>1</v>
      </c>
      <c r="J321" s="9">
        <v>375</v>
      </c>
      <c r="K321" s="77">
        <f t="shared" si="40"/>
        <v>375</v>
      </c>
      <c r="L321" s="76">
        <v>46112</v>
      </c>
      <c r="N321" s="83"/>
      <c r="O321" s="84"/>
      <c r="P321" s="81">
        <f t="shared" si="35"/>
        <v>375</v>
      </c>
      <c r="Q321" s="81">
        <f t="shared" si="36"/>
        <v>375</v>
      </c>
      <c r="R321" s="81"/>
      <c r="S321" s="81"/>
      <c r="T321" s="85"/>
      <c r="U321" s="81">
        <f t="shared" si="37"/>
        <v>375</v>
      </c>
      <c r="V321" s="81">
        <f t="shared" si="38"/>
        <v>1</v>
      </c>
      <c r="W321" s="82">
        <f t="shared" si="39"/>
        <v>375</v>
      </c>
      <c r="X321" s="82" t="s">
        <v>84</v>
      </c>
      <c r="Y321" s="24" t="s">
        <v>93</v>
      </c>
    </row>
    <row r="322" spans="1:25" s="24" customFormat="1" ht="11.1" customHeight="1">
      <c r="A322" s="74">
        <f t="shared" si="34"/>
        <v>320</v>
      </c>
      <c r="B322" s="75" t="s">
        <v>261</v>
      </c>
      <c r="C322" s="74" t="str">
        <f>IF($B322&lt;&gt;"",_xlfn.IFNA(VLOOKUP($B322,'Node Details'!$B:$U,C$1,0),"Check"),"")</f>
        <v>AXY090201-AXY090204</v>
      </c>
      <c r="D322" s="74" t="str">
        <f>IF($B322&lt;&gt;"",_xlfn.IFNA(VLOOKUP($B322,'Node Details'!$B:$U,D$1,0),"Check"),"")</f>
        <v>AXY</v>
      </c>
      <c r="E322" s="74" t="str">
        <f>IF($B322&lt;&gt;"",_xlfn.IFNA(VLOOKUP($B322,'Node Details'!$B:$U,E$1,0),"Check"),"")</f>
        <v>Airtel</v>
      </c>
      <c r="F322" s="76">
        <v>46113</v>
      </c>
      <c r="G322" s="74"/>
      <c r="H322" s="10" t="s">
        <v>1248</v>
      </c>
      <c r="I322" s="9">
        <v>1</v>
      </c>
      <c r="J322" s="9">
        <v>950</v>
      </c>
      <c r="K322" s="77">
        <f t="shared" si="40"/>
        <v>950</v>
      </c>
      <c r="L322" s="76">
        <v>46112</v>
      </c>
      <c r="N322" s="83"/>
      <c r="O322" s="84"/>
      <c r="P322" s="81">
        <f t="shared" si="35"/>
        <v>950</v>
      </c>
      <c r="Q322" s="81">
        <f t="shared" si="36"/>
        <v>950</v>
      </c>
      <c r="R322" s="81"/>
      <c r="S322" s="81"/>
      <c r="T322" s="85"/>
      <c r="U322" s="81">
        <f t="shared" si="37"/>
        <v>950</v>
      </c>
      <c r="V322" s="81">
        <f t="shared" si="38"/>
        <v>1</v>
      </c>
      <c r="W322" s="82">
        <f t="shared" si="39"/>
        <v>950</v>
      </c>
      <c r="X322" s="82" t="s">
        <v>84</v>
      </c>
      <c r="Y322" s="24" t="s">
        <v>93</v>
      </c>
    </row>
    <row r="323" spans="1:25" s="24" customFormat="1" ht="11.1" customHeight="1">
      <c r="A323" s="74">
        <f t="shared" si="34"/>
        <v>321</v>
      </c>
      <c r="B323" s="75" t="s">
        <v>1015</v>
      </c>
      <c r="C323" s="74" t="str">
        <f>IF($B323&lt;&gt;"",_xlfn.IFNA(VLOOKUP($B323,'Node Details'!$B:$U,C$1,0),"Check"),"")</f>
        <v>0000AXY10-AXY100104</v>
      </c>
      <c r="D323" s="74" t="str">
        <f>IF($B323&lt;&gt;"",_xlfn.IFNA(VLOOKUP($B323,'Node Details'!$B:$U,D$1,0),"Check"),"")</f>
        <v>AXY</v>
      </c>
      <c r="E323" s="74" t="str">
        <f>IF($B323&lt;&gt;"",_xlfn.IFNA(VLOOKUP($B323,'Node Details'!$B:$U,E$1,0),"Check"),"")</f>
        <v>Airtel</v>
      </c>
      <c r="F323" s="76">
        <v>46113</v>
      </c>
      <c r="G323" s="74"/>
      <c r="H323" s="10" t="s">
        <v>1248</v>
      </c>
      <c r="I323" s="9">
        <v>1</v>
      </c>
      <c r="J323" s="9">
        <v>950</v>
      </c>
      <c r="K323" s="77">
        <f t="shared" si="40"/>
        <v>950</v>
      </c>
      <c r="L323" s="76">
        <v>46112</v>
      </c>
      <c r="N323" s="83"/>
      <c r="O323" s="84"/>
      <c r="P323" s="81">
        <f t="shared" si="35"/>
        <v>950</v>
      </c>
      <c r="Q323" s="81">
        <f t="shared" si="36"/>
        <v>950</v>
      </c>
      <c r="R323" s="81"/>
      <c r="S323" s="81"/>
      <c r="T323" s="85"/>
      <c r="U323" s="81">
        <f t="shared" si="37"/>
        <v>950</v>
      </c>
      <c r="V323" s="81">
        <f t="shared" si="38"/>
        <v>1</v>
      </c>
      <c r="W323" s="82">
        <f t="shared" si="39"/>
        <v>950</v>
      </c>
      <c r="X323" s="82" t="s">
        <v>84</v>
      </c>
      <c r="Y323" s="24" t="s">
        <v>93</v>
      </c>
    </row>
    <row r="324" spans="1:25" s="24" customFormat="1" ht="11.1" customHeight="1">
      <c r="A324" s="74">
        <f t="shared" ref="A324:A387" si="41">A323+1</f>
        <v>322</v>
      </c>
      <c r="B324" s="75" t="s">
        <v>1016</v>
      </c>
      <c r="C324" s="74" t="str">
        <f>IF($B324&lt;&gt;"",_xlfn.IFNA(VLOOKUP($B324,'Node Details'!$B:$U,C$1,0),"Check"),"")</f>
        <v>0000AXY10-AXY100104</v>
      </c>
      <c r="D324" s="74" t="str">
        <f>IF($B324&lt;&gt;"",_xlfn.IFNA(VLOOKUP($B324,'Node Details'!$B:$U,D$1,0),"Check"),"")</f>
        <v>AXY</v>
      </c>
      <c r="E324" s="74" t="str">
        <f>IF($B324&lt;&gt;"",_xlfn.IFNA(VLOOKUP($B324,'Node Details'!$B:$U,E$1,0),"Check"),"")</f>
        <v>Airtel</v>
      </c>
      <c r="F324" s="76">
        <v>46113</v>
      </c>
      <c r="G324" s="74"/>
      <c r="H324" s="10" t="s">
        <v>1248</v>
      </c>
      <c r="I324" s="9">
        <v>1</v>
      </c>
      <c r="J324" s="9">
        <v>950</v>
      </c>
      <c r="K324" s="77">
        <f t="shared" si="40"/>
        <v>950</v>
      </c>
      <c r="L324" s="76">
        <v>46112</v>
      </c>
      <c r="N324" s="83"/>
      <c r="O324" s="84"/>
      <c r="P324" s="81">
        <f t="shared" si="35"/>
        <v>950</v>
      </c>
      <c r="Q324" s="81">
        <f t="shared" si="36"/>
        <v>950</v>
      </c>
      <c r="R324" s="81"/>
      <c r="S324" s="81"/>
      <c r="T324" s="85"/>
      <c r="U324" s="81">
        <f t="shared" si="37"/>
        <v>950</v>
      </c>
      <c r="V324" s="81">
        <f t="shared" si="38"/>
        <v>1</v>
      </c>
      <c r="W324" s="82">
        <f t="shared" si="39"/>
        <v>950</v>
      </c>
      <c r="X324" s="82" t="s">
        <v>84</v>
      </c>
      <c r="Y324" s="24" t="s">
        <v>93</v>
      </c>
    </row>
    <row r="325" spans="1:25" s="24" customFormat="1" ht="11.1" customHeight="1">
      <c r="A325" s="74">
        <f t="shared" si="41"/>
        <v>323</v>
      </c>
      <c r="B325" s="75" t="s">
        <v>265</v>
      </c>
      <c r="C325" s="74" t="str">
        <f>IF($B325&lt;&gt;"",_xlfn.IFNA(VLOOKUP($B325,'Node Details'!$B:$U,C$1,0),"Check"),"")</f>
        <v>0000AXY10-AXY100104</v>
      </c>
      <c r="D325" s="74" t="str">
        <f>IF($B325&lt;&gt;"",_xlfn.IFNA(VLOOKUP($B325,'Node Details'!$B:$U,D$1,0),"Check"),"")</f>
        <v>AXY</v>
      </c>
      <c r="E325" s="74" t="str">
        <f>IF($B325&lt;&gt;"",_xlfn.IFNA(VLOOKUP($B325,'Node Details'!$B:$U,E$1,0),"Check"),"")</f>
        <v>Airtel</v>
      </c>
      <c r="F325" s="76">
        <v>46113</v>
      </c>
      <c r="G325" s="74"/>
      <c r="H325" s="10" t="s">
        <v>1248</v>
      </c>
      <c r="I325" s="9">
        <v>1</v>
      </c>
      <c r="J325" s="9">
        <v>950</v>
      </c>
      <c r="K325" s="77">
        <f t="shared" si="40"/>
        <v>950</v>
      </c>
      <c r="L325" s="76">
        <v>46112</v>
      </c>
      <c r="N325" s="83"/>
      <c r="O325" s="84"/>
      <c r="P325" s="81">
        <f t="shared" si="35"/>
        <v>950</v>
      </c>
      <c r="Q325" s="81">
        <f t="shared" si="36"/>
        <v>950</v>
      </c>
      <c r="R325" s="81"/>
      <c r="S325" s="81"/>
      <c r="T325" s="85"/>
      <c r="U325" s="81">
        <f t="shared" si="37"/>
        <v>950</v>
      </c>
      <c r="V325" s="81">
        <f t="shared" si="38"/>
        <v>1</v>
      </c>
      <c r="W325" s="82">
        <f t="shared" si="39"/>
        <v>950</v>
      </c>
      <c r="X325" s="82" t="s">
        <v>84</v>
      </c>
      <c r="Y325" s="24" t="s">
        <v>93</v>
      </c>
    </row>
    <row r="326" spans="1:25" s="24" customFormat="1" ht="11.1" customHeight="1">
      <c r="A326" s="74">
        <f t="shared" si="41"/>
        <v>324</v>
      </c>
      <c r="B326" s="75" t="s">
        <v>1017</v>
      </c>
      <c r="C326" s="74" t="str">
        <f>IF($B326&lt;&gt;"",_xlfn.IFNA(VLOOKUP($B326,'Node Details'!$B:$U,C$1,0),"Check"),"")</f>
        <v>0000AXY10-AXY100105</v>
      </c>
      <c r="D326" s="74" t="str">
        <f>IF($B326&lt;&gt;"",_xlfn.IFNA(VLOOKUP($B326,'Node Details'!$B:$U,D$1,0),"Check"),"")</f>
        <v>AXY</v>
      </c>
      <c r="E326" s="74" t="str">
        <f>IF($B326&lt;&gt;"",_xlfn.IFNA(VLOOKUP($B326,'Node Details'!$B:$U,E$1,0),"Check"),"")</f>
        <v>Airtel</v>
      </c>
      <c r="F326" s="76">
        <v>46113</v>
      </c>
      <c r="G326" s="74"/>
      <c r="H326" s="10" t="s">
        <v>1249</v>
      </c>
      <c r="I326" s="9">
        <v>1</v>
      </c>
      <c r="J326" s="9">
        <v>375</v>
      </c>
      <c r="K326" s="77">
        <f t="shared" si="40"/>
        <v>375</v>
      </c>
      <c r="L326" s="76">
        <v>46112</v>
      </c>
      <c r="N326" s="83"/>
      <c r="O326" s="84"/>
      <c r="P326" s="81">
        <f t="shared" si="35"/>
        <v>375</v>
      </c>
      <c r="Q326" s="81">
        <f t="shared" si="36"/>
        <v>375</v>
      </c>
      <c r="R326" s="81"/>
      <c r="S326" s="81"/>
      <c r="T326" s="85"/>
      <c r="U326" s="81">
        <f t="shared" si="37"/>
        <v>375</v>
      </c>
      <c r="V326" s="81">
        <f t="shared" si="38"/>
        <v>1</v>
      </c>
      <c r="W326" s="82">
        <f t="shared" si="39"/>
        <v>375</v>
      </c>
      <c r="X326" s="82" t="s">
        <v>84</v>
      </c>
      <c r="Y326" s="24" t="s">
        <v>93</v>
      </c>
    </row>
    <row r="327" spans="1:25" s="24" customFormat="1" ht="11.1" customHeight="1">
      <c r="A327" s="74">
        <f t="shared" si="41"/>
        <v>325</v>
      </c>
      <c r="B327" s="75" t="s">
        <v>269</v>
      </c>
      <c r="C327" s="74" t="str">
        <f>IF($B327&lt;&gt;"",_xlfn.IFNA(VLOOKUP($B327,'Node Details'!$B:$U,C$1,0),"Check"),"")</f>
        <v>0000AXY10-AXY100105</v>
      </c>
      <c r="D327" s="74" t="str">
        <f>IF($B327&lt;&gt;"",_xlfn.IFNA(VLOOKUP($B327,'Node Details'!$B:$U,D$1,0),"Check"),"")</f>
        <v>AXY</v>
      </c>
      <c r="E327" s="74" t="str">
        <f>IF($B327&lt;&gt;"",_xlfn.IFNA(VLOOKUP($B327,'Node Details'!$B:$U,E$1,0),"Check"),"")</f>
        <v>Airtel</v>
      </c>
      <c r="F327" s="76">
        <v>46113</v>
      </c>
      <c r="G327" s="74"/>
      <c r="H327" s="10" t="s">
        <v>1249</v>
      </c>
      <c r="I327" s="9">
        <v>1</v>
      </c>
      <c r="J327" s="9">
        <v>375</v>
      </c>
      <c r="K327" s="77">
        <f t="shared" si="40"/>
        <v>375</v>
      </c>
      <c r="L327" s="76">
        <v>46112</v>
      </c>
      <c r="N327" s="83"/>
      <c r="O327" s="84"/>
      <c r="P327" s="81">
        <f t="shared" si="35"/>
        <v>375</v>
      </c>
      <c r="Q327" s="81">
        <f t="shared" si="36"/>
        <v>375</v>
      </c>
      <c r="R327" s="81"/>
      <c r="S327" s="81"/>
      <c r="T327" s="85"/>
      <c r="U327" s="81">
        <f t="shared" si="37"/>
        <v>375</v>
      </c>
      <c r="V327" s="81">
        <f t="shared" si="38"/>
        <v>1</v>
      </c>
      <c r="W327" s="82">
        <f t="shared" si="39"/>
        <v>375</v>
      </c>
      <c r="X327" s="82" t="s">
        <v>84</v>
      </c>
      <c r="Y327" s="24" t="s">
        <v>93</v>
      </c>
    </row>
    <row r="328" spans="1:25" s="24" customFormat="1" ht="11.1" customHeight="1">
      <c r="A328" s="74">
        <f t="shared" si="41"/>
        <v>326</v>
      </c>
      <c r="B328" s="75" t="s">
        <v>1018</v>
      </c>
      <c r="C328" s="74" t="str">
        <f>IF($B328&lt;&gt;"",_xlfn.IFNA(VLOOKUP($B328,'Node Details'!$B:$U,C$1,0),"Check"),"")</f>
        <v>AXY100106-AXY100201</v>
      </c>
      <c r="D328" s="74" t="str">
        <f>IF($B328&lt;&gt;"",_xlfn.IFNA(VLOOKUP($B328,'Node Details'!$B:$U,D$1,0),"Check"),"")</f>
        <v>AXY</v>
      </c>
      <c r="E328" s="74" t="str">
        <f>IF($B328&lt;&gt;"",_xlfn.IFNA(VLOOKUP($B328,'Node Details'!$B:$U,E$1,0),"Check"),"")</f>
        <v>Airtel</v>
      </c>
      <c r="F328" s="76">
        <v>46113</v>
      </c>
      <c r="G328" s="74"/>
      <c r="H328" s="10" t="s">
        <v>1248</v>
      </c>
      <c r="I328" s="9">
        <v>1</v>
      </c>
      <c r="J328" s="9">
        <v>950</v>
      </c>
      <c r="K328" s="77">
        <f t="shared" si="40"/>
        <v>950</v>
      </c>
      <c r="L328" s="76">
        <v>46112</v>
      </c>
      <c r="N328" s="83"/>
      <c r="O328" s="84"/>
      <c r="P328" s="81">
        <f t="shared" si="35"/>
        <v>950</v>
      </c>
      <c r="Q328" s="81">
        <f t="shared" si="36"/>
        <v>950</v>
      </c>
      <c r="R328" s="81"/>
      <c r="S328" s="81"/>
      <c r="T328" s="85"/>
      <c r="U328" s="81">
        <f t="shared" si="37"/>
        <v>950</v>
      </c>
      <c r="V328" s="81">
        <f t="shared" si="38"/>
        <v>1</v>
      </c>
      <c r="W328" s="82">
        <f t="shared" si="39"/>
        <v>950</v>
      </c>
      <c r="X328" s="82" t="s">
        <v>84</v>
      </c>
      <c r="Y328" s="24" t="s">
        <v>93</v>
      </c>
    </row>
    <row r="329" spans="1:25" s="24" customFormat="1" ht="11.1" customHeight="1">
      <c r="A329" s="74">
        <f t="shared" si="41"/>
        <v>327</v>
      </c>
      <c r="B329" s="75" t="s">
        <v>273</v>
      </c>
      <c r="C329" s="74" t="str">
        <f>IF($B329&lt;&gt;"",_xlfn.IFNA(VLOOKUP($B329,'Node Details'!$B:$U,C$1,0),"Check"),"")</f>
        <v>AXY100106-AXY100201</v>
      </c>
      <c r="D329" s="74" t="str">
        <f>IF($B329&lt;&gt;"",_xlfn.IFNA(VLOOKUP($B329,'Node Details'!$B:$U,D$1,0),"Check"),"")</f>
        <v>AXY</v>
      </c>
      <c r="E329" s="74" t="str">
        <f>IF($B329&lt;&gt;"",_xlfn.IFNA(VLOOKUP($B329,'Node Details'!$B:$U,E$1,0),"Check"),"")</f>
        <v>Airtel</v>
      </c>
      <c r="F329" s="76">
        <v>46113</v>
      </c>
      <c r="G329" s="74"/>
      <c r="H329" s="10" t="s">
        <v>1248</v>
      </c>
      <c r="I329" s="9">
        <v>1</v>
      </c>
      <c r="J329" s="9">
        <v>950</v>
      </c>
      <c r="K329" s="77">
        <f t="shared" si="40"/>
        <v>950</v>
      </c>
      <c r="L329" s="76">
        <v>46112</v>
      </c>
      <c r="N329" s="83"/>
      <c r="O329" s="84"/>
      <c r="P329" s="81">
        <f t="shared" si="35"/>
        <v>950</v>
      </c>
      <c r="Q329" s="81">
        <f t="shared" si="36"/>
        <v>950</v>
      </c>
      <c r="R329" s="81"/>
      <c r="S329" s="81"/>
      <c r="T329" s="85"/>
      <c r="U329" s="81">
        <f t="shared" si="37"/>
        <v>950</v>
      </c>
      <c r="V329" s="81">
        <f t="shared" si="38"/>
        <v>1</v>
      </c>
      <c r="W329" s="82">
        <f t="shared" si="39"/>
        <v>950</v>
      </c>
      <c r="X329" s="82" t="s">
        <v>84</v>
      </c>
      <c r="Y329" s="24" t="s">
        <v>93</v>
      </c>
    </row>
    <row r="330" spans="1:25" s="24" customFormat="1" ht="11.1" customHeight="1">
      <c r="A330" s="74">
        <f t="shared" si="41"/>
        <v>328</v>
      </c>
      <c r="B330" s="75" t="s">
        <v>1020</v>
      </c>
      <c r="C330" s="74" t="str">
        <f>IF($B330&lt;&gt;"",_xlfn.IFNA(VLOOKUP($B330,'Node Details'!$B:$U,C$1,0),"Check"),"")</f>
        <v>0000AXY11-AXY110102</v>
      </c>
      <c r="D330" s="74" t="str">
        <f>IF($B330&lt;&gt;"",_xlfn.IFNA(VLOOKUP($B330,'Node Details'!$B:$U,D$1,0),"Check"),"")</f>
        <v>AXY</v>
      </c>
      <c r="E330" s="74" t="str">
        <f>IF($B330&lt;&gt;"",_xlfn.IFNA(VLOOKUP($B330,'Node Details'!$B:$U,E$1,0),"Check"),"")</f>
        <v>Airtel</v>
      </c>
      <c r="F330" s="76">
        <v>46113</v>
      </c>
      <c r="G330" s="74"/>
      <c r="H330" s="10" t="s">
        <v>1248</v>
      </c>
      <c r="I330" s="9">
        <v>1</v>
      </c>
      <c r="J330" s="9">
        <v>950</v>
      </c>
      <c r="K330" s="77">
        <f t="shared" si="40"/>
        <v>950</v>
      </c>
      <c r="L330" s="76">
        <v>46112</v>
      </c>
      <c r="N330" s="83"/>
      <c r="O330" s="84"/>
      <c r="P330" s="81">
        <f t="shared" si="35"/>
        <v>950</v>
      </c>
      <c r="Q330" s="81">
        <f t="shared" si="36"/>
        <v>950</v>
      </c>
      <c r="R330" s="81"/>
      <c r="S330" s="81"/>
      <c r="T330" s="85"/>
      <c r="U330" s="81">
        <f t="shared" si="37"/>
        <v>950</v>
      </c>
      <c r="V330" s="81">
        <f t="shared" si="38"/>
        <v>1</v>
      </c>
      <c r="W330" s="82">
        <f t="shared" si="39"/>
        <v>950</v>
      </c>
      <c r="X330" s="82" t="s">
        <v>84</v>
      </c>
      <c r="Y330" s="24" t="s">
        <v>93</v>
      </c>
    </row>
    <row r="331" spans="1:25" s="24" customFormat="1" ht="11.1" customHeight="1">
      <c r="A331" s="74">
        <f t="shared" si="41"/>
        <v>329</v>
      </c>
      <c r="B331" s="75" t="s">
        <v>277</v>
      </c>
      <c r="C331" s="74" t="str">
        <f>IF($B331&lt;&gt;"",_xlfn.IFNA(VLOOKUP($B331,'Node Details'!$B:$U,C$1,0),"Check"),"")</f>
        <v>0000AXY11-AXY110102</v>
      </c>
      <c r="D331" s="74" t="str">
        <f>IF($B331&lt;&gt;"",_xlfn.IFNA(VLOOKUP($B331,'Node Details'!$B:$U,D$1,0),"Check"),"")</f>
        <v>AXY</v>
      </c>
      <c r="E331" s="74" t="str">
        <f>IF($B331&lt;&gt;"",_xlfn.IFNA(VLOOKUP($B331,'Node Details'!$B:$U,E$1,0),"Check"),"")</f>
        <v>Airtel</v>
      </c>
      <c r="F331" s="76">
        <v>46113</v>
      </c>
      <c r="G331" s="74"/>
      <c r="H331" s="10" t="s">
        <v>1248</v>
      </c>
      <c r="I331" s="9">
        <v>1</v>
      </c>
      <c r="J331" s="9">
        <v>950</v>
      </c>
      <c r="K331" s="77">
        <f t="shared" si="40"/>
        <v>950</v>
      </c>
      <c r="L331" s="76">
        <v>46112</v>
      </c>
      <c r="N331" s="83"/>
      <c r="O331" s="84"/>
      <c r="P331" s="81">
        <f t="shared" si="35"/>
        <v>950</v>
      </c>
      <c r="Q331" s="81">
        <f t="shared" si="36"/>
        <v>950</v>
      </c>
      <c r="R331" s="81"/>
      <c r="S331" s="81"/>
      <c r="T331" s="85"/>
      <c r="U331" s="81">
        <f t="shared" si="37"/>
        <v>950</v>
      </c>
      <c r="V331" s="81">
        <f t="shared" si="38"/>
        <v>1</v>
      </c>
      <c r="W331" s="82">
        <f t="shared" si="39"/>
        <v>950</v>
      </c>
      <c r="X331" s="82" t="s">
        <v>84</v>
      </c>
      <c r="Y331" s="24" t="s">
        <v>93</v>
      </c>
    </row>
    <row r="332" spans="1:25" s="24" customFormat="1" ht="11.1" customHeight="1">
      <c r="A332" s="74">
        <f t="shared" si="41"/>
        <v>330</v>
      </c>
      <c r="B332" s="75" t="s">
        <v>1021</v>
      </c>
      <c r="C332" s="74" t="str">
        <f>IF($B332&lt;&gt;"",_xlfn.IFNA(VLOOKUP($B332,'Node Details'!$B:$U,C$1,0),"Check"),"")</f>
        <v>0000AXY11-AXY110107</v>
      </c>
      <c r="D332" s="74" t="str">
        <f>IF($B332&lt;&gt;"",_xlfn.IFNA(VLOOKUP($B332,'Node Details'!$B:$U,D$1,0),"Check"),"")</f>
        <v>AXY</v>
      </c>
      <c r="E332" s="74" t="str">
        <f>IF($B332&lt;&gt;"",_xlfn.IFNA(VLOOKUP($B332,'Node Details'!$B:$U,E$1,0),"Check"),"")</f>
        <v>Airtel</v>
      </c>
      <c r="F332" s="76">
        <v>46113</v>
      </c>
      <c r="G332" s="74"/>
      <c r="H332" s="10" t="s">
        <v>1248</v>
      </c>
      <c r="I332" s="9">
        <v>1</v>
      </c>
      <c r="J332" s="9">
        <v>950</v>
      </c>
      <c r="K332" s="77">
        <f t="shared" si="40"/>
        <v>950</v>
      </c>
      <c r="L332" s="76">
        <v>46112</v>
      </c>
      <c r="N332" s="83"/>
      <c r="O332" s="84"/>
      <c r="P332" s="81">
        <f t="shared" si="35"/>
        <v>950</v>
      </c>
      <c r="Q332" s="81">
        <f t="shared" si="36"/>
        <v>950</v>
      </c>
      <c r="R332" s="81"/>
      <c r="S332" s="81"/>
      <c r="T332" s="85"/>
      <c r="U332" s="81">
        <f t="shared" si="37"/>
        <v>950</v>
      </c>
      <c r="V332" s="81">
        <f t="shared" si="38"/>
        <v>1</v>
      </c>
      <c r="W332" s="82">
        <f t="shared" si="39"/>
        <v>950</v>
      </c>
      <c r="X332" s="82" t="s">
        <v>84</v>
      </c>
      <c r="Y332" s="24" t="s">
        <v>93</v>
      </c>
    </row>
    <row r="333" spans="1:25" s="24" customFormat="1" ht="11.1" customHeight="1">
      <c r="A333" s="74">
        <f t="shared" si="41"/>
        <v>331</v>
      </c>
      <c r="B333" s="75" t="s">
        <v>280</v>
      </c>
      <c r="C333" s="74" t="str">
        <f>IF($B333&lt;&gt;"",_xlfn.IFNA(VLOOKUP($B333,'Node Details'!$B:$U,C$1,0),"Check"),"")</f>
        <v>0000AXY11-AXY110107</v>
      </c>
      <c r="D333" s="74" t="str">
        <f>IF($B333&lt;&gt;"",_xlfn.IFNA(VLOOKUP($B333,'Node Details'!$B:$U,D$1,0),"Check"),"")</f>
        <v>AXY</v>
      </c>
      <c r="E333" s="74" t="str">
        <f>IF($B333&lt;&gt;"",_xlfn.IFNA(VLOOKUP($B333,'Node Details'!$B:$U,E$1,0),"Check"),"")</f>
        <v>Airtel</v>
      </c>
      <c r="F333" s="76">
        <v>46113</v>
      </c>
      <c r="G333" s="74"/>
      <c r="H333" s="10" t="s">
        <v>1249</v>
      </c>
      <c r="I333" s="9">
        <v>1</v>
      </c>
      <c r="J333" s="9">
        <v>375</v>
      </c>
      <c r="K333" s="77">
        <f t="shared" si="40"/>
        <v>375</v>
      </c>
      <c r="L333" s="76">
        <v>46112</v>
      </c>
      <c r="N333" s="83"/>
      <c r="O333" s="84"/>
      <c r="P333" s="81">
        <f t="shared" si="35"/>
        <v>375</v>
      </c>
      <c r="Q333" s="81">
        <f t="shared" si="36"/>
        <v>375</v>
      </c>
      <c r="R333" s="81"/>
      <c r="S333" s="81"/>
      <c r="T333" s="85"/>
      <c r="U333" s="81">
        <f t="shared" si="37"/>
        <v>375</v>
      </c>
      <c r="V333" s="81">
        <f t="shared" si="38"/>
        <v>1</v>
      </c>
      <c r="W333" s="82">
        <f t="shared" si="39"/>
        <v>375</v>
      </c>
      <c r="X333" s="82" t="s">
        <v>84</v>
      </c>
      <c r="Y333" s="24" t="s">
        <v>93</v>
      </c>
    </row>
    <row r="334" spans="1:25" s="24" customFormat="1" ht="11.1" customHeight="1">
      <c r="A334" s="74">
        <f t="shared" si="41"/>
        <v>332</v>
      </c>
      <c r="B334" s="75" t="s">
        <v>1022</v>
      </c>
      <c r="C334" s="74" t="str">
        <f>IF($B334&lt;&gt;"",_xlfn.IFNA(VLOOKUP($B334,'Node Details'!$B:$U,C$1,0),"Check"),"")</f>
        <v>AXY110103-AXY110106</v>
      </c>
      <c r="D334" s="74" t="str">
        <f>IF($B334&lt;&gt;"",_xlfn.IFNA(VLOOKUP($B334,'Node Details'!$B:$U,D$1,0),"Check"),"")</f>
        <v>AXY</v>
      </c>
      <c r="E334" s="74" t="str">
        <f>IF($B334&lt;&gt;"",_xlfn.IFNA(VLOOKUP($B334,'Node Details'!$B:$U,E$1,0),"Check"),"")</f>
        <v>Airtel</v>
      </c>
      <c r="F334" s="76">
        <v>46113</v>
      </c>
      <c r="G334" s="74"/>
      <c r="H334" s="10" t="s">
        <v>1248</v>
      </c>
      <c r="I334" s="9">
        <v>1</v>
      </c>
      <c r="J334" s="9">
        <v>950</v>
      </c>
      <c r="K334" s="77">
        <f t="shared" si="40"/>
        <v>950</v>
      </c>
      <c r="L334" s="76">
        <v>46112</v>
      </c>
      <c r="N334" s="83"/>
      <c r="O334" s="84"/>
      <c r="P334" s="81">
        <f t="shared" si="35"/>
        <v>950</v>
      </c>
      <c r="Q334" s="81">
        <f t="shared" si="36"/>
        <v>950</v>
      </c>
      <c r="R334" s="81"/>
      <c r="S334" s="81"/>
      <c r="T334" s="85"/>
      <c r="U334" s="81">
        <f t="shared" si="37"/>
        <v>950</v>
      </c>
      <c r="V334" s="81">
        <f t="shared" si="38"/>
        <v>1</v>
      </c>
      <c r="W334" s="82">
        <f t="shared" si="39"/>
        <v>950</v>
      </c>
      <c r="X334" s="82" t="s">
        <v>84</v>
      </c>
      <c r="Y334" s="24" t="s">
        <v>93</v>
      </c>
    </row>
    <row r="335" spans="1:25" s="24" customFormat="1" ht="11.1" customHeight="1">
      <c r="A335" s="74">
        <f t="shared" si="41"/>
        <v>333</v>
      </c>
      <c r="B335" s="75" t="s">
        <v>284</v>
      </c>
      <c r="C335" s="74" t="str">
        <f>IF($B335&lt;&gt;"",_xlfn.IFNA(VLOOKUP($B335,'Node Details'!$B:$U,C$1,0),"Check"),"")</f>
        <v>AXY110103-AXY110106</v>
      </c>
      <c r="D335" s="74" t="str">
        <f>IF($B335&lt;&gt;"",_xlfn.IFNA(VLOOKUP($B335,'Node Details'!$B:$U,D$1,0),"Check"),"")</f>
        <v>AXY</v>
      </c>
      <c r="E335" s="74" t="str">
        <f>IF($B335&lt;&gt;"",_xlfn.IFNA(VLOOKUP($B335,'Node Details'!$B:$U,E$1,0),"Check"),"")</f>
        <v>Airtel</v>
      </c>
      <c r="F335" s="76">
        <v>46113</v>
      </c>
      <c r="G335" s="74"/>
      <c r="H335" s="10" t="s">
        <v>1249</v>
      </c>
      <c r="I335" s="9">
        <v>1</v>
      </c>
      <c r="J335" s="9">
        <v>375</v>
      </c>
      <c r="K335" s="77">
        <f t="shared" si="40"/>
        <v>375</v>
      </c>
      <c r="L335" s="76">
        <v>46112</v>
      </c>
      <c r="N335" s="83"/>
      <c r="O335" s="84"/>
      <c r="P335" s="81">
        <f t="shared" si="35"/>
        <v>375</v>
      </c>
      <c r="Q335" s="81">
        <f t="shared" si="36"/>
        <v>375</v>
      </c>
      <c r="R335" s="81"/>
      <c r="S335" s="81"/>
      <c r="T335" s="85"/>
      <c r="U335" s="81">
        <f t="shared" si="37"/>
        <v>375</v>
      </c>
      <c r="V335" s="81">
        <f t="shared" si="38"/>
        <v>1</v>
      </c>
      <c r="W335" s="82">
        <f t="shared" si="39"/>
        <v>375</v>
      </c>
      <c r="X335" s="82" t="s">
        <v>84</v>
      </c>
      <c r="Y335" s="24" t="s">
        <v>93</v>
      </c>
    </row>
    <row r="336" spans="1:25" s="24" customFormat="1" ht="11.1" customHeight="1">
      <c r="A336" s="74">
        <f t="shared" si="41"/>
        <v>334</v>
      </c>
      <c r="B336" s="75" t="s">
        <v>1023</v>
      </c>
      <c r="C336" s="74" t="str">
        <f>IF($B336&lt;&gt;"",_xlfn.IFNA(VLOOKUP($B336,'Node Details'!$B:$U,C$1,0),"Check"),"")</f>
        <v>AXY110107-AXY110202</v>
      </c>
      <c r="D336" s="74" t="str">
        <f>IF($B336&lt;&gt;"",_xlfn.IFNA(VLOOKUP($B336,'Node Details'!$B:$U,D$1,0),"Check"),"")</f>
        <v>AXY</v>
      </c>
      <c r="E336" s="74" t="str">
        <f>IF($B336&lt;&gt;"",_xlfn.IFNA(VLOOKUP($B336,'Node Details'!$B:$U,E$1,0),"Check"),"")</f>
        <v>Airtel</v>
      </c>
      <c r="F336" s="76">
        <v>46113</v>
      </c>
      <c r="G336" s="74"/>
      <c r="H336" s="10" t="s">
        <v>1248</v>
      </c>
      <c r="I336" s="9">
        <v>1</v>
      </c>
      <c r="J336" s="9">
        <v>950</v>
      </c>
      <c r="K336" s="77">
        <f t="shared" si="40"/>
        <v>950</v>
      </c>
      <c r="L336" s="76">
        <v>46112</v>
      </c>
      <c r="N336" s="83"/>
      <c r="O336" s="84"/>
      <c r="P336" s="81">
        <f t="shared" si="35"/>
        <v>950</v>
      </c>
      <c r="Q336" s="81">
        <f t="shared" si="36"/>
        <v>950</v>
      </c>
      <c r="R336" s="81"/>
      <c r="S336" s="81"/>
      <c r="T336" s="85"/>
      <c r="U336" s="81">
        <f t="shared" si="37"/>
        <v>950</v>
      </c>
      <c r="V336" s="81">
        <f t="shared" si="38"/>
        <v>1</v>
      </c>
      <c r="W336" s="82">
        <f t="shared" si="39"/>
        <v>950</v>
      </c>
      <c r="X336" s="82" t="s">
        <v>84</v>
      </c>
      <c r="Y336" s="24" t="s">
        <v>93</v>
      </c>
    </row>
    <row r="337" spans="1:25" s="24" customFormat="1" ht="11.1" customHeight="1">
      <c r="A337" s="74">
        <f t="shared" si="41"/>
        <v>335</v>
      </c>
      <c r="B337" s="75" t="s">
        <v>287</v>
      </c>
      <c r="C337" s="74" t="str">
        <f>IF($B337&lt;&gt;"",_xlfn.IFNA(VLOOKUP($B337,'Node Details'!$B:$U,C$1,0),"Check"),"")</f>
        <v>AXY110107-AXY110202</v>
      </c>
      <c r="D337" s="74" t="str">
        <f>IF($B337&lt;&gt;"",_xlfn.IFNA(VLOOKUP($B337,'Node Details'!$B:$U,D$1,0),"Check"),"")</f>
        <v>AXY</v>
      </c>
      <c r="E337" s="74" t="str">
        <f>IF($B337&lt;&gt;"",_xlfn.IFNA(VLOOKUP($B337,'Node Details'!$B:$U,E$1,0),"Check"),"")</f>
        <v>Airtel</v>
      </c>
      <c r="F337" s="76">
        <v>46113</v>
      </c>
      <c r="G337" s="74"/>
      <c r="H337" s="10" t="s">
        <v>1249</v>
      </c>
      <c r="I337" s="9">
        <v>1</v>
      </c>
      <c r="J337" s="9">
        <v>375</v>
      </c>
      <c r="K337" s="77">
        <f t="shared" si="40"/>
        <v>375</v>
      </c>
      <c r="L337" s="76">
        <v>46112</v>
      </c>
      <c r="N337" s="83"/>
      <c r="O337" s="84"/>
      <c r="P337" s="81">
        <f t="shared" si="35"/>
        <v>375</v>
      </c>
      <c r="Q337" s="81">
        <f t="shared" si="36"/>
        <v>375</v>
      </c>
      <c r="R337" s="81"/>
      <c r="S337" s="81"/>
      <c r="T337" s="85"/>
      <c r="U337" s="81">
        <f t="shared" si="37"/>
        <v>375</v>
      </c>
      <c r="V337" s="81">
        <f t="shared" si="38"/>
        <v>1</v>
      </c>
      <c r="W337" s="82">
        <f t="shared" si="39"/>
        <v>375</v>
      </c>
      <c r="X337" s="82" t="s">
        <v>84</v>
      </c>
      <c r="Y337" s="24" t="s">
        <v>93</v>
      </c>
    </row>
    <row r="338" spans="1:25" s="24" customFormat="1" ht="11.1" customHeight="1">
      <c r="A338" s="74">
        <f t="shared" si="41"/>
        <v>336</v>
      </c>
      <c r="B338" s="75" t="s">
        <v>291</v>
      </c>
      <c r="C338" s="74" t="str">
        <f>IF($B338&lt;&gt;"",_xlfn.IFNA(VLOOKUP($B338,'Node Details'!$B:$U,C$1,0),"Check"),"")</f>
        <v>AXY110108-AXY110201</v>
      </c>
      <c r="D338" s="74" t="str">
        <f>IF($B338&lt;&gt;"",_xlfn.IFNA(VLOOKUP($B338,'Node Details'!$B:$U,D$1,0),"Check"),"")</f>
        <v>AXY</v>
      </c>
      <c r="E338" s="74" t="str">
        <f>IF($B338&lt;&gt;"",_xlfn.IFNA(VLOOKUP($B338,'Node Details'!$B:$U,E$1,0),"Check"),"")</f>
        <v>Airtel</v>
      </c>
      <c r="F338" s="76">
        <v>46113</v>
      </c>
      <c r="G338" s="74"/>
      <c r="H338" s="10" t="s">
        <v>1249</v>
      </c>
      <c r="I338" s="9">
        <v>1</v>
      </c>
      <c r="J338" s="9">
        <v>375</v>
      </c>
      <c r="K338" s="77">
        <f t="shared" si="40"/>
        <v>375</v>
      </c>
      <c r="L338" s="76">
        <v>46112</v>
      </c>
      <c r="N338" s="83"/>
      <c r="O338" s="84"/>
      <c r="P338" s="81">
        <f t="shared" si="35"/>
        <v>375</v>
      </c>
      <c r="Q338" s="81">
        <f t="shared" si="36"/>
        <v>375</v>
      </c>
      <c r="R338" s="81"/>
      <c r="S338" s="81"/>
      <c r="T338" s="85"/>
      <c r="U338" s="81">
        <f t="shared" si="37"/>
        <v>375</v>
      </c>
      <c r="V338" s="81">
        <f t="shared" si="38"/>
        <v>1</v>
      </c>
      <c r="W338" s="82">
        <f t="shared" si="39"/>
        <v>375</v>
      </c>
      <c r="X338" s="82" t="s">
        <v>84</v>
      </c>
      <c r="Y338" s="24" t="s">
        <v>93</v>
      </c>
    </row>
    <row r="339" spans="1:25" s="24" customFormat="1" ht="11.1" customHeight="1">
      <c r="A339" s="74">
        <f t="shared" si="41"/>
        <v>337</v>
      </c>
      <c r="B339" s="75" t="s">
        <v>295</v>
      </c>
      <c r="C339" s="74" t="str">
        <f>IF($B339&lt;&gt;"",_xlfn.IFNA(VLOOKUP($B339,'Node Details'!$B:$U,C$1,0),"Check"),"")</f>
        <v>0000AXY12-AXY120101</v>
      </c>
      <c r="D339" s="74" t="str">
        <f>IF($B339&lt;&gt;"",_xlfn.IFNA(VLOOKUP($B339,'Node Details'!$B:$U,D$1,0),"Check"),"")</f>
        <v>AXY</v>
      </c>
      <c r="E339" s="74" t="str">
        <f>IF($B339&lt;&gt;"",_xlfn.IFNA(VLOOKUP($B339,'Node Details'!$B:$U,E$1,0),"Check"),"")</f>
        <v>Airtel</v>
      </c>
      <c r="F339" s="76">
        <v>46113</v>
      </c>
      <c r="G339" s="74"/>
      <c r="H339" s="10" t="s">
        <v>1248</v>
      </c>
      <c r="I339" s="9">
        <v>1</v>
      </c>
      <c r="J339" s="9">
        <v>950</v>
      </c>
      <c r="K339" s="77">
        <f t="shared" si="40"/>
        <v>950</v>
      </c>
      <c r="L339" s="76">
        <v>46112</v>
      </c>
      <c r="N339" s="83"/>
      <c r="O339" s="84"/>
      <c r="P339" s="81">
        <f t="shared" si="35"/>
        <v>950</v>
      </c>
      <c r="Q339" s="81">
        <f t="shared" si="36"/>
        <v>950</v>
      </c>
      <c r="R339" s="81"/>
      <c r="S339" s="81"/>
      <c r="T339" s="85"/>
      <c r="U339" s="81">
        <f t="shared" si="37"/>
        <v>950</v>
      </c>
      <c r="V339" s="81">
        <f t="shared" si="38"/>
        <v>1</v>
      </c>
      <c r="W339" s="82">
        <f t="shared" si="39"/>
        <v>950</v>
      </c>
      <c r="X339" s="82" t="s">
        <v>84</v>
      </c>
      <c r="Y339" s="24" t="s">
        <v>93</v>
      </c>
    </row>
    <row r="340" spans="1:25" s="24" customFormat="1" ht="11.1" customHeight="1">
      <c r="A340" s="74">
        <f t="shared" si="41"/>
        <v>338</v>
      </c>
      <c r="B340" s="75" t="s">
        <v>299</v>
      </c>
      <c r="C340" s="74" t="str">
        <f>IF($B340&lt;&gt;"",_xlfn.IFNA(VLOOKUP($B340,'Node Details'!$B:$U,C$1,0),"Check"),"")</f>
        <v>0000AXY12-AXY120102</v>
      </c>
      <c r="D340" s="74" t="str">
        <f>IF($B340&lt;&gt;"",_xlfn.IFNA(VLOOKUP($B340,'Node Details'!$B:$U,D$1,0),"Check"),"")</f>
        <v>AXY</v>
      </c>
      <c r="E340" s="74" t="str">
        <f>IF($B340&lt;&gt;"",_xlfn.IFNA(VLOOKUP($B340,'Node Details'!$B:$U,E$1,0),"Check"),"")</f>
        <v>Airtel</v>
      </c>
      <c r="F340" s="76">
        <v>46113</v>
      </c>
      <c r="G340" s="74"/>
      <c r="H340" s="10" t="s">
        <v>1248</v>
      </c>
      <c r="I340" s="9">
        <v>1</v>
      </c>
      <c r="J340" s="9">
        <v>950</v>
      </c>
      <c r="K340" s="77">
        <f t="shared" si="40"/>
        <v>950</v>
      </c>
      <c r="L340" s="76">
        <v>46112</v>
      </c>
      <c r="N340" s="83"/>
      <c r="O340" s="84"/>
      <c r="P340" s="81">
        <f t="shared" si="35"/>
        <v>950</v>
      </c>
      <c r="Q340" s="81">
        <f t="shared" si="36"/>
        <v>950</v>
      </c>
      <c r="R340" s="81"/>
      <c r="S340" s="81"/>
      <c r="T340" s="85"/>
      <c r="U340" s="81">
        <f t="shared" si="37"/>
        <v>950</v>
      </c>
      <c r="V340" s="81">
        <f t="shared" si="38"/>
        <v>1</v>
      </c>
      <c r="W340" s="82">
        <f t="shared" si="39"/>
        <v>950</v>
      </c>
      <c r="X340" s="82" t="s">
        <v>84</v>
      </c>
      <c r="Y340" s="24" t="s">
        <v>93</v>
      </c>
    </row>
    <row r="341" spans="1:25" s="24" customFormat="1" ht="11.1" customHeight="1">
      <c r="A341" s="74">
        <f t="shared" si="41"/>
        <v>339</v>
      </c>
      <c r="B341" s="75" t="s">
        <v>1024</v>
      </c>
      <c r="C341" s="74" t="str">
        <f>IF($B341&lt;&gt;"",_xlfn.IFNA(VLOOKUP($B341,'Node Details'!$B:$U,C$1,0),"Check"),"")</f>
        <v>0000AXY12-AXY120105</v>
      </c>
      <c r="D341" s="74" t="str">
        <f>IF($B341&lt;&gt;"",_xlfn.IFNA(VLOOKUP($B341,'Node Details'!$B:$U,D$1,0),"Check"),"")</f>
        <v>AXY</v>
      </c>
      <c r="E341" s="74" t="str">
        <f>IF($B341&lt;&gt;"",_xlfn.IFNA(VLOOKUP($B341,'Node Details'!$B:$U,E$1,0),"Check"),"")</f>
        <v>Airtel</v>
      </c>
      <c r="F341" s="76">
        <v>46113</v>
      </c>
      <c r="G341" s="74"/>
      <c r="H341" s="10" t="s">
        <v>1248</v>
      </c>
      <c r="I341" s="9">
        <v>1</v>
      </c>
      <c r="J341" s="9">
        <v>950</v>
      </c>
      <c r="K341" s="77">
        <f t="shared" si="40"/>
        <v>950</v>
      </c>
      <c r="L341" s="76">
        <v>46112</v>
      </c>
      <c r="N341" s="83"/>
      <c r="O341" s="84"/>
      <c r="P341" s="81">
        <f t="shared" si="35"/>
        <v>950</v>
      </c>
      <c r="Q341" s="81">
        <f t="shared" si="36"/>
        <v>950</v>
      </c>
      <c r="R341" s="81"/>
      <c r="S341" s="81"/>
      <c r="T341" s="85"/>
      <c r="U341" s="81">
        <f t="shared" si="37"/>
        <v>950</v>
      </c>
      <c r="V341" s="81">
        <f t="shared" si="38"/>
        <v>1</v>
      </c>
      <c r="W341" s="82">
        <f t="shared" si="39"/>
        <v>950</v>
      </c>
      <c r="X341" s="82" t="s">
        <v>84</v>
      </c>
      <c r="Y341" s="24" t="s">
        <v>93</v>
      </c>
    </row>
    <row r="342" spans="1:25" s="24" customFormat="1" ht="11.1" customHeight="1">
      <c r="A342" s="74">
        <f t="shared" si="41"/>
        <v>340</v>
      </c>
      <c r="B342" s="75" t="s">
        <v>302</v>
      </c>
      <c r="C342" s="74" t="str">
        <f>IF($B342&lt;&gt;"",_xlfn.IFNA(VLOOKUP($B342,'Node Details'!$B:$U,C$1,0),"Check"),"")</f>
        <v>0000AXY12-AXY120105</v>
      </c>
      <c r="D342" s="74" t="str">
        <f>IF($B342&lt;&gt;"",_xlfn.IFNA(VLOOKUP($B342,'Node Details'!$B:$U,D$1,0),"Check"),"")</f>
        <v>AXY</v>
      </c>
      <c r="E342" s="74" t="str">
        <f>IF($B342&lt;&gt;"",_xlfn.IFNA(VLOOKUP($B342,'Node Details'!$B:$U,E$1,0),"Check"),"")</f>
        <v>Airtel</v>
      </c>
      <c r="F342" s="76">
        <v>46113</v>
      </c>
      <c r="G342" s="74"/>
      <c r="H342" s="10" t="s">
        <v>1248</v>
      </c>
      <c r="I342" s="9">
        <v>1</v>
      </c>
      <c r="J342" s="9">
        <v>950</v>
      </c>
      <c r="K342" s="77">
        <f t="shared" si="40"/>
        <v>950</v>
      </c>
      <c r="L342" s="76">
        <v>46112</v>
      </c>
      <c r="N342" s="83"/>
      <c r="O342" s="84"/>
      <c r="P342" s="81">
        <f t="shared" si="35"/>
        <v>950</v>
      </c>
      <c r="Q342" s="81">
        <f t="shared" si="36"/>
        <v>950</v>
      </c>
      <c r="R342" s="81"/>
      <c r="S342" s="81"/>
      <c r="T342" s="85"/>
      <c r="U342" s="81">
        <f t="shared" si="37"/>
        <v>950</v>
      </c>
      <c r="V342" s="81">
        <f t="shared" si="38"/>
        <v>1</v>
      </c>
      <c r="W342" s="82">
        <f t="shared" si="39"/>
        <v>950</v>
      </c>
      <c r="X342" s="82" t="s">
        <v>84</v>
      </c>
      <c r="Y342" s="24" t="s">
        <v>93</v>
      </c>
    </row>
    <row r="343" spans="1:25" s="24" customFormat="1" ht="11.1" customHeight="1">
      <c r="A343" s="74">
        <f t="shared" si="41"/>
        <v>341</v>
      </c>
      <c r="B343" s="75" t="s">
        <v>306</v>
      </c>
      <c r="C343" s="74" t="str">
        <f>IF($B343&lt;&gt;"",_xlfn.IFNA(VLOOKUP($B343,'Node Details'!$B:$U,C$1,0),"Check"),"")</f>
        <v>0000AXY13-AXY130101</v>
      </c>
      <c r="D343" s="74" t="str">
        <f>IF($B343&lt;&gt;"",_xlfn.IFNA(VLOOKUP($B343,'Node Details'!$B:$U,D$1,0),"Check"),"")</f>
        <v>AXY</v>
      </c>
      <c r="E343" s="74" t="str">
        <f>IF($B343&lt;&gt;"",_xlfn.IFNA(VLOOKUP($B343,'Node Details'!$B:$U,E$1,0),"Check"),"")</f>
        <v>Airtel</v>
      </c>
      <c r="F343" s="76">
        <v>46113</v>
      </c>
      <c r="G343" s="74"/>
      <c r="H343" s="10" t="s">
        <v>1248</v>
      </c>
      <c r="I343" s="9">
        <v>1</v>
      </c>
      <c r="J343" s="9">
        <v>950</v>
      </c>
      <c r="K343" s="77">
        <f t="shared" si="40"/>
        <v>950</v>
      </c>
      <c r="L343" s="76">
        <v>46112</v>
      </c>
      <c r="N343" s="83"/>
      <c r="O343" s="84"/>
      <c r="P343" s="81">
        <f t="shared" si="35"/>
        <v>950</v>
      </c>
      <c r="Q343" s="81">
        <f t="shared" si="36"/>
        <v>950</v>
      </c>
      <c r="R343" s="81"/>
      <c r="S343" s="81"/>
      <c r="T343" s="85"/>
      <c r="U343" s="81">
        <f t="shared" si="37"/>
        <v>950</v>
      </c>
      <c r="V343" s="81">
        <f t="shared" si="38"/>
        <v>1</v>
      </c>
      <c r="W343" s="82">
        <f t="shared" si="39"/>
        <v>950</v>
      </c>
      <c r="X343" s="82" t="s">
        <v>84</v>
      </c>
      <c r="Y343" s="24" t="s">
        <v>93</v>
      </c>
    </row>
    <row r="344" spans="1:25" s="24" customFormat="1" ht="11.1" customHeight="1">
      <c r="A344" s="74">
        <f t="shared" si="41"/>
        <v>342</v>
      </c>
      <c r="B344" s="75" t="s">
        <v>1026</v>
      </c>
      <c r="C344" s="74" t="str">
        <f>IF($B344&lt;&gt;"",_xlfn.IFNA(VLOOKUP($B344,'Node Details'!$B:$U,C$1,0),"Check"),"")</f>
        <v>0000AXY13-AXY130104</v>
      </c>
      <c r="D344" s="74" t="str">
        <f>IF($B344&lt;&gt;"",_xlfn.IFNA(VLOOKUP($B344,'Node Details'!$B:$U,D$1,0),"Check"),"")</f>
        <v>AXY</v>
      </c>
      <c r="E344" s="74" t="str">
        <f>IF($B344&lt;&gt;"",_xlfn.IFNA(VLOOKUP($B344,'Node Details'!$B:$U,E$1,0),"Check"),"")</f>
        <v>Airtel</v>
      </c>
      <c r="F344" s="76">
        <v>46113</v>
      </c>
      <c r="G344" s="74"/>
      <c r="H344" s="10" t="s">
        <v>1248</v>
      </c>
      <c r="I344" s="9">
        <v>1</v>
      </c>
      <c r="J344" s="9">
        <v>950</v>
      </c>
      <c r="K344" s="77">
        <f t="shared" si="40"/>
        <v>950</v>
      </c>
      <c r="L344" s="76">
        <v>46112</v>
      </c>
      <c r="N344" s="83"/>
      <c r="O344" s="84"/>
      <c r="P344" s="81">
        <f t="shared" si="35"/>
        <v>950</v>
      </c>
      <c r="Q344" s="81">
        <f t="shared" si="36"/>
        <v>950</v>
      </c>
      <c r="R344" s="81"/>
      <c r="S344" s="81"/>
      <c r="T344" s="85"/>
      <c r="U344" s="81">
        <f t="shared" si="37"/>
        <v>950</v>
      </c>
      <c r="V344" s="81">
        <f t="shared" si="38"/>
        <v>1</v>
      </c>
      <c r="W344" s="82">
        <f t="shared" si="39"/>
        <v>950</v>
      </c>
      <c r="X344" s="82" t="s">
        <v>84</v>
      </c>
      <c r="Y344" s="24" t="s">
        <v>93</v>
      </c>
    </row>
    <row r="345" spans="1:25" s="24" customFormat="1" ht="11.1" customHeight="1">
      <c r="A345" s="74">
        <f t="shared" si="41"/>
        <v>343</v>
      </c>
      <c r="B345" s="75" t="s">
        <v>1027</v>
      </c>
      <c r="C345" s="74" t="str">
        <f>IF($B345&lt;&gt;"",_xlfn.IFNA(VLOOKUP($B345,'Node Details'!$B:$U,C$1,0),"Check"),"")</f>
        <v>0000AXY13-AXY130104</v>
      </c>
      <c r="D345" s="74" t="str">
        <f>IF($B345&lt;&gt;"",_xlfn.IFNA(VLOOKUP($B345,'Node Details'!$B:$U,D$1,0),"Check"),"")</f>
        <v>AXY</v>
      </c>
      <c r="E345" s="74" t="str">
        <f>IF($B345&lt;&gt;"",_xlfn.IFNA(VLOOKUP($B345,'Node Details'!$B:$U,E$1,0),"Check"),"")</f>
        <v>Airtel</v>
      </c>
      <c r="F345" s="76">
        <v>46113</v>
      </c>
      <c r="G345" s="74"/>
      <c r="H345" s="10" t="s">
        <v>1249</v>
      </c>
      <c r="I345" s="9">
        <v>1</v>
      </c>
      <c r="J345" s="9">
        <v>375</v>
      </c>
      <c r="K345" s="77">
        <f t="shared" si="40"/>
        <v>375</v>
      </c>
      <c r="L345" s="76">
        <v>46112</v>
      </c>
      <c r="N345" s="83"/>
      <c r="O345" s="84"/>
      <c r="P345" s="81">
        <f t="shared" si="35"/>
        <v>375</v>
      </c>
      <c r="Q345" s="81">
        <f t="shared" si="36"/>
        <v>375</v>
      </c>
      <c r="R345" s="81"/>
      <c r="S345" s="81"/>
      <c r="T345" s="85"/>
      <c r="U345" s="81">
        <f t="shared" si="37"/>
        <v>375</v>
      </c>
      <c r="V345" s="81">
        <f t="shared" si="38"/>
        <v>1</v>
      </c>
      <c r="W345" s="82">
        <f t="shared" si="39"/>
        <v>375</v>
      </c>
      <c r="X345" s="82" t="s">
        <v>84</v>
      </c>
      <c r="Y345" s="24" t="s">
        <v>93</v>
      </c>
    </row>
    <row r="346" spans="1:25" s="24" customFormat="1" ht="11.1" customHeight="1">
      <c r="A346" s="74">
        <f t="shared" si="41"/>
        <v>344</v>
      </c>
      <c r="B346" s="75" t="s">
        <v>309</v>
      </c>
      <c r="C346" s="74" t="str">
        <f>IF($B346&lt;&gt;"",_xlfn.IFNA(VLOOKUP($B346,'Node Details'!$B:$U,C$1,0),"Check"),"")</f>
        <v>0000AXY13-AXY130104</v>
      </c>
      <c r="D346" s="74" t="str">
        <f>IF($B346&lt;&gt;"",_xlfn.IFNA(VLOOKUP($B346,'Node Details'!$B:$U,D$1,0),"Check"),"")</f>
        <v>AXY</v>
      </c>
      <c r="E346" s="74" t="str">
        <f>IF($B346&lt;&gt;"",_xlfn.IFNA(VLOOKUP($B346,'Node Details'!$B:$U,E$1,0),"Check"),"")</f>
        <v>Airtel</v>
      </c>
      <c r="F346" s="76">
        <v>46113</v>
      </c>
      <c r="G346" s="74"/>
      <c r="H346" s="10" t="s">
        <v>1248</v>
      </c>
      <c r="I346" s="9">
        <v>1</v>
      </c>
      <c r="J346" s="9">
        <v>950</v>
      </c>
      <c r="K346" s="77">
        <f t="shared" si="40"/>
        <v>950</v>
      </c>
      <c r="L346" s="76">
        <v>46112</v>
      </c>
      <c r="N346" s="83"/>
      <c r="O346" s="84"/>
      <c r="P346" s="81">
        <f t="shared" si="35"/>
        <v>950</v>
      </c>
      <c r="Q346" s="81">
        <f t="shared" si="36"/>
        <v>950</v>
      </c>
      <c r="R346" s="81"/>
      <c r="S346" s="81"/>
      <c r="T346" s="85"/>
      <c r="U346" s="81">
        <f t="shared" si="37"/>
        <v>950</v>
      </c>
      <c r="V346" s="81">
        <f t="shared" si="38"/>
        <v>1</v>
      </c>
      <c r="W346" s="82">
        <f t="shared" si="39"/>
        <v>950</v>
      </c>
      <c r="X346" s="82" t="s">
        <v>84</v>
      </c>
      <c r="Y346" s="24" t="s">
        <v>93</v>
      </c>
    </row>
    <row r="347" spans="1:25" s="24" customFormat="1" ht="11.1" customHeight="1">
      <c r="A347" s="74">
        <f t="shared" si="41"/>
        <v>345</v>
      </c>
      <c r="B347" s="75" t="s">
        <v>1028</v>
      </c>
      <c r="C347" s="74" t="str">
        <f>IF($B347&lt;&gt;"",_xlfn.IFNA(VLOOKUP($B347,'Node Details'!$B:$U,C$1,0),"Check"),"")</f>
        <v>0000AXY13-AXY130108</v>
      </c>
      <c r="D347" s="74" t="str">
        <f>IF($B347&lt;&gt;"",_xlfn.IFNA(VLOOKUP($B347,'Node Details'!$B:$U,D$1,0),"Check"),"")</f>
        <v>AXY</v>
      </c>
      <c r="E347" s="74" t="str">
        <f>IF($B347&lt;&gt;"",_xlfn.IFNA(VLOOKUP($B347,'Node Details'!$B:$U,E$1,0),"Check"),"")</f>
        <v>Airtel</v>
      </c>
      <c r="F347" s="76">
        <v>46113</v>
      </c>
      <c r="G347" s="74"/>
      <c r="H347" s="10" t="s">
        <v>1249</v>
      </c>
      <c r="I347" s="9">
        <v>1</v>
      </c>
      <c r="J347" s="9">
        <v>375</v>
      </c>
      <c r="K347" s="77">
        <f t="shared" si="40"/>
        <v>375</v>
      </c>
      <c r="L347" s="76">
        <v>46112</v>
      </c>
      <c r="N347" s="83"/>
      <c r="O347" s="84"/>
      <c r="P347" s="81">
        <f t="shared" si="35"/>
        <v>375</v>
      </c>
      <c r="Q347" s="81">
        <f t="shared" si="36"/>
        <v>375</v>
      </c>
      <c r="R347" s="81"/>
      <c r="S347" s="81"/>
      <c r="T347" s="85"/>
      <c r="U347" s="81">
        <f t="shared" si="37"/>
        <v>375</v>
      </c>
      <c r="V347" s="81">
        <f t="shared" si="38"/>
        <v>1</v>
      </c>
      <c r="W347" s="82">
        <f t="shared" si="39"/>
        <v>375</v>
      </c>
      <c r="X347" s="82" t="s">
        <v>84</v>
      </c>
      <c r="Y347" s="24" t="s">
        <v>93</v>
      </c>
    </row>
    <row r="348" spans="1:25" s="24" customFormat="1" ht="11.1" customHeight="1">
      <c r="A348" s="74">
        <f t="shared" si="41"/>
        <v>346</v>
      </c>
      <c r="B348" s="75" t="s">
        <v>1029</v>
      </c>
      <c r="C348" s="74" t="str">
        <f>IF($B348&lt;&gt;"",_xlfn.IFNA(VLOOKUP($B348,'Node Details'!$B:$U,C$1,0),"Check"),"")</f>
        <v>0000AXY13-AXY130108</v>
      </c>
      <c r="D348" s="74" t="str">
        <f>IF($B348&lt;&gt;"",_xlfn.IFNA(VLOOKUP($B348,'Node Details'!$B:$U,D$1,0),"Check"),"")</f>
        <v>AXY</v>
      </c>
      <c r="E348" s="74" t="str">
        <f>IF($B348&lt;&gt;"",_xlfn.IFNA(VLOOKUP($B348,'Node Details'!$B:$U,E$1,0),"Check"),"")</f>
        <v>Airtel</v>
      </c>
      <c r="F348" s="76">
        <v>46113</v>
      </c>
      <c r="G348" s="74"/>
      <c r="H348" s="10" t="s">
        <v>1249</v>
      </c>
      <c r="I348" s="9">
        <v>1</v>
      </c>
      <c r="J348" s="9">
        <v>375</v>
      </c>
      <c r="K348" s="77">
        <f t="shared" si="40"/>
        <v>375</v>
      </c>
      <c r="L348" s="76">
        <v>46112</v>
      </c>
      <c r="N348" s="83"/>
      <c r="O348" s="84"/>
      <c r="P348" s="81">
        <f t="shared" si="35"/>
        <v>375</v>
      </c>
      <c r="Q348" s="81">
        <f t="shared" si="36"/>
        <v>375</v>
      </c>
      <c r="R348" s="81"/>
      <c r="S348" s="81"/>
      <c r="T348" s="85"/>
      <c r="U348" s="81">
        <f t="shared" si="37"/>
        <v>375</v>
      </c>
      <c r="V348" s="81">
        <f t="shared" si="38"/>
        <v>1</v>
      </c>
      <c r="W348" s="82">
        <f t="shared" si="39"/>
        <v>375</v>
      </c>
      <c r="X348" s="82" t="s">
        <v>84</v>
      </c>
      <c r="Y348" s="24" t="s">
        <v>93</v>
      </c>
    </row>
    <row r="349" spans="1:25" s="24" customFormat="1" ht="11.1" customHeight="1">
      <c r="A349" s="74">
        <f t="shared" si="41"/>
        <v>347</v>
      </c>
      <c r="B349" s="75" t="s">
        <v>1030</v>
      </c>
      <c r="C349" s="74" t="str">
        <f>IF($B349&lt;&gt;"",_xlfn.IFNA(VLOOKUP($B349,'Node Details'!$B:$U,C$1,0),"Check"),"")</f>
        <v>0000AXY13-AXY130108</v>
      </c>
      <c r="D349" s="74" t="str">
        <f>IF($B349&lt;&gt;"",_xlfn.IFNA(VLOOKUP($B349,'Node Details'!$B:$U,D$1,0),"Check"),"")</f>
        <v>AXY</v>
      </c>
      <c r="E349" s="74" t="str">
        <f>IF($B349&lt;&gt;"",_xlfn.IFNA(VLOOKUP($B349,'Node Details'!$B:$U,E$1,0),"Check"),"")</f>
        <v>Airtel</v>
      </c>
      <c r="F349" s="76">
        <v>46113</v>
      </c>
      <c r="G349" s="74"/>
      <c r="H349" s="10" t="s">
        <v>1248</v>
      </c>
      <c r="I349" s="9">
        <v>1</v>
      </c>
      <c r="J349" s="9">
        <v>950</v>
      </c>
      <c r="K349" s="77">
        <f t="shared" si="40"/>
        <v>950</v>
      </c>
      <c r="L349" s="76">
        <v>46112</v>
      </c>
      <c r="N349" s="83"/>
      <c r="O349" s="84"/>
      <c r="P349" s="81">
        <f t="shared" si="35"/>
        <v>950</v>
      </c>
      <c r="Q349" s="81">
        <f t="shared" si="36"/>
        <v>950</v>
      </c>
      <c r="R349" s="81"/>
      <c r="S349" s="81"/>
      <c r="T349" s="85"/>
      <c r="U349" s="81">
        <f t="shared" si="37"/>
        <v>950</v>
      </c>
      <c r="V349" s="81">
        <f t="shared" si="38"/>
        <v>1</v>
      </c>
      <c r="W349" s="82">
        <f t="shared" si="39"/>
        <v>950</v>
      </c>
      <c r="X349" s="82" t="s">
        <v>84</v>
      </c>
      <c r="Y349" s="24" t="s">
        <v>93</v>
      </c>
    </row>
    <row r="350" spans="1:25" s="24" customFormat="1" ht="11.1" customHeight="1">
      <c r="A350" s="74">
        <f t="shared" si="41"/>
        <v>348</v>
      </c>
      <c r="B350" s="75" t="s">
        <v>312</v>
      </c>
      <c r="C350" s="74" t="str">
        <f>IF($B350&lt;&gt;"",_xlfn.IFNA(VLOOKUP($B350,'Node Details'!$B:$U,C$1,0),"Check"),"")</f>
        <v>0000AXY13-AXY130108</v>
      </c>
      <c r="D350" s="74" t="str">
        <f>IF($B350&lt;&gt;"",_xlfn.IFNA(VLOOKUP($B350,'Node Details'!$B:$U,D$1,0),"Check"),"")</f>
        <v>AXY</v>
      </c>
      <c r="E350" s="74" t="str">
        <f>IF($B350&lt;&gt;"",_xlfn.IFNA(VLOOKUP($B350,'Node Details'!$B:$U,E$1,0),"Check"),"")</f>
        <v>Airtel</v>
      </c>
      <c r="F350" s="76">
        <v>46113</v>
      </c>
      <c r="G350" s="74"/>
      <c r="H350" s="10" t="s">
        <v>1248</v>
      </c>
      <c r="I350" s="9">
        <v>1</v>
      </c>
      <c r="J350" s="9">
        <v>950</v>
      </c>
      <c r="K350" s="77">
        <f t="shared" si="40"/>
        <v>950</v>
      </c>
      <c r="L350" s="76">
        <v>46112</v>
      </c>
      <c r="N350" s="83"/>
      <c r="O350" s="84"/>
      <c r="P350" s="81">
        <f t="shared" si="35"/>
        <v>950</v>
      </c>
      <c r="Q350" s="81">
        <f t="shared" si="36"/>
        <v>950</v>
      </c>
      <c r="R350" s="81"/>
      <c r="S350" s="81"/>
      <c r="T350" s="85"/>
      <c r="U350" s="81">
        <f t="shared" si="37"/>
        <v>950</v>
      </c>
      <c r="V350" s="81">
        <f t="shared" si="38"/>
        <v>1</v>
      </c>
      <c r="W350" s="82">
        <f t="shared" si="39"/>
        <v>950</v>
      </c>
      <c r="X350" s="82" t="s">
        <v>84</v>
      </c>
      <c r="Y350" s="24" t="s">
        <v>93</v>
      </c>
    </row>
    <row r="351" spans="1:25" s="24" customFormat="1" ht="11.1" customHeight="1">
      <c r="A351" s="74">
        <f t="shared" si="41"/>
        <v>349</v>
      </c>
      <c r="B351" s="75" t="s">
        <v>316</v>
      </c>
      <c r="C351" s="74" t="str">
        <f>IF($B351&lt;&gt;"",_xlfn.IFNA(VLOOKUP($B351,'Node Details'!$B:$U,C$1,0),"Check"),"")</f>
        <v>0000AXY14-AXY140102</v>
      </c>
      <c r="D351" s="74" t="str">
        <f>IF($B351&lt;&gt;"",_xlfn.IFNA(VLOOKUP($B351,'Node Details'!$B:$U,D$1,0),"Check"),"")</f>
        <v>AXY</v>
      </c>
      <c r="E351" s="74" t="str">
        <f>IF($B351&lt;&gt;"",_xlfn.IFNA(VLOOKUP($B351,'Node Details'!$B:$U,E$1,0),"Check"),"")</f>
        <v>Airtel</v>
      </c>
      <c r="F351" s="76">
        <v>46113</v>
      </c>
      <c r="G351" s="74"/>
      <c r="H351" s="10" t="s">
        <v>1248</v>
      </c>
      <c r="I351" s="9">
        <v>1</v>
      </c>
      <c r="J351" s="9">
        <v>950</v>
      </c>
      <c r="K351" s="77">
        <f t="shared" si="40"/>
        <v>950</v>
      </c>
      <c r="L351" s="76">
        <v>46112</v>
      </c>
      <c r="N351" s="83"/>
      <c r="O351" s="84"/>
      <c r="P351" s="81">
        <f t="shared" si="35"/>
        <v>950</v>
      </c>
      <c r="Q351" s="81">
        <f t="shared" si="36"/>
        <v>950</v>
      </c>
      <c r="R351" s="81"/>
      <c r="S351" s="81"/>
      <c r="T351" s="85"/>
      <c r="U351" s="81">
        <f t="shared" si="37"/>
        <v>950</v>
      </c>
      <c r="V351" s="81">
        <f t="shared" si="38"/>
        <v>1</v>
      </c>
      <c r="W351" s="82">
        <f t="shared" si="39"/>
        <v>950</v>
      </c>
      <c r="X351" s="82" t="s">
        <v>84</v>
      </c>
      <c r="Y351" s="24" t="s">
        <v>93</v>
      </c>
    </row>
    <row r="352" spans="1:25" s="24" customFormat="1" ht="11.1" customHeight="1">
      <c r="A352" s="74">
        <f t="shared" si="41"/>
        <v>350</v>
      </c>
      <c r="B352" s="75" t="s">
        <v>319</v>
      </c>
      <c r="C352" s="74" t="str">
        <f>IF($B352&lt;&gt;"",_xlfn.IFNA(VLOOKUP($B352,'Node Details'!$B:$U,C$1,0),"Check"),"")</f>
        <v>0000AXY14-AXY140101</v>
      </c>
      <c r="D352" s="74" t="str">
        <f>IF($B352&lt;&gt;"",_xlfn.IFNA(VLOOKUP($B352,'Node Details'!$B:$U,D$1,0),"Check"),"")</f>
        <v>AXY</v>
      </c>
      <c r="E352" s="74" t="str">
        <f>IF($B352&lt;&gt;"",_xlfn.IFNA(VLOOKUP($B352,'Node Details'!$B:$U,E$1,0),"Check"),"")</f>
        <v>Airtel</v>
      </c>
      <c r="F352" s="76">
        <v>46113</v>
      </c>
      <c r="G352" s="74"/>
      <c r="H352" s="10" t="s">
        <v>1249</v>
      </c>
      <c r="I352" s="9">
        <v>1</v>
      </c>
      <c r="J352" s="9">
        <v>375</v>
      </c>
      <c r="K352" s="77">
        <f t="shared" si="40"/>
        <v>375</v>
      </c>
      <c r="L352" s="76">
        <v>46112</v>
      </c>
      <c r="N352" s="83"/>
      <c r="O352" s="84"/>
      <c r="P352" s="81">
        <f t="shared" si="35"/>
        <v>375</v>
      </c>
      <c r="Q352" s="81">
        <f t="shared" si="36"/>
        <v>375</v>
      </c>
      <c r="R352" s="81"/>
      <c r="S352" s="81"/>
      <c r="T352" s="85"/>
      <c r="U352" s="81">
        <f t="shared" si="37"/>
        <v>375</v>
      </c>
      <c r="V352" s="81">
        <f t="shared" si="38"/>
        <v>1</v>
      </c>
      <c r="W352" s="82">
        <f t="shared" si="39"/>
        <v>375</v>
      </c>
      <c r="X352" s="82" t="s">
        <v>84</v>
      </c>
      <c r="Y352" s="24" t="s">
        <v>93</v>
      </c>
    </row>
    <row r="353" spans="1:25" s="24" customFormat="1" ht="11.1" customHeight="1">
      <c r="A353" s="74">
        <f t="shared" si="41"/>
        <v>351</v>
      </c>
      <c r="B353" s="75" t="s">
        <v>1032</v>
      </c>
      <c r="C353" s="74" t="str">
        <f>IF($B353&lt;&gt;"",_xlfn.IFNA(VLOOKUP($B353,'Node Details'!$B:$U,C$1,0),"Check"),"")</f>
        <v>0000AXY14-AXY140202</v>
      </c>
      <c r="D353" s="74" t="str">
        <f>IF($B353&lt;&gt;"",_xlfn.IFNA(VLOOKUP($B353,'Node Details'!$B:$U,D$1,0),"Check"),"")</f>
        <v>AXY</v>
      </c>
      <c r="E353" s="74" t="str">
        <f>IF($B353&lt;&gt;"",_xlfn.IFNA(VLOOKUP($B353,'Node Details'!$B:$U,E$1,0),"Check"),"")</f>
        <v>Airtel</v>
      </c>
      <c r="F353" s="76">
        <v>46113</v>
      </c>
      <c r="G353" s="74"/>
      <c r="H353" s="10" t="s">
        <v>1249</v>
      </c>
      <c r="I353" s="9">
        <v>1</v>
      </c>
      <c r="J353" s="9">
        <v>375</v>
      </c>
      <c r="K353" s="77">
        <f t="shared" si="40"/>
        <v>375</v>
      </c>
      <c r="L353" s="76">
        <v>46112</v>
      </c>
      <c r="N353" s="83"/>
      <c r="O353" s="84"/>
      <c r="P353" s="81">
        <f t="shared" si="35"/>
        <v>375</v>
      </c>
      <c r="Q353" s="81">
        <f t="shared" si="36"/>
        <v>375</v>
      </c>
      <c r="R353" s="81"/>
      <c r="S353" s="81"/>
      <c r="T353" s="85"/>
      <c r="U353" s="81">
        <f t="shared" si="37"/>
        <v>375</v>
      </c>
      <c r="V353" s="81">
        <f t="shared" si="38"/>
        <v>1</v>
      </c>
      <c r="W353" s="82">
        <f t="shared" si="39"/>
        <v>375</v>
      </c>
      <c r="X353" s="82" t="s">
        <v>84</v>
      </c>
      <c r="Y353" s="24" t="s">
        <v>93</v>
      </c>
    </row>
    <row r="354" spans="1:25" s="24" customFormat="1" ht="11.1" customHeight="1">
      <c r="A354" s="74">
        <f t="shared" si="41"/>
        <v>352</v>
      </c>
      <c r="B354" s="75" t="s">
        <v>1033</v>
      </c>
      <c r="C354" s="74" t="str">
        <f>IF($B354&lt;&gt;"",_xlfn.IFNA(VLOOKUP($B354,'Node Details'!$B:$U,C$1,0),"Check"),"")</f>
        <v>0000AXY14-AXY140202</v>
      </c>
      <c r="D354" s="74" t="str">
        <f>IF($B354&lt;&gt;"",_xlfn.IFNA(VLOOKUP($B354,'Node Details'!$B:$U,D$1,0),"Check"),"")</f>
        <v>AXY</v>
      </c>
      <c r="E354" s="74" t="str">
        <f>IF($B354&lt;&gt;"",_xlfn.IFNA(VLOOKUP($B354,'Node Details'!$B:$U,E$1,0),"Check"),"")</f>
        <v>Airtel</v>
      </c>
      <c r="F354" s="76">
        <v>46113</v>
      </c>
      <c r="G354" s="74"/>
      <c r="H354" s="10" t="s">
        <v>1249</v>
      </c>
      <c r="I354" s="9">
        <v>1</v>
      </c>
      <c r="J354" s="9">
        <v>375</v>
      </c>
      <c r="K354" s="77">
        <f t="shared" si="40"/>
        <v>375</v>
      </c>
      <c r="L354" s="76">
        <v>46112</v>
      </c>
      <c r="N354" s="83"/>
      <c r="O354" s="84"/>
      <c r="P354" s="81">
        <f t="shared" si="35"/>
        <v>375</v>
      </c>
      <c r="Q354" s="81">
        <f t="shared" si="36"/>
        <v>375</v>
      </c>
      <c r="R354" s="81"/>
      <c r="S354" s="81"/>
      <c r="T354" s="85"/>
      <c r="U354" s="81">
        <f t="shared" si="37"/>
        <v>375</v>
      </c>
      <c r="V354" s="81">
        <f t="shared" si="38"/>
        <v>1</v>
      </c>
      <c r="W354" s="82">
        <f t="shared" si="39"/>
        <v>375</v>
      </c>
      <c r="X354" s="82" t="s">
        <v>84</v>
      </c>
      <c r="Y354" s="24" t="s">
        <v>93</v>
      </c>
    </row>
    <row r="355" spans="1:25" s="24" customFormat="1" ht="11.1" customHeight="1">
      <c r="A355" s="74">
        <f t="shared" si="41"/>
        <v>353</v>
      </c>
      <c r="B355" s="75" t="s">
        <v>322</v>
      </c>
      <c r="C355" s="74" t="str">
        <f>IF($B355&lt;&gt;"",_xlfn.IFNA(VLOOKUP($B355,'Node Details'!$B:$U,C$1,0),"Check"),"")</f>
        <v>0000AXY14-AXY140202</v>
      </c>
      <c r="D355" s="74" t="str">
        <f>IF($B355&lt;&gt;"",_xlfn.IFNA(VLOOKUP($B355,'Node Details'!$B:$U,D$1,0),"Check"),"")</f>
        <v>AXY</v>
      </c>
      <c r="E355" s="74" t="str">
        <f>IF($B355&lt;&gt;"",_xlfn.IFNA(VLOOKUP($B355,'Node Details'!$B:$U,E$1,0),"Check"),"")</f>
        <v>Airtel</v>
      </c>
      <c r="F355" s="76">
        <v>46113</v>
      </c>
      <c r="G355" s="74"/>
      <c r="H355" s="10" t="s">
        <v>1248</v>
      </c>
      <c r="I355" s="9">
        <v>1</v>
      </c>
      <c r="J355" s="9">
        <v>950</v>
      </c>
      <c r="K355" s="77">
        <f t="shared" si="40"/>
        <v>950</v>
      </c>
      <c r="L355" s="76">
        <v>46112</v>
      </c>
      <c r="N355" s="83"/>
      <c r="O355" s="84"/>
      <c r="P355" s="81">
        <f t="shared" si="35"/>
        <v>950</v>
      </c>
      <c r="Q355" s="81">
        <f t="shared" si="36"/>
        <v>950</v>
      </c>
      <c r="R355" s="81"/>
      <c r="S355" s="81"/>
      <c r="T355" s="85"/>
      <c r="U355" s="81">
        <f t="shared" si="37"/>
        <v>950</v>
      </c>
      <c r="V355" s="81">
        <f t="shared" si="38"/>
        <v>1</v>
      </c>
      <c r="W355" s="82">
        <f t="shared" si="39"/>
        <v>950</v>
      </c>
      <c r="X355" s="82" t="s">
        <v>84</v>
      </c>
      <c r="Y355" s="24" t="s">
        <v>93</v>
      </c>
    </row>
    <row r="356" spans="1:25" s="24" customFormat="1" ht="11.1" customHeight="1">
      <c r="A356" s="74">
        <f t="shared" si="41"/>
        <v>354</v>
      </c>
      <c r="B356" s="75" t="s">
        <v>326</v>
      </c>
      <c r="C356" s="74" t="str">
        <f>IF($B356&lt;&gt;"",_xlfn.IFNA(VLOOKUP($B356,'Node Details'!$B:$U,C$1,0),"Check"),"")</f>
        <v>AXY140202-AXY140203</v>
      </c>
      <c r="D356" s="74" t="str">
        <f>IF($B356&lt;&gt;"",_xlfn.IFNA(VLOOKUP($B356,'Node Details'!$B:$U,D$1,0),"Check"),"")</f>
        <v>AXY</v>
      </c>
      <c r="E356" s="74" t="str">
        <f>IF($B356&lt;&gt;"",_xlfn.IFNA(VLOOKUP($B356,'Node Details'!$B:$U,E$1,0),"Check"),"")</f>
        <v>Airtel</v>
      </c>
      <c r="F356" s="76">
        <v>46113</v>
      </c>
      <c r="G356" s="74"/>
      <c r="H356" s="10" t="s">
        <v>1249</v>
      </c>
      <c r="I356" s="9">
        <v>1</v>
      </c>
      <c r="J356" s="9">
        <v>375</v>
      </c>
      <c r="K356" s="77">
        <f t="shared" si="40"/>
        <v>375</v>
      </c>
      <c r="L356" s="76">
        <v>46112</v>
      </c>
      <c r="N356" s="83"/>
      <c r="O356" s="84"/>
      <c r="P356" s="81">
        <f t="shared" si="35"/>
        <v>375</v>
      </c>
      <c r="Q356" s="81">
        <f t="shared" si="36"/>
        <v>375</v>
      </c>
      <c r="R356" s="81"/>
      <c r="S356" s="81"/>
      <c r="T356" s="85"/>
      <c r="U356" s="81">
        <f t="shared" si="37"/>
        <v>375</v>
      </c>
      <c r="V356" s="81">
        <f t="shared" si="38"/>
        <v>1</v>
      </c>
      <c r="W356" s="82">
        <f t="shared" si="39"/>
        <v>375</v>
      </c>
      <c r="X356" s="82" t="s">
        <v>84</v>
      </c>
      <c r="Y356" s="24" t="s">
        <v>93</v>
      </c>
    </row>
    <row r="357" spans="1:25" s="24" customFormat="1" ht="11.1" customHeight="1">
      <c r="A357" s="74">
        <f t="shared" si="41"/>
        <v>355</v>
      </c>
      <c r="B357" s="75" t="s">
        <v>1034</v>
      </c>
      <c r="C357" s="74" t="str">
        <f>IF($B357&lt;&gt;"",_xlfn.IFNA(VLOOKUP($B357,'Node Details'!$B:$U,C$1,0),"Check"),"")</f>
        <v>AXY140108-AXY140104</v>
      </c>
      <c r="D357" s="74" t="str">
        <f>IF($B357&lt;&gt;"",_xlfn.IFNA(VLOOKUP($B357,'Node Details'!$B:$U,D$1,0),"Check"),"")</f>
        <v>AXY</v>
      </c>
      <c r="E357" s="74" t="str">
        <f>IF($B357&lt;&gt;"",_xlfn.IFNA(VLOOKUP($B357,'Node Details'!$B:$U,E$1,0),"Check"),"")</f>
        <v>Airtel</v>
      </c>
      <c r="F357" s="76">
        <v>46113</v>
      </c>
      <c r="G357" s="74"/>
      <c r="H357" s="10" t="s">
        <v>1248</v>
      </c>
      <c r="I357" s="9">
        <v>1</v>
      </c>
      <c r="J357" s="9">
        <v>950</v>
      </c>
      <c r="K357" s="77">
        <f t="shared" si="40"/>
        <v>950</v>
      </c>
      <c r="L357" s="76">
        <v>46112</v>
      </c>
      <c r="N357" s="83"/>
      <c r="O357" s="84"/>
      <c r="P357" s="81">
        <f t="shared" si="35"/>
        <v>950</v>
      </c>
      <c r="Q357" s="81">
        <f t="shared" si="36"/>
        <v>950</v>
      </c>
      <c r="R357" s="81"/>
      <c r="S357" s="81"/>
      <c r="T357" s="85"/>
      <c r="U357" s="81">
        <f t="shared" si="37"/>
        <v>950</v>
      </c>
      <c r="V357" s="81">
        <f t="shared" si="38"/>
        <v>1</v>
      </c>
      <c r="W357" s="82">
        <f t="shared" si="39"/>
        <v>950</v>
      </c>
      <c r="X357" s="82" t="s">
        <v>84</v>
      </c>
      <c r="Y357" s="24" t="s">
        <v>93</v>
      </c>
    </row>
    <row r="358" spans="1:25" s="24" customFormat="1" ht="11.1" customHeight="1">
      <c r="A358" s="74">
        <f t="shared" si="41"/>
        <v>356</v>
      </c>
      <c r="B358" s="75" t="s">
        <v>1035</v>
      </c>
      <c r="C358" s="74" t="str">
        <f>IF($B358&lt;&gt;"",_xlfn.IFNA(VLOOKUP($B358,'Node Details'!$B:$U,C$1,0),"Check"),"")</f>
        <v>AXY140108-AXY140104</v>
      </c>
      <c r="D358" s="74" t="str">
        <f>IF($B358&lt;&gt;"",_xlfn.IFNA(VLOOKUP($B358,'Node Details'!$B:$U,D$1,0),"Check"),"")</f>
        <v>AXY</v>
      </c>
      <c r="E358" s="74" t="str">
        <f>IF($B358&lt;&gt;"",_xlfn.IFNA(VLOOKUP($B358,'Node Details'!$B:$U,E$1,0),"Check"),"")</f>
        <v>Airtel</v>
      </c>
      <c r="F358" s="76">
        <v>46113</v>
      </c>
      <c r="G358" s="74"/>
      <c r="H358" s="10" t="s">
        <v>1249</v>
      </c>
      <c r="I358" s="9">
        <v>1</v>
      </c>
      <c r="J358" s="9">
        <v>375</v>
      </c>
      <c r="K358" s="77">
        <f t="shared" si="40"/>
        <v>375</v>
      </c>
      <c r="L358" s="76">
        <v>46112</v>
      </c>
      <c r="N358" s="83"/>
      <c r="O358" s="84"/>
      <c r="P358" s="81">
        <f t="shared" si="35"/>
        <v>375</v>
      </c>
      <c r="Q358" s="81">
        <f t="shared" si="36"/>
        <v>375</v>
      </c>
      <c r="R358" s="81"/>
      <c r="S358" s="81"/>
      <c r="T358" s="85"/>
      <c r="U358" s="81">
        <f t="shared" si="37"/>
        <v>375</v>
      </c>
      <c r="V358" s="81">
        <f t="shared" si="38"/>
        <v>1</v>
      </c>
      <c r="W358" s="82">
        <f t="shared" si="39"/>
        <v>375</v>
      </c>
      <c r="X358" s="82" t="s">
        <v>84</v>
      </c>
      <c r="Y358" s="24" t="s">
        <v>93</v>
      </c>
    </row>
    <row r="359" spans="1:25" s="24" customFormat="1" ht="11.1" customHeight="1">
      <c r="A359" s="74">
        <f t="shared" si="41"/>
        <v>357</v>
      </c>
      <c r="B359" s="75" t="s">
        <v>1036</v>
      </c>
      <c r="C359" s="74" t="str">
        <f>IF($B359&lt;&gt;"",_xlfn.IFNA(VLOOKUP($B359,'Node Details'!$B:$U,C$1,0),"Check"),"")</f>
        <v>AXY140108-AXY140104</v>
      </c>
      <c r="D359" s="74" t="str">
        <f>IF($B359&lt;&gt;"",_xlfn.IFNA(VLOOKUP($B359,'Node Details'!$B:$U,D$1,0),"Check"),"")</f>
        <v>AXY</v>
      </c>
      <c r="E359" s="74" t="str">
        <f>IF($B359&lt;&gt;"",_xlfn.IFNA(VLOOKUP($B359,'Node Details'!$B:$U,E$1,0),"Check"),"")</f>
        <v>Airtel</v>
      </c>
      <c r="F359" s="76">
        <v>46113</v>
      </c>
      <c r="G359" s="74"/>
      <c r="H359" s="10" t="s">
        <v>1249</v>
      </c>
      <c r="I359" s="9">
        <v>1</v>
      </c>
      <c r="J359" s="9">
        <v>375</v>
      </c>
      <c r="K359" s="77">
        <f t="shared" si="40"/>
        <v>375</v>
      </c>
      <c r="L359" s="76">
        <v>46112</v>
      </c>
      <c r="N359" s="83"/>
      <c r="O359" s="84"/>
      <c r="P359" s="81">
        <f t="shared" si="35"/>
        <v>375</v>
      </c>
      <c r="Q359" s="81">
        <f t="shared" si="36"/>
        <v>375</v>
      </c>
      <c r="R359" s="81"/>
      <c r="S359" s="81"/>
      <c r="T359" s="85"/>
      <c r="U359" s="81">
        <f t="shared" si="37"/>
        <v>375</v>
      </c>
      <c r="V359" s="81">
        <f t="shared" si="38"/>
        <v>1</v>
      </c>
      <c r="W359" s="82">
        <f t="shared" si="39"/>
        <v>375</v>
      </c>
      <c r="X359" s="82" t="s">
        <v>84</v>
      </c>
      <c r="Y359" s="24" t="s">
        <v>93</v>
      </c>
    </row>
    <row r="360" spans="1:25" s="24" customFormat="1" ht="11.1" customHeight="1">
      <c r="A360" s="74">
        <f t="shared" si="41"/>
        <v>358</v>
      </c>
      <c r="B360" s="75" t="s">
        <v>330</v>
      </c>
      <c r="C360" s="74" t="str">
        <f>IF($B360&lt;&gt;"",_xlfn.IFNA(VLOOKUP($B360,'Node Details'!$B:$U,C$1,0),"Check"),"")</f>
        <v>AXY140108-AXY140104</v>
      </c>
      <c r="D360" s="74" t="str">
        <f>IF($B360&lt;&gt;"",_xlfn.IFNA(VLOOKUP($B360,'Node Details'!$B:$U,D$1,0),"Check"),"")</f>
        <v>AXY</v>
      </c>
      <c r="E360" s="74" t="str">
        <f>IF($B360&lt;&gt;"",_xlfn.IFNA(VLOOKUP($B360,'Node Details'!$B:$U,E$1,0),"Check"),"")</f>
        <v>Airtel</v>
      </c>
      <c r="F360" s="76">
        <v>46113</v>
      </c>
      <c r="G360" s="74"/>
      <c r="H360" s="10" t="s">
        <v>1249</v>
      </c>
      <c r="I360" s="9">
        <v>1</v>
      </c>
      <c r="J360" s="9">
        <v>375</v>
      </c>
      <c r="K360" s="77">
        <f t="shared" si="40"/>
        <v>375</v>
      </c>
      <c r="L360" s="76">
        <v>46112</v>
      </c>
      <c r="N360" s="83"/>
      <c r="O360" s="84"/>
      <c r="P360" s="81">
        <f t="shared" si="35"/>
        <v>375</v>
      </c>
      <c r="Q360" s="81">
        <f t="shared" si="36"/>
        <v>375</v>
      </c>
      <c r="R360" s="81"/>
      <c r="S360" s="81"/>
      <c r="T360" s="85"/>
      <c r="U360" s="81">
        <f t="shared" si="37"/>
        <v>375</v>
      </c>
      <c r="V360" s="81">
        <f t="shared" si="38"/>
        <v>1</v>
      </c>
      <c r="W360" s="82">
        <f t="shared" si="39"/>
        <v>375</v>
      </c>
      <c r="X360" s="82" t="s">
        <v>84</v>
      </c>
      <c r="Y360" s="24" t="s">
        <v>93</v>
      </c>
    </row>
    <row r="361" spans="1:25" s="24" customFormat="1" ht="11.1" customHeight="1">
      <c r="A361" s="74">
        <f t="shared" si="41"/>
        <v>359</v>
      </c>
      <c r="B361" s="75" t="s">
        <v>1038</v>
      </c>
      <c r="C361" s="74" t="str">
        <f>IF($B361&lt;&gt;"",_xlfn.IFNA(VLOOKUP($B361,'Node Details'!$B:$U,C$1,0),"Check"),"")</f>
        <v>0000AXY15-AXY150103</v>
      </c>
      <c r="D361" s="74" t="str">
        <f>IF($B361&lt;&gt;"",_xlfn.IFNA(VLOOKUP($B361,'Node Details'!$B:$U,D$1,0),"Check"),"")</f>
        <v>AXY</v>
      </c>
      <c r="E361" s="74" t="str">
        <f>IF($B361&lt;&gt;"",_xlfn.IFNA(VLOOKUP($B361,'Node Details'!$B:$U,E$1,0),"Check"),"")</f>
        <v>Airtel</v>
      </c>
      <c r="F361" s="76">
        <v>46113</v>
      </c>
      <c r="G361" s="74"/>
      <c r="H361" s="10" t="s">
        <v>1248</v>
      </c>
      <c r="I361" s="9">
        <v>1</v>
      </c>
      <c r="J361" s="9">
        <v>950</v>
      </c>
      <c r="K361" s="77">
        <f t="shared" si="40"/>
        <v>950</v>
      </c>
      <c r="L361" s="76">
        <v>46112</v>
      </c>
      <c r="N361" s="83"/>
      <c r="O361" s="84"/>
      <c r="P361" s="81">
        <f t="shared" si="35"/>
        <v>950</v>
      </c>
      <c r="Q361" s="81">
        <f t="shared" si="36"/>
        <v>950</v>
      </c>
      <c r="R361" s="81"/>
      <c r="S361" s="81"/>
      <c r="T361" s="85"/>
      <c r="U361" s="81">
        <f t="shared" si="37"/>
        <v>950</v>
      </c>
      <c r="V361" s="81">
        <f t="shared" si="38"/>
        <v>1</v>
      </c>
      <c r="W361" s="82">
        <f t="shared" si="39"/>
        <v>950</v>
      </c>
      <c r="X361" s="82" t="s">
        <v>84</v>
      </c>
      <c r="Y361" s="24" t="s">
        <v>93</v>
      </c>
    </row>
    <row r="362" spans="1:25" s="24" customFormat="1" ht="11.1" customHeight="1">
      <c r="A362" s="74">
        <f t="shared" si="41"/>
        <v>360</v>
      </c>
      <c r="B362" s="75" t="s">
        <v>1039</v>
      </c>
      <c r="C362" s="74" t="str">
        <f>IF($B362&lt;&gt;"",_xlfn.IFNA(VLOOKUP($B362,'Node Details'!$B:$U,C$1,0),"Check"),"")</f>
        <v>0000AXY15-AXY150103</v>
      </c>
      <c r="D362" s="74" t="str">
        <f>IF($B362&lt;&gt;"",_xlfn.IFNA(VLOOKUP($B362,'Node Details'!$B:$U,D$1,0),"Check"),"")</f>
        <v>AXY</v>
      </c>
      <c r="E362" s="74" t="str">
        <f>IF($B362&lt;&gt;"",_xlfn.IFNA(VLOOKUP($B362,'Node Details'!$B:$U,E$1,0),"Check"),"")</f>
        <v>Airtel</v>
      </c>
      <c r="F362" s="76">
        <v>46113</v>
      </c>
      <c r="G362" s="74"/>
      <c r="H362" s="10" t="s">
        <v>1248</v>
      </c>
      <c r="I362" s="9">
        <v>1</v>
      </c>
      <c r="J362" s="9">
        <v>950</v>
      </c>
      <c r="K362" s="77">
        <f t="shared" si="40"/>
        <v>950</v>
      </c>
      <c r="L362" s="76">
        <v>46112</v>
      </c>
      <c r="N362" s="83"/>
      <c r="O362" s="84"/>
      <c r="P362" s="81">
        <f t="shared" si="35"/>
        <v>950</v>
      </c>
      <c r="Q362" s="81">
        <f t="shared" si="36"/>
        <v>950</v>
      </c>
      <c r="R362" s="81"/>
      <c r="S362" s="81"/>
      <c r="T362" s="85"/>
      <c r="U362" s="81">
        <f t="shared" si="37"/>
        <v>950</v>
      </c>
      <c r="V362" s="81">
        <f t="shared" si="38"/>
        <v>1</v>
      </c>
      <c r="W362" s="82">
        <f t="shared" si="39"/>
        <v>950</v>
      </c>
      <c r="X362" s="82" t="s">
        <v>84</v>
      </c>
      <c r="Y362" s="24" t="s">
        <v>93</v>
      </c>
    </row>
    <row r="363" spans="1:25" s="24" customFormat="1" ht="11.1" customHeight="1">
      <c r="A363" s="74">
        <f t="shared" si="41"/>
        <v>361</v>
      </c>
      <c r="B363" s="75" t="s">
        <v>335</v>
      </c>
      <c r="C363" s="74" t="str">
        <f>IF($B363&lt;&gt;"",_xlfn.IFNA(VLOOKUP($B363,'Node Details'!$B:$U,C$1,0),"Check"),"")</f>
        <v>0000AXY15-AXY150103</v>
      </c>
      <c r="D363" s="74" t="str">
        <f>IF($B363&lt;&gt;"",_xlfn.IFNA(VLOOKUP($B363,'Node Details'!$B:$U,D$1,0),"Check"),"")</f>
        <v>AXY</v>
      </c>
      <c r="E363" s="74" t="str">
        <f>IF($B363&lt;&gt;"",_xlfn.IFNA(VLOOKUP($B363,'Node Details'!$B:$U,E$1,0),"Check"),"")</f>
        <v>Airtel</v>
      </c>
      <c r="F363" s="76">
        <v>46113</v>
      </c>
      <c r="G363" s="74"/>
      <c r="H363" s="10" t="s">
        <v>1248</v>
      </c>
      <c r="I363" s="9">
        <v>1</v>
      </c>
      <c r="J363" s="9">
        <v>950</v>
      </c>
      <c r="K363" s="77">
        <f t="shared" si="40"/>
        <v>950</v>
      </c>
      <c r="L363" s="76">
        <v>46112</v>
      </c>
      <c r="N363" s="83"/>
      <c r="O363" s="84"/>
      <c r="P363" s="81">
        <f t="shared" si="35"/>
        <v>950</v>
      </c>
      <c r="Q363" s="81">
        <f t="shared" si="36"/>
        <v>950</v>
      </c>
      <c r="R363" s="81"/>
      <c r="S363" s="81"/>
      <c r="T363" s="85"/>
      <c r="U363" s="81">
        <f t="shared" si="37"/>
        <v>950</v>
      </c>
      <c r="V363" s="81">
        <f t="shared" si="38"/>
        <v>1</v>
      </c>
      <c r="W363" s="82">
        <f t="shared" si="39"/>
        <v>950</v>
      </c>
      <c r="X363" s="82" t="s">
        <v>84</v>
      </c>
      <c r="Y363" s="24" t="s">
        <v>93</v>
      </c>
    </row>
    <row r="364" spans="1:25" s="24" customFormat="1" ht="11.1" customHeight="1">
      <c r="A364" s="74">
        <f t="shared" si="41"/>
        <v>362</v>
      </c>
      <c r="B364" s="75" t="s">
        <v>339</v>
      </c>
      <c r="C364" s="74" t="str">
        <f>IF($B364&lt;&gt;"",_xlfn.IFNA(VLOOKUP($B364,'Node Details'!$B:$U,C$1,0),"Check"),"")</f>
        <v>0000AXY15-AXY150104</v>
      </c>
      <c r="D364" s="74" t="str">
        <f>IF($B364&lt;&gt;"",_xlfn.IFNA(VLOOKUP($B364,'Node Details'!$B:$U,D$1,0),"Check"),"")</f>
        <v>AXY</v>
      </c>
      <c r="E364" s="74" t="str">
        <f>IF($B364&lt;&gt;"",_xlfn.IFNA(VLOOKUP($B364,'Node Details'!$B:$U,E$1,0),"Check"),"")</f>
        <v>Airtel</v>
      </c>
      <c r="F364" s="76">
        <v>46113</v>
      </c>
      <c r="G364" s="74"/>
      <c r="H364" s="10" t="s">
        <v>1248</v>
      </c>
      <c r="I364" s="9">
        <v>1</v>
      </c>
      <c r="J364" s="9">
        <v>950</v>
      </c>
      <c r="K364" s="77">
        <f t="shared" si="40"/>
        <v>950</v>
      </c>
      <c r="L364" s="76">
        <v>46112</v>
      </c>
      <c r="N364" s="83"/>
      <c r="O364" s="84"/>
      <c r="P364" s="81">
        <f t="shared" si="35"/>
        <v>950</v>
      </c>
      <c r="Q364" s="81">
        <f t="shared" si="36"/>
        <v>950</v>
      </c>
      <c r="R364" s="81"/>
      <c r="S364" s="81"/>
      <c r="T364" s="85"/>
      <c r="U364" s="81">
        <f t="shared" si="37"/>
        <v>950</v>
      </c>
      <c r="V364" s="81">
        <f t="shared" si="38"/>
        <v>1</v>
      </c>
      <c r="W364" s="82">
        <f t="shared" si="39"/>
        <v>950</v>
      </c>
      <c r="X364" s="82" t="s">
        <v>84</v>
      </c>
      <c r="Y364" s="24" t="s">
        <v>93</v>
      </c>
    </row>
    <row r="365" spans="1:25" s="24" customFormat="1" ht="11.1" customHeight="1">
      <c r="A365" s="74">
        <f t="shared" si="41"/>
        <v>363</v>
      </c>
      <c r="B365" s="75" t="s">
        <v>1040</v>
      </c>
      <c r="C365" s="74" t="str">
        <f>IF($B365&lt;&gt;"",_xlfn.IFNA(VLOOKUP($B365,'Node Details'!$B:$U,C$1,0),"Check"),"")</f>
        <v>0000AXY15-AXY150108</v>
      </c>
      <c r="D365" s="74" t="str">
        <f>IF($B365&lt;&gt;"",_xlfn.IFNA(VLOOKUP($B365,'Node Details'!$B:$U,D$1,0),"Check"),"")</f>
        <v>AXY</v>
      </c>
      <c r="E365" s="74" t="str">
        <f>IF($B365&lt;&gt;"",_xlfn.IFNA(VLOOKUP($B365,'Node Details'!$B:$U,E$1,0),"Check"),"")</f>
        <v>Airtel</v>
      </c>
      <c r="F365" s="76">
        <v>46113</v>
      </c>
      <c r="G365" s="74"/>
      <c r="H365" s="10" t="s">
        <v>1248</v>
      </c>
      <c r="I365" s="9">
        <v>1</v>
      </c>
      <c r="J365" s="9">
        <v>950</v>
      </c>
      <c r="K365" s="77">
        <f t="shared" si="40"/>
        <v>950</v>
      </c>
      <c r="L365" s="76">
        <v>46112</v>
      </c>
      <c r="N365" s="83"/>
      <c r="O365" s="84"/>
      <c r="P365" s="81">
        <f t="shared" si="35"/>
        <v>950</v>
      </c>
      <c r="Q365" s="81">
        <f t="shared" si="36"/>
        <v>950</v>
      </c>
      <c r="R365" s="81"/>
      <c r="S365" s="81"/>
      <c r="T365" s="85"/>
      <c r="U365" s="81">
        <f t="shared" si="37"/>
        <v>950</v>
      </c>
      <c r="V365" s="81">
        <f t="shared" si="38"/>
        <v>1</v>
      </c>
      <c r="W365" s="82">
        <f t="shared" si="39"/>
        <v>950</v>
      </c>
      <c r="X365" s="82" t="s">
        <v>84</v>
      </c>
      <c r="Y365" s="24" t="s">
        <v>93</v>
      </c>
    </row>
    <row r="366" spans="1:25" s="24" customFormat="1" ht="11.1" customHeight="1">
      <c r="A366" s="74">
        <f t="shared" si="41"/>
        <v>364</v>
      </c>
      <c r="B366" s="75" t="s">
        <v>1041</v>
      </c>
      <c r="C366" s="74" t="str">
        <f>IF($B366&lt;&gt;"",_xlfn.IFNA(VLOOKUP($B366,'Node Details'!$B:$U,C$1,0),"Check"),"")</f>
        <v>0000AXY15-AXY150108</v>
      </c>
      <c r="D366" s="74" t="str">
        <f>IF($B366&lt;&gt;"",_xlfn.IFNA(VLOOKUP($B366,'Node Details'!$B:$U,D$1,0),"Check"),"")</f>
        <v>AXY</v>
      </c>
      <c r="E366" s="74" t="str">
        <f>IF($B366&lt;&gt;"",_xlfn.IFNA(VLOOKUP($B366,'Node Details'!$B:$U,E$1,0),"Check"),"")</f>
        <v>Airtel</v>
      </c>
      <c r="F366" s="76">
        <v>46113</v>
      </c>
      <c r="G366" s="74"/>
      <c r="H366" s="10" t="s">
        <v>1248</v>
      </c>
      <c r="I366" s="9">
        <v>1</v>
      </c>
      <c r="J366" s="9">
        <v>950</v>
      </c>
      <c r="K366" s="77">
        <f t="shared" si="40"/>
        <v>950</v>
      </c>
      <c r="L366" s="76">
        <v>46112</v>
      </c>
      <c r="N366" s="83"/>
      <c r="O366" s="84"/>
      <c r="P366" s="81">
        <f t="shared" si="35"/>
        <v>950</v>
      </c>
      <c r="Q366" s="81">
        <f t="shared" si="36"/>
        <v>950</v>
      </c>
      <c r="R366" s="81"/>
      <c r="S366" s="81"/>
      <c r="T366" s="85"/>
      <c r="U366" s="81">
        <f t="shared" si="37"/>
        <v>950</v>
      </c>
      <c r="V366" s="81">
        <f t="shared" si="38"/>
        <v>1</v>
      </c>
      <c r="W366" s="82">
        <f t="shared" si="39"/>
        <v>950</v>
      </c>
      <c r="X366" s="82" t="s">
        <v>84</v>
      </c>
      <c r="Y366" s="24" t="s">
        <v>93</v>
      </c>
    </row>
    <row r="367" spans="1:25" s="24" customFormat="1" ht="11.1" customHeight="1">
      <c r="A367" s="74">
        <f t="shared" si="41"/>
        <v>365</v>
      </c>
      <c r="B367" s="75" t="s">
        <v>342</v>
      </c>
      <c r="C367" s="74" t="str">
        <f>IF($B367&lt;&gt;"",_xlfn.IFNA(VLOOKUP($B367,'Node Details'!$B:$U,C$1,0),"Check"),"")</f>
        <v>0000AXY15-AXY150108</v>
      </c>
      <c r="D367" s="74" t="str">
        <f>IF($B367&lt;&gt;"",_xlfn.IFNA(VLOOKUP($B367,'Node Details'!$B:$U,D$1,0),"Check"),"")</f>
        <v>AXY</v>
      </c>
      <c r="E367" s="74" t="str">
        <f>IF($B367&lt;&gt;"",_xlfn.IFNA(VLOOKUP($B367,'Node Details'!$B:$U,E$1,0),"Check"),"")</f>
        <v>Airtel</v>
      </c>
      <c r="F367" s="76">
        <v>46113</v>
      </c>
      <c r="G367" s="74"/>
      <c r="H367" s="10" t="s">
        <v>1248</v>
      </c>
      <c r="I367" s="9">
        <v>1</v>
      </c>
      <c r="J367" s="9">
        <v>950</v>
      </c>
      <c r="K367" s="77">
        <f t="shared" si="40"/>
        <v>950</v>
      </c>
      <c r="L367" s="76">
        <v>46112</v>
      </c>
      <c r="N367" s="83"/>
      <c r="O367" s="84"/>
      <c r="P367" s="81">
        <f t="shared" ref="P367:P430" si="42">J367</f>
        <v>950</v>
      </c>
      <c r="Q367" s="81">
        <f t="shared" ref="Q367:Q430" si="43">P367*I367</f>
        <v>950</v>
      </c>
      <c r="R367" s="81"/>
      <c r="S367" s="81"/>
      <c r="T367" s="85"/>
      <c r="U367" s="81">
        <f t="shared" ref="U367:U430" si="44">J367</f>
        <v>950</v>
      </c>
      <c r="V367" s="81">
        <f t="shared" ref="V367:V430" si="45">I367</f>
        <v>1</v>
      </c>
      <c r="W367" s="82">
        <f t="shared" ref="W367:W430" si="46">IF(V367&lt;&gt;"",V367*U367,0)</f>
        <v>950</v>
      </c>
      <c r="X367" s="82" t="s">
        <v>84</v>
      </c>
      <c r="Y367" s="24" t="s">
        <v>93</v>
      </c>
    </row>
    <row r="368" spans="1:25" s="24" customFormat="1" ht="11.1" customHeight="1">
      <c r="A368" s="74">
        <f t="shared" si="41"/>
        <v>366</v>
      </c>
      <c r="B368" s="75" t="s">
        <v>346</v>
      </c>
      <c r="C368" s="74" t="str">
        <f>IF($B368&lt;&gt;"",_xlfn.IFNA(VLOOKUP($B368,'Node Details'!$B:$U,C$1,0),"Check"),"")</f>
        <v>0000AXY16-AXY160104</v>
      </c>
      <c r="D368" s="74" t="str">
        <f>IF($B368&lt;&gt;"",_xlfn.IFNA(VLOOKUP($B368,'Node Details'!$B:$U,D$1,0),"Check"),"")</f>
        <v>AXY</v>
      </c>
      <c r="E368" s="74" t="str">
        <f>IF($B368&lt;&gt;"",_xlfn.IFNA(VLOOKUP($B368,'Node Details'!$B:$U,E$1,0),"Check"),"")</f>
        <v>Airtel</v>
      </c>
      <c r="F368" s="76">
        <v>46113</v>
      </c>
      <c r="G368" s="74"/>
      <c r="H368" s="10" t="s">
        <v>1249</v>
      </c>
      <c r="I368" s="9">
        <v>1</v>
      </c>
      <c r="J368" s="9">
        <v>375</v>
      </c>
      <c r="K368" s="77">
        <f t="shared" ref="K368:K431" si="47">IF(I368&lt;&gt;"",J368*I368,0)</f>
        <v>375</v>
      </c>
      <c r="L368" s="76">
        <v>46112</v>
      </c>
      <c r="N368" s="83"/>
      <c r="O368" s="84"/>
      <c r="P368" s="81">
        <f t="shared" si="42"/>
        <v>375</v>
      </c>
      <c r="Q368" s="81">
        <f t="shared" si="43"/>
        <v>375</v>
      </c>
      <c r="R368" s="81"/>
      <c r="S368" s="81"/>
      <c r="T368" s="85"/>
      <c r="U368" s="81">
        <f t="shared" si="44"/>
        <v>375</v>
      </c>
      <c r="V368" s="81">
        <f t="shared" si="45"/>
        <v>1</v>
      </c>
      <c r="W368" s="82">
        <f t="shared" si="46"/>
        <v>375</v>
      </c>
      <c r="X368" s="82" t="s">
        <v>84</v>
      </c>
      <c r="Y368" s="24" t="s">
        <v>93</v>
      </c>
    </row>
    <row r="369" spans="1:25" s="24" customFormat="1" ht="11.1" customHeight="1">
      <c r="A369" s="74">
        <f t="shared" si="41"/>
        <v>367</v>
      </c>
      <c r="B369" s="75" t="s">
        <v>1043</v>
      </c>
      <c r="C369" s="74" t="str">
        <f>IF($B369&lt;&gt;"",_xlfn.IFNA(VLOOKUP($B369,'Node Details'!$B:$U,C$1,0),"Check"),"")</f>
        <v>0000AXY16-AXY160103</v>
      </c>
      <c r="D369" s="74" t="str">
        <f>IF($B369&lt;&gt;"",_xlfn.IFNA(VLOOKUP($B369,'Node Details'!$B:$U,D$1,0),"Check"),"")</f>
        <v>AXY</v>
      </c>
      <c r="E369" s="74" t="str">
        <f>IF($B369&lt;&gt;"",_xlfn.IFNA(VLOOKUP($B369,'Node Details'!$B:$U,E$1,0),"Check"),"")</f>
        <v>Airtel</v>
      </c>
      <c r="F369" s="76">
        <v>46113</v>
      </c>
      <c r="G369" s="74"/>
      <c r="H369" s="10" t="s">
        <v>1249</v>
      </c>
      <c r="I369" s="9">
        <v>1</v>
      </c>
      <c r="J369" s="9">
        <v>375</v>
      </c>
      <c r="K369" s="77">
        <f t="shared" si="47"/>
        <v>375</v>
      </c>
      <c r="L369" s="76">
        <v>46112</v>
      </c>
      <c r="N369" s="83"/>
      <c r="O369" s="84"/>
      <c r="P369" s="81">
        <f t="shared" si="42"/>
        <v>375</v>
      </c>
      <c r="Q369" s="81">
        <f t="shared" si="43"/>
        <v>375</v>
      </c>
      <c r="R369" s="81"/>
      <c r="S369" s="81"/>
      <c r="T369" s="85"/>
      <c r="U369" s="81">
        <f t="shared" si="44"/>
        <v>375</v>
      </c>
      <c r="V369" s="81">
        <f t="shared" si="45"/>
        <v>1</v>
      </c>
      <c r="W369" s="82">
        <f t="shared" si="46"/>
        <v>375</v>
      </c>
      <c r="X369" s="82" t="s">
        <v>84</v>
      </c>
      <c r="Y369" s="24" t="s">
        <v>93</v>
      </c>
    </row>
    <row r="370" spans="1:25" s="24" customFormat="1" ht="11.1" customHeight="1">
      <c r="A370" s="74">
        <f t="shared" si="41"/>
        <v>368</v>
      </c>
      <c r="B370" s="75" t="s">
        <v>1044</v>
      </c>
      <c r="C370" s="74" t="str">
        <f>IF($B370&lt;&gt;"",_xlfn.IFNA(VLOOKUP($B370,'Node Details'!$B:$U,C$1,0),"Check"),"")</f>
        <v>0000AXY16-AXY160103</v>
      </c>
      <c r="D370" s="74" t="str">
        <f>IF($B370&lt;&gt;"",_xlfn.IFNA(VLOOKUP($B370,'Node Details'!$B:$U,D$1,0),"Check"),"")</f>
        <v>AXY</v>
      </c>
      <c r="E370" s="74" t="str">
        <f>IF($B370&lt;&gt;"",_xlfn.IFNA(VLOOKUP($B370,'Node Details'!$B:$U,E$1,0),"Check"),"")</f>
        <v>Airtel</v>
      </c>
      <c r="F370" s="76">
        <v>46113</v>
      </c>
      <c r="G370" s="74"/>
      <c r="H370" s="10" t="s">
        <v>1248</v>
      </c>
      <c r="I370" s="9">
        <v>1</v>
      </c>
      <c r="J370" s="9">
        <v>950</v>
      </c>
      <c r="K370" s="77">
        <f t="shared" si="47"/>
        <v>950</v>
      </c>
      <c r="L370" s="76">
        <v>46112</v>
      </c>
      <c r="N370" s="83"/>
      <c r="O370" s="84"/>
      <c r="P370" s="81">
        <f t="shared" si="42"/>
        <v>950</v>
      </c>
      <c r="Q370" s="81">
        <f t="shared" si="43"/>
        <v>950</v>
      </c>
      <c r="R370" s="81"/>
      <c r="S370" s="81"/>
      <c r="T370" s="85"/>
      <c r="U370" s="81">
        <f t="shared" si="44"/>
        <v>950</v>
      </c>
      <c r="V370" s="81">
        <f t="shared" si="45"/>
        <v>1</v>
      </c>
      <c r="W370" s="82">
        <f t="shared" si="46"/>
        <v>950</v>
      </c>
      <c r="X370" s="82" t="s">
        <v>84</v>
      </c>
      <c r="Y370" s="24" t="s">
        <v>93</v>
      </c>
    </row>
    <row r="371" spans="1:25" s="24" customFormat="1" ht="11.1" customHeight="1">
      <c r="A371" s="74">
        <f t="shared" si="41"/>
        <v>369</v>
      </c>
      <c r="B371" s="75" t="s">
        <v>349</v>
      </c>
      <c r="C371" s="74" t="str">
        <f>IF($B371&lt;&gt;"",_xlfn.IFNA(VLOOKUP($B371,'Node Details'!$B:$U,C$1,0),"Check"),"")</f>
        <v>0000AXY16-AXY160103</v>
      </c>
      <c r="D371" s="74" t="str">
        <f>IF($B371&lt;&gt;"",_xlfn.IFNA(VLOOKUP($B371,'Node Details'!$B:$U,D$1,0),"Check"),"")</f>
        <v>AXY</v>
      </c>
      <c r="E371" s="74" t="str">
        <f>IF($B371&lt;&gt;"",_xlfn.IFNA(VLOOKUP($B371,'Node Details'!$B:$U,E$1,0),"Check"),"")</f>
        <v>Airtel</v>
      </c>
      <c r="F371" s="76">
        <v>46113</v>
      </c>
      <c r="G371" s="74"/>
      <c r="H371" s="10" t="s">
        <v>1248</v>
      </c>
      <c r="I371" s="9">
        <v>1</v>
      </c>
      <c r="J371" s="9">
        <v>950</v>
      </c>
      <c r="K371" s="77">
        <f t="shared" si="47"/>
        <v>950</v>
      </c>
      <c r="L371" s="76">
        <v>46112</v>
      </c>
      <c r="N371" s="83"/>
      <c r="O371" s="84"/>
      <c r="P371" s="81">
        <f t="shared" si="42"/>
        <v>950</v>
      </c>
      <c r="Q371" s="81">
        <f t="shared" si="43"/>
        <v>950</v>
      </c>
      <c r="R371" s="81"/>
      <c r="S371" s="81"/>
      <c r="T371" s="85"/>
      <c r="U371" s="81">
        <f t="shared" si="44"/>
        <v>950</v>
      </c>
      <c r="V371" s="81">
        <f t="shared" si="45"/>
        <v>1</v>
      </c>
      <c r="W371" s="82">
        <f t="shared" si="46"/>
        <v>950</v>
      </c>
      <c r="X371" s="82" t="s">
        <v>84</v>
      </c>
      <c r="Y371" s="24" t="s">
        <v>93</v>
      </c>
    </row>
    <row r="372" spans="1:25" s="24" customFormat="1" ht="11.1" customHeight="1">
      <c r="A372" s="74">
        <f t="shared" si="41"/>
        <v>370</v>
      </c>
      <c r="B372" s="75" t="s">
        <v>1045</v>
      </c>
      <c r="C372" s="74" t="str">
        <f>IF($B372&lt;&gt;"",_xlfn.IFNA(VLOOKUP($B372,'Node Details'!$B:$U,C$1,0),"Check"),"")</f>
        <v>0000AXY16-AXY160107</v>
      </c>
      <c r="D372" s="74" t="str">
        <f>IF($B372&lt;&gt;"",_xlfn.IFNA(VLOOKUP($B372,'Node Details'!$B:$U,D$1,0),"Check"),"")</f>
        <v>AXY</v>
      </c>
      <c r="E372" s="74" t="str">
        <f>IF($B372&lt;&gt;"",_xlfn.IFNA(VLOOKUP($B372,'Node Details'!$B:$U,E$1,0),"Check"),"")</f>
        <v>Airtel</v>
      </c>
      <c r="F372" s="76">
        <v>46113</v>
      </c>
      <c r="G372" s="74"/>
      <c r="H372" s="10" t="s">
        <v>1248</v>
      </c>
      <c r="I372" s="9">
        <v>1</v>
      </c>
      <c r="J372" s="9">
        <v>950</v>
      </c>
      <c r="K372" s="77">
        <f t="shared" si="47"/>
        <v>950</v>
      </c>
      <c r="L372" s="76">
        <v>46112</v>
      </c>
      <c r="N372" s="83"/>
      <c r="O372" s="84"/>
      <c r="P372" s="81">
        <f t="shared" si="42"/>
        <v>950</v>
      </c>
      <c r="Q372" s="81">
        <f t="shared" si="43"/>
        <v>950</v>
      </c>
      <c r="R372" s="81"/>
      <c r="S372" s="81"/>
      <c r="T372" s="85"/>
      <c r="U372" s="81">
        <f t="shared" si="44"/>
        <v>950</v>
      </c>
      <c r="V372" s="81">
        <f t="shared" si="45"/>
        <v>1</v>
      </c>
      <c r="W372" s="82">
        <f t="shared" si="46"/>
        <v>950</v>
      </c>
      <c r="X372" s="82" t="s">
        <v>84</v>
      </c>
      <c r="Y372" s="24" t="s">
        <v>93</v>
      </c>
    </row>
    <row r="373" spans="1:25" s="24" customFormat="1" ht="11.1" customHeight="1">
      <c r="A373" s="74">
        <f t="shared" si="41"/>
        <v>371</v>
      </c>
      <c r="B373" s="75" t="s">
        <v>1046</v>
      </c>
      <c r="C373" s="74" t="str">
        <f>IF($B373&lt;&gt;"",_xlfn.IFNA(VLOOKUP($B373,'Node Details'!$B:$U,C$1,0),"Check"),"")</f>
        <v>0000AXY16-AXY160107</v>
      </c>
      <c r="D373" s="74" t="str">
        <f>IF($B373&lt;&gt;"",_xlfn.IFNA(VLOOKUP($B373,'Node Details'!$B:$U,D$1,0),"Check"),"")</f>
        <v>AXY</v>
      </c>
      <c r="E373" s="74" t="str">
        <f>IF($B373&lt;&gt;"",_xlfn.IFNA(VLOOKUP($B373,'Node Details'!$B:$U,E$1,0),"Check"),"")</f>
        <v>Airtel</v>
      </c>
      <c r="F373" s="76">
        <v>46113</v>
      </c>
      <c r="G373" s="74"/>
      <c r="H373" s="10" t="s">
        <v>1248</v>
      </c>
      <c r="I373" s="9">
        <v>1</v>
      </c>
      <c r="J373" s="9">
        <v>950</v>
      </c>
      <c r="K373" s="77">
        <f t="shared" si="47"/>
        <v>950</v>
      </c>
      <c r="L373" s="76">
        <v>46112</v>
      </c>
      <c r="N373" s="83"/>
      <c r="O373" s="84"/>
      <c r="P373" s="81">
        <f t="shared" si="42"/>
        <v>950</v>
      </c>
      <c r="Q373" s="81">
        <f t="shared" si="43"/>
        <v>950</v>
      </c>
      <c r="R373" s="81"/>
      <c r="S373" s="81"/>
      <c r="T373" s="85"/>
      <c r="U373" s="81">
        <f t="shared" si="44"/>
        <v>950</v>
      </c>
      <c r="V373" s="81">
        <f t="shared" si="45"/>
        <v>1</v>
      </c>
      <c r="W373" s="82">
        <f t="shared" si="46"/>
        <v>950</v>
      </c>
      <c r="X373" s="82" t="s">
        <v>84</v>
      </c>
      <c r="Y373" s="24" t="s">
        <v>93</v>
      </c>
    </row>
    <row r="374" spans="1:25" s="24" customFormat="1" ht="11.1" customHeight="1">
      <c r="A374" s="74">
        <f t="shared" si="41"/>
        <v>372</v>
      </c>
      <c r="B374" s="75" t="s">
        <v>352</v>
      </c>
      <c r="C374" s="74" t="str">
        <f>IF($B374&lt;&gt;"",_xlfn.IFNA(VLOOKUP($B374,'Node Details'!$B:$U,C$1,0),"Check"),"")</f>
        <v>0000AXY16-AXY160107</v>
      </c>
      <c r="D374" s="74" t="str">
        <f>IF($B374&lt;&gt;"",_xlfn.IFNA(VLOOKUP($B374,'Node Details'!$B:$U,D$1,0),"Check"),"")</f>
        <v>AXY</v>
      </c>
      <c r="E374" s="74" t="str">
        <f>IF($B374&lt;&gt;"",_xlfn.IFNA(VLOOKUP($B374,'Node Details'!$B:$U,E$1,0),"Check"),"")</f>
        <v>Airtel</v>
      </c>
      <c r="F374" s="76">
        <v>46113</v>
      </c>
      <c r="G374" s="74"/>
      <c r="H374" s="10" t="s">
        <v>1248</v>
      </c>
      <c r="I374" s="9">
        <v>1</v>
      </c>
      <c r="J374" s="9">
        <v>950</v>
      </c>
      <c r="K374" s="77">
        <f t="shared" si="47"/>
        <v>950</v>
      </c>
      <c r="L374" s="76">
        <v>46112</v>
      </c>
      <c r="N374" s="83"/>
      <c r="O374" s="84"/>
      <c r="P374" s="81">
        <f t="shared" si="42"/>
        <v>950</v>
      </c>
      <c r="Q374" s="81">
        <f t="shared" si="43"/>
        <v>950</v>
      </c>
      <c r="R374" s="81"/>
      <c r="S374" s="81"/>
      <c r="T374" s="85"/>
      <c r="U374" s="81">
        <f t="shared" si="44"/>
        <v>950</v>
      </c>
      <c r="V374" s="81">
        <f t="shared" si="45"/>
        <v>1</v>
      </c>
      <c r="W374" s="82">
        <f t="shared" si="46"/>
        <v>950</v>
      </c>
      <c r="X374" s="82" t="s">
        <v>84</v>
      </c>
      <c r="Y374" s="24" t="s">
        <v>93</v>
      </c>
    </row>
    <row r="375" spans="1:25" s="24" customFormat="1" ht="11.1" customHeight="1">
      <c r="A375" s="74">
        <f t="shared" si="41"/>
        <v>373</v>
      </c>
      <c r="B375" s="75" t="s">
        <v>355</v>
      </c>
      <c r="C375" s="74" t="str">
        <f>IF($B375&lt;&gt;"",_xlfn.IFNA(VLOOKUP($B375,'Node Details'!$B:$U,C$1,0),"Check"),"")</f>
        <v>0000AXY16-AXY160108</v>
      </c>
      <c r="D375" s="74" t="str">
        <f>IF($B375&lt;&gt;"",_xlfn.IFNA(VLOOKUP($B375,'Node Details'!$B:$U,D$1,0),"Check"),"")</f>
        <v>AXY</v>
      </c>
      <c r="E375" s="74" t="str">
        <f>IF($B375&lt;&gt;"",_xlfn.IFNA(VLOOKUP($B375,'Node Details'!$B:$U,E$1,0),"Check"),"")</f>
        <v>Airtel</v>
      </c>
      <c r="F375" s="76">
        <v>46113</v>
      </c>
      <c r="G375" s="74"/>
      <c r="H375" s="10" t="s">
        <v>1248</v>
      </c>
      <c r="I375" s="9">
        <v>1</v>
      </c>
      <c r="J375" s="9">
        <v>950</v>
      </c>
      <c r="K375" s="77">
        <f t="shared" si="47"/>
        <v>950</v>
      </c>
      <c r="L375" s="76">
        <v>46112</v>
      </c>
      <c r="N375" s="83"/>
      <c r="O375" s="84"/>
      <c r="P375" s="81">
        <f t="shared" si="42"/>
        <v>950</v>
      </c>
      <c r="Q375" s="81">
        <f t="shared" si="43"/>
        <v>950</v>
      </c>
      <c r="R375" s="81"/>
      <c r="S375" s="81"/>
      <c r="T375" s="85"/>
      <c r="U375" s="81">
        <f t="shared" si="44"/>
        <v>950</v>
      </c>
      <c r="V375" s="81">
        <f t="shared" si="45"/>
        <v>1</v>
      </c>
      <c r="W375" s="82">
        <f t="shared" si="46"/>
        <v>950</v>
      </c>
      <c r="X375" s="82" t="s">
        <v>84</v>
      </c>
      <c r="Y375" s="24" t="s">
        <v>93</v>
      </c>
    </row>
    <row r="376" spans="1:25" s="24" customFormat="1" ht="11.1" customHeight="1">
      <c r="A376" s="74">
        <f t="shared" si="41"/>
        <v>374</v>
      </c>
      <c r="B376" s="75" t="s">
        <v>359</v>
      </c>
      <c r="C376" s="74" t="str">
        <f>IF($B376&lt;&gt;"",_xlfn.IFNA(VLOOKUP($B376,'Node Details'!$B:$U,C$1,0),"Check"),"")</f>
        <v>0000AXY17-AXY170101</v>
      </c>
      <c r="D376" s="74" t="str">
        <f>IF($B376&lt;&gt;"",_xlfn.IFNA(VLOOKUP($B376,'Node Details'!$B:$U,D$1,0),"Check"),"")</f>
        <v>AXY</v>
      </c>
      <c r="E376" s="74" t="str">
        <f>IF($B376&lt;&gt;"",_xlfn.IFNA(VLOOKUP($B376,'Node Details'!$B:$U,E$1,0),"Check"),"")</f>
        <v>Airtel</v>
      </c>
      <c r="F376" s="76">
        <v>46113</v>
      </c>
      <c r="G376" s="74"/>
      <c r="H376" s="10" t="s">
        <v>1248</v>
      </c>
      <c r="I376" s="9">
        <v>1</v>
      </c>
      <c r="J376" s="9">
        <v>950</v>
      </c>
      <c r="K376" s="77">
        <f t="shared" si="47"/>
        <v>950</v>
      </c>
      <c r="L376" s="76">
        <v>46112</v>
      </c>
      <c r="N376" s="83"/>
      <c r="O376" s="84"/>
      <c r="P376" s="81">
        <f t="shared" si="42"/>
        <v>950</v>
      </c>
      <c r="Q376" s="81">
        <f t="shared" si="43"/>
        <v>950</v>
      </c>
      <c r="R376" s="81"/>
      <c r="S376" s="81"/>
      <c r="T376" s="85"/>
      <c r="U376" s="81">
        <f t="shared" si="44"/>
        <v>950</v>
      </c>
      <c r="V376" s="81">
        <f t="shared" si="45"/>
        <v>1</v>
      </c>
      <c r="W376" s="82">
        <f t="shared" si="46"/>
        <v>950</v>
      </c>
      <c r="X376" s="82" t="s">
        <v>84</v>
      </c>
      <c r="Y376" s="24" t="s">
        <v>93</v>
      </c>
    </row>
    <row r="377" spans="1:25" s="24" customFormat="1" ht="11.1" customHeight="1">
      <c r="A377" s="74">
        <f t="shared" si="41"/>
        <v>375</v>
      </c>
      <c r="B377" s="75" t="s">
        <v>1047</v>
      </c>
      <c r="C377" s="74" t="str">
        <f>IF($B377&lt;&gt;"",_xlfn.IFNA(VLOOKUP($B377,'Node Details'!$B:$U,C$1,0),"Check"),"")</f>
        <v>0000AXY17-AXY170107</v>
      </c>
      <c r="D377" s="74" t="str">
        <f>IF($B377&lt;&gt;"",_xlfn.IFNA(VLOOKUP($B377,'Node Details'!$B:$U,D$1,0),"Check"),"")</f>
        <v>AXY</v>
      </c>
      <c r="E377" s="74" t="str">
        <f>IF($B377&lt;&gt;"",_xlfn.IFNA(VLOOKUP($B377,'Node Details'!$B:$U,E$1,0),"Check"),"")</f>
        <v>Airtel</v>
      </c>
      <c r="F377" s="76">
        <v>46113</v>
      </c>
      <c r="G377" s="74"/>
      <c r="H377" s="10" t="s">
        <v>1248</v>
      </c>
      <c r="I377" s="9">
        <v>1</v>
      </c>
      <c r="J377" s="9">
        <v>950</v>
      </c>
      <c r="K377" s="77">
        <f t="shared" si="47"/>
        <v>950</v>
      </c>
      <c r="L377" s="76">
        <v>46112</v>
      </c>
      <c r="N377" s="83"/>
      <c r="O377" s="84"/>
      <c r="P377" s="81">
        <f t="shared" si="42"/>
        <v>950</v>
      </c>
      <c r="Q377" s="81">
        <f t="shared" si="43"/>
        <v>950</v>
      </c>
      <c r="R377" s="81"/>
      <c r="S377" s="81"/>
      <c r="T377" s="85"/>
      <c r="U377" s="81">
        <f t="shared" si="44"/>
        <v>950</v>
      </c>
      <c r="V377" s="81">
        <f t="shared" si="45"/>
        <v>1</v>
      </c>
      <c r="W377" s="82">
        <f t="shared" si="46"/>
        <v>950</v>
      </c>
      <c r="X377" s="82" t="s">
        <v>84</v>
      </c>
      <c r="Y377" s="24" t="s">
        <v>93</v>
      </c>
    </row>
    <row r="378" spans="1:25" s="24" customFormat="1" ht="11.1" customHeight="1">
      <c r="A378" s="74">
        <f t="shared" si="41"/>
        <v>376</v>
      </c>
      <c r="B378" s="75" t="s">
        <v>1048</v>
      </c>
      <c r="C378" s="74" t="str">
        <f>IF($B378&lt;&gt;"",_xlfn.IFNA(VLOOKUP($B378,'Node Details'!$B:$U,C$1,0),"Check"),"")</f>
        <v>0000AXY17-AXY170107</v>
      </c>
      <c r="D378" s="74" t="str">
        <f>IF($B378&lt;&gt;"",_xlfn.IFNA(VLOOKUP($B378,'Node Details'!$B:$U,D$1,0),"Check"),"")</f>
        <v>AXY</v>
      </c>
      <c r="E378" s="74" t="str">
        <f>IF($B378&lt;&gt;"",_xlfn.IFNA(VLOOKUP($B378,'Node Details'!$B:$U,E$1,0),"Check"),"")</f>
        <v>Airtel</v>
      </c>
      <c r="F378" s="76">
        <v>46113</v>
      </c>
      <c r="G378" s="74"/>
      <c r="H378" s="10" t="s">
        <v>1248</v>
      </c>
      <c r="I378" s="9">
        <v>1</v>
      </c>
      <c r="J378" s="9">
        <v>950</v>
      </c>
      <c r="K378" s="77">
        <f t="shared" si="47"/>
        <v>950</v>
      </c>
      <c r="L378" s="76">
        <v>46112</v>
      </c>
      <c r="N378" s="83"/>
      <c r="O378" s="84"/>
      <c r="P378" s="81">
        <f t="shared" si="42"/>
        <v>950</v>
      </c>
      <c r="Q378" s="81">
        <f t="shared" si="43"/>
        <v>950</v>
      </c>
      <c r="R378" s="81"/>
      <c r="S378" s="81"/>
      <c r="T378" s="85"/>
      <c r="U378" s="81">
        <f t="shared" si="44"/>
        <v>950</v>
      </c>
      <c r="V378" s="81">
        <f t="shared" si="45"/>
        <v>1</v>
      </c>
      <c r="W378" s="82">
        <f t="shared" si="46"/>
        <v>950</v>
      </c>
      <c r="X378" s="82" t="s">
        <v>84</v>
      </c>
      <c r="Y378" s="24" t="s">
        <v>93</v>
      </c>
    </row>
    <row r="379" spans="1:25" s="24" customFormat="1" ht="11.1" customHeight="1">
      <c r="A379" s="74">
        <f t="shared" si="41"/>
        <v>377</v>
      </c>
      <c r="B379" s="75" t="s">
        <v>1049</v>
      </c>
      <c r="C379" s="74" t="str">
        <f>IF($B379&lt;&gt;"",_xlfn.IFNA(VLOOKUP($B379,'Node Details'!$B:$U,C$1,0),"Check"),"")</f>
        <v>0000AXY17-AXY170201</v>
      </c>
      <c r="D379" s="74" t="str">
        <f>IF($B379&lt;&gt;"",_xlfn.IFNA(VLOOKUP($B379,'Node Details'!$B:$U,D$1,0),"Check"),"")</f>
        <v>AXY</v>
      </c>
      <c r="E379" s="74" t="str">
        <f>IF($B379&lt;&gt;"",_xlfn.IFNA(VLOOKUP($B379,'Node Details'!$B:$U,E$1,0),"Check"),"")</f>
        <v>Airtel</v>
      </c>
      <c r="F379" s="76">
        <v>46113</v>
      </c>
      <c r="G379" s="74"/>
      <c r="H379" s="10" t="s">
        <v>1248</v>
      </c>
      <c r="I379" s="9">
        <v>1</v>
      </c>
      <c r="J379" s="9">
        <v>950</v>
      </c>
      <c r="K379" s="77">
        <f t="shared" si="47"/>
        <v>950</v>
      </c>
      <c r="L379" s="76">
        <v>46112</v>
      </c>
      <c r="N379" s="83"/>
      <c r="O379" s="84"/>
      <c r="P379" s="81">
        <f t="shared" si="42"/>
        <v>950</v>
      </c>
      <c r="Q379" s="81">
        <f t="shared" si="43"/>
        <v>950</v>
      </c>
      <c r="R379" s="81"/>
      <c r="S379" s="81"/>
      <c r="T379" s="85"/>
      <c r="U379" s="81">
        <f t="shared" si="44"/>
        <v>950</v>
      </c>
      <c r="V379" s="81">
        <f t="shared" si="45"/>
        <v>1</v>
      </c>
      <c r="W379" s="82">
        <f t="shared" si="46"/>
        <v>950</v>
      </c>
      <c r="X379" s="82" t="s">
        <v>84</v>
      </c>
      <c r="Y379" s="24" t="s">
        <v>93</v>
      </c>
    </row>
    <row r="380" spans="1:25" s="24" customFormat="1" ht="11.1" customHeight="1">
      <c r="A380" s="74">
        <f t="shared" si="41"/>
        <v>378</v>
      </c>
      <c r="B380" s="75" t="s">
        <v>362</v>
      </c>
      <c r="C380" s="74" t="str">
        <f>IF($B380&lt;&gt;"",_xlfn.IFNA(VLOOKUP($B380,'Node Details'!$B:$U,C$1,0),"Check"),"")</f>
        <v>0000AXY17-AXY170201</v>
      </c>
      <c r="D380" s="74" t="str">
        <f>IF($B380&lt;&gt;"",_xlfn.IFNA(VLOOKUP($B380,'Node Details'!$B:$U,D$1,0),"Check"),"")</f>
        <v>AXY</v>
      </c>
      <c r="E380" s="74" t="str">
        <f>IF($B380&lt;&gt;"",_xlfn.IFNA(VLOOKUP($B380,'Node Details'!$B:$U,E$1,0),"Check"),"")</f>
        <v>Airtel</v>
      </c>
      <c r="F380" s="76">
        <v>46113</v>
      </c>
      <c r="G380" s="74"/>
      <c r="H380" s="10" t="s">
        <v>1248</v>
      </c>
      <c r="I380" s="9">
        <v>1</v>
      </c>
      <c r="J380" s="9">
        <v>950</v>
      </c>
      <c r="K380" s="77">
        <f t="shared" si="47"/>
        <v>950</v>
      </c>
      <c r="L380" s="76">
        <v>46112</v>
      </c>
      <c r="N380" s="83"/>
      <c r="O380" s="84"/>
      <c r="P380" s="81">
        <f t="shared" si="42"/>
        <v>950</v>
      </c>
      <c r="Q380" s="81">
        <f t="shared" si="43"/>
        <v>950</v>
      </c>
      <c r="R380" s="81"/>
      <c r="S380" s="81"/>
      <c r="T380" s="85"/>
      <c r="U380" s="81">
        <f t="shared" si="44"/>
        <v>950</v>
      </c>
      <c r="V380" s="81">
        <f t="shared" si="45"/>
        <v>1</v>
      </c>
      <c r="W380" s="82">
        <f t="shared" si="46"/>
        <v>950</v>
      </c>
      <c r="X380" s="82" t="s">
        <v>84</v>
      </c>
      <c r="Y380" s="24" t="s">
        <v>93</v>
      </c>
    </row>
    <row r="381" spans="1:25" s="24" customFormat="1" ht="11.1" customHeight="1">
      <c r="A381" s="74">
        <f t="shared" si="41"/>
        <v>379</v>
      </c>
      <c r="B381" s="75" t="s">
        <v>365</v>
      </c>
      <c r="C381" s="74" t="str">
        <f>IF($B381&lt;&gt;"",_xlfn.IFNA(VLOOKUP($B381,'Node Details'!$B:$U,C$1,0),"Check"),"")</f>
        <v>AXY170103-AXY170107</v>
      </c>
      <c r="D381" s="74" t="str">
        <f>IF($B381&lt;&gt;"",_xlfn.IFNA(VLOOKUP($B381,'Node Details'!$B:$U,D$1,0),"Check"),"")</f>
        <v>AXY</v>
      </c>
      <c r="E381" s="74" t="str">
        <f>IF($B381&lt;&gt;"",_xlfn.IFNA(VLOOKUP($B381,'Node Details'!$B:$U,E$1,0),"Check"),"")</f>
        <v>Airtel</v>
      </c>
      <c r="F381" s="76">
        <v>46113</v>
      </c>
      <c r="G381" s="74"/>
      <c r="H381" s="10" t="s">
        <v>1248</v>
      </c>
      <c r="I381" s="9">
        <v>1</v>
      </c>
      <c r="J381" s="9">
        <v>950</v>
      </c>
      <c r="K381" s="77">
        <f t="shared" si="47"/>
        <v>950</v>
      </c>
      <c r="L381" s="76">
        <v>46112</v>
      </c>
      <c r="N381" s="83"/>
      <c r="O381" s="84"/>
      <c r="P381" s="81">
        <f t="shared" si="42"/>
        <v>950</v>
      </c>
      <c r="Q381" s="81">
        <f t="shared" si="43"/>
        <v>950</v>
      </c>
      <c r="R381" s="81"/>
      <c r="S381" s="81"/>
      <c r="T381" s="85"/>
      <c r="U381" s="81">
        <f t="shared" si="44"/>
        <v>950</v>
      </c>
      <c r="V381" s="81">
        <f t="shared" si="45"/>
        <v>1</v>
      </c>
      <c r="W381" s="82">
        <f t="shared" si="46"/>
        <v>950</v>
      </c>
      <c r="X381" s="82" t="s">
        <v>84</v>
      </c>
      <c r="Y381" s="24" t="s">
        <v>93</v>
      </c>
    </row>
    <row r="382" spans="1:25" s="24" customFormat="1" ht="11.1" customHeight="1">
      <c r="A382" s="74">
        <f t="shared" si="41"/>
        <v>380</v>
      </c>
      <c r="B382" s="75" t="s">
        <v>1050</v>
      </c>
      <c r="C382" s="74" t="str">
        <f>IF($B382&lt;&gt;"",_xlfn.IFNA(VLOOKUP($B382,'Node Details'!$B:$U,C$1,0),"Check"),"")</f>
        <v>AXY170103-AXY170107</v>
      </c>
      <c r="D382" s="74" t="str">
        <f>IF($B382&lt;&gt;"",_xlfn.IFNA(VLOOKUP($B382,'Node Details'!$B:$U,D$1,0),"Check"),"")</f>
        <v>AXY</v>
      </c>
      <c r="E382" s="74" t="str">
        <f>IF($B382&lt;&gt;"",_xlfn.IFNA(VLOOKUP($B382,'Node Details'!$B:$U,E$1,0),"Check"),"")</f>
        <v>Airtel</v>
      </c>
      <c r="F382" s="76">
        <v>46113</v>
      </c>
      <c r="G382" s="74"/>
      <c r="H382" s="10" t="s">
        <v>1248</v>
      </c>
      <c r="I382" s="9">
        <v>1</v>
      </c>
      <c r="J382" s="9">
        <v>950</v>
      </c>
      <c r="K382" s="77">
        <f t="shared" si="47"/>
        <v>950</v>
      </c>
      <c r="L382" s="76">
        <v>46112</v>
      </c>
      <c r="N382" s="83"/>
      <c r="O382" s="84"/>
      <c r="P382" s="81">
        <f t="shared" si="42"/>
        <v>950</v>
      </c>
      <c r="Q382" s="81">
        <f t="shared" si="43"/>
        <v>950</v>
      </c>
      <c r="R382" s="81"/>
      <c r="S382" s="81"/>
      <c r="T382" s="85"/>
      <c r="U382" s="81">
        <f t="shared" si="44"/>
        <v>950</v>
      </c>
      <c r="V382" s="81">
        <f t="shared" si="45"/>
        <v>1</v>
      </c>
      <c r="W382" s="82">
        <f t="shared" si="46"/>
        <v>950</v>
      </c>
      <c r="X382" s="82" t="s">
        <v>84</v>
      </c>
      <c r="Y382" s="24" t="s">
        <v>93</v>
      </c>
    </row>
    <row r="383" spans="1:25" s="24" customFormat="1" ht="11.1" customHeight="1">
      <c r="A383" s="74">
        <f t="shared" si="41"/>
        <v>381</v>
      </c>
      <c r="B383" s="75" t="s">
        <v>149</v>
      </c>
      <c r="C383" s="74" t="str">
        <f>IF($B383&lt;&gt;"",_xlfn.IFNA(VLOOKUP($B383,'Node Details'!$B:$U,C$1,0),"Check"),"")</f>
        <v>000000AXY-0000AXY01</v>
      </c>
      <c r="D383" s="74" t="str">
        <f>IF($B383&lt;&gt;"",_xlfn.IFNA(VLOOKUP($B383,'Node Details'!$B:$U,D$1,0),"Check"),"")</f>
        <v>AXY</v>
      </c>
      <c r="E383" s="74" t="str">
        <f>IF($B383&lt;&gt;"",_xlfn.IFNA(VLOOKUP($B383,'Node Details'!$B:$U,E$1,0),"Check"),"")</f>
        <v>Airtel</v>
      </c>
      <c r="F383" s="76">
        <v>46113</v>
      </c>
      <c r="G383" s="74"/>
      <c r="H383" s="10" t="s">
        <v>1250</v>
      </c>
      <c r="I383" s="9">
        <v>2</v>
      </c>
      <c r="J383" s="9">
        <v>150</v>
      </c>
      <c r="K383" s="77">
        <f t="shared" si="47"/>
        <v>300</v>
      </c>
      <c r="L383" s="76">
        <v>46112</v>
      </c>
      <c r="N383" s="83"/>
      <c r="O383" s="84"/>
      <c r="P383" s="81">
        <f t="shared" si="42"/>
        <v>150</v>
      </c>
      <c r="Q383" s="81">
        <f t="shared" si="43"/>
        <v>300</v>
      </c>
      <c r="R383" s="81"/>
      <c r="S383" s="81"/>
      <c r="T383" s="85"/>
      <c r="U383" s="81">
        <f t="shared" si="44"/>
        <v>150</v>
      </c>
      <c r="V383" s="81">
        <f t="shared" si="45"/>
        <v>2</v>
      </c>
      <c r="W383" s="82">
        <f t="shared" si="46"/>
        <v>300</v>
      </c>
      <c r="X383" s="82" t="s">
        <v>84</v>
      </c>
      <c r="Y383" s="24" t="s">
        <v>93</v>
      </c>
    </row>
    <row r="384" spans="1:25" s="24" customFormat="1" ht="11.1" customHeight="1">
      <c r="A384" s="74">
        <f t="shared" si="41"/>
        <v>382</v>
      </c>
      <c r="B384" s="75" t="s">
        <v>157</v>
      </c>
      <c r="C384" s="74" t="str">
        <f>IF($B384&lt;&gt;"",_xlfn.IFNA(VLOOKUP($B384,'Node Details'!$B:$U,C$1,0),"Check"),"")</f>
        <v>0000AXY01-AXY010101</v>
      </c>
      <c r="D384" s="74" t="str">
        <f>IF($B384&lt;&gt;"",_xlfn.IFNA(VLOOKUP($B384,'Node Details'!$B:$U,D$1,0),"Check"),"")</f>
        <v>AXY</v>
      </c>
      <c r="E384" s="74" t="str">
        <f>IF($B384&lt;&gt;"",_xlfn.IFNA(VLOOKUP($B384,'Node Details'!$B:$U,E$1,0),"Check"),"")</f>
        <v>Airtel</v>
      </c>
      <c r="F384" s="76">
        <v>46113</v>
      </c>
      <c r="G384" s="74"/>
      <c r="H384" s="10" t="s">
        <v>1250</v>
      </c>
      <c r="I384" s="9">
        <v>2</v>
      </c>
      <c r="J384" s="9">
        <v>150</v>
      </c>
      <c r="K384" s="77">
        <f t="shared" si="47"/>
        <v>300</v>
      </c>
      <c r="L384" s="76">
        <v>46112</v>
      </c>
      <c r="N384" s="83"/>
      <c r="O384" s="84"/>
      <c r="P384" s="81">
        <f t="shared" si="42"/>
        <v>150</v>
      </c>
      <c r="Q384" s="81">
        <f t="shared" si="43"/>
        <v>300</v>
      </c>
      <c r="R384" s="81"/>
      <c r="S384" s="81"/>
      <c r="T384" s="85"/>
      <c r="U384" s="81">
        <f t="shared" si="44"/>
        <v>150</v>
      </c>
      <c r="V384" s="81">
        <f t="shared" si="45"/>
        <v>2</v>
      </c>
      <c r="W384" s="82">
        <f t="shared" si="46"/>
        <v>300</v>
      </c>
      <c r="X384" s="82" t="s">
        <v>84</v>
      </c>
      <c r="Y384" s="24" t="s">
        <v>93</v>
      </c>
    </row>
    <row r="385" spans="1:25" s="24" customFormat="1" ht="11.1" customHeight="1">
      <c r="A385" s="74">
        <f t="shared" si="41"/>
        <v>383</v>
      </c>
      <c r="B385" s="75" t="s">
        <v>980</v>
      </c>
      <c r="C385" s="74" t="str">
        <f>IF($B385&lt;&gt;"",_xlfn.IFNA(VLOOKUP($B385,'Node Details'!$B:$U,C$1,0),"Check"),"")</f>
        <v>0000AXY01-AXY010104</v>
      </c>
      <c r="D385" s="74" t="str">
        <f>IF($B385&lt;&gt;"",_xlfn.IFNA(VLOOKUP($B385,'Node Details'!$B:$U,D$1,0),"Check"),"")</f>
        <v>AXY</v>
      </c>
      <c r="E385" s="74" t="str">
        <f>IF($B385&lt;&gt;"",_xlfn.IFNA(VLOOKUP($B385,'Node Details'!$B:$U,E$1,0),"Check"),"")</f>
        <v>Airtel</v>
      </c>
      <c r="F385" s="76">
        <v>46113</v>
      </c>
      <c r="G385" s="74"/>
      <c r="H385" s="10" t="s">
        <v>1250</v>
      </c>
      <c r="I385" s="9">
        <v>2</v>
      </c>
      <c r="J385" s="9">
        <v>150</v>
      </c>
      <c r="K385" s="77">
        <f t="shared" si="47"/>
        <v>300</v>
      </c>
      <c r="L385" s="76">
        <v>46112</v>
      </c>
      <c r="N385" s="83"/>
      <c r="O385" s="84"/>
      <c r="P385" s="81">
        <f t="shared" si="42"/>
        <v>150</v>
      </c>
      <c r="Q385" s="81">
        <f t="shared" si="43"/>
        <v>300</v>
      </c>
      <c r="R385" s="81"/>
      <c r="S385" s="81"/>
      <c r="T385" s="85"/>
      <c r="U385" s="81">
        <f t="shared" si="44"/>
        <v>150</v>
      </c>
      <c r="V385" s="81">
        <f t="shared" si="45"/>
        <v>2</v>
      </c>
      <c r="W385" s="82">
        <f t="shared" si="46"/>
        <v>300</v>
      </c>
      <c r="X385" s="82" t="s">
        <v>84</v>
      </c>
      <c r="Y385" s="24" t="s">
        <v>93</v>
      </c>
    </row>
    <row r="386" spans="1:25" s="24" customFormat="1" ht="11.1" customHeight="1">
      <c r="A386" s="74">
        <f t="shared" si="41"/>
        <v>384</v>
      </c>
      <c r="B386" s="75" t="s">
        <v>160</v>
      </c>
      <c r="C386" s="74" t="str">
        <f>IF($B386&lt;&gt;"",_xlfn.IFNA(VLOOKUP($B386,'Node Details'!$B:$U,C$1,0),"Check"),"")</f>
        <v>0000AXY01-AXY010104</v>
      </c>
      <c r="D386" s="74" t="str">
        <f>IF($B386&lt;&gt;"",_xlfn.IFNA(VLOOKUP($B386,'Node Details'!$B:$U,D$1,0),"Check"),"")</f>
        <v>AXY</v>
      </c>
      <c r="E386" s="74" t="str">
        <f>IF($B386&lt;&gt;"",_xlfn.IFNA(VLOOKUP($B386,'Node Details'!$B:$U,E$1,0),"Check"),"")</f>
        <v>Airtel</v>
      </c>
      <c r="F386" s="76">
        <v>46113</v>
      </c>
      <c r="G386" s="74"/>
      <c r="H386" s="10" t="s">
        <v>1250</v>
      </c>
      <c r="I386" s="9">
        <v>2</v>
      </c>
      <c r="J386" s="9">
        <v>150</v>
      </c>
      <c r="K386" s="77">
        <f t="shared" si="47"/>
        <v>300</v>
      </c>
      <c r="L386" s="76">
        <v>46112</v>
      </c>
      <c r="N386" s="83"/>
      <c r="O386" s="84"/>
      <c r="P386" s="81">
        <f t="shared" si="42"/>
        <v>150</v>
      </c>
      <c r="Q386" s="81">
        <f t="shared" si="43"/>
        <v>300</v>
      </c>
      <c r="R386" s="81"/>
      <c r="S386" s="81"/>
      <c r="T386" s="85"/>
      <c r="U386" s="81">
        <f t="shared" si="44"/>
        <v>150</v>
      </c>
      <c r="V386" s="81">
        <f t="shared" si="45"/>
        <v>2</v>
      </c>
      <c r="W386" s="82">
        <f t="shared" si="46"/>
        <v>300</v>
      </c>
      <c r="X386" s="82" t="s">
        <v>84</v>
      </c>
      <c r="Y386" s="24" t="s">
        <v>93</v>
      </c>
    </row>
    <row r="387" spans="1:25" s="24" customFormat="1" ht="11.1" customHeight="1">
      <c r="A387" s="74">
        <f t="shared" si="41"/>
        <v>385</v>
      </c>
      <c r="B387" s="75" t="s">
        <v>162</v>
      </c>
      <c r="C387" s="74" t="str">
        <f>IF($B387&lt;&gt;"",_xlfn.IFNA(VLOOKUP($B387,'Node Details'!$B:$U,C$1,0),"Check"),"")</f>
        <v>0000AXY01-AXY010102</v>
      </c>
      <c r="D387" s="74" t="str">
        <f>IF($B387&lt;&gt;"",_xlfn.IFNA(VLOOKUP($B387,'Node Details'!$B:$U,D$1,0),"Check"),"")</f>
        <v>AXY</v>
      </c>
      <c r="E387" s="74" t="str">
        <f>IF($B387&lt;&gt;"",_xlfn.IFNA(VLOOKUP($B387,'Node Details'!$B:$U,E$1,0),"Check"),"")</f>
        <v>Airtel</v>
      </c>
      <c r="F387" s="76">
        <v>46113</v>
      </c>
      <c r="G387" s="74"/>
      <c r="H387" s="10" t="s">
        <v>1250</v>
      </c>
      <c r="I387" s="9">
        <v>2</v>
      </c>
      <c r="J387" s="9">
        <v>150</v>
      </c>
      <c r="K387" s="77">
        <f t="shared" si="47"/>
        <v>300</v>
      </c>
      <c r="L387" s="76">
        <v>46112</v>
      </c>
      <c r="N387" s="83"/>
      <c r="O387" s="84"/>
      <c r="P387" s="81">
        <f t="shared" si="42"/>
        <v>150</v>
      </c>
      <c r="Q387" s="81">
        <f t="shared" si="43"/>
        <v>300</v>
      </c>
      <c r="R387" s="81"/>
      <c r="S387" s="81"/>
      <c r="T387" s="85"/>
      <c r="U387" s="81">
        <f t="shared" si="44"/>
        <v>150</v>
      </c>
      <c r="V387" s="81">
        <f t="shared" si="45"/>
        <v>2</v>
      </c>
      <c r="W387" s="82">
        <f t="shared" si="46"/>
        <v>300</v>
      </c>
      <c r="X387" s="82" t="s">
        <v>84</v>
      </c>
      <c r="Y387" s="24" t="s">
        <v>93</v>
      </c>
    </row>
    <row r="388" spans="1:25" s="24" customFormat="1" ht="11.1" customHeight="1">
      <c r="A388" s="74">
        <f t="shared" ref="A388:A451" si="48">A387+1</f>
        <v>386</v>
      </c>
      <c r="B388" s="75" t="s">
        <v>155</v>
      </c>
      <c r="C388" s="74" t="str">
        <f>IF($B388&lt;&gt;"",_xlfn.IFNA(VLOOKUP($B388,'Node Details'!$B:$U,C$1,0),"Check"),"")</f>
        <v>0000AXY02-0000AXY03</v>
      </c>
      <c r="D388" s="74" t="str">
        <f>IF($B388&lt;&gt;"",_xlfn.IFNA(VLOOKUP($B388,'Node Details'!$B:$U,D$1,0),"Check"),"")</f>
        <v>AXY</v>
      </c>
      <c r="E388" s="74" t="str">
        <f>IF($B388&lt;&gt;"",_xlfn.IFNA(VLOOKUP($B388,'Node Details'!$B:$U,E$1,0),"Check"),"")</f>
        <v>Airtel</v>
      </c>
      <c r="F388" s="76">
        <v>46113</v>
      </c>
      <c r="G388" s="74"/>
      <c r="H388" s="10" t="s">
        <v>1250</v>
      </c>
      <c r="I388" s="9">
        <v>2</v>
      </c>
      <c r="J388" s="9">
        <v>150</v>
      </c>
      <c r="K388" s="77">
        <f t="shared" si="47"/>
        <v>300</v>
      </c>
      <c r="L388" s="76">
        <v>46112</v>
      </c>
      <c r="N388" s="83"/>
      <c r="O388" s="84"/>
      <c r="P388" s="81">
        <f t="shared" si="42"/>
        <v>150</v>
      </c>
      <c r="Q388" s="81">
        <f t="shared" si="43"/>
        <v>300</v>
      </c>
      <c r="R388" s="81"/>
      <c r="S388" s="81"/>
      <c r="T388" s="85"/>
      <c r="U388" s="81">
        <f t="shared" si="44"/>
        <v>150</v>
      </c>
      <c r="V388" s="81">
        <f t="shared" si="45"/>
        <v>2</v>
      </c>
      <c r="W388" s="82">
        <f t="shared" si="46"/>
        <v>300</v>
      </c>
      <c r="X388" s="82" t="s">
        <v>84</v>
      </c>
      <c r="Y388" s="24" t="s">
        <v>93</v>
      </c>
    </row>
    <row r="389" spans="1:25" s="24" customFormat="1" ht="11.1" customHeight="1">
      <c r="A389" s="74">
        <f t="shared" si="48"/>
        <v>387</v>
      </c>
      <c r="B389" s="75" t="s">
        <v>164</v>
      </c>
      <c r="C389" s="74" t="str">
        <f>IF($B389&lt;&gt;"",_xlfn.IFNA(VLOOKUP($B389,'Node Details'!$B:$U,C$1,0),"Check"),"")</f>
        <v>0000AXY03-AXY030101</v>
      </c>
      <c r="D389" s="74" t="str">
        <f>IF($B389&lt;&gt;"",_xlfn.IFNA(VLOOKUP($B389,'Node Details'!$B:$U,D$1,0),"Check"),"")</f>
        <v>AXY</v>
      </c>
      <c r="E389" s="74" t="str">
        <f>IF($B389&lt;&gt;"",_xlfn.IFNA(VLOOKUP($B389,'Node Details'!$B:$U,E$1,0),"Check"),"")</f>
        <v>Airtel</v>
      </c>
      <c r="F389" s="76">
        <v>46113</v>
      </c>
      <c r="G389" s="74"/>
      <c r="H389" s="10" t="s">
        <v>1250</v>
      </c>
      <c r="I389" s="9">
        <v>2</v>
      </c>
      <c r="J389" s="9">
        <v>150</v>
      </c>
      <c r="K389" s="77">
        <f t="shared" si="47"/>
        <v>300</v>
      </c>
      <c r="L389" s="76">
        <v>46112</v>
      </c>
      <c r="N389" s="83"/>
      <c r="O389" s="84"/>
      <c r="P389" s="81">
        <f t="shared" si="42"/>
        <v>150</v>
      </c>
      <c r="Q389" s="81">
        <f t="shared" si="43"/>
        <v>300</v>
      </c>
      <c r="R389" s="81"/>
      <c r="S389" s="81"/>
      <c r="T389" s="85"/>
      <c r="U389" s="81">
        <f t="shared" si="44"/>
        <v>150</v>
      </c>
      <c r="V389" s="81">
        <f t="shared" si="45"/>
        <v>2</v>
      </c>
      <c r="W389" s="82">
        <f t="shared" si="46"/>
        <v>300</v>
      </c>
      <c r="X389" s="82" t="s">
        <v>84</v>
      </c>
      <c r="Y389" s="24" t="s">
        <v>93</v>
      </c>
    </row>
    <row r="390" spans="1:25" s="24" customFormat="1" ht="11.1" customHeight="1">
      <c r="A390" s="74">
        <f t="shared" si="48"/>
        <v>388</v>
      </c>
      <c r="B390" s="75" t="s">
        <v>168</v>
      </c>
      <c r="C390" s="74" t="str">
        <f>IF($B390&lt;&gt;"",_xlfn.IFNA(VLOOKUP($B390,'Node Details'!$B:$U,C$1,0),"Check"),"")</f>
        <v>0000AXY03-AXY030104</v>
      </c>
      <c r="D390" s="74" t="str">
        <f>IF($B390&lt;&gt;"",_xlfn.IFNA(VLOOKUP($B390,'Node Details'!$B:$U,D$1,0),"Check"),"")</f>
        <v>AXY</v>
      </c>
      <c r="E390" s="74" t="str">
        <f>IF($B390&lt;&gt;"",_xlfn.IFNA(VLOOKUP($B390,'Node Details'!$B:$U,E$1,0),"Check"),"")</f>
        <v>Airtel</v>
      </c>
      <c r="F390" s="76">
        <v>46113</v>
      </c>
      <c r="G390" s="74"/>
      <c r="H390" s="10" t="s">
        <v>1250</v>
      </c>
      <c r="I390" s="9">
        <v>2</v>
      </c>
      <c r="J390" s="9">
        <v>150</v>
      </c>
      <c r="K390" s="77">
        <f t="shared" si="47"/>
        <v>300</v>
      </c>
      <c r="L390" s="76">
        <v>46112</v>
      </c>
      <c r="N390" s="83"/>
      <c r="O390" s="84"/>
      <c r="P390" s="81">
        <f t="shared" si="42"/>
        <v>150</v>
      </c>
      <c r="Q390" s="81">
        <f t="shared" si="43"/>
        <v>300</v>
      </c>
      <c r="R390" s="81"/>
      <c r="S390" s="81"/>
      <c r="T390" s="85"/>
      <c r="U390" s="81">
        <f t="shared" si="44"/>
        <v>150</v>
      </c>
      <c r="V390" s="81">
        <f t="shared" si="45"/>
        <v>2</v>
      </c>
      <c r="W390" s="82">
        <f t="shared" si="46"/>
        <v>300</v>
      </c>
      <c r="X390" s="82" t="s">
        <v>84</v>
      </c>
      <c r="Y390" s="24" t="s">
        <v>93</v>
      </c>
    </row>
    <row r="391" spans="1:25" s="24" customFormat="1" ht="11.1" customHeight="1">
      <c r="A391" s="74">
        <f t="shared" si="48"/>
        <v>389</v>
      </c>
      <c r="B391" s="75" t="s">
        <v>166</v>
      </c>
      <c r="C391" s="74" t="str">
        <f>IF($B391&lt;&gt;"",_xlfn.IFNA(VLOOKUP($B391,'Node Details'!$B:$U,C$1,0),"Check"),"")</f>
        <v>0000AXY03-AXY030104</v>
      </c>
      <c r="D391" s="74" t="str">
        <f>IF($B391&lt;&gt;"",_xlfn.IFNA(VLOOKUP($B391,'Node Details'!$B:$U,D$1,0),"Check"),"")</f>
        <v>AXY</v>
      </c>
      <c r="E391" s="74" t="str">
        <f>IF($B391&lt;&gt;"",_xlfn.IFNA(VLOOKUP($B391,'Node Details'!$B:$U,E$1,0),"Check"),"")</f>
        <v>Airtel</v>
      </c>
      <c r="F391" s="76">
        <v>46113</v>
      </c>
      <c r="G391" s="74"/>
      <c r="H391" s="10" t="s">
        <v>1250</v>
      </c>
      <c r="I391" s="9">
        <v>2</v>
      </c>
      <c r="J391" s="9">
        <v>150</v>
      </c>
      <c r="K391" s="77">
        <f t="shared" si="47"/>
        <v>300</v>
      </c>
      <c r="L391" s="76">
        <v>46112</v>
      </c>
      <c r="N391" s="83"/>
      <c r="O391" s="84"/>
      <c r="P391" s="81">
        <f t="shared" si="42"/>
        <v>150</v>
      </c>
      <c r="Q391" s="81">
        <f t="shared" si="43"/>
        <v>300</v>
      </c>
      <c r="R391" s="81"/>
      <c r="S391" s="81"/>
      <c r="T391" s="85"/>
      <c r="U391" s="81">
        <f t="shared" si="44"/>
        <v>150</v>
      </c>
      <c r="V391" s="81">
        <f t="shared" si="45"/>
        <v>2</v>
      </c>
      <c r="W391" s="82">
        <f t="shared" si="46"/>
        <v>300</v>
      </c>
      <c r="X391" s="82" t="s">
        <v>84</v>
      </c>
      <c r="Y391" s="24" t="s">
        <v>93</v>
      </c>
    </row>
    <row r="392" spans="1:25" s="24" customFormat="1" ht="11.1" customHeight="1">
      <c r="A392" s="74">
        <f t="shared" si="48"/>
        <v>390</v>
      </c>
      <c r="B392" s="75" t="s">
        <v>169</v>
      </c>
      <c r="C392" s="74" t="str">
        <f>IF($B392&lt;&gt;"",_xlfn.IFNA(VLOOKUP($B392,'Node Details'!$B:$U,C$1,0),"Check"),"")</f>
        <v>AXY030103-AXY030105</v>
      </c>
      <c r="D392" s="74" t="str">
        <f>IF($B392&lt;&gt;"",_xlfn.IFNA(VLOOKUP($B392,'Node Details'!$B:$U,D$1,0),"Check"),"")</f>
        <v>AXY</v>
      </c>
      <c r="E392" s="74" t="str">
        <f>IF($B392&lt;&gt;"",_xlfn.IFNA(VLOOKUP($B392,'Node Details'!$B:$U,E$1,0),"Check"),"")</f>
        <v>Airtel</v>
      </c>
      <c r="F392" s="76">
        <v>46113</v>
      </c>
      <c r="G392" s="74"/>
      <c r="H392" s="10" t="s">
        <v>1250</v>
      </c>
      <c r="I392" s="9">
        <v>2</v>
      </c>
      <c r="J392" s="9">
        <v>150</v>
      </c>
      <c r="K392" s="77">
        <f t="shared" si="47"/>
        <v>300</v>
      </c>
      <c r="L392" s="76">
        <v>46112</v>
      </c>
      <c r="N392" s="83"/>
      <c r="O392" s="84"/>
      <c r="P392" s="81">
        <f t="shared" si="42"/>
        <v>150</v>
      </c>
      <c r="Q392" s="81">
        <f t="shared" si="43"/>
        <v>300</v>
      </c>
      <c r="R392" s="81"/>
      <c r="S392" s="81"/>
      <c r="T392" s="85"/>
      <c r="U392" s="81">
        <f t="shared" si="44"/>
        <v>150</v>
      </c>
      <c r="V392" s="81">
        <f t="shared" si="45"/>
        <v>2</v>
      </c>
      <c r="W392" s="82">
        <f t="shared" si="46"/>
        <v>300</v>
      </c>
      <c r="X392" s="82" t="s">
        <v>84</v>
      </c>
      <c r="Y392" s="24" t="s">
        <v>93</v>
      </c>
    </row>
    <row r="393" spans="1:25" s="24" customFormat="1" ht="11.1" customHeight="1">
      <c r="A393" s="74">
        <f t="shared" si="48"/>
        <v>391</v>
      </c>
      <c r="B393" s="75" t="s">
        <v>174</v>
      </c>
      <c r="C393" s="74" t="str">
        <f>IF($B393&lt;&gt;"",_xlfn.IFNA(VLOOKUP($B393,'Node Details'!$B:$U,C$1,0),"Check"),"")</f>
        <v>0000AXY03-AXY030108</v>
      </c>
      <c r="D393" s="74" t="str">
        <f>IF($B393&lt;&gt;"",_xlfn.IFNA(VLOOKUP($B393,'Node Details'!$B:$U,D$1,0),"Check"),"")</f>
        <v>AXY</v>
      </c>
      <c r="E393" s="74" t="str">
        <f>IF($B393&lt;&gt;"",_xlfn.IFNA(VLOOKUP($B393,'Node Details'!$B:$U,E$1,0),"Check"),"")</f>
        <v>Airtel</v>
      </c>
      <c r="F393" s="76">
        <v>46113</v>
      </c>
      <c r="G393" s="74"/>
      <c r="H393" s="10" t="s">
        <v>1250</v>
      </c>
      <c r="I393" s="9">
        <v>2</v>
      </c>
      <c r="J393" s="9">
        <v>150</v>
      </c>
      <c r="K393" s="77">
        <f t="shared" si="47"/>
        <v>300</v>
      </c>
      <c r="L393" s="76">
        <v>46112</v>
      </c>
      <c r="N393" s="83"/>
      <c r="O393" s="84"/>
      <c r="P393" s="81">
        <f t="shared" si="42"/>
        <v>150</v>
      </c>
      <c r="Q393" s="81">
        <f t="shared" si="43"/>
        <v>300</v>
      </c>
      <c r="R393" s="81"/>
      <c r="S393" s="81"/>
      <c r="T393" s="85"/>
      <c r="U393" s="81">
        <f t="shared" si="44"/>
        <v>150</v>
      </c>
      <c r="V393" s="81">
        <f t="shared" si="45"/>
        <v>2</v>
      </c>
      <c r="W393" s="82">
        <f t="shared" si="46"/>
        <v>300</v>
      </c>
      <c r="X393" s="82" t="s">
        <v>84</v>
      </c>
      <c r="Y393" s="24" t="s">
        <v>93</v>
      </c>
    </row>
    <row r="394" spans="1:25" s="24" customFormat="1" ht="11.1" customHeight="1">
      <c r="A394" s="74">
        <f t="shared" si="48"/>
        <v>392</v>
      </c>
      <c r="B394" s="75" t="s">
        <v>172</v>
      </c>
      <c r="C394" s="74" t="str">
        <f>IF($B394&lt;&gt;"",_xlfn.IFNA(VLOOKUP($B394,'Node Details'!$B:$U,C$1,0),"Check"),"")</f>
        <v>0000AXY03-AXY030108</v>
      </c>
      <c r="D394" s="74" t="str">
        <f>IF($B394&lt;&gt;"",_xlfn.IFNA(VLOOKUP($B394,'Node Details'!$B:$U,D$1,0),"Check"),"")</f>
        <v>AXY</v>
      </c>
      <c r="E394" s="74" t="str">
        <f>IF($B394&lt;&gt;"",_xlfn.IFNA(VLOOKUP($B394,'Node Details'!$B:$U,E$1,0),"Check"),"")</f>
        <v>Airtel</v>
      </c>
      <c r="F394" s="76">
        <v>46113</v>
      </c>
      <c r="G394" s="74"/>
      <c r="H394" s="10" t="s">
        <v>1250</v>
      </c>
      <c r="I394" s="9">
        <v>2</v>
      </c>
      <c r="J394" s="9">
        <v>150</v>
      </c>
      <c r="K394" s="77">
        <f t="shared" si="47"/>
        <v>300</v>
      </c>
      <c r="L394" s="76">
        <v>46112</v>
      </c>
      <c r="N394" s="83"/>
      <c r="O394" s="84"/>
      <c r="P394" s="81">
        <f t="shared" si="42"/>
        <v>150</v>
      </c>
      <c r="Q394" s="81">
        <f t="shared" si="43"/>
        <v>300</v>
      </c>
      <c r="R394" s="81"/>
      <c r="S394" s="81"/>
      <c r="T394" s="85"/>
      <c r="U394" s="81">
        <f t="shared" si="44"/>
        <v>150</v>
      </c>
      <c r="V394" s="81">
        <f t="shared" si="45"/>
        <v>2</v>
      </c>
      <c r="W394" s="82">
        <f t="shared" si="46"/>
        <v>300</v>
      </c>
      <c r="X394" s="82" t="s">
        <v>84</v>
      </c>
      <c r="Y394" s="24" t="s">
        <v>93</v>
      </c>
    </row>
    <row r="395" spans="1:25" s="24" customFormat="1" ht="11.1" customHeight="1">
      <c r="A395" s="74">
        <f t="shared" si="48"/>
        <v>393</v>
      </c>
      <c r="B395" s="75" t="s">
        <v>175</v>
      </c>
      <c r="C395" s="74" t="str">
        <f>IF($B395&lt;&gt;"",_xlfn.IFNA(VLOOKUP($B395,'Node Details'!$B:$U,C$1,0),"Check"),"")</f>
        <v>AXY030107-AXY030201</v>
      </c>
      <c r="D395" s="74" t="str">
        <f>IF($B395&lt;&gt;"",_xlfn.IFNA(VLOOKUP($B395,'Node Details'!$B:$U,D$1,0),"Check"),"")</f>
        <v>AXY</v>
      </c>
      <c r="E395" s="74" t="str">
        <f>IF($B395&lt;&gt;"",_xlfn.IFNA(VLOOKUP($B395,'Node Details'!$B:$U,E$1,0),"Check"),"")</f>
        <v>Airtel</v>
      </c>
      <c r="F395" s="76">
        <v>46113</v>
      </c>
      <c r="G395" s="74"/>
      <c r="H395" s="10" t="s">
        <v>1250</v>
      </c>
      <c r="I395" s="9">
        <v>2</v>
      </c>
      <c r="J395" s="9">
        <v>150</v>
      </c>
      <c r="K395" s="77">
        <f t="shared" si="47"/>
        <v>300</v>
      </c>
      <c r="L395" s="76">
        <v>46112</v>
      </c>
      <c r="N395" s="83"/>
      <c r="O395" s="84"/>
      <c r="P395" s="81">
        <f t="shared" si="42"/>
        <v>150</v>
      </c>
      <c r="Q395" s="81">
        <f t="shared" si="43"/>
        <v>300</v>
      </c>
      <c r="R395" s="81"/>
      <c r="S395" s="81"/>
      <c r="T395" s="85"/>
      <c r="U395" s="81">
        <f t="shared" si="44"/>
        <v>150</v>
      </c>
      <c r="V395" s="81">
        <f t="shared" si="45"/>
        <v>2</v>
      </c>
      <c r="W395" s="82">
        <f t="shared" si="46"/>
        <v>300</v>
      </c>
      <c r="X395" s="82" t="s">
        <v>84</v>
      </c>
      <c r="Y395" s="24" t="s">
        <v>93</v>
      </c>
    </row>
    <row r="396" spans="1:25" s="24" customFormat="1" ht="11.1" customHeight="1">
      <c r="A396" s="74">
        <f t="shared" si="48"/>
        <v>394</v>
      </c>
      <c r="B396" s="75" t="s">
        <v>981</v>
      </c>
      <c r="C396" s="74" t="str">
        <f>IF($B396&lt;&gt;"",_xlfn.IFNA(VLOOKUP($B396,'Node Details'!$B:$U,C$1,0),"Check"),"")</f>
        <v>AXY030201-AXY030204</v>
      </c>
      <c r="D396" s="74" t="str">
        <f>IF($B396&lt;&gt;"",_xlfn.IFNA(VLOOKUP($B396,'Node Details'!$B:$U,D$1,0),"Check"),"")</f>
        <v>AXY</v>
      </c>
      <c r="E396" s="74" t="str">
        <f>IF($B396&lt;&gt;"",_xlfn.IFNA(VLOOKUP($B396,'Node Details'!$B:$U,E$1,0),"Check"),"")</f>
        <v>Airtel</v>
      </c>
      <c r="F396" s="76">
        <v>46113</v>
      </c>
      <c r="G396" s="74"/>
      <c r="H396" s="10" t="s">
        <v>1250</v>
      </c>
      <c r="I396" s="9">
        <v>2</v>
      </c>
      <c r="J396" s="9">
        <v>150</v>
      </c>
      <c r="K396" s="77">
        <f t="shared" si="47"/>
        <v>300</v>
      </c>
      <c r="L396" s="76">
        <v>46112</v>
      </c>
      <c r="N396" s="83"/>
      <c r="O396" s="84"/>
      <c r="P396" s="81">
        <f t="shared" si="42"/>
        <v>150</v>
      </c>
      <c r="Q396" s="81">
        <f t="shared" si="43"/>
        <v>300</v>
      </c>
      <c r="R396" s="81"/>
      <c r="S396" s="81"/>
      <c r="T396" s="85"/>
      <c r="U396" s="81">
        <f t="shared" si="44"/>
        <v>150</v>
      </c>
      <c r="V396" s="81">
        <f t="shared" si="45"/>
        <v>2</v>
      </c>
      <c r="W396" s="82">
        <f t="shared" si="46"/>
        <v>300</v>
      </c>
      <c r="X396" s="82" t="s">
        <v>84</v>
      </c>
      <c r="Y396" s="24" t="s">
        <v>93</v>
      </c>
    </row>
    <row r="397" spans="1:25" s="24" customFormat="1" ht="11.1" customHeight="1">
      <c r="A397" s="74">
        <f t="shared" si="48"/>
        <v>395</v>
      </c>
      <c r="B397" s="75" t="s">
        <v>177</v>
      </c>
      <c r="C397" s="74" t="str">
        <f>IF($B397&lt;&gt;"",_xlfn.IFNA(VLOOKUP($B397,'Node Details'!$B:$U,C$1,0),"Check"),"")</f>
        <v>AXY030201-AXY030204</v>
      </c>
      <c r="D397" s="74" t="str">
        <f>IF($B397&lt;&gt;"",_xlfn.IFNA(VLOOKUP($B397,'Node Details'!$B:$U,D$1,0),"Check"),"")</f>
        <v>AXY</v>
      </c>
      <c r="E397" s="74" t="str">
        <f>IF($B397&lt;&gt;"",_xlfn.IFNA(VLOOKUP($B397,'Node Details'!$B:$U,E$1,0),"Check"),"")</f>
        <v>Airtel</v>
      </c>
      <c r="F397" s="76">
        <v>46113</v>
      </c>
      <c r="G397" s="74"/>
      <c r="H397" s="10" t="s">
        <v>1250</v>
      </c>
      <c r="I397" s="9">
        <v>2</v>
      </c>
      <c r="J397" s="9">
        <v>150</v>
      </c>
      <c r="K397" s="77">
        <f t="shared" si="47"/>
        <v>300</v>
      </c>
      <c r="L397" s="76">
        <v>46112</v>
      </c>
      <c r="N397" s="83"/>
      <c r="O397" s="84"/>
      <c r="P397" s="81">
        <f t="shared" si="42"/>
        <v>150</v>
      </c>
      <c r="Q397" s="81">
        <f t="shared" si="43"/>
        <v>300</v>
      </c>
      <c r="R397" s="81"/>
      <c r="S397" s="81"/>
      <c r="T397" s="85"/>
      <c r="U397" s="81">
        <f t="shared" si="44"/>
        <v>150</v>
      </c>
      <c r="V397" s="81">
        <f t="shared" si="45"/>
        <v>2</v>
      </c>
      <c r="W397" s="82">
        <f t="shared" si="46"/>
        <v>300</v>
      </c>
      <c r="X397" s="82" t="s">
        <v>84</v>
      </c>
      <c r="Y397" s="24" t="s">
        <v>93</v>
      </c>
    </row>
    <row r="398" spans="1:25" s="24" customFormat="1" ht="11.1" customHeight="1">
      <c r="A398" s="74">
        <f t="shared" si="48"/>
        <v>396</v>
      </c>
      <c r="B398" s="75" t="s">
        <v>151</v>
      </c>
      <c r="C398" s="74" t="str">
        <f>IF($B398&lt;&gt;"",_xlfn.IFNA(VLOOKUP($B398,'Node Details'!$B:$U,C$1,0),"Check"),"")</f>
        <v>000000AXY-0000AXY12</v>
      </c>
      <c r="D398" s="74" t="str">
        <f>IF($B398&lt;&gt;"",_xlfn.IFNA(VLOOKUP($B398,'Node Details'!$B:$U,D$1,0),"Check"),"")</f>
        <v>AXY</v>
      </c>
      <c r="E398" s="74" t="str">
        <f>IF($B398&lt;&gt;"",_xlfn.IFNA(VLOOKUP($B398,'Node Details'!$B:$U,E$1,0),"Check"),"")</f>
        <v>Airtel</v>
      </c>
      <c r="F398" s="76">
        <v>46113</v>
      </c>
      <c r="G398" s="74"/>
      <c r="H398" s="10" t="s">
        <v>1250</v>
      </c>
      <c r="I398" s="9">
        <v>2</v>
      </c>
      <c r="J398" s="9">
        <v>150</v>
      </c>
      <c r="K398" s="77">
        <f t="shared" si="47"/>
        <v>300</v>
      </c>
      <c r="L398" s="76">
        <v>46112</v>
      </c>
      <c r="N398" s="83"/>
      <c r="O398" s="84"/>
      <c r="P398" s="81">
        <f t="shared" si="42"/>
        <v>150</v>
      </c>
      <c r="Q398" s="81">
        <f t="shared" si="43"/>
        <v>300</v>
      </c>
      <c r="R398" s="81"/>
      <c r="S398" s="81"/>
      <c r="T398" s="85"/>
      <c r="U398" s="81">
        <f t="shared" si="44"/>
        <v>150</v>
      </c>
      <c r="V398" s="81">
        <f t="shared" si="45"/>
        <v>2</v>
      </c>
      <c r="W398" s="82">
        <f t="shared" si="46"/>
        <v>300</v>
      </c>
      <c r="X398" s="82" t="s">
        <v>84</v>
      </c>
      <c r="Y398" s="24" t="s">
        <v>93</v>
      </c>
    </row>
    <row r="399" spans="1:25" s="24" customFormat="1" ht="11.1" customHeight="1">
      <c r="A399" s="74">
        <f t="shared" si="48"/>
        <v>397</v>
      </c>
      <c r="B399" s="75" t="s">
        <v>179</v>
      </c>
      <c r="C399" s="74" t="str">
        <f>IF($B399&lt;&gt;"",_xlfn.IFNA(VLOOKUP($B399,'Node Details'!$B:$U,C$1,0),"Check"),"")</f>
        <v>0000AXY04-AXY040101</v>
      </c>
      <c r="D399" s="74" t="str">
        <f>IF($B399&lt;&gt;"",_xlfn.IFNA(VLOOKUP($B399,'Node Details'!$B:$U,D$1,0),"Check"),"")</f>
        <v>AXY</v>
      </c>
      <c r="E399" s="74" t="str">
        <f>IF($B399&lt;&gt;"",_xlfn.IFNA(VLOOKUP($B399,'Node Details'!$B:$U,E$1,0),"Check"),"")</f>
        <v>Airtel</v>
      </c>
      <c r="F399" s="76">
        <v>46113</v>
      </c>
      <c r="G399" s="74"/>
      <c r="H399" s="10" t="s">
        <v>1250</v>
      </c>
      <c r="I399" s="9">
        <v>2</v>
      </c>
      <c r="J399" s="9">
        <v>150</v>
      </c>
      <c r="K399" s="77">
        <f t="shared" si="47"/>
        <v>300</v>
      </c>
      <c r="L399" s="76">
        <v>46112</v>
      </c>
      <c r="N399" s="83"/>
      <c r="O399" s="84"/>
      <c r="P399" s="81">
        <f t="shared" si="42"/>
        <v>150</v>
      </c>
      <c r="Q399" s="81">
        <f t="shared" si="43"/>
        <v>300</v>
      </c>
      <c r="R399" s="81"/>
      <c r="S399" s="81"/>
      <c r="T399" s="85"/>
      <c r="U399" s="81">
        <f t="shared" si="44"/>
        <v>150</v>
      </c>
      <c r="V399" s="81">
        <f t="shared" si="45"/>
        <v>2</v>
      </c>
      <c r="W399" s="82">
        <f t="shared" si="46"/>
        <v>300</v>
      </c>
      <c r="X399" s="82" t="s">
        <v>84</v>
      </c>
      <c r="Y399" s="24" t="s">
        <v>93</v>
      </c>
    </row>
    <row r="400" spans="1:25" s="24" customFormat="1" ht="11.1" customHeight="1">
      <c r="A400" s="74">
        <f t="shared" si="48"/>
        <v>398</v>
      </c>
      <c r="B400" s="75" t="s">
        <v>982</v>
      </c>
      <c r="C400" s="74" t="str">
        <f>IF($B400&lt;&gt;"",_xlfn.IFNA(VLOOKUP($B400,'Node Details'!$B:$U,C$1,0),"Check"),"")</f>
        <v>0000AXY04-00AXY-FMS</v>
      </c>
      <c r="D400" s="74" t="str">
        <f>IF($B400&lt;&gt;"",_xlfn.IFNA(VLOOKUP($B400,'Node Details'!$B:$U,D$1,0),"Check"),"")</f>
        <v>AXY</v>
      </c>
      <c r="E400" s="74" t="str">
        <f>IF($B400&lt;&gt;"",_xlfn.IFNA(VLOOKUP($B400,'Node Details'!$B:$U,E$1,0),"Check"),"")</f>
        <v>Airtel</v>
      </c>
      <c r="F400" s="76">
        <v>46113</v>
      </c>
      <c r="G400" s="74"/>
      <c r="H400" s="10" t="s">
        <v>1250</v>
      </c>
      <c r="I400" s="9">
        <v>2</v>
      </c>
      <c r="J400" s="9">
        <v>150</v>
      </c>
      <c r="K400" s="77">
        <f t="shared" si="47"/>
        <v>300</v>
      </c>
      <c r="L400" s="76">
        <v>46112</v>
      </c>
      <c r="N400" s="83"/>
      <c r="O400" s="84"/>
      <c r="P400" s="81">
        <f t="shared" si="42"/>
        <v>150</v>
      </c>
      <c r="Q400" s="81">
        <f t="shared" si="43"/>
        <v>300</v>
      </c>
      <c r="R400" s="81"/>
      <c r="S400" s="81"/>
      <c r="T400" s="85"/>
      <c r="U400" s="81">
        <f t="shared" si="44"/>
        <v>150</v>
      </c>
      <c r="V400" s="81">
        <f t="shared" si="45"/>
        <v>2</v>
      </c>
      <c r="W400" s="82">
        <f t="shared" si="46"/>
        <v>300</v>
      </c>
      <c r="X400" s="82" t="s">
        <v>84</v>
      </c>
      <c r="Y400" s="24" t="s">
        <v>93</v>
      </c>
    </row>
    <row r="401" spans="1:25" s="24" customFormat="1" ht="11.1" customHeight="1">
      <c r="A401" s="74">
        <f t="shared" si="48"/>
        <v>399</v>
      </c>
      <c r="B401" s="75" t="s">
        <v>983</v>
      </c>
      <c r="C401" s="74" t="str">
        <f>IF($B401&lt;&gt;"",_xlfn.IFNA(VLOOKUP($B401,'Node Details'!$B:$U,C$1,0),"Check"),"")</f>
        <v>00AXY-FMS-AXY040108</v>
      </c>
      <c r="D401" s="74" t="str">
        <f>IF($B401&lt;&gt;"",_xlfn.IFNA(VLOOKUP($B401,'Node Details'!$B:$U,D$1,0),"Check"),"")</f>
        <v>AXY</v>
      </c>
      <c r="E401" s="74" t="str">
        <f>IF($B401&lt;&gt;"",_xlfn.IFNA(VLOOKUP($B401,'Node Details'!$B:$U,E$1,0),"Check"),"")</f>
        <v>Airtel</v>
      </c>
      <c r="F401" s="76">
        <v>46113</v>
      </c>
      <c r="G401" s="74"/>
      <c r="H401" s="10" t="s">
        <v>1250</v>
      </c>
      <c r="I401" s="9">
        <v>2</v>
      </c>
      <c r="J401" s="9">
        <v>150</v>
      </c>
      <c r="K401" s="77">
        <f t="shared" si="47"/>
        <v>300</v>
      </c>
      <c r="L401" s="76">
        <v>46112</v>
      </c>
      <c r="N401" s="83"/>
      <c r="O401" s="84"/>
      <c r="P401" s="81">
        <f t="shared" si="42"/>
        <v>150</v>
      </c>
      <c r="Q401" s="81">
        <f t="shared" si="43"/>
        <v>300</v>
      </c>
      <c r="R401" s="81"/>
      <c r="S401" s="81"/>
      <c r="T401" s="85"/>
      <c r="U401" s="81">
        <f t="shared" si="44"/>
        <v>150</v>
      </c>
      <c r="V401" s="81">
        <f t="shared" si="45"/>
        <v>2</v>
      </c>
      <c r="W401" s="82">
        <f t="shared" si="46"/>
        <v>300</v>
      </c>
      <c r="X401" s="82" t="s">
        <v>84</v>
      </c>
      <c r="Y401" s="24" t="s">
        <v>93</v>
      </c>
    </row>
    <row r="402" spans="1:25" s="24" customFormat="1" ht="11.1" customHeight="1">
      <c r="A402" s="74">
        <f t="shared" si="48"/>
        <v>400</v>
      </c>
      <c r="B402" s="75" t="s">
        <v>984</v>
      </c>
      <c r="C402" s="74" t="str">
        <f>IF($B402&lt;&gt;"",_xlfn.IFNA(VLOOKUP($B402,'Node Details'!$B:$U,C$1,0),"Check"),"")</f>
        <v>00AXY-FMS-AXY040108</v>
      </c>
      <c r="D402" s="74" t="str">
        <f>IF($B402&lt;&gt;"",_xlfn.IFNA(VLOOKUP($B402,'Node Details'!$B:$U,D$1,0),"Check"),"")</f>
        <v>AXY</v>
      </c>
      <c r="E402" s="74" t="str">
        <f>IF($B402&lt;&gt;"",_xlfn.IFNA(VLOOKUP($B402,'Node Details'!$B:$U,E$1,0),"Check"),"")</f>
        <v>Airtel</v>
      </c>
      <c r="F402" s="76">
        <v>46113</v>
      </c>
      <c r="G402" s="74"/>
      <c r="H402" s="10" t="s">
        <v>1250</v>
      </c>
      <c r="I402" s="9">
        <v>2</v>
      </c>
      <c r="J402" s="9">
        <v>150</v>
      </c>
      <c r="K402" s="77">
        <f t="shared" si="47"/>
        <v>300</v>
      </c>
      <c r="L402" s="76">
        <v>46112</v>
      </c>
      <c r="N402" s="83"/>
      <c r="O402" s="84"/>
      <c r="P402" s="81">
        <f t="shared" si="42"/>
        <v>150</v>
      </c>
      <c r="Q402" s="81">
        <f t="shared" si="43"/>
        <v>300</v>
      </c>
      <c r="R402" s="81"/>
      <c r="S402" s="81"/>
      <c r="T402" s="85"/>
      <c r="U402" s="81">
        <f t="shared" si="44"/>
        <v>150</v>
      </c>
      <c r="V402" s="81">
        <f t="shared" si="45"/>
        <v>2</v>
      </c>
      <c r="W402" s="82">
        <f t="shared" si="46"/>
        <v>300</v>
      </c>
      <c r="X402" s="82" t="s">
        <v>84</v>
      </c>
      <c r="Y402" s="24" t="s">
        <v>93</v>
      </c>
    </row>
    <row r="403" spans="1:25" s="24" customFormat="1" ht="11.1" customHeight="1">
      <c r="A403" s="74">
        <f t="shared" si="48"/>
        <v>401</v>
      </c>
      <c r="B403" s="75" t="s">
        <v>985</v>
      </c>
      <c r="C403" s="74" t="str">
        <f>IF($B403&lt;&gt;"",_xlfn.IFNA(VLOOKUP($B403,'Node Details'!$B:$U,C$1,0),"Check"),"")</f>
        <v>00AXY-FMS-AXY040108</v>
      </c>
      <c r="D403" s="74" t="str">
        <f>IF($B403&lt;&gt;"",_xlfn.IFNA(VLOOKUP($B403,'Node Details'!$B:$U,D$1,0),"Check"),"")</f>
        <v>AXY</v>
      </c>
      <c r="E403" s="74" t="str">
        <f>IF($B403&lt;&gt;"",_xlfn.IFNA(VLOOKUP($B403,'Node Details'!$B:$U,E$1,0),"Check"),"")</f>
        <v>Airtel</v>
      </c>
      <c r="F403" s="76">
        <v>46113</v>
      </c>
      <c r="G403" s="74"/>
      <c r="H403" s="10" t="s">
        <v>1250</v>
      </c>
      <c r="I403" s="9">
        <v>2</v>
      </c>
      <c r="J403" s="9">
        <v>150</v>
      </c>
      <c r="K403" s="77">
        <f t="shared" si="47"/>
        <v>300</v>
      </c>
      <c r="L403" s="76">
        <v>46112</v>
      </c>
      <c r="N403" s="83"/>
      <c r="O403" s="84"/>
      <c r="P403" s="81">
        <f t="shared" si="42"/>
        <v>150</v>
      </c>
      <c r="Q403" s="81">
        <f t="shared" si="43"/>
        <v>300</v>
      </c>
      <c r="R403" s="81"/>
      <c r="S403" s="81"/>
      <c r="T403" s="85"/>
      <c r="U403" s="81">
        <f t="shared" si="44"/>
        <v>150</v>
      </c>
      <c r="V403" s="81">
        <f t="shared" si="45"/>
        <v>2</v>
      </c>
      <c r="W403" s="82">
        <f t="shared" si="46"/>
        <v>300</v>
      </c>
      <c r="X403" s="82" t="s">
        <v>84</v>
      </c>
      <c r="Y403" s="24" t="s">
        <v>93</v>
      </c>
    </row>
    <row r="404" spans="1:25" s="24" customFormat="1" ht="11.1" customHeight="1">
      <c r="A404" s="74">
        <f t="shared" si="48"/>
        <v>402</v>
      </c>
      <c r="B404" s="75" t="s">
        <v>184</v>
      </c>
      <c r="C404" s="74" t="str">
        <f>IF($B404&lt;&gt;"",_xlfn.IFNA(VLOOKUP($B404,'Node Details'!$B:$U,C$1,0),"Check"),"")</f>
        <v>00AXY-FMS-AXY040108</v>
      </c>
      <c r="D404" s="74" t="str">
        <f>IF($B404&lt;&gt;"",_xlfn.IFNA(VLOOKUP($B404,'Node Details'!$B:$U,D$1,0),"Check"),"")</f>
        <v>AXY</v>
      </c>
      <c r="E404" s="74" t="str">
        <f>IF($B404&lt;&gt;"",_xlfn.IFNA(VLOOKUP($B404,'Node Details'!$B:$U,E$1,0),"Check"),"")</f>
        <v>Airtel</v>
      </c>
      <c r="F404" s="76">
        <v>46113</v>
      </c>
      <c r="G404" s="74"/>
      <c r="H404" s="10" t="s">
        <v>1250</v>
      </c>
      <c r="I404" s="9">
        <v>2</v>
      </c>
      <c r="J404" s="9">
        <v>150</v>
      </c>
      <c r="K404" s="77">
        <f t="shared" si="47"/>
        <v>300</v>
      </c>
      <c r="L404" s="76">
        <v>46112</v>
      </c>
      <c r="N404" s="83"/>
      <c r="O404" s="84"/>
      <c r="P404" s="81">
        <f t="shared" si="42"/>
        <v>150</v>
      </c>
      <c r="Q404" s="81">
        <f t="shared" si="43"/>
        <v>300</v>
      </c>
      <c r="R404" s="81"/>
      <c r="S404" s="81"/>
      <c r="T404" s="85"/>
      <c r="U404" s="81">
        <f t="shared" si="44"/>
        <v>150</v>
      </c>
      <c r="V404" s="81">
        <f t="shared" si="45"/>
        <v>2</v>
      </c>
      <c r="W404" s="82">
        <f t="shared" si="46"/>
        <v>300</v>
      </c>
      <c r="X404" s="82" t="s">
        <v>84</v>
      </c>
      <c r="Y404" s="24" t="s">
        <v>93</v>
      </c>
    </row>
    <row r="405" spans="1:25" s="24" customFormat="1" ht="11.1" customHeight="1">
      <c r="A405" s="74">
        <f t="shared" si="48"/>
        <v>403</v>
      </c>
      <c r="B405" s="75" t="s">
        <v>187</v>
      </c>
      <c r="C405" s="74" t="str">
        <f>IF($B405&lt;&gt;"",_xlfn.IFNA(VLOOKUP($B405,'Node Details'!$B:$U,C$1,0),"Check"),"")</f>
        <v>0000AXY04-AXY040201</v>
      </c>
      <c r="D405" s="74" t="str">
        <f>IF($B405&lt;&gt;"",_xlfn.IFNA(VLOOKUP($B405,'Node Details'!$B:$U,D$1,0),"Check"),"")</f>
        <v>AXY</v>
      </c>
      <c r="E405" s="74" t="str">
        <f>IF($B405&lt;&gt;"",_xlfn.IFNA(VLOOKUP($B405,'Node Details'!$B:$U,E$1,0),"Check"),"")</f>
        <v>Airtel</v>
      </c>
      <c r="F405" s="76">
        <v>46113</v>
      </c>
      <c r="G405" s="74"/>
      <c r="H405" s="10" t="s">
        <v>1250</v>
      </c>
      <c r="I405" s="9">
        <v>2</v>
      </c>
      <c r="J405" s="9">
        <v>150</v>
      </c>
      <c r="K405" s="77">
        <f t="shared" si="47"/>
        <v>300</v>
      </c>
      <c r="L405" s="76">
        <v>46112</v>
      </c>
      <c r="N405" s="83"/>
      <c r="O405" s="84"/>
      <c r="P405" s="81">
        <f t="shared" si="42"/>
        <v>150</v>
      </c>
      <c r="Q405" s="81">
        <f t="shared" si="43"/>
        <v>300</v>
      </c>
      <c r="R405" s="81"/>
      <c r="S405" s="81"/>
      <c r="T405" s="85"/>
      <c r="U405" s="81">
        <f t="shared" si="44"/>
        <v>150</v>
      </c>
      <c r="V405" s="81">
        <f t="shared" si="45"/>
        <v>2</v>
      </c>
      <c r="W405" s="82">
        <f t="shared" si="46"/>
        <v>300</v>
      </c>
      <c r="X405" s="82" t="s">
        <v>84</v>
      </c>
      <c r="Y405" s="24" t="s">
        <v>93</v>
      </c>
    </row>
    <row r="406" spans="1:25" s="24" customFormat="1" ht="11.1" customHeight="1">
      <c r="A406" s="74">
        <f t="shared" si="48"/>
        <v>404</v>
      </c>
      <c r="B406" s="75" t="s">
        <v>986</v>
      </c>
      <c r="C406" s="74" t="str">
        <f>IF($B406&lt;&gt;"",_xlfn.IFNA(VLOOKUP($B406,'Node Details'!$B:$U,C$1,0),"Check"),"")</f>
        <v>AXY040201-AXY040204</v>
      </c>
      <c r="D406" s="74" t="str">
        <f>IF($B406&lt;&gt;"",_xlfn.IFNA(VLOOKUP($B406,'Node Details'!$B:$U,D$1,0),"Check"),"")</f>
        <v>AXY</v>
      </c>
      <c r="E406" s="74" t="str">
        <f>IF($B406&lt;&gt;"",_xlfn.IFNA(VLOOKUP($B406,'Node Details'!$B:$U,E$1,0),"Check"),"")</f>
        <v>Airtel</v>
      </c>
      <c r="F406" s="76">
        <v>46113</v>
      </c>
      <c r="G406" s="74"/>
      <c r="H406" s="10" t="s">
        <v>1250</v>
      </c>
      <c r="I406" s="9">
        <v>2</v>
      </c>
      <c r="J406" s="9">
        <v>150</v>
      </c>
      <c r="K406" s="77">
        <f t="shared" si="47"/>
        <v>300</v>
      </c>
      <c r="L406" s="76">
        <v>46112</v>
      </c>
      <c r="N406" s="83"/>
      <c r="O406" s="84"/>
      <c r="P406" s="81">
        <f t="shared" si="42"/>
        <v>150</v>
      </c>
      <c r="Q406" s="81">
        <f t="shared" si="43"/>
        <v>300</v>
      </c>
      <c r="R406" s="81"/>
      <c r="S406" s="81"/>
      <c r="T406" s="85"/>
      <c r="U406" s="81">
        <f t="shared" si="44"/>
        <v>150</v>
      </c>
      <c r="V406" s="81">
        <f t="shared" si="45"/>
        <v>2</v>
      </c>
      <c r="W406" s="82">
        <f t="shared" si="46"/>
        <v>300</v>
      </c>
      <c r="X406" s="82" t="s">
        <v>84</v>
      </c>
      <c r="Y406" s="24" t="s">
        <v>93</v>
      </c>
    </row>
    <row r="407" spans="1:25" s="24" customFormat="1" ht="11.1" customHeight="1">
      <c r="A407" s="74">
        <f t="shared" si="48"/>
        <v>405</v>
      </c>
      <c r="B407" s="75" t="s">
        <v>987</v>
      </c>
      <c r="C407" s="74" t="str">
        <f>IF($B407&lt;&gt;"",_xlfn.IFNA(VLOOKUP($B407,'Node Details'!$B:$U,C$1,0),"Check"),"")</f>
        <v>AXY040201-AXY040204</v>
      </c>
      <c r="D407" s="74" t="str">
        <f>IF($B407&lt;&gt;"",_xlfn.IFNA(VLOOKUP($B407,'Node Details'!$B:$U,D$1,0),"Check"),"")</f>
        <v>AXY</v>
      </c>
      <c r="E407" s="74" t="str">
        <f>IF($B407&lt;&gt;"",_xlfn.IFNA(VLOOKUP($B407,'Node Details'!$B:$U,E$1,0),"Check"),"")</f>
        <v>Airtel</v>
      </c>
      <c r="F407" s="76">
        <v>46113</v>
      </c>
      <c r="G407" s="74"/>
      <c r="H407" s="10" t="s">
        <v>1250</v>
      </c>
      <c r="I407" s="9">
        <v>2</v>
      </c>
      <c r="J407" s="9">
        <v>150</v>
      </c>
      <c r="K407" s="77">
        <f t="shared" si="47"/>
        <v>300</v>
      </c>
      <c r="L407" s="76">
        <v>46112</v>
      </c>
      <c r="N407" s="83"/>
      <c r="O407" s="84"/>
      <c r="P407" s="81">
        <f t="shared" si="42"/>
        <v>150</v>
      </c>
      <c r="Q407" s="81">
        <f t="shared" si="43"/>
        <v>300</v>
      </c>
      <c r="R407" s="81"/>
      <c r="S407" s="81"/>
      <c r="T407" s="85"/>
      <c r="U407" s="81">
        <f t="shared" si="44"/>
        <v>150</v>
      </c>
      <c r="V407" s="81">
        <f t="shared" si="45"/>
        <v>2</v>
      </c>
      <c r="W407" s="82">
        <f t="shared" si="46"/>
        <v>300</v>
      </c>
      <c r="X407" s="82" t="s">
        <v>84</v>
      </c>
      <c r="Y407" s="24" t="s">
        <v>93</v>
      </c>
    </row>
    <row r="408" spans="1:25" s="24" customFormat="1" ht="11.1" customHeight="1">
      <c r="A408" s="74">
        <f t="shared" si="48"/>
        <v>406</v>
      </c>
      <c r="B408" s="75" t="s">
        <v>191</v>
      </c>
      <c r="C408" s="74" t="str">
        <f>IF($B408&lt;&gt;"",_xlfn.IFNA(VLOOKUP($B408,'Node Details'!$B:$U,C$1,0),"Check"),"")</f>
        <v>AXY040201-AXY040204</v>
      </c>
      <c r="D408" s="74" t="str">
        <f>IF($B408&lt;&gt;"",_xlfn.IFNA(VLOOKUP($B408,'Node Details'!$B:$U,D$1,0),"Check"),"")</f>
        <v>AXY</v>
      </c>
      <c r="E408" s="74" t="str">
        <f>IF($B408&lt;&gt;"",_xlfn.IFNA(VLOOKUP($B408,'Node Details'!$B:$U,E$1,0),"Check"),"")</f>
        <v>Airtel</v>
      </c>
      <c r="F408" s="76">
        <v>46113</v>
      </c>
      <c r="G408" s="74"/>
      <c r="H408" s="10" t="s">
        <v>1250</v>
      </c>
      <c r="I408" s="9">
        <v>2</v>
      </c>
      <c r="J408" s="9">
        <v>150</v>
      </c>
      <c r="K408" s="77">
        <f t="shared" si="47"/>
        <v>300</v>
      </c>
      <c r="L408" s="76">
        <v>46112</v>
      </c>
      <c r="N408" s="83"/>
      <c r="O408" s="84"/>
      <c r="P408" s="81">
        <f t="shared" si="42"/>
        <v>150</v>
      </c>
      <c r="Q408" s="81">
        <f t="shared" si="43"/>
        <v>300</v>
      </c>
      <c r="R408" s="81"/>
      <c r="S408" s="81"/>
      <c r="T408" s="85"/>
      <c r="U408" s="81">
        <f t="shared" si="44"/>
        <v>150</v>
      </c>
      <c r="V408" s="81">
        <f t="shared" si="45"/>
        <v>2</v>
      </c>
      <c r="W408" s="82">
        <f t="shared" si="46"/>
        <v>300</v>
      </c>
      <c r="X408" s="82" t="s">
        <v>84</v>
      </c>
      <c r="Y408" s="24" t="s">
        <v>93</v>
      </c>
    </row>
    <row r="409" spans="1:25" s="24" customFormat="1" ht="11.1" customHeight="1">
      <c r="A409" s="74">
        <f t="shared" si="48"/>
        <v>407</v>
      </c>
      <c r="B409" s="75" t="s">
        <v>152</v>
      </c>
      <c r="C409" s="74" t="str">
        <f>IF($B409&lt;&gt;"",_xlfn.IFNA(VLOOKUP($B409,'Node Details'!$B:$U,C$1,0),"Check"),"")</f>
        <v>0000AXY04-0000AXY05</v>
      </c>
      <c r="D409" s="74" t="str">
        <f>IF($B409&lt;&gt;"",_xlfn.IFNA(VLOOKUP($B409,'Node Details'!$B:$U,D$1,0),"Check"),"")</f>
        <v>AXY</v>
      </c>
      <c r="E409" s="74" t="str">
        <f>IF($B409&lt;&gt;"",_xlfn.IFNA(VLOOKUP($B409,'Node Details'!$B:$U,E$1,0),"Check"),"")</f>
        <v>Airtel</v>
      </c>
      <c r="F409" s="76">
        <v>46113</v>
      </c>
      <c r="G409" s="74"/>
      <c r="H409" s="10" t="s">
        <v>1250</v>
      </c>
      <c r="I409" s="9">
        <v>2</v>
      </c>
      <c r="J409" s="9">
        <v>150</v>
      </c>
      <c r="K409" s="77">
        <f t="shared" si="47"/>
        <v>300</v>
      </c>
      <c r="L409" s="76">
        <v>46112</v>
      </c>
      <c r="N409" s="83"/>
      <c r="O409" s="84"/>
      <c r="P409" s="81">
        <f t="shared" si="42"/>
        <v>150</v>
      </c>
      <c r="Q409" s="81">
        <f t="shared" si="43"/>
        <v>300</v>
      </c>
      <c r="R409" s="81"/>
      <c r="S409" s="81"/>
      <c r="T409" s="85"/>
      <c r="U409" s="81">
        <f t="shared" si="44"/>
        <v>150</v>
      </c>
      <c r="V409" s="81">
        <f t="shared" si="45"/>
        <v>2</v>
      </c>
      <c r="W409" s="82">
        <f t="shared" si="46"/>
        <v>300</v>
      </c>
      <c r="X409" s="82" t="s">
        <v>84</v>
      </c>
      <c r="Y409" s="24" t="s">
        <v>93</v>
      </c>
    </row>
    <row r="410" spans="1:25" s="24" customFormat="1" ht="11.1" customHeight="1">
      <c r="A410" s="74">
        <f t="shared" si="48"/>
        <v>408</v>
      </c>
      <c r="B410" s="75" t="s">
        <v>194</v>
      </c>
      <c r="C410" s="74" t="str">
        <f>IF($B410&lt;&gt;"",_xlfn.IFNA(VLOOKUP($B410,'Node Details'!$B:$U,C$1,0),"Check"),"")</f>
        <v>0000AXY05-AXY050101</v>
      </c>
      <c r="D410" s="74" t="str">
        <f>IF($B410&lt;&gt;"",_xlfn.IFNA(VLOOKUP($B410,'Node Details'!$B:$U,D$1,0),"Check"),"")</f>
        <v>AXY</v>
      </c>
      <c r="E410" s="74" t="str">
        <f>IF($B410&lt;&gt;"",_xlfn.IFNA(VLOOKUP($B410,'Node Details'!$B:$U,E$1,0),"Check"),"")</f>
        <v>Airtel</v>
      </c>
      <c r="F410" s="76">
        <v>46113</v>
      </c>
      <c r="G410" s="74"/>
      <c r="H410" s="10" t="s">
        <v>1250</v>
      </c>
      <c r="I410" s="9">
        <v>2</v>
      </c>
      <c r="J410" s="9">
        <v>150</v>
      </c>
      <c r="K410" s="77">
        <f t="shared" si="47"/>
        <v>300</v>
      </c>
      <c r="L410" s="76">
        <v>46112</v>
      </c>
      <c r="N410" s="83"/>
      <c r="O410" s="84"/>
      <c r="P410" s="81">
        <f t="shared" si="42"/>
        <v>150</v>
      </c>
      <c r="Q410" s="81">
        <f t="shared" si="43"/>
        <v>300</v>
      </c>
      <c r="R410" s="81"/>
      <c r="S410" s="81"/>
      <c r="T410" s="85"/>
      <c r="U410" s="81">
        <f t="shared" si="44"/>
        <v>150</v>
      </c>
      <c r="V410" s="81">
        <f t="shared" si="45"/>
        <v>2</v>
      </c>
      <c r="W410" s="82">
        <f t="shared" si="46"/>
        <v>300</v>
      </c>
      <c r="X410" s="82" t="s">
        <v>84</v>
      </c>
      <c r="Y410" s="24" t="s">
        <v>93</v>
      </c>
    </row>
    <row r="411" spans="1:25" s="24" customFormat="1" ht="11.1" customHeight="1">
      <c r="A411" s="74">
        <f t="shared" si="48"/>
        <v>409</v>
      </c>
      <c r="B411" s="75" t="s">
        <v>988</v>
      </c>
      <c r="C411" s="74" t="str">
        <f>IF($B411&lt;&gt;"",_xlfn.IFNA(VLOOKUP($B411,'Node Details'!$B:$U,C$1,0),"Check"),"")</f>
        <v>0000AXY5 -AXY050104</v>
      </c>
      <c r="D411" s="74" t="str">
        <f>IF($B411&lt;&gt;"",_xlfn.IFNA(VLOOKUP($B411,'Node Details'!$B:$U,D$1,0),"Check"),"")</f>
        <v>AXY</v>
      </c>
      <c r="E411" s="74" t="str">
        <f>IF($B411&lt;&gt;"",_xlfn.IFNA(VLOOKUP($B411,'Node Details'!$B:$U,E$1,0),"Check"),"")</f>
        <v>Airtel</v>
      </c>
      <c r="F411" s="76">
        <v>46113</v>
      </c>
      <c r="G411" s="74"/>
      <c r="H411" s="10" t="s">
        <v>1250</v>
      </c>
      <c r="I411" s="9">
        <v>2</v>
      </c>
      <c r="J411" s="9">
        <v>150</v>
      </c>
      <c r="K411" s="77">
        <f t="shared" si="47"/>
        <v>300</v>
      </c>
      <c r="L411" s="76">
        <v>46112</v>
      </c>
      <c r="N411" s="83"/>
      <c r="O411" s="84"/>
      <c r="P411" s="81">
        <f t="shared" si="42"/>
        <v>150</v>
      </c>
      <c r="Q411" s="81">
        <f t="shared" si="43"/>
        <v>300</v>
      </c>
      <c r="R411" s="81"/>
      <c r="S411" s="81"/>
      <c r="T411" s="85"/>
      <c r="U411" s="81">
        <f t="shared" si="44"/>
        <v>150</v>
      </c>
      <c r="V411" s="81">
        <f t="shared" si="45"/>
        <v>2</v>
      </c>
      <c r="W411" s="82">
        <f t="shared" si="46"/>
        <v>300</v>
      </c>
      <c r="X411" s="82" t="s">
        <v>84</v>
      </c>
      <c r="Y411" s="24" t="s">
        <v>93</v>
      </c>
    </row>
    <row r="412" spans="1:25" s="24" customFormat="1" ht="11.1" customHeight="1">
      <c r="A412" s="74">
        <f t="shared" si="48"/>
        <v>410</v>
      </c>
      <c r="B412" s="75" t="s">
        <v>989</v>
      </c>
      <c r="C412" s="74" t="str">
        <f>IF($B412&lt;&gt;"",_xlfn.IFNA(VLOOKUP($B412,'Node Details'!$B:$U,C$1,0),"Check"),"")</f>
        <v>0000AXY5 -AXY050104</v>
      </c>
      <c r="D412" s="74" t="str">
        <f>IF($B412&lt;&gt;"",_xlfn.IFNA(VLOOKUP($B412,'Node Details'!$B:$U,D$1,0),"Check"),"")</f>
        <v>AXY</v>
      </c>
      <c r="E412" s="74" t="str">
        <f>IF($B412&lt;&gt;"",_xlfn.IFNA(VLOOKUP($B412,'Node Details'!$B:$U,E$1,0),"Check"),"")</f>
        <v>Airtel</v>
      </c>
      <c r="F412" s="76">
        <v>46113</v>
      </c>
      <c r="G412" s="74"/>
      <c r="H412" s="10" t="s">
        <v>1250</v>
      </c>
      <c r="I412" s="9">
        <v>2</v>
      </c>
      <c r="J412" s="9">
        <v>150</v>
      </c>
      <c r="K412" s="77">
        <f t="shared" si="47"/>
        <v>300</v>
      </c>
      <c r="L412" s="76">
        <v>46112</v>
      </c>
      <c r="N412" s="83"/>
      <c r="O412" s="84"/>
      <c r="P412" s="81">
        <f t="shared" si="42"/>
        <v>150</v>
      </c>
      <c r="Q412" s="81">
        <f t="shared" si="43"/>
        <v>300</v>
      </c>
      <c r="R412" s="81"/>
      <c r="S412" s="81"/>
      <c r="T412" s="85"/>
      <c r="U412" s="81">
        <f t="shared" si="44"/>
        <v>150</v>
      </c>
      <c r="V412" s="81">
        <f t="shared" si="45"/>
        <v>2</v>
      </c>
      <c r="W412" s="82">
        <f t="shared" si="46"/>
        <v>300</v>
      </c>
      <c r="X412" s="82" t="s">
        <v>84</v>
      </c>
      <c r="Y412" s="24" t="s">
        <v>93</v>
      </c>
    </row>
    <row r="413" spans="1:25" s="24" customFormat="1" ht="11.1" customHeight="1">
      <c r="A413" s="74">
        <f t="shared" si="48"/>
        <v>411</v>
      </c>
      <c r="B413" s="75" t="s">
        <v>198</v>
      </c>
      <c r="C413" s="74" t="str">
        <f>IF($B413&lt;&gt;"",_xlfn.IFNA(VLOOKUP($B413,'Node Details'!$B:$U,C$1,0),"Check"),"")</f>
        <v>0000AXY5 -AXY050104</v>
      </c>
      <c r="D413" s="74" t="str">
        <f>IF($B413&lt;&gt;"",_xlfn.IFNA(VLOOKUP($B413,'Node Details'!$B:$U,D$1,0),"Check"),"")</f>
        <v>AXY</v>
      </c>
      <c r="E413" s="74" t="str">
        <f>IF($B413&lt;&gt;"",_xlfn.IFNA(VLOOKUP($B413,'Node Details'!$B:$U,E$1,0),"Check"),"")</f>
        <v>Airtel</v>
      </c>
      <c r="F413" s="76">
        <v>46113</v>
      </c>
      <c r="G413" s="74"/>
      <c r="H413" s="10" t="s">
        <v>1250</v>
      </c>
      <c r="I413" s="9">
        <v>2</v>
      </c>
      <c r="J413" s="9">
        <v>150</v>
      </c>
      <c r="K413" s="77">
        <f t="shared" si="47"/>
        <v>300</v>
      </c>
      <c r="L413" s="76">
        <v>46112</v>
      </c>
      <c r="N413" s="83"/>
      <c r="O413" s="84"/>
      <c r="P413" s="81">
        <f t="shared" si="42"/>
        <v>150</v>
      </c>
      <c r="Q413" s="81">
        <f t="shared" si="43"/>
        <v>300</v>
      </c>
      <c r="R413" s="81"/>
      <c r="S413" s="81"/>
      <c r="T413" s="85"/>
      <c r="U413" s="81">
        <f t="shared" si="44"/>
        <v>150</v>
      </c>
      <c r="V413" s="81">
        <f t="shared" si="45"/>
        <v>2</v>
      </c>
      <c r="W413" s="82">
        <f t="shared" si="46"/>
        <v>300</v>
      </c>
      <c r="X413" s="82" t="s">
        <v>84</v>
      </c>
      <c r="Y413" s="24" t="s">
        <v>93</v>
      </c>
    </row>
    <row r="414" spans="1:25" s="24" customFormat="1" ht="11.1" customHeight="1">
      <c r="A414" s="74">
        <f t="shared" si="48"/>
        <v>412</v>
      </c>
      <c r="B414" s="75" t="s">
        <v>204</v>
      </c>
      <c r="C414" s="74" t="str">
        <f>IF($B414&lt;&gt;"",_xlfn.IFNA(VLOOKUP($B414,'Node Details'!$B:$U,C$1,0),"Check"),"")</f>
        <v>0000AXY05-AXY050107</v>
      </c>
      <c r="D414" s="74" t="str">
        <f>IF($B414&lt;&gt;"",_xlfn.IFNA(VLOOKUP($B414,'Node Details'!$B:$U,D$1,0),"Check"),"")</f>
        <v>AXY</v>
      </c>
      <c r="E414" s="74" t="str">
        <f>IF($B414&lt;&gt;"",_xlfn.IFNA(VLOOKUP($B414,'Node Details'!$B:$U,E$1,0),"Check"),"")</f>
        <v>Airtel</v>
      </c>
      <c r="F414" s="76">
        <v>46113</v>
      </c>
      <c r="G414" s="74"/>
      <c r="H414" s="10" t="s">
        <v>1250</v>
      </c>
      <c r="I414" s="9">
        <v>2</v>
      </c>
      <c r="J414" s="9">
        <v>150</v>
      </c>
      <c r="K414" s="77">
        <f t="shared" si="47"/>
        <v>300</v>
      </c>
      <c r="L414" s="76">
        <v>46112</v>
      </c>
      <c r="N414" s="83"/>
      <c r="O414" s="84"/>
      <c r="P414" s="81">
        <f t="shared" si="42"/>
        <v>150</v>
      </c>
      <c r="Q414" s="81">
        <f t="shared" si="43"/>
        <v>300</v>
      </c>
      <c r="R414" s="81"/>
      <c r="S414" s="81"/>
      <c r="T414" s="85"/>
      <c r="U414" s="81">
        <f t="shared" si="44"/>
        <v>150</v>
      </c>
      <c r="V414" s="81">
        <f t="shared" si="45"/>
        <v>2</v>
      </c>
      <c r="W414" s="82">
        <f t="shared" si="46"/>
        <v>300</v>
      </c>
      <c r="X414" s="82" t="s">
        <v>84</v>
      </c>
      <c r="Y414" s="24" t="s">
        <v>93</v>
      </c>
    </row>
    <row r="415" spans="1:25" s="24" customFormat="1" ht="11.1" customHeight="1">
      <c r="A415" s="74">
        <f t="shared" si="48"/>
        <v>413</v>
      </c>
      <c r="B415" s="75" t="s">
        <v>990</v>
      </c>
      <c r="C415" s="74" t="str">
        <f>IF($B415&lt;&gt;"",_xlfn.IFNA(VLOOKUP($B415,'Node Details'!$B:$U,C$1,0),"Check"),"")</f>
        <v>0000AXY05-AXY050107</v>
      </c>
      <c r="D415" s="74" t="str">
        <f>IF($B415&lt;&gt;"",_xlfn.IFNA(VLOOKUP($B415,'Node Details'!$B:$U,D$1,0),"Check"),"")</f>
        <v>AXY</v>
      </c>
      <c r="E415" s="74" t="str">
        <f>IF($B415&lt;&gt;"",_xlfn.IFNA(VLOOKUP($B415,'Node Details'!$B:$U,E$1,0),"Check"),"")</f>
        <v>Airtel</v>
      </c>
      <c r="F415" s="76">
        <v>46113</v>
      </c>
      <c r="G415" s="74"/>
      <c r="H415" s="10" t="s">
        <v>1250</v>
      </c>
      <c r="I415" s="9">
        <v>2</v>
      </c>
      <c r="J415" s="9">
        <v>150</v>
      </c>
      <c r="K415" s="77">
        <f t="shared" si="47"/>
        <v>300</v>
      </c>
      <c r="L415" s="76">
        <v>46112</v>
      </c>
      <c r="N415" s="83"/>
      <c r="O415" s="84"/>
      <c r="P415" s="81">
        <f t="shared" si="42"/>
        <v>150</v>
      </c>
      <c r="Q415" s="81">
        <f t="shared" si="43"/>
        <v>300</v>
      </c>
      <c r="R415" s="81"/>
      <c r="S415" s="81"/>
      <c r="T415" s="85"/>
      <c r="U415" s="81">
        <f t="shared" si="44"/>
        <v>150</v>
      </c>
      <c r="V415" s="81">
        <f t="shared" si="45"/>
        <v>2</v>
      </c>
      <c r="W415" s="82">
        <f t="shared" si="46"/>
        <v>300</v>
      </c>
      <c r="X415" s="82" t="s">
        <v>84</v>
      </c>
      <c r="Y415" s="24" t="s">
        <v>93</v>
      </c>
    </row>
    <row r="416" spans="1:25" s="24" customFormat="1" ht="11.1" customHeight="1">
      <c r="A416" s="74">
        <f t="shared" si="48"/>
        <v>414</v>
      </c>
      <c r="B416" s="75" t="s">
        <v>201</v>
      </c>
      <c r="C416" s="74" t="str">
        <f>IF($B416&lt;&gt;"",_xlfn.IFNA(VLOOKUP($B416,'Node Details'!$B:$U,C$1,0),"Check"),"")</f>
        <v>0000AXY05-AXY050107</v>
      </c>
      <c r="D416" s="74" t="str">
        <f>IF($B416&lt;&gt;"",_xlfn.IFNA(VLOOKUP($B416,'Node Details'!$B:$U,D$1,0),"Check"),"")</f>
        <v>AXY</v>
      </c>
      <c r="E416" s="74" t="str">
        <f>IF($B416&lt;&gt;"",_xlfn.IFNA(VLOOKUP($B416,'Node Details'!$B:$U,E$1,0),"Check"),"")</f>
        <v>Airtel</v>
      </c>
      <c r="F416" s="76">
        <v>46113</v>
      </c>
      <c r="G416" s="74"/>
      <c r="H416" s="10" t="s">
        <v>1250</v>
      </c>
      <c r="I416" s="9">
        <v>2</v>
      </c>
      <c r="J416" s="9">
        <v>150</v>
      </c>
      <c r="K416" s="77">
        <f t="shared" si="47"/>
        <v>300</v>
      </c>
      <c r="L416" s="76">
        <v>46112</v>
      </c>
      <c r="N416" s="83"/>
      <c r="O416" s="84"/>
      <c r="P416" s="81">
        <f t="shared" si="42"/>
        <v>150</v>
      </c>
      <c r="Q416" s="81">
        <f t="shared" si="43"/>
        <v>300</v>
      </c>
      <c r="R416" s="81"/>
      <c r="S416" s="81"/>
      <c r="T416" s="85"/>
      <c r="U416" s="81">
        <f t="shared" si="44"/>
        <v>150</v>
      </c>
      <c r="V416" s="81">
        <f t="shared" si="45"/>
        <v>2</v>
      </c>
      <c r="W416" s="82">
        <f t="shared" si="46"/>
        <v>300</v>
      </c>
      <c r="X416" s="82" t="s">
        <v>84</v>
      </c>
      <c r="Y416" s="24" t="s">
        <v>93</v>
      </c>
    </row>
    <row r="417" spans="1:25" s="24" customFormat="1" ht="11.1" customHeight="1">
      <c r="A417" s="74">
        <f t="shared" si="48"/>
        <v>415</v>
      </c>
      <c r="B417" s="75" t="s">
        <v>991</v>
      </c>
      <c r="C417" s="74" t="str">
        <f>IF($B417&lt;&gt;"",_xlfn.IFNA(VLOOKUP($B417,'Node Details'!$B:$U,C$1,0),"Check"),"")</f>
        <v>AXY050105-AXY050202</v>
      </c>
      <c r="D417" s="74" t="str">
        <f>IF($B417&lt;&gt;"",_xlfn.IFNA(VLOOKUP($B417,'Node Details'!$B:$U,D$1,0),"Check"),"")</f>
        <v>AXY</v>
      </c>
      <c r="E417" s="74" t="str">
        <f>IF($B417&lt;&gt;"",_xlfn.IFNA(VLOOKUP($B417,'Node Details'!$B:$U,E$1,0),"Check"),"")</f>
        <v>Airtel</v>
      </c>
      <c r="F417" s="76">
        <v>46113</v>
      </c>
      <c r="G417" s="74"/>
      <c r="H417" s="10" t="s">
        <v>1250</v>
      </c>
      <c r="I417" s="9">
        <v>2</v>
      </c>
      <c r="J417" s="9">
        <v>150</v>
      </c>
      <c r="K417" s="77">
        <f t="shared" si="47"/>
        <v>300</v>
      </c>
      <c r="L417" s="76">
        <v>46112</v>
      </c>
      <c r="N417" s="83"/>
      <c r="O417" s="84"/>
      <c r="P417" s="81">
        <f t="shared" si="42"/>
        <v>150</v>
      </c>
      <c r="Q417" s="81">
        <f t="shared" si="43"/>
        <v>300</v>
      </c>
      <c r="R417" s="81"/>
      <c r="S417" s="81"/>
      <c r="T417" s="85"/>
      <c r="U417" s="81">
        <f t="shared" si="44"/>
        <v>150</v>
      </c>
      <c r="V417" s="81">
        <f t="shared" si="45"/>
        <v>2</v>
      </c>
      <c r="W417" s="82">
        <f t="shared" si="46"/>
        <v>300</v>
      </c>
      <c r="X417" s="82" t="s">
        <v>84</v>
      </c>
      <c r="Y417" s="24" t="s">
        <v>93</v>
      </c>
    </row>
    <row r="418" spans="1:25" s="24" customFormat="1" ht="11.1" customHeight="1">
      <c r="A418" s="74">
        <f t="shared" si="48"/>
        <v>416</v>
      </c>
      <c r="B418" s="75" t="s">
        <v>992</v>
      </c>
      <c r="C418" s="74" t="str">
        <f>IF($B418&lt;&gt;"",_xlfn.IFNA(VLOOKUP($B418,'Node Details'!$B:$U,C$1,0),"Check"),"")</f>
        <v>AXY050105-AXY050202</v>
      </c>
      <c r="D418" s="74" t="str">
        <f>IF($B418&lt;&gt;"",_xlfn.IFNA(VLOOKUP($B418,'Node Details'!$B:$U,D$1,0),"Check"),"")</f>
        <v>AXY</v>
      </c>
      <c r="E418" s="74" t="str">
        <f>IF($B418&lt;&gt;"",_xlfn.IFNA(VLOOKUP($B418,'Node Details'!$B:$U,E$1,0),"Check"),"")</f>
        <v>Airtel</v>
      </c>
      <c r="F418" s="76">
        <v>46113</v>
      </c>
      <c r="G418" s="74"/>
      <c r="H418" s="10" t="s">
        <v>1250</v>
      </c>
      <c r="I418" s="9">
        <v>2</v>
      </c>
      <c r="J418" s="9">
        <v>150</v>
      </c>
      <c r="K418" s="77">
        <f t="shared" si="47"/>
        <v>300</v>
      </c>
      <c r="L418" s="76">
        <v>46112</v>
      </c>
      <c r="N418" s="83"/>
      <c r="O418" s="84"/>
      <c r="P418" s="81">
        <f t="shared" si="42"/>
        <v>150</v>
      </c>
      <c r="Q418" s="81">
        <f t="shared" si="43"/>
        <v>300</v>
      </c>
      <c r="R418" s="81"/>
      <c r="S418" s="81"/>
      <c r="T418" s="85"/>
      <c r="U418" s="81">
        <f t="shared" si="44"/>
        <v>150</v>
      </c>
      <c r="V418" s="81">
        <f t="shared" si="45"/>
        <v>2</v>
      </c>
      <c r="W418" s="82">
        <f t="shared" si="46"/>
        <v>300</v>
      </c>
      <c r="X418" s="82" t="s">
        <v>84</v>
      </c>
      <c r="Y418" s="24" t="s">
        <v>93</v>
      </c>
    </row>
    <row r="419" spans="1:25" s="24" customFormat="1" ht="11.1" customHeight="1">
      <c r="A419" s="74">
        <f t="shared" si="48"/>
        <v>417</v>
      </c>
      <c r="B419" s="75" t="s">
        <v>205</v>
      </c>
      <c r="C419" s="74" t="str">
        <f>IF($B419&lt;&gt;"",_xlfn.IFNA(VLOOKUP($B419,'Node Details'!$B:$U,C$1,0),"Check"),"")</f>
        <v>AXY050105-AXY050202</v>
      </c>
      <c r="D419" s="74" t="str">
        <f>IF($B419&lt;&gt;"",_xlfn.IFNA(VLOOKUP($B419,'Node Details'!$B:$U,D$1,0),"Check"),"")</f>
        <v>AXY</v>
      </c>
      <c r="E419" s="74" t="str">
        <f>IF($B419&lt;&gt;"",_xlfn.IFNA(VLOOKUP($B419,'Node Details'!$B:$U,E$1,0),"Check"),"")</f>
        <v>Airtel</v>
      </c>
      <c r="F419" s="76">
        <v>46113</v>
      </c>
      <c r="G419" s="74"/>
      <c r="H419" s="10" t="s">
        <v>1250</v>
      </c>
      <c r="I419" s="9">
        <v>2</v>
      </c>
      <c r="J419" s="9">
        <v>150</v>
      </c>
      <c r="K419" s="77">
        <f t="shared" si="47"/>
        <v>300</v>
      </c>
      <c r="L419" s="76">
        <v>46112</v>
      </c>
      <c r="N419" s="83"/>
      <c r="O419" s="84"/>
      <c r="P419" s="81">
        <f t="shared" si="42"/>
        <v>150</v>
      </c>
      <c r="Q419" s="81">
        <f t="shared" si="43"/>
        <v>300</v>
      </c>
      <c r="R419" s="81"/>
      <c r="S419" s="81"/>
      <c r="T419" s="85"/>
      <c r="U419" s="81">
        <f t="shared" si="44"/>
        <v>150</v>
      </c>
      <c r="V419" s="81">
        <f t="shared" si="45"/>
        <v>2</v>
      </c>
      <c r="W419" s="82">
        <f t="shared" si="46"/>
        <v>300</v>
      </c>
      <c r="X419" s="82" t="s">
        <v>84</v>
      </c>
      <c r="Y419" s="24" t="s">
        <v>93</v>
      </c>
    </row>
    <row r="420" spans="1:25" s="24" customFormat="1" ht="11.1" customHeight="1">
      <c r="A420" s="74">
        <f t="shared" si="48"/>
        <v>418</v>
      </c>
      <c r="B420" s="75" t="s">
        <v>208</v>
      </c>
      <c r="C420" s="74" t="str">
        <f>IF($B420&lt;&gt;"",_xlfn.IFNA(VLOOKUP($B420,'Node Details'!$B:$U,C$1,0),"Check"),"")</f>
        <v>000000AXY-0000AXY12</v>
      </c>
      <c r="D420" s="74" t="str">
        <f>IF($B420&lt;&gt;"",_xlfn.IFNA(VLOOKUP($B420,'Node Details'!$B:$U,D$1,0),"Check"),"")</f>
        <v>AXY</v>
      </c>
      <c r="E420" s="74" t="str">
        <f>IF($B420&lt;&gt;"",_xlfn.IFNA(VLOOKUP($B420,'Node Details'!$B:$U,E$1,0),"Check"),"")</f>
        <v>Airtel</v>
      </c>
      <c r="F420" s="76">
        <v>46113</v>
      </c>
      <c r="G420" s="74"/>
      <c r="H420" s="10" t="s">
        <v>1250</v>
      </c>
      <c r="I420" s="9">
        <v>2</v>
      </c>
      <c r="J420" s="9">
        <v>150</v>
      </c>
      <c r="K420" s="77">
        <f t="shared" si="47"/>
        <v>300</v>
      </c>
      <c r="L420" s="76">
        <v>46112</v>
      </c>
      <c r="N420" s="83"/>
      <c r="O420" s="84"/>
      <c r="P420" s="81">
        <f t="shared" si="42"/>
        <v>150</v>
      </c>
      <c r="Q420" s="81">
        <f t="shared" si="43"/>
        <v>300</v>
      </c>
      <c r="R420" s="81"/>
      <c r="S420" s="81"/>
      <c r="T420" s="85"/>
      <c r="U420" s="81">
        <f t="shared" si="44"/>
        <v>150</v>
      </c>
      <c r="V420" s="81">
        <f t="shared" si="45"/>
        <v>2</v>
      </c>
      <c r="W420" s="82">
        <f t="shared" si="46"/>
        <v>300</v>
      </c>
      <c r="X420" s="82" t="s">
        <v>84</v>
      </c>
      <c r="Y420" s="24" t="s">
        <v>93</v>
      </c>
    </row>
    <row r="421" spans="1:25" s="24" customFormat="1" ht="11.1" customHeight="1">
      <c r="A421" s="74">
        <f t="shared" si="48"/>
        <v>419</v>
      </c>
      <c r="B421" s="75" t="s">
        <v>993</v>
      </c>
      <c r="C421" s="74" t="str">
        <f>IF($B421&lt;&gt;"",_xlfn.IFNA(VLOOKUP($B421,'Node Details'!$B:$U,C$1,0),"Check"),"")</f>
        <v>0000AXY06-AXY060102</v>
      </c>
      <c r="D421" s="74" t="str">
        <f>IF($B421&lt;&gt;"",_xlfn.IFNA(VLOOKUP($B421,'Node Details'!$B:$U,D$1,0),"Check"),"")</f>
        <v>AXY</v>
      </c>
      <c r="E421" s="74" t="str">
        <f>IF($B421&lt;&gt;"",_xlfn.IFNA(VLOOKUP($B421,'Node Details'!$B:$U,E$1,0),"Check"),"")</f>
        <v>Airtel</v>
      </c>
      <c r="F421" s="76">
        <v>46113</v>
      </c>
      <c r="G421" s="74"/>
      <c r="H421" s="10" t="s">
        <v>1250</v>
      </c>
      <c r="I421" s="9">
        <v>2</v>
      </c>
      <c r="J421" s="9">
        <v>150</v>
      </c>
      <c r="K421" s="77">
        <f t="shared" si="47"/>
        <v>300</v>
      </c>
      <c r="L421" s="76">
        <v>46112</v>
      </c>
      <c r="N421" s="83"/>
      <c r="O421" s="84"/>
      <c r="P421" s="81">
        <f t="shared" si="42"/>
        <v>150</v>
      </c>
      <c r="Q421" s="81">
        <f t="shared" si="43"/>
        <v>300</v>
      </c>
      <c r="R421" s="81"/>
      <c r="S421" s="81"/>
      <c r="T421" s="85"/>
      <c r="U421" s="81">
        <f t="shared" si="44"/>
        <v>150</v>
      </c>
      <c r="V421" s="81">
        <f t="shared" si="45"/>
        <v>2</v>
      </c>
      <c r="W421" s="82">
        <f t="shared" si="46"/>
        <v>300</v>
      </c>
      <c r="X421" s="82" t="s">
        <v>84</v>
      </c>
      <c r="Y421" s="24" t="s">
        <v>93</v>
      </c>
    </row>
    <row r="422" spans="1:25" s="24" customFormat="1" ht="11.1" customHeight="1">
      <c r="A422" s="74">
        <f t="shared" si="48"/>
        <v>420</v>
      </c>
      <c r="B422" s="75" t="s">
        <v>209</v>
      </c>
      <c r="C422" s="74" t="str">
        <f>IF($B422&lt;&gt;"",_xlfn.IFNA(VLOOKUP($B422,'Node Details'!$B:$U,C$1,0),"Check"),"")</f>
        <v>0000AXY06-AXY060102</v>
      </c>
      <c r="D422" s="74" t="str">
        <f>IF($B422&lt;&gt;"",_xlfn.IFNA(VLOOKUP($B422,'Node Details'!$B:$U,D$1,0),"Check"),"")</f>
        <v>AXY</v>
      </c>
      <c r="E422" s="74" t="str">
        <f>IF($B422&lt;&gt;"",_xlfn.IFNA(VLOOKUP($B422,'Node Details'!$B:$U,E$1,0),"Check"),"")</f>
        <v>Airtel</v>
      </c>
      <c r="F422" s="76">
        <v>46113</v>
      </c>
      <c r="G422" s="74"/>
      <c r="H422" s="10" t="s">
        <v>1250</v>
      </c>
      <c r="I422" s="9">
        <v>2</v>
      </c>
      <c r="J422" s="9">
        <v>150</v>
      </c>
      <c r="K422" s="77">
        <f t="shared" si="47"/>
        <v>300</v>
      </c>
      <c r="L422" s="76">
        <v>46112</v>
      </c>
      <c r="N422" s="83"/>
      <c r="O422" s="84"/>
      <c r="P422" s="81">
        <f t="shared" si="42"/>
        <v>150</v>
      </c>
      <c r="Q422" s="81">
        <f t="shared" si="43"/>
        <v>300</v>
      </c>
      <c r="R422" s="81"/>
      <c r="S422" s="81"/>
      <c r="T422" s="85"/>
      <c r="U422" s="81">
        <f t="shared" si="44"/>
        <v>150</v>
      </c>
      <c r="V422" s="81">
        <f t="shared" si="45"/>
        <v>2</v>
      </c>
      <c r="W422" s="82">
        <f t="shared" si="46"/>
        <v>300</v>
      </c>
      <c r="X422" s="82" t="s">
        <v>84</v>
      </c>
      <c r="Y422" s="24" t="s">
        <v>93</v>
      </c>
    </row>
    <row r="423" spans="1:25" s="24" customFormat="1" ht="11.1" customHeight="1">
      <c r="A423" s="74">
        <f t="shared" si="48"/>
        <v>421</v>
      </c>
      <c r="B423" s="75" t="s">
        <v>994</v>
      </c>
      <c r="C423" s="74" t="str">
        <f>IF($B423&lt;&gt;"",_xlfn.IFNA(VLOOKUP($B423,'Node Details'!$B:$U,C$1,0),"Check"),"")</f>
        <v>0000AXY06-AXY060105</v>
      </c>
      <c r="D423" s="74" t="str">
        <f>IF($B423&lt;&gt;"",_xlfn.IFNA(VLOOKUP($B423,'Node Details'!$B:$U,D$1,0),"Check"),"")</f>
        <v>AXY</v>
      </c>
      <c r="E423" s="74" t="str">
        <f>IF($B423&lt;&gt;"",_xlfn.IFNA(VLOOKUP($B423,'Node Details'!$B:$U,E$1,0),"Check"),"")</f>
        <v>Airtel</v>
      </c>
      <c r="F423" s="76">
        <v>46113</v>
      </c>
      <c r="G423" s="74"/>
      <c r="H423" s="10" t="s">
        <v>1250</v>
      </c>
      <c r="I423" s="9">
        <v>2</v>
      </c>
      <c r="J423" s="9">
        <v>150</v>
      </c>
      <c r="K423" s="77">
        <f t="shared" si="47"/>
        <v>300</v>
      </c>
      <c r="L423" s="76">
        <v>46112</v>
      </c>
      <c r="N423" s="83"/>
      <c r="O423" s="84"/>
      <c r="P423" s="81">
        <f t="shared" si="42"/>
        <v>150</v>
      </c>
      <c r="Q423" s="81">
        <f t="shared" si="43"/>
        <v>300</v>
      </c>
      <c r="R423" s="81"/>
      <c r="S423" s="81"/>
      <c r="T423" s="85"/>
      <c r="U423" s="81">
        <f t="shared" si="44"/>
        <v>150</v>
      </c>
      <c r="V423" s="81">
        <f t="shared" si="45"/>
        <v>2</v>
      </c>
      <c r="W423" s="82">
        <f t="shared" si="46"/>
        <v>300</v>
      </c>
      <c r="X423" s="82" t="s">
        <v>84</v>
      </c>
      <c r="Y423" s="24" t="s">
        <v>93</v>
      </c>
    </row>
    <row r="424" spans="1:25" s="24" customFormat="1" ht="11.1" customHeight="1">
      <c r="A424" s="74">
        <f t="shared" si="48"/>
        <v>422</v>
      </c>
      <c r="B424" s="75" t="s">
        <v>995</v>
      </c>
      <c r="C424" s="74" t="str">
        <f>IF($B424&lt;&gt;"",_xlfn.IFNA(VLOOKUP($B424,'Node Details'!$B:$U,C$1,0),"Check"),"")</f>
        <v>0000AXY06-AXY060105</v>
      </c>
      <c r="D424" s="74" t="str">
        <f>IF($B424&lt;&gt;"",_xlfn.IFNA(VLOOKUP($B424,'Node Details'!$B:$U,D$1,0),"Check"),"")</f>
        <v>AXY</v>
      </c>
      <c r="E424" s="74" t="str">
        <f>IF($B424&lt;&gt;"",_xlfn.IFNA(VLOOKUP($B424,'Node Details'!$B:$U,E$1,0),"Check"),"")</f>
        <v>Airtel</v>
      </c>
      <c r="F424" s="76">
        <v>46113</v>
      </c>
      <c r="G424" s="74"/>
      <c r="H424" s="10" t="s">
        <v>1250</v>
      </c>
      <c r="I424" s="9">
        <v>2</v>
      </c>
      <c r="J424" s="9">
        <v>150</v>
      </c>
      <c r="K424" s="77">
        <f t="shared" si="47"/>
        <v>300</v>
      </c>
      <c r="L424" s="76">
        <v>46112</v>
      </c>
      <c r="N424" s="83"/>
      <c r="O424" s="84"/>
      <c r="P424" s="81">
        <f t="shared" si="42"/>
        <v>150</v>
      </c>
      <c r="Q424" s="81">
        <f t="shared" si="43"/>
        <v>300</v>
      </c>
      <c r="R424" s="81"/>
      <c r="S424" s="81"/>
      <c r="T424" s="85"/>
      <c r="U424" s="81">
        <f t="shared" si="44"/>
        <v>150</v>
      </c>
      <c r="V424" s="81">
        <f t="shared" si="45"/>
        <v>2</v>
      </c>
      <c r="W424" s="82">
        <f t="shared" si="46"/>
        <v>300</v>
      </c>
      <c r="X424" s="82" t="s">
        <v>84</v>
      </c>
      <c r="Y424" s="24" t="s">
        <v>93</v>
      </c>
    </row>
    <row r="425" spans="1:25" s="24" customFormat="1" ht="11.1" customHeight="1">
      <c r="A425" s="74">
        <f t="shared" si="48"/>
        <v>423</v>
      </c>
      <c r="B425" s="75" t="s">
        <v>212</v>
      </c>
      <c r="C425" s="74" t="str">
        <f>IF($B425&lt;&gt;"",_xlfn.IFNA(VLOOKUP($B425,'Node Details'!$B:$U,C$1,0),"Check"),"")</f>
        <v>0000AXY06-AXY060105</v>
      </c>
      <c r="D425" s="74" t="str">
        <f>IF($B425&lt;&gt;"",_xlfn.IFNA(VLOOKUP($B425,'Node Details'!$B:$U,D$1,0),"Check"),"")</f>
        <v>AXY</v>
      </c>
      <c r="E425" s="74" t="str">
        <f>IF($B425&lt;&gt;"",_xlfn.IFNA(VLOOKUP($B425,'Node Details'!$B:$U,E$1,0),"Check"),"")</f>
        <v>Airtel</v>
      </c>
      <c r="F425" s="76">
        <v>46113</v>
      </c>
      <c r="G425" s="74"/>
      <c r="H425" s="10" t="s">
        <v>1250</v>
      </c>
      <c r="I425" s="9">
        <v>2</v>
      </c>
      <c r="J425" s="9">
        <v>150</v>
      </c>
      <c r="K425" s="77">
        <f t="shared" si="47"/>
        <v>300</v>
      </c>
      <c r="L425" s="76">
        <v>46112</v>
      </c>
      <c r="N425" s="83"/>
      <c r="O425" s="84"/>
      <c r="P425" s="81">
        <f t="shared" si="42"/>
        <v>150</v>
      </c>
      <c r="Q425" s="81">
        <f t="shared" si="43"/>
        <v>300</v>
      </c>
      <c r="R425" s="81"/>
      <c r="S425" s="81"/>
      <c r="T425" s="85"/>
      <c r="U425" s="81">
        <f t="shared" si="44"/>
        <v>150</v>
      </c>
      <c r="V425" s="81">
        <f t="shared" si="45"/>
        <v>2</v>
      </c>
      <c r="W425" s="82">
        <f t="shared" si="46"/>
        <v>300</v>
      </c>
      <c r="X425" s="82" t="s">
        <v>84</v>
      </c>
      <c r="Y425" s="24" t="s">
        <v>93</v>
      </c>
    </row>
    <row r="426" spans="1:25" s="24" customFormat="1" ht="11.1" customHeight="1">
      <c r="A426" s="74">
        <f t="shared" si="48"/>
        <v>424</v>
      </c>
      <c r="B426" s="75" t="s">
        <v>996</v>
      </c>
      <c r="C426" s="74" t="str">
        <f>IF($B426&lt;&gt;"",_xlfn.IFNA(VLOOKUP($B426,'Node Details'!$B:$U,C$1,0),"Check"),"")</f>
        <v>0000AXY06-AXY060201</v>
      </c>
      <c r="D426" s="74" t="str">
        <f>IF($B426&lt;&gt;"",_xlfn.IFNA(VLOOKUP($B426,'Node Details'!$B:$U,D$1,0),"Check"),"")</f>
        <v>AXY</v>
      </c>
      <c r="E426" s="74" t="str">
        <f>IF($B426&lt;&gt;"",_xlfn.IFNA(VLOOKUP($B426,'Node Details'!$B:$U,E$1,0),"Check"),"")</f>
        <v>Airtel</v>
      </c>
      <c r="F426" s="76">
        <v>46113</v>
      </c>
      <c r="G426" s="74"/>
      <c r="H426" s="10" t="s">
        <v>1250</v>
      </c>
      <c r="I426" s="9">
        <v>2</v>
      </c>
      <c r="J426" s="9">
        <v>150</v>
      </c>
      <c r="K426" s="77">
        <f t="shared" si="47"/>
        <v>300</v>
      </c>
      <c r="L426" s="76">
        <v>46112</v>
      </c>
      <c r="N426" s="83"/>
      <c r="O426" s="84"/>
      <c r="P426" s="81">
        <f t="shared" si="42"/>
        <v>150</v>
      </c>
      <c r="Q426" s="81">
        <f t="shared" si="43"/>
        <v>300</v>
      </c>
      <c r="R426" s="81"/>
      <c r="S426" s="81"/>
      <c r="T426" s="85"/>
      <c r="U426" s="81">
        <f t="shared" si="44"/>
        <v>150</v>
      </c>
      <c r="V426" s="81">
        <f t="shared" si="45"/>
        <v>2</v>
      </c>
      <c r="W426" s="82">
        <f t="shared" si="46"/>
        <v>300</v>
      </c>
      <c r="X426" s="82" t="s">
        <v>84</v>
      </c>
      <c r="Y426" s="24" t="s">
        <v>93</v>
      </c>
    </row>
    <row r="427" spans="1:25" s="24" customFormat="1" ht="11.1" customHeight="1">
      <c r="A427" s="74">
        <f t="shared" si="48"/>
        <v>425</v>
      </c>
      <c r="B427" s="75" t="s">
        <v>997</v>
      </c>
      <c r="C427" s="74" t="str">
        <f>IF($B427&lt;&gt;"",_xlfn.IFNA(VLOOKUP($B427,'Node Details'!$B:$U,C$1,0),"Check"),"")</f>
        <v>0000AXY06-AXY060201</v>
      </c>
      <c r="D427" s="74" t="str">
        <f>IF($B427&lt;&gt;"",_xlfn.IFNA(VLOOKUP($B427,'Node Details'!$B:$U,D$1,0),"Check"),"")</f>
        <v>AXY</v>
      </c>
      <c r="E427" s="74" t="str">
        <f>IF($B427&lt;&gt;"",_xlfn.IFNA(VLOOKUP($B427,'Node Details'!$B:$U,E$1,0),"Check"),"")</f>
        <v>Airtel</v>
      </c>
      <c r="F427" s="76">
        <v>46113</v>
      </c>
      <c r="G427" s="74"/>
      <c r="H427" s="10" t="s">
        <v>1250</v>
      </c>
      <c r="I427" s="9">
        <v>2</v>
      </c>
      <c r="J427" s="9">
        <v>150</v>
      </c>
      <c r="K427" s="77">
        <f t="shared" si="47"/>
        <v>300</v>
      </c>
      <c r="L427" s="76">
        <v>46112</v>
      </c>
      <c r="N427" s="83"/>
      <c r="O427" s="84"/>
      <c r="P427" s="81">
        <f t="shared" si="42"/>
        <v>150</v>
      </c>
      <c r="Q427" s="81">
        <f t="shared" si="43"/>
        <v>300</v>
      </c>
      <c r="R427" s="81"/>
      <c r="S427" s="81"/>
      <c r="T427" s="85"/>
      <c r="U427" s="81">
        <f t="shared" si="44"/>
        <v>150</v>
      </c>
      <c r="V427" s="81">
        <f t="shared" si="45"/>
        <v>2</v>
      </c>
      <c r="W427" s="82">
        <f t="shared" si="46"/>
        <v>300</v>
      </c>
      <c r="X427" s="82" t="s">
        <v>84</v>
      </c>
      <c r="Y427" s="24" t="s">
        <v>93</v>
      </c>
    </row>
    <row r="428" spans="1:25" s="24" customFormat="1" ht="11.1" customHeight="1">
      <c r="A428" s="74">
        <f t="shared" si="48"/>
        <v>426</v>
      </c>
      <c r="B428" s="75" t="s">
        <v>998</v>
      </c>
      <c r="C428" s="74" t="str">
        <f>IF($B428&lt;&gt;"",_xlfn.IFNA(VLOOKUP($B428,'Node Details'!$B:$U,C$1,0),"Check"),"")</f>
        <v>0000AXY06-AXY060201</v>
      </c>
      <c r="D428" s="74" t="str">
        <f>IF($B428&lt;&gt;"",_xlfn.IFNA(VLOOKUP($B428,'Node Details'!$B:$U,D$1,0),"Check"),"")</f>
        <v>AXY</v>
      </c>
      <c r="E428" s="74" t="str">
        <f>IF($B428&lt;&gt;"",_xlfn.IFNA(VLOOKUP($B428,'Node Details'!$B:$U,E$1,0),"Check"),"")</f>
        <v>Airtel</v>
      </c>
      <c r="F428" s="76">
        <v>46113</v>
      </c>
      <c r="G428" s="74"/>
      <c r="H428" s="10" t="s">
        <v>1250</v>
      </c>
      <c r="I428" s="9">
        <v>2</v>
      </c>
      <c r="J428" s="9">
        <v>150</v>
      </c>
      <c r="K428" s="77">
        <f t="shared" si="47"/>
        <v>300</v>
      </c>
      <c r="L428" s="76">
        <v>46112</v>
      </c>
      <c r="N428" s="83"/>
      <c r="O428" s="84"/>
      <c r="P428" s="81">
        <f t="shared" si="42"/>
        <v>150</v>
      </c>
      <c r="Q428" s="81">
        <f t="shared" si="43"/>
        <v>300</v>
      </c>
      <c r="R428" s="81"/>
      <c r="S428" s="81"/>
      <c r="T428" s="85"/>
      <c r="U428" s="81">
        <f t="shared" si="44"/>
        <v>150</v>
      </c>
      <c r="V428" s="81">
        <f t="shared" si="45"/>
        <v>2</v>
      </c>
      <c r="W428" s="82">
        <f t="shared" si="46"/>
        <v>300</v>
      </c>
      <c r="X428" s="82" t="s">
        <v>84</v>
      </c>
      <c r="Y428" s="24" t="s">
        <v>93</v>
      </c>
    </row>
    <row r="429" spans="1:25" s="24" customFormat="1" ht="11.1" customHeight="1">
      <c r="A429" s="74">
        <f t="shared" si="48"/>
        <v>427</v>
      </c>
      <c r="B429" s="75" t="s">
        <v>215</v>
      </c>
      <c r="C429" s="74" t="str">
        <f>IF($B429&lt;&gt;"",_xlfn.IFNA(VLOOKUP($B429,'Node Details'!$B:$U,C$1,0),"Check"),"")</f>
        <v>0000AXY06-AXY060201</v>
      </c>
      <c r="D429" s="74" t="str">
        <f>IF($B429&lt;&gt;"",_xlfn.IFNA(VLOOKUP($B429,'Node Details'!$B:$U,D$1,0),"Check"),"")</f>
        <v>AXY</v>
      </c>
      <c r="E429" s="74" t="str">
        <f>IF($B429&lt;&gt;"",_xlfn.IFNA(VLOOKUP($B429,'Node Details'!$B:$U,E$1,0),"Check"),"")</f>
        <v>Airtel</v>
      </c>
      <c r="F429" s="76">
        <v>46113</v>
      </c>
      <c r="G429" s="74"/>
      <c r="H429" s="10" t="s">
        <v>1250</v>
      </c>
      <c r="I429" s="9">
        <v>2</v>
      </c>
      <c r="J429" s="9">
        <v>150</v>
      </c>
      <c r="K429" s="77">
        <f t="shared" si="47"/>
        <v>300</v>
      </c>
      <c r="L429" s="76">
        <v>46112</v>
      </c>
      <c r="N429" s="83"/>
      <c r="O429" s="84"/>
      <c r="P429" s="81">
        <f t="shared" si="42"/>
        <v>150</v>
      </c>
      <c r="Q429" s="81">
        <f t="shared" si="43"/>
        <v>300</v>
      </c>
      <c r="R429" s="81"/>
      <c r="S429" s="81"/>
      <c r="T429" s="85"/>
      <c r="U429" s="81">
        <f t="shared" si="44"/>
        <v>150</v>
      </c>
      <c r="V429" s="81">
        <f t="shared" si="45"/>
        <v>2</v>
      </c>
      <c r="W429" s="82">
        <f t="shared" si="46"/>
        <v>300</v>
      </c>
      <c r="X429" s="82" t="s">
        <v>84</v>
      </c>
      <c r="Y429" s="24" t="s">
        <v>93</v>
      </c>
    </row>
    <row r="430" spans="1:25" s="24" customFormat="1" ht="11.1" customHeight="1">
      <c r="A430" s="74">
        <f t="shared" si="48"/>
        <v>428</v>
      </c>
      <c r="B430" s="75" t="s">
        <v>218</v>
      </c>
      <c r="C430" s="74" t="str">
        <f>IF($B430&lt;&gt;"",_xlfn.IFNA(VLOOKUP($B430,'Node Details'!$B:$U,C$1,0),"Check"),"")</f>
        <v>000000AXY-0000AXY12</v>
      </c>
      <c r="D430" s="74" t="str">
        <f>IF($B430&lt;&gt;"",_xlfn.IFNA(VLOOKUP($B430,'Node Details'!$B:$U,D$1,0),"Check"),"")</f>
        <v>AXY</v>
      </c>
      <c r="E430" s="74" t="str">
        <f>IF($B430&lt;&gt;"",_xlfn.IFNA(VLOOKUP($B430,'Node Details'!$B:$U,E$1,0),"Check"),"")</f>
        <v>Airtel</v>
      </c>
      <c r="F430" s="76">
        <v>46113</v>
      </c>
      <c r="G430" s="74"/>
      <c r="H430" s="10" t="s">
        <v>1250</v>
      </c>
      <c r="I430" s="9">
        <v>2</v>
      </c>
      <c r="J430" s="9">
        <v>150</v>
      </c>
      <c r="K430" s="77">
        <f t="shared" si="47"/>
        <v>300</v>
      </c>
      <c r="L430" s="76">
        <v>46112</v>
      </c>
      <c r="N430" s="83"/>
      <c r="O430" s="84"/>
      <c r="P430" s="81">
        <f t="shared" si="42"/>
        <v>150</v>
      </c>
      <c r="Q430" s="81">
        <f t="shared" si="43"/>
        <v>300</v>
      </c>
      <c r="R430" s="81"/>
      <c r="S430" s="81"/>
      <c r="T430" s="85"/>
      <c r="U430" s="81">
        <f t="shared" si="44"/>
        <v>150</v>
      </c>
      <c r="V430" s="81">
        <f t="shared" si="45"/>
        <v>2</v>
      </c>
      <c r="W430" s="82">
        <f t="shared" si="46"/>
        <v>300</v>
      </c>
      <c r="X430" s="82" t="s">
        <v>84</v>
      </c>
      <c r="Y430" s="24" t="s">
        <v>93</v>
      </c>
    </row>
    <row r="431" spans="1:25" s="24" customFormat="1" ht="11.1" customHeight="1">
      <c r="A431" s="74">
        <f t="shared" si="48"/>
        <v>429</v>
      </c>
      <c r="B431" s="75" t="s">
        <v>219</v>
      </c>
      <c r="C431" s="74" t="str">
        <f>IF($B431&lt;&gt;"",_xlfn.IFNA(VLOOKUP($B431,'Node Details'!$B:$U,C$1,0),"Check"),"")</f>
        <v>0000AXY07-AXY070101</v>
      </c>
      <c r="D431" s="74" t="str">
        <f>IF($B431&lt;&gt;"",_xlfn.IFNA(VLOOKUP($B431,'Node Details'!$B:$U,D$1,0),"Check"),"")</f>
        <v>AXY</v>
      </c>
      <c r="E431" s="74" t="str">
        <f>IF($B431&lt;&gt;"",_xlfn.IFNA(VLOOKUP($B431,'Node Details'!$B:$U,E$1,0),"Check"),"")</f>
        <v>Airtel</v>
      </c>
      <c r="F431" s="76">
        <v>46113</v>
      </c>
      <c r="G431" s="74"/>
      <c r="H431" s="10" t="s">
        <v>1250</v>
      </c>
      <c r="I431" s="9">
        <v>2</v>
      </c>
      <c r="J431" s="9">
        <v>150</v>
      </c>
      <c r="K431" s="77">
        <f t="shared" si="47"/>
        <v>300</v>
      </c>
      <c r="L431" s="76">
        <v>46112</v>
      </c>
      <c r="N431" s="83"/>
      <c r="O431" s="84"/>
      <c r="P431" s="81">
        <f t="shared" ref="P431:P494" si="49">J431</f>
        <v>150</v>
      </c>
      <c r="Q431" s="81">
        <f t="shared" ref="Q431:Q494" si="50">P431*I431</f>
        <v>300</v>
      </c>
      <c r="R431" s="81"/>
      <c r="S431" s="81"/>
      <c r="T431" s="85"/>
      <c r="U431" s="81">
        <f t="shared" ref="U431:U494" si="51">J431</f>
        <v>150</v>
      </c>
      <c r="V431" s="81">
        <f t="shared" ref="V431:V494" si="52">I431</f>
        <v>2</v>
      </c>
      <c r="W431" s="82">
        <f t="shared" ref="W431:W494" si="53">IF(V431&lt;&gt;"",V431*U431,0)</f>
        <v>300</v>
      </c>
      <c r="X431" s="82" t="s">
        <v>84</v>
      </c>
      <c r="Y431" s="24" t="s">
        <v>93</v>
      </c>
    </row>
    <row r="432" spans="1:25" s="24" customFormat="1" ht="11.1" customHeight="1">
      <c r="A432" s="74">
        <f t="shared" si="48"/>
        <v>430</v>
      </c>
      <c r="B432" s="75" t="s">
        <v>222</v>
      </c>
      <c r="C432" s="74" t="str">
        <f>IF($B432&lt;&gt;"",_xlfn.IFNA(VLOOKUP($B432,'Node Details'!$B:$U,C$1,0),"Check"),"")</f>
        <v>0000AXY07-AXY070102</v>
      </c>
      <c r="D432" s="74" t="str">
        <f>IF($B432&lt;&gt;"",_xlfn.IFNA(VLOOKUP($B432,'Node Details'!$B:$U,D$1,0),"Check"),"")</f>
        <v>AXY</v>
      </c>
      <c r="E432" s="74" t="str">
        <f>IF($B432&lt;&gt;"",_xlfn.IFNA(VLOOKUP($B432,'Node Details'!$B:$U,E$1,0),"Check"),"")</f>
        <v>Airtel</v>
      </c>
      <c r="F432" s="76">
        <v>46113</v>
      </c>
      <c r="G432" s="74"/>
      <c r="H432" s="10" t="s">
        <v>1250</v>
      </c>
      <c r="I432" s="9">
        <v>2</v>
      </c>
      <c r="J432" s="9">
        <v>150</v>
      </c>
      <c r="K432" s="77">
        <f t="shared" ref="K432:K495" si="54">IF(I432&lt;&gt;"",J432*I432,0)</f>
        <v>300</v>
      </c>
      <c r="L432" s="76">
        <v>46112</v>
      </c>
      <c r="N432" s="83"/>
      <c r="O432" s="84"/>
      <c r="P432" s="81">
        <f t="shared" si="49"/>
        <v>150</v>
      </c>
      <c r="Q432" s="81">
        <f t="shared" si="50"/>
        <v>300</v>
      </c>
      <c r="R432" s="81"/>
      <c r="S432" s="81"/>
      <c r="T432" s="85"/>
      <c r="U432" s="81">
        <f t="shared" si="51"/>
        <v>150</v>
      </c>
      <c r="V432" s="81">
        <f t="shared" si="52"/>
        <v>2</v>
      </c>
      <c r="W432" s="82">
        <f t="shared" si="53"/>
        <v>300</v>
      </c>
      <c r="X432" s="82" t="s">
        <v>84</v>
      </c>
      <c r="Y432" s="24" t="s">
        <v>93</v>
      </c>
    </row>
    <row r="433" spans="1:25" s="24" customFormat="1" ht="11.1" customHeight="1">
      <c r="A433" s="74">
        <f t="shared" si="48"/>
        <v>431</v>
      </c>
      <c r="B433" s="75" t="s">
        <v>999</v>
      </c>
      <c r="C433" s="74" t="str">
        <f>IF($B433&lt;&gt;"",_xlfn.IFNA(VLOOKUP($B433,'Node Details'!$B:$U,C$1,0),"Check"),"")</f>
        <v>0000AXY07-AXY070105</v>
      </c>
      <c r="D433" s="74" t="str">
        <f>IF($B433&lt;&gt;"",_xlfn.IFNA(VLOOKUP($B433,'Node Details'!$B:$U,D$1,0),"Check"),"")</f>
        <v>AXY</v>
      </c>
      <c r="E433" s="74" t="str">
        <f>IF($B433&lt;&gt;"",_xlfn.IFNA(VLOOKUP($B433,'Node Details'!$B:$U,E$1,0),"Check"),"")</f>
        <v>Airtel</v>
      </c>
      <c r="F433" s="76">
        <v>46113</v>
      </c>
      <c r="G433" s="74"/>
      <c r="H433" s="10" t="s">
        <v>1250</v>
      </c>
      <c r="I433" s="9">
        <v>2</v>
      </c>
      <c r="J433" s="9">
        <v>150</v>
      </c>
      <c r="K433" s="77">
        <f t="shared" si="54"/>
        <v>300</v>
      </c>
      <c r="L433" s="76">
        <v>46112</v>
      </c>
      <c r="N433" s="83"/>
      <c r="O433" s="84"/>
      <c r="P433" s="81">
        <f t="shared" si="49"/>
        <v>150</v>
      </c>
      <c r="Q433" s="81">
        <f t="shared" si="50"/>
        <v>300</v>
      </c>
      <c r="R433" s="81"/>
      <c r="S433" s="81"/>
      <c r="T433" s="85"/>
      <c r="U433" s="81">
        <f t="shared" si="51"/>
        <v>150</v>
      </c>
      <c r="V433" s="81">
        <f t="shared" si="52"/>
        <v>2</v>
      </c>
      <c r="W433" s="82">
        <f t="shared" si="53"/>
        <v>300</v>
      </c>
      <c r="X433" s="82" t="s">
        <v>84</v>
      </c>
      <c r="Y433" s="24" t="s">
        <v>93</v>
      </c>
    </row>
    <row r="434" spans="1:25" s="24" customFormat="1" ht="11.1" customHeight="1">
      <c r="A434" s="74">
        <f t="shared" si="48"/>
        <v>432</v>
      </c>
      <c r="B434" s="75" t="s">
        <v>1000</v>
      </c>
      <c r="C434" s="74" t="str">
        <f>IF($B434&lt;&gt;"",_xlfn.IFNA(VLOOKUP($B434,'Node Details'!$B:$U,C$1,0),"Check"),"")</f>
        <v>0000AXY07-AXY070105</v>
      </c>
      <c r="D434" s="74" t="str">
        <f>IF($B434&lt;&gt;"",_xlfn.IFNA(VLOOKUP($B434,'Node Details'!$B:$U,D$1,0),"Check"),"")</f>
        <v>AXY</v>
      </c>
      <c r="E434" s="74" t="str">
        <f>IF($B434&lt;&gt;"",_xlfn.IFNA(VLOOKUP($B434,'Node Details'!$B:$U,E$1,0),"Check"),"")</f>
        <v>Airtel</v>
      </c>
      <c r="F434" s="76">
        <v>46113</v>
      </c>
      <c r="G434" s="74"/>
      <c r="H434" s="10" t="s">
        <v>1250</v>
      </c>
      <c r="I434" s="9">
        <v>2</v>
      </c>
      <c r="J434" s="9">
        <v>150</v>
      </c>
      <c r="K434" s="77">
        <f t="shared" si="54"/>
        <v>300</v>
      </c>
      <c r="L434" s="76">
        <v>46112</v>
      </c>
      <c r="N434" s="83"/>
      <c r="O434" s="84"/>
      <c r="P434" s="81">
        <f t="shared" si="49"/>
        <v>150</v>
      </c>
      <c r="Q434" s="81">
        <f t="shared" si="50"/>
        <v>300</v>
      </c>
      <c r="R434" s="81"/>
      <c r="S434" s="81"/>
      <c r="T434" s="85"/>
      <c r="U434" s="81">
        <f t="shared" si="51"/>
        <v>150</v>
      </c>
      <c r="V434" s="81">
        <f t="shared" si="52"/>
        <v>2</v>
      </c>
      <c r="W434" s="82">
        <f t="shared" si="53"/>
        <v>300</v>
      </c>
      <c r="X434" s="82" t="s">
        <v>84</v>
      </c>
      <c r="Y434" s="24" t="s">
        <v>93</v>
      </c>
    </row>
    <row r="435" spans="1:25" s="24" customFormat="1" ht="11.1" customHeight="1">
      <c r="A435" s="74">
        <f t="shared" si="48"/>
        <v>433</v>
      </c>
      <c r="B435" s="75" t="s">
        <v>226</v>
      </c>
      <c r="C435" s="74" t="str">
        <f>IF($B435&lt;&gt;"",_xlfn.IFNA(VLOOKUP($B435,'Node Details'!$B:$U,C$1,0),"Check"),"")</f>
        <v>0000AXY07-AXY070105</v>
      </c>
      <c r="D435" s="74" t="str">
        <f>IF($B435&lt;&gt;"",_xlfn.IFNA(VLOOKUP($B435,'Node Details'!$B:$U,D$1,0),"Check"),"")</f>
        <v>AXY</v>
      </c>
      <c r="E435" s="74" t="str">
        <f>IF($B435&lt;&gt;"",_xlfn.IFNA(VLOOKUP($B435,'Node Details'!$B:$U,E$1,0),"Check"),"")</f>
        <v>Airtel</v>
      </c>
      <c r="F435" s="76">
        <v>46113</v>
      </c>
      <c r="G435" s="74"/>
      <c r="H435" s="10" t="s">
        <v>1250</v>
      </c>
      <c r="I435" s="9">
        <v>2</v>
      </c>
      <c r="J435" s="9">
        <v>150</v>
      </c>
      <c r="K435" s="77">
        <f t="shared" si="54"/>
        <v>300</v>
      </c>
      <c r="L435" s="76">
        <v>46112</v>
      </c>
      <c r="N435" s="83"/>
      <c r="O435" s="84"/>
      <c r="P435" s="81">
        <f t="shared" si="49"/>
        <v>150</v>
      </c>
      <c r="Q435" s="81">
        <f t="shared" si="50"/>
        <v>300</v>
      </c>
      <c r="R435" s="81"/>
      <c r="S435" s="81"/>
      <c r="T435" s="85"/>
      <c r="U435" s="81">
        <f t="shared" si="51"/>
        <v>150</v>
      </c>
      <c r="V435" s="81">
        <f t="shared" si="52"/>
        <v>2</v>
      </c>
      <c r="W435" s="82">
        <f t="shared" si="53"/>
        <v>300</v>
      </c>
      <c r="X435" s="82" t="s">
        <v>84</v>
      </c>
      <c r="Y435" s="24" t="s">
        <v>93</v>
      </c>
    </row>
    <row r="436" spans="1:25" s="24" customFormat="1" ht="11.1" customHeight="1">
      <c r="A436" s="74">
        <f t="shared" si="48"/>
        <v>434</v>
      </c>
      <c r="B436" s="75" t="s">
        <v>1001</v>
      </c>
      <c r="C436" s="74" t="str">
        <f>IF($B436&lt;&gt;"",_xlfn.IFNA(VLOOKUP($B436,'Node Details'!$B:$U,C$1,0),"Check"),"")</f>
        <v>000000AXY-0000AXY12</v>
      </c>
      <c r="D436" s="74" t="str">
        <f>IF($B436&lt;&gt;"",_xlfn.IFNA(VLOOKUP($B436,'Node Details'!$B:$U,D$1,0),"Check"),"")</f>
        <v>AXY</v>
      </c>
      <c r="E436" s="74" t="str">
        <f>IF($B436&lt;&gt;"",_xlfn.IFNA(VLOOKUP($B436,'Node Details'!$B:$U,E$1,0),"Check"),"")</f>
        <v>Airtel</v>
      </c>
      <c r="F436" s="76">
        <v>46113</v>
      </c>
      <c r="G436" s="74"/>
      <c r="H436" s="10" t="s">
        <v>1250</v>
      </c>
      <c r="I436" s="9">
        <v>2</v>
      </c>
      <c r="J436" s="9">
        <v>150</v>
      </c>
      <c r="K436" s="77">
        <f t="shared" si="54"/>
        <v>300</v>
      </c>
      <c r="L436" s="76">
        <v>46112</v>
      </c>
      <c r="N436" s="83"/>
      <c r="O436" s="84"/>
      <c r="P436" s="81">
        <f t="shared" si="49"/>
        <v>150</v>
      </c>
      <c r="Q436" s="81">
        <f t="shared" si="50"/>
        <v>300</v>
      </c>
      <c r="R436" s="81"/>
      <c r="S436" s="81"/>
      <c r="T436" s="85"/>
      <c r="U436" s="81">
        <f t="shared" si="51"/>
        <v>150</v>
      </c>
      <c r="V436" s="81">
        <f t="shared" si="52"/>
        <v>2</v>
      </c>
      <c r="W436" s="82">
        <f t="shared" si="53"/>
        <v>300</v>
      </c>
      <c r="X436" s="82" t="s">
        <v>84</v>
      </c>
      <c r="Y436" s="24" t="s">
        <v>93</v>
      </c>
    </row>
    <row r="437" spans="1:25" s="24" customFormat="1" ht="11.1" customHeight="1">
      <c r="A437" s="74">
        <f t="shared" si="48"/>
        <v>435</v>
      </c>
      <c r="B437" s="75" t="s">
        <v>236</v>
      </c>
      <c r="C437" s="74" t="str">
        <f>IF($B437&lt;&gt;"",_xlfn.IFNA(VLOOKUP($B437,'Node Details'!$B:$U,C$1,0),"Check"),"")</f>
        <v>0000AXY08-AXY080104</v>
      </c>
      <c r="D437" s="74" t="str">
        <f>IF($B437&lt;&gt;"",_xlfn.IFNA(VLOOKUP($B437,'Node Details'!$B:$U,D$1,0),"Check"),"")</f>
        <v>AXY</v>
      </c>
      <c r="E437" s="74" t="str">
        <f>IF($B437&lt;&gt;"",_xlfn.IFNA(VLOOKUP($B437,'Node Details'!$B:$U,E$1,0),"Check"),"")</f>
        <v>Airtel</v>
      </c>
      <c r="F437" s="76">
        <v>46113</v>
      </c>
      <c r="G437" s="74"/>
      <c r="H437" s="10" t="s">
        <v>1250</v>
      </c>
      <c r="I437" s="9">
        <v>2</v>
      </c>
      <c r="J437" s="9">
        <v>150</v>
      </c>
      <c r="K437" s="77">
        <f t="shared" si="54"/>
        <v>300</v>
      </c>
      <c r="L437" s="76">
        <v>46112</v>
      </c>
      <c r="N437" s="83"/>
      <c r="O437" s="84"/>
      <c r="P437" s="81">
        <f t="shared" si="49"/>
        <v>150</v>
      </c>
      <c r="Q437" s="81">
        <f t="shared" si="50"/>
        <v>300</v>
      </c>
      <c r="R437" s="81"/>
      <c r="S437" s="81"/>
      <c r="T437" s="85"/>
      <c r="U437" s="81">
        <f t="shared" si="51"/>
        <v>150</v>
      </c>
      <c r="V437" s="81">
        <f t="shared" si="52"/>
        <v>2</v>
      </c>
      <c r="W437" s="82">
        <f t="shared" si="53"/>
        <v>300</v>
      </c>
      <c r="X437" s="82" t="s">
        <v>84</v>
      </c>
      <c r="Y437" s="24" t="s">
        <v>93</v>
      </c>
    </row>
    <row r="438" spans="1:25" s="24" customFormat="1" ht="11.1" customHeight="1">
      <c r="A438" s="74">
        <f t="shared" si="48"/>
        <v>436</v>
      </c>
      <c r="B438" s="75" t="s">
        <v>1002</v>
      </c>
      <c r="C438" s="74" t="str">
        <f>IF($B438&lt;&gt;"",_xlfn.IFNA(VLOOKUP($B438,'Node Details'!$B:$U,C$1,0),"Check"),"")</f>
        <v>0000AXY08-AXY080103</v>
      </c>
      <c r="D438" s="74" t="str">
        <f>IF($B438&lt;&gt;"",_xlfn.IFNA(VLOOKUP($B438,'Node Details'!$B:$U,D$1,0),"Check"),"")</f>
        <v>AXY</v>
      </c>
      <c r="E438" s="74" t="str">
        <f>IF($B438&lt;&gt;"",_xlfn.IFNA(VLOOKUP($B438,'Node Details'!$B:$U,E$1,0),"Check"),"")</f>
        <v>Airtel</v>
      </c>
      <c r="F438" s="76">
        <v>46113</v>
      </c>
      <c r="G438" s="74"/>
      <c r="H438" s="10" t="s">
        <v>1250</v>
      </c>
      <c r="I438" s="9">
        <v>2</v>
      </c>
      <c r="J438" s="9">
        <v>150</v>
      </c>
      <c r="K438" s="77">
        <f t="shared" si="54"/>
        <v>300</v>
      </c>
      <c r="L438" s="76">
        <v>46112</v>
      </c>
      <c r="N438" s="83"/>
      <c r="O438" s="84"/>
      <c r="P438" s="81">
        <f t="shared" si="49"/>
        <v>150</v>
      </c>
      <c r="Q438" s="81">
        <f t="shared" si="50"/>
        <v>300</v>
      </c>
      <c r="R438" s="81"/>
      <c r="S438" s="81"/>
      <c r="T438" s="85"/>
      <c r="U438" s="81">
        <f t="shared" si="51"/>
        <v>150</v>
      </c>
      <c r="V438" s="81">
        <f t="shared" si="52"/>
        <v>2</v>
      </c>
      <c r="W438" s="82">
        <f t="shared" si="53"/>
        <v>300</v>
      </c>
      <c r="X438" s="82" t="s">
        <v>84</v>
      </c>
      <c r="Y438" s="24" t="s">
        <v>93</v>
      </c>
    </row>
    <row r="439" spans="1:25" s="24" customFormat="1" ht="11.1" customHeight="1">
      <c r="A439" s="74">
        <f t="shared" si="48"/>
        <v>437</v>
      </c>
      <c r="B439" s="75" t="s">
        <v>1003</v>
      </c>
      <c r="C439" s="74" t="str">
        <f>IF($B439&lt;&gt;"",_xlfn.IFNA(VLOOKUP($B439,'Node Details'!$B:$U,C$1,0),"Check"),"")</f>
        <v>0000AXY08-AXY080103</v>
      </c>
      <c r="D439" s="74" t="str">
        <f>IF($B439&lt;&gt;"",_xlfn.IFNA(VLOOKUP($B439,'Node Details'!$B:$U,D$1,0),"Check"),"")</f>
        <v>AXY</v>
      </c>
      <c r="E439" s="74" t="str">
        <f>IF($B439&lt;&gt;"",_xlfn.IFNA(VLOOKUP($B439,'Node Details'!$B:$U,E$1,0),"Check"),"")</f>
        <v>Airtel</v>
      </c>
      <c r="F439" s="76">
        <v>46113</v>
      </c>
      <c r="G439" s="74"/>
      <c r="H439" s="10" t="s">
        <v>1250</v>
      </c>
      <c r="I439" s="9">
        <v>2</v>
      </c>
      <c r="J439" s="9">
        <v>150</v>
      </c>
      <c r="K439" s="77">
        <f t="shared" si="54"/>
        <v>300</v>
      </c>
      <c r="L439" s="76">
        <v>46112</v>
      </c>
      <c r="N439" s="83"/>
      <c r="O439" s="84"/>
      <c r="P439" s="81">
        <f t="shared" si="49"/>
        <v>150</v>
      </c>
      <c r="Q439" s="81">
        <f t="shared" si="50"/>
        <v>300</v>
      </c>
      <c r="R439" s="81"/>
      <c r="S439" s="81"/>
      <c r="T439" s="85"/>
      <c r="U439" s="81">
        <f t="shared" si="51"/>
        <v>150</v>
      </c>
      <c r="V439" s="81">
        <f t="shared" si="52"/>
        <v>2</v>
      </c>
      <c r="W439" s="82">
        <f t="shared" si="53"/>
        <v>300</v>
      </c>
      <c r="X439" s="82" t="s">
        <v>84</v>
      </c>
      <c r="Y439" s="24" t="s">
        <v>93</v>
      </c>
    </row>
    <row r="440" spans="1:25" s="24" customFormat="1" ht="11.1" customHeight="1">
      <c r="A440" s="74">
        <f t="shared" si="48"/>
        <v>438</v>
      </c>
      <c r="B440" s="75" t="s">
        <v>239</v>
      </c>
      <c r="C440" s="74" t="str">
        <f>IF($B440&lt;&gt;"",_xlfn.IFNA(VLOOKUP($B440,'Node Details'!$B:$U,C$1,0),"Check"),"")</f>
        <v>0000AXY08-AXY080103</v>
      </c>
      <c r="D440" s="74" t="str">
        <f>IF($B440&lt;&gt;"",_xlfn.IFNA(VLOOKUP($B440,'Node Details'!$B:$U,D$1,0),"Check"),"")</f>
        <v>AXY</v>
      </c>
      <c r="E440" s="74" t="str">
        <f>IF($B440&lt;&gt;"",_xlfn.IFNA(VLOOKUP($B440,'Node Details'!$B:$U,E$1,0),"Check"),"")</f>
        <v>Airtel</v>
      </c>
      <c r="F440" s="76">
        <v>46113</v>
      </c>
      <c r="G440" s="74"/>
      <c r="H440" s="10" t="s">
        <v>1250</v>
      </c>
      <c r="I440" s="9">
        <v>2</v>
      </c>
      <c r="J440" s="9">
        <v>150</v>
      </c>
      <c r="K440" s="77">
        <f t="shared" si="54"/>
        <v>300</v>
      </c>
      <c r="L440" s="76">
        <v>46112</v>
      </c>
      <c r="N440" s="83"/>
      <c r="O440" s="84"/>
      <c r="P440" s="81">
        <f t="shared" si="49"/>
        <v>150</v>
      </c>
      <c r="Q440" s="81">
        <f t="shared" si="50"/>
        <v>300</v>
      </c>
      <c r="R440" s="81"/>
      <c r="S440" s="81"/>
      <c r="T440" s="85"/>
      <c r="U440" s="81">
        <f t="shared" si="51"/>
        <v>150</v>
      </c>
      <c r="V440" s="81">
        <f t="shared" si="52"/>
        <v>2</v>
      </c>
      <c r="W440" s="82">
        <f t="shared" si="53"/>
        <v>300</v>
      </c>
      <c r="X440" s="82" t="s">
        <v>84</v>
      </c>
      <c r="Y440" s="24" t="s">
        <v>93</v>
      </c>
    </row>
    <row r="441" spans="1:25" s="24" customFormat="1" ht="11.1" customHeight="1">
      <c r="A441" s="74">
        <f t="shared" si="48"/>
        <v>439</v>
      </c>
      <c r="B441" s="75" t="s">
        <v>230</v>
      </c>
      <c r="C441" s="74" t="str">
        <f>IF($B441&lt;&gt;"",_xlfn.IFNA(VLOOKUP($B441,'Node Details'!$B:$U,C$1,0),"Check"),"")</f>
        <v>0000AXY08-AXY080105</v>
      </c>
      <c r="D441" s="74" t="str">
        <f>IF($B441&lt;&gt;"",_xlfn.IFNA(VLOOKUP($B441,'Node Details'!$B:$U,D$1,0),"Check"),"")</f>
        <v>AXY</v>
      </c>
      <c r="E441" s="74" t="str">
        <f>IF($B441&lt;&gt;"",_xlfn.IFNA(VLOOKUP($B441,'Node Details'!$B:$U,E$1,0),"Check"),"")</f>
        <v>Airtel</v>
      </c>
      <c r="F441" s="76">
        <v>46113</v>
      </c>
      <c r="G441" s="74"/>
      <c r="H441" s="10" t="s">
        <v>1250</v>
      </c>
      <c r="I441" s="9">
        <v>2</v>
      </c>
      <c r="J441" s="9">
        <v>150</v>
      </c>
      <c r="K441" s="77">
        <f t="shared" si="54"/>
        <v>300</v>
      </c>
      <c r="L441" s="76">
        <v>46112</v>
      </c>
      <c r="N441" s="83"/>
      <c r="O441" s="84"/>
      <c r="P441" s="81">
        <f t="shared" si="49"/>
        <v>150</v>
      </c>
      <c r="Q441" s="81">
        <f t="shared" si="50"/>
        <v>300</v>
      </c>
      <c r="R441" s="81"/>
      <c r="S441" s="81"/>
      <c r="T441" s="85"/>
      <c r="U441" s="81">
        <f t="shared" si="51"/>
        <v>150</v>
      </c>
      <c r="V441" s="81">
        <f t="shared" si="52"/>
        <v>2</v>
      </c>
      <c r="W441" s="82">
        <f t="shared" si="53"/>
        <v>300</v>
      </c>
      <c r="X441" s="82" t="s">
        <v>84</v>
      </c>
      <c r="Y441" s="24" t="s">
        <v>93</v>
      </c>
    </row>
    <row r="442" spans="1:25" s="24" customFormat="1" ht="11.1" customHeight="1">
      <c r="A442" s="74">
        <f t="shared" si="48"/>
        <v>440</v>
      </c>
      <c r="B442" s="75" t="s">
        <v>233</v>
      </c>
      <c r="C442" s="74" t="str">
        <f>IF($B442&lt;&gt;"",_xlfn.IFNA(VLOOKUP($B442,'Node Details'!$B:$U,C$1,0),"Check"),"")</f>
        <v>0000AXY08-AXY080106</v>
      </c>
      <c r="D442" s="74" t="str">
        <f>IF($B442&lt;&gt;"",_xlfn.IFNA(VLOOKUP($B442,'Node Details'!$B:$U,D$1,0),"Check"),"")</f>
        <v>AXY</v>
      </c>
      <c r="E442" s="74" t="str">
        <f>IF($B442&lt;&gt;"",_xlfn.IFNA(VLOOKUP($B442,'Node Details'!$B:$U,E$1,0),"Check"),"")</f>
        <v>Airtel</v>
      </c>
      <c r="F442" s="76">
        <v>46113</v>
      </c>
      <c r="G442" s="74"/>
      <c r="H442" s="10" t="s">
        <v>1250</v>
      </c>
      <c r="I442" s="9">
        <v>2</v>
      </c>
      <c r="J442" s="9">
        <v>150</v>
      </c>
      <c r="K442" s="77">
        <f t="shared" si="54"/>
        <v>300</v>
      </c>
      <c r="L442" s="76">
        <v>46112</v>
      </c>
      <c r="N442" s="83"/>
      <c r="O442" s="84"/>
      <c r="P442" s="81">
        <f t="shared" si="49"/>
        <v>150</v>
      </c>
      <c r="Q442" s="81">
        <f t="shared" si="50"/>
        <v>300</v>
      </c>
      <c r="R442" s="81"/>
      <c r="S442" s="81"/>
      <c r="T442" s="85"/>
      <c r="U442" s="81">
        <f t="shared" si="51"/>
        <v>150</v>
      </c>
      <c r="V442" s="81">
        <f t="shared" si="52"/>
        <v>2</v>
      </c>
      <c r="W442" s="82">
        <f t="shared" si="53"/>
        <v>300</v>
      </c>
      <c r="X442" s="82" t="s">
        <v>84</v>
      </c>
      <c r="Y442" s="24" t="s">
        <v>93</v>
      </c>
    </row>
    <row r="443" spans="1:25" s="24" customFormat="1" ht="11.1" customHeight="1">
      <c r="A443" s="74">
        <f t="shared" si="48"/>
        <v>441</v>
      </c>
      <c r="B443" s="75" t="s">
        <v>1004</v>
      </c>
      <c r="C443" s="74" t="str">
        <f>IF($B443&lt;&gt;"",_xlfn.IFNA(VLOOKUP($B443,'Node Details'!$B:$U,C$1,0),"Check"),"")</f>
        <v>AXY080106-AXY080203</v>
      </c>
      <c r="D443" s="74" t="str">
        <f>IF($B443&lt;&gt;"",_xlfn.IFNA(VLOOKUP($B443,'Node Details'!$B:$U,D$1,0),"Check"),"")</f>
        <v>AXY</v>
      </c>
      <c r="E443" s="74" t="str">
        <f>IF($B443&lt;&gt;"",_xlfn.IFNA(VLOOKUP($B443,'Node Details'!$B:$U,E$1,0),"Check"),"")</f>
        <v>Airtel</v>
      </c>
      <c r="F443" s="76">
        <v>46113</v>
      </c>
      <c r="G443" s="74"/>
      <c r="H443" s="10" t="s">
        <v>1250</v>
      </c>
      <c r="I443" s="9">
        <v>2</v>
      </c>
      <c r="J443" s="9">
        <v>150</v>
      </c>
      <c r="K443" s="77">
        <f t="shared" si="54"/>
        <v>300</v>
      </c>
      <c r="L443" s="76">
        <v>46112</v>
      </c>
      <c r="N443" s="83"/>
      <c r="O443" s="84"/>
      <c r="P443" s="81">
        <f t="shared" si="49"/>
        <v>150</v>
      </c>
      <c r="Q443" s="81">
        <f t="shared" si="50"/>
        <v>300</v>
      </c>
      <c r="R443" s="81"/>
      <c r="S443" s="81"/>
      <c r="T443" s="85"/>
      <c r="U443" s="81">
        <f t="shared" si="51"/>
        <v>150</v>
      </c>
      <c r="V443" s="81">
        <f t="shared" si="52"/>
        <v>2</v>
      </c>
      <c r="W443" s="82">
        <f t="shared" si="53"/>
        <v>300</v>
      </c>
      <c r="X443" s="82" t="s">
        <v>84</v>
      </c>
      <c r="Y443" s="24" t="s">
        <v>93</v>
      </c>
    </row>
    <row r="444" spans="1:25" s="24" customFormat="1" ht="11.1" customHeight="1">
      <c r="A444" s="74">
        <f t="shared" si="48"/>
        <v>442</v>
      </c>
      <c r="B444" s="75" t="s">
        <v>243</v>
      </c>
      <c r="C444" s="74" t="str">
        <f>IF($B444&lt;&gt;"",_xlfn.IFNA(VLOOKUP($B444,'Node Details'!$B:$U,C$1,0),"Check"),"")</f>
        <v>AXY080106-AXY080203</v>
      </c>
      <c r="D444" s="74" t="str">
        <f>IF($B444&lt;&gt;"",_xlfn.IFNA(VLOOKUP($B444,'Node Details'!$B:$U,D$1,0),"Check"),"")</f>
        <v>AXY</v>
      </c>
      <c r="E444" s="74" t="str">
        <f>IF($B444&lt;&gt;"",_xlfn.IFNA(VLOOKUP($B444,'Node Details'!$B:$U,E$1,0),"Check"),"")</f>
        <v>Airtel</v>
      </c>
      <c r="F444" s="76">
        <v>46113</v>
      </c>
      <c r="G444" s="74"/>
      <c r="H444" s="10" t="s">
        <v>1250</v>
      </c>
      <c r="I444" s="9">
        <v>2</v>
      </c>
      <c r="J444" s="9">
        <v>150</v>
      </c>
      <c r="K444" s="77">
        <f t="shared" si="54"/>
        <v>300</v>
      </c>
      <c r="L444" s="76">
        <v>46112</v>
      </c>
      <c r="N444" s="83"/>
      <c r="O444" s="84"/>
      <c r="P444" s="81">
        <f t="shared" si="49"/>
        <v>150</v>
      </c>
      <c r="Q444" s="81">
        <f t="shared" si="50"/>
        <v>300</v>
      </c>
      <c r="R444" s="81"/>
      <c r="S444" s="81"/>
      <c r="T444" s="85"/>
      <c r="U444" s="81">
        <f t="shared" si="51"/>
        <v>150</v>
      </c>
      <c r="V444" s="81">
        <f t="shared" si="52"/>
        <v>2</v>
      </c>
      <c r="W444" s="82">
        <f t="shared" si="53"/>
        <v>300</v>
      </c>
      <c r="X444" s="82" t="s">
        <v>84</v>
      </c>
      <c r="Y444" s="24" t="s">
        <v>93</v>
      </c>
    </row>
    <row r="445" spans="1:25" s="24" customFormat="1" ht="11.1" customHeight="1">
      <c r="A445" s="74">
        <f t="shared" si="48"/>
        <v>443</v>
      </c>
      <c r="B445" s="75" t="s">
        <v>1005</v>
      </c>
      <c r="C445" s="74" t="str">
        <f>IF($B445&lt;&gt;"",_xlfn.IFNA(VLOOKUP($B445,'Node Details'!$B:$U,C$1,0),"Check"),"")</f>
        <v>AXY080106-AXY080201</v>
      </c>
      <c r="D445" s="74" t="str">
        <f>IF($B445&lt;&gt;"",_xlfn.IFNA(VLOOKUP($B445,'Node Details'!$B:$U,D$1,0),"Check"),"")</f>
        <v>AXY</v>
      </c>
      <c r="E445" s="74" t="str">
        <f>IF($B445&lt;&gt;"",_xlfn.IFNA(VLOOKUP($B445,'Node Details'!$B:$U,E$1,0),"Check"),"")</f>
        <v>Airtel</v>
      </c>
      <c r="F445" s="76">
        <v>46113</v>
      </c>
      <c r="G445" s="74"/>
      <c r="H445" s="10" t="s">
        <v>1250</v>
      </c>
      <c r="I445" s="9">
        <v>2</v>
      </c>
      <c r="J445" s="9">
        <v>150</v>
      </c>
      <c r="K445" s="77">
        <f t="shared" si="54"/>
        <v>300</v>
      </c>
      <c r="L445" s="76">
        <v>46112</v>
      </c>
      <c r="N445" s="83"/>
      <c r="O445" s="84"/>
      <c r="P445" s="81">
        <f t="shared" si="49"/>
        <v>150</v>
      </c>
      <c r="Q445" s="81">
        <f t="shared" si="50"/>
        <v>300</v>
      </c>
      <c r="R445" s="81"/>
      <c r="S445" s="81"/>
      <c r="T445" s="85"/>
      <c r="U445" s="81">
        <f t="shared" si="51"/>
        <v>150</v>
      </c>
      <c r="V445" s="81">
        <f t="shared" si="52"/>
        <v>2</v>
      </c>
      <c r="W445" s="82">
        <f t="shared" si="53"/>
        <v>300</v>
      </c>
      <c r="X445" s="82" t="s">
        <v>84</v>
      </c>
      <c r="Y445" s="24" t="s">
        <v>93</v>
      </c>
    </row>
    <row r="446" spans="1:25" s="24" customFormat="1" ht="11.1" customHeight="1">
      <c r="A446" s="74">
        <f t="shared" si="48"/>
        <v>444</v>
      </c>
      <c r="B446" s="75" t="s">
        <v>246</v>
      </c>
      <c r="C446" s="74" t="str">
        <f>IF($B446&lt;&gt;"",_xlfn.IFNA(VLOOKUP($B446,'Node Details'!$B:$U,C$1,0),"Check"),"")</f>
        <v>AXY080106-AXY080201</v>
      </c>
      <c r="D446" s="74" t="str">
        <f>IF($B446&lt;&gt;"",_xlfn.IFNA(VLOOKUP($B446,'Node Details'!$B:$U,D$1,0),"Check"),"")</f>
        <v>AXY</v>
      </c>
      <c r="E446" s="74" t="str">
        <f>IF($B446&lt;&gt;"",_xlfn.IFNA(VLOOKUP($B446,'Node Details'!$B:$U,E$1,0),"Check"),"")</f>
        <v>Airtel</v>
      </c>
      <c r="F446" s="76">
        <v>46113</v>
      </c>
      <c r="G446" s="74"/>
      <c r="H446" s="10" t="s">
        <v>1250</v>
      </c>
      <c r="I446" s="9">
        <v>2</v>
      </c>
      <c r="J446" s="9">
        <v>150</v>
      </c>
      <c r="K446" s="77">
        <f t="shared" si="54"/>
        <v>300</v>
      </c>
      <c r="L446" s="76">
        <v>46112</v>
      </c>
      <c r="N446" s="83"/>
      <c r="O446" s="84"/>
      <c r="P446" s="81">
        <f t="shared" si="49"/>
        <v>150</v>
      </c>
      <c r="Q446" s="81">
        <f t="shared" si="50"/>
        <v>300</v>
      </c>
      <c r="R446" s="81"/>
      <c r="S446" s="81"/>
      <c r="T446" s="85"/>
      <c r="U446" s="81">
        <f t="shared" si="51"/>
        <v>150</v>
      </c>
      <c r="V446" s="81">
        <f t="shared" si="52"/>
        <v>2</v>
      </c>
      <c r="W446" s="82">
        <f t="shared" si="53"/>
        <v>300</v>
      </c>
      <c r="X446" s="82" t="s">
        <v>84</v>
      </c>
      <c r="Y446" s="24" t="s">
        <v>93</v>
      </c>
    </row>
    <row r="447" spans="1:25" s="24" customFormat="1" ht="11.1" customHeight="1">
      <c r="A447" s="74">
        <f t="shared" si="48"/>
        <v>445</v>
      </c>
      <c r="B447" s="75" t="s">
        <v>1006</v>
      </c>
      <c r="C447" s="74" t="str">
        <f>IF($B447&lt;&gt;"",_xlfn.IFNA(VLOOKUP($B447,'Node Details'!$B:$U,C$1,0),"Check"),"")</f>
        <v>000000AXY-0000AXY12</v>
      </c>
      <c r="D447" s="74" t="str">
        <f>IF($B447&lt;&gt;"",_xlfn.IFNA(VLOOKUP($B447,'Node Details'!$B:$U,D$1,0),"Check"),"")</f>
        <v>AXY</v>
      </c>
      <c r="E447" s="74" t="str">
        <f>IF($B447&lt;&gt;"",_xlfn.IFNA(VLOOKUP($B447,'Node Details'!$B:$U,E$1,0),"Check"),"")</f>
        <v>Airtel</v>
      </c>
      <c r="F447" s="76">
        <v>46113</v>
      </c>
      <c r="G447" s="74"/>
      <c r="H447" s="10" t="s">
        <v>1250</v>
      </c>
      <c r="I447" s="9">
        <v>2</v>
      </c>
      <c r="J447" s="9">
        <v>150</v>
      </c>
      <c r="K447" s="77">
        <f t="shared" si="54"/>
        <v>300</v>
      </c>
      <c r="L447" s="76">
        <v>46112</v>
      </c>
      <c r="N447" s="83"/>
      <c r="O447" s="84"/>
      <c r="P447" s="81">
        <f t="shared" si="49"/>
        <v>150</v>
      </c>
      <c r="Q447" s="81">
        <f t="shared" si="50"/>
        <v>300</v>
      </c>
      <c r="R447" s="81"/>
      <c r="S447" s="81"/>
      <c r="T447" s="85"/>
      <c r="U447" s="81">
        <f t="shared" si="51"/>
        <v>150</v>
      </c>
      <c r="V447" s="81">
        <f t="shared" si="52"/>
        <v>2</v>
      </c>
      <c r="W447" s="82">
        <f t="shared" si="53"/>
        <v>300</v>
      </c>
      <c r="X447" s="82" t="s">
        <v>84</v>
      </c>
      <c r="Y447" s="24" t="s">
        <v>93</v>
      </c>
    </row>
    <row r="448" spans="1:25" s="24" customFormat="1" ht="11.1" customHeight="1">
      <c r="A448" s="74">
        <f t="shared" si="48"/>
        <v>446</v>
      </c>
      <c r="B448" s="75" t="s">
        <v>254</v>
      </c>
      <c r="C448" s="74" t="str">
        <f>IF($B448&lt;&gt;"",_xlfn.IFNA(VLOOKUP($B448,'Node Details'!$B:$U,C$1,0),"Check"),"")</f>
        <v>0000AXY09-AXY090101</v>
      </c>
      <c r="D448" s="74" t="str">
        <f>IF($B448&lt;&gt;"",_xlfn.IFNA(VLOOKUP($B448,'Node Details'!$B:$U,D$1,0),"Check"),"")</f>
        <v>AXY</v>
      </c>
      <c r="E448" s="74" t="str">
        <f>IF($B448&lt;&gt;"",_xlfn.IFNA(VLOOKUP($B448,'Node Details'!$B:$U,E$1,0),"Check"),"")</f>
        <v>Airtel</v>
      </c>
      <c r="F448" s="76">
        <v>46113</v>
      </c>
      <c r="G448" s="74"/>
      <c r="H448" s="10" t="s">
        <v>1250</v>
      </c>
      <c r="I448" s="9">
        <v>2</v>
      </c>
      <c r="J448" s="9">
        <v>150</v>
      </c>
      <c r="K448" s="77">
        <f t="shared" si="54"/>
        <v>300</v>
      </c>
      <c r="L448" s="76">
        <v>46112</v>
      </c>
      <c r="N448" s="83"/>
      <c r="O448" s="84"/>
      <c r="P448" s="81">
        <f t="shared" si="49"/>
        <v>150</v>
      </c>
      <c r="Q448" s="81">
        <f t="shared" si="50"/>
        <v>300</v>
      </c>
      <c r="R448" s="81"/>
      <c r="S448" s="81"/>
      <c r="T448" s="85"/>
      <c r="U448" s="81">
        <f t="shared" si="51"/>
        <v>150</v>
      </c>
      <c r="V448" s="81">
        <f t="shared" si="52"/>
        <v>2</v>
      </c>
      <c r="W448" s="82">
        <f t="shared" si="53"/>
        <v>300</v>
      </c>
      <c r="X448" s="82" t="s">
        <v>84</v>
      </c>
      <c r="Y448" s="24" t="s">
        <v>93</v>
      </c>
    </row>
    <row r="449" spans="1:25" s="24" customFormat="1" ht="11.1" customHeight="1">
      <c r="A449" s="74">
        <f t="shared" si="48"/>
        <v>447</v>
      </c>
      <c r="B449" s="75" t="s">
        <v>1007</v>
      </c>
      <c r="C449" s="74" t="str">
        <f>IF($B449&lt;&gt;"",_xlfn.IFNA(VLOOKUP($B449,'Node Details'!$B:$U,C$1,0),"Check"),"")</f>
        <v>0000AXY09-AXY090105</v>
      </c>
      <c r="D449" s="74" t="str">
        <f>IF($B449&lt;&gt;"",_xlfn.IFNA(VLOOKUP($B449,'Node Details'!$B:$U,D$1,0),"Check"),"")</f>
        <v>AXY</v>
      </c>
      <c r="E449" s="74" t="str">
        <f>IF($B449&lt;&gt;"",_xlfn.IFNA(VLOOKUP($B449,'Node Details'!$B:$U,E$1,0),"Check"),"")</f>
        <v>Airtel</v>
      </c>
      <c r="F449" s="76">
        <v>46113</v>
      </c>
      <c r="G449" s="74"/>
      <c r="H449" s="10" t="s">
        <v>1250</v>
      </c>
      <c r="I449" s="9">
        <v>2</v>
      </c>
      <c r="J449" s="9">
        <v>150</v>
      </c>
      <c r="K449" s="77">
        <f t="shared" si="54"/>
        <v>300</v>
      </c>
      <c r="L449" s="76">
        <v>46112</v>
      </c>
      <c r="N449" s="83"/>
      <c r="O449" s="84"/>
      <c r="P449" s="81">
        <f t="shared" si="49"/>
        <v>150</v>
      </c>
      <c r="Q449" s="81">
        <f t="shared" si="50"/>
        <v>300</v>
      </c>
      <c r="R449" s="81"/>
      <c r="S449" s="81"/>
      <c r="T449" s="85"/>
      <c r="U449" s="81">
        <f t="shared" si="51"/>
        <v>150</v>
      </c>
      <c r="V449" s="81">
        <f t="shared" si="52"/>
        <v>2</v>
      </c>
      <c r="W449" s="82">
        <f t="shared" si="53"/>
        <v>300</v>
      </c>
      <c r="X449" s="82" t="s">
        <v>84</v>
      </c>
      <c r="Y449" s="24" t="s">
        <v>93</v>
      </c>
    </row>
    <row r="450" spans="1:25" s="24" customFormat="1" ht="11.1" customHeight="1">
      <c r="A450" s="74">
        <f t="shared" si="48"/>
        <v>448</v>
      </c>
      <c r="B450" s="75" t="s">
        <v>1008</v>
      </c>
      <c r="C450" s="74" t="str">
        <f>IF($B450&lt;&gt;"",_xlfn.IFNA(VLOOKUP($B450,'Node Details'!$B:$U,C$1,0),"Check"),"")</f>
        <v>0000AXY09-AXY090105</v>
      </c>
      <c r="D450" s="74" t="str">
        <f>IF($B450&lt;&gt;"",_xlfn.IFNA(VLOOKUP($B450,'Node Details'!$B:$U,D$1,0),"Check"),"")</f>
        <v>AXY</v>
      </c>
      <c r="E450" s="74" t="str">
        <f>IF($B450&lt;&gt;"",_xlfn.IFNA(VLOOKUP($B450,'Node Details'!$B:$U,E$1,0),"Check"),"")</f>
        <v>Airtel</v>
      </c>
      <c r="F450" s="76">
        <v>46113</v>
      </c>
      <c r="G450" s="74"/>
      <c r="H450" s="10" t="s">
        <v>1250</v>
      </c>
      <c r="I450" s="9">
        <v>2</v>
      </c>
      <c r="J450" s="9">
        <v>150</v>
      </c>
      <c r="K450" s="77">
        <f t="shared" si="54"/>
        <v>300</v>
      </c>
      <c r="L450" s="76">
        <v>46112</v>
      </c>
      <c r="N450" s="83"/>
      <c r="O450" s="84"/>
      <c r="P450" s="81">
        <f t="shared" si="49"/>
        <v>150</v>
      </c>
      <c r="Q450" s="81">
        <f t="shared" si="50"/>
        <v>300</v>
      </c>
      <c r="R450" s="81"/>
      <c r="S450" s="81"/>
      <c r="T450" s="85"/>
      <c r="U450" s="81">
        <f t="shared" si="51"/>
        <v>150</v>
      </c>
      <c r="V450" s="81">
        <f t="shared" si="52"/>
        <v>2</v>
      </c>
      <c r="W450" s="82">
        <f t="shared" si="53"/>
        <v>300</v>
      </c>
      <c r="X450" s="82" t="s">
        <v>84</v>
      </c>
      <c r="Y450" s="24" t="s">
        <v>93</v>
      </c>
    </row>
    <row r="451" spans="1:25" s="24" customFormat="1" ht="11.1" customHeight="1">
      <c r="A451" s="74">
        <f t="shared" si="48"/>
        <v>449</v>
      </c>
      <c r="B451" s="75" t="s">
        <v>257</v>
      </c>
      <c r="C451" s="74" t="str">
        <f>IF($B451&lt;&gt;"",_xlfn.IFNA(VLOOKUP($B451,'Node Details'!$B:$U,C$1,0),"Check"),"")</f>
        <v>0000AXY09-AXY090105</v>
      </c>
      <c r="D451" s="74" t="str">
        <f>IF($B451&lt;&gt;"",_xlfn.IFNA(VLOOKUP($B451,'Node Details'!$B:$U,D$1,0),"Check"),"")</f>
        <v>AXY</v>
      </c>
      <c r="E451" s="74" t="str">
        <f>IF($B451&lt;&gt;"",_xlfn.IFNA(VLOOKUP($B451,'Node Details'!$B:$U,E$1,0),"Check"),"")</f>
        <v>Airtel</v>
      </c>
      <c r="F451" s="76">
        <v>46113</v>
      </c>
      <c r="G451" s="74"/>
      <c r="H451" s="10" t="s">
        <v>1250</v>
      </c>
      <c r="I451" s="9">
        <v>2</v>
      </c>
      <c r="J451" s="9">
        <v>150</v>
      </c>
      <c r="K451" s="77">
        <f t="shared" si="54"/>
        <v>300</v>
      </c>
      <c r="L451" s="76">
        <v>46112</v>
      </c>
      <c r="N451" s="83"/>
      <c r="O451" s="84"/>
      <c r="P451" s="81">
        <f t="shared" si="49"/>
        <v>150</v>
      </c>
      <c r="Q451" s="81">
        <f t="shared" si="50"/>
        <v>300</v>
      </c>
      <c r="R451" s="81"/>
      <c r="S451" s="81"/>
      <c r="T451" s="85"/>
      <c r="U451" s="81">
        <f t="shared" si="51"/>
        <v>150</v>
      </c>
      <c r="V451" s="81">
        <f t="shared" si="52"/>
        <v>2</v>
      </c>
      <c r="W451" s="82">
        <f t="shared" si="53"/>
        <v>300</v>
      </c>
      <c r="X451" s="82" t="s">
        <v>84</v>
      </c>
      <c r="Y451" s="24" t="s">
        <v>93</v>
      </c>
    </row>
    <row r="452" spans="1:25" s="24" customFormat="1" ht="11.1" customHeight="1">
      <c r="A452" s="74">
        <f t="shared" ref="A452:A515" si="55">A451+1</f>
        <v>450</v>
      </c>
      <c r="B452" s="75" t="s">
        <v>1009</v>
      </c>
      <c r="C452" s="74" t="str">
        <f>IF($B452&lt;&gt;"",_xlfn.IFNA(VLOOKUP($B452,'Node Details'!$B:$U,C$1,0),"Check"),"")</f>
        <v>0000AXY09-AXY090201</v>
      </c>
      <c r="D452" s="74" t="str">
        <f>IF($B452&lt;&gt;"",_xlfn.IFNA(VLOOKUP($B452,'Node Details'!$B:$U,D$1,0),"Check"),"")</f>
        <v>AXY</v>
      </c>
      <c r="E452" s="74" t="str">
        <f>IF($B452&lt;&gt;"",_xlfn.IFNA(VLOOKUP($B452,'Node Details'!$B:$U,E$1,0),"Check"),"")</f>
        <v>Airtel</v>
      </c>
      <c r="F452" s="76">
        <v>46113</v>
      </c>
      <c r="G452" s="74"/>
      <c r="H452" s="10" t="s">
        <v>1250</v>
      </c>
      <c r="I452" s="9">
        <v>2</v>
      </c>
      <c r="J452" s="9">
        <v>150</v>
      </c>
      <c r="K452" s="77">
        <f t="shared" si="54"/>
        <v>300</v>
      </c>
      <c r="L452" s="76">
        <v>46112</v>
      </c>
      <c r="N452" s="83"/>
      <c r="O452" s="84"/>
      <c r="P452" s="81">
        <f t="shared" si="49"/>
        <v>150</v>
      </c>
      <c r="Q452" s="81">
        <f t="shared" si="50"/>
        <v>300</v>
      </c>
      <c r="R452" s="81"/>
      <c r="S452" s="81"/>
      <c r="T452" s="85"/>
      <c r="U452" s="81">
        <f t="shared" si="51"/>
        <v>150</v>
      </c>
      <c r="V452" s="81">
        <f t="shared" si="52"/>
        <v>2</v>
      </c>
      <c r="W452" s="82">
        <f t="shared" si="53"/>
        <v>300</v>
      </c>
      <c r="X452" s="82" t="s">
        <v>84</v>
      </c>
      <c r="Y452" s="24" t="s">
        <v>93</v>
      </c>
    </row>
    <row r="453" spans="1:25" s="24" customFormat="1" ht="11.1" customHeight="1">
      <c r="A453" s="74">
        <f t="shared" si="55"/>
        <v>451</v>
      </c>
      <c r="B453" s="75" t="s">
        <v>1010</v>
      </c>
      <c r="C453" s="74" t="str">
        <f>IF($B453&lt;&gt;"",_xlfn.IFNA(VLOOKUP($B453,'Node Details'!$B:$U,C$1,0),"Check"),"")</f>
        <v>0000AXY09-AXY090201</v>
      </c>
      <c r="D453" s="74" t="str">
        <f>IF($B453&lt;&gt;"",_xlfn.IFNA(VLOOKUP($B453,'Node Details'!$B:$U,D$1,0),"Check"),"")</f>
        <v>AXY</v>
      </c>
      <c r="E453" s="74" t="str">
        <f>IF($B453&lt;&gt;"",_xlfn.IFNA(VLOOKUP($B453,'Node Details'!$B:$U,E$1,0),"Check"),"")</f>
        <v>Airtel</v>
      </c>
      <c r="F453" s="76">
        <v>46113</v>
      </c>
      <c r="G453" s="74"/>
      <c r="H453" s="10" t="s">
        <v>1250</v>
      </c>
      <c r="I453" s="9">
        <v>2</v>
      </c>
      <c r="J453" s="9">
        <v>150</v>
      </c>
      <c r="K453" s="77">
        <f t="shared" si="54"/>
        <v>300</v>
      </c>
      <c r="L453" s="76">
        <v>46112</v>
      </c>
      <c r="N453" s="83"/>
      <c r="O453" s="84"/>
      <c r="P453" s="81">
        <f t="shared" si="49"/>
        <v>150</v>
      </c>
      <c r="Q453" s="81">
        <f t="shared" si="50"/>
        <v>300</v>
      </c>
      <c r="R453" s="81"/>
      <c r="S453" s="81"/>
      <c r="T453" s="85"/>
      <c r="U453" s="81">
        <f t="shared" si="51"/>
        <v>150</v>
      </c>
      <c r="V453" s="81">
        <f t="shared" si="52"/>
        <v>2</v>
      </c>
      <c r="W453" s="82">
        <f t="shared" si="53"/>
        <v>300</v>
      </c>
      <c r="X453" s="82" t="s">
        <v>84</v>
      </c>
      <c r="Y453" s="24" t="s">
        <v>93</v>
      </c>
    </row>
    <row r="454" spans="1:25" s="24" customFormat="1" ht="11.1" customHeight="1">
      <c r="A454" s="74">
        <f t="shared" si="55"/>
        <v>452</v>
      </c>
      <c r="B454" s="75" t="s">
        <v>1011</v>
      </c>
      <c r="C454" s="74" t="str">
        <f>IF($B454&lt;&gt;"",_xlfn.IFNA(VLOOKUP($B454,'Node Details'!$B:$U,C$1,0),"Check"),"")</f>
        <v>0000AXY09-AXY090201</v>
      </c>
      <c r="D454" s="74" t="str">
        <f>IF($B454&lt;&gt;"",_xlfn.IFNA(VLOOKUP($B454,'Node Details'!$B:$U,D$1,0),"Check"),"")</f>
        <v>AXY</v>
      </c>
      <c r="E454" s="74" t="str">
        <f>IF($B454&lt;&gt;"",_xlfn.IFNA(VLOOKUP($B454,'Node Details'!$B:$U,E$1,0),"Check"),"")</f>
        <v>Airtel</v>
      </c>
      <c r="F454" s="76">
        <v>46113</v>
      </c>
      <c r="G454" s="74"/>
      <c r="H454" s="10" t="s">
        <v>1250</v>
      </c>
      <c r="I454" s="9">
        <v>2</v>
      </c>
      <c r="J454" s="9">
        <v>150</v>
      </c>
      <c r="K454" s="77">
        <f t="shared" si="54"/>
        <v>300</v>
      </c>
      <c r="L454" s="76">
        <v>46112</v>
      </c>
      <c r="N454" s="83"/>
      <c r="O454" s="84"/>
      <c r="P454" s="81">
        <f t="shared" si="49"/>
        <v>150</v>
      </c>
      <c r="Q454" s="81">
        <f t="shared" si="50"/>
        <v>300</v>
      </c>
      <c r="R454" s="81"/>
      <c r="S454" s="81"/>
      <c r="T454" s="85"/>
      <c r="U454" s="81">
        <f t="shared" si="51"/>
        <v>150</v>
      </c>
      <c r="V454" s="81">
        <f t="shared" si="52"/>
        <v>2</v>
      </c>
      <c r="W454" s="82">
        <f t="shared" si="53"/>
        <v>300</v>
      </c>
      <c r="X454" s="82" t="s">
        <v>84</v>
      </c>
      <c r="Y454" s="24" t="s">
        <v>93</v>
      </c>
    </row>
    <row r="455" spans="1:25" s="24" customFormat="1" ht="11.1" customHeight="1">
      <c r="A455" s="74">
        <f t="shared" si="55"/>
        <v>453</v>
      </c>
      <c r="B455" s="75" t="s">
        <v>250</v>
      </c>
      <c r="C455" s="74" t="str">
        <f>IF($B455&lt;&gt;"",_xlfn.IFNA(VLOOKUP($B455,'Node Details'!$B:$U,C$1,0),"Check"),"")</f>
        <v>0000AXY09-AXY090201</v>
      </c>
      <c r="D455" s="74" t="str">
        <f>IF($B455&lt;&gt;"",_xlfn.IFNA(VLOOKUP($B455,'Node Details'!$B:$U,D$1,0),"Check"),"")</f>
        <v>AXY</v>
      </c>
      <c r="E455" s="74" t="str">
        <f>IF($B455&lt;&gt;"",_xlfn.IFNA(VLOOKUP($B455,'Node Details'!$B:$U,E$1,0),"Check"),"")</f>
        <v>Airtel</v>
      </c>
      <c r="F455" s="76">
        <v>46113</v>
      </c>
      <c r="G455" s="74"/>
      <c r="H455" s="10" t="s">
        <v>1250</v>
      </c>
      <c r="I455" s="9">
        <v>2</v>
      </c>
      <c r="J455" s="9">
        <v>150</v>
      </c>
      <c r="K455" s="77">
        <f t="shared" si="54"/>
        <v>300</v>
      </c>
      <c r="L455" s="76">
        <v>46112</v>
      </c>
      <c r="N455" s="83"/>
      <c r="O455" s="84"/>
      <c r="P455" s="81">
        <f t="shared" si="49"/>
        <v>150</v>
      </c>
      <c r="Q455" s="81">
        <f t="shared" si="50"/>
        <v>300</v>
      </c>
      <c r="R455" s="81"/>
      <c r="S455" s="81"/>
      <c r="T455" s="85"/>
      <c r="U455" s="81">
        <f t="shared" si="51"/>
        <v>150</v>
      </c>
      <c r="V455" s="81">
        <f t="shared" si="52"/>
        <v>2</v>
      </c>
      <c r="W455" s="82">
        <f t="shared" si="53"/>
        <v>300</v>
      </c>
      <c r="X455" s="82" t="s">
        <v>84</v>
      </c>
      <c r="Y455" s="24" t="s">
        <v>93</v>
      </c>
    </row>
    <row r="456" spans="1:25" s="24" customFormat="1" ht="11.1" customHeight="1">
      <c r="A456" s="74">
        <f t="shared" si="55"/>
        <v>454</v>
      </c>
      <c r="B456" s="75" t="s">
        <v>1012</v>
      </c>
      <c r="C456" s="74" t="str">
        <f>IF($B456&lt;&gt;"",_xlfn.IFNA(VLOOKUP($B456,'Node Details'!$B:$U,C$1,0),"Check"),"")</f>
        <v>AXY090201-AXY090204</v>
      </c>
      <c r="D456" s="74" t="str">
        <f>IF($B456&lt;&gt;"",_xlfn.IFNA(VLOOKUP($B456,'Node Details'!$B:$U,D$1,0),"Check"),"")</f>
        <v>AXY</v>
      </c>
      <c r="E456" s="74" t="str">
        <f>IF($B456&lt;&gt;"",_xlfn.IFNA(VLOOKUP($B456,'Node Details'!$B:$U,E$1,0),"Check"),"")</f>
        <v>Airtel</v>
      </c>
      <c r="F456" s="76">
        <v>46113</v>
      </c>
      <c r="G456" s="74"/>
      <c r="H456" s="10" t="s">
        <v>1250</v>
      </c>
      <c r="I456" s="9">
        <v>2</v>
      </c>
      <c r="J456" s="9">
        <v>150</v>
      </c>
      <c r="K456" s="77">
        <f t="shared" si="54"/>
        <v>300</v>
      </c>
      <c r="L456" s="76">
        <v>46112</v>
      </c>
      <c r="N456" s="83"/>
      <c r="O456" s="84"/>
      <c r="P456" s="81">
        <f t="shared" si="49"/>
        <v>150</v>
      </c>
      <c r="Q456" s="81">
        <f t="shared" si="50"/>
        <v>300</v>
      </c>
      <c r="R456" s="81"/>
      <c r="S456" s="81"/>
      <c r="T456" s="85"/>
      <c r="U456" s="81">
        <f t="shared" si="51"/>
        <v>150</v>
      </c>
      <c r="V456" s="81">
        <f t="shared" si="52"/>
        <v>2</v>
      </c>
      <c r="W456" s="82">
        <f t="shared" si="53"/>
        <v>300</v>
      </c>
      <c r="X456" s="82" t="s">
        <v>84</v>
      </c>
      <c r="Y456" s="24" t="s">
        <v>93</v>
      </c>
    </row>
    <row r="457" spans="1:25" s="24" customFormat="1" ht="11.1" customHeight="1">
      <c r="A457" s="74">
        <f t="shared" si="55"/>
        <v>455</v>
      </c>
      <c r="B457" s="75" t="s">
        <v>1013</v>
      </c>
      <c r="C457" s="74" t="str">
        <f>IF($B457&lt;&gt;"",_xlfn.IFNA(VLOOKUP($B457,'Node Details'!$B:$U,C$1,0),"Check"),"")</f>
        <v>AXY090201-AXY090204</v>
      </c>
      <c r="D457" s="74" t="str">
        <f>IF($B457&lt;&gt;"",_xlfn.IFNA(VLOOKUP($B457,'Node Details'!$B:$U,D$1,0),"Check"),"")</f>
        <v>AXY</v>
      </c>
      <c r="E457" s="74" t="str">
        <f>IF($B457&lt;&gt;"",_xlfn.IFNA(VLOOKUP($B457,'Node Details'!$B:$U,E$1,0),"Check"),"")</f>
        <v>Airtel</v>
      </c>
      <c r="F457" s="76">
        <v>46113</v>
      </c>
      <c r="G457" s="74"/>
      <c r="H457" s="10" t="s">
        <v>1250</v>
      </c>
      <c r="I457" s="9">
        <v>2</v>
      </c>
      <c r="J457" s="9">
        <v>150</v>
      </c>
      <c r="K457" s="77">
        <f t="shared" si="54"/>
        <v>300</v>
      </c>
      <c r="L457" s="76">
        <v>46112</v>
      </c>
      <c r="N457" s="83"/>
      <c r="O457" s="84"/>
      <c r="P457" s="81">
        <f t="shared" si="49"/>
        <v>150</v>
      </c>
      <c r="Q457" s="81">
        <f t="shared" si="50"/>
        <v>300</v>
      </c>
      <c r="R457" s="81"/>
      <c r="S457" s="81"/>
      <c r="T457" s="85"/>
      <c r="U457" s="81">
        <f t="shared" si="51"/>
        <v>150</v>
      </c>
      <c r="V457" s="81">
        <f t="shared" si="52"/>
        <v>2</v>
      </c>
      <c r="W457" s="82">
        <f t="shared" si="53"/>
        <v>300</v>
      </c>
      <c r="X457" s="82" t="s">
        <v>84</v>
      </c>
      <c r="Y457" s="24" t="s">
        <v>93</v>
      </c>
    </row>
    <row r="458" spans="1:25" s="24" customFormat="1" ht="11.1" customHeight="1">
      <c r="A458" s="74">
        <f t="shared" si="55"/>
        <v>456</v>
      </c>
      <c r="B458" s="75" t="s">
        <v>261</v>
      </c>
      <c r="C458" s="74" t="str">
        <f>IF($B458&lt;&gt;"",_xlfn.IFNA(VLOOKUP($B458,'Node Details'!$B:$U,C$1,0),"Check"),"")</f>
        <v>AXY090201-AXY090204</v>
      </c>
      <c r="D458" s="74" t="str">
        <f>IF($B458&lt;&gt;"",_xlfn.IFNA(VLOOKUP($B458,'Node Details'!$B:$U,D$1,0),"Check"),"")</f>
        <v>AXY</v>
      </c>
      <c r="E458" s="74" t="str">
        <f>IF($B458&lt;&gt;"",_xlfn.IFNA(VLOOKUP($B458,'Node Details'!$B:$U,E$1,0),"Check"),"")</f>
        <v>Airtel</v>
      </c>
      <c r="F458" s="76">
        <v>46113</v>
      </c>
      <c r="G458" s="74"/>
      <c r="H458" s="10" t="s">
        <v>1250</v>
      </c>
      <c r="I458" s="9">
        <v>2</v>
      </c>
      <c r="J458" s="9">
        <v>150</v>
      </c>
      <c r="K458" s="77">
        <f t="shared" si="54"/>
        <v>300</v>
      </c>
      <c r="L458" s="76">
        <v>46112</v>
      </c>
      <c r="N458" s="83"/>
      <c r="O458" s="84"/>
      <c r="P458" s="81">
        <f t="shared" si="49"/>
        <v>150</v>
      </c>
      <c r="Q458" s="81">
        <f t="shared" si="50"/>
        <v>300</v>
      </c>
      <c r="R458" s="81"/>
      <c r="S458" s="81"/>
      <c r="T458" s="85"/>
      <c r="U458" s="81">
        <f t="shared" si="51"/>
        <v>150</v>
      </c>
      <c r="V458" s="81">
        <f t="shared" si="52"/>
        <v>2</v>
      </c>
      <c r="W458" s="82">
        <f t="shared" si="53"/>
        <v>300</v>
      </c>
      <c r="X458" s="82" t="s">
        <v>84</v>
      </c>
      <c r="Y458" s="24" t="s">
        <v>93</v>
      </c>
    </row>
    <row r="459" spans="1:25" s="24" customFormat="1" ht="11.1" customHeight="1">
      <c r="A459" s="74">
        <f t="shared" si="55"/>
        <v>457</v>
      </c>
      <c r="B459" s="75" t="s">
        <v>1014</v>
      </c>
      <c r="C459" s="74" t="str">
        <f>IF($B459&lt;&gt;"",_xlfn.IFNA(VLOOKUP($B459,'Node Details'!$B:$U,C$1,0),"Check"),"")</f>
        <v>000000AXY-0000AXY12</v>
      </c>
      <c r="D459" s="74" t="str">
        <f>IF($B459&lt;&gt;"",_xlfn.IFNA(VLOOKUP($B459,'Node Details'!$B:$U,D$1,0),"Check"),"")</f>
        <v>AXY</v>
      </c>
      <c r="E459" s="74" t="str">
        <f>IF($B459&lt;&gt;"",_xlfn.IFNA(VLOOKUP($B459,'Node Details'!$B:$U,E$1,0),"Check"),"")</f>
        <v>Airtel</v>
      </c>
      <c r="F459" s="76">
        <v>46113</v>
      </c>
      <c r="G459" s="74"/>
      <c r="H459" s="10" t="s">
        <v>1250</v>
      </c>
      <c r="I459" s="9">
        <v>2</v>
      </c>
      <c r="J459" s="9">
        <v>150</v>
      </c>
      <c r="K459" s="77">
        <f t="shared" si="54"/>
        <v>300</v>
      </c>
      <c r="L459" s="76">
        <v>46112</v>
      </c>
      <c r="N459" s="83"/>
      <c r="O459" s="84"/>
      <c r="P459" s="81">
        <f t="shared" si="49"/>
        <v>150</v>
      </c>
      <c r="Q459" s="81">
        <f t="shared" si="50"/>
        <v>300</v>
      </c>
      <c r="R459" s="81"/>
      <c r="S459" s="81"/>
      <c r="T459" s="85"/>
      <c r="U459" s="81">
        <f t="shared" si="51"/>
        <v>150</v>
      </c>
      <c r="V459" s="81">
        <f t="shared" si="52"/>
        <v>2</v>
      </c>
      <c r="W459" s="82">
        <f t="shared" si="53"/>
        <v>300</v>
      </c>
      <c r="X459" s="82" t="s">
        <v>84</v>
      </c>
      <c r="Y459" s="24" t="s">
        <v>93</v>
      </c>
    </row>
    <row r="460" spans="1:25" s="24" customFormat="1" ht="11.1" customHeight="1">
      <c r="A460" s="74">
        <f t="shared" si="55"/>
        <v>458</v>
      </c>
      <c r="B460" s="75" t="s">
        <v>1015</v>
      </c>
      <c r="C460" s="74" t="str">
        <f>IF($B460&lt;&gt;"",_xlfn.IFNA(VLOOKUP($B460,'Node Details'!$B:$U,C$1,0),"Check"),"")</f>
        <v>0000AXY10-AXY100104</v>
      </c>
      <c r="D460" s="74" t="str">
        <f>IF($B460&lt;&gt;"",_xlfn.IFNA(VLOOKUP($B460,'Node Details'!$B:$U,D$1,0),"Check"),"")</f>
        <v>AXY</v>
      </c>
      <c r="E460" s="74" t="str">
        <f>IF($B460&lt;&gt;"",_xlfn.IFNA(VLOOKUP($B460,'Node Details'!$B:$U,E$1,0),"Check"),"")</f>
        <v>Airtel</v>
      </c>
      <c r="F460" s="76">
        <v>46113</v>
      </c>
      <c r="G460" s="74"/>
      <c r="H460" s="10" t="s">
        <v>1250</v>
      </c>
      <c r="I460" s="9">
        <v>2</v>
      </c>
      <c r="J460" s="9">
        <v>150</v>
      </c>
      <c r="K460" s="77">
        <f t="shared" si="54"/>
        <v>300</v>
      </c>
      <c r="L460" s="76">
        <v>46112</v>
      </c>
      <c r="N460" s="83"/>
      <c r="O460" s="84"/>
      <c r="P460" s="81">
        <f t="shared" si="49"/>
        <v>150</v>
      </c>
      <c r="Q460" s="81">
        <f t="shared" si="50"/>
        <v>300</v>
      </c>
      <c r="R460" s="81"/>
      <c r="S460" s="81"/>
      <c r="T460" s="85"/>
      <c r="U460" s="81">
        <f t="shared" si="51"/>
        <v>150</v>
      </c>
      <c r="V460" s="81">
        <f t="shared" si="52"/>
        <v>2</v>
      </c>
      <c r="W460" s="82">
        <f t="shared" si="53"/>
        <v>300</v>
      </c>
      <c r="X460" s="82" t="s">
        <v>84</v>
      </c>
      <c r="Y460" s="24" t="s">
        <v>93</v>
      </c>
    </row>
    <row r="461" spans="1:25" s="24" customFormat="1" ht="11.1" customHeight="1">
      <c r="A461" s="74">
        <f t="shared" si="55"/>
        <v>459</v>
      </c>
      <c r="B461" s="75" t="s">
        <v>1016</v>
      </c>
      <c r="C461" s="74" t="str">
        <f>IF($B461&lt;&gt;"",_xlfn.IFNA(VLOOKUP($B461,'Node Details'!$B:$U,C$1,0),"Check"),"")</f>
        <v>0000AXY10-AXY100104</v>
      </c>
      <c r="D461" s="74" t="str">
        <f>IF($B461&lt;&gt;"",_xlfn.IFNA(VLOOKUP($B461,'Node Details'!$B:$U,D$1,0),"Check"),"")</f>
        <v>AXY</v>
      </c>
      <c r="E461" s="74" t="str">
        <f>IF($B461&lt;&gt;"",_xlfn.IFNA(VLOOKUP($B461,'Node Details'!$B:$U,E$1,0),"Check"),"")</f>
        <v>Airtel</v>
      </c>
      <c r="F461" s="76">
        <v>46113</v>
      </c>
      <c r="G461" s="74"/>
      <c r="H461" s="10" t="s">
        <v>1250</v>
      </c>
      <c r="I461" s="9">
        <v>2</v>
      </c>
      <c r="J461" s="9">
        <v>150</v>
      </c>
      <c r="K461" s="77">
        <f t="shared" si="54"/>
        <v>300</v>
      </c>
      <c r="L461" s="76">
        <v>46112</v>
      </c>
      <c r="N461" s="83"/>
      <c r="O461" s="84"/>
      <c r="P461" s="81">
        <f t="shared" si="49"/>
        <v>150</v>
      </c>
      <c r="Q461" s="81">
        <f t="shared" si="50"/>
        <v>300</v>
      </c>
      <c r="R461" s="81"/>
      <c r="S461" s="81"/>
      <c r="T461" s="85"/>
      <c r="U461" s="81">
        <f t="shared" si="51"/>
        <v>150</v>
      </c>
      <c r="V461" s="81">
        <f t="shared" si="52"/>
        <v>2</v>
      </c>
      <c r="W461" s="82">
        <f t="shared" si="53"/>
        <v>300</v>
      </c>
      <c r="X461" s="82" t="s">
        <v>84</v>
      </c>
      <c r="Y461" s="24" t="s">
        <v>93</v>
      </c>
    </row>
    <row r="462" spans="1:25" s="24" customFormat="1" ht="11.1" customHeight="1">
      <c r="A462" s="74">
        <f t="shared" si="55"/>
        <v>460</v>
      </c>
      <c r="B462" s="75" t="s">
        <v>265</v>
      </c>
      <c r="C462" s="74" t="str">
        <f>IF($B462&lt;&gt;"",_xlfn.IFNA(VLOOKUP($B462,'Node Details'!$B:$U,C$1,0),"Check"),"")</f>
        <v>0000AXY10-AXY100104</v>
      </c>
      <c r="D462" s="74" t="str">
        <f>IF($B462&lt;&gt;"",_xlfn.IFNA(VLOOKUP($B462,'Node Details'!$B:$U,D$1,0),"Check"),"")</f>
        <v>AXY</v>
      </c>
      <c r="E462" s="74" t="str">
        <f>IF($B462&lt;&gt;"",_xlfn.IFNA(VLOOKUP($B462,'Node Details'!$B:$U,E$1,0),"Check"),"")</f>
        <v>Airtel</v>
      </c>
      <c r="F462" s="76">
        <v>46113</v>
      </c>
      <c r="G462" s="74"/>
      <c r="H462" s="10" t="s">
        <v>1250</v>
      </c>
      <c r="I462" s="9">
        <v>2</v>
      </c>
      <c r="J462" s="9">
        <v>150</v>
      </c>
      <c r="K462" s="77">
        <f t="shared" si="54"/>
        <v>300</v>
      </c>
      <c r="L462" s="76">
        <v>46112</v>
      </c>
      <c r="N462" s="83"/>
      <c r="O462" s="84"/>
      <c r="P462" s="81">
        <f t="shared" si="49"/>
        <v>150</v>
      </c>
      <c r="Q462" s="81">
        <f t="shared" si="50"/>
        <v>300</v>
      </c>
      <c r="R462" s="81"/>
      <c r="S462" s="81"/>
      <c r="T462" s="85"/>
      <c r="U462" s="81">
        <f t="shared" si="51"/>
        <v>150</v>
      </c>
      <c r="V462" s="81">
        <f t="shared" si="52"/>
        <v>2</v>
      </c>
      <c r="W462" s="82">
        <f t="shared" si="53"/>
        <v>300</v>
      </c>
      <c r="X462" s="82" t="s">
        <v>84</v>
      </c>
      <c r="Y462" s="24" t="s">
        <v>93</v>
      </c>
    </row>
    <row r="463" spans="1:25" s="24" customFormat="1" ht="11.1" customHeight="1">
      <c r="A463" s="74">
        <f t="shared" si="55"/>
        <v>461</v>
      </c>
      <c r="B463" s="75" t="s">
        <v>1017</v>
      </c>
      <c r="C463" s="74" t="str">
        <f>IF($B463&lt;&gt;"",_xlfn.IFNA(VLOOKUP($B463,'Node Details'!$B:$U,C$1,0),"Check"),"")</f>
        <v>0000AXY10-AXY100105</v>
      </c>
      <c r="D463" s="74" t="str">
        <f>IF($B463&lt;&gt;"",_xlfn.IFNA(VLOOKUP($B463,'Node Details'!$B:$U,D$1,0),"Check"),"")</f>
        <v>AXY</v>
      </c>
      <c r="E463" s="74" t="str">
        <f>IF($B463&lt;&gt;"",_xlfn.IFNA(VLOOKUP($B463,'Node Details'!$B:$U,E$1,0),"Check"),"")</f>
        <v>Airtel</v>
      </c>
      <c r="F463" s="76">
        <v>46113</v>
      </c>
      <c r="G463" s="74"/>
      <c r="H463" s="10" t="s">
        <v>1250</v>
      </c>
      <c r="I463" s="9">
        <v>2</v>
      </c>
      <c r="J463" s="9">
        <v>150</v>
      </c>
      <c r="K463" s="77">
        <f t="shared" si="54"/>
        <v>300</v>
      </c>
      <c r="L463" s="76">
        <v>46112</v>
      </c>
      <c r="N463" s="83"/>
      <c r="O463" s="84"/>
      <c r="P463" s="81">
        <f t="shared" si="49"/>
        <v>150</v>
      </c>
      <c r="Q463" s="81">
        <f t="shared" si="50"/>
        <v>300</v>
      </c>
      <c r="R463" s="81"/>
      <c r="S463" s="81"/>
      <c r="T463" s="85"/>
      <c r="U463" s="81">
        <f t="shared" si="51"/>
        <v>150</v>
      </c>
      <c r="V463" s="81">
        <f t="shared" si="52"/>
        <v>2</v>
      </c>
      <c r="W463" s="82">
        <f t="shared" si="53"/>
        <v>300</v>
      </c>
      <c r="X463" s="82" t="s">
        <v>84</v>
      </c>
      <c r="Y463" s="24" t="s">
        <v>93</v>
      </c>
    </row>
    <row r="464" spans="1:25" s="24" customFormat="1" ht="11.1" customHeight="1">
      <c r="A464" s="74">
        <f t="shared" si="55"/>
        <v>462</v>
      </c>
      <c r="B464" s="75" t="s">
        <v>269</v>
      </c>
      <c r="C464" s="74" t="str">
        <f>IF($B464&lt;&gt;"",_xlfn.IFNA(VLOOKUP($B464,'Node Details'!$B:$U,C$1,0),"Check"),"")</f>
        <v>0000AXY10-AXY100105</v>
      </c>
      <c r="D464" s="74" t="str">
        <f>IF($B464&lt;&gt;"",_xlfn.IFNA(VLOOKUP($B464,'Node Details'!$B:$U,D$1,0),"Check"),"")</f>
        <v>AXY</v>
      </c>
      <c r="E464" s="74" t="str">
        <f>IF($B464&lt;&gt;"",_xlfn.IFNA(VLOOKUP($B464,'Node Details'!$B:$U,E$1,0),"Check"),"")</f>
        <v>Airtel</v>
      </c>
      <c r="F464" s="76">
        <v>46113</v>
      </c>
      <c r="G464" s="74"/>
      <c r="H464" s="10" t="s">
        <v>1250</v>
      </c>
      <c r="I464" s="9">
        <v>2</v>
      </c>
      <c r="J464" s="9">
        <v>150</v>
      </c>
      <c r="K464" s="77">
        <f t="shared" si="54"/>
        <v>300</v>
      </c>
      <c r="L464" s="76">
        <v>46112</v>
      </c>
      <c r="N464" s="83"/>
      <c r="O464" s="84"/>
      <c r="P464" s="81">
        <f t="shared" si="49"/>
        <v>150</v>
      </c>
      <c r="Q464" s="81">
        <f t="shared" si="50"/>
        <v>300</v>
      </c>
      <c r="R464" s="81"/>
      <c r="S464" s="81"/>
      <c r="T464" s="85"/>
      <c r="U464" s="81">
        <f t="shared" si="51"/>
        <v>150</v>
      </c>
      <c r="V464" s="81">
        <f t="shared" si="52"/>
        <v>2</v>
      </c>
      <c r="W464" s="82">
        <f t="shared" si="53"/>
        <v>300</v>
      </c>
      <c r="X464" s="82" t="s">
        <v>84</v>
      </c>
      <c r="Y464" s="24" t="s">
        <v>93</v>
      </c>
    </row>
    <row r="465" spans="1:25" s="24" customFormat="1" ht="11.1" customHeight="1">
      <c r="A465" s="74">
        <f t="shared" si="55"/>
        <v>463</v>
      </c>
      <c r="B465" s="75" t="s">
        <v>1018</v>
      </c>
      <c r="C465" s="74" t="str">
        <f>IF($B465&lt;&gt;"",_xlfn.IFNA(VLOOKUP($B465,'Node Details'!$B:$U,C$1,0),"Check"),"")</f>
        <v>AXY100106-AXY100201</v>
      </c>
      <c r="D465" s="74" t="str">
        <f>IF($B465&lt;&gt;"",_xlfn.IFNA(VLOOKUP($B465,'Node Details'!$B:$U,D$1,0),"Check"),"")</f>
        <v>AXY</v>
      </c>
      <c r="E465" s="74" t="str">
        <f>IF($B465&lt;&gt;"",_xlfn.IFNA(VLOOKUP($B465,'Node Details'!$B:$U,E$1,0),"Check"),"")</f>
        <v>Airtel</v>
      </c>
      <c r="F465" s="76">
        <v>46113</v>
      </c>
      <c r="G465" s="74"/>
      <c r="H465" s="10" t="s">
        <v>1250</v>
      </c>
      <c r="I465" s="9">
        <v>2</v>
      </c>
      <c r="J465" s="9">
        <v>150</v>
      </c>
      <c r="K465" s="77">
        <f t="shared" si="54"/>
        <v>300</v>
      </c>
      <c r="L465" s="76">
        <v>46112</v>
      </c>
      <c r="N465" s="83"/>
      <c r="O465" s="84"/>
      <c r="P465" s="81">
        <f t="shared" si="49"/>
        <v>150</v>
      </c>
      <c r="Q465" s="81">
        <f t="shared" si="50"/>
        <v>300</v>
      </c>
      <c r="R465" s="81"/>
      <c r="S465" s="81"/>
      <c r="T465" s="85"/>
      <c r="U465" s="81">
        <f t="shared" si="51"/>
        <v>150</v>
      </c>
      <c r="V465" s="81">
        <f t="shared" si="52"/>
        <v>2</v>
      </c>
      <c r="W465" s="82">
        <f t="shared" si="53"/>
        <v>300</v>
      </c>
      <c r="X465" s="82" t="s">
        <v>84</v>
      </c>
      <c r="Y465" s="24" t="s">
        <v>93</v>
      </c>
    </row>
    <row r="466" spans="1:25" s="24" customFormat="1" ht="11.1" customHeight="1">
      <c r="A466" s="74">
        <f t="shared" si="55"/>
        <v>464</v>
      </c>
      <c r="B466" s="75" t="s">
        <v>273</v>
      </c>
      <c r="C466" s="74" t="str">
        <f>IF($B466&lt;&gt;"",_xlfn.IFNA(VLOOKUP($B466,'Node Details'!$B:$U,C$1,0),"Check"),"")</f>
        <v>AXY100106-AXY100201</v>
      </c>
      <c r="D466" s="74" t="str">
        <f>IF($B466&lt;&gt;"",_xlfn.IFNA(VLOOKUP($B466,'Node Details'!$B:$U,D$1,0),"Check"),"")</f>
        <v>AXY</v>
      </c>
      <c r="E466" s="74" t="str">
        <f>IF($B466&lt;&gt;"",_xlfn.IFNA(VLOOKUP($B466,'Node Details'!$B:$U,E$1,0),"Check"),"")</f>
        <v>Airtel</v>
      </c>
      <c r="F466" s="76">
        <v>46113</v>
      </c>
      <c r="G466" s="74"/>
      <c r="H466" s="10" t="s">
        <v>1250</v>
      </c>
      <c r="I466" s="9">
        <v>2</v>
      </c>
      <c r="J466" s="9">
        <v>150</v>
      </c>
      <c r="K466" s="77">
        <f t="shared" si="54"/>
        <v>300</v>
      </c>
      <c r="L466" s="76">
        <v>46112</v>
      </c>
      <c r="N466" s="83"/>
      <c r="O466" s="84"/>
      <c r="P466" s="81">
        <f t="shared" si="49"/>
        <v>150</v>
      </c>
      <c r="Q466" s="81">
        <f t="shared" si="50"/>
        <v>300</v>
      </c>
      <c r="R466" s="81"/>
      <c r="S466" s="81"/>
      <c r="T466" s="85"/>
      <c r="U466" s="81">
        <f t="shared" si="51"/>
        <v>150</v>
      </c>
      <c r="V466" s="81">
        <f t="shared" si="52"/>
        <v>2</v>
      </c>
      <c r="W466" s="82">
        <f t="shared" si="53"/>
        <v>300</v>
      </c>
      <c r="X466" s="82" t="s">
        <v>84</v>
      </c>
      <c r="Y466" s="24" t="s">
        <v>93</v>
      </c>
    </row>
    <row r="467" spans="1:25" s="24" customFormat="1" ht="11.1" customHeight="1">
      <c r="A467" s="74">
        <f t="shared" si="55"/>
        <v>465</v>
      </c>
      <c r="B467" s="75" t="s">
        <v>1019</v>
      </c>
      <c r="C467" s="74" t="str">
        <f>IF($B467&lt;&gt;"",_xlfn.IFNA(VLOOKUP($B467,'Node Details'!$B:$U,C$1,0),"Check"),"")</f>
        <v>000000AXY-0000AXY12</v>
      </c>
      <c r="D467" s="74" t="str">
        <f>IF($B467&lt;&gt;"",_xlfn.IFNA(VLOOKUP($B467,'Node Details'!$B:$U,D$1,0),"Check"),"")</f>
        <v>AXY</v>
      </c>
      <c r="E467" s="74" t="str">
        <f>IF($B467&lt;&gt;"",_xlfn.IFNA(VLOOKUP($B467,'Node Details'!$B:$U,E$1,0),"Check"),"")</f>
        <v>Airtel</v>
      </c>
      <c r="F467" s="76">
        <v>46113</v>
      </c>
      <c r="G467" s="74"/>
      <c r="H467" s="10" t="s">
        <v>1250</v>
      </c>
      <c r="I467" s="9">
        <v>2</v>
      </c>
      <c r="J467" s="9">
        <v>150</v>
      </c>
      <c r="K467" s="77">
        <f t="shared" si="54"/>
        <v>300</v>
      </c>
      <c r="L467" s="76">
        <v>46112</v>
      </c>
      <c r="N467" s="83"/>
      <c r="O467" s="84"/>
      <c r="P467" s="81">
        <f t="shared" si="49"/>
        <v>150</v>
      </c>
      <c r="Q467" s="81">
        <f t="shared" si="50"/>
        <v>300</v>
      </c>
      <c r="R467" s="81"/>
      <c r="S467" s="81"/>
      <c r="T467" s="85"/>
      <c r="U467" s="81">
        <f t="shared" si="51"/>
        <v>150</v>
      </c>
      <c r="V467" s="81">
        <f t="shared" si="52"/>
        <v>2</v>
      </c>
      <c r="W467" s="82">
        <f t="shared" si="53"/>
        <v>300</v>
      </c>
      <c r="X467" s="82" t="s">
        <v>84</v>
      </c>
      <c r="Y467" s="24" t="s">
        <v>93</v>
      </c>
    </row>
    <row r="468" spans="1:25" s="24" customFormat="1" ht="11.1" customHeight="1">
      <c r="A468" s="74">
        <f t="shared" si="55"/>
        <v>466</v>
      </c>
      <c r="B468" s="75" t="s">
        <v>1020</v>
      </c>
      <c r="C468" s="74" t="str">
        <f>IF($B468&lt;&gt;"",_xlfn.IFNA(VLOOKUP($B468,'Node Details'!$B:$U,C$1,0),"Check"),"")</f>
        <v>0000AXY11-AXY110102</v>
      </c>
      <c r="D468" s="74" t="str">
        <f>IF($B468&lt;&gt;"",_xlfn.IFNA(VLOOKUP($B468,'Node Details'!$B:$U,D$1,0),"Check"),"")</f>
        <v>AXY</v>
      </c>
      <c r="E468" s="74" t="str">
        <f>IF($B468&lt;&gt;"",_xlfn.IFNA(VLOOKUP($B468,'Node Details'!$B:$U,E$1,0),"Check"),"")</f>
        <v>Airtel</v>
      </c>
      <c r="F468" s="76">
        <v>46113</v>
      </c>
      <c r="G468" s="74"/>
      <c r="H468" s="10" t="s">
        <v>1250</v>
      </c>
      <c r="I468" s="9">
        <v>2</v>
      </c>
      <c r="J468" s="9">
        <v>150</v>
      </c>
      <c r="K468" s="77">
        <f t="shared" si="54"/>
        <v>300</v>
      </c>
      <c r="L468" s="76">
        <v>46112</v>
      </c>
      <c r="N468" s="83"/>
      <c r="O468" s="84"/>
      <c r="P468" s="81">
        <f t="shared" si="49"/>
        <v>150</v>
      </c>
      <c r="Q468" s="81">
        <f t="shared" si="50"/>
        <v>300</v>
      </c>
      <c r="R468" s="81"/>
      <c r="S468" s="81"/>
      <c r="T468" s="85"/>
      <c r="U468" s="81">
        <f t="shared" si="51"/>
        <v>150</v>
      </c>
      <c r="V468" s="81">
        <f t="shared" si="52"/>
        <v>2</v>
      </c>
      <c r="W468" s="82">
        <f t="shared" si="53"/>
        <v>300</v>
      </c>
      <c r="X468" s="82" t="s">
        <v>84</v>
      </c>
      <c r="Y468" s="24" t="s">
        <v>93</v>
      </c>
    </row>
    <row r="469" spans="1:25" s="24" customFormat="1" ht="11.1" customHeight="1">
      <c r="A469" s="74">
        <f t="shared" si="55"/>
        <v>467</v>
      </c>
      <c r="B469" s="75" t="s">
        <v>277</v>
      </c>
      <c r="C469" s="74" t="str">
        <f>IF($B469&lt;&gt;"",_xlfn.IFNA(VLOOKUP($B469,'Node Details'!$B:$U,C$1,0),"Check"),"")</f>
        <v>0000AXY11-AXY110102</v>
      </c>
      <c r="D469" s="74" t="str">
        <f>IF($B469&lt;&gt;"",_xlfn.IFNA(VLOOKUP($B469,'Node Details'!$B:$U,D$1,0),"Check"),"")</f>
        <v>AXY</v>
      </c>
      <c r="E469" s="74" t="str">
        <f>IF($B469&lt;&gt;"",_xlfn.IFNA(VLOOKUP($B469,'Node Details'!$B:$U,E$1,0),"Check"),"")</f>
        <v>Airtel</v>
      </c>
      <c r="F469" s="76">
        <v>46113</v>
      </c>
      <c r="G469" s="74"/>
      <c r="H469" s="10" t="s">
        <v>1250</v>
      </c>
      <c r="I469" s="9">
        <v>2</v>
      </c>
      <c r="J469" s="9">
        <v>150</v>
      </c>
      <c r="K469" s="77">
        <f t="shared" si="54"/>
        <v>300</v>
      </c>
      <c r="L469" s="76">
        <v>46112</v>
      </c>
      <c r="N469" s="83"/>
      <c r="O469" s="84"/>
      <c r="P469" s="81">
        <f t="shared" si="49"/>
        <v>150</v>
      </c>
      <c r="Q469" s="81">
        <f t="shared" si="50"/>
        <v>300</v>
      </c>
      <c r="R469" s="81"/>
      <c r="S469" s="81"/>
      <c r="T469" s="85"/>
      <c r="U469" s="81">
        <f t="shared" si="51"/>
        <v>150</v>
      </c>
      <c r="V469" s="81">
        <f t="shared" si="52"/>
        <v>2</v>
      </c>
      <c r="W469" s="82">
        <f t="shared" si="53"/>
        <v>300</v>
      </c>
      <c r="X469" s="82" t="s">
        <v>84</v>
      </c>
      <c r="Y469" s="24" t="s">
        <v>93</v>
      </c>
    </row>
    <row r="470" spans="1:25" s="24" customFormat="1" ht="11.1" customHeight="1">
      <c r="A470" s="74">
        <f t="shared" si="55"/>
        <v>468</v>
      </c>
      <c r="B470" s="75" t="s">
        <v>1021</v>
      </c>
      <c r="C470" s="74" t="str">
        <f>IF($B470&lt;&gt;"",_xlfn.IFNA(VLOOKUP($B470,'Node Details'!$B:$U,C$1,0),"Check"),"")</f>
        <v>0000AXY11-AXY110107</v>
      </c>
      <c r="D470" s="74" t="str">
        <f>IF($B470&lt;&gt;"",_xlfn.IFNA(VLOOKUP($B470,'Node Details'!$B:$U,D$1,0),"Check"),"")</f>
        <v>AXY</v>
      </c>
      <c r="E470" s="74" t="str">
        <f>IF($B470&lt;&gt;"",_xlfn.IFNA(VLOOKUP($B470,'Node Details'!$B:$U,E$1,0),"Check"),"")</f>
        <v>Airtel</v>
      </c>
      <c r="F470" s="76">
        <v>46113</v>
      </c>
      <c r="G470" s="74"/>
      <c r="H470" s="10" t="s">
        <v>1250</v>
      </c>
      <c r="I470" s="9">
        <v>2</v>
      </c>
      <c r="J470" s="9">
        <v>150</v>
      </c>
      <c r="K470" s="77">
        <f t="shared" si="54"/>
        <v>300</v>
      </c>
      <c r="L470" s="76">
        <v>46112</v>
      </c>
      <c r="N470" s="83"/>
      <c r="O470" s="84"/>
      <c r="P470" s="81">
        <f t="shared" si="49"/>
        <v>150</v>
      </c>
      <c r="Q470" s="81">
        <f t="shared" si="50"/>
        <v>300</v>
      </c>
      <c r="R470" s="81"/>
      <c r="S470" s="81"/>
      <c r="T470" s="85"/>
      <c r="U470" s="81">
        <f t="shared" si="51"/>
        <v>150</v>
      </c>
      <c r="V470" s="81">
        <f t="shared" si="52"/>
        <v>2</v>
      </c>
      <c r="W470" s="82">
        <f t="shared" si="53"/>
        <v>300</v>
      </c>
      <c r="X470" s="82" t="s">
        <v>84</v>
      </c>
      <c r="Y470" s="24" t="s">
        <v>93</v>
      </c>
    </row>
    <row r="471" spans="1:25" s="24" customFormat="1" ht="11.1" customHeight="1">
      <c r="A471" s="74">
        <f t="shared" si="55"/>
        <v>469</v>
      </c>
      <c r="B471" s="75" t="s">
        <v>280</v>
      </c>
      <c r="C471" s="74" t="str">
        <f>IF($B471&lt;&gt;"",_xlfn.IFNA(VLOOKUP($B471,'Node Details'!$B:$U,C$1,0),"Check"),"")</f>
        <v>0000AXY11-AXY110107</v>
      </c>
      <c r="D471" s="74" t="str">
        <f>IF($B471&lt;&gt;"",_xlfn.IFNA(VLOOKUP($B471,'Node Details'!$B:$U,D$1,0),"Check"),"")</f>
        <v>AXY</v>
      </c>
      <c r="E471" s="74" t="str">
        <f>IF($B471&lt;&gt;"",_xlfn.IFNA(VLOOKUP($B471,'Node Details'!$B:$U,E$1,0),"Check"),"")</f>
        <v>Airtel</v>
      </c>
      <c r="F471" s="76">
        <v>46113</v>
      </c>
      <c r="G471" s="74"/>
      <c r="H471" s="10" t="s">
        <v>1250</v>
      </c>
      <c r="I471" s="9">
        <v>2</v>
      </c>
      <c r="J471" s="9">
        <v>150</v>
      </c>
      <c r="K471" s="77">
        <f t="shared" si="54"/>
        <v>300</v>
      </c>
      <c r="L471" s="76">
        <v>46112</v>
      </c>
      <c r="N471" s="83"/>
      <c r="O471" s="84"/>
      <c r="P471" s="81">
        <f t="shared" si="49"/>
        <v>150</v>
      </c>
      <c r="Q471" s="81">
        <f t="shared" si="50"/>
        <v>300</v>
      </c>
      <c r="R471" s="81"/>
      <c r="S471" s="81"/>
      <c r="T471" s="85"/>
      <c r="U471" s="81">
        <f t="shared" si="51"/>
        <v>150</v>
      </c>
      <c r="V471" s="81">
        <f t="shared" si="52"/>
        <v>2</v>
      </c>
      <c r="W471" s="82">
        <f t="shared" si="53"/>
        <v>300</v>
      </c>
      <c r="X471" s="82" t="s">
        <v>84</v>
      </c>
      <c r="Y471" s="24" t="s">
        <v>93</v>
      </c>
    </row>
    <row r="472" spans="1:25" s="24" customFormat="1" ht="11.1" customHeight="1">
      <c r="A472" s="74">
        <f t="shared" si="55"/>
        <v>470</v>
      </c>
      <c r="B472" s="75" t="s">
        <v>1022</v>
      </c>
      <c r="C472" s="74" t="str">
        <f>IF($B472&lt;&gt;"",_xlfn.IFNA(VLOOKUP($B472,'Node Details'!$B:$U,C$1,0),"Check"),"")</f>
        <v>AXY110103-AXY110106</v>
      </c>
      <c r="D472" s="74" t="str">
        <f>IF($B472&lt;&gt;"",_xlfn.IFNA(VLOOKUP($B472,'Node Details'!$B:$U,D$1,0),"Check"),"")</f>
        <v>AXY</v>
      </c>
      <c r="E472" s="74" t="str">
        <f>IF($B472&lt;&gt;"",_xlfn.IFNA(VLOOKUP($B472,'Node Details'!$B:$U,E$1,0),"Check"),"")</f>
        <v>Airtel</v>
      </c>
      <c r="F472" s="76">
        <v>46113</v>
      </c>
      <c r="G472" s="74"/>
      <c r="H472" s="10" t="s">
        <v>1250</v>
      </c>
      <c r="I472" s="9">
        <v>2</v>
      </c>
      <c r="J472" s="9">
        <v>150</v>
      </c>
      <c r="K472" s="77">
        <f t="shared" si="54"/>
        <v>300</v>
      </c>
      <c r="L472" s="76">
        <v>46112</v>
      </c>
      <c r="N472" s="83"/>
      <c r="O472" s="84"/>
      <c r="P472" s="81">
        <f t="shared" si="49"/>
        <v>150</v>
      </c>
      <c r="Q472" s="81">
        <f t="shared" si="50"/>
        <v>300</v>
      </c>
      <c r="R472" s="81"/>
      <c r="S472" s="81"/>
      <c r="T472" s="85"/>
      <c r="U472" s="81">
        <f t="shared" si="51"/>
        <v>150</v>
      </c>
      <c r="V472" s="81">
        <f t="shared" si="52"/>
        <v>2</v>
      </c>
      <c r="W472" s="82">
        <f t="shared" si="53"/>
        <v>300</v>
      </c>
      <c r="X472" s="82" t="s">
        <v>84</v>
      </c>
      <c r="Y472" s="24" t="s">
        <v>93</v>
      </c>
    </row>
    <row r="473" spans="1:25" s="24" customFormat="1" ht="11.1" customHeight="1">
      <c r="A473" s="74">
        <f t="shared" si="55"/>
        <v>471</v>
      </c>
      <c r="B473" s="75" t="s">
        <v>284</v>
      </c>
      <c r="C473" s="74" t="str">
        <f>IF($B473&lt;&gt;"",_xlfn.IFNA(VLOOKUP($B473,'Node Details'!$B:$U,C$1,0),"Check"),"")</f>
        <v>AXY110103-AXY110106</v>
      </c>
      <c r="D473" s="74" t="str">
        <f>IF($B473&lt;&gt;"",_xlfn.IFNA(VLOOKUP($B473,'Node Details'!$B:$U,D$1,0),"Check"),"")</f>
        <v>AXY</v>
      </c>
      <c r="E473" s="74" t="str">
        <f>IF($B473&lt;&gt;"",_xlfn.IFNA(VLOOKUP($B473,'Node Details'!$B:$U,E$1,0),"Check"),"")</f>
        <v>Airtel</v>
      </c>
      <c r="F473" s="76">
        <v>46113</v>
      </c>
      <c r="G473" s="74"/>
      <c r="H473" s="10" t="s">
        <v>1250</v>
      </c>
      <c r="I473" s="9">
        <v>2</v>
      </c>
      <c r="J473" s="9">
        <v>150</v>
      </c>
      <c r="K473" s="77">
        <f t="shared" si="54"/>
        <v>300</v>
      </c>
      <c r="L473" s="76">
        <v>46112</v>
      </c>
      <c r="N473" s="83"/>
      <c r="O473" s="84"/>
      <c r="P473" s="81">
        <f t="shared" si="49"/>
        <v>150</v>
      </c>
      <c r="Q473" s="81">
        <f t="shared" si="50"/>
        <v>300</v>
      </c>
      <c r="R473" s="81"/>
      <c r="S473" s="81"/>
      <c r="T473" s="85"/>
      <c r="U473" s="81">
        <f t="shared" si="51"/>
        <v>150</v>
      </c>
      <c r="V473" s="81">
        <f t="shared" si="52"/>
        <v>2</v>
      </c>
      <c r="W473" s="82">
        <f t="shared" si="53"/>
        <v>300</v>
      </c>
      <c r="X473" s="82" t="s">
        <v>84</v>
      </c>
      <c r="Y473" s="24" t="s">
        <v>93</v>
      </c>
    </row>
    <row r="474" spans="1:25" s="24" customFormat="1" ht="11.1" customHeight="1">
      <c r="A474" s="74">
        <f t="shared" si="55"/>
        <v>472</v>
      </c>
      <c r="B474" s="75" t="s">
        <v>1023</v>
      </c>
      <c r="C474" s="74" t="str">
        <f>IF($B474&lt;&gt;"",_xlfn.IFNA(VLOOKUP($B474,'Node Details'!$B:$U,C$1,0),"Check"),"")</f>
        <v>AXY110107-AXY110202</v>
      </c>
      <c r="D474" s="74" t="str">
        <f>IF($B474&lt;&gt;"",_xlfn.IFNA(VLOOKUP($B474,'Node Details'!$B:$U,D$1,0),"Check"),"")</f>
        <v>AXY</v>
      </c>
      <c r="E474" s="74" t="str">
        <f>IF($B474&lt;&gt;"",_xlfn.IFNA(VLOOKUP($B474,'Node Details'!$B:$U,E$1,0),"Check"),"")</f>
        <v>Airtel</v>
      </c>
      <c r="F474" s="76">
        <v>46113</v>
      </c>
      <c r="G474" s="74"/>
      <c r="H474" s="10" t="s">
        <v>1250</v>
      </c>
      <c r="I474" s="9">
        <v>2</v>
      </c>
      <c r="J474" s="9">
        <v>150</v>
      </c>
      <c r="K474" s="77">
        <f t="shared" si="54"/>
        <v>300</v>
      </c>
      <c r="L474" s="76">
        <v>46112</v>
      </c>
      <c r="N474" s="83"/>
      <c r="O474" s="84"/>
      <c r="P474" s="81">
        <f t="shared" si="49"/>
        <v>150</v>
      </c>
      <c r="Q474" s="81">
        <f t="shared" si="50"/>
        <v>300</v>
      </c>
      <c r="R474" s="81"/>
      <c r="S474" s="81"/>
      <c r="T474" s="85"/>
      <c r="U474" s="81">
        <f t="shared" si="51"/>
        <v>150</v>
      </c>
      <c r="V474" s="81">
        <f t="shared" si="52"/>
        <v>2</v>
      </c>
      <c r="W474" s="82">
        <f t="shared" si="53"/>
        <v>300</v>
      </c>
      <c r="X474" s="82" t="s">
        <v>84</v>
      </c>
      <c r="Y474" s="24" t="s">
        <v>93</v>
      </c>
    </row>
    <row r="475" spans="1:25" s="24" customFormat="1" ht="11.1" customHeight="1">
      <c r="A475" s="74">
        <f t="shared" si="55"/>
        <v>473</v>
      </c>
      <c r="B475" s="75" t="s">
        <v>287</v>
      </c>
      <c r="C475" s="74" t="str">
        <f>IF($B475&lt;&gt;"",_xlfn.IFNA(VLOOKUP($B475,'Node Details'!$B:$U,C$1,0),"Check"),"")</f>
        <v>AXY110107-AXY110202</v>
      </c>
      <c r="D475" s="74" t="str">
        <f>IF($B475&lt;&gt;"",_xlfn.IFNA(VLOOKUP($B475,'Node Details'!$B:$U,D$1,0),"Check"),"")</f>
        <v>AXY</v>
      </c>
      <c r="E475" s="74" t="str">
        <f>IF($B475&lt;&gt;"",_xlfn.IFNA(VLOOKUP($B475,'Node Details'!$B:$U,E$1,0),"Check"),"")</f>
        <v>Airtel</v>
      </c>
      <c r="F475" s="76">
        <v>46113</v>
      </c>
      <c r="G475" s="74"/>
      <c r="H475" s="10" t="s">
        <v>1250</v>
      </c>
      <c r="I475" s="9">
        <v>2</v>
      </c>
      <c r="J475" s="9">
        <v>150</v>
      </c>
      <c r="K475" s="77">
        <f t="shared" si="54"/>
        <v>300</v>
      </c>
      <c r="L475" s="76">
        <v>46112</v>
      </c>
      <c r="N475" s="83"/>
      <c r="O475" s="84"/>
      <c r="P475" s="81">
        <f t="shared" si="49"/>
        <v>150</v>
      </c>
      <c r="Q475" s="81">
        <f t="shared" si="50"/>
        <v>300</v>
      </c>
      <c r="R475" s="81"/>
      <c r="S475" s="81"/>
      <c r="T475" s="85"/>
      <c r="U475" s="81">
        <f t="shared" si="51"/>
        <v>150</v>
      </c>
      <c r="V475" s="81">
        <f t="shared" si="52"/>
        <v>2</v>
      </c>
      <c r="W475" s="82">
        <f t="shared" si="53"/>
        <v>300</v>
      </c>
      <c r="X475" s="82" t="s">
        <v>84</v>
      </c>
      <c r="Y475" s="24" t="s">
        <v>93</v>
      </c>
    </row>
    <row r="476" spans="1:25" s="24" customFormat="1" ht="11.1" customHeight="1">
      <c r="A476" s="74">
        <f t="shared" si="55"/>
        <v>474</v>
      </c>
      <c r="B476" s="75" t="s">
        <v>291</v>
      </c>
      <c r="C476" s="74" t="str">
        <f>IF($B476&lt;&gt;"",_xlfn.IFNA(VLOOKUP($B476,'Node Details'!$B:$U,C$1,0),"Check"),"")</f>
        <v>AXY110108-AXY110201</v>
      </c>
      <c r="D476" s="74" t="str">
        <f>IF($B476&lt;&gt;"",_xlfn.IFNA(VLOOKUP($B476,'Node Details'!$B:$U,D$1,0),"Check"),"")</f>
        <v>AXY</v>
      </c>
      <c r="E476" s="74" t="str">
        <f>IF($B476&lt;&gt;"",_xlfn.IFNA(VLOOKUP($B476,'Node Details'!$B:$U,E$1,0),"Check"),"")</f>
        <v>Airtel</v>
      </c>
      <c r="F476" s="76">
        <v>46113</v>
      </c>
      <c r="G476" s="74"/>
      <c r="H476" s="10" t="s">
        <v>1250</v>
      </c>
      <c r="I476" s="9">
        <v>2</v>
      </c>
      <c r="J476" s="9">
        <v>150</v>
      </c>
      <c r="K476" s="77">
        <f t="shared" si="54"/>
        <v>300</v>
      </c>
      <c r="L476" s="76">
        <v>46112</v>
      </c>
      <c r="N476" s="83"/>
      <c r="O476" s="84"/>
      <c r="P476" s="81">
        <f t="shared" si="49"/>
        <v>150</v>
      </c>
      <c r="Q476" s="81">
        <f t="shared" si="50"/>
        <v>300</v>
      </c>
      <c r="R476" s="81"/>
      <c r="S476" s="81"/>
      <c r="T476" s="85"/>
      <c r="U476" s="81">
        <f t="shared" si="51"/>
        <v>150</v>
      </c>
      <c r="V476" s="81">
        <f t="shared" si="52"/>
        <v>2</v>
      </c>
      <c r="W476" s="82">
        <f t="shared" si="53"/>
        <v>300</v>
      </c>
      <c r="X476" s="82" t="s">
        <v>84</v>
      </c>
      <c r="Y476" s="24" t="s">
        <v>93</v>
      </c>
    </row>
    <row r="477" spans="1:25" s="24" customFormat="1" ht="11.1" customHeight="1">
      <c r="A477" s="74">
        <f t="shared" si="55"/>
        <v>475</v>
      </c>
      <c r="B477" s="75" t="s">
        <v>141</v>
      </c>
      <c r="C477" s="74" t="str">
        <f>IF($B477&lt;&gt;"",_xlfn.IFNA(VLOOKUP($B477,'Node Details'!$B:$U,C$1,0),"Check"),"")</f>
        <v>000000AXY-0000AXY12</v>
      </c>
      <c r="D477" s="74" t="str">
        <f>IF($B477&lt;&gt;"",_xlfn.IFNA(VLOOKUP($B477,'Node Details'!$B:$U,D$1,0),"Check"),"")</f>
        <v>AXY</v>
      </c>
      <c r="E477" s="74" t="str">
        <f>IF($B477&lt;&gt;"",_xlfn.IFNA(VLOOKUP($B477,'Node Details'!$B:$U,E$1,0),"Check"),"")</f>
        <v>Airtel</v>
      </c>
      <c r="F477" s="76">
        <v>46113</v>
      </c>
      <c r="G477" s="74"/>
      <c r="H477" s="10" t="s">
        <v>1250</v>
      </c>
      <c r="I477" s="9">
        <v>2</v>
      </c>
      <c r="J477" s="9">
        <v>150</v>
      </c>
      <c r="K477" s="77">
        <f t="shared" si="54"/>
        <v>300</v>
      </c>
      <c r="L477" s="76">
        <v>46112</v>
      </c>
      <c r="N477" s="83"/>
      <c r="O477" s="84"/>
      <c r="P477" s="81">
        <f t="shared" si="49"/>
        <v>150</v>
      </c>
      <c r="Q477" s="81">
        <f t="shared" si="50"/>
        <v>300</v>
      </c>
      <c r="R477" s="81"/>
      <c r="S477" s="81"/>
      <c r="T477" s="85"/>
      <c r="U477" s="81">
        <f t="shared" si="51"/>
        <v>150</v>
      </c>
      <c r="V477" s="81">
        <f t="shared" si="52"/>
        <v>2</v>
      </c>
      <c r="W477" s="82">
        <f t="shared" si="53"/>
        <v>300</v>
      </c>
      <c r="X477" s="82" t="s">
        <v>84</v>
      </c>
      <c r="Y477" s="24" t="s">
        <v>93</v>
      </c>
    </row>
    <row r="478" spans="1:25" s="24" customFormat="1" ht="11.1" customHeight="1">
      <c r="A478" s="74">
        <f t="shared" si="55"/>
        <v>476</v>
      </c>
      <c r="B478" s="75" t="s">
        <v>295</v>
      </c>
      <c r="C478" s="74" t="str">
        <f>IF($B478&lt;&gt;"",_xlfn.IFNA(VLOOKUP($B478,'Node Details'!$B:$U,C$1,0),"Check"),"")</f>
        <v>0000AXY12-AXY120101</v>
      </c>
      <c r="D478" s="74" t="str">
        <f>IF($B478&lt;&gt;"",_xlfn.IFNA(VLOOKUP($B478,'Node Details'!$B:$U,D$1,0),"Check"),"")</f>
        <v>AXY</v>
      </c>
      <c r="E478" s="74" t="str">
        <f>IF($B478&lt;&gt;"",_xlfn.IFNA(VLOOKUP($B478,'Node Details'!$B:$U,E$1,0),"Check"),"")</f>
        <v>Airtel</v>
      </c>
      <c r="F478" s="76">
        <v>46113</v>
      </c>
      <c r="G478" s="74"/>
      <c r="H478" s="10" t="s">
        <v>1250</v>
      </c>
      <c r="I478" s="9">
        <v>2</v>
      </c>
      <c r="J478" s="9">
        <v>150</v>
      </c>
      <c r="K478" s="77">
        <f t="shared" si="54"/>
        <v>300</v>
      </c>
      <c r="L478" s="76">
        <v>46112</v>
      </c>
      <c r="N478" s="83"/>
      <c r="O478" s="84"/>
      <c r="P478" s="81">
        <f t="shared" si="49"/>
        <v>150</v>
      </c>
      <c r="Q478" s="81">
        <f t="shared" si="50"/>
        <v>300</v>
      </c>
      <c r="R478" s="81"/>
      <c r="S478" s="81"/>
      <c r="T478" s="85"/>
      <c r="U478" s="81">
        <f t="shared" si="51"/>
        <v>150</v>
      </c>
      <c r="V478" s="81">
        <f t="shared" si="52"/>
        <v>2</v>
      </c>
      <c r="W478" s="82">
        <f t="shared" si="53"/>
        <v>300</v>
      </c>
      <c r="X478" s="82" t="s">
        <v>84</v>
      </c>
      <c r="Y478" s="24" t="s">
        <v>93</v>
      </c>
    </row>
    <row r="479" spans="1:25" s="24" customFormat="1" ht="11.1" customHeight="1">
      <c r="A479" s="74">
        <f t="shared" si="55"/>
        <v>477</v>
      </c>
      <c r="B479" s="75" t="s">
        <v>299</v>
      </c>
      <c r="C479" s="74" t="str">
        <f>IF($B479&lt;&gt;"",_xlfn.IFNA(VLOOKUP($B479,'Node Details'!$B:$U,C$1,0),"Check"),"")</f>
        <v>0000AXY12-AXY120102</v>
      </c>
      <c r="D479" s="74" t="str">
        <f>IF($B479&lt;&gt;"",_xlfn.IFNA(VLOOKUP($B479,'Node Details'!$B:$U,D$1,0),"Check"),"")</f>
        <v>AXY</v>
      </c>
      <c r="E479" s="74" t="str">
        <f>IF($B479&lt;&gt;"",_xlfn.IFNA(VLOOKUP($B479,'Node Details'!$B:$U,E$1,0),"Check"),"")</f>
        <v>Airtel</v>
      </c>
      <c r="F479" s="76">
        <v>46113</v>
      </c>
      <c r="G479" s="74"/>
      <c r="H479" s="10" t="s">
        <v>1250</v>
      </c>
      <c r="I479" s="9">
        <v>2</v>
      </c>
      <c r="J479" s="9">
        <v>150</v>
      </c>
      <c r="K479" s="77">
        <f t="shared" si="54"/>
        <v>300</v>
      </c>
      <c r="L479" s="76">
        <v>46112</v>
      </c>
      <c r="N479" s="83"/>
      <c r="O479" s="84"/>
      <c r="P479" s="81">
        <f t="shared" si="49"/>
        <v>150</v>
      </c>
      <c r="Q479" s="81">
        <f t="shared" si="50"/>
        <v>300</v>
      </c>
      <c r="R479" s="81"/>
      <c r="S479" s="81"/>
      <c r="T479" s="85"/>
      <c r="U479" s="81">
        <f t="shared" si="51"/>
        <v>150</v>
      </c>
      <c r="V479" s="81">
        <f t="shared" si="52"/>
        <v>2</v>
      </c>
      <c r="W479" s="82">
        <f t="shared" si="53"/>
        <v>300</v>
      </c>
      <c r="X479" s="82" t="s">
        <v>84</v>
      </c>
      <c r="Y479" s="24" t="s">
        <v>93</v>
      </c>
    </row>
    <row r="480" spans="1:25" s="24" customFormat="1" ht="11.1" customHeight="1">
      <c r="A480" s="74">
        <f t="shared" si="55"/>
        <v>478</v>
      </c>
      <c r="B480" s="75" t="s">
        <v>1024</v>
      </c>
      <c r="C480" s="74" t="str">
        <f>IF($B480&lt;&gt;"",_xlfn.IFNA(VLOOKUP($B480,'Node Details'!$B:$U,C$1,0),"Check"),"")</f>
        <v>0000AXY12-AXY120105</v>
      </c>
      <c r="D480" s="74" t="str">
        <f>IF($B480&lt;&gt;"",_xlfn.IFNA(VLOOKUP($B480,'Node Details'!$B:$U,D$1,0),"Check"),"")</f>
        <v>AXY</v>
      </c>
      <c r="E480" s="74" t="str">
        <f>IF($B480&lt;&gt;"",_xlfn.IFNA(VLOOKUP($B480,'Node Details'!$B:$U,E$1,0),"Check"),"")</f>
        <v>Airtel</v>
      </c>
      <c r="F480" s="76">
        <v>46113</v>
      </c>
      <c r="G480" s="74"/>
      <c r="H480" s="10" t="s">
        <v>1250</v>
      </c>
      <c r="I480" s="9">
        <v>2</v>
      </c>
      <c r="J480" s="9">
        <v>150</v>
      </c>
      <c r="K480" s="77">
        <f t="shared" si="54"/>
        <v>300</v>
      </c>
      <c r="L480" s="76">
        <v>46112</v>
      </c>
      <c r="N480" s="83"/>
      <c r="O480" s="84"/>
      <c r="P480" s="81">
        <f t="shared" si="49"/>
        <v>150</v>
      </c>
      <c r="Q480" s="81">
        <f t="shared" si="50"/>
        <v>300</v>
      </c>
      <c r="R480" s="81"/>
      <c r="S480" s="81"/>
      <c r="T480" s="85"/>
      <c r="U480" s="81">
        <f t="shared" si="51"/>
        <v>150</v>
      </c>
      <c r="V480" s="81">
        <f t="shared" si="52"/>
        <v>2</v>
      </c>
      <c r="W480" s="82">
        <f t="shared" si="53"/>
        <v>300</v>
      </c>
      <c r="X480" s="82" t="s">
        <v>84</v>
      </c>
      <c r="Y480" s="24" t="s">
        <v>93</v>
      </c>
    </row>
    <row r="481" spans="1:25" s="24" customFormat="1" ht="11.1" customHeight="1">
      <c r="A481" s="74">
        <f t="shared" si="55"/>
        <v>479</v>
      </c>
      <c r="B481" s="75" t="s">
        <v>302</v>
      </c>
      <c r="C481" s="74" t="str">
        <f>IF($B481&lt;&gt;"",_xlfn.IFNA(VLOOKUP($B481,'Node Details'!$B:$U,C$1,0),"Check"),"")</f>
        <v>0000AXY12-AXY120105</v>
      </c>
      <c r="D481" s="74" t="str">
        <f>IF($B481&lt;&gt;"",_xlfn.IFNA(VLOOKUP($B481,'Node Details'!$B:$U,D$1,0),"Check"),"")</f>
        <v>AXY</v>
      </c>
      <c r="E481" s="74" t="str">
        <f>IF($B481&lt;&gt;"",_xlfn.IFNA(VLOOKUP($B481,'Node Details'!$B:$U,E$1,0),"Check"),"")</f>
        <v>Airtel</v>
      </c>
      <c r="F481" s="76">
        <v>46113</v>
      </c>
      <c r="G481" s="74"/>
      <c r="H481" s="10" t="s">
        <v>1250</v>
      </c>
      <c r="I481" s="9">
        <v>2</v>
      </c>
      <c r="J481" s="9">
        <v>150</v>
      </c>
      <c r="K481" s="77">
        <f t="shared" si="54"/>
        <v>300</v>
      </c>
      <c r="L481" s="76">
        <v>46112</v>
      </c>
      <c r="N481" s="83"/>
      <c r="O481" s="84"/>
      <c r="P481" s="81">
        <f t="shared" si="49"/>
        <v>150</v>
      </c>
      <c r="Q481" s="81">
        <f t="shared" si="50"/>
        <v>300</v>
      </c>
      <c r="R481" s="81"/>
      <c r="S481" s="81"/>
      <c r="T481" s="85"/>
      <c r="U481" s="81">
        <f t="shared" si="51"/>
        <v>150</v>
      </c>
      <c r="V481" s="81">
        <f t="shared" si="52"/>
        <v>2</v>
      </c>
      <c r="W481" s="82">
        <f t="shared" si="53"/>
        <v>300</v>
      </c>
      <c r="X481" s="82" t="s">
        <v>84</v>
      </c>
      <c r="Y481" s="24" t="s">
        <v>93</v>
      </c>
    </row>
    <row r="482" spans="1:25" s="24" customFormat="1" ht="11.1" customHeight="1">
      <c r="A482" s="74">
        <f t="shared" si="55"/>
        <v>480</v>
      </c>
      <c r="B482" s="75" t="s">
        <v>1025</v>
      </c>
      <c r="C482" s="74" t="str">
        <f>IF($B482&lt;&gt;"",_xlfn.IFNA(VLOOKUP($B482,'Node Details'!$B:$U,C$1,0),"Check"),"")</f>
        <v>000000AXY-0000AXY17</v>
      </c>
      <c r="D482" s="74" t="str">
        <f>IF($B482&lt;&gt;"",_xlfn.IFNA(VLOOKUP($B482,'Node Details'!$B:$U,D$1,0),"Check"),"")</f>
        <v>AXY</v>
      </c>
      <c r="E482" s="74" t="str">
        <f>IF($B482&lt;&gt;"",_xlfn.IFNA(VLOOKUP($B482,'Node Details'!$B:$U,E$1,0),"Check"),"")</f>
        <v>Airtel</v>
      </c>
      <c r="F482" s="76">
        <v>46113</v>
      </c>
      <c r="G482" s="74"/>
      <c r="H482" s="10" t="s">
        <v>1250</v>
      </c>
      <c r="I482" s="9">
        <v>2</v>
      </c>
      <c r="J482" s="9">
        <v>150</v>
      </c>
      <c r="K482" s="77">
        <f t="shared" si="54"/>
        <v>300</v>
      </c>
      <c r="L482" s="76">
        <v>46112</v>
      </c>
      <c r="N482" s="83"/>
      <c r="O482" s="84"/>
      <c r="P482" s="81">
        <f t="shared" si="49"/>
        <v>150</v>
      </c>
      <c r="Q482" s="81">
        <f t="shared" si="50"/>
        <v>300</v>
      </c>
      <c r="R482" s="81"/>
      <c r="S482" s="81"/>
      <c r="T482" s="85"/>
      <c r="U482" s="81">
        <f t="shared" si="51"/>
        <v>150</v>
      </c>
      <c r="V482" s="81">
        <f t="shared" si="52"/>
        <v>2</v>
      </c>
      <c r="W482" s="82">
        <f t="shared" si="53"/>
        <v>300</v>
      </c>
      <c r="X482" s="82" t="s">
        <v>84</v>
      </c>
      <c r="Y482" s="24" t="s">
        <v>93</v>
      </c>
    </row>
    <row r="483" spans="1:25" s="24" customFormat="1" ht="11.1" customHeight="1">
      <c r="A483" s="74">
        <f t="shared" si="55"/>
        <v>481</v>
      </c>
      <c r="B483" s="75" t="s">
        <v>306</v>
      </c>
      <c r="C483" s="74" t="str">
        <f>IF($B483&lt;&gt;"",_xlfn.IFNA(VLOOKUP($B483,'Node Details'!$B:$U,C$1,0),"Check"),"")</f>
        <v>0000AXY13-AXY130101</v>
      </c>
      <c r="D483" s="74" t="str">
        <f>IF($B483&lt;&gt;"",_xlfn.IFNA(VLOOKUP($B483,'Node Details'!$B:$U,D$1,0),"Check"),"")</f>
        <v>AXY</v>
      </c>
      <c r="E483" s="74" t="str">
        <f>IF($B483&lt;&gt;"",_xlfn.IFNA(VLOOKUP($B483,'Node Details'!$B:$U,E$1,0),"Check"),"")</f>
        <v>Airtel</v>
      </c>
      <c r="F483" s="76">
        <v>46113</v>
      </c>
      <c r="G483" s="74"/>
      <c r="H483" s="10" t="s">
        <v>1250</v>
      </c>
      <c r="I483" s="9">
        <v>2</v>
      </c>
      <c r="J483" s="9">
        <v>150</v>
      </c>
      <c r="K483" s="77">
        <f t="shared" si="54"/>
        <v>300</v>
      </c>
      <c r="L483" s="76">
        <v>46112</v>
      </c>
      <c r="N483" s="83"/>
      <c r="O483" s="84"/>
      <c r="P483" s="81">
        <f t="shared" si="49"/>
        <v>150</v>
      </c>
      <c r="Q483" s="81">
        <f t="shared" si="50"/>
        <v>300</v>
      </c>
      <c r="R483" s="81"/>
      <c r="S483" s="81"/>
      <c r="T483" s="85"/>
      <c r="U483" s="81">
        <f t="shared" si="51"/>
        <v>150</v>
      </c>
      <c r="V483" s="81">
        <f t="shared" si="52"/>
        <v>2</v>
      </c>
      <c r="W483" s="82">
        <f t="shared" si="53"/>
        <v>300</v>
      </c>
      <c r="X483" s="82" t="s">
        <v>84</v>
      </c>
      <c r="Y483" s="24" t="s">
        <v>93</v>
      </c>
    </row>
    <row r="484" spans="1:25" s="24" customFormat="1" ht="11.1" customHeight="1">
      <c r="A484" s="74">
        <f t="shared" si="55"/>
        <v>482</v>
      </c>
      <c r="B484" s="75" t="s">
        <v>1026</v>
      </c>
      <c r="C484" s="74" t="str">
        <f>IF($B484&lt;&gt;"",_xlfn.IFNA(VLOOKUP($B484,'Node Details'!$B:$U,C$1,0),"Check"),"")</f>
        <v>0000AXY13-AXY130104</v>
      </c>
      <c r="D484" s="74" t="str">
        <f>IF($B484&lt;&gt;"",_xlfn.IFNA(VLOOKUP($B484,'Node Details'!$B:$U,D$1,0),"Check"),"")</f>
        <v>AXY</v>
      </c>
      <c r="E484" s="74" t="str">
        <f>IF($B484&lt;&gt;"",_xlfn.IFNA(VLOOKUP($B484,'Node Details'!$B:$U,E$1,0),"Check"),"")</f>
        <v>Airtel</v>
      </c>
      <c r="F484" s="76">
        <v>46113</v>
      </c>
      <c r="G484" s="74"/>
      <c r="H484" s="10" t="s">
        <v>1250</v>
      </c>
      <c r="I484" s="9">
        <v>2</v>
      </c>
      <c r="J484" s="9">
        <v>150</v>
      </c>
      <c r="K484" s="77">
        <f t="shared" si="54"/>
        <v>300</v>
      </c>
      <c r="L484" s="76">
        <v>46112</v>
      </c>
      <c r="N484" s="83"/>
      <c r="O484" s="84"/>
      <c r="P484" s="81">
        <f t="shared" si="49"/>
        <v>150</v>
      </c>
      <c r="Q484" s="81">
        <f t="shared" si="50"/>
        <v>300</v>
      </c>
      <c r="R484" s="81"/>
      <c r="S484" s="81"/>
      <c r="T484" s="85"/>
      <c r="U484" s="81">
        <f t="shared" si="51"/>
        <v>150</v>
      </c>
      <c r="V484" s="81">
        <f t="shared" si="52"/>
        <v>2</v>
      </c>
      <c r="W484" s="82">
        <f t="shared" si="53"/>
        <v>300</v>
      </c>
      <c r="X484" s="82" t="s">
        <v>84</v>
      </c>
      <c r="Y484" s="24" t="s">
        <v>93</v>
      </c>
    </row>
    <row r="485" spans="1:25" s="24" customFormat="1" ht="11.1" customHeight="1">
      <c r="A485" s="74">
        <f t="shared" si="55"/>
        <v>483</v>
      </c>
      <c r="B485" s="75" t="s">
        <v>1027</v>
      </c>
      <c r="C485" s="74" t="str">
        <f>IF($B485&lt;&gt;"",_xlfn.IFNA(VLOOKUP($B485,'Node Details'!$B:$U,C$1,0),"Check"),"")</f>
        <v>0000AXY13-AXY130104</v>
      </c>
      <c r="D485" s="74" t="str">
        <f>IF($B485&lt;&gt;"",_xlfn.IFNA(VLOOKUP($B485,'Node Details'!$B:$U,D$1,0),"Check"),"")</f>
        <v>AXY</v>
      </c>
      <c r="E485" s="74" t="str">
        <f>IF($B485&lt;&gt;"",_xlfn.IFNA(VLOOKUP($B485,'Node Details'!$B:$U,E$1,0),"Check"),"")</f>
        <v>Airtel</v>
      </c>
      <c r="F485" s="76">
        <v>46113</v>
      </c>
      <c r="G485" s="74"/>
      <c r="H485" s="10" t="s">
        <v>1250</v>
      </c>
      <c r="I485" s="9">
        <v>2</v>
      </c>
      <c r="J485" s="9">
        <v>150</v>
      </c>
      <c r="K485" s="77">
        <f t="shared" si="54"/>
        <v>300</v>
      </c>
      <c r="L485" s="76">
        <v>46112</v>
      </c>
      <c r="N485" s="83"/>
      <c r="O485" s="84"/>
      <c r="P485" s="81">
        <f t="shared" si="49"/>
        <v>150</v>
      </c>
      <c r="Q485" s="81">
        <f t="shared" si="50"/>
        <v>300</v>
      </c>
      <c r="R485" s="81"/>
      <c r="S485" s="81"/>
      <c r="T485" s="85"/>
      <c r="U485" s="81">
        <f t="shared" si="51"/>
        <v>150</v>
      </c>
      <c r="V485" s="81">
        <f t="shared" si="52"/>
        <v>2</v>
      </c>
      <c r="W485" s="82">
        <f t="shared" si="53"/>
        <v>300</v>
      </c>
      <c r="X485" s="82" t="s">
        <v>84</v>
      </c>
      <c r="Y485" s="24" t="s">
        <v>93</v>
      </c>
    </row>
    <row r="486" spans="1:25" s="24" customFormat="1" ht="11.1" customHeight="1">
      <c r="A486" s="74">
        <f t="shared" si="55"/>
        <v>484</v>
      </c>
      <c r="B486" s="75" t="s">
        <v>309</v>
      </c>
      <c r="C486" s="74" t="str">
        <f>IF($B486&lt;&gt;"",_xlfn.IFNA(VLOOKUP($B486,'Node Details'!$B:$U,C$1,0),"Check"),"")</f>
        <v>0000AXY13-AXY130104</v>
      </c>
      <c r="D486" s="74" t="str">
        <f>IF($B486&lt;&gt;"",_xlfn.IFNA(VLOOKUP($B486,'Node Details'!$B:$U,D$1,0),"Check"),"")</f>
        <v>AXY</v>
      </c>
      <c r="E486" s="74" t="str">
        <f>IF($B486&lt;&gt;"",_xlfn.IFNA(VLOOKUP($B486,'Node Details'!$B:$U,E$1,0),"Check"),"")</f>
        <v>Airtel</v>
      </c>
      <c r="F486" s="76">
        <v>46113</v>
      </c>
      <c r="G486" s="74"/>
      <c r="H486" s="10" t="s">
        <v>1250</v>
      </c>
      <c r="I486" s="9">
        <v>2</v>
      </c>
      <c r="J486" s="9">
        <v>150</v>
      </c>
      <c r="K486" s="77">
        <f t="shared" si="54"/>
        <v>300</v>
      </c>
      <c r="L486" s="76">
        <v>46112</v>
      </c>
      <c r="N486" s="83"/>
      <c r="O486" s="84"/>
      <c r="P486" s="81">
        <f t="shared" si="49"/>
        <v>150</v>
      </c>
      <c r="Q486" s="81">
        <f t="shared" si="50"/>
        <v>300</v>
      </c>
      <c r="R486" s="81"/>
      <c r="S486" s="81"/>
      <c r="T486" s="85"/>
      <c r="U486" s="81">
        <f t="shared" si="51"/>
        <v>150</v>
      </c>
      <c r="V486" s="81">
        <f t="shared" si="52"/>
        <v>2</v>
      </c>
      <c r="W486" s="82">
        <f t="shared" si="53"/>
        <v>300</v>
      </c>
      <c r="X486" s="82" t="s">
        <v>84</v>
      </c>
      <c r="Y486" s="24" t="s">
        <v>93</v>
      </c>
    </row>
    <row r="487" spans="1:25" s="24" customFormat="1" ht="11.1" customHeight="1">
      <c r="A487" s="74">
        <f t="shared" si="55"/>
        <v>485</v>
      </c>
      <c r="B487" s="75" t="s">
        <v>1028</v>
      </c>
      <c r="C487" s="74" t="str">
        <f>IF($B487&lt;&gt;"",_xlfn.IFNA(VLOOKUP($B487,'Node Details'!$B:$U,C$1,0),"Check"),"")</f>
        <v>0000AXY13-AXY130108</v>
      </c>
      <c r="D487" s="74" t="str">
        <f>IF($B487&lt;&gt;"",_xlfn.IFNA(VLOOKUP($B487,'Node Details'!$B:$U,D$1,0),"Check"),"")</f>
        <v>AXY</v>
      </c>
      <c r="E487" s="74" t="str">
        <f>IF($B487&lt;&gt;"",_xlfn.IFNA(VLOOKUP($B487,'Node Details'!$B:$U,E$1,0),"Check"),"")</f>
        <v>Airtel</v>
      </c>
      <c r="F487" s="76">
        <v>46113</v>
      </c>
      <c r="G487" s="74"/>
      <c r="H487" s="10" t="s">
        <v>1250</v>
      </c>
      <c r="I487" s="9">
        <v>2</v>
      </c>
      <c r="J487" s="9">
        <v>150</v>
      </c>
      <c r="K487" s="77">
        <f t="shared" si="54"/>
        <v>300</v>
      </c>
      <c r="L487" s="76">
        <v>46112</v>
      </c>
      <c r="N487" s="83"/>
      <c r="O487" s="84"/>
      <c r="P487" s="81">
        <f t="shared" si="49"/>
        <v>150</v>
      </c>
      <c r="Q487" s="81">
        <f t="shared" si="50"/>
        <v>300</v>
      </c>
      <c r="R487" s="81"/>
      <c r="S487" s="81"/>
      <c r="T487" s="85"/>
      <c r="U487" s="81">
        <f t="shared" si="51"/>
        <v>150</v>
      </c>
      <c r="V487" s="81">
        <f t="shared" si="52"/>
        <v>2</v>
      </c>
      <c r="W487" s="82">
        <f t="shared" si="53"/>
        <v>300</v>
      </c>
      <c r="X487" s="82" t="s">
        <v>84</v>
      </c>
      <c r="Y487" s="24" t="s">
        <v>93</v>
      </c>
    </row>
    <row r="488" spans="1:25" s="24" customFormat="1" ht="11.1" customHeight="1">
      <c r="A488" s="74">
        <f t="shared" si="55"/>
        <v>486</v>
      </c>
      <c r="B488" s="75" t="s">
        <v>1029</v>
      </c>
      <c r="C488" s="74" t="str">
        <f>IF($B488&lt;&gt;"",_xlfn.IFNA(VLOOKUP($B488,'Node Details'!$B:$U,C$1,0),"Check"),"")</f>
        <v>0000AXY13-AXY130108</v>
      </c>
      <c r="D488" s="74" t="str">
        <f>IF($B488&lt;&gt;"",_xlfn.IFNA(VLOOKUP($B488,'Node Details'!$B:$U,D$1,0),"Check"),"")</f>
        <v>AXY</v>
      </c>
      <c r="E488" s="74" t="str">
        <f>IF($B488&lt;&gt;"",_xlfn.IFNA(VLOOKUP($B488,'Node Details'!$B:$U,E$1,0),"Check"),"")</f>
        <v>Airtel</v>
      </c>
      <c r="F488" s="76">
        <v>46113</v>
      </c>
      <c r="G488" s="74"/>
      <c r="H488" s="10" t="s">
        <v>1250</v>
      </c>
      <c r="I488" s="9">
        <v>2</v>
      </c>
      <c r="J488" s="9">
        <v>150</v>
      </c>
      <c r="K488" s="77">
        <f t="shared" si="54"/>
        <v>300</v>
      </c>
      <c r="L488" s="76">
        <v>46112</v>
      </c>
      <c r="N488" s="83"/>
      <c r="O488" s="84"/>
      <c r="P488" s="81">
        <f t="shared" si="49"/>
        <v>150</v>
      </c>
      <c r="Q488" s="81">
        <f t="shared" si="50"/>
        <v>300</v>
      </c>
      <c r="R488" s="81"/>
      <c r="S488" s="81"/>
      <c r="T488" s="85"/>
      <c r="U488" s="81">
        <f t="shared" si="51"/>
        <v>150</v>
      </c>
      <c r="V488" s="81">
        <f t="shared" si="52"/>
        <v>2</v>
      </c>
      <c r="W488" s="82">
        <f t="shared" si="53"/>
        <v>300</v>
      </c>
      <c r="X488" s="82" t="s">
        <v>84</v>
      </c>
      <c r="Y488" s="24" t="s">
        <v>93</v>
      </c>
    </row>
    <row r="489" spans="1:25" s="24" customFormat="1" ht="11.1" customHeight="1">
      <c r="A489" s="74">
        <f t="shared" si="55"/>
        <v>487</v>
      </c>
      <c r="B489" s="75" t="s">
        <v>1030</v>
      </c>
      <c r="C489" s="74" t="str">
        <f>IF($B489&lt;&gt;"",_xlfn.IFNA(VLOOKUP($B489,'Node Details'!$B:$U,C$1,0),"Check"),"")</f>
        <v>0000AXY13-AXY130108</v>
      </c>
      <c r="D489" s="74" t="str">
        <f>IF($B489&lt;&gt;"",_xlfn.IFNA(VLOOKUP($B489,'Node Details'!$B:$U,D$1,0),"Check"),"")</f>
        <v>AXY</v>
      </c>
      <c r="E489" s="74" t="str">
        <f>IF($B489&lt;&gt;"",_xlfn.IFNA(VLOOKUP($B489,'Node Details'!$B:$U,E$1,0),"Check"),"")</f>
        <v>Airtel</v>
      </c>
      <c r="F489" s="76">
        <v>46113</v>
      </c>
      <c r="G489" s="74"/>
      <c r="H489" s="10" t="s">
        <v>1250</v>
      </c>
      <c r="I489" s="9">
        <v>2</v>
      </c>
      <c r="J489" s="9">
        <v>150</v>
      </c>
      <c r="K489" s="77">
        <f t="shared" si="54"/>
        <v>300</v>
      </c>
      <c r="L489" s="76">
        <v>46112</v>
      </c>
      <c r="N489" s="83"/>
      <c r="O489" s="84"/>
      <c r="P489" s="81">
        <f t="shared" si="49"/>
        <v>150</v>
      </c>
      <c r="Q489" s="81">
        <f t="shared" si="50"/>
        <v>300</v>
      </c>
      <c r="R489" s="81"/>
      <c r="S489" s="81"/>
      <c r="T489" s="85"/>
      <c r="U489" s="81">
        <f t="shared" si="51"/>
        <v>150</v>
      </c>
      <c r="V489" s="81">
        <f t="shared" si="52"/>
        <v>2</v>
      </c>
      <c r="W489" s="82">
        <f t="shared" si="53"/>
        <v>300</v>
      </c>
      <c r="X489" s="82" t="s">
        <v>84</v>
      </c>
      <c r="Y489" s="24" t="s">
        <v>93</v>
      </c>
    </row>
    <row r="490" spans="1:25" s="24" customFormat="1" ht="11.1" customHeight="1">
      <c r="A490" s="74">
        <f t="shared" si="55"/>
        <v>488</v>
      </c>
      <c r="B490" s="75" t="s">
        <v>312</v>
      </c>
      <c r="C490" s="74" t="str">
        <f>IF($B490&lt;&gt;"",_xlfn.IFNA(VLOOKUP($B490,'Node Details'!$B:$U,C$1,0),"Check"),"")</f>
        <v>0000AXY13-AXY130108</v>
      </c>
      <c r="D490" s="74" t="str">
        <f>IF($B490&lt;&gt;"",_xlfn.IFNA(VLOOKUP($B490,'Node Details'!$B:$U,D$1,0),"Check"),"")</f>
        <v>AXY</v>
      </c>
      <c r="E490" s="74" t="str">
        <f>IF($B490&lt;&gt;"",_xlfn.IFNA(VLOOKUP($B490,'Node Details'!$B:$U,E$1,0),"Check"),"")</f>
        <v>Airtel</v>
      </c>
      <c r="F490" s="76">
        <v>46113</v>
      </c>
      <c r="G490" s="74"/>
      <c r="H490" s="10" t="s">
        <v>1250</v>
      </c>
      <c r="I490" s="9">
        <v>2</v>
      </c>
      <c r="J490" s="9">
        <v>150</v>
      </c>
      <c r="K490" s="77">
        <f t="shared" si="54"/>
        <v>300</v>
      </c>
      <c r="L490" s="76">
        <v>46112</v>
      </c>
      <c r="N490" s="83"/>
      <c r="O490" s="84"/>
      <c r="P490" s="81">
        <f t="shared" si="49"/>
        <v>150</v>
      </c>
      <c r="Q490" s="81">
        <f t="shared" si="50"/>
        <v>300</v>
      </c>
      <c r="R490" s="81"/>
      <c r="S490" s="81"/>
      <c r="T490" s="85"/>
      <c r="U490" s="81">
        <f t="shared" si="51"/>
        <v>150</v>
      </c>
      <c r="V490" s="81">
        <f t="shared" si="52"/>
        <v>2</v>
      </c>
      <c r="W490" s="82">
        <f t="shared" si="53"/>
        <v>300</v>
      </c>
      <c r="X490" s="82" t="s">
        <v>84</v>
      </c>
      <c r="Y490" s="24" t="s">
        <v>93</v>
      </c>
    </row>
    <row r="491" spans="1:25" s="24" customFormat="1" ht="11.1" customHeight="1">
      <c r="A491" s="74">
        <f t="shared" si="55"/>
        <v>489</v>
      </c>
      <c r="B491" s="75" t="s">
        <v>1031</v>
      </c>
      <c r="C491" s="74" t="str">
        <f>IF($B491&lt;&gt;"",_xlfn.IFNA(VLOOKUP($B491,'Node Details'!$B:$U,C$1,0),"Check"),"")</f>
        <v>000000AXY-0000AXY17</v>
      </c>
      <c r="D491" s="74" t="str">
        <f>IF($B491&lt;&gt;"",_xlfn.IFNA(VLOOKUP($B491,'Node Details'!$B:$U,D$1,0),"Check"),"")</f>
        <v>AXY</v>
      </c>
      <c r="E491" s="74" t="str">
        <f>IF($B491&lt;&gt;"",_xlfn.IFNA(VLOOKUP($B491,'Node Details'!$B:$U,E$1,0),"Check"),"")</f>
        <v>Airtel</v>
      </c>
      <c r="F491" s="76">
        <v>46113</v>
      </c>
      <c r="G491" s="74"/>
      <c r="H491" s="10" t="s">
        <v>1250</v>
      </c>
      <c r="I491" s="9">
        <v>2</v>
      </c>
      <c r="J491" s="9">
        <v>150</v>
      </c>
      <c r="K491" s="77">
        <f t="shared" si="54"/>
        <v>300</v>
      </c>
      <c r="L491" s="76">
        <v>46112</v>
      </c>
      <c r="N491" s="83"/>
      <c r="O491" s="84"/>
      <c r="P491" s="81">
        <f t="shared" si="49"/>
        <v>150</v>
      </c>
      <c r="Q491" s="81">
        <f t="shared" si="50"/>
        <v>300</v>
      </c>
      <c r="R491" s="81"/>
      <c r="S491" s="81"/>
      <c r="T491" s="85"/>
      <c r="U491" s="81">
        <f t="shared" si="51"/>
        <v>150</v>
      </c>
      <c r="V491" s="81">
        <f t="shared" si="52"/>
        <v>2</v>
      </c>
      <c r="W491" s="82">
        <f t="shared" si="53"/>
        <v>300</v>
      </c>
      <c r="X491" s="82" t="s">
        <v>84</v>
      </c>
      <c r="Y491" s="24" t="s">
        <v>93</v>
      </c>
    </row>
    <row r="492" spans="1:25" s="24" customFormat="1" ht="11.1" customHeight="1">
      <c r="A492" s="74">
        <f t="shared" si="55"/>
        <v>490</v>
      </c>
      <c r="B492" s="75" t="s">
        <v>316</v>
      </c>
      <c r="C492" s="74" t="str">
        <f>IF($B492&lt;&gt;"",_xlfn.IFNA(VLOOKUP($B492,'Node Details'!$B:$U,C$1,0),"Check"),"")</f>
        <v>0000AXY14-AXY140102</v>
      </c>
      <c r="D492" s="74" t="str">
        <f>IF($B492&lt;&gt;"",_xlfn.IFNA(VLOOKUP($B492,'Node Details'!$B:$U,D$1,0),"Check"),"")</f>
        <v>AXY</v>
      </c>
      <c r="E492" s="74" t="str">
        <f>IF($B492&lt;&gt;"",_xlfn.IFNA(VLOOKUP($B492,'Node Details'!$B:$U,E$1,0),"Check"),"")</f>
        <v>Airtel</v>
      </c>
      <c r="F492" s="76">
        <v>46113</v>
      </c>
      <c r="G492" s="74"/>
      <c r="H492" s="10" t="s">
        <v>1250</v>
      </c>
      <c r="I492" s="9">
        <v>2</v>
      </c>
      <c r="J492" s="9">
        <v>150</v>
      </c>
      <c r="K492" s="77">
        <f t="shared" si="54"/>
        <v>300</v>
      </c>
      <c r="L492" s="76">
        <v>46112</v>
      </c>
      <c r="N492" s="83"/>
      <c r="O492" s="84"/>
      <c r="P492" s="81">
        <f t="shared" si="49"/>
        <v>150</v>
      </c>
      <c r="Q492" s="81">
        <f t="shared" si="50"/>
        <v>300</v>
      </c>
      <c r="R492" s="81"/>
      <c r="S492" s="81"/>
      <c r="T492" s="85"/>
      <c r="U492" s="81">
        <f t="shared" si="51"/>
        <v>150</v>
      </c>
      <c r="V492" s="81">
        <f t="shared" si="52"/>
        <v>2</v>
      </c>
      <c r="W492" s="82">
        <f t="shared" si="53"/>
        <v>300</v>
      </c>
      <c r="X492" s="82" t="s">
        <v>84</v>
      </c>
      <c r="Y492" s="24" t="s">
        <v>93</v>
      </c>
    </row>
    <row r="493" spans="1:25" s="24" customFormat="1" ht="11.1" customHeight="1">
      <c r="A493" s="74">
        <f t="shared" si="55"/>
        <v>491</v>
      </c>
      <c r="B493" s="75" t="s">
        <v>319</v>
      </c>
      <c r="C493" s="74" t="str">
        <f>IF($B493&lt;&gt;"",_xlfn.IFNA(VLOOKUP($B493,'Node Details'!$B:$U,C$1,0),"Check"),"")</f>
        <v>0000AXY14-AXY140101</v>
      </c>
      <c r="D493" s="74" t="str">
        <f>IF($B493&lt;&gt;"",_xlfn.IFNA(VLOOKUP($B493,'Node Details'!$B:$U,D$1,0),"Check"),"")</f>
        <v>AXY</v>
      </c>
      <c r="E493" s="74" t="str">
        <f>IF($B493&lt;&gt;"",_xlfn.IFNA(VLOOKUP($B493,'Node Details'!$B:$U,E$1,0),"Check"),"")</f>
        <v>Airtel</v>
      </c>
      <c r="F493" s="76">
        <v>46113</v>
      </c>
      <c r="G493" s="74"/>
      <c r="H493" s="10" t="s">
        <v>1250</v>
      </c>
      <c r="I493" s="9">
        <v>2</v>
      </c>
      <c r="J493" s="9">
        <v>150</v>
      </c>
      <c r="K493" s="77">
        <f t="shared" si="54"/>
        <v>300</v>
      </c>
      <c r="L493" s="76">
        <v>46112</v>
      </c>
      <c r="N493" s="83"/>
      <c r="O493" s="84"/>
      <c r="P493" s="81">
        <f t="shared" si="49"/>
        <v>150</v>
      </c>
      <c r="Q493" s="81">
        <f t="shared" si="50"/>
        <v>300</v>
      </c>
      <c r="R493" s="81"/>
      <c r="S493" s="81"/>
      <c r="T493" s="85"/>
      <c r="U493" s="81">
        <f t="shared" si="51"/>
        <v>150</v>
      </c>
      <c r="V493" s="81">
        <f t="shared" si="52"/>
        <v>2</v>
      </c>
      <c r="W493" s="82">
        <f t="shared" si="53"/>
        <v>300</v>
      </c>
      <c r="X493" s="82" t="s">
        <v>84</v>
      </c>
      <c r="Y493" s="24" t="s">
        <v>93</v>
      </c>
    </row>
    <row r="494" spans="1:25" s="24" customFormat="1" ht="11.1" customHeight="1">
      <c r="A494" s="74">
        <f t="shared" si="55"/>
        <v>492</v>
      </c>
      <c r="B494" s="75" t="s">
        <v>1032</v>
      </c>
      <c r="C494" s="74" t="str">
        <f>IF($B494&lt;&gt;"",_xlfn.IFNA(VLOOKUP($B494,'Node Details'!$B:$U,C$1,0),"Check"),"")</f>
        <v>0000AXY14-AXY140202</v>
      </c>
      <c r="D494" s="74" t="str">
        <f>IF($B494&lt;&gt;"",_xlfn.IFNA(VLOOKUP($B494,'Node Details'!$B:$U,D$1,0),"Check"),"")</f>
        <v>AXY</v>
      </c>
      <c r="E494" s="74" t="str">
        <f>IF($B494&lt;&gt;"",_xlfn.IFNA(VLOOKUP($B494,'Node Details'!$B:$U,E$1,0),"Check"),"")</f>
        <v>Airtel</v>
      </c>
      <c r="F494" s="76">
        <v>46113</v>
      </c>
      <c r="G494" s="74"/>
      <c r="H494" s="10" t="s">
        <v>1250</v>
      </c>
      <c r="I494" s="9">
        <v>2</v>
      </c>
      <c r="J494" s="9">
        <v>150</v>
      </c>
      <c r="K494" s="77">
        <f t="shared" si="54"/>
        <v>300</v>
      </c>
      <c r="L494" s="76">
        <v>46112</v>
      </c>
      <c r="N494" s="83"/>
      <c r="O494" s="84"/>
      <c r="P494" s="81">
        <f t="shared" si="49"/>
        <v>150</v>
      </c>
      <c r="Q494" s="81">
        <f t="shared" si="50"/>
        <v>300</v>
      </c>
      <c r="R494" s="81"/>
      <c r="S494" s="81"/>
      <c r="T494" s="85"/>
      <c r="U494" s="81">
        <f t="shared" si="51"/>
        <v>150</v>
      </c>
      <c r="V494" s="81">
        <f t="shared" si="52"/>
        <v>2</v>
      </c>
      <c r="W494" s="82">
        <f t="shared" si="53"/>
        <v>300</v>
      </c>
      <c r="X494" s="82" t="s">
        <v>84</v>
      </c>
      <c r="Y494" s="24" t="s">
        <v>93</v>
      </c>
    </row>
    <row r="495" spans="1:25" s="24" customFormat="1" ht="11.1" customHeight="1">
      <c r="A495" s="74">
        <f t="shared" si="55"/>
        <v>493</v>
      </c>
      <c r="B495" s="75" t="s">
        <v>1033</v>
      </c>
      <c r="C495" s="74" t="str">
        <f>IF($B495&lt;&gt;"",_xlfn.IFNA(VLOOKUP($B495,'Node Details'!$B:$U,C$1,0),"Check"),"")</f>
        <v>0000AXY14-AXY140202</v>
      </c>
      <c r="D495" s="74" t="str">
        <f>IF($B495&lt;&gt;"",_xlfn.IFNA(VLOOKUP($B495,'Node Details'!$B:$U,D$1,0),"Check"),"")</f>
        <v>AXY</v>
      </c>
      <c r="E495" s="74" t="str">
        <f>IF($B495&lt;&gt;"",_xlfn.IFNA(VLOOKUP($B495,'Node Details'!$B:$U,E$1,0),"Check"),"")</f>
        <v>Airtel</v>
      </c>
      <c r="F495" s="76">
        <v>46113</v>
      </c>
      <c r="G495" s="74"/>
      <c r="H495" s="10" t="s">
        <v>1250</v>
      </c>
      <c r="I495" s="9">
        <v>2</v>
      </c>
      <c r="J495" s="9">
        <v>150</v>
      </c>
      <c r="K495" s="77">
        <f t="shared" si="54"/>
        <v>300</v>
      </c>
      <c r="L495" s="76">
        <v>46112</v>
      </c>
      <c r="N495" s="83"/>
      <c r="O495" s="84"/>
      <c r="P495" s="81">
        <f t="shared" ref="P495:P526" si="56">J495</f>
        <v>150</v>
      </c>
      <c r="Q495" s="81">
        <f t="shared" ref="Q495:Q526" si="57">P495*I495</f>
        <v>300</v>
      </c>
      <c r="R495" s="81"/>
      <c r="S495" s="81"/>
      <c r="T495" s="85"/>
      <c r="U495" s="81">
        <f t="shared" ref="U495:U526" si="58">J495</f>
        <v>150</v>
      </c>
      <c r="V495" s="81">
        <f t="shared" ref="V495:V526" si="59">I495</f>
        <v>2</v>
      </c>
      <c r="W495" s="82">
        <f t="shared" ref="W495:W526" si="60">IF(V495&lt;&gt;"",V495*U495,0)</f>
        <v>300</v>
      </c>
      <c r="X495" s="82" t="s">
        <v>84</v>
      </c>
      <c r="Y495" s="24" t="s">
        <v>93</v>
      </c>
    </row>
    <row r="496" spans="1:25" s="24" customFormat="1" ht="11.1" customHeight="1">
      <c r="A496" s="74">
        <f t="shared" si="55"/>
        <v>494</v>
      </c>
      <c r="B496" s="75" t="s">
        <v>322</v>
      </c>
      <c r="C496" s="74" t="str">
        <f>IF($B496&lt;&gt;"",_xlfn.IFNA(VLOOKUP($B496,'Node Details'!$B:$U,C$1,0),"Check"),"")</f>
        <v>0000AXY14-AXY140202</v>
      </c>
      <c r="D496" s="74" t="str">
        <f>IF($B496&lt;&gt;"",_xlfn.IFNA(VLOOKUP($B496,'Node Details'!$B:$U,D$1,0),"Check"),"")</f>
        <v>AXY</v>
      </c>
      <c r="E496" s="74" t="str">
        <f>IF($B496&lt;&gt;"",_xlfn.IFNA(VLOOKUP($B496,'Node Details'!$B:$U,E$1,0),"Check"),"")</f>
        <v>Airtel</v>
      </c>
      <c r="F496" s="76">
        <v>46113</v>
      </c>
      <c r="G496" s="74"/>
      <c r="H496" s="10" t="s">
        <v>1250</v>
      </c>
      <c r="I496" s="9">
        <v>2</v>
      </c>
      <c r="J496" s="9">
        <v>150</v>
      </c>
      <c r="K496" s="77">
        <f t="shared" ref="K496:K526" si="61">IF(I496&lt;&gt;"",J496*I496,0)</f>
        <v>300</v>
      </c>
      <c r="L496" s="76">
        <v>46112</v>
      </c>
      <c r="N496" s="83"/>
      <c r="O496" s="84"/>
      <c r="P496" s="81">
        <f t="shared" si="56"/>
        <v>150</v>
      </c>
      <c r="Q496" s="81">
        <f t="shared" si="57"/>
        <v>300</v>
      </c>
      <c r="R496" s="81"/>
      <c r="S496" s="81"/>
      <c r="T496" s="85"/>
      <c r="U496" s="81">
        <f t="shared" si="58"/>
        <v>150</v>
      </c>
      <c r="V496" s="81">
        <f t="shared" si="59"/>
        <v>2</v>
      </c>
      <c r="W496" s="82">
        <f t="shared" si="60"/>
        <v>300</v>
      </c>
      <c r="X496" s="82" t="s">
        <v>84</v>
      </c>
      <c r="Y496" s="24" t="s">
        <v>93</v>
      </c>
    </row>
    <row r="497" spans="1:25" s="24" customFormat="1" ht="11.1" customHeight="1">
      <c r="A497" s="74">
        <f t="shared" si="55"/>
        <v>495</v>
      </c>
      <c r="B497" s="75" t="s">
        <v>326</v>
      </c>
      <c r="C497" s="74" t="str">
        <f>IF($B497&lt;&gt;"",_xlfn.IFNA(VLOOKUP($B497,'Node Details'!$B:$U,C$1,0),"Check"),"")</f>
        <v>AXY140202-AXY140203</v>
      </c>
      <c r="D497" s="74" t="str">
        <f>IF($B497&lt;&gt;"",_xlfn.IFNA(VLOOKUP($B497,'Node Details'!$B:$U,D$1,0),"Check"),"")</f>
        <v>AXY</v>
      </c>
      <c r="E497" s="74" t="str">
        <f>IF($B497&lt;&gt;"",_xlfn.IFNA(VLOOKUP($B497,'Node Details'!$B:$U,E$1,0),"Check"),"")</f>
        <v>Airtel</v>
      </c>
      <c r="F497" s="76">
        <v>46113</v>
      </c>
      <c r="G497" s="74"/>
      <c r="H497" s="10" t="s">
        <v>1250</v>
      </c>
      <c r="I497" s="9">
        <v>2</v>
      </c>
      <c r="J497" s="9">
        <v>150</v>
      </c>
      <c r="K497" s="77">
        <f t="shared" si="61"/>
        <v>300</v>
      </c>
      <c r="L497" s="76">
        <v>46112</v>
      </c>
      <c r="N497" s="83"/>
      <c r="O497" s="84"/>
      <c r="P497" s="81">
        <f t="shared" si="56"/>
        <v>150</v>
      </c>
      <c r="Q497" s="81">
        <f t="shared" si="57"/>
        <v>300</v>
      </c>
      <c r="R497" s="81"/>
      <c r="S497" s="81"/>
      <c r="T497" s="85"/>
      <c r="U497" s="81">
        <f t="shared" si="58"/>
        <v>150</v>
      </c>
      <c r="V497" s="81">
        <f t="shared" si="59"/>
        <v>2</v>
      </c>
      <c r="W497" s="82">
        <f t="shared" si="60"/>
        <v>300</v>
      </c>
      <c r="X497" s="82" t="s">
        <v>84</v>
      </c>
      <c r="Y497" s="24" t="s">
        <v>93</v>
      </c>
    </row>
    <row r="498" spans="1:25" s="24" customFormat="1" ht="11.1" customHeight="1">
      <c r="A498" s="74">
        <f t="shared" si="55"/>
        <v>496</v>
      </c>
      <c r="B498" s="75" t="s">
        <v>1034</v>
      </c>
      <c r="C498" s="74" t="str">
        <f>IF($B498&lt;&gt;"",_xlfn.IFNA(VLOOKUP($B498,'Node Details'!$B:$U,C$1,0),"Check"),"")</f>
        <v>AXY140108-AXY140104</v>
      </c>
      <c r="D498" s="74" t="str">
        <f>IF($B498&lt;&gt;"",_xlfn.IFNA(VLOOKUP($B498,'Node Details'!$B:$U,D$1,0),"Check"),"")</f>
        <v>AXY</v>
      </c>
      <c r="E498" s="74" t="str">
        <f>IF($B498&lt;&gt;"",_xlfn.IFNA(VLOOKUP($B498,'Node Details'!$B:$U,E$1,0),"Check"),"")</f>
        <v>Airtel</v>
      </c>
      <c r="F498" s="76">
        <v>46113</v>
      </c>
      <c r="G498" s="74"/>
      <c r="H498" s="10" t="s">
        <v>1250</v>
      </c>
      <c r="I498" s="9">
        <v>2</v>
      </c>
      <c r="J498" s="9">
        <v>150</v>
      </c>
      <c r="K498" s="77">
        <f t="shared" si="61"/>
        <v>300</v>
      </c>
      <c r="L498" s="76">
        <v>46112</v>
      </c>
      <c r="N498" s="83"/>
      <c r="O498" s="84"/>
      <c r="P498" s="81">
        <f t="shared" si="56"/>
        <v>150</v>
      </c>
      <c r="Q498" s="81">
        <f t="shared" si="57"/>
        <v>300</v>
      </c>
      <c r="R498" s="81"/>
      <c r="S498" s="81"/>
      <c r="T498" s="85"/>
      <c r="U498" s="81">
        <f t="shared" si="58"/>
        <v>150</v>
      </c>
      <c r="V498" s="81">
        <f t="shared" si="59"/>
        <v>2</v>
      </c>
      <c r="W498" s="82">
        <f t="shared" si="60"/>
        <v>300</v>
      </c>
      <c r="X498" s="82" t="s">
        <v>84</v>
      </c>
      <c r="Y498" s="24" t="s">
        <v>93</v>
      </c>
    </row>
    <row r="499" spans="1:25" s="24" customFormat="1" ht="11.1" customHeight="1">
      <c r="A499" s="74">
        <f t="shared" si="55"/>
        <v>497</v>
      </c>
      <c r="B499" s="75" t="s">
        <v>1035</v>
      </c>
      <c r="C499" s="74" t="str">
        <f>IF($B499&lt;&gt;"",_xlfn.IFNA(VLOOKUP($B499,'Node Details'!$B:$U,C$1,0),"Check"),"")</f>
        <v>AXY140108-AXY140104</v>
      </c>
      <c r="D499" s="74" t="str">
        <f>IF($B499&lt;&gt;"",_xlfn.IFNA(VLOOKUP($B499,'Node Details'!$B:$U,D$1,0),"Check"),"")</f>
        <v>AXY</v>
      </c>
      <c r="E499" s="74" t="str">
        <f>IF($B499&lt;&gt;"",_xlfn.IFNA(VLOOKUP($B499,'Node Details'!$B:$U,E$1,0),"Check"),"")</f>
        <v>Airtel</v>
      </c>
      <c r="F499" s="76">
        <v>46113</v>
      </c>
      <c r="G499" s="74"/>
      <c r="H499" s="10" t="s">
        <v>1250</v>
      </c>
      <c r="I499" s="9">
        <v>2</v>
      </c>
      <c r="J499" s="9">
        <v>150</v>
      </c>
      <c r="K499" s="77">
        <f t="shared" si="61"/>
        <v>300</v>
      </c>
      <c r="L499" s="76">
        <v>46112</v>
      </c>
      <c r="N499" s="83"/>
      <c r="O499" s="84"/>
      <c r="P499" s="81">
        <f t="shared" si="56"/>
        <v>150</v>
      </c>
      <c r="Q499" s="81">
        <f t="shared" si="57"/>
        <v>300</v>
      </c>
      <c r="R499" s="81"/>
      <c r="S499" s="81"/>
      <c r="T499" s="85"/>
      <c r="U499" s="81">
        <f t="shared" si="58"/>
        <v>150</v>
      </c>
      <c r="V499" s="81">
        <f t="shared" si="59"/>
        <v>2</v>
      </c>
      <c r="W499" s="82">
        <f t="shared" si="60"/>
        <v>300</v>
      </c>
      <c r="X499" s="82" t="s">
        <v>84</v>
      </c>
      <c r="Y499" s="24" t="s">
        <v>93</v>
      </c>
    </row>
    <row r="500" spans="1:25" s="24" customFormat="1" ht="11.1" customHeight="1">
      <c r="A500" s="74">
        <f t="shared" si="55"/>
        <v>498</v>
      </c>
      <c r="B500" s="75" t="s">
        <v>1036</v>
      </c>
      <c r="C500" s="74" t="str">
        <f>IF($B500&lt;&gt;"",_xlfn.IFNA(VLOOKUP($B500,'Node Details'!$B:$U,C$1,0),"Check"),"")</f>
        <v>AXY140108-AXY140104</v>
      </c>
      <c r="D500" s="74" t="str">
        <f>IF($B500&lt;&gt;"",_xlfn.IFNA(VLOOKUP($B500,'Node Details'!$B:$U,D$1,0),"Check"),"")</f>
        <v>AXY</v>
      </c>
      <c r="E500" s="74" t="str">
        <f>IF($B500&lt;&gt;"",_xlfn.IFNA(VLOOKUP($B500,'Node Details'!$B:$U,E$1,0),"Check"),"")</f>
        <v>Airtel</v>
      </c>
      <c r="F500" s="76">
        <v>46113</v>
      </c>
      <c r="G500" s="74"/>
      <c r="H500" s="10" t="s">
        <v>1250</v>
      </c>
      <c r="I500" s="9">
        <v>2</v>
      </c>
      <c r="J500" s="9">
        <v>150</v>
      </c>
      <c r="K500" s="77">
        <f t="shared" si="61"/>
        <v>300</v>
      </c>
      <c r="L500" s="76">
        <v>46112</v>
      </c>
      <c r="N500" s="83"/>
      <c r="O500" s="84"/>
      <c r="P500" s="81">
        <f t="shared" si="56"/>
        <v>150</v>
      </c>
      <c r="Q500" s="81">
        <f t="shared" si="57"/>
        <v>300</v>
      </c>
      <c r="R500" s="81"/>
      <c r="S500" s="81"/>
      <c r="T500" s="85"/>
      <c r="U500" s="81">
        <f t="shared" si="58"/>
        <v>150</v>
      </c>
      <c r="V500" s="81">
        <f t="shared" si="59"/>
        <v>2</v>
      </c>
      <c r="W500" s="82">
        <f t="shared" si="60"/>
        <v>300</v>
      </c>
      <c r="X500" s="82" t="s">
        <v>84</v>
      </c>
      <c r="Y500" s="24" t="s">
        <v>93</v>
      </c>
    </row>
    <row r="501" spans="1:25" s="24" customFormat="1" ht="11.1" customHeight="1">
      <c r="A501" s="74">
        <f t="shared" si="55"/>
        <v>499</v>
      </c>
      <c r="B501" s="75" t="s">
        <v>330</v>
      </c>
      <c r="C501" s="74" t="str">
        <f>IF($B501&lt;&gt;"",_xlfn.IFNA(VLOOKUP($B501,'Node Details'!$B:$U,C$1,0),"Check"),"")</f>
        <v>AXY140108-AXY140104</v>
      </c>
      <c r="D501" s="74" t="str">
        <f>IF($B501&lt;&gt;"",_xlfn.IFNA(VLOOKUP($B501,'Node Details'!$B:$U,D$1,0),"Check"),"")</f>
        <v>AXY</v>
      </c>
      <c r="E501" s="74" t="str">
        <f>IF($B501&lt;&gt;"",_xlfn.IFNA(VLOOKUP($B501,'Node Details'!$B:$U,E$1,0),"Check"),"")</f>
        <v>Airtel</v>
      </c>
      <c r="F501" s="76">
        <v>46113</v>
      </c>
      <c r="G501" s="74"/>
      <c r="H501" s="10" t="s">
        <v>1250</v>
      </c>
      <c r="I501" s="9">
        <v>2</v>
      </c>
      <c r="J501" s="9">
        <v>150</v>
      </c>
      <c r="K501" s="77">
        <f t="shared" si="61"/>
        <v>300</v>
      </c>
      <c r="L501" s="76">
        <v>46112</v>
      </c>
      <c r="N501" s="83"/>
      <c r="O501" s="84"/>
      <c r="P501" s="81">
        <f t="shared" si="56"/>
        <v>150</v>
      </c>
      <c r="Q501" s="81">
        <f t="shared" si="57"/>
        <v>300</v>
      </c>
      <c r="R501" s="81"/>
      <c r="S501" s="81"/>
      <c r="T501" s="85"/>
      <c r="U501" s="81">
        <f t="shared" si="58"/>
        <v>150</v>
      </c>
      <c r="V501" s="81">
        <f t="shared" si="59"/>
        <v>2</v>
      </c>
      <c r="W501" s="82">
        <f t="shared" si="60"/>
        <v>300</v>
      </c>
      <c r="X501" s="82" t="s">
        <v>84</v>
      </c>
      <c r="Y501" s="24" t="s">
        <v>93</v>
      </c>
    </row>
    <row r="502" spans="1:25" s="24" customFormat="1" ht="11.1" customHeight="1">
      <c r="A502" s="74">
        <f t="shared" si="55"/>
        <v>500</v>
      </c>
      <c r="B502" s="75" t="s">
        <v>1037</v>
      </c>
      <c r="C502" s="74" t="str">
        <f>IF($B502&lt;&gt;"",_xlfn.IFNA(VLOOKUP($B502,'Node Details'!$B:$U,C$1,0),"Check"),"")</f>
        <v>000000AXY-0000AXY17</v>
      </c>
      <c r="D502" s="74" t="str">
        <f>IF($B502&lt;&gt;"",_xlfn.IFNA(VLOOKUP($B502,'Node Details'!$B:$U,D$1,0),"Check"),"")</f>
        <v>AXY</v>
      </c>
      <c r="E502" s="74" t="str">
        <f>IF($B502&lt;&gt;"",_xlfn.IFNA(VLOOKUP($B502,'Node Details'!$B:$U,E$1,0),"Check"),"")</f>
        <v>Airtel</v>
      </c>
      <c r="F502" s="76">
        <v>46113</v>
      </c>
      <c r="G502" s="74"/>
      <c r="H502" s="10" t="s">
        <v>1250</v>
      </c>
      <c r="I502" s="9">
        <v>2</v>
      </c>
      <c r="J502" s="9">
        <v>150</v>
      </c>
      <c r="K502" s="77">
        <f t="shared" si="61"/>
        <v>300</v>
      </c>
      <c r="L502" s="76">
        <v>46112</v>
      </c>
      <c r="N502" s="83"/>
      <c r="O502" s="84"/>
      <c r="P502" s="81">
        <f t="shared" si="56"/>
        <v>150</v>
      </c>
      <c r="Q502" s="81">
        <f t="shared" si="57"/>
        <v>300</v>
      </c>
      <c r="R502" s="81"/>
      <c r="S502" s="81"/>
      <c r="T502" s="85"/>
      <c r="U502" s="81">
        <f t="shared" si="58"/>
        <v>150</v>
      </c>
      <c r="V502" s="81">
        <f t="shared" si="59"/>
        <v>2</v>
      </c>
      <c r="W502" s="82">
        <f t="shared" si="60"/>
        <v>300</v>
      </c>
      <c r="X502" s="82" t="s">
        <v>84</v>
      </c>
      <c r="Y502" s="24" t="s">
        <v>93</v>
      </c>
    </row>
    <row r="503" spans="1:25" s="24" customFormat="1" ht="11.1" customHeight="1">
      <c r="A503" s="74">
        <f t="shared" si="55"/>
        <v>501</v>
      </c>
      <c r="B503" s="75" t="s">
        <v>1038</v>
      </c>
      <c r="C503" s="74" t="str">
        <f>IF($B503&lt;&gt;"",_xlfn.IFNA(VLOOKUP($B503,'Node Details'!$B:$U,C$1,0),"Check"),"")</f>
        <v>0000AXY15-AXY150103</v>
      </c>
      <c r="D503" s="74" t="str">
        <f>IF($B503&lt;&gt;"",_xlfn.IFNA(VLOOKUP($B503,'Node Details'!$B:$U,D$1,0),"Check"),"")</f>
        <v>AXY</v>
      </c>
      <c r="E503" s="74" t="str">
        <f>IF($B503&lt;&gt;"",_xlfn.IFNA(VLOOKUP($B503,'Node Details'!$B:$U,E$1,0),"Check"),"")</f>
        <v>Airtel</v>
      </c>
      <c r="F503" s="76">
        <v>46113</v>
      </c>
      <c r="G503" s="74"/>
      <c r="H503" s="10" t="s">
        <v>1250</v>
      </c>
      <c r="I503" s="9">
        <v>2</v>
      </c>
      <c r="J503" s="9">
        <v>150</v>
      </c>
      <c r="K503" s="77">
        <f t="shared" si="61"/>
        <v>300</v>
      </c>
      <c r="L503" s="76">
        <v>46112</v>
      </c>
      <c r="N503" s="83"/>
      <c r="O503" s="84"/>
      <c r="P503" s="81">
        <f t="shared" si="56"/>
        <v>150</v>
      </c>
      <c r="Q503" s="81">
        <f t="shared" si="57"/>
        <v>300</v>
      </c>
      <c r="R503" s="81"/>
      <c r="S503" s="81"/>
      <c r="T503" s="85"/>
      <c r="U503" s="81">
        <f t="shared" si="58"/>
        <v>150</v>
      </c>
      <c r="V503" s="81">
        <f t="shared" si="59"/>
        <v>2</v>
      </c>
      <c r="W503" s="82">
        <f t="shared" si="60"/>
        <v>300</v>
      </c>
      <c r="X503" s="82" t="s">
        <v>84</v>
      </c>
      <c r="Y503" s="24" t="s">
        <v>93</v>
      </c>
    </row>
    <row r="504" spans="1:25" s="24" customFormat="1" ht="11.1" customHeight="1">
      <c r="A504" s="74">
        <f t="shared" si="55"/>
        <v>502</v>
      </c>
      <c r="B504" s="75" t="s">
        <v>1039</v>
      </c>
      <c r="C504" s="74" t="str">
        <f>IF($B504&lt;&gt;"",_xlfn.IFNA(VLOOKUP($B504,'Node Details'!$B:$U,C$1,0),"Check"),"")</f>
        <v>0000AXY15-AXY150103</v>
      </c>
      <c r="D504" s="74" t="str">
        <f>IF($B504&lt;&gt;"",_xlfn.IFNA(VLOOKUP($B504,'Node Details'!$B:$U,D$1,0),"Check"),"")</f>
        <v>AXY</v>
      </c>
      <c r="E504" s="74" t="str">
        <f>IF($B504&lt;&gt;"",_xlfn.IFNA(VLOOKUP($B504,'Node Details'!$B:$U,E$1,0),"Check"),"")</f>
        <v>Airtel</v>
      </c>
      <c r="F504" s="76">
        <v>46113</v>
      </c>
      <c r="G504" s="74"/>
      <c r="H504" s="10" t="s">
        <v>1250</v>
      </c>
      <c r="I504" s="9">
        <v>2</v>
      </c>
      <c r="J504" s="9">
        <v>150</v>
      </c>
      <c r="K504" s="77">
        <f t="shared" si="61"/>
        <v>300</v>
      </c>
      <c r="L504" s="76">
        <v>46112</v>
      </c>
      <c r="N504" s="83"/>
      <c r="O504" s="84"/>
      <c r="P504" s="81">
        <f t="shared" si="56"/>
        <v>150</v>
      </c>
      <c r="Q504" s="81">
        <f t="shared" si="57"/>
        <v>300</v>
      </c>
      <c r="R504" s="81"/>
      <c r="S504" s="81"/>
      <c r="T504" s="85"/>
      <c r="U504" s="81">
        <f t="shared" si="58"/>
        <v>150</v>
      </c>
      <c r="V504" s="81">
        <f t="shared" si="59"/>
        <v>2</v>
      </c>
      <c r="W504" s="82">
        <f t="shared" si="60"/>
        <v>300</v>
      </c>
      <c r="X504" s="82" t="s">
        <v>84</v>
      </c>
      <c r="Y504" s="24" t="s">
        <v>93</v>
      </c>
    </row>
    <row r="505" spans="1:25" s="24" customFormat="1" ht="11.1" customHeight="1">
      <c r="A505" s="74">
        <f t="shared" si="55"/>
        <v>503</v>
      </c>
      <c r="B505" s="75" t="s">
        <v>335</v>
      </c>
      <c r="C505" s="74" t="str">
        <f>IF($B505&lt;&gt;"",_xlfn.IFNA(VLOOKUP($B505,'Node Details'!$B:$U,C$1,0),"Check"),"")</f>
        <v>0000AXY15-AXY150103</v>
      </c>
      <c r="D505" s="74" t="str">
        <f>IF($B505&lt;&gt;"",_xlfn.IFNA(VLOOKUP($B505,'Node Details'!$B:$U,D$1,0),"Check"),"")</f>
        <v>AXY</v>
      </c>
      <c r="E505" s="74" t="str">
        <f>IF($B505&lt;&gt;"",_xlfn.IFNA(VLOOKUP($B505,'Node Details'!$B:$U,E$1,0),"Check"),"")</f>
        <v>Airtel</v>
      </c>
      <c r="F505" s="76">
        <v>46113</v>
      </c>
      <c r="G505" s="74"/>
      <c r="H505" s="10" t="s">
        <v>1250</v>
      </c>
      <c r="I505" s="9">
        <v>2</v>
      </c>
      <c r="J505" s="9">
        <v>150</v>
      </c>
      <c r="K505" s="77">
        <f t="shared" si="61"/>
        <v>300</v>
      </c>
      <c r="L505" s="76">
        <v>46112</v>
      </c>
      <c r="N505" s="83"/>
      <c r="O505" s="84"/>
      <c r="P505" s="81">
        <f t="shared" si="56"/>
        <v>150</v>
      </c>
      <c r="Q505" s="81">
        <f t="shared" si="57"/>
        <v>300</v>
      </c>
      <c r="R505" s="81"/>
      <c r="S505" s="81"/>
      <c r="T505" s="85"/>
      <c r="U505" s="81">
        <f t="shared" si="58"/>
        <v>150</v>
      </c>
      <c r="V505" s="81">
        <f t="shared" si="59"/>
        <v>2</v>
      </c>
      <c r="W505" s="82">
        <f t="shared" si="60"/>
        <v>300</v>
      </c>
      <c r="X505" s="82" t="s">
        <v>84</v>
      </c>
      <c r="Y505" s="24" t="s">
        <v>93</v>
      </c>
    </row>
    <row r="506" spans="1:25" s="24" customFormat="1" ht="11.1" customHeight="1">
      <c r="A506" s="74">
        <f t="shared" si="55"/>
        <v>504</v>
      </c>
      <c r="B506" s="75" t="s">
        <v>339</v>
      </c>
      <c r="C506" s="74" t="str">
        <f>IF($B506&lt;&gt;"",_xlfn.IFNA(VLOOKUP($B506,'Node Details'!$B:$U,C$1,0),"Check"),"")</f>
        <v>0000AXY15-AXY150104</v>
      </c>
      <c r="D506" s="74" t="str">
        <f>IF($B506&lt;&gt;"",_xlfn.IFNA(VLOOKUP($B506,'Node Details'!$B:$U,D$1,0),"Check"),"")</f>
        <v>AXY</v>
      </c>
      <c r="E506" s="74" t="str">
        <f>IF($B506&lt;&gt;"",_xlfn.IFNA(VLOOKUP($B506,'Node Details'!$B:$U,E$1,0),"Check"),"")</f>
        <v>Airtel</v>
      </c>
      <c r="F506" s="76">
        <v>46113</v>
      </c>
      <c r="G506" s="74"/>
      <c r="H506" s="10" t="s">
        <v>1250</v>
      </c>
      <c r="I506" s="9">
        <v>2</v>
      </c>
      <c r="J506" s="9">
        <v>150</v>
      </c>
      <c r="K506" s="77">
        <f t="shared" si="61"/>
        <v>300</v>
      </c>
      <c r="L506" s="76">
        <v>46112</v>
      </c>
      <c r="N506" s="83"/>
      <c r="O506" s="84"/>
      <c r="P506" s="81">
        <f t="shared" si="56"/>
        <v>150</v>
      </c>
      <c r="Q506" s="81">
        <f t="shared" si="57"/>
        <v>300</v>
      </c>
      <c r="R506" s="81"/>
      <c r="S506" s="81"/>
      <c r="T506" s="85"/>
      <c r="U506" s="81">
        <f t="shared" si="58"/>
        <v>150</v>
      </c>
      <c r="V506" s="81">
        <f t="shared" si="59"/>
        <v>2</v>
      </c>
      <c r="W506" s="82">
        <f t="shared" si="60"/>
        <v>300</v>
      </c>
      <c r="X506" s="82" t="s">
        <v>84</v>
      </c>
      <c r="Y506" s="24" t="s">
        <v>93</v>
      </c>
    </row>
    <row r="507" spans="1:25" s="24" customFormat="1" ht="11.1" customHeight="1">
      <c r="A507" s="74">
        <f t="shared" si="55"/>
        <v>505</v>
      </c>
      <c r="B507" s="75" t="s">
        <v>1040</v>
      </c>
      <c r="C507" s="74" t="str">
        <f>IF($B507&lt;&gt;"",_xlfn.IFNA(VLOOKUP($B507,'Node Details'!$B:$U,C$1,0),"Check"),"")</f>
        <v>0000AXY15-AXY150108</v>
      </c>
      <c r="D507" s="74" t="str">
        <f>IF($B507&lt;&gt;"",_xlfn.IFNA(VLOOKUP($B507,'Node Details'!$B:$U,D$1,0),"Check"),"")</f>
        <v>AXY</v>
      </c>
      <c r="E507" s="74" t="str">
        <f>IF($B507&lt;&gt;"",_xlfn.IFNA(VLOOKUP($B507,'Node Details'!$B:$U,E$1,0),"Check"),"")</f>
        <v>Airtel</v>
      </c>
      <c r="F507" s="76">
        <v>46113</v>
      </c>
      <c r="G507" s="74"/>
      <c r="H507" s="10" t="s">
        <v>1250</v>
      </c>
      <c r="I507" s="9">
        <v>2</v>
      </c>
      <c r="J507" s="9">
        <v>150</v>
      </c>
      <c r="K507" s="77">
        <f t="shared" si="61"/>
        <v>300</v>
      </c>
      <c r="L507" s="76">
        <v>46112</v>
      </c>
      <c r="N507" s="83"/>
      <c r="O507" s="84"/>
      <c r="P507" s="81">
        <f t="shared" si="56"/>
        <v>150</v>
      </c>
      <c r="Q507" s="81">
        <f t="shared" si="57"/>
        <v>300</v>
      </c>
      <c r="R507" s="81"/>
      <c r="S507" s="81"/>
      <c r="T507" s="85"/>
      <c r="U507" s="81">
        <f t="shared" si="58"/>
        <v>150</v>
      </c>
      <c r="V507" s="81">
        <f t="shared" si="59"/>
        <v>2</v>
      </c>
      <c r="W507" s="82">
        <f t="shared" si="60"/>
        <v>300</v>
      </c>
      <c r="X507" s="82" t="s">
        <v>84</v>
      </c>
      <c r="Y507" s="24" t="s">
        <v>93</v>
      </c>
    </row>
    <row r="508" spans="1:25" s="24" customFormat="1" ht="11.1" customHeight="1">
      <c r="A508" s="74">
        <f t="shared" si="55"/>
        <v>506</v>
      </c>
      <c r="B508" s="75" t="s">
        <v>1041</v>
      </c>
      <c r="C508" s="74" t="str">
        <f>IF($B508&lt;&gt;"",_xlfn.IFNA(VLOOKUP($B508,'Node Details'!$B:$U,C$1,0),"Check"),"")</f>
        <v>0000AXY15-AXY150108</v>
      </c>
      <c r="D508" s="74" t="str">
        <f>IF($B508&lt;&gt;"",_xlfn.IFNA(VLOOKUP($B508,'Node Details'!$B:$U,D$1,0),"Check"),"")</f>
        <v>AXY</v>
      </c>
      <c r="E508" s="74" t="str">
        <f>IF($B508&lt;&gt;"",_xlfn.IFNA(VLOOKUP($B508,'Node Details'!$B:$U,E$1,0),"Check"),"")</f>
        <v>Airtel</v>
      </c>
      <c r="F508" s="76">
        <v>46113</v>
      </c>
      <c r="G508" s="74"/>
      <c r="H508" s="10" t="s">
        <v>1250</v>
      </c>
      <c r="I508" s="9">
        <v>2</v>
      </c>
      <c r="J508" s="9">
        <v>150</v>
      </c>
      <c r="K508" s="77">
        <f t="shared" si="61"/>
        <v>300</v>
      </c>
      <c r="L508" s="76">
        <v>46112</v>
      </c>
      <c r="N508" s="83"/>
      <c r="O508" s="84"/>
      <c r="P508" s="81">
        <f t="shared" si="56"/>
        <v>150</v>
      </c>
      <c r="Q508" s="81">
        <f t="shared" si="57"/>
        <v>300</v>
      </c>
      <c r="R508" s="81"/>
      <c r="S508" s="81"/>
      <c r="T508" s="85"/>
      <c r="U508" s="81">
        <f t="shared" si="58"/>
        <v>150</v>
      </c>
      <c r="V508" s="81">
        <f t="shared" si="59"/>
        <v>2</v>
      </c>
      <c r="W508" s="82">
        <f t="shared" si="60"/>
        <v>300</v>
      </c>
      <c r="X508" s="82" t="s">
        <v>84</v>
      </c>
      <c r="Y508" s="24" t="s">
        <v>93</v>
      </c>
    </row>
    <row r="509" spans="1:25" s="24" customFormat="1" ht="11.1" customHeight="1">
      <c r="A509" s="74">
        <f t="shared" si="55"/>
        <v>507</v>
      </c>
      <c r="B509" s="75" t="s">
        <v>342</v>
      </c>
      <c r="C509" s="74" t="str">
        <f>IF($B509&lt;&gt;"",_xlfn.IFNA(VLOOKUP($B509,'Node Details'!$B:$U,C$1,0),"Check"),"")</f>
        <v>0000AXY15-AXY150108</v>
      </c>
      <c r="D509" s="74" t="str">
        <f>IF($B509&lt;&gt;"",_xlfn.IFNA(VLOOKUP($B509,'Node Details'!$B:$U,D$1,0),"Check"),"")</f>
        <v>AXY</v>
      </c>
      <c r="E509" s="74" t="str">
        <f>IF($B509&lt;&gt;"",_xlfn.IFNA(VLOOKUP($B509,'Node Details'!$B:$U,E$1,0),"Check"),"")</f>
        <v>Airtel</v>
      </c>
      <c r="F509" s="76">
        <v>46113</v>
      </c>
      <c r="G509" s="74"/>
      <c r="H509" s="10" t="s">
        <v>1250</v>
      </c>
      <c r="I509" s="9">
        <v>2</v>
      </c>
      <c r="J509" s="9">
        <v>150</v>
      </c>
      <c r="K509" s="77">
        <f t="shared" si="61"/>
        <v>300</v>
      </c>
      <c r="L509" s="76">
        <v>46112</v>
      </c>
      <c r="N509" s="83"/>
      <c r="O509" s="84"/>
      <c r="P509" s="81">
        <f t="shared" si="56"/>
        <v>150</v>
      </c>
      <c r="Q509" s="81">
        <f t="shared" si="57"/>
        <v>300</v>
      </c>
      <c r="R509" s="81"/>
      <c r="S509" s="81"/>
      <c r="T509" s="85"/>
      <c r="U509" s="81">
        <f t="shared" si="58"/>
        <v>150</v>
      </c>
      <c r="V509" s="81">
        <f t="shared" si="59"/>
        <v>2</v>
      </c>
      <c r="W509" s="82">
        <f t="shared" si="60"/>
        <v>300</v>
      </c>
      <c r="X509" s="82" t="s">
        <v>84</v>
      </c>
      <c r="Y509" s="24" t="s">
        <v>93</v>
      </c>
    </row>
    <row r="510" spans="1:25" s="24" customFormat="1" ht="11.1" customHeight="1">
      <c r="A510" s="74">
        <f t="shared" si="55"/>
        <v>508</v>
      </c>
      <c r="B510" s="75" t="s">
        <v>1042</v>
      </c>
      <c r="C510" s="74" t="str">
        <f>IF($B510&lt;&gt;"",_xlfn.IFNA(VLOOKUP($B510,'Node Details'!$B:$U,C$1,0),"Check"),"")</f>
        <v>000000AXY-0000AXY17</v>
      </c>
      <c r="D510" s="74" t="str">
        <f>IF($B510&lt;&gt;"",_xlfn.IFNA(VLOOKUP($B510,'Node Details'!$B:$U,D$1,0),"Check"),"")</f>
        <v>AXY</v>
      </c>
      <c r="E510" s="74" t="str">
        <f>IF($B510&lt;&gt;"",_xlfn.IFNA(VLOOKUP($B510,'Node Details'!$B:$U,E$1,0),"Check"),"")</f>
        <v>Airtel</v>
      </c>
      <c r="F510" s="76">
        <v>46113</v>
      </c>
      <c r="G510" s="74"/>
      <c r="H510" s="10" t="s">
        <v>1250</v>
      </c>
      <c r="I510" s="9">
        <v>2</v>
      </c>
      <c r="J510" s="9">
        <v>150</v>
      </c>
      <c r="K510" s="77">
        <f t="shared" si="61"/>
        <v>300</v>
      </c>
      <c r="L510" s="76">
        <v>46112</v>
      </c>
      <c r="N510" s="83"/>
      <c r="O510" s="84"/>
      <c r="P510" s="81">
        <f t="shared" si="56"/>
        <v>150</v>
      </c>
      <c r="Q510" s="81">
        <f t="shared" si="57"/>
        <v>300</v>
      </c>
      <c r="R510" s="81"/>
      <c r="S510" s="81"/>
      <c r="T510" s="85"/>
      <c r="U510" s="81">
        <f t="shared" si="58"/>
        <v>150</v>
      </c>
      <c r="V510" s="81">
        <f t="shared" si="59"/>
        <v>2</v>
      </c>
      <c r="W510" s="82">
        <f t="shared" si="60"/>
        <v>300</v>
      </c>
      <c r="X510" s="82" t="s">
        <v>84</v>
      </c>
      <c r="Y510" s="24" t="s">
        <v>93</v>
      </c>
    </row>
    <row r="511" spans="1:25" s="24" customFormat="1" ht="11.1" customHeight="1">
      <c r="A511" s="74">
        <f t="shared" si="55"/>
        <v>509</v>
      </c>
      <c r="B511" s="75" t="s">
        <v>346</v>
      </c>
      <c r="C511" s="74" t="str">
        <f>IF($B511&lt;&gt;"",_xlfn.IFNA(VLOOKUP($B511,'Node Details'!$B:$U,C$1,0),"Check"),"")</f>
        <v>0000AXY16-AXY160104</v>
      </c>
      <c r="D511" s="74" t="str">
        <f>IF($B511&lt;&gt;"",_xlfn.IFNA(VLOOKUP($B511,'Node Details'!$B:$U,D$1,0),"Check"),"")</f>
        <v>AXY</v>
      </c>
      <c r="E511" s="74" t="str">
        <f>IF($B511&lt;&gt;"",_xlfn.IFNA(VLOOKUP($B511,'Node Details'!$B:$U,E$1,0),"Check"),"")</f>
        <v>Airtel</v>
      </c>
      <c r="F511" s="76">
        <v>46113</v>
      </c>
      <c r="G511" s="74"/>
      <c r="H511" s="10" t="s">
        <v>1250</v>
      </c>
      <c r="I511" s="9">
        <v>2</v>
      </c>
      <c r="J511" s="9">
        <v>150</v>
      </c>
      <c r="K511" s="77">
        <f t="shared" si="61"/>
        <v>300</v>
      </c>
      <c r="L511" s="76">
        <v>46112</v>
      </c>
      <c r="N511" s="83"/>
      <c r="O511" s="84"/>
      <c r="P511" s="81">
        <f t="shared" si="56"/>
        <v>150</v>
      </c>
      <c r="Q511" s="81">
        <f t="shared" si="57"/>
        <v>300</v>
      </c>
      <c r="R511" s="81"/>
      <c r="S511" s="81"/>
      <c r="T511" s="85"/>
      <c r="U511" s="81">
        <f t="shared" si="58"/>
        <v>150</v>
      </c>
      <c r="V511" s="81">
        <f t="shared" si="59"/>
        <v>2</v>
      </c>
      <c r="W511" s="82">
        <f t="shared" si="60"/>
        <v>300</v>
      </c>
      <c r="X511" s="82" t="s">
        <v>84</v>
      </c>
      <c r="Y511" s="24" t="s">
        <v>93</v>
      </c>
    </row>
    <row r="512" spans="1:25" s="24" customFormat="1" ht="11.1" customHeight="1">
      <c r="A512" s="74">
        <f t="shared" si="55"/>
        <v>510</v>
      </c>
      <c r="B512" s="75" t="s">
        <v>1043</v>
      </c>
      <c r="C512" s="74" t="str">
        <f>IF($B512&lt;&gt;"",_xlfn.IFNA(VLOOKUP($B512,'Node Details'!$B:$U,C$1,0),"Check"),"")</f>
        <v>0000AXY16-AXY160103</v>
      </c>
      <c r="D512" s="74" t="str">
        <f>IF($B512&lt;&gt;"",_xlfn.IFNA(VLOOKUP($B512,'Node Details'!$B:$U,D$1,0),"Check"),"")</f>
        <v>AXY</v>
      </c>
      <c r="E512" s="74" t="str">
        <f>IF($B512&lt;&gt;"",_xlfn.IFNA(VLOOKUP($B512,'Node Details'!$B:$U,E$1,0),"Check"),"")</f>
        <v>Airtel</v>
      </c>
      <c r="F512" s="76">
        <v>46113</v>
      </c>
      <c r="G512" s="74"/>
      <c r="H512" s="10" t="s">
        <v>1250</v>
      </c>
      <c r="I512" s="9">
        <v>2</v>
      </c>
      <c r="J512" s="9">
        <v>150</v>
      </c>
      <c r="K512" s="77">
        <f t="shared" si="61"/>
        <v>300</v>
      </c>
      <c r="L512" s="76">
        <v>46112</v>
      </c>
      <c r="N512" s="83"/>
      <c r="O512" s="84"/>
      <c r="P512" s="81">
        <f t="shared" si="56"/>
        <v>150</v>
      </c>
      <c r="Q512" s="81">
        <f t="shared" si="57"/>
        <v>300</v>
      </c>
      <c r="R512" s="81"/>
      <c r="S512" s="81"/>
      <c r="T512" s="85"/>
      <c r="U512" s="81">
        <f t="shared" si="58"/>
        <v>150</v>
      </c>
      <c r="V512" s="81">
        <f t="shared" si="59"/>
        <v>2</v>
      </c>
      <c r="W512" s="82">
        <f t="shared" si="60"/>
        <v>300</v>
      </c>
      <c r="X512" s="82" t="s">
        <v>84</v>
      </c>
      <c r="Y512" s="24" t="s">
        <v>93</v>
      </c>
    </row>
    <row r="513" spans="1:25" s="24" customFormat="1" ht="11.1" customHeight="1">
      <c r="A513" s="74">
        <f t="shared" si="55"/>
        <v>511</v>
      </c>
      <c r="B513" s="75" t="s">
        <v>1044</v>
      </c>
      <c r="C513" s="74" t="str">
        <f>IF($B513&lt;&gt;"",_xlfn.IFNA(VLOOKUP($B513,'Node Details'!$B:$U,C$1,0),"Check"),"")</f>
        <v>0000AXY16-AXY160103</v>
      </c>
      <c r="D513" s="74" t="str">
        <f>IF($B513&lt;&gt;"",_xlfn.IFNA(VLOOKUP($B513,'Node Details'!$B:$U,D$1,0),"Check"),"")</f>
        <v>AXY</v>
      </c>
      <c r="E513" s="74" t="str">
        <f>IF($B513&lt;&gt;"",_xlfn.IFNA(VLOOKUP($B513,'Node Details'!$B:$U,E$1,0),"Check"),"")</f>
        <v>Airtel</v>
      </c>
      <c r="F513" s="76">
        <v>46113</v>
      </c>
      <c r="G513" s="74"/>
      <c r="H513" s="10" t="s">
        <v>1250</v>
      </c>
      <c r="I513" s="9">
        <v>2</v>
      </c>
      <c r="J513" s="9">
        <v>150</v>
      </c>
      <c r="K513" s="77">
        <f t="shared" si="61"/>
        <v>300</v>
      </c>
      <c r="L513" s="76">
        <v>46112</v>
      </c>
      <c r="N513" s="83"/>
      <c r="O513" s="84"/>
      <c r="P513" s="81">
        <f t="shared" si="56"/>
        <v>150</v>
      </c>
      <c r="Q513" s="81">
        <f t="shared" si="57"/>
        <v>300</v>
      </c>
      <c r="R513" s="81"/>
      <c r="S513" s="81"/>
      <c r="T513" s="85"/>
      <c r="U513" s="81">
        <f t="shared" si="58"/>
        <v>150</v>
      </c>
      <c r="V513" s="81">
        <f t="shared" si="59"/>
        <v>2</v>
      </c>
      <c r="W513" s="82">
        <f t="shared" si="60"/>
        <v>300</v>
      </c>
      <c r="X513" s="82" t="s">
        <v>84</v>
      </c>
      <c r="Y513" s="24" t="s">
        <v>93</v>
      </c>
    </row>
    <row r="514" spans="1:25" s="24" customFormat="1" ht="11.1" customHeight="1">
      <c r="A514" s="74">
        <f t="shared" si="55"/>
        <v>512</v>
      </c>
      <c r="B514" s="75" t="s">
        <v>349</v>
      </c>
      <c r="C514" s="74" t="str">
        <f>IF($B514&lt;&gt;"",_xlfn.IFNA(VLOOKUP($B514,'Node Details'!$B:$U,C$1,0),"Check"),"")</f>
        <v>0000AXY16-AXY160103</v>
      </c>
      <c r="D514" s="74" t="str">
        <f>IF($B514&lt;&gt;"",_xlfn.IFNA(VLOOKUP($B514,'Node Details'!$B:$U,D$1,0),"Check"),"")</f>
        <v>AXY</v>
      </c>
      <c r="E514" s="74" t="str">
        <f>IF($B514&lt;&gt;"",_xlfn.IFNA(VLOOKUP($B514,'Node Details'!$B:$U,E$1,0),"Check"),"")</f>
        <v>Airtel</v>
      </c>
      <c r="F514" s="76">
        <v>46113</v>
      </c>
      <c r="G514" s="74"/>
      <c r="H514" s="10" t="s">
        <v>1250</v>
      </c>
      <c r="I514" s="9">
        <v>2</v>
      </c>
      <c r="J514" s="9">
        <v>150</v>
      </c>
      <c r="K514" s="77">
        <f t="shared" si="61"/>
        <v>300</v>
      </c>
      <c r="L514" s="76">
        <v>46112</v>
      </c>
      <c r="N514" s="83"/>
      <c r="O514" s="84"/>
      <c r="P514" s="81">
        <f t="shared" si="56"/>
        <v>150</v>
      </c>
      <c r="Q514" s="81">
        <f t="shared" si="57"/>
        <v>300</v>
      </c>
      <c r="R514" s="81"/>
      <c r="S514" s="81"/>
      <c r="T514" s="85"/>
      <c r="U514" s="81">
        <f t="shared" si="58"/>
        <v>150</v>
      </c>
      <c r="V514" s="81">
        <f t="shared" si="59"/>
        <v>2</v>
      </c>
      <c r="W514" s="82">
        <f t="shared" si="60"/>
        <v>300</v>
      </c>
      <c r="X514" s="82" t="s">
        <v>84</v>
      </c>
      <c r="Y514" s="24" t="s">
        <v>93</v>
      </c>
    </row>
    <row r="515" spans="1:25" s="24" customFormat="1" ht="11.1" customHeight="1">
      <c r="A515" s="74">
        <f t="shared" si="55"/>
        <v>513</v>
      </c>
      <c r="B515" s="75" t="s">
        <v>1045</v>
      </c>
      <c r="C515" s="74" t="str">
        <f>IF($B515&lt;&gt;"",_xlfn.IFNA(VLOOKUP($B515,'Node Details'!$B:$U,C$1,0),"Check"),"")</f>
        <v>0000AXY16-AXY160107</v>
      </c>
      <c r="D515" s="74" t="str">
        <f>IF($B515&lt;&gt;"",_xlfn.IFNA(VLOOKUP($B515,'Node Details'!$B:$U,D$1,0),"Check"),"")</f>
        <v>AXY</v>
      </c>
      <c r="E515" s="74" t="str">
        <f>IF($B515&lt;&gt;"",_xlfn.IFNA(VLOOKUP($B515,'Node Details'!$B:$U,E$1,0),"Check"),"")</f>
        <v>Airtel</v>
      </c>
      <c r="F515" s="76">
        <v>46113</v>
      </c>
      <c r="G515" s="74"/>
      <c r="H515" s="10" t="s">
        <v>1250</v>
      </c>
      <c r="I515" s="9">
        <v>2</v>
      </c>
      <c r="J515" s="9">
        <v>150</v>
      </c>
      <c r="K515" s="77">
        <f t="shared" si="61"/>
        <v>300</v>
      </c>
      <c r="L515" s="76">
        <v>46112</v>
      </c>
      <c r="N515" s="83"/>
      <c r="O515" s="84"/>
      <c r="P515" s="81">
        <f t="shared" si="56"/>
        <v>150</v>
      </c>
      <c r="Q515" s="81">
        <f t="shared" si="57"/>
        <v>300</v>
      </c>
      <c r="R515" s="81"/>
      <c r="S515" s="81"/>
      <c r="T515" s="85"/>
      <c r="U515" s="81">
        <f t="shared" si="58"/>
        <v>150</v>
      </c>
      <c r="V515" s="81">
        <f t="shared" si="59"/>
        <v>2</v>
      </c>
      <c r="W515" s="82">
        <f t="shared" si="60"/>
        <v>300</v>
      </c>
      <c r="X515" s="82" t="s">
        <v>84</v>
      </c>
      <c r="Y515" s="24" t="s">
        <v>93</v>
      </c>
    </row>
    <row r="516" spans="1:25" s="24" customFormat="1" ht="11.1" customHeight="1">
      <c r="A516" s="74">
        <f t="shared" ref="A516:A579" si="62">A515+1</f>
        <v>514</v>
      </c>
      <c r="B516" s="75" t="s">
        <v>1046</v>
      </c>
      <c r="C516" s="74" t="str">
        <f>IF($B516&lt;&gt;"",_xlfn.IFNA(VLOOKUP($B516,'Node Details'!$B:$U,C$1,0),"Check"),"")</f>
        <v>0000AXY16-AXY160107</v>
      </c>
      <c r="D516" s="74" t="str">
        <f>IF($B516&lt;&gt;"",_xlfn.IFNA(VLOOKUP($B516,'Node Details'!$B:$U,D$1,0),"Check"),"")</f>
        <v>AXY</v>
      </c>
      <c r="E516" s="74" t="str">
        <f>IF($B516&lt;&gt;"",_xlfn.IFNA(VLOOKUP($B516,'Node Details'!$B:$U,E$1,0),"Check"),"")</f>
        <v>Airtel</v>
      </c>
      <c r="F516" s="76">
        <v>46113</v>
      </c>
      <c r="G516" s="74"/>
      <c r="H516" s="10" t="s">
        <v>1250</v>
      </c>
      <c r="I516" s="9">
        <v>2</v>
      </c>
      <c r="J516" s="9">
        <v>150</v>
      </c>
      <c r="K516" s="77">
        <f t="shared" si="61"/>
        <v>300</v>
      </c>
      <c r="L516" s="76">
        <v>46112</v>
      </c>
      <c r="N516" s="83"/>
      <c r="O516" s="84"/>
      <c r="P516" s="81">
        <f t="shared" si="56"/>
        <v>150</v>
      </c>
      <c r="Q516" s="81">
        <f t="shared" si="57"/>
        <v>300</v>
      </c>
      <c r="R516" s="81"/>
      <c r="S516" s="81"/>
      <c r="T516" s="85"/>
      <c r="U516" s="81">
        <f t="shared" si="58"/>
        <v>150</v>
      </c>
      <c r="V516" s="81">
        <f t="shared" si="59"/>
        <v>2</v>
      </c>
      <c r="W516" s="82">
        <f t="shared" si="60"/>
        <v>300</v>
      </c>
      <c r="X516" s="82" t="s">
        <v>84</v>
      </c>
      <c r="Y516" s="24" t="s">
        <v>93</v>
      </c>
    </row>
    <row r="517" spans="1:25" s="24" customFormat="1" ht="11.1" customHeight="1">
      <c r="A517" s="74">
        <f t="shared" si="62"/>
        <v>515</v>
      </c>
      <c r="B517" s="75" t="s">
        <v>352</v>
      </c>
      <c r="C517" s="74" t="str">
        <f>IF($B517&lt;&gt;"",_xlfn.IFNA(VLOOKUP($B517,'Node Details'!$B:$U,C$1,0),"Check"),"")</f>
        <v>0000AXY16-AXY160107</v>
      </c>
      <c r="D517" s="74" t="str">
        <f>IF($B517&lt;&gt;"",_xlfn.IFNA(VLOOKUP($B517,'Node Details'!$B:$U,D$1,0),"Check"),"")</f>
        <v>AXY</v>
      </c>
      <c r="E517" s="74" t="str">
        <f>IF($B517&lt;&gt;"",_xlfn.IFNA(VLOOKUP($B517,'Node Details'!$B:$U,E$1,0),"Check"),"")</f>
        <v>Airtel</v>
      </c>
      <c r="F517" s="76">
        <v>46113</v>
      </c>
      <c r="G517" s="74"/>
      <c r="H517" s="10" t="s">
        <v>1250</v>
      </c>
      <c r="I517" s="9">
        <v>2</v>
      </c>
      <c r="J517" s="9">
        <v>150</v>
      </c>
      <c r="K517" s="77">
        <f t="shared" si="61"/>
        <v>300</v>
      </c>
      <c r="L517" s="76">
        <v>46112</v>
      </c>
      <c r="N517" s="83"/>
      <c r="O517" s="84"/>
      <c r="P517" s="81">
        <f t="shared" si="56"/>
        <v>150</v>
      </c>
      <c r="Q517" s="81">
        <f t="shared" si="57"/>
        <v>300</v>
      </c>
      <c r="R517" s="81"/>
      <c r="S517" s="81"/>
      <c r="T517" s="85"/>
      <c r="U517" s="81">
        <f t="shared" si="58"/>
        <v>150</v>
      </c>
      <c r="V517" s="81">
        <f t="shared" si="59"/>
        <v>2</v>
      </c>
      <c r="W517" s="82">
        <f t="shared" si="60"/>
        <v>300</v>
      </c>
      <c r="X517" s="82" t="s">
        <v>84</v>
      </c>
      <c r="Y517" s="24" t="s">
        <v>93</v>
      </c>
    </row>
    <row r="518" spans="1:25" s="24" customFormat="1" ht="11.1" customHeight="1">
      <c r="A518" s="74">
        <f t="shared" si="62"/>
        <v>516</v>
      </c>
      <c r="B518" s="75" t="s">
        <v>355</v>
      </c>
      <c r="C518" s="74" t="str">
        <f>IF($B518&lt;&gt;"",_xlfn.IFNA(VLOOKUP($B518,'Node Details'!$B:$U,C$1,0),"Check"),"")</f>
        <v>0000AXY16-AXY160108</v>
      </c>
      <c r="D518" s="74" t="str">
        <f>IF($B518&lt;&gt;"",_xlfn.IFNA(VLOOKUP($B518,'Node Details'!$B:$U,D$1,0),"Check"),"")</f>
        <v>AXY</v>
      </c>
      <c r="E518" s="74" t="str">
        <f>IF($B518&lt;&gt;"",_xlfn.IFNA(VLOOKUP($B518,'Node Details'!$B:$U,E$1,0),"Check"),"")</f>
        <v>Airtel</v>
      </c>
      <c r="F518" s="76">
        <v>46113</v>
      </c>
      <c r="G518" s="74"/>
      <c r="H518" s="10" t="s">
        <v>1250</v>
      </c>
      <c r="I518" s="9">
        <v>2</v>
      </c>
      <c r="J518" s="9">
        <v>150</v>
      </c>
      <c r="K518" s="77">
        <f t="shared" si="61"/>
        <v>300</v>
      </c>
      <c r="L518" s="76">
        <v>46112</v>
      </c>
      <c r="N518" s="83"/>
      <c r="O518" s="84"/>
      <c r="P518" s="81">
        <f t="shared" si="56"/>
        <v>150</v>
      </c>
      <c r="Q518" s="81">
        <f t="shared" si="57"/>
        <v>300</v>
      </c>
      <c r="R518" s="81"/>
      <c r="S518" s="81"/>
      <c r="T518" s="85"/>
      <c r="U518" s="81">
        <f t="shared" si="58"/>
        <v>150</v>
      </c>
      <c r="V518" s="81">
        <f t="shared" si="59"/>
        <v>2</v>
      </c>
      <c r="W518" s="82">
        <f t="shared" si="60"/>
        <v>300</v>
      </c>
      <c r="X518" s="82" t="s">
        <v>84</v>
      </c>
      <c r="Y518" s="24" t="s">
        <v>93</v>
      </c>
    </row>
    <row r="519" spans="1:25" s="24" customFormat="1" ht="11.1" customHeight="1">
      <c r="A519" s="74">
        <f t="shared" si="62"/>
        <v>517</v>
      </c>
      <c r="B519" s="75" t="s">
        <v>147</v>
      </c>
      <c r="C519" s="74" t="str">
        <f>IF($B519&lt;&gt;"",_xlfn.IFNA(VLOOKUP($B519,'Node Details'!$B:$U,C$1,0),"Check"),"")</f>
        <v>000000AXY-0000AXY17</v>
      </c>
      <c r="D519" s="74" t="str">
        <f>IF($B519&lt;&gt;"",_xlfn.IFNA(VLOOKUP($B519,'Node Details'!$B:$U,D$1,0),"Check"),"")</f>
        <v>AXY</v>
      </c>
      <c r="E519" s="74" t="str">
        <f>IF($B519&lt;&gt;"",_xlfn.IFNA(VLOOKUP($B519,'Node Details'!$B:$U,E$1,0),"Check"),"")</f>
        <v>Airtel</v>
      </c>
      <c r="F519" s="76">
        <v>46113</v>
      </c>
      <c r="G519" s="74"/>
      <c r="H519" s="10" t="s">
        <v>1250</v>
      </c>
      <c r="I519" s="9">
        <v>2</v>
      </c>
      <c r="J519" s="9">
        <v>150</v>
      </c>
      <c r="K519" s="77">
        <f t="shared" si="61"/>
        <v>300</v>
      </c>
      <c r="L519" s="76">
        <v>46112</v>
      </c>
      <c r="N519" s="83"/>
      <c r="O519" s="84"/>
      <c r="P519" s="81">
        <f t="shared" si="56"/>
        <v>150</v>
      </c>
      <c r="Q519" s="81">
        <f t="shared" si="57"/>
        <v>300</v>
      </c>
      <c r="R519" s="81"/>
      <c r="S519" s="81"/>
      <c r="T519" s="85"/>
      <c r="U519" s="81">
        <f t="shared" si="58"/>
        <v>150</v>
      </c>
      <c r="V519" s="81">
        <f t="shared" si="59"/>
        <v>2</v>
      </c>
      <c r="W519" s="82">
        <f t="shared" si="60"/>
        <v>300</v>
      </c>
      <c r="X519" s="82" t="s">
        <v>84</v>
      </c>
      <c r="Y519" s="24" t="s">
        <v>93</v>
      </c>
    </row>
    <row r="520" spans="1:25" s="24" customFormat="1" ht="11.1" customHeight="1">
      <c r="A520" s="74">
        <f t="shared" si="62"/>
        <v>518</v>
      </c>
      <c r="B520" s="75" t="s">
        <v>359</v>
      </c>
      <c r="C520" s="74" t="str">
        <f>IF($B520&lt;&gt;"",_xlfn.IFNA(VLOOKUP($B520,'Node Details'!$B:$U,C$1,0),"Check"),"")</f>
        <v>0000AXY17-AXY170101</v>
      </c>
      <c r="D520" s="74" t="str">
        <f>IF($B520&lt;&gt;"",_xlfn.IFNA(VLOOKUP($B520,'Node Details'!$B:$U,D$1,0),"Check"),"")</f>
        <v>AXY</v>
      </c>
      <c r="E520" s="74" t="str">
        <f>IF($B520&lt;&gt;"",_xlfn.IFNA(VLOOKUP($B520,'Node Details'!$B:$U,E$1,0),"Check"),"")</f>
        <v>Airtel</v>
      </c>
      <c r="F520" s="76">
        <v>46113</v>
      </c>
      <c r="G520" s="74"/>
      <c r="H520" s="10" t="s">
        <v>1250</v>
      </c>
      <c r="I520" s="9">
        <v>2</v>
      </c>
      <c r="J520" s="9">
        <v>150</v>
      </c>
      <c r="K520" s="77">
        <f t="shared" si="61"/>
        <v>300</v>
      </c>
      <c r="L520" s="76">
        <v>46112</v>
      </c>
      <c r="N520" s="83"/>
      <c r="O520" s="84"/>
      <c r="P520" s="81">
        <f t="shared" si="56"/>
        <v>150</v>
      </c>
      <c r="Q520" s="81">
        <f t="shared" si="57"/>
        <v>300</v>
      </c>
      <c r="R520" s="81"/>
      <c r="S520" s="81"/>
      <c r="T520" s="85"/>
      <c r="U520" s="81">
        <f t="shared" si="58"/>
        <v>150</v>
      </c>
      <c r="V520" s="81">
        <f t="shared" si="59"/>
        <v>2</v>
      </c>
      <c r="W520" s="82">
        <f t="shared" si="60"/>
        <v>300</v>
      </c>
      <c r="X520" s="82" t="s">
        <v>84</v>
      </c>
      <c r="Y520" s="24" t="s">
        <v>93</v>
      </c>
    </row>
    <row r="521" spans="1:25" s="24" customFormat="1" ht="11.1" customHeight="1">
      <c r="A521" s="74">
        <f t="shared" si="62"/>
        <v>519</v>
      </c>
      <c r="B521" s="75" t="s">
        <v>1047</v>
      </c>
      <c r="C521" s="74" t="str">
        <f>IF($B521&lt;&gt;"",_xlfn.IFNA(VLOOKUP($B521,'Node Details'!$B:$U,C$1,0),"Check"),"")</f>
        <v>0000AXY17-AXY170107</v>
      </c>
      <c r="D521" s="74" t="str">
        <f>IF($B521&lt;&gt;"",_xlfn.IFNA(VLOOKUP($B521,'Node Details'!$B:$U,D$1,0),"Check"),"")</f>
        <v>AXY</v>
      </c>
      <c r="E521" s="74" t="str">
        <f>IF($B521&lt;&gt;"",_xlfn.IFNA(VLOOKUP($B521,'Node Details'!$B:$U,E$1,0),"Check"),"")</f>
        <v>Airtel</v>
      </c>
      <c r="F521" s="76">
        <v>46113</v>
      </c>
      <c r="G521" s="74"/>
      <c r="H521" s="10" t="s">
        <v>1250</v>
      </c>
      <c r="I521" s="9">
        <v>2</v>
      </c>
      <c r="J521" s="9">
        <v>150</v>
      </c>
      <c r="K521" s="77">
        <f t="shared" si="61"/>
        <v>300</v>
      </c>
      <c r="L521" s="76">
        <v>46112</v>
      </c>
      <c r="N521" s="83"/>
      <c r="O521" s="84"/>
      <c r="P521" s="81">
        <f t="shared" si="56"/>
        <v>150</v>
      </c>
      <c r="Q521" s="81">
        <f t="shared" si="57"/>
        <v>300</v>
      </c>
      <c r="R521" s="81"/>
      <c r="S521" s="81"/>
      <c r="T521" s="85"/>
      <c r="U521" s="81">
        <f t="shared" si="58"/>
        <v>150</v>
      </c>
      <c r="V521" s="81">
        <f t="shared" si="59"/>
        <v>2</v>
      </c>
      <c r="W521" s="82">
        <f t="shared" si="60"/>
        <v>300</v>
      </c>
      <c r="X521" s="82" t="s">
        <v>84</v>
      </c>
      <c r="Y521" s="24" t="s">
        <v>93</v>
      </c>
    </row>
    <row r="522" spans="1:25" s="24" customFormat="1" ht="11.1" customHeight="1">
      <c r="A522" s="74">
        <f t="shared" si="62"/>
        <v>520</v>
      </c>
      <c r="B522" s="75" t="s">
        <v>1048</v>
      </c>
      <c r="C522" s="74" t="str">
        <f>IF($B522&lt;&gt;"",_xlfn.IFNA(VLOOKUP($B522,'Node Details'!$B:$U,C$1,0),"Check"),"")</f>
        <v>0000AXY17-AXY170107</v>
      </c>
      <c r="D522" s="74" t="str">
        <f>IF($B522&lt;&gt;"",_xlfn.IFNA(VLOOKUP($B522,'Node Details'!$B:$U,D$1,0),"Check"),"")</f>
        <v>AXY</v>
      </c>
      <c r="E522" s="74" t="str">
        <f>IF($B522&lt;&gt;"",_xlfn.IFNA(VLOOKUP($B522,'Node Details'!$B:$U,E$1,0),"Check"),"")</f>
        <v>Airtel</v>
      </c>
      <c r="F522" s="76">
        <v>46113</v>
      </c>
      <c r="G522" s="74"/>
      <c r="H522" s="10" t="s">
        <v>1250</v>
      </c>
      <c r="I522" s="9">
        <v>2</v>
      </c>
      <c r="J522" s="9">
        <v>150</v>
      </c>
      <c r="K522" s="77">
        <f t="shared" si="61"/>
        <v>300</v>
      </c>
      <c r="L522" s="76">
        <v>46112</v>
      </c>
      <c r="N522" s="83"/>
      <c r="O522" s="84"/>
      <c r="P522" s="81">
        <f t="shared" si="56"/>
        <v>150</v>
      </c>
      <c r="Q522" s="81">
        <f t="shared" si="57"/>
        <v>300</v>
      </c>
      <c r="R522" s="81"/>
      <c r="S522" s="81"/>
      <c r="T522" s="85"/>
      <c r="U522" s="81">
        <f t="shared" si="58"/>
        <v>150</v>
      </c>
      <c r="V522" s="81">
        <f t="shared" si="59"/>
        <v>2</v>
      </c>
      <c r="W522" s="82">
        <f t="shared" si="60"/>
        <v>300</v>
      </c>
      <c r="X522" s="82" t="s">
        <v>84</v>
      </c>
      <c r="Y522" s="24" t="s">
        <v>93</v>
      </c>
    </row>
    <row r="523" spans="1:25" s="24" customFormat="1" ht="11.1" customHeight="1">
      <c r="A523" s="74">
        <f t="shared" si="62"/>
        <v>521</v>
      </c>
      <c r="B523" s="75" t="s">
        <v>1049</v>
      </c>
      <c r="C523" s="74" t="str">
        <f>IF($B523&lt;&gt;"",_xlfn.IFNA(VLOOKUP($B523,'Node Details'!$B:$U,C$1,0),"Check"),"")</f>
        <v>0000AXY17-AXY170201</v>
      </c>
      <c r="D523" s="74" t="str">
        <f>IF($B523&lt;&gt;"",_xlfn.IFNA(VLOOKUP($B523,'Node Details'!$B:$U,D$1,0),"Check"),"")</f>
        <v>AXY</v>
      </c>
      <c r="E523" s="74" t="str">
        <f>IF($B523&lt;&gt;"",_xlfn.IFNA(VLOOKUP($B523,'Node Details'!$B:$U,E$1,0),"Check"),"")</f>
        <v>Airtel</v>
      </c>
      <c r="F523" s="76">
        <v>46113</v>
      </c>
      <c r="G523" s="74"/>
      <c r="H523" s="10" t="s">
        <v>1250</v>
      </c>
      <c r="I523" s="9">
        <v>2</v>
      </c>
      <c r="J523" s="9">
        <v>150</v>
      </c>
      <c r="K523" s="77">
        <f t="shared" si="61"/>
        <v>300</v>
      </c>
      <c r="L523" s="76">
        <v>46112</v>
      </c>
      <c r="N523" s="83"/>
      <c r="O523" s="84"/>
      <c r="P523" s="81">
        <f t="shared" si="56"/>
        <v>150</v>
      </c>
      <c r="Q523" s="81">
        <f t="shared" si="57"/>
        <v>300</v>
      </c>
      <c r="R523" s="81"/>
      <c r="S523" s="81"/>
      <c r="T523" s="85"/>
      <c r="U523" s="81">
        <f t="shared" si="58"/>
        <v>150</v>
      </c>
      <c r="V523" s="81">
        <f t="shared" si="59"/>
        <v>2</v>
      </c>
      <c r="W523" s="82">
        <f t="shared" si="60"/>
        <v>300</v>
      </c>
      <c r="X523" s="82" t="s">
        <v>84</v>
      </c>
      <c r="Y523" s="24" t="s">
        <v>93</v>
      </c>
    </row>
    <row r="524" spans="1:25" s="24" customFormat="1" ht="11.1" customHeight="1">
      <c r="A524" s="74">
        <f t="shared" si="62"/>
        <v>522</v>
      </c>
      <c r="B524" s="75" t="s">
        <v>362</v>
      </c>
      <c r="C524" s="74" t="str">
        <f>IF($B524&lt;&gt;"",_xlfn.IFNA(VLOOKUP($B524,'Node Details'!$B:$U,C$1,0),"Check"),"")</f>
        <v>0000AXY17-AXY170201</v>
      </c>
      <c r="D524" s="74" t="str">
        <f>IF($B524&lt;&gt;"",_xlfn.IFNA(VLOOKUP($B524,'Node Details'!$B:$U,D$1,0),"Check"),"")</f>
        <v>AXY</v>
      </c>
      <c r="E524" s="74" t="str">
        <f>IF($B524&lt;&gt;"",_xlfn.IFNA(VLOOKUP($B524,'Node Details'!$B:$U,E$1,0),"Check"),"")</f>
        <v>Airtel</v>
      </c>
      <c r="F524" s="76">
        <v>46113</v>
      </c>
      <c r="G524" s="74"/>
      <c r="H524" s="10" t="s">
        <v>1250</v>
      </c>
      <c r="I524" s="9">
        <v>2</v>
      </c>
      <c r="J524" s="9">
        <v>150</v>
      </c>
      <c r="K524" s="77">
        <f t="shared" si="61"/>
        <v>300</v>
      </c>
      <c r="L524" s="76">
        <v>46112</v>
      </c>
      <c r="N524" s="83"/>
      <c r="O524" s="84"/>
      <c r="P524" s="81">
        <f t="shared" si="56"/>
        <v>150</v>
      </c>
      <c r="Q524" s="81">
        <f t="shared" si="57"/>
        <v>300</v>
      </c>
      <c r="R524" s="81"/>
      <c r="S524" s="81"/>
      <c r="T524" s="85"/>
      <c r="U524" s="81">
        <f t="shared" si="58"/>
        <v>150</v>
      </c>
      <c r="V524" s="81">
        <f t="shared" si="59"/>
        <v>2</v>
      </c>
      <c r="W524" s="82">
        <f t="shared" si="60"/>
        <v>300</v>
      </c>
      <c r="X524" s="82" t="s">
        <v>84</v>
      </c>
      <c r="Y524" s="24" t="s">
        <v>93</v>
      </c>
    </row>
    <row r="525" spans="1:25" s="24" customFormat="1" ht="11.1" customHeight="1">
      <c r="A525" s="74">
        <f t="shared" si="62"/>
        <v>523</v>
      </c>
      <c r="B525" s="75" t="s">
        <v>365</v>
      </c>
      <c r="C525" s="74" t="str">
        <f>IF($B525&lt;&gt;"",_xlfn.IFNA(VLOOKUP($B525,'Node Details'!$B:$U,C$1,0),"Check"),"")</f>
        <v>AXY170103-AXY170107</v>
      </c>
      <c r="D525" s="74" t="str">
        <f>IF($B525&lt;&gt;"",_xlfn.IFNA(VLOOKUP($B525,'Node Details'!$B:$U,D$1,0),"Check"),"")</f>
        <v>AXY</v>
      </c>
      <c r="E525" s="74" t="str">
        <f>IF($B525&lt;&gt;"",_xlfn.IFNA(VLOOKUP($B525,'Node Details'!$B:$U,E$1,0),"Check"),"")</f>
        <v>Airtel</v>
      </c>
      <c r="F525" s="76">
        <v>46113</v>
      </c>
      <c r="G525" s="74"/>
      <c r="H525" s="10" t="s">
        <v>1250</v>
      </c>
      <c r="I525" s="9">
        <v>2</v>
      </c>
      <c r="J525" s="9">
        <v>150</v>
      </c>
      <c r="K525" s="77">
        <f t="shared" si="61"/>
        <v>300</v>
      </c>
      <c r="L525" s="76">
        <v>46112</v>
      </c>
      <c r="N525" s="83"/>
      <c r="O525" s="84"/>
      <c r="P525" s="81">
        <f t="shared" si="56"/>
        <v>150</v>
      </c>
      <c r="Q525" s="81">
        <f t="shared" si="57"/>
        <v>300</v>
      </c>
      <c r="R525" s="81"/>
      <c r="S525" s="81"/>
      <c r="T525" s="85"/>
      <c r="U525" s="81">
        <f t="shared" si="58"/>
        <v>150</v>
      </c>
      <c r="V525" s="81">
        <f t="shared" si="59"/>
        <v>2</v>
      </c>
      <c r="W525" s="82">
        <f t="shared" si="60"/>
        <v>300</v>
      </c>
      <c r="X525" s="82" t="s">
        <v>84</v>
      </c>
      <c r="Y525" s="24" t="s">
        <v>93</v>
      </c>
    </row>
    <row r="526" spans="1:25" s="24" customFormat="1" ht="11.1" customHeight="1">
      <c r="A526" s="74">
        <f t="shared" si="62"/>
        <v>524</v>
      </c>
      <c r="B526" s="75" t="s">
        <v>1050</v>
      </c>
      <c r="C526" s="74" t="str">
        <f>IF($B526&lt;&gt;"",_xlfn.IFNA(VLOOKUP($B526,'Node Details'!$B:$U,C$1,0),"Check"),"")</f>
        <v>AXY170103-AXY170107</v>
      </c>
      <c r="D526" s="74" t="str">
        <f>IF($B526&lt;&gt;"",_xlfn.IFNA(VLOOKUP($B526,'Node Details'!$B:$U,D$1,0),"Check"),"")</f>
        <v>AXY</v>
      </c>
      <c r="E526" s="74" t="str">
        <f>IF($B526&lt;&gt;"",_xlfn.IFNA(VLOOKUP($B526,'Node Details'!$B:$U,E$1,0),"Check"),"")</f>
        <v>Airtel</v>
      </c>
      <c r="F526" s="76">
        <v>46113</v>
      </c>
      <c r="G526" s="74"/>
      <c r="H526" s="10" t="s">
        <v>1250</v>
      </c>
      <c r="I526" s="9">
        <v>2</v>
      </c>
      <c r="J526" s="9">
        <v>150</v>
      </c>
      <c r="K526" s="77">
        <f t="shared" si="61"/>
        <v>300</v>
      </c>
      <c r="L526" s="76">
        <v>46112</v>
      </c>
      <c r="N526" s="83"/>
      <c r="O526" s="84"/>
      <c r="P526" s="81">
        <f t="shared" si="56"/>
        <v>150</v>
      </c>
      <c r="Q526" s="81">
        <f t="shared" si="57"/>
        <v>300</v>
      </c>
      <c r="R526" s="81"/>
      <c r="S526" s="81"/>
      <c r="T526" s="85"/>
      <c r="U526" s="81">
        <f t="shared" si="58"/>
        <v>150</v>
      </c>
      <c r="V526" s="81">
        <f t="shared" si="59"/>
        <v>2</v>
      </c>
      <c r="W526" s="123">
        <f t="shared" si="60"/>
        <v>300</v>
      </c>
      <c r="X526" s="123" t="s">
        <v>84</v>
      </c>
      <c r="Y526" s="114" t="s">
        <v>93</v>
      </c>
    </row>
    <row r="527" spans="1:25" s="24" customFormat="1" ht="11.1" customHeight="1">
      <c r="A527" s="74">
        <f t="shared" si="62"/>
        <v>525</v>
      </c>
      <c r="B527" s="75" t="s">
        <v>376</v>
      </c>
      <c r="C527" s="74" t="str">
        <f>IF($B527&lt;&gt;"",_xlfn.IFNA(VLOOKUP($B527,'Node Details'!$B:$U,C$1,0),"Check"),"")</f>
        <v>000000AXW-0000AXW05</v>
      </c>
      <c r="D527" s="74" t="str">
        <f>IF($B527&lt;&gt;"",_xlfn.IFNA(VLOOKUP($B527,'Node Details'!$B:$U,D$1,0),"Check"),"")</f>
        <v>AXW</v>
      </c>
      <c r="E527" s="74" t="str">
        <f>IF($B527&lt;&gt;"",_xlfn.IFNA(VLOOKUP($B527,'Node Details'!$B:$U,E$1,0),"Check"),"")</f>
        <v>Airtel</v>
      </c>
      <c r="F527" s="76">
        <v>46114</v>
      </c>
      <c r="G527" s="74"/>
      <c r="H527" s="10" t="s">
        <v>1247</v>
      </c>
      <c r="I527" s="9">
        <v>2</v>
      </c>
      <c r="J527" s="9">
        <v>650</v>
      </c>
      <c r="K527" s="77">
        <f t="shared" ref="K527:K590" si="63">IF(I527&lt;&gt;"",J527*I527,0)</f>
        <v>1300</v>
      </c>
      <c r="L527" s="76">
        <v>46112</v>
      </c>
      <c r="N527" s="83"/>
      <c r="O527" s="84"/>
      <c r="P527" s="81"/>
      <c r="Q527" s="81"/>
      <c r="R527" s="81"/>
      <c r="S527" s="81"/>
      <c r="T527" s="85"/>
      <c r="U527" s="81"/>
      <c r="V527" s="81"/>
      <c r="W527" s="123">
        <f t="shared" ref="W527:W590" si="64">IF(V527&lt;&gt;"",V527*U527,0)</f>
        <v>0</v>
      </c>
      <c r="X527" s="123" t="s">
        <v>84</v>
      </c>
      <c r="Y527" s="114" t="s">
        <v>93</v>
      </c>
    </row>
    <row r="528" spans="1:25" s="24" customFormat="1" ht="11.1" customHeight="1">
      <c r="A528" s="74">
        <f t="shared" si="62"/>
        <v>526</v>
      </c>
      <c r="B528" s="75" t="s">
        <v>396</v>
      </c>
      <c r="C528" s="74" t="str">
        <f>IF($B528&lt;&gt;"",_xlfn.IFNA(VLOOKUP($B528,'Node Details'!$B:$U,C$1,0),"Check"),"")</f>
        <v>000000AXW-0000AXW05</v>
      </c>
      <c r="D528" s="74" t="str">
        <f>IF($B528&lt;&gt;"",_xlfn.IFNA(VLOOKUP($B528,'Node Details'!$B:$U,D$1,0),"Check"),"")</f>
        <v>AXW</v>
      </c>
      <c r="E528" s="74" t="str">
        <f>IF($B528&lt;&gt;"",_xlfn.IFNA(VLOOKUP($B528,'Node Details'!$B:$U,E$1,0),"Check"),"")</f>
        <v>Airtel</v>
      </c>
      <c r="F528" s="76">
        <v>46114</v>
      </c>
      <c r="G528" s="74"/>
      <c r="H528" s="10" t="s">
        <v>1247</v>
      </c>
      <c r="I528" s="9">
        <v>2</v>
      </c>
      <c r="J528" s="9">
        <v>650</v>
      </c>
      <c r="K528" s="77">
        <f t="shared" si="63"/>
        <v>1300</v>
      </c>
      <c r="L528" s="76">
        <v>46112</v>
      </c>
      <c r="N528" s="83"/>
      <c r="O528" s="84"/>
      <c r="P528" s="81"/>
      <c r="Q528" s="81"/>
      <c r="R528" s="81"/>
      <c r="S528" s="81"/>
      <c r="T528" s="85"/>
      <c r="U528" s="81"/>
      <c r="V528" s="81"/>
      <c r="W528" s="123">
        <f t="shared" si="64"/>
        <v>0</v>
      </c>
      <c r="X528" s="123" t="s">
        <v>84</v>
      </c>
      <c r="Y528" s="114" t="s">
        <v>93</v>
      </c>
    </row>
    <row r="529" spans="1:25" s="24" customFormat="1" ht="11.1" customHeight="1">
      <c r="A529" s="74">
        <f t="shared" si="62"/>
        <v>527</v>
      </c>
      <c r="B529" s="75" t="s">
        <v>407</v>
      </c>
      <c r="C529" s="74" t="str">
        <f>IF($B529&lt;&gt;"",_xlfn.IFNA(VLOOKUP($B529,'Node Details'!$B:$U,C$1,0),"Check"),"")</f>
        <v>000000AXW-0000AXW05</v>
      </c>
      <c r="D529" s="74" t="str">
        <f>IF($B529&lt;&gt;"",_xlfn.IFNA(VLOOKUP($B529,'Node Details'!$B:$U,D$1,0),"Check"),"")</f>
        <v>AXW</v>
      </c>
      <c r="E529" s="74" t="str">
        <f>IF($B529&lt;&gt;"",_xlfn.IFNA(VLOOKUP($B529,'Node Details'!$B:$U,E$1,0),"Check"),"")</f>
        <v>Airtel</v>
      </c>
      <c r="F529" s="76">
        <v>46114</v>
      </c>
      <c r="G529" s="74"/>
      <c r="H529" s="10" t="s">
        <v>1247</v>
      </c>
      <c r="I529" s="9">
        <v>2</v>
      </c>
      <c r="J529" s="9">
        <v>650</v>
      </c>
      <c r="K529" s="77">
        <f t="shared" si="63"/>
        <v>1300</v>
      </c>
      <c r="L529" s="76">
        <v>46112</v>
      </c>
      <c r="N529" s="83"/>
      <c r="O529" s="84"/>
      <c r="P529" s="81"/>
      <c r="Q529" s="81"/>
      <c r="R529" s="81"/>
      <c r="S529" s="81"/>
      <c r="T529" s="85"/>
      <c r="U529" s="81"/>
      <c r="V529" s="81"/>
      <c r="W529" s="123">
        <f t="shared" si="64"/>
        <v>0</v>
      </c>
      <c r="X529" s="123" t="s">
        <v>84</v>
      </c>
      <c r="Y529" s="114" t="s">
        <v>93</v>
      </c>
    </row>
    <row r="530" spans="1:25" s="24" customFormat="1" ht="11.1" customHeight="1">
      <c r="A530" s="74">
        <f t="shared" si="62"/>
        <v>528</v>
      </c>
      <c r="B530" s="75" t="s">
        <v>414</v>
      </c>
      <c r="C530" s="74" t="str">
        <f>IF($B530&lt;&gt;"",_xlfn.IFNA(VLOOKUP($B530,'Node Details'!$B:$U,C$1,0),"Check"),"")</f>
        <v>000000AXW-0000AXW05</v>
      </c>
      <c r="D530" s="74" t="str">
        <f>IF($B530&lt;&gt;"",_xlfn.IFNA(VLOOKUP($B530,'Node Details'!$B:$U,D$1,0),"Check"),"")</f>
        <v>AXW</v>
      </c>
      <c r="E530" s="74" t="str">
        <f>IF($B530&lt;&gt;"",_xlfn.IFNA(VLOOKUP($B530,'Node Details'!$B:$U,E$1,0),"Check"),"")</f>
        <v>Airtel</v>
      </c>
      <c r="F530" s="76">
        <v>46114</v>
      </c>
      <c r="G530" s="74"/>
      <c r="H530" s="10" t="s">
        <v>1247</v>
      </c>
      <c r="I530" s="9">
        <v>2</v>
      </c>
      <c r="J530" s="9">
        <v>650</v>
      </c>
      <c r="K530" s="77">
        <f t="shared" si="63"/>
        <v>1300</v>
      </c>
      <c r="L530" s="76">
        <v>46112</v>
      </c>
      <c r="N530" s="83"/>
      <c r="O530" s="84"/>
      <c r="P530" s="81"/>
      <c r="Q530" s="81"/>
      <c r="R530" s="81"/>
      <c r="S530" s="81"/>
      <c r="T530" s="85"/>
      <c r="U530" s="81"/>
      <c r="V530" s="81"/>
      <c r="W530" s="123">
        <f t="shared" si="64"/>
        <v>0</v>
      </c>
      <c r="X530" s="123" t="s">
        <v>84</v>
      </c>
      <c r="Y530" s="114" t="s">
        <v>93</v>
      </c>
    </row>
    <row r="531" spans="1:25" s="24" customFormat="1" ht="11.1" customHeight="1">
      <c r="A531" s="74">
        <f t="shared" si="62"/>
        <v>529</v>
      </c>
      <c r="B531" s="75" t="s">
        <v>372</v>
      </c>
      <c r="C531" s="74" t="str">
        <f>IF($B531&lt;&gt;"",_xlfn.IFNA(VLOOKUP($B531,'Node Details'!$B:$U,C$1,0),"Check"),"")</f>
        <v>000000AXW-0000AXW05</v>
      </c>
      <c r="D531" s="74" t="str">
        <f>IF($B531&lt;&gt;"",_xlfn.IFNA(VLOOKUP($B531,'Node Details'!$B:$U,D$1,0),"Check"),"")</f>
        <v>AXW</v>
      </c>
      <c r="E531" s="74" t="str">
        <f>IF($B531&lt;&gt;"",_xlfn.IFNA(VLOOKUP($B531,'Node Details'!$B:$U,E$1,0),"Check"),"")</f>
        <v>Airtel</v>
      </c>
      <c r="F531" s="76">
        <v>46114</v>
      </c>
      <c r="G531" s="74"/>
      <c r="H531" s="10" t="s">
        <v>1247</v>
      </c>
      <c r="I531" s="9">
        <v>2</v>
      </c>
      <c r="J531" s="9">
        <v>650</v>
      </c>
      <c r="K531" s="77">
        <f t="shared" si="63"/>
        <v>1300</v>
      </c>
      <c r="L531" s="76">
        <v>46112</v>
      </c>
      <c r="N531" s="83"/>
      <c r="O531" s="84"/>
      <c r="P531" s="81"/>
      <c r="Q531" s="81"/>
      <c r="R531" s="81"/>
      <c r="S531" s="81"/>
      <c r="T531" s="85"/>
      <c r="U531" s="81"/>
      <c r="V531" s="81"/>
      <c r="W531" s="123">
        <f t="shared" si="64"/>
        <v>0</v>
      </c>
      <c r="X531" s="123" t="s">
        <v>84</v>
      </c>
      <c r="Y531" s="114" t="s">
        <v>93</v>
      </c>
    </row>
    <row r="532" spans="1:25" s="24" customFormat="1" ht="11.1" customHeight="1">
      <c r="A532" s="74">
        <f t="shared" si="62"/>
        <v>530</v>
      </c>
      <c r="B532" s="75" t="s">
        <v>432</v>
      </c>
      <c r="C532" s="74" t="str">
        <f>IF($B532&lt;&gt;"",_xlfn.IFNA(VLOOKUP($B532,'Node Details'!$B:$U,C$1,0),"Check"),"")</f>
        <v>0000AXW01-0000AXW07</v>
      </c>
      <c r="D532" s="74" t="str">
        <f>IF($B532&lt;&gt;"",_xlfn.IFNA(VLOOKUP($B532,'Node Details'!$B:$U,D$1,0),"Check"),"")</f>
        <v>AXW</v>
      </c>
      <c r="E532" s="74" t="str">
        <f>IF($B532&lt;&gt;"",_xlfn.IFNA(VLOOKUP($B532,'Node Details'!$B:$U,E$1,0),"Check"),"")</f>
        <v>Airtel</v>
      </c>
      <c r="F532" s="76">
        <v>46114</v>
      </c>
      <c r="G532" s="74"/>
      <c r="H532" s="10" t="s">
        <v>1247</v>
      </c>
      <c r="I532" s="9">
        <v>2</v>
      </c>
      <c r="J532" s="9">
        <v>650</v>
      </c>
      <c r="K532" s="77">
        <f t="shared" si="63"/>
        <v>1300</v>
      </c>
      <c r="L532" s="76">
        <v>46112</v>
      </c>
      <c r="N532" s="83"/>
      <c r="O532" s="84"/>
      <c r="P532" s="81"/>
      <c r="Q532" s="81"/>
      <c r="R532" s="81"/>
      <c r="S532" s="81"/>
      <c r="T532" s="85"/>
      <c r="U532" s="81"/>
      <c r="V532" s="81"/>
      <c r="W532" s="123">
        <f t="shared" si="64"/>
        <v>0</v>
      </c>
      <c r="X532" s="123" t="s">
        <v>84</v>
      </c>
      <c r="Y532" s="114" t="s">
        <v>93</v>
      </c>
    </row>
    <row r="533" spans="1:25" s="24" customFormat="1" ht="11.1" customHeight="1">
      <c r="A533" s="74">
        <f t="shared" si="62"/>
        <v>531</v>
      </c>
      <c r="B533" s="75" t="s">
        <v>377</v>
      </c>
      <c r="C533" s="74" t="str">
        <f>IF($B533&lt;&gt;"",_xlfn.IFNA(VLOOKUP($B533,'Node Details'!$B:$U,C$1,0),"Check"),"")</f>
        <v>0000AXW01-0000AXW07</v>
      </c>
      <c r="D533" s="74" t="str">
        <f>IF($B533&lt;&gt;"",_xlfn.IFNA(VLOOKUP($B533,'Node Details'!$B:$U,D$1,0),"Check"),"")</f>
        <v>AXW</v>
      </c>
      <c r="E533" s="74" t="str">
        <f>IF($B533&lt;&gt;"",_xlfn.IFNA(VLOOKUP($B533,'Node Details'!$B:$U,E$1,0),"Check"),"")</f>
        <v>Airtel</v>
      </c>
      <c r="F533" s="76">
        <v>46114</v>
      </c>
      <c r="G533" s="74"/>
      <c r="H533" s="10" t="s">
        <v>1247</v>
      </c>
      <c r="I533" s="9">
        <v>2</v>
      </c>
      <c r="J533" s="9">
        <v>650</v>
      </c>
      <c r="K533" s="77">
        <f t="shared" si="63"/>
        <v>1300</v>
      </c>
      <c r="L533" s="76">
        <v>46112</v>
      </c>
      <c r="N533" s="83"/>
      <c r="O533" s="84"/>
      <c r="P533" s="81"/>
      <c r="Q533" s="81"/>
      <c r="R533" s="81"/>
      <c r="S533" s="81"/>
      <c r="T533" s="85"/>
      <c r="U533" s="81"/>
      <c r="V533" s="81"/>
      <c r="W533" s="123">
        <f t="shared" si="64"/>
        <v>0</v>
      </c>
      <c r="X533" s="123" t="s">
        <v>84</v>
      </c>
      <c r="Y533" s="114" t="s">
        <v>93</v>
      </c>
    </row>
    <row r="534" spans="1:25" s="24" customFormat="1" ht="11.1" customHeight="1">
      <c r="A534" s="74">
        <f t="shared" si="62"/>
        <v>532</v>
      </c>
      <c r="B534" s="75" t="s">
        <v>445</v>
      </c>
      <c r="C534" s="74" t="str">
        <f>IF($B534&lt;&gt;"",_xlfn.IFNA(VLOOKUP($B534,'Node Details'!$B:$U,C$1,0),"Check"),"")</f>
        <v>000000AXW-0000AXW17</v>
      </c>
      <c r="D534" s="74" t="str">
        <f>IF($B534&lt;&gt;"",_xlfn.IFNA(VLOOKUP($B534,'Node Details'!$B:$U,D$1,0),"Check"),"")</f>
        <v>AXW</v>
      </c>
      <c r="E534" s="74" t="str">
        <f>IF($B534&lt;&gt;"",_xlfn.IFNA(VLOOKUP($B534,'Node Details'!$B:$U,E$1,0),"Check"),"")</f>
        <v>Airtel</v>
      </c>
      <c r="F534" s="76">
        <v>46114</v>
      </c>
      <c r="G534" s="74"/>
      <c r="H534" s="10" t="s">
        <v>1247</v>
      </c>
      <c r="I534" s="9">
        <v>1</v>
      </c>
      <c r="J534" s="9">
        <v>650</v>
      </c>
      <c r="K534" s="77">
        <f t="shared" si="63"/>
        <v>650</v>
      </c>
      <c r="L534" s="76">
        <v>46112</v>
      </c>
      <c r="N534" s="83"/>
      <c r="O534" s="84"/>
      <c r="P534" s="81"/>
      <c r="Q534" s="81"/>
      <c r="R534" s="81"/>
      <c r="S534" s="81"/>
      <c r="T534" s="85"/>
      <c r="U534" s="81"/>
      <c r="V534" s="81"/>
      <c r="W534" s="123">
        <f t="shared" si="64"/>
        <v>0</v>
      </c>
      <c r="X534" s="123" t="s">
        <v>84</v>
      </c>
      <c r="Y534" s="114" t="s">
        <v>93</v>
      </c>
    </row>
    <row r="535" spans="1:25" s="24" customFormat="1" ht="11.1" customHeight="1">
      <c r="A535" s="74">
        <f t="shared" si="62"/>
        <v>533</v>
      </c>
      <c r="B535" s="75" t="s">
        <v>458</v>
      </c>
      <c r="C535" s="74" t="str">
        <f>IF($B535&lt;&gt;"",_xlfn.IFNA(VLOOKUP($B535,'Node Details'!$B:$U,C$1,0),"Check"),"")</f>
        <v>000000AXW-0000AXW12</v>
      </c>
      <c r="D535" s="74" t="str">
        <f>IF($B535&lt;&gt;"",_xlfn.IFNA(VLOOKUP($B535,'Node Details'!$B:$U,D$1,0),"Check"),"")</f>
        <v>AXW</v>
      </c>
      <c r="E535" s="74" t="str">
        <f>IF($B535&lt;&gt;"",_xlfn.IFNA(VLOOKUP($B535,'Node Details'!$B:$U,E$1,0),"Check"),"")</f>
        <v>Airtel</v>
      </c>
      <c r="F535" s="76">
        <v>46114</v>
      </c>
      <c r="G535" s="74"/>
      <c r="H535" s="10" t="s">
        <v>1247</v>
      </c>
      <c r="I535" s="9">
        <v>1</v>
      </c>
      <c r="J535" s="9">
        <v>650</v>
      </c>
      <c r="K535" s="77">
        <f t="shared" si="63"/>
        <v>650</v>
      </c>
      <c r="L535" s="76">
        <v>46112</v>
      </c>
      <c r="N535" s="83"/>
      <c r="O535" s="84"/>
      <c r="P535" s="81"/>
      <c r="Q535" s="81"/>
      <c r="R535" s="81"/>
      <c r="S535" s="81"/>
      <c r="T535" s="85"/>
      <c r="U535" s="81"/>
      <c r="V535" s="81"/>
      <c r="W535" s="123">
        <f t="shared" si="64"/>
        <v>0</v>
      </c>
      <c r="X535" s="123" t="s">
        <v>84</v>
      </c>
      <c r="Y535" s="114" t="s">
        <v>93</v>
      </c>
    </row>
    <row r="536" spans="1:25" s="24" customFormat="1" ht="11.1" customHeight="1">
      <c r="A536" s="74">
        <f t="shared" si="62"/>
        <v>534</v>
      </c>
      <c r="B536" s="75" t="s">
        <v>383</v>
      </c>
      <c r="C536" s="74" t="str">
        <f>IF($B536&lt;&gt;"",_xlfn.IFNA(VLOOKUP($B536,'Node Details'!$B:$U,C$1,0),"Check"),"")</f>
        <v>000000AXW-0000AXW12</v>
      </c>
      <c r="D536" s="74" t="str">
        <f>IF($B536&lt;&gt;"",_xlfn.IFNA(VLOOKUP($B536,'Node Details'!$B:$U,D$1,0),"Check"),"")</f>
        <v>AXW</v>
      </c>
      <c r="E536" s="74" t="str">
        <f>IF($B536&lt;&gt;"",_xlfn.IFNA(VLOOKUP($B536,'Node Details'!$B:$U,E$1,0),"Check"),"")</f>
        <v>Airtel</v>
      </c>
      <c r="F536" s="76">
        <v>46114</v>
      </c>
      <c r="G536" s="74"/>
      <c r="H536" s="10" t="s">
        <v>1247</v>
      </c>
      <c r="I536" s="9">
        <v>1</v>
      </c>
      <c r="J536" s="9">
        <v>650</v>
      </c>
      <c r="K536" s="77">
        <f t="shared" si="63"/>
        <v>650</v>
      </c>
      <c r="L536" s="76">
        <v>46112</v>
      </c>
      <c r="N536" s="83"/>
      <c r="O536" s="84"/>
      <c r="P536" s="81"/>
      <c r="Q536" s="81"/>
      <c r="R536" s="81"/>
      <c r="S536" s="81"/>
      <c r="T536" s="85"/>
      <c r="U536" s="81"/>
      <c r="V536" s="81"/>
      <c r="W536" s="123">
        <f t="shared" si="64"/>
        <v>0</v>
      </c>
      <c r="X536" s="123" t="s">
        <v>84</v>
      </c>
      <c r="Y536" s="114" t="s">
        <v>93</v>
      </c>
    </row>
    <row r="537" spans="1:25" s="24" customFormat="1" ht="11.1" customHeight="1">
      <c r="A537" s="74">
        <f t="shared" si="62"/>
        <v>535</v>
      </c>
      <c r="B537" s="75" t="s">
        <v>474</v>
      </c>
      <c r="C537" s="74" t="str">
        <f>IF($B537&lt;&gt;"",_xlfn.IFNA(VLOOKUP($B537,'Node Details'!$B:$U,C$1,0),"Check"),"")</f>
        <v>000000AXW-0000AXW12</v>
      </c>
      <c r="D537" s="74" t="str">
        <f>IF($B537&lt;&gt;"",_xlfn.IFNA(VLOOKUP($B537,'Node Details'!$B:$U,D$1,0),"Check"),"")</f>
        <v>AXW</v>
      </c>
      <c r="E537" s="74" t="str">
        <f>IF($B537&lt;&gt;"",_xlfn.IFNA(VLOOKUP($B537,'Node Details'!$B:$U,E$1,0),"Check"),"")</f>
        <v>Airtel</v>
      </c>
      <c r="F537" s="76">
        <v>46114</v>
      </c>
      <c r="G537" s="74"/>
      <c r="H537" s="10" t="s">
        <v>1247</v>
      </c>
      <c r="I537" s="9">
        <v>1</v>
      </c>
      <c r="J537" s="9">
        <v>650</v>
      </c>
      <c r="K537" s="77">
        <f t="shared" si="63"/>
        <v>650</v>
      </c>
      <c r="L537" s="76">
        <v>46112</v>
      </c>
      <c r="N537" s="83"/>
      <c r="O537" s="84"/>
      <c r="P537" s="81"/>
      <c r="Q537" s="81"/>
      <c r="R537" s="81"/>
      <c r="S537" s="81"/>
      <c r="T537" s="85"/>
      <c r="U537" s="81"/>
      <c r="V537" s="81"/>
      <c r="W537" s="123">
        <f t="shared" si="64"/>
        <v>0</v>
      </c>
      <c r="X537" s="123" t="s">
        <v>84</v>
      </c>
      <c r="Y537" s="114" t="s">
        <v>93</v>
      </c>
    </row>
    <row r="538" spans="1:25" s="24" customFormat="1" ht="11.1" customHeight="1">
      <c r="A538" s="74">
        <f t="shared" si="62"/>
        <v>536</v>
      </c>
      <c r="B538" s="75" t="s">
        <v>381</v>
      </c>
      <c r="C538" s="74" t="str">
        <f>IF($B538&lt;&gt;"",_xlfn.IFNA(VLOOKUP($B538,'Node Details'!$B:$U,C$1,0),"Check"),"")</f>
        <v>000000AXW-0000AXW12</v>
      </c>
      <c r="D538" s="74" t="str">
        <f>IF($B538&lt;&gt;"",_xlfn.IFNA(VLOOKUP($B538,'Node Details'!$B:$U,D$1,0),"Check"),"")</f>
        <v>AXW</v>
      </c>
      <c r="E538" s="74" t="str">
        <f>IF($B538&lt;&gt;"",_xlfn.IFNA(VLOOKUP($B538,'Node Details'!$B:$U,E$1,0),"Check"),"")</f>
        <v>Airtel</v>
      </c>
      <c r="F538" s="76">
        <v>46114</v>
      </c>
      <c r="G538" s="74"/>
      <c r="H538" s="10" t="s">
        <v>1247</v>
      </c>
      <c r="I538" s="9">
        <v>1</v>
      </c>
      <c r="J538" s="9">
        <v>650</v>
      </c>
      <c r="K538" s="77">
        <f t="shared" si="63"/>
        <v>650</v>
      </c>
      <c r="L538" s="76">
        <v>46112</v>
      </c>
      <c r="N538" s="83"/>
      <c r="O538" s="84"/>
      <c r="P538" s="81"/>
      <c r="Q538" s="81"/>
      <c r="R538" s="81"/>
      <c r="S538" s="81"/>
      <c r="T538" s="85"/>
      <c r="U538" s="81"/>
      <c r="V538" s="81"/>
      <c r="W538" s="123">
        <f t="shared" si="64"/>
        <v>0</v>
      </c>
      <c r="X538" s="123" t="s">
        <v>84</v>
      </c>
      <c r="Y538" s="114" t="s">
        <v>93</v>
      </c>
    </row>
    <row r="539" spans="1:25" s="24" customFormat="1" ht="11.1" customHeight="1">
      <c r="A539" s="74">
        <f t="shared" si="62"/>
        <v>537</v>
      </c>
      <c r="B539" s="75" t="s">
        <v>487</v>
      </c>
      <c r="C539" s="74" t="str">
        <f>IF($B539&lt;&gt;"",_xlfn.IFNA(VLOOKUP($B539,'Node Details'!$B:$U,C$1,0),"Check"),"")</f>
        <v>0000AXW10-0000AXW15</v>
      </c>
      <c r="D539" s="74" t="str">
        <f>IF($B539&lt;&gt;"",_xlfn.IFNA(VLOOKUP($B539,'Node Details'!$B:$U,D$1,0),"Check"),"")</f>
        <v>AXW</v>
      </c>
      <c r="E539" s="74" t="str">
        <f>IF($B539&lt;&gt;"",_xlfn.IFNA(VLOOKUP($B539,'Node Details'!$B:$U,E$1,0),"Check"),"")</f>
        <v>Airtel</v>
      </c>
      <c r="F539" s="76">
        <v>46114</v>
      </c>
      <c r="G539" s="74"/>
      <c r="H539" s="10" t="s">
        <v>1247</v>
      </c>
      <c r="I539" s="9">
        <v>1</v>
      </c>
      <c r="J539" s="9">
        <v>650</v>
      </c>
      <c r="K539" s="77">
        <f t="shared" si="63"/>
        <v>650</v>
      </c>
      <c r="L539" s="76">
        <v>46112</v>
      </c>
      <c r="N539" s="83"/>
      <c r="O539" s="84"/>
      <c r="P539" s="81"/>
      <c r="Q539" s="81"/>
      <c r="R539" s="81"/>
      <c r="S539" s="81"/>
      <c r="T539" s="85"/>
      <c r="U539" s="81"/>
      <c r="V539" s="81"/>
      <c r="W539" s="123">
        <f t="shared" si="64"/>
        <v>0</v>
      </c>
      <c r="X539" s="123" t="s">
        <v>84</v>
      </c>
      <c r="Y539" s="114" t="s">
        <v>93</v>
      </c>
    </row>
    <row r="540" spans="1:25" s="24" customFormat="1" ht="11.1" customHeight="1">
      <c r="A540" s="74">
        <f t="shared" si="62"/>
        <v>538</v>
      </c>
      <c r="B540" s="75" t="s">
        <v>494</v>
      </c>
      <c r="C540" s="74" t="str">
        <f>IF($B540&lt;&gt;"",_xlfn.IFNA(VLOOKUP($B540,'Node Details'!$B:$U,C$1,0),"Check"),"")</f>
        <v>0000AXW10-0000AXW15</v>
      </c>
      <c r="D540" s="74" t="str">
        <f>IF($B540&lt;&gt;"",_xlfn.IFNA(VLOOKUP($B540,'Node Details'!$B:$U,D$1,0),"Check"),"")</f>
        <v>AXW</v>
      </c>
      <c r="E540" s="74" t="str">
        <f>IF($B540&lt;&gt;"",_xlfn.IFNA(VLOOKUP($B540,'Node Details'!$B:$U,E$1,0),"Check"),"")</f>
        <v>Airtel</v>
      </c>
      <c r="F540" s="76">
        <v>46114</v>
      </c>
      <c r="G540" s="74"/>
      <c r="H540" s="10" t="s">
        <v>1247</v>
      </c>
      <c r="I540" s="9">
        <v>1</v>
      </c>
      <c r="J540" s="9">
        <v>650</v>
      </c>
      <c r="K540" s="77">
        <f t="shared" si="63"/>
        <v>650</v>
      </c>
      <c r="L540" s="76">
        <v>46112</v>
      </c>
      <c r="N540" s="83"/>
      <c r="O540" s="84"/>
      <c r="P540" s="81"/>
      <c r="Q540" s="81"/>
      <c r="R540" s="81"/>
      <c r="S540" s="81"/>
      <c r="T540" s="85"/>
      <c r="U540" s="81"/>
      <c r="V540" s="81"/>
      <c r="W540" s="123">
        <f t="shared" si="64"/>
        <v>0</v>
      </c>
      <c r="X540" s="123" t="s">
        <v>84</v>
      </c>
      <c r="Y540" s="114" t="s">
        <v>93</v>
      </c>
    </row>
    <row r="541" spans="1:25" s="24" customFormat="1" ht="11.1" customHeight="1">
      <c r="A541" s="74">
        <f t="shared" si="62"/>
        <v>539</v>
      </c>
      <c r="B541" s="75" t="s">
        <v>384</v>
      </c>
      <c r="C541" s="74" t="str">
        <f>IF($B541&lt;&gt;"",_xlfn.IFNA(VLOOKUP($B541,'Node Details'!$B:$U,C$1,0),"Check"),"")</f>
        <v>0000AXW10-0000AXW15</v>
      </c>
      <c r="D541" s="74" t="str">
        <f>IF($B541&lt;&gt;"",_xlfn.IFNA(VLOOKUP($B541,'Node Details'!$B:$U,D$1,0),"Check"),"")</f>
        <v>AXW</v>
      </c>
      <c r="E541" s="74" t="str">
        <f>IF($B541&lt;&gt;"",_xlfn.IFNA(VLOOKUP($B541,'Node Details'!$B:$U,E$1,0),"Check"),"")</f>
        <v>Airtel</v>
      </c>
      <c r="F541" s="76">
        <v>46114</v>
      </c>
      <c r="G541" s="74"/>
      <c r="H541" s="10" t="s">
        <v>1247</v>
      </c>
      <c r="I541" s="9">
        <v>1</v>
      </c>
      <c r="J541" s="9">
        <v>650</v>
      </c>
      <c r="K541" s="77">
        <f t="shared" si="63"/>
        <v>650</v>
      </c>
      <c r="L541" s="76">
        <v>46112</v>
      </c>
      <c r="N541" s="83"/>
      <c r="O541" s="84"/>
      <c r="P541" s="81"/>
      <c r="Q541" s="81"/>
      <c r="R541" s="81"/>
      <c r="S541" s="81"/>
      <c r="T541" s="85"/>
      <c r="U541" s="81"/>
      <c r="V541" s="81"/>
      <c r="W541" s="123">
        <f t="shared" si="64"/>
        <v>0</v>
      </c>
      <c r="X541" s="123" t="s">
        <v>84</v>
      </c>
      <c r="Y541" s="114" t="s">
        <v>93</v>
      </c>
    </row>
    <row r="542" spans="1:25" s="24" customFormat="1" ht="11.1" customHeight="1">
      <c r="A542" s="74">
        <f t="shared" si="62"/>
        <v>540</v>
      </c>
      <c r="B542" s="75" t="s">
        <v>386</v>
      </c>
      <c r="C542" s="74" t="str">
        <f>IF($B542&lt;&gt;"",_xlfn.IFNA(VLOOKUP($B542,'Node Details'!$B:$U,C$1,0),"Check"),"")</f>
        <v>000000AXW-0000AXW17</v>
      </c>
      <c r="D542" s="74" t="str">
        <f>IF($B542&lt;&gt;"",_xlfn.IFNA(VLOOKUP($B542,'Node Details'!$B:$U,D$1,0),"Check"),"")</f>
        <v>AXW</v>
      </c>
      <c r="E542" s="74" t="str">
        <f>IF($B542&lt;&gt;"",_xlfn.IFNA(VLOOKUP($B542,'Node Details'!$B:$U,E$1,0),"Check"),"")</f>
        <v>Airtel</v>
      </c>
      <c r="F542" s="76">
        <v>46114</v>
      </c>
      <c r="G542" s="74"/>
      <c r="H542" s="10" t="s">
        <v>1247</v>
      </c>
      <c r="I542" s="9">
        <v>1</v>
      </c>
      <c r="J542" s="9">
        <v>650</v>
      </c>
      <c r="K542" s="77">
        <f t="shared" si="63"/>
        <v>650</v>
      </c>
      <c r="L542" s="76">
        <v>46112</v>
      </c>
      <c r="N542" s="83"/>
      <c r="O542" s="84"/>
      <c r="P542" s="81"/>
      <c r="Q542" s="81"/>
      <c r="R542" s="81"/>
      <c r="S542" s="81"/>
      <c r="T542" s="85"/>
      <c r="U542" s="81"/>
      <c r="V542" s="81"/>
      <c r="W542" s="123">
        <f t="shared" si="64"/>
        <v>0</v>
      </c>
      <c r="X542" s="123" t="s">
        <v>84</v>
      </c>
      <c r="Y542" s="114" t="s">
        <v>93</v>
      </c>
    </row>
    <row r="543" spans="1:25" s="24" customFormat="1" ht="11.1" customHeight="1">
      <c r="A543" s="74">
        <f t="shared" si="62"/>
        <v>541</v>
      </c>
      <c r="B543" s="75" t="s">
        <v>379</v>
      </c>
      <c r="C543" s="74" t="str">
        <f>IF($B543&lt;&gt;"",_xlfn.IFNA(VLOOKUP($B543,'Node Details'!$B:$U,C$1,0),"Check"),"")</f>
        <v>000000AXW-0000AXW17</v>
      </c>
      <c r="D543" s="74" t="str">
        <f>IF($B543&lt;&gt;"",_xlfn.IFNA(VLOOKUP($B543,'Node Details'!$B:$U,D$1,0),"Check"),"")</f>
        <v>AXW</v>
      </c>
      <c r="E543" s="74" t="str">
        <f>IF($B543&lt;&gt;"",_xlfn.IFNA(VLOOKUP($B543,'Node Details'!$B:$U,E$1,0),"Check"),"")</f>
        <v>Airtel</v>
      </c>
      <c r="F543" s="76">
        <v>46114</v>
      </c>
      <c r="G543" s="74"/>
      <c r="H543" s="10" t="s">
        <v>1247</v>
      </c>
      <c r="I543" s="9">
        <v>1</v>
      </c>
      <c r="J543" s="9">
        <v>650</v>
      </c>
      <c r="K543" s="77">
        <f t="shared" si="63"/>
        <v>650</v>
      </c>
      <c r="L543" s="76">
        <v>46112</v>
      </c>
      <c r="N543" s="83"/>
      <c r="O543" s="84"/>
      <c r="P543" s="81"/>
      <c r="Q543" s="81"/>
      <c r="R543" s="81"/>
      <c r="S543" s="81"/>
      <c r="T543" s="85"/>
      <c r="U543" s="81"/>
      <c r="V543" s="81"/>
      <c r="W543" s="123">
        <f t="shared" si="64"/>
        <v>0</v>
      </c>
      <c r="X543" s="123" t="s">
        <v>84</v>
      </c>
      <c r="Y543" s="114" t="s">
        <v>93</v>
      </c>
    </row>
    <row r="544" spans="1:25" s="24" customFormat="1" ht="11.1" customHeight="1">
      <c r="A544" s="74">
        <f t="shared" si="62"/>
        <v>542</v>
      </c>
      <c r="B544" s="75" t="s">
        <v>532</v>
      </c>
      <c r="C544" s="74" t="str">
        <f>IF($B544&lt;&gt;"",_xlfn.IFNA(VLOOKUP($B544,'Node Details'!$B:$U,C$1,0),"Check"),"")</f>
        <v>0000AXW16-0000AXW20</v>
      </c>
      <c r="D544" s="74" t="str">
        <f>IF($B544&lt;&gt;"",_xlfn.IFNA(VLOOKUP($B544,'Node Details'!$B:$U,D$1,0),"Check"),"")</f>
        <v>AXW</v>
      </c>
      <c r="E544" s="74" t="str">
        <f>IF($B544&lt;&gt;"",_xlfn.IFNA(VLOOKUP($B544,'Node Details'!$B:$U,E$1,0),"Check"),"")</f>
        <v>Airtel</v>
      </c>
      <c r="F544" s="76">
        <v>46114</v>
      </c>
      <c r="G544" s="74"/>
      <c r="H544" s="10" t="s">
        <v>1247</v>
      </c>
      <c r="I544" s="9">
        <v>1</v>
      </c>
      <c r="J544" s="9">
        <v>650</v>
      </c>
      <c r="K544" s="77">
        <f t="shared" si="63"/>
        <v>650</v>
      </c>
      <c r="L544" s="76">
        <v>46112</v>
      </c>
      <c r="N544" s="83"/>
      <c r="O544" s="84"/>
      <c r="P544" s="81"/>
      <c r="Q544" s="81"/>
      <c r="R544" s="81"/>
      <c r="S544" s="81"/>
      <c r="T544" s="85"/>
      <c r="U544" s="81"/>
      <c r="V544" s="81"/>
      <c r="W544" s="123">
        <f t="shared" si="64"/>
        <v>0</v>
      </c>
      <c r="X544" s="123" t="s">
        <v>84</v>
      </c>
      <c r="Y544" s="114" t="s">
        <v>93</v>
      </c>
    </row>
    <row r="545" spans="1:25" s="24" customFormat="1" ht="11.1" customHeight="1">
      <c r="A545" s="74">
        <f t="shared" si="62"/>
        <v>543</v>
      </c>
      <c r="B545" s="75" t="s">
        <v>389</v>
      </c>
      <c r="C545" s="74" t="str">
        <f>IF($B545&lt;&gt;"",_xlfn.IFNA(VLOOKUP($B545,'Node Details'!$B:$U,C$1,0),"Check"),"")</f>
        <v>0000AXW16-0000AXW20</v>
      </c>
      <c r="D545" s="74" t="str">
        <f>IF($B545&lt;&gt;"",_xlfn.IFNA(VLOOKUP($B545,'Node Details'!$B:$U,D$1,0),"Check"),"")</f>
        <v>AXW</v>
      </c>
      <c r="E545" s="74" t="str">
        <f>IF($B545&lt;&gt;"",_xlfn.IFNA(VLOOKUP($B545,'Node Details'!$B:$U,E$1,0),"Check"),"")</f>
        <v>Airtel</v>
      </c>
      <c r="F545" s="76">
        <v>46114</v>
      </c>
      <c r="G545" s="74"/>
      <c r="H545" s="10" t="s">
        <v>1247</v>
      </c>
      <c r="I545" s="9">
        <v>1</v>
      </c>
      <c r="J545" s="9">
        <v>650</v>
      </c>
      <c r="K545" s="77">
        <f t="shared" si="63"/>
        <v>650</v>
      </c>
      <c r="L545" s="76">
        <v>46112</v>
      </c>
      <c r="N545" s="83"/>
      <c r="O545" s="84"/>
      <c r="P545" s="81"/>
      <c r="Q545" s="81"/>
      <c r="R545" s="81"/>
      <c r="S545" s="81"/>
      <c r="T545" s="85"/>
      <c r="U545" s="81"/>
      <c r="V545" s="81"/>
      <c r="W545" s="123">
        <f t="shared" si="64"/>
        <v>0</v>
      </c>
      <c r="X545" s="123" t="s">
        <v>84</v>
      </c>
      <c r="Y545" s="114" t="s">
        <v>93</v>
      </c>
    </row>
    <row r="546" spans="1:25" s="24" customFormat="1" ht="11.1" customHeight="1">
      <c r="A546" s="74">
        <f t="shared" si="62"/>
        <v>544</v>
      </c>
      <c r="B546" s="75" t="s">
        <v>387</v>
      </c>
      <c r="C546" s="74" t="str">
        <f>IF($B546&lt;&gt;"",_xlfn.IFNA(VLOOKUP($B546,'Node Details'!$B:$U,C$1,0),"Check"),"")</f>
        <v>0000AXW16-0000AXW20</v>
      </c>
      <c r="D546" s="74" t="str">
        <f>IF($B546&lt;&gt;"",_xlfn.IFNA(VLOOKUP($B546,'Node Details'!$B:$U,D$1,0),"Check"),"")</f>
        <v>AXW</v>
      </c>
      <c r="E546" s="74" t="str">
        <f>IF($B546&lt;&gt;"",_xlfn.IFNA(VLOOKUP($B546,'Node Details'!$B:$U,E$1,0),"Check"),"")</f>
        <v>Airtel</v>
      </c>
      <c r="F546" s="76">
        <v>46114</v>
      </c>
      <c r="G546" s="74"/>
      <c r="H546" s="10" t="s">
        <v>1247</v>
      </c>
      <c r="I546" s="9">
        <v>2</v>
      </c>
      <c r="J546" s="9">
        <v>650</v>
      </c>
      <c r="K546" s="77">
        <f t="shared" si="63"/>
        <v>1300</v>
      </c>
      <c r="L546" s="76">
        <v>46112</v>
      </c>
      <c r="N546" s="83"/>
      <c r="O546" s="84"/>
      <c r="P546" s="81"/>
      <c r="Q546" s="81"/>
      <c r="R546" s="81"/>
      <c r="S546" s="81"/>
      <c r="T546" s="85"/>
      <c r="U546" s="81"/>
      <c r="V546" s="81"/>
      <c r="W546" s="123">
        <f t="shared" si="64"/>
        <v>0</v>
      </c>
      <c r="X546" s="123" t="s">
        <v>84</v>
      </c>
      <c r="Y546" s="114" t="s">
        <v>93</v>
      </c>
    </row>
    <row r="547" spans="1:25" s="24" customFormat="1" ht="11.1" customHeight="1">
      <c r="A547" s="74">
        <f t="shared" si="62"/>
        <v>545</v>
      </c>
      <c r="B547" s="75" t="s">
        <v>574</v>
      </c>
      <c r="C547" s="74" t="str">
        <f>IF($B547&lt;&gt;"",_xlfn.IFNA(VLOOKUP($B547,'Node Details'!$B:$U,C$1,0),"Check"),"")</f>
        <v>0000AXW19-0000AXW22</v>
      </c>
      <c r="D547" s="74" t="str">
        <f>IF($B547&lt;&gt;"",_xlfn.IFNA(VLOOKUP($B547,'Node Details'!$B:$U,D$1,0),"Check"),"")</f>
        <v>AXW</v>
      </c>
      <c r="E547" s="74" t="str">
        <f>IF($B547&lt;&gt;"",_xlfn.IFNA(VLOOKUP($B547,'Node Details'!$B:$U,E$1,0),"Check"),"")</f>
        <v>Airtel</v>
      </c>
      <c r="F547" s="76">
        <v>46114</v>
      </c>
      <c r="G547" s="74"/>
      <c r="H547" s="10" t="s">
        <v>1247</v>
      </c>
      <c r="I547" s="9">
        <v>2</v>
      </c>
      <c r="J547" s="9">
        <v>650</v>
      </c>
      <c r="K547" s="77">
        <f t="shared" si="63"/>
        <v>1300</v>
      </c>
      <c r="L547" s="76">
        <v>46112</v>
      </c>
      <c r="N547" s="83"/>
      <c r="O547" s="84"/>
      <c r="P547" s="81"/>
      <c r="Q547" s="81"/>
      <c r="R547" s="81"/>
      <c r="S547" s="81"/>
      <c r="T547" s="85"/>
      <c r="U547" s="81"/>
      <c r="V547" s="81"/>
      <c r="W547" s="123">
        <f t="shared" si="64"/>
        <v>0</v>
      </c>
      <c r="X547" s="123" t="s">
        <v>84</v>
      </c>
      <c r="Y547" s="114" t="s">
        <v>93</v>
      </c>
    </row>
    <row r="548" spans="1:25" s="24" customFormat="1" ht="11.1" customHeight="1">
      <c r="A548" s="74">
        <f t="shared" si="62"/>
        <v>546</v>
      </c>
      <c r="B548" s="75" t="s">
        <v>390</v>
      </c>
      <c r="C548" s="74" t="str">
        <f>IF($B548&lt;&gt;"",_xlfn.IFNA(VLOOKUP($B548,'Node Details'!$B:$U,C$1,0),"Check"),"")</f>
        <v>0000AXW19-0000AXW22</v>
      </c>
      <c r="D548" s="74" t="str">
        <f>IF($B548&lt;&gt;"",_xlfn.IFNA(VLOOKUP($B548,'Node Details'!$B:$U,D$1,0),"Check"),"")</f>
        <v>AXW</v>
      </c>
      <c r="E548" s="74" t="str">
        <f>IF($B548&lt;&gt;"",_xlfn.IFNA(VLOOKUP($B548,'Node Details'!$B:$U,E$1,0),"Check"),"")</f>
        <v>Airtel</v>
      </c>
      <c r="F548" s="76">
        <v>46114</v>
      </c>
      <c r="G548" s="74"/>
      <c r="H548" s="10" t="s">
        <v>1247</v>
      </c>
      <c r="I548" s="9">
        <v>1</v>
      </c>
      <c r="J548" s="9">
        <v>650</v>
      </c>
      <c r="K548" s="77">
        <f t="shared" si="63"/>
        <v>650</v>
      </c>
      <c r="L548" s="76">
        <v>46112</v>
      </c>
      <c r="N548" s="83"/>
      <c r="O548" s="84"/>
      <c r="P548" s="81"/>
      <c r="Q548" s="81"/>
      <c r="R548" s="81"/>
      <c r="S548" s="81"/>
      <c r="T548" s="85"/>
      <c r="U548" s="81"/>
      <c r="V548" s="81"/>
      <c r="W548" s="123">
        <f t="shared" si="64"/>
        <v>0</v>
      </c>
      <c r="X548" s="123" t="s">
        <v>84</v>
      </c>
      <c r="Y548" s="114" t="s">
        <v>93</v>
      </c>
    </row>
    <row r="549" spans="1:25" s="24" customFormat="1" ht="11.1" customHeight="1">
      <c r="A549" s="74">
        <f t="shared" si="62"/>
        <v>547</v>
      </c>
      <c r="B549" s="75" t="s">
        <v>392</v>
      </c>
      <c r="C549" s="74" t="str">
        <f>IF($B549&lt;&gt;"",_xlfn.IFNA(VLOOKUP($B549,'Node Details'!$B:$U,C$1,0),"Check"),"")</f>
        <v>0000AXW01-AXW010101</v>
      </c>
      <c r="D549" s="74" t="str">
        <f>IF($B549&lt;&gt;"",_xlfn.IFNA(VLOOKUP($B549,'Node Details'!$B:$U,D$1,0),"Check"),"")</f>
        <v>AXW</v>
      </c>
      <c r="E549" s="74" t="str">
        <f>IF($B549&lt;&gt;"",_xlfn.IFNA(VLOOKUP($B549,'Node Details'!$B:$U,E$1,0),"Check"),"")</f>
        <v>Airtel</v>
      </c>
      <c r="F549" s="76">
        <v>46114</v>
      </c>
      <c r="G549" s="74"/>
      <c r="H549" s="10" t="s">
        <v>1249</v>
      </c>
      <c r="I549" s="9">
        <v>1</v>
      </c>
      <c r="J549" s="9">
        <v>375</v>
      </c>
      <c r="K549" s="77">
        <f t="shared" si="63"/>
        <v>375</v>
      </c>
      <c r="L549" s="76">
        <v>46112</v>
      </c>
      <c r="N549" s="83"/>
      <c r="O549" s="84"/>
      <c r="P549" s="81"/>
      <c r="Q549" s="81"/>
      <c r="R549" s="81"/>
      <c r="S549" s="81"/>
      <c r="T549" s="85"/>
      <c r="U549" s="81"/>
      <c r="V549" s="81"/>
      <c r="W549" s="123">
        <f t="shared" si="64"/>
        <v>0</v>
      </c>
      <c r="X549" s="123" t="s">
        <v>84</v>
      </c>
      <c r="Y549" s="114" t="s">
        <v>93</v>
      </c>
    </row>
    <row r="550" spans="1:25" s="24" customFormat="1" ht="11.1" customHeight="1">
      <c r="A550" s="74">
        <f t="shared" si="62"/>
        <v>548</v>
      </c>
      <c r="B550" s="75" t="s">
        <v>1051</v>
      </c>
      <c r="C550" s="74" t="str">
        <f>IF($B550&lt;&gt;"",_xlfn.IFNA(VLOOKUP($B550,'Node Details'!$B:$U,C$1,0),"Check"),"")</f>
        <v>0000AXW01-AXW010105</v>
      </c>
      <c r="D550" s="74" t="str">
        <f>IF($B550&lt;&gt;"",_xlfn.IFNA(VLOOKUP($B550,'Node Details'!$B:$U,D$1,0),"Check"),"")</f>
        <v>AXW</v>
      </c>
      <c r="E550" s="74" t="str">
        <f>IF($B550&lt;&gt;"",_xlfn.IFNA(VLOOKUP($B550,'Node Details'!$B:$U,E$1,0),"Check"),"")</f>
        <v>Airtel</v>
      </c>
      <c r="F550" s="76">
        <v>46114</v>
      </c>
      <c r="G550" s="74"/>
      <c r="H550" s="10" t="s">
        <v>1249</v>
      </c>
      <c r="I550" s="9">
        <v>1</v>
      </c>
      <c r="J550" s="9">
        <v>375</v>
      </c>
      <c r="K550" s="77">
        <f t="shared" si="63"/>
        <v>375</v>
      </c>
      <c r="L550" s="76">
        <v>46112</v>
      </c>
      <c r="N550" s="83"/>
      <c r="O550" s="84"/>
      <c r="P550" s="81"/>
      <c r="Q550" s="81"/>
      <c r="R550" s="81"/>
      <c r="S550" s="81"/>
      <c r="T550" s="85"/>
      <c r="U550" s="81"/>
      <c r="V550" s="81"/>
      <c r="W550" s="123">
        <f t="shared" si="64"/>
        <v>0</v>
      </c>
      <c r="X550" s="123" t="s">
        <v>84</v>
      </c>
      <c r="Y550" s="114" t="s">
        <v>93</v>
      </c>
    </row>
    <row r="551" spans="1:25" s="24" customFormat="1" ht="11.1" customHeight="1">
      <c r="A551" s="74">
        <f t="shared" si="62"/>
        <v>549</v>
      </c>
      <c r="B551" s="75" t="s">
        <v>1052</v>
      </c>
      <c r="C551" s="74" t="str">
        <f>IF($B551&lt;&gt;"",_xlfn.IFNA(VLOOKUP($B551,'Node Details'!$B:$U,C$1,0),"Check"),"")</f>
        <v>0000AXW01-AXW010105</v>
      </c>
      <c r="D551" s="74" t="str">
        <f>IF($B551&lt;&gt;"",_xlfn.IFNA(VLOOKUP($B551,'Node Details'!$B:$U,D$1,0),"Check"),"")</f>
        <v>AXW</v>
      </c>
      <c r="E551" s="74" t="str">
        <f>IF($B551&lt;&gt;"",_xlfn.IFNA(VLOOKUP($B551,'Node Details'!$B:$U,E$1,0),"Check"),"")</f>
        <v>Airtel</v>
      </c>
      <c r="F551" s="76">
        <v>46114</v>
      </c>
      <c r="G551" s="74"/>
      <c r="H551" s="10" t="s">
        <v>1249</v>
      </c>
      <c r="I551" s="9">
        <v>1</v>
      </c>
      <c r="J551" s="9">
        <v>375</v>
      </c>
      <c r="K551" s="77">
        <f t="shared" si="63"/>
        <v>375</v>
      </c>
      <c r="L551" s="76">
        <v>46112</v>
      </c>
      <c r="N551" s="83"/>
      <c r="O551" s="84"/>
      <c r="P551" s="81"/>
      <c r="Q551" s="81"/>
      <c r="R551" s="81"/>
      <c r="S551" s="81"/>
      <c r="T551" s="85"/>
      <c r="U551" s="81"/>
      <c r="V551" s="81"/>
      <c r="W551" s="123">
        <f t="shared" si="64"/>
        <v>0</v>
      </c>
      <c r="X551" s="123" t="s">
        <v>84</v>
      </c>
      <c r="Y551" s="114" t="s">
        <v>93</v>
      </c>
    </row>
    <row r="552" spans="1:25" s="24" customFormat="1" ht="11.1" customHeight="1">
      <c r="A552" s="74">
        <f t="shared" si="62"/>
        <v>550</v>
      </c>
      <c r="B552" s="75" t="s">
        <v>394</v>
      </c>
      <c r="C552" s="74" t="str">
        <f>IF($B552&lt;&gt;"",_xlfn.IFNA(VLOOKUP($B552,'Node Details'!$B:$U,C$1,0),"Check"),"")</f>
        <v>0000AXW01-AXW010105</v>
      </c>
      <c r="D552" s="74" t="str">
        <f>IF($B552&lt;&gt;"",_xlfn.IFNA(VLOOKUP($B552,'Node Details'!$B:$U,D$1,0),"Check"),"")</f>
        <v>AXW</v>
      </c>
      <c r="E552" s="74" t="str">
        <f>IF($B552&lt;&gt;"",_xlfn.IFNA(VLOOKUP($B552,'Node Details'!$B:$U,E$1,0),"Check"),"")</f>
        <v>Airtel</v>
      </c>
      <c r="F552" s="76">
        <v>46114</v>
      </c>
      <c r="G552" s="74"/>
      <c r="H552" s="10" t="s">
        <v>1249</v>
      </c>
      <c r="I552" s="9">
        <v>1</v>
      </c>
      <c r="J552" s="9">
        <v>375</v>
      </c>
      <c r="K552" s="77">
        <f t="shared" si="63"/>
        <v>375</v>
      </c>
      <c r="L552" s="76">
        <v>46112</v>
      </c>
      <c r="N552" s="83"/>
      <c r="O552" s="84"/>
      <c r="P552" s="81"/>
      <c r="Q552" s="81"/>
      <c r="R552" s="81"/>
      <c r="S552" s="81"/>
      <c r="T552" s="85"/>
      <c r="U552" s="81"/>
      <c r="V552" s="81"/>
      <c r="W552" s="123">
        <f t="shared" si="64"/>
        <v>0</v>
      </c>
      <c r="X552" s="123" t="s">
        <v>84</v>
      </c>
      <c r="Y552" s="114" t="s">
        <v>93</v>
      </c>
    </row>
    <row r="553" spans="1:25" s="24" customFormat="1" ht="11.1" customHeight="1">
      <c r="A553" s="74">
        <f t="shared" si="62"/>
        <v>551</v>
      </c>
      <c r="B553" s="75" t="s">
        <v>1053</v>
      </c>
      <c r="C553" s="74" t="str">
        <f>IF($B553&lt;&gt;"",_xlfn.IFNA(VLOOKUP($B553,'Node Details'!$B:$U,C$1,0),"Check"),"")</f>
        <v>0000AXW02-AXW020105</v>
      </c>
      <c r="D553" s="74" t="str">
        <f>IF($B553&lt;&gt;"",_xlfn.IFNA(VLOOKUP($B553,'Node Details'!$B:$U,D$1,0),"Check"),"")</f>
        <v>AXW</v>
      </c>
      <c r="E553" s="74" t="str">
        <f>IF($B553&lt;&gt;"",_xlfn.IFNA(VLOOKUP($B553,'Node Details'!$B:$U,E$1,0),"Check"),"")</f>
        <v>Airtel</v>
      </c>
      <c r="F553" s="76">
        <v>46114</v>
      </c>
      <c r="G553" s="74"/>
      <c r="H553" s="10" t="s">
        <v>1249</v>
      </c>
      <c r="I553" s="9">
        <v>1</v>
      </c>
      <c r="J553" s="9">
        <v>375</v>
      </c>
      <c r="K553" s="77">
        <f t="shared" si="63"/>
        <v>375</v>
      </c>
      <c r="L553" s="76">
        <v>46112</v>
      </c>
      <c r="N553" s="83"/>
      <c r="O553" s="84"/>
      <c r="P553" s="81"/>
      <c r="Q553" s="81"/>
      <c r="R553" s="81"/>
      <c r="S553" s="81"/>
      <c r="T553" s="85"/>
      <c r="U553" s="81"/>
      <c r="V553" s="81"/>
      <c r="W553" s="123">
        <f t="shared" si="64"/>
        <v>0</v>
      </c>
      <c r="X553" s="123" t="s">
        <v>84</v>
      </c>
      <c r="Y553" s="114" t="s">
        <v>93</v>
      </c>
    </row>
    <row r="554" spans="1:25" s="24" customFormat="1" ht="11.1" customHeight="1">
      <c r="A554" s="74">
        <f t="shared" si="62"/>
        <v>552</v>
      </c>
      <c r="B554" s="75" t="s">
        <v>399</v>
      </c>
      <c r="C554" s="74" t="str">
        <f>IF($B554&lt;&gt;"",_xlfn.IFNA(VLOOKUP($B554,'Node Details'!$B:$U,C$1,0),"Check"),"")</f>
        <v>0000AXW02-AXW020101</v>
      </c>
      <c r="D554" s="74" t="str">
        <f>IF($B554&lt;&gt;"",_xlfn.IFNA(VLOOKUP($B554,'Node Details'!$B:$U,D$1,0),"Check"),"")</f>
        <v>AXW</v>
      </c>
      <c r="E554" s="74" t="str">
        <f>IF($B554&lt;&gt;"",_xlfn.IFNA(VLOOKUP($B554,'Node Details'!$B:$U,E$1,0),"Check"),"")</f>
        <v>Airtel</v>
      </c>
      <c r="F554" s="76">
        <v>46114</v>
      </c>
      <c r="G554" s="74"/>
      <c r="H554" s="10" t="s">
        <v>1249</v>
      </c>
      <c r="I554" s="9">
        <v>1</v>
      </c>
      <c r="J554" s="9">
        <v>375</v>
      </c>
      <c r="K554" s="77">
        <f t="shared" si="63"/>
        <v>375</v>
      </c>
      <c r="L554" s="76">
        <v>46112</v>
      </c>
      <c r="N554" s="83"/>
      <c r="O554" s="84"/>
      <c r="P554" s="81"/>
      <c r="Q554" s="81"/>
      <c r="R554" s="81"/>
      <c r="S554" s="81"/>
      <c r="T554" s="85"/>
      <c r="U554" s="81"/>
      <c r="V554" s="81"/>
      <c r="W554" s="123">
        <f t="shared" si="64"/>
        <v>0</v>
      </c>
      <c r="X554" s="123" t="s">
        <v>84</v>
      </c>
      <c r="Y554" s="114" t="s">
        <v>93</v>
      </c>
    </row>
    <row r="555" spans="1:25" s="24" customFormat="1" ht="11.1" customHeight="1">
      <c r="A555" s="74">
        <f t="shared" si="62"/>
        <v>553</v>
      </c>
      <c r="B555" s="75" t="s">
        <v>1054</v>
      </c>
      <c r="C555" s="74" t="str">
        <f>IF($B555&lt;&gt;"",_xlfn.IFNA(VLOOKUP($B555,'Node Details'!$B:$U,C$1,0),"Check"),"")</f>
        <v>0000AXW02-AXW020105</v>
      </c>
      <c r="D555" s="74" t="str">
        <f>IF($B555&lt;&gt;"",_xlfn.IFNA(VLOOKUP($B555,'Node Details'!$B:$U,D$1,0),"Check"),"")</f>
        <v>AXW</v>
      </c>
      <c r="E555" s="74" t="str">
        <f>IF($B555&lt;&gt;"",_xlfn.IFNA(VLOOKUP($B555,'Node Details'!$B:$U,E$1,0),"Check"),"")</f>
        <v>Airtel</v>
      </c>
      <c r="F555" s="76">
        <v>46114</v>
      </c>
      <c r="G555" s="74"/>
      <c r="H555" s="10" t="s">
        <v>1249</v>
      </c>
      <c r="I555" s="9">
        <v>1</v>
      </c>
      <c r="J555" s="9">
        <v>375</v>
      </c>
      <c r="K555" s="77">
        <f t="shared" si="63"/>
        <v>375</v>
      </c>
      <c r="L555" s="76">
        <v>46112</v>
      </c>
      <c r="N555" s="83"/>
      <c r="O555" s="84"/>
      <c r="P555" s="81"/>
      <c r="Q555" s="81"/>
      <c r="R555" s="81"/>
      <c r="S555" s="81"/>
      <c r="T555" s="85"/>
      <c r="U555" s="81"/>
      <c r="V555" s="81"/>
      <c r="W555" s="123">
        <f t="shared" si="64"/>
        <v>0</v>
      </c>
      <c r="X555" s="123" t="s">
        <v>84</v>
      </c>
      <c r="Y555" s="114" t="s">
        <v>93</v>
      </c>
    </row>
    <row r="556" spans="1:25" s="24" customFormat="1" ht="11.1" customHeight="1">
      <c r="A556" s="74">
        <f t="shared" si="62"/>
        <v>554</v>
      </c>
      <c r="B556" s="75" t="s">
        <v>1055</v>
      </c>
      <c r="C556" s="74" t="str">
        <f>IF($B556&lt;&gt;"",_xlfn.IFNA(VLOOKUP($B556,'Node Details'!$B:$U,C$1,0),"Check"),"")</f>
        <v>0000AXW02-AXW020105</v>
      </c>
      <c r="D556" s="74" t="str">
        <f>IF($B556&lt;&gt;"",_xlfn.IFNA(VLOOKUP($B556,'Node Details'!$B:$U,D$1,0),"Check"),"")</f>
        <v>AXW</v>
      </c>
      <c r="E556" s="74" t="str">
        <f>IF($B556&lt;&gt;"",_xlfn.IFNA(VLOOKUP($B556,'Node Details'!$B:$U,E$1,0),"Check"),"")</f>
        <v>Airtel</v>
      </c>
      <c r="F556" s="76">
        <v>46114</v>
      </c>
      <c r="G556" s="74"/>
      <c r="H556" s="10" t="s">
        <v>1249</v>
      </c>
      <c r="I556" s="9">
        <v>1</v>
      </c>
      <c r="J556" s="9">
        <v>375</v>
      </c>
      <c r="K556" s="77">
        <f t="shared" si="63"/>
        <v>375</v>
      </c>
      <c r="L556" s="76">
        <v>46112</v>
      </c>
      <c r="N556" s="83"/>
      <c r="O556" s="84"/>
      <c r="P556" s="81"/>
      <c r="Q556" s="81"/>
      <c r="R556" s="81"/>
      <c r="S556" s="81"/>
      <c r="T556" s="85"/>
      <c r="U556" s="81"/>
      <c r="V556" s="81"/>
      <c r="W556" s="123">
        <f t="shared" si="64"/>
        <v>0</v>
      </c>
      <c r="X556" s="123" t="s">
        <v>84</v>
      </c>
      <c r="Y556" s="114" t="s">
        <v>93</v>
      </c>
    </row>
    <row r="557" spans="1:25" s="24" customFormat="1" ht="11.1" customHeight="1">
      <c r="A557" s="74">
        <f t="shared" si="62"/>
        <v>555</v>
      </c>
      <c r="B557" s="75" t="s">
        <v>397</v>
      </c>
      <c r="C557" s="74" t="str">
        <f>IF($B557&lt;&gt;"",_xlfn.IFNA(VLOOKUP($B557,'Node Details'!$B:$U,C$1,0),"Check"),"")</f>
        <v>0000AXW02-AXW020105</v>
      </c>
      <c r="D557" s="74" t="str">
        <f>IF($B557&lt;&gt;"",_xlfn.IFNA(VLOOKUP($B557,'Node Details'!$B:$U,D$1,0),"Check"),"")</f>
        <v>AXW</v>
      </c>
      <c r="E557" s="74" t="str">
        <f>IF($B557&lt;&gt;"",_xlfn.IFNA(VLOOKUP($B557,'Node Details'!$B:$U,E$1,0),"Check"),"")</f>
        <v>Airtel</v>
      </c>
      <c r="F557" s="76">
        <v>46114</v>
      </c>
      <c r="G557" s="74"/>
      <c r="H557" s="10" t="s">
        <v>1249</v>
      </c>
      <c r="I557" s="9">
        <v>1</v>
      </c>
      <c r="J557" s="9">
        <v>375</v>
      </c>
      <c r="K557" s="77">
        <f t="shared" si="63"/>
        <v>375</v>
      </c>
      <c r="L557" s="76">
        <v>46112</v>
      </c>
      <c r="N557" s="83"/>
      <c r="O557" s="84"/>
      <c r="P557" s="81"/>
      <c r="Q557" s="81"/>
      <c r="R557" s="81"/>
      <c r="S557" s="81"/>
      <c r="T557" s="85"/>
      <c r="U557" s="81"/>
      <c r="V557" s="81"/>
      <c r="W557" s="123">
        <f t="shared" si="64"/>
        <v>0</v>
      </c>
      <c r="X557" s="123" t="s">
        <v>84</v>
      </c>
      <c r="Y557" s="114" t="s">
        <v>93</v>
      </c>
    </row>
    <row r="558" spans="1:25" s="24" customFormat="1" ht="11.1" customHeight="1">
      <c r="A558" s="74">
        <f t="shared" si="62"/>
        <v>556</v>
      </c>
      <c r="B558" s="75" t="s">
        <v>401</v>
      </c>
      <c r="C558" s="74" t="str">
        <f>IF($B558&lt;&gt;"",_xlfn.IFNA(VLOOKUP($B558,'Node Details'!$B:$U,C$1,0),"Check"),"")</f>
        <v>0000AXW02-AXW020106</v>
      </c>
      <c r="D558" s="74" t="str">
        <f>IF($B558&lt;&gt;"",_xlfn.IFNA(VLOOKUP($B558,'Node Details'!$B:$U,D$1,0),"Check"),"")</f>
        <v>AXW</v>
      </c>
      <c r="E558" s="74" t="str">
        <f>IF($B558&lt;&gt;"",_xlfn.IFNA(VLOOKUP($B558,'Node Details'!$B:$U,E$1,0),"Check"),"")</f>
        <v>Airtel</v>
      </c>
      <c r="F558" s="76">
        <v>46114</v>
      </c>
      <c r="G558" s="74"/>
      <c r="H558" s="10" t="s">
        <v>1249</v>
      </c>
      <c r="I558" s="9">
        <v>1</v>
      </c>
      <c r="J558" s="9">
        <v>375</v>
      </c>
      <c r="K558" s="77">
        <f t="shared" si="63"/>
        <v>375</v>
      </c>
      <c r="L558" s="76">
        <v>46112</v>
      </c>
      <c r="N558" s="83"/>
      <c r="O558" s="84"/>
      <c r="P558" s="81"/>
      <c r="Q558" s="81"/>
      <c r="R558" s="81"/>
      <c r="S558" s="81"/>
      <c r="T558" s="85"/>
      <c r="U558" s="81"/>
      <c r="V558" s="81"/>
      <c r="W558" s="123">
        <f t="shared" si="64"/>
        <v>0</v>
      </c>
      <c r="X558" s="123" t="s">
        <v>84</v>
      </c>
      <c r="Y558" s="114" t="s">
        <v>93</v>
      </c>
    </row>
    <row r="559" spans="1:25" s="24" customFormat="1" ht="11.1" customHeight="1">
      <c r="A559" s="74">
        <f t="shared" si="62"/>
        <v>557</v>
      </c>
      <c r="B559" s="75" t="s">
        <v>1056</v>
      </c>
      <c r="C559" s="74" t="str">
        <f>IF($B559&lt;&gt;"",_xlfn.IFNA(VLOOKUP($B559,'Node Details'!$B:$U,C$1,0),"Check"),"")</f>
        <v>AXW020106-AXW020108</v>
      </c>
      <c r="D559" s="74" t="str">
        <f>IF($B559&lt;&gt;"",_xlfn.IFNA(VLOOKUP($B559,'Node Details'!$B:$U,D$1,0),"Check"),"")</f>
        <v>AXW</v>
      </c>
      <c r="E559" s="74" t="str">
        <f>IF($B559&lt;&gt;"",_xlfn.IFNA(VLOOKUP($B559,'Node Details'!$B:$U,E$1,0),"Check"),"")</f>
        <v>Airtel</v>
      </c>
      <c r="F559" s="76">
        <v>46114</v>
      </c>
      <c r="G559" s="74"/>
      <c r="H559" s="10" t="s">
        <v>1249</v>
      </c>
      <c r="I559" s="9">
        <v>1</v>
      </c>
      <c r="J559" s="9">
        <v>375</v>
      </c>
      <c r="K559" s="77">
        <f t="shared" si="63"/>
        <v>375</v>
      </c>
      <c r="L559" s="76">
        <v>46112</v>
      </c>
      <c r="N559" s="83"/>
      <c r="O559" s="84"/>
      <c r="P559" s="81"/>
      <c r="Q559" s="81"/>
      <c r="R559" s="81"/>
      <c r="S559" s="81"/>
      <c r="T559" s="85"/>
      <c r="U559" s="81"/>
      <c r="V559" s="81"/>
      <c r="W559" s="123">
        <f t="shared" si="64"/>
        <v>0</v>
      </c>
      <c r="X559" s="123" t="s">
        <v>84</v>
      </c>
      <c r="Y559" s="114" t="s">
        <v>93</v>
      </c>
    </row>
    <row r="560" spans="1:25" s="24" customFormat="1" ht="11.1" customHeight="1">
      <c r="A560" s="74">
        <f t="shared" si="62"/>
        <v>558</v>
      </c>
      <c r="B560" s="75" t="s">
        <v>403</v>
      </c>
      <c r="C560" s="74" t="str">
        <f>IF($B560&lt;&gt;"",_xlfn.IFNA(VLOOKUP($B560,'Node Details'!$B:$U,C$1,0),"Check"),"")</f>
        <v>AXW020106-AXW020108</v>
      </c>
      <c r="D560" s="74" t="str">
        <f>IF($B560&lt;&gt;"",_xlfn.IFNA(VLOOKUP($B560,'Node Details'!$B:$U,D$1,0),"Check"),"")</f>
        <v>AXW</v>
      </c>
      <c r="E560" s="74" t="str">
        <f>IF($B560&lt;&gt;"",_xlfn.IFNA(VLOOKUP($B560,'Node Details'!$B:$U,E$1,0),"Check"),"")</f>
        <v>Airtel</v>
      </c>
      <c r="F560" s="76">
        <v>46114</v>
      </c>
      <c r="G560" s="74"/>
      <c r="H560" s="10" t="s">
        <v>1249</v>
      </c>
      <c r="I560" s="9">
        <v>1</v>
      </c>
      <c r="J560" s="9">
        <v>375</v>
      </c>
      <c r="K560" s="77">
        <f t="shared" si="63"/>
        <v>375</v>
      </c>
      <c r="L560" s="76">
        <v>46112</v>
      </c>
      <c r="N560" s="83"/>
      <c r="O560" s="84"/>
      <c r="P560" s="81"/>
      <c r="Q560" s="81"/>
      <c r="R560" s="81"/>
      <c r="S560" s="81"/>
      <c r="T560" s="85"/>
      <c r="U560" s="81"/>
      <c r="V560" s="81"/>
      <c r="W560" s="123">
        <f t="shared" si="64"/>
        <v>0</v>
      </c>
      <c r="X560" s="123" t="s">
        <v>84</v>
      </c>
      <c r="Y560" s="114" t="s">
        <v>93</v>
      </c>
    </row>
    <row r="561" spans="1:25" s="24" customFormat="1" ht="11.1" customHeight="1">
      <c r="A561" s="74">
        <f t="shared" si="62"/>
        <v>559</v>
      </c>
      <c r="B561" s="75" t="s">
        <v>1057</v>
      </c>
      <c r="C561" s="74" t="str">
        <f>IF($B561&lt;&gt;"",_xlfn.IFNA(VLOOKUP($B561,'Node Details'!$B:$U,C$1,0),"Check"),"")</f>
        <v>AXW020106-AXW020203</v>
      </c>
      <c r="D561" s="74" t="str">
        <f>IF($B561&lt;&gt;"",_xlfn.IFNA(VLOOKUP($B561,'Node Details'!$B:$U,D$1,0),"Check"),"")</f>
        <v>AXW</v>
      </c>
      <c r="E561" s="74" t="str">
        <f>IF($B561&lt;&gt;"",_xlfn.IFNA(VLOOKUP($B561,'Node Details'!$B:$U,E$1,0),"Check"),"")</f>
        <v>Airtel</v>
      </c>
      <c r="F561" s="76">
        <v>46114</v>
      </c>
      <c r="G561" s="74"/>
      <c r="H561" s="10" t="s">
        <v>1249</v>
      </c>
      <c r="I561" s="9">
        <v>1</v>
      </c>
      <c r="J561" s="9">
        <v>375</v>
      </c>
      <c r="K561" s="77">
        <f t="shared" si="63"/>
        <v>375</v>
      </c>
      <c r="L561" s="76">
        <v>46112</v>
      </c>
      <c r="N561" s="83"/>
      <c r="O561" s="84"/>
      <c r="P561" s="81"/>
      <c r="Q561" s="81"/>
      <c r="R561" s="81"/>
      <c r="S561" s="81"/>
      <c r="T561" s="85"/>
      <c r="U561" s="81"/>
      <c r="V561" s="81"/>
      <c r="W561" s="123">
        <f t="shared" si="64"/>
        <v>0</v>
      </c>
      <c r="X561" s="123" t="s">
        <v>84</v>
      </c>
      <c r="Y561" s="114" t="s">
        <v>93</v>
      </c>
    </row>
    <row r="562" spans="1:25" s="24" customFormat="1" ht="11.1" customHeight="1">
      <c r="A562" s="74">
        <f t="shared" si="62"/>
        <v>560</v>
      </c>
      <c r="B562" s="75" t="s">
        <v>1058</v>
      </c>
      <c r="C562" s="74" t="str">
        <f>IF($B562&lt;&gt;"",_xlfn.IFNA(VLOOKUP($B562,'Node Details'!$B:$U,C$1,0),"Check"),"")</f>
        <v>AXW020106-AXW020203</v>
      </c>
      <c r="D562" s="74" t="str">
        <f>IF($B562&lt;&gt;"",_xlfn.IFNA(VLOOKUP($B562,'Node Details'!$B:$U,D$1,0),"Check"),"")</f>
        <v>AXW</v>
      </c>
      <c r="E562" s="74" t="str">
        <f>IF($B562&lt;&gt;"",_xlfn.IFNA(VLOOKUP($B562,'Node Details'!$B:$U,E$1,0),"Check"),"")</f>
        <v>Airtel</v>
      </c>
      <c r="F562" s="76">
        <v>46114</v>
      </c>
      <c r="G562" s="74"/>
      <c r="H562" s="10" t="s">
        <v>1249</v>
      </c>
      <c r="I562" s="9">
        <v>1</v>
      </c>
      <c r="J562" s="9">
        <v>375</v>
      </c>
      <c r="K562" s="77">
        <f t="shared" si="63"/>
        <v>375</v>
      </c>
      <c r="L562" s="76">
        <v>46112</v>
      </c>
      <c r="N562" s="83"/>
      <c r="O562" s="84"/>
      <c r="P562" s="81"/>
      <c r="Q562" s="81"/>
      <c r="R562" s="81"/>
      <c r="S562" s="81"/>
      <c r="T562" s="85"/>
      <c r="U562" s="81"/>
      <c r="V562" s="81"/>
      <c r="W562" s="123">
        <f t="shared" si="64"/>
        <v>0</v>
      </c>
      <c r="X562" s="123" t="s">
        <v>84</v>
      </c>
      <c r="Y562" s="114" t="s">
        <v>93</v>
      </c>
    </row>
    <row r="563" spans="1:25" s="24" customFormat="1" ht="11.1" customHeight="1">
      <c r="A563" s="74">
        <f t="shared" si="62"/>
        <v>561</v>
      </c>
      <c r="B563" s="75" t="s">
        <v>405</v>
      </c>
      <c r="C563" s="74" t="str">
        <f>IF($B563&lt;&gt;"",_xlfn.IFNA(VLOOKUP($B563,'Node Details'!$B:$U,C$1,0),"Check"),"")</f>
        <v>AXW020106-AXW020203</v>
      </c>
      <c r="D563" s="74" t="str">
        <f>IF($B563&lt;&gt;"",_xlfn.IFNA(VLOOKUP($B563,'Node Details'!$B:$U,D$1,0),"Check"),"")</f>
        <v>AXW</v>
      </c>
      <c r="E563" s="74" t="str">
        <f>IF($B563&lt;&gt;"",_xlfn.IFNA(VLOOKUP($B563,'Node Details'!$B:$U,E$1,0),"Check"),"")</f>
        <v>Airtel</v>
      </c>
      <c r="F563" s="76">
        <v>46114</v>
      </c>
      <c r="G563" s="74"/>
      <c r="H563" s="10" t="s">
        <v>1249</v>
      </c>
      <c r="I563" s="9">
        <v>1</v>
      </c>
      <c r="J563" s="9">
        <v>375</v>
      </c>
      <c r="K563" s="77">
        <f t="shared" si="63"/>
        <v>375</v>
      </c>
      <c r="L563" s="76">
        <v>46112</v>
      </c>
      <c r="N563" s="83"/>
      <c r="O563" s="84"/>
      <c r="P563" s="81"/>
      <c r="Q563" s="81"/>
      <c r="R563" s="81"/>
      <c r="S563" s="81"/>
      <c r="T563" s="85"/>
      <c r="U563" s="81"/>
      <c r="V563" s="81"/>
      <c r="W563" s="123">
        <f t="shared" si="64"/>
        <v>0</v>
      </c>
      <c r="X563" s="123" t="s">
        <v>84</v>
      </c>
      <c r="Y563" s="114" t="s">
        <v>93</v>
      </c>
    </row>
    <row r="564" spans="1:25" s="24" customFormat="1" ht="11.1" customHeight="1">
      <c r="A564" s="74">
        <f t="shared" si="62"/>
        <v>562</v>
      </c>
      <c r="B564" s="75" t="s">
        <v>611</v>
      </c>
      <c r="C564" s="74" t="str">
        <f>IF($B564&lt;&gt;"",_xlfn.IFNA(VLOOKUP($B564,'Node Details'!$B:$U,C$1,0),"Check"),"")</f>
        <v>0000AXW02-AXW020204</v>
      </c>
      <c r="D564" s="74" t="str">
        <f>IF($B564&lt;&gt;"",_xlfn.IFNA(VLOOKUP($B564,'Node Details'!$B:$U,D$1,0),"Check"),"")</f>
        <v>AXW</v>
      </c>
      <c r="E564" s="74" t="str">
        <f>IF($B564&lt;&gt;"",_xlfn.IFNA(VLOOKUP($B564,'Node Details'!$B:$U,E$1,0),"Check"),"")</f>
        <v>Airtel</v>
      </c>
      <c r="F564" s="76">
        <v>46114</v>
      </c>
      <c r="G564" s="74"/>
      <c r="H564" s="10" t="s">
        <v>1249</v>
      </c>
      <c r="I564" s="9">
        <v>1</v>
      </c>
      <c r="J564" s="9">
        <v>375</v>
      </c>
      <c r="K564" s="77">
        <f t="shared" si="63"/>
        <v>375</v>
      </c>
      <c r="L564" s="76">
        <v>46112</v>
      </c>
      <c r="N564" s="83"/>
      <c r="O564" s="84"/>
      <c r="P564" s="81"/>
      <c r="Q564" s="81"/>
      <c r="R564" s="81"/>
      <c r="S564" s="81"/>
      <c r="T564" s="85"/>
      <c r="U564" s="81"/>
      <c r="V564" s="81"/>
      <c r="W564" s="123">
        <f t="shared" si="64"/>
        <v>0</v>
      </c>
      <c r="X564" s="123" t="s">
        <v>84</v>
      </c>
      <c r="Y564" s="114" t="s">
        <v>93</v>
      </c>
    </row>
    <row r="565" spans="1:25" s="24" customFormat="1" ht="11.1" customHeight="1">
      <c r="A565" s="74">
        <f t="shared" si="62"/>
        <v>563</v>
      </c>
      <c r="B565" s="75" t="s">
        <v>1059</v>
      </c>
      <c r="C565" s="74" t="str">
        <f>IF($B565&lt;&gt;"",_xlfn.IFNA(VLOOKUP($B565,'Node Details'!$B:$U,C$1,0),"Check"),"")</f>
        <v>0000AXW03-AXW030104</v>
      </c>
      <c r="D565" s="74" t="str">
        <f>IF($B565&lt;&gt;"",_xlfn.IFNA(VLOOKUP($B565,'Node Details'!$B:$U,D$1,0),"Check"),"")</f>
        <v>AXW</v>
      </c>
      <c r="E565" s="74" t="str">
        <f>IF($B565&lt;&gt;"",_xlfn.IFNA(VLOOKUP($B565,'Node Details'!$B:$U,E$1,0),"Check"),"")</f>
        <v>Airtel</v>
      </c>
      <c r="F565" s="76">
        <v>46114</v>
      </c>
      <c r="G565" s="74"/>
      <c r="H565" s="10" t="s">
        <v>1249</v>
      </c>
      <c r="I565" s="9">
        <v>1</v>
      </c>
      <c r="J565" s="9">
        <v>375</v>
      </c>
      <c r="K565" s="77">
        <f t="shared" si="63"/>
        <v>375</v>
      </c>
      <c r="L565" s="76">
        <v>46112</v>
      </c>
      <c r="N565" s="83"/>
      <c r="O565" s="84"/>
      <c r="P565" s="81"/>
      <c r="Q565" s="81"/>
      <c r="R565" s="81"/>
      <c r="S565" s="81"/>
      <c r="T565" s="85"/>
      <c r="U565" s="81"/>
      <c r="V565" s="81"/>
      <c r="W565" s="123">
        <f t="shared" si="64"/>
        <v>0</v>
      </c>
      <c r="X565" s="123" t="s">
        <v>84</v>
      </c>
      <c r="Y565" s="114" t="s">
        <v>93</v>
      </c>
    </row>
    <row r="566" spans="1:25" s="24" customFormat="1" ht="11.1" customHeight="1">
      <c r="A566" s="74">
        <f t="shared" si="62"/>
        <v>564</v>
      </c>
      <c r="B566" s="75" t="s">
        <v>1060</v>
      </c>
      <c r="C566" s="74" t="str">
        <f>IF($B566&lt;&gt;"",_xlfn.IFNA(VLOOKUP($B566,'Node Details'!$B:$U,C$1,0),"Check"),"")</f>
        <v>0000AXW03-AXW030104</v>
      </c>
      <c r="D566" s="74" t="str">
        <f>IF($B566&lt;&gt;"",_xlfn.IFNA(VLOOKUP($B566,'Node Details'!$B:$U,D$1,0),"Check"),"")</f>
        <v>AXW</v>
      </c>
      <c r="E566" s="74" t="str">
        <f>IF($B566&lt;&gt;"",_xlfn.IFNA(VLOOKUP($B566,'Node Details'!$B:$U,E$1,0),"Check"),"")</f>
        <v>Airtel</v>
      </c>
      <c r="F566" s="76">
        <v>46114</v>
      </c>
      <c r="G566" s="74"/>
      <c r="H566" s="10" t="s">
        <v>1249</v>
      </c>
      <c r="I566" s="9">
        <v>1</v>
      </c>
      <c r="J566" s="9">
        <v>375</v>
      </c>
      <c r="K566" s="77">
        <f t="shared" si="63"/>
        <v>375</v>
      </c>
      <c r="L566" s="76">
        <v>46112</v>
      </c>
      <c r="N566" s="83"/>
      <c r="O566" s="84"/>
      <c r="P566" s="81"/>
      <c r="Q566" s="81"/>
      <c r="R566" s="81"/>
      <c r="S566" s="81"/>
      <c r="T566" s="85"/>
      <c r="U566" s="81"/>
      <c r="V566" s="81"/>
      <c r="W566" s="123">
        <f t="shared" si="64"/>
        <v>0</v>
      </c>
      <c r="X566" s="123" t="s">
        <v>84</v>
      </c>
      <c r="Y566" s="114" t="s">
        <v>93</v>
      </c>
    </row>
    <row r="567" spans="1:25" s="24" customFormat="1" ht="11.1" customHeight="1">
      <c r="A567" s="74">
        <f t="shared" si="62"/>
        <v>565</v>
      </c>
      <c r="B567" s="75" t="s">
        <v>1061</v>
      </c>
      <c r="C567" s="74" t="str">
        <f>IF($B567&lt;&gt;"",_xlfn.IFNA(VLOOKUP($B567,'Node Details'!$B:$U,C$1,0),"Check"),"")</f>
        <v>0000AXW03-AXW030104</v>
      </c>
      <c r="D567" s="74" t="str">
        <f>IF($B567&lt;&gt;"",_xlfn.IFNA(VLOOKUP($B567,'Node Details'!$B:$U,D$1,0),"Check"),"")</f>
        <v>AXW</v>
      </c>
      <c r="E567" s="74" t="str">
        <f>IF($B567&lt;&gt;"",_xlfn.IFNA(VLOOKUP($B567,'Node Details'!$B:$U,E$1,0),"Check"),"")</f>
        <v>Airtel</v>
      </c>
      <c r="F567" s="76">
        <v>46114</v>
      </c>
      <c r="G567" s="74"/>
      <c r="H567" s="10" t="s">
        <v>1249</v>
      </c>
      <c r="I567" s="9">
        <v>1</v>
      </c>
      <c r="J567" s="9">
        <v>375</v>
      </c>
      <c r="K567" s="77">
        <f t="shared" si="63"/>
        <v>375</v>
      </c>
      <c r="L567" s="76">
        <v>46112</v>
      </c>
      <c r="N567" s="83"/>
      <c r="O567" s="84"/>
      <c r="P567" s="81"/>
      <c r="Q567" s="81"/>
      <c r="R567" s="81"/>
      <c r="S567" s="81"/>
      <c r="T567" s="85"/>
      <c r="U567" s="81"/>
      <c r="V567" s="81"/>
      <c r="W567" s="123">
        <f t="shared" si="64"/>
        <v>0</v>
      </c>
      <c r="X567" s="123" t="s">
        <v>84</v>
      </c>
      <c r="Y567" s="114" t="s">
        <v>93</v>
      </c>
    </row>
    <row r="568" spans="1:25" s="24" customFormat="1" ht="11.1" customHeight="1">
      <c r="A568" s="74">
        <f t="shared" si="62"/>
        <v>566</v>
      </c>
      <c r="B568" s="75" t="s">
        <v>408</v>
      </c>
      <c r="C568" s="74" t="str">
        <f>IF($B568&lt;&gt;"",_xlfn.IFNA(VLOOKUP($B568,'Node Details'!$B:$U,C$1,0),"Check"),"")</f>
        <v>0000AXW03-AXW030104</v>
      </c>
      <c r="D568" s="74" t="str">
        <f>IF($B568&lt;&gt;"",_xlfn.IFNA(VLOOKUP($B568,'Node Details'!$B:$U,D$1,0),"Check"),"")</f>
        <v>AXW</v>
      </c>
      <c r="E568" s="74" t="str">
        <f>IF($B568&lt;&gt;"",_xlfn.IFNA(VLOOKUP($B568,'Node Details'!$B:$U,E$1,0),"Check"),"")</f>
        <v>Airtel</v>
      </c>
      <c r="F568" s="76">
        <v>46114</v>
      </c>
      <c r="G568" s="74"/>
      <c r="H568" s="10" t="s">
        <v>1249</v>
      </c>
      <c r="I568" s="9">
        <v>1</v>
      </c>
      <c r="J568" s="9">
        <v>375</v>
      </c>
      <c r="K568" s="77">
        <f t="shared" si="63"/>
        <v>375</v>
      </c>
      <c r="L568" s="76">
        <v>46112</v>
      </c>
      <c r="N568" s="83"/>
      <c r="O568" s="84"/>
      <c r="P568" s="81"/>
      <c r="Q568" s="81"/>
      <c r="R568" s="81"/>
      <c r="S568" s="81"/>
      <c r="T568" s="85"/>
      <c r="U568" s="81"/>
      <c r="V568" s="81"/>
      <c r="W568" s="123">
        <f t="shared" si="64"/>
        <v>0</v>
      </c>
      <c r="X568" s="123" t="s">
        <v>84</v>
      </c>
      <c r="Y568" s="114" t="s">
        <v>93</v>
      </c>
    </row>
    <row r="569" spans="1:25" s="24" customFormat="1" ht="11.1" customHeight="1">
      <c r="A569" s="74">
        <f t="shared" si="62"/>
        <v>567</v>
      </c>
      <c r="B569" s="75" t="s">
        <v>410</v>
      </c>
      <c r="C569" s="74" t="str">
        <f>IF($B569&lt;&gt;"",_xlfn.IFNA(VLOOKUP($B569,'Node Details'!$B:$U,C$1,0),"Check"),"")</f>
        <v>AXW030104-AXW030105</v>
      </c>
      <c r="D569" s="74" t="str">
        <f>IF($B569&lt;&gt;"",_xlfn.IFNA(VLOOKUP($B569,'Node Details'!$B:$U,D$1,0),"Check"),"")</f>
        <v>AXW</v>
      </c>
      <c r="E569" s="74" t="str">
        <f>IF($B569&lt;&gt;"",_xlfn.IFNA(VLOOKUP($B569,'Node Details'!$B:$U,E$1,0),"Check"),"")</f>
        <v>Airtel</v>
      </c>
      <c r="F569" s="76">
        <v>46114</v>
      </c>
      <c r="G569" s="74"/>
      <c r="H569" s="10" t="s">
        <v>1249</v>
      </c>
      <c r="I569" s="9">
        <v>1</v>
      </c>
      <c r="J569" s="9">
        <v>375</v>
      </c>
      <c r="K569" s="77">
        <f t="shared" si="63"/>
        <v>375</v>
      </c>
      <c r="L569" s="76">
        <v>46112</v>
      </c>
      <c r="N569" s="83"/>
      <c r="O569" s="84"/>
      <c r="P569" s="81"/>
      <c r="Q569" s="81"/>
      <c r="R569" s="81"/>
      <c r="S569" s="81"/>
      <c r="T569" s="85"/>
      <c r="U569" s="81"/>
      <c r="V569" s="81"/>
      <c r="W569" s="123">
        <f t="shared" si="64"/>
        <v>0</v>
      </c>
      <c r="X569" s="123" t="s">
        <v>84</v>
      </c>
      <c r="Y569" s="114" t="s">
        <v>93</v>
      </c>
    </row>
    <row r="570" spans="1:25" s="24" customFormat="1" ht="11.1" customHeight="1">
      <c r="A570" s="74">
        <f t="shared" si="62"/>
        <v>568</v>
      </c>
      <c r="B570" s="75" t="s">
        <v>1062</v>
      </c>
      <c r="C570" s="74" t="str">
        <f>IF($B570&lt;&gt;"",_xlfn.IFNA(VLOOKUP($B570,'Node Details'!$B:$U,C$1,0),"Check"),"")</f>
        <v>AXW030104-AXW030108</v>
      </c>
      <c r="D570" s="74" t="str">
        <f>IF($B570&lt;&gt;"",_xlfn.IFNA(VLOOKUP($B570,'Node Details'!$B:$U,D$1,0),"Check"),"")</f>
        <v>AXW</v>
      </c>
      <c r="E570" s="74" t="str">
        <f>IF($B570&lt;&gt;"",_xlfn.IFNA(VLOOKUP($B570,'Node Details'!$B:$U,E$1,0),"Check"),"")</f>
        <v>Airtel</v>
      </c>
      <c r="F570" s="76">
        <v>46114</v>
      </c>
      <c r="G570" s="74"/>
      <c r="H570" s="10" t="s">
        <v>1249</v>
      </c>
      <c r="I570" s="9">
        <v>1</v>
      </c>
      <c r="J570" s="9">
        <v>375</v>
      </c>
      <c r="K570" s="77">
        <f t="shared" si="63"/>
        <v>375</v>
      </c>
      <c r="L570" s="76">
        <v>46112</v>
      </c>
      <c r="N570" s="83"/>
      <c r="O570" s="84"/>
      <c r="P570" s="81"/>
      <c r="Q570" s="81"/>
      <c r="R570" s="81"/>
      <c r="S570" s="81"/>
      <c r="T570" s="85"/>
      <c r="U570" s="81"/>
      <c r="V570" s="81"/>
      <c r="W570" s="123">
        <f t="shared" si="64"/>
        <v>0</v>
      </c>
      <c r="X570" s="123" t="s">
        <v>84</v>
      </c>
      <c r="Y570" s="114" t="s">
        <v>93</v>
      </c>
    </row>
    <row r="571" spans="1:25" s="24" customFormat="1" ht="11.1" customHeight="1">
      <c r="A571" s="74">
        <f t="shared" si="62"/>
        <v>569</v>
      </c>
      <c r="B571" s="75" t="s">
        <v>412</v>
      </c>
      <c r="C571" s="74" t="str">
        <f>IF($B571&lt;&gt;"",_xlfn.IFNA(VLOOKUP($B571,'Node Details'!$B:$U,C$1,0),"Check"),"")</f>
        <v>AXW030104-AXW030108</v>
      </c>
      <c r="D571" s="74" t="str">
        <f>IF($B571&lt;&gt;"",_xlfn.IFNA(VLOOKUP($B571,'Node Details'!$B:$U,D$1,0),"Check"),"")</f>
        <v>AXW</v>
      </c>
      <c r="E571" s="74" t="str">
        <f>IF($B571&lt;&gt;"",_xlfn.IFNA(VLOOKUP($B571,'Node Details'!$B:$U,E$1,0),"Check"),"")</f>
        <v>Airtel</v>
      </c>
      <c r="F571" s="76">
        <v>46114</v>
      </c>
      <c r="G571" s="74"/>
      <c r="H571" s="10" t="s">
        <v>1249</v>
      </c>
      <c r="I571" s="9">
        <v>1</v>
      </c>
      <c r="J571" s="9">
        <v>375</v>
      </c>
      <c r="K571" s="77">
        <f t="shared" si="63"/>
        <v>375</v>
      </c>
      <c r="L571" s="76">
        <v>46112</v>
      </c>
      <c r="N571" s="83"/>
      <c r="O571" s="84"/>
      <c r="P571" s="81"/>
      <c r="Q571" s="81"/>
      <c r="R571" s="81"/>
      <c r="S571" s="81"/>
      <c r="T571" s="85"/>
      <c r="U571" s="81"/>
      <c r="V571" s="81"/>
      <c r="W571" s="123">
        <f t="shared" si="64"/>
        <v>0</v>
      </c>
      <c r="X571" s="123" t="s">
        <v>84</v>
      </c>
      <c r="Y571" s="114" t="s">
        <v>93</v>
      </c>
    </row>
    <row r="572" spans="1:25" s="24" customFormat="1" ht="11.1" customHeight="1">
      <c r="A572" s="74">
        <f t="shared" si="62"/>
        <v>570</v>
      </c>
      <c r="B572" s="75" t="s">
        <v>1063</v>
      </c>
      <c r="C572" s="74" t="str">
        <f>IF($B572&lt;&gt;"",_xlfn.IFNA(VLOOKUP($B572,'Node Details'!$B:$U,C$1,0),"Check"),"")</f>
        <v>0000AXW04-AXW040102</v>
      </c>
      <c r="D572" s="74" t="str">
        <f>IF($B572&lt;&gt;"",_xlfn.IFNA(VLOOKUP($B572,'Node Details'!$B:$U,D$1,0),"Check"),"")</f>
        <v>AXW</v>
      </c>
      <c r="E572" s="74" t="str">
        <f>IF($B572&lt;&gt;"",_xlfn.IFNA(VLOOKUP($B572,'Node Details'!$B:$U,E$1,0),"Check"),"")</f>
        <v>Airtel</v>
      </c>
      <c r="F572" s="76">
        <v>46114</v>
      </c>
      <c r="G572" s="74"/>
      <c r="H572" s="10" t="s">
        <v>1249</v>
      </c>
      <c r="I572" s="9">
        <v>1</v>
      </c>
      <c r="J572" s="9">
        <v>375</v>
      </c>
      <c r="K572" s="77">
        <f t="shared" si="63"/>
        <v>375</v>
      </c>
      <c r="L572" s="76">
        <v>46112</v>
      </c>
      <c r="N572" s="83"/>
      <c r="O572" s="84"/>
      <c r="P572" s="81"/>
      <c r="Q572" s="81"/>
      <c r="R572" s="81"/>
      <c r="S572" s="81"/>
      <c r="T572" s="85"/>
      <c r="U572" s="81"/>
      <c r="V572" s="81"/>
      <c r="W572" s="123">
        <f t="shared" si="64"/>
        <v>0</v>
      </c>
      <c r="X572" s="123" t="s">
        <v>84</v>
      </c>
      <c r="Y572" s="114" t="s">
        <v>93</v>
      </c>
    </row>
    <row r="573" spans="1:25" s="24" customFormat="1" ht="11.1" customHeight="1">
      <c r="A573" s="74">
        <f t="shared" si="62"/>
        <v>571</v>
      </c>
      <c r="B573" s="75" t="s">
        <v>415</v>
      </c>
      <c r="C573" s="74" t="str">
        <f>IF($B573&lt;&gt;"",_xlfn.IFNA(VLOOKUP($B573,'Node Details'!$B:$U,C$1,0),"Check"),"")</f>
        <v>0000AXW04-AXW040102</v>
      </c>
      <c r="D573" s="74" t="str">
        <f>IF($B573&lt;&gt;"",_xlfn.IFNA(VLOOKUP($B573,'Node Details'!$B:$U,D$1,0),"Check"),"")</f>
        <v>AXW</v>
      </c>
      <c r="E573" s="74" t="str">
        <f>IF($B573&lt;&gt;"",_xlfn.IFNA(VLOOKUP($B573,'Node Details'!$B:$U,E$1,0),"Check"),"")</f>
        <v>Airtel</v>
      </c>
      <c r="F573" s="76">
        <v>46114</v>
      </c>
      <c r="G573" s="74"/>
      <c r="H573" s="10" t="s">
        <v>1249</v>
      </c>
      <c r="I573" s="9">
        <v>1</v>
      </c>
      <c r="J573" s="9">
        <v>375</v>
      </c>
      <c r="K573" s="77">
        <f t="shared" si="63"/>
        <v>375</v>
      </c>
      <c r="L573" s="76">
        <v>46112</v>
      </c>
      <c r="N573" s="83"/>
      <c r="O573" s="84"/>
      <c r="P573" s="81"/>
      <c r="Q573" s="81"/>
      <c r="R573" s="81"/>
      <c r="S573" s="81"/>
      <c r="T573" s="85"/>
      <c r="U573" s="81"/>
      <c r="V573" s="81"/>
      <c r="W573" s="123">
        <f t="shared" si="64"/>
        <v>0</v>
      </c>
      <c r="X573" s="123" t="s">
        <v>84</v>
      </c>
      <c r="Y573" s="114" t="s">
        <v>93</v>
      </c>
    </row>
    <row r="574" spans="1:25" s="24" customFormat="1" ht="11.1" customHeight="1">
      <c r="A574" s="74">
        <f t="shared" si="62"/>
        <v>572</v>
      </c>
      <c r="B574" s="75" t="s">
        <v>1064</v>
      </c>
      <c r="C574" s="74" t="str">
        <f>IF($B574&lt;&gt;"",_xlfn.IFNA(VLOOKUP($B574,'Node Details'!$B:$U,C$1,0),"Check"),"")</f>
        <v>0000AXW04-AXW040105</v>
      </c>
      <c r="D574" s="74" t="str">
        <f>IF($B574&lt;&gt;"",_xlfn.IFNA(VLOOKUP($B574,'Node Details'!$B:$U,D$1,0),"Check"),"")</f>
        <v>AXW</v>
      </c>
      <c r="E574" s="74" t="str">
        <f>IF($B574&lt;&gt;"",_xlfn.IFNA(VLOOKUP($B574,'Node Details'!$B:$U,E$1,0),"Check"),"")</f>
        <v>Airtel</v>
      </c>
      <c r="F574" s="76">
        <v>46114</v>
      </c>
      <c r="G574" s="74"/>
      <c r="H574" s="10" t="s">
        <v>1249</v>
      </c>
      <c r="I574" s="9">
        <v>1</v>
      </c>
      <c r="J574" s="9">
        <v>375</v>
      </c>
      <c r="K574" s="77">
        <f t="shared" si="63"/>
        <v>375</v>
      </c>
      <c r="L574" s="76">
        <v>46112</v>
      </c>
      <c r="N574" s="83"/>
      <c r="O574" s="84"/>
      <c r="P574" s="81"/>
      <c r="Q574" s="81"/>
      <c r="R574" s="81"/>
      <c r="S574" s="81"/>
      <c r="T574" s="85"/>
      <c r="U574" s="81"/>
      <c r="V574" s="81"/>
      <c r="W574" s="123">
        <f t="shared" si="64"/>
        <v>0</v>
      </c>
      <c r="X574" s="123" t="s">
        <v>84</v>
      </c>
      <c r="Y574" s="114" t="s">
        <v>93</v>
      </c>
    </row>
    <row r="575" spans="1:25" s="24" customFormat="1" ht="11.1" customHeight="1">
      <c r="A575" s="74">
        <f t="shared" si="62"/>
        <v>573</v>
      </c>
      <c r="B575" s="75" t="s">
        <v>417</v>
      </c>
      <c r="C575" s="74" t="str">
        <f>IF($B575&lt;&gt;"",_xlfn.IFNA(VLOOKUP($B575,'Node Details'!$B:$U,C$1,0),"Check"),"")</f>
        <v>0000AXW04-AXW040105</v>
      </c>
      <c r="D575" s="74" t="str">
        <f>IF($B575&lt;&gt;"",_xlfn.IFNA(VLOOKUP($B575,'Node Details'!$B:$U,D$1,0),"Check"),"")</f>
        <v>AXW</v>
      </c>
      <c r="E575" s="74" t="str">
        <f>IF($B575&lt;&gt;"",_xlfn.IFNA(VLOOKUP($B575,'Node Details'!$B:$U,E$1,0),"Check"),"")</f>
        <v>Airtel</v>
      </c>
      <c r="F575" s="76">
        <v>46114</v>
      </c>
      <c r="G575" s="74"/>
      <c r="H575" s="10" t="s">
        <v>1249</v>
      </c>
      <c r="I575" s="9">
        <v>1</v>
      </c>
      <c r="J575" s="9">
        <v>375</v>
      </c>
      <c r="K575" s="77">
        <f t="shared" si="63"/>
        <v>375</v>
      </c>
      <c r="L575" s="76">
        <v>46112</v>
      </c>
      <c r="N575" s="83"/>
      <c r="O575" s="84"/>
      <c r="P575" s="81"/>
      <c r="Q575" s="81"/>
      <c r="R575" s="81"/>
      <c r="S575" s="81"/>
      <c r="T575" s="85"/>
      <c r="U575" s="81"/>
      <c r="V575" s="81"/>
      <c r="W575" s="123">
        <f t="shared" si="64"/>
        <v>0</v>
      </c>
      <c r="X575" s="123" t="s">
        <v>84</v>
      </c>
      <c r="Y575" s="114" t="s">
        <v>93</v>
      </c>
    </row>
    <row r="576" spans="1:25" s="24" customFormat="1" ht="11.1" customHeight="1">
      <c r="A576" s="74">
        <f t="shared" si="62"/>
        <v>574</v>
      </c>
      <c r="B576" s="75" t="s">
        <v>1065</v>
      </c>
      <c r="C576" s="74" t="str">
        <f>IF($B576&lt;&gt;"",_xlfn.IFNA(VLOOKUP($B576,'Node Details'!$B:$U,C$1,0),"Check"),"")</f>
        <v>00AXW-FMS-AXW040201</v>
      </c>
      <c r="D576" s="74" t="str">
        <f>IF($B576&lt;&gt;"",_xlfn.IFNA(VLOOKUP($B576,'Node Details'!$B:$U,D$1,0),"Check"),"")</f>
        <v>AXW</v>
      </c>
      <c r="E576" s="74" t="str">
        <f>IF($B576&lt;&gt;"",_xlfn.IFNA(VLOOKUP($B576,'Node Details'!$B:$U,E$1,0),"Check"),"")</f>
        <v>Airtel</v>
      </c>
      <c r="F576" s="76">
        <v>46114</v>
      </c>
      <c r="G576" s="74"/>
      <c r="H576" s="10" t="s">
        <v>1249</v>
      </c>
      <c r="I576" s="9">
        <v>1</v>
      </c>
      <c r="J576" s="9">
        <v>375</v>
      </c>
      <c r="K576" s="77">
        <f t="shared" si="63"/>
        <v>375</v>
      </c>
      <c r="L576" s="76">
        <v>46112</v>
      </c>
      <c r="N576" s="83"/>
      <c r="O576" s="84"/>
      <c r="P576" s="81"/>
      <c r="Q576" s="81"/>
      <c r="R576" s="81"/>
      <c r="S576" s="81"/>
      <c r="T576" s="85"/>
      <c r="U576" s="81"/>
      <c r="V576" s="81"/>
      <c r="W576" s="123">
        <f t="shared" si="64"/>
        <v>0</v>
      </c>
      <c r="X576" s="123" t="s">
        <v>84</v>
      </c>
      <c r="Y576" s="114" t="s">
        <v>93</v>
      </c>
    </row>
    <row r="577" spans="1:25" s="24" customFormat="1" ht="11.1" customHeight="1">
      <c r="A577" s="74">
        <f t="shared" si="62"/>
        <v>575</v>
      </c>
      <c r="B577" s="75" t="s">
        <v>1066</v>
      </c>
      <c r="C577" s="74" t="str">
        <f>IF($B577&lt;&gt;"",_xlfn.IFNA(VLOOKUP($B577,'Node Details'!$B:$U,C$1,0),"Check"),"")</f>
        <v>00AXW-FMS-AXW040201</v>
      </c>
      <c r="D577" s="74" t="str">
        <f>IF($B577&lt;&gt;"",_xlfn.IFNA(VLOOKUP($B577,'Node Details'!$B:$U,D$1,0),"Check"),"")</f>
        <v>AXW</v>
      </c>
      <c r="E577" s="74" t="str">
        <f>IF($B577&lt;&gt;"",_xlfn.IFNA(VLOOKUP($B577,'Node Details'!$B:$U,E$1,0),"Check"),"")</f>
        <v>Airtel</v>
      </c>
      <c r="F577" s="76">
        <v>46114</v>
      </c>
      <c r="G577" s="74"/>
      <c r="H577" s="10" t="s">
        <v>1249</v>
      </c>
      <c r="I577" s="9">
        <v>1</v>
      </c>
      <c r="J577" s="9">
        <v>375</v>
      </c>
      <c r="K577" s="77">
        <f t="shared" si="63"/>
        <v>375</v>
      </c>
      <c r="L577" s="76">
        <v>46112</v>
      </c>
      <c r="N577" s="83"/>
      <c r="O577" s="84"/>
      <c r="P577" s="81"/>
      <c r="Q577" s="81"/>
      <c r="R577" s="81"/>
      <c r="S577" s="81"/>
      <c r="T577" s="85"/>
      <c r="U577" s="81"/>
      <c r="V577" s="81"/>
      <c r="W577" s="123">
        <f t="shared" si="64"/>
        <v>0</v>
      </c>
      <c r="X577" s="123" t="s">
        <v>84</v>
      </c>
      <c r="Y577" s="114" t="s">
        <v>93</v>
      </c>
    </row>
    <row r="578" spans="1:25" s="24" customFormat="1" ht="11.1" customHeight="1">
      <c r="A578" s="74">
        <f t="shared" si="62"/>
        <v>576</v>
      </c>
      <c r="B578" s="75" t="s">
        <v>1067</v>
      </c>
      <c r="C578" s="74" t="str">
        <f>IF($B578&lt;&gt;"",_xlfn.IFNA(VLOOKUP($B578,'Node Details'!$B:$U,C$1,0),"Check"),"")</f>
        <v>00AXW-FMS-AXW040201</v>
      </c>
      <c r="D578" s="74" t="str">
        <f>IF($B578&lt;&gt;"",_xlfn.IFNA(VLOOKUP($B578,'Node Details'!$B:$U,D$1,0),"Check"),"")</f>
        <v>AXW</v>
      </c>
      <c r="E578" s="74" t="str">
        <f>IF($B578&lt;&gt;"",_xlfn.IFNA(VLOOKUP($B578,'Node Details'!$B:$U,E$1,0),"Check"),"")</f>
        <v>Airtel</v>
      </c>
      <c r="F578" s="76">
        <v>46114</v>
      </c>
      <c r="G578" s="74"/>
      <c r="H578" s="10" t="s">
        <v>1249</v>
      </c>
      <c r="I578" s="9">
        <v>1</v>
      </c>
      <c r="J578" s="9">
        <v>375</v>
      </c>
      <c r="K578" s="77">
        <f t="shared" si="63"/>
        <v>375</v>
      </c>
      <c r="L578" s="76">
        <v>46112</v>
      </c>
      <c r="N578" s="83"/>
      <c r="O578" s="84"/>
      <c r="P578" s="81"/>
      <c r="Q578" s="81"/>
      <c r="R578" s="81"/>
      <c r="S578" s="81"/>
      <c r="T578" s="85"/>
      <c r="U578" s="81"/>
      <c r="V578" s="81"/>
      <c r="W578" s="123">
        <f t="shared" si="64"/>
        <v>0</v>
      </c>
      <c r="X578" s="123" t="s">
        <v>84</v>
      </c>
      <c r="Y578" s="114" t="s">
        <v>93</v>
      </c>
    </row>
    <row r="579" spans="1:25" s="24" customFormat="1" ht="11.1" customHeight="1">
      <c r="A579" s="74">
        <f t="shared" si="62"/>
        <v>577</v>
      </c>
      <c r="B579" s="75" t="s">
        <v>420</v>
      </c>
      <c r="C579" s="74" t="str">
        <f>IF($B579&lt;&gt;"",_xlfn.IFNA(VLOOKUP($B579,'Node Details'!$B:$U,C$1,0),"Check"),"")</f>
        <v>00AXW-FMS-AXW040201</v>
      </c>
      <c r="D579" s="74" t="str">
        <f>IF($B579&lt;&gt;"",_xlfn.IFNA(VLOOKUP($B579,'Node Details'!$B:$U,D$1,0),"Check"),"")</f>
        <v>AXW</v>
      </c>
      <c r="E579" s="74" t="str">
        <f>IF($B579&lt;&gt;"",_xlfn.IFNA(VLOOKUP($B579,'Node Details'!$B:$U,E$1,0),"Check"),"")</f>
        <v>Airtel</v>
      </c>
      <c r="F579" s="76">
        <v>46114</v>
      </c>
      <c r="G579" s="74"/>
      <c r="H579" s="10" t="s">
        <v>1249</v>
      </c>
      <c r="I579" s="9">
        <v>1</v>
      </c>
      <c r="J579" s="9">
        <v>375</v>
      </c>
      <c r="K579" s="77">
        <f t="shared" si="63"/>
        <v>375</v>
      </c>
      <c r="L579" s="76">
        <v>46112</v>
      </c>
      <c r="N579" s="83"/>
      <c r="O579" s="84"/>
      <c r="P579" s="81"/>
      <c r="Q579" s="81"/>
      <c r="R579" s="81"/>
      <c r="S579" s="81"/>
      <c r="T579" s="85"/>
      <c r="U579" s="81"/>
      <c r="V579" s="81"/>
      <c r="W579" s="123">
        <f t="shared" si="64"/>
        <v>0</v>
      </c>
      <c r="X579" s="123" t="s">
        <v>84</v>
      </c>
      <c r="Y579" s="114" t="s">
        <v>93</v>
      </c>
    </row>
    <row r="580" spans="1:25" s="24" customFormat="1" ht="11.1" customHeight="1">
      <c r="A580" s="74">
        <f t="shared" ref="A580:A643" si="65">A579+1</f>
        <v>578</v>
      </c>
      <c r="B580" s="75" t="s">
        <v>422</v>
      </c>
      <c r="C580" s="74" t="str">
        <f>IF($B580&lt;&gt;"",_xlfn.IFNA(VLOOKUP($B580,'Node Details'!$B:$U,C$1,0),"Check"),"")</f>
        <v>00AXW-FMS-AXW040202</v>
      </c>
      <c r="D580" s="74" t="str">
        <f>IF($B580&lt;&gt;"",_xlfn.IFNA(VLOOKUP($B580,'Node Details'!$B:$U,D$1,0),"Check"),"")</f>
        <v>AXW</v>
      </c>
      <c r="E580" s="74" t="str">
        <f>IF($B580&lt;&gt;"",_xlfn.IFNA(VLOOKUP($B580,'Node Details'!$B:$U,E$1,0),"Check"),"")</f>
        <v>Airtel</v>
      </c>
      <c r="F580" s="76">
        <v>46114</v>
      </c>
      <c r="G580" s="74"/>
      <c r="H580" s="10" t="s">
        <v>1249</v>
      </c>
      <c r="I580" s="9">
        <v>1</v>
      </c>
      <c r="J580" s="9">
        <v>375</v>
      </c>
      <c r="K580" s="77">
        <f t="shared" si="63"/>
        <v>375</v>
      </c>
      <c r="L580" s="76">
        <v>46112</v>
      </c>
      <c r="N580" s="83"/>
      <c r="O580" s="84"/>
      <c r="P580" s="81"/>
      <c r="Q580" s="81"/>
      <c r="R580" s="81"/>
      <c r="S580" s="81"/>
      <c r="T580" s="85"/>
      <c r="U580" s="81"/>
      <c r="V580" s="81"/>
      <c r="W580" s="123">
        <f t="shared" si="64"/>
        <v>0</v>
      </c>
      <c r="X580" s="123" t="s">
        <v>84</v>
      </c>
      <c r="Y580" s="114" t="s">
        <v>93</v>
      </c>
    </row>
    <row r="581" spans="1:25" s="24" customFormat="1" ht="11.1" customHeight="1">
      <c r="A581" s="74">
        <f t="shared" si="65"/>
        <v>579</v>
      </c>
      <c r="B581" s="75" t="s">
        <v>424</v>
      </c>
      <c r="C581" s="74" t="str">
        <f>IF($B581&lt;&gt;"",_xlfn.IFNA(VLOOKUP($B581,'Node Details'!$B:$U,C$1,0),"Check"),"")</f>
        <v>0000AXW05-AXW050101</v>
      </c>
      <c r="D581" s="74" t="str">
        <f>IF($B581&lt;&gt;"",_xlfn.IFNA(VLOOKUP($B581,'Node Details'!$B:$U,D$1,0),"Check"),"")</f>
        <v>AXW</v>
      </c>
      <c r="E581" s="74" t="str">
        <f>IF($B581&lt;&gt;"",_xlfn.IFNA(VLOOKUP($B581,'Node Details'!$B:$U,E$1,0),"Check"),"")</f>
        <v>Airtel</v>
      </c>
      <c r="F581" s="76">
        <v>46114</v>
      </c>
      <c r="G581" s="74"/>
      <c r="H581" s="10" t="s">
        <v>1249</v>
      </c>
      <c r="I581" s="9">
        <v>1</v>
      </c>
      <c r="J581" s="9">
        <v>375</v>
      </c>
      <c r="K581" s="77">
        <f t="shared" si="63"/>
        <v>375</v>
      </c>
      <c r="L581" s="76">
        <v>46112</v>
      </c>
      <c r="N581" s="83"/>
      <c r="O581" s="84"/>
      <c r="P581" s="81"/>
      <c r="Q581" s="81"/>
      <c r="R581" s="81"/>
      <c r="S581" s="81"/>
      <c r="T581" s="85"/>
      <c r="U581" s="81"/>
      <c r="V581" s="81"/>
      <c r="W581" s="123">
        <f t="shared" si="64"/>
        <v>0</v>
      </c>
      <c r="X581" s="123" t="s">
        <v>84</v>
      </c>
      <c r="Y581" s="114" t="s">
        <v>93</v>
      </c>
    </row>
    <row r="582" spans="1:25" s="24" customFormat="1" ht="11.1" customHeight="1">
      <c r="A582" s="74">
        <f t="shared" si="65"/>
        <v>580</v>
      </c>
      <c r="B582" s="75" t="s">
        <v>426</v>
      </c>
      <c r="C582" s="74" t="str">
        <f>IF($B582&lt;&gt;"",_xlfn.IFNA(VLOOKUP($B582,'Node Details'!$B:$U,C$1,0),"Check"),"")</f>
        <v>0000AXW05-AXW050102</v>
      </c>
      <c r="D582" s="74" t="str">
        <f>IF($B582&lt;&gt;"",_xlfn.IFNA(VLOOKUP($B582,'Node Details'!$B:$U,D$1,0),"Check"),"")</f>
        <v>AXW</v>
      </c>
      <c r="E582" s="74" t="str">
        <f>IF($B582&lt;&gt;"",_xlfn.IFNA(VLOOKUP($B582,'Node Details'!$B:$U,E$1,0),"Check"),"")</f>
        <v>Airtel</v>
      </c>
      <c r="F582" s="76">
        <v>46114</v>
      </c>
      <c r="G582" s="74"/>
      <c r="H582" s="10" t="s">
        <v>1249</v>
      </c>
      <c r="I582" s="9">
        <v>1</v>
      </c>
      <c r="J582" s="9">
        <v>375</v>
      </c>
      <c r="K582" s="77">
        <f t="shared" si="63"/>
        <v>375</v>
      </c>
      <c r="L582" s="76">
        <v>46112</v>
      </c>
      <c r="N582" s="83"/>
      <c r="O582" s="84"/>
      <c r="P582" s="81"/>
      <c r="Q582" s="81"/>
      <c r="R582" s="81"/>
      <c r="S582" s="81"/>
      <c r="T582" s="85"/>
      <c r="U582" s="81"/>
      <c r="V582" s="81"/>
      <c r="W582" s="123">
        <f t="shared" si="64"/>
        <v>0</v>
      </c>
      <c r="X582" s="123" t="s">
        <v>84</v>
      </c>
      <c r="Y582" s="114" t="s">
        <v>93</v>
      </c>
    </row>
    <row r="583" spans="1:25" s="24" customFormat="1" ht="11.1" customHeight="1">
      <c r="A583" s="74">
        <f t="shared" si="65"/>
        <v>581</v>
      </c>
      <c r="B583" s="75" t="s">
        <v>428</v>
      </c>
      <c r="C583" s="74" t="str">
        <f>IF($B583&lt;&gt;"",_xlfn.IFNA(VLOOKUP($B583,'Node Details'!$B:$U,C$1,0),"Check"),"")</f>
        <v>0000AXW05-AXW050105</v>
      </c>
      <c r="D583" s="74" t="str">
        <f>IF($B583&lt;&gt;"",_xlfn.IFNA(VLOOKUP($B583,'Node Details'!$B:$U,D$1,0),"Check"),"")</f>
        <v>AXW</v>
      </c>
      <c r="E583" s="74" t="str">
        <f>IF($B583&lt;&gt;"",_xlfn.IFNA(VLOOKUP($B583,'Node Details'!$B:$U,E$1,0),"Check"),"")</f>
        <v>Airtel</v>
      </c>
      <c r="F583" s="76">
        <v>46114</v>
      </c>
      <c r="G583" s="74"/>
      <c r="H583" s="10" t="s">
        <v>1249</v>
      </c>
      <c r="I583" s="9">
        <v>1</v>
      </c>
      <c r="J583" s="9">
        <v>375</v>
      </c>
      <c r="K583" s="77">
        <f t="shared" si="63"/>
        <v>375</v>
      </c>
      <c r="L583" s="76">
        <v>46112</v>
      </c>
      <c r="N583" s="83"/>
      <c r="O583" s="84"/>
      <c r="P583" s="81"/>
      <c r="Q583" s="81"/>
      <c r="R583" s="81"/>
      <c r="S583" s="81"/>
      <c r="T583" s="85"/>
      <c r="U583" s="81"/>
      <c r="V583" s="81"/>
      <c r="W583" s="123">
        <f t="shared" si="64"/>
        <v>0</v>
      </c>
      <c r="X583" s="123" t="s">
        <v>84</v>
      </c>
      <c r="Y583" s="114" t="s">
        <v>93</v>
      </c>
    </row>
    <row r="584" spans="1:25" s="24" customFormat="1" ht="11.1" customHeight="1">
      <c r="A584" s="74">
        <f t="shared" si="65"/>
        <v>582</v>
      </c>
      <c r="B584" s="75" t="s">
        <v>1068</v>
      </c>
      <c r="C584" s="74" t="str">
        <f>IF($B584&lt;&gt;"",_xlfn.IFNA(VLOOKUP($B584,'Node Details'!$B:$U,C$1,0),"Check"),"")</f>
        <v>0000AXW05-AXW050204</v>
      </c>
      <c r="D584" s="74" t="str">
        <f>IF($B584&lt;&gt;"",_xlfn.IFNA(VLOOKUP($B584,'Node Details'!$B:$U,D$1,0),"Check"),"")</f>
        <v>AXW</v>
      </c>
      <c r="E584" s="74" t="str">
        <f>IF($B584&lt;&gt;"",_xlfn.IFNA(VLOOKUP($B584,'Node Details'!$B:$U,E$1,0),"Check"),"")</f>
        <v>Airtel</v>
      </c>
      <c r="F584" s="76">
        <v>46114</v>
      </c>
      <c r="G584" s="74"/>
      <c r="H584" s="10" t="s">
        <v>1249</v>
      </c>
      <c r="I584" s="9">
        <v>1</v>
      </c>
      <c r="J584" s="9">
        <v>375</v>
      </c>
      <c r="K584" s="77">
        <f t="shared" si="63"/>
        <v>375</v>
      </c>
      <c r="L584" s="76">
        <v>46112</v>
      </c>
      <c r="N584" s="83"/>
      <c r="O584" s="84"/>
      <c r="P584" s="81"/>
      <c r="Q584" s="81"/>
      <c r="R584" s="81"/>
      <c r="S584" s="81"/>
      <c r="T584" s="85"/>
      <c r="U584" s="81"/>
      <c r="V584" s="81"/>
      <c r="W584" s="123">
        <f t="shared" si="64"/>
        <v>0</v>
      </c>
      <c r="X584" s="123" t="s">
        <v>84</v>
      </c>
      <c r="Y584" s="114" t="s">
        <v>93</v>
      </c>
    </row>
    <row r="585" spans="1:25" s="24" customFormat="1" ht="11.1" customHeight="1">
      <c r="A585" s="74">
        <f t="shared" si="65"/>
        <v>583</v>
      </c>
      <c r="B585" s="75" t="s">
        <v>1069</v>
      </c>
      <c r="C585" s="74" t="str">
        <f>IF($B585&lt;&gt;"",_xlfn.IFNA(VLOOKUP($B585,'Node Details'!$B:$U,C$1,0),"Check"),"")</f>
        <v>0000AXW05-AXW050204</v>
      </c>
      <c r="D585" s="74" t="str">
        <f>IF($B585&lt;&gt;"",_xlfn.IFNA(VLOOKUP($B585,'Node Details'!$B:$U,D$1,0),"Check"),"")</f>
        <v>AXW</v>
      </c>
      <c r="E585" s="74" t="str">
        <f>IF($B585&lt;&gt;"",_xlfn.IFNA(VLOOKUP($B585,'Node Details'!$B:$U,E$1,0),"Check"),"")</f>
        <v>Airtel</v>
      </c>
      <c r="F585" s="76">
        <v>46114</v>
      </c>
      <c r="G585" s="74"/>
      <c r="H585" s="10" t="s">
        <v>1249</v>
      </c>
      <c r="I585" s="9">
        <v>1</v>
      </c>
      <c r="J585" s="9">
        <v>375</v>
      </c>
      <c r="K585" s="77">
        <f t="shared" si="63"/>
        <v>375</v>
      </c>
      <c r="L585" s="76">
        <v>46112</v>
      </c>
      <c r="N585" s="83"/>
      <c r="O585" s="84"/>
      <c r="P585" s="81"/>
      <c r="Q585" s="81"/>
      <c r="R585" s="81"/>
      <c r="S585" s="81"/>
      <c r="T585" s="85"/>
      <c r="U585" s="81"/>
      <c r="V585" s="81"/>
      <c r="W585" s="123">
        <f t="shared" si="64"/>
        <v>0</v>
      </c>
      <c r="X585" s="123" t="s">
        <v>84</v>
      </c>
      <c r="Y585" s="114" t="s">
        <v>93</v>
      </c>
    </row>
    <row r="586" spans="1:25" s="24" customFormat="1" ht="11.1" customHeight="1">
      <c r="A586" s="74">
        <f t="shared" si="65"/>
        <v>584</v>
      </c>
      <c r="B586" s="75" t="s">
        <v>1070</v>
      </c>
      <c r="C586" s="74" t="str">
        <f>IF($B586&lt;&gt;"",_xlfn.IFNA(VLOOKUP($B586,'Node Details'!$B:$U,C$1,0),"Check"),"")</f>
        <v>0000AXW05-AXW050204</v>
      </c>
      <c r="D586" s="74" t="str">
        <f>IF($B586&lt;&gt;"",_xlfn.IFNA(VLOOKUP($B586,'Node Details'!$B:$U,D$1,0),"Check"),"")</f>
        <v>AXW</v>
      </c>
      <c r="E586" s="74" t="str">
        <f>IF($B586&lt;&gt;"",_xlfn.IFNA(VLOOKUP($B586,'Node Details'!$B:$U,E$1,0),"Check"),"")</f>
        <v>Airtel</v>
      </c>
      <c r="F586" s="76">
        <v>46114</v>
      </c>
      <c r="G586" s="74"/>
      <c r="H586" s="10" t="s">
        <v>1249</v>
      </c>
      <c r="I586" s="9">
        <v>1</v>
      </c>
      <c r="J586" s="9">
        <v>375</v>
      </c>
      <c r="K586" s="77">
        <f t="shared" si="63"/>
        <v>375</v>
      </c>
      <c r="L586" s="76">
        <v>46112</v>
      </c>
      <c r="N586" s="83"/>
      <c r="O586" s="84"/>
      <c r="P586" s="81"/>
      <c r="Q586" s="81"/>
      <c r="R586" s="81"/>
      <c r="S586" s="81"/>
      <c r="T586" s="85"/>
      <c r="U586" s="81"/>
      <c r="V586" s="81"/>
      <c r="W586" s="123">
        <f t="shared" si="64"/>
        <v>0</v>
      </c>
      <c r="X586" s="123" t="s">
        <v>84</v>
      </c>
      <c r="Y586" s="114" t="s">
        <v>93</v>
      </c>
    </row>
    <row r="587" spans="1:25" s="24" customFormat="1" ht="11.1" customHeight="1">
      <c r="A587" s="74">
        <f t="shared" si="65"/>
        <v>585</v>
      </c>
      <c r="B587" s="75" t="s">
        <v>1071</v>
      </c>
      <c r="C587" s="74" t="str">
        <f>IF($B587&lt;&gt;"",_xlfn.IFNA(VLOOKUP($B587,'Node Details'!$B:$U,C$1,0),"Check"),"")</f>
        <v>0000AXW05-AXW050204</v>
      </c>
      <c r="D587" s="74" t="str">
        <f>IF($B587&lt;&gt;"",_xlfn.IFNA(VLOOKUP($B587,'Node Details'!$B:$U,D$1,0),"Check"),"")</f>
        <v>AXW</v>
      </c>
      <c r="E587" s="74" t="str">
        <f>IF($B587&lt;&gt;"",_xlfn.IFNA(VLOOKUP($B587,'Node Details'!$B:$U,E$1,0),"Check"),"")</f>
        <v>Airtel</v>
      </c>
      <c r="F587" s="76">
        <v>46114</v>
      </c>
      <c r="G587" s="74"/>
      <c r="H587" s="10" t="s">
        <v>1249</v>
      </c>
      <c r="I587" s="9">
        <v>1</v>
      </c>
      <c r="J587" s="9">
        <v>375</v>
      </c>
      <c r="K587" s="77">
        <f t="shared" si="63"/>
        <v>375</v>
      </c>
      <c r="L587" s="76">
        <v>46112</v>
      </c>
      <c r="N587" s="83"/>
      <c r="O587" s="84"/>
      <c r="P587" s="81"/>
      <c r="Q587" s="81"/>
      <c r="R587" s="81"/>
      <c r="S587" s="81"/>
      <c r="T587" s="85"/>
      <c r="U587" s="81"/>
      <c r="V587" s="81"/>
      <c r="W587" s="123">
        <f t="shared" si="64"/>
        <v>0</v>
      </c>
      <c r="X587" s="123" t="s">
        <v>84</v>
      </c>
      <c r="Y587" s="114" t="s">
        <v>93</v>
      </c>
    </row>
    <row r="588" spans="1:25" s="24" customFormat="1" ht="11.1" customHeight="1">
      <c r="A588" s="74">
        <f t="shared" si="65"/>
        <v>586</v>
      </c>
      <c r="B588" s="75" t="s">
        <v>1072</v>
      </c>
      <c r="C588" s="74" t="str">
        <f>IF($B588&lt;&gt;"",_xlfn.IFNA(VLOOKUP($B588,'Node Details'!$B:$U,C$1,0),"Check"),"")</f>
        <v>0000AXW05-AXW050204</v>
      </c>
      <c r="D588" s="74" t="str">
        <f>IF($B588&lt;&gt;"",_xlfn.IFNA(VLOOKUP($B588,'Node Details'!$B:$U,D$1,0),"Check"),"")</f>
        <v>AXW</v>
      </c>
      <c r="E588" s="74" t="str">
        <f>IF($B588&lt;&gt;"",_xlfn.IFNA(VLOOKUP($B588,'Node Details'!$B:$U,E$1,0),"Check"),"")</f>
        <v>Airtel</v>
      </c>
      <c r="F588" s="76">
        <v>46114</v>
      </c>
      <c r="G588" s="74"/>
      <c r="H588" s="10" t="s">
        <v>1249</v>
      </c>
      <c r="I588" s="9">
        <v>1</v>
      </c>
      <c r="J588" s="9">
        <v>375</v>
      </c>
      <c r="K588" s="77">
        <f t="shared" si="63"/>
        <v>375</v>
      </c>
      <c r="L588" s="76">
        <v>46112</v>
      </c>
      <c r="N588" s="83"/>
      <c r="O588" s="84"/>
      <c r="P588" s="81"/>
      <c r="Q588" s="81"/>
      <c r="R588" s="81"/>
      <c r="S588" s="81"/>
      <c r="T588" s="85"/>
      <c r="U588" s="81"/>
      <c r="V588" s="81"/>
      <c r="W588" s="123">
        <f t="shared" si="64"/>
        <v>0</v>
      </c>
      <c r="X588" s="123" t="s">
        <v>84</v>
      </c>
      <c r="Y588" s="114" t="s">
        <v>93</v>
      </c>
    </row>
    <row r="589" spans="1:25" s="24" customFormat="1" ht="11.1" customHeight="1">
      <c r="A589" s="74">
        <f t="shared" si="65"/>
        <v>587</v>
      </c>
      <c r="B589" s="75" t="s">
        <v>430</v>
      </c>
      <c r="C589" s="74" t="str">
        <f>IF($B589&lt;&gt;"",_xlfn.IFNA(VLOOKUP($B589,'Node Details'!$B:$U,C$1,0),"Check"),"")</f>
        <v>0000AXW05-AXW050204</v>
      </c>
      <c r="D589" s="74" t="str">
        <f>IF($B589&lt;&gt;"",_xlfn.IFNA(VLOOKUP($B589,'Node Details'!$B:$U,D$1,0),"Check"),"")</f>
        <v>AXW</v>
      </c>
      <c r="E589" s="74" t="str">
        <f>IF($B589&lt;&gt;"",_xlfn.IFNA(VLOOKUP($B589,'Node Details'!$B:$U,E$1,0),"Check"),"")</f>
        <v>Airtel</v>
      </c>
      <c r="F589" s="76">
        <v>46114</v>
      </c>
      <c r="G589" s="74"/>
      <c r="H589" s="10" t="s">
        <v>1249</v>
      </c>
      <c r="I589" s="9">
        <v>1</v>
      </c>
      <c r="J589" s="9">
        <v>375</v>
      </c>
      <c r="K589" s="77">
        <f t="shared" si="63"/>
        <v>375</v>
      </c>
      <c r="L589" s="76">
        <v>46112</v>
      </c>
      <c r="N589" s="83"/>
      <c r="O589" s="84"/>
      <c r="P589" s="81"/>
      <c r="Q589" s="81"/>
      <c r="R589" s="81"/>
      <c r="S589" s="81"/>
      <c r="T589" s="85"/>
      <c r="U589" s="81"/>
      <c r="V589" s="81"/>
      <c r="W589" s="123">
        <f t="shared" si="64"/>
        <v>0</v>
      </c>
      <c r="X589" s="123" t="s">
        <v>84</v>
      </c>
      <c r="Y589" s="114" t="s">
        <v>93</v>
      </c>
    </row>
    <row r="590" spans="1:25" s="24" customFormat="1" ht="11.1" customHeight="1">
      <c r="A590" s="74">
        <f t="shared" si="65"/>
        <v>588</v>
      </c>
      <c r="B590" s="75" t="s">
        <v>433</v>
      </c>
      <c r="C590" s="74" t="str">
        <f>IF($B590&lt;&gt;"",_xlfn.IFNA(VLOOKUP($B590,'Node Details'!$B:$U,C$1,0),"Check"),"")</f>
        <v>0000AXW06-AXW060101</v>
      </c>
      <c r="D590" s="74" t="str">
        <f>IF($B590&lt;&gt;"",_xlfn.IFNA(VLOOKUP($B590,'Node Details'!$B:$U,D$1,0),"Check"),"")</f>
        <v>AXW</v>
      </c>
      <c r="E590" s="74" t="str">
        <f>IF($B590&lt;&gt;"",_xlfn.IFNA(VLOOKUP($B590,'Node Details'!$B:$U,E$1,0),"Check"),"")</f>
        <v>Airtel</v>
      </c>
      <c r="F590" s="76">
        <v>46114</v>
      </c>
      <c r="G590" s="74"/>
      <c r="H590" s="10" t="s">
        <v>1249</v>
      </c>
      <c r="I590" s="9">
        <v>1</v>
      </c>
      <c r="J590" s="9">
        <v>375</v>
      </c>
      <c r="K590" s="77">
        <f t="shared" si="63"/>
        <v>375</v>
      </c>
      <c r="L590" s="76">
        <v>46112</v>
      </c>
      <c r="N590" s="83"/>
      <c r="O590" s="84"/>
      <c r="P590" s="81"/>
      <c r="Q590" s="81"/>
      <c r="R590" s="81"/>
      <c r="S590" s="81"/>
      <c r="T590" s="85"/>
      <c r="U590" s="81"/>
      <c r="V590" s="81"/>
      <c r="W590" s="123">
        <f t="shared" si="64"/>
        <v>0</v>
      </c>
      <c r="X590" s="123" t="s">
        <v>84</v>
      </c>
      <c r="Y590" s="114" t="s">
        <v>93</v>
      </c>
    </row>
    <row r="591" spans="1:25" s="24" customFormat="1" ht="11.1" customHeight="1">
      <c r="A591" s="74">
        <f t="shared" si="65"/>
        <v>589</v>
      </c>
      <c r="B591" s="75" t="s">
        <v>1073</v>
      </c>
      <c r="C591" s="74" t="str">
        <f>IF($B591&lt;&gt;"",_xlfn.IFNA(VLOOKUP($B591,'Node Details'!$B:$U,C$1,0),"Check"),"")</f>
        <v>0000AXW06-AXW060103</v>
      </c>
      <c r="D591" s="74" t="str">
        <f>IF($B591&lt;&gt;"",_xlfn.IFNA(VLOOKUP($B591,'Node Details'!$B:$U,D$1,0),"Check"),"")</f>
        <v>AXW</v>
      </c>
      <c r="E591" s="74" t="str">
        <f>IF($B591&lt;&gt;"",_xlfn.IFNA(VLOOKUP($B591,'Node Details'!$B:$U,E$1,0),"Check"),"")</f>
        <v>Airtel</v>
      </c>
      <c r="F591" s="76">
        <v>46114</v>
      </c>
      <c r="G591" s="74"/>
      <c r="H591" s="10" t="s">
        <v>1249</v>
      </c>
      <c r="I591" s="9">
        <v>1</v>
      </c>
      <c r="J591" s="9">
        <v>375</v>
      </c>
      <c r="K591" s="77">
        <f t="shared" ref="K591:K654" si="66">IF(I591&lt;&gt;"",J591*I591,0)</f>
        <v>375</v>
      </c>
      <c r="L591" s="76">
        <v>46112</v>
      </c>
      <c r="N591" s="83"/>
      <c r="O591" s="84"/>
      <c r="P591" s="81"/>
      <c r="Q591" s="81"/>
      <c r="R591" s="81"/>
      <c r="S591" s="81"/>
      <c r="T591" s="85"/>
      <c r="U591" s="81"/>
      <c r="V591" s="81"/>
      <c r="W591" s="123">
        <f t="shared" ref="W591:W654" si="67">IF(V591&lt;&gt;"",V591*U591,0)</f>
        <v>0</v>
      </c>
      <c r="X591" s="123" t="s">
        <v>84</v>
      </c>
      <c r="Y591" s="114" t="s">
        <v>93</v>
      </c>
    </row>
    <row r="592" spans="1:25" s="24" customFormat="1" ht="11.1" customHeight="1">
      <c r="A592" s="74">
        <f t="shared" si="65"/>
        <v>590</v>
      </c>
      <c r="B592" s="75" t="s">
        <v>435</v>
      </c>
      <c r="C592" s="74" t="str">
        <f>IF($B592&lt;&gt;"",_xlfn.IFNA(VLOOKUP($B592,'Node Details'!$B:$U,C$1,0),"Check"),"")</f>
        <v>0000AXW06-AXW060103</v>
      </c>
      <c r="D592" s="74" t="str">
        <f>IF($B592&lt;&gt;"",_xlfn.IFNA(VLOOKUP($B592,'Node Details'!$B:$U,D$1,0),"Check"),"")</f>
        <v>AXW</v>
      </c>
      <c r="E592" s="74" t="str">
        <f>IF($B592&lt;&gt;"",_xlfn.IFNA(VLOOKUP($B592,'Node Details'!$B:$U,E$1,0),"Check"),"")</f>
        <v>Airtel</v>
      </c>
      <c r="F592" s="76">
        <v>46114</v>
      </c>
      <c r="G592" s="74"/>
      <c r="H592" s="10" t="s">
        <v>1249</v>
      </c>
      <c r="I592" s="9">
        <v>1</v>
      </c>
      <c r="J592" s="9">
        <v>375</v>
      </c>
      <c r="K592" s="77">
        <f t="shared" si="66"/>
        <v>375</v>
      </c>
      <c r="L592" s="76">
        <v>46112</v>
      </c>
      <c r="N592" s="83"/>
      <c r="O592" s="84"/>
      <c r="P592" s="81"/>
      <c r="Q592" s="81"/>
      <c r="R592" s="81"/>
      <c r="S592" s="81"/>
      <c r="T592" s="85"/>
      <c r="U592" s="81"/>
      <c r="V592" s="81"/>
      <c r="W592" s="123">
        <f t="shared" si="67"/>
        <v>0</v>
      </c>
      <c r="X592" s="123" t="s">
        <v>84</v>
      </c>
      <c r="Y592" s="114" t="s">
        <v>93</v>
      </c>
    </row>
    <row r="593" spans="1:25" s="24" customFormat="1" ht="11.1" customHeight="1">
      <c r="A593" s="74">
        <f t="shared" si="65"/>
        <v>591</v>
      </c>
      <c r="B593" s="75" t="s">
        <v>1074</v>
      </c>
      <c r="C593" s="74" t="str">
        <f>IF($B593&lt;&gt;"",_xlfn.IFNA(VLOOKUP($B593,'Node Details'!$B:$U,C$1,0),"Check"),"")</f>
        <v>AXW060103-AXW060107</v>
      </c>
      <c r="D593" s="74" t="str">
        <f>IF($B593&lt;&gt;"",_xlfn.IFNA(VLOOKUP($B593,'Node Details'!$B:$U,D$1,0),"Check"),"")</f>
        <v>AXW</v>
      </c>
      <c r="E593" s="74" t="str">
        <f>IF($B593&lt;&gt;"",_xlfn.IFNA(VLOOKUP($B593,'Node Details'!$B:$U,E$1,0),"Check"),"")</f>
        <v>Airtel</v>
      </c>
      <c r="F593" s="76">
        <v>46114</v>
      </c>
      <c r="G593" s="74"/>
      <c r="H593" s="10" t="s">
        <v>1249</v>
      </c>
      <c r="I593" s="9">
        <v>1</v>
      </c>
      <c r="J593" s="9">
        <v>375</v>
      </c>
      <c r="K593" s="77">
        <f t="shared" si="66"/>
        <v>375</v>
      </c>
      <c r="L593" s="76">
        <v>46112</v>
      </c>
      <c r="N593" s="83"/>
      <c r="O593" s="84"/>
      <c r="P593" s="81"/>
      <c r="Q593" s="81"/>
      <c r="R593" s="81"/>
      <c r="S593" s="81"/>
      <c r="T593" s="85"/>
      <c r="U593" s="81"/>
      <c r="V593" s="81"/>
      <c r="W593" s="123">
        <f t="shared" si="67"/>
        <v>0</v>
      </c>
      <c r="X593" s="123" t="s">
        <v>84</v>
      </c>
      <c r="Y593" s="114" t="s">
        <v>93</v>
      </c>
    </row>
    <row r="594" spans="1:25" s="24" customFormat="1" ht="11.1" customHeight="1">
      <c r="A594" s="74">
        <f t="shared" si="65"/>
        <v>592</v>
      </c>
      <c r="B594" s="75" t="s">
        <v>1075</v>
      </c>
      <c r="C594" s="74" t="str">
        <f>IF($B594&lt;&gt;"",_xlfn.IFNA(VLOOKUP($B594,'Node Details'!$B:$U,C$1,0),"Check"),"")</f>
        <v>AXW060103-AXW060107</v>
      </c>
      <c r="D594" s="74" t="str">
        <f>IF($B594&lt;&gt;"",_xlfn.IFNA(VLOOKUP($B594,'Node Details'!$B:$U,D$1,0),"Check"),"")</f>
        <v>AXW</v>
      </c>
      <c r="E594" s="74" t="str">
        <f>IF($B594&lt;&gt;"",_xlfn.IFNA(VLOOKUP($B594,'Node Details'!$B:$U,E$1,0),"Check"),"")</f>
        <v>Airtel</v>
      </c>
      <c r="F594" s="76">
        <v>46114</v>
      </c>
      <c r="G594" s="74"/>
      <c r="H594" s="10" t="s">
        <v>1249</v>
      </c>
      <c r="I594" s="9">
        <v>1</v>
      </c>
      <c r="J594" s="9">
        <v>375</v>
      </c>
      <c r="K594" s="77">
        <f t="shared" si="66"/>
        <v>375</v>
      </c>
      <c r="L594" s="76">
        <v>46112</v>
      </c>
      <c r="N594" s="83"/>
      <c r="O594" s="84"/>
      <c r="P594" s="81"/>
      <c r="Q594" s="81"/>
      <c r="R594" s="81"/>
      <c r="S594" s="81"/>
      <c r="T594" s="85"/>
      <c r="U594" s="81"/>
      <c r="V594" s="81"/>
      <c r="W594" s="123">
        <f t="shared" si="67"/>
        <v>0</v>
      </c>
      <c r="X594" s="123" t="s">
        <v>84</v>
      </c>
      <c r="Y594" s="114" t="s">
        <v>93</v>
      </c>
    </row>
    <row r="595" spans="1:25" s="24" customFormat="1" ht="11.1" customHeight="1">
      <c r="A595" s="74">
        <f t="shared" si="65"/>
        <v>593</v>
      </c>
      <c r="B595" s="75" t="s">
        <v>1076</v>
      </c>
      <c r="C595" s="74" t="str">
        <f>IF($B595&lt;&gt;"",_xlfn.IFNA(VLOOKUP($B595,'Node Details'!$B:$U,C$1,0),"Check"),"")</f>
        <v>AXW060103-AXW060107</v>
      </c>
      <c r="D595" s="74" t="str">
        <f>IF($B595&lt;&gt;"",_xlfn.IFNA(VLOOKUP($B595,'Node Details'!$B:$U,D$1,0),"Check"),"")</f>
        <v>AXW</v>
      </c>
      <c r="E595" s="74" t="str">
        <f>IF($B595&lt;&gt;"",_xlfn.IFNA(VLOOKUP($B595,'Node Details'!$B:$U,E$1,0),"Check"),"")</f>
        <v>Airtel</v>
      </c>
      <c r="F595" s="76">
        <v>46114</v>
      </c>
      <c r="G595" s="74"/>
      <c r="H595" s="10" t="s">
        <v>1249</v>
      </c>
      <c r="I595" s="9">
        <v>1</v>
      </c>
      <c r="J595" s="9">
        <v>375</v>
      </c>
      <c r="K595" s="77">
        <f t="shared" si="66"/>
        <v>375</v>
      </c>
      <c r="L595" s="76">
        <v>46112</v>
      </c>
      <c r="N595" s="83"/>
      <c r="O595" s="84"/>
      <c r="P595" s="81"/>
      <c r="Q595" s="81"/>
      <c r="R595" s="81"/>
      <c r="S595" s="81"/>
      <c r="T595" s="85"/>
      <c r="U595" s="81"/>
      <c r="V595" s="81"/>
      <c r="W595" s="123">
        <f t="shared" si="67"/>
        <v>0</v>
      </c>
      <c r="X595" s="123" t="s">
        <v>84</v>
      </c>
      <c r="Y595" s="114" t="s">
        <v>93</v>
      </c>
    </row>
    <row r="596" spans="1:25" s="24" customFormat="1" ht="11.1" customHeight="1">
      <c r="A596" s="74">
        <f t="shared" si="65"/>
        <v>594</v>
      </c>
      <c r="B596" s="75" t="s">
        <v>437</v>
      </c>
      <c r="C596" s="74" t="str">
        <f>IF($B596&lt;&gt;"",_xlfn.IFNA(VLOOKUP($B596,'Node Details'!$B:$U,C$1,0),"Check"),"")</f>
        <v>AXW060103-AXW060107</v>
      </c>
      <c r="D596" s="74" t="str">
        <f>IF($B596&lt;&gt;"",_xlfn.IFNA(VLOOKUP($B596,'Node Details'!$B:$U,D$1,0),"Check"),"")</f>
        <v>AXW</v>
      </c>
      <c r="E596" s="74" t="str">
        <f>IF($B596&lt;&gt;"",_xlfn.IFNA(VLOOKUP($B596,'Node Details'!$B:$U,E$1,0),"Check"),"")</f>
        <v>Airtel</v>
      </c>
      <c r="F596" s="76">
        <v>46114</v>
      </c>
      <c r="G596" s="74"/>
      <c r="H596" s="10" t="s">
        <v>1249</v>
      </c>
      <c r="I596" s="9">
        <v>1</v>
      </c>
      <c r="J596" s="9">
        <v>375</v>
      </c>
      <c r="K596" s="77">
        <f t="shared" si="66"/>
        <v>375</v>
      </c>
      <c r="L596" s="76">
        <v>46112</v>
      </c>
      <c r="N596" s="83"/>
      <c r="O596" s="84"/>
      <c r="P596" s="81"/>
      <c r="Q596" s="81"/>
      <c r="R596" s="81"/>
      <c r="S596" s="81"/>
      <c r="T596" s="85"/>
      <c r="U596" s="81"/>
      <c r="V596" s="81"/>
      <c r="W596" s="123">
        <f t="shared" si="67"/>
        <v>0</v>
      </c>
      <c r="X596" s="123" t="s">
        <v>84</v>
      </c>
      <c r="Y596" s="114" t="s">
        <v>93</v>
      </c>
    </row>
    <row r="597" spans="1:25" s="24" customFormat="1" ht="11.1" customHeight="1">
      <c r="A597" s="74">
        <f t="shared" si="65"/>
        <v>595</v>
      </c>
      <c r="B597" s="75" t="s">
        <v>439</v>
      </c>
      <c r="C597" s="74" t="str">
        <f>IF($B597&lt;&gt;"",_xlfn.IFNA(VLOOKUP($B597,'Node Details'!$B:$U,C$1,0),"Check"),"")</f>
        <v>0000AXW07-AXW070101</v>
      </c>
      <c r="D597" s="74" t="str">
        <f>IF($B597&lt;&gt;"",_xlfn.IFNA(VLOOKUP($B597,'Node Details'!$B:$U,D$1,0),"Check"),"")</f>
        <v>AXW</v>
      </c>
      <c r="E597" s="74" t="str">
        <f>IF($B597&lt;&gt;"",_xlfn.IFNA(VLOOKUP($B597,'Node Details'!$B:$U,E$1,0),"Check"),"")</f>
        <v>Airtel</v>
      </c>
      <c r="F597" s="76">
        <v>46114</v>
      </c>
      <c r="G597" s="74"/>
      <c r="H597" s="10" t="s">
        <v>1249</v>
      </c>
      <c r="I597" s="9">
        <v>1</v>
      </c>
      <c r="J597" s="9">
        <v>375</v>
      </c>
      <c r="K597" s="77">
        <f t="shared" si="66"/>
        <v>375</v>
      </c>
      <c r="L597" s="76">
        <v>46112</v>
      </c>
      <c r="N597" s="83"/>
      <c r="O597" s="84"/>
      <c r="P597" s="81"/>
      <c r="Q597" s="81"/>
      <c r="R597" s="81"/>
      <c r="S597" s="81"/>
      <c r="T597" s="85"/>
      <c r="U597" s="81"/>
      <c r="V597" s="81"/>
      <c r="W597" s="123">
        <f t="shared" si="67"/>
        <v>0</v>
      </c>
      <c r="X597" s="123" t="s">
        <v>84</v>
      </c>
      <c r="Y597" s="114" t="s">
        <v>93</v>
      </c>
    </row>
    <row r="598" spans="1:25" s="24" customFormat="1" ht="11.1" customHeight="1">
      <c r="A598" s="74">
        <f t="shared" si="65"/>
        <v>596</v>
      </c>
      <c r="B598" s="75" t="s">
        <v>1077</v>
      </c>
      <c r="C598" s="74" t="str">
        <f>IF($B598&lt;&gt;"",_xlfn.IFNA(VLOOKUP($B598,'Node Details'!$B:$U,C$1,0),"Check"),"")</f>
        <v>0000AXW07-AXW070103</v>
      </c>
      <c r="D598" s="74" t="str">
        <f>IF($B598&lt;&gt;"",_xlfn.IFNA(VLOOKUP($B598,'Node Details'!$B:$U,D$1,0),"Check"),"")</f>
        <v>AXW</v>
      </c>
      <c r="E598" s="74" t="str">
        <f>IF($B598&lt;&gt;"",_xlfn.IFNA(VLOOKUP($B598,'Node Details'!$B:$U,E$1,0),"Check"),"")</f>
        <v>Airtel</v>
      </c>
      <c r="F598" s="76">
        <v>46114</v>
      </c>
      <c r="G598" s="74"/>
      <c r="H598" s="10" t="s">
        <v>1249</v>
      </c>
      <c r="I598" s="9">
        <v>1</v>
      </c>
      <c r="J598" s="9">
        <v>375</v>
      </c>
      <c r="K598" s="77">
        <f t="shared" si="66"/>
        <v>375</v>
      </c>
      <c r="L598" s="76">
        <v>46112</v>
      </c>
      <c r="N598" s="83"/>
      <c r="O598" s="84"/>
      <c r="P598" s="81"/>
      <c r="Q598" s="81"/>
      <c r="R598" s="81"/>
      <c r="S598" s="81"/>
      <c r="T598" s="85"/>
      <c r="U598" s="81"/>
      <c r="V598" s="81"/>
      <c r="W598" s="123">
        <f t="shared" si="67"/>
        <v>0</v>
      </c>
      <c r="X598" s="123" t="s">
        <v>84</v>
      </c>
      <c r="Y598" s="114" t="s">
        <v>93</v>
      </c>
    </row>
    <row r="599" spans="1:25" s="24" customFormat="1" ht="11.1" customHeight="1">
      <c r="A599" s="74">
        <f t="shared" si="65"/>
        <v>597</v>
      </c>
      <c r="B599" s="75" t="s">
        <v>441</v>
      </c>
      <c r="C599" s="74" t="str">
        <f>IF($B599&lt;&gt;"",_xlfn.IFNA(VLOOKUP($B599,'Node Details'!$B:$U,C$1,0),"Check"),"")</f>
        <v>0000AXW07-AXW070103</v>
      </c>
      <c r="D599" s="74" t="str">
        <f>IF($B599&lt;&gt;"",_xlfn.IFNA(VLOOKUP($B599,'Node Details'!$B:$U,D$1,0),"Check"),"")</f>
        <v>AXW</v>
      </c>
      <c r="E599" s="74" t="str">
        <f>IF($B599&lt;&gt;"",_xlfn.IFNA(VLOOKUP($B599,'Node Details'!$B:$U,E$1,0),"Check"),"")</f>
        <v>Airtel</v>
      </c>
      <c r="F599" s="76">
        <v>46114</v>
      </c>
      <c r="G599" s="74"/>
      <c r="H599" s="10" t="s">
        <v>1249</v>
      </c>
      <c r="I599" s="9">
        <v>1</v>
      </c>
      <c r="J599" s="9">
        <v>375</v>
      </c>
      <c r="K599" s="77">
        <f t="shared" si="66"/>
        <v>375</v>
      </c>
      <c r="L599" s="76">
        <v>46112</v>
      </c>
      <c r="N599" s="83"/>
      <c r="O599" s="84"/>
      <c r="P599" s="81"/>
      <c r="Q599" s="81"/>
      <c r="R599" s="81"/>
      <c r="S599" s="81"/>
      <c r="T599" s="85"/>
      <c r="U599" s="81"/>
      <c r="V599" s="81"/>
      <c r="W599" s="123">
        <f t="shared" si="67"/>
        <v>0</v>
      </c>
      <c r="X599" s="123" t="s">
        <v>84</v>
      </c>
      <c r="Y599" s="114" t="s">
        <v>93</v>
      </c>
    </row>
    <row r="600" spans="1:25" s="24" customFormat="1" ht="11.1" customHeight="1">
      <c r="A600" s="74">
        <f t="shared" si="65"/>
        <v>598</v>
      </c>
      <c r="B600" s="75" t="s">
        <v>1078</v>
      </c>
      <c r="C600" s="74" t="str">
        <f>IF($B600&lt;&gt;"",_xlfn.IFNA(VLOOKUP($B600,'Node Details'!$B:$U,C$1,0),"Check"),"")</f>
        <v>0000AXW07-AXW070106</v>
      </c>
      <c r="D600" s="74" t="str">
        <f>IF($B600&lt;&gt;"",_xlfn.IFNA(VLOOKUP($B600,'Node Details'!$B:$U,D$1,0),"Check"),"")</f>
        <v>AXW</v>
      </c>
      <c r="E600" s="74" t="str">
        <f>IF($B600&lt;&gt;"",_xlfn.IFNA(VLOOKUP($B600,'Node Details'!$B:$U,E$1,0),"Check"),"")</f>
        <v>Airtel</v>
      </c>
      <c r="F600" s="76">
        <v>46114</v>
      </c>
      <c r="G600" s="74"/>
      <c r="H600" s="10" t="s">
        <v>1249</v>
      </c>
      <c r="I600" s="9">
        <v>1</v>
      </c>
      <c r="J600" s="9">
        <v>375</v>
      </c>
      <c r="K600" s="77">
        <f t="shared" si="66"/>
        <v>375</v>
      </c>
      <c r="L600" s="76">
        <v>46112</v>
      </c>
      <c r="N600" s="83"/>
      <c r="O600" s="84"/>
      <c r="P600" s="81"/>
      <c r="Q600" s="81"/>
      <c r="R600" s="81"/>
      <c r="S600" s="81"/>
      <c r="T600" s="85"/>
      <c r="U600" s="81"/>
      <c r="V600" s="81"/>
      <c r="W600" s="123">
        <f t="shared" si="67"/>
        <v>0</v>
      </c>
      <c r="X600" s="123" t="s">
        <v>84</v>
      </c>
      <c r="Y600" s="114" t="s">
        <v>93</v>
      </c>
    </row>
    <row r="601" spans="1:25" s="24" customFormat="1" ht="11.1" customHeight="1">
      <c r="A601" s="74">
        <f t="shared" si="65"/>
        <v>599</v>
      </c>
      <c r="B601" s="75" t="s">
        <v>443</v>
      </c>
      <c r="C601" s="74" t="str">
        <f>IF($B601&lt;&gt;"",_xlfn.IFNA(VLOOKUP($B601,'Node Details'!$B:$U,C$1,0),"Check"),"")</f>
        <v>0000AXW07-AXW070106</v>
      </c>
      <c r="D601" s="74" t="str">
        <f>IF($B601&lt;&gt;"",_xlfn.IFNA(VLOOKUP($B601,'Node Details'!$B:$U,D$1,0),"Check"),"")</f>
        <v>AXW</v>
      </c>
      <c r="E601" s="74" t="str">
        <f>IF($B601&lt;&gt;"",_xlfn.IFNA(VLOOKUP($B601,'Node Details'!$B:$U,E$1,0),"Check"),"")</f>
        <v>Airtel</v>
      </c>
      <c r="F601" s="76">
        <v>46114</v>
      </c>
      <c r="G601" s="74"/>
      <c r="H601" s="10" t="s">
        <v>1249</v>
      </c>
      <c r="I601" s="9">
        <v>1</v>
      </c>
      <c r="J601" s="9">
        <v>375</v>
      </c>
      <c r="K601" s="77">
        <f t="shared" si="66"/>
        <v>375</v>
      </c>
      <c r="L601" s="76">
        <v>46112</v>
      </c>
      <c r="N601" s="83"/>
      <c r="O601" s="84"/>
      <c r="P601" s="81"/>
      <c r="Q601" s="81"/>
      <c r="R601" s="81"/>
      <c r="S601" s="81"/>
      <c r="T601" s="85"/>
      <c r="U601" s="81"/>
      <c r="V601" s="81"/>
      <c r="W601" s="123">
        <f t="shared" si="67"/>
        <v>0</v>
      </c>
      <c r="X601" s="123" t="s">
        <v>84</v>
      </c>
      <c r="Y601" s="114" t="s">
        <v>93</v>
      </c>
    </row>
    <row r="602" spans="1:25" s="24" customFormat="1" ht="11.1" customHeight="1">
      <c r="A602" s="74">
        <f t="shared" si="65"/>
        <v>600</v>
      </c>
      <c r="B602" s="75" t="s">
        <v>446</v>
      </c>
      <c r="C602" s="74" t="str">
        <f>IF($B602&lt;&gt;"",_xlfn.IFNA(VLOOKUP($B602,'Node Details'!$B:$U,C$1,0),"Check"),"")</f>
        <v>0000AXW08-AXW080101</v>
      </c>
      <c r="D602" s="74" t="str">
        <f>IF($B602&lt;&gt;"",_xlfn.IFNA(VLOOKUP($B602,'Node Details'!$B:$U,D$1,0),"Check"),"")</f>
        <v>AXW</v>
      </c>
      <c r="E602" s="74" t="str">
        <f>IF($B602&lt;&gt;"",_xlfn.IFNA(VLOOKUP($B602,'Node Details'!$B:$U,E$1,0),"Check"),"")</f>
        <v>Airtel</v>
      </c>
      <c r="F602" s="76">
        <v>46114</v>
      </c>
      <c r="G602" s="74"/>
      <c r="H602" s="10" t="s">
        <v>1249</v>
      </c>
      <c r="I602" s="9">
        <v>1</v>
      </c>
      <c r="J602" s="9">
        <v>375</v>
      </c>
      <c r="K602" s="77">
        <f t="shared" si="66"/>
        <v>375</v>
      </c>
      <c r="L602" s="76">
        <v>46112</v>
      </c>
      <c r="N602" s="83"/>
      <c r="O602" s="84"/>
      <c r="P602" s="81"/>
      <c r="Q602" s="81"/>
      <c r="R602" s="81"/>
      <c r="S602" s="81"/>
      <c r="T602" s="85"/>
      <c r="U602" s="81"/>
      <c r="V602" s="81"/>
      <c r="W602" s="123">
        <f t="shared" si="67"/>
        <v>0</v>
      </c>
      <c r="X602" s="123" t="s">
        <v>84</v>
      </c>
      <c r="Y602" s="114" t="s">
        <v>93</v>
      </c>
    </row>
    <row r="603" spans="1:25" s="24" customFormat="1" ht="11.1" customHeight="1">
      <c r="A603" s="74">
        <f t="shared" si="65"/>
        <v>601</v>
      </c>
      <c r="B603" s="75" t="s">
        <v>448</v>
      </c>
      <c r="C603" s="74" t="str">
        <f>IF($B603&lt;&gt;"",_xlfn.IFNA(VLOOKUP($B603,'Node Details'!$B:$U,C$1,0),"Check"),"")</f>
        <v>0000AXW08-AXW080103</v>
      </c>
      <c r="D603" s="74" t="str">
        <f>IF($B603&lt;&gt;"",_xlfn.IFNA(VLOOKUP($B603,'Node Details'!$B:$U,D$1,0),"Check"),"")</f>
        <v>AXW</v>
      </c>
      <c r="E603" s="74" t="str">
        <f>IF($B603&lt;&gt;"",_xlfn.IFNA(VLOOKUP($B603,'Node Details'!$B:$U,E$1,0),"Check"),"")</f>
        <v>Airtel</v>
      </c>
      <c r="F603" s="76">
        <v>46114</v>
      </c>
      <c r="G603" s="74"/>
      <c r="H603" s="10" t="s">
        <v>1249</v>
      </c>
      <c r="I603" s="9">
        <v>1</v>
      </c>
      <c r="J603" s="9">
        <v>375</v>
      </c>
      <c r="K603" s="77">
        <f t="shared" si="66"/>
        <v>375</v>
      </c>
      <c r="L603" s="76">
        <v>46112</v>
      </c>
      <c r="N603" s="83"/>
      <c r="O603" s="84"/>
      <c r="P603" s="81"/>
      <c r="Q603" s="81"/>
      <c r="R603" s="81"/>
      <c r="S603" s="81"/>
      <c r="T603" s="85"/>
      <c r="U603" s="81"/>
      <c r="V603" s="81"/>
      <c r="W603" s="123">
        <f t="shared" si="67"/>
        <v>0</v>
      </c>
      <c r="X603" s="123" t="s">
        <v>84</v>
      </c>
      <c r="Y603" s="114" t="s">
        <v>93</v>
      </c>
    </row>
    <row r="604" spans="1:25" s="24" customFormat="1" ht="11.1" customHeight="1">
      <c r="A604" s="74">
        <f t="shared" si="65"/>
        <v>602</v>
      </c>
      <c r="B604" s="75" t="s">
        <v>1079</v>
      </c>
      <c r="C604" s="74" t="str">
        <f>IF($B604&lt;&gt;"",_xlfn.IFNA(VLOOKUP($B604,'Node Details'!$B:$U,C$1,0),"Check"),"")</f>
        <v>AXW080103-AXW080105</v>
      </c>
      <c r="D604" s="74" t="str">
        <f>IF($B604&lt;&gt;"",_xlfn.IFNA(VLOOKUP($B604,'Node Details'!$B:$U,D$1,0),"Check"),"")</f>
        <v>AXW</v>
      </c>
      <c r="E604" s="74" t="str">
        <f>IF($B604&lt;&gt;"",_xlfn.IFNA(VLOOKUP($B604,'Node Details'!$B:$U,E$1,0),"Check"),"")</f>
        <v>Airtel</v>
      </c>
      <c r="F604" s="76">
        <v>46114</v>
      </c>
      <c r="G604" s="74"/>
      <c r="H604" s="10" t="s">
        <v>1249</v>
      </c>
      <c r="I604" s="9">
        <v>1</v>
      </c>
      <c r="J604" s="9">
        <v>375</v>
      </c>
      <c r="K604" s="77">
        <f t="shared" si="66"/>
        <v>375</v>
      </c>
      <c r="L604" s="76">
        <v>46112</v>
      </c>
      <c r="N604" s="83"/>
      <c r="O604" s="84"/>
      <c r="P604" s="81"/>
      <c r="Q604" s="81"/>
      <c r="R604" s="81"/>
      <c r="S604" s="81"/>
      <c r="T604" s="85"/>
      <c r="U604" s="81"/>
      <c r="V604" s="81"/>
      <c r="W604" s="123">
        <f t="shared" si="67"/>
        <v>0</v>
      </c>
      <c r="X604" s="123" t="s">
        <v>84</v>
      </c>
      <c r="Y604" s="114" t="s">
        <v>93</v>
      </c>
    </row>
    <row r="605" spans="1:25" s="24" customFormat="1" ht="11.1" customHeight="1">
      <c r="A605" s="74">
        <f t="shared" si="65"/>
        <v>603</v>
      </c>
      <c r="B605" s="75" t="s">
        <v>450</v>
      </c>
      <c r="C605" s="74" t="str">
        <f>IF($B605&lt;&gt;"",_xlfn.IFNA(VLOOKUP($B605,'Node Details'!$B:$U,C$1,0),"Check"),"")</f>
        <v>AXW080103-AXW080105</v>
      </c>
      <c r="D605" s="74" t="str">
        <f>IF($B605&lt;&gt;"",_xlfn.IFNA(VLOOKUP($B605,'Node Details'!$B:$U,D$1,0),"Check"),"")</f>
        <v>AXW</v>
      </c>
      <c r="E605" s="74" t="str">
        <f>IF($B605&lt;&gt;"",_xlfn.IFNA(VLOOKUP($B605,'Node Details'!$B:$U,E$1,0),"Check"),"")</f>
        <v>Airtel</v>
      </c>
      <c r="F605" s="76">
        <v>46114</v>
      </c>
      <c r="G605" s="74"/>
      <c r="H605" s="10" t="s">
        <v>1249</v>
      </c>
      <c r="I605" s="9">
        <v>1</v>
      </c>
      <c r="J605" s="9">
        <v>375</v>
      </c>
      <c r="K605" s="77">
        <f t="shared" si="66"/>
        <v>375</v>
      </c>
      <c r="L605" s="76">
        <v>46112</v>
      </c>
      <c r="N605" s="83"/>
      <c r="O605" s="84"/>
      <c r="P605" s="81"/>
      <c r="Q605" s="81"/>
      <c r="R605" s="81"/>
      <c r="S605" s="81"/>
      <c r="T605" s="85"/>
      <c r="U605" s="81"/>
      <c r="V605" s="81"/>
      <c r="W605" s="123">
        <f t="shared" si="67"/>
        <v>0</v>
      </c>
      <c r="X605" s="123" t="s">
        <v>84</v>
      </c>
      <c r="Y605" s="114" t="s">
        <v>93</v>
      </c>
    </row>
    <row r="606" spans="1:25" s="24" customFormat="1" ht="11.1" customHeight="1">
      <c r="A606" s="74">
        <f t="shared" si="65"/>
        <v>604</v>
      </c>
      <c r="B606" s="75" t="s">
        <v>452</v>
      </c>
      <c r="C606" s="74" t="str">
        <f>IF($B606&lt;&gt;"",_xlfn.IFNA(VLOOKUP($B606,'Node Details'!$B:$U,C$1,0),"Check"),"")</f>
        <v>0000AXW08-AXW080106</v>
      </c>
      <c r="D606" s="74" t="str">
        <f>IF($B606&lt;&gt;"",_xlfn.IFNA(VLOOKUP($B606,'Node Details'!$B:$U,D$1,0),"Check"),"")</f>
        <v>AXW</v>
      </c>
      <c r="E606" s="74" t="str">
        <f>IF($B606&lt;&gt;"",_xlfn.IFNA(VLOOKUP($B606,'Node Details'!$B:$U,E$1,0),"Check"),"")</f>
        <v>Airtel</v>
      </c>
      <c r="F606" s="76">
        <v>46114</v>
      </c>
      <c r="G606" s="74"/>
      <c r="H606" s="10" t="s">
        <v>1249</v>
      </c>
      <c r="I606" s="9">
        <v>1</v>
      </c>
      <c r="J606" s="9">
        <v>375</v>
      </c>
      <c r="K606" s="77">
        <f t="shared" si="66"/>
        <v>375</v>
      </c>
      <c r="L606" s="76">
        <v>46112</v>
      </c>
      <c r="N606" s="83"/>
      <c r="O606" s="84"/>
      <c r="P606" s="81"/>
      <c r="Q606" s="81"/>
      <c r="R606" s="81"/>
      <c r="S606" s="81"/>
      <c r="T606" s="85"/>
      <c r="U606" s="81"/>
      <c r="V606" s="81"/>
      <c r="W606" s="123">
        <f t="shared" si="67"/>
        <v>0</v>
      </c>
      <c r="X606" s="123" t="s">
        <v>84</v>
      </c>
      <c r="Y606" s="114" t="s">
        <v>93</v>
      </c>
    </row>
    <row r="607" spans="1:25" s="24" customFormat="1" ht="11.1" customHeight="1">
      <c r="A607" s="74">
        <f t="shared" si="65"/>
        <v>605</v>
      </c>
      <c r="B607" s="75" t="s">
        <v>1080</v>
      </c>
      <c r="C607" s="74" t="str">
        <f>IF($B607&lt;&gt;"",_xlfn.IFNA(VLOOKUP($B607,'Node Details'!$B:$U,C$1,0),"Check"),"")</f>
        <v>AXW080106-AXW080108</v>
      </c>
      <c r="D607" s="74" t="str">
        <f>IF($B607&lt;&gt;"",_xlfn.IFNA(VLOOKUP($B607,'Node Details'!$B:$U,D$1,0),"Check"),"")</f>
        <v>AXW</v>
      </c>
      <c r="E607" s="74" t="str">
        <f>IF($B607&lt;&gt;"",_xlfn.IFNA(VLOOKUP($B607,'Node Details'!$B:$U,E$1,0),"Check"),"")</f>
        <v>Airtel</v>
      </c>
      <c r="F607" s="76">
        <v>46114</v>
      </c>
      <c r="G607" s="74"/>
      <c r="H607" s="10" t="s">
        <v>1249</v>
      </c>
      <c r="I607" s="9">
        <v>1</v>
      </c>
      <c r="J607" s="9">
        <v>375</v>
      </c>
      <c r="K607" s="77">
        <f t="shared" si="66"/>
        <v>375</v>
      </c>
      <c r="L607" s="76">
        <v>46112</v>
      </c>
      <c r="N607" s="83"/>
      <c r="O607" s="84"/>
      <c r="P607" s="81"/>
      <c r="Q607" s="81"/>
      <c r="R607" s="81"/>
      <c r="S607" s="81"/>
      <c r="T607" s="85"/>
      <c r="U607" s="81"/>
      <c r="V607" s="81"/>
      <c r="W607" s="123">
        <f t="shared" si="67"/>
        <v>0</v>
      </c>
      <c r="X607" s="123" t="s">
        <v>84</v>
      </c>
      <c r="Y607" s="114" t="s">
        <v>93</v>
      </c>
    </row>
    <row r="608" spans="1:25" s="24" customFormat="1" ht="11.1" customHeight="1">
      <c r="A608" s="74">
        <f t="shared" si="65"/>
        <v>606</v>
      </c>
      <c r="B608" s="75" t="s">
        <v>454</v>
      </c>
      <c r="C608" s="74" t="str">
        <f>IF($B608&lt;&gt;"",_xlfn.IFNA(VLOOKUP($B608,'Node Details'!$B:$U,C$1,0),"Check"),"")</f>
        <v>AXW080106-AXW080108</v>
      </c>
      <c r="D608" s="74" t="str">
        <f>IF($B608&lt;&gt;"",_xlfn.IFNA(VLOOKUP($B608,'Node Details'!$B:$U,D$1,0),"Check"),"")</f>
        <v>AXW</v>
      </c>
      <c r="E608" s="74" t="str">
        <f>IF($B608&lt;&gt;"",_xlfn.IFNA(VLOOKUP($B608,'Node Details'!$B:$U,E$1,0),"Check"),"")</f>
        <v>Airtel</v>
      </c>
      <c r="F608" s="76">
        <v>46114</v>
      </c>
      <c r="G608" s="74"/>
      <c r="H608" s="10" t="s">
        <v>1249</v>
      </c>
      <c r="I608" s="9">
        <v>1</v>
      </c>
      <c r="J608" s="9">
        <v>375</v>
      </c>
      <c r="K608" s="77">
        <f t="shared" si="66"/>
        <v>375</v>
      </c>
      <c r="L608" s="76">
        <v>46112</v>
      </c>
      <c r="N608" s="83"/>
      <c r="O608" s="84"/>
      <c r="P608" s="81"/>
      <c r="Q608" s="81"/>
      <c r="R608" s="81"/>
      <c r="S608" s="81"/>
      <c r="T608" s="85"/>
      <c r="U608" s="81"/>
      <c r="V608" s="81"/>
      <c r="W608" s="123">
        <f t="shared" si="67"/>
        <v>0</v>
      </c>
      <c r="X608" s="123" t="s">
        <v>84</v>
      </c>
      <c r="Y608" s="114" t="s">
        <v>93</v>
      </c>
    </row>
    <row r="609" spans="1:25" s="24" customFormat="1" ht="11.1" customHeight="1">
      <c r="A609" s="74">
        <f t="shared" si="65"/>
        <v>607</v>
      </c>
      <c r="B609" s="75" t="s">
        <v>1081</v>
      </c>
      <c r="C609" s="74" t="str">
        <f>IF($B609&lt;&gt;"",_xlfn.IFNA(VLOOKUP($B609,'Node Details'!$B:$U,C$1,0),"Check"),"")</f>
        <v>AXW080106-AXW080202</v>
      </c>
      <c r="D609" s="74" t="str">
        <f>IF($B609&lt;&gt;"",_xlfn.IFNA(VLOOKUP($B609,'Node Details'!$B:$U,D$1,0),"Check"),"")</f>
        <v>AXW</v>
      </c>
      <c r="E609" s="74" t="str">
        <f>IF($B609&lt;&gt;"",_xlfn.IFNA(VLOOKUP($B609,'Node Details'!$B:$U,E$1,0),"Check"),"")</f>
        <v>Airtel</v>
      </c>
      <c r="F609" s="76">
        <v>46114</v>
      </c>
      <c r="G609" s="74"/>
      <c r="H609" s="10" t="s">
        <v>1249</v>
      </c>
      <c r="I609" s="9">
        <v>1</v>
      </c>
      <c r="J609" s="9">
        <v>375</v>
      </c>
      <c r="K609" s="77">
        <f t="shared" si="66"/>
        <v>375</v>
      </c>
      <c r="L609" s="76">
        <v>46112</v>
      </c>
      <c r="N609" s="83"/>
      <c r="O609" s="84"/>
      <c r="P609" s="81"/>
      <c r="Q609" s="81"/>
      <c r="R609" s="81"/>
      <c r="S609" s="81"/>
      <c r="T609" s="85"/>
      <c r="U609" s="81"/>
      <c r="V609" s="81"/>
      <c r="W609" s="123">
        <f t="shared" si="67"/>
        <v>0</v>
      </c>
      <c r="X609" s="123" t="s">
        <v>84</v>
      </c>
      <c r="Y609" s="114" t="s">
        <v>93</v>
      </c>
    </row>
    <row r="610" spans="1:25" s="24" customFormat="1" ht="11.1" customHeight="1">
      <c r="A610" s="74">
        <f t="shared" si="65"/>
        <v>608</v>
      </c>
      <c r="B610" s="75" t="s">
        <v>456</v>
      </c>
      <c r="C610" s="74" t="str">
        <f>IF($B610&lt;&gt;"",_xlfn.IFNA(VLOOKUP($B610,'Node Details'!$B:$U,C$1,0),"Check"),"")</f>
        <v>AXW080106-AXW080202</v>
      </c>
      <c r="D610" s="74" t="str">
        <f>IF($B610&lt;&gt;"",_xlfn.IFNA(VLOOKUP($B610,'Node Details'!$B:$U,D$1,0),"Check"),"")</f>
        <v>AXW</v>
      </c>
      <c r="E610" s="74" t="str">
        <f>IF($B610&lt;&gt;"",_xlfn.IFNA(VLOOKUP($B610,'Node Details'!$B:$U,E$1,0),"Check"),"")</f>
        <v>Airtel</v>
      </c>
      <c r="F610" s="76">
        <v>46114</v>
      </c>
      <c r="G610" s="74"/>
      <c r="H610" s="10" t="s">
        <v>1249</v>
      </c>
      <c r="I610" s="9">
        <v>1</v>
      </c>
      <c r="J610" s="9">
        <v>375</v>
      </c>
      <c r="K610" s="77">
        <f t="shared" si="66"/>
        <v>375</v>
      </c>
      <c r="L610" s="76">
        <v>46112</v>
      </c>
      <c r="N610" s="83"/>
      <c r="O610" s="84"/>
      <c r="P610" s="81"/>
      <c r="Q610" s="81"/>
      <c r="R610" s="81"/>
      <c r="S610" s="81"/>
      <c r="T610" s="85"/>
      <c r="U610" s="81"/>
      <c r="V610" s="81"/>
      <c r="W610" s="123">
        <f t="shared" si="67"/>
        <v>0</v>
      </c>
      <c r="X610" s="123" t="s">
        <v>84</v>
      </c>
      <c r="Y610" s="114" t="s">
        <v>93</v>
      </c>
    </row>
    <row r="611" spans="1:25" s="24" customFormat="1" ht="11.1" customHeight="1">
      <c r="A611" s="74">
        <f t="shared" si="65"/>
        <v>609</v>
      </c>
      <c r="B611" s="75" t="s">
        <v>459</v>
      </c>
      <c r="C611" s="74" t="str">
        <f>IF($B611&lt;&gt;"",_xlfn.IFNA(VLOOKUP($B611,'Node Details'!$B:$U,C$1,0),"Check"),"")</f>
        <v>0000AXW09-AXW090101</v>
      </c>
      <c r="D611" s="74" t="str">
        <f>IF($B611&lt;&gt;"",_xlfn.IFNA(VLOOKUP($B611,'Node Details'!$B:$U,D$1,0),"Check"),"")</f>
        <v>AXW</v>
      </c>
      <c r="E611" s="74" t="str">
        <f>IF($B611&lt;&gt;"",_xlfn.IFNA(VLOOKUP($B611,'Node Details'!$B:$U,E$1,0),"Check"),"")</f>
        <v>Airtel</v>
      </c>
      <c r="F611" s="76">
        <v>46114</v>
      </c>
      <c r="G611" s="74"/>
      <c r="H611" s="10" t="s">
        <v>1249</v>
      </c>
      <c r="I611" s="9">
        <v>1</v>
      </c>
      <c r="J611" s="9">
        <v>375</v>
      </c>
      <c r="K611" s="77">
        <f t="shared" si="66"/>
        <v>375</v>
      </c>
      <c r="L611" s="76">
        <v>46112</v>
      </c>
      <c r="N611" s="83"/>
      <c r="O611" s="84"/>
      <c r="P611" s="81"/>
      <c r="Q611" s="81"/>
      <c r="R611" s="81"/>
      <c r="S611" s="81"/>
      <c r="T611" s="85"/>
      <c r="U611" s="81"/>
      <c r="V611" s="81"/>
      <c r="W611" s="123">
        <f t="shared" si="67"/>
        <v>0</v>
      </c>
      <c r="X611" s="123" t="s">
        <v>84</v>
      </c>
      <c r="Y611" s="114" t="s">
        <v>93</v>
      </c>
    </row>
    <row r="612" spans="1:25" s="24" customFormat="1" ht="11.1" customHeight="1">
      <c r="A612" s="74">
        <f t="shared" si="65"/>
        <v>610</v>
      </c>
      <c r="B612" s="75" t="s">
        <v>461</v>
      </c>
      <c r="C612" s="74" t="str">
        <f>IF($B612&lt;&gt;"",_xlfn.IFNA(VLOOKUP($B612,'Node Details'!$B:$U,C$1,0),"Check"),"")</f>
        <v>0000AXW09-AXW090102</v>
      </c>
      <c r="D612" s="74" t="str">
        <f>IF($B612&lt;&gt;"",_xlfn.IFNA(VLOOKUP($B612,'Node Details'!$B:$U,D$1,0),"Check"),"")</f>
        <v>AXW</v>
      </c>
      <c r="E612" s="74" t="str">
        <f>IF($B612&lt;&gt;"",_xlfn.IFNA(VLOOKUP($B612,'Node Details'!$B:$U,E$1,0),"Check"),"")</f>
        <v>Airtel</v>
      </c>
      <c r="F612" s="76">
        <v>46114</v>
      </c>
      <c r="G612" s="74"/>
      <c r="H612" s="10" t="s">
        <v>1249</v>
      </c>
      <c r="I612" s="9">
        <v>1</v>
      </c>
      <c r="J612" s="9">
        <v>375</v>
      </c>
      <c r="K612" s="77">
        <f t="shared" si="66"/>
        <v>375</v>
      </c>
      <c r="L612" s="76">
        <v>46112</v>
      </c>
      <c r="N612" s="83"/>
      <c r="O612" s="84"/>
      <c r="P612" s="81"/>
      <c r="Q612" s="81"/>
      <c r="R612" s="81"/>
      <c r="S612" s="81"/>
      <c r="T612" s="85"/>
      <c r="U612" s="81"/>
      <c r="V612" s="81"/>
      <c r="W612" s="123">
        <f t="shared" si="67"/>
        <v>0</v>
      </c>
      <c r="X612" s="123" t="s">
        <v>84</v>
      </c>
      <c r="Y612" s="114" t="s">
        <v>93</v>
      </c>
    </row>
    <row r="613" spans="1:25" s="24" customFormat="1" ht="11.1" customHeight="1">
      <c r="A613" s="74">
        <f t="shared" si="65"/>
        <v>611</v>
      </c>
      <c r="B613" s="75" t="s">
        <v>1082</v>
      </c>
      <c r="C613" s="74" t="str">
        <f>IF($B613&lt;&gt;"",_xlfn.IFNA(VLOOKUP($B613,'Node Details'!$B:$U,C$1,0),"Check"),"")</f>
        <v>0000AXW09-AXW090106</v>
      </c>
      <c r="D613" s="74" t="str">
        <f>IF($B613&lt;&gt;"",_xlfn.IFNA(VLOOKUP($B613,'Node Details'!$B:$U,D$1,0),"Check"),"")</f>
        <v>AXW</v>
      </c>
      <c r="E613" s="74" t="str">
        <f>IF($B613&lt;&gt;"",_xlfn.IFNA(VLOOKUP($B613,'Node Details'!$B:$U,E$1,0),"Check"),"")</f>
        <v>Airtel</v>
      </c>
      <c r="F613" s="76">
        <v>46114</v>
      </c>
      <c r="G613" s="74"/>
      <c r="H613" s="10" t="s">
        <v>1249</v>
      </c>
      <c r="I613" s="9">
        <v>1</v>
      </c>
      <c r="J613" s="9">
        <v>375</v>
      </c>
      <c r="K613" s="77">
        <f t="shared" si="66"/>
        <v>375</v>
      </c>
      <c r="L613" s="76">
        <v>46112</v>
      </c>
      <c r="N613" s="83"/>
      <c r="O613" s="84"/>
      <c r="P613" s="81"/>
      <c r="Q613" s="81"/>
      <c r="R613" s="81"/>
      <c r="S613" s="81"/>
      <c r="T613" s="85"/>
      <c r="U613" s="81"/>
      <c r="V613" s="81"/>
      <c r="W613" s="123">
        <f t="shared" si="67"/>
        <v>0</v>
      </c>
      <c r="X613" s="123" t="s">
        <v>84</v>
      </c>
      <c r="Y613" s="114" t="s">
        <v>93</v>
      </c>
    </row>
    <row r="614" spans="1:25" s="24" customFormat="1" ht="11.1" customHeight="1">
      <c r="A614" s="74">
        <f t="shared" si="65"/>
        <v>612</v>
      </c>
      <c r="B614" s="75" t="s">
        <v>1083</v>
      </c>
      <c r="C614" s="74" t="str">
        <f>IF($B614&lt;&gt;"",_xlfn.IFNA(VLOOKUP($B614,'Node Details'!$B:$U,C$1,0),"Check"),"")</f>
        <v>0000AXW09-AXW090106</v>
      </c>
      <c r="D614" s="74" t="str">
        <f>IF($B614&lt;&gt;"",_xlfn.IFNA(VLOOKUP($B614,'Node Details'!$B:$U,D$1,0),"Check"),"")</f>
        <v>AXW</v>
      </c>
      <c r="E614" s="74" t="str">
        <f>IF($B614&lt;&gt;"",_xlfn.IFNA(VLOOKUP($B614,'Node Details'!$B:$U,E$1,0),"Check"),"")</f>
        <v>Airtel</v>
      </c>
      <c r="F614" s="76">
        <v>46114</v>
      </c>
      <c r="G614" s="74"/>
      <c r="H614" s="10" t="s">
        <v>1249</v>
      </c>
      <c r="I614" s="9">
        <v>1</v>
      </c>
      <c r="J614" s="9">
        <v>375</v>
      </c>
      <c r="K614" s="77">
        <f t="shared" si="66"/>
        <v>375</v>
      </c>
      <c r="L614" s="76">
        <v>46112</v>
      </c>
      <c r="N614" s="83"/>
      <c r="O614" s="84"/>
      <c r="P614" s="81"/>
      <c r="Q614" s="81"/>
      <c r="R614" s="81"/>
      <c r="S614" s="81"/>
      <c r="T614" s="85"/>
      <c r="U614" s="81"/>
      <c r="V614" s="81"/>
      <c r="W614" s="123">
        <f t="shared" si="67"/>
        <v>0</v>
      </c>
      <c r="X614" s="123" t="s">
        <v>84</v>
      </c>
      <c r="Y614" s="114" t="s">
        <v>93</v>
      </c>
    </row>
    <row r="615" spans="1:25" s="24" customFormat="1" ht="11.1" customHeight="1">
      <c r="A615" s="74">
        <f t="shared" si="65"/>
        <v>613</v>
      </c>
      <c r="B615" s="75" t="s">
        <v>1084</v>
      </c>
      <c r="C615" s="74" t="str">
        <f>IF($B615&lt;&gt;"",_xlfn.IFNA(VLOOKUP($B615,'Node Details'!$B:$U,C$1,0),"Check"),"")</f>
        <v>0000AXW09-AXW090106</v>
      </c>
      <c r="D615" s="74" t="str">
        <f>IF($B615&lt;&gt;"",_xlfn.IFNA(VLOOKUP($B615,'Node Details'!$B:$U,D$1,0),"Check"),"")</f>
        <v>AXW</v>
      </c>
      <c r="E615" s="74" t="str">
        <f>IF($B615&lt;&gt;"",_xlfn.IFNA(VLOOKUP($B615,'Node Details'!$B:$U,E$1,0),"Check"),"")</f>
        <v>Airtel</v>
      </c>
      <c r="F615" s="76">
        <v>46114</v>
      </c>
      <c r="G615" s="74"/>
      <c r="H615" s="10" t="s">
        <v>1249</v>
      </c>
      <c r="I615" s="9">
        <v>1</v>
      </c>
      <c r="J615" s="9">
        <v>375</v>
      </c>
      <c r="K615" s="77">
        <f t="shared" si="66"/>
        <v>375</v>
      </c>
      <c r="L615" s="76">
        <v>46112</v>
      </c>
      <c r="N615" s="83"/>
      <c r="O615" s="84"/>
      <c r="P615" s="81"/>
      <c r="Q615" s="81"/>
      <c r="R615" s="81"/>
      <c r="S615" s="81"/>
      <c r="T615" s="85"/>
      <c r="U615" s="81"/>
      <c r="V615" s="81"/>
      <c r="W615" s="123">
        <f t="shared" si="67"/>
        <v>0</v>
      </c>
      <c r="X615" s="123" t="s">
        <v>84</v>
      </c>
      <c r="Y615" s="114" t="s">
        <v>93</v>
      </c>
    </row>
    <row r="616" spans="1:25" s="24" customFormat="1" ht="11.1" customHeight="1">
      <c r="A616" s="74">
        <f t="shared" si="65"/>
        <v>614</v>
      </c>
      <c r="B616" s="75" t="s">
        <v>463</v>
      </c>
      <c r="C616" s="74" t="str">
        <f>IF($B616&lt;&gt;"",_xlfn.IFNA(VLOOKUP($B616,'Node Details'!$B:$U,C$1,0),"Check"),"")</f>
        <v>0000AXW09-AXW090106</v>
      </c>
      <c r="D616" s="74" t="str">
        <f>IF($B616&lt;&gt;"",_xlfn.IFNA(VLOOKUP($B616,'Node Details'!$B:$U,D$1,0),"Check"),"")</f>
        <v>AXW</v>
      </c>
      <c r="E616" s="74" t="str">
        <f>IF($B616&lt;&gt;"",_xlfn.IFNA(VLOOKUP($B616,'Node Details'!$B:$U,E$1,0),"Check"),"")</f>
        <v>Airtel</v>
      </c>
      <c r="F616" s="76">
        <v>46114</v>
      </c>
      <c r="G616" s="74"/>
      <c r="H616" s="10" t="s">
        <v>1249</v>
      </c>
      <c r="I616" s="9">
        <v>1</v>
      </c>
      <c r="J616" s="9">
        <v>375</v>
      </c>
      <c r="K616" s="77">
        <f t="shared" si="66"/>
        <v>375</v>
      </c>
      <c r="L616" s="76">
        <v>46112</v>
      </c>
      <c r="N616" s="83"/>
      <c r="O616" s="84"/>
      <c r="P616" s="81"/>
      <c r="Q616" s="81"/>
      <c r="R616" s="81"/>
      <c r="S616" s="81"/>
      <c r="T616" s="85"/>
      <c r="U616" s="81"/>
      <c r="V616" s="81"/>
      <c r="W616" s="123">
        <f t="shared" si="67"/>
        <v>0</v>
      </c>
      <c r="X616" s="123" t="s">
        <v>84</v>
      </c>
      <c r="Y616" s="114" t="s">
        <v>93</v>
      </c>
    </row>
    <row r="617" spans="1:25" s="24" customFormat="1" ht="11.1" customHeight="1">
      <c r="A617" s="74">
        <f t="shared" si="65"/>
        <v>615</v>
      </c>
      <c r="B617" s="75" t="s">
        <v>471</v>
      </c>
      <c r="C617" s="74" t="str">
        <f>IF($B617&lt;&gt;"",_xlfn.IFNA(VLOOKUP($B617,'Node Details'!$B:$U,C$1,0),"Check"),"")</f>
        <v>0000AXW10-AXW100107</v>
      </c>
      <c r="D617" s="74" t="str">
        <f>IF($B617&lt;&gt;"",_xlfn.IFNA(VLOOKUP($B617,'Node Details'!$B:$U,D$1,0),"Check"),"")</f>
        <v>AXW</v>
      </c>
      <c r="E617" s="74" t="str">
        <f>IF($B617&lt;&gt;"",_xlfn.IFNA(VLOOKUP($B617,'Node Details'!$B:$U,E$1,0),"Check"),"")</f>
        <v>Airtel</v>
      </c>
      <c r="F617" s="76">
        <v>46114</v>
      </c>
      <c r="G617" s="74"/>
      <c r="H617" s="10" t="s">
        <v>1249</v>
      </c>
      <c r="I617" s="9">
        <v>1</v>
      </c>
      <c r="J617" s="9">
        <v>375</v>
      </c>
      <c r="K617" s="77">
        <f t="shared" si="66"/>
        <v>375</v>
      </c>
      <c r="L617" s="76">
        <v>46112</v>
      </c>
      <c r="N617" s="83"/>
      <c r="O617" s="84"/>
      <c r="P617" s="81"/>
      <c r="Q617" s="81"/>
      <c r="R617" s="81"/>
      <c r="S617" s="81"/>
      <c r="T617" s="85"/>
      <c r="U617" s="81"/>
      <c r="V617" s="81"/>
      <c r="W617" s="123">
        <f t="shared" si="67"/>
        <v>0</v>
      </c>
      <c r="X617" s="123" t="s">
        <v>84</v>
      </c>
      <c r="Y617" s="114" t="s">
        <v>93</v>
      </c>
    </row>
    <row r="618" spans="1:25" s="24" customFormat="1" ht="11.1" customHeight="1">
      <c r="A618" s="74">
        <f t="shared" si="65"/>
        <v>616</v>
      </c>
      <c r="B618" s="75" t="s">
        <v>467</v>
      </c>
      <c r="C618" s="74" t="str">
        <f>IF($B618&lt;&gt;"",_xlfn.IFNA(VLOOKUP($B618,'Node Details'!$B:$U,C$1,0),"Check"),"")</f>
        <v>0000AXW10-AXW100102</v>
      </c>
      <c r="D618" s="74" t="str">
        <f>IF($B618&lt;&gt;"",_xlfn.IFNA(VLOOKUP($B618,'Node Details'!$B:$U,D$1,0),"Check"),"")</f>
        <v>AXW</v>
      </c>
      <c r="E618" s="74" t="str">
        <f>IF($B618&lt;&gt;"",_xlfn.IFNA(VLOOKUP($B618,'Node Details'!$B:$U,E$1,0),"Check"),"")</f>
        <v>Airtel</v>
      </c>
      <c r="F618" s="76">
        <v>46114</v>
      </c>
      <c r="G618" s="74"/>
      <c r="H618" s="10" t="s">
        <v>1249</v>
      </c>
      <c r="I618" s="9">
        <v>1</v>
      </c>
      <c r="J618" s="9">
        <v>375</v>
      </c>
      <c r="K618" s="77">
        <f t="shared" si="66"/>
        <v>375</v>
      </c>
      <c r="L618" s="76">
        <v>46112</v>
      </c>
      <c r="N618" s="83"/>
      <c r="O618" s="84"/>
      <c r="P618" s="81"/>
      <c r="Q618" s="81"/>
      <c r="R618" s="81"/>
      <c r="S618" s="81"/>
      <c r="T618" s="85"/>
      <c r="U618" s="81"/>
      <c r="V618" s="81"/>
      <c r="W618" s="123">
        <f t="shared" si="67"/>
        <v>0</v>
      </c>
      <c r="X618" s="123" t="s">
        <v>84</v>
      </c>
      <c r="Y618" s="114" t="s">
        <v>93</v>
      </c>
    </row>
    <row r="619" spans="1:25" s="24" customFormat="1" ht="11.1" customHeight="1">
      <c r="A619" s="74">
        <f t="shared" si="65"/>
        <v>617</v>
      </c>
      <c r="B619" s="75" t="s">
        <v>1085</v>
      </c>
      <c r="C619" s="74" t="str">
        <f>IF($B619&lt;&gt;"",_xlfn.IFNA(VLOOKUP($B619,'Node Details'!$B:$U,C$1,0),"Check"),"")</f>
        <v>0000AXW10-AXW100105</v>
      </c>
      <c r="D619" s="74" t="str">
        <f>IF($B619&lt;&gt;"",_xlfn.IFNA(VLOOKUP($B619,'Node Details'!$B:$U,D$1,0),"Check"),"")</f>
        <v>AXW</v>
      </c>
      <c r="E619" s="74" t="str">
        <f>IF($B619&lt;&gt;"",_xlfn.IFNA(VLOOKUP($B619,'Node Details'!$B:$U,E$1,0),"Check"),"")</f>
        <v>Airtel</v>
      </c>
      <c r="F619" s="76">
        <v>46114</v>
      </c>
      <c r="G619" s="74"/>
      <c r="H619" s="10" t="s">
        <v>1249</v>
      </c>
      <c r="I619" s="9">
        <v>1</v>
      </c>
      <c r="J619" s="9">
        <v>375</v>
      </c>
      <c r="K619" s="77">
        <f t="shared" si="66"/>
        <v>375</v>
      </c>
      <c r="L619" s="76">
        <v>46112</v>
      </c>
      <c r="N619" s="83"/>
      <c r="O619" s="84"/>
      <c r="P619" s="81"/>
      <c r="Q619" s="81"/>
      <c r="R619" s="81"/>
      <c r="S619" s="81"/>
      <c r="T619" s="85"/>
      <c r="U619" s="81"/>
      <c r="V619" s="81"/>
      <c r="W619" s="123">
        <f t="shared" si="67"/>
        <v>0</v>
      </c>
      <c r="X619" s="123" t="s">
        <v>84</v>
      </c>
      <c r="Y619" s="114" t="s">
        <v>93</v>
      </c>
    </row>
    <row r="620" spans="1:25" s="24" customFormat="1" ht="11.1" customHeight="1">
      <c r="A620" s="74">
        <f t="shared" si="65"/>
        <v>618</v>
      </c>
      <c r="B620" s="75" t="s">
        <v>1086</v>
      </c>
      <c r="C620" s="74" t="str">
        <f>IF($B620&lt;&gt;"",_xlfn.IFNA(VLOOKUP($B620,'Node Details'!$B:$U,C$1,0),"Check"),"")</f>
        <v>0000AXW10-AXW100105</v>
      </c>
      <c r="D620" s="74" t="str">
        <f>IF($B620&lt;&gt;"",_xlfn.IFNA(VLOOKUP($B620,'Node Details'!$B:$U,D$1,0),"Check"),"")</f>
        <v>AXW</v>
      </c>
      <c r="E620" s="74" t="str">
        <f>IF($B620&lt;&gt;"",_xlfn.IFNA(VLOOKUP($B620,'Node Details'!$B:$U,E$1,0),"Check"),"")</f>
        <v>Airtel</v>
      </c>
      <c r="F620" s="76">
        <v>46114</v>
      </c>
      <c r="G620" s="74"/>
      <c r="H620" s="10" t="s">
        <v>1249</v>
      </c>
      <c r="I620" s="9">
        <v>1</v>
      </c>
      <c r="J620" s="9">
        <v>375</v>
      </c>
      <c r="K620" s="77">
        <f t="shared" si="66"/>
        <v>375</v>
      </c>
      <c r="L620" s="76">
        <v>46112</v>
      </c>
      <c r="N620" s="83"/>
      <c r="O620" s="84"/>
      <c r="P620" s="81"/>
      <c r="Q620" s="81"/>
      <c r="R620" s="81"/>
      <c r="S620" s="81"/>
      <c r="T620" s="85"/>
      <c r="U620" s="81"/>
      <c r="V620" s="81"/>
      <c r="W620" s="123">
        <f t="shared" si="67"/>
        <v>0</v>
      </c>
      <c r="X620" s="123" t="s">
        <v>84</v>
      </c>
      <c r="Y620" s="114" t="s">
        <v>93</v>
      </c>
    </row>
    <row r="621" spans="1:25" s="24" customFormat="1" ht="11.1" customHeight="1">
      <c r="A621" s="74">
        <f t="shared" si="65"/>
        <v>619</v>
      </c>
      <c r="B621" s="75" t="s">
        <v>469</v>
      </c>
      <c r="C621" s="74" t="str">
        <f>IF($B621&lt;&gt;"",_xlfn.IFNA(VLOOKUP($B621,'Node Details'!$B:$U,C$1,0),"Check"),"")</f>
        <v>0000AXW10-AXW100105</v>
      </c>
      <c r="D621" s="74" t="str">
        <f>IF($B621&lt;&gt;"",_xlfn.IFNA(VLOOKUP($B621,'Node Details'!$B:$U,D$1,0),"Check"),"")</f>
        <v>AXW</v>
      </c>
      <c r="E621" s="74" t="str">
        <f>IF($B621&lt;&gt;"",_xlfn.IFNA(VLOOKUP($B621,'Node Details'!$B:$U,E$1,0),"Check"),"")</f>
        <v>Airtel</v>
      </c>
      <c r="F621" s="76">
        <v>46114</v>
      </c>
      <c r="G621" s="74"/>
      <c r="H621" s="10" t="s">
        <v>1249</v>
      </c>
      <c r="I621" s="9">
        <v>1</v>
      </c>
      <c r="J621" s="9">
        <v>375</v>
      </c>
      <c r="K621" s="77">
        <f t="shared" si="66"/>
        <v>375</v>
      </c>
      <c r="L621" s="76">
        <v>46112</v>
      </c>
      <c r="N621" s="83"/>
      <c r="O621" s="84"/>
      <c r="P621" s="81"/>
      <c r="Q621" s="81"/>
      <c r="R621" s="81"/>
      <c r="S621" s="81"/>
      <c r="T621" s="85"/>
      <c r="U621" s="81"/>
      <c r="V621" s="81"/>
      <c r="W621" s="123">
        <f t="shared" si="67"/>
        <v>0</v>
      </c>
      <c r="X621" s="123" t="s">
        <v>84</v>
      </c>
      <c r="Y621" s="114" t="s">
        <v>93</v>
      </c>
    </row>
    <row r="622" spans="1:25" s="24" customFormat="1" ht="11.1" customHeight="1">
      <c r="A622" s="74">
        <f t="shared" si="65"/>
        <v>620</v>
      </c>
      <c r="B622" s="75" t="s">
        <v>1087</v>
      </c>
      <c r="C622" s="74" t="str">
        <f>IF($B622&lt;&gt;"",_xlfn.IFNA(VLOOKUP($B622,'Node Details'!$B:$U,C$1,0),"Check"),"")</f>
        <v>0000AXW10-AXW100107</v>
      </c>
      <c r="D622" s="74" t="str">
        <f>IF($B622&lt;&gt;"",_xlfn.IFNA(VLOOKUP($B622,'Node Details'!$B:$U,D$1,0),"Check"),"")</f>
        <v>AXW</v>
      </c>
      <c r="E622" s="74" t="str">
        <f>IF($B622&lt;&gt;"",_xlfn.IFNA(VLOOKUP($B622,'Node Details'!$B:$U,E$1,0),"Check"),"")</f>
        <v>Airtel</v>
      </c>
      <c r="F622" s="76">
        <v>46114</v>
      </c>
      <c r="G622" s="74"/>
      <c r="H622" s="10" t="s">
        <v>1249</v>
      </c>
      <c r="I622" s="9">
        <v>1</v>
      </c>
      <c r="J622" s="9">
        <v>375</v>
      </c>
      <c r="K622" s="77">
        <f t="shared" si="66"/>
        <v>375</v>
      </c>
      <c r="L622" s="76">
        <v>46112</v>
      </c>
      <c r="N622" s="83"/>
      <c r="O622" s="84"/>
      <c r="P622" s="81"/>
      <c r="Q622" s="81"/>
      <c r="R622" s="81"/>
      <c r="S622" s="81"/>
      <c r="T622" s="85"/>
      <c r="U622" s="81"/>
      <c r="V622" s="81"/>
      <c r="W622" s="123">
        <f t="shared" si="67"/>
        <v>0</v>
      </c>
      <c r="X622" s="123" t="s">
        <v>84</v>
      </c>
      <c r="Y622" s="114" t="s">
        <v>93</v>
      </c>
    </row>
    <row r="623" spans="1:25" s="24" customFormat="1" ht="11.1" customHeight="1">
      <c r="A623" s="74">
        <f t="shared" si="65"/>
        <v>621</v>
      </c>
      <c r="B623" s="75" t="s">
        <v>465</v>
      </c>
      <c r="C623" s="74" t="str">
        <f>IF($B623&lt;&gt;"",_xlfn.IFNA(VLOOKUP($B623,'Node Details'!$B:$U,C$1,0),"Check"),"")</f>
        <v>0000AXW10-AXW100107</v>
      </c>
      <c r="D623" s="74" t="str">
        <f>IF($B623&lt;&gt;"",_xlfn.IFNA(VLOOKUP($B623,'Node Details'!$B:$U,D$1,0),"Check"),"")</f>
        <v>AXW</v>
      </c>
      <c r="E623" s="74" t="str">
        <f>IF($B623&lt;&gt;"",_xlfn.IFNA(VLOOKUP($B623,'Node Details'!$B:$U,E$1,0),"Check"),"")</f>
        <v>Airtel</v>
      </c>
      <c r="F623" s="76">
        <v>46114</v>
      </c>
      <c r="G623" s="74"/>
      <c r="H623" s="10" t="s">
        <v>1249</v>
      </c>
      <c r="I623" s="9">
        <v>1</v>
      </c>
      <c r="J623" s="9">
        <v>375</v>
      </c>
      <c r="K623" s="77">
        <f t="shared" si="66"/>
        <v>375</v>
      </c>
      <c r="L623" s="76">
        <v>46112</v>
      </c>
      <c r="N623" s="83"/>
      <c r="O623" s="84"/>
      <c r="P623" s="81"/>
      <c r="Q623" s="81"/>
      <c r="R623" s="81"/>
      <c r="S623" s="81"/>
      <c r="T623" s="85"/>
      <c r="U623" s="81"/>
      <c r="V623" s="81"/>
      <c r="W623" s="123">
        <f t="shared" si="67"/>
        <v>0</v>
      </c>
      <c r="X623" s="123" t="s">
        <v>84</v>
      </c>
      <c r="Y623" s="114" t="s">
        <v>93</v>
      </c>
    </row>
    <row r="624" spans="1:25" s="24" customFormat="1" ht="11.1" customHeight="1">
      <c r="A624" s="74">
        <f t="shared" si="65"/>
        <v>622</v>
      </c>
      <c r="B624" s="75" t="s">
        <v>1088</v>
      </c>
      <c r="C624" s="74" t="str">
        <f>IF($B624&lt;&gt;"",_xlfn.IFNA(VLOOKUP($B624,'Node Details'!$B:$U,C$1,0),"Check"),"")</f>
        <v>AXW100101-AXW100201</v>
      </c>
      <c r="D624" s="74" t="str">
        <f>IF($B624&lt;&gt;"",_xlfn.IFNA(VLOOKUP($B624,'Node Details'!$B:$U,D$1,0),"Check"),"")</f>
        <v>AXW</v>
      </c>
      <c r="E624" s="74" t="str">
        <f>IF($B624&lt;&gt;"",_xlfn.IFNA(VLOOKUP($B624,'Node Details'!$B:$U,E$1,0),"Check"),"")</f>
        <v>Airtel</v>
      </c>
      <c r="F624" s="76">
        <v>46114</v>
      </c>
      <c r="G624" s="74"/>
      <c r="H624" s="10" t="s">
        <v>1249</v>
      </c>
      <c r="I624" s="9">
        <v>1</v>
      </c>
      <c r="J624" s="9">
        <v>375</v>
      </c>
      <c r="K624" s="77">
        <f t="shared" si="66"/>
        <v>375</v>
      </c>
      <c r="L624" s="76">
        <v>46112</v>
      </c>
      <c r="N624" s="83"/>
      <c r="O624" s="84"/>
      <c r="P624" s="81"/>
      <c r="Q624" s="81"/>
      <c r="R624" s="81"/>
      <c r="S624" s="81"/>
      <c r="T624" s="85"/>
      <c r="U624" s="81"/>
      <c r="V624" s="81"/>
      <c r="W624" s="123">
        <f t="shared" si="67"/>
        <v>0</v>
      </c>
      <c r="X624" s="123" t="s">
        <v>84</v>
      </c>
      <c r="Y624" s="114" t="s">
        <v>93</v>
      </c>
    </row>
    <row r="625" spans="1:25" s="24" customFormat="1" ht="11.1" customHeight="1">
      <c r="A625" s="74">
        <f t="shared" si="65"/>
        <v>623</v>
      </c>
      <c r="B625" s="75" t="s">
        <v>472</v>
      </c>
      <c r="C625" s="74" t="str">
        <f>IF($B625&lt;&gt;"",_xlfn.IFNA(VLOOKUP($B625,'Node Details'!$B:$U,C$1,0),"Check"),"")</f>
        <v>AXW100101-AXW100201</v>
      </c>
      <c r="D625" s="74" t="str">
        <f>IF($B625&lt;&gt;"",_xlfn.IFNA(VLOOKUP($B625,'Node Details'!$B:$U,D$1,0),"Check"),"")</f>
        <v>AXW</v>
      </c>
      <c r="E625" s="74" t="str">
        <f>IF($B625&lt;&gt;"",_xlfn.IFNA(VLOOKUP($B625,'Node Details'!$B:$U,E$1,0),"Check"),"")</f>
        <v>Airtel</v>
      </c>
      <c r="F625" s="76">
        <v>46114</v>
      </c>
      <c r="G625" s="74"/>
      <c r="H625" s="10" t="s">
        <v>1249</v>
      </c>
      <c r="I625" s="9">
        <v>1</v>
      </c>
      <c r="J625" s="9">
        <v>375</v>
      </c>
      <c r="K625" s="77">
        <f t="shared" si="66"/>
        <v>375</v>
      </c>
      <c r="L625" s="76">
        <v>46112</v>
      </c>
      <c r="N625" s="83"/>
      <c r="O625" s="84"/>
      <c r="P625" s="81"/>
      <c r="Q625" s="81"/>
      <c r="R625" s="81"/>
      <c r="S625" s="81"/>
      <c r="T625" s="85"/>
      <c r="U625" s="81"/>
      <c r="V625" s="81"/>
      <c r="W625" s="123">
        <f t="shared" si="67"/>
        <v>0</v>
      </c>
      <c r="X625" s="123" t="s">
        <v>84</v>
      </c>
      <c r="Y625" s="114" t="s">
        <v>93</v>
      </c>
    </row>
    <row r="626" spans="1:25" s="24" customFormat="1" ht="11.1" customHeight="1">
      <c r="A626" s="74">
        <f t="shared" si="65"/>
        <v>624</v>
      </c>
      <c r="B626" s="75" t="s">
        <v>475</v>
      </c>
      <c r="C626" s="74" t="str">
        <f>IF($B626&lt;&gt;"",_xlfn.IFNA(VLOOKUP($B626,'Node Details'!$B:$U,C$1,0),"Check"),"")</f>
        <v>0000AXW11-AXW110101</v>
      </c>
      <c r="D626" s="74" t="str">
        <f>IF($B626&lt;&gt;"",_xlfn.IFNA(VLOOKUP($B626,'Node Details'!$B:$U,D$1,0),"Check"),"")</f>
        <v>AXW</v>
      </c>
      <c r="E626" s="74" t="str">
        <f>IF($B626&lt;&gt;"",_xlfn.IFNA(VLOOKUP($B626,'Node Details'!$B:$U,E$1,0),"Check"),"")</f>
        <v>Airtel</v>
      </c>
      <c r="F626" s="76">
        <v>46114</v>
      </c>
      <c r="G626" s="74"/>
      <c r="H626" s="10" t="s">
        <v>1249</v>
      </c>
      <c r="I626" s="9">
        <v>1</v>
      </c>
      <c r="J626" s="9">
        <v>375</v>
      </c>
      <c r="K626" s="77">
        <f t="shared" si="66"/>
        <v>375</v>
      </c>
      <c r="L626" s="76">
        <v>46112</v>
      </c>
      <c r="N626" s="83"/>
      <c r="O626" s="84"/>
      <c r="P626" s="81"/>
      <c r="Q626" s="81"/>
      <c r="R626" s="81"/>
      <c r="S626" s="81"/>
      <c r="T626" s="85"/>
      <c r="U626" s="81"/>
      <c r="V626" s="81"/>
      <c r="W626" s="123">
        <f t="shared" si="67"/>
        <v>0</v>
      </c>
      <c r="X626" s="123" t="s">
        <v>84</v>
      </c>
      <c r="Y626" s="114" t="s">
        <v>93</v>
      </c>
    </row>
    <row r="627" spans="1:25" s="24" customFormat="1" ht="11.1" customHeight="1">
      <c r="A627" s="74">
        <f t="shared" si="65"/>
        <v>625</v>
      </c>
      <c r="B627" s="75" t="s">
        <v>1089</v>
      </c>
      <c r="C627" s="74" t="str">
        <f>IF($B627&lt;&gt;"",_xlfn.IFNA(VLOOKUP($B627,'Node Details'!$B:$U,C$1,0),"Check"),"")</f>
        <v>0000AXW11-AXW110103</v>
      </c>
      <c r="D627" s="74" t="str">
        <f>IF($B627&lt;&gt;"",_xlfn.IFNA(VLOOKUP($B627,'Node Details'!$B:$U,D$1,0),"Check"),"")</f>
        <v>AXW</v>
      </c>
      <c r="E627" s="74" t="str">
        <f>IF($B627&lt;&gt;"",_xlfn.IFNA(VLOOKUP($B627,'Node Details'!$B:$U,E$1,0),"Check"),"")</f>
        <v>Airtel</v>
      </c>
      <c r="F627" s="76">
        <v>46114</v>
      </c>
      <c r="G627" s="74"/>
      <c r="H627" s="10" t="s">
        <v>1249</v>
      </c>
      <c r="I627" s="9">
        <v>1</v>
      </c>
      <c r="J627" s="9">
        <v>375</v>
      </c>
      <c r="K627" s="77">
        <f t="shared" si="66"/>
        <v>375</v>
      </c>
      <c r="L627" s="76">
        <v>46112</v>
      </c>
      <c r="N627" s="83"/>
      <c r="O627" s="84"/>
      <c r="P627" s="81"/>
      <c r="Q627" s="81"/>
      <c r="R627" s="81"/>
      <c r="S627" s="81"/>
      <c r="T627" s="85"/>
      <c r="U627" s="81"/>
      <c r="V627" s="81"/>
      <c r="W627" s="123">
        <f t="shared" si="67"/>
        <v>0</v>
      </c>
      <c r="X627" s="123" t="s">
        <v>84</v>
      </c>
      <c r="Y627" s="114" t="s">
        <v>93</v>
      </c>
    </row>
    <row r="628" spans="1:25" s="24" customFormat="1" ht="11.1" customHeight="1">
      <c r="A628" s="74">
        <f t="shared" si="65"/>
        <v>626</v>
      </c>
      <c r="B628" s="75" t="s">
        <v>477</v>
      </c>
      <c r="C628" s="74" t="str">
        <f>IF($B628&lt;&gt;"",_xlfn.IFNA(VLOOKUP($B628,'Node Details'!$B:$U,C$1,0),"Check"),"")</f>
        <v>0000AXW11-AXW110103</v>
      </c>
      <c r="D628" s="74" t="str">
        <f>IF($B628&lt;&gt;"",_xlfn.IFNA(VLOOKUP($B628,'Node Details'!$B:$U,D$1,0),"Check"),"")</f>
        <v>AXW</v>
      </c>
      <c r="E628" s="74" t="str">
        <f>IF($B628&lt;&gt;"",_xlfn.IFNA(VLOOKUP($B628,'Node Details'!$B:$U,E$1,0),"Check"),"")</f>
        <v>Airtel</v>
      </c>
      <c r="F628" s="76">
        <v>46114</v>
      </c>
      <c r="G628" s="74"/>
      <c r="H628" s="10" t="s">
        <v>1249</v>
      </c>
      <c r="I628" s="9">
        <v>1</v>
      </c>
      <c r="J628" s="9">
        <v>375</v>
      </c>
      <c r="K628" s="77">
        <f t="shared" si="66"/>
        <v>375</v>
      </c>
      <c r="L628" s="76">
        <v>46112</v>
      </c>
      <c r="N628" s="83"/>
      <c r="O628" s="84"/>
      <c r="P628" s="81"/>
      <c r="Q628" s="81"/>
      <c r="R628" s="81"/>
      <c r="S628" s="81"/>
      <c r="T628" s="85"/>
      <c r="U628" s="81"/>
      <c r="V628" s="81"/>
      <c r="W628" s="123">
        <f t="shared" si="67"/>
        <v>0</v>
      </c>
      <c r="X628" s="123" t="s">
        <v>84</v>
      </c>
      <c r="Y628" s="114" t="s">
        <v>93</v>
      </c>
    </row>
    <row r="629" spans="1:25" s="24" customFormat="1" ht="11.1" customHeight="1">
      <c r="A629" s="74">
        <f t="shared" si="65"/>
        <v>627</v>
      </c>
      <c r="B629" s="75" t="s">
        <v>479</v>
      </c>
      <c r="C629" s="74" t="str">
        <f>IF($B629&lt;&gt;"",_xlfn.IFNA(VLOOKUP($B629,'Node Details'!$B:$U,C$1,0),"Check"),"")</f>
        <v>0000AXW12-AXW120101</v>
      </c>
      <c r="D629" s="74" t="str">
        <f>IF($B629&lt;&gt;"",_xlfn.IFNA(VLOOKUP($B629,'Node Details'!$B:$U,D$1,0),"Check"),"")</f>
        <v>AXW</v>
      </c>
      <c r="E629" s="74" t="str">
        <f>IF($B629&lt;&gt;"",_xlfn.IFNA(VLOOKUP($B629,'Node Details'!$B:$U,E$1,0),"Check"),"")</f>
        <v>Airtel</v>
      </c>
      <c r="F629" s="76">
        <v>46114</v>
      </c>
      <c r="G629" s="74"/>
      <c r="H629" s="10" t="s">
        <v>1249</v>
      </c>
      <c r="I629" s="9">
        <v>1</v>
      </c>
      <c r="J629" s="9">
        <v>375</v>
      </c>
      <c r="K629" s="77">
        <f t="shared" si="66"/>
        <v>375</v>
      </c>
      <c r="L629" s="76">
        <v>46112</v>
      </c>
      <c r="N629" s="83"/>
      <c r="O629" s="84"/>
      <c r="P629" s="81"/>
      <c r="Q629" s="81"/>
      <c r="R629" s="81"/>
      <c r="S629" s="81"/>
      <c r="T629" s="85"/>
      <c r="U629" s="81"/>
      <c r="V629" s="81"/>
      <c r="W629" s="123">
        <f t="shared" si="67"/>
        <v>0</v>
      </c>
      <c r="X629" s="123" t="s">
        <v>84</v>
      </c>
      <c r="Y629" s="114" t="s">
        <v>93</v>
      </c>
    </row>
    <row r="630" spans="1:25" s="24" customFormat="1" ht="11.1" customHeight="1">
      <c r="A630" s="74">
        <f t="shared" si="65"/>
        <v>628</v>
      </c>
      <c r="B630" s="75" t="s">
        <v>481</v>
      </c>
      <c r="C630" s="74" t="str">
        <f>IF($B630&lt;&gt;"",_xlfn.IFNA(VLOOKUP($B630,'Node Details'!$B:$U,C$1,0),"Check"),"")</f>
        <v>0000AXW12-AXW120102</v>
      </c>
      <c r="D630" s="74" t="str">
        <f>IF($B630&lt;&gt;"",_xlfn.IFNA(VLOOKUP($B630,'Node Details'!$B:$U,D$1,0),"Check"),"")</f>
        <v>AXW</v>
      </c>
      <c r="E630" s="74" t="str">
        <f>IF($B630&lt;&gt;"",_xlfn.IFNA(VLOOKUP($B630,'Node Details'!$B:$U,E$1,0),"Check"),"")</f>
        <v>Airtel</v>
      </c>
      <c r="F630" s="76">
        <v>46114</v>
      </c>
      <c r="G630" s="74"/>
      <c r="H630" s="10" t="s">
        <v>1249</v>
      </c>
      <c r="I630" s="9">
        <v>1</v>
      </c>
      <c r="J630" s="9">
        <v>375</v>
      </c>
      <c r="K630" s="77">
        <f t="shared" si="66"/>
        <v>375</v>
      </c>
      <c r="L630" s="76">
        <v>46112</v>
      </c>
      <c r="N630" s="83"/>
      <c r="O630" s="84"/>
      <c r="P630" s="81"/>
      <c r="Q630" s="81"/>
      <c r="R630" s="81"/>
      <c r="S630" s="81"/>
      <c r="T630" s="85"/>
      <c r="U630" s="81"/>
      <c r="V630" s="81"/>
      <c r="W630" s="123">
        <f t="shared" si="67"/>
        <v>0</v>
      </c>
      <c r="X630" s="123" t="s">
        <v>84</v>
      </c>
      <c r="Y630" s="114" t="s">
        <v>93</v>
      </c>
    </row>
    <row r="631" spans="1:25" s="24" customFormat="1" ht="11.1" customHeight="1">
      <c r="A631" s="74">
        <f t="shared" si="65"/>
        <v>629</v>
      </c>
      <c r="B631" s="75" t="s">
        <v>1090</v>
      </c>
      <c r="C631" s="74" t="str">
        <f>IF($B631&lt;&gt;"",_xlfn.IFNA(VLOOKUP($B631,'Node Details'!$B:$U,C$1,0),"Check"),"")</f>
        <v>0000AXW12-AXW120106</v>
      </c>
      <c r="D631" s="74" t="str">
        <f>IF($B631&lt;&gt;"",_xlfn.IFNA(VLOOKUP($B631,'Node Details'!$B:$U,D$1,0),"Check"),"")</f>
        <v>AXW</v>
      </c>
      <c r="E631" s="74" t="str">
        <f>IF($B631&lt;&gt;"",_xlfn.IFNA(VLOOKUP($B631,'Node Details'!$B:$U,E$1,0),"Check"),"")</f>
        <v>Airtel</v>
      </c>
      <c r="F631" s="76">
        <v>46114</v>
      </c>
      <c r="G631" s="74"/>
      <c r="H631" s="10" t="s">
        <v>1249</v>
      </c>
      <c r="I631" s="9">
        <v>1</v>
      </c>
      <c r="J631" s="9">
        <v>375</v>
      </c>
      <c r="K631" s="77">
        <f t="shared" si="66"/>
        <v>375</v>
      </c>
      <c r="L631" s="76">
        <v>46112</v>
      </c>
      <c r="N631" s="83"/>
      <c r="O631" s="84"/>
      <c r="P631" s="81"/>
      <c r="Q631" s="81"/>
      <c r="R631" s="81"/>
      <c r="S631" s="81"/>
      <c r="T631" s="85"/>
      <c r="U631" s="81"/>
      <c r="V631" s="81"/>
      <c r="W631" s="123">
        <f t="shared" si="67"/>
        <v>0</v>
      </c>
      <c r="X631" s="123" t="s">
        <v>84</v>
      </c>
      <c r="Y631" s="114" t="s">
        <v>93</v>
      </c>
    </row>
    <row r="632" spans="1:25" s="24" customFormat="1" ht="11.1" customHeight="1">
      <c r="A632" s="74">
        <f t="shared" si="65"/>
        <v>630</v>
      </c>
      <c r="B632" s="75" t="s">
        <v>1091</v>
      </c>
      <c r="C632" s="74" t="str">
        <f>IF($B632&lt;&gt;"",_xlfn.IFNA(VLOOKUP($B632,'Node Details'!$B:$U,C$1,0),"Check"),"")</f>
        <v>0000AXW12-AXW120106</v>
      </c>
      <c r="D632" s="74" t="str">
        <f>IF($B632&lt;&gt;"",_xlfn.IFNA(VLOOKUP($B632,'Node Details'!$B:$U,D$1,0),"Check"),"")</f>
        <v>AXW</v>
      </c>
      <c r="E632" s="74" t="str">
        <f>IF($B632&lt;&gt;"",_xlfn.IFNA(VLOOKUP($B632,'Node Details'!$B:$U,E$1,0),"Check"),"")</f>
        <v>Airtel</v>
      </c>
      <c r="F632" s="76">
        <v>46114</v>
      </c>
      <c r="G632" s="74"/>
      <c r="H632" s="10" t="s">
        <v>1249</v>
      </c>
      <c r="I632" s="9">
        <v>1</v>
      </c>
      <c r="J632" s="9">
        <v>375</v>
      </c>
      <c r="K632" s="77">
        <f t="shared" si="66"/>
        <v>375</v>
      </c>
      <c r="L632" s="76">
        <v>46112</v>
      </c>
      <c r="N632" s="83"/>
      <c r="O632" s="84"/>
      <c r="P632" s="81"/>
      <c r="Q632" s="81"/>
      <c r="R632" s="81"/>
      <c r="S632" s="81"/>
      <c r="T632" s="85"/>
      <c r="U632" s="81"/>
      <c r="V632" s="81"/>
      <c r="W632" s="123">
        <f t="shared" si="67"/>
        <v>0</v>
      </c>
      <c r="X632" s="123" t="s">
        <v>84</v>
      </c>
      <c r="Y632" s="114" t="s">
        <v>93</v>
      </c>
    </row>
    <row r="633" spans="1:25" s="24" customFormat="1" ht="11.1" customHeight="1">
      <c r="A633" s="74">
        <f t="shared" si="65"/>
        <v>631</v>
      </c>
      <c r="B633" s="75" t="s">
        <v>1092</v>
      </c>
      <c r="C633" s="74" t="str">
        <f>IF($B633&lt;&gt;"",_xlfn.IFNA(VLOOKUP($B633,'Node Details'!$B:$U,C$1,0),"Check"),"")</f>
        <v>0000AXW12-AXW120106</v>
      </c>
      <c r="D633" s="74" t="str">
        <f>IF($B633&lt;&gt;"",_xlfn.IFNA(VLOOKUP($B633,'Node Details'!$B:$U,D$1,0),"Check"),"")</f>
        <v>AXW</v>
      </c>
      <c r="E633" s="74" t="str">
        <f>IF($B633&lt;&gt;"",_xlfn.IFNA(VLOOKUP($B633,'Node Details'!$B:$U,E$1,0),"Check"),"")</f>
        <v>Airtel</v>
      </c>
      <c r="F633" s="76">
        <v>46114</v>
      </c>
      <c r="G633" s="74"/>
      <c r="H633" s="10" t="s">
        <v>1249</v>
      </c>
      <c r="I633" s="9">
        <v>1</v>
      </c>
      <c r="J633" s="9">
        <v>375</v>
      </c>
      <c r="K633" s="77">
        <f t="shared" si="66"/>
        <v>375</v>
      </c>
      <c r="L633" s="76">
        <v>46112</v>
      </c>
      <c r="N633" s="83"/>
      <c r="O633" s="84"/>
      <c r="P633" s="81"/>
      <c r="Q633" s="81"/>
      <c r="R633" s="81"/>
      <c r="S633" s="81"/>
      <c r="T633" s="85"/>
      <c r="U633" s="81"/>
      <c r="V633" s="81"/>
      <c r="W633" s="123">
        <f t="shared" si="67"/>
        <v>0</v>
      </c>
      <c r="X633" s="123" t="s">
        <v>84</v>
      </c>
      <c r="Y633" s="114" t="s">
        <v>93</v>
      </c>
    </row>
    <row r="634" spans="1:25" s="24" customFormat="1" ht="11.1" customHeight="1">
      <c r="A634" s="74">
        <f t="shared" si="65"/>
        <v>632</v>
      </c>
      <c r="B634" s="75" t="s">
        <v>483</v>
      </c>
      <c r="C634" s="74" t="str">
        <f>IF($B634&lt;&gt;"",_xlfn.IFNA(VLOOKUP($B634,'Node Details'!$B:$U,C$1,0),"Check"),"")</f>
        <v>0000AXW12-AXW120106</v>
      </c>
      <c r="D634" s="74" t="str">
        <f>IF($B634&lt;&gt;"",_xlfn.IFNA(VLOOKUP($B634,'Node Details'!$B:$U,D$1,0),"Check"),"")</f>
        <v>AXW</v>
      </c>
      <c r="E634" s="74" t="str">
        <f>IF($B634&lt;&gt;"",_xlfn.IFNA(VLOOKUP($B634,'Node Details'!$B:$U,E$1,0),"Check"),"")</f>
        <v>Airtel</v>
      </c>
      <c r="F634" s="76">
        <v>46114</v>
      </c>
      <c r="G634" s="74"/>
      <c r="H634" s="10" t="s">
        <v>1249</v>
      </c>
      <c r="I634" s="9">
        <v>1</v>
      </c>
      <c r="J634" s="9">
        <v>375</v>
      </c>
      <c r="K634" s="77">
        <f t="shared" si="66"/>
        <v>375</v>
      </c>
      <c r="L634" s="76">
        <v>46112</v>
      </c>
      <c r="N634" s="83"/>
      <c r="O634" s="84"/>
      <c r="P634" s="81"/>
      <c r="Q634" s="81"/>
      <c r="R634" s="81"/>
      <c r="S634" s="81"/>
      <c r="T634" s="85"/>
      <c r="U634" s="81"/>
      <c r="V634" s="81"/>
      <c r="W634" s="123">
        <f t="shared" si="67"/>
        <v>0</v>
      </c>
      <c r="X634" s="123" t="s">
        <v>84</v>
      </c>
      <c r="Y634" s="114" t="s">
        <v>93</v>
      </c>
    </row>
    <row r="635" spans="1:25" s="24" customFormat="1" ht="11.1" customHeight="1">
      <c r="A635" s="74">
        <f t="shared" si="65"/>
        <v>633</v>
      </c>
      <c r="B635" s="75" t="s">
        <v>1093</v>
      </c>
      <c r="C635" s="74" t="str">
        <f>IF($B635&lt;&gt;"",_xlfn.IFNA(VLOOKUP($B635,'Node Details'!$B:$U,C$1,0),"Check"),"")</f>
        <v>AXW120106-AXW120108</v>
      </c>
      <c r="D635" s="74" t="str">
        <f>IF($B635&lt;&gt;"",_xlfn.IFNA(VLOOKUP($B635,'Node Details'!$B:$U,D$1,0),"Check"),"")</f>
        <v>AXW</v>
      </c>
      <c r="E635" s="74" t="str">
        <f>IF($B635&lt;&gt;"",_xlfn.IFNA(VLOOKUP($B635,'Node Details'!$B:$U,E$1,0),"Check"),"")</f>
        <v>Airtel</v>
      </c>
      <c r="F635" s="76">
        <v>46114</v>
      </c>
      <c r="G635" s="74"/>
      <c r="H635" s="10" t="s">
        <v>1249</v>
      </c>
      <c r="I635" s="9">
        <v>1</v>
      </c>
      <c r="J635" s="9">
        <v>375</v>
      </c>
      <c r="K635" s="77">
        <f t="shared" si="66"/>
        <v>375</v>
      </c>
      <c r="L635" s="76">
        <v>46112</v>
      </c>
      <c r="N635" s="83"/>
      <c r="O635" s="84"/>
      <c r="P635" s="81"/>
      <c r="Q635" s="81"/>
      <c r="R635" s="81"/>
      <c r="S635" s="81"/>
      <c r="T635" s="85"/>
      <c r="U635" s="81"/>
      <c r="V635" s="81"/>
      <c r="W635" s="123">
        <f t="shared" si="67"/>
        <v>0</v>
      </c>
      <c r="X635" s="123" t="s">
        <v>84</v>
      </c>
      <c r="Y635" s="114" t="s">
        <v>93</v>
      </c>
    </row>
    <row r="636" spans="1:25" s="24" customFormat="1" ht="11.1" customHeight="1">
      <c r="A636" s="74">
        <f t="shared" si="65"/>
        <v>634</v>
      </c>
      <c r="B636" s="75" t="s">
        <v>485</v>
      </c>
      <c r="C636" s="74" t="str">
        <f>IF($B636&lt;&gt;"",_xlfn.IFNA(VLOOKUP($B636,'Node Details'!$B:$U,C$1,0),"Check"),"")</f>
        <v>AXW120106-AXW120108</v>
      </c>
      <c r="D636" s="74" t="str">
        <f>IF($B636&lt;&gt;"",_xlfn.IFNA(VLOOKUP($B636,'Node Details'!$B:$U,D$1,0),"Check"),"")</f>
        <v>AXW</v>
      </c>
      <c r="E636" s="74" t="str">
        <f>IF($B636&lt;&gt;"",_xlfn.IFNA(VLOOKUP($B636,'Node Details'!$B:$U,E$1,0),"Check"),"")</f>
        <v>Airtel</v>
      </c>
      <c r="F636" s="76">
        <v>46114</v>
      </c>
      <c r="G636" s="74"/>
      <c r="H636" s="10" t="s">
        <v>1249</v>
      </c>
      <c r="I636" s="9">
        <v>1</v>
      </c>
      <c r="J636" s="9">
        <v>375</v>
      </c>
      <c r="K636" s="77">
        <f t="shared" si="66"/>
        <v>375</v>
      </c>
      <c r="L636" s="76">
        <v>46112</v>
      </c>
      <c r="N636" s="83"/>
      <c r="O636" s="84"/>
      <c r="P636" s="81"/>
      <c r="Q636" s="81"/>
      <c r="R636" s="81"/>
      <c r="S636" s="81"/>
      <c r="T636" s="85"/>
      <c r="U636" s="81"/>
      <c r="V636" s="81"/>
      <c r="W636" s="123">
        <f t="shared" si="67"/>
        <v>0</v>
      </c>
      <c r="X636" s="123" t="s">
        <v>84</v>
      </c>
      <c r="Y636" s="114" t="s">
        <v>93</v>
      </c>
    </row>
    <row r="637" spans="1:25" s="24" customFormat="1" ht="11.1" customHeight="1">
      <c r="A637" s="74">
        <f t="shared" si="65"/>
        <v>635</v>
      </c>
      <c r="B637" s="75" t="s">
        <v>1094</v>
      </c>
      <c r="C637" s="74" t="str">
        <f>IF($B637&lt;&gt;"",_xlfn.IFNA(VLOOKUP($B637,'Node Details'!$B:$U,C$1,0),"Check"),"")</f>
        <v>0000AXW13-AXW130108</v>
      </c>
      <c r="D637" s="74" t="str">
        <f>IF($B637&lt;&gt;"",_xlfn.IFNA(VLOOKUP($B637,'Node Details'!$B:$U,D$1,0),"Check"),"")</f>
        <v>AXW</v>
      </c>
      <c r="E637" s="74" t="str">
        <f>IF($B637&lt;&gt;"",_xlfn.IFNA(VLOOKUP($B637,'Node Details'!$B:$U,E$1,0),"Check"),"")</f>
        <v>Airtel</v>
      </c>
      <c r="F637" s="76">
        <v>46114</v>
      </c>
      <c r="G637" s="74"/>
      <c r="H637" s="10" t="s">
        <v>1249</v>
      </c>
      <c r="I637" s="9">
        <v>1</v>
      </c>
      <c r="J637" s="9">
        <v>375</v>
      </c>
      <c r="K637" s="77">
        <f t="shared" si="66"/>
        <v>375</v>
      </c>
      <c r="L637" s="76">
        <v>46112</v>
      </c>
      <c r="N637" s="83"/>
      <c r="O637" s="84"/>
      <c r="P637" s="81"/>
      <c r="Q637" s="81"/>
      <c r="R637" s="81"/>
      <c r="S637" s="81"/>
      <c r="T637" s="85"/>
      <c r="U637" s="81"/>
      <c r="V637" s="81"/>
      <c r="W637" s="123">
        <f t="shared" si="67"/>
        <v>0</v>
      </c>
      <c r="X637" s="123" t="s">
        <v>84</v>
      </c>
      <c r="Y637" s="114" t="s">
        <v>93</v>
      </c>
    </row>
    <row r="638" spans="1:25" s="24" customFormat="1" ht="11.1" customHeight="1">
      <c r="A638" s="74">
        <f t="shared" si="65"/>
        <v>636</v>
      </c>
      <c r="B638" s="75" t="s">
        <v>490</v>
      </c>
      <c r="C638" s="74" t="str">
        <f>IF($B638&lt;&gt;"",_xlfn.IFNA(VLOOKUP($B638,'Node Details'!$B:$U,C$1,0),"Check"),"")</f>
        <v>0000AXW13-AXW130102</v>
      </c>
      <c r="D638" s="74" t="str">
        <f>IF($B638&lt;&gt;"",_xlfn.IFNA(VLOOKUP($B638,'Node Details'!$B:$U,D$1,0),"Check"),"")</f>
        <v>AXW</v>
      </c>
      <c r="E638" s="74" t="str">
        <f>IF($B638&lt;&gt;"",_xlfn.IFNA(VLOOKUP($B638,'Node Details'!$B:$U,E$1,0),"Check"),"")</f>
        <v>Airtel</v>
      </c>
      <c r="F638" s="76">
        <v>46114</v>
      </c>
      <c r="G638" s="74"/>
      <c r="H638" s="10" t="s">
        <v>1249</v>
      </c>
      <c r="I638" s="9">
        <v>1</v>
      </c>
      <c r="J638" s="9">
        <v>375</v>
      </c>
      <c r="K638" s="77">
        <f t="shared" si="66"/>
        <v>375</v>
      </c>
      <c r="L638" s="76">
        <v>46112</v>
      </c>
      <c r="N638" s="83"/>
      <c r="O638" s="84"/>
      <c r="P638" s="81"/>
      <c r="Q638" s="81"/>
      <c r="R638" s="81"/>
      <c r="S638" s="81"/>
      <c r="T638" s="85"/>
      <c r="U638" s="81"/>
      <c r="V638" s="81"/>
      <c r="W638" s="123">
        <f t="shared" si="67"/>
        <v>0</v>
      </c>
      <c r="X638" s="123" t="s">
        <v>84</v>
      </c>
      <c r="Y638" s="114" t="s">
        <v>93</v>
      </c>
    </row>
    <row r="639" spans="1:25" s="24" customFormat="1" ht="11.1" customHeight="1">
      <c r="A639" s="74">
        <f t="shared" si="65"/>
        <v>637</v>
      </c>
      <c r="B639" s="75" t="s">
        <v>1095</v>
      </c>
      <c r="C639" s="74" t="str">
        <f>IF($B639&lt;&gt;"",_xlfn.IFNA(VLOOKUP($B639,'Node Details'!$B:$U,C$1,0),"Check"),"")</f>
        <v>0000AXW13-AXW130104</v>
      </c>
      <c r="D639" s="74" t="str">
        <f>IF($B639&lt;&gt;"",_xlfn.IFNA(VLOOKUP($B639,'Node Details'!$B:$U,D$1,0),"Check"),"")</f>
        <v>AXW</v>
      </c>
      <c r="E639" s="74" t="str">
        <f>IF($B639&lt;&gt;"",_xlfn.IFNA(VLOOKUP($B639,'Node Details'!$B:$U,E$1,0),"Check"),"")</f>
        <v>Airtel</v>
      </c>
      <c r="F639" s="76">
        <v>46114</v>
      </c>
      <c r="G639" s="74"/>
      <c r="H639" s="10" t="s">
        <v>1249</v>
      </c>
      <c r="I639" s="9">
        <v>1</v>
      </c>
      <c r="J639" s="9">
        <v>375</v>
      </c>
      <c r="K639" s="77">
        <f t="shared" si="66"/>
        <v>375</v>
      </c>
      <c r="L639" s="76">
        <v>46112</v>
      </c>
      <c r="N639" s="83"/>
      <c r="O639" s="84"/>
      <c r="P639" s="81"/>
      <c r="Q639" s="81"/>
      <c r="R639" s="81"/>
      <c r="S639" s="81"/>
      <c r="T639" s="85"/>
      <c r="U639" s="81"/>
      <c r="V639" s="81"/>
      <c r="W639" s="123">
        <f t="shared" si="67"/>
        <v>0</v>
      </c>
      <c r="X639" s="123" t="s">
        <v>84</v>
      </c>
      <c r="Y639" s="114" t="s">
        <v>93</v>
      </c>
    </row>
    <row r="640" spans="1:25" s="24" customFormat="1" ht="11.1" customHeight="1">
      <c r="A640" s="74">
        <f t="shared" si="65"/>
        <v>638</v>
      </c>
      <c r="B640" s="75" t="s">
        <v>492</v>
      </c>
      <c r="C640" s="74" t="str">
        <f>IF($B640&lt;&gt;"",_xlfn.IFNA(VLOOKUP($B640,'Node Details'!$B:$U,C$1,0),"Check"),"")</f>
        <v>0000AXW13-AXW130104</v>
      </c>
      <c r="D640" s="74" t="str">
        <f>IF($B640&lt;&gt;"",_xlfn.IFNA(VLOOKUP($B640,'Node Details'!$B:$U,D$1,0),"Check"),"")</f>
        <v>AXW</v>
      </c>
      <c r="E640" s="74" t="str">
        <f>IF($B640&lt;&gt;"",_xlfn.IFNA(VLOOKUP($B640,'Node Details'!$B:$U,E$1,0),"Check"),"")</f>
        <v>Airtel</v>
      </c>
      <c r="F640" s="76">
        <v>46114</v>
      </c>
      <c r="G640" s="74"/>
      <c r="H640" s="10" t="s">
        <v>1249</v>
      </c>
      <c r="I640" s="9">
        <v>1</v>
      </c>
      <c r="J640" s="9">
        <v>375</v>
      </c>
      <c r="K640" s="77">
        <f t="shared" si="66"/>
        <v>375</v>
      </c>
      <c r="L640" s="76">
        <v>46112</v>
      </c>
      <c r="N640" s="83"/>
      <c r="O640" s="84"/>
      <c r="P640" s="81"/>
      <c r="Q640" s="81"/>
      <c r="R640" s="81"/>
      <c r="S640" s="81"/>
      <c r="T640" s="85"/>
      <c r="U640" s="81"/>
      <c r="V640" s="81"/>
      <c r="W640" s="123">
        <f t="shared" si="67"/>
        <v>0</v>
      </c>
      <c r="X640" s="123" t="s">
        <v>84</v>
      </c>
      <c r="Y640" s="114" t="s">
        <v>93</v>
      </c>
    </row>
    <row r="641" spans="1:25" s="24" customFormat="1" ht="11.1" customHeight="1">
      <c r="A641" s="74">
        <f t="shared" si="65"/>
        <v>639</v>
      </c>
      <c r="B641" s="75" t="s">
        <v>1096</v>
      </c>
      <c r="C641" s="74" t="str">
        <f>IF($B641&lt;&gt;"",_xlfn.IFNA(VLOOKUP($B641,'Node Details'!$B:$U,C$1,0),"Check"),"")</f>
        <v>0000AXW13-AXW130108</v>
      </c>
      <c r="D641" s="74" t="str">
        <f>IF($B641&lt;&gt;"",_xlfn.IFNA(VLOOKUP($B641,'Node Details'!$B:$U,D$1,0),"Check"),"")</f>
        <v>AXW</v>
      </c>
      <c r="E641" s="74" t="str">
        <f>IF($B641&lt;&gt;"",_xlfn.IFNA(VLOOKUP($B641,'Node Details'!$B:$U,E$1,0),"Check"),"")</f>
        <v>Airtel</v>
      </c>
      <c r="F641" s="76">
        <v>46114</v>
      </c>
      <c r="G641" s="74"/>
      <c r="H641" s="10" t="s">
        <v>1249</v>
      </c>
      <c r="I641" s="9">
        <v>1</v>
      </c>
      <c r="J641" s="9">
        <v>375</v>
      </c>
      <c r="K641" s="77">
        <f t="shared" si="66"/>
        <v>375</v>
      </c>
      <c r="L641" s="76">
        <v>46112</v>
      </c>
      <c r="N641" s="83"/>
      <c r="O641" s="84"/>
      <c r="P641" s="81"/>
      <c r="Q641" s="81"/>
      <c r="R641" s="81"/>
      <c r="S641" s="81"/>
      <c r="T641" s="85"/>
      <c r="U641" s="81"/>
      <c r="V641" s="81"/>
      <c r="W641" s="123">
        <f t="shared" si="67"/>
        <v>0</v>
      </c>
      <c r="X641" s="123" t="s">
        <v>84</v>
      </c>
      <c r="Y641" s="114" t="s">
        <v>93</v>
      </c>
    </row>
    <row r="642" spans="1:25" s="24" customFormat="1" ht="11.1" customHeight="1">
      <c r="A642" s="74">
        <f t="shared" si="65"/>
        <v>640</v>
      </c>
      <c r="B642" s="75" t="s">
        <v>1097</v>
      </c>
      <c r="C642" s="74" t="str">
        <f>IF($B642&lt;&gt;"",_xlfn.IFNA(VLOOKUP($B642,'Node Details'!$B:$U,C$1,0),"Check"),"")</f>
        <v>0000AXW13-AXW130108</v>
      </c>
      <c r="D642" s="74" t="str">
        <f>IF($B642&lt;&gt;"",_xlfn.IFNA(VLOOKUP($B642,'Node Details'!$B:$U,D$1,0),"Check"),"")</f>
        <v>AXW</v>
      </c>
      <c r="E642" s="74" t="str">
        <f>IF($B642&lt;&gt;"",_xlfn.IFNA(VLOOKUP($B642,'Node Details'!$B:$U,E$1,0),"Check"),"")</f>
        <v>Airtel</v>
      </c>
      <c r="F642" s="76">
        <v>46114</v>
      </c>
      <c r="G642" s="74"/>
      <c r="H642" s="10" t="s">
        <v>1249</v>
      </c>
      <c r="I642" s="9">
        <v>1</v>
      </c>
      <c r="J642" s="9">
        <v>375</v>
      </c>
      <c r="K642" s="77">
        <f t="shared" si="66"/>
        <v>375</v>
      </c>
      <c r="L642" s="76">
        <v>46112</v>
      </c>
      <c r="N642" s="83"/>
      <c r="O642" s="84"/>
      <c r="P642" s="81"/>
      <c r="Q642" s="81"/>
      <c r="R642" s="81"/>
      <c r="S642" s="81"/>
      <c r="T642" s="85"/>
      <c r="U642" s="81"/>
      <c r="V642" s="81"/>
      <c r="W642" s="123">
        <f t="shared" si="67"/>
        <v>0</v>
      </c>
      <c r="X642" s="123" t="s">
        <v>84</v>
      </c>
      <c r="Y642" s="114" t="s">
        <v>93</v>
      </c>
    </row>
    <row r="643" spans="1:25" s="24" customFormat="1" ht="11.1" customHeight="1">
      <c r="A643" s="74">
        <f t="shared" si="65"/>
        <v>641</v>
      </c>
      <c r="B643" s="75" t="s">
        <v>1098</v>
      </c>
      <c r="C643" s="74" t="str">
        <f>IF($B643&lt;&gt;"",_xlfn.IFNA(VLOOKUP($B643,'Node Details'!$B:$U,C$1,0),"Check"),"")</f>
        <v>0000AXW13-AXW130108</v>
      </c>
      <c r="D643" s="74" t="str">
        <f>IF($B643&lt;&gt;"",_xlfn.IFNA(VLOOKUP($B643,'Node Details'!$B:$U,D$1,0),"Check"),"")</f>
        <v>AXW</v>
      </c>
      <c r="E643" s="74" t="str">
        <f>IF($B643&lt;&gt;"",_xlfn.IFNA(VLOOKUP($B643,'Node Details'!$B:$U,E$1,0),"Check"),"")</f>
        <v>Airtel</v>
      </c>
      <c r="F643" s="76">
        <v>46114</v>
      </c>
      <c r="G643" s="74"/>
      <c r="H643" s="10" t="s">
        <v>1249</v>
      </c>
      <c r="I643" s="9">
        <v>1</v>
      </c>
      <c r="J643" s="9">
        <v>375</v>
      </c>
      <c r="K643" s="77">
        <f t="shared" si="66"/>
        <v>375</v>
      </c>
      <c r="L643" s="76">
        <v>46112</v>
      </c>
      <c r="N643" s="83"/>
      <c r="O643" s="84"/>
      <c r="P643" s="81"/>
      <c r="Q643" s="81"/>
      <c r="R643" s="81"/>
      <c r="S643" s="81"/>
      <c r="T643" s="85"/>
      <c r="U643" s="81"/>
      <c r="V643" s="81"/>
      <c r="W643" s="123">
        <f t="shared" si="67"/>
        <v>0</v>
      </c>
      <c r="X643" s="123" t="s">
        <v>84</v>
      </c>
      <c r="Y643" s="114" t="s">
        <v>93</v>
      </c>
    </row>
    <row r="644" spans="1:25" s="24" customFormat="1" ht="11.1" customHeight="1">
      <c r="A644" s="74">
        <f t="shared" ref="A644:A707" si="68">A643+1</f>
        <v>642</v>
      </c>
      <c r="B644" s="75" t="s">
        <v>488</v>
      </c>
      <c r="C644" s="74" t="str">
        <f>IF($B644&lt;&gt;"",_xlfn.IFNA(VLOOKUP($B644,'Node Details'!$B:$U,C$1,0),"Check"),"")</f>
        <v>0000AXW13-AXW130108</v>
      </c>
      <c r="D644" s="74" t="str">
        <f>IF($B644&lt;&gt;"",_xlfn.IFNA(VLOOKUP($B644,'Node Details'!$B:$U,D$1,0),"Check"),"")</f>
        <v>AXW</v>
      </c>
      <c r="E644" s="74" t="str">
        <f>IF($B644&lt;&gt;"",_xlfn.IFNA(VLOOKUP($B644,'Node Details'!$B:$U,E$1,0),"Check"),"")</f>
        <v>Airtel</v>
      </c>
      <c r="F644" s="76">
        <v>46114</v>
      </c>
      <c r="G644" s="74"/>
      <c r="H644" s="10" t="s">
        <v>1249</v>
      </c>
      <c r="I644" s="9">
        <v>1</v>
      </c>
      <c r="J644" s="9">
        <v>375</v>
      </c>
      <c r="K644" s="77">
        <f t="shared" si="66"/>
        <v>375</v>
      </c>
      <c r="L644" s="76">
        <v>46112</v>
      </c>
      <c r="N644" s="83"/>
      <c r="O644" s="84"/>
      <c r="P644" s="81"/>
      <c r="Q644" s="81"/>
      <c r="R644" s="81"/>
      <c r="S644" s="81"/>
      <c r="T644" s="85"/>
      <c r="U644" s="81"/>
      <c r="V644" s="81"/>
      <c r="W644" s="123">
        <f t="shared" si="67"/>
        <v>0</v>
      </c>
      <c r="X644" s="123" t="s">
        <v>84</v>
      </c>
      <c r="Y644" s="114" t="s">
        <v>93</v>
      </c>
    </row>
    <row r="645" spans="1:25" s="24" customFormat="1" ht="11.1" customHeight="1">
      <c r="A645" s="74">
        <f t="shared" si="68"/>
        <v>643</v>
      </c>
      <c r="B645" s="75" t="s">
        <v>495</v>
      </c>
      <c r="C645" s="74" t="str">
        <f>IF($B645&lt;&gt;"",_xlfn.IFNA(VLOOKUP($B645,'Node Details'!$B:$U,C$1,0),"Check"),"")</f>
        <v>0000AXW14-AXW140101</v>
      </c>
      <c r="D645" s="74" t="str">
        <f>IF($B645&lt;&gt;"",_xlfn.IFNA(VLOOKUP($B645,'Node Details'!$B:$U,D$1,0),"Check"),"")</f>
        <v>AXW</v>
      </c>
      <c r="E645" s="74" t="str">
        <f>IF($B645&lt;&gt;"",_xlfn.IFNA(VLOOKUP($B645,'Node Details'!$B:$U,E$1,0),"Check"),"")</f>
        <v>Airtel</v>
      </c>
      <c r="F645" s="76">
        <v>46114</v>
      </c>
      <c r="G645" s="74"/>
      <c r="H645" s="10" t="s">
        <v>1249</v>
      </c>
      <c r="I645" s="9">
        <v>1</v>
      </c>
      <c r="J645" s="9">
        <v>375</v>
      </c>
      <c r="K645" s="77">
        <f t="shared" si="66"/>
        <v>375</v>
      </c>
      <c r="L645" s="76">
        <v>46112</v>
      </c>
      <c r="N645" s="83"/>
      <c r="O645" s="84"/>
      <c r="P645" s="81"/>
      <c r="Q645" s="81"/>
      <c r="R645" s="81"/>
      <c r="S645" s="81"/>
      <c r="T645" s="85"/>
      <c r="U645" s="81"/>
      <c r="V645" s="81"/>
      <c r="W645" s="123">
        <f t="shared" si="67"/>
        <v>0</v>
      </c>
      <c r="X645" s="123" t="s">
        <v>84</v>
      </c>
      <c r="Y645" s="114" t="s">
        <v>93</v>
      </c>
    </row>
    <row r="646" spans="1:25" s="24" customFormat="1" ht="11.1" customHeight="1">
      <c r="A646" s="74">
        <f t="shared" si="68"/>
        <v>644</v>
      </c>
      <c r="B646" s="75" t="s">
        <v>499</v>
      </c>
      <c r="C646" s="74" t="str">
        <f>IF($B646&lt;&gt;"",_xlfn.IFNA(VLOOKUP($B646,'Node Details'!$B:$U,C$1,0),"Check"),"")</f>
        <v>0000AXW14-AXW140103</v>
      </c>
      <c r="D646" s="74" t="str">
        <f>IF($B646&lt;&gt;"",_xlfn.IFNA(VLOOKUP($B646,'Node Details'!$B:$U,D$1,0),"Check"),"")</f>
        <v>AXW</v>
      </c>
      <c r="E646" s="74" t="str">
        <f>IF($B646&lt;&gt;"",_xlfn.IFNA(VLOOKUP($B646,'Node Details'!$B:$U,E$1,0),"Check"),"")</f>
        <v>Airtel</v>
      </c>
      <c r="F646" s="76">
        <v>46114</v>
      </c>
      <c r="G646" s="74"/>
      <c r="H646" s="10" t="s">
        <v>1249</v>
      </c>
      <c r="I646" s="9">
        <v>1</v>
      </c>
      <c r="J646" s="9">
        <v>375</v>
      </c>
      <c r="K646" s="77">
        <f t="shared" si="66"/>
        <v>375</v>
      </c>
      <c r="L646" s="76">
        <v>46112</v>
      </c>
      <c r="N646" s="83"/>
      <c r="O646" s="84"/>
      <c r="P646" s="81"/>
      <c r="Q646" s="81"/>
      <c r="R646" s="81"/>
      <c r="S646" s="81"/>
      <c r="T646" s="85"/>
      <c r="U646" s="81"/>
      <c r="V646" s="81"/>
      <c r="W646" s="123">
        <f t="shared" si="67"/>
        <v>0</v>
      </c>
      <c r="X646" s="123" t="s">
        <v>84</v>
      </c>
      <c r="Y646" s="114" t="s">
        <v>93</v>
      </c>
    </row>
    <row r="647" spans="1:25" s="24" customFormat="1" ht="11.1" customHeight="1">
      <c r="A647" s="74">
        <f t="shared" si="68"/>
        <v>645</v>
      </c>
      <c r="B647" s="75" t="s">
        <v>497</v>
      </c>
      <c r="C647" s="74" t="str">
        <f>IF($B647&lt;&gt;"",_xlfn.IFNA(VLOOKUP($B647,'Node Details'!$B:$U,C$1,0),"Check"),"")</f>
        <v>0000AXW14-AXW140103</v>
      </c>
      <c r="D647" s="74" t="str">
        <f>IF($B647&lt;&gt;"",_xlfn.IFNA(VLOOKUP($B647,'Node Details'!$B:$U,D$1,0),"Check"),"")</f>
        <v>AXW</v>
      </c>
      <c r="E647" s="74" t="str">
        <f>IF($B647&lt;&gt;"",_xlfn.IFNA(VLOOKUP($B647,'Node Details'!$B:$U,E$1,0),"Check"),"")</f>
        <v>Airtel</v>
      </c>
      <c r="F647" s="76">
        <v>46114</v>
      </c>
      <c r="G647" s="74"/>
      <c r="H647" s="10" t="s">
        <v>1249</v>
      </c>
      <c r="I647" s="9">
        <v>1</v>
      </c>
      <c r="J647" s="9">
        <v>375</v>
      </c>
      <c r="K647" s="77">
        <f t="shared" si="66"/>
        <v>375</v>
      </c>
      <c r="L647" s="76">
        <v>46112</v>
      </c>
      <c r="N647" s="83"/>
      <c r="O647" s="84"/>
      <c r="P647" s="81"/>
      <c r="Q647" s="81"/>
      <c r="R647" s="81"/>
      <c r="S647" s="81"/>
      <c r="T647" s="85"/>
      <c r="U647" s="81"/>
      <c r="V647" s="81"/>
      <c r="W647" s="123">
        <f t="shared" si="67"/>
        <v>0</v>
      </c>
      <c r="X647" s="123" t="s">
        <v>84</v>
      </c>
      <c r="Y647" s="114" t="s">
        <v>93</v>
      </c>
    </row>
    <row r="648" spans="1:25" s="24" customFormat="1" ht="11.1" customHeight="1">
      <c r="A648" s="74">
        <f t="shared" si="68"/>
        <v>646</v>
      </c>
      <c r="B648" s="75" t="s">
        <v>1099</v>
      </c>
      <c r="C648" s="74" t="str">
        <f>IF($B648&lt;&gt;"",_xlfn.IFNA(VLOOKUP($B648,'Node Details'!$B:$U,C$1,0),"Check"),"")</f>
        <v>AXW140102-AXW140105</v>
      </c>
      <c r="D648" s="74" t="str">
        <f>IF($B648&lt;&gt;"",_xlfn.IFNA(VLOOKUP($B648,'Node Details'!$B:$U,D$1,0),"Check"),"")</f>
        <v>AXW</v>
      </c>
      <c r="E648" s="74" t="str">
        <f>IF($B648&lt;&gt;"",_xlfn.IFNA(VLOOKUP($B648,'Node Details'!$B:$U,E$1,0),"Check"),"")</f>
        <v>Airtel</v>
      </c>
      <c r="F648" s="76">
        <v>46114</v>
      </c>
      <c r="G648" s="74"/>
      <c r="H648" s="10" t="s">
        <v>1249</v>
      </c>
      <c r="I648" s="9">
        <v>1</v>
      </c>
      <c r="J648" s="9">
        <v>375</v>
      </c>
      <c r="K648" s="77">
        <f t="shared" si="66"/>
        <v>375</v>
      </c>
      <c r="L648" s="76">
        <v>46112</v>
      </c>
      <c r="N648" s="83"/>
      <c r="O648" s="84"/>
      <c r="P648" s="81"/>
      <c r="Q648" s="81"/>
      <c r="R648" s="81"/>
      <c r="S648" s="81"/>
      <c r="T648" s="85"/>
      <c r="U648" s="81"/>
      <c r="V648" s="81"/>
      <c r="W648" s="123">
        <f t="shared" si="67"/>
        <v>0</v>
      </c>
      <c r="X648" s="123" t="s">
        <v>84</v>
      </c>
      <c r="Y648" s="114" t="s">
        <v>93</v>
      </c>
    </row>
    <row r="649" spans="1:25" s="24" customFormat="1" ht="11.1" customHeight="1">
      <c r="A649" s="74">
        <f t="shared" si="68"/>
        <v>647</v>
      </c>
      <c r="B649" s="75" t="s">
        <v>500</v>
      </c>
      <c r="C649" s="74" t="str">
        <f>IF($B649&lt;&gt;"",_xlfn.IFNA(VLOOKUP($B649,'Node Details'!$B:$U,C$1,0),"Check"),"")</f>
        <v>AXW140102-AXW140105</v>
      </c>
      <c r="D649" s="74" t="str">
        <f>IF($B649&lt;&gt;"",_xlfn.IFNA(VLOOKUP($B649,'Node Details'!$B:$U,D$1,0),"Check"),"")</f>
        <v>AXW</v>
      </c>
      <c r="E649" s="74" t="str">
        <f>IF($B649&lt;&gt;"",_xlfn.IFNA(VLOOKUP($B649,'Node Details'!$B:$U,E$1,0),"Check"),"")</f>
        <v>Airtel</v>
      </c>
      <c r="F649" s="76">
        <v>46114</v>
      </c>
      <c r="G649" s="74"/>
      <c r="H649" s="10" t="s">
        <v>1249</v>
      </c>
      <c r="I649" s="9">
        <v>1</v>
      </c>
      <c r="J649" s="9">
        <v>375</v>
      </c>
      <c r="K649" s="77">
        <f t="shared" si="66"/>
        <v>375</v>
      </c>
      <c r="L649" s="76">
        <v>46112</v>
      </c>
      <c r="N649" s="83"/>
      <c r="O649" s="84"/>
      <c r="P649" s="81"/>
      <c r="Q649" s="81"/>
      <c r="R649" s="81"/>
      <c r="S649" s="81"/>
      <c r="T649" s="85"/>
      <c r="U649" s="81"/>
      <c r="V649" s="81"/>
      <c r="W649" s="123">
        <f t="shared" si="67"/>
        <v>0</v>
      </c>
      <c r="X649" s="123" t="s">
        <v>84</v>
      </c>
      <c r="Y649" s="114" t="s">
        <v>93</v>
      </c>
    </row>
    <row r="650" spans="1:25" s="24" customFormat="1" ht="11.1" customHeight="1">
      <c r="A650" s="74">
        <f t="shared" si="68"/>
        <v>648</v>
      </c>
      <c r="B650" s="75" t="s">
        <v>502</v>
      </c>
      <c r="C650" s="74" t="str">
        <f>IF($B650&lt;&gt;"",_xlfn.IFNA(VLOOKUP($B650,'Node Details'!$B:$U,C$1,0),"Check"),"")</f>
        <v>0000AXW15-AXW150101</v>
      </c>
      <c r="D650" s="74" t="str">
        <f>IF($B650&lt;&gt;"",_xlfn.IFNA(VLOOKUP($B650,'Node Details'!$B:$U,D$1,0),"Check"),"")</f>
        <v>AXW</v>
      </c>
      <c r="E650" s="74" t="str">
        <f>IF($B650&lt;&gt;"",_xlfn.IFNA(VLOOKUP($B650,'Node Details'!$B:$U,E$1,0),"Check"),"")</f>
        <v>Airtel</v>
      </c>
      <c r="F650" s="76">
        <v>46114</v>
      </c>
      <c r="G650" s="74"/>
      <c r="H650" s="10" t="s">
        <v>1249</v>
      </c>
      <c r="I650" s="9">
        <v>1</v>
      </c>
      <c r="J650" s="9">
        <v>375</v>
      </c>
      <c r="K650" s="77">
        <f t="shared" si="66"/>
        <v>375</v>
      </c>
      <c r="L650" s="76">
        <v>46112</v>
      </c>
      <c r="N650" s="83"/>
      <c r="O650" s="84"/>
      <c r="P650" s="81"/>
      <c r="Q650" s="81"/>
      <c r="R650" s="81"/>
      <c r="S650" s="81"/>
      <c r="T650" s="85"/>
      <c r="U650" s="81"/>
      <c r="V650" s="81"/>
      <c r="W650" s="123">
        <f t="shared" si="67"/>
        <v>0</v>
      </c>
      <c r="X650" s="123" t="s">
        <v>84</v>
      </c>
      <c r="Y650" s="114" t="s">
        <v>93</v>
      </c>
    </row>
    <row r="651" spans="1:25" s="24" customFormat="1" ht="11.1" customHeight="1">
      <c r="A651" s="74">
        <f t="shared" si="68"/>
        <v>649</v>
      </c>
      <c r="B651" s="75" t="s">
        <v>506</v>
      </c>
      <c r="C651" s="74" t="str">
        <f>IF($B651&lt;&gt;"",_xlfn.IFNA(VLOOKUP($B651,'Node Details'!$B:$U,C$1,0),"Check"),"")</f>
        <v>0000AXW15-AXW150103</v>
      </c>
      <c r="D651" s="74" t="str">
        <f>IF($B651&lt;&gt;"",_xlfn.IFNA(VLOOKUP($B651,'Node Details'!$B:$U,D$1,0),"Check"),"")</f>
        <v>AXW</v>
      </c>
      <c r="E651" s="74" t="str">
        <f>IF($B651&lt;&gt;"",_xlfn.IFNA(VLOOKUP($B651,'Node Details'!$B:$U,E$1,0),"Check"),"")</f>
        <v>Airtel</v>
      </c>
      <c r="F651" s="76">
        <v>46114</v>
      </c>
      <c r="G651" s="74"/>
      <c r="H651" s="10" t="s">
        <v>1248</v>
      </c>
      <c r="I651" s="9">
        <v>1</v>
      </c>
      <c r="J651" s="9">
        <v>950</v>
      </c>
      <c r="K651" s="77">
        <f t="shared" si="66"/>
        <v>950</v>
      </c>
      <c r="L651" s="76">
        <v>46112</v>
      </c>
      <c r="N651" s="83"/>
      <c r="O651" s="84"/>
      <c r="P651" s="81"/>
      <c r="Q651" s="81"/>
      <c r="R651" s="81"/>
      <c r="S651" s="81"/>
      <c r="T651" s="85"/>
      <c r="U651" s="81"/>
      <c r="V651" s="81"/>
      <c r="W651" s="123">
        <f t="shared" si="67"/>
        <v>0</v>
      </c>
      <c r="X651" s="123" t="s">
        <v>84</v>
      </c>
      <c r="Y651" s="114" t="s">
        <v>93</v>
      </c>
    </row>
    <row r="652" spans="1:25" s="24" customFormat="1" ht="11.1" customHeight="1">
      <c r="A652" s="74">
        <f t="shared" si="68"/>
        <v>650</v>
      </c>
      <c r="B652" s="75" t="s">
        <v>504</v>
      </c>
      <c r="C652" s="74" t="str">
        <f>IF($B652&lt;&gt;"",_xlfn.IFNA(VLOOKUP($B652,'Node Details'!$B:$U,C$1,0),"Check"),"")</f>
        <v>0000AXW15-AXW150103</v>
      </c>
      <c r="D652" s="74" t="str">
        <f>IF($B652&lt;&gt;"",_xlfn.IFNA(VLOOKUP($B652,'Node Details'!$B:$U,D$1,0),"Check"),"")</f>
        <v>AXW</v>
      </c>
      <c r="E652" s="74" t="str">
        <f>IF($B652&lt;&gt;"",_xlfn.IFNA(VLOOKUP($B652,'Node Details'!$B:$U,E$1,0),"Check"),"")</f>
        <v>Airtel</v>
      </c>
      <c r="F652" s="76">
        <v>46114</v>
      </c>
      <c r="G652" s="74"/>
      <c r="H652" s="10" t="s">
        <v>1248</v>
      </c>
      <c r="I652" s="9">
        <v>1</v>
      </c>
      <c r="J652" s="9">
        <v>950</v>
      </c>
      <c r="K652" s="77">
        <f t="shared" si="66"/>
        <v>950</v>
      </c>
      <c r="L652" s="76">
        <v>46112</v>
      </c>
      <c r="N652" s="83"/>
      <c r="O652" s="84"/>
      <c r="P652" s="81"/>
      <c r="Q652" s="81"/>
      <c r="R652" s="81"/>
      <c r="S652" s="81"/>
      <c r="T652" s="85"/>
      <c r="U652" s="81"/>
      <c r="V652" s="81"/>
      <c r="W652" s="123">
        <f t="shared" si="67"/>
        <v>0</v>
      </c>
      <c r="X652" s="123" t="s">
        <v>84</v>
      </c>
      <c r="Y652" s="114" t="s">
        <v>93</v>
      </c>
    </row>
    <row r="653" spans="1:25" s="24" customFormat="1" ht="11.1" customHeight="1">
      <c r="A653" s="74">
        <f t="shared" si="68"/>
        <v>651</v>
      </c>
      <c r="B653" s="75" t="s">
        <v>507</v>
      </c>
      <c r="C653" s="74" t="str">
        <f>IF($B653&lt;&gt;"",_xlfn.IFNA(VLOOKUP($B653,'Node Details'!$B:$U,C$1,0),"Check"),"")</f>
        <v>AXW150102-AXW150104</v>
      </c>
      <c r="D653" s="74" t="str">
        <f>IF($B653&lt;&gt;"",_xlfn.IFNA(VLOOKUP($B653,'Node Details'!$B:$U,D$1,0),"Check"),"")</f>
        <v>AXW</v>
      </c>
      <c r="E653" s="74" t="str">
        <f>IF($B653&lt;&gt;"",_xlfn.IFNA(VLOOKUP($B653,'Node Details'!$B:$U,E$1,0),"Check"),"")</f>
        <v>Airtel</v>
      </c>
      <c r="F653" s="76">
        <v>46114</v>
      </c>
      <c r="G653" s="74"/>
      <c r="H653" s="10" t="s">
        <v>1248</v>
      </c>
      <c r="I653" s="9">
        <v>1</v>
      </c>
      <c r="J653" s="9">
        <v>950</v>
      </c>
      <c r="K653" s="77">
        <f t="shared" si="66"/>
        <v>950</v>
      </c>
      <c r="L653" s="76">
        <v>46112</v>
      </c>
      <c r="N653" s="83"/>
      <c r="O653" s="84"/>
      <c r="P653" s="81"/>
      <c r="Q653" s="81"/>
      <c r="R653" s="81"/>
      <c r="S653" s="81"/>
      <c r="T653" s="85"/>
      <c r="U653" s="81"/>
      <c r="V653" s="81"/>
      <c r="W653" s="123">
        <f t="shared" si="67"/>
        <v>0</v>
      </c>
      <c r="X653" s="123" t="s">
        <v>84</v>
      </c>
      <c r="Y653" s="114" t="s">
        <v>93</v>
      </c>
    </row>
    <row r="654" spans="1:25" s="24" customFormat="1" ht="11.1" customHeight="1">
      <c r="A654" s="74">
        <f t="shared" si="68"/>
        <v>652</v>
      </c>
      <c r="B654" s="75" t="s">
        <v>509</v>
      </c>
      <c r="C654" s="74" t="str">
        <f>IF($B654&lt;&gt;"",_xlfn.IFNA(VLOOKUP($B654,'Node Details'!$B:$U,C$1,0),"Check"),"")</f>
        <v>0000AXW15-AXW150105</v>
      </c>
      <c r="D654" s="74" t="str">
        <f>IF($B654&lt;&gt;"",_xlfn.IFNA(VLOOKUP($B654,'Node Details'!$B:$U,D$1,0),"Check"),"")</f>
        <v>AXW</v>
      </c>
      <c r="E654" s="74" t="str">
        <f>IF($B654&lt;&gt;"",_xlfn.IFNA(VLOOKUP($B654,'Node Details'!$B:$U,E$1,0),"Check"),"")</f>
        <v>Airtel</v>
      </c>
      <c r="F654" s="76">
        <v>46114</v>
      </c>
      <c r="G654" s="74"/>
      <c r="H654" s="10" t="s">
        <v>1248</v>
      </c>
      <c r="I654" s="9">
        <v>1</v>
      </c>
      <c r="J654" s="9">
        <v>950</v>
      </c>
      <c r="K654" s="77">
        <f t="shared" si="66"/>
        <v>950</v>
      </c>
      <c r="L654" s="76">
        <v>46112</v>
      </c>
      <c r="N654" s="83"/>
      <c r="O654" s="84"/>
      <c r="P654" s="81"/>
      <c r="Q654" s="81"/>
      <c r="R654" s="81"/>
      <c r="S654" s="81"/>
      <c r="T654" s="85"/>
      <c r="U654" s="81"/>
      <c r="V654" s="81"/>
      <c r="W654" s="123">
        <f t="shared" si="67"/>
        <v>0</v>
      </c>
      <c r="X654" s="123" t="s">
        <v>84</v>
      </c>
      <c r="Y654" s="114" t="s">
        <v>93</v>
      </c>
    </row>
    <row r="655" spans="1:25" s="24" customFormat="1" ht="11.1" customHeight="1">
      <c r="A655" s="74">
        <f t="shared" si="68"/>
        <v>653</v>
      </c>
      <c r="B655" s="75" t="s">
        <v>511</v>
      </c>
      <c r="C655" s="74" t="str">
        <f>IF($B655&lt;&gt;"",_xlfn.IFNA(VLOOKUP($B655,'Node Details'!$B:$U,C$1,0),"Check"),"")</f>
        <v>0000AXW15-AXW150106</v>
      </c>
      <c r="D655" s="74" t="str">
        <f>IF($B655&lt;&gt;"",_xlfn.IFNA(VLOOKUP($B655,'Node Details'!$B:$U,D$1,0),"Check"),"")</f>
        <v>AXW</v>
      </c>
      <c r="E655" s="74" t="str">
        <f>IF($B655&lt;&gt;"",_xlfn.IFNA(VLOOKUP($B655,'Node Details'!$B:$U,E$1,0),"Check"),"")</f>
        <v>Airtel</v>
      </c>
      <c r="F655" s="76">
        <v>46114</v>
      </c>
      <c r="G655" s="74"/>
      <c r="H655" s="10" t="s">
        <v>1248</v>
      </c>
      <c r="I655" s="9">
        <v>1</v>
      </c>
      <c r="J655" s="9">
        <v>950</v>
      </c>
      <c r="K655" s="77">
        <f t="shared" ref="K655:K718" si="69">IF(I655&lt;&gt;"",J655*I655,0)</f>
        <v>950</v>
      </c>
      <c r="L655" s="76">
        <v>46112</v>
      </c>
      <c r="N655" s="83"/>
      <c r="O655" s="84"/>
      <c r="P655" s="81"/>
      <c r="Q655" s="81"/>
      <c r="R655" s="81"/>
      <c r="S655" s="81"/>
      <c r="T655" s="85"/>
      <c r="U655" s="81"/>
      <c r="V655" s="81"/>
      <c r="W655" s="123">
        <f t="shared" ref="W655:W718" si="70">IF(V655&lt;&gt;"",V655*U655,0)</f>
        <v>0</v>
      </c>
      <c r="X655" s="123" t="s">
        <v>84</v>
      </c>
      <c r="Y655" s="114" t="s">
        <v>93</v>
      </c>
    </row>
    <row r="656" spans="1:25" s="24" customFormat="1" ht="11.1" customHeight="1">
      <c r="A656" s="74">
        <f t="shared" si="68"/>
        <v>654</v>
      </c>
      <c r="B656" s="75" t="s">
        <v>513</v>
      </c>
      <c r="C656" s="74" t="str">
        <f>IF($B656&lt;&gt;"",_xlfn.IFNA(VLOOKUP($B656,'Node Details'!$B:$U,C$1,0),"Check"),"")</f>
        <v>0000AXW16-AXW160101</v>
      </c>
      <c r="D656" s="74" t="str">
        <f>IF($B656&lt;&gt;"",_xlfn.IFNA(VLOOKUP($B656,'Node Details'!$B:$U,D$1,0),"Check"),"")</f>
        <v>AXW</v>
      </c>
      <c r="E656" s="74" t="str">
        <f>IF($B656&lt;&gt;"",_xlfn.IFNA(VLOOKUP($B656,'Node Details'!$B:$U,E$1,0),"Check"),"")</f>
        <v>Airtel</v>
      </c>
      <c r="F656" s="76">
        <v>46114</v>
      </c>
      <c r="G656" s="74"/>
      <c r="H656" s="10" t="s">
        <v>1248</v>
      </c>
      <c r="I656" s="9">
        <v>1</v>
      </c>
      <c r="J656" s="9">
        <v>950</v>
      </c>
      <c r="K656" s="77">
        <f t="shared" si="69"/>
        <v>950</v>
      </c>
      <c r="L656" s="76">
        <v>46112</v>
      </c>
      <c r="N656" s="83"/>
      <c r="O656" s="84"/>
      <c r="P656" s="81"/>
      <c r="Q656" s="81"/>
      <c r="R656" s="81"/>
      <c r="S656" s="81"/>
      <c r="T656" s="85"/>
      <c r="U656" s="81"/>
      <c r="V656" s="81"/>
      <c r="W656" s="123">
        <f t="shared" si="70"/>
        <v>0</v>
      </c>
      <c r="X656" s="123" t="s">
        <v>84</v>
      </c>
      <c r="Y656" s="114" t="s">
        <v>93</v>
      </c>
    </row>
    <row r="657" spans="1:25" s="24" customFormat="1" ht="11.1" customHeight="1">
      <c r="A657" s="74">
        <f t="shared" si="68"/>
        <v>655</v>
      </c>
      <c r="B657" s="75" t="s">
        <v>515</v>
      </c>
      <c r="C657" s="74" t="str">
        <f>IF($B657&lt;&gt;"",_xlfn.IFNA(VLOOKUP($B657,'Node Details'!$B:$U,C$1,0),"Check"),"")</f>
        <v>0000AXW16-AXW160102</v>
      </c>
      <c r="D657" s="74" t="str">
        <f>IF($B657&lt;&gt;"",_xlfn.IFNA(VLOOKUP($B657,'Node Details'!$B:$U,D$1,0),"Check"),"")</f>
        <v>AXW</v>
      </c>
      <c r="E657" s="74" t="str">
        <f>IF($B657&lt;&gt;"",_xlfn.IFNA(VLOOKUP($B657,'Node Details'!$B:$U,E$1,0),"Check"),"")</f>
        <v>Airtel</v>
      </c>
      <c r="F657" s="76">
        <v>46114</v>
      </c>
      <c r="G657" s="74"/>
      <c r="H657" s="10" t="s">
        <v>1248</v>
      </c>
      <c r="I657" s="9">
        <v>1</v>
      </c>
      <c r="J657" s="9">
        <v>950</v>
      </c>
      <c r="K657" s="77">
        <f t="shared" si="69"/>
        <v>950</v>
      </c>
      <c r="L657" s="76">
        <v>46112</v>
      </c>
      <c r="N657" s="83"/>
      <c r="O657" s="84"/>
      <c r="P657" s="81"/>
      <c r="Q657" s="81"/>
      <c r="R657" s="81"/>
      <c r="S657" s="81"/>
      <c r="T657" s="85"/>
      <c r="U657" s="81"/>
      <c r="V657" s="81"/>
      <c r="W657" s="123">
        <f t="shared" si="70"/>
        <v>0</v>
      </c>
      <c r="X657" s="123" t="s">
        <v>84</v>
      </c>
      <c r="Y657" s="114" t="s">
        <v>93</v>
      </c>
    </row>
    <row r="658" spans="1:25" s="24" customFormat="1" ht="11.1" customHeight="1">
      <c r="A658" s="74">
        <f t="shared" si="68"/>
        <v>656</v>
      </c>
      <c r="B658" s="75" t="s">
        <v>1100</v>
      </c>
      <c r="C658" s="74" t="str">
        <f>IF($B658&lt;&gt;"",_xlfn.IFNA(VLOOKUP($B658,'Node Details'!$B:$U,C$1,0),"Check"),"")</f>
        <v>0000AXW16-AXW160104</v>
      </c>
      <c r="D658" s="74" t="str">
        <f>IF($B658&lt;&gt;"",_xlfn.IFNA(VLOOKUP($B658,'Node Details'!$B:$U,D$1,0),"Check"),"")</f>
        <v>AXW</v>
      </c>
      <c r="E658" s="74" t="str">
        <f>IF($B658&lt;&gt;"",_xlfn.IFNA(VLOOKUP($B658,'Node Details'!$B:$U,E$1,0),"Check"),"")</f>
        <v>Airtel</v>
      </c>
      <c r="F658" s="76">
        <v>46114</v>
      </c>
      <c r="G658" s="74"/>
      <c r="H658" s="10" t="s">
        <v>1248</v>
      </c>
      <c r="I658" s="9">
        <v>1</v>
      </c>
      <c r="J658" s="9">
        <v>950</v>
      </c>
      <c r="K658" s="77">
        <f t="shared" si="69"/>
        <v>950</v>
      </c>
      <c r="L658" s="76">
        <v>46112</v>
      </c>
      <c r="N658" s="83"/>
      <c r="O658" s="84"/>
      <c r="P658" s="81"/>
      <c r="Q658" s="81"/>
      <c r="R658" s="81"/>
      <c r="S658" s="81"/>
      <c r="T658" s="85"/>
      <c r="U658" s="81"/>
      <c r="V658" s="81"/>
      <c r="W658" s="123">
        <f t="shared" si="70"/>
        <v>0</v>
      </c>
      <c r="X658" s="123" t="s">
        <v>84</v>
      </c>
      <c r="Y658" s="114" t="s">
        <v>93</v>
      </c>
    </row>
    <row r="659" spans="1:25" s="24" customFormat="1" ht="11.1" customHeight="1">
      <c r="A659" s="74">
        <f t="shared" si="68"/>
        <v>657</v>
      </c>
      <c r="B659" s="75" t="s">
        <v>517</v>
      </c>
      <c r="C659" s="74" t="str">
        <f>IF($B659&lt;&gt;"",_xlfn.IFNA(VLOOKUP($B659,'Node Details'!$B:$U,C$1,0),"Check"),"")</f>
        <v>0000AXW16-AXW160104</v>
      </c>
      <c r="D659" s="74" t="str">
        <f>IF($B659&lt;&gt;"",_xlfn.IFNA(VLOOKUP($B659,'Node Details'!$B:$U,D$1,0),"Check"),"")</f>
        <v>AXW</v>
      </c>
      <c r="E659" s="74" t="str">
        <f>IF($B659&lt;&gt;"",_xlfn.IFNA(VLOOKUP($B659,'Node Details'!$B:$U,E$1,0),"Check"),"")</f>
        <v>Airtel</v>
      </c>
      <c r="F659" s="76">
        <v>46114</v>
      </c>
      <c r="G659" s="74"/>
      <c r="H659" s="10" t="s">
        <v>1248</v>
      </c>
      <c r="I659" s="9">
        <v>1</v>
      </c>
      <c r="J659" s="9">
        <v>950</v>
      </c>
      <c r="K659" s="77">
        <f t="shared" si="69"/>
        <v>950</v>
      </c>
      <c r="L659" s="76">
        <v>46112</v>
      </c>
      <c r="N659" s="83"/>
      <c r="O659" s="84"/>
      <c r="P659" s="81"/>
      <c r="Q659" s="81"/>
      <c r="R659" s="81"/>
      <c r="S659" s="81"/>
      <c r="T659" s="85"/>
      <c r="U659" s="81"/>
      <c r="V659" s="81"/>
      <c r="W659" s="123">
        <f t="shared" si="70"/>
        <v>0</v>
      </c>
      <c r="X659" s="123" t="s">
        <v>84</v>
      </c>
      <c r="Y659" s="114" t="s">
        <v>93</v>
      </c>
    </row>
    <row r="660" spans="1:25" s="24" customFormat="1" ht="11.1" customHeight="1">
      <c r="A660" s="74">
        <f t="shared" si="68"/>
        <v>658</v>
      </c>
      <c r="B660" s="75" t="s">
        <v>519</v>
      </c>
      <c r="C660" s="74" t="str">
        <f>IF($B660&lt;&gt;"",_xlfn.IFNA(VLOOKUP($B660,'Node Details'!$B:$U,C$1,0),"Check"),"")</f>
        <v>0000AXW16-AXW160105</v>
      </c>
      <c r="D660" s="74" t="str">
        <f>IF($B660&lt;&gt;"",_xlfn.IFNA(VLOOKUP($B660,'Node Details'!$B:$U,D$1,0),"Check"),"")</f>
        <v>AXW</v>
      </c>
      <c r="E660" s="74" t="str">
        <f>IF($B660&lt;&gt;"",_xlfn.IFNA(VLOOKUP($B660,'Node Details'!$B:$U,E$1,0),"Check"),"")</f>
        <v>Airtel</v>
      </c>
      <c r="F660" s="76">
        <v>46114</v>
      </c>
      <c r="G660" s="74"/>
      <c r="H660" s="10" t="s">
        <v>1248</v>
      </c>
      <c r="I660" s="9">
        <v>1</v>
      </c>
      <c r="J660" s="9">
        <v>950</v>
      </c>
      <c r="K660" s="77">
        <f t="shared" si="69"/>
        <v>950</v>
      </c>
      <c r="L660" s="76">
        <v>46112</v>
      </c>
      <c r="N660" s="83"/>
      <c r="O660" s="84"/>
      <c r="P660" s="81"/>
      <c r="Q660" s="81"/>
      <c r="R660" s="81"/>
      <c r="S660" s="81"/>
      <c r="T660" s="85"/>
      <c r="U660" s="81"/>
      <c r="V660" s="81"/>
      <c r="W660" s="123">
        <f t="shared" si="70"/>
        <v>0</v>
      </c>
      <c r="X660" s="123" t="s">
        <v>84</v>
      </c>
      <c r="Y660" s="114" t="s">
        <v>93</v>
      </c>
    </row>
    <row r="661" spans="1:25" s="24" customFormat="1" ht="11.1" customHeight="1">
      <c r="A661" s="74">
        <f t="shared" si="68"/>
        <v>659</v>
      </c>
      <c r="B661" s="75" t="s">
        <v>521</v>
      </c>
      <c r="C661" s="74" t="str">
        <f>IF($B661&lt;&gt;"",_xlfn.IFNA(VLOOKUP($B661,'Node Details'!$B:$U,C$1,0),"Check"),"")</f>
        <v>AXW160105-AXW160106</v>
      </c>
      <c r="D661" s="74" t="str">
        <f>IF($B661&lt;&gt;"",_xlfn.IFNA(VLOOKUP($B661,'Node Details'!$B:$U,D$1,0),"Check"),"")</f>
        <v>AXW</v>
      </c>
      <c r="E661" s="74" t="str">
        <f>IF($B661&lt;&gt;"",_xlfn.IFNA(VLOOKUP($B661,'Node Details'!$B:$U,E$1,0),"Check"),"")</f>
        <v>Airtel</v>
      </c>
      <c r="F661" s="76">
        <v>46114</v>
      </c>
      <c r="G661" s="74"/>
      <c r="H661" s="10" t="s">
        <v>1248</v>
      </c>
      <c r="I661" s="9">
        <v>1</v>
      </c>
      <c r="J661" s="9">
        <v>950</v>
      </c>
      <c r="K661" s="77">
        <f t="shared" si="69"/>
        <v>950</v>
      </c>
      <c r="L661" s="76">
        <v>46112</v>
      </c>
      <c r="N661" s="83"/>
      <c r="O661" s="84"/>
      <c r="P661" s="81"/>
      <c r="Q661" s="81"/>
      <c r="R661" s="81"/>
      <c r="S661" s="81"/>
      <c r="T661" s="85"/>
      <c r="U661" s="81"/>
      <c r="V661" s="81"/>
      <c r="W661" s="123">
        <f t="shared" si="70"/>
        <v>0</v>
      </c>
      <c r="X661" s="123" t="s">
        <v>84</v>
      </c>
      <c r="Y661" s="114" t="s">
        <v>93</v>
      </c>
    </row>
    <row r="662" spans="1:25" s="24" customFormat="1" ht="11.1" customHeight="1">
      <c r="A662" s="74">
        <f t="shared" si="68"/>
        <v>660</v>
      </c>
      <c r="B662" s="75" t="s">
        <v>1101</v>
      </c>
      <c r="C662" s="74" t="str">
        <f>IF($B662&lt;&gt;"",_xlfn.IFNA(VLOOKUP($B662,'Node Details'!$B:$U,C$1,0),"Check"),"")</f>
        <v>AXW160106-AXW160108</v>
      </c>
      <c r="D662" s="74" t="str">
        <f>IF($B662&lt;&gt;"",_xlfn.IFNA(VLOOKUP($B662,'Node Details'!$B:$U,D$1,0),"Check"),"")</f>
        <v>AXW</v>
      </c>
      <c r="E662" s="74" t="str">
        <f>IF($B662&lt;&gt;"",_xlfn.IFNA(VLOOKUP($B662,'Node Details'!$B:$U,E$1,0),"Check"),"")</f>
        <v>Airtel</v>
      </c>
      <c r="F662" s="76">
        <v>46114</v>
      </c>
      <c r="G662" s="74"/>
      <c r="H662" s="10" t="s">
        <v>1248</v>
      </c>
      <c r="I662" s="9">
        <v>1</v>
      </c>
      <c r="J662" s="9">
        <v>950</v>
      </c>
      <c r="K662" s="77">
        <f t="shared" si="69"/>
        <v>950</v>
      </c>
      <c r="L662" s="76">
        <v>46112</v>
      </c>
      <c r="N662" s="83"/>
      <c r="O662" s="84"/>
      <c r="P662" s="81"/>
      <c r="Q662" s="81"/>
      <c r="R662" s="81"/>
      <c r="S662" s="81"/>
      <c r="T662" s="85"/>
      <c r="U662" s="81"/>
      <c r="V662" s="81"/>
      <c r="W662" s="123">
        <f t="shared" si="70"/>
        <v>0</v>
      </c>
      <c r="X662" s="123" t="s">
        <v>84</v>
      </c>
      <c r="Y662" s="114" t="s">
        <v>93</v>
      </c>
    </row>
    <row r="663" spans="1:25" s="24" customFormat="1" ht="11.1" customHeight="1">
      <c r="A663" s="74">
        <f t="shared" si="68"/>
        <v>661</v>
      </c>
      <c r="B663" s="75" t="s">
        <v>523</v>
      </c>
      <c r="C663" s="74" t="str">
        <f>IF($B663&lt;&gt;"",_xlfn.IFNA(VLOOKUP($B663,'Node Details'!$B:$U,C$1,0),"Check"),"")</f>
        <v>AXW160106-AXW160108</v>
      </c>
      <c r="D663" s="74" t="str">
        <f>IF($B663&lt;&gt;"",_xlfn.IFNA(VLOOKUP($B663,'Node Details'!$B:$U,D$1,0),"Check"),"")</f>
        <v>AXW</v>
      </c>
      <c r="E663" s="74" t="str">
        <f>IF($B663&lt;&gt;"",_xlfn.IFNA(VLOOKUP($B663,'Node Details'!$B:$U,E$1,0),"Check"),"")</f>
        <v>Airtel</v>
      </c>
      <c r="F663" s="76">
        <v>46114</v>
      </c>
      <c r="G663" s="74"/>
      <c r="H663" s="10" t="s">
        <v>1248</v>
      </c>
      <c r="I663" s="9">
        <v>1</v>
      </c>
      <c r="J663" s="9">
        <v>950</v>
      </c>
      <c r="K663" s="77">
        <f t="shared" si="69"/>
        <v>950</v>
      </c>
      <c r="L663" s="76">
        <v>46112</v>
      </c>
      <c r="N663" s="83"/>
      <c r="O663" s="84"/>
      <c r="P663" s="81"/>
      <c r="Q663" s="81"/>
      <c r="R663" s="81"/>
      <c r="S663" s="81"/>
      <c r="T663" s="85"/>
      <c r="U663" s="81"/>
      <c r="V663" s="81"/>
      <c r="W663" s="123">
        <f t="shared" si="70"/>
        <v>0</v>
      </c>
      <c r="X663" s="123" t="s">
        <v>84</v>
      </c>
      <c r="Y663" s="114" t="s">
        <v>93</v>
      </c>
    </row>
    <row r="664" spans="1:25" s="24" customFormat="1" ht="11.1" customHeight="1">
      <c r="A664" s="74">
        <f t="shared" si="68"/>
        <v>662</v>
      </c>
      <c r="B664" s="75" t="s">
        <v>525</v>
      </c>
      <c r="C664" s="74" t="str">
        <f>IF($B664&lt;&gt;"",_xlfn.IFNA(VLOOKUP($B664,'Node Details'!$B:$U,C$1,0),"Check"),"")</f>
        <v>0000AXW17-AXW170101</v>
      </c>
      <c r="D664" s="74" t="str">
        <f>IF($B664&lt;&gt;"",_xlfn.IFNA(VLOOKUP($B664,'Node Details'!$B:$U,D$1,0),"Check"),"")</f>
        <v>AXW</v>
      </c>
      <c r="E664" s="74" t="str">
        <f>IF($B664&lt;&gt;"",_xlfn.IFNA(VLOOKUP($B664,'Node Details'!$B:$U,E$1,0),"Check"),"")</f>
        <v>Airtel</v>
      </c>
      <c r="F664" s="76">
        <v>46114</v>
      </c>
      <c r="G664" s="74"/>
      <c r="H664" s="10" t="s">
        <v>1248</v>
      </c>
      <c r="I664" s="9">
        <v>1</v>
      </c>
      <c r="J664" s="9">
        <v>950</v>
      </c>
      <c r="K664" s="77">
        <f t="shared" si="69"/>
        <v>950</v>
      </c>
      <c r="L664" s="76">
        <v>46112</v>
      </c>
      <c r="N664" s="83"/>
      <c r="O664" s="84"/>
      <c r="P664" s="81"/>
      <c r="Q664" s="81"/>
      <c r="R664" s="81"/>
      <c r="S664" s="81"/>
      <c r="T664" s="85"/>
      <c r="U664" s="81"/>
      <c r="V664" s="81"/>
      <c r="W664" s="123">
        <f t="shared" si="70"/>
        <v>0</v>
      </c>
      <c r="X664" s="123" t="s">
        <v>84</v>
      </c>
      <c r="Y664" s="114" t="s">
        <v>93</v>
      </c>
    </row>
    <row r="665" spans="1:25" s="24" customFormat="1" ht="11.1" customHeight="1">
      <c r="A665" s="74">
        <f t="shared" si="68"/>
        <v>663</v>
      </c>
      <c r="B665" s="75" t="s">
        <v>1102</v>
      </c>
      <c r="C665" s="74" t="str">
        <f>IF($B665&lt;&gt;"",_xlfn.IFNA(VLOOKUP($B665,'Node Details'!$B:$U,C$1,0),"Check"),"")</f>
        <v>0000AXW17-AXW170105</v>
      </c>
      <c r="D665" s="74" t="str">
        <f>IF($B665&lt;&gt;"",_xlfn.IFNA(VLOOKUP($B665,'Node Details'!$B:$U,D$1,0),"Check"),"")</f>
        <v>AXW</v>
      </c>
      <c r="E665" s="74" t="str">
        <f>IF($B665&lt;&gt;"",_xlfn.IFNA(VLOOKUP($B665,'Node Details'!$B:$U,E$1,0),"Check"),"")</f>
        <v>Airtel</v>
      </c>
      <c r="F665" s="76">
        <v>46114</v>
      </c>
      <c r="G665" s="74"/>
      <c r="H665" s="10" t="s">
        <v>1248</v>
      </c>
      <c r="I665" s="9">
        <v>1</v>
      </c>
      <c r="J665" s="9">
        <v>950</v>
      </c>
      <c r="K665" s="77">
        <f t="shared" si="69"/>
        <v>950</v>
      </c>
      <c r="L665" s="76">
        <v>46112</v>
      </c>
      <c r="N665" s="83"/>
      <c r="O665" s="84"/>
      <c r="P665" s="81"/>
      <c r="Q665" s="81"/>
      <c r="R665" s="81"/>
      <c r="S665" s="81"/>
      <c r="T665" s="85"/>
      <c r="U665" s="81"/>
      <c r="V665" s="81"/>
      <c r="W665" s="123">
        <f t="shared" si="70"/>
        <v>0</v>
      </c>
      <c r="X665" s="123" t="s">
        <v>84</v>
      </c>
      <c r="Y665" s="114" t="s">
        <v>93</v>
      </c>
    </row>
    <row r="666" spans="1:25" s="24" customFormat="1" ht="11.1" customHeight="1">
      <c r="A666" s="74">
        <f t="shared" si="68"/>
        <v>664</v>
      </c>
      <c r="B666" s="75" t="s">
        <v>1103</v>
      </c>
      <c r="C666" s="74" t="str">
        <f>IF($B666&lt;&gt;"",_xlfn.IFNA(VLOOKUP($B666,'Node Details'!$B:$U,C$1,0),"Check"),"")</f>
        <v>0000AXW17-AXW170105</v>
      </c>
      <c r="D666" s="74" t="str">
        <f>IF($B666&lt;&gt;"",_xlfn.IFNA(VLOOKUP($B666,'Node Details'!$B:$U,D$1,0),"Check"),"")</f>
        <v>AXW</v>
      </c>
      <c r="E666" s="74" t="str">
        <f>IF($B666&lt;&gt;"",_xlfn.IFNA(VLOOKUP($B666,'Node Details'!$B:$U,E$1,0),"Check"),"")</f>
        <v>Airtel</v>
      </c>
      <c r="F666" s="76">
        <v>46114</v>
      </c>
      <c r="G666" s="74"/>
      <c r="H666" s="10" t="s">
        <v>1248</v>
      </c>
      <c r="I666" s="9">
        <v>1</v>
      </c>
      <c r="J666" s="9">
        <v>950</v>
      </c>
      <c r="K666" s="77">
        <f t="shared" si="69"/>
        <v>950</v>
      </c>
      <c r="L666" s="76">
        <v>46112</v>
      </c>
      <c r="N666" s="83"/>
      <c r="O666" s="84"/>
      <c r="P666" s="81"/>
      <c r="Q666" s="81"/>
      <c r="R666" s="81"/>
      <c r="S666" s="81"/>
      <c r="T666" s="85"/>
      <c r="U666" s="81"/>
      <c r="V666" s="81"/>
      <c r="W666" s="123">
        <f t="shared" si="70"/>
        <v>0</v>
      </c>
      <c r="X666" s="123" t="s">
        <v>84</v>
      </c>
      <c r="Y666" s="114" t="s">
        <v>93</v>
      </c>
    </row>
    <row r="667" spans="1:25" s="24" customFormat="1" ht="11.1" customHeight="1">
      <c r="A667" s="74">
        <f t="shared" si="68"/>
        <v>665</v>
      </c>
      <c r="B667" s="75" t="s">
        <v>1104</v>
      </c>
      <c r="C667" s="74" t="str">
        <f>IF($B667&lt;&gt;"",_xlfn.IFNA(VLOOKUP($B667,'Node Details'!$B:$U,C$1,0),"Check"),"")</f>
        <v>0000AXW17-AXW170105</v>
      </c>
      <c r="D667" s="74" t="str">
        <f>IF($B667&lt;&gt;"",_xlfn.IFNA(VLOOKUP($B667,'Node Details'!$B:$U,D$1,0),"Check"),"")</f>
        <v>AXW</v>
      </c>
      <c r="E667" s="74" t="str">
        <f>IF($B667&lt;&gt;"",_xlfn.IFNA(VLOOKUP($B667,'Node Details'!$B:$U,E$1,0),"Check"),"")</f>
        <v>Airtel</v>
      </c>
      <c r="F667" s="76">
        <v>46114</v>
      </c>
      <c r="G667" s="74"/>
      <c r="H667" s="10" t="s">
        <v>1248</v>
      </c>
      <c r="I667" s="9">
        <v>1</v>
      </c>
      <c r="J667" s="9">
        <v>950</v>
      </c>
      <c r="K667" s="77">
        <f t="shared" si="69"/>
        <v>950</v>
      </c>
      <c r="L667" s="76">
        <v>46112</v>
      </c>
      <c r="N667" s="83"/>
      <c r="O667" s="84"/>
      <c r="P667" s="81"/>
      <c r="Q667" s="81"/>
      <c r="R667" s="81"/>
      <c r="S667" s="81"/>
      <c r="T667" s="85"/>
      <c r="U667" s="81"/>
      <c r="V667" s="81"/>
      <c r="W667" s="123">
        <f t="shared" si="70"/>
        <v>0</v>
      </c>
      <c r="X667" s="123" t="s">
        <v>84</v>
      </c>
      <c r="Y667" s="114" t="s">
        <v>93</v>
      </c>
    </row>
    <row r="668" spans="1:25" s="24" customFormat="1" ht="11.1" customHeight="1">
      <c r="A668" s="74">
        <f t="shared" si="68"/>
        <v>666</v>
      </c>
      <c r="B668" s="75" t="s">
        <v>527</v>
      </c>
      <c r="C668" s="74" t="str">
        <f>IF($B668&lt;&gt;"",_xlfn.IFNA(VLOOKUP($B668,'Node Details'!$B:$U,C$1,0),"Check"),"")</f>
        <v>0000AXW17-AXW170105</v>
      </c>
      <c r="D668" s="74" t="str">
        <f>IF($B668&lt;&gt;"",_xlfn.IFNA(VLOOKUP($B668,'Node Details'!$B:$U,D$1,0),"Check"),"")</f>
        <v>AXW</v>
      </c>
      <c r="E668" s="74" t="str">
        <f>IF($B668&lt;&gt;"",_xlfn.IFNA(VLOOKUP($B668,'Node Details'!$B:$U,E$1,0),"Check"),"")</f>
        <v>Airtel</v>
      </c>
      <c r="F668" s="76">
        <v>46114</v>
      </c>
      <c r="G668" s="74"/>
      <c r="H668" s="10" t="s">
        <v>1248</v>
      </c>
      <c r="I668" s="9">
        <v>1</v>
      </c>
      <c r="J668" s="9">
        <v>950</v>
      </c>
      <c r="K668" s="77">
        <f t="shared" si="69"/>
        <v>950</v>
      </c>
      <c r="L668" s="76">
        <v>46112</v>
      </c>
      <c r="N668" s="83"/>
      <c r="O668" s="84"/>
      <c r="P668" s="81"/>
      <c r="Q668" s="81"/>
      <c r="R668" s="81"/>
      <c r="S668" s="81"/>
      <c r="T668" s="85"/>
      <c r="U668" s="81"/>
      <c r="V668" s="81"/>
      <c r="W668" s="123">
        <f t="shared" si="70"/>
        <v>0</v>
      </c>
      <c r="X668" s="123" t="s">
        <v>84</v>
      </c>
      <c r="Y668" s="114" t="s">
        <v>93</v>
      </c>
    </row>
    <row r="669" spans="1:25" s="24" customFormat="1" ht="11.1" customHeight="1">
      <c r="A669" s="74">
        <f t="shared" si="68"/>
        <v>667</v>
      </c>
      <c r="B669" s="75" t="s">
        <v>1105</v>
      </c>
      <c r="C669" s="74" t="str">
        <f>IF($B669&lt;&gt;"",_xlfn.IFNA(VLOOKUP($B669,'Node Details'!$B:$U,C$1,0),"Check"),"")</f>
        <v>0000AXW17-AXW170201</v>
      </c>
      <c r="D669" s="74" t="str">
        <f>IF($B669&lt;&gt;"",_xlfn.IFNA(VLOOKUP($B669,'Node Details'!$B:$U,D$1,0),"Check"),"")</f>
        <v>AXW</v>
      </c>
      <c r="E669" s="74" t="str">
        <f>IF($B669&lt;&gt;"",_xlfn.IFNA(VLOOKUP($B669,'Node Details'!$B:$U,E$1,0),"Check"),"")</f>
        <v>Airtel</v>
      </c>
      <c r="F669" s="76">
        <v>46114</v>
      </c>
      <c r="G669" s="74"/>
      <c r="H669" s="10" t="s">
        <v>1248</v>
      </c>
      <c r="I669" s="9">
        <v>1</v>
      </c>
      <c r="J669" s="9">
        <v>950</v>
      </c>
      <c r="K669" s="77">
        <f t="shared" si="69"/>
        <v>950</v>
      </c>
      <c r="L669" s="76">
        <v>46112</v>
      </c>
      <c r="N669" s="83"/>
      <c r="O669" s="84"/>
      <c r="P669" s="81"/>
      <c r="Q669" s="81"/>
      <c r="R669" s="81"/>
      <c r="S669" s="81"/>
      <c r="T669" s="85"/>
      <c r="U669" s="81"/>
      <c r="V669" s="81"/>
      <c r="W669" s="123">
        <f t="shared" si="70"/>
        <v>0</v>
      </c>
      <c r="X669" s="123" t="s">
        <v>84</v>
      </c>
      <c r="Y669" s="114" t="s">
        <v>93</v>
      </c>
    </row>
    <row r="670" spans="1:25" s="24" customFormat="1" ht="11.1" customHeight="1">
      <c r="A670" s="74">
        <f t="shared" si="68"/>
        <v>668</v>
      </c>
      <c r="B670" s="75" t="s">
        <v>1106</v>
      </c>
      <c r="C670" s="74" t="str">
        <f>IF($B670&lt;&gt;"",_xlfn.IFNA(VLOOKUP($B670,'Node Details'!$B:$U,C$1,0),"Check"),"")</f>
        <v>0000AXW17-AXW170201</v>
      </c>
      <c r="D670" s="74" t="str">
        <f>IF($B670&lt;&gt;"",_xlfn.IFNA(VLOOKUP($B670,'Node Details'!$B:$U,D$1,0),"Check"),"")</f>
        <v>AXW</v>
      </c>
      <c r="E670" s="74" t="str">
        <f>IF($B670&lt;&gt;"",_xlfn.IFNA(VLOOKUP($B670,'Node Details'!$B:$U,E$1,0),"Check"),"")</f>
        <v>Airtel</v>
      </c>
      <c r="F670" s="76">
        <v>46114</v>
      </c>
      <c r="G670" s="74"/>
      <c r="H670" s="10" t="s">
        <v>1248</v>
      </c>
      <c r="I670" s="9">
        <v>1</v>
      </c>
      <c r="J670" s="9">
        <v>950</v>
      </c>
      <c r="K670" s="77">
        <f t="shared" si="69"/>
        <v>950</v>
      </c>
      <c r="L670" s="76">
        <v>46112</v>
      </c>
      <c r="N670" s="83"/>
      <c r="O670" s="84"/>
      <c r="P670" s="81"/>
      <c r="Q670" s="81"/>
      <c r="R670" s="81"/>
      <c r="S670" s="81"/>
      <c r="T670" s="85"/>
      <c r="U670" s="81"/>
      <c r="V670" s="81"/>
      <c r="W670" s="123">
        <f t="shared" si="70"/>
        <v>0</v>
      </c>
      <c r="X670" s="123" t="s">
        <v>84</v>
      </c>
      <c r="Y670" s="114" t="s">
        <v>93</v>
      </c>
    </row>
    <row r="671" spans="1:25" s="24" customFormat="1" ht="11.1" customHeight="1">
      <c r="A671" s="74">
        <f t="shared" si="68"/>
        <v>669</v>
      </c>
      <c r="B671" s="75" t="s">
        <v>1107</v>
      </c>
      <c r="C671" s="74" t="str">
        <f>IF($B671&lt;&gt;"",_xlfn.IFNA(VLOOKUP($B671,'Node Details'!$B:$U,C$1,0),"Check"),"")</f>
        <v>0000AXW17-AXW170201</v>
      </c>
      <c r="D671" s="74" t="str">
        <f>IF($B671&lt;&gt;"",_xlfn.IFNA(VLOOKUP($B671,'Node Details'!$B:$U,D$1,0),"Check"),"")</f>
        <v>AXW</v>
      </c>
      <c r="E671" s="74" t="str">
        <f>IF($B671&lt;&gt;"",_xlfn.IFNA(VLOOKUP($B671,'Node Details'!$B:$U,E$1,0),"Check"),"")</f>
        <v>Airtel</v>
      </c>
      <c r="F671" s="76">
        <v>46114</v>
      </c>
      <c r="G671" s="74"/>
      <c r="H671" s="10" t="s">
        <v>1248</v>
      </c>
      <c r="I671" s="9">
        <v>1</v>
      </c>
      <c r="J671" s="9">
        <v>950</v>
      </c>
      <c r="K671" s="77">
        <f t="shared" si="69"/>
        <v>950</v>
      </c>
      <c r="L671" s="76">
        <v>46112</v>
      </c>
      <c r="N671" s="83"/>
      <c r="O671" s="84"/>
      <c r="P671" s="81"/>
      <c r="Q671" s="81"/>
      <c r="R671" s="81"/>
      <c r="S671" s="81"/>
      <c r="T671" s="85"/>
      <c r="U671" s="81"/>
      <c r="V671" s="81"/>
      <c r="W671" s="123">
        <f t="shared" si="70"/>
        <v>0</v>
      </c>
      <c r="X671" s="123" t="s">
        <v>84</v>
      </c>
      <c r="Y671" s="114" t="s">
        <v>93</v>
      </c>
    </row>
    <row r="672" spans="1:25" s="24" customFormat="1" ht="11.1" customHeight="1">
      <c r="A672" s="74">
        <f t="shared" si="68"/>
        <v>670</v>
      </c>
      <c r="B672" s="75" t="s">
        <v>529</v>
      </c>
      <c r="C672" s="74" t="str">
        <f>IF($B672&lt;&gt;"",_xlfn.IFNA(VLOOKUP($B672,'Node Details'!$B:$U,C$1,0),"Check"),"")</f>
        <v>0000AXW17-AXW170201</v>
      </c>
      <c r="D672" s="74" t="str">
        <f>IF($B672&lt;&gt;"",_xlfn.IFNA(VLOOKUP($B672,'Node Details'!$B:$U,D$1,0),"Check"),"")</f>
        <v>AXW</v>
      </c>
      <c r="E672" s="74" t="str">
        <f>IF($B672&lt;&gt;"",_xlfn.IFNA(VLOOKUP($B672,'Node Details'!$B:$U,E$1,0),"Check"),"")</f>
        <v>Airtel</v>
      </c>
      <c r="F672" s="76">
        <v>46114</v>
      </c>
      <c r="G672" s="74"/>
      <c r="H672" s="10" t="s">
        <v>1248</v>
      </c>
      <c r="I672" s="9">
        <v>1</v>
      </c>
      <c r="J672" s="9">
        <v>950</v>
      </c>
      <c r="K672" s="77">
        <f t="shared" si="69"/>
        <v>950</v>
      </c>
      <c r="L672" s="76">
        <v>46112</v>
      </c>
      <c r="N672" s="83"/>
      <c r="O672" s="84"/>
      <c r="P672" s="81"/>
      <c r="Q672" s="81"/>
      <c r="R672" s="81"/>
      <c r="S672" s="81"/>
      <c r="T672" s="85"/>
      <c r="U672" s="81"/>
      <c r="V672" s="81"/>
      <c r="W672" s="123">
        <f t="shared" si="70"/>
        <v>0</v>
      </c>
      <c r="X672" s="123" t="s">
        <v>84</v>
      </c>
      <c r="Y672" s="114" t="s">
        <v>93</v>
      </c>
    </row>
    <row r="673" spans="1:25" s="24" customFormat="1" ht="11.1" customHeight="1">
      <c r="A673" s="74">
        <f t="shared" si="68"/>
        <v>671</v>
      </c>
      <c r="B673" s="75" t="s">
        <v>533</v>
      </c>
      <c r="C673" s="74" t="str">
        <f>IF($B673&lt;&gt;"",_xlfn.IFNA(VLOOKUP($B673,'Node Details'!$B:$U,C$1,0),"Check"),"")</f>
        <v>0000AXW18-AXW180101</v>
      </c>
      <c r="D673" s="74" t="str">
        <f>IF($B673&lt;&gt;"",_xlfn.IFNA(VLOOKUP($B673,'Node Details'!$B:$U,D$1,0),"Check"),"")</f>
        <v>AXW</v>
      </c>
      <c r="E673" s="74" t="str">
        <f>IF($B673&lt;&gt;"",_xlfn.IFNA(VLOOKUP($B673,'Node Details'!$B:$U,E$1,0),"Check"),"")</f>
        <v>Airtel</v>
      </c>
      <c r="F673" s="76">
        <v>46114</v>
      </c>
      <c r="G673" s="74"/>
      <c r="H673" s="10" t="s">
        <v>1248</v>
      </c>
      <c r="I673" s="9">
        <v>1</v>
      </c>
      <c r="J673" s="9">
        <v>950</v>
      </c>
      <c r="K673" s="77">
        <f t="shared" si="69"/>
        <v>950</v>
      </c>
      <c r="L673" s="76">
        <v>46112</v>
      </c>
      <c r="N673" s="83"/>
      <c r="O673" s="84"/>
      <c r="P673" s="81"/>
      <c r="Q673" s="81"/>
      <c r="R673" s="81"/>
      <c r="S673" s="81"/>
      <c r="T673" s="85"/>
      <c r="U673" s="81"/>
      <c r="V673" s="81"/>
      <c r="W673" s="123">
        <f t="shared" si="70"/>
        <v>0</v>
      </c>
      <c r="X673" s="123" t="s">
        <v>84</v>
      </c>
      <c r="Y673" s="114" t="s">
        <v>93</v>
      </c>
    </row>
    <row r="674" spans="1:25" s="24" customFormat="1" ht="11.1" customHeight="1">
      <c r="A674" s="74">
        <f t="shared" si="68"/>
        <v>672</v>
      </c>
      <c r="B674" s="75" t="s">
        <v>1108</v>
      </c>
      <c r="C674" s="74" t="str">
        <f>IF($B674&lt;&gt;"",_xlfn.IFNA(VLOOKUP($B674,'Node Details'!$B:$U,C$1,0),"Check"),"")</f>
        <v>0000AXW18-AXW180105</v>
      </c>
      <c r="D674" s="74" t="str">
        <f>IF($B674&lt;&gt;"",_xlfn.IFNA(VLOOKUP($B674,'Node Details'!$B:$U,D$1,0),"Check"),"")</f>
        <v>AXW</v>
      </c>
      <c r="E674" s="74" t="str">
        <f>IF($B674&lt;&gt;"",_xlfn.IFNA(VLOOKUP($B674,'Node Details'!$B:$U,E$1,0),"Check"),"")</f>
        <v>Airtel</v>
      </c>
      <c r="F674" s="76">
        <v>46114</v>
      </c>
      <c r="G674" s="74"/>
      <c r="H674" s="10" t="s">
        <v>1248</v>
      </c>
      <c r="I674" s="9">
        <v>1</v>
      </c>
      <c r="J674" s="9">
        <v>950</v>
      </c>
      <c r="K674" s="77">
        <f t="shared" si="69"/>
        <v>950</v>
      </c>
      <c r="L674" s="76">
        <v>46112</v>
      </c>
      <c r="N674" s="83"/>
      <c r="O674" s="84"/>
      <c r="P674" s="81"/>
      <c r="Q674" s="81"/>
      <c r="R674" s="81"/>
      <c r="S674" s="81"/>
      <c r="T674" s="85"/>
      <c r="U674" s="81"/>
      <c r="V674" s="81"/>
      <c r="W674" s="123">
        <f t="shared" si="70"/>
        <v>0</v>
      </c>
      <c r="X674" s="123" t="s">
        <v>84</v>
      </c>
      <c r="Y674" s="114" t="s">
        <v>93</v>
      </c>
    </row>
    <row r="675" spans="1:25" s="24" customFormat="1" ht="11.1" customHeight="1">
      <c r="A675" s="74">
        <f t="shared" si="68"/>
        <v>673</v>
      </c>
      <c r="B675" s="75" t="s">
        <v>1109</v>
      </c>
      <c r="C675" s="74" t="str">
        <f>IF($B675&lt;&gt;"",_xlfn.IFNA(VLOOKUP($B675,'Node Details'!$B:$U,C$1,0),"Check"),"")</f>
        <v>0000AXW18-AXW180105</v>
      </c>
      <c r="D675" s="74" t="str">
        <f>IF($B675&lt;&gt;"",_xlfn.IFNA(VLOOKUP($B675,'Node Details'!$B:$U,D$1,0),"Check"),"")</f>
        <v>AXW</v>
      </c>
      <c r="E675" s="74" t="str">
        <f>IF($B675&lt;&gt;"",_xlfn.IFNA(VLOOKUP($B675,'Node Details'!$B:$U,E$1,0),"Check"),"")</f>
        <v>Airtel</v>
      </c>
      <c r="F675" s="76">
        <v>46114</v>
      </c>
      <c r="G675" s="74"/>
      <c r="H675" s="10" t="s">
        <v>1248</v>
      </c>
      <c r="I675" s="9">
        <v>1</v>
      </c>
      <c r="J675" s="9">
        <v>950</v>
      </c>
      <c r="K675" s="77">
        <f t="shared" si="69"/>
        <v>950</v>
      </c>
      <c r="L675" s="76">
        <v>46112</v>
      </c>
      <c r="N675" s="83"/>
      <c r="O675" s="84"/>
      <c r="P675" s="81"/>
      <c r="Q675" s="81"/>
      <c r="R675" s="81"/>
      <c r="S675" s="81"/>
      <c r="T675" s="85"/>
      <c r="U675" s="81"/>
      <c r="V675" s="81"/>
      <c r="W675" s="123">
        <f t="shared" si="70"/>
        <v>0</v>
      </c>
      <c r="X675" s="123" t="s">
        <v>84</v>
      </c>
      <c r="Y675" s="114" t="s">
        <v>93</v>
      </c>
    </row>
    <row r="676" spans="1:25" s="24" customFormat="1" ht="11.1" customHeight="1">
      <c r="A676" s="74">
        <f t="shared" si="68"/>
        <v>674</v>
      </c>
      <c r="B676" s="75" t="s">
        <v>1110</v>
      </c>
      <c r="C676" s="74" t="str">
        <f>IF($B676&lt;&gt;"",_xlfn.IFNA(VLOOKUP($B676,'Node Details'!$B:$U,C$1,0),"Check"),"")</f>
        <v>0000AXW18-AXW180105</v>
      </c>
      <c r="D676" s="74" t="str">
        <f>IF($B676&lt;&gt;"",_xlfn.IFNA(VLOOKUP($B676,'Node Details'!$B:$U,D$1,0),"Check"),"")</f>
        <v>AXW</v>
      </c>
      <c r="E676" s="74" t="str">
        <f>IF($B676&lt;&gt;"",_xlfn.IFNA(VLOOKUP($B676,'Node Details'!$B:$U,E$1,0),"Check"),"")</f>
        <v>Airtel</v>
      </c>
      <c r="F676" s="76">
        <v>46114</v>
      </c>
      <c r="G676" s="74"/>
      <c r="H676" s="10" t="s">
        <v>1248</v>
      </c>
      <c r="I676" s="9">
        <v>1</v>
      </c>
      <c r="J676" s="9">
        <v>950</v>
      </c>
      <c r="K676" s="77">
        <f t="shared" si="69"/>
        <v>950</v>
      </c>
      <c r="L676" s="76">
        <v>46112</v>
      </c>
      <c r="N676" s="83"/>
      <c r="O676" s="84"/>
      <c r="P676" s="81"/>
      <c r="Q676" s="81"/>
      <c r="R676" s="81"/>
      <c r="S676" s="81"/>
      <c r="T676" s="85"/>
      <c r="U676" s="81"/>
      <c r="V676" s="81"/>
      <c r="W676" s="123">
        <f t="shared" si="70"/>
        <v>0</v>
      </c>
      <c r="X676" s="123" t="s">
        <v>84</v>
      </c>
      <c r="Y676" s="114" t="s">
        <v>93</v>
      </c>
    </row>
    <row r="677" spans="1:25" s="24" customFormat="1" ht="11.1" customHeight="1">
      <c r="A677" s="74">
        <f t="shared" si="68"/>
        <v>675</v>
      </c>
      <c r="B677" s="75" t="s">
        <v>537</v>
      </c>
      <c r="C677" s="74" t="str">
        <f>IF($B677&lt;&gt;"",_xlfn.IFNA(VLOOKUP($B677,'Node Details'!$B:$U,C$1,0),"Check"),"")</f>
        <v>0000AXW18-AXW180105</v>
      </c>
      <c r="D677" s="74" t="str">
        <f>IF($B677&lt;&gt;"",_xlfn.IFNA(VLOOKUP($B677,'Node Details'!$B:$U,D$1,0),"Check"),"")</f>
        <v>AXW</v>
      </c>
      <c r="E677" s="74" t="str">
        <f>IF($B677&lt;&gt;"",_xlfn.IFNA(VLOOKUP($B677,'Node Details'!$B:$U,E$1,0),"Check"),"")</f>
        <v>Airtel</v>
      </c>
      <c r="F677" s="76">
        <v>46114</v>
      </c>
      <c r="G677" s="74"/>
      <c r="H677" s="10" t="s">
        <v>1248</v>
      </c>
      <c r="I677" s="9">
        <v>1</v>
      </c>
      <c r="J677" s="9">
        <v>950</v>
      </c>
      <c r="K677" s="77">
        <f t="shared" si="69"/>
        <v>950</v>
      </c>
      <c r="L677" s="76">
        <v>46112</v>
      </c>
      <c r="N677" s="83"/>
      <c r="O677" s="84"/>
      <c r="P677" s="81"/>
      <c r="Q677" s="81"/>
      <c r="R677" s="81"/>
      <c r="S677" s="81"/>
      <c r="T677" s="85"/>
      <c r="U677" s="81"/>
      <c r="V677" s="81"/>
      <c r="W677" s="123">
        <f t="shared" si="70"/>
        <v>0</v>
      </c>
      <c r="X677" s="123" t="s">
        <v>84</v>
      </c>
      <c r="Y677" s="114" t="s">
        <v>93</v>
      </c>
    </row>
    <row r="678" spans="1:25" s="24" customFormat="1" ht="11.1" customHeight="1">
      <c r="A678" s="74">
        <f t="shared" si="68"/>
        <v>676</v>
      </c>
      <c r="B678" s="75" t="s">
        <v>540</v>
      </c>
      <c r="C678" s="74" t="str">
        <f>IF($B678&lt;&gt;"",_xlfn.IFNA(VLOOKUP($B678,'Node Details'!$B:$U,C$1,0),"Check"),"")</f>
        <v>0000AXW18-AXW180106</v>
      </c>
      <c r="D678" s="74" t="str">
        <f>IF($B678&lt;&gt;"",_xlfn.IFNA(VLOOKUP($B678,'Node Details'!$B:$U,D$1,0),"Check"),"")</f>
        <v>AXW</v>
      </c>
      <c r="E678" s="74" t="str">
        <f>IF($B678&lt;&gt;"",_xlfn.IFNA(VLOOKUP($B678,'Node Details'!$B:$U,E$1,0),"Check"),"")</f>
        <v>Airtel</v>
      </c>
      <c r="F678" s="76">
        <v>46114</v>
      </c>
      <c r="G678" s="74"/>
      <c r="H678" s="10" t="s">
        <v>1248</v>
      </c>
      <c r="I678" s="9">
        <v>1</v>
      </c>
      <c r="J678" s="9">
        <v>950</v>
      </c>
      <c r="K678" s="77">
        <f t="shared" si="69"/>
        <v>950</v>
      </c>
      <c r="L678" s="76">
        <v>46112</v>
      </c>
      <c r="N678" s="83"/>
      <c r="O678" s="84"/>
      <c r="P678" s="81"/>
      <c r="Q678" s="81"/>
      <c r="R678" s="81"/>
      <c r="S678" s="81"/>
      <c r="T678" s="85"/>
      <c r="U678" s="81"/>
      <c r="V678" s="81"/>
      <c r="W678" s="123">
        <f t="shared" si="70"/>
        <v>0</v>
      </c>
      <c r="X678" s="123" t="s">
        <v>84</v>
      </c>
      <c r="Y678" s="114" t="s">
        <v>93</v>
      </c>
    </row>
    <row r="679" spans="1:25" s="24" customFormat="1" ht="11.1" customHeight="1">
      <c r="A679" s="74">
        <f t="shared" si="68"/>
        <v>677</v>
      </c>
      <c r="B679" s="75" t="s">
        <v>1111</v>
      </c>
      <c r="C679" s="74" t="str">
        <f>IF($B679&lt;&gt;"",_xlfn.IFNA(VLOOKUP($B679,'Node Details'!$B:$U,C$1,0),"Check"),"")</f>
        <v>AXW180106-AXW180108</v>
      </c>
      <c r="D679" s="74" t="str">
        <f>IF($B679&lt;&gt;"",_xlfn.IFNA(VLOOKUP($B679,'Node Details'!$B:$U,D$1,0),"Check"),"")</f>
        <v>AXW</v>
      </c>
      <c r="E679" s="74" t="str">
        <f>IF($B679&lt;&gt;"",_xlfn.IFNA(VLOOKUP($B679,'Node Details'!$B:$U,E$1,0),"Check"),"")</f>
        <v>Airtel</v>
      </c>
      <c r="F679" s="76">
        <v>46114</v>
      </c>
      <c r="G679" s="74"/>
      <c r="H679" s="10" t="s">
        <v>1248</v>
      </c>
      <c r="I679" s="9">
        <v>1</v>
      </c>
      <c r="J679" s="9">
        <v>950</v>
      </c>
      <c r="K679" s="77">
        <f t="shared" si="69"/>
        <v>950</v>
      </c>
      <c r="L679" s="76">
        <v>46112</v>
      </c>
      <c r="N679" s="83"/>
      <c r="O679" s="84"/>
      <c r="P679" s="81"/>
      <c r="Q679" s="81"/>
      <c r="R679" s="81"/>
      <c r="S679" s="81"/>
      <c r="T679" s="85"/>
      <c r="U679" s="81"/>
      <c r="V679" s="81"/>
      <c r="W679" s="123">
        <f t="shared" si="70"/>
        <v>0</v>
      </c>
      <c r="X679" s="123" t="s">
        <v>84</v>
      </c>
      <c r="Y679" s="114" t="s">
        <v>93</v>
      </c>
    </row>
    <row r="680" spans="1:25" s="24" customFormat="1" ht="11.1" customHeight="1">
      <c r="A680" s="74">
        <f t="shared" si="68"/>
        <v>678</v>
      </c>
      <c r="B680" s="75" t="s">
        <v>543</v>
      </c>
      <c r="C680" s="74" t="str">
        <f>IF($B680&lt;&gt;"",_xlfn.IFNA(VLOOKUP($B680,'Node Details'!$B:$U,C$1,0),"Check"),"")</f>
        <v>AXW180106-AXW180108</v>
      </c>
      <c r="D680" s="74" t="str">
        <f>IF($B680&lt;&gt;"",_xlfn.IFNA(VLOOKUP($B680,'Node Details'!$B:$U,D$1,0),"Check"),"")</f>
        <v>AXW</v>
      </c>
      <c r="E680" s="74" t="str">
        <f>IF($B680&lt;&gt;"",_xlfn.IFNA(VLOOKUP($B680,'Node Details'!$B:$U,E$1,0),"Check"),"")</f>
        <v>Airtel</v>
      </c>
      <c r="F680" s="76">
        <v>46114</v>
      </c>
      <c r="G680" s="74"/>
      <c r="H680" s="10" t="s">
        <v>1248</v>
      </c>
      <c r="I680" s="9">
        <v>1</v>
      </c>
      <c r="J680" s="9">
        <v>950</v>
      </c>
      <c r="K680" s="77">
        <f t="shared" si="69"/>
        <v>950</v>
      </c>
      <c r="L680" s="76">
        <v>46112</v>
      </c>
      <c r="N680" s="83"/>
      <c r="O680" s="84"/>
      <c r="P680" s="81"/>
      <c r="Q680" s="81"/>
      <c r="R680" s="81"/>
      <c r="S680" s="81"/>
      <c r="T680" s="85"/>
      <c r="U680" s="81"/>
      <c r="V680" s="81"/>
      <c r="W680" s="123">
        <f t="shared" si="70"/>
        <v>0</v>
      </c>
      <c r="X680" s="123" t="s">
        <v>84</v>
      </c>
      <c r="Y680" s="114" t="s">
        <v>93</v>
      </c>
    </row>
    <row r="681" spans="1:25" s="24" customFormat="1" ht="11.1" customHeight="1">
      <c r="A681" s="74">
        <f t="shared" si="68"/>
        <v>679</v>
      </c>
      <c r="B681" s="75" t="s">
        <v>546</v>
      </c>
      <c r="C681" s="74" t="str">
        <f>IF($B681&lt;&gt;"",_xlfn.IFNA(VLOOKUP($B681,'Node Details'!$B:$U,C$1,0),"Check"),"")</f>
        <v>0000AXW19-AXW190101</v>
      </c>
      <c r="D681" s="74" t="str">
        <f>IF($B681&lt;&gt;"",_xlfn.IFNA(VLOOKUP($B681,'Node Details'!$B:$U,D$1,0),"Check"),"")</f>
        <v>AXW</v>
      </c>
      <c r="E681" s="74" t="str">
        <f>IF($B681&lt;&gt;"",_xlfn.IFNA(VLOOKUP($B681,'Node Details'!$B:$U,E$1,0),"Check"),"")</f>
        <v>Airtel</v>
      </c>
      <c r="F681" s="76">
        <v>46114</v>
      </c>
      <c r="G681" s="74"/>
      <c r="H681" s="10" t="s">
        <v>1248</v>
      </c>
      <c r="I681" s="9">
        <v>1</v>
      </c>
      <c r="J681" s="9">
        <v>950</v>
      </c>
      <c r="K681" s="77">
        <f t="shared" si="69"/>
        <v>950</v>
      </c>
      <c r="L681" s="76">
        <v>46112</v>
      </c>
      <c r="N681" s="83"/>
      <c r="O681" s="84"/>
      <c r="P681" s="81"/>
      <c r="Q681" s="81"/>
      <c r="R681" s="81"/>
      <c r="S681" s="81"/>
      <c r="T681" s="85"/>
      <c r="U681" s="81"/>
      <c r="V681" s="81"/>
      <c r="W681" s="123">
        <f t="shared" si="70"/>
        <v>0</v>
      </c>
      <c r="X681" s="123" t="s">
        <v>84</v>
      </c>
      <c r="Y681" s="114" t="s">
        <v>93</v>
      </c>
    </row>
    <row r="682" spans="1:25" s="24" customFormat="1" ht="11.1" customHeight="1">
      <c r="A682" s="74">
        <f t="shared" si="68"/>
        <v>680</v>
      </c>
      <c r="B682" s="75" t="s">
        <v>1112</v>
      </c>
      <c r="C682" s="74" t="str">
        <f>IF($B682&lt;&gt;"",_xlfn.IFNA(VLOOKUP($B682,'Node Details'!$B:$U,C$1,0),"Check"),"")</f>
        <v>0000AXW19-AXW190104</v>
      </c>
      <c r="D682" s="74" t="str">
        <f>IF($B682&lt;&gt;"",_xlfn.IFNA(VLOOKUP($B682,'Node Details'!$B:$U,D$1,0),"Check"),"")</f>
        <v>AXW</v>
      </c>
      <c r="E682" s="74" t="str">
        <f>IF($B682&lt;&gt;"",_xlfn.IFNA(VLOOKUP($B682,'Node Details'!$B:$U,E$1,0),"Check"),"")</f>
        <v>Airtel</v>
      </c>
      <c r="F682" s="76">
        <v>46114</v>
      </c>
      <c r="G682" s="74"/>
      <c r="H682" s="10" t="s">
        <v>1248</v>
      </c>
      <c r="I682" s="9">
        <v>1</v>
      </c>
      <c r="J682" s="9">
        <v>950</v>
      </c>
      <c r="K682" s="77">
        <f t="shared" si="69"/>
        <v>950</v>
      </c>
      <c r="L682" s="76">
        <v>46112</v>
      </c>
      <c r="N682" s="83"/>
      <c r="O682" s="84"/>
      <c r="P682" s="81"/>
      <c r="Q682" s="81"/>
      <c r="R682" s="81"/>
      <c r="S682" s="81"/>
      <c r="T682" s="85"/>
      <c r="U682" s="81"/>
      <c r="V682" s="81"/>
      <c r="W682" s="123">
        <f t="shared" si="70"/>
        <v>0</v>
      </c>
      <c r="X682" s="123" t="s">
        <v>84</v>
      </c>
      <c r="Y682" s="114" t="s">
        <v>93</v>
      </c>
    </row>
    <row r="683" spans="1:25" s="24" customFormat="1" ht="11.1" customHeight="1">
      <c r="A683" s="74">
        <f t="shared" si="68"/>
        <v>681</v>
      </c>
      <c r="B683" s="75" t="s">
        <v>1113</v>
      </c>
      <c r="C683" s="74" t="str">
        <f>IF($B683&lt;&gt;"",_xlfn.IFNA(VLOOKUP($B683,'Node Details'!$B:$U,C$1,0),"Check"),"")</f>
        <v>0000AXW19-AXW190104</v>
      </c>
      <c r="D683" s="74" t="str">
        <f>IF($B683&lt;&gt;"",_xlfn.IFNA(VLOOKUP($B683,'Node Details'!$B:$U,D$1,0),"Check"),"")</f>
        <v>AXW</v>
      </c>
      <c r="E683" s="74" t="str">
        <f>IF($B683&lt;&gt;"",_xlfn.IFNA(VLOOKUP($B683,'Node Details'!$B:$U,E$1,0),"Check"),"")</f>
        <v>Airtel</v>
      </c>
      <c r="F683" s="76">
        <v>46114</v>
      </c>
      <c r="G683" s="74"/>
      <c r="H683" s="10" t="s">
        <v>1248</v>
      </c>
      <c r="I683" s="9">
        <v>1</v>
      </c>
      <c r="J683" s="9">
        <v>950</v>
      </c>
      <c r="K683" s="77">
        <f t="shared" si="69"/>
        <v>950</v>
      </c>
      <c r="L683" s="76">
        <v>46112</v>
      </c>
      <c r="N683" s="83"/>
      <c r="O683" s="84"/>
      <c r="P683" s="81"/>
      <c r="Q683" s="81"/>
      <c r="R683" s="81"/>
      <c r="S683" s="81"/>
      <c r="T683" s="85"/>
      <c r="U683" s="81"/>
      <c r="V683" s="81"/>
      <c r="W683" s="123">
        <f t="shared" si="70"/>
        <v>0</v>
      </c>
      <c r="X683" s="123" t="s">
        <v>84</v>
      </c>
      <c r="Y683" s="114" t="s">
        <v>93</v>
      </c>
    </row>
    <row r="684" spans="1:25" s="24" customFormat="1" ht="11.1" customHeight="1">
      <c r="A684" s="74">
        <f t="shared" si="68"/>
        <v>682</v>
      </c>
      <c r="B684" s="75" t="s">
        <v>549</v>
      </c>
      <c r="C684" s="74" t="str">
        <f>IF($B684&lt;&gt;"",_xlfn.IFNA(VLOOKUP($B684,'Node Details'!$B:$U,C$1,0),"Check"),"")</f>
        <v>0000AXW19-AXW190104</v>
      </c>
      <c r="D684" s="74" t="str">
        <f>IF($B684&lt;&gt;"",_xlfn.IFNA(VLOOKUP($B684,'Node Details'!$B:$U,D$1,0),"Check"),"")</f>
        <v>AXW</v>
      </c>
      <c r="E684" s="74" t="str">
        <f>IF($B684&lt;&gt;"",_xlfn.IFNA(VLOOKUP($B684,'Node Details'!$B:$U,E$1,0),"Check"),"")</f>
        <v>Airtel</v>
      </c>
      <c r="F684" s="76">
        <v>46114</v>
      </c>
      <c r="G684" s="74"/>
      <c r="H684" s="10" t="s">
        <v>1248</v>
      </c>
      <c r="I684" s="9">
        <v>1</v>
      </c>
      <c r="J684" s="9">
        <v>950</v>
      </c>
      <c r="K684" s="77">
        <f t="shared" si="69"/>
        <v>950</v>
      </c>
      <c r="L684" s="76">
        <v>46112</v>
      </c>
      <c r="N684" s="83"/>
      <c r="O684" s="84"/>
      <c r="P684" s="81"/>
      <c r="Q684" s="81"/>
      <c r="R684" s="81"/>
      <c r="S684" s="81"/>
      <c r="T684" s="85"/>
      <c r="U684" s="81"/>
      <c r="V684" s="81"/>
      <c r="W684" s="123">
        <f t="shared" si="70"/>
        <v>0</v>
      </c>
      <c r="X684" s="123" t="s">
        <v>84</v>
      </c>
      <c r="Y684" s="114" t="s">
        <v>93</v>
      </c>
    </row>
    <row r="685" spans="1:25" s="24" customFormat="1" ht="11.1" customHeight="1">
      <c r="A685" s="74">
        <f t="shared" si="68"/>
        <v>683</v>
      </c>
      <c r="B685" s="75" t="s">
        <v>1114</v>
      </c>
      <c r="C685" s="74" t="str">
        <f>IF($B685&lt;&gt;"",_xlfn.IFNA(VLOOKUP($B685,'Node Details'!$B:$U,C$1,0),"Check"),"")</f>
        <v>0000AXW19-AXW190108</v>
      </c>
      <c r="D685" s="74" t="str">
        <f>IF($B685&lt;&gt;"",_xlfn.IFNA(VLOOKUP($B685,'Node Details'!$B:$U,D$1,0),"Check"),"")</f>
        <v>AXW</v>
      </c>
      <c r="E685" s="74" t="str">
        <f>IF($B685&lt;&gt;"",_xlfn.IFNA(VLOOKUP($B685,'Node Details'!$B:$U,E$1,0),"Check"),"")</f>
        <v>Airtel</v>
      </c>
      <c r="F685" s="76">
        <v>46114</v>
      </c>
      <c r="G685" s="74"/>
      <c r="H685" s="10" t="s">
        <v>1248</v>
      </c>
      <c r="I685" s="9">
        <v>1</v>
      </c>
      <c r="J685" s="9">
        <v>950</v>
      </c>
      <c r="K685" s="77">
        <f t="shared" si="69"/>
        <v>950</v>
      </c>
      <c r="L685" s="76">
        <v>46112</v>
      </c>
      <c r="N685" s="83"/>
      <c r="O685" s="84"/>
      <c r="P685" s="81"/>
      <c r="Q685" s="81"/>
      <c r="R685" s="81"/>
      <c r="S685" s="81"/>
      <c r="T685" s="85"/>
      <c r="U685" s="81"/>
      <c r="V685" s="81"/>
      <c r="W685" s="123">
        <f t="shared" si="70"/>
        <v>0</v>
      </c>
      <c r="X685" s="123" t="s">
        <v>84</v>
      </c>
      <c r="Y685" s="114" t="s">
        <v>93</v>
      </c>
    </row>
    <row r="686" spans="1:25" s="24" customFormat="1" ht="11.1" customHeight="1">
      <c r="A686" s="74">
        <f t="shared" si="68"/>
        <v>684</v>
      </c>
      <c r="B686" s="75" t="s">
        <v>1115</v>
      </c>
      <c r="C686" s="74" t="str">
        <f>IF($B686&lt;&gt;"",_xlfn.IFNA(VLOOKUP($B686,'Node Details'!$B:$U,C$1,0),"Check"),"")</f>
        <v>0000AXW19-AXW190108</v>
      </c>
      <c r="D686" s="74" t="str">
        <f>IF($B686&lt;&gt;"",_xlfn.IFNA(VLOOKUP($B686,'Node Details'!$B:$U,D$1,0),"Check"),"")</f>
        <v>AXW</v>
      </c>
      <c r="E686" s="74" t="str">
        <f>IF($B686&lt;&gt;"",_xlfn.IFNA(VLOOKUP($B686,'Node Details'!$B:$U,E$1,0),"Check"),"")</f>
        <v>Airtel</v>
      </c>
      <c r="F686" s="76">
        <v>46114</v>
      </c>
      <c r="G686" s="74"/>
      <c r="H686" s="10" t="s">
        <v>1248</v>
      </c>
      <c r="I686" s="9">
        <v>1</v>
      </c>
      <c r="J686" s="9">
        <v>950</v>
      </c>
      <c r="K686" s="77">
        <f t="shared" si="69"/>
        <v>950</v>
      </c>
      <c r="L686" s="76">
        <v>46112</v>
      </c>
      <c r="N686" s="83"/>
      <c r="O686" s="84"/>
      <c r="P686" s="81"/>
      <c r="Q686" s="81"/>
      <c r="R686" s="81"/>
      <c r="S686" s="81"/>
      <c r="T686" s="85"/>
      <c r="U686" s="81"/>
      <c r="V686" s="81"/>
      <c r="W686" s="123">
        <f t="shared" si="70"/>
        <v>0</v>
      </c>
      <c r="X686" s="123" t="s">
        <v>84</v>
      </c>
      <c r="Y686" s="114" t="s">
        <v>93</v>
      </c>
    </row>
    <row r="687" spans="1:25" s="24" customFormat="1" ht="11.1" customHeight="1">
      <c r="A687" s="74">
        <f t="shared" si="68"/>
        <v>685</v>
      </c>
      <c r="B687" s="75" t="s">
        <v>1116</v>
      </c>
      <c r="C687" s="74" t="str">
        <f>IF($B687&lt;&gt;"",_xlfn.IFNA(VLOOKUP($B687,'Node Details'!$B:$U,C$1,0),"Check"),"")</f>
        <v>0000AXW19-AXW190108</v>
      </c>
      <c r="D687" s="74" t="str">
        <f>IF($B687&lt;&gt;"",_xlfn.IFNA(VLOOKUP($B687,'Node Details'!$B:$U,D$1,0),"Check"),"")</f>
        <v>AXW</v>
      </c>
      <c r="E687" s="74" t="str">
        <f>IF($B687&lt;&gt;"",_xlfn.IFNA(VLOOKUP($B687,'Node Details'!$B:$U,E$1,0),"Check"),"")</f>
        <v>Airtel</v>
      </c>
      <c r="F687" s="76">
        <v>46114</v>
      </c>
      <c r="G687" s="74"/>
      <c r="H687" s="10" t="s">
        <v>1248</v>
      </c>
      <c r="I687" s="9">
        <v>1</v>
      </c>
      <c r="J687" s="9">
        <v>950</v>
      </c>
      <c r="K687" s="77">
        <f t="shared" si="69"/>
        <v>950</v>
      </c>
      <c r="L687" s="76">
        <v>46112</v>
      </c>
      <c r="N687" s="83"/>
      <c r="O687" s="84"/>
      <c r="P687" s="81"/>
      <c r="Q687" s="81"/>
      <c r="R687" s="81"/>
      <c r="S687" s="81"/>
      <c r="T687" s="85"/>
      <c r="U687" s="81"/>
      <c r="V687" s="81"/>
      <c r="W687" s="123">
        <f t="shared" si="70"/>
        <v>0</v>
      </c>
      <c r="X687" s="123" t="s">
        <v>84</v>
      </c>
      <c r="Y687" s="114" t="s">
        <v>93</v>
      </c>
    </row>
    <row r="688" spans="1:25" s="24" customFormat="1" ht="11.1" customHeight="1">
      <c r="A688" s="74">
        <f t="shared" si="68"/>
        <v>686</v>
      </c>
      <c r="B688" s="75" t="s">
        <v>552</v>
      </c>
      <c r="C688" s="74" t="str">
        <f>IF($B688&lt;&gt;"",_xlfn.IFNA(VLOOKUP($B688,'Node Details'!$B:$U,C$1,0),"Check"),"")</f>
        <v>0000AXW19-AXW190108</v>
      </c>
      <c r="D688" s="74" t="str">
        <f>IF($B688&lt;&gt;"",_xlfn.IFNA(VLOOKUP($B688,'Node Details'!$B:$U,D$1,0),"Check"),"")</f>
        <v>AXW</v>
      </c>
      <c r="E688" s="74" t="str">
        <f>IF($B688&lt;&gt;"",_xlfn.IFNA(VLOOKUP($B688,'Node Details'!$B:$U,E$1,0),"Check"),"")</f>
        <v>Airtel</v>
      </c>
      <c r="F688" s="76">
        <v>46114</v>
      </c>
      <c r="G688" s="74"/>
      <c r="H688" s="10" t="s">
        <v>1248</v>
      </c>
      <c r="I688" s="9">
        <v>1</v>
      </c>
      <c r="J688" s="9">
        <v>950</v>
      </c>
      <c r="K688" s="77">
        <f t="shared" si="69"/>
        <v>950</v>
      </c>
      <c r="L688" s="76">
        <v>46112</v>
      </c>
      <c r="N688" s="83"/>
      <c r="O688" s="84"/>
      <c r="P688" s="81"/>
      <c r="Q688" s="81"/>
      <c r="R688" s="81"/>
      <c r="S688" s="81"/>
      <c r="T688" s="85"/>
      <c r="U688" s="81"/>
      <c r="V688" s="81"/>
      <c r="W688" s="123">
        <f t="shared" si="70"/>
        <v>0</v>
      </c>
      <c r="X688" s="123" t="s">
        <v>84</v>
      </c>
      <c r="Y688" s="114" t="s">
        <v>93</v>
      </c>
    </row>
    <row r="689" spans="1:25" s="24" customFormat="1" ht="11.1" customHeight="1">
      <c r="A689" s="74">
        <f t="shared" si="68"/>
        <v>687</v>
      </c>
      <c r="B689" s="75" t="s">
        <v>555</v>
      </c>
      <c r="C689" s="74" t="str">
        <f>IF($B689&lt;&gt;"",_xlfn.IFNA(VLOOKUP($B689,'Node Details'!$B:$U,C$1,0),"Check"),"")</f>
        <v>0000AXW20-AXW200101</v>
      </c>
      <c r="D689" s="74" t="str">
        <f>IF($B689&lt;&gt;"",_xlfn.IFNA(VLOOKUP($B689,'Node Details'!$B:$U,D$1,0),"Check"),"")</f>
        <v>AXW</v>
      </c>
      <c r="E689" s="74" t="str">
        <f>IF($B689&lt;&gt;"",_xlfn.IFNA(VLOOKUP($B689,'Node Details'!$B:$U,E$1,0),"Check"),"")</f>
        <v>Airtel</v>
      </c>
      <c r="F689" s="76">
        <v>46114</v>
      </c>
      <c r="G689" s="74"/>
      <c r="H689" s="10" t="s">
        <v>1248</v>
      </c>
      <c r="I689" s="9">
        <v>1</v>
      </c>
      <c r="J689" s="9">
        <v>950</v>
      </c>
      <c r="K689" s="77">
        <f t="shared" si="69"/>
        <v>950</v>
      </c>
      <c r="L689" s="76">
        <v>46112</v>
      </c>
      <c r="N689" s="83"/>
      <c r="O689" s="84"/>
      <c r="P689" s="81"/>
      <c r="Q689" s="81"/>
      <c r="R689" s="81"/>
      <c r="S689" s="81"/>
      <c r="T689" s="85"/>
      <c r="U689" s="81"/>
      <c r="V689" s="81"/>
      <c r="W689" s="123">
        <f t="shared" si="70"/>
        <v>0</v>
      </c>
      <c r="X689" s="123" t="s">
        <v>84</v>
      </c>
      <c r="Y689" s="114" t="s">
        <v>93</v>
      </c>
    </row>
    <row r="690" spans="1:25" s="24" customFormat="1" ht="11.1" customHeight="1">
      <c r="A690" s="74">
        <f t="shared" si="68"/>
        <v>688</v>
      </c>
      <c r="B690" s="75" t="s">
        <v>1117</v>
      </c>
      <c r="C690" s="74" t="str">
        <f>IF($B690&lt;&gt;"",_xlfn.IFNA(VLOOKUP($B690,'Node Details'!$B:$U,C$1,0),"Check"),"")</f>
        <v>0000AXW20-AXW200107</v>
      </c>
      <c r="D690" s="74" t="str">
        <f>IF($B690&lt;&gt;"",_xlfn.IFNA(VLOOKUP($B690,'Node Details'!$B:$U,D$1,0),"Check"),"")</f>
        <v>AXW</v>
      </c>
      <c r="E690" s="74" t="str">
        <f>IF($B690&lt;&gt;"",_xlfn.IFNA(VLOOKUP($B690,'Node Details'!$B:$U,E$1,0),"Check"),"")</f>
        <v>Airtel</v>
      </c>
      <c r="F690" s="76">
        <v>46114</v>
      </c>
      <c r="G690" s="74"/>
      <c r="H690" s="10" t="s">
        <v>1248</v>
      </c>
      <c r="I690" s="9">
        <v>1</v>
      </c>
      <c r="J690" s="9">
        <v>950</v>
      </c>
      <c r="K690" s="77">
        <f t="shared" si="69"/>
        <v>950</v>
      </c>
      <c r="L690" s="76">
        <v>46112</v>
      </c>
      <c r="N690" s="83"/>
      <c r="O690" s="84"/>
      <c r="P690" s="81"/>
      <c r="Q690" s="81"/>
      <c r="R690" s="81"/>
      <c r="S690" s="81"/>
      <c r="T690" s="85"/>
      <c r="U690" s="81"/>
      <c r="V690" s="81"/>
      <c r="W690" s="123">
        <f t="shared" si="70"/>
        <v>0</v>
      </c>
      <c r="X690" s="123" t="s">
        <v>84</v>
      </c>
      <c r="Y690" s="114" t="s">
        <v>93</v>
      </c>
    </row>
    <row r="691" spans="1:25" s="24" customFormat="1" ht="11.1" customHeight="1">
      <c r="A691" s="74">
        <f t="shared" si="68"/>
        <v>689</v>
      </c>
      <c r="B691" s="75" t="s">
        <v>1118</v>
      </c>
      <c r="C691" s="74" t="str">
        <f>IF($B691&lt;&gt;"",_xlfn.IFNA(VLOOKUP($B691,'Node Details'!$B:$U,C$1,0),"Check"),"")</f>
        <v>0000AXW20-AXW200107</v>
      </c>
      <c r="D691" s="74" t="str">
        <f>IF($B691&lt;&gt;"",_xlfn.IFNA(VLOOKUP($B691,'Node Details'!$B:$U,D$1,0),"Check"),"")</f>
        <v>AXW</v>
      </c>
      <c r="E691" s="74" t="str">
        <f>IF($B691&lt;&gt;"",_xlfn.IFNA(VLOOKUP($B691,'Node Details'!$B:$U,E$1,0),"Check"),"")</f>
        <v>Airtel</v>
      </c>
      <c r="F691" s="76">
        <v>46114</v>
      </c>
      <c r="G691" s="74"/>
      <c r="H691" s="10" t="s">
        <v>1248</v>
      </c>
      <c r="I691" s="9">
        <v>1</v>
      </c>
      <c r="J691" s="9">
        <v>950</v>
      </c>
      <c r="K691" s="77">
        <f t="shared" si="69"/>
        <v>950</v>
      </c>
      <c r="L691" s="76">
        <v>46112</v>
      </c>
      <c r="N691" s="83"/>
      <c r="O691" s="84"/>
      <c r="P691" s="81"/>
      <c r="Q691" s="81"/>
      <c r="R691" s="81"/>
      <c r="S691" s="81"/>
      <c r="T691" s="85"/>
      <c r="U691" s="81"/>
      <c r="V691" s="81"/>
      <c r="W691" s="123">
        <f t="shared" si="70"/>
        <v>0</v>
      </c>
      <c r="X691" s="123" t="s">
        <v>84</v>
      </c>
      <c r="Y691" s="114" t="s">
        <v>93</v>
      </c>
    </row>
    <row r="692" spans="1:25" s="24" customFormat="1" ht="11.1" customHeight="1">
      <c r="A692" s="74">
        <f t="shared" si="68"/>
        <v>690</v>
      </c>
      <c r="B692" s="75" t="s">
        <v>561</v>
      </c>
      <c r="C692" s="74" t="str">
        <f>IF($B692&lt;&gt;"",_xlfn.IFNA(VLOOKUP($B692,'Node Details'!$B:$U,C$1,0),"Check"),"")</f>
        <v>0000AXW20-AXW200107</v>
      </c>
      <c r="D692" s="74" t="str">
        <f>IF($B692&lt;&gt;"",_xlfn.IFNA(VLOOKUP($B692,'Node Details'!$B:$U,D$1,0),"Check"),"")</f>
        <v>AXW</v>
      </c>
      <c r="E692" s="74" t="str">
        <f>IF($B692&lt;&gt;"",_xlfn.IFNA(VLOOKUP($B692,'Node Details'!$B:$U,E$1,0),"Check"),"")</f>
        <v>Airtel</v>
      </c>
      <c r="F692" s="76">
        <v>46114</v>
      </c>
      <c r="G692" s="74"/>
      <c r="H692" s="10" t="s">
        <v>1248</v>
      </c>
      <c r="I692" s="9">
        <v>1</v>
      </c>
      <c r="J692" s="9">
        <v>950</v>
      </c>
      <c r="K692" s="77">
        <f t="shared" si="69"/>
        <v>950</v>
      </c>
      <c r="L692" s="76">
        <v>46112</v>
      </c>
      <c r="N692" s="83"/>
      <c r="O692" s="84"/>
      <c r="P692" s="81"/>
      <c r="Q692" s="81"/>
      <c r="R692" s="81"/>
      <c r="S692" s="81"/>
      <c r="T692" s="85"/>
      <c r="U692" s="81"/>
      <c r="V692" s="81"/>
      <c r="W692" s="123">
        <f t="shared" si="70"/>
        <v>0</v>
      </c>
      <c r="X692" s="123" t="s">
        <v>84</v>
      </c>
      <c r="Y692" s="114" t="s">
        <v>93</v>
      </c>
    </row>
    <row r="693" spans="1:25" s="24" customFormat="1" ht="11.1" customHeight="1">
      <c r="A693" s="74">
        <f t="shared" si="68"/>
        <v>691</v>
      </c>
      <c r="B693" s="75" t="s">
        <v>1119</v>
      </c>
      <c r="C693" s="74" t="str">
        <f>IF($B693&lt;&gt;"",_xlfn.IFNA(VLOOKUP($B693,'Node Details'!$B:$U,C$1,0),"Check"),"")</f>
        <v>AXW200104-AXW200106</v>
      </c>
      <c r="D693" s="74" t="str">
        <f>IF($B693&lt;&gt;"",_xlfn.IFNA(VLOOKUP($B693,'Node Details'!$B:$U,D$1,0),"Check"),"")</f>
        <v>AXW</v>
      </c>
      <c r="E693" s="74" t="str">
        <f>IF($B693&lt;&gt;"",_xlfn.IFNA(VLOOKUP($B693,'Node Details'!$B:$U,E$1,0),"Check"),"")</f>
        <v>Airtel</v>
      </c>
      <c r="F693" s="76">
        <v>46114</v>
      </c>
      <c r="G693" s="74"/>
      <c r="H693" s="10" t="s">
        <v>1248</v>
      </c>
      <c r="I693" s="9">
        <v>1</v>
      </c>
      <c r="J693" s="9">
        <v>950</v>
      </c>
      <c r="K693" s="77">
        <f t="shared" si="69"/>
        <v>950</v>
      </c>
      <c r="L693" s="76">
        <v>46112</v>
      </c>
      <c r="N693" s="83"/>
      <c r="O693" s="84"/>
      <c r="P693" s="81"/>
      <c r="Q693" s="81"/>
      <c r="R693" s="81"/>
      <c r="S693" s="81"/>
      <c r="T693" s="85"/>
      <c r="U693" s="81"/>
      <c r="V693" s="81"/>
      <c r="W693" s="123">
        <f t="shared" si="70"/>
        <v>0</v>
      </c>
      <c r="X693" s="123" t="s">
        <v>84</v>
      </c>
      <c r="Y693" s="114" t="s">
        <v>93</v>
      </c>
    </row>
    <row r="694" spans="1:25" s="24" customFormat="1" ht="11.1" customHeight="1">
      <c r="A694" s="74">
        <f t="shared" si="68"/>
        <v>692</v>
      </c>
      <c r="B694" s="75" t="s">
        <v>562</v>
      </c>
      <c r="C694" s="74" t="str">
        <f>IF($B694&lt;&gt;"",_xlfn.IFNA(VLOOKUP($B694,'Node Details'!$B:$U,C$1,0),"Check"),"")</f>
        <v>AXW200104-AXW200106</v>
      </c>
      <c r="D694" s="74" t="str">
        <f>IF($B694&lt;&gt;"",_xlfn.IFNA(VLOOKUP($B694,'Node Details'!$B:$U,D$1,0),"Check"),"")</f>
        <v>AXW</v>
      </c>
      <c r="E694" s="74" t="str">
        <f>IF($B694&lt;&gt;"",_xlfn.IFNA(VLOOKUP($B694,'Node Details'!$B:$U,E$1,0),"Check"),"")</f>
        <v>Airtel</v>
      </c>
      <c r="F694" s="76">
        <v>46114</v>
      </c>
      <c r="G694" s="74"/>
      <c r="H694" s="10" t="s">
        <v>1248</v>
      </c>
      <c r="I694" s="9">
        <v>1</v>
      </c>
      <c r="J694" s="9">
        <v>950</v>
      </c>
      <c r="K694" s="77">
        <f t="shared" si="69"/>
        <v>950</v>
      </c>
      <c r="L694" s="76">
        <v>46112</v>
      </c>
      <c r="N694" s="83"/>
      <c r="O694" s="84"/>
      <c r="P694" s="81"/>
      <c r="Q694" s="81"/>
      <c r="R694" s="81"/>
      <c r="S694" s="81"/>
      <c r="T694" s="85"/>
      <c r="U694" s="81"/>
      <c r="V694" s="81"/>
      <c r="W694" s="123">
        <f t="shared" si="70"/>
        <v>0</v>
      </c>
      <c r="X694" s="123" t="s">
        <v>84</v>
      </c>
      <c r="Y694" s="114" t="s">
        <v>93</v>
      </c>
    </row>
    <row r="695" spans="1:25" s="24" customFormat="1" ht="11.1" customHeight="1">
      <c r="A695" s="74">
        <f t="shared" si="68"/>
        <v>693</v>
      </c>
      <c r="B695" s="75" t="s">
        <v>558</v>
      </c>
      <c r="C695" s="74" t="str">
        <f>IF($B695&lt;&gt;"",_xlfn.IFNA(VLOOKUP($B695,'Node Details'!$B:$U,C$1,0),"Check"),"")</f>
        <v>0000AXW20-AXW200107</v>
      </c>
      <c r="D695" s="74" t="str">
        <f>IF($B695&lt;&gt;"",_xlfn.IFNA(VLOOKUP($B695,'Node Details'!$B:$U,D$1,0),"Check"),"")</f>
        <v>AXW</v>
      </c>
      <c r="E695" s="74" t="str">
        <f>IF($B695&lt;&gt;"",_xlfn.IFNA(VLOOKUP($B695,'Node Details'!$B:$U,E$1,0),"Check"),"")</f>
        <v>Airtel</v>
      </c>
      <c r="F695" s="76">
        <v>46114</v>
      </c>
      <c r="G695" s="74"/>
      <c r="H695" s="10" t="s">
        <v>1248</v>
      </c>
      <c r="I695" s="9">
        <v>1</v>
      </c>
      <c r="J695" s="9">
        <v>950</v>
      </c>
      <c r="K695" s="77">
        <f t="shared" si="69"/>
        <v>950</v>
      </c>
      <c r="L695" s="76">
        <v>46112</v>
      </c>
      <c r="N695" s="83"/>
      <c r="O695" s="84"/>
      <c r="P695" s="81"/>
      <c r="Q695" s="81"/>
      <c r="R695" s="81"/>
      <c r="S695" s="81"/>
      <c r="T695" s="85"/>
      <c r="U695" s="81"/>
      <c r="V695" s="81"/>
      <c r="W695" s="123">
        <f t="shared" si="70"/>
        <v>0</v>
      </c>
      <c r="X695" s="123" t="s">
        <v>84</v>
      </c>
      <c r="Y695" s="114" t="s">
        <v>93</v>
      </c>
    </row>
    <row r="696" spans="1:25" s="24" customFormat="1" ht="11.1" customHeight="1">
      <c r="A696" s="74">
        <f t="shared" si="68"/>
        <v>694</v>
      </c>
      <c r="B696" s="75" t="s">
        <v>1120</v>
      </c>
      <c r="C696" s="74" t="str">
        <f>IF($B696&lt;&gt;"",_xlfn.IFNA(VLOOKUP($B696,'Node Details'!$B:$U,C$1,0),"Check"),"")</f>
        <v>AXW200107-AXW200201</v>
      </c>
      <c r="D696" s="74" t="str">
        <f>IF($B696&lt;&gt;"",_xlfn.IFNA(VLOOKUP($B696,'Node Details'!$B:$U,D$1,0),"Check"),"")</f>
        <v>AXW</v>
      </c>
      <c r="E696" s="74" t="str">
        <f>IF($B696&lt;&gt;"",_xlfn.IFNA(VLOOKUP($B696,'Node Details'!$B:$U,E$1,0),"Check"),"")</f>
        <v>Airtel</v>
      </c>
      <c r="F696" s="76">
        <v>46114</v>
      </c>
      <c r="G696" s="74"/>
      <c r="H696" s="10" t="s">
        <v>1248</v>
      </c>
      <c r="I696" s="9">
        <v>1</v>
      </c>
      <c r="J696" s="9">
        <v>950</v>
      </c>
      <c r="K696" s="77">
        <f t="shared" si="69"/>
        <v>950</v>
      </c>
      <c r="L696" s="76">
        <v>46112</v>
      </c>
      <c r="N696" s="83"/>
      <c r="O696" s="84"/>
      <c r="P696" s="81"/>
      <c r="Q696" s="81"/>
      <c r="R696" s="81"/>
      <c r="S696" s="81"/>
      <c r="T696" s="85"/>
      <c r="U696" s="81"/>
      <c r="V696" s="81"/>
      <c r="W696" s="123">
        <f t="shared" si="70"/>
        <v>0</v>
      </c>
      <c r="X696" s="123" t="s">
        <v>84</v>
      </c>
      <c r="Y696" s="114" t="s">
        <v>93</v>
      </c>
    </row>
    <row r="697" spans="1:25" s="24" customFormat="1" ht="11.1" customHeight="1">
      <c r="A697" s="74">
        <f t="shared" si="68"/>
        <v>695</v>
      </c>
      <c r="B697" s="75" t="s">
        <v>565</v>
      </c>
      <c r="C697" s="74" t="str">
        <f>IF($B697&lt;&gt;"",_xlfn.IFNA(VLOOKUP($B697,'Node Details'!$B:$U,C$1,0),"Check"),"")</f>
        <v>AXW200107-AXW200201</v>
      </c>
      <c r="D697" s="74" t="str">
        <f>IF($B697&lt;&gt;"",_xlfn.IFNA(VLOOKUP($B697,'Node Details'!$B:$U,D$1,0),"Check"),"")</f>
        <v>AXW</v>
      </c>
      <c r="E697" s="74" t="str">
        <f>IF($B697&lt;&gt;"",_xlfn.IFNA(VLOOKUP($B697,'Node Details'!$B:$U,E$1,0),"Check"),"")</f>
        <v>Airtel</v>
      </c>
      <c r="F697" s="76">
        <v>46114</v>
      </c>
      <c r="G697" s="74"/>
      <c r="H697" s="10" t="s">
        <v>1248</v>
      </c>
      <c r="I697" s="9">
        <v>1</v>
      </c>
      <c r="J697" s="9">
        <v>950</v>
      </c>
      <c r="K697" s="77">
        <f t="shared" si="69"/>
        <v>950</v>
      </c>
      <c r="L697" s="76">
        <v>46112</v>
      </c>
      <c r="N697" s="83"/>
      <c r="O697" s="84"/>
      <c r="P697" s="81"/>
      <c r="Q697" s="81"/>
      <c r="R697" s="81"/>
      <c r="S697" s="81"/>
      <c r="T697" s="85"/>
      <c r="U697" s="81"/>
      <c r="V697" s="81"/>
      <c r="W697" s="123">
        <f t="shared" si="70"/>
        <v>0</v>
      </c>
      <c r="X697" s="123" t="s">
        <v>84</v>
      </c>
      <c r="Y697" s="114" t="s">
        <v>93</v>
      </c>
    </row>
    <row r="698" spans="1:25" s="24" customFormat="1" ht="11.1" customHeight="1">
      <c r="A698" s="74">
        <f t="shared" si="68"/>
        <v>696</v>
      </c>
      <c r="B698" s="75" t="s">
        <v>1121</v>
      </c>
      <c r="C698" s="74" t="str">
        <f>IF($B698&lt;&gt;"",_xlfn.IFNA(VLOOKUP($B698,'Node Details'!$B:$U,C$1,0),"Check"),"")</f>
        <v>AXW200107-AXW200203</v>
      </c>
      <c r="D698" s="74" t="str">
        <f>IF($B698&lt;&gt;"",_xlfn.IFNA(VLOOKUP($B698,'Node Details'!$B:$U,D$1,0),"Check"),"")</f>
        <v>AXW</v>
      </c>
      <c r="E698" s="74" t="str">
        <f>IF($B698&lt;&gt;"",_xlfn.IFNA(VLOOKUP($B698,'Node Details'!$B:$U,E$1,0),"Check"),"")</f>
        <v>Airtel</v>
      </c>
      <c r="F698" s="76">
        <v>46114</v>
      </c>
      <c r="G698" s="74"/>
      <c r="H698" s="10" t="s">
        <v>1248</v>
      </c>
      <c r="I698" s="9">
        <v>1</v>
      </c>
      <c r="J698" s="9">
        <v>950</v>
      </c>
      <c r="K698" s="77">
        <f t="shared" si="69"/>
        <v>950</v>
      </c>
      <c r="L698" s="76">
        <v>46112</v>
      </c>
      <c r="N698" s="83"/>
      <c r="O698" s="84"/>
      <c r="P698" s="81"/>
      <c r="Q698" s="81"/>
      <c r="R698" s="81"/>
      <c r="S698" s="81"/>
      <c r="T698" s="85"/>
      <c r="U698" s="81"/>
      <c r="V698" s="81"/>
      <c r="W698" s="123">
        <f t="shared" si="70"/>
        <v>0</v>
      </c>
      <c r="X698" s="123" t="s">
        <v>84</v>
      </c>
      <c r="Y698" s="114" t="s">
        <v>93</v>
      </c>
    </row>
    <row r="699" spans="1:25" s="24" customFormat="1" ht="11.1" customHeight="1">
      <c r="A699" s="74">
        <f t="shared" si="68"/>
        <v>697</v>
      </c>
      <c r="B699" s="75" t="s">
        <v>568</v>
      </c>
      <c r="C699" s="74" t="str">
        <f>IF($B699&lt;&gt;"",_xlfn.IFNA(VLOOKUP($B699,'Node Details'!$B:$U,C$1,0),"Check"),"")</f>
        <v>AXW200107-AXW200203</v>
      </c>
      <c r="D699" s="74" t="str">
        <f>IF($B699&lt;&gt;"",_xlfn.IFNA(VLOOKUP($B699,'Node Details'!$B:$U,D$1,0),"Check"),"")</f>
        <v>AXW</v>
      </c>
      <c r="E699" s="74" t="str">
        <f>IF($B699&lt;&gt;"",_xlfn.IFNA(VLOOKUP($B699,'Node Details'!$B:$U,E$1,0),"Check"),"")</f>
        <v>Airtel</v>
      </c>
      <c r="F699" s="76">
        <v>46114</v>
      </c>
      <c r="G699" s="74"/>
      <c r="H699" s="10" t="s">
        <v>1248</v>
      </c>
      <c r="I699" s="9">
        <v>1</v>
      </c>
      <c r="J699" s="9">
        <v>950</v>
      </c>
      <c r="K699" s="77">
        <f t="shared" si="69"/>
        <v>950</v>
      </c>
      <c r="L699" s="76">
        <v>46112</v>
      </c>
      <c r="N699" s="83"/>
      <c r="O699" s="84"/>
      <c r="P699" s="81"/>
      <c r="Q699" s="81"/>
      <c r="R699" s="81"/>
      <c r="S699" s="81"/>
      <c r="T699" s="85"/>
      <c r="U699" s="81"/>
      <c r="V699" s="81"/>
      <c r="W699" s="123">
        <f t="shared" si="70"/>
        <v>0</v>
      </c>
      <c r="X699" s="123" t="s">
        <v>84</v>
      </c>
      <c r="Y699" s="114" t="s">
        <v>93</v>
      </c>
    </row>
    <row r="700" spans="1:25" s="24" customFormat="1" ht="11.1" customHeight="1">
      <c r="A700" s="74">
        <f t="shared" si="68"/>
        <v>698</v>
      </c>
      <c r="B700" s="75" t="s">
        <v>571</v>
      </c>
      <c r="C700" s="74" t="str">
        <f>IF($B700&lt;&gt;"",_xlfn.IFNA(VLOOKUP($B700,'Node Details'!$B:$U,C$1,0),"Check"),"")</f>
        <v>0000AXW20-AXW200204</v>
      </c>
      <c r="D700" s="74" t="str">
        <f>IF($B700&lt;&gt;"",_xlfn.IFNA(VLOOKUP($B700,'Node Details'!$B:$U,D$1,0),"Check"),"")</f>
        <v>AXW</v>
      </c>
      <c r="E700" s="74" t="str">
        <f>IF($B700&lt;&gt;"",_xlfn.IFNA(VLOOKUP($B700,'Node Details'!$B:$U,E$1,0),"Check"),"")</f>
        <v>Airtel</v>
      </c>
      <c r="F700" s="76">
        <v>46114</v>
      </c>
      <c r="G700" s="74"/>
      <c r="H700" s="10" t="s">
        <v>1248</v>
      </c>
      <c r="I700" s="9">
        <v>1</v>
      </c>
      <c r="J700" s="9">
        <v>950</v>
      </c>
      <c r="K700" s="77">
        <f t="shared" si="69"/>
        <v>950</v>
      </c>
      <c r="L700" s="76">
        <v>46112</v>
      </c>
      <c r="N700" s="83"/>
      <c r="O700" s="84"/>
      <c r="P700" s="81"/>
      <c r="Q700" s="81"/>
      <c r="R700" s="81"/>
      <c r="S700" s="81"/>
      <c r="T700" s="85"/>
      <c r="U700" s="81"/>
      <c r="V700" s="81"/>
      <c r="W700" s="123">
        <f t="shared" si="70"/>
        <v>0</v>
      </c>
      <c r="X700" s="123" t="s">
        <v>84</v>
      </c>
      <c r="Y700" s="114" t="s">
        <v>93</v>
      </c>
    </row>
    <row r="701" spans="1:25" s="24" customFormat="1" ht="11.1" customHeight="1">
      <c r="A701" s="74">
        <f t="shared" si="68"/>
        <v>699</v>
      </c>
      <c r="B701" s="75" t="s">
        <v>575</v>
      </c>
      <c r="C701" s="74" t="str">
        <f>IF($B701&lt;&gt;"",_xlfn.IFNA(VLOOKUP($B701,'Node Details'!$B:$U,C$1,0),"Check"),"")</f>
        <v>0000AXW21-AXW210101</v>
      </c>
      <c r="D701" s="74" t="str">
        <f>IF($B701&lt;&gt;"",_xlfn.IFNA(VLOOKUP($B701,'Node Details'!$B:$U,D$1,0),"Check"),"")</f>
        <v>AXW</v>
      </c>
      <c r="E701" s="74" t="str">
        <f>IF($B701&lt;&gt;"",_xlfn.IFNA(VLOOKUP($B701,'Node Details'!$B:$U,E$1,0),"Check"),"")</f>
        <v>Airtel</v>
      </c>
      <c r="F701" s="76">
        <v>46114</v>
      </c>
      <c r="G701" s="74"/>
      <c r="H701" s="10" t="s">
        <v>1248</v>
      </c>
      <c r="I701" s="9">
        <v>1</v>
      </c>
      <c r="J701" s="9">
        <v>950</v>
      </c>
      <c r="K701" s="77">
        <f t="shared" si="69"/>
        <v>950</v>
      </c>
      <c r="L701" s="76">
        <v>46112</v>
      </c>
      <c r="N701" s="83"/>
      <c r="O701" s="84"/>
      <c r="P701" s="81"/>
      <c r="Q701" s="81"/>
      <c r="R701" s="81"/>
      <c r="S701" s="81"/>
      <c r="T701" s="85"/>
      <c r="U701" s="81"/>
      <c r="V701" s="81"/>
      <c r="W701" s="123">
        <f t="shared" si="70"/>
        <v>0</v>
      </c>
      <c r="X701" s="123" t="s">
        <v>84</v>
      </c>
      <c r="Y701" s="114" t="s">
        <v>93</v>
      </c>
    </row>
    <row r="702" spans="1:25" s="24" customFormat="1" ht="11.1" customHeight="1">
      <c r="A702" s="74">
        <f t="shared" si="68"/>
        <v>700</v>
      </c>
      <c r="B702" s="75" t="s">
        <v>578</v>
      </c>
      <c r="C702" s="74" t="str">
        <f>IF($B702&lt;&gt;"",_xlfn.IFNA(VLOOKUP($B702,'Node Details'!$B:$U,C$1,0),"Check"),"")</f>
        <v>0000AXW21-AXW210102</v>
      </c>
      <c r="D702" s="74" t="str">
        <f>IF($B702&lt;&gt;"",_xlfn.IFNA(VLOOKUP($B702,'Node Details'!$B:$U,D$1,0),"Check"),"")</f>
        <v>AXW</v>
      </c>
      <c r="E702" s="74" t="str">
        <f>IF($B702&lt;&gt;"",_xlfn.IFNA(VLOOKUP($B702,'Node Details'!$B:$U,E$1,0),"Check"),"")</f>
        <v>Airtel</v>
      </c>
      <c r="F702" s="76">
        <v>46114</v>
      </c>
      <c r="G702" s="74"/>
      <c r="H702" s="10" t="s">
        <v>1248</v>
      </c>
      <c r="I702" s="9">
        <v>1</v>
      </c>
      <c r="J702" s="9">
        <v>950</v>
      </c>
      <c r="K702" s="77">
        <f t="shared" si="69"/>
        <v>950</v>
      </c>
      <c r="L702" s="76">
        <v>46112</v>
      </c>
      <c r="N702" s="83"/>
      <c r="O702" s="84"/>
      <c r="P702" s="81"/>
      <c r="Q702" s="81"/>
      <c r="R702" s="81"/>
      <c r="S702" s="81"/>
      <c r="T702" s="85"/>
      <c r="U702" s="81"/>
      <c r="V702" s="81"/>
      <c r="W702" s="123">
        <f t="shared" si="70"/>
        <v>0</v>
      </c>
      <c r="X702" s="123" t="s">
        <v>84</v>
      </c>
      <c r="Y702" s="114" t="s">
        <v>93</v>
      </c>
    </row>
    <row r="703" spans="1:25" s="24" customFormat="1" ht="11.1" customHeight="1">
      <c r="A703" s="74">
        <f t="shared" si="68"/>
        <v>701</v>
      </c>
      <c r="B703" s="75" t="s">
        <v>587</v>
      </c>
      <c r="C703" s="74" t="str">
        <f>IF($B703&lt;&gt;"",_xlfn.IFNA(VLOOKUP($B703,'Node Details'!$B:$U,C$1,0),"Check"),"")</f>
        <v>0000AXW21-AXW210105</v>
      </c>
      <c r="D703" s="74" t="str">
        <f>IF($B703&lt;&gt;"",_xlfn.IFNA(VLOOKUP($B703,'Node Details'!$B:$U,D$1,0),"Check"),"")</f>
        <v>AXW</v>
      </c>
      <c r="E703" s="74" t="str">
        <f>IF($B703&lt;&gt;"",_xlfn.IFNA(VLOOKUP($B703,'Node Details'!$B:$U,E$1,0),"Check"),"")</f>
        <v>Airtel</v>
      </c>
      <c r="F703" s="76">
        <v>46114</v>
      </c>
      <c r="G703" s="74"/>
      <c r="H703" s="10" t="s">
        <v>1248</v>
      </c>
      <c r="I703" s="9">
        <v>1</v>
      </c>
      <c r="J703" s="9">
        <v>950</v>
      </c>
      <c r="K703" s="77">
        <f t="shared" si="69"/>
        <v>950</v>
      </c>
      <c r="L703" s="76">
        <v>46112</v>
      </c>
      <c r="N703" s="83"/>
      <c r="O703" s="84"/>
      <c r="P703" s="81"/>
      <c r="Q703" s="81"/>
      <c r="R703" s="81"/>
      <c r="S703" s="81"/>
      <c r="T703" s="85"/>
      <c r="U703" s="81"/>
      <c r="V703" s="81"/>
      <c r="W703" s="123">
        <f t="shared" si="70"/>
        <v>0</v>
      </c>
      <c r="X703" s="123" t="s">
        <v>84</v>
      </c>
      <c r="Y703" s="114" t="s">
        <v>93</v>
      </c>
    </row>
    <row r="704" spans="1:25" s="24" customFormat="1" ht="11.1" customHeight="1">
      <c r="A704" s="74">
        <f t="shared" si="68"/>
        <v>702</v>
      </c>
      <c r="B704" s="75" t="s">
        <v>1122</v>
      </c>
      <c r="C704" s="74" t="str">
        <f>IF($B704&lt;&gt;"",_xlfn.IFNA(VLOOKUP($B704,'Node Details'!$B:$U,C$1,0),"Check"),"")</f>
        <v>0000AXW21-AXW210105</v>
      </c>
      <c r="D704" s="74" t="str">
        <f>IF($B704&lt;&gt;"",_xlfn.IFNA(VLOOKUP($B704,'Node Details'!$B:$U,D$1,0),"Check"),"")</f>
        <v>AXW</v>
      </c>
      <c r="E704" s="74" t="str">
        <f>IF($B704&lt;&gt;"",_xlfn.IFNA(VLOOKUP($B704,'Node Details'!$B:$U,E$1,0),"Check"),"")</f>
        <v>Airtel</v>
      </c>
      <c r="F704" s="76">
        <v>46114</v>
      </c>
      <c r="G704" s="74"/>
      <c r="H704" s="10" t="s">
        <v>1248</v>
      </c>
      <c r="I704" s="9">
        <v>1</v>
      </c>
      <c r="J704" s="9">
        <v>950</v>
      </c>
      <c r="K704" s="77">
        <f t="shared" si="69"/>
        <v>950</v>
      </c>
      <c r="L704" s="76">
        <v>46112</v>
      </c>
      <c r="N704" s="83"/>
      <c r="O704" s="84"/>
      <c r="P704" s="81"/>
      <c r="Q704" s="81"/>
      <c r="R704" s="81"/>
      <c r="S704" s="81"/>
      <c r="T704" s="85"/>
      <c r="U704" s="81"/>
      <c r="V704" s="81"/>
      <c r="W704" s="123">
        <f t="shared" si="70"/>
        <v>0</v>
      </c>
      <c r="X704" s="123" t="s">
        <v>84</v>
      </c>
      <c r="Y704" s="114" t="s">
        <v>93</v>
      </c>
    </row>
    <row r="705" spans="1:25" s="24" customFormat="1" ht="11.1" customHeight="1">
      <c r="A705" s="74">
        <f t="shared" si="68"/>
        <v>703</v>
      </c>
      <c r="B705" s="75" t="s">
        <v>581</v>
      </c>
      <c r="C705" s="74" t="str">
        <f>IF($B705&lt;&gt;"",_xlfn.IFNA(VLOOKUP($B705,'Node Details'!$B:$U,C$1,0),"Check"),"")</f>
        <v>0000AXW21-AXW210105</v>
      </c>
      <c r="D705" s="74" t="str">
        <f>IF($B705&lt;&gt;"",_xlfn.IFNA(VLOOKUP($B705,'Node Details'!$B:$U,D$1,0),"Check"),"")</f>
        <v>AXW</v>
      </c>
      <c r="E705" s="74" t="str">
        <f>IF($B705&lt;&gt;"",_xlfn.IFNA(VLOOKUP($B705,'Node Details'!$B:$U,E$1,0),"Check"),"")</f>
        <v>Airtel</v>
      </c>
      <c r="F705" s="76">
        <v>46114</v>
      </c>
      <c r="G705" s="74"/>
      <c r="H705" s="10" t="s">
        <v>1248</v>
      </c>
      <c r="I705" s="9">
        <v>1</v>
      </c>
      <c r="J705" s="9">
        <v>950</v>
      </c>
      <c r="K705" s="77">
        <f t="shared" si="69"/>
        <v>950</v>
      </c>
      <c r="L705" s="76">
        <v>46112</v>
      </c>
      <c r="N705" s="83"/>
      <c r="O705" s="84"/>
      <c r="P705" s="81"/>
      <c r="Q705" s="81"/>
      <c r="R705" s="81"/>
      <c r="S705" s="81"/>
      <c r="T705" s="85"/>
      <c r="U705" s="81"/>
      <c r="V705" s="81"/>
      <c r="W705" s="123">
        <f t="shared" si="70"/>
        <v>0</v>
      </c>
      <c r="X705" s="123" t="s">
        <v>84</v>
      </c>
      <c r="Y705" s="114" t="s">
        <v>93</v>
      </c>
    </row>
    <row r="706" spans="1:25" s="24" customFormat="1" ht="11.1" customHeight="1">
      <c r="A706" s="74">
        <f t="shared" si="68"/>
        <v>704</v>
      </c>
      <c r="B706" s="75" t="s">
        <v>1123</v>
      </c>
      <c r="C706" s="74" t="str">
        <f>IF($B706&lt;&gt;"",_xlfn.IFNA(VLOOKUP($B706,'Node Details'!$B:$U,C$1,0),"Check"),"")</f>
        <v>AXW210105-AXW210107</v>
      </c>
      <c r="D706" s="74" t="str">
        <f>IF($B706&lt;&gt;"",_xlfn.IFNA(VLOOKUP($B706,'Node Details'!$B:$U,D$1,0),"Check"),"")</f>
        <v>AXW</v>
      </c>
      <c r="E706" s="74" t="str">
        <f>IF($B706&lt;&gt;"",_xlfn.IFNA(VLOOKUP($B706,'Node Details'!$B:$U,E$1,0),"Check"),"")</f>
        <v>Airtel</v>
      </c>
      <c r="F706" s="76">
        <v>46114</v>
      </c>
      <c r="G706" s="74"/>
      <c r="H706" s="10" t="s">
        <v>1248</v>
      </c>
      <c r="I706" s="9">
        <v>1</v>
      </c>
      <c r="J706" s="9">
        <v>950</v>
      </c>
      <c r="K706" s="77">
        <f t="shared" si="69"/>
        <v>950</v>
      </c>
      <c r="L706" s="76">
        <v>46112</v>
      </c>
      <c r="N706" s="83"/>
      <c r="O706" s="84"/>
      <c r="P706" s="81"/>
      <c r="Q706" s="81"/>
      <c r="R706" s="81"/>
      <c r="S706" s="81"/>
      <c r="T706" s="85"/>
      <c r="U706" s="81"/>
      <c r="V706" s="81"/>
      <c r="W706" s="123">
        <f t="shared" si="70"/>
        <v>0</v>
      </c>
      <c r="X706" s="123" t="s">
        <v>84</v>
      </c>
      <c r="Y706" s="114" t="s">
        <v>93</v>
      </c>
    </row>
    <row r="707" spans="1:25" s="24" customFormat="1" ht="11.1" customHeight="1">
      <c r="A707" s="74">
        <f t="shared" si="68"/>
        <v>705</v>
      </c>
      <c r="B707" s="75" t="s">
        <v>584</v>
      </c>
      <c r="C707" s="74" t="str">
        <f>IF($B707&lt;&gt;"",_xlfn.IFNA(VLOOKUP($B707,'Node Details'!$B:$U,C$1,0),"Check"),"")</f>
        <v>AXW210105-AXW210107</v>
      </c>
      <c r="D707" s="74" t="str">
        <f>IF($B707&lt;&gt;"",_xlfn.IFNA(VLOOKUP($B707,'Node Details'!$B:$U,D$1,0),"Check"),"")</f>
        <v>AXW</v>
      </c>
      <c r="E707" s="74" t="str">
        <f>IF($B707&lt;&gt;"",_xlfn.IFNA(VLOOKUP($B707,'Node Details'!$B:$U,E$1,0),"Check"),"")</f>
        <v>Airtel</v>
      </c>
      <c r="F707" s="76">
        <v>46114</v>
      </c>
      <c r="G707" s="74"/>
      <c r="H707" s="10" t="s">
        <v>1248</v>
      </c>
      <c r="I707" s="9">
        <v>1</v>
      </c>
      <c r="J707" s="9">
        <v>950</v>
      </c>
      <c r="K707" s="77">
        <f t="shared" si="69"/>
        <v>950</v>
      </c>
      <c r="L707" s="76">
        <v>46112</v>
      </c>
      <c r="N707" s="83"/>
      <c r="O707" s="84"/>
      <c r="P707" s="81"/>
      <c r="Q707" s="81"/>
      <c r="R707" s="81"/>
      <c r="S707" s="81"/>
      <c r="T707" s="85"/>
      <c r="U707" s="81"/>
      <c r="V707" s="81"/>
      <c r="W707" s="123">
        <f t="shared" si="70"/>
        <v>0</v>
      </c>
      <c r="X707" s="123" t="s">
        <v>84</v>
      </c>
      <c r="Y707" s="114" t="s">
        <v>93</v>
      </c>
    </row>
    <row r="708" spans="1:25" s="24" customFormat="1" ht="11.1" customHeight="1">
      <c r="A708" s="74">
        <f t="shared" ref="A708:A771" si="71">A707+1</f>
        <v>706</v>
      </c>
      <c r="B708" s="75" t="s">
        <v>588</v>
      </c>
      <c r="C708" s="74" t="str">
        <f>IF($B708&lt;&gt;"",_xlfn.IFNA(VLOOKUP($B708,'Node Details'!$B:$U,C$1,0),"Check"),"")</f>
        <v>AXW210103-AXW210108</v>
      </c>
      <c r="D708" s="74" t="str">
        <f>IF($B708&lt;&gt;"",_xlfn.IFNA(VLOOKUP($B708,'Node Details'!$B:$U,D$1,0),"Check"),"")</f>
        <v>AXW</v>
      </c>
      <c r="E708" s="74" t="str">
        <f>IF($B708&lt;&gt;"",_xlfn.IFNA(VLOOKUP($B708,'Node Details'!$B:$U,E$1,0),"Check"),"")</f>
        <v>Airtel</v>
      </c>
      <c r="F708" s="76">
        <v>46114</v>
      </c>
      <c r="G708" s="74"/>
      <c r="H708" s="10" t="s">
        <v>1248</v>
      </c>
      <c r="I708" s="9">
        <v>1</v>
      </c>
      <c r="J708" s="9">
        <v>950</v>
      </c>
      <c r="K708" s="77">
        <f t="shared" si="69"/>
        <v>950</v>
      </c>
      <c r="L708" s="76">
        <v>46112</v>
      </c>
      <c r="N708" s="83"/>
      <c r="O708" s="84"/>
      <c r="P708" s="81"/>
      <c r="Q708" s="81"/>
      <c r="R708" s="81"/>
      <c r="S708" s="81"/>
      <c r="T708" s="85"/>
      <c r="U708" s="81"/>
      <c r="V708" s="81"/>
      <c r="W708" s="123">
        <f t="shared" si="70"/>
        <v>0</v>
      </c>
      <c r="X708" s="123" t="s">
        <v>84</v>
      </c>
      <c r="Y708" s="114" t="s">
        <v>93</v>
      </c>
    </row>
    <row r="709" spans="1:25" s="24" customFormat="1" ht="11.1" customHeight="1">
      <c r="A709" s="74">
        <f t="shared" si="71"/>
        <v>707</v>
      </c>
      <c r="B709" s="75" t="s">
        <v>591</v>
      </c>
      <c r="C709" s="74" t="str">
        <f>IF($B709&lt;&gt;"",_xlfn.IFNA(VLOOKUP($B709,'Node Details'!$B:$U,C$1,0),"Check"),"")</f>
        <v>0000AXW21-AXW210201</v>
      </c>
      <c r="D709" s="74" t="str">
        <f>IF($B709&lt;&gt;"",_xlfn.IFNA(VLOOKUP($B709,'Node Details'!$B:$U,D$1,0),"Check"),"")</f>
        <v>AXW</v>
      </c>
      <c r="E709" s="74" t="str">
        <f>IF($B709&lt;&gt;"",_xlfn.IFNA(VLOOKUP($B709,'Node Details'!$B:$U,E$1,0),"Check"),"")</f>
        <v>Airtel</v>
      </c>
      <c r="F709" s="76">
        <v>46114</v>
      </c>
      <c r="G709" s="74"/>
      <c r="H709" s="10" t="s">
        <v>1248</v>
      </c>
      <c r="I709" s="9">
        <v>1</v>
      </c>
      <c r="J709" s="9">
        <v>950</v>
      </c>
      <c r="K709" s="77">
        <f t="shared" si="69"/>
        <v>950</v>
      </c>
      <c r="L709" s="76">
        <v>46112</v>
      </c>
      <c r="N709" s="83"/>
      <c r="O709" s="84"/>
      <c r="P709" s="81"/>
      <c r="Q709" s="81"/>
      <c r="R709" s="81"/>
      <c r="S709" s="81"/>
      <c r="T709" s="85"/>
      <c r="U709" s="81"/>
      <c r="V709" s="81"/>
      <c r="W709" s="123">
        <f t="shared" si="70"/>
        <v>0</v>
      </c>
      <c r="X709" s="123" t="s">
        <v>84</v>
      </c>
      <c r="Y709" s="114" t="s">
        <v>93</v>
      </c>
    </row>
    <row r="710" spans="1:25" s="24" customFormat="1" ht="11.1" customHeight="1">
      <c r="A710" s="74">
        <f t="shared" si="71"/>
        <v>708</v>
      </c>
      <c r="B710" s="75" t="s">
        <v>1124</v>
      </c>
      <c r="C710" s="74" t="str">
        <f>IF($B710&lt;&gt;"",_xlfn.IFNA(VLOOKUP($B710,'Node Details'!$B:$U,C$1,0),"Check"),"")</f>
        <v>0000AXW22-AXW220103</v>
      </c>
      <c r="D710" s="74" t="str">
        <f>IF($B710&lt;&gt;"",_xlfn.IFNA(VLOOKUP($B710,'Node Details'!$B:$U,D$1,0),"Check"),"")</f>
        <v>AXW</v>
      </c>
      <c r="E710" s="74" t="str">
        <f>IF($B710&lt;&gt;"",_xlfn.IFNA(VLOOKUP($B710,'Node Details'!$B:$U,E$1,0),"Check"),"")</f>
        <v>Airtel</v>
      </c>
      <c r="F710" s="76">
        <v>46114</v>
      </c>
      <c r="G710" s="74"/>
      <c r="H710" s="10" t="s">
        <v>1248</v>
      </c>
      <c r="I710" s="9">
        <v>1</v>
      </c>
      <c r="J710" s="9">
        <v>950</v>
      </c>
      <c r="K710" s="77">
        <f t="shared" si="69"/>
        <v>950</v>
      </c>
      <c r="L710" s="76">
        <v>46112</v>
      </c>
      <c r="N710" s="83"/>
      <c r="O710" s="84"/>
      <c r="P710" s="81"/>
      <c r="Q710" s="81"/>
      <c r="R710" s="81"/>
      <c r="S710" s="81"/>
      <c r="T710" s="85"/>
      <c r="U710" s="81"/>
      <c r="V710" s="81"/>
      <c r="W710" s="123">
        <f t="shared" si="70"/>
        <v>0</v>
      </c>
      <c r="X710" s="123" t="s">
        <v>84</v>
      </c>
      <c r="Y710" s="114" t="s">
        <v>93</v>
      </c>
    </row>
    <row r="711" spans="1:25" s="24" customFormat="1" ht="11.1" customHeight="1">
      <c r="A711" s="74">
        <f t="shared" si="71"/>
        <v>709</v>
      </c>
      <c r="B711" s="75" t="s">
        <v>594</v>
      </c>
      <c r="C711" s="74" t="str">
        <f>IF($B711&lt;&gt;"",_xlfn.IFNA(VLOOKUP($B711,'Node Details'!$B:$U,C$1,0),"Check"),"")</f>
        <v>0000AXW22-AXW220103</v>
      </c>
      <c r="D711" s="74" t="str">
        <f>IF($B711&lt;&gt;"",_xlfn.IFNA(VLOOKUP($B711,'Node Details'!$B:$U,D$1,0),"Check"),"")</f>
        <v>AXW</v>
      </c>
      <c r="E711" s="74" t="str">
        <f>IF($B711&lt;&gt;"",_xlfn.IFNA(VLOOKUP($B711,'Node Details'!$B:$U,E$1,0),"Check"),"")</f>
        <v>Airtel</v>
      </c>
      <c r="F711" s="76">
        <v>46114</v>
      </c>
      <c r="G711" s="74"/>
      <c r="H711" s="10" t="s">
        <v>1248</v>
      </c>
      <c r="I711" s="9">
        <v>1</v>
      </c>
      <c r="J711" s="9">
        <v>950</v>
      </c>
      <c r="K711" s="77">
        <f t="shared" si="69"/>
        <v>950</v>
      </c>
      <c r="L711" s="76">
        <v>46112</v>
      </c>
      <c r="N711" s="83"/>
      <c r="O711" s="84"/>
      <c r="P711" s="81"/>
      <c r="Q711" s="81"/>
      <c r="R711" s="81"/>
      <c r="S711" s="81"/>
      <c r="T711" s="85"/>
      <c r="U711" s="81"/>
      <c r="V711" s="81"/>
      <c r="W711" s="123">
        <f t="shared" si="70"/>
        <v>0</v>
      </c>
      <c r="X711" s="123" t="s">
        <v>84</v>
      </c>
      <c r="Y711" s="114" t="s">
        <v>93</v>
      </c>
    </row>
    <row r="712" spans="1:25" s="24" customFormat="1" ht="11.1" customHeight="1">
      <c r="A712" s="74">
        <f t="shared" si="71"/>
        <v>710</v>
      </c>
      <c r="B712" s="75" t="s">
        <v>597</v>
      </c>
      <c r="C712" s="74" t="str">
        <f>IF($B712&lt;&gt;"",_xlfn.IFNA(VLOOKUP($B712,'Node Details'!$B:$U,C$1,0),"Check"),"")</f>
        <v>0000AXW22-AXW220104</v>
      </c>
      <c r="D712" s="74" t="str">
        <f>IF($B712&lt;&gt;"",_xlfn.IFNA(VLOOKUP($B712,'Node Details'!$B:$U,D$1,0),"Check"),"")</f>
        <v>AXW</v>
      </c>
      <c r="E712" s="74" t="str">
        <f>IF($B712&lt;&gt;"",_xlfn.IFNA(VLOOKUP($B712,'Node Details'!$B:$U,E$1,0),"Check"),"")</f>
        <v>Airtel</v>
      </c>
      <c r="F712" s="76">
        <v>46114</v>
      </c>
      <c r="G712" s="74"/>
      <c r="H712" s="10" t="s">
        <v>1248</v>
      </c>
      <c r="I712" s="9">
        <v>1</v>
      </c>
      <c r="J712" s="9">
        <v>950</v>
      </c>
      <c r="K712" s="77">
        <f t="shared" si="69"/>
        <v>950</v>
      </c>
      <c r="L712" s="76">
        <v>46112</v>
      </c>
      <c r="N712" s="83"/>
      <c r="O712" s="84"/>
      <c r="P712" s="81"/>
      <c r="Q712" s="81"/>
      <c r="R712" s="81"/>
      <c r="S712" s="81"/>
      <c r="T712" s="85"/>
      <c r="U712" s="81"/>
      <c r="V712" s="81"/>
      <c r="W712" s="123">
        <f t="shared" si="70"/>
        <v>0</v>
      </c>
      <c r="X712" s="123" t="s">
        <v>84</v>
      </c>
      <c r="Y712" s="114" t="s">
        <v>93</v>
      </c>
    </row>
    <row r="713" spans="1:25" s="24" customFormat="1" ht="11.1" customHeight="1">
      <c r="A713" s="74">
        <f t="shared" si="71"/>
        <v>711</v>
      </c>
      <c r="B713" s="75" t="s">
        <v>1125</v>
      </c>
      <c r="C713" s="74" t="str">
        <f>IF($B713&lt;&gt;"",_xlfn.IFNA(VLOOKUP($B713,'Node Details'!$B:$U,C$1,0),"Check"),"")</f>
        <v>AXW220104-AXW220106</v>
      </c>
      <c r="D713" s="74" t="str">
        <f>IF($B713&lt;&gt;"",_xlfn.IFNA(VLOOKUP($B713,'Node Details'!$B:$U,D$1,0),"Check"),"")</f>
        <v>AXW</v>
      </c>
      <c r="E713" s="74" t="str">
        <f>IF($B713&lt;&gt;"",_xlfn.IFNA(VLOOKUP($B713,'Node Details'!$B:$U,E$1,0),"Check"),"")</f>
        <v>Airtel</v>
      </c>
      <c r="F713" s="76">
        <v>46114</v>
      </c>
      <c r="G713" s="74"/>
      <c r="H713" s="10" t="s">
        <v>1248</v>
      </c>
      <c r="I713" s="9">
        <v>1</v>
      </c>
      <c r="J713" s="9">
        <v>950</v>
      </c>
      <c r="K713" s="77">
        <f t="shared" si="69"/>
        <v>950</v>
      </c>
      <c r="L713" s="76">
        <v>46112</v>
      </c>
      <c r="N713" s="83"/>
      <c r="O713" s="84"/>
      <c r="P713" s="81"/>
      <c r="Q713" s="81"/>
      <c r="R713" s="81"/>
      <c r="S713" s="81"/>
      <c r="T713" s="85"/>
      <c r="U713" s="81"/>
      <c r="V713" s="81"/>
      <c r="W713" s="123">
        <f t="shared" si="70"/>
        <v>0</v>
      </c>
      <c r="X713" s="123" t="s">
        <v>84</v>
      </c>
      <c r="Y713" s="114" t="s">
        <v>93</v>
      </c>
    </row>
    <row r="714" spans="1:25" s="24" customFormat="1" ht="11.1" customHeight="1">
      <c r="A714" s="74">
        <f t="shared" si="71"/>
        <v>712</v>
      </c>
      <c r="B714" s="75" t="s">
        <v>600</v>
      </c>
      <c r="C714" s="74" t="str">
        <f>IF($B714&lt;&gt;"",_xlfn.IFNA(VLOOKUP($B714,'Node Details'!$B:$U,C$1,0),"Check"),"")</f>
        <v>AXW220104-AXW220106</v>
      </c>
      <c r="D714" s="74" t="str">
        <f>IF($B714&lt;&gt;"",_xlfn.IFNA(VLOOKUP($B714,'Node Details'!$B:$U,D$1,0),"Check"),"")</f>
        <v>AXW</v>
      </c>
      <c r="E714" s="74" t="str">
        <f>IF($B714&lt;&gt;"",_xlfn.IFNA(VLOOKUP($B714,'Node Details'!$B:$U,E$1,0),"Check"),"")</f>
        <v>Airtel</v>
      </c>
      <c r="F714" s="76">
        <v>46114</v>
      </c>
      <c r="G714" s="74"/>
      <c r="H714" s="10" t="s">
        <v>1248</v>
      </c>
      <c r="I714" s="9">
        <v>1</v>
      </c>
      <c r="J714" s="9">
        <v>950</v>
      </c>
      <c r="K714" s="77">
        <f t="shared" si="69"/>
        <v>950</v>
      </c>
      <c r="L714" s="76">
        <v>46112</v>
      </c>
      <c r="N714" s="83"/>
      <c r="O714" s="84"/>
      <c r="P714" s="81"/>
      <c r="Q714" s="81"/>
      <c r="R714" s="81"/>
      <c r="S714" s="81"/>
      <c r="T714" s="85"/>
      <c r="U714" s="81"/>
      <c r="V714" s="81"/>
      <c r="W714" s="123">
        <f t="shared" si="70"/>
        <v>0</v>
      </c>
      <c r="X714" s="123" t="s">
        <v>84</v>
      </c>
      <c r="Y714" s="114" t="s">
        <v>93</v>
      </c>
    </row>
    <row r="715" spans="1:25" s="24" customFormat="1" ht="11.1" customHeight="1">
      <c r="A715" s="74">
        <f t="shared" si="71"/>
        <v>713</v>
      </c>
      <c r="B715" s="75" t="s">
        <v>603</v>
      </c>
      <c r="C715" s="74" t="str">
        <f>IF($B715&lt;&gt;"",_xlfn.IFNA(VLOOKUP($B715,'Node Details'!$B:$U,C$1,0),"Check"),"")</f>
        <v>0000AXW22-AXW220107</v>
      </c>
      <c r="D715" s="74" t="str">
        <f>IF($B715&lt;&gt;"",_xlfn.IFNA(VLOOKUP($B715,'Node Details'!$B:$U,D$1,0),"Check"),"")</f>
        <v>AXW</v>
      </c>
      <c r="E715" s="74" t="str">
        <f>IF($B715&lt;&gt;"",_xlfn.IFNA(VLOOKUP($B715,'Node Details'!$B:$U,E$1,0),"Check"),"")</f>
        <v>Airtel</v>
      </c>
      <c r="F715" s="76">
        <v>46114</v>
      </c>
      <c r="G715" s="74"/>
      <c r="H715" s="10" t="s">
        <v>1248</v>
      </c>
      <c r="I715" s="9">
        <v>1</v>
      </c>
      <c r="J715" s="9">
        <v>950</v>
      </c>
      <c r="K715" s="77">
        <f t="shared" si="69"/>
        <v>950</v>
      </c>
      <c r="L715" s="76">
        <v>46112</v>
      </c>
      <c r="N715" s="83"/>
      <c r="O715" s="84"/>
      <c r="P715" s="81"/>
      <c r="Q715" s="81"/>
      <c r="R715" s="81"/>
      <c r="S715" s="81"/>
      <c r="T715" s="85"/>
      <c r="U715" s="81"/>
      <c r="V715" s="81"/>
      <c r="W715" s="123">
        <f t="shared" si="70"/>
        <v>0</v>
      </c>
      <c r="X715" s="123" t="s">
        <v>84</v>
      </c>
      <c r="Y715" s="114" t="s">
        <v>93</v>
      </c>
    </row>
    <row r="716" spans="1:25" s="24" customFormat="1" ht="11.1" customHeight="1">
      <c r="A716" s="74">
        <f t="shared" si="71"/>
        <v>714</v>
      </c>
      <c r="B716" s="75" t="s">
        <v>1126</v>
      </c>
      <c r="C716" s="74" t="str">
        <f>IF($B716&lt;&gt;"",_xlfn.IFNA(VLOOKUP($B716,'Node Details'!$B:$U,C$1,0),"Check"),"")</f>
        <v>AXW220107-AXW220202</v>
      </c>
      <c r="D716" s="74" t="str">
        <f>IF($B716&lt;&gt;"",_xlfn.IFNA(VLOOKUP($B716,'Node Details'!$B:$U,D$1,0),"Check"),"")</f>
        <v>AXW</v>
      </c>
      <c r="E716" s="74" t="str">
        <f>IF($B716&lt;&gt;"",_xlfn.IFNA(VLOOKUP($B716,'Node Details'!$B:$U,E$1,0),"Check"),"")</f>
        <v>Airtel</v>
      </c>
      <c r="F716" s="76">
        <v>46114</v>
      </c>
      <c r="G716" s="74"/>
      <c r="H716" s="10" t="s">
        <v>1248</v>
      </c>
      <c r="I716" s="9">
        <v>1</v>
      </c>
      <c r="J716" s="9">
        <v>950</v>
      </c>
      <c r="K716" s="77">
        <f t="shared" si="69"/>
        <v>950</v>
      </c>
      <c r="L716" s="76">
        <v>46112</v>
      </c>
      <c r="N716" s="83"/>
      <c r="O716" s="84"/>
      <c r="P716" s="81"/>
      <c r="Q716" s="81"/>
      <c r="R716" s="81"/>
      <c r="S716" s="81"/>
      <c r="T716" s="85"/>
      <c r="U716" s="81"/>
      <c r="V716" s="81"/>
      <c r="W716" s="123">
        <f t="shared" si="70"/>
        <v>0</v>
      </c>
      <c r="X716" s="123" t="s">
        <v>84</v>
      </c>
      <c r="Y716" s="114" t="s">
        <v>93</v>
      </c>
    </row>
    <row r="717" spans="1:25" s="24" customFormat="1" ht="11.1" customHeight="1">
      <c r="A717" s="74">
        <f t="shared" si="71"/>
        <v>715</v>
      </c>
      <c r="B717" s="75" t="s">
        <v>1127</v>
      </c>
      <c r="C717" s="74" t="str">
        <f>IF($B717&lt;&gt;"",_xlfn.IFNA(VLOOKUP($B717,'Node Details'!$B:$U,C$1,0),"Check"),"")</f>
        <v>AXW220107-AXW220202</v>
      </c>
      <c r="D717" s="74" t="str">
        <f>IF($B717&lt;&gt;"",_xlfn.IFNA(VLOOKUP($B717,'Node Details'!$B:$U,D$1,0),"Check"),"")</f>
        <v>AXW</v>
      </c>
      <c r="E717" s="74" t="str">
        <f>IF($B717&lt;&gt;"",_xlfn.IFNA(VLOOKUP($B717,'Node Details'!$B:$U,E$1,0),"Check"),"")</f>
        <v>Airtel</v>
      </c>
      <c r="F717" s="76">
        <v>46114</v>
      </c>
      <c r="G717" s="74"/>
      <c r="H717" s="10" t="s">
        <v>1248</v>
      </c>
      <c r="I717" s="9">
        <v>1</v>
      </c>
      <c r="J717" s="9">
        <v>950</v>
      </c>
      <c r="K717" s="77">
        <f t="shared" si="69"/>
        <v>950</v>
      </c>
      <c r="L717" s="76">
        <v>46112</v>
      </c>
      <c r="N717" s="83"/>
      <c r="O717" s="84"/>
      <c r="P717" s="81"/>
      <c r="Q717" s="81"/>
      <c r="R717" s="81"/>
      <c r="S717" s="81"/>
      <c r="T717" s="85"/>
      <c r="U717" s="81"/>
      <c r="V717" s="81"/>
      <c r="W717" s="123">
        <f t="shared" si="70"/>
        <v>0</v>
      </c>
      <c r="X717" s="123" t="s">
        <v>84</v>
      </c>
      <c r="Y717" s="114" t="s">
        <v>93</v>
      </c>
    </row>
    <row r="718" spans="1:25" s="24" customFormat="1" ht="11.1" customHeight="1">
      <c r="A718" s="74">
        <f t="shared" si="71"/>
        <v>716</v>
      </c>
      <c r="B718" s="75" t="s">
        <v>606</v>
      </c>
      <c r="C718" s="74" t="str">
        <f>IF($B718&lt;&gt;"",_xlfn.IFNA(VLOOKUP($B718,'Node Details'!$B:$U,C$1,0),"Check"),"")</f>
        <v>AXW220107-AXW220202</v>
      </c>
      <c r="D718" s="74" t="str">
        <f>IF($B718&lt;&gt;"",_xlfn.IFNA(VLOOKUP($B718,'Node Details'!$B:$U,D$1,0),"Check"),"")</f>
        <v>AXW</v>
      </c>
      <c r="E718" s="74" t="str">
        <f>IF($B718&lt;&gt;"",_xlfn.IFNA(VLOOKUP($B718,'Node Details'!$B:$U,E$1,0),"Check"),"")</f>
        <v>Airtel</v>
      </c>
      <c r="F718" s="76">
        <v>46114</v>
      </c>
      <c r="G718" s="74"/>
      <c r="H718" s="10" t="s">
        <v>1248</v>
      </c>
      <c r="I718" s="9">
        <v>1</v>
      </c>
      <c r="J718" s="9">
        <v>950</v>
      </c>
      <c r="K718" s="77">
        <f t="shared" si="69"/>
        <v>950</v>
      </c>
      <c r="L718" s="76">
        <v>46112</v>
      </c>
      <c r="N718" s="83"/>
      <c r="O718" s="84"/>
      <c r="P718" s="81"/>
      <c r="Q718" s="81"/>
      <c r="R718" s="81"/>
      <c r="S718" s="81"/>
      <c r="T718" s="85"/>
      <c r="U718" s="81"/>
      <c r="V718" s="81"/>
      <c r="W718" s="123">
        <f t="shared" si="70"/>
        <v>0</v>
      </c>
      <c r="X718" s="123" t="s">
        <v>84</v>
      </c>
      <c r="Y718" s="114" t="s">
        <v>93</v>
      </c>
    </row>
    <row r="719" spans="1:25" s="24" customFormat="1" ht="11.1" customHeight="1">
      <c r="A719" s="74">
        <f t="shared" si="71"/>
        <v>717</v>
      </c>
      <c r="B719" s="75" t="s">
        <v>392</v>
      </c>
      <c r="C719" s="74" t="str">
        <f>IF($B719&lt;&gt;"",_xlfn.IFNA(VLOOKUP($B719,'Node Details'!$B:$U,C$1,0),"Check"),"")</f>
        <v>0000AXW01-AXW010101</v>
      </c>
      <c r="D719" s="74" t="str">
        <f>IF($B719&lt;&gt;"",_xlfn.IFNA(VLOOKUP($B719,'Node Details'!$B:$U,D$1,0),"Check"),"")</f>
        <v>AXW</v>
      </c>
      <c r="E719" s="74" t="str">
        <f>IF($B719&lt;&gt;"",_xlfn.IFNA(VLOOKUP($B719,'Node Details'!$B:$U,E$1,0),"Check"),"")</f>
        <v>Airtel</v>
      </c>
      <c r="F719" s="76">
        <v>46114</v>
      </c>
      <c r="G719" s="74"/>
      <c r="H719" s="10" t="s">
        <v>22</v>
      </c>
      <c r="I719" s="9">
        <v>2</v>
      </c>
      <c r="J719" s="9">
        <v>42</v>
      </c>
      <c r="K719" s="77">
        <f t="shared" ref="K719:K782" si="72">IF(I719&lt;&gt;"",J719*I719,0)</f>
        <v>84</v>
      </c>
      <c r="L719" s="76">
        <v>46112</v>
      </c>
      <c r="N719" s="83"/>
      <c r="O719" s="84"/>
      <c r="P719" s="81"/>
      <c r="Q719" s="81"/>
      <c r="R719" s="81"/>
      <c r="S719" s="81"/>
      <c r="T719" s="85"/>
      <c r="U719" s="81"/>
      <c r="V719" s="81"/>
      <c r="W719" s="123">
        <f t="shared" ref="W719:W782" si="73">IF(V719&lt;&gt;"",V719*U719,0)</f>
        <v>0</v>
      </c>
      <c r="X719" s="123" t="s">
        <v>84</v>
      </c>
      <c r="Y719" s="114" t="s">
        <v>93</v>
      </c>
    </row>
    <row r="720" spans="1:25" s="24" customFormat="1" ht="11.1" customHeight="1">
      <c r="A720" s="74">
        <f t="shared" si="71"/>
        <v>718</v>
      </c>
      <c r="B720" s="75" t="s">
        <v>1051</v>
      </c>
      <c r="C720" s="74" t="str">
        <f>IF($B720&lt;&gt;"",_xlfn.IFNA(VLOOKUP($B720,'Node Details'!$B:$U,C$1,0),"Check"),"")</f>
        <v>0000AXW01-AXW010105</v>
      </c>
      <c r="D720" s="74" t="str">
        <f>IF($B720&lt;&gt;"",_xlfn.IFNA(VLOOKUP($B720,'Node Details'!$B:$U,D$1,0),"Check"),"")</f>
        <v>AXW</v>
      </c>
      <c r="E720" s="74" t="str">
        <f>IF($B720&lt;&gt;"",_xlfn.IFNA(VLOOKUP($B720,'Node Details'!$B:$U,E$1,0),"Check"),"")</f>
        <v>Airtel</v>
      </c>
      <c r="F720" s="76">
        <v>46114</v>
      </c>
      <c r="G720" s="74"/>
      <c r="H720" s="10" t="s">
        <v>22</v>
      </c>
      <c r="I720" s="9">
        <v>2</v>
      </c>
      <c r="J720" s="9">
        <v>42</v>
      </c>
      <c r="K720" s="77">
        <f t="shared" si="72"/>
        <v>84</v>
      </c>
      <c r="L720" s="76">
        <v>46112</v>
      </c>
      <c r="N720" s="83"/>
      <c r="O720" s="84"/>
      <c r="P720" s="81"/>
      <c r="Q720" s="81"/>
      <c r="R720" s="81"/>
      <c r="S720" s="81"/>
      <c r="T720" s="85"/>
      <c r="U720" s="81"/>
      <c r="V720" s="81"/>
      <c r="W720" s="123">
        <f t="shared" si="73"/>
        <v>0</v>
      </c>
      <c r="X720" s="123" t="s">
        <v>84</v>
      </c>
      <c r="Y720" s="114" t="s">
        <v>93</v>
      </c>
    </row>
    <row r="721" spans="1:25" s="24" customFormat="1" ht="11.1" customHeight="1">
      <c r="A721" s="74">
        <f t="shared" si="71"/>
        <v>719</v>
      </c>
      <c r="B721" s="75" t="s">
        <v>1052</v>
      </c>
      <c r="C721" s="74" t="str">
        <f>IF($B721&lt;&gt;"",_xlfn.IFNA(VLOOKUP($B721,'Node Details'!$B:$U,C$1,0),"Check"),"")</f>
        <v>0000AXW01-AXW010105</v>
      </c>
      <c r="D721" s="74" t="str">
        <f>IF($B721&lt;&gt;"",_xlfn.IFNA(VLOOKUP($B721,'Node Details'!$B:$U,D$1,0),"Check"),"")</f>
        <v>AXW</v>
      </c>
      <c r="E721" s="74" t="str">
        <f>IF($B721&lt;&gt;"",_xlfn.IFNA(VLOOKUP($B721,'Node Details'!$B:$U,E$1,0),"Check"),"")</f>
        <v>Airtel</v>
      </c>
      <c r="F721" s="76">
        <v>46114</v>
      </c>
      <c r="G721" s="74"/>
      <c r="H721" s="10" t="s">
        <v>22</v>
      </c>
      <c r="I721" s="9">
        <v>2</v>
      </c>
      <c r="J721" s="9">
        <v>42</v>
      </c>
      <c r="K721" s="77">
        <f t="shared" si="72"/>
        <v>84</v>
      </c>
      <c r="L721" s="76">
        <v>46112</v>
      </c>
      <c r="N721" s="83"/>
      <c r="O721" s="84"/>
      <c r="P721" s="81"/>
      <c r="Q721" s="81"/>
      <c r="R721" s="81"/>
      <c r="S721" s="81"/>
      <c r="T721" s="85"/>
      <c r="U721" s="81"/>
      <c r="V721" s="81"/>
      <c r="W721" s="123">
        <f t="shared" si="73"/>
        <v>0</v>
      </c>
      <c r="X721" s="123" t="s">
        <v>84</v>
      </c>
      <c r="Y721" s="114" t="s">
        <v>93</v>
      </c>
    </row>
    <row r="722" spans="1:25" s="24" customFormat="1" ht="11.1" customHeight="1">
      <c r="A722" s="74">
        <f t="shared" si="71"/>
        <v>720</v>
      </c>
      <c r="B722" s="75" t="s">
        <v>394</v>
      </c>
      <c r="C722" s="74" t="str">
        <f>IF($B722&lt;&gt;"",_xlfn.IFNA(VLOOKUP($B722,'Node Details'!$B:$U,C$1,0),"Check"),"")</f>
        <v>0000AXW01-AXW010105</v>
      </c>
      <c r="D722" s="74" t="str">
        <f>IF($B722&lt;&gt;"",_xlfn.IFNA(VLOOKUP($B722,'Node Details'!$B:$U,D$1,0),"Check"),"")</f>
        <v>AXW</v>
      </c>
      <c r="E722" s="74" t="str">
        <f>IF($B722&lt;&gt;"",_xlfn.IFNA(VLOOKUP($B722,'Node Details'!$B:$U,E$1,0),"Check"),"")</f>
        <v>Airtel</v>
      </c>
      <c r="F722" s="76">
        <v>46114</v>
      </c>
      <c r="G722" s="74"/>
      <c r="H722" s="10" t="s">
        <v>22</v>
      </c>
      <c r="I722" s="9">
        <v>2</v>
      </c>
      <c r="J722" s="9">
        <v>42</v>
      </c>
      <c r="K722" s="77">
        <f t="shared" si="72"/>
        <v>84</v>
      </c>
      <c r="L722" s="76">
        <v>46112</v>
      </c>
      <c r="N722" s="83"/>
      <c r="O722" s="84"/>
      <c r="P722" s="81"/>
      <c r="Q722" s="81"/>
      <c r="R722" s="81"/>
      <c r="S722" s="81"/>
      <c r="T722" s="85"/>
      <c r="U722" s="81"/>
      <c r="V722" s="81"/>
      <c r="W722" s="123">
        <f t="shared" si="73"/>
        <v>0</v>
      </c>
      <c r="X722" s="123" t="s">
        <v>84</v>
      </c>
      <c r="Y722" s="114" t="s">
        <v>93</v>
      </c>
    </row>
    <row r="723" spans="1:25" s="24" customFormat="1" ht="11.1" customHeight="1">
      <c r="A723" s="74">
        <f t="shared" si="71"/>
        <v>721</v>
      </c>
      <c r="B723" s="75" t="s">
        <v>1053</v>
      </c>
      <c r="C723" s="74" t="str">
        <f>IF($B723&lt;&gt;"",_xlfn.IFNA(VLOOKUP($B723,'Node Details'!$B:$U,C$1,0),"Check"),"")</f>
        <v>0000AXW02-AXW020105</v>
      </c>
      <c r="D723" s="74" t="str">
        <f>IF($B723&lt;&gt;"",_xlfn.IFNA(VLOOKUP($B723,'Node Details'!$B:$U,D$1,0),"Check"),"")</f>
        <v>AXW</v>
      </c>
      <c r="E723" s="74" t="str">
        <f>IF($B723&lt;&gt;"",_xlfn.IFNA(VLOOKUP($B723,'Node Details'!$B:$U,E$1,0),"Check"),"")</f>
        <v>Airtel</v>
      </c>
      <c r="F723" s="76">
        <v>46114</v>
      </c>
      <c r="G723" s="74"/>
      <c r="H723" s="10" t="s">
        <v>22</v>
      </c>
      <c r="I723" s="9">
        <v>2</v>
      </c>
      <c r="J723" s="9">
        <v>42</v>
      </c>
      <c r="K723" s="77">
        <f t="shared" si="72"/>
        <v>84</v>
      </c>
      <c r="L723" s="76">
        <v>46112</v>
      </c>
      <c r="N723" s="83"/>
      <c r="O723" s="84"/>
      <c r="P723" s="81"/>
      <c r="Q723" s="81"/>
      <c r="R723" s="81"/>
      <c r="S723" s="81"/>
      <c r="T723" s="85"/>
      <c r="U723" s="81"/>
      <c r="V723" s="81"/>
      <c r="W723" s="123">
        <f t="shared" si="73"/>
        <v>0</v>
      </c>
      <c r="X723" s="123" t="s">
        <v>84</v>
      </c>
      <c r="Y723" s="114" t="s">
        <v>93</v>
      </c>
    </row>
    <row r="724" spans="1:25" s="24" customFormat="1" ht="11.1" customHeight="1">
      <c r="A724" s="74">
        <f t="shared" si="71"/>
        <v>722</v>
      </c>
      <c r="B724" s="75" t="s">
        <v>399</v>
      </c>
      <c r="C724" s="74" t="str">
        <f>IF($B724&lt;&gt;"",_xlfn.IFNA(VLOOKUP($B724,'Node Details'!$B:$U,C$1,0),"Check"),"")</f>
        <v>0000AXW02-AXW020101</v>
      </c>
      <c r="D724" s="74" t="str">
        <f>IF($B724&lt;&gt;"",_xlfn.IFNA(VLOOKUP($B724,'Node Details'!$B:$U,D$1,0),"Check"),"")</f>
        <v>AXW</v>
      </c>
      <c r="E724" s="74" t="str">
        <f>IF($B724&lt;&gt;"",_xlfn.IFNA(VLOOKUP($B724,'Node Details'!$B:$U,E$1,0),"Check"),"")</f>
        <v>Airtel</v>
      </c>
      <c r="F724" s="76">
        <v>46114</v>
      </c>
      <c r="G724" s="74"/>
      <c r="H724" s="10" t="s">
        <v>22</v>
      </c>
      <c r="I724" s="9">
        <v>2</v>
      </c>
      <c r="J724" s="9">
        <v>42</v>
      </c>
      <c r="K724" s="77">
        <f t="shared" si="72"/>
        <v>84</v>
      </c>
      <c r="L724" s="76">
        <v>46112</v>
      </c>
      <c r="N724" s="83"/>
      <c r="O724" s="84"/>
      <c r="P724" s="81"/>
      <c r="Q724" s="81"/>
      <c r="R724" s="81"/>
      <c r="S724" s="81"/>
      <c r="T724" s="85"/>
      <c r="U724" s="81"/>
      <c r="V724" s="81"/>
      <c r="W724" s="123">
        <f t="shared" si="73"/>
        <v>0</v>
      </c>
      <c r="X724" s="123" t="s">
        <v>84</v>
      </c>
      <c r="Y724" s="114" t="s">
        <v>93</v>
      </c>
    </row>
    <row r="725" spans="1:25" s="24" customFormat="1" ht="11.1" customHeight="1">
      <c r="A725" s="74">
        <f t="shared" si="71"/>
        <v>723</v>
      </c>
      <c r="B725" s="75" t="s">
        <v>1054</v>
      </c>
      <c r="C725" s="74" t="str">
        <f>IF($B725&lt;&gt;"",_xlfn.IFNA(VLOOKUP($B725,'Node Details'!$B:$U,C$1,0),"Check"),"")</f>
        <v>0000AXW02-AXW020105</v>
      </c>
      <c r="D725" s="74" t="str">
        <f>IF($B725&lt;&gt;"",_xlfn.IFNA(VLOOKUP($B725,'Node Details'!$B:$U,D$1,0),"Check"),"")</f>
        <v>AXW</v>
      </c>
      <c r="E725" s="74" t="str">
        <f>IF($B725&lt;&gt;"",_xlfn.IFNA(VLOOKUP($B725,'Node Details'!$B:$U,E$1,0),"Check"),"")</f>
        <v>Airtel</v>
      </c>
      <c r="F725" s="76">
        <v>46114</v>
      </c>
      <c r="G725" s="74"/>
      <c r="H725" s="10" t="s">
        <v>22</v>
      </c>
      <c r="I725" s="9">
        <v>2</v>
      </c>
      <c r="J725" s="9">
        <v>42</v>
      </c>
      <c r="K725" s="77">
        <f t="shared" si="72"/>
        <v>84</v>
      </c>
      <c r="L725" s="76">
        <v>46112</v>
      </c>
      <c r="N725" s="83"/>
      <c r="O725" s="84"/>
      <c r="P725" s="81"/>
      <c r="Q725" s="81"/>
      <c r="R725" s="81"/>
      <c r="S725" s="81"/>
      <c r="T725" s="85"/>
      <c r="U725" s="81"/>
      <c r="V725" s="81"/>
      <c r="W725" s="123">
        <f t="shared" si="73"/>
        <v>0</v>
      </c>
      <c r="X725" s="123" t="s">
        <v>84</v>
      </c>
      <c r="Y725" s="114" t="s">
        <v>93</v>
      </c>
    </row>
    <row r="726" spans="1:25" s="24" customFormat="1" ht="11.1" customHeight="1">
      <c r="A726" s="74">
        <f t="shared" si="71"/>
        <v>724</v>
      </c>
      <c r="B726" s="75" t="s">
        <v>1055</v>
      </c>
      <c r="C726" s="74" t="str">
        <f>IF($B726&lt;&gt;"",_xlfn.IFNA(VLOOKUP($B726,'Node Details'!$B:$U,C$1,0),"Check"),"")</f>
        <v>0000AXW02-AXW020105</v>
      </c>
      <c r="D726" s="74" t="str">
        <f>IF($B726&lt;&gt;"",_xlfn.IFNA(VLOOKUP($B726,'Node Details'!$B:$U,D$1,0),"Check"),"")</f>
        <v>AXW</v>
      </c>
      <c r="E726" s="74" t="str">
        <f>IF($B726&lt;&gt;"",_xlfn.IFNA(VLOOKUP($B726,'Node Details'!$B:$U,E$1,0),"Check"),"")</f>
        <v>Airtel</v>
      </c>
      <c r="F726" s="76">
        <v>46114</v>
      </c>
      <c r="G726" s="74"/>
      <c r="H726" s="10" t="s">
        <v>22</v>
      </c>
      <c r="I726" s="9">
        <v>2</v>
      </c>
      <c r="J726" s="9">
        <v>42</v>
      </c>
      <c r="K726" s="77">
        <f t="shared" si="72"/>
        <v>84</v>
      </c>
      <c r="L726" s="76">
        <v>46112</v>
      </c>
      <c r="N726" s="83"/>
      <c r="O726" s="84"/>
      <c r="P726" s="81"/>
      <c r="Q726" s="81"/>
      <c r="R726" s="81"/>
      <c r="S726" s="81"/>
      <c r="T726" s="85"/>
      <c r="U726" s="81"/>
      <c r="V726" s="81"/>
      <c r="W726" s="123">
        <f t="shared" si="73"/>
        <v>0</v>
      </c>
      <c r="X726" s="123" t="s">
        <v>84</v>
      </c>
      <c r="Y726" s="114" t="s">
        <v>93</v>
      </c>
    </row>
    <row r="727" spans="1:25" s="24" customFormat="1" ht="11.1" customHeight="1">
      <c r="A727" s="74">
        <f t="shared" si="71"/>
        <v>725</v>
      </c>
      <c r="B727" s="75" t="s">
        <v>397</v>
      </c>
      <c r="C727" s="74" t="str">
        <f>IF($B727&lt;&gt;"",_xlfn.IFNA(VLOOKUP($B727,'Node Details'!$B:$U,C$1,0),"Check"),"")</f>
        <v>0000AXW02-AXW020105</v>
      </c>
      <c r="D727" s="74" t="str">
        <f>IF($B727&lt;&gt;"",_xlfn.IFNA(VLOOKUP($B727,'Node Details'!$B:$U,D$1,0),"Check"),"")</f>
        <v>AXW</v>
      </c>
      <c r="E727" s="74" t="str">
        <f>IF($B727&lt;&gt;"",_xlfn.IFNA(VLOOKUP($B727,'Node Details'!$B:$U,E$1,0),"Check"),"")</f>
        <v>Airtel</v>
      </c>
      <c r="F727" s="76">
        <v>46114</v>
      </c>
      <c r="G727" s="74"/>
      <c r="H727" s="10" t="s">
        <v>22</v>
      </c>
      <c r="I727" s="9">
        <v>2</v>
      </c>
      <c r="J727" s="9">
        <v>42</v>
      </c>
      <c r="K727" s="77">
        <f t="shared" si="72"/>
        <v>84</v>
      </c>
      <c r="L727" s="76">
        <v>46112</v>
      </c>
      <c r="N727" s="83"/>
      <c r="O727" s="84"/>
      <c r="P727" s="81"/>
      <c r="Q727" s="81"/>
      <c r="R727" s="81"/>
      <c r="S727" s="81"/>
      <c r="T727" s="85"/>
      <c r="U727" s="81"/>
      <c r="V727" s="81"/>
      <c r="W727" s="123">
        <f t="shared" si="73"/>
        <v>0</v>
      </c>
      <c r="X727" s="123" t="s">
        <v>84</v>
      </c>
      <c r="Y727" s="114" t="s">
        <v>93</v>
      </c>
    </row>
    <row r="728" spans="1:25" s="24" customFormat="1" ht="11.1" customHeight="1">
      <c r="A728" s="74">
        <f t="shared" si="71"/>
        <v>726</v>
      </c>
      <c r="B728" s="75" t="s">
        <v>401</v>
      </c>
      <c r="C728" s="74" t="str">
        <f>IF($B728&lt;&gt;"",_xlfn.IFNA(VLOOKUP($B728,'Node Details'!$B:$U,C$1,0),"Check"),"")</f>
        <v>0000AXW02-AXW020106</v>
      </c>
      <c r="D728" s="74" t="str">
        <f>IF($B728&lt;&gt;"",_xlfn.IFNA(VLOOKUP($B728,'Node Details'!$B:$U,D$1,0),"Check"),"")</f>
        <v>AXW</v>
      </c>
      <c r="E728" s="74" t="str">
        <f>IF($B728&lt;&gt;"",_xlfn.IFNA(VLOOKUP($B728,'Node Details'!$B:$U,E$1,0),"Check"),"")</f>
        <v>Airtel</v>
      </c>
      <c r="F728" s="76">
        <v>46114</v>
      </c>
      <c r="G728" s="74"/>
      <c r="H728" s="10" t="s">
        <v>22</v>
      </c>
      <c r="I728" s="9">
        <v>2</v>
      </c>
      <c r="J728" s="9">
        <v>42</v>
      </c>
      <c r="K728" s="77">
        <f t="shared" si="72"/>
        <v>84</v>
      </c>
      <c r="L728" s="76">
        <v>46112</v>
      </c>
      <c r="N728" s="83"/>
      <c r="O728" s="84"/>
      <c r="P728" s="81"/>
      <c r="Q728" s="81"/>
      <c r="R728" s="81"/>
      <c r="S728" s="81"/>
      <c r="T728" s="85"/>
      <c r="U728" s="81"/>
      <c r="V728" s="81"/>
      <c r="W728" s="123">
        <f t="shared" si="73"/>
        <v>0</v>
      </c>
      <c r="X728" s="123" t="s">
        <v>84</v>
      </c>
      <c r="Y728" s="114" t="s">
        <v>93</v>
      </c>
    </row>
    <row r="729" spans="1:25" s="24" customFormat="1" ht="11.1" customHeight="1">
      <c r="A729" s="74">
        <f t="shared" si="71"/>
        <v>727</v>
      </c>
      <c r="B729" s="75" t="s">
        <v>1056</v>
      </c>
      <c r="C729" s="74" t="str">
        <f>IF($B729&lt;&gt;"",_xlfn.IFNA(VLOOKUP($B729,'Node Details'!$B:$U,C$1,0),"Check"),"")</f>
        <v>AXW020106-AXW020108</v>
      </c>
      <c r="D729" s="74" t="str">
        <f>IF($B729&lt;&gt;"",_xlfn.IFNA(VLOOKUP($B729,'Node Details'!$B:$U,D$1,0),"Check"),"")</f>
        <v>AXW</v>
      </c>
      <c r="E729" s="74" t="str">
        <f>IF($B729&lt;&gt;"",_xlfn.IFNA(VLOOKUP($B729,'Node Details'!$B:$U,E$1,0),"Check"),"")</f>
        <v>Airtel</v>
      </c>
      <c r="F729" s="76">
        <v>46114</v>
      </c>
      <c r="G729" s="74"/>
      <c r="H729" s="10" t="s">
        <v>22</v>
      </c>
      <c r="I729" s="9">
        <v>2</v>
      </c>
      <c r="J729" s="9">
        <v>42</v>
      </c>
      <c r="K729" s="77">
        <f t="shared" si="72"/>
        <v>84</v>
      </c>
      <c r="L729" s="76">
        <v>46112</v>
      </c>
      <c r="N729" s="83"/>
      <c r="O729" s="84"/>
      <c r="P729" s="81"/>
      <c r="Q729" s="81"/>
      <c r="R729" s="81"/>
      <c r="S729" s="81"/>
      <c r="T729" s="85"/>
      <c r="U729" s="81"/>
      <c r="V729" s="81"/>
      <c r="W729" s="123">
        <f t="shared" si="73"/>
        <v>0</v>
      </c>
      <c r="X729" s="123" t="s">
        <v>84</v>
      </c>
      <c r="Y729" s="114" t="s">
        <v>93</v>
      </c>
    </row>
    <row r="730" spans="1:25" s="24" customFormat="1" ht="11.1" customHeight="1">
      <c r="A730" s="74">
        <f t="shared" si="71"/>
        <v>728</v>
      </c>
      <c r="B730" s="75" t="s">
        <v>403</v>
      </c>
      <c r="C730" s="74" t="str">
        <f>IF($B730&lt;&gt;"",_xlfn.IFNA(VLOOKUP($B730,'Node Details'!$B:$U,C$1,0),"Check"),"")</f>
        <v>AXW020106-AXW020108</v>
      </c>
      <c r="D730" s="74" t="str">
        <f>IF($B730&lt;&gt;"",_xlfn.IFNA(VLOOKUP($B730,'Node Details'!$B:$U,D$1,0),"Check"),"")</f>
        <v>AXW</v>
      </c>
      <c r="E730" s="74" t="str">
        <f>IF($B730&lt;&gt;"",_xlfn.IFNA(VLOOKUP($B730,'Node Details'!$B:$U,E$1,0),"Check"),"")</f>
        <v>Airtel</v>
      </c>
      <c r="F730" s="76">
        <v>46114</v>
      </c>
      <c r="G730" s="74"/>
      <c r="H730" s="10" t="s">
        <v>22</v>
      </c>
      <c r="I730" s="9">
        <v>2</v>
      </c>
      <c r="J730" s="9">
        <v>42</v>
      </c>
      <c r="K730" s="77">
        <f t="shared" si="72"/>
        <v>84</v>
      </c>
      <c r="L730" s="76">
        <v>46112</v>
      </c>
      <c r="N730" s="83"/>
      <c r="O730" s="84"/>
      <c r="P730" s="81"/>
      <c r="Q730" s="81"/>
      <c r="R730" s="81"/>
      <c r="S730" s="81"/>
      <c r="T730" s="85"/>
      <c r="U730" s="81"/>
      <c r="V730" s="81"/>
      <c r="W730" s="123">
        <f t="shared" si="73"/>
        <v>0</v>
      </c>
      <c r="X730" s="123" t="s">
        <v>84</v>
      </c>
      <c r="Y730" s="114" t="s">
        <v>93</v>
      </c>
    </row>
    <row r="731" spans="1:25" s="24" customFormat="1" ht="11.1" customHeight="1">
      <c r="A731" s="74">
        <f t="shared" si="71"/>
        <v>729</v>
      </c>
      <c r="B731" s="75" t="s">
        <v>1057</v>
      </c>
      <c r="C731" s="74" t="str">
        <f>IF($B731&lt;&gt;"",_xlfn.IFNA(VLOOKUP($B731,'Node Details'!$B:$U,C$1,0),"Check"),"")</f>
        <v>AXW020106-AXW020203</v>
      </c>
      <c r="D731" s="74" t="str">
        <f>IF($B731&lt;&gt;"",_xlfn.IFNA(VLOOKUP($B731,'Node Details'!$B:$U,D$1,0),"Check"),"")</f>
        <v>AXW</v>
      </c>
      <c r="E731" s="74" t="str">
        <f>IF($B731&lt;&gt;"",_xlfn.IFNA(VLOOKUP($B731,'Node Details'!$B:$U,E$1,0),"Check"),"")</f>
        <v>Airtel</v>
      </c>
      <c r="F731" s="76">
        <v>46114</v>
      </c>
      <c r="G731" s="74"/>
      <c r="H731" s="10" t="s">
        <v>22</v>
      </c>
      <c r="I731" s="9">
        <v>2</v>
      </c>
      <c r="J731" s="9">
        <v>42</v>
      </c>
      <c r="K731" s="77">
        <f t="shared" si="72"/>
        <v>84</v>
      </c>
      <c r="L731" s="76">
        <v>46112</v>
      </c>
      <c r="N731" s="83"/>
      <c r="O731" s="84"/>
      <c r="P731" s="81"/>
      <c r="Q731" s="81"/>
      <c r="R731" s="81"/>
      <c r="S731" s="81"/>
      <c r="T731" s="85"/>
      <c r="U731" s="81"/>
      <c r="V731" s="81"/>
      <c r="W731" s="123">
        <f t="shared" si="73"/>
        <v>0</v>
      </c>
      <c r="X731" s="123" t="s">
        <v>84</v>
      </c>
      <c r="Y731" s="114" t="s">
        <v>93</v>
      </c>
    </row>
    <row r="732" spans="1:25" s="24" customFormat="1" ht="11.1" customHeight="1">
      <c r="A732" s="74">
        <f t="shared" si="71"/>
        <v>730</v>
      </c>
      <c r="B732" s="75" t="s">
        <v>1058</v>
      </c>
      <c r="C732" s="74" t="str">
        <f>IF($B732&lt;&gt;"",_xlfn.IFNA(VLOOKUP($B732,'Node Details'!$B:$U,C$1,0),"Check"),"")</f>
        <v>AXW020106-AXW020203</v>
      </c>
      <c r="D732" s="74" t="str">
        <f>IF($B732&lt;&gt;"",_xlfn.IFNA(VLOOKUP($B732,'Node Details'!$B:$U,D$1,0),"Check"),"")</f>
        <v>AXW</v>
      </c>
      <c r="E732" s="74" t="str">
        <f>IF($B732&lt;&gt;"",_xlfn.IFNA(VLOOKUP($B732,'Node Details'!$B:$U,E$1,0),"Check"),"")</f>
        <v>Airtel</v>
      </c>
      <c r="F732" s="76">
        <v>46114</v>
      </c>
      <c r="G732" s="74"/>
      <c r="H732" s="10" t="s">
        <v>22</v>
      </c>
      <c r="I732" s="9">
        <v>2</v>
      </c>
      <c r="J732" s="9">
        <v>42</v>
      </c>
      <c r="K732" s="77">
        <f t="shared" si="72"/>
        <v>84</v>
      </c>
      <c r="L732" s="76">
        <v>46112</v>
      </c>
      <c r="N732" s="83"/>
      <c r="O732" s="84"/>
      <c r="P732" s="81"/>
      <c r="Q732" s="81"/>
      <c r="R732" s="81"/>
      <c r="S732" s="81"/>
      <c r="T732" s="85"/>
      <c r="U732" s="81"/>
      <c r="V732" s="81"/>
      <c r="W732" s="123">
        <f t="shared" si="73"/>
        <v>0</v>
      </c>
      <c r="X732" s="123" t="s">
        <v>84</v>
      </c>
      <c r="Y732" s="114" t="s">
        <v>93</v>
      </c>
    </row>
    <row r="733" spans="1:25" s="24" customFormat="1" ht="11.1" customHeight="1">
      <c r="A733" s="74">
        <f t="shared" si="71"/>
        <v>731</v>
      </c>
      <c r="B733" s="75" t="s">
        <v>405</v>
      </c>
      <c r="C733" s="74" t="str">
        <f>IF($B733&lt;&gt;"",_xlfn.IFNA(VLOOKUP($B733,'Node Details'!$B:$U,C$1,0),"Check"),"")</f>
        <v>AXW020106-AXW020203</v>
      </c>
      <c r="D733" s="74" t="str">
        <f>IF($B733&lt;&gt;"",_xlfn.IFNA(VLOOKUP($B733,'Node Details'!$B:$U,D$1,0),"Check"),"")</f>
        <v>AXW</v>
      </c>
      <c r="E733" s="74" t="str">
        <f>IF($B733&lt;&gt;"",_xlfn.IFNA(VLOOKUP($B733,'Node Details'!$B:$U,E$1,0),"Check"),"")</f>
        <v>Airtel</v>
      </c>
      <c r="F733" s="76">
        <v>46114</v>
      </c>
      <c r="G733" s="74"/>
      <c r="H733" s="10" t="s">
        <v>22</v>
      </c>
      <c r="I733" s="9">
        <v>2</v>
      </c>
      <c r="J733" s="9">
        <v>42</v>
      </c>
      <c r="K733" s="77">
        <f t="shared" si="72"/>
        <v>84</v>
      </c>
      <c r="L733" s="76">
        <v>46112</v>
      </c>
      <c r="N733" s="83"/>
      <c r="O733" s="84"/>
      <c r="P733" s="81"/>
      <c r="Q733" s="81"/>
      <c r="R733" s="81"/>
      <c r="S733" s="81"/>
      <c r="T733" s="85"/>
      <c r="U733" s="81"/>
      <c r="V733" s="81"/>
      <c r="W733" s="123">
        <f t="shared" si="73"/>
        <v>0</v>
      </c>
      <c r="X733" s="123" t="s">
        <v>84</v>
      </c>
      <c r="Y733" s="114" t="s">
        <v>93</v>
      </c>
    </row>
    <row r="734" spans="1:25" s="24" customFormat="1" ht="11.1" customHeight="1">
      <c r="A734" s="74">
        <f t="shared" si="71"/>
        <v>732</v>
      </c>
      <c r="B734" s="75" t="s">
        <v>611</v>
      </c>
      <c r="C734" s="74" t="str">
        <f>IF($B734&lt;&gt;"",_xlfn.IFNA(VLOOKUP($B734,'Node Details'!$B:$U,C$1,0),"Check"),"")</f>
        <v>0000AXW02-AXW020204</v>
      </c>
      <c r="D734" s="74" t="str">
        <f>IF($B734&lt;&gt;"",_xlfn.IFNA(VLOOKUP($B734,'Node Details'!$B:$U,D$1,0),"Check"),"")</f>
        <v>AXW</v>
      </c>
      <c r="E734" s="74" t="str">
        <f>IF($B734&lt;&gt;"",_xlfn.IFNA(VLOOKUP($B734,'Node Details'!$B:$U,E$1,0),"Check"),"")</f>
        <v>Airtel</v>
      </c>
      <c r="F734" s="76">
        <v>46114</v>
      </c>
      <c r="G734" s="74"/>
      <c r="H734" s="10" t="s">
        <v>22</v>
      </c>
      <c r="I734" s="9">
        <v>2</v>
      </c>
      <c r="J734" s="9">
        <v>42</v>
      </c>
      <c r="K734" s="77">
        <f t="shared" si="72"/>
        <v>84</v>
      </c>
      <c r="L734" s="76">
        <v>46112</v>
      </c>
      <c r="N734" s="83"/>
      <c r="O734" s="84"/>
      <c r="P734" s="81"/>
      <c r="Q734" s="81"/>
      <c r="R734" s="81"/>
      <c r="S734" s="81"/>
      <c r="T734" s="85"/>
      <c r="U734" s="81"/>
      <c r="V734" s="81"/>
      <c r="W734" s="123">
        <f t="shared" si="73"/>
        <v>0</v>
      </c>
      <c r="X734" s="123" t="s">
        <v>84</v>
      </c>
      <c r="Y734" s="114" t="s">
        <v>93</v>
      </c>
    </row>
    <row r="735" spans="1:25" s="24" customFormat="1" ht="11.1" customHeight="1">
      <c r="A735" s="74">
        <f t="shared" si="71"/>
        <v>733</v>
      </c>
      <c r="B735" s="75" t="s">
        <v>1059</v>
      </c>
      <c r="C735" s="74" t="str">
        <f>IF($B735&lt;&gt;"",_xlfn.IFNA(VLOOKUP($B735,'Node Details'!$B:$U,C$1,0),"Check"),"")</f>
        <v>0000AXW03-AXW030104</v>
      </c>
      <c r="D735" s="74" t="str">
        <f>IF($B735&lt;&gt;"",_xlfn.IFNA(VLOOKUP($B735,'Node Details'!$B:$U,D$1,0),"Check"),"")</f>
        <v>AXW</v>
      </c>
      <c r="E735" s="74" t="str">
        <f>IF($B735&lt;&gt;"",_xlfn.IFNA(VLOOKUP($B735,'Node Details'!$B:$U,E$1,0),"Check"),"")</f>
        <v>Airtel</v>
      </c>
      <c r="F735" s="76">
        <v>46114</v>
      </c>
      <c r="G735" s="74"/>
      <c r="H735" s="10" t="s">
        <v>22</v>
      </c>
      <c r="I735" s="9">
        <v>2</v>
      </c>
      <c r="J735" s="9">
        <v>42</v>
      </c>
      <c r="K735" s="77">
        <f t="shared" si="72"/>
        <v>84</v>
      </c>
      <c r="L735" s="76">
        <v>46112</v>
      </c>
      <c r="N735" s="83"/>
      <c r="O735" s="84"/>
      <c r="P735" s="81"/>
      <c r="Q735" s="81"/>
      <c r="R735" s="81"/>
      <c r="S735" s="81"/>
      <c r="T735" s="85"/>
      <c r="U735" s="81"/>
      <c r="V735" s="81"/>
      <c r="W735" s="123">
        <f t="shared" si="73"/>
        <v>0</v>
      </c>
      <c r="X735" s="123" t="s">
        <v>84</v>
      </c>
      <c r="Y735" s="114" t="s">
        <v>93</v>
      </c>
    </row>
    <row r="736" spans="1:25" s="24" customFormat="1" ht="11.1" customHeight="1">
      <c r="A736" s="74">
        <f t="shared" si="71"/>
        <v>734</v>
      </c>
      <c r="B736" s="75" t="s">
        <v>1060</v>
      </c>
      <c r="C736" s="74" t="str">
        <f>IF($B736&lt;&gt;"",_xlfn.IFNA(VLOOKUP($B736,'Node Details'!$B:$U,C$1,0),"Check"),"")</f>
        <v>0000AXW03-AXW030104</v>
      </c>
      <c r="D736" s="74" t="str">
        <f>IF($B736&lt;&gt;"",_xlfn.IFNA(VLOOKUP($B736,'Node Details'!$B:$U,D$1,0),"Check"),"")</f>
        <v>AXW</v>
      </c>
      <c r="E736" s="74" t="str">
        <f>IF($B736&lt;&gt;"",_xlfn.IFNA(VLOOKUP($B736,'Node Details'!$B:$U,E$1,0),"Check"),"")</f>
        <v>Airtel</v>
      </c>
      <c r="F736" s="76">
        <v>46114</v>
      </c>
      <c r="G736" s="74"/>
      <c r="H736" s="10" t="s">
        <v>22</v>
      </c>
      <c r="I736" s="9">
        <v>2</v>
      </c>
      <c r="J736" s="9">
        <v>42</v>
      </c>
      <c r="K736" s="77">
        <f t="shared" si="72"/>
        <v>84</v>
      </c>
      <c r="L736" s="76">
        <v>46112</v>
      </c>
      <c r="N736" s="83"/>
      <c r="O736" s="84"/>
      <c r="P736" s="81"/>
      <c r="Q736" s="81"/>
      <c r="R736" s="81"/>
      <c r="S736" s="81"/>
      <c r="T736" s="85"/>
      <c r="U736" s="81"/>
      <c r="V736" s="81"/>
      <c r="W736" s="123">
        <f t="shared" si="73"/>
        <v>0</v>
      </c>
      <c r="X736" s="123" t="s">
        <v>84</v>
      </c>
      <c r="Y736" s="114" t="s">
        <v>93</v>
      </c>
    </row>
    <row r="737" spans="1:25" s="24" customFormat="1" ht="11.1" customHeight="1">
      <c r="A737" s="74">
        <f t="shared" si="71"/>
        <v>735</v>
      </c>
      <c r="B737" s="75" t="s">
        <v>1061</v>
      </c>
      <c r="C737" s="74" t="str">
        <f>IF($B737&lt;&gt;"",_xlfn.IFNA(VLOOKUP($B737,'Node Details'!$B:$U,C$1,0),"Check"),"")</f>
        <v>0000AXW03-AXW030104</v>
      </c>
      <c r="D737" s="74" t="str">
        <f>IF($B737&lt;&gt;"",_xlfn.IFNA(VLOOKUP($B737,'Node Details'!$B:$U,D$1,0),"Check"),"")</f>
        <v>AXW</v>
      </c>
      <c r="E737" s="74" t="str">
        <f>IF($B737&lt;&gt;"",_xlfn.IFNA(VLOOKUP($B737,'Node Details'!$B:$U,E$1,0),"Check"),"")</f>
        <v>Airtel</v>
      </c>
      <c r="F737" s="76">
        <v>46114</v>
      </c>
      <c r="G737" s="74"/>
      <c r="H737" s="10" t="s">
        <v>22</v>
      </c>
      <c r="I737" s="9">
        <v>2</v>
      </c>
      <c r="J737" s="9">
        <v>42</v>
      </c>
      <c r="K737" s="77">
        <f t="shared" si="72"/>
        <v>84</v>
      </c>
      <c r="L737" s="76">
        <v>46112</v>
      </c>
      <c r="N737" s="83"/>
      <c r="O737" s="84"/>
      <c r="P737" s="81"/>
      <c r="Q737" s="81"/>
      <c r="R737" s="81"/>
      <c r="S737" s="81"/>
      <c r="T737" s="85"/>
      <c r="U737" s="81"/>
      <c r="V737" s="81"/>
      <c r="W737" s="123">
        <f t="shared" si="73"/>
        <v>0</v>
      </c>
      <c r="X737" s="123" t="s">
        <v>84</v>
      </c>
      <c r="Y737" s="114" t="s">
        <v>93</v>
      </c>
    </row>
    <row r="738" spans="1:25" s="24" customFormat="1" ht="11.1" customHeight="1">
      <c r="A738" s="74">
        <f t="shared" si="71"/>
        <v>736</v>
      </c>
      <c r="B738" s="75" t="s">
        <v>408</v>
      </c>
      <c r="C738" s="74" t="str">
        <f>IF($B738&lt;&gt;"",_xlfn.IFNA(VLOOKUP($B738,'Node Details'!$B:$U,C$1,0),"Check"),"")</f>
        <v>0000AXW03-AXW030104</v>
      </c>
      <c r="D738" s="74" t="str">
        <f>IF($B738&lt;&gt;"",_xlfn.IFNA(VLOOKUP($B738,'Node Details'!$B:$U,D$1,0),"Check"),"")</f>
        <v>AXW</v>
      </c>
      <c r="E738" s="74" t="str">
        <f>IF($B738&lt;&gt;"",_xlfn.IFNA(VLOOKUP($B738,'Node Details'!$B:$U,E$1,0),"Check"),"")</f>
        <v>Airtel</v>
      </c>
      <c r="F738" s="76">
        <v>46114</v>
      </c>
      <c r="G738" s="74"/>
      <c r="H738" s="10" t="s">
        <v>22</v>
      </c>
      <c r="I738" s="9">
        <v>2</v>
      </c>
      <c r="J738" s="9">
        <v>42</v>
      </c>
      <c r="K738" s="77">
        <f t="shared" si="72"/>
        <v>84</v>
      </c>
      <c r="L738" s="76">
        <v>46112</v>
      </c>
      <c r="N738" s="83"/>
      <c r="O738" s="84"/>
      <c r="P738" s="81"/>
      <c r="Q738" s="81"/>
      <c r="R738" s="81"/>
      <c r="S738" s="81"/>
      <c r="T738" s="85"/>
      <c r="U738" s="81"/>
      <c r="V738" s="81"/>
      <c r="W738" s="123">
        <f t="shared" si="73"/>
        <v>0</v>
      </c>
      <c r="X738" s="123" t="s">
        <v>84</v>
      </c>
      <c r="Y738" s="114" t="s">
        <v>93</v>
      </c>
    </row>
    <row r="739" spans="1:25" s="24" customFormat="1" ht="11.1" customHeight="1">
      <c r="A739" s="74">
        <f t="shared" si="71"/>
        <v>737</v>
      </c>
      <c r="B739" s="75" t="s">
        <v>410</v>
      </c>
      <c r="C739" s="74" t="str">
        <f>IF($B739&lt;&gt;"",_xlfn.IFNA(VLOOKUP($B739,'Node Details'!$B:$U,C$1,0),"Check"),"")</f>
        <v>AXW030104-AXW030105</v>
      </c>
      <c r="D739" s="74" t="str">
        <f>IF($B739&lt;&gt;"",_xlfn.IFNA(VLOOKUP($B739,'Node Details'!$B:$U,D$1,0),"Check"),"")</f>
        <v>AXW</v>
      </c>
      <c r="E739" s="74" t="str">
        <f>IF($B739&lt;&gt;"",_xlfn.IFNA(VLOOKUP($B739,'Node Details'!$B:$U,E$1,0),"Check"),"")</f>
        <v>Airtel</v>
      </c>
      <c r="F739" s="76">
        <v>46114</v>
      </c>
      <c r="G739" s="74"/>
      <c r="H739" s="10" t="s">
        <v>22</v>
      </c>
      <c r="I739" s="9">
        <v>2</v>
      </c>
      <c r="J739" s="9">
        <v>42</v>
      </c>
      <c r="K739" s="77">
        <f t="shared" si="72"/>
        <v>84</v>
      </c>
      <c r="L739" s="76">
        <v>46112</v>
      </c>
      <c r="N739" s="83"/>
      <c r="O739" s="84"/>
      <c r="P739" s="81"/>
      <c r="Q739" s="81"/>
      <c r="R739" s="81"/>
      <c r="S739" s="81"/>
      <c r="T739" s="85"/>
      <c r="U739" s="81"/>
      <c r="V739" s="81"/>
      <c r="W739" s="123">
        <f t="shared" si="73"/>
        <v>0</v>
      </c>
      <c r="X739" s="123" t="s">
        <v>84</v>
      </c>
      <c r="Y739" s="114" t="s">
        <v>93</v>
      </c>
    </row>
    <row r="740" spans="1:25" s="24" customFormat="1" ht="11.1" customHeight="1">
      <c r="A740" s="74">
        <f t="shared" si="71"/>
        <v>738</v>
      </c>
      <c r="B740" s="75" t="s">
        <v>1062</v>
      </c>
      <c r="C740" s="74" t="str">
        <f>IF($B740&lt;&gt;"",_xlfn.IFNA(VLOOKUP($B740,'Node Details'!$B:$U,C$1,0),"Check"),"")</f>
        <v>AXW030104-AXW030108</v>
      </c>
      <c r="D740" s="74" t="str">
        <f>IF($B740&lt;&gt;"",_xlfn.IFNA(VLOOKUP($B740,'Node Details'!$B:$U,D$1,0),"Check"),"")</f>
        <v>AXW</v>
      </c>
      <c r="E740" s="74" t="str">
        <f>IF($B740&lt;&gt;"",_xlfn.IFNA(VLOOKUP($B740,'Node Details'!$B:$U,E$1,0),"Check"),"")</f>
        <v>Airtel</v>
      </c>
      <c r="F740" s="76">
        <v>46114</v>
      </c>
      <c r="G740" s="74"/>
      <c r="H740" s="10" t="s">
        <v>22</v>
      </c>
      <c r="I740" s="9">
        <v>2</v>
      </c>
      <c r="J740" s="9">
        <v>42</v>
      </c>
      <c r="K740" s="77">
        <f t="shared" si="72"/>
        <v>84</v>
      </c>
      <c r="L740" s="76">
        <v>46112</v>
      </c>
      <c r="N740" s="83"/>
      <c r="O740" s="84"/>
      <c r="P740" s="81"/>
      <c r="Q740" s="81"/>
      <c r="R740" s="81"/>
      <c r="S740" s="81"/>
      <c r="T740" s="85"/>
      <c r="U740" s="81"/>
      <c r="V740" s="81"/>
      <c r="W740" s="123">
        <f t="shared" si="73"/>
        <v>0</v>
      </c>
      <c r="X740" s="123" t="s">
        <v>84</v>
      </c>
      <c r="Y740" s="114" t="s">
        <v>93</v>
      </c>
    </row>
    <row r="741" spans="1:25" s="24" customFormat="1" ht="11.1" customHeight="1">
      <c r="A741" s="74">
        <f t="shared" si="71"/>
        <v>739</v>
      </c>
      <c r="B741" s="75" t="s">
        <v>412</v>
      </c>
      <c r="C741" s="74" t="str">
        <f>IF($B741&lt;&gt;"",_xlfn.IFNA(VLOOKUP($B741,'Node Details'!$B:$U,C$1,0),"Check"),"")</f>
        <v>AXW030104-AXW030108</v>
      </c>
      <c r="D741" s="74" t="str">
        <f>IF($B741&lt;&gt;"",_xlfn.IFNA(VLOOKUP($B741,'Node Details'!$B:$U,D$1,0),"Check"),"")</f>
        <v>AXW</v>
      </c>
      <c r="E741" s="74" t="str">
        <f>IF($B741&lt;&gt;"",_xlfn.IFNA(VLOOKUP($B741,'Node Details'!$B:$U,E$1,0),"Check"),"")</f>
        <v>Airtel</v>
      </c>
      <c r="F741" s="76">
        <v>46114</v>
      </c>
      <c r="G741" s="74"/>
      <c r="H741" s="10" t="s">
        <v>22</v>
      </c>
      <c r="I741" s="9">
        <v>2</v>
      </c>
      <c r="J741" s="9">
        <v>42</v>
      </c>
      <c r="K741" s="77">
        <f t="shared" si="72"/>
        <v>84</v>
      </c>
      <c r="L741" s="76">
        <v>46112</v>
      </c>
      <c r="N741" s="83"/>
      <c r="O741" s="84"/>
      <c r="P741" s="81"/>
      <c r="Q741" s="81"/>
      <c r="R741" s="81"/>
      <c r="S741" s="81"/>
      <c r="T741" s="85"/>
      <c r="U741" s="81"/>
      <c r="V741" s="81"/>
      <c r="W741" s="123">
        <f t="shared" si="73"/>
        <v>0</v>
      </c>
      <c r="X741" s="123" t="s">
        <v>84</v>
      </c>
      <c r="Y741" s="114" t="s">
        <v>93</v>
      </c>
    </row>
    <row r="742" spans="1:25" s="24" customFormat="1" ht="11.1" customHeight="1">
      <c r="A742" s="74">
        <f t="shared" si="71"/>
        <v>740</v>
      </c>
      <c r="B742" s="75" t="s">
        <v>1063</v>
      </c>
      <c r="C742" s="74" t="str">
        <f>IF($B742&lt;&gt;"",_xlfn.IFNA(VLOOKUP($B742,'Node Details'!$B:$U,C$1,0),"Check"),"")</f>
        <v>0000AXW04-AXW040102</v>
      </c>
      <c r="D742" s="74" t="str">
        <f>IF($B742&lt;&gt;"",_xlfn.IFNA(VLOOKUP($B742,'Node Details'!$B:$U,D$1,0),"Check"),"")</f>
        <v>AXW</v>
      </c>
      <c r="E742" s="74" t="str">
        <f>IF($B742&lt;&gt;"",_xlfn.IFNA(VLOOKUP($B742,'Node Details'!$B:$U,E$1,0),"Check"),"")</f>
        <v>Airtel</v>
      </c>
      <c r="F742" s="76">
        <v>46114</v>
      </c>
      <c r="G742" s="74"/>
      <c r="H742" s="10" t="s">
        <v>22</v>
      </c>
      <c r="I742" s="9">
        <v>2</v>
      </c>
      <c r="J742" s="9">
        <v>42</v>
      </c>
      <c r="K742" s="77">
        <f t="shared" si="72"/>
        <v>84</v>
      </c>
      <c r="L742" s="76">
        <v>46112</v>
      </c>
      <c r="N742" s="83"/>
      <c r="O742" s="84"/>
      <c r="P742" s="81"/>
      <c r="Q742" s="81"/>
      <c r="R742" s="81"/>
      <c r="S742" s="81"/>
      <c r="T742" s="85"/>
      <c r="U742" s="81"/>
      <c r="V742" s="81"/>
      <c r="W742" s="123">
        <f t="shared" si="73"/>
        <v>0</v>
      </c>
      <c r="X742" s="123" t="s">
        <v>84</v>
      </c>
      <c r="Y742" s="114" t="s">
        <v>93</v>
      </c>
    </row>
    <row r="743" spans="1:25" s="24" customFormat="1" ht="11.1" customHeight="1">
      <c r="A743" s="74">
        <f t="shared" si="71"/>
        <v>741</v>
      </c>
      <c r="B743" s="75" t="s">
        <v>415</v>
      </c>
      <c r="C743" s="74" t="str">
        <f>IF($B743&lt;&gt;"",_xlfn.IFNA(VLOOKUP($B743,'Node Details'!$B:$U,C$1,0),"Check"),"")</f>
        <v>0000AXW04-AXW040102</v>
      </c>
      <c r="D743" s="74" t="str">
        <f>IF($B743&lt;&gt;"",_xlfn.IFNA(VLOOKUP($B743,'Node Details'!$B:$U,D$1,0),"Check"),"")</f>
        <v>AXW</v>
      </c>
      <c r="E743" s="74" t="str">
        <f>IF($B743&lt;&gt;"",_xlfn.IFNA(VLOOKUP($B743,'Node Details'!$B:$U,E$1,0),"Check"),"")</f>
        <v>Airtel</v>
      </c>
      <c r="F743" s="76">
        <v>46114</v>
      </c>
      <c r="G743" s="74"/>
      <c r="H743" s="10" t="s">
        <v>22</v>
      </c>
      <c r="I743" s="9">
        <v>2</v>
      </c>
      <c r="J743" s="9">
        <v>42</v>
      </c>
      <c r="K743" s="77">
        <f t="shared" si="72"/>
        <v>84</v>
      </c>
      <c r="L743" s="76">
        <v>46112</v>
      </c>
      <c r="N743" s="83"/>
      <c r="O743" s="84"/>
      <c r="P743" s="81"/>
      <c r="Q743" s="81"/>
      <c r="R743" s="81"/>
      <c r="S743" s="81"/>
      <c r="T743" s="85"/>
      <c r="U743" s="81"/>
      <c r="V743" s="81"/>
      <c r="W743" s="123">
        <f t="shared" si="73"/>
        <v>0</v>
      </c>
      <c r="X743" s="123" t="s">
        <v>84</v>
      </c>
      <c r="Y743" s="114" t="s">
        <v>93</v>
      </c>
    </row>
    <row r="744" spans="1:25" s="24" customFormat="1" ht="11.1" customHeight="1">
      <c r="A744" s="74">
        <f t="shared" si="71"/>
        <v>742</v>
      </c>
      <c r="B744" s="75" t="s">
        <v>1064</v>
      </c>
      <c r="C744" s="74" t="str">
        <f>IF($B744&lt;&gt;"",_xlfn.IFNA(VLOOKUP($B744,'Node Details'!$B:$U,C$1,0),"Check"),"")</f>
        <v>0000AXW04-AXW040105</v>
      </c>
      <c r="D744" s="74" t="str">
        <f>IF($B744&lt;&gt;"",_xlfn.IFNA(VLOOKUP($B744,'Node Details'!$B:$U,D$1,0),"Check"),"")</f>
        <v>AXW</v>
      </c>
      <c r="E744" s="74" t="str">
        <f>IF($B744&lt;&gt;"",_xlfn.IFNA(VLOOKUP($B744,'Node Details'!$B:$U,E$1,0),"Check"),"")</f>
        <v>Airtel</v>
      </c>
      <c r="F744" s="76">
        <v>46114</v>
      </c>
      <c r="G744" s="74"/>
      <c r="H744" s="10" t="s">
        <v>22</v>
      </c>
      <c r="I744" s="9">
        <v>2</v>
      </c>
      <c r="J744" s="9">
        <v>42</v>
      </c>
      <c r="K744" s="77">
        <f t="shared" si="72"/>
        <v>84</v>
      </c>
      <c r="L744" s="76">
        <v>46112</v>
      </c>
      <c r="N744" s="83"/>
      <c r="O744" s="84"/>
      <c r="P744" s="81"/>
      <c r="Q744" s="81"/>
      <c r="R744" s="81"/>
      <c r="S744" s="81"/>
      <c r="T744" s="85"/>
      <c r="U744" s="81"/>
      <c r="V744" s="81"/>
      <c r="W744" s="123">
        <f t="shared" si="73"/>
        <v>0</v>
      </c>
      <c r="X744" s="123" t="s">
        <v>84</v>
      </c>
      <c r="Y744" s="114" t="s">
        <v>93</v>
      </c>
    </row>
    <row r="745" spans="1:25" s="24" customFormat="1" ht="11.1" customHeight="1">
      <c r="A745" s="74">
        <f t="shared" si="71"/>
        <v>743</v>
      </c>
      <c r="B745" s="75" t="s">
        <v>417</v>
      </c>
      <c r="C745" s="74" t="str">
        <f>IF($B745&lt;&gt;"",_xlfn.IFNA(VLOOKUP($B745,'Node Details'!$B:$U,C$1,0),"Check"),"")</f>
        <v>0000AXW04-AXW040105</v>
      </c>
      <c r="D745" s="74" t="str">
        <f>IF($B745&lt;&gt;"",_xlfn.IFNA(VLOOKUP($B745,'Node Details'!$B:$U,D$1,0),"Check"),"")</f>
        <v>AXW</v>
      </c>
      <c r="E745" s="74" t="str">
        <f>IF($B745&lt;&gt;"",_xlfn.IFNA(VLOOKUP($B745,'Node Details'!$B:$U,E$1,0),"Check"),"")</f>
        <v>Airtel</v>
      </c>
      <c r="F745" s="76">
        <v>46114</v>
      </c>
      <c r="G745" s="74"/>
      <c r="H745" s="10" t="s">
        <v>22</v>
      </c>
      <c r="I745" s="9">
        <v>2</v>
      </c>
      <c r="J745" s="9">
        <v>42</v>
      </c>
      <c r="K745" s="77">
        <f t="shared" si="72"/>
        <v>84</v>
      </c>
      <c r="L745" s="76">
        <v>46112</v>
      </c>
      <c r="N745" s="83"/>
      <c r="O745" s="84"/>
      <c r="P745" s="81"/>
      <c r="Q745" s="81"/>
      <c r="R745" s="81"/>
      <c r="S745" s="81"/>
      <c r="T745" s="85"/>
      <c r="U745" s="81"/>
      <c r="V745" s="81"/>
      <c r="W745" s="123">
        <f t="shared" si="73"/>
        <v>0</v>
      </c>
      <c r="X745" s="123" t="s">
        <v>84</v>
      </c>
      <c r="Y745" s="114" t="s">
        <v>93</v>
      </c>
    </row>
    <row r="746" spans="1:25" s="24" customFormat="1" ht="11.1" customHeight="1">
      <c r="A746" s="74">
        <f t="shared" si="71"/>
        <v>744</v>
      </c>
      <c r="B746" s="75" t="s">
        <v>1065</v>
      </c>
      <c r="C746" s="74" t="str">
        <f>IF($B746&lt;&gt;"",_xlfn.IFNA(VLOOKUP($B746,'Node Details'!$B:$U,C$1,0),"Check"),"")</f>
        <v>00AXW-FMS-AXW040201</v>
      </c>
      <c r="D746" s="74" t="str">
        <f>IF($B746&lt;&gt;"",_xlfn.IFNA(VLOOKUP($B746,'Node Details'!$B:$U,D$1,0),"Check"),"")</f>
        <v>AXW</v>
      </c>
      <c r="E746" s="74" t="str">
        <f>IF($B746&lt;&gt;"",_xlfn.IFNA(VLOOKUP($B746,'Node Details'!$B:$U,E$1,0),"Check"),"")</f>
        <v>Airtel</v>
      </c>
      <c r="F746" s="76">
        <v>46114</v>
      </c>
      <c r="G746" s="74"/>
      <c r="H746" s="10" t="s">
        <v>22</v>
      </c>
      <c r="I746" s="9">
        <v>2</v>
      </c>
      <c r="J746" s="9">
        <v>42</v>
      </c>
      <c r="K746" s="77">
        <f t="shared" si="72"/>
        <v>84</v>
      </c>
      <c r="L746" s="76">
        <v>46112</v>
      </c>
      <c r="N746" s="83"/>
      <c r="O746" s="84"/>
      <c r="P746" s="81"/>
      <c r="Q746" s="81"/>
      <c r="R746" s="81"/>
      <c r="S746" s="81"/>
      <c r="T746" s="85"/>
      <c r="U746" s="81"/>
      <c r="V746" s="81"/>
      <c r="W746" s="123">
        <f t="shared" si="73"/>
        <v>0</v>
      </c>
      <c r="X746" s="123" t="s">
        <v>84</v>
      </c>
      <c r="Y746" s="114" t="s">
        <v>93</v>
      </c>
    </row>
    <row r="747" spans="1:25" s="24" customFormat="1" ht="11.1" customHeight="1">
      <c r="A747" s="74">
        <f t="shared" si="71"/>
        <v>745</v>
      </c>
      <c r="B747" s="75" t="s">
        <v>1066</v>
      </c>
      <c r="C747" s="74" t="str">
        <f>IF($B747&lt;&gt;"",_xlfn.IFNA(VLOOKUP($B747,'Node Details'!$B:$U,C$1,0),"Check"),"")</f>
        <v>00AXW-FMS-AXW040201</v>
      </c>
      <c r="D747" s="74" t="str">
        <f>IF($B747&lt;&gt;"",_xlfn.IFNA(VLOOKUP($B747,'Node Details'!$B:$U,D$1,0),"Check"),"")</f>
        <v>AXW</v>
      </c>
      <c r="E747" s="74" t="str">
        <f>IF($B747&lt;&gt;"",_xlfn.IFNA(VLOOKUP($B747,'Node Details'!$B:$U,E$1,0),"Check"),"")</f>
        <v>Airtel</v>
      </c>
      <c r="F747" s="76">
        <v>46114</v>
      </c>
      <c r="G747" s="74"/>
      <c r="H747" s="10" t="s">
        <v>22</v>
      </c>
      <c r="I747" s="9">
        <v>2</v>
      </c>
      <c r="J747" s="9">
        <v>42</v>
      </c>
      <c r="K747" s="77">
        <f t="shared" si="72"/>
        <v>84</v>
      </c>
      <c r="L747" s="76">
        <v>46112</v>
      </c>
      <c r="N747" s="83"/>
      <c r="O747" s="84"/>
      <c r="P747" s="81"/>
      <c r="Q747" s="81"/>
      <c r="R747" s="81"/>
      <c r="S747" s="81"/>
      <c r="T747" s="85"/>
      <c r="U747" s="81"/>
      <c r="V747" s="81"/>
      <c r="W747" s="123">
        <f t="shared" si="73"/>
        <v>0</v>
      </c>
      <c r="X747" s="123" t="s">
        <v>84</v>
      </c>
      <c r="Y747" s="114" t="s">
        <v>93</v>
      </c>
    </row>
    <row r="748" spans="1:25" s="24" customFormat="1" ht="11.1" customHeight="1">
      <c r="A748" s="74">
        <f t="shared" si="71"/>
        <v>746</v>
      </c>
      <c r="B748" s="75" t="s">
        <v>1067</v>
      </c>
      <c r="C748" s="74" t="str">
        <f>IF($B748&lt;&gt;"",_xlfn.IFNA(VLOOKUP($B748,'Node Details'!$B:$U,C$1,0),"Check"),"")</f>
        <v>00AXW-FMS-AXW040201</v>
      </c>
      <c r="D748" s="74" t="str">
        <f>IF($B748&lt;&gt;"",_xlfn.IFNA(VLOOKUP($B748,'Node Details'!$B:$U,D$1,0),"Check"),"")</f>
        <v>AXW</v>
      </c>
      <c r="E748" s="74" t="str">
        <f>IF($B748&lt;&gt;"",_xlfn.IFNA(VLOOKUP($B748,'Node Details'!$B:$U,E$1,0),"Check"),"")</f>
        <v>Airtel</v>
      </c>
      <c r="F748" s="76">
        <v>46114</v>
      </c>
      <c r="G748" s="74"/>
      <c r="H748" s="10" t="s">
        <v>22</v>
      </c>
      <c r="I748" s="9">
        <v>2</v>
      </c>
      <c r="J748" s="9">
        <v>42</v>
      </c>
      <c r="K748" s="77">
        <f t="shared" si="72"/>
        <v>84</v>
      </c>
      <c r="L748" s="76">
        <v>46112</v>
      </c>
      <c r="N748" s="83"/>
      <c r="O748" s="84"/>
      <c r="P748" s="81"/>
      <c r="Q748" s="81"/>
      <c r="R748" s="81"/>
      <c r="S748" s="81"/>
      <c r="T748" s="85"/>
      <c r="U748" s="81"/>
      <c r="V748" s="81"/>
      <c r="W748" s="123">
        <f t="shared" si="73"/>
        <v>0</v>
      </c>
      <c r="X748" s="123" t="s">
        <v>84</v>
      </c>
      <c r="Y748" s="114" t="s">
        <v>93</v>
      </c>
    </row>
    <row r="749" spans="1:25" s="24" customFormat="1" ht="11.1" customHeight="1">
      <c r="A749" s="74">
        <f t="shared" si="71"/>
        <v>747</v>
      </c>
      <c r="B749" s="75" t="s">
        <v>420</v>
      </c>
      <c r="C749" s="74" t="str">
        <f>IF($B749&lt;&gt;"",_xlfn.IFNA(VLOOKUP($B749,'Node Details'!$B:$U,C$1,0),"Check"),"")</f>
        <v>00AXW-FMS-AXW040201</v>
      </c>
      <c r="D749" s="74" t="str">
        <f>IF($B749&lt;&gt;"",_xlfn.IFNA(VLOOKUP($B749,'Node Details'!$B:$U,D$1,0),"Check"),"")</f>
        <v>AXW</v>
      </c>
      <c r="E749" s="74" t="str">
        <f>IF($B749&lt;&gt;"",_xlfn.IFNA(VLOOKUP($B749,'Node Details'!$B:$U,E$1,0),"Check"),"")</f>
        <v>Airtel</v>
      </c>
      <c r="F749" s="76">
        <v>46114</v>
      </c>
      <c r="G749" s="74"/>
      <c r="H749" s="10" t="s">
        <v>22</v>
      </c>
      <c r="I749" s="9">
        <v>2</v>
      </c>
      <c r="J749" s="9">
        <v>42</v>
      </c>
      <c r="K749" s="77">
        <f t="shared" si="72"/>
        <v>84</v>
      </c>
      <c r="L749" s="76">
        <v>46112</v>
      </c>
      <c r="N749" s="83"/>
      <c r="O749" s="84"/>
      <c r="P749" s="81"/>
      <c r="Q749" s="81"/>
      <c r="R749" s="81"/>
      <c r="S749" s="81"/>
      <c r="T749" s="85"/>
      <c r="U749" s="81"/>
      <c r="V749" s="81"/>
      <c r="W749" s="123">
        <f t="shared" si="73"/>
        <v>0</v>
      </c>
      <c r="X749" s="123" t="s">
        <v>84</v>
      </c>
      <c r="Y749" s="114" t="s">
        <v>93</v>
      </c>
    </row>
    <row r="750" spans="1:25" s="24" customFormat="1" ht="11.1" customHeight="1">
      <c r="A750" s="74">
        <f t="shared" si="71"/>
        <v>748</v>
      </c>
      <c r="B750" s="75" t="s">
        <v>422</v>
      </c>
      <c r="C750" s="74" t="str">
        <f>IF($B750&lt;&gt;"",_xlfn.IFNA(VLOOKUP($B750,'Node Details'!$B:$U,C$1,0),"Check"),"")</f>
        <v>00AXW-FMS-AXW040202</v>
      </c>
      <c r="D750" s="74" t="str">
        <f>IF($B750&lt;&gt;"",_xlfn.IFNA(VLOOKUP($B750,'Node Details'!$B:$U,D$1,0),"Check"),"")</f>
        <v>AXW</v>
      </c>
      <c r="E750" s="74" t="str">
        <f>IF($B750&lt;&gt;"",_xlfn.IFNA(VLOOKUP($B750,'Node Details'!$B:$U,E$1,0),"Check"),"")</f>
        <v>Airtel</v>
      </c>
      <c r="F750" s="76">
        <v>46114</v>
      </c>
      <c r="G750" s="74"/>
      <c r="H750" s="10" t="s">
        <v>22</v>
      </c>
      <c r="I750" s="9">
        <v>2</v>
      </c>
      <c r="J750" s="9">
        <v>42</v>
      </c>
      <c r="K750" s="77">
        <f t="shared" si="72"/>
        <v>84</v>
      </c>
      <c r="L750" s="76">
        <v>46112</v>
      </c>
      <c r="N750" s="83"/>
      <c r="O750" s="84"/>
      <c r="P750" s="81"/>
      <c r="Q750" s="81"/>
      <c r="R750" s="81"/>
      <c r="S750" s="81"/>
      <c r="T750" s="85"/>
      <c r="U750" s="81"/>
      <c r="V750" s="81"/>
      <c r="W750" s="123">
        <f t="shared" si="73"/>
        <v>0</v>
      </c>
      <c r="X750" s="123" t="s">
        <v>84</v>
      </c>
      <c r="Y750" s="114" t="s">
        <v>93</v>
      </c>
    </row>
    <row r="751" spans="1:25" s="24" customFormat="1" ht="11.1" customHeight="1">
      <c r="A751" s="74">
        <f t="shared" si="71"/>
        <v>749</v>
      </c>
      <c r="B751" s="75" t="s">
        <v>424</v>
      </c>
      <c r="C751" s="74" t="str">
        <f>IF($B751&lt;&gt;"",_xlfn.IFNA(VLOOKUP($B751,'Node Details'!$B:$U,C$1,0),"Check"),"")</f>
        <v>0000AXW05-AXW050101</v>
      </c>
      <c r="D751" s="74" t="str">
        <f>IF($B751&lt;&gt;"",_xlfn.IFNA(VLOOKUP($B751,'Node Details'!$B:$U,D$1,0),"Check"),"")</f>
        <v>AXW</v>
      </c>
      <c r="E751" s="74" t="str">
        <f>IF($B751&lt;&gt;"",_xlfn.IFNA(VLOOKUP($B751,'Node Details'!$B:$U,E$1,0),"Check"),"")</f>
        <v>Airtel</v>
      </c>
      <c r="F751" s="76">
        <v>46114</v>
      </c>
      <c r="G751" s="74"/>
      <c r="H751" s="10" t="s">
        <v>22</v>
      </c>
      <c r="I751" s="9">
        <v>2</v>
      </c>
      <c r="J751" s="9">
        <v>42</v>
      </c>
      <c r="K751" s="77">
        <f t="shared" si="72"/>
        <v>84</v>
      </c>
      <c r="L751" s="76">
        <v>46112</v>
      </c>
      <c r="N751" s="83"/>
      <c r="O751" s="84"/>
      <c r="P751" s="81"/>
      <c r="Q751" s="81"/>
      <c r="R751" s="81"/>
      <c r="S751" s="81"/>
      <c r="T751" s="85"/>
      <c r="U751" s="81"/>
      <c r="V751" s="81"/>
      <c r="W751" s="123">
        <f t="shared" si="73"/>
        <v>0</v>
      </c>
      <c r="X751" s="123" t="s">
        <v>84</v>
      </c>
      <c r="Y751" s="114" t="s">
        <v>93</v>
      </c>
    </row>
    <row r="752" spans="1:25" s="24" customFormat="1" ht="11.1" customHeight="1">
      <c r="A752" s="74">
        <f t="shared" si="71"/>
        <v>750</v>
      </c>
      <c r="B752" s="75" t="s">
        <v>426</v>
      </c>
      <c r="C752" s="74" t="str">
        <f>IF($B752&lt;&gt;"",_xlfn.IFNA(VLOOKUP($B752,'Node Details'!$B:$U,C$1,0),"Check"),"")</f>
        <v>0000AXW05-AXW050102</v>
      </c>
      <c r="D752" s="74" t="str">
        <f>IF($B752&lt;&gt;"",_xlfn.IFNA(VLOOKUP($B752,'Node Details'!$B:$U,D$1,0),"Check"),"")</f>
        <v>AXW</v>
      </c>
      <c r="E752" s="74" t="str">
        <f>IF($B752&lt;&gt;"",_xlfn.IFNA(VLOOKUP($B752,'Node Details'!$B:$U,E$1,0),"Check"),"")</f>
        <v>Airtel</v>
      </c>
      <c r="F752" s="76">
        <v>46114</v>
      </c>
      <c r="G752" s="74"/>
      <c r="H752" s="10" t="s">
        <v>22</v>
      </c>
      <c r="I752" s="9">
        <v>2</v>
      </c>
      <c r="J752" s="9">
        <v>42</v>
      </c>
      <c r="K752" s="77">
        <f t="shared" si="72"/>
        <v>84</v>
      </c>
      <c r="L752" s="76">
        <v>46112</v>
      </c>
      <c r="N752" s="83"/>
      <c r="O752" s="84"/>
      <c r="P752" s="81"/>
      <c r="Q752" s="81"/>
      <c r="R752" s="81"/>
      <c r="S752" s="81"/>
      <c r="T752" s="85"/>
      <c r="U752" s="81"/>
      <c r="V752" s="81"/>
      <c r="W752" s="123">
        <f t="shared" si="73"/>
        <v>0</v>
      </c>
      <c r="X752" s="123" t="s">
        <v>84</v>
      </c>
      <c r="Y752" s="114" t="s">
        <v>93</v>
      </c>
    </row>
    <row r="753" spans="1:25" s="24" customFormat="1" ht="11.1" customHeight="1">
      <c r="A753" s="74">
        <f t="shared" si="71"/>
        <v>751</v>
      </c>
      <c r="B753" s="75" t="s">
        <v>428</v>
      </c>
      <c r="C753" s="74" t="str">
        <f>IF($B753&lt;&gt;"",_xlfn.IFNA(VLOOKUP($B753,'Node Details'!$B:$U,C$1,0),"Check"),"")</f>
        <v>0000AXW05-AXW050105</v>
      </c>
      <c r="D753" s="74" t="str">
        <f>IF($B753&lt;&gt;"",_xlfn.IFNA(VLOOKUP($B753,'Node Details'!$B:$U,D$1,0),"Check"),"")</f>
        <v>AXW</v>
      </c>
      <c r="E753" s="74" t="str">
        <f>IF($B753&lt;&gt;"",_xlfn.IFNA(VLOOKUP($B753,'Node Details'!$B:$U,E$1,0),"Check"),"")</f>
        <v>Airtel</v>
      </c>
      <c r="F753" s="76">
        <v>46114</v>
      </c>
      <c r="G753" s="74"/>
      <c r="H753" s="10" t="s">
        <v>22</v>
      </c>
      <c r="I753" s="9">
        <v>2</v>
      </c>
      <c r="J753" s="9">
        <v>42</v>
      </c>
      <c r="K753" s="77">
        <f t="shared" si="72"/>
        <v>84</v>
      </c>
      <c r="L753" s="76">
        <v>46112</v>
      </c>
      <c r="N753" s="83"/>
      <c r="O753" s="84"/>
      <c r="P753" s="81"/>
      <c r="Q753" s="81"/>
      <c r="R753" s="81"/>
      <c r="S753" s="81"/>
      <c r="T753" s="85"/>
      <c r="U753" s="81"/>
      <c r="V753" s="81"/>
      <c r="W753" s="123">
        <f t="shared" si="73"/>
        <v>0</v>
      </c>
      <c r="X753" s="123" t="s">
        <v>84</v>
      </c>
      <c r="Y753" s="114" t="s">
        <v>93</v>
      </c>
    </row>
    <row r="754" spans="1:25" s="24" customFormat="1" ht="11.1" customHeight="1">
      <c r="A754" s="74">
        <f t="shared" si="71"/>
        <v>752</v>
      </c>
      <c r="B754" s="75" t="s">
        <v>1068</v>
      </c>
      <c r="C754" s="74" t="str">
        <f>IF($B754&lt;&gt;"",_xlfn.IFNA(VLOOKUP($B754,'Node Details'!$B:$U,C$1,0),"Check"),"")</f>
        <v>0000AXW05-AXW050204</v>
      </c>
      <c r="D754" s="74" t="str">
        <f>IF($B754&lt;&gt;"",_xlfn.IFNA(VLOOKUP($B754,'Node Details'!$B:$U,D$1,0),"Check"),"")</f>
        <v>AXW</v>
      </c>
      <c r="E754" s="74" t="str">
        <f>IF($B754&lt;&gt;"",_xlfn.IFNA(VLOOKUP($B754,'Node Details'!$B:$U,E$1,0),"Check"),"")</f>
        <v>Airtel</v>
      </c>
      <c r="F754" s="76">
        <v>46114</v>
      </c>
      <c r="G754" s="74"/>
      <c r="H754" s="10" t="s">
        <v>22</v>
      </c>
      <c r="I754" s="9">
        <v>2</v>
      </c>
      <c r="J754" s="9">
        <v>42</v>
      </c>
      <c r="K754" s="77">
        <f t="shared" si="72"/>
        <v>84</v>
      </c>
      <c r="L754" s="76">
        <v>46112</v>
      </c>
      <c r="N754" s="83"/>
      <c r="O754" s="84"/>
      <c r="P754" s="81"/>
      <c r="Q754" s="81"/>
      <c r="R754" s="81"/>
      <c r="S754" s="81"/>
      <c r="T754" s="85"/>
      <c r="U754" s="81"/>
      <c r="V754" s="81"/>
      <c r="W754" s="123">
        <f t="shared" si="73"/>
        <v>0</v>
      </c>
      <c r="X754" s="123" t="s">
        <v>84</v>
      </c>
      <c r="Y754" s="114" t="s">
        <v>93</v>
      </c>
    </row>
    <row r="755" spans="1:25" s="24" customFormat="1" ht="11.1" customHeight="1">
      <c r="A755" s="74">
        <f t="shared" si="71"/>
        <v>753</v>
      </c>
      <c r="B755" s="75" t="s">
        <v>1069</v>
      </c>
      <c r="C755" s="74" t="str">
        <f>IF($B755&lt;&gt;"",_xlfn.IFNA(VLOOKUP($B755,'Node Details'!$B:$U,C$1,0),"Check"),"")</f>
        <v>0000AXW05-AXW050204</v>
      </c>
      <c r="D755" s="74" t="str">
        <f>IF($B755&lt;&gt;"",_xlfn.IFNA(VLOOKUP($B755,'Node Details'!$B:$U,D$1,0),"Check"),"")</f>
        <v>AXW</v>
      </c>
      <c r="E755" s="74" t="str">
        <f>IF($B755&lt;&gt;"",_xlfn.IFNA(VLOOKUP($B755,'Node Details'!$B:$U,E$1,0),"Check"),"")</f>
        <v>Airtel</v>
      </c>
      <c r="F755" s="76">
        <v>46114</v>
      </c>
      <c r="G755" s="74"/>
      <c r="H755" s="10" t="s">
        <v>22</v>
      </c>
      <c r="I755" s="9">
        <v>2</v>
      </c>
      <c r="J755" s="9">
        <v>42</v>
      </c>
      <c r="K755" s="77">
        <f t="shared" si="72"/>
        <v>84</v>
      </c>
      <c r="L755" s="76">
        <v>46112</v>
      </c>
      <c r="N755" s="83"/>
      <c r="O755" s="84"/>
      <c r="P755" s="81"/>
      <c r="Q755" s="81"/>
      <c r="R755" s="81"/>
      <c r="S755" s="81"/>
      <c r="T755" s="85"/>
      <c r="U755" s="81"/>
      <c r="V755" s="81"/>
      <c r="W755" s="123">
        <f t="shared" si="73"/>
        <v>0</v>
      </c>
      <c r="X755" s="123" t="s">
        <v>84</v>
      </c>
      <c r="Y755" s="114" t="s">
        <v>93</v>
      </c>
    </row>
    <row r="756" spans="1:25" s="24" customFormat="1" ht="11.1" customHeight="1">
      <c r="A756" s="74">
        <f t="shared" si="71"/>
        <v>754</v>
      </c>
      <c r="B756" s="75" t="s">
        <v>1070</v>
      </c>
      <c r="C756" s="74" t="str">
        <f>IF($B756&lt;&gt;"",_xlfn.IFNA(VLOOKUP($B756,'Node Details'!$B:$U,C$1,0),"Check"),"")</f>
        <v>0000AXW05-AXW050204</v>
      </c>
      <c r="D756" s="74" t="str">
        <f>IF($B756&lt;&gt;"",_xlfn.IFNA(VLOOKUP($B756,'Node Details'!$B:$U,D$1,0),"Check"),"")</f>
        <v>AXW</v>
      </c>
      <c r="E756" s="74" t="str">
        <f>IF($B756&lt;&gt;"",_xlfn.IFNA(VLOOKUP($B756,'Node Details'!$B:$U,E$1,0),"Check"),"")</f>
        <v>Airtel</v>
      </c>
      <c r="F756" s="76">
        <v>46114</v>
      </c>
      <c r="G756" s="74"/>
      <c r="H756" s="10" t="s">
        <v>22</v>
      </c>
      <c r="I756" s="9">
        <v>2</v>
      </c>
      <c r="J756" s="9">
        <v>42</v>
      </c>
      <c r="K756" s="77">
        <f t="shared" si="72"/>
        <v>84</v>
      </c>
      <c r="L756" s="76">
        <v>46112</v>
      </c>
      <c r="N756" s="83"/>
      <c r="O756" s="84"/>
      <c r="P756" s="81"/>
      <c r="Q756" s="81"/>
      <c r="R756" s="81"/>
      <c r="S756" s="81"/>
      <c r="T756" s="85"/>
      <c r="U756" s="81"/>
      <c r="V756" s="81"/>
      <c r="W756" s="123">
        <f t="shared" si="73"/>
        <v>0</v>
      </c>
      <c r="X756" s="123" t="s">
        <v>84</v>
      </c>
      <c r="Y756" s="114" t="s">
        <v>93</v>
      </c>
    </row>
    <row r="757" spans="1:25" s="24" customFormat="1" ht="11.1" customHeight="1">
      <c r="A757" s="74">
        <f t="shared" si="71"/>
        <v>755</v>
      </c>
      <c r="B757" s="75" t="s">
        <v>1071</v>
      </c>
      <c r="C757" s="74" t="str">
        <f>IF($B757&lt;&gt;"",_xlfn.IFNA(VLOOKUP($B757,'Node Details'!$B:$U,C$1,0),"Check"),"")</f>
        <v>0000AXW05-AXW050204</v>
      </c>
      <c r="D757" s="74" t="str">
        <f>IF($B757&lt;&gt;"",_xlfn.IFNA(VLOOKUP($B757,'Node Details'!$B:$U,D$1,0),"Check"),"")</f>
        <v>AXW</v>
      </c>
      <c r="E757" s="74" t="str">
        <f>IF($B757&lt;&gt;"",_xlfn.IFNA(VLOOKUP($B757,'Node Details'!$B:$U,E$1,0),"Check"),"")</f>
        <v>Airtel</v>
      </c>
      <c r="F757" s="76">
        <v>46114</v>
      </c>
      <c r="G757" s="74"/>
      <c r="H757" s="10" t="s">
        <v>22</v>
      </c>
      <c r="I757" s="9">
        <v>2</v>
      </c>
      <c r="J757" s="9">
        <v>42</v>
      </c>
      <c r="K757" s="77">
        <f t="shared" si="72"/>
        <v>84</v>
      </c>
      <c r="L757" s="76">
        <v>46112</v>
      </c>
      <c r="N757" s="83"/>
      <c r="O757" s="84"/>
      <c r="P757" s="81"/>
      <c r="Q757" s="81"/>
      <c r="R757" s="81"/>
      <c r="S757" s="81"/>
      <c r="T757" s="85"/>
      <c r="U757" s="81"/>
      <c r="V757" s="81"/>
      <c r="W757" s="123">
        <f t="shared" si="73"/>
        <v>0</v>
      </c>
      <c r="X757" s="123" t="s">
        <v>84</v>
      </c>
      <c r="Y757" s="114" t="s">
        <v>93</v>
      </c>
    </row>
    <row r="758" spans="1:25" s="24" customFormat="1" ht="11.1" customHeight="1">
      <c r="A758" s="74">
        <f t="shared" si="71"/>
        <v>756</v>
      </c>
      <c r="B758" s="75" t="s">
        <v>1072</v>
      </c>
      <c r="C758" s="74" t="str">
        <f>IF($B758&lt;&gt;"",_xlfn.IFNA(VLOOKUP($B758,'Node Details'!$B:$U,C$1,0),"Check"),"")</f>
        <v>0000AXW05-AXW050204</v>
      </c>
      <c r="D758" s="74" t="str">
        <f>IF($B758&lt;&gt;"",_xlfn.IFNA(VLOOKUP($B758,'Node Details'!$B:$U,D$1,0),"Check"),"")</f>
        <v>AXW</v>
      </c>
      <c r="E758" s="74" t="str">
        <f>IF($B758&lt;&gt;"",_xlfn.IFNA(VLOOKUP($B758,'Node Details'!$B:$U,E$1,0),"Check"),"")</f>
        <v>Airtel</v>
      </c>
      <c r="F758" s="76">
        <v>46114</v>
      </c>
      <c r="G758" s="74"/>
      <c r="H758" s="10" t="s">
        <v>22</v>
      </c>
      <c r="I758" s="9">
        <v>2</v>
      </c>
      <c r="J758" s="9">
        <v>42</v>
      </c>
      <c r="K758" s="77">
        <f t="shared" si="72"/>
        <v>84</v>
      </c>
      <c r="L758" s="76">
        <v>46112</v>
      </c>
      <c r="N758" s="83"/>
      <c r="O758" s="84"/>
      <c r="P758" s="81"/>
      <c r="Q758" s="81"/>
      <c r="R758" s="81"/>
      <c r="S758" s="81"/>
      <c r="T758" s="85"/>
      <c r="U758" s="81"/>
      <c r="V758" s="81"/>
      <c r="W758" s="123">
        <f t="shared" si="73"/>
        <v>0</v>
      </c>
      <c r="X758" s="123" t="s">
        <v>84</v>
      </c>
      <c r="Y758" s="114" t="s">
        <v>93</v>
      </c>
    </row>
    <row r="759" spans="1:25" s="24" customFormat="1" ht="11.1" customHeight="1">
      <c r="A759" s="74">
        <f t="shared" si="71"/>
        <v>757</v>
      </c>
      <c r="B759" s="75" t="s">
        <v>430</v>
      </c>
      <c r="C759" s="74" t="str">
        <f>IF($B759&lt;&gt;"",_xlfn.IFNA(VLOOKUP($B759,'Node Details'!$B:$U,C$1,0),"Check"),"")</f>
        <v>0000AXW05-AXW050204</v>
      </c>
      <c r="D759" s="74" t="str">
        <f>IF($B759&lt;&gt;"",_xlfn.IFNA(VLOOKUP($B759,'Node Details'!$B:$U,D$1,0),"Check"),"")</f>
        <v>AXW</v>
      </c>
      <c r="E759" s="74" t="str">
        <f>IF($B759&lt;&gt;"",_xlfn.IFNA(VLOOKUP($B759,'Node Details'!$B:$U,E$1,0),"Check"),"")</f>
        <v>Airtel</v>
      </c>
      <c r="F759" s="76">
        <v>46114</v>
      </c>
      <c r="G759" s="74"/>
      <c r="H759" s="10" t="s">
        <v>22</v>
      </c>
      <c r="I759" s="9">
        <v>2</v>
      </c>
      <c r="J759" s="9">
        <v>42</v>
      </c>
      <c r="K759" s="77">
        <f t="shared" si="72"/>
        <v>84</v>
      </c>
      <c r="L759" s="76">
        <v>46112</v>
      </c>
      <c r="N759" s="83"/>
      <c r="O759" s="84"/>
      <c r="P759" s="81"/>
      <c r="Q759" s="81"/>
      <c r="R759" s="81"/>
      <c r="S759" s="81"/>
      <c r="T759" s="85"/>
      <c r="U759" s="81"/>
      <c r="V759" s="81"/>
      <c r="W759" s="123">
        <f t="shared" si="73"/>
        <v>0</v>
      </c>
      <c r="X759" s="123" t="s">
        <v>84</v>
      </c>
      <c r="Y759" s="114" t="s">
        <v>93</v>
      </c>
    </row>
    <row r="760" spans="1:25" s="24" customFormat="1" ht="11.1" customHeight="1">
      <c r="A760" s="74">
        <f t="shared" si="71"/>
        <v>758</v>
      </c>
      <c r="B760" s="75" t="s">
        <v>433</v>
      </c>
      <c r="C760" s="74" t="str">
        <f>IF($B760&lt;&gt;"",_xlfn.IFNA(VLOOKUP($B760,'Node Details'!$B:$U,C$1,0),"Check"),"")</f>
        <v>0000AXW06-AXW060101</v>
      </c>
      <c r="D760" s="74" t="str">
        <f>IF($B760&lt;&gt;"",_xlfn.IFNA(VLOOKUP($B760,'Node Details'!$B:$U,D$1,0),"Check"),"")</f>
        <v>AXW</v>
      </c>
      <c r="E760" s="74" t="str">
        <f>IF($B760&lt;&gt;"",_xlfn.IFNA(VLOOKUP($B760,'Node Details'!$B:$U,E$1,0),"Check"),"")</f>
        <v>Airtel</v>
      </c>
      <c r="F760" s="76">
        <v>46114</v>
      </c>
      <c r="G760" s="74"/>
      <c r="H760" s="10" t="s">
        <v>22</v>
      </c>
      <c r="I760" s="9">
        <v>2</v>
      </c>
      <c r="J760" s="9">
        <v>42</v>
      </c>
      <c r="K760" s="77">
        <f t="shared" si="72"/>
        <v>84</v>
      </c>
      <c r="L760" s="76">
        <v>46112</v>
      </c>
      <c r="N760" s="83"/>
      <c r="O760" s="84"/>
      <c r="P760" s="81"/>
      <c r="Q760" s="81"/>
      <c r="R760" s="81"/>
      <c r="S760" s="81"/>
      <c r="T760" s="85"/>
      <c r="U760" s="81"/>
      <c r="V760" s="81"/>
      <c r="W760" s="123">
        <f t="shared" si="73"/>
        <v>0</v>
      </c>
      <c r="X760" s="123" t="s">
        <v>84</v>
      </c>
      <c r="Y760" s="114" t="s">
        <v>93</v>
      </c>
    </row>
    <row r="761" spans="1:25" s="24" customFormat="1" ht="11.1" customHeight="1">
      <c r="A761" s="74">
        <f t="shared" si="71"/>
        <v>759</v>
      </c>
      <c r="B761" s="75" t="s">
        <v>1073</v>
      </c>
      <c r="C761" s="74" t="str">
        <f>IF($B761&lt;&gt;"",_xlfn.IFNA(VLOOKUP($B761,'Node Details'!$B:$U,C$1,0),"Check"),"")</f>
        <v>0000AXW06-AXW060103</v>
      </c>
      <c r="D761" s="74" t="str">
        <f>IF($B761&lt;&gt;"",_xlfn.IFNA(VLOOKUP($B761,'Node Details'!$B:$U,D$1,0),"Check"),"")</f>
        <v>AXW</v>
      </c>
      <c r="E761" s="74" t="str">
        <f>IF($B761&lt;&gt;"",_xlfn.IFNA(VLOOKUP($B761,'Node Details'!$B:$U,E$1,0),"Check"),"")</f>
        <v>Airtel</v>
      </c>
      <c r="F761" s="76">
        <v>46114</v>
      </c>
      <c r="G761" s="74"/>
      <c r="H761" s="10" t="s">
        <v>22</v>
      </c>
      <c r="I761" s="9">
        <v>2</v>
      </c>
      <c r="J761" s="9">
        <v>42</v>
      </c>
      <c r="K761" s="77">
        <f t="shared" si="72"/>
        <v>84</v>
      </c>
      <c r="L761" s="76">
        <v>46112</v>
      </c>
      <c r="N761" s="83"/>
      <c r="O761" s="84"/>
      <c r="P761" s="81"/>
      <c r="Q761" s="81"/>
      <c r="R761" s="81"/>
      <c r="S761" s="81"/>
      <c r="T761" s="85"/>
      <c r="U761" s="81"/>
      <c r="V761" s="81"/>
      <c r="W761" s="123">
        <f t="shared" si="73"/>
        <v>0</v>
      </c>
      <c r="X761" s="123" t="s">
        <v>84</v>
      </c>
      <c r="Y761" s="114" t="s">
        <v>93</v>
      </c>
    </row>
    <row r="762" spans="1:25" s="24" customFormat="1" ht="11.1" customHeight="1">
      <c r="A762" s="74">
        <f t="shared" si="71"/>
        <v>760</v>
      </c>
      <c r="B762" s="75" t="s">
        <v>435</v>
      </c>
      <c r="C762" s="74" t="str">
        <f>IF($B762&lt;&gt;"",_xlfn.IFNA(VLOOKUP($B762,'Node Details'!$B:$U,C$1,0),"Check"),"")</f>
        <v>0000AXW06-AXW060103</v>
      </c>
      <c r="D762" s="74" t="str">
        <f>IF($B762&lt;&gt;"",_xlfn.IFNA(VLOOKUP($B762,'Node Details'!$B:$U,D$1,0),"Check"),"")</f>
        <v>AXW</v>
      </c>
      <c r="E762" s="74" t="str">
        <f>IF($B762&lt;&gt;"",_xlfn.IFNA(VLOOKUP($B762,'Node Details'!$B:$U,E$1,0),"Check"),"")</f>
        <v>Airtel</v>
      </c>
      <c r="F762" s="76">
        <v>46114</v>
      </c>
      <c r="G762" s="74"/>
      <c r="H762" s="10" t="s">
        <v>22</v>
      </c>
      <c r="I762" s="9">
        <v>2</v>
      </c>
      <c r="J762" s="9">
        <v>42</v>
      </c>
      <c r="K762" s="77">
        <f t="shared" si="72"/>
        <v>84</v>
      </c>
      <c r="L762" s="76">
        <v>46112</v>
      </c>
      <c r="N762" s="83"/>
      <c r="O762" s="84"/>
      <c r="P762" s="81"/>
      <c r="Q762" s="81"/>
      <c r="R762" s="81"/>
      <c r="S762" s="81"/>
      <c r="T762" s="85"/>
      <c r="U762" s="81"/>
      <c r="V762" s="81"/>
      <c r="W762" s="123">
        <f t="shared" si="73"/>
        <v>0</v>
      </c>
      <c r="X762" s="123" t="s">
        <v>84</v>
      </c>
      <c r="Y762" s="114" t="s">
        <v>93</v>
      </c>
    </row>
    <row r="763" spans="1:25" s="24" customFormat="1" ht="11.1" customHeight="1">
      <c r="A763" s="74">
        <f t="shared" si="71"/>
        <v>761</v>
      </c>
      <c r="B763" s="75" t="s">
        <v>1074</v>
      </c>
      <c r="C763" s="74" t="str">
        <f>IF($B763&lt;&gt;"",_xlfn.IFNA(VLOOKUP($B763,'Node Details'!$B:$U,C$1,0),"Check"),"")</f>
        <v>AXW060103-AXW060107</v>
      </c>
      <c r="D763" s="74" t="str">
        <f>IF($B763&lt;&gt;"",_xlfn.IFNA(VLOOKUP($B763,'Node Details'!$B:$U,D$1,0),"Check"),"")</f>
        <v>AXW</v>
      </c>
      <c r="E763" s="74" t="str">
        <f>IF($B763&lt;&gt;"",_xlfn.IFNA(VLOOKUP($B763,'Node Details'!$B:$U,E$1,0),"Check"),"")</f>
        <v>Airtel</v>
      </c>
      <c r="F763" s="76">
        <v>46114</v>
      </c>
      <c r="G763" s="74"/>
      <c r="H763" s="10" t="s">
        <v>22</v>
      </c>
      <c r="I763" s="9">
        <v>2</v>
      </c>
      <c r="J763" s="9">
        <v>42</v>
      </c>
      <c r="K763" s="77">
        <f t="shared" si="72"/>
        <v>84</v>
      </c>
      <c r="L763" s="76">
        <v>46112</v>
      </c>
      <c r="N763" s="83"/>
      <c r="O763" s="84"/>
      <c r="P763" s="81"/>
      <c r="Q763" s="81"/>
      <c r="R763" s="81"/>
      <c r="S763" s="81"/>
      <c r="T763" s="85"/>
      <c r="U763" s="81"/>
      <c r="V763" s="81"/>
      <c r="W763" s="123">
        <f t="shared" si="73"/>
        <v>0</v>
      </c>
      <c r="X763" s="123" t="s">
        <v>84</v>
      </c>
      <c r="Y763" s="114" t="s">
        <v>93</v>
      </c>
    </row>
    <row r="764" spans="1:25" s="24" customFormat="1" ht="11.1" customHeight="1">
      <c r="A764" s="74">
        <f t="shared" si="71"/>
        <v>762</v>
      </c>
      <c r="B764" s="75" t="s">
        <v>1075</v>
      </c>
      <c r="C764" s="74" t="str">
        <f>IF($B764&lt;&gt;"",_xlfn.IFNA(VLOOKUP($B764,'Node Details'!$B:$U,C$1,0),"Check"),"")</f>
        <v>AXW060103-AXW060107</v>
      </c>
      <c r="D764" s="74" t="str">
        <f>IF($B764&lt;&gt;"",_xlfn.IFNA(VLOOKUP($B764,'Node Details'!$B:$U,D$1,0),"Check"),"")</f>
        <v>AXW</v>
      </c>
      <c r="E764" s="74" t="str">
        <f>IF($B764&lt;&gt;"",_xlfn.IFNA(VLOOKUP($B764,'Node Details'!$B:$U,E$1,0),"Check"),"")</f>
        <v>Airtel</v>
      </c>
      <c r="F764" s="76">
        <v>46114</v>
      </c>
      <c r="G764" s="74"/>
      <c r="H764" s="10" t="s">
        <v>22</v>
      </c>
      <c r="I764" s="9">
        <v>2</v>
      </c>
      <c r="J764" s="9">
        <v>42</v>
      </c>
      <c r="K764" s="77">
        <f t="shared" si="72"/>
        <v>84</v>
      </c>
      <c r="L764" s="76">
        <v>46112</v>
      </c>
      <c r="N764" s="83"/>
      <c r="O764" s="84"/>
      <c r="P764" s="81"/>
      <c r="Q764" s="81"/>
      <c r="R764" s="81"/>
      <c r="S764" s="81"/>
      <c r="T764" s="85"/>
      <c r="U764" s="81"/>
      <c r="V764" s="81"/>
      <c r="W764" s="123">
        <f t="shared" si="73"/>
        <v>0</v>
      </c>
      <c r="X764" s="123" t="s">
        <v>84</v>
      </c>
      <c r="Y764" s="114" t="s">
        <v>93</v>
      </c>
    </row>
    <row r="765" spans="1:25" s="24" customFormat="1" ht="11.1" customHeight="1">
      <c r="A765" s="74">
        <f t="shared" si="71"/>
        <v>763</v>
      </c>
      <c r="B765" s="75" t="s">
        <v>1076</v>
      </c>
      <c r="C765" s="74" t="str">
        <f>IF($B765&lt;&gt;"",_xlfn.IFNA(VLOOKUP($B765,'Node Details'!$B:$U,C$1,0),"Check"),"")</f>
        <v>AXW060103-AXW060107</v>
      </c>
      <c r="D765" s="74" t="str">
        <f>IF($B765&lt;&gt;"",_xlfn.IFNA(VLOOKUP($B765,'Node Details'!$B:$U,D$1,0),"Check"),"")</f>
        <v>AXW</v>
      </c>
      <c r="E765" s="74" t="str">
        <f>IF($B765&lt;&gt;"",_xlfn.IFNA(VLOOKUP($B765,'Node Details'!$B:$U,E$1,0),"Check"),"")</f>
        <v>Airtel</v>
      </c>
      <c r="F765" s="76">
        <v>46114</v>
      </c>
      <c r="G765" s="74"/>
      <c r="H765" s="10" t="s">
        <v>22</v>
      </c>
      <c r="I765" s="9">
        <v>2</v>
      </c>
      <c r="J765" s="9">
        <v>42</v>
      </c>
      <c r="K765" s="77">
        <f t="shared" si="72"/>
        <v>84</v>
      </c>
      <c r="L765" s="76">
        <v>46112</v>
      </c>
      <c r="N765" s="83"/>
      <c r="O765" s="84"/>
      <c r="P765" s="81"/>
      <c r="Q765" s="81"/>
      <c r="R765" s="81"/>
      <c r="S765" s="81"/>
      <c r="T765" s="85"/>
      <c r="U765" s="81"/>
      <c r="V765" s="81"/>
      <c r="W765" s="123">
        <f t="shared" si="73"/>
        <v>0</v>
      </c>
      <c r="X765" s="123" t="s">
        <v>84</v>
      </c>
      <c r="Y765" s="114" t="s">
        <v>93</v>
      </c>
    </row>
    <row r="766" spans="1:25" s="24" customFormat="1" ht="11.1" customHeight="1">
      <c r="A766" s="74">
        <f t="shared" si="71"/>
        <v>764</v>
      </c>
      <c r="B766" s="75" t="s">
        <v>437</v>
      </c>
      <c r="C766" s="74" t="str">
        <f>IF($B766&lt;&gt;"",_xlfn.IFNA(VLOOKUP($B766,'Node Details'!$B:$U,C$1,0),"Check"),"")</f>
        <v>AXW060103-AXW060107</v>
      </c>
      <c r="D766" s="74" t="str">
        <f>IF($B766&lt;&gt;"",_xlfn.IFNA(VLOOKUP($B766,'Node Details'!$B:$U,D$1,0),"Check"),"")</f>
        <v>AXW</v>
      </c>
      <c r="E766" s="74" t="str">
        <f>IF($B766&lt;&gt;"",_xlfn.IFNA(VLOOKUP($B766,'Node Details'!$B:$U,E$1,0),"Check"),"")</f>
        <v>Airtel</v>
      </c>
      <c r="F766" s="76">
        <v>46114</v>
      </c>
      <c r="G766" s="74"/>
      <c r="H766" s="10" t="s">
        <v>22</v>
      </c>
      <c r="I766" s="9">
        <v>2</v>
      </c>
      <c r="J766" s="9">
        <v>42</v>
      </c>
      <c r="K766" s="77">
        <f t="shared" si="72"/>
        <v>84</v>
      </c>
      <c r="L766" s="76">
        <v>46112</v>
      </c>
      <c r="N766" s="83"/>
      <c r="O766" s="84"/>
      <c r="P766" s="81"/>
      <c r="Q766" s="81"/>
      <c r="R766" s="81"/>
      <c r="S766" s="81"/>
      <c r="T766" s="85"/>
      <c r="U766" s="81"/>
      <c r="V766" s="81"/>
      <c r="W766" s="123">
        <f t="shared" si="73"/>
        <v>0</v>
      </c>
      <c r="X766" s="123" t="s">
        <v>84</v>
      </c>
      <c r="Y766" s="114" t="s">
        <v>93</v>
      </c>
    </row>
    <row r="767" spans="1:25" s="24" customFormat="1" ht="11.1" customHeight="1">
      <c r="A767" s="74">
        <f t="shared" si="71"/>
        <v>765</v>
      </c>
      <c r="B767" s="75" t="s">
        <v>439</v>
      </c>
      <c r="C767" s="74" t="str">
        <f>IF($B767&lt;&gt;"",_xlfn.IFNA(VLOOKUP($B767,'Node Details'!$B:$U,C$1,0),"Check"),"")</f>
        <v>0000AXW07-AXW070101</v>
      </c>
      <c r="D767" s="74" t="str">
        <f>IF($B767&lt;&gt;"",_xlfn.IFNA(VLOOKUP($B767,'Node Details'!$B:$U,D$1,0),"Check"),"")</f>
        <v>AXW</v>
      </c>
      <c r="E767" s="74" t="str">
        <f>IF($B767&lt;&gt;"",_xlfn.IFNA(VLOOKUP($B767,'Node Details'!$B:$U,E$1,0),"Check"),"")</f>
        <v>Airtel</v>
      </c>
      <c r="F767" s="76">
        <v>46114</v>
      </c>
      <c r="G767" s="74"/>
      <c r="H767" s="10" t="s">
        <v>22</v>
      </c>
      <c r="I767" s="9">
        <v>2</v>
      </c>
      <c r="J767" s="9">
        <v>42</v>
      </c>
      <c r="K767" s="77">
        <f t="shared" si="72"/>
        <v>84</v>
      </c>
      <c r="L767" s="76">
        <v>46112</v>
      </c>
      <c r="N767" s="83"/>
      <c r="O767" s="84"/>
      <c r="P767" s="81"/>
      <c r="Q767" s="81"/>
      <c r="R767" s="81"/>
      <c r="S767" s="81"/>
      <c r="T767" s="85"/>
      <c r="U767" s="81"/>
      <c r="V767" s="81"/>
      <c r="W767" s="123">
        <f t="shared" si="73"/>
        <v>0</v>
      </c>
      <c r="X767" s="123" t="s">
        <v>84</v>
      </c>
      <c r="Y767" s="114" t="s">
        <v>93</v>
      </c>
    </row>
    <row r="768" spans="1:25" s="24" customFormat="1" ht="11.1" customHeight="1">
      <c r="A768" s="74">
        <f t="shared" si="71"/>
        <v>766</v>
      </c>
      <c r="B768" s="75" t="s">
        <v>1077</v>
      </c>
      <c r="C768" s="74" t="str">
        <f>IF($B768&lt;&gt;"",_xlfn.IFNA(VLOOKUP($B768,'Node Details'!$B:$U,C$1,0),"Check"),"")</f>
        <v>0000AXW07-AXW070103</v>
      </c>
      <c r="D768" s="74" t="str">
        <f>IF($B768&lt;&gt;"",_xlfn.IFNA(VLOOKUP($B768,'Node Details'!$B:$U,D$1,0),"Check"),"")</f>
        <v>AXW</v>
      </c>
      <c r="E768" s="74" t="str">
        <f>IF($B768&lt;&gt;"",_xlfn.IFNA(VLOOKUP($B768,'Node Details'!$B:$U,E$1,0),"Check"),"")</f>
        <v>Airtel</v>
      </c>
      <c r="F768" s="76">
        <v>46114</v>
      </c>
      <c r="G768" s="74"/>
      <c r="H768" s="10" t="s">
        <v>22</v>
      </c>
      <c r="I768" s="9">
        <v>2</v>
      </c>
      <c r="J768" s="9">
        <v>42</v>
      </c>
      <c r="K768" s="77">
        <f t="shared" si="72"/>
        <v>84</v>
      </c>
      <c r="L768" s="76">
        <v>46112</v>
      </c>
      <c r="N768" s="83"/>
      <c r="O768" s="84"/>
      <c r="P768" s="81"/>
      <c r="Q768" s="81"/>
      <c r="R768" s="81"/>
      <c r="S768" s="81"/>
      <c r="T768" s="85"/>
      <c r="U768" s="81"/>
      <c r="V768" s="81"/>
      <c r="W768" s="123">
        <f t="shared" si="73"/>
        <v>0</v>
      </c>
      <c r="X768" s="123" t="s">
        <v>84</v>
      </c>
      <c r="Y768" s="114" t="s">
        <v>93</v>
      </c>
    </row>
    <row r="769" spans="1:25" s="24" customFormat="1" ht="11.1" customHeight="1">
      <c r="A769" s="74">
        <f t="shared" si="71"/>
        <v>767</v>
      </c>
      <c r="B769" s="75" t="s">
        <v>441</v>
      </c>
      <c r="C769" s="74" t="str">
        <f>IF($B769&lt;&gt;"",_xlfn.IFNA(VLOOKUP($B769,'Node Details'!$B:$U,C$1,0),"Check"),"")</f>
        <v>0000AXW07-AXW070103</v>
      </c>
      <c r="D769" s="74" t="str">
        <f>IF($B769&lt;&gt;"",_xlfn.IFNA(VLOOKUP($B769,'Node Details'!$B:$U,D$1,0),"Check"),"")</f>
        <v>AXW</v>
      </c>
      <c r="E769" s="74" t="str">
        <f>IF($B769&lt;&gt;"",_xlfn.IFNA(VLOOKUP($B769,'Node Details'!$B:$U,E$1,0),"Check"),"")</f>
        <v>Airtel</v>
      </c>
      <c r="F769" s="76">
        <v>46114</v>
      </c>
      <c r="G769" s="74"/>
      <c r="H769" s="10" t="s">
        <v>22</v>
      </c>
      <c r="I769" s="9">
        <v>2</v>
      </c>
      <c r="J769" s="9">
        <v>42</v>
      </c>
      <c r="K769" s="77">
        <f t="shared" si="72"/>
        <v>84</v>
      </c>
      <c r="L769" s="76">
        <v>46112</v>
      </c>
      <c r="N769" s="83"/>
      <c r="O769" s="84"/>
      <c r="P769" s="81"/>
      <c r="Q769" s="81"/>
      <c r="R769" s="81"/>
      <c r="S769" s="81"/>
      <c r="T769" s="85"/>
      <c r="U769" s="81"/>
      <c r="V769" s="81"/>
      <c r="W769" s="123">
        <f t="shared" si="73"/>
        <v>0</v>
      </c>
      <c r="X769" s="123" t="s">
        <v>84</v>
      </c>
      <c r="Y769" s="114" t="s">
        <v>93</v>
      </c>
    </row>
    <row r="770" spans="1:25" s="24" customFormat="1" ht="11.1" customHeight="1">
      <c r="A770" s="74">
        <f t="shared" si="71"/>
        <v>768</v>
      </c>
      <c r="B770" s="75" t="s">
        <v>1078</v>
      </c>
      <c r="C770" s="74" t="str">
        <f>IF($B770&lt;&gt;"",_xlfn.IFNA(VLOOKUP($B770,'Node Details'!$B:$U,C$1,0),"Check"),"")</f>
        <v>0000AXW07-AXW070106</v>
      </c>
      <c r="D770" s="74" t="str">
        <f>IF($B770&lt;&gt;"",_xlfn.IFNA(VLOOKUP($B770,'Node Details'!$B:$U,D$1,0),"Check"),"")</f>
        <v>AXW</v>
      </c>
      <c r="E770" s="74" t="str">
        <f>IF($B770&lt;&gt;"",_xlfn.IFNA(VLOOKUP($B770,'Node Details'!$B:$U,E$1,0),"Check"),"")</f>
        <v>Airtel</v>
      </c>
      <c r="F770" s="76">
        <v>46114</v>
      </c>
      <c r="G770" s="74"/>
      <c r="H770" s="10" t="s">
        <v>22</v>
      </c>
      <c r="I770" s="9">
        <v>2</v>
      </c>
      <c r="J770" s="9">
        <v>42</v>
      </c>
      <c r="K770" s="77">
        <f t="shared" si="72"/>
        <v>84</v>
      </c>
      <c r="L770" s="76">
        <v>46112</v>
      </c>
      <c r="N770" s="83"/>
      <c r="O770" s="84"/>
      <c r="P770" s="81"/>
      <c r="Q770" s="81"/>
      <c r="R770" s="81"/>
      <c r="S770" s="81"/>
      <c r="T770" s="85"/>
      <c r="U770" s="81"/>
      <c r="V770" s="81"/>
      <c r="W770" s="123">
        <f t="shared" si="73"/>
        <v>0</v>
      </c>
      <c r="X770" s="123" t="s">
        <v>84</v>
      </c>
      <c r="Y770" s="114" t="s">
        <v>93</v>
      </c>
    </row>
    <row r="771" spans="1:25" s="24" customFormat="1" ht="11.1" customHeight="1">
      <c r="A771" s="74">
        <f t="shared" si="71"/>
        <v>769</v>
      </c>
      <c r="B771" s="75" t="s">
        <v>443</v>
      </c>
      <c r="C771" s="74" t="str">
        <f>IF($B771&lt;&gt;"",_xlfn.IFNA(VLOOKUP($B771,'Node Details'!$B:$U,C$1,0),"Check"),"")</f>
        <v>0000AXW07-AXW070106</v>
      </c>
      <c r="D771" s="74" t="str">
        <f>IF($B771&lt;&gt;"",_xlfn.IFNA(VLOOKUP($B771,'Node Details'!$B:$U,D$1,0),"Check"),"")</f>
        <v>AXW</v>
      </c>
      <c r="E771" s="74" t="str">
        <f>IF($B771&lt;&gt;"",_xlfn.IFNA(VLOOKUP($B771,'Node Details'!$B:$U,E$1,0),"Check"),"")</f>
        <v>Airtel</v>
      </c>
      <c r="F771" s="76">
        <v>46114</v>
      </c>
      <c r="G771" s="74"/>
      <c r="H771" s="10" t="s">
        <v>22</v>
      </c>
      <c r="I771" s="9">
        <v>2</v>
      </c>
      <c r="J771" s="9">
        <v>42</v>
      </c>
      <c r="K771" s="77">
        <f t="shared" si="72"/>
        <v>84</v>
      </c>
      <c r="L771" s="76">
        <v>46112</v>
      </c>
      <c r="N771" s="83"/>
      <c r="O771" s="84"/>
      <c r="P771" s="81"/>
      <c r="Q771" s="81"/>
      <c r="R771" s="81"/>
      <c r="S771" s="81"/>
      <c r="T771" s="85"/>
      <c r="U771" s="81"/>
      <c r="V771" s="81"/>
      <c r="W771" s="123">
        <f t="shared" si="73"/>
        <v>0</v>
      </c>
      <c r="X771" s="123" t="s">
        <v>84</v>
      </c>
      <c r="Y771" s="114" t="s">
        <v>93</v>
      </c>
    </row>
    <row r="772" spans="1:25" s="24" customFormat="1" ht="11.1" customHeight="1">
      <c r="A772" s="74">
        <f t="shared" ref="A772:A835" si="74">A771+1</f>
        <v>770</v>
      </c>
      <c r="B772" s="75" t="s">
        <v>446</v>
      </c>
      <c r="C772" s="74" t="str">
        <f>IF($B772&lt;&gt;"",_xlfn.IFNA(VLOOKUP($B772,'Node Details'!$B:$U,C$1,0),"Check"),"")</f>
        <v>0000AXW08-AXW080101</v>
      </c>
      <c r="D772" s="74" t="str">
        <f>IF($B772&lt;&gt;"",_xlfn.IFNA(VLOOKUP($B772,'Node Details'!$B:$U,D$1,0),"Check"),"")</f>
        <v>AXW</v>
      </c>
      <c r="E772" s="74" t="str">
        <f>IF($B772&lt;&gt;"",_xlfn.IFNA(VLOOKUP($B772,'Node Details'!$B:$U,E$1,0),"Check"),"")</f>
        <v>Airtel</v>
      </c>
      <c r="F772" s="76">
        <v>46114</v>
      </c>
      <c r="G772" s="74"/>
      <c r="H772" s="10" t="s">
        <v>22</v>
      </c>
      <c r="I772" s="9">
        <v>2</v>
      </c>
      <c r="J772" s="9">
        <v>42</v>
      </c>
      <c r="K772" s="77">
        <f t="shared" si="72"/>
        <v>84</v>
      </c>
      <c r="L772" s="76">
        <v>46112</v>
      </c>
      <c r="N772" s="83"/>
      <c r="O772" s="84"/>
      <c r="P772" s="81"/>
      <c r="Q772" s="81"/>
      <c r="R772" s="81"/>
      <c r="S772" s="81"/>
      <c r="T772" s="85"/>
      <c r="U772" s="81"/>
      <c r="V772" s="81"/>
      <c r="W772" s="123">
        <f t="shared" si="73"/>
        <v>0</v>
      </c>
      <c r="X772" s="123" t="s">
        <v>84</v>
      </c>
      <c r="Y772" s="114" t="s">
        <v>93</v>
      </c>
    </row>
    <row r="773" spans="1:25" s="24" customFormat="1" ht="11.1" customHeight="1">
      <c r="A773" s="74">
        <f t="shared" si="74"/>
        <v>771</v>
      </c>
      <c r="B773" s="75" t="s">
        <v>448</v>
      </c>
      <c r="C773" s="74" t="str">
        <f>IF($B773&lt;&gt;"",_xlfn.IFNA(VLOOKUP($B773,'Node Details'!$B:$U,C$1,0),"Check"),"")</f>
        <v>0000AXW08-AXW080103</v>
      </c>
      <c r="D773" s="74" t="str">
        <f>IF($B773&lt;&gt;"",_xlfn.IFNA(VLOOKUP($B773,'Node Details'!$B:$U,D$1,0),"Check"),"")</f>
        <v>AXW</v>
      </c>
      <c r="E773" s="74" t="str">
        <f>IF($B773&lt;&gt;"",_xlfn.IFNA(VLOOKUP($B773,'Node Details'!$B:$U,E$1,0),"Check"),"")</f>
        <v>Airtel</v>
      </c>
      <c r="F773" s="76">
        <v>46114</v>
      </c>
      <c r="G773" s="74"/>
      <c r="H773" s="10" t="s">
        <v>22</v>
      </c>
      <c r="I773" s="9">
        <v>2</v>
      </c>
      <c r="J773" s="9">
        <v>42</v>
      </c>
      <c r="K773" s="77">
        <f t="shared" si="72"/>
        <v>84</v>
      </c>
      <c r="L773" s="76">
        <v>46112</v>
      </c>
      <c r="N773" s="83"/>
      <c r="O773" s="84"/>
      <c r="P773" s="81"/>
      <c r="Q773" s="81"/>
      <c r="R773" s="81"/>
      <c r="S773" s="81"/>
      <c r="T773" s="85"/>
      <c r="U773" s="81"/>
      <c r="V773" s="81"/>
      <c r="W773" s="123">
        <f t="shared" si="73"/>
        <v>0</v>
      </c>
      <c r="X773" s="123" t="s">
        <v>84</v>
      </c>
      <c r="Y773" s="114" t="s">
        <v>93</v>
      </c>
    </row>
    <row r="774" spans="1:25" s="24" customFormat="1" ht="11.1" customHeight="1">
      <c r="A774" s="74">
        <f t="shared" si="74"/>
        <v>772</v>
      </c>
      <c r="B774" s="75" t="s">
        <v>1079</v>
      </c>
      <c r="C774" s="74" t="str">
        <f>IF($B774&lt;&gt;"",_xlfn.IFNA(VLOOKUP($B774,'Node Details'!$B:$U,C$1,0),"Check"),"")</f>
        <v>AXW080103-AXW080105</v>
      </c>
      <c r="D774" s="74" t="str">
        <f>IF($B774&lt;&gt;"",_xlfn.IFNA(VLOOKUP($B774,'Node Details'!$B:$U,D$1,0),"Check"),"")</f>
        <v>AXW</v>
      </c>
      <c r="E774" s="74" t="str">
        <f>IF($B774&lt;&gt;"",_xlfn.IFNA(VLOOKUP($B774,'Node Details'!$B:$U,E$1,0),"Check"),"")</f>
        <v>Airtel</v>
      </c>
      <c r="F774" s="76">
        <v>46114</v>
      </c>
      <c r="G774" s="74"/>
      <c r="H774" s="10" t="s">
        <v>22</v>
      </c>
      <c r="I774" s="9">
        <v>2</v>
      </c>
      <c r="J774" s="9">
        <v>42</v>
      </c>
      <c r="K774" s="77">
        <f t="shared" si="72"/>
        <v>84</v>
      </c>
      <c r="L774" s="76">
        <v>46112</v>
      </c>
      <c r="N774" s="83"/>
      <c r="O774" s="84"/>
      <c r="P774" s="81"/>
      <c r="Q774" s="81"/>
      <c r="R774" s="81"/>
      <c r="S774" s="81"/>
      <c r="T774" s="85"/>
      <c r="U774" s="81"/>
      <c r="V774" s="81"/>
      <c r="W774" s="123">
        <f t="shared" si="73"/>
        <v>0</v>
      </c>
      <c r="X774" s="123" t="s">
        <v>84</v>
      </c>
      <c r="Y774" s="114" t="s">
        <v>93</v>
      </c>
    </row>
    <row r="775" spans="1:25" s="24" customFormat="1" ht="11.1" customHeight="1">
      <c r="A775" s="74">
        <f t="shared" si="74"/>
        <v>773</v>
      </c>
      <c r="B775" s="75" t="s">
        <v>450</v>
      </c>
      <c r="C775" s="74" t="str">
        <f>IF($B775&lt;&gt;"",_xlfn.IFNA(VLOOKUP($B775,'Node Details'!$B:$U,C$1,0),"Check"),"")</f>
        <v>AXW080103-AXW080105</v>
      </c>
      <c r="D775" s="74" t="str">
        <f>IF($B775&lt;&gt;"",_xlfn.IFNA(VLOOKUP($B775,'Node Details'!$B:$U,D$1,0),"Check"),"")</f>
        <v>AXW</v>
      </c>
      <c r="E775" s="74" t="str">
        <f>IF($B775&lt;&gt;"",_xlfn.IFNA(VLOOKUP($B775,'Node Details'!$B:$U,E$1,0),"Check"),"")</f>
        <v>Airtel</v>
      </c>
      <c r="F775" s="76">
        <v>46114</v>
      </c>
      <c r="G775" s="74"/>
      <c r="H775" s="10" t="s">
        <v>22</v>
      </c>
      <c r="I775" s="9">
        <v>2</v>
      </c>
      <c r="J775" s="9">
        <v>42</v>
      </c>
      <c r="K775" s="77">
        <f t="shared" si="72"/>
        <v>84</v>
      </c>
      <c r="L775" s="76">
        <v>46112</v>
      </c>
      <c r="N775" s="83"/>
      <c r="O775" s="84"/>
      <c r="P775" s="81"/>
      <c r="Q775" s="81"/>
      <c r="R775" s="81"/>
      <c r="S775" s="81"/>
      <c r="T775" s="85"/>
      <c r="U775" s="81"/>
      <c r="V775" s="81"/>
      <c r="W775" s="123">
        <f t="shared" si="73"/>
        <v>0</v>
      </c>
      <c r="X775" s="123" t="s">
        <v>84</v>
      </c>
      <c r="Y775" s="114" t="s">
        <v>93</v>
      </c>
    </row>
    <row r="776" spans="1:25" s="24" customFormat="1" ht="11.1" customHeight="1">
      <c r="A776" s="74">
        <f t="shared" si="74"/>
        <v>774</v>
      </c>
      <c r="B776" s="75" t="s">
        <v>452</v>
      </c>
      <c r="C776" s="74" t="str">
        <f>IF($B776&lt;&gt;"",_xlfn.IFNA(VLOOKUP($B776,'Node Details'!$B:$U,C$1,0),"Check"),"")</f>
        <v>0000AXW08-AXW080106</v>
      </c>
      <c r="D776" s="74" t="str">
        <f>IF($B776&lt;&gt;"",_xlfn.IFNA(VLOOKUP($B776,'Node Details'!$B:$U,D$1,0),"Check"),"")</f>
        <v>AXW</v>
      </c>
      <c r="E776" s="74" t="str">
        <f>IF($B776&lt;&gt;"",_xlfn.IFNA(VLOOKUP($B776,'Node Details'!$B:$U,E$1,0),"Check"),"")</f>
        <v>Airtel</v>
      </c>
      <c r="F776" s="76">
        <v>46114</v>
      </c>
      <c r="G776" s="74"/>
      <c r="H776" s="10" t="s">
        <v>22</v>
      </c>
      <c r="I776" s="9">
        <v>2</v>
      </c>
      <c r="J776" s="9">
        <v>42</v>
      </c>
      <c r="K776" s="77">
        <f t="shared" si="72"/>
        <v>84</v>
      </c>
      <c r="L776" s="76">
        <v>46112</v>
      </c>
      <c r="N776" s="83"/>
      <c r="O776" s="84"/>
      <c r="P776" s="81"/>
      <c r="Q776" s="81"/>
      <c r="R776" s="81"/>
      <c r="S776" s="81"/>
      <c r="T776" s="85"/>
      <c r="U776" s="81"/>
      <c r="V776" s="81"/>
      <c r="W776" s="123">
        <f t="shared" si="73"/>
        <v>0</v>
      </c>
      <c r="X776" s="123" t="s">
        <v>84</v>
      </c>
      <c r="Y776" s="114" t="s">
        <v>93</v>
      </c>
    </row>
    <row r="777" spans="1:25" s="24" customFormat="1" ht="11.1" customHeight="1">
      <c r="A777" s="74">
        <f t="shared" si="74"/>
        <v>775</v>
      </c>
      <c r="B777" s="75" t="s">
        <v>1080</v>
      </c>
      <c r="C777" s="74" t="str">
        <f>IF($B777&lt;&gt;"",_xlfn.IFNA(VLOOKUP($B777,'Node Details'!$B:$U,C$1,0),"Check"),"")</f>
        <v>AXW080106-AXW080108</v>
      </c>
      <c r="D777" s="74" t="str">
        <f>IF($B777&lt;&gt;"",_xlfn.IFNA(VLOOKUP($B777,'Node Details'!$B:$U,D$1,0),"Check"),"")</f>
        <v>AXW</v>
      </c>
      <c r="E777" s="74" t="str">
        <f>IF($B777&lt;&gt;"",_xlfn.IFNA(VLOOKUP($B777,'Node Details'!$B:$U,E$1,0),"Check"),"")</f>
        <v>Airtel</v>
      </c>
      <c r="F777" s="76">
        <v>46114</v>
      </c>
      <c r="G777" s="74"/>
      <c r="H777" s="10" t="s">
        <v>22</v>
      </c>
      <c r="I777" s="9">
        <v>2</v>
      </c>
      <c r="J777" s="9">
        <v>42</v>
      </c>
      <c r="K777" s="77">
        <f t="shared" si="72"/>
        <v>84</v>
      </c>
      <c r="L777" s="76">
        <v>46112</v>
      </c>
      <c r="N777" s="83"/>
      <c r="O777" s="84"/>
      <c r="P777" s="81"/>
      <c r="Q777" s="81"/>
      <c r="R777" s="81"/>
      <c r="S777" s="81"/>
      <c r="T777" s="85"/>
      <c r="U777" s="81"/>
      <c r="V777" s="81"/>
      <c r="W777" s="123">
        <f t="shared" si="73"/>
        <v>0</v>
      </c>
      <c r="X777" s="123" t="s">
        <v>84</v>
      </c>
      <c r="Y777" s="114" t="s">
        <v>93</v>
      </c>
    </row>
    <row r="778" spans="1:25" s="24" customFormat="1" ht="11.1" customHeight="1">
      <c r="A778" s="74">
        <f t="shared" si="74"/>
        <v>776</v>
      </c>
      <c r="B778" s="75" t="s">
        <v>454</v>
      </c>
      <c r="C778" s="74" t="str">
        <f>IF($B778&lt;&gt;"",_xlfn.IFNA(VLOOKUP($B778,'Node Details'!$B:$U,C$1,0),"Check"),"")</f>
        <v>AXW080106-AXW080108</v>
      </c>
      <c r="D778" s="74" t="str">
        <f>IF($B778&lt;&gt;"",_xlfn.IFNA(VLOOKUP($B778,'Node Details'!$B:$U,D$1,0),"Check"),"")</f>
        <v>AXW</v>
      </c>
      <c r="E778" s="74" t="str">
        <f>IF($B778&lt;&gt;"",_xlfn.IFNA(VLOOKUP($B778,'Node Details'!$B:$U,E$1,0),"Check"),"")</f>
        <v>Airtel</v>
      </c>
      <c r="F778" s="76">
        <v>46114</v>
      </c>
      <c r="G778" s="74"/>
      <c r="H778" s="10" t="s">
        <v>22</v>
      </c>
      <c r="I778" s="9">
        <v>2</v>
      </c>
      <c r="J778" s="9">
        <v>42</v>
      </c>
      <c r="K778" s="77">
        <f t="shared" si="72"/>
        <v>84</v>
      </c>
      <c r="L778" s="76">
        <v>46112</v>
      </c>
      <c r="N778" s="83"/>
      <c r="O778" s="84"/>
      <c r="P778" s="81"/>
      <c r="Q778" s="81"/>
      <c r="R778" s="81"/>
      <c r="S778" s="81"/>
      <c r="T778" s="85"/>
      <c r="U778" s="81"/>
      <c r="V778" s="81"/>
      <c r="W778" s="123">
        <f t="shared" si="73"/>
        <v>0</v>
      </c>
      <c r="X778" s="123" t="s">
        <v>84</v>
      </c>
      <c r="Y778" s="114" t="s">
        <v>93</v>
      </c>
    </row>
    <row r="779" spans="1:25" s="24" customFormat="1" ht="11.1" customHeight="1">
      <c r="A779" s="74">
        <f t="shared" si="74"/>
        <v>777</v>
      </c>
      <c r="B779" s="75" t="s">
        <v>1081</v>
      </c>
      <c r="C779" s="74" t="str">
        <f>IF($B779&lt;&gt;"",_xlfn.IFNA(VLOOKUP($B779,'Node Details'!$B:$U,C$1,0),"Check"),"")</f>
        <v>AXW080106-AXW080202</v>
      </c>
      <c r="D779" s="74" t="str">
        <f>IF($B779&lt;&gt;"",_xlfn.IFNA(VLOOKUP($B779,'Node Details'!$B:$U,D$1,0),"Check"),"")</f>
        <v>AXW</v>
      </c>
      <c r="E779" s="74" t="str">
        <f>IF($B779&lt;&gt;"",_xlfn.IFNA(VLOOKUP($B779,'Node Details'!$B:$U,E$1,0),"Check"),"")</f>
        <v>Airtel</v>
      </c>
      <c r="F779" s="76">
        <v>46114</v>
      </c>
      <c r="G779" s="74"/>
      <c r="H779" s="10" t="s">
        <v>22</v>
      </c>
      <c r="I779" s="9">
        <v>2</v>
      </c>
      <c r="J779" s="9">
        <v>42</v>
      </c>
      <c r="K779" s="77">
        <f t="shared" si="72"/>
        <v>84</v>
      </c>
      <c r="L779" s="76">
        <v>46112</v>
      </c>
      <c r="N779" s="83"/>
      <c r="O779" s="84"/>
      <c r="P779" s="81"/>
      <c r="Q779" s="81"/>
      <c r="R779" s="81"/>
      <c r="S779" s="81"/>
      <c r="T779" s="85"/>
      <c r="U779" s="81"/>
      <c r="V779" s="81"/>
      <c r="W779" s="123">
        <f t="shared" si="73"/>
        <v>0</v>
      </c>
      <c r="X779" s="123" t="s">
        <v>84</v>
      </c>
      <c r="Y779" s="114" t="s">
        <v>93</v>
      </c>
    </row>
    <row r="780" spans="1:25" s="24" customFormat="1" ht="11.1" customHeight="1">
      <c r="A780" s="74">
        <f t="shared" si="74"/>
        <v>778</v>
      </c>
      <c r="B780" s="75" t="s">
        <v>456</v>
      </c>
      <c r="C780" s="74" t="str">
        <f>IF($B780&lt;&gt;"",_xlfn.IFNA(VLOOKUP($B780,'Node Details'!$B:$U,C$1,0),"Check"),"")</f>
        <v>AXW080106-AXW080202</v>
      </c>
      <c r="D780" s="74" t="str">
        <f>IF($B780&lt;&gt;"",_xlfn.IFNA(VLOOKUP($B780,'Node Details'!$B:$U,D$1,0),"Check"),"")</f>
        <v>AXW</v>
      </c>
      <c r="E780" s="74" t="str">
        <f>IF($B780&lt;&gt;"",_xlfn.IFNA(VLOOKUP($B780,'Node Details'!$B:$U,E$1,0),"Check"),"")</f>
        <v>Airtel</v>
      </c>
      <c r="F780" s="76">
        <v>46114</v>
      </c>
      <c r="G780" s="74"/>
      <c r="H780" s="10" t="s">
        <v>22</v>
      </c>
      <c r="I780" s="9">
        <v>2</v>
      </c>
      <c r="J780" s="9">
        <v>42</v>
      </c>
      <c r="K780" s="77">
        <f t="shared" si="72"/>
        <v>84</v>
      </c>
      <c r="L780" s="76">
        <v>46112</v>
      </c>
      <c r="N780" s="83"/>
      <c r="O780" s="84"/>
      <c r="P780" s="81"/>
      <c r="Q780" s="81"/>
      <c r="R780" s="81"/>
      <c r="S780" s="81"/>
      <c r="T780" s="85"/>
      <c r="U780" s="81"/>
      <c r="V780" s="81"/>
      <c r="W780" s="123">
        <f t="shared" si="73"/>
        <v>0</v>
      </c>
      <c r="X780" s="123" t="s">
        <v>84</v>
      </c>
      <c r="Y780" s="114" t="s">
        <v>93</v>
      </c>
    </row>
    <row r="781" spans="1:25" s="24" customFormat="1" ht="11.1" customHeight="1">
      <c r="A781" s="74">
        <f t="shared" si="74"/>
        <v>779</v>
      </c>
      <c r="B781" s="75" t="s">
        <v>459</v>
      </c>
      <c r="C781" s="74" t="str">
        <f>IF($B781&lt;&gt;"",_xlfn.IFNA(VLOOKUP($B781,'Node Details'!$B:$U,C$1,0),"Check"),"")</f>
        <v>0000AXW09-AXW090101</v>
      </c>
      <c r="D781" s="74" t="str">
        <f>IF($B781&lt;&gt;"",_xlfn.IFNA(VLOOKUP($B781,'Node Details'!$B:$U,D$1,0),"Check"),"")</f>
        <v>AXW</v>
      </c>
      <c r="E781" s="74" t="str">
        <f>IF($B781&lt;&gt;"",_xlfn.IFNA(VLOOKUP($B781,'Node Details'!$B:$U,E$1,0),"Check"),"")</f>
        <v>Airtel</v>
      </c>
      <c r="F781" s="76">
        <v>46114</v>
      </c>
      <c r="G781" s="74"/>
      <c r="H781" s="10" t="s">
        <v>22</v>
      </c>
      <c r="I781" s="9">
        <v>2</v>
      </c>
      <c r="J781" s="9">
        <v>42</v>
      </c>
      <c r="K781" s="77">
        <f t="shared" si="72"/>
        <v>84</v>
      </c>
      <c r="L781" s="76">
        <v>46112</v>
      </c>
      <c r="N781" s="83"/>
      <c r="O781" s="84"/>
      <c r="P781" s="81"/>
      <c r="Q781" s="81"/>
      <c r="R781" s="81"/>
      <c r="S781" s="81"/>
      <c r="T781" s="85"/>
      <c r="U781" s="81"/>
      <c r="V781" s="81"/>
      <c r="W781" s="123">
        <f t="shared" si="73"/>
        <v>0</v>
      </c>
      <c r="X781" s="123" t="s">
        <v>84</v>
      </c>
      <c r="Y781" s="114" t="s">
        <v>93</v>
      </c>
    </row>
    <row r="782" spans="1:25" s="24" customFormat="1" ht="11.1" customHeight="1">
      <c r="A782" s="74">
        <f t="shared" si="74"/>
        <v>780</v>
      </c>
      <c r="B782" s="75" t="s">
        <v>461</v>
      </c>
      <c r="C782" s="74" t="str">
        <f>IF($B782&lt;&gt;"",_xlfn.IFNA(VLOOKUP($B782,'Node Details'!$B:$U,C$1,0),"Check"),"")</f>
        <v>0000AXW09-AXW090102</v>
      </c>
      <c r="D782" s="74" t="str">
        <f>IF($B782&lt;&gt;"",_xlfn.IFNA(VLOOKUP($B782,'Node Details'!$B:$U,D$1,0),"Check"),"")</f>
        <v>AXW</v>
      </c>
      <c r="E782" s="74" t="str">
        <f>IF($B782&lt;&gt;"",_xlfn.IFNA(VLOOKUP($B782,'Node Details'!$B:$U,E$1,0),"Check"),"")</f>
        <v>Airtel</v>
      </c>
      <c r="F782" s="76">
        <v>46114</v>
      </c>
      <c r="G782" s="74"/>
      <c r="H782" s="10" t="s">
        <v>22</v>
      </c>
      <c r="I782" s="9">
        <v>2</v>
      </c>
      <c r="J782" s="9">
        <v>42</v>
      </c>
      <c r="K782" s="77">
        <f t="shared" si="72"/>
        <v>84</v>
      </c>
      <c r="L782" s="76">
        <v>46112</v>
      </c>
      <c r="N782" s="83"/>
      <c r="O782" s="84"/>
      <c r="P782" s="81"/>
      <c r="Q782" s="81"/>
      <c r="R782" s="81"/>
      <c r="S782" s="81"/>
      <c r="T782" s="85"/>
      <c r="U782" s="81"/>
      <c r="V782" s="81"/>
      <c r="W782" s="123">
        <f t="shared" si="73"/>
        <v>0</v>
      </c>
      <c r="X782" s="123" t="s">
        <v>84</v>
      </c>
      <c r="Y782" s="114" t="s">
        <v>93</v>
      </c>
    </row>
    <row r="783" spans="1:25" s="24" customFormat="1" ht="11.1" customHeight="1">
      <c r="A783" s="74">
        <f t="shared" si="74"/>
        <v>781</v>
      </c>
      <c r="B783" s="75" t="s">
        <v>1082</v>
      </c>
      <c r="C783" s="74" t="str">
        <f>IF($B783&lt;&gt;"",_xlfn.IFNA(VLOOKUP($B783,'Node Details'!$B:$U,C$1,0),"Check"),"")</f>
        <v>0000AXW09-AXW090106</v>
      </c>
      <c r="D783" s="74" t="str">
        <f>IF($B783&lt;&gt;"",_xlfn.IFNA(VLOOKUP($B783,'Node Details'!$B:$U,D$1,0),"Check"),"")</f>
        <v>AXW</v>
      </c>
      <c r="E783" s="74" t="str">
        <f>IF($B783&lt;&gt;"",_xlfn.IFNA(VLOOKUP($B783,'Node Details'!$B:$U,E$1,0),"Check"),"")</f>
        <v>Airtel</v>
      </c>
      <c r="F783" s="76">
        <v>46114</v>
      </c>
      <c r="G783" s="74"/>
      <c r="H783" s="10" t="s">
        <v>22</v>
      </c>
      <c r="I783" s="9">
        <v>2</v>
      </c>
      <c r="J783" s="9">
        <v>42</v>
      </c>
      <c r="K783" s="77">
        <f t="shared" ref="K783:K846" si="75">IF(I783&lt;&gt;"",J783*I783,0)</f>
        <v>84</v>
      </c>
      <c r="L783" s="76">
        <v>46112</v>
      </c>
      <c r="N783" s="83"/>
      <c r="O783" s="84"/>
      <c r="P783" s="81"/>
      <c r="Q783" s="81"/>
      <c r="R783" s="81"/>
      <c r="S783" s="81"/>
      <c r="T783" s="85"/>
      <c r="U783" s="81"/>
      <c r="V783" s="81"/>
      <c r="W783" s="123">
        <f t="shared" ref="W783:W846" si="76">IF(V783&lt;&gt;"",V783*U783,0)</f>
        <v>0</v>
      </c>
      <c r="X783" s="123" t="s">
        <v>84</v>
      </c>
      <c r="Y783" s="114" t="s">
        <v>93</v>
      </c>
    </row>
    <row r="784" spans="1:25" s="24" customFormat="1" ht="11.1" customHeight="1">
      <c r="A784" s="74">
        <f t="shared" si="74"/>
        <v>782</v>
      </c>
      <c r="B784" s="75" t="s">
        <v>1083</v>
      </c>
      <c r="C784" s="74" t="str">
        <f>IF($B784&lt;&gt;"",_xlfn.IFNA(VLOOKUP($B784,'Node Details'!$B:$U,C$1,0),"Check"),"")</f>
        <v>0000AXW09-AXW090106</v>
      </c>
      <c r="D784" s="74" t="str">
        <f>IF($B784&lt;&gt;"",_xlfn.IFNA(VLOOKUP($B784,'Node Details'!$B:$U,D$1,0),"Check"),"")</f>
        <v>AXW</v>
      </c>
      <c r="E784" s="74" t="str">
        <f>IF($B784&lt;&gt;"",_xlfn.IFNA(VLOOKUP($B784,'Node Details'!$B:$U,E$1,0),"Check"),"")</f>
        <v>Airtel</v>
      </c>
      <c r="F784" s="76">
        <v>46114</v>
      </c>
      <c r="G784" s="74"/>
      <c r="H784" s="10" t="s">
        <v>22</v>
      </c>
      <c r="I784" s="9">
        <v>2</v>
      </c>
      <c r="J784" s="9">
        <v>42</v>
      </c>
      <c r="K784" s="77">
        <f t="shared" si="75"/>
        <v>84</v>
      </c>
      <c r="L784" s="76">
        <v>46112</v>
      </c>
      <c r="N784" s="83"/>
      <c r="O784" s="84"/>
      <c r="P784" s="81"/>
      <c r="Q784" s="81"/>
      <c r="R784" s="81"/>
      <c r="S784" s="81"/>
      <c r="T784" s="85"/>
      <c r="U784" s="81"/>
      <c r="V784" s="81"/>
      <c r="W784" s="123">
        <f t="shared" si="76"/>
        <v>0</v>
      </c>
      <c r="X784" s="123" t="s">
        <v>84</v>
      </c>
      <c r="Y784" s="114" t="s">
        <v>93</v>
      </c>
    </row>
    <row r="785" spans="1:25" s="24" customFormat="1" ht="11.1" customHeight="1">
      <c r="A785" s="74">
        <f t="shared" si="74"/>
        <v>783</v>
      </c>
      <c r="B785" s="75" t="s">
        <v>1084</v>
      </c>
      <c r="C785" s="74" t="str">
        <f>IF($B785&lt;&gt;"",_xlfn.IFNA(VLOOKUP($B785,'Node Details'!$B:$U,C$1,0),"Check"),"")</f>
        <v>0000AXW09-AXW090106</v>
      </c>
      <c r="D785" s="74" t="str">
        <f>IF($B785&lt;&gt;"",_xlfn.IFNA(VLOOKUP($B785,'Node Details'!$B:$U,D$1,0),"Check"),"")</f>
        <v>AXW</v>
      </c>
      <c r="E785" s="74" t="str">
        <f>IF($B785&lt;&gt;"",_xlfn.IFNA(VLOOKUP($B785,'Node Details'!$B:$U,E$1,0),"Check"),"")</f>
        <v>Airtel</v>
      </c>
      <c r="F785" s="76">
        <v>46114</v>
      </c>
      <c r="G785" s="74"/>
      <c r="H785" s="10" t="s">
        <v>22</v>
      </c>
      <c r="I785" s="9">
        <v>2</v>
      </c>
      <c r="J785" s="9">
        <v>42</v>
      </c>
      <c r="K785" s="77">
        <f t="shared" si="75"/>
        <v>84</v>
      </c>
      <c r="L785" s="76">
        <v>46112</v>
      </c>
      <c r="N785" s="83"/>
      <c r="O785" s="84"/>
      <c r="P785" s="81"/>
      <c r="Q785" s="81"/>
      <c r="R785" s="81"/>
      <c r="S785" s="81"/>
      <c r="T785" s="85"/>
      <c r="U785" s="81"/>
      <c r="V785" s="81"/>
      <c r="W785" s="123">
        <f t="shared" si="76"/>
        <v>0</v>
      </c>
      <c r="X785" s="123" t="s">
        <v>84</v>
      </c>
      <c r="Y785" s="114" t="s">
        <v>93</v>
      </c>
    </row>
    <row r="786" spans="1:25" s="24" customFormat="1" ht="11.1" customHeight="1">
      <c r="A786" s="74">
        <f t="shared" si="74"/>
        <v>784</v>
      </c>
      <c r="B786" s="75" t="s">
        <v>463</v>
      </c>
      <c r="C786" s="74" t="str">
        <f>IF($B786&lt;&gt;"",_xlfn.IFNA(VLOOKUP($B786,'Node Details'!$B:$U,C$1,0),"Check"),"")</f>
        <v>0000AXW09-AXW090106</v>
      </c>
      <c r="D786" s="74" t="str">
        <f>IF($B786&lt;&gt;"",_xlfn.IFNA(VLOOKUP($B786,'Node Details'!$B:$U,D$1,0),"Check"),"")</f>
        <v>AXW</v>
      </c>
      <c r="E786" s="74" t="str">
        <f>IF($B786&lt;&gt;"",_xlfn.IFNA(VLOOKUP($B786,'Node Details'!$B:$U,E$1,0),"Check"),"")</f>
        <v>Airtel</v>
      </c>
      <c r="F786" s="76">
        <v>46114</v>
      </c>
      <c r="G786" s="74"/>
      <c r="H786" s="10" t="s">
        <v>22</v>
      </c>
      <c r="I786" s="9">
        <v>2</v>
      </c>
      <c r="J786" s="9">
        <v>42</v>
      </c>
      <c r="K786" s="77">
        <f t="shared" si="75"/>
        <v>84</v>
      </c>
      <c r="L786" s="76">
        <v>46112</v>
      </c>
      <c r="N786" s="83"/>
      <c r="O786" s="84"/>
      <c r="P786" s="81"/>
      <c r="Q786" s="81"/>
      <c r="R786" s="81"/>
      <c r="S786" s="81"/>
      <c r="T786" s="85"/>
      <c r="U786" s="81"/>
      <c r="V786" s="81"/>
      <c r="W786" s="123">
        <f t="shared" si="76"/>
        <v>0</v>
      </c>
      <c r="X786" s="123" t="s">
        <v>84</v>
      </c>
      <c r="Y786" s="114" t="s">
        <v>93</v>
      </c>
    </row>
    <row r="787" spans="1:25" s="24" customFormat="1" ht="11.1" customHeight="1">
      <c r="A787" s="74">
        <f t="shared" si="74"/>
        <v>785</v>
      </c>
      <c r="B787" s="75" t="s">
        <v>471</v>
      </c>
      <c r="C787" s="74" t="str">
        <f>IF($B787&lt;&gt;"",_xlfn.IFNA(VLOOKUP($B787,'Node Details'!$B:$U,C$1,0),"Check"),"")</f>
        <v>0000AXW10-AXW100107</v>
      </c>
      <c r="D787" s="74" t="str">
        <f>IF($B787&lt;&gt;"",_xlfn.IFNA(VLOOKUP($B787,'Node Details'!$B:$U,D$1,0),"Check"),"")</f>
        <v>AXW</v>
      </c>
      <c r="E787" s="74" t="str">
        <f>IF($B787&lt;&gt;"",_xlfn.IFNA(VLOOKUP($B787,'Node Details'!$B:$U,E$1,0),"Check"),"")</f>
        <v>Airtel</v>
      </c>
      <c r="F787" s="76">
        <v>46114</v>
      </c>
      <c r="G787" s="74"/>
      <c r="H787" s="10" t="s">
        <v>22</v>
      </c>
      <c r="I787" s="9">
        <v>2</v>
      </c>
      <c r="J787" s="9">
        <v>42</v>
      </c>
      <c r="K787" s="77">
        <f t="shared" si="75"/>
        <v>84</v>
      </c>
      <c r="L787" s="76">
        <v>46112</v>
      </c>
      <c r="N787" s="83"/>
      <c r="O787" s="84"/>
      <c r="P787" s="81"/>
      <c r="Q787" s="81"/>
      <c r="R787" s="81"/>
      <c r="S787" s="81"/>
      <c r="T787" s="85"/>
      <c r="U787" s="81"/>
      <c r="V787" s="81"/>
      <c r="W787" s="123">
        <f t="shared" si="76"/>
        <v>0</v>
      </c>
      <c r="X787" s="123" t="s">
        <v>84</v>
      </c>
      <c r="Y787" s="114" t="s">
        <v>93</v>
      </c>
    </row>
    <row r="788" spans="1:25" s="24" customFormat="1" ht="11.1" customHeight="1">
      <c r="A788" s="74">
        <f t="shared" si="74"/>
        <v>786</v>
      </c>
      <c r="B788" s="75" t="s">
        <v>467</v>
      </c>
      <c r="C788" s="74" t="str">
        <f>IF($B788&lt;&gt;"",_xlfn.IFNA(VLOOKUP($B788,'Node Details'!$B:$U,C$1,0),"Check"),"")</f>
        <v>0000AXW10-AXW100102</v>
      </c>
      <c r="D788" s="74" t="str">
        <f>IF($B788&lt;&gt;"",_xlfn.IFNA(VLOOKUP($B788,'Node Details'!$B:$U,D$1,0),"Check"),"")</f>
        <v>AXW</v>
      </c>
      <c r="E788" s="74" t="str">
        <f>IF($B788&lt;&gt;"",_xlfn.IFNA(VLOOKUP($B788,'Node Details'!$B:$U,E$1,0),"Check"),"")</f>
        <v>Airtel</v>
      </c>
      <c r="F788" s="76">
        <v>46114</v>
      </c>
      <c r="G788" s="74"/>
      <c r="H788" s="10" t="s">
        <v>22</v>
      </c>
      <c r="I788" s="9">
        <v>2</v>
      </c>
      <c r="J788" s="9">
        <v>42</v>
      </c>
      <c r="K788" s="77">
        <f t="shared" si="75"/>
        <v>84</v>
      </c>
      <c r="L788" s="76">
        <v>46112</v>
      </c>
      <c r="N788" s="83"/>
      <c r="O788" s="84"/>
      <c r="P788" s="81"/>
      <c r="Q788" s="81"/>
      <c r="R788" s="81"/>
      <c r="S788" s="81"/>
      <c r="T788" s="85"/>
      <c r="U788" s="81"/>
      <c r="V788" s="81"/>
      <c r="W788" s="123">
        <f t="shared" si="76"/>
        <v>0</v>
      </c>
      <c r="X788" s="123" t="s">
        <v>84</v>
      </c>
      <c r="Y788" s="114" t="s">
        <v>93</v>
      </c>
    </row>
    <row r="789" spans="1:25" s="24" customFormat="1" ht="11.1" customHeight="1">
      <c r="A789" s="74">
        <f t="shared" si="74"/>
        <v>787</v>
      </c>
      <c r="B789" s="75" t="s">
        <v>1085</v>
      </c>
      <c r="C789" s="74" t="str">
        <f>IF($B789&lt;&gt;"",_xlfn.IFNA(VLOOKUP($B789,'Node Details'!$B:$U,C$1,0),"Check"),"")</f>
        <v>0000AXW10-AXW100105</v>
      </c>
      <c r="D789" s="74" t="str">
        <f>IF($B789&lt;&gt;"",_xlfn.IFNA(VLOOKUP($B789,'Node Details'!$B:$U,D$1,0),"Check"),"")</f>
        <v>AXW</v>
      </c>
      <c r="E789" s="74" t="str">
        <f>IF($B789&lt;&gt;"",_xlfn.IFNA(VLOOKUP($B789,'Node Details'!$B:$U,E$1,0),"Check"),"")</f>
        <v>Airtel</v>
      </c>
      <c r="F789" s="76">
        <v>46114</v>
      </c>
      <c r="G789" s="74"/>
      <c r="H789" s="10" t="s">
        <v>22</v>
      </c>
      <c r="I789" s="9">
        <v>2</v>
      </c>
      <c r="J789" s="9">
        <v>42</v>
      </c>
      <c r="K789" s="77">
        <f t="shared" si="75"/>
        <v>84</v>
      </c>
      <c r="L789" s="76">
        <v>46112</v>
      </c>
      <c r="N789" s="83"/>
      <c r="O789" s="84"/>
      <c r="P789" s="81"/>
      <c r="Q789" s="81"/>
      <c r="R789" s="81"/>
      <c r="S789" s="81"/>
      <c r="T789" s="85"/>
      <c r="U789" s="81"/>
      <c r="V789" s="81"/>
      <c r="W789" s="123">
        <f t="shared" si="76"/>
        <v>0</v>
      </c>
      <c r="X789" s="123" t="s">
        <v>84</v>
      </c>
      <c r="Y789" s="114" t="s">
        <v>93</v>
      </c>
    </row>
    <row r="790" spans="1:25" s="24" customFormat="1" ht="11.1" customHeight="1">
      <c r="A790" s="74">
        <f t="shared" si="74"/>
        <v>788</v>
      </c>
      <c r="B790" s="75" t="s">
        <v>1086</v>
      </c>
      <c r="C790" s="74" t="str">
        <f>IF($B790&lt;&gt;"",_xlfn.IFNA(VLOOKUP($B790,'Node Details'!$B:$U,C$1,0),"Check"),"")</f>
        <v>0000AXW10-AXW100105</v>
      </c>
      <c r="D790" s="74" t="str">
        <f>IF($B790&lt;&gt;"",_xlfn.IFNA(VLOOKUP($B790,'Node Details'!$B:$U,D$1,0),"Check"),"")</f>
        <v>AXW</v>
      </c>
      <c r="E790" s="74" t="str">
        <f>IF($B790&lt;&gt;"",_xlfn.IFNA(VLOOKUP($B790,'Node Details'!$B:$U,E$1,0),"Check"),"")</f>
        <v>Airtel</v>
      </c>
      <c r="F790" s="76">
        <v>46114</v>
      </c>
      <c r="G790" s="74"/>
      <c r="H790" s="10" t="s">
        <v>22</v>
      </c>
      <c r="I790" s="9">
        <v>2</v>
      </c>
      <c r="J790" s="9">
        <v>42</v>
      </c>
      <c r="K790" s="77">
        <f t="shared" si="75"/>
        <v>84</v>
      </c>
      <c r="L790" s="76">
        <v>46112</v>
      </c>
      <c r="N790" s="83"/>
      <c r="O790" s="84"/>
      <c r="P790" s="81"/>
      <c r="Q790" s="81"/>
      <c r="R790" s="81"/>
      <c r="S790" s="81"/>
      <c r="T790" s="85"/>
      <c r="U790" s="81"/>
      <c r="V790" s="81"/>
      <c r="W790" s="123">
        <f t="shared" si="76"/>
        <v>0</v>
      </c>
      <c r="X790" s="123" t="s">
        <v>84</v>
      </c>
      <c r="Y790" s="114" t="s">
        <v>93</v>
      </c>
    </row>
    <row r="791" spans="1:25" s="24" customFormat="1" ht="11.1" customHeight="1">
      <c r="A791" s="74">
        <f t="shared" si="74"/>
        <v>789</v>
      </c>
      <c r="B791" s="75" t="s">
        <v>469</v>
      </c>
      <c r="C791" s="74" t="str">
        <f>IF($B791&lt;&gt;"",_xlfn.IFNA(VLOOKUP($B791,'Node Details'!$B:$U,C$1,0),"Check"),"")</f>
        <v>0000AXW10-AXW100105</v>
      </c>
      <c r="D791" s="74" t="str">
        <f>IF($B791&lt;&gt;"",_xlfn.IFNA(VLOOKUP($B791,'Node Details'!$B:$U,D$1,0),"Check"),"")</f>
        <v>AXW</v>
      </c>
      <c r="E791" s="74" t="str">
        <f>IF($B791&lt;&gt;"",_xlfn.IFNA(VLOOKUP($B791,'Node Details'!$B:$U,E$1,0),"Check"),"")</f>
        <v>Airtel</v>
      </c>
      <c r="F791" s="76">
        <v>46114</v>
      </c>
      <c r="G791" s="74"/>
      <c r="H791" s="10" t="s">
        <v>22</v>
      </c>
      <c r="I791" s="9">
        <v>2</v>
      </c>
      <c r="J791" s="9">
        <v>42</v>
      </c>
      <c r="K791" s="77">
        <f t="shared" si="75"/>
        <v>84</v>
      </c>
      <c r="L791" s="76">
        <v>46112</v>
      </c>
      <c r="N791" s="83"/>
      <c r="O791" s="84"/>
      <c r="P791" s="81"/>
      <c r="Q791" s="81"/>
      <c r="R791" s="81"/>
      <c r="S791" s="81"/>
      <c r="T791" s="85"/>
      <c r="U791" s="81"/>
      <c r="V791" s="81"/>
      <c r="W791" s="123">
        <f t="shared" si="76"/>
        <v>0</v>
      </c>
      <c r="X791" s="123" t="s">
        <v>84</v>
      </c>
      <c r="Y791" s="114" t="s">
        <v>93</v>
      </c>
    </row>
    <row r="792" spans="1:25" s="24" customFormat="1" ht="11.1" customHeight="1">
      <c r="A792" s="74">
        <f t="shared" si="74"/>
        <v>790</v>
      </c>
      <c r="B792" s="75" t="s">
        <v>1087</v>
      </c>
      <c r="C792" s="74" t="str">
        <f>IF($B792&lt;&gt;"",_xlfn.IFNA(VLOOKUP($B792,'Node Details'!$B:$U,C$1,0),"Check"),"")</f>
        <v>0000AXW10-AXW100107</v>
      </c>
      <c r="D792" s="74" t="str">
        <f>IF($B792&lt;&gt;"",_xlfn.IFNA(VLOOKUP($B792,'Node Details'!$B:$U,D$1,0),"Check"),"")</f>
        <v>AXW</v>
      </c>
      <c r="E792" s="74" t="str">
        <f>IF($B792&lt;&gt;"",_xlfn.IFNA(VLOOKUP($B792,'Node Details'!$B:$U,E$1,0),"Check"),"")</f>
        <v>Airtel</v>
      </c>
      <c r="F792" s="76">
        <v>46114</v>
      </c>
      <c r="G792" s="74"/>
      <c r="H792" s="10" t="s">
        <v>22</v>
      </c>
      <c r="I792" s="9">
        <v>2</v>
      </c>
      <c r="J792" s="9">
        <v>42</v>
      </c>
      <c r="K792" s="77">
        <f t="shared" si="75"/>
        <v>84</v>
      </c>
      <c r="L792" s="76">
        <v>46112</v>
      </c>
      <c r="N792" s="83"/>
      <c r="O792" s="84"/>
      <c r="P792" s="81"/>
      <c r="Q792" s="81"/>
      <c r="R792" s="81"/>
      <c r="S792" s="81"/>
      <c r="T792" s="85"/>
      <c r="U792" s="81"/>
      <c r="V792" s="81"/>
      <c r="W792" s="123">
        <f t="shared" si="76"/>
        <v>0</v>
      </c>
      <c r="X792" s="123" t="s">
        <v>84</v>
      </c>
      <c r="Y792" s="114" t="s">
        <v>93</v>
      </c>
    </row>
    <row r="793" spans="1:25" s="24" customFormat="1" ht="11.1" customHeight="1">
      <c r="A793" s="74">
        <f t="shared" si="74"/>
        <v>791</v>
      </c>
      <c r="B793" s="75" t="s">
        <v>465</v>
      </c>
      <c r="C793" s="74" t="str">
        <f>IF($B793&lt;&gt;"",_xlfn.IFNA(VLOOKUP($B793,'Node Details'!$B:$U,C$1,0),"Check"),"")</f>
        <v>0000AXW10-AXW100107</v>
      </c>
      <c r="D793" s="74" t="str">
        <f>IF($B793&lt;&gt;"",_xlfn.IFNA(VLOOKUP($B793,'Node Details'!$B:$U,D$1,0),"Check"),"")</f>
        <v>AXW</v>
      </c>
      <c r="E793" s="74" t="str">
        <f>IF($B793&lt;&gt;"",_xlfn.IFNA(VLOOKUP($B793,'Node Details'!$B:$U,E$1,0),"Check"),"")</f>
        <v>Airtel</v>
      </c>
      <c r="F793" s="76">
        <v>46114</v>
      </c>
      <c r="G793" s="74"/>
      <c r="H793" s="10" t="s">
        <v>22</v>
      </c>
      <c r="I793" s="9">
        <v>2</v>
      </c>
      <c r="J793" s="9">
        <v>42</v>
      </c>
      <c r="K793" s="77">
        <f t="shared" si="75"/>
        <v>84</v>
      </c>
      <c r="L793" s="76">
        <v>46112</v>
      </c>
      <c r="N793" s="83"/>
      <c r="O793" s="84"/>
      <c r="P793" s="81"/>
      <c r="Q793" s="81"/>
      <c r="R793" s="81"/>
      <c r="S793" s="81"/>
      <c r="T793" s="85"/>
      <c r="U793" s="81"/>
      <c r="V793" s="81"/>
      <c r="W793" s="123">
        <f t="shared" si="76"/>
        <v>0</v>
      </c>
      <c r="X793" s="123" t="s">
        <v>84</v>
      </c>
      <c r="Y793" s="114" t="s">
        <v>93</v>
      </c>
    </row>
    <row r="794" spans="1:25" s="24" customFormat="1" ht="11.1" customHeight="1">
      <c r="A794" s="74">
        <f t="shared" si="74"/>
        <v>792</v>
      </c>
      <c r="B794" s="75" t="s">
        <v>1088</v>
      </c>
      <c r="C794" s="74" t="str">
        <f>IF($B794&lt;&gt;"",_xlfn.IFNA(VLOOKUP($B794,'Node Details'!$B:$U,C$1,0),"Check"),"")</f>
        <v>AXW100101-AXW100201</v>
      </c>
      <c r="D794" s="74" t="str">
        <f>IF($B794&lt;&gt;"",_xlfn.IFNA(VLOOKUP($B794,'Node Details'!$B:$U,D$1,0),"Check"),"")</f>
        <v>AXW</v>
      </c>
      <c r="E794" s="74" t="str">
        <f>IF($B794&lt;&gt;"",_xlfn.IFNA(VLOOKUP($B794,'Node Details'!$B:$U,E$1,0),"Check"),"")</f>
        <v>Airtel</v>
      </c>
      <c r="F794" s="76">
        <v>46114</v>
      </c>
      <c r="G794" s="74"/>
      <c r="H794" s="10" t="s">
        <v>22</v>
      </c>
      <c r="I794" s="9">
        <v>2</v>
      </c>
      <c r="J794" s="9">
        <v>42</v>
      </c>
      <c r="K794" s="77">
        <f t="shared" si="75"/>
        <v>84</v>
      </c>
      <c r="L794" s="76">
        <v>46112</v>
      </c>
      <c r="N794" s="83"/>
      <c r="O794" s="84"/>
      <c r="P794" s="81"/>
      <c r="Q794" s="81"/>
      <c r="R794" s="81"/>
      <c r="S794" s="81"/>
      <c r="T794" s="85"/>
      <c r="U794" s="81"/>
      <c r="V794" s="81"/>
      <c r="W794" s="123">
        <f t="shared" si="76"/>
        <v>0</v>
      </c>
      <c r="X794" s="123" t="s">
        <v>84</v>
      </c>
      <c r="Y794" s="114" t="s">
        <v>93</v>
      </c>
    </row>
    <row r="795" spans="1:25" s="24" customFormat="1" ht="11.1" customHeight="1">
      <c r="A795" s="74">
        <f t="shared" si="74"/>
        <v>793</v>
      </c>
      <c r="B795" s="75" t="s">
        <v>472</v>
      </c>
      <c r="C795" s="74" t="str">
        <f>IF($B795&lt;&gt;"",_xlfn.IFNA(VLOOKUP($B795,'Node Details'!$B:$U,C$1,0),"Check"),"")</f>
        <v>AXW100101-AXW100201</v>
      </c>
      <c r="D795" s="74" t="str">
        <f>IF($B795&lt;&gt;"",_xlfn.IFNA(VLOOKUP($B795,'Node Details'!$B:$U,D$1,0),"Check"),"")</f>
        <v>AXW</v>
      </c>
      <c r="E795" s="74" t="str">
        <f>IF($B795&lt;&gt;"",_xlfn.IFNA(VLOOKUP($B795,'Node Details'!$B:$U,E$1,0),"Check"),"")</f>
        <v>Airtel</v>
      </c>
      <c r="F795" s="76">
        <v>46114</v>
      </c>
      <c r="G795" s="74"/>
      <c r="H795" s="10" t="s">
        <v>22</v>
      </c>
      <c r="I795" s="9">
        <v>2</v>
      </c>
      <c r="J795" s="9">
        <v>42</v>
      </c>
      <c r="K795" s="77">
        <f t="shared" si="75"/>
        <v>84</v>
      </c>
      <c r="L795" s="76">
        <v>46112</v>
      </c>
      <c r="N795" s="83"/>
      <c r="O795" s="84"/>
      <c r="P795" s="81"/>
      <c r="Q795" s="81"/>
      <c r="R795" s="81"/>
      <c r="S795" s="81"/>
      <c r="T795" s="85"/>
      <c r="U795" s="81"/>
      <c r="V795" s="81"/>
      <c r="W795" s="123">
        <f t="shared" si="76"/>
        <v>0</v>
      </c>
      <c r="X795" s="123" t="s">
        <v>84</v>
      </c>
      <c r="Y795" s="114" t="s">
        <v>93</v>
      </c>
    </row>
    <row r="796" spans="1:25" s="24" customFormat="1" ht="11.1" customHeight="1">
      <c r="A796" s="74">
        <f t="shared" si="74"/>
        <v>794</v>
      </c>
      <c r="B796" s="75" t="s">
        <v>475</v>
      </c>
      <c r="C796" s="74" t="str">
        <f>IF($B796&lt;&gt;"",_xlfn.IFNA(VLOOKUP($B796,'Node Details'!$B:$U,C$1,0),"Check"),"")</f>
        <v>0000AXW11-AXW110101</v>
      </c>
      <c r="D796" s="74" t="str">
        <f>IF($B796&lt;&gt;"",_xlfn.IFNA(VLOOKUP($B796,'Node Details'!$B:$U,D$1,0),"Check"),"")</f>
        <v>AXW</v>
      </c>
      <c r="E796" s="74" t="str">
        <f>IF($B796&lt;&gt;"",_xlfn.IFNA(VLOOKUP($B796,'Node Details'!$B:$U,E$1,0),"Check"),"")</f>
        <v>Airtel</v>
      </c>
      <c r="F796" s="76">
        <v>46114</v>
      </c>
      <c r="G796" s="74"/>
      <c r="H796" s="10" t="s">
        <v>22</v>
      </c>
      <c r="I796" s="9">
        <v>2</v>
      </c>
      <c r="J796" s="9">
        <v>42</v>
      </c>
      <c r="K796" s="77">
        <f t="shared" si="75"/>
        <v>84</v>
      </c>
      <c r="L796" s="76">
        <v>46112</v>
      </c>
      <c r="N796" s="83"/>
      <c r="O796" s="84"/>
      <c r="P796" s="81"/>
      <c r="Q796" s="81"/>
      <c r="R796" s="81"/>
      <c r="S796" s="81"/>
      <c r="T796" s="85"/>
      <c r="U796" s="81"/>
      <c r="V796" s="81"/>
      <c r="W796" s="123">
        <f t="shared" si="76"/>
        <v>0</v>
      </c>
      <c r="X796" s="123" t="s">
        <v>84</v>
      </c>
      <c r="Y796" s="114" t="s">
        <v>93</v>
      </c>
    </row>
    <row r="797" spans="1:25" s="24" customFormat="1" ht="11.1" customHeight="1">
      <c r="A797" s="74">
        <f t="shared" si="74"/>
        <v>795</v>
      </c>
      <c r="B797" s="75" t="s">
        <v>1089</v>
      </c>
      <c r="C797" s="74" t="str">
        <f>IF($B797&lt;&gt;"",_xlfn.IFNA(VLOOKUP($B797,'Node Details'!$B:$U,C$1,0),"Check"),"")</f>
        <v>0000AXW11-AXW110103</v>
      </c>
      <c r="D797" s="74" t="str">
        <f>IF($B797&lt;&gt;"",_xlfn.IFNA(VLOOKUP($B797,'Node Details'!$B:$U,D$1,0),"Check"),"")</f>
        <v>AXW</v>
      </c>
      <c r="E797" s="74" t="str">
        <f>IF($B797&lt;&gt;"",_xlfn.IFNA(VLOOKUP($B797,'Node Details'!$B:$U,E$1,0),"Check"),"")</f>
        <v>Airtel</v>
      </c>
      <c r="F797" s="76">
        <v>46114</v>
      </c>
      <c r="G797" s="74"/>
      <c r="H797" s="10" t="s">
        <v>22</v>
      </c>
      <c r="I797" s="9">
        <v>2</v>
      </c>
      <c r="J797" s="9">
        <v>42</v>
      </c>
      <c r="K797" s="77">
        <f t="shared" si="75"/>
        <v>84</v>
      </c>
      <c r="L797" s="76">
        <v>46112</v>
      </c>
      <c r="N797" s="83"/>
      <c r="O797" s="84"/>
      <c r="P797" s="81"/>
      <c r="Q797" s="81"/>
      <c r="R797" s="81"/>
      <c r="S797" s="81"/>
      <c r="T797" s="85"/>
      <c r="U797" s="81"/>
      <c r="V797" s="81"/>
      <c r="W797" s="123">
        <f t="shared" si="76"/>
        <v>0</v>
      </c>
      <c r="X797" s="123" t="s">
        <v>84</v>
      </c>
      <c r="Y797" s="114" t="s">
        <v>93</v>
      </c>
    </row>
    <row r="798" spans="1:25" s="24" customFormat="1" ht="11.1" customHeight="1">
      <c r="A798" s="74">
        <f t="shared" si="74"/>
        <v>796</v>
      </c>
      <c r="B798" s="75" t="s">
        <v>477</v>
      </c>
      <c r="C798" s="74" t="str">
        <f>IF($B798&lt;&gt;"",_xlfn.IFNA(VLOOKUP($B798,'Node Details'!$B:$U,C$1,0),"Check"),"")</f>
        <v>0000AXW11-AXW110103</v>
      </c>
      <c r="D798" s="74" t="str">
        <f>IF($B798&lt;&gt;"",_xlfn.IFNA(VLOOKUP($B798,'Node Details'!$B:$U,D$1,0),"Check"),"")</f>
        <v>AXW</v>
      </c>
      <c r="E798" s="74" t="str">
        <f>IF($B798&lt;&gt;"",_xlfn.IFNA(VLOOKUP($B798,'Node Details'!$B:$U,E$1,0),"Check"),"")</f>
        <v>Airtel</v>
      </c>
      <c r="F798" s="76">
        <v>46114</v>
      </c>
      <c r="G798" s="74"/>
      <c r="H798" s="10" t="s">
        <v>22</v>
      </c>
      <c r="I798" s="9">
        <v>2</v>
      </c>
      <c r="J798" s="9">
        <v>42</v>
      </c>
      <c r="K798" s="77">
        <f t="shared" si="75"/>
        <v>84</v>
      </c>
      <c r="L798" s="76">
        <v>46112</v>
      </c>
      <c r="N798" s="83"/>
      <c r="O798" s="84"/>
      <c r="P798" s="81"/>
      <c r="Q798" s="81"/>
      <c r="R798" s="81"/>
      <c r="S798" s="81"/>
      <c r="T798" s="85"/>
      <c r="U798" s="81"/>
      <c r="V798" s="81"/>
      <c r="W798" s="123">
        <f t="shared" si="76"/>
        <v>0</v>
      </c>
      <c r="X798" s="123" t="s">
        <v>84</v>
      </c>
      <c r="Y798" s="114" t="s">
        <v>93</v>
      </c>
    </row>
    <row r="799" spans="1:25" s="24" customFormat="1" ht="11.1" customHeight="1">
      <c r="A799" s="74">
        <f t="shared" si="74"/>
        <v>797</v>
      </c>
      <c r="B799" s="75" t="s">
        <v>479</v>
      </c>
      <c r="C799" s="74" t="str">
        <f>IF($B799&lt;&gt;"",_xlfn.IFNA(VLOOKUP($B799,'Node Details'!$B:$U,C$1,0),"Check"),"")</f>
        <v>0000AXW12-AXW120101</v>
      </c>
      <c r="D799" s="74" t="str">
        <f>IF($B799&lt;&gt;"",_xlfn.IFNA(VLOOKUP($B799,'Node Details'!$B:$U,D$1,0),"Check"),"")</f>
        <v>AXW</v>
      </c>
      <c r="E799" s="74" t="str">
        <f>IF($B799&lt;&gt;"",_xlfn.IFNA(VLOOKUP($B799,'Node Details'!$B:$U,E$1,0),"Check"),"")</f>
        <v>Airtel</v>
      </c>
      <c r="F799" s="76">
        <v>46114</v>
      </c>
      <c r="G799" s="74"/>
      <c r="H799" s="10" t="s">
        <v>22</v>
      </c>
      <c r="I799" s="9">
        <v>2</v>
      </c>
      <c r="J799" s="9">
        <v>42</v>
      </c>
      <c r="K799" s="77">
        <f t="shared" si="75"/>
        <v>84</v>
      </c>
      <c r="L799" s="76">
        <v>46112</v>
      </c>
      <c r="N799" s="83"/>
      <c r="O799" s="84"/>
      <c r="P799" s="81"/>
      <c r="Q799" s="81"/>
      <c r="R799" s="81"/>
      <c r="S799" s="81"/>
      <c r="T799" s="85"/>
      <c r="U799" s="81"/>
      <c r="V799" s="81"/>
      <c r="W799" s="123">
        <f t="shared" si="76"/>
        <v>0</v>
      </c>
      <c r="X799" s="123" t="s">
        <v>84</v>
      </c>
      <c r="Y799" s="114" t="s">
        <v>93</v>
      </c>
    </row>
    <row r="800" spans="1:25" s="24" customFormat="1" ht="11.1" customHeight="1">
      <c r="A800" s="74">
        <f t="shared" si="74"/>
        <v>798</v>
      </c>
      <c r="B800" s="75" t="s">
        <v>481</v>
      </c>
      <c r="C800" s="74" t="str">
        <f>IF($B800&lt;&gt;"",_xlfn.IFNA(VLOOKUP($B800,'Node Details'!$B:$U,C$1,0),"Check"),"")</f>
        <v>0000AXW12-AXW120102</v>
      </c>
      <c r="D800" s="74" t="str">
        <f>IF($B800&lt;&gt;"",_xlfn.IFNA(VLOOKUP($B800,'Node Details'!$B:$U,D$1,0),"Check"),"")</f>
        <v>AXW</v>
      </c>
      <c r="E800" s="74" t="str">
        <f>IF($B800&lt;&gt;"",_xlfn.IFNA(VLOOKUP($B800,'Node Details'!$B:$U,E$1,0),"Check"),"")</f>
        <v>Airtel</v>
      </c>
      <c r="F800" s="76">
        <v>46114</v>
      </c>
      <c r="G800" s="74"/>
      <c r="H800" s="10" t="s">
        <v>22</v>
      </c>
      <c r="I800" s="9">
        <v>2</v>
      </c>
      <c r="J800" s="9">
        <v>42</v>
      </c>
      <c r="K800" s="77">
        <f t="shared" si="75"/>
        <v>84</v>
      </c>
      <c r="L800" s="76">
        <v>46112</v>
      </c>
      <c r="N800" s="83"/>
      <c r="O800" s="84"/>
      <c r="P800" s="81"/>
      <c r="Q800" s="81"/>
      <c r="R800" s="81"/>
      <c r="S800" s="81"/>
      <c r="T800" s="85"/>
      <c r="U800" s="81"/>
      <c r="V800" s="81"/>
      <c r="W800" s="123">
        <f t="shared" si="76"/>
        <v>0</v>
      </c>
      <c r="X800" s="123" t="s">
        <v>84</v>
      </c>
      <c r="Y800" s="114" t="s">
        <v>93</v>
      </c>
    </row>
    <row r="801" spans="1:25" s="24" customFormat="1" ht="11.1" customHeight="1">
      <c r="A801" s="74">
        <f t="shared" si="74"/>
        <v>799</v>
      </c>
      <c r="B801" s="75" t="s">
        <v>1090</v>
      </c>
      <c r="C801" s="74" t="str">
        <f>IF($B801&lt;&gt;"",_xlfn.IFNA(VLOOKUP($B801,'Node Details'!$B:$U,C$1,0),"Check"),"")</f>
        <v>0000AXW12-AXW120106</v>
      </c>
      <c r="D801" s="74" t="str">
        <f>IF($B801&lt;&gt;"",_xlfn.IFNA(VLOOKUP($B801,'Node Details'!$B:$U,D$1,0),"Check"),"")</f>
        <v>AXW</v>
      </c>
      <c r="E801" s="74" t="str">
        <f>IF($B801&lt;&gt;"",_xlfn.IFNA(VLOOKUP($B801,'Node Details'!$B:$U,E$1,0),"Check"),"")</f>
        <v>Airtel</v>
      </c>
      <c r="F801" s="76">
        <v>46114</v>
      </c>
      <c r="G801" s="74"/>
      <c r="H801" s="10" t="s">
        <v>22</v>
      </c>
      <c r="I801" s="9">
        <v>2</v>
      </c>
      <c r="J801" s="9">
        <v>42</v>
      </c>
      <c r="K801" s="77">
        <f t="shared" si="75"/>
        <v>84</v>
      </c>
      <c r="L801" s="76">
        <v>46112</v>
      </c>
      <c r="N801" s="83"/>
      <c r="O801" s="84"/>
      <c r="P801" s="81"/>
      <c r="Q801" s="81"/>
      <c r="R801" s="81"/>
      <c r="S801" s="81"/>
      <c r="T801" s="85"/>
      <c r="U801" s="81"/>
      <c r="V801" s="81"/>
      <c r="W801" s="123">
        <f t="shared" si="76"/>
        <v>0</v>
      </c>
      <c r="X801" s="123" t="s">
        <v>84</v>
      </c>
      <c r="Y801" s="114" t="s">
        <v>93</v>
      </c>
    </row>
    <row r="802" spans="1:25" s="24" customFormat="1" ht="11.1" customHeight="1">
      <c r="A802" s="74">
        <f t="shared" si="74"/>
        <v>800</v>
      </c>
      <c r="B802" s="75" t="s">
        <v>1091</v>
      </c>
      <c r="C802" s="74" t="str">
        <f>IF($B802&lt;&gt;"",_xlfn.IFNA(VLOOKUP($B802,'Node Details'!$B:$U,C$1,0),"Check"),"")</f>
        <v>0000AXW12-AXW120106</v>
      </c>
      <c r="D802" s="74" t="str">
        <f>IF($B802&lt;&gt;"",_xlfn.IFNA(VLOOKUP($B802,'Node Details'!$B:$U,D$1,0),"Check"),"")</f>
        <v>AXW</v>
      </c>
      <c r="E802" s="74" t="str">
        <f>IF($B802&lt;&gt;"",_xlfn.IFNA(VLOOKUP($B802,'Node Details'!$B:$U,E$1,0),"Check"),"")</f>
        <v>Airtel</v>
      </c>
      <c r="F802" s="76">
        <v>46114</v>
      </c>
      <c r="G802" s="74"/>
      <c r="H802" s="10" t="s">
        <v>22</v>
      </c>
      <c r="I802" s="9">
        <v>2</v>
      </c>
      <c r="J802" s="9">
        <v>42</v>
      </c>
      <c r="K802" s="77">
        <f t="shared" si="75"/>
        <v>84</v>
      </c>
      <c r="L802" s="76">
        <v>46112</v>
      </c>
      <c r="N802" s="83"/>
      <c r="O802" s="84"/>
      <c r="P802" s="81"/>
      <c r="Q802" s="81"/>
      <c r="R802" s="81"/>
      <c r="S802" s="81"/>
      <c r="T802" s="85"/>
      <c r="U802" s="81"/>
      <c r="V802" s="81"/>
      <c r="W802" s="123">
        <f t="shared" si="76"/>
        <v>0</v>
      </c>
      <c r="X802" s="123" t="s">
        <v>84</v>
      </c>
      <c r="Y802" s="114" t="s">
        <v>93</v>
      </c>
    </row>
    <row r="803" spans="1:25" s="24" customFormat="1" ht="11.1" customHeight="1">
      <c r="A803" s="74">
        <f t="shared" si="74"/>
        <v>801</v>
      </c>
      <c r="B803" s="75" t="s">
        <v>1092</v>
      </c>
      <c r="C803" s="74" t="str">
        <f>IF($B803&lt;&gt;"",_xlfn.IFNA(VLOOKUP($B803,'Node Details'!$B:$U,C$1,0),"Check"),"")</f>
        <v>0000AXW12-AXW120106</v>
      </c>
      <c r="D803" s="74" t="str">
        <f>IF($B803&lt;&gt;"",_xlfn.IFNA(VLOOKUP($B803,'Node Details'!$B:$U,D$1,0),"Check"),"")</f>
        <v>AXW</v>
      </c>
      <c r="E803" s="74" t="str">
        <f>IF($B803&lt;&gt;"",_xlfn.IFNA(VLOOKUP($B803,'Node Details'!$B:$U,E$1,0),"Check"),"")</f>
        <v>Airtel</v>
      </c>
      <c r="F803" s="76">
        <v>46114</v>
      </c>
      <c r="G803" s="74"/>
      <c r="H803" s="10" t="s">
        <v>22</v>
      </c>
      <c r="I803" s="9">
        <v>2</v>
      </c>
      <c r="J803" s="9">
        <v>42</v>
      </c>
      <c r="K803" s="77">
        <f t="shared" si="75"/>
        <v>84</v>
      </c>
      <c r="L803" s="76">
        <v>46112</v>
      </c>
      <c r="N803" s="83"/>
      <c r="O803" s="84"/>
      <c r="P803" s="81"/>
      <c r="Q803" s="81"/>
      <c r="R803" s="81"/>
      <c r="S803" s="81"/>
      <c r="T803" s="85"/>
      <c r="U803" s="81"/>
      <c r="V803" s="81"/>
      <c r="W803" s="123">
        <f t="shared" si="76"/>
        <v>0</v>
      </c>
      <c r="X803" s="123" t="s">
        <v>84</v>
      </c>
      <c r="Y803" s="114" t="s">
        <v>93</v>
      </c>
    </row>
    <row r="804" spans="1:25" s="24" customFormat="1" ht="11.1" customHeight="1">
      <c r="A804" s="74">
        <f t="shared" si="74"/>
        <v>802</v>
      </c>
      <c r="B804" s="75" t="s">
        <v>483</v>
      </c>
      <c r="C804" s="74" t="str">
        <f>IF($B804&lt;&gt;"",_xlfn.IFNA(VLOOKUP($B804,'Node Details'!$B:$U,C$1,0),"Check"),"")</f>
        <v>0000AXW12-AXW120106</v>
      </c>
      <c r="D804" s="74" t="str">
        <f>IF($B804&lt;&gt;"",_xlfn.IFNA(VLOOKUP($B804,'Node Details'!$B:$U,D$1,0),"Check"),"")</f>
        <v>AXW</v>
      </c>
      <c r="E804" s="74" t="str">
        <f>IF($B804&lt;&gt;"",_xlfn.IFNA(VLOOKUP($B804,'Node Details'!$B:$U,E$1,0),"Check"),"")</f>
        <v>Airtel</v>
      </c>
      <c r="F804" s="76">
        <v>46114</v>
      </c>
      <c r="G804" s="74"/>
      <c r="H804" s="10" t="s">
        <v>22</v>
      </c>
      <c r="I804" s="9">
        <v>2</v>
      </c>
      <c r="J804" s="9">
        <v>42</v>
      </c>
      <c r="K804" s="77">
        <f t="shared" si="75"/>
        <v>84</v>
      </c>
      <c r="L804" s="76">
        <v>46112</v>
      </c>
      <c r="N804" s="83"/>
      <c r="O804" s="84"/>
      <c r="P804" s="81"/>
      <c r="Q804" s="81"/>
      <c r="R804" s="81"/>
      <c r="S804" s="81"/>
      <c r="T804" s="85"/>
      <c r="U804" s="81"/>
      <c r="V804" s="81"/>
      <c r="W804" s="123">
        <f t="shared" si="76"/>
        <v>0</v>
      </c>
      <c r="X804" s="123" t="s">
        <v>84</v>
      </c>
      <c r="Y804" s="114" t="s">
        <v>93</v>
      </c>
    </row>
    <row r="805" spans="1:25" s="24" customFormat="1" ht="11.1" customHeight="1">
      <c r="A805" s="74">
        <f t="shared" si="74"/>
        <v>803</v>
      </c>
      <c r="B805" s="75" t="s">
        <v>1093</v>
      </c>
      <c r="C805" s="74" t="str">
        <f>IF($B805&lt;&gt;"",_xlfn.IFNA(VLOOKUP($B805,'Node Details'!$B:$U,C$1,0),"Check"),"")</f>
        <v>AXW120106-AXW120108</v>
      </c>
      <c r="D805" s="74" t="str">
        <f>IF($B805&lt;&gt;"",_xlfn.IFNA(VLOOKUP($B805,'Node Details'!$B:$U,D$1,0),"Check"),"")</f>
        <v>AXW</v>
      </c>
      <c r="E805" s="74" t="str">
        <f>IF($B805&lt;&gt;"",_xlfn.IFNA(VLOOKUP($B805,'Node Details'!$B:$U,E$1,0),"Check"),"")</f>
        <v>Airtel</v>
      </c>
      <c r="F805" s="76">
        <v>46114</v>
      </c>
      <c r="G805" s="74"/>
      <c r="H805" s="10" t="s">
        <v>22</v>
      </c>
      <c r="I805" s="9">
        <v>2</v>
      </c>
      <c r="J805" s="9">
        <v>42</v>
      </c>
      <c r="K805" s="77">
        <f t="shared" si="75"/>
        <v>84</v>
      </c>
      <c r="L805" s="76">
        <v>46112</v>
      </c>
      <c r="N805" s="83"/>
      <c r="O805" s="84"/>
      <c r="P805" s="81"/>
      <c r="Q805" s="81"/>
      <c r="R805" s="81"/>
      <c r="S805" s="81"/>
      <c r="T805" s="85"/>
      <c r="U805" s="81"/>
      <c r="V805" s="81"/>
      <c r="W805" s="123">
        <f t="shared" si="76"/>
        <v>0</v>
      </c>
      <c r="X805" s="123" t="s">
        <v>84</v>
      </c>
      <c r="Y805" s="114" t="s">
        <v>93</v>
      </c>
    </row>
    <row r="806" spans="1:25" s="24" customFormat="1" ht="11.1" customHeight="1">
      <c r="A806" s="74">
        <f t="shared" si="74"/>
        <v>804</v>
      </c>
      <c r="B806" s="75" t="s">
        <v>485</v>
      </c>
      <c r="C806" s="74" t="str">
        <f>IF($B806&lt;&gt;"",_xlfn.IFNA(VLOOKUP($B806,'Node Details'!$B:$U,C$1,0),"Check"),"")</f>
        <v>AXW120106-AXW120108</v>
      </c>
      <c r="D806" s="74" t="str">
        <f>IF($B806&lt;&gt;"",_xlfn.IFNA(VLOOKUP($B806,'Node Details'!$B:$U,D$1,0),"Check"),"")</f>
        <v>AXW</v>
      </c>
      <c r="E806" s="74" t="str">
        <f>IF($B806&lt;&gt;"",_xlfn.IFNA(VLOOKUP($B806,'Node Details'!$B:$U,E$1,0),"Check"),"")</f>
        <v>Airtel</v>
      </c>
      <c r="F806" s="76">
        <v>46114</v>
      </c>
      <c r="G806" s="74"/>
      <c r="H806" s="10" t="s">
        <v>22</v>
      </c>
      <c r="I806" s="9">
        <v>2</v>
      </c>
      <c r="J806" s="9">
        <v>42</v>
      </c>
      <c r="K806" s="77">
        <f t="shared" si="75"/>
        <v>84</v>
      </c>
      <c r="L806" s="76">
        <v>46112</v>
      </c>
      <c r="N806" s="83"/>
      <c r="O806" s="84"/>
      <c r="P806" s="81"/>
      <c r="Q806" s="81"/>
      <c r="R806" s="81"/>
      <c r="S806" s="81"/>
      <c r="T806" s="85"/>
      <c r="U806" s="81"/>
      <c r="V806" s="81"/>
      <c r="W806" s="123">
        <f t="shared" si="76"/>
        <v>0</v>
      </c>
      <c r="X806" s="123" t="s">
        <v>84</v>
      </c>
      <c r="Y806" s="114" t="s">
        <v>93</v>
      </c>
    </row>
    <row r="807" spans="1:25" s="24" customFormat="1" ht="11.1" customHeight="1">
      <c r="A807" s="74">
        <f t="shared" si="74"/>
        <v>805</v>
      </c>
      <c r="B807" s="75" t="s">
        <v>1094</v>
      </c>
      <c r="C807" s="74" t="str">
        <f>IF($B807&lt;&gt;"",_xlfn.IFNA(VLOOKUP($B807,'Node Details'!$B:$U,C$1,0),"Check"),"")</f>
        <v>0000AXW13-AXW130108</v>
      </c>
      <c r="D807" s="74" t="str">
        <f>IF($B807&lt;&gt;"",_xlfn.IFNA(VLOOKUP($B807,'Node Details'!$B:$U,D$1,0),"Check"),"")</f>
        <v>AXW</v>
      </c>
      <c r="E807" s="74" t="str">
        <f>IF($B807&lt;&gt;"",_xlfn.IFNA(VLOOKUP($B807,'Node Details'!$B:$U,E$1,0),"Check"),"")</f>
        <v>Airtel</v>
      </c>
      <c r="F807" s="76">
        <v>46114</v>
      </c>
      <c r="G807" s="74"/>
      <c r="H807" s="10" t="s">
        <v>22</v>
      </c>
      <c r="I807" s="9">
        <v>2</v>
      </c>
      <c r="J807" s="9">
        <v>42</v>
      </c>
      <c r="K807" s="77">
        <f t="shared" si="75"/>
        <v>84</v>
      </c>
      <c r="L807" s="76">
        <v>46112</v>
      </c>
      <c r="N807" s="83"/>
      <c r="O807" s="84"/>
      <c r="P807" s="81"/>
      <c r="Q807" s="81"/>
      <c r="R807" s="81"/>
      <c r="S807" s="81"/>
      <c r="T807" s="85"/>
      <c r="U807" s="81"/>
      <c r="V807" s="81"/>
      <c r="W807" s="123">
        <f t="shared" si="76"/>
        <v>0</v>
      </c>
      <c r="X807" s="123" t="s">
        <v>84</v>
      </c>
      <c r="Y807" s="114" t="s">
        <v>93</v>
      </c>
    </row>
    <row r="808" spans="1:25" s="24" customFormat="1" ht="11.1" customHeight="1">
      <c r="A808" s="74">
        <f t="shared" si="74"/>
        <v>806</v>
      </c>
      <c r="B808" s="75" t="s">
        <v>490</v>
      </c>
      <c r="C808" s="74" t="str">
        <f>IF($B808&lt;&gt;"",_xlfn.IFNA(VLOOKUP($B808,'Node Details'!$B:$U,C$1,0),"Check"),"")</f>
        <v>0000AXW13-AXW130102</v>
      </c>
      <c r="D808" s="74" t="str">
        <f>IF($B808&lt;&gt;"",_xlfn.IFNA(VLOOKUP($B808,'Node Details'!$B:$U,D$1,0),"Check"),"")</f>
        <v>AXW</v>
      </c>
      <c r="E808" s="74" t="str">
        <f>IF($B808&lt;&gt;"",_xlfn.IFNA(VLOOKUP($B808,'Node Details'!$B:$U,E$1,0),"Check"),"")</f>
        <v>Airtel</v>
      </c>
      <c r="F808" s="76">
        <v>46114</v>
      </c>
      <c r="G808" s="74"/>
      <c r="H808" s="10" t="s">
        <v>22</v>
      </c>
      <c r="I808" s="9">
        <v>2</v>
      </c>
      <c r="J808" s="9">
        <v>42</v>
      </c>
      <c r="K808" s="77">
        <f t="shared" si="75"/>
        <v>84</v>
      </c>
      <c r="L808" s="76">
        <v>46112</v>
      </c>
      <c r="N808" s="83"/>
      <c r="O808" s="84"/>
      <c r="P808" s="81"/>
      <c r="Q808" s="81"/>
      <c r="R808" s="81"/>
      <c r="S808" s="81"/>
      <c r="T808" s="85"/>
      <c r="U808" s="81"/>
      <c r="V808" s="81"/>
      <c r="W808" s="123">
        <f t="shared" si="76"/>
        <v>0</v>
      </c>
      <c r="X808" s="123" t="s">
        <v>84</v>
      </c>
      <c r="Y808" s="114" t="s">
        <v>93</v>
      </c>
    </row>
    <row r="809" spans="1:25" s="24" customFormat="1" ht="11.1" customHeight="1">
      <c r="A809" s="74">
        <f t="shared" si="74"/>
        <v>807</v>
      </c>
      <c r="B809" s="75" t="s">
        <v>1095</v>
      </c>
      <c r="C809" s="74" t="str">
        <f>IF($B809&lt;&gt;"",_xlfn.IFNA(VLOOKUP($B809,'Node Details'!$B:$U,C$1,0),"Check"),"")</f>
        <v>0000AXW13-AXW130104</v>
      </c>
      <c r="D809" s="74" t="str">
        <f>IF($B809&lt;&gt;"",_xlfn.IFNA(VLOOKUP($B809,'Node Details'!$B:$U,D$1,0),"Check"),"")</f>
        <v>AXW</v>
      </c>
      <c r="E809" s="74" t="str">
        <f>IF($B809&lt;&gt;"",_xlfn.IFNA(VLOOKUP($B809,'Node Details'!$B:$U,E$1,0),"Check"),"")</f>
        <v>Airtel</v>
      </c>
      <c r="F809" s="76">
        <v>46114</v>
      </c>
      <c r="G809" s="74"/>
      <c r="H809" s="10" t="s">
        <v>22</v>
      </c>
      <c r="I809" s="9">
        <v>2</v>
      </c>
      <c r="J809" s="9">
        <v>42</v>
      </c>
      <c r="K809" s="77">
        <f t="shared" si="75"/>
        <v>84</v>
      </c>
      <c r="L809" s="76">
        <v>46112</v>
      </c>
      <c r="N809" s="83"/>
      <c r="O809" s="84"/>
      <c r="P809" s="81"/>
      <c r="Q809" s="81"/>
      <c r="R809" s="81"/>
      <c r="S809" s="81"/>
      <c r="T809" s="85"/>
      <c r="U809" s="81"/>
      <c r="V809" s="81"/>
      <c r="W809" s="123">
        <f t="shared" si="76"/>
        <v>0</v>
      </c>
      <c r="X809" s="123" t="s">
        <v>84</v>
      </c>
      <c r="Y809" s="114" t="s">
        <v>93</v>
      </c>
    </row>
    <row r="810" spans="1:25" s="24" customFormat="1" ht="11.1" customHeight="1">
      <c r="A810" s="74">
        <f t="shared" si="74"/>
        <v>808</v>
      </c>
      <c r="B810" s="75" t="s">
        <v>492</v>
      </c>
      <c r="C810" s="74" t="str">
        <f>IF($B810&lt;&gt;"",_xlfn.IFNA(VLOOKUP($B810,'Node Details'!$B:$U,C$1,0),"Check"),"")</f>
        <v>0000AXW13-AXW130104</v>
      </c>
      <c r="D810" s="74" t="str">
        <f>IF($B810&lt;&gt;"",_xlfn.IFNA(VLOOKUP($B810,'Node Details'!$B:$U,D$1,0),"Check"),"")</f>
        <v>AXW</v>
      </c>
      <c r="E810" s="74" t="str">
        <f>IF($B810&lt;&gt;"",_xlfn.IFNA(VLOOKUP($B810,'Node Details'!$B:$U,E$1,0),"Check"),"")</f>
        <v>Airtel</v>
      </c>
      <c r="F810" s="76">
        <v>46114</v>
      </c>
      <c r="G810" s="74"/>
      <c r="H810" s="10" t="s">
        <v>22</v>
      </c>
      <c r="I810" s="9">
        <v>2</v>
      </c>
      <c r="J810" s="9">
        <v>42</v>
      </c>
      <c r="K810" s="77">
        <f t="shared" si="75"/>
        <v>84</v>
      </c>
      <c r="L810" s="76">
        <v>46112</v>
      </c>
      <c r="N810" s="83"/>
      <c r="O810" s="84"/>
      <c r="P810" s="81"/>
      <c r="Q810" s="81"/>
      <c r="R810" s="81"/>
      <c r="S810" s="81"/>
      <c r="T810" s="85"/>
      <c r="U810" s="81"/>
      <c r="V810" s="81"/>
      <c r="W810" s="123">
        <f t="shared" si="76"/>
        <v>0</v>
      </c>
      <c r="X810" s="123" t="s">
        <v>84</v>
      </c>
      <c r="Y810" s="114" t="s">
        <v>93</v>
      </c>
    </row>
    <row r="811" spans="1:25" s="24" customFormat="1" ht="11.1" customHeight="1">
      <c r="A811" s="74">
        <f t="shared" si="74"/>
        <v>809</v>
      </c>
      <c r="B811" s="75" t="s">
        <v>1096</v>
      </c>
      <c r="C811" s="74" t="str">
        <f>IF($B811&lt;&gt;"",_xlfn.IFNA(VLOOKUP($B811,'Node Details'!$B:$U,C$1,0),"Check"),"")</f>
        <v>0000AXW13-AXW130108</v>
      </c>
      <c r="D811" s="74" t="str">
        <f>IF($B811&lt;&gt;"",_xlfn.IFNA(VLOOKUP($B811,'Node Details'!$B:$U,D$1,0),"Check"),"")</f>
        <v>AXW</v>
      </c>
      <c r="E811" s="74" t="str">
        <f>IF($B811&lt;&gt;"",_xlfn.IFNA(VLOOKUP($B811,'Node Details'!$B:$U,E$1,0),"Check"),"")</f>
        <v>Airtel</v>
      </c>
      <c r="F811" s="76">
        <v>46114</v>
      </c>
      <c r="G811" s="74"/>
      <c r="H811" s="10" t="s">
        <v>22</v>
      </c>
      <c r="I811" s="9">
        <v>2</v>
      </c>
      <c r="J811" s="9">
        <v>42</v>
      </c>
      <c r="K811" s="77">
        <f t="shared" si="75"/>
        <v>84</v>
      </c>
      <c r="L811" s="76">
        <v>46112</v>
      </c>
      <c r="N811" s="83"/>
      <c r="O811" s="84"/>
      <c r="P811" s="81"/>
      <c r="Q811" s="81"/>
      <c r="R811" s="81"/>
      <c r="S811" s="81"/>
      <c r="T811" s="85"/>
      <c r="U811" s="81"/>
      <c r="V811" s="81"/>
      <c r="W811" s="123">
        <f t="shared" si="76"/>
        <v>0</v>
      </c>
      <c r="X811" s="123" t="s">
        <v>84</v>
      </c>
      <c r="Y811" s="114" t="s">
        <v>93</v>
      </c>
    </row>
    <row r="812" spans="1:25" s="24" customFormat="1" ht="11.1" customHeight="1">
      <c r="A812" s="74">
        <f t="shared" si="74"/>
        <v>810</v>
      </c>
      <c r="B812" s="75" t="s">
        <v>1097</v>
      </c>
      <c r="C812" s="74" t="str">
        <f>IF($B812&lt;&gt;"",_xlfn.IFNA(VLOOKUP($B812,'Node Details'!$B:$U,C$1,0),"Check"),"")</f>
        <v>0000AXW13-AXW130108</v>
      </c>
      <c r="D812" s="74" t="str">
        <f>IF($B812&lt;&gt;"",_xlfn.IFNA(VLOOKUP($B812,'Node Details'!$B:$U,D$1,0),"Check"),"")</f>
        <v>AXW</v>
      </c>
      <c r="E812" s="74" t="str">
        <f>IF($B812&lt;&gt;"",_xlfn.IFNA(VLOOKUP($B812,'Node Details'!$B:$U,E$1,0),"Check"),"")</f>
        <v>Airtel</v>
      </c>
      <c r="F812" s="76">
        <v>46114</v>
      </c>
      <c r="G812" s="74"/>
      <c r="H812" s="10" t="s">
        <v>22</v>
      </c>
      <c r="I812" s="9">
        <v>2</v>
      </c>
      <c r="J812" s="9">
        <v>42</v>
      </c>
      <c r="K812" s="77">
        <f t="shared" si="75"/>
        <v>84</v>
      </c>
      <c r="L812" s="76">
        <v>46112</v>
      </c>
      <c r="N812" s="83"/>
      <c r="O812" s="84"/>
      <c r="P812" s="81"/>
      <c r="Q812" s="81"/>
      <c r="R812" s="81"/>
      <c r="S812" s="81"/>
      <c r="T812" s="85"/>
      <c r="U812" s="81"/>
      <c r="V812" s="81"/>
      <c r="W812" s="123">
        <f t="shared" si="76"/>
        <v>0</v>
      </c>
      <c r="X812" s="123" t="s">
        <v>84</v>
      </c>
      <c r="Y812" s="114" t="s">
        <v>93</v>
      </c>
    </row>
    <row r="813" spans="1:25" s="24" customFormat="1" ht="11.1" customHeight="1">
      <c r="A813" s="74">
        <f t="shared" si="74"/>
        <v>811</v>
      </c>
      <c r="B813" s="75" t="s">
        <v>1098</v>
      </c>
      <c r="C813" s="74" t="str">
        <f>IF($B813&lt;&gt;"",_xlfn.IFNA(VLOOKUP($B813,'Node Details'!$B:$U,C$1,0),"Check"),"")</f>
        <v>0000AXW13-AXW130108</v>
      </c>
      <c r="D813" s="74" t="str">
        <f>IF($B813&lt;&gt;"",_xlfn.IFNA(VLOOKUP($B813,'Node Details'!$B:$U,D$1,0),"Check"),"")</f>
        <v>AXW</v>
      </c>
      <c r="E813" s="74" t="str">
        <f>IF($B813&lt;&gt;"",_xlfn.IFNA(VLOOKUP($B813,'Node Details'!$B:$U,E$1,0),"Check"),"")</f>
        <v>Airtel</v>
      </c>
      <c r="F813" s="76">
        <v>46114</v>
      </c>
      <c r="G813" s="74"/>
      <c r="H813" s="10" t="s">
        <v>22</v>
      </c>
      <c r="I813" s="9">
        <v>2</v>
      </c>
      <c r="J813" s="9">
        <v>42</v>
      </c>
      <c r="K813" s="77">
        <f t="shared" si="75"/>
        <v>84</v>
      </c>
      <c r="L813" s="76">
        <v>46112</v>
      </c>
      <c r="N813" s="83"/>
      <c r="O813" s="84"/>
      <c r="P813" s="81"/>
      <c r="Q813" s="81"/>
      <c r="R813" s="81"/>
      <c r="S813" s="81"/>
      <c r="T813" s="85"/>
      <c r="U813" s="81"/>
      <c r="V813" s="81"/>
      <c r="W813" s="123">
        <f t="shared" si="76"/>
        <v>0</v>
      </c>
      <c r="X813" s="123" t="s">
        <v>84</v>
      </c>
      <c r="Y813" s="114" t="s">
        <v>93</v>
      </c>
    </row>
    <row r="814" spans="1:25" s="24" customFormat="1" ht="11.1" customHeight="1">
      <c r="A814" s="74">
        <f t="shared" si="74"/>
        <v>812</v>
      </c>
      <c r="B814" s="75" t="s">
        <v>488</v>
      </c>
      <c r="C814" s="74" t="str">
        <f>IF($B814&lt;&gt;"",_xlfn.IFNA(VLOOKUP($B814,'Node Details'!$B:$U,C$1,0),"Check"),"")</f>
        <v>0000AXW13-AXW130108</v>
      </c>
      <c r="D814" s="74" t="str">
        <f>IF($B814&lt;&gt;"",_xlfn.IFNA(VLOOKUP($B814,'Node Details'!$B:$U,D$1,0),"Check"),"")</f>
        <v>AXW</v>
      </c>
      <c r="E814" s="74" t="str">
        <f>IF($B814&lt;&gt;"",_xlfn.IFNA(VLOOKUP($B814,'Node Details'!$B:$U,E$1,0),"Check"),"")</f>
        <v>Airtel</v>
      </c>
      <c r="F814" s="76">
        <v>46114</v>
      </c>
      <c r="G814" s="74"/>
      <c r="H814" s="10" t="s">
        <v>22</v>
      </c>
      <c r="I814" s="9">
        <v>2</v>
      </c>
      <c r="J814" s="9">
        <v>42</v>
      </c>
      <c r="K814" s="77">
        <f t="shared" si="75"/>
        <v>84</v>
      </c>
      <c r="L814" s="76">
        <v>46112</v>
      </c>
      <c r="N814" s="83"/>
      <c r="O814" s="84"/>
      <c r="P814" s="81"/>
      <c r="Q814" s="81"/>
      <c r="R814" s="81"/>
      <c r="S814" s="81"/>
      <c r="T814" s="85"/>
      <c r="U814" s="81"/>
      <c r="V814" s="81"/>
      <c r="W814" s="123">
        <f t="shared" si="76"/>
        <v>0</v>
      </c>
      <c r="X814" s="123" t="s">
        <v>84</v>
      </c>
      <c r="Y814" s="114" t="s">
        <v>93</v>
      </c>
    </row>
    <row r="815" spans="1:25" s="24" customFormat="1" ht="11.1" customHeight="1">
      <c r="A815" s="74">
        <f t="shared" si="74"/>
        <v>813</v>
      </c>
      <c r="B815" s="75" t="s">
        <v>495</v>
      </c>
      <c r="C815" s="74" t="str">
        <f>IF($B815&lt;&gt;"",_xlfn.IFNA(VLOOKUP($B815,'Node Details'!$B:$U,C$1,0),"Check"),"")</f>
        <v>0000AXW14-AXW140101</v>
      </c>
      <c r="D815" s="74" t="str">
        <f>IF($B815&lt;&gt;"",_xlfn.IFNA(VLOOKUP($B815,'Node Details'!$B:$U,D$1,0),"Check"),"")</f>
        <v>AXW</v>
      </c>
      <c r="E815" s="74" t="str">
        <f>IF($B815&lt;&gt;"",_xlfn.IFNA(VLOOKUP($B815,'Node Details'!$B:$U,E$1,0),"Check"),"")</f>
        <v>Airtel</v>
      </c>
      <c r="F815" s="76">
        <v>46114</v>
      </c>
      <c r="G815" s="74"/>
      <c r="H815" s="10" t="s">
        <v>22</v>
      </c>
      <c r="I815" s="9">
        <v>2</v>
      </c>
      <c r="J815" s="9">
        <v>42</v>
      </c>
      <c r="K815" s="77">
        <f t="shared" si="75"/>
        <v>84</v>
      </c>
      <c r="L815" s="76">
        <v>46112</v>
      </c>
      <c r="N815" s="83"/>
      <c r="O815" s="84"/>
      <c r="P815" s="81"/>
      <c r="Q815" s="81"/>
      <c r="R815" s="81"/>
      <c r="S815" s="81"/>
      <c r="T815" s="85"/>
      <c r="U815" s="81"/>
      <c r="V815" s="81"/>
      <c r="W815" s="123">
        <f t="shared" si="76"/>
        <v>0</v>
      </c>
      <c r="X815" s="123" t="s">
        <v>84</v>
      </c>
      <c r="Y815" s="114" t="s">
        <v>93</v>
      </c>
    </row>
    <row r="816" spans="1:25" s="24" customFormat="1" ht="11.1" customHeight="1">
      <c r="A816" s="74">
        <f t="shared" si="74"/>
        <v>814</v>
      </c>
      <c r="B816" s="75" t="s">
        <v>499</v>
      </c>
      <c r="C816" s="74" t="str">
        <f>IF($B816&lt;&gt;"",_xlfn.IFNA(VLOOKUP($B816,'Node Details'!$B:$U,C$1,0),"Check"),"")</f>
        <v>0000AXW14-AXW140103</v>
      </c>
      <c r="D816" s="74" t="str">
        <f>IF($B816&lt;&gt;"",_xlfn.IFNA(VLOOKUP($B816,'Node Details'!$B:$U,D$1,0),"Check"),"")</f>
        <v>AXW</v>
      </c>
      <c r="E816" s="74" t="str">
        <f>IF($B816&lt;&gt;"",_xlfn.IFNA(VLOOKUP($B816,'Node Details'!$B:$U,E$1,0),"Check"),"")</f>
        <v>Airtel</v>
      </c>
      <c r="F816" s="76">
        <v>46114</v>
      </c>
      <c r="G816" s="74"/>
      <c r="H816" s="10" t="s">
        <v>22</v>
      </c>
      <c r="I816" s="9">
        <v>2</v>
      </c>
      <c r="J816" s="9">
        <v>42</v>
      </c>
      <c r="K816" s="77">
        <f t="shared" si="75"/>
        <v>84</v>
      </c>
      <c r="L816" s="76">
        <v>46112</v>
      </c>
      <c r="N816" s="83"/>
      <c r="O816" s="84"/>
      <c r="P816" s="81"/>
      <c r="Q816" s="81"/>
      <c r="R816" s="81"/>
      <c r="S816" s="81"/>
      <c r="T816" s="85"/>
      <c r="U816" s="81"/>
      <c r="V816" s="81"/>
      <c r="W816" s="123">
        <f t="shared" si="76"/>
        <v>0</v>
      </c>
      <c r="X816" s="123" t="s">
        <v>84</v>
      </c>
      <c r="Y816" s="114" t="s">
        <v>93</v>
      </c>
    </row>
    <row r="817" spans="1:25" s="24" customFormat="1" ht="11.1" customHeight="1">
      <c r="A817" s="74">
        <f t="shared" si="74"/>
        <v>815</v>
      </c>
      <c r="B817" s="75" t="s">
        <v>497</v>
      </c>
      <c r="C817" s="74" t="str">
        <f>IF($B817&lt;&gt;"",_xlfn.IFNA(VLOOKUP($B817,'Node Details'!$B:$U,C$1,0),"Check"),"")</f>
        <v>0000AXW14-AXW140103</v>
      </c>
      <c r="D817" s="74" t="str">
        <f>IF($B817&lt;&gt;"",_xlfn.IFNA(VLOOKUP($B817,'Node Details'!$B:$U,D$1,0),"Check"),"")</f>
        <v>AXW</v>
      </c>
      <c r="E817" s="74" t="str">
        <f>IF($B817&lt;&gt;"",_xlfn.IFNA(VLOOKUP($B817,'Node Details'!$B:$U,E$1,0),"Check"),"")</f>
        <v>Airtel</v>
      </c>
      <c r="F817" s="76">
        <v>46114</v>
      </c>
      <c r="G817" s="74"/>
      <c r="H817" s="10" t="s">
        <v>22</v>
      </c>
      <c r="I817" s="9">
        <v>2</v>
      </c>
      <c r="J817" s="9">
        <v>42</v>
      </c>
      <c r="K817" s="77">
        <f t="shared" si="75"/>
        <v>84</v>
      </c>
      <c r="L817" s="76">
        <v>46112</v>
      </c>
      <c r="N817" s="83"/>
      <c r="O817" s="84"/>
      <c r="P817" s="81"/>
      <c r="Q817" s="81"/>
      <c r="R817" s="81"/>
      <c r="S817" s="81"/>
      <c r="T817" s="85"/>
      <c r="U817" s="81"/>
      <c r="V817" s="81"/>
      <c r="W817" s="123">
        <f t="shared" si="76"/>
        <v>0</v>
      </c>
      <c r="X817" s="123" t="s">
        <v>84</v>
      </c>
      <c r="Y817" s="114" t="s">
        <v>93</v>
      </c>
    </row>
    <row r="818" spans="1:25" s="24" customFormat="1" ht="11.1" customHeight="1">
      <c r="A818" s="74">
        <f t="shared" si="74"/>
        <v>816</v>
      </c>
      <c r="B818" s="75" t="s">
        <v>1099</v>
      </c>
      <c r="C818" s="74" t="str">
        <f>IF($B818&lt;&gt;"",_xlfn.IFNA(VLOOKUP($B818,'Node Details'!$B:$U,C$1,0),"Check"),"")</f>
        <v>AXW140102-AXW140105</v>
      </c>
      <c r="D818" s="74" t="str">
        <f>IF($B818&lt;&gt;"",_xlfn.IFNA(VLOOKUP($B818,'Node Details'!$B:$U,D$1,0),"Check"),"")</f>
        <v>AXW</v>
      </c>
      <c r="E818" s="74" t="str">
        <f>IF($B818&lt;&gt;"",_xlfn.IFNA(VLOOKUP($B818,'Node Details'!$B:$U,E$1,0),"Check"),"")</f>
        <v>Airtel</v>
      </c>
      <c r="F818" s="76">
        <v>46114</v>
      </c>
      <c r="G818" s="74"/>
      <c r="H818" s="10" t="s">
        <v>22</v>
      </c>
      <c r="I818" s="9">
        <v>2</v>
      </c>
      <c r="J818" s="9">
        <v>42</v>
      </c>
      <c r="K818" s="77">
        <f t="shared" si="75"/>
        <v>84</v>
      </c>
      <c r="L818" s="76">
        <v>46112</v>
      </c>
      <c r="N818" s="83"/>
      <c r="O818" s="84"/>
      <c r="P818" s="81"/>
      <c r="Q818" s="81"/>
      <c r="R818" s="81"/>
      <c r="S818" s="81"/>
      <c r="T818" s="85"/>
      <c r="U818" s="81"/>
      <c r="V818" s="81"/>
      <c r="W818" s="123">
        <f t="shared" si="76"/>
        <v>0</v>
      </c>
      <c r="X818" s="123" t="s">
        <v>84</v>
      </c>
      <c r="Y818" s="114" t="s">
        <v>93</v>
      </c>
    </row>
    <row r="819" spans="1:25" s="24" customFormat="1" ht="11.1" customHeight="1">
      <c r="A819" s="74">
        <f t="shared" si="74"/>
        <v>817</v>
      </c>
      <c r="B819" s="75" t="s">
        <v>500</v>
      </c>
      <c r="C819" s="74" t="str">
        <f>IF($B819&lt;&gt;"",_xlfn.IFNA(VLOOKUP($B819,'Node Details'!$B:$U,C$1,0),"Check"),"")</f>
        <v>AXW140102-AXW140105</v>
      </c>
      <c r="D819" s="74" t="str">
        <f>IF($B819&lt;&gt;"",_xlfn.IFNA(VLOOKUP($B819,'Node Details'!$B:$U,D$1,0),"Check"),"")</f>
        <v>AXW</v>
      </c>
      <c r="E819" s="74" t="str">
        <f>IF($B819&lt;&gt;"",_xlfn.IFNA(VLOOKUP($B819,'Node Details'!$B:$U,E$1,0),"Check"),"")</f>
        <v>Airtel</v>
      </c>
      <c r="F819" s="76">
        <v>46114</v>
      </c>
      <c r="G819" s="74"/>
      <c r="H819" s="10" t="s">
        <v>22</v>
      </c>
      <c r="I819" s="9">
        <v>2</v>
      </c>
      <c r="J819" s="9">
        <v>42</v>
      </c>
      <c r="K819" s="77">
        <f t="shared" si="75"/>
        <v>84</v>
      </c>
      <c r="L819" s="76">
        <v>46112</v>
      </c>
      <c r="N819" s="83"/>
      <c r="O819" s="84"/>
      <c r="P819" s="81"/>
      <c r="Q819" s="81"/>
      <c r="R819" s="81"/>
      <c r="S819" s="81"/>
      <c r="T819" s="85"/>
      <c r="U819" s="81"/>
      <c r="V819" s="81"/>
      <c r="W819" s="123">
        <f t="shared" si="76"/>
        <v>0</v>
      </c>
      <c r="X819" s="123" t="s">
        <v>84</v>
      </c>
      <c r="Y819" s="114" t="s">
        <v>93</v>
      </c>
    </row>
    <row r="820" spans="1:25" s="24" customFormat="1" ht="11.1" customHeight="1">
      <c r="A820" s="74">
        <f t="shared" si="74"/>
        <v>818</v>
      </c>
      <c r="B820" s="75" t="s">
        <v>502</v>
      </c>
      <c r="C820" s="74" t="str">
        <f>IF($B820&lt;&gt;"",_xlfn.IFNA(VLOOKUP($B820,'Node Details'!$B:$U,C$1,0),"Check"),"")</f>
        <v>0000AXW15-AXW150101</v>
      </c>
      <c r="D820" s="74" t="str">
        <f>IF($B820&lt;&gt;"",_xlfn.IFNA(VLOOKUP($B820,'Node Details'!$B:$U,D$1,0),"Check"),"")</f>
        <v>AXW</v>
      </c>
      <c r="E820" s="74" t="str">
        <f>IF($B820&lt;&gt;"",_xlfn.IFNA(VLOOKUP($B820,'Node Details'!$B:$U,E$1,0),"Check"),"")</f>
        <v>Airtel</v>
      </c>
      <c r="F820" s="76">
        <v>46114</v>
      </c>
      <c r="G820" s="74"/>
      <c r="H820" s="10" t="s">
        <v>22</v>
      </c>
      <c r="I820" s="9">
        <v>2</v>
      </c>
      <c r="J820" s="9">
        <v>42</v>
      </c>
      <c r="K820" s="77">
        <f t="shared" si="75"/>
        <v>84</v>
      </c>
      <c r="L820" s="76">
        <v>46112</v>
      </c>
      <c r="N820" s="83"/>
      <c r="O820" s="84"/>
      <c r="P820" s="81"/>
      <c r="Q820" s="81"/>
      <c r="R820" s="81"/>
      <c r="S820" s="81"/>
      <c r="T820" s="85"/>
      <c r="U820" s="81"/>
      <c r="V820" s="81"/>
      <c r="W820" s="123">
        <f t="shared" si="76"/>
        <v>0</v>
      </c>
      <c r="X820" s="123" t="s">
        <v>84</v>
      </c>
      <c r="Y820" s="114" t="s">
        <v>93</v>
      </c>
    </row>
    <row r="821" spans="1:25" s="24" customFormat="1" ht="11.1" customHeight="1">
      <c r="A821" s="74">
        <f t="shared" si="74"/>
        <v>819</v>
      </c>
      <c r="B821" s="75" t="s">
        <v>506</v>
      </c>
      <c r="C821" s="74" t="str">
        <f>IF($B821&lt;&gt;"",_xlfn.IFNA(VLOOKUP($B821,'Node Details'!$B:$U,C$1,0),"Check"),"")</f>
        <v>0000AXW15-AXW150103</v>
      </c>
      <c r="D821" s="74" t="str">
        <f>IF($B821&lt;&gt;"",_xlfn.IFNA(VLOOKUP($B821,'Node Details'!$B:$U,D$1,0),"Check"),"")</f>
        <v>AXW</v>
      </c>
      <c r="E821" s="74" t="str">
        <f>IF($B821&lt;&gt;"",_xlfn.IFNA(VLOOKUP($B821,'Node Details'!$B:$U,E$1,0),"Check"),"")</f>
        <v>Airtel</v>
      </c>
      <c r="F821" s="76">
        <v>46114</v>
      </c>
      <c r="G821" s="74"/>
      <c r="H821" s="10" t="s">
        <v>22</v>
      </c>
      <c r="I821" s="9">
        <v>2</v>
      </c>
      <c r="J821" s="9">
        <v>42</v>
      </c>
      <c r="K821" s="77">
        <f t="shared" si="75"/>
        <v>84</v>
      </c>
      <c r="L821" s="76">
        <v>46112</v>
      </c>
      <c r="N821" s="83"/>
      <c r="O821" s="84"/>
      <c r="P821" s="81"/>
      <c r="Q821" s="81"/>
      <c r="R821" s="81"/>
      <c r="S821" s="81"/>
      <c r="T821" s="85"/>
      <c r="U821" s="81"/>
      <c r="V821" s="81"/>
      <c r="W821" s="123">
        <f t="shared" si="76"/>
        <v>0</v>
      </c>
      <c r="X821" s="123" t="s">
        <v>84</v>
      </c>
      <c r="Y821" s="114" t="s">
        <v>93</v>
      </c>
    </row>
    <row r="822" spans="1:25" s="24" customFormat="1" ht="11.1" customHeight="1">
      <c r="A822" s="74">
        <f t="shared" si="74"/>
        <v>820</v>
      </c>
      <c r="B822" s="75" t="s">
        <v>504</v>
      </c>
      <c r="C822" s="74" t="str">
        <f>IF($B822&lt;&gt;"",_xlfn.IFNA(VLOOKUP($B822,'Node Details'!$B:$U,C$1,0),"Check"),"")</f>
        <v>0000AXW15-AXW150103</v>
      </c>
      <c r="D822" s="74" t="str">
        <f>IF($B822&lt;&gt;"",_xlfn.IFNA(VLOOKUP($B822,'Node Details'!$B:$U,D$1,0),"Check"),"")</f>
        <v>AXW</v>
      </c>
      <c r="E822" s="74" t="str">
        <f>IF($B822&lt;&gt;"",_xlfn.IFNA(VLOOKUP($B822,'Node Details'!$B:$U,E$1,0),"Check"),"")</f>
        <v>Airtel</v>
      </c>
      <c r="F822" s="76">
        <v>46114</v>
      </c>
      <c r="G822" s="74"/>
      <c r="H822" s="10" t="s">
        <v>22</v>
      </c>
      <c r="I822" s="9">
        <v>2</v>
      </c>
      <c r="J822" s="9">
        <v>42</v>
      </c>
      <c r="K822" s="77">
        <f t="shared" si="75"/>
        <v>84</v>
      </c>
      <c r="L822" s="76">
        <v>46112</v>
      </c>
      <c r="N822" s="83"/>
      <c r="O822" s="84"/>
      <c r="P822" s="81"/>
      <c r="Q822" s="81"/>
      <c r="R822" s="81"/>
      <c r="S822" s="81"/>
      <c r="T822" s="85"/>
      <c r="U822" s="81"/>
      <c r="V822" s="81"/>
      <c r="W822" s="123">
        <f t="shared" si="76"/>
        <v>0</v>
      </c>
      <c r="X822" s="123" t="s">
        <v>84</v>
      </c>
      <c r="Y822" s="114" t="s">
        <v>93</v>
      </c>
    </row>
    <row r="823" spans="1:25" s="24" customFormat="1" ht="11.1" customHeight="1">
      <c r="A823" s="74">
        <f t="shared" si="74"/>
        <v>821</v>
      </c>
      <c r="B823" s="75" t="s">
        <v>507</v>
      </c>
      <c r="C823" s="74" t="str">
        <f>IF($B823&lt;&gt;"",_xlfn.IFNA(VLOOKUP($B823,'Node Details'!$B:$U,C$1,0),"Check"),"")</f>
        <v>AXW150102-AXW150104</v>
      </c>
      <c r="D823" s="74" t="str">
        <f>IF($B823&lt;&gt;"",_xlfn.IFNA(VLOOKUP($B823,'Node Details'!$B:$U,D$1,0),"Check"),"")</f>
        <v>AXW</v>
      </c>
      <c r="E823" s="74" t="str">
        <f>IF($B823&lt;&gt;"",_xlfn.IFNA(VLOOKUP($B823,'Node Details'!$B:$U,E$1,0),"Check"),"")</f>
        <v>Airtel</v>
      </c>
      <c r="F823" s="76">
        <v>46114</v>
      </c>
      <c r="G823" s="74"/>
      <c r="H823" s="10" t="s">
        <v>22</v>
      </c>
      <c r="I823" s="9">
        <v>2</v>
      </c>
      <c r="J823" s="9">
        <v>42</v>
      </c>
      <c r="K823" s="77">
        <f t="shared" si="75"/>
        <v>84</v>
      </c>
      <c r="L823" s="76">
        <v>46112</v>
      </c>
      <c r="N823" s="83"/>
      <c r="O823" s="84"/>
      <c r="P823" s="81"/>
      <c r="Q823" s="81"/>
      <c r="R823" s="81"/>
      <c r="S823" s="81"/>
      <c r="T823" s="85"/>
      <c r="U823" s="81"/>
      <c r="V823" s="81"/>
      <c r="W823" s="123">
        <f t="shared" si="76"/>
        <v>0</v>
      </c>
      <c r="X823" s="123" t="s">
        <v>84</v>
      </c>
      <c r="Y823" s="114" t="s">
        <v>93</v>
      </c>
    </row>
    <row r="824" spans="1:25" s="24" customFormat="1" ht="11.1" customHeight="1">
      <c r="A824" s="74">
        <f t="shared" si="74"/>
        <v>822</v>
      </c>
      <c r="B824" s="75" t="s">
        <v>509</v>
      </c>
      <c r="C824" s="74" t="str">
        <f>IF($B824&lt;&gt;"",_xlfn.IFNA(VLOOKUP($B824,'Node Details'!$B:$U,C$1,0),"Check"),"")</f>
        <v>0000AXW15-AXW150105</v>
      </c>
      <c r="D824" s="74" t="str">
        <f>IF($B824&lt;&gt;"",_xlfn.IFNA(VLOOKUP($B824,'Node Details'!$B:$U,D$1,0),"Check"),"")</f>
        <v>AXW</v>
      </c>
      <c r="E824" s="74" t="str">
        <f>IF($B824&lt;&gt;"",_xlfn.IFNA(VLOOKUP($B824,'Node Details'!$B:$U,E$1,0),"Check"),"")</f>
        <v>Airtel</v>
      </c>
      <c r="F824" s="76">
        <v>46114</v>
      </c>
      <c r="G824" s="74"/>
      <c r="H824" s="10" t="s">
        <v>22</v>
      </c>
      <c r="I824" s="9">
        <v>2</v>
      </c>
      <c r="J824" s="9">
        <v>42</v>
      </c>
      <c r="K824" s="77">
        <f t="shared" si="75"/>
        <v>84</v>
      </c>
      <c r="L824" s="76">
        <v>46112</v>
      </c>
      <c r="N824" s="83"/>
      <c r="O824" s="84"/>
      <c r="P824" s="81"/>
      <c r="Q824" s="81"/>
      <c r="R824" s="81"/>
      <c r="S824" s="81"/>
      <c r="T824" s="85"/>
      <c r="U824" s="81"/>
      <c r="V824" s="81"/>
      <c r="W824" s="123">
        <f t="shared" si="76"/>
        <v>0</v>
      </c>
      <c r="X824" s="123" t="s">
        <v>84</v>
      </c>
      <c r="Y824" s="114" t="s">
        <v>93</v>
      </c>
    </row>
    <row r="825" spans="1:25" s="24" customFormat="1" ht="11.1" customHeight="1">
      <c r="A825" s="74">
        <f t="shared" si="74"/>
        <v>823</v>
      </c>
      <c r="B825" s="75" t="s">
        <v>511</v>
      </c>
      <c r="C825" s="74" t="str">
        <f>IF($B825&lt;&gt;"",_xlfn.IFNA(VLOOKUP($B825,'Node Details'!$B:$U,C$1,0),"Check"),"")</f>
        <v>0000AXW15-AXW150106</v>
      </c>
      <c r="D825" s="74" t="str">
        <f>IF($B825&lt;&gt;"",_xlfn.IFNA(VLOOKUP($B825,'Node Details'!$B:$U,D$1,0),"Check"),"")</f>
        <v>AXW</v>
      </c>
      <c r="E825" s="74" t="str">
        <f>IF($B825&lt;&gt;"",_xlfn.IFNA(VLOOKUP($B825,'Node Details'!$B:$U,E$1,0),"Check"),"")</f>
        <v>Airtel</v>
      </c>
      <c r="F825" s="76">
        <v>46114</v>
      </c>
      <c r="G825" s="74"/>
      <c r="H825" s="10" t="s">
        <v>22</v>
      </c>
      <c r="I825" s="9">
        <v>2</v>
      </c>
      <c r="J825" s="9">
        <v>42</v>
      </c>
      <c r="K825" s="77">
        <f t="shared" si="75"/>
        <v>84</v>
      </c>
      <c r="L825" s="76">
        <v>46112</v>
      </c>
      <c r="N825" s="83"/>
      <c r="O825" s="84"/>
      <c r="P825" s="81"/>
      <c r="Q825" s="81"/>
      <c r="R825" s="81"/>
      <c r="S825" s="81"/>
      <c r="T825" s="85"/>
      <c r="U825" s="81"/>
      <c r="V825" s="81"/>
      <c r="W825" s="123">
        <f t="shared" si="76"/>
        <v>0</v>
      </c>
      <c r="X825" s="123" t="s">
        <v>84</v>
      </c>
      <c r="Y825" s="114" t="s">
        <v>93</v>
      </c>
    </row>
    <row r="826" spans="1:25" s="24" customFormat="1" ht="11.1" customHeight="1">
      <c r="A826" s="74">
        <f t="shared" si="74"/>
        <v>824</v>
      </c>
      <c r="B826" s="75" t="s">
        <v>513</v>
      </c>
      <c r="C826" s="74" t="str">
        <f>IF($B826&lt;&gt;"",_xlfn.IFNA(VLOOKUP($B826,'Node Details'!$B:$U,C$1,0),"Check"),"")</f>
        <v>0000AXW16-AXW160101</v>
      </c>
      <c r="D826" s="74" t="str">
        <f>IF($B826&lt;&gt;"",_xlfn.IFNA(VLOOKUP($B826,'Node Details'!$B:$U,D$1,0),"Check"),"")</f>
        <v>AXW</v>
      </c>
      <c r="E826" s="74" t="str">
        <f>IF($B826&lt;&gt;"",_xlfn.IFNA(VLOOKUP($B826,'Node Details'!$B:$U,E$1,0),"Check"),"")</f>
        <v>Airtel</v>
      </c>
      <c r="F826" s="76">
        <v>46114</v>
      </c>
      <c r="G826" s="74"/>
      <c r="H826" s="10" t="s">
        <v>22</v>
      </c>
      <c r="I826" s="9">
        <v>2</v>
      </c>
      <c r="J826" s="9">
        <v>42</v>
      </c>
      <c r="K826" s="77">
        <f t="shared" si="75"/>
        <v>84</v>
      </c>
      <c r="L826" s="76">
        <v>46112</v>
      </c>
      <c r="N826" s="83"/>
      <c r="O826" s="84"/>
      <c r="P826" s="81"/>
      <c r="Q826" s="81"/>
      <c r="R826" s="81"/>
      <c r="S826" s="81"/>
      <c r="T826" s="85"/>
      <c r="U826" s="81"/>
      <c r="V826" s="81"/>
      <c r="W826" s="123">
        <f t="shared" si="76"/>
        <v>0</v>
      </c>
      <c r="X826" s="123" t="s">
        <v>84</v>
      </c>
      <c r="Y826" s="114" t="s">
        <v>93</v>
      </c>
    </row>
    <row r="827" spans="1:25" s="24" customFormat="1" ht="11.1" customHeight="1">
      <c r="A827" s="74">
        <f t="shared" si="74"/>
        <v>825</v>
      </c>
      <c r="B827" s="75" t="s">
        <v>515</v>
      </c>
      <c r="C827" s="74" t="str">
        <f>IF($B827&lt;&gt;"",_xlfn.IFNA(VLOOKUP($B827,'Node Details'!$B:$U,C$1,0),"Check"),"")</f>
        <v>0000AXW16-AXW160102</v>
      </c>
      <c r="D827" s="74" t="str">
        <f>IF($B827&lt;&gt;"",_xlfn.IFNA(VLOOKUP($B827,'Node Details'!$B:$U,D$1,0),"Check"),"")</f>
        <v>AXW</v>
      </c>
      <c r="E827" s="74" t="str">
        <f>IF($B827&lt;&gt;"",_xlfn.IFNA(VLOOKUP($B827,'Node Details'!$B:$U,E$1,0),"Check"),"")</f>
        <v>Airtel</v>
      </c>
      <c r="F827" s="76">
        <v>46114</v>
      </c>
      <c r="G827" s="74"/>
      <c r="H827" s="10" t="s">
        <v>22</v>
      </c>
      <c r="I827" s="9">
        <v>2</v>
      </c>
      <c r="J827" s="9">
        <v>42</v>
      </c>
      <c r="K827" s="77">
        <f t="shared" si="75"/>
        <v>84</v>
      </c>
      <c r="L827" s="76">
        <v>46112</v>
      </c>
      <c r="N827" s="83"/>
      <c r="O827" s="84"/>
      <c r="P827" s="81"/>
      <c r="Q827" s="81"/>
      <c r="R827" s="81"/>
      <c r="S827" s="81"/>
      <c r="T827" s="85"/>
      <c r="U827" s="81"/>
      <c r="V827" s="81"/>
      <c r="W827" s="123">
        <f t="shared" si="76"/>
        <v>0</v>
      </c>
      <c r="X827" s="123" t="s">
        <v>84</v>
      </c>
      <c r="Y827" s="114" t="s">
        <v>93</v>
      </c>
    </row>
    <row r="828" spans="1:25" s="24" customFormat="1" ht="11.1" customHeight="1">
      <c r="A828" s="74">
        <f t="shared" si="74"/>
        <v>826</v>
      </c>
      <c r="B828" s="75" t="s">
        <v>1100</v>
      </c>
      <c r="C828" s="74" t="str">
        <f>IF($B828&lt;&gt;"",_xlfn.IFNA(VLOOKUP($B828,'Node Details'!$B:$U,C$1,0),"Check"),"")</f>
        <v>0000AXW16-AXW160104</v>
      </c>
      <c r="D828" s="74" t="str">
        <f>IF($B828&lt;&gt;"",_xlfn.IFNA(VLOOKUP($B828,'Node Details'!$B:$U,D$1,0),"Check"),"")</f>
        <v>AXW</v>
      </c>
      <c r="E828" s="74" t="str">
        <f>IF($B828&lt;&gt;"",_xlfn.IFNA(VLOOKUP($B828,'Node Details'!$B:$U,E$1,0),"Check"),"")</f>
        <v>Airtel</v>
      </c>
      <c r="F828" s="76">
        <v>46114</v>
      </c>
      <c r="G828" s="74"/>
      <c r="H828" s="10" t="s">
        <v>22</v>
      </c>
      <c r="I828" s="9">
        <v>2</v>
      </c>
      <c r="J828" s="9">
        <v>42</v>
      </c>
      <c r="K828" s="77">
        <f t="shared" si="75"/>
        <v>84</v>
      </c>
      <c r="L828" s="76">
        <v>46112</v>
      </c>
      <c r="N828" s="83"/>
      <c r="O828" s="84"/>
      <c r="P828" s="81"/>
      <c r="Q828" s="81"/>
      <c r="R828" s="81"/>
      <c r="S828" s="81"/>
      <c r="T828" s="85"/>
      <c r="U828" s="81"/>
      <c r="V828" s="81"/>
      <c r="W828" s="123">
        <f t="shared" si="76"/>
        <v>0</v>
      </c>
      <c r="X828" s="123" t="s">
        <v>84</v>
      </c>
      <c r="Y828" s="114" t="s">
        <v>93</v>
      </c>
    </row>
    <row r="829" spans="1:25" s="24" customFormat="1" ht="11.1" customHeight="1">
      <c r="A829" s="74">
        <f t="shared" si="74"/>
        <v>827</v>
      </c>
      <c r="B829" s="75" t="s">
        <v>517</v>
      </c>
      <c r="C829" s="74" t="str">
        <f>IF($B829&lt;&gt;"",_xlfn.IFNA(VLOOKUP($B829,'Node Details'!$B:$U,C$1,0),"Check"),"")</f>
        <v>0000AXW16-AXW160104</v>
      </c>
      <c r="D829" s="74" t="str">
        <f>IF($B829&lt;&gt;"",_xlfn.IFNA(VLOOKUP($B829,'Node Details'!$B:$U,D$1,0),"Check"),"")</f>
        <v>AXW</v>
      </c>
      <c r="E829" s="74" t="str">
        <f>IF($B829&lt;&gt;"",_xlfn.IFNA(VLOOKUP($B829,'Node Details'!$B:$U,E$1,0),"Check"),"")</f>
        <v>Airtel</v>
      </c>
      <c r="F829" s="76">
        <v>46114</v>
      </c>
      <c r="G829" s="74"/>
      <c r="H829" s="10" t="s">
        <v>22</v>
      </c>
      <c r="I829" s="9">
        <v>2</v>
      </c>
      <c r="J829" s="9">
        <v>42</v>
      </c>
      <c r="K829" s="77">
        <f t="shared" si="75"/>
        <v>84</v>
      </c>
      <c r="L829" s="76">
        <v>46112</v>
      </c>
      <c r="N829" s="83"/>
      <c r="O829" s="84"/>
      <c r="P829" s="81"/>
      <c r="Q829" s="81"/>
      <c r="R829" s="81"/>
      <c r="S829" s="81"/>
      <c r="T829" s="85"/>
      <c r="U829" s="81"/>
      <c r="V829" s="81"/>
      <c r="W829" s="123">
        <f t="shared" si="76"/>
        <v>0</v>
      </c>
      <c r="X829" s="123" t="s">
        <v>84</v>
      </c>
      <c r="Y829" s="114" t="s">
        <v>93</v>
      </c>
    </row>
    <row r="830" spans="1:25" s="24" customFormat="1" ht="11.1" customHeight="1">
      <c r="A830" s="74">
        <f t="shared" si="74"/>
        <v>828</v>
      </c>
      <c r="B830" s="75" t="s">
        <v>519</v>
      </c>
      <c r="C830" s="74" t="str">
        <f>IF($B830&lt;&gt;"",_xlfn.IFNA(VLOOKUP($B830,'Node Details'!$B:$U,C$1,0),"Check"),"")</f>
        <v>0000AXW16-AXW160105</v>
      </c>
      <c r="D830" s="74" t="str">
        <f>IF($B830&lt;&gt;"",_xlfn.IFNA(VLOOKUP($B830,'Node Details'!$B:$U,D$1,0),"Check"),"")</f>
        <v>AXW</v>
      </c>
      <c r="E830" s="74" t="str">
        <f>IF($B830&lt;&gt;"",_xlfn.IFNA(VLOOKUP($B830,'Node Details'!$B:$U,E$1,0),"Check"),"")</f>
        <v>Airtel</v>
      </c>
      <c r="F830" s="76">
        <v>46114</v>
      </c>
      <c r="G830" s="74"/>
      <c r="H830" s="10" t="s">
        <v>22</v>
      </c>
      <c r="I830" s="9">
        <v>2</v>
      </c>
      <c r="J830" s="9">
        <v>42</v>
      </c>
      <c r="K830" s="77">
        <f t="shared" si="75"/>
        <v>84</v>
      </c>
      <c r="L830" s="76">
        <v>46112</v>
      </c>
      <c r="N830" s="83"/>
      <c r="O830" s="84"/>
      <c r="P830" s="81"/>
      <c r="Q830" s="81"/>
      <c r="R830" s="81"/>
      <c r="S830" s="81"/>
      <c r="T830" s="85"/>
      <c r="U830" s="81"/>
      <c r="V830" s="81"/>
      <c r="W830" s="123">
        <f t="shared" si="76"/>
        <v>0</v>
      </c>
      <c r="X830" s="123" t="s">
        <v>84</v>
      </c>
      <c r="Y830" s="114" t="s">
        <v>93</v>
      </c>
    </row>
    <row r="831" spans="1:25" s="24" customFormat="1" ht="11.1" customHeight="1">
      <c r="A831" s="74">
        <f t="shared" si="74"/>
        <v>829</v>
      </c>
      <c r="B831" s="75" t="s">
        <v>521</v>
      </c>
      <c r="C831" s="74" t="str">
        <f>IF($B831&lt;&gt;"",_xlfn.IFNA(VLOOKUP($B831,'Node Details'!$B:$U,C$1,0),"Check"),"")</f>
        <v>AXW160105-AXW160106</v>
      </c>
      <c r="D831" s="74" t="str">
        <f>IF($B831&lt;&gt;"",_xlfn.IFNA(VLOOKUP($B831,'Node Details'!$B:$U,D$1,0),"Check"),"")</f>
        <v>AXW</v>
      </c>
      <c r="E831" s="74" t="str">
        <f>IF($B831&lt;&gt;"",_xlfn.IFNA(VLOOKUP($B831,'Node Details'!$B:$U,E$1,0),"Check"),"")</f>
        <v>Airtel</v>
      </c>
      <c r="F831" s="76">
        <v>46114</v>
      </c>
      <c r="G831" s="74"/>
      <c r="H831" s="10" t="s">
        <v>22</v>
      </c>
      <c r="I831" s="9">
        <v>2</v>
      </c>
      <c r="J831" s="9">
        <v>42</v>
      </c>
      <c r="K831" s="77">
        <f t="shared" si="75"/>
        <v>84</v>
      </c>
      <c r="L831" s="76">
        <v>46112</v>
      </c>
      <c r="N831" s="83"/>
      <c r="O831" s="84"/>
      <c r="P831" s="81"/>
      <c r="Q831" s="81"/>
      <c r="R831" s="81"/>
      <c r="S831" s="81"/>
      <c r="T831" s="85"/>
      <c r="U831" s="81"/>
      <c r="V831" s="81"/>
      <c r="W831" s="123">
        <f t="shared" si="76"/>
        <v>0</v>
      </c>
      <c r="X831" s="123" t="s">
        <v>84</v>
      </c>
      <c r="Y831" s="114" t="s">
        <v>93</v>
      </c>
    </row>
    <row r="832" spans="1:25" s="24" customFormat="1" ht="11.1" customHeight="1">
      <c r="A832" s="74">
        <f t="shared" si="74"/>
        <v>830</v>
      </c>
      <c r="B832" s="75" t="s">
        <v>1101</v>
      </c>
      <c r="C832" s="74" t="str">
        <f>IF($B832&lt;&gt;"",_xlfn.IFNA(VLOOKUP($B832,'Node Details'!$B:$U,C$1,0),"Check"),"")</f>
        <v>AXW160106-AXW160108</v>
      </c>
      <c r="D832" s="74" t="str">
        <f>IF($B832&lt;&gt;"",_xlfn.IFNA(VLOOKUP($B832,'Node Details'!$B:$U,D$1,0),"Check"),"")</f>
        <v>AXW</v>
      </c>
      <c r="E832" s="74" t="str">
        <f>IF($B832&lt;&gt;"",_xlfn.IFNA(VLOOKUP($B832,'Node Details'!$B:$U,E$1,0),"Check"),"")</f>
        <v>Airtel</v>
      </c>
      <c r="F832" s="76">
        <v>46114</v>
      </c>
      <c r="G832" s="74"/>
      <c r="H832" s="10" t="s">
        <v>22</v>
      </c>
      <c r="I832" s="9">
        <v>2</v>
      </c>
      <c r="J832" s="9">
        <v>42</v>
      </c>
      <c r="K832" s="77">
        <f t="shared" si="75"/>
        <v>84</v>
      </c>
      <c r="L832" s="76">
        <v>46112</v>
      </c>
      <c r="N832" s="83"/>
      <c r="O832" s="84"/>
      <c r="P832" s="81"/>
      <c r="Q832" s="81"/>
      <c r="R832" s="81"/>
      <c r="S832" s="81"/>
      <c r="T832" s="85"/>
      <c r="U832" s="81"/>
      <c r="V832" s="81"/>
      <c r="W832" s="123">
        <f t="shared" si="76"/>
        <v>0</v>
      </c>
      <c r="X832" s="123" t="s">
        <v>84</v>
      </c>
      <c r="Y832" s="114" t="s">
        <v>93</v>
      </c>
    </row>
    <row r="833" spans="1:25" s="24" customFormat="1" ht="11.1" customHeight="1">
      <c r="A833" s="74">
        <f t="shared" si="74"/>
        <v>831</v>
      </c>
      <c r="B833" s="75" t="s">
        <v>523</v>
      </c>
      <c r="C833" s="74" t="str">
        <f>IF($B833&lt;&gt;"",_xlfn.IFNA(VLOOKUP($B833,'Node Details'!$B:$U,C$1,0),"Check"),"")</f>
        <v>AXW160106-AXW160108</v>
      </c>
      <c r="D833" s="74" t="str">
        <f>IF($B833&lt;&gt;"",_xlfn.IFNA(VLOOKUP($B833,'Node Details'!$B:$U,D$1,0),"Check"),"")</f>
        <v>AXW</v>
      </c>
      <c r="E833" s="74" t="str">
        <f>IF($B833&lt;&gt;"",_xlfn.IFNA(VLOOKUP($B833,'Node Details'!$B:$U,E$1,0),"Check"),"")</f>
        <v>Airtel</v>
      </c>
      <c r="F833" s="76">
        <v>46114</v>
      </c>
      <c r="G833" s="74"/>
      <c r="H833" s="10" t="s">
        <v>22</v>
      </c>
      <c r="I833" s="9">
        <v>2</v>
      </c>
      <c r="J833" s="9">
        <v>42</v>
      </c>
      <c r="K833" s="77">
        <f t="shared" si="75"/>
        <v>84</v>
      </c>
      <c r="L833" s="76">
        <v>46112</v>
      </c>
      <c r="N833" s="83"/>
      <c r="O833" s="84"/>
      <c r="P833" s="81"/>
      <c r="Q833" s="81"/>
      <c r="R833" s="81"/>
      <c r="S833" s="81"/>
      <c r="T833" s="85"/>
      <c r="U833" s="81"/>
      <c r="V833" s="81"/>
      <c r="W833" s="123">
        <f t="shared" si="76"/>
        <v>0</v>
      </c>
      <c r="X833" s="123" t="s">
        <v>84</v>
      </c>
      <c r="Y833" s="114" t="s">
        <v>93</v>
      </c>
    </row>
    <row r="834" spans="1:25" s="24" customFormat="1" ht="11.1" customHeight="1">
      <c r="A834" s="74">
        <f t="shared" si="74"/>
        <v>832</v>
      </c>
      <c r="B834" s="75" t="s">
        <v>525</v>
      </c>
      <c r="C834" s="74" t="str">
        <f>IF($B834&lt;&gt;"",_xlfn.IFNA(VLOOKUP($B834,'Node Details'!$B:$U,C$1,0),"Check"),"")</f>
        <v>0000AXW17-AXW170101</v>
      </c>
      <c r="D834" s="74" t="str">
        <f>IF($B834&lt;&gt;"",_xlfn.IFNA(VLOOKUP($B834,'Node Details'!$B:$U,D$1,0),"Check"),"")</f>
        <v>AXW</v>
      </c>
      <c r="E834" s="74" t="str">
        <f>IF($B834&lt;&gt;"",_xlfn.IFNA(VLOOKUP($B834,'Node Details'!$B:$U,E$1,0),"Check"),"")</f>
        <v>Airtel</v>
      </c>
      <c r="F834" s="76">
        <v>46114</v>
      </c>
      <c r="G834" s="74"/>
      <c r="H834" s="10" t="s">
        <v>22</v>
      </c>
      <c r="I834" s="9">
        <v>2</v>
      </c>
      <c r="J834" s="9">
        <v>42</v>
      </c>
      <c r="K834" s="77">
        <f t="shared" si="75"/>
        <v>84</v>
      </c>
      <c r="L834" s="76">
        <v>46112</v>
      </c>
      <c r="N834" s="83"/>
      <c r="O834" s="84"/>
      <c r="P834" s="81"/>
      <c r="Q834" s="81"/>
      <c r="R834" s="81"/>
      <c r="S834" s="81"/>
      <c r="T834" s="85"/>
      <c r="U834" s="81"/>
      <c r="V834" s="81"/>
      <c r="W834" s="123">
        <f t="shared" si="76"/>
        <v>0</v>
      </c>
      <c r="X834" s="123" t="s">
        <v>84</v>
      </c>
      <c r="Y834" s="114" t="s">
        <v>93</v>
      </c>
    </row>
    <row r="835" spans="1:25" s="24" customFormat="1" ht="11.1" customHeight="1">
      <c r="A835" s="74">
        <f t="shared" si="74"/>
        <v>833</v>
      </c>
      <c r="B835" s="75" t="s">
        <v>1102</v>
      </c>
      <c r="C835" s="74" t="str">
        <f>IF($B835&lt;&gt;"",_xlfn.IFNA(VLOOKUP($B835,'Node Details'!$B:$U,C$1,0),"Check"),"")</f>
        <v>0000AXW17-AXW170105</v>
      </c>
      <c r="D835" s="74" t="str">
        <f>IF($B835&lt;&gt;"",_xlfn.IFNA(VLOOKUP($B835,'Node Details'!$B:$U,D$1,0),"Check"),"")</f>
        <v>AXW</v>
      </c>
      <c r="E835" s="74" t="str">
        <f>IF($B835&lt;&gt;"",_xlfn.IFNA(VLOOKUP($B835,'Node Details'!$B:$U,E$1,0),"Check"),"")</f>
        <v>Airtel</v>
      </c>
      <c r="F835" s="76">
        <v>46114</v>
      </c>
      <c r="G835" s="74"/>
      <c r="H835" s="10" t="s">
        <v>22</v>
      </c>
      <c r="I835" s="9">
        <v>2</v>
      </c>
      <c r="J835" s="9">
        <v>42</v>
      </c>
      <c r="K835" s="77">
        <f t="shared" si="75"/>
        <v>84</v>
      </c>
      <c r="L835" s="76">
        <v>46112</v>
      </c>
      <c r="N835" s="83"/>
      <c r="O835" s="84"/>
      <c r="P835" s="81"/>
      <c r="Q835" s="81"/>
      <c r="R835" s="81"/>
      <c r="S835" s="81"/>
      <c r="T835" s="85"/>
      <c r="U835" s="81"/>
      <c r="V835" s="81"/>
      <c r="W835" s="123">
        <f t="shared" si="76"/>
        <v>0</v>
      </c>
      <c r="X835" s="123" t="s">
        <v>84</v>
      </c>
      <c r="Y835" s="114" t="s">
        <v>93</v>
      </c>
    </row>
    <row r="836" spans="1:25" s="24" customFormat="1" ht="11.1" customHeight="1">
      <c r="A836" s="74">
        <f t="shared" ref="A836:A899" si="77">A835+1</f>
        <v>834</v>
      </c>
      <c r="B836" s="75" t="s">
        <v>1103</v>
      </c>
      <c r="C836" s="74" t="str">
        <f>IF($B836&lt;&gt;"",_xlfn.IFNA(VLOOKUP($B836,'Node Details'!$B:$U,C$1,0),"Check"),"")</f>
        <v>0000AXW17-AXW170105</v>
      </c>
      <c r="D836" s="74" t="str">
        <f>IF($B836&lt;&gt;"",_xlfn.IFNA(VLOOKUP($B836,'Node Details'!$B:$U,D$1,0),"Check"),"")</f>
        <v>AXW</v>
      </c>
      <c r="E836" s="74" t="str">
        <f>IF($B836&lt;&gt;"",_xlfn.IFNA(VLOOKUP($B836,'Node Details'!$B:$U,E$1,0),"Check"),"")</f>
        <v>Airtel</v>
      </c>
      <c r="F836" s="76">
        <v>46114</v>
      </c>
      <c r="G836" s="74"/>
      <c r="H836" s="10" t="s">
        <v>22</v>
      </c>
      <c r="I836" s="9">
        <v>2</v>
      </c>
      <c r="J836" s="9">
        <v>42</v>
      </c>
      <c r="K836" s="77">
        <f t="shared" si="75"/>
        <v>84</v>
      </c>
      <c r="L836" s="76">
        <v>46112</v>
      </c>
      <c r="N836" s="83"/>
      <c r="O836" s="84"/>
      <c r="P836" s="81"/>
      <c r="Q836" s="81"/>
      <c r="R836" s="81"/>
      <c r="S836" s="81"/>
      <c r="T836" s="85"/>
      <c r="U836" s="81"/>
      <c r="V836" s="81"/>
      <c r="W836" s="123">
        <f t="shared" si="76"/>
        <v>0</v>
      </c>
      <c r="X836" s="123" t="s">
        <v>84</v>
      </c>
      <c r="Y836" s="114" t="s">
        <v>93</v>
      </c>
    </row>
    <row r="837" spans="1:25" s="24" customFormat="1" ht="11.1" customHeight="1">
      <c r="A837" s="74">
        <f t="shared" si="77"/>
        <v>835</v>
      </c>
      <c r="B837" s="75" t="s">
        <v>1104</v>
      </c>
      <c r="C837" s="74" t="str">
        <f>IF($B837&lt;&gt;"",_xlfn.IFNA(VLOOKUP($B837,'Node Details'!$B:$U,C$1,0),"Check"),"")</f>
        <v>0000AXW17-AXW170105</v>
      </c>
      <c r="D837" s="74" t="str">
        <f>IF($B837&lt;&gt;"",_xlfn.IFNA(VLOOKUP($B837,'Node Details'!$B:$U,D$1,0),"Check"),"")</f>
        <v>AXW</v>
      </c>
      <c r="E837" s="74" t="str">
        <f>IF($B837&lt;&gt;"",_xlfn.IFNA(VLOOKUP($B837,'Node Details'!$B:$U,E$1,0),"Check"),"")</f>
        <v>Airtel</v>
      </c>
      <c r="F837" s="76">
        <v>46114</v>
      </c>
      <c r="G837" s="74"/>
      <c r="H837" s="10" t="s">
        <v>22</v>
      </c>
      <c r="I837" s="9">
        <v>2</v>
      </c>
      <c r="J837" s="9">
        <v>42</v>
      </c>
      <c r="K837" s="77">
        <f t="shared" si="75"/>
        <v>84</v>
      </c>
      <c r="L837" s="76">
        <v>46112</v>
      </c>
      <c r="N837" s="83"/>
      <c r="O837" s="84"/>
      <c r="P837" s="81"/>
      <c r="Q837" s="81"/>
      <c r="R837" s="81"/>
      <c r="S837" s="81"/>
      <c r="T837" s="85"/>
      <c r="U837" s="81"/>
      <c r="V837" s="81"/>
      <c r="W837" s="123">
        <f t="shared" si="76"/>
        <v>0</v>
      </c>
      <c r="X837" s="123" t="s">
        <v>84</v>
      </c>
      <c r="Y837" s="114" t="s">
        <v>93</v>
      </c>
    </row>
    <row r="838" spans="1:25" s="24" customFormat="1" ht="11.1" customHeight="1">
      <c r="A838" s="74">
        <f t="shared" si="77"/>
        <v>836</v>
      </c>
      <c r="B838" s="75" t="s">
        <v>527</v>
      </c>
      <c r="C838" s="74" t="str">
        <f>IF($B838&lt;&gt;"",_xlfn.IFNA(VLOOKUP($B838,'Node Details'!$B:$U,C$1,0),"Check"),"")</f>
        <v>0000AXW17-AXW170105</v>
      </c>
      <c r="D838" s="74" t="str">
        <f>IF($B838&lt;&gt;"",_xlfn.IFNA(VLOOKUP($B838,'Node Details'!$B:$U,D$1,0),"Check"),"")</f>
        <v>AXW</v>
      </c>
      <c r="E838" s="74" t="str">
        <f>IF($B838&lt;&gt;"",_xlfn.IFNA(VLOOKUP($B838,'Node Details'!$B:$U,E$1,0),"Check"),"")</f>
        <v>Airtel</v>
      </c>
      <c r="F838" s="76">
        <v>46114</v>
      </c>
      <c r="G838" s="74"/>
      <c r="H838" s="10" t="s">
        <v>22</v>
      </c>
      <c r="I838" s="9">
        <v>2</v>
      </c>
      <c r="J838" s="9">
        <v>42</v>
      </c>
      <c r="K838" s="77">
        <f t="shared" si="75"/>
        <v>84</v>
      </c>
      <c r="L838" s="76">
        <v>46112</v>
      </c>
      <c r="N838" s="83"/>
      <c r="O838" s="84"/>
      <c r="P838" s="81"/>
      <c r="Q838" s="81"/>
      <c r="R838" s="81"/>
      <c r="S838" s="81"/>
      <c r="T838" s="85"/>
      <c r="U838" s="81"/>
      <c r="V838" s="81"/>
      <c r="W838" s="123">
        <f t="shared" si="76"/>
        <v>0</v>
      </c>
      <c r="X838" s="123" t="s">
        <v>84</v>
      </c>
      <c r="Y838" s="114" t="s">
        <v>93</v>
      </c>
    </row>
    <row r="839" spans="1:25" s="24" customFormat="1" ht="11.1" customHeight="1">
      <c r="A839" s="74">
        <f t="shared" si="77"/>
        <v>837</v>
      </c>
      <c r="B839" s="75" t="s">
        <v>1105</v>
      </c>
      <c r="C839" s="74" t="str">
        <f>IF($B839&lt;&gt;"",_xlfn.IFNA(VLOOKUP($B839,'Node Details'!$B:$U,C$1,0),"Check"),"")</f>
        <v>0000AXW17-AXW170201</v>
      </c>
      <c r="D839" s="74" t="str">
        <f>IF($B839&lt;&gt;"",_xlfn.IFNA(VLOOKUP($B839,'Node Details'!$B:$U,D$1,0),"Check"),"")</f>
        <v>AXW</v>
      </c>
      <c r="E839" s="74" t="str">
        <f>IF($B839&lt;&gt;"",_xlfn.IFNA(VLOOKUP($B839,'Node Details'!$B:$U,E$1,0),"Check"),"")</f>
        <v>Airtel</v>
      </c>
      <c r="F839" s="76">
        <v>46114</v>
      </c>
      <c r="G839" s="74"/>
      <c r="H839" s="10" t="s">
        <v>22</v>
      </c>
      <c r="I839" s="9">
        <v>2</v>
      </c>
      <c r="J839" s="9">
        <v>42</v>
      </c>
      <c r="K839" s="77">
        <f t="shared" si="75"/>
        <v>84</v>
      </c>
      <c r="L839" s="76">
        <v>46112</v>
      </c>
      <c r="N839" s="83"/>
      <c r="O839" s="84"/>
      <c r="P839" s="81"/>
      <c r="Q839" s="81"/>
      <c r="R839" s="81"/>
      <c r="S839" s="81"/>
      <c r="T839" s="85"/>
      <c r="U839" s="81"/>
      <c r="V839" s="81"/>
      <c r="W839" s="123">
        <f t="shared" si="76"/>
        <v>0</v>
      </c>
      <c r="X839" s="123" t="s">
        <v>84</v>
      </c>
      <c r="Y839" s="114" t="s">
        <v>93</v>
      </c>
    </row>
    <row r="840" spans="1:25" s="24" customFormat="1" ht="11.1" customHeight="1">
      <c r="A840" s="74">
        <f t="shared" si="77"/>
        <v>838</v>
      </c>
      <c r="B840" s="75" t="s">
        <v>1106</v>
      </c>
      <c r="C840" s="74" t="str">
        <f>IF($B840&lt;&gt;"",_xlfn.IFNA(VLOOKUP($B840,'Node Details'!$B:$U,C$1,0),"Check"),"")</f>
        <v>0000AXW17-AXW170201</v>
      </c>
      <c r="D840" s="74" t="str">
        <f>IF($B840&lt;&gt;"",_xlfn.IFNA(VLOOKUP($B840,'Node Details'!$B:$U,D$1,0),"Check"),"")</f>
        <v>AXW</v>
      </c>
      <c r="E840" s="74" t="str">
        <f>IF($B840&lt;&gt;"",_xlfn.IFNA(VLOOKUP($B840,'Node Details'!$B:$U,E$1,0),"Check"),"")</f>
        <v>Airtel</v>
      </c>
      <c r="F840" s="76">
        <v>46114</v>
      </c>
      <c r="G840" s="74"/>
      <c r="H840" s="10" t="s">
        <v>22</v>
      </c>
      <c r="I840" s="9">
        <v>2</v>
      </c>
      <c r="J840" s="9">
        <v>42</v>
      </c>
      <c r="K840" s="77">
        <f t="shared" si="75"/>
        <v>84</v>
      </c>
      <c r="L840" s="76">
        <v>46112</v>
      </c>
      <c r="N840" s="83"/>
      <c r="O840" s="84"/>
      <c r="P840" s="81"/>
      <c r="Q840" s="81"/>
      <c r="R840" s="81"/>
      <c r="S840" s="81"/>
      <c r="T840" s="85"/>
      <c r="U840" s="81"/>
      <c r="V840" s="81"/>
      <c r="W840" s="123">
        <f t="shared" si="76"/>
        <v>0</v>
      </c>
      <c r="X840" s="123" t="s">
        <v>84</v>
      </c>
      <c r="Y840" s="114" t="s">
        <v>93</v>
      </c>
    </row>
    <row r="841" spans="1:25" s="24" customFormat="1" ht="11.1" customHeight="1">
      <c r="A841" s="74">
        <f t="shared" si="77"/>
        <v>839</v>
      </c>
      <c r="B841" s="75" t="s">
        <v>1107</v>
      </c>
      <c r="C841" s="74" t="str">
        <f>IF($B841&lt;&gt;"",_xlfn.IFNA(VLOOKUP($B841,'Node Details'!$B:$U,C$1,0),"Check"),"")</f>
        <v>0000AXW17-AXW170201</v>
      </c>
      <c r="D841" s="74" t="str">
        <f>IF($B841&lt;&gt;"",_xlfn.IFNA(VLOOKUP($B841,'Node Details'!$B:$U,D$1,0),"Check"),"")</f>
        <v>AXW</v>
      </c>
      <c r="E841" s="74" t="str">
        <f>IF($B841&lt;&gt;"",_xlfn.IFNA(VLOOKUP($B841,'Node Details'!$B:$U,E$1,0),"Check"),"")</f>
        <v>Airtel</v>
      </c>
      <c r="F841" s="76">
        <v>46114</v>
      </c>
      <c r="G841" s="74"/>
      <c r="H841" s="10" t="s">
        <v>22</v>
      </c>
      <c r="I841" s="9">
        <v>2</v>
      </c>
      <c r="J841" s="9">
        <v>42</v>
      </c>
      <c r="K841" s="77">
        <f t="shared" si="75"/>
        <v>84</v>
      </c>
      <c r="L841" s="76">
        <v>46112</v>
      </c>
      <c r="N841" s="83"/>
      <c r="O841" s="84"/>
      <c r="P841" s="81"/>
      <c r="Q841" s="81"/>
      <c r="R841" s="81"/>
      <c r="S841" s="81"/>
      <c r="T841" s="85"/>
      <c r="U841" s="81"/>
      <c r="V841" s="81"/>
      <c r="W841" s="123">
        <f t="shared" si="76"/>
        <v>0</v>
      </c>
      <c r="X841" s="123" t="s">
        <v>84</v>
      </c>
      <c r="Y841" s="114" t="s">
        <v>93</v>
      </c>
    </row>
    <row r="842" spans="1:25" s="24" customFormat="1" ht="11.1" customHeight="1">
      <c r="A842" s="74">
        <f t="shared" si="77"/>
        <v>840</v>
      </c>
      <c r="B842" s="75" t="s">
        <v>529</v>
      </c>
      <c r="C842" s="74" t="str">
        <f>IF($B842&lt;&gt;"",_xlfn.IFNA(VLOOKUP($B842,'Node Details'!$B:$U,C$1,0),"Check"),"")</f>
        <v>0000AXW17-AXW170201</v>
      </c>
      <c r="D842" s="74" t="str">
        <f>IF($B842&lt;&gt;"",_xlfn.IFNA(VLOOKUP($B842,'Node Details'!$B:$U,D$1,0),"Check"),"")</f>
        <v>AXW</v>
      </c>
      <c r="E842" s="74" t="str">
        <f>IF($B842&lt;&gt;"",_xlfn.IFNA(VLOOKUP($B842,'Node Details'!$B:$U,E$1,0),"Check"),"")</f>
        <v>Airtel</v>
      </c>
      <c r="F842" s="76">
        <v>46114</v>
      </c>
      <c r="G842" s="74"/>
      <c r="H842" s="10" t="s">
        <v>22</v>
      </c>
      <c r="I842" s="9">
        <v>2</v>
      </c>
      <c r="J842" s="9">
        <v>42</v>
      </c>
      <c r="K842" s="77">
        <f t="shared" si="75"/>
        <v>84</v>
      </c>
      <c r="L842" s="76">
        <v>46112</v>
      </c>
      <c r="N842" s="83"/>
      <c r="O842" s="84"/>
      <c r="P842" s="81"/>
      <c r="Q842" s="81"/>
      <c r="R842" s="81"/>
      <c r="S842" s="81"/>
      <c r="T842" s="85"/>
      <c r="U842" s="81"/>
      <c r="V842" s="81"/>
      <c r="W842" s="123">
        <f t="shared" si="76"/>
        <v>0</v>
      </c>
      <c r="X842" s="123" t="s">
        <v>84</v>
      </c>
      <c r="Y842" s="114" t="s">
        <v>93</v>
      </c>
    </row>
    <row r="843" spans="1:25" s="24" customFormat="1" ht="11.1" customHeight="1">
      <c r="A843" s="74">
        <f t="shared" si="77"/>
        <v>841</v>
      </c>
      <c r="B843" s="75" t="s">
        <v>533</v>
      </c>
      <c r="C843" s="74" t="str">
        <f>IF($B843&lt;&gt;"",_xlfn.IFNA(VLOOKUP($B843,'Node Details'!$B:$U,C$1,0),"Check"),"")</f>
        <v>0000AXW18-AXW180101</v>
      </c>
      <c r="D843" s="74" t="str">
        <f>IF($B843&lt;&gt;"",_xlfn.IFNA(VLOOKUP($B843,'Node Details'!$B:$U,D$1,0),"Check"),"")</f>
        <v>AXW</v>
      </c>
      <c r="E843" s="74" t="str">
        <f>IF($B843&lt;&gt;"",_xlfn.IFNA(VLOOKUP($B843,'Node Details'!$B:$U,E$1,0),"Check"),"")</f>
        <v>Airtel</v>
      </c>
      <c r="F843" s="76">
        <v>46114</v>
      </c>
      <c r="G843" s="74"/>
      <c r="H843" s="10" t="s">
        <v>22</v>
      </c>
      <c r="I843" s="9">
        <v>2</v>
      </c>
      <c r="J843" s="9">
        <v>42</v>
      </c>
      <c r="K843" s="77">
        <f t="shared" si="75"/>
        <v>84</v>
      </c>
      <c r="L843" s="76">
        <v>46112</v>
      </c>
      <c r="N843" s="83"/>
      <c r="O843" s="84"/>
      <c r="P843" s="81"/>
      <c r="Q843" s="81"/>
      <c r="R843" s="81"/>
      <c r="S843" s="81"/>
      <c r="T843" s="85"/>
      <c r="U843" s="81"/>
      <c r="V843" s="81"/>
      <c r="W843" s="123">
        <f t="shared" si="76"/>
        <v>0</v>
      </c>
      <c r="X843" s="123" t="s">
        <v>84</v>
      </c>
      <c r="Y843" s="114" t="s">
        <v>93</v>
      </c>
    </row>
    <row r="844" spans="1:25" s="24" customFormat="1" ht="11.1" customHeight="1">
      <c r="A844" s="74">
        <f t="shared" si="77"/>
        <v>842</v>
      </c>
      <c r="B844" s="75" t="s">
        <v>1108</v>
      </c>
      <c r="C844" s="74" t="str">
        <f>IF($B844&lt;&gt;"",_xlfn.IFNA(VLOOKUP($B844,'Node Details'!$B:$U,C$1,0),"Check"),"")</f>
        <v>0000AXW18-AXW180105</v>
      </c>
      <c r="D844" s="74" t="str">
        <f>IF($B844&lt;&gt;"",_xlfn.IFNA(VLOOKUP($B844,'Node Details'!$B:$U,D$1,0),"Check"),"")</f>
        <v>AXW</v>
      </c>
      <c r="E844" s="74" t="str">
        <f>IF($B844&lt;&gt;"",_xlfn.IFNA(VLOOKUP($B844,'Node Details'!$B:$U,E$1,0),"Check"),"")</f>
        <v>Airtel</v>
      </c>
      <c r="F844" s="76">
        <v>46114</v>
      </c>
      <c r="G844" s="74"/>
      <c r="H844" s="10" t="s">
        <v>22</v>
      </c>
      <c r="I844" s="9">
        <v>2</v>
      </c>
      <c r="J844" s="9">
        <v>42</v>
      </c>
      <c r="K844" s="77">
        <f t="shared" si="75"/>
        <v>84</v>
      </c>
      <c r="L844" s="76">
        <v>46112</v>
      </c>
      <c r="N844" s="83"/>
      <c r="O844" s="84"/>
      <c r="P844" s="81"/>
      <c r="Q844" s="81"/>
      <c r="R844" s="81"/>
      <c r="S844" s="81"/>
      <c r="T844" s="85"/>
      <c r="U844" s="81"/>
      <c r="V844" s="81"/>
      <c r="W844" s="123">
        <f t="shared" si="76"/>
        <v>0</v>
      </c>
      <c r="X844" s="123" t="s">
        <v>84</v>
      </c>
      <c r="Y844" s="114" t="s">
        <v>93</v>
      </c>
    </row>
    <row r="845" spans="1:25" s="24" customFormat="1" ht="11.1" customHeight="1">
      <c r="A845" s="74">
        <f t="shared" si="77"/>
        <v>843</v>
      </c>
      <c r="B845" s="75" t="s">
        <v>1109</v>
      </c>
      <c r="C845" s="74" t="str">
        <f>IF($B845&lt;&gt;"",_xlfn.IFNA(VLOOKUP($B845,'Node Details'!$B:$U,C$1,0),"Check"),"")</f>
        <v>0000AXW18-AXW180105</v>
      </c>
      <c r="D845" s="74" t="str">
        <f>IF($B845&lt;&gt;"",_xlfn.IFNA(VLOOKUP($B845,'Node Details'!$B:$U,D$1,0),"Check"),"")</f>
        <v>AXW</v>
      </c>
      <c r="E845" s="74" t="str">
        <f>IF($B845&lt;&gt;"",_xlfn.IFNA(VLOOKUP($B845,'Node Details'!$B:$U,E$1,0),"Check"),"")</f>
        <v>Airtel</v>
      </c>
      <c r="F845" s="76">
        <v>46114</v>
      </c>
      <c r="G845" s="74"/>
      <c r="H845" s="10" t="s">
        <v>22</v>
      </c>
      <c r="I845" s="9">
        <v>2</v>
      </c>
      <c r="J845" s="9">
        <v>42</v>
      </c>
      <c r="K845" s="77">
        <f t="shared" si="75"/>
        <v>84</v>
      </c>
      <c r="L845" s="76">
        <v>46112</v>
      </c>
      <c r="N845" s="83"/>
      <c r="O845" s="84"/>
      <c r="P845" s="81"/>
      <c r="Q845" s="81"/>
      <c r="R845" s="81"/>
      <c r="S845" s="81"/>
      <c r="T845" s="85"/>
      <c r="U845" s="81"/>
      <c r="V845" s="81"/>
      <c r="W845" s="123">
        <f t="shared" si="76"/>
        <v>0</v>
      </c>
      <c r="X845" s="123" t="s">
        <v>84</v>
      </c>
      <c r="Y845" s="114" t="s">
        <v>93</v>
      </c>
    </row>
    <row r="846" spans="1:25" s="24" customFormat="1" ht="11.1" customHeight="1">
      <c r="A846" s="74">
        <f t="shared" si="77"/>
        <v>844</v>
      </c>
      <c r="B846" s="75" t="s">
        <v>1110</v>
      </c>
      <c r="C846" s="74" t="str">
        <f>IF($B846&lt;&gt;"",_xlfn.IFNA(VLOOKUP($B846,'Node Details'!$B:$U,C$1,0),"Check"),"")</f>
        <v>0000AXW18-AXW180105</v>
      </c>
      <c r="D846" s="74" t="str">
        <f>IF($B846&lt;&gt;"",_xlfn.IFNA(VLOOKUP($B846,'Node Details'!$B:$U,D$1,0),"Check"),"")</f>
        <v>AXW</v>
      </c>
      <c r="E846" s="74" t="str">
        <f>IF($B846&lt;&gt;"",_xlfn.IFNA(VLOOKUP($B846,'Node Details'!$B:$U,E$1,0),"Check"),"")</f>
        <v>Airtel</v>
      </c>
      <c r="F846" s="76">
        <v>46114</v>
      </c>
      <c r="G846" s="74"/>
      <c r="H846" s="10" t="s">
        <v>22</v>
      </c>
      <c r="I846" s="9">
        <v>2</v>
      </c>
      <c r="J846" s="9">
        <v>42</v>
      </c>
      <c r="K846" s="77">
        <f t="shared" si="75"/>
        <v>84</v>
      </c>
      <c r="L846" s="76">
        <v>46112</v>
      </c>
      <c r="N846" s="83"/>
      <c r="O846" s="84"/>
      <c r="P846" s="81"/>
      <c r="Q846" s="81"/>
      <c r="R846" s="81"/>
      <c r="S846" s="81"/>
      <c r="T846" s="85"/>
      <c r="U846" s="81"/>
      <c r="V846" s="81"/>
      <c r="W846" s="123">
        <f t="shared" si="76"/>
        <v>0</v>
      </c>
      <c r="X846" s="123" t="s">
        <v>84</v>
      </c>
      <c r="Y846" s="114" t="s">
        <v>93</v>
      </c>
    </row>
    <row r="847" spans="1:25" s="24" customFormat="1" ht="11.1" customHeight="1">
      <c r="A847" s="74">
        <f t="shared" si="77"/>
        <v>845</v>
      </c>
      <c r="B847" s="75" t="s">
        <v>537</v>
      </c>
      <c r="C847" s="74" t="str">
        <f>IF($B847&lt;&gt;"",_xlfn.IFNA(VLOOKUP($B847,'Node Details'!$B:$U,C$1,0),"Check"),"")</f>
        <v>0000AXW18-AXW180105</v>
      </c>
      <c r="D847" s="74" t="str">
        <f>IF($B847&lt;&gt;"",_xlfn.IFNA(VLOOKUP($B847,'Node Details'!$B:$U,D$1,0),"Check"),"")</f>
        <v>AXW</v>
      </c>
      <c r="E847" s="74" t="str">
        <f>IF($B847&lt;&gt;"",_xlfn.IFNA(VLOOKUP($B847,'Node Details'!$B:$U,E$1,0),"Check"),"")</f>
        <v>Airtel</v>
      </c>
      <c r="F847" s="76">
        <v>46114</v>
      </c>
      <c r="G847" s="74"/>
      <c r="H847" s="10" t="s">
        <v>22</v>
      </c>
      <c r="I847" s="9">
        <v>2</v>
      </c>
      <c r="J847" s="9">
        <v>42</v>
      </c>
      <c r="K847" s="77">
        <f t="shared" ref="K847:K910" si="78">IF(I847&lt;&gt;"",J847*I847,0)</f>
        <v>84</v>
      </c>
      <c r="L847" s="76">
        <v>46112</v>
      </c>
      <c r="N847" s="83"/>
      <c r="O847" s="84"/>
      <c r="P847" s="81"/>
      <c r="Q847" s="81"/>
      <c r="R847" s="81"/>
      <c r="S847" s="81"/>
      <c r="T847" s="85"/>
      <c r="U847" s="81"/>
      <c r="V847" s="81"/>
      <c r="W847" s="123">
        <f t="shared" ref="W847:W910" si="79">IF(V847&lt;&gt;"",V847*U847,0)</f>
        <v>0</v>
      </c>
      <c r="X847" s="123" t="s">
        <v>84</v>
      </c>
      <c r="Y847" s="114" t="s">
        <v>93</v>
      </c>
    </row>
    <row r="848" spans="1:25" s="24" customFormat="1" ht="11.1" customHeight="1">
      <c r="A848" s="74">
        <f t="shared" si="77"/>
        <v>846</v>
      </c>
      <c r="B848" s="75" t="s">
        <v>540</v>
      </c>
      <c r="C848" s="74" t="str">
        <f>IF($B848&lt;&gt;"",_xlfn.IFNA(VLOOKUP($B848,'Node Details'!$B:$U,C$1,0),"Check"),"")</f>
        <v>0000AXW18-AXW180106</v>
      </c>
      <c r="D848" s="74" t="str">
        <f>IF($B848&lt;&gt;"",_xlfn.IFNA(VLOOKUP($B848,'Node Details'!$B:$U,D$1,0),"Check"),"")</f>
        <v>AXW</v>
      </c>
      <c r="E848" s="74" t="str">
        <f>IF($B848&lt;&gt;"",_xlfn.IFNA(VLOOKUP($B848,'Node Details'!$B:$U,E$1,0),"Check"),"")</f>
        <v>Airtel</v>
      </c>
      <c r="F848" s="76">
        <v>46114</v>
      </c>
      <c r="G848" s="74"/>
      <c r="H848" s="10" t="s">
        <v>22</v>
      </c>
      <c r="I848" s="9">
        <v>2</v>
      </c>
      <c r="J848" s="9">
        <v>42</v>
      </c>
      <c r="K848" s="77">
        <f t="shared" si="78"/>
        <v>84</v>
      </c>
      <c r="L848" s="76">
        <v>46112</v>
      </c>
      <c r="N848" s="83"/>
      <c r="O848" s="84"/>
      <c r="P848" s="81"/>
      <c r="Q848" s="81"/>
      <c r="R848" s="81"/>
      <c r="S848" s="81"/>
      <c r="T848" s="85"/>
      <c r="U848" s="81"/>
      <c r="V848" s="81"/>
      <c r="W848" s="123">
        <f t="shared" si="79"/>
        <v>0</v>
      </c>
      <c r="X848" s="123" t="s">
        <v>84</v>
      </c>
      <c r="Y848" s="114" t="s">
        <v>93</v>
      </c>
    </row>
    <row r="849" spans="1:25" s="24" customFormat="1" ht="11.1" customHeight="1">
      <c r="A849" s="74">
        <f t="shared" si="77"/>
        <v>847</v>
      </c>
      <c r="B849" s="75" t="s">
        <v>1111</v>
      </c>
      <c r="C849" s="74" t="str">
        <f>IF($B849&lt;&gt;"",_xlfn.IFNA(VLOOKUP($B849,'Node Details'!$B:$U,C$1,0),"Check"),"")</f>
        <v>AXW180106-AXW180108</v>
      </c>
      <c r="D849" s="74" t="str">
        <f>IF($B849&lt;&gt;"",_xlfn.IFNA(VLOOKUP($B849,'Node Details'!$B:$U,D$1,0),"Check"),"")</f>
        <v>AXW</v>
      </c>
      <c r="E849" s="74" t="str">
        <f>IF($B849&lt;&gt;"",_xlfn.IFNA(VLOOKUP($B849,'Node Details'!$B:$U,E$1,0),"Check"),"")</f>
        <v>Airtel</v>
      </c>
      <c r="F849" s="76">
        <v>46114</v>
      </c>
      <c r="G849" s="74"/>
      <c r="H849" s="10" t="s">
        <v>22</v>
      </c>
      <c r="I849" s="9">
        <v>2</v>
      </c>
      <c r="J849" s="9">
        <v>42</v>
      </c>
      <c r="K849" s="77">
        <f t="shared" si="78"/>
        <v>84</v>
      </c>
      <c r="L849" s="76">
        <v>46112</v>
      </c>
      <c r="N849" s="83"/>
      <c r="O849" s="84"/>
      <c r="P849" s="81"/>
      <c r="Q849" s="81"/>
      <c r="R849" s="81"/>
      <c r="S849" s="81"/>
      <c r="T849" s="85"/>
      <c r="U849" s="81"/>
      <c r="V849" s="81"/>
      <c r="W849" s="123">
        <f t="shared" si="79"/>
        <v>0</v>
      </c>
      <c r="X849" s="123" t="s">
        <v>84</v>
      </c>
      <c r="Y849" s="114" t="s">
        <v>93</v>
      </c>
    </row>
    <row r="850" spans="1:25" s="24" customFormat="1" ht="11.1" customHeight="1">
      <c r="A850" s="74">
        <f t="shared" si="77"/>
        <v>848</v>
      </c>
      <c r="B850" s="75" t="s">
        <v>543</v>
      </c>
      <c r="C850" s="74" t="str">
        <f>IF($B850&lt;&gt;"",_xlfn.IFNA(VLOOKUP($B850,'Node Details'!$B:$U,C$1,0),"Check"),"")</f>
        <v>AXW180106-AXW180108</v>
      </c>
      <c r="D850" s="74" t="str">
        <f>IF($B850&lt;&gt;"",_xlfn.IFNA(VLOOKUP($B850,'Node Details'!$B:$U,D$1,0),"Check"),"")</f>
        <v>AXW</v>
      </c>
      <c r="E850" s="74" t="str">
        <f>IF($B850&lt;&gt;"",_xlfn.IFNA(VLOOKUP($B850,'Node Details'!$B:$U,E$1,0),"Check"),"")</f>
        <v>Airtel</v>
      </c>
      <c r="F850" s="76">
        <v>46114</v>
      </c>
      <c r="G850" s="74"/>
      <c r="H850" s="10" t="s">
        <v>22</v>
      </c>
      <c r="I850" s="9">
        <v>2</v>
      </c>
      <c r="J850" s="9">
        <v>42</v>
      </c>
      <c r="K850" s="77">
        <f t="shared" si="78"/>
        <v>84</v>
      </c>
      <c r="L850" s="76">
        <v>46112</v>
      </c>
      <c r="N850" s="83"/>
      <c r="O850" s="84"/>
      <c r="P850" s="81"/>
      <c r="Q850" s="81"/>
      <c r="R850" s="81"/>
      <c r="S850" s="81"/>
      <c r="T850" s="85"/>
      <c r="U850" s="81"/>
      <c r="V850" s="81"/>
      <c r="W850" s="123">
        <f t="shared" si="79"/>
        <v>0</v>
      </c>
      <c r="X850" s="123" t="s">
        <v>84</v>
      </c>
      <c r="Y850" s="114" t="s">
        <v>93</v>
      </c>
    </row>
    <row r="851" spans="1:25" s="24" customFormat="1" ht="11.1" customHeight="1">
      <c r="A851" s="74">
        <f t="shared" si="77"/>
        <v>849</v>
      </c>
      <c r="B851" s="75" t="s">
        <v>546</v>
      </c>
      <c r="C851" s="74" t="str">
        <f>IF($B851&lt;&gt;"",_xlfn.IFNA(VLOOKUP($B851,'Node Details'!$B:$U,C$1,0),"Check"),"")</f>
        <v>0000AXW19-AXW190101</v>
      </c>
      <c r="D851" s="74" t="str">
        <f>IF($B851&lt;&gt;"",_xlfn.IFNA(VLOOKUP($B851,'Node Details'!$B:$U,D$1,0),"Check"),"")</f>
        <v>AXW</v>
      </c>
      <c r="E851" s="74" t="str">
        <f>IF($B851&lt;&gt;"",_xlfn.IFNA(VLOOKUP($B851,'Node Details'!$B:$U,E$1,0),"Check"),"")</f>
        <v>Airtel</v>
      </c>
      <c r="F851" s="76">
        <v>46114</v>
      </c>
      <c r="G851" s="74"/>
      <c r="H851" s="10" t="s">
        <v>22</v>
      </c>
      <c r="I851" s="9">
        <v>2</v>
      </c>
      <c r="J851" s="9">
        <v>42</v>
      </c>
      <c r="K851" s="77">
        <f t="shared" si="78"/>
        <v>84</v>
      </c>
      <c r="L851" s="76">
        <v>46112</v>
      </c>
      <c r="N851" s="83"/>
      <c r="O851" s="84"/>
      <c r="P851" s="81"/>
      <c r="Q851" s="81"/>
      <c r="R851" s="81"/>
      <c r="S851" s="81"/>
      <c r="T851" s="85"/>
      <c r="U851" s="81"/>
      <c r="V851" s="81"/>
      <c r="W851" s="123">
        <f t="shared" si="79"/>
        <v>0</v>
      </c>
      <c r="X851" s="123" t="s">
        <v>84</v>
      </c>
      <c r="Y851" s="114" t="s">
        <v>93</v>
      </c>
    </row>
    <row r="852" spans="1:25" s="24" customFormat="1" ht="11.1" customHeight="1">
      <c r="A852" s="74">
        <f t="shared" si="77"/>
        <v>850</v>
      </c>
      <c r="B852" s="75" t="s">
        <v>1112</v>
      </c>
      <c r="C852" s="74" t="str">
        <f>IF($B852&lt;&gt;"",_xlfn.IFNA(VLOOKUP($B852,'Node Details'!$B:$U,C$1,0),"Check"),"")</f>
        <v>0000AXW19-AXW190104</v>
      </c>
      <c r="D852" s="74" t="str">
        <f>IF($B852&lt;&gt;"",_xlfn.IFNA(VLOOKUP($B852,'Node Details'!$B:$U,D$1,0),"Check"),"")</f>
        <v>AXW</v>
      </c>
      <c r="E852" s="74" t="str">
        <f>IF($B852&lt;&gt;"",_xlfn.IFNA(VLOOKUP($B852,'Node Details'!$B:$U,E$1,0),"Check"),"")</f>
        <v>Airtel</v>
      </c>
      <c r="F852" s="76">
        <v>46114</v>
      </c>
      <c r="G852" s="74"/>
      <c r="H852" s="10" t="s">
        <v>22</v>
      </c>
      <c r="I852" s="9">
        <v>2</v>
      </c>
      <c r="J852" s="9">
        <v>42</v>
      </c>
      <c r="K852" s="77">
        <f t="shared" si="78"/>
        <v>84</v>
      </c>
      <c r="L852" s="76">
        <v>46112</v>
      </c>
      <c r="N852" s="83"/>
      <c r="O852" s="84"/>
      <c r="P852" s="81"/>
      <c r="Q852" s="81"/>
      <c r="R852" s="81"/>
      <c r="S852" s="81"/>
      <c r="T852" s="85"/>
      <c r="U852" s="81"/>
      <c r="V852" s="81"/>
      <c r="W852" s="123">
        <f t="shared" si="79"/>
        <v>0</v>
      </c>
      <c r="X852" s="123" t="s">
        <v>84</v>
      </c>
      <c r="Y852" s="114" t="s">
        <v>93</v>
      </c>
    </row>
    <row r="853" spans="1:25" s="24" customFormat="1" ht="11.1" customHeight="1">
      <c r="A853" s="74">
        <f t="shared" si="77"/>
        <v>851</v>
      </c>
      <c r="B853" s="75" t="s">
        <v>1113</v>
      </c>
      <c r="C853" s="74" t="str">
        <f>IF($B853&lt;&gt;"",_xlfn.IFNA(VLOOKUP($B853,'Node Details'!$B:$U,C$1,0),"Check"),"")</f>
        <v>0000AXW19-AXW190104</v>
      </c>
      <c r="D853" s="74" t="str">
        <f>IF($B853&lt;&gt;"",_xlfn.IFNA(VLOOKUP($B853,'Node Details'!$B:$U,D$1,0),"Check"),"")</f>
        <v>AXW</v>
      </c>
      <c r="E853" s="74" t="str">
        <f>IF($B853&lt;&gt;"",_xlfn.IFNA(VLOOKUP($B853,'Node Details'!$B:$U,E$1,0),"Check"),"")</f>
        <v>Airtel</v>
      </c>
      <c r="F853" s="76">
        <v>46114</v>
      </c>
      <c r="G853" s="74"/>
      <c r="H853" s="10" t="s">
        <v>22</v>
      </c>
      <c r="I853" s="9">
        <v>2</v>
      </c>
      <c r="J853" s="9">
        <v>42</v>
      </c>
      <c r="K853" s="77">
        <f t="shared" si="78"/>
        <v>84</v>
      </c>
      <c r="L853" s="76">
        <v>46112</v>
      </c>
      <c r="N853" s="83"/>
      <c r="O853" s="84"/>
      <c r="P853" s="81"/>
      <c r="Q853" s="81"/>
      <c r="R853" s="81"/>
      <c r="S853" s="81"/>
      <c r="T853" s="85"/>
      <c r="U853" s="81"/>
      <c r="V853" s="81"/>
      <c r="W853" s="123">
        <f t="shared" si="79"/>
        <v>0</v>
      </c>
      <c r="X853" s="123" t="s">
        <v>84</v>
      </c>
      <c r="Y853" s="114" t="s">
        <v>93</v>
      </c>
    </row>
    <row r="854" spans="1:25" s="24" customFormat="1" ht="11.1" customHeight="1">
      <c r="A854" s="74">
        <f t="shared" si="77"/>
        <v>852</v>
      </c>
      <c r="B854" s="75" t="s">
        <v>549</v>
      </c>
      <c r="C854" s="74" t="str">
        <f>IF($B854&lt;&gt;"",_xlfn.IFNA(VLOOKUP($B854,'Node Details'!$B:$U,C$1,0),"Check"),"")</f>
        <v>0000AXW19-AXW190104</v>
      </c>
      <c r="D854" s="74" t="str">
        <f>IF($B854&lt;&gt;"",_xlfn.IFNA(VLOOKUP($B854,'Node Details'!$B:$U,D$1,0),"Check"),"")</f>
        <v>AXW</v>
      </c>
      <c r="E854" s="74" t="str">
        <f>IF($B854&lt;&gt;"",_xlfn.IFNA(VLOOKUP($B854,'Node Details'!$B:$U,E$1,0),"Check"),"")</f>
        <v>Airtel</v>
      </c>
      <c r="F854" s="76">
        <v>46114</v>
      </c>
      <c r="G854" s="74"/>
      <c r="H854" s="10" t="s">
        <v>22</v>
      </c>
      <c r="I854" s="9">
        <v>2</v>
      </c>
      <c r="J854" s="9">
        <v>42</v>
      </c>
      <c r="K854" s="77">
        <f t="shared" si="78"/>
        <v>84</v>
      </c>
      <c r="L854" s="76">
        <v>46112</v>
      </c>
      <c r="N854" s="83"/>
      <c r="O854" s="84"/>
      <c r="P854" s="81"/>
      <c r="Q854" s="81"/>
      <c r="R854" s="81"/>
      <c r="S854" s="81"/>
      <c r="T854" s="85"/>
      <c r="U854" s="81"/>
      <c r="V854" s="81"/>
      <c r="W854" s="123">
        <f t="shared" si="79"/>
        <v>0</v>
      </c>
      <c r="X854" s="123" t="s">
        <v>84</v>
      </c>
      <c r="Y854" s="114" t="s">
        <v>93</v>
      </c>
    </row>
    <row r="855" spans="1:25" s="24" customFormat="1" ht="11.1" customHeight="1">
      <c r="A855" s="74">
        <f t="shared" si="77"/>
        <v>853</v>
      </c>
      <c r="B855" s="75" t="s">
        <v>1114</v>
      </c>
      <c r="C855" s="74" t="str">
        <f>IF($B855&lt;&gt;"",_xlfn.IFNA(VLOOKUP($B855,'Node Details'!$B:$U,C$1,0),"Check"),"")</f>
        <v>0000AXW19-AXW190108</v>
      </c>
      <c r="D855" s="74" t="str">
        <f>IF($B855&lt;&gt;"",_xlfn.IFNA(VLOOKUP($B855,'Node Details'!$B:$U,D$1,0),"Check"),"")</f>
        <v>AXW</v>
      </c>
      <c r="E855" s="74" t="str">
        <f>IF($B855&lt;&gt;"",_xlfn.IFNA(VLOOKUP($B855,'Node Details'!$B:$U,E$1,0),"Check"),"")</f>
        <v>Airtel</v>
      </c>
      <c r="F855" s="76">
        <v>46114</v>
      </c>
      <c r="G855" s="74"/>
      <c r="H855" s="10" t="s">
        <v>22</v>
      </c>
      <c r="I855" s="9">
        <v>2</v>
      </c>
      <c r="J855" s="9">
        <v>42</v>
      </c>
      <c r="K855" s="77">
        <f t="shared" si="78"/>
        <v>84</v>
      </c>
      <c r="L855" s="76">
        <v>46112</v>
      </c>
      <c r="N855" s="83"/>
      <c r="O855" s="84"/>
      <c r="P855" s="81"/>
      <c r="Q855" s="81"/>
      <c r="R855" s="81"/>
      <c r="S855" s="81"/>
      <c r="T855" s="85"/>
      <c r="U855" s="81"/>
      <c r="V855" s="81"/>
      <c r="W855" s="123">
        <f t="shared" si="79"/>
        <v>0</v>
      </c>
      <c r="X855" s="123" t="s">
        <v>84</v>
      </c>
      <c r="Y855" s="114" t="s">
        <v>93</v>
      </c>
    </row>
    <row r="856" spans="1:25" s="24" customFormat="1" ht="11.1" customHeight="1">
      <c r="A856" s="74">
        <f t="shared" si="77"/>
        <v>854</v>
      </c>
      <c r="B856" s="75" t="s">
        <v>1115</v>
      </c>
      <c r="C856" s="74" t="str">
        <f>IF($B856&lt;&gt;"",_xlfn.IFNA(VLOOKUP($B856,'Node Details'!$B:$U,C$1,0),"Check"),"")</f>
        <v>0000AXW19-AXW190108</v>
      </c>
      <c r="D856" s="74" t="str">
        <f>IF($B856&lt;&gt;"",_xlfn.IFNA(VLOOKUP($B856,'Node Details'!$B:$U,D$1,0),"Check"),"")</f>
        <v>AXW</v>
      </c>
      <c r="E856" s="74" t="str">
        <f>IF($B856&lt;&gt;"",_xlfn.IFNA(VLOOKUP($B856,'Node Details'!$B:$U,E$1,0),"Check"),"")</f>
        <v>Airtel</v>
      </c>
      <c r="F856" s="76">
        <v>46114</v>
      </c>
      <c r="G856" s="74"/>
      <c r="H856" s="10" t="s">
        <v>22</v>
      </c>
      <c r="I856" s="9">
        <v>2</v>
      </c>
      <c r="J856" s="9">
        <v>42</v>
      </c>
      <c r="K856" s="77">
        <f t="shared" si="78"/>
        <v>84</v>
      </c>
      <c r="L856" s="76">
        <v>46112</v>
      </c>
      <c r="N856" s="83"/>
      <c r="O856" s="84"/>
      <c r="P856" s="81"/>
      <c r="Q856" s="81"/>
      <c r="R856" s="81"/>
      <c r="S856" s="81"/>
      <c r="T856" s="85"/>
      <c r="U856" s="81"/>
      <c r="V856" s="81"/>
      <c r="W856" s="123">
        <f t="shared" si="79"/>
        <v>0</v>
      </c>
      <c r="X856" s="123" t="s">
        <v>84</v>
      </c>
      <c r="Y856" s="114" t="s">
        <v>93</v>
      </c>
    </row>
    <row r="857" spans="1:25" s="24" customFormat="1" ht="11.1" customHeight="1">
      <c r="A857" s="74">
        <f t="shared" si="77"/>
        <v>855</v>
      </c>
      <c r="B857" s="75" t="s">
        <v>1116</v>
      </c>
      <c r="C857" s="74" t="str">
        <f>IF($B857&lt;&gt;"",_xlfn.IFNA(VLOOKUP($B857,'Node Details'!$B:$U,C$1,0),"Check"),"")</f>
        <v>0000AXW19-AXW190108</v>
      </c>
      <c r="D857" s="74" t="str">
        <f>IF($B857&lt;&gt;"",_xlfn.IFNA(VLOOKUP($B857,'Node Details'!$B:$U,D$1,0),"Check"),"")</f>
        <v>AXW</v>
      </c>
      <c r="E857" s="74" t="str">
        <f>IF($B857&lt;&gt;"",_xlfn.IFNA(VLOOKUP($B857,'Node Details'!$B:$U,E$1,0),"Check"),"")</f>
        <v>Airtel</v>
      </c>
      <c r="F857" s="76">
        <v>46114</v>
      </c>
      <c r="G857" s="74"/>
      <c r="H857" s="10" t="s">
        <v>22</v>
      </c>
      <c r="I857" s="9">
        <v>2</v>
      </c>
      <c r="J857" s="9">
        <v>42</v>
      </c>
      <c r="K857" s="77">
        <f t="shared" si="78"/>
        <v>84</v>
      </c>
      <c r="L857" s="76">
        <v>46112</v>
      </c>
      <c r="N857" s="83"/>
      <c r="O857" s="84"/>
      <c r="P857" s="81"/>
      <c r="Q857" s="81"/>
      <c r="R857" s="81"/>
      <c r="S857" s="81"/>
      <c r="T857" s="85"/>
      <c r="U857" s="81"/>
      <c r="V857" s="81"/>
      <c r="W857" s="123">
        <f t="shared" si="79"/>
        <v>0</v>
      </c>
      <c r="X857" s="123" t="s">
        <v>84</v>
      </c>
      <c r="Y857" s="114" t="s">
        <v>93</v>
      </c>
    </row>
    <row r="858" spans="1:25" s="24" customFormat="1" ht="11.1" customHeight="1">
      <c r="A858" s="74">
        <f t="shared" si="77"/>
        <v>856</v>
      </c>
      <c r="B858" s="75" t="s">
        <v>552</v>
      </c>
      <c r="C858" s="74" t="str">
        <f>IF($B858&lt;&gt;"",_xlfn.IFNA(VLOOKUP($B858,'Node Details'!$B:$U,C$1,0),"Check"),"")</f>
        <v>0000AXW19-AXW190108</v>
      </c>
      <c r="D858" s="74" t="str">
        <f>IF($B858&lt;&gt;"",_xlfn.IFNA(VLOOKUP($B858,'Node Details'!$B:$U,D$1,0),"Check"),"")</f>
        <v>AXW</v>
      </c>
      <c r="E858" s="74" t="str">
        <f>IF($B858&lt;&gt;"",_xlfn.IFNA(VLOOKUP($B858,'Node Details'!$B:$U,E$1,0),"Check"),"")</f>
        <v>Airtel</v>
      </c>
      <c r="F858" s="76">
        <v>46114</v>
      </c>
      <c r="G858" s="74"/>
      <c r="H858" s="10" t="s">
        <v>22</v>
      </c>
      <c r="I858" s="9">
        <v>2</v>
      </c>
      <c r="J858" s="9">
        <v>42</v>
      </c>
      <c r="K858" s="77">
        <f t="shared" si="78"/>
        <v>84</v>
      </c>
      <c r="L858" s="76">
        <v>46112</v>
      </c>
      <c r="N858" s="83"/>
      <c r="O858" s="84"/>
      <c r="P858" s="81"/>
      <c r="Q858" s="81"/>
      <c r="R858" s="81"/>
      <c r="S858" s="81"/>
      <c r="T858" s="85"/>
      <c r="U858" s="81"/>
      <c r="V858" s="81"/>
      <c r="W858" s="123">
        <f t="shared" si="79"/>
        <v>0</v>
      </c>
      <c r="X858" s="123" t="s">
        <v>84</v>
      </c>
      <c r="Y858" s="114" t="s">
        <v>93</v>
      </c>
    </row>
    <row r="859" spans="1:25" s="24" customFormat="1" ht="11.1" customHeight="1">
      <c r="A859" s="74">
        <f t="shared" si="77"/>
        <v>857</v>
      </c>
      <c r="B859" s="75" t="s">
        <v>555</v>
      </c>
      <c r="C859" s="74" t="str">
        <f>IF($B859&lt;&gt;"",_xlfn.IFNA(VLOOKUP($B859,'Node Details'!$B:$U,C$1,0),"Check"),"")</f>
        <v>0000AXW20-AXW200101</v>
      </c>
      <c r="D859" s="74" t="str">
        <f>IF($B859&lt;&gt;"",_xlfn.IFNA(VLOOKUP($B859,'Node Details'!$B:$U,D$1,0),"Check"),"")</f>
        <v>AXW</v>
      </c>
      <c r="E859" s="74" t="str">
        <f>IF($B859&lt;&gt;"",_xlfn.IFNA(VLOOKUP($B859,'Node Details'!$B:$U,E$1,0),"Check"),"")</f>
        <v>Airtel</v>
      </c>
      <c r="F859" s="76">
        <v>46114</v>
      </c>
      <c r="G859" s="74"/>
      <c r="H859" s="10" t="s">
        <v>22</v>
      </c>
      <c r="I859" s="9">
        <v>2</v>
      </c>
      <c r="J859" s="9">
        <v>42</v>
      </c>
      <c r="K859" s="77">
        <f t="shared" si="78"/>
        <v>84</v>
      </c>
      <c r="L859" s="76">
        <v>46112</v>
      </c>
      <c r="N859" s="83"/>
      <c r="O859" s="84"/>
      <c r="P859" s="81"/>
      <c r="Q859" s="81"/>
      <c r="R859" s="81"/>
      <c r="S859" s="81"/>
      <c r="T859" s="85"/>
      <c r="U859" s="81"/>
      <c r="V859" s="81"/>
      <c r="W859" s="123">
        <f t="shared" si="79"/>
        <v>0</v>
      </c>
      <c r="X859" s="123" t="s">
        <v>84</v>
      </c>
      <c r="Y859" s="114" t="s">
        <v>93</v>
      </c>
    </row>
    <row r="860" spans="1:25" s="24" customFormat="1" ht="11.1" customHeight="1">
      <c r="A860" s="74">
        <f t="shared" si="77"/>
        <v>858</v>
      </c>
      <c r="B860" s="75" t="s">
        <v>1117</v>
      </c>
      <c r="C860" s="74" t="str">
        <f>IF($B860&lt;&gt;"",_xlfn.IFNA(VLOOKUP($B860,'Node Details'!$B:$U,C$1,0),"Check"),"")</f>
        <v>0000AXW20-AXW200107</v>
      </c>
      <c r="D860" s="74" t="str">
        <f>IF($B860&lt;&gt;"",_xlfn.IFNA(VLOOKUP($B860,'Node Details'!$B:$U,D$1,0),"Check"),"")</f>
        <v>AXW</v>
      </c>
      <c r="E860" s="74" t="str">
        <f>IF($B860&lt;&gt;"",_xlfn.IFNA(VLOOKUP($B860,'Node Details'!$B:$U,E$1,0),"Check"),"")</f>
        <v>Airtel</v>
      </c>
      <c r="F860" s="76">
        <v>46114</v>
      </c>
      <c r="G860" s="74"/>
      <c r="H860" s="10" t="s">
        <v>22</v>
      </c>
      <c r="I860" s="9">
        <v>2</v>
      </c>
      <c r="J860" s="9">
        <v>42</v>
      </c>
      <c r="K860" s="77">
        <f t="shared" si="78"/>
        <v>84</v>
      </c>
      <c r="L860" s="76">
        <v>46112</v>
      </c>
      <c r="N860" s="83"/>
      <c r="O860" s="84"/>
      <c r="P860" s="81"/>
      <c r="Q860" s="81"/>
      <c r="R860" s="81"/>
      <c r="S860" s="81"/>
      <c r="T860" s="85"/>
      <c r="U860" s="81"/>
      <c r="V860" s="81"/>
      <c r="W860" s="123">
        <f t="shared" si="79"/>
        <v>0</v>
      </c>
      <c r="X860" s="123" t="s">
        <v>84</v>
      </c>
      <c r="Y860" s="114" t="s">
        <v>93</v>
      </c>
    </row>
    <row r="861" spans="1:25" s="24" customFormat="1" ht="11.1" customHeight="1">
      <c r="A861" s="74">
        <f t="shared" si="77"/>
        <v>859</v>
      </c>
      <c r="B861" s="75" t="s">
        <v>1118</v>
      </c>
      <c r="C861" s="74" t="str">
        <f>IF($B861&lt;&gt;"",_xlfn.IFNA(VLOOKUP($B861,'Node Details'!$B:$U,C$1,0),"Check"),"")</f>
        <v>0000AXW20-AXW200107</v>
      </c>
      <c r="D861" s="74" t="str">
        <f>IF($B861&lt;&gt;"",_xlfn.IFNA(VLOOKUP($B861,'Node Details'!$B:$U,D$1,0),"Check"),"")</f>
        <v>AXW</v>
      </c>
      <c r="E861" s="74" t="str">
        <f>IF($B861&lt;&gt;"",_xlfn.IFNA(VLOOKUP($B861,'Node Details'!$B:$U,E$1,0),"Check"),"")</f>
        <v>Airtel</v>
      </c>
      <c r="F861" s="76">
        <v>46114</v>
      </c>
      <c r="G861" s="74"/>
      <c r="H861" s="10" t="s">
        <v>22</v>
      </c>
      <c r="I861" s="9">
        <v>2</v>
      </c>
      <c r="J861" s="9">
        <v>42</v>
      </c>
      <c r="K861" s="77">
        <f t="shared" si="78"/>
        <v>84</v>
      </c>
      <c r="L861" s="76">
        <v>46112</v>
      </c>
      <c r="N861" s="83"/>
      <c r="O861" s="84"/>
      <c r="P861" s="81"/>
      <c r="Q861" s="81"/>
      <c r="R861" s="81"/>
      <c r="S861" s="81"/>
      <c r="T861" s="85"/>
      <c r="U861" s="81"/>
      <c r="V861" s="81"/>
      <c r="W861" s="123">
        <f t="shared" si="79"/>
        <v>0</v>
      </c>
      <c r="X861" s="123" t="s">
        <v>84</v>
      </c>
      <c r="Y861" s="114" t="s">
        <v>93</v>
      </c>
    </row>
    <row r="862" spans="1:25" s="24" customFormat="1" ht="11.1" customHeight="1">
      <c r="A862" s="74">
        <f t="shared" si="77"/>
        <v>860</v>
      </c>
      <c r="B862" s="75" t="s">
        <v>561</v>
      </c>
      <c r="C862" s="74" t="str">
        <f>IF($B862&lt;&gt;"",_xlfn.IFNA(VLOOKUP($B862,'Node Details'!$B:$U,C$1,0),"Check"),"")</f>
        <v>0000AXW20-AXW200107</v>
      </c>
      <c r="D862" s="74" t="str">
        <f>IF($B862&lt;&gt;"",_xlfn.IFNA(VLOOKUP($B862,'Node Details'!$B:$U,D$1,0),"Check"),"")</f>
        <v>AXW</v>
      </c>
      <c r="E862" s="74" t="str">
        <f>IF($B862&lt;&gt;"",_xlfn.IFNA(VLOOKUP($B862,'Node Details'!$B:$U,E$1,0),"Check"),"")</f>
        <v>Airtel</v>
      </c>
      <c r="F862" s="76">
        <v>46114</v>
      </c>
      <c r="G862" s="74"/>
      <c r="H862" s="10" t="s">
        <v>22</v>
      </c>
      <c r="I862" s="9">
        <v>2</v>
      </c>
      <c r="J862" s="9">
        <v>42</v>
      </c>
      <c r="K862" s="77">
        <f t="shared" si="78"/>
        <v>84</v>
      </c>
      <c r="L862" s="76">
        <v>46112</v>
      </c>
      <c r="N862" s="83"/>
      <c r="O862" s="84"/>
      <c r="P862" s="81"/>
      <c r="Q862" s="81"/>
      <c r="R862" s="81"/>
      <c r="S862" s="81"/>
      <c r="T862" s="85"/>
      <c r="U862" s="81"/>
      <c r="V862" s="81"/>
      <c r="W862" s="123">
        <f t="shared" si="79"/>
        <v>0</v>
      </c>
      <c r="X862" s="123" t="s">
        <v>84</v>
      </c>
      <c r="Y862" s="114" t="s">
        <v>93</v>
      </c>
    </row>
    <row r="863" spans="1:25" s="24" customFormat="1" ht="11.1" customHeight="1">
      <c r="A863" s="74">
        <f t="shared" si="77"/>
        <v>861</v>
      </c>
      <c r="B863" s="75" t="s">
        <v>1119</v>
      </c>
      <c r="C863" s="74" t="str">
        <f>IF($B863&lt;&gt;"",_xlfn.IFNA(VLOOKUP($B863,'Node Details'!$B:$U,C$1,0),"Check"),"")</f>
        <v>AXW200104-AXW200106</v>
      </c>
      <c r="D863" s="74" t="str">
        <f>IF($B863&lt;&gt;"",_xlfn.IFNA(VLOOKUP($B863,'Node Details'!$B:$U,D$1,0),"Check"),"")</f>
        <v>AXW</v>
      </c>
      <c r="E863" s="74" t="str">
        <f>IF($B863&lt;&gt;"",_xlfn.IFNA(VLOOKUP($B863,'Node Details'!$B:$U,E$1,0),"Check"),"")</f>
        <v>Airtel</v>
      </c>
      <c r="F863" s="76">
        <v>46114</v>
      </c>
      <c r="G863" s="74"/>
      <c r="H863" s="10" t="s">
        <v>22</v>
      </c>
      <c r="I863" s="9">
        <v>2</v>
      </c>
      <c r="J863" s="9">
        <v>42</v>
      </c>
      <c r="K863" s="77">
        <f t="shared" si="78"/>
        <v>84</v>
      </c>
      <c r="L863" s="76">
        <v>46112</v>
      </c>
      <c r="N863" s="83"/>
      <c r="O863" s="84"/>
      <c r="P863" s="81"/>
      <c r="Q863" s="81"/>
      <c r="R863" s="81"/>
      <c r="S863" s="81"/>
      <c r="T863" s="85"/>
      <c r="U863" s="81"/>
      <c r="V863" s="81"/>
      <c r="W863" s="123">
        <f t="shared" si="79"/>
        <v>0</v>
      </c>
      <c r="X863" s="123" t="s">
        <v>84</v>
      </c>
      <c r="Y863" s="114" t="s">
        <v>93</v>
      </c>
    </row>
    <row r="864" spans="1:25" s="24" customFormat="1" ht="11.1" customHeight="1">
      <c r="A864" s="74">
        <f t="shared" si="77"/>
        <v>862</v>
      </c>
      <c r="B864" s="75" t="s">
        <v>562</v>
      </c>
      <c r="C864" s="74" t="str">
        <f>IF($B864&lt;&gt;"",_xlfn.IFNA(VLOOKUP($B864,'Node Details'!$B:$U,C$1,0),"Check"),"")</f>
        <v>AXW200104-AXW200106</v>
      </c>
      <c r="D864" s="74" t="str">
        <f>IF($B864&lt;&gt;"",_xlfn.IFNA(VLOOKUP($B864,'Node Details'!$B:$U,D$1,0),"Check"),"")</f>
        <v>AXW</v>
      </c>
      <c r="E864" s="74" t="str">
        <f>IF($B864&lt;&gt;"",_xlfn.IFNA(VLOOKUP($B864,'Node Details'!$B:$U,E$1,0),"Check"),"")</f>
        <v>Airtel</v>
      </c>
      <c r="F864" s="76">
        <v>46114</v>
      </c>
      <c r="G864" s="74"/>
      <c r="H864" s="10" t="s">
        <v>22</v>
      </c>
      <c r="I864" s="9">
        <v>2</v>
      </c>
      <c r="J864" s="9">
        <v>42</v>
      </c>
      <c r="K864" s="77">
        <f t="shared" si="78"/>
        <v>84</v>
      </c>
      <c r="L864" s="76">
        <v>46112</v>
      </c>
      <c r="N864" s="83"/>
      <c r="O864" s="84"/>
      <c r="P864" s="81"/>
      <c r="Q864" s="81"/>
      <c r="R864" s="81"/>
      <c r="S864" s="81"/>
      <c r="T864" s="85"/>
      <c r="U864" s="81"/>
      <c r="V864" s="81"/>
      <c r="W864" s="123">
        <f t="shared" si="79"/>
        <v>0</v>
      </c>
      <c r="X864" s="123" t="s">
        <v>84</v>
      </c>
      <c r="Y864" s="114" t="s">
        <v>93</v>
      </c>
    </row>
    <row r="865" spans="1:25" s="24" customFormat="1" ht="11.1" customHeight="1">
      <c r="A865" s="74">
        <f t="shared" si="77"/>
        <v>863</v>
      </c>
      <c r="B865" s="75" t="s">
        <v>558</v>
      </c>
      <c r="C865" s="74" t="str">
        <f>IF($B865&lt;&gt;"",_xlfn.IFNA(VLOOKUP($B865,'Node Details'!$B:$U,C$1,0),"Check"),"")</f>
        <v>0000AXW20-AXW200107</v>
      </c>
      <c r="D865" s="74" t="str">
        <f>IF($B865&lt;&gt;"",_xlfn.IFNA(VLOOKUP($B865,'Node Details'!$B:$U,D$1,0),"Check"),"")</f>
        <v>AXW</v>
      </c>
      <c r="E865" s="74" t="str">
        <f>IF($B865&lt;&gt;"",_xlfn.IFNA(VLOOKUP($B865,'Node Details'!$B:$U,E$1,0),"Check"),"")</f>
        <v>Airtel</v>
      </c>
      <c r="F865" s="76">
        <v>46114</v>
      </c>
      <c r="G865" s="74"/>
      <c r="H865" s="10" t="s">
        <v>22</v>
      </c>
      <c r="I865" s="9">
        <v>2</v>
      </c>
      <c r="J865" s="9">
        <v>42</v>
      </c>
      <c r="K865" s="77">
        <f t="shared" si="78"/>
        <v>84</v>
      </c>
      <c r="L865" s="76">
        <v>46112</v>
      </c>
      <c r="N865" s="83"/>
      <c r="O865" s="84"/>
      <c r="P865" s="81"/>
      <c r="Q865" s="81"/>
      <c r="R865" s="81"/>
      <c r="S865" s="81"/>
      <c r="T865" s="85"/>
      <c r="U865" s="81"/>
      <c r="V865" s="81"/>
      <c r="W865" s="123">
        <f t="shared" si="79"/>
        <v>0</v>
      </c>
      <c r="X865" s="123" t="s">
        <v>84</v>
      </c>
      <c r="Y865" s="114" t="s">
        <v>93</v>
      </c>
    </row>
    <row r="866" spans="1:25" s="24" customFormat="1" ht="11.1" customHeight="1">
      <c r="A866" s="74">
        <f t="shared" si="77"/>
        <v>864</v>
      </c>
      <c r="B866" s="75" t="s">
        <v>1120</v>
      </c>
      <c r="C866" s="74" t="str">
        <f>IF($B866&lt;&gt;"",_xlfn.IFNA(VLOOKUP($B866,'Node Details'!$B:$U,C$1,0),"Check"),"")</f>
        <v>AXW200107-AXW200201</v>
      </c>
      <c r="D866" s="74" t="str">
        <f>IF($B866&lt;&gt;"",_xlfn.IFNA(VLOOKUP($B866,'Node Details'!$B:$U,D$1,0),"Check"),"")</f>
        <v>AXW</v>
      </c>
      <c r="E866" s="74" t="str">
        <f>IF($B866&lt;&gt;"",_xlfn.IFNA(VLOOKUP($B866,'Node Details'!$B:$U,E$1,0),"Check"),"")</f>
        <v>Airtel</v>
      </c>
      <c r="F866" s="76">
        <v>46114</v>
      </c>
      <c r="G866" s="74"/>
      <c r="H866" s="10" t="s">
        <v>22</v>
      </c>
      <c r="I866" s="9">
        <v>2</v>
      </c>
      <c r="J866" s="9">
        <v>42</v>
      </c>
      <c r="K866" s="77">
        <f t="shared" si="78"/>
        <v>84</v>
      </c>
      <c r="L866" s="76">
        <v>46112</v>
      </c>
      <c r="N866" s="83"/>
      <c r="O866" s="84"/>
      <c r="P866" s="81"/>
      <c r="Q866" s="81"/>
      <c r="R866" s="81"/>
      <c r="S866" s="81"/>
      <c r="T866" s="85"/>
      <c r="U866" s="81"/>
      <c r="V866" s="81"/>
      <c r="W866" s="123">
        <f t="shared" si="79"/>
        <v>0</v>
      </c>
      <c r="X866" s="123" t="s">
        <v>84</v>
      </c>
      <c r="Y866" s="114" t="s">
        <v>93</v>
      </c>
    </row>
    <row r="867" spans="1:25" s="24" customFormat="1" ht="11.1" customHeight="1">
      <c r="A867" s="74">
        <f t="shared" si="77"/>
        <v>865</v>
      </c>
      <c r="B867" s="75" t="s">
        <v>565</v>
      </c>
      <c r="C867" s="74" t="str">
        <f>IF($B867&lt;&gt;"",_xlfn.IFNA(VLOOKUP($B867,'Node Details'!$B:$U,C$1,0),"Check"),"")</f>
        <v>AXW200107-AXW200201</v>
      </c>
      <c r="D867" s="74" t="str">
        <f>IF($B867&lt;&gt;"",_xlfn.IFNA(VLOOKUP($B867,'Node Details'!$B:$U,D$1,0),"Check"),"")</f>
        <v>AXW</v>
      </c>
      <c r="E867" s="74" t="str">
        <f>IF($B867&lt;&gt;"",_xlfn.IFNA(VLOOKUP($B867,'Node Details'!$B:$U,E$1,0),"Check"),"")</f>
        <v>Airtel</v>
      </c>
      <c r="F867" s="76">
        <v>46114</v>
      </c>
      <c r="G867" s="74"/>
      <c r="H867" s="10" t="s">
        <v>22</v>
      </c>
      <c r="I867" s="9">
        <v>2</v>
      </c>
      <c r="J867" s="9">
        <v>42</v>
      </c>
      <c r="K867" s="77">
        <f t="shared" si="78"/>
        <v>84</v>
      </c>
      <c r="L867" s="76">
        <v>46112</v>
      </c>
      <c r="N867" s="83"/>
      <c r="O867" s="84"/>
      <c r="P867" s="81"/>
      <c r="Q867" s="81"/>
      <c r="R867" s="81"/>
      <c r="S867" s="81"/>
      <c r="T867" s="85"/>
      <c r="U867" s="81"/>
      <c r="V867" s="81"/>
      <c r="W867" s="123">
        <f t="shared" si="79"/>
        <v>0</v>
      </c>
      <c r="X867" s="123" t="s">
        <v>84</v>
      </c>
      <c r="Y867" s="114" t="s">
        <v>93</v>
      </c>
    </row>
    <row r="868" spans="1:25" s="24" customFormat="1" ht="11.1" customHeight="1">
      <c r="A868" s="74">
        <f t="shared" si="77"/>
        <v>866</v>
      </c>
      <c r="B868" s="75" t="s">
        <v>1121</v>
      </c>
      <c r="C868" s="74" t="str">
        <f>IF($B868&lt;&gt;"",_xlfn.IFNA(VLOOKUP($B868,'Node Details'!$B:$U,C$1,0),"Check"),"")</f>
        <v>AXW200107-AXW200203</v>
      </c>
      <c r="D868" s="74" t="str">
        <f>IF($B868&lt;&gt;"",_xlfn.IFNA(VLOOKUP($B868,'Node Details'!$B:$U,D$1,0),"Check"),"")</f>
        <v>AXW</v>
      </c>
      <c r="E868" s="74" t="str">
        <f>IF($B868&lt;&gt;"",_xlfn.IFNA(VLOOKUP($B868,'Node Details'!$B:$U,E$1,0),"Check"),"")</f>
        <v>Airtel</v>
      </c>
      <c r="F868" s="76">
        <v>46114</v>
      </c>
      <c r="G868" s="74"/>
      <c r="H868" s="10" t="s">
        <v>22</v>
      </c>
      <c r="I868" s="9">
        <v>2</v>
      </c>
      <c r="J868" s="9">
        <v>42</v>
      </c>
      <c r="K868" s="77">
        <f t="shared" si="78"/>
        <v>84</v>
      </c>
      <c r="L868" s="76">
        <v>46112</v>
      </c>
      <c r="N868" s="83"/>
      <c r="O868" s="84"/>
      <c r="P868" s="81"/>
      <c r="Q868" s="81"/>
      <c r="R868" s="81"/>
      <c r="S868" s="81"/>
      <c r="T868" s="85"/>
      <c r="U868" s="81"/>
      <c r="V868" s="81"/>
      <c r="W868" s="123">
        <f t="shared" si="79"/>
        <v>0</v>
      </c>
      <c r="X868" s="123" t="s">
        <v>84</v>
      </c>
      <c r="Y868" s="114" t="s">
        <v>93</v>
      </c>
    </row>
    <row r="869" spans="1:25" s="24" customFormat="1" ht="11.1" customHeight="1">
      <c r="A869" s="74">
        <f t="shared" si="77"/>
        <v>867</v>
      </c>
      <c r="B869" s="75" t="s">
        <v>568</v>
      </c>
      <c r="C869" s="74" t="str">
        <f>IF($B869&lt;&gt;"",_xlfn.IFNA(VLOOKUP($B869,'Node Details'!$B:$U,C$1,0),"Check"),"")</f>
        <v>AXW200107-AXW200203</v>
      </c>
      <c r="D869" s="74" t="str">
        <f>IF($B869&lt;&gt;"",_xlfn.IFNA(VLOOKUP($B869,'Node Details'!$B:$U,D$1,0),"Check"),"")</f>
        <v>AXW</v>
      </c>
      <c r="E869" s="74" t="str">
        <f>IF($B869&lt;&gt;"",_xlfn.IFNA(VLOOKUP($B869,'Node Details'!$B:$U,E$1,0),"Check"),"")</f>
        <v>Airtel</v>
      </c>
      <c r="F869" s="76">
        <v>46114</v>
      </c>
      <c r="G869" s="74"/>
      <c r="H869" s="10" t="s">
        <v>22</v>
      </c>
      <c r="I869" s="9">
        <v>2</v>
      </c>
      <c r="J869" s="9">
        <v>42</v>
      </c>
      <c r="K869" s="77">
        <f t="shared" si="78"/>
        <v>84</v>
      </c>
      <c r="L869" s="76">
        <v>46112</v>
      </c>
      <c r="N869" s="83"/>
      <c r="O869" s="84"/>
      <c r="P869" s="81"/>
      <c r="Q869" s="81"/>
      <c r="R869" s="81"/>
      <c r="S869" s="81"/>
      <c r="T869" s="85"/>
      <c r="U869" s="81"/>
      <c r="V869" s="81"/>
      <c r="W869" s="123">
        <f t="shared" si="79"/>
        <v>0</v>
      </c>
      <c r="X869" s="123" t="s">
        <v>84</v>
      </c>
      <c r="Y869" s="114" t="s">
        <v>93</v>
      </c>
    </row>
    <row r="870" spans="1:25" s="24" customFormat="1" ht="11.1" customHeight="1">
      <c r="A870" s="74">
        <f t="shared" si="77"/>
        <v>868</v>
      </c>
      <c r="B870" s="75" t="s">
        <v>571</v>
      </c>
      <c r="C870" s="74" t="str">
        <f>IF($B870&lt;&gt;"",_xlfn.IFNA(VLOOKUP($B870,'Node Details'!$B:$U,C$1,0),"Check"),"")</f>
        <v>0000AXW20-AXW200204</v>
      </c>
      <c r="D870" s="74" t="str">
        <f>IF($B870&lt;&gt;"",_xlfn.IFNA(VLOOKUP($B870,'Node Details'!$B:$U,D$1,0),"Check"),"")</f>
        <v>AXW</v>
      </c>
      <c r="E870" s="74" t="str">
        <f>IF($B870&lt;&gt;"",_xlfn.IFNA(VLOOKUP($B870,'Node Details'!$B:$U,E$1,0),"Check"),"")</f>
        <v>Airtel</v>
      </c>
      <c r="F870" s="76">
        <v>46114</v>
      </c>
      <c r="G870" s="74"/>
      <c r="H870" s="10" t="s">
        <v>22</v>
      </c>
      <c r="I870" s="9">
        <v>2</v>
      </c>
      <c r="J870" s="9">
        <v>42</v>
      </c>
      <c r="K870" s="77">
        <f t="shared" si="78"/>
        <v>84</v>
      </c>
      <c r="L870" s="76">
        <v>46112</v>
      </c>
      <c r="N870" s="83"/>
      <c r="O870" s="84"/>
      <c r="P870" s="81"/>
      <c r="Q870" s="81"/>
      <c r="R870" s="81"/>
      <c r="S870" s="81"/>
      <c r="T870" s="85"/>
      <c r="U870" s="81"/>
      <c r="V870" s="81"/>
      <c r="W870" s="123">
        <f t="shared" si="79"/>
        <v>0</v>
      </c>
      <c r="X870" s="123" t="s">
        <v>84</v>
      </c>
      <c r="Y870" s="114" t="s">
        <v>93</v>
      </c>
    </row>
    <row r="871" spans="1:25" s="24" customFormat="1" ht="11.1" customHeight="1">
      <c r="A871" s="74">
        <f t="shared" si="77"/>
        <v>869</v>
      </c>
      <c r="B871" s="75" t="s">
        <v>575</v>
      </c>
      <c r="C871" s="74" t="str">
        <f>IF($B871&lt;&gt;"",_xlfn.IFNA(VLOOKUP($B871,'Node Details'!$B:$U,C$1,0),"Check"),"")</f>
        <v>0000AXW21-AXW210101</v>
      </c>
      <c r="D871" s="74" t="str">
        <f>IF($B871&lt;&gt;"",_xlfn.IFNA(VLOOKUP($B871,'Node Details'!$B:$U,D$1,0),"Check"),"")</f>
        <v>AXW</v>
      </c>
      <c r="E871" s="74" t="str">
        <f>IF($B871&lt;&gt;"",_xlfn.IFNA(VLOOKUP($B871,'Node Details'!$B:$U,E$1,0),"Check"),"")</f>
        <v>Airtel</v>
      </c>
      <c r="F871" s="76">
        <v>46114</v>
      </c>
      <c r="G871" s="74"/>
      <c r="H871" s="10" t="s">
        <v>22</v>
      </c>
      <c r="I871" s="9">
        <v>2</v>
      </c>
      <c r="J871" s="9">
        <v>42</v>
      </c>
      <c r="K871" s="77">
        <f t="shared" si="78"/>
        <v>84</v>
      </c>
      <c r="L871" s="76">
        <v>46112</v>
      </c>
      <c r="N871" s="83"/>
      <c r="O871" s="84"/>
      <c r="P871" s="81"/>
      <c r="Q871" s="81"/>
      <c r="R871" s="81"/>
      <c r="S871" s="81"/>
      <c r="T871" s="85"/>
      <c r="U871" s="81"/>
      <c r="V871" s="81"/>
      <c r="W871" s="123">
        <f t="shared" si="79"/>
        <v>0</v>
      </c>
      <c r="X871" s="123" t="s">
        <v>84</v>
      </c>
      <c r="Y871" s="114" t="s">
        <v>93</v>
      </c>
    </row>
    <row r="872" spans="1:25" s="24" customFormat="1" ht="11.1" customHeight="1">
      <c r="A872" s="74">
        <f t="shared" si="77"/>
        <v>870</v>
      </c>
      <c r="B872" s="75" t="s">
        <v>578</v>
      </c>
      <c r="C872" s="74" t="str">
        <f>IF($B872&lt;&gt;"",_xlfn.IFNA(VLOOKUP($B872,'Node Details'!$B:$U,C$1,0),"Check"),"")</f>
        <v>0000AXW21-AXW210102</v>
      </c>
      <c r="D872" s="74" t="str">
        <f>IF($B872&lt;&gt;"",_xlfn.IFNA(VLOOKUP($B872,'Node Details'!$B:$U,D$1,0),"Check"),"")</f>
        <v>AXW</v>
      </c>
      <c r="E872" s="74" t="str">
        <f>IF($B872&lt;&gt;"",_xlfn.IFNA(VLOOKUP($B872,'Node Details'!$B:$U,E$1,0),"Check"),"")</f>
        <v>Airtel</v>
      </c>
      <c r="F872" s="76">
        <v>46114</v>
      </c>
      <c r="G872" s="74"/>
      <c r="H872" s="10" t="s">
        <v>22</v>
      </c>
      <c r="I872" s="9">
        <v>2</v>
      </c>
      <c r="J872" s="9">
        <v>42</v>
      </c>
      <c r="K872" s="77">
        <f t="shared" si="78"/>
        <v>84</v>
      </c>
      <c r="L872" s="76">
        <v>46112</v>
      </c>
      <c r="N872" s="83"/>
      <c r="O872" s="84"/>
      <c r="P872" s="81"/>
      <c r="Q872" s="81"/>
      <c r="R872" s="81"/>
      <c r="S872" s="81"/>
      <c r="T872" s="85"/>
      <c r="U872" s="81"/>
      <c r="V872" s="81"/>
      <c r="W872" s="123">
        <f t="shared" si="79"/>
        <v>0</v>
      </c>
      <c r="X872" s="123" t="s">
        <v>84</v>
      </c>
      <c r="Y872" s="114" t="s">
        <v>93</v>
      </c>
    </row>
    <row r="873" spans="1:25" s="24" customFormat="1" ht="11.1" customHeight="1">
      <c r="A873" s="74">
        <f t="shared" si="77"/>
        <v>871</v>
      </c>
      <c r="B873" s="75" t="s">
        <v>587</v>
      </c>
      <c r="C873" s="74" t="str">
        <f>IF($B873&lt;&gt;"",_xlfn.IFNA(VLOOKUP($B873,'Node Details'!$B:$U,C$1,0),"Check"),"")</f>
        <v>0000AXW21-AXW210105</v>
      </c>
      <c r="D873" s="74" t="str">
        <f>IF($B873&lt;&gt;"",_xlfn.IFNA(VLOOKUP($B873,'Node Details'!$B:$U,D$1,0),"Check"),"")</f>
        <v>AXW</v>
      </c>
      <c r="E873" s="74" t="str">
        <f>IF($B873&lt;&gt;"",_xlfn.IFNA(VLOOKUP($B873,'Node Details'!$B:$U,E$1,0),"Check"),"")</f>
        <v>Airtel</v>
      </c>
      <c r="F873" s="76">
        <v>46114</v>
      </c>
      <c r="G873" s="74"/>
      <c r="H873" s="10" t="s">
        <v>22</v>
      </c>
      <c r="I873" s="9">
        <v>2</v>
      </c>
      <c r="J873" s="9">
        <v>42</v>
      </c>
      <c r="K873" s="77">
        <f t="shared" si="78"/>
        <v>84</v>
      </c>
      <c r="L873" s="76">
        <v>46112</v>
      </c>
      <c r="N873" s="83"/>
      <c r="O873" s="84"/>
      <c r="P873" s="81"/>
      <c r="Q873" s="81"/>
      <c r="R873" s="81"/>
      <c r="S873" s="81"/>
      <c r="T873" s="85"/>
      <c r="U873" s="81"/>
      <c r="V873" s="81"/>
      <c r="W873" s="123">
        <f t="shared" si="79"/>
        <v>0</v>
      </c>
      <c r="X873" s="123" t="s">
        <v>84</v>
      </c>
      <c r="Y873" s="114" t="s">
        <v>93</v>
      </c>
    </row>
    <row r="874" spans="1:25" s="24" customFormat="1" ht="11.1" customHeight="1">
      <c r="A874" s="74">
        <f t="shared" si="77"/>
        <v>872</v>
      </c>
      <c r="B874" s="75" t="s">
        <v>1122</v>
      </c>
      <c r="C874" s="74" t="str">
        <f>IF($B874&lt;&gt;"",_xlfn.IFNA(VLOOKUP($B874,'Node Details'!$B:$U,C$1,0),"Check"),"")</f>
        <v>0000AXW21-AXW210105</v>
      </c>
      <c r="D874" s="74" t="str">
        <f>IF($B874&lt;&gt;"",_xlfn.IFNA(VLOOKUP($B874,'Node Details'!$B:$U,D$1,0),"Check"),"")</f>
        <v>AXW</v>
      </c>
      <c r="E874" s="74" t="str">
        <f>IF($B874&lt;&gt;"",_xlfn.IFNA(VLOOKUP($B874,'Node Details'!$B:$U,E$1,0),"Check"),"")</f>
        <v>Airtel</v>
      </c>
      <c r="F874" s="76">
        <v>46114</v>
      </c>
      <c r="G874" s="74"/>
      <c r="H874" s="10" t="s">
        <v>22</v>
      </c>
      <c r="I874" s="9">
        <v>2</v>
      </c>
      <c r="J874" s="9">
        <v>42</v>
      </c>
      <c r="K874" s="77">
        <f t="shared" si="78"/>
        <v>84</v>
      </c>
      <c r="L874" s="76">
        <v>46112</v>
      </c>
      <c r="N874" s="83"/>
      <c r="O874" s="84"/>
      <c r="P874" s="81"/>
      <c r="Q874" s="81"/>
      <c r="R874" s="81"/>
      <c r="S874" s="81"/>
      <c r="T874" s="85"/>
      <c r="U874" s="81"/>
      <c r="V874" s="81"/>
      <c r="W874" s="123">
        <f t="shared" si="79"/>
        <v>0</v>
      </c>
      <c r="X874" s="123" t="s">
        <v>84</v>
      </c>
      <c r="Y874" s="114" t="s">
        <v>93</v>
      </c>
    </row>
    <row r="875" spans="1:25" s="24" customFormat="1" ht="11.1" customHeight="1">
      <c r="A875" s="74">
        <f t="shared" si="77"/>
        <v>873</v>
      </c>
      <c r="B875" s="75" t="s">
        <v>581</v>
      </c>
      <c r="C875" s="74" t="str">
        <f>IF($B875&lt;&gt;"",_xlfn.IFNA(VLOOKUP($B875,'Node Details'!$B:$U,C$1,0),"Check"),"")</f>
        <v>0000AXW21-AXW210105</v>
      </c>
      <c r="D875" s="74" t="str">
        <f>IF($B875&lt;&gt;"",_xlfn.IFNA(VLOOKUP($B875,'Node Details'!$B:$U,D$1,0),"Check"),"")</f>
        <v>AXW</v>
      </c>
      <c r="E875" s="74" t="str">
        <f>IF($B875&lt;&gt;"",_xlfn.IFNA(VLOOKUP($B875,'Node Details'!$B:$U,E$1,0),"Check"),"")</f>
        <v>Airtel</v>
      </c>
      <c r="F875" s="76">
        <v>46114</v>
      </c>
      <c r="G875" s="74"/>
      <c r="H875" s="10" t="s">
        <v>22</v>
      </c>
      <c r="I875" s="9">
        <v>2</v>
      </c>
      <c r="J875" s="9">
        <v>42</v>
      </c>
      <c r="K875" s="77">
        <f t="shared" si="78"/>
        <v>84</v>
      </c>
      <c r="L875" s="76">
        <v>46112</v>
      </c>
      <c r="N875" s="83"/>
      <c r="O875" s="84"/>
      <c r="P875" s="81"/>
      <c r="Q875" s="81"/>
      <c r="R875" s="81"/>
      <c r="S875" s="81"/>
      <c r="T875" s="85"/>
      <c r="U875" s="81"/>
      <c r="V875" s="81"/>
      <c r="W875" s="123">
        <f t="shared" si="79"/>
        <v>0</v>
      </c>
      <c r="X875" s="123" t="s">
        <v>84</v>
      </c>
      <c r="Y875" s="114" t="s">
        <v>93</v>
      </c>
    </row>
    <row r="876" spans="1:25" s="24" customFormat="1" ht="11.1" customHeight="1">
      <c r="A876" s="74">
        <f t="shared" si="77"/>
        <v>874</v>
      </c>
      <c r="B876" s="75" t="s">
        <v>1123</v>
      </c>
      <c r="C876" s="74" t="str">
        <f>IF($B876&lt;&gt;"",_xlfn.IFNA(VLOOKUP($B876,'Node Details'!$B:$U,C$1,0),"Check"),"")</f>
        <v>AXW210105-AXW210107</v>
      </c>
      <c r="D876" s="74" t="str">
        <f>IF($B876&lt;&gt;"",_xlfn.IFNA(VLOOKUP($B876,'Node Details'!$B:$U,D$1,0),"Check"),"")</f>
        <v>AXW</v>
      </c>
      <c r="E876" s="74" t="str">
        <f>IF($B876&lt;&gt;"",_xlfn.IFNA(VLOOKUP($B876,'Node Details'!$B:$U,E$1,0),"Check"),"")</f>
        <v>Airtel</v>
      </c>
      <c r="F876" s="76">
        <v>46114</v>
      </c>
      <c r="G876" s="74"/>
      <c r="H876" s="10" t="s">
        <v>22</v>
      </c>
      <c r="I876" s="9">
        <v>2</v>
      </c>
      <c r="J876" s="9">
        <v>42</v>
      </c>
      <c r="K876" s="77">
        <f t="shared" si="78"/>
        <v>84</v>
      </c>
      <c r="L876" s="76">
        <v>46112</v>
      </c>
      <c r="N876" s="83"/>
      <c r="O876" s="84"/>
      <c r="P876" s="81"/>
      <c r="Q876" s="81"/>
      <c r="R876" s="81"/>
      <c r="S876" s="81"/>
      <c r="T876" s="85"/>
      <c r="U876" s="81"/>
      <c r="V876" s="81"/>
      <c r="W876" s="123">
        <f t="shared" si="79"/>
        <v>0</v>
      </c>
      <c r="X876" s="123" t="s">
        <v>84</v>
      </c>
      <c r="Y876" s="114" t="s">
        <v>93</v>
      </c>
    </row>
    <row r="877" spans="1:25" s="24" customFormat="1" ht="11.1" customHeight="1">
      <c r="A877" s="74">
        <f t="shared" si="77"/>
        <v>875</v>
      </c>
      <c r="B877" s="75" t="s">
        <v>584</v>
      </c>
      <c r="C877" s="74" t="str">
        <f>IF($B877&lt;&gt;"",_xlfn.IFNA(VLOOKUP($B877,'Node Details'!$B:$U,C$1,0),"Check"),"")</f>
        <v>AXW210105-AXW210107</v>
      </c>
      <c r="D877" s="74" t="str">
        <f>IF($B877&lt;&gt;"",_xlfn.IFNA(VLOOKUP($B877,'Node Details'!$B:$U,D$1,0),"Check"),"")</f>
        <v>AXW</v>
      </c>
      <c r="E877" s="74" t="str">
        <f>IF($B877&lt;&gt;"",_xlfn.IFNA(VLOOKUP($B877,'Node Details'!$B:$U,E$1,0),"Check"),"")</f>
        <v>Airtel</v>
      </c>
      <c r="F877" s="76">
        <v>46114</v>
      </c>
      <c r="G877" s="74"/>
      <c r="H877" s="10" t="s">
        <v>22</v>
      </c>
      <c r="I877" s="9">
        <v>2</v>
      </c>
      <c r="J877" s="9">
        <v>42</v>
      </c>
      <c r="K877" s="77">
        <f t="shared" si="78"/>
        <v>84</v>
      </c>
      <c r="L877" s="76">
        <v>46112</v>
      </c>
      <c r="N877" s="83"/>
      <c r="O877" s="84"/>
      <c r="P877" s="81"/>
      <c r="Q877" s="81"/>
      <c r="R877" s="81"/>
      <c r="S877" s="81"/>
      <c r="T877" s="85"/>
      <c r="U877" s="81"/>
      <c r="V877" s="81"/>
      <c r="W877" s="123">
        <f t="shared" si="79"/>
        <v>0</v>
      </c>
      <c r="X877" s="123" t="s">
        <v>84</v>
      </c>
      <c r="Y877" s="114" t="s">
        <v>93</v>
      </c>
    </row>
    <row r="878" spans="1:25" s="24" customFormat="1" ht="11.1" customHeight="1">
      <c r="A878" s="74">
        <f t="shared" si="77"/>
        <v>876</v>
      </c>
      <c r="B878" s="75" t="s">
        <v>588</v>
      </c>
      <c r="C878" s="74" t="str">
        <f>IF($B878&lt;&gt;"",_xlfn.IFNA(VLOOKUP($B878,'Node Details'!$B:$U,C$1,0),"Check"),"")</f>
        <v>AXW210103-AXW210108</v>
      </c>
      <c r="D878" s="74" t="str">
        <f>IF($B878&lt;&gt;"",_xlfn.IFNA(VLOOKUP($B878,'Node Details'!$B:$U,D$1,0),"Check"),"")</f>
        <v>AXW</v>
      </c>
      <c r="E878" s="74" t="str">
        <f>IF($B878&lt;&gt;"",_xlfn.IFNA(VLOOKUP($B878,'Node Details'!$B:$U,E$1,0),"Check"),"")</f>
        <v>Airtel</v>
      </c>
      <c r="F878" s="76">
        <v>46114</v>
      </c>
      <c r="G878" s="74"/>
      <c r="H878" s="10" t="s">
        <v>22</v>
      </c>
      <c r="I878" s="9">
        <v>2</v>
      </c>
      <c r="J878" s="9">
        <v>42</v>
      </c>
      <c r="K878" s="77">
        <f t="shared" si="78"/>
        <v>84</v>
      </c>
      <c r="L878" s="76">
        <v>46112</v>
      </c>
      <c r="N878" s="83"/>
      <c r="O878" s="84"/>
      <c r="P878" s="81"/>
      <c r="Q878" s="81"/>
      <c r="R878" s="81"/>
      <c r="S878" s="81"/>
      <c r="T878" s="85"/>
      <c r="U878" s="81"/>
      <c r="V878" s="81"/>
      <c r="W878" s="123">
        <f t="shared" si="79"/>
        <v>0</v>
      </c>
      <c r="X878" s="123" t="s">
        <v>84</v>
      </c>
      <c r="Y878" s="114" t="s">
        <v>93</v>
      </c>
    </row>
    <row r="879" spans="1:25" s="24" customFormat="1" ht="11.1" customHeight="1">
      <c r="A879" s="74">
        <f t="shared" si="77"/>
        <v>877</v>
      </c>
      <c r="B879" s="75" t="s">
        <v>591</v>
      </c>
      <c r="C879" s="74" t="str">
        <f>IF($B879&lt;&gt;"",_xlfn.IFNA(VLOOKUP($B879,'Node Details'!$B:$U,C$1,0),"Check"),"")</f>
        <v>0000AXW21-AXW210201</v>
      </c>
      <c r="D879" s="74" t="str">
        <f>IF($B879&lt;&gt;"",_xlfn.IFNA(VLOOKUP($B879,'Node Details'!$B:$U,D$1,0),"Check"),"")</f>
        <v>AXW</v>
      </c>
      <c r="E879" s="74" t="str">
        <f>IF($B879&lt;&gt;"",_xlfn.IFNA(VLOOKUP($B879,'Node Details'!$B:$U,E$1,0),"Check"),"")</f>
        <v>Airtel</v>
      </c>
      <c r="F879" s="76">
        <v>46114</v>
      </c>
      <c r="G879" s="74"/>
      <c r="H879" s="10" t="s">
        <v>22</v>
      </c>
      <c r="I879" s="9">
        <v>2</v>
      </c>
      <c r="J879" s="9">
        <v>42</v>
      </c>
      <c r="K879" s="77">
        <f t="shared" si="78"/>
        <v>84</v>
      </c>
      <c r="L879" s="76">
        <v>46112</v>
      </c>
      <c r="N879" s="83"/>
      <c r="O879" s="84"/>
      <c r="P879" s="81"/>
      <c r="Q879" s="81"/>
      <c r="R879" s="81"/>
      <c r="S879" s="81"/>
      <c r="T879" s="85"/>
      <c r="U879" s="81"/>
      <c r="V879" s="81"/>
      <c r="W879" s="123">
        <f t="shared" si="79"/>
        <v>0</v>
      </c>
      <c r="X879" s="123" t="s">
        <v>84</v>
      </c>
      <c r="Y879" s="114" t="s">
        <v>93</v>
      </c>
    </row>
    <row r="880" spans="1:25" s="24" customFormat="1" ht="11.1" customHeight="1">
      <c r="A880" s="74">
        <f t="shared" si="77"/>
        <v>878</v>
      </c>
      <c r="B880" s="75" t="s">
        <v>1124</v>
      </c>
      <c r="C880" s="74" t="str">
        <f>IF($B880&lt;&gt;"",_xlfn.IFNA(VLOOKUP($B880,'Node Details'!$B:$U,C$1,0),"Check"),"")</f>
        <v>0000AXW22-AXW220103</v>
      </c>
      <c r="D880" s="74" t="str">
        <f>IF($B880&lt;&gt;"",_xlfn.IFNA(VLOOKUP($B880,'Node Details'!$B:$U,D$1,0),"Check"),"")</f>
        <v>AXW</v>
      </c>
      <c r="E880" s="74" t="str">
        <f>IF($B880&lt;&gt;"",_xlfn.IFNA(VLOOKUP($B880,'Node Details'!$B:$U,E$1,0),"Check"),"")</f>
        <v>Airtel</v>
      </c>
      <c r="F880" s="76">
        <v>46114</v>
      </c>
      <c r="G880" s="74"/>
      <c r="H880" s="10" t="s">
        <v>22</v>
      </c>
      <c r="I880" s="9">
        <v>2</v>
      </c>
      <c r="J880" s="9">
        <v>42</v>
      </c>
      <c r="K880" s="77">
        <f t="shared" si="78"/>
        <v>84</v>
      </c>
      <c r="L880" s="76">
        <v>46112</v>
      </c>
      <c r="N880" s="83"/>
      <c r="O880" s="84"/>
      <c r="P880" s="81"/>
      <c r="Q880" s="81"/>
      <c r="R880" s="81"/>
      <c r="S880" s="81"/>
      <c r="T880" s="85"/>
      <c r="U880" s="81"/>
      <c r="V880" s="81"/>
      <c r="W880" s="123">
        <f t="shared" si="79"/>
        <v>0</v>
      </c>
      <c r="X880" s="123" t="s">
        <v>84</v>
      </c>
      <c r="Y880" s="114" t="s">
        <v>93</v>
      </c>
    </row>
    <row r="881" spans="1:25" s="24" customFormat="1" ht="11.1" customHeight="1">
      <c r="A881" s="74">
        <f t="shared" si="77"/>
        <v>879</v>
      </c>
      <c r="B881" s="75" t="s">
        <v>594</v>
      </c>
      <c r="C881" s="74" t="str">
        <f>IF($B881&lt;&gt;"",_xlfn.IFNA(VLOOKUP($B881,'Node Details'!$B:$U,C$1,0),"Check"),"")</f>
        <v>0000AXW22-AXW220103</v>
      </c>
      <c r="D881" s="74" t="str">
        <f>IF($B881&lt;&gt;"",_xlfn.IFNA(VLOOKUP($B881,'Node Details'!$B:$U,D$1,0),"Check"),"")</f>
        <v>AXW</v>
      </c>
      <c r="E881" s="74" t="str">
        <f>IF($B881&lt;&gt;"",_xlfn.IFNA(VLOOKUP($B881,'Node Details'!$B:$U,E$1,0),"Check"),"")</f>
        <v>Airtel</v>
      </c>
      <c r="F881" s="76">
        <v>46114</v>
      </c>
      <c r="G881" s="74"/>
      <c r="H881" s="10" t="s">
        <v>22</v>
      </c>
      <c r="I881" s="9">
        <v>2</v>
      </c>
      <c r="J881" s="9">
        <v>42</v>
      </c>
      <c r="K881" s="77">
        <f t="shared" si="78"/>
        <v>84</v>
      </c>
      <c r="L881" s="76">
        <v>46112</v>
      </c>
      <c r="N881" s="83"/>
      <c r="O881" s="84"/>
      <c r="P881" s="81"/>
      <c r="Q881" s="81"/>
      <c r="R881" s="81"/>
      <c r="S881" s="81"/>
      <c r="T881" s="85"/>
      <c r="U881" s="81"/>
      <c r="V881" s="81"/>
      <c r="W881" s="123">
        <f t="shared" si="79"/>
        <v>0</v>
      </c>
      <c r="X881" s="123" t="s">
        <v>84</v>
      </c>
      <c r="Y881" s="114" t="s">
        <v>93</v>
      </c>
    </row>
    <row r="882" spans="1:25" s="24" customFormat="1" ht="11.1" customHeight="1">
      <c r="A882" s="74">
        <f t="shared" si="77"/>
        <v>880</v>
      </c>
      <c r="B882" s="75" t="s">
        <v>597</v>
      </c>
      <c r="C882" s="74" t="str">
        <f>IF($B882&lt;&gt;"",_xlfn.IFNA(VLOOKUP($B882,'Node Details'!$B:$U,C$1,0),"Check"),"")</f>
        <v>0000AXW22-AXW220104</v>
      </c>
      <c r="D882" s="74" t="str">
        <f>IF($B882&lt;&gt;"",_xlfn.IFNA(VLOOKUP($B882,'Node Details'!$B:$U,D$1,0),"Check"),"")</f>
        <v>AXW</v>
      </c>
      <c r="E882" s="74" t="str">
        <f>IF($B882&lt;&gt;"",_xlfn.IFNA(VLOOKUP($B882,'Node Details'!$B:$U,E$1,0),"Check"),"")</f>
        <v>Airtel</v>
      </c>
      <c r="F882" s="76">
        <v>46114</v>
      </c>
      <c r="G882" s="74"/>
      <c r="H882" s="10" t="s">
        <v>22</v>
      </c>
      <c r="I882" s="9">
        <v>2</v>
      </c>
      <c r="J882" s="9">
        <v>42</v>
      </c>
      <c r="K882" s="77">
        <f t="shared" si="78"/>
        <v>84</v>
      </c>
      <c r="L882" s="76">
        <v>46112</v>
      </c>
      <c r="N882" s="83"/>
      <c r="O882" s="84"/>
      <c r="P882" s="81"/>
      <c r="Q882" s="81"/>
      <c r="R882" s="81"/>
      <c r="S882" s="81"/>
      <c r="T882" s="85"/>
      <c r="U882" s="81"/>
      <c r="V882" s="81"/>
      <c r="W882" s="123">
        <f t="shared" si="79"/>
        <v>0</v>
      </c>
      <c r="X882" s="123" t="s">
        <v>84</v>
      </c>
      <c r="Y882" s="114" t="s">
        <v>93</v>
      </c>
    </row>
    <row r="883" spans="1:25" s="24" customFormat="1" ht="11.1" customHeight="1">
      <c r="A883" s="74">
        <f t="shared" si="77"/>
        <v>881</v>
      </c>
      <c r="B883" s="75" t="s">
        <v>1125</v>
      </c>
      <c r="C883" s="74" t="str">
        <f>IF($B883&lt;&gt;"",_xlfn.IFNA(VLOOKUP($B883,'Node Details'!$B:$U,C$1,0),"Check"),"")</f>
        <v>AXW220104-AXW220106</v>
      </c>
      <c r="D883" s="74" t="str">
        <f>IF($B883&lt;&gt;"",_xlfn.IFNA(VLOOKUP($B883,'Node Details'!$B:$U,D$1,0),"Check"),"")</f>
        <v>AXW</v>
      </c>
      <c r="E883" s="74" t="str">
        <f>IF($B883&lt;&gt;"",_xlfn.IFNA(VLOOKUP($B883,'Node Details'!$B:$U,E$1,0),"Check"),"")</f>
        <v>Airtel</v>
      </c>
      <c r="F883" s="76">
        <v>46114</v>
      </c>
      <c r="G883" s="74"/>
      <c r="H883" s="10" t="s">
        <v>22</v>
      </c>
      <c r="I883" s="9">
        <v>2</v>
      </c>
      <c r="J883" s="9">
        <v>42</v>
      </c>
      <c r="K883" s="77">
        <f t="shared" si="78"/>
        <v>84</v>
      </c>
      <c r="L883" s="76">
        <v>46112</v>
      </c>
      <c r="N883" s="83"/>
      <c r="O883" s="84"/>
      <c r="P883" s="81"/>
      <c r="Q883" s="81"/>
      <c r="R883" s="81"/>
      <c r="S883" s="81"/>
      <c r="T883" s="85"/>
      <c r="U883" s="81"/>
      <c r="V883" s="81"/>
      <c r="W883" s="123">
        <f t="shared" si="79"/>
        <v>0</v>
      </c>
      <c r="X883" s="123" t="s">
        <v>84</v>
      </c>
      <c r="Y883" s="114" t="s">
        <v>93</v>
      </c>
    </row>
    <row r="884" spans="1:25" s="24" customFormat="1" ht="11.1" customHeight="1">
      <c r="A884" s="74">
        <f t="shared" si="77"/>
        <v>882</v>
      </c>
      <c r="B884" s="75" t="s">
        <v>600</v>
      </c>
      <c r="C884" s="74" t="str">
        <f>IF($B884&lt;&gt;"",_xlfn.IFNA(VLOOKUP($B884,'Node Details'!$B:$U,C$1,0),"Check"),"")</f>
        <v>AXW220104-AXW220106</v>
      </c>
      <c r="D884" s="74" t="str">
        <f>IF($B884&lt;&gt;"",_xlfn.IFNA(VLOOKUP($B884,'Node Details'!$B:$U,D$1,0),"Check"),"")</f>
        <v>AXW</v>
      </c>
      <c r="E884" s="74" t="str">
        <f>IF($B884&lt;&gt;"",_xlfn.IFNA(VLOOKUP($B884,'Node Details'!$B:$U,E$1,0),"Check"),"")</f>
        <v>Airtel</v>
      </c>
      <c r="F884" s="76">
        <v>46114</v>
      </c>
      <c r="G884" s="74"/>
      <c r="H884" s="10" t="s">
        <v>22</v>
      </c>
      <c r="I884" s="9">
        <v>2</v>
      </c>
      <c r="J884" s="9">
        <v>42</v>
      </c>
      <c r="K884" s="77">
        <f t="shared" si="78"/>
        <v>84</v>
      </c>
      <c r="L884" s="76">
        <v>46112</v>
      </c>
      <c r="N884" s="83"/>
      <c r="O884" s="84"/>
      <c r="P884" s="81"/>
      <c r="Q884" s="81"/>
      <c r="R884" s="81"/>
      <c r="S884" s="81"/>
      <c r="T884" s="85"/>
      <c r="U884" s="81"/>
      <c r="V884" s="81"/>
      <c r="W884" s="123">
        <f t="shared" si="79"/>
        <v>0</v>
      </c>
      <c r="X884" s="123" t="s">
        <v>84</v>
      </c>
      <c r="Y884" s="114" t="s">
        <v>93</v>
      </c>
    </row>
    <row r="885" spans="1:25" s="24" customFormat="1" ht="11.1" customHeight="1">
      <c r="A885" s="74">
        <f t="shared" si="77"/>
        <v>883</v>
      </c>
      <c r="B885" s="75" t="s">
        <v>603</v>
      </c>
      <c r="C885" s="74" t="str">
        <f>IF($B885&lt;&gt;"",_xlfn.IFNA(VLOOKUP($B885,'Node Details'!$B:$U,C$1,0),"Check"),"")</f>
        <v>0000AXW22-AXW220107</v>
      </c>
      <c r="D885" s="74" t="str">
        <f>IF($B885&lt;&gt;"",_xlfn.IFNA(VLOOKUP($B885,'Node Details'!$B:$U,D$1,0),"Check"),"")</f>
        <v>AXW</v>
      </c>
      <c r="E885" s="74" t="str">
        <f>IF($B885&lt;&gt;"",_xlfn.IFNA(VLOOKUP($B885,'Node Details'!$B:$U,E$1,0),"Check"),"")</f>
        <v>Airtel</v>
      </c>
      <c r="F885" s="76">
        <v>46114</v>
      </c>
      <c r="G885" s="74"/>
      <c r="H885" s="10" t="s">
        <v>22</v>
      </c>
      <c r="I885" s="9">
        <v>2</v>
      </c>
      <c r="J885" s="9">
        <v>42</v>
      </c>
      <c r="K885" s="77">
        <f t="shared" si="78"/>
        <v>84</v>
      </c>
      <c r="L885" s="76">
        <v>46112</v>
      </c>
      <c r="N885" s="83"/>
      <c r="O885" s="84"/>
      <c r="P885" s="81"/>
      <c r="Q885" s="81"/>
      <c r="R885" s="81"/>
      <c r="S885" s="81"/>
      <c r="T885" s="85"/>
      <c r="U885" s="81"/>
      <c r="V885" s="81"/>
      <c r="W885" s="123">
        <f t="shared" si="79"/>
        <v>0</v>
      </c>
      <c r="X885" s="123" t="s">
        <v>84</v>
      </c>
      <c r="Y885" s="114" t="s">
        <v>93</v>
      </c>
    </row>
    <row r="886" spans="1:25" s="24" customFormat="1" ht="11.1" customHeight="1">
      <c r="A886" s="74">
        <f t="shared" si="77"/>
        <v>884</v>
      </c>
      <c r="B886" s="75" t="s">
        <v>1126</v>
      </c>
      <c r="C886" s="74" t="str">
        <f>IF($B886&lt;&gt;"",_xlfn.IFNA(VLOOKUP($B886,'Node Details'!$B:$U,C$1,0),"Check"),"")</f>
        <v>AXW220107-AXW220202</v>
      </c>
      <c r="D886" s="74" t="str">
        <f>IF($B886&lt;&gt;"",_xlfn.IFNA(VLOOKUP($B886,'Node Details'!$B:$U,D$1,0),"Check"),"")</f>
        <v>AXW</v>
      </c>
      <c r="E886" s="74" t="str">
        <f>IF($B886&lt;&gt;"",_xlfn.IFNA(VLOOKUP($B886,'Node Details'!$B:$U,E$1,0),"Check"),"")</f>
        <v>Airtel</v>
      </c>
      <c r="F886" s="76">
        <v>46114</v>
      </c>
      <c r="G886" s="74"/>
      <c r="H886" s="10" t="s">
        <v>22</v>
      </c>
      <c r="I886" s="9">
        <v>2</v>
      </c>
      <c r="J886" s="9">
        <v>42</v>
      </c>
      <c r="K886" s="77">
        <f t="shared" si="78"/>
        <v>84</v>
      </c>
      <c r="L886" s="76">
        <v>46112</v>
      </c>
      <c r="N886" s="83"/>
      <c r="O886" s="84"/>
      <c r="P886" s="81"/>
      <c r="Q886" s="81"/>
      <c r="R886" s="81"/>
      <c r="S886" s="81"/>
      <c r="T886" s="85"/>
      <c r="U886" s="81"/>
      <c r="V886" s="81"/>
      <c r="W886" s="123">
        <f t="shared" si="79"/>
        <v>0</v>
      </c>
      <c r="X886" s="123" t="s">
        <v>84</v>
      </c>
      <c r="Y886" s="114" t="s">
        <v>93</v>
      </c>
    </row>
    <row r="887" spans="1:25" s="24" customFormat="1" ht="11.1" customHeight="1">
      <c r="A887" s="74">
        <f t="shared" si="77"/>
        <v>885</v>
      </c>
      <c r="B887" s="75" t="s">
        <v>1127</v>
      </c>
      <c r="C887" s="74" t="str">
        <f>IF($B887&lt;&gt;"",_xlfn.IFNA(VLOOKUP($B887,'Node Details'!$B:$U,C$1,0),"Check"),"")</f>
        <v>AXW220107-AXW220202</v>
      </c>
      <c r="D887" s="74" t="str">
        <f>IF($B887&lt;&gt;"",_xlfn.IFNA(VLOOKUP($B887,'Node Details'!$B:$U,D$1,0),"Check"),"")</f>
        <v>AXW</v>
      </c>
      <c r="E887" s="74" t="str">
        <f>IF($B887&lt;&gt;"",_xlfn.IFNA(VLOOKUP($B887,'Node Details'!$B:$U,E$1,0),"Check"),"")</f>
        <v>Airtel</v>
      </c>
      <c r="F887" s="76">
        <v>46114</v>
      </c>
      <c r="G887" s="74"/>
      <c r="H887" s="10" t="s">
        <v>22</v>
      </c>
      <c r="I887" s="9">
        <v>2</v>
      </c>
      <c r="J887" s="9">
        <v>42</v>
      </c>
      <c r="K887" s="77">
        <f t="shared" si="78"/>
        <v>84</v>
      </c>
      <c r="L887" s="76">
        <v>46112</v>
      </c>
      <c r="N887" s="83"/>
      <c r="O887" s="84"/>
      <c r="P887" s="81"/>
      <c r="Q887" s="81"/>
      <c r="R887" s="81"/>
      <c r="S887" s="81"/>
      <c r="T887" s="85"/>
      <c r="U887" s="81"/>
      <c r="V887" s="81"/>
      <c r="W887" s="123">
        <f t="shared" si="79"/>
        <v>0</v>
      </c>
      <c r="X887" s="123" t="s">
        <v>84</v>
      </c>
      <c r="Y887" s="114" t="s">
        <v>93</v>
      </c>
    </row>
    <row r="888" spans="1:25" s="24" customFormat="1" ht="11.1" customHeight="1">
      <c r="A888" s="74">
        <f t="shared" si="77"/>
        <v>886</v>
      </c>
      <c r="B888" s="75" t="s">
        <v>606</v>
      </c>
      <c r="C888" s="74" t="str">
        <f>IF($B888&lt;&gt;"",_xlfn.IFNA(VLOOKUP($B888,'Node Details'!$B:$U,C$1,0),"Check"),"")</f>
        <v>AXW220107-AXW220202</v>
      </c>
      <c r="D888" s="74" t="str">
        <f>IF($B888&lt;&gt;"",_xlfn.IFNA(VLOOKUP($B888,'Node Details'!$B:$U,D$1,0),"Check"),"")</f>
        <v>AXW</v>
      </c>
      <c r="E888" s="74" t="str">
        <f>IF($B888&lt;&gt;"",_xlfn.IFNA(VLOOKUP($B888,'Node Details'!$B:$U,E$1,0),"Check"),"")</f>
        <v>Airtel</v>
      </c>
      <c r="F888" s="76">
        <v>46114</v>
      </c>
      <c r="G888" s="74"/>
      <c r="H888" s="10" t="s">
        <v>22</v>
      </c>
      <c r="I888" s="9">
        <v>2</v>
      </c>
      <c r="J888" s="9">
        <v>42</v>
      </c>
      <c r="K888" s="77">
        <f t="shared" si="78"/>
        <v>84</v>
      </c>
      <c r="L888" s="76">
        <v>46112</v>
      </c>
      <c r="N888" s="83"/>
      <c r="O888" s="84"/>
      <c r="P888" s="81"/>
      <c r="Q888" s="81"/>
      <c r="R888" s="81"/>
      <c r="S888" s="81"/>
      <c r="T888" s="85"/>
      <c r="U888" s="81"/>
      <c r="V888" s="81"/>
      <c r="W888" s="123">
        <f t="shared" si="79"/>
        <v>0</v>
      </c>
      <c r="X888" s="123" t="s">
        <v>84</v>
      </c>
      <c r="Y888" s="114" t="s">
        <v>93</v>
      </c>
    </row>
    <row r="889" spans="1:25" s="24" customFormat="1" ht="11.1" customHeight="1">
      <c r="A889" s="74">
        <f t="shared" si="77"/>
        <v>887</v>
      </c>
      <c r="B889" s="75" t="s">
        <v>376</v>
      </c>
      <c r="C889" s="74" t="str">
        <f>IF($B889&lt;&gt;"",_xlfn.IFNA(VLOOKUP($B889,'Node Details'!$B:$U,C$1,0),"Check"),"")</f>
        <v>000000AXW-0000AXW05</v>
      </c>
      <c r="D889" s="74" t="str">
        <f>IF($B889&lt;&gt;"",_xlfn.IFNA(VLOOKUP($B889,'Node Details'!$B:$U,D$1,0),"Check"),"")</f>
        <v>AXW</v>
      </c>
      <c r="E889" s="74" t="str">
        <f>IF($B889&lt;&gt;"",_xlfn.IFNA(VLOOKUP($B889,'Node Details'!$B:$U,E$1,0),"Check"),"")</f>
        <v>Airtel</v>
      </c>
      <c r="F889" s="76">
        <v>46114</v>
      </c>
      <c r="G889" s="74"/>
      <c r="H889" s="10" t="s">
        <v>1250</v>
      </c>
      <c r="I889" s="9">
        <v>2</v>
      </c>
      <c r="J889" s="9">
        <v>150</v>
      </c>
      <c r="K889" s="77">
        <f t="shared" si="78"/>
        <v>300</v>
      </c>
      <c r="L889" s="76">
        <v>46112</v>
      </c>
      <c r="N889" s="83"/>
      <c r="O889" s="84"/>
      <c r="P889" s="81"/>
      <c r="Q889" s="81"/>
      <c r="R889" s="81"/>
      <c r="S889" s="81"/>
      <c r="T889" s="85"/>
      <c r="U889" s="81"/>
      <c r="V889" s="81"/>
      <c r="W889" s="123">
        <f t="shared" si="79"/>
        <v>0</v>
      </c>
      <c r="X889" s="123" t="s">
        <v>84</v>
      </c>
      <c r="Y889" s="114" t="s">
        <v>93</v>
      </c>
    </row>
    <row r="890" spans="1:25" s="24" customFormat="1" ht="11.1" customHeight="1">
      <c r="A890" s="74">
        <f t="shared" si="77"/>
        <v>888</v>
      </c>
      <c r="B890" s="75" t="s">
        <v>392</v>
      </c>
      <c r="C890" s="74" t="str">
        <f>IF($B890&lt;&gt;"",_xlfn.IFNA(VLOOKUP($B890,'Node Details'!$B:$U,C$1,0),"Check"),"")</f>
        <v>0000AXW01-AXW010101</v>
      </c>
      <c r="D890" s="74" t="str">
        <f>IF($B890&lt;&gt;"",_xlfn.IFNA(VLOOKUP($B890,'Node Details'!$B:$U,D$1,0),"Check"),"")</f>
        <v>AXW</v>
      </c>
      <c r="E890" s="74" t="str">
        <f>IF($B890&lt;&gt;"",_xlfn.IFNA(VLOOKUP($B890,'Node Details'!$B:$U,E$1,0),"Check"),"")</f>
        <v>Airtel</v>
      </c>
      <c r="F890" s="76">
        <v>46114</v>
      </c>
      <c r="G890" s="74"/>
      <c r="H890" s="10" t="s">
        <v>1250</v>
      </c>
      <c r="I890" s="9">
        <v>2</v>
      </c>
      <c r="J890" s="9">
        <v>150</v>
      </c>
      <c r="K890" s="77">
        <f t="shared" si="78"/>
        <v>300</v>
      </c>
      <c r="L890" s="76">
        <v>46112</v>
      </c>
      <c r="N890" s="83"/>
      <c r="O890" s="84"/>
      <c r="P890" s="81"/>
      <c r="Q890" s="81"/>
      <c r="R890" s="81"/>
      <c r="S890" s="81"/>
      <c r="T890" s="85"/>
      <c r="U890" s="81"/>
      <c r="V890" s="81"/>
      <c r="W890" s="123">
        <f t="shared" si="79"/>
        <v>0</v>
      </c>
      <c r="X890" s="123" t="s">
        <v>84</v>
      </c>
      <c r="Y890" s="114" t="s">
        <v>93</v>
      </c>
    </row>
    <row r="891" spans="1:25" s="24" customFormat="1" ht="11.1" customHeight="1">
      <c r="A891" s="74">
        <f t="shared" si="77"/>
        <v>889</v>
      </c>
      <c r="B891" s="75" t="s">
        <v>1051</v>
      </c>
      <c r="C891" s="74" t="str">
        <f>IF($B891&lt;&gt;"",_xlfn.IFNA(VLOOKUP($B891,'Node Details'!$B:$U,C$1,0),"Check"),"")</f>
        <v>0000AXW01-AXW010105</v>
      </c>
      <c r="D891" s="74" t="str">
        <f>IF($B891&lt;&gt;"",_xlfn.IFNA(VLOOKUP($B891,'Node Details'!$B:$U,D$1,0),"Check"),"")</f>
        <v>AXW</v>
      </c>
      <c r="E891" s="74" t="str">
        <f>IF($B891&lt;&gt;"",_xlfn.IFNA(VLOOKUP($B891,'Node Details'!$B:$U,E$1,0),"Check"),"")</f>
        <v>Airtel</v>
      </c>
      <c r="F891" s="76">
        <v>46114</v>
      </c>
      <c r="G891" s="74"/>
      <c r="H891" s="10" t="s">
        <v>1250</v>
      </c>
      <c r="I891" s="9">
        <v>2</v>
      </c>
      <c r="J891" s="9">
        <v>150</v>
      </c>
      <c r="K891" s="77">
        <f t="shared" si="78"/>
        <v>300</v>
      </c>
      <c r="L891" s="76">
        <v>46112</v>
      </c>
      <c r="N891" s="83"/>
      <c r="O891" s="84"/>
      <c r="P891" s="81"/>
      <c r="Q891" s="81"/>
      <c r="R891" s="81"/>
      <c r="S891" s="81"/>
      <c r="T891" s="85"/>
      <c r="U891" s="81"/>
      <c r="V891" s="81"/>
      <c r="W891" s="123">
        <f t="shared" si="79"/>
        <v>0</v>
      </c>
      <c r="X891" s="123" t="s">
        <v>84</v>
      </c>
      <c r="Y891" s="114" t="s">
        <v>93</v>
      </c>
    </row>
    <row r="892" spans="1:25" s="24" customFormat="1" ht="11.1" customHeight="1">
      <c r="A892" s="74">
        <f t="shared" si="77"/>
        <v>890</v>
      </c>
      <c r="B892" s="75" t="s">
        <v>1052</v>
      </c>
      <c r="C892" s="74" t="str">
        <f>IF($B892&lt;&gt;"",_xlfn.IFNA(VLOOKUP($B892,'Node Details'!$B:$U,C$1,0),"Check"),"")</f>
        <v>0000AXW01-AXW010105</v>
      </c>
      <c r="D892" s="74" t="str">
        <f>IF($B892&lt;&gt;"",_xlfn.IFNA(VLOOKUP($B892,'Node Details'!$B:$U,D$1,0),"Check"),"")</f>
        <v>AXW</v>
      </c>
      <c r="E892" s="74" t="str">
        <f>IF($B892&lt;&gt;"",_xlfn.IFNA(VLOOKUP($B892,'Node Details'!$B:$U,E$1,0),"Check"),"")</f>
        <v>Airtel</v>
      </c>
      <c r="F892" s="76">
        <v>46114</v>
      </c>
      <c r="G892" s="74"/>
      <c r="H892" s="10" t="s">
        <v>1250</v>
      </c>
      <c r="I892" s="9">
        <v>2</v>
      </c>
      <c r="J892" s="9">
        <v>150</v>
      </c>
      <c r="K892" s="77">
        <f t="shared" si="78"/>
        <v>300</v>
      </c>
      <c r="L892" s="76">
        <v>46112</v>
      </c>
      <c r="N892" s="83"/>
      <c r="O892" s="84"/>
      <c r="P892" s="81"/>
      <c r="Q892" s="81"/>
      <c r="R892" s="81"/>
      <c r="S892" s="81"/>
      <c r="T892" s="85"/>
      <c r="U892" s="81"/>
      <c r="V892" s="81"/>
      <c r="W892" s="123">
        <f t="shared" si="79"/>
        <v>0</v>
      </c>
      <c r="X892" s="123" t="s">
        <v>84</v>
      </c>
      <c r="Y892" s="114" t="s">
        <v>93</v>
      </c>
    </row>
    <row r="893" spans="1:25" s="24" customFormat="1" ht="11.1" customHeight="1">
      <c r="A893" s="74">
        <f t="shared" si="77"/>
        <v>891</v>
      </c>
      <c r="B893" s="75" t="s">
        <v>394</v>
      </c>
      <c r="C893" s="74" t="str">
        <f>IF($B893&lt;&gt;"",_xlfn.IFNA(VLOOKUP($B893,'Node Details'!$B:$U,C$1,0),"Check"),"")</f>
        <v>0000AXW01-AXW010105</v>
      </c>
      <c r="D893" s="74" t="str">
        <f>IF($B893&lt;&gt;"",_xlfn.IFNA(VLOOKUP($B893,'Node Details'!$B:$U,D$1,0),"Check"),"")</f>
        <v>AXW</v>
      </c>
      <c r="E893" s="74" t="str">
        <f>IF($B893&lt;&gt;"",_xlfn.IFNA(VLOOKUP($B893,'Node Details'!$B:$U,E$1,0),"Check"),"")</f>
        <v>Airtel</v>
      </c>
      <c r="F893" s="76">
        <v>46114</v>
      </c>
      <c r="G893" s="74"/>
      <c r="H893" s="10" t="s">
        <v>1250</v>
      </c>
      <c r="I893" s="9">
        <v>2</v>
      </c>
      <c r="J893" s="9">
        <v>150</v>
      </c>
      <c r="K893" s="77">
        <f t="shared" si="78"/>
        <v>300</v>
      </c>
      <c r="L893" s="76">
        <v>46112</v>
      </c>
      <c r="N893" s="83"/>
      <c r="O893" s="84"/>
      <c r="P893" s="81"/>
      <c r="Q893" s="81"/>
      <c r="R893" s="81"/>
      <c r="S893" s="81"/>
      <c r="T893" s="85"/>
      <c r="U893" s="81"/>
      <c r="V893" s="81"/>
      <c r="W893" s="123">
        <f t="shared" si="79"/>
        <v>0</v>
      </c>
      <c r="X893" s="123" t="s">
        <v>84</v>
      </c>
      <c r="Y893" s="114" t="s">
        <v>93</v>
      </c>
    </row>
    <row r="894" spans="1:25" s="24" customFormat="1" ht="11.1" customHeight="1">
      <c r="A894" s="74">
        <f t="shared" si="77"/>
        <v>892</v>
      </c>
      <c r="B894" s="75" t="s">
        <v>396</v>
      </c>
      <c r="C894" s="74" t="str">
        <f>IF($B894&lt;&gt;"",_xlfn.IFNA(VLOOKUP($B894,'Node Details'!$B:$U,C$1,0),"Check"),"")</f>
        <v>000000AXW-0000AXW05</v>
      </c>
      <c r="D894" s="74" t="str">
        <f>IF($B894&lt;&gt;"",_xlfn.IFNA(VLOOKUP($B894,'Node Details'!$B:$U,D$1,0),"Check"),"")</f>
        <v>AXW</v>
      </c>
      <c r="E894" s="74" t="str">
        <f>IF($B894&lt;&gt;"",_xlfn.IFNA(VLOOKUP($B894,'Node Details'!$B:$U,E$1,0),"Check"),"")</f>
        <v>Airtel</v>
      </c>
      <c r="F894" s="76">
        <v>46114</v>
      </c>
      <c r="G894" s="74"/>
      <c r="H894" s="10" t="s">
        <v>1250</v>
      </c>
      <c r="I894" s="9">
        <v>2</v>
      </c>
      <c r="J894" s="9">
        <v>150</v>
      </c>
      <c r="K894" s="77">
        <f t="shared" si="78"/>
        <v>300</v>
      </c>
      <c r="L894" s="76">
        <v>46112</v>
      </c>
      <c r="N894" s="83"/>
      <c r="O894" s="84"/>
      <c r="P894" s="81"/>
      <c r="Q894" s="81"/>
      <c r="R894" s="81"/>
      <c r="S894" s="81"/>
      <c r="T894" s="85"/>
      <c r="U894" s="81"/>
      <c r="V894" s="81"/>
      <c r="W894" s="123">
        <f t="shared" si="79"/>
        <v>0</v>
      </c>
      <c r="X894" s="123" t="s">
        <v>84</v>
      </c>
      <c r="Y894" s="114" t="s">
        <v>93</v>
      </c>
    </row>
    <row r="895" spans="1:25" s="24" customFormat="1" ht="11.1" customHeight="1">
      <c r="A895" s="74">
        <f t="shared" si="77"/>
        <v>893</v>
      </c>
      <c r="B895" s="75" t="s">
        <v>1053</v>
      </c>
      <c r="C895" s="74" t="str">
        <f>IF($B895&lt;&gt;"",_xlfn.IFNA(VLOOKUP($B895,'Node Details'!$B:$U,C$1,0),"Check"),"")</f>
        <v>0000AXW02-AXW020105</v>
      </c>
      <c r="D895" s="74" t="str">
        <f>IF($B895&lt;&gt;"",_xlfn.IFNA(VLOOKUP($B895,'Node Details'!$B:$U,D$1,0),"Check"),"")</f>
        <v>AXW</v>
      </c>
      <c r="E895" s="74" t="str">
        <f>IF($B895&lt;&gt;"",_xlfn.IFNA(VLOOKUP($B895,'Node Details'!$B:$U,E$1,0),"Check"),"")</f>
        <v>Airtel</v>
      </c>
      <c r="F895" s="76">
        <v>46114</v>
      </c>
      <c r="G895" s="74"/>
      <c r="H895" s="10" t="s">
        <v>1250</v>
      </c>
      <c r="I895" s="9">
        <v>2</v>
      </c>
      <c r="J895" s="9">
        <v>150</v>
      </c>
      <c r="K895" s="77">
        <f t="shared" si="78"/>
        <v>300</v>
      </c>
      <c r="L895" s="76">
        <v>46112</v>
      </c>
      <c r="N895" s="83"/>
      <c r="O895" s="84"/>
      <c r="P895" s="81"/>
      <c r="Q895" s="81"/>
      <c r="R895" s="81"/>
      <c r="S895" s="81"/>
      <c r="T895" s="85"/>
      <c r="U895" s="81"/>
      <c r="V895" s="81"/>
      <c r="W895" s="123">
        <f t="shared" si="79"/>
        <v>0</v>
      </c>
      <c r="X895" s="123" t="s">
        <v>84</v>
      </c>
      <c r="Y895" s="114" t="s">
        <v>93</v>
      </c>
    </row>
    <row r="896" spans="1:25" s="24" customFormat="1" ht="11.1" customHeight="1">
      <c r="A896" s="74">
        <f t="shared" si="77"/>
        <v>894</v>
      </c>
      <c r="B896" s="75" t="s">
        <v>399</v>
      </c>
      <c r="C896" s="74" t="str">
        <f>IF($B896&lt;&gt;"",_xlfn.IFNA(VLOOKUP($B896,'Node Details'!$B:$U,C$1,0),"Check"),"")</f>
        <v>0000AXW02-AXW020101</v>
      </c>
      <c r="D896" s="74" t="str">
        <f>IF($B896&lt;&gt;"",_xlfn.IFNA(VLOOKUP($B896,'Node Details'!$B:$U,D$1,0),"Check"),"")</f>
        <v>AXW</v>
      </c>
      <c r="E896" s="74" t="str">
        <f>IF($B896&lt;&gt;"",_xlfn.IFNA(VLOOKUP($B896,'Node Details'!$B:$U,E$1,0),"Check"),"")</f>
        <v>Airtel</v>
      </c>
      <c r="F896" s="76">
        <v>46114</v>
      </c>
      <c r="G896" s="74"/>
      <c r="H896" s="10" t="s">
        <v>1250</v>
      </c>
      <c r="I896" s="9">
        <v>2</v>
      </c>
      <c r="J896" s="9">
        <v>150</v>
      </c>
      <c r="K896" s="77">
        <f t="shared" si="78"/>
        <v>300</v>
      </c>
      <c r="L896" s="76">
        <v>46112</v>
      </c>
      <c r="N896" s="83"/>
      <c r="O896" s="84"/>
      <c r="P896" s="81"/>
      <c r="Q896" s="81"/>
      <c r="R896" s="81"/>
      <c r="S896" s="81"/>
      <c r="T896" s="85"/>
      <c r="U896" s="81"/>
      <c r="V896" s="81"/>
      <c r="W896" s="123">
        <f t="shared" si="79"/>
        <v>0</v>
      </c>
      <c r="X896" s="123" t="s">
        <v>84</v>
      </c>
      <c r="Y896" s="114" t="s">
        <v>93</v>
      </c>
    </row>
    <row r="897" spans="1:25" s="24" customFormat="1" ht="11.1" customHeight="1">
      <c r="A897" s="74">
        <f t="shared" si="77"/>
        <v>895</v>
      </c>
      <c r="B897" s="75" t="s">
        <v>1054</v>
      </c>
      <c r="C897" s="74" t="str">
        <f>IF($B897&lt;&gt;"",_xlfn.IFNA(VLOOKUP($B897,'Node Details'!$B:$U,C$1,0),"Check"),"")</f>
        <v>0000AXW02-AXW020105</v>
      </c>
      <c r="D897" s="74" t="str">
        <f>IF($B897&lt;&gt;"",_xlfn.IFNA(VLOOKUP($B897,'Node Details'!$B:$U,D$1,0),"Check"),"")</f>
        <v>AXW</v>
      </c>
      <c r="E897" s="74" t="str">
        <f>IF($B897&lt;&gt;"",_xlfn.IFNA(VLOOKUP($B897,'Node Details'!$B:$U,E$1,0),"Check"),"")</f>
        <v>Airtel</v>
      </c>
      <c r="F897" s="76">
        <v>46114</v>
      </c>
      <c r="G897" s="74"/>
      <c r="H897" s="10" t="s">
        <v>1250</v>
      </c>
      <c r="I897" s="9">
        <v>2</v>
      </c>
      <c r="J897" s="9">
        <v>150</v>
      </c>
      <c r="K897" s="77">
        <f t="shared" si="78"/>
        <v>300</v>
      </c>
      <c r="L897" s="76">
        <v>46112</v>
      </c>
      <c r="N897" s="83"/>
      <c r="O897" s="84"/>
      <c r="P897" s="81"/>
      <c r="Q897" s="81"/>
      <c r="R897" s="81"/>
      <c r="S897" s="81"/>
      <c r="T897" s="85"/>
      <c r="U897" s="81"/>
      <c r="V897" s="81"/>
      <c r="W897" s="123">
        <f t="shared" si="79"/>
        <v>0</v>
      </c>
      <c r="X897" s="123" t="s">
        <v>84</v>
      </c>
      <c r="Y897" s="114" t="s">
        <v>93</v>
      </c>
    </row>
    <row r="898" spans="1:25" s="24" customFormat="1" ht="11.1" customHeight="1">
      <c r="A898" s="74">
        <f t="shared" si="77"/>
        <v>896</v>
      </c>
      <c r="B898" s="75" t="s">
        <v>1055</v>
      </c>
      <c r="C898" s="74" t="str">
        <f>IF($B898&lt;&gt;"",_xlfn.IFNA(VLOOKUP($B898,'Node Details'!$B:$U,C$1,0),"Check"),"")</f>
        <v>0000AXW02-AXW020105</v>
      </c>
      <c r="D898" s="74" t="str">
        <f>IF($B898&lt;&gt;"",_xlfn.IFNA(VLOOKUP($B898,'Node Details'!$B:$U,D$1,0),"Check"),"")</f>
        <v>AXW</v>
      </c>
      <c r="E898" s="74" t="str">
        <f>IF($B898&lt;&gt;"",_xlfn.IFNA(VLOOKUP($B898,'Node Details'!$B:$U,E$1,0),"Check"),"")</f>
        <v>Airtel</v>
      </c>
      <c r="F898" s="76">
        <v>46114</v>
      </c>
      <c r="G898" s="74"/>
      <c r="H898" s="10" t="s">
        <v>1250</v>
      </c>
      <c r="I898" s="9">
        <v>2</v>
      </c>
      <c r="J898" s="9">
        <v>150</v>
      </c>
      <c r="K898" s="77">
        <f t="shared" si="78"/>
        <v>300</v>
      </c>
      <c r="L898" s="76">
        <v>46112</v>
      </c>
      <c r="N898" s="83"/>
      <c r="O898" s="84"/>
      <c r="P898" s="81"/>
      <c r="Q898" s="81"/>
      <c r="R898" s="81"/>
      <c r="S898" s="81"/>
      <c r="T898" s="85"/>
      <c r="U898" s="81"/>
      <c r="V898" s="81"/>
      <c r="W898" s="123">
        <f t="shared" si="79"/>
        <v>0</v>
      </c>
      <c r="X898" s="123" t="s">
        <v>84</v>
      </c>
      <c r="Y898" s="114" t="s">
        <v>93</v>
      </c>
    </row>
    <row r="899" spans="1:25" s="24" customFormat="1" ht="11.1" customHeight="1">
      <c r="A899" s="74">
        <f t="shared" si="77"/>
        <v>897</v>
      </c>
      <c r="B899" s="75" t="s">
        <v>397</v>
      </c>
      <c r="C899" s="74" t="str">
        <f>IF($B899&lt;&gt;"",_xlfn.IFNA(VLOOKUP($B899,'Node Details'!$B:$U,C$1,0),"Check"),"")</f>
        <v>0000AXW02-AXW020105</v>
      </c>
      <c r="D899" s="74" t="str">
        <f>IF($B899&lt;&gt;"",_xlfn.IFNA(VLOOKUP($B899,'Node Details'!$B:$U,D$1,0),"Check"),"")</f>
        <v>AXW</v>
      </c>
      <c r="E899" s="74" t="str">
        <f>IF($B899&lt;&gt;"",_xlfn.IFNA(VLOOKUP($B899,'Node Details'!$B:$U,E$1,0),"Check"),"")</f>
        <v>Airtel</v>
      </c>
      <c r="F899" s="76">
        <v>46114</v>
      </c>
      <c r="G899" s="74"/>
      <c r="H899" s="10" t="s">
        <v>1250</v>
      </c>
      <c r="I899" s="9">
        <v>2</v>
      </c>
      <c r="J899" s="9">
        <v>150</v>
      </c>
      <c r="K899" s="77">
        <f t="shared" si="78"/>
        <v>300</v>
      </c>
      <c r="L899" s="76">
        <v>46112</v>
      </c>
      <c r="N899" s="83"/>
      <c r="O899" s="84"/>
      <c r="P899" s="81"/>
      <c r="Q899" s="81"/>
      <c r="R899" s="81"/>
      <c r="S899" s="81"/>
      <c r="T899" s="85"/>
      <c r="U899" s="81"/>
      <c r="V899" s="81"/>
      <c r="W899" s="123">
        <f t="shared" si="79"/>
        <v>0</v>
      </c>
      <c r="X899" s="123" t="s">
        <v>84</v>
      </c>
      <c r="Y899" s="114" t="s">
        <v>93</v>
      </c>
    </row>
    <row r="900" spans="1:25" s="24" customFormat="1" ht="11.1" customHeight="1">
      <c r="A900" s="74">
        <f t="shared" ref="A900:A963" si="80">A899+1</f>
        <v>898</v>
      </c>
      <c r="B900" s="75" t="s">
        <v>401</v>
      </c>
      <c r="C900" s="74" t="str">
        <f>IF($B900&lt;&gt;"",_xlfn.IFNA(VLOOKUP($B900,'Node Details'!$B:$U,C$1,0),"Check"),"")</f>
        <v>0000AXW02-AXW020106</v>
      </c>
      <c r="D900" s="74" t="str">
        <f>IF($B900&lt;&gt;"",_xlfn.IFNA(VLOOKUP($B900,'Node Details'!$B:$U,D$1,0),"Check"),"")</f>
        <v>AXW</v>
      </c>
      <c r="E900" s="74" t="str">
        <f>IF($B900&lt;&gt;"",_xlfn.IFNA(VLOOKUP($B900,'Node Details'!$B:$U,E$1,0),"Check"),"")</f>
        <v>Airtel</v>
      </c>
      <c r="F900" s="76">
        <v>46114</v>
      </c>
      <c r="G900" s="74"/>
      <c r="H900" s="10" t="s">
        <v>1250</v>
      </c>
      <c r="I900" s="9">
        <v>2</v>
      </c>
      <c r="J900" s="9">
        <v>150</v>
      </c>
      <c r="K900" s="77">
        <f t="shared" si="78"/>
        <v>300</v>
      </c>
      <c r="L900" s="76">
        <v>46112</v>
      </c>
      <c r="N900" s="83"/>
      <c r="O900" s="84"/>
      <c r="P900" s="81"/>
      <c r="Q900" s="81"/>
      <c r="R900" s="81"/>
      <c r="S900" s="81"/>
      <c r="T900" s="85"/>
      <c r="U900" s="81"/>
      <c r="V900" s="81"/>
      <c r="W900" s="123">
        <f t="shared" si="79"/>
        <v>0</v>
      </c>
      <c r="X900" s="123" t="s">
        <v>84</v>
      </c>
      <c r="Y900" s="114" t="s">
        <v>93</v>
      </c>
    </row>
    <row r="901" spans="1:25" s="24" customFormat="1" ht="11.1" customHeight="1">
      <c r="A901" s="74">
        <f t="shared" si="80"/>
        <v>899</v>
      </c>
      <c r="B901" s="75" t="s">
        <v>1056</v>
      </c>
      <c r="C901" s="74" t="str">
        <f>IF($B901&lt;&gt;"",_xlfn.IFNA(VLOOKUP($B901,'Node Details'!$B:$U,C$1,0),"Check"),"")</f>
        <v>AXW020106-AXW020108</v>
      </c>
      <c r="D901" s="74" t="str">
        <f>IF($B901&lt;&gt;"",_xlfn.IFNA(VLOOKUP($B901,'Node Details'!$B:$U,D$1,0),"Check"),"")</f>
        <v>AXW</v>
      </c>
      <c r="E901" s="74" t="str">
        <f>IF($B901&lt;&gt;"",_xlfn.IFNA(VLOOKUP($B901,'Node Details'!$B:$U,E$1,0),"Check"),"")</f>
        <v>Airtel</v>
      </c>
      <c r="F901" s="76">
        <v>46114</v>
      </c>
      <c r="G901" s="74"/>
      <c r="H901" s="10" t="s">
        <v>1250</v>
      </c>
      <c r="I901" s="9">
        <v>2</v>
      </c>
      <c r="J901" s="9">
        <v>150</v>
      </c>
      <c r="K901" s="77">
        <f t="shared" si="78"/>
        <v>300</v>
      </c>
      <c r="L901" s="76">
        <v>46112</v>
      </c>
      <c r="N901" s="83"/>
      <c r="O901" s="84"/>
      <c r="P901" s="81"/>
      <c r="Q901" s="81"/>
      <c r="R901" s="81"/>
      <c r="S901" s="81"/>
      <c r="T901" s="85"/>
      <c r="U901" s="81"/>
      <c r="V901" s="81"/>
      <c r="W901" s="123">
        <f t="shared" si="79"/>
        <v>0</v>
      </c>
      <c r="X901" s="123" t="s">
        <v>84</v>
      </c>
      <c r="Y901" s="114" t="s">
        <v>93</v>
      </c>
    </row>
    <row r="902" spans="1:25" s="24" customFormat="1" ht="11.1" customHeight="1">
      <c r="A902" s="74">
        <f t="shared" si="80"/>
        <v>900</v>
      </c>
      <c r="B902" s="75" t="s">
        <v>403</v>
      </c>
      <c r="C902" s="74" t="str">
        <f>IF($B902&lt;&gt;"",_xlfn.IFNA(VLOOKUP($B902,'Node Details'!$B:$U,C$1,0),"Check"),"")</f>
        <v>AXW020106-AXW020108</v>
      </c>
      <c r="D902" s="74" t="str">
        <f>IF($B902&lt;&gt;"",_xlfn.IFNA(VLOOKUP($B902,'Node Details'!$B:$U,D$1,0),"Check"),"")</f>
        <v>AXW</v>
      </c>
      <c r="E902" s="74" t="str">
        <f>IF($B902&lt;&gt;"",_xlfn.IFNA(VLOOKUP($B902,'Node Details'!$B:$U,E$1,0),"Check"),"")</f>
        <v>Airtel</v>
      </c>
      <c r="F902" s="76">
        <v>46114</v>
      </c>
      <c r="G902" s="74"/>
      <c r="H902" s="10" t="s">
        <v>1250</v>
      </c>
      <c r="I902" s="9">
        <v>2</v>
      </c>
      <c r="J902" s="9">
        <v>150</v>
      </c>
      <c r="K902" s="77">
        <f t="shared" si="78"/>
        <v>300</v>
      </c>
      <c r="L902" s="76">
        <v>46112</v>
      </c>
      <c r="N902" s="83"/>
      <c r="O902" s="84"/>
      <c r="P902" s="81"/>
      <c r="Q902" s="81"/>
      <c r="R902" s="81"/>
      <c r="S902" s="81"/>
      <c r="T902" s="85"/>
      <c r="U902" s="81"/>
      <c r="V902" s="81"/>
      <c r="W902" s="123">
        <f t="shared" si="79"/>
        <v>0</v>
      </c>
      <c r="X902" s="123" t="s">
        <v>84</v>
      </c>
      <c r="Y902" s="114" t="s">
        <v>93</v>
      </c>
    </row>
    <row r="903" spans="1:25" s="24" customFormat="1" ht="11.1" customHeight="1">
      <c r="A903" s="74">
        <f t="shared" si="80"/>
        <v>901</v>
      </c>
      <c r="B903" s="75" t="s">
        <v>1057</v>
      </c>
      <c r="C903" s="74" t="str">
        <f>IF($B903&lt;&gt;"",_xlfn.IFNA(VLOOKUP($B903,'Node Details'!$B:$U,C$1,0),"Check"),"")</f>
        <v>AXW020106-AXW020203</v>
      </c>
      <c r="D903" s="74" t="str">
        <f>IF($B903&lt;&gt;"",_xlfn.IFNA(VLOOKUP($B903,'Node Details'!$B:$U,D$1,0),"Check"),"")</f>
        <v>AXW</v>
      </c>
      <c r="E903" s="74" t="str">
        <f>IF($B903&lt;&gt;"",_xlfn.IFNA(VLOOKUP($B903,'Node Details'!$B:$U,E$1,0),"Check"),"")</f>
        <v>Airtel</v>
      </c>
      <c r="F903" s="76">
        <v>46114</v>
      </c>
      <c r="G903" s="74"/>
      <c r="H903" s="10" t="s">
        <v>1250</v>
      </c>
      <c r="I903" s="9">
        <v>2</v>
      </c>
      <c r="J903" s="9">
        <v>150</v>
      </c>
      <c r="K903" s="77">
        <f t="shared" si="78"/>
        <v>300</v>
      </c>
      <c r="L903" s="76">
        <v>46112</v>
      </c>
      <c r="N903" s="83"/>
      <c r="O903" s="84"/>
      <c r="P903" s="81"/>
      <c r="Q903" s="81"/>
      <c r="R903" s="81"/>
      <c r="S903" s="81"/>
      <c r="T903" s="85"/>
      <c r="U903" s="81"/>
      <c r="V903" s="81"/>
      <c r="W903" s="123">
        <f t="shared" si="79"/>
        <v>0</v>
      </c>
      <c r="X903" s="123" t="s">
        <v>84</v>
      </c>
      <c r="Y903" s="114" t="s">
        <v>93</v>
      </c>
    </row>
    <row r="904" spans="1:25" s="24" customFormat="1" ht="11.1" customHeight="1">
      <c r="A904" s="74">
        <f t="shared" si="80"/>
        <v>902</v>
      </c>
      <c r="B904" s="75" t="s">
        <v>1058</v>
      </c>
      <c r="C904" s="74" t="str">
        <f>IF($B904&lt;&gt;"",_xlfn.IFNA(VLOOKUP($B904,'Node Details'!$B:$U,C$1,0),"Check"),"")</f>
        <v>AXW020106-AXW020203</v>
      </c>
      <c r="D904" s="74" t="str">
        <f>IF($B904&lt;&gt;"",_xlfn.IFNA(VLOOKUP($B904,'Node Details'!$B:$U,D$1,0),"Check"),"")</f>
        <v>AXW</v>
      </c>
      <c r="E904" s="74" t="str">
        <f>IF($B904&lt;&gt;"",_xlfn.IFNA(VLOOKUP($B904,'Node Details'!$B:$U,E$1,0),"Check"),"")</f>
        <v>Airtel</v>
      </c>
      <c r="F904" s="76">
        <v>46114</v>
      </c>
      <c r="G904" s="74"/>
      <c r="H904" s="10" t="s">
        <v>1250</v>
      </c>
      <c r="I904" s="9">
        <v>2</v>
      </c>
      <c r="J904" s="9">
        <v>150</v>
      </c>
      <c r="K904" s="77">
        <f t="shared" si="78"/>
        <v>300</v>
      </c>
      <c r="L904" s="76">
        <v>46112</v>
      </c>
      <c r="N904" s="83"/>
      <c r="O904" s="84"/>
      <c r="P904" s="81"/>
      <c r="Q904" s="81"/>
      <c r="R904" s="81"/>
      <c r="S904" s="81"/>
      <c r="T904" s="85"/>
      <c r="U904" s="81"/>
      <c r="V904" s="81"/>
      <c r="W904" s="123">
        <f t="shared" si="79"/>
        <v>0</v>
      </c>
      <c r="X904" s="123" t="s">
        <v>84</v>
      </c>
      <c r="Y904" s="114" t="s">
        <v>93</v>
      </c>
    </row>
    <row r="905" spans="1:25" s="24" customFormat="1" ht="11.1" customHeight="1">
      <c r="A905" s="74">
        <f t="shared" si="80"/>
        <v>903</v>
      </c>
      <c r="B905" s="75" t="s">
        <v>405</v>
      </c>
      <c r="C905" s="74" t="str">
        <f>IF($B905&lt;&gt;"",_xlfn.IFNA(VLOOKUP($B905,'Node Details'!$B:$U,C$1,0),"Check"),"")</f>
        <v>AXW020106-AXW020203</v>
      </c>
      <c r="D905" s="74" t="str">
        <f>IF($B905&lt;&gt;"",_xlfn.IFNA(VLOOKUP($B905,'Node Details'!$B:$U,D$1,0),"Check"),"")</f>
        <v>AXW</v>
      </c>
      <c r="E905" s="74" t="str">
        <f>IF($B905&lt;&gt;"",_xlfn.IFNA(VLOOKUP($B905,'Node Details'!$B:$U,E$1,0),"Check"),"")</f>
        <v>Airtel</v>
      </c>
      <c r="F905" s="76">
        <v>46114</v>
      </c>
      <c r="G905" s="74"/>
      <c r="H905" s="10" t="s">
        <v>1250</v>
      </c>
      <c r="I905" s="9">
        <v>2</v>
      </c>
      <c r="J905" s="9">
        <v>150</v>
      </c>
      <c r="K905" s="77">
        <f t="shared" si="78"/>
        <v>300</v>
      </c>
      <c r="L905" s="76">
        <v>46112</v>
      </c>
      <c r="N905" s="83"/>
      <c r="O905" s="84"/>
      <c r="P905" s="81"/>
      <c r="Q905" s="81"/>
      <c r="R905" s="81"/>
      <c r="S905" s="81"/>
      <c r="T905" s="85"/>
      <c r="U905" s="81"/>
      <c r="V905" s="81"/>
      <c r="W905" s="123">
        <f t="shared" si="79"/>
        <v>0</v>
      </c>
      <c r="X905" s="123" t="s">
        <v>84</v>
      </c>
      <c r="Y905" s="114" t="s">
        <v>93</v>
      </c>
    </row>
    <row r="906" spans="1:25" s="24" customFormat="1" ht="11.1" customHeight="1">
      <c r="A906" s="74">
        <f t="shared" si="80"/>
        <v>904</v>
      </c>
      <c r="B906" s="75" t="s">
        <v>611</v>
      </c>
      <c r="C906" s="74" t="str">
        <f>IF($B906&lt;&gt;"",_xlfn.IFNA(VLOOKUP($B906,'Node Details'!$B:$U,C$1,0),"Check"),"")</f>
        <v>0000AXW02-AXW020204</v>
      </c>
      <c r="D906" s="74" t="str">
        <f>IF($B906&lt;&gt;"",_xlfn.IFNA(VLOOKUP($B906,'Node Details'!$B:$U,D$1,0),"Check"),"")</f>
        <v>AXW</v>
      </c>
      <c r="E906" s="74" t="str">
        <f>IF($B906&lt;&gt;"",_xlfn.IFNA(VLOOKUP($B906,'Node Details'!$B:$U,E$1,0),"Check"),"")</f>
        <v>Airtel</v>
      </c>
      <c r="F906" s="76">
        <v>46114</v>
      </c>
      <c r="G906" s="74"/>
      <c r="H906" s="10" t="s">
        <v>1250</v>
      </c>
      <c r="I906" s="9">
        <v>2</v>
      </c>
      <c r="J906" s="9">
        <v>150</v>
      </c>
      <c r="K906" s="77">
        <f t="shared" si="78"/>
        <v>300</v>
      </c>
      <c r="L906" s="76">
        <v>46112</v>
      </c>
      <c r="N906" s="83"/>
      <c r="O906" s="84"/>
      <c r="P906" s="81"/>
      <c r="Q906" s="81"/>
      <c r="R906" s="81"/>
      <c r="S906" s="81"/>
      <c r="T906" s="85"/>
      <c r="U906" s="81"/>
      <c r="V906" s="81"/>
      <c r="W906" s="123">
        <f t="shared" si="79"/>
        <v>0</v>
      </c>
      <c r="X906" s="123" t="s">
        <v>84</v>
      </c>
      <c r="Y906" s="114" t="s">
        <v>93</v>
      </c>
    </row>
    <row r="907" spans="1:25" s="24" customFormat="1" ht="11.1" customHeight="1">
      <c r="A907" s="74">
        <f t="shared" si="80"/>
        <v>905</v>
      </c>
      <c r="B907" s="75" t="s">
        <v>407</v>
      </c>
      <c r="C907" s="74" t="str">
        <f>IF($B907&lt;&gt;"",_xlfn.IFNA(VLOOKUP($B907,'Node Details'!$B:$U,C$1,0),"Check"),"")</f>
        <v>000000AXW-0000AXW05</v>
      </c>
      <c r="D907" s="74" t="str">
        <f>IF($B907&lt;&gt;"",_xlfn.IFNA(VLOOKUP($B907,'Node Details'!$B:$U,D$1,0),"Check"),"")</f>
        <v>AXW</v>
      </c>
      <c r="E907" s="74" t="str">
        <f>IF($B907&lt;&gt;"",_xlfn.IFNA(VLOOKUP($B907,'Node Details'!$B:$U,E$1,0),"Check"),"")</f>
        <v>Airtel</v>
      </c>
      <c r="F907" s="76">
        <v>46114</v>
      </c>
      <c r="G907" s="74"/>
      <c r="H907" s="10" t="s">
        <v>1250</v>
      </c>
      <c r="I907" s="9">
        <v>2</v>
      </c>
      <c r="J907" s="9">
        <v>150</v>
      </c>
      <c r="K907" s="77">
        <f t="shared" si="78"/>
        <v>300</v>
      </c>
      <c r="L907" s="76">
        <v>46112</v>
      </c>
      <c r="N907" s="83"/>
      <c r="O907" s="84"/>
      <c r="P907" s="81"/>
      <c r="Q907" s="81"/>
      <c r="R907" s="81"/>
      <c r="S907" s="81"/>
      <c r="T907" s="85"/>
      <c r="U907" s="81"/>
      <c r="V907" s="81"/>
      <c r="W907" s="123">
        <f t="shared" si="79"/>
        <v>0</v>
      </c>
      <c r="X907" s="123" t="s">
        <v>84</v>
      </c>
      <c r="Y907" s="114" t="s">
        <v>93</v>
      </c>
    </row>
    <row r="908" spans="1:25" s="24" customFormat="1" ht="11.1" customHeight="1">
      <c r="A908" s="74">
        <f t="shared" si="80"/>
        <v>906</v>
      </c>
      <c r="B908" s="75" t="s">
        <v>1059</v>
      </c>
      <c r="C908" s="74" t="str">
        <f>IF($B908&lt;&gt;"",_xlfn.IFNA(VLOOKUP($B908,'Node Details'!$B:$U,C$1,0),"Check"),"")</f>
        <v>0000AXW03-AXW030104</v>
      </c>
      <c r="D908" s="74" t="str">
        <f>IF($B908&lt;&gt;"",_xlfn.IFNA(VLOOKUP($B908,'Node Details'!$B:$U,D$1,0),"Check"),"")</f>
        <v>AXW</v>
      </c>
      <c r="E908" s="74" t="str">
        <f>IF($B908&lt;&gt;"",_xlfn.IFNA(VLOOKUP($B908,'Node Details'!$B:$U,E$1,0),"Check"),"")</f>
        <v>Airtel</v>
      </c>
      <c r="F908" s="76">
        <v>46114</v>
      </c>
      <c r="G908" s="74"/>
      <c r="H908" s="10" t="s">
        <v>1250</v>
      </c>
      <c r="I908" s="9">
        <v>2</v>
      </c>
      <c r="J908" s="9">
        <v>150</v>
      </c>
      <c r="K908" s="77">
        <f t="shared" si="78"/>
        <v>300</v>
      </c>
      <c r="L908" s="76">
        <v>46112</v>
      </c>
      <c r="N908" s="83"/>
      <c r="O908" s="84"/>
      <c r="P908" s="81"/>
      <c r="Q908" s="81"/>
      <c r="R908" s="81"/>
      <c r="S908" s="81"/>
      <c r="T908" s="85"/>
      <c r="U908" s="81"/>
      <c r="V908" s="81"/>
      <c r="W908" s="123">
        <f t="shared" si="79"/>
        <v>0</v>
      </c>
      <c r="X908" s="123" t="s">
        <v>84</v>
      </c>
      <c r="Y908" s="114" t="s">
        <v>93</v>
      </c>
    </row>
    <row r="909" spans="1:25" s="24" customFormat="1" ht="11.1" customHeight="1">
      <c r="A909" s="74">
        <f t="shared" si="80"/>
        <v>907</v>
      </c>
      <c r="B909" s="75" t="s">
        <v>1060</v>
      </c>
      <c r="C909" s="74" t="str">
        <f>IF($B909&lt;&gt;"",_xlfn.IFNA(VLOOKUP($B909,'Node Details'!$B:$U,C$1,0),"Check"),"")</f>
        <v>0000AXW03-AXW030104</v>
      </c>
      <c r="D909" s="74" t="str">
        <f>IF($B909&lt;&gt;"",_xlfn.IFNA(VLOOKUP($B909,'Node Details'!$B:$U,D$1,0),"Check"),"")</f>
        <v>AXW</v>
      </c>
      <c r="E909" s="74" t="str">
        <f>IF($B909&lt;&gt;"",_xlfn.IFNA(VLOOKUP($B909,'Node Details'!$B:$U,E$1,0),"Check"),"")</f>
        <v>Airtel</v>
      </c>
      <c r="F909" s="76">
        <v>46114</v>
      </c>
      <c r="G909" s="74"/>
      <c r="H909" s="10" t="s">
        <v>1250</v>
      </c>
      <c r="I909" s="9">
        <v>2</v>
      </c>
      <c r="J909" s="9">
        <v>150</v>
      </c>
      <c r="K909" s="77">
        <f t="shared" si="78"/>
        <v>300</v>
      </c>
      <c r="L909" s="76">
        <v>46112</v>
      </c>
      <c r="N909" s="83"/>
      <c r="O909" s="84"/>
      <c r="P909" s="81"/>
      <c r="Q909" s="81"/>
      <c r="R909" s="81"/>
      <c r="S909" s="81"/>
      <c r="T909" s="85"/>
      <c r="U909" s="81"/>
      <c r="V909" s="81"/>
      <c r="W909" s="123">
        <f t="shared" si="79"/>
        <v>0</v>
      </c>
      <c r="X909" s="123" t="s">
        <v>84</v>
      </c>
      <c r="Y909" s="114" t="s">
        <v>93</v>
      </c>
    </row>
    <row r="910" spans="1:25" s="24" customFormat="1" ht="11.1" customHeight="1">
      <c r="A910" s="74">
        <f t="shared" si="80"/>
        <v>908</v>
      </c>
      <c r="B910" s="75" t="s">
        <v>1061</v>
      </c>
      <c r="C910" s="74" t="str">
        <f>IF($B910&lt;&gt;"",_xlfn.IFNA(VLOOKUP($B910,'Node Details'!$B:$U,C$1,0),"Check"),"")</f>
        <v>0000AXW03-AXW030104</v>
      </c>
      <c r="D910" s="74" t="str">
        <f>IF($B910&lt;&gt;"",_xlfn.IFNA(VLOOKUP($B910,'Node Details'!$B:$U,D$1,0),"Check"),"")</f>
        <v>AXW</v>
      </c>
      <c r="E910" s="74" t="str">
        <f>IF($B910&lt;&gt;"",_xlfn.IFNA(VLOOKUP($B910,'Node Details'!$B:$U,E$1,0),"Check"),"")</f>
        <v>Airtel</v>
      </c>
      <c r="F910" s="76">
        <v>46114</v>
      </c>
      <c r="G910" s="74"/>
      <c r="H910" s="10" t="s">
        <v>1250</v>
      </c>
      <c r="I910" s="9">
        <v>2</v>
      </c>
      <c r="J910" s="9">
        <v>150</v>
      </c>
      <c r="K910" s="77">
        <f t="shared" si="78"/>
        <v>300</v>
      </c>
      <c r="L910" s="76">
        <v>46112</v>
      </c>
      <c r="N910" s="83"/>
      <c r="O910" s="84"/>
      <c r="P910" s="81"/>
      <c r="Q910" s="81"/>
      <c r="R910" s="81"/>
      <c r="S910" s="81"/>
      <c r="T910" s="85"/>
      <c r="U910" s="81"/>
      <c r="V910" s="81"/>
      <c r="W910" s="123">
        <f t="shared" si="79"/>
        <v>0</v>
      </c>
      <c r="X910" s="123" t="s">
        <v>84</v>
      </c>
      <c r="Y910" s="114" t="s">
        <v>93</v>
      </c>
    </row>
    <row r="911" spans="1:25" s="24" customFormat="1" ht="11.1" customHeight="1">
      <c r="A911" s="74">
        <f t="shared" si="80"/>
        <v>909</v>
      </c>
      <c r="B911" s="75" t="s">
        <v>408</v>
      </c>
      <c r="C911" s="74" t="str">
        <f>IF($B911&lt;&gt;"",_xlfn.IFNA(VLOOKUP($B911,'Node Details'!$B:$U,C$1,0),"Check"),"")</f>
        <v>0000AXW03-AXW030104</v>
      </c>
      <c r="D911" s="74" t="str">
        <f>IF($B911&lt;&gt;"",_xlfn.IFNA(VLOOKUP($B911,'Node Details'!$B:$U,D$1,0),"Check"),"")</f>
        <v>AXW</v>
      </c>
      <c r="E911" s="74" t="str">
        <f>IF($B911&lt;&gt;"",_xlfn.IFNA(VLOOKUP($B911,'Node Details'!$B:$U,E$1,0),"Check"),"")</f>
        <v>Airtel</v>
      </c>
      <c r="F911" s="76">
        <v>46114</v>
      </c>
      <c r="G911" s="74"/>
      <c r="H911" s="10" t="s">
        <v>1250</v>
      </c>
      <c r="I911" s="9">
        <v>2</v>
      </c>
      <c r="J911" s="9">
        <v>150</v>
      </c>
      <c r="K911" s="77">
        <f t="shared" ref="K911:K974" si="81">IF(I911&lt;&gt;"",J911*I911,0)</f>
        <v>300</v>
      </c>
      <c r="L911" s="76">
        <v>46112</v>
      </c>
      <c r="N911" s="83"/>
      <c r="O911" s="84"/>
      <c r="P911" s="81"/>
      <c r="Q911" s="81"/>
      <c r="R911" s="81"/>
      <c r="S911" s="81"/>
      <c r="T911" s="85"/>
      <c r="U911" s="81"/>
      <c r="V911" s="81"/>
      <c r="W911" s="123">
        <f t="shared" ref="W911:W974" si="82">IF(V911&lt;&gt;"",V911*U911,0)</f>
        <v>0</v>
      </c>
      <c r="X911" s="123" t="s">
        <v>84</v>
      </c>
      <c r="Y911" s="114" t="s">
        <v>93</v>
      </c>
    </row>
    <row r="912" spans="1:25" s="24" customFormat="1" ht="11.1" customHeight="1">
      <c r="A912" s="74">
        <f t="shared" si="80"/>
        <v>910</v>
      </c>
      <c r="B912" s="75" t="s">
        <v>410</v>
      </c>
      <c r="C912" s="74" t="str">
        <f>IF($B912&lt;&gt;"",_xlfn.IFNA(VLOOKUP($B912,'Node Details'!$B:$U,C$1,0),"Check"),"")</f>
        <v>AXW030104-AXW030105</v>
      </c>
      <c r="D912" s="74" t="str">
        <f>IF($B912&lt;&gt;"",_xlfn.IFNA(VLOOKUP($B912,'Node Details'!$B:$U,D$1,0),"Check"),"")</f>
        <v>AXW</v>
      </c>
      <c r="E912" s="74" t="str">
        <f>IF($B912&lt;&gt;"",_xlfn.IFNA(VLOOKUP($B912,'Node Details'!$B:$U,E$1,0),"Check"),"")</f>
        <v>Airtel</v>
      </c>
      <c r="F912" s="76">
        <v>46114</v>
      </c>
      <c r="G912" s="74"/>
      <c r="H912" s="10" t="s">
        <v>1250</v>
      </c>
      <c r="I912" s="9">
        <v>2</v>
      </c>
      <c r="J912" s="9">
        <v>150</v>
      </c>
      <c r="K912" s="77">
        <f t="shared" si="81"/>
        <v>300</v>
      </c>
      <c r="L912" s="76">
        <v>46112</v>
      </c>
      <c r="N912" s="83"/>
      <c r="O912" s="84"/>
      <c r="P912" s="81"/>
      <c r="Q912" s="81"/>
      <c r="R912" s="81"/>
      <c r="S912" s="81"/>
      <c r="T912" s="85"/>
      <c r="U912" s="81"/>
      <c r="V912" s="81"/>
      <c r="W912" s="123">
        <f t="shared" si="82"/>
        <v>0</v>
      </c>
      <c r="X912" s="123" t="s">
        <v>84</v>
      </c>
      <c r="Y912" s="114" t="s">
        <v>93</v>
      </c>
    </row>
    <row r="913" spans="1:25" s="24" customFormat="1" ht="11.1" customHeight="1">
      <c r="A913" s="74">
        <f t="shared" si="80"/>
        <v>911</v>
      </c>
      <c r="B913" s="75" t="s">
        <v>1062</v>
      </c>
      <c r="C913" s="74" t="str">
        <f>IF($B913&lt;&gt;"",_xlfn.IFNA(VLOOKUP($B913,'Node Details'!$B:$U,C$1,0),"Check"),"")</f>
        <v>AXW030104-AXW030108</v>
      </c>
      <c r="D913" s="74" t="str">
        <f>IF($B913&lt;&gt;"",_xlfn.IFNA(VLOOKUP($B913,'Node Details'!$B:$U,D$1,0),"Check"),"")</f>
        <v>AXW</v>
      </c>
      <c r="E913" s="74" t="str">
        <f>IF($B913&lt;&gt;"",_xlfn.IFNA(VLOOKUP($B913,'Node Details'!$B:$U,E$1,0),"Check"),"")</f>
        <v>Airtel</v>
      </c>
      <c r="F913" s="76">
        <v>46114</v>
      </c>
      <c r="G913" s="74"/>
      <c r="H913" s="10" t="s">
        <v>1250</v>
      </c>
      <c r="I913" s="9">
        <v>2</v>
      </c>
      <c r="J913" s="9">
        <v>150</v>
      </c>
      <c r="K913" s="77">
        <f t="shared" si="81"/>
        <v>300</v>
      </c>
      <c r="L913" s="76">
        <v>46112</v>
      </c>
      <c r="N913" s="83"/>
      <c r="O913" s="84"/>
      <c r="P913" s="81"/>
      <c r="Q913" s="81"/>
      <c r="R913" s="81"/>
      <c r="S913" s="81"/>
      <c r="T913" s="85"/>
      <c r="U913" s="81"/>
      <c r="V913" s="81"/>
      <c r="W913" s="123">
        <f t="shared" si="82"/>
        <v>0</v>
      </c>
      <c r="X913" s="123" t="s">
        <v>84</v>
      </c>
      <c r="Y913" s="114" t="s">
        <v>93</v>
      </c>
    </row>
    <row r="914" spans="1:25" s="24" customFormat="1" ht="11.1" customHeight="1">
      <c r="A914" s="74">
        <f t="shared" si="80"/>
        <v>912</v>
      </c>
      <c r="B914" s="75" t="s">
        <v>412</v>
      </c>
      <c r="C914" s="74" t="str">
        <f>IF($B914&lt;&gt;"",_xlfn.IFNA(VLOOKUP($B914,'Node Details'!$B:$U,C$1,0),"Check"),"")</f>
        <v>AXW030104-AXW030108</v>
      </c>
      <c r="D914" s="74" t="str">
        <f>IF($B914&lt;&gt;"",_xlfn.IFNA(VLOOKUP($B914,'Node Details'!$B:$U,D$1,0),"Check"),"")</f>
        <v>AXW</v>
      </c>
      <c r="E914" s="74" t="str">
        <f>IF($B914&lt;&gt;"",_xlfn.IFNA(VLOOKUP($B914,'Node Details'!$B:$U,E$1,0),"Check"),"")</f>
        <v>Airtel</v>
      </c>
      <c r="F914" s="76">
        <v>46114</v>
      </c>
      <c r="G914" s="74"/>
      <c r="H914" s="10" t="s">
        <v>1250</v>
      </c>
      <c r="I914" s="9">
        <v>2</v>
      </c>
      <c r="J914" s="9">
        <v>150</v>
      </c>
      <c r="K914" s="77">
        <f t="shared" si="81"/>
        <v>300</v>
      </c>
      <c r="L914" s="76">
        <v>46112</v>
      </c>
      <c r="N914" s="83"/>
      <c r="O914" s="84"/>
      <c r="P914" s="81"/>
      <c r="Q914" s="81"/>
      <c r="R914" s="81"/>
      <c r="S914" s="81"/>
      <c r="T914" s="85"/>
      <c r="U914" s="81"/>
      <c r="V914" s="81"/>
      <c r="W914" s="123">
        <f t="shared" si="82"/>
        <v>0</v>
      </c>
      <c r="X914" s="123" t="s">
        <v>84</v>
      </c>
      <c r="Y914" s="114" t="s">
        <v>93</v>
      </c>
    </row>
    <row r="915" spans="1:25" s="24" customFormat="1" ht="11.1" customHeight="1">
      <c r="A915" s="74">
        <f t="shared" si="80"/>
        <v>913</v>
      </c>
      <c r="B915" s="75" t="s">
        <v>414</v>
      </c>
      <c r="C915" s="74" t="str">
        <f>IF($B915&lt;&gt;"",_xlfn.IFNA(VLOOKUP($B915,'Node Details'!$B:$U,C$1,0),"Check"),"")</f>
        <v>000000AXW-0000AXW05</v>
      </c>
      <c r="D915" s="74" t="str">
        <f>IF($B915&lt;&gt;"",_xlfn.IFNA(VLOOKUP($B915,'Node Details'!$B:$U,D$1,0),"Check"),"")</f>
        <v>AXW</v>
      </c>
      <c r="E915" s="74" t="str">
        <f>IF($B915&lt;&gt;"",_xlfn.IFNA(VLOOKUP($B915,'Node Details'!$B:$U,E$1,0),"Check"),"")</f>
        <v>Airtel</v>
      </c>
      <c r="F915" s="76">
        <v>46114</v>
      </c>
      <c r="G915" s="74"/>
      <c r="H915" s="10" t="s">
        <v>1250</v>
      </c>
      <c r="I915" s="9">
        <v>2</v>
      </c>
      <c r="J915" s="9">
        <v>150</v>
      </c>
      <c r="K915" s="77">
        <f t="shared" si="81"/>
        <v>300</v>
      </c>
      <c r="L915" s="76">
        <v>46112</v>
      </c>
      <c r="N915" s="83"/>
      <c r="O915" s="84"/>
      <c r="P915" s="81"/>
      <c r="Q915" s="81"/>
      <c r="R915" s="81"/>
      <c r="S915" s="81"/>
      <c r="T915" s="85"/>
      <c r="U915" s="81"/>
      <c r="V915" s="81"/>
      <c r="W915" s="123">
        <f t="shared" si="82"/>
        <v>0</v>
      </c>
      <c r="X915" s="123" t="s">
        <v>84</v>
      </c>
      <c r="Y915" s="114" t="s">
        <v>93</v>
      </c>
    </row>
    <row r="916" spans="1:25" s="24" customFormat="1" ht="11.1" customHeight="1">
      <c r="A916" s="74">
        <f t="shared" si="80"/>
        <v>914</v>
      </c>
      <c r="B916" s="75" t="s">
        <v>1063</v>
      </c>
      <c r="C916" s="74" t="str">
        <f>IF($B916&lt;&gt;"",_xlfn.IFNA(VLOOKUP($B916,'Node Details'!$B:$U,C$1,0),"Check"),"")</f>
        <v>0000AXW04-AXW040102</v>
      </c>
      <c r="D916" s="74" t="str">
        <f>IF($B916&lt;&gt;"",_xlfn.IFNA(VLOOKUP($B916,'Node Details'!$B:$U,D$1,0),"Check"),"")</f>
        <v>AXW</v>
      </c>
      <c r="E916" s="74" t="str">
        <f>IF($B916&lt;&gt;"",_xlfn.IFNA(VLOOKUP($B916,'Node Details'!$B:$U,E$1,0),"Check"),"")</f>
        <v>Airtel</v>
      </c>
      <c r="F916" s="76">
        <v>46114</v>
      </c>
      <c r="G916" s="74"/>
      <c r="H916" s="10" t="s">
        <v>1250</v>
      </c>
      <c r="I916" s="9">
        <v>2</v>
      </c>
      <c r="J916" s="9">
        <v>150</v>
      </c>
      <c r="K916" s="77">
        <f t="shared" si="81"/>
        <v>300</v>
      </c>
      <c r="L916" s="76">
        <v>46112</v>
      </c>
      <c r="N916" s="83"/>
      <c r="O916" s="84"/>
      <c r="P916" s="81"/>
      <c r="Q916" s="81"/>
      <c r="R916" s="81"/>
      <c r="S916" s="81"/>
      <c r="T916" s="85"/>
      <c r="U916" s="81"/>
      <c r="V916" s="81"/>
      <c r="W916" s="123">
        <f t="shared" si="82"/>
        <v>0</v>
      </c>
      <c r="X916" s="123" t="s">
        <v>84</v>
      </c>
      <c r="Y916" s="114" t="s">
        <v>93</v>
      </c>
    </row>
    <row r="917" spans="1:25" s="24" customFormat="1" ht="11.1" customHeight="1">
      <c r="A917" s="74">
        <f t="shared" si="80"/>
        <v>915</v>
      </c>
      <c r="B917" s="75" t="s">
        <v>415</v>
      </c>
      <c r="C917" s="74" t="str">
        <f>IF($B917&lt;&gt;"",_xlfn.IFNA(VLOOKUP($B917,'Node Details'!$B:$U,C$1,0),"Check"),"")</f>
        <v>0000AXW04-AXW040102</v>
      </c>
      <c r="D917" s="74" t="str">
        <f>IF($B917&lt;&gt;"",_xlfn.IFNA(VLOOKUP($B917,'Node Details'!$B:$U,D$1,0),"Check"),"")</f>
        <v>AXW</v>
      </c>
      <c r="E917" s="74" t="str">
        <f>IF($B917&lt;&gt;"",_xlfn.IFNA(VLOOKUP($B917,'Node Details'!$B:$U,E$1,0),"Check"),"")</f>
        <v>Airtel</v>
      </c>
      <c r="F917" s="76">
        <v>46114</v>
      </c>
      <c r="G917" s="74"/>
      <c r="H917" s="10" t="s">
        <v>1250</v>
      </c>
      <c r="I917" s="9">
        <v>2</v>
      </c>
      <c r="J917" s="9">
        <v>150</v>
      </c>
      <c r="K917" s="77">
        <f t="shared" si="81"/>
        <v>300</v>
      </c>
      <c r="L917" s="76">
        <v>46112</v>
      </c>
      <c r="N917" s="83"/>
      <c r="O917" s="84"/>
      <c r="P917" s="81"/>
      <c r="Q917" s="81"/>
      <c r="R917" s="81"/>
      <c r="S917" s="81"/>
      <c r="T917" s="85"/>
      <c r="U917" s="81"/>
      <c r="V917" s="81"/>
      <c r="W917" s="123">
        <f t="shared" si="82"/>
        <v>0</v>
      </c>
      <c r="X917" s="123" t="s">
        <v>84</v>
      </c>
      <c r="Y917" s="114" t="s">
        <v>93</v>
      </c>
    </row>
    <row r="918" spans="1:25" s="24" customFormat="1" ht="11.1" customHeight="1">
      <c r="A918" s="74">
        <f t="shared" si="80"/>
        <v>916</v>
      </c>
      <c r="B918" s="75" t="s">
        <v>1064</v>
      </c>
      <c r="C918" s="74" t="str">
        <f>IF($B918&lt;&gt;"",_xlfn.IFNA(VLOOKUP($B918,'Node Details'!$B:$U,C$1,0),"Check"),"")</f>
        <v>0000AXW04-AXW040105</v>
      </c>
      <c r="D918" s="74" t="str">
        <f>IF($B918&lt;&gt;"",_xlfn.IFNA(VLOOKUP($B918,'Node Details'!$B:$U,D$1,0),"Check"),"")</f>
        <v>AXW</v>
      </c>
      <c r="E918" s="74" t="str">
        <f>IF($B918&lt;&gt;"",_xlfn.IFNA(VLOOKUP($B918,'Node Details'!$B:$U,E$1,0),"Check"),"")</f>
        <v>Airtel</v>
      </c>
      <c r="F918" s="76">
        <v>46114</v>
      </c>
      <c r="G918" s="74"/>
      <c r="H918" s="10" t="s">
        <v>1250</v>
      </c>
      <c r="I918" s="9">
        <v>2</v>
      </c>
      <c r="J918" s="9">
        <v>150</v>
      </c>
      <c r="K918" s="77">
        <f t="shared" si="81"/>
        <v>300</v>
      </c>
      <c r="L918" s="76">
        <v>46112</v>
      </c>
      <c r="N918" s="83"/>
      <c r="O918" s="84"/>
      <c r="P918" s="81"/>
      <c r="Q918" s="81"/>
      <c r="R918" s="81"/>
      <c r="S918" s="81"/>
      <c r="T918" s="85"/>
      <c r="U918" s="81"/>
      <c r="V918" s="81"/>
      <c r="W918" s="123">
        <f t="shared" si="82"/>
        <v>0</v>
      </c>
      <c r="X918" s="123" t="s">
        <v>84</v>
      </c>
      <c r="Y918" s="114" t="s">
        <v>93</v>
      </c>
    </row>
    <row r="919" spans="1:25" s="24" customFormat="1" ht="11.1" customHeight="1">
      <c r="A919" s="74">
        <f t="shared" si="80"/>
        <v>917</v>
      </c>
      <c r="B919" s="75" t="s">
        <v>417</v>
      </c>
      <c r="C919" s="74" t="str">
        <f>IF($B919&lt;&gt;"",_xlfn.IFNA(VLOOKUP($B919,'Node Details'!$B:$U,C$1,0),"Check"),"")</f>
        <v>0000AXW04-AXW040105</v>
      </c>
      <c r="D919" s="74" t="str">
        <f>IF($B919&lt;&gt;"",_xlfn.IFNA(VLOOKUP($B919,'Node Details'!$B:$U,D$1,0),"Check"),"")</f>
        <v>AXW</v>
      </c>
      <c r="E919" s="74" t="str">
        <f>IF($B919&lt;&gt;"",_xlfn.IFNA(VLOOKUP($B919,'Node Details'!$B:$U,E$1,0),"Check"),"")</f>
        <v>Airtel</v>
      </c>
      <c r="F919" s="76">
        <v>46114</v>
      </c>
      <c r="G919" s="74"/>
      <c r="H919" s="10" t="s">
        <v>1250</v>
      </c>
      <c r="I919" s="9">
        <v>2</v>
      </c>
      <c r="J919" s="9">
        <v>150</v>
      </c>
      <c r="K919" s="77">
        <f t="shared" si="81"/>
        <v>300</v>
      </c>
      <c r="L919" s="76">
        <v>46112</v>
      </c>
      <c r="N919" s="83"/>
      <c r="O919" s="84"/>
      <c r="P919" s="81"/>
      <c r="Q919" s="81"/>
      <c r="R919" s="81"/>
      <c r="S919" s="81"/>
      <c r="T919" s="85"/>
      <c r="U919" s="81"/>
      <c r="V919" s="81"/>
      <c r="W919" s="123">
        <f t="shared" si="82"/>
        <v>0</v>
      </c>
      <c r="X919" s="123" t="s">
        <v>84</v>
      </c>
      <c r="Y919" s="114" t="s">
        <v>93</v>
      </c>
    </row>
    <row r="920" spans="1:25" s="24" customFormat="1" ht="11.1" customHeight="1">
      <c r="A920" s="74">
        <f t="shared" si="80"/>
        <v>918</v>
      </c>
      <c r="B920" s="75" t="s">
        <v>1065</v>
      </c>
      <c r="C920" s="74" t="str">
        <f>IF($B920&lt;&gt;"",_xlfn.IFNA(VLOOKUP($B920,'Node Details'!$B:$U,C$1,0),"Check"),"")</f>
        <v>00AXW-FMS-AXW040201</v>
      </c>
      <c r="D920" s="74" t="str">
        <f>IF($B920&lt;&gt;"",_xlfn.IFNA(VLOOKUP($B920,'Node Details'!$B:$U,D$1,0),"Check"),"")</f>
        <v>AXW</v>
      </c>
      <c r="E920" s="74" t="str">
        <f>IF($B920&lt;&gt;"",_xlfn.IFNA(VLOOKUP($B920,'Node Details'!$B:$U,E$1,0),"Check"),"")</f>
        <v>Airtel</v>
      </c>
      <c r="F920" s="76">
        <v>46114</v>
      </c>
      <c r="G920" s="74"/>
      <c r="H920" s="10" t="s">
        <v>1250</v>
      </c>
      <c r="I920" s="9">
        <v>2</v>
      </c>
      <c r="J920" s="9">
        <v>150</v>
      </c>
      <c r="K920" s="77">
        <f t="shared" si="81"/>
        <v>300</v>
      </c>
      <c r="L920" s="76">
        <v>46112</v>
      </c>
      <c r="N920" s="83"/>
      <c r="O920" s="84"/>
      <c r="P920" s="81"/>
      <c r="Q920" s="81"/>
      <c r="R920" s="81"/>
      <c r="S920" s="81"/>
      <c r="T920" s="85"/>
      <c r="U920" s="81"/>
      <c r="V920" s="81"/>
      <c r="W920" s="123">
        <f t="shared" si="82"/>
        <v>0</v>
      </c>
      <c r="X920" s="123" t="s">
        <v>84</v>
      </c>
      <c r="Y920" s="114" t="s">
        <v>93</v>
      </c>
    </row>
    <row r="921" spans="1:25" s="24" customFormat="1" ht="11.1" customHeight="1">
      <c r="A921" s="74">
        <f t="shared" si="80"/>
        <v>919</v>
      </c>
      <c r="B921" s="75" t="s">
        <v>1066</v>
      </c>
      <c r="C921" s="74" t="str">
        <f>IF($B921&lt;&gt;"",_xlfn.IFNA(VLOOKUP($B921,'Node Details'!$B:$U,C$1,0),"Check"),"")</f>
        <v>00AXW-FMS-AXW040201</v>
      </c>
      <c r="D921" s="74" t="str">
        <f>IF($B921&lt;&gt;"",_xlfn.IFNA(VLOOKUP($B921,'Node Details'!$B:$U,D$1,0),"Check"),"")</f>
        <v>AXW</v>
      </c>
      <c r="E921" s="74" t="str">
        <f>IF($B921&lt;&gt;"",_xlfn.IFNA(VLOOKUP($B921,'Node Details'!$B:$U,E$1,0),"Check"),"")</f>
        <v>Airtel</v>
      </c>
      <c r="F921" s="76">
        <v>46114</v>
      </c>
      <c r="G921" s="74"/>
      <c r="H921" s="10" t="s">
        <v>1250</v>
      </c>
      <c r="I921" s="9">
        <v>2</v>
      </c>
      <c r="J921" s="9">
        <v>150</v>
      </c>
      <c r="K921" s="77">
        <f t="shared" si="81"/>
        <v>300</v>
      </c>
      <c r="L921" s="76">
        <v>46112</v>
      </c>
      <c r="N921" s="83"/>
      <c r="O921" s="84"/>
      <c r="P921" s="81"/>
      <c r="Q921" s="81"/>
      <c r="R921" s="81"/>
      <c r="S921" s="81"/>
      <c r="T921" s="85"/>
      <c r="U921" s="81"/>
      <c r="V921" s="81"/>
      <c r="W921" s="123">
        <f t="shared" si="82"/>
        <v>0</v>
      </c>
      <c r="X921" s="123" t="s">
        <v>84</v>
      </c>
      <c r="Y921" s="114" t="s">
        <v>93</v>
      </c>
    </row>
    <row r="922" spans="1:25" s="24" customFormat="1" ht="11.1" customHeight="1">
      <c r="A922" s="74">
        <f t="shared" si="80"/>
        <v>920</v>
      </c>
      <c r="B922" s="75" t="s">
        <v>1067</v>
      </c>
      <c r="C922" s="74" t="str">
        <f>IF($B922&lt;&gt;"",_xlfn.IFNA(VLOOKUP($B922,'Node Details'!$B:$U,C$1,0),"Check"),"")</f>
        <v>00AXW-FMS-AXW040201</v>
      </c>
      <c r="D922" s="74" t="str">
        <f>IF($B922&lt;&gt;"",_xlfn.IFNA(VLOOKUP($B922,'Node Details'!$B:$U,D$1,0),"Check"),"")</f>
        <v>AXW</v>
      </c>
      <c r="E922" s="74" t="str">
        <f>IF($B922&lt;&gt;"",_xlfn.IFNA(VLOOKUP($B922,'Node Details'!$B:$U,E$1,0),"Check"),"")</f>
        <v>Airtel</v>
      </c>
      <c r="F922" s="76">
        <v>46114</v>
      </c>
      <c r="G922" s="74"/>
      <c r="H922" s="10" t="s">
        <v>1250</v>
      </c>
      <c r="I922" s="9">
        <v>2</v>
      </c>
      <c r="J922" s="9">
        <v>150</v>
      </c>
      <c r="K922" s="77">
        <f t="shared" si="81"/>
        <v>300</v>
      </c>
      <c r="L922" s="76">
        <v>46112</v>
      </c>
      <c r="N922" s="83"/>
      <c r="O922" s="84"/>
      <c r="P922" s="81"/>
      <c r="Q922" s="81"/>
      <c r="R922" s="81"/>
      <c r="S922" s="81"/>
      <c r="T922" s="85"/>
      <c r="U922" s="81"/>
      <c r="V922" s="81"/>
      <c r="W922" s="123">
        <f t="shared" si="82"/>
        <v>0</v>
      </c>
      <c r="X922" s="123" t="s">
        <v>84</v>
      </c>
      <c r="Y922" s="114" t="s">
        <v>93</v>
      </c>
    </row>
    <row r="923" spans="1:25" s="24" customFormat="1" ht="11.1" customHeight="1">
      <c r="A923" s="74">
        <f t="shared" si="80"/>
        <v>921</v>
      </c>
      <c r="B923" s="75" t="s">
        <v>420</v>
      </c>
      <c r="C923" s="74" t="str">
        <f>IF($B923&lt;&gt;"",_xlfn.IFNA(VLOOKUP($B923,'Node Details'!$B:$U,C$1,0),"Check"),"")</f>
        <v>00AXW-FMS-AXW040201</v>
      </c>
      <c r="D923" s="74" t="str">
        <f>IF($B923&lt;&gt;"",_xlfn.IFNA(VLOOKUP($B923,'Node Details'!$B:$U,D$1,0),"Check"),"")</f>
        <v>AXW</v>
      </c>
      <c r="E923" s="74" t="str">
        <f>IF($B923&lt;&gt;"",_xlfn.IFNA(VLOOKUP($B923,'Node Details'!$B:$U,E$1,0),"Check"),"")</f>
        <v>Airtel</v>
      </c>
      <c r="F923" s="76">
        <v>46114</v>
      </c>
      <c r="G923" s="74"/>
      <c r="H923" s="10" t="s">
        <v>1250</v>
      </c>
      <c r="I923" s="9">
        <v>2</v>
      </c>
      <c r="J923" s="9">
        <v>150</v>
      </c>
      <c r="K923" s="77">
        <f t="shared" si="81"/>
        <v>300</v>
      </c>
      <c r="L923" s="76">
        <v>46112</v>
      </c>
      <c r="N923" s="83"/>
      <c r="O923" s="84"/>
      <c r="P923" s="81"/>
      <c r="Q923" s="81"/>
      <c r="R923" s="81"/>
      <c r="S923" s="81"/>
      <c r="T923" s="85"/>
      <c r="U923" s="81"/>
      <c r="V923" s="81"/>
      <c r="W923" s="123">
        <f t="shared" si="82"/>
        <v>0</v>
      </c>
      <c r="X923" s="123" t="s">
        <v>84</v>
      </c>
      <c r="Y923" s="114" t="s">
        <v>93</v>
      </c>
    </row>
    <row r="924" spans="1:25" s="24" customFormat="1" ht="11.1" customHeight="1">
      <c r="A924" s="74">
        <f t="shared" si="80"/>
        <v>922</v>
      </c>
      <c r="B924" s="75" t="s">
        <v>422</v>
      </c>
      <c r="C924" s="74" t="str">
        <f>IF($B924&lt;&gt;"",_xlfn.IFNA(VLOOKUP($B924,'Node Details'!$B:$U,C$1,0),"Check"),"")</f>
        <v>00AXW-FMS-AXW040202</v>
      </c>
      <c r="D924" s="74" t="str">
        <f>IF($B924&lt;&gt;"",_xlfn.IFNA(VLOOKUP($B924,'Node Details'!$B:$U,D$1,0),"Check"),"")</f>
        <v>AXW</v>
      </c>
      <c r="E924" s="74" t="str">
        <f>IF($B924&lt;&gt;"",_xlfn.IFNA(VLOOKUP($B924,'Node Details'!$B:$U,E$1,0),"Check"),"")</f>
        <v>Airtel</v>
      </c>
      <c r="F924" s="76">
        <v>46114</v>
      </c>
      <c r="G924" s="74"/>
      <c r="H924" s="10" t="s">
        <v>1250</v>
      </c>
      <c r="I924" s="9">
        <v>2</v>
      </c>
      <c r="J924" s="9">
        <v>150</v>
      </c>
      <c r="K924" s="77">
        <f t="shared" si="81"/>
        <v>300</v>
      </c>
      <c r="L924" s="76">
        <v>46112</v>
      </c>
      <c r="N924" s="83"/>
      <c r="O924" s="84"/>
      <c r="P924" s="81"/>
      <c r="Q924" s="81"/>
      <c r="R924" s="81"/>
      <c r="S924" s="81"/>
      <c r="T924" s="85"/>
      <c r="U924" s="81"/>
      <c r="V924" s="81"/>
      <c r="W924" s="123">
        <f t="shared" si="82"/>
        <v>0</v>
      </c>
      <c r="X924" s="123" t="s">
        <v>84</v>
      </c>
      <c r="Y924" s="114" t="s">
        <v>93</v>
      </c>
    </row>
    <row r="925" spans="1:25" s="24" customFormat="1" ht="11.1" customHeight="1">
      <c r="A925" s="74">
        <f t="shared" si="80"/>
        <v>923</v>
      </c>
      <c r="B925" s="75" t="s">
        <v>372</v>
      </c>
      <c r="C925" s="74" t="str">
        <f>IF($B925&lt;&gt;"",_xlfn.IFNA(VLOOKUP($B925,'Node Details'!$B:$U,C$1,0),"Check"),"")</f>
        <v>000000AXW-0000AXW05</v>
      </c>
      <c r="D925" s="74" t="str">
        <f>IF($B925&lt;&gt;"",_xlfn.IFNA(VLOOKUP($B925,'Node Details'!$B:$U,D$1,0),"Check"),"")</f>
        <v>AXW</v>
      </c>
      <c r="E925" s="74" t="str">
        <f>IF($B925&lt;&gt;"",_xlfn.IFNA(VLOOKUP($B925,'Node Details'!$B:$U,E$1,0),"Check"),"")</f>
        <v>Airtel</v>
      </c>
      <c r="F925" s="76">
        <v>46114</v>
      </c>
      <c r="G925" s="74"/>
      <c r="H925" s="10" t="s">
        <v>1250</v>
      </c>
      <c r="I925" s="9">
        <v>2</v>
      </c>
      <c r="J925" s="9">
        <v>150</v>
      </c>
      <c r="K925" s="77">
        <f t="shared" si="81"/>
        <v>300</v>
      </c>
      <c r="L925" s="76">
        <v>46112</v>
      </c>
      <c r="N925" s="83"/>
      <c r="O925" s="84"/>
      <c r="P925" s="81"/>
      <c r="Q925" s="81"/>
      <c r="R925" s="81"/>
      <c r="S925" s="81"/>
      <c r="T925" s="85"/>
      <c r="U925" s="81"/>
      <c r="V925" s="81"/>
      <c r="W925" s="123">
        <f t="shared" si="82"/>
        <v>0</v>
      </c>
      <c r="X925" s="123" t="s">
        <v>84</v>
      </c>
      <c r="Y925" s="114" t="s">
        <v>93</v>
      </c>
    </row>
    <row r="926" spans="1:25" s="24" customFormat="1" ht="11.1" customHeight="1">
      <c r="A926" s="74">
        <f t="shared" si="80"/>
        <v>924</v>
      </c>
      <c r="B926" s="75" t="s">
        <v>424</v>
      </c>
      <c r="C926" s="74" t="str">
        <f>IF($B926&lt;&gt;"",_xlfn.IFNA(VLOOKUP($B926,'Node Details'!$B:$U,C$1,0),"Check"),"")</f>
        <v>0000AXW05-AXW050101</v>
      </c>
      <c r="D926" s="74" t="str">
        <f>IF($B926&lt;&gt;"",_xlfn.IFNA(VLOOKUP($B926,'Node Details'!$B:$U,D$1,0),"Check"),"")</f>
        <v>AXW</v>
      </c>
      <c r="E926" s="74" t="str">
        <f>IF($B926&lt;&gt;"",_xlfn.IFNA(VLOOKUP($B926,'Node Details'!$B:$U,E$1,0),"Check"),"")</f>
        <v>Airtel</v>
      </c>
      <c r="F926" s="76">
        <v>46114</v>
      </c>
      <c r="G926" s="74"/>
      <c r="H926" s="10" t="s">
        <v>1250</v>
      </c>
      <c r="I926" s="9">
        <v>2</v>
      </c>
      <c r="J926" s="9">
        <v>150</v>
      </c>
      <c r="K926" s="77">
        <f t="shared" si="81"/>
        <v>300</v>
      </c>
      <c r="L926" s="76">
        <v>46112</v>
      </c>
      <c r="N926" s="83"/>
      <c r="O926" s="84"/>
      <c r="P926" s="81"/>
      <c r="Q926" s="81"/>
      <c r="R926" s="81"/>
      <c r="S926" s="81"/>
      <c r="T926" s="85"/>
      <c r="U926" s="81"/>
      <c r="V926" s="81"/>
      <c r="W926" s="123">
        <f t="shared" si="82"/>
        <v>0</v>
      </c>
      <c r="X926" s="123" t="s">
        <v>84</v>
      </c>
      <c r="Y926" s="114" t="s">
        <v>93</v>
      </c>
    </row>
    <row r="927" spans="1:25" s="24" customFormat="1" ht="11.1" customHeight="1">
      <c r="A927" s="74">
        <f t="shared" si="80"/>
        <v>925</v>
      </c>
      <c r="B927" s="75" t="s">
        <v>426</v>
      </c>
      <c r="C927" s="74" t="str">
        <f>IF($B927&lt;&gt;"",_xlfn.IFNA(VLOOKUP($B927,'Node Details'!$B:$U,C$1,0),"Check"),"")</f>
        <v>0000AXW05-AXW050102</v>
      </c>
      <c r="D927" s="74" t="str">
        <f>IF($B927&lt;&gt;"",_xlfn.IFNA(VLOOKUP($B927,'Node Details'!$B:$U,D$1,0),"Check"),"")</f>
        <v>AXW</v>
      </c>
      <c r="E927" s="74" t="str">
        <f>IF($B927&lt;&gt;"",_xlfn.IFNA(VLOOKUP($B927,'Node Details'!$B:$U,E$1,0),"Check"),"")</f>
        <v>Airtel</v>
      </c>
      <c r="F927" s="76">
        <v>46114</v>
      </c>
      <c r="G927" s="74"/>
      <c r="H927" s="10" t="s">
        <v>1250</v>
      </c>
      <c r="I927" s="9">
        <v>2</v>
      </c>
      <c r="J927" s="9">
        <v>150</v>
      </c>
      <c r="K927" s="77">
        <f t="shared" si="81"/>
        <v>300</v>
      </c>
      <c r="L927" s="76">
        <v>46112</v>
      </c>
      <c r="N927" s="83"/>
      <c r="O927" s="84"/>
      <c r="P927" s="81"/>
      <c r="Q927" s="81"/>
      <c r="R927" s="81"/>
      <c r="S927" s="81"/>
      <c r="T927" s="85"/>
      <c r="U927" s="81"/>
      <c r="V927" s="81"/>
      <c r="W927" s="123">
        <f t="shared" si="82"/>
        <v>0</v>
      </c>
      <c r="X927" s="123" t="s">
        <v>84</v>
      </c>
      <c r="Y927" s="114" t="s">
        <v>93</v>
      </c>
    </row>
    <row r="928" spans="1:25" s="24" customFormat="1" ht="11.1" customHeight="1">
      <c r="A928" s="74">
        <f t="shared" si="80"/>
        <v>926</v>
      </c>
      <c r="B928" s="75" t="s">
        <v>428</v>
      </c>
      <c r="C928" s="74" t="str">
        <f>IF($B928&lt;&gt;"",_xlfn.IFNA(VLOOKUP($B928,'Node Details'!$B:$U,C$1,0),"Check"),"")</f>
        <v>0000AXW05-AXW050105</v>
      </c>
      <c r="D928" s="74" t="str">
        <f>IF($B928&lt;&gt;"",_xlfn.IFNA(VLOOKUP($B928,'Node Details'!$B:$U,D$1,0),"Check"),"")</f>
        <v>AXW</v>
      </c>
      <c r="E928" s="74" t="str">
        <f>IF($B928&lt;&gt;"",_xlfn.IFNA(VLOOKUP($B928,'Node Details'!$B:$U,E$1,0),"Check"),"")</f>
        <v>Airtel</v>
      </c>
      <c r="F928" s="76">
        <v>46114</v>
      </c>
      <c r="G928" s="74"/>
      <c r="H928" s="10" t="s">
        <v>1250</v>
      </c>
      <c r="I928" s="9">
        <v>2</v>
      </c>
      <c r="J928" s="9">
        <v>150</v>
      </c>
      <c r="K928" s="77">
        <f t="shared" si="81"/>
        <v>300</v>
      </c>
      <c r="L928" s="76">
        <v>46112</v>
      </c>
      <c r="N928" s="83"/>
      <c r="O928" s="84"/>
      <c r="P928" s="81"/>
      <c r="Q928" s="81"/>
      <c r="R928" s="81"/>
      <c r="S928" s="81"/>
      <c r="T928" s="85"/>
      <c r="U928" s="81"/>
      <c r="V928" s="81"/>
      <c r="W928" s="123">
        <f t="shared" si="82"/>
        <v>0</v>
      </c>
      <c r="X928" s="123" t="s">
        <v>84</v>
      </c>
      <c r="Y928" s="114" t="s">
        <v>93</v>
      </c>
    </row>
    <row r="929" spans="1:25" s="24" customFormat="1" ht="11.1" customHeight="1">
      <c r="A929" s="74">
        <f t="shared" si="80"/>
        <v>927</v>
      </c>
      <c r="B929" s="75" t="s">
        <v>1068</v>
      </c>
      <c r="C929" s="74" t="str">
        <f>IF($B929&lt;&gt;"",_xlfn.IFNA(VLOOKUP($B929,'Node Details'!$B:$U,C$1,0),"Check"),"")</f>
        <v>0000AXW05-AXW050204</v>
      </c>
      <c r="D929" s="74" t="str">
        <f>IF($B929&lt;&gt;"",_xlfn.IFNA(VLOOKUP($B929,'Node Details'!$B:$U,D$1,0),"Check"),"")</f>
        <v>AXW</v>
      </c>
      <c r="E929" s="74" t="str">
        <f>IF($B929&lt;&gt;"",_xlfn.IFNA(VLOOKUP($B929,'Node Details'!$B:$U,E$1,0),"Check"),"")</f>
        <v>Airtel</v>
      </c>
      <c r="F929" s="76">
        <v>46114</v>
      </c>
      <c r="G929" s="74"/>
      <c r="H929" s="10" t="s">
        <v>1250</v>
      </c>
      <c r="I929" s="9">
        <v>2</v>
      </c>
      <c r="J929" s="9">
        <v>150</v>
      </c>
      <c r="K929" s="77">
        <f t="shared" si="81"/>
        <v>300</v>
      </c>
      <c r="L929" s="76">
        <v>46112</v>
      </c>
      <c r="N929" s="83"/>
      <c r="O929" s="84"/>
      <c r="P929" s="81"/>
      <c r="Q929" s="81"/>
      <c r="R929" s="81"/>
      <c r="S929" s="81"/>
      <c r="T929" s="85"/>
      <c r="U929" s="81"/>
      <c r="V929" s="81"/>
      <c r="W929" s="123">
        <f t="shared" si="82"/>
        <v>0</v>
      </c>
      <c r="X929" s="123" t="s">
        <v>84</v>
      </c>
      <c r="Y929" s="114" t="s">
        <v>93</v>
      </c>
    </row>
    <row r="930" spans="1:25" s="24" customFormat="1" ht="11.1" customHeight="1">
      <c r="A930" s="74">
        <f t="shared" si="80"/>
        <v>928</v>
      </c>
      <c r="B930" s="75" t="s">
        <v>1069</v>
      </c>
      <c r="C930" s="74" t="str">
        <f>IF($B930&lt;&gt;"",_xlfn.IFNA(VLOOKUP($B930,'Node Details'!$B:$U,C$1,0),"Check"),"")</f>
        <v>0000AXW05-AXW050204</v>
      </c>
      <c r="D930" s="74" t="str">
        <f>IF($B930&lt;&gt;"",_xlfn.IFNA(VLOOKUP($B930,'Node Details'!$B:$U,D$1,0),"Check"),"")</f>
        <v>AXW</v>
      </c>
      <c r="E930" s="74" t="str">
        <f>IF($B930&lt;&gt;"",_xlfn.IFNA(VLOOKUP($B930,'Node Details'!$B:$U,E$1,0),"Check"),"")</f>
        <v>Airtel</v>
      </c>
      <c r="F930" s="76">
        <v>46114</v>
      </c>
      <c r="G930" s="74"/>
      <c r="H930" s="10" t="s">
        <v>1250</v>
      </c>
      <c r="I930" s="9">
        <v>2</v>
      </c>
      <c r="J930" s="9">
        <v>150</v>
      </c>
      <c r="K930" s="77">
        <f t="shared" si="81"/>
        <v>300</v>
      </c>
      <c r="L930" s="76">
        <v>46112</v>
      </c>
      <c r="N930" s="83"/>
      <c r="O930" s="84"/>
      <c r="P930" s="81"/>
      <c r="Q930" s="81"/>
      <c r="R930" s="81"/>
      <c r="S930" s="81"/>
      <c r="T930" s="85"/>
      <c r="U930" s="81"/>
      <c r="V930" s="81"/>
      <c r="W930" s="123">
        <f t="shared" si="82"/>
        <v>0</v>
      </c>
      <c r="X930" s="123" t="s">
        <v>84</v>
      </c>
      <c r="Y930" s="114" t="s">
        <v>93</v>
      </c>
    </row>
    <row r="931" spans="1:25" s="24" customFormat="1" ht="11.1" customHeight="1">
      <c r="A931" s="74">
        <f t="shared" si="80"/>
        <v>929</v>
      </c>
      <c r="B931" s="75" t="s">
        <v>1070</v>
      </c>
      <c r="C931" s="74" t="str">
        <f>IF($B931&lt;&gt;"",_xlfn.IFNA(VLOOKUP($B931,'Node Details'!$B:$U,C$1,0),"Check"),"")</f>
        <v>0000AXW05-AXW050204</v>
      </c>
      <c r="D931" s="74" t="str">
        <f>IF($B931&lt;&gt;"",_xlfn.IFNA(VLOOKUP($B931,'Node Details'!$B:$U,D$1,0),"Check"),"")</f>
        <v>AXW</v>
      </c>
      <c r="E931" s="74" t="str">
        <f>IF($B931&lt;&gt;"",_xlfn.IFNA(VLOOKUP($B931,'Node Details'!$B:$U,E$1,0),"Check"),"")</f>
        <v>Airtel</v>
      </c>
      <c r="F931" s="76">
        <v>46114</v>
      </c>
      <c r="G931" s="74"/>
      <c r="H931" s="10" t="s">
        <v>1250</v>
      </c>
      <c r="I931" s="9">
        <v>2</v>
      </c>
      <c r="J931" s="9">
        <v>150</v>
      </c>
      <c r="K931" s="77">
        <f t="shared" si="81"/>
        <v>300</v>
      </c>
      <c r="L931" s="76">
        <v>46112</v>
      </c>
      <c r="N931" s="83"/>
      <c r="O931" s="84"/>
      <c r="P931" s="81"/>
      <c r="Q931" s="81"/>
      <c r="R931" s="81"/>
      <c r="S931" s="81"/>
      <c r="T931" s="85"/>
      <c r="U931" s="81"/>
      <c r="V931" s="81"/>
      <c r="W931" s="123">
        <f t="shared" si="82"/>
        <v>0</v>
      </c>
      <c r="X931" s="123" t="s">
        <v>84</v>
      </c>
      <c r="Y931" s="114" t="s">
        <v>93</v>
      </c>
    </row>
    <row r="932" spans="1:25" s="24" customFormat="1" ht="11.1" customHeight="1">
      <c r="A932" s="74">
        <f t="shared" si="80"/>
        <v>930</v>
      </c>
      <c r="B932" s="75" t="s">
        <v>1071</v>
      </c>
      <c r="C932" s="74" t="str">
        <f>IF($B932&lt;&gt;"",_xlfn.IFNA(VLOOKUP($B932,'Node Details'!$B:$U,C$1,0),"Check"),"")</f>
        <v>0000AXW05-AXW050204</v>
      </c>
      <c r="D932" s="74" t="str">
        <f>IF($B932&lt;&gt;"",_xlfn.IFNA(VLOOKUP($B932,'Node Details'!$B:$U,D$1,0),"Check"),"")</f>
        <v>AXW</v>
      </c>
      <c r="E932" s="74" t="str">
        <f>IF($B932&lt;&gt;"",_xlfn.IFNA(VLOOKUP($B932,'Node Details'!$B:$U,E$1,0),"Check"),"")</f>
        <v>Airtel</v>
      </c>
      <c r="F932" s="76">
        <v>46114</v>
      </c>
      <c r="G932" s="74"/>
      <c r="H932" s="10" t="s">
        <v>1250</v>
      </c>
      <c r="I932" s="9">
        <v>2</v>
      </c>
      <c r="J932" s="9">
        <v>150</v>
      </c>
      <c r="K932" s="77">
        <f t="shared" si="81"/>
        <v>300</v>
      </c>
      <c r="L932" s="76">
        <v>46112</v>
      </c>
      <c r="N932" s="83"/>
      <c r="O932" s="84"/>
      <c r="P932" s="81"/>
      <c r="Q932" s="81"/>
      <c r="R932" s="81"/>
      <c r="S932" s="81"/>
      <c r="T932" s="85"/>
      <c r="U932" s="81"/>
      <c r="V932" s="81"/>
      <c r="W932" s="123">
        <f t="shared" si="82"/>
        <v>0</v>
      </c>
      <c r="X932" s="123" t="s">
        <v>84</v>
      </c>
      <c r="Y932" s="114" t="s">
        <v>93</v>
      </c>
    </row>
    <row r="933" spans="1:25" s="24" customFormat="1" ht="11.1" customHeight="1">
      <c r="A933" s="74">
        <f t="shared" si="80"/>
        <v>931</v>
      </c>
      <c r="B933" s="75" t="s">
        <v>1072</v>
      </c>
      <c r="C933" s="74" t="str">
        <f>IF($B933&lt;&gt;"",_xlfn.IFNA(VLOOKUP($B933,'Node Details'!$B:$U,C$1,0),"Check"),"")</f>
        <v>0000AXW05-AXW050204</v>
      </c>
      <c r="D933" s="74" t="str">
        <f>IF($B933&lt;&gt;"",_xlfn.IFNA(VLOOKUP($B933,'Node Details'!$B:$U,D$1,0),"Check"),"")</f>
        <v>AXW</v>
      </c>
      <c r="E933" s="74" t="str">
        <f>IF($B933&lt;&gt;"",_xlfn.IFNA(VLOOKUP($B933,'Node Details'!$B:$U,E$1,0),"Check"),"")</f>
        <v>Airtel</v>
      </c>
      <c r="F933" s="76">
        <v>46114</v>
      </c>
      <c r="G933" s="74"/>
      <c r="H933" s="10" t="s">
        <v>1250</v>
      </c>
      <c r="I933" s="9">
        <v>2</v>
      </c>
      <c r="J933" s="9">
        <v>150</v>
      </c>
      <c r="K933" s="77">
        <f t="shared" si="81"/>
        <v>300</v>
      </c>
      <c r="L933" s="76">
        <v>46112</v>
      </c>
      <c r="N933" s="83"/>
      <c r="O933" s="84"/>
      <c r="P933" s="81"/>
      <c r="Q933" s="81"/>
      <c r="R933" s="81"/>
      <c r="S933" s="81"/>
      <c r="T933" s="85"/>
      <c r="U933" s="81"/>
      <c r="V933" s="81"/>
      <c r="W933" s="123">
        <f t="shared" si="82"/>
        <v>0</v>
      </c>
      <c r="X933" s="123" t="s">
        <v>84</v>
      </c>
      <c r="Y933" s="114" t="s">
        <v>93</v>
      </c>
    </row>
    <row r="934" spans="1:25" s="24" customFormat="1" ht="11.1" customHeight="1">
      <c r="A934" s="74">
        <f t="shared" si="80"/>
        <v>932</v>
      </c>
      <c r="B934" s="75" t="s">
        <v>430</v>
      </c>
      <c r="C934" s="74" t="str">
        <f>IF($B934&lt;&gt;"",_xlfn.IFNA(VLOOKUP($B934,'Node Details'!$B:$U,C$1,0),"Check"),"")</f>
        <v>0000AXW05-AXW050204</v>
      </c>
      <c r="D934" s="74" t="str">
        <f>IF($B934&lt;&gt;"",_xlfn.IFNA(VLOOKUP($B934,'Node Details'!$B:$U,D$1,0),"Check"),"")</f>
        <v>AXW</v>
      </c>
      <c r="E934" s="74" t="str">
        <f>IF($B934&lt;&gt;"",_xlfn.IFNA(VLOOKUP($B934,'Node Details'!$B:$U,E$1,0),"Check"),"")</f>
        <v>Airtel</v>
      </c>
      <c r="F934" s="76">
        <v>46114</v>
      </c>
      <c r="G934" s="74"/>
      <c r="H934" s="10" t="s">
        <v>1250</v>
      </c>
      <c r="I934" s="9">
        <v>2</v>
      </c>
      <c r="J934" s="9">
        <v>150</v>
      </c>
      <c r="K934" s="77">
        <f t="shared" si="81"/>
        <v>300</v>
      </c>
      <c r="L934" s="76">
        <v>46112</v>
      </c>
      <c r="N934" s="83"/>
      <c r="O934" s="84"/>
      <c r="P934" s="81"/>
      <c r="Q934" s="81"/>
      <c r="R934" s="81"/>
      <c r="S934" s="81"/>
      <c r="T934" s="85"/>
      <c r="U934" s="81"/>
      <c r="V934" s="81"/>
      <c r="W934" s="123">
        <f t="shared" si="82"/>
        <v>0</v>
      </c>
      <c r="X934" s="123" t="s">
        <v>84</v>
      </c>
      <c r="Y934" s="114" t="s">
        <v>93</v>
      </c>
    </row>
    <row r="935" spans="1:25" s="24" customFormat="1" ht="11.1" customHeight="1">
      <c r="A935" s="74">
        <f t="shared" si="80"/>
        <v>933</v>
      </c>
      <c r="B935" s="75" t="s">
        <v>432</v>
      </c>
      <c r="C935" s="74" t="str">
        <f>IF($B935&lt;&gt;"",_xlfn.IFNA(VLOOKUP($B935,'Node Details'!$B:$U,C$1,0),"Check"),"")</f>
        <v>0000AXW01-0000AXW07</v>
      </c>
      <c r="D935" s="74" t="str">
        <f>IF($B935&lt;&gt;"",_xlfn.IFNA(VLOOKUP($B935,'Node Details'!$B:$U,D$1,0),"Check"),"")</f>
        <v>AXW</v>
      </c>
      <c r="E935" s="74" t="str">
        <f>IF($B935&lt;&gt;"",_xlfn.IFNA(VLOOKUP($B935,'Node Details'!$B:$U,E$1,0),"Check"),"")</f>
        <v>Airtel</v>
      </c>
      <c r="F935" s="76">
        <v>46114</v>
      </c>
      <c r="G935" s="74"/>
      <c r="H935" s="10" t="s">
        <v>1250</v>
      </c>
      <c r="I935" s="9">
        <v>2</v>
      </c>
      <c r="J935" s="9">
        <v>150</v>
      </c>
      <c r="K935" s="77">
        <f t="shared" si="81"/>
        <v>300</v>
      </c>
      <c r="L935" s="76">
        <v>46112</v>
      </c>
      <c r="N935" s="83"/>
      <c r="O935" s="84"/>
      <c r="P935" s="81"/>
      <c r="Q935" s="81"/>
      <c r="R935" s="81"/>
      <c r="S935" s="81"/>
      <c r="T935" s="85"/>
      <c r="U935" s="81"/>
      <c r="V935" s="81"/>
      <c r="W935" s="123">
        <f t="shared" si="82"/>
        <v>0</v>
      </c>
      <c r="X935" s="123" t="s">
        <v>84</v>
      </c>
      <c r="Y935" s="114" t="s">
        <v>93</v>
      </c>
    </row>
    <row r="936" spans="1:25" s="24" customFormat="1" ht="11.1" customHeight="1">
      <c r="A936" s="74">
        <f t="shared" si="80"/>
        <v>934</v>
      </c>
      <c r="B936" s="75" t="s">
        <v>433</v>
      </c>
      <c r="C936" s="74" t="str">
        <f>IF($B936&lt;&gt;"",_xlfn.IFNA(VLOOKUP($B936,'Node Details'!$B:$U,C$1,0),"Check"),"")</f>
        <v>0000AXW06-AXW060101</v>
      </c>
      <c r="D936" s="74" t="str">
        <f>IF($B936&lt;&gt;"",_xlfn.IFNA(VLOOKUP($B936,'Node Details'!$B:$U,D$1,0),"Check"),"")</f>
        <v>AXW</v>
      </c>
      <c r="E936" s="74" t="str">
        <f>IF($B936&lt;&gt;"",_xlfn.IFNA(VLOOKUP($B936,'Node Details'!$B:$U,E$1,0),"Check"),"")</f>
        <v>Airtel</v>
      </c>
      <c r="F936" s="76">
        <v>46114</v>
      </c>
      <c r="G936" s="74"/>
      <c r="H936" s="10" t="s">
        <v>1250</v>
      </c>
      <c r="I936" s="9">
        <v>2</v>
      </c>
      <c r="J936" s="9">
        <v>150</v>
      </c>
      <c r="K936" s="77">
        <f t="shared" si="81"/>
        <v>300</v>
      </c>
      <c r="L936" s="76">
        <v>46112</v>
      </c>
      <c r="N936" s="83"/>
      <c r="O936" s="84"/>
      <c r="P936" s="81"/>
      <c r="Q936" s="81"/>
      <c r="R936" s="81"/>
      <c r="S936" s="81"/>
      <c r="T936" s="85"/>
      <c r="U936" s="81"/>
      <c r="V936" s="81"/>
      <c r="W936" s="123">
        <f t="shared" si="82"/>
        <v>0</v>
      </c>
      <c r="X936" s="123" t="s">
        <v>84</v>
      </c>
      <c r="Y936" s="114" t="s">
        <v>93</v>
      </c>
    </row>
    <row r="937" spans="1:25" s="24" customFormat="1" ht="11.1" customHeight="1">
      <c r="A937" s="74">
        <f t="shared" si="80"/>
        <v>935</v>
      </c>
      <c r="B937" s="75" t="s">
        <v>1073</v>
      </c>
      <c r="C937" s="74" t="str">
        <f>IF($B937&lt;&gt;"",_xlfn.IFNA(VLOOKUP($B937,'Node Details'!$B:$U,C$1,0),"Check"),"")</f>
        <v>0000AXW06-AXW060103</v>
      </c>
      <c r="D937" s="74" t="str">
        <f>IF($B937&lt;&gt;"",_xlfn.IFNA(VLOOKUP($B937,'Node Details'!$B:$U,D$1,0),"Check"),"")</f>
        <v>AXW</v>
      </c>
      <c r="E937" s="74" t="str">
        <f>IF($B937&lt;&gt;"",_xlfn.IFNA(VLOOKUP($B937,'Node Details'!$B:$U,E$1,0),"Check"),"")</f>
        <v>Airtel</v>
      </c>
      <c r="F937" s="76">
        <v>46114</v>
      </c>
      <c r="G937" s="74"/>
      <c r="H937" s="10" t="s">
        <v>1250</v>
      </c>
      <c r="I937" s="9">
        <v>2</v>
      </c>
      <c r="J937" s="9">
        <v>150</v>
      </c>
      <c r="K937" s="77">
        <f t="shared" si="81"/>
        <v>300</v>
      </c>
      <c r="L937" s="76">
        <v>46112</v>
      </c>
      <c r="N937" s="83"/>
      <c r="O937" s="84"/>
      <c r="P937" s="81"/>
      <c r="Q937" s="81"/>
      <c r="R937" s="81"/>
      <c r="S937" s="81"/>
      <c r="T937" s="85"/>
      <c r="U937" s="81"/>
      <c r="V937" s="81"/>
      <c r="W937" s="123">
        <f t="shared" si="82"/>
        <v>0</v>
      </c>
      <c r="X937" s="123" t="s">
        <v>84</v>
      </c>
      <c r="Y937" s="114" t="s">
        <v>93</v>
      </c>
    </row>
    <row r="938" spans="1:25" s="24" customFormat="1" ht="11.1" customHeight="1">
      <c r="A938" s="74">
        <f t="shared" si="80"/>
        <v>936</v>
      </c>
      <c r="B938" s="75" t="s">
        <v>435</v>
      </c>
      <c r="C938" s="74" t="str">
        <f>IF($B938&lt;&gt;"",_xlfn.IFNA(VLOOKUP($B938,'Node Details'!$B:$U,C$1,0),"Check"),"")</f>
        <v>0000AXW06-AXW060103</v>
      </c>
      <c r="D938" s="74" t="str">
        <f>IF($B938&lt;&gt;"",_xlfn.IFNA(VLOOKUP($B938,'Node Details'!$B:$U,D$1,0),"Check"),"")</f>
        <v>AXW</v>
      </c>
      <c r="E938" s="74" t="str">
        <f>IF($B938&lt;&gt;"",_xlfn.IFNA(VLOOKUP($B938,'Node Details'!$B:$U,E$1,0),"Check"),"")</f>
        <v>Airtel</v>
      </c>
      <c r="F938" s="76">
        <v>46114</v>
      </c>
      <c r="G938" s="74"/>
      <c r="H938" s="10" t="s">
        <v>1250</v>
      </c>
      <c r="I938" s="9">
        <v>2</v>
      </c>
      <c r="J938" s="9">
        <v>150</v>
      </c>
      <c r="K938" s="77">
        <f t="shared" si="81"/>
        <v>300</v>
      </c>
      <c r="L938" s="76">
        <v>46112</v>
      </c>
      <c r="N938" s="83"/>
      <c r="O938" s="84"/>
      <c r="P938" s="81"/>
      <c r="Q938" s="81"/>
      <c r="R938" s="81"/>
      <c r="S938" s="81"/>
      <c r="T938" s="85"/>
      <c r="U938" s="81"/>
      <c r="V938" s="81"/>
      <c r="W938" s="123">
        <f t="shared" si="82"/>
        <v>0</v>
      </c>
      <c r="X938" s="123" t="s">
        <v>84</v>
      </c>
      <c r="Y938" s="114" t="s">
        <v>93</v>
      </c>
    </row>
    <row r="939" spans="1:25" s="24" customFormat="1" ht="11.1" customHeight="1">
      <c r="A939" s="74">
        <f t="shared" si="80"/>
        <v>937</v>
      </c>
      <c r="B939" s="75" t="s">
        <v>1074</v>
      </c>
      <c r="C939" s="74" t="str">
        <f>IF($B939&lt;&gt;"",_xlfn.IFNA(VLOOKUP($B939,'Node Details'!$B:$U,C$1,0),"Check"),"")</f>
        <v>AXW060103-AXW060107</v>
      </c>
      <c r="D939" s="74" t="str">
        <f>IF($B939&lt;&gt;"",_xlfn.IFNA(VLOOKUP($B939,'Node Details'!$B:$U,D$1,0),"Check"),"")</f>
        <v>AXW</v>
      </c>
      <c r="E939" s="74" t="str">
        <f>IF($B939&lt;&gt;"",_xlfn.IFNA(VLOOKUP($B939,'Node Details'!$B:$U,E$1,0),"Check"),"")</f>
        <v>Airtel</v>
      </c>
      <c r="F939" s="76">
        <v>46114</v>
      </c>
      <c r="G939" s="74"/>
      <c r="H939" s="10" t="s">
        <v>1250</v>
      </c>
      <c r="I939" s="9">
        <v>2</v>
      </c>
      <c r="J939" s="9">
        <v>150</v>
      </c>
      <c r="K939" s="77">
        <f t="shared" si="81"/>
        <v>300</v>
      </c>
      <c r="L939" s="76">
        <v>46112</v>
      </c>
      <c r="N939" s="83"/>
      <c r="O939" s="84"/>
      <c r="P939" s="81"/>
      <c r="Q939" s="81"/>
      <c r="R939" s="81"/>
      <c r="S939" s="81"/>
      <c r="T939" s="85"/>
      <c r="U939" s="81"/>
      <c r="V939" s="81"/>
      <c r="W939" s="123">
        <f t="shared" si="82"/>
        <v>0</v>
      </c>
      <c r="X939" s="123" t="s">
        <v>84</v>
      </c>
      <c r="Y939" s="114" t="s">
        <v>93</v>
      </c>
    </row>
    <row r="940" spans="1:25" s="24" customFormat="1" ht="11.1" customHeight="1">
      <c r="A940" s="74">
        <f t="shared" si="80"/>
        <v>938</v>
      </c>
      <c r="B940" s="75" t="s">
        <v>1075</v>
      </c>
      <c r="C940" s="74" t="str">
        <f>IF($B940&lt;&gt;"",_xlfn.IFNA(VLOOKUP($B940,'Node Details'!$B:$U,C$1,0),"Check"),"")</f>
        <v>AXW060103-AXW060107</v>
      </c>
      <c r="D940" s="74" t="str">
        <f>IF($B940&lt;&gt;"",_xlfn.IFNA(VLOOKUP($B940,'Node Details'!$B:$U,D$1,0),"Check"),"")</f>
        <v>AXW</v>
      </c>
      <c r="E940" s="74" t="str">
        <f>IF($B940&lt;&gt;"",_xlfn.IFNA(VLOOKUP($B940,'Node Details'!$B:$U,E$1,0),"Check"),"")</f>
        <v>Airtel</v>
      </c>
      <c r="F940" s="76">
        <v>46114</v>
      </c>
      <c r="G940" s="74"/>
      <c r="H940" s="10" t="s">
        <v>1250</v>
      </c>
      <c r="I940" s="9">
        <v>2</v>
      </c>
      <c r="J940" s="9">
        <v>150</v>
      </c>
      <c r="K940" s="77">
        <f t="shared" si="81"/>
        <v>300</v>
      </c>
      <c r="L940" s="76">
        <v>46112</v>
      </c>
      <c r="N940" s="83"/>
      <c r="O940" s="84"/>
      <c r="P940" s="81"/>
      <c r="Q940" s="81"/>
      <c r="R940" s="81"/>
      <c r="S940" s="81"/>
      <c r="T940" s="85"/>
      <c r="U940" s="81"/>
      <c r="V940" s="81"/>
      <c r="W940" s="123">
        <f t="shared" si="82"/>
        <v>0</v>
      </c>
      <c r="X940" s="123" t="s">
        <v>84</v>
      </c>
      <c r="Y940" s="114" t="s">
        <v>93</v>
      </c>
    </row>
    <row r="941" spans="1:25" s="24" customFormat="1" ht="11.1" customHeight="1">
      <c r="A941" s="74">
        <f t="shared" si="80"/>
        <v>939</v>
      </c>
      <c r="B941" s="75" t="s">
        <v>1076</v>
      </c>
      <c r="C941" s="74" t="str">
        <f>IF($B941&lt;&gt;"",_xlfn.IFNA(VLOOKUP($B941,'Node Details'!$B:$U,C$1,0),"Check"),"")</f>
        <v>AXW060103-AXW060107</v>
      </c>
      <c r="D941" s="74" t="str">
        <f>IF($B941&lt;&gt;"",_xlfn.IFNA(VLOOKUP($B941,'Node Details'!$B:$U,D$1,0),"Check"),"")</f>
        <v>AXW</v>
      </c>
      <c r="E941" s="74" t="str">
        <f>IF($B941&lt;&gt;"",_xlfn.IFNA(VLOOKUP($B941,'Node Details'!$B:$U,E$1,0),"Check"),"")</f>
        <v>Airtel</v>
      </c>
      <c r="F941" s="76">
        <v>46114</v>
      </c>
      <c r="G941" s="74"/>
      <c r="H941" s="10" t="s">
        <v>1250</v>
      </c>
      <c r="I941" s="9">
        <v>2</v>
      </c>
      <c r="J941" s="9">
        <v>150</v>
      </c>
      <c r="K941" s="77">
        <f t="shared" si="81"/>
        <v>300</v>
      </c>
      <c r="L941" s="76">
        <v>46112</v>
      </c>
      <c r="N941" s="83"/>
      <c r="O941" s="84"/>
      <c r="P941" s="81"/>
      <c r="Q941" s="81"/>
      <c r="R941" s="81"/>
      <c r="S941" s="81"/>
      <c r="T941" s="85"/>
      <c r="U941" s="81"/>
      <c r="V941" s="81"/>
      <c r="W941" s="123">
        <f t="shared" si="82"/>
        <v>0</v>
      </c>
      <c r="X941" s="123" t="s">
        <v>84</v>
      </c>
      <c r="Y941" s="114" t="s">
        <v>93</v>
      </c>
    </row>
    <row r="942" spans="1:25" s="24" customFormat="1" ht="11.1" customHeight="1">
      <c r="A942" s="74">
        <f t="shared" si="80"/>
        <v>940</v>
      </c>
      <c r="B942" s="75" t="s">
        <v>437</v>
      </c>
      <c r="C942" s="74" t="str">
        <f>IF($B942&lt;&gt;"",_xlfn.IFNA(VLOOKUP($B942,'Node Details'!$B:$U,C$1,0),"Check"),"")</f>
        <v>AXW060103-AXW060107</v>
      </c>
      <c r="D942" s="74" t="str">
        <f>IF($B942&lt;&gt;"",_xlfn.IFNA(VLOOKUP($B942,'Node Details'!$B:$U,D$1,0),"Check"),"")</f>
        <v>AXW</v>
      </c>
      <c r="E942" s="74" t="str">
        <f>IF($B942&lt;&gt;"",_xlfn.IFNA(VLOOKUP($B942,'Node Details'!$B:$U,E$1,0),"Check"),"")</f>
        <v>Airtel</v>
      </c>
      <c r="F942" s="76">
        <v>46114</v>
      </c>
      <c r="G942" s="74"/>
      <c r="H942" s="10" t="s">
        <v>1250</v>
      </c>
      <c r="I942" s="9">
        <v>2</v>
      </c>
      <c r="J942" s="9">
        <v>150</v>
      </c>
      <c r="K942" s="77">
        <f t="shared" si="81"/>
        <v>300</v>
      </c>
      <c r="L942" s="76">
        <v>46112</v>
      </c>
      <c r="N942" s="83"/>
      <c r="O942" s="84"/>
      <c r="P942" s="81"/>
      <c r="Q942" s="81"/>
      <c r="R942" s="81"/>
      <c r="S942" s="81"/>
      <c r="T942" s="85"/>
      <c r="U942" s="81"/>
      <c r="V942" s="81"/>
      <c r="W942" s="123">
        <f t="shared" si="82"/>
        <v>0</v>
      </c>
      <c r="X942" s="123" t="s">
        <v>84</v>
      </c>
      <c r="Y942" s="114" t="s">
        <v>93</v>
      </c>
    </row>
    <row r="943" spans="1:25" s="24" customFormat="1" ht="11.1" customHeight="1">
      <c r="A943" s="74">
        <f t="shared" si="80"/>
        <v>941</v>
      </c>
      <c r="B943" s="75" t="s">
        <v>377</v>
      </c>
      <c r="C943" s="74" t="str">
        <f>IF($B943&lt;&gt;"",_xlfn.IFNA(VLOOKUP($B943,'Node Details'!$B:$U,C$1,0),"Check"),"")</f>
        <v>0000AXW01-0000AXW07</v>
      </c>
      <c r="D943" s="74" t="str">
        <f>IF($B943&lt;&gt;"",_xlfn.IFNA(VLOOKUP($B943,'Node Details'!$B:$U,D$1,0),"Check"),"")</f>
        <v>AXW</v>
      </c>
      <c r="E943" s="74" t="str">
        <f>IF($B943&lt;&gt;"",_xlfn.IFNA(VLOOKUP($B943,'Node Details'!$B:$U,E$1,0),"Check"),"")</f>
        <v>Airtel</v>
      </c>
      <c r="F943" s="76">
        <v>46114</v>
      </c>
      <c r="G943" s="74"/>
      <c r="H943" s="10" t="s">
        <v>1250</v>
      </c>
      <c r="I943" s="9">
        <v>2</v>
      </c>
      <c r="J943" s="9">
        <v>150</v>
      </c>
      <c r="K943" s="77">
        <f t="shared" si="81"/>
        <v>300</v>
      </c>
      <c r="L943" s="76">
        <v>46112</v>
      </c>
      <c r="N943" s="83"/>
      <c r="O943" s="84"/>
      <c r="P943" s="81"/>
      <c r="Q943" s="81"/>
      <c r="R943" s="81"/>
      <c r="S943" s="81"/>
      <c r="T943" s="85"/>
      <c r="U943" s="81"/>
      <c r="V943" s="81"/>
      <c r="W943" s="123">
        <f t="shared" si="82"/>
        <v>0</v>
      </c>
      <c r="X943" s="123" t="s">
        <v>84</v>
      </c>
      <c r="Y943" s="114" t="s">
        <v>93</v>
      </c>
    </row>
    <row r="944" spans="1:25" s="24" customFormat="1" ht="11.1" customHeight="1">
      <c r="A944" s="74">
        <f t="shared" si="80"/>
        <v>942</v>
      </c>
      <c r="B944" s="75" t="s">
        <v>439</v>
      </c>
      <c r="C944" s="74" t="str">
        <f>IF($B944&lt;&gt;"",_xlfn.IFNA(VLOOKUP($B944,'Node Details'!$B:$U,C$1,0),"Check"),"")</f>
        <v>0000AXW07-AXW070101</v>
      </c>
      <c r="D944" s="74" t="str">
        <f>IF($B944&lt;&gt;"",_xlfn.IFNA(VLOOKUP($B944,'Node Details'!$B:$U,D$1,0),"Check"),"")</f>
        <v>AXW</v>
      </c>
      <c r="E944" s="74" t="str">
        <f>IF($B944&lt;&gt;"",_xlfn.IFNA(VLOOKUP($B944,'Node Details'!$B:$U,E$1,0),"Check"),"")</f>
        <v>Airtel</v>
      </c>
      <c r="F944" s="76">
        <v>46114</v>
      </c>
      <c r="G944" s="74"/>
      <c r="H944" s="10" t="s">
        <v>1250</v>
      </c>
      <c r="I944" s="9">
        <v>2</v>
      </c>
      <c r="J944" s="9">
        <v>150</v>
      </c>
      <c r="K944" s="77">
        <f t="shared" si="81"/>
        <v>300</v>
      </c>
      <c r="L944" s="76">
        <v>46112</v>
      </c>
      <c r="N944" s="83"/>
      <c r="O944" s="84"/>
      <c r="P944" s="81"/>
      <c r="Q944" s="81"/>
      <c r="R944" s="81"/>
      <c r="S944" s="81"/>
      <c r="T944" s="85"/>
      <c r="U944" s="81"/>
      <c r="V944" s="81"/>
      <c r="W944" s="123">
        <f t="shared" si="82"/>
        <v>0</v>
      </c>
      <c r="X944" s="123" t="s">
        <v>84</v>
      </c>
      <c r="Y944" s="114" t="s">
        <v>93</v>
      </c>
    </row>
    <row r="945" spans="1:25" s="24" customFormat="1" ht="11.1" customHeight="1">
      <c r="A945" s="74">
        <f t="shared" si="80"/>
        <v>943</v>
      </c>
      <c r="B945" s="75" t="s">
        <v>1077</v>
      </c>
      <c r="C945" s="74" t="str">
        <f>IF($B945&lt;&gt;"",_xlfn.IFNA(VLOOKUP($B945,'Node Details'!$B:$U,C$1,0),"Check"),"")</f>
        <v>0000AXW07-AXW070103</v>
      </c>
      <c r="D945" s="74" t="str">
        <f>IF($B945&lt;&gt;"",_xlfn.IFNA(VLOOKUP($B945,'Node Details'!$B:$U,D$1,0),"Check"),"")</f>
        <v>AXW</v>
      </c>
      <c r="E945" s="74" t="str">
        <f>IF($B945&lt;&gt;"",_xlfn.IFNA(VLOOKUP($B945,'Node Details'!$B:$U,E$1,0),"Check"),"")</f>
        <v>Airtel</v>
      </c>
      <c r="F945" s="76">
        <v>46114</v>
      </c>
      <c r="G945" s="74"/>
      <c r="H945" s="10" t="s">
        <v>1250</v>
      </c>
      <c r="I945" s="9">
        <v>2</v>
      </c>
      <c r="J945" s="9">
        <v>150</v>
      </c>
      <c r="K945" s="77">
        <f t="shared" si="81"/>
        <v>300</v>
      </c>
      <c r="L945" s="76">
        <v>46112</v>
      </c>
      <c r="N945" s="83"/>
      <c r="O945" s="84"/>
      <c r="P945" s="81"/>
      <c r="Q945" s="81"/>
      <c r="R945" s="81"/>
      <c r="S945" s="81"/>
      <c r="T945" s="85"/>
      <c r="U945" s="81"/>
      <c r="V945" s="81"/>
      <c r="W945" s="123">
        <f t="shared" si="82"/>
        <v>0</v>
      </c>
      <c r="X945" s="123" t="s">
        <v>84</v>
      </c>
      <c r="Y945" s="114" t="s">
        <v>93</v>
      </c>
    </row>
    <row r="946" spans="1:25" s="24" customFormat="1" ht="11.1" customHeight="1">
      <c r="A946" s="74">
        <f t="shared" si="80"/>
        <v>944</v>
      </c>
      <c r="B946" s="75" t="s">
        <v>441</v>
      </c>
      <c r="C946" s="74" t="str">
        <f>IF($B946&lt;&gt;"",_xlfn.IFNA(VLOOKUP($B946,'Node Details'!$B:$U,C$1,0),"Check"),"")</f>
        <v>0000AXW07-AXW070103</v>
      </c>
      <c r="D946" s="74" t="str">
        <f>IF($B946&lt;&gt;"",_xlfn.IFNA(VLOOKUP($B946,'Node Details'!$B:$U,D$1,0),"Check"),"")</f>
        <v>AXW</v>
      </c>
      <c r="E946" s="74" t="str">
        <f>IF($B946&lt;&gt;"",_xlfn.IFNA(VLOOKUP($B946,'Node Details'!$B:$U,E$1,0),"Check"),"")</f>
        <v>Airtel</v>
      </c>
      <c r="F946" s="76">
        <v>46114</v>
      </c>
      <c r="G946" s="74"/>
      <c r="H946" s="10" t="s">
        <v>1250</v>
      </c>
      <c r="I946" s="9">
        <v>2</v>
      </c>
      <c r="J946" s="9">
        <v>150</v>
      </c>
      <c r="K946" s="77">
        <f t="shared" si="81"/>
        <v>300</v>
      </c>
      <c r="L946" s="76">
        <v>46112</v>
      </c>
      <c r="N946" s="83"/>
      <c r="O946" s="84"/>
      <c r="P946" s="81"/>
      <c r="Q946" s="81"/>
      <c r="R946" s="81"/>
      <c r="S946" s="81"/>
      <c r="T946" s="85"/>
      <c r="U946" s="81"/>
      <c r="V946" s="81"/>
      <c r="W946" s="123">
        <f t="shared" si="82"/>
        <v>0</v>
      </c>
      <c r="X946" s="123" t="s">
        <v>84</v>
      </c>
      <c r="Y946" s="114" t="s">
        <v>93</v>
      </c>
    </row>
    <row r="947" spans="1:25" s="24" customFormat="1" ht="11.1" customHeight="1">
      <c r="A947" s="74">
        <f t="shared" si="80"/>
        <v>945</v>
      </c>
      <c r="B947" s="75" t="s">
        <v>1078</v>
      </c>
      <c r="C947" s="74" t="str">
        <f>IF($B947&lt;&gt;"",_xlfn.IFNA(VLOOKUP($B947,'Node Details'!$B:$U,C$1,0),"Check"),"")</f>
        <v>0000AXW07-AXW070106</v>
      </c>
      <c r="D947" s="74" t="str">
        <f>IF($B947&lt;&gt;"",_xlfn.IFNA(VLOOKUP($B947,'Node Details'!$B:$U,D$1,0),"Check"),"")</f>
        <v>AXW</v>
      </c>
      <c r="E947" s="74" t="str">
        <f>IF($B947&lt;&gt;"",_xlfn.IFNA(VLOOKUP($B947,'Node Details'!$B:$U,E$1,0),"Check"),"")</f>
        <v>Airtel</v>
      </c>
      <c r="F947" s="76">
        <v>46114</v>
      </c>
      <c r="G947" s="74"/>
      <c r="H947" s="10" t="s">
        <v>1250</v>
      </c>
      <c r="I947" s="9">
        <v>2</v>
      </c>
      <c r="J947" s="9">
        <v>150</v>
      </c>
      <c r="K947" s="77">
        <f t="shared" si="81"/>
        <v>300</v>
      </c>
      <c r="L947" s="76">
        <v>46112</v>
      </c>
      <c r="N947" s="83"/>
      <c r="O947" s="84"/>
      <c r="P947" s="81"/>
      <c r="Q947" s="81"/>
      <c r="R947" s="81"/>
      <c r="S947" s="81"/>
      <c r="T947" s="85"/>
      <c r="U947" s="81"/>
      <c r="V947" s="81"/>
      <c r="W947" s="123">
        <f t="shared" si="82"/>
        <v>0</v>
      </c>
      <c r="X947" s="123" t="s">
        <v>84</v>
      </c>
      <c r="Y947" s="114" t="s">
        <v>93</v>
      </c>
    </row>
    <row r="948" spans="1:25" s="24" customFormat="1" ht="11.1" customHeight="1">
      <c r="A948" s="74">
        <f t="shared" si="80"/>
        <v>946</v>
      </c>
      <c r="B948" s="75" t="s">
        <v>443</v>
      </c>
      <c r="C948" s="74" t="str">
        <f>IF($B948&lt;&gt;"",_xlfn.IFNA(VLOOKUP($B948,'Node Details'!$B:$U,C$1,0),"Check"),"")</f>
        <v>0000AXW07-AXW070106</v>
      </c>
      <c r="D948" s="74" t="str">
        <f>IF($B948&lt;&gt;"",_xlfn.IFNA(VLOOKUP($B948,'Node Details'!$B:$U,D$1,0),"Check"),"")</f>
        <v>AXW</v>
      </c>
      <c r="E948" s="74" t="str">
        <f>IF($B948&lt;&gt;"",_xlfn.IFNA(VLOOKUP($B948,'Node Details'!$B:$U,E$1,0),"Check"),"")</f>
        <v>Airtel</v>
      </c>
      <c r="F948" s="76">
        <v>46114</v>
      </c>
      <c r="G948" s="74"/>
      <c r="H948" s="10" t="s">
        <v>1250</v>
      </c>
      <c r="I948" s="9">
        <v>2</v>
      </c>
      <c r="J948" s="9">
        <v>150</v>
      </c>
      <c r="K948" s="77">
        <f t="shared" si="81"/>
        <v>300</v>
      </c>
      <c r="L948" s="76">
        <v>46112</v>
      </c>
      <c r="N948" s="83"/>
      <c r="O948" s="84"/>
      <c r="P948" s="81"/>
      <c r="Q948" s="81"/>
      <c r="R948" s="81"/>
      <c r="S948" s="81"/>
      <c r="T948" s="85"/>
      <c r="U948" s="81"/>
      <c r="V948" s="81"/>
      <c r="W948" s="123">
        <f t="shared" si="82"/>
        <v>0</v>
      </c>
      <c r="X948" s="123" t="s">
        <v>84</v>
      </c>
      <c r="Y948" s="114" t="s">
        <v>93</v>
      </c>
    </row>
    <row r="949" spans="1:25" s="24" customFormat="1" ht="11.1" customHeight="1">
      <c r="A949" s="74">
        <f t="shared" si="80"/>
        <v>947</v>
      </c>
      <c r="B949" s="75" t="s">
        <v>445</v>
      </c>
      <c r="C949" s="74" t="str">
        <f>IF($B949&lt;&gt;"",_xlfn.IFNA(VLOOKUP($B949,'Node Details'!$B:$U,C$1,0),"Check"),"")</f>
        <v>000000AXW-0000AXW17</v>
      </c>
      <c r="D949" s="74" t="str">
        <f>IF($B949&lt;&gt;"",_xlfn.IFNA(VLOOKUP($B949,'Node Details'!$B:$U,D$1,0),"Check"),"")</f>
        <v>AXW</v>
      </c>
      <c r="E949" s="74" t="str">
        <f>IF($B949&lt;&gt;"",_xlfn.IFNA(VLOOKUP($B949,'Node Details'!$B:$U,E$1,0),"Check"),"")</f>
        <v>Airtel</v>
      </c>
      <c r="F949" s="76">
        <v>46114</v>
      </c>
      <c r="G949" s="74"/>
      <c r="H949" s="10" t="s">
        <v>1250</v>
      </c>
      <c r="I949" s="9">
        <v>2</v>
      </c>
      <c r="J949" s="9">
        <v>150</v>
      </c>
      <c r="K949" s="77">
        <f t="shared" si="81"/>
        <v>300</v>
      </c>
      <c r="L949" s="76">
        <v>46112</v>
      </c>
      <c r="N949" s="83"/>
      <c r="O949" s="84"/>
      <c r="P949" s="81"/>
      <c r="Q949" s="81"/>
      <c r="R949" s="81"/>
      <c r="S949" s="81"/>
      <c r="T949" s="85"/>
      <c r="U949" s="81"/>
      <c r="V949" s="81"/>
      <c r="W949" s="123">
        <f t="shared" si="82"/>
        <v>0</v>
      </c>
      <c r="X949" s="123" t="s">
        <v>84</v>
      </c>
      <c r="Y949" s="114" t="s">
        <v>93</v>
      </c>
    </row>
    <row r="950" spans="1:25" s="24" customFormat="1" ht="11.1" customHeight="1">
      <c r="A950" s="74">
        <f t="shared" si="80"/>
        <v>948</v>
      </c>
      <c r="B950" s="75" t="s">
        <v>446</v>
      </c>
      <c r="C950" s="74" t="str">
        <f>IF($B950&lt;&gt;"",_xlfn.IFNA(VLOOKUP($B950,'Node Details'!$B:$U,C$1,0),"Check"),"")</f>
        <v>0000AXW08-AXW080101</v>
      </c>
      <c r="D950" s="74" t="str">
        <f>IF($B950&lt;&gt;"",_xlfn.IFNA(VLOOKUP($B950,'Node Details'!$B:$U,D$1,0),"Check"),"")</f>
        <v>AXW</v>
      </c>
      <c r="E950" s="74" t="str">
        <f>IF($B950&lt;&gt;"",_xlfn.IFNA(VLOOKUP($B950,'Node Details'!$B:$U,E$1,0),"Check"),"")</f>
        <v>Airtel</v>
      </c>
      <c r="F950" s="76">
        <v>46114</v>
      </c>
      <c r="G950" s="74"/>
      <c r="H950" s="10" t="s">
        <v>1250</v>
      </c>
      <c r="I950" s="9">
        <v>2</v>
      </c>
      <c r="J950" s="9">
        <v>150</v>
      </c>
      <c r="K950" s="77">
        <f t="shared" si="81"/>
        <v>300</v>
      </c>
      <c r="L950" s="76">
        <v>46112</v>
      </c>
      <c r="N950" s="83"/>
      <c r="O950" s="84"/>
      <c r="P950" s="81"/>
      <c r="Q950" s="81"/>
      <c r="R950" s="81"/>
      <c r="S950" s="81"/>
      <c r="T950" s="85"/>
      <c r="U950" s="81"/>
      <c r="V950" s="81"/>
      <c r="W950" s="123">
        <f t="shared" si="82"/>
        <v>0</v>
      </c>
      <c r="X950" s="123" t="s">
        <v>84</v>
      </c>
      <c r="Y950" s="114" t="s">
        <v>93</v>
      </c>
    </row>
    <row r="951" spans="1:25" s="24" customFormat="1" ht="11.1" customHeight="1">
      <c r="A951" s="74">
        <f t="shared" si="80"/>
        <v>949</v>
      </c>
      <c r="B951" s="75" t="s">
        <v>448</v>
      </c>
      <c r="C951" s="74" t="str">
        <f>IF($B951&lt;&gt;"",_xlfn.IFNA(VLOOKUP($B951,'Node Details'!$B:$U,C$1,0),"Check"),"")</f>
        <v>0000AXW08-AXW080103</v>
      </c>
      <c r="D951" s="74" t="str">
        <f>IF($B951&lt;&gt;"",_xlfn.IFNA(VLOOKUP($B951,'Node Details'!$B:$U,D$1,0),"Check"),"")</f>
        <v>AXW</v>
      </c>
      <c r="E951" s="74" t="str">
        <f>IF($B951&lt;&gt;"",_xlfn.IFNA(VLOOKUP($B951,'Node Details'!$B:$U,E$1,0),"Check"),"")</f>
        <v>Airtel</v>
      </c>
      <c r="F951" s="76">
        <v>46114</v>
      </c>
      <c r="G951" s="74"/>
      <c r="H951" s="10" t="s">
        <v>1250</v>
      </c>
      <c r="I951" s="9">
        <v>2</v>
      </c>
      <c r="J951" s="9">
        <v>150</v>
      </c>
      <c r="K951" s="77">
        <f t="shared" si="81"/>
        <v>300</v>
      </c>
      <c r="L951" s="76">
        <v>46112</v>
      </c>
      <c r="N951" s="83"/>
      <c r="O951" s="84"/>
      <c r="P951" s="81"/>
      <c r="Q951" s="81"/>
      <c r="R951" s="81"/>
      <c r="S951" s="81"/>
      <c r="T951" s="85"/>
      <c r="U951" s="81"/>
      <c r="V951" s="81"/>
      <c r="W951" s="123">
        <f t="shared" si="82"/>
        <v>0</v>
      </c>
      <c r="X951" s="123" t="s">
        <v>84</v>
      </c>
      <c r="Y951" s="114" t="s">
        <v>93</v>
      </c>
    </row>
    <row r="952" spans="1:25" s="24" customFormat="1" ht="11.1" customHeight="1">
      <c r="A952" s="74">
        <f t="shared" si="80"/>
        <v>950</v>
      </c>
      <c r="B952" s="75" t="s">
        <v>1079</v>
      </c>
      <c r="C952" s="74" t="str">
        <f>IF($B952&lt;&gt;"",_xlfn.IFNA(VLOOKUP($B952,'Node Details'!$B:$U,C$1,0),"Check"),"")</f>
        <v>AXW080103-AXW080105</v>
      </c>
      <c r="D952" s="74" t="str">
        <f>IF($B952&lt;&gt;"",_xlfn.IFNA(VLOOKUP($B952,'Node Details'!$B:$U,D$1,0),"Check"),"")</f>
        <v>AXW</v>
      </c>
      <c r="E952" s="74" t="str">
        <f>IF($B952&lt;&gt;"",_xlfn.IFNA(VLOOKUP($B952,'Node Details'!$B:$U,E$1,0),"Check"),"")</f>
        <v>Airtel</v>
      </c>
      <c r="F952" s="76">
        <v>46114</v>
      </c>
      <c r="G952" s="74"/>
      <c r="H952" s="10" t="s">
        <v>1250</v>
      </c>
      <c r="I952" s="9">
        <v>2</v>
      </c>
      <c r="J952" s="9">
        <v>150</v>
      </c>
      <c r="K952" s="77">
        <f t="shared" si="81"/>
        <v>300</v>
      </c>
      <c r="L952" s="76">
        <v>46112</v>
      </c>
      <c r="N952" s="83"/>
      <c r="O952" s="84"/>
      <c r="P952" s="81"/>
      <c r="Q952" s="81"/>
      <c r="R952" s="81"/>
      <c r="S952" s="81"/>
      <c r="T952" s="85"/>
      <c r="U952" s="81"/>
      <c r="V952" s="81"/>
      <c r="W952" s="123">
        <f t="shared" si="82"/>
        <v>0</v>
      </c>
      <c r="X952" s="123" t="s">
        <v>84</v>
      </c>
      <c r="Y952" s="114" t="s">
        <v>93</v>
      </c>
    </row>
    <row r="953" spans="1:25" s="24" customFormat="1" ht="11.1" customHeight="1">
      <c r="A953" s="74">
        <f t="shared" si="80"/>
        <v>951</v>
      </c>
      <c r="B953" s="75" t="s">
        <v>450</v>
      </c>
      <c r="C953" s="74" t="str">
        <f>IF($B953&lt;&gt;"",_xlfn.IFNA(VLOOKUP($B953,'Node Details'!$B:$U,C$1,0),"Check"),"")</f>
        <v>AXW080103-AXW080105</v>
      </c>
      <c r="D953" s="74" t="str">
        <f>IF($B953&lt;&gt;"",_xlfn.IFNA(VLOOKUP($B953,'Node Details'!$B:$U,D$1,0),"Check"),"")</f>
        <v>AXW</v>
      </c>
      <c r="E953" s="74" t="str">
        <f>IF($B953&lt;&gt;"",_xlfn.IFNA(VLOOKUP($B953,'Node Details'!$B:$U,E$1,0),"Check"),"")</f>
        <v>Airtel</v>
      </c>
      <c r="F953" s="76">
        <v>46114</v>
      </c>
      <c r="G953" s="74"/>
      <c r="H953" s="10" t="s">
        <v>1250</v>
      </c>
      <c r="I953" s="9">
        <v>2</v>
      </c>
      <c r="J953" s="9">
        <v>150</v>
      </c>
      <c r="K953" s="77">
        <f t="shared" si="81"/>
        <v>300</v>
      </c>
      <c r="L953" s="76">
        <v>46112</v>
      </c>
      <c r="N953" s="83"/>
      <c r="O953" s="84"/>
      <c r="P953" s="81"/>
      <c r="Q953" s="81"/>
      <c r="R953" s="81"/>
      <c r="S953" s="81"/>
      <c r="T953" s="85"/>
      <c r="U953" s="81"/>
      <c r="V953" s="81"/>
      <c r="W953" s="123">
        <f t="shared" si="82"/>
        <v>0</v>
      </c>
      <c r="X953" s="123" t="s">
        <v>84</v>
      </c>
      <c r="Y953" s="114" t="s">
        <v>93</v>
      </c>
    </row>
    <row r="954" spans="1:25" s="24" customFormat="1" ht="11.1" customHeight="1">
      <c r="A954" s="74">
        <f t="shared" si="80"/>
        <v>952</v>
      </c>
      <c r="B954" s="75" t="s">
        <v>452</v>
      </c>
      <c r="C954" s="74" t="str">
        <f>IF($B954&lt;&gt;"",_xlfn.IFNA(VLOOKUP($B954,'Node Details'!$B:$U,C$1,0),"Check"),"")</f>
        <v>0000AXW08-AXW080106</v>
      </c>
      <c r="D954" s="74" t="str">
        <f>IF($B954&lt;&gt;"",_xlfn.IFNA(VLOOKUP($B954,'Node Details'!$B:$U,D$1,0),"Check"),"")</f>
        <v>AXW</v>
      </c>
      <c r="E954" s="74" t="str">
        <f>IF($B954&lt;&gt;"",_xlfn.IFNA(VLOOKUP($B954,'Node Details'!$B:$U,E$1,0),"Check"),"")</f>
        <v>Airtel</v>
      </c>
      <c r="F954" s="76">
        <v>46114</v>
      </c>
      <c r="G954" s="74"/>
      <c r="H954" s="10" t="s">
        <v>1250</v>
      </c>
      <c r="I954" s="9">
        <v>2</v>
      </c>
      <c r="J954" s="9">
        <v>150</v>
      </c>
      <c r="K954" s="77">
        <f t="shared" si="81"/>
        <v>300</v>
      </c>
      <c r="L954" s="76">
        <v>46112</v>
      </c>
      <c r="N954" s="83"/>
      <c r="O954" s="84"/>
      <c r="P954" s="81"/>
      <c r="Q954" s="81"/>
      <c r="R954" s="81"/>
      <c r="S954" s="81"/>
      <c r="T954" s="85"/>
      <c r="U954" s="81"/>
      <c r="V954" s="81"/>
      <c r="W954" s="123">
        <f t="shared" si="82"/>
        <v>0</v>
      </c>
      <c r="X954" s="123" t="s">
        <v>84</v>
      </c>
      <c r="Y954" s="114" t="s">
        <v>93</v>
      </c>
    </row>
    <row r="955" spans="1:25" s="24" customFormat="1" ht="11.1" customHeight="1">
      <c r="A955" s="74">
        <f t="shared" si="80"/>
        <v>953</v>
      </c>
      <c r="B955" s="75" t="s">
        <v>1080</v>
      </c>
      <c r="C955" s="74" t="str">
        <f>IF($B955&lt;&gt;"",_xlfn.IFNA(VLOOKUP($B955,'Node Details'!$B:$U,C$1,0),"Check"),"")</f>
        <v>AXW080106-AXW080108</v>
      </c>
      <c r="D955" s="74" t="str">
        <f>IF($B955&lt;&gt;"",_xlfn.IFNA(VLOOKUP($B955,'Node Details'!$B:$U,D$1,0),"Check"),"")</f>
        <v>AXW</v>
      </c>
      <c r="E955" s="74" t="str">
        <f>IF($B955&lt;&gt;"",_xlfn.IFNA(VLOOKUP($B955,'Node Details'!$B:$U,E$1,0),"Check"),"")</f>
        <v>Airtel</v>
      </c>
      <c r="F955" s="76">
        <v>46114</v>
      </c>
      <c r="G955" s="74"/>
      <c r="H955" s="10" t="s">
        <v>1250</v>
      </c>
      <c r="I955" s="9">
        <v>2</v>
      </c>
      <c r="J955" s="9">
        <v>150</v>
      </c>
      <c r="K955" s="77">
        <f t="shared" si="81"/>
        <v>300</v>
      </c>
      <c r="L955" s="76">
        <v>46112</v>
      </c>
      <c r="N955" s="83"/>
      <c r="O955" s="84"/>
      <c r="P955" s="81"/>
      <c r="Q955" s="81"/>
      <c r="R955" s="81"/>
      <c r="S955" s="81"/>
      <c r="T955" s="85"/>
      <c r="U955" s="81"/>
      <c r="V955" s="81"/>
      <c r="W955" s="123">
        <f t="shared" si="82"/>
        <v>0</v>
      </c>
      <c r="X955" s="123" t="s">
        <v>84</v>
      </c>
      <c r="Y955" s="114" t="s">
        <v>93</v>
      </c>
    </row>
    <row r="956" spans="1:25" s="24" customFormat="1" ht="11.1" customHeight="1">
      <c r="A956" s="74">
        <f t="shared" si="80"/>
        <v>954</v>
      </c>
      <c r="B956" s="75" t="s">
        <v>454</v>
      </c>
      <c r="C956" s="74" t="str">
        <f>IF($B956&lt;&gt;"",_xlfn.IFNA(VLOOKUP($B956,'Node Details'!$B:$U,C$1,0),"Check"),"")</f>
        <v>AXW080106-AXW080108</v>
      </c>
      <c r="D956" s="74" t="str">
        <f>IF($B956&lt;&gt;"",_xlfn.IFNA(VLOOKUP($B956,'Node Details'!$B:$U,D$1,0),"Check"),"")</f>
        <v>AXW</v>
      </c>
      <c r="E956" s="74" t="str">
        <f>IF($B956&lt;&gt;"",_xlfn.IFNA(VLOOKUP($B956,'Node Details'!$B:$U,E$1,0),"Check"),"")</f>
        <v>Airtel</v>
      </c>
      <c r="F956" s="76">
        <v>46114</v>
      </c>
      <c r="G956" s="74"/>
      <c r="H956" s="10" t="s">
        <v>1250</v>
      </c>
      <c r="I956" s="9">
        <v>2</v>
      </c>
      <c r="J956" s="9">
        <v>150</v>
      </c>
      <c r="K956" s="77">
        <f t="shared" si="81"/>
        <v>300</v>
      </c>
      <c r="L956" s="76">
        <v>46112</v>
      </c>
      <c r="N956" s="83"/>
      <c r="O956" s="84"/>
      <c r="P956" s="81"/>
      <c r="Q956" s="81"/>
      <c r="R956" s="81"/>
      <c r="S956" s="81"/>
      <c r="T956" s="85"/>
      <c r="U956" s="81"/>
      <c r="V956" s="81"/>
      <c r="W956" s="123">
        <f t="shared" si="82"/>
        <v>0</v>
      </c>
      <c r="X956" s="123" t="s">
        <v>84</v>
      </c>
      <c r="Y956" s="114" t="s">
        <v>93</v>
      </c>
    </row>
    <row r="957" spans="1:25" s="24" customFormat="1" ht="11.1" customHeight="1">
      <c r="A957" s="74">
        <f t="shared" si="80"/>
        <v>955</v>
      </c>
      <c r="B957" s="75" t="s">
        <v>1081</v>
      </c>
      <c r="C957" s="74" t="str">
        <f>IF($B957&lt;&gt;"",_xlfn.IFNA(VLOOKUP($B957,'Node Details'!$B:$U,C$1,0),"Check"),"")</f>
        <v>AXW080106-AXW080202</v>
      </c>
      <c r="D957" s="74" t="str">
        <f>IF($B957&lt;&gt;"",_xlfn.IFNA(VLOOKUP($B957,'Node Details'!$B:$U,D$1,0),"Check"),"")</f>
        <v>AXW</v>
      </c>
      <c r="E957" s="74" t="str">
        <f>IF($B957&lt;&gt;"",_xlfn.IFNA(VLOOKUP($B957,'Node Details'!$B:$U,E$1,0),"Check"),"")</f>
        <v>Airtel</v>
      </c>
      <c r="F957" s="76">
        <v>46114</v>
      </c>
      <c r="G957" s="74"/>
      <c r="H957" s="10" t="s">
        <v>1250</v>
      </c>
      <c r="I957" s="9">
        <v>2</v>
      </c>
      <c r="J957" s="9">
        <v>150</v>
      </c>
      <c r="K957" s="77">
        <f t="shared" si="81"/>
        <v>300</v>
      </c>
      <c r="L957" s="76">
        <v>46112</v>
      </c>
      <c r="N957" s="83"/>
      <c r="O957" s="84"/>
      <c r="P957" s="81"/>
      <c r="Q957" s="81"/>
      <c r="R957" s="81"/>
      <c r="S957" s="81"/>
      <c r="T957" s="85"/>
      <c r="U957" s="81"/>
      <c r="V957" s="81"/>
      <c r="W957" s="123">
        <f t="shared" si="82"/>
        <v>0</v>
      </c>
      <c r="X957" s="123" t="s">
        <v>84</v>
      </c>
      <c r="Y957" s="114" t="s">
        <v>93</v>
      </c>
    </row>
    <row r="958" spans="1:25" s="24" customFormat="1" ht="11.1" customHeight="1">
      <c r="A958" s="74">
        <f t="shared" si="80"/>
        <v>956</v>
      </c>
      <c r="B958" s="75" t="s">
        <v>456</v>
      </c>
      <c r="C958" s="74" t="str">
        <f>IF($B958&lt;&gt;"",_xlfn.IFNA(VLOOKUP($B958,'Node Details'!$B:$U,C$1,0),"Check"),"")</f>
        <v>AXW080106-AXW080202</v>
      </c>
      <c r="D958" s="74" t="str">
        <f>IF($B958&lt;&gt;"",_xlfn.IFNA(VLOOKUP($B958,'Node Details'!$B:$U,D$1,0),"Check"),"")</f>
        <v>AXW</v>
      </c>
      <c r="E958" s="74" t="str">
        <f>IF($B958&lt;&gt;"",_xlfn.IFNA(VLOOKUP($B958,'Node Details'!$B:$U,E$1,0),"Check"),"")</f>
        <v>Airtel</v>
      </c>
      <c r="F958" s="76">
        <v>46114</v>
      </c>
      <c r="G958" s="74"/>
      <c r="H958" s="10" t="s">
        <v>1250</v>
      </c>
      <c r="I958" s="9">
        <v>2</v>
      </c>
      <c r="J958" s="9">
        <v>150</v>
      </c>
      <c r="K958" s="77">
        <f t="shared" si="81"/>
        <v>300</v>
      </c>
      <c r="L958" s="76">
        <v>46112</v>
      </c>
      <c r="N958" s="83"/>
      <c r="O958" s="84"/>
      <c r="P958" s="81"/>
      <c r="Q958" s="81"/>
      <c r="R958" s="81"/>
      <c r="S958" s="81"/>
      <c r="T958" s="85"/>
      <c r="U958" s="81"/>
      <c r="V958" s="81"/>
      <c r="W958" s="123">
        <f t="shared" si="82"/>
        <v>0</v>
      </c>
      <c r="X958" s="123" t="s">
        <v>84</v>
      </c>
      <c r="Y958" s="114" t="s">
        <v>93</v>
      </c>
    </row>
    <row r="959" spans="1:25" s="24" customFormat="1" ht="11.1" customHeight="1">
      <c r="A959" s="74">
        <f t="shared" si="80"/>
        <v>957</v>
      </c>
      <c r="B959" s="75" t="s">
        <v>458</v>
      </c>
      <c r="C959" s="74" t="str">
        <f>IF($B959&lt;&gt;"",_xlfn.IFNA(VLOOKUP($B959,'Node Details'!$B:$U,C$1,0),"Check"),"")</f>
        <v>000000AXW-0000AXW12</v>
      </c>
      <c r="D959" s="74" t="str">
        <f>IF($B959&lt;&gt;"",_xlfn.IFNA(VLOOKUP($B959,'Node Details'!$B:$U,D$1,0),"Check"),"")</f>
        <v>AXW</v>
      </c>
      <c r="E959" s="74" t="str">
        <f>IF($B959&lt;&gt;"",_xlfn.IFNA(VLOOKUP($B959,'Node Details'!$B:$U,E$1,0),"Check"),"")</f>
        <v>Airtel</v>
      </c>
      <c r="F959" s="76">
        <v>46114</v>
      </c>
      <c r="G959" s="74"/>
      <c r="H959" s="10" t="s">
        <v>1250</v>
      </c>
      <c r="I959" s="9">
        <v>2</v>
      </c>
      <c r="J959" s="9">
        <v>150</v>
      </c>
      <c r="K959" s="77">
        <f t="shared" si="81"/>
        <v>300</v>
      </c>
      <c r="L959" s="76">
        <v>46112</v>
      </c>
      <c r="N959" s="83"/>
      <c r="O959" s="84"/>
      <c r="P959" s="81"/>
      <c r="Q959" s="81"/>
      <c r="R959" s="81"/>
      <c r="S959" s="81"/>
      <c r="T959" s="85"/>
      <c r="U959" s="81"/>
      <c r="V959" s="81"/>
      <c r="W959" s="123">
        <f t="shared" si="82"/>
        <v>0</v>
      </c>
      <c r="X959" s="123" t="s">
        <v>84</v>
      </c>
      <c r="Y959" s="114" t="s">
        <v>93</v>
      </c>
    </row>
    <row r="960" spans="1:25" s="24" customFormat="1" ht="11.1" customHeight="1">
      <c r="A960" s="74">
        <f t="shared" si="80"/>
        <v>958</v>
      </c>
      <c r="B960" s="75" t="s">
        <v>459</v>
      </c>
      <c r="C960" s="74" t="str">
        <f>IF($B960&lt;&gt;"",_xlfn.IFNA(VLOOKUP($B960,'Node Details'!$B:$U,C$1,0),"Check"),"")</f>
        <v>0000AXW09-AXW090101</v>
      </c>
      <c r="D960" s="74" t="str">
        <f>IF($B960&lt;&gt;"",_xlfn.IFNA(VLOOKUP($B960,'Node Details'!$B:$U,D$1,0),"Check"),"")</f>
        <v>AXW</v>
      </c>
      <c r="E960" s="74" t="str">
        <f>IF($B960&lt;&gt;"",_xlfn.IFNA(VLOOKUP($B960,'Node Details'!$B:$U,E$1,0),"Check"),"")</f>
        <v>Airtel</v>
      </c>
      <c r="F960" s="76">
        <v>46114</v>
      </c>
      <c r="G960" s="74"/>
      <c r="H960" s="10" t="s">
        <v>1250</v>
      </c>
      <c r="I960" s="9">
        <v>2</v>
      </c>
      <c r="J960" s="9">
        <v>150</v>
      </c>
      <c r="K960" s="77">
        <f t="shared" si="81"/>
        <v>300</v>
      </c>
      <c r="L960" s="76">
        <v>46112</v>
      </c>
      <c r="N960" s="83"/>
      <c r="O960" s="84"/>
      <c r="P960" s="81"/>
      <c r="Q960" s="81"/>
      <c r="R960" s="81"/>
      <c r="S960" s="81"/>
      <c r="T960" s="85"/>
      <c r="U960" s="81"/>
      <c r="V960" s="81"/>
      <c r="W960" s="123">
        <f t="shared" si="82"/>
        <v>0</v>
      </c>
      <c r="X960" s="123" t="s">
        <v>84</v>
      </c>
      <c r="Y960" s="114" t="s">
        <v>93</v>
      </c>
    </row>
    <row r="961" spans="1:25" s="24" customFormat="1" ht="11.1" customHeight="1">
      <c r="A961" s="74">
        <f t="shared" si="80"/>
        <v>959</v>
      </c>
      <c r="B961" s="75" t="s">
        <v>461</v>
      </c>
      <c r="C961" s="74" t="str">
        <f>IF($B961&lt;&gt;"",_xlfn.IFNA(VLOOKUP($B961,'Node Details'!$B:$U,C$1,0),"Check"),"")</f>
        <v>0000AXW09-AXW090102</v>
      </c>
      <c r="D961" s="74" t="str">
        <f>IF($B961&lt;&gt;"",_xlfn.IFNA(VLOOKUP($B961,'Node Details'!$B:$U,D$1,0),"Check"),"")</f>
        <v>AXW</v>
      </c>
      <c r="E961" s="74" t="str">
        <f>IF($B961&lt;&gt;"",_xlfn.IFNA(VLOOKUP($B961,'Node Details'!$B:$U,E$1,0),"Check"),"")</f>
        <v>Airtel</v>
      </c>
      <c r="F961" s="76">
        <v>46114</v>
      </c>
      <c r="G961" s="74"/>
      <c r="H961" s="10" t="s">
        <v>1250</v>
      </c>
      <c r="I961" s="9">
        <v>2</v>
      </c>
      <c r="J961" s="9">
        <v>150</v>
      </c>
      <c r="K961" s="77">
        <f t="shared" si="81"/>
        <v>300</v>
      </c>
      <c r="L961" s="76">
        <v>46112</v>
      </c>
      <c r="N961" s="83"/>
      <c r="O961" s="84"/>
      <c r="P961" s="81"/>
      <c r="Q961" s="81"/>
      <c r="R961" s="81"/>
      <c r="S961" s="81"/>
      <c r="T961" s="85"/>
      <c r="U961" s="81"/>
      <c r="V961" s="81"/>
      <c r="W961" s="123">
        <f t="shared" si="82"/>
        <v>0</v>
      </c>
      <c r="X961" s="123" t="s">
        <v>84</v>
      </c>
      <c r="Y961" s="114" t="s">
        <v>93</v>
      </c>
    </row>
    <row r="962" spans="1:25" s="24" customFormat="1" ht="11.1" customHeight="1">
      <c r="A962" s="74">
        <f t="shared" si="80"/>
        <v>960</v>
      </c>
      <c r="B962" s="75" t="s">
        <v>1082</v>
      </c>
      <c r="C962" s="74" t="str">
        <f>IF($B962&lt;&gt;"",_xlfn.IFNA(VLOOKUP($B962,'Node Details'!$B:$U,C$1,0),"Check"),"")</f>
        <v>0000AXW09-AXW090106</v>
      </c>
      <c r="D962" s="74" t="str">
        <f>IF($B962&lt;&gt;"",_xlfn.IFNA(VLOOKUP($B962,'Node Details'!$B:$U,D$1,0),"Check"),"")</f>
        <v>AXW</v>
      </c>
      <c r="E962" s="74" t="str">
        <f>IF($B962&lt;&gt;"",_xlfn.IFNA(VLOOKUP($B962,'Node Details'!$B:$U,E$1,0),"Check"),"")</f>
        <v>Airtel</v>
      </c>
      <c r="F962" s="76">
        <v>46114</v>
      </c>
      <c r="G962" s="74"/>
      <c r="H962" s="10" t="s">
        <v>1250</v>
      </c>
      <c r="I962" s="9">
        <v>2</v>
      </c>
      <c r="J962" s="9">
        <v>150</v>
      </c>
      <c r="K962" s="77">
        <f t="shared" si="81"/>
        <v>300</v>
      </c>
      <c r="L962" s="76">
        <v>46112</v>
      </c>
      <c r="N962" s="83"/>
      <c r="O962" s="84"/>
      <c r="P962" s="81"/>
      <c r="Q962" s="81"/>
      <c r="R962" s="81"/>
      <c r="S962" s="81"/>
      <c r="T962" s="85"/>
      <c r="U962" s="81"/>
      <c r="V962" s="81"/>
      <c r="W962" s="123">
        <f t="shared" si="82"/>
        <v>0</v>
      </c>
      <c r="X962" s="123" t="s">
        <v>84</v>
      </c>
      <c r="Y962" s="114" t="s">
        <v>93</v>
      </c>
    </row>
    <row r="963" spans="1:25" s="24" customFormat="1" ht="11.1" customHeight="1">
      <c r="A963" s="74">
        <f t="shared" si="80"/>
        <v>961</v>
      </c>
      <c r="B963" s="75" t="s">
        <v>1083</v>
      </c>
      <c r="C963" s="74" t="str">
        <f>IF($B963&lt;&gt;"",_xlfn.IFNA(VLOOKUP($B963,'Node Details'!$B:$U,C$1,0),"Check"),"")</f>
        <v>0000AXW09-AXW090106</v>
      </c>
      <c r="D963" s="74" t="str">
        <f>IF($B963&lt;&gt;"",_xlfn.IFNA(VLOOKUP($B963,'Node Details'!$B:$U,D$1,0),"Check"),"")</f>
        <v>AXW</v>
      </c>
      <c r="E963" s="74" t="str">
        <f>IF($B963&lt;&gt;"",_xlfn.IFNA(VLOOKUP($B963,'Node Details'!$B:$U,E$1,0),"Check"),"")</f>
        <v>Airtel</v>
      </c>
      <c r="F963" s="76">
        <v>46114</v>
      </c>
      <c r="G963" s="74"/>
      <c r="H963" s="10" t="s">
        <v>1250</v>
      </c>
      <c r="I963" s="9">
        <v>2</v>
      </c>
      <c r="J963" s="9">
        <v>150</v>
      </c>
      <c r="K963" s="77">
        <f t="shared" si="81"/>
        <v>300</v>
      </c>
      <c r="L963" s="76">
        <v>46112</v>
      </c>
      <c r="N963" s="83"/>
      <c r="O963" s="84"/>
      <c r="P963" s="81"/>
      <c r="Q963" s="81"/>
      <c r="R963" s="81"/>
      <c r="S963" s="81"/>
      <c r="T963" s="85"/>
      <c r="U963" s="81"/>
      <c r="V963" s="81"/>
      <c r="W963" s="123">
        <f t="shared" si="82"/>
        <v>0</v>
      </c>
      <c r="X963" s="123" t="s">
        <v>84</v>
      </c>
      <c r="Y963" s="114" t="s">
        <v>93</v>
      </c>
    </row>
    <row r="964" spans="1:25" s="24" customFormat="1" ht="11.1" customHeight="1">
      <c r="A964" s="74">
        <f t="shared" ref="A964:A1027" si="83">A963+1</f>
        <v>962</v>
      </c>
      <c r="B964" s="75" t="s">
        <v>1084</v>
      </c>
      <c r="C964" s="74" t="str">
        <f>IF($B964&lt;&gt;"",_xlfn.IFNA(VLOOKUP($B964,'Node Details'!$B:$U,C$1,0),"Check"),"")</f>
        <v>0000AXW09-AXW090106</v>
      </c>
      <c r="D964" s="74" t="str">
        <f>IF($B964&lt;&gt;"",_xlfn.IFNA(VLOOKUP($B964,'Node Details'!$B:$U,D$1,0),"Check"),"")</f>
        <v>AXW</v>
      </c>
      <c r="E964" s="74" t="str">
        <f>IF($B964&lt;&gt;"",_xlfn.IFNA(VLOOKUP($B964,'Node Details'!$B:$U,E$1,0),"Check"),"")</f>
        <v>Airtel</v>
      </c>
      <c r="F964" s="76">
        <v>46114</v>
      </c>
      <c r="G964" s="74"/>
      <c r="H964" s="10" t="s">
        <v>1250</v>
      </c>
      <c r="I964" s="9">
        <v>2</v>
      </c>
      <c r="J964" s="9">
        <v>150</v>
      </c>
      <c r="K964" s="77">
        <f t="shared" si="81"/>
        <v>300</v>
      </c>
      <c r="L964" s="76">
        <v>46112</v>
      </c>
      <c r="N964" s="83"/>
      <c r="O964" s="84"/>
      <c r="P964" s="81"/>
      <c r="Q964" s="81"/>
      <c r="R964" s="81"/>
      <c r="S964" s="81"/>
      <c r="T964" s="85"/>
      <c r="U964" s="81"/>
      <c r="V964" s="81"/>
      <c r="W964" s="123">
        <f t="shared" si="82"/>
        <v>0</v>
      </c>
      <c r="X964" s="123" t="s">
        <v>84</v>
      </c>
      <c r="Y964" s="114" t="s">
        <v>93</v>
      </c>
    </row>
    <row r="965" spans="1:25" s="24" customFormat="1" ht="11.1" customHeight="1">
      <c r="A965" s="74">
        <f t="shared" si="83"/>
        <v>963</v>
      </c>
      <c r="B965" s="75" t="s">
        <v>463</v>
      </c>
      <c r="C965" s="74" t="str">
        <f>IF($B965&lt;&gt;"",_xlfn.IFNA(VLOOKUP($B965,'Node Details'!$B:$U,C$1,0),"Check"),"")</f>
        <v>0000AXW09-AXW090106</v>
      </c>
      <c r="D965" s="74" t="str">
        <f>IF($B965&lt;&gt;"",_xlfn.IFNA(VLOOKUP($B965,'Node Details'!$B:$U,D$1,0),"Check"),"")</f>
        <v>AXW</v>
      </c>
      <c r="E965" s="74" t="str">
        <f>IF($B965&lt;&gt;"",_xlfn.IFNA(VLOOKUP($B965,'Node Details'!$B:$U,E$1,0),"Check"),"")</f>
        <v>Airtel</v>
      </c>
      <c r="F965" s="76">
        <v>46114</v>
      </c>
      <c r="G965" s="74"/>
      <c r="H965" s="10" t="s">
        <v>1250</v>
      </c>
      <c r="I965" s="9">
        <v>2</v>
      </c>
      <c r="J965" s="9">
        <v>150</v>
      </c>
      <c r="K965" s="77">
        <f t="shared" si="81"/>
        <v>300</v>
      </c>
      <c r="L965" s="76">
        <v>46112</v>
      </c>
      <c r="N965" s="83"/>
      <c r="O965" s="84"/>
      <c r="P965" s="81"/>
      <c r="Q965" s="81"/>
      <c r="R965" s="81"/>
      <c r="S965" s="81"/>
      <c r="T965" s="85"/>
      <c r="U965" s="81"/>
      <c r="V965" s="81"/>
      <c r="W965" s="123">
        <f t="shared" si="82"/>
        <v>0</v>
      </c>
      <c r="X965" s="123" t="s">
        <v>84</v>
      </c>
      <c r="Y965" s="114" t="s">
        <v>93</v>
      </c>
    </row>
    <row r="966" spans="1:25" s="24" customFormat="1" ht="11.1" customHeight="1">
      <c r="A966" s="74">
        <f t="shared" si="83"/>
        <v>964</v>
      </c>
      <c r="B966" s="75" t="s">
        <v>383</v>
      </c>
      <c r="C966" s="74" t="str">
        <f>IF($B966&lt;&gt;"",_xlfn.IFNA(VLOOKUP($B966,'Node Details'!$B:$U,C$1,0),"Check"),"")</f>
        <v>000000AXW-0000AXW12</v>
      </c>
      <c r="D966" s="74" t="str">
        <f>IF($B966&lt;&gt;"",_xlfn.IFNA(VLOOKUP($B966,'Node Details'!$B:$U,D$1,0),"Check"),"")</f>
        <v>AXW</v>
      </c>
      <c r="E966" s="74" t="str">
        <f>IF($B966&lt;&gt;"",_xlfn.IFNA(VLOOKUP($B966,'Node Details'!$B:$U,E$1,0),"Check"),"")</f>
        <v>Airtel</v>
      </c>
      <c r="F966" s="76">
        <v>46114</v>
      </c>
      <c r="G966" s="74"/>
      <c r="H966" s="10" t="s">
        <v>1250</v>
      </c>
      <c r="I966" s="9">
        <v>2</v>
      </c>
      <c r="J966" s="9">
        <v>150</v>
      </c>
      <c r="K966" s="77">
        <f t="shared" si="81"/>
        <v>300</v>
      </c>
      <c r="L966" s="76">
        <v>46112</v>
      </c>
      <c r="N966" s="83"/>
      <c r="O966" s="84"/>
      <c r="P966" s="81"/>
      <c r="Q966" s="81"/>
      <c r="R966" s="81"/>
      <c r="S966" s="81"/>
      <c r="T966" s="85"/>
      <c r="U966" s="81"/>
      <c r="V966" s="81"/>
      <c r="W966" s="123">
        <f t="shared" si="82"/>
        <v>0</v>
      </c>
      <c r="X966" s="123" t="s">
        <v>84</v>
      </c>
      <c r="Y966" s="114" t="s">
        <v>93</v>
      </c>
    </row>
    <row r="967" spans="1:25" s="24" customFormat="1" ht="11.1" customHeight="1">
      <c r="A967" s="74">
        <f t="shared" si="83"/>
        <v>965</v>
      </c>
      <c r="B967" s="75" t="s">
        <v>471</v>
      </c>
      <c r="C967" s="74" t="str">
        <f>IF($B967&lt;&gt;"",_xlfn.IFNA(VLOOKUP($B967,'Node Details'!$B:$U,C$1,0),"Check"),"")</f>
        <v>0000AXW10-AXW100107</v>
      </c>
      <c r="D967" s="74" t="str">
        <f>IF($B967&lt;&gt;"",_xlfn.IFNA(VLOOKUP($B967,'Node Details'!$B:$U,D$1,0),"Check"),"")</f>
        <v>AXW</v>
      </c>
      <c r="E967" s="74" t="str">
        <f>IF($B967&lt;&gt;"",_xlfn.IFNA(VLOOKUP($B967,'Node Details'!$B:$U,E$1,0),"Check"),"")</f>
        <v>Airtel</v>
      </c>
      <c r="F967" s="76">
        <v>46114</v>
      </c>
      <c r="G967" s="74"/>
      <c r="H967" s="10" t="s">
        <v>1250</v>
      </c>
      <c r="I967" s="9">
        <v>2</v>
      </c>
      <c r="J967" s="9">
        <v>150</v>
      </c>
      <c r="K967" s="77">
        <f t="shared" si="81"/>
        <v>300</v>
      </c>
      <c r="L967" s="76">
        <v>46112</v>
      </c>
      <c r="N967" s="83"/>
      <c r="O967" s="84"/>
      <c r="P967" s="81"/>
      <c r="Q967" s="81"/>
      <c r="R967" s="81"/>
      <c r="S967" s="81"/>
      <c r="T967" s="85"/>
      <c r="U967" s="81"/>
      <c r="V967" s="81"/>
      <c r="W967" s="123">
        <f t="shared" si="82"/>
        <v>0</v>
      </c>
      <c r="X967" s="123" t="s">
        <v>84</v>
      </c>
      <c r="Y967" s="114" t="s">
        <v>93</v>
      </c>
    </row>
    <row r="968" spans="1:25" s="24" customFormat="1" ht="11.1" customHeight="1">
      <c r="A968" s="74">
        <f t="shared" si="83"/>
        <v>966</v>
      </c>
      <c r="B968" s="75" t="s">
        <v>467</v>
      </c>
      <c r="C968" s="74" t="str">
        <f>IF($B968&lt;&gt;"",_xlfn.IFNA(VLOOKUP($B968,'Node Details'!$B:$U,C$1,0),"Check"),"")</f>
        <v>0000AXW10-AXW100102</v>
      </c>
      <c r="D968" s="74" t="str">
        <f>IF($B968&lt;&gt;"",_xlfn.IFNA(VLOOKUP($B968,'Node Details'!$B:$U,D$1,0),"Check"),"")</f>
        <v>AXW</v>
      </c>
      <c r="E968" s="74" t="str">
        <f>IF($B968&lt;&gt;"",_xlfn.IFNA(VLOOKUP($B968,'Node Details'!$B:$U,E$1,0),"Check"),"")</f>
        <v>Airtel</v>
      </c>
      <c r="F968" s="76">
        <v>46114</v>
      </c>
      <c r="G968" s="74"/>
      <c r="H968" s="10" t="s">
        <v>1250</v>
      </c>
      <c r="I968" s="9">
        <v>2</v>
      </c>
      <c r="J968" s="9">
        <v>150</v>
      </c>
      <c r="K968" s="77">
        <f t="shared" si="81"/>
        <v>300</v>
      </c>
      <c r="L968" s="76">
        <v>46112</v>
      </c>
      <c r="N968" s="83"/>
      <c r="O968" s="84"/>
      <c r="P968" s="81"/>
      <c r="Q968" s="81"/>
      <c r="R968" s="81"/>
      <c r="S968" s="81"/>
      <c r="T968" s="85"/>
      <c r="U968" s="81"/>
      <c r="V968" s="81"/>
      <c r="W968" s="123">
        <f t="shared" si="82"/>
        <v>0</v>
      </c>
      <c r="X968" s="123" t="s">
        <v>84</v>
      </c>
      <c r="Y968" s="114" t="s">
        <v>93</v>
      </c>
    </row>
    <row r="969" spans="1:25" s="24" customFormat="1" ht="11.1" customHeight="1">
      <c r="A969" s="74">
        <f t="shared" si="83"/>
        <v>967</v>
      </c>
      <c r="B969" s="75" t="s">
        <v>1085</v>
      </c>
      <c r="C969" s="74" t="str">
        <f>IF($B969&lt;&gt;"",_xlfn.IFNA(VLOOKUP($B969,'Node Details'!$B:$U,C$1,0),"Check"),"")</f>
        <v>0000AXW10-AXW100105</v>
      </c>
      <c r="D969" s="74" t="str">
        <f>IF($B969&lt;&gt;"",_xlfn.IFNA(VLOOKUP($B969,'Node Details'!$B:$U,D$1,0),"Check"),"")</f>
        <v>AXW</v>
      </c>
      <c r="E969" s="74" t="str">
        <f>IF($B969&lt;&gt;"",_xlfn.IFNA(VLOOKUP($B969,'Node Details'!$B:$U,E$1,0),"Check"),"")</f>
        <v>Airtel</v>
      </c>
      <c r="F969" s="76">
        <v>46114</v>
      </c>
      <c r="G969" s="74"/>
      <c r="H969" s="10" t="s">
        <v>1250</v>
      </c>
      <c r="I969" s="9">
        <v>2</v>
      </c>
      <c r="J969" s="9">
        <v>150</v>
      </c>
      <c r="K969" s="77">
        <f t="shared" si="81"/>
        <v>300</v>
      </c>
      <c r="L969" s="76">
        <v>46112</v>
      </c>
      <c r="N969" s="83"/>
      <c r="O969" s="84"/>
      <c r="P969" s="81"/>
      <c r="Q969" s="81"/>
      <c r="R969" s="81"/>
      <c r="S969" s="81"/>
      <c r="T969" s="85"/>
      <c r="U969" s="81"/>
      <c r="V969" s="81"/>
      <c r="W969" s="123">
        <f t="shared" si="82"/>
        <v>0</v>
      </c>
      <c r="X969" s="123" t="s">
        <v>84</v>
      </c>
      <c r="Y969" s="114" t="s">
        <v>93</v>
      </c>
    </row>
    <row r="970" spans="1:25" s="24" customFormat="1" ht="11.1" customHeight="1">
      <c r="A970" s="74">
        <f t="shared" si="83"/>
        <v>968</v>
      </c>
      <c r="B970" s="75" t="s">
        <v>1086</v>
      </c>
      <c r="C970" s="74" t="str">
        <f>IF($B970&lt;&gt;"",_xlfn.IFNA(VLOOKUP($B970,'Node Details'!$B:$U,C$1,0),"Check"),"")</f>
        <v>0000AXW10-AXW100105</v>
      </c>
      <c r="D970" s="74" t="str">
        <f>IF($B970&lt;&gt;"",_xlfn.IFNA(VLOOKUP($B970,'Node Details'!$B:$U,D$1,0),"Check"),"")</f>
        <v>AXW</v>
      </c>
      <c r="E970" s="74" t="str">
        <f>IF($B970&lt;&gt;"",_xlfn.IFNA(VLOOKUP($B970,'Node Details'!$B:$U,E$1,0),"Check"),"")</f>
        <v>Airtel</v>
      </c>
      <c r="F970" s="76">
        <v>46114</v>
      </c>
      <c r="G970" s="74"/>
      <c r="H970" s="10" t="s">
        <v>1250</v>
      </c>
      <c r="I970" s="9">
        <v>2</v>
      </c>
      <c r="J970" s="9">
        <v>150</v>
      </c>
      <c r="K970" s="77">
        <f t="shared" si="81"/>
        <v>300</v>
      </c>
      <c r="L970" s="76">
        <v>46112</v>
      </c>
      <c r="N970" s="83"/>
      <c r="O970" s="84"/>
      <c r="P970" s="81"/>
      <c r="Q970" s="81"/>
      <c r="R970" s="81"/>
      <c r="S970" s="81"/>
      <c r="T970" s="85"/>
      <c r="U970" s="81"/>
      <c r="V970" s="81"/>
      <c r="W970" s="123">
        <f t="shared" si="82"/>
        <v>0</v>
      </c>
      <c r="X970" s="123" t="s">
        <v>84</v>
      </c>
      <c r="Y970" s="114" t="s">
        <v>93</v>
      </c>
    </row>
    <row r="971" spans="1:25" s="24" customFormat="1" ht="11.1" customHeight="1">
      <c r="A971" s="74">
        <f t="shared" si="83"/>
        <v>969</v>
      </c>
      <c r="B971" s="75" t="s">
        <v>469</v>
      </c>
      <c r="C971" s="74" t="str">
        <f>IF($B971&lt;&gt;"",_xlfn.IFNA(VLOOKUP($B971,'Node Details'!$B:$U,C$1,0),"Check"),"")</f>
        <v>0000AXW10-AXW100105</v>
      </c>
      <c r="D971" s="74" t="str">
        <f>IF($B971&lt;&gt;"",_xlfn.IFNA(VLOOKUP($B971,'Node Details'!$B:$U,D$1,0),"Check"),"")</f>
        <v>AXW</v>
      </c>
      <c r="E971" s="74" t="str">
        <f>IF($B971&lt;&gt;"",_xlfn.IFNA(VLOOKUP($B971,'Node Details'!$B:$U,E$1,0),"Check"),"")</f>
        <v>Airtel</v>
      </c>
      <c r="F971" s="76">
        <v>46114</v>
      </c>
      <c r="G971" s="74"/>
      <c r="H971" s="10" t="s">
        <v>1250</v>
      </c>
      <c r="I971" s="9">
        <v>2</v>
      </c>
      <c r="J971" s="9">
        <v>150</v>
      </c>
      <c r="K971" s="77">
        <f t="shared" si="81"/>
        <v>300</v>
      </c>
      <c r="L971" s="76">
        <v>46112</v>
      </c>
      <c r="N971" s="83"/>
      <c r="O971" s="84"/>
      <c r="P971" s="81"/>
      <c r="Q971" s="81"/>
      <c r="R971" s="81"/>
      <c r="S971" s="81"/>
      <c r="T971" s="85"/>
      <c r="U971" s="81"/>
      <c r="V971" s="81"/>
      <c r="W971" s="123">
        <f t="shared" si="82"/>
        <v>0</v>
      </c>
      <c r="X971" s="123" t="s">
        <v>84</v>
      </c>
      <c r="Y971" s="114" t="s">
        <v>93</v>
      </c>
    </row>
    <row r="972" spans="1:25" s="24" customFormat="1" ht="11.1" customHeight="1">
      <c r="A972" s="74">
        <f t="shared" si="83"/>
        <v>970</v>
      </c>
      <c r="B972" s="75" t="s">
        <v>1087</v>
      </c>
      <c r="C972" s="74" t="str">
        <f>IF($B972&lt;&gt;"",_xlfn.IFNA(VLOOKUP($B972,'Node Details'!$B:$U,C$1,0),"Check"),"")</f>
        <v>0000AXW10-AXW100107</v>
      </c>
      <c r="D972" s="74" t="str">
        <f>IF($B972&lt;&gt;"",_xlfn.IFNA(VLOOKUP($B972,'Node Details'!$B:$U,D$1,0),"Check"),"")</f>
        <v>AXW</v>
      </c>
      <c r="E972" s="74" t="str">
        <f>IF($B972&lt;&gt;"",_xlfn.IFNA(VLOOKUP($B972,'Node Details'!$B:$U,E$1,0),"Check"),"")</f>
        <v>Airtel</v>
      </c>
      <c r="F972" s="76">
        <v>46114</v>
      </c>
      <c r="G972" s="74"/>
      <c r="H972" s="10" t="s">
        <v>1250</v>
      </c>
      <c r="I972" s="9">
        <v>2</v>
      </c>
      <c r="J972" s="9">
        <v>150</v>
      </c>
      <c r="K972" s="77">
        <f t="shared" si="81"/>
        <v>300</v>
      </c>
      <c r="L972" s="76">
        <v>46112</v>
      </c>
      <c r="N972" s="83"/>
      <c r="O972" s="84"/>
      <c r="P972" s="81"/>
      <c r="Q972" s="81"/>
      <c r="R972" s="81"/>
      <c r="S972" s="81"/>
      <c r="T972" s="85"/>
      <c r="U972" s="81"/>
      <c r="V972" s="81"/>
      <c r="W972" s="123">
        <f t="shared" si="82"/>
        <v>0</v>
      </c>
      <c r="X972" s="123" t="s">
        <v>84</v>
      </c>
      <c r="Y972" s="114" t="s">
        <v>93</v>
      </c>
    </row>
    <row r="973" spans="1:25" s="24" customFormat="1" ht="11.1" customHeight="1">
      <c r="A973" s="74">
        <f t="shared" si="83"/>
        <v>971</v>
      </c>
      <c r="B973" s="75" t="s">
        <v>465</v>
      </c>
      <c r="C973" s="74" t="str">
        <f>IF($B973&lt;&gt;"",_xlfn.IFNA(VLOOKUP($B973,'Node Details'!$B:$U,C$1,0),"Check"),"")</f>
        <v>0000AXW10-AXW100107</v>
      </c>
      <c r="D973" s="74" t="str">
        <f>IF($B973&lt;&gt;"",_xlfn.IFNA(VLOOKUP($B973,'Node Details'!$B:$U,D$1,0),"Check"),"")</f>
        <v>AXW</v>
      </c>
      <c r="E973" s="74" t="str">
        <f>IF($B973&lt;&gt;"",_xlfn.IFNA(VLOOKUP($B973,'Node Details'!$B:$U,E$1,0),"Check"),"")</f>
        <v>Airtel</v>
      </c>
      <c r="F973" s="76">
        <v>46114</v>
      </c>
      <c r="G973" s="74"/>
      <c r="H973" s="10" t="s">
        <v>1250</v>
      </c>
      <c r="I973" s="9">
        <v>2</v>
      </c>
      <c r="J973" s="9">
        <v>150</v>
      </c>
      <c r="K973" s="77">
        <f t="shared" si="81"/>
        <v>300</v>
      </c>
      <c r="L973" s="76">
        <v>46112</v>
      </c>
      <c r="N973" s="83"/>
      <c r="O973" s="84"/>
      <c r="P973" s="81"/>
      <c r="Q973" s="81"/>
      <c r="R973" s="81"/>
      <c r="S973" s="81"/>
      <c r="T973" s="85"/>
      <c r="U973" s="81"/>
      <c r="V973" s="81"/>
      <c r="W973" s="123">
        <f t="shared" si="82"/>
        <v>0</v>
      </c>
      <c r="X973" s="123" t="s">
        <v>84</v>
      </c>
      <c r="Y973" s="114" t="s">
        <v>93</v>
      </c>
    </row>
    <row r="974" spans="1:25" s="24" customFormat="1" ht="11.1" customHeight="1">
      <c r="A974" s="74">
        <f t="shared" si="83"/>
        <v>972</v>
      </c>
      <c r="B974" s="75" t="s">
        <v>1088</v>
      </c>
      <c r="C974" s="74" t="str">
        <f>IF($B974&lt;&gt;"",_xlfn.IFNA(VLOOKUP($B974,'Node Details'!$B:$U,C$1,0),"Check"),"")</f>
        <v>AXW100101-AXW100201</v>
      </c>
      <c r="D974" s="74" t="str">
        <f>IF($B974&lt;&gt;"",_xlfn.IFNA(VLOOKUP($B974,'Node Details'!$B:$U,D$1,0),"Check"),"")</f>
        <v>AXW</v>
      </c>
      <c r="E974" s="74" t="str">
        <f>IF($B974&lt;&gt;"",_xlfn.IFNA(VLOOKUP($B974,'Node Details'!$B:$U,E$1,0),"Check"),"")</f>
        <v>Airtel</v>
      </c>
      <c r="F974" s="76">
        <v>46114</v>
      </c>
      <c r="G974" s="74"/>
      <c r="H974" s="10" t="s">
        <v>1250</v>
      </c>
      <c r="I974" s="9">
        <v>2</v>
      </c>
      <c r="J974" s="9">
        <v>150</v>
      </c>
      <c r="K974" s="77">
        <f t="shared" si="81"/>
        <v>300</v>
      </c>
      <c r="L974" s="76">
        <v>46112</v>
      </c>
      <c r="N974" s="83"/>
      <c r="O974" s="84"/>
      <c r="P974" s="81"/>
      <c r="Q974" s="81"/>
      <c r="R974" s="81"/>
      <c r="S974" s="81"/>
      <c r="T974" s="85"/>
      <c r="U974" s="81"/>
      <c r="V974" s="81"/>
      <c r="W974" s="123">
        <f t="shared" si="82"/>
        <v>0</v>
      </c>
      <c r="X974" s="123" t="s">
        <v>84</v>
      </c>
      <c r="Y974" s="114" t="s">
        <v>93</v>
      </c>
    </row>
    <row r="975" spans="1:25" s="24" customFormat="1" ht="11.1" customHeight="1">
      <c r="A975" s="74">
        <f t="shared" si="83"/>
        <v>973</v>
      </c>
      <c r="B975" s="75" t="s">
        <v>472</v>
      </c>
      <c r="C975" s="74" t="str">
        <f>IF($B975&lt;&gt;"",_xlfn.IFNA(VLOOKUP($B975,'Node Details'!$B:$U,C$1,0),"Check"),"")</f>
        <v>AXW100101-AXW100201</v>
      </c>
      <c r="D975" s="74" t="str">
        <f>IF($B975&lt;&gt;"",_xlfn.IFNA(VLOOKUP($B975,'Node Details'!$B:$U,D$1,0),"Check"),"")</f>
        <v>AXW</v>
      </c>
      <c r="E975" s="74" t="str">
        <f>IF($B975&lt;&gt;"",_xlfn.IFNA(VLOOKUP($B975,'Node Details'!$B:$U,E$1,0),"Check"),"")</f>
        <v>Airtel</v>
      </c>
      <c r="F975" s="76">
        <v>46114</v>
      </c>
      <c r="G975" s="74"/>
      <c r="H975" s="10" t="s">
        <v>1250</v>
      </c>
      <c r="I975" s="9">
        <v>2</v>
      </c>
      <c r="J975" s="9">
        <v>150</v>
      </c>
      <c r="K975" s="77">
        <f t="shared" ref="K975:K1038" si="84">IF(I975&lt;&gt;"",J975*I975,0)</f>
        <v>300</v>
      </c>
      <c r="L975" s="76">
        <v>46112</v>
      </c>
      <c r="N975" s="83"/>
      <c r="O975" s="84"/>
      <c r="P975" s="81"/>
      <c r="Q975" s="81"/>
      <c r="R975" s="81"/>
      <c r="S975" s="81"/>
      <c r="T975" s="85"/>
      <c r="U975" s="81"/>
      <c r="V975" s="81"/>
      <c r="W975" s="123">
        <f t="shared" ref="W975:W1038" si="85">IF(V975&lt;&gt;"",V975*U975,0)</f>
        <v>0</v>
      </c>
      <c r="X975" s="123" t="s">
        <v>84</v>
      </c>
      <c r="Y975" s="114" t="s">
        <v>93</v>
      </c>
    </row>
    <row r="976" spans="1:25" s="24" customFormat="1" ht="11.1" customHeight="1">
      <c r="A976" s="74">
        <f t="shared" si="83"/>
        <v>974</v>
      </c>
      <c r="B976" s="75" t="s">
        <v>474</v>
      </c>
      <c r="C976" s="74" t="str">
        <f>IF($B976&lt;&gt;"",_xlfn.IFNA(VLOOKUP($B976,'Node Details'!$B:$U,C$1,0),"Check"),"")</f>
        <v>000000AXW-0000AXW12</v>
      </c>
      <c r="D976" s="74" t="str">
        <f>IF($B976&lt;&gt;"",_xlfn.IFNA(VLOOKUP($B976,'Node Details'!$B:$U,D$1,0),"Check"),"")</f>
        <v>AXW</v>
      </c>
      <c r="E976" s="74" t="str">
        <f>IF($B976&lt;&gt;"",_xlfn.IFNA(VLOOKUP($B976,'Node Details'!$B:$U,E$1,0),"Check"),"")</f>
        <v>Airtel</v>
      </c>
      <c r="F976" s="76">
        <v>46114</v>
      </c>
      <c r="G976" s="74"/>
      <c r="H976" s="10" t="s">
        <v>1250</v>
      </c>
      <c r="I976" s="9">
        <v>2</v>
      </c>
      <c r="J976" s="9">
        <v>150</v>
      </c>
      <c r="K976" s="77">
        <f t="shared" si="84"/>
        <v>300</v>
      </c>
      <c r="L976" s="76">
        <v>46112</v>
      </c>
      <c r="N976" s="83"/>
      <c r="O976" s="84"/>
      <c r="P976" s="81"/>
      <c r="Q976" s="81"/>
      <c r="R976" s="81"/>
      <c r="S976" s="81"/>
      <c r="T976" s="85"/>
      <c r="U976" s="81"/>
      <c r="V976" s="81"/>
      <c r="W976" s="123">
        <f t="shared" si="85"/>
        <v>0</v>
      </c>
      <c r="X976" s="123" t="s">
        <v>84</v>
      </c>
      <c r="Y976" s="114" t="s">
        <v>93</v>
      </c>
    </row>
    <row r="977" spans="1:25" s="24" customFormat="1" ht="11.1" customHeight="1">
      <c r="A977" s="74">
        <f t="shared" si="83"/>
        <v>975</v>
      </c>
      <c r="B977" s="75" t="s">
        <v>475</v>
      </c>
      <c r="C977" s="74" t="str">
        <f>IF($B977&lt;&gt;"",_xlfn.IFNA(VLOOKUP($B977,'Node Details'!$B:$U,C$1,0),"Check"),"")</f>
        <v>0000AXW11-AXW110101</v>
      </c>
      <c r="D977" s="74" t="str">
        <f>IF($B977&lt;&gt;"",_xlfn.IFNA(VLOOKUP($B977,'Node Details'!$B:$U,D$1,0),"Check"),"")</f>
        <v>AXW</v>
      </c>
      <c r="E977" s="74" t="str">
        <f>IF($B977&lt;&gt;"",_xlfn.IFNA(VLOOKUP($B977,'Node Details'!$B:$U,E$1,0),"Check"),"")</f>
        <v>Airtel</v>
      </c>
      <c r="F977" s="76">
        <v>46114</v>
      </c>
      <c r="G977" s="74"/>
      <c r="H977" s="10" t="s">
        <v>1250</v>
      </c>
      <c r="I977" s="9">
        <v>2</v>
      </c>
      <c r="J977" s="9">
        <v>150</v>
      </c>
      <c r="K977" s="77">
        <f t="shared" si="84"/>
        <v>300</v>
      </c>
      <c r="L977" s="76">
        <v>46112</v>
      </c>
      <c r="N977" s="83"/>
      <c r="O977" s="84"/>
      <c r="P977" s="81"/>
      <c r="Q977" s="81"/>
      <c r="R977" s="81"/>
      <c r="S977" s="81"/>
      <c r="T977" s="85"/>
      <c r="U977" s="81"/>
      <c r="V977" s="81"/>
      <c r="W977" s="123">
        <f t="shared" si="85"/>
        <v>0</v>
      </c>
      <c r="X977" s="123" t="s">
        <v>84</v>
      </c>
      <c r="Y977" s="114" t="s">
        <v>93</v>
      </c>
    </row>
    <row r="978" spans="1:25" s="24" customFormat="1" ht="11.1" customHeight="1">
      <c r="A978" s="74">
        <f t="shared" si="83"/>
        <v>976</v>
      </c>
      <c r="B978" s="75" t="s">
        <v>1089</v>
      </c>
      <c r="C978" s="74" t="str">
        <f>IF($B978&lt;&gt;"",_xlfn.IFNA(VLOOKUP($B978,'Node Details'!$B:$U,C$1,0),"Check"),"")</f>
        <v>0000AXW11-AXW110103</v>
      </c>
      <c r="D978" s="74" t="str">
        <f>IF($B978&lt;&gt;"",_xlfn.IFNA(VLOOKUP($B978,'Node Details'!$B:$U,D$1,0),"Check"),"")</f>
        <v>AXW</v>
      </c>
      <c r="E978" s="74" t="str">
        <f>IF($B978&lt;&gt;"",_xlfn.IFNA(VLOOKUP($B978,'Node Details'!$B:$U,E$1,0),"Check"),"")</f>
        <v>Airtel</v>
      </c>
      <c r="F978" s="76">
        <v>46114</v>
      </c>
      <c r="G978" s="74"/>
      <c r="H978" s="10" t="s">
        <v>1250</v>
      </c>
      <c r="I978" s="9">
        <v>2</v>
      </c>
      <c r="J978" s="9">
        <v>150</v>
      </c>
      <c r="K978" s="77">
        <f t="shared" si="84"/>
        <v>300</v>
      </c>
      <c r="L978" s="76">
        <v>46112</v>
      </c>
      <c r="N978" s="83"/>
      <c r="O978" s="84"/>
      <c r="P978" s="81"/>
      <c r="Q978" s="81"/>
      <c r="R978" s="81"/>
      <c r="S978" s="81"/>
      <c r="T978" s="85"/>
      <c r="U978" s="81"/>
      <c r="V978" s="81"/>
      <c r="W978" s="123">
        <f t="shared" si="85"/>
        <v>0</v>
      </c>
      <c r="X978" s="123" t="s">
        <v>84</v>
      </c>
      <c r="Y978" s="114" t="s">
        <v>93</v>
      </c>
    </row>
    <row r="979" spans="1:25" s="24" customFormat="1" ht="11.1" customHeight="1">
      <c r="A979" s="74">
        <f t="shared" si="83"/>
        <v>977</v>
      </c>
      <c r="B979" s="75" t="s">
        <v>477</v>
      </c>
      <c r="C979" s="74" t="str">
        <f>IF($B979&lt;&gt;"",_xlfn.IFNA(VLOOKUP($B979,'Node Details'!$B:$U,C$1,0),"Check"),"")</f>
        <v>0000AXW11-AXW110103</v>
      </c>
      <c r="D979" s="74" t="str">
        <f>IF($B979&lt;&gt;"",_xlfn.IFNA(VLOOKUP($B979,'Node Details'!$B:$U,D$1,0),"Check"),"")</f>
        <v>AXW</v>
      </c>
      <c r="E979" s="74" t="str">
        <f>IF($B979&lt;&gt;"",_xlfn.IFNA(VLOOKUP($B979,'Node Details'!$B:$U,E$1,0),"Check"),"")</f>
        <v>Airtel</v>
      </c>
      <c r="F979" s="76">
        <v>46114</v>
      </c>
      <c r="G979" s="74"/>
      <c r="H979" s="10" t="s">
        <v>1250</v>
      </c>
      <c r="I979" s="9">
        <v>2</v>
      </c>
      <c r="J979" s="9">
        <v>150</v>
      </c>
      <c r="K979" s="77">
        <f t="shared" si="84"/>
        <v>300</v>
      </c>
      <c r="L979" s="76">
        <v>46112</v>
      </c>
      <c r="N979" s="83"/>
      <c r="O979" s="84"/>
      <c r="P979" s="81"/>
      <c r="Q979" s="81"/>
      <c r="R979" s="81"/>
      <c r="S979" s="81"/>
      <c r="T979" s="85"/>
      <c r="U979" s="81"/>
      <c r="V979" s="81"/>
      <c r="W979" s="123">
        <f t="shared" si="85"/>
        <v>0</v>
      </c>
      <c r="X979" s="123" t="s">
        <v>84</v>
      </c>
      <c r="Y979" s="114" t="s">
        <v>93</v>
      </c>
    </row>
    <row r="980" spans="1:25" s="24" customFormat="1" ht="11.1" customHeight="1">
      <c r="A980" s="74">
        <f t="shared" si="83"/>
        <v>978</v>
      </c>
      <c r="B980" s="75" t="s">
        <v>381</v>
      </c>
      <c r="C980" s="74" t="str">
        <f>IF($B980&lt;&gt;"",_xlfn.IFNA(VLOOKUP($B980,'Node Details'!$B:$U,C$1,0),"Check"),"")</f>
        <v>000000AXW-0000AXW12</v>
      </c>
      <c r="D980" s="74" t="str">
        <f>IF($B980&lt;&gt;"",_xlfn.IFNA(VLOOKUP($B980,'Node Details'!$B:$U,D$1,0),"Check"),"")</f>
        <v>AXW</v>
      </c>
      <c r="E980" s="74" t="str">
        <f>IF($B980&lt;&gt;"",_xlfn.IFNA(VLOOKUP($B980,'Node Details'!$B:$U,E$1,0),"Check"),"")</f>
        <v>Airtel</v>
      </c>
      <c r="F980" s="76">
        <v>46114</v>
      </c>
      <c r="G980" s="74"/>
      <c r="H980" s="10" t="s">
        <v>1250</v>
      </c>
      <c r="I980" s="9">
        <v>2</v>
      </c>
      <c r="J980" s="9">
        <v>150</v>
      </c>
      <c r="K980" s="77">
        <f t="shared" si="84"/>
        <v>300</v>
      </c>
      <c r="L980" s="76">
        <v>46112</v>
      </c>
      <c r="N980" s="83"/>
      <c r="O980" s="84"/>
      <c r="P980" s="81"/>
      <c r="Q980" s="81"/>
      <c r="R980" s="81"/>
      <c r="S980" s="81"/>
      <c r="T980" s="85"/>
      <c r="U980" s="81"/>
      <c r="V980" s="81"/>
      <c r="W980" s="123">
        <f t="shared" si="85"/>
        <v>0</v>
      </c>
      <c r="X980" s="123" t="s">
        <v>84</v>
      </c>
      <c r="Y980" s="114" t="s">
        <v>93</v>
      </c>
    </row>
    <row r="981" spans="1:25" s="24" customFormat="1" ht="11.1" customHeight="1">
      <c r="A981" s="74">
        <f t="shared" si="83"/>
        <v>979</v>
      </c>
      <c r="B981" s="75" t="s">
        <v>479</v>
      </c>
      <c r="C981" s="74" t="str">
        <f>IF($B981&lt;&gt;"",_xlfn.IFNA(VLOOKUP($B981,'Node Details'!$B:$U,C$1,0),"Check"),"")</f>
        <v>0000AXW12-AXW120101</v>
      </c>
      <c r="D981" s="74" t="str">
        <f>IF($B981&lt;&gt;"",_xlfn.IFNA(VLOOKUP($B981,'Node Details'!$B:$U,D$1,0),"Check"),"")</f>
        <v>AXW</v>
      </c>
      <c r="E981" s="74" t="str">
        <f>IF($B981&lt;&gt;"",_xlfn.IFNA(VLOOKUP($B981,'Node Details'!$B:$U,E$1,0),"Check"),"")</f>
        <v>Airtel</v>
      </c>
      <c r="F981" s="76">
        <v>46114</v>
      </c>
      <c r="G981" s="74"/>
      <c r="H981" s="10" t="s">
        <v>1250</v>
      </c>
      <c r="I981" s="9">
        <v>2</v>
      </c>
      <c r="J981" s="9">
        <v>150</v>
      </c>
      <c r="K981" s="77">
        <f t="shared" si="84"/>
        <v>300</v>
      </c>
      <c r="L981" s="76">
        <v>46112</v>
      </c>
      <c r="N981" s="83"/>
      <c r="O981" s="84"/>
      <c r="P981" s="81"/>
      <c r="Q981" s="81"/>
      <c r="R981" s="81"/>
      <c r="S981" s="81"/>
      <c r="T981" s="85"/>
      <c r="U981" s="81"/>
      <c r="V981" s="81"/>
      <c r="W981" s="123">
        <f t="shared" si="85"/>
        <v>0</v>
      </c>
      <c r="X981" s="123" t="s">
        <v>84</v>
      </c>
      <c r="Y981" s="114" t="s">
        <v>93</v>
      </c>
    </row>
    <row r="982" spans="1:25" s="24" customFormat="1" ht="11.1" customHeight="1">
      <c r="A982" s="74">
        <f t="shared" si="83"/>
        <v>980</v>
      </c>
      <c r="B982" s="75" t="s">
        <v>481</v>
      </c>
      <c r="C982" s="74" t="str">
        <f>IF($B982&lt;&gt;"",_xlfn.IFNA(VLOOKUP($B982,'Node Details'!$B:$U,C$1,0),"Check"),"")</f>
        <v>0000AXW12-AXW120102</v>
      </c>
      <c r="D982" s="74" t="str">
        <f>IF($B982&lt;&gt;"",_xlfn.IFNA(VLOOKUP($B982,'Node Details'!$B:$U,D$1,0),"Check"),"")</f>
        <v>AXW</v>
      </c>
      <c r="E982" s="74" t="str">
        <f>IF($B982&lt;&gt;"",_xlfn.IFNA(VLOOKUP($B982,'Node Details'!$B:$U,E$1,0),"Check"),"")</f>
        <v>Airtel</v>
      </c>
      <c r="F982" s="76">
        <v>46114</v>
      </c>
      <c r="G982" s="74"/>
      <c r="H982" s="10" t="s">
        <v>1250</v>
      </c>
      <c r="I982" s="9">
        <v>2</v>
      </c>
      <c r="J982" s="9">
        <v>150</v>
      </c>
      <c r="K982" s="77">
        <f t="shared" si="84"/>
        <v>300</v>
      </c>
      <c r="L982" s="76">
        <v>46112</v>
      </c>
      <c r="N982" s="83"/>
      <c r="O982" s="84"/>
      <c r="P982" s="81"/>
      <c r="Q982" s="81"/>
      <c r="R982" s="81"/>
      <c r="S982" s="81"/>
      <c r="T982" s="85"/>
      <c r="U982" s="81"/>
      <c r="V982" s="81"/>
      <c r="W982" s="123">
        <f t="shared" si="85"/>
        <v>0</v>
      </c>
      <c r="X982" s="123" t="s">
        <v>84</v>
      </c>
      <c r="Y982" s="114" t="s">
        <v>93</v>
      </c>
    </row>
    <row r="983" spans="1:25" s="24" customFormat="1" ht="11.1" customHeight="1">
      <c r="A983" s="74">
        <f t="shared" si="83"/>
        <v>981</v>
      </c>
      <c r="B983" s="75" t="s">
        <v>1090</v>
      </c>
      <c r="C983" s="74" t="str">
        <f>IF($B983&lt;&gt;"",_xlfn.IFNA(VLOOKUP($B983,'Node Details'!$B:$U,C$1,0),"Check"),"")</f>
        <v>0000AXW12-AXW120106</v>
      </c>
      <c r="D983" s="74" t="str">
        <f>IF($B983&lt;&gt;"",_xlfn.IFNA(VLOOKUP($B983,'Node Details'!$B:$U,D$1,0),"Check"),"")</f>
        <v>AXW</v>
      </c>
      <c r="E983" s="74" t="str">
        <f>IF($B983&lt;&gt;"",_xlfn.IFNA(VLOOKUP($B983,'Node Details'!$B:$U,E$1,0),"Check"),"")</f>
        <v>Airtel</v>
      </c>
      <c r="F983" s="76">
        <v>46114</v>
      </c>
      <c r="G983" s="74"/>
      <c r="H983" s="10" t="s">
        <v>1250</v>
      </c>
      <c r="I983" s="9">
        <v>2</v>
      </c>
      <c r="J983" s="9">
        <v>150</v>
      </c>
      <c r="K983" s="77">
        <f t="shared" si="84"/>
        <v>300</v>
      </c>
      <c r="L983" s="76">
        <v>46112</v>
      </c>
      <c r="N983" s="83"/>
      <c r="O983" s="84"/>
      <c r="P983" s="81"/>
      <c r="Q983" s="81"/>
      <c r="R983" s="81"/>
      <c r="S983" s="81"/>
      <c r="T983" s="85"/>
      <c r="U983" s="81"/>
      <c r="V983" s="81"/>
      <c r="W983" s="123">
        <f t="shared" si="85"/>
        <v>0</v>
      </c>
      <c r="X983" s="123" t="s">
        <v>84</v>
      </c>
      <c r="Y983" s="114" t="s">
        <v>93</v>
      </c>
    </row>
    <row r="984" spans="1:25" s="24" customFormat="1" ht="11.1" customHeight="1">
      <c r="A984" s="74">
        <f t="shared" si="83"/>
        <v>982</v>
      </c>
      <c r="B984" s="75" t="s">
        <v>1091</v>
      </c>
      <c r="C984" s="74" t="str">
        <f>IF($B984&lt;&gt;"",_xlfn.IFNA(VLOOKUP($B984,'Node Details'!$B:$U,C$1,0),"Check"),"")</f>
        <v>0000AXW12-AXW120106</v>
      </c>
      <c r="D984" s="74" t="str">
        <f>IF($B984&lt;&gt;"",_xlfn.IFNA(VLOOKUP($B984,'Node Details'!$B:$U,D$1,0),"Check"),"")</f>
        <v>AXW</v>
      </c>
      <c r="E984" s="74" t="str">
        <f>IF($B984&lt;&gt;"",_xlfn.IFNA(VLOOKUP($B984,'Node Details'!$B:$U,E$1,0),"Check"),"")</f>
        <v>Airtel</v>
      </c>
      <c r="F984" s="76">
        <v>46114</v>
      </c>
      <c r="G984" s="74"/>
      <c r="H984" s="10" t="s">
        <v>1250</v>
      </c>
      <c r="I984" s="9">
        <v>2</v>
      </c>
      <c r="J984" s="9">
        <v>150</v>
      </c>
      <c r="K984" s="77">
        <f t="shared" si="84"/>
        <v>300</v>
      </c>
      <c r="L984" s="76">
        <v>46112</v>
      </c>
      <c r="N984" s="83"/>
      <c r="O984" s="84"/>
      <c r="P984" s="81"/>
      <c r="Q984" s="81"/>
      <c r="R984" s="81"/>
      <c r="S984" s="81"/>
      <c r="T984" s="85"/>
      <c r="U984" s="81"/>
      <c r="V984" s="81"/>
      <c r="W984" s="123">
        <f t="shared" si="85"/>
        <v>0</v>
      </c>
      <c r="X984" s="123" t="s">
        <v>84</v>
      </c>
      <c r="Y984" s="114" t="s">
        <v>93</v>
      </c>
    </row>
    <row r="985" spans="1:25" s="24" customFormat="1" ht="11.1" customHeight="1">
      <c r="A985" s="74">
        <f t="shared" si="83"/>
        <v>983</v>
      </c>
      <c r="B985" s="75" t="s">
        <v>1092</v>
      </c>
      <c r="C985" s="74" t="str">
        <f>IF($B985&lt;&gt;"",_xlfn.IFNA(VLOOKUP($B985,'Node Details'!$B:$U,C$1,0),"Check"),"")</f>
        <v>0000AXW12-AXW120106</v>
      </c>
      <c r="D985" s="74" t="str">
        <f>IF($B985&lt;&gt;"",_xlfn.IFNA(VLOOKUP($B985,'Node Details'!$B:$U,D$1,0),"Check"),"")</f>
        <v>AXW</v>
      </c>
      <c r="E985" s="74" t="str">
        <f>IF($B985&lt;&gt;"",_xlfn.IFNA(VLOOKUP($B985,'Node Details'!$B:$U,E$1,0),"Check"),"")</f>
        <v>Airtel</v>
      </c>
      <c r="F985" s="76">
        <v>46114</v>
      </c>
      <c r="G985" s="74"/>
      <c r="H985" s="10" t="s">
        <v>1250</v>
      </c>
      <c r="I985" s="9">
        <v>2</v>
      </c>
      <c r="J985" s="9">
        <v>150</v>
      </c>
      <c r="K985" s="77">
        <f t="shared" si="84"/>
        <v>300</v>
      </c>
      <c r="L985" s="76">
        <v>46112</v>
      </c>
      <c r="N985" s="83"/>
      <c r="O985" s="84"/>
      <c r="P985" s="81"/>
      <c r="Q985" s="81"/>
      <c r="R985" s="81"/>
      <c r="S985" s="81"/>
      <c r="T985" s="85"/>
      <c r="U985" s="81"/>
      <c r="V985" s="81"/>
      <c r="W985" s="123">
        <f t="shared" si="85"/>
        <v>0</v>
      </c>
      <c r="X985" s="123" t="s">
        <v>84</v>
      </c>
      <c r="Y985" s="114" t="s">
        <v>93</v>
      </c>
    </row>
    <row r="986" spans="1:25" s="24" customFormat="1" ht="11.1" customHeight="1">
      <c r="A986" s="74">
        <f t="shared" si="83"/>
        <v>984</v>
      </c>
      <c r="B986" s="75" t="s">
        <v>483</v>
      </c>
      <c r="C986" s="74" t="str">
        <f>IF($B986&lt;&gt;"",_xlfn.IFNA(VLOOKUP($B986,'Node Details'!$B:$U,C$1,0),"Check"),"")</f>
        <v>0000AXW12-AXW120106</v>
      </c>
      <c r="D986" s="74" t="str">
        <f>IF($B986&lt;&gt;"",_xlfn.IFNA(VLOOKUP($B986,'Node Details'!$B:$U,D$1,0),"Check"),"")</f>
        <v>AXW</v>
      </c>
      <c r="E986" s="74" t="str">
        <f>IF($B986&lt;&gt;"",_xlfn.IFNA(VLOOKUP($B986,'Node Details'!$B:$U,E$1,0),"Check"),"")</f>
        <v>Airtel</v>
      </c>
      <c r="F986" s="76">
        <v>46114</v>
      </c>
      <c r="G986" s="74"/>
      <c r="H986" s="10" t="s">
        <v>1250</v>
      </c>
      <c r="I986" s="9">
        <v>2</v>
      </c>
      <c r="J986" s="9">
        <v>150</v>
      </c>
      <c r="K986" s="77">
        <f t="shared" si="84"/>
        <v>300</v>
      </c>
      <c r="L986" s="76">
        <v>46112</v>
      </c>
      <c r="N986" s="83"/>
      <c r="O986" s="84"/>
      <c r="P986" s="81"/>
      <c r="Q986" s="81"/>
      <c r="R986" s="81"/>
      <c r="S986" s="81"/>
      <c r="T986" s="85"/>
      <c r="U986" s="81"/>
      <c r="V986" s="81"/>
      <c r="W986" s="123">
        <f t="shared" si="85"/>
        <v>0</v>
      </c>
      <c r="X986" s="123" t="s">
        <v>84</v>
      </c>
      <c r="Y986" s="114" t="s">
        <v>93</v>
      </c>
    </row>
    <row r="987" spans="1:25" s="24" customFormat="1" ht="11.1" customHeight="1">
      <c r="A987" s="74">
        <f t="shared" si="83"/>
        <v>985</v>
      </c>
      <c r="B987" s="75" t="s">
        <v>1093</v>
      </c>
      <c r="C987" s="74" t="str">
        <f>IF($B987&lt;&gt;"",_xlfn.IFNA(VLOOKUP($B987,'Node Details'!$B:$U,C$1,0),"Check"),"")</f>
        <v>AXW120106-AXW120108</v>
      </c>
      <c r="D987" s="74" t="str">
        <f>IF($B987&lt;&gt;"",_xlfn.IFNA(VLOOKUP($B987,'Node Details'!$B:$U,D$1,0),"Check"),"")</f>
        <v>AXW</v>
      </c>
      <c r="E987" s="74" t="str">
        <f>IF($B987&lt;&gt;"",_xlfn.IFNA(VLOOKUP($B987,'Node Details'!$B:$U,E$1,0),"Check"),"")</f>
        <v>Airtel</v>
      </c>
      <c r="F987" s="76">
        <v>46114</v>
      </c>
      <c r="G987" s="74"/>
      <c r="H987" s="10" t="s">
        <v>1250</v>
      </c>
      <c r="I987" s="9">
        <v>2</v>
      </c>
      <c r="J987" s="9">
        <v>150</v>
      </c>
      <c r="K987" s="77">
        <f t="shared" si="84"/>
        <v>300</v>
      </c>
      <c r="L987" s="76">
        <v>46112</v>
      </c>
      <c r="N987" s="83"/>
      <c r="O987" s="84"/>
      <c r="P987" s="81"/>
      <c r="Q987" s="81"/>
      <c r="R987" s="81"/>
      <c r="S987" s="81"/>
      <c r="T987" s="85"/>
      <c r="U987" s="81"/>
      <c r="V987" s="81"/>
      <c r="W987" s="123">
        <f t="shared" si="85"/>
        <v>0</v>
      </c>
      <c r="X987" s="123" t="s">
        <v>84</v>
      </c>
      <c r="Y987" s="114" t="s">
        <v>93</v>
      </c>
    </row>
    <row r="988" spans="1:25" s="24" customFormat="1" ht="11.1" customHeight="1">
      <c r="A988" s="74">
        <f t="shared" si="83"/>
        <v>986</v>
      </c>
      <c r="B988" s="75" t="s">
        <v>485</v>
      </c>
      <c r="C988" s="74" t="str">
        <f>IF($B988&lt;&gt;"",_xlfn.IFNA(VLOOKUP($B988,'Node Details'!$B:$U,C$1,0),"Check"),"")</f>
        <v>AXW120106-AXW120108</v>
      </c>
      <c r="D988" s="74" t="str">
        <f>IF($B988&lt;&gt;"",_xlfn.IFNA(VLOOKUP($B988,'Node Details'!$B:$U,D$1,0),"Check"),"")</f>
        <v>AXW</v>
      </c>
      <c r="E988" s="74" t="str">
        <f>IF($B988&lt;&gt;"",_xlfn.IFNA(VLOOKUP($B988,'Node Details'!$B:$U,E$1,0),"Check"),"")</f>
        <v>Airtel</v>
      </c>
      <c r="F988" s="76">
        <v>46114</v>
      </c>
      <c r="G988" s="74"/>
      <c r="H988" s="10" t="s">
        <v>1250</v>
      </c>
      <c r="I988" s="9">
        <v>2</v>
      </c>
      <c r="J988" s="9">
        <v>150</v>
      </c>
      <c r="K988" s="77">
        <f t="shared" si="84"/>
        <v>300</v>
      </c>
      <c r="L988" s="76">
        <v>46112</v>
      </c>
      <c r="N988" s="83"/>
      <c r="O988" s="84"/>
      <c r="P988" s="81"/>
      <c r="Q988" s="81"/>
      <c r="R988" s="81"/>
      <c r="S988" s="81"/>
      <c r="T988" s="85"/>
      <c r="U988" s="81"/>
      <c r="V988" s="81"/>
      <c r="W988" s="123">
        <f t="shared" si="85"/>
        <v>0</v>
      </c>
      <c r="X988" s="123" t="s">
        <v>84</v>
      </c>
      <c r="Y988" s="114" t="s">
        <v>93</v>
      </c>
    </row>
    <row r="989" spans="1:25" s="24" customFormat="1" ht="11.1" customHeight="1">
      <c r="A989" s="74">
        <f t="shared" si="83"/>
        <v>987</v>
      </c>
      <c r="B989" s="75" t="s">
        <v>487</v>
      </c>
      <c r="C989" s="74" t="str">
        <f>IF($B989&lt;&gt;"",_xlfn.IFNA(VLOOKUP($B989,'Node Details'!$B:$U,C$1,0),"Check"),"")</f>
        <v>0000AXW10-0000AXW15</v>
      </c>
      <c r="D989" s="74" t="str">
        <f>IF($B989&lt;&gt;"",_xlfn.IFNA(VLOOKUP($B989,'Node Details'!$B:$U,D$1,0),"Check"),"")</f>
        <v>AXW</v>
      </c>
      <c r="E989" s="74" t="str">
        <f>IF($B989&lt;&gt;"",_xlfn.IFNA(VLOOKUP($B989,'Node Details'!$B:$U,E$1,0),"Check"),"")</f>
        <v>Airtel</v>
      </c>
      <c r="F989" s="76">
        <v>46114</v>
      </c>
      <c r="G989" s="74"/>
      <c r="H989" s="10" t="s">
        <v>1250</v>
      </c>
      <c r="I989" s="9">
        <v>2</v>
      </c>
      <c r="J989" s="9">
        <v>150</v>
      </c>
      <c r="K989" s="77">
        <f t="shared" si="84"/>
        <v>300</v>
      </c>
      <c r="L989" s="76">
        <v>46112</v>
      </c>
      <c r="N989" s="83"/>
      <c r="O989" s="84"/>
      <c r="P989" s="81"/>
      <c r="Q989" s="81"/>
      <c r="R989" s="81"/>
      <c r="S989" s="81"/>
      <c r="T989" s="85"/>
      <c r="U989" s="81"/>
      <c r="V989" s="81"/>
      <c r="W989" s="123">
        <f t="shared" si="85"/>
        <v>0</v>
      </c>
      <c r="X989" s="123" t="s">
        <v>84</v>
      </c>
      <c r="Y989" s="114" t="s">
        <v>93</v>
      </c>
    </row>
    <row r="990" spans="1:25" s="24" customFormat="1" ht="11.1" customHeight="1">
      <c r="A990" s="74">
        <f t="shared" si="83"/>
        <v>988</v>
      </c>
      <c r="B990" s="75" t="s">
        <v>1094</v>
      </c>
      <c r="C990" s="74" t="str">
        <f>IF($B990&lt;&gt;"",_xlfn.IFNA(VLOOKUP($B990,'Node Details'!$B:$U,C$1,0),"Check"),"")</f>
        <v>0000AXW13-AXW130108</v>
      </c>
      <c r="D990" s="74" t="str">
        <f>IF($B990&lt;&gt;"",_xlfn.IFNA(VLOOKUP($B990,'Node Details'!$B:$U,D$1,0),"Check"),"")</f>
        <v>AXW</v>
      </c>
      <c r="E990" s="74" t="str">
        <f>IF($B990&lt;&gt;"",_xlfn.IFNA(VLOOKUP($B990,'Node Details'!$B:$U,E$1,0),"Check"),"")</f>
        <v>Airtel</v>
      </c>
      <c r="F990" s="76">
        <v>46114</v>
      </c>
      <c r="G990" s="74"/>
      <c r="H990" s="10" t="s">
        <v>1250</v>
      </c>
      <c r="I990" s="9">
        <v>2</v>
      </c>
      <c r="J990" s="9">
        <v>150</v>
      </c>
      <c r="K990" s="77">
        <f t="shared" si="84"/>
        <v>300</v>
      </c>
      <c r="L990" s="76">
        <v>46112</v>
      </c>
      <c r="N990" s="83"/>
      <c r="O990" s="84"/>
      <c r="P990" s="81"/>
      <c r="Q990" s="81"/>
      <c r="R990" s="81"/>
      <c r="S990" s="81"/>
      <c r="T990" s="85"/>
      <c r="U990" s="81"/>
      <c r="V990" s="81"/>
      <c r="W990" s="123">
        <f t="shared" si="85"/>
        <v>0</v>
      </c>
      <c r="X990" s="123" t="s">
        <v>84</v>
      </c>
      <c r="Y990" s="114" t="s">
        <v>93</v>
      </c>
    </row>
    <row r="991" spans="1:25" s="24" customFormat="1" ht="11.1" customHeight="1">
      <c r="A991" s="74">
        <f t="shared" si="83"/>
        <v>989</v>
      </c>
      <c r="B991" s="75" t="s">
        <v>490</v>
      </c>
      <c r="C991" s="74" t="str">
        <f>IF($B991&lt;&gt;"",_xlfn.IFNA(VLOOKUP($B991,'Node Details'!$B:$U,C$1,0),"Check"),"")</f>
        <v>0000AXW13-AXW130102</v>
      </c>
      <c r="D991" s="74" t="str">
        <f>IF($B991&lt;&gt;"",_xlfn.IFNA(VLOOKUP($B991,'Node Details'!$B:$U,D$1,0),"Check"),"")</f>
        <v>AXW</v>
      </c>
      <c r="E991" s="74" t="str">
        <f>IF($B991&lt;&gt;"",_xlfn.IFNA(VLOOKUP($B991,'Node Details'!$B:$U,E$1,0),"Check"),"")</f>
        <v>Airtel</v>
      </c>
      <c r="F991" s="76">
        <v>46114</v>
      </c>
      <c r="G991" s="74"/>
      <c r="H991" s="10" t="s">
        <v>1250</v>
      </c>
      <c r="I991" s="9">
        <v>2</v>
      </c>
      <c r="J991" s="9">
        <v>150</v>
      </c>
      <c r="K991" s="77">
        <f t="shared" si="84"/>
        <v>300</v>
      </c>
      <c r="L991" s="76">
        <v>46112</v>
      </c>
      <c r="N991" s="83"/>
      <c r="O991" s="84"/>
      <c r="P991" s="81"/>
      <c r="Q991" s="81"/>
      <c r="R991" s="81"/>
      <c r="S991" s="81"/>
      <c r="T991" s="85"/>
      <c r="U991" s="81"/>
      <c r="V991" s="81"/>
      <c r="W991" s="123">
        <f t="shared" si="85"/>
        <v>0</v>
      </c>
      <c r="X991" s="123" t="s">
        <v>84</v>
      </c>
      <c r="Y991" s="114" t="s">
        <v>93</v>
      </c>
    </row>
    <row r="992" spans="1:25" s="24" customFormat="1" ht="11.1" customHeight="1">
      <c r="A992" s="74">
        <f t="shared" si="83"/>
        <v>990</v>
      </c>
      <c r="B992" s="75" t="s">
        <v>1095</v>
      </c>
      <c r="C992" s="74" t="str">
        <f>IF($B992&lt;&gt;"",_xlfn.IFNA(VLOOKUP($B992,'Node Details'!$B:$U,C$1,0),"Check"),"")</f>
        <v>0000AXW13-AXW130104</v>
      </c>
      <c r="D992" s="74" t="str">
        <f>IF($B992&lt;&gt;"",_xlfn.IFNA(VLOOKUP($B992,'Node Details'!$B:$U,D$1,0),"Check"),"")</f>
        <v>AXW</v>
      </c>
      <c r="E992" s="74" t="str">
        <f>IF($B992&lt;&gt;"",_xlfn.IFNA(VLOOKUP($B992,'Node Details'!$B:$U,E$1,0),"Check"),"")</f>
        <v>Airtel</v>
      </c>
      <c r="F992" s="76">
        <v>46114</v>
      </c>
      <c r="G992" s="74"/>
      <c r="H992" s="10" t="s">
        <v>1250</v>
      </c>
      <c r="I992" s="9">
        <v>2</v>
      </c>
      <c r="J992" s="9">
        <v>150</v>
      </c>
      <c r="K992" s="77">
        <f t="shared" si="84"/>
        <v>300</v>
      </c>
      <c r="L992" s="76">
        <v>46112</v>
      </c>
      <c r="N992" s="83"/>
      <c r="O992" s="84"/>
      <c r="P992" s="81"/>
      <c r="Q992" s="81"/>
      <c r="R992" s="81"/>
      <c r="S992" s="81"/>
      <c r="T992" s="85"/>
      <c r="U992" s="81"/>
      <c r="V992" s="81"/>
      <c r="W992" s="123">
        <f t="shared" si="85"/>
        <v>0</v>
      </c>
      <c r="X992" s="123" t="s">
        <v>84</v>
      </c>
      <c r="Y992" s="114" t="s">
        <v>93</v>
      </c>
    </row>
    <row r="993" spans="1:25" s="24" customFormat="1" ht="11.1" customHeight="1">
      <c r="A993" s="74">
        <f t="shared" si="83"/>
        <v>991</v>
      </c>
      <c r="B993" s="75" t="s">
        <v>492</v>
      </c>
      <c r="C993" s="74" t="str">
        <f>IF($B993&lt;&gt;"",_xlfn.IFNA(VLOOKUP($B993,'Node Details'!$B:$U,C$1,0),"Check"),"")</f>
        <v>0000AXW13-AXW130104</v>
      </c>
      <c r="D993" s="74" t="str">
        <f>IF($B993&lt;&gt;"",_xlfn.IFNA(VLOOKUP($B993,'Node Details'!$B:$U,D$1,0),"Check"),"")</f>
        <v>AXW</v>
      </c>
      <c r="E993" s="74" t="str">
        <f>IF($B993&lt;&gt;"",_xlfn.IFNA(VLOOKUP($B993,'Node Details'!$B:$U,E$1,0),"Check"),"")</f>
        <v>Airtel</v>
      </c>
      <c r="F993" s="76">
        <v>46114</v>
      </c>
      <c r="G993" s="74"/>
      <c r="H993" s="10" t="s">
        <v>1250</v>
      </c>
      <c r="I993" s="9">
        <v>2</v>
      </c>
      <c r="J993" s="9">
        <v>150</v>
      </c>
      <c r="K993" s="77">
        <f t="shared" si="84"/>
        <v>300</v>
      </c>
      <c r="L993" s="76">
        <v>46112</v>
      </c>
      <c r="N993" s="83"/>
      <c r="O993" s="84"/>
      <c r="P993" s="81"/>
      <c r="Q993" s="81"/>
      <c r="R993" s="81"/>
      <c r="S993" s="81"/>
      <c r="T993" s="85"/>
      <c r="U993" s="81"/>
      <c r="V993" s="81"/>
      <c r="W993" s="123">
        <f t="shared" si="85"/>
        <v>0</v>
      </c>
      <c r="X993" s="123" t="s">
        <v>84</v>
      </c>
      <c r="Y993" s="114" t="s">
        <v>93</v>
      </c>
    </row>
    <row r="994" spans="1:25" s="24" customFormat="1" ht="11.1" customHeight="1">
      <c r="A994" s="74">
        <f t="shared" si="83"/>
        <v>992</v>
      </c>
      <c r="B994" s="75" t="s">
        <v>1096</v>
      </c>
      <c r="C994" s="74" t="str">
        <f>IF($B994&lt;&gt;"",_xlfn.IFNA(VLOOKUP($B994,'Node Details'!$B:$U,C$1,0),"Check"),"")</f>
        <v>0000AXW13-AXW130108</v>
      </c>
      <c r="D994" s="74" t="str">
        <f>IF($B994&lt;&gt;"",_xlfn.IFNA(VLOOKUP($B994,'Node Details'!$B:$U,D$1,0),"Check"),"")</f>
        <v>AXW</v>
      </c>
      <c r="E994" s="74" t="str">
        <f>IF($B994&lt;&gt;"",_xlfn.IFNA(VLOOKUP($B994,'Node Details'!$B:$U,E$1,0),"Check"),"")</f>
        <v>Airtel</v>
      </c>
      <c r="F994" s="76">
        <v>46114</v>
      </c>
      <c r="G994" s="74"/>
      <c r="H994" s="10" t="s">
        <v>1250</v>
      </c>
      <c r="I994" s="9">
        <v>2</v>
      </c>
      <c r="J994" s="9">
        <v>150</v>
      </c>
      <c r="K994" s="77">
        <f t="shared" si="84"/>
        <v>300</v>
      </c>
      <c r="L994" s="76">
        <v>46112</v>
      </c>
      <c r="N994" s="83"/>
      <c r="O994" s="84"/>
      <c r="P994" s="81"/>
      <c r="Q994" s="81"/>
      <c r="R994" s="81"/>
      <c r="S994" s="81"/>
      <c r="T994" s="85"/>
      <c r="U994" s="81"/>
      <c r="V994" s="81"/>
      <c r="W994" s="123">
        <f t="shared" si="85"/>
        <v>0</v>
      </c>
      <c r="X994" s="123" t="s">
        <v>84</v>
      </c>
      <c r="Y994" s="114" t="s">
        <v>93</v>
      </c>
    </row>
    <row r="995" spans="1:25" s="24" customFormat="1" ht="11.1" customHeight="1">
      <c r="A995" s="74">
        <f t="shared" si="83"/>
        <v>993</v>
      </c>
      <c r="B995" s="75" t="s">
        <v>1097</v>
      </c>
      <c r="C995" s="74" t="str">
        <f>IF($B995&lt;&gt;"",_xlfn.IFNA(VLOOKUP($B995,'Node Details'!$B:$U,C$1,0),"Check"),"")</f>
        <v>0000AXW13-AXW130108</v>
      </c>
      <c r="D995" s="74" t="str">
        <f>IF($B995&lt;&gt;"",_xlfn.IFNA(VLOOKUP($B995,'Node Details'!$B:$U,D$1,0),"Check"),"")</f>
        <v>AXW</v>
      </c>
      <c r="E995" s="74" t="str">
        <f>IF($B995&lt;&gt;"",_xlfn.IFNA(VLOOKUP($B995,'Node Details'!$B:$U,E$1,0),"Check"),"")</f>
        <v>Airtel</v>
      </c>
      <c r="F995" s="76">
        <v>46114</v>
      </c>
      <c r="G995" s="74"/>
      <c r="H995" s="10" t="s">
        <v>1250</v>
      </c>
      <c r="I995" s="9">
        <v>2</v>
      </c>
      <c r="J995" s="9">
        <v>150</v>
      </c>
      <c r="K995" s="77">
        <f t="shared" si="84"/>
        <v>300</v>
      </c>
      <c r="L995" s="76">
        <v>46112</v>
      </c>
      <c r="N995" s="83"/>
      <c r="O995" s="84"/>
      <c r="P995" s="81"/>
      <c r="Q995" s="81"/>
      <c r="R995" s="81"/>
      <c r="S995" s="81"/>
      <c r="T995" s="85"/>
      <c r="U995" s="81"/>
      <c r="V995" s="81"/>
      <c r="W995" s="123">
        <f t="shared" si="85"/>
        <v>0</v>
      </c>
      <c r="X995" s="123" t="s">
        <v>84</v>
      </c>
      <c r="Y995" s="114" t="s">
        <v>93</v>
      </c>
    </row>
    <row r="996" spans="1:25" s="24" customFormat="1" ht="11.1" customHeight="1">
      <c r="A996" s="74">
        <f t="shared" si="83"/>
        <v>994</v>
      </c>
      <c r="B996" s="75" t="s">
        <v>1098</v>
      </c>
      <c r="C996" s="74" t="str">
        <f>IF($B996&lt;&gt;"",_xlfn.IFNA(VLOOKUP($B996,'Node Details'!$B:$U,C$1,0),"Check"),"")</f>
        <v>0000AXW13-AXW130108</v>
      </c>
      <c r="D996" s="74" t="str">
        <f>IF($B996&lt;&gt;"",_xlfn.IFNA(VLOOKUP($B996,'Node Details'!$B:$U,D$1,0),"Check"),"")</f>
        <v>AXW</v>
      </c>
      <c r="E996" s="74" t="str">
        <f>IF($B996&lt;&gt;"",_xlfn.IFNA(VLOOKUP($B996,'Node Details'!$B:$U,E$1,0),"Check"),"")</f>
        <v>Airtel</v>
      </c>
      <c r="F996" s="76">
        <v>46114</v>
      </c>
      <c r="G996" s="74"/>
      <c r="H996" s="10" t="s">
        <v>1250</v>
      </c>
      <c r="I996" s="9">
        <v>2</v>
      </c>
      <c r="J996" s="9">
        <v>150</v>
      </c>
      <c r="K996" s="77">
        <f t="shared" si="84"/>
        <v>300</v>
      </c>
      <c r="L996" s="76">
        <v>46112</v>
      </c>
      <c r="N996" s="83"/>
      <c r="O996" s="84"/>
      <c r="P996" s="81"/>
      <c r="Q996" s="81"/>
      <c r="R996" s="81"/>
      <c r="S996" s="81"/>
      <c r="T996" s="85"/>
      <c r="U996" s="81"/>
      <c r="V996" s="81"/>
      <c r="W996" s="123">
        <f t="shared" si="85"/>
        <v>0</v>
      </c>
      <c r="X996" s="123" t="s">
        <v>84</v>
      </c>
      <c r="Y996" s="114" t="s">
        <v>93</v>
      </c>
    </row>
    <row r="997" spans="1:25" s="24" customFormat="1" ht="11.1" customHeight="1">
      <c r="A997" s="74">
        <f t="shared" si="83"/>
        <v>995</v>
      </c>
      <c r="B997" s="75" t="s">
        <v>488</v>
      </c>
      <c r="C997" s="74" t="str">
        <f>IF($B997&lt;&gt;"",_xlfn.IFNA(VLOOKUP($B997,'Node Details'!$B:$U,C$1,0),"Check"),"")</f>
        <v>0000AXW13-AXW130108</v>
      </c>
      <c r="D997" s="74" t="str">
        <f>IF($B997&lt;&gt;"",_xlfn.IFNA(VLOOKUP($B997,'Node Details'!$B:$U,D$1,0),"Check"),"")</f>
        <v>AXW</v>
      </c>
      <c r="E997" s="74" t="str">
        <f>IF($B997&lt;&gt;"",_xlfn.IFNA(VLOOKUP($B997,'Node Details'!$B:$U,E$1,0),"Check"),"")</f>
        <v>Airtel</v>
      </c>
      <c r="F997" s="76">
        <v>46114</v>
      </c>
      <c r="G997" s="74"/>
      <c r="H997" s="10" t="s">
        <v>1250</v>
      </c>
      <c r="I997" s="9">
        <v>2</v>
      </c>
      <c r="J997" s="9">
        <v>150</v>
      </c>
      <c r="K997" s="77">
        <f t="shared" si="84"/>
        <v>300</v>
      </c>
      <c r="L997" s="76">
        <v>46112</v>
      </c>
      <c r="N997" s="83"/>
      <c r="O997" s="84"/>
      <c r="P997" s="81"/>
      <c r="Q997" s="81"/>
      <c r="R997" s="81"/>
      <c r="S997" s="81"/>
      <c r="T997" s="85"/>
      <c r="U997" s="81"/>
      <c r="V997" s="81"/>
      <c r="W997" s="123">
        <f t="shared" si="85"/>
        <v>0</v>
      </c>
      <c r="X997" s="123" t="s">
        <v>84</v>
      </c>
      <c r="Y997" s="114" t="s">
        <v>93</v>
      </c>
    </row>
    <row r="998" spans="1:25" s="24" customFormat="1" ht="11.1" customHeight="1">
      <c r="A998" s="74">
        <f t="shared" si="83"/>
        <v>996</v>
      </c>
      <c r="B998" s="75" t="s">
        <v>494</v>
      </c>
      <c r="C998" s="74" t="str">
        <f>IF($B998&lt;&gt;"",_xlfn.IFNA(VLOOKUP($B998,'Node Details'!$B:$U,C$1,0),"Check"),"")</f>
        <v>0000AXW10-0000AXW15</v>
      </c>
      <c r="D998" s="74" t="str">
        <f>IF($B998&lt;&gt;"",_xlfn.IFNA(VLOOKUP($B998,'Node Details'!$B:$U,D$1,0),"Check"),"")</f>
        <v>AXW</v>
      </c>
      <c r="E998" s="74" t="str">
        <f>IF($B998&lt;&gt;"",_xlfn.IFNA(VLOOKUP($B998,'Node Details'!$B:$U,E$1,0),"Check"),"")</f>
        <v>Airtel</v>
      </c>
      <c r="F998" s="76">
        <v>46114</v>
      </c>
      <c r="G998" s="74"/>
      <c r="H998" s="10" t="s">
        <v>1250</v>
      </c>
      <c r="I998" s="9">
        <v>2</v>
      </c>
      <c r="J998" s="9">
        <v>150</v>
      </c>
      <c r="K998" s="77">
        <f t="shared" si="84"/>
        <v>300</v>
      </c>
      <c r="L998" s="76">
        <v>46112</v>
      </c>
      <c r="N998" s="83"/>
      <c r="O998" s="84"/>
      <c r="P998" s="81"/>
      <c r="Q998" s="81"/>
      <c r="R998" s="81"/>
      <c r="S998" s="81"/>
      <c r="T998" s="85"/>
      <c r="U998" s="81"/>
      <c r="V998" s="81"/>
      <c r="W998" s="123">
        <f t="shared" si="85"/>
        <v>0</v>
      </c>
      <c r="X998" s="123" t="s">
        <v>84</v>
      </c>
      <c r="Y998" s="114" t="s">
        <v>93</v>
      </c>
    </row>
    <row r="999" spans="1:25" s="24" customFormat="1" ht="11.1" customHeight="1">
      <c r="A999" s="74">
        <f t="shared" si="83"/>
        <v>997</v>
      </c>
      <c r="B999" s="75" t="s">
        <v>495</v>
      </c>
      <c r="C999" s="74" t="str">
        <f>IF($B999&lt;&gt;"",_xlfn.IFNA(VLOOKUP($B999,'Node Details'!$B:$U,C$1,0),"Check"),"")</f>
        <v>0000AXW14-AXW140101</v>
      </c>
      <c r="D999" s="74" t="str">
        <f>IF($B999&lt;&gt;"",_xlfn.IFNA(VLOOKUP($B999,'Node Details'!$B:$U,D$1,0),"Check"),"")</f>
        <v>AXW</v>
      </c>
      <c r="E999" s="74" t="str">
        <f>IF($B999&lt;&gt;"",_xlfn.IFNA(VLOOKUP($B999,'Node Details'!$B:$U,E$1,0),"Check"),"")</f>
        <v>Airtel</v>
      </c>
      <c r="F999" s="76">
        <v>46114</v>
      </c>
      <c r="G999" s="74"/>
      <c r="H999" s="10" t="s">
        <v>1250</v>
      </c>
      <c r="I999" s="9">
        <v>2</v>
      </c>
      <c r="J999" s="9">
        <v>150</v>
      </c>
      <c r="K999" s="77">
        <f t="shared" si="84"/>
        <v>300</v>
      </c>
      <c r="L999" s="76">
        <v>46112</v>
      </c>
      <c r="N999" s="83"/>
      <c r="O999" s="84"/>
      <c r="P999" s="81"/>
      <c r="Q999" s="81"/>
      <c r="R999" s="81"/>
      <c r="S999" s="81"/>
      <c r="T999" s="85"/>
      <c r="U999" s="81"/>
      <c r="V999" s="81"/>
      <c r="W999" s="123">
        <f t="shared" si="85"/>
        <v>0</v>
      </c>
      <c r="X999" s="123" t="s">
        <v>84</v>
      </c>
      <c r="Y999" s="114" t="s">
        <v>93</v>
      </c>
    </row>
    <row r="1000" spans="1:25" s="24" customFormat="1" ht="11.1" customHeight="1">
      <c r="A1000" s="74">
        <f t="shared" si="83"/>
        <v>998</v>
      </c>
      <c r="B1000" s="75" t="s">
        <v>499</v>
      </c>
      <c r="C1000" s="74" t="str">
        <f>IF($B1000&lt;&gt;"",_xlfn.IFNA(VLOOKUP($B1000,'Node Details'!$B:$U,C$1,0),"Check"),"")</f>
        <v>0000AXW14-AXW140103</v>
      </c>
      <c r="D1000" s="74" t="str">
        <f>IF($B1000&lt;&gt;"",_xlfn.IFNA(VLOOKUP($B1000,'Node Details'!$B:$U,D$1,0),"Check"),"")</f>
        <v>AXW</v>
      </c>
      <c r="E1000" s="74" t="str">
        <f>IF($B1000&lt;&gt;"",_xlfn.IFNA(VLOOKUP($B1000,'Node Details'!$B:$U,E$1,0),"Check"),"")</f>
        <v>Airtel</v>
      </c>
      <c r="F1000" s="76">
        <v>46114</v>
      </c>
      <c r="G1000" s="74"/>
      <c r="H1000" s="10" t="s">
        <v>1250</v>
      </c>
      <c r="I1000" s="9">
        <v>2</v>
      </c>
      <c r="J1000" s="9">
        <v>150</v>
      </c>
      <c r="K1000" s="77">
        <f t="shared" si="84"/>
        <v>300</v>
      </c>
      <c r="L1000" s="76">
        <v>46112</v>
      </c>
      <c r="N1000" s="83"/>
      <c r="O1000" s="84"/>
      <c r="P1000" s="81"/>
      <c r="Q1000" s="81"/>
      <c r="R1000" s="81"/>
      <c r="S1000" s="81"/>
      <c r="T1000" s="85"/>
      <c r="U1000" s="81"/>
      <c r="V1000" s="81"/>
      <c r="W1000" s="123">
        <f t="shared" si="85"/>
        <v>0</v>
      </c>
      <c r="X1000" s="123" t="s">
        <v>84</v>
      </c>
      <c r="Y1000" s="114" t="s">
        <v>93</v>
      </c>
    </row>
    <row r="1001" spans="1:25" s="24" customFormat="1" ht="11.1" customHeight="1">
      <c r="A1001" s="74">
        <f t="shared" si="83"/>
        <v>999</v>
      </c>
      <c r="B1001" s="75" t="s">
        <v>497</v>
      </c>
      <c r="C1001" s="74" t="str">
        <f>IF($B1001&lt;&gt;"",_xlfn.IFNA(VLOOKUP($B1001,'Node Details'!$B:$U,C$1,0),"Check"),"")</f>
        <v>0000AXW14-AXW140103</v>
      </c>
      <c r="D1001" s="74" t="str">
        <f>IF($B1001&lt;&gt;"",_xlfn.IFNA(VLOOKUP($B1001,'Node Details'!$B:$U,D$1,0),"Check"),"")</f>
        <v>AXW</v>
      </c>
      <c r="E1001" s="74" t="str">
        <f>IF($B1001&lt;&gt;"",_xlfn.IFNA(VLOOKUP($B1001,'Node Details'!$B:$U,E$1,0),"Check"),"")</f>
        <v>Airtel</v>
      </c>
      <c r="F1001" s="76">
        <v>46114</v>
      </c>
      <c r="G1001" s="74"/>
      <c r="H1001" s="10" t="s">
        <v>1250</v>
      </c>
      <c r="I1001" s="9">
        <v>2</v>
      </c>
      <c r="J1001" s="9">
        <v>150</v>
      </c>
      <c r="K1001" s="77">
        <f t="shared" si="84"/>
        <v>300</v>
      </c>
      <c r="L1001" s="76">
        <v>46112</v>
      </c>
      <c r="N1001" s="83"/>
      <c r="O1001" s="84"/>
      <c r="P1001" s="81"/>
      <c r="Q1001" s="81"/>
      <c r="R1001" s="81"/>
      <c r="S1001" s="81"/>
      <c r="T1001" s="85"/>
      <c r="U1001" s="81"/>
      <c r="V1001" s="81"/>
      <c r="W1001" s="123">
        <f t="shared" si="85"/>
        <v>0</v>
      </c>
      <c r="X1001" s="123" t="s">
        <v>84</v>
      </c>
      <c r="Y1001" s="114" t="s">
        <v>93</v>
      </c>
    </row>
    <row r="1002" spans="1:25" s="24" customFormat="1" ht="11.1" customHeight="1">
      <c r="A1002" s="74">
        <f t="shared" si="83"/>
        <v>1000</v>
      </c>
      <c r="B1002" s="75" t="s">
        <v>1099</v>
      </c>
      <c r="C1002" s="74" t="str">
        <f>IF($B1002&lt;&gt;"",_xlfn.IFNA(VLOOKUP($B1002,'Node Details'!$B:$U,C$1,0),"Check"),"")</f>
        <v>AXW140102-AXW140105</v>
      </c>
      <c r="D1002" s="74" t="str">
        <f>IF($B1002&lt;&gt;"",_xlfn.IFNA(VLOOKUP($B1002,'Node Details'!$B:$U,D$1,0),"Check"),"")</f>
        <v>AXW</v>
      </c>
      <c r="E1002" s="74" t="str">
        <f>IF($B1002&lt;&gt;"",_xlfn.IFNA(VLOOKUP($B1002,'Node Details'!$B:$U,E$1,0),"Check"),"")</f>
        <v>Airtel</v>
      </c>
      <c r="F1002" s="76">
        <v>46114</v>
      </c>
      <c r="G1002" s="74"/>
      <c r="H1002" s="10" t="s">
        <v>1250</v>
      </c>
      <c r="I1002" s="9">
        <v>2</v>
      </c>
      <c r="J1002" s="9">
        <v>150</v>
      </c>
      <c r="K1002" s="77">
        <f t="shared" si="84"/>
        <v>300</v>
      </c>
      <c r="L1002" s="76">
        <v>46112</v>
      </c>
      <c r="N1002" s="83"/>
      <c r="O1002" s="84"/>
      <c r="P1002" s="81"/>
      <c r="Q1002" s="81"/>
      <c r="R1002" s="81"/>
      <c r="S1002" s="81"/>
      <c r="T1002" s="85"/>
      <c r="U1002" s="81"/>
      <c r="V1002" s="81"/>
      <c r="W1002" s="123">
        <f t="shared" si="85"/>
        <v>0</v>
      </c>
      <c r="X1002" s="123" t="s">
        <v>84</v>
      </c>
      <c r="Y1002" s="114" t="s">
        <v>93</v>
      </c>
    </row>
    <row r="1003" spans="1:25" s="24" customFormat="1" ht="11.1" customHeight="1">
      <c r="A1003" s="74">
        <f t="shared" si="83"/>
        <v>1001</v>
      </c>
      <c r="B1003" s="75" t="s">
        <v>500</v>
      </c>
      <c r="C1003" s="74" t="str">
        <f>IF($B1003&lt;&gt;"",_xlfn.IFNA(VLOOKUP($B1003,'Node Details'!$B:$U,C$1,0),"Check"),"")</f>
        <v>AXW140102-AXW140105</v>
      </c>
      <c r="D1003" s="74" t="str">
        <f>IF($B1003&lt;&gt;"",_xlfn.IFNA(VLOOKUP($B1003,'Node Details'!$B:$U,D$1,0),"Check"),"")</f>
        <v>AXW</v>
      </c>
      <c r="E1003" s="74" t="str">
        <f>IF($B1003&lt;&gt;"",_xlfn.IFNA(VLOOKUP($B1003,'Node Details'!$B:$U,E$1,0),"Check"),"")</f>
        <v>Airtel</v>
      </c>
      <c r="F1003" s="76">
        <v>46114</v>
      </c>
      <c r="G1003" s="74"/>
      <c r="H1003" s="10" t="s">
        <v>1250</v>
      </c>
      <c r="I1003" s="9">
        <v>2</v>
      </c>
      <c r="J1003" s="9">
        <v>150</v>
      </c>
      <c r="K1003" s="77">
        <f t="shared" si="84"/>
        <v>300</v>
      </c>
      <c r="L1003" s="76">
        <v>46112</v>
      </c>
      <c r="N1003" s="83"/>
      <c r="O1003" s="84"/>
      <c r="P1003" s="81"/>
      <c r="Q1003" s="81"/>
      <c r="R1003" s="81"/>
      <c r="S1003" s="81"/>
      <c r="T1003" s="85"/>
      <c r="U1003" s="81"/>
      <c r="V1003" s="81"/>
      <c r="W1003" s="123">
        <f t="shared" si="85"/>
        <v>0</v>
      </c>
      <c r="X1003" s="123" t="s">
        <v>84</v>
      </c>
      <c r="Y1003" s="114" t="s">
        <v>93</v>
      </c>
    </row>
    <row r="1004" spans="1:25" s="24" customFormat="1" ht="11.1" customHeight="1">
      <c r="A1004" s="74">
        <f t="shared" si="83"/>
        <v>1002</v>
      </c>
      <c r="B1004" s="75" t="s">
        <v>384</v>
      </c>
      <c r="C1004" s="74" t="str">
        <f>IF($B1004&lt;&gt;"",_xlfn.IFNA(VLOOKUP($B1004,'Node Details'!$B:$U,C$1,0),"Check"),"")</f>
        <v>0000AXW10-0000AXW15</v>
      </c>
      <c r="D1004" s="74" t="str">
        <f>IF($B1004&lt;&gt;"",_xlfn.IFNA(VLOOKUP($B1004,'Node Details'!$B:$U,D$1,0),"Check"),"")</f>
        <v>AXW</v>
      </c>
      <c r="E1004" s="74" t="str">
        <f>IF($B1004&lt;&gt;"",_xlfn.IFNA(VLOOKUP($B1004,'Node Details'!$B:$U,E$1,0),"Check"),"")</f>
        <v>Airtel</v>
      </c>
      <c r="F1004" s="76">
        <v>46114</v>
      </c>
      <c r="G1004" s="74"/>
      <c r="H1004" s="10" t="s">
        <v>1250</v>
      </c>
      <c r="I1004" s="9">
        <v>2</v>
      </c>
      <c r="J1004" s="9">
        <v>150</v>
      </c>
      <c r="K1004" s="77">
        <f t="shared" si="84"/>
        <v>300</v>
      </c>
      <c r="L1004" s="76">
        <v>46112</v>
      </c>
      <c r="N1004" s="83"/>
      <c r="O1004" s="84"/>
      <c r="P1004" s="81"/>
      <c r="Q1004" s="81"/>
      <c r="R1004" s="81"/>
      <c r="S1004" s="81"/>
      <c r="T1004" s="85"/>
      <c r="U1004" s="81"/>
      <c r="V1004" s="81"/>
      <c r="W1004" s="123">
        <f t="shared" si="85"/>
        <v>0</v>
      </c>
      <c r="X1004" s="123" t="s">
        <v>84</v>
      </c>
      <c r="Y1004" s="114" t="s">
        <v>93</v>
      </c>
    </row>
    <row r="1005" spans="1:25" s="24" customFormat="1" ht="11.1" customHeight="1">
      <c r="A1005" s="74">
        <f t="shared" si="83"/>
        <v>1003</v>
      </c>
      <c r="B1005" s="75" t="s">
        <v>502</v>
      </c>
      <c r="C1005" s="74" t="str">
        <f>IF($B1005&lt;&gt;"",_xlfn.IFNA(VLOOKUP($B1005,'Node Details'!$B:$U,C$1,0),"Check"),"")</f>
        <v>0000AXW15-AXW150101</v>
      </c>
      <c r="D1005" s="74" t="str">
        <f>IF($B1005&lt;&gt;"",_xlfn.IFNA(VLOOKUP($B1005,'Node Details'!$B:$U,D$1,0),"Check"),"")</f>
        <v>AXW</v>
      </c>
      <c r="E1005" s="74" t="str">
        <f>IF($B1005&lt;&gt;"",_xlfn.IFNA(VLOOKUP($B1005,'Node Details'!$B:$U,E$1,0),"Check"),"")</f>
        <v>Airtel</v>
      </c>
      <c r="F1005" s="76">
        <v>46114</v>
      </c>
      <c r="G1005" s="74"/>
      <c r="H1005" s="10" t="s">
        <v>1250</v>
      </c>
      <c r="I1005" s="9">
        <v>2</v>
      </c>
      <c r="J1005" s="9">
        <v>150</v>
      </c>
      <c r="K1005" s="77">
        <f t="shared" si="84"/>
        <v>300</v>
      </c>
      <c r="L1005" s="76">
        <v>46112</v>
      </c>
      <c r="N1005" s="83"/>
      <c r="O1005" s="84"/>
      <c r="P1005" s="81"/>
      <c r="Q1005" s="81"/>
      <c r="R1005" s="81"/>
      <c r="S1005" s="81"/>
      <c r="T1005" s="85"/>
      <c r="U1005" s="81"/>
      <c r="V1005" s="81"/>
      <c r="W1005" s="123">
        <f t="shared" si="85"/>
        <v>0</v>
      </c>
      <c r="X1005" s="123" t="s">
        <v>84</v>
      </c>
      <c r="Y1005" s="114" t="s">
        <v>93</v>
      </c>
    </row>
    <row r="1006" spans="1:25" s="24" customFormat="1" ht="11.1" customHeight="1">
      <c r="A1006" s="74">
        <f t="shared" si="83"/>
        <v>1004</v>
      </c>
      <c r="B1006" s="75" t="s">
        <v>506</v>
      </c>
      <c r="C1006" s="74" t="str">
        <f>IF($B1006&lt;&gt;"",_xlfn.IFNA(VLOOKUP($B1006,'Node Details'!$B:$U,C$1,0),"Check"),"")</f>
        <v>0000AXW15-AXW150103</v>
      </c>
      <c r="D1006" s="74" t="str">
        <f>IF($B1006&lt;&gt;"",_xlfn.IFNA(VLOOKUP($B1006,'Node Details'!$B:$U,D$1,0),"Check"),"")</f>
        <v>AXW</v>
      </c>
      <c r="E1006" s="74" t="str">
        <f>IF($B1006&lt;&gt;"",_xlfn.IFNA(VLOOKUP($B1006,'Node Details'!$B:$U,E$1,0),"Check"),"")</f>
        <v>Airtel</v>
      </c>
      <c r="F1006" s="76">
        <v>46114</v>
      </c>
      <c r="G1006" s="74"/>
      <c r="H1006" s="10" t="s">
        <v>1250</v>
      </c>
      <c r="I1006" s="9">
        <v>2</v>
      </c>
      <c r="J1006" s="9">
        <v>150</v>
      </c>
      <c r="K1006" s="77">
        <f t="shared" si="84"/>
        <v>300</v>
      </c>
      <c r="L1006" s="76">
        <v>46112</v>
      </c>
      <c r="N1006" s="83"/>
      <c r="O1006" s="84"/>
      <c r="P1006" s="81"/>
      <c r="Q1006" s="81"/>
      <c r="R1006" s="81"/>
      <c r="S1006" s="81"/>
      <c r="T1006" s="85"/>
      <c r="U1006" s="81"/>
      <c r="V1006" s="81"/>
      <c r="W1006" s="123">
        <f t="shared" si="85"/>
        <v>0</v>
      </c>
      <c r="X1006" s="123" t="s">
        <v>84</v>
      </c>
      <c r="Y1006" s="114" t="s">
        <v>93</v>
      </c>
    </row>
    <row r="1007" spans="1:25" s="24" customFormat="1" ht="11.1" customHeight="1">
      <c r="A1007" s="74">
        <f t="shared" si="83"/>
        <v>1005</v>
      </c>
      <c r="B1007" s="75" t="s">
        <v>504</v>
      </c>
      <c r="C1007" s="74" t="str">
        <f>IF($B1007&lt;&gt;"",_xlfn.IFNA(VLOOKUP($B1007,'Node Details'!$B:$U,C$1,0),"Check"),"")</f>
        <v>0000AXW15-AXW150103</v>
      </c>
      <c r="D1007" s="74" t="str">
        <f>IF($B1007&lt;&gt;"",_xlfn.IFNA(VLOOKUP($B1007,'Node Details'!$B:$U,D$1,0),"Check"),"")</f>
        <v>AXW</v>
      </c>
      <c r="E1007" s="74" t="str">
        <f>IF($B1007&lt;&gt;"",_xlfn.IFNA(VLOOKUP($B1007,'Node Details'!$B:$U,E$1,0),"Check"),"")</f>
        <v>Airtel</v>
      </c>
      <c r="F1007" s="76">
        <v>46114</v>
      </c>
      <c r="G1007" s="74"/>
      <c r="H1007" s="10" t="s">
        <v>1250</v>
      </c>
      <c r="I1007" s="9">
        <v>2</v>
      </c>
      <c r="J1007" s="9">
        <v>150</v>
      </c>
      <c r="K1007" s="77">
        <f t="shared" si="84"/>
        <v>300</v>
      </c>
      <c r="L1007" s="76">
        <v>46112</v>
      </c>
      <c r="N1007" s="83"/>
      <c r="O1007" s="84"/>
      <c r="P1007" s="81"/>
      <c r="Q1007" s="81"/>
      <c r="R1007" s="81"/>
      <c r="S1007" s="81"/>
      <c r="T1007" s="85"/>
      <c r="U1007" s="81"/>
      <c r="V1007" s="81"/>
      <c r="W1007" s="123">
        <f t="shared" si="85"/>
        <v>0</v>
      </c>
      <c r="X1007" s="123" t="s">
        <v>84</v>
      </c>
      <c r="Y1007" s="114" t="s">
        <v>93</v>
      </c>
    </row>
    <row r="1008" spans="1:25" s="24" customFormat="1" ht="11.1" customHeight="1">
      <c r="A1008" s="74">
        <f t="shared" si="83"/>
        <v>1006</v>
      </c>
      <c r="B1008" s="75" t="s">
        <v>507</v>
      </c>
      <c r="C1008" s="74" t="str">
        <f>IF($B1008&lt;&gt;"",_xlfn.IFNA(VLOOKUP($B1008,'Node Details'!$B:$U,C$1,0),"Check"),"")</f>
        <v>AXW150102-AXW150104</v>
      </c>
      <c r="D1008" s="74" t="str">
        <f>IF($B1008&lt;&gt;"",_xlfn.IFNA(VLOOKUP($B1008,'Node Details'!$B:$U,D$1,0),"Check"),"")</f>
        <v>AXW</v>
      </c>
      <c r="E1008" s="74" t="str">
        <f>IF($B1008&lt;&gt;"",_xlfn.IFNA(VLOOKUP($B1008,'Node Details'!$B:$U,E$1,0),"Check"),"")</f>
        <v>Airtel</v>
      </c>
      <c r="F1008" s="76">
        <v>46114</v>
      </c>
      <c r="G1008" s="74"/>
      <c r="H1008" s="10" t="s">
        <v>1250</v>
      </c>
      <c r="I1008" s="9">
        <v>2</v>
      </c>
      <c r="J1008" s="9">
        <v>150</v>
      </c>
      <c r="K1008" s="77">
        <f t="shared" si="84"/>
        <v>300</v>
      </c>
      <c r="L1008" s="76">
        <v>46112</v>
      </c>
      <c r="N1008" s="83"/>
      <c r="O1008" s="84"/>
      <c r="P1008" s="81"/>
      <c r="Q1008" s="81"/>
      <c r="R1008" s="81"/>
      <c r="S1008" s="81"/>
      <c r="T1008" s="85"/>
      <c r="U1008" s="81"/>
      <c r="V1008" s="81"/>
      <c r="W1008" s="123">
        <f t="shared" si="85"/>
        <v>0</v>
      </c>
      <c r="X1008" s="123" t="s">
        <v>84</v>
      </c>
      <c r="Y1008" s="114" t="s">
        <v>93</v>
      </c>
    </row>
    <row r="1009" spans="1:25" s="24" customFormat="1" ht="11.1" customHeight="1">
      <c r="A1009" s="74">
        <f t="shared" si="83"/>
        <v>1007</v>
      </c>
      <c r="B1009" s="75" t="s">
        <v>509</v>
      </c>
      <c r="C1009" s="74" t="str">
        <f>IF($B1009&lt;&gt;"",_xlfn.IFNA(VLOOKUP($B1009,'Node Details'!$B:$U,C$1,0),"Check"),"")</f>
        <v>0000AXW15-AXW150105</v>
      </c>
      <c r="D1009" s="74" t="str">
        <f>IF($B1009&lt;&gt;"",_xlfn.IFNA(VLOOKUP($B1009,'Node Details'!$B:$U,D$1,0),"Check"),"")</f>
        <v>AXW</v>
      </c>
      <c r="E1009" s="74" t="str">
        <f>IF($B1009&lt;&gt;"",_xlfn.IFNA(VLOOKUP($B1009,'Node Details'!$B:$U,E$1,0),"Check"),"")</f>
        <v>Airtel</v>
      </c>
      <c r="F1009" s="76">
        <v>46114</v>
      </c>
      <c r="G1009" s="74"/>
      <c r="H1009" s="10" t="s">
        <v>1250</v>
      </c>
      <c r="I1009" s="9">
        <v>2</v>
      </c>
      <c r="J1009" s="9">
        <v>150</v>
      </c>
      <c r="K1009" s="77">
        <f t="shared" si="84"/>
        <v>300</v>
      </c>
      <c r="L1009" s="76">
        <v>46112</v>
      </c>
      <c r="N1009" s="83"/>
      <c r="O1009" s="84"/>
      <c r="P1009" s="81"/>
      <c r="Q1009" s="81"/>
      <c r="R1009" s="81"/>
      <c r="S1009" s="81"/>
      <c r="T1009" s="85"/>
      <c r="U1009" s="81"/>
      <c r="V1009" s="81"/>
      <c r="W1009" s="123">
        <f t="shared" si="85"/>
        <v>0</v>
      </c>
      <c r="X1009" s="123" t="s">
        <v>84</v>
      </c>
      <c r="Y1009" s="114" t="s">
        <v>93</v>
      </c>
    </row>
    <row r="1010" spans="1:25" s="24" customFormat="1" ht="11.1" customHeight="1">
      <c r="A1010" s="74">
        <f t="shared" si="83"/>
        <v>1008</v>
      </c>
      <c r="B1010" s="75" t="s">
        <v>511</v>
      </c>
      <c r="C1010" s="74" t="str">
        <f>IF($B1010&lt;&gt;"",_xlfn.IFNA(VLOOKUP($B1010,'Node Details'!$B:$U,C$1,0),"Check"),"")</f>
        <v>0000AXW15-AXW150106</v>
      </c>
      <c r="D1010" s="74" t="str">
        <f>IF($B1010&lt;&gt;"",_xlfn.IFNA(VLOOKUP($B1010,'Node Details'!$B:$U,D$1,0),"Check"),"")</f>
        <v>AXW</v>
      </c>
      <c r="E1010" s="74" t="str">
        <f>IF($B1010&lt;&gt;"",_xlfn.IFNA(VLOOKUP($B1010,'Node Details'!$B:$U,E$1,0),"Check"),"")</f>
        <v>Airtel</v>
      </c>
      <c r="F1010" s="76">
        <v>46114</v>
      </c>
      <c r="G1010" s="74"/>
      <c r="H1010" s="10" t="s">
        <v>1250</v>
      </c>
      <c r="I1010" s="9">
        <v>2</v>
      </c>
      <c r="J1010" s="9">
        <v>150</v>
      </c>
      <c r="K1010" s="77">
        <f t="shared" si="84"/>
        <v>300</v>
      </c>
      <c r="L1010" s="76">
        <v>46112</v>
      </c>
      <c r="N1010" s="83"/>
      <c r="O1010" s="84"/>
      <c r="P1010" s="81"/>
      <c r="Q1010" s="81"/>
      <c r="R1010" s="81"/>
      <c r="S1010" s="81"/>
      <c r="T1010" s="85"/>
      <c r="U1010" s="81"/>
      <c r="V1010" s="81"/>
      <c r="W1010" s="123">
        <f t="shared" si="85"/>
        <v>0</v>
      </c>
      <c r="X1010" s="123" t="s">
        <v>84</v>
      </c>
      <c r="Y1010" s="114" t="s">
        <v>93</v>
      </c>
    </row>
    <row r="1011" spans="1:25" s="24" customFormat="1" ht="11.1" customHeight="1">
      <c r="A1011" s="74">
        <f t="shared" si="83"/>
        <v>1009</v>
      </c>
      <c r="B1011" s="75" t="s">
        <v>386</v>
      </c>
      <c r="C1011" s="74" t="str">
        <f>IF($B1011&lt;&gt;"",_xlfn.IFNA(VLOOKUP($B1011,'Node Details'!$B:$U,C$1,0),"Check"),"")</f>
        <v>000000AXW-0000AXW17</v>
      </c>
      <c r="D1011" s="74" t="str">
        <f>IF($B1011&lt;&gt;"",_xlfn.IFNA(VLOOKUP($B1011,'Node Details'!$B:$U,D$1,0),"Check"),"")</f>
        <v>AXW</v>
      </c>
      <c r="E1011" s="74" t="str">
        <f>IF($B1011&lt;&gt;"",_xlfn.IFNA(VLOOKUP($B1011,'Node Details'!$B:$U,E$1,0),"Check"),"")</f>
        <v>Airtel</v>
      </c>
      <c r="F1011" s="76">
        <v>46114</v>
      </c>
      <c r="G1011" s="74"/>
      <c r="H1011" s="10" t="s">
        <v>1250</v>
      </c>
      <c r="I1011" s="9">
        <v>2</v>
      </c>
      <c r="J1011" s="9">
        <v>150</v>
      </c>
      <c r="K1011" s="77">
        <f t="shared" si="84"/>
        <v>300</v>
      </c>
      <c r="L1011" s="76">
        <v>46112</v>
      </c>
      <c r="N1011" s="83"/>
      <c r="O1011" s="84"/>
      <c r="P1011" s="81"/>
      <c r="Q1011" s="81"/>
      <c r="R1011" s="81"/>
      <c r="S1011" s="81"/>
      <c r="T1011" s="85"/>
      <c r="U1011" s="81"/>
      <c r="V1011" s="81"/>
      <c r="W1011" s="123">
        <f t="shared" si="85"/>
        <v>0</v>
      </c>
      <c r="X1011" s="123" t="s">
        <v>84</v>
      </c>
      <c r="Y1011" s="114" t="s">
        <v>93</v>
      </c>
    </row>
    <row r="1012" spans="1:25" s="24" customFormat="1" ht="11.1" customHeight="1">
      <c r="A1012" s="74">
        <f t="shared" si="83"/>
        <v>1010</v>
      </c>
      <c r="B1012" s="75" t="s">
        <v>513</v>
      </c>
      <c r="C1012" s="74" t="str">
        <f>IF($B1012&lt;&gt;"",_xlfn.IFNA(VLOOKUP($B1012,'Node Details'!$B:$U,C$1,0),"Check"),"")</f>
        <v>0000AXW16-AXW160101</v>
      </c>
      <c r="D1012" s="74" t="str">
        <f>IF($B1012&lt;&gt;"",_xlfn.IFNA(VLOOKUP($B1012,'Node Details'!$B:$U,D$1,0),"Check"),"")</f>
        <v>AXW</v>
      </c>
      <c r="E1012" s="74" t="str">
        <f>IF($B1012&lt;&gt;"",_xlfn.IFNA(VLOOKUP($B1012,'Node Details'!$B:$U,E$1,0),"Check"),"")</f>
        <v>Airtel</v>
      </c>
      <c r="F1012" s="76">
        <v>46114</v>
      </c>
      <c r="G1012" s="74"/>
      <c r="H1012" s="10" t="s">
        <v>1250</v>
      </c>
      <c r="I1012" s="9">
        <v>2</v>
      </c>
      <c r="J1012" s="9">
        <v>150</v>
      </c>
      <c r="K1012" s="77">
        <f t="shared" si="84"/>
        <v>300</v>
      </c>
      <c r="L1012" s="76">
        <v>46112</v>
      </c>
      <c r="N1012" s="83"/>
      <c r="O1012" s="84"/>
      <c r="P1012" s="81"/>
      <c r="Q1012" s="81"/>
      <c r="R1012" s="81"/>
      <c r="S1012" s="81"/>
      <c r="T1012" s="85"/>
      <c r="U1012" s="81"/>
      <c r="V1012" s="81"/>
      <c r="W1012" s="123">
        <f t="shared" si="85"/>
        <v>0</v>
      </c>
      <c r="X1012" s="123" t="s">
        <v>84</v>
      </c>
      <c r="Y1012" s="114" t="s">
        <v>93</v>
      </c>
    </row>
    <row r="1013" spans="1:25" s="24" customFormat="1" ht="11.1" customHeight="1">
      <c r="A1013" s="74">
        <f t="shared" si="83"/>
        <v>1011</v>
      </c>
      <c r="B1013" s="75" t="s">
        <v>515</v>
      </c>
      <c r="C1013" s="74" t="str">
        <f>IF($B1013&lt;&gt;"",_xlfn.IFNA(VLOOKUP($B1013,'Node Details'!$B:$U,C$1,0),"Check"),"")</f>
        <v>0000AXW16-AXW160102</v>
      </c>
      <c r="D1013" s="74" t="str">
        <f>IF($B1013&lt;&gt;"",_xlfn.IFNA(VLOOKUP($B1013,'Node Details'!$B:$U,D$1,0),"Check"),"")</f>
        <v>AXW</v>
      </c>
      <c r="E1013" s="74" t="str">
        <f>IF($B1013&lt;&gt;"",_xlfn.IFNA(VLOOKUP($B1013,'Node Details'!$B:$U,E$1,0),"Check"),"")</f>
        <v>Airtel</v>
      </c>
      <c r="F1013" s="76">
        <v>46114</v>
      </c>
      <c r="G1013" s="74"/>
      <c r="H1013" s="10" t="s">
        <v>1250</v>
      </c>
      <c r="I1013" s="9">
        <v>2</v>
      </c>
      <c r="J1013" s="9">
        <v>150</v>
      </c>
      <c r="K1013" s="77">
        <f t="shared" si="84"/>
        <v>300</v>
      </c>
      <c r="L1013" s="76">
        <v>46112</v>
      </c>
      <c r="N1013" s="83"/>
      <c r="O1013" s="84"/>
      <c r="P1013" s="81"/>
      <c r="Q1013" s="81"/>
      <c r="R1013" s="81"/>
      <c r="S1013" s="81"/>
      <c r="T1013" s="85"/>
      <c r="U1013" s="81"/>
      <c r="V1013" s="81"/>
      <c r="W1013" s="123">
        <f t="shared" si="85"/>
        <v>0</v>
      </c>
      <c r="X1013" s="123" t="s">
        <v>84</v>
      </c>
      <c r="Y1013" s="114" t="s">
        <v>93</v>
      </c>
    </row>
    <row r="1014" spans="1:25" s="24" customFormat="1" ht="11.1" customHeight="1">
      <c r="A1014" s="74">
        <f t="shared" si="83"/>
        <v>1012</v>
      </c>
      <c r="B1014" s="75" t="s">
        <v>1100</v>
      </c>
      <c r="C1014" s="74" t="str">
        <f>IF($B1014&lt;&gt;"",_xlfn.IFNA(VLOOKUP($B1014,'Node Details'!$B:$U,C$1,0),"Check"),"")</f>
        <v>0000AXW16-AXW160104</v>
      </c>
      <c r="D1014" s="74" t="str">
        <f>IF($B1014&lt;&gt;"",_xlfn.IFNA(VLOOKUP($B1014,'Node Details'!$B:$U,D$1,0),"Check"),"")</f>
        <v>AXW</v>
      </c>
      <c r="E1014" s="74" t="str">
        <f>IF($B1014&lt;&gt;"",_xlfn.IFNA(VLOOKUP($B1014,'Node Details'!$B:$U,E$1,0),"Check"),"")</f>
        <v>Airtel</v>
      </c>
      <c r="F1014" s="76">
        <v>46114</v>
      </c>
      <c r="G1014" s="74"/>
      <c r="H1014" s="10" t="s">
        <v>1250</v>
      </c>
      <c r="I1014" s="9">
        <v>2</v>
      </c>
      <c r="J1014" s="9">
        <v>150</v>
      </c>
      <c r="K1014" s="77">
        <f t="shared" si="84"/>
        <v>300</v>
      </c>
      <c r="L1014" s="76">
        <v>46112</v>
      </c>
      <c r="N1014" s="83"/>
      <c r="O1014" s="84"/>
      <c r="P1014" s="81"/>
      <c r="Q1014" s="81"/>
      <c r="R1014" s="81"/>
      <c r="S1014" s="81"/>
      <c r="T1014" s="85"/>
      <c r="U1014" s="81"/>
      <c r="V1014" s="81"/>
      <c r="W1014" s="123">
        <f t="shared" si="85"/>
        <v>0</v>
      </c>
      <c r="X1014" s="123" t="s">
        <v>84</v>
      </c>
      <c r="Y1014" s="114" t="s">
        <v>93</v>
      </c>
    </row>
    <row r="1015" spans="1:25" s="24" customFormat="1" ht="11.1" customHeight="1">
      <c r="A1015" s="74">
        <f t="shared" si="83"/>
        <v>1013</v>
      </c>
      <c r="B1015" s="75" t="s">
        <v>517</v>
      </c>
      <c r="C1015" s="74" t="str">
        <f>IF($B1015&lt;&gt;"",_xlfn.IFNA(VLOOKUP($B1015,'Node Details'!$B:$U,C$1,0),"Check"),"")</f>
        <v>0000AXW16-AXW160104</v>
      </c>
      <c r="D1015" s="74" t="str">
        <f>IF($B1015&lt;&gt;"",_xlfn.IFNA(VLOOKUP($B1015,'Node Details'!$B:$U,D$1,0),"Check"),"")</f>
        <v>AXW</v>
      </c>
      <c r="E1015" s="74" t="str">
        <f>IF($B1015&lt;&gt;"",_xlfn.IFNA(VLOOKUP($B1015,'Node Details'!$B:$U,E$1,0),"Check"),"")</f>
        <v>Airtel</v>
      </c>
      <c r="F1015" s="76">
        <v>46114</v>
      </c>
      <c r="G1015" s="74"/>
      <c r="H1015" s="10" t="s">
        <v>1250</v>
      </c>
      <c r="I1015" s="9">
        <v>2</v>
      </c>
      <c r="J1015" s="9">
        <v>150</v>
      </c>
      <c r="K1015" s="77">
        <f t="shared" si="84"/>
        <v>300</v>
      </c>
      <c r="L1015" s="76">
        <v>46112</v>
      </c>
      <c r="N1015" s="83"/>
      <c r="O1015" s="84"/>
      <c r="P1015" s="81"/>
      <c r="Q1015" s="81"/>
      <c r="R1015" s="81"/>
      <c r="S1015" s="81"/>
      <c r="T1015" s="85"/>
      <c r="U1015" s="81"/>
      <c r="V1015" s="81"/>
      <c r="W1015" s="123">
        <f t="shared" si="85"/>
        <v>0</v>
      </c>
      <c r="X1015" s="123" t="s">
        <v>84</v>
      </c>
      <c r="Y1015" s="114" t="s">
        <v>93</v>
      </c>
    </row>
    <row r="1016" spans="1:25" s="24" customFormat="1" ht="11.1" customHeight="1">
      <c r="A1016" s="74">
        <f t="shared" si="83"/>
        <v>1014</v>
      </c>
      <c r="B1016" s="75" t="s">
        <v>519</v>
      </c>
      <c r="C1016" s="74" t="str">
        <f>IF($B1016&lt;&gt;"",_xlfn.IFNA(VLOOKUP($B1016,'Node Details'!$B:$U,C$1,0),"Check"),"")</f>
        <v>0000AXW16-AXW160105</v>
      </c>
      <c r="D1016" s="74" t="str">
        <f>IF($B1016&lt;&gt;"",_xlfn.IFNA(VLOOKUP($B1016,'Node Details'!$B:$U,D$1,0),"Check"),"")</f>
        <v>AXW</v>
      </c>
      <c r="E1016" s="74" t="str">
        <f>IF($B1016&lt;&gt;"",_xlfn.IFNA(VLOOKUP($B1016,'Node Details'!$B:$U,E$1,0),"Check"),"")</f>
        <v>Airtel</v>
      </c>
      <c r="F1016" s="76">
        <v>46114</v>
      </c>
      <c r="G1016" s="74"/>
      <c r="H1016" s="10" t="s">
        <v>1250</v>
      </c>
      <c r="I1016" s="9">
        <v>2</v>
      </c>
      <c r="J1016" s="9">
        <v>150</v>
      </c>
      <c r="K1016" s="77">
        <f t="shared" si="84"/>
        <v>300</v>
      </c>
      <c r="L1016" s="76">
        <v>46112</v>
      </c>
      <c r="N1016" s="83"/>
      <c r="O1016" s="84"/>
      <c r="P1016" s="81"/>
      <c r="Q1016" s="81"/>
      <c r="R1016" s="81"/>
      <c r="S1016" s="81"/>
      <c r="T1016" s="85"/>
      <c r="U1016" s="81"/>
      <c r="V1016" s="81"/>
      <c r="W1016" s="123">
        <f t="shared" si="85"/>
        <v>0</v>
      </c>
      <c r="X1016" s="123" t="s">
        <v>84</v>
      </c>
      <c r="Y1016" s="114" t="s">
        <v>93</v>
      </c>
    </row>
    <row r="1017" spans="1:25" s="24" customFormat="1" ht="11.1" customHeight="1">
      <c r="A1017" s="74">
        <f t="shared" si="83"/>
        <v>1015</v>
      </c>
      <c r="B1017" s="75" t="s">
        <v>521</v>
      </c>
      <c r="C1017" s="74" t="str">
        <f>IF($B1017&lt;&gt;"",_xlfn.IFNA(VLOOKUP($B1017,'Node Details'!$B:$U,C$1,0),"Check"),"")</f>
        <v>AXW160105-AXW160106</v>
      </c>
      <c r="D1017" s="74" t="str">
        <f>IF($B1017&lt;&gt;"",_xlfn.IFNA(VLOOKUP($B1017,'Node Details'!$B:$U,D$1,0),"Check"),"")</f>
        <v>AXW</v>
      </c>
      <c r="E1017" s="74" t="str">
        <f>IF($B1017&lt;&gt;"",_xlfn.IFNA(VLOOKUP($B1017,'Node Details'!$B:$U,E$1,0),"Check"),"")</f>
        <v>Airtel</v>
      </c>
      <c r="F1017" s="76">
        <v>46114</v>
      </c>
      <c r="G1017" s="74"/>
      <c r="H1017" s="10" t="s">
        <v>1250</v>
      </c>
      <c r="I1017" s="9">
        <v>2</v>
      </c>
      <c r="J1017" s="9">
        <v>150</v>
      </c>
      <c r="K1017" s="77">
        <f t="shared" si="84"/>
        <v>300</v>
      </c>
      <c r="L1017" s="76">
        <v>46112</v>
      </c>
      <c r="N1017" s="83"/>
      <c r="O1017" s="84"/>
      <c r="P1017" s="81"/>
      <c r="Q1017" s="81"/>
      <c r="R1017" s="81"/>
      <c r="S1017" s="81"/>
      <c r="T1017" s="85"/>
      <c r="U1017" s="81"/>
      <c r="V1017" s="81"/>
      <c r="W1017" s="123">
        <f t="shared" si="85"/>
        <v>0</v>
      </c>
      <c r="X1017" s="123" t="s">
        <v>84</v>
      </c>
      <c r="Y1017" s="114" t="s">
        <v>93</v>
      </c>
    </row>
    <row r="1018" spans="1:25" s="24" customFormat="1" ht="11.1" customHeight="1">
      <c r="A1018" s="74">
        <f t="shared" si="83"/>
        <v>1016</v>
      </c>
      <c r="B1018" s="75" t="s">
        <v>1101</v>
      </c>
      <c r="C1018" s="74" t="str">
        <f>IF($B1018&lt;&gt;"",_xlfn.IFNA(VLOOKUP($B1018,'Node Details'!$B:$U,C$1,0),"Check"),"")</f>
        <v>AXW160106-AXW160108</v>
      </c>
      <c r="D1018" s="74" t="str">
        <f>IF($B1018&lt;&gt;"",_xlfn.IFNA(VLOOKUP($B1018,'Node Details'!$B:$U,D$1,0),"Check"),"")</f>
        <v>AXW</v>
      </c>
      <c r="E1018" s="74" t="str">
        <f>IF($B1018&lt;&gt;"",_xlfn.IFNA(VLOOKUP($B1018,'Node Details'!$B:$U,E$1,0),"Check"),"")</f>
        <v>Airtel</v>
      </c>
      <c r="F1018" s="76">
        <v>46114</v>
      </c>
      <c r="G1018" s="74"/>
      <c r="H1018" s="10" t="s">
        <v>1250</v>
      </c>
      <c r="I1018" s="9">
        <v>2</v>
      </c>
      <c r="J1018" s="9">
        <v>150</v>
      </c>
      <c r="K1018" s="77">
        <f t="shared" si="84"/>
        <v>300</v>
      </c>
      <c r="L1018" s="76">
        <v>46112</v>
      </c>
      <c r="N1018" s="83"/>
      <c r="O1018" s="84"/>
      <c r="P1018" s="81"/>
      <c r="Q1018" s="81"/>
      <c r="R1018" s="81"/>
      <c r="S1018" s="81"/>
      <c r="T1018" s="85"/>
      <c r="U1018" s="81"/>
      <c r="V1018" s="81"/>
      <c r="W1018" s="123">
        <f t="shared" si="85"/>
        <v>0</v>
      </c>
      <c r="X1018" s="123" t="s">
        <v>84</v>
      </c>
      <c r="Y1018" s="114" t="s">
        <v>93</v>
      </c>
    </row>
    <row r="1019" spans="1:25" s="24" customFormat="1" ht="11.1" customHeight="1">
      <c r="A1019" s="74">
        <f t="shared" si="83"/>
        <v>1017</v>
      </c>
      <c r="B1019" s="75" t="s">
        <v>523</v>
      </c>
      <c r="C1019" s="74" t="str">
        <f>IF($B1019&lt;&gt;"",_xlfn.IFNA(VLOOKUP($B1019,'Node Details'!$B:$U,C$1,0),"Check"),"")</f>
        <v>AXW160106-AXW160108</v>
      </c>
      <c r="D1019" s="74" t="str">
        <f>IF($B1019&lt;&gt;"",_xlfn.IFNA(VLOOKUP($B1019,'Node Details'!$B:$U,D$1,0),"Check"),"")</f>
        <v>AXW</v>
      </c>
      <c r="E1019" s="74" t="str">
        <f>IF($B1019&lt;&gt;"",_xlfn.IFNA(VLOOKUP($B1019,'Node Details'!$B:$U,E$1,0),"Check"),"")</f>
        <v>Airtel</v>
      </c>
      <c r="F1019" s="76">
        <v>46114</v>
      </c>
      <c r="G1019" s="74"/>
      <c r="H1019" s="10" t="s">
        <v>1250</v>
      </c>
      <c r="I1019" s="9">
        <v>2</v>
      </c>
      <c r="J1019" s="9">
        <v>150</v>
      </c>
      <c r="K1019" s="77">
        <f t="shared" si="84"/>
        <v>300</v>
      </c>
      <c r="L1019" s="76">
        <v>46112</v>
      </c>
      <c r="N1019" s="83"/>
      <c r="O1019" s="84"/>
      <c r="P1019" s="81"/>
      <c r="Q1019" s="81"/>
      <c r="R1019" s="81"/>
      <c r="S1019" s="81"/>
      <c r="T1019" s="85"/>
      <c r="U1019" s="81"/>
      <c r="V1019" s="81"/>
      <c r="W1019" s="123">
        <f t="shared" si="85"/>
        <v>0</v>
      </c>
      <c r="X1019" s="123" t="s">
        <v>84</v>
      </c>
      <c r="Y1019" s="114" t="s">
        <v>93</v>
      </c>
    </row>
    <row r="1020" spans="1:25" s="24" customFormat="1" ht="11.1" customHeight="1">
      <c r="A1020" s="74">
        <f t="shared" si="83"/>
        <v>1018</v>
      </c>
      <c r="B1020" s="75" t="s">
        <v>379</v>
      </c>
      <c r="C1020" s="74" t="str">
        <f>IF($B1020&lt;&gt;"",_xlfn.IFNA(VLOOKUP($B1020,'Node Details'!$B:$U,C$1,0),"Check"),"")</f>
        <v>000000AXW-0000AXW17</v>
      </c>
      <c r="D1020" s="74" t="str">
        <f>IF($B1020&lt;&gt;"",_xlfn.IFNA(VLOOKUP($B1020,'Node Details'!$B:$U,D$1,0),"Check"),"")</f>
        <v>AXW</v>
      </c>
      <c r="E1020" s="74" t="str">
        <f>IF($B1020&lt;&gt;"",_xlfn.IFNA(VLOOKUP($B1020,'Node Details'!$B:$U,E$1,0),"Check"),"")</f>
        <v>Airtel</v>
      </c>
      <c r="F1020" s="76">
        <v>46114</v>
      </c>
      <c r="G1020" s="74"/>
      <c r="H1020" s="10" t="s">
        <v>1250</v>
      </c>
      <c r="I1020" s="9">
        <v>2</v>
      </c>
      <c r="J1020" s="9">
        <v>150</v>
      </c>
      <c r="K1020" s="77">
        <f t="shared" si="84"/>
        <v>300</v>
      </c>
      <c r="L1020" s="76">
        <v>46112</v>
      </c>
      <c r="N1020" s="83"/>
      <c r="O1020" s="84"/>
      <c r="P1020" s="81"/>
      <c r="Q1020" s="81"/>
      <c r="R1020" s="81"/>
      <c r="S1020" s="81"/>
      <c r="T1020" s="85"/>
      <c r="U1020" s="81"/>
      <c r="V1020" s="81"/>
      <c r="W1020" s="123">
        <f t="shared" si="85"/>
        <v>0</v>
      </c>
      <c r="X1020" s="123" t="s">
        <v>84</v>
      </c>
      <c r="Y1020" s="114" t="s">
        <v>93</v>
      </c>
    </row>
    <row r="1021" spans="1:25" s="24" customFormat="1" ht="11.1" customHeight="1">
      <c r="A1021" s="74">
        <f t="shared" si="83"/>
        <v>1019</v>
      </c>
      <c r="B1021" s="75" t="s">
        <v>525</v>
      </c>
      <c r="C1021" s="74" t="str">
        <f>IF($B1021&lt;&gt;"",_xlfn.IFNA(VLOOKUP($B1021,'Node Details'!$B:$U,C$1,0),"Check"),"")</f>
        <v>0000AXW17-AXW170101</v>
      </c>
      <c r="D1021" s="74" t="str">
        <f>IF($B1021&lt;&gt;"",_xlfn.IFNA(VLOOKUP($B1021,'Node Details'!$B:$U,D$1,0),"Check"),"")</f>
        <v>AXW</v>
      </c>
      <c r="E1021" s="74" t="str">
        <f>IF($B1021&lt;&gt;"",_xlfn.IFNA(VLOOKUP($B1021,'Node Details'!$B:$U,E$1,0),"Check"),"")</f>
        <v>Airtel</v>
      </c>
      <c r="F1021" s="76">
        <v>46114</v>
      </c>
      <c r="G1021" s="74"/>
      <c r="H1021" s="10" t="s">
        <v>1250</v>
      </c>
      <c r="I1021" s="9">
        <v>2</v>
      </c>
      <c r="J1021" s="9">
        <v>150</v>
      </c>
      <c r="K1021" s="77">
        <f t="shared" si="84"/>
        <v>300</v>
      </c>
      <c r="L1021" s="76">
        <v>46112</v>
      </c>
      <c r="N1021" s="83"/>
      <c r="O1021" s="84"/>
      <c r="P1021" s="81"/>
      <c r="Q1021" s="81"/>
      <c r="R1021" s="81"/>
      <c r="S1021" s="81"/>
      <c r="T1021" s="85"/>
      <c r="U1021" s="81"/>
      <c r="V1021" s="81"/>
      <c r="W1021" s="123">
        <f t="shared" si="85"/>
        <v>0</v>
      </c>
      <c r="X1021" s="123" t="s">
        <v>84</v>
      </c>
      <c r="Y1021" s="114" t="s">
        <v>93</v>
      </c>
    </row>
    <row r="1022" spans="1:25" s="24" customFormat="1" ht="11.1" customHeight="1">
      <c r="A1022" s="74">
        <f t="shared" si="83"/>
        <v>1020</v>
      </c>
      <c r="B1022" s="75" t="s">
        <v>1102</v>
      </c>
      <c r="C1022" s="74" t="str">
        <f>IF($B1022&lt;&gt;"",_xlfn.IFNA(VLOOKUP($B1022,'Node Details'!$B:$U,C$1,0),"Check"),"")</f>
        <v>0000AXW17-AXW170105</v>
      </c>
      <c r="D1022" s="74" t="str">
        <f>IF($B1022&lt;&gt;"",_xlfn.IFNA(VLOOKUP($B1022,'Node Details'!$B:$U,D$1,0),"Check"),"")</f>
        <v>AXW</v>
      </c>
      <c r="E1022" s="74" t="str">
        <f>IF($B1022&lt;&gt;"",_xlfn.IFNA(VLOOKUP($B1022,'Node Details'!$B:$U,E$1,0),"Check"),"")</f>
        <v>Airtel</v>
      </c>
      <c r="F1022" s="76">
        <v>46114</v>
      </c>
      <c r="G1022" s="74"/>
      <c r="H1022" s="10" t="s">
        <v>1250</v>
      </c>
      <c r="I1022" s="9">
        <v>2</v>
      </c>
      <c r="J1022" s="9">
        <v>150</v>
      </c>
      <c r="K1022" s="77">
        <f t="shared" si="84"/>
        <v>300</v>
      </c>
      <c r="L1022" s="76">
        <v>46112</v>
      </c>
      <c r="N1022" s="83"/>
      <c r="O1022" s="84"/>
      <c r="P1022" s="81"/>
      <c r="Q1022" s="81"/>
      <c r="R1022" s="81"/>
      <c r="S1022" s="81"/>
      <c r="T1022" s="85"/>
      <c r="U1022" s="81"/>
      <c r="V1022" s="81"/>
      <c r="W1022" s="123">
        <f t="shared" si="85"/>
        <v>0</v>
      </c>
      <c r="X1022" s="123" t="s">
        <v>84</v>
      </c>
      <c r="Y1022" s="114" t="s">
        <v>93</v>
      </c>
    </row>
    <row r="1023" spans="1:25" s="24" customFormat="1" ht="11.1" customHeight="1">
      <c r="A1023" s="74">
        <f t="shared" si="83"/>
        <v>1021</v>
      </c>
      <c r="B1023" s="75" t="s">
        <v>1103</v>
      </c>
      <c r="C1023" s="74" t="str">
        <f>IF($B1023&lt;&gt;"",_xlfn.IFNA(VLOOKUP($B1023,'Node Details'!$B:$U,C$1,0),"Check"),"")</f>
        <v>0000AXW17-AXW170105</v>
      </c>
      <c r="D1023" s="74" t="str">
        <f>IF($B1023&lt;&gt;"",_xlfn.IFNA(VLOOKUP($B1023,'Node Details'!$B:$U,D$1,0),"Check"),"")</f>
        <v>AXW</v>
      </c>
      <c r="E1023" s="74" t="str">
        <f>IF($B1023&lt;&gt;"",_xlfn.IFNA(VLOOKUP($B1023,'Node Details'!$B:$U,E$1,0),"Check"),"")</f>
        <v>Airtel</v>
      </c>
      <c r="F1023" s="76">
        <v>46114</v>
      </c>
      <c r="G1023" s="74"/>
      <c r="H1023" s="10" t="s">
        <v>1250</v>
      </c>
      <c r="I1023" s="9">
        <v>2</v>
      </c>
      <c r="J1023" s="9">
        <v>150</v>
      </c>
      <c r="K1023" s="77">
        <f t="shared" si="84"/>
        <v>300</v>
      </c>
      <c r="L1023" s="76">
        <v>46112</v>
      </c>
      <c r="N1023" s="83"/>
      <c r="O1023" s="84"/>
      <c r="P1023" s="81"/>
      <c r="Q1023" s="81"/>
      <c r="R1023" s="81"/>
      <c r="S1023" s="81"/>
      <c r="T1023" s="85"/>
      <c r="U1023" s="81"/>
      <c r="V1023" s="81"/>
      <c r="W1023" s="123">
        <f t="shared" si="85"/>
        <v>0</v>
      </c>
      <c r="X1023" s="123" t="s">
        <v>84</v>
      </c>
      <c r="Y1023" s="114" t="s">
        <v>93</v>
      </c>
    </row>
    <row r="1024" spans="1:25" s="24" customFormat="1" ht="11.1" customHeight="1">
      <c r="A1024" s="74">
        <f t="shared" si="83"/>
        <v>1022</v>
      </c>
      <c r="B1024" s="75" t="s">
        <v>1104</v>
      </c>
      <c r="C1024" s="74" t="str">
        <f>IF($B1024&lt;&gt;"",_xlfn.IFNA(VLOOKUP($B1024,'Node Details'!$B:$U,C$1,0),"Check"),"")</f>
        <v>0000AXW17-AXW170105</v>
      </c>
      <c r="D1024" s="74" t="str">
        <f>IF($B1024&lt;&gt;"",_xlfn.IFNA(VLOOKUP($B1024,'Node Details'!$B:$U,D$1,0),"Check"),"")</f>
        <v>AXW</v>
      </c>
      <c r="E1024" s="74" t="str">
        <f>IF($B1024&lt;&gt;"",_xlfn.IFNA(VLOOKUP($B1024,'Node Details'!$B:$U,E$1,0),"Check"),"")</f>
        <v>Airtel</v>
      </c>
      <c r="F1024" s="76">
        <v>46114</v>
      </c>
      <c r="G1024" s="74"/>
      <c r="H1024" s="10" t="s">
        <v>1250</v>
      </c>
      <c r="I1024" s="9">
        <v>2</v>
      </c>
      <c r="J1024" s="9">
        <v>150</v>
      </c>
      <c r="K1024" s="77">
        <f t="shared" si="84"/>
        <v>300</v>
      </c>
      <c r="L1024" s="76">
        <v>46112</v>
      </c>
      <c r="N1024" s="83"/>
      <c r="O1024" s="84"/>
      <c r="P1024" s="81"/>
      <c r="Q1024" s="81"/>
      <c r="R1024" s="81"/>
      <c r="S1024" s="81"/>
      <c r="T1024" s="85"/>
      <c r="U1024" s="81"/>
      <c r="V1024" s="81"/>
      <c r="W1024" s="123">
        <f t="shared" si="85"/>
        <v>0</v>
      </c>
      <c r="X1024" s="123" t="s">
        <v>84</v>
      </c>
      <c r="Y1024" s="114" t="s">
        <v>93</v>
      </c>
    </row>
    <row r="1025" spans="1:25" s="24" customFormat="1" ht="11.1" customHeight="1">
      <c r="A1025" s="74">
        <f t="shared" si="83"/>
        <v>1023</v>
      </c>
      <c r="B1025" s="75" t="s">
        <v>527</v>
      </c>
      <c r="C1025" s="74" t="str">
        <f>IF($B1025&lt;&gt;"",_xlfn.IFNA(VLOOKUP($B1025,'Node Details'!$B:$U,C$1,0),"Check"),"")</f>
        <v>0000AXW17-AXW170105</v>
      </c>
      <c r="D1025" s="74" t="str">
        <f>IF($B1025&lt;&gt;"",_xlfn.IFNA(VLOOKUP($B1025,'Node Details'!$B:$U,D$1,0),"Check"),"")</f>
        <v>AXW</v>
      </c>
      <c r="E1025" s="74" t="str">
        <f>IF($B1025&lt;&gt;"",_xlfn.IFNA(VLOOKUP($B1025,'Node Details'!$B:$U,E$1,0),"Check"),"")</f>
        <v>Airtel</v>
      </c>
      <c r="F1025" s="76">
        <v>46114</v>
      </c>
      <c r="G1025" s="74"/>
      <c r="H1025" s="10" t="s">
        <v>1250</v>
      </c>
      <c r="I1025" s="9">
        <v>2</v>
      </c>
      <c r="J1025" s="9">
        <v>150</v>
      </c>
      <c r="K1025" s="77">
        <f t="shared" si="84"/>
        <v>300</v>
      </c>
      <c r="L1025" s="76">
        <v>46112</v>
      </c>
      <c r="N1025" s="83"/>
      <c r="O1025" s="84"/>
      <c r="P1025" s="81"/>
      <c r="Q1025" s="81"/>
      <c r="R1025" s="81"/>
      <c r="S1025" s="81"/>
      <c r="T1025" s="85"/>
      <c r="U1025" s="81"/>
      <c r="V1025" s="81"/>
      <c r="W1025" s="123">
        <f t="shared" si="85"/>
        <v>0</v>
      </c>
      <c r="X1025" s="123" t="s">
        <v>84</v>
      </c>
      <c r="Y1025" s="114" t="s">
        <v>93</v>
      </c>
    </row>
    <row r="1026" spans="1:25" s="24" customFormat="1" ht="11.1" customHeight="1">
      <c r="A1026" s="74">
        <f t="shared" si="83"/>
        <v>1024</v>
      </c>
      <c r="B1026" s="75" t="s">
        <v>1105</v>
      </c>
      <c r="C1026" s="74" t="str">
        <f>IF($B1026&lt;&gt;"",_xlfn.IFNA(VLOOKUP($B1026,'Node Details'!$B:$U,C$1,0),"Check"),"")</f>
        <v>0000AXW17-AXW170201</v>
      </c>
      <c r="D1026" s="74" t="str">
        <f>IF($B1026&lt;&gt;"",_xlfn.IFNA(VLOOKUP($B1026,'Node Details'!$B:$U,D$1,0),"Check"),"")</f>
        <v>AXW</v>
      </c>
      <c r="E1026" s="74" t="str">
        <f>IF($B1026&lt;&gt;"",_xlfn.IFNA(VLOOKUP($B1026,'Node Details'!$B:$U,E$1,0),"Check"),"")</f>
        <v>Airtel</v>
      </c>
      <c r="F1026" s="76">
        <v>46114</v>
      </c>
      <c r="G1026" s="74"/>
      <c r="H1026" s="10" t="s">
        <v>1250</v>
      </c>
      <c r="I1026" s="9">
        <v>2</v>
      </c>
      <c r="J1026" s="9">
        <v>150</v>
      </c>
      <c r="K1026" s="77">
        <f t="shared" si="84"/>
        <v>300</v>
      </c>
      <c r="L1026" s="76">
        <v>46112</v>
      </c>
      <c r="N1026" s="83"/>
      <c r="O1026" s="84"/>
      <c r="P1026" s="81"/>
      <c r="Q1026" s="81"/>
      <c r="R1026" s="81"/>
      <c r="S1026" s="81"/>
      <c r="T1026" s="85"/>
      <c r="U1026" s="81"/>
      <c r="V1026" s="81"/>
      <c r="W1026" s="123">
        <f t="shared" si="85"/>
        <v>0</v>
      </c>
      <c r="X1026" s="123" t="s">
        <v>84</v>
      </c>
      <c r="Y1026" s="114" t="s">
        <v>93</v>
      </c>
    </row>
    <row r="1027" spans="1:25" s="24" customFormat="1" ht="11.1" customHeight="1">
      <c r="A1027" s="74">
        <f t="shared" si="83"/>
        <v>1025</v>
      </c>
      <c r="B1027" s="75" t="s">
        <v>1106</v>
      </c>
      <c r="C1027" s="74" t="str">
        <f>IF($B1027&lt;&gt;"",_xlfn.IFNA(VLOOKUP($B1027,'Node Details'!$B:$U,C$1,0),"Check"),"")</f>
        <v>0000AXW17-AXW170201</v>
      </c>
      <c r="D1027" s="74" t="str">
        <f>IF($B1027&lt;&gt;"",_xlfn.IFNA(VLOOKUP($B1027,'Node Details'!$B:$U,D$1,0),"Check"),"")</f>
        <v>AXW</v>
      </c>
      <c r="E1027" s="74" t="str">
        <f>IF($B1027&lt;&gt;"",_xlfn.IFNA(VLOOKUP($B1027,'Node Details'!$B:$U,E$1,0),"Check"),"")</f>
        <v>Airtel</v>
      </c>
      <c r="F1027" s="76">
        <v>46114</v>
      </c>
      <c r="G1027" s="74"/>
      <c r="H1027" s="10" t="s">
        <v>1250</v>
      </c>
      <c r="I1027" s="9">
        <v>2</v>
      </c>
      <c r="J1027" s="9">
        <v>150</v>
      </c>
      <c r="K1027" s="77">
        <f t="shared" si="84"/>
        <v>300</v>
      </c>
      <c r="L1027" s="76">
        <v>46112</v>
      </c>
      <c r="N1027" s="83"/>
      <c r="O1027" s="84"/>
      <c r="P1027" s="81"/>
      <c r="Q1027" s="81"/>
      <c r="R1027" s="81"/>
      <c r="S1027" s="81"/>
      <c r="T1027" s="85"/>
      <c r="U1027" s="81"/>
      <c r="V1027" s="81"/>
      <c r="W1027" s="123">
        <f t="shared" si="85"/>
        <v>0</v>
      </c>
      <c r="X1027" s="123" t="s">
        <v>84</v>
      </c>
      <c r="Y1027" s="114" t="s">
        <v>93</v>
      </c>
    </row>
    <row r="1028" spans="1:25" s="24" customFormat="1" ht="11.1" customHeight="1">
      <c r="A1028" s="74">
        <f t="shared" ref="A1028:A1091" si="86">A1027+1</f>
        <v>1026</v>
      </c>
      <c r="B1028" s="75" t="s">
        <v>1107</v>
      </c>
      <c r="C1028" s="74" t="str">
        <f>IF($B1028&lt;&gt;"",_xlfn.IFNA(VLOOKUP($B1028,'Node Details'!$B:$U,C$1,0),"Check"),"")</f>
        <v>0000AXW17-AXW170201</v>
      </c>
      <c r="D1028" s="74" t="str">
        <f>IF($B1028&lt;&gt;"",_xlfn.IFNA(VLOOKUP($B1028,'Node Details'!$B:$U,D$1,0),"Check"),"")</f>
        <v>AXW</v>
      </c>
      <c r="E1028" s="74" t="str">
        <f>IF($B1028&lt;&gt;"",_xlfn.IFNA(VLOOKUP($B1028,'Node Details'!$B:$U,E$1,0),"Check"),"")</f>
        <v>Airtel</v>
      </c>
      <c r="F1028" s="76">
        <v>46114</v>
      </c>
      <c r="G1028" s="74"/>
      <c r="H1028" s="10" t="s">
        <v>1250</v>
      </c>
      <c r="I1028" s="9">
        <v>2</v>
      </c>
      <c r="J1028" s="9">
        <v>150</v>
      </c>
      <c r="K1028" s="77">
        <f t="shared" si="84"/>
        <v>300</v>
      </c>
      <c r="L1028" s="76">
        <v>46112</v>
      </c>
      <c r="N1028" s="83"/>
      <c r="O1028" s="84"/>
      <c r="P1028" s="81"/>
      <c r="Q1028" s="81"/>
      <c r="R1028" s="81"/>
      <c r="S1028" s="81"/>
      <c r="T1028" s="85"/>
      <c r="U1028" s="81"/>
      <c r="V1028" s="81"/>
      <c r="W1028" s="123">
        <f t="shared" si="85"/>
        <v>0</v>
      </c>
      <c r="X1028" s="123" t="s">
        <v>84</v>
      </c>
      <c r="Y1028" s="114" t="s">
        <v>93</v>
      </c>
    </row>
    <row r="1029" spans="1:25" s="24" customFormat="1" ht="11.1" customHeight="1">
      <c r="A1029" s="74">
        <f t="shared" si="86"/>
        <v>1027</v>
      </c>
      <c r="B1029" s="75" t="s">
        <v>529</v>
      </c>
      <c r="C1029" s="74" t="str">
        <f>IF($B1029&lt;&gt;"",_xlfn.IFNA(VLOOKUP($B1029,'Node Details'!$B:$U,C$1,0),"Check"),"")</f>
        <v>0000AXW17-AXW170201</v>
      </c>
      <c r="D1029" s="74" t="str">
        <f>IF($B1029&lt;&gt;"",_xlfn.IFNA(VLOOKUP($B1029,'Node Details'!$B:$U,D$1,0),"Check"),"")</f>
        <v>AXW</v>
      </c>
      <c r="E1029" s="74" t="str">
        <f>IF($B1029&lt;&gt;"",_xlfn.IFNA(VLOOKUP($B1029,'Node Details'!$B:$U,E$1,0),"Check"),"")</f>
        <v>Airtel</v>
      </c>
      <c r="F1029" s="76">
        <v>46114</v>
      </c>
      <c r="G1029" s="74"/>
      <c r="H1029" s="10" t="s">
        <v>1250</v>
      </c>
      <c r="I1029" s="9">
        <v>2</v>
      </c>
      <c r="J1029" s="9">
        <v>150</v>
      </c>
      <c r="K1029" s="77">
        <f t="shared" si="84"/>
        <v>300</v>
      </c>
      <c r="L1029" s="76">
        <v>46112</v>
      </c>
      <c r="N1029" s="83"/>
      <c r="O1029" s="84"/>
      <c r="P1029" s="81"/>
      <c r="Q1029" s="81"/>
      <c r="R1029" s="81"/>
      <c r="S1029" s="81"/>
      <c r="T1029" s="85"/>
      <c r="U1029" s="81"/>
      <c r="V1029" s="81"/>
      <c r="W1029" s="123">
        <f t="shared" si="85"/>
        <v>0</v>
      </c>
      <c r="X1029" s="123" t="s">
        <v>84</v>
      </c>
      <c r="Y1029" s="114" t="s">
        <v>93</v>
      </c>
    </row>
    <row r="1030" spans="1:25" s="24" customFormat="1" ht="11.1" customHeight="1">
      <c r="A1030" s="74">
        <f t="shared" si="86"/>
        <v>1028</v>
      </c>
      <c r="B1030" s="75" t="s">
        <v>532</v>
      </c>
      <c r="C1030" s="74" t="str">
        <f>IF($B1030&lt;&gt;"",_xlfn.IFNA(VLOOKUP($B1030,'Node Details'!$B:$U,C$1,0),"Check"),"")</f>
        <v>0000AXW16-0000AXW20</v>
      </c>
      <c r="D1030" s="74" t="str">
        <f>IF($B1030&lt;&gt;"",_xlfn.IFNA(VLOOKUP($B1030,'Node Details'!$B:$U,D$1,0),"Check"),"")</f>
        <v>AXW</v>
      </c>
      <c r="E1030" s="74" t="str">
        <f>IF($B1030&lt;&gt;"",_xlfn.IFNA(VLOOKUP($B1030,'Node Details'!$B:$U,E$1,0),"Check"),"")</f>
        <v>Airtel</v>
      </c>
      <c r="F1030" s="76">
        <v>46114</v>
      </c>
      <c r="G1030" s="74"/>
      <c r="H1030" s="10" t="s">
        <v>1250</v>
      </c>
      <c r="I1030" s="9">
        <v>2</v>
      </c>
      <c r="J1030" s="9">
        <v>150</v>
      </c>
      <c r="K1030" s="77">
        <f t="shared" si="84"/>
        <v>300</v>
      </c>
      <c r="L1030" s="76">
        <v>46112</v>
      </c>
      <c r="N1030" s="83"/>
      <c r="O1030" s="84"/>
      <c r="P1030" s="81"/>
      <c r="Q1030" s="81"/>
      <c r="R1030" s="81"/>
      <c r="S1030" s="81"/>
      <c r="T1030" s="85"/>
      <c r="U1030" s="81"/>
      <c r="V1030" s="81"/>
      <c r="W1030" s="123">
        <f t="shared" si="85"/>
        <v>0</v>
      </c>
      <c r="X1030" s="123" t="s">
        <v>84</v>
      </c>
      <c r="Y1030" s="114" t="s">
        <v>93</v>
      </c>
    </row>
    <row r="1031" spans="1:25" s="24" customFormat="1" ht="11.1" customHeight="1">
      <c r="A1031" s="74">
        <f t="shared" si="86"/>
        <v>1029</v>
      </c>
      <c r="B1031" s="75" t="s">
        <v>533</v>
      </c>
      <c r="C1031" s="74" t="str">
        <f>IF($B1031&lt;&gt;"",_xlfn.IFNA(VLOOKUP($B1031,'Node Details'!$B:$U,C$1,0),"Check"),"")</f>
        <v>0000AXW18-AXW180101</v>
      </c>
      <c r="D1031" s="74" t="str">
        <f>IF($B1031&lt;&gt;"",_xlfn.IFNA(VLOOKUP($B1031,'Node Details'!$B:$U,D$1,0),"Check"),"")</f>
        <v>AXW</v>
      </c>
      <c r="E1031" s="74" t="str">
        <f>IF($B1031&lt;&gt;"",_xlfn.IFNA(VLOOKUP($B1031,'Node Details'!$B:$U,E$1,0),"Check"),"")</f>
        <v>Airtel</v>
      </c>
      <c r="F1031" s="76">
        <v>46114</v>
      </c>
      <c r="G1031" s="74"/>
      <c r="H1031" s="10" t="s">
        <v>1250</v>
      </c>
      <c r="I1031" s="9">
        <v>2</v>
      </c>
      <c r="J1031" s="9">
        <v>150</v>
      </c>
      <c r="K1031" s="77">
        <f t="shared" si="84"/>
        <v>300</v>
      </c>
      <c r="L1031" s="76">
        <v>46112</v>
      </c>
      <c r="N1031" s="83"/>
      <c r="O1031" s="84"/>
      <c r="P1031" s="81"/>
      <c r="Q1031" s="81"/>
      <c r="R1031" s="81"/>
      <c r="S1031" s="81"/>
      <c r="T1031" s="85"/>
      <c r="U1031" s="81"/>
      <c r="V1031" s="81"/>
      <c r="W1031" s="123">
        <f t="shared" si="85"/>
        <v>0</v>
      </c>
      <c r="X1031" s="123" t="s">
        <v>84</v>
      </c>
      <c r="Y1031" s="114" t="s">
        <v>93</v>
      </c>
    </row>
    <row r="1032" spans="1:25" s="24" customFormat="1" ht="11.1" customHeight="1">
      <c r="A1032" s="74">
        <f t="shared" si="86"/>
        <v>1030</v>
      </c>
      <c r="B1032" s="75" t="s">
        <v>1108</v>
      </c>
      <c r="C1032" s="74" t="str">
        <f>IF($B1032&lt;&gt;"",_xlfn.IFNA(VLOOKUP($B1032,'Node Details'!$B:$U,C$1,0),"Check"),"")</f>
        <v>0000AXW18-AXW180105</v>
      </c>
      <c r="D1032" s="74" t="str">
        <f>IF($B1032&lt;&gt;"",_xlfn.IFNA(VLOOKUP($B1032,'Node Details'!$B:$U,D$1,0),"Check"),"")</f>
        <v>AXW</v>
      </c>
      <c r="E1032" s="74" t="str">
        <f>IF($B1032&lt;&gt;"",_xlfn.IFNA(VLOOKUP($B1032,'Node Details'!$B:$U,E$1,0),"Check"),"")</f>
        <v>Airtel</v>
      </c>
      <c r="F1032" s="76">
        <v>46114</v>
      </c>
      <c r="G1032" s="74"/>
      <c r="H1032" s="10" t="s">
        <v>1250</v>
      </c>
      <c r="I1032" s="9">
        <v>2</v>
      </c>
      <c r="J1032" s="9">
        <v>150</v>
      </c>
      <c r="K1032" s="77">
        <f t="shared" si="84"/>
        <v>300</v>
      </c>
      <c r="L1032" s="76">
        <v>46112</v>
      </c>
      <c r="N1032" s="83"/>
      <c r="O1032" s="84"/>
      <c r="P1032" s="81"/>
      <c r="Q1032" s="81"/>
      <c r="R1032" s="81"/>
      <c r="S1032" s="81"/>
      <c r="T1032" s="85"/>
      <c r="U1032" s="81"/>
      <c r="V1032" s="81"/>
      <c r="W1032" s="123">
        <f t="shared" si="85"/>
        <v>0</v>
      </c>
      <c r="X1032" s="123" t="s">
        <v>84</v>
      </c>
      <c r="Y1032" s="114" t="s">
        <v>93</v>
      </c>
    </row>
    <row r="1033" spans="1:25" s="24" customFormat="1" ht="11.1" customHeight="1">
      <c r="A1033" s="74">
        <f t="shared" si="86"/>
        <v>1031</v>
      </c>
      <c r="B1033" s="75" t="s">
        <v>1109</v>
      </c>
      <c r="C1033" s="74" t="str">
        <f>IF($B1033&lt;&gt;"",_xlfn.IFNA(VLOOKUP($B1033,'Node Details'!$B:$U,C$1,0),"Check"),"")</f>
        <v>0000AXW18-AXW180105</v>
      </c>
      <c r="D1033" s="74" t="str">
        <f>IF($B1033&lt;&gt;"",_xlfn.IFNA(VLOOKUP($B1033,'Node Details'!$B:$U,D$1,0),"Check"),"")</f>
        <v>AXW</v>
      </c>
      <c r="E1033" s="74" t="str">
        <f>IF($B1033&lt;&gt;"",_xlfn.IFNA(VLOOKUP($B1033,'Node Details'!$B:$U,E$1,0),"Check"),"")</f>
        <v>Airtel</v>
      </c>
      <c r="F1033" s="76">
        <v>46114</v>
      </c>
      <c r="G1033" s="74"/>
      <c r="H1033" s="10" t="s">
        <v>1250</v>
      </c>
      <c r="I1033" s="9">
        <v>2</v>
      </c>
      <c r="J1033" s="9">
        <v>150</v>
      </c>
      <c r="K1033" s="77">
        <f t="shared" si="84"/>
        <v>300</v>
      </c>
      <c r="L1033" s="76">
        <v>46112</v>
      </c>
      <c r="N1033" s="83"/>
      <c r="O1033" s="84"/>
      <c r="P1033" s="81"/>
      <c r="Q1033" s="81"/>
      <c r="R1033" s="81"/>
      <c r="S1033" s="81"/>
      <c r="T1033" s="85"/>
      <c r="U1033" s="81"/>
      <c r="V1033" s="81"/>
      <c r="W1033" s="123">
        <f t="shared" si="85"/>
        <v>0</v>
      </c>
      <c r="X1033" s="123" t="s">
        <v>84</v>
      </c>
      <c r="Y1033" s="114" t="s">
        <v>93</v>
      </c>
    </row>
    <row r="1034" spans="1:25" s="24" customFormat="1" ht="11.1" customHeight="1">
      <c r="A1034" s="74">
        <f t="shared" si="86"/>
        <v>1032</v>
      </c>
      <c r="B1034" s="75" t="s">
        <v>1110</v>
      </c>
      <c r="C1034" s="74" t="str">
        <f>IF($B1034&lt;&gt;"",_xlfn.IFNA(VLOOKUP($B1034,'Node Details'!$B:$U,C$1,0),"Check"),"")</f>
        <v>0000AXW18-AXW180105</v>
      </c>
      <c r="D1034" s="74" t="str">
        <f>IF($B1034&lt;&gt;"",_xlfn.IFNA(VLOOKUP($B1034,'Node Details'!$B:$U,D$1,0),"Check"),"")</f>
        <v>AXW</v>
      </c>
      <c r="E1034" s="74" t="str">
        <f>IF($B1034&lt;&gt;"",_xlfn.IFNA(VLOOKUP($B1034,'Node Details'!$B:$U,E$1,0),"Check"),"")</f>
        <v>Airtel</v>
      </c>
      <c r="F1034" s="76">
        <v>46114</v>
      </c>
      <c r="G1034" s="74"/>
      <c r="H1034" s="10" t="s">
        <v>1250</v>
      </c>
      <c r="I1034" s="9">
        <v>2</v>
      </c>
      <c r="J1034" s="9">
        <v>150</v>
      </c>
      <c r="K1034" s="77">
        <f t="shared" si="84"/>
        <v>300</v>
      </c>
      <c r="L1034" s="76">
        <v>46112</v>
      </c>
      <c r="N1034" s="83"/>
      <c r="O1034" s="84"/>
      <c r="P1034" s="81"/>
      <c r="Q1034" s="81"/>
      <c r="R1034" s="81"/>
      <c r="S1034" s="81"/>
      <c r="T1034" s="85"/>
      <c r="U1034" s="81"/>
      <c r="V1034" s="81"/>
      <c r="W1034" s="123">
        <f t="shared" si="85"/>
        <v>0</v>
      </c>
      <c r="X1034" s="123" t="s">
        <v>84</v>
      </c>
      <c r="Y1034" s="114" t="s">
        <v>93</v>
      </c>
    </row>
    <row r="1035" spans="1:25" s="24" customFormat="1" ht="11.1" customHeight="1">
      <c r="A1035" s="74">
        <f t="shared" si="86"/>
        <v>1033</v>
      </c>
      <c r="B1035" s="75" t="s">
        <v>537</v>
      </c>
      <c r="C1035" s="74" t="str">
        <f>IF($B1035&lt;&gt;"",_xlfn.IFNA(VLOOKUP($B1035,'Node Details'!$B:$U,C$1,0),"Check"),"")</f>
        <v>0000AXW18-AXW180105</v>
      </c>
      <c r="D1035" s="74" t="str">
        <f>IF($B1035&lt;&gt;"",_xlfn.IFNA(VLOOKUP($B1035,'Node Details'!$B:$U,D$1,0),"Check"),"")</f>
        <v>AXW</v>
      </c>
      <c r="E1035" s="74" t="str">
        <f>IF($B1035&lt;&gt;"",_xlfn.IFNA(VLOOKUP($B1035,'Node Details'!$B:$U,E$1,0),"Check"),"")</f>
        <v>Airtel</v>
      </c>
      <c r="F1035" s="76">
        <v>46114</v>
      </c>
      <c r="G1035" s="74"/>
      <c r="H1035" s="10" t="s">
        <v>1250</v>
      </c>
      <c r="I1035" s="9">
        <v>2</v>
      </c>
      <c r="J1035" s="9">
        <v>150</v>
      </c>
      <c r="K1035" s="77">
        <f t="shared" si="84"/>
        <v>300</v>
      </c>
      <c r="L1035" s="76">
        <v>46112</v>
      </c>
      <c r="N1035" s="83"/>
      <c r="O1035" s="84"/>
      <c r="P1035" s="81"/>
      <c r="Q1035" s="81"/>
      <c r="R1035" s="81"/>
      <c r="S1035" s="81"/>
      <c r="T1035" s="85"/>
      <c r="U1035" s="81"/>
      <c r="V1035" s="81"/>
      <c r="W1035" s="123">
        <f t="shared" si="85"/>
        <v>0</v>
      </c>
      <c r="X1035" s="123" t="s">
        <v>84</v>
      </c>
      <c r="Y1035" s="114" t="s">
        <v>93</v>
      </c>
    </row>
    <row r="1036" spans="1:25" s="24" customFormat="1" ht="11.1" customHeight="1">
      <c r="A1036" s="74">
        <f t="shared" si="86"/>
        <v>1034</v>
      </c>
      <c r="B1036" s="75" t="s">
        <v>540</v>
      </c>
      <c r="C1036" s="74" t="str">
        <f>IF($B1036&lt;&gt;"",_xlfn.IFNA(VLOOKUP($B1036,'Node Details'!$B:$U,C$1,0),"Check"),"")</f>
        <v>0000AXW18-AXW180106</v>
      </c>
      <c r="D1036" s="74" t="str">
        <f>IF($B1036&lt;&gt;"",_xlfn.IFNA(VLOOKUP($B1036,'Node Details'!$B:$U,D$1,0),"Check"),"")</f>
        <v>AXW</v>
      </c>
      <c r="E1036" s="74" t="str">
        <f>IF($B1036&lt;&gt;"",_xlfn.IFNA(VLOOKUP($B1036,'Node Details'!$B:$U,E$1,0),"Check"),"")</f>
        <v>Airtel</v>
      </c>
      <c r="F1036" s="76">
        <v>46114</v>
      </c>
      <c r="G1036" s="74"/>
      <c r="H1036" s="10" t="s">
        <v>1250</v>
      </c>
      <c r="I1036" s="9">
        <v>2</v>
      </c>
      <c r="J1036" s="9">
        <v>150</v>
      </c>
      <c r="K1036" s="77">
        <f t="shared" si="84"/>
        <v>300</v>
      </c>
      <c r="L1036" s="76">
        <v>46112</v>
      </c>
      <c r="N1036" s="83"/>
      <c r="O1036" s="84"/>
      <c r="P1036" s="81"/>
      <c r="Q1036" s="81"/>
      <c r="R1036" s="81"/>
      <c r="S1036" s="81"/>
      <c r="T1036" s="85"/>
      <c r="U1036" s="81"/>
      <c r="V1036" s="81"/>
      <c r="W1036" s="123">
        <f t="shared" si="85"/>
        <v>0</v>
      </c>
      <c r="X1036" s="123" t="s">
        <v>84</v>
      </c>
      <c r="Y1036" s="114" t="s">
        <v>93</v>
      </c>
    </row>
    <row r="1037" spans="1:25" s="24" customFormat="1" ht="11.1" customHeight="1">
      <c r="A1037" s="74">
        <f t="shared" si="86"/>
        <v>1035</v>
      </c>
      <c r="B1037" s="75" t="s">
        <v>1111</v>
      </c>
      <c r="C1037" s="74" t="str">
        <f>IF($B1037&lt;&gt;"",_xlfn.IFNA(VLOOKUP($B1037,'Node Details'!$B:$U,C$1,0),"Check"),"")</f>
        <v>AXW180106-AXW180108</v>
      </c>
      <c r="D1037" s="74" t="str">
        <f>IF($B1037&lt;&gt;"",_xlfn.IFNA(VLOOKUP($B1037,'Node Details'!$B:$U,D$1,0),"Check"),"")</f>
        <v>AXW</v>
      </c>
      <c r="E1037" s="74" t="str">
        <f>IF($B1037&lt;&gt;"",_xlfn.IFNA(VLOOKUP($B1037,'Node Details'!$B:$U,E$1,0),"Check"),"")</f>
        <v>Airtel</v>
      </c>
      <c r="F1037" s="76">
        <v>46114</v>
      </c>
      <c r="G1037" s="74"/>
      <c r="H1037" s="10" t="s">
        <v>1250</v>
      </c>
      <c r="I1037" s="9">
        <v>2</v>
      </c>
      <c r="J1037" s="9">
        <v>150</v>
      </c>
      <c r="K1037" s="77">
        <f t="shared" si="84"/>
        <v>300</v>
      </c>
      <c r="L1037" s="76">
        <v>46112</v>
      </c>
      <c r="N1037" s="83"/>
      <c r="O1037" s="84"/>
      <c r="P1037" s="81"/>
      <c r="Q1037" s="81"/>
      <c r="R1037" s="81"/>
      <c r="S1037" s="81"/>
      <c r="T1037" s="85"/>
      <c r="U1037" s="81"/>
      <c r="V1037" s="81"/>
      <c r="W1037" s="123">
        <f t="shared" si="85"/>
        <v>0</v>
      </c>
      <c r="X1037" s="123" t="s">
        <v>84</v>
      </c>
      <c r="Y1037" s="114" t="s">
        <v>93</v>
      </c>
    </row>
    <row r="1038" spans="1:25" s="24" customFormat="1" ht="11.1" customHeight="1">
      <c r="A1038" s="74">
        <f t="shared" si="86"/>
        <v>1036</v>
      </c>
      <c r="B1038" s="75" t="s">
        <v>543</v>
      </c>
      <c r="C1038" s="74" t="str">
        <f>IF($B1038&lt;&gt;"",_xlfn.IFNA(VLOOKUP($B1038,'Node Details'!$B:$U,C$1,0),"Check"),"")</f>
        <v>AXW180106-AXW180108</v>
      </c>
      <c r="D1038" s="74" t="str">
        <f>IF($B1038&lt;&gt;"",_xlfn.IFNA(VLOOKUP($B1038,'Node Details'!$B:$U,D$1,0),"Check"),"")</f>
        <v>AXW</v>
      </c>
      <c r="E1038" s="74" t="str">
        <f>IF($B1038&lt;&gt;"",_xlfn.IFNA(VLOOKUP($B1038,'Node Details'!$B:$U,E$1,0),"Check"),"")</f>
        <v>Airtel</v>
      </c>
      <c r="F1038" s="76">
        <v>46114</v>
      </c>
      <c r="G1038" s="74"/>
      <c r="H1038" s="10" t="s">
        <v>1250</v>
      </c>
      <c r="I1038" s="9">
        <v>2</v>
      </c>
      <c r="J1038" s="9">
        <v>150</v>
      </c>
      <c r="K1038" s="77">
        <f t="shared" si="84"/>
        <v>300</v>
      </c>
      <c r="L1038" s="76">
        <v>46112</v>
      </c>
      <c r="N1038" s="83"/>
      <c r="O1038" s="84"/>
      <c r="P1038" s="81"/>
      <c r="Q1038" s="81"/>
      <c r="R1038" s="81"/>
      <c r="S1038" s="81"/>
      <c r="T1038" s="85"/>
      <c r="U1038" s="81"/>
      <c r="V1038" s="81"/>
      <c r="W1038" s="123">
        <f t="shared" si="85"/>
        <v>0</v>
      </c>
      <c r="X1038" s="123" t="s">
        <v>84</v>
      </c>
      <c r="Y1038" s="114" t="s">
        <v>93</v>
      </c>
    </row>
    <row r="1039" spans="1:25" s="24" customFormat="1" ht="11.1" customHeight="1">
      <c r="A1039" s="74">
        <f t="shared" si="86"/>
        <v>1037</v>
      </c>
      <c r="B1039" s="75" t="s">
        <v>389</v>
      </c>
      <c r="C1039" s="74" t="str">
        <f>IF($B1039&lt;&gt;"",_xlfn.IFNA(VLOOKUP($B1039,'Node Details'!$B:$U,C$1,0),"Check"),"")</f>
        <v>0000AXW16-0000AXW20</v>
      </c>
      <c r="D1039" s="74" t="str">
        <f>IF($B1039&lt;&gt;"",_xlfn.IFNA(VLOOKUP($B1039,'Node Details'!$B:$U,D$1,0),"Check"),"")</f>
        <v>AXW</v>
      </c>
      <c r="E1039" s="74" t="str">
        <f>IF($B1039&lt;&gt;"",_xlfn.IFNA(VLOOKUP($B1039,'Node Details'!$B:$U,E$1,0),"Check"),"")</f>
        <v>Airtel</v>
      </c>
      <c r="F1039" s="76">
        <v>46114</v>
      </c>
      <c r="G1039" s="74"/>
      <c r="H1039" s="10" t="s">
        <v>1250</v>
      </c>
      <c r="I1039" s="9">
        <v>2</v>
      </c>
      <c r="J1039" s="9">
        <v>150</v>
      </c>
      <c r="K1039" s="77">
        <f t="shared" ref="K1039:K1081" si="87">IF(I1039&lt;&gt;"",J1039*I1039,0)</f>
        <v>300</v>
      </c>
      <c r="L1039" s="76">
        <v>46112</v>
      </c>
      <c r="N1039" s="83"/>
      <c r="O1039" s="84"/>
      <c r="P1039" s="81"/>
      <c r="Q1039" s="81"/>
      <c r="R1039" s="81"/>
      <c r="S1039" s="81"/>
      <c r="T1039" s="85"/>
      <c r="U1039" s="81"/>
      <c r="V1039" s="81"/>
      <c r="W1039" s="123">
        <f t="shared" ref="W1039:W1080" si="88">IF(V1039&lt;&gt;"",V1039*U1039,0)</f>
        <v>0</v>
      </c>
      <c r="X1039" s="123" t="s">
        <v>84</v>
      </c>
      <c r="Y1039" s="114" t="s">
        <v>93</v>
      </c>
    </row>
    <row r="1040" spans="1:25" s="24" customFormat="1" ht="11.1" customHeight="1">
      <c r="A1040" s="74">
        <f t="shared" si="86"/>
        <v>1038</v>
      </c>
      <c r="B1040" s="75" t="s">
        <v>546</v>
      </c>
      <c r="C1040" s="74" t="str">
        <f>IF($B1040&lt;&gt;"",_xlfn.IFNA(VLOOKUP($B1040,'Node Details'!$B:$U,C$1,0),"Check"),"")</f>
        <v>0000AXW19-AXW190101</v>
      </c>
      <c r="D1040" s="74" t="str">
        <f>IF($B1040&lt;&gt;"",_xlfn.IFNA(VLOOKUP($B1040,'Node Details'!$B:$U,D$1,0),"Check"),"")</f>
        <v>AXW</v>
      </c>
      <c r="E1040" s="74" t="str">
        <f>IF($B1040&lt;&gt;"",_xlfn.IFNA(VLOOKUP($B1040,'Node Details'!$B:$U,E$1,0),"Check"),"")</f>
        <v>Airtel</v>
      </c>
      <c r="F1040" s="76">
        <v>46114</v>
      </c>
      <c r="G1040" s="74"/>
      <c r="H1040" s="10" t="s">
        <v>1250</v>
      </c>
      <c r="I1040" s="9">
        <v>2</v>
      </c>
      <c r="J1040" s="9">
        <v>150</v>
      </c>
      <c r="K1040" s="77">
        <f t="shared" si="87"/>
        <v>300</v>
      </c>
      <c r="L1040" s="76">
        <v>46112</v>
      </c>
      <c r="N1040" s="83"/>
      <c r="O1040" s="84"/>
      <c r="P1040" s="81"/>
      <c r="Q1040" s="81"/>
      <c r="R1040" s="81"/>
      <c r="S1040" s="81"/>
      <c r="T1040" s="85"/>
      <c r="U1040" s="81"/>
      <c r="V1040" s="81"/>
      <c r="W1040" s="123">
        <f t="shared" si="88"/>
        <v>0</v>
      </c>
      <c r="X1040" s="123" t="s">
        <v>84</v>
      </c>
      <c r="Y1040" s="114" t="s">
        <v>93</v>
      </c>
    </row>
    <row r="1041" spans="1:25" s="24" customFormat="1" ht="11.1" customHeight="1">
      <c r="A1041" s="74">
        <f t="shared" si="86"/>
        <v>1039</v>
      </c>
      <c r="B1041" s="75" t="s">
        <v>1112</v>
      </c>
      <c r="C1041" s="74" t="str">
        <f>IF($B1041&lt;&gt;"",_xlfn.IFNA(VLOOKUP($B1041,'Node Details'!$B:$U,C$1,0),"Check"),"")</f>
        <v>0000AXW19-AXW190104</v>
      </c>
      <c r="D1041" s="74" t="str">
        <f>IF($B1041&lt;&gt;"",_xlfn.IFNA(VLOOKUP($B1041,'Node Details'!$B:$U,D$1,0),"Check"),"")</f>
        <v>AXW</v>
      </c>
      <c r="E1041" s="74" t="str">
        <f>IF($B1041&lt;&gt;"",_xlfn.IFNA(VLOOKUP($B1041,'Node Details'!$B:$U,E$1,0),"Check"),"")</f>
        <v>Airtel</v>
      </c>
      <c r="F1041" s="76">
        <v>46114</v>
      </c>
      <c r="G1041" s="74"/>
      <c r="H1041" s="10" t="s">
        <v>1250</v>
      </c>
      <c r="I1041" s="9">
        <v>2</v>
      </c>
      <c r="J1041" s="9">
        <v>150</v>
      </c>
      <c r="K1041" s="77">
        <f t="shared" si="87"/>
        <v>300</v>
      </c>
      <c r="L1041" s="76">
        <v>46112</v>
      </c>
      <c r="N1041" s="83"/>
      <c r="O1041" s="84"/>
      <c r="P1041" s="81"/>
      <c r="Q1041" s="81"/>
      <c r="R1041" s="81"/>
      <c r="S1041" s="81"/>
      <c r="T1041" s="85"/>
      <c r="U1041" s="81"/>
      <c r="V1041" s="81"/>
      <c r="W1041" s="123">
        <f t="shared" si="88"/>
        <v>0</v>
      </c>
      <c r="X1041" s="123" t="s">
        <v>84</v>
      </c>
      <c r="Y1041" s="114" t="s">
        <v>93</v>
      </c>
    </row>
    <row r="1042" spans="1:25" s="24" customFormat="1" ht="11.1" customHeight="1">
      <c r="A1042" s="74">
        <f t="shared" si="86"/>
        <v>1040</v>
      </c>
      <c r="B1042" s="75" t="s">
        <v>1113</v>
      </c>
      <c r="C1042" s="74" t="str">
        <f>IF($B1042&lt;&gt;"",_xlfn.IFNA(VLOOKUP($B1042,'Node Details'!$B:$U,C$1,0),"Check"),"")</f>
        <v>0000AXW19-AXW190104</v>
      </c>
      <c r="D1042" s="74" t="str">
        <f>IF($B1042&lt;&gt;"",_xlfn.IFNA(VLOOKUP($B1042,'Node Details'!$B:$U,D$1,0),"Check"),"")</f>
        <v>AXW</v>
      </c>
      <c r="E1042" s="74" t="str">
        <f>IF($B1042&lt;&gt;"",_xlfn.IFNA(VLOOKUP($B1042,'Node Details'!$B:$U,E$1,0),"Check"),"")</f>
        <v>Airtel</v>
      </c>
      <c r="F1042" s="76">
        <v>46114</v>
      </c>
      <c r="G1042" s="74"/>
      <c r="H1042" s="10" t="s">
        <v>1250</v>
      </c>
      <c r="I1042" s="9">
        <v>2</v>
      </c>
      <c r="J1042" s="9">
        <v>150</v>
      </c>
      <c r="K1042" s="77">
        <f t="shared" si="87"/>
        <v>300</v>
      </c>
      <c r="L1042" s="76">
        <v>46112</v>
      </c>
      <c r="N1042" s="83"/>
      <c r="O1042" s="84"/>
      <c r="P1042" s="81"/>
      <c r="Q1042" s="81"/>
      <c r="R1042" s="81"/>
      <c r="S1042" s="81"/>
      <c r="T1042" s="85"/>
      <c r="U1042" s="81"/>
      <c r="V1042" s="81"/>
      <c r="W1042" s="123">
        <f t="shared" si="88"/>
        <v>0</v>
      </c>
      <c r="X1042" s="123" t="s">
        <v>84</v>
      </c>
      <c r="Y1042" s="114" t="s">
        <v>93</v>
      </c>
    </row>
    <row r="1043" spans="1:25" s="24" customFormat="1" ht="11.1" customHeight="1">
      <c r="A1043" s="74">
        <f t="shared" si="86"/>
        <v>1041</v>
      </c>
      <c r="B1043" s="75" t="s">
        <v>549</v>
      </c>
      <c r="C1043" s="74" t="str">
        <f>IF($B1043&lt;&gt;"",_xlfn.IFNA(VLOOKUP($B1043,'Node Details'!$B:$U,C$1,0),"Check"),"")</f>
        <v>0000AXW19-AXW190104</v>
      </c>
      <c r="D1043" s="74" t="str">
        <f>IF($B1043&lt;&gt;"",_xlfn.IFNA(VLOOKUP($B1043,'Node Details'!$B:$U,D$1,0),"Check"),"")</f>
        <v>AXW</v>
      </c>
      <c r="E1043" s="74" t="str">
        <f>IF($B1043&lt;&gt;"",_xlfn.IFNA(VLOOKUP($B1043,'Node Details'!$B:$U,E$1,0),"Check"),"")</f>
        <v>Airtel</v>
      </c>
      <c r="F1043" s="76">
        <v>46114</v>
      </c>
      <c r="G1043" s="74"/>
      <c r="H1043" s="10" t="s">
        <v>1250</v>
      </c>
      <c r="I1043" s="9">
        <v>2</v>
      </c>
      <c r="J1043" s="9">
        <v>150</v>
      </c>
      <c r="K1043" s="77">
        <f t="shared" si="87"/>
        <v>300</v>
      </c>
      <c r="L1043" s="76">
        <v>46112</v>
      </c>
      <c r="N1043" s="83"/>
      <c r="O1043" s="84"/>
      <c r="P1043" s="81"/>
      <c r="Q1043" s="81"/>
      <c r="R1043" s="81"/>
      <c r="S1043" s="81"/>
      <c r="T1043" s="85"/>
      <c r="U1043" s="81"/>
      <c r="V1043" s="81"/>
      <c r="W1043" s="123">
        <f t="shared" si="88"/>
        <v>0</v>
      </c>
      <c r="X1043" s="123" t="s">
        <v>84</v>
      </c>
      <c r="Y1043" s="114" t="s">
        <v>93</v>
      </c>
    </row>
    <row r="1044" spans="1:25" s="24" customFormat="1" ht="11.1" customHeight="1">
      <c r="A1044" s="74">
        <f t="shared" si="86"/>
        <v>1042</v>
      </c>
      <c r="B1044" s="75" t="s">
        <v>1114</v>
      </c>
      <c r="C1044" s="74" t="str">
        <f>IF($B1044&lt;&gt;"",_xlfn.IFNA(VLOOKUP($B1044,'Node Details'!$B:$U,C$1,0),"Check"),"")</f>
        <v>0000AXW19-AXW190108</v>
      </c>
      <c r="D1044" s="74" t="str">
        <f>IF($B1044&lt;&gt;"",_xlfn.IFNA(VLOOKUP($B1044,'Node Details'!$B:$U,D$1,0),"Check"),"")</f>
        <v>AXW</v>
      </c>
      <c r="E1044" s="74" t="str">
        <f>IF($B1044&lt;&gt;"",_xlfn.IFNA(VLOOKUP($B1044,'Node Details'!$B:$U,E$1,0),"Check"),"")</f>
        <v>Airtel</v>
      </c>
      <c r="F1044" s="76">
        <v>46114</v>
      </c>
      <c r="G1044" s="74"/>
      <c r="H1044" s="10" t="s">
        <v>1250</v>
      </c>
      <c r="I1044" s="9">
        <v>2</v>
      </c>
      <c r="J1044" s="9">
        <v>150</v>
      </c>
      <c r="K1044" s="77">
        <f t="shared" si="87"/>
        <v>300</v>
      </c>
      <c r="L1044" s="76">
        <v>46112</v>
      </c>
      <c r="N1044" s="83"/>
      <c r="O1044" s="84"/>
      <c r="P1044" s="81"/>
      <c r="Q1044" s="81"/>
      <c r="R1044" s="81"/>
      <c r="S1044" s="81"/>
      <c r="T1044" s="85"/>
      <c r="U1044" s="81"/>
      <c r="V1044" s="81"/>
      <c r="W1044" s="123">
        <f t="shared" si="88"/>
        <v>0</v>
      </c>
      <c r="X1044" s="123" t="s">
        <v>84</v>
      </c>
      <c r="Y1044" s="114" t="s">
        <v>93</v>
      </c>
    </row>
    <row r="1045" spans="1:25" s="24" customFormat="1" ht="11.1" customHeight="1">
      <c r="A1045" s="74">
        <f t="shared" si="86"/>
        <v>1043</v>
      </c>
      <c r="B1045" s="75" t="s">
        <v>1115</v>
      </c>
      <c r="C1045" s="74" t="str">
        <f>IF($B1045&lt;&gt;"",_xlfn.IFNA(VLOOKUP($B1045,'Node Details'!$B:$U,C$1,0),"Check"),"")</f>
        <v>0000AXW19-AXW190108</v>
      </c>
      <c r="D1045" s="74" t="str">
        <f>IF($B1045&lt;&gt;"",_xlfn.IFNA(VLOOKUP($B1045,'Node Details'!$B:$U,D$1,0),"Check"),"")</f>
        <v>AXW</v>
      </c>
      <c r="E1045" s="74" t="str">
        <f>IF($B1045&lt;&gt;"",_xlfn.IFNA(VLOOKUP($B1045,'Node Details'!$B:$U,E$1,0),"Check"),"")</f>
        <v>Airtel</v>
      </c>
      <c r="F1045" s="76">
        <v>46114</v>
      </c>
      <c r="G1045" s="74"/>
      <c r="H1045" s="10" t="s">
        <v>1250</v>
      </c>
      <c r="I1045" s="9">
        <v>2</v>
      </c>
      <c r="J1045" s="9">
        <v>150</v>
      </c>
      <c r="K1045" s="77">
        <f t="shared" si="87"/>
        <v>300</v>
      </c>
      <c r="L1045" s="76">
        <v>46112</v>
      </c>
      <c r="N1045" s="83"/>
      <c r="O1045" s="84"/>
      <c r="P1045" s="81"/>
      <c r="Q1045" s="81"/>
      <c r="R1045" s="81"/>
      <c r="S1045" s="81"/>
      <c r="T1045" s="85"/>
      <c r="U1045" s="81"/>
      <c r="V1045" s="81"/>
      <c r="W1045" s="123">
        <f t="shared" si="88"/>
        <v>0</v>
      </c>
      <c r="X1045" s="123" t="s">
        <v>84</v>
      </c>
      <c r="Y1045" s="114" t="s">
        <v>93</v>
      </c>
    </row>
    <row r="1046" spans="1:25" s="24" customFormat="1" ht="11.1" customHeight="1">
      <c r="A1046" s="74">
        <f t="shared" si="86"/>
        <v>1044</v>
      </c>
      <c r="B1046" s="75" t="s">
        <v>1116</v>
      </c>
      <c r="C1046" s="74" t="str">
        <f>IF($B1046&lt;&gt;"",_xlfn.IFNA(VLOOKUP($B1046,'Node Details'!$B:$U,C$1,0),"Check"),"")</f>
        <v>0000AXW19-AXW190108</v>
      </c>
      <c r="D1046" s="74" t="str">
        <f>IF($B1046&lt;&gt;"",_xlfn.IFNA(VLOOKUP($B1046,'Node Details'!$B:$U,D$1,0),"Check"),"")</f>
        <v>AXW</v>
      </c>
      <c r="E1046" s="74" t="str">
        <f>IF($B1046&lt;&gt;"",_xlfn.IFNA(VLOOKUP($B1046,'Node Details'!$B:$U,E$1,0),"Check"),"")</f>
        <v>Airtel</v>
      </c>
      <c r="F1046" s="76">
        <v>46114</v>
      </c>
      <c r="G1046" s="74"/>
      <c r="H1046" s="10" t="s">
        <v>1250</v>
      </c>
      <c r="I1046" s="9">
        <v>2</v>
      </c>
      <c r="J1046" s="9">
        <v>150</v>
      </c>
      <c r="K1046" s="77">
        <f t="shared" si="87"/>
        <v>300</v>
      </c>
      <c r="L1046" s="76">
        <v>46112</v>
      </c>
      <c r="N1046" s="83"/>
      <c r="O1046" s="84"/>
      <c r="P1046" s="81"/>
      <c r="Q1046" s="81"/>
      <c r="R1046" s="81"/>
      <c r="S1046" s="81"/>
      <c r="T1046" s="85"/>
      <c r="U1046" s="81"/>
      <c r="V1046" s="81"/>
      <c r="W1046" s="123">
        <f t="shared" si="88"/>
        <v>0</v>
      </c>
      <c r="X1046" s="123" t="s">
        <v>84</v>
      </c>
      <c r="Y1046" s="114" t="s">
        <v>93</v>
      </c>
    </row>
    <row r="1047" spans="1:25" s="24" customFormat="1" ht="11.1" customHeight="1">
      <c r="A1047" s="74">
        <f t="shared" si="86"/>
        <v>1045</v>
      </c>
      <c r="B1047" s="75" t="s">
        <v>552</v>
      </c>
      <c r="C1047" s="74" t="str">
        <f>IF($B1047&lt;&gt;"",_xlfn.IFNA(VLOOKUP($B1047,'Node Details'!$B:$U,C$1,0),"Check"),"")</f>
        <v>0000AXW19-AXW190108</v>
      </c>
      <c r="D1047" s="74" t="str">
        <f>IF($B1047&lt;&gt;"",_xlfn.IFNA(VLOOKUP($B1047,'Node Details'!$B:$U,D$1,0),"Check"),"")</f>
        <v>AXW</v>
      </c>
      <c r="E1047" s="74" t="str">
        <f>IF($B1047&lt;&gt;"",_xlfn.IFNA(VLOOKUP($B1047,'Node Details'!$B:$U,E$1,0),"Check"),"")</f>
        <v>Airtel</v>
      </c>
      <c r="F1047" s="76">
        <v>46114</v>
      </c>
      <c r="G1047" s="74"/>
      <c r="H1047" s="10" t="s">
        <v>1250</v>
      </c>
      <c r="I1047" s="9">
        <v>2</v>
      </c>
      <c r="J1047" s="9">
        <v>150</v>
      </c>
      <c r="K1047" s="77">
        <f t="shared" si="87"/>
        <v>300</v>
      </c>
      <c r="L1047" s="76">
        <v>46112</v>
      </c>
      <c r="N1047" s="83"/>
      <c r="O1047" s="84"/>
      <c r="P1047" s="81"/>
      <c r="Q1047" s="81"/>
      <c r="R1047" s="81"/>
      <c r="S1047" s="81"/>
      <c r="T1047" s="85"/>
      <c r="U1047" s="81"/>
      <c r="V1047" s="81"/>
      <c r="W1047" s="123">
        <f t="shared" si="88"/>
        <v>0</v>
      </c>
      <c r="X1047" s="123" t="s">
        <v>84</v>
      </c>
      <c r="Y1047" s="114" t="s">
        <v>93</v>
      </c>
    </row>
    <row r="1048" spans="1:25" s="24" customFormat="1" ht="11.1" customHeight="1">
      <c r="A1048" s="74">
        <f t="shared" si="86"/>
        <v>1046</v>
      </c>
      <c r="B1048" s="75" t="s">
        <v>387</v>
      </c>
      <c r="C1048" s="74" t="str">
        <f>IF($B1048&lt;&gt;"",_xlfn.IFNA(VLOOKUP($B1048,'Node Details'!$B:$U,C$1,0),"Check"),"")</f>
        <v>0000AXW16-0000AXW20</v>
      </c>
      <c r="D1048" s="74" t="str">
        <f>IF($B1048&lt;&gt;"",_xlfn.IFNA(VLOOKUP($B1048,'Node Details'!$B:$U,D$1,0),"Check"),"")</f>
        <v>AXW</v>
      </c>
      <c r="E1048" s="74" t="str">
        <f>IF($B1048&lt;&gt;"",_xlfn.IFNA(VLOOKUP($B1048,'Node Details'!$B:$U,E$1,0),"Check"),"")</f>
        <v>Airtel</v>
      </c>
      <c r="F1048" s="76">
        <v>46114</v>
      </c>
      <c r="G1048" s="74"/>
      <c r="H1048" s="10" t="s">
        <v>1250</v>
      </c>
      <c r="I1048" s="9">
        <v>2</v>
      </c>
      <c r="J1048" s="9">
        <v>150</v>
      </c>
      <c r="K1048" s="77">
        <f t="shared" si="87"/>
        <v>300</v>
      </c>
      <c r="L1048" s="76">
        <v>46112</v>
      </c>
      <c r="N1048" s="83"/>
      <c r="O1048" s="84"/>
      <c r="P1048" s="81"/>
      <c r="Q1048" s="81"/>
      <c r="R1048" s="81"/>
      <c r="S1048" s="81"/>
      <c r="T1048" s="85"/>
      <c r="U1048" s="81"/>
      <c r="V1048" s="81"/>
      <c r="W1048" s="123">
        <f t="shared" si="88"/>
        <v>0</v>
      </c>
      <c r="X1048" s="123" t="s">
        <v>84</v>
      </c>
      <c r="Y1048" s="114" t="s">
        <v>93</v>
      </c>
    </row>
    <row r="1049" spans="1:25" s="24" customFormat="1" ht="11.1" customHeight="1">
      <c r="A1049" s="74">
        <f t="shared" si="86"/>
        <v>1047</v>
      </c>
      <c r="B1049" s="75" t="s">
        <v>555</v>
      </c>
      <c r="C1049" s="74" t="str">
        <f>IF($B1049&lt;&gt;"",_xlfn.IFNA(VLOOKUP($B1049,'Node Details'!$B:$U,C$1,0),"Check"),"")</f>
        <v>0000AXW20-AXW200101</v>
      </c>
      <c r="D1049" s="74" t="str">
        <f>IF($B1049&lt;&gt;"",_xlfn.IFNA(VLOOKUP($B1049,'Node Details'!$B:$U,D$1,0),"Check"),"")</f>
        <v>AXW</v>
      </c>
      <c r="E1049" s="74" t="str">
        <f>IF($B1049&lt;&gt;"",_xlfn.IFNA(VLOOKUP($B1049,'Node Details'!$B:$U,E$1,0),"Check"),"")</f>
        <v>Airtel</v>
      </c>
      <c r="F1049" s="76">
        <v>46114</v>
      </c>
      <c r="G1049" s="74"/>
      <c r="H1049" s="10" t="s">
        <v>1250</v>
      </c>
      <c r="I1049" s="9">
        <v>2</v>
      </c>
      <c r="J1049" s="9">
        <v>150</v>
      </c>
      <c r="K1049" s="77">
        <f t="shared" si="87"/>
        <v>300</v>
      </c>
      <c r="L1049" s="76">
        <v>46112</v>
      </c>
      <c r="N1049" s="83"/>
      <c r="O1049" s="84"/>
      <c r="P1049" s="81"/>
      <c r="Q1049" s="81"/>
      <c r="R1049" s="81"/>
      <c r="S1049" s="81"/>
      <c r="T1049" s="85"/>
      <c r="U1049" s="81"/>
      <c r="V1049" s="81"/>
      <c r="W1049" s="123">
        <f t="shared" si="88"/>
        <v>0</v>
      </c>
      <c r="X1049" s="123" t="s">
        <v>84</v>
      </c>
      <c r="Y1049" s="114" t="s">
        <v>93</v>
      </c>
    </row>
    <row r="1050" spans="1:25" s="24" customFormat="1" ht="11.1" customHeight="1">
      <c r="A1050" s="74">
        <f t="shared" si="86"/>
        <v>1048</v>
      </c>
      <c r="B1050" s="75" t="s">
        <v>1117</v>
      </c>
      <c r="C1050" s="74" t="str">
        <f>IF($B1050&lt;&gt;"",_xlfn.IFNA(VLOOKUP($B1050,'Node Details'!$B:$U,C$1,0),"Check"),"")</f>
        <v>0000AXW20-AXW200107</v>
      </c>
      <c r="D1050" s="74" t="str">
        <f>IF($B1050&lt;&gt;"",_xlfn.IFNA(VLOOKUP($B1050,'Node Details'!$B:$U,D$1,0),"Check"),"")</f>
        <v>AXW</v>
      </c>
      <c r="E1050" s="74" t="str">
        <f>IF($B1050&lt;&gt;"",_xlfn.IFNA(VLOOKUP($B1050,'Node Details'!$B:$U,E$1,0),"Check"),"")</f>
        <v>Airtel</v>
      </c>
      <c r="F1050" s="76">
        <v>46114</v>
      </c>
      <c r="G1050" s="74"/>
      <c r="H1050" s="10" t="s">
        <v>1250</v>
      </c>
      <c r="I1050" s="9">
        <v>2</v>
      </c>
      <c r="J1050" s="9">
        <v>150</v>
      </c>
      <c r="K1050" s="77">
        <f t="shared" si="87"/>
        <v>300</v>
      </c>
      <c r="L1050" s="76">
        <v>46112</v>
      </c>
      <c r="N1050" s="83"/>
      <c r="O1050" s="84"/>
      <c r="P1050" s="81"/>
      <c r="Q1050" s="81"/>
      <c r="R1050" s="81"/>
      <c r="S1050" s="81"/>
      <c r="T1050" s="85"/>
      <c r="U1050" s="81"/>
      <c r="V1050" s="81"/>
      <c r="W1050" s="123">
        <f t="shared" si="88"/>
        <v>0</v>
      </c>
      <c r="X1050" s="123" t="s">
        <v>84</v>
      </c>
      <c r="Y1050" s="114" t="s">
        <v>93</v>
      </c>
    </row>
    <row r="1051" spans="1:25" s="24" customFormat="1" ht="11.1" customHeight="1">
      <c r="A1051" s="74">
        <f t="shared" si="86"/>
        <v>1049</v>
      </c>
      <c r="B1051" s="75" t="s">
        <v>1118</v>
      </c>
      <c r="C1051" s="74" t="str">
        <f>IF($B1051&lt;&gt;"",_xlfn.IFNA(VLOOKUP($B1051,'Node Details'!$B:$U,C$1,0),"Check"),"")</f>
        <v>0000AXW20-AXW200107</v>
      </c>
      <c r="D1051" s="74" t="str">
        <f>IF($B1051&lt;&gt;"",_xlfn.IFNA(VLOOKUP($B1051,'Node Details'!$B:$U,D$1,0),"Check"),"")</f>
        <v>AXW</v>
      </c>
      <c r="E1051" s="74" t="str">
        <f>IF($B1051&lt;&gt;"",_xlfn.IFNA(VLOOKUP($B1051,'Node Details'!$B:$U,E$1,0),"Check"),"")</f>
        <v>Airtel</v>
      </c>
      <c r="F1051" s="76">
        <v>46114</v>
      </c>
      <c r="G1051" s="74"/>
      <c r="H1051" s="10" t="s">
        <v>1250</v>
      </c>
      <c r="I1051" s="9">
        <v>2</v>
      </c>
      <c r="J1051" s="9">
        <v>150</v>
      </c>
      <c r="K1051" s="77">
        <f t="shared" si="87"/>
        <v>300</v>
      </c>
      <c r="L1051" s="76">
        <v>46112</v>
      </c>
      <c r="N1051" s="83"/>
      <c r="O1051" s="84"/>
      <c r="P1051" s="81"/>
      <c r="Q1051" s="81"/>
      <c r="R1051" s="81"/>
      <c r="S1051" s="81"/>
      <c r="T1051" s="85"/>
      <c r="U1051" s="81"/>
      <c r="V1051" s="81"/>
      <c r="W1051" s="123">
        <f t="shared" si="88"/>
        <v>0</v>
      </c>
      <c r="X1051" s="123" t="s">
        <v>84</v>
      </c>
      <c r="Y1051" s="114" t="s">
        <v>93</v>
      </c>
    </row>
    <row r="1052" spans="1:25" s="24" customFormat="1" ht="11.1" customHeight="1">
      <c r="A1052" s="74">
        <f t="shared" si="86"/>
        <v>1050</v>
      </c>
      <c r="B1052" s="75" t="s">
        <v>561</v>
      </c>
      <c r="C1052" s="74" t="str">
        <f>IF($B1052&lt;&gt;"",_xlfn.IFNA(VLOOKUP($B1052,'Node Details'!$B:$U,C$1,0),"Check"),"")</f>
        <v>0000AXW20-AXW200107</v>
      </c>
      <c r="D1052" s="74" t="str">
        <f>IF($B1052&lt;&gt;"",_xlfn.IFNA(VLOOKUP($B1052,'Node Details'!$B:$U,D$1,0),"Check"),"")</f>
        <v>AXW</v>
      </c>
      <c r="E1052" s="74" t="str">
        <f>IF($B1052&lt;&gt;"",_xlfn.IFNA(VLOOKUP($B1052,'Node Details'!$B:$U,E$1,0),"Check"),"")</f>
        <v>Airtel</v>
      </c>
      <c r="F1052" s="76">
        <v>46114</v>
      </c>
      <c r="G1052" s="74"/>
      <c r="H1052" s="10" t="s">
        <v>1250</v>
      </c>
      <c r="I1052" s="9">
        <v>2</v>
      </c>
      <c r="J1052" s="9">
        <v>150</v>
      </c>
      <c r="K1052" s="77">
        <f t="shared" si="87"/>
        <v>300</v>
      </c>
      <c r="L1052" s="76">
        <v>46112</v>
      </c>
      <c r="N1052" s="83"/>
      <c r="O1052" s="84"/>
      <c r="P1052" s="81"/>
      <c r="Q1052" s="81"/>
      <c r="R1052" s="81"/>
      <c r="S1052" s="81"/>
      <c r="T1052" s="85"/>
      <c r="U1052" s="81"/>
      <c r="V1052" s="81"/>
      <c r="W1052" s="123">
        <f t="shared" si="88"/>
        <v>0</v>
      </c>
      <c r="X1052" s="123" t="s">
        <v>84</v>
      </c>
      <c r="Y1052" s="114" t="s">
        <v>93</v>
      </c>
    </row>
    <row r="1053" spans="1:25" s="24" customFormat="1" ht="11.1" customHeight="1">
      <c r="A1053" s="74">
        <f t="shared" si="86"/>
        <v>1051</v>
      </c>
      <c r="B1053" s="75" t="s">
        <v>1119</v>
      </c>
      <c r="C1053" s="74" t="str">
        <f>IF($B1053&lt;&gt;"",_xlfn.IFNA(VLOOKUP($B1053,'Node Details'!$B:$U,C$1,0),"Check"),"")</f>
        <v>AXW200104-AXW200106</v>
      </c>
      <c r="D1053" s="74" t="str">
        <f>IF($B1053&lt;&gt;"",_xlfn.IFNA(VLOOKUP($B1053,'Node Details'!$B:$U,D$1,0),"Check"),"")</f>
        <v>AXW</v>
      </c>
      <c r="E1053" s="74" t="str">
        <f>IF($B1053&lt;&gt;"",_xlfn.IFNA(VLOOKUP($B1053,'Node Details'!$B:$U,E$1,0),"Check"),"")</f>
        <v>Airtel</v>
      </c>
      <c r="F1053" s="76">
        <v>46114</v>
      </c>
      <c r="G1053" s="74"/>
      <c r="H1053" s="10" t="s">
        <v>1250</v>
      </c>
      <c r="I1053" s="9">
        <v>2</v>
      </c>
      <c r="J1053" s="9">
        <v>150</v>
      </c>
      <c r="K1053" s="77">
        <f t="shared" si="87"/>
        <v>300</v>
      </c>
      <c r="L1053" s="76">
        <v>46112</v>
      </c>
      <c r="N1053" s="83"/>
      <c r="O1053" s="84"/>
      <c r="P1053" s="81"/>
      <c r="Q1053" s="81"/>
      <c r="R1053" s="81"/>
      <c r="S1053" s="81"/>
      <c r="T1053" s="85"/>
      <c r="U1053" s="81"/>
      <c r="V1053" s="81"/>
      <c r="W1053" s="123">
        <f t="shared" si="88"/>
        <v>0</v>
      </c>
      <c r="X1053" s="123" t="s">
        <v>84</v>
      </c>
      <c r="Y1053" s="114" t="s">
        <v>93</v>
      </c>
    </row>
    <row r="1054" spans="1:25" s="24" customFormat="1" ht="11.1" customHeight="1">
      <c r="A1054" s="74">
        <f t="shared" si="86"/>
        <v>1052</v>
      </c>
      <c r="B1054" s="75" t="s">
        <v>562</v>
      </c>
      <c r="C1054" s="74" t="str">
        <f>IF($B1054&lt;&gt;"",_xlfn.IFNA(VLOOKUP($B1054,'Node Details'!$B:$U,C$1,0),"Check"),"")</f>
        <v>AXW200104-AXW200106</v>
      </c>
      <c r="D1054" s="74" t="str">
        <f>IF($B1054&lt;&gt;"",_xlfn.IFNA(VLOOKUP($B1054,'Node Details'!$B:$U,D$1,0),"Check"),"")</f>
        <v>AXW</v>
      </c>
      <c r="E1054" s="74" t="str">
        <f>IF($B1054&lt;&gt;"",_xlfn.IFNA(VLOOKUP($B1054,'Node Details'!$B:$U,E$1,0),"Check"),"")</f>
        <v>Airtel</v>
      </c>
      <c r="F1054" s="76">
        <v>46114</v>
      </c>
      <c r="G1054" s="74"/>
      <c r="H1054" s="10" t="s">
        <v>1250</v>
      </c>
      <c r="I1054" s="9">
        <v>2</v>
      </c>
      <c r="J1054" s="9">
        <v>150</v>
      </c>
      <c r="K1054" s="77">
        <f t="shared" si="87"/>
        <v>300</v>
      </c>
      <c r="L1054" s="76">
        <v>46112</v>
      </c>
      <c r="N1054" s="83"/>
      <c r="O1054" s="84"/>
      <c r="P1054" s="81"/>
      <c r="Q1054" s="81"/>
      <c r="R1054" s="81"/>
      <c r="S1054" s="81"/>
      <c r="T1054" s="85"/>
      <c r="U1054" s="81"/>
      <c r="V1054" s="81"/>
      <c r="W1054" s="123">
        <f t="shared" si="88"/>
        <v>0</v>
      </c>
      <c r="X1054" s="123" t="s">
        <v>84</v>
      </c>
      <c r="Y1054" s="114" t="s">
        <v>93</v>
      </c>
    </row>
    <row r="1055" spans="1:25" s="24" customFormat="1" ht="11.1" customHeight="1">
      <c r="A1055" s="74">
        <f t="shared" si="86"/>
        <v>1053</v>
      </c>
      <c r="B1055" s="75" t="s">
        <v>558</v>
      </c>
      <c r="C1055" s="74" t="str">
        <f>IF($B1055&lt;&gt;"",_xlfn.IFNA(VLOOKUP($B1055,'Node Details'!$B:$U,C$1,0),"Check"),"")</f>
        <v>0000AXW20-AXW200107</v>
      </c>
      <c r="D1055" s="74" t="str">
        <f>IF($B1055&lt;&gt;"",_xlfn.IFNA(VLOOKUP($B1055,'Node Details'!$B:$U,D$1,0),"Check"),"")</f>
        <v>AXW</v>
      </c>
      <c r="E1055" s="74" t="str">
        <f>IF($B1055&lt;&gt;"",_xlfn.IFNA(VLOOKUP($B1055,'Node Details'!$B:$U,E$1,0),"Check"),"")</f>
        <v>Airtel</v>
      </c>
      <c r="F1055" s="76">
        <v>46114</v>
      </c>
      <c r="G1055" s="74"/>
      <c r="H1055" s="10" t="s">
        <v>1250</v>
      </c>
      <c r="I1055" s="9">
        <v>2</v>
      </c>
      <c r="J1055" s="9">
        <v>150</v>
      </c>
      <c r="K1055" s="77">
        <f t="shared" si="87"/>
        <v>300</v>
      </c>
      <c r="L1055" s="76">
        <v>46112</v>
      </c>
      <c r="N1055" s="83"/>
      <c r="O1055" s="84"/>
      <c r="P1055" s="81"/>
      <c r="Q1055" s="81"/>
      <c r="R1055" s="81"/>
      <c r="S1055" s="81"/>
      <c r="T1055" s="85"/>
      <c r="U1055" s="81"/>
      <c r="V1055" s="81"/>
      <c r="W1055" s="123">
        <f t="shared" si="88"/>
        <v>0</v>
      </c>
      <c r="X1055" s="123" t="s">
        <v>84</v>
      </c>
      <c r="Y1055" s="114" t="s">
        <v>93</v>
      </c>
    </row>
    <row r="1056" spans="1:25" s="24" customFormat="1" ht="11.1" customHeight="1">
      <c r="A1056" s="74">
        <f t="shared" si="86"/>
        <v>1054</v>
      </c>
      <c r="B1056" s="75" t="s">
        <v>1120</v>
      </c>
      <c r="C1056" s="74" t="str">
        <f>IF($B1056&lt;&gt;"",_xlfn.IFNA(VLOOKUP($B1056,'Node Details'!$B:$U,C$1,0),"Check"),"")</f>
        <v>AXW200107-AXW200201</v>
      </c>
      <c r="D1056" s="74" t="str">
        <f>IF($B1056&lt;&gt;"",_xlfn.IFNA(VLOOKUP($B1056,'Node Details'!$B:$U,D$1,0),"Check"),"")</f>
        <v>AXW</v>
      </c>
      <c r="E1056" s="74" t="str">
        <f>IF($B1056&lt;&gt;"",_xlfn.IFNA(VLOOKUP($B1056,'Node Details'!$B:$U,E$1,0),"Check"),"")</f>
        <v>Airtel</v>
      </c>
      <c r="F1056" s="76">
        <v>46114</v>
      </c>
      <c r="G1056" s="74"/>
      <c r="H1056" s="10" t="s">
        <v>1250</v>
      </c>
      <c r="I1056" s="9">
        <v>2</v>
      </c>
      <c r="J1056" s="9">
        <v>150</v>
      </c>
      <c r="K1056" s="77">
        <f t="shared" si="87"/>
        <v>300</v>
      </c>
      <c r="L1056" s="76">
        <v>46112</v>
      </c>
      <c r="N1056" s="83"/>
      <c r="O1056" s="84"/>
      <c r="P1056" s="81"/>
      <c r="Q1056" s="81"/>
      <c r="R1056" s="81"/>
      <c r="S1056" s="81"/>
      <c r="T1056" s="85"/>
      <c r="U1056" s="81"/>
      <c r="V1056" s="81"/>
      <c r="W1056" s="123">
        <f t="shared" si="88"/>
        <v>0</v>
      </c>
      <c r="X1056" s="123" t="s">
        <v>84</v>
      </c>
      <c r="Y1056" s="114" t="s">
        <v>93</v>
      </c>
    </row>
    <row r="1057" spans="1:25" s="24" customFormat="1" ht="11.1" customHeight="1">
      <c r="A1057" s="74">
        <f t="shared" si="86"/>
        <v>1055</v>
      </c>
      <c r="B1057" s="75" t="s">
        <v>565</v>
      </c>
      <c r="C1057" s="74" t="str">
        <f>IF($B1057&lt;&gt;"",_xlfn.IFNA(VLOOKUP($B1057,'Node Details'!$B:$U,C$1,0),"Check"),"")</f>
        <v>AXW200107-AXW200201</v>
      </c>
      <c r="D1057" s="74" t="str">
        <f>IF($B1057&lt;&gt;"",_xlfn.IFNA(VLOOKUP($B1057,'Node Details'!$B:$U,D$1,0),"Check"),"")</f>
        <v>AXW</v>
      </c>
      <c r="E1057" s="74" t="str">
        <f>IF($B1057&lt;&gt;"",_xlfn.IFNA(VLOOKUP($B1057,'Node Details'!$B:$U,E$1,0),"Check"),"")</f>
        <v>Airtel</v>
      </c>
      <c r="F1057" s="76">
        <v>46114</v>
      </c>
      <c r="G1057" s="74"/>
      <c r="H1057" s="10" t="s">
        <v>1250</v>
      </c>
      <c r="I1057" s="9">
        <v>2</v>
      </c>
      <c r="J1057" s="9">
        <v>150</v>
      </c>
      <c r="K1057" s="77">
        <f t="shared" si="87"/>
        <v>300</v>
      </c>
      <c r="L1057" s="76">
        <v>46112</v>
      </c>
      <c r="N1057" s="83"/>
      <c r="O1057" s="84"/>
      <c r="P1057" s="81"/>
      <c r="Q1057" s="81"/>
      <c r="R1057" s="81"/>
      <c r="S1057" s="81"/>
      <c r="T1057" s="85"/>
      <c r="U1057" s="81"/>
      <c r="V1057" s="81"/>
      <c r="W1057" s="123">
        <f t="shared" si="88"/>
        <v>0</v>
      </c>
      <c r="X1057" s="123" t="s">
        <v>84</v>
      </c>
      <c r="Y1057" s="114" t="s">
        <v>93</v>
      </c>
    </row>
    <row r="1058" spans="1:25" s="24" customFormat="1" ht="11.1" customHeight="1">
      <c r="A1058" s="74">
        <f t="shared" si="86"/>
        <v>1056</v>
      </c>
      <c r="B1058" s="75" t="s">
        <v>1121</v>
      </c>
      <c r="C1058" s="74" t="str">
        <f>IF($B1058&lt;&gt;"",_xlfn.IFNA(VLOOKUP($B1058,'Node Details'!$B:$U,C$1,0),"Check"),"")</f>
        <v>AXW200107-AXW200203</v>
      </c>
      <c r="D1058" s="74" t="str">
        <f>IF($B1058&lt;&gt;"",_xlfn.IFNA(VLOOKUP($B1058,'Node Details'!$B:$U,D$1,0),"Check"),"")</f>
        <v>AXW</v>
      </c>
      <c r="E1058" s="74" t="str">
        <f>IF($B1058&lt;&gt;"",_xlfn.IFNA(VLOOKUP($B1058,'Node Details'!$B:$U,E$1,0),"Check"),"")</f>
        <v>Airtel</v>
      </c>
      <c r="F1058" s="76">
        <v>46114</v>
      </c>
      <c r="G1058" s="74"/>
      <c r="H1058" s="10" t="s">
        <v>1250</v>
      </c>
      <c r="I1058" s="9">
        <v>2</v>
      </c>
      <c r="J1058" s="9">
        <v>150</v>
      </c>
      <c r="K1058" s="77">
        <f t="shared" si="87"/>
        <v>300</v>
      </c>
      <c r="L1058" s="76">
        <v>46112</v>
      </c>
      <c r="N1058" s="83"/>
      <c r="O1058" s="84"/>
      <c r="P1058" s="81"/>
      <c r="Q1058" s="81"/>
      <c r="R1058" s="81"/>
      <c r="S1058" s="81"/>
      <c r="T1058" s="85"/>
      <c r="U1058" s="81"/>
      <c r="V1058" s="81"/>
      <c r="W1058" s="123">
        <f t="shared" si="88"/>
        <v>0</v>
      </c>
      <c r="X1058" s="123" t="s">
        <v>84</v>
      </c>
      <c r="Y1058" s="114" t="s">
        <v>93</v>
      </c>
    </row>
    <row r="1059" spans="1:25" s="24" customFormat="1" ht="11.1" customHeight="1">
      <c r="A1059" s="74">
        <f t="shared" si="86"/>
        <v>1057</v>
      </c>
      <c r="B1059" s="75" t="s">
        <v>568</v>
      </c>
      <c r="C1059" s="74" t="str">
        <f>IF($B1059&lt;&gt;"",_xlfn.IFNA(VLOOKUP($B1059,'Node Details'!$B:$U,C$1,0),"Check"),"")</f>
        <v>AXW200107-AXW200203</v>
      </c>
      <c r="D1059" s="74" t="str">
        <f>IF($B1059&lt;&gt;"",_xlfn.IFNA(VLOOKUP($B1059,'Node Details'!$B:$U,D$1,0),"Check"),"")</f>
        <v>AXW</v>
      </c>
      <c r="E1059" s="74" t="str">
        <f>IF($B1059&lt;&gt;"",_xlfn.IFNA(VLOOKUP($B1059,'Node Details'!$B:$U,E$1,0),"Check"),"")</f>
        <v>Airtel</v>
      </c>
      <c r="F1059" s="76">
        <v>46114</v>
      </c>
      <c r="G1059" s="74"/>
      <c r="H1059" s="10" t="s">
        <v>1250</v>
      </c>
      <c r="I1059" s="9">
        <v>2</v>
      </c>
      <c r="J1059" s="9">
        <v>150</v>
      </c>
      <c r="K1059" s="77">
        <f t="shared" si="87"/>
        <v>300</v>
      </c>
      <c r="L1059" s="76">
        <v>46112</v>
      </c>
      <c r="N1059" s="83"/>
      <c r="O1059" s="84"/>
      <c r="P1059" s="81"/>
      <c r="Q1059" s="81"/>
      <c r="R1059" s="81"/>
      <c r="S1059" s="81"/>
      <c r="T1059" s="85"/>
      <c r="U1059" s="81"/>
      <c r="V1059" s="81"/>
      <c r="W1059" s="123">
        <f t="shared" si="88"/>
        <v>0</v>
      </c>
      <c r="X1059" s="123" t="s">
        <v>84</v>
      </c>
      <c r="Y1059" s="114" t="s">
        <v>93</v>
      </c>
    </row>
    <row r="1060" spans="1:25" s="24" customFormat="1" ht="11.1" customHeight="1">
      <c r="A1060" s="74">
        <f t="shared" si="86"/>
        <v>1058</v>
      </c>
      <c r="B1060" s="75" t="s">
        <v>571</v>
      </c>
      <c r="C1060" s="74" t="str">
        <f>IF($B1060&lt;&gt;"",_xlfn.IFNA(VLOOKUP($B1060,'Node Details'!$B:$U,C$1,0),"Check"),"")</f>
        <v>0000AXW20-AXW200204</v>
      </c>
      <c r="D1060" s="74" t="str">
        <f>IF($B1060&lt;&gt;"",_xlfn.IFNA(VLOOKUP($B1060,'Node Details'!$B:$U,D$1,0),"Check"),"")</f>
        <v>AXW</v>
      </c>
      <c r="E1060" s="74" t="str">
        <f>IF($B1060&lt;&gt;"",_xlfn.IFNA(VLOOKUP($B1060,'Node Details'!$B:$U,E$1,0),"Check"),"")</f>
        <v>Airtel</v>
      </c>
      <c r="F1060" s="76">
        <v>46114</v>
      </c>
      <c r="G1060" s="74"/>
      <c r="H1060" s="10" t="s">
        <v>1250</v>
      </c>
      <c r="I1060" s="9">
        <v>2</v>
      </c>
      <c r="J1060" s="9">
        <v>150</v>
      </c>
      <c r="K1060" s="77">
        <f t="shared" si="87"/>
        <v>300</v>
      </c>
      <c r="L1060" s="76">
        <v>46112</v>
      </c>
      <c r="N1060" s="83"/>
      <c r="O1060" s="84"/>
      <c r="P1060" s="81"/>
      <c r="Q1060" s="81"/>
      <c r="R1060" s="81"/>
      <c r="S1060" s="81"/>
      <c r="T1060" s="85"/>
      <c r="U1060" s="81"/>
      <c r="V1060" s="81"/>
      <c r="W1060" s="123">
        <f t="shared" si="88"/>
        <v>0</v>
      </c>
      <c r="X1060" s="123" t="s">
        <v>84</v>
      </c>
      <c r="Y1060" s="114" t="s">
        <v>93</v>
      </c>
    </row>
    <row r="1061" spans="1:25" s="24" customFormat="1" ht="11.1" customHeight="1">
      <c r="A1061" s="74">
        <f t="shared" si="86"/>
        <v>1059</v>
      </c>
      <c r="B1061" s="75" t="s">
        <v>574</v>
      </c>
      <c r="C1061" s="74" t="str">
        <f>IF($B1061&lt;&gt;"",_xlfn.IFNA(VLOOKUP($B1061,'Node Details'!$B:$U,C$1,0),"Check"),"")</f>
        <v>0000AXW19-0000AXW22</v>
      </c>
      <c r="D1061" s="74" t="str">
        <f>IF($B1061&lt;&gt;"",_xlfn.IFNA(VLOOKUP($B1061,'Node Details'!$B:$U,D$1,0),"Check"),"")</f>
        <v>AXW</v>
      </c>
      <c r="E1061" s="74" t="str">
        <f>IF($B1061&lt;&gt;"",_xlfn.IFNA(VLOOKUP($B1061,'Node Details'!$B:$U,E$1,0),"Check"),"")</f>
        <v>Airtel</v>
      </c>
      <c r="F1061" s="76">
        <v>46114</v>
      </c>
      <c r="G1061" s="74"/>
      <c r="H1061" s="10" t="s">
        <v>1250</v>
      </c>
      <c r="I1061" s="9">
        <v>2</v>
      </c>
      <c r="J1061" s="9">
        <v>150</v>
      </c>
      <c r="K1061" s="77">
        <f t="shared" si="87"/>
        <v>300</v>
      </c>
      <c r="L1061" s="76">
        <v>46112</v>
      </c>
      <c r="N1061" s="83"/>
      <c r="O1061" s="84"/>
      <c r="P1061" s="81"/>
      <c r="Q1061" s="81"/>
      <c r="R1061" s="81"/>
      <c r="S1061" s="81"/>
      <c r="T1061" s="85"/>
      <c r="U1061" s="81"/>
      <c r="V1061" s="81"/>
      <c r="W1061" s="123">
        <f t="shared" si="88"/>
        <v>0</v>
      </c>
      <c r="X1061" s="123" t="s">
        <v>84</v>
      </c>
      <c r="Y1061" s="114" t="s">
        <v>93</v>
      </c>
    </row>
    <row r="1062" spans="1:25" s="24" customFormat="1" ht="11.1" customHeight="1">
      <c r="A1062" s="74">
        <f t="shared" si="86"/>
        <v>1060</v>
      </c>
      <c r="B1062" s="75" t="s">
        <v>575</v>
      </c>
      <c r="C1062" s="74" t="str">
        <f>IF($B1062&lt;&gt;"",_xlfn.IFNA(VLOOKUP($B1062,'Node Details'!$B:$U,C$1,0),"Check"),"")</f>
        <v>0000AXW21-AXW210101</v>
      </c>
      <c r="D1062" s="74" t="str">
        <f>IF($B1062&lt;&gt;"",_xlfn.IFNA(VLOOKUP($B1062,'Node Details'!$B:$U,D$1,0),"Check"),"")</f>
        <v>AXW</v>
      </c>
      <c r="E1062" s="74" t="str">
        <f>IF($B1062&lt;&gt;"",_xlfn.IFNA(VLOOKUP($B1062,'Node Details'!$B:$U,E$1,0),"Check"),"")</f>
        <v>Airtel</v>
      </c>
      <c r="F1062" s="76">
        <v>46114</v>
      </c>
      <c r="G1062" s="74"/>
      <c r="H1062" s="10" t="s">
        <v>1250</v>
      </c>
      <c r="I1062" s="9">
        <v>2</v>
      </c>
      <c r="J1062" s="9">
        <v>150</v>
      </c>
      <c r="K1062" s="77">
        <f t="shared" si="87"/>
        <v>300</v>
      </c>
      <c r="L1062" s="76">
        <v>46112</v>
      </c>
      <c r="N1062" s="83"/>
      <c r="O1062" s="84"/>
      <c r="P1062" s="81"/>
      <c r="Q1062" s="81"/>
      <c r="R1062" s="81"/>
      <c r="S1062" s="81"/>
      <c r="T1062" s="85"/>
      <c r="U1062" s="81"/>
      <c r="V1062" s="81"/>
      <c r="W1062" s="123">
        <f t="shared" si="88"/>
        <v>0</v>
      </c>
      <c r="X1062" s="123" t="s">
        <v>84</v>
      </c>
      <c r="Y1062" s="114" t="s">
        <v>93</v>
      </c>
    </row>
    <row r="1063" spans="1:25" s="24" customFormat="1" ht="11.1" customHeight="1">
      <c r="A1063" s="74">
        <f t="shared" si="86"/>
        <v>1061</v>
      </c>
      <c r="B1063" s="75" t="s">
        <v>578</v>
      </c>
      <c r="C1063" s="74" t="str">
        <f>IF($B1063&lt;&gt;"",_xlfn.IFNA(VLOOKUP($B1063,'Node Details'!$B:$U,C$1,0),"Check"),"")</f>
        <v>0000AXW21-AXW210102</v>
      </c>
      <c r="D1063" s="74" t="str">
        <f>IF($B1063&lt;&gt;"",_xlfn.IFNA(VLOOKUP($B1063,'Node Details'!$B:$U,D$1,0),"Check"),"")</f>
        <v>AXW</v>
      </c>
      <c r="E1063" s="74" t="str">
        <f>IF($B1063&lt;&gt;"",_xlfn.IFNA(VLOOKUP($B1063,'Node Details'!$B:$U,E$1,0),"Check"),"")</f>
        <v>Airtel</v>
      </c>
      <c r="F1063" s="76">
        <v>46114</v>
      </c>
      <c r="G1063" s="74"/>
      <c r="H1063" s="10" t="s">
        <v>1250</v>
      </c>
      <c r="I1063" s="9">
        <v>2</v>
      </c>
      <c r="J1063" s="9">
        <v>150</v>
      </c>
      <c r="K1063" s="77">
        <f t="shared" si="87"/>
        <v>300</v>
      </c>
      <c r="L1063" s="76">
        <v>46112</v>
      </c>
      <c r="N1063" s="83"/>
      <c r="O1063" s="84"/>
      <c r="P1063" s="81"/>
      <c r="Q1063" s="81"/>
      <c r="R1063" s="81"/>
      <c r="S1063" s="81"/>
      <c r="T1063" s="85"/>
      <c r="U1063" s="81"/>
      <c r="V1063" s="81"/>
      <c r="W1063" s="123">
        <f t="shared" si="88"/>
        <v>0</v>
      </c>
      <c r="X1063" s="123" t="s">
        <v>84</v>
      </c>
      <c r="Y1063" s="114" t="s">
        <v>93</v>
      </c>
    </row>
    <row r="1064" spans="1:25" s="24" customFormat="1" ht="11.1" customHeight="1">
      <c r="A1064" s="74">
        <f t="shared" si="86"/>
        <v>1062</v>
      </c>
      <c r="B1064" s="75" t="s">
        <v>587</v>
      </c>
      <c r="C1064" s="74" t="str">
        <f>IF($B1064&lt;&gt;"",_xlfn.IFNA(VLOOKUP($B1064,'Node Details'!$B:$U,C$1,0),"Check"),"")</f>
        <v>0000AXW21-AXW210105</v>
      </c>
      <c r="D1064" s="74" t="str">
        <f>IF($B1064&lt;&gt;"",_xlfn.IFNA(VLOOKUP($B1064,'Node Details'!$B:$U,D$1,0),"Check"),"")</f>
        <v>AXW</v>
      </c>
      <c r="E1064" s="74" t="str">
        <f>IF($B1064&lt;&gt;"",_xlfn.IFNA(VLOOKUP($B1064,'Node Details'!$B:$U,E$1,0),"Check"),"")</f>
        <v>Airtel</v>
      </c>
      <c r="F1064" s="76">
        <v>46114</v>
      </c>
      <c r="G1064" s="74"/>
      <c r="H1064" s="10" t="s">
        <v>1250</v>
      </c>
      <c r="I1064" s="9">
        <v>2</v>
      </c>
      <c r="J1064" s="9">
        <v>150</v>
      </c>
      <c r="K1064" s="77">
        <f t="shared" si="87"/>
        <v>300</v>
      </c>
      <c r="L1064" s="76">
        <v>46112</v>
      </c>
      <c r="N1064" s="83"/>
      <c r="O1064" s="84"/>
      <c r="P1064" s="81"/>
      <c r="Q1064" s="81"/>
      <c r="R1064" s="81"/>
      <c r="S1064" s="81"/>
      <c r="T1064" s="85"/>
      <c r="U1064" s="81"/>
      <c r="V1064" s="81"/>
      <c r="W1064" s="123">
        <f t="shared" si="88"/>
        <v>0</v>
      </c>
      <c r="X1064" s="123" t="s">
        <v>84</v>
      </c>
      <c r="Y1064" s="114" t="s">
        <v>93</v>
      </c>
    </row>
    <row r="1065" spans="1:25" s="24" customFormat="1" ht="11.1" customHeight="1">
      <c r="A1065" s="74">
        <f t="shared" si="86"/>
        <v>1063</v>
      </c>
      <c r="B1065" s="75" t="s">
        <v>1122</v>
      </c>
      <c r="C1065" s="74" t="str">
        <f>IF($B1065&lt;&gt;"",_xlfn.IFNA(VLOOKUP($B1065,'Node Details'!$B:$U,C$1,0),"Check"),"")</f>
        <v>0000AXW21-AXW210105</v>
      </c>
      <c r="D1065" s="74" t="str">
        <f>IF($B1065&lt;&gt;"",_xlfn.IFNA(VLOOKUP($B1065,'Node Details'!$B:$U,D$1,0),"Check"),"")</f>
        <v>AXW</v>
      </c>
      <c r="E1065" s="74" t="str">
        <f>IF($B1065&lt;&gt;"",_xlfn.IFNA(VLOOKUP($B1065,'Node Details'!$B:$U,E$1,0),"Check"),"")</f>
        <v>Airtel</v>
      </c>
      <c r="F1065" s="76">
        <v>46114</v>
      </c>
      <c r="G1065" s="74"/>
      <c r="H1065" s="10" t="s">
        <v>1250</v>
      </c>
      <c r="I1065" s="9">
        <v>2</v>
      </c>
      <c r="J1065" s="9">
        <v>150</v>
      </c>
      <c r="K1065" s="77">
        <f t="shared" si="87"/>
        <v>300</v>
      </c>
      <c r="L1065" s="76">
        <v>46112</v>
      </c>
      <c r="N1065" s="83"/>
      <c r="O1065" s="84"/>
      <c r="P1065" s="81"/>
      <c r="Q1065" s="81"/>
      <c r="R1065" s="81"/>
      <c r="S1065" s="81"/>
      <c r="T1065" s="85"/>
      <c r="U1065" s="81"/>
      <c r="V1065" s="81"/>
      <c r="W1065" s="123">
        <f t="shared" si="88"/>
        <v>0</v>
      </c>
      <c r="X1065" s="123" t="s">
        <v>84</v>
      </c>
      <c r="Y1065" s="114" t="s">
        <v>93</v>
      </c>
    </row>
    <row r="1066" spans="1:25" s="24" customFormat="1" ht="11.1" customHeight="1">
      <c r="A1066" s="74">
        <f t="shared" si="86"/>
        <v>1064</v>
      </c>
      <c r="B1066" s="75" t="s">
        <v>581</v>
      </c>
      <c r="C1066" s="74" t="str">
        <f>IF($B1066&lt;&gt;"",_xlfn.IFNA(VLOOKUP($B1066,'Node Details'!$B:$U,C$1,0),"Check"),"")</f>
        <v>0000AXW21-AXW210105</v>
      </c>
      <c r="D1066" s="74" t="str">
        <f>IF($B1066&lt;&gt;"",_xlfn.IFNA(VLOOKUP($B1066,'Node Details'!$B:$U,D$1,0),"Check"),"")</f>
        <v>AXW</v>
      </c>
      <c r="E1066" s="74" t="str">
        <f>IF($B1066&lt;&gt;"",_xlfn.IFNA(VLOOKUP($B1066,'Node Details'!$B:$U,E$1,0),"Check"),"")</f>
        <v>Airtel</v>
      </c>
      <c r="F1066" s="76">
        <v>46114</v>
      </c>
      <c r="G1066" s="74"/>
      <c r="H1066" s="10" t="s">
        <v>1250</v>
      </c>
      <c r="I1066" s="9">
        <v>2</v>
      </c>
      <c r="J1066" s="9">
        <v>150</v>
      </c>
      <c r="K1066" s="77">
        <f t="shared" si="87"/>
        <v>300</v>
      </c>
      <c r="L1066" s="76">
        <v>46112</v>
      </c>
      <c r="N1066" s="83"/>
      <c r="O1066" s="84"/>
      <c r="P1066" s="81"/>
      <c r="Q1066" s="81"/>
      <c r="R1066" s="81"/>
      <c r="S1066" s="81"/>
      <c r="T1066" s="85"/>
      <c r="U1066" s="81"/>
      <c r="V1066" s="81"/>
      <c r="W1066" s="123">
        <f t="shared" si="88"/>
        <v>0</v>
      </c>
      <c r="X1066" s="123" t="s">
        <v>84</v>
      </c>
      <c r="Y1066" s="114" t="s">
        <v>93</v>
      </c>
    </row>
    <row r="1067" spans="1:25" s="24" customFormat="1" ht="11.1" customHeight="1">
      <c r="A1067" s="74">
        <f t="shared" si="86"/>
        <v>1065</v>
      </c>
      <c r="B1067" s="75" t="s">
        <v>1123</v>
      </c>
      <c r="C1067" s="74" t="str">
        <f>IF($B1067&lt;&gt;"",_xlfn.IFNA(VLOOKUP($B1067,'Node Details'!$B:$U,C$1,0),"Check"),"")</f>
        <v>AXW210105-AXW210107</v>
      </c>
      <c r="D1067" s="74" t="str">
        <f>IF($B1067&lt;&gt;"",_xlfn.IFNA(VLOOKUP($B1067,'Node Details'!$B:$U,D$1,0),"Check"),"")</f>
        <v>AXW</v>
      </c>
      <c r="E1067" s="74" t="str">
        <f>IF($B1067&lt;&gt;"",_xlfn.IFNA(VLOOKUP($B1067,'Node Details'!$B:$U,E$1,0),"Check"),"")</f>
        <v>Airtel</v>
      </c>
      <c r="F1067" s="76">
        <v>46114</v>
      </c>
      <c r="G1067" s="74"/>
      <c r="H1067" s="10" t="s">
        <v>1250</v>
      </c>
      <c r="I1067" s="9">
        <v>2</v>
      </c>
      <c r="J1067" s="9">
        <v>150</v>
      </c>
      <c r="K1067" s="77">
        <f t="shared" si="87"/>
        <v>300</v>
      </c>
      <c r="L1067" s="76">
        <v>46112</v>
      </c>
      <c r="N1067" s="83"/>
      <c r="O1067" s="84"/>
      <c r="P1067" s="81"/>
      <c r="Q1067" s="81"/>
      <c r="R1067" s="81"/>
      <c r="S1067" s="81"/>
      <c r="T1067" s="85"/>
      <c r="U1067" s="81"/>
      <c r="V1067" s="81"/>
      <c r="W1067" s="123">
        <f t="shared" si="88"/>
        <v>0</v>
      </c>
      <c r="X1067" s="123" t="s">
        <v>84</v>
      </c>
      <c r="Y1067" s="114" t="s">
        <v>93</v>
      </c>
    </row>
    <row r="1068" spans="1:25" s="24" customFormat="1" ht="11.1" customHeight="1">
      <c r="A1068" s="74">
        <f t="shared" si="86"/>
        <v>1066</v>
      </c>
      <c r="B1068" s="75" t="s">
        <v>584</v>
      </c>
      <c r="C1068" s="74" t="str">
        <f>IF($B1068&lt;&gt;"",_xlfn.IFNA(VLOOKUP($B1068,'Node Details'!$B:$U,C$1,0),"Check"),"")</f>
        <v>AXW210105-AXW210107</v>
      </c>
      <c r="D1068" s="74" t="str">
        <f>IF($B1068&lt;&gt;"",_xlfn.IFNA(VLOOKUP($B1068,'Node Details'!$B:$U,D$1,0),"Check"),"")</f>
        <v>AXW</v>
      </c>
      <c r="E1068" s="74" t="str">
        <f>IF($B1068&lt;&gt;"",_xlfn.IFNA(VLOOKUP($B1068,'Node Details'!$B:$U,E$1,0),"Check"),"")</f>
        <v>Airtel</v>
      </c>
      <c r="F1068" s="76">
        <v>46114</v>
      </c>
      <c r="G1068" s="74"/>
      <c r="H1068" s="10" t="s">
        <v>1250</v>
      </c>
      <c r="I1068" s="9">
        <v>2</v>
      </c>
      <c r="J1068" s="9">
        <v>150</v>
      </c>
      <c r="K1068" s="77">
        <f t="shared" si="87"/>
        <v>300</v>
      </c>
      <c r="L1068" s="76">
        <v>46112</v>
      </c>
      <c r="N1068" s="83"/>
      <c r="O1068" s="84"/>
      <c r="P1068" s="81"/>
      <c r="Q1068" s="81"/>
      <c r="R1068" s="81"/>
      <c r="S1068" s="81"/>
      <c r="T1068" s="85"/>
      <c r="U1068" s="81"/>
      <c r="V1068" s="81"/>
      <c r="W1068" s="123">
        <f t="shared" si="88"/>
        <v>0</v>
      </c>
      <c r="X1068" s="123" t="s">
        <v>84</v>
      </c>
      <c r="Y1068" s="114" t="s">
        <v>93</v>
      </c>
    </row>
    <row r="1069" spans="1:25" s="24" customFormat="1" ht="11.1" customHeight="1">
      <c r="A1069" s="74">
        <f t="shared" si="86"/>
        <v>1067</v>
      </c>
      <c r="B1069" s="75" t="s">
        <v>588</v>
      </c>
      <c r="C1069" s="74" t="str">
        <f>IF($B1069&lt;&gt;"",_xlfn.IFNA(VLOOKUP($B1069,'Node Details'!$B:$U,C$1,0),"Check"),"")</f>
        <v>AXW210103-AXW210108</v>
      </c>
      <c r="D1069" s="74" t="str">
        <f>IF($B1069&lt;&gt;"",_xlfn.IFNA(VLOOKUP($B1069,'Node Details'!$B:$U,D$1,0),"Check"),"")</f>
        <v>AXW</v>
      </c>
      <c r="E1069" s="74" t="str">
        <f>IF($B1069&lt;&gt;"",_xlfn.IFNA(VLOOKUP($B1069,'Node Details'!$B:$U,E$1,0),"Check"),"")</f>
        <v>Airtel</v>
      </c>
      <c r="F1069" s="76">
        <v>46114</v>
      </c>
      <c r="G1069" s="74"/>
      <c r="H1069" s="10" t="s">
        <v>1250</v>
      </c>
      <c r="I1069" s="9">
        <v>2</v>
      </c>
      <c r="J1069" s="9">
        <v>150</v>
      </c>
      <c r="K1069" s="77">
        <f t="shared" si="87"/>
        <v>300</v>
      </c>
      <c r="L1069" s="76">
        <v>46112</v>
      </c>
      <c r="N1069" s="83"/>
      <c r="O1069" s="84"/>
      <c r="P1069" s="81"/>
      <c r="Q1069" s="81"/>
      <c r="R1069" s="81"/>
      <c r="S1069" s="81"/>
      <c r="T1069" s="85"/>
      <c r="U1069" s="81"/>
      <c r="V1069" s="81"/>
      <c r="W1069" s="123">
        <f t="shared" si="88"/>
        <v>0</v>
      </c>
      <c r="X1069" s="123" t="s">
        <v>84</v>
      </c>
      <c r="Y1069" s="114" t="s">
        <v>93</v>
      </c>
    </row>
    <row r="1070" spans="1:25" s="24" customFormat="1" ht="11.1" customHeight="1">
      <c r="A1070" s="74">
        <f t="shared" si="86"/>
        <v>1068</v>
      </c>
      <c r="B1070" s="75" t="s">
        <v>591</v>
      </c>
      <c r="C1070" s="74" t="str">
        <f>IF($B1070&lt;&gt;"",_xlfn.IFNA(VLOOKUP($B1070,'Node Details'!$B:$U,C$1,0),"Check"),"")</f>
        <v>0000AXW21-AXW210201</v>
      </c>
      <c r="D1070" s="74" t="str">
        <f>IF($B1070&lt;&gt;"",_xlfn.IFNA(VLOOKUP($B1070,'Node Details'!$B:$U,D$1,0),"Check"),"")</f>
        <v>AXW</v>
      </c>
      <c r="E1070" s="74" t="str">
        <f>IF($B1070&lt;&gt;"",_xlfn.IFNA(VLOOKUP($B1070,'Node Details'!$B:$U,E$1,0),"Check"),"")</f>
        <v>Airtel</v>
      </c>
      <c r="F1070" s="76">
        <v>46114</v>
      </c>
      <c r="G1070" s="74"/>
      <c r="H1070" s="10" t="s">
        <v>1250</v>
      </c>
      <c r="I1070" s="9">
        <v>2</v>
      </c>
      <c r="J1070" s="9">
        <v>150</v>
      </c>
      <c r="K1070" s="77">
        <f t="shared" si="87"/>
        <v>300</v>
      </c>
      <c r="L1070" s="76">
        <v>46112</v>
      </c>
      <c r="N1070" s="83"/>
      <c r="O1070" s="84"/>
      <c r="P1070" s="81"/>
      <c r="Q1070" s="81"/>
      <c r="R1070" s="81"/>
      <c r="S1070" s="81"/>
      <c r="T1070" s="85"/>
      <c r="U1070" s="81"/>
      <c r="V1070" s="81"/>
      <c r="W1070" s="123">
        <f t="shared" si="88"/>
        <v>0</v>
      </c>
      <c r="X1070" s="123" t="s">
        <v>84</v>
      </c>
      <c r="Y1070" s="114" t="s">
        <v>93</v>
      </c>
    </row>
    <row r="1071" spans="1:25" s="24" customFormat="1" ht="11.1" customHeight="1">
      <c r="A1071" s="74">
        <f t="shared" si="86"/>
        <v>1069</v>
      </c>
      <c r="B1071" s="75" t="s">
        <v>390</v>
      </c>
      <c r="C1071" s="74" t="str">
        <f>IF($B1071&lt;&gt;"",_xlfn.IFNA(VLOOKUP($B1071,'Node Details'!$B:$U,C$1,0),"Check"),"")</f>
        <v>0000AXW19-0000AXW22</v>
      </c>
      <c r="D1071" s="74" t="str">
        <f>IF($B1071&lt;&gt;"",_xlfn.IFNA(VLOOKUP($B1071,'Node Details'!$B:$U,D$1,0),"Check"),"")</f>
        <v>AXW</v>
      </c>
      <c r="E1071" s="74" t="str">
        <f>IF($B1071&lt;&gt;"",_xlfn.IFNA(VLOOKUP($B1071,'Node Details'!$B:$U,E$1,0),"Check"),"")</f>
        <v>Airtel</v>
      </c>
      <c r="F1071" s="76">
        <v>46114</v>
      </c>
      <c r="G1071" s="74"/>
      <c r="H1071" s="10" t="s">
        <v>1250</v>
      </c>
      <c r="I1071" s="9">
        <v>2</v>
      </c>
      <c r="J1071" s="9">
        <v>150</v>
      </c>
      <c r="K1071" s="77">
        <f t="shared" si="87"/>
        <v>300</v>
      </c>
      <c r="L1071" s="76">
        <v>46112</v>
      </c>
      <c r="N1071" s="83"/>
      <c r="O1071" s="84"/>
      <c r="P1071" s="81"/>
      <c r="Q1071" s="81"/>
      <c r="R1071" s="81"/>
      <c r="S1071" s="81"/>
      <c r="T1071" s="85"/>
      <c r="U1071" s="81"/>
      <c r="V1071" s="81"/>
      <c r="W1071" s="123">
        <f t="shared" si="88"/>
        <v>0</v>
      </c>
      <c r="X1071" s="123" t="s">
        <v>84</v>
      </c>
      <c r="Y1071" s="114" t="s">
        <v>93</v>
      </c>
    </row>
    <row r="1072" spans="1:25" s="24" customFormat="1" ht="11.1" customHeight="1">
      <c r="A1072" s="74">
        <f t="shared" si="86"/>
        <v>1070</v>
      </c>
      <c r="B1072" s="75" t="s">
        <v>1124</v>
      </c>
      <c r="C1072" s="74" t="str">
        <f>IF($B1072&lt;&gt;"",_xlfn.IFNA(VLOOKUP($B1072,'Node Details'!$B:$U,C$1,0),"Check"),"")</f>
        <v>0000AXW22-AXW220103</v>
      </c>
      <c r="D1072" s="74" t="str">
        <f>IF($B1072&lt;&gt;"",_xlfn.IFNA(VLOOKUP($B1072,'Node Details'!$B:$U,D$1,0),"Check"),"")</f>
        <v>AXW</v>
      </c>
      <c r="E1072" s="74" t="str">
        <f>IF($B1072&lt;&gt;"",_xlfn.IFNA(VLOOKUP($B1072,'Node Details'!$B:$U,E$1,0),"Check"),"")</f>
        <v>Airtel</v>
      </c>
      <c r="F1072" s="76">
        <v>46114</v>
      </c>
      <c r="G1072" s="74"/>
      <c r="H1072" s="10" t="s">
        <v>1250</v>
      </c>
      <c r="I1072" s="9">
        <v>2</v>
      </c>
      <c r="J1072" s="9">
        <v>150</v>
      </c>
      <c r="K1072" s="77">
        <f t="shared" si="87"/>
        <v>300</v>
      </c>
      <c r="L1072" s="76">
        <v>46112</v>
      </c>
      <c r="N1072" s="83"/>
      <c r="O1072" s="84"/>
      <c r="P1072" s="81"/>
      <c r="Q1072" s="81"/>
      <c r="R1072" s="81"/>
      <c r="S1072" s="81"/>
      <c r="T1072" s="85"/>
      <c r="U1072" s="81"/>
      <c r="V1072" s="81"/>
      <c r="W1072" s="123">
        <f t="shared" si="88"/>
        <v>0</v>
      </c>
      <c r="X1072" s="123" t="s">
        <v>84</v>
      </c>
      <c r="Y1072" s="114" t="s">
        <v>93</v>
      </c>
    </row>
    <row r="1073" spans="1:25" s="24" customFormat="1" ht="11.1" customHeight="1">
      <c r="A1073" s="74">
        <f t="shared" si="86"/>
        <v>1071</v>
      </c>
      <c r="B1073" s="75" t="s">
        <v>594</v>
      </c>
      <c r="C1073" s="74" t="str">
        <f>IF($B1073&lt;&gt;"",_xlfn.IFNA(VLOOKUP($B1073,'Node Details'!$B:$U,C$1,0),"Check"),"")</f>
        <v>0000AXW22-AXW220103</v>
      </c>
      <c r="D1073" s="74" t="str">
        <f>IF($B1073&lt;&gt;"",_xlfn.IFNA(VLOOKUP($B1073,'Node Details'!$B:$U,D$1,0),"Check"),"")</f>
        <v>AXW</v>
      </c>
      <c r="E1073" s="74" t="str">
        <f>IF($B1073&lt;&gt;"",_xlfn.IFNA(VLOOKUP($B1073,'Node Details'!$B:$U,E$1,0),"Check"),"")</f>
        <v>Airtel</v>
      </c>
      <c r="F1073" s="76">
        <v>46114</v>
      </c>
      <c r="G1073" s="74"/>
      <c r="H1073" s="10" t="s">
        <v>1250</v>
      </c>
      <c r="I1073" s="9">
        <v>2</v>
      </c>
      <c r="J1073" s="9">
        <v>150</v>
      </c>
      <c r="K1073" s="77">
        <f t="shared" si="87"/>
        <v>300</v>
      </c>
      <c r="L1073" s="76">
        <v>46112</v>
      </c>
      <c r="N1073" s="83"/>
      <c r="O1073" s="84"/>
      <c r="P1073" s="81"/>
      <c r="Q1073" s="81"/>
      <c r="R1073" s="81"/>
      <c r="S1073" s="81"/>
      <c r="T1073" s="85"/>
      <c r="U1073" s="81"/>
      <c r="V1073" s="81"/>
      <c r="W1073" s="123">
        <f t="shared" si="88"/>
        <v>0</v>
      </c>
      <c r="X1073" s="123" t="s">
        <v>84</v>
      </c>
      <c r="Y1073" s="114" t="s">
        <v>93</v>
      </c>
    </row>
    <row r="1074" spans="1:25" s="24" customFormat="1" ht="11.1" customHeight="1">
      <c r="A1074" s="74">
        <f t="shared" si="86"/>
        <v>1072</v>
      </c>
      <c r="B1074" s="75" t="s">
        <v>597</v>
      </c>
      <c r="C1074" s="74" t="str">
        <f>IF($B1074&lt;&gt;"",_xlfn.IFNA(VLOOKUP($B1074,'Node Details'!$B:$U,C$1,0),"Check"),"")</f>
        <v>0000AXW22-AXW220104</v>
      </c>
      <c r="D1074" s="74" t="str">
        <f>IF($B1074&lt;&gt;"",_xlfn.IFNA(VLOOKUP($B1074,'Node Details'!$B:$U,D$1,0),"Check"),"")</f>
        <v>AXW</v>
      </c>
      <c r="E1074" s="74" t="str">
        <f>IF($B1074&lt;&gt;"",_xlfn.IFNA(VLOOKUP($B1074,'Node Details'!$B:$U,E$1,0),"Check"),"")</f>
        <v>Airtel</v>
      </c>
      <c r="F1074" s="76">
        <v>46114</v>
      </c>
      <c r="G1074" s="74"/>
      <c r="H1074" s="10" t="s">
        <v>1250</v>
      </c>
      <c r="I1074" s="9">
        <v>2</v>
      </c>
      <c r="J1074" s="9">
        <v>150</v>
      </c>
      <c r="K1074" s="77">
        <f t="shared" si="87"/>
        <v>300</v>
      </c>
      <c r="L1074" s="76">
        <v>46112</v>
      </c>
      <c r="N1074" s="83"/>
      <c r="O1074" s="84"/>
      <c r="P1074" s="81"/>
      <c r="Q1074" s="81"/>
      <c r="R1074" s="81"/>
      <c r="S1074" s="81"/>
      <c r="T1074" s="85"/>
      <c r="U1074" s="81"/>
      <c r="V1074" s="81"/>
      <c r="W1074" s="123">
        <f t="shared" si="88"/>
        <v>0</v>
      </c>
      <c r="X1074" s="123" t="s">
        <v>84</v>
      </c>
      <c r="Y1074" s="114" t="s">
        <v>93</v>
      </c>
    </row>
    <row r="1075" spans="1:25" s="24" customFormat="1" ht="11.1" customHeight="1">
      <c r="A1075" s="74">
        <f t="shared" si="86"/>
        <v>1073</v>
      </c>
      <c r="B1075" s="75" t="s">
        <v>1125</v>
      </c>
      <c r="C1075" s="74" t="str">
        <f>IF($B1075&lt;&gt;"",_xlfn.IFNA(VLOOKUP($B1075,'Node Details'!$B:$U,C$1,0),"Check"),"")</f>
        <v>AXW220104-AXW220106</v>
      </c>
      <c r="D1075" s="74" t="str">
        <f>IF($B1075&lt;&gt;"",_xlfn.IFNA(VLOOKUP($B1075,'Node Details'!$B:$U,D$1,0),"Check"),"")</f>
        <v>AXW</v>
      </c>
      <c r="E1075" s="74" t="str">
        <f>IF($B1075&lt;&gt;"",_xlfn.IFNA(VLOOKUP($B1075,'Node Details'!$B:$U,E$1,0),"Check"),"")</f>
        <v>Airtel</v>
      </c>
      <c r="F1075" s="76">
        <v>46114</v>
      </c>
      <c r="G1075" s="74"/>
      <c r="H1075" s="10" t="s">
        <v>1250</v>
      </c>
      <c r="I1075" s="9">
        <v>2</v>
      </c>
      <c r="J1075" s="9">
        <v>150</v>
      </c>
      <c r="K1075" s="77">
        <f t="shared" si="87"/>
        <v>300</v>
      </c>
      <c r="L1075" s="76">
        <v>46112</v>
      </c>
      <c r="N1075" s="83"/>
      <c r="O1075" s="84"/>
      <c r="P1075" s="81"/>
      <c r="Q1075" s="81"/>
      <c r="R1075" s="81"/>
      <c r="S1075" s="81"/>
      <c r="T1075" s="85"/>
      <c r="U1075" s="81"/>
      <c r="V1075" s="81"/>
      <c r="W1075" s="123">
        <f t="shared" si="88"/>
        <v>0</v>
      </c>
      <c r="X1075" s="123" t="s">
        <v>84</v>
      </c>
      <c r="Y1075" s="114" t="s">
        <v>93</v>
      </c>
    </row>
    <row r="1076" spans="1:25" s="24" customFormat="1" ht="11.1" customHeight="1">
      <c r="A1076" s="74">
        <f t="shared" si="86"/>
        <v>1074</v>
      </c>
      <c r="B1076" s="75" t="s">
        <v>600</v>
      </c>
      <c r="C1076" s="74" t="str">
        <f>IF($B1076&lt;&gt;"",_xlfn.IFNA(VLOOKUP($B1076,'Node Details'!$B:$U,C$1,0),"Check"),"")</f>
        <v>AXW220104-AXW220106</v>
      </c>
      <c r="D1076" s="74" t="str">
        <f>IF($B1076&lt;&gt;"",_xlfn.IFNA(VLOOKUP($B1076,'Node Details'!$B:$U,D$1,0),"Check"),"")</f>
        <v>AXW</v>
      </c>
      <c r="E1076" s="74" t="str">
        <f>IF($B1076&lt;&gt;"",_xlfn.IFNA(VLOOKUP($B1076,'Node Details'!$B:$U,E$1,0),"Check"),"")</f>
        <v>Airtel</v>
      </c>
      <c r="F1076" s="76">
        <v>46114</v>
      </c>
      <c r="G1076" s="74"/>
      <c r="H1076" s="10" t="s">
        <v>1250</v>
      </c>
      <c r="I1076" s="9">
        <v>2</v>
      </c>
      <c r="J1076" s="9">
        <v>150</v>
      </c>
      <c r="K1076" s="77">
        <f t="shared" si="87"/>
        <v>300</v>
      </c>
      <c r="L1076" s="76">
        <v>46112</v>
      </c>
      <c r="N1076" s="83"/>
      <c r="O1076" s="84"/>
      <c r="P1076" s="81"/>
      <c r="Q1076" s="81"/>
      <c r="R1076" s="81"/>
      <c r="S1076" s="81"/>
      <c r="T1076" s="85"/>
      <c r="U1076" s="81"/>
      <c r="V1076" s="81"/>
      <c r="W1076" s="123">
        <f t="shared" si="88"/>
        <v>0</v>
      </c>
      <c r="X1076" s="123" t="s">
        <v>84</v>
      </c>
      <c r="Y1076" s="114" t="s">
        <v>93</v>
      </c>
    </row>
    <row r="1077" spans="1:25" s="24" customFormat="1" ht="11.1" customHeight="1">
      <c r="A1077" s="74">
        <f t="shared" si="86"/>
        <v>1075</v>
      </c>
      <c r="B1077" s="75" t="s">
        <v>603</v>
      </c>
      <c r="C1077" s="74" t="str">
        <f>IF($B1077&lt;&gt;"",_xlfn.IFNA(VLOOKUP($B1077,'Node Details'!$B:$U,C$1,0),"Check"),"")</f>
        <v>0000AXW22-AXW220107</v>
      </c>
      <c r="D1077" s="74" t="str">
        <f>IF($B1077&lt;&gt;"",_xlfn.IFNA(VLOOKUP($B1077,'Node Details'!$B:$U,D$1,0),"Check"),"")</f>
        <v>AXW</v>
      </c>
      <c r="E1077" s="74" t="str">
        <f>IF($B1077&lt;&gt;"",_xlfn.IFNA(VLOOKUP($B1077,'Node Details'!$B:$U,E$1,0),"Check"),"")</f>
        <v>Airtel</v>
      </c>
      <c r="F1077" s="76">
        <v>46114</v>
      </c>
      <c r="G1077" s="74"/>
      <c r="H1077" s="10" t="s">
        <v>1250</v>
      </c>
      <c r="I1077" s="9">
        <v>2</v>
      </c>
      <c r="J1077" s="9">
        <v>150</v>
      </c>
      <c r="K1077" s="77">
        <f t="shared" si="87"/>
        <v>300</v>
      </c>
      <c r="L1077" s="76">
        <v>46112</v>
      </c>
      <c r="N1077" s="83"/>
      <c r="O1077" s="84"/>
      <c r="P1077" s="81"/>
      <c r="Q1077" s="81"/>
      <c r="R1077" s="81"/>
      <c r="S1077" s="81"/>
      <c r="T1077" s="85"/>
      <c r="U1077" s="81"/>
      <c r="V1077" s="81"/>
      <c r="W1077" s="123">
        <f t="shared" si="88"/>
        <v>0</v>
      </c>
      <c r="X1077" s="123" t="s">
        <v>84</v>
      </c>
      <c r="Y1077" s="114" t="s">
        <v>93</v>
      </c>
    </row>
    <row r="1078" spans="1:25" s="24" customFormat="1" ht="11.1" customHeight="1">
      <c r="A1078" s="74">
        <f t="shared" si="86"/>
        <v>1076</v>
      </c>
      <c r="B1078" s="75" t="s">
        <v>1126</v>
      </c>
      <c r="C1078" s="74" t="str">
        <f>IF($B1078&lt;&gt;"",_xlfn.IFNA(VLOOKUP($B1078,'Node Details'!$B:$U,C$1,0),"Check"),"")</f>
        <v>AXW220107-AXW220202</v>
      </c>
      <c r="D1078" s="74" t="str">
        <f>IF($B1078&lt;&gt;"",_xlfn.IFNA(VLOOKUP($B1078,'Node Details'!$B:$U,D$1,0),"Check"),"")</f>
        <v>AXW</v>
      </c>
      <c r="E1078" s="74" t="str">
        <f>IF($B1078&lt;&gt;"",_xlfn.IFNA(VLOOKUP($B1078,'Node Details'!$B:$U,E$1,0),"Check"),"")</f>
        <v>Airtel</v>
      </c>
      <c r="F1078" s="76">
        <v>46114</v>
      </c>
      <c r="G1078" s="74"/>
      <c r="H1078" s="10" t="s">
        <v>1250</v>
      </c>
      <c r="I1078" s="9">
        <v>2</v>
      </c>
      <c r="J1078" s="9">
        <v>150</v>
      </c>
      <c r="K1078" s="77">
        <f t="shared" si="87"/>
        <v>300</v>
      </c>
      <c r="L1078" s="76">
        <v>46112</v>
      </c>
      <c r="N1078" s="83"/>
      <c r="O1078" s="84"/>
      <c r="P1078" s="81"/>
      <c r="Q1078" s="81"/>
      <c r="R1078" s="81"/>
      <c r="S1078" s="81"/>
      <c r="T1078" s="85"/>
      <c r="U1078" s="81"/>
      <c r="V1078" s="81"/>
      <c r="W1078" s="123">
        <f t="shared" si="88"/>
        <v>0</v>
      </c>
      <c r="X1078" s="123" t="s">
        <v>84</v>
      </c>
      <c r="Y1078" s="114" t="s">
        <v>93</v>
      </c>
    </row>
    <row r="1079" spans="1:25" s="24" customFormat="1" ht="11.1" customHeight="1">
      <c r="A1079" s="74">
        <f t="shared" si="86"/>
        <v>1077</v>
      </c>
      <c r="B1079" s="75" t="s">
        <v>1127</v>
      </c>
      <c r="C1079" s="74" t="str">
        <f>IF($B1079&lt;&gt;"",_xlfn.IFNA(VLOOKUP($B1079,'Node Details'!$B:$U,C$1,0),"Check"),"")</f>
        <v>AXW220107-AXW220202</v>
      </c>
      <c r="D1079" s="74" t="str">
        <f>IF($B1079&lt;&gt;"",_xlfn.IFNA(VLOOKUP($B1079,'Node Details'!$B:$U,D$1,0),"Check"),"")</f>
        <v>AXW</v>
      </c>
      <c r="E1079" s="74" t="str">
        <f>IF($B1079&lt;&gt;"",_xlfn.IFNA(VLOOKUP($B1079,'Node Details'!$B:$U,E$1,0),"Check"),"")</f>
        <v>Airtel</v>
      </c>
      <c r="F1079" s="76">
        <v>46114</v>
      </c>
      <c r="G1079" s="74"/>
      <c r="H1079" s="10" t="s">
        <v>1250</v>
      </c>
      <c r="I1079" s="9">
        <v>2</v>
      </c>
      <c r="J1079" s="9">
        <v>150</v>
      </c>
      <c r="K1079" s="77">
        <f t="shared" si="87"/>
        <v>300</v>
      </c>
      <c r="L1079" s="76">
        <v>46112</v>
      </c>
      <c r="N1079" s="83"/>
      <c r="O1079" s="84"/>
      <c r="P1079" s="81"/>
      <c r="Q1079" s="81"/>
      <c r="R1079" s="81"/>
      <c r="S1079" s="81"/>
      <c r="T1079" s="85"/>
      <c r="U1079" s="81"/>
      <c r="V1079" s="81"/>
      <c r="W1079" s="123">
        <f t="shared" si="88"/>
        <v>0</v>
      </c>
      <c r="X1079" s="123" t="s">
        <v>84</v>
      </c>
      <c r="Y1079" s="114" t="s">
        <v>93</v>
      </c>
    </row>
    <row r="1080" spans="1:25" s="24" customFormat="1" ht="11.1" customHeight="1">
      <c r="A1080" s="74">
        <f t="shared" si="86"/>
        <v>1078</v>
      </c>
      <c r="B1080" s="75" t="s">
        <v>606</v>
      </c>
      <c r="C1080" s="74" t="str">
        <f>IF($B1080&lt;&gt;"",_xlfn.IFNA(VLOOKUP($B1080,'Node Details'!$B:$U,C$1,0),"Check"),"")</f>
        <v>AXW220107-AXW220202</v>
      </c>
      <c r="D1080" s="74" t="str">
        <f>IF($B1080&lt;&gt;"",_xlfn.IFNA(VLOOKUP($B1080,'Node Details'!$B:$U,D$1,0),"Check"),"")</f>
        <v>AXW</v>
      </c>
      <c r="E1080" s="74" t="str">
        <f>IF($B1080&lt;&gt;"",_xlfn.IFNA(VLOOKUP($B1080,'Node Details'!$B:$U,E$1,0),"Check"),"")</f>
        <v>Airtel</v>
      </c>
      <c r="F1080" s="76">
        <v>46114</v>
      </c>
      <c r="G1080" s="74"/>
      <c r="H1080" s="10" t="s">
        <v>1250</v>
      </c>
      <c r="I1080" s="9">
        <v>2</v>
      </c>
      <c r="J1080" s="9">
        <v>150</v>
      </c>
      <c r="K1080" s="77">
        <f t="shared" si="87"/>
        <v>300</v>
      </c>
      <c r="L1080" s="76">
        <v>46112</v>
      </c>
      <c r="N1080" s="83"/>
      <c r="O1080" s="84"/>
      <c r="P1080" s="81"/>
      <c r="Q1080" s="81"/>
      <c r="R1080" s="81"/>
      <c r="S1080" s="81"/>
      <c r="T1080" s="85"/>
      <c r="U1080" s="81"/>
      <c r="V1080" s="81"/>
      <c r="W1080" s="123">
        <f t="shared" si="88"/>
        <v>0</v>
      </c>
      <c r="X1080" s="123" t="s">
        <v>84</v>
      </c>
      <c r="Y1080" s="114" t="s">
        <v>93</v>
      </c>
    </row>
    <row r="1081" spans="1:25" s="24" customFormat="1" ht="11.1" customHeight="1">
      <c r="A1081" s="74">
        <f t="shared" si="86"/>
        <v>1079</v>
      </c>
      <c r="B1081" s="75" t="s">
        <v>637</v>
      </c>
      <c r="C1081" s="74" t="str">
        <f>IF($B1081&lt;&gt;"",_xlfn.IFNA(VLOOKUP($B1081,'Node Details'!$B:$U,C$1,0),"Check"),"")</f>
        <v>000000CM3-0000CM310</v>
      </c>
      <c r="D1081" s="74" t="str">
        <f>IF($B1081&lt;&gt;"",_xlfn.IFNA(VLOOKUP($B1081,'Node Details'!$B:$U,D$1,0),"Check"),"")</f>
        <v>CM3</v>
      </c>
      <c r="E1081" s="74" t="str">
        <f>IF($B1081&lt;&gt;"",_xlfn.IFNA(VLOOKUP($B1081,'Node Details'!$B:$U,E$1,0),"Check"),"")</f>
        <v>Airtel</v>
      </c>
      <c r="F1081" s="76">
        <v>46149</v>
      </c>
      <c r="G1081" s="74"/>
      <c r="H1081" s="10" t="s">
        <v>1247</v>
      </c>
      <c r="I1081" s="9">
        <v>1</v>
      </c>
      <c r="J1081" s="9">
        <v>650</v>
      </c>
      <c r="K1081" s="77">
        <f t="shared" si="87"/>
        <v>650</v>
      </c>
      <c r="L1081" s="76">
        <v>46142</v>
      </c>
      <c r="N1081" s="83"/>
      <c r="O1081" s="84"/>
      <c r="P1081" s="81"/>
      <c r="Q1081" s="81"/>
      <c r="R1081" s="81"/>
      <c r="S1081" s="81"/>
      <c r="T1081" s="85"/>
      <c r="U1081" s="81"/>
      <c r="V1081" s="81"/>
      <c r="W1081" s="123">
        <f t="shared" ref="W1081:W1144" si="89">IF(V1081&lt;&gt;"",V1081*U1081,0)</f>
        <v>0</v>
      </c>
      <c r="X1081" s="123" t="s">
        <v>84</v>
      </c>
      <c r="Y1081" s="114" t="s">
        <v>1128</v>
      </c>
    </row>
    <row r="1082" spans="1:25" s="24" customFormat="1" ht="11.1" customHeight="1">
      <c r="A1082" s="74">
        <f t="shared" si="86"/>
        <v>1080</v>
      </c>
      <c r="B1082" s="75" t="s">
        <v>644</v>
      </c>
      <c r="C1082" s="74" t="str">
        <f>IF($B1082&lt;&gt;"",_xlfn.IFNA(VLOOKUP($B1082,'Node Details'!$B:$U,C$1,0),"Check"),"")</f>
        <v>000000CM3-0000CM310</v>
      </c>
      <c r="D1082" s="74" t="str">
        <f>IF($B1082&lt;&gt;"",_xlfn.IFNA(VLOOKUP($B1082,'Node Details'!$B:$U,D$1,0),"Check"),"")</f>
        <v>CM3</v>
      </c>
      <c r="E1082" s="74" t="str">
        <f>IF($B1082&lt;&gt;"",_xlfn.IFNA(VLOOKUP($B1082,'Node Details'!$B:$U,E$1,0),"Check"),"")</f>
        <v>Airtel</v>
      </c>
      <c r="F1082" s="76">
        <v>46149</v>
      </c>
      <c r="G1082" s="74"/>
      <c r="H1082" s="10" t="s">
        <v>1247</v>
      </c>
      <c r="I1082" s="9">
        <v>1</v>
      </c>
      <c r="J1082" s="9">
        <v>650</v>
      </c>
      <c r="K1082" s="77">
        <f t="shared" ref="K1082:K1145" si="90">IF(I1082&lt;&gt;"",J1082*I1082,0)</f>
        <v>650</v>
      </c>
      <c r="L1082" s="76">
        <v>46142</v>
      </c>
      <c r="N1082" s="83"/>
      <c r="O1082" s="84"/>
      <c r="P1082" s="81"/>
      <c r="Q1082" s="81"/>
      <c r="R1082" s="81"/>
      <c r="S1082" s="81"/>
      <c r="T1082" s="85"/>
      <c r="U1082" s="81"/>
      <c r="V1082" s="81"/>
      <c r="W1082" s="123">
        <f t="shared" si="89"/>
        <v>0</v>
      </c>
      <c r="X1082" s="123" t="s">
        <v>84</v>
      </c>
      <c r="Y1082" s="114" t="s">
        <v>1128</v>
      </c>
    </row>
    <row r="1083" spans="1:25" s="24" customFormat="1" ht="11.1" customHeight="1">
      <c r="A1083" s="74">
        <f t="shared" si="86"/>
        <v>1081</v>
      </c>
      <c r="B1083" s="75" t="s">
        <v>649</v>
      </c>
      <c r="C1083" s="74" t="str">
        <f>IF($B1083&lt;&gt;"",_xlfn.IFNA(VLOOKUP($B1083,'Node Details'!$B:$U,C$1,0),"Check"),"")</f>
        <v>000000CM3-0000CM310</v>
      </c>
      <c r="D1083" s="74" t="str">
        <f>IF($B1083&lt;&gt;"",_xlfn.IFNA(VLOOKUP($B1083,'Node Details'!$B:$U,D$1,0),"Check"),"")</f>
        <v>CM3</v>
      </c>
      <c r="E1083" s="74" t="str">
        <f>IF($B1083&lt;&gt;"",_xlfn.IFNA(VLOOKUP($B1083,'Node Details'!$B:$U,E$1,0),"Check"),"")</f>
        <v>Airtel</v>
      </c>
      <c r="F1083" s="76">
        <v>46149</v>
      </c>
      <c r="G1083" s="74"/>
      <c r="H1083" s="10" t="s">
        <v>1247</v>
      </c>
      <c r="I1083" s="9">
        <v>1</v>
      </c>
      <c r="J1083" s="9">
        <v>650</v>
      </c>
      <c r="K1083" s="77">
        <f t="shared" si="90"/>
        <v>650</v>
      </c>
      <c r="L1083" s="76">
        <v>46142</v>
      </c>
      <c r="N1083" s="83"/>
      <c r="O1083" s="84"/>
      <c r="P1083" s="81"/>
      <c r="Q1083" s="81"/>
      <c r="R1083" s="81"/>
      <c r="S1083" s="81"/>
      <c r="T1083" s="85"/>
      <c r="U1083" s="81"/>
      <c r="V1083" s="81"/>
      <c r="W1083" s="123">
        <f t="shared" si="89"/>
        <v>0</v>
      </c>
      <c r="X1083" s="123" t="s">
        <v>84</v>
      </c>
      <c r="Y1083" s="114" t="s">
        <v>1128</v>
      </c>
    </row>
    <row r="1084" spans="1:25" s="24" customFormat="1" ht="11.1" customHeight="1">
      <c r="A1084" s="74">
        <f t="shared" si="86"/>
        <v>1082</v>
      </c>
      <c r="B1084" s="75" t="s">
        <v>630</v>
      </c>
      <c r="C1084" s="74" t="str">
        <f>IF($B1084&lt;&gt;"",_xlfn.IFNA(VLOOKUP($B1084,'Node Details'!$B:$U,C$1,0),"Check"),"")</f>
        <v>000000CM3-0000CM310</v>
      </c>
      <c r="D1084" s="74" t="str">
        <f>IF($B1084&lt;&gt;"",_xlfn.IFNA(VLOOKUP($B1084,'Node Details'!$B:$U,D$1,0),"Check"),"")</f>
        <v>CM3</v>
      </c>
      <c r="E1084" s="74" t="str">
        <f>IF($B1084&lt;&gt;"",_xlfn.IFNA(VLOOKUP($B1084,'Node Details'!$B:$U,E$1,0),"Check"),"")</f>
        <v>Airtel</v>
      </c>
      <c r="F1084" s="76">
        <v>46149</v>
      </c>
      <c r="G1084" s="74"/>
      <c r="H1084" s="10" t="s">
        <v>1247</v>
      </c>
      <c r="I1084" s="9">
        <v>1</v>
      </c>
      <c r="J1084" s="9">
        <v>650</v>
      </c>
      <c r="K1084" s="77">
        <f t="shared" si="90"/>
        <v>650</v>
      </c>
      <c r="L1084" s="76">
        <v>46142</v>
      </c>
      <c r="N1084" s="83"/>
      <c r="O1084" s="84"/>
      <c r="P1084" s="81"/>
      <c r="Q1084" s="81"/>
      <c r="R1084" s="81"/>
      <c r="S1084" s="81"/>
      <c r="T1084" s="85"/>
      <c r="U1084" s="81"/>
      <c r="V1084" s="81"/>
      <c r="W1084" s="123">
        <f t="shared" si="89"/>
        <v>0</v>
      </c>
      <c r="X1084" s="123" t="s">
        <v>84</v>
      </c>
      <c r="Y1084" s="114" t="s">
        <v>1128</v>
      </c>
    </row>
    <row r="1085" spans="1:25" s="24" customFormat="1" ht="11.1" customHeight="1">
      <c r="A1085" s="74">
        <f t="shared" si="86"/>
        <v>1083</v>
      </c>
      <c r="B1085" s="75" t="s">
        <v>631</v>
      </c>
      <c r="C1085" s="74" t="str">
        <f>IF($B1085&lt;&gt;"",_xlfn.IFNA(VLOOKUP($B1085,'Node Details'!$B:$U,C$1,0),"Check"),"")</f>
        <v>0000CM304-0000CM305</v>
      </c>
      <c r="D1085" s="74" t="str">
        <f>IF($B1085&lt;&gt;"",_xlfn.IFNA(VLOOKUP($B1085,'Node Details'!$B:$U,D$1,0),"Check"),"")</f>
        <v>CM3</v>
      </c>
      <c r="E1085" s="74" t="str">
        <f>IF($B1085&lt;&gt;"",_xlfn.IFNA(VLOOKUP($B1085,'Node Details'!$B:$U,E$1,0),"Check"),"")</f>
        <v>Airtel</v>
      </c>
      <c r="F1085" s="76">
        <v>46149</v>
      </c>
      <c r="G1085" s="74"/>
      <c r="H1085" s="10" t="s">
        <v>1247</v>
      </c>
      <c r="I1085" s="9">
        <v>1</v>
      </c>
      <c r="J1085" s="9">
        <v>650</v>
      </c>
      <c r="K1085" s="77">
        <f t="shared" si="90"/>
        <v>650</v>
      </c>
      <c r="L1085" s="76">
        <v>46142</v>
      </c>
      <c r="N1085" s="83"/>
      <c r="O1085" s="84"/>
      <c r="P1085" s="81"/>
      <c r="Q1085" s="81"/>
      <c r="R1085" s="81"/>
      <c r="S1085" s="81"/>
      <c r="T1085" s="85"/>
      <c r="U1085" s="81"/>
      <c r="V1085" s="81"/>
      <c r="W1085" s="123">
        <f t="shared" si="89"/>
        <v>0</v>
      </c>
      <c r="X1085" s="123" t="s">
        <v>84</v>
      </c>
      <c r="Y1085" s="114" t="s">
        <v>1128</v>
      </c>
    </row>
    <row r="1086" spans="1:25" s="24" customFormat="1" ht="11.1" customHeight="1">
      <c r="A1086" s="74">
        <f t="shared" si="86"/>
        <v>1084</v>
      </c>
      <c r="B1086" s="75" t="s">
        <v>634</v>
      </c>
      <c r="C1086" s="74" t="str">
        <f>IF($B1086&lt;&gt;"",_xlfn.IFNA(VLOOKUP($B1086,'Node Details'!$B:$U,C$1,0),"Check"),"")</f>
        <v>000000CM3-0000CM310</v>
      </c>
      <c r="D1086" s="74" t="str">
        <f>IF($B1086&lt;&gt;"",_xlfn.IFNA(VLOOKUP($B1086,'Node Details'!$B:$U,D$1,0),"Check"),"")</f>
        <v>CM3</v>
      </c>
      <c r="E1086" s="74" t="str">
        <f>IF($B1086&lt;&gt;"",_xlfn.IFNA(VLOOKUP($B1086,'Node Details'!$B:$U,E$1,0),"Check"),"")</f>
        <v>Airtel</v>
      </c>
      <c r="F1086" s="76">
        <v>46149</v>
      </c>
      <c r="G1086" s="74"/>
      <c r="H1086" s="10" t="s">
        <v>1247</v>
      </c>
      <c r="I1086" s="9">
        <v>1</v>
      </c>
      <c r="J1086" s="9">
        <v>650</v>
      </c>
      <c r="K1086" s="77">
        <f t="shared" si="90"/>
        <v>650</v>
      </c>
      <c r="L1086" s="76">
        <v>46142</v>
      </c>
      <c r="N1086" s="83"/>
      <c r="O1086" s="84"/>
      <c r="P1086" s="81"/>
      <c r="Q1086" s="81"/>
      <c r="R1086" s="81"/>
      <c r="S1086" s="81"/>
      <c r="T1086" s="85"/>
      <c r="U1086" s="81"/>
      <c r="V1086" s="81"/>
      <c r="W1086" s="123">
        <f t="shared" si="89"/>
        <v>0</v>
      </c>
      <c r="X1086" s="123" t="s">
        <v>84</v>
      </c>
      <c r="Y1086" s="114" t="s">
        <v>1128</v>
      </c>
    </row>
    <row r="1087" spans="1:25" s="24" customFormat="1" ht="11.1" customHeight="1">
      <c r="A1087" s="74">
        <f t="shared" si="86"/>
        <v>1085</v>
      </c>
      <c r="B1087" s="75" t="s">
        <v>635</v>
      </c>
      <c r="C1087" s="74" t="str">
        <f>IF($B1087&lt;&gt;"",_xlfn.IFNA(VLOOKUP($B1087,'Node Details'!$B:$U,C$1,0),"Check"),"")</f>
        <v>0000CM306-0000CM307</v>
      </c>
      <c r="D1087" s="74" t="str">
        <f>IF($B1087&lt;&gt;"",_xlfn.IFNA(VLOOKUP($B1087,'Node Details'!$B:$U,D$1,0),"Check"),"")</f>
        <v>CM3</v>
      </c>
      <c r="E1087" s="74" t="str">
        <f>IF($B1087&lt;&gt;"",_xlfn.IFNA(VLOOKUP($B1087,'Node Details'!$B:$U,E$1,0),"Check"),"")</f>
        <v>Airtel</v>
      </c>
      <c r="F1087" s="76">
        <v>46149</v>
      </c>
      <c r="G1087" s="74"/>
      <c r="H1087" s="10" t="s">
        <v>1247</v>
      </c>
      <c r="I1087" s="9">
        <v>1</v>
      </c>
      <c r="J1087" s="9">
        <v>650</v>
      </c>
      <c r="K1087" s="77">
        <f t="shared" si="90"/>
        <v>650</v>
      </c>
      <c r="L1087" s="76">
        <v>46142</v>
      </c>
      <c r="N1087" s="83"/>
      <c r="O1087" s="84"/>
      <c r="P1087" s="81"/>
      <c r="Q1087" s="81"/>
      <c r="R1087" s="81"/>
      <c r="S1087" s="81"/>
      <c r="T1087" s="85"/>
      <c r="U1087" s="81"/>
      <c r="V1087" s="81"/>
      <c r="W1087" s="123">
        <f t="shared" si="89"/>
        <v>0</v>
      </c>
      <c r="X1087" s="123" t="s">
        <v>84</v>
      </c>
      <c r="Y1087" s="114" t="s">
        <v>1128</v>
      </c>
    </row>
    <row r="1088" spans="1:25" s="24" customFormat="1" ht="11.1" customHeight="1">
      <c r="A1088" s="74">
        <f t="shared" si="86"/>
        <v>1086</v>
      </c>
      <c r="B1088" s="75" t="s">
        <v>682</v>
      </c>
      <c r="C1088" s="74" t="str">
        <f>IF($B1088&lt;&gt;"",_xlfn.IFNA(VLOOKUP($B1088,'Node Details'!$B:$U,C$1,0),"Check"),"")</f>
        <v>000000CM3-0000CM310</v>
      </c>
      <c r="D1088" s="74" t="str">
        <f>IF($B1088&lt;&gt;"",_xlfn.IFNA(VLOOKUP($B1088,'Node Details'!$B:$U,D$1,0),"Check"),"")</f>
        <v>CM3</v>
      </c>
      <c r="E1088" s="74" t="str">
        <f>IF($B1088&lt;&gt;"",_xlfn.IFNA(VLOOKUP($B1088,'Node Details'!$B:$U,E$1,0),"Check"),"")</f>
        <v>Airtel</v>
      </c>
      <c r="F1088" s="76">
        <v>46149</v>
      </c>
      <c r="G1088" s="74"/>
      <c r="H1088" s="10" t="s">
        <v>1247</v>
      </c>
      <c r="I1088" s="9">
        <v>1</v>
      </c>
      <c r="J1088" s="9">
        <v>650</v>
      </c>
      <c r="K1088" s="77">
        <f t="shared" si="90"/>
        <v>650</v>
      </c>
      <c r="L1088" s="76">
        <v>46142</v>
      </c>
      <c r="N1088" s="83"/>
      <c r="O1088" s="84"/>
      <c r="P1088" s="81"/>
      <c r="Q1088" s="81"/>
      <c r="R1088" s="81"/>
      <c r="S1088" s="81"/>
      <c r="T1088" s="85"/>
      <c r="U1088" s="81"/>
      <c r="V1088" s="81"/>
      <c r="W1088" s="123">
        <f t="shared" si="89"/>
        <v>0</v>
      </c>
      <c r="X1088" s="123" t="s">
        <v>84</v>
      </c>
      <c r="Y1088" s="114" t="s">
        <v>1128</v>
      </c>
    </row>
    <row r="1089" spans="1:25" s="24" customFormat="1" ht="11.1" customHeight="1">
      <c r="A1089" s="74">
        <f t="shared" si="86"/>
        <v>1087</v>
      </c>
      <c r="B1089" s="75" t="s">
        <v>692</v>
      </c>
      <c r="C1089" s="74" t="str">
        <f>IF($B1089&lt;&gt;"",_xlfn.IFNA(VLOOKUP($B1089,'Node Details'!$B:$U,C$1,0),"Check"),"")</f>
        <v>000000CM3-0000CM310</v>
      </c>
      <c r="D1089" s="74" t="str">
        <f>IF($B1089&lt;&gt;"",_xlfn.IFNA(VLOOKUP($B1089,'Node Details'!$B:$U,D$1,0),"Check"),"")</f>
        <v>CM3</v>
      </c>
      <c r="E1089" s="74" t="str">
        <f>IF($B1089&lt;&gt;"",_xlfn.IFNA(VLOOKUP($B1089,'Node Details'!$B:$U,E$1,0),"Check"),"")</f>
        <v>Airtel</v>
      </c>
      <c r="F1089" s="76">
        <v>46149</v>
      </c>
      <c r="G1089" s="74"/>
      <c r="H1089" s="10" t="s">
        <v>1247</v>
      </c>
      <c r="I1089" s="9">
        <v>1</v>
      </c>
      <c r="J1089" s="9">
        <v>650</v>
      </c>
      <c r="K1089" s="77">
        <f t="shared" si="90"/>
        <v>650</v>
      </c>
      <c r="L1089" s="76">
        <v>46142</v>
      </c>
      <c r="N1089" s="83"/>
      <c r="O1089" s="84"/>
      <c r="P1089" s="81"/>
      <c r="Q1089" s="81"/>
      <c r="R1089" s="81"/>
      <c r="S1089" s="81"/>
      <c r="T1089" s="85"/>
      <c r="U1089" s="81"/>
      <c r="V1089" s="81"/>
      <c r="W1089" s="123">
        <f t="shared" si="89"/>
        <v>0</v>
      </c>
      <c r="X1089" s="123" t="s">
        <v>84</v>
      </c>
      <c r="Y1089" s="114" t="s">
        <v>1128</v>
      </c>
    </row>
    <row r="1090" spans="1:25" s="24" customFormat="1" ht="11.1" customHeight="1">
      <c r="A1090" s="74">
        <f t="shared" si="86"/>
        <v>1088</v>
      </c>
      <c r="B1090" s="75" t="s">
        <v>615</v>
      </c>
      <c r="C1090" s="74" t="str">
        <f>IF($B1090&lt;&gt;"",_xlfn.IFNA(VLOOKUP($B1090,'Node Details'!$B:$U,C$1,0),"Check"),"")</f>
        <v>000000CM3-0000CM310</v>
      </c>
      <c r="D1090" s="74" t="str">
        <f>IF($B1090&lt;&gt;"",_xlfn.IFNA(VLOOKUP($B1090,'Node Details'!$B:$U,D$1,0),"Check"),"")</f>
        <v>CM3</v>
      </c>
      <c r="E1090" s="74" t="str">
        <f>IF($B1090&lt;&gt;"",_xlfn.IFNA(VLOOKUP($B1090,'Node Details'!$B:$U,E$1,0),"Check"),"")</f>
        <v>Airtel</v>
      </c>
      <c r="F1090" s="76">
        <v>46149</v>
      </c>
      <c r="G1090" s="74"/>
      <c r="H1090" s="10" t="s">
        <v>1247</v>
      </c>
      <c r="I1090" s="9">
        <v>1</v>
      </c>
      <c r="J1090" s="9">
        <v>650</v>
      </c>
      <c r="K1090" s="77">
        <f t="shared" si="90"/>
        <v>650</v>
      </c>
      <c r="L1090" s="76">
        <v>46142</v>
      </c>
      <c r="N1090" s="83"/>
      <c r="O1090" s="84"/>
      <c r="P1090" s="81"/>
      <c r="Q1090" s="81"/>
      <c r="R1090" s="81"/>
      <c r="S1090" s="81"/>
      <c r="T1090" s="85"/>
      <c r="U1090" s="81"/>
      <c r="V1090" s="81"/>
      <c r="W1090" s="123">
        <f t="shared" si="89"/>
        <v>0</v>
      </c>
      <c r="X1090" s="123" t="s">
        <v>84</v>
      </c>
      <c r="Y1090" s="114" t="s">
        <v>1128</v>
      </c>
    </row>
    <row r="1091" spans="1:25" s="24" customFormat="1" ht="11.1" customHeight="1">
      <c r="A1091" s="74">
        <f t="shared" si="86"/>
        <v>1089</v>
      </c>
      <c r="B1091" s="75" t="s">
        <v>705</v>
      </c>
      <c r="C1091" s="74" t="str">
        <f>IF($B1091&lt;&gt;"",_xlfn.IFNA(VLOOKUP($B1091,'Node Details'!$B:$U,C$1,0),"Check"),"")</f>
        <v>000000CM3-0000CM325</v>
      </c>
      <c r="D1091" s="74" t="str">
        <f>IF($B1091&lt;&gt;"",_xlfn.IFNA(VLOOKUP($B1091,'Node Details'!$B:$U,D$1,0),"Check"),"")</f>
        <v>CM3</v>
      </c>
      <c r="E1091" s="74" t="str">
        <f>IF($B1091&lt;&gt;"",_xlfn.IFNA(VLOOKUP($B1091,'Node Details'!$B:$U,E$1,0),"Check"),"")</f>
        <v>Airtel</v>
      </c>
      <c r="F1091" s="76">
        <v>46149</v>
      </c>
      <c r="G1091" s="74"/>
      <c r="H1091" s="10" t="s">
        <v>1247</v>
      </c>
      <c r="I1091" s="9">
        <v>1</v>
      </c>
      <c r="J1091" s="9">
        <v>650</v>
      </c>
      <c r="K1091" s="77">
        <f t="shared" si="90"/>
        <v>650</v>
      </c>
      <c r="L1091" s="76">
        <v>46142</v>
      </c>
      <c r="N1091" s="83"/>
      <c r="O1091" s="84"/>
      <c r="P1091" s="81"/>
      <c r="Q1091" s="81"/>
      <c r="R1091" s="81"/>
      <c r="S1091" s="81"/>
      <c r="T1091" s="85"/>
      <c r="U1091" s="81"/>
      <c r="V1091" s="81"/>
      <c r="W1091" s="123">
        <f t="shared" si="89"/>
        <v>0</v>
      </c>
      <c r="X1091" s="123" t="s">
        <v>84</v>
      </c>
      <c r="Y1091" s="114" t="s">
        <v>1128</v>
      </c>
    </row>
    <row r="1092" spans="1:25" s="24" customFormat="1" ht="11.1" customHeight="1">
      <c r="A1092" s="74">
        <f t="shared" ref="A1092:A1155" si="91">A1091+1</f>
        <v>1090</v>
      </c>
      <c r="B1092" s="75" t="s">
        <v>712</v>
      </c>
      <c r="C1092" s="74" t="str">
        <f>IF($B1092&lt;&gt;"",_xlfn.IFNA(VLOOKUP($B1092,'Node Details'!$B:$U,C$1,0),"Check"),"")</f>
        <v>000000CM3-0000CM325</v>
      </c>
      <c r="D1092" s="74" t="str">
        <f>IF($B1092&lt;&gt;"",_xlfn.IFNA(VLOOKUP($B1092,'Node Details'!$B:$U,D$1,0),"Check"),"")</f>
        <v>CM3</v>
      </c>
      <c r="E1092" s="74" t="str">
        <f>IF($B1092&lt;&gt;"",_xlfn.IFNA(VLOOKUP($B1092,'Node Details'!$B:$U,E$1,0),"Check"),"")</f>
        <v>Airtel</v>
      </c>
      <c r="F1092" s="76">
        <v>46149</v>
      </c>
      <c r="G1092" s="74"/>
      <c r="H1092" s="10" t="s">
        <v>1247</v>
      </c>
      <c r="I1092" s="9">
        <v>1</v>
      </c>
      <c r="J1092" s="9">
        <v>650</v>
      </c>
      <c r="K1092" s="77">
        <f t="shared" si="90"/>
        <v>650</v>
      </c>
      <c r="L1092" s="76">
        <v>46142</v>
      </c>
      <c r="N1092" s="83"/>
      <c r="O1092" s="84"/>
      <c r="P1092" s="81"/>
      <c r="Q1092" s="81"/>
      <c r="R1092" s="81"/>
      <c r="S1092" s="81"/>
      <c r="T1092" s="85"/>
      <c r="U1092" s="81"/>
      <c r="V1092" s="81"/>
      <c r="W1092" s="123">
        <f t="shared" si="89"/>
        <v>0</v>
      </c>
      <c r="X1092" s="123" t="s">
        <v>84</v>
      </c>
      <c r="Y1092" s="114" t="s">
        <v>1128</v>
      </c>
    </row>
    <row r="1093" spans="1:25" s="24" customFormat="1" ht="11.1" customHeight="1">
      <c r="A1093" s="74">
        <f t="shared" si="91"/>
        <v>1091</v>
      </c>
      <c r="B1093" s="75" t="s">
        <v>624</v>
      </c>
      <c r="C1093" s="74" t="str">
        <f>IF($B1093&lt;&gt;"",_xlfn.IFNA(VLOOKUP($B1093,'Node Details'!$B:$U,C$1,0),"Check"),"")</f>
        <v>000000CM3-0000CM325</v>
      </c>
      <c r="D1093" s="74" t="str">
        <f>IF($B1093&lt;&gt;"",_xlfn.IFNA(VLOOKUP($B1093,'Node Details'!$B:$U,D$1,0),"Check"),"")</f>
        <v>CM3</v>
      </c>
      <c r="E1093" s="74" t="str">
        <f>IF($B1093&lt;&gt;"",_xlfn.IFNA(VLOOKUP($B1093,'Node Details'!$B:$U,E$1,0),"Check"),"")</f>
        <v>Airtel</v>
      </c>
      <c r="F1093" s="76">
        <v>46149</v>
      </c>
      <c r="G1093" s="74"/>
      <c r="H1093" s="10" t="s">
        <v>1247</v>
      </c>
      <c r="I1093" s="9">
        <v>1</v>
      </c>
      <c r="J1093" s="9">
        <v>650</v>
      </c>
      <c r="K1093" s="77">
        <f t="shared" si="90"/>
        <v>650</v>
      </c>
      <c r="L1093" s="76">
        <v>46142</v>
      </c>
      <c r="N1093" s="83"/>
      <c r="O1093" s="84"/>
      <c r="P1093" s="81"/>
      <c r="Q1093" s="81"/>
      <c r="R1093" s="81"/>
      <c r="S1093" s="81"/>
      <c r="T1093" s="85"/>
      <c r="U1093" s="81"/>
      <c r="V1093" s="81"/>
      <c r="W1093" s="123">
        <f t="shared" si="89"/>
        <v>0</v>
      </c>
      <c r="X1093" s="123" t="s">
        <v>84</v>
      </c>
      <c r="Y1093" s="114" t="s">
        <v>1128</v>
      </c>
    </row>
    <row r="1094" spans="1:25" s="24" customFormat="1" ht="11.1" customHeight="1">
      <c r="A1094" s="74">
        <f t="shared" si="91"/>
        <v>1092</v>
      </c>
      <c r="B1094" s="75" t="s">
        <v>627</v>
      </c>
      <c r="C1094" s="74" t="str">
        <f>IF($B1094&lt;&gt;"",_xlfn.IFNA(VLOOKUP($B1094,'Node Details'!$B:$U,C$1,0),"Check"),"")</f>
        <v>0000CM313-0000CM315</v>
      </c>
      <c r="D1094" s="74" t="str">
        <f>IF($B1094&lt;&gt;"",_xlfn.IFNA(VLOOKUP($B1094,'Node Details'!$B:$U,D$1,0),"Check"),"")</f>
        <v>CM3</v>
      </c>
      <c r="E1094" s="74" t="str">
        <f>IF($B1094&lt;&gt;"",_xlfn.IFNA(VLOOKUP($B1094,'Node Details'!$B:$U,E$1,0),"Check"),"")</f>
        <v>Airtel</v>
      </c>
      <c r="F1094" s="76">
        <v>46149</v>
      </c>
      <c r="G1094" s="74"/>
      <c r="H1094" s="10" t="s">
        <v>1247</v>
      </c>
      <c r="I1094" s="9">
        <v>1</v>
      </c>
      <c r="J1094" s="9">
        <v>650</v>
      </c>
      <c r="K1094" s="77">
        <f t="shared" si="90"/>
        <v>650</v>
      </c>
      <c r="L1094" s="76">
        <v>46142</v>
      </c>
      <c r="N1094" s="83"/>
      <c r="O1094" s="84"/>
      <c r="P1094" s="81"/>
      <c r="Q1094" s="81"/>
      <c r="R1094" s="81"/>
      <c r="S1094" s="81"/>
      <c r="T1094" s="85"/>
      <c r="U1094" s="81"/>
      <c r="V1094" s="81"/>
      <c r="W1094" s="123">
        <f t="shared" si="89"/>
        <v>0</v>
      </c>
      <c r="X1094" s="123" t="s">
        <v>84</v>
      </c>
      <c r="Y1094" s="114" t="s">
        <v>1128</v>
      </c>
    </row>
    <row r="1095" spans="1:25" s="24" customFormat="1" ht="11.1" customHeight="1">
      <c r="A1095" s="74">
        <f t="shared" si="91"/>
        <v>1093</v>
      </c>
      <c r="B1095" s="75" t="s">
        <v>625</v>
      </c>
      <c r="C1095" s="74" t="str">
        <f>IF($B1095&lt;&gt;"",_xlfn.IFNA(VLOOKUP($B1095,'Node Details'!$B:$U,C$1,0),"Check"),"")</f>
        <v>0000CM313-0000CM315</v>
      </c>
      <c r="D1095" s="74" t="str">
        <f>IF($B1095&lt;&gt;"",_xlfn.IFNA(VLOOKUP($B1095,'Node Details'!$B:$U,D$1,0),"Check"),"")</f>
        <v>CM3</v>
      </c>
      <c r="E1095" s="74" t="str">
        <f>IF($B1095&lt;&gt;"",_xlfn.IFNA(VLOOKUP($B1095,'Node Details'!$B:$U,E$1,0),"Check"),"")</f>
        <v>Airtel</v>
      </c>
      <c r="F1095" s="76">
        <v>46149</v>
      </c>
      <c r="G1095" s="74"/>
      <c r="H1095" s="10" t="s">
        <v>1247</v>
      </c>
      <c r="I1095" s="9">
        <v>1</v>
      </c>
      <c r="J1095" s="9">
        <v>650</v>
      </c>
      <c r="K1095" s="77">
        <f t="shared" si="90"/>
        <v>650</v>
      </c>
      <c r="L1095" s="76">
        <v>46142</v>
      </c>
      <c r="N1095" s="83"/>
      <c r="O1095" s="84"/>
      <c r="P1095" s="81"/>
      <c r="Q1095" s="81"/>
      <c r="R1095" s="81"/>
      <c r="S1095" s="81"/>
      <c r="T1095" s="85"/>
      <c r="U1095" s="81"/>
      <c r="V1095" s="81"/>
      <c r="W1095" s="123">
        <f t="shared" si="89"/>
        <v>0</v>
      </c>
      <c r="X1095" s="123" t="s">
        <v>84</v>
      </c>
      <c r="Y1095" s="114" t="s">
        <v>1128</v>
      </c>
    </row>
    <row r="1096" spans="1:25" s="24" customFormat="1" ht="11.1" customHeight="1">
      <c r="A1096" s="74">
        <f t="shared" si="91"/>
        <v>1094</v>
      </c>
      <c r="B1096" s="75" t="s">
        <v>628</v>
      </c>
      <c r="C1096" s="74" t="str">
        <f>IF($B1096&lt;&gt;"",_xlfn.IFNA(VLOOKUP($B1096,'Node Details'!$B:$U,C$1,0),"Check"),"")</f>
        <v>0000CM314-0000CM316</v>
      </c>
      <c r="D1096" s="74" t="str">
        <f>IF($B1096&lt;&gt;"",_xlfn.IFNA(VLOOKUP($B1096,'Node Details'!$B:$U,D$1,0),"Check"),"")</f>
        <v>CM3</v>
      </c>
      <c r="E1096" s="74" t="str">
        <f>IF($B1096&lt;&gt;"",_xlfn.IFNA(VLOOKUP($B1096,'Node Details'!$B:$U,E$1,0),"Check"),"")</f>
        <v>Airtel</v>
      </c>
      <c r="F1096" s="76">
        <v>46149</v>
      </c>
      <c r="G1096" s="74"/>
      <c r="H1096" s="10" t="s">
        <v>1247</v>
      </c>
      <c r="I1096" s="9">
        <v>1</v>
      </c>
      <c r="J1096" s="9">
        <v>650</v>
      </c>
      <c r="K1096" s="77">
        <f t="shared" si="90"/>
        <v>650</v>
      </c>
      <c r="L1096" s="76">
        <v>46142</v>
      </c>
      <c r="N1096" s="83"/>
      <c r="O1096" s="84"/>
      <c r="P1096" s="81"/>
      <c r="Q1096" s="81"/>
      <c r="R1096" s="81"/>
      <c r="S1096" s="81"/>
      <c r="T1096" s="85"/>
      <c r="U1096" s="81"/>
      <c r="V1096" s="81"/>
      <c r="W1096" s="123">
        <f t="shared" si="89"/>
        <v>0</v>
      </c>
      <c r="X1096" s="123" t="s">
        <v>84</v>
      </c>
      <c r="Y1096" s="114" t="s">
        <v>1128</v>
      </c>
    </row>
    <row r="1097" spans="1:25" s="24" customFormat="1" ht="11.1" customHeight="1">
      <c r="A1097" s="74">
        <f t="shared" si="91"/>
        <v>1095</v>
      </c>
      <c r="B1097" s="75" t="s">
        <v>746</v>
      </c>
      <c r="C1097" s="74" t="str">
        <f>IF($B1097&lt;&gt;"",_xlfn.IFNA(VLOOKUP($B1097,'Node Details'!$B:$U,C$1,0),"Check"),"")</f>
        <v>000000CM3-0000CM325</v>
      </c>
      <c r="D1097" s="74" t="str">
        <f>IF($B1097&lt;&gt;"",_xlfn.IFNA(VLOOKUP($B1097,'Node Details'!$B:$U,D$1,0),"Check"),"")</f>
        <v>CM3</v>
      </c>
      <c r="E1097" s="74" t="str">
        <f>IF($B1097&lt;&gt;"",_xlfn.IFNA(VLOOKUP($B1097,'Node Details'!$B:$U,E$1,0),"Check"),"")</f>
        <v>Airtel</v>
      </c>
      <c r="F1097" s="76">
        <v>46149</v>
      </c>
      <c r="G1097" s="74"/>
      <c r="H1097" s="10" t="s">
        <v>1247</v>
      </c>
      <c r="I1097" s="9">
        <v>1</v>
      </c>
      <c r="J1097" s="9">
        <v>650</v>
      </c>
      <c r="K1097" s="77">
        <f t="shared" si="90"/>
        <v>650</v>
      </c>
      <c r="L1097" s="76">
        <v>46142</v>
      </c>
      <c r="N1097" s="83"/>
      <c r="O1097" s="84"/>
      <c r="P1097" s="81"/>
      <c r="Q1097" s="81"/>
      <c r="R1097" s="81"/>
      <c r="S1097" s="81"/>
      <c r="T1097" s="85"/>
      <c r="U1097" s="81"/>
      <c r="V1097" s="81"/>
      <c r="W1097" s="123">
        <f t="shared" si="89"/>
        <v>0</v>
      </c>
      <c r="X1097" s="123" t="s">
        <v>84</v>
      </c>
      <c r="Y1097" s="114" t="s">
        <v>1128</v>
      </c>
    </row>
    <row r="1098" spans="1:25" s="24" customFormat="1" ht="11.1" customHeight="1">
      <c r="A1098" s="74">
        <f t="shared" si="91"/>
        <v>1096</v>
      </c>
      <c r="B1098" s="75" t="s">
        <v>753</v>
      </c>
      <c r="C1098" s="74" t="str">
        <f>IF($B1098&lt;&gt;"",_xlfn.IFNA(VLOOKUP($B1098,'Node Details'!$B:$U,C$1,0),"Check"),"")</f>
        <v>000000CM3-0000CM325</v>
      </c>
      <c r="D1098" s="74" t="str">
        <f>IF($B1098&lt;&gt;"",_xlfn.IFNA(VLOOKUP($B1098,'Node Details'!$B:$U,D$1,0),"Check"),"")</f>
        <v>CM3</v>
      </c>
      <c r="E1098" s="74" t="str">
        <f>IF($B1098&lt;&gt;"",_xlfn.IFNA(VLOOKUP($B1098,'Node Details'!$B:$U,E$1,0),"Check"),"")</f>
        <v>Airtel</v>
      </c>
      <c r="F1098" s="76">
        <v>46149</v>
      </c>
      <c r="G1098" s="74"/>
      <c r="H1098" s="10" t="s">
        <v>1247</v>
      </c>
      <c r="I1098" s="9">
        <v>1</v>
      </c>
      <c r="J1098" s="9">
        <v>650</v>
      </c>
      <c r="K1098" s="77">
        <f t="shared" si="90"/>
        <v>650</v>
      </c>
      <c r="L1098" s="76">
        <v>46142</v>
      </c>
      <c r="N1098" s="83"/>
      <c r="O1098" s="84"/>
      <c r="P1098" s="81"/>
      <c r="Q1098" s="81"/>
      <c r="R1098" s="81"/>
      <c r="S1098" s="81"/>
      <c r="T1098" s="85"/>
      <c r="U1098" s="81"/>
      <c r="V1098" s="81"/>
      <c r="W1098" s="123">
        <f t="shared" si="89"/>
        <v>0</v>
      </c>
      <c r="X1098" s="123" t="s">
        <v>84</v>
      </c>
      <c r="Y1098" s="114" t="s">
        <v>1128</v>
      </c>
    </row>
    <row r="1099" spans="1:25" s="24" customFormat="1" ht="11.1" customHeight="1">
      <c r="A1099" s="74">
        <f t="shared" si="91"/>
        <v>1097</v>
      </c>
      <c r="B1099" s="75" t="s">
        <v>762</v>
      </c>
      <c r="C1099" s="74" t="str">
        <f>IF($B1099&lt;&gt;"",_xlfn.IFNA(VLOOKUP($B1099,'Node Details'!$B:$U,C$1,0),"Check"),"")</f>
        <v>000000CM3-0000CM325</v>
      </c>
      <c r="D1099" s="74" t="str">
        <f>IF($B1099&lt;&gt;"",_xlfn.IFNA(VLOOKUP($B1099,'Node Details'!$B:$U,D$1,0),"Check"),"")</f>
        <v>CM3</v>
      </c>
      <c r="E1099" s="74" t="str">
        <f>IF($B1099&lt;&gt;"",_xlfn.IFNA(VLOOKUP($B1099,'Node Details'!$B:$U,E$1,0),"Check"),"")</f>
        <v>Airtel</v>
      </c>
      <c r="F1099" s="76">
        <v>46149</v>
      </c>
      <c r="G1099" s="74"/>
      <c r="H1099" s="10" t="s">
        <v>1247</v>
      </c>
      <c r="I1099" s="9">
        <v>1</v>
      </c>
      <c r="J1099" s="9">
        <v>650</v>
      </c>
      <c r="K1099" s="77">
        <f t="shared" si="90"/>
        <v>650</v>
      </c>
      <c r="L1099" s="76">
        <v>46142</v>
      </c>
      <c r="N1099" s="83"/>
      <c r="O1099" s="84"/>
      <c r="P1099" s="81"/>
      <c r="Q1099" s="81"/>
      <c r="R1099" s="81"/>
      <c r="S1099" s="81"/>
      <c r="T1099" s="85"/>
      <c r="U1099" s="81"/>
      <c r="V1099" s="81"/>
      <c r="W1099" s="123">
        <f t="shared" si="89"/>
        <v>0</v>
      </c>
      <c r="X1099" s="123" t="s">
        <v>84</v>
      </c>
      <c r="Y1099" s="114" t="s">
        <v>1128</v>
      </c>
    </row>
    <row r="1100" spans="1:25" s="24" customFormat="1" ht="11.1" customHeight="1">
      <c r="A1100" s="74">
        <f t="shared" si="91"/>
        <v>1098</v>
      </c>
      <c r="B1100" s="75" t="s">
        <v>767</v>
      </c>
      <c r="C1100" s="74" t="str">
        <f>IF($B1100&lt;&gt;"",_xlfn.IFNA(VLOOKUP($B1100,'Node Details'!$B:$U,C$1,0),"Check"),"")</f>
        <v>000000CM3-0000CM325</v>
      </c>
      <c r="D1100" s="74" t="str">
        <f>IF($B1100&lt;&gt;"",_xlfn.IFNA(VLOOKUP($B1100,'Node Details'!$B:$U,D$1,0),"Check"),"")</f>
        <v>CM3</v>
      </c>
      <c r="E1100" s="74" t="str">
        <f>IF($B1100&lt;&gt;"",_xlfn.IFNA(VLOOKUP($B1100,'Node Details'!$B:$U,E$1,0),"Check"),"")</f>
        <v>Airtel</v>
      </c>
      <c r="F1100" s="76">
        <v>46149</v>
      </c>
      <c r="G1100" s="74"/>
      <c r="H1100" s="10" t="s">
        <v>1247</v>
      </c>
      <c r="I1100" s="9">
        <v>1</v>
      </c>
      <c r="J1100" s="9">
        <v>650</v>
      </c>
      <c r="K1100" s="77">
        <f t="shared" si="90"/>
        <v>650</v>
      </c>
      <c r="L1100" s="76">
        <v>46142</v>
      </c>
      <c r="N1100" s="83"/>
      <c r="O1100" s="84"/>
      <c r="P1100" s="81"/>
      <c r="Q1100" s="81"/>
      <c r="R1100" s="81"/>
      <c r="S1100" s="81"/>
      <c r="T1100" s="85"/>
      <c r="U1100" s="81"/>
      <c r="V1100" s="81"/>
      <c r="W1100" s="123">
        <f t="shared" si="89"/>
        <v>0</v>
      </c>
      <c r="X1100" s="123" t="s">
        <v>84</v>
      </c>
      <c r="Y1100" s="114" t="s">
        <v>1128</v>
      </c>
    </row>
    <row r="1101" spans="1:25" s="24" customFormat="1" ht="11.1" customHeight="1">
      <c r="A1101" s="74">
        <f t="shared" si="91"/>
        <v>1099</v>
      </c>
      <c r="B1101" s="75" t="s">
        <v>772</v>
      </c>
      <c r="C1101" s="74" t="str">
        <f>IF($B1101&lt;&gt;"",_xlfn.IFNA(VLOOKUP($B1101,'Node Details'!$B:$U,C$1,0),"Check"),"")</f>
        <v>000000CM3-0000CM325</v>
      </c>
      <c r="D1101" s="74" t="str">
        <f>IF($B1101&lt;&gt;"",_xlfn.IFNA(VLOOKUP($B1101,'Node Details'!$B:$U,D$1,0),"Check"),"")</f>
        <v>CM3</v>
      </c>
      <c r="E1101" s="74" t="str">
        <f>IF($B1101&lt;&gt;"",_xlfn.IFNA(VLOOKUP($B1101,'Node Details'!$B:$U,E$1,0),"Check"),"")</f>
        <v>Airtel</v>
      </c>
      <c r="F1101" s="76">
        <v>46149</v>
      </c>
      <c r="G1101" s="74"/>
      <c r="H1101" s="10" t="s">
        <v>1247</v>
      </c>
      <c r="I1101" s="9">
        <v>1</v>
      </c>
      <c r="J1101" s="9">
        <v>650</v>
      </c>
      <c r="K1101" s="77">
        <f t="shared" si="90"/>
        <v>650</v>
      </c>
      <c r="L1101" s="76">
        <v>46142</v>
      </c>
      <c r="N1101" s="83"/>
      <c r="O1101" s="84"/>
      <c r="P1101" s="81"/>
      <c r="Q1101" s="81"/>
      <c r="R1101" s="81"/>
      <c r="S1101" s="81"/>
      <c r="T1101" s="85"/>
      <c r="U1101" s="81"/>
      <c r="V1101" s="81"/>
      <c r="W1101" s="123">
        <f t="shared" si="89"/>
        <v>0</v>
      </c>
      <c r="X1101" s="123" t="s">
        <v>84</v>
      </c>
      <c r="Y1101" s="114" t="s">
        <v>1128</v>
      </c>
    </row>
    <row r="1102" spans="1:25" s="24" customFormat="1" ht="11.1" customHeight="1">
      <c r="A1102" s="74">
        <f t="shared" si="91"/>
        <v>1100</v>
      </c>
      <c r="B1102" s="75" t="s">
        <v>775</v>
      </c>
      <c r="C1102" s="74" t="str">
        <f>IF($B1102&lt;&gt;"",_xlfn.IFNA(VLOOKUP($B1102,'Node Details'!$B:$U,C$1,0),"Check"),"")</f>
        <v>000000CM3-0000CM325</v>
      </c>
      <c r="D1102" s="74" t="str">
        <f>IF($B1102&lt;&gt;"",_xlfn.IFNA(VLOOKUP($B1102,'Node Details'!$B:$U,D$1,0),"Check"),"")</f>
        <v>CM3</v>
      </c>
      <c r="E1102" s="74" t="str">
        <f>IF($B1102&lt;&gt;"",_xlfn.IFNA(VLOOKUP($B1102,'Node Details'!$B:$U,E$1,0),"Check"),"")</f>
        <v>Airtel</v>
      </c>
      <c r="F1102" s="76">
        <v>46149</v>
      </c>
      <c r="G1102" s="74"/>
      <c r="H1102" s="10" t="s">
        <v>1247</v>
      </c>
      <c r="I1102" s="9">
        <v>1</v>
      </c>
      <c r="J1102" s="9">
        <v>650</v>
      </c>
      <c r="K1102" s="77">
        <f t="shared" si="90"/>
        <v>650</v>
      </c>
      <c r="L1102" s="76">
        <v>46142</v>
      </c>
      <c r="N1102" s="83"/>
      <c r="O1102" s="84"/>
      <c r="P1102" s="81"/>
      <c r="Q1102" s="81"/>
      <c r="R1102" s="81"/>
      <c r="S1102" s="81"/>
      <c r="T1102" s="85"/>
      <c r="U1102" s="81"/>
      <c r="V1102" s="81"/>
      <c r="W1102" s="123">
        <f t="shared" si="89"/>
        <v>0</v>
      </c>
      <c r="X1102" s="123" t="s">
        <v>84</v>
      </c>
      <c r="Y1102" s="114" t="s">
        <v>1128</v>
      </c>
    </row>
    <row r="1103" spans="1:25" s="24" customFormat="1" ht="11.1" customHeight="1">
      <c r="A1103" s="74">
        <f t="shared" si="91"/>
        <v>1101</v>
      </c>
      <c r="B1103" s="75" t="s">
        <v>783</v>
      </c>
      <c r="C1103" s="74" t="str">
        <f>IF($B1103&lt;&gt;"",_xlfn.IFNA(VLOOKUP($B1103,'Node Details'!$B:$U,C$1,0),"Check"),"")</f>
        <v>000000CM3-0000CM325</v>
      </c>
      <c r="D1103" s="74" t="str">
        <f>IF($B1103&lt;&gt;"",_xlfn.IFNA(VLOOKUP($B1103,'Node Details'!$B:$U,D$1,0),"Check"),"")</f>
        <v>CM3</v>
      </c>
      <c r="E1103" s="74" t="str">
        <f>IF($B1103&lt;&gt;"",_xlfn.IFNA(VLOOKUP($B1103,'Node Details'!$B:$U,E$1,0),"Check"),"")</f>
        <v>Airtel</v>
      </c>
      <c r="F1103" s="76">
        <v>46149</v>
      </c>
      <c r="G1103" s="74"/>
      <c r="H1103" s="10" t="s">
        <v>1247</v>
      </c>
      <c r="I1103" s="9">
        <v>1</v>
      </c>
      <c r="J1103" s="9">
        <v>650</v>
      </c>
      <c r="K1103" s="77">
        <f t="shared" si="90"/>
        <v>650</v>
      </c>
      <c r="L1103" s="76">
        <v>46142</v>
      </c>
      <c r="N1103" s="83"/>
      <c r="O1103" s="84"/>
      <c r="P1103" s="81"/>
      <c r="Q1103" s="81"/>
      <c r="R1103" s="81"/>
      <c r="S1103" s="81"/>
      <c r="T1103" s="85"/>
      <c r="U1103" s="81"/>
      <c r="V1103" s="81"/>
      <c r="W1103" s="123">
        <f t="shared" si="89"/>
        <v>0</v>
      </c>
      <c r="X1103" s="123" t="s">
        <v>84</v>
      </c>
      <c r="Y1103" s="114" t="s">
        <v>1128</v>
      </c>
    </row>
    <row r="1104" spans="1:25" s="24" customFormat="1" ht="11.1" customHeight="1">
      <c r="A1104" s="74">
        <f t="shared" si="91"/>
        <v>1102</v>
      </c>
      <c r="B1104" s="75" t="s">
        <v>790</v>
      </c>
      <c r="C1104" s="74" t="str">
        <f>IF($B1104&lt;&gt;"",_xlfn.IFNA(VLOOKUP($B1104,'Node Details'!$B:$U,C$1,0),"Check"),"")</f>
        <v>000000CM3-0000CM325</v>
      </c>
      <c r="D1104" s="74" t="str">
        <f>IF($B1104&lt;&gt;"",_xlfn.IFNA(VLOOKUP($B1104,'Node Details'!$B:$U,D$1,0),"Check"),"")</f>
        <v>CM3</v>
      </c>
      <c r="E1104" s="74" t="str">
        <f>IF($B1104&lt;&gt;"",_xlfn.IFNA(VLOOKUP($B1104,'Node Details'!$B:$U,E$1,0),"Check"),"")</f>
        <v>Airtel</v>
      </c>
      <c r="F1104" s="76">
        <v>46149</v>
      </c>
      <c r="G1104" s="74"/>
      <c r="H1104" s="10" t="s">
        <v>1247</v>
      </c>
      <c r="I1104" s="9">
        <v>1</v>
      </c>
      <c r="J1104" s="9">
        <v>650</v>
      </c>
      <c r="K1104" s="77">
        <f t="shared" si="90"/>
        <v>650</v>
      </c>
      <c r="L1104" s="76">
        <v>46142</v>
      </c>
      <c r="N1104" s="83"/>
      <c r="O1104" s="84"/>
      <c r="P1104" s="81"/>
      <c r="Q1104" s="81"/>
      <c r="R1104" s="81"/>
      <c r="S1104" s="81"/>
      <c r="T1104" s="85"/>
      <c r="U1104" s="81"/>
      <c r="V1104" s="81"/>
      <c r="W1104" s="123">
        <f t="shared" si="89"/>
        <v>0</v>
      </c>
      <c r="X1104" s="123" t="s">
        <v>84</v>
      </c>
      <c r="Y1104" s="114" t="s">
        <v>1128</v>
      </c>
    </row>
    <row r="1105" spans="1:25" s="24" customFormat="1" ht="11.1" customHeight="1">
      <c r="A1105" s="74">
        <f t="shared" si="91"/>
        <v>1103</v>
      </c>
      <c r="B1105" s="75" t="s">
        <v>621</v>
      </c>
      <c r="C1105" s="74" t="str">
        <f>IF($B1105&lt;&gt;"",_xlfn.IFNA(VLOOKUP($B1105,'Node Details'!$B:$U,C$1,0),"Check"),"")</f>
        <v>000000CM3-0000CM325</v>
      </c>
      <c r="D1105" s="74" t="str">
        <f>IF($B1105&lt;&gt;"",_xlfn.IFNA(VLOOKUP($B1105,'Node Details'!$B:$U,D$1,0),"Check"),"")</f>
        <v>CM3</v>
      </c>
      <c r="E1105" s="74" t="str">
        <f>IF($B1105&lt;&gt;"",_xlfn.IFNA(VLOOKUP($B1105,'Node Details'!$B:$U,E$1,0),"Check"),"")</f>
        <v>Airtel</v>
      </c>
      <c r="F1105" s="76">
        <v>46149</v>
      </c>
      <c r="G1105" s="74"/>
      <c r="H1105" s="10" t="s">
        <v>1247</v>
      </c>
      <c r="I1105" s="9">
        <v>1</v>
      </c>
      <c r="J1105" s="9">
        <v>650</v>
      </c>
      <c r="K1105" s="77">
        <f t="shared" si="90"/>
        <v>650</v>
      </c>
      <c r="L1105" s="76">
        <v>46142</v>
      </c>
      <c r="N1105" s="83"/>
      <c r="O1105" s="84"/>
      <c r="P1105" s="81"/>
      <c r="Q1105" s="81"/>
      <c r="R1105" s="81"/>
      <c r="S1105" s="81"/>
      <c r="T1105" s="85"/>
      <c r="U1105" s="81"/>
      <c r="V1105" s="81"/>
      <c r="W1105" s="123">
        <f t="shared" si="89"/>
        <v>0</v>
      </c>
      <c r="X1105" s="123" t="s">
        <v>84</v>
      </c>
      <c r="Y1105" s="114" t="s">
        <v>1128</v>
      </c>
    </row>
    <row r="1106" spans="1:25" s="24" customFormat="1" ht="11.1" customHeight="1">
      <c r="A1106" s="74">
        <f t="shared" si="91"/>
        <v>1104</v>
      </c>
      <c r="B1106" s="75" t="s">
        <v>638</v>
      </c>
      <c r="C1106" s="74" t="str">
        <f>IF($B1106&lt;&gt;"",_xlfn.IFNA(VLOOKUP($B1106,'Node Details'!$B:$U,C$1,0),"Check"),"")</f>
        <v>0000CM301-CM3010102</v>
      </c>
      <c r="D1106" s="74" t="str">
        <f>IF($B1106&lt;&gt;"",_xlfn.IFNA(VLOOKUP($B1106,'Node Details'!$B:$U,D$1,0),"Check"),"")</f>
        <v>CM3</v>
      </c>
      <c r="E1106" s="74" t="str">
        <f>IF($B1106&lt;&gt;"",_xlfn.IFNA(VLOOKUP($B1106,'Node Details'!$B:$U,E$1,0),"Check"),"")</f>
        <v>Airtel</v>
      </c>
      <c r="F1106" s="76">
        <v>46149</v>
      </c>
      <c r="G1106" s="74"/>
      <c r="H1106" s="10" t="s">
        <v>1248</v>
      </c>
      <c r="I1106" s="9">
        <v>1</v>
      </c>
      <c r="J1106" s="9">
        <v>950</v>
      </c>
      <c r="K1106" s="77">
        <f t="shared" si="90"/>
        <v>950</v>
      </c>
      <c r="L1106" s="76">
        <v>46142</v>
      </c>
      <c r="N1106" s="83"/>
      <c r="O1106" s="84"/>
      <c r="P1106" s="81"/>
      <c r="Q1106" s="81"/>
      <c r="R1106" s="81"/>
      <c r="S1106" s="81"/>
      <c r="T1106" s="85"/>
      <c r="U1106" s="81"/>
      <c r="V1106" s="81"/>
      <c r="W1106" s="123">
        <f t="shared" si="89"/>
        <v>0</v>
      </c>
      <c r="X1106" s="123" t="s">
        <v>84</v>
      </c>
      <c r="Y1106" s="114" t="s">
        <v>1128</v>
      </c>
    </row>
    <row r="1107" spans="1:25" s="24" customFormat="1" ht="11.1" customHeight="1">
      <c r="A1107" s="74">
        <f t="shared" si="91"/>
        <v>1105</v>
      </c>
      <c r="B1107" s="75" t="s">
        <v>640</v>
      </c>
      <c r="C1107" s="74" t="str">
        <f>IF($B1107&lt;&gt;"",_xlfn.IFNA(VLOOKUP($B1107,'Node Details'!$B:$U,C$1,0),"Check"),"")</f>
        <v>0000CM301-CM3010101</v>
      </c>
      <c r="D1107" s="74" t="str">
        <f>IF($B1107&lt;&gt;"",_xlfn.IFNA(VLOOKUP($B1107,'Node Details'!$B:$U,D$1,0),"Check"),"")</f>
        <v>CM3</v>
      </c>
      <c r="E1107" s="74" t="str">
        <f>IF($B1107&lt;&gt;"",_xlfn.IFNA(VLOOKUP($B1107,'Node Details'!$B:$U,E$1,0),"Check"),"")</f>
        <v>Airtel</v>
      </c>
      <c r="F1107" s="76">
        <v>46149</v>
      </c>
      <c r="G1107" s="74"/>
      <c r="H1107" s="10" t="s">
        <v>1248</v>
      </c>
      <c r="I1107" s="9">
        <v>1</v>
      </c>
      <c r="J1107" s="9">
        <v>950</v>
      </c>
      <c r="K1107" s="77">
        <f t="shared" si="90"/>
        <v>950</v>
      </c>
      <c r="L1107" s="76">
        <v>46142</v>
      </c>
      <c r="N1107" s="83"/>
      <c r="O1107" s="84"/>
      <c r="P1107" s="81"/>
      <c r="Q1107" s="81"/>
      <c r="R1107" s="81"/>
      <c r="S1107" s="81"/>
      <c r="T1107" s="85"/>
      <c r="U1107" s="81"/>
      <c r="V1107" s="81"/>
      <c r="W1107" s="123">
        <f t="shared" si="89"/>
        <v>0</v>
      </c>
      <c r="X1107" s="123" t="s">
        <v>84</v>
      </c>
      <c r="Y1107" s="114" t="s">
        <v>1128</v>
      </c>
    </row>
    <row r="1108" spans="1:25" s="24" customFormat="1" ht="11.1" customHeight="1">
      <c r="A1108" s="74">
        <f t="shared" si="91"/>
        <v>1106</v>
      </c>
      <c r="B1108" s="75" t="s">
        <v>1129</v>
      </c>
      <c r="C1108" s="74" t="str">
        <f>IF($B1108&lt;&gt;"",_xlfn.IFNA(VLOOKUP($B1108,'Node Details'!$B:$U,C$1,0),"Check"),"")</f>
        <v>0000CM301-CM3010106</v>
      </c>
      <c r="D1108" s="74" t="str">
        <f>IF($B1108&lt;&gt;"",_xlfn.IFNA(VLOOKUP($B1108,'Node Details'!$B:$U,D$1,0),"Check"),"")</f>
        <v>CM3</v>
      </c>
      <c r="E1108" s="74" t="str">
        <f>IF($B1108&lt;&gt;"",_xlfn.IFNA(VLOOKUP($B1108,'Node Details'!$B:$U,E$1,0),"Check"),"")</f>
        <v>Airtel</v>
      </c>
      <c r="F1108" s="76">
        <v>46149</v>
      </c>
      <c r="G1108" s="74"/>
      <c r="H1108" s="10" t="s">
        <v>1248</v>
      </c>
      <c r="I1108" s="9">
        <v>1</v>
      </c>
      <c r="J1108" s="9">
        <v>950</v>
      </c>
      <c r="K1108" s="77">
        <f t="shared" si="90"/>
        <v>950</v>
      </c>
      <c r="L1108" s="76">
        <v>46142</v>
      </c>
      <c r="N1108" s="83"/>
      <c r="O1108" s="84"/>
      <c r="P1108" s="81"/>
      <c r="Q1108" s="81"/>
      <c r="R1108" s="81"/>
      <c r="S1108" s="81"/>
      <c r="T1108" s="85"/>
      <c r="U1108" s="81"/>
      <c r="V1108" s="81"/>
      <c r="W1108" s="123">
        <f t="shared" si="89"/>
        <v>0</v>
      </c>
      <c r="X1108" s="123" t="s">
        <v>84</v>
      </c>
      <c r="Y1108" s="114" t="s">
        <v>1128</v>
      </c>
    </row>
    <row r="1109" spans="1:25" s="24" customFormat="1" ht="11.1" customHeight="1">
      <c r="A1109" s="74">
        <f t="shared" si="91"/>
        <v>1107</v>
      </c>
      <c r="B1109" s="75" t="s">
        <v>1130</v>
      </c>
      <c r="C1109" s="74" t="str">
        <f>IF($B1109&lt;&gt;"",_xlfn.IFNA(VLOOKUP($B1109,'Node Details'!$B:$U,C$1,0),"Check"),"")</f>
        <v>0000CM301-CM3010106</v>
      </c>
      <c r="D1109" s="74" t="str">
        <f>IF($B1109&lt;&gt;"",_xlfn.IFNA(VLOOKUP($B1109,'Node Details'!$B:$U,D$1,0),"Check"),"")</f>
        <v>CM3</v>
      </c>
      <c r="E1109" s="74" t="str">
        <f>IF($B1109&lt;&gt;"",_xlfn.IFNA(VLOOKUP($B1109,'Node Details'!$B:$U,E$1,0),"Check"),"")</f>
        <v>Airtel</v>
      </c>
      <c r="F1109" s="76">
        <v>46149</v>
      </c>
      <c r="G1109" s="74"/>
      <c r="H1109" s="10" t="s">
        <v>1248</v>
      </c>
      <c r="I1109" s="9">
        <v>1</v>
      </c>
      <c r="J1109" s="9">
        <v>950</v>
      </c>
      <c r="K1109" s="77">
        <f t="shared" si="90"/>
        <v>950</v>
      </c>
      <c r="L1109" s="76">
        <v>46142</v>
      </c>
      <c r="N1109" s="83"/>
      <c r="O1109" s="84"/>
      <c r="P1109" s="81"/>
      <c r="Q1109" s="81"/>
      <c r="R1109" s="81"/>
      <c r="S1109" s="81"/>
      <c r="T1109" s="85"/>
      <c r="U1109" s="81"/>
      <c r="V1109" s="81"/>
      <c r="W1109" s="123">
        <f t="shared" si="89"/>
        <v>0</v>
      </c>
      <c r="X1109" s="123" t="s">
        <v>84</v>
      </c>
      <c r="Y1109" s="114" t="s">
        <v>1128</v>
      </c>
    </row>
    <row r="1110" spans="1:25" s="24" customFormat="1" ht="11.1" customHeight="1">
      <c r="A1110" s="74">
        <f t="shared" si="91"/>
        <v>1108</v>
      </c>
      <c r="B1110" s="75" t="s">
        <v>1131</v>
      </c>
      <c r="C1110" s="74" t="str">
        <f>IF($B1110&lt;&gt;"",_xlfn.IFNA(VLOOKUP($B1110,'Node Details'!$B:$U,C$1,0),"Check"),"")</f>
        <v>0000CM301-CM3010106</v>
      </c>
      <c r="D1110" s="74" t="str">
        <f>IF($B1110&lt;&gt;"",_xlfn.IFNA(VLOOKUP($B1110,'Node Details'!$B:$U,D$1,0),"Check"),"")</f>
        <v>CM3</v>
      </c>
      <c r="E1110" s="74" t="str">
        <f>IF($B1110&lt;&gt;"",_xlfn.IFNA(VLOOKUP($B1110,'Node Details'!$B:$U,E$1,0),"Check"),"")</f>
        <v>Airtel</v>
      </c>
      <c r="F1110" s="76">
        <v>46149</v>
      </c>
      <c r="G1110" s="74"/>
      <c r="H1110" s="10" t="s">
        <v>1248</v>
      </c>
      <c r="I1110" s="9">
        <v>1</v>
      </c>
      <c r="J1110" s="9">
        <v>950</v>
      </c>
      <c r="K1110" s="77">
        <f t="shared" si="90"/>
        <v>950</v>
      </c>
      <c r="L1110" s="76">
        <v>46142</v>
      </c>
      <c r="N1110" s="83"/>
      <c r="O1110" s="84"/>
      <c r="P1110" s="81"/>
      <c r="Q1110" s="81"/>
      <c r="R1110" s="81"/>
      <c r="S1110" s="81"/>
      <c r="T1110" s="85"/>
      <c r="U1110" s="81"/>
      <c r="V1110" s="81"/>
      <c r="W1110" s="123">
        <f t="shared" si="89"/>
        <v>0</v>
      </c>
      <c r="X1110" s="123" t="s">
        <v>84</v>
      </c>
      <c r="Y1110" s="114" t="s">
        <v>1128</v>
      </c>
    </row>
    <row r="1111" spans="1:25" s="24" customFormat="1" ht="11.1" customHeight="1">
      <c r="A1111" s="74">
        <f t="shared" si="91"/>
        <v>1109</v>
      </c>
      <c r="B1111" s="75" t="s">
        <v>642</v>
      </c>
      <c r="C1111" s="74" t="str">
        <f>IF($B1111&lt;&gt;"",_xlfn.IFNA(VLOOKUP($B1111,'Node Details'!$B:$U,C$1,0),"Check"),"")</f>
        <v>0000CM301-CM3010106</v>
      </c>
      <c r="D1111" s="74" t="str">
        <f>IF($B1111&lt;&gt;"",_xlfn.IFNA(VLOOKUP($B1111,'Node Details'!$B:$U,D$1,0),"Check"),"")</f>
        <v>CM3</v>
      </c>
      <c r="E1111" s="74" t="str">
        <f>IF($B1111&lt;&gt;"",_xlfn.IFNA(VLOOKUP($B1111,'Node Details'!$B:$U,E$1,0),"Check"),"")</f>
        <v>Airtel</v>
      </c>
      <c r="F1111" s="76">
        <v>46149</v>
      </c>
      <c r="G1111" s="74"/>
      <c r="H1111" s="10" t="s">
        <v>1248</v>
      </c>
      <c r="I1111" s="9">
        <v>1</v>
      </c>
      <c r="J1111" s="9">
        <v>950</v>
      </c>
      <c r="K1111" s="77">
        <f t="shared" si="90"/>
        <v>950</v>
      </c>
      <c r="L1111" s="76">
        <v>46142</v>
      </c>
      <c r="N1111" s="83"/>
      <c r="O1111" s="84"/>
      <c r="P1111" s="81"/>
      <c r="Q1111" s="81"/>
      <c r="R1111" s="81"/>
      <c r="S1111" s="81"/>
      <c r="T1111" s="85"/>
      <c r="U1111" s="81"/>
      <c r="V1111" s="81"/>
      <c r="W1111" s="123">
        <f t="shared" si="89"/>
        <v>0</v>
      </c>
      <c r="X1111" s="123" t="s">
        <v>84</v>
      </c>
      <c r="Y1111" s="114" t="s">
        <v>1128</v>
      </c>
    </row>
    <row r="1112" spans="1:25" s="24" customFormat="1" ht="11.1" customHeight="1">
      <c r="A1112" s="74">
        <f t="shared" si="91"/>
        <v>1110</v>
      </c>
      <c r="B1112" s="75" t="s">
        <v>645</v>
      </c>
      <c r="C1112" s="74" t="str">
        <f>IF($B1112&lt;&gt;"",_xlfn.IFNA(VLOOKUP($B1112,'Node Details'!$B:$U,C$1,0),"Check"),"")</f>
        <v>0000CM302-CM3020101</v>
      </c>
      <c r="D1112" s="74" t="str">
        <f>IF($B1112&lt;&gt;"",_xlfn.IFNA(VLOOKUP($B1112,'Node Details'!$B:$U,D$1,0),"Check"),"")</f>
        <v>CM3</v>
      </c>
      <c r="E1112" s="74" t="str">
        <f>IF($B1112&lt;&gt;"",_xlfn.IFNA(VLOOKUP($B1112,'Node Details'!$B:$U,E$1,0),"Check"),"")</f>
        <v>Airtel</v>
      </c>
      <c r="F1112" s="76">
        <v>46149</v>
      </c>
      <c r="G1112" s="74"/>
      <c r="H1112" s="10" t="s">
        <v>1248</v>
      </c>
      <c r="I1112" s="9">
        <v>1</v>
      </c>
      <c r="J1112" s="9">
        <v>950</v>
      </c>
      <c r="K1112" s="77">
        <f t="shared" si="90"/>
        <v>950</v>
      </c>
      <c r="L1112" s="76">
        <v>46142</v>
      </c>
      <c r="N1112" s="83"/>
      <c r="O1112" s="84"/>
      <c r="P1112" s="81"/>
      <c r="Q1112" s="81"/>
      <c r="R1112" s="81"/>
      <c r="S1112" s="81"/>
      <c r="T1112" s="85"/>
      <c r="U1112" s="81"/>
      <c r="V1112" s="81"/>
      <c r="W1112" s="123">
        <f t="shared" si="89"/>
        <v>0</v>
      </c>
      <c r="X1112" s="123" t="s">
        <v>84</v>
      </c>
      <c r="Y1112" s="114" t="s">
        <v>1128</v>
      </c>
    </row>
    <row r="1113" spans="1:25" s="24" customFormat="1" ht="11.1" customHeight="1">
      <c r="A1113" s="74">
        <f t="shared" si="91"/>
        <v>1111</v>
      </c>
      <c r="B1113" s="75" t="s">
        <v>1132</v>
      </c>
      <c r="C1113" s="74" t="str">
        <f>IF($B1113&lt;&gt;"",_xlfn.IFNA(VLOOKUP($B1113,'Node Details'!$B:$U,C$1,0),"Check"),"")</f>
        <v>0000CM302-CM3020104</v>
      </c>
      <c r="D1113" s="74" t="str">
        <f>IF($B1113&lt;&gt;"",_xlfn.IFNA(VLOOKUP($B1113,'Node Details'!$B:$U,D$1,0),"Check"),"")</f>
        <v>CM3</v>
      </c>
      <c r="E1113" s="74" t="str">
        <f>IF($B1113&lt;&gt;"",_xlfn.IFNA(VLOOKUP($B1113,'Node Details'!$B:$U,E$1,0),"Check"),"")</f>
        <v>Airtel</v>
      </c>
      <c r="F1113" s="76">
        <v>46149</v>
      </c>
      <c r="G1113" s="74"/>
      <c r="H1113" s="10" t="s">
        <v>1248</v>
      </c>
      <c r="I1113" s="9">
        <v>1</v>
      </c>
      <c r="J1113" s="9">
        <v>950</v>
      </c>
      <c r="K1113" s="77">
        <f t="shared" si="90"/>
        <v>950</v>
      </c>
      <c r="L1113" s="76">
        <v>46142</v>
      </c>
      <c r="N1113" s="83"/>
      <c r="O1113" s="84"/>
      <c r="P1113" s="81"/>
      <c r="Q1113" s="81"/>
      <c r="R1113" s="81"/>
      <c r="S1113" s="81"/>
      <c r="T1113" s="85"/>
      <c r="U1113" s="81"/>
      <c r="V1113" s="81"/>
      <c r="W1113" s="123">
        <f t="shared" si="89"/>
        <v>0</v>
      </c>
      <c r="X1113" s="123" t="s">
        <v>84</v>
      </c>
      <c r="Y1113" s="114" t="s">
        <v>1128</v>
      </c>
    </row>
    <row r="1114" spans="1:25" s="24" customFormat="1" ht="11.1" customHeight="1">
      <c r="A1114" s="74">
        <f t="shared" si="91"/>
        <v>1112</v>
      </c>
      <c r="B1114" s="75" t="s">
        <v>1133</v>
      </c>
      <c r="C1114" s="74" t="str">
        <f>IF($B1114&lt;&gt;"",_xlfn.IFNA(VLOOKUP($B1114,'Node Details'!$B:$U,C$1,0),"Check"),"")</f>
        <v>0000CM302-CM3020104</v>
      </c>
      <c r="D1114" s="74" t="str">
        <f>IF($B1114&lt;&gt;"",_xlfn.IFNA(VLOOKUP($B1114,'Node Details'!$B:$U,D$1,0),"Check"),"")</f>
        <v>CM3</v>
      </c>
      <c r="E1114" s="74" t="str">
        <f>IF($B1114&lt;&gt;"",_xlfn.IFNA(VLOOKUP($B1114,'Node Details'!$B:$U,E$1,0),"Check"),"")</f>
        <v>Airtel</v>
      </c>
      <c r="F1114" s="76">
        <v>46149</v>
      </c>
      <c r="G1114" s="74"/>
      <c r="H1114" s="10" t="s">
        <v>1248</v>
      </c>
      <c r="I1114" s="9">
        <v>1</v>
      </c>
      <c r="J1114" s="9">
        <v>950</v>
      </c>
      <c r="K1114" s="77">
        <f t="shared" si="90"/>
        <v>950</v>
      </c>
      <c r="L1114" s="76">
        <v>46142</v>
      </c>
      <c r="N1114" s="83"/>
      <c r="O1114" s="84"/>
      <c r="P1114" s="81"/>
      <c r="Q1114" s="81"/>
      <c r="R1114" s="81"/>
      <c r="S1114" s="81"/>
      <c r="T1114" s="85"/>
      <c r="U1114" s="81"/>
      <c r="V1114" s="81"/>
      <c r="W1114" s="123">
        <f t="shared" si="89"/>
        <v>0</v>
      </c>
      <c r="X1114" s="123" t="s">
        <v>84</v>
      </c>
      <c r="Y1114" s="114" t="s">
        <v>1128</v>
      </c>
    </row>
    <row r="1115" spans="1:25" s="24" customFormat="1" ht="11.1" customHeight="1">
      <c r="A1115" s="74">
        <f t="shared" si="91"/>
        <v>1113</v>
      </c>
      <c r="B1115" s="75" t="s">
        <v>647</v>
      </c>
      <c r="C1115" s="74" t="str">
        <f>IF($B1115&lt;&gt;"",_xlfn.IFNA(VLOOKUP($B1115,'Node Details'!$B:$U,C$1,0),"Check"),"")</f>
        <v>0000CM302-CM3020104</v>
      </c>
      <c r="D1115" s="74" t="str">
        <f>IF($B1115&lt;&gt;"",_xlfn.IFNA(VLOOKUP($B1115,'Node Details'!$B:$U,D$1,0),"Check"),"")</f>
        <v>CM3</v>
      </c>
      <c r="E1115" s="74" t="str">
        <f>IF($B1115&lt;&gt;"",_xlfn.IFNA(VLOOKUP($B1115,'Node Details'!$B:$U,E$1,0),"Check"),"")</f>
        <v>Airtel</v>
      </c>
      <c r="F1115" s="76">
        <v>46149</v>
      </c>
      <c r="G1115" s="74"/>
      <c r="H1115" s="10" t="s">
        <v>1248</v>
      </c>
      <c r="I1115" s="9">
        <v>1</v>
      </c>
      <c r="J1115" s="9">
        <v>950</v>
      </c>
      <c r="K1115" s="77">
        <f t="shared" si="90"/>
        <v>950</v>
      </c>
      <c r="L1115" s="76">
        <v>46142</v>
      </c>
      <c r="N1115" s="83"/>
      <c r="O1115" s="84"/>
      <c r="P1115" s="81"/>
      <c r="Q1115" s="81"/>
      <c r="R1115" s="81"/>
      <c r="S1115" s="81"/>
      <c r="T1115" s="85"/>
      <c r="U1115" s="81"/>
      <c r="V1115" s="81"/>
      <c r="W1115" s="123">
        <f t="shared" si="89"/>
        <v>0</v>
      </c>
      <c r="X1115" s="123" t="s">
        <v>84</v>
      </c>
      <c r="Y1115" s="114" t="s">
        <v>1128</v>
      </c>
    </row>
    <row r="1116" spans="1:25" s="24" customFormat="1" ht="11.1" customHeight="1">
      <c r="A1116" s="74">
        <f t="shared" si="91"/>
        <v>1114</v>
      </c>
      <c r="B1116" s="75" t="s">
        <v>650</v>
      </c>
      <c r="C1116" s="74" t="str">
        <f>IF($B1116&lt;&gt;"",_xlfn.IFNA(VLOOKUP($B1116,'Node Details'!$B:$U,C$1,0),"Check"),"")</f>
        <v>0000CM303-CM3030105</v>
      </c>
      <c r="D1116" s="74" t="str">
        <f>IF($B1116&lt;&gt;"",_xlfn.IFNA(VLOOKUP($B1116,'Node Details'!$B:$U,D$1,0),"Check"),"")</f>
        <v>CM3</v>
      </c>
      <c r="E1116" s="74" t="str">
        <f>IF($B1116&lt;&gt;"",_xlfn.IFNA(VLOOKUP($B1116,'Node Details'!$B:$U,E$1,0),"Check"),"")</f>
        <v>Airtel</v>
      </c>
      <c r="F1116" s="76">
        <v>46149</v>
      </c>
      <c r="G1116" s="74"/>
      <c r="H1116" s="10" t="s">
        <v>1248</v>
      </c>
      <c r="I1116" s="9">
        <v>1</v>
      </c>
      <c r="J1116" s="9">
        <v>950</v>
      </c>
      <c r="K1116" s="77">
        <f t="shared" si="90"/>
        <v>950</v>
      </c>
      <c r="L1116" s="76">
        <v>46142</v>
      </c>
      <c r="N1116" s="83"/>
      <c r="O1116" s="84"/>
      <c r="P1116" s="81"/>
      <c r="Q1116" s="81"/>
      <c r="R1116" s="81"/>
      <c r="S1116" s="81"/>
      <c r="T1116" s="85"/>
      <c r="U1116" s="81"/>
      <c r="V1116" s="81"/>
      <c r="W1116" s="123">
        <f t="shared" si="89"/>
        <v>0</v>
      </c>
      <c r="X1116" s="123" t="s">
        <v>84</v>
      </c>
      <c r="Y1116" s="114" t="s">
        <v>1128</v>
      </c>
    </row>
    <row r="1117" spans="1:25" s="24" customFormat="1" ht="11.1" customHeight="1">
      <c r="A1117" s="74">
        <f t="shared" si="91"/>
        <v>1115</v>
      </c>
      <c r="B1117" s="75" t="s">
        <v>1134</v>
      </c>
      <c r="C1117" s="74" t="str">
        <f>IF($B1117&lt;&gt;"",_xlfn.IFNA(VLOOKUP($B1117,'Node Details'!$B:$U,C$1,0),"Check"),"")</f>
        <v>0000CM303-CM3030102</v>
      </c>
      <c r="D1117" s="74" t="str">
        <f>IF($B1117&lt;&gt;"",_xlfn.IFNA(VLOOKUP($B1117,'Node Details'!$B:$U,D$1,0),"Check"),"")</f>
        <v>CM3</v>
      </c>
      <c r="E1117" s="74" t="str">
        <f>IF($B1117&lt;&gt;"",_xlfn.IFNA(VLOOKUP($B1117,'Node Details'!$B:$U,E$1,0),"Check"),"")</f>
        <v>Airtel</v>
      </c>
      <c r="F1117" s="76">
        <v>46149</v>
      </c>
      <c r="G1117" s="74"/>
      <c r="H1117" s="10" t="s">
        <v>1248</v>
      </c>
      <c r="I1117" s="9">
        <v>1</v>
      </c>
      <c r="J1117" s="9">
        <v>950</v>
      </c>
      <c r="K1117" s="77">
        <f t="shared" si="90"/>
        <v>950</v>
      </c>
      <c r="L1117" s="76">
        <v>46142</v>
      </c>
      <c r="N1117" s="83"/>
      <c r="O1117" s="84"/>
      <c r="P1117" s="81"/>
      <c r="Q1117" s="81"/>
      <c r="R1117" s="81"/>
      <c r="S1117" s="81"/>
      <c r="T1117" s="85"/>
      <c r="U1117" s="81"/>
      <c r="V1117" s="81"/>
      <c r="W1117" s="123">
        <f t="shared" si="89"/>
        <v>0</v>
      </c>
      <c r="X1117" s="123" t="s">
        <v>84</v>
      </c>
      <c r="Y1117" s="114" t="s">
        <v>1128</v>
      </c>
    </row>
    <row r="1118" spans="1:25" s="24" customFormat="1" ht="11.1" customHeight="1">
      <c r="A1118" s="74">
        <f t="shared" si="91"/>
        <v>1116</v>
      </c>
      <c r="B1118" s="75" t="s">
        <v>652</v>
      </c>
      <c r="C1118" s="74" t="str">
        <f>IF($B1118&lt;&gt;"",_xlfn.IFNA(VLOOKUP($B1118,'Node Details'!$B:$U,C$1,0),"Check"),"")</f>
        <v>0000CM303-CM3030102</v>
      </c>
      <c r="D1118" s="74" t="str">
        <f>IF($B1118&lt;&gt;"",_xlfn.IFNA(VLOOKUP($B1118,'Node Details'!$B:$U,D$1,0),"Check"),"")</f>
        <v>CM3</v>
      </c>
      <c r="E1118" s="74" t="str">
        <f>IF($B1118&lt;&gt;"",_xlfn.IFNA(VLOOKUP($B1118,'Node Details'!$B:$U,E$1,0),"Check"),"")</f>
        <v>Airtel</v>
      </c>
      <c r="F1118" s="76">
        <v>46149</v>
      </c>
      <c r="G1118" s="74"/>
      <c r="H1118" s="10" t="s">
        <v>1248</v>
      </c>
      <c r="I1118" s="9">
        <v>1</v>
      </c>
      <c r="J1118" s="9">
        <v>950</v>
      </c>
      <c r="K1118" s="77">
        <f t="shared" si="90"/>
        <v>950</v>
      </c>
      <c r="L1118" s="76">
        <v>46142</v>
      </c>
      <c r="N1118" s="83"/>
      <c r="O1118" s="84"/>
      <c r="P1118" s="81"/>
      <c r="Q1118" s="81"/>
      <c r="R1118" s="81"/>
      <c r="S1118" s="81"/>
      <c r="T1118" s="85"/>
      <c r="U1118" s="81"/>
      <c r="V1118" s="81"/>
      <c r="W1118" s="123">
        <f t="shared" si="89"/>
        <v>0</v>
      </c>
      <c r="X1118" s="123" t="s">
        <v>84</v>
      </c>
      <c r="Y1118" s="114" t="s">
        <v>1128</v>
      </c>
    </row>
    <row r="1119" spans="1:25" s="24" customFormat="1" ht="11.1" customHeight="1">
      <c r="A1119" s="74">
        <f t="shared" si="91"/>
        <v>1117</v>
      </c>
      <c r="B1119" s="75" t="s">
        <v>654</v>
      </c>
      <c r="C1119" s="74" t="str">
        <f>IF($B1119&lt;&gt;"",_xlfn.IFNA(VLOOKUP($B1119,'Node Details'!$B:$U,C$1,0),"Check"),"")</f>
        <v>0000CM303-CM3030103</v>
      </c>
      <c r="D1119" s="74" t="str">
        <f>IF($B1119&lt;&gt;"",_xlfn.IFNA(VLOOKUP($B1119,'Node Details'!$B:$U,D$1,0),"Check"),"")</f>
        <v>CM3</v>
      </c>
      <c r="E1119" s="74" t="str">
        <f>IF($B1119&lt;&gt;"",_xlfn.IFNA(VLOOKUP($B1119,'Node Details'!$B:$U,E$1,0),"Check"),"")</f>
        <v>Airtel</v>
      </c>
      <c r="F1119" s="76">
        <v>46149</v>
      </c>
      <c r="G1119" s="74"/>
      <c r="H1119" s="10" t="s">
        <v>1248</v>
      </c>
      <c r="I1119" s="9">
        <v>1</v>
      </c>
      <c r="J1119" s="9">
        <v>950</v>
      </c>
      <c r="K1119" s="77">
        <f t="shared" si="90"/>
        <v>950</v>
      </c>
      <c r="L1119" s="76">
        <v>46142</v>
      </c>
      <c r="N1119" s="83"/>
      <c r="O1119" s="84"/>
      <c r="P1119" s="81"/>
      <c r="Q1119" s="81"/>
      <c r="R1119" s="81"/>
      <c r="S1119" s="81"/>
      <c r="T1119" s="85"/>
      <c r="U1119" s="81"/>
      <c r="V1119" s="81"/>
      <c r="W1119" s="123">
        <f t="shared" si="89"/>
        <v>0</v>
      </c>
      <c r="X1119" s="123" t="s">
        <v>84</v>
      </c>
      <c r="Y1119" s="114" t="s">
        <v>1128</v>
      </c>
    </row>
    <row r="1120" spans="1:25" s="24" customFormat="1" ht="11.1" customHeight="1">
      <c r="A1120" s="74">
        <f t="shared" si="91"/>
        <v>1118</v>
      </c>
      <c r="B1120" s="75" t="s">
        <v>1135</v>
      </c>
      <c r="C1120" s="74" t="str">
        <f>IF($B1120&lt;&gt;"",_xlfn.IFNA(VLOOKUP($B1120,'Node Details'!$B:$U,C$1,0),"Check"),"")</f>
        <v>0000CM303-CM3030108</v>
      </c>
      <c r="D1120" s="74" t="str">
        <f>IF($B1120&lt;&gt;"",_xlfn.IFNA(VLOOKUP($B1120,'Node Details'!$B:$U,D$1,0),"Check"),"")</f>
        <v>CM3</v>
      </c>
      <c r="E1120" s="74" t="str">
        <f>IF($B1120&lt;&gt;"",_xlfn.IFNA(VLOOKUP($B1120,'Node Details'!$B:$U,E$1,0),"Check"),"")</f>
        <v>Airtel</v>
      </c>
      <c r="F1120" s="76">
        <v>46149</v>
      </c>
      <c r="G1120" s="74"/>
      <c r="H1120" s="10" t="s">
        <v>1248</v>
      </c>
      <c r="I1120" s="9">
        <v>1</v>
      </c>
      <c r="J1120" s="9">
        <v>950</v>
      </c>
      <c r="K1120" s="77">
        <f t="shared" si="90"/>
        <v>950</v>
      </c>
      <c r="L1120" s="76">
        <v>46142</v>
      </c>
      <c r="N1120" s="83"/>
      <c r="O1120" s="84"/>
      <c r="P1120" s="81"/>
      <c r="Q1120" s="81"/>
      <c r="R1120" s="81"/>
      <c r="S1120" s="81"/>
      <c r="T1120" s="85"/>
      <c r="U1120" s="81"/>
      <c r="V1120" s="81"/>
      <c r="W1120" s="123">
        <f t="shared" si="89"/>
        <v>0</v>
      </c>
      <c r="X1120" s="123" t="s">
        <v>84</v>
      </c>
      <c r="Y1120" s="114" t="s">
        <v>1128</v>
      </c>
    </row>
    <row r="1121" spans="1:25" s="24" customFormat="1" ht="11.1" customHeight="1">
      <c r="A1121" s="74">
        <f t="shared" si="91"/>
        <v>1119</v>
      </c>
      <c r="B1121" s="75" t="s">
        <v>1136</v>
      </c>
      <c r="C1121" s="74" t="str">
        <f>IF($B1121&lt;&gt;"",_xlfn.IFNA(VLOOKUP($B1121,'Node Details'!$B:$U,C$1,0),"Check"),"")</f>
        <v>0000CM303-CM3030108</v>
      </c>
      <c r="D1121" s="74" t="str">
        <f>IF($B1121&lt;&gt;"",_xlfn.IFNA(VLOOKUP($B1121,'Node Details'!$B:$U,D$1,0),"Check"),"")</f>
        <v>CM3</v>
      </c>
      <c r="E1121" s="74" t="str">
        <f>IF($B1121&lt;&gt;"",_xlfn.IFNA(VLOOKUP($B1121,'Node Details'!$B:$U,E$1,0),"Check"),"")</f>
        <v>Airtel</v>
      </c>
      <c r="F1121" s="76">
        <v>46149</v>
      </c>
      <c r="G1121" s="74"/>
      <c r="H1121" s="10" t="s">
        <v>1248</v>
      </c>
      <c r="I1121" s="9">
        <v>1</v>
      </c>
      <c r="J1121" s="9">
        <v>950</v>
      </c>
      <c r="K1121" s="77">
        <f t="shared" si="90"/>
        <v>950</v>
      </c>
      <c r="L1121" s="76">
        <v>46142</v>
      </c>
      <c r="N1121" s="83"/>
      <c r="O1121" s="84"/>
      <c r="P1121" s="81"/>
      <c r="Q1121" s="81"/>
      <c r="R1121" s="81"/>
      <c r="S1121" s="81"/>
      <c r="T1121" s="85"/>
      <c r="U1121" s="81"/>
      <c r="V1121" s="81"/>
      <c r="W1121" s="123">
        <f t="shared" si="89"/>
        <v>0</v>
      </c>
      <c r="X1121" s="123" t="s">
        <v>84</v>
      </c>
      <c r="Y1121" s="114" t="s">
        <v>1128</v>
      </c>
    </row>
    <row r="1122" spans="1:25" s="24" customFormat="1" ht="11.1" customHeight="1">
      <c r="A1122" s="74">
        <f t="shared" si="91"/>
        <v>1120</v>
      </c>
      <c r="B1122" s="75" t="s">
        <v>656</v>
      </c>
      <c r="C1122" s="74" t="str">
        <f>IF($B1122&lt;&gt;"",_xlfn.IFNA(VLOOKUP($B1122,'Node Details'!$B:$U,C$1,0),"Check"),"")</f>
        <v>0000CM303-CM3030108</v>
      </c>
      <c r="D1122" s="74" t="str">
        <f>IF($B1122&lt;&gt;"",_xlfn.IFNA(VLOOKUP($B1122,'Node Details'!$B:$U,D$1,0),"Check"),"")</f>
        <v>CM3</v>
      </c>
      <c r="E1122" s="74" t="str">
        <f>IF($B1122&lt;&gt;"",_xlfn.IFNA(VLOOKUP($B1122,'Node Details'!$B:$U,E$1,0),"Check"),"")</f>
        <v>Airtel</v>
      </c>
      <c r="F1122" s="76">
        <v>46149</v>
      </c>
      <c r="G1122" s="74"/>
      <c r="H1122" s="10" t="s">
        <v>1248</v>
      </c>
      <c r="I1122" s="9">
        <v>1</v>
      </c>
      <c r="J1122" s="9">
        <v>950</v>
      </c>
      <c r="K1122" s="77">
        <f t="shared" si="90"/>
        <v>950</v>
      </c>
      <c r="L1122" s="76">
        <v>46142</v>
      </c>
      <c r="N1122" s="83"/>
      <c r="O1122" s="84"/>
      <c r="P1122" s="81"/>
      <c r="Q1122" s="81"/>
      <c r="R1122" s="81"/>
      <c r="S1122" s="81"/>
      <c r="T1122" s="85"/>
      <c r="U1122" s="81"/>
      <c r="V1122" s="81"/>
      <c r="W1122" s="123">
        <f t="shared" si="89"/>
        <v>0</v>
      </c>
      <c r="X1122" s="123" t="s">
        <v>84</v>
      </c>
      <c r="Y1122" s="114" t="s">
        <v>1128</v>
      </c>
    </row>
    <row r="1123" spans="1:25" s="24" customFormat="1" ht="11.1" customHeight="1">
      <c r="A1123" s="74">
        <f t="shared" si="91"/>
        <v>1121</v>
      </c>
      <c r="B1123" s="75" t="s">
        <v>658</v>
      </c>
      <c r="C1123" s="74" t="str">
        <f>IF($B1123&lt;&gt;"",_xlfn.IFNA(VLOOKUP($B1123,'Node Details'!$B:$U,C$1,0),"Check"),"")</f>
        <v>0000CM304-CM3040101</v>
      </c>
      <c r="D1123" s="74" t="str">
        <f>IF($B1123&lt;&gt;"",_xlfn.IFNA(VLOOKUP($B1123,'Node Details'!$B:$U,D$1,0),"Check"),"")</f>
        <v>CM3</v>
      </c>
      <c r="E1123" s="74" t="str">
        <f>IF($B1123&lt;&gt;"",_xlfn.IFNA(VLOOKUP($B1123,'Node Details'!$B:$U,E$1,0),"Check"),"")</f>
        <v>Airtel</v>
      </c>
      <c r="F1123" s="76">
        <v>46149</v>
      </c>
      <c r="G1123" s="74"/>
      <c r="H1123" s="10" t="s">
        <v>1248</v>
      </c>
      <c r="I1123" s="9">
        <v>1</v>
      </c>
      <c r="J1123" s="9">
        <v>950</v>
      </c>
      <c r="K1123" s="77">
        <f t="shared" si="90"/>
        <v>950</v>
      </c>
      <c r="L1123" s="76">
        <v>46142</v>
      </c>
      <c r="N1123" s="83"/>
      <c r="O1123" s="84"/>
      <c r="P1123" s="81"/>
      <c r="Q1123" s="81"/>
      <c r="R1123" s="81"/>
      <c r="S1123" s="81"/>
      <c r="T1123" s="85"/>
      <c r="U1123" s="81"/>
      <c r="V1123" s="81"/>
      <c r="W1123" s="123">
        <f t="shared" si="89"/>
        <v>0</v>
      </c>
      <c r="X1123" s="123" t="s">
        <v>84</v>
      </c>
      <c r="Y1123" s="114" t="s">
        <v>1128</v>
      </c>
    </row>
    <row r="1124" spans="1:25" s="24" customFormat="1" ht="11.1" customHeight="1">
      <c r="A1124" s="74">
        <f t="shared" si="91"/>
        <v>1122</v>
      </c>
      <c r="B1124" s="75" t="s">
        <v>1137</v>
      </c>
      <c r="C1124" s="74" t="str">
        <f>IF($B1124&lt;&gt;"",_xlfn.IFNA(VLOOKUP($B1124,'Node Details'!$B:$U,C$1,0),"Check"),"")</f>
        <v>0000CM304-CM3040104</v>
      </c>
      <c r="D1124" s="74" t="str">
        <f>IF($B1124&lt;&gt;"",_xlfn.IFNA(VLOOKUP($B1124,'Node Details'!$B:$U,D$1,0),"Check"),"")</f>
        <v>CM3</v>
      </c>
      <c r="E1124" s="74" t="str">
        <f>IF($B1124&lt;&gt;"",_xlfn.IFNA(VLOOKUP($B1124,'Node Details'!$B:$U,E$1,0),"Check"),"")</f>
        <v>Airtel</v>
      </c>
      <c r="F1124" s="76">
        <v>46149</v>
      </c>
      <c r="G1124" s="74"/>
      <c r="H1124" s="10" t="s">
        <v>1248</v>
      </c>
      <c r="I1124" s="9">
        <v>1</v>
      </c>
      <c r="J1124" s="9">
        <v>950</v>
      </c>
      <c r="K1124" s="77">
        <f t="shared" si="90"/>
        <v>950</v>
      </c>
      <c r="L1124" s="76">
        <v>46142</v>
      </c>
      <c r="N1124" s="83"/>
      <c r="O1124" s="84"/>
      <c r="P1124" s="81"/>
      <c r="Q1124" s="81"/>
      <c r="R1124" s="81"/>
      <c r="S1124" s="81"/>
      <c r="T1124" s="85"/>
      <c r="U1124" s="81"/>
      <c r="V1124" s="81"/>
      <c r="W1124" s="123">
        <f t="shared" si="89"/>
        <v>0</v>
      </c>
      <c r="X1124" s="123" t="s">
        <v>84</v>
      </c>
      <c r="Y1124" s="114" t="s">
        <v>1128</v>
      </c>
    </row>
    <row r="1125" spans="1:25" s="24" customFormat="1" ht="11.1" customHeight="1">
      <c r="A1125" s="74">
        <f t="shared" si="91"/>
        <v>1123</v>
      </c>
      <c r="B1125" s="75" t="s">
        <v>1138</v>
      </c>
      <c r="C1125" s="74" t="str">
        <f>IF($B1125&lt;&gt;"",_xlfn.IFNA(VLOOKUP($B1125,'Node Details'!$B:$U,C$1,0),"Check"),"")</f>
        <v>0000CM304-CM3040104</v>
      </c>
      <c r="D1125" s="74" t="str">
        <f>IF($B1125&lt;&gt;"",_xlfn.IFNA(VLOOKUP($B1125,'Node Details'!$B:$U,D$1,0),"Check"),"")</f>
        <v>CM3</v>
      </c>
      <c r="E1125" s="74" t="str">
        <f>IF($B1125&lt;&gt;"",_xlfn.IFNA(VLOOKUP($B1125,'Node Details'!$B:$U,E$1,0),"Check"),"")</f>
        <v>Airtel</v>
      </c>
      <c r="F1125" s="76">
        <v>46149</v>
      </c>
      <c r="G1125" s="74"/>
      <c r="H1125" s="10" t="s">
        <v>1248</v>
      </c>
      <c r="I1125" s="9">
        <v>1</v>
      </c>
      <c r="J1125" s="9">
        <v>950</v>
      </c>
      <c r="K1125" s="77">
        <f t="shared" si="90"/>
        <v>950</v>
      </c>
      <c r="L1125" s="76">
        <v>46142</v>
      </c>
      <c r="N1125" s="83"/>
      <c r="O1125" s="84"/>
      <c r="P1125" s="81"/>
      <c r="Q1125" s="81"/>
      <c r="R1125" s="81"/>
      <c r="S1125" s="81"/>
      <c r="T1125" s="85"/>
      <c r="U1125" s="81"/>
      <c r="V1125" s="81"/>
      <c r="W1125" s="123">
        <f t="shared" si="89"/>
        <v>0</v>
      </c>
      <c r="X1125" s="123" t="s">
        <v>84</v>
      </c>
      <c r="Y1125" s="114" t="s">
        <v>1128</v>
      </c>
    </row>
    <row r="1126" spans="1:25" s="24" customFormat="1" ht="11.1" customHeight="1">
      <c r="A1126" s="74">
        <f t="shared" si="91"/>
        <v>1124</v>
      </c>
      <c r="B1126" s="75" t="s">
        <v>660</v>
      </c>
      <c r="C1126" s="74" t="str">
        <f>IF($B1126&lt;&gt;"",_xlfn.IFNA(VLOOKUP($B1126,'Node Details'!$B:$U,C$1,0),"Check"),"")</f>
        <v>0000CM304-CM3040104</v>
      </c>
      <c r="D1126" s="74" t="str">
        <f>IF($B1126&lt;&gt;"",_xlfn.IFNA(VLOOKUP($B1126,'Node Details'!$B:$U,D$1,0),"Check"),"")</f>
        <v>CM3</v>
      </c>
      <c r="E1126" s="74" t="str">
        <f>IF($B1126&lt;&gt;"",_xlfn.IFNA(VLOOKUP($B1126,'Node Details'!$B:$U,E$1,0),"Check"),"")</f>
        <v>Airtel</v>
      </c>
      <c r="F1126" s="76">
        <v>46149</v>
      </c>
      <c r="G1126" s="74"/>
      <c r="H1126" s="10" t="s">
        <v>1248</v>
      </c>
      <c r="I1126" s="9">
        <v>1</v>
      </c>
      <c r="J1126" s="9">
        <v>950</v>
      </c>
      <c r="K1126" s="77">
        <f t="shared" si="90"/>
        <v>950</v>
      </c>
      <c r="L1126" s="76">
        <v>46142</v>
      </c>
      <c r="N1126" s="83"/>
      <c r="O1126" s="84"/>
      <c r="P1126" s="81"/>
      <c r="Q1126" s="81"/>
      <c r="R1126" s="81"/>
      <c r="S1126" s="81"/>
      <c r="T1126" s="85"/>
      <c r="U1126" s="81"/>
      <c r="V1126" s="81"/>
      <c r="W1126" s="123">
        <f t="shared" si="89"/>
        <v>0</v>
      </c>
      <c r="X1126" s="123" t="s">
        <v>84</v>
      </c>
      <c r="Y1126" s="114" t="s">
        <v>1128</v>
      </c>
    </row>
    <row r="1127" spans="1:25" s="24" customFormat="1" ht="11.1" customHeight="1">
      <c r="A1127" s="74">
        <f t="shared" si="91"/>
        <v>1125</v>
      </c>
      <c r="B1127" s="75" t="s">
        <v>1139</v>
      </c>
      <c r="C1127" s="74" t="str">
        <f>IF($B1127&lt;&gt;"",_xlfn.IFNA(VLOOKUP($B1127,'Node Details'!$B:$U,C$1,0),"Check"),"")</f>
        <v>0000CM304-CM3040108</v>
      </c>
      <c r="D1127" s="74" t="str">
        <f>IF($B1127&lt;&gt;"",_xlfn.IFNA(VLOOKUP($B1127,'Node Details'!$B:$U,D$1,0),"Check"),"")</f>
        <v>CM3</v>
      </c>
      <c r="E1127" s="74" t="str">
        <f>IF($B1127&lt;&gt;"",_xlfn.IFNA(VLOOKUP($B1127,'Node Details'!$B:$U,E$1,0),"Check"),"")</f>
        <v>Airtel</v>
      </c>
      <c r="F1127" s="76">
        <v>46149</v>
      </c>
      <c r="G1127" s="74"/>
      <c r="H1127" s="10" t="s">
        <v>1248</v>
      </c>
      <c r="I1127" s="9">
        <v>1</v>
      </c>
      <c r="J1127" s="9">
        <v>950</v>
      </c>
      <c r="K1127" s="77">
        <f t="shared" si="90"/>
        <v>950</v>
      </c>
      <c r="L1127" s="76">
        <v>46142</v>
      </c>
      <c r="N1127" s="83"/>
      <c r="O1127" s="84"/>
      <c r="P1127" s="81"/>
      <c r="Q1127" s="81"/>
      <c r="R1127" s="81"/>
      <c r="S1127" s="81"/>
      <c r="T1127" s="85"/>
      <c r="U1127" s="81"/>
      <c r="V1127" s="81"/>
      <c r="W1127" s="123">
        <f t="shared" si="89"/>
        <v>0</v>
      </c>
      <c r="X1127" s="123" t="s">
        <v>84</v>
      </c>
      <c r="Y1127" s="114" t="s">
        <v>1128</v>
      </c>
    </row>
    <row r="1128" spans="1:25" s="24" customFormat="1" ht="11.1" customHeight="1">
      <c r="A1128" s="74">
        <f t="shared" si="91"/>
        <v>1126</v>
      </c>
      <c r="B1128" s="75" t="s">
        <v>1140</v>
      </c>
      <c r="C1128" s="74" t="str">
        <f>IF($B1128&lt;&gt;"",_xlfn.IFNA(VLOOKUP($B1128,'Node Details'!$B:$U,C$1,0),"Check"),"")</f>
        <v>0000CM304-CM3040108</v>
      </c>
      <c r="D1128" s="74" t="str">
        <f>IF($B1128&lt;&gt;"",_xlfn.IFNA(VLOOKUP($B1128,'Node Details'!$B:$U,D$1,0),"Check"),"")</f>
        <v>CM3</v>
      </c>
      <c r="E1128" s="74" t="str">
        <f>IF($B1128&lt;&gt;"",_xlfn.IFNA(VLOOKUP($B1128,'Node Details'!$B:$U,E$1,0),"Check"),"")</f>
        <v>Airtel</v>
      </c>
      <c r="F1128" s="76">
        <v>46149</v>
      </c>
      <c r="G1128" s="74"/>
      <c r="H1128" s="10" t="s">
        <v>1248</v>
      </c>
      <c r="I1128" s="9">
        <v>1</v>
      </c>
      <c r="J1128" s="9">
        <v>950</v>
      </c>
      <c r="K1128" s="77">
        <f t="shared" si="90"/>
        <v>950</v>
      </c>
      <c r="L1128" s="76">
        <v>46142</v>
      </c>
      <c r="N1128" s="83"/>
      <c r="O1128" s="84"/>
      <c r="P1128" s="81"/>
      <c r="Q1128" s="81"/>
      <c r="R1128" s="81"/>
      <c r="S1128" s="81"/>
      <c r="T1128" s="85"/>
      <c r="U1128" s="81"/>
      <c r="V1128" s="81"/>
      <c r="W1128" s="123">
        <f t="shared" si="89"/>
        <v>0</v>
      </c>
      <c r="X1128" s="123" t="s">
        <v>84</v>
      </c>
      <c r="Y1128" s="114" t="s">
        <v>1128</v>
      </c>
    </row>
    <row r="1129" spans="1:25" s="24" customFormat="1" ht="11.1" customHeight="1">
      <c r="A1129" s="74">
        <f t="shared" si="91"/>
        <v>1127</v>
      </c>
      <c r="B1129" s="75" t="s">
        <v>662</v>
      </c>
      <c r="C1129" s="74" t="str">
        <f>IF($B1129&lt;&gt;"",_xlfn.IFNA(VLOOKUP($B1129,'Node Details'!$B:$U,C$1,0),"Check"),"")</f>
        <v>0000CM304-CM3040108</v>
      </c>
      <c r="D1129" s="74" t="str">
        <f>IF($B1129&lt;&gt;"",_xlfn.IFNA(VLOOKUP($B1129,'Node Details'!$B:$U,D$1,0),"Check"),"")</f>
        <v>CM3</v>
      </c>
      <c r="E1129" s="74" t="str">
        <f>IF($B1129&lt;&gt;"",_xlfn.IFNA(VLOOKUP($B1129,'Node Details'!$B:$U,E$1,0),"Check"),"")</f>
        <v>Airtel</v>
      </c>
      <c r="F1129" s="76">
        <v>46149</v>
      </c>
      <c r="G1129" s="74"/>
      <c r="H1129" s="10" t="s">
        <v>1248</v>
      </c>
      <c r="I1129" s="9">
        <v>1</v>
      </c>
      <c r="J1129" s="9">
        <v>950</v>
      </c>
      <c r="K1129" s="77">
        <f t="shared" si="90"/>
        <v>950</v>
      </c>
      <c r="L1129" s="76">
        <v>46142</v>
      </c>
      <c r="N1129" s="83"/>
      <c r="O1129" s="84"/>
      <c r="P1129" s="81"/>
      <c r="Q1129" s="81"/>
      <c r="R1129" s="81"/>
      <c r="S1129" s="81"/>
      <c r="T1129" s="85"/>
      <c r="U1129" s="81"/>
      <c r="V1129" s="81"/>
      <c r="W1129" s="123">
        <f t="shared" si="89"/>
        <v>0</v>
      </c>
      <c r="X1129" s="123" t="s">
        <v>84</v>
      </c>
      <c r="Y1129" s="114" t="s">
        <v>1128</v>
      </c>
    </row>
    <row r="1130" spans="1:25" s="24" customFormat="1" ht="11.1" customHeight="1">
      <c r="A1130" s="74">
        <f t="shared" si="91"/>
        <v>1128</v>
      </c>
      <c r="B1130" s="75" t="s">
        <v>664</v>
      </c>
      <c r="C1130" s="74" t="str">
        <f>IF($B1130&lt;&gt;"",_xlfn.IFNA(VLOOKUP($B1130,'Node Details'!$B:$U,C$1,0),"Check"),"")</f>
        <v>0000CM305-CM3050102</v>
      </c>
      <c r="D1130" s="74" t="str">
        <f>IF($B1130&lt;&gt;"",_xlfn.IFNA(VLOOKUP($B1130,'Node Details'!$B:$U,D$1,0),"Check"),"")</f>
        <v>CM3</v>
      </c>
      <c r="E1130" s="74" t="str">
        <f>IF($B1130&lt;&gt;"",_xlfn.IFNA(VLOOKUP($B1130,'Node Details'!$B:$U,E$1,0),"Check"),"")</f>
        <v>Airtel</v>
      </c>
      <c r="F1130" s="76">
        <v>46149</v>
      </c>
      <c r="G1130" s="74"/>
      <c r="H1130" s="10" t="s">
        <v>1248</v>
      </c>
      <c r="I1130" s="9">
        <v>1</v>
      </c>
      <c r="J1130" s="9">
        <v>950</v>
      </c>
      <c r="K1130" s="77">
        <f t="shared" si="90"/>
        <v>950</v>
      </c>
      <c r="L1130" s="76">
        <v>46142</v>
      </c>
      <c r="N1130" s="83"/>
      <c r="O1130" s="84"/>
      <c r="P1130" s="81"/>
      <c r="Q1130" s="81"/>
      <c r="R1130" s="81"/>
      <c r="S1130" s="81"/>
      <c r="T1130" s="85"/>
      <c r="U1130" s="81"/>
      <c r="V1130" s="81"/>
      <c r="W1130" s="123">
        <f t="shared" si="89"/>
        <v>0</v>
      </c>
      <c r="X1130" s="123" t="s">
        <v>84</v>
      </c>
      <c r="Y1130" s="114" t="s">
        <v>1128</v>
      </c>
    </row>
    <row r="1131" spans="1:25" s="24" customFormat="1" ht="11.1" customHeight="1">
      <c r="A1131" s="74">
        <f t="shared" si="91"/>
        <v>1129</v>
      </c>
      <c r="B1131" s="75" t="s">
        <v>1141</v>
      </c>
      <c r="C1131" s="74" t="str">
        <f>IF($B1131&lt;&gt;"",_xlfn.IFNA(VLOOKUP($B1131,'Node Details'!$B:$U,C$1,0),"Check"),"")</f>
        <v>0000CM305-CM3050104</v>
      </c>
      <c r="D1131" s="74" t="str">
        <f>IF($B1131&lt;&gt;"",_xlfn.IFNA(VLOOKUP($B1131,'Node Details'!$B:$U,D$1,0),"Check"),"")</f>
        <v>CM3</v>
      </c>
      <c r="E1131" s="74" t="str">
        <f>IF($B1131&lt;&gt;"",_xlfn.IFNA(VLOOKUP($B1131,'Node Details'!$B:$U,E$1,0),"Check"),"")</f>
        <v>Airtel</v>
      </c>
      <c r="F1131" s="76">
        <v>46149</v>
      </c>
      <c r="G1131" s="74"/>
      <c r="H1131" s="10" t="s">
        <v>1248</v>
      </c>
      <c r="I1131" s="9">
        <v>1</v>
      </c>
      <c r="J1131" s="9">
        <v>950</v>
      </c>
      <c r="K1131" s="77">
        <f t="shared" si="90"/>
        <v>950</v>
      </c>
      <c r="L1131" s="76">
        <v>46142</v>
      </c>
      <c r="N1131" s="83"/>
      <c r="O1131" s="84"/>
      <c r="P1131" s="81"/>
      <c r="Q1131" s="81"/>
      <c r="R1131" s="81"/>
      <c r="S1131" s="81"/>
      <c r="T1131" s="85"/>
      <c r="U1131" s="81"/>
      <c r="V1131" s="81"/>
      <c r="W1131" s="123">
        <f t="shared" si="89"/>
        <v>0</v>
      </c>
      <c r="X1131" s="123" t="s">
        <v>84</v>
      </c>
      <c r="Y1131" s="114" t="s">
        <v>1128</v>
      </c>
    </row>
    <row r="1132" spans="1:25" s="24" customFormat="1" ht="11.1" customHeight="1">
      <c r="A1132" s="74">
        <f t="shared" si="91"/>
        <v>1130</v>
      </c>
      <c r="B1132" s="75" t="s">
        <v>666</v>
      </c>
      <c r="C1132" s="74" t="str">
        <f>IF($B1132&lt;&gt;"",_xlfn.IFNA(VLOOKUP($B1132,'Node Details'!$B:$U,C$1,0),"Check"),"")</f>
        <v>0000CM305-CM3050104</v>
      </c>
      <c r="D1132" s="74" t="str">
        <f>IF($B1132&lt;&gt;"",_xlfn.IFNA(VLOOKUP($B1132,'Node Details'!$B:$U,D$1,0),"Check"),"")</f>
        <v>CM3</v>
      </c>
      <c r="E1132" s="74" t="str">
        <f>IF($B1132&lt;&gt;"",_xlfn.IFNA(VLOOKUP($B1132,'Node Details'!$B:$U,E$1,0),"Check"),"")</f>
        <v>Airtel</v>
      </c>
      <c r="F1132" s="76">
        <v>46149</v>
      </c>
      <c r="G1132" s="74"/>
      <c r="H1132" s="10" t="s">
        <v>1248</v>
      </c>
      <c r="I1132" s="9">
        <v>1</v>
      </c>
      <c r="J1132" s="9">
        <v>950</v>
      </c>
      <c r="K1132" s="77">
        <f t="shared" si="90"/>
        <v>950</v>
      </c>
      <c r="L1132" s="76">
        <v>46142</v>
      </c>
      <c r="N1132" s="83"/>
      <c r="O1132" s="84"/>
      <c r="P1132" s="81"/>
      <c r="Q1132" s="81"/>
      <c r="R1132" s="81"/>
      <c r="S1132" s="81"/>
      <c r="T1132" s="85"/>
      <c r="U1132" s="81"/>
      <c r="V1132" s="81"/>
      <c r="W1132" s="123">
        <f t="shared" si="89"/>
        <v>0</v>
      </c>
      <c r="X1132" s="123" t="s">
        <v>84</v>
      </c>
      <c r="Y1132" s="114" t="s">
        <v>1128</v>
      </c>
    </row>
    <row r="1133" spans="1:25" s="24" customFormat="1" ht="11.1" customHeight="1">
      <c r="A1133" s="74">
        <f t="shared" si="91"/>
        <v>1131</v>
      </c>
      <c r="B1133" s="75" t="s">
        <v>668</v>
      </c>
      <c r="C1133" s="74" t="str">
        <f>IF($B1133&lt;&gt;"",_xlfn.IFNA(VLOOKUP($B1133,'Node Details'!$B:$U,C$1,0),"Check"),"")</f>
        <v>0000CM306-CM3060106</v>
      </c>
      <c r="D1133" s="74" t="str">
        <f>IF($B1133&lt;&gt;"",_xlfn.IFNA(VLOOKUP($B1133,'Node Details'!$B:$U,D$1,0),"Check"),"")</f>
        <v>CM3</v>
      </c>
      <c r="E1133" s="74" t="str">
        <f>IF($B1133&lt;&gt;"",_xlfn.IFNA(VLOOKUP($B1133,'Node Details'!$B:$U,E$1,0),"Check"),"")</f>
        <v>Airtel</v>
      </c>
      <c r="F1133" s="76">
        <v>46149</v>
      </c>
      <c r="G1133" s="74"/>
      <c r="H1133" s="10" t="s">
        <v>1248</v>
      </c>
      <c r="I1133" s="9">
        <v>1</v>
      </c>
      <c r="J1133" s="9">
        <v>950</v>
      </c>
      <c r="K1133" s="77">
        <f t="shared" si="90"/>
        <v>950</v>
      </c>
      <c r="L1133" s="76">
        <v>46142</v>
      </c>
      <c r="N1133" s="83"/>
      <c r="O1133" s="84"/>
      <c r="P1133" s="81"/>
      <c r="Q1133" s="81"/>
      <c r="R1133" s="81"/>
      <c r="S1133" s="81"/>
      <c r="T1133" s="85"/>
      <c r="U1133" s="81"/>
      <c r="V1133" s="81"/>
      <c r="W1133" s="123">
        <f t="shared" si="89"/>
        <v>0</v>
      </c>
      <c r="X1133" s="123" t="s">
        <v>84</v>
      </c>
      <c r="Y1133" s="114" t="s">
        <v>1128</v>
      </c>
    </row>
    <row r="1134" spans="1:25" s="24" customFormat="1" ht="11.1" customHeight="1">
      <c r="A1134" s="74">
        <f t="shared" si="91"/>
        <v>1132</v>
      </c>
      <c r="B1134" s="75" t="s">
        <v>1142</v>
      </c>
      <c r="C1134" s="74" t="str">
        <f>IF($B1134&lt;&gt;"",_xlfn.IFNA(VLOOKUP($B1134,'Node Details'!$B:$U,C$1,0),"Check"),"")</f>
        <v>0000CM606-CM3060108</v>
      </c>
      <c r="D1134" s="74" t="str">
        <f>IF($B1134&lt;&gt;"",_xlfn.IFNA(VLOOKUP($B1134,'Node Details'!$B:$U,D$1,0),"Check"),"")</f>
        <v>CM3</v>
      </c>
      <c r="E1134" s="74" t="str">
        <f>IF($B1134&lt;&gt;"",_xlfn.IFNA(VLOOKUP($B1134,'Node Details'!$B:$U,E$1,0),"Check"),"")</f>
        <v>Airtel</v>
      </c>
      <c r="F1134" s="76">
        <v>46149</v>
      </c>
      <c r="G1134" s="74"/>
      <c r="H1134" s="10" t="s">
        <v>1248</v>
      </c>
      <c r="I1134" s="9">
        <v>1</v>
      </c>
      <c r="J1134" s="9">
        <v>950</v>
      </c>
      <c r="K1134" s="77">
        <f t="shared" si="90"/>
        <v>950</v>
      </c>
      <c r="L1134" s="76">
        <v>46142</v>
      </c>
      <c r="N1134" s="83"/>
      <c r="O1134" s="84"/>
      <c r="P1134" s="81"/>
      <c r="Q1134" s="81"/>
      <c r="R1134" s="81"/>
      <c r="S1134" s="81"/>
      <c r="T1134" s="85"/>
      <c r="U1134" s="81"/>
      <c r="V1134" s="81"/>
      <c r="W1134" s="123">
        <f t="shared" si="89"/>
        <v>0</v>
      </c>
      <c r="X1134" s="123" t="s">
        <v>84</v>
      </c>
      <c r="Y1134" s="114" t="s">
        <v>1128</v>
      </c>
    </row>
    <row r="1135" spans="1:25" s="24" customFormat="1" ht="11.1" customHeight="1">
      <c r="A1135" s="74">
        <f t="shared" si="91"/>
        <v>1133</v>
      </c>
      <c r="B1135" s="75" t="s">
        <v>671</v>
      </c>
      <c r="C1135" s="74" t="str">
        <f>IF($B1135&lt;&gt;"",_xlfn.IFNA(VLOOKUP($B1135,'Node Details'!$B:$U,C$1,0),"Check"),"")</f>
        <v>0000CM606-CM3060108</v>
      </c>
      <c r="D1135" s="74" t="str">
        <f>IF($B1135&lt;&gt;"",_xlfn.IFNA(VLOOKUP($B1135,'Node Details'!$B:$U,D$1,0),"Check"),"")</f>
        <v>CM3</v>
      </c>
      <c r="E1135" s="74" t="str">
        <f>IF($B1135&lt;&gt;"",_xlfn.IFNA(VLOOKUP($B1135,'Node Details'!$B:$U,E$1,0),"Check"),"")</f>
        <v>Airtel</v>
      </c>
      <c r="F1135" s="76">
        <v>46149</v>
      </c>
      <c r="G1135" s="74"/>
      <c r="H1135" s="10" t="s">
        <v>1248</v>
      </c>
      <c r="I1135" s="9">
        <v>1</v>
      </c>
      <c r="J1135" s="9">
        <v>950</v>
      </c>
      <c r="K1135" s="77">
        <f t="shared" si="90"/>
        <v>950</v>
      </c>
      <c r="L1135" s="76">
        <v>46142</v>
      </c>
      <c r="N1135" s="83"/>
      <c r="O1135" s="84"/>
      <c r="P1135" s="81"/>
      <c r="Q1135" s="81"/>
      <c r="R1135" s="81"/>
      <c r="S1135" s="81"/>
      <c r="T1135" s="85"/>
      <c r="U1135" s="81"/>
      <c r="V1135" s="81"/>
      <c r="W1135" s="123">
        <f t="shared" si="89"/>
        <v>0</v>
      </c>
      <c r="X1135" s="123" t="s">
        <v>84</v>
      </c>
      <c r="Y1135" s="114" t="s">
        <v>1128</v>
      </c>
    </row>
    <row r="1136" spans="1:25" s="24" customFormat="1" ht="11.1" customHeight="1">
      <c r="A1136" s="74">
        <f t="shared" si="91"/>
        <v>1134</v>
      </c>
      <c r="B1136" s="75" t="s">
        <v>1143</v>
      </c>
      <c r="C1136" s="74" t="str">
        <f>IF($B1136&lt;&gt;"",_xlfn.IFNA(VLOOKUP($B1136,'Node Details'!$B:$U,C$1,0),"Check"),"")</f>
        <v>0000CM306-CM3060104</v>
      </c>
      <c r="D1136" s="74" t="str">
        <f>IF($B1136&lt;&gt;"",_xlfn.IFNA(VLOOKUP($B1136,'Node Details'!$B:$U,D$1,0),"Check"),"")</f>
        <v>CM3</v>
      </c>
      <c r="E1136" s="74" t="str">
        <f>IF($B1136&lt;&gt;"",_xlfn.IFNA(VLOOKUP($B1136,'Node Details'!$B:$U,E$1,0),"Check"),"")</f>
        <v>Airtel</v>
      </c>
      <c r="F1136" s="76">
        <v>46149</v>
      </c>
      <c r="G1136" s="74"/>
      <c r="H1136" s="10" t="s">
        <v>1248</v>
      </c>
      <c r="I1136" s="9">
        <v>1</v>
      </c>
      <c r="J1136" s="9">
        <v>950</v>
      </c>
      <c r="K1136" s="77">
        <f t="shared" si="90"/>
        <v>950</v>
      </c>
      <c r="L1136" s="76">
        <v>46142</v>
      </c>
      <c r="N1136" s="83"/>
      <c r="O1136" s="84"/>
      <c r="P1136" s="81"/>
      <c r="Q1136" s="81"/>
      <c r="R1136" s="81"/>
      <c r="S1136" s="81"/>
      <c r="T1136" s="85"/>
      <c r="U1136" s="81"/>
      <c r="V1136" s="81"/>
      <c r="W1136" s="123">
        <f t="shared" si="89"/>
        <v>0</v>
      </c>
      <c r="X1136" s="123" t="s">
        <v>84</v>
      </c>
      <c r="Y1136" s="114" t="s">
        <v>1128</v>
      </c>
    </row>
    <row r="1137" spans="1:25" s="24" customFormat="1" ht="11.1" customHeight="1">
      <c r="A1137" s="74">
        <f t="shared" si="91"/>
        <v>1135</v>
      </c>
      <c r="B1137" s="75" t="s">
        <v>1144</v>
      </c>
      <c r="C1137" s="74" t="str">
        <f>IF($B1137&lt;&gt;"",_xlfn.IFNA(VLOOKUP($B1137,'Node Details'!$B:$U,C$1,0),"Check"),"")</f>
        <v>0000CM306-CM3060104</v>
      </c>
      <c r="D1137" s="74" t="str">
        <f>IF($B1137&lt;&gt;"",_xlfn.IFNA(VLOOKUP($B1137,'Node Details'!$B:$U,D$1,0),"Check"),"")</f>
        <v>CM3</v>
      </c>
      <c r="E1137" s="74" t="str">
        <f>IF($B1137&lt;&gt;"",_xlfn.IFNA(VLOOKUP($B1137,'Node Details'!$B:$U,E$1,0),"Check"),"")</f>
        <v>Airtel</v>
      </c>
      <c r="F1137" s="76">
        <v>46149</v>
      </c>
      <c r="G1137" s="74"/>
      <c r="H1137" s="10" t="s">
        <v>1248</v>
      </c>
      <c r="I1137" s="9">
        <v>1</v>
      </c>
      <c r="J1137" s="9">
        <v>950</v>
      </c>
      <c r="K1137" s="77">
        <f t="shared" si="90"/>
        <v>950</v>
      </c>
      <c r="L1137" s="76">
        <v>46142</v>
      </c>
      <c r="N1137" s="83"/>
      <c r="O1137" s="84"/>
      <c r="P1137" s="81"/>
      <c r="Q1137" s="81"/>
      <c r="R1137" s="81"/>
      <c r="S1137" s="81"/>
      <c r="T1137" s="85"/>
      <c r="U1137" s="81"/>
      <c r="V1137" s="81"/>
      <c r="W1137" s="123">
        <f t="shared" si="89"/>
        <v>0</v>
      </c>
      <c r="X1137" s="123" t="s">
        <v>84</v>
      </c>
      <c r="Y1137" s="114" t="s">
        <v>1128</v>
      </c>
    </row>
    <row r="1138" spans="1:25" s="24" customFormat="1" ht="11.1" customHeight="1">
      <c r="A1138" s="74">
        <f t="shared" si="91"/>
        <v>1136</v>
      </c>
      <c r="B1138" s="75" t="s">
        <v>1145</v>
      </c>
      <c r="C1138" s="74" t="str">
        <f>IF($B1138&lt;&gt;"",_xlfn.IFNA(VLOOKUP($B1138,'Node Details'!$B:$U,C$1,0),"Check"),"")</f>
        <v>0000CM306-CM3060104</v>
      </c>
      <c r="D1138" s="74" t="str">
        <f>IF($B1138&lt;&gt;"",_xlfn.IFNA(VLOOKUP($B1138,'Node Details'!$B:$U,D$1,0),"Check"),"")</f>
        <v>CM3</v>
      </c>
      <c r="E1138" s="74" t="str">
        <f>IF($B1138&lt;&gt;"",_xlfn.IFNA(VLOOKUP($B1138,'Node Details'!$B:$U,E$1,0),"Check"),"")</f>
        <v>Airtel</v>
      </c>
      <c r="F1138" s="76">
        <v>46149</v>
      </c>
      <c r="G1138" s="74"/>
      <c r="H1138" s="10" t="s">
        <v>1248</v>
      </c>
      <c r="I1138" s="9">
        <v>1</v>
      </c>
      <c r="J1138" s="9">
        <v>950</v>
      </c>
      <c r="K1138" s="77">
        <f t="shared" si="90"/>
        <v>950</v>
      </c>
      <c r="L1138" s="76">
        <v>46142</v>
      </c>
      <c r="N1138" s="83"/>
      <c r="O1138" s="84"/>
      <c r="P1138" s="81"/>
      <c r="Q1138" s="81"/>
      <c r="R1138" s="81"/>
      <c r="S1138" s="81"/>
      <c r="T1138" s="85"/>
      <c r="U1138" s="81"/>
      <c r="V1138" s="81"/>
      <c r="W1138" s="123">
        <f t="shared" si="89"/>
        <v>0</v>
      </c>
      <c r="X1138" s="123" t="s">
        <v>84</v>
      </c>
      <c r="Y1138" s="114" t="s">
        <v>1128</v>
      </c>
    </row>
    <row r="1139" spans="1:25" s="24" customFormat="1" ht="11.1" customHeight="1">
      <c r="A1139" s="74">
        <f t="shared" si="91"/>
        <v>1137</v>
      </c>
      <c r="B1139" s="75" t="s">
        <v>673</v>
      </c>
      <c r="C1139" s="74" t="str">
        <f>IF($B1139&lt;&gt;"",_xlfn.IFNA(VLOOKUP($B1139,'Node Details'!$B:$U,C$1,0),"Check"),"")</f>
        <v>0000CM306-CM3060104</v>
      </c>
      <c r="D1139" s="74" t="str">
        <f>IF($B1139&lt;&gt;"",_xlfn.IFNA(VLOOKUP($B1139,'Node Details'!$B:$U,D$1,0),"Check"),"")</f>
        <v>CM3</v>
      </c>
      <c r="E1139" s="74" t="str">
        <f>IF($B1139&lt;&gt;"",_xlfn.IFNA(VLOOKUP($B1139,'Node Details'!$B:$U,E$1,0),"Check"),"")</f>
        <v>Airtel</v>
      </c>
      <c r="F1139" s="76">
        <v>46149</v>
      </c>
      <c r="G1139" s="74"/>
      <c r="H1139" s="10" t="s">
        <v>1248</v>
      </c>
      <c r="I1139" s="9">
        <v>1</v>
      </c>
      <c r="J1139" s="9">
        <v>950</v>
      </c>
      <c r="K1139" s="77">
        <f t="shared" si="90"/>
        <v>950</v>
      </c>
      <c r="L1139" s="76">
        <v>46142</v>
      </c>
      <c r="N1139" s="83"/>
      <c r="O1139" s="84"/>
      <c r="P1139" s="81"/>
      <c r="Q1139" s="81"/>
      <c r="R1139" s="81"/>
      <c r="S1139" s="81"/>
      <c r="T1139" s="85"/>
      <c r="U1139" s="81"/>
      <c r="V1139" s="81"/>
      <c r="W1139" s="123">
        <f t="shared" si="89"/>
        <v>0</v>
      </c>
      <c r="X1139" s="123" t="s">
        <v>84</v>
      </c>
      <c r="Y1139" s="114" t="s">
        <v>1128</v>
      </c>
    </row>
    <row r="1140" spans="1:25" s="24" customFormat="1" ht="11.1" customHeight="1">
      <c r="A1140" s="74">
        <f t="shared" si="91"/>
        <v>1138</v>
      </c>
      <c r="B1140" s="75" t="s">
        <v>1146</v>
      </c>
      <c r="C1140" s="74" t="str">
        <f>IF($B1140&lt;&gt;"",_xlfn.IFNA(VLOOKUP($B1140,'Node Details'!$B:$U,C$1,0),"Check"),"")</f>
        <v>0000CM307-CM3070103</v>
      </c>
      <c r="D1140" s="74" t="str">
        <f>IF($B1140&lt;&gt;"",_xlfn.IFNA(VLOOKUP($B1140,'Node Details'!$B:$U,D$1,0),"Check"),"")</f>
        <v>CM3</v>
      </c>
      <c r="E1140" s="74" t="str">
        <f>IF($B1140&lt;&gt;"",_xlfn.IFNA(VLOOKUP($B1140,'Node Details'!$B:$U,E$1,0),"Check"),"")</f>
        <v>Airtel</v>
      </c>
      <c r="F1140" s="76">
        <v>46149</v>
      </c>
      <c r="G1140" s="74"/>
      <c r="H1140" s="10" t="s">
        <v>1248</v>
      </c>
      <c r="I1140" s="9">
        <v>1</v>
      </c>
      <c r="J1140" s="9">
        <v>950</v>
      </c>
      <c r="K1140" s="77">
        <f t="shared" si="90"/>
        <v>950</v>
      </c>
      <c r="L1140" s="76">
        <v>46142</v>
      </c>
      <c r="N1140" s="83"/>
      <c r="O1140" s="84"/>
      <c r="P1140" s="81"/>
      <c r="Q1140" s="81"/>
      <c r="R1140" s="81"/>
      <c r="S1140" s="81"/>
      <c r="T1140" s="85"/>
      <c r="U1140" s="81"/>
      <c r="V1140" s="81"/>
      <c r="W1140" s="123">
        <f t="shared" si="89"/>
        <v>0</v>
      </c>
      <c r="X1140" s="123" t="s">
        <v>84</v>
      </c>
      <c r="Y1140" s="114" t="s">
        <v>1128</v>
      </c>
    </row>
    <row r="1141" spans="1:25" s="24" customFormat="1" ht="11.1" customHeight="1">
      <c r="A1141" s="74">
        <f t="shared" si="91"/>
        <v>1139</v>
      </c>
      <c r="B1141" s="75" t="s">
        <v>1147</v>
      </c>
      <c r="C1141" s="74" t="str">
        <f>IF($B1141&lt;&gt;"",_xlfn.IFNA(VLOOKUP($B1141,'Node Details'!$B:$U,C$1,0),"Check"),"")</f>
        <v>0000CM307-CM3070103</v>
      </c>
      <c r="D1141" s="74" t="str">
        <f>IF($B1141&lt;&gt;"",_xlfn.IFNA(VLOOKUP($B1141,'Node Details'!$B:$U,D$1,0),"Check"),"")</f>
        <v>CM3</v>
      </c>
      <c r="E1141" s="74" t="str">
        <f>IF($B1141&lt;&gt;"",_xlfn.IFNA(VLOOKUP($B1141,'Node Details'!$B:$U,E$1,0),"Check"),"")</f>
        <v>Airtel</v>
      </c>
      <c r="F1141" s="76">
        <v>46149</v>
      </c>
      <c r="G1141" s="74"/>
      <c r="H1141" s="10" t="s">
        <v>1248</v>
      </c>
      <c r="I1141" s="9">
        <v>1</v>
      </c>
      <c r="J1141" s="9">
        <v>950</v>
      </c>
      <c r="K1141" s="77">
        <f t="shared" si="90"/>
        <v>950</v>
      </c>
      <c r="L1141" s="76">
        <v>46142</v>
      </c>
      <c r="N1141" s="83"/>
      <c r="O1141" s="84"/>
      <c r="P1141" s="81"/>
      <c r="Q1141" s="81"/>
      <c r="R1141" s="81"/>
      <c r="S1141" s="81"/>
      <c r="T1141" s="85"/>
      <c r="U1141" s="81"/>
      <c r="V1141" s="81"/>
      <c r="W1141" s="123">
        <f t="shared" si="89"/>
        <v>0</v>
      </c>
      <c r="X1141" s="123" t="s">
        <v>84</v>
      </c>
      <c r="Y1141" s="114" t="s">
        <v>1128</v>
      </c>
    </row>
    <row r="1142" spans="1:25" s="24" customFormat="1" ht="11.1" customHeight="1">
      <c r="A1142" s="74">
        <f t="shared" si="91"/>
        <v>1140</v>
      </c>
      <c r="B1142" t="s">
        <v>675</v>
      </c>
      <c r="C1142" s="74" t="str">
        <f>IF($B1142&lt;&gt;"",_xlfn.IFNA(VLOOKUP($B1142,'Node Details'!$B:$U,C$1,0),"Check"),"")</f>
        <v>0000CM307-CM3070103</v>
      </c>
      <c r="D1142" s="74" t="str">
        <f>IF($B1142&lt;&gt;"",_xlfn.IFNA(VLOOKUP($B1142,'Node Details'!$B:$U,D$1,0),"Check"),"")</f>
        <v>CM3</v>
      </c>
      <c r="E1142" s="74" t="str">
        <f>IF($B1142&lt;&gt;"",_xlfn.IFNA(VLOOKUP($B1142,'Node Details'!$B:$U,E$1,0),"Check"),"")</f>
        <v>Airtel</v>
      </c>
      <c r="F1142" s="76">
        <v>46149</v>
      </c>
      <c r="G1142" s="74"/>
      <c r="H1142" s="10" t="s">
        <v>1248</v>
      </c>
      <c r="I1142" s="9">
        <v>1</v>
      </c>
      <c r="J1142" s="9">
        <v>950</v>
      </c>
      <c r="K1142" s="77">
        <f t="shared" si="90"/>
        <v>950</v>
      </c>
      <c r="L1142" s="76">
        <v>46142</v>
      </c>
      <c r="N1142" s="83"/>
      <c r="O1142" s="84"/>
      <c r="P1142" s="81"/>
      <c r="Q1142" s="81"/>
      <c r="R1142" s="81"/>
      <c r="S1142" s="81"/>
      <c r="T1142" s="85"/>
      <c r="U1142" s="81"/>
      <c r="V1142" s="81"/>
      <c r="W1142" s="123">
        <f t="shared" si="89"/>
        <v>0</v>
      </c>
      <c r="X1142" s="123" t="s">
        <v>84</v>
      </c>
      <c r="Y1142" s="114" t="s">
        <v>1128</v>
      </c>
    </row>
    <row r="1143" spans="1:25" s="24" customFormat="1" ht="11.1" customHeight="1">
      <c r="A1143" s="74">
        <f t="shared" si="91"/>
        <v>1141</v>
      </c>
      <c r="B1143" s="75" t="s">
        <v>679</v>
      </c>
      <c r="C1143" s="74" t="str">
        <f>IF($B1143&lt;&gt;"",_xlfn.IFNA(VLOOKUP($B1143,'Node Details'!$B:$U,C$1,0),"Check"),"")</f>
        <v>0000CM307-CM3070105</v>
      </c>
      <c r="D1143" s="74" t="str">
        <f>IF($B1143&lt;&gt;"",_xlfn.IFNA(VLOOKUP($B1143,'Node Details'!$B:$U,D$1,0),"Check"),"")</f>
        <v>CM3</v>
      </c>
      <c r="E1143" s="74" t="str">
        <f>IF($B1143&lt;&gt;"",_xlfn.IFNA(VLOOKUP($B1143,'Node Details'!$B:$U,E$1,0),"Check"),"")</f>
        <v>Airtel</v>
      </c>
      <c r="F1143" s="76">
        <v>46149</v>
      </c>
      <c r="G1143" s="74"/>
      <c r="H1143" s="10" t="s">
        <v>1248</v>
      </c>
      <c r="I1143" s="9">
        <v>1</v>
      </c>
      <c r="J1143" s="9">
        <v>950</v>
      </c>
      <c r="K1143" s="77">
        <f t="shared" si="90"/>
        <v>950</v>
      </c>
      <c r="L1143" s="76">
        <v>46142</v>
      </c>
      <c r="N1143" s="83"/>
      <c r="O1143" s="84"/>
      <c r="P1143" s="81"/>
      <c r="Q1143" s="81"/>
      <c r="R1143" s="81"/>
      <c r="S1143" s="81"/>
      <c r="T1143" s="85"/>
      <c r="U1143" s="81"/>
      <c r="V1143" s="81"/>
      <c r="W1143" s="123">
        <f t="shared" si="89"/>
        <v>0</v>
      </c>
      <c r="X1143" s="123" t="s">
        <v>84</v>
      </c>
      <c r="Y1143" s="114" t="s">
        <v>1128</v>
      </c>
    </row>
    <row r="1144" spans="1:25" s="24" customFormat="1" ht="11.1" customHeight="1">
      <c r="A1144" s="74">
        <f t="shared" si="91"/>
        <v>1142</v>
      </c>
      <c r="B1144" s="75" t="s">
        <v>677</v>
      </c>
      <c r="C1144" s="74" t="str">
        <f>IF($B1144&lt;&gt;"",_xlfn.IFNA(VLOOKUP($B1144,'Node Details'!$B:$U,C$1,0),"Check"),"")</f>
        <v>0000CM307-CM3070105</v>
      </c>
      <c r="D1144" s="74" t="str">
        <f>IF($B1144&lt;&gt;"",_xlfn.IFNA(VLOOKUP($B1144,'Node Details'!$B:$U,D$1,0),"Check"),"")</f>
        <v>CM3</v>
      </c>
      <c r="E1144" s="74" t="str">
        <f>IF($B1144&lt;&gt;"",_xlfn.IFNA(VLOOKUP($B1144,'Node Details'!$B:$U,E$1,0),"Check"),"")</f>
        <v>Airtel</v>
      </c>
      <c r="F1144" s="76">
        <v>46149</v>
      </c>
      <c r="G1144" s="74"/>
      <c r="H1144" s="10" t="s">
        <v>1248</v>
      </c>
      <c r="I1144" s="9">
        <v>1</v>
      </c>
      <c r="J1144" s="9">
        <v>950</v>
      </c>
      <c r="K1144" s="77">
        <f t="shared" si="90"/>
        <v>950</v>
      </c>
      <c r="L1144" s="76">
        <v>46142</v>
      </c>
      <c r="N1144" s="83"/>
      <c r="O1144" s="84"/>
      <c r="P1144" s="81"/>
      <c r="Q1144" s="81"/>
      <c r="R1144" s="81"/>
      <c r="S1144" s="81"/>
      <c r="T1144" s="85"/>
      <c r="U1144" s="81"/>
      <c r="V1144" s="81"/>
      <c r="W1144" s="123">
        <f t="shared" si="89"/>
        <v>0</v>
      </c>
      <c r="X1144" s="123" t="s">
        <v>84</v>
      </c>
      <c r="Y1144" s="114" t="s">
        <v>1128</v>
      </c>
    </row>
    <row r="1145" spans="1:25" s="24" customFormat="1" ht="11.1" customHeight="1">
      <c r="A1145" s="74">
        <f t="shared" si="91"/>
        <v>1143</v>
      </c>
      <c r="B1145" s="75" t="s">
        <v>1148</v>
      </c>
      <c r="C1145" s="74" t="str">
        <f>IF($B1145&lt;&gt;"",_xlfn.IFNA(VLOOKUP($B1145,'Node Details'!$B:$U,C$1,0),"Check"),"")</f>
        <v>CM3070104-CM3070108</v>
      </c>
      <c r="D1145" s="74" t="str">
        <f>IF($B1145&lt;&gt;"",_xlfn.IFNA(VLOOKUP($B1145,'Node Details'!$B:$U,D$1,0),"Check"),"")</f>
        <v>CM3</v>
      </c>
      <c r="E1145" s="74" t="str">
        <f>IF($B1145&lt;&gt;"",_xlfn.IFNA(VLOOKUP($B1145,'Node Details'!$B:$U,E$1,0),"Check"),"")</f>
        <v>Airtel</v>
      </c>
      <c r="F1145" s="76">
        <v>46149</v>
      </c>
      <c r="G1145" s="74"/>
      <c r="H1145" s="10" t="s">
        <v>1248</v>
      </c>
      <c r="I1145" s="9">
        <v>1</v>
      </c>
      <c r="J1145" s="9">
        <v>950</v>
      </c>
      <c r="K1145" s="77">
        <f t="shared" si="90"/>
        <v>950</v>
      </c>
      <c r="L1145" s="76">
        <v>46142</v>
      </c>
      <c r="N1145" s="83"/>
      <c r="O1145" s="84"/>
      <c r="P1145" s="81"/>
      <c r="Q1145" s="81"/>
      <c r="R1145" s="81"/>
      <c r="S1145" s="81"/>
      <c r="T1145" s="85"/>
      <c r="U1145" s="81"/>
      <c r="V1145" s="81"/>
      <c r="W1145" s="123">
        <f t="shared" ref="W1145:W1208" si="92">IF(V1145&lt;&gt;"",V1145*U1145,0)</f>
        <v>0</v>
      </c>
      <c r="X1145" s="123" t="s">
        <v>84</v>
      </c>
      <c r="Y1145" s="114" t="s">
        <v>1128</v>
      </c>
    </row>
    <row r="1146" spans="1:25" s="24" customFormat="1" ht="11.1" customHeight="1">
      <c r="A1146" s="74">
        <f t="shared" si="91"/>
        <v>1144</v>
      </c>
      <c r="B1146" s="75" t="s">
        <v>1149</v>
      </c>
      <c r="C1146" s="74" t="str">
        <f>IF($B1146&lt;&gt;"",_xlfn.IFNA(VLOOKUP($B1146,'Node Details'!$B:$U,C$1,0),"Check"),"")</f>
        <v>CM3070104-CM3070108</v>
      </c>
      <c r="D1146" s="74" t="str">
        <f>IF($B1146&lt;&gt;"",_xlfn.IFNA(VLOOKUP($B1146,'Node Details'!$B:$U,D$1,0),"Check"),"")</f>
        <v>CM3</v>
      </c>
      <c r="E1146" s="74" t="str">
        <f>IF($B1146&lt;&gt;"",_xlfn.IFNA(VLOOKUP($B1146,'Node Details'!$B:$U,E$1,0),"Check"),"")</f>
        <v>Airtel</v>
      </c>
      <c r="F1146" s="76">
        <v>46149</v>
      </c>
      <c r="G1146" s="74"/>
      <c r="H1146" s="10" t="s">
        <v>1248</v>
      </c>
      <c r="I1146" s="9">
        <v>1</v>
      </c>
      <c r="J1146" s="9">
        <v>950</v>
      </c>
      <c r="K1146" s="77">
        <f t="shared" ref="K1146:K1209" si="93">IF(I1146&lt;&gt;"",J1146*I1146,0)</f>
        <v>950</v>
      </c>
      <c r="L1146" s="76">
        <v>46142</v>
      </c>
      <c r="N1146" s="83"/>
      <c r="O1146" s="84"/>
      <c r="P1146" s="81"/>
      <c r="Q1146" s="81"/>
      <c r="R1146" s="81"/>
      <c r="S1146" s="81"/>
      <c r="T1146" s="85"/>
      <c r="U1146" s="81"/>
      <c r="V1146" s="81"/>
      <c r="W1146" s="123">
        <f t="shared" si="92"/>
        <v>0</v>
      </c>
      <c r="X1146" s="123" t="s">
        <v>84</v>
      </c>
      <c r="Y1146" s="114" t="s">
        <v>1128</v>
      </c>
    </row>
    <row r="1147" spans="1:25" s="24" customFormat="1" ht="11.1" customHeight="1">
      <c r="A1147" s="74">
        <f t="shared" si="91"/>
        <v>1145</v>
      </c>
      <c r="B1147" s="75" t="s">
        <v>680</v>
      </c>
      <c r="C1147" s="74" t="str">
        <f>IF($B1147&lt;&gt;"",_xlfn.IFNA(VLOOKUP($B1147,'Node Details'!$B:$U,C$1,0),"Check"),"")</f>
        <v>CM3070104-CM3070108</v>
      </c>
      <c r="D1147" s="74" t="str">
        <f>IF($B1147&lt;&gt;"",_xlfn.IFNA(VLOOKUP($B1147,'Node Details'!$B:$U,D$1,0),"Check"),"")</f>
        <v>CM3</v>
      </c>
      <c r="E1147" s="74" t="str">
        <f>IF($B1147&lt;&gt;"",_xlfn.IFNA(VLOOKUP($B1147,'Node Details'!$B:$U,E$1,0),"Check"),"")</f>
        <v>Airtel</v>
      </c>
      <c r="F1147" s="76">
        <v>46149</v>
      </c>
      <c r="G1147" s="74"/>
      <c r="H1147" s="10" t="s">
        <v>1248</v>
      </c>
      <c r="I1147" s="9">
        <v>1</v>
      </c>
      <c r="J1147" s="9">
        <v>950</v>
      </c>
      <c r="K1147" s="77">
        <f t="shared" si="93"/>
        <v>950</v>
      </c>
      <c r="L1147" s="76">
        <v>46142</v>
      </c>
      <c r="N1147" s="83"/>
      <c r="O1147" s="84"/>
      <c r="P1147" s="81"/>
      <c r="Q1147" s="81"/>
      <c r="R1147" s="81"/>
      <c r="S1147" s="81"/>
      <c r="T1147" s="85"/>
      <c r="U1147" s="81"/>
      <c r="V1147" s="81"/>
      <c r="W1147" s="123">
        <f t="shared" si="92"/>
        <v>0</v>
      </c>
      <c r="X1147" s="123" t="s">
        <v>84</v>
      </c>
      <c r="Y1147" s="114" t="s">
        <v>1128</v>
      </c>
    </row>
    <row r="1148" spans="1:25" s="24" customFormat="1" ht="11.1" customHeight="1">
      <c r="A1148" s="74">
        <f t="shared" si="91"/>
        <v>1146</v>
      </c>
      <c r="B1148" s="75" t="s">
        <v>685</v>
      </c>
      <c r="C1148" s="74" t="str">
        <f>IF($B1148&lt;&gt;"",_xlfn.IFNA(VLOOKUP($B1148,'Node Details'!$B:$U,C$1,0),"Check"),"")</f>
        <v>0000CM308-CM3080103</v>
      </c>
      <c r="D1148" s="74" t="str">
        <f>IF($B1148&lt;&gt;"",_xlfn.IFNA(VLOOKUP($B1148,'Node Details'!$B:$U,D$1,0),"Check"),"")</f>
        <v>CM3</v>
      </c>
      <c r="E1148" s="74" t="str">
        <f>IF($B1148&lt;&gt;"",_xlfn.IFNA(VLOOKUP($B1148,'Node Details'!$B:$U,E$1,0),"Check"),"")</f>
        <v>Airtel</v>
      </c>
      <c r="F1148" s="76">
        <v>46149</v>
      </c>
      <c r="G1148" s="74"/>
      <c r="H1148" s="10" t="s">
        <v>1248</v>
      </c>
      <c r="I1148" s="9">
        <v>1</v>
      </c>
      <c r="J1148" s="9">
        <v>950</v>
      </c>
      <c r="K1148" s="77">
        <f t="shared" si="93"/>
        <v>950</v>
      </c>
      <c r="L1148" s="76">
        <v>46142</v>
      </c>
      <c r="N1148" s="83"/>
      <c r="O1148" s="84"/>
      <c r="P1148" s="81"/>
      <c r="Q1148" s="81"/>
      <c r="R1148" s="81"/>
      <c r="S1148" s="81"/>
      <c r="T1148" s="85"/>
      <c r="U1148" s="81"/>
      <c r="V1148" s="81"/>
      <c r="W1148" s="123">
        <f t="shared" si="92"/>
        <v>0</v>
      </c>
      <c r="X1148" s="123" t="s">
        <v>84</v>
      </c>
      <c r="Y1148" s="114" t="s">
        <v>1128</v>
      </c>
    </row>
    <row r="1149" spans="1:25" s="24" customFormat="1" ht="11.1" customHeight="1">
      <c r="A1149" s="74">
        <f t="shared" si="91"/>
        <v>1147</v>
      </c>
      <c r="B1149" s="75" t="s">
        <v>683</v>
      </c>
      <c r="C1149" s="74" t="str">
        <f>IF($B1149&lt;&gt;"",_xlfn.IFNA(VLOOKUP($B1149,'Node Details'!$B:$U,C$1,0),"Check"),"")</f>
        <v>0000CM308-CM3080103</v>
      </c>
      <c r="D1149" s="74" t="str">
        <f>IF($B1149&lt;&gt;"",_xlfn.IFNA(VLOOKUP($B1149,'Node Details'!$B:$U,D$1,0),"Check"),"")</f>
        <v>CM3</v>
      </c>
      <c r="E1149" s="74" t="str">
        <f>IF($B1149&lt;&gt;"",_xlfn.IFNA(VLOOKUP($B1149,'Node Details'!$B:$U,E$1,0),"Check"),"")</f>
        <v>Airtel</v>
      </c>
      <c r="F1149" s="76">
        <v>46149</v>
      </c>
      <c r="G1149" s="74"/>
      <c r="H1149" s="10" t="s">
        <v>1248</v>
      </c>
      <c r="I1149" s="9">
        <v>1</v>
      </c>
      <c r="J1149" s="9">
        <v>950</v>
      </c>
      <c r="K1149" s="77">
        <f t="shared" si="93"/>
        <v>950</v>
      </c>
      <c r="L1149" s="76">
        <v>46142</v>
      </c>
      <c r="N1149" s="83"/>
      <c r="O1149" s="84"/>
      <c r="P1149" s="81"/>
      <c r="Q1149" s="81"/>
      <c r="R1149" s="81"/>
      <c r="S1149" s="81"/>
      <c r="T1149" s="85"/>
      <c r="U1149" s="81"/>
      <c r="V1149" s="81"/>
      <c r="W1149" s="123">
        <f t="shared" si="92"/>
        <v>0</v>
      </c>
      <c r="X1149" s="123" t="s">
        <v>84</v>
      </c>
      <c r="Y1149" s="114" t="s">
        <v>1128</v>
      </c>
    </row>
    <row r="1150" spans="1:25" s="24" customFormat="1" ht="11.1" customHeight="1">
      <c r="A1150" s="74">
        <f t="shared" si="91"/>
        <v>1148</v>
      </c>
      <c r="B1150" s="75" t="s">
        <v>686</v>
      </c>
      <c r="C1150" s="74" t="str">
        <f>IF($B1150&lt;&gt;"",_xlfn.IFNA(VLOOKUP($B1150,'Node Details'!$B:$U,C$1,0),"Check"),"")</f>
        <v>CM3080101-CM3080102</v>
      </c>
      <c r="D1150" s="74" t="str">
        <f>IF($B1150&lt;&gt;"",_xlfn.IFNA(VLOOKUP($B1150,'Node Details'!$B:$U,D$1,0),"Check"),"")</f>
        <v>CM3</v>
      </c>
      <c r="E1150" s="74" t="str">
        <f>IF($B1150&lt;&gt;"",_xlfn.IFNA(VLOOKUP($B1150,'Node Details'!$B:$U,E$1,0),"Check"),"")</f>
        <v>Airtel</v>
      </c>
      <c r="F1150" s="76">
        <v>46149</v>
      </c>
      <c r="G1150" s="74"/>
      <c r="H1150" s="10" t="s">
        <v>1248</v>
      </c>
      <c r="I1150" s="9">
        <v>1</v>
      </c>
      <c r="J1150" s="9">
        <v>950</v>
      </c>
      <c r="K1150" s="77">
        <f t="shared" si="93"/>
        <v>950</v>
      </c>
      <c r="L1150" s="76">
        <v>46142</v>
      </c>
      <c r="N1150" s="83"/>
      <c r="O1150" s="84"/>
      <c r="P1150" s="81"/>
      <c r="Q1150" s="81"/>
      <c r="R1150" s="81"/>
      <c r="S1150" s="81"/>
      <c r="T1150" s="85"/>
      <c r="U1150" s="81"/>
      <c r="V1150" s="81"/>
      <c r="W1150" s="123">
        <f t="shared" si="92"/>
        <v>0</v>
      </c>
      <c r="X1150" s="123" t="s">
        <v>84</v>
      </c>
      <c r="Y1150" s="114" t="s">
        <v>1128</v>
      </c>
    </row>
    <row r="1151" spans="1:25" s="24" customFormat="1" ht="11.1" customHeight="1">
      <c r="A1151" s="74">
        <f t="shared" si="91"/>
        <v>1149</v>
      </c>
      <c r="B1151" s="75" t="s">
        <v>688</v>
      </c>
      <c r="C1151" s="74" t="str">
        <f>IF($B1151&lt;&gt;"",_xlfn.IFNA(VLOOKUP($B1151,'Node Details'!$B:$U,C$1,0),"Check"),"")</f>
        <v>CM3080101-CM3080104</v>
      </c>
      <c r="D1151" s="74" t="str">
        <f>IF($B1151&lt;&gt;"",_xlfn.IFNA(VLOOKUP($B1151,'Node Details'!$B:$U,D$1,0),"Check"),"")</f>
        <v>CM3</v>
      </c>
      <c r="E1151" s="74" t="str">
        <f>IF($B1151&lt;&gt;"",_xlfn.IFNA(VLOOKUP($B1151,'Node Details'!$B:$U,E$1,0),"Check"),"")</f>
        <v>Airtel</v>
      </c>
      <c r="F1151" s="76">
        <v>46149</v>
      </c>
      <c r="G1151" s="74"/>
      <c r="H1151" s="10" t="s">
        <v>1248</v>
      </c>
      <c r="I1151" s="9">
        <v>1</v>
      </c>
      <c r="J1151" s="9">
        <v>950</v>
      </c>
      <c r="K1151" s="77">
        <f t="shared" si="93"/>
        <v>950</v>
      </c>
      <c r="L1151" s="76">
        <v>46142</v>
      </c>
      <c r="N1151" s="83"/>
      <c r="O1151" s="84"/>
      <c r="P1151" s="81"/>
      <c r="Q1151" s="81"/>
      <c r="R1151" s="81"/>
      <c r="S1151" s="81"/>
      <c r="T1151" s="85"/>
      <c r="U1151" s="81"/>
      <c r="V1151" s="81"/>
      <c r="W1151" s="123">
        <f t="shared" si="92"/>
        <v>0</v>
      </c>
      <c r="X1151" s="123" t="s">
        <v>84</v>
      </c>
      <c r="Y1151" s="114" t="s">
        <v>1128</v>
      </c>
    </row>
    <row r="1152" spans="1:25" s="24" customFormat="1" ht="11.1" customHeight="1">
      <c r="A1152" s="74">
        <f t="shared" si="91"/>
        <v>1150</v>
      </c>
      <c r="B1152" s="75" t="s">
        <v>1150</v>
      </c>
      <c r="C1152" s="74" t="str">
        <f>IF($B1152&lt;&gt;"",_xlfn.IFNA(VLOOKUP($B1152,'Node Details'!$B:$U,C$1,0),"Check"),"")</f>
        <v>CM3080101-CM3080108</v>
      </c>
      <c r="D1152" s="74" t="str">
        <f>IF($B1152&lt;&gt;"",_xlfn.IFNA(VLOOKUP($B1152,'Node Details'!$B:$U,D$1,0),"Check"),"")</f>
        <v>CM3</v>
      </c>
      <c r="E1152" s="74" t="str">
        <f>IF($B1152&lt;&gt;"",_xlfn.IFNA(VLOOKUP($B1152,'Node Details'!$B:$U,E$1,0),"Check"),"")</f>
        <v>Airtel</v>
      </c>
      <c r="F1152" s="76">
        <v>46149</v>
      </c>
      <c r="G1152" s="74"/>
      <c r="H1152" s="10" t="s">
        <v>1248</v>
      </c>
      <c r="I1152" s="9">
        <v>1</v>
      </c>
      <c r="J1152" s="9">
        <v>950</v>
      </c>
      <c r="K1152" s="77">
        <f t="shared" si="93"/>
        <v>950</v>
      </c>
      <c r="L1152" s="76">
        <v>46142</v>
      </c>
      <c r="N1152" s="83"/>
      <c r="O1152" s="84"/>
      <c r="P1152" s="81"/>
      <c r="Q1152" s="81"/>
      <c r="R1152" s="81"/>
      <c r="S1152" s="81"/>
      <c r="T1152" s="85"/>
      <c r="U1152" s="81"/>
      <c r="V1152" s="81"/>
      <c r="W1152" s="123">
        <f t="shared" si="92"/>
        <v>0</v>
      </c>
      <c r="X1152" s="123" t="s">
        <v>84</v>
      </c>
      <c r="Y1152" s="114" t="s">
        <v>1128</v>
      </c>
    </row>
    <row r="1153" spans="1:25" s="24" customFormat="1" ht="11.1" customHeight="1">
      <c r="A1153" s="74">
        <f t="shared" si="91"/>
        <v>1151</v>
      </c>
      <c r="B1153" s="75" t="s">
        <v>1151</v>
      </c>
      <c r="C1153" s="74" t="str">
        <f>IF($B1153&lt;&gt;"",_xlfn.IFNA(VLOOKUP($B1153,'Node Details'!$B:$U,C$1,0),"Check"),"")</f>
        <v>CM3080101-CM3080108</v>
      </c>
      <c r="D1153" s="74" t="str">
        <f>IF($B1153&lt;&gt;"",_xlfn.IFNA(VLOOKUP($B1153,'Node Details'!$B:$U,D$1,0),"Check"),"")</f>
        <v>CM3</v>
      </c>
      <c r="E1153" s="74" t="str">
        <f>IF($B1153&lt;&gt;"",_xlfn.IFNA(VLOOKUP($B1153,'Node Details'!$B:$U,E$1,0),"Check"),"")</f>
        <v>Airtel</v>
      </c>
      <c r="F1153" s="76">
        <v>46149</v>
      </c>
      <c r="G1153" s="74"/>
      <c r="H1153" s="10" t="s">
        <v>1248</v>
      </c>
      <c r="I1153" s="9">
        <v>1</v>
      </c>
      <c r="J1153" s="9">
        <v>950</v>
      </c>
      <c r="K1153" s="77">
        <f t="shared" si="93"/>
        <v>950</v>
      </c>
      <c r="L1153" s="76">
        <v>46142</v>
      </c>
      <c r="N1153" s="83"/>
      <c r="O1153" s="84"/>
      <c r="P1153" s="81"/>
      <c r="Q1153" s="81"/>
      <c r="R1153" s="81"/>
      <c r="S1153" s="81"/>
      <c r="T1153" s="85"/>
      <c r="U1153" s="81"/>
      <c r="V1153" s="81"/>
      <c r="W1153" s="123">
        <f t="shared" si="92"/>
        <v>0</v>
      </c>
      <c r="X1153" s="123" t="s">
        <v>84</v>
      </c>
      <c r="Y1153" s="114" t="s">
        <v>1128</v>
      </c>
    </row>
    <row r="1154" spans="1:25" s="24" customFormat="1" ht="11.1" customHeight="1">
      <c r="A1154" s="74">
        <f t="shared" si="91"/>
        <v>1152</v>
      </c>
      <c r="B1154" s="75" t="s">
        <v>1152</v>
      </c>
      <c r="C1154" s="74" t="str">
        <f>IF($B1154&lt;&gt;"",_xlfn.IFNA(VLOOKUP($B1154,'Node Details'!$B:$U,C$1,0),"Check"),"")</f>
        <v>CM3080101-CM3080108</v>
      </c>
      <c r="D1154" s="74" t="str">
        <f>IF($B1154&lt;&gt;"",_xlfn.IFNA(VLOOKUP($B1154,'Node Details'!$B:$U,D$1,0),"Check"),"")</f>
        <v>CM3</v>
      </c>
      <c r="E1154" s="74" t="str">
        <f>IF($B1154&lt;&gt;"",_xlfn.IFNA(VLOOKUP($B1154,'Node Details'!$B:$U,E$1,0),"Check"),"")</f>
        <v>Airtel</v>
      </c>
      <c r="F1154" s="76">
        <v>46149</v>
      </c>
      <c r="G1154" s="74"/>
      <c r="H1154" s="10" t="s">
        <v>1248</v>
      </c>
      <c r="I1154" s="9">
        <v>1</v>
      </c>
      <c r="J1154" s="9">
        <v>950</v>
      </c>
      <c r="K1154" s="77">
        <f t="shared" si="93"/>
        <v>950</v>
      </c>
      <c r="L1154" s="76">
        <v>46142</v>
      </c>
      <c r="N1154" s="83"/>
      <c r="O1154" s="84"/>
      <c r="P1154" s="81"/>
      <c r="Q1154" s="81"/>
      <c r="R1154" s="81"/>
      <c r="S1154" s="81"/>
      <c r="T1154" s="85"/>
      <c r="U1154" s="81"/>
      <c r="V1154" s="81"/>
      <c r="W1154" s="123">
        <f t="shared" si="92"/>
        <v>0</v>
      </c>
      <c r="X1154" s="123" t="s">
        <v>84</v>
      </c>
      <c r="Y1154" s="114" t="s">
        <v>1128</v>
      </c>
    </row>
    <row r="1155" spans="1:25" s="24" customFormat="1" ht="11.1" customHeight="1">
      <c r="A1155" s="74">
        <f t="shared" si="91"/>
        <v>1153</v>
      </c>
      <c r="B1155" s="75" t="s">
        <v>690</v>
      </c>
      <c r="C1155" s="74" t="str">
        <f>IF($B1155&lt;&gt;"",_xlfn.IFNA(VLOOKUP($B1155,'Node Details'!$B:$U,C$1,0),"Check"),"")</f>
        <v>CM3080101-CM3080108</v>
      </c>
      <c r="D1155" s="74" t="str">
        <f>IF($B1155&lt;&gt;"",_xlfn.IFNA(VLOOKUP($B1155,'Node Details'!$B:$U,D$1,0),"Check"),"")</f>
        <v>CM3</v>
      </c>
      <c r="E1155" s="74" t="str">
        <f>IF($B1155&lt;&gt;"",_xlfn.IFNA(VLOOKUP($B1155,'Node Details'!$B:$U,E$1,0),"Check"),"")</f>
        <v>Airtel</v>
      </c>
      <c r="F1155" s="76">
        <v>46149</v>
      </c>
      <c r="G1155" s="74"/>
      <c r="H1155" s="10" t="s">
        <v>1248</v>
      </c>
      <c r="I1155" s="9">
        <v>1</v>
      </c>
      <c r="J1155" s="9">
        <v>950</v>
      </c>
      <c r="K1155" s="77">
        <f t="shared" si="93"/>
        <v>950</v>
      </c>
      <c r="L1155" s="76">
        <v>46142</v>
      </c>
      <c r="N1155" s="83"/>
      <c r="O1155" s="84"/>
      <c r="P1155" s="81"/>
      <c r="Q1155" s="81"/>
      <c r="R1155" s="81"/>
      <c r="S1155" s="81"/>
      <c r="T1155" s="85"/>
      <c r="U1155" s="81"/>
      <c r="V1155" s="81"/>
      <c r="W1155" s="123">
        <f t="shared" si="92"/>
        <v>0</v>
      </c>
      <c r="X1155" s="123" t="s">
        <v>84</v>
      </c>
      <c r="Y1155" s="114" t="s">
        <v>1128</v>
      </c>
    </row>
    <row r="1156" spans="1:25" s="24" customFormat="1" ht="11.1" customHeight="1">
      <c r="A1156" s="74">
        <f t="shared" ref="A1156:A1219" si="94">A1155+1</f>
        <v>1154</v>
      </c>
      <c r="B1156" s="75" t="s">
        <v>1153</v>
      </c>
      <c r="C1156" s="74" t="str">
        <f>IF($B1156&lt;&gt;"",_xlfn.IFNA(VLOOKUP($B1156,'Node Details'!$B:$U,C$1,0),"Check"),"")</f>
        <v>0000CM309-CM3090103</v>
      </c>
      <c r="D1156" s="74" t="str">
        <f>IF($B1156&lt;&gt;"",_xlfn.IFNA(VLOOKUP($B1156,'Node Details'!$B:$U,D$1,0),"Check"),"")</f>
        <v>CM3</v>
      </c>
      <c r="E1156" s="74" t="str">
        <f>IF($B1156&lt;&gt;"",_xlfn.IFNA(VLOOKUP($B1156,'Node Details'!$B:$U,E$1,0),"Check"),"")</f>
        <v>Airtel</v>
      </c>
      <c r="F1156" s="76">
        <v>46149</v>
      </c>
      <c r="G1156" s="74"/>
      <c r="H1156" s="10" t="s">
        <v>1248</v>
      </c>
      <c r="I1156" s="9">
        <v>1</v>
      </c>
      <c r="J1156" s="9">
        <v>950</v>
      </c>
      <c r="K1156" s="77">
        <f t="shared" si="93"/>
        <v>950</v>
      </c>
      <c r="L1156" s="76">
        <v>46142</v>
      </c>
      <c r="N1156" s="83"/>
      <c r="O1156" s="84"/>
      <c r="P1156" s="81"/>
      <c r="Q1156" s="81"/>
      <c r="R1156" s="81"/>
      <c r="S1156" s="81"/>
      <c r="T1156" s="85"/>
      <c r="U1156" s="81"/>
      <c r="V1156" s="81"/>
      <c r="W1156" s="123">
        <f t="shared" si="92"/>
        <v>0</v>
      </c>
      <c r="X1156" s="123" t="s">
        <v>84</v>
      </c>
      <c r="Y1156" s="114" t="s">
        <v>1128</v>
      </c>
    </row>
    <row r="1157" spans="1:25" s="24" customFormat="1" ht="11.1" customHeight="1">
      <c r="A1157" s="74">
        <f t="shared" si="94"/>
        <v>1155</v>
      </c>
      <c r="B1157" s="75" t="s">
        <v>1154</v>
      </c>
      <c r="C1157" s="74" t="str">
        <f>IF($B1157&lt;&gt;"",_xlfn.IFNA(VLOOKUP($B1157,'Node Details'!$B:$U,C$1,0),"Check"),"")</f>
        <v>0000CM309-CM3090103</v>
      </c>
      <c r="D1157" s="74" t="str">
        <f>IF($B1157&lt;&gt;"",_xlfn.IFNA(VLOOKUP($B1157,'Node Details'!$B:$U,D$1,0),"Check"),"")</f>
        <v>CM3</v>
      </c>
      <c r="E1157" s="74" t="str">
        <f>IF($B1157&lt;&gt;"",_xlfn.IFNA(VLOOKUP($B1157,'Node Details'!$B:$U,E$1,0),"Check"),"")</f>
        <v>Airtel</v>
      </c>
      <c r="F1157" s="76">
        <v>46149</v>
      </c>
      <c r="G1157" s="74"/>
      <c r="H1157" s="10" t="s">
        <v>1248</v>
      </c>
      <c r="I1157" s="9">
        <v>1</v>
      </c>
      <c r="J1157" s="9">
        <v>950</v>
      </c>
      <c r="K1157" s="77">
        <f t="shared" si="93"/>
        <v>950</v>
      </c>
      <c r="L1157" s="76">
        <v>46142</v>
      </c>
      <c r="N1157" s="83"/>
      <c r="O1157" s="84"/>
      <c r="P1157" s="81"/>
      <c r="Q1157" s="81"/>
      <c r="R1157" s="81"/>
      <c r="S1157" s="81"/>
      <c r="T1157" s="85"/>
      <c r="U1157" s="81"/>
      <c r="V1157" s="81"/>
      <c r="W1157" s="123">
        <f t="shared" si="92"/>
        <v>0</v>
      </c>
      <c r="X1157" s="123" t="s">
        <v>84</v>
      </c>
      <c r="Y1157" s="114" t="s">
        <v>1128</v>
      </c>
    </row>
    <row r="1158" spans="1:25" s="24" customFormat="1" ht="11.1" customHeight="1">
      <c r="A1158" s="74">
        <f t="shared" si="94"/>
        <v>1156</v>
      </c>
      <c r="B1158" s="75" t="s">
        <v>693</v>
      </c>
      <c r="C1158" s="74" t="str">
        <f>IF($B1158&lt;&gt;"",_xlfn.IFNA(VLOOKUP($B1158,'Node Details'!$B:$U,C$1,0),"Check"),"")</f>
        <v>0000CM309-CM3090103</v>
      </c>
      <c r="D1158" s="74" t="str">
        <f>IF($B1158&lt;&gt;"",_xlfn.IFNA(VLOOKUP($B1158,'Node Details'!$B:$U,D$1,0),"Check"),"")</f>
        <v>CM3</v>
      </c>
      <c r="E1158" s="74" t="str">
        <f>IF($B1158&lt;&gt;"",_xlfn.IFNA(VLOOKUP($B1158,'Node Details'!$B:$U,E$1,0),"Check"),"")</f>
        <v>Airtel</v>
      </c>
      <c r="F1158" s="76">
        <v>46149</v>
      </c>
      <c r="G1158" s="74"/>
      <c r="H1158" s="10" t="s">
        <v>1248</v>
      </c>
      <c r="I1158" s="9">
        <v>1</v>
      </c>
      <c r="J1158" s="9">
        <v>950</v>
      </c>
      <c r="K1158" s="77">
        <f t="shared" si="93"/>
        <v>950</v>
      </c>
      <c r="L1158" s="76">
        <v>46142</v>
      </c>
      <c r="N1158" s="83"/>
      <c r="O1158" s="84"/>
      <c r="P1158" s="81"/>
      <c r="Q1158" s="81"/>
      <c r="R1158" s="81"/>
      <c r="S1158" s="81"/>
      <c r="T1158" s="85"/>
      <c r="U1158" s="81"/>
      <c r="V1158" s="81"/>
      <c r="W1158" s="123">
        <f t="shared" si="92"/>
        <v>0</v>
      </c>
      <c r="X1158" s="123" t="s">
        <v>84</v>
      </c>
      <c r="Y1158" s="114" t="s">
        <v>1128</v>
      </c>
    </row>
    <row r="1159" spans="1:25" s="24" customFormat="1" ht="11.1" customHeight="1">
      <c r="A1159" s="74">
        <f t="shared" si="94"/>
        <v>1157</v>
      </c>
      <c r="B1159" s="75" t="s">
        <v>695</v>
      </c>
      <c r="C1159" s="74" t="str">
        <f>IF($B1159&lt;&gt;"",_xlfn.IFNA(VLOOKUP($B1159,'Node Details'!$B:$U,C$1,0),"Check"),"")</f>
        <v>0000CM309-CM3090104</v>
      </c>
      <c r="D1159" s="74" t="str">
        <f>IF($B1159&lt;&gt;"",_xlfn.IFNA(VLOOKUP($B1159,'Node Details'!$B:$U,D$1,0),"Check"),"")</f>
        <v>CM3</v>
      </c>
      <c r="E1159" s="74" t="str">
        <f>IF($B1159&lt;&gt;"",_xlfn.IFNA(VLOOKUP($B1159,'Node Details'!$B:$U,E$1,0),"Check"),"")</f>
        <v>Airtel</v>
      </c>
      <c r="F1159" s="76">
        <v>46149</v>
      </c>
      <c r="G1159" s="74"/>
      <c r="H1159" s="10" t="s">
        <v>1248</v>
      </c>
      <c r="I1159" s="9">
        <v>1</v>
      </c>
      <c r="J1159" s="9">
        <v>950</v>
      </c>
      <c r="K1159" s="77">
        <f t="shared" si="93"/>
        <v>950</v>
      </c>
      <c r="L1159" s="76">
        <v>46142</v>
      </c>
      <c r="N1159" s="83"/>
      <c r="O1159" s="84"/>
      <c r="P1159" s="81"/>
      <c r="Q1159" s="81"/>
      <c r="R1159" s="81"/>
      <c r="S1159" s="81"/>
      <c r="T1159" s="85"/>
      <c r="U1159" s="81"/>
      <c r="V1159" s="81"/>
      <c r="W1159" s="123">
        <f t="shared" si="92"/>
        <v>0</v>
      </c>
      <c r="X1159" s="123" t="s">
        <v>84</v>
      </c>
      <c r="Y1159" s="114" t="s">
        <v>1128</v>
      </c>
    </row>
    <row r="1160" spans="1:25" s="24" customFormat="1" ht="11.1" customHeight="1">
      <c r="A1160" s="74">
        <f t="shared" si="94"/>
        <v>1158</v>
      </c>
      <c r="B1160" s="75" t="s">
        <v>1155</v>
      </c>
      <c r="C1160" s="74" t="str">
        <f>IF($B1160&lt;&gt;"",_xlfn.IFNA(VLOOKUP($B1160,'Node Details'!$B:$U,C$1,0),"Check"),"")</f>
        <v>0000CM309-CM3090107</v>
      </c>
      <c r="D1160" s="74" t="str">
        <f>IF($B1160&lt;&gt;"",_xlfn.IFNA(VLOOKUP($B1160,'Node Details'!$B:$U,D$1,0),"Check"),"")</f>
        <v>CM3</v>
      </c>
      <c r="E1160" s="74" t="str">
        <f>IF($B1160&lt;&gt;"",_xlfn.IFNA(VLOOKUP($B1160,'Node Details'!$B:$U,E$1,0),"Check"),"")</f>
        <v>Airtel</v>
      </c>
      <c r="F1160" s="76">
        <v>46149</v>
      </c>
      <c r="G1160" s="74"/>
      <c r="H1160" s="10" t="s">
        <v>1248</v>
      </c>
      <c r="I1160" s="9">
        <v>1</v>
      </c>
      <c r="J1160" s="9">
        <v>950</v>
      </c>
      <c r="K1160" s="77">
        <f t="shared" si="93"/>
        <v>950</v>
      </c>
      <c r="L1160" s="76">
        <v>46142</v>
      </c>
      <c r="N1160" s="83"/>
      <c r="O1160" s="84"/>
      <c r="P1160" s="81"/>
      <c r="Q1160" s="81"/>
      <c r="R1160" s="81"/>
      <c r="S1160" s="81"/>
      <c r="T1160" s="85"/>
      <c r="U1160" s="81"/>
      <c r="V1160" s="81"/>
      <c r="W1160" s="123">
        <f t="shared" si="92"/>
        <v>0</v>
      </c>
      <c r="X1160" s="123" t="s">
        <v>84</v>
      </c>
      <c r="Y1160" s="114" t="s">
        <v>1128</v>
      </c>
    </row>
    <row r="1161" spans="1:25" s="24" customFormat="1" ht="11.1" customHeight="1">
      <c r="A1161" s="74">
        <f t="shared" si="94"/>
        <v>1159</v>
      </c>
      <c r="B1161" s="75" t="s">
        <v>1156</v>
      </c>
      <c r="C1161" s="74" t="str">
        <f>IF($B1161&lt;&gt;"",_xlfn.IFNA(VLOOKUP($B1161,'Node Details'!$B:$U,C$1,0),"Check"),"")</f>
        <v>0000CM309-CM3090107</v>
      </c>
      <c r="D1161" s="74" t="str">
        <f>IF($B1161&lt;&gt;"",_xlfn.IFNA(VLOOKUP($B1161,'Node Details'!$B:$U,D$1,0),"Check"),"")</f>
        <v>CM3</v>
      </c>
      <c r="E1161" s="74" t="str">
        <f>IF($B1161&lt;&gt;"",_xlfn.IFNA(VLOOKUP($B1161,'Node Details'!$B:$U,E$1,0),"Check"),"")</f>
        <v>Airtel</v>
      </c>
      <c r="F1161" s="76">
        <v>46149</v>
      </c>
      <c r="G1161" s="74"/>
      <c r="H1161" s="10" t="s">
        <v>1248</v>
      </c>
      <c r="I1161" s="9">
        <v>1</v>
      </c>
      <c r="J1161" s="9">
        <v>950</v>
      </c>
      <c r="K1161" s="77">
        <f t="shared" si="93"/>
        <v>950</v>
      </c>
      <c r="L1161" s="76">
        <v>46142</v>
      </c>
      <c r="N1161" s="83"/>
      <c r="O1161" s="84"/>
      <c r="P1161" s="81"/>
      <c r="Q1161" s="81"/>
      <c r="R1161" s="81"/>
      <c r="S1161" s="81"/>
      <c r="T1161" s="85"/>
      <c r="U1161" s="81"/>
      <c r="V1161" s="81"/>
      <c r="W1161" s="123">
        <f t="shared" si="92"/>
        <v>0</v>
      </c>
      <c r="X1161" s="123" t="s">
        <v>84</v>
      </c>
      <c r="Y1161" s="114" t="s">
        <v>1128</v>
      </c>
    </row>
    <row r="1162" spans="1:25" s="24" customFormat="1" ht="11.1" customHeight="1">
      <c r="A1162" s="74">
        <f t="shared" si="94"/>
        <v>1160</v>
      </c>
      <c r="B1162" s="75" t="s">
        <v>697</v>
      </c>
      <c r="C1162" s="74" t="str">
        <f>IF($B1162&lt;&gt;"",_xlfn.IFNA(VLOOKUP($B1162,'Node Details'!$B:$U,C$1,0),"Check"),"")</f>
        <v>0000CM309-CM3090107</v>
      </c>
      <c r="D1162" s="74" t="str">
        <f>IF($B1162&lt;&gt;"",_xlfn.IFNA(VLOOKUP($B1162,'Node Details'!$B:$U,D$1,0),"Check"),"")</f>
        <v>CM3</v>
      </c>
      <c r="E1162" s="74" t="str">
        <f>IF($B1162&lt;&gt;"",_xlfn.IFNA(VLOOKUP($B1162,'Node Details'!$B:$U,E$1,0),"Check"),"")</f>
        <v>Airtel</v>
      </c>
      <c r="F1162" s="76">
        <v>46149</v>
      </c>
      <c r="G1162" s="74"/>
      <c r="H1162" s="10" t="s">
        <v>1248</v>
      </c>
      <c r="I1162" s="9">
        <v>1</v>
      </c>
      <c r="J1162" s="9">
        <v>950</v>
      </c>
      <c r="K1162" s="77">
        <f t="shared" si="93"/>
        <v>950</v>
      </c>
      <c r="L1162" s="76">
        <v>46142</v>
      </c>
      <c r="N1162" s="83"/>
      <c r="O1162" s="84"/>
      <c r="P1162" s="81"/>
      <c r="Q1162" s="81"/>
      <c r="R1162" s="81"/>
      <c r="S1162" s="81"/>
      <c r="T1162" s="85"/>
      <c r="U1162" s="81"/>
      <c r="V1162" s="81"/>
      <c r="W1162" s="123">
        <f t="shared" si="92"/>
        <v>0</v>
      </c>
      <c r="X1162" s="123" t="s">
        <v>84</v>
      </c>
      <c r="Y1162" s="114" t="s">
        <v>1128</v>
      </c>
    </row>
    <row r="1163" spans="1:25" s="24" customFormat="1" ht="11.1" customHeight="1">
      <c r="A1163" s="74">
        <f t="shared" si="94"/>
        <v>1161</v>
      </c>
      <c r="B1163" s="75" t="s">
        <v>699</v>
      </c>
      <c r="C1163" s="74" t="str">
        <f>IF($B1163&lt;&gt;"",_xlfn.IFNA(VLOOKUP($B1163,'Node Details'!$B:$U,C$1,0),"Check"),"")</f>
        <v>0000CM310-CM3100104</v>
      </c>
      <c r="D1163" s="74" t="str">
        <f>IF($B1163&lt;&gt;"",_xlfn.IFNA(VLOOKUP($B1163,'Node Details'!$B:$U,D$1,0),"Check"),"")</f>
        <v>CM3</v>
      </c>
      <c r="E1163" s="74" t="str">
        <f>IF($B1163&lt;&gt;"",_xlfn.IFNA(VLOOKUP($B1163,'Node Details'!$B:$U,E$1,0),"Check"),"")</f>
        <v>Airtel</v>
      </c>
      <c r="F1163" s="76">
        <v>46149</v>
      </c>
      <c r="G1163" s="74"/>
      <c r="H1163" s="10" t="s">
        <v>1248</v>
      </c>
      <c r="I1163" s="9">
        <v>1</v>
      </c>
      <c r="J1163" s="9">
        <v>950</v>
      </c>
      <c r="K1163" s="77">
        <f t="shared" si="93"/>
        <v>950</v>
      </c>
      <c r="L1163" s="76">
        <v>46142</v>
      </c>
      <c r="N1163" s="83"/>
      <c r="O1163" s="84"/>
      <c r="P1163" s="81"/>
      <c r="Q1163" s="81"/>
      <c r="R1163" s="81"/>
      <c r="S1163" s="81"/>
      <c r="T1163" s="85"/>
      <c r="U1163" s="81"/>
      <c r="V1163" s="81"/>
      <c r="W1163" s="123">
        <f t="shared" si="92"/>
        <v>0</v>
      </c>
      <c r="X1163" s="123" t="s">
        <v>84</v>
      </c>
      <c r="Y1163" s="114" t="s">
        <v>1128</v>
      </c>
    </row>
    <row r="1164" spans="1:25" s="24" customFormat="1" ht="11.1" customHeight="1">
      <c r="A1164" s="74">
        <f t="shared" si="94"/>
        <v>1162</v>
      </c>
      <c r="B1164" s="75" t="s">
        <v>1157</v>
      </c>
      <c r="C1164" s="74" t="str">
        <f>IF($B1164&lt;&gt;"",_xlfn.IFNA(VLOOKUP($B1164,'Node Details'!$B:$U,C$1,0),"Check"),"")</f>
        <v>0000CM310-CM3100103</v>
      </c>
      <c r="D1164" s="74" t="str">
        <f>IF($B1164&lt;&gt;"",_xlfn.IFNA(VLOOKUP($B1164,'Node Details'!$B:$U,D$1,0),"Check"),"")</f>
        <v>CM3</v>
      </c>
      <c r="E1164" s="74" t="str">
        <f>IF($B1164&lt;&gt;"",_xlfn.IFNA(VLOOKUP($B1164,'Node Details'!$B:$U,E$1,0),"Check"),"")</f>
        <v>Airtel</v>
      </c>
      <c r="F1164" s="76">
        <v>46149</v>
      </c>
      <c r="G1164" s="74"/>
      <c r="H1164" s="10" t="s">
        <v>1248</v>
      </c>
      <c r="I1164" s="9">
        <v>1</v>
      </c>
      <c r="J1164" s="9">
        <v>950</v>
      </c>
      <c r="K1164" s="77">
        <f t="shared" si="93"/>
        <v>950</v>
      </c>
      <c r="L1164" s="76">
        <v>46142</v>
      </c>
      <c r="N1164" s="83"/>
      <c r="O1164" s="84"/>
      <c r="P1164" s="81"/>
      <c r="Q1164" s="81"/>
      <c r="R1164" s="81"/>
      <c r="S1164" s="81"/>
      <c r="T1164" s="85"/>
      <c r="U1164" s="81"/>
      <c r="V1164" s="81"/>
      <c r="W1164" s="123">
        <f t="shared" si="92"/>
        <v>0</v>
      </c>
      <c r="X1164" s="123" t="s">
        <v>84</v>
      </c>
      <c r="Y1164" s="114" t="s">
        <v>1128</v>
      </c>
    </row>
    <row r="1165" spans="1:25" s="24" customFormat="1" ht="11.1" customHeight="1">
      <c r="A1165" s="74">
        <f t="shared" si="94"/>
        <v>1163</v>
      </c>
      <c r="B1165" s="75" t="s">
        <v>1158</v>
      </c>
      <c r="C1165" s="74" t="str">
        <f>IF($B1165&lt;&gt;"",_xlfn.IFNA(VLOOKUP($B1165,'Node Details'!$B:$U,C$1,0),"Check"),"")</f>
        <v>0000CM310-CM3100103</v>
      </c>
      <c r="D1165" s="74" t="str">
        <f>IF($B1165&lt;&gt;"",_xlfn.IFNA(VLOOKUP($B1165,'Node Details'!$B:$U,D$1,0),"Check"),"")</f>
        <v>CM3</v>
      </c>
      <c r="E1165" s="74" t="str">
        <f>IF($B1165&lt;&gt;"",_xlfn.IFNA(VLOOKUP($B1165,'Node Details'!$B:$U,E$1,0),"Check"),"")</f>
        <v>Airtel</v>
      </c>
      <c r="F1165" s="76">
        <v>46149</v>
      </c>
      <c r="G1165" s="74"/>
      <c r="H1165" s="10" t="s">
        <v>1248</v>
      </c>
      <c r="I1165" s="9">
        <v>1</v>
      </c>
      <c r="J1165" s="9">
        <v>950</v>
      </c>
      <c r="K1165" s="77">
        <f t="shared" si="93"/>
        <v>950</v>
      </c>
      <c r="L1165" s="76">
        <v>46142</v>
      </c>
      <c r="N1165" s="83"/>
      <c r="O1165" s="84"/>
      <c r="P1165" s="81"/>
      <c r="Q1165" s="81"/>
      <c r="R1165" s="81"/>
      <c r="S1165" s="81"/>
      <c r="T1165" s="85"/>
      <c r="U1165" s="81"/>
      <c r="V1165" s="81"/>
      <c r="W1165" s="123">
        <f t="shared" si="92"/>
        <v>0</v>
      </c>
      <c r="X1165" s="123" t="s">
        <v>84</v>
      </c>
      <c r="Y1165" s="114" t="s">
        <v>1128</v>
      </c>
    </row>
    <row r="1166" spans="1:25" s="24" customFormat="1" ht="11.1" customHeight="1">
      <c r="A1166" s="74">
        <f t="shared" si="94"/>
        <v>1164</v>
      </c>
      <c r="B1166" s="75" t="s">
        <v>701</v>
      </c>
      <c r="C1166" s="74" t="str">
        <f>IF($B1166&lt;&gt;"",_xlfn.IFNA(VLOOKUP($B1166,'Node Details'!$B:$U,C$1,0),"Check"),"")</f>
        <v>0000CM310-CM3100103</v>
      </c>
      <c r="D1166" s="74" t="str">
        <f>IF($B1166&lt;&gt;"",_xlfn.IFNA(VLOOKUP($B1166,'Node Details'!$B:$U,D$1,0),"Check"),"")</f>
        <v>CM3</v>
      </c>
      <c r="E1166" s="74" t="str">
        <f>IF($B1166&lt;&gt;"",_xlfn.IFNA(VLOOKUP($B1166,'Node Details'!$B:$U,E$1,0),"Check"),"")</f>
        <v>Airtel</v>
      </c>
      <c r="F1166" s="76">
        <v>46149</v>
      </c>
      <c r="G1166" s="74"/>
      <c r="H1166" s="10" t="s">
        <v>1248</v>
      </c>
      <c r="I1166" s="9">
        <v>1</v>
      </c>
      <c r="J1166" s="9">
        <v>950</v>
      </c>
      <c r="K1166" s="77">
        <f t="shared" si="93"/>
        <v>950</v>
      </c>
      <c r="L1166" s="76">
        <v>46142</v>
      </c>
      <c r="N1166" s="83"/>
      <c r="O1166" s="84"/>
      <c r="P1166" s="81"/>
      <c r="Q1166" s="81"/>
      <c r="R1166" s="81"/>
      <c r="S1166" s="81"/>
      <c r="T1166" s="85"/>
      <c r="U1166" s="81"/>
      <c r="V1166" s="81"/>
      <c r="W1166" s="123">
        <f t="shared" si="92"/>
        <v>0</v>
      </c>
      <c r="X1166" s="123" t="s">
        <v>84</v>
      </c>
      <c r="Y1166" s="114" t="s">
        <v>1128</v>
      </c>
    </row>
    <row r="1167" spans="1:25" s="24" customFormat="1" ht="11.1" customHeight="1">
      <c r="A1167" s="74">
        <f t="shared" si="94"/>
        <v>1165</v>
      </c>
      <c r="B1167" s="75" t="s">
        <v>1159</v>
      </c>
      <c r="C1167" s="74" t="str">
        <f>IF($B1167&lt;&gt;"",_xlfn.IFNA(VLOOKUP($B1167,'Node Details'!$B:$U,C$1,0),"Check"),"")</f>
        <v>0000CM310-CM3100106</v>
      </c>
      <c r="D1167" s="74" t="str">
        <f>IF($B1167&lt;&gt;"",_xlfn.IFNA(VLOOKUP($B1167,'Node Details'!$B:$U,D$1,0),"Check"),"")</f>
        <v>CM3</v>
      </c>
      <c r="E1167" s="74" t="str">
        <f>IF($B1167&lt;&gt;"",_xlfn.IFNA(VLOOKUP($B1167,'Node Details'!$B:$U,E$1,0),"Check"),"")</f>
        <v>Airtel</v>
      </c>
      <c r="F1167" s="76">
        <v>46149</v>
      </c>
      <c r="G1167" s="74"/>
      <c r="H1167" s="10" t="s">
        <v>1248</v>
      </c>
      <c r="I1167" s="9">
        <v>1</v>
      </c>
      <c r="J1167" s="9">
        <v>950</v>
      </c>
      <c r="K1167" s="77">
        <f t="shared" si="93"/>
        <v>950</v>
      </c>
      <c r="L1167" s="76">
        <v>46142</v>
      </c>
      <c r="N1167" s="83"/>
      <c r="O1167" s="84"/>
      <c r="P1167" s="81"/>
      <c r="Q1167" s="81"/>
      <c r="R1167" s="81"/>
      <c r="S1167" s="81"/>
      <c r="T1167" s="85"/>
      <c r="U1167" s="81"/>
      <c r="V1167" s="81"/>
      <c r="W1167" s="123">
        <f t="shared" si="92"/>
        <v>0</v>
      </c>
      <c r="X1167" s="123" t="s">
        <v>84</v>
      </c>
      <c r="Y1167" s="114" t="s">
        <v>1128</v>
      </c>
    </row>
    <row r="1168" spans="1:25" s="24" customFormat="1" ht="11.1" customHeight="1">
      <c r="A1168" s="74">
        <f t="shared" si="94"/>
        <v>1166</v>
      </c>
      <c r="B1168" s="75" t="s">
        <v>703</v>
      </c>
      <c r="C1168" s="74" t="str">
        <f>IF($B1168&lt;&gt;"",_xlfn.IFNA(VLOOKUP($B1168,'Node Details'!$B:$U,C$1,0),"Check"),"")</f>
        <v>0000CM310-CM3100106</v>
      </c>
      <c r="D1168" s="74" t="str">
        <f>IF($B1168&lt;&gt;"",_xlfn.IFNA(VLOOKUP($B1168,'Node Details'!$B:$U,D$1,0),"Check"),"")</f>
        <v>CM3</v>
      </c>
      <c r="E1168" s="74" t="str">
        <f>IF($B1168&lt;&gt;"",_xlfn.IFNA(VLOOKUP($B1168,'Node Details'!$B:$U,E$1,0),"Check"),"")</f>
        <v>Airtel</v>
      </c>
      <c r="F1168" s="76">
        <v>46149</v>
      </c>
      <c r="G1168" s="74"/>
      <c r="H1168" s="10" t="s">
        <v>1248</v>
      </c>
      <c r="I1168" s="9">
        <v>1</v>
      </c>
      <c r="J1168" s="9">
        <v>950</v>
      </c>
      <c r="K1168" s="77">
        <f t="shared" si="93"/>
        <v>950</v>
      </c>
      <c r="L1168" s="76">
        <v>46142</v>
      </c>
      <c r="N1168" s="83"/>
      <c r="O1168" s="84"/>
      <c r="P1168" s="81"/>
      <c r="Q1168" s="81"/>
      <c r="R1168" s="81"/>
      <c r="S1168" s="81"/>
      <c r="T1168" s="85"/>
      <c r="U1168" s="81"/>
      <c r="V1168" s="81"/>
      <c r="W1168" s="123">
        <f t="shared" si="92"/>
        <v>0</v>
      </c>
      <c r="X1168" s="123" t="s">
        <v>84</v>
      </c>
      <c r="Y1168" s="114" t="s">
        <v>1128</v>
      </c>
    </row>
    <row r="1169" spans="1:25" s="24" customFormat="1" ht="11.1" customHeight="1">
      <c r="A1169" s="74">
        <f t="shared" si="94"/>
        <v>1167</v>
      </c>
      <c r="B1169" s="75" t="s">
        <v>706</v>
      </c>
      <c r="C1169" s="74" t="str">
        <f>IF($B1169&lt;&gt;"",_xlfn.IFNA(VLOOKUP($B1169,'Node Details'!$B:$U,C$1,0),"Check"),"")</f>
        <v>0000CM311-CM3110101</v>
      </c>
      <c r="D1169" s="74" t="str">
        <f>IF($B1169&lt;&gt;"",_xlfn.IFNA(VLOOKUP($B1169,'Node Details'!$B:$U,D$1,0),"Check"),"")</f>
        <v>CM3</v>
      </c>
      <c r="E1169" s="74" t="str">
        <f>IF($B1169&lt;&gt;"",_xlfn.IFNA(VLOOKUP($B1169,'Node Details'!$B:$U,E$1,0),"Check"),"")</f>
        <v>Airtel</v>
      </c>
      <c r="F1169" s="76">
        <v>46149</v>
      </c>
      <c r="G1169" s="74"/>
      <c r="H1169" s="10" t="s">
        <v>1248</v>
      </c>
      <c r="I1169" s="9">
        <v>1</v>
      </c>
      <c r="J1169" s="9">
        <v>950</v>
      </c>
      <c r="K1169" s="77">
        <f t="shared" si="93"/>
        <v>950</v>
      </c>
      <c r="L1169" s="76">
        <v>46142</v>
      </c>
      <c r="N1169" s="83"/>
      <c r="O1169" s="84"/>
      <c r="P1169" s="81"/>
      <c r="Q1169" s="81"/>
      <c r="R1169" s="81"/>
      <c r="S1169" s="81"/>
      <c r="T1169" s="85"/>
      <c r="U1169" s="81"/>
      <c r="V1169" s="81"/>
      <c r="W1169" s="123">
        <f t="shared" si="92"/>
        <v>0</v>
      </c>
      <c r="X1169" s="123" t="s">
        <v>84</v>
      </c>
      <c r="Y1169" s="114" t="s">
        <v>1128</v>
      </c>
    </row>
    <row r="1170" spans="1:25" s="24" customFormat="1" ht="11.1" customHeight="1">
      <c r="A1170" s="74">
        <f t="shared" si="94"/>
        <v>1168</v>
      </c>
      <c r="B1170" s="75" t="s">
        <v>1160</v>
      </c>
      <c r="C1170" s="74" t="str">
        <f>IF($B1170&lt;&gt;"",_xlfn.IFNA(VLOOKUP($B1170,'Node Details'!$B:$U,C$1,0),"Check"),"")</f>
        <v>0000CM311-CM3110103</v>
      </c>
      <c r="D1170" s="74" t="str">
        <f>IF($B1170&lt;&gt;"",_xlfn.IFNA(VLOOKUP($B1170,'Node Details'!$B:$U,D$1,0),"Check"),"")</f>
        <v>CM3</v>
      </c>
      <c r="E1170" s="74" t="str">
        <f>IF($B1170&lt;&gt;"",_xlfn.IFNA(VLOOKUP($B1170,'Node Details'!$B:$U,E$1,0),"Check"),"")</f>
        <v>Airtel</v>
      </c>
      <c r="F1170" s="76">
        <v>46149</v>
      </c>
      <c r="G1170" s="74"/>
      <c r="H1170" s="10" t="s">
        <v>1248</v>
      </c>
      <c r="I1170" s="9">
        <v>1</v>
      </c>
      <c r="J1170" s="9">
        <v>950</v>
      </c>
      <c r="K1170" s="77">
        <f t="shared" si="93"/>
        <v>950</v>
      </c>
      <c r="L1170" s="76">
        <v>46142</v>
      </c>
      <c r="N1170" s="83"/>
      <c r="O1170" s="84"/>
      <c r="P1170" s="81"/>
      <c r="Q1170" s="81"/>
      <c r="R1170" s="81"/>
      <c r="S1170" s="81"/>
      <c r="T1170" s="85"/>
      <c r="U1170" s="81"/>
      <c r="V1170" s="81"/>
      <c r="W1170" s="123">
        <f t="shared" si="92"/>
        <v>0</v>
      </c>
      <c r="X1170" s="123" t="s">
        <v>84</v>
      </c>
      <c r="Y1170" s="114" t="s">
        <v>1128</v>
      </c>
    </row>
    <row r="1171" spans="1:25" s="24" customFormat="1" ht="11.1" customHeight="1">
      <c r="A1171" s="74">
        <f t="shared" si="94"/>
        <v>1169</v>
      </c>
      <c r="B1171" s="75" t="s">
        <v>708</v>
      </c>
      <c r="C1171" s="74" t="str">
        <f>IF($B1171&lt;&gt;"",_xlfn.IFNA(VLOOKUP($B1171,'Node Details'!$B:$U,C$1,0),"Check"),"")</f>
        <v>0000CM311-CM3110103</v>
      </c>
      <c r="D1171" s="74" t="str">
        <f>IF($B1171&lt;&gt;"",_xlfn.IFNA(VLOOKUP($B1171,'Node Details'!$B:$U,D$1,0),"Check"),"")</f>
        <v>CM3</v>
      </c>
      <c r="E1171" s="74" t="str">
        <f>IF($B1171&lt;&gt;"",_xlfn.IFNA(VLOOKUP($B1171,'Node Details'!$B:$U,E$1,0),"Check"),"")</f>
        <v>Airtel</v>
      </c>
      <c r="F1171" s="76">
        <v>46149</v>
      </c>
      <c r="G1171" s="74"/>
      <c r="H1171" s="10" t="s">
        <v>1248</v>
      </c>
      <c r="I1171" s="9">
        <v>1</v>
      </c>
      <c r="J1171" s="9">
        <v>950</v>
      </c>
      <c r="K1171" s="77">
        <f t="shared" si="93"/>
        <v>950</v>
      </c>
      <c r="L1171" s="76">
        <v>46142</v>
      </c>
      <c r="N1171" s="83"/>
      <c r="O1171" s="84"/>
      <c r="P1171" s="81"/>
      <c r="Q1171" s="81"/>
      <c r="R1171" s="81"/>
      <c r="S1171" s="81"/>
      <c r="T1171" s="85"/>
      <c r="U1171" s="81"/>
      <c r="V1171" s="81"/>
      <c r="W1171" s="123">
        <f t="shared" si="92"/>
        <v>0</v>
      </c>
      <c r="X1171" s="123" t="s">
        <v>84</v>
      </c>
      <c r="Y1171" s="114" t="s">
        <v>1128</v>
      </c>
    </row>
    <row r="1172" spans="1:25" s="24" customFormat="1" ht="11.1" customHeight="1">
      <c r="A1172" s="74">
        <f t="shared" si="94"/>
        <v>1170</v>
      </c>
      <c r="B1172" s="75" t="s">
        <v>1161</v>
      </c>
      <c r="C1172" s="74" t="str">
        <f>IF($B1172&lt;&gt;"",_xlfn.IFNA(VLOOKUP($B1172,'Node Details'!$B:$U,C$1,0),"Check"),"")</f>
        <v>0000CM311-CM3110107</v>
      </c>
      <c r="D1172" s="74" t="str">
        <f>IF($B1172&lt;&gt;"",_xlfn.IFNA(VLOOKUP($B1172,'Node Details'!$B:$U,D$1,0),"Check"),"")</f>
        <v>CM3</v>
      </c>
      <c r="E1172" s="74" t="str">
        <f>IF($B1172&lt;&gt;"",_xlfn.IFNA(VLOOKUP($B1172,'Node Details'!$B:$U,E$1,0),"Check"),"")</f>
        <v>Airtel</v>
      </c>
      <c r="F1172" s="76">
        <v>46149</v>
      </c>
      <c r="G1172" s="74"/>
      <c r="H1172" s="10" t="s">
        <v>1248</v>
      </c>
      <c r="I1172" s="9">
        <v>1</v>
      </c>
      <c r="J1172" s="9">
        <v>950</v>
      </c>
      <c r="K1172" s="77">
        <f t="shared" si="93"/>
        <v>950</v>
      </c>
      <c r="L1172" s="76">
        <v>46142</v>
      </c>
      <c r="N1172" s="83"/>
      <c r="O1172" s="84"/>
      <c r="P1172" s="81"/>
      <c r="Q1172" s="81"/>
      <c r="R1172" s="81"/>
      <c r="S1172" s="81"/>
      <c r="T1172" s="85"/>
      <c r="U1172" s="81"/>
      <c r="V1172" s="81"/>
      <c r="W1172" s="123">
        <f t="shared" si="92"/>
        <v>0</v>
      </c>
      <c r="X1172" s="123" t="s">
        <v>84</v>
      </c>
      <c r="Y1172" s="114" t="s">
        <v>1128</v>
      </c>
    </row>
    <row r="1173" spans="1:25" s="24" customFormat="1" ht="11.1" customHeight="1">
      <c r="A1173" s="74">
        <f t="shared" si="94"/>
        <v>1171</v>
      </c>
      <c r="B1173" s="75" t="s">
        <v>1162</v>
      </c>
      <c r="C1173" s="74" t="str">
        <f>IF($B1173&lt;&gt;"",_xlfn.IFNA(VLOOKUP($B1173,'Node Details'!$B:$U,C$1,0),"Check"),"")</f>
        <v>0000CM311-CM3110107</v>
      </c>
      <c r="D1173" s="74" t="str">
        <f>IF($B1173&lt;&gt;"",_xlfn.IFNA(VLOOKUP($B1173,'Node Details'!$B:$U,D$1,0),"Check"),"")</f>
        <v>CM3</v>
      </c>
      <c r="E1173" s="74" t="str">
        <f>IF($B1173&lt;&gt;"",_xlfn.IFNA(VLOOKUP($B1173,'Node Details'!$B:$U,E$1,0),"Check"),"")</f>
        <v>Airtel</v>
      </c>
      <c r="F1173" s="76">
        <v>46149</v>
      </c>
      <c r="G1173" s="74"/>
      <c r="H1173" s="10" t="s">
        <v>1248</v>
      </c>
      <c r="I1173" s="9">
        <v>1</v>
      </c>
      <c r="J1173" s="9">
        <v>950</v>
      </c>
      <c r="K1173" s="77">
        <f t="shared" si="93"/>
        <v>950</v>
      </c>
      <c r="L1173" s="76">
        <v>46142</v>
      </c>
      <c r="N1173" s="83"/>
      <c r="O1173" s="84"/>
      <c r="P1173" s="81"/>
      <c r="Q1173" s="81"/>
      <c r="R1173" s="81"/>
      <c r="S1173" s="81"/>
      <c r="T1173" s="85"/>
      <c r="U1173" s="81"/>
      <c r="V1173" s="81"/>
      <c r="W1173" s="123">
        <f t="shared" si="92"/>
        <v>0</v>
      </c>
      <c r="X1173" s="123" t="s">
        <v>84</v>
      </c>
      <c r="Y1173" s="114" t="s">
        <v>1128</v>
      </c>
    </row>
    <row r="1174" spans="1:25" s="24" customFormat="1" ht="11.1" customHeight="1">
      <c r="A1174" s="74">
        <f t="shared" si="94"/>
        <v>1172</v>
      </c>
      <c r="B1174" s="75" t="s">
        <v>1163</v>
      </c>
      <c r="C1174" s="74" t="str">
        <f>IF($B1174&lt;&gt;"",_xlfn.IFNA(VLOOKUP($B1174,'Node Details'!$B:$U,C$1,0),"Check"),"")</f>
        <v>0000CM311-CM3110107</v>
      </c>
      <c r="D1174" s="74" t="str">
        <f>IF($B1174&lt;&gt;"",_xlfn.IFNA(VLOOKUP($B1174,'Node Details'!$B:$U,D$1,0),"Check"),"")</f>
        <v>CM3</v>
      </c>
      <c r="E1174" s="74" t="str">
        <f>IF($B1174&lt;&gt;"",_xlfn.IFNA(VLOOKUP($B1174,'Node Details'!$B:$U,E$1,0),"Check"),"")</f>
        <v>Airtel</v>
      </c>
      <c r="F1174" s="76">
        <v>46149</v>
      </c>
      <c r="G1174" s="74"/>
      <c r="H1174" s="10" t="s">
        <v>1248</v>
      </c>
      <c r="I1174" s="9">
        <v>1</v>
      </c>
      <c r="J1174" s="9">
        <v>950</v>
      </c>
      <c r="K1174" s="77">
        <f t="shared" si="93"/>
        <v>950</v>
      </c>
      <c r="L1174" s="76">
        <v>46142</v>
      </c>
      <c r="N1174" s="83"/>
      <c r="O1174" s="84"/>
      <c r="P1174" s="81"/>
      <c r="Q1174" s="81"/>
      <c r="R1174" s="81"/>
      <c r="S1174" s="81"/>
      <c r="T1174" s="85"/>
      <c r="U1174" s="81"/>
      <c r="V1174" s="81"/>
      <c r="W1174" s="123">
        <f t="shared" si="92"/>
        <v>0</v>
      </c>
      <c r="X1174" s="123" t="s">
        <v>84</v>
      </c>
      <c r="Y1174" s="114" t="s">
        <v>1128</v>
      </c>
    </row>
    <row r="1175" spans="1:25" s="24" customFormat="1" ht="11.1" customHeight="1">
      <c r="A1175" s="74">
        <f t="shared" si="94"/>
        <v>1173</v>
      </c>
      <c r="B1175" s="75" t="s">
        <v>710</v>
      </c>
      <c r="C1175" s="74" t="str">
        <f>IF($B1175&lt;&gt;"",_xlfn.IFNA(VLOOKUP($B1175,'Node Details'!$B:$U,C$1,0),"Check"),"")</f>
        <v>0000CM311-CM3110107</v>
      </c>
      <c r="D1175" s="74" t="str">
        <f>IF($B1175&lt;&gt;"",_xlfn.IFNA(VLOOKUP($B1175,'Node Details'!$B:$U,D$1,0),"Check"),"")</f>
        <v>CM3</v>
      </c>
      <c r="E1175" s="74" t="str">
        <f>IF($B1175&lt;&gt;"",_xlfn.IFNA(VLOOKUP($B1175,'Node Details'!$B:$U,E$1,0),"Check"),"")</f>
        <v>Airtel</v>
      </c>
      <c r="F1175" s="76">
        <v>46149</v>
      </c>
      <c r="G1175" s="74"/>
      <c r="H1175" s="10" t="s">
        <v>1248</v>
      </c>
      <c r="I1175" s="9">
        <v>1</v>
      </c>
      <c r="J1175" s="9">
        <v>950</v>
      </c>
      <c r="K1175" s="77">
        <f t="shared" si="93"/>
        <v>950</v>
      </c>
      <c r="L1175" s="76">
        <v>46142</v>
      </c>
      <c r="N1175" s="83"/>
      <c r="O1175" s="84"/>
      <c r="P1175" s="81"/>
      <c r="Q1175" s="81"/>
      <c r="R1175" s="81"/>
      <c r="S1175" s="81"/>
      <c r="T1175" s="85"/>
      <c r="U1175" s="81"/>
      <c r="V1175" s="81"/>
      <c r="W1175" s="123">
        <f t="shared" si="92"/>
        <v>0</v>
      </c>
      <c r="X1175" s="123" t="s">
        <v>84</v>
      </c>
      <c r="Y1175" s="114" t="s">
        <v>1128</v>
      </c>
    </row>
    <row r="1176" spans="1:25" s="24" customFormat="1" ht="11.1" customHeight="1">
      <c r="A1176" s="74">
        <f t="shared" si="94"/>
        <v>1174</v>
      </c>
      <c r="B1176" s="75" t="s">
        <v>713</v>
      </c>
      <c r="C1176" s="74" t="str">
        <f>IF($B1176&lt;&gt;"",_xlfn.IFNA(VLOOKUP($B1176,'Node Details'!$B:$U,C$1,0),"Check"),"")</f>
        <v>0000CM312-CM3120102</v>
      </c>
      <c r="D1176" s="74" t="str">
        <f>IF($B1176&lt;&gt;"",_xlfn.IFNA(VLOOKUP($B1176,'Node Details'!$B:$U,D$1,0),"Check"),"")</f>
        <v>CM3</v>
      </c>
      <c r="E1176" s="74" t="str">
        <f>IF($B1176&lt;&gt;"",_xlfn.IFNA(VLOOKUP($B1176,'Node Details'!$B:$U,E$1,0),"Check"),"")</f>
        <v>Airtel</v>
      </c>
      <c r="F1176" s="76">
        <v>46149</v>
      </c>
      <c r="G1176" s="74"/>
      <c r="H1176" s="10" t="s">
        <v>1248</v>
      </c>
      <c r="I1176" s="9">
        <v>1</v>
      </c>
      <c r="J1176" s="9">
        <v>950</v>
      </c>
      <c r="K1176" s="77">
        <f t="shared" si="93"/>
        <v>950</v>
      </c>
      <c r="L1176" s="76">
        <v>46142</v>
      </c>
      <c r="N1176" s="83"/>
      <c r="O1176" s="84"/>
      <c r="P1176" s="81"/>
      <c r="Q1176" s="81"/>
      <c r="R1176" s="81"/>
      <c r="S1176" s="81"/>
      <c r="T1176" s="85"/>
      <c r="U1176" s="81"/>
      <c r="V1176" s="81"/>
      <c r="W1176" s="123">
        <f t="shared" si="92"/>
        <v>0</v>
      </c>
      <c r="X1176" s="123" t="s">
        <v>84</v>
      </c>
      <c r="Y1176" s="114" t="s">
        <v>1128</v>
      </c>
    </row>
    <row r="1177" spans="1:25" s="24" customFormat="1" ht="11.1" customHeight="1">
      <c r="A1177" s="74">
        <f t="shared" si="94"/>
        <v>1175</v>
      </c>
      <c r="B1177" s="75" t="s">
        <v>715</v>
      </c>
      <c r="C1177" s="74" t="str">
        <f>IF($B1177&lt;&gt;"",_xlfn.IFNA(VLOOKUP($B1177,'Node Details'!$B:$U,C$1,0),"Check"),"")</f>
        <v>0000CM312-CM3120103</v>
      </c>
      <c r="D1177" s="74" t="str">
        <f>IF($B1177&lt;&gt;"",_xlfn.IFNA(VLOOKUP($B1177,'Node Details'!$B:$U,D$1,0),"Check"),"")</f>
        <v>CM3</v>
      </c>
      <c r="E1177" s="74" t="str">
        <f>IF($B1177&lt;&gt;"",_xlfn.IFNA(VLOOKUP($B1177,'Node Details'!$B:$U,E$1,0),"Check"),"")</f>
        <v>Airtel</v>
      </c>
      <c r="F1177" s="76">
        <v>46149</v>
      </c>
      <c r="G1177" s="74"/>
      <c r="H1177" s="10" t="s">
        <v>1248</v>
      </c>
      <c r="I1177" s="9">
        <v>1</v>
      </c>
      <c r="J1177" s="9">
        <v>950</v>
      </c>
      <c r="K1177" s="77">
        <f t="shared" si="93"/>
        <v>950</v>
      </c>
      <c r="L1177" s="76">
        <v>46142</v>
      </c>
      <c r="N1177" s="83"/>
      <c r="O1177" s="84"/>
      <c r="P1177" s="81"/>
      <c r="Q1177" s="81"/>
      <c r="R1177" s="81"/>
      <c r="S1177" s="81"/>
      <c r="T1177" s="85"/>
      <c r="U1177" s="81"/>
      <c r="V1177" s="81"/>
      <c r="W1177" s="123">
        <f t="shared" si="92"/>
        <v>0</v>
      </c>
      <c r="X1177" s="123" t="s">
        <v>84</v>
      </c>
      <c r="Y1177" s="114" t="s">
        <v>1128</v>
      </c>
    </row>
    <row r="1178" spans="1:25" s="24" customFormat="1" ht="11.1" customHeight="1">
      <c r="A1178" s="74">
        <f t="shared" si="94"/>
        <v>1176</v>
      </c>
      <c r="B1178" s="75" t="s">
        <v>717</v>
      </c>
      <c r="C1178" s="74" t="str">
        <f>IF($B1178&lt;&gt;"",_xlfn.IFNA(VLOOKUP($B1178,'Node Details'!$B:$U,C$1,0),"Check"),"")</f>
        <v>0000CM312-CM3120104</v>
      </c>
      <c r="D1178" s="74" t="str">
        <f>IF($B1178&lt;&gt;"",_xlfn.IFNA(VLOOKUP($B1178,'Node Details'!$B:$U,D$1,0),"Check"),"")</f>
        <v>CM3</v>
      </c>
      <c r="E1178" s="74" t="str">
        <f>IF($B1178&lt;&gt;"",_xlfn.IFNA(VLOOKUP($B1178,'Node Details'!$B:$U,E$1,0),"Check"),"")</f>
        <v>Airtel</v>
      </c>
      <c r="F1178" s="76">
        <v>46149</v>
      </c>
      <c r="G1178" s="74"/>
      <c r="H1178" s="10" t="s">
        <v>1248</v>
      </c>
      <c r="I1178" s="9">
        <v>1</v>
      </c>
      <c r="J1178" s="9">
        <v>950</v>
      </c>
      <c r="K1178" s="77">
        <f t="shared" si="93"/>
        <v>950</v>
      </c>
      <c r="L1178" s="76">
        <v>46142</v>
      </c>
      <c r="N1178" s="83"/>
      <c r="O1178" s="84"/>
      <c r="P1178" s="81"/>
      <c r="Q1178" s="81"/>
      <c r="R1178" s="81"/>
      <c r="S1178" s="81"/>
      <c r="T1178" s="85"/>
      <c r="U1178" s="81"/>
      <c r="V1178" s="81"/>
      <c r="W1178" s="123">
        <f t="shared" si="92"/>
        <v>0</v>
      </c>
      <c r="X1178" s="123" t="s">
        <v>84</v>
      </c>
      <c r="Y1178" s="114" t="s">
        <v>1128</v>
      </c>
    </row>
    <row r="1179" spans="1:25" s="24" customFormat="1" ht="11.1" customHeight="1">
      <c r="A1179" s="74">
        <f t="shared" si="94"/>
        <v>1177</v>
      </c>
      <c r="B1179" s="75" t="s">
        <v>1164</v>
      </c>
      <c r="C1179" s="74" t="str">
        <f>IF($B1179&lt;&gt;"",_xlfn.IFNA(VLOOKUP($B1179,'Node Details'!$B:$U,C$1,0),"Check"),"")</f>
        <v>0000CM312-CM3120108</v>
      </c>
      <c r="D1179" s="74" t="str">
        <f>IF($B1179&lt;&gt;"",_xlfn.IFNA(VLOOKUP($B1179,'Node Details'!$B:$U,D$1,0),"Check"),"")</f>
        <v>CM3</v>
      </c>
      <c r="E1179" s="74" t="str">
        <f>IF($B1179&lt;&gt;"",_xlfn.IFNA(VLOOKUP($B1179,'Node Details'!$B:$U,E$1,0),"Check"),"")</f>
        <v>Airtel</v>
      </c>
      <c r="F1179" s="76">
        <v>46149</v>
      </c>
      <c r="G1179" s="74"/>
      <c r="H1179" s="10" t="s">
        <v>1248</v>
      </c>
      <c r="I1179" s="9">
        <v>1</v>
      </c>
      <c r="J1179" s="9">
        <v>950</v>
      </c>
      <c r="K1179" s="77">
        <f t="shared" si="93"/>
        <v>950</v>
      </c>
      <c r="L1179" s="76">
        <v>46142</v>
      </c>
      <c r="N1179" s="83"/>
      <c r="O1179" s="84"/>
      <c r="P1179" s="81"/>
      <c r="Q1179" s="81"/>
      <c r="R1179" s="81"/>
      <c r="S1179" s="81"/>
      <c r="T1179" s="85"/>
      <c r="U1179" s="81"/>
      <c r="V1179" s="81"/>
      <c r="W1179" s="123">
        <f t="shared" si="92"/>
        <v>0</v>
      </c>
      <c r="X1179" s="123" t="s">
        <v>84</v>
      </c>
      <c r="Y1179" s="114" t="s">
        <v>1128</v>
      </c>
    </row>
    <row r="1180" spans="1:25" s="24" customFormat="1" ht="11.1" customHeight="1">
      <c r="A1180" s="74">
        <f t="shared" si="94"/>
        <v>1178</v>
      </c>
      <c r="B1180" s="75" t="s">
        <v>1165</v>
      </c>
      <c r="C1180" s="74" t="str">
        <f>IF($B1180&lt;&gt;"",_xlfn.IFNA(VLOOKUP($B1180,'Node Details'!$B:$U,C$1,0),"Check"),"")</f>
        <v>0000CM312-CM3120108</v>
      </c>
      <c r="D1180" s="74" t="str">
        <f>IF($B1180&lt;&gt;"",_xlfn.IFNA(VLOOKUP($B1180,'Node Details'!$B:$U,D$1,0),"Check"),"")</f>
        <v>CM3</v>
      </c>
      <c r="E1180" s="74" t="str">
        <f>IF($B1180&lt;&gt;"",_xlfn.IFNA(VLOOKUP($B1180,'Node Details'!$B:$U,E$1,0),"Check"),"")</f>
        <v>Airtel</v>
      </c>
      <c r="F1180" s="76">
        <v>46149</v>
      </c>
      <c r="G1180" s="74"/>
      <c r="H1180" s="10" t="s">
        <v>1248</v>
      </c>
      <c r="I1180" s="9">
        <v>1</v>
      </c>
      <c r="J1180" s="9">
        <v>950</v>
      </c>
      <c r="K1180" s="77">
        <f t="shared" si="93"/>
        <v>950</v>
      </c>
      <c r="L1180" s="76">
        <v>46142</v>
      </c>
      <c r="N1180" s="83"/>
      <c r="O1180" s="84"/>
      <c r="P1180" s="81"/>
      <c r="Q1180" s="81"/>
      <c r="R1180" s="81"/>
      <c r="S1180" s="81"/>
      <c r="T1180" s="85"/>
      <c r="U1180" s="81"/>
      <c r="V1180" s="81"/>
      <c r="W1180" s="123">
        <f t="shared" si="92"/>
        <v>0</v>
      </c>
      <c r="X1180" s="123" t="s">
        <v>84</v>
      </c>
      <c r="Y1180" s="114" t="s">
        <v>1128</v>
      </c>
    </row>
    <row r="1181" spans="1:25" s="24" customFormat="1" ht="11.1" customHeight="1">
      <c r="A1181" s="74">
        <f t="shared" si="94"/>
        <v>1179</v>
      </c>
      <c r="B1181" s="75" t="s">
        <v>1166</v>
      </c>
      <c r="C1181" s="74" t="str">
        <f>IF($B1181&lt;&gt;"",_xlfn.IFNA(VLOOKUP($B1181,'Node Details'!$B:$U,C$1,0),"Check"),"")</f>
        <v>0000CM312-CM3120108</v>
      </c>
      <c r="D1181" s="74" t="str">
        <f>IF($B1181&lt;&gt;"",_xlfn.IFNA(VLOOKUP($B1181,'Node Details'!$B:$U,D$1,0),"Check"),"")</f>
        <v>CM3</v>
      </c>
      <c r="E1181" s="74" t="str">
        <f>IF($B1181&lt;&gt;"",_xlfn.IFNA(VLOOKUP($B1181,'Node Details'!$B:$U,E$1,0),"Check"),"")</f>
        <v>Airtel</v>
      </c>
      <c r="F1181" s="76">
        <v>46149</v>
      </c>
      <c r="G1181" s="74"/>
      <c r="H1181" s="10" t="s">
        <v>1248</v>
      </c>
      <c r="I1181" s="9">
        <v>1</v>
      </c>
      <c r="J1181" s="9">
        <v>950</v>
      </c>
      <c r="K1181" s="77">
        <f t="shared" si="93"/>
        <v>950</v>
      </c>
      <c r="L1181" s="76">
        <v>46142</v>
      </c>
      <c r="N1181" s="83"/>
      <c r="O1181" s="84"/>
      <c r="P1181" s="81"/>
      <c r="Q1181" s="81"/>
      <c r="R1181" s="81"/>
      <c r="S1181" s="81"/>
      <c r="T1181" s="85"/>
      <c r="U1181" s="81"/>
      <c r="V1181" s="81"/>
      <c r="W1181" s="123">
        <f t="shared" si="92"/>
        <v>0</v>
      </c>
      <c r="X1181" s="123" t="s">
        <v>84</v>
      </c>
      <c r="Y1181" s="114" t="s">
        <v>1128</v>
      </c>
    </row>
    <row r="1182" spans="1:25" s="24" customFormat="1" ht="11.1" customHeight="1">
      <c r="A1182" s="74">
        <f t="shared" si="94"/>
        <v>1180</v>
      </c>
      <c r="B1182" s="75" t="s">
        <v>719</v>
      </c>
      <c r="C1182" s="74" t="str">
        <f>IF($B1182&lt;&gt;"",_xlfn.IFNA(VLOOKUP($B1182,'Node Details'!$B:$U,C$1,0),"Check"),"")</f>
        <v>0000CM312-CM3120108</v>
      </c>
      <c r="D1182" s="74" t="str">
        <f>IF($B1182&lt;&gt;"",_xlfn.IFNA(VLOOKUP($B1182,'Node Details'!$B:$U,D$1,0),"Check"),"")</f>
        <v>CM3</v>
      </c>
      <c r="E1182" s="74" t="str">
        <f>IF($B1182&lt;&gt;"",_xlfn.IFNA(VLOOKUP($B1182,'Node Details'!$B:$U,E$1,0),"Check"),"")</f>
        <v>Airtel</v>
      </c>
      <c r="F1182" s="76">
        <v>46149</v>
      </c>
      <c r="G1182" s="74"/>
      <c r="H1182" s="10" t="s">
        <v>1248</v>
      </c>
      <c r="I1182" s="9">
        <v>1</v>
      </c>
      <c r="J1182" s="9">
        <v>950</v>
      </c>
      <c r="K1182" s="77">
        <f t="shared" si="93"/>
        <v>950</v>
      </c>
      <c r="L1182" s="76">
        <v>46142</v>
      </c>
      <c r="N1182" s="83"/>
      <c r="O1182" s="84"/>
      <c r="P1182" s="81"/>
      <c r="Q1182" s="81"/>
      <c r="R1182" s="81"/>
      <c r="S1182" s="81"/>
      <c r="T1182" s="85"/>
      <c r="U1182" s="81"/>
      <c r="V1182" s="81"/>
      <c r="W1182" s="123">
        <f t="shared" si="92"/>
        <v>0</v>
      </c>
      <c r="X1182" s="123" t="s">
        <v>84</v>
      </c>
      <c r="Y1182" s="114" t="s">
        <v>1128</v>
      </c>
    </row>
    <row r="1183" spans="1:25" s="24" customFormat="1" ht="11.1" customHeight="1">
      <c r="A1183" s="74">
        <f t="shared" si="94"/>
        <v>1181</v>
      </c>
      <c r="B1183" s="75" t="s">
        <v>721</v>
      </c>
      <c r="C1183" s="74" t="str">
        <f>IF($B1183&lt;&gt;"",_xlfn.IFNA(VLOOKUP($B1183,'Node Details'!$B:$U,C$1,0),"Check"),"")</f>
        <v>0000CM313-CM3130101</v>
      </c>
      <c r="D1183" s="74" t="str">
        <f>IF($B1183&lt;&gt;"",_xlfn.IFNA(VLOOKUP($B1183,'Node Details'!$B:$U,D$1,0),"Check"),"")</f>
        <v>CM3</v>
      </c>
      <c r="E1183" s="74" t="str">
        <f>IF($B1183&lt;&gt;"",_xlfn.IFNA(VLOOKUP($B1183,'Node Details'!$B:$U,E$1,0),"Check"),"")</f>
        <v>Airtel</v>
      </c>
      <c r="F1183" s="76">
        <v>46149</v>
      </c>
      <c r="G1183" s="74"/>
      <c r="H1183" s="10" t="s">
        <v>1248</v>
      </c>
      <c r="I1183" s="9">
        <v>1</v>
      </c>
      <c r="J1183" s="9">
        <v>950</v>
      </c>
      <c r="K1183" s="77">
        <f t="shared" si="93"/>
        <v>950</v>
      </c>
      <c r="L1183" s="76">
        <v>46142</v>
      </c>
      <c r="N1183" s="83"/>
      <c r="O1183" s="84"/>
      <c r="P1183" s="81"/>
      <c r="Q1183" s="81"/>
      <c r="R1183" s="81"/>
      <c r="S1183" s="81"/>
      <c r="T1183" s="85"/>
      <c r="U1183" s="81"/>
      <c r="V1183" s="81"/>
      <c r="W1183" s="123">
        <f t="shared" si="92"/>
        <v>0</v>
      </c>
      <c r="X1183" s="123" t="s">
        <v>84</v>
      </c>
      <c r="Y1183" s="114" t="s">
        <v>1128</v>
      </c>
    </row>
    <row r="1184" spans="1:25" s="24" customFormat="1" ht="11.1" customHeight="1">
      <c r="A1184" s="74">
        <f t="shared" si="94"/>
        <v>1182</v>
      </c>
      <c r="B1184" s="75" t="s">
        <v>1167</v>
      </c>
      <c r="C1184" s="74" t="str">
        <f>IF($B1184&lt;&gt;"",_xlfn.IFNA(VLOOKUP($B1184,'Node Details'!$B:$U,C$1,0),"Check"),"")</f>
        <v>0000CM313-CM3130107</v>
      </c>
      <c r="D1184" s="74" t="str">
        <f>IF($B1184&lt;&gt;"",_xlfn.IFNA(VLOOKUP($B1184,'Node Details'!$B:$U,D$1,0),"Check"),"")</f>
        <v>CM3</v>
      </c>
      <c r="E1184" s="74" t="str">
        <f>IF($B1184&lt;&gt;"",_xlfn.IFNA(VLOOKUP($B1184,'Node Details'!$B:$U,E$1,0),"Check"),"")</f>
        <v>Airtel</v>
      </c>
      <c r="F1184" s="76">
        <v>46149</v>
      </c>
      <c r="G1184" s="74"/>
      <c r="H1184" s="10" t="s">
        <v>1248</v>
      </c>
      <c r="I1184" s="9">
        <v>1</v>
      </c>
      <c r="J1184" s="9">
        <v>950</v>
      </c>
      <c r="K1184" s="77">
        <f t="shared" si="93"/>
        <v>950</v>
      </c>
      <c r="L1184" s="76">
        <v>46142</v>
      </c>
      <c r="N1184" s="83"/>
      <c r="O1184" s="84"/>
      <c r="P1184" s="81"/>
      <c r="Q1184" s="81"/>
      <c r="R1184" s="81"/>
      <c r="S1184" s="81"/>
      <c r="T1184" s="85"/>
      <c r="U1184" s="81"/>
      <c r="V1184" s="81"/>
      <c r="W1184" s="123">
        <f t="shared" si="92"/>
        <v>0</v>
      </c>
      <c r="X1184" s="123" t="s">
        <v>84</v>
      </c>
      <c r="Y1184" s="114" t="s">
        <v>1128</v>
      </c>
    </row>
    <row r="1185" spans="1:25" s="24" customFormat="1" ht="11.1" customHeight="1">
      <c r="A1185" s="74">
        <f t="shared" si="94"/>
        <v>1183</v>
      </c>
      <c r="B1185" s="75" t="s">
        <v>723</v>
      </c>
      <c r="C1185" s="74" t="str">
        <f>IF($B1185&lt;&gt;"",_xlfn.IFNA(VLOOKUP($B1185,'Node Details'!$B:$U,C$1,0),"Check"),"")</f>
        <v>0000CM313-CM3130107</v>
      </c>
      <c r="D1185" s="74" t="str">
        <f>IF($B1185&lt;&gt;"",_xlfn.IFNA(VLOOKUP($B1185,'Node Details'!$B:$U,D$1,0),"Check"),"")</f>
        <v>CM3</v>
      </c>
      <c r="E1185" s="74" t="str">
        <f>IF($B1185&lt;&gt;"",_xlfn.IFNA(VLOOKUP($B1185,'Node Details'!$B:$U,E$1,0),"Check"),"")</f>
        <v>Airtel</v>
      </c>
      <c r="F1185" s="76">
        <v>46149</v>
      </c>
      <c r="G1185" s="74"/>
      <c r="H1185" s="10" t="s">
        <v>1248</v>
      </c>
      <c r="I1185" s="9">
        <v>1</v>
      </c>
      <c r="J1185" s="9">
        <v>950</v>
      </c>
      <c r="K1185" s="77">
        <f t="shared" si="93"/>
        <v>950</v>
      </c>
      <c r="L1185" s="76">
        <v>46142</v>
      </c>
      <c r="N1185" s="83"/>
      <c r="O1185" s="84"/>
      <c r="P1185" s="81"/>
      <c r="Q1185" s="81"/>
      <c r="R1185" s="81"/>
      <c r="S1185" s="81"/>
      <c r="T1185" s="85"/>
      <c r="U1185" s="81"/>
      <c r="V1185" s="81"/>
      <c r="W1185" s="123">
        <f t="shared" si="92"/>
        <v>0</v>
      </c>
      <c r="X1185" s="123" t="s">
        <v>84</v>
      </c>
      <c r="Y1185" s="114" t="s">
        <v>1128</v>
      </c>
    </row>
    <row r="1186" spans="1:25" s="24" customFormat="1" ht="11.1" customHeight="1">
      <c r="A1186" s="74">
        <f t="shared" si="94"/>
        <v>1184</v>
      </c>
      <c r="B1186" s="75" t="s">
        <v>1168</v>
      </c>
      <c r="C1186" s="74" t="str">
        <f>IF($B1186&lt;&gt;"",_xlfn.IFNA(VLOOKUP($B1186,'Node Details'!$B:$U,C$1,0),"Check"),"")</f>
        <v>0000CM313-CM3130104</v>
      </c>
      <c r="D1186" s="74" t="str">
        <f>IF($B1186&lt;&gt;"",_xlfn.IFNA(VLOOKUP($B1186,'Node Details'!$B:$U,D$1,0),"Check"),"")</f>
        <v>CM3</v>
      </c>
      <c r="E1186" s="74" t="str">
        <f>IF($B1186&lt;&gt;"",_xlfn.IFNA(VLOOKUP($B1186,'Node Details'!$B:$U,E$1,0),"Check"),"")</f>
        <v>Airtel</v>
      </c>
      <c r="F1186" s="76">
        <v>46149</v>
      </c>
      <c r="G1186" s="74"/>
      <c r="H1186" s="10" t="s">
        <v>1248</v>
      </c>
      <c r="I1186" s="9">
        <v>1</v>
      </c>
      <c r="J1186" s="9">
        <v>950</v>
      </c>
      <c r="K1186" s="77">
        <f t="shared" si="93"/>
        <v>950</v>
      </c>
      <c r="L1186" s="76">
        <v>46142</v>
      </c>
      <c r="N1186" s="83"/>
      <c r="O1186" s="84"/>
      <c r="P1186" s="81"/>
      <c r="Q1186" s="81"/>
      <c r="R1186" s="81"/>
      <c r="S1186" s="81"/>
      <c r="T1186" s="85"/>
      <c r="U1186" s="81"/>
      <c r="V1186" s="81"/>
      <c r="W1186" s="123">
        <f t="shared" si="92"/>
        <v>0</v>
      </c>
      <c r="X1186" s="123" t="s">
        <v>84</v>
      </c>
      <c r="Y1186" s="114" t="s">
        <v>1128</v>
      </c>
    </row>
    <row r="1187" spans="1:25" s="24" customFormat="1" ht="11.1" customHeight="1">
      <c r="A1187" s="74">
        <f t="shared" si="94"/>
        <v>1185</v>
      </c>
      <c r="B1187" s="75" t="s">
        <v>725</v>
      </c>
      <c r="C1187" s="74" t="str">
        <f>IF($B1187&lt;&gt;"",_xlfn.IFNA(VLOOKUP($B1187,'Node Details'!$B:$U,C$1,0),"Check"),"")</f>
        <v>0000CM313-CM3130104</v>
      </c>
      <c r="D1187" s="74" t="str">
        <f>IF($B1187&lt;&gt;"",_xlfn.IFNA(VLOOKUP($B1187,'Node Details'!$B:$U,D$1,0),"Check"),"")</f>
        <v>CM3</v>
      </c>
      <c r="E1187" s="74" t="str">
        <f>IF($B1187&lt;&gt;"",_xlfn.IFNA(VLOOKUP($B1187,'Node Details'!$B:$U,E$1,0),"Check"),"")</f>
        <v>Airtel</v>
      </c>
      <c r="F1187" s="76">
        <v>46149</v>
      </c>
      <c r="G1187" s="74"/>
      <c r="H1187" s="10" t="s">
        <v>1248</v>
      </c>
      <c r="I1187" s="9">
        <v>1</v>
      </c>
      <c r="J1187" s="9">
        <v>950</v>
      </c>
      <c r="K1187" s="77">
        <f t="shared" si="93"/>
        <v>950</v>
      </c>
      <c r="L1187" s="76">
        <v>46142</v>
      </c>
      <c r="N1187" s="83"/>
      <c r="O1187" s="84"/>
      <c r="P1187" s="81"/>
      <c r="Q1187" s="81"/>
      <c r="R1187" s="81"/>
      <c r="S1187" s="81"/>
      <c r="T1187" s="85"/>
      <c r="U1187" s="81"/>
      <c r="V1187" s="81"/>
      <c r="W1187" s="123">
        <f t="shared" si="92"/>
        <v>0</v>
      </c>
      <c r="X1187" s="123" t="s">
        <v>84</v>
      </c>
      <c r="Y1187" s="114" t="s">
        <v>1128</v>
      </c>
    </row>
    <row r="1188" spans="1:25" s="24" customFormat="1" ht="11.1" customHeight="1">
      <c r="A1188" s="74">
        <f t="shared" si="94"/>
        <v>1186</v>
      </c>
      <c r="B1188" s="75" t="s">
        <v>727</v>
      </c>
      <c r="C1188" s="74" t="str">
        <f>IF($B1188&lt;&gt;"",_xlfn.IFNA(VLOOKUP($B1188,'Node Details'!$B:$U,C$1,0),"Check"),"")</f>
        <v>0000CM314-CM3140101</v>
      </c>
      <c r="D1188" s="74" t="str">
        <f>IF($B1188&lt;&gt;"",_xlfn.IFNA(VLOOKUP($B1188,'Node Details'!$B:$U,D$1,0),"Check"),"")</f>
        <v>CM3</v>
      </c>
      <c r="E1188" s="74" t="str">
        <f>IF($B1188&lt;&gt;"",_xlfn.IFNA(VLOOKUP($B1188,'Node Details'!$B:$U,E$1,0),"Check"),"")</f>
        <v>Airtel</v>
      </c>
      <c r="F1188" s="76">
        <v>46149</v>
      </c>
      <c r="G1188" s="74"/>
      <c r="H1188" s="10" t="s">
        <v>1248</v>
      </c>
      <c r="I1188" s="9">
        <v>1</v>
      </c>
      <c r="J1188" s="9">
        <v>950</v>
      </c>
      <c r="K1188" s="77">
        <f t="shared" si="93"/>
        <v>950</v>
      </c>
      <c r="L1188" s="76">
        <v>46142</v>
      </c>
      <c r="N1188" s="83"/>
      <c r="O1188" s="84"/>
      <c r="P1188" s="81"/>
      <c r="Q1188" s="81"/>
      <c r="R1188" s="81"/>
      <c r="S1188" s="81"/>
      <c r="T1188" s="85"/>
      <c r="U1188" s="81"/>
      <c r="V1188" s="81"/>
      <c r="W1188" s="123">
        <f t="shared" si="92"/>
        <v>0</v>
      </c>
      <c r="X1188" s="123" t="s">
        <v>84</v>
      </c>
      <c r="Y1188" s="114" t="s">
        <v>1128</v>
      </c>
    </row>
    <row r="1189" spans="1:25" s="24" customFormat="1" ht="11.1" customHeight="1">
      <c r="A1189" s="74">
        <f t="shared" si="94"/>
        <v>1187</v>
      </c>
      <c r="B1189" s="75" t="s">
        <v>1169</v>
      </c>
      <c r="C1189" s="74" t="str">
        <f>IF($B1189&lt;&gt;"",_xlfn.IFNA(VLOOKUP($B1189,'Node Details'!$B:$U,C$1,0),"Check"),"")</f>
        <v>0000CM314-CM3140108</v>
      </c>
      <c r="D1189" s="74" t="str">
        <f>IF($B1189&lt;&gt;"",_xlfn.IFNA(VLOOKUP($B1189,'Node Details'!$B:$U,D$1,0),"Check"),"")</f>
        <v>CM3</v>
      </c>
      <c r="E1189" s="74" t="str">
        <f>IF($B1189&lt;&gt;"",_xlfn.IFNA(VLOOKUP($B1189,'Node Details'!$B:$U,E$1,0),"Check"),"")</f>
        <v>Airtel</v>
      </c>
      <c r="F1189" s="76">
        <v>46149</v>
      </c>
      <c r="G1189" s="74"/>
      <c r="H1189" s="10" t="s">
        <v>1248</v>
      </c>
      <c r="I1189" s="9">
        <v>1</v>
      </c>
      <c r="J1189" s="9">
        <v>950</v>
      </c>
      <c r="K1189" s="77">
        <f t="shared" si="93"/>
        <v>950</v>
      </c>
      <c r="L1189" s="76">
        <v>46142</v>
      </c>
      <c r="N1189" s="83"/>
      <c r="O1189" s="84"/>
      <c r="P1189" s="81"/>
      <c r="Q1189" s="81"/>
      <c r="R1189" s="81"/>
      <c r="S1189" s="81"/>
      <c r="T1189" s="85"/>
      <c r="U1189" s="81"/>
      <c r="V1189" s="81"/>
      <c r="W1189" s="123">
        <f t="shared" si="92"/>
        <v>0</v>
      </c>
      <c r="X1189" s="123" t="s">
        <v>84</v>
      </c>
      <c r="Y1189" s="114" t="s">
        <v>1128</v>
      </c>
    </row>
    <row r="1190" spans="1:25" s="24" customFormat="1" ht="11.1" customHeight="1">
      <c r="A1190" s="74">
        <f t="shared" si="94"/>
        <v>1188</v>
      </c>
      <c r="B1190" s="75" t="s">
        <v>1170</v>
      </c>
      <c r="C1190" s="74" t="str">
        <f>IF($B1190&lt;&gt;"",_xlfn.IFNA(VLOOKUP($B1190,'Node Details'!$B:$U,C$1,0),"Check"),"")</f>
        <v>0000CM314-CM3140108</v>
      </c>
      <c r="D1190" s="74" t="str">
        <f>IF($B1190&lt;&gt;"",_xlfn.IFNA(VLOOKUP($B1190,'Node Details'!$B:$U,D$1,0),"Check"),"")</f>
        <v>CM3</v>
      </c>
      <c r="E1190" s="74" t="str">
        <f>IF($B1190&lt;&gt;"",_xlfn.IFNA(VLOOKUP($B1190,'Node Details'!$B:$U,E$1,0),"Check"),"")</f>
        <v>Airtel</v>
      </c>
      <c r="F1190" s="76">
        <v>46149</v>
      </c>
      <c r="G1190" s="74"/>
      <c r="H1190" s="10" t="s">
        <v>1248</v>
      </c>
      <c r="I1190" s="9">
        <v>1</v>
      </c>
      <c r="J1190" s="9">
        <v>950</v>
      </c>
      <c r="K1190" s="77">
        <f t="shared" si="93"/>
        <v>950</v>
      </c>
      <c r="L1190" s="76">
        <v>46142</v>
      </c>
      <c r="N1190" s="83"/>
      <c r="O1190" s="84"/>
      <c r="P1190" s="81"/>
      <c r="Q1190" s="81"/>
      <c r="R1190" s="81"/>
      <c r="S1190" s="81"/>
      <c r="T1190" s="85"/>
      <c r="U1190" s="81"/>
      <c r="V1190" s="81"/>
      <c r="W1190" s="123">
        <f t="shared" si="92"/>
        <v>0</v>
      </c>
      <c r="X1190" s="123" t="s">
        <v>84</v>
      </c>
      <c r="Y1190" s="114" t="s">
        <v>1128</v>
      </c>
    </row>
    <row r="1191" spans="1:25" s="24" customFormat="1" ht="11.1" customHeight="1">
      <c r="A1191" s="74">
        <f t="shared" si="94"/>
        <v>1189</v>
      </c>
      <c r="B1191" s="75" t="s">
        <v>1171</v>
      </c>
      <c r="C1191" s="74" t="str">
        <f>IF($B1191&lt;&gt;"",_xlfn.IFNA(VLOOKUP($B1191,'Node Details'!$B:$U,C$1,0),"Check"),"")</f>
        <v>0000CM314-CM3140108</v>
      </c>
      <c r="D1191" s="74" t="str">
        <f>IF($B1191&lt;&gt;"",_xlfn.IFNA(VLOOKUP($B1191,'Node Details'!$B:$U,D$1,0),"Check"),"")</f>
        <v>CM3</v>
      </c>
      <c r="E1191" s="74" t="str">
        <f>IF($B1191&lt;&gt;"",_xlfn.IFNA(VLOOKUP($B1191,'Node Details'!$B:$U,E$1,0),"Check"),"")</f>
        <v>Airtel</v>
      </c>
      <c r="F1191" s="76">
        <v>46149</v>
      </c>
      <c r="G1191" s="74"/>
      <c r="H1191" s="10" t="s">
        <v>1248</v>
      </c>
      <c r="I1191" s="9">
        <v>1</v>
      </c>
      <c r="J1191" s="9">
        <v>950</v>
      </c>
      <c r="K1191" s="77">
        <f t="shared" si="93"/>
        <v>950</v>
      </c>
      <c r="L1191" s="76">
        <v>46142</v>
      </c>
      <c r="N1191" s="83"/>
      <c r="O1191" s="84"/>
      <c r="P1191" s="81"/>
      <c r="Q1191" s="81"/>
      <c r="R1191" s="81"/>
      <c r="S1191" s="81"/>
      <c r="T1191" s="85"/>
      <c r="U1191" s="81"/>
      <c r="V1191" s="81"/>
      <c r="W1191" s="123">
        <f t="shared" si="92"/>
        <v>0</v>
      </c>
      <c r="X1191" s="123" t="s">
        <v>84</v>
      </c>
      <c r="Y1191" s="114" t="s">
        <v>1128</v>
      </c>
    </row>
    <row r="1192" spans="1:25" s="24" customFormat="1" ht="11.1" customHeight="1">
      <c r="A1192" s="74">
        <f t="shared" si="94"/>
        <v>1190</v>
      </c>
      <c r="B1192" s="75" t="s">
        <v>729</v>
      </c>
      <c r="C1192" s="74" t="str">
        <f>IF($B1192&lt;&gt;"",_xlfn.IFNA(VLOOKUP($B1192,'Node Details'!$B:$U,C$1,0),"Check"),"")</f>
        <v>0000CM314-CM3140108</v>
      </c>
      <c r="D1192" s="74" t="str">
        <f>IF($B1192&lt;&gt;"",_xlfn.IFNA(VLOOKUP($B1192,'Node Details'!$B:$U,D$1,0),"Check"),"")</f>
        <v>CM3</v>
      </c>
      <c r="E1192" s="74" t="str">
        <f>IF($B1192&lt;&gt;"",_xlfn.IFNA(VLOOKUP($B1192,'Node Details'!$B:$U,E$1,0),"Check"),"")</f>
        <v>Airtel</v>
      </c>
      <c r="F1192" s="76">
        <v>46149</v>
      </c>
      <c r="G1192" s="74"/>
      <c r="H1192" s="10" t="s">
        <v>1248</v>
      </c>
      <c r="I1192" s="9">
        <v>1</v>
      </c>
      <c r="J1192" s="9">
        <v>950</v>
      </c>
      <c r="K1192" s="77">
        <f t="shared" si="93"/>
        <v>950</v>
      </c>
      <c r="L1192" s="76">
        <v>46142</v>
      </c>
      <c r="N1192" s="83"/>
      <c r="O1192" s="84"/>
      <c r="P1192" s="81"/>
      <c r="Q1192" s="81"/>
      <c r="R1192" s="81"/>
      <c r="S1192" s="81"/>
      <c r="T1192" s="85"/>
      <c r="U1192" s="81"/>
      <c r="V1192" s="81"/>
      <c r="W1192" s="123">
        <f t="shared" si="92"/>
        <v>0</v>
      </c>
      <c r="X1192" s="123" t="s">
        <v>84</v>
      </c>
      <c r="Y1192" s="114" t="s">
        <v>1128</v>
      </c>
    </row>
    <row r="1193" spans="1:25" s="24" customFormat="1" ht="11.1" customHeight="1">
      <c r="A1193" s="74">
        <f t="shared" si="94"/>
        <v>1191</v>
      </c>
      <c r="B1193" s="75" t="s">
        <v>1172</v>
      </c>
      <c r="C1193" s="74" t="str">
        <f>IF($B1193&lt;&gt;"",_xlfn.IFNA(VLOOKUP($B1193,'Node Details'!$B:$U,C$1,0),"Check"),"")</f>
        <v>0000CM314-CM3140103</v>
      </c>
      <c r="D1193" s="74" t="str">
        <f>IF($B1193&lt;&gt;"",_xlfn.IFNA(VLOOKUP($B1193,'Node Details'!$B:$U,D$1,0),"Check"),"")</f>
        <v>CM3</v>
      </c>
      <c r="E1193" s="74" t="str">
        <f>IF($B1193&lt;&gt;"",_xlfn.IFNA(VLOOKUP($B1193,'Node Details'!$B:$U,E$1,0),"Check"),"")</f>
        <v>Airtel</v>
      </c>
      <c r="F1193" s="76">
        <v>46149</v>
      </c>
      <c r="G1193" s="74"/>
      <c r="H1193" s="10" t="s">
        <v>1248</v>
      </c>
      <c r="I1193" s="9">
        <v>1</v>
      </c>
      <c r="J1193" s="9">
        <v>950</v>
      </c>
      <c r="K1193" s="77">
        <f t="shared" si="93"/>
        <v>950</v>
      </c>
      <c r="L1193" s="76">
        <v>46142</v>
      </c>
      <c r="N1193" s="83"/>
      <c r="O1193" s="84"/>
      <c r="P1193" s="81"/>
      <c r="Q1193" s="81"/>
      <c r="R1193" s="81"/>
      <c r="S1193" s="81"/>
      <c r="T1193" s="85"/>
      <c r="U1193" s="81"/>
      <c r="V1193" s="81"/>
      <c r="W1193" s="123">
        <f t="shared" si="92"/>
        <v>0</v>
      </c>
      <c r="X1193" s="123" t="s">
        <v>84</v>
      </c>
      <c r="Y1193" s="114" t="s">
        <v>1128</v>
      </c>
    </row>
    <row r="1194" spans="1:25" s="24" customFormat="1" ht="11.1" customHeight="1">
      <c r="A1194" s="74">
        <f t="shared" si="94"/>
        <v>1192</v>
      </c>
      <c r="B1194" s="75" t="s">
        <v>731</v>
      </c>
      <c r="C1194" s="74" t="str">
        <f>IF($B1194&lt;&gt;"",_xlfn.IFNA(VLOOKUP($B1194,'Node Details'!$B:$U,C$1,0),"Check"),"")</f>
        <v>0000CM314-CM3140103</v>
      </c>
      <c r="D1194" s="74" t="str">
        <f>IF($B1194&lt;&gt;"",_xlfn.IFNA(VLOOKUP($B1194,'Node Details'!$B:$U,D$1,0),"Check"),"")</f>
        <v>CM3</v>
      </c>
      <c r="E1194" s="74" t="str">
        <f>IF($B1194&lt;&gt;"",_xlfn.IFNA(VLOOKUP($B1194,'Node Details'!$B:$U,E$1,0),"Check"),"")</f>
        <v>Airtel</v>
      </c>
      <c r="F1194" s="76">
        <v>46149</v>
      </c>
      <c r="G1194" s="74"/>
      <c r="H1194" s="10" t="s">
        <v>1248</v>
      </c>
      <c r="I1194" s="9">
        <v>1</v>
      </c>
      <c r="J1194" s="9">
        <v>950</v>
      </c>
      <c r="K1194" s="77">
        <f t="shared" si="93"/>
        <v>950</v>
      </c>
      <c r="L1194" s="76">
        <v>46142</v>
      </c>
      <c r="N1194" s="83"/>
      <c r="O1194" s="84"/>
      <c r="P1194" s="81"/>
      <c r="Q1194" s="81"/>
      <c r="R1194" s="81"/>
      <c r="S1194" s="81"/>
      <c r="T1194" s="85"/>
      <c r="U1194" s="81"/>
      <c r="V1194" s="81"/>
      <c r="W1194" s="123">
        <f t="shared" si="92"/>
        <v>0</v>
      </c>
      <c r="X1194" s="123" t="s">
        <v>84</v>
      </c>
      <c r="Y1194" s="114" t="s">
        <v>1128</v>
      </c>
    </row>
    <row r="1195" spans="1:25" s="24" customFormat="1" ht="11.1" customHeight="1">
      <c r="A1195" s="74">
        <f t="shared" si="94"/>
        <v>1193</v>
      </c>
      <c r="B1195" s="75" t="s">
        <v>733</v>
      </c>
      <c r="C1195" s="74" t="str">
        <f>IF($B1195&lt;&gt;"",_xlfn.IFNA(VLOOKUP($B1195,'Node Details'!$B:$U,C$1,0),"Check"),"")</f>
        <v>0000CM315-CM3150101</v>
      </c>
      <c r="D1195" s="74" t="str">
        <f>IF($B1195&lt;&gt;"",_xlfn.IFNA(VLOOKUP($B1195,'Node Details'!$B:$U,D$1,0),"Check"),"")</f>
        <v>CM3</v>
      </c>
      <c r="E1195" s="74" t="str">
        <f>IF($B1195&lt;&gt;"",_xlfn.IFNA(VLOOKUP($B1195,'Node Details'!$B:$U,E$1,0),"Check"),"")</f>
        <v>Airtel</v>
      </c>
      <c r="F1195" s="76">
        <v>46149</v>
      </c>
      <c r="G1195" s="74"/>
      <c r="H1195" s="10" t="s">
        <v>1248</v>
      </c>
      <c r="I1195" s="9">
        <v>1</v>
      </c>
      <c r="J1195" s="9">
        <v>950</v>
      </c>
      <c r="K1195" s="77">
        <f t="shared" si="93"/>
        <v>950</v>
      </c>
      <c r="L1195" s="76">
        <v>46142</v>
      </c>
      <c r="N1195" s="83"/>
      <c r="O1195" s="84"/>
      <c r="P1195" s="81"/>
      <c r="Q1195" s="81"/>
      <c r="R1195" s="81"/>
      <c r="S1195" s="81"/>
      <c r="T1195" s="85"/>
      <c r="U1195" s="81"/>
      <c r="V1195" s="81"/>
      <c r="W1195" s="123">
        <f t="shared" si="92"/>
        <v>0</v>
      </c>
      <c r="X1195" s="123" t="s">
        <v>84</v>
      </c>
      <c r="Y1195" s="114" t="s">
        <v>1128</v>
      </c>
    </row>
    <row r="1196" spans="1:25" s="24" customFormat="1" ht="11.1" customHeight="1">
      <c r="A1196" s="74">
        <f t="shared" si="94"/>
        <v>1194</v>
      </c>
      <c r="B1196" s="75" t="s">
        <v>735</v>
      </c>
      <c r="C1196" s="74" t="str">
        <f>IF($B1196&lt;&gt;"",_xlfn.IFNA(VLOOKUP($B1196,'Node Details'!$B:$U,C$1,0),"Check"),"")</f>
        <v>0000CM315-CM3150104</v>
      </c>
      <c r="D1196" s="74" t="str">
        <f>IF($B1196&lt;&gt;"",_xlfn.IFNA(VLOOKUP($B1196,'Node Details'!$B:$U,D$1,0),"Check"),"")</f>
        <v>CM3</v>
      </c>
      <c r="E1196" s="74" t="str">
        <f>IF($B1196&lt;&gt;"",_xlfn.IFNA(VLOOKUP($B1196,'Node Details'!$B:$U,E$1,0),"Check"),"")</f>
        <v>Airtel</v>
      </c>
      <c r="F1196" s="76">
        <v>46149</v>
      </c>
      <c r="G1196" s="74"/>
      <c r="H1196" s="10" t="s">
        <v>1248</v>
      </c>
      <c r="I1196" s="9">
        <v>1</v>
      </c>
      <c r="J1196" s="9">
        <v>950</v>
      </c>
      <c r="K1196" s="77">
        <f t="shared" si="93"/>
        <v>950</v>
      </c>
      <c r="L1196" s="76">
        <v>46142</v>
      </c>
      <c r="N1196" s="83"/>
      <c r="O1196" s="84"/>
      <c r="P1196" s="81"/>
      <c r="Q1196" s="81"/>
      <c r="R1196" s="81"/>
      <c r="S1196" s="81"/>
      <c r="T1196" s="85"/>
      <c r="U1196" s="81"/>
      <c r="V1196" s="81"/>
      <c r="W1196" s="123">
        <f t="shared" si="92"/>
        <v>0</v>
      </c>
      <c r="X1196" s="123" t="s">
        <v>84</v>
      </c>
      <c r="Y1196" s="114" t="s">
        <v>1128</v>
      </c>
    </row>
    <row r="1197" spans="1:25" s="24" customFormat="1" ht="11.1" customHeight="1">
      <c r="A1197" s="74">
        <f t="shared" si="94"/>
        <v>1195</v>
      </c>
      <c r="B1197" s="75" t="s">
        <v>737</v>
      </c>
      <c r="C1197" s="74" t="str">
        <f>IF($B1197&lt;&gt;"",_xlfn.IFNA(VLOOKUP($B1197,'Node Details'!$B:$U,C$1,0),"Check"),"")</f>
        <v>0000CM316-CM3160101</v>
      </c>
      <c r="D1197" s="74" t="str">
        <f>IF($B1197&lt;&gt;"",_xlfn.IFNA(VLOOKUP($B1197,'Node Details'!$B:$U,D$1,0),"Check"),"")</f>
        <v>CM3</v>
      </c>
      <c r="E1197" s="74" t="str">
        <f>IF($B1197&lt;&gt;"",_xlfn.IFNA(VLOOKUP($B1197,'Node Details'!$B:$U,E$1,0),"Check"),"")</f>
        <v>Airtel</v>
      </c>
      <c r="F1197" s="76">
        <v>46149</v>
      </c>
      <c r="G1197" s="74"/>
      <c r="H1197" s="10" t="s">
        <v>1248</v>
      </c>
      <c r="I1197" s="9">
        <v>1</v>
      </c>
      <c r="J1197" s="9">
        <v>950</v>
      </c>
      <c r="K1197" s="77">
        <f t="shared" si="93"/>
        <v>950</v>
      </c>
      <c r="L1197" s="76">
        <v>46142</v>
      </c>
      <c r="N1197" s="83"/>
      <c r="O1197" s="84"/>
      <c r="P1197" s="81"/>
      <c r="Q1197" s="81"/>
      <c r="R1197" s="81"/>
      <c r="S1197" s="81"/>
      <c r="T1197" s="85"/>
      <c r="U1197" s="81"/>
      <c r="V1197" s="81"/>
      <c r="W1197" s="123">
        <f t="shared" si="92"/>
        <v>0</v>
      </c>
      <c r="X1197" s="123" t="s">
        <v>84</v>
      </c>
      <c r="Y1197" s="114" t="s">
        <v>1128</v>
      </c>
    </row>
    <row r="1198" spans="1:25" s="24" customFormat="1" ht="11.1" customHeight="1">
      <c r="A1198" s="74">
        <f t="shared" si="94"/>
        <v>1196</v>
      </c>
      <c r="B1198" s="75" t="s">
        <v>1173</v>
      </c>
      <c r="C1198" s="74" t="str">
        <f>IF($B1198&lt;&gt;"",_xlfn.IFNA(VLOOKUP($B1198,'Node Details'!$B:$U,C$1,0),"Check"),"")</f>
        <v>0000CM316-CM3160107</v>
      </c>
      <c r="D1198" s="74" t="str">
        <f>IF($B1198&lt;&gt;"",_xlfn.IFNA(VLOOKUP($B1198,'Node Details'!$B:$U,D$1,0),"Check"),"")</f>
        <v>CM3</v>
      </c>
      <c r="E1198" s="74" t="str">
        <f>IF($B1198&lt;&gt;"",_xlfn.IFNA(VLOOKUP($B1198,'Node Details'!$B:$U,E$1,0),"Check"),"")</f>
        <v>Airtel</v>
      </c>
      <c r="F1198" s="76">
        <v>46149</v>
      </c>
      <c r="G1198" s="74"/>
      <c r="H1198" s="10" t="s">
        <v>1248</v>
      </c>
      <c r="I1198" s="9">
        <v>1</v>
      </c>
      <c r="J1198" s="9">
        <v>950</v>
      </c>
      <c r="K1198" s="77">
        <f t="shared" si="93"/>
        <v>950</v>
      </c>
      <c r="L1198" s="76">
        <v>46142</v>
      </c>
      <c r="N1198" s="83"/>
      <c r="O1198" s="84"/>
      <c r="P1198" s="81"/>
      <c r="Q1198" s="81"/>
      <c r="R1198" s="81"/>
      <c r="S1198" s="81"/>
      <c r="T1198" s="85"/>
      <c r="U1198" s="81"/>
      <c r="V1198" s="81"/>
      <c r="W1198" s="123">
        <f t="shared" si="92"/>
        <v>0</v>
      </c>
      <c r="X1198" s="123" t="s">
        <v>84</v>
      </c>
      <c r="Y1198" s="114" t="s">
        <v>1128</v>
      </c>
    </row>
    <row r="1199" spans="1:25" s="24" customFormat="1" ht="11.1" customHeight="1">
      <c r="A1199" s="74">
        <f t="shared" si="94"/>
        <v>1197</v>
      </c>
      <c r="B1199" s="75" t="s">
        <v>741</v>
      </c>
      <c r="C1199" s="74" t="str">
        <f>IF($B1199&lt;&gt;"",_xlfn.IFNA(VLOOKUP($B1199,'Node Details'!$B:$U,C$1,0),"Check"),"")</f>
        <v>0000CM316-CM3160107</v>
      </c>
      <c r="D1199" s="74" t="str">
        <f>IF($B1199&lt;&gt;"",_xlfn.IFNA(VLOOKUP($B1199,'Node Details'!$B:$U,D$1,0),"Check"),"")</f>
        <v>CM3</v>
      </c>
      <c r="E1199" s="74" t="str">
        <f>IF($B1199&lt;&gt;"",_xlfn.IFNA(VLOOKUP($B1199,'Node Details'!$B:$U,E$1,0),"Check"),"")</f>
        <v>Airtel</v>
      </c>
      <c r="F1199" s="76">
        <v>46149</v>
      </c>
      <c r="G1199" s="74"/>
      <c r="H1199" s="10" t="s">
        <v>1248</v>
      </c>
      <c r="I1199" s="9">
        <v>1</v>
      </c>
      <c r="J1199" s="9">
        <v>950</v>
      </c>
      <c r="K1199" s="77">
        <f t="shared" si="93"/>
        <v>950</v>
      </c>
      <c r="L1199" s="76">
        <v>46142</v>
      </c>
      <c r="N1199" s="83"/>
      <c r="O1199" s="84"/>
      <c r="P1199" s="81"/>
      <c r="Q1199" s="81"/>
      <c r="R1199" s="81"/>
      <c r="S1199" s="81"/>
      <c r="T1199" s="85"/>
      <c r="U1199" s="81"/>
      <c r="V1199" s="81"/>
      <c r="W1199" s="123">
        <f t="shared" si="92"/>
        <v>0</v>
      </c>
      <c r="X1199" s="123" t="s">
        <v>84</v>
      </c>
      <c r="Y1199" s="114" t="s">
        <v>1128</v>
      </c>
    </row>
    <row r="1200" spans="1:25" s="24" customFormat="1" ht="11.1" customHeight="1">
      <c r="A1200" s="74">
        <f t="shared" si="94"/>
        <v>1198</v>
      </c>
      <c r="B1200" s="75" t="s">
        <v>739</v>
      </c>
      <c r="C1200" s="74" t="str">
        <f>IF($B1200&lt;&gt;"",_xlfn.IFNA(VLOOKUP($B1200,'Node Details'!$B:$U,C$1,0),"Check"),"")</f>
        <v>0000CM316-CM3160107</v>
      </c>
      <c r="D1200" s="74" t="str">
        <f>IF($B1200&lt;&gt;"",_xlfn.IFNA(VLOOKUP($B1200,'Node Details'!$B:$U,D$1,0),"Check"),"")</f>
        <v>CM3</v>
      </c>
      <c r="E1200" s="74" t="str">
        <f>IF($B1200&lt;&gt;"",_xlfn.IFNA(VLOOKUP($B1200,'Node Details'!$B:$U,E$1,0),"Check"),"")</f>
        <v>Airtel</v>
      </c>
      <c r="F1200" s="76">
        <v>46149</v>
      </c>
      <c r="G1200" s="74"/>
      <c r="H1200" s="10" t="s">
        <v>1248</v>
      </c>
      <c r="I1200" s="9">
        <v>1</v>
      </c>
      <c r="J1200" s="9">
        <v>950</v>
      </c>
      <c r="K1200" s="77">
        <f t="shared" si="93"/>
        <v>950</v>
      </c>
      <c r="L1200" s="76">
        <v>46142</v>
      </c>
      <c r="N1200" s="83"/>
      <c r="O1200" s="84"/>
      <c r="P1200" s="81"/>
      <c r="Q1200" s="81"/>
      <c r="R1200" s="81"/>
      <c r="S1200" s="81"/>
      <c r="T1200" s="85"/>
      <c r="U1200" s="81"/>
      <c r="V1200" s="81"/>
      <c r="W1200" s="123">
        <f t="shared" si="92"/>
        <v>0</v>
      </c>
      <c r="X1200" s="123" t="s">
        <v>84</v>
      </c>
      <c r="Y1200" s="114" t="s">
        <v>1128</v>
      </c>
    </row>
    <row r="1201" spans="1:25" s="24" customFormat="1" ht="11.1" customHeight="1">
      <c r="A1201" s="74">
        <f t="shared" si="94"/>
        <v>1199</v>
      </c>
      <c r="B1201" s="75" t="s">
        <v>742</v>
      </c>
      <c r="C1201" s="74" t="str">
        <f>IF($B1201&lt;&gt;"",_xlfn.IFNA(VLOOKUP($B1201,'Node Details'!$B:$U,C$1,0),"Check"),"")</f>
        <v>CM3160106-CM3160108</v>
      </c>
      <c r="D1201" s="74" t="str">
        <f>IF($B1201&lt;&gt;"",_xlfn.IFNA(VLOOKUP($B1201,'Node Details'!$B:$U,D$1,0),"Check"),"")</f>
        <v>CM3</v>
      </c>
      <c r="E1201" s="74" t="str">
        <f>IF($B1201&lt;&gt;"",_xlfn.IFNA(VLOOKUP($B1201,'Node Details'!$B:$U,E$1,0),"Check"),"")</f>
        <v>Airtel</v>
      </c>
      <c r="F1201" s="76">
        <v>46149</v>
      </c>
      <c r="G1201" s="74"/>
      <c r="H1201" s="10" t="s">
        <v>1248</v>
      </c>
      <c r="I1201" s="9">
        <v>1</v>
      </c>
      <c r="J1201" s="9">
        <v>950</v>
      </c>
      <c r="K1201" s="77">
        <f t="shared" si="93"/>
        <v>950</v>
      </c>
      <c r="L1201" s="76">
        <v>46142</v>
      </c>
      <c r="N1201" s="83"/>
      <c r="O1201" s="84"/>
      <c r="P1201" s="81"/>
      <c r="Q1201" s="81"/>
      <c r="R1201" s="81"/>
      <c r="S1201" s="81"/>
      <c r="T1201" s="85"/>
      <c r="U1201" s="81"/>
      <c r="V1201" s="81"/>
      <c r="W1201" s="123">
        <f t="shared" si="92"/>
        <v>0</v>
      </c>
      <c r="X1201" s="123" t="s">
        <v>84</v>
      </c>
      <c r="Y1201" s="114" t="s">
        <v>1128</v>
      </c>
    </row>
    <row r="1202" spans="1:25" s="24" customFormat="1" ht="11.1" customHeight="1">
      <c r="A1202" s="74">
        <f t="shared" si="94"/>
        <v>1200</v>
      </c>
      <c r="B1202" s="75" t="s">
        <v>1174</v>
      </c>
      <c r="C1202" s="74" t="str">
        <f>IF($B1202&lt;&gt;"",_xlfn.IFNA(VLOOKUP($B1202,'Node Details'!$B:$U,C$1,0),"Check"),"")</f>
        <v>0000CM316-CM3160104</v>
      </c>
      <c r="D1202" s="74" t="str">
        <f>IF($B1202&lt;&gt;"",_xlfn.IFNA(VLOOKUP($B1202,'Node Details'!$B:$U,D$1,0),"Check"),"")</f>
        <v>CM3</v>
      </c>
      <c r="E1202" s="74" t="str">
        <f>IF($B1202&lt;&gt;"",_xlfn.IFNA(VLOOKUP($B1202,'Node Details'!$B:$U,E$1,0),"Check"),"")</f>
        <v>Airtel</v>
      </c>
      <c r="F1202" s="76">
        <v>46149</v>
      </c>
      <c r="G1202" s="74"/>
      <c r="H1202" s="10" t="s">
        <v>1248</v>
      </c>
      <c r="I1202" s="9">
        <v>1</v>
      </c>
      <c r="J1202" s="9">
        <v>950</v>
      </c>
      <c r="K1202" s="77">
        <f t="shared" si="93"/>
        <v>950</v>
      </c>
      <c r="L1202" s="76">
        <v>46142</v>
      </c>
      <c r="N1202" s="83"/>
      <c r="O1202" s="84"/>
      <c r="P1202" s="81"/>
      <c r="Q1202" s="81"/>
      <c r="R1202" s="81"/>
      <c r="S1202" s="81"/>
      <c r="T1202" s="85"/>
      <c r="U1202" s="81"/>
      <c r="V1202" s="81"/>
      <c r="W1202" s="123">
        <f t="shared" si="92"/>
        <v>0</v>
      </c>
      <c r="X1202" s="123" t="s">
        <v>84</v>
      </c>
      <c r="Y1202" s="114" t="s">
        <v>1128</v>
      </c>
    </row>
    <row r="1203" spans="1:25" s="24" customFormat="1" ht="11.1" customHeight="1">
      <c r="A1203" s="74">
        <f t="shared" si="94"/>
        <v>1201</v>
      </c>
      <c r="B1203" s="75" t="s">
        <v>744</v>
      </c>
      <c r="C1203" s="74" t="str">
        <f>IF($B1203&lt;&gt;"",_xlfn.IFNA(VLOOKUP($B1203,'Node Details'!$B:$U,C$1,0),"Check"),"")</f>
        <v>0000CM316-CM3160104</v>
      </c>
      <c r="D1203" s="74" t="str">
        <f>IF($B1203&lt;&gt;"",_xlfn.IFNA(VLOOKUP($B1203,'Node Details'!$B:$U,D$1,0),"Check"),"")</f>
        <v>CM3</v>
      </c>
      <c r="E1203" s="74" t="str">
        <f>IF($B1203&lt;&gt;"",_xlfn.IFNA(VLOOKUP($B1203,'Node Details'!$B:$U,E$1,0),"Check"),"")</f>
        <v>Airtel</v>
      </c>
      <c r="F1203" s="76">
        <v>46149</v>
      </c>
      <c r="G1203" s="74"/>
      <c r="H1203" s="10" t="s">
        <v>1248</v>
      </c>
      <c r="I1203" s="9">
        <v>1</v>
      </c>
      <c r="J1203" s="9">
        <v>950</v>
      </c>
      <c r="K1203" s="77">
        <f t="shared" si="93"/>
        <v>950</v>
      </c>
      <c r="L1203" s="76">
        <v>46142</v>
      </c>
      <c r="N1203" s="83"/>
      <c r="O1203" s="84"/>
      <c r="P1203" s="81"/>
      <c r="Q1203" s="81"/>
      <c r="R1203" s="81"/>
      <c r="S1203" s="81"/>
      <c r="T1203" s="85"/>
      <c r="U1203" s="81"/>
      <c r="V1203" s="81"/>
      <c r="W1203" s="123">
        <f t="shared" si="92"/>
        <v>0</v>
      </c>
      <c r="X1203" s="123" t="s">
        <v>84</v>
      </c>
      <c r="Y1203" s="114" t="s">
        <v>1128</v>
      </c>
    </row>
    <row r="1204" spans="1:25" s="24" customFormat="1" ht="11.1" customHeight="1">
      <c r="A1204" s="74">
        <f t="shared" si="94"/>
        <v>1202</v>
      </c>
      <c r="B1204" s="75" t="s">
        <v>747</v>
      </c>
      <c r="C1204" s="74" t="str">
        <f>IF($B1204&lt;&gt;"",_xlfn.IFNA(VLOOKUP($B1204,'Node Details'!$B:$U,C$1,0),"Check"),"")</f>
        <v>0000CM317-CM3170101</v>
      </c>
      <c r="D1204" s="74" t="str">
        <f>IF($B1204&lt;&gt;"",_xlfn.IFNA(VLOOKUP($B1204,'Node Details'!$B:$U,D$1,0),"Check"),"")</f>
        <v>CM3</v>
      </c>
      <c r="E1204" s="74" t="str">
        <f>IF($B1204&lt;&gt;"",_xlfn.IFNA(VLOOKUP($B1204,'Node Details'!$B:$U,E$1,0),"Check"),"")</f>
        <v>Airtel</v>
      </c>
      <c r="F1204" s="76">
        <v>46149</v>
      </c>
      <c r="G1204" s="74"/>
      <c r="H1204" s="10" t="s">
        <v>1248</v>
      </c>
      <c r="I1204" s="9">
        <v>1</v>
      </c>
      <c r="J1204" s="9">
        <v>950</v>
      </c>
      <c r="K1204" s="77">
        <f t="shared" si="93"/>
        <v>950</v>
      </c>
      <c r="L1204" s="76">
        <v>46142</v>
      </c>
      <c r="N1204" s="83"/>
      <c r="O1204" s="84"/>
      <c r="P1204" s="81"/>
      <c r="Q1204" s="81"/>
      <c r="R1204" s="81"/>
      <c r="S1204" s="81"/>
      <c r="T1204" s="85"/>
      <c r="U1204" s="81"/>
      <c r="V1204" s="81"/>
      <c r="W1204" s="123">
        <f t="shared" si="92"/>
        <v>0</v>
      </c>
      <c r="X1204" s="123" t="s">
        <v>84</v>
      </c>
      <c r="Y1204" s="114" t="s">
        <v>1128</v>
      </c>
    </row>
    <row r="1205" spans="1:25" s="24" customFormat="1" ht="11.1" customHeight="1">
      <c r="A1205" s="74">
        <f t="shared" si="94"/>
        <v>1203</v>
      </c>
      <c r="B1205" s="75" t="s">
        <v>749</v>
      </c>
      <c r="C1205" s="74" t="str">
        <f>IF($B1205&lt;&gt;"",_xlfn.IFNA(VLOOKUP($B1205,'Node Details'!$B:$U,C$1,0),"Check"),"")</f>
        <v>0000CM317-CM3170102</v>
      </c>
      <c r="D1205" s="74" t="str">
        <f>IF($B1205&lt;&gt;"",_xlfn.IFNA(VLOOKUP($B1205,'Node Details'!$B:$U,D$1,0),"Check"),"")</f>
        <v>CM3</v>
      </c>
      <c r="E1205" s="74" t="str">
        <f>IF($B1205&lt;&gt;"",_xlfn.IFNA(VLOOKUP($B1205,'Node Details'!$B:$U,E$1,0),"Check"),"")</f>
        <v>Airtel</v>
      </c>
      <c r="F1205" s="76">
        <v>46149</v>
      </c>
      <c r="G1205" s="74"/>
      <c r="H1205" s="10" t="s">
        <v>1248</v>
      </c>
      <c r="I1205" s="9">
        <v>1</v>
      </c>
      <c r="J1205" s="9">
        <v>950</v>
      </c>
      <c r="K1205" s="77">
        <f t="shared" si="93"/>
        <v>950</v>
      </c>
      <c r="L1205" s="76">
        <v>46142</v>
      </c>
      <c r="N1205" s="83"/>
      <c r="O1205" s="84"/>
      <c r="P1205" s="81"/>
      <c r="Q1205" s="81"/>
      <c r="R1205" s="81"/>
      <c r="S1205" s="81"/>
      <c r="T1205" s="85"/>
      <c r="U1205" s="81"/>
      <c r="V1205" s="81"/>
      <c r="W1205" s="123">
        <f t="shared" si="92"/>
        <v>0</v>
      </c>
      <c r="X1205" s="123" t="s">
        <v>84</v>
      </c>
      <c r="Y1205" s="114" t="s">
        <v>1128</v>
      </c>
    </row>
    <row r="1206" spans="1:25" s="24" customFormat="1" ht="11.1" customHeight="1">
      <c r="A1206" s="74">
        <f t="shared" si="94"/>
        <v>1204</v>
      </c>
      <c r="B1206" s="75" t="s">
        <v>1175</v>
      </c>
      <c r="C1206" s="74" t="str">
        <f>IF($B1206&lt;&gt;"",_xlfn.IFNA(VLOOKUP($B1206,'Node Details'!$B:$U,C$1,0),"Check"),"")</f>
        <v>0000CM317-CM3170104</v>
      </c>
      <c r="D1206" s="74" t="str">
        <f>IF($B1206&lt;&gt;"",_xlfn.IFNA(VLOOKUP($B1206,'Node Details'!$B:$U,D$1,0),"Check"),"")</f>
        <v>CM3</v>
      </c>
      <c r="E1206" s="74" t="str">
        <f>IF($B1206&lt;&gt;"",_xlfn.IFNA(VLOOKUP($B1206,'Node Details'!$B:$U,E$1,0),"Check"),"")</f>
        <v>Airtel</v>
      </c>
      <c r="F1206" s="76">
        <v>46149</v>
      </c>
      <c r="G1206" s="74"/>
      <c r="H1206" s="10" t="s">
        <v>1248</v>
      </c>
      <c r="I1206" s="9">
        <v>1</v>
      </c>
      <c r="J1206" s="9">
        <v>950</v>
      </c>
      <c r="K1206" s="77">
        <f t="shared" si="93"/>
        <v>950</v>
      </c>
      <c r="L1206" s="76">
        <v>46142</v>
      </c>
      <c r="N1206" s="83"/>
      <c r="O1206" s="84"/>
      <c r="P1206" s="81"/>
      <c r="Q1206" s="81"/>
      <c r="R1206" s="81"/>
      <c r="S1206" s="81"/>
      <c r="T1206" s="85"/>
      <c r="U1206" s="81"/>
      <c r="V1206" s="81"/>
      <c r="W1206" s="123">
        <f t="shared" si="92"/>
        <v>0</v>
      </c>
      <c r="X1206" s="123" t="s">
        <v>84</v>
      </c>
      <c r="Y1206" s="114" t="s">
        <v>1128</v>
      </c>
    </row>
    <row r="1207" spans="1:25" s="24" customFormat="1" ht="11.1" customHeight="1">
      <c r="A1207" s="74">
        <f t="shared" si="94"/>
        <v>1205</v>
      </c>
      <c r="B1207" s="75" t="s">
        <v>751</v>
      </c>
      <c r="C1207" s="74" t="str">
        <f>IF($B1207&lt;&gt;"",_xlfn.IFNA(VLOOKUP($B1207,'Node Details'!$B:$U,C$1,0),"Check"),"")</f>
        <v>0000CM317-CM3170104</v>
      </c>
      <c r="D1207" s="74" t="str">
        <f>IF($B1207&lt;&gt;"",_xlfn.IFNA(VLOOKUP($B1207,'Node Details'!$B:$U,D$1,0),"Check"),"")</f>
        <v>CM3</v>
      </c>
      <c r="E1207" s="74" t="str">
        <f>IF($B1207&lt;&gt;"",_xlfn.IFNA(VLOOKUP($B1207,'Node Details'!$B:$U,E$1,0),"Check"),"")</f>
        <v>Airtel</v>
      </c>
      <c r="F1207" s="76">
        <v>46149</v>
      </c>
      <c r="G1207" s="74"/>
      <c r="H1207" s="10" t="s">
        <v>1249</v>
      </c>
      <c r="I1207" s="9">
        <v>1</v>
      </c>
      <c r="J1207" s="9">
        <v>375</v>
      </c>
      <c r="K1207" s="77">
        <f t="shared" si="93"/>
        <v>375</v>
      </c>
      <c r="L1207" s="76">
        <v>46142</v>
      </c>
      <c r="N1207" s="83"/>
      <c r="O1207" s="84"/>
      <c r="P1207" s="81"/>
      <c r="Q1207" s="81"/>
      <c r="R1207" s="81"/>
      <c r="S1207" s="81"/>
      <c r="T1207" s="85"/>
      <c r="U1207" s="81"/>
      <c r="V1207" s="81"/>
      <c r="W1207" s="123">
        <f t="shared" si="92"/>
        <v>0</v>
      </c>
      <c r="X1207" s="123" t="s">
        <v>84</v>
      </c>
      <c r="Y1207" s="114" t="s">
        <v>1128</v>
      </c>
    </row>
    <row r="1208" spans="1:25" s="24" customFormat="1" ht="11.1" customHeight="1">
      <c r="A1208" s="74">
        <f t="shared" si="94"/>
        <v>1206</v>
      </c>
      <c r="B1208" s="75" t="s">
        <v>754</v>
      </c>
      <c r="C1208" s="74" t="str">
        <f>IF($B1208&lt;&gt;"",_xlfn.IFNA(VLOOKUP($B1208,'Node Details'!$B:$U,C$1,0),"Check"),"")</f>
        <v>0000CM318-CM3180101</v>
      </c>
      <c r="D1208" s="74" t="str">
        <f>IF($B1208&lt;&gt;"",_xlfn.IFNA(VLOOKUP($B1208,'Node Details'!$B:$U,D$1,0),"Check"),"")</f>
        <v>CM3</v>
      </c>
      <c r="E1208" s="74" t="str">
        <f>IF($B1208&lt;&gt;"",_xlfn.IFNA(VLOOKUP($B1208,'Node Details'!$B:$U,E$1,0),"Check"),"")</f>
        <v>Airtel</v>
      </c>
      <c r="F1208" s="76">
        <v>46149</v>
      </c>
      <c r="G1208" s="74"/>
      <c r="H1208" s="10" t="s">
        <v>1248</v>
      </c>
      <c r="I1208" s="9">
        <v>1</v>
      </c>
      <c r="J1208" s="9">
        <v>950</v>
      </c>
      <c r="K1208" s="77">
        <f t="shared" si="93"/>
        <v>950</v>
      </c>
      <c r="L1208" s="76">
        <v>46142</v>
      </c>
      <c r="N1208" s="83"/>
      <c r="O1208" s="84"/>
      <c r="P1208" s="81"/>
      <c r="Q1208" s="81"/>
      <c r="R1208" s="81"/>
      <c r="S1208" s="81"/>
      <c r="T1208" s="85"/>
      <c r="U1208" s="81"/>
      <c r="V1208" s="81"/>
      <c r="W1208" s="123">
        <f t="shared" si="92"/>
        <v>0</v>
      </c>
      <c r="X1208" s="123" t="s">
        <v>84</v>
      </c>
      <c r="Y1208" s="114" t="s">
        <v>1128</v>
      </c>
    </row>
    <row r="1209" spans="1:25" s="24" customFormat="1" ht="11.1" customHeight="1">
      <c r="A1209" s="74">
        <f t="shared" si="94"/>
        <v>1207</v>
      </c>
      <c r="B1209" s="75" t="s">
        <v>1176</v>
      </c>
      <c r="C1209" s="74" t="str">
        <f>IF($B1209&lt;&gt;"",_xlfn.IFNA(VLOOKUP($B1209,'Node Details'!$B:$U,C$1,0),"Check"),"")</f>
        <v>0000CM318-CM3180102</v>
      </c>
      <c r="D1209" s="74" t="str">
        <f>IF($B1209&lt;&gt;"",_xlfn.IFNA(VLOOKUP($B1209,'Node Details'!$B:$U,D$1,0),"Check"),"")</f>
        <v>CM3</v>
      </c>
      <c r="E1209" s="74" t="str">
        <f>IF($B1209&lt;&gt;"",_xlfn.IFNA(VLOOKUP($B1209,'Node Details'!$B:$U,E$1,0),"Check"),"")</f>
        <v>Airtel</v>
      </c>
      <c r="F1209" s="76">
        <v>46149</v>
      </c>
      <c r="G1209" s="74"/>
      <c r="H1209" s="10" t="s">
        <v>1248</v>
      </c>
      <c r="I1209" s="9">
        <v>1</v>
      </c>
      <c r="J1209" s="9">
        <v>950</v>
      </c>
      <c r="K1209" s="77">
        <f t="shared" si="93"/>
        <v>950</v>
      </c>
      <c r="L1209" s="76">
        <v>46142</v>
      </c>
      <c r="N1209" s="83"/>
      <c r="O1209" s="84"/>
      <c r="P1209" s="81"/>
      <c r="Q1209" s="81"/>
      <c r="R1209" s="81"/>
      <c r="S1209" s="81"/>
      <c r="T1209" s="85"/>
      <c r="U1209" s="81"/>
      <c r="V1209" s="81"/>
      <c r="W1209" s="123">
        <f t="shared" ref="W1209:W1272" si="95">IF(V1209&lt;&gt;"",V1209*U1209,0)</f>
        <v>0</v>
      </c>
      <c r="X1209" s="123" t="s">
        <v>84</v>
      </c>
      <c r="Y1209" s="114" t="s">
        <v>1128</v>
      </c>
    </row>
    <row r="1210" spans="1:25" s="24" customFormat="1" ht="11.1" customHeight="1">
      <c r="A1210" s="74">
        <f t="shared" si="94"/>
        <v>1208</v>
      </c>
      <c r="B1210" s="75" t="s">
        <v>756</v>
      </c>
      <c r="C1210" s="74" t="str">
        <f>IF($B1210&lt;&gt;"",_xlfn.IFNA(VLOOKUP($B1210,'Node Details'!$B:$U,C$1,0),"Check"),"")</f>
        <v>0000CM318-CM3180102</v>
      </c>
      <c r="D1210" s="74" t="str">
        <f>IF($B1210&lt;&gt;"",_xlfn.IFNA(VLOOKUP($B1210,'Node Details'!$B:$U,D$1,0),"Check"),"")</f>
        <v>CM3</v>
      </c>
      <c r="E1210" s="74" t="str">
        <f>IF($B1210&lt;&gt;"",_xlfn.IFNA(VLOOKUP($B1210,'Node Details'!$B:$U,E$1,0),"Check"),"")</f>
        <v>Airtel</v>
      </c>
      <c r="F1210" s="76">
        <v>46149</v>
      </c>
      <c r="G1210" s="74"/>
      <c r="H1210" s="10" t="s">
        <v>1248</v>
      </c>
      <c r="I1210" s="9">
        <v>1</v>
      </c>
      <c r="J1210" s="9">
        <v>950</v>
      </c>
      <c r="K1210" s="77">
        <f t="shared" ref="K1210:K1273" si="96">IF(I1210&lt;&gt;"",J1210*I1210,0)</f>
        <v>950</v>
      </c>
      <c r="L1210" s="76">
        <v>46142</v>
      </c>
      <c r="N1210" s="83"/>
      <c r="O1210" s="84"/>
      <c r="P1210" s="81"/>
      <c r="Q1210" s="81"/>
      <c r="R1210" s="81"/>
      <c r="S1210" s="81"/>
      <c r="T1210" s="85"/>
      <c r="U1210" s="81"/>
      <c r="V1210" s="81"/>
      <c r="W1210" s="123">
        <f t="shared" si="95"/>
        <v>0</v>
      </c>
      <c r="X1210" s="123" t="s">
        <v>84</v>
      </c>
      <c r="Y1210" s="114" t="s">
        <v>1128</v>
      </c>
    </row>
    <row r="1211" spans="1:25" s="24" customFormat="1" ht="11.1" customHeight="1">
      <c r="A1211" s="74">
        <f t="shared" si="94"/>
        <v>1209</v>
      </c>
      <c r="B1211" s="75" t="s">
        <v>1177</v>
      </c>
      <c r="C1211" s="74" t="str">
        <f>IF($B1211&lt;&gt;"",_xlfn.IFNA(VLOOKUP($B1211,'Node Details'!$B:$U,C$1,0),"Check"),"")</f>
        <v>0000CM318-CM3180108</v>
      </c>
      <c r="D1211" s="74" t="str">
        <f>IF($B1211&lt;&gt;"",_xlfn.IFNA(VLOOKUP($B1211,'Node Details'!$B:$U,D$1,0),"Check"),"")</f>
        <v>CM3</v>
      </c>
      <c r="E1211" s="74" t="str">
        <f>IF($B1211&lt;&gt;"",_xlfn.IFNA(VLOOKUP($B1211,'Node Details'!$B:$U,E$1,0),"Check"),"")</f>
        <v>Airtel</v>
      </c>
      <c r="F1211" s="76">
        <v>46149</v>
      </c>
      <c r="G1211" s="74"/>
      <c r="H1211" s="10" t="s">
        <v>1248</v>
      </c>
      <c r="I1211" s="9">
        <v>1</v>
      </c>
      <c r="J1211" s="9">
        <v>950</v>
      </c>
      <c r="K1211" s="77">
        <f t="shared" si="96"/>
        <v>950</v>
      </c>
      <c r="L1211" s="76">
        <v>46142</v>
      </c>
      <c r="N1211" s="83"/>
      <c r="O1211" s="84"/>
      <c r="P1211" s="81"/>
      <c r="Q1211" s="81"/>
      <c r="R1211" s="81"/>
      <c r="S1211" s="81"/>
      <c r="T1211" s="85"/>
      <c r="U1211" s="81"/>
      <c r="V1211" s="81"/>
      <c r="W1211" s="123">
        <f t="shared" si="95"/>
        <v>0</v>
      </c>
      <c r="X1211" s="123" t="s">
        <v>84</v>
      </c>
      <c r="Y1211" s="114" t="s">
        <v>1128</v>
      </c>
    </row>
    <row r="1212" spans="1:25" s="24" customFormat="1" ht="11.1" customHeight="1">
      <c r="A1212" s="74">
        <f t="shared" si="94"/>
        <v>1210</v>
      </c>
      <c r="B1212" s="75" t="s">
        <v>758</v>
      </c>
      <c r="C1212" s="74" t="str">
        <f>IF($B1212&lt;&gt;"",_xlfn.IFNA(VLOOKUP($B1212,'Node Details'!$B:$U,C$1,0),"Check"),"")</f>
        <v>0000CM318-CM3180108</v>
      </c>
      <c r="D1212" s="74" t="str">
        <f>IF($B1212&lt;&gt;"",_xlfn.IFNA(VLOOKUP($B1212,'Node Details'!$B:$U,D$1,0),"Check"),"")</f>
        <v>CM3</v>
      </c>
      <c r="E1212" s="74" t="str">
        <f>IF($B1212&lt;&gt;"",_xlfn.IFNA(VLOOKUP($B1212,'Node Details'!$B:$U,E$1,0),"Check"),"")</f>
        <v>Airtel</v>
      </c>
      <c r="F1212" s="76">
        <v>46149</v>
      </c>
      <c r="G1212" s="74"/>
      <c r="H1212" s="10" t="s">
        <v>1248</v>
      </c>
      <c r="I1212" s="9">
        <v>1</v>
      </c>
      <c r="J1212" s="9">
        <v>950</v>
      </c>
      <c r="K1212" s="77">
        <f t="shared" si="96"/>
        <v>950</v>
      </c>
      <c r="L1212" s="76">
        <v>46142</v>
      </c>
      <c r="N1212" s="83"/>
      <c r="O1212" s="84"/>
      <c r="P1212" s="81"/>
      <c r="Q1212" s="81"/>
      <c r="R1212" s="81"/>
      <c r="S1212" s="81"/>
      <c r="T1212" s="85"/>
      <c r="U1212" s="81"/>
      <c r="V1212" s="81"/>
      <c r="W1212" s="123">
        <f t="shared" si="95"/>
        <v>0</v>
      </c>
      <c r="X1212" s="123" t="s">
        <v>84</v>
      </c>
      <c r="Y1212" s="114" t="s">
        <v>1128</v>
      </c>
    </row>
    <row r="1213" spans="1:25" s="24" customFormat="1" ht="11.1" customHeight="1">
      <c r="A1213" s="74">
        <f t="shared" si="94"/>
        <v>1211</v>
      </c>
      <c r="B1213" s="75" t="s">
        <v>1178</v>
      </c>
      <c r="C1213" s="74" t="str">
        <f>IF($B1213&lt;&gt;"",_xlfn.IFNA(VLOOKUP($B1213,'Node Details'!$B:$U,C$1,0),"Check"),"")</f>
        <v>0000CM318-CM3180105</v>
      </c>
      <c r="D1213" s="74" t="str">
        <f>IF($B1213&lt;&gt;"",_xlfn.IFNA(VLOOKUP($B1213,'Node Details'!$B:$U,D$1,0),"Check"),"")</f>
        <v>CM3</v>
      </c>
      <c r="E1213" s="74" t="str">
        <f>IF($B1213&lt;&gt;"",_xlfn.IFNA(VLOOKUP($B1213,'Node Details'!$B:$U,E$1,0),"Check"),"")</f>
        <v>Airtel</v>
      </c>
      <c r="F1213" s="76">
        <v>46149</v>
      </c>
      <c r="G1213" s="74"/>
      <c r="H1213" s="10" t="s">
        <v>1248</v>
      </c>
      <c r="I1213" s="9">
        <v>1</v>
      </c>
      <c r="J1213" s="9">
        <v>950</v>
      </c>
      <c r="K1213" s="77">
        <f t="shared" si="96"/>
        <v>950</v>
      </c>
      <c r="L1213" s="76">
        <v>46142</v>
      </c>
      <c r="N1213" s="83"/>
      <c r="O1213" s="84"/>
      <c r="P1213" s="81"/>
      <c r="Q1213" s="81"/>
      <c r="R1213" s="81"/>
      <c r="S1213" s="81"/>
      <c r="T1213" s="85"/>
      <c r="U1213" s="81"/>
      <c r="V1213" s="81"/>
      <c r="W1213" s="123">
        <f t="shared" si="95"/>
        <v>0</v>
      </c>
      <c r="X1213" s="123" t="s">
        <v>84</v>
      </c>
      <c r="Y1213" s="114" t="s">
        <v>1128</v>
      </c>
    </row>
    <row r="1214" spans="1:25" s="24" customFormat="1" ht="11.1" customHeight="1">
      <c r="A1214" s="74">
        <f t="shared" si="94"/>
        <v>1212</v>
      </c>
      <c r="B1214" s="75" t="s">
        <v>760</v>
      </c>
      <c r="C1214" s="74" t="str">
        <f>IF($B1214&lt;&gt;"",_xlfn.IFNA(VLOOKUP($B1214,'Node Details'!$B:$U,C$1,0),"Check"),"")</f>
        <v>0000CM318-CM3180105</v>
      </c>
      <c r="D1214" s="74" t="str">
        <f>IF($B1214&lt;&gt;"",_xlfn.IFNA(VLOOKUP($B1214,'Node Details'!$B:$U,D$1,0),"Check"),"")</f>
        <v>CM3</v>
      </c>
      <c r="E1214" s="74" t="str">
        <f>IF($B1214&lt;&gt;"",_xlfn.IFNA(VLOOKUP($B1214,'Node Details'!$B:$U,E$1,0),"Check"),"")</f>
        <v>Airtel</v>
      </c>
      <c r="F1214" s="76">
        <v>46149</v>
      </c>
      <c r="G1214" s="74"/>
      <c r="H1214" s="10" t="s">
        <v>1248</v>
      </c>
      <c r="I1214" s="9">
        <v>1</v>
      </c>
      <c r="J1214" s="9">
        <v>950</v>
      </c>
      <c r="K1214" s="77">
        <f t="shared" si="96"/>
        <v>950</v>
      </c>
      <c r="L1214" s="76">
        <v>46142</v>
      </c>
      <c r="N1214" s="83"/>
      <c r="O1214" s="84"/>
      <c r="P1214" s="81"/>
      <c r="Q1214" s="81"/>
      <c r="R1214" s="81"/>
      <c r="S1214" s="81"/>
      <c r="T1214" s="85"/>
      <c r="U1214" s="81"/>
      <c r="V1214" s="81"/>
      <c r="W1214" s="123">
        <f t="shared" si="95"/>
        <v>0</v>
      </c>
      <c r="X1214" s="123" t="s">
        <v>84</v>
      </c>
      <c r="Y1214" s="114" t="s">
        <v>1128</v>
      </c>
    </row>
    <row r="1215" spans="1:25" s="24" customFormat="1" ht="11.1" customHeight="1">
      <c r="A1215" s="74">
        <f t="shared" si="94"/>
        <v>1213</v>
      </c>
      <c r="B1215" s="75" t="s">
        <v>1179</v>
      </c>
      <c r="C1215" s="74" t="str">
        <f>IF($B1215&lt;&gt;"",_xlfn.IFNA(VLOOKUP($B1215,'Node Details'!$B:$U,C$1,0),"Check"),"")</f>
        <v>0000CM319-CM3190104</v>
      </c>
      <c r="D1215" s="74" t="str">
        <f>IF($B1215&lt;&gt;"",_xlfn.IFNA(VLOOKUP($B1215,'Node Details'!$B:$U,D$1,0),"Check"),"")</f>
        <v>CM3</v>
      </c>
      <c r="E1215" s="74" t="str">
        <f>IF($B1215&lt;&gt;"",_xlfn.IFNA(VLOOKUP($B1215,'Node Details'!$B:$U,E$1,0),"Check"),"")</f>
        <v>Airtel</v>
      </c>
      <c r="F1215" s="76">
        <v>46149</v>
      </c>
      <c r="G1215" s="74"/>
      <c r="H1215" s="10" t="s">
        <v>1248</v>
      </c>
      <c r="I1215" s="9">
        <v>1</v>
      </c>
      <c r="J1215" s="9">
        <v>950</v>
      </c>
      <c r="K1215" s="77">
        <f t="shared" si="96"/>
        <v>950</v>
      </c>
      <c r="L1215" s="76">
        <v>46142</v>
      </c>
      <c r="N1215" s="83"/>
      <c r="O1215" s="84"/>
      <c r="P1215" s="81"/>
      <c r="Q1215" s="81"/>
      <c r="R1215" s="81"/>
      <c r="S1215" s="81"/>
      <c r="T1215" s="85"/>
      <c r="U1215" s="81"/>
      <c r="V1215" s="81"/>
      <c r="W1215" s="123">
        <f t="shared" si="95"/>
        <v>0</v>
      </c>
      <c r="X1215" s="123" t="s">
        <v>84</v>
      </c>
      <c r="Y1215" s="114" t="s">
        <v>1128</v>
      </c>
    </row>
    <row r="1216" spans="1:25" s="24" customFormat="1" ht="11.1" customHeight="1">
      <c r="A1216" s="74">
        <f t="shared" si="94"/>
        <v>1214</v>
      </c>
      <c r="B1216" s="75" t="s">
        <v>1180</v>
      </c>
      <c r="C1216" s="74" t="str">
        <f>IF($B1216&lt;&gt;"",_xlfn.IFNA(VLOOKUP($B1216,'Node Details'!$B:$U,C$1,0),"Check"),"")</f>
        <v>0000CM319-CM3190104</v>
      </c>
      <c r="D1216" s="74" t="str">
        <f>IF($B1216&lt;&gt;"",_xlfn.IFNA(VLOOKUP($B1216,'Node Details'!$B:$U,D$1,0),"Check"),"")</f>
        <v>CM3</v>
      </c>
      <c r="E1216" s="74" t="str">
        <f>IF($B1216&lt;&gt;"",_xlfn.IFNA(VLOOKUP($B1216,'Node Details'!$B:$U,E$1,0),"Check"),"")</f>
        <v>Airtel</v>
      </c>
      <c r="F1216" s="76">
        <v>46149</v>
      </c>
      <c r="G1216" s="74"/>
      <c r="H1216" s="10" t="s">
        <v>1248</v>
      </c>
      <c r="I1216" s="9">
        <v>1</v>
      </c>
      <c r="J1216" s="9">
        <v>950</v>
      </c>
      <c r="K1216" s="77">
        <f t="shared" si="96"/>
        <v>950</v>
      </c>
      <c r="L1216" s="76">
        <v>46142</v>
      </c>
      <c r="N1216" s="83"/>
      <c r="O1216" s="84"/>
      <c r="P1216" s="81"/>
      <c r="Q1216" s="81"/>
      <c r="R1216" s="81"/>
      <c r="S1216" s="81"/>
      <c r="T1216" s="85"/>
      <c r="U1216" s="81"/>
      <c r="V1216" s="81"/>
      <c r="W1216" s="123">
        <f t="shared" si="95"/>
        <v>0</v>
      </c>
      <c r="X1216" s="123" t="s">
        <v>84</v>
      </c>
      <c r="Y1216" s="114" t="s">
        <v>1128</v>
      </c>
    </row>
    <row r="1217" spans="1:25" s="24" customFormat="1" ht="11.1" customHeight="1">
      <c r="A1217" s="74">
        <f t="shared" si="94"/>
        <v>1215</v>
      </c>
      <c r="B1217" s="75" t="s">
        <v>1181</v>
      </c>
      <c r="C1217" s="74" t="str">
        <f>IF($B1217&lt;&gt;"",_xlfn.IFNA(VLOOKUP($B1217,'Node Details'!$B:$U,C$1,0),"Check"),"")</f>
        <v>0000CM319-CM3190104</v>
      </c>
      <c r="D1217" s="74" t="str">
        <f>IF($B1217&lt;&gt;"",_xlfn.IFNA(VLOOKUP($B1217,'Node Details'!$B:$U,D$1,0),"Check"),"")</f>
        <v>CM3</v>
      </c>
      <c r="E1217" s="74" t="str">
        <f>IF($B1217&lt;&gt;"",_xlfn.IFNA(VLOOKUP($B1217,'Node Details'!$B:$U,E$1,0),"Check"),"")</f>
        <v>Airtel</v>
      </c>
      <c r="F1217" s="76">
        <v>46149</v>
      </c>
      <c r="G1217" s="74"/>
      <c r="H1217" s="10" t="s">
        <v>1248</v>
      </c>
      <c r="I1217" s="9">
        <v>1</v>
      </c>
      <c r="J1217" s="9">
        <v>950</v>
      </c>
      <c r="K1217" s="77">
        <f t="shared" si="96"/>
        <v>950</v>
      </c>
      <c r="L1217" s="76">
        <v>46142</v>
      </c>
      <c r="N1217" s="83"/>
      <c r="O1217" s="84"/>
      <c r="P1217" s="81"/>
      <c r="Q1217" s="81"/>
      <c r="R1217" s="81"/>
      <c r="S1217" s="81"/>
      <c r="T1217" s="85"/>
      <c r="U1217" s="81"/>
      <c r="V1217" s="81"/>
      <c r="W1217" s="123">
        <f t="shared" si="95"/>
        <v>0</v>
      </c>
      <c r="X1217" s="123" t="s">
        <v>84</v>
      </c>
      <c r="Y1217" s="114" t="s">
        <v>1128</v>
      </c>
    </row>
    <row r="1218" spans="1:25" s="24" customFormat="1" ht="11.1" customHeight="1">
      <c r="A1218" s="74">
        <f t="shared" si="94"/>
        <v>1216</v>
      </c>
      <c r="B1218" s="75" t="s">
        <v>763</v>
      </c>
      <c r="C1218" s="74" t="str">
        <f>IF($B1218&lt;&gt;"",_xlfn.IFNA(VLOOKUP($B1218,'Node Details'!$B:$U,C$1,0),"Check"),"")</f>
        <v>0000CM319-CM3190104</v>
      </c>
      <c r="D1218" s="74" t="str">
        <f>IF($B1218&lt;&gt;"",_xlfn.IFNA(VLOOKUP($B1218,'Node Details'!$B:$U,D$1,0),"Check"),"")</f>
        <v>CM3</v>
      </c>
      <c r="E1218" s="74" t="str">
        <f>IF($B1218&lt;&gt;"",_xlfn.IFNA(VLOOKUP($B1218,'Node Details'!$B:$U,E$1,0),"Check"),"")</f>
        <v>Airtel</v>
      </c>
      <c r="F1218" s="76">
        <v>46149</v>
      </c>
      <c r="G1218" s="74"/>
      <c r="H1218" s="10" t="s">
        <v>1248</v>
      </c>
      <c r="I1218" s="9">
        <v>1</v>
      </c>
      <c r="J1218" s="9">
        <v>950</v>
      </c>
      <c r="K1218" s="77">
        <f t="shared" si="96"/>
        <v>950</v>
      </c>
      <c r="L1218" s="76">
        <v>46142</v>
      </c>
      <c r="N1218" s="83"/>
      <c r="O1218" s="84"/>
      <c r="P1218" s="81"/>
      <c r="Q1218" s="81"/>
      <c r="R1218" s="81"/>
      <c r="S1218" s="81"/>
      <c r="T1218" s="85"/>
      <c r="U1218" s="81"/>
      <c r="V1218" s="81"/>
      <c r="W1218" s="123">
        <f t="shared" si="95"/>
        <v>0</v>
      </c>
      <c r="X1218" s="123" t="s">
        <v>84</v>
      </c>
      <c r="Y1218" s="114" t="s">
        <v>1128</v>
      </c>
    </row>
    <row r="1219" spans="1:25" s="24" customFormat="1" ht="11.1" customHeight="1">
      <c r="A1219" s="74">
        <f t="shared" si="94"/>
        <v>1217</v>
      </c>
      <c r="B1219" s="75" t="s">
        <v>1182</v>
      </c>
      <c r="C1219" s="74" t="str">
        <f>IF($B1219&lt;&gt;"",_xlfn.IFNA(VLOOKUP($B1219,'Node Details'!$B:$U,C$1,0),"Check"),"")</f>
        <v>0000CM319-CM3190108</v>
      </c>
      <c r="D1219" s="74" t="str">
        <f>IF($B1219&lt;&gt;"",_xlfn.IFNA(VLOOKUP($B1219,'Node Details'!$B:$U,D$1,0),"Check"),"")</f>
        <v>CM3</v>
      </c>
      <c r="E1219" s="74" t="str">
        <f>IF($B1219&lt;&gt;"",_xlfn.IFNA(VLOOKUP($B1219,'Node Details'!$B:$U,E$1,0),"Check"),"")</f>
        <v>Airtel</v>
      </c>
      <c r="F1219" s="76">
        <v>46149</v>
      </c>
      <c r="G1219" s="74"/>
      <c r="H1219" s="10" t="s">
        <v>1248</v>
      </c>
      <c r="I1219" s="9">
        <v>1</v>
      </c>
      <c r="J1219" s="9">
        <v>950</v>
      </c>
      <c r="K1219" s="77">
        <f t="shared" si="96"/>
        <v>950</v>
      </c>
      <c r="L1219" s="76">
        <v>46142</v>
      </c>
      <c r="N1219" s="83"/>
      <c r="O1219" s="84"/>
      <c r="P1219" s="81"/>
      <c r="Q1219" s="81"/>
      <c r="R1219" s="81"/>
      <c r="S1219" s="81"/>
      <c r="T1219" s="85"/>
      <c r="U1219" s="81"/>
      <c r="V1219" s="81"/>
      <c r="W1219" s="123">
        <f t="shared" si="95"/>
        <v>0</v>
      </c>
      <c r="X1219" s="123" t="s">
        <v>84</v>
      </c>
      <c r="Y1219" s="114" t="s">
        <v>1128</v>
      </c>
    </row>
    <row r="1220" spans="1:25" s="24" customFormat="1" ht="11.1" customHeight="1">
      <c r="A1220" s="74">
        <f t="shared" ref="A1220:A1283" si="97">A1219+1</f>
        <v>1218</v>
      </c>
      <c r="B1220" s="75" t="s">
        <v>1183</v>
      </c>
      <c r="C1220" s="74" t="str">
        <f>IF($B1220&lt;&gt;"",_xlfn.IFNA(VLOOKUP($B1220,'Node Details'!$B:$U,C$1,0),"Check"),"")</f>
        <v>0000CM319-CM3190108</v>
      </c>
      <c r="D1220" s="74" t="str">
        <f>IF($B1220&lt;&gt;"",_xlfn.IFNA(VLOOKUP($B1220,'Node Details'!$B:$U,D$1,0),"Check"),"")</f>
        <v>CM3</v>
      </c>
      <c r="E1220" s="74" t="str">
        <f>IF($B1220&lt;&gt;"",_xlfn.IFNA(VLOOKUP($B1220,'Node Details'!$B:$U,E$1,0),"Check"),"")</f>
        <v>Airtel</v>
      </c>
      <c r="F1220" s="76">
        <v>46149</v>
      </c>
      <c r="G1220" s="74"/>
      <c r="H1220" s="10" t="s">
        <v>1248</v>
      </c>
      <c r="I1220" s="9">
        <v>1</v>
      </c>
      <c r="J1220" s="9">
        <v>950</v>
      </c>
      <c r="K1220" s="77">
        <f t="shared" si="96"/>
        <v>950</v>
      </c>
      <c r="L1220" s="76">
        <v>46142</v>
      </c>
      <c r="N1220" s="83"/>
      <c r="O1220" s="84"/>
      <c r="P1220" s="81"/>
      <c r="Q1220" s="81"/>
      <c r="R1220" s="81"/>
      <c r="S1220" s="81"/>
      <c r="T1220" s="85"/>
      <c r="U1220" s="81"/>
      <c r="V1220" s="81"/>
      <c r="W1220" s="123">
        <f t="shared" si="95"/>
        <v>0</v>
      </c>
      <c r="X1220" s="123" t="s">
        <v>84</v>
      </c>
      <c r="Y1220" s="114" t="s">
        <v>1128</v>
      </c>
    </row>
    <row r="1221" spans="1:25" s="24" customFormat="1" ht="11.1" customHeight="1">
      <c r="A1221" s="74">
        <f t="shared" si="97"/>
        <v>1219</v>
      </c>
      <c r="B1221" s="75" t="s">
        <v>1184</v>
      </c>
      <c r="C1221" s="74" t="str">
        <f>IF($B1221&lt;&gt;"",_xlfn.IFNA(VLOOKUP($B1221,'Node Details'!$B:$U,C$1,0),"Check"),"")</f>
        <v>0000CM319-CM3190108</v>
      </c>
      <c r="D1221" s="74" t="str">
        <f>IF($B1221&lt;&gt;"",_xlfn.IFNA(VLOOKUP($B1221,'Node Details'!$B:$U,D$1,0),"Check"),"")</f>
        <v>CM3</v>
      </c>
      <c r="E1221" s="74" t="str">
        <f>IF($B1221&lt;&gt;"",_xlfn.IFNA(VLOOKUP($B1221,'Node Details'!$B:$U,E$1,0),"Check"),"")</f>
        <v>Airtel</v>
      </c>
      <c r="F1221" s="76">
        <v>46149</v>
      </c>
      <c r="G1221" s="74"/>
      <c r="H1221" s="10" t="s">
        <v>1248</v>
      </c>
      <c r="I1221" s="9">
        <v>1</v>
      </c>
      <c r="J1221" s="9">
        <v>950</v>
      </c>
      <c r="K1221" s="77">
        <f t="shared" si="96"/>
        <v>950</v>
      </c>
      <c r="L1221" s="76">
        <v>46142</v>
      </c>
      <c r="N1221" s="83"/>
      <c r="O1221" s="84"/>
      <c r="P1221" s="81"/>
      <c r="Q1221" s="81"/>
      <c r="R1221" s="81"/>
      <c r="S1221" s="81"/>
      <c r="T1221" s="85"/>
      <c r="U1221" s="81"/>
      <c r="V1221" s="81"/>
      <c r="W1221" s="123">
        <f t="shared" si="95"/>
        <v>0</v>
      </c>
      <c r="X1221" s="123" t="s">
        <v>84</v>
      </c>
      <c r="Y1221" s="114" t="s">
        <v>1128</v>
      </c>
    </row>
    <row r="1222" spans="1:25" s="24" customFormat="1" ht="11.1" customHeight="1">
      <c r="A1222" s="74">
        <f t="shared" si="97"/>
        <v>1220</v>
      </c>
      <c r="B1222" s="75" t="s">
        <v>765</v>
      </c>
      <c r="C1222" s="74" t="str">
        <f>IF($B1222&lt;&gt;"",_xlfn.IFNA(VLOOKUP($B1222,'Node Details'!$B:$U,C$1,0),"Check"),"")</f>
        <v>0000CM319-CM3190108</v>
      </c>
      <c r="D1222" s="74" t="str">
        <f>IF($B1222&lt;&gt;"",_xlfn.IFNA(VLOOKUP($B1222,'Node Details'!$B:$U,D$1,0),"Check"),"")</f>
        <v>CM3</v>
      </c>
      <c r="E1222" s="74" t="str">
        <f>IF($B1222&lt;&gt;"",_xlfn.IFNA(VLOOKUP($B1222,'Node Details'!$B:$U,E$1,0),"Check"),"")</f>
        <v>Airtel</v>
      </c>
      <c r="F1222" s="76">
        <v>46149</v>
      </c>
      <c r="G1222" s="74"/>
      <c r="H1222" s="10" t="s">
        <v>1248</v>
      </c>
      <c r="I1222" s="9">
        <v>1</v>
      </c>
      <c r="J1222" s="9">
        <v>950</v>
      </c>
      <c r="K1222" s="77">
        <f t="shared" si="96"/>
        <v>950</v>
      </c>
      <c r="L1222" s="76">
        <v>46142</v>
      </c>
      <c r="N1222" s="83"/>
      <c r="O1222" s="84"/>
      <c r="P1222" s="81"/>
      <c r="Q1222" s="81"/>
      <c r="R1222" s="81"/>
      <c r="S1222" s="81"/>
      <c r="T1222" s="85"/>
      <c r="U1222" s="81"/>
      <c r="V1222" s="81"/>
      <c r="W1222" s="123">
        <f t="shared" si="95"/>
        <v>0</v>
      </c>
      <c r="X1222" s="123" t="s">
        <v>84</v>
      </c>
      <c r="Y1222" s="114" t="s">
        <v>1128</v>
      </c>
    </row>
    <row r="1223" spans="1:25" s="24" customFormat="1" ht="11.1" customHeight="1">
      <c r="A1223" s="74">
        <f t="shared" si="97"/>
        <v>1221</v>
      </c>
      <c r="B1223" s="75" t="s">
        <v>768</v>
      </c>
      <c r="C1223" s="74" t="str">
        <f>IF($B1223&lt;&gt;"",_xlfn.IFNA(VLOOKUP($B1223,'Node Details'!$B:$U,C$1,0),"Check"),"")</f>
        <v>0000CM320-CM3200101</v>
      </c>
      <c r="D1223" s="74" t="str">
        <f>IF($B1223&lt;&gt;"",_xlfn.IFNA(VLOOKUP($B1223,'Node Details'!$B:$U,D$1,0),"Check"),"")</f>
        <v>CM3</v>
      </c>
      <c r="E1223" s="74" t="str">
        <f>IF($B1223&lt;&gt;"",_xlfn.IFNA(VLOOKUP($B1223,'Node Details'!$B:$U,E$1,0),"Check"),"")</f>
        <v>Airtel</v>
      </c>
      <c r="F1223" s="76">
        <v>46149</v>
      </c>
      <c r="G1223" s="74"/>
      <c r="H1223" s="10" t="s">
        <v>1248</v>
      </c>
      <c r="I1223" s="9">
        <v>1</v>
      </c>
      <c r="J1223" s="9">
        <v>950</v>
      </c>
      <c r="K1223" s="77">
        <f t="shared" si="96"/>
        <v>950</v>
      </c>
      <c r="L1223" s="76">
        <v>46142</v>
      </c>
      <c r="N1223" s="83"/>
      <c r="O1223" s="84"/>
      <c r="P1223" s="81"/>
      <c r="Q1223" s="81"/>
      <c r="R1223" s="81"/>
      <c r="S1223" s="81"/>
      <c r="T1223" s="85"/>
      <c r="U1223" s="81"/>
      <c r="V1223" s="81"/>
      <c r="W1223" s="123">
        <f t="shared" si="95"/>
        <v>0</v>
      </c>
      <c r="X1223" s="123" t="s">
        <v>84</v>
      </c>
      <c r="Y1223" s="114" t="s">
        <v>1128</v>
      </c>
    </row>
    <row r="1224" spans="1:25" s="24" customFormat="1" ht="11.1" customHeight="1">
      <c r="A1224" s="74">
        <f t="shared" si="97"/>
        <v>1222</v>
      </c>
      <c r="B1224" s="75" t="s">
        <v>1185</v>
      </c>
      <c r="C1224" s="74" t="str">
        <f>IF($B1224&lt;&gt;"",_xlfn.IFNA(VLOOKUP($B1224,'Node Details'!$B:$U,C$1,0),"Check"),"")</f>
        <v>0000CM320-CM3200104</v>
      </c>
      <c r="D1224" s="74" t="str">
        <f>IF($B1224&lt;&gt;"",_xlfn.IFNA(VLOOKUP($B1224,'Node Details'!$B:$U,D$1,0),"Check"),"")</f>
        <v>CM3</v>
      </c>
      <c r="E1224" s="74" t="str">
        <f>IF($B1224&lt;&gt;"",_xlfn.IFNA(VLOOKUP($B1224,'Node Details'!$B:$U,E$1,0),"Check"),"")</f>
        <v>Airtel</v>
      </c>
      <c r="F1224" s="76">
        <v>46149</v>
      </c>
      <c r="G1224" s="74"/>
      <c r="H1224" s="10" t="s">
        <v>1248</v>
      </c>
      <c r="I1224" s="9">
        <v>1</v>
      </c>
      <c r="J1224" s="9">
        <v>950</v>
      </c>
      <c r="K1224" s="77">
        <f t="shared" si="96"/>
        <v>950</v>
      </c>
      <c r="L1224" s="76">
        <v>46142</v>
      </c>
      <c r="N1224" s="83"/>
      <c r="O1224" s="84"/>
      <c r="P1224" s="81"/>
      <c r="Q1224" s="81"/>
      <c r="R1224" s="81"/>
      <c r="S1224" s="81"/>
      <c r="T1224" s="85"/>
      <c r="U1224" s="81"/>
      <c r="V1224" s="81"/>
      <c r="W1224" s="123">
        <f t="shared" si="95"/>
        <v>0</v>
      </c>
      <c r="X1224" s="123" t="s">
        <v>84</v>
      </c>
      <c r="Y1224" s="114" t="s">
        <v>1128</v>
      </c>
    </row>
    <row r="1225" spans="1:25" s="24" customFormat="1" ht="11.1" customHeight="1">
      <c r="A1225" s="74">
        <f t="shared" si="97"/>
        <v>1223</v>
      </c>
      <c r="B1225" s="75" t="s">
        <v>1186</v>
      </c>
      <c r="C1225" s="74" t="str">
        <f>IF($B1225&lt;&gt;"",_xlfn.IFNA(VLOOKUP($B1225,'Node Details'!$B:$U,C$1,0),"Check"),"")</f>
        <v>0000CM320-CM3200104</v>
      </c>
      <c r="D1225" s="74" t="str">
        <f>IF($B1225&lt;&gt;"",_xlfn.IFNA(VLOOKUP($B1225,'Node Details'!$B:$U,D$1,0),"Check"),"")</f>
        <v>CM3</v>
      </c>
      <c r="E1225" s="74" t="str">
        <f>IF($B1225&lt;&gt;"",_xlfn.IFNA(VLOOKUP($B1225,'Node Details'!$B:$U,E$1,0),"Check"),"")</f>
        <v>Airtel</v>
      </c>
      <c r="F1225" s="76">
        <v>46149</v>
      </c>
      <c r="G1225" s="74"/>
      <c r="H1225" s="10" t="s">
        <v>1248</v>
      </c>
      <c r="I1225" s="9">
        <v>1</v>
      </c>
      <c r="J1225" s="9">
        <v>950</v>
      </c>
      <c r="K1225" s="77">
        <f t="shared" si="96"/>
        <v>950</v>
      </c>
      <c r="L1225" s="76">
        <v>46142</v>
      </c>
      <c r="N1225" s="83"/>
      <c r="O1225" s="84"/>
      <c r="P1225" s="81"/>
      <c r="Q1225" s="81"/>
      <c r="R1225" s="81"/>
      <c r="S1225" s="81"/>
      <c r="T1225" s="85"/>
      <c r="U1225" s="81"/>
      <c r="V1225" s="81"/>
      <c r="W1225" s="123">
        <f t="shared" si="95"/>
        <v>0</v>
      </c>
      <c r="X1225" s="123" t="s">
        <v>84</v>
      </c>
      <c r="Y1225" s="114" t="s">
        <v>1128</v>
      </c>
    </row>
    <row r="1226" spans="1:25" s="24" customFormat="1" ht="11.1" customHeight="1">
      <c r="A1226" s="74">
        <f t="shared" si="97"/>
        <v>1224</v>
      </c>
      <c r="B1226" s="75" t="s">
        <v>770</v>
      </c>
      <c r="C1226" s="74" t="str">
        <f>IF($B1226&lt;&gt;"",_xlfn.IFNA(VLOOKUP($B1226,'Node Details'!$B:$U,C$1,0),"Check"),"")</f>
        <v>0000CM320-CM3200104</v>
      </c>
      <c r="D1226" s="74" t="str">
        <f>IF($B1226&lt;&gt;"",_xlfn.IFNA(VLOOKUP($B1226,'Node Details'!$B:$U,D$1,0),"Check"),"")</f>
        <v>CM3</v>
      </c>
      <c r="E1226" s="74" t="str">
        <f>IF($B1226&lt;&gt;"",_xlfn.IFNA(VLOOKUP($B1226,'Node Details'!$B:$U,E$1,0),"Check"),"")</f>
        <v>Airtel</v>
      </c>
      <c r="F1226" s="76">
        <v>46149</v>
      </c>
      <c r="G1226" s="74"/>
      <c r="H1226" s="10" t="s">
        <v>1248</v>
      </c>
      <c r="I1226" s="9">
        <v>1</v>
      </c>
      <c r="J1226" s="9">
        <v>950</v>
      </c>
      <c r="K1226" s="77">
        <f t="shared" si="96"/>
        <v>950</v>
      </c>
      <c r="L1226" s="76">
        <v>46142</v>
      </c>
      <c r="N1226" s="83"/>
      <c r="O1226" s="84"/>
      <c r="P1226" s="81"/>
      <c r="Q1226" s="81"/>
      <c r="R1226" s="81"/>
      <c r="S1226" s="81"/>
      <c r="T1226" s="85"/>
      <c r="U1226" s="81"/>
      <c r="V1226" s="81"/>
      <c r="W1226" s="123">
        <f t="shared" si="95"/>
        <v>0</v>
      </c>
      <c r="X1226" s="123" t="s">
        <v>84</v>
      </c>
      <c r="Y1226" s="114" t="s">
        <v>1128</v>
      </c>
    </row>
    <row r="1227" spans="1:25" s="24" customFormat="1" ht="11.1" customHeight="1">
      <c r="A1227" s="74">
        <f t="shared" si="97"/>
        <v>1225</v>
      </c>
      <c r="B1227" s="75" t="s">
        <v>1187</v>
      </c>
      <c r="C1227" s="74" t="str">
        <f>IF($B1227&lt;&gt;"",_xlfn.IFNA(VLOOKUP($B1227,'Node Details'!$B:$U,C$1,0),"Check"),"")</f>
        <v>0000CM321-CM3210104</v>
      </c>
      <c r="D1227" s="74" t="str">
        <f>IF($B1227&lt;&gt;"",_xlfn.IFNA(VLOOKUP($B1227,'Node Details'!$B:$U,D$1,0),"Check"),"")</f>
        <v>CM3</v>
      </c>
      <c r="E1227" s="74" t="str">
        <f>IF($B1227&lt;&gt;"",_xlfn.IFNA(VLOOKUP($B1227,'Node Details'!$B:$U,E$1,0),"Check"),"")</f>
        <v>Airtel</v>
      </c>
      <c r="F1227" s="76">
        <v>46149</v>
      </c>
      <c r="G1227" s="74"/>
      <c r="H1227" s="10" t="s">
        <v>1248</v>
      </c>
      <c r="I1227" s="9">
        <v>1</v>
      </c>
      <c r="J1227" s="9">
        <v>950</v>
      </c>
      <c r="K1227" s="77">
        <f t="shared" si="96"/>
        <v>950</v>
      </c>
      <c r="L1227" s="76">
        <v>46142</v>
      </c>
      <c r="N1227" s="83"/>
      <c r="O1227" s="84"/>
      <c r="P1227" s="81"/>
      <c r="Q1227" s="81"/>
      <c r="R1227" s="81"/>
      <c r="S1227" s="81"/>
      <c r="T1227" s="85"/>
      <c r="U1227" s="81"/>
      <c r="V1227" s="81"/>
      <c r="W1227" s="123">
        <f t="shared" si="95"/>
        <v>0</v>
      </c>
      <c r="X1227" s="123" t="s">
        <v>84</v>
      </c>
      <c r="Y1227" s="114" t="s">
        <v>1128</v>
      </c>
    </row>
    <row r="1228" spans="1:25" s="24" customFormat="1" ht="11.1" customHeight="1">
      <c r="A1228" s="74">
        <f t="shared" si="97"/>
        <v>1226</v>
      </c>
      <c r="B1228" s="75" t="s">
        <v>1188</v>
      </c>
      <c r="C1228" s="74" t="str">
        <f>IF($B1228&lt;&gt;"",_xlfn.IFNA(VLOOKUP($B1228,'Node Details'!$B:$U,C$1,0),"Check"),"")</f>
        <v>0000CM321-CM3210104</v>
      </c>
      <c r="D1228" s="74" t="str">
        <f>IF($B1228&lt;&gt;"",_xlfn.IFNA(VLOOKUP($B1228,'Node Details'!$B:$U,D$1,0),"Check"),"")</f>
        <v>CM3</v>
      </c>
      <c r="E1228" s="74" t="str">
        <f>IF($B1228&lt;&gt;"",_xlfn.IFNA(VLOOKUP($B1228,'Node Details'!$B:$U,E$1,0),"Check"),"")</f>
        <v>Airtel</v>
      </c>
      <c r="F1228" s="76">
        <v>46149</v>
      </c>
      <c r="G1228" s="74"/>
      <c r="H1228" s="10" t="s">
        <v>1248</v>
      </c>
      <c r="I1228" s="9">
        <v>1</v>
      </c>
      <c r="J1228" s="9">
        <v>950</v>
      </c>
      <c r="K1228" s="77">
        <f t="shared" si="96"/>
        <v>950</v>
      </c>
      <c r="L1228" s="76">
        <v>46142</v>
      </c>
      <c r="N1228" s="83"/>
      <c r="O1228" s="84"/>
      <c r="P1228" s="81"/>
      <c r="Q1228" s="81"/>
      <c r="R1228" s="81"/>
      <c r="S1228" s="81"/>
      <c r="T1228" s="85"/>
      <c r="U1228" s="81"/>
      <c r="V1228" s="81"/>
      <c r="W1228" s="123">
        <f t="shared" si="95"/>
        <v>0</v>
      </c>
      <c r="X1228" s="123" t="s">
        <v>84</v>
      </c>
      <c r="Y1228" s="114" t="s">
        <v>1128</v>
      </c>
    </row>
    <row r="1229" spans="1:25" s="24" customFormat="1" ht="11.1" customHeight="1">
      <c r="A1229" s="74">
        <f t="shared" si="97"/>
        <v>1227</v>
      </c>
      <c r="B1229" s="75" t="s">
        <v>1189</v>
      </c>
      <c r="C1229" s="74" t="str">
        <f>IF($B1229&lt;&gt;"",_xlfn.IFNA(VLOOKUP($B1229,'Node Details'!$B:$U,C$1,0),"Check"),"")</f>
        <v>0000CM321-CM3210104</v>
      </c>
      <c r="D1229" s="74" t="str">
        <f>IF($B1229&lt;&gt;"",_xlfn.IFNA(VLOOKUP($B1229,'Node Details'!$B:$U,D$1,0),"Check"),"")</f>
        <v>CM3</v>
      </c>
      <c r="E1229" s="74" t="str">
        <f>IF($B1229&lt;&gt;"",_xlfn.IFNA(VLOOKUP($B1229,'Node Details'!$B:$U,E$1,0),"Check"),"")</f>
        <v>Airtel</v>
      </c>
      <c r="F1229" s="76">
        <v>46149</v>
      </c>
      <c r="G1229" s="74"/>
      <c r="H1229" s="10" t="s">
        <v>1248</v>
      </c>
      <c r="I1229" s="9">
        <v>1</v>
      </c>
      <c r="J1229" s="9">
        <v>950</v>
      </c>
      <c r="K1229" s="77">
        <f t="shared" si="96"/>
        <v>950</v>
      </c>
      <c r="L1229" s="76">
        <v>46142</v>
      </c>
      <c r="N1229" s="83"/>
      <c r="O1229" s="84"/>
      <c r="P1229" s="81"/>
      <c r="Q1229" s="81"/>
      <c r="R1229" s="81"/>
      <c r="S1229" s="81"/>
      <c r="T1229" s="85"/>
      <c r="U1229" s="81"/>
      <c r="V1229" s="81"/>
      <c r="W1229" s="123">
        <f t="shared" si="95"/>
        <v>0</v>
      </c>
      <c r="X1229" s="123" t="s">
        <v>84</v>
      </c>
      <c r="Y1229" s="114" t="s">
        <v>1128</v>
      </c>
    </row>
    <row r="1230" spans="1:25" s="24" customFormat="1" ht="11.1" customHeight="1">
      <c r="A1230" s="74">
        <f t="shared" si="97"/>
        <v>1228</v>
      </c>
      <c r="B1230" s="75" t="s">
        <v>773</v>
      </c>
      <c r="C1230" s="74" t="str">
        <f>IF($B1230&lt;&gt;"",_xlfn.IFNA(VLOOKUP($B1230,'Node Details'!$B:$U,C$1,0),"Check"),"")</f>
        <v>0000CM321-CM3210104</v>
      </c>
      <c r="D1230" s="74" t="str">
        <f>IF($B1230&lt;&gt;"",_xlfn.IFNA(VLOOKUP($B1230,'Node Details'!$B:$U,D$1,0),"Check"),"")</f>
        <v>CM3</v>
      </c>
      <c r="E1230" s="74" t="str">
        <f>IF($B1230&lt;&gt;"",_xlfn.IFNA(VLOOKUP($B1230,'Node Details'!$B:$U,E$1,0),"Check"),"")</f>
        <v>Airtel</v>
      </c>
      <c r="F1230" s="76">
        <v>46149</v>
      </c>
      <c r="G1230" s="74"/>
      <c r="H1230" s="10" t="s">
        <v>1248</v>
      </c>
      <c r="I1230" s="9">
        <v>1</v>
      </c>
      <c r="J1230" s="9">
        <v>950</v>
      </c>
      <c r="K1230" s="77">
        <f t="shared" si="96"/>
        <v>950</v>
      </c>
      <c r="L1230" s="76">
        <v>46142</v>
      </c>
      <c r="N1230" s="83"/>
      <c r="O1230" s="84"/>
      <c r="P1230" s="81"/>
      <c r="Q1230" s="81"/>
      <c r="R1230" s="81"/>
      <c r="S1230" s="81"/>
      <c r="T1230" s="85"/>
      <c r="U1230" s="81"/>
      <c r="V1230" s="81"/>
      <c r="W1230" s="123">
        <f t="shared" si="95"/>
        <v>0</v>
      </c>
      <c r="X1230" s="123" t="s">
        <v>84</v>
      </c>
      <c r="Y1230" s="114" t="s">
        <v>1128</v>
      </c>
    </row>
    <row r="1231" spans="1:25" s="24" customFormat="1" ht="11.1" customHeight="1">
      <c r="A1231" s="74">
        <f t="shared" si="97"/>
        <v>1229</v>
      </c>
      <c r="B1231" s="75" t="s">
        <v>1190</v>
      </c>
      <c r="C1231" s="74" t="str">
        <f>IF($B1231&lt;&gt;"",_xlfn.IFNA(VLOOKUP($B1231,'Node Details'!$B:$U,C$1,0),"Check"),"")</f>
        <v>0000CM322-CM3220108</v>
      </c>
      <c r="D1231" s="74" t="str">
        <f>IF($B1231&lt;&gt;"",_xlfn.IFNA(VLOOKUP($B1231,'Node Details'!$B:$U,D$1,0),"Check"),"")</f>
        <v>CM3</v>
      </c>
      <c r="E1231" s="74" t="str">
        <f>IF($B1231&lt;&gt;"",_xlfn.IFNA(VLOOKUP($B1231,'Node Details'!$B:$U,E$1,0),"Check"),"")</f>
        <v>Airtel</v>
      </c>
      <c r="F1231" s="76">
        <v>46149</v>
      </c>
      <c r="G1231" s="74"/>
      <c r="H1231" s="10" t="s">
        <v>1248</v>
      </c>
      <c r="I1231" s="9">
        <v>1</v>
      </c>
      <c r="J1231" s="9">
        <v>950</v>
      </c>
      <c r="K1231" s="77">
        <f t="shared" si="96"/>
        <v>950</v>
      </c>
      <c r="L1231" s="76">
        <v>46142</v>
      </c>
      <c r="N1231" s="83"/>
      <c r="O1231" s="84"/>
      <c r="P1231" s="81"/>
      <c r="Q1231" s="81"/>
      <c r="R1231" s="81"/>
      <c r="S1231" s="81"/>
      <c r="T1231" s="85"/>
      <c r="U1231" s="81"/>
      <c r="V1231" s="81"/>
      <c r="W1231" s="123">
        <f t="shared" si="95"/>
        <v>0</v>
      </c>
      <c r="X1231" s="123" t="s">
        <v>84</v>
      </c>
      <c r="Y1231" s="114" t="s">
        <v>1128</v>
      </c>
    </row>
    <row r="1232" spans="1:25" s="24" customFormat="1" ht="11.1" customHeight="1">
      <c r="A1232" s="74">
        <f t="shared" si="97"/>
        <v>1230</v>
      </c>
      <c r="B1232" s="75" t="s">
        <v>1191</v>
      </c>
      <c r="C1232" s="74" t="str">
        <f>IF($B1232&lt;&gt;"",_xlfn.IFNA(VLOOKUP($B1232,'Node Details'!$B:$U,C$1,0),"Check"),"")</f>
        <v>0000CM322-CM3220108</v>
      </c>
      <c r="D1232" s="74" t="str">
        <f>IF($B1232&lt;&gt;"",_xlfn.IFNA(VLOOKUP($B1232,'Node Details'!$B:$U,D$1,0),"Check"),"")</f>
        <v>CM3</v>
      </c>
      <c r="E1232" s="74" t="str">
        <f>IF($B1232&lt;&gt;"",_xlfn.IFNA(VLOOKUP($B1232,'Node Details'!$B:$U,E$1,0),"Check"),"")</f>
        <v>Airtel</v>
      </c>
      <c r="F1232" s="76">
        <v>46149</v>
      </c>
      <c r="G1232" s="74"/>
      <c r="H1232" s="10" t="s">
        <v>1248</v>
      </c>
      <c r="I1232" s="9">
        <v>1</v>
      </c>
      <c r="J1232" s="9">
        <v>950</v>
      </c>
      <c r="K1232" s="77">
        <f t="shared" si="96"/>
        <v>950</v>
      </c>
      <c r="L1232" s="76">
        <v>46142</v>
      </c>
      <c r="N1232" s="83"/>
      <c r="O1232" s="84"/>
      <c r="P1232" s="81"/>
      <c r="Q1232" s="81"/>
      <c r="R1232" s="81"/>
      <c r="S1232" s="81"/>
      <c r="T1232" s="85"/>
      <c r="U1232" s="81"/>
      <c r="V1232" s="81"/>
      <c r="W1232" s="123">
        <f t="shared" si="95"/>
        <v>0</v>
      </c>
      <c r="X1232" s="123" t="s">
        <v>84</v>
      </c>
      <c r="Y1232" s="114" t="s">
        <v>1128</v>
      </c>
    </row>
    <row r="1233" spans="1:25" s="24" customFormat="1" ht="11.1" customHeight="1">
      <c r="A1233" s="74">
        <f t="shared" si="97"/>
        <v>1231</v>
      </c>
      <c r="B1233" s="75" t="s">
        <v>1192</v>
      </c>
      <c r="C1233" s="74" t="str">
        <f>IF($B1233&lt;&gt;"",_xlfn.IFNA(VLOOKUP($B1233,'Node Details'!$B:$U,C$1,0),"Check"),"")</f>
        <v>0000CM322-CM3220108</v>
      </c>
      <c r="D1233" s="74" t="str">
        <f>IF($B1233&lt;&gt;"",_xlfn.IFNA(VLOOKUP($B1233,'Node Details'!$B:$U,D$1,0),"Check"),"")</f>
        <v>CM3</v>
      </c>
      <c r="E1233" s="74" t="str">
        <f>IF($B1233&lt;&gt;"",_xlfn.IFNA(VLOOKUP($B1233,'Node Details'!$B:$U,E$1,0),"Check"),"")</f>
        <v>Airtel</v>
      </c>
      <c r="F1233" s="76">
        <v>46149</v>
      </c>
      <c r="G1233" s="74"/>
      <c r="H1233" s="10" t="s">
        <v>1248</v>
      </c>
      <c r="I1233" s="9">
        <v>1</v>
      </c>
      <c r="J1233" s="9">
        <v>950</v>
      </c>
      <c r="K1233" s="77">
        <f t="shared" si="96"/>
        <v>950</v>
      </c>
      <c r="L1233" s="76">
        <v>46142</v>
      </c>
      <c r="N1233" s="83"/>
      <c r="O1233" s="84"/>
      <c r="P1233" s="81"/>
      <c r="Q1233" s="81"/>
      <c r="R1233" s="81"/>
      <c r="S1233" s="81"/>
      <c r="T1233" s="85"/>
      <c r="U1233" s="81"/>
      <c r="V1233" s="81"/>
      <c r="W1233" s="123">
        <f t="shared" si="95"/>
        <v>0</v>
      </c>
      <c r="X1233" s="123" t="s">
        <v>84</v>
      </c>
      <c r="Y1233" s="114" t="s">
        <v>1128</v>
      </c>
    </row>
    <row r="1234" spans="1:25" s="24" customFormat="1" ht="11.1" customHeight="1">
      <c r="A1234" s="74">
        <f t="shared" si="97"/>
        <v>1232</v>
      </c>
      <c r="B1234" s="75" t="s">
        <v>776</v>
      </c>
      <c r="C1234" s="74" t="str">
        <f>IF($B1234&lt;&gt;"",_xlfn.IFNA(VLOOKUP($B1234,'Node Details'!$B:$U,C$1,0),"Check"),"")</f>
        <v>0000CM322-CM3220108</v>
      </c>
      <c r="D1234" s="74" t="str">
        <f>IF($B1234&lt;&gt;"",_xlfn.IFNA(VLOOKUP($B1234,'Node Details'!$B:$U,D$1,0),"Check"),"")</f>
        <v>CM3</v>
      </c>
      <c r="E1234" s="74" t="str">
        <f>IF($B1234&lt;&gt;"",_xlfn.IFNA(VLOOKUP($B1234,'Node Details'!$B:$U,E$1,0),"Check"),"")</f>
        <v>Airtel</v>
      </c>
      <c r="F1234" s="76">
        <v>46149</v>
      </c>
      <c r="G1234" s="74"/>
      <c r="H1234" s="10" t="s">
        <v>1248</v>
      </c>
      <c r="I1234" s="9">
        <v>1</v>
      </c>
      <c r="J1234" s="9">
        <v>950</v>
      </c>
      <c r="K1234" s="77">
        <f t="shared" si="96"/>
        <v>950</v>
      </c>
      <c r="L1234" s="76">
        <v>46142</v>
      </c>
      <c r="N1234" s="83"/>
      <c r="O1234" s="84"/>
      <c r="P1234" s="81"/>
      <c r="Q1234" s="81"/>
      <c r="R1234" s="81"/>
      <c r="S1234" s="81"/>
      <c r="T1234" s="85"/>
      <c r="U1234" s="81"/>
      <c r="V1234" s="81"/>
      <c r="W1234" s="123">
        <f t="shared" si="95"/>
        <v>0</v>
      </c>
      <c r="X1234" s="123" t="s">
        <v>84</v>
      </c>
      <c r="Y1234" s="114" t="s">
        <v>1128</v>
      </c>
    </row>
    <row r="1235" spans="1:25" s="24" customFormat="1" ht="11.1" customHeight="1">
      <c r="A1235" s="74">
        <f t="shared" si="97"/>
        <v>1233</v>
      </c>
      <c r="B1235" s="75" t="s">
        <v>1193</v>
      </c>
      <c r="C1235" s="74" t="str">
        <f>IF($B1235&lt;&gt;"",_xlfn.IFNA(VLOOKUP($B1235,'Node Details'!$B:$U,C$1,0),"Check"),"")</f>
        <v>0000CM322-CM3220104</v>
      </c>
      <c r="D1235" s="74" t="str">
        <f>IF($B1235&lt;&gt;"",_xlfn.IFNA(VLOOKUP($B1235,'Node Details'!$B:$U,D$1,0),"Check"),"")</f>
        <v>CM3</v>
      </c>
      <c r="E1235" s="74" t="str">
        <f>IF($B1235&lt;&gt;"",_xlfn.IFNA(VLOOKUP($B1235,'Node Details'!$B:$U,E$1,0),"Check"),"")</f>
        <v>Airtel</v>
      </c>
      <c r="F1235" s="76">
        <v>46149</v>
      </c>
      <c r="G1235" s="74"/>
      <c r="H1235" s="10" t="s">
        <v>1248</v>
      </c>
      <c r="I1235" s="9">
        <v>1</v>
      </c>
      <c r="J1235" s="9">
        <v>950</v>
      </c>
      <c r="K1235" s="77">
        <f t="shared" si="96"/>
        <v>950</v>
      </c>
      <c r="L1235" s="76">
        <v>46142</v>
      </c>
      <c r="N1235" s="83"/>
      <c r="O1235" s="84"/>
      <c r="P1235" s="81"/>
      <c r="Q1235" s="81"/>
      <c r="R1235" s="81"/>
      <c r="S1235" s="81"/>
      <c r="T1235" s="85"/>
      <c r="U1235" s="81"/>
      <c r="V1235" s="81"/>
      <c r="W1235" s="123">
        <f t="shared" si="95"/>
        <v>0</v>
      </c>
      <c r="X1235" s="123" t="s">
        <v>84</v>
      </c>
      <c r="Y1235" s="114" t="s">
        <v>1128</v>
      </c>
    </row>
    <row r="1236" spans="1:25" s="24" customFormat="1" ht="11.1" customHeight="1">
      <c r="A1236" s="74">
        <f t="shared" si="97"/>
        <v>1234</v>
      </c>
      <c r="B1236" s="75" t="s">
        <v>780</v>
      </c>
      <c r="C1236" s="74" t="str">
        <f>IF($B1236&lt;&gt;"",_xlfn.IFNA(VLOOKUP($B1236,'Node Details'!$B:$U,C$1,0),"Check"),"")</f>
        <v>0000CM322-CM3220104</v>
      </c>
      <c r="D1236" s="74" t="str">
        <f>IF($B1236&lt;&gt;"",_xlfn.IFNA(VLOOKUP($B1236,'Node Details'!$B:$U,D$1,0),"Check"),"")</f>
        <v>CM3</v>
      </c>
      <c r="E1236" s="74" t="str">
        <f>IF($B1236&lt;&gt;"",_xlfn.IFNA(VLOOKUP($B1236,'Node Details'!$B:$U,E$1,0),"Check"),"")</f>
        <v>Airtel</v>
      </c>
      <c r="F1236" s="76">
        <v>46149</v>
      </c>
      <c r="G1236" s="74"/>
      <c r="H1236" s="10" t="s">
        <v>1248</v>
      </c>
      <c r="I1236" s="9">
        <v>1</v>
      </c>
      <c r="J1236" s="9">
        <v>950</v>
      </c>
      <c r="K1236" s="77">
        <f t="shared" si="96"/>
        <v>950</v>
      </c>
      <c r="L1236" s="76">
        <v>46142</v>
      </c>
      <c r="N1236" s="83"/>
      <c r="O1236" s="84"/>
      <c r="P1236" s="81"/>
      <c r="Q1236" s="81"/>
      <c r="R1236" s="81"/>
      <c r="S1236" s="81"/>
      <c r="T1236" s="85"/>
      <c r="U1236" s="81"/>
      <c r="V1236" s="81"/>
      <c r="W1236" s="123">
        <f t="shared" si="95"/>
        <v>0</v>
      </c>
      <c r="X1236" s="123" t="s">
        <v>84</v>
      </c>
      <c r="Y1236" s="114" t="s">
        <v>1128</v>
      </c>
    </row>
    <row r="1237" spans="1:25" s="24" customFormat="1" ht="11.1" customHeight="1">
      <c r="A1237" s="74">
        <f t="shared" si="97"/>
        <v>1235</v>
      </c>
      <c r="B1237" s="75" t="s">
        <v>778</v>
      </c>
      <c r="C1237" s="74" t="str">
        <f>IF($B1237&lt;&gt;"",_xlfn.IFNA(VLOOKUP($B1237,'Node Details'!$B:$U,C$1,0),"Check"),"")</f>
        <v>0000CM322-CM3220104</v>
      </c>
      <c r="D1237" s="74" t="str">
        <f>IF($B1237&lt;&gt;"",_xlfn.IFNA(VLOOKUP($B1237,'Node Details'!$B:$U,D$1,0),"Check"),"")</f>
        <v>CM3</v>
      </c>
      <c r="E1237" s="74" t="str">
        <f>IF($B1237&lt;&gt;"",_xlfn.IFNA(VLOOKUP($B1237,'Node Details'!$B:$U,E$1,0),"Check"),"")</f>
        <v>Airtel</v>
      </c>
      <c r="F1237" s="76">
        <v>46149</v>
      </c>
      <c r="G1237" s="74"/>
      <c r="H1237" s="10" t="s">
        <v>1248</v>
      </c>
      <c r="I1237" s="9">
        <v>1</v>
      </c>
      <c r="J1237" s="9">
        <v>950</v>
      </c>
      <c r="K1237" s="77">
        <f t="shared" si="96"/>
        <v>950</v>
      </c>
      <c r="L1237" s="76">
        <v>46142</v>
      </c>
      <c r="N1237" s="83"/>
      <c r="O1237" s="84"/>
      <c r="P1237" s="81"/>
      <c r="Q1237" s="81"/>
      <c r="R1237" s="81"/>
      <c r="S1237" s="81"/>
      <c r="T1237" s="85"/>
      <c r="U1237" s="81"/>
      <c r="V1237" s="81"/>
      <c r="W1237" s="123">
        <f t="shared" si="95"/>
        <v>0</v>
      </c>
      <c r="X1237" s="123" t="s">
        <v>84</v>
      </c>
      <c r="Y1237" s="114" t="s">
        <v>1128</v>
      </c>
    </row>
    <row r="1238" spans="1:25" s="24" customFormat="1" ht="11.1" customHeight="1">
      <c r="A1238" s="74">
        <f t="shared" si="97"/>
        <v>1236</v>
      </c>
      <c r="B1238" s="75" t="s">
        <v>781</v>
      </c>
      <c r="C1238" s="74" t="str">
        <f>IF($B1238&lt;&gt;"",_xlfn.IFNA(VLOOKUP($B1238,'Node Details'!$B:$U,C$1,0),"Check"),"")</f>
        <v>CM3220102-CM3220103</v>
      </c>
      <c r="D1238" s="74" t="str">
        <f>IF($B1238&lt;&gt;"",_xlfn.IFNA(VLOOKUP($B1238,'Node Details'!$B:$U,D$1,0),"Check"),"")</f>
        <v>CM3</v>
      </c>
      <c r="E1238" s="74" t="str">
        <f>IF($B1238&lt;&gt;"",_xlfn.IFNA(VLOOKUP($B1238,'Node Details'!$B:$U,E$1,0),"Check"),"")</f>
        <v>Airtel</v>
      </c>
      <c r="F1238" s="76">
        <v>46149</v>
      </c>
      <c r="G1238" s="74"/>
      <c r="H1238" s="10" t="s">
        <v>1248</v>
      </c>
      <c r="I1238" s="9">
        <v>1</v>
      </c>
      <c r="J1238" s="9">
        <v>950</v>
      </c>
      <c r="K1238" s="77">
        <f t="shared" si="96"/>
        <v>950</v>
      </c>
      <c r="L1238" s="76">
        <v>46142</v>
      </c>
      <c r="N1238" s="83"/>
      <c r="O1238" s="84"/>
      <c r="P1238" s="81"/>
      <c r="Q1238" s="81"/>
      <c r="R1238" s="81"/>
      <c r="S1238" s="81"/>
      <c r="T1238" s="85"/>
      <c r="U1238" s="81"/>
      <c r="V1238" s="81"/>
      <c r="W1238" s="123">
        <f t="shared" si="95"/>
        <v>0</v>
      </c>
      <c r="X1238" s="123" t="s">
        <v>84</v>
      </c>
      <c r="Y1238" s="114" t="s">
        <v>1128</v>
      </c>
    </row>
    <row r="1239" spans="1:25" s="24" customFormat="1" ht="11.1" customHeight="1">
      <c r="A1239" s="74">
        <f t="shared" si="97"/>
        <v>1237</v>
      </c>
      <c r="B1239" s="75" t="s">
        <v>784</v>
      </c>
      <c r="C1239" s="74" t="str">
        <f>IF($B1239&lt;&gt;"",_xlfn.IFNA(VLOOKUP($B1239,'Node Details'!$B:$U,C$1,0),"Check"),"")</f>
        <v>0000CM323-CM3230101</v>
      </c>
      <c r="D1239" s="74" t="str">
        <f>IF($B1239&lt;&gt;"",_xlfn.IFNA(VLOOKUP($B1239,'Node Details'!$B:$U,D$1,0),"Check"),"")</f>
        <v>CM3</v>
      </c>
      <c r="E1239" s="74" t="str">
        <f>IF($B1239&lt;&gt;"",_xlfn.IFNA(VLOOKUP($B1239,'Node Details'!$B:$U,E$1,0),"Check"),"")</f>
        <v>Airtel</v>
      </c>
      <c r="F1239" s="76">
        <v>46149</v>
      </c>
      <c r="G1239" s="74"/>
      <c r="H1239" s="10" t="s">
        <v>1248</v>
      </c>
      <c r="I1239" s="9">
        <v>1</v>
      </c>
      <c r="J1239" s="9">
        <v>950</v>
      </c>
      <c r="K1239" s="77">
        <f t="shared" si="96"/>
        <v>950</v>
      </c>
      <c r="L1239" s="76">
        <v>46142</v>
      </c>
      <c r="N1239" s="83"/>
      <c r="O1239" s="84"/>
      <c r="P1239" s="81"/>
      <c r="Q1239" s="81"/>
      <c r="R1239" s="81"/>
      <c r="S1239" s="81"/>
      <c r="T1239" s="85"/>
      <c r="U1239" s="81"/>
      <c r="V1239" s="81"/>
      <c r="W1239" s="123">
        <f t="shared" si="95"/>
        <v>0</v>
      </c>
      <c r="X1239" s="123" t="s">
        <v>84</v>
      </c>
      <c r="Y1239" s="114" t="s">
        <v>1128</v>
      </c>
    </row>
    <row r="1240" spans="1:25" s="24" customFormat="1" ht="11.1" customHeight="1">
      <c r="A1240" s="74">
        <f t="shared" si="97"/>
        <v>1238</v>
      </c>
      <c r="B1240" s="75" t="s">
        <v>1194</v>
      </c>
      <c r="C1240" s="74" t="str">
        <f>IF($B1240&lt;&gt;"",_xlfn.IFNA(VLOOKUP($B1240,'Node Details'!$B:$U,C$1,0),"Check"),"")</f>
        <v>0000CM323-CM3230104</v>
      </c>
      <c r="D1240" s="74" t="str">
        <f>IF($B1240&lt;&gt;"",_xlfn.IFNA(VLOOKUP($B1240,'Node Details'!$B:$U,D$1,0),"Check"),"")</f>
        <v>CM3</v>
      </c>
      <c r="E1240" s="74" t="str">
        <f>IF($B1240&lt;&gt;"",_xlfn.IFNA(VLOOKUP($B1240,'Node Details'!$B:$U,E$1,0),"Check"),"")</f>
        <v>Airtel</v>
      </c>
      <c r="F1240" s="76">
        <v>46149</v>
      </c>
      <c r="G1240" s="74"/>
      <c r="H1240" s="10" t="s">
        <v>1248</v>
      </c>
      <c r="I1240" s="9">
        <v>1</v>
      </c>
      <c r="J1240" s="9">
        <v>950</v>
      </c>
      <c r="K1240" s="77">
        <f t="shared" si="96"/>
        <v>950</v>
      </c>
      <c r="L1240" s="76">
        <v>46142</v>
      </c>
      <c r="N1240" s="83"/>
      <c r="O1240" s="84"/>
      <c r="P1240" s="81"/>
      <c r="Q1240" s="81"/>
      <c r="R1240" s="81"/>
      <c r="S1240" s="81"/>
      <c r="T1240" s="85"/>
      <c r="U1240" s="81"/>
      <c r="V1240" s="81"/>
      <c r="W1240" s="123">
        <f t="shared" si="95"/>
        <v>0</v>
      </c>
      <c r="X1240" s="123" t="s">
        <v>84</v>
      </c>
      <c r="Y1240" s="114" t="s">
        <v>1128</v>
      </c>
    </row>
    <row r="1241" spans="1:25" s="24" customFormat="1" ht="11.1" customHeight="1">
      <c r="A1241" s="74">
        <f t="shared" si="97"/>
        <v>1239</v>
      </c>
      <c r="B1241" s="75" t="s">
        <v>1195</v>
      </c>
      <c r="C1241" s="74" t="str">
        <f>IF($B1241&lt;&gt;"",_xlfn.IFNA(VLOOKUP($B1241,'Node Details'!$B:$U,C$1,0),"Check"),"")</f>
        <v>0000CM323-CM3230104</v>
      </c>
      <c r="D1241" s="74" t="str">
        <f>IF($B1241&lt;&gt;"",_xlfn.IFNA(VLOOKUP($B1241,'Node Details'!$B:$U,D$1,0),"Check"),"")</f>
        <v>CM3</v>
      </c>
      <c r="E1241" s="74" t="str">
        <f>IF($B1241&lt;&gt;"",_xlfn.IFNA(VLOOKUP($B1241,'Node Details'!$B:$U,E$1,0),"Check"),"")</f>
        <v>Airtel</v>
      </c>
      <c r="F1241" s="76">
        <v>46149</v>
      </c>
      <c r="G1241" s="74"/>
      <c r="H1241" s="10" t="s">
        <v>1248</v>
      </c>
      <c r="I1241" s="9">
        <v>1</v>
      </c>
      <c r="J1241" s="9">
        <v>950</v>
      </c>
      <c r="K1241" s="77">
        <f t="shared" si="96"/>
        <v>950</v>
      </c>
      <c r="L1241" s="76">
        <v>46142</v>
      </c>
      <c r="N1241" s="83"/>
      <c r="O1241" s="84"/>
      <c r="P1241" s="81"/>
      <c r="Q1241" s="81"/>
      <c r="R1241" s="81"/>
      <c r="S1241" s="81"/>
      <c r="T1241" s="85"/>
      <c r="U1241" s="81"/>
      <c r="V1241" s="81"/>
      <c r="W1241" s="123">
        <f t="shared" si="95"/>
        <v>0</v>
      </c>
      <c r="X1241" s="123" t="s">
        <v>84</v>
      </c>
      <c r="Y1241" s="114" t="s">
        <v>1128</v>
      </c>
    </row>
    <row r="1242" spans="1:25" s="24" customFormat="1" ht="11.1" customHeight="1">
      <c r="A1242" s="74">
        <f t="shared" si="97"/>
        <v>1240</v>
      </c>
      <c r="B1242" s="75" t="s">
        <v>786</v>
      </c>
      <c r="C1242" s="74" t="str">
        <f>IF($B1242&lt;&gt;"",_xlfn.IFNA(VLOOKUP($B1242,'Node Details'!$B:$U,C$1,0),"Check"),"")</f>
        <v>0000CM323-CM3230104</v>
      </c>
      <c r="D1242" s="74" t="str">
        <f>IF($B1242&lt;&gt;"",_xlfn.IFNA(VLOOKUP($B1242,'Node Details'!$B:$U,D$1,0),"Check"),"")</f>
        <v>CM3</v>
      </c>
      <c r="E1242" s="74" t="str">
        <f>IF($B1242&lt;&gt;"",_xlfn.IFNA(VLOOKUP($B1242,'Node Details'!$B:$U,E$1,0),"Check"),"")</f>
        <v>Airtel</v>
      </c>
      <c r="F1242" s="76">
        <v>46149</v>
      </c>
      <c r="G1242" s="74"/>
      <c r="H1242" s="10" t="s">
        <v>1248</v>
      </c>
      <c r="I1242" s="9">
        <v>1</v>
      </c>
      <c r="J1242" s="9">
        <v>950</v>
      </c>
      <c r="K1242" s="77">
        <f t="shared" si="96"/>
        <v>950</v>
      </c>
      <c r="L1242" s="76">
        <v>46142</v>
      </c>
      <c r="N1242" s="83"/>
      <c r="O1242" s="84"/>
      <c r="P1242" s="81"/>
      <c r="Q1242" s="81"/>
      <c r="R1242" s="81"/>
      <c r="S1242" s="81"/>
      <c r="T1242" s="85"/>
      <c r="U1242" s="81"/>
      <c r="V1242" s="81"/>
      <c r="W1242" s="123">
        <f t="shared" si="95"/>
        <v>0</v>
      </c>
      <c r="X1242" s="123" t="s">
        <v>84</v>
      </c>
      <c r="Y1242" s="114" t="s">
        <v>1128</v>
      </c>
    </row>
    <row r="1243" spans="1:25" s="24" customFormat="1" ht="11.1" customHeight="1">
      <c r="A1243" s="74">
        <f t="shared" si="97"/>
        <v>1241</v>
      </c>
      <c r="B1243" s="75" t="s">
        <v>1196</v>
      </c>
      <c r="C1243" s="74" t="str">
        <f>IF($B1243&lt;&gt;"",_xlfn.IFNA(VLOOKUP($B1243,'Node Details'!$B:$U,C$1,0),"Check"),"")</f>
        <v>0000CM323-CM3230107</v>
      </c>
      <c r="D1243" s="74" t="str">
        <f>IF($B1243&lt;&gt;"",_xlfn.IFNA(VLOOKUP($B1243,'Node Details'!$B:$U,D$1,0),"Check"),"")</f>
        <v>CM3</v>
      </c>
      <c r="E1243" s="74" t="str">
        <f>IF($B1243&lt;&gt;"",_xlfn.IFNA(VLOOKUP($B1243,'Node Details'!$B:$U,E$1,0),"Check"),"")</f>
        <v>Airtel</v>
      </c>
      <c r="F1243" s="76">
        <v>46149</v>
      </c>
      <c r="G1243" s="74"/>
      <c r="H1243" s="10" t="s">
        <v>1248</v>
      </c>
      <c r="I1243" s="9">
        <v>1</v>
      </c>
      <c r="J1243" s="9">
        <v>950</v>
      </c>
      <c r="K1243" s="77">
        <f t="shared" si="96"/>
        <v>950</v>
      </c>
      <c r="L1243" s="76">
        <v>46142</v>
      </c>
      <c r="N1243" s="83"/>
      <c r="O1243" s="84"/>
      <c r="P1243" s="81"/>
      <c r="Q1243" s="81"/>
      <c r="R1243" s="81"/>
      <c r="S1243" s="81"/>
      <c r="T1243" s="85"/>
      <c r="U1243" s="81"/>
      <c r="V1243" s="81"/>
      <c r="W1243" s="123">
        <f t="shared" si="95"/>
        <v>0</v>
      </c>
      <c r="X1243" s="123" t="s">
        <v>84</v>
      </c>
      <c r="Y1243" s="114" t="s">
        <v>1128</v>
      </c>
    </row>
    <row r="1244" spans="1:25" s="24" customFormat="1" ht="11.1" customHeight="1">
      <c r="A1244" s="74">
        <f t="shared" si="97"/>
        <v>1242</v>
      </c>
      <c r="B1244" s="75" t="s">
        <v>788</v>
      </c>
      <c r="C1244" s="74" t="str">
        <f>IF($B1244&lt;&gt;"",_xlfn.IFNA(VLOOKUP($B1244,'Node Details'!$B:$U,C$1,0),"Check"),"")</f>
        <v>0000CM323-CM3230107</v>
      </c>
      <c r="D1244" s="74" t="str">
        <f>IF($B1244&lt;&gt;"",_xlfn.IFNA(VLOOKUP($B1244,'Node Details'!$B:$U,D$1,0),"Check"),"")</f>
        <v>CM3</v>
      </c>
      <c r="E1244" s="74" t="str">
        <f>IF($B1244&lt;&gt;"",_xlfn.IFNA(VLOOKUP($B1244,'Node Details'!$B:$U,E$1,0),"Check"),"")</f>
        <v>Airtel</v>
      </c>
      <c r="F1244" s="76">
        <v>46149</v>
      </c>
      <c r="G1244" s="74"/>
      <c r="H1244" s="10" t="s">
        <v>1248</v>
      </c>
      <c r="I1244" s="9">
        <v>1</v>
      </c>
      <c r="J1244" s="9">
        <v>950</v>
      </c>
      <c r="K1244" s="77">
        <f t="shared" si="96"/>
        <v>950</v>
      </c>
      <c r="L1244" s="76">
        <v>46142</v>
      </c>
      <c r="N1244" s="83"/>
      <c r="O1244" s="84"/>
      <c r="P1244" s="81"/>
      <c r="Q1244" s="81"/>
      <c r="R1244" s="81"/>
      <c r="S1244" s="81"/>
      <c r="T1244" s="85"/>
      <c r="U1244" s="81"/>
      <c r="V1244" s="81"/>
      <c r="W1244" s="123">
        <f t="shared" si="95"/>
        <v>0</v>
      </c>
      <c r="X1244" s="123" t="s">
        <v>84</v>
      </c>
      <c r="Y1244" s="114" t="s">
        <v>1128</v>
      </c>
    </row>
    <row r="1245" spans="1:25" s="24" customFormat="1" ht="11.1" customHeight="1">
      <c r="A1245" s="74">
        <f t="shared" si="97"/>
        <v>1243</v>
      </c>
      <c r="B1245" s="75" t="s">
        <v>791</v>
      </c>
      <c r="C1245" s="74" t="str">
        <f>IF($B1245&lt;&gt;"",_xlfn.IFNA(VLOOKUP($B1245,'Node Details'!$B:$U,C$1,0),"Check"),"")</f>
        <v>0000CM324-CM3240101</v>
      </c>
      <c r="D1245" s="74" t="str">
        <f>IF($B1245&lt;&gt;"",_xlfn.IFNA(VLOOKUP($B1245,'Node Details'!$B:$U,D$1,0),"Check"),"")</f>
        <v>CM3</v>
      </c>
      <c r="E1245" s="74" t="str">
        <f>IF($B1245&lt;&gt;"",_xlfn.IFNA(VLOOKUP($B1245,'Node Details'!$B:$U,E$1,0),"Check"),"")</f>
        <v>Airtel</v>
      </c>
      <c r="F1245" s="76">
        <v>46149</v>
      </c>
      <c r="G1245" s="74"/>
      <c r="H1245" s="10" t="s">
        <v>1248</v>
      </c>
      <c r="I1245" s="9">
        <v>1</v>
      </c>
      <c r="J1245" s="9">
        <v>950</v>
      </c>
      <c r="K1245" s="77">
        <f t="shared" si="96"/>
        <v>950</v>
      </c>
      <c r="L1245" s="76">
        <v>46142</v>
      </c>
      <c r="N1245" s="83"/>
      <c r="O1245" s="84"/>
      <c r="P1245" s="81"/>
      <c r="Q1245" s="81"/>
      <c r="R1245" s="81"/>
      <c r="S1245" s="81"/>
      <c r="T1245" s="85"/>
      <c r="U1245" s="81"/>
      <c r="V1245" s="81"/>
      <c r="W1245" s="123">
        <f t="shared" si="95"/>
        <v>0</v>
      </c>
      <c r="X1245" s="123" t="s">
        <v>84</v>
      </c>
      <c r="Y1245" s="114" t="s">
        <v>1128</v>
      </c>
    </row>
    <row r="1246" spans="1:25" s="24" customFormat="1" ht="11.1" customHeight="1">
      <c r="A1246" s="74">
        <f t="shared" si="97"/>
        <v>1244</v>
      </c>
      <c r="B1246" s="75" t="s">
        <v>793</v>
      </c>
      <c r="C1246" s="74" t="str">
        <f>IF($B1246&lt;&gt;"",_xlfn.IFNA(VLOOKUP($B1246,'Node Details'!$B:$U,C$1,0),"Check"),"")</f>
        <v>0000CM324-CM3240102</v>
      </c>
      <c r="D1246" s="74" t="str">
        <f>IF($B1246&lt;&gt;"",_xlfn.IFNA(VLOOKUP($B1246,'Node Details'!$B:$U,D$1,0),"Check"),"")</f>
        <v>CM3</v>
      </c>
      <c r="E1246" s="74" t="str">
        <f>IF($B1246&lt;&gt;"",_xlfn.IFNA(VLOOKUP($B1246,'Node Details'!$B:$U,E$1,0),"Check"),"")</f>
        <v>Airtel</v>
      </c>
      <c r="F1246" s="76">
        <v>46149</v>
      </c>
      <c r="G1246" s="74"/>
      <c r="H1246" s="10" t="s">
        <v>1248</v>
      </c>
      <c r="I1246" s="9">
        <v>1</v>
      </c>
      <c r="J1246" s="9">
        <v>950</v>
      </c>
      <c r="K1246" s="77">
        <f t="shared" si="96"/>
        <v>950</v>
      </c>
      <c r="L1246" s="76">
        <v>46142</v>
      </c>
      <c r="N1246" s="83"/>
      <c r="O1246" s="84"/>
      <c r="P1246" s="81"/>
      <c r="Q1246" s="81"/>
      <c r="R1246" s="81"/>
      <c r="S1246" s="81"/>
      <c r="T1246" s="85"/>
      <c r="U1246" s="81"/>
      <c r="V1246" s="81"/>
      <c r="W1246" s="123">
        <f t="shared" si="95"/>
        <v>0</v>
      </c>
      <c r="X1246" s="123" t="s">
        <v>84</v>
      </c>
      <c r="Y1246" s="114" t="s">
        <v>1128</v>
      </c>
    </row>
    <row r="1247" spans="1:25" s="24" customFormat="1" ht="11.1" customHeight="1">
      <c r="A1247" s="74">
        <f t="shared" si="97"/>
        <v>1245</v>
      </c>
      <c r="B1247" s="75" t="s">
        <v>1197</v>
      </c>
      <c r="C1247" s="74" t="str">
        <f>IF($B1247&lt;&gt;"",_xlfn.IFNA(VLOOKUP($B1247,'Node Details'!$B:$U,C$1,0),"Check"),"")</f>
        <v>0000CM324-CM3240106</v>
      </c>
      <c r="D1247" s="74" t="str">
        <f>IF($B1247&lt;&gt;"",_xlfn.IFNA(VLOOKUP($B1247,'Node Details'!$B:$U,D$1,0),"Check"),"")</f>
        <v>CM3</v>
      </c>
      <c r="E1247" s="74" t="str">
        <f>IF($B1247&lt;&gt;"",_xlfn.IFNA(VLOOKUP($B1247,'Node Details'!$B:$U,E$1,0),"Check"),"")</f>
        <v>Airtel</v>
      </c>
      <c r="F1247" s="76">
        <v>46149</v>
      </c>
      <c r="G1247" s="74"/>
      <c r="H1247" s="10" t="s">
        <v>1248</v>
      </c>
      <c r="I1247" s="9">
        <v>1</v>
      </c>
      <c r="J1247" s="9">
        <v>950</v>
      </c>
      <c r="K1247" s="77">
        <f t="shared" si="96"/>
        <v>950</v>
      </c>
      <c r="L1247" s="76">
        <v>46142</v>
      </c>
      <c r="N1247" s="83"/>
      <c r="O1247" s="84"/>
      <c r="P1247" s="81"/>
      <c r="Q1247" s="81"/>
      <c r="R1247" s="81"/>
      <c r="S1247" s="81"/>
      <c r="T1247" s="85"/>
      <c r="U1247" s="81"/>
      <c r="V1247" s="81"/>
      <c r="W1247" s="123">
        <f t="shared" si="95"/>
        <v>0</v>
      </c>
      <c r="X1247" s="123" t="s">
        <v>84</v>
      </c>
      <c r="Y1247" s="114" t="s">
        <v>1128</v>
      </c>
    </row>
    <row r="1248" spans="1:25" s="24" customFormat="1" ht="11.1" customHeight="1">
      <c r="A1248" s="74">
        <f t="shared" si="97"/>
        <v>1246</v>
      </c>
      <c r="B1248" s="75" t="s">
        <v>1198</v>
      </c>
      <c r="C1248" s="74" t="str">
        <f>IF($B1248&lt;&gt;"",_xlfn.IFNA(VLOOKUP($B1248,'Node Details'!$B:$U,C$1,0),"Check"),"")</f>
        <v>0000CM324-CM3240106</v>
      </c>
      <c r="D1248" s="74" t="str">
        <f>IF($B1248&lt;&gt;"",_xlfn.IFNA(VLOOKUP($B1248,'Node Details'!$B:$U,D$1,0),"Check"),"")</f>
        <v>CM3</v>
      </c>
      <c r="E1248" s="74" t="str">
        <f>IF($B1248&lt;&gt;"",_xlfn.IFNA(VLOOKUP($B1248,'Node Details'!$B:$U,E$1,0),"Check"),"")</f>
        <v>Airtel</v>
      </c>
      <c r="F1248" s="76">
        <v>46149</v>
      </c>
      <c r="G1248" s="74"/>
      <c r="H1248" s="10" t="s">
        <v>1248</v>
      </c>
      <c r="I1248" s="9">
        <v>1</v>
      </c>
      <c r="J1248" s="9">
        <v>950</v>
      </c>
      <c r="K1248" s="77">
        <f t="shared" si="96"/>
        <v>950</v>
      </c>
      <c r="L1248" s="76">
        <v>46142</v>
      </c>
      <c r="N1248" s="83"/>
      <c r="O1248" s="84"/>
      <c r="P1248" s="81"/>
      <c r="Q1248" s="81"/>
      <c r="R1248" s="81"/>
      <c r="S1248" s="81"/>
      <c r="T1248" s="85"/>
      <c r="U1248" s="81"/>
      <c r="V1248" s="81"/>
      <c r="W1248" s="123">
        <f t="shared" si="95"/>
        <v>0</v>
      </c>
      <c r="X1248" s="123" t="s">
        <v>84</v>
      </c>
      <c r="Y1248" s="114" t="s">
        <v>1128</v>
      </c>
    </row>
    <row r="1249" spans="1:25" s="24" customFormat="1" ht="11.1" customHeight="1">
      <c r="A1249" s="74">
        <f t="shared" si="97"/>
        <v>1247</v>
      </c>
      <c r="B1249" s="75" t="s">
        <v>795</v>
      </c>
      <c r="C1249" s="74" t="str">
        <f>IF($B1249&lt;&gt;"",_xlfn.IFNA(VLOOKUP($B1249,'Node Details'!$B:$U,C$1,0),"Check"),"")</f>
        <v>0000CM324-CM3240106</v>
      </c>
      <c r="D1249" s="74" t="str">
        <f>IF($B1249&lt;&gt;"",_xlfn.IFNA(VLOOKUP($B1249,'Node Details'!$B:$U,D$1,0),"Check"),"")</f>
        <v>CM3</v>
      </c>
      <c r="E1249" s="74" t="str">
        <f>IF($B1249&lt;&gt;"",_xlfn.IFNA(VLOOKUP($B1249,'Node Details'!$B:$U,E$1,0),"Check"),"")</f>
        <v>Airtel</v>
      </c>
      <c r="F1249" s="76">
        <v>46149</v>
      </c>
      <c r="G1249" s="74"/>
      <c r="H1249" s="10" t="s">
        <v>1248</v>
      </c>
      <c r="I1249" s="9">
        <v>1</v>
      </c>
      <c r="J1249" s="9">
        <v>950</v>
      </c>
      <c r="K1249" s="77">
        <f t="shared" si="96"/>
        <v>950</v>
      </c>
      <c r="L1249" s="76">
        <v>46142</v>
      </c>
      <c r="N1249" s="83"/>
      <c r="O1249" s="84"/>
      <c r="P1249" s="81"/>
      <c r="Q1249" s="81"/>
      <c r="R1249" s="81"/>
      <c r="S1249" s="81"/>
      <c r="T1249" s="85"/>
      <c r="U1249" s="81"/>
      <c r="V1249" s="81"/>
      <c r="W1249" s="123">
        <f t="shared" si="95"/>
        <v>0</v>
      </c>
      <c r="X1249" s="123" t="s">
        <v>84</v>
      </c>
      <c r="Y1249" s="114" t="s">
        <v>1128</v>
      </c>
    </row>
    <row r="1250" spans="1:25" s="24" customFormat="1" ht="11.1" customHeight="1">
      <c r="A1250" s="74">
        <f t="shared" si="97"/>
        <v>1248</v>
      </c>
      <c r="B1250" s="75" t="s">
        <v>1199</v>
      </c>
      <c r="C1250" s="74" t="str">
        <f>IF($B1250&lt;&gt;"",_xlfn.IFNA(VLOOKUP($B1250,'Node Details'!$B:$U,C$1,0),"Check"),"")</f>
        <v>0000CM325-CM3250103</v>
      </c>
      <c r="D1250" s="74" t="str">
        <f>IF($B1250&lt;&gt;"",_xlfn.IFNA(VLOOKUP($B1250,'Node Details'!$B:$U,D$1,0),"Check"),"")</f>
        <v>CM3</v>
      </c>
      <c r="E1250" s="74" t="str">
        <f>IF($B1250&lt;&gt;"",_xlfn.IFNA(VLOOKUP($B1250,'Node Details'!$B:$U,E$1,0),"Check"),"")</f>
        <v>Airtel</v>
      </c>
      <c r="F1250" s="76">
        <v>46149</v>
      </c>
      <c r="G1250" s="74"/>
      <c r="H1250" s="10" t="s">
        <v>1248</v>
      </c>
      <c r="I1250" s="9">
        <v>1</v>
      </c>
      <c r="J1250" s="9">
        <v>950</v>
      </c>
      <c r="K1250" s="77">
        <f t="shared" si="96"/>
        <v>950</v>
      </c>
      <c r="L1250" s="76">
        <v>46142</v>
      </c>
      <c r="N1250" s="83"/>
      <c r="O1250" s="84"/>
      <c r="P1250" s="81"/>
      <c r="Q1250" s="81"/>
      <c r="R1250" s="81"/>
      <c r="S1250" s="81"/>
      <c r="T1250" s="85"/>
      <c r="U1250" s="81"/>
      <c r="V1250" s="81"/>
      <c r="W1250" s="123">
        <f t="shared" si="95"/>
        <v>0</v>
      </c>
      <c r="X1250" s="123" t="s">
        <v>84</v>
      </c>
      <c r="Y1250" s="114" t="s">
        <v>1128</v>
      </c>
    </row>
    <row r="1251" spans="1:25" s="24" customFormat="1" ht="11.1" customHeight="1">
      <c r="A1251" s="74">
        <f t="shared" si="97"/>
        <v>1249</v>
      </c>
      <c r="B1251" s="75" t="s">
        <v>1200</v>
      </c>
      <c r="C1251" s="74" t="str">
        <f>IF($B1251&lt;&gt;"",_xlfn.IFNA(VLOOKUP($B1251,'Node Details'!$B:$U,C$1,0),"Check"),"")</f>
        <v>0000CM325-CM3250103</v>
      </c>
      <c r="D1251" s="74" t="str">
        <f>IF($B1251&lt;&gt;"",_xlfn.IFNA(VLOOKUP($B1251,'Node Details'!$B:$U,D$1,0),"Check"),"")</f>
        <v>CM3</v>
      </c>
      <c r="E1251" s="74" t="str">
        <f>IF($B1251&lt;&gt;"",_xlfn.IFNA(VLOOKUP($B1251,'Node Details'!$B:$U,E$1,0),"Check"),"")</f>
        <v>Airtel</v>
      </c>
      <c r="F1251" s="76">
        <v>46149</v>
      </c>
      <c r="G1251" s="74"/>
      <c r="H1251" s="10" t="s">
        <v>1248</v>
      </c>
      <c r="I1251" s="9">
        <v>1</v>
      </c>
      <c r="J1251" s="9">
        <v>950</v>
      </c>
      <c r="K1251" s="77">
        <f t="shared" si="96"/>
        <v>950</v>
      </c>
      <c r="L1251" s="76">
        <v>46142</v>
      </c>
      <c r="N1251" s="83"/>
      <c r="O1251" s="84"/>
      <c r="P1251" s="81"/>
      <c r="Q1251" s="81"/>
      <c r="R1251" s="81"/>
      <c r="S1251" s="81"/>
      <c r="T1251" s="85"/>
      <c r="U1251" s="81"/>
      <c r="V1251" s="81"/>
      <c r="W1251" s="123">
        <f t="shared" si="95"/>
        <v>0</v>
      </c>
      <c r="X1251" s="123" t="s">
        <v>84</v>
      </c>
      <c r="Y1251" s="114" t="s">
        <v>1128</v>
      </c>
    </row>
    <row r="1252" spans="1:25" s="24" customFormat="1" ht="11.1" customHeight="1">
      <c r="A1252" s="74">
        <f t="shared" si="97"/>
        <v>1250</v>
      </c>
      <c r="B1252" s="75" t="s">
        <v>797</v>
      </c>
      <c r="C1252" s="74" t="str">
        <f>IF($B1252&lt;&gt;"",_xlfn.IFNA(VLOOKUP($B1252,'Node Details'!$B:$U,C$1,0),"Check"),"")</f>
        <v>0000CM325-CM3250103</v>
      </c>
      <c r="D1252" s="74" t="str">
        <f>IF($B1252&lt;&gt;"",_xlfn.IFNA(VLOOKUP($B1252,'Node Details'!$B:$U,D$1,0),"Check"),"")</f>
        <v>CM3</v>
      </c>
      <c r="E1252" s="74" t="str">
        <f>IF($B1252&lt;&gt;"",_xlfn.IFNA(VLOOKUP($B1252,'Node Details'!$B:$U,E$1,0),"Check"),"")</f>
        <v>Airtel</v>
      </c>
      <c r="F1252" s="76">
        <v>46149</v>
      </c>
      <c r="G1252" s="74"/>
      <c r="H1252" s="10" t="s">
        <v>1248</v>
      </c>
      <c r="I1252" s="9">
        <v>1</v>
      </c>
      <c r="J1252" s="9">
        <v>950</v>
      </c>
      <c r="K1252" s="77">
        <f t="shared" si="96"/>
        <v>950</v>
      </c>
      <c r="L1252" s="76">
        <v>46142</v>
      </c>
      <c r="N1252" s="83"/>
      <c r="O1252" s="84"/>
      <c r="P1252" s="81"/>
      <c r="Q1252" s="81"/>
      <c r="R1252" s="81"/>
      <c r="S1252" s="81"/>
      <c r="T1252" s="85"/>
      <c r="U1252" s="81"/>
      <c r="V1252" s="81"/>
      <c r="W1252" s="123">
        <f t="shared" si="95"/>
        <v>0</v>
      </c>
      <c r="X1252" s="123" t="s">
        <v>84</v>
      </c>
      <c r="Y1252" s="114" t="s">
        <v>1128</v>
      </c>
    </row>
    <row r="1253" spans="1:25" s="24" customFormat="1" ht="11.1" customHeight="1">
      <c r="A1253" s="74">
        <f t="shared" si="97"/>
        <v>1251</v>
      </c>
      <c r="B1253" s="75" t="s">
        <v>1201</v>
      </c>
      <c r="C1253" s="74" t="str">
        <f>IF($B1253&lt;&gt;"",_xlfn.IFNA(VLOOKUP($B1253,'Node Details'!$B:$U,C$1,0),"Check"),"")</f>
        <v>0000CM325-CM3250107</v>
      </c>
      <c r="D1253" s="74" t="str">
        <f>IF($B1253&lt;&gt;"",_xlfn.IFNA(VLOOKUP($B1253,'Node Details'!$B:$U,D$1,0),"Check"),"")</f>
        <v>CM3</v>
      </c>
      <c r="E1253" s="74" t="str">
        <f>IF($B1253&lt;&gt;"",_xlfn.IFNA(VLOOKUP($B1253,'Node Details'!$B:$U,E$1,0),"Check"),"")</f>
        <v>Airtel</v>
      </c>
      <c r="F1253" s="76">
        <v>46149</v>
      </c>
      <c r="G1253" s="74"/>
      <c r="H1253" s="10" t="s">
        <v>1248</v>
      </c>
      <c r="I1253" s="9">
        <v>1</v>
      </c>
      <c r="J1253" s="9">
        <v>950</v>
      </c>
      <c r="K1253" s="77">
        <f t="shared" si="96"/>
        <v>950</v>
      </c>
      <c r="L1253" s="76">
        <v>46142</v>
      </c>
      <c r="N1253" s="83"/>
      <c r="O1253" s="84"/>
      <c r="P1253" s="81"/>
      <c r="Q1253" s="81"/>
      <c r="R1253" s="81"/>
      <c r="S1253" s="81"/>
      <c r="T1253" s="85"/>
      <c r="U1253" s="81"/>
      <c r="V1253" s="81"/>
      <c r="W1253" s="123">
        <f t="shared" si="95"/>
        <v>0</v>
      </c>
      <c r="X1253" s="123" t="s">
        <v>84</v>
      </c>
      <c r="Y1253" s="114" t="s">
        <v>1128</v>
      </c>
    </row>
    <row r="1254" spans="1:25" s="24" customFormat="1" ht="11.1" customHeight="1">
      <c r="A1254" s="74">
        <f t="shared" si="97"/>
        <v>1252</v>
      </c>
      <c r="B1254" s="75" t="s">
        <v>1202</v>
      </c>
      <c r="C1254" s="74" t="str">
        <f>IF($B1254&lt;&gt;"",_xlfn.IFNA(VLOOKUP($B1254,'Node Details'!$B:$U,C$1,0),"Check"),"")</f>
        <v>0000CM325-CM3250107</v>
      </c>
      <c r="D1254" s="74" t="str">
        <f>IF($B1254&lt;&gt;"",_xlfn.IFNA(VLOOKUP($B1254,'Node Details'!$B:$U,D$1,0),"Check"),"")</f>
        <v>CM3</v>
      </c>
      <c r="E1254" s="74" t="str">
        <f>IF($B1254&lt;&gt;"",_xlfn.IFNA(VLOOKUP($B1254,'Node Details'!$B:$U,E$1,0),"Check"),"")</f>
        <v>Airtel</v>
      </c>
      <c r="F1254" s="76">
        <v>46149</v>
      </c>
      <c r="G1254" s="74"/>
      <c r="H1254" s="10" t="s">
        <v>1248</v>
      </c>
      <c r="I1254" s="9">
        <v>1</v>
      </c>
      <c r="J1254" s="9">
        <v>950</v>
      </c>
      <c r="K1254" s="77">
        <f t="shared" si="96"/>
        <v>950</v>
      </c>
      <c r="L1254" s="76">
        <v>46142</v>
      </c>
      <c r="N1254" s="83"/>
      <c r="O1254" s="84"/>
      <c r="P1254" s="81"/>
      <c r="Q1254" s="81"/>
      <c r="R1254" s="81"/>
      <c r="S1254" s="81"/>
      <c r="T1254" s="85"/>
      <c r="U1254" s="81"/>
      <c r="V1254" s="81"/>
      <c r="W1254" s="123">
        <f t="shared" si="95"/>
        <v>0</v>
      </c>
      <c r="X1254" s="123" t="s">
        <v>84</v>
      </c>
      <c r="Y1254" s="114" t="s">
        <v>1128</v>
      </c>
    </row>
    <row r="1255" spans="1:25" s="24" customFormat="1" ht="11.1" customHeight="1">
      <c r="A1255" s="74">
        <f t="shared" si="97"/>
        <v>1253</v>
      </c>
      <c r="B1255" s="75" t="s">
        <v>1203</v>
      </c>
      <c r="C1255" s="74" t="str">
        <f>IF($B1255&lt;&gt;"",_xlfn.IFNA(VLOOKUP($B1255,'Node Details'!$B:$U,C$1,0),"Check"),"")</f>
        <v>0000CM325-CM3250107</v>
      </c>
      <c r="D1255" s="74" t="str">
        <f>IF($B1255&lt;&gt;"",_xlfn.IFNA(VLOOKUP($B1255,'Node Details'!$B:$U,D$1,0),"Check"),"")</f>
        <v>CM3</v>
      </c>
      <c r="E1255" s="74" t="str">
        <f>IF($B1255&lt;&gt;"",_xlfn.IFNA(VLOOKUP($B1255,'Node Details'!$B:$U,E$1,0),"Check"),"")</f>
        <v>Airtel</v>
      </c>
      <c r="F1255" s="76">
        <v>46149</v>
      </c>
      <c r="G1255" s="74"/>
      <c r="H1255" s="10" t="s">
        <v>1248</v>
      </c>
      <c r="I1255" s="9">
        <v>1</v>
      </c>
      <c r="J1255" s="9">
        <v>950</v>
      </c>
      <c r="K1255" s="77">
        <f t="shared" si="96"/>
        <v>950</v>
      </c>
      <c r="L1255" s="76">
        <v>46142</v>
      </c>
      <c r="N1255" s="83"/>
      <c r="O1255" s="84"/>
      <c r="P1255" s="81"/>
      <c r="Q1255" s="81"/>
      <c r="R1255" s="81"/>
      <c r="S1255" s="81"/>
      <c r="T1255" s="85"/>
      <c r="U1255" s="81"/>
      <c r="V1255" s="81"/>
      <c r="W1255" s="123">
        <f t="shared" si="95"/>
        <v>0</v>
      </c>
      <c r="X1255" s="123" t="s">
        <v>84</v>
      </c>
      <c r="Y1255" s="114" t="s">
        <v>1128</v>
      </c>
    </row>
    <row r="1256" spans="1:25" s="24" customFormat="1" ht="11.1" customHeight="1">
      <c r="A1256" s="74">
        <f t="shared" si="97"/>
        <v>1254</v>
      </c>
      <c r="B1256" s="75" t="s">
        <v>799</v>
      </c>
      <c r="C1256" s="74" t="str">
        <f>IF($B1256&lt;&gt;"",_xlfn.IFNA(VLOOKUP($B1256,'Node Details'!$B:$U,C$1,0),"Check"),"")</f>
        <v>0000CM325-CM3250107</v>
      </c>
      <c r="D1256" s="74" t="str">
        <f>IF($B1256&lt;&gt;"",_xlfn.IFNA(VLOOKUP($B1256,'Node Details'!$B:$U,D$1,0),"Check"),"")</f>
        <v>CM3</v>
      </c>
      <c r="E1256" s="74" t="str">
        <f>IF($B1256&lt;&gt;"",_xlfn.IFNA(VLOOKUP($B1256,'Node Details'!$B:$U,E$1,0),"Check"),"")</f>
        <v>Airtel</v>
      </c>
      <c r="F1256" s="76">
        <v>46149</v>
      </c>
      <c r="G1256" s="74"/>
      <c r="H1256" s="10" t="s">
        <v>1248</v>
      </c>
      <c r="I1256" s="9">
        <v>1</v>
      </c>
      <c r="J1256" s="9">
        <v>950</v>
      </c>
      <c r="K1256" s="77">
        <f t="shared" si="96"/>
        <v>950</v>
      </c>
      <c r="L1256" s="76">
        <v>46142</v>
      </c>
      <c r="N1256" s="83"/>
      <c r="O1256" s="84"/>
      <c r="P1256" s="81"/>
      <c r="Q1256" s="81"/>
      <c r="R1256" s="81"/>
      <c r="S1256" s="81"/>
      <c r="T1256" s="85"/>
      <c r="U1256" s="81"/>
      <c r="V1256" s="81"/>
      <c r="W1256" s="123">
        <f t="shared" si="95"/>
        <v>0</v>
      </c>
      <c r="X1256" s="123" t="s">
        <v>84</v>
      </c>
      <c r="Y1256" s="114" t="s">
        <v>1128</v>
      </c>
    </row>
    <row r="1257" spans="1:25" s="24" customFormat="1" ht="11.1" customHeight="1">
      <c r="A1257" s="74">
        <f t="shared" si="97"/>
        <v>1255</v>
      </c>
      <c r="B1257" s="75" t="s">
        <v>638</v>
      </c>
      <c r="C1257" s="74" t="str">
        <f>IF($B1257&lt;&gt;"",_xlfn.IFNA(VLOOKUP($B1257,'Node Details'!$B:$U,C$1,0),"Check"),"")</f>
        <v>0000CM301-CM3010102</v>
      </c>
      <c r="D1257" s="74" t="str">
        <f>IF($B1257&lt;&gt;"",_xlfn.IFNA(VLOOKUP($B1257,'Node Details'!$B:$U,D$1,0),"Check"),"")</f>
        <v>CM3</v>
      </c>
      <c r="E1257" s="74" t="str">
        <f>IF($B1257&lt;&gt;"",_xlfn.IFNA(VLOOKUP($B1257,'Node Details'!$B:$U,E$1,0),"Check"),"")</f>
        <v>Airtel</v>
      </c>
      <c r="F1257" s="76">
        <v>46149</v>
      </c>
      <c r="G1257" s="74"/>
      <c r="H1257" s="10" t="s">
        <v>22</v>
      </c>
      <c r="I1257" s="9">
        <v>2</v>
      </c>
      <c r="J1257" s="9">
        <v>42</v>
      </c>
      <c r="K1257" s="77">
        <f t="shared" si="96"/>
        <v>84</v>
      </c>
      <c r="L1257" s="76">
        <v>46142</v>
      </c>
      <c r="N1257" s="83"/>
      <c r="O1257" s="84"/>
      <c r="P1257" s="81"/>
      <c r="Q1257" s="81"/>
      <c r="R1257" s="81"/>
      <c r="S1257" s="81"/>
      <c r="T1257" s="85"/>
      <c r="U1257" s="81"/>
      <c r="V1257" s="81"/>
      <c r="W1257" s="123">
        <f t="shared" si="95"/>
        <v>0</v>
      </c>
      <c r="X1257" s="123" t="s">
        <v>84</v>
      </c>
      <c r="Y1257" s="114" t="s">
        <v>1128</v>
      </c>
    </row>
    <row r="1258" spans="1:25" s="24" customFormat="1" ht="11.1" customHeight="1">
      <c r="A1258" s="74">
        <f t="shared" si="97"/>
        <v>1256</v>
      </c>
      <c r="B1258" s="75" t="s">
        <v>640</v>
      </c>
      <c r="C1258" s="74" t="str">
        <f>IF($B1258&lt;&gt;"",_xlfn.IFNA(VLOOKUP($B1258,'Node Details'!$B:$U,C$1,0),"Check"),"")</f>
        <v>0000CM301-CM3010101</v>
      </c>
      <c r="D1258" s="74" t="str">
        <f>IF($B1258&lt;&gt;"",_xlfn.IFNA(VLOOKUP($B1258,'Node Details'!$B:$U,D$1,0),"Check"),"")</f>
        <v>CM3</v>
      </c>
      <c r="E1258" s="74" t="str">
        <f>IF($B1258&lt;&gt;"",_xlfn.IFNA(VLOOKUP($B1258,'Node Details'!$B:$U,E$1,0),"Check"),"")</f>
        <v>Airtel</v>
      </c>
      <c r="F1258" s="76">
        <v>46149</v>
      </c>
      <c r="G1258" s="74"/>
      <c r="H1258" s="10" t="s">
        <v>22</v>
      </c>
      <c r="I1258" s="9">
        <v>2</v>
      </c>
      <c r="J1258" s="9">
        <v>42</v>
      </c>
      <c r="K1258" s="77">
        <f t="shared" si="96"/>
        <v>84</v>
      </c>
      <c r="L1258" s="76">
        <v>46142</v>
      </c>
      <c r="N1258" s="83"/>
      <c r="O1258" s="84"/>
      <c r="P1258" s="81"/>
      <c r="Q1258" s="81"/>
      <c r="R1258" s="81"/>
      <c r="S1258" s="81"/>
      <c r="T1258" s="85"/>
      <c r="U1258" s="81"/>
      <c r="V1258" s="81"/>
      <c r="W1258" s="123">
        <f t="shared" si="95"/>
        <v>0</v>
      </c>
      <c r="X1258" s="123" t="s">
        <v>84</v>
      </c>
      <c r="Y1258" s="114" t="s">
        <v>1128</v>
      </c>
    </row>
    <row r="1259" spans="1:25" s="24" customFormat="1" ht="11.1" customHeight="1">
      <c r="A1259" s="74">
        <f t="shared" si="97"/>
        <v>1257</v>
      </c>
      <c r="B1259" s="75" t="s">
        <v>1129</v>
      </c>
      <c r="C1259" s="74" t="str">
        <f>IF($B1259&lt;&gt;"",_xlfn.IFNA(VLOOKUP($B1259,'Node Details'!$B:$U,C$1,0),"Check"),"")</f>
        <v>0000CM301-CM3010106</v>
      </c>
      <c r="D1259" s="74" t="str">
        <f>IF($B1259&lt;&gt;"",_xlfn.IFNA(VLOOKUP($B1259,'Node Details'!$B:$U,D$1,0),"Check"),"")</f>
        <v>CM3</v>
      </c>
      <c r="E1259" s="74" t="str">
        <f>IF($B1259&lt;&gt;"",_xlfn.IFNA(VLOOKUP($B1259,'Node Details'!$B:$U,E$1,0),"Check"),"")</f>
        <v>Airtel</v>
      </c>
      <c r="F1259" s="76">
        <v>46149</v>
      </c>
      <c r="G1259" s="74"/>
      <c r="H1259" s="10" t="s">
        <v>22</v>
      </c>
      <c r="I1259" s="9">
        <v>2</v>
      </c>
      <c r="J1259" s="9">
        <v>42</v>
      </c>
      <c r="K1259" s="77">
        <f t="shared" si="96"/>
        <v>84</v>
      </c>
      <c r="L1259" s="76">
        <v>46142</v>
      </c>
      <c r="N1259" s="83"/>
      <c r="O1259" s="84"/>
      <c r="P1259" s="81"/>
      <c r="Q1259" s="81"/>
      <c r="R1259" s="81"/>
      <c r="S1259" s="81"/>
      <c r="T1259" s="85"/>
      <c r="U1259" s="81"/>
      <c r="V1259" s="81"/>
      <c r="W1259" s="123">
        <f t="shared" si="95"/>
        <v>0</v>
      </c>
      <c r="X1259" s="123" t="s">
        <v>84</v>
      </c>
      <c r="Y1259" s="114" t="s">
        <v>1128</v>
      </c>
    </row>
    <row r="1260" spans="1:25" s="24" customFormat="1" ht="11.1" customHeight="1">
      <c r="A1260" s="74">
        <f t="shared" si="97"/>
        <v>1258</v>
      </c>
      <c r="B1260" s="75" t="s">
        <v>1130</v>
      </c>
      <c r="C1260" s="74" t="str">
        <f>IF($B1260&lt;&gt;"",_xlfn.IFNA(VLOOKUP($B1260,'Node Details'!$B:$U,C$1,0),"Check"),"")</f>
        <v>0000CM301-CM3010106</v>
      </c>
      <c r="D1260" s="74" t="str">
        <f>IF($B1260&lt;&gt;"",_xlfn.IFNA(VLOOKUP($B1260,'Node Details'!$B:$U,D$1,0),"Check"),"")</f>
        <v>CM3</v>
      </c>
      <c r="E1260" s="74" t="str">
        <f>IF($B1260&lt;&gt;"",_xlfn.IFNA(VLOOKUP($B1260,'Node Details'!$B:$U,E$1,0),"Check"),"")</f>
        <v>Airtel</v>
      </c>
      <c r="F1260" s="76">
        <v>46149</v>
      </c>
      <c r="G1260" s="74"/>
      <c r="H1260" s="10" t="s">
        <v>22</v>
      </c>
      <c r="I1260" s="9">
        <v>2</v>
      </c>
      <c r="J1260" s="9">
        <v>42</v>
      </c>
      <c r="K1260" s="77">
        <f t="shared" si="96"/>
        <v>84</v>
      </c>
      <c r="L1260" s="76">
        <v>46142</v>
      </c>
      <c r="N1260" s="83"/>
      <c r="O1260" s="84"/>
      <c r="P1260" s="81"/>
      <c r="Q1260" s="81"/>
      <c r="R1260" s="81"/>
      <c r="S1260" s="81"/>
      <c r="T1260" s="85"/>
      <c r="U1260" s="81"/>
      <c r="V1260" s="81"/>
      <c r="W1260" s="123">
        <f t="shared" si="95"/>
        <v>0</v>
      </c>
      <c r="X1260" s="123" t="s">
        <v>84</v>
      </c>
      <c r="Y1260" s="114" t="s">
        <v>1128</v>
      </c>
    </row>
    <row r="1261" spans="1:25" s="24" customFormat="1" ht="11.1" customHeight="1">
      <c r="A1261" s="74">
        <f t="shared" si="97"/>
        <v>1259</v>
      </c>
      <c r="B1261" s="75" t="s">
        <v>1131</v>
      </c>
      <c r="C1261" s="74" t="str">
        <f>IF($B1261&lt;&gt;"",_xlfn.IFNA(VLOOKUP($B1261,'Node Details'!$B:$U,C$1,0),"Check"),"")</f>
        <v>0000CM301-CM3010106</v>
      </c>
      <c r="D1261" s="74" t="str">
        <f>IF($B1261&lt;&gt;"",_xlfn.IFNA(VLOOKUP($B1261,'Node Details'!$B:$U,D$1,0),"Check"),"")</f>
        <v>CM3</v>
      </c>
      <c r="E1261" s="74" t="str">
        <f>IF($B1261&lt;&gt;"",_xlfn.IFNA(VLOOKUP($B1261,'Node Details'!$B:$U,E$1,0),"Check"),"")</f>
        <v>Airtel</v>
      </c>
      <c r="F1261" s="76">
        <v>46149</v>
      </c>
      <c r="G1261" s="74"/>
      <c r="H1261" s="10" t="s">
        <v>22</v>
      </c>
      <c r="I1261" s="9">
        <v>2</v>
      </c>
      <c r="J1261" s="9">
        <v>42</v>
      </c>
      <c r="K1261" s="77">
        <f t="shared" si="96"/>
        <v>84</v>
      </c>
      <c r="L1261" s="76">
        <v>46142</v>
      </c>
      <c r="N1261" s="83"/>
      <c r="O1261" s="84"/>
      <c r="P1261" s="81"/>
      <c r="Q1261" s="81"/>
      <c r="R1261" s="81"/>
      <c r="S1261" s="81"/>
      <c r="T1261" s="85"/>
      <c r="U1261" s="81"/>
      <c r="V1261" s="81"/>
      <c r="W1261" s="123">
        <f t="shared" si="95"/>
        <v>0</v>
      </c>
      <c r="X1261" s="123" t="s">
        <v>84</v>
      </c>
      <c r="Y1261" s="114" t="s">
        <v>1128</v>
      </c>
    </row>
    <row r="1262" spans="1:25" s="24" customFormat="1" ht="11.1" customHeight="1">
      <c r="A1262" s="74">
        <f t="shared" si="97"/>
        <v>1260</v>
      </c>
      <c r="B1262" s="75" t="s">
        <v>642</v>
      </c>
      <c r="C1262" s="74" t="str">
        <f>IF($B1262&lt;&gt;"",_xlfn.IFNA(VLOOKUP($B1262,'Node Details'!$B:$U,C$1,0),"Check"),"")</f>
        <v>0000CM301-CM3010106</v>
      </c>
      <c r="D1262" s="74" t="str">
        <f>IF($B1262&lt;&gt;"",_xlfn.IFNA(VLOOKUP($B1262,'Node Details'!$B:$U,D$1,0),"Check"),"")</f>
        <v>CM3</v>
      </c>
      <c r="E1262" s="74" t="str">
        <f>IF($B1262&lt;&gt;"",_xlfn.IFNA(VLOOKUP($B1262,'Node Details'!$B:$U,E$1,0),"Check"),"")</f>
        <v>Airtel</v>
      </c>
      <c r="F1262" s="76">
        <v>46149</v>
      </c>
      <c r="G1262" s="74"/>
      <c r="H1262" s="10" t="s">
        <v>22</v>
      </c>
      <c r="I1262" s="9">
        <v>2</v>
      </c>
      <c r="J1262" s="9">
        <v>42</v>
      </c>
      <c r="K1262" s="77">
        <f t="shared" si="96"/>
        <v>84</v>
      </c>
      <c r="L1262" s="76">
        <v>46142</v>
      </c>
      <c r="N1262" s="83"/>
      <c r="O1262" s="84"/>
      <c r="P1262" s="81"/>
      <c r="Q1262" s="81"/>
      <c r="R1262" s="81"/>
      <c r="S1262" s="81"/>
      <c r="T1262" s="85"/>
      <c r="U1262" s="81"/>
      <c r="V1262" s="81"/>
      <c r="W1262" s="123">
        <f t="shared" si="95"/>
        <v>0</v>
      </c>
      <c r="X1262" s="123" t="s">
        <v>84</v>
      </c>
      <c r="Y1262" s="114" t="s">
        <v>1128</v>
      </c>
    </row>
    <row r="1263" spans="1:25" s="24" customFormat="1" ht="11.1" customHeight="1">
      <c r="A1263" s="74">
        <f t="shared" si="97"/>
        <v>1261</v>
      </c>
      <c r="B1263" s="75" t="s">
        <v>645</v>
      </c>
      <c r="C1263" s="74" t="str">
        <f>IF($B1263&lt;&gt;"",_xlfn.IFNA(VLOOKUP($B1263,'Node Details'!$B:$U,C$1,0),"Check"),"")</f>
        <v>0000CM302-CM3020101</v>
      </c>
      <c r="D1263" s="74" t="str">
        <f>IF($B1263&lt;&gt;"",_xlfn.IFNA(VLOOKUP($B1263,'Node Details'!$B:$U,D$1,0),"Check"),"")</f>
        <v>CM3</v>
      </c>
      <c r="E1263" s="74" t="str">
        <f>IF($B1263&lt;&gt;"",_xlfn.IFNA(VLOOKUP($B1263,'Node Details'!$B:$U,E$1,0),"Check"),"")</f>
        <v>Airtel</v>
      </c>
      <c r="F1263" s="76">
        <v>46149</v>
      </c>
      <c r="G1263" s="74"/>
      <c r="H1263" s="10" t="s">
        <v>22</v>
      </c>
      <c r="I1263" s="9">
        <v>2</v>
      </c>
      <c r="J1263" s="9">
        <v>42</v>
      </c>
      <c r="K1263" s="77">
        <f t="shared" si="96"/>
        <v>84</v>
      </c>
      <c r="L1263" s="76">
        <v>46142</v>
      </c>
      <c r="N1263" s="83"/>
      <c r="O1263" s="84"/>
      <c r="P1263" s="81"/>
      <c r="Q1263" s="81"/>
      <c r="R1263" s="81"/>
      <c r="S1263" s="81"/>
      <c r="T1263" s="85"/>
      <c r="U1263" s="81"/>
      <c r="V1263" s="81"/>
      <c r="W1263" s="123">
        <f t="shared" si="95"/>
        <v>0</v>
      </c>
      <c r="X1263" s="123" t="s">
        <v>84</v>
      </c>
      <c r="Y1263" s="114" t="s">
        <v>1128</v>
      </c>
    </row>
    <row r="1264" spans="1:25" s="24" customFormat="1" ht="11.1" customHeight="1">
      <c r="A1264" s="74">
        <f t="shared" si="97"/>
        <v>1262</v>
      </c>
      <c r="B1264" s="75" t="s">
        <v>1132</v>
      </c>
      <c r="C1264" s="74" t="str">
        <f>IF($B1264&lt;&gt;"",_xlfn.IFNA(VLOOKUP($B1264,'Node Details'!$B:$U,C$1,0),"Check"),"")</f>
        <v>0000CM302-CM3020104</v>
      </c>
      <c r="D1264" s="74" t="str">
        <f>IF($B1264&lt;&gt;"",_xlfn.IFNA(VLOOKUP($B1264,'Node Details'!$B:$U,D$1,0),"Check"),"")</f>
        <v>CM3</v>
      </c>
      <c r="E1264" s="74" t="str">
        <f>IF($B1264&lt;&gt;"",_xlfn.IFNA(VLOOKUP($B1264,'Node Details'!$B:$U,E$1,0),"Check"),"")</f>
        <v>Airtel</v>
      </c>
      <c r="F1264" s="76">
        <v>46149</v>
      </c>
      <c r="G1264" s="74"/>
      <c r="H1264" s="10" t="s">
        <v>22</v>
      </c>
      <c r="I1264" s="9">
        <v>2</v>
      </c>
      <c r="J1264" s="9">
        <v>42</v>
      </c>
      <c r="K1264" s="77">
        <f t="shared" si="96"/>
        <v>84</v>
      </c>
      <c r="L1264" s="76">
        <v>46142</v>
      </c>
      <c r="N1264" s="83"/>
      <c r="O1264" s="84"/>
      <c r="P1264" s="81"/>
      <c r="Q1264" s="81"/>
      <c r="R1264" s="81"/>
      <c r="S1264" s="81"/>
      <c r="T1264" s="85"/>
      <c r="U1264" s="81"/>
      <c r="V1264" s="81"/>
      <c r="W1264" s="123">
        <f t="shared" si="95"/>
        <v>0</v>
      </c>
      <c r="X1264" s="123" t="s">
        <v>84</v>
      </c>
      <c r="Y1264" s="114" t="s">
        <v>1128</v>
      </c>
    </row>
    <row r="1265" spans="1:25" s="24" customFormat="1" ht="11.1" customHeight="1">
      <c r="A1265" s="74">
        <f t="shared" si="97"/>
        <v>1263</v>
      </c>
      <c r="B1265" s="75" t="s">
        <v>1133</v>
      </c>
      <c r="C1265" s="74" t="str">
        <f>IF($B1265&lt;&gt;"",_xlfn.IFNA(VLOOKUP($B1265,'Node Details'!$B:$U,C$1,0),"Check"),"")</f>
        <v>0000CM302-CM3020104</v>
      </c>
      <c r="D1265" s="74" t="str">
        <f>IF($B1265&lt;&gt;"",_xlfn.IFNA(VLOOKUP($B1265,'Node Details'!$B:$U,D$1,0),"Check"),"")</f>
        <v>CM3</v>
      </c>
      <c r="E1265" s="74" t="str">
        <f>IF($B1265&lt;&gt;"",_xlfn.IFNA(VLOOKUP($B1265,'Node Details'!$B:$U,E$1,0),"Check"),"")</f>
        <v>Airtel</v>
      </c>
      <c r="F1265" s="76">
        <v>46149</v>
      </c>
      <c r="G1265" s="74"/>
      <c r="H1265" s="10" t="s">
        <v>22</v>
      </c>
      <c r="I1265" s="9">
        <v>2</v>
      </c>
      <c r="J1265" s="9">
        <v>42</v>
      </c>
      <c r="K1265" s="77">
        <f t="shared" si="96"/>
        <v>84</v>
      </c>
      <c r="L1265" s="76">
        <v>46142</v>
      </c>
      <c r="N1265" s="83"/>
      <c r="O1265" s="84"/>
      <c r="P1265" s="81"/>
      <c r="Q1265" s="81"/>
      <c r="R1265" s="81"/>
      <c r="S1265" s="81"/>
      <c r="T1265" s="85"/>
      <c r="U1265" s="81"/>
      <c r="V1265" s="81"/>
      <c r="W1265" s="123">
        <f t="shared" si="95"/>
        <v>0</v>
      </c>
      <c r="X1265" s="123" t="s">
        <v>84</v>
      </c>
      <c r="Y1265" s="114" t="s">
        <v>1128</v>
      </c>
    </row>
    <row r="1266" spans="1:25" s="24" customFormat="1" ht="11.1" customHeight="1">
      <c r="A1266" s="74">
        <f t="shared" si="97"/>
        <v>1264</v>
      </c>
      <c r="B1266" s="75" t="s">
        <v>647</v>
      </c>
      <c r="C1266" s="74" t="str">
        <f>IF($B1266&lt;&gt;"",_xlfn.IFNA(VLOOKUP($B1266,'Node Details'!$B:$U,C$1,0),"Check"),"")</f>
        <v>0000CM302-CM3020104</v>
      </c>
      <c r="D1266" s="74" t="str">
        <f>IF($B1266&lt;&gt;"",_xlfn.IFNA(VLOOKUP($B1266,'Node Details'!$B:$U,D$1,0),"Check"),"")</f>
        <v>CM3</v>
      </c>
      <c r="E1266" s="74" t="str">
        <f>IF($B1266&lt;&gt;"",_xlfn.IFNA(VLOOKUP($B1266,'Node Details'!$B:$U,E$1,0),"Check"),"")</f>
        <v>Airtel</v>
      </c>
      <c r="F1266" s="76">
        <v>46149</v>
      </c>
      <c r="G1266" s="74"/>
      <c r="H1266" s="10" t="s">
        <v>22</v>
      </c>
      <c r="I1266" s="9">
        <v>2</v>
      </c>
      <c r="J1266" s="9">
        <v>42</v>
      </c>
      <c r="K1266" s="77">
        <f t="shared" si="96"/>
        <v>84</v>
      </c>
      <c r="L1266" s="76">
        <v>46142</v>
      </c>
      <c r="N1266" s="83"/>
      <c r="O1266" s="84"/>
      <c r="P1266" s="81"/>
      <c r="Q1266" s="81"/>
      <c r="R1266" s="81"/>
      <c r="S1266" s="81"/>
      <c r="T1266" s="85"/>
      <c r="U1266" s="81"/>
      <c r="V1266" s="81"/>
      <c r="W1266" s="123">
        <f t="shared" si="95"/>
        <v>0</v>
      </c>
      <c r="X1266" s="123" t="s">
        <v>84</v>
      </c>
      <c r="Y1266" s="114" t="s">
        <v>1128</v>
      </c>
    </row>
    <row r="1267" spans="1:25" s="24" customFormat="1" ht="11.1" customHeight="1">
      <c r="A1267" s="74">
        <f t="shared" si="97"/>
        <v>1265</v>
      </c>
      <c r="B1267" s="75" t="s">
        <v>650</v>
      </c>
      <c r="C1267" s="74" t="str">
        <f>IF($B1267&lt;&gt;"",_xlfn.IFNA(VLOOKUP($B1267,'Node Details'!$B:$U,C$1,0),"Check"),"")</f>
        <v>0000CM303-CM3030105</v>
      </c>
      <c r="D1267" s="74" t="str">
        <f>IF($B1267&lt;&gt;"",_xlfn.IFNA(VLOOKUP($B1267,'Node Details'!$B:$U,D$1,0),"Check"),"")</f>
        <v>CM3</v>
      </c>
      <c r="E1267" s="74" t="str">
        <f>IF($B1267&lt;&gt;"",_xlfn.IFNA(VLOOKUP($B1267,'Node Details'!$B:$U,E$1,0),"Check"),"")</f>
        <v>Airtel</v>
      </c>
      <c r="F1267" s="76">
        <v>46149</v>
      </c>
      <c r="G1267" s="74"/>
      <c r="H1267" s="10" t="s">
        <v>22</v>
      </c>
      <c r="I1267" s="9">
        <v>2</v>
      </c>
      <c r="J1267" s="9">
        <v>42</v>
      </c>
      <c r="K1267" s="77">
        <f t="shared" si="96"/>
        <v>84</v>
      </c>
      <c r="L1267" s="76">
        <v>46142</v>
      </c>
      <c r="N1267" s="83"/>
      <c r="O1267" s="84"/>
      <c r="P1267" s="81"/>
      <c r="Q1267" s="81"/>
      <c r="R1267" s="81"/>
      <c r="S1267" s="81"/>
      <c r="T1267" s="85"/>
      <c r="U1267" s="81"/>
      <c r="V1267" s="81"/>
      <c r="W1267" s="123">
        <f t="shared" si="95"/>
        <v>0</v>
      </c>
      <c r="X1267" s="123" t="s">
        <v>84</v>
      </c>
      <c r="Y1267" s="114" t="s">
        <v>1128</v>
      </c>
    </row>
    <row r="1268" spans="1:25" s="24" customFormat="1" ht="11.1" customHeight="1">
      <c r="A1268" s="74">
        <f t="shared" si="97"/>
        <v>1266</v>
      </c>
      <c r="B1268" s="75" t="s">
        <v>1134</v>
      </c>
      <c r="C1268" s="74" t="str">
        <f>IF($B1268&lt;&gt;"",_xlfn.IFNA(VLOOKUP($B1268,'Node Details'!$B:$U,C$1,0),"Check"),"")</f>
        <v>0000CM303-CM3030102</v>
      </c>
      <c r="D1268" s="74" t="str">
        <f>IF($B1268&lt;&gt;"",_xlfn.IFNA(VLOOKUP($B1268,'Node Details'!$B:$U,D$1,0),"Check"),"")</f>
        <v>CM3</v>
      </c>
      <c r="E1268" s="74" t="str">
        <f>IF($B1268&lt;&gt;"",_xlfn.IFNA(VLOOKUP($B1268,'Node Details'!$B:$U,E$1,0),"Check"),"")</f>
        <v>Airtel</v>
      </c>
      <c r="F1268" s="76">
        <v>46149</v>
      </c>
      <c r="G1268" s="74"/>
      <c r="H1268" s="10" t="s">
        <v>22</v>
      </c>
      <c r="I1268" s="9">
        <v>2</v>
      </c>
      <c r="J1268" s="9">
        <v>42</v>
      </c>
      <c r="K1268" s="77">
        <f t="shared" si="96"/>
        <v>84</v>
      </c>
      <c r="L1268" s="76">
        <v>46142</v>
      </c>
      <c r="N1268" s="83"/>
      <c r="O1268" s="84"/>
      <c r="P1268" s="81"/>
      <c r="Q1268" s="81"/>
      <c r="R1268" s="81"/>
      <c r="S1268" s="81"/>
      <c r="T1268" s="85"/>
      <c r="U1268" s="81"/>
      <c r="V1268" s="81"/>
      <c r="W1268" s="123">
        <f t="shared" si="95"/>
        <v>0</v>
      </c>
      <c r="X1268" s="123" t="s">
        <v>84</v>
      </c>
      <c r="Y1268" s="114" t="s">
        <v>1128</v>
      </c>
    </row>
    <row r="1269" spans="1:25" s="24" customFormat="1" ht="11.1" customHeight="1">
      <c r="A1269" s="74">
        <f t="shared" si="97"/>
        <v>1267</v>
      </c>
      <c r="B1269" s="75" t="s">
        <v>652</v>
      </c>
      <c r="C1269" s="74" t="str">
        <f>IF($B1269&lt;&gt;"",_xlfn.IFNA(VLOOKUP($B1269,'Node Details'!$B:$U,C$1,0),"Check"),"")</f>
        <v>0000CM303-CM3030102</v>
      </c>
      <c r="D1269" s="74" t="str">
        <f>IF($B1269&lt;&gt;"",_xlfn.IFNA(VLOOKUP($B1269,'Node Details'!$B:$U,D$1,0),"Check"),"")</f>
        <v>CM3</v>
      </c>
      <c r="E1269" s="74" t="str">
        <f>IF($B1269&lt;&gt;"",_xlfn.IFNA(VLOOKUP($B1269,'Node Details'!$B:$U,E$1,0),"Check"),"")</f>
        <v>Airtel</v>
      </c>
      <c r="F1269" s="76">
        <v>46149</v>
      </c>
      <c r="G1269" s="74"/>
      <c r="H1269" s="10" t="s">
        <v>22</v>
      </c>
      <c r="I1269" s="9">
        <v>2</v>
      </c>
      <c r="J1269" s="9">
        <v>42</v>
      </c>
      <c r="K1269" s="77">
        <f t="shared" si="96"/>
        <v>84</v>
      </c>
      <c r="L1269" s="76">
        <v>46142</v>
      </c>
      <c r="N1269" s="83"/>
      <c r="O1269" s="84"/>
      <c r="P1269" s="81"/>
      <c r="Q1269" s="81"/>
      <c r="R1269" s="81"/>
      <c r="S1269" s="81"/>
      <c r="T1269" s="85"/>
      <c r="U1269" s="81"/>
      <c r="V1269" s="81"/>
      <c r="W1269" s="123">
        <f t="shared" si="95"/>
        <v>0</v>
      </c>
      <c r="X1269" s="123" t="s">
        <v>84</v>
      </c>
      <c r="Y1269" s="114" t="s">
        <v>1128</v>
      </c>
    </row>
    <row r="1270" spans="1:25" s="24" customFormat="1" ht="11.1" customHeight="1">
      <c r="A1270" s="74">
        <f t="shared" si="97"/>
        <v>1268</v>
      </c>
      <c r="B1270" s="75" t="s">
        <v>654</v>
      </c>
      <c r="C1270" s="74" t="str">
        <f>IF($B1270&lt;&gt;"",_xlfn.IFNA(VLOOKUP($B1270,'Node Details'!$B:$U,C$1,0),"Check"),"")</f>
        <v>0000CM303-CM3030103</v>
      </c>
      <c r="D1270" s="74" t="str">
        <f>IF($B1270&lt;&gt;"",_xlfn.IFNA(VLOOKUP($B1270,'Node Details'!$B:$U,D$1,0),"Check"),"")</f>
        <v>CM3</v>
      </c>
      <c r="E1270" s="74" t="str">
        <f>IF($B1270&lt;&gt;"",_xlfn.IFNA(VLOOKUP($B1270,'Node Details'!$B:$U,E$1,0),"Check"),"")</f>
        <v>Airtel</v>
      </c>
      <c r="F1270" s="76">
        <v>46149</v>
      </c>
      <c r="G1270" s="74"/>
      <c r="H1270" s="10" t="s">
        <v>22</v>
      </c>
      <c r="I1270" s="9">
        <v>2</v>
      </c>
      <c r="J1270" s="9">
        <v>42</v>
      </c>
      <c r="K1270" s="77">
        <f t="shared" si="96"/>
        <v>84</v>
      </c>
      <c r="L1270" s="76">
        <v>46142</v>
      </c>
      <c r="N1270" s="83"/>
      <c r="O1270" s="84"/>
      <c r="P1270" s="81"/>
      <c r="Q1270" s="81"/>
      <c r="R1270" s="81"/>
      <c r="S1270" s="81"/>
      <c r="T1270" s="85"/>
      <c r="U1270" s="81"/>
      <c r="V1270" s="81"/>
      <c r="W1270" s="123">
        <f t="shared" si="95"/>
        <v>0</v>
      </c>
      <c r="X1270" s="123" t="s">
        <v>84</v>
      </c>
      <c r="Y1270" s="114" t="s">
        <v>1128</v>
      </c>
    </row>
    <row r="1271" spans="1:25" s="24" customFormat="1" ht="11.1" customHeight="1">
      <c r="A1271" s="74">
        <f t="shared" si="97"/>
        <v>1269</v>
      </c>
      <c r="B1271" s="75" t="s">
        <v>1135</v>
      </c>
      <c r="C1271" s="74" t="str">
        <f>IF($B1271&lt;&gt;"",_xlfn.IFNA(VLOOKUP($B1271,'Node Details'!$B:$U,C$1,0),"Check"),"")</f>
        <v>0000CM303-CM3030108</v>
      </c>
      <c r="D1271" s="74" t="str">
        <f>IF($B1271&lt;&gt;"",_xlfn.IFNA(VLOOKUP($B1271,'Node Details'!$B:$U,D$1,0),"Check"),"")</f>
        <v>CM3</v>
      </c>
      <c r="E1271" s="74" t="str">
        <f>IF($B1271&lt;&gt;"",_xlfn.IFNA(VLOOKUP($B1271,'Node Details'!$B:$U,E$1,0),"Check"),"")</f>
        <v>Airtel</v>
      </c>
      <c r="F1271" s="76">
        <v>46149</v>
      </c>
      <c r="G1271" s="74"/>
      <c r="H1271" s="10" t="s">
        <v>22</v>
      </c>
      <c r="I1271" s="9">
        <v>2</v>
      </c>
      <c r="J1271" s="9">
        <v>42</v>
      </c>
      <c r="K1271" s="77">
        <f t="shared" si="96"/>
        <v>84</v>
      </c>
      <c r="L1271" s="76">
        <v>46142</v>
      </c>
      <c r="N1271" s="83"/>
      <c r="O1271" s="84"/>
      <c r="P1271" s="81"/>
      <c r="Q1271" s="81"/>
      <c r="R1271" s="81"/>
      <c r="S1271" s="81"/>
      <c r="T1271" s="85"/>
      <c r="U1271" s="81"/>
      <c r="V1271" s="81"/>
      <c r="W1271" s="123">
        <f t="shared" si="95"/>
        <v>0</v>
      </c>
      <c r="X1271" s="123" t="s">
        <v>84</v>
      </c>
      <c r="Y1271" s="114" t="s">
        <v>1128</v>
      </c>
    </row>
    <row r="1272" spans="1:25" s="24" customFormat="1" ht="11.1" customHeight="1">
      <c r="A1272" s="74">
        <f t="shared" si="97"/>
        <v>1270</v>
      </c>
      <c r="B1272" s="75" t="s">
        <v>1136</v>
      </c>
      <c r="C1272" s="74" t="str">
        <f>IF($B1272&lt;&gt;"",_xlfn.IFNA(VLOOKUP($B1272,'Node Details'!$B:$U,C$1,0),"Check"),"")</f>
        <v>0000CM303-CM3030108</v>
      </c>
      <c r="D1272" s="74" t="str">
        <f>IF($B1272&lt;&gt;"",_xlfn.IFNA(VLOOKUP($B1272,'Node Details'!$B:$U,D$1,0),"Check"),"")</f>
        <v>CM3</v>
      </c>
      <c r="E1272" s="74" t="str">
        <f>IF($B1272&lt;&gt;"",_xlfn.IFNA(VLOOKUP($B1272,'Node Details'!$B:$U,E$1,0),"Check"),"")</f>
        <v>Airtel</v>
      </c>
      <c r="F1272" s="76">
        <v>46149</v>
      </c>
      <c r="G1272" s="74"/>
      <c r="H1272" s="10" t="s">
        <v>22</v>
      </c>
      <c r="I1272" s="9">
        <v>2</v>
      </c>
      <c r="J1272" s="9">
        <v>42</v>
      </c>
      <c r="K1272" s="77">
        <f t="shared" si="96"/>
        <v>84</v>
      </c>
      <c r="L1272" s="76">
        <v>46142</v>
      </c>
      <c r="N1272" s="83"/>
      <c r="O1272" s="84"/>
      <c r="P1272" s="81"/>
      <c r="Q1272" s="81"/>
      <c r="R1272" s="81"/>
      <c r="S1272" s="81"/>
      <c r="T1272" s="85"/>
      <c r="U1272" s="81"/>
      <c r="V1272" s="81"/>
      <c r="W1272" s="123">
        <f t="shared" si="95"/>
        <v>0</v>
      </c>
      <c r="X1272" s="123" t="s">
        <v>84</v>
      </c>
      <c r="Y1272" s="114" t="s">
        <v>1128</v>
      </c>
    </row>
    <row r="1273" spans="1:25" s="24" customFormat="1" ht="11.1" customHeight="1">
      <c r="A1273" s="74">
        <f t="shared" si="97"/>
        <v>1271</v>
      </c>
      <c r="B1273" s="75" t="s">
        <v>656</v>
      </c>
      <c r="C1273" s="74" t="str">
        <f>IF($B1273&lt;&gt;"",_xlfn.IFNA(VLOOKUP($B1273,'Node Details'!$B:$U,C$1,0),"Check"),"")</f>
        <v>0000CM303-CM3030108</v>
      </c>
      <c r="D1273" s="74" t="str">
        <f>IF($B1273&lt;&gt;"",_xlfn.IFNA(VLOOKUP($B1273,'Node Details'!$B:$U,D$1,0),"Check"),"")</f>
        <v>CM3</v>
      </c>
      <c r="E1273" s="74" t="str">
        <f>IF($B1273&lt;&gt;"",_xlfn.IFNA(VLOOKUP($B1273,'Node Details'!$B:$U,E$1,0),"Check"),"")</f>
        <v>Airtel</v>
      </c>
      <c r="F1273" s="76">
        <v>46149</v>
      </c>
      <c r="G1273" s="74"/>
      <c r="H1273" s="10" t="s">
        <v>22</v>
      </c>
      <c r="I1273" s="9">
        <v>2</v>
      </c>
      <c r="J1273" s="9">
        <v>42</v>
      </c>
      <c r="K1273" s="77">
        <f t="shared" si="96"/>
        <v>84</v>
      </c>
      <c r="L1273" s="76">
        <v>46142</v>
      </c>
      <c r="N1273" s="83"/>
      <c r="O1273" s="84"/>
      <c r="P1273" s="81"/>
      <c r="Q1273" s="81"/>
      <c r="R1273" s="81"/>
      <c r="S1273" s="81"/>
      <c r="T1273" s="85"/>
      <c r="U1273" s="81"/>
      <c r="V1273" s="81"/>
      <c r="W1273" s="123">
        <f t="shared" ref="W1273:W1336" si="98">IF(V1273&lt;&gt;"",V1273*U1273,0)</f>
        <v>0</v>
      </c>
      <c r="X1273" s="123" t="s">
        <v>84</v>
      </c>
      <c r="Y1273" s="114" t="s">
        <v>1128</v>
      </c>
    </row>
    <row r="1274" spans="1:25" s="24" customFormat="1" ht="11.1" customHeight="1">
      <c r="A1274" s="74">
        <f t="shared" si="97"/>
        <v>1272</v>
      </c>
      <c r="B1274" s="75" t="s">
        <v>658</v>
      </c>
      <c r="C1274" s="74" t="str">
        <f>IF($B1274&lt;&gt;"",_xlfn.IFNA(VLOOKUP($B1274,'Node Details'!$B:$U,C$1,0),"Check"),"")</f>
        <v>0000CM304-CM3040101</v>
      </c>
      <c r="D1274" s="74" t="str">
        <f>IF($B1274&lt;&gt;"",_xlfn.IFNA(VLOOKUP($B1274,'Node Details'!$B:$U,D$1,0),"Check"),"")</f>
        <v>CM3</v>
      </c>
      <c r="E1274" s="74" t="str">
        <f>IF($B1274&lt;&gt;"",_xlfn.IFNA(VLOOKUP($B1274,'Node Details'!$B:$U,E$1,0),"Check"),"")</f>
        <v>Airtel</v>
      </c>
      <c r="F1274" s="76">
        <v>46149</v>
      </c>
      <c r="G1274" s="74"/>
      <c r="H1274" s="10" t="s">
        <v>22</v>
      </c>
      <c r="I1274" s="9">
        <v>2</v>
      </c>
      <c r="J1274" s="9">
        <v>42</v>
      </c>
      <c r="K1274" s="77">
        <f t="shared" ref="K1274:K1337" si="99">IF(I1274&lt;&gt;"",J1274*I1274,0)</f>
        <v>84</v>
      </c>
      <c r="L1274" s="76">
        <v>46142</v>
      </c>
      <c r="N1274" s="83"/>
      <c r="O1274" s="84"/>
      <c r="P1274" s="81"/>
      <c r="Q1274" s="81"/>
      <c r="R1274" s="81"/>
      <c r="S1274" s="81"/>
      <c r="T1274" s="85"/>
      <c r="U1274" s="81"/>
      <c r="V1274" s="81"/>
      <c r="W1274" s="123">
        <f t="shared" si="98"/>
        <v>0</v>
      </c>
      <c r="X1274" s="123" t="s">
        <v>84</v>
      </c>
      <c r="Y1274" s="114" t="s">
        <v>1128</v>
      </c>
    </row>
    <row r="1275" spans="1:25" s="24" customFormat="1" ht="11.1" customHeight="1">
      <c r="A1275" s="74">
        <f t="shared" si="97"/>
        <v>1273</v>
      </c>
      <c r="B1275" s="75" t="s">
        <v>1137</v>
      </c>
      <c r="C1275" s="74" t="str">
        <f>IF($B1275&lt;&gt;"",_xlfn.IFNA(VLOOKUP($B1275,'Node Details'!$B:$U,C$1,0),"Check"),"")</f>
        <v>0000CM304-CM3040104</v>
      </c>
      <c r="D1275" s="74" t="str">
        <f>IF($B1275&lt;&gt;"",_xlfn.IFNA(VLOOKUP($B1275,'Node Details'!$B:$U,D$1,0),"Check"),"")</f>
        <v>CM3</v>
      </c>
      <c r="E1275" s="74" t="str">
        <f>IF($B1275&lt;&gt;"",_xlfn.IFNA(VLOOKUP($B1275,'Node Details'!$B:$U,E$1,0),"Check"),"")</f>
        <v>Airtel</v>
      </c>
      <c r="F1275" s="76">
        <v>46149</v>
      </c>
      <c r="G1275" s="74"/>
      <c r="H1275" s="10" t="s">
        <v>22</v>
      </c>
      <c r="I1275" s="9">
        <v>2</v>
      </c>
      <c r="J1275" s="9">
        <v>42</v>
      </c>
      <c r="K1275" s="77">
        <f t="shared" si="99"/>
        <v>84</v>
      </c>
      <c r="L1275" s="76">
        <v>46142</v>
      </c>
      <c r="N1275" s="83"/>
      <c r="O1275" s="84"/>
      <c r="P1275" s="81"/>
      <c r="Q1275" s="81"/>
      <c r="R1275" s="81"/>
      <c r="S1275" s="81"/>
      <c r="T1275" s="85"/>
      <c r="U1275" s="81"/>
      <c r="V1275" s="81"/>
      <c r="W1275" s="123">
        <f t="shared" si="98"/>
        <v>0</v>
      </c>
      <c r="X1275" s="123" t="s">
        <v>84</v>
      </c>
      <c r="Y1275" s="114" t="s">
        <v>1128</v>
      </c>
    </row>
    <row r="1276" spans="1:25" s="24" customFormat="1" ht="11.1" customHeight="1">
      <c r="A1276" s="74">
        <f t="shared" si="97"/>
        <v>1274</v>
      </c>
      <c r="B1276" s="75" t="s">
        <v>1138</v>
      </c>
      <c r="C1276" s="74" t="str">
        <f>IF($B1276&lt;&gt;"",_xlfn.IFNA(VLOOKUP($B1276,'Node Details'!$B:$U,C$1,0),"Check"),"")</f>
        <v>0000CM304-CM3040104</v>
      </c>
      <c r="D1276" s="74" t="str">
        <f>IF($B1276&lt;&gt;"",_xlfn.IFNA(VLOOKUP($B1276,'Node Details'!$B:$U,D$1,0),"Check"),"")</f>
        <v>CM3</v>
      </c>
      <c r="E1276" s="74" t="str">
        <f>IF($B1276&lt;&gt;"",_xlfn.IFNA(VLOOKUP($B1276,'Node Details'!$B:$U,E$1,0),"Check"),"")</f>
        <v>Airtel</v>
      </c>
      <c r="F1276" s="76">
        <v>46149</v>
      </c>
      <c r="G1276" s="74"/>
      <c r="H1276" s="10" t="s">
        <v>22</v>
      </c>
      <c r="I1276" s="9">
        <v>2</v>
      </c>
      <c r="J1276" s="9">
        <v>42</v>
      </c>
      <c r="K1276" s="77">
        <f t="shared" si="99"/>
        <v>84</v>
      </c>
      <c r="L1276" s="76">
        <v>46142</v>
      </c>
      <c r="N1276" s="83"/>
      <c r="O1276" s="84"/>
      <c r="P1276" s="81"/>
      <c r="Q1276" s="81"/>
      <c r="R1276" s="81"/>
      <c r="S1276" s="81"/>
      <c r="T1276" s="85"/>
      <c r="U1276" s="81"/>
      <c r="V1276" s="81"/>
      <c r="W1276" s="123">
        <f t="shared" si="98"/>
        <v>0</v>
      </c>
      <c r="X1276" s="123" t="s">
        <v>84</v>
      </c>
      <c r="Y1276" s="114" t="s">
        <v>1128</v>
      </c>
    </row>
    <row r="1277" spans="1:25" s="24" customFormat="1" ht="11.1" customHeight="1">
      <c r="A1277" s="74">
        <f t="shared" si="97"/>
        <v>1275</v>
      </c>
      <c r="B1277" s="75" t="s">
        <v>660</v>
      </c>
      <c r="C1277" s="74" t="str">
        <f>IF($B1277&lt;&gt;"",_xlfn.IFNA(VLOOKUP($B1277,'Node Details'!$B:$U,C$1,0),"Check"),"")</f>
        <v>0000CM304-CM3040104</v>
      </c>
      <c r="D1277" s="74" t="str">
        <f>IF($B1277&lt;&gt;"",_xlfn.IFNA(VLOOKUP($B1277,'Node Details'!$B:$U,D$1,0),"Check"),"")</f>
        <v>CM3</v>
      </c>
      <c r="E1277" s="74" t="str">
        <f>IF($B1277&lt;&gt;"",_xlfn.IFNA(VLOOKUP($B1277,'Node Details'!$B:$U,E$1,0),"Check"),"")</f>
        <v>Airtel</v>
      </c>
      <c r="F1277" s="76">
        <v>46149</v>
      </c>
      <c r="G1277" s="74"/>
      <c r="H1277" s="10" t="s">
        <v>22</v>
      </c>
      <c r="I1277" s="9">
        <v>2</v>
      </c>
      <c r="J1277" s="9">
        <v>42</v>
      </c>
      <c r="K1277" s="77">
        <f t="shared" si="99"/>
        <v>84</v>
      </c>
      <c r="L1277" s="76">
        <v>46142</v>
      </c>
      <c r="N1277" s="83"/>
      <c r="O1277" s="84"/>
      <c r="P1277" s="81"/>
      <c r="Q1277" s="81"/>
      <c r="R1277" s="81"/>
      <c r="S1277" s="81"/>
      <c r="T1277" s="85"/>
      <c r="U1277" s="81"/>
      <c r="V1277" s="81"/>
      <c r="W1277" s="123">
        <f t="shared" si="98"/>
        <v>0</v>
      </c>
      <c r="X1277" s="123" t="s">
        <v>84</v>
      </c>
      <c r="Y1277" s="114" t="s">
        <v>1128</v>
      </c>
    </row>
    <row r="1278" spans="1:25" s="24" customFormat="1" ht="11.1" customHeight="1">
      <c r="A1278" s="74">
        <f t="shared" si="97"/>
        <v>1276</v>
      </c>
      <c r="B1278" s="75" t="s">
        <v>1139</v>
      </c>
      <c r="C1278" s="74" t="str">
        <f>IF($B1278&lt;&gt;"",_xlfn.IFNA(VLOOKUP($B1278,'Node Details'!$B:$U,C$1,0),"Check"),"")</f>
        <v>0000CM304-CM3040108</v>
      </c>
      <c r="D1278" s="74" t="str">
        <f>IF($B1278&lt;&gt;"",_xlfn.IFNA(VLOOKUP($B1278,'Node Details'!$B:$U,D$1,0),"Check"),"")</f>
        <v>CM3</v>
      </c>
      <c r="E1278" s="74" t="str">
        <f>IF($B1278&lt;&gt;"",_xlfn.IFNA(VLOOKUP($B1278,'Node Details'!$B:$U,E$1,0),"Check"),"")</f>
        <v>Airtel</v>
      </c>
      <c r="F1278" s="76">
        <v>46149</v>
      </c>
      <c r="G1278" s="74"/>
      <c r="H1278" s="10" t="s">
        <v>22</v>
      </c>
      <c r="I1278" s="9">
        <v>2</v>
      </c>
      <c r="J1278" s="9">
        <v>42</v>
      </c>
      <c r="K1278" s="77">
        <f t="shared" si="99"/>
        <v>84</v>
      </c>
      <c r="L1278" s="76">
        <v>46142</v>
      </c>
      <c r="N1278" s="83"/>
      <c r="O1278" s="84"/>
      <c r="P1278" s="81"/>
      <c r="Q1278" s="81"/>
      <c r="R1278" s="81"/>
      <c r="S1278" s="81"/>
      <c r="T1278" s="85"/>
      <c r="U1278" s="81"/>
      <c r="V1278" s="81"/>
      <c r="W1278" s="123">
        <f t="shared" si="98"/>
        <v>0</v>
      </c>
      <c r="X1278" s="123" t="s">
        <v>84</v>
      </c>
      <c r="Y1278" s="114" t="s">
        <v>1128</v>
      </c>
    </row>
    <row r="1279" spans="1:25" s="24" customFormat="1" ht="11.1" customHeight="1">
      <c r="A1279" s="74">
        <f t="shared" si="97"/>
        <v>1277</v>
      </c>
      <c r="B1279" s="75" t="s">
        <v>1140</v>
      </c>
      <c r="C1279" s="74" t="str">
        <f>IF($B1279&lt;&gt;"",_xlfn.IFNA(VLOOKUP($B1279,'Node Details'!$B:$U,C$1,0),"Check"),"")</f>
        <v>0000CM304-CM3040108</v>
      </c>
      <c r="D1279" s="74" t="str">
        <f>IF($B1279&lt;&gt;"",_xlfn.IFNA(VLOOKUP($B1279,'Node Details'!$B:$U,D$1,0),"Check"),"")</f>
        <v>CM3</v>
      </c>
      <c r="E1279" s="74" t="str">
        <f>IF($B1279&lt;&gt;"",_xlfn.IFNA(VLOOKUP($B1279,'Node Details'!$B:$U,E$1,0),"Check"),"")</f>
        <v>Airtel</v>
      </c>
      <c r="F1279" s="76">
        <v>46149</v>
      </c>
      <c r="G1279" s="74"/>
      <c r="H1279" s="10" t="s">
        <v>22</v>
      </c>
      <c r="I1279" s="9">
        <v>2</v>
      </c>
      <c r="J1279" s="9">
        <v>42</v>
      </c>
      <c r="K1279" s="77">
        <f t="shared" si="99"/>
        <v>84</v>
      </c>
      <c r="L1279" s="76">
        <v>46142</v>
      </c>
      <c r="N1279" s="83"/>
      <c r="O1279" s="84"/>
      <c r="P1279" s="81"/>
      <c r="Q1279" s="81"/>
      <c r="R1279" s="81"/>
      <c r="S1279" s="81"/>
      <c r="T1279" s="85"/>
      <c r="U1279" s="81"/>
      <c r="V1279" s="81"/>
      <c r="W1279" s="123">
        <f t="shared" si="98"/>
        <v>0</v>
      </c>
      <c r="X1279" s="123" t="s">
        <v>84</v>
      </c>
      <c r="Y1279" s="114" t="s">
        <v>1128</v>
      </c>
    </row>
    <row r="1280" spans="1:25" s="24" customFormat="1" ht="11.1" customHeight="1">
      <c r="A1280" s="74">
        <f t="shared" si="97"/>
        <v>1278</v>
      </c>
      <c r="B1280" s="75" t="s">
        <v>662</v>
      </c>
      <c r="C1280" s="74" t="str">
        <f>IF($B1280&lt;&gt;"",_xlfn.IFNA(VLOOKUP($B1280,'Node Details'!$B:$U,C$1,0),"Check"),"")</f>
        <v>0000CM304-CM3040108</v>
      </c>
      <c r="D1280" s="74" t="str">
        <f>IF($B1280&lt;&gt;"",_xlfn.IFNA(VLOOKUP($B1280,'Node Details'!$B:$U,D$1,0),"Check"),"")</f>
        <v>CM3</v>
      </c>
      <c r="E1280" s="74" t="str">
        <f>IF($B1280&lt;&gt;"",_xlfn.IFNA(VLOOKUP($B1280,'Node Details'!$B:$U,E$1,0),"Check"),"")</f>
        <v>Airtel</v>
      </c>
      <c r="F1280" s="76">
        <v>46149</v>
      </c>
      <c r="G1280" s="74"/>
      <c r="H1280" s="10" t="s">
        <v>22</v>
      </c>
      <c r="I1280" s="9">
        <v>2</v>
      </c>
      <c r="J1280" s="9">
        <v>42</v>
      </c>
      <c r="K1280" s="77">
        <f t="shared" si="99"/>
        <v>84</v>
      </c>
      <c r="L1280" s="76">
        <v>46142</v>
      </c>
      <c r="N1280" s="83"/>
      <c r="O1280" s="84"/>
      <c r="P1280" s="81"/>
      <c r="Q1280" s="81"/>
      <c r="R1280" s="81"/>
      <c r="S1280" s="81"/>
      <c r="T1280" s="85"/>
      <c r="U1280" s="81"/>
      <c r="V1280" s="81"/>
      <c r="W1280" s="123">
        <f t="shared" si="98"/>
        <v>0</v>
      </c>
      <c r="X1280" s="123" t="s">
        <v>84</v>
      </c>
      <c r="Y1280" s="114" t="s">
        <v>1128</v>
      </c>
    </row>
    <row r="1281" spans="1:25" s="24" customFormat="1" ht="11.1" customHeight="1">
      <c r="A1281" s="74">
        <f t="shared" si="97"/>
        <v>1279</v>
      </c>
      <c r="B1281" s="75" t="s">
        <v>664</v>
      </c>
      <c r="C1281" s="74" t="str">
        <f>IF($B1281&lt;&gt;"",_xlfn.IFNA(VLOOKUP($B1281,'Node Details'!$B:$U,C$1,0),"Check"),"")</f>
        <v>0000CM305-CM3050102</v>
      </c>
      <c r="D1281" s="74" t="str">
        <f>IF($B1281&lt;&gt;"",_xlfn.IFNA(VLOOKUP($B1281,'Node Details'!$B:$U,D$1,0),"Check"),"")</f>
        <v>CM3</v>
      </c>
      <c r="E1281" s="74" t="str">
        <f>IF($B1281&lt;&gt;"",_xlfn.IFNA(VLOOKUP($B1281,'Node Details'!$B:$U,E$1,0),"Check"),"")</f>
        <v>Airtel</v>
      </c>
      <c r="F1281" s="76">
        <v>46149</v>
      </c>
      <c r="G1281" s="74"/>
      <c r="H1281" s="10" t="s">
        <v>22</v>
      </c>
      <c r="I1281" s="9">
        <v>2</v>
      </c>
      <c r="J1281" s="9">
        <v>42</v>
      </c>
      <c r="K1281" s="77">
        <f t="shared" si="99"/>
        <v>84</v>
      </c>
      <c r="L1281" s="76">
        <v>46142</v>
      </c>
      <c r="N1281" s="83"/>
      <c r="O1281" s="84"/>
      <c r="P1281" s="81"/>
      <c r="Q1281" s="81"/>
      <c r="R1281" s="81"/>
      <c r="S1281" s="81"/>
      <c r="T1281" s="85"/>
      <c r="U1281" s="81"/>
      <c r="V1281" s="81"/>
      <c r="W1281" s="123">
        <f t="shared" si="98"/>
        <v>0</v>
      </c>
      <c r="X1281" s="123" t="s">
        <v>84</v>
      </c>
      <c r="Y1281" s="114" t="s">
        <v>1128</v>
      </c>
    </row>
    <row r="1282" spans="1:25" s="24" customFormat="1" ht="11.1" customHeight="1">
      <c r="A1282" s="74">
        <f t="shared" si="97"/>
        <v>1280</v>
      </c>
      <c r="B1282" s="75" t="s">
        <v>1141</v>
      </c>
      <c r="C1282" s="74" t="str">
        <f>IF($B1282&lt;&gt;"",_xlfn.IFNA(VLOOKUP($B1282,'Node Details'!$B:$U,C$1,0),"Check"),"")</f>
        <v>0000CM305-CM3050104</v>
      </c>
      <c r="D1282" s="74" t="str">
        <f>IF($B1282&lt;&gt;"",_xlfn.IFNA(VLOOKUP($B1282,'Node Details'!$B:$U,D$1,0),"Check"),"")</f>
        <v>CM3</v>
      </c>
      <c r="E1282" s="74" t="str">
        <f>IF($B1282&lt;&gt;"",_xlfn.IFNA(VLOOKUP($B1282,'Node Details'!$B:$U,E$1,0),"Check"),"")</f>
        <v>Airtel</v>
      </c>
      <c r="F1282" s="76">
        <v>46149</v>
      </c>
      <c r="G1282" s="74"/>
      <c r="H1282" s="10" t="s">
        <v>22</v>
      </c>
      <c r="I1282" s="9">
        <v>2</v>
      </c>
      <c r="J1282" s="9">
        <v>42</v>
      </c>
      <c r="K1282" s="77">
        <f t="shared" si="99"/>
        <v>84</v>
      </c>
      <c r="L1282" s="76">
        <v>46142</v>
      </c>
      <c r="N1282" s="83"/>
      <c r="O1282" s="84"/>
      <c r="P1282" s="81"/>
      <c r="Q1282" s="81"/>
      <c r="R1282" s="81"/>
      <c r="S1282" s="81"/>
      <c r="T1282" s="85"/>
      <c r="U1282" s="81"/>
      <c r="V1282" s="81"/>
      <c r="W1282" s="123">
        <f t="shared" si="98"/>
        <v>0</v>
      </c>
      <c r="X1282" s="123" t="s">
        <v>84</v>
      </c>
      <c r="Y1282" s="114" t="s">
        <v>1128</v>
      </c>
    </row>
    <row r="1283" spans="1:25" s="24" customFormat="1" ht="11.1" customHeight="1">
      <c r="A1283" s="74">
        <f t="shared" si="97"/>
        <v>1281</v>
      </c>
      <c r="B1283" s="75" t="s">
        <v>666</v>
      </c>
      <c r="C1283" s="74" t="str">
        <f>IF($B1283&lt;&gt;"",_xlfn.IFNA(VLOOKUP($B1283,'Node Details'!$B:$U,C$1,0),"Check"),"")</f>
        <v>0000CM305-CM3050104</v>
      </c>
      <c r="D1283" s="74" t="str">
        <f>IF($B1283&lt;&gt;"",_xlfn.IFNA(VLOOKUP($B1283,'Node Details'!$B:$U,D$1,0),"Check"),"")</f>
        <v>CM3</v>
      </c>
      <c r="E1283" s="74" t="str">
        <f>IF($B1283&lt;&gt;"",_xlfn.IFNA(VLOOKUP($B1283,'Node Details'!$B:$U,E$1,0),"Check"),"")</f>
        <v>Airtel</v>
      </c>
      <c r="F1283" s="76">
        <v>46149</v>
      </c>
      <c r="G1283" s="74"/>
      <c r="H1283" s="10" t="s">
        <v>22</v>
      </c>
      <c r="I1283" s="9">
        <v>2</v>
      </c>
      <c r="J1283" s="9">
        <v>42</v>
      </c>
      <c r="K1283" s="77">
        <f t="shared" si="99"/>
        <v>84</v>
      </c>
      <c r="L1283" s="76">
        <v>46142</v>
      </c>
      <c r="N1283" s="83"/>
      <c r="O1283" s="84"/>
      <c r="P1283" s="81"/>
      <c r="Q1283" s="81"/>
      <c r="R1283" s="81"/>
      <c r="S1283" s="81"/>
      <c r="T1283" s="85"/>
      <c r="U1283" s="81"/>
      <c r="V1283" s="81"/>
      <c r="W1283" s="123">
        <f t="shared" si="98"/>
        <v>0</v>
      </c>
      <c r="X1283" s="123" t="s">
        <v>84</v>
      </c>
      <c r="Y1283" s="114" t="s">
        <v>1128</v>
      </c>
    </row>
    <row r="1284" spans="1:25" s="24" customFormat="1" ht="11.1" customHeight="1">
      <c r="A1284" s="74">
        <f t="shared" ref="A1284:A1347" si="100">A1283+1</f>
        <v>1282</v>
      </c>
      <c r="B1284" s="75" t="s">
        <v>668</v>
      </c>
      <c r="C1284" s="74" t="str">
        <f>IF($B1284&lt;&gt;"",_xlfn.IFNA(VLOOKUP($B1284,'Node Details'!$B:$U,C$1,0),"Check"),"")</f>
        <v>0000CM306-CM3060106</v>
      </c>
      <c r="D1284" s="74" t="str">
        <f>IF($B1284&lt;&gt;"",_xlfn.IFNA(VLOOKUP($B1284,'Node Details'!$B:$U,D$1,0),"Check"),"")</f>
        <v>CM3</v>
      </c>
      <c r="E1284" s="74" t="str">
        <f>IF($B1284&lt;&gt;"",_xlfn.IFNA(VLOOKUP($B1284,'Node Details'!$B:$U,E$1,0),"Check"),"")</f>
        <v>Airtel</v>
      </c>
      <c r="F1284" s="76">
        <v>46149</v>
      </c>
      <c r="G1284" s="74"/>
      <c r="H1284" s="10" t="s">
        <v>22</v>
      </c>
      <c r="I1284" s="9">
        <v>2</v>
      </c>
      <c r="J1284" s="9">
        <v>42</v>
      </c>
      <c r="K1284" s="77">
        <f t="shared" si="99"/>
        <v>84</v>
      </c>
      <c r="L1284" s="76">
        <v>46142</v>
      </c>
      <c r="N1284" s="83"/>
      <c r="O1284" s="84"/>
      <c r="P1284" s="81"/>
      <c r="Q1284" s="81"/>
      <c r="R1284" s="81"/>
      <c r="S1284" s="81"/>
      <c r="T1284" s="85"/>
      <c r="U1284" s="81"/>
      <c r="V1284" s="81"/>
      <c r="W1284" s="123">
        <f t="shared" si="98"/>
        <v>0</v>
      </c>
      <c r="X1284" s="123" t="s">
        <v>84</v>
      </c>
      <c r="Y1284" s="114" t="s">
        <v>1128</v>
      </c>
    </row>
    <row r="1285" spans="1:25" s="24" customFormat="1" ht="11.1" customHeight="1">
      <c r="A1285" s="74">
        <f t="shared" si="100"/>
        <v>1283</v>
      </c>
      <c r="B1285" s="75" t="s">
        <v>1142</v>
      </c>
      <c r="C1285" s="74" t="str">
        <f>IF($B1285&lt;&gt;"",_xlfn.IFNA(VLOOKUP($B1285,'Node Details'!$B:$U,C$1,0),"Check"),"")</f>
        <v>0000CM606-CM3060108</v>
      </c>
      <c r="D1285" s="74" t="str">
        <f>IF($B1285&lt;&gt;"",_xlfn.IFNA(VLOOKUP($B1285,'Node Details'!$B:$U,D$1,0),"Check"),"")</f>
        <v>CM3</v>
      </c>
      <c r="E1285" s="74" t="str">
        <f>IF($B1285&lt;&gt;"",_xlfn.IFNA(VLOOKUP($B1285,'Node Details'!$B:$U,E$1,0),"Check"),"")</f>
        <v>Airtel</v>
      </c>
      <c r="F1285" s="76">
        <v>46149</v>
      </c>
      <c r="G1285" s="74"/>
      <c r="H1285" s="10" t="s">
        <v>22</v>
      </c>
      <c r="I1285" s="9">
        <v>2</v>
      </c>
      <c r="J1285" s="9">
        <v>42</v>
      </c>
      <c r="K1285" s="77">
        <f t="shared" si="99"/>
        <v>84</v>
      </c>
      <c r="L1285" s="76">
        <v>46142</v>
      </c>
      <c r="N1285" s="83"/>
      <c r="O1285" s="84"/>
      <c r="P1285" s="81"/>
      <c r="Q1285" s="81"/>
      <c r="R1285" s="81"/>
      <c r="S1285" s="81"/>
      <c r="T1285" s="85"/>
      <c r="U1285" s="81"/>
      <c r="V1285" s="81"/>
      <c r="W1285" s="123">
        <f t="shared" si="98"/>
        <v>0</v>
      </c>
      <c r="X1285" s="123" t="s">
        <v>84</v>
      </c>
      <c r="Y1285" s="114" t="s">
        <v>1128</v>
      </c>
    </row>
    <row r="1286" spans="1:25" s="24" customFormat="1" ht="11.1" customHeight="1">
      <c r="A1286" s="74">
        <f t="shared" si="100"/>
        <v>1284</v>
      </c>
      <c r="B1286" s="75" t="s">
        <v>671</v>
      </c>
      <c r="C1286" s="74" t="str">
        <f>IF($B1286&lt;&gt;"",_xlfn.IFNA(VLOOKUP($B1286,'Node Details'!$B:$U,C$1,0),"Check"),"")</f>
        <v>0000CM606-CM3060108</v>
      </c>
      <c r="D1286" s="74" t="str">
        <f>IF($B1286&lt;&gt;"",_xlfn.IFNA(VLOOKUP($B1286,'Node Details'!$B:$U,D$1,0),"Check"),"")</f>
        <v>CM3</v>
      </c>
      <c r="E1286" s="74" t="str">
        <f>IF($B1286&lt;&gt;"",_xlfn.IFNA(VLOOKUP($B1286,'Node Details'!$B:$U,E$1,0),"Check"),"")</f>
        <v>Airtel</v>
      </c>
      <c r="F1286" s="76">
        <v>46149</v>
      </c>
      <c r="G1286" s="74"/>
      <c r="H1286" s="10" t="s">
        <v>22</v>
      </c>
      <c r="I1286" s="9">
        <v>2</v>
      </c>
      <c r="J1286" s="9">
        <v>42</v>
      </c>
      <c r="K1286" s="77">
        <f t="shared" si="99"/>
        <v>84</v>
      </c>
      <c r="L1286" s="76">
        <v>46142</v>
      </c>
      <c r="N1286" s="83"/>
      <c r="O1286" s="84"/>
      <c r="P1286" s="81"/>
      <c r="Q1286" s="81"/>
      <c r="R1286" s="81"/>
      <c r="S1286" s="81"/>
      <c r="T1286" s="85"/>
      <c r="U1286" s="81"/>
      <c r="V1286" s="81"/>
      <c r="W1286" s="123">
        <f t="shared" si="98"/>
        <v>0</v>
      </c>
      <c r="X1286" s="123" t="s">
        <v>84</v>
      </c>
      <c r="Y1286" s="114" t="s">
        <v>1128</v>
      </c>
    </row>
    <row r="1287" spans="1:25" s="24" customFormat="1" ht="11.1" customHeight="1">
      <c r="A1287" s="74">
        <f t="shared" si="100"/>
        <v>1285</v>
      </c>
      <c r="B1287" s="75" t="s">
        <v>1143</v>
      </c>
      <c r="C1287" s="74" t="str">
        <f>IF($B1287&lt;&gt;"",_xlfn.IFNA(VLOOKUP($B1287,'Node Details'!$B:$U,C$1,0),"Check"),"")</f>
        <v>0000CM306-CM3060104</v>
      </c>
      <c r="D1287" s="74" t="str">
        <f>IF($B1287&lt;&gt;"",_xlfn.IFNA(VLOOKUP($B1287,'Node Details'!$B:$U,D$1,0),"Check"),"")</f>
        <v>CM3</v>
      </c>
      <c r="E1287" s="74" t="str">
        <f>IF($B1287&lt;&gt;"",_xlfn.IFNA(VLOOKUP($B1287,'Node Details'!$B:$U,E$1,0),"Check"),"")</f>
        <v>Airtel</v>
      </c>
      <c r="F1287" s="76">
        <v>46149</v>
      </c>
      <c r="G1287" s="74"/>
      <c r="H1287" s="10" t="s">
        <v>22</v>
      </c>
      <c r="I1287" s="9">
        <v>2</v>
      </c>
      <c r="J1287" s="9">
        <v>42</v>
      </c>
      <c r="K1287" s="77">
        <f t="shared" si="99"/>
        <v>84</v>
      </c>
      <c r="L1287" s="76">
        <v>46142</v>
      </c>
      <c r="N1287" s="83"/>
      <c r="O1287" s="84"/>
      <c r="P1287" s="81"/>
      <c r="Q1287" s="81"/>
      <c r="R1287" s="81"/>
      <c r="S1287" s="81"/>
      <c r="T1287" s="85"/>
      <c r="U1287" s="81"/>
      <c r="V1287" s="81"/>
      <c r="W1287" s="123">
        <f t="shared" si="98"/>
        <v>0</v>
      </c>
      <c r="X1287" s="123" t="s">
        <v>84</v>
      </c>
      <c r="Y1287" s="114" t="s">
        <v>1128</v>
      </c>
    </row>
    <row r="1288" spans="1:25" s="24" customFormat="1" ht="11.1" customHeight="1">
      <c r="A1288" s="74">
        <f t="shared" si="100"/>
        <v>1286</v>
      </c>
      <c r="B1288" s="75" t="s">
        <v>1144</v>
      </c>
      <c r="C1288" s="74" t="str">
        <f>IF($B1288&lt;&gt;"",_xlfn.IFNA(VLOOKUP($B1288,'Node Details'!$B:$U,C$1,0),"Check"),"")</f>
        <v>0000CM306-CM3060104</v>
      </c>
      <c r="D1288" s="74" t="str">
        <f>IF($B1288&lt;&gt;"",_xlfn.IFNA(VLOOKUP($B1288,'Node Details'!$B:$U,D$1,0),"Check"),"")</f>
        <v>CM3</v>
      </c>
      <c r="E1288" s="74" t="str">
        <f>IF($B1288&lt;&gt;"",_xlfn.IFNA(VLOOKUP($B1288,'Node Details'!$B:$U,E$1,0),"Check"),"")</f>
        <v>Airtel</v>
      </c>
      <c r="F1288" s="76">
        <v>46149</v>
      </c>
      <c r="G1288" s="74"/>
      <c r="H1288" s="10" t="s">
        <v>22</v>
      </c>
      <c r="I1288" s="9">
        <v>2</v>
      </c>
      <c r="J1288" s="9">
        <v>42</v>
      </c>
      <c r="K1288" s="77">
        <f t="shared" si="99"/>
        <v>84</v>
      </c>
      <c r="L1288" s="76">
        <v>46142</v>
      </c>
      <c r="N1288" s="83"/>
      <c r="O1288" s="84"/>
      <c r="P1288" s="81"/>
      <c r="Q1288" s="81"/>
      <c r="R1288" s="81"/>
      <c r="S1288" s="81"/>
      <c r="T1288" s="85"/>
      <c r="U1288" s="81"/>
      <c r="V1288" s="81"/>
      <c r="W1288" s="123">
        <f t="shared" si="98"/>
        <v>0</v>
      </c>
      <c r="X1288" s="123" t="s">
        <v>84</v>
      </c>
      <c r="Y1288" s="114" t="s">
        <v>1128</v>
      </c>
    </row>
    <row r="1289" spans="1:25" s="24" customFormat="1" ht="11.1" customHeight="1">
      <c r="A1289" s="74">
        <f t="shared" si="100"/>
        <v>1287</v>
      </c>
      <c r="B1289" s="75" t="s">
        <v>1145</v>
      </c>
      <c r="C1289" s="74" t="str">
        <f>IF($B1289&lt;&gt;"",_xlfn.IFNA(VLOOKUP($B1289,'Node Details'!$B:$U,C$1,0),"Check"),"")</f>
        <v>0000CM306-CM3060104</v>
      </c>
      <c r="D1289" s="74" t="str">
        <f>IF($B1289&lt;&gt;"",_xlfn.IFNA(VLOOKUP($B1289,'Node Details'!$B:$U,D$1,0),"Check"),"")</f>
        <v>CM3</v>
      </c>
      <c r="E1289" s="74" t="str">
        <f>IF($B1289&lt;&gt;"",_xlfn.IFNA(VLOOKUP($B1289,'Node Details'!$B:$U,E$1,0),"Check"),"")</f>
        <v>Airtel</v>
      </c>
      <c r="F1289" s="76">
        <v>46149</v>
      </c>
      <c r="G1289" s="74"/>
      <c r="H1289" s="10" t="s">
        <v>22</v>
      </c>
      <c r="I1289" s="9">
        <v>2</v>
      </c>
      <c r="J1289" s="9">
        <v>42</v>
      </c>
      <c r="K1289" s="77">
        <f t="shared" si="99"/>
        <v>84</v>
      </c>
      <c r="L1289" s="76">
        <v>46142</v>
      </c>
      <c r="N1289" s="83"/>
      <c r="O1289" s="84"/>
      <c r="P1289" s="81"/>
      <c r="Q1289" s="81"/>
      <c r="R1289" s="81"/>
      <c r="S1289" s="81"/>
      <c r="T1289" s="85"/>
      <c r="U1289" s="81"/>
      <c r="V1289" s="81"/>
      <c r="W1289" s="123">
        <f t="shared" si="98"/>
        <v>0</v>
      </c>
      <c r="X1289" s="123" t="s">
        <v>84</v>
      </c>
      <c r="Y1289" s="114" t="s">
        <v>1128</v>
      </c>
    </row>
    <row r="1290" spans="1:25" s="24" customFormat="1" ht="11.1" customHeight="1">
      <c r="A1290" s="74">
        <f t="shared" si="100"/>
        <v>1288</v>
      </c>
      <c r="B1290" s="75" t="s">
        <v>673</v>
      </c>
      <c r="C1290" s="74" t="str">
        <f>IF($B1290&lt;&gt;"",_xlfn.IFNA(VLOOKUP($B1290,'Node Details'!$B:$U,C$1,0),"Check"),"")</f>
        <v>0000CM306-CM3060104</v>
      </c>
      <c r="D1290" s="74" t="str">
        <f>IF($B1290&lt;&gt;"",_xlfn.IFNA(VLOOKUP($B1290,'Node Details'!$B:$U,D$1,0),"Check"),"")</f>
        <v>CM3</v>
      </c>
      <c r="E1290" s="74" t="str">
        <f>IF($B1290&lt;&gt;"",_xlfn.IFNA(VLOOKUP($B1290,'Node Details'!$B:$U,E$1,0),"Check"),"")</f>
        <v>Airtel</v>
      </c>
      <c r="F1290" s="76">
        <v>46149</v>
      </c>
      <c r="G1290" s="74"/>
      <c r="H1290" s="10" t="s">
        <v>22</v>
      </c>
      <c r="I1290" s="9">
        <v>2</v>
      </c>
      <c r="J1290" s="9">
        <v>42</v>
      </c>
      <c r="K1290" s="77">
        <f t="shared" si="99"/>
        <v>84</v>
      </c>
      <c r="L1290" s="76">
        <v>46142</v>
      </c>
      <c r="N1290" s="83"/>
      <c r="O1290" s="84"/>
      <c r="P1290" s="81"/>
      <c r="Q1290" s="81"/>
      <c r="R1290" s="81"/>
      <c r="S1290" s="81"/>
      <c r="T1290" s="85"/>
      <c r="U1290" s="81"/>
      <c r="V1290" s="81"/>
      <c r="W1290" s="123">
        <f t="shared" si="98"/>
        <v>0</v>
      </c>
      <c r="X1290" s="123" t="s">
        <v>84</v>
      </c>
      <c r="Y1290" s="114" t="s">
        <v>1128</v>
      </c>
    </row>
    <row r="1291" spans="1:25" s="24" customFormat="1" ht="11.1" customHeight="1">
      <c r="A1291" s="74">
        <f t="shared" si="100"/>
        <v>1289</v>
      </c>
      <c r="B1291" s="75" t="s">
        <v>1146</v>
      </c>
      <c r="C1291" s="74" t="str">
        <f>IF($B1291&lt;&gt;"",_xlfn.IFNA(VLOOKUP($B1291,'Node Details'!$B:$U,C$1,0),"Check"),"")</f>
        <v>0000CM307-CM3070103</v>
      </c>
      <c r="D1291" s="74" t="str">
        <f>IF($B1291&lt;&gt;"",_xlfn.IFNA(VLOOKUP($B1291,'Node Details'!$B:$U,D$1,0),"Check"),"")</f>
        <v>CM3</v>
      </c>
      <c r="E1291" s="74" t="str">
        <f>IF($B1291&lt;&gt;"",_xlfn.IFNA(VLOOKUP($B1291,'Node Details'!$B:$U,E$1,0),"Check"),"")</f>
        <v>Airtel</v>
      </c>
      <c r="F1291" s="76">
        <v>46149</v>
      </c>
      <c r="G1291" s="74"/>
      <c r="H1291" s="10" t="s">
        <v>22</v>
      </c>
      <c r="I1291" s="9">
        <v>2</v>
      </c>
      <c r="J1291" s="9">
        <v>42</v>
      </c>
      <c r="K1291" s="77">
        <f t="shared" si="99"/>
        <v>84</v>
      </c>
      <c r="L1291" s="76">
        <v>46142</v>
      </c>
      <c r="N1291" s="83"/>
      <c r="O1291" s="84"/>
      <c r="P1291" s="81"/>
      <c r="Q1291" s="81"/>
      <c r="R1291" s="81"/>
      <c r="S1291" s="81"/>
      <c r="T1291" s="85"/>
      <c r="U1291" s="81"/>
      <c r="V1291" s="81"/>
      <c r="W1291" s="123">
        <f t="shared" si="98"/>
        <v>0</v>
      </c>
      <c r="X1291" s="123" t="s">
        <v>84</v>
      </c>
      <c r="Y1291" s="114" t="s">
        <v>1128</v>
      </c>
    </row>
    <row r="1292" spans="1:25" s="24" customFormat="1" ht="11.1" customHeight="1">
      <c r="A1292" s="74">
        <f t="shared" si="100"/>
        <v>1290</v>
      </c>
      <c r="B1292" s="75" t="s">
        <v>1147</v>
      </c>
      <c r="C1292" s="74" t="str">
        <f>IF($B1292&lt;&gt;"",_xlfn.IFNA(VLOOKUP($B1292,'Node Details'!$B:$U,C$1,0),"Check"),"")</f>
        <v>0000CM307-CM3070103</v>
      </c>
      <c r="D1292" s="74" t="str">
        <f>IF($B1292&lt;&gt;"",_xlfn.IFNA(VLOOKUP($B1292,'Node Details'!$B:$U,D$1,0),"Check"),"")</f>
        <v>CM3</v>
      </c>
      <c r="E1292" s="74" t="str">
        <f>IF($B1292&lt;&gt;"",_xlfn.IFNA(VLOOKUP($B1292,'Node Details'!$B:$U,E$1,0),"Check"),"")</f>
        <v>Airtel</v>
      </c>
      <c r="F1292" s="76">
        <v>46149</v>
      </c>
      <c r="G1292" s="74"/>
      <c r="H1292" s="10" t="s">
        <v>22</v>
      </c>
      <c r="I1292" s="9">
        <v>2</v>
      </c>
      <c r="J1292" s="9">
        <v>42</v>
      </c>
      <c r="K1292" s="77">
        <f t="shared" si="99"/>
        <v>84</v>
      </c>
      <c r="L1292" s="76">
        <v>46142</v>
      </c>
      <c r="N1292" s="83"/>
      <c r="O1292" s="84"/>
      <c r="P1292" s="81"/>
      <c r="Q1292" s="81"/>
      <c r="R1292" s="81"/>
      <c r="S1292" s="81"/>
      <c r="T1292" s="85"/>
      <c r="U1292" s="81"/>
      <c r="V1292" s="81"/>
      <c r="W1292" s="123">
        <f t="shared" si="98"/>
        <v>0</v>
      </c>
      <c r="X1292" s="123" t="s">
        <v>84</v>
      </c>
      <c r="Y1292" s="114" t="s">
        <v>1128</v>
      </c>
    </row>
    <row r="1293" spans="1:25" s="24" customFormat="1" ht="11.1" customHeight="1">
      <c r="A1293" s="74">
        <f t="shared" si="100"/>
        <v>1291</v>
      </c>
      <c r="B1293" t="s">
        <v>675</v>
      </c>
      <c r="C1293" s="74" t="str">
        <f>IF($B1293&lt;&gt;"",_xlfn.IFNA(VLOOKUP($B1293,'Node Details'!$B:$U,C$1,0),"Check"),"")</f>
        <v>0000CM307-CM3070103</v>
      </c>
      <c r="D1293" s="74" t="str">
        <f>IF($B1293&lt;&gt;"",_xlfn.IFNA(VLOOKUP($B1293,'Node Details'!$B:$U,D$1,0),"Check"),"")</f>
        <v>CM3</v>
      </c>
      <c r="E1293" s="74" t="str">
        <f>IF($B1293&lt;&gt;"",_xlfn.IFNA(VLOOKUP($B1293,'Node Details'!$B:$U,E$1,0),"Check"),"")</f>
        <v>Airtel</v>
      </c>
      <c r="F1293" s="76">
        <v>46149</v>
      </c>
      <c r="G1293" s="74"/>
      <c r="H1293" s="10" t="s">
        <v>22</v>
      </c>
      <c r="I1293" s="9">
        <v>2</v>
      </c>
      <c r="J1293" s="9">
        <v>42</v>
      </c>
      <c r="K1293" s="77">
        <f t="shared" si="99"/>
        <v>84</v>
      </c>
      <c r="L1293" s="76">
        <v>46142</v>
      </c>
      <c r="N1293" s="83"/>
      <c r="O1293" s="84"/>
      <c r="P1293" s="81"/>
      <c r="Q1293" s="81"/>
      <c r="R1293" s="81"/>
      <c r="S1293" s="81"/>
      <c r="T1293" s="85"/>
      <c r="U1293" s="81"/>
      <c r="V1293" s="81"/>
      <c r="W1293" s="123">
        <f t="shared" si="98"/>
        <v>0</v>
      </c>
      <c r="X1293" s="123" t="s">
        <v>84</v>
      </c>
      <c r="Y1293" s="114" t="s">
        <v>1128</v>
      </c>
    </row>
    <row r="1294" spans="1:25" s="24" customFormat="1" ht="11.1" customHeight="1">
      <c r="A1294" s="74">
        <f t="shared" si="100"/>
        <v>1292</v>
      </c>
      <c r="B1294" s="75" t="s">
        <v>679</v>
      </c>
      <c r="C1294" s="74" t="str">
        <f>IF($B1294&lt;&gt;"",_xlfn.IFNA(VLOOKUP($B1294,'Node Details'!$B:$U,C$1,0),"Check"),"")</f>
        <v>0000CM307-CM3070105</v>
      </c>
      <c r="D1294" s="74" t="str">
        <f>IF($B1294&lt;&gt;"",_xlfn.IFNA(VLOOKUP($B1294,'Node Details'!$B:$U,D$1,0),"Check"),"")</f>
        <v>CM3</v>
      </c>
      <c r="E1294" s="74" t="str">
        <f>IF($B1294&lt;&gt;"",_xlfn.IFNA(VLOOKUP($B1294,'Node Details'!$B:$U,E$1,0),"Check"),"")</f>
        <v>Airtel</v>
      </c>
      <c r="F1294" s="76">
        <v>46149</v>
      </c>
      <c r="G1294" s="74"/>
      <c r="H1294" s="10" t="s">
        <v>22</v>
      </c>
      <c r="I1294" s="9">
        <v>2</v>
      </c>
      <c r="J1294" s="9">
        <v>42</v>
      </c>
      <c r="K1294" s="77">
        <f t="shared" si="99"/>
        <v>84</v>
      </c>
      <c r="L1294" s="76">
        <v>46142</v>
      </c>
      <c r="N1294" s="83"/>
      <c r="O1294" s="84"/>
      <c r="P1294" s="81"/>
      <c r="Q1294" s="81"/>
      <c r="R1294" s="81"/>
      <c r="S1294" s="81"/>
      <c r="T1294" s="85"/>
      <c r="U1294" s="81"/>
      <c r="V1294" s="81"/>
      <c r="W1294" s="123">
        <f t="shared" si="98"/>
        <v>0</v>
      </c>
      <c r="X1294" s="123" t="s">
        <v>84</v>
      </c>
      <c r="Y1294" s="114" t="s">
        <v>1128</v>
      </c>
    </row>
    <row r="1295" spans="1:25" s="24" customFormat="1" ht="11.1" customHeight="1">
      <c r="A1295" s="74">
        <f t="shared" si="100"/>
        <v>1293</v>
      </c>
      <c r="B1295" s="75" t="s">
        <v>677</v>
      </c>
      <c r="C1295" s="74" t="str">
        <f>IF($B1295&lt;&gt;"",_xlfn.IFNA(VLOOKUP($B1295,'Node Details'!$B:$U,C$1,0),"Check"),"")</f>
        <v>0000CM307-CM3070105</v>
      </c>
      <c r="D1295" s="74" t="str">
        <f>IF($B1295&lt;&gt;"",_xlfn.IFNA(VLOOKUP($B1295,'Node Details'!$B:$U,D$1,0),"Check"),"")</f>
        <v>CM3</v>
      </c>
      <c r="E1295" s="74" t="str">
        <f>IF($B1295&lt;&gt;"",_xlfn.IFNA(VLOOKUP($B1295,'Node Details'!$B:$U,E$1,0),"Check"),"")</f>
        <v>Airtel</v>
      </c>
      <c r="F1295" s="76">
        <v>46149</v>
      </c>
      <c r="G1295" s="74"/>
      <c r="H1295" s="10" t="s">
        <v>22</v>
      </c>
      <c r="I1295" s="9">
        <v>2</v>
      </c>
      <c r="J1295" s="9">
        <v>42</v>
      </c>
      <c r="K1295" s="77">
        <f t="shared" si="99"/>
        <v>84</v>
      </c>
      <c r="L1295" s="76">
        <v>46142</v>
      </c>
      <c r="N1295" s="83"/>
      <c r="O1295" s="84"/>
      <c r="P1295" s="81"/>
      <c r="Q1295" s="81"/>
      <c r="R1295" s="81"/>
      <c r="S1295" s="81"/>
      <c r="T1295" s="85"/>
      <c r="U1295" s="81"/>
      <c r="V1295" s="81"/>
      <c r="W1295" s="123">
        <f t="shared" si="98"/>
        <v>0</v>
      </c>
      <c r="X1295" s="123" t="s">
        <v>84</v>
      </c>
      <c r="Y1295" s="114" t="s">
        <v>1128</v>
      </c>
    </row>
    <row r="1296" spans="1:25" s="24" customFormat="1" ht="11.1" customHeight="1">
      <c r="A1296" s="74">
        <f t="shared" si="100"/>
        <v>1294</v>
      </c>
      <c r="B1296" s="75" t="s">
        <v>1148</v>
      </c>
      <c r="C1296" s="74" t="str">
        <f>IF($B1296&lt;&gt;"",_xlfn.IFNA(VLOOKUP($B1296,'Node Details'!$B:$U,C$1,0),"Check"),"")</f>
        <v>CM3070104-CM3070108</v>
      </c>
      <c r="D1296" s="74" t="str">
        <f>IF($B1296&lt;&gt;"",_xlfn.IFNA(VLOOKUP($B1296,'Node Details'!$B:$U,D$1,0),"Check"),"")</f>
        <v>CM3</v>
      </c>
      <c r="E1296" s="74" t="str">
        <f>IF($B1296&lt;&gt;"",_xlfn.IFNA(VLOOKUP($B1296,'Node Details'!$B:$U,E$1,0),"Check"),"")</f>
        <v>Airtel</v>
      </c>
      <c r="F1296" s="76">
        <v>46149</v>
      </c>
      <c r="G1296" s="74"/>
      <c r="H1296" s="10" t="s">
        <v>22</v>
      </c>
      <c r="I1296" s="9">
        <v>2</v>
      </c>
      <c r="J1296" s="9">
        <v>42</v>
      </c>
      <c r="K1296" s="77">
        <f t="shared" si="99"/>
        <v>84</v>
      </c>
      <c r="L1296" s="76">
        <v>46142</v>
      </c>
      <c r="N1296" s="83"/>
      <c r="O1296" s="84"/>
      <c r="P1296" s="81"/>
      <c r="Q1296" s="81"/>
      <c r="R1296" s="81"/>
      <c r="S1296" s="81"/>
      <c r="T1296" s="85"/>
      <c r="U1296" s="81"/>
      <c r="V1296" s="81"/>
      <c r="W1296" s="123">
        <f t="shared" si="98"/>
        <v>0</v>
      </c>
      <c r="X1296" s="123" t="s">
        <v>84</v>
      </c>
      <c r="Y1296" s="114" t="s">
        <v>1128</v>
      </c>
    </row>
    <row r="1297" spans="1:25" s="24" customFormat="1" ht="11.1" customHeight="1">
      <c r="A1297" s="74">
        <f t="shared" si="100"/>
        <v>1295</v>
      </c>
      <c r="B1297" s="75" t="s">
        <v>1149</v>
      </c>
      <c r="C1297" s="74" t="str">
        <f>IF($B1297&lt;&gt;"",_xlfn.IFNA(VLOOKUP($B1297,'Node Details'!$B:$U,C$1,0),"Check"),"")</f>
        <v>CM3070104-CM3070108</v>
      </c>
      <c r="D1297" s="74" t="str">
        <f>IF($B1297&lt;&gt;"",_xlfn.IFNA(VLOOKUP($B1297,'Node Details'!$B:$U,D$1,0),"Check"),"")</f>
        <v>CM3</v>
      </c>
      <c r="E1297" s="74" t="str">
        <f>IF($B1297&lt;&gt;"",_xlfn.IFNA(VLOOKUP($B1297,'Node Details'!$B:$U,E$1,0),"Check"),"")</f>
        <v>Airtel</v>
      </c>
      <c r="F1297" s="76">
        <v>46149</v>
      </c>
      <c r="G1297" s="74"/>
      <c r="H1297" s="10" t="s">
        <v>22</v>
      </c>
      <c r="I1297" s="9">
        <v>2</v>
      </c>
      <c r="J1297" s="9">
        <v>42</v>
      </c>
      <c r="K1297" s="77">
        <f t="shared" si="99"/>
        <v>84</v>
      </c>
      <c r="L1297" s="76">
        <v>46142</v>
      </c>
      <c r="N1297" s="83"/>
      <c r="O1297" s="84"/>
      <c r="P1297" s="81"/>
      <c r="Q1297" s="81"/>
      <c r="R1297" s="81"/>
      <c r="S1297" s="81"/>
      <c r="T1297" s="85"/>
      <c r="U1297" s="81"/>
      <c r="V1297" s="81"/>
      <c r="W1297" s="123">
        <f t="shared" si="98"/>
        <v>0</v>
      </c>
      <c r="X1297" s="123" t="s">
        <v>84</v>
      </c>
      <c r="Y1297" s="114" t="s">
        <v>1128</v>
      </c>
    </row>
    <row r="1298" spans="1:25" s="24" customFormat="1" ht="11.1" customHeight="1">
      <c r="A1298" s="74">
        <f t="shared" si="100"/>
        <v>1296</v>
      </c>
      <c r="B1298" s="75" t="s">
        <v>680</v>
      </c>
      <c r="C1298" s="74" t="str">
        <f>IF($B1298&lt;&gt;"",_xlfn.IFNA(VLOOKUP($B1298,'Node Details'!$B:$U,C$1,0),"Check"),"")</f>
        <v>CM3070104-CM3070108</v>
      </c>
      <c r="D1298" s="74" t="str">
        <f>IF($B1298&lt;&gt;"",_xlfn.IFNA(VLOOKUP($B1298,'Node Details'!$B:$U,D$1,0),"Check"),"")</f>
        <v>CM3</v>
      </c>
      <c r="E1298" s="74" t="str">
        <f>IF($B1298&lt;&gt;"",_xlfn.IFNA(VLOOKUP($B1298,'Node Details'!$B:$U,E$1,0),"Check"),"")</f>
        <v>Airtel</v>
      </c>
      <c r="F1298" s="76">
        <v>46149</v>
      </c>
      <c r="G1298" s="74"/>
      <c r="H1298" s="10" t="s">
        <v>22</v>
      </c>
      <c r="I1298" s="9">
        <v>2</v>
      </c>
      <c r="J1298" s="9">
        <v>42</v>
      </c>
      <c r="K1298" s="77">
        <f t="shared" si="99"/>
        <v>84</v>
      </c>
      <c r="L1298" s="76">
        <v>46142</v>
      </c>
      <c r="N1298" s="83"/>
      <c r="O1298" s="84"/>
      <c r="P1298" s="81"/>
      <c r="Q1298" s="81"/>
      <c r="R1298" s="81"/>
      <c r="S1298" s="81"/>
      <c r="T1298" s="85"/>
      <c r="U1298" s="81"/>
      <c r="V1298" s="81"/>
      <c r="W1298" s="123">
        <f t="shared" si="98"/>
        <v>0</v>
      </c>
      <c r="X1298" s="123" t="s">
        <v>84</v>
      </c>
      <c r="Y1298" s="114" t="s">
        <v>1128</v>
      </c>
    </row>
    <row r="1299" spans="1:25" s="24" customFormat="1" ht="11.1" customHeight="1">
      <c r="A1299" s="74">
        <f t="shared" si="100"/>
        <v>1297</v>
      </c>
      <c r="B1299" s="75" t="s">
        <v>685</v>
      </c>
      <c r="C1299" s="74" t="str">
        <f>IF($B1299&lt;&gt;"",_xlfn.IFNA(VLOOKUP($B1299,'Node Details'!$B:$U,C$1,0),"Check"),"")</f>
        <v>0000CM308-CM3080103</v>
      </c>
      <c r="D1299" s="74" t="str">
        <f>IF($B1299&lt;&gt;"",_xlfn.IFNA(VLOOKUP($B1299,'Node Details'!$B:$U,D$1,0),"Check"),"")</f>
        <v>CM3</v>
      </c>
      <c r="E1299" s="74" t="str">
        <f>IF($B1299&lt;&gt;"",_xlfn.IFNA(VLOOKUP($B1299,'Node Details'!$B:$U,E$1,0),"Check"),"")</f>
        <v>Airtel</v>
      </c>
      <c r="F1299" s="76">
        <v>46149</v>
      </c>
      <c r="G1299" s="74"/>
      <c r="H1299" s="10" t="s">
        <v>22</v>
      </c>
      <c r="I1299" s="9">
        <v>2</v>
      </c>
      <c r="J1299" s="9">
        <v>42</v>
      </c>
      <c r="K1299" s="77">
        <f t="shared" si="99"/>
        <v>84</v>
      </c>
      <c r="L1299" s="76">
        <v>46142</v>
      </c>
      <c r="N1299" s="83"/>
      <c r="O1299" s="84"/>
      <c r="P1299" s="81"/>
      <c r="Q1299" s="81"/>
      <c r="R1299" s="81"/>
      <c r="S1299" s="81"/>
      <c r="T1299" s="85"/>
      <c r="U1299" s="81"/>
      <c r="V1299" s="81"/>
      <c r="W1299" s="123">
        <f t="shared" si="98"/>
        <v>0</v>
      </c>
      <c r="X1299" s="123" t="s">
        <v>84</v>
      </c>
      <c r="Y1299" s="114" t="s">
        <v>1128</v>
      </c>
    </row>
    <row r="1300" spans="1:25" s="24" customFormat="1" ht="11.1" customHeight="1">
      <c r="A1300" s="74">
        <f t="shared" si="100"/>
        <v>1298</v>
      </c>
      <c r="B1300" s="75" t="s">
        <v>683</v>
      </c>
      <c r="C1300" s="74" t="str">
        <f>IF($B1300&lt;&gt;"",_xlfn.IFNA(VLOOKUP($B1300,'Node Details'!$B:$U,C$1,0),"Check"),"")</f>
        <v>0000CM308-CM3080103</v>
      </c>
      <c r="D1300" s="74" t="str">
        <f>IF($B1300&lt;&gt;"",_xlfn.IFNA(VLOOKUP($B1300,'Node Details'!$B:$U,D$1,0),"Check"),"")</f>
        <v>CM3</v>
      </c>
      <c r="E1300" s="74" t="str">
        <f>IF($B1300&lt;&gt;"",_xlfn.IFNA(VLOOKUP($B1300,'Node Details'!$B:$U,E$1,0),"Check"),"")</f>
        <v>Airtel</v>
      </c>
      <c r="F1300" s="76">
        <v>46149</v>
      </c>
      <c r="G1300" s="74"/>
      <c r="H1300" s="10" t="s">
        <v>22</v>
      </c>
      <c r="I1300" s="9">
        <v>2</v>
      </c>
      <c r="J1300" s="9">
        <v>42</v>
      </c>
      <c r="K1300" s="77">
        <f t="shared" si="99"/>
        <v>84</v>
      </c>
      <c r="L1300" s="76">
        <v>46142</v>
      </c>
      <c r="N1300" s="83"/>
      <c r="O1300" s="84"/>
      <c r="P1300" s="81"/>
      <c r="Q1300" s="81"/>
      <c r="R1300" s="81"/>
      <c r="S1300" s="81"/>
      <c r="T1300" s="85"/>
      <c r="U1300" s="81"/>
      <c r="V1300" s="81"/>
      <c r="W1300" s="123">
        <f t="shared" si="98"/>
        <v>0</v>
      </c>
      <c r="X1300" s="123" t="s">
        <v>84</v>
      </c>
      <c r="Y1300" s="114" t="s">
        <v>1128</v>
      </c>
    </row>
    <row r="1301" spans="1:25" s="24" customFormat="1" ht="11.1" customHeight="1">
      <c r="A1301" s="74">
        <f t="shared" si="100"/>
        <v>1299</v>
      </c>
      <c r="B1301" s="75" t="s">
        <v>686</v>
      </c>
      <c r="C1301" s="74" t="str">
        <f>IF($B1301&lt;&gt;"",_xlfn.IFNA(VLOOKUP($B1301,'Node Details'!$B:$U,C$1,0),"Check"),"")</f>
        <v>CM3080101-CM3080102</v>
      </c>
      <c r="D1301" s="74" t="str">
        <f>IF($B1301&lt;&gt;"",_xlfn.IFNA(VLOOKUP($B1301,'Node Details'!$B:$U,D$1,0),"Check"),"")</f>
        <v>CM3</v>
      </c>
      <c r="E1301" s="74" t="str">
        <f>IF($B1301&lt;&gt;"",_xlfn.IFNA(VLOOKUP($B1301,'Node Details'!$B:$U,E$1,0),"Check"),"")</f>
        <v>Airtel</v>
      </c>
      <c r="F1301" s="76">
        <v>46149</v>
      </c>
      <c r="G1301" s="74"/>
      <c r="H1301" s="10" t="s">
        <v>22</v>
      </c>
      <c r="I1301" s="9">
        <v>2</v>
      </c>
      <c r="J1301" s="9">
        <v>42</v>
      </c>
      <c r="K1301" s="77">
        <f t="shared" si="99"/>
        <v>84</v>
      </c>
      <c r="L1301" s="76">
        <v>46142</v>
      </c>
      <c r="N1301" s="83"/>
      <c r="O1301" s="84"/>
      <c r="P1301" s="81"/>
      <c r="Q1301" s="81"/>
      <c r="R1301" s="81"/>
      <c r="S1301" s="81"/>
      <c r="T1301" s="85"/>
      <c r="U1301" s="81"/>
      <c r="V1301" s="81"/>
      <c r="W1301" s="123">
        <f t="shared" si="98"/>
        <v>0</v>
      </c>
      <c r="X1301" s="123" t="s">
        <v>84</v>
      </c>
      <c r="Y1301" s="114" t="s">
        <v>1128</v>
      </c>
    </row>
    <row r="1302" spans="1:25" s="24" customFormat="1" ht="11.1" customHeight="1">
      <c r="A1302" s="74">
        <f t="shared" si="100"/>
        <v>1300</v>
      </c>
      <c r="B1302" s="75" t="s">
        <v>688</v>
      </c>
      <c r="C1302" s="74" t="str">
        <f>IF($B1302&lt;&gt;"",_xlfn.IFNA(VLOOKUP($B1302,'Node Details'!$B:$U,C$1,0),"Check"),"")</f>
        <v>CM3080101-CM3080104</v>
      </c>
      <c r="D1302" s="74" t="str">
        <f>IF($B1302&lt;&gt;"",_xlfn.IFNA(VLOOKUP($B1302,'Node Details'!$B:$U,D$1,0),"Check"),"")</f>
        <v>CM3</v>
      </c>
      <c r="E1302" s="74" t="str">
        <f>IF($B1302&lt;&gt;"",_xlfn.IFNA(VLOOKUP($B1302,'Node Details'!$B:$U,E$1,0),"Check"),"")</f>
        <v>Airtel</v>
      </c>
      <c r="F1302" s="76">
        <v>46149</v>
      </c>
      <c r="G1302" s="74"/>
      <c r="H1302" s="10" t="s">
        <v>22</v>
      </c>
      <c r="I1302" s="9">
        <v>2</v>
      </c>
      <c r="J1302" s="9">
        <v>42</v>
      </c>
      <c r="K1302" s="77">
        <f t="shared" si="99"/>
        <v>84</v>
      </c>
      <c r="L1302" s="76">
        <v>46142</v>
      </c>
      <c r="N1302" s="83"/>
      <c r="O1302" s="84"/>
      <c r="P1302" s="81"/>
      <c r="Q1302" s="81"/>
      <c r="R1302" s="81"/>
      <c r="S1302" s="81"/>
      <c r="T1302" s="85"/>
      <c r="U1302" s="81"/>
      <c r="V1302" s="81"/>
      <c r="W1302" s="123">
        <f t="shared" si="98"/>
        <v>0</v>
      </c>
      <c r="X1302" s="123" t="s">
        <v>84</v>
      </c>
      <c r="Y1302" s="114" t="s">
        <v>1128</v>
      </c>
    </row>
    <row r="1303" spans="1:25" s="24" customFormat="1" ht="11.1" customHeight="1">
      <c r="A1303" s="74">
        <f t="shared" si="100"/>
        <v>1301</v>
      </c>
      <c r="B1303" s="75" t="s">
        <v>1150</v>
      </c>
      <c r="C1303" s="74" t="str">
        <f>IF($B1303&lt;&gt;"",_xlfn.IFNA(VLOOKUP($B1303,'Node Details'!$B:$U,C$1,0),"Check"),"")</f>
        <v>CM3080101-CM3080108</v>
      </c>
      <c r="D1303" s="74" t="str">
        <f>IF($B1303&lt;&gt;"",_xlfn.IFNA(VLOOKUP($B1303,'Node Details'!$B:$U,D$1,0),"Check"),"")</f>
        <v>CM3</v>
      </c>
      <c r="E1303" s="74" t="str">
        <f>IF($B1303&lt;&gt;"",_xlfn.IFNA(VLOOKUP($B1303,'Node Details'!$B:$U,E$1,0),"Check"),"")</f>
        <v>Airtel</v>
      </c>
      <c r="F1303" s="76">
        <v>46149</v>
      </c>
      <c r="G1303" s="74"/>
      <c r="H1303" s="10" t="s">
        <v>22</v>
      </c>
      <c r="I1303" s="9">
        <v>2</v>
      </c>
      <c r="J1303" s="9">
        <v>42</v>
      </c>
      <c r="K1303" s="77">
        <f t="shared" si="99"/>
        <v>84</v>
      </c>
      <c r="L1303" s="76">
        <v>46142</v>
      </c>
      <c r="N1303" s="83"/>
      <c r="O1303" s="84"/>
      <c r="P1303" s="81"/>
      <c r="Q1303" s="81"/>
      <c r="R1303" s="81"/>
      <c r="S1303" s="81"/>
      <c r="T1303" s="85"/>
      <c r="U1303" s="81"/>
      <c r="V1303" s="81"/>
      <c r="W1303" s="123">
        <f t="shared" si="98"/>
        <v>0</v>
      </c>
      <c r="X1303" s="123" t="s">
        <v>84</v>
      </c>
      <c r="Y1303" s="114" t="s">
        <v>1128</v>
      </c>
    </row>
    <row r="1304" spans="1:25" s="24" customFormat="1" ht="11.1" customHeight="1">
      <c r="A1304" s="74">
        <f t="shared" si="100"/>
        <v>1302</v>
      </c>
      <c r="B1304" s="75" t="s">
        <v>1151</v>
      </c>
      <c r="C1304" s="74" t="str">
        <f>IF($B1304&lt;&gt;"",_xlfn.IFNA(VLOOKUP($B1304,'Node Details'!$B:$U,C$1,0),"Check"),"")</f>
        <v>CM3080101-CM3080108</v>
      </c>
      <c r="D1304" s="74" t="str">
        <f>IF($B1304&lt;&gt;"",_xlfn.IFNA(VLOOKUP($B1304,'Node Details'!$B:$U,D$1,0),"Check"),"")</f>
        <v>CM3</v>
      </c>
      <c r="E1304" s="74" t="str">
        <f>IF($B1304&lt;&gt;"",_xlfn.IFNA(VLOOKUP($B1304,'Node Details'!$B:$U,E$1,0),"Check"),"")</f>
        <v>Airtel</v>
      </c>
      <c r="F1304" s="76">
        <v>46149</v>
      </c>
      <c r="G1304" s="74"/>
      <c r="H1304" s="10" t="s">
        <v>22</v>
      </c>
      <c r="I1304" s="9">
        <v>2</v>
      </c>
      <c r="J1304" s="9">
        <v>42</v>
      </c>
      <c r="K1304" s="77">
        <f t="shared" si="99"/>
        <v>84</v>
      </c>
      <c r="L1304" s="76">
        <v>46142</v>
      </c>
      <c r="N1304" s="83"/>
      <c r="O1304" s="84"/>
      <c r="P1304" s="81"/>
      <c r="Q1304" s="81"/>
      <c r="R1304" s="81"/>
      <c r="S1304" s="81"/>
      <c r="T1304" s="85"/>
      <c r="U1304" s="81"/>
      <c r="V1304" s="81"/>
      <c r="W1304" s="123">
        <f t="shared" si="98"/>
        <v>0</v>
      </c>
      <c r="X1304" s="123" t="s">
        <v>84</v>
      </c>
      <c r="Y1304" s="114" t="s">
        <v>1128</v>
      </c>
    </row>
    <row r="1305" spans="1:25" s="24" customFormat="1" ht="11.1" customHeight="1">
      <c r="A1305" s="74">
        <f t="shared" si="100"/>
        <v>1303</v>
      </c>
      <c r="B1305" s="75" t="s">
        <v>1152</v>
      </c>
      <c r="C1305" s="74" t="str">
        <f>IF($B1305&lt;&gt;"",_xlfn.IFNA(VLOOKUP($B1305,'Node Details'!$B:$U,C$1,0),"Check"),"")</f>
        <v>CM3080101-CM3080108</v>
      </c>
      <c r="D1305" s="74" t="str">
        <f>IF($B1305&lt;&gt;"",_xlfn.IFNA(VLOOKUP($B1305,'Node Details'!$B:$U,D$1,0),"Check"),"")</f>
        <v>CM3</v>
      </c>
      <c r="E1305" s="74" t="str">
        <f>IF($B1305&lt;&gt;"",_xlfn.IFNA(VLOOKUP($B1305,'Node Details'!$B:$U,E$1,0),"Check"),"")</f>
        <v>Airtel</v>
      </c>
      <c r="F1305" s="76">
        <v>46149</v>
      </c>
      <c r="G1305" s="74"/>
      <c r="H1305" s="10" t="s">
        <v>22</v>
      </c>
      <c r="I1305" s="9">
        <v>2</v>
      </c>
      <c r="J1305" s="9">
        <v>42</v>
      </c>
      <c r="K1305" s="77">
        <f t="shared" si="99"/>
        <v>84</v>
      </c>
      <c r="L1305" s="76">
        <v>46142</v>
      </c>
      <c r="N1305" s="83"/>
      <c r="O1305" s="84"/>
      <c r="P1305" s="81"/>
      <c r="Q1305" s="81"/>
      <c r="R1305" s="81"/>
      <c r="S1305" s="81"/>
      <c r="T1305" s="85"/>
      <c r="U1305" s="81"/>
      <c r="V1305" s="81"/>
      <c r="W1305" s="123">
        <f t="shared" si="98"/>
        <v>0</v>
      </c>
      <c r="X1305" s="123" t="s">
        <v>84</v>
      </c>
      <c r="Y1305" s="114" t="s">
        <v>1128</v>
      </c>
    </row>
    <row r="1306" spans="1:25" s="24" customFormat="1" ht="11.1" customHeight="1">
      <c r="A1306" s="74">
        <f t="shared" si="100"/>
        <v>1304</v>
      </c>
      <c r="B1306" s="75" t="s">
        <v>690</v>
      </c>
      <c r="C1306" s="74" t="str">
        <f>IF($B1306&lt;&gt;"",_xlfn.IFNA(VLOOKUP($B1306,'Node Details'!$B:$U,C$1,0),"Check"),"")</f>
        <v>CM3080101-CM3080108</v>
      </c>
      <c r="D1306" s="74" t="str">
        <f>IF($B1306&lt;&gt;"",_xlfn.IFNA(VLOOKUP($B1306,'Node Details'!$B:$U,D$1,0),"Check"),"")</f>
        <v>CM3</v>
      </c>
      <c r="E1306" s="74" t="str">
        <f>IF($B1306&lt;&gt;"",_xlfn.IFNA(VLOOKUP($B1306,'Node Details'!$B:$U,E$1,0),"Check"),"")</f>
        <v>Airtel</v>
      </c>
      <c r="F1306" s="76">
        <v>46149</v>
      </c>
      <c r="G1306" s="74"/>
      <c r="H1306" s="10" t="s">
        <v>22</v>
      </c>
      <c r="I1306" s="9">
        <v>2</v>
      </c>
      <c r="J1306" s="9">
        <v>42</v>
      </c>
      <c r="K1306" s="77">
        <f t="shared" si="99"/>
        <v>84</v>
      </c>
      <c r="L1306" s="76">
        <v>46142</v>
      </c>
      <c r="N1306" s="83"/>
      <c r="O1306" s="84"/>
      <c r="P1306" s="81"/>
      <c r="Q1306" s="81"/>
      <c r="R1306" s="81"/>
      <c r="S1306" s="81"/>
      <c r="T1306" s="85"/>
      <c r="U1306" s="81"/>
      <c r="V1306" s="81"/>
      <c r="W1306" s="123">
        <f t="shared" si="98"/>
        <v>0</v>
      </c>
      <c r="X1306" s="123" t="s">
        <v>84</v>
      </c>
      <c r="Y1306" s="114" t="s">
        <v>1128</v>
      </c>
    </row>
    <row r="1307" spans="1:25" s="24" customFormat="1" ht="11.1" customHeight="1">
      <c r="A1307" s="74">
        <f t="shared" si="100"/>
        <v>1305</v>
      </c>
      <c r="B1307" s="75" t="s">
        <v>1153</v>
      </c>
      <c r="C1307" s="74" t="str">
        <f>IF($B1307&lt;&gt;"",_xlfn.IFNA(VLOOKUP($B1307,'Node Details'!$B:$U,C$1,0),"Check"),"")</f>
        <v>0000CM309-CM3090103</v>
      </c>
      <c r="D1307" s="74" t="str">
        <f>IF($B1307&lt;&gt;"",_xlfn.IFNA(VLOOKUP($B1307,'Node Details'!$B:$U,D$1,0),"Check"),"")</f>
        <v>CM3</v>
      </c>
      <c r="E1307" s="74" t="str">
        <f>IF($B1307&lt;&gt;"",_xlfn.IFNA(VLOOKUP($B1307,'Node Details'!$B:$U,E$1,0),"Check"),"")</f>
        <v>Airtel</v>
      </c>
      <c r="F1307" s="76">
        <v>46149</v>
      </c>
      <c r="G1307" s="74"/>
      <c r="H1307" s="10" t="s">
        <v>22</v>
      </c>
      <c r="I1307" s="9">
        <v>2</v>
      </c>
      <c r="J1307" s="9">
        <v>42</v>
      </c>
      <c r="K1307" s="77">
        <f t="shared" si="99"/>
        <v>84</v>
      </c>
      <c r="L1307" s="76">
        <v>46142</v>
      </c>
      <c r="N1307" s="83"/>
      <c r="O1307" s="84"/>
      <c r="P1307" s="81"/>
      <c r="Q1307" s="81"/>
      <c r="R1307" s="81"/>
      <c r="S1307" s="81"/>
      <c r="T1307" s="85"/>
      <c r="U1307" s="81"/>
      <c r="V1307" s="81"/>
      <c r="W1307" s="123">
        <f t="shared" si="98"/>
        <v>0</v>
      </c>
      <c r="X1307" s="123" t="s">
        <v>84</v>
      </c>
      <c r="Y1307" s="114" t="s">
        <v>1128</v>
      </c>
    </row>
    <row r="1308" spans="1:25" s="24" customFormat="1" ht="11.1" customHeight="1">
      <c r="A1308" s="74">
        <f t="shared" si="100"/>
        <v>1306</v>
      </c>
      <c r="B1308" s="75" t="s">
        <v>1154</v>
      </c>
      <c r="C1308" s="74" t="str">
        <f>IF($B1308&lt;&gt;"",_xlfn.IFNA(VLOOKUP($B1308,'Node Details'!$B:$U,C$1,0),"Check"),"")</f>
        <v>0000CM309-CM3090103</v>
      </c>
      <c r="D1308" s="74" t="str">
        <f>IF($B1308&lt;&gt;"",_xlfn.IFNA(VLOOKUP($B1308,'Node Details'!$B:$U,D$1,0),"Check"),"")</f>
        <v>CM3</v>
      </c>
      <c r="E1308" s="74" t="str">
        <f>IF($B1308&lt;&gt;"",_xlfn.IFNA(VLOOKUP($B1308,'Node Details'!$B:$U,E$1,0),"Check"),"")</f>
        <v>Airtel</v>
      </c>
      <c r="F1308" s="76">
        <v>46149</v>
      </c>
      <c r="G1308" s="74"/>
      <c r="H1308" s="10" t="s">
        <v>22</v>
      </c>
      <c r="I1308" s="9">
        <v>2</v>
      </c>
      <c r="J1308" s="9">
        <v>42</v>
      </c>
      <c r="K1308" s="77">
        <f t="shared" si="99"/>
        <v>84</v>
      </c>
      <c r="L1308" s="76">
        <v>46142</v>
      </c>
      <c r="N1308" s="83"/>
      <c r="O1308" s="84"/>
      <c r="P1308" s="81"/>
      <c r="Q1308" s="81"/>
      <c r="R1308" s="81"/>
      <c r="S1308" s="81"/>
      <c r="T1308" s="85"/>
      <c r="U1308" s="81"/>
      <c r="V1308" s="81"/>
      <c r="W1308" s="123">
        <f t="shared" si="98"/>
        <v>0</v>
      </c>
      <c r="X1308" s="123" t="s">
        <v>84</v>
      </c>
      <c r="Y1308" s="114" t="s">
        <v>1128</v>
      </c>
    </row>
    <row r="1309" spans="1:25" s="24" customFormat="1" ht="11.1" customHeight="1">
      <c r="A1309" s="74">
        <f t="shared" si="100"/>
        <v>1307</v>
      </c>
      <c r="B1309" s="75" t="s">
        <v>693</v>
      </c>
      <c r="C1309" s="74" t="str">
        <f>IF($B1309&lt;&gt;"",_xlfn.IFNA(VLOOKUP($B1309,'Node Details'!$B:$U,C$1,0),"Check"),"")</f>
        <v>0000CM309-CM3090103</v>
      </c>
      <c r="D1309" s="74" t="str">
        <f>IF($B1309&lt;&gt;"",_xlfn.IFNA(VLOOKUP($B1309,'Node Details'!$B:$U,D$1,0),"Check"),"")</f>
        <v>CM3</v>
      </c>
      <c r="E1309" s="74" t="str">
        <f>IF($B1309&lt;&gt;"",_xlfn.IFNA(VLOOKUP($B1309,'Node Details'!$B:$U,E$1,0),"Check"),"")</f>
        <v>Airtel</v>
      </c>
      <c r="F1309" s="76">
        <v>46149</v>
      </c>
      <c r="G1309" s="74"/>
      <c r="H1309" s="10" t="s">
        <v>22</v>
      </c>
      <c r="I1309" s="9">
        <v>2</v>
      </c>
      <c r="J1309" s="9">
        <v>42</v>
      </c>
      <c r="K1309" s="77">
        <f t="shared" si="99"/>
        <v>84</v>
      </c>
      <c r="L1309" s="76">
        <v>46142</v>
      </c>
      <c r="N1309" s="83"/>
      <c r="O1309" s="84"/>
      <c r="P1309" s="81"/>
      <c r="Q1309" s="81"/>
      <c r="R1309" s="81"/>
      <c r="S1309" s="81"/>
      <c r="T1309" s="85"/>
      <c r="U1309" s="81"/>
      <c r="V1309" s="81"/>
      <c r="W1309" s="123">
        <f t="shared" si="98"/>
        <v>0</v>
      </c>
      <c r="X1309" s="123" t="s">
        <v>84</v>
      </c>
      <c r="Y1309" s="114" t="s">
        <v>1128</v>
      </c>
    </row>
    <row r="1310" spans="1:25" s="24" customFormat="1" ht="11.1" customHeight="1">
      <c r="A1310" s="74">
        <f t="shared" si="100"/>
        <v>1308</v>
      </c>
      <c r="B1310" s="75" t="s">
        <v>695</v>
      </c>
      <c r="C1310" s="74" t="str">
        <f>IF($B1310&lt;&gt;"",_xlfn.IFNA(VLOOKUP($B1310,'Node Details'!$B:$U,C$1,0),"Check"),"")</f>
        <v>0000CM309-CM3090104</v>
      </c>
      <c r="D1310" s="74" t="str">
        <f>IF($B1310&lt;&gt;"",_xlfn.IFNA(VLOOKUP($B1310,'Node Details'!$B:$U,D$1,0),"Check"),"")</f>
        <v>CM3</v>
      </c>
      <c r="E1310" s="74" t="str">
        <f>IF($B1310&lt;&gt;"",_xlfn.IFNA(VLOOKUP($B1310,'Node Details'!$B:$U,E$1,0),"Check"),"")</f>
        <v>Airtel</v>
      </c>
      <c r="F1310" s="76">
        <v>46149</v>
      </c>
      <c r="G1310" s="74"/>
      <c r="H1310" s="10" t="s">
        <v>22</v>
      </c>
      <c r="I1310" s="9">
        <v>2</v>
      </c>
      <c r="J1310" s="9">
        <v>42</v>
      </c>
      <c r="K1310" s="77">
        <f t="shared" si="99"/>
        <v>84</v>
      </c>
      <c r="L1310" s="76">
        <v>46142</v>
      </c>
      <c r="N1310" s="83"/>
      <c r="O1310" s="84"/>
      <c r="P1310" s="81"/>
      <c r="Q1310" s="81"/>
      <c r="R1310" s="81"/>
      <c r="S1310" s="81"/>
      <c r="T1310" s="85"/>
      <c r="U1310" s="81"/>
      <c r="V1310" s="81"/>
      <c r="W1310" s="123">
        <f t="shared" si="98"/>
        <v>0</v>
      </c>
      <c r="X1310" s="123" t="s">
        <v>84</v>
      </c>
      <c r="Y1310" s="114" t="s">
        <v>1128</v>
      </c>
    </row>
    <row r="1311" spans="1:25" s="24" customFormat="1" ht="11.1" customHeight="1">
      <c r="A1311" s="74">
        <f t="shared" si="100"/>
        <v>1309</v>
      </c>
      <c r="B1311" s="75" t="s">
        <v>1155</v>
      </c>
      <c r="C1311" s="74" t="str">
        <f>IF($B1311&lt;&gt;"",_xlfn.IFNA(VLOOKUP($B1311,'Node Details'!$B:$U,C$1,0),"Check"),"")</f>
        <v>0000CM309-CM3090107</v>
      </c>
      <c r="D1311" s="74" t="str">
        <f>IF($B1311&lt;&gt;"",_xlfn.IFNA(VLOOKUP($B1311,'Node Details'!$B:$U,D$1,0),"Check"),"")</f>
        <v>CM3</v>
      </c>
      <c r="E1311" s="74" t="str">
        <f>IF($B1311&lt;&gt;"",_xlfn.IFNA(VLOOKUP($B1311,'Node Details'!$B:$U,E$1,0),"Check"),"")</f>
        <v>Airtel</v>
      </c>
      <c r="F1311" s="76">
        <v>46149</v>
      </c>
      <c r="G1311" s="74"/>
      <c r="H1311" s="10" t="s">
        <v>22</v>
      </c>
      <c r="I1311" s="9">
        <v>2</v>
      </c>
      <c r="J1311" s="9">
        <v>42</v>
      </c>
      <c r="K1311" s="77">
        <f t="shared" si="99"/>
        <v>84</v>
      </c>
      <c r="L1311" s="76">
        <v>46142</v>
      </c>
      <c r="N1311" s="83"/>
      <c r="O1311" s="84"/>
      <c r="P1311" s="81"/>
      <c r="Q1311" s="81"/>
      <c r="R1311" s="81"/>
      <c r="S1311" s="81"/>
      <c r="T1311" s="85"/>
      <c r="U1311" s="81"/>
      <c r="V1311" s="81"/>
      <c r="W1311" s="123">
        <f t="shared" si="98"/>
        <v>0</v>
      </c>
      <c r="X1311" s="123" t="s">
        <v>84</v>
      </c>
      <c r="Y1311" s="114" t="s">
        <v>1128</v>
      </c>
    </row>
    <row r="1312" spans="1:25" s="24" customFormat="1" ht="11.1" customHeight="1">
      <c r="A1312" s="74">
        <f t="shared" si="100"/>
        <v>1310</v>
      </c>
      <c r="B1312" s="75" t="s">
        <v>1156</v>
      </c>
      <c r="C1312" s="74" t="str">
        <f>IF($B1312&lt;&gt;"",_xlfn.IFNA(VLOOKUP($B1312,'Node Details'!$B:$U,C$1,0),"Check"),"")</f>
        <v>0000CM309-CM3090107</v>
      </c>
      <c r="D1312" s="74" t="str">
        <f>IF($B1312&lt;&gt;"",_xlfn.IFNA(VLOOKUP($B1312,'Node Details'!$B:$U,D$1,0),"Check"),"")</f>
        <v>CM3</v>
      </c>
      <c r="E1312" s="74" t="str">
        <f>IF($B1312&lt;&gt;"",_xlfn.IFNA(VLOOKUP($B1312,'Node Details'!$B:$U,E$1,0),"Check"),"")</f>
        <v>Airtel</v>
      </c>
      <c r="F1312" s="76">
        <v>46149</v>
      </c>
      <c r="G1312" s="74"/>
      <c r="H1312" s="10" t="s">
        <v>22</v>
      </c>
      <c r="I1312" s="9">
        <v>2</v>
      </c>
      <c r="J1312" s="9">
        <v>42</v>
      </c>
      <c r="K1312" s="77">
        <f t="shared" si="99"/>
        <v>84</v>
      </c>
      <c r="L1312" s="76">
        <v>46142</v>
      </c>
      <c r="N1312" s="83"/>
      <c r="O1312" s="84"/>
      <c r="P1312" s="81"/>
      <c r="Q1312" s="81"/>
      <c r="R1312" s="81"/>
      <c r="S1312" s="81"/>
      <c r="T1312" s="85"/>
      <c r="U1312" s="81"/>
      <c r="V1312" s="81"/>
      <c r="W1312" s="123">
        <f t="shared" si="98"/>
        <v>0</v>
      </c>
      <c r="X1312" s="123" t="s">
        <v>84</v>
      </c>
      <c r="Y1312" s="114" t="s">
        <v>1128</v>
      </c>
    </row>
    <row r="1313" spans="1:25" s="24" customFormat="1" ht="11.1" customHeight="1">
      <c r="A1313" s="74">
        <f t="shared" si="100"/>
        <v>1311</v>
      </c>
      <c r="B1313" s="75" t="s">
        <v>697</v>
      </c>
      <c r="C1313" s="74" t="str">
        <f>IF($B1313&lt;&gt;"",_xlfn.IFNA(VLOOKUP($B1313,'Node Details'!$B:$U,C$1,0),"Check"),"")</f>
        <v>0000CM309-CM3090107</v>
      </c>
      <c r="D1313" s="74" t="str">
        <f>IF($B1313&lt;&gt;"",_xlfn.IFNA(VLOOKUP($B1313,'Node Details'!$B:$U,D$1,0),"Check"),"")</f>
        <v>CM3</v>
      </c>
      <c r="E1313" s="74" t="str">
        <f>IF($B1313&lt;&gt;"",_xlfn.IFNA(VLOOKUP($B1313,'Node Details'!$B:$U,E$1,0),"Check"),"")</f>
        <v>Airtel</v>
      </c>
      <c r="F1313" s="76">
        <v>46149</v>
      </c>
      <c r="G1313" s="74"/>
      <c r="H1313" s="10" t="s">
        <v>22</v>
      </c>
      <c r="I1313" s="9">
        <v>2</v>
      </c>
      <c r="J1313" s="9">
        <v>42</v>
      </c>
      <c r="K1313" s="77">
        <f t="shared" si="99"/>
        <v>84</v>
      </c>
      <c r="L1313" s="76">
        <v>46142</v>
      </c>
      <c r="N1313" s="83"/>
      <c r="O1313" s="84"/>
      <c r="P1313" s="81"/>
      <c r="Q1313" s="81"/>
      <c r="R1313" s="81"/>
      <c r="S1313" s="81"/>
      <c r="T1313" s="85"/>
      <c r="U1313" s="81"/>
      <c r="V1313" s="81"/>
      <c r="W1313" s="123">
        <f t="shared" si="98"/>
        <v>0</v>
      </c>
      <c r="X1313" s="123" t="s">
        <v>84</v>
      </c>
      <c r="Y1313" s="114" t="s">
        <v>1128</v>
      </c>
    </row>
    <row r="1314" spans="1:25" s="24" customFormat="1" ht="11.1" customHeight="1">
      <c r="A1314" s="74">
        <f t="shared" si="100"/>
        <v>1312</v>
      </c>
      <c r="B1314" s="75" t="s">
        <v>699</v>
      </c>
      <c r="C1314" s="74" t="str">
        <f>IF($B1314&lt;&gt;"",_xlfn.IFNA(VLOOKUP($B1314,'Node Details'!$B:$U,C$1,0),"Check"),"")</f>
        <v>0000CM310-CM3100104</v>
      </c>
      <c r="D1314" s="74" t="str">
        <f>IF($B1314&lt;&gt;"",_xlfn.IFNA(VLOOKUP($B1314,'Node Details'!$B:$U,D$1,0),"Check"),"")</f>
        <v>CM3</v>
      </c>
      <c r="E1314" s="74" t="str">
        <f>IF($B1314&lt;&gt;"",_xlfn.IFNA(VLOOKUP($B1314,'Node Details'!$B:$U,E$1,0),"Check"),"")</f>
        <v>Airtel</v>
      </c>
      <c r="F1314" s="76">
        <v>46149</v>
      </c>
      <c r="G1314" s="74"/>
      <c r="H1314" s="10" t="s">
        <v>22</v>
      </c>
      <c r="I1314" s="9">
        <v>2</v>
      </c>
      <c r="J1314" s="9">
        <v>42</v>
      </c>
      <c r="K1314" s="77">
        <f t="shared" si="99"/>
        <v>84</v>
      </c>
      <c r="L1314" s="76">
        <v>46142</v>
      </c>
      <c r="N1314" s="83"/>
      <c r="O1314" s="84"/>
      <c r="P1314" s="81"/>
      <c r="Q1314" s="81"/>
      <c r="R1314" s="81"/>
      <c r="S1314" s="81"/>
      <c r="T1314" s="85"/>
      <c r="U1314" s="81"/>
      <c r="V1314" s="81"/>
      <c r="W1314" s="123">
        <f t="shared" si="98"/>
        <v>0</v>
      </c>
      <c r="X1314" s="123" t="s">
        <v>84</v>
      </c>
      <c r="Y1314" s="114" t="s">
        <v>1128</v>
      </c>
    </row>
    <row r="1315" spans="1:25" s="24" customFormat="1" ht="11.1" customHeight="1">
      <c r="A1315" s="74">
        <f t="shared" si="100"/>
        <v>1313</v>
      </c>
      <c r="B1315" s="75" t="s">
        <v>1157</v>
      </c>
      <c r="C1315" s="74" t="str">
        <f>IF($B1315&lt;&gt;"",_xlfn.IFNA(VLOOKUP($B1315,'Node Details'!$B:$U,C$1,0),"Check"),"")</f>
        <v>0000CM310-CM3100103</v>
      </c>
      <c r="D1315" s="74" t="str">
        <f>IF($B1315&lt;&gt;"",_xlfn.IFNA(VLOOKUP($B1315,'Node Details'!$B:$U,D$1,0),"Check"),"")</f>
        <v>CM3</v>
      </c>
      <c r="E1315" s="74" t="str">
        <f>IF($B1315&lt;&gt;"",_xlfn.IFNA(VLOOKUP($B1315,'Node Details'!$B:$U,E$1,0),"Check"),"")</f>
        <v>Airtel</v>
      </c>
      <c r="F1315" s="76">
        <v>46149</v>
      </c>
      <c r="G1315" s="74"/>
      <c r="H1315" s="10" t="s">
        <v>22</v>
      </c>
      <c r="I1315" s="9">
        <v>2</v>
      </c>
      <c r="J1315" s="9">
        <v>42</v>
      </c>
      <c r="K1315" s="77">
        <f t="shared" si="99"/>
        <v>84</v>
      </c>
      <c r="L1315" s="76">
        <v>46142</v>
      </c>
      <c r="N1315" s="83"/>
      <c r="O1315" s="84"/>
      <c r="P1315" s="81"/>
      <c r="Q1315" s="81"/>
      <c r="R1315" s="81"/>
      <c r="S1315" s="81"/>
      <c r="T1315" s="85"/>
      <c r="U1315" s="81"/>
      <c r="V1315" s="81"/>
      <c r="W1315" s="123">
        <f t="shared" si="98"/>
        <v>0</v>
      </c>
      <c r="X1315" s="123" t="s">
        <v>84</v>
      </c>
      <c r="Y1315" s="114" t="s">
        <v>1128</v>
      </c>
    </row>
    <row r="1316" spans="1:25" s="24" customFormat="1" ht="11.1" customHeight="1">
      <c r="A1316" s="74">
        <f t="shared" si="100"/>
        <v>1314</v>
      </c>
      <c r="B1316" s="75" t="s">
        <v>1158</v>
      </c>
      <c r="C1316" s="74" t="str">
        <f>IF($B1316&lt;&gt;"",_xlfn.IFNA(VLOOKUP($B1316,'Node Details'!$B:$U,C$1,0),"Check"),"")</f>
        <v>0000CM310-CM3100103</v>
      </c>
      <c r="D1316" s="74" t="str">
        <f>IF($B1316&lt;&gt;"",_xlfn.IFNA(VLOOKUP($B1316,'Node Details'!$B:$U,D$1,0),"Check"),"")</f>
        <v>CM3</v>
      </c>
      <c r="E1316" s="74" t="str">
        <f>IF($B1316&lt;&gt;"",_xlfn.IFNA(VLOOKUP($B1316,'Node Details'!$B:$U,E$1,0),"Check"),"")</f>
        <v>Airtel</v>
      </c>
      <c r="F1316" s="76">
        <v>46149</v>
      </c>
      <c r="G1316" s="74"/>
      <c r="H1316" s="10" t="s">
        <v>22</v>
      </c>
      <c r="I1316" s="9">
        <v>2</v>
      </c>
      <c r="J1316" s="9">
        <v>42</v>
      </c>
      <c r="K1316" s="77">
        <f t="shared" si="99"/>
        <v>84</v>
      </c>
      <c r="L1316" s="76">
        <v>46142</v>
      </c>
      <c r="N1316" s="83"/>
      <c r="O1316" s="84"/>
      <c r="P1316" s="81"/>
      <c r="Q1316" s="81"/>
      <c r="R1316" s="81"/>
      <c r="S1316" s="81"/>
      <c r="T1316" s="85"/>
      <c r="U1316" s="81"/>
      <c r="V1316" s="81"/>
      <c r="W1316" s="123">
        <f t="shared" si="98"/>
        <v>0</v>
      </c>
      <c r="X1316" s="123" t="s">
        <v>84</v>
      </c>
      <c r="Y1316" s="114" t="s">
        <v>1128</v>
      </c>
    </row>
    <row r="1317" spans="1:25" s="24" customFormat="1" ht="11.1" customHeight="1">
      <c r="A1317" s="74">
        <f t="shared" si="100"/>
        <v>1315</v>
      </c>
      <c r="B1317" s="75" t="s">
        <v>701</v>
      </c>
      <c r="C1317" s="74" t="str">
        <f>IF($B1317&lt;&gt;"",_xlfn.IFNA(VLOOKUP($B1317,'Node Details'!$B:$U,C$1,0),"Check"),"")</f>
        <v>0000CM310-CM3100103</v>
      </c>
      <c r="D1317" s="74" t="str">
        <f>IF($B1317&lt;&gt;"",_xlfn.IFNA(VLOOKUP($B1317,'Node Details'!$B:$U,D$1,0),"Check"),"")</f>
        <v>CM3</v>
      </c>
      <c r="E1317" s="74" t="str">
        <f>IF($B1317&lt;&gt;"",_xlfn.IFNA(VLOOKUP($B1317,'Node Details'!$B:$U,E$1,0),"Check"),"")</f>
        <v>Airtel</v>
      </c>
      <c r="F1317" s="76">
        <v>46149</v>
      </c>
      <c r="G1317" s="74"/>
      <c r="H1317" s="10" t="s">
        <v>22</v>
      </c>
      <c r="I1317" s="9">
        <v>2</v>
      </c>
      <c r="J1317" s="9">
        <v>42</v>
      </c>
      <c r="K1317" s="77">
        <f t="shared" si="99"/>
        <v>84</v>
      </c>
      <c r="L1317" s="76">
        <v>46142</v>
      </c>
      <c r="N1317" s="83"/>
      <c r="O1317" s="84"/>
      <c r="P1317" s="81"/>
      <c r="Q1317" s="81"/>
      <c r="R1317" s="81"/>
      <c r="S1317" s="81"/>
      <c r="T1317" s="85"/>
      <c r="U1317" s="81"/>
      <c r="V1317" s="81"/>
      <c r="W1317" s="123">
        <f t="shared" si="98"/>
        <v>0</v>
      </c>
      <c r="X1317" s="123" t="s">
        <v>84</v>
      </c>
      <c r="Y1317" s="114" t="s">
        <v>1128</v>
      </c>
    </row>
    <row r="1318" spans="1:25" s="24" customFormat="1" ht="11.1" customHeight="1">
      <c r="A1318" s="74">
        <f t="shared" si="100"/>
        <v>1316</v>
      </c>
      <c r="B1318" s="75" t="s">
        <v>1159</v>
      </c>
      <c r="C1318" s="74" t="str">
        <f>IF($B1318&lt;&gt;"",_xlfn.IFNA(VLOOKUP($B1318,'Node Details'!$B:$U,C$1,0),"Check"),"")</f>
        <v>0000CM310-CM3100106</v>
      </c>
      <c r="D1318" s="74" t="str">
        <f>IF($B1318&lt;&gt;"",_xlfn.IFNA(VLOOKUP($B1318,'Node Details'!$B:$U,D$1,0),"Check"),"")</f>
        <v>CM3</v>
      </c>
      <c r="E1318" s="74" t="str">
        <f>IF($B1318&lt;&gt;"",_xlfn.IFNA(VLOOKUP($B1318,'Node Details'!$B:$U,E$1,0),"Check"),"")</f>
        <v>Airtel</v>
      </c>
      <c r="F1318" s="76">
        <v>46149</v>
      </c>
      <c r="G1318" s="74"/>
      <c r="H1318" s="10" t="s">
        <v>22</v>
      </c>
      <c r="I1318" s="9">
        <v>2</v>
      </c>
      <c r="J1318" s="9">
        <v>42</v>
      </c>
      <c r="K1318" s="77">
        <f t="shared" si="99"/>
        <v>84</v>
      </c>
      <c r="L1318" s="76">
        <v>46142</v>
      </c>
      <c r="N1318" s="83"/>
      <c r="O1318" s="84"/>
      <c r="P1318" s="81"/>
      <c r="Q1318" s="81"/>
      <c r="R1318" s="81"/>
      <c r="S1318" s="81"/>
      <c r="T1318" s="85"/>
      <c r="U1318" s="81"/>
      <c r="V1318" s="81"/>
      <c r="W1318" s="123">
        <f t="shared" si="98"/>
        <v>0</v>
      </c>
      <c r="X1318" s="123" t="s">
        <v>84</v>
      </c>
      <c r="Y1318" s="114" t="s">
        <v>1128</v>
      </c>
    </row>
    <row r="1319" spans="1:25" s="24" customFormat="1" ht="11.1" customHeight="1">
      <c r="A1319" s="74">
        <f t="shared" si="100"/>
        <v>1317</v>
      </c>
      <c r="B1319" s="75" t="s">
        <v>703</v>
      </c>
      <c r="C1319" s="74" t="str">
        <f>IF($B1319&lt;&gt;"",_xlfn.IFNA(VLOOKUP($B1319,'Node Details'!$B:$U,C$1,0),"Check"),"")</f>
        <v>0000CM310-CM3100106</v>
      </c>
      <c r="D1319" s="74" t="str">
        <f>IF($B1319&lt;&gt;"",_xlfn.IFNA(VLOOKUP($B1319,'Node Details'!$B:$U,D$1,0),"Check"),"")</f>
        <v>CM3</v>
      </c>
      <c r="E1319" s="74" t="str">
        <f>IF($B1319&lt;&gt;"",_xlfn.IFNA(VLOOKUP($B1319,'Node Details'!$B:$U,E$1,0),"Check"),"")</f>
        <v>Airtel</v>
      </c>
      <c r="F1319" s="76">
        <v>46149</v>
      </c>
      <c r="G1319" s="74"/>
      <c r="H1319" s="10" t="s">
        <v>22</v>
      </c>
      <c r="I1319" s="9">
        <v>2</v>
      </c>
      <c r="J1319" s="9">
        <v>42</v>
      </c>
      <c r="K1319" s="77">
        <f t="shared" si="99"/>
        <v>84</v>
      </c>
      <c r="L1319" s="76">
        <v>46142</v>
      </c>
      <c r="N1319" s="83"/>
      <c r="O1319" s="84"/>
      <c r="P1319" s="81"/>
      <c r="Q1319" s="81"/>
      <c r="R1319" s="81"/>
      <c r="S1319" s="81"/>
      <c r="T1319" s="85"/>
      <c r="U1319" s="81"/>
      <c r="V1319" s="81"/>
      <c r="W1319" s="123">
        <f t="shared" si="98"/>
        <v>0</v>
      </c>
      <c r="X1319" s="123" t="s">
        <v>84</v>
      </c>
      <c r="Y1319" s="114" t="s">
        <v>1128</v>
      </c>
    </row>
    <row r="1320" spans="1:25" s="24" customFormat="1" ht="11.1" customHeight="1">
      <c r="A1320" s="74">
        <f t="shared" si="100"/>
        <v>1318</v>
      </c>
      <c r="B1320" s="75" t="s">
        <v>706</v>
      </c>
      <c r="C1320" s="74" t="str">
        <f>IF($B1320&lt;&gt;"",_xlfn.IFNA(VLOOKUP($B1320,'Node Details'!$B:$U,C$1,0),"Check"),"")</f>
        <v>0000CM311-CM3110101</v>
      </c>
      <c r="D1320" s="74" t="str">
        <f>IF($B1320&lt;&gt;"",_xlfn.IFNA(VLOOKUP($B1320,'Node Details'!$B:$U,D$1,0),"Check"),"")</f>
        <v>CM3</v>
      </c>
      <c r="E1320" s="74" t="str">
        <f>IF($B1320&lt;&gt;"",_xlfn.IFNA(VLOOKUP($B1320,'Node Details'!$B:$U,E$1,0),"Check"),"")</f>
        <v>Airtel</v>
      </c>
      <c r="F1320" s="76">
        <v>46149</v>
      </c>
      <c r="G1320" s="74"/>
      <c r="H1320" s="10" t="s">
        <v>22</v>
      </c>
      <c r="I1320" s="9">
        <v>2</v>
      </c>
      <c r="J1320" s="9">
        <v>42</v>
      </c>
      <c r="K1320" s="77">
        <f t="shared" si="99"/>
        <v>84</v>
      </c>
      <c r="L1320" s="76">
        <v>46142</v>
      </c>
      <c r="N1320" s="83"/>
      <c r="O1320" s="84"/>
      <c r="P1320" s="81"/>
      <c r="Q1320" s="81"/>
      <c r="R1320" s="81"/>
      <c r="S1320" s="81"/>
      <c r="T1320" s="85"/>
      <c r="U1320" s="81"/>
      <c r="V1320" s="81"/>
      <c r="W1320" s="123">
        <f t="shared" si="98"/>
        <v>0</v>
      </c>
      <c r="X1320" s="123" t="s">
        <v>84</v>
      </c>
      <c r="Y1320" s="114" t="s">
        <v>1128</v>
      </c>
    </row>
    <row r="1321" spans="1:25" s="24" customFormat="1" ht="11.1" customHeight="1">
      <c r="A1321" s="74">
        <f t="shared" si="100"/>
        <v>1319</v>
      </c>
      <c r="B1321" s="75" t="s">
        <v>1160</v>
      </c>
      <c r="C1321" s="74" t="str">
        <f>IF($B1321&lt;&gt;"",_xlfn.IFNA(VLOOKUP($B1321,'Node Details'!$B:$U,C$1,0),"Check"),"")</f>
        <v>0000CM311-CM3110103</v>
      </c>
      <c r="D1321" s="74" t="str">
        <f>IF($B1321&lt;&gt;"",_xlfn.IFNA(VLOOKUP($B1321,'Node Details'!$B:$U,D$1,0),"Check"),"")</f>
        <v>CM3</v>
      </c>
      <c r="E1321" s="74" t="str">
        <f>IF($B1321&lt;&gt;"",_xlfn.IFNA(VLOOKUP($B1321,'Node Details'!$B:$U,E$1,0),"Check"),"")</f>
        <v>Airtel</v>
      </c>
      <c r="F1321" s="76">
        <v>46149</v>
      </c>
      <c r="G1321" s="74"/>
      <c r="H1321" s="10" t="s">
        <v>22</v>
      </c>
      <c r="I1321" s="9">
        <v>2</v>
      </c>
      <c r="J1321" s="9">
        <v>42</v>
      </c>
      <c r="K1321" s="77">
        <f t="shared" si="99"/>
        <v>84</v>
      </c>
      <c r="L1321" s="76">
        <v>46142</v>
      </c>
      <c r="N1321" s="83"/>
      <c r="O1321" s="84"/>
      <c r="P1321" s="81"/>
      <c r="Q1321" s="81"/>
      <c r="R1321" s="81"/>
      <c r="S1321" s="81"/>
      <c r="T1321" s="85"/>
      <c r="U1321" s="81"/>
      <c r="V1321" s="81"/>
      <c r="W1321" s="123">
        <f t="shared" si="98"/>
        <v>0</v>
      </c>
      <c r="X1321" s="123" t="s">
        <v>84</v>
      </c>
      <c r="Y1321" s="114" t="s">
        <v>1128</v>
      </c>
    </row>
    <row r="1322" spans="1:25" s="24" customFormat="1" ht="11.1" customHeight="1">
      <c r="A1322" s="74">
        <f t="shared" si="100"/>
        <v>1320</v>
      </c>
      <c r="B1322" s="75" t="s">
        <v>708</v>
      </c>
      <c r="C1322" s="74" t="str">
        <f>IF($B1322&lt;&gt;"",_xlfn.IFNA(VLOOKUP($B1322,'Node Details'!$B:$U,C$1,0),"Check"),"")</f>
        <v>0000CM311-CM3110103</v>
      </c>
      <c r="D1322" s="74" t="str">
        <f>IF($B1322&lt;&gt;"",_xlfn.IFNA(VLOOKUP($B1322,'Node Details'!$B:$U,D$1,0),"Check"),"")</f>
        <v>CM3</v>
      </c>
      <c r="E1322" s="74" t="str">
        <f>IF($B1322&lt;&gt;"",_xlfn.IFNA(VLOOKUP($B1322,'Node Details'!$B:$U,E$1,0),"Check"),"")</f>
        <v>Airtel</v>
      </c>
      <c r="F1322" s="76">
        <v>46149</v>
      </c>
      <c r="G1322" s="74"/>
      <c r="H1322" s="10" t="s">
        <v>22</v>
      </c>
      <c r="I1322" s="9">
        <v>2</v>
      </c>
      <c r="J1322" s="9">
        <v>42</v>
      </c>
      <c r="K1322" s="77">
        <f t="shared" si="99"/>
        <v>84</v>
      </c>
      <c r="L1322" s="76">
        <v>46142</v>
      </c>
      <c r="N1322" s="83"/>
      <c r="O1322" s="84"/>
      <c r="P1322" s="81"/>
      <c r="Q1322" s="81"/>
      <c r="R1322" s="81"/>
      <c r="S1322" s="81"/>
      <c r="T1322" s="85"/>
      <c r="U1322" s="81"/>
      <c r="V1322" s="81"/>
      <c r="W1322" s="123">
        <f t="shared" si="98"/>
        <v>0</v>
      </c>
      <c r="X1322" s="123" t="s">
        <v>84</v>
      </c>
      <c r="Y1322" s="114" t="s">
        <v>1128</v>
      </c>
    </row>
    <row r="1323" spans="1:25" s="24" customFormat="1" ht="11.1" customHeight="1">
      <c r="A1323" s="74">
        <f t="shared" si="100"/>
        <v>1321</v>
      </c>
      <c r="B1323" s="75" t="s">
        <v>1161</v>
      </c>
      <c r="C1323" s="74" t="str">
        <f>IF($B1323&lt;&gt;"",_xlfn.IFNA(VLOOKUP($B1323,'Node Details'!$B:$U,C$1,0),"Check"),"")</f>
        <v>0000CM311-CM3110107</v>
      </c>
      <c r="D1323" s="74" t="str">
        <f>IF($B1323&lt;&gt;"",_xlfn.IFNA(VLOOKUP($B1323,'Node Details'!$B:$U,D$1,0),"Check"),"")</f>
        <v>CM3</v>
      </c>
      <c r="E1323" s="74" t="str">
        <f>IF($B1323&lt;&gt;"",_xlfn.IFNA(VLOOKUP($B1323,'Node Details'!$B:$U,E$1,0),"Check"),"")</f>
        <v>Airtel</v>
      </c>
      <c r="F1323" s="76">
        <v>46149</v>
      </c>
      <c r="G1323" s="74"/>
      <c r="H1323" s="10" t="s">
        <v>22</v>
      </c>
      <c r="I1323" s="9">
        <v>2</v>
      </c>
      <c r="J1323" s="9">
        <v>42</v>
      </c>
      <c r="K1323" s="77">
        <f t="shared" si="99"/>
        <v>84</v>
      </c>
      <c r="L1323" s="76">
        <v>46142</v>
      </c>
      <c r="N1323" s="83"/>
      <c r="O1323" s="84"/>
      <c r="P1323" s="81"/>
      <c r="Q1323" s="81"/>
      <c r="R1323" s="81"/>
      <c r="S1323" s="81"/>
      <c r="T1323" s="85"/>
      <c r="U1323" s="81"/>
      <c r="V1323" s="81"/>
      <c r="W1323" s="123">
        <f t="shared" si="98"/>
        <v>0</v>
      </c>
      <c r="X1323" s="123" t="s">
        <v>84</v>
      </c>
      <c r="Y1323" s="114" t="s">
        <v>1128</v>
      </c>
    </row>
    <row r="1324" spans="1:25" s="24" customFormat="1" ht="11.1" customHeight="1">
      <c r="A1324" s="74">
        <f t="shared" si="100"/>
        <v>1322</v>
      </c>
      <c r="B1324" s="75" t="s">
        <v>1162</v>
      </c>
      <c r="C1324" s="74" t="str">
        <f>IF($B1324&lt;&gt;"",_xlfn.IFNA(VLOOKUP($B1324,'Node Details'!$B:$U,C$1,0),"Check"),"")</f>
        <v>0000CM311-CM3110107</v>
      </c>
      <c r="D1324" s="74" t="str">
        <f>IF($B1324&lt;&gt;"",_xlfn.IFNA(VLOOKUP($B1324,'Node Details'!$B:$U,D$1,0),"Check"),"")</f>
        <v>CM3</v>
      </c>
      <c r="E1324" s="74" t="str">
        <f>IF($B1324&lt;&gt;"",_xlfn.IFNA(VLOOKUP($B1324,'Node Details'!$B:$U,E$1,0),"Check"),"")</f>
        <v>Airtel</v>
      </c>
      <c r="F1324" s="76">
        <v>46149</v>
      </c>
      <c r="G1324" s="74"/>
      <c r="H1324" s="10" t="s">
        <v>22</v>
      </c>
      <c r="I1324" s="9">
        <v>2</v>
      </c>
      <c r="J1324" s="9">
        <v>42</v>
      </c>
      <c r="K1324" s="77">
        <f t="shared" si="99"/>
        <v>84</v>
      </c>
      <c r="L1324" s="76">
        <v>46142</v>
      </c>
      <c r="N1324" s="83"/>
      <c r="O1324" s="84"/>
      <c r="P1324" s="81"/>
      <c r="Q1324" s="81"/>
      <c r="R1324" s="81"/>
      <c r="S1324" s="81"/>
      <c r="T1324" s="85"/>
      <c r="U1324" s="81"/>
      <c r="V1324" s="81"/>
      <c r="W1324" s="123">
        <f t="shared" si="98"/>
        <v>0</v>
      </c>
      <c r="X1324" s="123" t="s">
        <v>84</v>
      </c>
      <c r="Y1324" s="114" t="s">
        <v>1128</v>
      </c>
    </row>
    <row r="1325" spans="1:25" s="24" customFormat="1" ht="11.1" customHeight="1">
      <c r="A1325" s="74">
        <f t="shared" si="100"/>
        <v>1323</v>
      </c>
      <c r="B1325" s="75" t="s">
        <v>1163</v>
      </c>
      <c r="C1325" s="74" t="str">
        <f>IF($B1325&lt;&gt;"",_xlfn.IFNA(VLOOKUP($B1325,'Node Details'!$B:$U,C$1,0),"Check"),"")</f>
        <v>0000CM311-CM3110107</v>
      </c>
      <c r="D1325" s="74" t="str">
        <f>IF($B1325&lt;&gt;"",_xlfn.IFNA(VLOOKUP($B1325,'Node Details'!$B:$U,D$1,0),"Check"),"")</f>
        <v>CM3</v>
      </c>
      <c r="E1325" s="74" t="str">
        <f>IF($B1325&lt;&gt;"",_xlfn.IFNA(VLOOKUP($B1325,'Node Details'!$B:$U,E$1,0),"Check"),"")</f>
        <v>Airtel</v>
      </c>
      <c r="F1325" s="76">
        <v>46149</v>
      </c>
      <c r="G1325" s="74"/>
      <c r="H1325" s="10" t="s">
        <v>22</v>
      </c>
      <c r="I1325" s="9">
        <v>2</v>
      </c>
      <c r="J1325" s="9">
        <v>42</v>
      </c>
      <c r="K1325" s="77">
        <f t="shared" si="99"/>
        <v>84</v>
      </c>
      <c r="L1325" s="76">
        <v>46142</v>
      </c>
      <c r="N1325" s="83"/>
      <c r="O1325" s="84"/>
      <c r="P1325" s="81"/>
      <c r="Q1325" s="81"/>
      <c r="R1325" s="81"/>
      <c r="S1325" s="81"/>
      <c r="T1325" s="85"/>
      <c r="U1325" s="81"/>
      <c r="V1325" s="81"/>
      <c r="W1325" s="123">
        <f t="shared" si="98"/>
        <v>0</v>
      </c>
      <c r="X1325" s="123" t="s">
        <v>84</v>
      </c>
      <c r="Y1325" s="114" t="s">
        <v>1128</v>
      </c>
    </row>
    <row r="1326" spans="1:25" s="24" customFormat="1" ht="11.1" customHeight="1">
      <c r="A1326" s="74">
        <f t="shared" si="100"/>
        <v>1324</v>
      </c>
      <c r="B1326" s="75" t="s">
        <v>710</v>
      </c>
      <c r="C1326" s="74" t="str">
        <f>IF($B1326&lt;&gt;"",_xlfn.IFNA(VLOOKUP($B1326,'Node Details'!$B:$U,C$1,0),"Check"),"")</f>
        <v>0000CM311-CM3110107</v>
      </c>
      <c r="D1326" s="74" t="str">
        <f>IF($B1326&lt;&gt;"",_xlfn.IFNA(VLOOKUP($B1326,'Node Details'!$B:$U,D$1,0),"Check"),"")</f>
        <v>CM3</v>
      </c>
      <c r="E1326" s="74" t="str">
        <f>IF($B1326&lt;&gt;"",_xlfn.IFNA(VLOOKUP($B1326,'Node Details'!$B:$U,E$1,0),"Check"),"")</f>
        <v>Airtel</v>
      </c>
      <c r="F1326" s="76">
        <v>46149</v>
      </c>
      <c r="G1326" s="74"/>
      <c r="H1326" s="10" t="s">
        <v>22</v>
      </c>
      <c r="I1326" s="9">
        <v>2</v>
      </c>
      <c r="J1326" s="9">
        <v>42</v>
      </c>
      <c r="K1326" s="77">
        <f t="shared" si="99"/>
        <v>84</v>
      </c>
      <c r="L1326" s="76">
        <v>46142</v>
      </c>
      <c r="N1326" s="83"/>
      <c r="O1326" s="84"/>
      <c r="P1326" s="81"/>
      <c r="Q1326" s="81"/>
      <c r="R1326" s="81"/>
      <c r="S1326" s="81"/>
      <c r="T1326" s="85"/>
      <c r="U1326" s="81"/>
      <c r="V1326" s="81"/>
      <c r="W1326" s="123">
        <f t="shared" si="98"/>
        <v>0</v>
      </c>
      <c r="X1326" s="123" t="s">
        <v>84</v>
      </c>
      <c r="Y1326" s="114" t="s">
        <v>1128</v>
      </c>
    </row>
    <row r="1327" spans="1:25" s="24" customFormat="1" ht="11.1" customHeight="1">
      <c r="A1327" s="74">
        <f t="shared" si="100"/>
        <v>1325</v>
      </c>
      <c r="B1327" s="75" t="s">
        <v>713</v>
      </c>
      <c r="C1327" s="74" t="str">
        <f>IF($B1327&lt;&gt;"",_xlfn.IFNA(VLOOKUP($B1327,'Node Details'!$B:$U,C$1,0),"Check"),"")</f>
        <v>0000CM312-CM3120102</v>
      </c>
      <c r="D1327" s="74" t="str">
        <f>IF($B1327&lt;&gt;"",_xlfn.IFNA(VLOOKUP($B1327,'Node Details'!$B:$U,D$1,0),"Check"),"")</f>
        <v>CM3</v>
      </c>
      <c r="E1327" s="74" t="str">
        <f>IF($B1327&lt;&gt;"",_xlfn.IFNA(VLOOKUP($B1327,'Node Details'!$B:$U,E$1,0),"Check"),"")</f>
        <v>Airtel</v>
      </c>
      <c r="F1327" s="76">
        <v>46149</v>
      </c>
      <c r="G1327" s="74"/>
      <c r="H1327" s="10" t="s">
        <v>22</v>
      </c>
      <c r="I1327" s="9">
        <v>2</v>
      </c>
      <c r="J1327" s="9">
        <v>42</v>
      </c>
      <c r="K1327" s="77">
        <f t="shared" si="99"/>
        <v>84</v>
      </c>
      <c r="L1327" s="76">
        <v>46142</v>
      </c>
      <c r="N1327" s="83"/>
      <c r="O1327" s="84"/>
      <c r="P1327" s="81"/>
      <c r="Q1327" s="81"/>
      <c r="R1327" s="81"/>
      <c r="S1327" s="81"/>
      <c r="T1327" s="85"/>
      <c r="U1327" s="81"/>
      <c r="V1327" s="81"/>
      <c r="W1327" s="123">
        <f t="shared" si="98"/>
        <v>0</v>
      </c>
      <c r="X1327" s="123" t="s">
        <v>84</v>
      </c>
      <c r="Y1327" s="114" t="s">
        <v>1128</v>
      </c>
    </row>
    <row r="1328" spans="1:25" s="24" customFormat="1" ht="11.1" customHeight="1">
      <c r="A1328" s="74">
        <f t="shared" si="100"/>
        <v>1326</v>
      </c>
      <c r="B1328" s="75" t="s">
        <v>715</v>
      </c>
      <c r="C1328" s="74" t="str">
        <f>IF($B1328&lt;&gt;"",_xlfn.IFNA(VLOOKUP($B1328,'Node Details'!$B:$U,C$1,0),"Check"),"")</f>
        <v>0000CM312-CM3120103</v>
      </c>
      <c r="D1328" s="74" t="str">
        <f>IF($B1328&lt;&gt;"",_xlfn.IFNA(VLOOKUP($B1328,'Node Details'!$B:$U,D$1,0),"Check"),"")</f>
        <v>CM3</v>
      </c>
      <c r="E1328" s="74" t="str">
        <f>IF($B1328&lt;&gt;"",_xlfn.IFNA(VLOOKUP($B1328,'Node Details'!$B:$U,E$1,0),"Check"),"")</f>
        <v>Airtel</v>
      </c>
      <c r="F1328" s="76">
        <v>46149</v>
      </c>
      <c r="G1328" s="74"/>
      <c r="H1328" s="10" t="s">
        <v>22</v>
      </c>
      <c r="I1328" s="9">
        <v>2</v>
      </c>
      <c r="J1328" s="9">
        <v>42</v>
      </c>
      <c r="K1328" s="77">
        <f t="shared" si="99"/>
        <v>84</v>
      </c>
      <c r="L1328" s="76">
        <v>46142</v>
      </c>
      <c r="N1328" s="83"/>
      <c r="O1328" s="84"/>
      <c r="P1328" s="81"/>
      <c r="Q1328" s="81"/>
      <c r="R1328" s="81"/>
      <c r="S1328" s="81"/>
      <c r="T1328" s="85"/>
      <c r="U1328" s="81"/>
      <c r="V1328" s="81"/>
      <c r="W1328" s="123">
        <f t="shared" si="98"/>
        <v>0</v>
      </c>
      <c r="X1328" s="123" t="s">
        <v>84</v>
      </c>
      <c r="Y1328" s="114" t="s">
        <v>1128</v>
      </c>
    </row>
    <row r="1329" spans="1:25" s="24" customFormat="1" ht="11.1" customHeight="1">
      <c r="A1329" s="74">
        <f t="shared" si="100"/>
        <v>1327</v>
      </c>
      <c r="B1329" s="75" t="s">
        <v>717</v>
      </c>
      <c r="C1329" s="74" t="str">
        <f>IF($B1329&lt;&gt;"",_xlfn.IFNA(VLOOKUP($B1329,'Node Details'!$B:$U,C$1,0),"Check"),"")</f>
        <v>0000CM312-CM3120104</v>
      </c>
      <c r="D1329" s="74" t="str">
        <f>IF($B1329&lt;&gt;"",_xlfn.IFNA(VLOOKUP($B1329,'Node Details'!$B:$U,D$1,0),"Check"),"")</f>
        <v>CM3</v>
      </c>
      <c r="E1329" s="74" t="str">
        <f>IF($B1329&lt;&gt;"",_xlfn.IFNA(VLOOKUP($B1329,'Node Details'!$B:$U,E$1,0),"Check"),"")</f>
        <v>Airtel</v>
      </c>
      <c r="F1329" s="76">
        <v>46149</v>
      </c>
      <c r="G1329" s="74"/>
      <c r="H1329" s="10" t="s">
        <v>22</v>
      </c>
      <c r="I1329" s="9">
        <v>2</v>
      </c>
      <c r="J1329" s="9">
        <v>42</v>
      </c>
      <c r="K1329" s="77">
        <f t="shared" si="99"/>
        <v>84</v>
      </c>
      <c r="L1329" s="76">
        <v>46142</v>
      </c>
      <c r="N1329" s="83"/>
      <c r="O1329" s="84"/>
      <c r="P1329" s="81"/>
      <c r="Q1329" s="81"/>
      <c r="R1329" s="81"/>
      <c r="S1329" s="81"/>
      <c r="T1329" s="85"/>
      <c r="U1329" s="81"/>
      <c r="V1329" s="81"/>
      <c r="W1329" s="123">
        <f t="shared" si="98"/>
        <v>0</v>
      </c>
      <c r="X1329" s="123" t="s">
        <v>84</v>
      </c>
      <c r="Y1329" s="114" t="s">
        <v>1128</v>
      </c>
    </row>
    <row r="1330" spans="1:25" s="24" customFormat="1" ht="11.1" customHeight="1">
      <c r="A1330" s="74">
        <f t="shared" si="100"/>
        <v>1328</v>
      </c>
      <c r="B1330" s="75" t="s">
        <v>1164</v>
      </c>
      <c r="C1330" s="74" t="str">
        <f>IF($B1330&lt;&gt;"",_xlfn.IFNA(VLOOKUP($B1330,'Node Details'!$B:$U,C$1,0),"Check"),"")</f>
        <v>0000CM312-CM3120108</v>
      </c>
      <c r="D1330" s="74" t="str">
        <f>IF($B1330&lt;&gt;"",_xlfn.IFNA(VLOOKUP($B1330,'Node Details'!$B:$U,D$1,0),"Check"),"")</f>
        <v>CM3</v>
      </c>
      <c r="E1330" s="74" t="str">
        <f>IF($B1330&lt;&gt;"",_xlfn.IFNA(VLOOKUP($B1330,'Node Details'!$B:$U,E$1,0),"Check"),"")</f>
        <v>Airtel</v>
      </c>
      <c r="F1330" s="76">
        <v>46149</v>
      </c>
      <c r="G1330" s="74"/>
      <c r="H1330" s="10" t="s">
        <v>22</v>
      </c>
      <c r="I1330" s="9">
        <v>2</v>
      </c>
      <c r="J1330" s="9">
        <v>42</v>
      </c>
      <c r="K1330" s="77">
        <f t="shared" si="99"/>
        <v>84</v>
      </c>
      <c r="L1330" s="76">
        <v>46142</v>
      </c>
      <c r="N1330" s="83"/>
      <c r="O1330" s="84"/>
      <c r="P1330" s="81"/>
      <c r="Q1330" s="81"/>
      <c r="R1330" s="81"/>
      <c r="S1330" s="81"/>
      <c r="T1330" s="85"/>
      <c r="U1330" s="81"/>
      <c r="V1330" s="81"/>
      <c r="W1330" s="123">
        <f t="shared" si="98"/>
        <v>0</v>
      </c>
      <c r="X1330" s="123" t="s">
        <v>84</v>
      </c>
      <c r="Y1330" s="114" t="s">
        <v>1128</v>
      </c>
    </row>
    <row r="1331" spans="1:25" s="24" customFormat="1" ht="11.1" customHeight="1">
      <c r="A1331" s="74">
        <f t="shared" si="100"/>
        <v>1329</v>
      </c>
      <c r="B1331" s="75" t="s">
        <v>1165</v>
      </c>
      <c r="C1331" s="74" t="str">
        <f>IF($B1331&lt;&gt;"",_xlfn.IFNA(VLOOKUP($B1331,'Node Details'!$B:$U,C$1,0),"Check"),"")</f>
        <v>0000CM312-CM3120108</v>
      </c>
      <c r="D1331" s="74" t="str">
        <f>IF($B1331&lt;&gt;"",_xlfn.IFNA(VLOOKUP($B1331,'Node Details'!$B:$U,D$1,0),"Check"),"")</f>
        <v>CM3</v>
      </c>
      <c r="E1331" s="74" t="str">
        <f>IF($B1331&lt;&gt;"",_xlfn.IFNA(VLOOKUP($B1331,'Node Details'!$B:$U,E$1,0),"Check"),"")</f>
        <v>Airtel</v>
      </c>
      <c r="F1331" s="76">
        <v>46149</v>
      </c>
      <c r="G1331" s="74"/>
      <c r="H1331" s="10" t="s">
        <v>22</v>
      </c>
      <c r="I1331" s="9">
        <v>2</v>
      </c>
      <c r="J1331" s="9">
        <v>42</v>
      </c>
      <c r="K1331" s="77">
        <f t="shared" si="99"/>
        <v>84</v>
      </c>
      <c r="L1331" s="76">
        <v>46142</v>
      </c>
      <c r="N1331" s="83"/>
      <c r="O1331" s="84"/>
      <c r="P1331" s="81"/>
      <c r="Q1331" s="81"/>
      <c r="R1331" s="81"/>
      <c r="S1331" s="81"/>
      <c r="T1331" s="85"/>
      <c r="U1331" s="81"/>
      <c r="V1331" s="81"/>
      <c r="W1331" s="123">
        <f t="shared" si="98"/>
        <v>0</v>
      </c>
      <c r="X1331" s="123" t="s">
        <v>84</v>
      </c>
      <c r="Y1331" s="114" t="s">
        <v>1128</v>
      </c>
    </row>
    <row r="1332" spans="1:25" s="24" customFormat="1" ht="11.1" customHeight="1">
      <c r="A1332" s="74">
        <f t="shared" si="100"/>
        <v>1330</v>
      </c>
      <c r="B1332" s="75" t="s">
        <v>1166</v>
      </c>
      <c r="C1332" s="74" t="str">
        <f>IF($B1332&lt;&gt;"",_xlfn.IFNA(VLOOKUP($B1332,'Node Details'!$B:$U,C$1,0),"Check"),"")</f>
        <v>0000CM312-CM3120108</v>
      </c>
      <c r="D1332" s="74" t="str">
        <f>IF($B1332&lt;&gt;"",_xlfn.IFNA(VLOOKUP($B1332,'Node Details'!$B:$U,D$1,0),"Check"),"")</f>
        <v>CM3</v>
      </c>
      <c r="E1332" s="74" t="str">
        <f>IF($B1332&lt;&gt;"",_xlfn.IFNA(VLOOKUP($B1332,'Node Details'!$B:$U,E$1,0),"Check"),"")</f>
        <v>Airtel</v>
      </c>
      <c r="F1332" s="76">
        <v>46149</v>
      </c>
      <c r="G1332" s="74"/>
      <c r="H1332" s="10" t="s">
        <v>22</v>
      </c>
      <c r="I1332" s="9">
        <v>2</v>
      </c>
      <c r="J1332" s="9">
        <v>42</v>
      </c>
      <c r="K1332" s="77">
        <f t="shared" si="99"/>
        <v>84</v>
      </c>
      <c r="L1332" s="76">
        <v>46142</v>
      </c>
      <c r="N1332" s="83"/>
      <c r="O1332" s="84"/>
      <c r="P1332" s="81"/>
      <c r="Q1332" s="81"/>
      <c r="R1332" s="81"/>
      <c r="S1332" s="81"/>
      <c r="T1332" s="85"/>
      <c r="U1332" s="81"/>
      <c r="V1332" s="81"/>
      <c r="W1332" s="123">
        <f t="shared" si="98"/>
        <v>0</v>
      </c>
      <c r="X1332" s="123" t="s">
        <v>84</v>
      </c>
      <c r="Y1332" s="114" t="s">
        <v>1128</v>
      </c>
    </row>
    <row r="1333" spans="1:25" s="24" customFormat="1" ht="11.1" customHeight="1">
      <c r="A1333" s="74">
        <f t="shared" si="100"/>
        <v>1331</v>
      </c>
      <c r="B1333" s="75" t="s">
        <v>719</v>
      </c>
      <c r="C1333" s="74" t="str">
        <f>IF($B1333&lt;&gt;"",_xlfn.IFNA(VLOOKUP($B1333,'Node Details'!$B:$U,C$1,0),"Check"),"")</f>
        <v>0000CM312-CM3120108</v>
      </c>
      <c r="D1333" s="74" t="str">
        <f>IF($B1333&lt;&gt;"",_xlfn.IFNA(VLOOKUP($B1333,'Node Details'!$B:$U,D$1,0),"Check"),"")</f>
        <v>CM3</v>
      </c>
      <c r="E1333" s="74" t="str">
        <f>IF($B1333&lt;&gt;"",_xlfn.IFNA(VLOOKUP($B1333,'Node Details'!$B:$U,E$1,0),"Check"),"")</f>
        <v>Airtel</v>
      </c>
      <c r="F1333" s="76">
        <v>46149</v>
      </c>
      <c r="G1333" s="74"/>
      <c r="H1333" s="10" t="s">
        <v>22</v>
      </c>
      <c r="I1333" s="9">
        <v>2</v>
      </c>
      <c r="J1333" s="9">
        <v>42</v>
      </c>
      <c r="K1333" s="77">
        <f t="shared" si="99"/>
        <v>84</v>
      </c>
      <c r="L1333" s="76">
        <v>46142</v>
      </c>
      <c r="N1333" s="83"/>
      <c r="O1333" s="84"/>
      <c r="P1333" s="81"/>
      <c r="Q1333" s="81"/>
      <c r="R1333" s="81"/>
      <c r="S1333" s="81"/>
      <c r="T1333" s="85"/>
      <c r="U1333" s="81"/>
      <c r="V1333" s="81"/>
      <c r="W1333" s="123">
        <f t="shared" si="98"/>
        <v>0</v>
      </c>
      <c r="X1333" s="123" t="s">
        <v>84</v>
      </c>
      <c r="Y1333" s="114" t="s">
        <v>1128</v>
      </c>
    </row>
    <row r="1334" spans="1:25" s="24" customFormat="1" ht="11.1" customHeight="1">
      <c r="A1334" s="74">
        <f t="shared" si="100"/>
        <v>1332</v>
      </c>
      <c r="B1334" s="75" t="s">
        <v>721</v>
      </c>
      <c r="C1334" s="74" t="str">
        <f>IF($B1334&lt;&gt;"",_xlfn.IFNA(VLOOKUP($B1334,'Node Details'!$B:$U,C$1,0),"Check"),"")</f>
        <v>0000CM313-CM3130101</v>
      </c>
      <c r="D1334" s="74" t="str">
        <f>IF($B1334&lt;&gt;"",_xlfn.IFNA(VLOOKUP($B1334,'Node Details'!$B:$U,D$1,0),"Check"),"")</f>
        <v>CM3</v>
      </c>
      <c r="E1334" s="74" t="str">
        <f>IF($B1334&lt;&gt;"",_xlfn.IFNA(VLOOKUP($B1334,'Node Details'!$B:$U,E$1,0),"Check"),"")</f>
        <v>Airtel</v>
      </c>
      <c r="F1334" s="76">
        <v>46149</v>
      </c>
      <c r="G1334" s="74"/>
      <c r="H1334" s="10" t="s">
        <v>22</v>
      </c>
      <c r="I1334" s="9">
        <v>2</v>
      </c>
      <c r="J1334" s="9">
        <v>42</v>
      </c>
      <c r="K1334" s="77">
        <f t="shared" si="99"/>
        <v>84</v>
      </c>
      <c r="L1334" s="76">
        <v>46142</v>
      </c>
      <c r="N1334" s="83"/>
      <c r="O1334" s="84"/>
      <c r="P1334" s="81"/>
      <c r="Q1334" s="81"/>
      <c r="R1334" s="81"/>
      <c r="S1334" s="81"/>
      <c r="T1334" s="85"/>
      <c r="U1334" s="81"/>
      <c r="V1334" s="81"/>
      <c r="W1334" s="123">
        <f t="shared" si="98"/>
        <v>0</v>
      </c>
      <c r="X1334" s="123" t="s">
        <v>84</v>
      </c>
      <c r="Y1334" s="114" t="s">
        <v>1128</v>
      </c>
    </row>
    <row r="1335" spans="1:25" s="24" customFormat="1" ht="11.1" customHeight="1">
      <c r="A1335" s="74">
        <f t="shared" si="100"/>
        <v>1333</v>
      </c>
      <c r="B1335" s="75" t="s">
        <v>1167</v>
      </c>
      <c r="C1335" s="74" t="str">
        <f>IF($B1335&lt;&gt;"",_xlfn.IFNA(VLOOKUP($B1335,'Node Details'!$B:$U,C$1,0),"Check"),"")</f>
        <v>0000CM313-CM3130107</v>
      </c>
      <c r="D1335" s="74" t="str">
        <f>IF($B1335&lt;&gt;"",_xlfn.IFNA(VLOOKUP($B1335,'Node Details'!$B:$U,D$1,0),"Check"),"")</f>
        <v>CM3</v>
      </c>
      <c r="E1335" s="74" t="str">
        <f>IF($B1335&lt;&gt;"",_xlfn.IFNA(VLOOKUP($B1335,'Node Details'!$B:$U,E$1,0),"Check"),"")</f>
        <v>Airtel</v>
      </c>
      <c r="F1335" s="76">
        <v>46149</v>
      </c>
      <c r="G1335" s="74"/>
      <c r="H1335" s="10" t="s">
        <v>22</v>
      </c>
      <c r="I1335" s="9">
        <v>2</v>
      </c>
      <c r="J1335" s="9">
        <v>42</v>
      </c>
      <c r="K1335" s="77">
        <f t="shared" si="99"/>
        <v>84</v>
      </c>
      <c r="L1335" s="76">
        <v>46142</v>
      </c>
      <c r="N1335" s="83"/>
      <c r="O1335" s="84"/>
      <c r="P1335" s="81"/>
      <c r="Q1335" s="81"/>
      <c r="R1335" s="81"/>
      <c r="S1335" s="81"/>
      <c r="T1335" s="85"/>
      <c r="U1335" s="81"/>
      <c r="V1335" s="81"/>
      <c r="W1335" s="123">
        <f t="shared" si="98"/>
        <v>0</v>
      </c>
      <c r="X1335" s="123" t="s">
        <v>84</v>
      </c>
      <c r="Y1335" s="114" t="s">
        <v>1128</v>
      </c>
    </row>
    <row r="1336" spans="1:25" s="24" customFormat="1" ht="11.1" customHeight="1">
      <c r="A1336" s="74">
        <f t="shared" si="100"/>
        <v>1334</v>
      </c>
      <c r="B1336" s="75" t="s">
        <v>723</v>
      </c>
      <c r="C1336" s="74" t="str">
        <f>IF($B1336&lt;&gt;"",_xlfn.IFNA(VLOOKUP($B1336,'Node Details'!$B:$U,C$1,0),"Check"),"")</f>
        <v>0000CM313-CM3130107</v>
      </c>
      <c r="D1336" s="74" t="str">
        <f>IF($B1336&lt;&gt;"",_xlfn.IFNA(VLOOKUP($B1336,'Node Details'!$B:$U,D$1,0),"Check"),"")</f>
        <v>CM3</v>
      </c>
      <c r="E1336" s="74" t="str">
        <f>IF($B1336&lt;&gt;"",_xlfn.IFNA(VLOOKUP($B1336,'Node Details'!$B:$U,E$1,0),"Check"),"")</f>
        <v>Airtel</v>
      </c>
      <c r="F1336" s="76">
        <v>46149</v>
      </c>
      <c r="G1336" s="74"/>
      <c r="H1336" s="10" t="s">
        <v>22</v>
      </c>
      <c r="I1336" s="9">
        <v>2</v>
      </c>
      <c r="J1336" s="9">
        <v>42</v>
      </c>
      <c r="K1336" s="77">
        <f t="shared" si="99"/>
        <v>84</v>
      </c>
      <c r="L1336" s="76">
        <v>46142</v>
      </c>
      <c r="N1336" s="83"/>
      <c r="O1336" s="84"/>
      <c r="P1336" s="81"/>
      <c r="Q1336" s="81"/>
      <c r="R1336" s="81"/>
      <c r="S1336" s="81"/>
      <c r="T1336" s="85"/>
      <c r="U1336" s="81"/>
      <c r="V1336" s="81"/>
      <c r="W1336" s="123">
        <f t="shared" si="98"/>
        <v>0</v>
      </c>
      <c r="X1336" s="123" t="s">
        <v>84</v>
      </c>
      <c r="Y1336" s="114" t="s">
        <v>1128</v>
      </c>
    </row>
    <row r="1337" spans="1:25" s="24" customFormat="1" ht="11.1" customHeight="1">
      <c r="A1337" s="74">
        <f t="shared" si="100"/>
        <v>1335</v>
      </c>
      <c r="B1337" s="75" t="s">
        <v>1168</v>
      </c>
      <c r="C1337" s="74" t="str">
        <f>IF($B1337&lt;&gt;"",_xlfn.IFNA(VLOOKUP($B1337,'Node Details'!$B:$U,C$1,0),"Check"),"")</f>
        <v>0000CM313-CM3130104</v>
      </c>
      <c r="D1337" s="74" t="str">
        <f>IF($B1337&lt;&gt;"",_xlfn.IFNA(VLOOKUP($B1337,'Node Details'!$B:$U,D$1,0),"Check"),"")</f>
        <v>CM3</v>
      </c>
      <c r="E1337" s="74" t="str">
        <f>IF($B1337&lt;&gt;"",_xlfn.IFNA(VLOOKUP($B1337,'Node Details'!$B:$U,E$1,0),"Check"),"")</f>
        <v>Airtel</v>
      </c>
      <c r="F1337" s="76">
        <v>46149</v>
      </c>
      <c r="G1337" s="74"/>
      <c r="H1337" s="10" t="s">
        <v>22</v>
      </c>
      <c r="I1337" s="9">
        <v>2</v>
      </c>
      <c r="J1337" s="9">
        <v>42</v>
      </c>
      <c r="K1337" s="77">
        <f t="shared" si="99"/>
        <v>84</v>
      </c>
      <c r="L1337" s="76">
        <v>46142</v>
      </c>
      <c r="N1337" s="83"/>
      <c r="O1337" s="84"/>
      <c r="P1337" s="81"/>
      <c r="Q1337" s="81"/>
      <c r="R1337" s="81"/>
      <c r="S1337" s="81"/>
      <c r="T1337" s="85"/>
      <c r="U1337" s="81"/>
      <c r="V1337" s="81"/>
      <c r="W1337" s="123">
        <f t="shared" ref="W1337:W1400" si="101">IF(V1337&lt;&gt;"",V1337*U1337,0)</f>
        <v>0</v>
      </c>
      <c r="X1337" s="123" t="s">
        <v>84</v>
      </c>
      <c r="Y1337" s="114" t="s">
        <v>1128</v>
      </c>
    </row>
    <row r="1338" spans="1:25" s="24" customFormat="1" ht="11.1" customHeight="1">
      <c r="A1338" s="74">
        <f t="shared" si="100"/>
        <v>1336</v>
      </c>
      <c r="B1338" s="75" t="s">
        <v>725</v>
      </c>
      <c r="C1338" s="74" t="str">
        <f>IF($B1338&lt;&gt;"",_xlfn.IFNA(VLOOKUP($B1338,'Node Details'!$B:$U,C$1,0),"Check"),"")</f>
        <v>0000CM313-CM3130104</v>
      </c>
      <c r="D1338" s="74" t="str">
        <f>IF($B1338&lt;&gt;"",_xlfn.IFNA(VLOOKUP($B1338,'Node Details'!$B:$U,D$1,0),"Check"),"")</f>
        <v>CM3</v>
      </c>
      <c r="E1338" s="74" t="str">
        <f>IF($B1338&lt;&gt;"",_xlfn.IFNA(VLOOKUP($B1338,'Node Details'!$B:$U,E$1,0),"Check"),"")</f>
        <v>Airtel</v>
      </c>
      <c r="F1338" s="76">
        <v>46149</v>
      </c>
      <c r="G1338" s="74"/>
      <c r="H1338" s="10" t="s">
        <v>22</v>
      </c>
      <c r="I1338" s="9">
        <v>2</v>
      </c>
      <c r="J1338" s="9">
        <v>42</v>
      </c>
      <c r="K1338" s="77">
        <f t="shared" ref="K1338:K1401" si="102">IF(I1338&lt;&gt;"",J1338*I1338,0)</f>
        <v>84</v>
      </c>
      <c r="L1338" s="76">
        <v>46142</v>
      </c>
      <c r="N1338" s="83"/>
      <c r="O1338" s="84"/>
      <c r="P1338" s="81"/>
      <c r="Q1338" s="81"/>
      <c r="R1338" s="81"/>
      <c r="S1338" s="81"/>
      <c r="T1338" s="85"/>
      <c r="U1338" s="81"/>
      <c r="V1338" s="81"/>
      <c r="W1338" s="123">
        <f t="shared" si="101"/>
        <v>0</v>
      </c>
      <c r="X1338" s="123" t="s">
        <v>84</v>
      </c>
      <c r="Y1338" s="114" t="s">
        <v>1128</v>
      </c>
    </row>
    <row r="1339" spans="1:25" s="24" customFormat="1" ht="11.1" customHeight="1">
      <c r="A1339" s="74">
        <f t="shared" si="100"/>
        <v>1337</v>
      </c>
      <c r="B1339" s="75" t="s">
        <v>727</v>
      </c>
      <c r="C1339" s="74" t="str">
        <f>IF($B1339&lt;&gt;"",_xlfn.IFNA(VLOOKUP($B1339,'Node Details'!$B:$U,C$1,0),"Check"),"")</f>
        <v>0000CM314-CM3140101</v>
      </c>
      <c r="D1339" s="74" t="str">
        <f>IF($B1339&lt;&gt;"",_xlfn.IFNA(VLOOKUP($B1339,'Node Details'!$B:$U,D$1,0),"Check"),"")</f>
        <v>CM3</v>
      </c>
      <c r="E1339" s="74" t="str">
        <f>IF($B1339&lt;&gt;"",_xlfn.IFNA(VLOOKUP($B1339,'Node Details'!$B:$U,E$1,0),"Check"),"")</f>
        <v>Airtel</v>
      </c>
      <c r="F1339" s="76">
        <v>46149</v>
      </c>
      <c r="G1339" s="74"/>
      <c r="H1339" s="10" t="s">
        <v>22</v>
      </c>
      <c r="I1339" s="9">
        <v>2</v>
      </c>
      <c r="J1339" s="9">
        <v>42</v>
      </c>
      <c r="K1339" s="77">
        <f t="shared" si="102"/>
        <v>84</v>
      </c>
      <c r="L1339" s="76">
        <v>46142</v>
      </c>
      <c r="N1339" s="83"/>
      <c r="O1339" s="84"/>
      <c r="P1339" s="81"/>
      <c r="Q1339" s="81"/>
      <c r="R1339" s="81"/>
      <c r="S1339" s="81"/>
      <c r="T1339" s="85"/>
      <c r="U1339" s="81"/>
      <c r="V1339" s="81"/>
      <c r="W1339" s="123">
        <f t="shared" si="101"/>
        <v>0</v>
      </c>
      <c r="X1339" s="123" t="s">
        <v>84</v>
      </c>
      <c r="Y1339" s="114" t="s">
        <v>1128</v>
      </c>
    </row>
    <row r="1340" spans="1:25" s="24" customFormat="1" ht="11.1" customHeight="1">
      <c r="A1340" s="74">
        <f t="shared" si="100"/>
        <v>1338</v>
      </c>
      <c r="B1340" s="75" t="s">
        <v>1169</v>
      </c>
      <c r="C1340" s="74" t="str">
        <f>IF($B1340&lt;&gt;"",_xlfn.IFNA(VLOOKUP($B1340,'Node Details'!$B:$U,C$1,0),"Check"),"")</f>
        <v>0000CM314-CM3140108</v>
      </c>
      <c r="D1340" s="74" t="str">
        <f>IF($B1340&lt;&gt;"",_xlfn.IFNA(VLOOKUP($B1340,'Node Details'!$B:$U,D$1,0),"Check"),"")</f>
        <v>CM3</v>
      </c>
      <c r="E1340" s="74" t="str">
        <f>IF($B1340&lt;&gt;"",_xlfn.IFNA(VLOOKUP($B1340,'Node Details'!$B:$U,E$1,0),"Check"),"")</f>
        <v>Airtel</v>
      </c>
      <c r="F1340" s="76">
        <v>46149</v>
      </c>
      <c r="G1340" s="74"/>
      <c r="H1340" s="10" t="s">
        <v>22</v>
      </c>
      <c r="I1340" s="9">
        <v>2</v>
      </c>
      <c r="J1340" s="9">
        <v>42</v>
      </c>
      <c r="K1340" s="77">
        <f t="shared" si="102"/>
        <v>84</v>
      </c>
      <c r="L1340" s="76">
        <v>46142</v>
      </c>
      <c r="N1340" s="83"/>
      <c r="O1340" s="84"/>
      <c r="P1340" s="81"/>
      <c r="Q1340" s="81"/>
      <c r="R1340" s="81"/>
      <c r="S1340" s="81"/>
      <c r="T1340" s="85"/>
      <c r="U1340" s="81"/>
      <c r="V1340" s="81"/>
      <c r="W1340" s="123">
        <f t="shared" si="101"/>
        <v>0</v>
      </c>
      <c r="X1340" s="123" t="s">
        <v>84</v>
      </c>
      <c r="Y1340" s="114" t="s">
        <v>1128</v>
      </c>
    </row>
    <row r="1341" spans="1:25" s="24" customFormat="1" ht="11.1" customHeight="1">
      <c r="A1341" s="74">
        <f t="shared" si="100"/>
        <v>1339</v>
      </c>
      <c r="B1341" s="75" t="s">
        <v>1170</v>
      </c>
      <c r="C1341" s="74" t="str">
        <f>IF($B1341&lt;&gt;"",_xlfn.IFNA(VLOOKUP($B1341,'Node Details'!$B:$U,C$1,0),"Check"),"")</f>
        <v>0000CM314-CM3140108</v>
      </c>
      <c r="D1341" s="74" t="str">
        <f>IF($B1341&lt;&gt;"",_xlfn.IFNA(VLOOKUP($B1341,'Node Details'!$B:$U,D$1,0),"Check"),"")</f>
        <v>CM3</v>
      </c>
      <c r="E1341" s="74" t="str">
        <f>IF($B1341&lt;&gt;"",_xlfn.IFNA(VLOOKUP($B1341,'Node Details'!$B:$U,E$1,0),"Check"),"")</f>
        <v>Airtel</v>
      </c>
      <c r="F1341" s="76">
        <v>46149</v>
      </c>
      <c r="G1341" s="74"/>
      <c r="H1341" s="10" t="s">
        <v>22</v>
      </c>
      <c r="I1341" s="9">
        <v>2</v>
      </c>
      <c r="J1341" s="9">
        <v>42</v>
      </c>
      <c r="K1341" s="77">
        <f t="shared" si="102"/>
        <v>84</v>
      </c>
      <c r="L1341" s="76">
        <v>46142</v>
      </c>
      <c r="N1341" s="83"/>
      <c r="O1341" s="84"/>
      <c r="P1341" s="81"/>
      <c r="Q1341" s="81"/>
      <c r="R1341" s="81"/>
      <c r="S1341" s="81"/>
      <c r="T1341" s="85"/>
      <c r="U1341" s="81"/>
      <c r="V1341" s="81"/>
      <c r="W1341" s="123">
        <f t="shared" si="101"/>
        <v>0</v>
      </c>
      <c r="X1341" s="123" t="s">
        <v>84</v>
      </c>
      <c r="Y1341" s="114" t="s">
        <v>1128</v>
      </c>
    </row>
    <row r="1342" spans="1:25" s="24" customFormat="1" ht="11.1" customHeight="1">
      <c r="A1342" s="74">
        <f t="shared" si="100"/>
        <v>1340</v>
      </c>
      <c r="B1342" s="75" t="s">
        <v>1171</v>
      </c>
      <c r="C1342" s="74" t="str">
        <f>IF($B1342&lt;&gt;"",_xlfn.IFNA(VLOOKUP($B1342,'Node Details'!$B:$U,C$1,0),"Check"),"")</f>
        <v>0000CM314-CM3140108</v>
      </c>
      <c r="D1342" s="74" t="str">
        <f>IF($B1342&lt;&gt;"",_xlfn.IFNA(VLOOKUP($B1342,'Node Details'!$B:$U,D$1,0),"Check"),"")</f>
        <v>CM3</v>
      </c>
      <c r="E1342" s="74" t="str">
        <f>IF($B1342&lt;&gt;"",_xlfn.IFNA(VLOOKUP($B1342,'Node Details'!$B:$U,E$1,0),"Check"),"")</f>
        <v>Airtel</v>
      </c>
      <c r="F1342" s="76">
        <v>46149</v>
      </c>
      <c r="G1342" s="74"/>
      <c r="H1342" s="10" t="s">
        <v>22</v>
      </c>
      <c r="I1342" s="9">
        <v>2</v>
      </c>
      <c r="J1342" s="9">
        <v>42</v>
      </c>
      <c r="K1342" s="77">
        <f t="shared" si="102"/>
        <v>84</v>
      </c>
      <c r="L1342" s="76">
        <v>46142</v>
      </c>
      <c r="N1342" s="83"/>
      <c r="O1342" s="84"/>
      <c r="P1342" s="81"/>
      <c r="Q1342" s="81"/>
      <c r="R1342" s="81"/>
      <c r="S1342" s="81"/>
      <c r="T1342" s="85"/>
      <c r="U1342" s="81"/>
      <c r="V1342" s="81"/>
      <c r="W1342" s="123">
        <f t="shared" si="101"/>
        <v>0</v>
      </c>
      <c r="X1342" s="123" t="s">
        <v>84</v>
      </c>
      <c r="Y1342" s="114" t="s">
        <v>1128</v>
      </c>
    </row>
    <row r="1343" spans="1:25" s="24" customFormat="1" ht="11.1" customHeight="1">
      <c r="A1343" s="74">
        <f t="shared" si="100"/>
        <v>1341</v>
      </c>
      <c r="B1343" s="75" t="s">
        <v>729</v>
      </c>
      <c r="C1343" s="74" t="str">
        <f>IF($B1343&lt;&gt;"",_xlfn.IFNA(VLOOKUP($B1343,'Node Details'!$B:$U,C$1,0),"Check"),"")</f>
        <v>0000CM314-CM3140108</v>
      </c>
      <c r="D1343" s="74" t="str">
        <f>IF($B1343&lt;&gt;"",_xlfn.IFNA(VLOOKUP($B1343,'Node Details'!$B:$U,D$1,0),"Check"),"")</f>
        <v>CM3</v>
      </c>
      <c r="E1343" s="74" t="str">
        <f>IF($B1343&lt;&gt;"",_xlfn.IFNA(VLOOKUP($B1343,'Node Details'!$B:$U,E$1,0),"Check"),"")</f>
        <v>Airtel</v>
      </c>
      <c r="F1343" s="76">
        <v>46149</v>
      </c>
      <c r="G1343" s="74"/>
      <c r="H1343" s="10" t="s">
        <v>22</v>
      </c>
      <c r="I1343" s="9">
        <v>2</v>
      </c>
      <c r="J1343" s="9">
        <v>42</v>
      </c>
      <c r="K1343" s="77">
        <f t="shared" si="102"/>
        <v>84</v>
      </c>
      <c r="L1343" s="76">
        <v>46142</v>
      </c>
      <c r="N1343" s="83"/>
      <c r="O1343" s="84"/>
      <c r="P1343" s="81"/>
      <c r="Q1343" s="81"/>
      <c r="R1343" s="81"/>
      <c r="S1343" s="81"/>
      <c r="T1343" s="85"/>
      <c r="U1343" s="81"/>
      <c r="V1343" s="81"/>
      <c r="W1343" s="123">
        <f t="shared" si="101"/>
        <v>0</v>
      </c>
      <c r="X1343" s="123" t="s">
        <v>84</v>
      </c>
      <c r="Y1343" s="114" t="s">
        <v>1128</v>
      </c>
    </row>
    <row r="1344" spans="1:25" s="24" customFormat="1" ht="11.1" customHeight="1">
      <c r="A1344" s="74">
        <f t="shared" si="100"/>
        <v>1342</v>
      </c>
      <c r="B1344" s="75" t="s">
        <v>1172</v>
      </c>
      <c r="C1344" s="74" t="str">
        <f>IF($B1344&lt;&gt;"",_xlfn.IFNA(VLOOKUP($B1344,'Node Details'!$B:$U,C$1,0),"Check"),"")</f>
        <v>0000CM314-CM3140103</v>
      </c>
      <c r="D1344" s="74" t="str">
        <f>IF($B1344&lt;&gt;"",_xlfn.IFNA(VLOOKUP($B1344,'Node Details'!$B:$U,D$1,0),"Check"),"")</f>
        <v>CM3</v>
      </c>
      <c r="E1344" s="74" t="str">
        <f>IF($B1344&lt;&gt;"",_xlfn.IFNA(VLOOKUP($B1344,'Node Details'!$B:$U,E$1,0),"Check"),"")</f>
        <v>Airtel</v>
      </c>
      <c r="F1344" s="76">
        <v>46149</v>
      </c>
      <c r="G1344" s="74"/>
      <c r="H1344" s="10" t="s">
        <v>22</v>
      </c>
      <c r="I1344" s="9">
        <v>2</v>
      </c>
      <c r="J1344" s="9">
        <v>42</v>
      </c>
      <c r="K1344" s="77">
        <f t="shared" si="102"/>
        <v>84</v>
      </c>
      <c r="L1344" s="76">
        <v>46142</v>
      </c>
      <c r="N1344" s="83"/>
      <c r="O1344" s="84"/>
      <c r="P1344" s="81"/>
      <c r="Q1344" s="81"/>
      <c r="R1344" s="81"/>
      <c r="S1344" s="81"/>
      <c r="T1344" s="85"/>
      <c r="U1344" s="81"/>
      <c r="V1344" s="81"/>
      <c r="W1344" s="123">
        <f t="shared" si="101"/>
        <v>0</v>
      </c>
      <c r="X1344" s="123" t="s">
        <v>84</v>
      </c>
      <c r="Y1344" s="114" t="s">
        <v>1128</v>
      </c>
    </row>
    <row r="1345" spans="1:25" s="24" customFormat="1" ht="11.1" customHeight="1">
      <c r="A1345" s="74">
        <f t="shared" si="100"/>
        <v>1343</v>
      </c>
      <c r="B1345" s="75" t="s">
        <v>731</v>
      </c>
      <c r="C1345" s="74" t="str">
        <f>IF($B1345&lt;&gt;"",_xlfn.IFNA(VLOOKUP($B1345,'Node Details'!$B:$U,C$1,0),"Check"),"")</f>
        <v>0000CM314-CM3140103</v>
      </c>
      <c r="D1345" s="74" t="str">
        <f>IF($B1345&lt;&gt;"",_xlfn.IFNA(VLOOKUP($B1345,'Node Details'!$B:$U,D$1,0),"Check"),"")</f>
        <v>CM3</v>
      </c>
      <c r="E1345" s="74" t="str">
        <f>IF($B1345&lt;&gt;"",_xlfn.IFNA(VLOOKUP($B1345,'Node Details'!$B:$U,E$1,0),"Check"),"")</f>
        <v>Airtel</v>
      </c>
      <c r="F1345" s="76">
        <v>46149</v>
      </c>
      <c r="G1345" s="74"/>
      <c r="H1345" s="10" t="s">
        <v>22</v>
      </c>
      <c r="I1345" s="9">
        <v>2</v>
      </c>
      <c r="J1345" s="9">
        <v>42</v>
      </c>
      <c r="K1345" s="77">
        <f t="shared" si="102"/>
        <v>84</v>
      </c>
      <c r="L1345" s="76">
        <v>46142</v>
      </c>
      <c r="N1345" s="83"/>
      <c r="O1345" s="84"/>
      <c r="P1345" s="81"/>
      <c r="Q1345" s="81"/>
      <c r="R1345" s="81"/>
      <c r="S1345" s="81"/>
      <c r="T1345" s="85"/>
      <c r="U1345" s="81"/>
      <c r="V1345" s="81"/>
      <c r="W1345" s="123">
        <f t="shared" si="101"/>
        <v>0</v>
      </c>
      <c r="X1345" s="123" t="s">
        <v>84</v>
      </c>
      <c r="Y1345" s="114" t="s">
        <v>1128</v>
      </c>
    </row>
    <row r="1346" spans="1:25" s="24" customFormat="1" ht="11.1" customHeight="1">
      <c r="A1346" s="74">
        <f t="shared" si="100"/>
        <v>1344</v>
      </c>
      <c r="B1346" s="75" t="s">
        <v>733</v>
      </c>
      <c r="C1346" s="74" t="str">
        <f>IF($B1346&lt;&gt;"",_xlfn.IFNA(VLOOKUP($B1346,'Node Details'!$B:$U,C$1,0),"Check"),"")</f>
        <v>0000CM315-CM3150101</v>
      </c>
      <c r="D1346" s="74" t="str">
        <f>IF($B1346&lt;&gt;"",_xlfn.IFNA(VLOOKUP($B1346,'Node Details'!$B:$U,D$1,0),"Check"),"")</f>
        <v>CM3</v>
      </c>
      <c r="E1346" s="74" t="str">
        <f>IF($B1346&lt;&gt;"",_xlfn.IFNA(VLOOKUP($B1346,'Node Details'!$B:$U,E$1,0),"Check"),"")</f>
        <v>Airtel</v>
      </c>
      <c r="F1346" s="76">
        <v>46149</v>
      </c>
      <c r="G1346" s="74"/>
      <c r="H1346" s="10" t="s">
        <v>22</v>
      </c>
      <c r="I1346" s="9">
        <v>2</v>
      </c>
      <c r="J1346" s="9">
        <v>42</v>
      </c>
      <c r="K1346" s="77">
        <f t="shared" si="102"/>
        <v>84</v>
      </c>
      <c r="L1346" s="76">
        <v>46142</v>
      </c>
      <c r="N1346" s="83"/>
      <c r="O1346" s="84"/>
      <c r="P1346" s="81"/>
      <c r="Q1346" s="81"/>
      <c r="R1346" s="81"/>
      <c r="S1346" s="81"/>
      <c r="T1346" s="85"/>
      <c r="U1346" s="81"/>
      <c r="V1346" s="81"/>
      <c r="W1346" s="123">
        <f t="shared" si="101"/>
        <v>0</v>
      </c>
      <c r="X1346" s="123" t="s">
        <v>84</v>
      </c>
      <c r="Y1346" s="114" t="s">
        <v>1128</v>
      </c>
    </row>
    <row r="1347" spans="1:25" s="24" customFormat="1" ht="11.1" customHeight="1">
      <c r="A1347" s="74">
        <f t="shared" si="100"/>
        <v>1345</v>
      </c>
      <c r="B1347" s="75" t="s">
        <v>735</v>
      </c>
      <c r="C1347" s="74" t="str">
        <f>IF($B1347&lt;&gt;"",_xlfn.IFNA(VLOOKUP($B1347,'Node Details'!$B:$U,C$1,0),"Check"),"")</f>
        <v>0000CM315-CM3150104</v>
      </c>
      <c r="D1347" s="74" t="str">
        <f>IF($B1347&lt;&gt;"",_xlfn.IFNA(VLOOKUP($B1347,'Node Details'!$B:$U,D$1,0),"Check"),"")</f>
        <v>CM3</v>
      </c>
      <c r="E1347" s="74" t="str">
        <f>IF($B1347&lt;&gt;"",_xlfn.IFNA(VLOOKUP($B1347,'Node Details'!$B:$U,E$1,0),"Check"),"")</f>
        <v>Airtel</v>
      </c>
      <c r="F1347" s="76">
        <v>46149</v>
      </c>
      <c r="G1347" s="74"/>
      <c r="H1347" s="10" t="s">
        <v>22</v>
      </c>
      <c r="I1347" s="9">
        <v>2</v>
      </c>
      <c r="J1347" s="9">
        <v>42</v>
      </c>
      <c r="K1347" s="77">
        <f t="shared" si="102"/>
        <v>84</v>
      </c>
      <c r="L1347" s="76">
        <v>46142</v>
      </c>
      <c r="N1347" s="83"/>
      <c r="O1347" s="84"/>
      <c r="P1347" s="81"/>
      <c r="Q1347" s="81"/>
      <c r="R1347" s="81"/>
      <c r="S1347" s="81"/>
      <c r="T1347" s="85"/>
      <c r="U1347" s="81"/>
      <c r="V1347" s="81"/>
      <c r="W1347" s="123">
        <f t="shared" si="101"/>
        <v>0</v>
      </c>
      <c r="X1347" s="123" t="s">
        <v>84</v>
      </c>
      <c r="Y1347" s="114" t="s">
        <v>1128</v>
      </c>
    </row>
    <row r="1348" spans="1:25" s="24" customFormat="1" ht="11.1" customHeight="1">
      <c r="A1348" s="74">
        <f t="shared" ref="A1348:A1411" si="103">A1347+1</f>
        <v>1346</v>
      </c>
      <c r="B1348" s="75" t="s">
        <v>737</v>
      </c>
      <c r="C1348" s="74" t="str">
        <f>IF($B1348&lt;&gt;"",_xlfn.IFNA(VLOOKUP($B1348,'Node Details'!$B:$U,C$1,0),"Check"),"")</f>
        <v>0000CM316-CM3160101</v>
      </c>
      <c r="D1348" s="74" t="str">
        <f>IF($B1348&lt;&gt;"",_xlfn.IFNA(VLOOKUP($B1348,'Node Details'!$B:$U,D$1,0),"Check"),"")</f>
        <v>CM3</v>
      </c>
      <c r="E1348" s="74" t="str">
        <f>IF($B1348&lt;&gt;"",_xlfn.IFNA(VLOOKUP($B1348,'Node Details'!$B:$U,E$1,0),"Check"),"")</f>
        <v>Airtel</v>
      </c>
      <c r="F1348" s="76">
        <v>46149</v>
      </c>
      <c r="G1348" s="74"/>
      <c r="H1348" s="10" t="s">
        <v>22</v>
      </c>
      <c r="I1348" s="9">
        <v>2</v>
      </c>
      <c r="J1348" s="9">
        <v>42</v>
      </c>
      <c r="K1348" s="77">
        <f t="shared" si="102"/>
        <v>84</v>
      </c>
      <c r="L1348" s="76">
        <v>46142</v>
      </c>
      <c r="N1348" s="83"/>
      <c r="O1348" s="84"/>
      <c r="P1348" s="81"/>
      <c r="Q1348" s="81"/>
      <c r="R1348" s="81"/>
      <c r="S1348" s="81"/>
      <c r="T1348" s="85"/>
      <c r="U1348" s="81"/>
      <c r="V1348" s="81"/>
      <c r="W1348" s="123">
        <f t="shared" si="101"/>
        <v>0</v>
      </c>
      <c r="X1348" s="123" t="s">
        <v>84</v>
      </c>
      <c r="Y1348" s="114" t="s">
        <v>1128</v>
      </c>
    </row>
    <row r="1349" spans="1:25" s="24" customFormat="1" ht="11.1" customHeight="1">
      <c r="A1349" s="74">
        <f t="shared" si="103"/>
        <v>1347</v>
      </c>
      <c r="B1349" s="75" t="s">
        <v>1173</v>
      </c>
      <c r="C1349" s="74" t="str">
        <f>IF($B1349&lt;&gt;"",_xlfn.IFNA(VLOOKUP($B1349,'Node Details'!$B:$U,C$1,0),"Check"),"")</f>
        <v>0000CM316-CM3160107</v>
      </c>
      <c r="D1349" s="74" t="str">
        <f>IF($B1349&lt;&gt;"",_xlfn.IFNA(VLOOKUP($B1349,'Node Details'!$B:$U,D$1,0),"Check"),"")</f>
        <v>CM3</v>
      </c>
      <c r="E1349" s="74" t="str">
        <f>IF($B1349&lt;&gt;"",_xlfn.IFNA(VLOOKUP($B1349,'Node Details'!$B:$U,E$1,0),"Check"),"")</f>
        <v>Airtel</v>
      </c>
      <c r="F1349" s="76">
        <v>46149</v>
      </c>
      <c r="G1349" s="74"/>
      <c r="H1349" s="10" t="s">
        <v>22</v>
      </c>
      <c r="I1349" s="9">
        <v>2</v>
      </c>
      <c r="J1349" s="9">
        <v>42</v>
      </c>
      <c r="K1349" s="77">
        <f t="shared" si="102"/>
        <v>84</v>
      </c>
      <c r="L1349" s="76">
        <v>46142</v>
      </c>
      <c r="N1349" s="83"/>
      <c r="O1349" s="84"/>
      <c r="P1349" s="81"/>
      <c r="Q1349" s="81"/>
      <c r="R1349" s="81"/>
      <c r="S1349" s="81"/>
      <c r="T1349" s="85"/>
      <c r="U1349" s="81"/>
      <c r="V1349" s="81"/>
      <c r="W1349" s="123">
        <f t="shared" si="101"/>
        <v>0</v>
      </c>
      <c r="X1349" s="123" t="s">
        <v>84</v>
      </c>
      <c r="Y1349" s="114" t="s">
        <v>1128</v>
      </c>
    </row>
    <row r="1350" spans="1:25" s="24" customFormat="1" ht="11.1" customHeight="1">
      <c r="A1350" s="74">
        <f t="shared" si="103"/>
        <v>1348</v>
      </c>
      <c r="B1350" s="75" t="s">
        <v>741</v>
      </c>
      <c r="C1350" s="74" t="str">
        <f>IF($B1350&lt;&gt;"",_xlfn.IFNA(VLOOKUP($B1350,'Node Details'!$B:$U,C$1,0),"Check"),"")</f>
        <v>0000CM316-CM3160107</v>
      </c>
      <c r="D1350" s="74" t="str">
        <f>IF($B1350&lt;&gt;"",_xlfn.IFNA(VLOOKUP($B1350,'Node Details'!$B:$U,D$1,0),"Check"),"")</f>
        <v>CM3</v>
      </c>
      <c r="E1350" s="74" t="str">
        <f>IF($B1350&lt;&gt;"",_xlfn.IFNA(VLOOKUP($B1350,'Node Details'!$B:$U,E$1,0),"Check"),"")</f>
        <v>Airtel</v>
      </c>
      <c r="F1350" s="76">
        <v>46149</v>
      </c>
      <c r="G1350" s="74"/>
      <c r="H1350" s="10" t="s">
        <v>22</v>
      </c>
      <c r="I1350" s="9">
        <v>2</v>
      </c>
      <c r="J1350" s="9">
        <v>42</v>
      </c>
      <c r="K1350" s="77">
        <f t="shared" si="102"/>
        <v>84</v>
      </c>
      <c r="L1350" s="76">
        <v>46142</v>
      </c>
      <c r="N1350" s="83"/>
      <c r="O1350" s="84"/>
      <c r="P1350" s="81"/>
      <c r="Q1350" s="81"/>
      <c r="R1350" s="81"/>
      <c r="S1350" s="81"/>
      <c r="T1350" s="85"/>
      <c r="U1350" s="81"/>
      <c r="V1350" s="81"/>
      <c r="W1350" s="123">
        <f t="shared" si="101"/>
        <v>0</v>
      </c>
      <c r="X1350" s="123" t="s">
        <v>84</v>
      </c>
      <c r="Y1350" s="114" t="s">
        <v>1128</v>
      </c>
    </row>
    <row r="1351" spans="1:25" s="24" customFormat="1" ht="11.1" customHeight="1">
      <c r="A1351" s="74">
        <f t="shared" si="103"/>
        <v>1349</v>
      </c>
      <c r="B1351" s="75" t="s">
        <v>739</v>
      </c>
      <c r="C1351" s="74" t="str">
        <f>IF($B1351&lt;&gt;"",_xlfn.IFNA(VLOOKUP($B1351,'Node Details'!$B:$U,C$1,0),"Check"),"")</f>
        <v>0000CM316-CM3160107</v>
      </c>
      <c r="D1351" s="74" t="str">
        <f>IF($B1351&lt;&gt;"",_xlfn.IFNA(VLOOKUP($B1351,'Node Details'!$B:$U,D$1,0),"Check"),"")</f>
        <v>CM3</v>
      </c>
      <c r="E1351" s="74" t="str">
        <f>IF($B1351&lt;&gt;"",_xlfn.IFNA(VLOOKUP($B1351,'Node Details'!$B:$U,E$1,0),"Check"),"")</f>
        <v>Airtel</v>
      </c>
      <c r="F1351" s="76">
        <v>46149</v>
      </c>
      <c r="G1351" s="74"/>
      <c r="H1351" s="10" t="s">
        <v>22</v>
      </c>
      <c r="I1351" s="9">
        <v>2</v>
      </c>
      <c r="J1351" s="9">
        <v>42</v>
      </c>
      <c r="K1351" s="77">
        <f t="shared" si="102"/>
        <v>84</v>
      </c>
      <c r="L1351" s="76">
        <v>46142</v>
      </c>
      <c r="N1351" s="83"/>
      <c r="O1351" s="84"/>
      <c r="P1351" s="81"/>
      <c r="Q1351" s="81"/>
      <c r="R1351" s="81"/>
      <c r="S1351" s="81"/>
      <c r="T1351" s="85"/>
      <c r="U1351" s="81"/>
      <c r="V1351" s="81"/>
      <c r="W1351" s="123">
        <f t="shared" si="101"/>
        <v>0</v>
      </c>
      <c r="X1351" s="123" t="s">
        <v>84</v>
      </c>
      <c r="Y1351" s="114" t="s">
        <v>1128</v>
      </c>
    </row>
    <row r="1352" spans="1:25" s="24" customFormat="1" ht="11.1" customHeight="1">
      <c r="A1352" s="74">
        <f t="shared" si="103"/>
        <v>1350</v>
      </c>
      <c r="B1352" s="75" t="s">
        <v>742</v>
      </c>
      <c r="C1352" s="74" t="str">
        <f>IF($B1352&lt;&gt;"",_xlfn.IFNA(VLOOKUP($B1352,'Node Details'!$B:$U,C$1,0),"Check"),"")</f>
        <v>CM3160106-CM3160108</v>
      </c>
      <c r="D1352" s="74" t="str">
        <f>IF($B1352&lt;&gt;"",_xlfn.IFNA(VLOOKUP($B1352,'Node Details'!$B:$U,D$1,0),"Check"),"")</f>
        <v>CM3</v>
      </c>
      <c r="E1352" s="74" t="str">
        <f>IF($B1352&lt;&gt;"",_xlfn.IFNA(VLOOKUP($B1352,'Node Details'!$B:$U,E$1,0),"Check"),"")</f>
        <v>Airtel</v>
      </c>
      <c r="F1352" s="76">
        <v>46149</v>
      </c>
      <c r="G1352" s="74"/>
      <c r="H1352" s="10" t="s">
        <v>22</v>
      </c>
      <c r="I1352" s="9">
        <v>2</v>
      </c>
      <c r="J1352" s="9">
        <v>42</v>
      </c>
      <c r="K1352" s="77">
        <f t="shared" si="102"/>
        <v>84</v>
      </c>
      <c r="L1352" s="76">
        <v>46142</v>
      </c>
      <c r="N1352" s="83"/>
      <c r="O1352" s="84"/>
      <c r="P1352" s="81"/>
      <c r="Q1352" s="81"/>
      <c r="R1352" s="81"/>
      <c r="S1352" s="81"/>
      <c r="T1352" s="85"/>
      <c r="U1352" s="81"/>
      <c r="V1352" s="81"/>
      <c r="W1352" s="123">
        <f t="shared" si="101"/>
        <v>0</v>
      </c>
      <c r="X1352" s="123" t="s">
        <v>84</v>
      </c>
      <c r="Y1352" s="114" t="s">
        <v>1128</v>
      </c>
    </row>
    <row r="1353" spans="1:25" s="24" customFormat="1" ht="11.1" customHeight="1">
      <c r="A1353" s="74">
        <f t="shared" si="103"/>
        <v>1351</v>
      </c>
      <c r="B1353" s="75" t="s">
        <v>1174</v>
      </c>
      <c r="C1353" s="74" t="str">
        <f>IF($B1353&lt;&gt;"",_xlfn.IFNA(VLOOKUP($B1353,'Node Details'!$B:$U,C$1,0),"Check"),"")</f>
        <v>0000CM316-CM3160104</v>
      </c>
      <c r="D1353" s="74" t="str">
        <f>IF($B1353&lt;&gt;"",_xlfn.IFNA(VLOOKUP($B1353,'Node Details'!$B:$U,D$1,0),"Check"),"")</f>
        <v>CM3</v>
      </c>
      <c r="E1353" s="74" t="str">
        <f>IF($B1353&lt;&gt;"",_xlfn.IFNA(VLOOKUP($B1353,'Node Details'!$B:$U,E$1,0),"Check"),"")</f>
        <v>Airtel</v>
      </c>
      <c r="F1353" s="76">
        <v>46149</v>
      </c>
      <c r="G1353" s="74"/>
      <c r="H1353" s="10" t="s">
        <v>22</v>
      </c>
      <c r="I1353" s="9">
        <v>2</v>
      </c>
      <c r="J1353" s="9">
        <v>42</v>
      </c>
      <c r="K1353" s="77">
        <f t="shared" si="102"/>
        <v>84</v>
      </c>
      <c r="L1353" s="76">
        <v>46142</v>
      </c>
      <c r="N1353" s="83"/>
      <c r="O1353" s="84"/>
      <c r="P1353" s="81"/>
      <c r="Q1353" s="81"/>
      <c r="R1353" s="81"/>
      <c r="S1353" s="81"/>
      <c r="T1353" s="85"/>
      <c r="U1353" s="81"/>
      <c r="V1353" s="81"/>
      <c r="W1353" s="123">
        <f t="shared" si="101"/>
        <v>0</v>
      </c>
      <c r="X1353" s="123" t="s">
        <v>84</v>
      </c>
      <c r="Y1353" s="114" t="s">
        <v>1128</v>
      </c>
    </row>
    <row r="1354" spans="1:25" s="24" customFormat="1" ht="11.1" customHeight="1">
      <c r="A1354" s="74">
        <f t="shared" si="103"/>
        <v>1352</v>
      </c>
      <c r="B1354" s="75" t="s">
        <v>744</v>
      </c>
      <c r="C1354" s="74" t="str">
        <f>IF($B1354&lt;&gt;"",_xlfn.IFNA(VLOOKUP($B1354,'Node Details'!$B:$U,C$1,0),"Check"),"")</f>
        <v>0000CM316-CM3160104</v>
      </c>
      <c r="D1354" s="74" t="str">
        <f>IF($B1354&lt;&gt;"",_xlfn.IFNA(VLOOKUP($B1354,'Node Details'!$B:$U,D$1,0),"Check"),"")</f>
        <v>CM3</v>
      </c>
      <c r="E1354" s="74" t="str">
        <f>IF($B1354&lt;&gt;"",_xlfn.IFNA(VLOOKUP($B1354,'Node Details'!$B:$U,E$1,0),"Check"),"")</f>
        <v>Airtel</v>
      </c>
      <c r="F1354" s="76">
        <v>46149</v>
      </c>
      <c r="G1354" s="74"/>
      <c r="H1354" s="10" t="s">
        <v>22</v>
      </c>
      <c r="I1354" s="9">
        <v>2</v>
      </c>
      <c r="J1354" s="9">
        <v>42</v>
      </c>
      <c r="K1354" s="77">
        <f t="shared" si="102"/>
        <v>84</v>
      </c>
      <c r="L1354" s="76">
        <v>46142</v>
      </c>
      <c r="N1354" s="83"/>
      <c r="O1354" s="84"/>
      <c r="P1354" s="81"/>
      <c r="Q1354" s="81"/>
      <c r="R1354" s="81"/>
      <c r="S1354" s="81"/>
      <c r="T1354" s="85"/>
      <c r="U1354" s="81"/>
      <c r="V1354" s="81"/>
      <c r="W1354" s="123">
        <f t="shared" si="101"/>
        <v>0</v>
      </c>
      <c r="X1354" s="123" t="s">
        <v>84</v>
      </c>
      <c r="Y1354" s="114" t="s">
        <v>1128</v>
      </c>
    </row>
    <row r="1355" spans="1:25" s="24" customFormat="1" ht="11.1" customHeight="1">
      <c r="A1355" s="74">
        <f t="shared" si="103"/>
        <v>1353</v>
      </c>
      <c r="B1355" s="75" t="s">
        <v>747</v>
      </c>
      <c r="C1355" s="74" t="str">
        <f>IF($B1355&lt;&gt;"",_xlfn.IFNA(VLOOKUP($B1355,'Node Details'!$B:$U,C$1,0),"Check"),"")</f>
        <v>0000CM317-CM3170101</v>
      </c>
      <c r="D1355" s="74" t="str">
        <f>IF($B1355&lt;&gt;"",_xlfn.IFNA(VLOOKUP($B1355,'Node Details'!$B:$U,D$1,0),"Check"),"")</f>
        <v>CM3</v>
      </c>
      <c r="E1355" s="74" t="str">
        <f>IF($B1355&lt;&gt;"",_xlfn.IFNA(VLOOKUP($B1355,'Node Details'!$B:$U,E$1,0),"Check"),"")</f>
        <v>Airtel</v>
      </c>
      <c r="F1355" s="76">
        <v>46149</v>
      </c>
      <c r="G1355" s="74"/>
      <c r="H1355" s="10" t="s">
        <v>22</v>
      </c>
      <c r="I1355" s="9">
        <v>2</v>
      </c>
      <c r="J1355" s="9">
        <v>42</v>
      </c>
      <c r="K1355" s="77">
        <f t="shared" si="102"/>
        <v>84</v>
      </c>
      <c r="L1355" s="76">
        <v>46142</v>
      </c>
      <c r="N1355" s="83"/>
      <c r="O1355" s="84"/>
      <c r="P1355" s="81"/>
      <c r="Q1355" s="81"/>
      <c r="R1355" s="81"/>
      <c r="S1355" s="81"/>
      <c r="T1355" s="85"/>
      <c r="U1355" s="81"/>
      <c r="V1355" s="81"/>
      <c r="W1355" s="123">
        <f t="shared" si="101"/>
        <v>0</v>
      </c>
      <c r="X1355" s="123" t="s">
        <v>84</v>
      </c>
      <c r="Y1355" s="114" t="s">
        <v>1128</v>
      </c>
    </row>
    <row r="1356" spans="1:25" s="24" customFormat="1" ht="11.1" customHeight="1">
      <c r="A1356" s="74">
        <f t="shared" si="103"/>
        <v>1354</v>
      </c>
      <c r="B1356" s="75" t="s">
        <v>749</v>
      </c>
      <c r="C1356" s="74" t="str">
        <f>IF($B1356&lt;&gt;"",_xlfn.IFNA(VLOOKUP($B1356,'Node Details'!$B:$U,C$1,0),"Check"),"")</f>
        <v>0000CM317-CM3170102</v>
      </c>
      <c r="D1356" s="74" t="str">
        <f>IF($B1356&lt;&gt;"",_xlfn.IFNA(VLOOKUP($B1356,'Node Details'!$B:$U,D$1,0),"Check"),"")</f>
        <v>CM3</v>
      </c>
      <c r="E1356" s="74" t="str">
        <f>IF($B1356&lt;&gt;"",_xlfn.IFNA(VLOOKUP($B1356,'Node Details'!$B:$U,E$1,0),"Check"),"")</f>
        <v>Airtel</v>
      </c>
      <c r="F1356" s="76">
        <v>46149</v>
      </c>
      <c r="G1356" s="74"/>
      <c r="H1356" s="10" t="s">
        <v>22</v>
      </c>
      <c r="I1356" s="9">
        <v>2</v>
      </c>
      <c r="J1356" s="9">
        <v>42</v>
      </c>
      <c r="K1356" s="77">
        <f t="shared" si="102"/>
        <v>84</v>
      </c>
      <c r="L1356" s="76">
        <v>46142</v>
      </c>
      <c r="N1356" s="83"/>
      <c r="O1356" s="84"/>
      <c r="P1356" s="81"/>
      <c r="Q1356" s="81"/>
      <c r="R1356" s="81"/>
      <c r="S1356" s="81"/>
      <c r="T1356" s="85"/>
      <c r="U1356" s="81"/>
      <c r="V1356" s="81"/>
      <c r="W1356" s="123">
        <f t="shared" si="101"/>
        <v>0</v>
      </c>
      <c r="X1356" s="123" t="s">
        <v>84</v>
      </c>
      <c r="Y1356" s="114" t="s">
        <v>1128</v>
      </c>
    </row>
    <row r="1357" spans="1:25" s="24" customFormat="1" ht="11.1" customHeight="1">
      <c r="A1357" s="74">
        <f t="shared" si="103"/>
        <v>1355</v>
      </c>
      <c r="B1357" s="75" t="s">
        <v>1175</v>
      </c>
      <c r="C1357" s="74" t="str">
        <f>IF($B1357&lt;&gt;"",_xlfn.IFNA(VLOOKUP($B1357,'Node Details'!$B:$U,C$1,0),"Check"),"")</f>
        <v>0000CM317-CM3170104</v>
      </c>
      <c r="D1357" s="74" t="str">
        <f>IF($B1357&lt;&gt;"",_xlfn.IFNA(VLOOKUP($B1357,'Node Details'!$B:$U,D$1,0),"Check"),"")</f>
        <v>CM3</v>
      </c>
      <c r="E1357" s="74" t="str">
        <f>IF($B1357&lt;&gt;"",_xlfn.IFNA(VLOOKUP($B1357,'Node Details'!$B:$U,E$1,0),"Check"),"")</f>
        <v>Airtel</v>
      </c>
      <c r="F1357" s="76">
        <v>46149</v>
      </c>
      <c r="G1357" s="74"/>
      <c r="H1357" s="10" t="s">
        <v>22</v>
      </c>
      <c r="I1357" s="9">
        <v>2</v>
      </c>
      <c r="J1357" s="9">
        <v>42</v>
      </c>
      <c r="K1357" s="77">
        <f t="shared" si="102"/>
        <v>84</v>
      </c>
      <c r="L1357" s="76">
        <v>46142</v>
      </c>
      <c r="N1357" s="83"/>
      <c r="O1357" s="84"/>
      <c r="P1357" s="81"/>
      <c r="Q1357" s="81"/>
      <c r="R1357" s="81"/>
      <c r="S1357" s="81"/>
      <c r="T1357" s="85"/>
      <c r="U1357" s="81"/>
      <c r="V1357" s="81"/>
      <c r="W1357" s="123">
        <f t="shared" si="101"/>
        <v>0</v>
      </c>
      <c r="X1357" s="123" t="s">
        <v>84</v>
      </c>
      <c r="Y1357" s="114" t="s">
        <v>1128</v>
      </c>
    </row>
    <row r="1358" spans="1:25" s="24" customFormat="1" ht="11.1" customHeight="1">
      <c r="A1358" s="74">
        <f t="shared" si="103"/>
        <v>1356</v>
      </c>
      <c r="B1358" s="75" t="s">
        <v>751</v>
      </c>
      <c r="C1358" s="74" t="str">
        <f>IF($B1358&lt;&gt;"",_xlfn.IFNA(VLOOKUP($B1358,'Node Details'!$B:$U,C$1,0),"Check"),"")</f>
        <v>0000CM317-CM3170104</v>
      </c>
      <c r="D1358" s="74" t="str">
        <f>IF($B1358&lt;&gt;"",_xlfn.IFNA(VLOOKUP($B1358,'Node Details'!$B:$U,D$1,0),"Check"),"")</f>
        <v>CM3</v>
      </c>
      <c r="E1358" s="74" t="str">
        <f>IF($B1358&lt;&gt;"",_xlfn.IFNA(VLOOKUP($B1358,'Node Details'!$B:$U,E$1,0),"Check"),"")</f>
        <v>Airtel</v>
      </c>
      <c r="F1358" s="76">
        <v>46149</v>
      </c>
      <c r="G1358" s="74"/>
      <c r="H1358" s="10" t="s">
        <v>22</v>
      </c>
      <c r="I1358" s="9">
        <v>2</v>
      </c>
      <c r="J1358" s="9">
        <v>42</v>
      </c>
      <c r="K1358" s="77">
        <f t="shared" si="102"/>
        <v>84</v>
      </c>
      <c r="L1358" s="76">
        <v>46142</v>
      </c>
      <c r="N1358" s="83"/>
      <c r="O1358" s="84"/>
      <c r="P1358" s="81"/>
      <c r="Q1358" s="81"/>
      <c r="R1358" s="81"/>
      <c r="S1358" s="81"/>
      <c r="T1358" s="85"/>
      <c r="U1358" s="81"/>
      <c r="V1358" s="81"/>
      <c r="W1358" s="123">
        <f t="shared" si="101"/>
        <v>0</v>
      </c>
      <c r="X1358" s="123" t="s">
        <v>84</v>
      </c>
      <c r="Y1358" s="114" t="s">
        <v>1128</v>
      </c>
    </row>
    <row r="1359" spans="1:25" s="24" customFormat="1" ht="11.1" customHeight="1">
      <c r="A1359" s="74">
        <f t="shared" si="103"/>
        <v>1357</v>
      </c>
      <c r="B1359" s="75" t="s">
        <v>754</v>
      </c>
      <c r="C1359" s="74" t="str">
        <f>IF($B1359&lt;&gt;"",_xlfn.IFNA(VLOOKUP($B1359,'Node Details'!$B:$U,C$1,0),"Check"),"")</f>
        <v>0000CM318-CM3180101</v>
      </c>
      <c r="D1359" s="74" t="str">
        <f>IF($B1359&lt;&gt;"",_xlfn.IFNA(VLOOKUP($B1359,'Node Details'!$B:$U,D$1,0),"Check"),"")</f>
        <v>CM3</v>
      </c>
      <c r="E1359" s="74" t="str">
        <f>IF($B1359&lt;&gt;"",_xlfn.IFNA(VLOOKUP($B1359,'Node Details'!$B:$U,E$1,0),"Check"),"")</f>
        <v>Airtel</v>
      </c>
      <c r="F1359" s="76">
        <v>46149</v>
      </c>
      <c r="G1359" s="74"/>
      <c r="H1359" s="10" t="s">
        <v>22</v>
      </c>
      <c r="I1359" s="9">
        <v>2</v>
      </c>
      <c r="J1359" s="9">
        <v>42</v>
      </c>
      <c r="K1359" s="77">
        <f t="shared" si="102"/>
        <v>84</v>
      </c>
      <c r="L1359" s="76">
        <v>46142</v>
      </c>
      <c r="N1359" s="83"/>
      <c r="O1359" s="84"/>
      <c r="P1359" s="81"/>
      <c r="Q1359" s="81"/>
      <c r="R1359" s="81"/>
      <c r="S1359" s="81"/>
      <c r="T1359" s="85"/>
      <c r="U1359" s="81"/>
      <c r="V1359" s="81"/>
      <c r="W1359" s="123">
        <f t="shared" si="101"/>
        <v>0</v>
      </c>
      <c r="X1359" s="123" t="s">
        <v>84</v>
      </c>
      <c r="Y1359" s="114" t="s">
        <v>1128</v>
      </c>
    </row>
    <row r="1360" spans="1:25" s="24" customFormat="1" ht="11.1" customHeight="1">
      <c r="A1360" s="74">
        <f t="shared" si="103"/>
        <v>1358</v>
      </c>
      <c r="B1360" s="75" t="s">
        <v>1176</v>
      </c>
      <c r="C1360" s="74" t="str">
        <f>IF($B1360&lt;&gt;"",_xlfn.IFNA(VLOOKUP($B1360,'Node Details'!$B:$U,C$1,0),"Check"),"")</f>
        <v>0000CM318-CM3180102</v>
      </c>
      <c r="D1360" s="74" t="str">
        <f>IF($B1360&lt;&gt;"",_xlfn.IFNA(VLOOKUP($B1360,'Node Details'!$B:$U,D$1,0),"Check"),"")</f>
        <v>CM3</v>
      </c>
      <c r="E1360" s="74" t="str">
        <f>IF($B1360&lt;&gt;"",_xlfn.IFNA(VLOOKUP($B1360,'Node Details'!$B:$U,E$1,0),"Check"),"")</f>
        <v>Airtel</v>
      </c>
      <c r="F1360" s="76">
        <v>46149</v>
      </c>
      <c r="G1360" s="74"/>
      <c r="H1360" s="10" t="s">
        <v>22</v>
      </c>
      <c r="I1360" s="9">
        <v>2</v>
      </c>
      <c r="J1360" s="9">
        <v>42</v>
      </c>
      <c r="K1360" s="77">
        <f t="shared" si="102"/>
        <v>84</v>
      </c>
      <c r="L1360" s="76">
        <v>46142</v>
      </c>
      <c r="N1360" s="83"/>
      <c r="O1360" s="84"/>
      <c r="P1360" s="81"/>
      <c r="Q1360" s="81"/>
      <c r="R1360" s="81"/>
      <c r="S1360" s="81"/>
      <c r="T1360" s="85"/>
      <c r="U1360" s="81"/>
      <c r="V1360" s="81"/>
      <c r="W1360" s="123">
        <f t="shared" si="101"/>
        <v>0</v>
      </c>
      <c r="X1360" s="123" t="s">
        <v>84</v>
      </c>
      <c r="Y1360" s="114" t="s">
        <v>1128</v>
      </c>
    </row>
    <row r="1361" spans="1:25" s="24" customFormat="1" ht="11.1" customHeight="1">
      <c r="A1361" s="74">
        <f t="shared" si="103"/>
        <v>1359</v>
      </c>
      <c r="B1361" s="75" t="s">
        <v>756</v>
      </c>
      <c r="C1361" s="74" t="str">
        <f>IF($B1361&lt;&gt;"",_xlfn.IFNA(VLOOKUP($B1361,'Node Details'!$B:$U,C$1,0),"Check"),"")</f>
        <v>0000CM318-CM3180102</v>
      </c>
      <c r="D1361" s="74" t="str">
        <f>IF($B1361&lt;&gt;"",_xlfn.IFNA(VLOOKUP($B1361,'Node Details'!$B:$U,D$1,0),"Check"),"")</f>
        <v>CM3</v>
      </c>
      <c r="E1361" s="74" t="str">
        <f>IF($B1361&lt;&gt;"",_xlfn.IFNA(VLOOKUP($B1361,'Node Details'!$B:$U,E$1,0),"Check"),"")</f>
        <v>Airtel</v>
      </c>
      <c r="F1361" s="76">
        <v>46149</v>
      </c>
      <c r="G1361" s="74"/>
      <c r="H1361" s="10" t="s">
        <v>22</v>
      </c>
      <c r="I1361" s="9">
        <v>2</v>
      </c>
      <c r="J1361" s="9">
        <v>42</v>
      </c>
      <c r="K1361" s="77">
        <f t="shared" si="102"/>
        <v>84</v>
      </c>
      <c r="L1361" s="76">
        <v>46142</v>
      </c>
      <c r="N1361" s="83"/>
      <c r="O1361" s="84"/>
      <c r="P1361" s="81"/>
      <c r="Q1361" s="81"/>
      <c r="R1361" s="81"/>
      <c r="S1361" s="81"/>
      <c r="T1361" s="85"/>
      <c r="U1361" s="81"/>
      <c r="V1361" s="81"/>
      <c r="W1361" s="123">
        <f t="shared" si="101"/>
        <v>0</v>
      </c>
      <c r="X1361" s="123" t="s">
        <v>84</v>
      </c>
      <c r="Y1361" s="114" t="s">
        <v>1128</v>
      </c>
    </row>
    <row r="1362" spans="1:25" s="24" customFormat="1" ht="11.1" customHeight="1">
      <c r="A1362" s="74">
        <f t="shared" si="103"/>
        <v>1360</v>
      </c>
      <c r="B1362" s="75" t="s">
        <v>1177</v>
      </c>
      <c r="C1362" s="74" t="str">
        <f>IF($B1362&lt;&gt;"",_xlfn.IFNA(VLOOKUP($B1362,'Node Details'!$B:$U,C$1,0),"Check"),"")</f>
        <v>0000CM318-CM3180108</v>
      </c>
      <c r="D1362" s="74" t="str">
        <f>IF($B1362&lt;&gt;"",_xlfn.IFNA(VLOOKUP($B1362,'Node Details'!$B:$U,D$1,0),"Check"),"")</f>
        <v>CM3</v>
      </c>
      <c r="E1362" s="74" t="str">
        <f>IF($B1362&lt;&gt;"",_xlfn.IFNA(VLOOKUP($B1362,'Node Details'!$B:$U,E$1,0),"Check"),"")</f>
        <v>Airtel</v>
      </c>
      <c r="F1362" s="76">
        <v>46149</v>
      </c>
      <c r="G1362" s="74"/>
      <c r="H1362" s="10" t="s">
        <v>22</v>
      </c>
      <c r="I1362" s="9">
        <v>2</v>
      </c>
      <c r="J1362" s="9">
        <v>42</v>
      </c>
      <c r="K1362" s="77">
        <f t="shared" si="102"/>
        <v>84</v>
      </c>
      <c r="L1362" s="76">
        <v>46142</v>
      </c>
      <c r="N1362" s="83"/>
      <c r="O1362" s="84"/>
      <c r="P1362" s="81"/>
      <c r="Q1362" s="81"/>
      <c r="R1362" s="81"/>
      <c r="S1362" s="81"/>
      <c r="T1362" s="85"/>
      <c r="U1362" s="81"/>
      <c r="V1362" s="81"/>
      <c r="W1362" s="123">
        <f t="shared" si="101"/>
        <v>0</v>
      </c>
      <c r="X1362" s="123" t="s">
        <v>84</v>
      </c>
      <c r="Y1362" s="114" t="s">
        <v>1128</v>
      </c>
    </row>
    <row r="1363" spans="1:25" s="24" customFormat="1" ht="11.1" customHeight="1">
      <c r="A1363" s="74">
        <f t="shared" si="103"/>
        <v>1361</v>
      </c>
      <c r="B1363" s="75" t="s">
        <v>758</v>
      </c>
      <c r="C1363" s="74" t="str">
        <f>IF($B1363&lt;&gt;"",_xlfn.IFNA(VLOOKUP($B1363,'Node Details'!$B:$U,C$1,0),"Check"),"")</f>
        <v>0000CM318-CM3180108</v>
      </c>
      <c r="D1363" s="74" t="str">
        <f>IF($B1363&lt;&gt;"",_xlfn.IFNA(VLOOKUP($B1363,'Node Details'!$B:$U,D$1,0),"Check"),"")</f>
        <v>CM3</v>
      </c>
      <c r="E1363" s="74" t="str">
        <f>IF($B1363&lt;&gt;"",_xlfn.IFNA(VLOOKUP($B1363,'Node Details'!$B:$U,E$1,0),"Check"),"")</f>
        <v>Airtel</v>
      </c>
      <c r="F1363" s="76">
        <v>46149</v>
      </c>
      <c r="G1363" s="74"/>
      <c r="H1363" s="10" t="s">
        <v>22</v>
      </c>
      <c r="I1363" s="9">
        <v>2</v>
      </c>
      <c r="J1363" s="9">
        <v>42</v>
      </c>
      <c r="K1363" s="77">
        <f t="shared" si="102"/>
        <v>84</v>
      </c>
      <c r="L1363" s="76">
        <v>46142</v>
      </c>
      <c r="N1363" s="83"/>
      <c r="O1363" s="84"/>
      <c r="P1363" s="81"/>
      <c r="Q1363" s="81"/>
      <c r="R1363" s="81"/>
      <c r="S1363" s="81"/>
      <c r="T1363" s="85"/>
      <c r="U1363" s="81"/>
      <c r="V1363" s="81"/>
      <c r="W1363" s="123">
        <f t="shared" si="101"/>
        <v>0</v>
      </c>
      <c r="X1363" s="123" t="s">
        <v>84</v>
      </c>
      <c r="Y1363" s="114" t="s">
        <v>1128</v>
      </c>
    </row>
    <row r="1364" spans="1:25" s="24" customFormat="1" ht="11.1" customHeight="1">
      <c r="A1364" s="74">
        <f t="shared" si="103"/>
        <v>1362</v>
      </c>
      <c r="B1364" s="75" t="s">
        <v>1178</v>
      </c>
      <c r="C1364" s="74" t="str">
        <f>IF($B1364&lt;&gt;"",_xlfn.IFNA(VLOOKUP($B1364,'Node Details'!$B:$U,C$1,0),"Check"),"")</f>
        <v>0000CM318-CM3180105</v>
      </c>
      <c r="D1364" s="74" t="str">
        <f>IF($B1364&lt;&gt;"",_xlfn.IFNA(VLOOKUP($B1364,'Node Details'!$B:$U,D$1,0),"Check"),"")</f>
        <v>CM3</v>
      </c>
      <c r="E1364" s="74" t="str">
        <f>IF($B1364&lt;&gt;"",_xlfn.IFNA(VLOOKUP($B1364,'Node Details'!$B:$U,E$1,0),"Check"),"")</f>
        <v>Airtel</v>
      </c>
      <c r="F1364" s="76">
        <v>46149</v>
      </c>
      <c r="G1364" s="74"/>
      <c r="H1364" s="10" t="s">
        <v>22</v>
      </c>
      <c r="I1364" s="9">
        <v>2</v>
      </c>
      <c r="J1364" s="9">
        <v>42</v>
      </c>
      <c r="K1364" s="77">
        <f t="shared" si="102"/>
        <v>84</v>
      </c>
      <c r="L1364" s="76">
        <v>46142</v>
      </c>
      <c r="N1364" s="83"/>
      <c r="O1364" s="84"/>
      <c r="P1364" s="81"/>
      <c r="Q1364" s="81"/>
      <c r="R1364" s="81"/>
      <c r="S1364" s="81"/>
      <c r="T1364" s="85"/>
      <c r="U1364" s="81"/>
      <c r="V1364" s="81"/>
      <c r="W1364" s="123">
        <f t="shared" si="101"/>
        <v>0</v>
      </c>
      <c r="X1364" s="123" t="s">
        <v>84</v>
      </c>
      <c r="Y1364" s="114" t="s">
        <v>1128</v>
      </c>
    </row>
    <row r="1365" spans="1:25" s="24" customFormat="1" ht="11.1" customHeight="1">
      <c r="A1365" s="74">
        <f t="shared" si="103"/>
        <v>1363</v>
      </c>
      <c r="B1365" s="75" t="s">
        <v>760</v>
      </c>
      <c r="C1365" s="74" t="str">
        <f>IF($B1365&lt;&gt;"",_xlfn.IFNA(VLOOKUP($B1365,'Node Details'!$B:$U,C$1,0),"Check"),"")</f>
        <v>0000CM318-CM3180105</v>
      </c>
      <c r="D1365" s="74" t="str">
        <f>IF($B1365&lt;&gt;"",_xlfn.IFNA(VLOOKUP($B1365,'Node Details'!$B:$U,D$1,0),"Check"),"")</f>
        <v>CM3</v>
      </c>
      <c r="E1365" s="74" t="str">
        <f>IF($B1365&lt;&gt;"",_xlfn.IFNA(VLOOKUP($B1365,'Node Details'!$B:$U,E$1,0),"Check"),"")</f>
        <v>Airtel</v>
      </c>
      <c r="F1365" s="76">
        <v>46149</v>
      </c>
      <c r="G1365" s="74"/>
      <c r="H1365" s="10" t="s">
        <v>22</v>
      </c>
      <c r="I1365" s="9">
        <v>2</v>
      </c>
      <c r="J1365" s="9">
        <v>42</v>
      </c>
      <c r="K1365" s="77">
        <f t="shared" si="102"/>
        <v>84</v>
      </c>
      <c r="L1365" s="76">
        <v>46142</v>
      </c>
      <c r="N1365" s="83"/>
      <c r="O1365" s="84"/>
      <c r="P1365" s="81"/>
      <c r="Q1365" s="81"/>
      <c r="R1365" s="81"/>
      <c r="S1365" s="81"/>
      <c r="T1365" s="85"/>
      <c r="U1365" s="81"/>
      <c r="V1365" s="81"/>
      <c r="W1365" s="123">
        <f t="shared" si="101"/>
        <v>0</v>
      </c>
      <c r="X1365" s="123" t="s">
        <v>84</v>
      </c>
      <c r="Y1365" s="114" t="s">
        <v>1128</v>
      </c>
    </row>
    <row r="1366" spans="1:25" s="24" customFormat="1" ht="11.1" customHeight="1">
      <c r="A1366" s="74">
        <f t="shared" si="103"/>
        <v>1364</v>
      </c>
      <c r="B1366" s="75" t="s">
        <v>1179</v>
      </c>
      <c r="C1366" s="74" t="str">
        <f>IF($B1366&lt;&gt;"",_xlfn.IFNA(VLOOKUP($B1366,'Node Details'!$B:$U,C$1,0),"Check"),"")</f>
        <v>0000CM319-CM3190104</v>
      </c>
      <c r="D1366" s="74" t="str">
        <f>IF($B1366&lt;&gt;"",_xlfn.IFNA(VLOOKUP($B1366,'Node Details'!$B:$U,D$1,0),"Check"),"")</f>
        <v>CM3</v>
      </c>
      <c r="E1366" s="74" t="str">
        <f>IF($B1366&lt;&gt;"",_xlfn.IFNA(VLOOKUP($B1366,'Node Details'!$B:$U,E$1,0),"Check"),"")</f>
        <v>Airtel</v>
      </c>
      <c r="F1366" s="76">
        <v>46149</v>
      </c>
      <c r="G1366" s="74"/>
      <c r="H1366" s="10" t="s">
        <v>22</v>
      </c>
      <c r="I1366" s="9">
        <v>2</v>
      </c>
      <c r="J1366" s="9">
        <v>42</v>
      </c>
      <c r="K1366" s="77">
        <f t="shared" si="102"/>
        <v>84</v>
      </c>
      <c r="L1366" s="76">
        <v>46142</v>
      </c>
      <c r="N1366" s="83"/>
      <c r="O1366" s="84"/>
      <c r="P1366" s="81"/>
      <c r="Q1366" s="81"/>
      <c r="R1366" s="81"/>
      <c r="S1366" s="81"/>
      <c r="T1366" s="85"/>
      <c r="U1366" s="81"/>
      <c r="V1366" s="81"/>
      <c r="W1366" s="123">
        <f t="shared" si="101"/>
        <v>0</v>
      </c>
      <c r="X1366" s="123" t="s">
        <v>84</v>
      </c>
      <c r="Y1366" s="114" t="s">
        <v>1128</v>
      </c>
    </row>
    <row r="1367" spans="1:25" s="24" customFormat="1" ht="11.1" customHeight="1">
      <c r="A1367" s="74">
        <f t="shared" si="103"/>
        <v>1365</v>
      </c>
      <c r="B1367" s="75" t="s">
        <v>1180</v>
      </c>
      <c r="C1367" s="74" t="str">
        <f>IF($B1367&lt;&gt;"",_xlfn.IFNA(VLOOKUP($B1367,'Node Details'!$B:$U,C$1,0),"Check"),"")</f>
        <v>0000CM319-CM3190104</v>
      </c>
      <c r="D1367" s="74" t="str">
        <f>IF($B1367&lt;&gt;"",_xlfn.IFNA(VLOOKUP($B1367,'Node Details'!$B:$U,D$1,0),"Check"),"")</f>
        <v>CM3</v>
      </c>
      <c r="E1367" s="74" t="str">
        <f>IF($B1367&lt;&gt;"",_xlfn.IFNA(VLOOKUP($B1367,'Node Details'!$B:$U,E$1,0),"Check"),"")</f>
        <v>Airtel</v>
      </c>
      <c r="F1367" s="76">
        <v>46149</v>
      </c>
      <c r="G1367" s="74"/>
      <c r="H1367" s="10" t="s">
        <v>22</v>
      </c>
      <c r="I1367" s="9">
        <v>2</v>
      </c>
      <c r="J1367" s="9">
        <v>42</v>
      </c>
      <c r="K1367" s="77">
        <f t="shared" si="102"/>
        <v>84</v>
      </c>
      <c r="L1367" s="76">
        <v>46142</v>
      </c>
      <c r="N1367" s="83"/>
      <c r="O1367" s="84"/>
      <c r="P1367" s="81"/>
      <c r="Q1367" s="81"/>
      <c r="R1367" s="81"/>
      <c r="S1367" s="81"/>
      <c r="T1367" s="85"/>
      <c r="U1367" s="81"/>
      <c r="V1367" s="81"/>
      <c r="W1367" s="123">
        <f t="shared" si="101"/>
        <v>0</v>
      </c>
      <c r="X1367" s="123" t="s">
        <v>84</v>
      </c>
      <c r="Y1367" s="114" t="s">
        <v>1128</v>
      </c>
    </row>
    <row r="1368" spans="1:25" s="24" customFormat="1" ht="11.1" customHeight="1">
      <c r="A1368" s="74">
        <f t="shared" si="103"/>
        <v>1366</v>
      </c>
      <c r="B1368" s="75" t="s">
        <v>1181</v>
      </c>
      <c r="C1368" s="74" t="str">
        <f>IF($B1368&lt;&gt;"",_xlfn.IFNA(VLOOKUP($B1368,'Node Details'!$B:$U,C$1,0),"Check"),"")</f>
        <v>0000CM319-CM3190104</v>
      </c>
      <c r="D1368" s="74" t="str">
        <f>IF($B1368&lt;&gt;"",_xlfn.IFNA(VLOOKUP($B1368,'Node Details'!$B:$U,D$1,0),"Check"),"")</f>
        <v>CM3</v>
      </c>
      <c r="E1368" s="74" t="str">
        <f>IF($B1368&lt;&gt;"",_xlfn.IFNA(VLOOKUP($B1368,'Node Details'!$B:$U,E$1,0),"Check"),"")</f>
        <v>Airtel</v>
      </c>
      <c r="F1368" s="76">
        <v>46149</v>
      </c>
      <c r="G1368" s="74"/>
      <c r="H1368" s="10" t="s">
        <v>22</v>
      </c>
      <c r="I1368" s="9">
        <v>2</v>
      </c>
      <c r="J1368" s="9">
        <v>42</v>
      </c>
      <c r="K1368" s="77">
        <f t="shared" si="102"/>
        <v>84</v>
      </c>
      <c r="L1368" s="76">
        <v>46142</v>
      </c>
      <c r="N1368" s="83"/>
      <c r="O1368" s="84"/>
      <c r="P1368" s="81"/>
      <c r="Q1368" s="81"/>
      <c r="R1368" s="81"/>
      <c r="S1368" s="81"/>
      <c r="T1368" s="85"/>
      <c r="U1368" s="81"/>
      <c r="V1368" s="81"/>
      <c r="W1368" s="123">
        <f t="shared" si="101"/>
        <v>0</v>
      </c>
      <c r="X1368" s="123" t="s">
        <v>84</v>
      </c>
      <c r="Y1368" s="114" t="s">
        <v>1128</v>
      </c>
    </row>
    <row r="1369" spans="1:25" s="24" customFormat="1" ht="11.1" customHeight="1">
      <c r="A1369" s="74">
        <f t="shared" si="103"/>
        <v>1367</v>
      </c>
      <c r="B1369" s="75" t="s">
        <v>763</v>
      </c>
      <c r="C1369" s="74" t="str">
        <f>IF($B1369&lt;&gt;"",_xlfn.IFNA(VLOOKUP($B1369,'Node Details'!$B:$U,C$1,0),"Check"),"")</f>
        <v>0000CM319-CM3190104</v>
      </c>
      <c r="D1369" s="74" t="str">
        <f>IF($B1369&lt;&gt;"",_xlfn.IFNA(VLOOKUP($B1369,'Node Details'!$B:$U,D$1,0),"Check"),"")</f>
        <v>CM3</v>
      </c>
      <c r="E1369" s="74" t="str">
        <f>IF($B1369&lt;&gt;"",_xlfn.IFNA(VLOOKUP($B1369,'Node Details'!$B:$U,E$1,0),"Check"),"")</f>
        <v>Airtel</v>
      </c>
      <c r="F1369" s="76">
        <v>46149</v>
      </c>
      <c r="G1369" s="74"/>
      <c r="H1369" s="10" t="s">
        <v>22</v>
      </c>
      <c r="I1369" s="9">
        <v>2</v>
      </c>
      <c r="J1369" s="9">
        <v>42</v>
      </c>
      <c r="K1369" s="77">
        <f t="shared" si="102"/>
        <v>84</v>
      </c>
      <c r="L1369" s="76">
        <v>46142</v>
      </c>
      <c r="N1369" s="83"/>
      <c r="O1369" s="84"/>
      <c r="P1369" s="81"/>
      <c r="Q1369" s="81"/>
      <c r="R1369" s="81"/>
      <c r="S1369" s="81"/>
      <c r="T1369" s="85"/>
      <c r="U1369" s="81"/>
      <c r="V1369" s="81"/>
      <c r="W1369" s="123">
        <f t="shared" si="101"/>
        <v>0</v>
      </c>
      <c r="X1369" s="123" t="s">
        <v>84</v>
      </c>
      <c r="Y1369" s="114" t="s">
        <v>1128</v>
      </c>
    </row>
    <row r="1370" spans="1:25" s="24" customFormat="1" ht="11.1" customHeight="1">
      <c r="A1370" s="74">
        <f t="shared" si="103"/>
        <v>1368</v>
      </c>
      <c r="B1370" s="75" t="s">
        <v>1182</v>
      </c>
      <c r="C1370" s="74" t="str">
        <f>IF($B1370&lt;&gt;"",_xlfn.IFNA(VLOOKUP($B1370,'Node Details'!$B:$U,C$1,0),"Check"),"")</f>
        <v>0000CM319-CM3190108</v>
      </c>
      <c r="D1370" s="74" t="str">
        <f>IF($B1370&lt;&gt;"",_xlfn.IFNA(VLOOKUP($B1370,'Node Details'!$B:$U,D$1,0),"Check"),"")</f>
        <v>CM3</v>
      </c>
      <c r="E1370" s="74" t="str">
        <f>IF($B1370&lt;&gt;"",_xlfn.IFNA(VLOOKUP($B1370,'Node Details'!$B:$U,E$1,0),"Check"),"")</f>
        <v>Airtel</v>
      </c>
      <c r="F1370" s="76">
        <v>46149</v>
      </c>
      <c r="G1370" s="74"/>
      <c r="H1370" s="10" t="s">
        <v>22</v>
      </c>
      <c r="I1370" s="9">
        <v>2</v>
      </c>
      <c r="J1370" s="9">
        <v>42</v>
      </c>
      <c r="K1370" s="77">
        <f t="shared" si="102"/>
        <v>84</v>
      </c>
      <c r="L1370" s="76">
        <v>46142</v>
      </c>
      <c r="N1370" s="83"/>
      <c r="O1370" s="84"/>
      <c r="P1370" s="81"/>
      <c r="Q1370" s="81"/>
      <c r="R1370" s="81"/>
      <c r="S1370" s="81"/>
      <c r="T1370" s="85"/>
      <c r="U1370" s="81"/>
      <c r="V1370" s="81"/>
      <c r="W1370" s="123">
        <f t="shared" si="101"/>
        <v>0</v>
      </c>
      <c r="X1370" s="123" t="s">
        <v>84</v>
      </c>
      <c r="Y1370" s="114" t="s">
        <v>1128</v>
      </c>
    </row>
    <row r="1371" spans="1:25" s="24" customFormat="1" ht="11.1" customHeight="1">
      <c r="A1371" s="74">
        <f t="shared" si="103"/>
        <v>1369</v>
      </c>
      <c r="B1371" s="75" t="s">
        <v>1183</v>
      </c>
      <c r="C1371" s="74" t="str">
        <f>IF($B1371&lt;&gt;"",_xlfn.IFNA(VLOOKUP($B1371,'Node Details'!$B:$U,C$1,0),"Check"),"")</f>
        <v>0000CM319-CM3190108</v>
      </c>
      <c r="D1371" s="74" t="str">
        <f>IF($B1371&lt;&gt;"",_xlfn.IFNA(VLOOKUP($B1371,'Node Details'!$B:$U,D$1,0),"Check"),"")</f>
        <v>CM3</v>
      </c>
      <c r="E1371" s="74" t="str">
        <f>IF($B1371&lt;&gt;"",_xlfn.IFNA(VLOOKUP($B1371,'Node Details'!$B:$U,E$1,0),"Check"),"")</f>
        <v>Airtel</v>
      </c>
      <c r="F1371" s="76">
        <v>46149</v>
      </c>
      <c r="G1371" s="74"/>
      <c r="H1371" s="10" t="s">
        <v>22</v>
      </c>
      <c r="I1371" s="9">
        <v>2</v>
      </c>
      <c r="J1371" s="9">
        <v>42</v>
      </c>
      <c r="K1371" s="77">
        <f t="shared" si="102"/>
        <v>84</v>
      </c>
      <c r="L1371" s="76">
        <v>46142</v>
      </c>
      <c r="N1371" s="83"/>
      <c r="O1371" s="84"/>
      <c r="P1371" s="81"/>
      <c r="Q1371" s="81"/>
      <c r="R1371" s="81"/>
      <c r="S1371" s="81"/>
      <c r="T1371" s="85"/>
      <c r="U1371" s="81"/>
      <c r="V1371" s="81"/>
      <c r="W1371" s="123">
        <f t="shared" si="101"/>
        <v>0</v>
      </c>
      <c r="X1371" s="123" t="s">
        <v>84</v>
      </c>
      <c r="Y1371" s="114" t="s">
        <v>1128</v>
      </c>
    </row>
    <row r="1372" spans="1:25" s="24" customFormat="1" ht="11.1" customHeight="1">
      <c r="A1372" s="74">
        <f t="shared" si="103"/>
        <v>1370</v>
      </c>
      <c r="B1372" s="75" t="s">
        <v>1184</v>
      </c>
      <c r="C1372" s="74" t="str">
        <f>IF($B1372&lt;&gt;"",_xlfn.IFNA(VLOOKUP($B1372,'Node Details'!$B:$U,C$1,0),"Check"),"")</f>
        <v>0000CM319-CM3190108</v>
      </c>
      <c r="D1372" s="74" t="str">
        <f>IF($B1372&lt;&gt;"",_xlfn.IFNA(VLOOKUP($B1372,'Node Details'!$B:$U,D$1,0),"Check"),"")</f>
        <v>CM3</v>
      </c>
      <c r="E1372" s="74" t="str">
        <f>IF($B1372&lt;&gt;"",_xlfn.IFNA(VLOOKUP($B1372,'Node Details'!$B:$U,E$1,0),"Check"),"")</f>
        <v>Airtel</v>
      </c>
      <c r="F1372" s="76">
        <v>46149</v>
      </c>
      <c r="G1372" s="74"/>
      <c r="H1372" s="10" t="s">
        <v>22</v>
      </c>
      <c r="I1372" s="9">
        <v>2</v>
      </c>
      <c r="J1372" s="9">
        <v>42</v>
      </c>
      <c r="K1372" s="77">
        <f t="shared" si="102"/>
        <v>84</v>
      </c>
      <c r="L1372" s="76">
        <v>46142</v>
      </c>
      <c r="N1372" s="83"/>
      <c r="O1372" s="84"/>
      <c r="P1372" s="81"/>
      <c r="Q1372" s="81"/>
      <c r="R1372" s="81"/>
      <c r="S1372" s="81"/>
      <c r="T1372" s="85"/>
      <c r="U1372" s="81"/>
      <c r="V1372" s="81"/>
      <c r="W1372" s="123">
        <f t="shared" si="101"/>
        <v>0</v>
      </c>
      <c r="X1372" s="123" t="s">
        <v>84</v>
      </c>
      <c r="Y1372" s="114" t="s">
        <v>1128</v>
      </c>
    </row>
    <row r="1373" spans="1:25" s="24" customFormat="1" ht="11.1" customHeight="1">
      <c r="A1373" s="74">
        <f t="shared" si="103"/>
        <v>1371</v>
      </c>
      <c r="B1373" s="75" t="s">
        <v>765</v>
      </c>
      <c r="C1373" s="74" t="str">
        <f>IF($B1373&lt;&gt;"",_xlfn.IFNA(VLOOKUP($B1373,'Node Details'!$B:$U,C$1,0),"Check"),"")</f>
        <v>0000CM319-CM3190108</v>
      </c>
      <c r="D1373" s="74" t="str">
        <f>IF($B1373&lt;&gt;"",_xlfn.IFNA(VLOOKUP($B1373,'Node Details'!$B:$U,D$1,0),"Check"),"")</f>
        <v>CM3</v>
      </c>
      <c r="E1373" s="74" t="str">
        <f>IF($B1373&lt;&gt;"",_xlfn.IFNA(VLOOKUP($B1373,'Node Details'!$B:$U,E$1,0),"Check"),"")</f>
        <v>Airtel</v>
      </c>
      <c r="F1373" s="76">
        <v>46149</v>
      </c>
      <c r="G1373" s="74"/>
      <c r="H1373" s="10" t="s">
        <v>22</v>
      </c>
      <c r="I1373" s="9">
        <v>2</v>
      </c>
      <c r="J1373" s="9">
        <v>42</v>
      </c>
      <c r="K1373" s="77">
        <f t="shared" si="102"/>
        <v>84</v>
      </c>
      <c r="L1373" s="76">
        <v>46142</v>
      </c>
      <c r="N1373" s="83"/>
      <c r="O1373" s="84"/>
      <c r="P1373" s="81"/>
      <c r="Q1373" s="81"/>
      <c r="R1373" s="81"/>
      <c r="S1373" s="81"/>
      <c r="T1373" s="85"/>
      <c r="U1373" s="81"/>
      <c r="V1373" s="81"/>
      <c r="W1373" s="123">
        <f t="shared" si="101"/>
        <v>0</v>
      </c>
      <c r="X1373" s="123" t="s">
        <v>84</v>
      </c>
      <c r="Y1373" s="114" t="s">
        <v>1128</v>
      </c>
    </row>
    <row r="1374" spans="1:25" s="24" customFormat="1" ht="11.1" customHeight="1">
      <c r="A1374" s="74">
        <f t="shared" si="103"/>
        <v>1372</v>
      </c>
      <c r="B1374" s="75" t="s">
        <v>768</v>
      </c>
      <c r="C1374" s="74" t="str">
        <f>IF($B1374&lt;&gt;"",_xlfn.IFNA(VLOOKUP($B1374,'Node Details'!$B:$U,C$1,0),"Check"),"")</f>
        <v>0000CM320-CM3200101</v>
      </c>
      <c r="D1374" s="74" t="str">
        <f>IF($B1374&lt;&gt;"",_xlfn.IFNA(VLOOKUP($B1374,'Node Details'!$B:$U,D$1,0),"Check"),"")</f>
        <v>CM3</v>
      </c>
      <c r="E1374" s="74" t="str">
        <f>IF($B1374&lt;&gt;"",_xlfn.IFNA(VLOOKUP($B1374,'Node Details'!$B:$U,E$1,0),"Check"),"")</f>
        <v>Airtel</v>
      </c>
      <c r="F1374" s="76">
        <v>46149</v>
      </c>
      <c r="G1374" s="74"/>
      <c r="H1374" s="10" t="s">
        <v>22</v>
      </c>
      <c r="I1374" s="9">
        <v>2</v>
      </c>
      <c r="J1374" s="9">
        <v>42</v>
      </c>
      <c r="K1374" s="77">
        <f t="shared" si="102"/>
        <v>84</v>
      </c>
      <c r="L1374" s="76">
        <v>46142</v>
      </c>
      <c r="N1374" s="83"/>
      <c r="O1374" s="84"/>
      <c r="P1374" s="81"/>
      <c r="Q1374" s="81"/>
      <c r="R1374" s="81"/>
      <c r="S1374" s="81"/>
      <c r="T1374" s="85"/>
      <c r="U1374" s="81"/>
      <c r="V1374" s="81"/>
      <c r="W1374" s="123">
        <f t="shared" si="101"/>
        <v>0</v>
      </c>
      <c r="X1374" s="123" t="s">
        <v>84</v>
      </c>
      <c r="Y1374" s="114" t="s">
        <v>1128</v>
      </c>
    </row>
    <row r="1375" spans="1:25" s="24" customFormat="1" ht="11.1" customHeight="1">
      <c r="A1375" s="74">
        <f t="shared" si="103"/>
        <v>1373</v>
      </c>
      <c r="B1375" s="75" t="s">
        <v>1185</v>
      </c>
      <c r="C1375" s="74" t="str">
        <f>IF($B1375&lt;&gt;"",_xlfn.IFNA(VLOOKUP($B1375,'Node Details'!$B:$U,C$1,0),"Check"),"")</f>
        <v>0000CM320-CM3200104</v>
      </c>
      <c r="D1375" s="74" t="str">
        <f>IF($B1375&lt;&gt;"",_xlfn.IFNA(VLOOKUP($B1375,'Node Details'!$B:$U,D$1,0),"Check"),"")</f>
        <v>CM3</v>
      </c>
      <c r="E1375" s="74" t="str">
        <f>IF($B1375&lt;&gt;"",_xlfn.IFNA(VLOOKUP($B1375,'Node Details'!$B:$U,E$1,0),"Check"),"")</f>
        <v>Airtel</v>
      </c>
      <c r="F1375" s="76">
        <v>46149</v>
      </c>
      <c r="G1375" s="74"/>
      <c r="H1375" s="10" t="s">
        <v>22</v>
      </c>
      <c r="I1375" s="9">
        <v>2</v>
      </c>
      <c r="J1375" s="9">
        <v>42</v>
      </c>
      <c r="K1375" s="77">
        <f t="shared" si="102"/>
        <v>84</v>
      </c>
      <c r="L1375" s="76">
        <v>46142</v>
      </c>
      <c r="N1375" s="83"/>
      <c r="O1375" s="84"/>
      <c r="P1375" s="81"/>
      <c r="Q1375" s="81"/>
      <c r="R1375" s="81"/>
      <c r="S1375" s="81"/>
      <c r="T1375" s="85"/>
      <c r="U1375" s="81"/>
      <c r="V1375" s="81"/>
      <c r="W1375" s="123">
        <f t="shared" si="101"/>
        <v>0</v>
      </c>
      <c r="X1375" s="123" t="s">
        <v>84</v>
      </c>
      <c r="Y1375" s="114" t="s">
        <v>1128</v>
      </c>
    </row>
    <row r="1376" spans="1:25" s="24" customFormat="1" ht="11.1" customHeight="1">
      <c r="A1376" s="74">
        <f t="shared" si="103"/>
        <v>1374</v>
      </c>
      <c r="B1376" s="75" t="s">
        <v>1186</v>
      </c>
      <c r="C1376" s="74" t="str">
        <f>IF($B1376&lt;&gt;"",_xlfn.IFNA(VLOOKUP($B1376,'Node Details'!$B:$U,C$1,0),"Check"),"")</f>
        <v>0000CM320-CM3200104</v>
      </c>
      <c r="D1376" s="74" t="str">
        <f>IF($B1376&lt;&gt;"",_xlfn.IFNA(VLOOKUP($B1376,'Node Details'!$B:$U,D$1,0),"Check"),"")</f>
        <v>CM3</v>
      </c>
      <c r="E1376" s="74" t="str">
        <f>IF($B1376&lt;&gt;"",_xlfn.IFNA(VLOOKUP($B1376,'Node Details'!$B:$U,E$1,0),"Check"),"")</f>
        <v>Airtel</v>
      </c>
      <c r="F1376" s="76">
        <v>46149</v>
      </c>
      <c r="G1376" s="74"/>
      <c r="H1376" s="10" t="s">
        <v>22</v>
      </c>
      <c r="I1376" s="9">
        <v>2</v>
      </c>
      <c r="J1376" s="9">
        <v>42</v>
      </c>
      <c r="K1376" s="77">
        <f t="shared" si="102"/>
        <v>84</v>
      </c>
      <c r="L1376" s="76">
        <v>46142</v>
      </c>
      <c r="N1376" s="83"/>
      <c r="O1376" s="84"/>
      <c r="P1376" s="81"/>
      <c r="Q1376" s="81"/>
      <c r="R1376" s="81"/>
      <c r="S1376" s="81"/>
      <c r="T1376" s="85"/>
      <c r="U1376" s="81"/>
      <c r="V1376" s="81"/>
      <c r="W1376" s="123">
        <f t="shared" si="101"/>
        <v>0</v>
      </c>
      <c r="X1376" s="123" t="s">
        <v>84</v>
      </c>
      <c r="Y1376" s="114" t="s">
        <v>1128</v>
      </c>
    </row>
    <row r="1377" spans="1:25" s="24" customFormat="1" ht="11.1" customHeight="1">
      <c r="A1377" s="74">
        <f t="shared" si="103"/>
        <v>1375</v>
      </c>
      <c r="B1377" s="75" t="s">
        <v>770</v>
      </c>
      <c r="C1377" s="74" t="str">
        <f>IF($B1377&lt;&gt;"",_xlfn.IFNA(VLOOKUP($B1377,'Node Details'!$B:$U,C$1,0),"Check"),"")</f>
        <v>0000CM320-CM3200104</v>
      </c>
      <c r="D1377" s="74" t="str">
        <f>IF($B1377&lt;&gt;"",_xlfn.IFNA(VLOOKUP($B1377,'Node Details'!$B:$U,D$1,0),"Check"),"")</f>
        <v>CM3</v>
      </c>
      <c r="E1377" s="74" t="str">
        <f>IF($B1377&lt;&gt;"",_xlfn.IFNA(VLOOKUP($B1377,'Node Details'!$B:$U,E$1,0),"Check"),"")</f>
        <v>Airtel</v>
      </c>
      <c r="F1377" s="76">
        <v>46149</v>
      </c>
      <c r="G1377" s="74"/>
      <c r="H1377" s="10" t="s">
        <v>22</v>
      </c>
      <c r="I1377" s="9">
        <v>2</v>
      </c>
      <c r="J1377" s="9">
        <v>42</v>
      </c>
      <c r="K1377" s="77">
        <f t="shared" si="102"/>
        <v>84</v>
      </c>
      <c r="L1377" s="76">
        <v>46142</v>
      </c>
      <c r="N1377" s="83"/>
      <c r="O1377" s="84"/>
      <c r="P1377" s="81"/>
      <c r="Q1377" s="81"/>
      <c r="R1377" s="81"/>
      <c r="S1377" s="81"/>
      <c r="T1377" s="85"/>
      <c r="U1377" s="81"/>
      <c r="V1377" s="81"/>
      <c r="W1377" s="123">
        <f t="shared" si="101"/>
        <v>0</v>
      </c>
      <c r="X1377" s="123" t="s">
        <v>84</v>
      </c>
      <c r="Y1377" s="114" t="s">
        <v>1128</v>
      </c>
    </row>
    <row r="1378" spans="1:25" s="24" customFormat="1" ht="11.1" customHeight="1">
      <c r="A1378" s="74">
        <f t="shared" si="103"/>
        <v>1376</v>
      </c>
      <c r="B1378" s="75" t="s">
        <v>1187</v>
      </c>
      <c r="C1378" s="74" t="str">
        <f>IF($B1378&lt;&gt;"",_xlfn.IFNA(VLOOKUP($B1378,'Node Details'!$B:$U,C$1,0),"Check"),"")</f>
        <v>0000CM321-CM3210104</v>
      </c>
      <c r="D1378" s="74" t="str">
        <f>IF($B1378&lt;&gt;"",_xlfn.IFNA(VLOOKUP($B1378,'Node Details'!$B:$U,D$1,0),"Check"),"")</f>
        <v>CM3</v>
      </c>
      <c r="E1378" s="74" t="str">
        <f>IF($B1378&lt;&gt;"",_xlfn.IFNA(VLOOKUP($B1378,'Node Details'!$B:$U,E$1,0),"Check"),"")</f>
        <v>Airtel</v>
      </c>
      <c r="F1378" s="76">
        <v>46149</v>
      </c>
      <c r="G1378" s="74"/>
      <c r="H1378" s="10" t="s">
        <v>22</v>
      </c>
      <c r="I1378" s="9">
        <v>2</v>
      </c>
      <c r="J1378" s="9">
        <v>42</v>
      </c>
      <c r="K1378" s="77">
        <f t="shared" si="102"/>
        <v>84</v>
      </c>
      <c r="L1378" s="76">
        <v>46142</v>
      </c>
      <c r="N1378" s="83"/>
      <c r="O1378" s="84"/>
      <c r="P1378" s="81"/>
      <c r="Q1378" s="81"/>
      <c r="R1378" s="81"/>
      <c r="S1378" s="81"/>
      <c r="T1378" s="85"/>
      <c r="U1378" s="81"/>
      <c r="V1378" s="81"/>
      <c r="W1378" s="123">
        <f t="shared" si="101"/>
        <v>0</v>
      </c>
      <c r="X1378" s="123" t="s">
        <v>84</v>
      </c>
      <c r="Y1378" s="114" t="s">
        <v>1128</v>
      </c>
    </row>
    <row r="1379" spans="1:25" s="24" customFormat="1" ht="11.1" customHeight="1">
      <c r="A1379" s="74">
        <f t="shared" si="103"/>
        <v>1377</v>
      </c>
      <c r="B1379" s="75" t="s">
        <v>1188</v>
      </c>
      <c r="C1379" s="74" t="str">
        <f>IF($B1379&lt;&gt;"",_xlfn.IFNA(VLOOKUP($B1379,'Node Details'!$B:$U,C$1,0),"Check"),"")</f>
        <v>0000CM321-CM3210104</v>
      </c>
      <c r="D1379" s="74" t="str">
        <f>IF($B1379&lt;&gt;"",_xlfn.IFNA(VLOOKUP($B1379,'Node Details'!$B:$U,D$1,0),"Check"),"")</f>
        <v>CM3</v>
      </c>
      <c r="E1379" s="74" t="str">
        <f>IF($B1379&lt;&gt;"",_xlfn.IFNA(VLOOKUP($B1379,'Node Details'!$B:$U,E$1,0),"Check"),"")</f>
        <v>Airtel</v>
      </c>
      <c r="F1379" s="76">
        <v>46149</v>
      </c>
      <c r="G1379" s="74"/>
      <c r="H1379" s="10" t="s">
        <v>22</v>
      </c>
      <c r="I1379" s="9">
        <v>2</v>
      </c>
      <c r="J1379" s="9">
        <v>42</v>
      </c>
      <c r="K1379" s="77">
        <f t="shared" si="102"/>
        <v>84</v>
      </c>
      <c r="L1379" s="76">
        <v>46142</v>
      </c>
      <c r="N1379" s="83"/>
      <c r="O1379" s="84"/>
      <c r="P1379" s="81"/>
      <c r="Q1379" s="81"/>
      <c r="R1379" s="81"/>
      <c r="S1379" s="81"/>
      <c r="T1379" s="85"/>
      <c r="U1379" s="81"/>
      <c r="V1379" s="81"/>
      <c r="W1379" s="123">
        <f t="shared" si="101"/>
        <v>0</v>
      </c>
      <c r="X1379" s="123" t="s">
        <v>84</v>
      </c>
      <c r="Y1379" s="114" t="s">
        <v>1128</v>
      </c>
    </row>
    <row r="1380" spans="1:25" s="24" customFormat="1" ht="11.1" customHeight="1">
      <c r="A1380" s="74">
        <f t="shared" si="103"/>
        <v>1378</v>
      </c>
      <c r="B1380" s="75" t="s">
        <v>1189</v>
      </c>
      <c r="C1380" s="74" t="str">
        <f>IF($B1380&lt;&gt;"",_xlfn.IFNA(VLOOKUP($B1380,'Node Details'!$B:$U,C$1,0),"Check"),"")</f>
        <v>0000CM321-CM3210104</v>
      </c>
      <c r="D1380" s="74" t="str">
        <f>IF($B1380&lt;&gt;"",_xlfn.IFNA(VLOOKUP($B1380,'Node Details'!$B:$U,D$1,0),"Check"),"")</f>
        <v>CM3</v>
      </c>
      <c r="E1380" s="74" t="str">
        <f>IF($B1380&lt;&gt;"",_xlfn.IFNA(VLOOKUP($B1380,'Node Details'!$B:$U,E$1,0),"Check"),"")</f>
        <v>Airtel</v>
      </c>
      <c r="F1380" s="76">
        <v>46149</v>
      </c>
      <c r="G1380" s="74"/>
      <c r="H1380" s="10" t="s">
        <v>22</v>
      </c>
      <c r="I1380" s="9">
        <v>2</v>
      </c>
      <c r="J1380" s="9">
        <v>42</v>
      </c>
      <c r="K1380" s="77">
        <f t="shared" si="102"/>
        <v>84</v>
      </c>
      <c r="L1380" s="76">
        <v>46142</v>
      </c>
      <c r="N1380" s="83"/>
      <c r="O1380" s="84"/>
      <c r="P1380" s="81"/>
      <c r="Q1380" s="81"/>
      <c r="R1380" s="81"/>
      <c r="S1380" s="81"/>
      <c r="T1380" s="85"/>
      <c r="U1380" s="81"/>
      <c r="V1380" s="81"/>
      <c r="W1380" s="123">
        <f t="shared" si="101"/>
        <v>0</v>
      </c>
      <c r="X1380" s="123" t="s">
        <v>84</v>
      </c>
      <c r="Y1380" s="114" t="s">
        <v>1128</v>
      </c>
    </row>
    <row r="1381" spans="1:25" s="24" customFormat="1" ht="11.1" customHeight="1">
      <c r="A1381" s="74">
        <f t="shared" si="103"/>
        <v>1379</v>
      </c>
      <c r="B1381" s="75" t="s">
        <v>773</v>
      </c>
      <c r="C1381" s="74" t="str">
        <f>IF($B1381&lt;&gt;"",_xlfn.IFNA(VLOOKUP($B1381,'Node Details'!$B:$U,C$1,0),"Check"),"")</f>
        <v>0000CM321-CM3210104</v>
      </c>
      <c r="D1381" s="74" t="str">
        <f>IF($B1381&lt;&gt;"",_xlfn.IFNA(VLOOKUP($B1381,'Node Details'!$B:$U,D$1,0),"Check"),"")</f>
        <v>CM3</v>
      </c>
      <c r="E1381" s="74" t="str">
        <f>IF($B1381&lt;&gt;"",_xlfn.IFNA(VLOOKUP($B1381,'Node Details'!$B:$U,E$1,0),"Check"),"")</f>
        <v>Airtel</v>
      </c>
      <c r="F1381" s="76">
        <v>46149</v>
      </c>
      <c r="G1381" s="74"/>
      <c r="H1381" s="10" t="s">
        <v>22</v>
      </c>
      <c r="I1381" s="9">
        <v>2</v>
      </c>
      <c r="J1381" s="9">
        <v>42</v>
      </c>
      <c r="K1381" s="77">
        <f t="shared" si="102"/>
        <v>84</v>
      </c>
      <c r="L1381" s="76">
        <v>46142</v>
      </c>
      <c r="N1381" s="83"/>
      <c r="O1381" s="84"/>
      <c r="P1381" s="81"/>
      <c r="Q1381" s="81"/>
      <c r="R1381" s="81"/>
      <c r="S1381" s="81"/>
      <c r="T1381" s="85"/>
      <c r="U1381" s="81"/>
      <c r="V1381" s="81"/>
      <c r="W1381" s="123">
        <f t="shared" si="101"/>
        <v>0</v>
      </c>
      <c r="X1381" s="123" t="s">
        <v>84</v>
      </c>
      <c r="Y1381" s="114" t="s">
        <v>1128</v>
      </c>
    </row>
    <row r="1382" spans="1:25" s="24" customFormat="1" ht="11.1" customHeight="1">
      <c r="A1382" s="74">
        <f t="shared" si="103"/>
        <v>1380</v>
      </c>
      <c r="B1382" s="75" t="s">
        <v>1190</v>
      </c>
      <c r="C1382" s="74" t="str">
        <f>IF($B1382&lt;&gt;"",_xlfn.IFNA(VLOOKUP($B1382,'Node Details'!$B:$U,C$1,0),"Check"),"")</f>
        <v>0000CM322-CM3220108</v>
      </c>
      <c r="D1382" s="74" t="str">
        <f>IF($B1382&lt;&gt;"",_xlfn.IFNA(VLOOKUP($B1382,'Node Details'!$B:$U,D$1,0),"Check"),"")</f>
        <v>CM3</v>
      </c>
      <c r="E1382" s="74" t="str">
        <f>IF($B1382&lt;&gt;"",_xlfn.IFNA(VLOOKUP($B1382,'Node Details'!$B:$U,E$1,0),"Check"),"")</f>
        <v>Airtel</v>
      </c>
      <c r="F1382" s="76">
        <v>46149</v>
      </c>
      <c r="G1382" s="74"/>
      <c r="H1382" s="10" t="s">
        <v>22</v>
      </c>
      <c r="I1382" s="9">
        <v>2</v>
      </c>
      <c r="J1382" s="9">
        <v>42</v>
      </c>
      <c r="K1382" s="77">
        <f t="shared" si="102"/>
        <v>84</v>
      </c>
      <c r="L1382" s="76">
        <v>46142</v>
      </c>
      <c r="N1382" s="83"/>
      <c r="O1382" s="84"/>
      <c r="P1382" s="81"/>
      <c r="Q1382" s="81"/>
      <c r="R1382" s="81"/>
      <c r="S1382" s="81"/>
      <c r="T1382" s="85"/>
      <c r="U1382" s="81"/>
      <c r="V1382" s="81"/>
      <c r="W1382" s="123">
        <f t="shared" si="101"/>
        <v>0</v>
      </c>
      <c r="X1382" s="123" t="s">
        <v>84</v>
      </c>
      <c r="Y1382" s="114" t="s">
        <v>1128</v>
      </c>
    </row>
    <row r="1383" spans="1:25" s="24" customFormat="1" ht="11.1" customHeight="1">
      <c r="A1383" s="74">
        <f t="shared" si="103"/>
        <v>1381</v>
      </c>
      <c r="B1383" s="75" t="s">
        <v>1191</v>
      </c>
      <c r="C1383" s="74" t="str">
        <f>IF($B1383&lt;&gt;"",_xlfn.IFNA(VLOOKUP($B1383,'Node Details'!$B:$U,C$1,0),"Check"),"")</f>
        <v>0000CM322-CM3220108</v>
      </c>
      <c r="D1383" s="74" t="str">
        <f>IF($B1383&lt;&gt;"",_xlfn.IFNA(VLOOKUP($B1383,'Node Details'!$B:$U,D$1,0),"Check"),"")</f>
        <v>CM3</v>
      </c>
      <c r="E1383" s="74" t="str">
        <f>IF($B1383&lt;&gt;"",_xlfn.IFNA(VLOOKUP($B1383,'Node Details'!$B:$U,E$1,0),"Check"),"")</f>
        <v>Airtel</v>
      </c>
      <c r="F1383" s="76">
        <v>46149</v>
      </c>
      <c r="G1383" s="74"/>
      <c r="H1383" s="10" t="s">
        <v>22</v>
      </c>
      <c r="I1383" s="9">
        <v>2</v>
      </c>
      <c r="J1383" s="9">
        <v>42</v>
      </c>
      <c r="K1383" s="77">
        <f t="shared" si="102"/>
        <v>84</v>
      </c>
      <c r="L1383" s="76">
        <v>46142</v>
      </c>
      <c r="N1383" s="83"/>
      <c r="O1383" s="84"/>
      <c r="P1383" s="81"/>
      <c r="Q1383" s="81"/>
      <c r="R1383" s="81"/>
      <c r="S1383" s="81"/>
      <c r="T1383" s="85"/>
      <c r="U1383" s="81"/>
      <c r="V1383" s="81"/>
      <c r="W1383" s="123">
        <f t="shared" si="101"/>
        <v>0</v>
      </c>
      <c r="X1383" s="123" t="s">
        <v>84</v>
      </c>
      <c r="Y1383" s="114" t="s">
        <v>1128</v>
      </c>
    </row>
    <row r="1384" spans="1:25" s="24" customFormat="1" ht="11.1" customHeight="1">
      <c r="A1384" s="74">
        <f t="shared" si="103"/>
        <v>1382</v>
      </c>
      <c r="B1384" s="75" t="s">
        <v>1192</v>
      </c>
      <c r="C1384" s="74" t="str">
        <f>IF($B1384&lt;&gt;"",_xlfn.IFNA(VLOOKUP($B1384,'Node Details'!$B:$U,C$1,0),"Check"),"")</f>
        <v>0000CM322-CM3220108</v>
      </c>
      <c r="D1384" s="74" t="str">
        <f>IF($B1384&lt;&gt;"",_xlfn.IFNA(VLOOKUP($B1384,'Node Details'!$B:$U,D$1,0),"Check"),"")</f>
        <v>CM3</v>
      </c>
      <c r="E1384" s="74" t="str">
        <f>IF($B1384&lt;&gt;"",_xlfn.IFNA(VLOOKUP($B1384,'Node Details'!$B:$U,E$1,0),"Check"),"")</f>
        <v>Airtel</v>
      </c>
      <c r="F1384" s="76">
        <v>46149</v>
      </c>
      <c r="G1384" s="74"/>
      <c r="H1384" s="10" t="s">
        <v>22</v>
      </c>
      <c r="I1384" s="9">
        <v>2</v>
      </c>
      <c r="J1384" s="9">
        <v>42</v>
      </c>
      <c r="K1384" s="77">
        <f t="shared" si="102"/>
        <v>84</v>
      </c>
      <c r="L1384" s="76">
        <v>46142</v>
      </c>
      <c r="N1384" s="83"/>
      <c r="O1384" s="84"/>
      <c r="P1384" s="81"/>
      <c r="Q1384" s="81"/>
      <c r="R1384" s="81"/>
      <c r="S1384" s="81"/>
      <c r="T1384" s="85"/>
      <c r="U1384" s="81"/>
      <c r="V1384" s="81"/>
      <c r="W1384" s="123">
        <f t="shared" si="101"/>
        <v>0</v>
      </c>
      <c r="X1384" s="123" t="s">
        <v>84</v>
      </c>
      <c r="Y1384" s="114" t="s">
        <v>1128</v>
      </c>
    </row>
    <row r="1385" spans="1:25" s="24" customFormat="1" ht="11.1" customHeight="1">
      <c r="A1385" s="74">
        <f t="shared" si="103"/>
        <v>1383</v>
      </c>
      <c r="B1385" s="75" t="s">
        <v>776</v>
      </c>
      <c r="C1385" s="74" t="str">
        <f>IF($B1385&lt;&gt;"",_xlfn.IFNA(VLOOKUP($B1385,'Node Details'!$B:$U,C$1,0),"Check"),"")</f>
        <v>0000CM322-CM3220108</v>
      </c>
      <c r="D1385" s="74" t="str">
        <f>IF($B1385&lt;&gt;"",_xlfn.IFNA(VLOOKUP($B1385,'Node Details'!$B:$U,D$1,0),"Check"),"")</f>
        <v>CM3</v>
      </c>
      <c r="E1385" s="74" t="str">
        <f>IF($B1385&lt;&gt;"",_xlfn.IFNA(VLOOKUP($B1385,'Node Details'!$B:$U,E$1,0),"Check"),"")</f>
        <v>Airtel</v>
      </c>
      <c r="F1385" s="76">
        <v>46149</v>
      </c>
      <c r="G1385" s="74"/>
      <c r="H1385" s="10" t="s">
        <v>22</v>
      </c>
      <c r="I1385" s="9">
        <v>2</v>
      </c>
      <c r="J1385" s="9">
        <v>42</v>
      </c>
      <c r="K1385" s="77">
        <f t="shared" si="102"/>
        <v>84</v>
      </c>
      <c r="L1385" s="76">
        <v>46142</v>
      </c>
      <c r="N1385" s="83"/>
      <c r="O1385" s="84"/>
      <c r="P1385" s="81"/>
      <c r="Q1385" s="81"/>
      <c r="R1385" s="81"/>
      <c r="S1385" s="81"/>
      <c r="T1385" s="85"/>
      <c r="U1385" s="81"/>
      <c r="V1385" s="81"/>
      <c r="W1385" s="123">
        <f t="shared" si="101"/>
        <v>0</v>
      </c>
      <c r="X1385" s="123" t="s">
        <v>84</v>
      </c>
      <c r="Y1385" s="114" t="s">
        <v>1128</v>
      </c>
    </row>
    <row r="1386" spans="1:25" s="24" customFormat="1" ht="11.1" customHeight="1">
      <c r="A1386" s="74">
        <f t="shared" si="103"/>
        <v>1384</v>
      </c>
      <c r="B1386" s="75" t="s">
        <v>1193</v>
      </c>
      <c r="C1386" s="74" t="str">
        <f>IF($B1386&lt;&gt;"",_xlfn.IFNA(VLOOKUP($B1386,'Node Details'!$B:$U,C$1,0),"Check"),"")</f>
        <v>0000CM322-CM3220104</v>
      </c>
      <c r="D1386" s="74" t="str">
        <f>IF($B1386&lt;&gt;"",_xlfn.IFNA(VLOOKUP($B1386,'Node Details'!$B:$U,D$1,0),"Check"),"")</f>
        <v>CM3</v>
      </c>
      <c r="E1386" s="74" t="str">
        <f>IF($B1386&lt;&gt;"",_xlfn.IFNA(VLOOKUP($B1386,'Node Details'!$B:$U,E$1,0),"Check"),"")</f>
        <v>Airtel</v>
      </c>
      <c r="F1386" s="76">
        <v>46149</v>
      </c>
      <c r="G1386" s="74"/>
      <c r="H1386" s="10" t="s">
        <v>22</v>
      </c>
      <c r="I1386" s="9">
        <v>2</v>
      </c>
      <c r="J1386" s="9">
        <v>42</v>
      </c>
      <c r="K1386" s="77">
        <f t="shared" si="102"/>
        <v>84</v>
      </c>
      <c r="L1386" s="76">
        <v>46142</v>
      </c>
      <c r="N1386" s="83"/>
      <c r="O1386" s="84"/>
      <c r="P1386" s="81"/>
      <c r="Q1386" s="81"/>
      <c r="R1386" s="81"/>
      <c r="S1386" s="81"/>
      <c r="T1386" s="85"/>
      <c r="U1386" s="81"/>
      <c r="V1386" s="81"/>
      <c r="W1386" s="123">
        <f t="shared" si="101"/>
        <v>0</v>
      </c>
      <c r="X1386" s="123" t="s">
        <v>84</v>
      </c>
      <c r="Y1386" s="114" t="s">
        <v>1128</v>
      </c>
    </row>
    <row r="1387" spans="1:25" s="24" customFormat="1" ht="11.1" customHeight="1">
      <c r="A1387" s="74">
        <f t="shared" si="103"/>
        <v>1385</v>
      </c>
      <c r="B1387" s="75" t="s">
        <v>780</v>
      </c>
      <c r="C1387" s="74" t="str">
        <f>IF($B1387&lt;&gt;"",_xlfn.IFNA(VLOOKUP($B1387,'Node Details'!$B:$U,C$1,0),"Check"),"")</f>
        <v>0000CM322-CM3220104</v>
      </c>
      <c r="D1387" s="74" t="str">
        <f>IF($B1387&lt;&gt;"",_xlfn.IFNA(VLOOKUP($B1387,'Node Details'!$B:$U,D$1,0),"Check"),"")</f>
        <v>CM3</v>
      </c>
      <c r="E1387" s="74" t="str">
        <f>IF($B1387&lt;&gt;"",_xlfn.IFNA(VLOOKUP($B1387,'Node Details'!$B:$U,E$1,0),"Check"),"")</f>
        <v>Airtel</v>
      </c>
      <c r="F1387" s="76">
        <v>46149</v>
      </c>
      <c r="G1387" s="74"/>
      <c r="H1387" s="10" t="s">
        <v>22</v>
      </c>
      <c r="I1387" s="9">
        <v>2</v>
      </c>
      <c r="J1387" s="9">
        <v>42</v>
      </c>
      <c r="K1387" s="77">
        <f t="shared" si="102"/>
        <v>84</v>
      </c>
      <c r="L1387" s="76">
        <v>46142</v>
      </c>
      <c r="N1387" s="83"/>
      <c r="O1387" s="84"/>
      <c r="P1387" s="81"/>
      <c r="Q1387" s="81"/>
      <c r="R1387" s="81"/>
      <c r="S1387" s="81"/>
      <c r="T1387" s="85"/>
      <c r="U1387" s="81"/>
      <c r="V1387" s="81"/>
      <c r="W1387" s="123">
        <f t="shared" si="101"/>
        <v>0</v>
      </c>
      <c r="X1387" s="123" t="s">
        <v>84</v>
      </c>
      <c r="Y1387" s="114" t="s">
        <v>1128</v>
      </c>
    </row>
    <row r="1388" spans="1:25" s="24" customFormat="1" ht="11.1" customHeight="1">
      <c r="A1388" s="74">
        <f t="shared" si="103"/>
        <v>1386</v>
      </c>
      <c r="B1388" s="75" t="s">
        <v>778</v>
      </c>
      <c r="C1388" s="74" t="str">
        <f>IF($B1388&lt;&gt;"",_xlfn.IFNA(VLOOKUP($B1388,'Node Details'!$B:$U,C$1,0),"Check"),"")</f>
        <v>0000CM322-CM3220104</v>
      </c>
      <c r="D1388" s="74" t="str">
        <f>IF($B1388&lt;&gt;"",_xlfn.IFNA(VLOOKUP($B1388,'Node Details'!$B:$U,D$1,0),"Check"),"")</f>
        <v>CM3</v>
      </c>
      <c r="E1388" s="74" t="str">
        <f>IF($B1388&lt;&gt;"",_xlfn.IFNA(VLOOKUP($B1388,'Node Details'!$B:$U,E$1,0),"Check"),"")</f>
        <v>Airtel</v>
      </c>
      <c r="F1388" s="76">
        <v>46149</v>
      </c>
      <c r="G1388" s="74"/>
      <c r="H1388" s="10" t="s">
        <v>22</v>
      </c>
      <c r="I1388" s="9">
        <v>2</v>
      </c>
      <c r="J1388" s="9">
        <v>42</v>
      </c>
      <c r="K1388" s="77">
        <f t="shared" si="102"/>
        <v>84</v>
      </c>
      <c r="L1388" s="76">
        <v>46142</v>
      </c>
      <c r="N1388" s="83"/>
      <c r="O1388" s="84"/>
      <c r="P1388" s="81"/>
      <c r="Q1388" s="81"/>
      <c r="R1388" s="81"/>
      <c r="S1388" s="81"/>
      <c r="T1388" s="85"/>
      <c r="U1388" s="81"/>
      <c r="V1388" s="81"/>
      <c r="W1388" s="123">
        <f t="shared" si="101"/>
        <v>0</v>
      </c>
      <c r="X1388" s="123" t="s">
        <v>84</v>
      </c>
      <c r="Y1388" s="114" t="s">
        <v>1128</v>
      </c>
    </row>
    <row r="1389" spans="1:25" s="24" customFormat="1" ht="11.1" customHeight="1">
      <c r="A1389" s="74">
        <f t="shared" si="103"/>
        <v>1387</v>
      </c>
      <c r="B1389" s="75" t="s">
        <v>781</v>
      </c>
      <c r="C1389" s="74" t="str">
        <f>IF($B1389&lt;&gt;"",_xlfn.IFNA(VLOOKUP($B1389,'Node Details'!$B:$U,C$1,0),"Check"),"")</f>
        <v>CM3220102-CM3220103</v>
      </c>
      <c r="D1389" s="74" t="str">
        <f>IF($B1389&lt;&gt;"",_xlfn.IFNA(VLOOKUP($B1389,'Node Details'!$B:$U,D$1,0),"Check"),"")</f>
        <v>CM3</v>
      </c>
      <c r="E1389" s="74" t="str">
        <f>IF($B1389&lt;&gt;"",_xlfn.IFNA(VLOOKUP($B1389,'Node Details'!$B:$U,E$1,0),"Check"),"")</f>
        <v>Airtel</v>
      </c>
      <c r="F1389" s="76">
        <v>46149</v>
      </c>
      <c r="G1389" s="74"/>
      <c r="H1389" s="10" t="s">
        <v>22</v>
      </c>
      <c r="I1389" s="9">
        <v>2</v>
      </c>
      <c r="J1389" s="9">
        <v>42</v>
      </c>
      <c r="K1389" s="77">
        <f t="shared" si="102"/>
        <v>84</v>
      </c>
      <c r="L1389" s="76">
        <v>46142</v>
      </c>
      <c r="N1389" s="83"/>
      <c r="O1389" s="84"/>
      <c r="P1389" s="81"/>
      <c r="Q1389" s="81"/>
      <c r="R1389" s="81"/>
      <c r="S1389" s="81"/>
      <c r="T1389" s="85"/>
      <c r="U1389" s="81"/>
      <c r="V1389" s="81"/>
      <c r="W1389" s="123">
        <f t="shared" si="101"/>
        <v>0</v>
      </c>
      <c r="X1389" s="123" t="s">
        <v>84</v>
      </c>
      <c r="Y1389" s="114" t="s">
        <v>1128</v>
      </c>
    </row>
    <row r="1390" spans="1:25" s="24" customFormat="1" ht="11.1" customHeight="1">
      <c r="A1390" s="74">
        <f t="shared" si="103"/>
        <v>1388</v>
      </c>
      <c r="B1390" s="75" t="s">
        <v>784</v>
      </c>
      <c r="C1390" s="74" t="str">
        <f>IF($B1390&lt;&gt;"",_xlfn.IFNA(VLOOKUP($B1390,'Node Details'!$B:$U,C$1,0),"Check"),"")</f>
        <v>0000CM323-CM3230101</v>
      </c>
      <c r="D1390" s="74" t="str">
        <f>IF($B1390&lt;&gt;"",_xlfn.IFNA(VLOOKUP($B1390,'Node Details'!$B:$U,D$1,0),"Check"),"")</f>
        <v>CM3</v>
      </c>
      <c r="E1390" s="74" t="str">
        <f>IF($B1390&lt;&gt;"",_xlfn.IFNA(VLOOKUP($B1390,'Node Details'!$B:$U,E$1,0),"Check"),"")</f>
        <v>Airtel</v>
      </c>
      <c r="F1390" s="76">
        <v>46149</v>
      </c>
      <c r="G1390" s="74"/>
      <c r="H1390" s="10" t="s">
        <v>22</v>
      </c>
      <c r="I1390" s="9">
        <v>2</v>
      </c>
      <c r="J1390" s="9">
        <v>42</v>
      </c>
      <c r="K1390" s="77">
        <f t="shared" si="102"/>
        <v>84</v>
      </c>
      <c r="L1390" s="76">
        <v>46142</v>
      </c>
      <c r="N1390" s="83"/>
      <c r="O1390" s="84"/>
      <c r="P1390" s="81"/>
      <c r="Q1390" s="81"/>
      <c r="R1390" s="81"/>
      <c r="S1390" s="81"/>
      <c r="T1390" s="85"/>
      <c r="U1390" s="81"/>
      <c r="V1390" s="81"/>
      <c r="W1390" s="123">
        <f t="shared" si="101"/>
        <v>0</v>
      </c>
      <c r="X1390" s="123" t="s">
        <v>84</v>
      </c>
      <c r="Y1390" s="114" t="s">
        <v>1128</v>
      </c>
    </row>
    <row r="1391" spans="1:25" s="24" customFormat="1" ht="11.1" customHeight="1">
      <c r="A1391" s="74">
        <f t="shared" si="103"/>
        <v>1389</v>
      </c>
      <c r="B1391" s="75" t="s">
        <v>1194</v>
      </c>
      <c r="C1391" s="74" t="str">
        <f>IF($B1391&lt;&gt;"",_xlfn.IFNA(VLOOKUP($B1391,'Node Details'!$B:$U,C$1,0),"Check"),"")</f>
        <v>0000CM323-CM3230104</v>
      </c>
      <c r="D1391" s="74" t="str">
        <f>IF($B1391&lt;&gt;"",_xlfn.IFNA(VLOOKUP($B1391,'Node Details'!$B:$U,D$1,0),"Check"),"")</f>
        <v>CM3</v>
      </c>
      <c r="E1391" s="74" t="str">
        <f>IF($B1391&lt;&gt;"",_xlfn.IFNA(VLOOKUP($B1391,'Node Details'!$B:$U,E$1,0),"Check"),"")</f>
        <v>Airtel</v>
      </c>
      <c r="F1391" s="76">
        <v>46149</v>
      </c>
      <c r="G1391" s="74"/>
      <c r="H1391" s="10" t="s">
        <v>22</v>
      </c>
      <c r="I1391" s="9">
        <v>2</v>
      </c>
      <c r="J1391" s="9">
        <v>42</v>
      </c>
      <c r="K1391" s="77">
        <f t="shared" si="102"/>
        <v>84</v>
      </c>
      <c r="L1391" s="76">
        <v>46142</v>
      </c>
      <c r="N1391" s="83"/>
      <c r="O1391" s="84"/>
      <c r="P1391" s="81"/>
      <c r="Q1391" s="81"/>
      <c r="R1391" s="81"/>
      <c r="S1391" s="81"/>
      <c r="T1391" s="85"/>
      <c r="U1391" s="81"/>
      <c r="V1391" s="81"/>
      <c r="W1391" s="123">
        <f t="shared" si="101"/>
        <v>0</v>
      </c>
      <c r="X1391" s="123" t="s">
        <v>84</v>
      </c>
      <c r="Y1391" s="114" t="s">
        <v>1128</v>
      </c>
    </row>
    <row r="1392" spans="1:25" s="24" customFormat="1" ht="11.1" customHeight="1">
      <c r="A1392" s="74">
        <f t="shared" si="103"/>
        <v>1390</v>
      </c>
      <c r="B1392" s="75" t="s">
        <v>1195</v>
      </c>
      <c r="C1392" s="74" t="str">
        <f>IF($B1392&lt;&gt;"",_xlfn.IFNA(VLOOKUP($B1392,'Node Details'!$B:$U,C$1,0),"Check"),"")</f>
        <v>0000CM323-CM3230104</v>
      </c>
      <c r="D1392" s="74" t="str">
        <f>IF($B1392&lt;&gt;"",_xlfn.IFNA(VLOOKUP($B1392,'Node Details'!$B:$U,D$1,0),"Check"),"")</f>
        <v>CM3</v>
      </c>
      <c r="E1392" s="74" t="str">
        <f>IF($B1392&lt;&gt;"",_xlfn.IFNA(VLOOKUP($B1392,'Node Details'!$B:$U,E$1,0),"Check"),"")</f>
        <v>Airtel</v>
      </c>
      <c r="F1392" s="76">
        <v>46149</v>
      </c>
      <c r="G1392" s="74"/>
      <c r="H1392" s="10" t="s">
        <v>22</v>
      </c>
      <c r="I1392" s="9">
        <v>2</v>
      </c>
      <c r="J1392" s="9">
        <v>42</v>
      </c>
      <c r="K1392" s="77">
        <f t="shared" si="102"/>
        <v>84</v>
      </c>
      <c r="L1392" s="76">
        <v>46142</v>
      </c>
      <c r="N1392" s="83"/>
      <c r="O1392" s="84"/>
      <c r="P1392" s="81"/>
      <c r="Q1392" s="81"/>
      <c r="R1392" s="81"/>
      <c r="S1392" s="81"/>
      <c r="T1392" s="85"/>
      <c r="U1392" s="81"/>
      <c r="V1392" s="81"/>
      <c r="W1392" s="123">
        <f t="shared" si="101"/>
        <v>0</v>
      </c>
      <c r="X1392" s="123" t="s">
        <v>84</v>
      </c>
      <c r="Y1392" s="114" t="s">
        <v>1128</v>
      </c>
    </row>
    <row r="1393" spans="1:25" s="24" customFormat="1" ht="11.1" customHeight="1">
      <c r="A1393" s="74">
        <f t="shared" si="103"/>
        <v>1391</v>
      </c>
      <c r="B1393" s="75" t="s">
        <v>786</v>
      </c>
      <c r="C1393" s="74" t="str">
        <f>IF($B1393&lt;&gt;"",_xlfn.IFNA(VLOOKUP($B1393,'Node Details'!$B:$U,C$1,0),"Check"),"")</f>
        <v>0000CM323-CM3230104</v>
      </c>
      <c r="D1393" s="74" t="str">
        <f>IF($B1393&lt;&gt;"",_xlfn.IFNA(VLOOKUP($B1393,'Node Details'!$B:$U,D$1,0),"Check"),"")</f>
        <v>CM3</v>
      </c>
      <c r="E1393" s="74" t="str">
        <f>IF($B1393&lt;&gt;"",_xlfn.IFNA(VLOOKUP($B1393,'Node Details'!$B:$U,E$1,0),"Check"),"")</f>
        <v>Airtel</v>
      </c>
      <c r="F1393" s="76">
        <v>46149</v>
      </c>
      <c r="G1393" s="74"/>
      <c r="H1393" s="10" t="s">
        <v>22</v>
      </c>
      <c r="I1393" s="9">
        <v>2</v>
      </c>
      <c r="J1393" s="9">
        <v>42</v>
      </c>
      <c r="K1393" s="77">
        <f t="shared" si="102"/>
        <v>84</v>
      </c>
      <c r="L1393" s="76">
        <v>46142</v>
      </c>
      <c r="N1393" s="83"/>
      <c r="O1393" s="84"/>
      <c r="P1393" s="81"/>
      <c r="Q1393" s="81"/>
      <c r="R1393" s="81"/>
      <c r="S1393" s="81"/>
      <c r="T1393" s="85"/>
      <c r="U1393" s="81"/>
      <c r="V1393" s="81"/>
      <c r="W1393" s="123">
        <f t="shared" si="101"/>
        <v>0</v>
      </c>
      <c r="X1393" s="123" t="s">
        <v>84</v>
      </c>
      <c r="Y1393" s="114" t="s">
        <v>1128</v>
      </c>
    </row>
    <row r="1394" spans="1:25" s="24" customFormat="1" ht="11.1" customHeight="1">
      <c r="A1394" s="74">
        <f t="shared" si="103"/>
        <v>1392</v>
      </c>
      <c r="B1394" s="75" t="s">
        <v>1196</v>
      </c>
      <c r="C1394" s="74" t="str">
        <f>IF($B1394&lt;&gt;"",_xlfn.IFNA(VLOOKUP($B1394,'Node Details'!$B:$U,C$1,0),"Check"),"")</f>
        <v>0000CM323-CM3230107</v>
      </c>
      <c r="D1394" s="74" t="str">
        <f>IF($B1394&lt;&gt;"",_xlfn.IFNA(VLOOKUP($B1394,'Node Details'!$B:$U,D$1,0),"Check"),"")</f>
        <v>CM3</v>
      </c>
      <c r="E1394" s="74" t="str">
        <f>IF($B1394&lt;&gt;"",_xlfn.IFNA(VLOOKUP($B1394,'Node Details'!$B:$U,E$1,0),"Check"),"")</f>
        <v>Airtel</v>
      </c>
      <c r="F1394" s="76">
        <v>46149</v>
      </c>
      <c r="G1394" s="74"/>
      <c r="H1394" s="10" t="s">
        <v>22</v>
      </c>
      <c r="I1394" s="9">
        <v>2</v>
      </c>
      <c r="J1394" s="9">
        <v>42</v>
      </c>
      <c r="K1394" s="77">
        <f t="shared" si="102"/>
        <v>84</v>
      </c>
      <c r="L1394" s="76">
        <v>46142</v>
      </c>
      <c r="N1394" s="83"/>
      <c r="O1394" s="84"/>
      <c r="P1394" s="81"/>
      <c r="Q1394" s="81"/>
      <c r="R1394" s="81"/>
      <c r="S1394" s="81"/>
      <c r="T1394" s="85"/>
      <c r="U1394" s="81"/>
      <c r="V1394" s="81"/>
      <c r="W1394" s="123">
        <f t="shared" si="101"/>
        <v>0</v>
      </c>
      <c r="X1394" s="123" t="s">
        <v>84</v>
      </c>
      <c r="Y1394" s="114" t="s">
        <v>1128</v>
      </c>
    </row>
    <row r="1395" spans="1:25" s="24" customFormat="1" ht="11.1" customHeight="1">
      <c r="A1395" s="74">
        <f t="shared" si="103"/>
        <v>1393</v>
      </c>
      <c r="B1395" s="75" t="s">
        <v>788</v>
      </c>
      <c r="C1395" s="74" t="str">
        <f>IF($B1395&lt;&gt;"",_xlfn.IFNA(VLOOKUP($B1395,'Node Details'!$B:$U,C$1,0),"Check"),"")</f>
        <v>0000CM323-CM3230107</v>
      </c>
      <c r="D1395" s="74" t="str">
        <f>IF($B1395&lt;&gt;"",_xlfn.IFNA(VLOOKUP($B1395,'Node Details'!$B:$U,D$1,0),"Check"),"")</f>
        <v>CM3</v>
      </c>
      <c r="E1395" s="74" t="str">
        <f>IF($B1395&lt;&gt;"",_xlfn.IFNA(VLOOKUP($B1395,'Node Details'!$B:$U,E$1,0),"Check"),"")</f>
        <v>Airtel</v>
      </c>
      <c r="F1395" s="76">
        <v>46149</v>
      </c>
      <c r="G1395" s="74"/>
      <c r="H1395" s="10" t="s">
        <v>22</v>
      </c>
      <c r="I1395" s="9">
        <v>2</v>
      </c>
      <c r="J1395" s="9">
        <v>42</v>
      </c>
      <c r="K1395" s="77">
        <f t="shared" si="102"/>
        <v>84</v>
      </c>
      <c r="L1395" s="76">
        <v>46142</v>
      </c>
      <c r="N1395" s="83"/>
      <c r="O1395" s="84"/>
      <c r="P1395" s="81"/>
      <c r="Q1395" s="81"/>
      <c r="R1395" s="81"/>
      <c r="S1395" s="81"/>
      <c r="T1395" s="85"/>
      <c r="U1395" s="81"/>
      <c r="V1395" s="81"/>
      <c r="W1395" s="123">
        <f t="shared" si="101"/>
        <v>0</v>
      </c>
      <c r="X1395" s="123" t="s">
        <v>84</v>
      </c>
      <c r="Y1395" s="114" t="s">
        <v>1128</v>
      </c>
    </row>
    <row r="1396" spans="1:25" s="24" customFormat="1" ht="11.1" customHeight="1">
      <c r="A1396" s="74">
        <f t="shared" si="103"/>
        <v>1394</v>
      </c>
      <c r="B1396" s="75" t="s">
        <v>791</v>
      </c>
      <c r="C1396" s="74" t="str">
        <f>IF($B1396&lt;&gt;"",_xlfn.IFNA(VLOOKUP($B1396,'Node Details'!$B:$U,C$1,0),"Check"),"")</f>
        <v>0000CM324-CM3240101</v>
      </c>
      <c r="D1396" s="74" t="str">
        <f>IF($B1396&lt;&gt;"",_xlfn.IFNA(VLOOKUP($B1396,'Node Details'!$B:$U,D$1,0),"Check"),"")</f>
        <v>CM3</v>
      </c>
      <c r="E1396" s="74" t="str">
        <f>IF($B1396&lt;&gt;"",_xlfn.IFNA(VLOOKUP($B1396,'Node Details'!$B:$U,E$1,0),"Check"),"")</f>
        <v>Airtel</v>
      </c>
      <c r="F1396" s="76">
        <v>46149</v>
      </c>
      <c r="G1396" s="74"/>
      <c r="H1396" s="10" t="s">
        <v>22</v>
      </c>
      <c r="I1396" s="9">
        <v>2</v>
      </c>
      <c r="J1396" s="9">
        <v>42</v>
      </c>
      <c r="K1396" s="77">
        <f t="shared" si="102"/>
        <v>84</v>
      </c>
      <c r="L1396" s="76">
        <v>46142</v>
      </c>
      <c r="N1396" s="83"/>
      <c r="O1396" s="84"/>
      <c r="P1396" s="81"/>
      <c r="Q1396" s="81"/>
      <c r="R1396" s="81"/>
      <c r="S1396" s="81"/>
      <c r="T1396" s="85"/>
      <c r="U1396" s="81"/>
      <c r="V1396" s="81"/>
      <c r="W1396" s="123">
        <f t="shared" si="101"/>
        <v>0</v>
      </c>
      <c r="X1396" s="123" t="s">
        <v>84</v>
      </c>
      <c r="Y1396" s="114" t="s">
        <v>1128</v>
      </c>
    </row>
    <row r="1397" spans="1:25" s="24" customFormat="1" ht="11.1" customHeight="1">
      <c r="A1397" s="74">
        <f t="shared" si="103"/>
        <v>1395</v>
      </c>
      <c r="B1397" s="75" t="s">
        <v>793</v>
      </c>
      <c r="C1397" s="74" t="str">
        <f>IF($B1397&lt;&gt;"",_xlfn.IFNA(VLOOKUP($B1397,'Node Details'!$B:$U,C$1,0),"Check"),"")</f>
        <v>0000CM324-CM3240102</v>
      </c>
      <c r="D1397" s="74" t="str">
        <f>IF($B1397&lt;&gt;"",_xlfn.IFNA(VLOOKUP($B1397,'Node Details'!$B:$U,D$1,0),"Check"),"")</f>
        <v>CM3</v>
      </c>
      <c r="E1397" s="74" t="str">
        <f>IF($B1397&lt;&gt;"",_xlfn.IFNA(VLOOKUP($B1397,'Node Details'!$B:$U,E$1,0),"Check"),"")</f>
        <v>Airtel</v>
      </c>
      <c r="F1397" s="76">
        <v>46149</v>
      </c>
      <c r="G1397" s="74"/>
      <c r="H1397" s="10" t="s">
        <v>22</v>
      </c>
      <c r="I1397" s="9">
        <v>2</v>
      </c>
      <c r="J1397" s="9">
        <v>42</v>
      </c>
      <c r="K1397" s="77">
        <f t="shared" si="102"/>
        <v>84</v>
      </c>
      <c r="L1397" s="76">
        <v>46142</v>
      </c>
      <c r="N1397" s="83"/>
      <c r="O1397" s="84"/>
      <c r="P1397" s="81"/>
      <c r="Q1397" s="81"/>
      <c r="R1397" s="81"/>
      <c r="S1397" s="81"/>
      <c r="T1397" s="85"/>
      <c r="U1397" s="81"/>
      <c r="V1397" s="81"/>
      <c r="W1397" s="123">
        <f t="shared" si="101"/>
        <v>0</v>
      </c>
      <c r="X1397" s="123" t="s">
        <v>84</v>
      </c>
      <c r="Y1397" s="114" t="s">
        <v>1128</v>
      </c>
    </row>
    <row r="1398" spans="1:25" s="24" customFormat="1" ht="11.1" customHeight="1">
      <c r="A1398" s="74">
        <f t="shared" si="103"/>
        <v>1396</v>
      </c>
      <c r="B1398" s="75" t="s">
        <v>1197</v>
      </c>
      <c r="C1398" s="74" t="str">
        <f>IF($B1398&lt;&gt;"",_xlfn.IFNA(VLOOKUP($B1398,'Node Details'!$B:$U,C$1,0),"Check"),"")</f>
        <v>0000CM324-CM3240106</v>
      </c>
      <c r="D1398" s="74" t="str">
        <f>IF($B1398&lt;&gt;"",_xlfn.IFNA(VLOOKUP($B1398,'Node Details'!$B:$U,D$1,0),"Check"),"")</f>
        <v>CM3</v>
      </c>
      <c r="E1398" s="74" t="str">
        <f>IF($B1398&lt;&gt;"",_xlfn.IFNA(VLOOKUP($B1398,'Node Details'!$B:$U,E$1,0),"Check"),"")</f>
        <v>Airtel</v>
      </c>
      <c r="F1398" s="76">
        <v>46149</v>
      </c>
      <c r="G1398" s="74"/>
      <c r="H1398" s="10" t="s">
        <v>22</v>
      </c>
      <c r="I1398" s="9">
        <v>2</v>
      </c>
      <c r="J1398" s="9">
        <v>42</v>
      </c>
      <c r="K1398" s="77">
        <f t="shared" si="102"/>
        <v>84</v>
      </c>
      <c r="L1398" s="76">
        <v>46142</v>
      </c>
      <c r="N1398" s="83"/>
      <c r="O1398" s="84"/>
      <c r="P1398" s="81"/>
      <c r="Q1398" s="81"/>
      <c r="R1398" s="81"/>
      <c r="S1398" s="81"/>
      <c r="T1398" s="85"/>
      <c r="U1398" s="81"/>
      <c r="V1398" s="81"/>
      <c r="W1398" s="123">
        <f t="shared" si="101"/>
        <v>0</v>
      </c>
      <c r="X1398" s="123" t="s">
        <v>84</v>
      </c>
      <c r="Y1398" s="114" t="s">
        <v>1128</v>
      </c>
    </row>
    <row r="1399" spans="1:25" s="24" customFormat="1" ht="11.1" customHeight="1">
      <c r="A1399" s="74">
        <f t="shared" si="103"/>
        <v>1397</v>
      </c>
      <c r="B1399" s="75" t="s">
        <v>1198</v>
      </c>
      <c r="C1399" s="74" t="str">
        <f>IF($B1399&lt;&gt;"",_xlfn.IFNA(VLOOKUP($B1399,'Node Details'!$B:$U,C$1,0),"Check"),"")</f>
        <v>0000CM324-CM3240106</v>
      </c>
      <c r="D1399" s="74" t="str">
        <f>IF($B1399&lt;&gt;"",_xlfn.IFNA(VLOOKUP($B1399,'Node Details'!$B:$U,D$1,0),"Check"),"")</f>
        <v>CM3</v>
      </c>
      <c r="E1399" s="74" t="str">
        <f>IF($B1399&lt;&gt;"",_xlfn.IFNA(VLOOKUP($B1399,'Node Details'!$B:$U,E$1,0),"Check"),"")</f>
        <v>Airtel</v>
      </c>
      <c r="F1399" s="76">
        <v>46149</v>
      </c>
      <c r="G1399" s="74"/>
      <c r="H1399" s="10" t="s">
        <v>22</v>
      </c>
      <c r="I1399" s="9">
        <v>2</v>
      </c>
      <c r="J1399" s="9">
        <v>42</v>
      </c>
      <c r="K1399" s="77">
        <f t="shared" si="102"/>
        <v>84</v>
      </c>
      <c r="L1399" s="76">
        <v>46142</v>
      </c>
      <c r="N1399" s="83"/>
      <c r="O1399" s="84"/>
      <c r="P1399" s="81"/>
      <c r="Q1399" s="81"/>
      <c r="R1399" s="81"/>
      <c r="S1399" s="81"/>
      <c r="T1399" s="85"/>
      <c r="U1399" s="81"/>
      <c r="V1399" s="81"/>
      <c r="W1399" s="123">
        <f t="shared" si="101"/>
        <v>0</v>
      </c>
      <c r="X1399" s="123" t="s">
        <v>84</v>
      </c>
      <c r="Y1399" s="114" t="s">
        <v>1128</v>
      </c>
    </row>
    <row r="1400" spans="1:25" s="24" customFormat="1" ht="11.1" customHeight="1">
      <c r="A1400" s="74">
        <f t="shared" si="103"/>
        <v>1398</v>
      </c>
      <c r="B1400" s="75" t="s">
        <v>795</v>
      </c>
      <c r="C1400" s="74" t="str">
        <f>IF($B1400&lt;&gt;"",_xlfn.IFNA(VLOOKUP($B1400,'Node Details'!$B:$U,C$1,0),"Check"),"")</f>
        <v>0000CM324-CM3240106</v>
      </c>
      <c r="D1400" s="74" t="str">
        <f>IF($B1400&lt;&gt;"",_xlfn.IFNA(VLOOKUP($B1400,'Node Details'!$B:$U,D$1,0),"Check"),"")</f>
        <v>CM3</v>
      </c>
      <c r="E1400" s="74" t="str">
        <f>IF($B1400&lt;&gt;"",_xlfn.IFNA(VLOOKUP($B1400,'Node Details'!$B:$U,E$1,0),"Check"),"")</f>
        <v>Airtel</v>
      </c>
      <c r="F1400" s="76">
        <v>46149</v>
      </c>
      <c r="G1400" s="74"/>
      <c r="H1400" s="10" t="s">
        <v>22</v>
      </c>
      <c r="I1400" s="9">
        <v>2</v>
      </c>
      <c r="J1400" s="9">
        <v>42</v>
      </c>
      <c r="K1400" s="77">
        <f t="shared" si="102"/>
        <v>84</v>
      </c>
      <c r="L1400" s="76">
        <v>46142</v>
      </c>
      <c r="N1400" s="83"/>
      <c r="O1400" s="84"/>
      <c r="P1400" s="81"/>
      <c r="Q1400" s="81"/>
      <c r="R1400" s="81"/>
      <c r="S1400" s="81"/>
      <c r="T1400" s="85"/>
      <c r="U1400" s="81"/>
      <c r="V1400" s="81"/>
      <c r="W1400" s="123">
        <f t="shared" si="101"/>
        <v>0</v>
      </c>
      <c r="X1400" s="123" t="s">
        <v>84</v>
      </c>
      <c r="Y1400" s="114" t="s">
        <v>1128</v>
      </c>
    </row>
    <row r="1401" spans="1:25" s="24" customFormat="1" ht="11.1" customHeight="1">
      <c r="A1401" s="74">
        <f t="shared" si="103"/>
        <v>1399</v>
      </c>
      <c r="B1401" s="75" t="s">
        <v>1199</v>
      </c>
      <c r="C1401" s="74" t="str">
        <f>IF($B1401&lt;&gt;"",_xlfn.IFNA(VLOOKUP($B1401,'Node Details'!$B:$U,C$1,0),"Check"),"")</f>
        <v>0000CM325-CM3250103</v>
      </c>
      <c r="D1401" s="74" t="str">
        <f>IF($B1401&lt;&gt;"",_xlfn.IFNA(VLOOKUP($B1401,'Node Details'!$B:$U,D$1,0),"Check"),"")</f>
        <v>CM3</v>
      </c>
      <c r="E1401" s="74" t="str">
        <f>IF($B1401&lt;&gt;"",_xlfn.IFNA(VLOOKUP($B1401,'Node Details'!$B:$U,E$1,0),"Check"),"")</f>
        <v>Airtel</v>
      </c>
      <c r="F1401" s="76">
        <v>46149</v>
      </c>
      <c r="G1401" s="74"/>
      <c r="H1401" s="10" t="s">
        <v>22</v>
      </c>
      <c r="I1401" s="9">
        <v>2</v>
      </c>
      <c r="J1401" s="9">
        <v>42</v>
      </c>
      <c r="K1401" s="77">
        <f t="shared" si="102"/>
        <v>84</v>
      </c>
      <c r="L1401" s="76">
        <v>46142</v>
      </c>
      <c r="N1401" s="83"/>
      <c r="O1401" s="84"/>
      <c r="P1401" s="81"/>
      <c r="Q1401" s="81"/>
      <c r="R1401" s="81"/>
      <c r="S1401" s="81"/>
      <c r="T1401" s="85"/>
      <c r="U1401" s="81"/>
      <c r="V1401" s="81"/>
      <c r="W1401" s="123">
        <f t="shared" ref="W1401:W1464" si="104">IF(V1401&lt;&gt;"",V1401*U1401,0)</f>
        <v>0</v>
      </c>
      <c r="X1401" s="123" t="s">
        <v>84</v>
      </c>
      <c r="Y1401" s="114" t="s">
        <v>1128</v>
      </c>
    </row>
    <row r="1402" spans="1:25" s="24" customFormat="1" ht="11.1" customHeight="1">
      <c r="A1402" s="74">
        <f t="shared" si="103"/>
        <v>1400</v>
      </c>
      <c r="B1402" s="75" t="s">
        <v>1200</v>
      </c>
      <c r="C1402" s="74" t="str">
        <f>IF($B1402&lt;&gt;"",_xlfn.IFNA(VLOOKUP($B1402,'Node Details'!$B:$U,C$1,0),"Check"),"")</f>
        <v>0000CM325-CM3250103</v>
      </c>
      <c r="D1402" s="74" t="str">
        <f>IF($B1402&lt;&gt;"",_xlfn.IFNA(VLOOKUP($B1402,'Node Details'!$B:$U,D$1,0),"Check"),"")</f>
        <v>CM3</v>
      </c>
      <c r="E1402" s="74" t="str">
        <f>IF($B1402&lt;&gt;"",_xlfn.IFNA(VLOOKUP($B1402,'Node Details'!$B:$U,E$1,0),"Check"),"")</f>
        <v>Airtel</v>
      </c>
      <c r="F1402" s="76">
        <v>46149</v>
      </c>
      <c r="G1402" s="74"/>
      <c r="H1402" s="10" t="s">
        <v>22</v>
      </c>
      <c r="I1402" s="9">
        <v>2</v>
      </c>
      <c r="J1402" s="9">
        <v>42</v>
      </c>
      <c r="K1402" s="77">
        <f t="shared" ref="K1402:K1465" si="105">IF(I1402&lt;&gt;"",J1402*I1402,0)</f>
        <v>84</v>
      </c>
      <c r="L1402" s="76">
        <v>46142</v>
      </c>
      <c r="N1402" s="83"/>
      <c r="O1402" s="84"/>
      <c r="P1402" s="81"/>
      <c r="Q1402" s="81"/>
      <c r="R1402" s="81"/>
      <c r="S1402" s="81"/>
      <c r="T1402" s="85"/>
      <c r="U1402" s="81"/>
      <c r="V1402" s="81"/>
      <c r="W1402" s="123">
        <f t="shared" si="104"/>
        <v>0</v>
      </c>
      <c r="X1402" s="123" t="s">
        <v>84</v>
      </c>
      <c r="Y1402" s="114" t="s">
        <v>1128</v>
      </c>
    </row>
    <row r="1403" spans="1:25" s="24" customFormat="1" ht="11.1" customHeight="1">
      <c r="A1403" s="74">
        <f t="shared" si="103"/>
        <v>1401</v>
      </c>
      <c r="B1403" s="75" t="s">
        <v>797</v>
      </c>
      <c r="C1403" s="74" t="str">
        <f>IF($B1403&lt;&gt;"",_xlfn.IFNA(VLOOKUP($B1403,'Node Details'!$B:$U,C$1,0),"Check"),"")</f>
        <v>0000CM325-CM3250103</v>
      </c>
      <c r="D1403" s="74" t="str">
        <f>IF($B1403&lt;&gt;"",_xlfn.IFNA(VLOOKUP($B1403,'Node Details'!$B:$U,D$1,0),"Check"),"")</f>
        <v>CM3</v>
      </c>
      <c r="E1403" s="74" t="str">
        <f>IF($B1403&lt;&gt;"",_xlfn.IFNA(VLOOKUP($B1403,'Node Details'!$B:$U,E$1,0),"Check"),"")</f>
        <v>Airtel</v>
      </c>
      <c r="F1403" s="76">
        <v>46149</v>
      </c>
      <c r="G1403" s="74"/>
      <c r="H1403" s="10" t="s">
        <v>22</v>
      </c>
      <c r="I1403" s="9">
        <v>2</v>
      </c>
      <c r="J1403" s="9">
        <v>42</v>
      </c>
      <c r="K1403" s="77">
        <f t="shared" si="105"/>
        <v>84</v>
      </c>
      <c r="L1403" s="76">
        <v>46142</v>
      </c>
      <c r="N1403" s="83"/>
      <c r="O1403" s="84"/>
      <c r="P1403" s="81"/>
      <c r="Q1403" s="81"/>
      <c r="R1403" s="81"/>
      <c r="S1403" s="81"/>
      <c r="T1403" s="85"/>
      <c r="U1403" s="81"/>
      <c r="V1403" s="81"/>
      <c r="W1403" s="123">
        <f t="shared" si="104"/>
        <v>0</v>
      </c>
      <c r="X1403" s="123" t="s">
        <v>84</v>
      </c>
      <c r="Y1403" s="114" t="s">
        <v>1128</v>
      </c>
    </row>
    <row r="1404" spans="1:25" s="24" customFormat="1" ht="11.1" customHeight="1">
      <c r="A1404" s="74">
        <f t="shared" si="103"/>
        <v>1402</v>
      </c>
      <c r="B1404" s="75" t="s">
        <v>1201</v>
      </c>
      <c r="C1404" s="74" t="str">
        <f>IF($B1404&lt;&gt;"",_xlfn.IFNA(VLOOKUP($B1404,'Node Details'!$B:$U,C$1,0),"Check"),"")</f>
        <v>0000CM325-CM3250107</v>
      </c>
      <c r="D1404" s="74" t="str">
        <f>IF($B1404&lt;&gt;"",_xlfn.IFNA(VLOOKUP($B1404,'Node Details'!$B:$U,D$1,0),"Check"),"")</f>
        <v>CM3</v>
      </c>
      <c r="E1404" s="74" t="str">
        <f>IF($B1404&lt;&gt;"",_xlfn.IFNA(VLOOKUP($B1404,'Node Details'!$B:$U,E$1,0),"Check"),"")</f>
        <v>Airtel</v>
      </c>
      <c r="F1404" s="76">
        <v>46149</v>
      </c>
      <c r="G1404" s="74"/>
      <c r="H1404" s="10" t="s">
        <v>22</v>
      </c>
      <c r="I1404" s="9">
        <v>2</v>
      </c>
      <c r="J1404" s="9">
        <v>42</v>
      </c>
      <c r="K1404" s="77">
        <f t="shared" si="105"/>
        <v>84</v>
      </c>
      <c r="L1404" s="76">
        <v>46142</v>
      </c>
      <c r="N1404" s="83"/>
      <c r="O1404" s="84"/>
      <c r="P1404" s="81"/>
      <c r="Q1404" s="81"/>
      <c r="R1404" s="81"/>
      <c r="S1404" s="81"/>
      <c r="T1404" s="85"/>
      <c r="U1404" s="81"/>
      <c r="V1404" s="81"/>
      <c r="W1404" s="123">
        <f t="shared" si="104"/>
        <v>0</v>
      </c>
      <c r="X1404" s="123" t="s">
        <v>84</v>
      </c>
      <c r="Y1404" s="114" t="s">
        <v>1128</v>
      </c>
    </row>
    <row r="1405" spans="1:25" s="24" customFormat="1" ht="11.1" customHeight="1">
      <c r="A1405" s="74">
        <f t="shared" si="103"/>
        <v>1403</v>
      </c>
      <c r="B1405" s="75" t="s">
        <v>1202</v>
      </c>
      <c r="C1405" s="74" t="str">
        <f>IF($B1405&lt;&gt;"",_xlfn.IFNA(VLOOKUP($B1405,'Node Details'!$B:$U,C$1,0),"Check"),"")</f>
        <v>0000CM325-CM3250107</v>
      </c>
      <c r="D1405" s="74" t="str">
        <f>IF($B1405&lt;&gt;"",_xlfn.IFNA(VLOOKUP($B1405,'Node Details'!$B:$U,D$1,0),"Check"),"")</f>
        <v>CM3</v>
      </c>
      <c r="E1405" s="74" t="str">
        <f>IF($B1405&lt;&gt;"",_xlfn.IFNA(VLOOKUP($B1405,'Node Details'!$B:$U,E$1,0),"Check"),"")</f>
        <v>Airtel</v>
      </c>
      <c r="F1405" s="76">
        <v>46149</v>
      </c>
      <c r="G1405" s="74"/>
      <c r="H1405" s="10" t="s">
        <v>22</v>
      </c>
      <c r="I1405" s="9">
        <v>2</v>
      </c>
      <c r="J1405" s="9">
        <v>42</v>
      </c>
      <c r="K1405" s="77">
        <f t="shared" si="105"/>
        <v>84</v>
      </c>
      <c r="L1405" s="76">
        <v>46142</v>
      </c>
      <c r="N1405" s="83"/>
      <c r="O1405" s="84"/>
      <c r="P1405" s="81"/>
      <c r="Q1405" s="81"/>
      <c r="R1405" s="81"/>
      <c r="S1405" s="81"/>
      <c r="T1405" s="85"/>
      <c r="U1405" s="81"/>
      <c r="V1405" s="81"/>
      <c r="W1405" s="123">
        <f t="shared" si="104"/>
        <v>0</v>
      </c>
      <c r="X1405" s="123" t="s">
        <v>84</v>
      </c>
      <c r="Y1405" s="114" t="s">
        <v>1128</v>
      </c>
    </row>
    <row r="1406" spans="1:25" s="24" customFormat="1" ht="11.1" customHeight="1">
      <c r="A1406" s="74">
        <f t="shared" si="103"/>
        <v>1404</v>
      </c>
      <c r="B1406" s="75" t="s">
        <v>1203</v>
      </c>
      <c r="C1406" s="74" t="str">
        <f>IF($B1406&lt;&gt;"",_xlfn.IFNA(VLOOKUP($B1406,'Node Details'!$B:$U,C$1,0),"Check"),"")</f>
        <v>0000CM325-CM3250107</v>
      </c>
      <c r="D1406" s="74" t="str">
        <f>IF($B1406&lt;&gt;"",_xlfn.IFNA(VLOOKUP($B1406,'Node Details'!$B:$U,D$1,0),"Check"),"")</f>
        <v>CM3</v>
      </c>
      <c r="E1406" s="74" t="str">
        <f>IF($B1406&lt;&gt;"",_xlfn.IFNA(VLOOKUP($B1406,'Node Details'!$B:$U,E$1,0),"Check"),"")</f>
        <v>Airtel</v>
      </c>
      <c r="F1406" s="76">
        <v>46149</v>
      </c>
      <c r="G1406" s="74"/>
      <c r="H1406" s="10" t="s">
        <v>22</v>
      </c>
      <c r="I1406" s="9">
        <v>2</v>
      </c>
      <c r="J1406" s="9">
        <v>42</v>
      </c>
      <c r="K1406" s="77">
        <f t="shared" si="105"/>
        <v>84</v>
      </c>
      <c r="L1406" s="76">
        <v>46142</v>
      </c>
      <c r="N1406" s="83"/>
      <c r="O1406" s="84"/>
      <c r="P1406" s="81"/>
      <c r="Q1406" s="81"/>
      <c r="R1406" s="81"/>
      <c r="S1406" s="81"/>
      <c r="T1406" s="85"/>
      <c r="U1406" s="81"/>
      <c r="V1406" s="81"/>
      <c r="W1406" s="123">
        <f t="shared" si="104"/>
        <v>0</v>
      </c>
      <c r="X1406" s="123" t="s">
        <v>84</v>
      </c>
      <c r="Y1406" s="114" t="s">
        <v>1128</v>
      </c>
    </row>
    <row r="1407" spans="1:25" s="24" customFormat="1" ht="11.1" customHeight="1">
      <c r="A1407" s="74">
        <f t="shared" si="103"/>
        <v>1405</v>
      </c>
      <c r="B1407" s="75" t="s">
        <v>799</v>
      </c>
      <c r="C1407" s="74" t="str">
        <f>IF($B1407&lt;&gt;"",_xlfn.IFNA(VLOOKUP($B1407,'Node Details'!$B:$U,C$1,0),"Check"),"")</f>
        <v>0000CM325-CM3250107</v>
      </c>
      <c r="D1407" s="74" t="str">
        <f>IF($B1407&lt;&gt;"",_xlfn.IFNA(VLOOKUP($B1407,'Node Details'!$B:$U,D$1,0),"Check"),"")</f>
        <v>CM3</v>
      </c>
      <c r="E1407" s="74" t="str">
        <f>IF($B1407&lt;&gt;"",_xlfn.IFNA(VLOOKUP($B1407,'Node Details'!$B:$U,E$1,0),"Check"),"")</f>
        <v>Airtel</v>
      </c>
      <c r="F1407" s="76">
        <v>46149</v>
      </c>
      <c r="G1407" s="74"/>
      <c r="H1407" s="10" t="s">
        <v>22</v>
      </c>
      <c r="I1407" s="9">
        <v>2</v>
      </c>
      <c r="J1407" s="9">
        <v>42</v>
      </c>
      <c r="K1407" s="77">
        <f t="shared" si="105"/>
        <v>84</v>
      </c>
      <c r="L1407" s="76">
        <v>46142</v>
      </c>
      <c r="N1407" s="83"/>
      <c r="O1407" s="84"/>
      <c r="P1407" s="81"/>
      <c r="Q1407" s="81"/>
      <c r="R1407" s="81"/>
      <c r="S1407" s="81"/>
      <c r="T1407" s="85"/>
      <c r="U1407" s="81"/>
      <c r="V1407" s="81"/>
      <c r="W1407" s="123">
        <f t="shared" si="104"/>
        <v>0</v>
      </c>
      <c r="X1407" s="123" t="s">
        <v>84</v>
      </c>
      <c r="Y1407" s="114" t="s">
        <v>1128</v>
      </c>
    </row>
    <row r="1408" spans="1:25" s="24" customFormat="1" ht="11.1" customHeight="1">
      <c r="A1408" s="74">
        <f t="shared" si="103"/>
        <v>1406</v>
      </c>
      <c r="B1408" s="75" t="s">
        <v>637</v>
      </c>
      <c r="C1408" s="74" t="str">
        <f>IF($B1408&lt;&gt;"",_xlfn.IFNA(VLOOKUP($B1408,'Node Details'!$B:$U,C$1,0),"Check"),"")</f>
        <v>000000CM3-0000CM310</v>
      </c>
      <c r="D1408" s="74" t="str">
        <f>IF($B1408&lt;&gt;"",_xlfn.IFNA(VLOOKUP($B1408,'Node Details'!$B:$U,D$1,0),"Check"),"")</f>
        <v>CM3</v>
      </c>
      <c r="E1408" s="74" t="str">
        <f>IF($B1408&lt;&gt;"",_xlfn.IFNA(VLOOKUP($B1408,'Node Details'!$B:$U,E$1,0),"Check"),"")</f>
        <v>Airtel</v>
      </c>
      <c r="F1408" s="76">
        <v>46149</v>
      </c>
      <c r="G1408" s="74"/>
      <c r="H1408" s="10" t="s">
        <v>1250</v>
      </c>
      <c r="I1408" s="9">
        <v>2</v>
      </c>
      <c r="J1408" s="9">
        <v>150</v>
      </c>
      <c r="K1408" s="77">
        <f t="shared" si="105"/>
        <v>300</v>
      </c>
      <c r="L1408" s="76">
        <v>46142</v>
      </c>
      <c r="N1408" s="83"/>
      <c r="O1408" s="84"/>
      <c r="P1408" s="81"/>
      <c r="Q1408" s="81"/>
      <c r="R1408" s="81"/>
      <c r="S1408" s="81"/>
      <c r="T1408" s="85"/>
      <c r="U1408" s="81"/>
      <c r="V1408" s="81"/>
      <c r="W1408" s="123">
        <f t="shared" si="104"/>
        <v>0</v>
      </c>
      <c r="X1408" s="123" t="s">
        <v>84</v>
      </c>
      <c r="Y1408" s="114" t="s">
        <v>1128</v>
      </c>
    </row>
    <row r="1409" spans="1:25" s="24" customFormat="1" ht="11.1" customHeight="1">
      <c r="A1409" s="74">
        <f t="shared" si="103"/>
        <v>1407</v>
      </c>
      <c r="B1409" s="75" t="s">
        <v>638</v>
      </c>
      <c r="C1409" s="74" t="str">
        <f>IF($B1409&lt;&gt;"",_xlfn.IFNA(VLOOKUP($B1409,'Node Details'!$B:$U,C$1,0),"Check"),"")</f>
        <v>0000CM301-CM3010102</v>
      </c>
      <c r="D1409" s="74" t="str">
        <f>IF($B1409&lt;&gt;"",_xlfn.IFNA(VLOOKUP($B1409,'Node Details'!$B:$U,D$1,0),"Check"),"")</f>
        <v>CM3</v>
      </c>
      <c r="E1409" s="74" t="str">
        <f>IF($B1409&lt;&gt;"",_xlfn.IFNA(VLOOKUP($B1409,'Node Details'!$B:$U,E$1,0),"Check"),"")</f>
        <v>Airtel</v>
      </c>
      <c r="F1409" s="76">
        <v>46149</v>
      </c>
      <c r="G1409" s="74"/>
      <c r="H1409" s="10" t="s">
        <v>1250</v>
      </c>
      <c r="I1409" s="9">
        <v>2</v>
      </c>
      <c r="J1409" s="9">
        <v>150</v>
      </c>
      <c r="K1409" s="77">
        <f t="shared" si="105"/>
        <v>300</v>
      </c>
      <c r="L1409" s="76">
        <v>46142</v>
      </c>
      <c r="N1409" s="83"/>
      <c r="O1409" s="84"/>
      <c r="P1409" s="81"/>
      <c r="Q1409" s="81"/>
      <c r="R1409" s="81"/>
      <c r="S1409" s="81"/>
      <c r="T1409" s="85"/>
      <c r="U1409" s="81"/>
      <c r="V1409" s="81"/>
      <c r="W1409" s="123">
        <f t="shared" si="104"/>
        <v>0</v>
      </c>
      <c r="X1409" s="123" t="s">
        <v>84</v>
      </c>
      <c r="Y1409" s="114" t="s">
        <v>1128</v>
      </c>
    </row>
    <row r="1410" spans="1:25" s="24" customFormat="1" ht="11.1" customHeight="1">
      <c r="A1410" s="74">
        <f t="shared" si="103"/>
        <v>1408</v>
      </c>
      <c r="B1410" s="75" t="s">
        <v>640</v>
      </c>
      <c r="C1410" s="74" t="str">
        <f>IF($B1410&lt;&gt;"",_xlfn.IFNA(VLOOKUP($B1410,'Node Details'!$B:$U,C$1,0),"Check"),"")</f>
        <v>0000CM301-CM3010101</v>
      </c>
      <c r="D1410" s="74" t="str">
        <f>IF($B1410&lt;&gt;"",_xlfn.IFNA(VLOOKUP($B1410,'Node Details'!$B:$U,D$1,0),"Check"),"")</f>
        <v>CM3</v>
      </c>
      <c r="E1410" s="74" t="str">
        <f>IF($B1410&lt;&gt;"",_xlfn.IFNA(VLOOKUP($B1410,'Node Details'!$B:$U,E$1,0),"Check"),"")</f>
        <v>Airtel</v>
      </c>
      <c r="F1410" s="76">
        <v>46149</v>
      </c>
      <c r="G1410" s="74"/>
      <c r="H1410" s="10" t="s">
        <v>1250</v>
      </c>
      <c r="I1410" s="9">
        <v>2</v>
      </c>
      <c r="J1410" s="9">
        <v>150</v>
      </c>
      <c r="K1410" s="77">
        <f t="shared" si="105"/>
        <v>300</v>
      </c>
      <c r="L1410" s="76">
        <v>46142</v>
      </c>
      <c r="N1410" s="83"/>
      <c r="O1410" s="84"/>
      <c r="P1410" s="81"/>
      <c r="Q1410" s="81"/>
      <c r="R1410" s="81"/>
      <c r="S1410" s="81"/>
      <c r="T1410" s="85"/>
      <c r="U1410" s="81"/>
      <c r="V1410" s="81"/>
      <c r="W1410" s="123">
        <f t="shared" si="104"/>
        <v>0</v>
      </c>
      <c r="X1410" s="123" t="s">
        <v>84</v>
      </c>
      <c r="Y1410" s="114" t="s">
        <v>1128</v>
      </c>
    </row>
    <row r="1411" spans="1:25" s="24" customFormat="1" ht="11.1" customHeight="1">
      <c r="A1411" s="74">
        <f t="shared" si="103"/>
        <v>1409</v>
      </c>
      <c r="B1411" s="75" t="s">
        <v>1129</v>
      </c>
      <c r="C1411" s="74" t="str">
        <f>IF($B1411&lt;&gt;"",_xlfn.IFNA(VLOOKUP($B1411,'Node Details'!$B:$U,C$1,0),"Check"),"")</f>
        <v>0000CM301-CM3010106</v>
      </c>
      <c r="D1411" s="74" t="str">
        <f>IF($B1411&lt;&gt;"",_xlfn.IFNA(VLOOKUP($B1411,'Node Details'!$B:$U,D$1,0),"Check"),"")</f>
        <v>CM3</v>
      </c>
      <c r="E1411" s="74" t="str">
        <f>IF($B1411&lt;&gt;"",_xlfn.IFNA(VLOOKUP($B1411,'Node Details'!$B:$U,E$1,0),"Check"),"")</f>
        <v>Airtel</v>
      </c>
      <c r="F1411" s="76">
        <v>46149</v>
      </c>
      <c r="G1411" s="74"/>
      <c r="H1411" s="10" t="s">
        <v>1250</v>
      </c>
      <c r="I1411" s="9">
        <v>2</v>
      </c>
      <c r="J1411" s="9">
        <v>150</v>
      </c>
      <c r="K1411" s="77">
        <f t="shared" si="105"/>
        <v>300</v>
      </c>
      <c r="L1411" s="76">
        <v>46142</v>
      </c>
      <c r="N1411" s="83"/>
      <c r="O1411" s="84"/>
      <c r="P1411" s="81"/>
      <c r="Q1411" s="81"/>
      <c r="R1411" s="81"/>
      <c r="S1411" s="81"/>
      <c r="T1411" s="85"/>
      <c r="U1411" s="81"/>
      <c r="V1411" s="81"/>
      <c r="W1411" s="123">
        <f t="shared" si="104"/>
        <v>0</v>
      </c>
      <c r="X1411" s="123" t="s">
        <v>84</v>
      </c>
      <c r="Y1411" s="114" t="s">
        <v>1128</v>
      </c>
    </row>
    <row r="1412" spans="1:25" s="24" customFormat="1" ht="11.1" customHeight="1">
      <c r="A1412" s="74">
        <f t="shared" ref="A1412:A1475" si="106">A1411+1</f>
        <v>1410</v>
      </c>
      <c r="B1412" s="75" t="s">
        <v>1130</v>
      </c>
      <c r="C1412" s="74" t="str">
        <f>IF($B1412&lt;&gt;"",_xlfn.IFNA(VLOOKUP($B1412,'Node Details'!$B:$U,C$1,0),"Check"),"")</f>
        <v>0000CM301-CM3010106</v>
      </c>
      <c r="D1412" s="74" t="str">
        <f>IF($B1412&lt;&gt;"",_xlfn.IFNA(VLOOKUP($B1412,'Node Details'!$B:$U,D$1,0),"Check"),"")</f>
        <v>CM3</v>
      </c>
      <c r="E1412" s="74" t="str">
        <f>IF($B1412&lt;&gt;"",_xlfn.IFNA(VLOOKUP($B1412,'Node Details'!$B:$U,E$1,0),"Check"),"")</f>
        <v>Airtel</v>
      </c>
      <c r="F1412" s="76">
        <v>46149</v>
      </c>
      <c r="G1412" s="74"/>
      <c r="H1412" s="10" t="s">
        <v>1250</v>
      </c>
      <c r="I1412" s="9">
        <v>2</v>
      </c>
      <c r="J1412" s="9">
        <v>150</v>
      </c>
      <c r="K1412" s="77">
        <f t="shared" si="105"/>
        <v>300</v>
      </c>
      <c r="L1412" s="76">
        <v>46142</v>
      </c>
      <c r="N1412" s="83"/>
      <c r="O1412" s="84"/>
      <c r="P1412" s="81"/>
      <c r="Q1412" s="81"/>
      <c r="R1412" s="81"/>
      <c r="S1412" s="81"/>
      <c r="T1412" s="85"/>
      <c r="U1412" s="81"/>
      <c r="V1412" s="81"/>
      <c r="W1412" s="123">
        <f t="shared" si="104"/>
        <v>0</v>
      </c>
      <c r="X1412" s="123" t="s">
        <v>84</v>
      </c>
      <c r="Y1412" s="114" t="s">
        <v>1128</v>
      </c>
    </row>
    <row r="1413" spans="1:25" s="24" customFormat="1" ht="11.1" customHeight="1">
      <c r="A1413" s="74">
        <f t="shared" si="106"/>
        <v>1411</v>
      </c>
      <c r="B1413" s="75" t="s">
        <v>1131</v>
      </c>
      <c r="C1413" s="74" t="str">
        <f>IF($B1413&lt;&gt;"",_xlfn.IFNA(VLOOKUP($B1413,'Node Details'!$B:$U,C$1,0),"Check"),"")</f>
        <v>0000CM301-CM3010106</v>
      </c>
      <c r="D1413" s="74" t="str">
        <f>IF($B1413&lt;&gt;"",_xlfn.IFNA(VLOOKUP($B1413,'Node Details'!$B:$U,D$1,0),"Check"),"")</f>
        <v>CM3</v>
      </c>
      <c r="E1413" s="74" t="str">
        <f>IF($B1413&lt;&gt;"",_xlfn.IFNA(VLOOKUP($B1413,'Node Details'!$B:$U,E$1,0),"Check"),"")</f>
        <v>Airtel</v>
      </c>
      <c r="F1413" s="76">
        <v>46149</v>
      </c>
      <c r="G1413" s="74"/>
      <c r="H1413" s="10" t="s">
        <v>1250</v>
      </c>
      <c r="I1413" s="9">
        <v>2</v>
      </c>
      <c r="J1413" s="9">
        <v>150</v>
      </c>
      <c r="K1413" s="77">
        <f t="shared" si="105"/>
        <v>300</v>
      </c>
      <c r="L1413" s="76">
        <v>46142</v>
      </c>
      <c r="N1413" s="83"/>
      <c r="O1413" s="84"/>
      <c r="P1413" s="81"/>
      <c r="Q1413" s="81"/>
      <c r="R1413" s="81"/>
      <c r="S1413" s="81"/>
      <c r="T1413" s="85"/>
      <c r="U1413" s="81"/>
      <c r="V1413" s="81"/>
      <c r="W1413" s="123">
        <f t="shared" si="104"/>
        <v>0</v>
      </c>
      <c r="X1413" s="123" t="s">
        <v>84</v>
      </c>
      <c r="Y1413" s="114" t="s">
        <v>1128</v>
      </c>
    </row>
    <row r="1414" spans="1:25" s="24" customFormat="1" ht="11.1" customHeight="1">
      <c r="A1414" s="74">
        <f t="shared" si="106"/>
        <v>1412</v>
      </c>
      <c r="B1414" s="75" t="s">
        <v>642</v>
      </c>
      <c r="C1414" s="74" t="str">
        <f>IF($B1414&lt;&gt;"",_xlfn.IFNA(VLOOKUP($B1414,'Node Details'!$B:$U,C$1,0),"Check"),"")</f>
        <v>0000CM301-CM3010106</v>
      </c>
      <c r="D1414" s="74" t="str">
        <f>IF($B1414&lt;&gt;"",_xlfn.IFNA(VLOOKUP($B1414,'Node Details'!$B:$U,D$1,0),"Check"),"")</f>
        <v>CM3</v>
      </c>
      <c r="E1414" s="74" t="str">
        <f>IF($B1414&lt;&gt;"",_xlfn.IFNA(VLOOKUP($B1414,'Node Details'!$B:$U,E$1,0),"Check"),"")</f>
        <v>Airtel</v>
      </c>
      <c r="F1414" s="76">
        <v>46149</v>
      </c>
      <c r="G1414" s="74"/>
      <c r="H1414" s="10" t="s">
        <v>1250</v>
      </c>
      <c r="I1414" s="9">
        <v>2</v>
      </c>
      <c r="J1414" s="9">
        <v>150</v>
      </c>
      <c r="K1414" s="77">
        <f t="shared" si="105"/>
        <v>300</v>
      </c>
      <c r="L1414" s="76">
        <v>46142</v>
      </c>
      <c r="N1414" s="83"/>
      <c r="O1414" s="84"/>
      <c r="P1414" s="81"/>
      <c r="Q1414" s="81"/>
      <c r="R1414" s="81"/>
      <c r="S1414" s="81"/>
      <c r="T1414" s="85"/>
      <c r="U1414" s="81"/>
      <c r="V1414" s="81"/>
      <c r="W1414" s="123">
        <f t="shared" si="104"/>
        <v>0</v>
      </c>
      <c r="X1414" s="123" t="s">
        <v>84</v>
      </c>
      <c r="Y1414" s="114" t="s">
        <v>1128</v>
      </c>
    </row>
    <row r="1415" spans="1:25" s="24" customFormat="1" ht="11.1" customHeight="1">
      <c r="A1415" s="74">
        <f t="shared" si="106"/>
        <v>1413</v>
      </c>
      <c r="B1415" s="75" t="s">
        <v>644</v>
      </c>
      <c r="C1415" s="74" t="str">
        <f>IF($B1415&lt;&gt;"",_xlfn.IFNA(VLOOKUP($B1415,'Node Details'!$B:$U,C$1,0),"Check"),"")</f>
        <v>000000CM3-0000CM310</v>
      </c>
      <c r="D1415" s="74" t="str">
        <f>IF($B1415&lt;&gt;"",_xlfn.IFNA(VLOOKUP($B1415,'Node Details'!$B:$U,D$1,0),"Check"),"")</f>
        <v>CM3</v>
      </c>
      <c r="E1415" s="74" t="str">
        <f>IF($B1415&lt;&gt;"",_xlfn.IFNA(VLOOKUP($B1415,'Node Details'!$B:$U,E$1,0),"Check"),"")</f>
        <v>Airtel</v>
      </c>
      <c r="F1415" s="76">
        <v>46149</v>
      </c>
      <c r="G1415" s="74"/>
      <c r="H1415" s="10" t="s">
        <v>1250</v>
      </c>
      <c r="I1415" s="9">
        <v>2</v>
      </c>
      <c r="J1415" s="9">
        <v>150</v>
      </c>
      <c r="K1415" s="77">
        <f t="shared" si="105"/>
        <v>300</v>
      </c>
      <c r="L1415" s="76">
        <v>46142</v>
      </c>
      <c r="N1415" s="83"/>
      <c r="O1415" s="84"/>
      <c r="P1415" s="81"/>
      <c r="Q1415" s="81"/>
      <c r="R1415" s="81"/>
      <c r="S1415" s="81"/>
      <c r="T1415" s="85"/>
      <c r="U1415" s="81"/>
      <c r="V1415" s="81"/>
      <c r="W1415" s="123">
        <f t="shared" si="104"/>
        <v>0</v>
      </c>
      <c r="X1415" s="123" t="s">
        <v>84</v>
      </c>
      <c r="Y1415" s="114" t="s">
        <v>1128</v>
      </c>
    </row>
    <row r="1416" spans="1:25" s="24" customFormat="1" ht="11.1" customHeight="1">
      <c r="A1416" s="74">
        <f t="shared" si="106"/>
        <v>1414</v>
      </c>
      <c r="B1416" s="75" t="s">
        <v>645</v>
      </c>
      <c r="C1416" s="74" t="str">
        <f>IF($B1416&lt;&gt;"",_xlfn.IFNA(VLOOKUP($B1416,'Node Details'!$B:$U,C$1,0),"Check"),"")</f>
        <v>0000CM302-CM3020101</v>
      </c>
      <c r="D1416" s="74" t="str">
        <f>IF($B1416&lt;&gt;"",_xlfn.IFNA(VLOOKUP($B1416,'Node Details'!$B:$U,D$1,0),"Check"),"")</f>
        <v>CM3</v>
      </c>
      <c r="E1416" s="74" t="str">
        <f>IF($B1416&lt;&gt;"",_xlfn.IFNA(VLOOKUP($B1416,'Node Details'!$B:$U,E$1,0),"Check"),"")</f>
        <v>Airtel</v>
      </c>
      <c r="F1416" s="76">
        <v>46149</v>
      </c>
      <c r="G1416" s="74"/>
      <c r="H1416" s="10" t="s">
        <v>1250</v>
      </c>
      <c r="I1416" s="9">
        <v>2</v>
      </c>
      <c r="J1416" s="9">
        <v>150</v>
      </c>
      <c r="K1416" s="77">
        <f t="shared" si="105"/>
        <v>300</v>
      </c>
      <c r="L1416" s="76">
        <v>46142</v>
      </c>
      <c r="N1416" s="83"/>
      <c r="O1416" s="84"/>
      <c r="P1416" s="81"/>
      <c r="Q1416" s="81"/>
      <c r="R1416" s="81"/>
      <c r="S1416" s="81"/>
      <c r="T1416" s="85"/>
      <c r="U1416" s="81"/>
      <c r="V1416" s="81"/>
      <c r="W1416" s="123">
        <f t="shared" si="104"/>
        <v>0</v>
      </c>
      <c r="X1416" s="123" t="s">
        <v>84</v>
      </c>
      <c r="Y1416" s="114" t="s">
        <v>1128</v>
      </c>
    </row>
    <row r="1417" spans="1:25" s="24" customFormat="1" ht="11.1" customHeight="1">
      <c r="A1417" s="74">
        <f t="shared" si="106"/>
        <v>1415</v>
      </c>
      <c r="B1417" s="75" t="s">
        <v>1132</v>
      </c>
      <c r="C1417" s="74" t="str">
        <f>IF($B1417&lt;&gt;"",_xlfn.IFNA(VLOOKUP($B1417,'Node Details'!$B:$U,C$1,0),"Check"),"")</f>
        <v>0000CM302-CM3020104</v>
      </c>
      <c r="D1417" s="74" t="str">
        <f>IF($B1417&lt;&gt;"",_xlfn.IFNA(VLOOKUP($B1417,'Node Details'!$B:$U,D$1,0),"Check"),"")</f>
        <v>CM3</v>
      </c>
      <c r="E1417" s="74" t="str">
        <f>IF($B1417&lt;&gt;"",_xlfn.IFNA(VLOOKUP($B1417,'Node Details'!$B:$U,E$1,0),"Check"),"")</f>
        <v>Airtel</v>
      </c>
      <c r="F1417" s="76">
        <v>46149</v>
      </c>
      <c r="G1417" s="74"/>
      <c r="H1417" s="10" t="s">
        <v>1250</v>
      </c>
      <c r="I1417" s="9">
        <v>2</v>
      </c>
      <c r="J1417" s="9">
        <v>150</v>
      </c>
      <c r="K1417" s="77">
        <f t="shared" si="105"/>
        <v>300</v>
      </c>
      <c r="L1417" s="76">
        <v>46142</v>
      </c>
      <c r="N1417" s="83"/>
      <c r="O1417" s="84"/>
      <c r="P1417" s="81"/>
      <c r="Q1417" s="81"/>
      <c r="R1417" s="81"/>
      <c r="S1417" s="81"/>
      <c r="T1417" s="85"/>
      <c r="U1417" s="81"/>
      <c r="V1417" s="81"/>
      <c r="W1417" s="123">
        <f t="shared" si="104"/>
        <v>0</v>
      </c>
      <c r="X1417" s="123" t="s">
        <v>84</v>
      </c>
      <c r="Y1417" s="114" t="s">
        <v>1128</v>
      </c>
    </row>
    <row r="1418" spans="1:25" s="24" customFormat="1" ht="11.1" customHeight="1">
      <c r="A1418" s="74">
        <f t="shared" si="106"/>
        <v>1416</v>
      </c>
      <c r="B1418" s="75" t="s">
        <v>1133</v>
      </c>
      <c r="C1418" s="74" t="str">
        <f>IF($B1418&lt;&gt;"",_xlfn.IFNA(VLOOKUP($B1418,'Node Details'!$B:$U,C$1,0),"Check"),"")</f>
        <v>0000CM302-CM3020104</v>
      </c>
      <c r="D1418" s="74" t="str">
        <f>IF($B1418&lt;&gt;"",_xlfn.IFNA(VLOOKUP($B1418,'Node Details'!$B:$U,D$1,0),"Check"),"")</f>
        <v>CM3</v>
      </c>
      <c r="E1418" s="74" t="str">
        <f>IF($B1418&lt;&gt;"",_xlfn.IFNA(VLOOKUP($B1418,'Node Details'!$B:$U,E$1,0),"Check"),"")</f>
        <v>Airtel</v>
      </c>
      <c r="F1418" s="76">
        <v>46149</v>
      </c>
      <c r="G1418" s="74"/>
      <c r="H1418" s="10" t="s">
        <v>1250</v>
      </c>
      <c r="I1418" s="9">
        <v>2</v>
      </c>
      <c r="J1418" s="9">
        <v>150</v>
      </c>
      <c r="K1418" s="77">
        <f t="shared" si="105"/>
        <v>300</v>
      </c>
      <c r="L1418" s="76">
        <v>46142</v>
      </c>
      <c r="N1418" s="83"/>
      <c r="O1418" s="84"/>
      <c r="P1418" s="81"/>
      <c r="Q1418" s="81"/>
      <c r="R1418" s="81"/>
      <c r="S1418" s="81"/>
      <c r="T1418" s="85"/>
      <c r="U1418" s="81"/>
      <c r="V1418" s="81"/>
      <c r="W1418" s="123">
        <f t="shared" si="104"/>
        <v>0</v>
      </c>
      <c r="X1418" s="123" t="s">
        <v>84</v>
      </c>
      <c r="Y1418" s="114" t="s">
        <v>1128</v>
      </c>
    </row>
    <row r="1419" spans="1:25" s="24" customFormat="1" ht="11.1" customHeight="1">
      <c r="A1419" s="74">
        <f t="shared" si="106"/>
        <v>1417</v>
      </c>
      <c r="B1419" s="75" t="s">
        <v>647</v>
      </c>
      <c r="C1419" s="74" t="str">
        <f>IF($B1419&lt;&gt;"",_xlfn.IFNA(VLOOKUP($B1419,'Node Details'!$B:$U,C$1,0),"Check"),"")</f>
        <v>0000CM302-CM3020104</v>
      </c>
      <c r="D1419" s="74" t="str">
        <f>IF($B1419&lt;&gt;"",_xlfn.IFNA(VLOOKUP($B1419,'Node Details'!$B:$U,D$1,0),"Check"),"")</f>
        <v>CM3</v>
      </c>
      <c r="E1419" s="74" t="str">
        <f>IF($B1419&lt;&gt;"",_xlfn.IFNA(VLOOKUP($B1419,'Node Details'!$B:$U,E$1,0),"Check"),"")</f>
        <v>Airtel</v>
      </c>
      <c r="F1419" s="76">
        <v>46149</v>
      </c>
      <c r="G1419" s="74"/>
      <c r="H1419" s="10" t="s">
        <v>1250</v>
      </c>
      <c r="I1419" s="9">
        <v>2</v>
      </c>
      <c r="J1419" s="9">
        <v>150</v>
      </c>
      <c r="K1419" s="77">
        <f t="shared" si="105"/>
        <v>300</v>
      </c>
      <c r="L1419" s="76">
        <v>46142</v>
      </c>
      <c r="N1419" s="83"/>
      <c r="O1419" s="84"/>
      <c r="P1419" s="81"/>
      <c r="Q1419" s="81"/>
      <c r="R1419" s="81"/>
      <c r="S1419" s="81"/>
      <c r="T1419" s="85"/>
      <c r="U1419" s="81"/>
      <c r="V1419" s="81"/>
      <c r="W1419" s="123">
        <f t="shared" si="104"/>
        <v>0</v>
      </c>
      <c r="X1419" s="123" t="s">
        <v>84</v>
      </c>
      <c r="Y1419" s="114" t="s">
        <v>1128</v>
      </c>
    </row>
    <row r="1420" spans="1:25" s="24" customFormat="1" ht="11.1" customHeight="1">
      <c r="A1420" s="74">
        <f t="shared" si="106"/>
        <v>1418</v>
      </c>
      <c r="B1420" s="75" t="s">
        <v>649</v>
      </c>
      <c r="C1420" s="74" t="str">
        <f>IF($B1420&lt;&gt;"",_xlfn.IFNA(VLOOKUP($B1420,'Node Details'!$B:$U,C$1,0),"Check"),"")</f>
        <v>000000CM3-0000CM310</v>
      </c>
      <c r="D1420" s="74" t="str">
        <f>IF($B1420&lt;&gt;"",_xlfn.IFNA(VLOOKUP($B1420,'Node Details'!$B:$U,D$1,0),"Check"),"")</f>
        <v>CM3</v>
      </c>
      <c r="E1420" s="74" t="str">
        <f>IF($B1420&lt;&gt;"",_xlfn.IFNA(VLOOKUP($B1420,'Node Details'!$B:$U,E$1,0),"Check"),"")</f>
        <v>Airtel</v>
      </c>
      <c r="F1420" s="76">
        <v>46149</v>
      </c>
      <c r="G1420" s="74"/>
      <c r="H1420" s="10" t="s">
        <v>1250</v>
      </c>
      <c r="I1420" s="9">
        <v>2</v>
      </c>
      <c r="J1420" s="9">
        <v>150</v>
      </c>
      <c r="K1420" s="77">
        <f t="shared" si="105"/>
        <v>300</v>
      </c>
      <c r="L1420" s="76">
        <v>46142</v>
      </c>
      <c r="N1420" s="83"/>
      <c r="O1420" s="84"/>
      <c r="P1420" s="81"/>
      <c r="Q1420" s="81"/>
      <c r="R1420" s="81"/>
      <c r="S1420" s="81"/>
      <c r="T1420" s="85"/>
      <c r="U1420" s="81"/>
      <c r="V1420" s="81"/>
      <c r="W1420" s="123">
        <f t="shared" si="104"/>
        <v>0</v>
      </c>
      <c r="X1420" s="123" t="s">
        <v>84</v>
      </c>
      <c r="Y1420" s="114" t="s">
        <v>1128</v>
      </c>
    </row>
    <row r="1421" spans="1:25" s="24" customFormat="1" ht="11.1" customHeight="1">
      <c r="A1421" s="74">
        <f t="shared" si="106"/>
        <v>1419</v>
      </c>
      <c r="B1421" s="75" t="s">
        <v>650</v>
      </c>
      <c r="C1421" s="74" t="str">
        <f>IF($B1421&lt;&gt;"",_xlfn.IFNA(VLOOKUP($B1421,'Node Details'!$B:$U,C$1,0),"Check"),"")</f>
        <v>0000CM303-CM3030105</v>
      </c>
      <c r="D1421" s="74" t="str">
        <f>IF($B1421&lt;&gt;"",_xlfn.IFNA(VLOOKUP($B1421,'Node Details'!$B:$U,D$1,0),"Check"),"")</f>
        <v>CM3</v>
      </c>
      <c r="E1421" s="74" t="str">
        <f>IF($B1421&lt;&gt;"",_xlfn.IFNA(VLOOKUP($B1421,'Node Details'!$B:$U,E$1,0),"Check"),"")</f>
        <v>Airtel</v>
      </c>
      <c r="F1421" s="76">
        <v>46149</v>
      </c>
      <c r="G1421" s="74"/>
      <c r="H1421" s="10" t="s">
        <v>1250</v>
      </c>
      <c r="I1421" s="9">
        <v>2</v>
      </c>
      <c r="J1421" s="9">
        <v>150</v>
      </c>
      <c r="K1421" s="77">
        <f t="shared" si="105"/>
        <v>300</v>
      </c>
      <c r="L1421" s="76">
        <v>46142</v>
      </c>
      <c r="N1421" s="83"/>
      <c r="O1421" s="84"/>
      <c r="P1421" s="81"/>
      <c r="Q1421" s="81"/>
      <c r="R1421" s="81"/>
      <c r="S1421" s="81"/>
      <c r="T1421" s="85"/>
      <c r="U1421" s="81"/>
      <c r="V1421" s="81"/>
      <c r="W1421" s="123">
        <f t="shared" si="104"/>
        <v>0</v>
      </c>
      <c r="X1421" s="123" t="s">
        <v>84</v>
      </c>
      <c r="Y1421" s="114" t="s">
        <v>1128</v>
      </c>
    </row>
    <row r="1422" spans="1:25" s="24" customFormat="1" ht="11.1" customHeight="1">
      <c r="A1422" s="74">
        <f t="shared" si="106"/>
        <v>1420</v>
      </c>
      <c r="B1422" s="75" t="s">
        <v>1134</v>
      </c>
      <c r="C1422" s="74" t="str">
        <f>IF($B1422&lt;&gt;"",_xlfn.IFNA(VLOOKUP($B1422,'Node Details'!$B:$U,C$1,0),"Check"),"")</f>
        <v>0000CM303-CM3030102</v>
      </c>
      <c r="D1422" s="74" t="str">
        <f>IF($B1422&lt;&gt;"",_xlfn.IFNA(VLOOKUP($B1422,'Node Details'!$B:$U,D$1,0),"Check"),"")</f>
        <v>CM3</v>
      </c>
      <c r="E1422" s="74" t="str">
        <f>IF($B1422&lt;&gt;"",_xlfn.IFNA(VLOOKUP($B1422,'Node Details'!$B:$U,E$1,0),"Check"),"")</f>
        <v>Airtel</v>
      </c>
      <c r="F1422" s="76">
        <v>46149</v>
      </c>
      <c r="G1422" s="74"/>
      <c r="H1422" s="10" t="s">
        <v>1250</v>
      </c>
      <c r="I1422" s="9">
        <v>2</v>
      </c>
      <c r="J1422" s="9">
        <v>150</v>
      </c>
      <c r="K1422" s="77">
        <f t="shared" si="105"/>
        <v>300</v>
      </c>
      <c r="L1422" s="76">
        <v>46142</v>
      </c>
      <c r="N1422" s="83"/>
      <c r="O1422" s="84"/>
      <c r="P1422" s="81"/>
      <c r="Q1422" s="81"/>
      <c r="R1422" s="81"/>
      <c r="S1422" s="81"/>
      <c r="T1422" s="85"/>
      <c r="U1422" s="81"/>
      <c r="V1422" s="81"/>
      <c r="W1422" s="123">
        <f t="shared" si="104"/>
        <v>0</v>
      </c>
      <c r="X1422" s="123" t="s">
        <v>84</v>
      </c>
      <c r="Y1422" s="114" t="s">
        <v>1128</v>
      </c>
    </row>
    <row r="1423" spans="1:25" s="24" customFormat="1" ht="11.1" customHeight="1">
      <c r="A1423" s="74">
        <f t="shared" si="106"/>
        <v>1421</v>
      </c>
      <c r="B1423" s="75" t="s">
        <v>652</v>
      </c>
      <c r="C1423" s="74" t="str">
        <f>IF($B1423&lt;&gt;"",_xlfn.IFNA(VLOOKUP($B1423,'Node Details'!$B:$U,C$1,0),"Check"),"")</f>
        <v>0000CM303-CM3030102</v>
      </c>
      <c r="D1423" s="74" t="str">
        <f>IF($B1423&lt;&gt;"",_xlfn.IFNA(VLOOKUP($B1423,'Node Details'!$B:$U,D$1,0),"Check"),"")</f>
        <v>CM3</v>
      </c>
      <c r="E1423" s="74" t="str">
        <f>IF($B1423&lt;&gt;"",_xlfn.IFNA(VLOOKUP($B1423,'Node Details'!$B:$U,E$1,0),"Check"),"")</f>
        <v>Airtel</v>
      </c>
      <c r="F1423" s="76">
        <v>46149</v>
      </c>
      <c r="G1423" s="74"/>
      <c r="H1423" s="10" t="s">
        <v>1250</v>
      </c>
      <c r="I1423" s="9">
        <v>2</v>
      </c>
      <c r="J1423" s="9">
        <v>150</v>
      </c>
      <c r="K1423" s="77">
        <f t="shared" si="105"/>
        <v>300</v>
      </c>
      <c r="L1423" s="76">
        <v>46142</v>
      </c>
      <c r="N1423" s="83"/>
      <c r="O1423" s="84"/>
      <c r="P1423" s="81"/>
      <c r="Q1423" s="81"/>
      <c r="R1423" s="81"/>
      <c r="S1423" s="81"/>
      <c r="T1423" s="85"/>
      <c r="U1423" s="81"/>
      <c r="V1423" s="81"/>
      <c r="W1423" s="123">
        <f t="shared" si="104"/>
        <v>0</v>
      </c>
      <c r="X1423" s="123" t="s">
        <v>84</v>
      </c>
      <c r="Y1423" s="114" t="s">
        <v>1128</v>
      </c>
    </row>
    <row r="1424" spans="1:25" s="24" customFormat="1" ht="11.1" customHeight="1">
      <c r="A1424" s="74">
        <f t="shared" si="106"/>
        <v>1422</v>
      </c>
      <c r="B1424" s="75" t="s">
        <v>654</v>
      </c>
      <c r="C1424" s="74" t="str">
        <f>IF($B1424&lt;&gt;"",_xlfn.IFNA(VLOOKUP($B1424,'Node Details'!$B:$U,C$1,0),"Check"),"")</f>
        <v>0000CM303-CM3030103</v>
      </c>
      <c r="D1424" s="74" t="str">
        <f>IF($B1424&lt;&gt;"",_xlfn.IFNA(VLOOKUP($B1424,'Node Details'!$B:$U,D$1,0),"Check"),"")</f>
        <v>CM3</v>
      </c>
      <c r="E1424" s="74" t="str">
        <f>IF($B1424&lt;&gt;"",_xlfn.IFNA(VLOOKUP($B1424,'Node Details'!$B:$U,E$1,0),"Check"),"")</f>
        <v>Airtel</v>
      </c>
      <c r="F1424" s="76">
        <v>46149</v>
      </c>
      <c r="G1424" s="74"/>
      <c r="H1424" s="10" t="s">
        <v>1250</v>
      </c>
      <c r="I1424" s="9">
        <v>2</v>
      </c>
      <c r="J1424" s="9">
        <v>150</v>
      </c>
      <c r="K1424" s="77">
        <f t="shared" si="105"/>
        <v>300</v>
      </c>
      <c r="L1424" s="76">
        <v>46142</v>
      </c>
      <c r="N1424" s="83"/>
      <c r="O1424" s="84"/>
      <c r="P1424" s="81"/>
      <c r="Q1424" s="81"/>
      <c r="R1424" s="81"/>
      <c r="S1424" s="81"/>
      <c r="T1424" s="85"/>
      <c r="U1424" s="81"/>
      <c r="V1424" s="81"/>
      <c r="W1424" s="123">
        <f t="shared" si="104"/>
        <v>0</v>
      </c>
      <c r="X1424" s="123" t="s">
        <v>84</v>
      </c>
      <c r="Y1424" s="114" t="s">
        <v>1128</v>
      </c>
    </row>
    <row r="1425" spans="1:25" s="24" customFormat="1" ht="11.1" customHeight="1">
      <c r="A1425" s="74">
        <f t="shared" si="106"/>
        <v>1423</v>
      </c>
      <c r="B1425" s="75" t="s">
        <v>1135</v>
      </c>
      <c r="C1425" s="74" t="str">
        <f>IF($B1425&lt;&gt;"",_xlfn.IFNA(VLOOKUP($B1425,'Node Details'!$B:$U,C$1,0),"Check"),"")</f>
        <v>0000CM303-CM3030108</v>
      </c>
      <c r="D1425" s="74" t="str">
        <f>IF($B1425&lt;&gt;"",_xlfn.IFNA(VLOOKUP($B1425,'Node Details'!$B:$U,D$1,0),"Check"),"")</f>
        <v>CM3</v>
      </c>
      <c r="E1425" s="74" t="str">
        <f>IF($B1425&lt;&gt;"",_xlfn.IFNA(VLOOKUP($B1425,'Node Details'!$B:$U,E$1,0),"Check"),"")</f>
        <v>Airtel</v>
      </c>
      <c r="F1425" s="76">
        <v>46149</v>
      </c>
      <c r="G1425" s="74"/>
      <c r="H1425" s="10" t="s">
        <v>1250</v>
      </c>
      <c r="I1425" s="9">
        <v>2</v>
      </c>
      <c r="J1425" s="9">
        <v>150</v>
      </c>
      <c r="K1425" s="77">
        <f t="shared" si="105"/>
        <v>300</v>
      </c>
      <c r="L1425" s="76">
        <v>46142</v>
      </c>
      <c r="N1425" s="83"/>
      <c r="O1425" s="84"/>
      <c r="P1425" s="81"/>
      <c r="Q1425" s="81"/>
      <c r="R1425" s="81"/>
      <c r="S1425" s="81"/>
      <c r="T1425" s="85"/>
      <c r="U1425" s="81"/>
      <c r="V1425" s="81"/>
      <c r="W1425" s="123">
        <f t="shared" si="104"/>
        <v>0</v>
      </c>
      <c r="X1425" s="123" t="s">
        <v>84</v>
      </c>
      <c r="Y1425" s="114" t="s">
        <v>1128</v>
      </c>
    </row>
    <row r="1426" spans="1:25" s="24" customFormat="1" ht="11.1" customHeight="1">
      <c r="A1426" s="74">
        <f t="shared" si="106"/>
        <v>1424</v>
      </c>
      <c r="B1426" s="75" t="s">
        <v>1136</v>
      </c>
      <c r="C1426" s="74" t="str">
        <f>IF($B1426&lt;&gt;"",_xlfn.IFNA(VLOOKUP($B1426,'Node Details'!$B:$U,C$1,0),"Check"),"")</f>
        <v>0000CM303-CM3030108</v>
      </c>
      <c r="D1426" s="74" t="str">
        <f>IF($B1426&lt;&gt;"",_xlfn.IFNA(VLOOKUP($B1426,'Node Details'!$B:$U,D$1,0),"Check"),"")</f>
        <v>CM3</v>
      </c>
      <c r="E1426" s="74" t="str">
        <f>IF($B1426&lt;&gt;"",_xlfn.IFNA(VLOOKUP($B1426,'Node Details'!$B:$U,E$1,0),"Check"),"")</f>
        <v>Airtel</v>
      </c>
      <c r="F1426" s="76">
        <v>46149</v>
      </c>
      <c r="G1426" s="74"/>
      <c r="H1426" s="10" t="s">
        <v>1250</v>
      </c>
      <c r="I1426" s="9">
        <v>2</v>
      </c>
      <c r="J1426" s="9">
        <v>150</v>
      </c>
      <c r="K1426" s="77">
        <f t="shared" si="105"/>
        <v>300</v>
      </c>
      <c r="L1426" s="76">
        <v>46142</v>
      </c>
      <c r="N1426" s="83"/>
      <c r="O1426" s="84"/>
      <c r="P1426" s="81"/>
      <c r="Q1426" s="81"/>
      <c r="R1426" s="81"/>
      <c r="S1426" s="81"/>
      <c r="T1426" s="85"/>
      <c r="U1426" s="81"/>
      <c r="V1426" s="81"/>
      <c r="W1426" s="123">
        <f t="shared" si="104"/>
        <v>0</v>
      </c>
      <c r="X1426" s="123" t="s">
        <v>84</v>
      </c>
      <c r="Y1426" s="114" t="s">
        <v>1128</v>
      </c>
    </row>
    <row r="1427" spans="1:25" s="24" customFormat="1" ht="11.1" customHeight="1">
      <c r="A1427" s="74">
        <f t="shared" si="106"/>
        <v>1425</v>
      </c>
      <c r="B1427" s="75" t="s">
        <v>656</v>
      </c>
      <c r="C1427" s="74" t="str">
        <f>IF($B1427&lt;&gt;"",_xlfn.IFNA(VLOOKUP($B1427,'Node Details'!$B:$U,C$1,0),"Check"),"")</f>
        <v>0000CM303-CM3030108</v>
      </c>
      <c r="D1427" s="74" t="str">
        <f>IF($B1427&lt;&gt;"",_xlfn.IFNA(VLOOKUP($B1427,'Node Details'!$B:$U,D$1,0),"Check"),"")</f>
        <v>CM3</v>
      </c>
      <c r="E1427" s="74" t="str">
        <f>IF($B1427&lt;&gt;"",_xlfn.IFNA(VLOOKUP($B1427,'Node Details'!$B:$U,E$1,0),"Check"),"")</f>
        <v>Airtel</v>
      </c>
      <c r="F1427" s="76">
        <v>46149</v>
      </c>
      <c r="G1427" s="74"/>
      <c r="H1427" s="10" t="s">
        <v>1250</v>
      </c>
      <c r="I1427" s="9">
        <v>2</v>
      </c>
      <c r="J1427" s="9">
        <v>150</v>
      </c>
      <c r="K1427" s="77">
        <f t="shared" si="105"/>
        <v>300</v>
      </c>
      <c r="L1427" s="76">
        <v>46142</v>
      </c>
      <c r="N1427" s="83"/>
      <c r="O1427" s="84"/>
      <c r="P1427" s="81"/>
      <c r="Q1427" s="81"/>
      <c r="R1427" s="81"/>
      <c r="S1427" s="81"/>
      <c r="T1427" s="85"/>
      <c r="U1427" s="81"/>
      <c r="V1427" s="81"/>
      <c r="W1427" s="123">
        <f t="shared" si="104"/>
        <v>0</v>
      </c>
      <c r="X1427" s="123" t="s">
        <v>84</v>
      </c>
      <c r="Y1427" s="114" t="s">
        <v>1128</v>
      </c>
    </row>
    <row r="1428" spans="1:25" s="24" customFormat="1" ht="11.1" customHeight="1">
      <c r="A1428" s="74">
        <f t="shared" si="106"/>
        <v>1426</v>
      </c>
      <c r="B1428" s="75" t="s">
        <v>630</v>
      </c>
      <c r="C1428" s="74" t="str">
        <f>IF($B1428&lt;&gt;"",_xlfn.IFNA(VLOOKUP($B1428,'Node Details'!$B:$U,C$1,0),"Check"),"")</f>
        <v>000000CM3-0000CM310</v>
      </c>
      <c r="D1428" s="74" t="str">
        <f>IF($B1428&lt;&gt;"",_xlfn.IFNA(VLOOKUP($B1428,'Node Details'!$B:$U,D$1,0),"Check"),"")</f>
        <v>CM3</v>
      </c>
      <c r="E1428" s="74" t="str">
        <f>IF($B1428&lt;&gt;"",_xlfn.IFNA(VLOOKUP($B1428,'Node Details'!$B:$U,E$1,0),"Check"),"")</f>
        <v>Airtel</v>
      </c>
      <c r="F1428" s="76">
        <v>46149</v>
      </c>
      <c r="G1428" s="74"/>
      <c r="H1428" s="10" t="s">
        <v>1250</v>
      </c>
      <c r="I1428" s="9">
        <v>2</v>
      </c>
      <c r="J1428" s="9">
        <v>150</v>
      </c>
      <c r="K1428" s="77">
        <f t="shared" si="105"/>
        <v>300</v>
      </c>
      <c r="L1428" s="76">
        <v>46142</v>
      </c>
      <c r="N1428" s="83"/>
      <c r="O1428" s="84"/>
      <c r="P1428" s="81"/>
      <c r="Q1428" s="81"/>
      <c r="R1428" s="81"/>
      <c r="S1428" s="81"/>
      <c r="T1428" s="85"/>
      <c r="U1428" s="81"/>
      <c r="V1428" s="81"/>
      <c r="W1428" s="123">
        <f t="shared" si="104"/>
        <v>0</v>
      </c>
      <c r="X1428" s="123" t="s">
        <v>84</v>
      </c>
      <c r="Y1428" s="114" t="s">
        <v>1128</v>
      </c>
    </row>
    <row r="1429" spans="1:25" s="24" customFormat="1" ht="11.1" customHeight="1">
      <c r="A1429" s="74">
        <f t="shared" si="106"/>
        <v>1427</v>
      </c>
      <c r="B1429" s="75" t="s">
        <v>658</v>
      </c>
      <c r="C1429" s="74" t="str">
        <f>IF($B1429&lt;&gt;"",_xlfn.IFNA(VLOOKUP($B1429,'Node Details'!$B:$U,C$1,0),"Check"),"")</f>
        <v>0000CM304-CM3040101</v>
      </c>
      <c r="D1429" s="74" t="str">
        <f>IF($B1429&lt;&gt;"",_xlfn.IFNA(VLOOKUP($B1429,'Node Details'!$B:$U,D$1,0),"Check"),"")</f>
        <v>CM3</v>
      </c>
      <c r="E1429" s="74" t="str">
        <f>IF($B1429&lt;&gt;"",_xlfn.IFNA(VLOOKUP($B1429,'Node Details'!$B:$U,E$1,0),"Check"),"")</f>
        <v>Airtel</v>
      </c>
      <c r="F1429" s="76">
        <v>46149</v>
      </c>
      <c r="G1429" s="74"/>
      <c r="H1429" s="10" t="s">
        <v>1250</v>
      </c>
      <c r="I1429" s="9">
        <v>2</v>
      </c>
      <c r="J1429" s="9">
        <v>150</v>
      </c>
      <c r="K1429" s="77">
        <f t="shared" si="105"/>
        <v>300</v>
      </c>
      <c r="L1429" s="76">
        <v>46142</v>
      </c>
      <c r="N1429" s="83"/>
      <c r="O1429" s="84"/>
      <c r="P1429" s="81"/>
      <c r="Q1429" s="81"/>
      <c r="R1429" s="81"/>
      <c r="S1429" s="81"/>
      <c r="T1429" s="85"/>
      <c r="U1429" s="81"/>
      <c r="V1429" s="81"/>
      <c r="W1429" s="123">
        <f t="shared" si="104"/>
        <v>0</v>
      </c>
      <c r="X1429" s="123" t="s">
        <v>84</v>
      </c>
      <c r="Y1429" s="114" t="s">
        <v>1128</v>
      </c>
    </row>
    <row r="1430" spans="1:25" s="24" customFormat="1" ht="11.1" customHeight="1">
      <c r="A1430" s="74">
        <f t="shared" si="106"/>
        <v>1428</v>
      </c>
      <c r="B1430" s="75" t="s">
        <v>1137</v>
      </c>
      <c r="C1430" s="74" t="str">
        <f>IF($B1430&lt;&gt;"",_xlfn.IFNA(VLOOKUP($B1430,'Node Details'!$B:$U,C$1,0),"Check"),"")</f>
        <v>0000CM304-CM3040104</v>
      </c>
      <c r="D1430" s="74" t="str">
        <f>IF($B1430&lt;&gt;"",_xlfn.IFNA(VLOOKUP($B1430,'Node Details'!$B:$U,D$1,0),"Check"),"")</f>
        <v>CM3</v>
      </c>
      <c r="E1430" s="74" t="str">
        <f>IF($B1430&lt;&gt;"",_xlfn.IFNA(VLOOKUP($B1430,'Node Details'!$B:$U,E$1,0),"Check"),"")</f>
        <v>Airtel</v>
      </c>
      <c r="F1430" s="76">
        <v>46149</v>
      </c>
      <c r="G1430" s="74"/>
      <c r="H1430" s="10" t="s">
        <v>1250</v>
      </c>
      <c r="I1430" s="9">
        <v>2</v>
      </c>
      <c r="J1430" s="9">
        <v>150</v>
      </c>
      <c r="K1430" s="77">
        <f t="shared" si="105"/>
        <v>300</v>
      </c>
      <c r="L1430" s="76">
        <v>46142</v>
      </c>
      <c r="N1430" s="83"/>
      <c r="O1430" s="84"/>
      <c r="P1430" s="81"/>
      <c r="Q1430" s="81"/>
      <c r="R1430" s="81"/>
      <c r="S1430" s="81"/>
      <c r="T1430" s="85"/>
      <c r="U1430" s="81"/>
      <c r="V1430" s="81"/>
      <c r="W1430" s="123">
        <f t="shared" si="104"/>
        <v>0</v>
      </c>
      <c r="X1430" s="123" t="s">
        <v>84</v>
      </c>
      <c r="Y1430" s="114" t="s">
        <v>1128</v>
      </c>
    </row>
    <row r="1431" spans="1:25" s="24" customFormat="1" ht="11.1" customHeight="1">
      <c r="A1431" s="74">
        <f t="shared" si="106"/>
        <v>1429</v>
      </c>
      <c r="B1431" s="75" t="s">
        <v>1138</v>
      </c>
      <c r="C1431" s="74" t="str">
        <f>IF($B1431&lt;&gt;"",_xlfn.IFNA(VLOOKUP($B1431,'Node Details'!$B:$U,C$1,0),"Check"),"")</f>
        <v>0000CM304-CM3040104</v>
      </c>
      <c r="D1431" s="74" t="str">
        <f>IF($B1431&lt;&gt;"",_xlfn.IFNA(VLOOKUP($B1431,'Node Details'!$B:$U,D$1,0),"Check"),"")</f>
        <v>CM3</v>
      </c>
      <c r="E1431" s="74" t="str">
        <f>IF($B1431&lt;&gt;"",_xlfn.IFNA(VLOOKUP($B1431,'Node Details'!$B:$U,E$1,0),"Check"),"")</f>
        <v>Airtel</v>
      </c>
      <c r="F1431" s="76">
        <v>46149</v>
      </c>
      <c r="G1431" s="74"/>
      <c r="H1431" s="10" t="s">
        <v>1250</v>
      </c>
      <c r="I1431" s="9">
        <v>2</v>
      </c>
      <c r="J1431" s="9">
        <v>150</v>
      </c>
      <c r="K1431" s="77">
        <f t="shared" si="105"/>
        <v>300</v>
      </c>
      <c r="L1431" s="76">
        <v>46142</v>
      </c>
      <c r="N1431" s="83"/>
      <c r="O1431" s="84"/>
      <c r="P1431" s="81"/>
      <c r="Q1431" s="81"/>
      <c r="R1431" s="81"/>
      <c r="S1431" s="81"/>
      <c r="T1431" s="85"/>
      <c r="U1431" s="81"/>
      <c r="V1431" s="81"/>
      <c r="W1431" s="123">
        <f t="shared" si="104"/>
        <v>0</v>
      </c>
      <c r="X1431" s="123" t="s">
        <v>84</v>
      </c>
      <c r="Y1431" s="114" t="s">
        <v>1128</v>
      </c>
    </row>
    <row r="1432" spans="1:25" s="24" customFormat="1" ht="11.1" customHeight="1">
      <c r="A1432" s="74">
        <f t="shared" si="106"/>
        <v>1430</v>
      </c>
      <c r="B1432" s="75" t="s">
        <v>660</v>
      </c>
      <c r="C1432" s="74" t="str">
        <f>IF($B1432&lt;&gt;"",_xlfn.IFNA(VLOOKUP($B1432,'Node Details'!$B:$U,C$1,0),"Check"),"")</f>
        <v>0000CM304-CM3040104</v>
      </c>
      <c r="D1432" s="74" t="str">
        <f>IF($B1432&lt;&gt;"",_xlfn.IFNA(VLOOKUP($B1432,'Node Details'!$B:$U,D$1,0),"Check"),"")</f>
        <v>CM3</v>
      </c>
      <c r="E1432" s="74" t="str">
        <f>IF($B1432&lt;&gt;"",_xlfn.IFNA(VLOOKUP($B1432,'Node Details'!$B:$U,E$1,0),"Check"),"")</f>
        <v>Airtel</v>
      </c>
      <c r="F1432" s="76">
        <v>46149</v>
      </c>
      <c r="G1432" s="74"/>
      <c r="H1432" s="10" t="s">
        <v>1250</v>
      </c>
      <c r="I1432" s="9">
        <v>2</v>
      </c>
      <c r="J1432" s="9">
        <v>150</v>
      </c>
      <c r="K1432" s="77">
        <f t="shared" si="105"/>
        <v>300</v>
      </c>
      <c r="L1432" s="76">
        <v>46142</v>
      </c>
      <c r="N1432" s="83"/>
      <c r="O1432" s="84"/>
      <c r="P1432" s="81"/>
      <c r="Q1432" s="81"/>
      <c r="R1432" s="81"/>
      <c r="S1432" s="81"/>
      <c r="T1432" s="85"/>
      <c r="U1432" s="81"/>
      <c r="V1432" s="81"/>
      <c r="W1432" s="123">
        <f t="shared" si="104"/>
        <v>0</v>
      </c>
      <c r="X1432" s="123" t="s">
        <v>84</v>
      </c>
      <c r="Y1432" s="114" t="s">
        <v>1128</v>
      </c>
    </row>
    <row r="1433" spans="1:25" s="24" customFormat="1" ht="11.1" customHeight="1">
      <c r="A1433" s="74">
        <f t="shared" si="106"/>
        <v>1431</v>
      </c>
      <c r="B1433" s="75" t="s">
        <v>1139</v>
      </c>
      <c r="C1433" s="74" t="str">
        <f>IF($B1433&lt;&gt;"",_xlfn.IFNA(VLOOKUP($B1433,'Node Details'!$B:$U,C$1,0),"Check"),"")</f>
        <v>0000CM304-CM3040108</v>
      </c>
      <c r="D1433" s="74" t="str">
        <f>IF($B1433&lt;&gt;"",_xlfn.IFNA(VLOOKUP($B1433,'Node Details'!$B:$U,D$1,0),"Check"),"")</f>
        <v>CM3</v>
      </c>
      <c r="E1433" s="74" t="str">
        <f>IF($B1433&lt;&gt;"",_xlfn.IFNA(VLOOKUP($B1433,'Node Details'!$B:$U,E$1,0),"Check"),"")</f>
        <v>Airtel</v>
      </c>
      <c r="F1433" s="76">
        <v>46149</v>
      </c>
      <c r="G1433" s="74"/>
      <c r="H1433" s="10" t="s">
        <v>1250</v>
      </c>
      <c r="I1433" s="9">
        <v>2</v>
      </c>
      <c r="J1433" s="9">
        <v>150</v>
      </c>
      <c r="K1433" s="77">
        <f t="shared" si="105"/>
        <v>300</v>
      </c>
      <c r="L1433" s="76">
        <v>46142</v>
      </c>
      <c r="N1433" s="83"/>
      <c r="O1433" s="84"/>
      <c r="P1433" s="81"/>
      <c r="Q1433" s="81"/>
      <c r="R1433" s="81"/>
      <c r="S1433" s="81"/>
      <c r="T1433" s="85"/>
      <c r="U1433" s="81"/>
      <c r="V1433" s="81"/>
      <c r="W1433" s="123">
        <f t="shared" si="104"/>
        <v>0</v>
      </c>
      <c r="X1433" s="123" t="s">
        <v>84</v>
      </c>
      <c r="Y1433" s="114" t="s">
        <v>1128</v>
      </c>
    </row>
    <row r="1434" spans="1:25" s="24" customFormat="1" ht="11.1" customHeight="1">
      <c r="A1434" s="74">
        <f t="shared" si="106"/>
        <v>1432</v>
      </c>
      <c r="B1434" s="75" t="s">
        <v>1140</v>
      </c>
      <c r="C1434" s="74" t="str">
        <f>IF($B1434&lt;&gt;"",_xlfn.IFNA(VLOOKUP($B1434,'Node Details'!$B:$U,C$1,0),"Check"),"")</f>
        <v>0000CM304-CM3040108</v>
      </c>
      <c r="D1434" s="74" t="str">
        <f>IF($B1434&lt;&gt;"",_xlfn.IFNA(VLOOKUP($B1434,'Node Details'!$B:$U,D$1,0),"Check"),"")</f>
        <v>CM3</v>
      </c>
      <c r="E1434" s="74" t="str">
        <f>IF($B1434&lt;&gt;"",_xlfn.IFNA(VLOOKUP($B1434,'Node Details'!$B:$U,E$1,0),"Check"),"")</f>
        <v>Airtel</v>
      </c>
      <c r="F1434" s="76">
        <v>46149</v>
      </c>
      <c r="G1434" s="74"/>
      <c r="H1434" s="10" t="s">
        <v>1250</v>
      </c>
      <c r="I1434" s="9">
        <v>2</v>
      </c>
      <c r="J1434" s="9">
        <v>150</v>
      </c>
      <c r="K1434" s="77">
        <f t="shared" si="105"/>
        <v>300</v>
      </c>
      <c r="L1434" s="76">
        <v>46142</v>
      </c>
      <c r="N1434" s="83"/>
      <c r="O1434" s="84"/>
      <c r="P1434" s="81"/>
      <c r="Q1434" s="81"/>
      <c r="R1434" s="81"/>
      <c r="S1434" s="81"/>
      <c r="T1434" s="85"/>
      <c r="U1434" s="81"/>
      <c r="V1434" s="81"/>
      <c r="W1434" s="123">
        <f t="shared" si="104"/>
        <v>0</v>
      </c>
      <c r="X1434" s="123" t="s">
        <v>84</v>
      </c>
      <c r="Y1434" s="114" t="s">
        <v>1128</v>
      </c>
    </row>
    <row r="1435" spans="1:25" s="24" customFormat="1" ht="11.1" customHeight="1">
      <c r="A1435" s="74">
        <f t="shared" si="106"/>
        <v>1433</v>
      </c>
      <c r="B1435" s="75" t="s">
        <v>662</v>
      </c>
      <c r="C1435" s="74" t="str">
        <f>IF($B1435&lt;&gt;"",_xlfn.IFNA(VLOOKUP($B1435,'Node Details'!$B:$U,C$1,0),"Check"),"")</f>
        <v>0000CM304-CM3040108</v>
      </c>
      <c r="D1435" s="74" t="str">
        <f>IF($B1435&lt;&gt;"",_xlfn.IFNA(VLOOKUP($B1435,'Node Details'!$B:$U,D$1,0),"Check"),"")</f>
        <v>CM3</v>
      </c>
      <c r="E1435" s="74" t="str">
        <f>IF($B1435&lt;&gt;"",_xlfn.IFNA(VLOOKUP($B1435,'Node Details'!$B:$U,E$1,0),"Check"),"")</f>
        <v>Airtel</v>
      </c>
      <c r="F1435" s="76">
        <v>46149</v>
      </c>
      <c r="G1435" s="74"/>
      <c r="H1435" s="10" t="s">
        <v>1250</v>
      </c>
      <c r="I1435" s="9">
        <v>2</v>
      </c>
      <c r="J1435" s="9">
        <v>150</v>
      </c>
      <c r="K1435" s="77">
        <f t="shared" si="105"/>
        <v>300</v>
      </c>
      <c r="L1435" s="76">
        <v>46142</v>
      </c>
      <c r="N1435" s="83"/>
      <c r="O1435" s="84"/>
      <c r="P1435" s="81"/>
      <c r="Q1435" s="81"/>
      <c r="R1435" s="81"/>
      <c r="S1435" s="81"/>
      <c r="T1435" s="85"/>
      <c r="U1435" s="81"/>
      <c r="V1435" s="81"/>
      <c r="W1435" s="123">
        <f t="shared" si="104"/>
        <v>0</v>
      </c>
      <c r="X1435" s="123" t="s">
        <v>84</v>
      </c>
      <c r="Y1435" s="114" t="s">
        <v>1128</v>
      </c>
    </row>
    <row r="1436" spans="1:25" s="24" customFormat="1" ht="11.1" customHeight="1">
      <c r="A1436" s="74">
        <f t="shared" si="106"/>
        <v>1434</v>
      </c>
      <c r="B1436" s="75" t="s">
        <v>631</v>
      </c>
      <c r="C1436" s="74" t="str">
        <f>IF($B1436&lt;&gt;"",_xlfn.IFNA(VLOOKUP($B1436,'Node Details'!$B:$U,C$1,0),"Check"),"")</f>
        <v>0000CM304-0000CM305</v>
      </c>
      <c r="D1436" s="74" t="str">
        <f>IF($B1436&lt;&gt;"",_xlfn.IFNA(VLOOKUP($B1436,'Node Details'!$B:$U,D$1,0),"Check"),"")</f>
        <v>CM3</v>
      </c>
      <c r="E1436" s="74" t="str">
        <f>IF($B1436&lt;&gt;"",_xlfn.IFNA(VLOOKUP($B1436,'Node Details'!$B:$U,E$1,0),"Check"),"")</f>
        <v>Airtel</v>
      </c>
      <c r="F1436" s="76">
        <v>46149</v>
      </c>
      <c r="G1436" s="74"/>
      <c r="H1436" s="10" t="s">
        <v>1250</v>
      </c>
      <c r="I1436" s="9">
        <v>2</v>
      </c>
      <c r="J1436" s="9">
        <v>150</v>
      </c>
      <c r="K1436" s="77">
        <f t="shared" si="105"/>
        <v>300</v>
      </c>
      <c r="L1436" s="76">
        <v>46142</v>
      </c>
      <c r="N1436" s="83"/>
      <c r="O1436" s="84"/>
      <c r="P1436" s="81"/>
      <c r="Q1436" s="81"/>
      <c r="R1436" s="81"/>
      <c r="S1436" s="81"/>
      <c r="T1436" s="85"/>
      <c r="U1436" s="81"/>
      <c r="V1436" s="81"/>
      <c r="W1436" s="123">
        <f t="shared" si="104"/>
        <v>0</v>
      </c>
      <c r="X1436" s="123" t="s">
        <v>84</v>
      </c>
      <c r="Y1436" s="114" t="s">
        <v>1128</v>
      </c>
    </row>
    <row r="1437" spans="1:25" s="24" customFormat="1" ht="11.1" customHeight="1">
      <c r="A1437" s="74">
        <f t="shared" si="106"/>
        <v>1435</v>
      </c>
      <c r="B1437" s="75" t="s">
        <v>664</v>
      </c>
      <c r="C1437" s="74" t="str">
        <f>IF($B1437&lt;&gt;"",_xlfn.IFNA(VLOOKUP($B1437,'Node Details'!$B:$U,C$1,0),"Check"),"")</f>
        <v>0000CM305-CM3050102</v>
      </c>
      <c r="D1437" s="74" t="str">
        <f>IF($B1437&lt;&gt;"",_xlfn.IFNA(VLOOKUP($B1437,'Node Details'!$B:$U,D$1,0),"Check"),"")</f>
        <v>CM3</v>
      </c>
      <c r="E1437" s="74" t="str">
        <f>IF($B1437&lt;&gt;"",_xlfn.IFNA(VLOOKUP($B1437,'Node Details'!$B:$U,E$1,0),"Check"),"")</f>
        <v>Airtel</v>
      </c>
      <c r="F1437" s="76">
        <v>46149</v>
      </c>
      <c r="G1437" s="74"/>
      <c r="H1437" s="10" t="s">
        <v>1250</v>
      </c>
      <c r="I1437" s="9">
        <v>2</v>
      </c>
      <c r="J1437" s="9">
        <v>150</v>
      </c>
      <c r="K1437" s="77">
        <f t="shared" si="105"/>
        <v>300</v>
      </c>
      <c r="L1437" s="76">
        <v>46142</v>
      </c>
      <c r="N1437" s="83"/>
      <c r="O1437" s="84"/>
      <c r="P1437" s="81"/>
      <c r="Q1437" s="81"/>
      <c r="R1437" s="81"/>
      <c r="S1437" s="81"/>
      <c r="T1437" s="85"/>
      <c r="U1437" s="81"/>
      <c r="V1437" s="81"/>
      <c r="W1437" s="123">
        <f t="shared" si="104"/>
        <v>0</v>
      </c>
      <c r="X1437" s="123" t="s">
        <v>84</v>
      </c>
      <c r="Y1437" s="114" t="s">
        <v>1128</v>
      </c>
    </row>
    <row r="1438" spans="1:25" s="24" customFormat="1" ht="11.1" customHeight="1">
      <c r="A1438" s="74">
        <f t="shared" si="106"/>
        <v>1436</v>
      </c>
      <c r="B1438" s="75" t="s">
        <v>1141</v>
      </c>
      <c r="C1438" s="74" t="str">
        <f>IF($B1438&lt;&gt;"",_xlfn.IFNA(VLOOKUP($B1438,'Node Details'!$B:$U,C$1,0),"Check"),"")</f>
        <v>0000CM305-CM3050104</v>
      </c>
      <c r="D1438" s="74" t="str">
        <f>IF($B1438&lt;&gt;"",_xlfn.IFNA(VLOOKUP($B1438,'Node Details'!$B:$U,D$1,0),"Check"),"")</f>
        <v>CM3</v>
      </c>
      <c r="E1438" s="74" t="str">
        <f>IF($B1438&lt;&gt;"",_xlfn.IFNA(VLOOKUP($B1438,'Node Details'!$B:$U,E$1,0),"Check"),"")</f>
        <v>Airtel</v>
      </c>
      <c r="F1438" s="76">
        <v>46149</v>
      </c>
      <c r="G1438" s="74"/>
      <c r="H1438" s="10" t="s">
        <v>1250</v>
      </c>
      <c r="I1438" s="9">
        <v>2</v>
      </c>
      <c r="J1438" s="9">
        <v>150</v>
      </c>
      <c r="K1438" s="77">
        <f t="shared" si="105"/>
        <v>300</v>
      </c>
      <c r="L1438" s="76">
        <v>46142</v>
      </c>
      <c r="N1438" s="83"/>
      <c r="O1438" s="84"/>
      <c r="P1438" s="81"/>
      <c r="Q1438" s="81"/>
      <c r="R1438" s="81"/>
      <c r="S1438" s="81"/>
      <c r="T1438" s="85"/>
      <c r="U1438" s="81"/>
      <c r="V1438" s="81"/>
      <c r="W1438" s="123">
        <f t="shared" si="104"/>
        <v>0</v>
      </c>
      <c r="X1438" s="123" t="s">
        <v>84</v>
      </c>
      <c r="Y1438" s="114" t="s">
        <v>1128</v>
      </c>
    </row>
    <row r="1439" spans="1:25" s="24" customFormat="1" ht="11.1" customHeight="1">
      <c r="A1439" s="74">
        <f t="shared" si="106"/>
        <v>1437</v>
      </c>
      <c r="B1439" s="75" t="s">
        <v>666</v>
      </c>
      <c r="C1439" s="74" t="str">
        <f>IF($B1439&lt;&gt;"",_xlfn.IFNA(VLOOKUP($B1439,'Node Details'!$B:$U,C$1,0),"Check"),"")</f>
        <v>0000CM305-CM3050104</v>
      </c>
      <c r="D1439" s="74" t="str">
        <f>IF($B1439&lt;&gt;"",_xlfn.IFNA(VLOOKUP($B1439,'Node Details'!$B:$U,D$1,0),"Check"),"")</f>
        <v>CM3</v>
      </c>
      <c r="E1439" s="74" t="str">
        <f>IF($B1439&lt;&gt;"",_xlfn.IFNA(VLOOKUP($B1439,'Node Details'!$B:$U,E$1,0),"Check"),"")</f>
        <v>Airtel</v>
      </c>
      <c r="F1439" s="76">
        <v>46149</v>
      </c>
      <c r="G1439" s="74"/>
      <c r="H1439" s="10" t="s">
        <v>1250</v>
      </c>
      <c r="I1439" s="9">
        <v>2</v>
      </c>
      <c r="J1439" s="9">
        <v>150</v>
      </c>
      <c r="K1439" s="77">
        <f t="shared" si="105"/>
        <v>300</v>
      </c>
      <c r="L1439" s="76">
        <v>46142</v>
      </c>
      <c r="N1439" s="83"/>
      <c r="O1439" s="84"/>
      <c r="P1439" s="81"/>
      <c r="Q1439" s="81"/>
      <c r="R1439" s="81"/>
      <c r="S1439" s="81"/>
      <c r="T1439" s="85"/>
      <c r="U1439" s="81"/>
      <c r="V1439" s="81"/>
      <c r="W1439" s="123">
        <f t="shared" si="104"/>
        <v>0</v>
      </c>
      <c r="X1439" s="123" t="s">
        <v>84</v>
      </c>
      <c r="Y1439" s="114" t="s">
        <v>1128</v>
      </c>
    </row>
    <row r="1440" spans="1:25" s="24" customFormat="1" ht="11.1" customHeight="1">
      <c r="A1440" s="74">
        <f t="shared" si="106"/>
        <v>1438</v>
      </c>
      <c r="B1440" s="75" t="s">
        <v>634</v>
      </c>
      <c r="C1440" s="74" t="str">
        <f>IF($B1440&lt;&gt;"",_xlfn.IFNA(VLOOKUP($B1440,'Node Details'!$B:$U,C$1,0),"Check"),"")</f>
        <v>000000CM3-0000CM310</v>
      </c>
      <c r="D1440" s="74" t="str">
        <f>IF($B1440&lt;&gt;"",_xlfn.IFNA(VLOOKUP($B1440,'Node Details'!$B:$U,D$1,0),"Check"),"")</f>
        <v>CM3</v>
      </c>
      <c r="E1440" s="74" t="str">
        <f>IF($B1440&lt;&gt;"",_xlfn.IFNA(VLOOKUP($B1440,'Node Details'!$B:$U,E$1,0),"Check"),"")</f>
        <v>Airtel</v>
      </c>
      <c r="F1440" s="76">
        <v>46149</v>
      </c>
      <c r="G1440" s="74"/>
      <c r="H1440" s="10" t="s">
        <v>1250</v>
      </c>
      <c r="I1440" s="9">
        <v>2</v>
      </c>
      <c r="J1440" s="9">
        <v>150</v>
      </c>
      <c r="K1440" s="77">
        <f t="shared" si="105"/>
        <v>300</v>
      </c>
      <c r="L1440" s="76">
        <v>46142</v>
      </c>
      <c r="N1440" s="83"/>
      <c r="O1440" s="84"/>
      <c r="P1440" s="81"/>
      <c r="Q1440" s="81"/>
      <c r="R1440" s="81"/>
      <c r="S1440" s="81"/>
      <c r="T1440" s="85"/>
      <c r="U1440" s="81"/>
      <c r="V1440" s="81"/>
      <c r="W1440" s="123">
        <f t="shared" si="104"/>
        <v>0</v>
      </c>
      <c r="X1440" s="123" t="s">
        <v>84</v>
      </c>
      <c r="Y1440" s="114" t="s">
        <v>1128</v>
      </c>
    </row>
    <row r="1441" spans="1:25" s="24" customFormat="1" ht="11.1" customHeight="1">
      <c r="A1441" s="74">
        <f t="shared" si="106"/>
        <v>1439</v>
      </c>
      <c r="B1441" s="75" t="s">
        <v>668</v>
      </c>
      <c r="C1441" s="74" t="str">
        <f>IF($B1441&lt;&gt;"",_xlfn.IFNA(VLOOKUP($B1441,'Node Details'!$B:$U,C$1,0),"Check"),"")</f>
        <v>0000CM306-CM3060106</v>
      </c>
      <c r="D1441" s="74" t="str">
        <f>IF($B1441&lt;&gt;"",_xlfn.IFNA(VLOOKUP($B1441,'Node Details'!$B:$U,D$1,0),"Check"),"")</f>
        <v>CM3</v>
      </c>
      <c r="E1441" s="74" t="str">
        <f>IF($B1441&lt;&gt;"",_xlfn.IFNA(VLOOKUP($B1441,'Node Details'!$B:$U,E$1,0),"Check"),"")</f>
        <v>Airtel</v>
      </c>
      <c r="F1441" s="76">
        <v>46149</v>
      </c>
      <c r="G1441" s="74"/>
      <c r="H1441" s="10" t="s">
        <v>1250</v>
      </c>
      <c r="I1441" s="9">
        <v>2</v>
      </c>
      <c r="J1441" s="9">
        <v>150</v>
      </c>
      <c r="K1441" s="77">
        <f t="shared" si="105"/>
        <v>300</v>
      </c>
      <c r="L1441" s="76">
        <v>46142</v>
      </c>
      <c r="N1441" s="83"/>
      <c r="O1441" s="84"/>
      <c r="P1441" s="81"/>
      <c r="Q1441" s="81"/>
      <c r="R1441" s="81"/>
      <c r="S1441" s="81"/>
      <c r="T1441" s="85"/>
      <c r="U1441" s="81"/>
      <c r="V1441" s="81"/>
      <c r="W1441" s="123">
        <f t="shared" si="104"/>
        <v>0</v>
      </c>
      <c r="X1441" s="123" t="s">
        <v>84</v>
      </c>
      <c r="Y1441" s="114" t="s">
        <v>1128</v>
      </c>
    </row>
    <row r="1442" spans="1:25" s="24" customFormat="1" ht="11.1" customHeight="1">
      <c r="A1442" s="74">
        <f t="shared" si="106"/>
        <v>1440</v>
      </c>
      <c r="B1442" s="75" t="s">
        <v>1142</v>
      </c>
      <c r="C1442" s="74" t="str">
        <f>IF($B1442&lt;&gt;"",_xlfn.IFNA(VLOOKUP($B1442,'Node Details'!$B:$U,C$1,0),"Check"),"")</f>
        <v>0000CM606-CM3060108</v>
      </c>
      <c r="D1442" s="74" t="str">
        <f>IF($B1442&lt;&gt;"",_xlfn.IFNA(VLOOKUP($B1442,'Node Details'!$B:$U,D$1,0),"Check"),"")</f>
        <v>CM3</v>
      </c>
      <c r="E1442" s="74" t="str">
        <f>IF($B1442&lt;&gt;"",_xlfn.IFNA(VLOOKUP($B1442,'Node Details'!$B:$U,E$1,0),"Check"),"")</f>
        <v>Airtel</v>
      </c>
      <c r="F1442" s="76">
        <v>46149</v>
      </c>
      <c r="G1442" s="74"/>
      <c r="H1442" s="10" t="s">
        <v>1250</v>
      </c>
      <c r="I1442" s="9">
        <v>2</v>
      </c>
      <c r="J1442" s="9">
        <v>150</v>
      </c>
      <c r="K1442" s="77">
        <f t="shared" si="105"/>
        <v>300</v>
      </c>
      <c r="L1442" s="76">
        <v>46142</v>
      </c>
      <c r="N1442" s="83"/>
      <c r="O1442" s="84"/>
      <c r="P1442" s="81"/>
      <c r="Q1442" s="81"/>
      <c r="R1442" s="81"/>
      <c r="S1442" s="81"/>
      <c r="T1442" s="85"/>
      <c r="U1442" s="81"/>
      <c r="V1442" s="81"/>
      <c r="W1442" s="123">
        <f t="shared" si="104"/>
        <v>0</v>
      </c>
      <c r="X1442" s="123" t="s">
        <v>84</v>
      </c>
      <c r="Y1442" s="114" t="s">
        <v>1128</v>
      </c>
    </row>
    <row r="1443" spans="1:25" s="24" customFormat="1" ht="11.1" customHeight="1">
      <c r="A1443" s="74">
        <f t="shared" si="106"/>
        <v>1441</v>
      </c>
      <c r="B1443" s="75" t="s">
        <v>671</v>
      </c>
      <c r="C1443" s="74" t="str">
        <f>IF($B1443&lt;&gt;"",_xlfn.IFNA(VLOOKUP($B1443,'Node Details'!$B:$U,C$1,0),"Check"),"")</f>
        <v>0000CM606-CM3060108</v>
      </c>
      <c r="D1443" s="74" t="str">
        <f>IF($B1443&lt;&gt;"",_xlfn.IFNA(VLOOKUP($B1443,'Node Details'!$B:$U,D$1,0),"Check"),"")</f>
        <v>CM3</v>
      </c>
      <c r="E1443" s="74" t="str">
        <f>IF($B1443&lt;&gt;"",_xlfn.IFNA(VLOOKUP($B1443,'Node Details'!$B:$U,E$1,0),"Check"),"")</f>
        <v>Airtel</v>
      </c>
      <c r="F1443" s="76">
        <v>46149</v>
      </c>
      <c r="G1443" s="74"/>
      <c r="H1443" s="10" t="s">
        <v>1250</v>
      </c>
      <c r="I1443" s="9">
        <v>2</v>
      </c>
      <c r="J1443" s="9">
        <v>150</v>
      </c>
      <c r="K1443" s="77">
        <f t="shared" si="105"/>
        <v>300</v>
      </c>
      <c r="L1443" s="76">
        <v>46142</v>
      </c>
      <c r="N1443" s="83"/>
      <c r="O1443" s="84"/>
      <c r="P1443" s="81"/>
      <c r="Q1443" s="81"/>
      <c r="R1443" s="81"/>
      <c r="S1443" s="81"/>
      <c r="T1443" s="85"/>
      <c r="U1443" s="81"/>
      <c r="V1443" s="81"/>
      <c r="W1443" s="123">
        <f t="shared" si="104"/>
        <v>0</v>
      </c>
      <c r="X1443" s="123" t="s">
        <v>84</v>
      </c>
      <c r="Y1443" s="114" t="s">
        <v>1128</v>
      </c>
    </row>
    <row r="1444" spans="1:25" s="24" customFormat="1" ht="11.1" customHeight="1">
      <c r="A1444" s="74">
        <f t="shared" si="106"/>
        <v>1442</v>
      </c>
      <c r="B1444" s="75" t="s">
        <v>1143</v>
      </c>
      <c r="C1444" s="74" t="str">
        <f>IF($B1444&lt;&gt;"",_xlfn.IFNA(VLOOKUP($B1444,'Node Details'!$B:$U,C$1,0),"Check"),"")</f>
        <v>0000CM306-CM3060104</v>
      </c>
      <c r="D1444" s="74" t="str">
        <f>IF($B1444&lt;&gt;"",_xlfn.IFNA(VLOOKUP($B1444,'Node Details'!$B:$U,D$1,0),"Check"),"")</f>
        <v>CM3</v>
      </c>
      <c r="E1444" s="74" t="str">
        <f>IF($B1444&lt;&gt;"",_xlfn.IFNA(VLOOKUP($B1444,'Node Details'!$B:$U,E$1,0),"Check"),"")</f>
        <v>Airtel</v>
      </c>
      <c r="F1444" s="76">
        <v>46149</v>
      </c>
      <c r="G1444" s="74"/>
      <c r="H1444" s="10" t="s">
        <v>1250</v>
      </c>
      <c r="I1444" s="9">
        <v>2</v>
      </c>
      <c r="J1444" s="9">
        <v>150</v>
      </c>
      <c r="K1444" s="77">
        <f t="shared" si="105"/>
        <v>300</v>
      </c>
      <c r="L1444" s="76">
        <v>46142</v>
      </c>
      <c r="N1444" s="83"/>
      <c r="O1444" s="84"/>
      <c r="P1444" s="81"/>
      <c r="Q1444" s="81"/>
      <c r="R1444" s="81"/>
      <c r="S1444" s="81"/>
      <c r="T1444" s="85"/>
      <c r="U1444" s="81"/>
      <c r="V1444" s="81"/>
      <c r="W1444" s="123">
        <f t="shared" si="104"/>
        <v>0</v>
      </c>
      <c r="X1444" s="123" t="s">
        <v>84</v>
      </c>
      <c r="Y1444" s="114" t="s">
        <v>1128</v>
      </c>
    </row>
    <row r="1445" spans="1:25" s="24" customFormat="1" ht="11.1" customHeight="1">
      <c r="A1445" s="74">
        <f t="shared" si="106"/>
        <v>1443</v>
      </c>
      <c r="B1445" s="75" t="s">
        <v>1144</v>
      </c>
      <c r="C1445" s="74" t="str">
        <f>IF($B1445&lt;&gt;"",_xlfn.IFNA(VLOOKUP($B1445,'Node Details'!$B:$U,C$1,0),"Check"),"")</f>
        <v>0000CM306-CM3060104</v>
      </c>
      <c r="D1445" s="74" t="str">
        <f>IF($B1445&lt;&gt;"",_xlfn.IFNA(VLOOKUP($B1445,'Node Details'!$B:$U,D$1,0),"Check"),"")</f>
        <v>CM3</v>
      </c>
      <c r="E1445" s="74" t="str">
        <f>IF($B1445&lt;&gt;"",_xlfn.IFNA(VLOOKUP($B1445,'Node Details'!$B:$U,E$1,0),"Check"),"")</f>
        <v>Airtel</v>
      </c>
      <c r="F1445" s="76">
        <v>46149</v>
      </c>
      <c r="G1445" s="74"/>
      <c r="H1445" s="10" t="s">
        <v>1250</v>
      </c>
      <c r="I1445" s="9">
        <v>2</v>
      </c>
      <c r="J1445" s="9">
        <v>150</v>
      </c>
      <c r="K1445" s="77">
        <f t="shared" si="105"/>
        <v>300</v>
      </c>
      <c r="L1445" s="76">
        <v>46142</v>
      </c>
      <c r="N1445" s="83"/>
      <c r="O1445" s="84"/>
      <c r="P1445" s="81"/>
      <c r="Q1445" s="81"/>
      <c r="R1445" s="81"/>
      <c r="S1445" s="81"/>
      <c r="T1445" s="85"/>
      <c r="U1445" s="81"/>
      <c r="V1445" s="81"/>
      <c r="W1445" s="123">
        <f t="shared" si="104"/>
        <v>0</v>
      </c>
      <c r="X1445" s="123" t="s">
        <v>84</v>
      </c>
      <c r="Y1445" s="114" t="s">
        <v>1128</v>
      </c>
    </row>
    <row r="1446" spans="1:25" s="24" customFormat="1" ht="11.1" customHeight="1">
      <c r="A1446" s="74">
        <f t="shared" si="106"/>
        <v>1444</v>
      </c>
      <c r="B1446" s="75" t="s">
        <v>1145</v>
      </c>
      <c r="C1446" s="74" t="str">
        <f>IF($B1446&lt;&gt;"",_xlfn.IFNA(VLOOKUP($B1446,'Node Details'!$B:$U,C$1,0),"Check"),"")</f>
        <v>0000CM306-CM3060104</v>
      </c>
      <c r="D1446" s="74" t="str">
        <f>IF($B1446&lt;&gt;"",_xlfn.IFNA(VLOOKUP($B1446,'Node Details'!$B:$U,D$1,0),"Check"),"")</f>
        <v>CM3</v>
      </c>
      <c r="E1446" s="74" t="str">
        <f>IF($B1446&lt;&gt;"",_xlfn.IFNA(VLOOKUP($B1446,'Node Details'!$B:$U,E$1,0),"Check"),"")</f>
        <v>Airtel</v>
      </c>
      <c r="F1446" s="76">
        <v>46149</v>
      </c>
      <c r="G1446" s="74"/>
      <c r="H1446" s="10" t="s">
        <v>1250</v>
      </c>
      <c r="I1446" s="9">
        <v>2</v>
      </c>
      <c r="J1446" s="9">
        <v>150</v>
      </c>
      <c r="K1446" s="77">
        <f t="shared" si="105"/>
        <v>300</v>
      </c>
      <c r="L1446" s="76">
        <v>46142</v>
      </c>
      <c r="N1446" s="83"/>
      <c r="O1446" s="84"/>
      <c r="P1446" s="81"/>
      <c r="Q1446" s="81"/>
      <c r="R1446" s="81"/>
      <c r="S1446" s="81"/>
      <c r="T1446" s="85"/>
      <c r="U1446" s="81"/>
      <c r="V1446" s="81"/>
      <c r="W1446" s="123">
        <f t="shared" si="104"/>
        <v>0</v>
      </c>
      <c r="X1446" s="123" t="s">
        <v>84</v>
      </c>
      <c r="Y1446" s="114" t="s">
        <v>1128</v>
      </c>
    </row>
    <row r="1447" spans="1:25" s="24" customFormat="1" ht="11.1" customHeight="1">
      <c r="A1447" s="74">
        <f t="shared" si="106"/>
        <v>1445</v>
      </c>
      <c r="B1447" s="75" t="s">
        <v>673</v>
      </c>
      <c r="C1447" s="74" t="str">
        <f>IF($B1447&lt;&gt;"",_xlfn.IFNA(VLOOKUP($B1447,'Node Details'!$B:$U,C$1,0),"Check"),"")</f>
        <v>0000CM306-CM3060104</v>
      </c>
      <c r="D1447" s="74" t="str">
        <f>IF($B1447&lt;&gt;"",_xlfn.IFNA(VLOOKUP($B1447,'Node Details'!$B:$U,D$1,0),"Check"),"")</f>
        <v>CM3</v>
      </c>
      <c r="E1447" s="74" t="str">
        <f>IF($B1447&lt;&gt;"",_xlfn.IFNA(VLOOKUP($B1447,'Node Details'!$B:$U,E$1,0),"Check"),"")</f>
        <v>Airtel</v>
      </c>
      <c r="F1447" s="76">
        <v>46149</v>
      </c>
      <c r="G1447" s="74"/>
      <c r="H1447" s="10" t="s">
        <v>1250</v>
      </c>
      <c r="I1447" s="9">
        <v>2</v>
      </c>
      <c r="J1447" s="9">
        <v>150</v>
      </c>
      <c r="K1447" s="77">
        <f t="shared" si="105"/>
        <v>300</v>
      </c>
      <c r="L1447" s="76">
        <v>46142</v>
      </c>
      <c r="N1447" s="83"/>
      <c r="O1447" s="84"/>
      <c r="P1447" s="81"/>
      <c r="Q1447" s="81"/>
      <c r="R1447" s="81"/>
      <c r="S1447" s="81"/>
      <c r="T1447" s="85"/>
      <c r="U1447" s="81"/>
      <c r="V1447" s="81"/>
      <c r="W1447" s="123">
        <f t="shared" si="104"/>
        <v>0</v>
      </c>
      <c r="X1447" s="123" t="s">
        <v>84</v>
      </c>
      <c r="Y1447" s="114" t="s">
        <v>1128</v>
      </c>
    </row>
    <row r="1448" spans="1:25" s="24" customFormat="1" ht="11.1" customHeight="1">
      <c r="A1448" s="74">
        <f t="shared" si="106"/>
        <v>1446</v>
      </c>
      <c r="B1448" s="75" t="s">
        <v>635</v>
      </c>
      <c r="C1448" s="74" t="str">
        <f>IF($B1448&lt;&gt;"",_xlfn.IFNA(VLOOKUP($B1448,'Node Details'!$B:$U,C$1,0),"Check"),"")</f>
        <v>0000CM306-0000CM307</v>
      </c>
      <c r="D1448" s="74" t="str">
        <f>IF($B1448&lt;&gt;"",_xlfn.IFNA(VLOOKUP($B1448,'Node Details'!$B:$U,D$1,0),"Check"),"")</f>
        <v>CM3</v>
      </c>
      <c r="E1448" s="74" t="str">
        <f>IF($B1448&lt;&gt;"",_xlfn.IFNA(VLOOKUP($B1448,'Node Details'!$B:$U,E$1,0),"Check"),"")</f>
        <v>Airtel</v>
      </c>
      <c r="F1448" s="76">
        <v>46149</v>
      </c>
      <c r="G1448" s="74"/>
      <c r="H1448" s="10" t="s">
        <v>1250</v>
      </c>
      <c r="I1448" s="9">
        <v>2</v>
      </c>
      <c r="J1448" s="9">
        <v>150</v>
      </c>
      <c r="K1448" s="77">
        <f t="shared" si="105"/>
        <v>300</v>
      </c>
      <c r="L1448" s="76">
        <v>46142</v>
      </c>
      <c r="N1448" s="83"/>
      <c r="O1448" s="84"/>
      <c r="P1448" s="81"/>
      <c r="Q1448" s="81"/>
      <c r="R1448" s="81"/>
      <c r="S1448" s="81"/>
      <c r="T1448" s="85"/>
      <c r="U1448" s="81"/>
      <c r="V1448" s="81"/>
      <c r="W1448" s="123">
        <f t="shared" si="104"/>
        <v>0</v>
      </c>
      <c r="X1448" s="123" t="s">
        <v>84</v>
      </c>
      <c r="Y1448" s="114" t="s">
        <v>1128</v>
      </c>
    </row>
    <row r="1449" spans="1:25" s="24" customFormat="1" ht="11.1" customHeight="1">
      <c r="A1449" s="74">
        <f t="shared" si="106"/>
        <v>1447</v>
      </c>
      <c r="B1449" s="75" t="s">
        <v>1146</v>
      </c>
      <c r="C1449" s="74" t="str">
        <f>IF($B1449&lt;&gt;"",_xlfn.IFNA(VLOOKUP($B1449,'Node Details'!$B:$U,C$1,0),"Check"),"")</f>
        <v>0000CM307-CM3070103</v>
      </c>
      <c r="D1449" s="74" t="str">
        <f>IF($B1449&lt;&gt;"",_xlfn.IFNA(VLOOKUP($B1449,'Node Details'!$B:$U,D$1,0),"Check"),"")</f>
        <v>CM3</v>
      </c>
      <c r="E1449" s="74" t="str">
        <f>IF($B1449&lt;&gt;"",_xlfn.IFNA(VLOOKUP($B1449,'Node Details'!$B:$U,E$1,0),"Check"),"")</f>
        <v>Airtel</v>
      </c>
      <c r="F1449" s="76">
        <v>46149</v>
      </c>
      <c r="G1449" s="74"/>
      <c r="H1449" s="10" t="s">
        <v>1250</v>
      </c>
      <c r="I1449" s="9">
        <v>2</v>
      </c>
      <c r="J1449" s="9">
        <v>150</v>
      </c>
      <c r="K1449" s="77">
        <f t="shared" si="105"/>
        <v>300</v>
      </c>
      <c r="L1449" s="76">
        <v>46142</v>
      </c>
      <c r="N1449" s="83"/>
      <c r="O1449" s="84"/>
      <c r="P1449" s="81"/>
      <c r="Q1449" s="81"/>
      <c r="R1449" s="81"/>
      <c r="S1449" s="81"/>
      <c r="T1449" s="85"/>
      <c r="U1449" s="81"/>
      <c r="V1449" s="81"/>
      <c r="W1449" s="123">
        <f t="shared" si="104"/>
        <v>0</v>
      </c>
      <c r="X1449" s="123" t="s">
        <v>84</v>
      </c>
      <c r="Y1449" s="114" t="s">
        <v>1128</v>
      </c>
    </row>
    <row r="1450" spans="1:25" s="24" customFormat="1" ht="11.1" customHeight="1">
      <c r="A1450" s="74">
        <f t="shared" si="106"/>
        <v>1448</v>
      </c>
      <c r="B1450" s="75" t="s">
        <v>1147</v>
      </c>
      <c r="C1450" s="74" t="str">
        <f>IF($B1450&lt;&gt;"",_xlfn.IFNA(VLOOKUP($B1450,'Node Details'!$B:$U,C$1,0),"Check"),"")</f>
        <v>0000CM307-CM3070103</v>
      </c>
      <c r="D1450" s="74" t="str">
        <f>IF($B1450&lt;&gt;"",_xlfn.IFNA(VLOOKUP($B1450,'Node Details'!$B:$U,D$1,0),"Check"),"")</f>
        <v>CM3</v>
      </c>
      <c r="E1450" s="74" t="str">
        <f>IF($B1450&lt;&gt;"",_xlfn.IFNA(VLOOKUP($B1450,'Node Details'!$B:$U,E$1,0),"Check"),"")</f>
        <v>Airtel</v>
      </c>
      <c r="F1450" s="76">
        <v>46149</v>
      </c>
      <c r="G1450" s="74"/>
      <c r="H1450" s="10" t="s">
        <v>1250</v>
      </c>
      <c r="I1450" s="9">
        <v>2</v>
      </c>
      <c r="J1450" s="9">
        <v>150</v>
      </c>
      <c r="K1450" s="77">
        <f t="shared" si="105"/>
        <v>300</v>
      </c>
      <c r="L1450" s="76">
        <v>46142</v>
      </c>
      <c r="N1450" s="83"/>
      <c r="O1450" s="84"/>
      <c r="P1450" s="81"/>
      <c r="Q1450" s="81"/>
      <c r="R1450" s="81"/>
      <c r="S1450" s="81"/>
      <c r="T1450" s="85"/>
      <c r="U1450" s="81"/>
      <c r="V1450" s="81"/>
      <c r="W1450" s="123">
        <f t="shared" si="104"/>
        <v>0</v>
      </c>
      <c r="X1450" s="123" t="s">
        <v>84</v>
      </c>
      <c r="Y1450" s="114" t="s">
        <v>1128</v>
      </c>
    </row>
    <row r="1451" spans="1:25" s="24" customFormat="1" ht="11.1" customHeight="1">
      <c r="A1451" s="74">
        <f t="shared" si="106"/>
        <v>1449</v>
      </c>
      <c r="B1451" t="s">
        <v>675</v>
      </c>
      <c r="C1451" s="74" t="str">
        <f>IF($B1451&lt;&gt;"",_xlfn.IFNA(VLOOKUP($B1451,'Node Details'!$B:$U,C$1,0),"Check"),"")</f>
        <v>0000CM307-CM3070103</v>
      </c>
      <c r="D1451" s="74" t="str">
        <f>IF($B1451&lt;&gt;"",_xlfn.IFNA(VLOOKUP($B1451,'Node Details'!$B:$U,D$1,0),"Check"),"")</f>
        <v>CM3</v>
      </c>
      <c r="E1451" s="74" t="str">
        <f>IF($B1451&lt;&gt;"",_xlfn.IFNA(VLOOKUP($B1451,'Node Details'!$B:$U,E$1,0),"Check"),"")</f>
        <v>Airtel</v>
      </c>
      <c r="F1451" s="76">
        <v>46149</v>
      </c>
      <c r="G1451" s="74"/>
      <c r="H1451" s="10" t="s">
        <v>1250</v>
      </c>
      <c r="I1451" s="9">
        <v>2</v>
      </c>
      <c r="J1451" s="9">
        <v>150</v>
      </c>
      <c r="K1451" s="77">
        <f t="shared" si="105"/>
        <v>300</v>
      </c>
      <c r="L1451" s="76">
        <v>46142</v>
      </c>
      <c r="N1451" s="83"/>
      <c r="O1451" s="84"/>
      <c r="P1451" s="81"/>
      <c r="Q1451" s="81"/>
      <c r="R1451" s="81"/>
      <c r="S1451" s="81"/>
      <c r="T1451" s="85"/>
      <c r="U1451" s="81"/>
      <c r="V1451" s="81"/>
      <c r="W1451" s="123">
        <f t="shared" si="104"/>
        <v>0</v>
      </c>
      <c r="X1451" s="123" t="s">
        <v>84</v>
      </c>
      <c r="Y1451" s="114" t="s">
        <v>1128</v>
      </c>
    </row>
    <row r="1452" spans="1:25" s="24" customFormat="1" ht="11.1" customHeight="1">
      <c r="A1452" s="74">
        <f t="shared" si="106"/>
        <v>1450</v>
      </c>
      <c r="B1452" s="75" t="s">
        <v>679</v>
      </c>
      <c r="C1452" s="74" t="str">
        <f>IF($B1452&lt;&gt;"",_xlfn.IFNA(VLOOKUP($B1452,'Node Details'!$B:$U,C$1,0),"Check"),"")</f>
        <v>0000CM307-CM3070105</v>
      </c>
      <c r="D1452" s="74" t="str">
        <f>IF($B1452&lt;&gt;"",_xlfn.IFNA(VLOOKUP($B1452,'Node Details'!$B:$U,D$1,0),"Check"),"")</f>
        <v>CM3</v>
      </c>
      <c r="E1452" s="74" t="str">
        <f>IF($B1452&lt;&gt;"",_xlfn.IFNA(VLOOKUP($B1452,'Node Details'!$B:$U,E$1,0),"Check"),"")</f>
        <v>Airtel</v>
      </c>
      <c r="F1452" s="76">
        <v>46149</v>
      </c>
      <c r="G1452" s="74"/>
      <c r="H1452" s="10" t="s">
        <v>1250</v>
      </c>
      <c r="I1452" s="9">
        <v>2</v>
      </c>
      <c r="J1452" s="9">
        <v>150</v>
      </c>
      <c r="K1452" s="77">
        <f t="shared" si="105"/>
        <v>300</v>
      </c>
      <c r="L1452" s="76">
        <v>46142</v>
      </c>
      <c r="N1452" s="83"/>
      <c r="O1452" s="84"/>
      <c r="P1452" s="81"/>
      <c r="Q1452" s="81"/>
      <c r="R1452" s="81"/>
      <c r="S1452" s="81"/>
      <c r="T1452" s="85"/>
      <c r="U1452" s="81"/>
      <c r="V1452" s="81"/>
      <c r="W1452" s="123">
        <f t="shared" si="104"/>
        <v>0</v>
      </c>
      <c r="X1452" s="123" t="s">
        <v>84</v>
      </c>
      <c r="Y1452" s="114" t="s">
        <v>1128</v>
      </c>
    </row>
    <row r="1453" spans="1:25" s="24" customFormat="1" ht="11.1" customHeight="1">
      <c r="A1453" s="74">
        <f t="shared" si="106"/>
        <v>1451</v>
      </c>
      <c r="B1453" s="75" t="s">
        <v>677</v>
      </c>
      <c r="C1453" s="74" t="str">
        <f>IF($B1453&lt;&gt;"",_xlfn.IFNA(VLOOKUP($B1453,'Node Details'!$B:$U,C$1,0),"Check"),"")</f>
        <v>0000CM307-CM3070105</v>
      </c>
      <c r="D1453" s="74" t="str">
        <f>IF($B1453&lt;&gt;"",_xlfn.IFNA(VLOOKUP($B1453,'Node Details'!$B:$U,D$1,0),"Check"),"")</f>
        <v>CM3</v>
      </c>
      <c r="E1453" s="74" t="str">
        <f>IF($B1453&lt;&gt;"",_xlfn.IFNA(VLOOKUP($B1453,'Node Details'!$B:$U,E$1,0),"Check"),"")</f>
        <v>Airtel</v>
      </c>
      <c r="F1453" s="76">
        <v>46149</v>
      </c>
      <c r="G1453" s="74"/>
      <c r="H1453" s="10" t="s">
        <v>1250</v>
      </c>
      <c r="I1453" s="9">
        <v>2</v>
      </c>
      <c r="J1453" s="9">
        <v>150</v>
      </c>
      <c r="K1453" s="77">
        <f t="shared" si="105"/>
        <v>300</v>
      </c>
      <c r="L1453" s="76">
        <v>46142</v>
      </c>
      <c r="N1453" s="83"/>
      <c r="O1453" s="84"/>
      <c r="P1453" s="81"/>
      <c r="Q1453" s="81"/>
      <c r="R1453" s="81"/>
      <c r="S1453" s="81"/>
      <c r="T1453" s="85"/>
      <c r="U1453" s="81"/>
      <c r="V1453" s="81"/>
      <c r="W1453" s="123">
        <f t="shared" si="104"/>
        <v>0</v>
      </c>
      <c r="X1453" s="123" t="s">
        <v>84</v>
      </c>
      <c r="Y1453" s="114" t="s">
        <v>1128</v>
      </c>
    </row>
    <row r="1454" spans="1:25" s="24" customFormat="1" ht="11.1" customHeight="1">
      <c r="A1454" s="74">
        <f t="shared" si="106"/>
        <v>1452</v>
      </c>
      <c r="B1454" s="75" t="s">
        <v>1148</v>
      </c>
      <c r="C1454" s="74" t="str">
        <f>IF($B1454&lt;&gt;"",_xlfn.IFNA(VLOOKUP($B1454,'Node Details'!$B:$U,C$1,0),"Check"),"")</f>
        <v>CM3070104-CM3070108</v>
      </c>
      <c r="D1454" s="74" t="str">
        <f>IF($B1454&lt;&gt;"",_xlfn.IFNA(VLOOKUP($B1454,'Node Details'!$B:$U,D$1,0),"Check"),"")</f>
        <v>CM3</v>
      </c>
      <c r="E1454" s="74" t="str">
        <f>IF($B1454&lt;&gt;"",_xlfn.IFNA(VLOOKUP($B1454,'Node Details'!$B:$U,E$1,0),"Check"),"")</f>
        <v>Airtel</v>
      </c>
      <c r="F1454" s="76">
        <v>46149</v>
      </c>
      <c r="G1454" s="74"/>
      <c r="H1454" s="10" t="s">
        <v>1250</v>
      </c>
      <c r="I1454" s="9">
        <v>2</v>
      </c>
      <c r="J1454" s="9">
        <v>150</v>
      </c>
      <c r="K1454" s="77">
        <f t="shared" si="105"/>
        <v>300</v>
      </c>
      <c r="L1454" s="76">
        <v>46142</v>
      </c>
      <c r="N1454" s="83"/>
      <c r="O1454" s="84"/>
      <c r="P1454" s="81"/>
      <c r="Q1454" s="81"/>
      <c r="R1454" s="81"/>
      <c r="S1454" s="81"/>
      <c r="T1454" s="85"/>
      <c r="U1454" s="81"/>
      <c r="V1454" s="81"/>
      <c r="W1454" s="123">
        <f t="shared" si="104"/>
        <v>0</v>
      </c>
      <c r="X1454" s="123" t="s">
        <v>84</v>
      </c>
      <c r="Y1454" s="114" t="s">
        <v>1128</v>
      </c>
    </row>
    <row r="1455" spans="1:25" s="24" customFormat="1" ht="11.1" customHeight="1">
      <c r="A1455" s="74">
        <f t="shared" si="106"/>
        <v>1453</v>
      </c>
      <c r="B1455" s="75" t="s">
        <v>1149</v>
      </c>
      <c r="C1455" s="74" t="str">
        <f>IF($B1455&lt;&gt;"",_xlfn.IFNA(VLOOKUP($B1455,'Node Details'!$B:$U,C$1,0),"Check"),"")</f>
        <v>CM3070104-CM3070108</v>
      </c>
      <c r="D1455" s="74" t="str">
        <f>IF($B1455&lt;&gt;"",_xlfn.IFNA(VLOOKUP($B1455,'Node Details'!$B:$U,D$1,0),"Check"),"")</f>
        <v>CM3</v>
      </c>
      <c r="E1455" s="74" t="str">
        <f>IF($B1455&lt;&gt;"",_xlfn.IFNA(VLOOKUP($B1455,'Node Details'!$B:$U,E$1,0),"Check"),"")</f>
        <v>Airtel</v>
      </c>
      <c r="F1455" s="76">
        <v>46149</v>
      </c>
      <c r="G1455" s="74"/>
      <c r="H1455" s="10" t="s">
        <v>1250</v>
      </c>
      <c r="I1455" s="9">
        <v>2</v>
      </c>
      <c r="J1455" s="9">
        <v>150</v>
      </c>
      <c r="K1455" s="77">
        <f t="shared" si="105"/>
        <v>300</v>
      </c>
      <c r="L1455" s="76">
        <v>46142</v>
      </c>
      <c r="N1455" s="83"/>
      <c r="O1455" s="84"/>
      <c r="P1455" s="81"/>
      <c r="Q1455" s="81"/>
      <c r="R1455" s="81"/>
      <c r="S1455" s="81"/>
      <c r="T1455" s="85"/>
      <c r="U1455" s="81"/>
      <c r="V1455" s="81"/>
      <c r="W1455" s="123">
        <f t="shared" si="104"/>
        <v>0</v>
      </c>
      <c r="X1455" s="123" t="s">
        <v>84</v>
      </c>
      <c r="Y1455" s="114" t="s">
        <v>1128</v>
      </c>
    </row>
    <row r="1456" spans="1:25" s="24" customFormat="1" ht="11.1" customHeight="1">
      <c r="A1456" s="74">
        <f t="shared" si="106"/>
        <v>1454</v>
      </c>
      <c r="B1456" s="75" t="s">
        <v>680</v>
      </c>
      <c r="C1456" s="74" t="str">
        <f>IF($B1456&lt;&gt;"",_xlfn.IFNA(VLOOKUP($B1456,'Node Details'!$B:$U,C$1,0),"Check"),"")</f>
        <v>CM3070104-CM3070108</v>
      </c>
      <c r="D1456" s="74" t="str">
        <f>IF($B1456&lt;&gt;"",_xlfn.IFNA(VLOOKUP($B1456,'Node Details'!$B:$U,D$1,0),"Check"),"")</f>
        <v>CM3</v>
      </c>
      <c r="E1456" s="74" t="str">
        <f>IF($B1456&lt;&gt;"",_xlfn.IFNA(VLOOKUP($B1456,'Node Details'!$B:$U,E$1,0),"Check"),"")</f>
        <v>Airtel</v>
      </c>
      <c r="F1456" s="76">
        <v>46149</v>
      </c>
      <c r="G1456" s="74"/>
      <c r="H1456" s="10" t="s">
        <v>1250</v>
      </c>
      <c r="I1456" s="9">
        <v>2</v>
      </c>
      <c r="J1456" s="9">
        <v>150</v>
      </c>
      <c r="K1456" s="77">
        <f t="shared" si="105"/>
        <v>300</v>
      </c>
      <c r="L1456" s="76">
        <v>46142</v>
      </c>
      <c r="N1456" s="83"/>
      <c r="O1456" s="84"/>
      <c r="P1456" s="81"/>
      <c r="Q1456" s="81"/>
      <c r="R1456" s="81"/>
      <c r="S1456" s="81"/>
      <c r="T1456" s="85"/>
      <c r="U1456" s="81"/>
      <c r="V1456" s="81"/>
      <c r="W1456" s="123">
        <f t="shared" si="104"/>
        <v>0</v>
      </c>
      <c r="X1456" s="123" t="s">
        <v>84</v>
      </c>
      <c r="Y1456" s="114" t="s">
        <v>1128</v>
      </c>
    </row>
    <row r="1457" spans="1:25" s="24" customFormat="1" ht="11.1" customHeight="1">
      <c r="A1457" s="74">
        <f t="shared" si="106"/>
        <v>1455</v>
      </c>
      <c r="B1457" s="75" t="s">
        <v>682</v>
      </c>
      <c r="C1457" s="74" t="str">
        <f>IF($B1457&lt;&gt;"",_xlfn.IFNA(VLOOKUP($B1457,'Node Details'!$B:$U,C$1,0),"Check"),"")</f>
        <v>000000CM3-0000CM310</v>
      </c>
      <c r="D1457" s="74" t="str">
        <f>IF($B1457&lt;&gt;"",_xlfn.IFNA(VLOOKUP($B1457,'Node Details'!$B:$U,D$1,0),"Check"),"")</f>
        <v>CM3</v>
      </c>
      <c r="E1457" s="74" t="str">
        <f>IF($B1457&lt;&gt;"",_xlfn.IFNA(VLOOKUP($B1457,'Node Details'!$B:$U,E$1,0),"Check"),"")</f>
        <v>Airtel</v>
      </c>
      <c r="F1457" s="76">
        <v>46149</v>
      </c>
      <c r="G1457" s="74"/>
      <c r="H1457" s="10" t="s">
        <v>1250</v>
      </c>
      <c r="I1457" s="9">
        <v>2</v>
      </c>
      <c r="J1457" s="9">
        <v>150</v>
      </c>
      <c r="K1457" s="77">
        <f t="shared" si="105"/>
        <v>300</v>
      </c>
      <c r="L1457" s="76">
        <v>46142</v>
      </c>
      <c r="N1457" s="83"/>
      <c r="O1457" s="84"/>
      <c r="P1457" s="81"/>
      <c r="Q1457" s="81"/>
      <c r="R1457" s="81"/>
      <c r="S1457" s="81"/>
      <c r="T1457" s="85"/>
      <c r="U1457" s="81"/>
      <c r="V1457" s="81"/>
      <c r="W1457" s="123">
        <f t="shared" si="104"/>
        <v>0</v>
      </c>
      <c r="X1457" s="123" t="s">
        <v>84</v>
      </c>
      <c r="Y1457" s="114" t="s">
        <v>1128</v>
      </c>
    </row>
    <row r="1458" spans="1:25" s="24" customFormat="1" ht="11.1" customHeight="1">
      <c r="A1458" s="74">
        <f t="shared" si="106"/>
        <v>1456</v>
      </c>
      <c r="B1458" s="75" t="s">
        <v>685</v>
      </c>
      <c r="C1458" s="74" t="str">
        <f>IF($B1458&lt;&gt;"",_xlfn.IFNA(VLOOKUP($B1458,'Node Details'!$B:$U,C$1,0),"Check"),"")</f>
        <v>0000CM308-CM3080103</v>
      </c>
      <c r="D1458" s="74" t="str">
        <f>IF($B1458&lt;&gt;"",_xlfn.IFNA(VLOOKUP($B1458,'Node Details'!$B:$U,D$1,0),"Check"),"")</f>
        <v>CM3</v>
      </c>
      <c r="E1458" s="74" t="str">
        <f>IF($B1458&lt;&gt;"",_xlfn.IFNA(VLOOKUP($B1458,'Node Details'!$B:$U,E$1,0),"Check"),"")</f>
        <v>Airtel</v>
      </c>
      <c r="F1458" s="76">
        <v>46149</v>
      </c>
      <c r="G1458" s="74"/>
      <c r="H1458" s="10" t="s">
        <v>1250</v>
      </c>
      <c r="I1458" s="9">
        <v>2</v>
      </c>
      <c r="J1458" s="9">
        <v>150</v>
      </c>
      <c r="K1458" s="77">
        <f t="shared" si="105"/>
        <v>300</v>
      </c>
      <c r="L1458" s="76">
        <v>46142</v>
      </c>
      <c r="N1458" s="83"/>
      <c r="O1458" s="84"/>
      <c r="P1458" s="81"/>
      <c r="Q1458" s="81"/>
      <c r="R1458" s="81"/>
      <c r="S1458" s="81"/>
      <c r="T1458" s="85"/>
      <c r="U1458" s="81"/>
      <c r="V1458" s="81"/>
      <c r="W1458" s="123">
        <f t="shared" si="104"/>
        <v>0</v>
      </c>
      <c r="X1458" s="123" t="s">
        <v>84</v>
      </c>
      <c r="Y1458" s="114" t="s">
        <v>1128</v>
      </c>
    </row>
    <row r="1459" spans="1:25" s="24" customFormat="1" ht="11.1" customHeight="1">
      <c r="A1459" s="74">
        <f t="shared" si="106"/>
        <v>1457</v>
      </c>
      <c r="B1459" s="75" t="s">
        <v>683</v>
      </c>
      <c r="C1459" s="74" t="str">
        <f>IF($B1459&lt;&gt;"",_xlfn.IFNA(VLOOKUP($B1459,'Node Details'!$B:$U,C$1,0),"Check"),"")</f>
        <v>0000CM308-CM3080103</v>
      </c>
      <c r="D1459" s="74" t="str">
        <f>IF($B1459&lt;&gt;"",_xlfn.IFNA(VLOOKUP($B1459,'Node Details'!$B:$U,D$1,0),"Check"),"")</f>
        <v>CM3</v>
      </c>
      <c r="E1459" s="74" t="str">
        <f>IF($B1459&lt;&gt;"",_xlfn.IFNA(VLOOKUP($B1459,'Node Details'!$B:$U,E$1,0),"Check"),"")</f>
        <v>Airtel</v>
      </c>
      <c r="F1459" s="76">
        <v>46149</v>
      </c>
      <c r="G1459" s="74"/>
      <c r="H1459" s="10" t="s">
        <v>1250</v>
      </c>
      <c r="I1459" s="9">
        <v>2</v>
      </c>
      <c r="J1459" s="9">
        <v>150</v>
      </c>
      <c r="K1459" s="77">
        <f t="shared" si="105"/>
        <v>300</v>
      </c>
      <c r="L1459" s="76">
        <v>46142</v>
      </c>
      <c r="N1459" s="83"/>
      <c r="O1459" s="84"/>
      <c r="P1459" s="81"/>
      <c r="Q1459" s="81"/>
      <c r="R1459" s="81"/>
      <c r="S1459" s="81"/>
      <c r="T1459" s="85"/>
      <c r="U1459" s="81"/>
      <c r="V1459" s="81"/>
      <c r="W1459" s="123">
        <f t="shared" si="104"/>
        <v>0</v>
      </c>
      <c r="X1459" s="123" t="s">
        <v>84</v>
      </c>
      <c r="Y1459" s="114" t="s">
        <v>1128</v>
      </c>
    </row>
    <row r="1460" spans="1:25" s="24" customFormat="1" ht="11.1" customHeight="1">
      <c r="A1460" s="74">
        <f t="shared" si="106"/>
        <v>1458</v>
      </c>
      <c r="B1460" s="75" t="s">
        <v>686</v>
      </c>
      <c r="C1460" s="74" t="str">
        <f>IF($B1460&lt;&gt;"",_xlfn.IFNA(VLOOKUP($B1460,'Node Details'!$B:$U,C$1,0),"Check"),"")</f>
        <v>CM3080101-CM3080102</v>
      </c>
      <c r="D1460" s="74" t="str">
        <f>IF($B1460&lt;&gt;"",_xlfn.IFNA(VLOOKUP($B1460,'Node Details'!$B:$U,D$1,0),"Check"),"")</f>
        <v>CM3</v>
      </c>
      <c r="E1460" s="74" t="str">
        <f>IF($B1460&lt;&gt;"",_xlfn.IFNA(VLOOKUP($B1460,'Node Details'!$B:$U,E$1,0),"Check"),"")</f>
        <v>Airtel</v>
      </c>
      <c r="F1460" s="76">
        <v>46149</v>
      </c>
      <c r="G1460" s="74"/>
      <c r="H1460" s="10" t="s">
        <v>1250</v>
      </c>
      <c r="I1460" s="9">
        <v>2</v>
      </c>
      <c r="J1460" s="9">
        <v>150</v>
      </c>
      <c r="K1460" s="77">
        <f t="shared" si="105"/>
        <v>300</v>
      </c>
      <c r="L1460" s="76">
        <v>46142</v>
      </c>
      <c r="N1460" s="83"/>
      <c r="O1460" s="84"/>
      <c r="P1460" s="81"/>
      <c r="Q1460" s="81"/>
      <c r="R1460" s="81"/>
      <c r="S1460" s="81"/>
      <c r="T1460" s="85"/>
      <c r="U1460" s="81"/>
      <c r="V1460" s="81"/>
      <c r="W1460" s="123">
        <f t="shared" si="104"/>
        <v>0</v>
      </c>
      <c r="X1460" s="123" t="s">
        <v>84</v>
      </c>
      <c r="Y1460" s="114" t="s">
        <v>1128</v>
      </c>
    </row>
    <row r="1461" spans="1:25" s="24" customFormat="1" ht="11.1" customHeight="1">
      <c r="A1461" s="74">
        <f t="shared" si="106"/>
        <v>1459</v>
      </c>
      <c r="B1461" s="75" t="s">
        <v>688</v>
      </c>
      <c r="C1461" s="74" t="str">
        <f>IF($B1461&lt;&gt;"",_xlfn.IFNA(VLOOKUP($B1461,'Node Details'!$B:$U,C$1,0),"Check"),"")</f>
        <v>CM3080101-CM3080104</v>
      </c>
      <c r="D1461" s="74" t="str">
        <f>IF($B1461&lt;&gt;"",_xlfn.IFNA(VLOOKUP($B1461,'Node Details'!$B:$U,D$1,0),"Check"),"")</f>
        <v>CM3</v>
      </c>
      <c r="E1461" s="74" t="str">
        <f>IF($B1461&lt;&gt;"",_xlfn.IFNA(VLOOKUP($B1461,'Node Details'!$B:$U,E$1,0),"Check"),"")</f>
        <v>Airtel</v>
      </c>
      <c r="F1461" s="76">
        <v>46149</v>
      </c>
      <c r="G1461" s="74"/>
      <c r="H1461" s="10" t="s">
        <v>1250</v>
      </c>
      <c r="I1461" s="9">
        <v>2</v>
      </c>
      <c r="J1461" s="9">
        <v>150</v>
      </c>
      <c r="K1461" s="77">
        <f t="shared" si="105"/>
        <v>300</v>
      </c>
      <c r="L1461" s="76">
        <v>46142</v>
      </c>
      <c r="N1461" s="83"/>
      <c r="O1461" s="84"/>
      <c r="P1461" s="81"/>
      <c r="Q1461" s="81"/>
      <c r="R1461" s="81"/>
      <c r="S1461" s="81"/>
      <c r="T1461" s="85"/>
      <c r="U1461" s="81"/>
      <c r="V1461" s="81"/>
      <c r="W1461" s="123">
        <f t="shared" si="104"/>
        <v>0</v>
      </c>
      <c r="X1461" s="123" t="s">
        <v>84</v>
      </c>
      <c r="Y1461" s="114" t="s">
        <v>1128</v>
      </c>
    </row>
    <row r="1462" spans="1:25" s="24" customFormat="1" ht="11.1" customHeight="1">
      <c r="A1462" s="74">
        <f t="shared" si="106"/>
        <v>1460</v>
      </c>
      <c r="B1462" s="75" t="s">
        <v>1150</v>
      </c>
      <c r="C1462" s="74" t="str">
        <f>IF($B1462&lt;&gt;"",_xlfn.IFNA(VLOOKUP($B1462,'Node Details'!$B:$U,C$1,0),"Check"),"")</f>
        <v>CM3080101-CM3080108</v>
      </c>
      <c r="D1462" s="74" t="str">
        <f>IF($B1462&lt;&gt;"",_xlfn.IFNA(VLOOKUP($B1462,'Node Details'!$B:$U,D$1,0),"Check"),"")</f>
        <v>CM3</v>
      </c>
      <c r="E1462" s="74" t="str">
        <f>IF($B1462&lt;&gt;"",_xlfn.IFNA(VLOOKUP($B1462,'Node Details'!$B:$U,E$1,0),"Check"),"")</f>
        <v>Airtel</v>
      </c>
      <c r="F1462" s="76">
        <v>46149</v>
      </c>
      <c r="G1462" s="74"/>
      <c r="H1462" s="10" t="s">
        <v>1250</v>
      </c>
      <c r="I1462" s="9">
        <v>2</v>
      </c>
      <c r="J1462" s="9">
        <v>150</v>
      </c>
      <c r="K1462" s="77">
        <f t="shared" si="105"/>
        <v>300</v>
      </c>
      <c r="L1462" s="76">
        <v>46142</v>
      </c>
      <c r="N1462" s="83"/>
      <c r="O1462" s="84"/>
      <c r="P1462" s="81"/>
      <c r="Q1462" s="81"/>
      <c r="R1462" s="81"/>
      <c r="S1462" s="81"/>
      <c r="T1462" s="85"/>
      <c r="U1462" s="81"/>
      <c r="V1462" s="81"/>
      <c r="W1462" s="123">
        <f t="shared" si="104"/>
        <v>0</v>
      </c>
      <c r="X1462" s="123" t="s">
        <v>84</v>
      </c>
      <c r="Y1462" s="114" t="s">
        <v>1128</v>
      </c>
    </row>
    <row r="1463" spans="1:25" s="24" customFormat="1" ht="11.1" customHeight="1">
      <c r="A1463" s="74">
        <f t="shared" si="106"/>
        <v>1461</v>
      </c>
      <c r="B1463" s="75" t="s">
        <v>1151</v>
      </c>
      <c r="C1463" s="74" t="str">
        <f>IF($B1463&lt;&gt;"",_xlfn.IFNA(VLOOKUP($B1463,'Node Details'!$B:$U,C$1,0),"Check"),"")</f>
        <v>CM3080101-CM3080108</v>
      </c>
      <c r="D1463" s="74" t="str">
        <f>IF($B1463&lt;&gt;"",_xlfn.IFNA(VLOOKUP($B1463,'Node Details'!$B:$U,D$1,0),"Check"),"")</f>
        <v>CM3</v>
      </c>
      <c r="E1463" s="74" t="str">
        <f>IF($B1463&lt;&gt;"",_xlfn.IFNA(VLOOKUP($B1463,'Node Details'!$B:$U,E$1,0),"Check"),"")</f>
        <v>Airtel</v>
      </c>
      <c r="F1463" s="76">
        <v>46149</v>
      </c>
      <c r="G1463" s="74"/>
      <c r="H1463" s="10" t="s">
        <v>1250</v>
      </c>
      <c r="I1463" s="9">
        <v>2</v>
      </c>
      <c r="J1463" s="9">
        <v>150</v>
      </c>
      <c r="K1463" s="77">
        <f t="shared" si="105"/>
        <v>300</v>
      </c>
      <c r="L1463" s="76">
        <v>46142</v>
      </c>
      <c r="N1463" s="83"/>
      <c r="O1463" s="84"/>
      <c r="P1463" s="81"/>
      <c r="Q1463" s="81"/>
      <c r="R1463" s="81"/>
      <c r="S1463" s="81"/>
      <c r="T1463" s="85"/>
      <c r="U1463" s="81"/>
      <c r="V1463" s="81"/>
      <c r="W1463" s="123">
        <f t="shared" si="104"/>
        <v>0</v>
      </c>
      <c r="X1463" s="123" t="s">
        <v>84</v>
      </c>
      <c r="Y1463" s="114" t="s">
        <v>1128</v>
      </c>
    </row>
    <row r="1464" spans="1:25" s="24" customFormat="1" ht="11.1" customHeight="1">
      <c r="A1464" s="74">
        <f t="shared" si="106"/>
        <v>1462</v>
      </c>
      <c r="B1464" s="75" t="s">
        <v>1152</v>
      </c>
      <c r="C1464" s="74" t="str">
        <f>IF($B1464&lt;&gt;"",_xlfn.IFNA(VLOOKUP($B1464,'Node Details'!$B:$U,C$1,0),"Check"),"")</f>
        <v>CM3080101-CM3080108</v>
      </c>
      <c r="D1464" s="74" t="str">
        <f>IF($B1464&lt;&gt;"",_xlfn.IFNA(VLOOKUP($B1464,'Node Details'!$B:$U,D$1,0),"Check"),"")</f>
        <v>CM3</v>
      </c>
      <c r="E1464" s="74" t="str">
        <f>IF($B1464&lt;&gt;"",_xlfn.IFNA(VLOOKUP($B1464,'Node Details'!$B:$U,E$1,0),"Check"),"")</f>
        <v>Airtel</v>
      </c>
      <c r="F1464" s="76">
        <v>46149</v>
      </c>
      <c r="G1464" s="74"/>
      <c r="H1464" s="10" t="s">
        <v>1250</v>
      </c>
      <c r="I1464" s="9">
        <v>2</v>
      </c>
      <c r="J1464" s="9">
        <v>150</v>
      </c>
      <c r="K1464" s="77">
        <f t="shared" si="105"/>
        <v>300</v>
      </c>
      <c r="L1464" s="76">
        <v>46142</v>
      </c>
      <c r="N1464" s="83"/>
      <c r="O1464" s="84"/>
      <c r="P1464" s="81"/>
      <c r="Q1464" s="81"/>
      <c r="R1464" s="81"/>
      <c r="S1464" s="81"/>
      <c r="T1464" s="85"/>
      <c r="U1464" s="81"/>
      <c r="V1464" s="81"/>
      <c r="W1464" s="123">
        <f t="shared" si="104"/>
        <v>0</v>
      </c>
      <c r="X1464" s="123" t="s">
        <v>84</v>
      </c>
      <c r="Y1464" s="114" t="s">
        <v>1128</v>
      </c>
    </row>
    <row r="1465" spans="1:25" s="24" customFormat="1" ht="11.1" customHeight="1">
      <c r="A1465" s="74">
        <f t="shared" si="106"/>
        <v>1463</v>
      </c>
      <c r="B1465" s="75" t="s">
        <v>690</v>
      </c>
      <c r="C1465" s="74" t="str">
        <f>IF($B1465&lt;&gt;"",_xlfn.IFNA(VLOOKUP($B1465,'Node Details'!$B:$U,C$1,0),"Check"),"")</f>
        <v>CM3080101-CM3080108</v>
      </c>
      <c r="D1465" s="74" t="str">
        <f>IF($B1465&lt;&gt;"",_xlfn.IFNA(VLOOKUP($B1465,'Node Details'!$B:$U,D$1,0),"Check"),"")</f>
        <v>CM3</v>
      </c>
      <c r="E1465" s="74" t="str">
        <f>IF($B1465&lt;&gt;"",_xlfn.IFNA(VLOOKUP($B1465,'Node Details'!$B:$U,E$1,0),"Check"),"")</f>
        <v>Airtel</v>
      </c>
      <c r="F1465" s="76">
        <v>46149</v>
      </c>
      <c r="G1465" s="74"/>
      <c r="H1465" s="10" t="s">
        <v>1250</v>
      </c>
      <c r="I1465" s="9">
        <v>2</v>
      </c>
      <c r="J1465" s="9">
        <v>150</v>
      </c>
      <c r="K1465" s="77">
        <f t="shared" si="105"/>
        <v>300</v>
      </c>
      <c r="L1465" s="76">
        <v>46142</v>
      </c>
      <c r="N1465" s="83"/>
      <c r="O1465" s="84"/>
      <c r="P1465" s="81"/>
      <c r="Q1465" s="81"/>
      <c r="R1465" s="81"/>
      <c r="S1465" s="81"/>
      <c r="T1465" s="85"/>
      <c r="U1465" s="81"/>
      <c r="V1465" s="81"/>
      <c r="W1465" s="123">
        <f t="shared" ref="W1465:W1528" si="107">IF(V1465&lt;&gt;"",V1465*U1465,0)</f>
        <v>0</v>
      </c>
      <c r="X1465" s="123" t="s">
        <v>84</v>
      </c>
      <c r="Y1465" s="114" t="s">
        <v>1128</v>
      </c>
    </row>
    <row r="1466" spans="1:25" s="24" customFormat="1" ht="11.1" customHeight="1">
      <c r="A1466" s="74">
        <f t="shared" si="106"/>
        <v>1464</v>
      </c>
      <c r="B1466" s="75" t="s">
        <v>692</v>
      </c>
      <c r="C1466" s="74" t="str">
        <f>IF($B1466&lt;&gt;"",_xlfn.IFNA(VLOOKUP($B1466,'Node Details'!$B:$U,C$1,0),"Check"),"")</f>
        <v>000000CM3-0000CM310</v>
      </c>
      <c r="D1466" s="74" t="str">
        <f>IF($B1466&lt;&gt;"",_xlfn.IFNA(VLOOKUP($B1466,'Node Details'!$B:$U,D$1,0),"Check"),"")</f>
        <v>CM3</v>
      </c>
      <c r="E1466" s="74" t="str">
        <f>IF($B1466&lt;&gt;"",_xlfn.IFNA(VLOOKUP($B1466,'Node Details'!$B:$U,E$1,0),"Check"),"")</f>
        <v>Airtel</v>
      </c>
      <c r="F1466" s="76">
        <v>46149</v>
      </c>
      <c r="G1466" s="74"/>
      <c r="H1466" s="10" t="s">
        <v>1250</v>
      </c>
      <c r="I1466" s="9">
        <v>2</v>
      </c>
      <c r="J1466" s="9">
        <v>150</v>
      </c>
      <c r="K1466" s="77">
        <f t="shared" ref="K1466:K1529" si="108">IF(I1466&lt;&gt;"",J1466*I1466,0)</f>
        <v>300</v>
      </c>
      <c r="L1466" s="76">
        <v>46142</v>
      </c>
      <c r="N1466" s="83"/>
      <c r="O1466" s="84"/>
      <c r="P1466" s="81"/>
      <c r="Q1466" s="81"/>
      <c r="R1466" s="81"/>
      <c r="S1466" s="81"/>
      <c r="T1466" s="85"/>
      <c r="U1466" s="81"/>
      <c r="V1466" s="81"/>
      <c r="W1466" s="123">
        <f t="shared" si="107"/>
        <v>0</v>
      </c>
      <c r="X1466" s="123" t="s">
        <v>84</v>
      </c>
      <c r="Y1466" s="114" t="s">
        <v>1128</v>
      </c>
    </row>
    <row r="1467" spans="1:25" s="24" customFormat="1" ht="11.1" customHeight="1">
      <c r="A1467" s="74">
        <f t="shared" si="106"/>
        <v>1465</v>
      </c>
      <c r="B1467" s="75" t="s">
        <v>1153</v>
      </c>
      <c r="C1467" s="74" t="str">
        <f>IF($B1467&lt;&gt;"",_xlfn.IFNA(VLOOKUP($B1467,'Node Details'!$B:$U,C$1,0),"Check"),"")</f>
        <v>0000CM309-CM3090103</v>
      </c>
      <c r="D1467" s="74" t="str">
        <f>IF($B1467&lt;&gt;"",_xlfn.IFNA(VLOOKUP($B1467,'Node Details'!$B:$U,D$1,0),"Check"),"")</f>
        <v>CM3</v>
      </c>
      <c r="E1467" s="74" t="str">
        <f>IF($B1467&lt;&gt;"",_xlfn.IFNA(VLOOKUP($B1467,'Node Details'!$B:$U,E$1,0),"Check"),"")</f>
        <v>Airtel</v>
      </c>
      <c r="F1467" s="76">
        <v>46149</v>
      </c>
      <c r="G1467" s="74"/>
      <c r="H1467" s="10" t="s">
        <v>1250</v>
      </c>
      <c r="I1467" s="9">
        <v>2</v>
      </c>
      <c r="J1467" s="9">
        <v>150</v>
      </c>
      <c r="K1467" s="77">
        <f t="shared" si="108"/>
        <v>300</v>
      </c>
      <c r="L1467" s="76">
        <v>46142</v>
      </c>
      <c r="N1467" s="83"/>
      <c r="O1467" s="84"/>
      <c r="P1467" s="81"/>
      <c r="Q1467" s="81"/>
      <c r="R1467" s="81"/>
      <c r="S1467" s="81"/>
      <c r="T1467" s="85"/>
      <c r="U1467" s="81"/>
      <c r="V1467" s="81"/>
      <c r="W1467" s="123">
        <f t="shared" si="107"/>
        <v>0</v>
      </c>
      <c r="X1467" s="123" t="s">
        <v>84</v>
      </c>
      <c r="Y1467" s="114" t="s">
        <v>1128</v>
      </c>
    </row>
    <row r="1468" spans="1:25" s="24" customFormat="1" ht="11.1" customHeight="1">
      <c r="A1468" s="74">
        <f t="shared" si="106"/>
        <v>1466</v>
      </c>
      <c r="B1468" s="75" t="s">
        <v>1154</v>
      </c>
      <c r="C1468" s="74" t="str">
        <f>IF($B1468&lt;&gt;"",_xlfn.IFNA(VLOOKUP($B1468,'Node Details'!$B:$U,C$1,0),"Check"),"")</f>
        <v>0000CM309-CM3090103</v>
      </c>
      <c r="D1468" s="74" t="str">
        <f>IF($B1468&lt;&gt;"",_xlfn.IFNA(VLOOKUP($B1468,'Node Details'!$B:$U,D$1,0),"Check"),"")</f>
        <v>CM3</v>
      </c>
      <c r="E1468" s="74" t="str">
        <f>IF($B1468&lt;&gt;"",_xlfn.IFNA(VLOOKUP($B1468,'Node Details'!$B:$U,E$1,0),"Check"),"")</f>
        <v>Airtel</v>
      </c>
      <c r="F1468" s="76">
        <v>46149</v>
      </c>
      <c r="G1468" s="74"/>
      <c r="H1468" s="10" t="s">
        <v>1250</v>
      </c>
      <c r="I1468" s="9">
        <v>2</v>
      </c>
      <c r="J1468" s="9">
        <v>150</v>
      </c>
      <c r="K1468" s="77">
        <f t="shared" si="108"/>
        <v>300</v>
      </c>
      <c r="L1468" s="76">
        <v>46142</v>
      </c>
      <c r="N1468" s="83"/>
      <c r="O1468" s="84"/>
      <c r="P1468" s="81"/>
      <c r="Q1468" s="81"/>
      <c r="R1468" s="81"/>
      <c r="S1468" s="81"/>
      <c r="T1468" s="85"/>
      <c r="U1468" s="81"/>
      <c r="V1468" s="81"/>
      <c r="W1468" s="123">
        <f t="shared" si="107"/>
        <v>0</v>
      </c>
      <c r="X1468" s="123" t="s">
        <v>84</v>
      </c>
      <c r="Y1468" s="114" t="s">
        <v>1128</v>
      </c>
    </row>
    <row r="1469" spans="1:25" s="24" customFormat="1" ht="11.1" customHeight="1">
      <c r="A1469" s="74">
        <f t="shared" si="106"/>
        <v>1467</v>
      </c>
      <c r="B1469" s="75" t="s">
        <v>693</v>
      </c>
      <c r="C1469" s="74" t="str">
        <f>IF($B1469&lt;&gt;"",_xlfn.IFNA(VLOOKUP($B1469,'Node Details'!$B:$U,C$1,0),"Check"),"")</f>
        <v>0000CM309-CM3090103</v>
      </c>
      <c r="D1469" s="74" t="str">
        <f>IF($B1469&lt;&gt;"",_xlfn.IFNA(VLOOKUP($B1469,'Node Details'!$B:$U,D$1,0),"Check"),"")</f>
        <v>CM3</v>
      </c>
      <c r="E1469" s="74" t="str">
        <f>IF($B1469&lt;&gt;"",_xlfn.IFNA(VLOOKUP($B1469,'Node Details'!$B:$U,E$1,0),"Check"),"")</f>
        <v>Airtel</v>
      </c>
      <c r="F1469" s="76">
        <v>46149</v>
      </c>
      <c r="G1469" s="74"/>
      <c r="H1469" s="10" t="s">
        <v>1250</v>
      </c>
      <c r="I1469" s="9">
        <v>2</v>
      </c>
      <c r="J1469" s="9">
        <v>150</v>
      </c>
      <c r="K1469" s="77">
        <f t="shared" si="108"/>
        <v>300</v>
      </c>
      <c r="L1469" s="76">
        <v>46142</v>
      </c>
      <c r="N1469" s="83"/>
      <c r="O1469" s="84"/>
      <c r="P1469" s="81"/>
      <c r="Q1469" s="81"/>
      <c r="R1469" s="81"/>
      <c r="S1469" s="81"/>
      <c r="T1469" s="85"/>
      <c r="U1469" s="81"/>
      <c r="V1469" s="81"/>
      <c r="W1469" s="123">
        <f t="shared" si="107"/>
        <v>0</v>
      </c>
      <c r="X1469" s="123" t="s">
        <v>84</v>
      </c>
      <c r="Y1469" s="114" t="s">
        <v>1128</v>
      </c>
    </row>
    <row r="1470" spans="1:25" s="24" customFormat="1" ht="11.1" customHeight="1">
      <c r="A1470" s="74">
        <f t="shared" si="106"/>
        <v>1468</v>
      </c>
      <c r="B1470" s="75" t="s">
        <v>695</v>
      </c>
      <c r="C1470" s="74" t="str">
        <f>IF($B1470&lt;&gt;"",_xlfn.IFNA(VLOOKUP($B1470,'Node Details'!$B:$U,C$1,0),"Check"),"")</f>
        <v>0000CM309-CM3090104</v>
      </c>
      <c r="D1470" s="74" t="str">
        <f>IF($B1470&lt;&gt;"",_xlfn.IFNA(VLOOKUP($B1470,'Node Details'!$B:$U,D$1,0),"Check"),"")</f>
        <v>CM3</v>
      </c>
      <c r="E1470" s="74" t="str">
        <f>IF($B1470&lt;&gt;"",_xlfn.IFNA(VLOOKUP($B1470,'Node Details'!$B:$U,E$1,0),"Check"),"")</f>
        <v>Airtel</v>
      </c>
      <c r="F1470" s="76">
        <v>46149</v>
      </c>
      <c r="G1470" s="74"/>
      <c r="H1470" s="10" t="s">
        <v>1250</v>
      </c>
      <c r="I1470" s="9">
        <v>2</v>
      </c>
      <c r="J1470" s="9">
        <v>150</v>
      </c>
      <c r="K1470" s="77">
        <f t="shared" si="108"/>
        <v>300</v>
      </c>
      <c r="L1470" s="76">
        <v>46142</v>
      </c>
      <c r="N1470" s="83"/>
      <c r="O1470" s="84"/>
      <c r="P1470" s="81"/>
      <c r="Q1470" s="81"/>
      <c r="R1470" s="81"/>
      <c r="S1470" s="81"/>
      <c r="T1470" s="85"/>
      <c r="U1470" s="81"/>
      <c r="V1470" s="81"/>
      <c r="W1470" s="123">
        <f t="shared" si="107"/>
        <v>0</v>
      </c>
      <c r="X1470" s="123" t="s">
        <v>84</v>
      </c>
      <c r="Y1470" s="114" t="s">
        <v>1128</v>
      </c>
    </row>
    <row r="1471" spans="1:25" s="24" customFormat="1" ht="11.1" customHeight="1">
      <c r="A1471" s="74">
        <f t="shared" si="106"/>
        <v>1469</v>
      </c>
      <c r="B1471" s="75" t="s">
        <v>1155</v>
      </c>
      <c r="C1471" s="74" t="str">
        <f>IF($B1471&lt;&gt;"",_xlfn.IFNA(VLOOKUP($B1471,'Node Details'!$B:$U,C$1,0),"Check"),"")</f>
        <v>0000CM309-CM3090107</v>
      </c>
      <c r="D1471" s="74" t="str">
        <f>IF($B1471&lt;&gt;"",_xlfn.IFNA(VLOOKUP($B1471,'Node Details'!$B:$U,D$1,0),"Check"),"")</f>
        <v>CM3</v>
      </c>
      <c r="E1471" s="74" t="str">
        <f>IF($B1471&lt;&gt;"",_xlfn.IFNA(VLOOKUP($B1471,'Node Details'!$B:$U,E$1,0),"Check"),"")</f>
        <v>Airtel</v>
      </c>
      <c r="F1471" s="76">
        <v>46149</v>
      </c>
      <c r="G1471" s="74"/>
      <c r="H1471" s="10" t="s">
        <v>1250</v>
      </c>
      <c r="I1471" s="9">
        <v>2</v>
      </c>
      <c r="J1471" s="9">
        <v>150</v>
      </c>
      <c r="K1471" s="77">
        <f t="shared" si="108"/>
        <v>300</v>
      </c>
      <c r="L1471" s="76">
        <v>46142</v>
      </c>
      <c r="N1471" s="83"/>
      <c r="O1471" s="84"/>
      <c r="P1471" s="81"/>
      <c r="Q1471" s="81"/>
      <c r="R1471" s="81"/>
      <c r="S1471" s="81"/>
      <c r="T1471" s="85"/>
      <c r="U1471" s="81"/>
      <c r="V1471" s="81"/>
      <c r="W1471" s="123">
        <f t="shared" si="107"/>
        <v>0</v>
      </c>
      <c r="X1471" s="123" t="s">
        <v>84</v>
      </c>
      <c r="Y1471" s="114" t="s">
        <v>1128</v>
      </c>
    </row>
    <row r="1472" spans="1:25" s="24" customFormat="1" ht="11.1" customHeight="1">
      <c r="A1472" s="74">
        <f t="shared" si="106"/>
        <v>1470</v>
      </c>
      <c r="B1472" s="75" t="s">
        <v>1156</v>
      </c>
      <c r="C1472" s="74" t="str">
        <f>IF($B1472&lt;&gt;"",_xlfn.IFNA(VLOOKUP($B1472,'Node Details'!$B:$U,C$1,0),"Check"),"")</f>
        <v>0000CM309-CM3090107</v>
      </c>
      <c r="D1472" s="74" t="str">
        <f>IF($B1472&lt;&gt;"",_xlfn.IFNA(VLOOKUP($B1472,'Node Details'!$B:$U,D$1,0),"Check"),"")</f>
        <v>CM3</v>
      </c>
      <c r="E1472" s="74" t="str">
        <f>IF($B1472&lt;&gt;"",_xlfn.IFNA(VLOOKUP($B1472,'Node Details'!$B:$U,E$1,0),"Check"),"")</f>
        <v>Airtel</v>
      </c>
      <c r="F1472" s="76">
        <v>46149</v>
      </c>
      <c r="G1472" s="74"/>
      <c r="H1472" s="10" t="s">
        <v>1250</v>
      </c>
      <c r="I1472" s="9">
        <v>2</v>
      </c>
      <c r="J1472" s="9">
        <v>150</v>
      </c>
      <c r="K1472" s="77">
        <f t="shared" si="108"/>
        <v>300</v>
      </c>
      <c r="L1472" s="76">
        <v>46142</v>
      </c>
      <c r="N1472" s="83"/>
      <c r="O1472" s="84"/>
      <c r="P1472" s="81"/>
      <c r="Q1472" s="81"/>
      <c r="R1472" s="81"/>
      <c r="S1472" s="81"/>
      <c r="T1472" s="85"/>
      <c r="U1472" s="81"/>
      <c r="V1472" s="81"/>
      <c r="W1472" s="123">
        <f t="shared" si="107"/>
        <v>0</v>
      </c>
      <c r="X1472" s="123" t="s">
        <v>84</v>
      </c>
      <c r="Y1472" s="114" t="s">
        <v>1128</v>
      </c>
    </row>
    <row r="1473" spans="1:25" s="24" customFormat="1" ht="11.1" customHeight="1">
      <c r="A1473" s="74">
        <f t="shared" si="106"/>
        <v>1471</v>
      </c>
      <c r="B1473" s="75" t="s">
        <v>697</v>
      </c>
      <c r="C1473" s="74" t="str">
        <f>IF($B1473&lt;&gt;"",_xlfn.IFNA(VLOOKUP($B1473,'Node Details'!$B:$U,C$1,0),"Check"),"")</f>
        <v>0000CM309-CM3090107</v>
      </c>
      <c r="D1473" s="74" t="str">
        <f>IF($B1473&lt;&gt;"",_xlfn.IFNA(VLOOKUP($B1473,'Node Details'!$B:$U,D$1,0),"Check"),"")</f>
        <v>CM3</v>
      </c>
      <c r="E1473" s="74" t="str">
        <f>IF($B1473&lt;&gt;"",_xlfn.IFNA(VLOOKUP($B1473,'Node Details'!$B:$U,E$1,0),"Check"),"")</f>
        <v>Airtel</v>
      </c>
      <c r="F1473" s="76">
        <v>46149</v>
      </c>
      <c r="G1473" s="74"/>
      <c r="H1473" s="10" t="s">
        <v>1250</v>
      </c>
      <c r="I1473" s="9">
        <v>2</v>
      </c>
      <c r="J1473" s="9">
        <v>150</v>
      </c>
      <c r="K1473" s="77">
        <f t="shared" si="108"/>
        <v>300</v>
      </c>
      <c r="L1473" s="76">
        <v>46142</v>
      </c>
      <c r="N1473" s="83"/>
      <c r="O1473" s="84"/>
      <c r="P1473" s="81"/>
      <c r="Q1473" s="81"/>
      <c r="R1473" s="81"/>
      <c r="S1473" s="81"/>
      <c r="T1473" s="85"/>
      <c r="U1473" s="81"/>
      <c r="V1473" s="81"/>
      <c r="W1473" s="123">
        <f t="shared" si="107"/>
        <v>0</v>
      </c>
      <c r="X1473" s="123" t="s">
        <v>84</v>
      </c>
      <c r="Y1473" s="114" t="s">
        <v>1128</v>
      </c>
    </row>
    <row r="1474" spans="1:25" s="24" customFormat="1" ht="11.1" customHeight="1">
      <c r="A1474" s="74">
        <f t="shared" si="106"/>
        <v>1472</v>
      </c>
      <c r="B1474" s="75" t="s">
        <v>615</v>
      </c>
      <c r="C1474" s="74" t="str">
        <f>IF($B1474&lt;&gt;"",_xlfn.IFNA(VLOOKUP($B1474,'Node Details'!$B:$U,C$1,0),"Check"),"")</f>
        <v>000000CM3-0000CM310</v>
      </c>
      <c r="D1474" s="74" t="str">
        <f>IF($B1474&lt;&gt;"",_xlfn.IFNA(VLOOKUP($B1474,'Node Details'!$B:$U,D$1,0),"Check"),"")</f>
        <v>CM3</v>
      </c>
      <c r="E1474" s="74" t="str">
        <f>IF($B1474&lt;&gt;"",_xlfn.IFNA(VLOOKUP($B1474,'Node Details'!$B:$U,E$1,0),"Check"),"")</f>
        <v>Airtel</v>
      </c>
      <c r="F1474" s="76">
        <v>46149</v>
      </c>
      <c r="G1474" s="74"/>
      <c r="H1474" s="10" t="s">
        <v>1250</v>
      </c>
      <c r="I1474" s="9">
        <v>2</v>
      </c>
      <c r="J1474" s="9">
        <v>150</v>
      </c>
      <c r="K1474" s="77">
        <f t="shared" si="108"/>
        <v>300</v>
      </c>
      <c r="L1474" s="76">
        <v>46142</v>
      </c>
      <c r="N1474" s="83"/>
      <c r="O1474" s="84"/>
      <c r="P1474" s="81"/>
      <c r="Q1474" s="81"/>
      <c r="R1474" s="81"/>
      <c r="S1474" s="81"/>
      <c r="T1474" s="85"/>
      <c r="U1474" s="81"/>
      <c r="V1474" s="81"/>
      <c r="W1474" s="123">
        <f t="shared" si="107"/>
        <v>0</v>
      </c>
      <c r="X1474" s="123" t="s">
        <v>84</v>
      </c>
      <c r="Y1474" s="114" t="s">
        <v>1128</v>
      </c>
    </row>
    <row r="1475" spans="1:25" s="24" customFormat="1" ht="11.1" customHeight="1">
      <c r="A1475" s="74">
        <f t="shared" si="106"/>
        <v>1473</v>
      </c>
      <c r="B1475" s="75" t="s">
        <v>699</v>
      </c>
      <c r="C1475" s="74" t="str">
        <f>IF($B1475&lt;&gt;"",_xlfn.IFNA(VLOOKUP($B1475,'Node Details'!$B:$U,C$1,0),"Check"),"")</f>
        <v>0000CM310-CM3100104</v>
      </c>
      <c r="D1475" s="74" t="str">
        <f>IF($B1475&lt;&gt;"",_xlfn.IFNA(VLOOKUP($B1475,'Node Details'!$B:$U,D$1,0),"Check"),"")</f>
        <v>CM3</v>
      </c>
      <c r="E1475" s="74" t="str">
        <f>IF($B1475&lt;&gt;"",_xlfn.IFNA(VLOOKUP($B1475,'Node Details'!$B:$U,E$1,0),"Check"),"")</f>
        <v>Airtel</v>
      </c>
      <c r="F1475" s="76">
        <v>46149</v>
      </c>
      <c r="G1475" s="74"/>
      <c r="H1475" s="10" t="s">
        <v>1250</v>
      </c>
      <c r="I1475" s="9">
        <v>2</v>
      </c>
      <c r="J1475" s="9">
        <v>150</v>
      </c>
      <c r="K1475" s="77">
        <f t="shared" si="108"/>
        <v>300</v>
      </c>
      <c r="L1475" s="76">
        <v>46142</v>
      </c>
      <c r="N1475" s="83"/>
      <c r="O1475" s="84"/>
      <c r="P1475" s="81"/>
      <c r="Q1475" s="81"/>
      <c r="R1475" s="81"/>
      <c r="S1475" s="81"/>
      <c r="T1475" s="85"/>
      <c r="U1475" s="81"/>
      <c r="V1475" s="81"/>
      <c r="W1475" s="123">
        <f t="shared" si="107"/>
        <v>0</v>
      </c>
      <c r="X1475" s="123" t="s">
        <v>84</v>
      </c>
      <c r="Y1475" s="114" t="s">
        <v>1128</v>
      </c>
    </row>
    <row r="1476" spans="1:25" s="24" customFormat="1" ht="11.1" customHeight="1">
      <c r="A1476" s="74">
        <f t="shared" ref="A1476:A1539" si="109">A1475+1</f>
        <v>1474</v>
      </c>
      <c r="B1476" s="75" t="s">
        <v>1157</v>
      </c>
      <c r="C1476" s="74" t="str">
        <f>IF($B1476&lt;&gt;"",_xlfn.IFNA(VLOOKUP($B1476,'Node Details'!$B:$U,C$1,0),"Check"),"")</f>
        <v>0000CM310-CM3100103</v>
      </c>
      <c r="D1476" s="74" t="str">
        <f>IF($B1476&lt;&gt;"",_xlfn.IFNA(VLOOKUP($B1476,'Node Details'!$B:$U,D$1,0),"Check"),"")</f>
        <v>CM3</v>
      </c>
      <c r="E1476" s="74" t="str">
        <f>IF($B1476&lt;&gt;"",_xlfn.IFNA(VLOOKUP($B1476,'Node Details'!$B:$U,E$1,0),"Check"),"")</f>
        <v>Airtel</v>
      </c>
      <c r="F1476" s="76">
        <v>46149</v>
      </c>
      <c r="G1476" s="74"/>
      <c r="H1476" s="10" t="s">
        <v>1250</v>
      </c>
      <c r="I1476" s="9">
        <v>2</v>
      </c>
      <c r="J1476" s="9">
        <v>150</v>
      </c>
      <c r="K1476" s="77">
        <f t="shared" si="108"/>
        <v>300</v>
      </c>
      <c r="L1476" s="76">
        <v>46142</v>
      </c>
      <c r="N1476" s="83"/>
      <c r="O1476" s="84"/>
      <c r="P1476" s="81"/>
      <c r="Q1476" s="81"/>
      <c r="R1476" s="81"/>
      <c r="S1476" s="81"/>
      <c r="T1476" s="85"/>
      <c r="U1476" s="81"/>
      <c r="V1476" s="81"/>
      <c r="W1476" s="123">
        <f t="shared" si="107"/>
        <v>0</v>
      </c>
      <c r="X1476" s="123" t="s">
        <v>84</v>
      </c>
      <c r="Y1476" s="114" t="s">
        <v>1128</v>
      </c>
    </row>
    <row r="1477" spans="1:25" s="24" customFormat="1" ht="11.1" customHeight="1">
      <c r="A1477" s="74">
        <f t="shared" si="109"/>
        <v>1475</v>
      </c>
      <c r="B1477" s="75" t="s">
        <v>1158</v>
      </c>
      <c r="C1477" s="74" t="str">
        <f>IF($B1477&lt;&gt;"",_xlfn.IFNA(VLOOKUP($B1477,'Node Details'!$B:$U,C$1,0),"Check"),"")</f>
        <v>0000CM310-CM3100103</v>
      </c>
      <c r="D1477" s="74" t="str">
        <f>IF($B1477&lt;&gt;"",_xlfn.IFNA(VLOOKUP($B1477,'Node Details'!$B:$U,D$1,0),"Check"),"")</f>
        <v>CM3</v>
      </c>
      <c r="E1477" s="74" t="str">
        <f>IF($B1477&lt;&gt;"",_xlfn.IFNA(VLOOKUP($B1477,'Node Details'!$B:$U,E$1,0),"Check"),"")</f>
        <v>Airtel</v>
      </c>
      <c r="F1477" s="76">
        <v>46149</v>
      </c>
      <c r="G1477" s="74"/>
      <c r="H1477" s="10" t="s">
        <v>1250</v>
      </c>
      <c r="I1477" s="9">
        <v>2</v>
      </c>
      <c r="J1477" s="9">
        <v>150</v>
      </c>
      <c r="K1477" s="77">
        <f t="shared" si="108"/>
        <v>300</v>
      </c>
      <c r="L1477" s="76">
        <v>46142</v>
      </c>
      <c r="N1477" s="83"/>
      <c r="O1477" s="84"/>
      <c r="P1477" s="81"/>
      <c r="Q1477" s="81"/>
      <c r="R1477" s="81"/>
      <c r="S1477" s="81"/>
      <c r="T1477" s="85"/>
      <c r="U1477" s="81"/>
      <c r="V1477" s="81"/>
      <c r="W1477" s="123">
        <f t="shared" si="107"/>
        <v>0</v>
      </c>
      <c r="X1477" s="123" t="s">
        <v>84</v>
      </c>
      <c r="Y1477" s="114" t="s">
        <v>1128</v>
      </c>
    </row>
    <row r="1478" spans="1:25" s="24" customFormat="1" ht="11.1" customHeight="1">
      <c r="A1478" s="74">
        <f t="shared" si="109"/>
        <v>1476</v>
      </c>
      <c r="B1478" s="75" t="s">
        <v>701</v>
      </c>
      <c r="C1478" s="74" t="str">
        <f>IF($B1478&lt;&gt;"",_xlfn.IFNA(VLOOKUP($B1478,'Node Details'!$B:$U,C$1,0),"Check"),"")</f>
        <v>0000CM310-CM3100103</v>
      </c>
      <c r="D1478" s="74" t="str">
        <f>IF($B1478&lt;&gt;"",_xlfn.IFNA(VLOOKUP($B1478,'Node Details'!$B:$U,D$1,0),"Check"),"")</f>
        <v>CM3</v>
      </c>
      <c r="E1478" s="74" t="str">
        <f>IF($B1478&lt;&gt;"",_xlfn.IFNA(VLOOKUP($B1478,'Node Details'!$B:$U,E$1,0),"Check"),"")</f>
        <v>Airtel</v>
      </c>
      <c r="F1478" s="76">
        <v>46149</v>
      </c>
      <c r="G1478" s="74"/>
      <c r="H1478" s="10" t="s">
        <v>1250</v>
      </c>
      <c r="I1478" s="9">
        <v>2</v>
      </c>
      <c r="J1478" s="9">
        <v>150</v>
      </c>
      <c r="K1478" s="77">
        <f t="shared" si="108"/>
        <v>300</v>
      </c>
      <c r="L1478" s="76">
        <v>46142</v>
      </c>
      <c r="N1478" s="83"/>
      <c r="O1478" s="84"/>
      <c r="P1478" s="81"/>
      <c r="Q1478" s="81"/>
      <c r="R1478" s="81"/>
      <c r="S1478" s="81"/>
      <c r="T1478" s="85"/>
      <c r="U1478" s="81"/>
      <c r="V1478" s="81"/>
      <c r="W1478" s="123">
        <f t="shared" si="107"/>
        <v>0</v>
      </c>
      <c r="X1478" s="123" t="s">
        <v>84</v>
      </c>
      <c r="Y1478" s="114" t="s">
        <v>1128</v>
      </c>
    </row>
    <row r="1479" spans="1:25" s="24" customFormat="1" ht="11.1" customHeight="1">
      <c r="A1479" s="74">
        <f t="shared" si="109"/>
        <v>1477</v>
      </c>
      <c r="B1479" s="75" t="s">
        <v>1159</v>
      </c>
      <c r="C1479" s="74" t="str">
        <f>IF($B1479&lt;&gt;"",_xlfn.IFNA(VLOOKUP($B1479,'Node Details'!$B:$U,C$1,0),"Check"),"")</f>
        <v>0000CM310-CM3100106</v>
      </c>
      <c r="D1479" s="74" t="str">
        <f>IF($B1479&lt;&gt;"",_xlfn.IFNA(VLOOKUP($B1479,'Node Details'!$B:$U,D$1,0),"Check"),"")</f>
        <v>CM3</v>
      </c>
      <c r="E1479" s="74" t="str">
        <f>IF($B1479&lt;&gt;"",_xlfn.IFNA(VLOOKUP($B1479,'Node Details'!$B:$U,E$1,0),"Check"),"")</f>
        <v>Airtel</v>
      </c>
      <c r="F1479" s="76">
        <v>46149</v>
      </c>
      <c r="G1479" s="74"/>
      <c r="H1479" s="10" t="s">
        <v>1250</v>
      </c>
      <c r="I1479" s="9">
        <v>2</v>
      </c>
      <c r="J1479" s="9">
        <v>150</v>
      </c>
      <c r="K1479" s="77">
        <f t="shared" si="108"/>
        <v>300</v>
      </c>
      <c r="L1479" s="76">
        <v>46142</v>
      </c>
      <c r="N1479" s="83"/>
      <c r="O1479" s="84"/>
      <c r="P1479" s="81"/>
      <c r="Q1479" s="81"/>
      <c r="R1479" s="81"/>
      <c r="S1479" s="81"/>
      <c r="T1479" s="85"/>
      <c r="U1479" s="81"/>
      <c r="V1479" s="81"/>
      <c r="W1479" s="123">
        <f t="shared" si="107"/>
        <v>0</v>
      </c>
      <c r="X1479" s="123" t="s">
        <v>84</v>
      </c>
      <c r="Y1479" s="114" t="s">
        <v>1128</v>
      </c>
    </row>
    <row r="1480" spans="1:25" s="24" customFormat="1" ht="11.1" customHeight="1">
      <c r="A1480" s="74">
        <f t="shared" si="109"/>
        <v>1478</v>
      </c>
      <c r="B1480" s="75" t="s">
        <v>703</v>
      </c>
      <c r="C1480" s="74" t="str">
        <f>IF($B1480&lt;&gt;"",_xlfn.IFNA(VLOOKUP($B1480,'Node Details'!$B:$U,C$1,0),"Check"),"")</f>
        <v>0000CM310-CM3100106</v>
      </c>
      <c r="D1480" s="74" t="str">
        <f>IF($B1480&lt;&gt;"",_xlfn.IFNA(VLOOKUP($B1480,'Node Details'!$B:$U,D$1,0),"Check"),"")</f>
        <v>CM3</v>
      </c>
      <c r="E1480" s="74" t="str">
        <f>IF($B1480&lt;&gt;"",_xlfn.IFNA(VLOOKUP($B1480,'Node Details'!$B:$U,E$1,0),"Check"),"")</f>
        <v>Airtel</v>
      </c>
      <c r="F1480" s="76">
        <v>46149</v>
      </c>
      <c r="G1480" s="74"/>
      <c r="H1480" s="10" t="s">
        <v>1250</v>
      </c>
      <c r="I1480" s="9">
        <v>2</v>
      </c>
      <c r="J1480" s="9">
        <v>150</v>
      </c>
      <c r="K1480" s="77">
        <f t="shared" si="108"/>
        <v>300</v>
      </c>
      <c r="L1480" s="76">
        <v>46142</v>
      </c>
      <c r="N1480" s="83"/>
      <c r="O1480" s="84"/>
      <c r="P1480" s="81"/>
      <c r="Q1480" s="81"/>
      <c r="R1480" s="81"/>
      <c r="S1480" s="81"/>
      <c r="T1480" s="85"/>
      <c r="U1480" s="81"/>
      <c r="V1480" s="81"/>
      <c r="W1480" s="123">
        <f t="shared" si="107"/>
        <v>0</v>
      </c>
      <c r="X1480" s="123" t="s">
        <v>84</v>
      </c>
      <c r="Y1480" s="114" t="s">
        <v>1128</v>
      </c>
    </row>
    <row r="1481" spans="1:25" s="24" customFormat="1" ht="11.1" customHeight="1">
      <c r="A1481" s="74">
        <f t="shared" si="109"/>
        <v>1479</v>
      </c>
      <c r="B1481" s="75" t="s">
        <v>705</v>
      </c>
      <c r="C1481" s="74" t="str">
        <f>IF($B1481&lt;&gt;"",_xlfn.IFNA(VLOOKUP($B1481,'Node Details'!$B:$U,C$1,0),"Check"),"")</f>
        <v>000000CM3-0000CM325</v>
      </c>
      <c r="D1481" s="74" t="str">
        <f>IF($B1481&lt;&gt;"",_xlfn.IFNA(VLOOKUP($B1481,'Node Details'!$B:$U,D$1,0),"Check"),"")</f>
        <v>CM3</v>
      </c>
      <c r="E1481" s="74" t="str">
        <f>IF($B1481&lt;&gt;"",_xlfn.IFNA(VLOOKUP($B1481,'Node Details'!$B:$U,E$1,0),"Check"),"")</f>
        <v>Airtel</v>
      </c>
      <c r="F1481" s="76">
        <v>46149</v>
      </c>
      <c r="G1481" s="74"/>
      <c r="H1481" s="10" t="s">
        <v>1250</v>
      </c>
      <c r="I1481" s="9">
        <v>2</v>
      </c>
      <c r="J1481" s="9">
        <v>150</v>
      </c>
      <c r="K1481" s="77">
        <f t="shared" si="108"/>
        <v>300</v>
      </c>
      <c r="L1481" s="76">
        <v>46142</v>
      </c>
      <c r="N1481" s="83"/>
      <c r="O1481" s="84"/>
      <c r="P1481" s="81"/>
      <c r="Q1481" s="81"/>
      <c r="R1481" s="81"/>
      <c r="S1481" s="81"/>
      <c r="T1481" s="85"/>
      <c r="U1481" s="81"/>
      <c r="V1481" s="81"/>
      <c r="W1481" s="123">
        <f t="shared" si="107"/>
        <v>0</v>
      </c>
      <c r="X1481" s="123" t="s">
        <v>84</v>
      </c>
      <c r="Y1481" s="114" t="s">
        <v>1128</v>
      </c>
    </row>
    <row r="1482" spans="1:25" s="24" customFormat="1" ht="11.1" customHeight="1">
      <c r="A1482" s="74">
        <f t="shared" si="109"/>
        <v>1480</v>
      </c>
      <c r="B1482" s="75" t="s">
        <v>706</v>
      </c>
      <c r="C1482" s="74" t="str">
        <f>IF($B1482&lt;&gt;"",_xlfn.IFNA(VLOOKUP($B1482,'Node Details'!$B:$U,C$1,0),"Check"),"")</f>
        <v>0000CM311-CM3110101</v>
      </c>
      <c r="D1482" s="74" t="str">
        <f>IF($B1482&lt;&gt;"",_xlfn.IFNA(VLOOKUP($B1482,'Node Details'!$B:$U,D$1,0),"Check"),"")</f>
        <v>CM3</v>
      </c>
      <c r="E1482" s="74" t="str">
        <f>IF($B1482&lt;&gt;"",_xlfn.IFNA(VLOOKUP($B1482,'Node Details'!$B:$U,E$1,0),"Check"),"")</f>
        <v>Airtel</v>
      </c>
      <c r="F1482" s="76">
        <v>46149</v>
      </c>
      <c r="G1482" s="74"/>
      <c r="H1482" s="10" t="s">
        <v>1250</v>
      </c>
      <c r="I1482" s="9">
        <v>2</v>
      </c>
      <c r="J1482" s="9">
        <v>150</v>
      </c>
      <c r="K1482" s="77">
        <f t="shared" si="108"/>
        <v>300</v>
      </c>
      <c r="L1482" s="76">
        <v>46142</v>
      </c>
      <c r="N1482" s="83"/>
      <c r="O1482" s="84"/>
      <c r="P1482" s="81"/>
      <c r="Q1482" s="81"/>
      <c r="R1482" s="81"/>
      <c r="S1482" s="81"/>
      <c r="T1482" s="85"/>
      <c r="U1482" s="81"/>
      <c r="V1482" s="81"/>
      <c r="W1482" s="123">
        <f t="shared" si="107"/>
        <v>0</v>
      </c>
      <c r="X1482" s="123" t="s">
        <v>84</v>
      </c>
      <c r="Y1482" s="114" t="s">
        <v>1128</v>
      </c>
    </row>
    <row r="1483" spans="1:25" s="24" customFormat="1" ht="11.1" customHeight="1">
      <c r="A1483" s="74">
        <f t="shared" si="109"/>
        <v>1481</v>
      </c>
      <c r="B1483" s="75" t="s">
        <v>1160</v>
      </c>
      <c r="C1483" s="74" t="str">
        <f>IF($B1483&lt;&gt;"",_xlfn.IFNA(VLOOKUP($B1483,'Node Details'!$B:$U,C$1,0),"Check"),"")</f>
        <v>0000CM311-CM3110103</v>
      </c>
      <c r="D1483" s="74" t="str">
        <f>IF($B1483&lt;&gt;"",_xlfn.IFNA(VLOOKUP($B1483,'Node Details'!$B:$U,D$1,0),"Check"),"")</f>
        <v>CM3</v>
      </c>
      <c r="E1483" s="74" t="str">
        <f>IF($B1483&lt;&gt;"",_xlfn.IFNA(VLOOKUP($B1483,'Node Details'!$B:$U,E$1,0),"Check"),"")</f>
        <v>Airtel</v>
      </c>
      <c r="F1483" s="76">
        <v>46149</v>
      </c>
      <c r="G1483" s="74"/>
      <c r="H1483" s="10" t="s">
        <v>1250</v>
      </c>
      <c r="I1483" s="9">
        <v>2</v>
      </c>
      <c r="J1483" s="9">
        <v>150</v>
      </c>
      <c r="K1483" s="77">
        <f t="shared" si="108"/>
        <v>300</v>
      </c>
      <c r="L1483" s="76">
        <v>46142</v>
      </c>
      <c r="N1483" s="83"/>
      <c r="O1483" s="84"/>
      <c r="P1483" s="81"/>
      <c r="Q1483" s="81"/>
      <c r="R1483" s="81"/>
      <c r="S1483" s="81"/>
      <c r="T1483" s="85"/>
      <c r="U1483" s="81"/>
      <c r="V1483" s="81"/>
      <c r="W1483" s="123">
        <f t="shared" si="107"/>
        <v>0</v>
      </c>
      <c r="X1483" s="123" t="s">
        <v>84</v>
      </c>
      <c r="Y1483" s="114" t="s">
        <v>1128</v>
      </c>
    </row>
    <row r="1484" spans="1:25" s="24" customFormat="1" ht="11.1" customHeight="1">
      <c r="A1484" s="74">
        <f t="shared" si="109"/>
        <v>1482</v>
      </c>
      <c r="B1484" s="75" t="s">
        <v>708</v>
      </c>
      <c r="C1484" s="74" t="str">
        <f>IF($B1484&lt;&gt;"",_xlfn.IFNA(VLOOKUP($B1484,'Node Details'!$B:$U,C$1,0),"Check"),"")</f>
        <v>0000CM311-CM3110103</v>
      </c>
      <c r="D1484" s="74" t="str">
        <f>IF($B1484&lt;&gt;"",_xlfn.IFNA(VLOOKUP($B1484,'Node Details'!$B:$U,D$1,0),"Check"),"")</f>
        <v>CM3</v>
      </c>
      <c r="E1484" s="74" t="str">
        <f>IF($B1484&lt;&gt;"",_xlfn.IFNA(VLOOKUP($B1484,'Node Details'!$B:$U,E$1,0),"Check"),"")</f>
        <v>Airtel</v>
      </c>
      <c r="F1484" s="76">
        <v>46149</v>
      </c>
      <c r="G1484" s="74"/>
      <c r="H1484" s="10" t="s">
        <v>1250</v>
      </c>
      <c r="I1484" s="9">
        <v>2</v>
      </c>
      <c r="J1484" s="9">
        <v>150</v>
      </c>
      <c r="K1484" s="77">
        <f t="shared" si="108"/>
        <v>300</v>
      </c>
      <c r="L1484" s="76">
        <v>46142</v>
      </c>
      <c r="N1484" s="83"/>
      <c r="O1484" s="84"/>
      <c r="P1484" s="81"/>
      <c r="Q1484" s="81"/>
      <c r="R1484" s="81"/>
      <c r="S1484" s="81"/>
      <c r="T1484" s="85"/>
      <c r="U1484" s="81"/>
      <c r="V1484" s="81"/>
      <c r="W1484" s="123">
        <f t="shared" si="107"/>
        <v>0</v>
      </c>
      <c r="X1484" s="123" t="s">
        <v>84</v>
      </c>
      <c r="Y1484" s="114" t="s">
        <v>1128</v>
      </c>
    </row>
    <row r="1485" spans="1:25" s="24" customFormat="1" ht="11.1" customHeight="1">
      <c r="A1485" s="74">
        <f t="shared" si="109"/>
        <v>1483</v>
      </c>
      <c r="B1485" s="75" t="s">
        <v>1161</v>
      </c>
      <c r="C1485" s="74" t="str">
        <f>IF($B1485&lt;&gt;"",_xlfn.IFNA(VLOOKUP($B1485,'Node Details'!$B:$U,C$1,0),"Check"),"")</f>
        <v>0000CM311-CM3110107</v>
      </c>
      <c r="D1485" s="74" t="str">
        <f>IF($B1485&lt;&gt;"",_xlfn.IFNA(VLOOKUP($B1485,'Node Details'!$B:$U,D$1,0),"Check"),"")</f>
        <v>CM3</v>
      </c>
      <c r="E1485" s="74" t="str">
        <f>IF($B1485&lt;&gt;"",_xlfn.IFNA(VLOOKUP($B1485,'Node Details'!$B:$U,E$1,0),"Check"),"")</f>
        <v>Airtel</v>
      </c>
      <c r="F1485" s="76">
        <v>46149</v>
      </c>
      <c r="G1485" s="74"/>
      <c r="H1485" s="10" t="s">
        <v>1250</v>
      </c>
      <c r="I1485" s="9">
        <v>2</v>
      </c>
      <c r="J1485" s="9">
        <v>150</v>
      </c>
      <c r="K1485" s="77">
        <f t="shared" si="108"/>
        <v>300</v>
      </c>
      <c r="L1485" s="76">
        <v>46142</v>
      </c>
      <c r="N1485" s="83"/>
      <c r="O1485" s="84"/>
      <c r="P1485" s="81"/>
      <c r="Q1485" s="81"/>
      <c r="R1485" s="81"/>
      <c r="S1485" s="81"/>
      <c r="T1485" s="85"/>
      <c r="U1485" s="81"/>
      <c r="V1485" s="81"/>
      <c r="W1485" s="123">
        <f t="shared" si="107"/>
        <v>0</v>
      </c>
      <c r="X1485" s="123" t="s">
        <v>84</v>
      </c>
      <c r="Y1485" s="114" t="s">
        <v>1128</v>
      </c>
    </row>
    <row r="1486" spans="1:25" s="24" customFormat="1" ht="11.1" customHeight="1">
      <c r="A1486" s="74">
        <f t="shared" si="109"/>
        <v>1484</v>
      </c>
      <c r="B1486" s="75" t="s">
        <v>1162</v>
      </c>
      <c r="C1486" s="74" t="str">
        <f>IF($B1486&lt;&gt;"",_xlfn.IFNA(VLOOKUP($B1486,'Node Details'!$B:$U,C$1,0),"Check"),"")</f>
        <v>0000CM311-CM3110107</v>
      </c>
      <c r="D1486" s="74" t="str">
        <f>IF($B1486&lt;&gt;"",_xlfn.IFNA(VLOOKUP($B1486,'Node Details'!$B:$U,D$1,0),"Check"),"")</f>
        <v>CM3</v>
      </c>
      <c r="E1486" s="74" t="str">
        <f>IF($B1486&lt;&gt;"",_xlfn.IFNA(VLOOKUP($B1486,'Node Details'!$B:$U,E$1,0),"Check"),"")</f>
        <v>Airtel</v>
      </c>
      <c r="F1486" s="76">
        <v>46149</v>
      </c>
      <c r="G1486" s="74"/>
      <c r="H1486" s="10" t="s">
        <v>1250</v>
      </c>
      <c r="I1486" s="9">
        <v>2</v>
      </c>
      <c r="J1486" s="9">
        <v>150</v>
      </c>
      <c r="K1486" s="77">
        <f t="shared" si="108"/>
        <v>300</v>
      </c>
      <c r="L1486" s="76">
        <v>46142</v>
      </c>
      <c r="N1486" s="83"/>
      <c r="O1486" s="84"/>
      <c r="P1486" s="81"/>
      <c r="Q1486" s="81"/>
      <c r="R1486" s="81"/>
      <c r="S1486" s="81"/>
      <c r="T1486" s="85"/>
      <c r="U1486" s="81"/>
      <c r="V1486" s="81"/>
      <c r="W1486" s="123">
        <f t="shared" si="107"/>
        <v>0</v>
      </c>
      <c r="X1486" s="123" t="s">
        <v>84</v>
      </c>
      <c r="Y1486" s="114" t="s">
        <v>1128</v>
      </c>
    </row>
    <row r="1487" spans="1:25" s="24" customFormat="1" ht="11.1" customHeight="1">
      <c r="A1487" s="74">
        <f t="shared" si="109"/>
        <v>1485</v>
      </c>
      <c r="B1487" s="75" t="s">
        <v>1163</v>
      </c>
      <c r="C1487" s="74" t="str">
        <f>IF($B1487&lt;&gt;"",_xlfn.IFNA(VLOOKUP($B1487,'Node Details'!$B:$U,C$1,0),"Check"),"")</f>
        <v>0000CM311-CM3110107</v>
      </c>
      <c r="D1487" s="74" t="str">
        <f>IF($B1487&lt;&gt;"",_xlfn.IFNA(VLOOKUP($B1487,'Node Details'!$B:$U,D$1,0),"Check"),"")</f>
        <v>CM3</v>
      </c>
      <c r="E1487" s="74" t="str">
        <f>IF($B1487&lt;&gt;"",_xlfn.IFNA(VLOOKUP($B1487,'Node Details'!$B:$U,E$1,0),"Check"),"")</f>
        <v>Airtel</v>
      </c>
      <c r="F1487" s="76">
        <v>46149</v>
      </c>
      <c r="G1487" s="74"/>
      <c r="H1487" s="10" t="s">
        <v>1250</v>
      </c>
      <c r="I1487" s="9">
        <v>2</v>
      </c>
      <c r="J1487" s="9">
        <v>150</v>
      </c>
      <c r="K1487" s="77">
        <f t="shared" si="108"/>
        <v>300</v>
      </c>
      <c r="L1487" s="76">
        <v>46142</v>
      </c>
      <c r="N1487" s="83"/>
      <c r="O1487" s="84"/>
      <c r="P1487" s="81"/>
      <c r="Q1487" s="81"/>
      <c r="R1487" s="81"/>
      <c r="S1487" s="81"/>
      <c r="T1487" s="85"/>
      <c r="U1487" s="81"/>
      <c r="V1487" s="81"/>
      <c r="W1487" s="123">
        <f t="shared" si="107"/>
        <v>0</v>
      </c>
      <c r="X1487" s="123" t="s">
        <v>84</v>
      </c>
      <c r="Y1487" s="114" t="s">
        <v>1128</v>
      </c>
    </row>
    <row r="1488" spans="1:25" s="24" customFormat="1" ht="11.1" customHeight="1">
      <c r="A1488" s="74">
        <f t="shared" si="109"/>
        <v>1486</v>
      </c>
      <c r="B1488" s="75" t="s">
        <v>710</v>
      </c>
      <c r="C1488" s="74" t="str">
        <f>IF($B1488&lt;&gt;"",_xlfn.IFNA(VLOOKUP($B1488,'Node Details'!$B:$U,C$1,0),"Check"),"")</f>
        <v>0000CM311-CM3110107</v>
      </c>
      <c r="D1488" s="74" t="str">
        <f>IF($B1488&lt;&gt;"",_xlfn.IFNA(VLOOKUP($B1488,'Node Details'!$B:$U,D$1,0),"Check"),"")</f>
        <v>CM3</v>
      </c>
      <c r="E1488" s="74" t="str">
        <f>IF($B1488&lt;&gt;"",_xlfn.IFNA(VLOOKUP($B1488,'Node Details'!$B:$U,E$1,0),"Check"),"")</f>
        <v>Airtel</v>
      </c>
      <c r="F1488" s="76">
        <v>46149</v>
      </c>
      <c r="G1488" s="74"/>
      <c r="H1488" s="10" t="s">
        <v>1250</v>
      </c>
      <c r="I1488" s="9">
        <v>2</v>
      </c>
      <c r="J1488" s="9">
        <v>150</v>
      </c>
      <c r="K1488" s="77">
        <f t="shared" si="108"/>
        <v>300</v>
      </c>
      <c r="L1488" s="76">
        <v>46142</v>
      </c>
      <c r="N1488" s="83"/>
      <c r="O1488" s="84"/>
      <c r="P1488" s="81"/>
      <c r="Q1488" s="81"/>
      <c r="R1488" s="81"/>
      <c r="S1488" s="81"/>
      <c r="T1488" s="85"/>
      <c r="U1488" s="81"/>
      <c r="V1488" s="81"/>
      <c r="W1488" s="123">
        <f t="shared" si="107"/>
        <v>0</v>
      </c>
      <c r="X1488" s="123" t="s">
        <v>84</v>
      </c>
      <c r="Y1488" s="114" t="s">
        <v>1128</v>
      </c>
    </row>
    <row r="1489" spans="1:25" s="24" customFormat="1" ht="11.1" customHeight="1">
      <c r="A1489" s="74">
        <f t="shared" si="109"/>
        <v>1487</v>
      </c>
      <c r="B1489" s="75" t="s">
        <v>712</v>
      </c>
      <c r="C1489" s="74" t="str">
        <f>IF($B1489&lt;&gt;"",_xlfn.IFNA(VLOOKUP($B1489,'Node Details'!$B:$U,C$1,0),"Check"),"")</f>
        <v>000000CM3-0000CM325</v>
      </c>
      <c r="D1489" s="74" t="str">
        <f>IF($B1489&lt;&gt;"",_xlfn.IFNA(VLOOKUP($B1489,'Node Details'!$B:$U,D$1,0),"Check"),"")</f>
        <v>CM3</v>
      </c>
      <c r="E1489" s="74" t="str">
        <f>IF($B1489&lt;&gt;"",_xlfn.IFNA(VLOOKUP($B1489,'Node Details'!$B:$U,E$1,0),"Check"),"")</f>
        <v>Airtel</v>
      </c>
      <c r="F1489" s="76">
        <v>46149</v>
      </c>
      <c r="G1489" s="74"/>
      <c r="H1489" s="10" t="s">
        <v>1250</v>
      </c>
      <c r="I1489" s="9">
        <v>2</v>
      </c>
      <c r="J1489" s="9">
        <v>150</v>
      </c>
      <c r="K1489" s="77">
        <f t="shared" si="108"/>
        <v>300</v>
      </c>
      <c r="L1489" s="76">
        <v>46142</v>
      </c>
      <c r="N1489" s="83"/>
      <c r="O1489" s="84"/>
      <c r="P1489" s="81"/>
      <c r="Q1489" s="81"/>
      <c r="R1489" s="81"/>
      <c r="S1489" s="81"/>
      <c r="T1489" s="85"/>
      <c r="U1489" s="81"/>
      <c r="V1489" s="81"/>
      <c r="W1489" s="123">
        <f t="shared" si="107"/>
        <v>0</v>
      </c>
      <c r="X1489" s="123" t="s">
        <v>84</v>
      </c>
      <c r="Y1489" s="114" t="s">
        <v>1128</v>
      </c>
    </row>
    <row r="1490" spans="1:25" s="24" customFormat="1" ht="11.1" customHeight="1">
      <c r="A1490" s="74">
        <f t="shared" si="109"/>
        <v>1488</v>
      </c>
      <c r="B1490" s="75" t="s">
        <v>713</v>
      </c>
      <c r="C1490" s="74" t="str">
        <f>IF($B1490&lt;&gt;"",_xlfn.IFNA(VLOOKUP($B1490,'Node Details'!$B:$U,C$1,0),"Check"),"")</f>
        <v>0000CM312-CM3120102</v>
      </c>
      <c r="D1490" s="74" t="str">
        <f>IF($B1490&lt;&gt;"",_xlfn.IFNA(VLOOKUP($B1490,'Node Details'!$B:$U,D$1,0),"Check"),"")</f>
        <v>CM3</v>
      </c>
      <c r="E1490" s="74" t="str">
        <f>IF($B1490&lt;&gt;"",_xlfn.IFNA(VLOOKUP($B1490,'Node Details'!$B:$U,E$1,0),"Check"),"")</f>
        <v>Airtel</v>
      </c>
      <c r="F1490" s="76">
        <v>46149</v>
      </c>
      <c r="G1490" s="74"/>
      <c r="H1490" s="10" t="s">
        <v>1250</v>
      </c>
      <c r="I1490" s="9">
        <v>2</v>
      </c>
      <c r="J1490" s="9">
        <v>150</v>
      </c>
      <c r="K1490" s="77">
        <f t="shared" si="108"/>
        <v>300</v>
      </c>
      <c r="L1490" s="76">
        <v>46142</v>
      </c>
      <c r="N1490" s="83"/>
      <c r="O1490" s="84"/>
      <c r="P1490" s="81"/>
      <c r="Q1490" s="81"/>
      <c r="R1490" s="81"/>
      <c r="S1490" s="81"/>
      <c r="T1490" s="85"/>
      <c r="U1490" s="81"/>
      <c r="V1490" s="81"/>
      <c r="W1490" s="123">
        <f t="shared" si="107"/>
        <v>0</v>
      </c>
      <c r="X1490" s="123" t="s">
        <v>84</v>
      </c>
      <c r="Y1490" s="114" t="s">
        <v>1128</v>
      </c>
    </row>
    <row r="1491" spans="1:25" s="24" customFormat="1" ht="11.1" customHeight="1">
      <c r="A1491" s="74">
        <f t="shared" si="109"/>
        <v>1489</v>
      </c>
      <c r="B1491" s="75" t="s">
        <v>715</v>
      </c>
      <c r="C1491" s="74" t="str">
        <f>IF($B1491&lt;&gt;"",_xlfn.IFNA(VLOOKUP($B1491,'Node Details'!$B:$U,C$1,0),"Check"),"")</f>
        <v>0000CM312-CM3120103</v>
      </c>
      <c r="D1491" s="74" t="str">
        <f>IF($B1491&lt;&gt;"",_xlfn.IFNA(VLOOKUP($B1491,'Node Details'!$B:$U,D$1,0),"Check"),"")</f>
        <v>CM3</v>
      </c>
      <c r="E1491" s="74" t="str">
        <f>IF($B1491&lt;&gt;"",_xlfn.IFNA(VLOOKUP($B1491,'Node Details'!$B:$U,E$1,0),"Check"),"")</f>
        <v>Airtel</v>
      </c>
      <c r="F1491" s="76">
        <v>46149</v>
      </c>
      <c r="G1491" s="74"/>
      <c r="H1491" s="10" t="s">
        <v>1250</v>
      </c>
      <c r="I1491" s="9">
        <v>2</v>
      </c>
      <c r="J1491" s="9">
        <v>150</v>
      </c>
      <c r="K1491" s="77">
        <f t="shared" si="108"/>
        <v>300</v>
      </c>
      <c r="L1491" s="76">
        <v>46142</v>
      </c>
      <c r="N1491" s="83"/>
      <c r="O1491" s="84"/>
      <c r="P1491" s="81"/>
      <c r="Q1491" s="81"/>
      <c r="R1491" s="81"/>
      <c r="S1491" s="81"/>
      <c r="T1491" s="85"/>
      <c r="U1491" s="81"/>
      <c r="V1491" s="81"/>
      <c r="W1491" s="123">
        <f t="shared" si="107"/>
        <v>0</v>
      </c>
      <c r="X1491" s="123" t="s">
        <v>84</v>
      </c>
      <c r="Y1491" s="114" t="s">
        <v>1128</v>
      </c>
    </row>
    <row r="1492" spans="1:25" s="24" customFormat="1" ht="11.1" customHeight="1">
      <c r="A1492" s="74">
        <f t="shared" si="109"/>
        <v>1490</v>
      </c>
      <c r="B1492" s="75" t="s">
        <v>717</v>
      </c>
      <c r="C1492" s="74" t="str">
        <f>IF($B1492&lt;&gt;"",_xlfn.IFNA(VLOOKUP($B1492,'Node Details'!$B:$U,C$1,0),"Check"),"")</f>
        <v>0000CM312-CM3120104</v>
      </c>
      <c r="D1492" s="74" t="str">
        <f>IF($B1492&lt;&gt;"",_xlfn.IFNA(VLOOKUP($B1492,'Node Details'!$B:$U,D$1,0),"Check"),"")</f>
        <v>CM3</v>
      </c>
      <c r="E1492" s="74" t="str">
        <f>IF($B1492&lt;&gt;"",_xlfn.IFNA(VLOOKUP($B1492,'Node Details'!$B:$U,E$1,0),"Check"),"")</f>
        <v>Airtel</v>
      </c>
      <c r="F1492" s="76">
        <v>46149</v>
      </c>
      <c r="G1492" s="74"/>
      <c r="H1492" s="10" t="s">
        <v>1250</v>
      </c>
      <c r="I1492" s="9">
        <v>2</v>
      </c>
      <c r="J1492" s="9">
        <v>150</v>
      </c>
      <c r="K1492" s="77">
        <f t="shared" si="108"/>
        <v>300</v>
      </c>
      <c r="L1492" s="76">
        <v>46142</v>
      </c>
      <c r="N1492" s="83"/>
      <c r="O1492" s="84"/>
      <c r="P1492" s="81"/>
      <c r="Q1492" s="81"/>
      <c r="R1492" s="81"/>
      <c r="S1492" s="81"/>
      <c r="T1492" s="85"/>
      <c r="U1492" s="81"/>
      <c r="V1492" s="81"/>
      <c r="W1492" s="123">
        <f t="shared" si="107"/>
        <v>0</v>
      </c>
      <c r="X1492" s="123" t="s">
        <v>84</v>
      </c>
      <c r="Y1492" s="114" t="s">
        <v>1128</v>
      </c>
    </row>
    <row r="1493" spans="1:25" s="24" customFormat="1" ht="11.1" customHeight="1">
      <c r="A1493" s="74">
        <f t="shared" si="109"/>
        <v>1491</v>
      </c>
      <c r="B1493" s="75" t="s">
        <v>1164</v>
      </c>
      <c r="C1493" s="74" t="str">
        <f>IF($B1493&lt;&gt;"",_xlfn.IFNA(VLOOKUP($B1493,'Node Details'!$B:$U,C$1,0),"Check"),"")</f>
        <v>0000CM312-CM3120108</v>
      </c>
      <c r="D1493" s="74" t="str">
        <f>IF($B1493&lt;&gt;"",_xlfn.IFNA(VLOOKUP($B1493,'Node Details'!$B:$U,D$1,0),"Check"),"")</f>
        <v>CM3</v>
      </c>
      <c r="E1493" s="74" t="str">
        <f>IF($B1493&lt;&gt;"",_xlfn.IFNA(VLOOKUP($B1493,'Node Details'!$B:$U,E$1,0),"Check"),"")</f>
        <v>Airtel</v>
      </c>
      <c r="F1493" s="76">
        <v>46149</v>
      </c>
      <c r="G1493" s="74"/>
      <c r="H1493" s="10" t="s">
        <v>1250</v>
      </c>
      <c r="I1493" s="9">
        <v>2</v>
      </c>
      <c r="J1493" s="9">
        <v>150</v>
      </c>
      <c r="K1493" s="77">
        <f t="shared" si="108"/>
        <v>300</v>
      </c>
      <c r="L1493" s="76">
        <v>46142</v>
      </c>
      <c r="N1493" s="83"/>
      <c r="O1493" s="84"/>
      <c r="P1493" s="81"/>
      <c r="Q1493" s="81"/>
      <c r="R1493" s="81"/>
      <c r="S1493" s="81"/>
      <c r="T1493" s="85"/>
      <c r="U1493" s="81"/>
      <c r="V1493" s="81"/>
      <c r="W1493" s="123">
        <f t="shared" si="107"/>
        <v>0</v>
      </c>
      <c r="X1493" s="123" t="s">
        <v>84</v>
      </c>
      <c r="Y1493" s="114" t="s">
        <v>1128</v>
      </c>
    </row>
    <row r="1494" spans="1:25" s="24" customFormat="1" ht="11.1" customHeight="1">
      <c r="A1494" s="74">
        <f t="shared" si="109"/>
        <v>1492</v>
      </c>
      <c r="B1494" s="75" t="s">
        <v>1165</v>
      </c>
      <c r="C1494" s="74" t="str">
        <f>IF($B1494&lt;&gt;"",_xlfn.IFNA(VLOOKUP($B1494,'Node Details'!$B:$U,C$1,0),"Check"),"")</f>
        <v>0000CM312-CM3120108</v>
      </c>
      <c r="D1494" s="74" t="str">
        <f>IF($B1494&lt;&gt;"",_xlfn.IFNA(VLOOKUP($B1494,'Node Details'!$B:$U,D$1,0),"Check"),"")</f>
        <v>CM3</v>
      </c>
      <c r="E1494" s="74" t="str">
        <f>IF($B1494&lt;&gt;"",_xlfn.IFNA(VLOOKUP($B1494,'Node Details'!$B:$U,E$1,0),"Check"),"")</f>
        <v>Airtel</v>
      </c>
      <c r="F1494" s="76">
        <v>46149</v>
      </c>
      <c r="G1494" s="74"/>
      <c r="H1494" s="10" t="s">
        <v>1250</v>
      </c>
      <c r="I1494" s="9">
        <v>2</v>
      </c>
      <c r="J1494" s="9">
        <v>150</v>
      </c>
      <c r="K1494" s="77">
        <f t="shared" si="108"/>
        <v>300</v>
      </c>
      <c r="L1494" s="76">
        <v>46142</v>
      </c>
      <c r="N1494" s="83"/>
      <c r="O1494" s="84"/>
      <c r="P1494" s="81"/>
      <c r="Q1494" s="81"/>
      <c r="R1494" s="81"/>
      <c r="S1494" s="81"/>
      <c r="T1494" s="85"/>
      <c r="U1494" s="81"/>
      <c r="V1494" s="81"/>
      <c r="W1494" s="123">
        <f t="shared" si="107"/>
        <v>0</v>
      </c>
      <c r="X1494" s="123" t="s">
        <v>84</v>
      </c>
      <c r="Y1494" s="114" t="s">
        <v>1128</v>
      </c>
    </row>
    <row r="1495" spans="1:25" s="24" customFormat="1" ht="11.1" customHeight="1">
      <c r="A1495" s="74">
        <f t="shared" si="109"/>
        <v>1493</v>
      </c>
      <c r="B1495" s="75" t="s">
        <v>1166</v>
      </c>
      <c r="C1495" s="74" t="str">
        <f>IF($B1495&lt;&gt;"",_xlfn.IFNA(VLOOKUP($B1495,'Node Details'!$B:$U,C$1,0),"Check"),"")</f>
        <v>0000CM312-CM3120108</v>
      </c>
      <c r="D1495" s="74" t="str">
        <f>IF($B1495&lt;&gt;"",_xlfn.IFNA(VLOOKUP($B1495,'Node Details'!$B:$U,D$1,0),"Check"),"")</f>
        <v>CM3</v>
      </c>
      <c r="E1495" s="74" t="str">
        <f>IF($B1495&lt;&gt;"",_xlfn.IFNA(VLOOKUP($B1495,'Node Details'!$B:$U,E$1,0),"Check"),"")</f>
        <v>Airtel</v>
      </c>
      <c r="F1495" s="76">
        <v>46149</v>
      </c>
      <c r="G1495" s="74"/>
      <c r="H1495" s="10" t="s">
        <v>1250</v>
      </c>
      <c r="I1495" s="9">
        <v>2</v>
      </c>
      <c r="J1495" s="9">
        <v>150</v>
      </c>
      <c r="K1495" s="77">
        <f t="shared" si="108"/>
        <v>300</v>
      </c>
      <c r="L1495" s="76">
        <v>46142</v>
      </c>
      <c r="N1495" s="83"/>
      <c r="O1495" s="84"/>
      <c r="P1495" s="81"/>
      <c r="Q1495" s="81"/>
      <c r="R1495" s="81"/>
      <c r="S1495" s="81"/>
      <c r="T1495" s="85"/>
      <c r="U1495" s="81"/>
      <c r="V1495" s="81"/>
      <c r="W1495" s="123">
        <f t="shared" si="107"/>
        <v>0</v>
      </c>
      <c r="X1495" s="123" t="s">
        <v>84</v>
      </c>
      <c r="Y1495" s="114" t="s">
        <v>1128</v>
      </c>
    </row>
    <row r="1496" spans="1:25" s="24" customFormat="1" ht="11.1" customHeight="1">
      <c r="A1496" s="74">
        <f t="shared" si="109"/>
        <v>1494</v>
      </c>
      <c r="B1496" s="75" t="s">
        <v>719</v>
      </c>
      <c r="C1496" s="74" t="str">
        <f>IF($B1496&lt;&gt;"",_xlfn.IFNA(VLOOKUP($B1496,'Node Details'!$B:$U,C$1,0),"Check"),"")</f>
        <v>0000CM312-CM3120108</v>
      </c>
      <c r="D1496" s="74" t="str">
        <f>IF($B1496&lt;&gt;"",_xlfn.IFNA(VLOOKUP($B1496,'Node Details'!$B:$U,D$1,0),"Check"),"")</f>
        <v>CM3</v>
      </c>
      <c r="E1496" s="74" t="str">
        <f>IF($B1496&lt;&gt;"",_xlfn.IFNA(VLOOKUP($B1496,'Node Details'!$B:$U,E$1,0),"Check"),"")</f>
        <v>Airtel</v>
      </c>
      <c r="F1496" s="76">
        <v>46149</v>
      </c>
      <c r="G1496" s="74"/>
      <c r="H1496" s="10" t="s">
        <v>1250</v>
      </c>
      <c r="I1496" s="9">
        <v>2</v>
      </c>
      <c r="J1496" s="9">
        <v>150</v>
      </c>
      <c r="K1496" s="77">
        <f t="shared" si="108"/>
        <v>300</v>
      </c>
      <c r="L1496" s="76">
        <v>46142</v>
      </c>
      <c r="N1496" s="83"/>
      <c r="O1496" s="84"/>
      <c r="P1496" s="81"/>
      <c r="Q1496" s="81"/>
      <c r="R1496" s="81"/>
      <c r="S1496" s="81"/>
      <c r="T1496" s="85"/>
      <c r="U1496" s="81"/>
      <c r="V1496" s="81"/>
      <c r="W1496" s="123">
        <f t="shared" si="107"/>
        <v>0</v>
      </c>
      <c r="X1496" s="123" t="s">
        <v>84</v>
      </c>
      <c r="Y1496" s="114" t="s">
        <v>1128</v>
      </c>
    </row>
    <row r="1497" spans="1:25" s="24" customFormat="1" ht="11.1" customHeight="1">
      <c r="A1497" s="74">
        <f t="shared" si="109"/>
        <v>1495</v>
      </c>
      <c r="B1497" s="75" t="s">
        <v>624</v>
      </c>
      <c r="C1497" s="74" t="str">
        <f>IF($B1497&lt;&gt;"",_xlfn.IFNA(VLOOKUP($B1497,'Node Details'!$B:$U,C$1,0),"Check"),"")</f>
        <v>000000CM3-0000CM325</v>
      </c>
      <c r="D1497" s="74" t="str">
        <f>IF($B1497&lt;&gt;"",_xlfn.IFNA(VLOOKUP($B1497,'Node Details'!$B:$U,D$1,0),"Check"),"")</f>
        <v>CM3</v>
      </c>
      <c r="E1497" s="74" t="str">
        <f>IF($B1497&lt;&gt;"",_xlfn.IFNA(VLOOKUP($B1497,'Node Details'!$B:$U,E$1,0),"Check"),"")</f>
        <v>Airtel</v>
      </c>
      <c r="F1497" s="76">
        <v>46149</v>
      </c>
      <c r="G1497" s="74"/>
      <c r="H1497" s="10" t="s">
        <v>1250</v>
      </c>
      <c r="I1497" s="9">
        <v>2</v>
      </c>
      <c r="J1497" s="9">
        <v>150</v>
      </c>
      <c r="K1497" s="77">
        <f t="shared" si="108"/>
        <v>300</v>
      </c>
      <c r="L1497" s="76">
        <v>46142</v>
      </c>
      <c r="N1497" s="83"/>
      <c r="O1497" s="84"/>
      <c r="P1497" s="81"/>
      <c r="Q1497" s="81"/>
      <c r="R1497" s="81"/>
      <c r="S1497" s="81"/>
      <c r="T1497" s="85"/>
      <c r="U1497" s="81"/>
      <c r="V1497" s="81"/>
      <c r="W1497" s="123">
        <f t="shared" si="107"/>
        <v>0</v>
      </c>
      <c r="X1497" s="123" t="s">
        <v>84</v>
      </c>
      <c r="Y1497" s="114" t="s">
        <v>1128</v>
      </c>
    </row>
    <row r="1498" spans="1:25" s="24" customFormat="1" ht="11.1" customHeight="1">
      <c r="A1498" s="74">
        <f t="shared" si="109"/>
        <v>1496</v>
      </c>
      <c r="B1498" s="75" t="s">
        <v>721</v>
      </c>
      <c r="C1498" s="74" t="str">
        <f>IF($B1498&lt;&gt;"",_xlfn.IFNA(VLOOKUP($B1498,'Node Details'!$B:$U,C$1,0),"Check"),"")</f>
        <v>0000CM313-CM3130101</v>
      </c>
      <c r="D1498" s="74" t="str">
        <f>IF($B1498&lt;&gt;"",_xlfn.IFNA(VLOOKUP($B1498,'Node Details'!$B:$U,D$1,0),"Check"),"")</f>
        <v>CM3</v>
      </c>
      <c r="E1498" s="74" t="str">
        <f>IF($B1498&lt;&gt;"",_xlfn.IFNA(VLOOKUP($B1498,'Node Details'!$B:$U,E$1,0),"Check"),"")</f>
        <v>Airtel</v>
      </c>
      <c r="F1498" s="76">
        <v>46149</v>
      </c>
      <c r="G1498" s="74"/>
      <c r="H1498" s="10" t="s">
        <v>1250</v>
      </c>
      <c r="I1498" s="9">
        <v>2</v>
      </c>
      <c r="J1498" s="9">
        <v>150</v>
      </c>
      <c r="K1498" s="77">
        <f t="shared" si="108"/>
        <v>300</v>
      </c>
      <c r="L1498" s="76">
        <v>46142</v>
      </c>
      <c r="N1498" s="83"/>
      <c r="O1498" s="84"/>
      <c r="P1498" s="81"/>
      <c r="Q1498" s="81"/>
      <c r="R1498" s="81"/>
      <c r="S1498" s="81"/>
      <c r="T1498" s="85"/>
      <c r="U1498" s="81"/>
      <c r="V1498" s="81"/>
      <c r="W1498" s="123">
        <f t="shared" si="107"/>
        <v>0</v>
      </c>
      <c r="X1498" s="123" t="s">
        <v>84</v>
      </c>
      <c r="Y1498" s="114" t="s">
        <v>1128</v>
      </c>
    </row>
    <row r="1499" spans="1:25" s="24" customFormat="1" ht="11.1" customHeight="1">
      <c r="A1499" s="74">
        <f t="shared" si="109"/>
        <v>1497</v>
      </c>
      <c r="B1499" s="75" t="s">
        <v>1167</v>
      </c>
      <c r="C1499" s="74" t="str">
        <f>IF($B1499&lt;&gt;"",_xlfn.IFNA(VLOOKUP($B1499,'Node Details'!$B:$U,C$1,0),"Check"),"")</f>
        <v>0000CM313-CM3130107</v>
      </c>
      <c r="D1499" s="74" t="str">
        <f>IF($B1499&lt;&gt;"",_xlfn.IFNA(VLOOKUP($B1499,'Node Details'!$B:$U,D$1,0),"Check"),"")</f>
        <v>CM3</v>
      </c>
      <c r="E1499" s="74" t="str">
        <f>IF($B1499&lt;&gt;"",_xlfn.IFNA(VLOOKUP($B1499,'Node Details'!$B:$U,E$1,0),"Check"),"")</f>
        <v>Airtel</v>
      </c>
      <c r="F1499" s="76">
        <v>46149</v>
      </c>
      <c r="G1499" s="74"/>
      <c r="H1499" s="10" t="s">
        <v>1250</v>
      </c>
      <c r="I1499" s="9">
        <v>2</v>
      </c>
      <c r="J1499" s="9">
        <v>150</v>
      </c>
      <c r="K1499" s="77">
        <f t="shared" si="108"/>
        <v>300</v>
      </c>
      <c r="L1499" s="76">
        <v>46142</v>
      </c>
      <c r="N1499" s="83"/>
      <c r="O1499" s="84"/>
      <c r="P1499" s="81"/>
      <c r="Q1499" s="81"/>
      <c r="R1499" s="81"/>
      <c r="S1499" s="81"/>
      <c r="T1499" s="85"/>
      <c r="U1499" s="81"/>
      <c r="V1499" s="81"/>
      <c r="W1499" s="123">
        <f t="shared" si="107"/>
        <v>0</v>
      </c>
      <c r="X1499" s="123" t="s">
        <v>84</v>
      </c>
      <c r="Y1499" s="114" t="s">
        <v>1128</v>
      </c>
    </row>
    <row r="1500" spans="1:25" s="24" customFormat="1" ht="11.1" customHeight="1">
      <c r="A1500" s="74">
        <f t="shared" si="109"/>
        <v>1498</v>
      </c>
      <c r="B1500" s="75" t="s">
        <v>723</v>
      </c>
      <c r="C1500" s="74" t="str">
        <f>IF($B1500&lt;&gt;"",_xlfn.IFNA(VLOOKUP($B1500,'Node Details'!$B:$U,C$1,0),"Check"),"")</f>
        <v>0000CM313-CM3130107</v>
      </c>
      <c r="D1500" s="74" t="str">
        <f>IF($B1500&lt;&gt;"",_xlfn.IFNA(VLOOKUP($B1500,'Node Details'!$B:$U,D$1,0),"Check"),"")</f>
        <v>CM3</v>
      </c>
      <c r="E1500" s="74" t="str">
        <f>IF($B1500&lt;&gt;"",_xlfn.IFNA(VLOOKUP($B1500,'Node Details'!$B:$U,E$1,0),"Check"),"")</f>
        <v>Airtel</v>
      </c>
      <c r="F1500" s="76">
        <v>46149</v>
      </c>
      <c r="G1500" s="74"/>
      <c r="H1500" s="10" t="s">
        <v>1250</v>
      </c>
      <c r="I1500" s="9">
        <v>2</v>
      </c>
      <c r="J1500" s="9">
        <v>150</v>
      </c>
      <c r="K1500" s="77">
        <f t="shared" si="108"/>
        <v>300</v>
      </c>
      <c r="L1500" s="76">
        <v>46142</v>
      </c>
      <c r="N1500" s="83"/>
      <c r="O1500" s="84"/>
      <c r="P1500" s="81"/>
      <c r="Q1500" s="81"/>
      <c r="R1500" s="81"/>
      <c r="S1500" s="81"/>
      <c r="T1500" s="85"/>
      <c r="U1500" s="81"/>
      <c r="V1500" s="81"/>
      <c r="W1500" s="123">
        <f t="shared" si="107"/>
        <v>0</v>
      </c>
      <c r="X1500" s="123" t="s">
        <v>84</v>
      </c>
      <c r="Y1500" s="114" t="s">
        <v>1128</v>
      </c>
    </row>
    <row r="1501" spans="1:25" s="24" customFormat="1" ht="11.1" customHeight="1">
      <c r="A1501" s="74">
        <f t="shared" si="109"/>
        <v>1499</v>
      </c>
      <c r="B1501" s="75" t="s">
        <v>1168</v>
      </c>
      <c r="C1501" s="74" t="str">
        <f>IF($B1501&lt;&gt;"",_xlfn.IFNA(VLOOKUP($B1501,'Node Details'!$B:$U,C$1,0),"Check"),"")</f>
        <v>0000CM313-CM3130104</v>
      </c>
      <c r="D1501" s="74" t="str">
        <f>IF($B1501&lt;&gt;"",_xlfn.IFNA(VLOOKUP($B1501,'Node Details'!$B:$U,D$1,0),"Check"),"")</f>
        <v>CM3</v>
      </c>
      <c r="E1501" s="74" t="str">
        <f>IF($B1501&lt;&gt;"",_xlfn.IFNA(VLOOKUP($B1501,'Node Details'!$B:$U,E$1,0),"Check"),"")</f>
        <v>Airtel</v>
      </c>
      <c r="F1501" s="76">
        <v>46149</v>
      </c>
      <c r="G1501" s="74"/>
      <c r="H1501" s="10" t="s">
        <v>1250</v>
      </c>
      <c r="I1501" s="9">
        <v>2</v>
      </c>
      <c r="J1501" s="9">
        <v>150</v>
      </c>
      <c r="K1501" s="77">
        <f t="shared" si="108"/>
        <v>300</v>
      </c>
      <c r="L1501" s="76">
        <v>46142</v>
      </c>
      <c r="N1501" s="83"/>
      <c r="O1501" s="84"/>
      <c r="P1501" s="81"/>
      <c r="Q1501" s="81"/>
      <c r="R1501" s="81"/>
      <c r="S1501" s="81"/>
      <c r="T1501" s="85"/>
      <c r="U1501" s="81"/>
      <c r="V1501" s="81"/>
      <c r="W1501" s="123">
        <f t="shared" si="107"/>
        <v>0</v>
      </c>
      <c r="X1501" s="123" t="s">
        <v>84</v>
      </c>
      <c r="Y1501" s="114" t="s">
        <v>1128</v>
      </c>
    </row>
    <row r="1502" spans="1:25" s="24" customFormat="1" ht="11.1" customHeight="1">
      <c r="A1502" s="74">
        <f t="shared" si="109"/>
        <v>1500</v>
      </c>
      <c r="B1502" s="75" t="s">
        <v>725</v>
      </c>
      <c r="C1502" s="74" t="str">
        <f>IF($B1502&lt;&gt;"",_xlfn.IFNA(VLOOKUP($B1502,'Node Details'!$B:$U,C$1,0),"Check"),"")</f>
        <v>0000CM313-CM3130104</v>
      </c>
      <c r="D1502" s="74" t="str">
        <f>IF($B1502&lt;&gt;"",_xlfn.IFNA(VLOOKUP($B1502,'Node Details'!$B:$U,D$1,0),"Check"),"")</f>
        <v>CM3</v>
      </c>
      <c r="E1502" s="74" t="str">
        <f>IF($B1502&lt;&gt;"",_xlfn.IFNA(VLOOKUP($B1502,'Node Details'!$B:$U,E$1,0),"Check"),"")</f>
        <v>Airtel</v>
      </c>
      <c r="F1502" s="76">
        <v>46149</v>
      </c>
      <c r="G1502" s="74"/>
      <c r="H1502" s="10" t="s">
        <v>1250</v>
      </c>
      <c r="I1502" s="9">
        <v>2</v>
      </c>
      <c r="J1502" s="9">
        <v>150</v>
      </c>
      <c r="K1502" s="77">
        <f t="shared" si="108"/>
        <v>300</v>
      </c>
      <c r="L1502" s="76">
        <v>46142</v>
      </c>
      <c r="N1502" s="83"/>
      <c r="O1502" s="84"/>
      <c r="P1502" s="81"/>
      <c r="Q1502" s="81"/>
      <c r="R1502" s="81"/>
      <c r="S1502" s="81"/>
      <c r="T1502" s="85"/>
      <c r="U1502" s="81"/>
      <c r="V1502" s="81"/>
      <c r="W1502" s="123">
        <f t="shared" si="107"/>
        <v>0</v>
      </c>
      <c r="X1502" s="123" t="s">
        <v>84</v>
      </c>
      <c r="Y1502" s="114" t="s">
        <v>1128</v>
      </c>
    </row>
    <row r="1503" spans="1:25" s="24" customFormat="1" ht="11.1" customHeight="1">
      <c r="A1503" s="74">
        <f t="shared" si="109"/>
        <v>1501</v>
      </c>
      <c r="B1503" s="75" t="s">
        <v>627</v>
      </c>
      <c r="C1503" s="74" t="str">
        <f>IF($B1503&lt;&gt;"",_xlfn.IFNA(VLOOKUP($B1503,'Node Details'!$B:$U,C$1,0),"Check"),"")</f>
        <v>0000CM313-0000CM315</v>
      </c>
      <c r="D1503" s="74" t="str">
        <f>IF($B1503&lt;&gt;"",_xlfn.IFNA(VLOOKUP($B1503,'Node Details'!$B:$U,D$1,0),"Check"),"")</f>
        <v>CM3</v>
      </c>
      <c r="E1503" s="74" t="str">
        <f>IF($B1503&lt;&gt;"",_xlfn.IFNA(VLOOKUP($B1503,'Node Details'!$B:$U,E$1,0),"Check"),"")</f>
        <v>Airtel</v>
      </c>
      <c r="F1503" s="76">
        <v>46149</v>
      </c>
      <c r="G1503" s="74"/>
      <c r="H1503" s="10" t="s">
        <v>1250</v>
      </c>
      <c r="I1503" s="9">
        <v>2</v>
      </c>
      <c r="J1503" s="9">
        <v>150</v>
      </c>
      <c r="K1503" s="77">
        <f t="shared" si="108"/>
        <v>300</v>
      </c>
      <c r="L1503" s="76">
        <v>46142</v>
      </c>
      <c r="N1503" s="83"/>
      <c r="O1503" s="84"/>
      <c r="P1503" s="81"/>
      <c r="Q1503" s="81"/>
      <c r="R1503" s="81"/>
      <c r="S1503" s="81"/>
      <c r="T1503" s="85"/>
      <c r="U1503" s="81"/>
      <c r="V1503" s="81"/>
      <c r="W1503" s="123">
        <f t="shared" si="107"/>
        <v>0</v>
      </c>
      <c r="X1503" s="123" t="s">
        <v>84</v>
      </c>
      <c r="Y1503" s="114" t="s">
        <v>1128</v>
      </c>
    </row>
    <row r="1504" spans="1:25" s="24" customFormat="1" ht="11.1" customHeight="1">
      <c r="A1504" s="74">
        <f t="shared" si="109"/>
        <v>1502</v>
      </c>
      <c r="B1504" s="75" t="s">
        <v>727</v>
      </c>
      <c r="C1504" s="74" t="str">
        <f>IF($B1504&lt;&gt;"",_xlfn.IFNA(VLOOKUP($B1504,'Node Details'!$B:$U,C$1,0),"Check"),"")</f>
        <v>0000CM314-CM3140101</v>
      </c>
      <c r="D1504" s="74" t="str">
        <f>IF($B1504&lt;&gt;"",_xlfn.IFNA(VLOOKUP($B1504,'Node Details'!$B:$U,D$1,0),"Check"),"")</f>
        <v>CM3</v>
      </c>
      <c r="E1504" s="74" t="str">
        <f>IF($B1504&lt;&gt;"",_xlfn.IFNA(VLOOKUP($B1504,'Node Details'!$B:$U,E$1,0),"Check"),"")</f>
        <v>Airtel</v>
      </c>
      <c r="F1504" s="76">
        <v>46149</v>
      </c>
      <c r="G1504" s="74"/>
      <c r="H1504" s="10" t="s">
        <v>1250</v>
      </c>
      <c r="I1504" s="9">
        <v>2</v>
      </c>
      <c r="J1504" s="9">
        <v>150</v>
      </c>
      <c r="K1504" s="77">
        <f t="shared" si="108"/>
        <v>300</v>
      </c>
      <c r="L1504" s="76">
        <v>46142</v>
      </c>
      <c r="N1504" s="83"/>
      <c r="O1504" s="84"/>
      <c r="P1504" s="81"/>
      <c r="Q1504" s="81"/>
      <c r="R1504" s="81"/>
      <c r="S1504" s="81"/>
      <c r="T1504" s="85"/>
      <c r="U1504" s="81"/>
      <c r="V1504" s="81"/>
      <c r="W1504" s="123">
        <f t="shared" si="107"/>
        <v>0</v>
      </c>
      <c r="X1504" s="123" t="s">
        <v>84</v>
      </c>
      <c r="Y1504" s="114" t="s">
        <v>1128</v>
      </c>
    </row>
    <row r="1505" spans="1:25" s="24" customFormat="1" ht="11.1" customHeight="1">
      <c r="A1505" s="74">
        <f t="shared" si="109"/>
        <v>1503</v>
      </c>
      <c r="B1505" s="75" t="s">
        <v>1169</v>
      </c>
      <c r="C1505" s="74" t="str">
        <f>IF($B1505&lt;&gt;"",_xlfn.IFNA(VLOOKUP($B1505,'Node Details'!$B:$U,C$1,0),"Check"),"")</f>
        <v>0000CM314-CM3140108</v>
      </c>
      <c r="D1505" s="74" t="str">
        <f>IF($B1505&lt;&gt;"",_xlfn.IFNA(VLOOKUP($B1505,'Node Details'!$B:$U,D$1,0),"Check"),"")</f>
        <v>CM3</v>
      </c>
      <c r="E1505" s="74" t="str">
        <f>IF($B1505&lt;&gt;"",_xlfn.IFNA(VLOOKUP($B1505,'Node Details'!$B:$U,E$1,0),"Check"),"")</f>
        <v>Airtel</v>
      </c>
      <c r="F1505" s="76">
        <v>46149</v>
      </c>
      <c r="G1505" s="74"/>
      <c r="H1505" s="10" t="s">
        <v>1250</v>
      </c>
      <c r="I1505" s="9">
        <v>2</v>
      </c>
      <c r="J1505" s="9">
        <v>150</v>
      </c>
      <c r="K1505" s="77">
        <f t="shared" si="108"/>
        <v>300</v>
      </c>
      <c r="L1505" s="76">
        <v>46142</v>
      </c>
      <c r="N1505" s="83"/>
      <c r="O1505" s="84"/>
      <c r="P1505" s="81"/>
      <c r="Q1505" s="81"/>
      <c r="R1505" s="81"/>
      <c r="S1505" s="81"/>
      <c r="T1505" s="85"/>
      <c r="U1505" s="81"/>
      <c r="V1505" s="81"/>
      <c r="W1505" s="123">
        <f t="shared" si="107"/>
        <v>0</v>
      </c>
      <c r="X1505" s="123" t="s">
        <v>84</v>
      </c>
      <c r="Y1505" s="114" t="s">
        <v>1128</v>
      </c>
    </row>
    <row r="1506" spans="1:25" s="24" customFormat="1" ht="11.1" customHeight="1">
      <c r="A1506" s="74">
        <f t="shared" si="109"/>
        <v>1504</v>
      </c>
      <c r="B1506" s="75" t="s">
        <v>1170</v>
      </c>
      <c r="C1506" s="74" t="str">
        <f>IF($B1506&lt;&gt;"",_xlfn.IFNA(VLOOKUP($B1506,'Node Details'!$B:$U,C$1,0),"Check"),"")</f>
        <v>0000CM314-CM3140108</v>
      </c>
      <c r="D1506" s="74" t="str">
        <f>IF($B1506&lt;&gt;"",_xlfn.IFNA(VLOOKUP($B1506,'Node Details'!$B:$U,D$1,0),"Check"),"")</f>
        <v>CM3</v>
      </c>
      <c r="E1506" s="74" t="str">
        <f>IF($B1506&lt;&gt;"",_xlfn.IFNA(VLOOKUP($B1506,'Node Details'!$B:$U,E$1,0),"Check"),"")</f>
        <v>Airtel</v>
      </c>
      <c r="F1506" s="76">
        <v>46149</v>
      </c>
      <c r="G1506" s="74"/>
      <c r="H1506" s="10" t="s">
        <v>1250</v>
      </c>
      <c r="I1506" s="9">
        <v>2</v>
      </c>
      <c r="J1506" s="9">
        <v>150</v>
      </c>
      <c r="K1506" s="77">
        <f t="shared" si="108"/>
        <v>300</v>
      </c>
      <c r="L1506" s="76">
        <v>46142</v>
      </c>
      <c r="N1506" s="83"/>
      <c r="O1506" s="84"/>
      <c r="P1506" s="81"/>
      <c r="Q1506" s="81"/>
      <c r="R1506" s="81"/>
      <c r="S1506" s="81"/>
      <c r="T1506" s="85"/>
      <c r="U1506" s="81"/>
      <c r="V1506" s="81"/>
      <c r="W1506" s="123">
        <f t="shared" si="107"/>
        <v>0</v>
      </c>
      <c r="X1506" s="123" t="s">
        <v>84</v>
      </c>
      <c r="Y1506" s="114" t="s">
        <v>1128</v>
      </c>
    </row>
    <row r="1507" spans="1:25" s="24" customFormat="1" ht="11.1" customHeight="1">
      <c r="A1507" s="74">
        <f t="shared" si="109"/>
        <v>1505</v>
      </c>
      <c r="B1507" s="75" t="s">
        <v>1171</v>
      </c>
      <c r="C1507" s="74" t="str">
        <f>IF($B1507&lt;&gt;"",_xlfn.IFNA(VLOOKUP($B1507,'Node Details'!$B:$U,C$1,0),"Check"),"")</f>
        <v>0000CM314-CM3140108</v>
      </c>
      <c r="D1507" s="74" t="str">
        <f>IF($B1507&lt;&gt;"",_xlfn.IFNA(VLOOKUP($B1507,'Node Details'!$B:$U,D$1,0),"Check"),"")</f>
        <v>CM3</v>
      </c>
      <c r="E1507" s="74" t="str">
        <f>IF($B1507&lt;&gt;"",_xlfn.IFNA(VLOOKUP($B1507,'Node Details'!$B:$U,E$1,0),"Check"),"")</f>
        <v>Airtel</v>
      </c>
      <c r="F1507" s="76">
        <v>46149</v>
      </c>
      <c r="G1507" s="74"/>
      <c r="H1507" s="10" t="s">
        <v>1250</v>
      </c>
      <c r="I1507" s="9">
        <v>2</v>
      </c>
      <c r="J1507" s="9">
        <v>150</v>
      </c>
      <c r="K1507" s="77">
        <f t="shared" si="108"/>
        <v>300</v>
      </c>
      <c r="L1507" s="76">
        <v>46142</v>
      </c>
      <c r="N1507" s="83"/>
      <c r="O1507" s="84"/>
      <c r="P1507" s="81"/>
      <c r="Q1507" s="81"/>
      <c r="R1507" s="81"/>
      <c r="S1507" s="81"/>
      <c r="T1507" s="85"/>
      <c r="U1507" s="81"/>
      <c r="V1507" s="81"/>
      <c r="W1507" s="123">
        <f t="shared" si="107"/>
        <v>0</v>
      </c>
      <c r="X1507" s="123" t="s">
        <v>84</v>
      </c>
      <c r="Y1507" s="114" t="s">
        <v>1128</v>
      </c>
    </row>
    <row r="1508" spans="1:25" s="24" customFormat="1" ht="11.1" customHeight="1">
      <c r="A1508" s="74">
        <f t="shared" si="109"/>
        <v>1506</v>
      </c>
      <c r="B1508" s="75" t="s">
        <v>729</v>
      </c>
      <c r="C1508" s="74" t="str">
        <f>IF($B1508&lt;&gt;"",_xlfn.IFNA(VLOOKUP($B1508,'Node Details'!$B:$U,C$1,0),"Check"),"")</f>
        <v>0000CM314-CM3140108</v>
      </c>
      <c r="D1508" s="74" t="str">
        <f>IF($B1508&lt;&gt;"",_xlfn.IFNA(VLOOKUP($B1508,'Node Details'!$B:$U,D$1,0),"Check"),"")</f>
        <v>CM3</v>
      </c>
      <c r="E1508" s="74" t="str">
        <f>IF($B1508&lt;&gt;"",_xlfn.IFNA(VLOOKUP($B1508,'Node Details'!$B:$U,E$1,0),"Check"),"")</f>
        <v>Airtel</v>
      </c>
      <c r="F1508" s="76">
        <v>46149</v>
      </c>
      <c r="G1508" s="74"/>
      <c r="H1508" s="10" t="s">
        <v>1250</v>
      </c>
      <c r="I1508" s="9">
        <v>2</v>
      </c>
      <c r="J1508" s="9">
        <v>150</v>
      </c>
      <c r="K1508" s="77">
        <f t="shared" si="108"/>
        <v>300</v>
      </c>
      <c r="L1508" s="76">
        <v>46142</v>
      </c>
      <c r="N1508" s="83"/>
      <c r="O1508" s="84"/>
      <c r="P1508" s="81"/>
      <c r="Q1508" s="81"/>
      <c r="R1508" s="81"/>
      <c r="S1508" s="81"/>
      <c r="T1508" s="85"/>
      <c r="U1508" s="81"/>
      <c r="V1508" s="81"/>
      <c r="W1508" s="123">
        <f t="shared" si="107"/>
        <v>0</v>
      </c>
      <c r="X1508" s="123" t="s">
        <v>84</v>
      </c>
      <c r="Y1508" s="114" t="s">
        <v>1128</v>
      </c>
    </row>
    <row r="1509" spans="1:25" s="24" customFormat="1" ht="11.1" customHeight="1">
      <c r="A1509" s="74">
        <f t="shared" si="109"/>
        <v>1507</v>
      </c>
      <c r="B1509" s="75" t="s">
        <v>1172</v>
      </c>
      <c r="C1509" s="74" t="str">
        <f>IF($B1509&lt;&gt;"",_xlfn.IFNA(VLOOKUP($B1509,'Node Details'!$B:$U,C$1,0),"Check"),"")</f>
        <v>0000CM314-CM3140103</v>
      </c>
      <c r="D1509" s="74" t="str">
        <f>IF($B1509&lt;&gt;"",_xlfn.IFNA(VLOOKUP($B1509,'Node Details'!$B:$U,D$1,0),"Check"),"")</f>
        <v>CM3</v>
      </c>
      <c r="E1509" s="74" t="str">
        <f>IF($B1509&lt;&gt;"",_xlfn.IFNA(VLOOKUP($B1509,'Node Details'!$B:$U,E$1,0),"Check"),"")</f>
        <v>Airtel</v>
      </c>
      <c r="F1509" s="76">
        <v>46149</v>
      </c>
      <c r="G1509" s="74"/>
      <c r="H1509" s="10" t="s">
        <v>1250</v>
      </c>
      <c r="I1509" s="9">
        <v>2</v>
      </c>
      <c r="J1509" s="9">
        <v>150</v>
      </c>
      <c r="K1509" s="77">
        <f t="shared" si="108"/>
        <v>300</v>
      </c>
      <c r="L1509" s="76">
        <v>46142</v>
      </c>
      <c r="N1509" s="83"/>
      <c r="O1509" s="84"/>
      <c r="P1509" s="81"/>
      <c r="Q1509" s="81"/>
      <c r="R1509" s="81"/>
      <c r="S1509" s="81"/>
      <c r="T1509" s="85"/>
      <c r="U1509" s="81"/>
      <c r="V1509" s="81"/>
      <c r="W1509" s="123">
        <f t="shared" si="107"/>
        <v>0</v>
      </c>
      <c r="X1509" s="123" t="s">
        <v>84</v>
      </c>
      <c r="Y1509" s="114" t="s">
        <v>1128</v>
      </c>
    </row>
    <row r="1510" spans="1:25" s="24" customFormat="1" ht="11.1" customHeight="1">
      <c r="A1510" s="74">
        <f t="shared" si="109"/>
        <v>1508</v>
      </c>
      <c r="B1510" s="75" t="s">
        <v>731</v>
      </c>
      <c r="C1510" s="74" t="str">
        <f>IF($B1510&lt;&gt;"",_xlfn.IFNA(VLOOKUP($B1510,'Node Details'!$B:$U,C$1,0),"Check"),"")</f>
        <v>0000CM314-CM3140103</v>
      </c>
      <c r="D1510" s="74" t="str">
        <f>IF($B1510&lt;&gt;"",_xlfn.IFNA(VLOOKUP($B1510,'Node Details'!$B:$U,D$1,0),"Check"),"")</f>
        <v>CM3</v>
      </c>
      <c r="E1510" s="74" t="str">
        <f>IF($B1510&lt;&gt;"",_xlfn.IFNA(VLOOKUP($B1510,'Node Details'!$B:$U,E$1,0),"Check"),"")</f>
        <v>Airtel</v>
      </c>
      <c r="F1510" s="76">
        <v>46149</v>
      </c>
      <c r="G1510" s="74"/>
      <c r="H1510" s="10" t="s">
        <v>1250</v>
      </c>
      <c r="I1510" s="9">
        <v>2</v>
      </c>
      <c r="J1510" s="9">
        <v>150</v>
      </c>
      <c r="K1510" s="77">
        <f t="shared" si="108"/>
        <v>300</v>
      </c>
      <c r="L1510" s="76">
        <v>46142</v>
      </c>
      <c r="N1510" s="83"/>
      <c r="O1510" s="84"/>
      <c r="P1510" s="81"/>
      <c r="Q1510" s="81"/>
      <c r="R1510" s="81"/>
      <c r="S1510" s="81"/>
      <c r="T1510" s="85"/>
      <c r="U1510" s="81"/>
      <c r="V1510" s="81"/>
      <c r="W1510" s="123">
        <f t="shared" si="107"/>
        <v>0</v>
      </c>
      <c r="X1510" s="123" t="s">
        <v>84</v>
      </c>
      <c r="Y1510" s="114" t="s">
        <v>1128</v>
      </c>
    </row>
    <row r="1511" spans="1:25" s="24" customFormat="1" ht="11.1" customHeight="1">
      <c r="A1511" s="74">
        <f t="shared" si="109"/>
        <v>1509</v>
      </c>
      <c r="B1511" s="75" t="s">
        <v>625</v>
      </c>
      <c r="C1511" s="74" t="str">
        <f>IF($B1511&lt;&gt;"",_xlfn.IFNA(VLOOKUP($B1511,'Node Details'!$B:$U,C$1,0),"Check"),"")</f>
        <v>0000CM313-0000CM315</v>
      </c>
      <c r="D1511" s="74" t="str">
        <f>IF($B1511&lt;&gt;"",_xlfn.IFNA(VLOOKUP($B1511,'Node Details'!$B:$U,D$1,0),"Check"),"")</f>
        <v>CM3</v>
      </c>
      <c r="E1511" s="74" t="str">
        <f>IF($B1511&lt;&gt;"",_xlfn.IFNA(VLOOKUP($B1511,'Node Details'!$B:$U,E$1,0),"Check"),"")</f>
        <v>Airtel</v>
      </c>
      <c r="F1511" s="76">
        <v>46149</v>
      </c>
      <c r="G1511" s="74"/>
      <c r="H1511" s="10" t="s">
        <v>1250</v>
      </c>
      <c r="I1511" s="9">
        <v>2</v>
      </c>
      <c r="J1511" s="9">
        <v>150</v>
      </c>
      <c r="K1511" s="77">
        <f t="shared" si="108"/>
        <v>300</v>
      </c>
      <c r="L1511" s="76">
        <v>46142</v>
      </c>
      <c r="N1511" s="83"/>
      <c r="O1511" s="84"/>
      <c r="P1511" s="81"/>
      <c r="Q1511" s="81"/>
      <c r="R1511" s="81"/>
      <c r="S1511" s="81"/>
      <c r="T1511" s="85"/>
      <c r="U1511" s="81"/>
      <c r="V1511" s="81"/>
      <c r="W1511" s="123">
        <f t="shared" si="107"/>
        <v>0</v>
      </c>
      <c r="X1511" s="123" t="s">
        <v>84</v>
      </c>
      <c r="Y1511" s="114" t="s">
        <v>1128</v>
      </c>
    </row>
    <row r="1512" spans="1:25" s="24" customFormat="1" ht="11.1" customHeight="1">
      <c r="A1512" s="74">
        <f t="shared" si="109"/>
        <v>1510</v>
      </c>
      <c r="B1512" s="75" t="s">
        <v>733</v>
      </c>
      <c r="C1512" s="74" t="str">
        <f>IF($B1512&lt;&gt;"",_xlfn.IFNA(VLOOKUP($B1512,'Node Details'!$B:$U,C$1,0),"Check"),"")</f>
        <v>0000CM315-CM3150101</v>
      </c>
      <c r="D1512" s="74" t="str">
        <f>IF($B1512&lt;&gt;"",_xlfn.IFNA(VLOOKUP($B1512,'Node Details'!$B:$U,D$1,0),"Check"),"")</f>
        <v>CM3</v>
      </c>
      <c r="E1512" s="74" t="str">
        <f>IF($B1512&lt;&gt;"",_xlfn.IFNA(VLOOKUP($B1512,'Node Details'!$B:$U,E$1,0),"Check"),"")</f>
        <v>Airtel</v>
      </c>
      <c r="F1512" s="76">
        <v>46149</v>
      </c>
      <c r="G1512" s="74"/>
      <c r="H1512" s="10" t="s">
        <v>1250</v>
      </c>
      <c r="I1512" s="9">
        <v>2</v>
      </c>
      <c r="J1512" s="9">
        <v>150</v>
      </c>
      <c r="K1512" s="77">
        <f t="shared" si="108"/>
        <v>300</v>
      </c>
      <c r="L1512" s="76">
        <v>46142</v>
      </c>
      <c r="N1512" s="83"/>
      <c r="O1512" s="84"/>
      <c r="P1512" s="81"/>
      <c r="Q1512" s="81"/>
      <c r="R1512" s="81"/>
      <c r="S1512" s="81"/>
      <c r="T1512" s="85"/>
      <c r="U1512" s="81"/>
      <c r="V1512" s="81"/>
      <c r="W1512" s="123">
        <f t="shared" si="107"/>
        <v>0</v>
      </c>
      <c r="X1512" s="123" t="s">
        <v>84</v>
      </c>
      <c r="Y1512" s="114" t="s">
        <v>1128</v>
      </c>
    </row>
    <row r="1513" spans="1:25" s="24" customFormat="1" ht="11.1" customHeight="1">
      <c r="A1513" s="74">
        <f t="shared" si="109"/>
        <v>1511</v>
      </c>
      <c r="B1513" s="75" t="s">
        <v>735</v>
      </c>
      <c r="C1513" s="74" t="str">
        <f>IF($B1513&lt;&gt;"",_xlfn.IFNA(VLOOKUP($B1513,'Node Details'!$B:$U,C$1,0),"Check"),"")</f>
        <v>0000CM315-CM3150104</v>
      </c>
      <c r="D1513" s="74" t="str">
        <f>IF($B1513&lt;&gt;"",_xlfn.IFNA(VLOOKUP($B1513,'Node Details'!$B:$U,D$1,0),"Check"),"")</f>
        <v>CM3</v>
      </c>
      <c r="E1513" s="74" t="str">
        <f>IF($B1513&lt;&gt;"",_xlfn.IFNA(VLOOKUP($B1513,'Node Details'!$B:$U,E$1,0),"Check"),"")</f>
        <v>Airtel</v>
      </c>
      <c r="F1513" s="76">
        <v>46149</v>
      </c>
      <c r="G1513" s="74"/>
      <c r="H1513" s="10" t="s">
        <v>1250</v>
      </c>
      <c r="I1513" s="9">
        <v>2</v>
      </c>
      <c r="J1513" s="9">
        <v>150</v>
      </c>
      <c r="K1513" s="77">
        <f t="shared" si="108"/>
        <v>300</v>
      </c>
      <c r="L1513" s="76">
        <v>46142</v>
      </c>
      <c r="N1513" s="83"/>
      <c r="O1513" s="84"/>
      <c r="P1513" s="81"/>
      <c r="Q1513" s="81"/>
      <c r="R1513" s="81"/>
      <c r="S1513" s="81"/>
      <c r="T1513" s="85"/>
      <c r="U1513" s="81"/>
      <c r="V1513" s="81"/>
      <c r="W1513" s="123">
        <f t="shared" si="107"/>
        <v>0</v>
      </c>
      <c r="X1513" s="123" t="s">
        <v>84</v>
      </c>
      <c r="Y1513" s="114" t="s">
        <v>1128</v>
      </c>
    </row>
    <row r="1514" spans="1:25" s="24" customFormat="1" ht="11.1" customHeight="1">
      <c r="A1514" s="74">
        <f t="shared" si="109"/>
        <v>1512</v>
      </c>
      <c r="B1514" s="75" t="s">
        <v>628</v>
      </c>
      <c r="C1514" s="74" t="str">
        <f>IF($B1514&lt;&gt;"",_xlfn.IFNA(VLOOKUP($B1514,'Node Details'!$B:$U,C$1,0),"Check"),"")</f>
        <v>0000CM314-0000CM316</v>
      </c>
      <c r="D1514" s="74" t="str">
        <f>IF($B1514&lt;&gt;"",_xlfn.IFNA(VLOOKUP($B1514,'Node Details'!$B:$U,D$1,0),"Check"),"")</f>
        <v>CM3</v>
      </c>
      <c r="E1514" s="74" t="str">
        <f>IF($B1514&lt;&gt;"",_xlfn.IFNA(VLOOKUP($B1514,'Node Details'!$B:$U,E$1,0),"Check"),"")</f>
        <v>Airtel</v>
      </c>
      <c r="F1514" s="76">
        <v>46149</v>
      </c>
      <c r="G1514" s="74"/>
      <c r="H1514" s="10" t="s">
        <v>1250</v>
      </c>
      <c r="I1514" s="9">
        <v>2</v>
      </c>
      <c r="J1514" s="9">
        <v>150</v>
      </c>
      <c r="K1514" s="77">
        <f t="shared" si="108"/>
        <v>300</v>
      </c>
      <c r="L1514" s="76">
        <v>46142</v>
      </c>
      <c r="N1514" s="83"/>
      <c r="O1514" s="84"/>
      <c r="P1514" s="81"/>
      <c r="Q1514" s="81"/>
      <c r="R1514" s="81"/>
      <c r="S1514" s="81"/>
      <c r="T1514" s="85"/>
      <c r="U1514" s="81"/>
      <c r="V1514" s="81"/>
      <c r="W1514" s="123">
        <f t="shared" si="107"/>
        <v>0</v>
      </c>
      <c r="X1514" s="123" t="s">
        <v>84</v>
      </c>
      <c r="Y1514" s="114" t="s">
        <v>1128</v>
      </c>
    </row>
    <row r="1515" spans="1:25" s="24" customFormat="1" ht="11.1" customHeight="1">
      <c r="A1515" s="74">
        <f t="shared" si="109"/>
        <v>1513</v>
      </c>
      <c r="B1515" s="75" t="s">
        <v>737</v>
      </c>
      <c r="C1515" s="74" t="str">
        <f>IF($B1515&lt;&gt;"",_xlfn.IFNA(VLOOKUP($B1515,'Node Details'!$B:$U,C$1,0),"Check"),"")</f>
        <v>0000CM316-CM3160101</v>
      </c>
      <c r="D1515" s="74" t="str">
        <f>IF($B1515&lt;&gt;"",_xlfn.IFNA(VLOOKUP($B1515,'Node Details'!$B:$U,D$1,0),"Check"),"")</f>
        <v>CM3</v>
      </c>
      <c r="E1515" s="74" t="str">
        <f>IF($B1515&lt;&gt;"",_xlfn.IFNA(VLOOKUP($B1515,'Node Details'!$B:$U,E$1,0),"Check"),"")</f>
        <v>Airtel</v>
      </c>
      <c r="F1515" s="76">
        <v>46149</v>
      </c>
      <c r="G1515" s="74"/>
      <c r="H1515" s="10" t="s">
        <v>1250</v>
      </c>
      <c r="I1515" s="9">
        <v>2</v>
      </c>
      <c r="J1515" s="9">
        <v>150</v>
      </c>
      <c r="K1515" s="77">
        <f t="shared" si="108"/>
        <v>300</v>
      </c>
      <c r="L1515" s="76">
        <v>46142</v>
      </c>
      <c r="N1515" s="83"/>
      <c r="O1515" s="84"/>
      <c r="P1515" s="81"/>
      <c r="Q1515" s="81"/>
      <c r="R1515" s="81"/>
      <c r="S1515" s="81"/>
      <c r="T1515" s="85"/>
      <c r="U1515" s="81"/>
      <c r="V1515" s="81"/>
      <c r="W1515" s="123">
        <f t="shared" si="107"/>
        <v>0</v>
      </c>
      <c r="X1515" s="123" t="s">
        <v>84</v>
      </c>
      <c r="Y1515" s="114" t="s">
        <v>1128</v>
      </c>
    </row>
    <row r="1516" spans="1:25" s="24" customFormat="1" ht="11.1" customHeight="1">
      <c r="A1516" s="74">
        <f t="shared" si="109"/>
        <v>1514</v>
      </c>
      <c r="B1516" s="75" t="s">
        <v>1173</v>
      </c>
      <c r="C1516" s="74" t="str">
        <f>IF($B1516&lt;&gt;"",_xlfn.IFNA(VLOOKUP($B1516,'Node Details'!$B:$U,C$1,0),"Check"),"")</f>
        <v>0000CM316-CM3160107</v>
      </c>
      <c r="D1516" s="74" t="str">
        <f>IF($B1516&lt;&gt;"",_xlfn.IFNA(VLOOKUP($B1516,'Node Details'!$B:$U,D$1,0),"Check"),"")</f>
        <v>CM3</v>
      </c>
      <c r="E1516" s="74" t="str">
        <f>IF($B1516&lt;&gt;"",_xlfn.IFNA(VLOOKUP($B1516,'Node Details'!$B:$U,E$1,0),"Check"),"")</f>
        <v>Airtel</v>
      </c>
      <c r="F1516" s="76">
        <v>46149</v>
      </c>
      <c r="G1516" s="74"/>
      <c r="H1516" s="10" t="s">
        <v>1250</v>
      </c>
      <c r="I1516" s="9">
        <v>2</v>
      </c>
      <c r="J1516" s="9">
        <v>150</v>
      </c>
      <c r="K1516" s="77">
        <f t="shared" si="108"/>
        <v>300</v>
      </c>
      <c r="L1516" s="76">
        <v>46142</v>
      </c>
      <c r="N1516" s="83"/>
      <c r="O1516" s="84"/>
      <c r="P1516" s="81"/>
      <c r="Q1516" s="81"/>
      <c r="R1516" s="81"/>
      <c r="S1516" s="81"/>
      <c r="T1516" s="85"/>
      <c r="U1516" s="81"/>
      <c r="V1516" s="81"/>
      <c r="W1516" s="123">
        <f t="shared" si="107"/>
        <v>0</v>
      </c>
      <c r="X1516" s="123" t="s">
        <v>84</v>
      </c>
      <c r="Y1516" s="114" t="s">
        <v>1128</v>
      </c>
    </row>
    <row r="1517" spans="1:25" s="24" customFormat="1" ht="11.1" customHeight="1">
      <c r="A1517" s="74">
        <f t="shared" si="109"/>
        <v>1515</v>
      </c>
      <c r="B1517" s="75" t="s">
        <v>741</v>
      </c>
      <c r="C1517" s="74" t="str">
        <f>IF($B1517&lt;&gt;"",_xlfn.IFNA(VLOOKUP($B1517,'Node Details'!$B:$U,C$1,0),"Check"),"")</f>
        <v>0000CM316-CM3160107</v>
      </c>
      <c r="D1517" s="74" t="str">
        <f>IF($B1517&lt;&gt;"",_xlfn.IFNA(VLOOKUP($B1517,'Node Details'!$B:$U,D$1,0),"Check"),"")</f>
        <v>CM3</v>
      </c>
      <c r="E1517" s="74" t="str">
        <f>IF($B1517&lt;&gt;"",_xlfn.IFNA(VLOOKUP($B1517,'Node Details'!$B:$U,E$1,0),"Check"),"")</f>
        <v>Airtel</v>
      </c>
      <c r="F1517" s="76">
        <v>46149</v>
      </c>
      <c r="G1517" s="74"/>
      <c r="H1517" s="10" t="s">
        <v>1250</v>
      </c>
      <c r="I1517" s="9">
        <v>2</v>
      </c>
      <c r="J1517" s="9">
        <v>150</v>
      </c>
      <c r="K1517" s="77">
        <f t="shared" si="108"/>
        <v>300</v>
      </c>
      <c r="L1517" s="76">
        <v>46142</v>
      </c>
      <c r="N1517" s="83"/>
      <c r="O1517" s="84"/>
      <c r="P1517" s="81"/>
      <c r="Q1517" s="81"/>
      <c r="R1517" s="81"/>
      <c r="S1517" s="81"/>
      <c r="T1517" s="85"/>
      <c r="U1517" s="81"/>
      <c r="V1517" s="81"/>
      <c r="W1517" s="123">
        <f t="shared" si="107"/>
        <v>0</v>
      </c>
      <c r="X1517" s="123" t="s">
        <v>84</v>
      </c>
      <c r="Y1517" s="114" t="s">
        <v>1128</v>
      </c>
    </row>
    <row r="1518" spans="1:25" s="24" customFormat="1" ht="11.1" customHeight="1">
      <c r="A1518" s="74">
        <f t="shared" si="109"/>
        <v>1516</v>
      </c>
      <c r="B1518" s="75" t="s">
        <v>739</v>
      </c>
      <c r="C1518" s="74" t="str">
        <f>IF($B1518&lt;&gt;"",_xlfn.IFNA(VLOOKUP($B1518,'Node Details'!$B:$U,C$1,0),"Check"),"")</f>
        <v>0000CM316-CM3160107</v>
      </c>
      <c r="D1518" s="74" t="str">
        <f>IF($B1518&lt;&gt;"",_xlfn.IFNA(VLOOKUP($B1518,'Node Details'!$B:$U,D$1,0),"Check"),"")</f>
        <v>CM3</v>
      </c>
      <c r="E1518" s="74" t="str">
        <f>IF($B1518&lt;&gt;"",_xlfn.IFNA(VLOOKUP($B1518,'Node Details'!$B:$U,E$1,0),"Check"),"")</f>
        <v>Airtel</v>
      </c>
      <c r="F1518" s="76">
        <v>46149</v>
      </c>
      <c r="G1518" s="74"/>
      <c r="H1518" s="10" t="s">
        <v>1250</v>
      </c>
      <c r="I1518" s="9">
        <v>2</v>
      </c>
      <c r="J1518" s="9">
        <v>150</v>
      </c>
      <c r="K1518" s="77">
        <f t="shared" si="108"/>
        <v>300</v>
      </c>
      <c r="L1518" s="76">
        <v>46142</v>
      </c>
      <c r="N1518" s="83"/>
      <c r="O1518" s="84"/>
      <c r="P1518" s="81"/>
      <c r="Q1518" s="81"/>
      <c r="R1518" s="81"/>
      <c r="S1518" s="81"/>
      <c r="T1518" s="85"/>
      <c r="U1518" s="81"/>
      <c r="V1518" s="81"/>
      <c r="W1518" s="123">
        <f t="shared" si="107"/>
        <v>0</v>
      </c>
      <c r="X1518" s="123" t="s">
        <v>84</v>
      </c>
      <c r="Y1518" s="114" t="s">
        <v>1128</v>
      </c>
    </row>
    <row r="1519" spans="1:25" s="24" customFormat="1" ht="11.1" customHeight="1">
      <c r="A1519" s="74">
        <f t="shared" si="109"/>
        <v>1517</v>
      </c>
      <c r="B1519" s="75" t="s">
        <v>742</v>
      </c>
      <c r="C1519" s="74" t="str">
        <f>IF($B1519&lt;&gt;"",_xlfn.IFNA(VLOOKUP($B1519,'Node Details'!$B:$U,C$1,0),"Check"),"")</f>
        <v>CM3160106-CM3160108</v>
      </c>
      <c r="D1519" s="74" t="str">
        <f>IF($B1519&lt;&gt;"",_xlfn.IFNA(VLOOKUP($B1519,'Node Details'!$B:$U,D$1,0),"Check"),"")</f>
        <v>CM3</v>
      </c>
      <c r="E1519" s="74" t="str">
        <f>IF($B1519&lt;&gt;"",_xlfn.IFNA(VLOOKUP($B1519,'Node Details'!$B:$U,E$1,0),"Check"),"")</f>
        <v>Airtel</v>
      </c>
      <c r="F1519" s="76">
        <v>46149</v>
      </c>
      <c r="G1519" s="74"/>
      <c r="H1519" s="10" t="s">
        <v>1250</v>
      </c>
      <c r="I1519" s="9">
        <v>2</v>
      </c>
      <c r="J1519" s="9">
        <v>150</v>
      </c>
      <c r="K1519" s="77">
        <f t="shared" si="108"/>
        <v>300</v>
      </c>
      <c r="L1519" s="76">
        <v>46142</v>
      </c>
      <c r="N1519" s="83"/>
      <c r="O1519" s="84"/>
      <c r="P1519" s="81"/>
      <c r="Q1519" s="81"/>
      <c r="R1519" s="81"/>
      <c r="S1519" s="81"/>
      <c r="T1519" s="85"/>
      <c r="U1519" s="81"/>
      <c r="V1519" s="81"/>
      <c r="W1519" s="123">
        <f t="shared" si="107"/>
        <v>0</v>
      </c>
      <c r="X1519" s="123" t="s">
        <v>84</v>
      </c>
      <c r="Y1519" s="114" t="s">
        <v>1128</v>
      </c>
    </row>
    <row r="1520" spans="1:25" s="24" customFormat="1" ht="11.1" customHeight="1">
      <c r="A1520" s="74">
        <f t="shared" si="109"/>
        <v>1518</v>
      </c>
      <c r="B1520" s="75" t="s">
        <v>1174</v>
      </c>
      <c r="C1520" s="74" t="str">
        <f>IF($B1520&lt;&gt;"",_xlfn.IFNA(VLOOKUP($B1520,'Node Details'!$B:$U,C$1,0),"Check"),"")</f>
        <v>0000CM316-CM3160104</v>
      </c>
      <c r="D1520" s="74" t="str">
        <f>IF($B1520&lt;&gt;"",_xlfn.IFNA(VLOOKUP($B1520,'Node Details'!$B:$U,D$1,0),"Check"),"")</f>
        <v>CM3</v>
      </c>
      <c r="E1520" s="74" t="str">
        <f>IF($B1520&lt;&gt;"",_xlfn.IFNA(VLOOKUP($B1520,'Node Details'!$B:$U,E$1,0),"Check"),"")</f>
        <v>Airtel</v>
      </c>
      <c r="F1520" s="76">
        <v>46149</v>
      </c>
      <c r="G1520" s="74"/>
      <c r="H1520" s="10" t="s">
        <v>1250</v>
      </c>
      <c r="I1520" s="9">
        <v>2</v>
      </c>
      <c r="J1520" s="9">
        <v>150</v>
      </c>
      <c r="K1520" s="77">
        <f t="shared" si="108"/>
        <v>300</v>
      </c>
      <c r="L1520" s="76">
        <v>46142</v>
      </c>
      <c r="N1520" s="83"/>
      <c r="O1520" s="84"/>
      <c r="P1520" s="81"/>
      <c r="Q1520" s="81"/>
      <c r="R1520" s="81"/>
      <c r="S1520" s="81"/>
      <c r="T1520" s="85"/>
      <c r="U1520" s="81"/>
      <c r="V1520" s="81"/>
      <c r="W1520" s="123">
        <f t="shared" si="107"/>
        <v>0</v>
      </c>
      <c r="X1520" s="123" t="s">
        <v>84</v>
      </c>
      <c r="Y1520" s="114" t="s">
        <v>1128</v>
      </c>
    </row>
    <row r="1521" spans="1:25" s="24" customFormat="1" ht="11.1" customHeight="1">
      <c r="A1521" s="74">
        <f t="shared" si="109"/>
        <v>1519</v>
      </c>
      <c r="B1521" s="75" t="s">
        <v>744</v>
      </c>
      <c r="C1521" s="74" t="str">
        <f>IF($B1521&lt;&gt;"",_xlfn.IFNA(VLOOKUP($B1521,'Node Details'!$B:$U,C$1,0),"Check"),"")</f>
        <v>0000CM316-CM3160104</v>
      </c>
      <c r="D1521" s="74" t="str">
        <f>IF($B1521&lt;&gt;"",_xlfn.IFNA(VLOOKUP($B1521,'Node Details'!$B:$U,D$1,0),"Check"),"")</f>
        <v>CM3</v>
      </c>
      <c r="E1521" s="74" t="str">
        <f>IF($B1521&lt;&gt;"",_xlfn.IFNA(VLOOKUP($B1521,'Node Details'!$B:$U,E$1,0),"Check"),"")</f>
        <v>Airtel</v>
      </c>
      <c r="F1521" s="76">
        <v>46149</v>
      </c>
      <c r="G1521" s="74"/>
      <c r="H1521" s="10" t="s">
        <v>1250</v>
      </c>
      <c r="I1521" s="9">
        <v>2</v>
      </c>
      <c r="J1521" s="9">
        <v>150</v>
      </c>
      <c r="K1521" s="77">
        <f t="shared" si="108"/>
        <v>300</v>
      </c>
      <c r="L1521" s="76">
        <v>46142</v>
      </c>
      <c r="N1521" s="83"/>
      <c r="O1521" s="84"/>
      <c r="P1521" s="81"/>
      <c r="Q1521" s="81"/>
      <c r="R1521" s="81"/>
      <c r="S1521" s="81"/>
      <c r="T1521" s="85"/>
      <c r="U1521" s="81"/>
      <c r="V1521" s="81"/>
      <c r="W1521" s="123">
        <f t="shared" si="107"/>
        <v>0</v>
      </c>
      <c r="X1521" s="123" t="s">
        <v>84</v>
      </c>
      <c r="Y1521" s="114" t="s">
        <v>1128</v>
      </c>
    </row>
    <row r="1522" spans="1:25" s="24" customFormat="1" ht="11.1" customHeight="1">
      <c r="A1522" s="74">
        <f t="shared" si="109"/>
        <v>1520</v>
      </c>
      <c r="B1522" s="75" t="s">
        <v>746</v>
      </c>
      <c r="C1522" s="74" t="str">
        <f>IF($B1522&lt;&gt;"",_xlfn.IFNA(VLOOKUP($B1522,'Node Details'!$B:$U,C$1,0),"Check"),"")</f>
        <v>000000CM3-0000CM325</v>
      </c>
      <c r="D1522" s="74" t="str">
        <f>IF($B1522&lt;&gt;"",_xlfn.IFNA(VLOOKUP($B1522,'Node Details'!$B:$U,D$1,0),"Check"),"")</f>
        <v>CM3</v>
      </c>
      <c r="E1522" s="74" t="str">
        <f>IF($B1522&lt;&gt;"",_xlfn.IFNA(VLOOKUP($B1522,'Node Details'!$B:$U,E$1,0),"Check"),"")</f>
        <v>Airtel</v>
      </c>
      <c r="F1522" s="76">
        <v>46149</v>
      </c>
      <c r="G1522" s="74"/>
      <c r="H1522" s="10" t="s">
        <v>1250</v>
      </c>
      <c r="I1522" s="9">
        <v>2</v>
      </c>
      <c r="J1522" s="9">
        <v>150</v>
      </c>
      <c r="K1522" s="77">
        <f t="shared" si="108"/>
        <v>300</v>
      </c>
      <c r="L1522" s="76">
        <v>46142</v>
      </c>
      <c r="N1522" s="83"/>
      <c r="O1522" s="84"/>
      <c r="P1522" s="81"/>
      <c r="Q1522" s="81"/>
      <c r="R1522" s="81"/>
      <c r="S1522" s="81"/>
      <c r="T1522" s="85"/>
      <c r="U1522" s="81"/>
      <c r="V1522" s="81"/>
      <c r="W1522" s="123">
        <f t="shared" si="107"/>
        <v>0</v>
      </c>
      <c r="X1522" s="123" t="s">
        <v>84</v>
      </c>
      <c r="Y1522" s="114" t="s">
        <v>1128</v>
      </c>
    </row>
    <row r="1523" spans="1:25" s="24" customFormat="1" ht="11.1" customHeight="1">
      <c r="A1523" s="74">
        <f t="shared" si="109"/>
        <v>1521</v>
      </c>
      <c r="B1523" s="75" t="s">
        <v>747</v>
      </c>
      <c r="C1523" s="74" t="str">
        <f>IF($B1523&lt;&gt;"",_xlfn.IFNA(VLOOKUP($B1523,'Node Details'!$B:$U,C$1,0),"Check"),"")</f>
        <v>0000CM317-CM3170101</v>
      </c>
      <c r="D1523" s="74" t="str">
        <f>IF($B1523&lt;&gt;"",_xlfn.IFNA(VLOOKUP($B1523,'Node Details'!$B:$U,D$1,0),"Check"),"")</f>
        <v>CM3</v>
      </c>
      <c r="E1523" s="74" t="str">
        <f>IF($B1523&lt;&gt;"",_xlfn.IFNA(VLOOKUP($B1523,'Node Details'!$B:$U,E$1,0),"Check"),"")</f>
        <v>Airtel</v>
      </c>
      <c r="F1523" s="76">
        <v>46149</v>
      </c>
      <c r="G1523" s="74"/>
      <c r="H1523" s="10" t="s">
        <v>1250</v>
      </c>
      <c r="I1523" s="9">
        <v>2</v>
      </c>
      <c r="J1523" s="9">
        <v>150</v>
      </c>
      <c r="K1523" s="77">
        <f t="shared" si="108"/>
        <v>300</v>
      </c>
      <c r="L1523" s="76">
        <v>46142</v>
      </c>
      <c r="N1523" s="83"/>
      <c r="O1523" s="84"/>
      <c r="P1523" s="81"/>
      <c r="Q1523" s="81"/>
      <c r="R1523" s="81"/>
      <c r="S1523" s="81"/>
      <c r="T1523" s="85"/>
      <c r="U1523" s="81"/>
      <c r="V1523" s="81"/>
      <c r="W1523" s="123">
        <f t="shared" si="107"/>
        <v>0</v>
      </c>
      <c r="X1523" s="123" t="s">
        <v>84</v>
      </c>
      <c r="Y1523" s="114" t="s">
        <v>1128</v>
      </c>
    </row>
    <row r="1524" spans="1:25" s="24" customFormat="1" ht="11.1" customHeight="1">
      <c r="A1524" s="74">
        <f t="shared" si="109"/>
        <v>1522</v>
      </c>
      <c r="B1524" s="75" t="s">
        <v>749</v>
      </c>
      <c r="C1524" s="74" t="str">
        <f>IF($B1524&lt;&gt;"",_xlfn.IFNA(VLOOKUP($B1524,'Node Details'!$B:$U,C$1,0),"Check"),"")</f>
        <v>0000CM317-CM3170102</v>
      </c>
      <c r="D1524" s="74" t="str">
        <f>IF($B1524&lt;&gt;"",_xlfn.IFNA(VLOOKUP($B1524,'Node Details'!$B:$U,D$1,0),"Check"),"")</f>
        <v>CM3</v>
      </c>
      <c r="E1524" s="74" t="str">
        <f>IF($B1524&lt;&gt;"",_xlfn.IFNA(VLOOKUP($B1524,'Node Details'!$B:$U,E$1,0),"Check"),"")</f>
        <v>Airtel</v>
      </c>
      <c r="F1524" s="76">
        <v>46149</v>
      </c>
      <c r="G1524" s="74"/>
      <c r="H1524" s="10" t="s">
        <v>1250</v>
      </c>
      <c r="I1524" s="9">
        <v>2</v>
      </c>
      <c r="J1524" s="9">
        <v>150</v>
      </c>
      <c r="K1524" s="77">
        <f t="shared" si="108"/>
        <v>300</v>
      </c>
      <c r="L1524" s="76">
        <v>46142</v>
      </c>
      <c r="N1524" s="83"/>
      <c r="O1524" s="84"/>
      <c r="P1524" s="81"/>
      <c r="Q1524" s="81"/>
      <c r="R1524" s="81"/>
      <c r="S1524" s="81"/>
      <c r="T1524" s="85"/>
      <c r="U1524" s="81"/>
      <c r="V1524" s="81"/>
      <c r="W1524" s="123">
        <f t="shared" si="107"/>
        <v>0</v>
      </c>
      <c r="X1524" s="123" t="s">
        <v>84</v>
      </c>
      <c r="Y1524" s="114" t="s">
        <v>1128</v>
      </c>
    </row>
    <row r="1525" spans="1:25" s="24" customFormat="1" ht="11.1" customHeight="1">
      <c r="A1525" s="74">
        <f t="shared" si="109"/>
        <v>1523</v>
      </c>
      <c r="B1525" s="75" t="s">
        <v>1175</v>
      </c>
      <c r="C1525" s="74" t="str">
        <f>IF($B1525&lt;&gt;"",_xlfn.IFNA(VLOOKUP($B1525,'Node Details'!$B:$U,C$1,0),"Check"),"")</f>
        <v>0000CM317-CM3170104</v>
      </c>
      <c r="D1525" s="74" t="str">
        <f>IF($B1525&lt;&gt;"",_xlfn.IFNA(VLOOKUP($B1525,'Node Details'!$B:$U,D$1,0),"Check"),"")</f>
        <v>CM3</v>
      </c>
      <c r="E1525" s="74" t="str">
        <f>IF($B1525&lt;&gt;"",_xlfn.IFNA(VLOOKUP($B1525,'Node Details'!$B:$U,E$1,0),"Check"),"")</f>
        <v>Airtel</v>
      </c>
      <c r="F1525" s="76">
        <v>46149</v>
      </c>
      <c r="G1525" s="74"/>
      <c r="H1525" s="10" t="s">
        <v>1250</v>
      </c>
      <c r="I1525" s="9">
        <v>2</v>
      </c>
      <c r="J1525" s="9">
        <v>150</v>
      </c>
      <c r="K1525" s="77">
        <f t="shared" si="108"/>
        <v>300</v>
      </c>
      <c r="L1525" s="76">
        <v>46142</v>
      </c>
      <c r="N1525" s="83"/>
      <c r="O1525" s="84"/>
      <c r="P1525" s="81"/>
      <c r="Q1525" s="81"/>
      <c r="R1525" s="81"/>
      <c r="S1525" s="81"/>
      <c r="T1525" s="85"/>
      <c r="U1525" s="81"/>
      <c r="V1525" s="81"/>
      <c r="W1525" s="123">
        <f t="shared" si="107"/>
        <v>0</v>
      </c>
      <c r="X1525" s="123" t="s">
        <v>84</v>
      </c>
      <c r="Y1525" s="114" t="s">
        <v>1128</v>
      </c>
    </row>
    <row r="1526" spans="1:25" s="24" customFormat="1" ht="11.1" customHeight="1">
      <c r="A1526" s="74">
        <f t="shared" si="109"/>
        <v>1524</v>
      </c>
      <c r="B1526" s="75" t="s">
        <v>751</v>
      </c>
      <c r="C1526" s="74" t="str">
        <f>IF($B1526&lt;&gt;"",_xlfn.IFNA(VLOOKUP($B1526,'Node Details'!$B:$U,C$1,0),"Check"),"")</f>
        <v>0000CM317-CM3170104</v>
      </c>
      <c r="D1526" s="74" t="str">
        <f>IF($B1526&lt;&gt;"",_xlfn.IFNA(VLOOKUP($B1526,'Node Details'!$B:$U,D$1,0),"Check"),"")</f>
        <v>CM3</v>
      </c>
      <c r="E1526" s="74" t="str">
        <f>IF($B1526&lt;&gt;"",_xlfn.IFNA(VLOOKUP($B1526,'Node Details'!$B:$U,E$1,0),"Check"),"")</f>
        <v>Airtel</v>
      </c>
      <c r="F1526" s="76">
        <v>46149</v>
      </c>
      <c r="G1526" s="74"/>
      <c r="H1526" s="10" t="s">
        <v>1250</v>
      </c>
      <c r="I1526" s="9">
        <v>2</v>
      </c>
      <c r="J1526" s="9">
        <v>150</v>
      </c>
      <c r="K1526" s="77">
        <f t="shared" si="108"/>
        <v>300</v>
      </c>
      <c r="L1526" s="76">
        <v>46142</v>
      </c>
      <c r="N1526" s="83"/>
      <c r="O1526" s="84"/>
      <c r="P1526" s="81"/>
      <c r="Q1526" s="81"/>
      <c r="R1526" s="81"/>
      <c r="S1526" s="81"/>
      <c r="T1526" s="85"/>
      <c r="U1526" s="81"/>
      <c r="V1526" s="81"/>
      <c r="W1526" s="123">
        <f t="shared" si="107"/>
        <v>0</v>
      </c>
      <c r="X1526" s="123" t="s">
        <v>84</v>
      </c>
      <c r="Y1526" s="114" t="s">
        <v>1128</v>
      </c>
    </row>
    <row r="1527" spans="1:25" s="24" customFormat="1" ht="11.1" customHeight="1">
      <c r="A1527" s="74">
        <f t="shared" si="109"/>
        <v>1525</v>
      </c>
      <c r="B1527" s="75" t="s">
        <v>753</v>
      </c>
      <c r="C1527" s="74" t="str">
        <f>IF($B1527&lt;&gt;"",_xlfn.IFNA(VLOOKUP($B1527,'Node Details'!$B:$U,C$1,0),"Check"),"")</f>
        <v>000000CM3-0000CM325</v>
      </c>
      <c r="D1527" s="74" t="str">
        <f>IF($B1527&lt;&gt;"",_xlfn.IFNA(VLOOKUP($B1527,'Node Details'!$B:$U,D$1,0),"Check"),"")</f>
        <v>CM3</v>
      </c>
      <c r="E1527" s="74" t="str">
        <f>IF($B1527&lt;&gt;"",_xlfn.IFNA(VLOOKUP($B1527,'Node Details'!$B:$U,E$1,0),"Check"),"")</f>
        <v>Airtel</v>
      </c>
      <c r="F1527" s="76">
        <v>46149</v>
      </c>
      <c r="G1527" s="74"/>
      <c r="H1527" s="10" t="s">
        <v>1250</v>
      </c>
      <c r="I1527" s="9">
        <v>2</v>
      </c>
      <c r="J1527" s="9">
        <v>150</v>
      </c>
      <c r="K1527" s="77">
        <f t="shared" si="108"/>
        <v>300</v>
      </c>
      <c r="L1527" s="76">
        <v>46142</v>
      </c>
      <c r="N1527" s="83"/>
      <c r="O1527" s="84"/>
      <c r="P1527" s="81"/>
      <c r="Q1527" s="81"/>
      <c r="R1527" s="81"/>
      <c r="S1527" s="81"/>
      <c r="T1527" s="85"/>
      <c r="U1527" s="81"/>
      <c r="V1527" s="81"/>
      <c r="W1527" s="123">
        <f t="shared" si="107"/>
        <v>0</v>
      </c>
      <c r="X1527" s="123" t="s">
        <v>84</v>
      </c>
      <c r="Y1527" s="114" t="s">
        <v>1128</v>
      </c>
    </row>
    <row r="1528" spans="1:25" s="24" customFormat="1" ht="11.1" customHeight="1">
      <c r="A1528" s="74">
        <f t="shared" si="109"/>
        <v>1526</v>
      </c>
      <c r="B1528" s="75" t="s">
        <v>754</v>
      </c>
      <c r="C1528" s="74" t="str">
        <f>IF($B1528&lt;&gt;"",_xlfn.IFNA(VLOOKUP($B1528,'Node Details'!$B:$U,C$1,0),"Check"),"")</f>
        <v>0000CM318-CM3180101</v>
      </c>
      <c r="D1528" s="74" t="str">
        <f>IF($B1528&lt;&gt;"",_xlfn.IFNA(VLOOKUP($B1528,'Node Details'!$B:$U,D$1,0),"Check"),"")</f>
        <v>CM3</v>
      </c>
      <c r="E1528" s="74" t="str">
        <f>IF($B1528&lt;&gt;"",_xlfn.IFNA(VLOOKUP($B1528,'Node Details'!$B:$U,E$1,0),"Check"),"")</f>
        <v>Airtel</v>
      </c>
      <c r="F1528" s="76">
        <v>46149</v>
      </c>
      <c r="G1528" s="74"/>
      <c r="H1528" s="10" t="s">
        <v>1250</v>
      </c>
      <c r="I1528" s="9">
        <v>2</v>
      </c>
      <c r="J1528" s="9">
        <v>150</v>
      </c>
      <c r="K1528" s="77">
        <f t="shared" si="108"/>
        <v>300</v>
      </c>
      <c r="L1528" s="76">
        <v>46142</v>
      </c>
      <c r="N1528" s="83"/>
      <c r="O1528" s="84"/>
      <c r="P1528" s="81"/>
      <c r="Q1528" s="81"/>
      <c r="R1528" s="81"/>
      <c r="S1528" s="81"/>
      <c r="T1528" s="85"/>
      <c r="U1528" s="81"/>
      <c r="V1528" s="81"/>
      <c r="W1528" s="123">
        <f t="shared" si="107"/>
        <v>0</v>
      </c>
      <c r="X1528" s="123" t="s">
        <v>84</v>
      </c>
      <c r="Y1528" s="114" t="s">
        <v>1128</v>
      </c>
    </row>
    <row r="1529" spans="1:25" s="24" customFormat="1" ht="11.1" customHeight="1">
      <c r="A1529" s="74">
        <f t="shared" si="109"/>
        <v>1527</v>
      </c>
      <c r="B1529" s="75" t="s">
        <v>1176</v>
      </c>
      <c r="C1529" s="74" t="str">
        <f>IF($B1529&lt;&gt;"",_xlfn.IFNA(VLOOKUP($B1529,'Node Details'!$B:$U,C$1,0),"Check"),"")</f>
        <v>0000CM318-CM3180102</v>
      </c>
      <c r="D1529" s="74" t="str">
        <f>IF($B1529&lt;&gt;"",_xlfn.IFNA(VLOOKUP($B1529,'Node Details'!$B:$U,D$1,0),"Check"),"")</f>
        <v>CM3</v>
      </c>
      <c r="E1529" s="74" t="str">
        <f>IF($B1529&lt;&gt;"",_xlfn.IFNA(VLOOKUP($B1529,'Node Details'!$B:$U,E$1,0),"Check"),"")</f>
        <v>Airtel</v>
      </c>
      <c r="F1529" s="76">
        <v>46149</v>
      </c>
      <c r="G1529" s="74"/>
      <c r="H1529" s="10" t="s">
        <v>1250</v>
      </c>
      <c r="I1529" s="9">
        <v>2</v>
      </c>
      <c r="J1529" s="9">
        <v>150</v>
      </c>
      <c r="K1529" s="77">
        <f t="shared" si="108"/>
        <v>300</v>
      </c>
      <c r="L1529" s="76">
        <v>46142</v>
      </c>
      <c r="N1529" s="83"/>
      <c r="O1529" s="84"/>
      <c r="P1529" s="81"/>
      <c r="Q1529" s="81"/>
      <c r="R1529" s="81"/>
      <c r="S1529" s="81"/>
      <c r="T1529" s="85"/>
      <c r="U1529" s="81"/>
      <c r="V1529" s="81"/>
      <c r="W1529" s="123">
        <f t="shared" ref="W1529:W1583" si="110">IF(V1529&lt;&gt;"",V1529*U1529,0)</f>
        <v>0</v>
      </c>
      <c r="X1529" s="123" t="s">
        <v>84</v>
      </c>
      <c r="Y1529" s="114" t="s">
        <v>1128</v>
      </c>
    </row>
    <row r="1530" spans="1:25" s="24" customFormat="1" ht="11.1" customHeight="1">
      <c r="A1530" s="74">
        <f t="shared" si="109"/>
        <v>1528</v>
      </c>
      <c r="B1530" s="75" t="s">
        <v>756</v>
      </c>
      <c r="C1530" s="74" t="str">
        <f>IF($B1530&lt;&gt;"",_xlfn.IFNA(VLOOKUP($B1530,'Node Details'!$B:$U,C$1,0),"Check"),"")</f>
        <v>0000CM318-CM3180102</v>
      </c>
      <c r="D1530" s="74" t="str">
        <f>IF($B1530&lt;&gt;"",_xlfn.IFNA(VLOOKUP($B1530,'Node Details'!$B:$U,D$1,0),"Check"),"")</f>
        <v>CM3</v>
      </c>
      <c r="E1530" s="74" t="str">
        <f>IF($B1530&lt;&gt;"",_xlfn.IFNA(VLOOKUP($B1530,'Node Details'!$B:$U,E$1,0),"Check"),"")</f>
        <v>Airtel</v>
      </c>
      <c r="F1530" s="76">
        <v>46149</v>
      </c>
      <c r="G1530" s="74"/>
      <c r="H1530" s="10" t="s">
        <v>1250</v>
      </c>
      <c r="I1530" s="9">
        <v>2</v>
      </c>
      <c r="J1530" s="9">
        <v>150</v>
      </c>
      <c r="K1530" s="77">
        <f t="shared" ref="K1530:K1583" si="111">IF(I1530&lt;&gt;"",J1530*I1530,0)</f>
        <v>300</v>
      </c>
      <c r="L1530" s="76">
        <v>46142</v>
      </c>
      <c r="N1530" s="83"/>
      <c r="O1530" s="84"/>
      <c r="P1530" s="81"/>
      <c r="Q1530" s="81"/>
      <c r="R1530" s="81"/>
      <c r="S1530" s="81"/>
      <c r="T1530" s="85"/>
      <c r="U1530" s="81"/>
      <c r="V1530" s="81"/>
      <c r="W1530" s="123">
        <f t="shared" si="110"/>
        <v>0</v>
      </c>
      <c r="X1530" s="123" t="s">
        <v>84</v>
      </c>
      <c r="Y1530" s="114" t="s">
        <v>1128</v>
      </c>
    </row>
    <row r="1531" spans="1:25" s="24" customFormat="1" ht="11.1" customHeight="1">
      <c r="A1531" s="74">
        <f t="shared" si="109"/>
        <v>1529</v>
      </c>
      <c r="B1531" s="75" t="s">
        <v>1177</v>
      </c>
      <c r="C1531" s="74" t="str">
        <f>IF($B1531&lt;&gt;"",_xlfn.IFNA(VLOOKUP($B1531,'Node Details'!$B:$U,C$1,0),"Check"),"")</f>
        <v>0000CM318-CM3180108</v>
      </c>
      <c r="D1531" s="74" t="str">
        <f>IF($B1531&lt;&gt;"",_xlfn.IFNA(VLOOKUP($B1531,'Node Details'!$B:$U,D$1,0),"Check"),"")</f>
        <v>CM3</v>
      </c>
      <c r="E1531" s="74" t="str">
        <f>IF($B1531&lt;&gt;"",_xlfn.IFNA(VLOOKUP($B1531,'Node Details'!$B:$U,E$1,0),"Check"),"")</f>
        <v>Airtel</v>
      </c>
      <c r="F1531" s="76">
        <v>46149</v>
      </c>
      <c r="G1531" s="74"/>
      <c r="H1531" s="10" t="s">
        <v>1250</v>
      </c>
      <c r="I1531" s="9">
        <v>2</v>
      </c>
      <c r="J1531" s="9">
        <v>150</v>
      </c>
      <c r="K1531" s="77">
        <f t="shared" si="111"/>
        <v>300</v>
      </c>
      <c r="L1531" s="76">
        <v>46142</v>
      </c>
      <c r="N1531" s="83"/>
      <c r="O1531" s="84"/>
      <c r="P1531" s="81"/>
      <c r="Q1531" s="81"/>
      <c r="R1531" s="81"/>
      <c r="S1531" s="81"/>
      <c r="T1531" s="85"/>
      <c r="U1531" s="81"/>
      <c r="V1531" s="81"/>
      <c r="W1531" s="123">
        <f t="shared" si="110"/>
        <v>0</v>
      </c>
      <c r="X1531" s="123" t="s">
        <v>84</v>
      </c>
      <c r="Y1531" s="114" t="s">
        <v>1128</v>
      </c>
    </row>
    <row r="1532" spans="1:25" s="24" customFormat="1" ht="11.1" customHeight="1">
      <c r="A1532" s="74">
        <f t="shared" si="109"/>
        <v>1530</v>
      </c>
      <c r="B1532" s="75" t="s">
        <v>758</v>
      </c>
      <c r="C1532" s="74" t="str">
        <f>IF($B1532&lt;&gt;"",_xlfn.IFNA(VLOOKUP($B1532,'Node Details'!$B:$U,C$1,0),"Check"),"")</f>
        <v>0000CM318-CM3180108</v>
      </c>
      <c r="D1532" s="74" t="str">
        <f>IF($B1532&lt;&gt;"",_xlfn.IFNA(VLOOKUP($B1532,'Node Details'!$B:$U,D$1,0),"Check"),"")</f>
        <v>CM3</v>
      </c>
      <c r="E1532" s="74" t="str">
        <f>IF($B1532&lt;&gt;"",_xlfn.IFNA(VLOOKUP($B1532,'Node Details'!$B:$U,E$1,0),"Check"),"")</f>
        <v>Airtel</v>
      </c>
      <c r="F1532" s="76">
        <v>46149</v>
      </c>
      <c r="G1532" s="74"/>
      <c r="H1532" s="10" t="s">
        <v>1250</v>
      </c>
      <c r="I1532" s="9">
        <v>2</v>
      </c>
      <c r="J1532" s="9">
        <v>150</v>
      </c>
      <c r="K1532" s="77">
        <f t="shared" si="111"/>
        <v>300</v>
      </c>
      <c r="L1532" s="76">
        <v>46142</v>
      </c>
      <c r="N1532" s="83"/>
      <c r="O1532" s="84"/>
      <c r="P1532" s="81"/>
      <c r="Q1532" s="81"/>
      <c r="R1532" s="81"/>
      <c r="S1532" s="81"/>
      <c r="T1532" s="85"/>
      <c r="U1532" s="81"/>
      <c r="V1532" s="81"/>
      <c r="W1532" s="123">
        <f t="shared" si="110"/>
        <v>0</v>
      </c>
      <c r="X1532" s="123" t="s">
        <v>84</v>
      </c>
      <c r="Y1532" s="114" t="s">
        <v>1128</v>
      </c>
    </row>
    <row r="1533" spans="1:25" s="24" customFormat="1" ht="11.1" customHeight="1">
      <c r="A1533" s="74">
        <f t="shared" si="109"/>
        <v>1531</v>
      </c>
      <c r="B1533" s="75" t="s">
        <v>1178</v>
      </c>
      <c r="C1533" s="74" t="str">
        <f>IF($B1533&lt;&gt;"",_xlfn.IFNA(VLOOKUP($B1533,'Node Details'!$B:$U,C$1,0),"Check"),"")</f>
        <v>0000CM318-CM3180105</v>
      </c>
      <c r="D1533" s="74" t="str">
        <f>IF($B1533&lt;&gt;"",_xlfn.IFNA(VLOOKUP($B1533,'Node Details'!$B:$U,D$1,0),"Check"),"")</f>
        <v>CM3</v>
      </c>
      <c r="E1533" s="74" t="str">
        <f>IF($B1533&lt;&gt;"",_xlfn.IFNA(VLOOKUP($B1533,'Node Details'!$B:$U,E$1,0),"Check"),"")</f>
        <v>Airtel</v>
      </c>
      <c r="F1533" s="76">
        <v>46149</v>
      </c>
      <c r="G1533" s="74"/>
      <c r="H1533" s="10" t="s">
        <v>1250</v>
      </c>
      <c r="I1533" s="9">
        <v>2</v>
      </c>
      <c r="J1533" s="9">
        <v>150</v>
      </c>
      <c r="K1533" s="77">
        <f t="shared" si="111"/>
        <v>300</v>
      </c>
      <c r="L1533" s="76">
        <v>46142</v>
      </c>
      <c r="N1533" s="83"/>
      <c r="O1533" s="84"/>
      <c r="P1533" s="81"/>
      <c r="Q1533" s="81"/>
      <c r="R1533" s="81"/>
      <c r="S1533" s="81"/>
      <c r="T1533" s="85"/>
      <c r="U1533" s="81"/>
      <c r="V1533" s="81"/>
      <c r="W1533" s="123">
        <f t="shared" si="110"/>
        <v>0</v>
      </c>
      <c r="X1533" s="123" t="s">
        <v>84</v>
      </c>
      <c r="Y1533" s="114" t="s">
        <v>1128</v>
      </c>
    </row>
    <row r="1534" spans="1:25" s="24" customFormat="1" ht="11.1" customHeight="1">
      <c r="A1534" s="74">
        <f t="shared" si="109"/>
        <v>1532</v>
      </c>
      <c r="B1534" s="75" t="s">
        <v>760</v>
      </c>
      <c r="C1534" s="74" t="str">
        <f>IF($B1534&lt;&gt;"",_xlfn.IFNA(VLOOKUP($B1534,'Node Details'!$B:$U,C$1,0),"Check"),"")</f>
        <v>0000CM318-CM3180105</v>
      </c>
      <c r="D1534" s="74" t="str">
        <f>IF($B1534&lt;&gt;"",_xlfn.IFNA(VLOOKUP($B1534,'Node Details'!$B:$U,D$1,0),"Check"),"")</f>
        <v>CM3</v>
      </c>
      <c r="E1534" s="74" t="str">
        <f>IF($B1534&lt;&gt;"",_xlfn.IFNA(VLOOKUP($B1534,'Node Details'!$B:$U,E$1,0),"Check"),"")</f>
        <v>Airtel</v>
      </c>
      <c r="F1534" s="76">
        <v>46149</v>
      </c>
      <c r="G1534" s="74"/>
      <c r="H1534" s="10" t="s">
        <v>1250</v>
      </c>
      <c r="I1534" s="9">
        <v>2</v>
      </c>
      <c r="J1534" s="9">
        <v>150</v>
      </c>
      <c r="K1534" s="77">
        <f t="shared" si="111"/>
        <v>300</v>
      </c>
      <c r="L1534" s="76">
        <v>46142</v>
      </c>
      <c r="N1534" s="83"/>
      <c r="O1534" s="84"/>
      <c r="P1534" s="81"/>
      <c r="Q1534" s="81"/>
      <c r="R1534" s="81"/>
      <c r="S1534" s="81"/>
      <c r="T1534" s="85"/>
      <c r="U1534" s="81"/>
      <c r="V1534" s="81"/>
      <c r="W1534" s="123">
        <f t="shared" si="110"/>
        <v>0</v>
      </c>
      <c r="X1534" s="123" t="s">
        <v>84</v>
      </c>
      <c r="Y1534" s="114" t="s">
        <v>1128</v>
      </c>
    </row>
    <row r="1535" spans="1:25" s="24" customFormat="1" ht="11.1" customHeight="1">
      <c r="A1535" s="74">
        <f t="shared" si="109"/>
        <v>1533</v>
      </c>
      <c r="B1535" s="75" t="s">
        <v>762</v>
      </c>
      <c r="C1535" s="74" t="str">
        <f>IF($B1535&lt;&gt;"",_xlfn.IFNA(VLOOKUP($B1535,'Node Details'!$B:$U,C$1,0),"Check"),"")</f>
        <v>000000CM3-0000CM325</v>
      </c>
      <c r="D1535" s="74" t="str">
        <f>IF($B1535&lt;&gt;"",_xlfn.IFNA(VLOOKUP($B1535,'Node Details'!$B:$U,D$1,0),"Check"),"")</f>
        <v>CM3</v>
      </c>
      <c r="E1535" s="74" t="str">
        <f>IF($B1535&lt;&gt;"",_xlfn.IFNA(VLOOKUP($B1535,'Node Details'!$B:$U,E$1,0),"Check"),"")</f>
        <v>Airtel</v>
      </c>
      <c r="F1535" s="76">
        <v>46149</v>
      </c>
      <c r="G1535" s="74"/>
      <c r="H1535" s="10" t="s">
        <v>1250</v>
      </c>
      <c r="I1535" s="9">
        <v>2</v>
      </c>
      <c r="J1535" s="9">
        <v>150</v>
      </c>
      <c r="K1535" s="77">
        <f t="shared" si="111"/>
        <v>300</v>
      </c>
      <c r="L1535" s="76">
        <v>46142</v>
      </c>
      <c r="N1535" s="83"/>
      <c r="O1535" s="84"/>
      <c r="P1535" s="81"/>
      <c r="Q1535" s="81"/>
      <c r="R1535" s="81"/>
      <c r="S1535" s="81"/>
      <c r="T1535" s="85"/>
      <c r="U1535" s="81"/>
      <c r="V1535" s="81"/>
      <c r="W1535" s="123">
        <f t="shared" si="110"/>
        <v>0</v>
      </c>
      <c r="X1535" s="123" t="s">
        <v>84</v>
      </c>
      <c r="Y1535" s="114" t="s">
        <v>1128</v>
      </c>
    </row>
    <row r="1536" spans="1:25" s="24" customFormat="1" ht="11.1" customHeight="1">
      <c r="A1536" s="74">
        <f t="shared" si="109"/>
        <v>1534</v>
      </c>
      <c r="B1536" s="75" t="s">
        <v>1179</v>
      </c>
      <c r="C1536" s="74" t="str">
        <f>IF($B1536&lt;&gt;"",_xlfn.IFNA(VLOOKUP($B1536,'Node Details'!$B:$U,C$1,0),"Check"),"")</f>
        <v>0000CM319-CM3190104</v>
      </c>
      <c r="D1536" s="74" t="str">
        <f>IF($B1536&lt;&gt;"",_xlfn.IFNA(VLOOKUP($B1536,'Node Details'!$B:$U,D$1,0),"Check"),"")</f>
        <v>CM3</v>
      </c>
      <c r="E1536" s="74" t="str">
        <f>IF($B1536&lt;&gt;"",_xlfn.IFNA(VLOOKUP($B1536,'Node Details'!$B:$U,E$1,0),"Check"),"")</f>
        <v>Airtel</v>
      </c>
      <c r="F1536" s="76">
        <v>46149</v>
      </c>
      <c r="G1536" s="74"/>
      <c r="H1536" s="10" t="s">
        <v>1250</v>
      </c>
      <c r="I1536" s="9">
        <v>2</v>
      </c>
      <c r="J1536" s="9">
        <v>150</v>
      </c>
      <c r="K1536" s="77">
        <f t="shared" si="111"/>
        <v>300</v>
      </c>
      <c r="L1536" s="76">
        <v>46142</v>
      </c>
      <c r="N1536" s="83"/>
      <c r="O1536" s="84"/>
      <c r="P1536" s="81"/>
      <c r="Q1536" s="81"/>
      <c r="R1536" s="81"/>
      <c r="S1536" s="81"/>
      <c r="T1536" s="85"/>
      <c r="U1536" s="81"/>
      <c r="V1536" s="81"/>
      <c r="W1536" s="123">
        <f t="shared" si="110"/>
        <v>0</v>
      </c>
      <c r="X1536" s="123" t="s">
        <v>84</v>
      </c>
      <c r="Y1536" s="114" t="s">
        <v>1128</v>
      </c>
    </row>
    <row r="1537" spans="1:25" s="24" customFormat="1" ht="11.1" customHeight="1">
      <c r="A1537" s="74">
        <f t="shared" si="109"/>
        <v>1535</v>
      </c>
      <c r="B1537" s="75" t="s">
        <v>1180</v>
      </c>
      <c r="C1537" s="74" t="str">
        <f>IF($B1537&lt;&gt;"",_xlfn.IFNA(VLOOKUP($B1537,'Node Details'!$B:$U,C$1,0),"Check"),"")</f>
        <v>0000CM319-CM3190104</v>
      </c>
      <c r="D1537" s="74" t="str">
        <f>IF($B1537&lt;&gt;"",_xlfn.IFNA(VLOOKUP($B1537,'Node Details'!$B:$U,D$1,0),"Check"),"")</f>
        <v>CM3</v>
      </c>
      <c r="E1537" s="74" t="str">
        <f>IF($B1537&lt;&gt;"",_xlfn.IFNA(VLOOKUP($B1537,'Node Details'!$B:$U,E$1,0),"Check"),"")</f>
        <v>Airtel</v>
      </c>
      <c r="F1537" s="76">
        <v>46149</v>
      </c>
      <c r="G1537" s="74"/>
      <c r="H1537" s="10" t="s">
        <v>1250</v>
      </c>
      <c r="I1537" s="9">
        <v>2</v>
      </c>
      <c r="J1537" s="9">
        <v>150</v>
      </c>
      <c r="K1537" s="77">
        <f t="shared" si="111"/>
        <v>300</v>
      </c>
      <c r="L1537" s="76">
        <v>46142</v>
      </c>
      <c r="N1537" s="83"/>
      <c r="O1537" s="84"/>
      <c r="P1537" s="81"/>
      <c r="Q1537" s="81"/>
      <c r="R1537" s="81"/>
      <c r="S1537" s="81"/>
      <c r="T1537" s="85"/>
      <c r="U1537" s="81"/>
      <c r="V1537" s="81"/>
      <c r="W1537" s="123">
        <f t="shared" si="110"/>
        <v>0</v>
      </c>
      <c r="X1537" s="123" t="s">
        <v>84</v>
      </c>
      <c r="Y1537" s="114" t="s">
        <v>1128</v>
      </c>
    </row>
    <row r="1538" spans="1:25" s="24" customFormat="1" ht="11.1" customHeight="1">
      <c r="A1538" s="74">
        <f t="shared" si="109"/>
        <v>1536</v>
      </c>
      <c r="B1538" s="75" t="s">
        <v>1181</v>
      </c>
      <c r="C1538" s="74" t="str">
        <f>IF($B1538&lt;&gt;"",_xlfn.IFNA(VLOOKUP($B1538,'Node Details'!$B:$U,C$1,0),"Check"),"")</f>
        <v>0000CM319-CM3190104</v>
      </c>
      <c r="D1538" s="74" t="str">
        <f>IF($B1538&lt;&gt;"",_xlfn.IFNA(VLOOKUP($B1538,'Node Details'!$B:$U,D$1,0),"Check"),"")</f>
        <v>CM3</v>
      </c>
      <c r="E1538" s="74" t="str">
        <f>IF($B1538&lt;&gt;"",_xlfn.IFNA(VLOOKUP($B1538,'Node Details'!$B:$U,E$1,0),"Check"),"")</f>
        <v>Airtel</v>
      </c>
      <c r="F1538" s="76">
        <v>46149</v>
      </c>
      <c r="G1538" s="74"/>
      <c r="H1538" s="10" t="s">
        <v>1250</v>
      </c>
      <c r="I1538" s="9">
        <v>2</v>
      </c>
      <c r="J1538" s="9">
        <v>150</v>
      </c>
      <c r="K1538" s="77">
        <f t="shared" si="111"/>
        <v>300</v>
      </c>
      <c r="L1538" s="76">
        <v>46142</v>
      </c>
      <c r="N1538" s="83"/>
      <c r="O1538" s="84"/>
      <c r="P1538" s="81"/>
      <c r="Q1538" s="81"/>
      <c r="R1538" s="81"/>
      <c r="S1538" s="81"/>
      <c r="T1538" s="85"/>
      <c r="U1538" s="81"/>
      <c r="V1538" s="81"/>
      <c r="W1538" s="123">
        <f t="shared" si="110"/>
        <v>0</v>
      </c>
      <c r="X1538" s="123" t="s">
        <v>84</v>
      </c>
      <c r="Y1538" s="114" t="s">
        <v>1128</v>
      </c>
    </row>
    <row r="1539" spans="1:25" s="24" customFormat="1" ht="11.1" customHeight="1">
      <c r="A1539" s="74">
        <f t="shared" si="109"/>
        <v>1537</v>
      </c>
      <c r="B1539" s="75" t="s">
        <v>763</v>
      </c>
      <c r="C1539" s="74" t="str">
        <f>IF($B1539&lt;&gt;"",_xlfn.IFNA(VLOOKUP($B1539,'Node Details'!$B:$U,C$1,0),"Check"),"")</f>
        <v>0000CM319-CM3190104</v>
      </c>
      <c r="D1539" s="74" t="str">
        <f>IF($B1539&lt;&gt;"",_xlfn.IFNA(VLOOKUP($B1539,'Node Details'!$B:$U,D$1,0),"Check"),"")</f>
        <v>CM3</v>
      </c>
      <c r="E1539" s="74" t="str">
        <f>IF($B1539&lt;&gt;"",_xlfn.IFNA(VLOOKUP($B1539,'Node Details'!$B:$U,E$1,0),"Check"),"")</f>
        <v>Airtel</v>
      </c>
      <c r="F1539" s="76">
        <v>46149</v>
      </c>
      <c r="G1539" s="74"/>
      <c r="H1539" s="10" t="s">
        <v>1250</v>
      </c>
      <c r="I1539" s="9">
        <v>2</v>
      </c>
      <c r="J1539" s="9">
        <v>150</v>
      </c>
      <c r="K1539" s="77">
        <f t="shared" si="111"/>
        <v>300</v>
      </c>
      <c r="L1539" s="76">
        <v>46142</v>
      </c>
      <c r="N1539" s="83"/>
      <c r="O1539" s="84"/>
      <c r="P1539" s="81"/>
      <c r="Q1539" s="81"/>
      <c r="R1539" s="81"/>
      <c r="S1539" s="81"/>
      <c r="T1539" s="85"/>
      <c r="U1539" s="81"/>
      <c r="V1539" s="81"/>
      <c r="W1539" s="123">
        <f t="shared" si="110"/>
        <v>0</v>
      </c>
      <c r="X1539" s="123" t="s">
        <v>84</v>
      </c>
      <c r="Y1539" s="114" t="s">
        <v>1128</v>
      </c>
    </row>
    <row r="1540" spans="1:25" s="24" customFormat="1" ht="11.1" customHeight="1">
      <c r="A1540" s="74">
        <f t="shared" ref="A1540:A1603" si="112">A1539+1</f>
        <v>1538</v>
      </c>
      <c r="B1540" s="75" t="s">
        <v>1182</v>
      </c>
      <c r="C1540" s="74" t="str">
        <f>IF($B1540&lt;&gt;"",_xlfn.IFNA(VLOOKUP($B1540,'Node Details'!$B:$U,C$1,0),"Check"),"")</f>
        <v>0000CM319-CM3190108</v>
      </c>
      <c r="D1540" s="74" t="str">
        <f>IF($B1540&lt;&gt;"",_xlfn.IFNA(VLOOKUP($B1540,'Node Details'!$B:$U,D$1,0),"Check"),"")</f>
        <v>CM3</v>
      </c>
      <c r="E1540" s="74" t="str">
        <f>IF($B1540&lt;&gt;"",_xlfn.IFNA(VLOOKUP($B1540,'Node Details'!$B:$U,E$1,0),"Check"),"")</f>
        <v>Airtel</v>
      </c>
      <c r="F1540" s="76">
        <v>46149</v>
      </c>
      <c r="G1540" s="74"/>
      <c r="H1540" s="10" t="s">
        <v>1250</v>
      </c>
      <c r="I1540" s="9">
        <v>2</v>
      </c>
      <c r="J1540" s="9">
        <v>150</v>
      </c>
      <c r="K1540" s="77">
        <f t="shared" si="111"/>
        <v>300</v>
      </c>
      <c r="L1540" s="76">
        <v>46142</v>
      </c>
      <c r="N1540" s="83"/>
      <c r="O1540" s="84"/>
      <c r="P1540" s="81"/>
      <c r="Q1540" s="81"/>
      <c r="R1540" s="81"/>
      <c r="S1540" s="81"/>
      <c r="T1540" s="85"/>
      <c r="U1540" s="81"/>
      <c r="V1540" s="81"/>
      <c r="W1540" s="123">
        <f t="shared" si="110"/>
        <v>0</v>
      </c>
      <c r="X1540" s="123" t="s">
        <v>84</v>
      </c>
      <c r="Y1540" s="114" t="s">
        <v>1128</v>
      </c>
    </row>
    <row r="1541" spans="1:25" s="24" customFormat="1" ht="11.1" customHeight="1">
      <c r="A1541" s="74">
        <f t="shared" si="112"/>
        <v>1539</v>
      </c>
      <c r="B1541" s="75" t="s">
        <v>1183</v>
      </c>
      <c r="C1541" s="74" t="str">
        <f>IF($B1541&lt;&gt;"",_xlfn.IFNA(VLOOKUP($B1541,'Node Details'!$B:$U,C$1,0),"Check"),"")</f>
        <v>0000CM319-CM3190108</v>
      </c>
      <c r="D1541" s="74" t="str">
        <f>IF($B1541&lt;&gt;"",_xlfn.IFNA(VLOOKUP($B1541,'Node Details'!$B:$U,D$1,0),"Check"),"")</f>
        <v>CM3</v>
      </c>
      <c r="E1541" s="74" t="str">
        <f>IF($B1541&lt;&gt;"",_xlfn.IFNA(VLOOKUP($B1541,'Node Details'!$B:$U,E$1,0),"Check"),"")</f>
        <v>Airtel</v>
      </c>
      <c r="F1541" s="76">
        <v>46149</v>
      </c>
      <c r="G1541" s="74"/>
      <c r="H1541" s="10" t="s">
        <v>1250</v>
      </c>
      <c r="I1541" s="9">
        <v>2</v>
      </c>
      <c r="J1541" s="9">
        <v>150</v>
      </c>
      <c r="K1541" s="77">
        <f t="shared" si="111"/>
        <v>300</v>
      </c>
      <c r="L1541" s="76">
        <v>46142</v>
      </c>
      <c r="N1541" s="83"/>
      <c r="O1541" s="84"/>
      <c r="P1541" s="81"/>
      <c r="Q1541" s="81"/>
      <c r="R1541" s="81"/>
      <c r="S1541" s="81"/>
      <c r="T1541" s="85"/>
      <c r="U1541" s="81"/>
      <c r="V1541" s="81"/>
      <c r="W1541" s="123">
        <f t="shared" si="110"/>
        <v>0</v>
      </c>
      <c r="X1541" s="123" t="s">
        <v>84</v>
      </c>
      <c r="Y1541" s="114" t="s">
        <v>1128</v>
      </c>
    </row>
    <row r="1542" spans="1:25" s="24" customFormat="1" ht="11.1" customHeight="1">
      <c r="A1542" s="74">
        <f t="shared" si="112"/>
        <v>1540</v>
      </c>
      <c r="B1542" s="75" t="s">
        <v>1184</v>
      </c>
      <c r="C1542" s="74" t="str">
        <f>IF($B1542&lt;&gt;"",_xlfn.IFNA(VLOOKUP($B1542,'Node Details'!$B:$U,C$1,0),"Check"),"")</f>
        <v>0000CM319-CM3190108</v>
      </c>
      <c r="D1542" s="74" t="str">
        <f>IF($B1542&lt;&gt;"",_xlfn.IFNA(VLOOKUP($B1542,'Node Details'!$B:$U,D$1,0),"Check"),"")</f>
        <v>CM3</v>
      </c>
      <c r="E1542" s="74" t="str">
        <f>IF($B1542&lt;&gt;"",_xlfn.IFNA(VLOOKUP($B1542,'Node Details'!$B:$U,E$1,0),"Check"),"")</f>
        <v>Airtel</v>
      </c>
      <c r="F1542" s="76">
        <v>46149</v>
      </c>
      <c r="G1542" s="74"/>
      <c r="H1542" s="10" t="s">
        <v>1250</v>
      </c>
      <c r="I1542" s="9">
        <v>2</v>
      </c>
      <c r="J1542" s="9">
        <v>150</v>
      </c>
      <c r="K1542" s="77">
        <f t="shared" si="111"/>
        <v>300</v>
      </c>
      <c r="L1542" s="76">
        <v>46142</v>
      </c>
      <c r="N1542" s="83"/>
      <c r="O1542" s="84"/>
      <c r="P1542" s="81"/>
      <c r="Q1542" s="81"/>
      <c r="R1542" s="81"/>
      <c r="S1542" s="81"/>
      <c r="T1542" s="85"/>
      <c r="U1542" s="81"/>
      <c r="V1542" s="81"/>
      <c r="W1542" s="123">
        <f t="shared" si="110"/>
        <v>0</v>
      </c>
      <c r="X1542" s="123" t="s">
        <v>84</v>
      </c>
      <c r="Y1542" s="114" t="s">
        <v>1128</v>
      </c>
    </row>
    <row r="1543" spans="1:25" s="24" customFormat="1" ht="11.1" customHeight="1">
      <c r="A1543" s="74">
        <f t="shared" si="112"/>
        <v>1541</v>
      </c>
      <c r="B1543" s="75" t="s">
        <v>765</v>
      </c>
      <c r="C1543" s="74" t="str">
        <f>IF($B1543&lt;&gt;"",_xlfn.IFNA(VLOOKUP($B1543,'Node Details'!$B:$U,C$1,0),"Check"),"")</f>
        <v>0000CM319-CM3190108</v>
      </c>
      <c r="D1543" s="74" t="str">
        <f>IF($B1543&lt;&gt;"",_xlfn.IFNA(VLOOKUP($B1543,'Node Details'!$B:$U,D$1,0),"Check"),"")</f>
        <v>CM3</v>
      </c>
      <c r="E1543" s="74" t="str">
        <f>IF($B1543&lt;&gt;"",_xlfn.IFNA(VLOOKUP($B1543,'Node Details'!$B:$U,E$1,0),"Check"),"")</f>
        <v>Airtel</v>
      </c>
      <c r="F1543" s="76">
        <v>46149</v>
      </c>
      <c r="G1543" s="74"/>
      <c r="H1543" s="10" t="s">
        <v>1250</v>
      </c>
      <c r="I1543" s="9">
        <v>2</v>
      </c>
      <c r="J1543" s="9">
        <v>150</v>
      </c>
      <c r="K1543" s="77">
        <f t="shared" si="111"/>
        <v>300</v>
      </c>
      <c r="L1543" s="76">
        <v>46142</v>
      </c>
      <c r="N1543" s="83"/>
      <c r="O1543" s="84"/>
      <c r="P1543" s="81"/>
      <c r="Q1543" s="81"/>
      <c r="R1543" s="81"/>
      <c r="S1543" s="81"/>
      <c r="T1543" s="85"/>
      <c r="U1543" s="81"/>
      <c r="V1543" s="81"/>
      <c r="W1543" s="123">
        <f t="shared" si="110"/>
        <v>0</v>
      </c>
      <c r="X1543" s="123" t="s">
        <v>84</v>
      </c>
      <c r="Y1543" s="114" t="s">
        <v>1128</v>
      </c>
    </row>
    <row r="1544" spans="1:25" s="24" customFormat="1" ht="11.1" customHeight="1">
      <c r="A1544" s="74">
        <f t="shared" si="112"/>
        <v>1542</v>
      </c>
      <c r="B1544" s="75" t="s">
        <v>767</v>
      </c>
      <c r="C1544" s="74" t="str">
        <f>IF($B1544&lt;&gt;"",_xlfn.IFNA(VLOOKUP($B1544,'Node Details'!$B:$U,C$1,0),"Check"),"")</f>
        <v>000000CM3-0000CM325</v>
      </c>
      <c r="D1544" s="74" t="str">
        <f>IF($B1544&lt;&gt;"",_xlfn.IFNA(VLOOKUP($B1544,'Node Details'!$B:$U,D$1,0),"Check"),"")</f>
        <v>CM3</v>
      </c>
      <c r="E1544" s="74" t="str">
        <f>IF($B1544&lt;&gt;"",_xlfn.IFNA(VLOOKUP($B1544,'Node Details'!$B:$U,E$1,0),"Check"),"")</f>
        <v>Airtel</v>
      </c>
      <c r="F1544" s="76">
        <v>46149</v>
      </c>
      <c r="G1544" s="74"/>
      <c r="H1544" s="10" t="s">
        <v>1250</v>
      </c>
      <c r="I1544" s="9">
        <v>2</v>
      </c>
      <c r="J1544" s="9">
        <v>150</v>
      </c>
      <c r="K1544" s="77">
        <f t="shared" si="111"/>
        <v>300</v>
      </c>
      <c r="L1544" s="76">
        <v>46142</v>
      </c>
      <c r="N1544" s="83"/>
      <c r="O1544" s="84"/>
      <c r="P1544" s="81"/>
      <c r="Q1544" s="81"/>
      <c r="R1544" s="81"/>
      <c r="S1544" s="81"/>
      <c r="T1544" s="85"/>
      <c r="U1544" s="81"/>
      <c r="V1544" s="81"/>
      <c r="W1544" s="123">
        <f t="shared" si="110"/>
        <v>0</v>
      </c>
      <c r="X1544" s="123" t="s">
        <v>84</v>
      </c>
      <c r="Y1544" s="114" t="s">
        <v>1128</v>
      </c>
    </row>
    <row r="1545" spans="1:25" s="24" customFormat="1" ht="11.1" customHeight="1">
      <c r="A1545" s="74">
        <f t="shared" si="112"/>
        <v>1543</v>
      </c>
      <c r="B1545" s="75" t="s">
        <v>768</v>
      </c>
      <c r="C1545" s="74" t="str">
        <f>IF($B1545&lt;&gt;"",_xlfn.IFNA(VLOOKUP($B1545,'Node Details'!$B:$U,C$1,0),"Check"),"")</f>
        <v>0000CM320-CM3200101</v>
      </c>
      <c r="D1545" s="74" t="str">
        <f>IF($B1545&lt;&gt;"",_xlfn.IFNA(VLOOKUP($B1545,'Node Details'!$B:$U,D$1,0),"Check"),"")</f>
        <v>CM3</v>
      </c>
      <c r="E1545" s="74" t="str">
        <f>IF($B1545&lt;&gt;"",_xlfn.IFNA(VLOOKUP($B1545,'Node Details'!$B:$U,E$1,0),"Check"),"")</f>
        <v>Airtel</v>
      </c>
      <c r="F1545" s="76">
        <v>46149</v>
      </c>
      <c r="G1545" s="74"/>
      <c r="H1545" s="10" t="s">
        <v>1250</v>
      </c>
      <c r="I1545" s="9">
        <v>2</v>
      </c>
      <c r="J1545" s="9">
        <v>150</v>
      </c>
      <c r="K1545" s="77">
        <f t="shared" si="111"/>
        <v>300</v>
      </c>
      <c r="L1545" s="76">
        <v>46142</v>
      </c>
      <c r="N1545" s="83"/>
      <c r="O1545" s="84"/>
      <c r="P1545" s="81"/>
      <c r="Q1545" s="81"/>
      <c r="R1545" s="81"/>
      <c r="S1545" s="81"/>
      <c r="T1545" s="85"/>
      <c r="U1545" s="81"/>
      <c r="V1545" s="81"/>
      <c r="W1545" s="123">
        <f t="shared" si="110"/>
        <v>0</v>
      </c>
      <c r="X1545" s="123" t="s">
        <v>84</v>
      </c>
      <c r="Y1545" s="114" t="s">
        <v>1128</v>
      </c>
    </row>
    <row r="1546" spans="1:25" s="24" customFormat="1" ht="11.1" customHeight="1">
      <c r="A1546" s="74">
        <f t="shared" si="112"/>
        <v>1544</v>
      </c>
      <c r="B1546" s="75" t="s">
        <v>1185</v>
      </c>
      <c r="C1546" s="74" t="str">
        <f>IF($B1546&lt;&gt;"",_xlfn.IFNA(VLOOKUP($B1546,'Node Details'!$B:$U,C$1,0),"Check"),"")</f>
        <v>0000CM320-CM3200104</v>
      </c>
      <c r="D1546" s="74" t="str">
        <f>IF($B1546&lt;&gt;"",_xlfn.IFNA(VLOOKUP($B1546,'Node Details'!$B:$U,D$1,0),"Check"),"")</f>
        <v>CM3</v>
      </c>
      <c r="E1546" s="74" t="str">
        <f>IF($B1546&lt;&gt;"",_xlfn.IFNA(VLOOKUP($B1546,'Node Details'!$B:$U,E$1,0),"Check"),"")</f>
        <v>Airtel</v>
      </c>
      <c r="F1546" s="76">
        <v>46149</v>
      </c>
      <c r="G1546" s="74"/>
      <c r="H1546" s="10" t="s">
        <v>1250</v>
      </c>
      <c r="I1546" s="9">
        <v>2</v>
      </c>
      <c r="J1546" s="9">
        <v>150</v>
      </c>
      <c r="K1546" s="77">
        <f t="shared" si="111"/>
        <v>300</v>
      </c>
      <c r="L1546" s="76">
        <v>46142</v>
      </c>
      <c r="N1546" s="83"/>
      <c r="O1546" s="84"/>
      <c r="P1546" s="81"/>
      <c r="Q1546" s="81"/>
      <c r="R1546" s="81"/>
      <c r="S1546" s="81"/>
      <c r="T1546" s="85"/>
      <c r="U1546" s="81"/>
      <c r="V1546" s="81"/>
      <c r="W1546" s="123">
        <f t="shared" si="110"/>
        <v>0</v>
      </c>
      <c r="X1546" s="123" t="s">
        <v>84</v>
      </c>
      <c r="Y1546" s="114" t="s">
        <v>1128</v>
      </c>
    </row>
    <row r="1547" spans="1:25" s="24" customFormat="1" ht="11.1" customHeight="1">
      <c r="A1547" s="74">
        <f t="shared" si="112"/>
        <v>1545</v>
      </c>
      <c r="B1547" s="75" t="s">
        <v>1186</v>
      </c>
      <c r="C1547" s="74" t="str">
        <f>IF($B1547&lt;&gt;"",_xlfn.IFNA(VLOOKUP($B1547,'Node Details'!$B:$U,C$1,0),"Check"),"")</f>
        <v>0000CM320-CM3200104</v>
      </c>
      <c r="D1547" s="74" t="str">
        <f>IF($B1547&lt;&gt;"",_xlfn.IFNA(VLOOKUP($B1547,'Node Details'!$B:$U,D$1,0),"Check"),"")</f>
        <v>CM3</v>
      </c>
      <c r="E1547" s="74" t="str">
        <f>IF($B1547&lt;&gt;"",_xlfn.IFNA(VLOOKUP($B1547,'Node Details'!$B:$U,E$1,0),"Check"),"")</f>
        <v>Airtel</v>
      </c>
      <c r="F1547" s="76">
        <v>46149</v>
      </c>
      <c r="G1547" s="74"/>
      <c r="H1547" s="10" t="s">
        <v>1250</v>
      </c>
      <c r="I1547" s="9">
        <v>2</v>
      </c>
      <c r="J1547" s="9">
        <v>150</v>
      </c>
      <c r="K1547" s="77">
        <f t="shared" si="111"/>
        <v>300</v>
      </c>
      <c r="L1547" s="76">
        <v>46142</v>
      </c>
      <c r="N1547" s="83"/>
      <c r="O1547" s="84"/>
      <c r="P1547" s="81"/>
      <c r="Q1547" s="81"/>
      <c r="R1547" s="81"/>
      <c r="S1547" s="81"/>
      <c r="T1547" s="85"/>
      <c r="U1547" s="81"/>
      <c r="V1547" s="81"/>
      <c r="W1547" s="123">
        <f t="shared" si="110"/>
        <v>0</v>
      </c>
      <c r="X1547" s="123" t="s">
        <v>84</v>
      </c>
      <c r="Y1547" s="114" t="s">
        <v>1128</v>
      </c>
    </row>
    <row r="1548" spans="1:25" s="24" customFormat="1" ht="11.1" customHeight="1">
      <c r="A1548" s="74">
        <f t="shared" si="112"/>
        <v>1546</v>
      </c>
      <c r="B1548" s="75" t="s">
        <v>770</v>
      </c>
      <c r="C1548" s="74" t="str">
        <f>IF($B1548&lt;&gt;"",_xlfn.IFNA(VLOOKUP($B1548,'Node Details'!$B:$U,C$1,0),"Check"),"")</f>
        <v>0000CM320-CM3200104</v>
      </c>
      <c r="D1548" s="74" t="str">
        <f>IF($B1548&lt;&gt;"",_xlfn.IFNA(VLOOKUP($B1548,'Node Details'!$B:$U,D$1,0),"Check"),"")</f>
        <v>CM3</v>
      </c>
      <c r="E1548" s="74" t="str">
        <f>IF($B1548&lt;&gt;"",_xlfn.IFNA(VLOOKUP($B1548,'Node Details'!$B:$U,E$1,0),"Check"),"")</f>
        <v>Airtel</v>
      </c>
      <c r="F1548" s="76">
        <v>46149</v>
      </c>
      <c r="G1548" s="74"/>
      <c r="H1548" s="10" t="s">
        <v>1250</v>
      </c>
      <c r="I1548" s="9">
        <v>2</v>
      </c>
      <c r="J1548" s="9">
        <v>150</v>
      </c>
      <c r="K1548" s="77">
        <f t="shared" si="111"/>
        <v>300</v>
      </c>
      <c r="L1548" s="76">
        <v>46142</v>
      </c>
      <c r="N1548" s="83"/>
      <c r="O1548" s="84"/>
      <c r="P1548" s="81"/>
      <c r="Q1548" s="81"/>
      <c r="R1548" s="81"/>
      <c r="S1548" s="81"/>
      <c r="T1548" s="85"/>
      <c r="U1548" s="81"/>
      <c r="V1548" s="81"/>
      <c r="W1548" s="123">
        <f t="shared" si="110"/>
        <v>0</v>
      </c>
      <c r="X1548" s="123" t="s">
        <v>84</v>
      </c>
      <c r="Y1548" s="114" t="s">
        <v>1128</v>
      </c>
    </row>
    <row r="1549" spans="1:25" s="24" customFormat="1" ht="11.1" customHeight="1">
      <c r="A1549" s="74">
        <f t="shared" si="112"/>
        <v>1547</v>
      </c>
      <c r="B1549" s="75" t="s">
        <v>772</v>
      </c>
      <c r="C1549" s="74" t="str">
        <f>IF($B1549&lt;&gt;"",_xlfn.IFNA(VLOOKUP($B1549,'Node Details'!$B:$U,C$1,0),"Check"),"")</f>
        <v>000000CM3-0000CM325</v>
      </c>
      <c r="D1549" s="74" t="str">
        <f>IF($B1549&lt;&gt;"",_xlfn.IFNA(VLOOKUP($B1549,'Node Details'!$B:$U,D$1,0),"Check"),"")</f>
        <v>CM3</v>
      </c>
      <c r="E1549" s="74" t="str">
        <f>IF($B1549&lt;&gt;"",_xlfn.IFNA(VLOOKUP($B1549,'Node Details'!$B:$U,E$1,0),"Check"),"")</f>
        <v>Airtel</v>
      </c>
      <c r="F1549" s="76">
        <v>46149</v>
      </c>
      <c r="G1549" s="74"/>
      <c r="H1549" s="10" t="s">
        <v>1250</v>
      </c>
      <c r="I1549" s="9">
        <v>2</v>
      </c>
      <c r="J1549" s="9">
        <v>150</v>
      </c>
      <c r="K1549" s="77">
        <f t="shared" si="111"/>
        <v>300</v>
      </c>
      <c r="L1549" s="76">
        <v>46142</v>
      </c>
      <c r="N1549" s="83"/>
      <c r="O1549" s="84"/>
      <c r="P1549" s="81"/>
      <c r="Q1549" s="81"/>
      <c r="R1549" s="81"/>
      <c r="S1549" s="81"/>
      <c r="T1549" s="85"/>
      <c r="U1549" s="81"/>
      <c r="V1549" s="81"/>
      <c r="W1549" s="123">
        <f t="shared" si="110"/>
        <v>0</v>
      </c>
      <c r="X1549" s="123" t="s">
        <v>84</v>
      </c>
      <c r="Y1549" s="114" t="s">
        <v>1128</v>
      </c>
    </row>
    <row r="1550" spans="1:25" s="24" customFormat="1" ht="11.1" customHeight="1">
      <c r="A1550" s="74">
        <f t="shared" si="112"/>
        <v>1548</v>
      </c>
      <c r="B1550" s="75" t="s">
        <v>1187</v>
      </c>
      <c r="C1550" s="74" t="str">
        <f>IF($B1550&lt;&gt;"",_xlfn.IFNA(VLOOKUP($B1550,'Node Details'!$B:$U,C$1,0),"Check"),"")</f>
        <v>0000CM321-CM3210104</v>
      </c>
      <c r="D1550" s="74" t="str">
        <f>IF($B1550&lt;&gt;"",_xlfn.IFNA(VLOOKUP($B1550,'Node Details'!$B:$U,D$1,0),"Check"),"")</f>
        <v>CM3</v>
      </c>
      <c r="E1550" s="74" t="str">
        <f>IF($B1550&lt;&gt;"",_xlfn.IFNA(VLOOKUP($B1550,'Node Details'!$B:$U,E$1,0),"Check"),"")</f>
        <v>Airtel</v>
      </c>
      <c r="F1550" s="76">
        <v>46149</v>
      </c>
      <c r="G1550" s="74"/>
      <c r="H1550" s="10" t="s">
        <v>1250</v>
      </c>
      <c r="I1550" s="9">
        <v>2</v>
      </c>
      <c r="J1550" s="9">
        <v>150</v>
      </c>
      <c r="K1550" s="77">
        <f t="shared" si="111"/>
        <v>300</v>
      </c>
      <c r="L1550" s="76">
        <v>46142</v>
      </c>
      <c r="N1550" s="83"/>
      <c r="O1550" s="84"/>
      <c r="P1550" s="81"/>
      <c r="Q1550" s="81"/>
      <c r="R1550" s="81"/>
      <c r="S1550" s="81"/>
      <c r="T1550" s="85"/>
      <c r="U1550" s="81"/>
      <c r="V1550" s="81"/>
      <c r="W1550" s="123">
        <f t="shared" si="110"/>
        <v>0</v>
      </c>
      <c r="X1550" s="123" t="s">
        <v>84</v>
      </c>
      <c r="Y1550" s="114" t="s">
        <v>1128</v>
      </c>
    </row>
    <row r="1551" spans="1:25" s="24" customFormat="1" ht="11.1" customHeight="1">
      <c r="A1551" s="74">
        <f t="shared" si="112"/>
        <v>1549</v>
      </c>
      <c r="B1551" s="75" t="s">
        <v>1188</v>
      </c>
      <c r="C1551" s="74" t="str">
        <f>IF($B1551&lt;&gt;"",_xlfn.IFNA(VLOOKUP($B1551,'Node Details'!$B:$U,C$1,0),"Check"),"")</f>
        <v>0000CM321-CM3210104</v>
      </c>
      <c r="D1551" s="74" t="str">
        <f>IF($B1551&lt;&gt;"",_xlfn.IFNA(VLOOKUP($B1551,'Node Details'!$B:$U,D$1,0),"Check"),"")</f>
        <v>CM3</v>
      </c>
      <c r="E1551" s="74" t="str">
        <f>IF($B1551&lt;&gt;"",_xlfn.IFNA(VLOOKUP($B1551,'Node Details'!$B:$U,E$1,0),"Check"),"")</f>
        <v>Airtel</v>
      </c>
      <c r="F1551" s="76">
        <v>46149</v>
      </c>
      <c r="G1551" s="74"/>
      <c r="H1551" s="10" t="s">
        <v>1250</v>
      </c>
      <c r="I1551" s="9">
        <v>2</v>
      </c>
      <c r="J1551" s="9">
        <v>150</v>
      </c>
      <c r="K1551" s="77">
        <f t="shared" si="111"/>
        <v>300</v>
      </c>
      <c r="L1551" s="76">
        <v>46142</v>
      </c>
      <c r="N1551" s="83"/>
      <c r="O1551" s="84"/>
      <c r="P1551" s="81"/>
      <c r="Q1551" s="81"/>
      <c r="R1551" s="81"/>
      <c r="S1551" s="81"/>
      <c r="T1551" s="85"/>
      <c r="U1551" s="81"/>
      <c r="V1551" s="81"/>
      <c r="W1551" s="123">
        <f t="shared" si="110"/>
        <v>0</v>
      </c>
      <c r="X1551" s="123" t="s">
        <v>84</v>
      </c>
      <c r="Y1551" s="114" t="s">
        <v>1128</v>
      </c>
    </row>
    <row r="1552" spans="1:25" s="24" customFormat="1" ht="11.1" customHeight="1">
      <c r="A1552" s="74">
        <f t="shared" si="112"/>
        <v>1550</v>
      </c>
      <c r="B1552" s="75" t="s">
        <v>1189</v>
      </c>
      <c r="C1552" s="74" t="str">
        <f>IF($B1552&lt;&gt;"",_xlfn.IFNA(VLOOKUP($B1552,'Node Details'!$B:$U,C$1,0),"Check"),"")</f>
        <v>0000CM321-CM3210104</v>
      </c>
      <c r="D1552" s="74" t="str">
        <f>IF($B1552&lt;&gt;"",_xlfn.IFNA(VLOOKUP($B1552,'Node Details'!$B:$U,D$1,0),"Check"),"")</f>
        <v>CM3</v>
      </c>
      <c r="E1552" s="74" t="str">
        <f>IF($B1552&lt;&gt;"",_xlfn.IFNA(VLOOKUP($B1552,'Node Details'!$B:$U,E$1,0),"Check"),"")</f>
        <v>Airtel</v>
      </c>
      <c r="F1552" s="76">
        <v>46149</v>
      </c>
      <c r="G1552" s="74"/>
      <c r="H1552" s="10" t="s">
        <v>1250</v>
      </c>
      <c r="I1552" s="9">
        <v>2</v>
      </c>
      <c r="J1552" s="9">
        <v>150</v>
      </c>
      <c r="K1552" s="77">
        <f t="shared" si="111"/>
        <v>300</v>
      </c>
      <c r="L1552" s="76">
        <v>46142</v>
      </c>
      <c r="N1552" s="83"/>
      <c r="O1552" s="84"/>
      <c r="P1552" s="81"/>
      <c r="Q1552" s="81"/>
      <c r="R1552" s="81"/>
      <c r="S1552" s="81"/>
      <c r="T1552" s="85"/>
      <c r="U1552" s="81"/>
      <c r="V1552" s="81"/>
      <c r="W1552" s="123">
        <f t="shared" si="110"/>
        <v>0</v>
      </c>
      <c r="X1552" s="123" t="s">
        <v>84</v>
      </c>
      <c r="Y1552" s="114" t="s">
        <v>1128</v>
      </c>
    </row>
    <row r="1553" spans="1:25" s="24" customFormat="1" ht="11.1" customHeight="1">
      <c r="A1553" s="74">
        <f t="shared" si="112"/>
        <v>1551</v>
      </c>
      <c r="B1553" s="75" t="s">
        <v>773</v>
      </c>
      <c r="C1553" s="74" t="str">
        <f>IF($B1553&lt;&gt;"",_xlfn.IFNA(VLOOKUP($B1553,'Node Details'!$B:$U,C$1,0),"Check"),"")</f>
        <v>0000CM321-CM3210104</v>
      </c>
      <c r="D1553" s="74" t="str">
        <f>IF($B1553&lt;&gt;"",_xlfn.IFNA(VLOOKUP($B1553,'Node Details'!$B:$U,D$1,0),"Check"),"")</f>
        <v>CM3</v>
      </c>
      <c r="E1553" s="74" t="str">
        <f>IF($B1553&lt;&gt;"",_xlfn.IFNA(VLOOKUP($B1553,'Node Details'!$B:$U,E$1,0),"Check"),"")</f>
        <v>Airtel</v>
      </c>
      <c r="F1553" s="76">
        <v>46149</v>
      </c>
      <c r="G1553" s="74"/>
      <c r="H1553" s="10" t="s">
        <v>1250</v>
      </c>
      <c r="I1553" s="9">
        <v>2</v>
      </c>
      <c r="J1553" s="9">
        <v>150</v>
      </c>
      <c r="K1553" s="77">
        <f t="shared" si="111"/>
        <v>300</v>
      </c>
      <c r="L1553" s="76">
        <v>46142</v>
      </c>
      <c r="N1553" s="83"/>
      <c r="O1553" s="84"/>
      <c r="P1553" s="81"/>
      <c r="Q1553" s="81"/>
      <c r="R1553" s="81"/>
      <c r="S1553" s="81"/>
      <c r="T1553" s="85"/>
      <c r="U1553" s="81"/>
      <c r="V1553" s="81"/>
      <c r="W1553" s="123">
        <f t="shared" si="110"/>
        <v>0</v>
      </c>
      <c r="X1553" s="123" t="s">
        <v>84</v>
      </c>
      <c r="Y1553" s="114" t="s">
        <v>1128</v>
      </c>
    </row>
    <row r="1554" spans="1:25" s="24" customFormat="1" ht="11.1" customHeight="1">
      <c r="A1554" s="74">
        <f t="shared" si="112"/>
        <v>1552</v>
      </c>
      <c r="B1554" s="75" t="s">
        <v>775</v>
      </c>
      <c r="C1554" s="74" t="str">
        <f>IF($B1554&lt;&gt;"",_xlfn.IFNA(VLOOKUP($B1554,'Node Details'!$B:$U,C$1,0),"Check"),"")</f>
        <v>000000CM3-0000CM325</v>
      </c>
      <c r="D1554" s="74" t="str">
        <f>IF($B1554&lt;&gt;"",_xlfn.IFNA(VLOOKUP($B1554,'Node Details'!$B:$U,D$1,0),"Check"),"")</f>
        <v>CM3</v>
      </c>
      <c r="E1554" s="74" t="str">
        <f>IF($B1554&lt;&gt;"",_xlfn.IFNA(VLOOKUP($B1554,'Node Details'!$B:$U,E$1,0),"Check"),"")</f>
        <v>Airtel</v>
      </c>
      <c r="F1554" s="76">
        <v>46149</v>
      </c>
      <c r="G1554" s="74"/>
      <c r="H1554" s="10" t="s">
        <v>1250</v>
      </c>
      <c r="I1554" s="9">
        <v>2</v>
      </c>
      <c r="J1554" s="9">
        <v>150</v>
      </c>
      <c r="K1554" s="77">
        <f t="shared" si="111"/>
        <v>300</v>
      </c>
      <c r="L1554" s="76">
        <v>46142</v>
      </c>
      <c r="N1554" s="83"/>
      <c r="O1554" s="84"/>
      <c r="P1554" s="81"/>
      <c r="Q1554" s="81"/>
      <c r="R1554" s="81"/>
      <c r="S1554" s="81"/>
      <c r="T1554" s="85"/>
      <c r="U1554" s="81"/>
      <c r="V1554" s="81"/>
      <c r="W1554" s="123">
        <f t="shared" si="110"/>
        <v>0</v>
      </c>
      <c r="X1554" s="123" t="s">
        <v>84</v>
      </c>
      <c r="Y1554" s="114" t="s">
        <v>1128</v>
      </c>
    </row>
    <row r="1555" spans="1:25" s="24" customFormat="1" ht="11.1" customHeight="1">
      <c r="A1555" s="74">
        <f t="shared" si="112"/>
        <v>1553</v>
      </c>
      <c r="B1555" s="75" t="s">
        <v>1190</v>
      </c>
      <c r="C1555" s="74" t="str">
        <f>IF($B1555&lt;&gt;"",_xlfn.IFNA(VLOOKUP($B1555,'Node Details'!$B:$U,C$1,0),"Check"),"")</f>
        <v>0000CM322-CM3220108</v>
      </c>
      <c r="D1555" s="74" t="str">
        <f>IF($B1555&lt;&gt;"",_xlfn.IFNA(VLOOKUP($B1555,'Node Details'!$B:$U,D$1,0),"Check"),"")</f>
        <v>CM3</v>
      </c>
      <c r="E1555" s="74" t="str">
        <f>IF($B1555&lt;&gt;"",_xlfn.IFNA(VLOOKUP($B1555,'Node Details'!$B:$U,E$1,0),"Check"),"")</f>
        <v>Airtel</v>
      </c>
      <c r="F1555" s="76">
        <v>46149</v>
      </c>
      <c r="G1555" s="74"/>
      <c r="H1555" s="10" t="s">
        <v>1250</v>
      </c>
      <c r="I1555" s="9">
        <v>2</v>
      </c>
      <c r="J1555" s="9">
        <v>150</v>
      </c>
      <c r="K1555" s="77">
        <f t="shared" si="111"/>
        <v>300</v>
      </c>
      <c r="L1555" s="76">
        <v>46142</v>
      </c>
      <c r="N1555" s="83"/>
      <c r="O1555" s="84"/>
      <c r="P1555" s="81"/>
      <c r="Q1555" s="81"/>
      <c r="R1555" s="81"/>
      <c r="S1555" s="81"/>
      <c r="T1555" s="85"/>
      <c r="U1555" s="81"/>
      <c r="V1555" s="81"/>
      <c r="W1555" s="123">
        <f t="shared" si="110"/>
        <v>0</v>
      </c>
      <c r="X1555" s="123" t="s">
        <v>84</v>
      </c>
      <c r="Y1555" s="114" t="s">
        <v>1128</v>
      </c>
    </row>
    <row r="1556" spans="1:25" s="24" customFormat="1" ht="11.1" customHeight="1">
      <c r="A1556" s="74">
        <f t="shared" si="112"/>
        <v>1554</v>
      </c>
      <c r="B1556" s="75" t="s">
        <v>1191</v>
      </c>
      <c r="C1556" s="74" t="str">
        <f>IF($B1556&lt;&gt;"",_xlfn.IFNA(VLOOKUP($B1556,'Node Details'!$B:$U,C$1,0),"Check"),"")</f>
        <v>0000CM322-CM3220108</v>
      </c>
      <c r="D1556" s="74" t="str">
        <f>IF($B1556&lt;&gt;"",_xlfn.IFNA(VLOOKUP($B1556,'Node Details'!$B:$U,D$1,0),"Check"),"")</f>
        <v>CM3</v>
      </c>
      <c r="E1556" s="74" t="str">
        <f>IF($B1556&lt;&gt;"",_xlfn.IFNA(VLOOKUP($B1556,'Node Details'!$B:$U,E$1,0),"Check"),"")</f>
        <v>Airtel</v>
      </c>
      <c r="F1556" s="76">
        <v>46149</v>
      </c>
      <c r="G1556" s="74"/>
      <c r="H1556" s="10" t="s">
        <v>1250</v>
      </c>
      <c r="I1556" s="9">
        <v>2</v>
      </c>
      <c r="J1556" s="9">
        <v>150</v>
      </c>
      <c r="K1556" s="77">
        <f t="shared" si="111"/>
        <v>300</v>
      </c>
      <c r="L1556" s="76">
        <v>46142</v>
      </c>
      <c r="N1556" s="83"/>
      <c r="O1556" s="84"/>
      <c r="P1556" s="81"/>
      <c r="Q1556" s="81"/>
      <c r="R1556" s="81"/>
      <c r="S1556" s="81"/>
      <c r="T1556" s="85"/>
      <c r="U1556" s="81"/>
      <c r="V1556" s="81"/>
      <c r="W1556" s="123">
        <f t="shared" si="110"/>
        <v>0</v>
      </c>
      <c r="X1556" s="123" t="s">
        <v>84</v>
      </c>
      <c r="Y1556" s="114" t="s">
        <v>1128</v>
      </c>
    </row>
    <row r="1557" spans="1:25" s="24" customFormat="1" ht="11.1" customHeight="1">
      <c r="A1557" s="74">
        <f t="shared" si="112"/>
        <v>1555</v>
      </c>
      <c r="B1557" s="75" t="s">
        <v>1192</v>
      </c>
      <c r="C1557" s="74" t="str">
        <f>IF($B1557&lt;&gt;"",_xlfn.IFNA(VLOOKUP($B1557,'Node Details'!$B:$U,C$1,0),"Check"),"")</f>
        <v>0000CM322-CM3220108</v>
      </c>
      <c r="D1557" s="74" t="str">
        <f>IF($B1557&lt;&gt;"",_xlfn.IFNA(VLOOKUP($B1557,'Node Details'!$B:$U,D$1,0),"Check"),"")</f>
        <v>CM3</v>
      </c>
      <c r="E1557" s="74" t="str">
        <f>IF($B1557&lt;&gt;"",_xlfn.IFNA(VLOOKUP($B1557,'Node Details'!$B:$U,E$1,0),"Check"),"")</f>
        <v>Airtel</v>
      </c>
      <c r="F1557" s="76">
        <v>46149</v>
      </c>
      <c r="G1557" s="74"/>
      <c r="H1557" s="10" t="s">
        <v>1250</v>
      </c>
      <c r="I1557" s="9">
        <v>2</v>
      </c>
      <c r="J1557" s="9">
        <v>150</v>
      </c>
      <c r="K1557" s="77">
        <f t="shared" si="111"/>
        <v>300</v>
      </c>
      <c r="L1557" s="76">
        <v>46142</v>
      </c>
      <c r="N1557" s="83"/>
      <c r="O1557" s="84"/>
      <c r="P1557" s="81"/>
      <c r="Q1557" s="81"/>
      <c r="R1557" s="81"/>
      <c r="S1557" s="81"/>
      <c r="T1557" s="85"/>
      <c r="U1557" s="81"/>
      <c r="V1557" s="81"/>
      <c r="W1557" s="123">
        <f t="shared" si="110"/>
        <v>0</v>
      </c>
      <c r="X1557" s="123" t="s">
        <v>84</v>
      </c>
      <c r="Y1557" s="114" t="s">
        <v>1128</v>
      </c>
    </row>
    <row r="1558" spans="1:25" s="24" customFormat="1" ht="11.1" customHeight="1">
      <c r="A1558" s="74">
        <f t="shared" si="112"/>
        <v>1556</v>
      </c>
      <c r="B1558" s="75" t="s">
        <v>776</v>
      </c>
      <c r="C1558" s="74" t="str">
        <f>IF($B1558&lt;&gt;"",_xlfn.IFNA(VLOOKUP($B1558,'Node Details'!$B:$U,C$1,0),"Check"),"")</f>
        <v>0000CM322-CM3220108</v>
      </c>
      <c r="D1558" s="74" t="str">
        <f>IF($B1558&lt;&gt;"",_xlfn.IFNA(VLOOKUP($B1558,'Node Details'!$B:$U,D$1,0),"Check"),"")</f>
        <v>CM3</v>
      </c>
      <c r="E1558" s="74" t="str">
        <f>IF($B1558&lt;&gt;"",_xlfn.IFNA(VLOOKUP($B1558,'Node Details'!$B:$U,E$1,0),"Check"),"")</f>
        <v>Airtel</v>
      </c>
      <c r="F1558" s="76">
        <v>46149</v>
      </c>
      <c r="G1558" s="74"/>
      <c r="H1558" s="10" t="s">
        <v>1250</v>
      </c>
      <c r="I1558" s="9">
        <v>2</v>
      </c>
      <c r="J1558" s="9">
        <v>150</v>
      </c>
      <c r="K1558" s="77">
        <f t="shared" si="111"/>
        <v>300</v>
      </c>
      <c r="L1558" s="76">
        <v>46142</v>
      </c>
      <c r="N1558" s="83"/>
      <c r="O1558" s="84"/>
      <c r="P1558" s="81"/>
      <c r="Q1558" s="81"/>
      <c r="R1558" s="81"/>
      <c r="S1558" s="81"/>
      <c r="T1558" s="85"/>
      <c r="U1558" s="81"/>
      <c r="V1558" s="81"/>
      <c r="W1558" s="123">
        <f t="shared" si="110"/>
        <v>0</v>
      </c>
      <c r="X1558" s="123" t="s">
        <v>84</v>
      </c>
      <c r="Y1558" s="114" t="s">
        <v>1128</v>
      </c>
    </row>
    <row r="1559" spans="1:25" s="24" customFormat="1" ht="11.1" customHeight="1">
      <c r="A1559" s="74">
        <f t="shared" si="112"/>
        <v>1557</v>
      </c>
      <c r="B1559" s="75" t="s">
        <v>1193</v>
      </c>
      <c r="C1559" s="74" t="str">
        <f>IF($B1559&lt;&gt;"",_xlfn.IFNA(VLOOKUP($B1559,'Node Details'!$B:$U,C$1,0),"Check"),"")</f>
        <v>0000CM322-CM3220104</v>
      </c>
      <c r="D1559" s="74" t="str">
        <f>IF($B1559&lt;&gt;"",_xlfn.IFNA(VLOOKUP($B1559,'Node Details'!$B:$U,D$1,0),"Check"),"")</f>
        <v>CM3</v>
      </c>
      <c r="E1559" s="74" t="str">
        <f>IF($B1559&lt;&gt;"",_xlfn.IFNA(VLOOKUP($B1559,'Node Details'!$B:$U,E$1,0),"Check"),"")</f>
        <v>Airtel</v>
      </c>
      <c r="F1559" s="76">
        <v>46149</v>
      </c>
      <c r="G1559" s="74"/>
      <c r="H1559" s="10" t="s">
        <v>1250</v>
      </c>
      <c r="I1559" s="9">
        <v>2</v>
      </c>
      <c r="J1559" s="9">
        <v>150</v>
      </c>
      <c r="K1559" s="77">
        <f t="shared" si="111"/>
        <v>300</v>
      </c>
      <c r="L1559" s="76">
        <v>46142</v>
      </c>
      <c r="N1559" s="83"/>
      <c r="O1559" s="84"/>
      <c r="P1559" s="81"/>
      <c r="Q1559" s="81"/>
      <c r="R1559" s="81"/>
      <c r="S1559" s="81"/>
      <c r="T1559" s="85"/>
      <c r="U1559" s="81"/>
      <c r="V1559" s="81"/>
      <c r="W1559" s="123">
        <f t="shared" si="110"/>
        <v>0</v>
      </c>
      <c r="X1559" s="123" t="s">
        <v>84</v>
      </c>
      <c r="Y1559" s="114" t="s">
        <v>1128</v>
      </c>
    </row>
    <row r="1560" spans="1:25" s="24" customFormat="1" ht="11.1" customHeight="1">
      <c r="A1560" s="74">
        <f t="shared" si="112"/>
        <v>1558</v>
      </c>
      <c r="B1560" s="75" t="s">
        <v>780</v>
      </c>
      <c r="C1560" s="74" t="str">
        <f>IF($B1560&lt;&gt;"",_xlfn.IFNA(VLOOKUP($B1560,'Node Details'!$B:$U,C$1,0),"Check"),"")</f>
        <v>0000CM322-CM3220104</v>
      </c>
      <c r="D1560" s="74" t="str">
        <f>IF($B1560&lt;&gt;"",_xlfn.IFNA(VLOOKUP($B1560,'Node Details'!$B:$U,D$1,0),"Check"),"")</f>
        <v>CM3</v>
      </c>
      <c r="E1560" s="74" t="str">
        <f>IF($B1560&lt;&gt;"",_xlfn.IFNA(VLOOKUP($B1560,'Node Details'!$B:$U,E$1,0),"Check"),"")</f>
        <v>Airtel</v>
      </c>
      <c r="F1560" s="76">
        <v>46149</v>
      </c>
      <c r="G1560" s="74"/>
      <c r="H1560" s="10" t="s">
        <v>1250</v>
      </c>
      <c r="I1560" s="9">
        <v>2</v>
      </c>
      <c r="J1560" s="9">
        <v>150</v>
      </c>
      <c r="K1560" s="77">
        <f t="shared" si="111"/>
        <v>300</v>
      </c>
      <c r="L1560" s="76">
        <v>46142</v>
      </c>
      <c r="N1560" s="83"/>
      <c r="O1560" s="84"/>
      <c r="P1560" s="81"/>
      <c r="Q1560" s="81"/>
      <c r="R1560" s="81"/>
      <c r="S1560" s="81"/>
      <c r="T1560" s="85"/>
      <c r="U1560" s="81"/>
      <c r="V1560" s="81"/>
      <c r="W1560" s="123">
        <f t="shared" si="110"/>
        <v>0</v>
      </c>
      <c r="X1560" s="123" t="s">
        <v>84</v>
      </c>
      <c r="Y1560" s="114" t="s">
        <v>1128</v>
      </c>
    </row>
    <row r="1561" spans="1:25" s="24" customFormat="1" ht="11.1" customHeight="1">
      <c r="A1561" s="74">
        <f t="shared" si="112"/>
        <v>1559</v>
      </c>
      <c r="B1561" s="75" t="s">
        <v>778</v>
      </c>
      <c r="C1561" s="74" t="str">
        <f>IF($B1561&lt;&gt;"",_xlfn.IFNA(VLOOKUP($B1561,'Node Details'!$B:$U,C$1,0),"Check"),"")</f>
        <v>0000CM322-CM3220104</v>
      </c>
      <c r="D1561" s="74" t="str">
        <f>IF($B1561&lt;&gt;"",_xlfn.IFNA(VLOOKUP($B1561,'Node Details'!$B:$U,D$1,0),"Check"),"")</f>
        <v>CM3</v>
      </c>
      <c r="E1561" s="74" t="str">
        <f>IF($B1561&lt;&gt;"",_xlfn.IFNA(VLOOKUP($B1561,'Node Details'!$B:$U,E$1,0),"Check"),"")</f>
        <v>Airtel</v>
      </c>
      <c r="F1561" s="76">
        <v>46149</v>
      </c>
      <c r="G1561" s="74"/>
      <c r="H1561" s="10" t="s">
        <v>1250</v>
      </c>
      <c r="I1561" s="9">
        <v>2</v>
      </c>
      <c r="J1561" s="9">
        <v>150</v>
      </c>
      <c r="K1561" s="77">
        <f t="shared" si="111"/>
        <v>300</v>
      </c>
      <c r="L1561" s="76">
        <v>46142</v>
      </c>
      <c r="N1561" s="83"/>
      <c r="O1561" s="84"/>
      <c r="P1561" s="81"/>
      <c r="Q1561" s="81"/>
      <c r="R1561" s="81"/>
      <c r="S1561" s="81"/>
      <c r="T1561" s="85"/>
      <c r="U1561" s="81"/>
      <c r="V1561" s="81"/>
      <c r="W1561" s="123">
        <f t="shared" si="110"/>
        <v>0</v>
      </c>
      <c r="X1561" s="123" t="s">
        <v>84</v>
      </c>
      <c r="Y1561" s="114" t="s">
        <v>1128</v>
      </c>
    </row>
    <row r="1562" spans="1:25" s="24" customFormat="1" ht="11.1" customHeight="1">
      <c r="A1562" s="74">
        <f t="shared" si="112"/>
        <v>1560</v>
      </c>
      <c r="B1562" s="75" t="s">
        <v>781</v>
      </c>
      <c r="C1562" s="74" t="str">
        <f>IF($B1562&lt;&gt;"",_xlfn.IFNA(VLOOKUP($B1562,'Node Details'!$B:$U,C$1,0),"Check"),"")</f>
        <v>CM3220102-CM3220103</v>
      </c>
      <c r="D1562" s="74" t="str">
        <f>IF($B1562&lt;&gt;"",_xlfn.IFNA(VLOOKUP($B1562,'Node Details'!$B:$U,D$1,0),"Check"),"")</f>
        <v>CM3</v>
      </c>
      <c r="E1562" s="74" t="str">
        <f>IF($B1562&lt;&gt;"",_xlfn.IFNA(VLOOKUP($B1562,'Node Details'!$B:$U,E$1,0),"Check"),"")</f>
        <v>Airtel</v>
      </c>
      <c r="F1562" s="76">
        <v>46149</v>
      </c>
      <c r="G1562" s="74"/>
      <c r="H1562" s="10" t="s">
        <v>1250</v>
      </c>
      <c r="I1562" s="9">
        <v>2</v>
      </c>
      <c r="J1562" s="9">
        <v>150</v>
      </c>
      <c r="K1562" s="77">
        <f t="shared" si="111"/>
        <v>300</v>
      </c>
      <c r="L1562" s="76">
        <v>46142</v>
      </c>
      <c r="N1562" s="83"/>
      <c r="O1562" s="84"/>
      <c r="P1562" s="81"/>
      <c r="Q1562" s="81"/>
      <c r="R1562" s="81"/>
      <c r="S1562" s="81"/>
      <c r="T1562" s="85"/>
      <c r="U1562" s="81"/>
      <c r="V1562" s="81"/>
      <c r="W1562" s="123">
        <f t="shared" si="110"/>
        <v>0</v>
      </c>
      <c r="X1562" s="123" t="s">
        <v>84</v>
      </c>
      <c r="Y1562" s="114" t="s">
        <v>1128</v>
      </c>
    </row>
    <row r="1563" spans="1:25" s="24" customFormat="1" ht="11.1" customHeight="1">
      <c r="A1563" s="74">
        <f t="shared" si="112"/>
        <v>1561</v>
      </c>
      <c r="B1563" s="75" t="s">
        <v>783</v>
      </c>
      <c r="C1563" s="74" t="str">
        <f>IF($B1563&lt;&gt;"",_xlfn.IFNA(VLOOKUP($B1563,'Node Details'!$B:$U,C$1,0),"Check"),"")</f>
        <v>000000CM3-0000CM325</v>
      </c>
      <c r="D1563" s="74" t="str">
        <f>IF($B1563&lt;&gt;"",_xlfn.IFNA(VLOOKUP($B1563,'Node Details'!$B:$U,D$1,0),"Check"),"")</f>
        <v>CM3</v>
      </c>
      <c r="E1563" s="74" t="str">
        <f>IF($B1563&lt;&gt;"",_xlfn.IFNA(VLOOKUP($B1563,'Node Details'!$B:$U,E$1,0),"Check"),"")</f>
        <v>Airtel</v>
      </c>
      <c r="F1563" s="76">
        <v>46149</v>
      </c>
      <c r="G1563" s="74"/>
      <c r="H1563" s="10" t="s">
        <v>1250</v>
      </c>
      <c r="I1563" s="9">
        <v>2</v>
      </c>
      <c r="J1563" s="9">
        <v>150</v>
      </c>
      <c r="K1563" s="77">
        <f t="shared" si="111"/>
        <v>300</v>
      </c>
      <c r="L1563" s="76">
        <v>46142</v>
      </c>
      <c r="N1563" s="83"/>
      <c r="O1563" s="84"/>
      <c r="P1563" s="81"/>
      <c r="Q1563" s="81"/>
      <c r="R1563" s="81"/>
      <c r="S1563" s="81"/>
      <c r="T1563" s="85"/>
      <c r="U1563" s="81"/>
      <c r="V1563" s="81"/>
      <c r="W1563" s="123">
        <f t="shared" si="110"/>
        <v>0</v>
      </c>
      <c r="X1563" s="123" t="s">
        <v>84</v>
      </c>
      <c r="Y1563" s="114" t="s">
        <v>1128</v>
      </c>
    </row>
    <row r="1564" spans="1:25" s="24" customFormat="1" ht="11.1" customHeight="1">
      <c r="A1564" s="74">
        <f t="shared" si="112"/>
        <v>1562</v>
      </c>
      <c r="B1564" s="75" t="s">
        <v>784</v>
      </c>
      <c r="C1564" s="74" t="str">
        <f>IF($B1564&lt;&gt;"",_xlfn.IFNA(VLOOKUP($B1564,'Node Details'!$B:$U,C$1,0),"Check"),"")</f>
        <v>0000CM323-CM3230101</v>
      </c>
      <c r="D1564" s="74" t="str">
        <f>IF($B1564&lt;&gt;"",_xlfn.IFNA(VLOOKUP($B1564,'Node Details'!$B:$U,D$1,0),"Check"),"")</f>
        <v>CM3</v>
      </c>
      <c r="E1564" s="74" t="str">
        <f>IF($B1564&lt;&gt;"",_xlfn.IFNA(VLOOKUP($B1564,'Node Details'!$B:$U,E$1,0),"Check"),"")</f>
        <v>Airtel</v>
      </c>
      <c r="F1564" s="76">
        <v>46149</v>
      </c>
      <c r="G1564" s="74"/>
      <c r="H1564" s="10" t="s">
        <v>1250</v>
      </c>
      <c r="I1564" s="9">
        <v>2</v>
      </c>
      <c r="J1564" s="9">
        <v>150</v>
      </c>
      <c r="K1564" s="77">
        <f t="shared" si="111"/>
        <v>300</v>
      </c>
      <c r="L1564" s="76">
        <v>46142</v>
      </c>
      <c r="N1564" s="83"/>
      <c r="O1564" s="84"/>
      <c r="P1564" s="81"/>
      <c r="Q1564" s="81"/>
      <c r="R1564" s="81"/>
      <c r="S1564" s="81"/>
      <c r="T1564" s="85"/>
      <c r="U1564" s="81"/>
      <c r="V1564" s="81"/>
      <c r="W1564" s="123">
        <f t="shared" si="110"/>
        <v>0</v>
      </c>
      <c r="X1564" s="123" t="s">
        <v>84</v>
      </c>
      <c r="Y1564" s="114" t="s">
        <v>1128</v>
      </c>
    </row>
    <row r="1565" spans="1:25" s="24" customFormat="1" ht="11.1" customHeight="1">
      <c r="A1565" s="74">
        <f t="shared" si="112"/>
        <v>1563</v>
      </c>
      <c r="B1565" s="75" t="s">
        <v>1194</v>
      </c>
      <c r="C1565" s="74" t="str">
        <f>IF($B1565&lt;&gt;"",_xlfn.IFNA(VLOOKUP($B1565,'Node Details'!$B:$U,C$1,0),"Check"),"")</f>
        <v>0000CM323-CM3230104</v>
      </c>
      <c r="D1565" s="74" t="str">
        <f>IF($B1565&lt;&gt;"",_xlfn.IFNA(VLOOKUP($B1565,'Node Details'!$B:$U,D$1,0),"Check"),"")</f>
        <v>CM3</v>
      </c>
      <c r="E1565" s="74" t="str">
        <f>IF($B1565&lt;&gt;"",_xlfn.IFNA(VLOOKUP($B1565,'Node Details'!$B:$U,E$1,0),"Check"),"")</f>
        <v>Airtel</v>
      </c>
      <c r="F1565" s="76">
        <v>46149</v>
      </c>
      <c r="G1565" s="74"/>
      <c r="H1565" s="10" t="s">
        <v>1250</v>
      </c>
      <c r="I1565" s="9">
        <v>2</v>
      </c>
      <c r="J1565" s="9">
        <v>150</v>
      </c>
      <c r="K1565" s="77">
        <f t="shared" si="111"/>
        <v>300</v>
      </c>
      <c r="L1565" s="76">
        <v>46142</v>
      </c>
      <c r="N1565" s="83"/>
      <c r="O1565" s="84"/>
      <c r="P1565" s="81"/>
      <c r="Q1565" s="81"/>
      <c r="R1565" s="81"/>
      <c r="S1565" s="81"/>
      <c r="T1565" s="85"/>
      <c r="U1565" s="81"/>
      <c r="V1565" s="81"/>
      <c r="W1565" s="123">
        <f t="shared" si="110"/>
        <v>0</v>
      </c>
      <c r="X1565" s="123" t="s">
        <v>84</v>
      </c>
      <c r="Y1565" s="114" t="s">
        <v>1128</v>
      </c>
    </row>
    <row r="1566" spans="1:25" s="24" customFormat="1" ht="11.1" customHeight="1">
      <c r="A1566" s="74">
        <f t="shared" si="112"/>
        <v>1564</v>
      </c>
      <c r="B1566" s="75" t="s">
        <v>1195</v>
      </c>
      <c r="C1566" s="74" t="str">
        <f>IF($B1566&lt;&gt;"",_xlfn.IFNA(VLOOKUP($B1566,'Node Details'!$B:$U,C$1,0),"Check"),"")</f>
        <v>0000CM323-CM3230104</v>
      </c>
      <c r="D1566" s="74" t="str">
        <f>IF($B1566&lt;&gt;"",_xlfn.IFNA(VLOOKUP($B1566,'Node Details'!$B:$U,D$1,0),"Check"),"")</f>
        <v>CM3</v>
      </c>
      <c r="E1566" s="74" t="str">
        <f>IF($B1566&lt;&gt;"",_xlfn.IFNA(VLOOKUP($B1566,'Node Details'!$B:$U,E$1,0),"Check"),"")</f>
        <v>Airtel</v>
      </c>
      <c r="F1566" s="76">
        <v>46149</v>
      </c>
      <c r="G1566" s="74"/>
      <c r="H1566" s="10" t="s">
        <v>1250</v>
      </c>
      <c r="I1566" s="9">
        <v>2</v>
      </c>
      <c r="J1566" s="9">
        <v>150</v>
      </c>
      <c r="K1566" s="77">
        <f t="shared" si="111"/>
        <v>300</v>
      </c>
      <c r="L1566" s="76">
        <v>46142</v>
      </c>
      <c r="N1566" s="83"/>
      <c r="O1566" s="84"/>
      <c r="P1566" s="81"/>
      <c r="Q1566" s="81"/>
      <c r="R1566" s="81"/>
      <c r="S1566" s="81"/>
      <c r="T1566" s="85"/>
      <c r="U1566" s="81"/>
      <c r="V1566" s="81"/>
      <c r="W1566" s="123">
        <f t="shared" si="110"/>
        <v>0</v>
      </c>
      <c r="X1566" s="123" t="s">
        <v>84</v>
      </c>
      <c r="Y1566" s="114" t="s">
        <v>1128</v>
      </c>
    </row>
    <row r="1567" spans="1:25" s="24" customFormat="1" ht="11.1" customHeight="1">
      <c r="A1567" s="74">
        <f t="shared" si="112"/>
        <v>1565</v>
      </c>
      <c r="B1567" s="75" t="s">
        <v>786</v>
      </c>
      <c r="C1567" s="74" t="str">
        <f>IF($B1567&lt;&gt;"",_xlfn.IFNA(VLOOKUP($B1567,'Node Details'!$B:$U,C$1,0),"Check"),"")</f>
        <v>0000CM323-CM3230104</v>
      </c>
      <c r="D1567" s="74" t="str">
        <f>IF($B1567&lt;&gt;"",_xlfn.IFNA(VLOOKUP($B1567,'Node Details'!$B:$U,D$1,0),"Check"),"")</f>
        <v>CM3</v>
      </c>
      <c r="E1567" s="74" t="str">
        <f>IF($B1567&lt;&gt;"",_xlfn.IFNA(VLOOKUP($B1567,'Node Details'!$B:$U,E$1,0),"Check"),"")</f>
        <v>Airtel</v>
      </c>
      <c r="F1567" s="76">
        <v>46149</v>
      </c>
      <c r="G1567" s="74"/>
      <c r="H1567" s="10" t="s">
        <v>1250</v>
      </c>
      <c r="I1567" s="9">
        <v>2</v>
      </c>
      <c r="J1567" s="9">
        <v>150</v>
      </c>
      <c r="K1567" s="77">
        <f t="shared" si="111"/>
        <v>300</v>
      </c>
      <c r="L1567" s="76">
        <v>46142</v>
      </c>
      <c r="N1567" s="83"/>
      <c r="O1567" s="84"/>
      <c r="P1567" s="81"/>
      <c r="Q1567" s="81"/>
      <c r="R1567" s="81"/>
      <c r="S1567" s="81"/>
      <c r="T1567" s="85"/>
      <c r="U1567" s="81"/>
      <c r="V1567" s="81"/>
      <c r="W1567" s="123">
        <f t="shared" si="110"/>
        <v>0</v>
      </c>
      <c r="X1567" s="123" t="s">
        <v>84</v>
      </c>
      <c r="Y1567" s="114" t="s">
        <v>1128</v>
      </c>
    </row>
    <row r="1568" spans="1:25" s="24" customFormat="1" ht="11.1" customHeight="1">
      <c r="A1568" s="74">
        <f t="shared" si="112"/>
        <v>1566</v>
      </c>
      <c r="B1568" s="75" t="s">
        <v>1196</v>
      </c>
      <c r="C1568" s="74" t="str">
        <f>IF($B1568&lt;&gt;"",_xlfn.IFNA(VLOOKUP($B1568,'Node Details'!$B:$U,C$1,0),"Check"),"")</f>
        <v>0000CM323-CM3230107</v>
      </c>
      <c r="D1568" s="74" t="str">
        <f>IF($B1568&lt;&gt;"",_xlfn.IFNA(VLOOKUP($B1568,'Node Details'!$B:$U,D$1,0),"Check"),"")</f>
        <v>CM3</v>
      </c>
      <c r="E1568" s="74" t="str">
        <f>IF($B1568&lt;&gt;"",_xlfn.IFNA(VLOOKUP($B1568,'Node Details'!$B:$U,E$1,0),"Check"),"")</f>
        <v>Airtel</v>
      </c>
      <c r="F1568" s="76">
        <v>46149</v>
      </c>
      <c r="G1568" s="74"/>
      <c r="H1568" s="10" t="s">
        <v>1250</v>
      </c>
      <c r="I1568" s="9">
        <v>2</v>
      </c>
      <c r="J1568" s="9">
        <v>150</v>
      </c>
      <c r="K1568" s="77">
        <f t="shared" si="111"/>
        <v>300</v>
      </c>
      <c r="L1568" s="76">
        <v>46142</v>
      </c>
      <c r="N1568" s="83"/>
      <c r="O1568" s="84"/>
      <c r="P1568" s="81"/>
      <c r="Q1568" s="81"/>
      <c r="R1568" s="81"/>
      <c r="S1568" s="81"/>
      <c r="T1568" s="85"/>
      <c r="U1568" s="81"/>
      <c r="V1568" s="81"/>
      <c r="W1568" s="123">
        <f t="shared" si="110"/>
        <v>0</v>
      </c>
      <c r="X1568" s="123" t="s">
        <v>84</v>
      </c>
      <c r="Y1568" s="114" t="s">
        <v>1128</v>
      </c>
    </row>
    <row r="1569" spans="1:25" s="24" customFormat="1" ht="11.1" customHeight="1">
      <c r="A1569" s="74">
        <f t="shared" si="112"/>
        <v>1567</v>
      </c>
      <c r="B1569" s="75" t="s">
        <v>788</v>
      </c>
      <c r="C1569" s="74" t="str">
        <f>IF($B1569&lt;&gt;"",_xlfn.IFNA(VLOOKUP($B1569,'Node Details'!$B:$U,C$1,0),"Check"),"")</f>
        <v>0000CM323-CM3230107</v>
      </c>
      <c r="D1569" s="74" t="str">
        <f>IF($B1569&lt;&gt;"",_xlfn.IFNA(VLOOKUP($B1569,'Node Details'!$B:$U,D$1,0),"Check"),"")</f>
        <v>CM3</v>
      </c>
      <c r="E1569" s="74" t="str">
        <f>IF($B1569&lt;&gt;"",_xlfn.IFNA(VLOOKUP($B1569,'Node Details'!$B:$U,E$1,0),"Check"),"")</f>
        <v>Airtel</v>
      </c>
      <c r="F1569" s="76">
        <v>46149</v>
      </c>
      <c r="G1569" s="74"/>
      <c r="H1569" s="10" t="s">
        <v>1250</v>
      </c>
      <c r="I1569" s="9">
        <v>2</v>
      </c>
      <c r="J1569" s="9">
        <v>150</v>
      </c>
      <c r="K1569" s="77">
        <f t="shared" si="111"/>
        <v>300</v>
      </c>
      <c r="L1569" s="76">
        <v>46142</v>
      </c>
      <c r="N1569" s="83"/>
      <c r="O1569" s="84"/>
      <c r="P1569" s="81"/>
      <c r="Q1569" s="81"/>
      <c r="R1569" s="81"/>
      <c r="S1569" s="81"/>
      <c r="T1569" s="85"/>
      <c r="U1569" s="81"/>
      <c r="V1569" s="81"/>
      <c r="W1569" s="123">
        <f t="shared" si="110"/>
        <v>0</v>
      </c>
      <c r="X1569" s="123" t="s">
        <v>84</v>
      </c>
      <c r="Y1569" s="114" t="s">
        <v>1128</v>
      </c>
    </row>
    <row r="1570" spans="1:25" s="24" customFormat="1" ht="11.1" customHeight="1">
      <c r="A1570" s="74">
        <f t="shared" si="112"/>
        <v>1568</v>
      </c>
      <c r="B1570" s="75" t="s">
        <v>790</v>
      </c>
      <c r="C1570" s="74" t="str">
        <f>IF($B1570&lt;&gt;"",_xlfn.IFNA(VLOOKUP($B1570,'Node Details'!$B:$U,C$1,0),"Check"),"")</f>
        <v>000000CM3-0000CM325</v>
      </c>
      <c r="D1570" s="74" t="str">
        <f>IF($B1570&lt;&gt;"",_xlfn.IFNA(VLOOKUP($B1570,'Node Details'!$B:$U,D$1,0),"Check"),"")</f>
        <v>CM3</v>
      </c>
      <c r="E1570" s="74" t="str">
        <f>IF($B1570&lt;&gt;"",_xlfn.IFNA(VLOOKUP($B1570,'Node Details'!$B:$U,E$1,0),"Check"),"")</f>
        <v>Airtel</v>
      </c>
      <c r="F1570" s="76">
        <v>46149</v>
      </c>
      <c r="G1570" s="74"/>
      <c r="H1570" s="10" t="s">
        <v>1250</v>
      </c>
      <c r="I1570" s="9">
        <v>2</v>
      </c>
      <c r="J1570" s="9">
        <v>150</v>
      </c>
      <c r="K1570" s="77">
        <f t="shared" si="111"/>
        <v>300</v>
      </c>
      <c r="L1570" s="76">
        <v>46142</v>
      </c>
      <c r="N1570" s="83"/>
      <c r="O1570" s="84"/>
      <c r="P1570" s="81"/>
      <c r="Q1570" s="81"/>
      <c r="R1570" s="81"/>
      <c r="S1570" s="81"/>
      <c r="T1570" s="85"/>
      <c r="U1570" s="81"/>
      <c r="V1570" s="81"/>
      <c r="W1570" s="123">
        <f t="shared" si="110"/>
        <v>0</v>
      </c>
      <c r="X1570" s="123" t="s">
        <v>84</v>
      </c>
      <c r="Y1570" s="114" t="s">
        <v>1128</v>
      </c>
    </row>
    <row r="1571" spans="1:25" s="24" customFormat="1" ht="11.1" customHeight="1">
      <c r="A1571" s="74">
        <f t="shared" si="112"/>
        <v>1569</v>
      </c>
      <c r="B1571" s="75" t="s">
        <v>791</v>
      </c>
      <c r="C1571" s="74" t="str">
        <f>IF($B1571&lt;&gt;"",_xlfn.IFNA(VLOOKUP($B1571,'Node Details'!$B:$U,C$1,0),"Check"),"")</f>
        <v>0000CM324-CM3240101</v>
      </c>
      <c r="D1571" s="74" t="str">
        <f>IF($B1571&lt;&gt;"",_xlfn.IFNA(VLOOKUP($B1571,'Node Details'!$B:$U,D$1,0),"Check"),"")</f>
        <v>CM3</v>
      </c>
      <c r="E1571" s="74" t="str">
        <f>IF($B1571&lt;&gt;"",_xlfn.IFNA(VLOOKUP($B1571,'Node Details'!$B:$U,E$1,0),"Check"),"")</f>
        <v>Airtel</v>
      </c>
      <c r="F1571" s="76">
        <v>46149</v>
      </c>
      <c r="G1571" s="74"/>
      <c r="H1571" s="10" t="s">
        <v>1250</v>
      </c>
      <c r="I1571" s="9">
        <v>2</v>
      </c>
      <c r="J1571" s="9">
        <v>150</v>
      </c>
      <c r="K1571" s="77">
        <f t="shared" si="111"/>
        <v>300</v>
      </c>
      <c r="L1571" s="76">
        <v>46142</v>
      </c>
      <c r="N1571" s="83"/>
      <c r="O1571" s="84"/>
      <c r="P1571" s="81"/>
      <c r="Q1571" s="81"/>
      <c r="R1571" s="81"/>
      <c r="S1571" s="81"/>
      <c r="T1571" s="85"/>
      <c r="U1571" s="81"/>
      <c r="V1571" s="81"/>
      <c r="W1571" s="123">
        <f t="shared" si="110"/>
        <v>0</v>
      </c>
      <c r="X1571" s="123" t="s">
        <v>84</v>
      </c>
      <c r="Y1571" s="114" t="s">
        <v>1128</v>
      </c>
    </row>
    <row r="1572" spans="1:25" s="24" customFormat="1" ht="11.1" customHeight="1">
      <c r="A1572" s="74">
        <f t="shared" si="112"/>
        <v>1570</v>
      </c>
      <c r="B1572" s="75" t="s">
        <v>793</v>
      </c>
      <c r="C1572" s="74" t="str">
        <f>IF($B1572&lt;&gt;"",_xlfn.IFNA(VLOOKUP($B1572,'Node Details'!$B:$U,C$1,0),"Check"),"")</f>
        <v>0000CM324-CM3240102</v>
      </c>
      <c r="D1572" s="74" t="str">
        <f>IF($B1572&lt;&gt;"",_xlfn.IFNA(VLOOKUP($B1572,'Node Details'!$B:$U,D$1,0),"Check"),"")</f>
        <v>CM3</v>
      </c>
      <c r="E1572" s="74" t="str">
        <f>IF($B1572&lt;&gt;"",_xlfn.IFNA(VLOOKUP($B1572,'Node Details'!$B:$U,E$1,0),"Check"),"")</f>
        <v>Airtel</v>
      </c>
      <c r="F1572" s="76">
        <v>46149</v>
      </c>
      <c r="G1572" s="74"/>
      <c r="H1572" s="10" t="s">
        <v>1250</v>
      </c>
      <c r="I1572" s="9">
        <v>2</v>
      </c>
      <c r="J1572" s="9">
        <v>150</v>
      </c>
      <c r="K1572" s="77">
        <f t="shared" si="111"/>
        <v>300</v>
      </c>
      <c r="L1572" s="76">
        <v>46142</v>
      </c>
      <c r="N1572" s="83"/>
      <c r="O1572" s="84"/>
      <c r="P1572" s="81"/>
      <c r="Q1572" s="81"/>
      <c r="R1572" s="81"/>
      <c r="S1572" s="81"/>
      <c r="T1572" s="85"/>
      <c r="U1572" s="81"/>
      <c r="V1572" s="81"/>
      <c r="W1572" s="123">
        <f t="shared" si="110"/>
        <v>0</v>
      </c>
      <c r="X1572" s="123" t="s">
        <v>84</v>
      </c>
      <c r="Y1572" s="114" t="s">
        <v>1128</v>
      </c>
    </row>
    <row r="1573" spans="1:25" s="24" customFormat="1" ht="11.1" customHeight="1">
      <c r="A1573" s="74">
        <f t="shared" si="112"/>
        <v>1571</v>
      </c>
      <c r="B1573" s="75" t="s">
        <v>1197</v>
      </c>
      <c r="C1573" s="74" t="str">
        <f>IF($B1573&lt;&gt;"",_xlfn.IFNA(VLOOKUP($B1573,'Node Details'!$B:$U,C$1,0),"Check"),"")</f>
        <v>0000CM324-CM3240106</v>
      </c>
      <c r="D1573" s="74" t="str">
        <f>IF($B1573&lt;&gt;"",_xlfn.IFNA(VLOOKUP($B1573,'Node Details'!$B:$U,D$1,0),"Check"),"")</f>
        <v>CM3</v>
      </c>
      <c r="E1573" s="74" t="str">
        <f>IF($B1573&lt;&gt;"",_xlfn.IFNA(VLOOKUP($B1573,'Node Details'!$B:$U,E$1,0),"Check"),"")</f>
        <v>Airtel</v>
      </c>
      <c r="F1573" s="76">
        <v>46149</v>
      </c>
      <c r="G1573" s="74"/>
      <c r="H1573" s="10" t="s">
        <v>1250</v>
      </c>
      <c r="I1573" s="9">
        <v>2</v>
      </c>
      <c r="J1573" s="9">
        <v>150</v>
      </c>
      <c r="K1573" s="77">
        <f t="shared" si="111"/>
        <v>300</v>
      </c>
      <c r="L1573" s="76">
        <v>46142</v>
      </c>
      <c r="N1573" s="83"/>
      <c r="O1573" s="84"/>
      <c r="P1573" s="81"/>
      <c r="Q1573" s="81"/>
      <c r="R1573" s="81"/>
      <c r="S1573" s="81"/>
      <c r="T1573" s="85"/>
      <c r="U1573" s="81"/>
      <c r="V1573" s="81"/>
      <c r="W1573" s="123">
        <f t="shared" si="110"/>
        <v>0</v>
      </c>
      <c r="X1573" s="123" t="s">
        <v>84</v>
      </c>
      <c r="Y1573" s="114" t="s">
        <v>1128</v>
      </c>
    </row>
    <row r="1574" spans="1:25" s="24" customFormat="1" ht="11.1" customHeight="1">
      <c r="A1574" s="74">
        <f t="shared" si="112"/>
        <v>1572</v>
      </c>
      <c r="B1574" s="75" t="s">
        <v>1198</v>
      </c>
      <c r="C1574" s="74" t="str">
        <f>IF($B1574&lt;&gt;"",_xlfn.IFNA(VLOOKUP($B1574,'Node Details'!$B:$U,C$1,0),"Check"),"")</f>
        <v>0000CM324-CM3240106</v>
      </c>
      <c r="D1574" s="74" t="str">
        <f>IF($B1574&lt;&gt;"",_xlfn.IFNA(VLOOKUP($B1574,'Node Details'!$B:$U,D$1,0),"Check"),"")</f>
        <v>CM3</v>
      </c>
      <c r="E1574" s="74" t="str">
        <f>IF($B1574&lt;&gt;"",_xlfn.IFNA(VLOOKUP($B1574,'Node Details'!$B:$U,E$1,0),"Check"),"")</f>
        <v>Airtel</v>
      </c>
      <c r="F1574" s="76">
        <v>46149</v>
      </c>
      <c r="G1574" s="74"/>
      <c r="H1574" s="10" t="s">
        <v>1250</v>
      </c>
      <c r="I1574" s="9">
        <v>2</v>
      </c>
      <c r="J1574" s="9">
        <v>150</v>
      </c>
      <c r="K1574" s="77">
        <f t="shared" si="111"/>
        <v>300</v>
      </c>
      <c r="L1574" s="76">
        <v>46142</v>
      </c>
      <c r="N1574" s="83"/>
      <c r="O1574" s="84"/>
      <c r="P1574" s="81"/>
      <c r="Q1574" s="81"/>
      <c r="R1574" s="81"/>
      <c r="S1574" s="81"/>
      <c r="T1574" s="85"/>
      <c r="U1574" s="81"/>
      <c r="V1574" s="81"/>
      <c r="W1574" s="123">
        <f t="shared" si="110"/>
        <v>0</v>
      </c>
      <c r="X1574" s="123" t="s">
        <v>84</v>
      </c>
      <c r="Y1574" s="114" t="s">
        <v>1128</v>
      </c>
    </row>
    <row r="1575" spans="1:25" s="24" customFormat="1" ht="11.1" customHeight="1">
      <c r="A1575" s="74">
        <f t="shared" si="112"/>
        <v>1573</v>
      </c>
      <c r="B1575" s="75" t="s">
        <v>795</v>
      </c>
      <c r="C1575" s="74" t="str">
        <f>IF($B1575&lt;&gt;"",_xlfn.IFNA(VLOOKUP($B1575,'Node Details'!$B:$U,C$1,0),"Check"),"")</f>
        <v>0000CM324-CM3240106</v>
      </c>
      <c r="D1575" s="74" t="str">
        <f>IF($B1575&lt;&gt;"",_xlfn.IFNA(VLOOKUP($B1575,'Node Details'!$B:$U,D$1,0),"Check"),"")</f>
        <v>CM3</v>
      </c>
      <c r="E1575" s="74" t="str">
        <f>IF($B1575&lt;&gt;"",_xlfn.IFNA(VLOOKUP($B1575,'Node Details'!$B:$U,E$1,0),"Check"),"")</f>
        <v>Airtel</v>
      </c>
      <c r="F1575" s="76">
        <v>46149</v>
      </c>
      <c r="G1575" s="74"/>
      <c r="H1575" s="10" t="s">
        <v>1250</v>
      </c>
      <c r="I1575" s="9">
        <v>2</v>
      </c>
      <c r="J1575" s="9">
        <v>150</v>
      </c>
      <c r="K1575" s="77">
        <f t="shared" si="111"/>
        <v>300</v>
      </c>
      <c r="L1575" s="76">
        <v>46142</v>
      </c>
      <c r="N1575" s="83"/>
      <c r="O1575" s="84"/>
      <c r="P1575" s="81"/>
      <c r="Q1575" s="81"/>
      <c r="R1575" s="81"/>
      <c r="S1575" s="81"/>
      <c r="T1575" s="85"/>
      <c r="U1575" s="81"/>
      <c r="V1575" s="81"/>
      <c r="W1575" s="123">
        <f t="shared" si="110"/>
        <v>0</v>
      </c>
      <c r="X1575" s="123" t="s">
        <v>84</v>
      </c>
      <c r="Y1575" s="114" t="s">
        <v>1128</v>
      </c>
    </row>
    <row r="1576" spans="1:25" s="24" customFormat="1" ht="11.1" customHeight="1">
      <c r="A1576" s="74">
        <f t="shared" si="112"/>
        <v>1574</v>
      </c>
      <c r="B1576" s="75" t="s">
        <v>621</v>
      </c>
      <c r="C1576" s="74" t="str">
        <f>IF($B1576&lt;&gt;"",_xlfn.IFNA(VLOOKUP($B1576,'Node Details'!$B:$U,C$1,0),"Check"),"")</f>
        <v>000000CM3-0000CM325</v>
      </c>
      <c r="D1576" s="74" t="str">
        <f>IF($B1576&lt;&gt;"",_xlfn.IFNA(VLOOKUP($B1576,'Node Details'!$B:$U,D$1,0),"Check"),"")</f>
        <v>CM3</v>
      </c>
      <c r="E1576" s="74" t="str">
        <f>IF($B1576&lt;&gt;"",_xlfn.IFNA(VLOOKUP($B1576,'Node Details'!$B:$U,E$1,0),"Check"),"")</f>
        <v>Airtel</v>
      </c>
      <c r="F1576" s="76">
        <v>46149</v>
      </c>
      <c r="G1576" s="74"/>
      <c r="H1576" s="10" t="s">
        <v>1250</v>
      </c>
      <c r="I1576" s="9">
        <v>2</v>
      </c>
      <c r="J1576" s="9">
        <v>150</v>
      </c>
      <c r="K1576" s="77">
        <f t="shared" si="111"/>
        <v>300</v>
      </c>
      <c r="L1576" s="76">
        <v>46142</v>
      </c>
      <c r="N1576" s="83"/>
      <c r="O1576" s="84"/>
      <c r="P1576" s="81"/>
      <c r="Q1576" s="81"/>
      <c r="R1576" s="81"/>
      <c r="S1576" s="81"/>
      <c r="T1576" s="85"/>
      <c r="U1576" s="81"/>
      <c r="V1576" s="81"/>
      <c r="W1576" s="123">
        <f t="shared" si="110"/>
        <v>0</v>
      </c>
      <c r="X1576" s="123" t="s">
        <v>84</v>
      </c>
      <c r="Y1576" s="114" t="s">
        <v>1128</v>
      </c>
    </row>
    <row r="1577" spans="1:25" s="24" customFormat="1" ht="11.1" customHeight="1">
      <c r="A1577" s="74">
        <f t="shared" si="112"/>
        <v>1575</v>
      </c>
      <c r="B1577" s="75" t="s">
        <v>1199</v>
      </c>
      <c r="C1577" s="74" t="str">
        <f>IF($B1577&lt;&gt;"",_xlfn.IFNA(VLOOKUP($B1577,'Node Details'!$B:$U,C$1,0),"Check"),"")</f>
        <v>0000CM325-CM3250103</v>
      </c>
      <c r="D1577" s="74" t="str">
        <f>IF($B1577&lt;&gt;"",_xlfn.IFNA(VLOOKUP($B1577,'Node Details'!$B:$U,D$1,0),"Check"),"")</f>
        <v>CM3</v>
      </c>
      <c r="E1577" s="74" t="str">
        <f>IF($B1577&lt;&gt;"",_xlfn.IFNA(VLOOKUP($B1577,'Node Details'!$B:$U,E$1,0),"Check"),"")</f>
        <v>Airtel</v>
      </c>
      <c r="F1577" s="76">
        <v>46149</v>
      </c>
      <c r="G1577" s="74"/>
      <c r="H1577" s="10" t="s">
        <v>1250</v>
      </c>
      <c r="I1577" s="9">
        <v>2</v>
      </c>
      <c r="J1577" s="9">
        <v>150</v>
      </c>
      <c r="K1577" s="77">
        <f t="shared" si="111"/>
        <v>300</v>
      </c>
      <c r="L1577" s="76">
        <v>46142</v>
      </c>
      <c r="N1577" s="83"/>
      <c r="O1577" s="84"/>
      <c r="P1577" s="81"/>
      <c r="Q1577" s="81"/>
      <c r="R1577" s="81"/>
      <c r="S1577" s="81"/>
      <c r="T1577" s="85"/>
      <c r="U1577" s="81"/>
      <c r="V1577" s="81"/>
      <c r="W1577" s="123">
        <f t="shared" si="110"/>
        <v>0</v>
      </c>
      <c r="X1577" s="123" t="s">
        <v>84</v>
      </c>
      <c r="Y1577" s="114" t="s">
        <v>1128</v>
      </c>
    </row>
    <row r="1578" spans="1:25" s="24" customFormat="1" ht="11.1" customHeight="1">
      <c r="A1578" s="74">
        <f t="shared" si="112"/>
        <v>1576</v>
      </c>
      <c r="B1578" s="75" t="s">
        <v>1200</v>
      </c>
      <c r="C1578" s="74" t="str">
        <f>IF($B1578&lt;&gt;"",_xlfn.IFNA(VLOOKUP($B1578,'Node Details'!$B:$U,C$1,0),"Check"),"")</f>
        <v>0000CM325-CM3250103</v>
      </c>
      <c r="D1578" s="74" t="str">
        <f>IF($B1578&lt;&gt;"",_xlfn.IFNA(VLOOKUP($B1578,'Node Details'!$B:$U,D$1,0),"Check"),"")</f>
        <v>CM3</v>
      </c>
      <c r="E1578" s="74" t="str">
        <f>IF($B1578&lt;&gt;"",_xlfn.IFNA(VLOOKUP($B1578,'Node Details'!$B:$U,E$1,0),"Check"),"")</f>
        <v>Airtel</v>
      </c>
      <c r="F1578" s="76">
        <v>46149</v>
      </c>
      <c r="G1578" s="74"/>
      <c r="H1578" s="10" t="s">
        <v>1250</v>
      </c>
      <c r="I1578" s="9">
        <v>2</v>
      </c>
      <c r="J1578" s="9">
        <v>150</v>
      </c>
      <c r="K1578" s="77">
        <f t="shared" si="111"/>
        <v>300</v>
      </c>
      <c r="L1578" s="76">
        <v>46142</v>
      </c>
      <c r="N1578" s="83"/>
      <c r="O1578" s="84"/>
      <c r="P1578" s="81"/>
      <c r="Q1578" s="81"/>
      <c r="R1578" s="81"/>
      <c r="S1578" s="81"/>
      <c r="T1578" s="85"/>
      <c r="U1578" s="81"/>
      <c r="V1578" s="81"/>
      <c r="W1578" s="123">
        <f t="shared" si="110"/>
        <v>0</v>
      </c>
      <c r="X1578" s="123" t="s">
        <v>84</v>
      </c>
      <c r="Y1578" s="114" t="s">
        <v>1128</v>
      </c>
    </row>
    <row r="1579" spans="1:25" s="24" customFormat="1" ht="11.1" customHeight="1">
      <c r="A1579" s="74">
        <f t="shared" si="112"/>
        <v>1577</v>
      </c>
      <c r="B1579" s="75" t="s">
        <v>797</v>
      </c>
      <c r="C1579" s="74" t="str">
        <f>IF($B1579&lt;&gt;"",_xlfn.IFNA(VLOOKUP($B1579,'Node Details'!$B:$U,C$1,0),"Check"),"")</f>
        <v>0000CM325-CM3250103</v>
      </c>
      <c r="D1579" s="74" t="str">
        <f>IF($B1579&lt;&gt;"",_xlfn.IFNA(VLOOKUP($B1579,'Node Details'!$B:$U,D$1,0),"Check"),"")</f>
        <v>CM3</v>
      </c>
      <c r="E1579" s="74" t="str">
        <f>IF($B1579&lt;&gt;"",_xlfn.IFNA(VLOOKUP($B1579,'Node Details'!$B:$U,E$1,0),"Check"),"")</f>
        <v>Airtel</v>
      </c>
      <c r="F1579" s="76">
        <v>46149</v>
      </c>
      <c r="G1579" s="74"/>
      <c r="H1579" s="10" t="s">
        <v>1250</v>
      </c>
      <c r="I1579" s="9">
        <v>2</v>
      </c>
      <c r="J1579" s="9">
        <v>150</v>
      </c>
      <c r="K1579" s="77">
        <f t="shared" si="111"/>
        <v>300</v>
      </c>
      <c r="L1579" s="76">
        <v>46142</v>
      </c>
      <c r="N1579" s="83"/>
      <c r="O1579" s="84"/>
      <c r="P1579" s="81"/>
      <c r="Q1579" s="81"/>
      <c r="R1579" s="81"/>
      <c r="S1579" s="81"/>
      <c r="T1579" s="85"/>
      <c r="U1579" s="81"/>
      <c r="V1579" s="81"/>
      <c r="W1579" s="123">
        <f t="shared" si="110"/>
        <v>0</v>
      </c>
      <c r="X1579" s="123" t="s">
        <v>84</v>
      </c>
      <c r="Y1579" s="114" t="s">
        <v>1128</v>
      </c>
    </row>
    <row r="1580" spans="1:25" s="24" customFormat="1" ht="11.1" customHeight="1">
      <c r="A1580" s="74">
        <f t="shared" si="112"/>
        <v>1578</v>
      </c>
      <c r="B1580" s="75" t="s">
        <v>1201</v>
      </c>
      <c r="C1580" s="74" t="str">
        <f>IF($B1580&lt;&gt;"",_xlfn.IFNA(VLOOKUP($B1580,'Node Details'!$B:$U,C$1,0),"Check"),"")</f>
        <v>0000CM325-CM3250107</v>
      </c>
      <c r="D1580" s="74" t="str">
        <f>IF($B1580&lt;&gt;"",_xlfn.IFNA(VLOOKUP($B1580,'Node Details'!$B:$U,D$1,0),"Check"),"")</f>
        <v>CM3</v>
      </c>
      <c r="E1580" s="74" t="str">
        <f>IF($B1580&lt;&gt;"",_xlfn.IFNA(VLOOKUP($B1580,'Node Details'!$B:$U,E$1,0),"Check"),"")</f>
        <v>Airtel</v>
      </c>
      <c r="F1580" s="76">
        <v>46149</v>
      </c>
      <c r="G1580" s="74"/>
      <c r="H1580" s="10" t="s">
        <v>1250</v>
      </c>
      <c r="I1580" s="9">
        <v>2</v>
      </c>
      <c r="J1580" s="9">
        <v>150</v>
      </c>
      <c r="K1580" s="77">
        <f t="shared" si="111"/>
        <v>300</v>
      </c>
      <c r="L1580" s="76">
        <v>46142</v>
      </c>
      <c r="N1580" s="83"/>
      <c r="O1580" s="84"/>
      <c r="P1580" s="81"/>
      <c r="Q1580" s="81"/>
      <c r="R1580" s="81"/>
      <c r="S1580" s="81"/>
      <c r="T1580" s="85"/>
      <c r="U1580" s="81"/>
      <c r="V1580" s="81"/>
      <c r="W1580" s="123">
        <f t="shared" si="110"/>
        <v>0</v>
      </c>
      <c r="X1580" s="123" t="s">
        <v>84</v>
      </c>
      <c r="Y1580" s="114" t="s">
        <v>1128</v>
      </c>
    </row>
    <row r="1581" spans="1:25" s="24" customFormat="1" ht="11.1" customHeight="1">
      <c r="A1581" s="74">
        <f t="shared" si="112"/>
        <v>1579</v>
      </c>
      <c r="B1581" s="75" t="s">
        <v>1202</v>
      </c>
      <c r="C1581" s="74" t="str">
        <f>IF($B1581&lt;&gt;"",_xlfn.IFNA(VLOOKUP($B1581,'Node Details'!$B:$U,C$1,0),"Check"),"")</f>
        <v>0000CM325-CM3250107</v>
      </c>
      <c r="D1581" s="74" t="str">
        <f>IF($B1581&lt;&gt;"",_xlfn.IFNA(VLOOKUP($B1581,'Node Details'!$B:$U,D$1,0),"Check"),"")</f>
        <v>CM3</v>
      </c>
      <c r="E1581" s="74" t="str">
        <f>IF($B1581&lt;&gt;"",_xlfn.IFNA(VLOOKUP($B1581,'Node Details'!$B:$U,E$1,0),"Check"),"")</f>
        <v>Airtel</v>
      </c>
      <c r="F1581" s="76">
        <v>46149</v>
      </c>
      <c r="G1581" s="74"/>
      <c r="H1581" s="10" t="s">
        <v>1250</v>
      </c>
      <c r="I1581" s="9">
        <v>2</v>
      </c>
      <c r="J1581" s="9">
        <v>150</v>
      </c>
      <c r="K1581" s="77">
        <f t="shared" si="111"/>
        <v>300</v>
      </c>
      <c r="L1581" s="76">
        <v>46142</v>
      </c>
      <c r="N1581" s="83"/>
      <c r="O1581" s="84"/>
      <c r="P1581" s="81"/>
      <c r="Q1581" s="81"/>
      <c r="R1581" s="81"/>
      <c r="S1581" s="81"/>
      <c r="T1581" s="85"/>
      <c r="U1581" s="81"/>
      <c r="V1581" s="81"/>
      <c r="W1581" s="123">
        <f t="shared" si="110"/>
        <v>0</v>
      </c>
      <c r="X1581" s="123" t="s">
        <v>84</v>
      </c>
      <c r="Y1581" s="114" t="s">
        <v>1128</v>
      </c>
    </row>
    <row r="1582" spans="1:25" s="24" customFormat="1" ht="11.1" customHeight="1">
      <c r="A1582" s="74">
        <f t="shared" si="112"/>
        <v>1580</v>
      </c>
      <c r="B1582" s="75" t="s">
        <v>1203</v>
      </c>
      <c r="C1582" s="74" t="str">
        <f>IF($B1582&lt;&gt;"",_xlfn.IFNA(VLOOKUP($B1582,'Node Details'!$B:$U,C$1,0),"Check"),"")</f>
        <v>0000CM325-CM3250107</v>
      </c>
      <c r="D1582" s="74" t="str">
        <f>IF($B1582&lt;&gt;"",_xlfn.IFNA(VLOOKUP($B1582,'Node Details'!$B:$U,D$1,0),"Check"),"")</f>
        <v>CM3</v>
      </c>
      <c r="E1582" s="74" t="str">
        <f>IF($B1582&lt;&gt;"",_xlfn.IFNA(VLOOKUP($B1582,'Node Details'!$B:$U,E$1,0),"Check"),"")</f>
        <v>Airtel</v>
      </c>
      <c r="F1582" s="76">
        <v>46149</v>
      </c>
      <c r="G1582" s="74"/>
      <c r="H1582" s="10" t="s">
        <v>1250</v>
      </c>
      <c r="I1582" s="9">
        <v>2</v>
      </c>
      <c r="J1582" s="9">
        <v>150</v>
      </c>
      <c r="K1582" s="77">
        <f t="shared" si="111"/>
        <v>300</v>
      </c>
      <c r="L1582" s="76">
        <v>46142</v>
      </c>
      <c r="N1582" s="83"/>
      <c r="O1582" s="84"/>
      <c r="P1582" s="81"/>
      <c r="Q1582" s="81"/>
      <c r="R1582" s="81"/>
      <c r="S1582" s="81"/>
      <c r="T1582" s="85"/>
      <c r="U1582" s="81"/>
      <c r="V1582" s="81"/>
      <c r="W1582" s="123">
        <f t="shared" si="110"/>
        <v>0</v>
      </c>
      <c r="X1582" s="123" t="s">
        <v>84</v>
      </c>
      <c r="Y1582" s="114" t="s">
        <v>1128</v>
      </c>
    </row>
    <row r="1583" spans="1:25" s="24" customFormat="1" ht="11.1" customHeight="1">
      <c r="A1583" s="74">
        <f t="shared" si="112"/>
        <v>1581</v>
      </c>
      <c r="B1583" s="75" t="s">
        <v>799</v>
      </c>
      <c r="C1583" s="74" t="str">
        <f>IF($B1583&lt;&gt;"",_xlfn.IFNA(VLOOKUP($B1583,'Node Details'!$B:$U,C$1,0),"Check"),"")</f>
        <v>0000CM325-CM3250107</v>
      </c>
      <c r="D1583" s="74" t="str">
        <f>IF($B1583&lt;&gt;"",_xlfn.IFNA(VLOOKUP($B1583,'Node Details'!$B:$U,D$1,0),"Check"),"")</f>
        <v>CM3</v>
      </c>
      <c r="E1583" s="74" t="str">
        <f>IF($B1583&lt;&gt;"",_xlfn.IFNA(VLOOKUP($B1583,'Node Details'!$B:$U,E$1,0),"Check"),"")</f>
        <v>Airtel</v>
      </c>
      <c r="F1583" s="76">
        <v>46149</v>
      </c>
      <c r="G1583" s="74"/>
      <c r="H1583" s="10" t="s">
        <v>1250</v>
      </c>
      <c r="I1583" s="9">
        <v>2</v>
      </c>
      <c r="J1583" s="9">
        <v>150</v>
      </c>
      <c r="K1583" s="77">
        <f t="shared" si="111"/>
        <v>300</v>
      </c>
      <c r="L1583" s="76">
        <v>46142</v>
      </c>
      <c r="N1583" s="83"/>
      <c r="O1583" s="84"/>
      <c r="P1583" s="81"/>
      <c r="Q1583" s="81"/>
      <c r="R1583" s="81"/>
      <c r="S1583" s="81"/>
      <c r="T1583" s="85"/>
      <c r="U1583" s="81"/>
      <c r="V1583" s="81"/>
      <c r="W1583" s="123">
        <f t="shared" si="110"/>
        <v>0</v>
      </c>
      <c r="X1583" s="123" t="s">
        <v>84</v>
      </c>
      <c r="Y1583" s="114" t="s">
        <v>1128</v>
      </c>
    </row>
    <row r="1584" spans="1:25" s="24" customFormat="1" ht="11.1" customHeight="1">
      <c r="A1584" s="74">
        <f t="shared" si="112"/>
        <v>1582</v>
      </c>
      <c r="B1584" s="75" t="s">
        <v>821</v>
      </c>
      <c r="C1584" s="74" t="str">
        <f>IF($B1584&lt;&gt;"",_xlfn.IFNA(VLOOKUP($B1584,'Node Details'!$B:$U,C$1,0),"Check"),"")</f>
        <v>0000CM401-CM4010101</v>
      </c>
      <c r="D1584" s="74" t="str">
        <f>IF($B1584&lt;&gt;"",_xlfn.IFNA(VLOOKUP($B1584,'Node Details'!$B:$U,D$1,0),"Check"),"")</f>
        <v>CM4</v>
      </c>
      <c r="E1584" s="74" t="str">
        <f>IF($B1584&lt;&gt;"",_xlfn.IFNA(VLOOKUP($B1584,'Node Details'!$B:$U,E$1,0),"Check"),"")</f>
        <v>Airtel</v>
      </c>
      <c r="F1584" s="76">
        <v>46148</v>
      </c>
      <c r="G1584" s="74"/>
      <c r="H1584" s="10" t="s">
        <v>22</v>
      </c>
      <c r="I1584" s="9">
        <v>2</v>
      </c>
      <c r="J1584" s="9">
        <v>42</v>
      </c>
      <c r="K1584" s="77">
        <f t="shared" ref="K1584:K1647" si="113">IF(I1584&lt;&gt;"",J1584*I1584,0)</f>
        <v>84</v>
      </c>
      <c r="L1584" s="76">
        <v>46142</v>
      </c>
      <c r="N1584" s="83"/>
      <c r="O1584" s="84"/>
      <c r="P1584" s="81"/>
      <c r="Q1584" s="81"/>
      <c r="R1584" s="81"/>
      <c r="S1584" s="81"/>
      <c r="T1584" s="85"/>
      <c r="U1584" s="81"/>
      <c r="V1584" s="81"/>
      <c r="W1584" s="123">
        <f t="shared" ref="W1584:W1647" si="114">IF(V1584&lt;&gt;"",V1584*U1584,0)</f>
        <v>0</v>
      </c>
      <c r="X1584" s="123" t="s">
        <v>84</v>
      </c>
      <c r="Y1584" s="114" t="s">
        <v>1128</v>
      </c>
    </row>
    <row r="1585" spans="1:25" s="24" customFormat="1" ht="11.1" customHeight="1">
      <c r="A1585" s="74">
        <f t="shared" si="112"/>
        <v>1583</v>
      </c>
      <c r="B1585" s="75" t="s">
        <v>823</v>
      </c>
      <c r="C1585" s="74" t="str">
        <f>IF($B1585&lt;&gt;"",_xlfn.IFNA(VLOOKUP($B1585,'Node Details'!$B:$U,C$1,0),"Check"),"")</f>
        <v>0000CM401-CM4010102</v>
      </c>
      <c r="D1585" s="74" t="str">
        <f>IF($B1585&lt;&gt;"",_xlfn.IFNA(VLOOKUP($B1585,'Node Details'!$B:$U,D$1,0),"Check"),"")</f>
        <v>CM4</v>
      </c>
      <c r="E1585" s="74" t="str">
        <f>IF($B1585&lt;&gt;"",_xlfn.IFNA(VLOOKUP($B1585,'Node Details'!$B:$U,E$1,0),"Check"),"")</f>
        <v>Airtel</v>
      </c>
      <c r="F1585" s="76">
        <v>46148</v>
      </c>
      <c r="G1585" s="74"/>
      <c r="H1585" s="10" t="s">
        <v>22</v>
      </c>
      <c r="I1585" s="9">
        <v>2</v>
      </c>
      <c r="J1585" s="9">
        <v>42</v>
      </c>
      <c r="K1585" s="77">
        <f t="shared" si="113"/>
        <v>84</v>
      </c>
      <c r="L1585" s="76">
        <v>46142</v>
      </c>
      <c r="N1585" s="83"/>
      <c r="O1585" s="84"/>
      <c r="P1585" s="81"/>
      <c r="Q1585" s="81"/>
      <c r="R1585" s="81"/>
      <c r="S1585" s="81"/>
      <c r="T1585" s="85"/>
      <c r="U1585" s="81"/>
      <c r="V1585" s="81"/>
      <c r="W1585" s="123">
        <f t="shared" si="114"/>
        <v>0</v>
      </c>
      <c r="X1585" s="123" t="s">
        <v>84</v>
      </c>
      <c r="Y1585" s="114" t="s">
        <v>1128</v>
      </c>
    </row>
    <row r="1586" spans="1:25" s="24" customFormat="1" ht="11.1" customHeight="1">
      <c r="A1586" s="74">
        <f t="shared" si="112"/>
        <v>1584</v>
      </c>
      <c r="B1586" s="75" t="s">
        <v>1204</v>
      </c>
      <c r="C1586" s="74" t="str">
        <f>IF($B1586&lt;&gt;"",_xlfn.IFNA(VLOOKUP($B1586,'Node Details'!$B:$U,C$1,0),"Check"),"")</f>
        <v>0000CM401-CM4010104</v>
      </c>
      <c r="D1586" s="74" t="str">
        <f>IF($B1586&lt;&gt;"",_xlfn.IFNA(VLOOKUP($B1586,'Node Details'!$B:$U,D$1,0),"Check"),"")</f>
        <v>CM4</v>
      </c>
      <c r="E1586" s="74" t="str">
        <f>IF($B1586&lt;&gt;"",_xlfn.IFNA(VLOOKUP($B1586,'Node Details'!$B:$U,E$1,0),"Check"),"")</f>
        <v>Airtel</v>
      </c>
      <c r="F1586" s="76">
        <v>46148</v>
      </c>
      <c r="G1586" s="74"/>
      <c r="H1586" s="10" t="s">
        <v>22</v>
      </c>
      <c r="I1586" s="9">
        <v>2</v>
      </c>
      <c r="J1586" s="9">
        <v>42</v>
      </c>
      <c r="K1586" s="77">
        <f t="shared" si="113"/>
        <v>84</v>
      </c>
      <c r="L1586" s="76">
        <v>46142</v>
      </c>
      <c r="N1586" s="83"/>
      <c r="O1586" s="84"/>
      <c r="P1586" s="81"/>
      <c r="Q1586" s="81"/>
      <c r="R1586" s="81"/>
      <c r="S1586" s="81"/>
      <c r="T1586" s="85"/>
      <c r="U1586" s="81"/>
      <c r="V1586" s="81"/>
      <c r="W1586" s="123">
        <f t="shared" si="114"/>
        <v>0</v>
      </c>
      <c r="X1586" s="123" t="s">
        <v>84</v>
      </c>
      <c r="Y1586" s="114" t="s">
        <v>1128</v>
      </c>
    </row>
    <row r="1587" spans="1:25" s="24" customFormat="1" ht="11.1" customHeight="1">
      <c r="A1587" s="74">
        <f t="shared" si="112"/>
        <v>1585</v>
      </c>
      <c r="B1587" s="75" t="s">
        <v>827</v>
      </c>
      <c r="C1587" s="74" t="str">
        <f>IF($B1587&lt;&gt;"",_xlfn.IFNA(VLOOKUP($B1587,'Node Details'!$B:$U,C$1,0),"Check"),"")</f>
        <v>0000CM401-CM4010104</v>
      </c>
      <c r="D1587" s="74" t="str">
        <f>IF($B1587&lt;&gt;"",_xlfn.IFNA(VLOOKUP($B1587,'Node Details'!$B:$U,D$1,0),"Check"),"")</f>
        <v>CM4</v>
      </c>
      <c r="E1587" s="74" t="str">
        <f>IF($B1587&lt;&gt;"",_xlfn.IFNA(VLOOKUP($B1587,'Node Details'!$B:$U,E$1,0),"Check"),"")</f>
        <v>Airtel</v>
      </c>
      <c r="F1587" s="76">
        <v>46148</v>
      </c>
      <c r="G1587" s="74"/>
      <c r="H1587" s="10" t="s">
        <v>22</v>
      </c>
      <c r="I1587" s="9">
        <v>2</v>
      </c>
      <c r="J1587" s="9">
        <v>42</v>
      </c>
      <c r="K1587" s="77">
        <f t="shared" si="113"/>
        <v>84</v>
      </c>
      <c r="L1587" s="76">
        <v>46142</v>
      </c>
      <c r="N1587" s="83"/>
      <c r="O1587" s="84"/>
      <c r="P1587" s="81"/>
      <c r="Q1587" s="81"/>
      <c r="R1587" s="81"/>
      <c r="S1587" s="81"/>
      <c r="T1587" s="85"/>
      <c r="U1587" s="81"/>
      <c r="V1587" s="81"/>
      <c r="W1587" s="123">
        <f t="shared" si="114"/>
        <v>0</v>
      </c>
      <c r="X1587" s="123" t="s">
        <v>84</v>
      </c>
      <c r="Y1587" s="114" t="s">
        <v>1128</v>
      </c>
    </row>
    <row r="1588" spans="1:25" s="24" customFormat="1" ht="11.1" customHeight="1">
      <c r="A1588" s="74">
        <f t="shared" si="112"/>
        <v>1586</v>
      </c>
      <c r="B1588" s="75" t="s">
        <v>825</v>
      </c>
      <c r="C1588" s="74" t="str">
        <f>IF($B1588&lt;&gt;"",_xlfn.IFNA(VLOOKUP($B1588,'Node Details'!$B:$U,C$1,0),"Check"),"")</f>
        <v>0000CM401-CM4010104</v>
      </c>
      <c r="D1588" s="74" t="str">
        <f>IF($B1588&lt;&gt;"",_xlfn.IFNA(VLOOKUP($B1588,'Node Details'!$B:$U,D$1,0),"Check"),"")</f>
        <v>CM4</v>
      </c>
      <c r="E1588" s="74" t="str">
        <f>IF($B1588&lt;&gt;"",_xlfn.IFNA(VLOOKUP($B1588,'Node Details'!$B:$U,E$1,0),"Check"),"")</f>
        <v>Airtel</v>
      </c>
      <c r="F1588" s="76">
        <v>46148</v>
      </c>
      <c r="G1588" s="74"/>
      <c r="H1588" s="10" t="s">
        <v>22</v>
      </c>
      <c r="I1588" s="9">
        <v>2</v>
      </c>
      <c r="J1588" s="9">
        <v>42</v>
      </c>
      <c r="K1588" s="77">
        <f t="shared" si="113"/>
        <v>84</v>
      </c>
      <c r="L1588" s="76">
        <v>46142</v>
      </c>
      <c r="N1588" s="83"/>
      <c r="O1588" s="84"/>
      <c r="P1588" s="81"/>
      <c r="Q1588" s="81"/>
      <c r="R1588" s="81"/>
      <c r="S1588" s="81"/>
      <c r="T1588" s="85"/>
      <c r="U1588" s="81"/>
      <c r="V1588" s="81"/>
      <c r="W1588" s="123">
        <f t="shared" si="114"/>
        <v>0</v>
      </c>
      <c r="X1588" s="123" t="s">
        <v>84</v>
      </c>
      <c r="Y1588" s="114" t="s">
        <v>1128</v>
      </c>
    </row>
    <row r="1589" spans="1:25" s="24" customFormat="1" ht="11.1" customHeight="1">
      <c r="A1589" s="74">
        <f t="shared" si="112"/>
        <v>1587</v>
      </c>
      <c r="B1589" s="75" t="s">
        <v>1205</v>
      </c>
      <c r="C1589" s="74" t="str">
        <f>IF($B1589&lt;&gt;"",_xlfn.IFNA(VLOOKUP($B1589,'Node Details'!$B:$U,C$1,0),"Check"),"")</f>
        <v>CM4010106-CM4010108</v>
      </c>
      <c r="D1589" s="74" t="str">
        <f>IF($B1589&lt;&gt;"",_xlfn.IFNA(VLOOKUP($B1589,'Node Details'!$B:$U,D$1,0),"Check"),"")</f>
        <v>CM4</v>
      </c>
      <c r="E1589" s="74" t="str">
        <f>IF($B1589&lt;&gt;"",_xlfn.IFNA(VLOOKUP($B1589,'Node Details'!$B:$U,E$1,0),"Check"),"")</f>
        <v>Airtel</v>
      </c>
      <c r="F1589" s="76">
        <v>46148</v>
      </c>
      <c r="G1589" s="74"/>
      <c r="H1589" s="10" t="s">
        <v>22</v>
      </c>
      <c r="I1589" s="9">
        <v>2</v>
      </c>
      <c r="J1589" s="9">
        <v>42</v>
      </c>
      <c r="K1589" s="77">
        <f t="shared" si="113"/>
        <v>84</v>
      </c>
      <c r="L1589" s="76">
        <v>46142</v>
      </c>
      <c r="N1589" s="83"/>
      <c r="O1589" s="84"/>
      <c r="P1589" s="81"/>
      <c r="Q1589" s="81"/>
      <c r="R1589" s="81"/>
      <c r="S1589" s="81"/>
      <c r="T1589" s="85"/>
      <c r="U1589" s="81"/>
      <c r="V1589" s="81"/>
      <c r="W1589" s="123">
        <f t="shared" si="114"/>
        <v>0</v>
      </c>
      <c r="X1589" s="123" t="s">
        <v>84</v>
      </c>
      <c r="Y1589" s="114" t="s">
        <v>1128</v>
      </c>
    </row>
    <row r="1590" spans="1:25" s="24" customFormat="1" ht="11.1" customHeight="1">
      <c r="A1590" s="74">
        <f t="shared" si="112"/>
        <v>1588</v>
      </c>
      <c r="B1590" s="75" t="s">
        <v>828</v>
      </c>
      <c r="C1590" s="74" t="str">
        <f>IF($B1590&lt;&gt;"",_xlfn.IFNA(VLOOKUP($B1590,'Node Details'!$B:$U,C$1,0),"Check"),"")</f>
        <v>CM4010106-CM4010108</v>
      </c>
      <c r="D1590" s="74" t="str">
        <f>IF($B1590&lt;&gt;"",_xlfn.IFNA(VLOOKUP($B1590,'Node Details'!$B:$U,D$1,0),"Check"),"")</f>
        <v>CM4</v>
      </c>
      <c r="E1590" s="74" t="str">
        <f>IF($B1590&lt;&gt;"",_xlfn.IFNA(VLOOKUP($B1590,'Node Details'!$B:$U,E$1,0),"Check"),"")</f>
        <v>Airtel</v>
      </c>
      <c r="F1590" s="76">
        <v>46148</v>
      </c>
      <c r="G1590" s="74"/>
      <c r="H1590" s="10" t="s">
        <v>22</v>
      </c>
      <c r="I1590" s="9">
        <v>2</v>
      </c>
      <c r="J1590" s="9">
        <v>42</v>
      </c>
      <c r="K1590" s="77">
        <f t="shared" si="113"/>
        <v>84</v>
      </c>
      <c r="L1590" s="76">
        <v>46142</v>
      </c>
      <c r="N1590" s="83"/>
      <c r="O1590" s="84"/>
      <c r="P1590" s="81"/>
      <c r="Q1590" s="81"/>
      <c r="R1590" s="81"/>
      <c r="S1590" s="81"/>
      <c r="T1590" s="85"/>
      <c r="U1590" s="81"/>
      <c r="V1590" s="81"/>
      <c r="W1590" s="123">
        <f t="shared" si="114"/>
        <v>0</v>
      </c>
      <c r="X1590" s="123" t="s">
        <v>84</v>
      </c>
      <c r="Y1590" s="114" t="s">
        <v>1128</v>
      </c>
    </row>
    <row r="1591" spans="1:25" s="24" customFormat="1" ht="11.1" customHeight="1">
      <c r="A1591" s="74">
        <f t="shared" si="112"/>
        <v>1589</v>
      </c>
      <c r="B1591" s="75" t="s">
        <v>1206</v>
      </c>
      <c r="C1591" s="74" t="str">
        <f>IF($B1591&lt;&gt;"",_xlfn.IFNA(VLOOKUP($B1591,'Node Details'!$B:$U,C$1,0),"Check"),"")</f>
        <v>0000CM402-CM4020104</v>
      </c>
      <c r="D1591" s="74" t="str">
        <f>IF($B1591&lt;&gt;"",_xlfn.IFNA(VLOOKUP($B1591,'Node Details'!$B:$U,D$1,0),"Check"),"")</f>
        <v>CM4</v>
      </c>
      <c r="E1591" s="74" t="str">
        <f>IF($B1591&lt;&gt;"",_xlfn.IFNA(VLOOKUP($B1591,'Node Details'!$B:$U,E$1,0),"Check"),"")</f>
        <v>Airtel</v>
      </c>
      <c r="F1591" s="76">
        <v>46148</v>
      </c>
      <c r="G1591" s="74"/>
      <c r="H1591" s="10" t="s">
        <v>22</v>
      </c>
      <c r="I1591" s="9">
        <v>2</v>
      </c>
      <c r="J1591" s="9">
        <v>42</v>
      </c>
      <c r="K1591" s="77">
        <f t="shared" si="113"/>
        <v>84</v>
      </c>
      <c r="L1591" s="76">
        <v>46142</v>
      </c>
      <c r="N1591" s="83"/>
      <c r="O1591" s="84"/>
      <c r="P1591" s="81"/>
      <c r="Q1591" s="81"/>
      <c r="R1591" s="81"/>
      <c r="S1591" s="81"/>
      <c r="T1591" s="85"/>
      <c r="U1591" s="81"/>
      <c r="V1591" s="81"/>
      <c r="W1591" s="123">
        <f t="shared" si="114"/>
        <v>0</v>
      </c>
      <c r="X1591" s="123" t="s">
        <v>84</v>
      </c>
      <c r="Y1591" s="114" t="s">
        <v>1128</v>
      </c>
    </row>
    <row r="1592" spans="1:25" s="24" customFormat="1" ht="11.1" customHeight="1">
      <c r="A1592" s="74">
        <f t="shared" si="112"/>
        <v>1590</v>
      </c>
      <c r="B1592" s="75" t="s">
        <v>1207</v>
      </c>
      <c r="C1592" s="74" t="str">
        <f>IF($B1592&lt;&gt;"",_xlfn.IFNA(VLOOKUP($B1592,'Node Details'!$B:$U,C$1,0),"Check"),"")</f>
        <v>0000CM402-CM4020104</v>
      </c>
      <c r="D1592" s="74" t="str">
        <f>IF($B1592&lt;&gt;"",_xlfn.IFNA(VLOOKUP($B1592,'Node Details'!$B:$U,D$1,0),"Check"),"")</f>
        <v>CM4</v>
      </c>
      <c r="E1592" s="74" t="str">
        <f>IF($B1592&lt;&gt;"",_xlfn.IFNA(VLOOKUP($B1592,'Node Details'!$B:$U,E$1,0),"Check"),"")</f>
        <v>Airtel</v>
      </c>
      <c r="F1592" s="76">
        <v>46148</v>
      </c>
      <c r="G1592" s="74"/>
      <c r="H1592" s="10" t="s">
        <v>22</v>
      </c>
      <c r="I1592" s="9">
        <v>2</v>
      </c>
      <c r="J1592" s="9">
        <v>42</v>
      </c>
      <c r="K1592" s="77">
        <f t="shared" si="113"/>
        <v>84</v>
      </c>
      <c r="L1592" s="76">
        <v>46142</v>
      </c>
      <c r="N1592" s="83"/>
      <c r="O1592" s="84"/>
      <c r="P1592" s="81"/>
      <c r="Q1592" s="81"/>
      <c r="R1592" s="81"/>
      <c r="S1592" s="81"/>
      <c r="T1592" s="85"/>
      <c r="U1592" s="81"/>
      <c r="V1592" s="81"/>
      <c r="W1592" s="123">
        <f t="shared" si="114"/>
        <v>0</v>
      </c>
      <c r="X1592" s="123" t="s">
        <v>84</v>
      </c>
      <c r="Y1592" s="114" t="s">
        <v>1128</v>
      </c>
    </row>
    <row r="1593" spans="1:25" s="24" customFormat="1" ht="11.1" customHeight="1">
      <c r="A1593" s="74">
        <f t="shared" si="112"/>
        <v>1591</v>
      </c>
      <c r="B1593" s="75" t="s">
        <v>1208</v>
      </c>
      <c r="C1593" s="74" t="str">
        <f>IF($B1593&lt;&gt;"",_xlfn.IFNA(VLOOKUP($B1593,'Node Details'!$B:$U,C$1,0),"Check"),"")</f>
        <v>0000CM402-CM4020104</v>
      </c>
      <c r="D1593" s="74" t="str">
        <f>IF($B1593&lt;&gt;"",_xlfn.IFNA(VLOOKUP($B1593,'Node Details'!$B:$U,D$1,0),"Check"),"")</f>
        <v>CM4</v>
      </c>
      <c r="E1593" s="74" t="str">
        <f>IF($B1593&lt;&gt;"",_xlfn.IFNA(VLOOKUP($B1593,'Node Details'!$B:$U,E$1,0),"Check"),"")</f>
        <v>Airtel</v>
      </c>
      <c r="F1593" s="76">
        <v>46148</v>
      </c>
      <c r="G1593" s="74"/>
      <c r="H1593" s="10" t="s">
        <v>22</v>
      </c>
      <c r="I1593" s="9">
        <v>2</v>
      </c>
      <c r="J1593" s="9">
        <v>42</v>
      </c>
      <c r="K1593" s="77">
        <f t="shared" si="113"/>
        <v>84</v>
      </c>
      <c r="L1593" s="76">
        <v>46142</v>
      </c>
      <c r="N1593" s="83"/>
      <c r="O1593" s="84"/>
      <c r="P1593" s="81"/>
      <c r="Q1593" s="81"/>
      <c r="R1593" s="81"/>
      <c r="S1593" s="81"/>
      <c r="T1593" s="85"/>
      <c r="U1593" s="81"/>
      <c r="V1593" s="81"/>
      <c r="W1593" s="123">
        <f t="shared" si="114"/>
        <v>0</v>
      </c>
      <c r="X1593" s="123" t="s">
        <v>84</v>
      </c>
      <c r="Y1593" s="114" t="s">
        <v>1128</v>
      </c>
    </row>
    <row r="1594" spans="1:25" s="24" customFormat="1" ht="11.1" customHeight="1">
      <c r="A1594" s="74">
        <f t="shared" si="112"/>
        <v>1592</v>
      </c>
      <c r="B1594" s="75" t="s">
        <v>832</v>
      </c>
      <c r="C1594" s="74" t="str">
        <f>IF($B1594&lt;&gt;"",_xlfn.IFNA(VLOOKUP($B1594,'Node Details'!$B:$U,C$1,0),"Check"),"")</f>
        <v>0000CM402-CM4020105</v>
      </c>
      <c r="D1594" s="74" t="str">
        <f>IF($B1594&lt;&gt;"",_xlfn.IFNA(VLOOKUP($B1594,'Node Details'!$B:$U,D$1,0),"Check"),"")</f>
        <v>CM4</v>
      </c>
      <c r="E1594" s="74" t="str">
        <f>IF($B1594&lt;&gt;"",_xlfn.IFNA(VLOOKUP($B1594,'Node Details'!$B:$U,E$1,0),"Check"),"")</f>
        <v>Airtel</v>
      </c>
      <c r="F1594" s="76">
        <v>46148</v>
      </c>
      <c r="G1594" s="74"/>
      <c r="H1594" s="10" t="s">
        <v>22</v>
      </c>
      <c r="I1594" s="9">
        <v>2</v>
      </c>
      <c r="J1594" s="9">
        <v>42</v>
      </c>
      <c r="K1594" s="77">
        <f t="shared" si="113"/>
        <v>84</v>
      </c>
      <c r="L1594" s="76">
        <v>46142</v>
      </c>
      <c r="N1594" s="83"/>
      <c r="O1594" s="84"/>
      <c r="P1594" s="81"/>
      <c r="Q1594" s="81"/>
      <c r="R1594" s="81"/>
      <c r="S1594" s="81"/>
      <c r="T1594" s="85"/>
      <c r="U1594" s="81"/>
      <c r="V1594" s="81"/>
      <c r="W1594" s="123">
        <f t="shared" si="114"/>
        <v>0</v>
      </c>
      <c r="X1594" s="123" t="s">
        <v>84</v>
      </c>
      <c r="Y1594" s="114" t="s">
        <v>1128</v>
      </c>
    </row>
    <row r="1595" spans="1:25" s="24" customFormat="1" ht="11.1" customHeight="1">
      <c r="A1595" s="74">
        <f t="shared" si="112"/>
        <v>1593</v>
      </c>
      <c r="B1595" s="75" t="s">
        <v>1209</v>
      </c>
      <c r="C1595" s="74" t="str">
        <f>IF($B1595&lt;&gt;"",_xlfn.IFNA(VLOOKUP($B1595,'Node Details'!$B:$U,C$1,0),"Check"),"")</f>
        <v>0000CM402-CM4020108</v>
      </c>
      <c r="D1595" s="74" t="str">
        <f>IF($B1595&lt;&gt;"",_xlfn.IFNA(VLOOKUP($B1595,'Node Details'!$B:$U,D$1,0),"Check"),"")</f>
        <v>CM4</v>
      </c>
      <c r="E1595" s="74" t="str">
        <f>IF($B1595&lt;&gt;"",_xlfn.IFNA(VLOOKUP($B1595,'Node Details'!$B:$U,E$1,0),"Check"),"")</f>
        <v>Airtel</v>
      </c>
      <c r="F1595" s="76">
        <v>46148</v>
      </c>
      <c r="G1595" s="74"/>
      <c r="H1595" s="10" t="s">
        <v>22</v>
      </c>
      <c r="I1595" s="9">
        <v>2</v>
      </c>
      <c r="J1595" s="9">
        <v>42</v>
      </c>
      <c r="K1595" s="77">
        <f t="shared" si="113"/>
        <v>84</v>
      </c>
      <c r="L1595" s="76">
        <v>46142</v>
      </c>
      <c r="N1595" s="83"/>
      <c r="O1595" s="84"/>
      <c r="P1595" s="81"/>
      <c r="Q1595" s="81"/>
      <c r="R1595" s="81"/>
      <c r="S1595" s="81"/>
      <c r="T1595" s="85"/>
      <c r="U1595" s="81"/>
      <c r="V1595" s="81"/>
      <c r="W1595" s="123">
        <f t="shared" si="114"/>
        <v>0</v>
      </c>
      <c r="X1595" s="123" t="s">
        <v>84</v>
      </c>
      <c r="Y1595" s="114" t="s">
        <v>1128</v>
      </c>
    </row>
    <row r="1596" spans="1:25" s="24" customFormat="1" ht="11.1" customHeight="1">
      <c r="A1596" s="74">
        <f t="shared" si="112"/>
        <v>1594</v>
      </c>
      <c r="B1596" s="75" t="s">
        <v>1210</v>
      </c>
      <c r="C1596" s="74" t="str">
        <f>IF($B1596&lt;&gt;"",_xlfn.IFNA(VLOOKUP($B1596,'Node Details'!$B:$U,C$1,0),"Check"),"")</f>
        <v>0000CM402-CM4020108</v>
      </c>
      <c r="D1596" s="74" t="str">
        <f>IF($B1596&lt;&gt;"",_xlfn.IFNA(VLOOKUP($B1596,'Node Details'!$B:$U,D$1,0),"Check"),"")</f>
        <v>CM4</v>
      </c>
      <c r="E1596" s="74" t="str">
        <f>IF($B1596&lt;&gt;"",_xlfn.IFNA(VLOOKUP($B1596,'Node Details'!$B:$U,E$1,0),"Check"),"")</f>
        <v>Airtel</v>
      </c>
      <c r="F1596" s="76">
        <v>46148</v>
      </c>
      <c r="G1596" s="74"/>
      <c r="H1596" s="10" t="s">
        <v>22</v>
      </c>
      <c r="I1596" s="9">
        <v>2</v>
      </c>
      <c r="J1596" s="9">
        <v>42</v>
      </c>
      <c r="K1596" s="77">
        <f t="shared" si="113"/>
        <v>84</v>
      </c>
      <c r="L1596" s="76">
        <v>46142</v>
      </c>
      <c r="N1596" s="83"/>
      <c r="O1596" s="84"/>
      <c r="P1596" s="81"/>
      <c r="Q1596" s="81"/>
      <c r="R1596" s="81"/>
      <c r="S1596" s="81"/>
      <c r="T1596" s="85"/>
      <c r="U1596" s="81"/>
      <c r="V1596" s="81"/>
      <c r="W1596" s="123">
        <f t="shared" si="114"/>
        <v>0</v>
      </c>
      <c r="X1596" s="123" t="s">
        <v>84</v>
      </c>
      <c r="Y1596" s="114" t="s">
        <v>1128</v>
      </c>
    </row>
    <row r="1597" spans="1:25" s="24" customFormat="1" ht="11.1" customHeight="1">
      <c r="A1597" s="74">
        <f t="shared" si="112"/>
        <v>1595</v>
      </c>
      <c r="B1597" s="75" t="s">
        <v>834</v>
      </c>
      <c r="C1597" s="74" t="str">
        <f>IF($B1597&lt;&gt;"",_xlfn.IFNA(VLOOKUP($B1597,'Node Details'!$B:$U,C$1,0),"Check"),"")</f>
        <v>0000CM402-CM4020108</v>
      </c>
      <c r="D1597" s="74" t="str">
        <f>IF($B1597&lt;&gt;"",_xlfn.IFNA(VLOOKUP($B1597,'Node Details'!$B:$U,D$1,0),"Check"),"")</f>
        <v>CM4</v>
      </c>
      <c r="E1597" s="74" t="str">
        <f>IF($B1597&lt;&gt;"",_xlfn.IFNA(VLOOKUP($B1597,'Node Details'!$B:$U,E$1,0),"Check"),"")</f>
        <v>Airtel</v>
      </c>
      <c r="F1597" s="76">
        <v>46148</v>
      </c>
      <c r="G1597" s="74"/>
      <c r="H1597" s="10" t="s">
        <v>22</v>
      </c>
      <c r="I1597" s="9">
        <v>2</v>
      </c>
      <c r="J1597" s="9">
        <v>42</v>
      </c>
      <c r="K1597" s="77">
        <f t="shared" si="113"/>
        <v>84</v>
      </c>
      <c r="L1597" s="76">
        <v>46142</v>
      </c>
      <c r="N1597" s="83"/>
      <c r="O1597" s="84"/>
      <c r="P1597" s="81"/>
      <c r="Q1597" s="81"/>
      <c r="R1597" s="81"/>
      <c r="S1597" s="81"/>
      <c r="T1597" s="85"/>
      <c r="U1597" s="81"/>
      <c r="V1597" s="81"/>
      <c r="W1597" s="123">
        <f t="shared" si="114"/>
        <v>0</v>
      </c>
      <c r="X1597" s="123" t="s">
        <v>84</v>
      </c>
      <c r="Y1597" s="114" t="s">
        <v>1128</v>
      </c>
    </row>
    <row r="1598" spans="1:25" s="24" customFormat="1" ht="11.1" customHeight="1">
      <c r="A1598" s="74">
        <f t="shared" si="112"/>
        <v>1596</v>
      </c>
      <c r="B1598" s="75" t="s">
        <v>830</v>
      </c>
      <c r="C1598" s="74" t="str">
        <f>IF($B1598&lt;&gt;"",_xlfn.IFNA(VLOOKUP($B1598,'Node Details'!$B:$U,C$1,0),"Check"),"")</f>
        <v>0000CM402-CM4020104</v>
      </c>
      <c r="D1598" s="74" t="str">
        <f>IF($B1598&lt;&gt;"",_xlfn.IFNA(VLOOKUP($B1598,'Node Details'!$B:$U,D$1,0),"Check"),"")</f>
        <v>CM4</v>
      </c>
      <c r="E1598" s="74" t="str">
        <f>IF($B1598&lt;&gt;"",_xlfn.IFNA(VLOOKUP($B1598,'Node Details'!$B:$U,E$1,0),"Check"),"")</f>
        <v>Airtel</v>
      </c>
      <c r="F1598" s="76">
        <v>46148</v>
      </c>
      <c r="G1598" s="74"/>
      <c r="H1598" s="10" t="s">
        <v>22</v>
      </c>
      <c r="I1598" s="9">
        <v>2</v>
      </c>
      <c r="J1598" s="9">
        <v>42</v>
      </c>
      <c r="K1598" s="77">
        <f t="shared" si="113"/>
        <v>84</v>
      </c>
      <c r="L1598" s="76">
        <v>46142</v>
      </c>
      <c r="N1598" s="83"/>
      <c r="O1598" s="84"/>
      <c r="P1598" s="81"/>
      <c r="Q1598" s="81"/>
      <c r="R1598" s="81"/>
      <c r="S1598" s="81"/>
      <c r="T1598" s="85"/>
      <c r="U1598" s="81"/>
      <c r="V1598" s="81"/>
      <c r="W1598" s="123">
        <f t="shared" si="114"/>
        <v>0</v>
      </c>
      <c r="X1598" s="123" t="s">
        <v>84</v>
      </c>
      <c r="Y1598" s="114" t="s">
        <v>1128</v>
      </c>
    </row>
    <row r="1599" spans="1:25" s="24" customFormat="1" ht="11.1" customHeight="1">
      <c r="A1599" s="74">
        <f t="shared" si="112"/>
        <v>1597</v>
      </c>
      <c r="B1599" s="75" t="s">
        <v>836</v>
      </c>
      <c r="C1599" s="74" t="str">
        <f>IF($B1599&lt;&gt;"",_xlfn.IFNA(VLOOKUP($B1599,'Node Details'!$B:$U,C$1,0),"Check"),"")</f>
        <v>0000CM403-CM4030101</v>
      </c>
      <c r="D1599" s="74" t="str">
        <f>IF($B1599&lt;&gt;"",_xlfn.IFNA(VLOOKUP($B1599,'Node Details'!$B:$U,D$1,0),"Check"),"")</f>
        <v>CM4</v>
      </c>
      <c r="E1599" s="74" t="str">
        <f>IF($B1599&lt;&gt;"",_xlfn.IFNA(VLOOKUP($B1599,'Node Details'!$B:$U,E$1,0),"Check"),"")</f>
        <v>Airtel</v>
      </c>
      <c r="F1599" s="76">
        <v>46148</v>
      </c>
      <c r="G1599" s="74"/>
      <c r="H1599" s="10" t="s">
        <v>22</v>
      </c>
      <c r="I1599" s="9">
        <v>2</v>
      </c>
      <c r="J1599" s="9">
        <v>42</v>
      </c>
      <c r="K1599" s="77">
        <f t="shared" si="113"/>
        <v>84</v>
      </c>
      <c r="L1599" s="76">
        <v>46142</v>
      </c>
      <c r="N1599" s="83"/>
      <c r="O1599" s="84"/>
      <c r="P1599" s="81"/>
      <c r="Q1599" s="81"/>
      <c r="R1599" s="81"/>
      <c r="S1599" s="81"/>
      <c r="T1599" s="85"/>
      <c r="U1599" s="81"/>
      <c r="V1599" s="81"/>
      <c r="W1599" s="123">
        <f t="shared" si="114"/>
        <v>0</v>
      </c>
      <c r="X1599" s="123" t="s">
        <v>84</v>
      </c>
      <c r="Y1599" s="114" t="s">
        <v>1128</v>
      </c>
    </row>
    <row r="1600" spans="1:25" s="24" customFormat="1" ht="11.1" customHeight="1">
      <c r="A1600" s="74">
        <f t="shared" si="112"/>
        <v>1598</v>
      </c>
      <c r="B1600" s="75" t="s">
        <v>1211</v>
      </c>
      <c r="C1600" s="74" t="str">
        <f>IF($B1600&lt;&gt;"",_xlfn.IFNA(VLOOKUP($B1600,'Node Details'!$B:$U,C$1,0),"Check"),"")</f>
        <v>0000CM403-CM4030103</v>
      </c>
      <c r="D1600" s="74" t="str">
        <f>IF($B1600&lt;&gt;"",_xlfn.IFNA(VLOOKUP($B1600,'Node Details'!$B:$U,D$1,0),"Check"),"")</f>
        <v>CM4</v>
      </c>
      <c r="E1600" s="74" t="str">
        <f>IF($B1600&lt;&gt;"",_xlfn.IFNA(VLOOKUP($B1600,'Node Details'!$B:$U,E$1,0),"Check"),"")</f>
        <v>Airtel</v>
      </c>
      <c r="F1600" s="76">
        <v>46148</v>
      </c>
      <c r="G1600" s="74"/>
      <c r="H1600" s="10" t="s">
        <v>22</v>
      </c>
      <c r="I1600" s="9">
        <v>2</v>
      </c>
      <c r="J1600" s="9">
        <v>42</v>
      </c>
      <c r="K1600" s="77">
        <f t="shared" si="113"/>
        <v>84</v>
      </c>
      <c r="L1600" s="76">
        <v>46142</v>
      </c>
      <c r="N1600" s="83"/>
      <c r="O1600" s="84"/>
      <c r="P1600" s="81"/>
      <c r="Q1600" s="81"/>
      <c r="R1600" s="81"/>
      <c r="S1600" s="81"/>
      <c r="T1600" s="85"/>
      <c r="U1600" s="81"/>
      <c r="V1600" s="81"/>
      <c r="W1600" s="123">
        <f t="shared" si="114"/>
        <v>0</v>
      </c>
      <c r="X1600" s="123" t="s">
        <v>84</v>
      </c>
      <c r="Y1600" s="114" t="s">
        <v>1128</v>
      </c>
    </row>
    <row r="1601" spans="1:25" s="24" customFormat="1" ht="11.1" customHeight="1">
      <c r="A1601" s="74">
        <f t="shared" si="112"/>
        <v>1599</v>
      </c>
      <c r="B1601" s="75" t="s">
        <v>838</v>
      </c>
      <c r="C1601" s="74" t="str">
        <f>IF($B1601&lt;&gt;"",_xlfn.IFNA(VLOOKUP($B1601,'Node Details'!$B:$U,C$1,0),"Check"),"")</f>
        <v>0000CM403-CM4030103</v>
      </c>
      <c r="D1601" s="74" t="str">
        <f>IF($B1601&lt;&gt;"",_xlfn.IFNA(VLOOKUP($B1601,'Node Details'!$B:$U,D$1,0),"Check"),"")</f>
        <v>CM4</v>
      </c>
      <c r="E1601" s="74" t="str">
        <f>IF($B1601&lt;&gt;"",_xlfn.IFNA(VLOOKUP($B1601,'Node Details'!$B:$U,E$1,0),"Check"),"")</f>
        <v>Airtel</v>
      </c>
      <c r="F1601" s="76">
        <v>46148</v>
      </c>
      <c r="G1601" s="74"/>
      <c r="H1601" s="10" t="s">
        <v>22</v>
      </c>
      <c r="I1601" s="9">
        <v>2</v>
      </c>
      <c r="J1601" s="9">
        <v>42</v>
      </c>
      <c r="K1601" s="77">
        <f t="shared" si="113"/>
        <v>84</v>
      </c>
      <c r="L1601" s="76">
        <v>46142</v>
      </c>
      <c r="N1601" s="83"/>
      <c r="O1601" s="84"/>
      <c r="P1601" s="81"/>
      <c r="Q1601" s="81"/>
      <c r="R1601" s="81"/>
      <c r="S1601" s="81"/>
      <c r="T1601" s="85"/>
      <c r="U1601" s="81"/>
      <c r="V1601" s="81"/>
      <c r="W1601" s="123">
        <f t="shared" si="114"/>
        <v>0</v>
      </c>
      <c r="X1601" s="123" t="s">
        <v>84</v>
      </c>
      <c r="Y1601" s="114" t="s">
        <v>1128</v>
      </c>
    </row>
    <row r="1602" spans="1:25" s="24" customFormat="1" ht="11.1" customHeight="1">
      <c r="A1602" s="74">
        <f t="shared" si="112"/>
        <v>1600</v>
      </c>
      <c r="B1602" s="75" t="s">
        <v>1212</v>
      </c>
      <c r="C1602" s="74" t="str">
        <f>IF($B1602&lt;&gt;"",_xlfn.IFNA(VLOOKUP($B1602,'Node Details'!$B:$U,C$1,0),"Check"),"")</f>
        <v>0000CM403-CM4030108</v>
      </c>
      <c r="D1602" s="74" t="str">
        <f>IF($B1602&lt;&gt;"",_xlfn.IFNA(VLOOKUP($B1602,'Node Details'!$B:$U,D$1,0),"Check"),"")</f>
        <v>CM4</v>
      </c>
      <c r="E1602" s="74" t="str">
        <f>IF($B1602&lt;&gt;"",_xlfn.IFNA(VLOOKUP($B1602,'Node Details'!$B:$U,E$1,0),"Check"),"")</f>
        <v>Airtel</v>
      </c>
      <c r="F1602" s="76">
        <v>46148</v>
      </c>
      <c r="G1602" s="74"/>
      <c r="H1602" s="10" t="s">
        <v>22</v>
      </c>
      <c r="I1602" s="9">
        <v>2</v>
      </c>
      <c r="J1602" s="9">
        <v>42</v>
      </c>
      <c r="K1602" s="77">
        <f t="shared" si="113"/>
        <v>84</v>
      </c>
      <c r="L1602" s="76">
        <v>46142</v>
      </c>
      <c r="N1602" s="83"/>
      <c r="O1602" s="84"/>
      <c r="P1602" s="81"/>
      <c r="Q1602" s="81"/>
      <c r="R1602" s="81"/>
      <c r="S1602" s="81"/>
      <c r="T1602" s="85"/>
      <c r="U1602" s="81"/>
      <c r="V1602" s="81"/>
      <c r="W1602" s="123">
        <f t="shared" si="114"/>
        <v>0</v>
      </c>
      <c r="X1602" s="123" t="s">
        <v>84</v>
      </c>
      <c r="Y1602" s="114" t="s">
        <v>1128</v>
      </c>
    </row>
    <row r="1603" spans="1:25" s="24" customFormat="1" ht="11.1" customHeight="1">
      <c r="A1603" s="74">
        <f t="shared" si="112"/>
        <v>1601</v>
      </c>
      <c r="B1603" s="75" t="s">
        <v>1213</v>
      </c>
      <c r="C1603" s="74" t="str">
        <f>IF($B1603&lt;&gt;"",_xlfn.IFNA(VLOOKUP($B1603,'Node Details'!$B:$U,C$1,0),"Check"),"")</f>
        <v>0000CM403-CM4030108</v>
      </c>
      <c r="D1603" s="74" t="str">
        <f>IF($B1603&lt;&gt;"",_xlfn.IFNA(VLOOKUP($B1603,'Node Details'!$B:$U,D$1,0),"Check"),"")</f>
        <v>CM4</v>
      </c>
      <c r="E1603" s="74" t="str">
        <f>IF($B1603&lt;&gt;"",_xlfn.IFNA(VLOOKUP($B1603,'Node Details'!$B:$U,E$1,0),"Check"),"")</f>
        <v>Airtel</v>
      </c>
      <c r="F1603" s="76">
        <v>46148</v>
      </c>
      <c r="G1603" s="74"/>
      <c r="H1603" s="10" t="s">
        <v>22</v>
      </c>
      <c r="I1603" s="9">
        <v>2</v>
      </c>
      <c r="J1603" s="9">
        <v>42</v>
      </c>
      <c r="K1603" s="77">
        <f t="shared" si="113"/>
        <v>84</v>
      </c>
      <c r="L1603" s="76">
        <v>46142</v>
      </c>
      <c r="N1603" s="83"/>
      <c r="O1603" s="84"/>
      <c r="P1603" s="81"/>
      <c r="Q1603" s="81"/>
      <c r="R1603" s="81"/>
      <c r="S1603" s="81"/>
      <c r="T1603" s="85"/>
      <c r="U1603" s="81"/>
      <c r="V1603" s="81"/>
      <c r="W1603" s="123">
        <f t="shared" si="114"/>
        <v>0</v>
      </c>
      <c r="X1603" s="123" t="s">
        <v>84</v>
      </c>
      <c r="Y1603" s="114" t="s">
        <v>1128</v>
      </c>
    </row>
    <row r="1604" spans="1:25" s="24" customFormat="1" ht="11.1" customHeight="1">
      <c r="A1604" s="74">
        <f t="shared" ref="A1604:A1667" si="115">A1603+1</f>
        <v>1602</v>
      </c>
      <c r="B1604" s="75" t="s">
        <v>840</v>
      </c>
      <c r="C1604" s="74" t="str">
        <f>IF($B1604&lt;&gt;"",_xlfn.IFNA(VLOOKUP($B1604,'Node Details'!$B:$U,C$1,0),"Check"),"")</f>
        <v>0000CM403-CM4030108</v>
      </c>
      <c r="D1604" s="74" t="str">
        <f>IF($B1604&lt;&gt;"",_xlfn.IFNA(VLOOKUP($B1604,'Node Details'!$B:$U,D$1,0),"Check"),"")</f>
        <v>CM4</v>
      </c>
      <c r="E1604" s="74" t="str">
        <f>IF($B1604&lt;&gt;"",_xlfn.IFNA(VLOOKUP($B1604,'Node Details'!$B:$U,E$1,0),"Check"),"")</f>
        <v>Airtel</v>
      </c>
      <c r="F1604" s="76">
        <v>46148</v>
      </c>
      <c r="G1604" s="74"/>
      <c r="H1604" s="10" t="s">
        <v>22</v>
      </c>
      <c r="I1604" s="9">
        <v>2</v>
      </c>
      <c r="J1604" s="9">
        <v>42</v>
      </c>
      <c r="K1604" s="77">
        <f t="shared" si="113"/>
        <v>84</v>
      </c>
      <c r="L1604" s="76">
        <v>46142</v>
      </c>
      <c r="N1604" s="83"/>
      <c r="O1604" s="84"/>
      <c r="P1604" s="81"/>
      <c r="Q1604" s="81"/>
      <c r="R1604" s="81"/>
      <c r="S1604" s="81"/>
      <c r="T1604" s="85"/>
      <c r="U1604" s="81"/>
      <c r="V1604" s="81"/>
      <c r="W1604" s="123">
        <f t="shared" si="114"/>
        <v>0</v>
      </c>
      <c r="X1604" s="123" t="s">
        <v>84</v>
      </c>
      <c r="Y1604" s="114" t="s">
        <v>1128</v>
      </c>
    </row>
    <row r="1605" spans="1:25" s="24" customFormat="1" ht="11.1" customHeight="1">
      <c r="A1605" s="74">
        <f t="shared" si="115"/>
        <v>1603</v>
      </c>
      <c r="B1605" s="75" t="s">
        <v>1214</v>
      </c>
      <c r="C1605" s="74" t="str">
        <f>IF($B1605&lt;&gt;"",_xlfn.IFNA(VLOOKUP($B1605,'Node Details'!$B:$U,C$1,0),"Check"),"")</f>
        <v>0000CM404-CM4040105</v>
      </c>
      <c r="D1605" s="74" t="str">
        <f>IF($B1605&lt;&gt;"",_xlfn.IFNA(VLOOKUP($B1605,'Node Details'!$B:$U,D$1,0),"Check"),"")</f>
        <v>CM4</v>
      </c>
      <c r="E1605" s="74" t="str">
        <f>IF($B1605&lt;&gt;"",_xlfn.IFNA(VLOOKUP($B1605,'Node Details'!$B:$U,E$1,0),"Check"),"")</f>
        <v>Airtel</v>
      </c>
      <c r="F1605" s="76">
        <v>46148</v>
      </c>
      <c r="G1605" s="74"/>
      <c r="H1605" s="10" t="s">
        <v>22</v>
      </c>
      <c r="I1605" s="9">
        <v>2</v>
      </c>
      <c r="J1605" s="9">
        <v>42</v>
      </c>
      <c r="K1605" s="77">
        <f t="shared" si="113"/>
        <v>84</v>
      </c>
      <c r="L1605" s="76">
        <v>46142</v>
      </c>
      <c r="N1605" s="83"/>
      <c r="O1605" s="84"/>
      <c r="P1605" s="81"/>
      <c r="Q1605" s="81"/>
      <c r="R1605" s="81"/>
      <c r="S1605" s="81"/>
      <c r="T1605" s="85"/>
      <c r="U1605" s="81"/>
      <c r="V1605" s="81"/>
      <c r="W1605" s="123">
        <f t="shared" si="114"/>
        <v>0</v>
      </c>
      <c r="X1605" s="123" t="s">
        <v>84</v>
      </c>
      <c r="Y1605" s="114" t="s">
        <v>1128</v>
      </c>
    </row>
    <row r="1606" spans="1:25" s="24" customFormat="1" ht="11.1" customHeight="1">
      <c r="A1606" s="74">
        <f t="shared" si="115"/>
        <v>1604</v>
      </c>
      <c r="B1606" s="75" t="s">
        <v>842</v>
      </c>
      <c r="C1606" s="74" t="str">
        <f>IF($B1606&lt;&gt;"",_xlfn.IFNA(VLOOKUP($B1606,'Node Details'!$B:$U,C$1,0),"Check"),"")</f>
        <v>0000CM404-CM4040105</v>
      </c>
      <c r="D1606" s="74" t="str">
        <f>IF($B1606&lt;&gt;"",_xlfn.IFNA(VLOOKUP($B1606,'Node Details'!$B:$U,D$1,0),"Check"),"")</f>
        <v>CM4</v>
      </c>
      <c r="E1606" s="74" t="str">
        <f>IF($B1606&lt;&gt;"",_xlfn.IFNA(VLOOKUP($B1606,'Node Details'!$B:$U,E$1,0),"Check"),"")</f>
        <v>Airtel</v>
      </c>
      <c r="F1606" s="76">
        <v>46148</v>
      </c>
      <c r="G1606" s="74"/>
      <c r="H1606" s="10" t="s">
        <v>22</v>
      </c>
      <c r="I1606" s="9">
        <v>2</v>
      </c>
      <c r="J1606" s="9">
        <v>42</v>
      </c>
      <c r="K1606" s="77">
        <f t="shared" si="113"/>
        <v>84</v>
      </c>
      <c r="L1606" s="76">
        <v>46142</v>
      </c>
      <c r="N1606" s="83"/>
      <c r="O1606" s="84"/>
      <c r="P1606" s="81"/>
      <c r="Q1606" s="81"/>
      <c r="R1606" s="81"/>
      <c r="S1606" s="81"/>
      <c r="T1606" s="85"/>
      <c r="U1606" s="81"/>
      <c r="V1606" s="81"/>
      <c r="W1606" s="123">
        <f t="shared" si="114"/>
        <v>0</v>
      </c>
      <c r="X1606" s="123" t="s">
        <v>84</v>
      </c>
      <c r="Y1606" s="114" t="s">
        <v>1128</v>
      </c>
    </row>
    <row r="1607" spans="1:25" s="24" customFormat="1" ht="11.1" customHeight="1">
      <c r="A1607" s="74">
        <f t="shared" si="115"/>
        <v>1605</v>
      </c>
      <c r="B1607" s="75" t="s">
        <v>1215</v>
      </c>
      <c r="C1607" s="74" t="str">
        <f>IF($B1607&lt;&gt;"",_xlfn.IFNA(VLOOKUP($B1607,'Node Details'!$B:$U,C$1,0),"Check"),"")</f>
        <v>0000CM404-CM4040108</v>
      </c>
      <c r="D1607" s="74" t="str">
        <f>IF($B1607&lt;&gt;"",_xlfn.IFNA(VLOOKUP($B1607,'Node Details'!$B:$U,D$1,0),"Check"),"")</f>
        <v>CM4</v>
      </c>
      <c r="E1607" s="74" t="str">
        <f>IF($B1607&lt;&gt;"",_xlfn.IFNA(VLOOKUP($B1607,'Node Details'!$B:$U,E$1,0),"Check"),"")</f>
        <v>Airtel</v>
      </c>
      <c r="F1607" s="76">
        <v>46148</v>
      </c>
      <c r="G1607" s="74"/>
      <c r="H1607" s="10" t="s">
        <v>22</v>
      </c>
      <c r="I1607" s="9">
        <v>2</v>
      </c>
      <c r="J1607" s="9">
        <v>42</v>
      </c>
      <c r="K1607" s="77">
        <f t="shared" si="113"/>
        <v>84</v>
      </c>
      <c r="L1607" s="76">
        <v>46142</v>
      </c>
      <c r="N1607" s="83"/>
      <c r="O1607" s="84"/>
      <c r="P1607" s="81"/>
      <c r="Q1607" s="81"/>
      <c r="R1607" s="81"/>
      <c r="S1607" s="81"/>
      <c r="T1607" s="85"/>
      <c r="U1607" s="81"/>
      <c r="V1607" s="81"/>
      <c r="W1607" s="123">
        <f t="shared" si="114"/>
        <v>0</v>
      </c>
      <c r="X1607" s="123" t="s">
        <v>84</v>
      </c>
      <c r="Y1607" s="114" t="s">
        <v>1128</v>
      </c>
    </row>
    <row r="1608" spans="1:25" s="24" customFormat="1" ht="11.1" customHeight="1">
      <c r="A1608" s="74">
        <f t="shared" si="115"/>
        <v>1606</v>
      </c>
      <c r="B1608" s="75" t="s">
        <v>844</v>
      </c>
      <c r="C1608" s="74" t="str">
        <f>IF($B1608&lt;&gt;"",_xlfn.IFNA(VLOOKUP($B1608,'Node Details'!$B:$U,C$1,0),"Check"),"")</f>
        <v>0000CM404-CM4040108</v>
      </c>
      <c r="D1608" s="74" t="str">
        <f>IF($B1608&lt;&gt;"",_xlfn.IFNA(VLOOKUP($B1608,'Node Details'!$B:$U,D$1,0),"Check"),"")</f>
        <v>CM4</v>
      </c>
      <c r="E1608" s="74" t="str">
        <f>IF($B1608&lt;&gt;"",_xlfn.IFNA(VLOOKUP($B1608,'Node Details'!$B:$U,E$1,0),"Check"),"")</f>
        <v>Airtel</v>
      </c>
      <c r="F1608" s="76">
        <v>46148</v>
      </c>
      <c r="G1608" s="74"/>
      <c r="H1608" s="10" t="s">
        <v>22</v>
      </c>
      <c r="I1608" s="9">
        <v>2</v>
      </c>
      <c r="J1608" s="9">
        <v>42</v>
      </c>
      <c r="K1608" s="77">
        <f t="shared" si="113"/>
        <v>84</v>
      </c>
      <c r="L1608" s="76">
        <v>46142</v>
      </c>
      <c r="N1608" s="83"/>
      <c r="O1608" s="84"/>
      <c r="P1608" s="81"/>
      <c r="Q1608" s="81"/>
      <c r="R1608" s="81"/>
      <c r="S1608" s="81"/>
      <c r="T1608" s="85"/>
      <c r="U1608" s="81"/>
      <c r="V1608" s="81"/>
      <c r="W1608" s="123">
        <f t="shared" si="114"/>
        <v>0</v>
      </c>
      <c r="X1608" s="123" t="s">
        <v>84</v>
      </c>
      <c r="Y1608" s="114" t="s">
        <v>1128</v>
      </c>
    </row>
    <row r="1609" spans="1:25" s="24" customFormat="1" ht="11.1" customHeight="1">
      <c r="A1609" s="74">
        <f t="shared" si="115"/>
        <v>1607</v>
      </c>
      <c r="B1609" s="75" t="s">
        <v>1216</v>
      </c>
      <c r="C1609" s="74" t="str">
        <f>IF($B1609&lt;&gt;"",_xlfn.IFNA(VLOOKUP($B1609,'Node Details'!$B:$U,C$1,0),"Check"),"")</f>
        <v>0000CM408-CM4080104</v>
      </c>
      <c r="D1609" s="74" t="str">
        <f>IF($B1609&lt;&gt;"",_xlfn.IFNA(VLOOKUP($B1609,'Node Details'!$B:$U,D$1,0),"Check"),"")</f>
        <v>CM4</v>
      </c>
      <c r="E1609" s="74" t="str">
        <f>IF($B1609&lt;&gt;"",_xlfn.IFNA(VLOOKUP($B1609,'Node Details'!$B:$U,E$1,0),"Check"),"")</f>
        <v>Airtel</v>
      </c>
      <c r="F1609" s="76">
        <v>46148</v>
      </c>
      <c r="G1609" s="74"/>
      <c r="H1609" s="10" t="s">
        <v>22</v>
      </c>
      <c r="I1609" s="9">
        <v>2</v>
      </c>
      <c r="J1609" s="9">
        <v>42</v>
      </c>
      <c r="K1609" s="77">
        <f t="shared" si="113"/>
        <v>84</v>
      </c>
      <c r="L1609" s="76">
        <v>46142</v>
      </c>
      <c r="N1609" s="83"/>
      <c r="O1609" s="84"/>
      <c r="P1609" s="81"/>
      <c r="Q1609" s="81"/>
      <c r="R1609" s="81"/>
      <c r="S1609" s="81"/>
      <c r="T1609" s="85"/>
      <c r="U1609" s="81"/>
      <c r="V1609" s="81"/>
      <c r="W1609" s="123">
        <f t="shared" si="114"/>
        <v>0</v>
      </c>
      <c r="X1609" s="123" t="s">
        <v>84</v>
      </c>
      <c r="Y1609" s="114" t="s">
        <v>1128</v>
      </c>
    </row>
    <row r="1610" spans="1:25" s="24" customFormat="1" ht="11.1" customHeight="1">
      <c r="A1610" s="74">
        <f t="shared" si="115"/>
        <v>1608</v>
      </c>
      <c r="B1610" s="75" t="s">
        <v>1217</v>
      </c>
      <c r="C1610" s="74" t="str">
        <f>IF($B1610&lt;&gt;"",_xlfn.IFNA(VLOOKUP($B1610,'Node Details'!$B:$U,C$1,0),"Check"),"")</f>
        <v>0000CM408-CM4080104</v>
      </c>
      <c r="D1610" s="74" t="str">
        <f>IF($B1610&lt;&gt;"",_xlfn.IFNA(VLOOKUP($B1610,'Node Details'!$B:$U,D$1,0),"Check"),"")</f>
        <v>CM4</v>
      </c>
      <c r="E1610" s="74" t="str">
        <f>IF($B1610&lt;&gt;"",_xlfn.IFNA(VLOOKUP($B1610,'Node Details'!$B:$U,E$1,0),"Check"),"")</f>
        <v>Airtel</v>
      </c>
      <c r="F1610" s="76">
        <v>46148</v>
      </c>
      <c r="G1610" s="74"/>
      <c r="H1610" s="10" t="s">
        <v>22</v>
      </c>
      <c r="I1610" s="9">
        <v>2</v>
      </c>
      <c r="J1610" s="9">
        <v>42</v>
      </c>
      <c r="K1610" s="77">
        <f t="shared" si="113"/>
        <v>84</v>
      </c>
      <c r="L1610" s="76">
        <v>46142</v>
      </c>
      <c r="N1610" s="83"/>
      <c r="O1610" s="84"/>
      <c r="P1610" s="81"/>
      <c r="Q1610" s="81"/>
      <c r="R1610" s="81"/>
      <c r="S1610" s="81"/>
      <c r="T1610" s="85"/>
      <c r="U1610" s="81"/>
      <c r="V1610" s="81"/>
      <c r="W1610" s="123">
        <f t="shared" si="114"/>
        <v>0</v>
      </c>
      <c r="X1610" s="123" t="s">
        <v>84</v>
      </c>
      <c r="Y1610" s="114" t="s">
        <v>1128</v>
      </c>
    </row>
    <row r="1611" spans="1:25" s="24" customFormat="1" ht="11.1" customHeight="1">
      <c r="A1611" s="74">
        <f t="shared" si="115"/>
        <v>1609</v>
      </c>
      <c r="B1611" s="75" t="s">
        <v>1218</v>
      </c>
      <c r="C1611" s="74" t="str">
        <f>IF($B1611&lt;&gt;"",_xlfn.IFNA(VLOOKUP($B1611,'Node Details'!$B:$U,C$1,0),"Check"),"")</f>
        <v>0000CM408-CM4080104</v>
      </c>
      <c r="D1611" s="74" t="str">
        <f>IF($B1611&lt;&gt;"",_xlfn.IFNA(VLOOKUP($B1611,'Node Details'!$B:$U,D$1,0),"Check"),"")</f>
        <v>CM4</v>
      </c>
      <c r="E1611" s="74" t="str">
        <f>IF($B1611&lt;&gt;"",_xlfn.IFNA(VLOOKUP($B1611,'Node Details'!$B:$U,E$1,0),"Check"),"")</f>
        <v>Airtel</v>
      </c>
      <c r="F1611" s="76">
        <v>46148</v>
      </c>
      <c r="G1611" s="74"/>
      <c r="H1611" s="10" t="s">
        <v>22</v>
      </c>
      <c r="I1611" s="9">
        <v>2</v>
      </c>
      <c r="J1611" s="9">
        <v>42</v>
      </c>
      <c r="K1611" s="77">
        <f t="shared" si="113"/>
        <v>84</v>
      </c>
      <c r="L1611" s="76">
        <v>46142</v>
      </c>
      <c r="N1611" s="83"/>
      <c r="O1611" s="84"/>
      <c r="P1611" s="81"/>
      <c r="Q1611" s="81"/>
      <c r="R1611" s="81"/>
      <c r="S1611" s="81"/>
      <c r="T1611" s="85"/>
      <c r="U1611" s="81"/>
      <c r="V1611" s="81"/>
      <c r="W1611" s="123">
        <f t="shared" si="114"/>
        <v>0</v>
      </c>
      <c r="X1611" s="123" t="s">
        <v>84</v>
      </c>
      <c r="Y1611" s="114" t="s">
        <v>1128</v>
      </c>
    </row>
    <row r="1612" spans="1:25" s="24" customFormat="1" ht="11.1" customHeight="1">
      <c r="A1612" s="74">
        <f t="shared" si="115"/>
        <v>1610</v>
      </c>
      <c r="B1612" s="75" t="s">
        <v>846</v>
      </c>
      <c r="C1612" s="74" t="str">
        <f>IF($B1612&lt;&gt;"",_xlfn.IFNA(VLOOKUP($B1612,'Node Details'!$B:$U,C$1,0),"Check"),"")</f>
        <v>0000CM408-CM4080104</v>
      </c>
      <c r="D1612" s="74" t="str">
        <f>IF($B1612&lt;&gt;"",_xlfn.IFNA(VLOOKUP($B1612,'Node Details'!$B:$U,D$1,0),"Check"),"")</f>
        <v>CM4</v>
      </c>
      <c r="E1612" s="74" t="str">
        <f>IF($B1612&lt;&gt;"",_xlfn.IFNA(VLOOKUP($B1612,'Node Details'!$B:$U,E$1,0),"Check"),"")</f>
        <v>Airtel</v>
      </c>
      <c r="F1612" s="76">
        <v>46148</v>
      </c>
      <c r="G1612" s="74"/>
      <c r="H1612" s="10" t="s">
        <v>22</v>
      </c>
      <c r="I1612" s="9">
        <v>2</v>
      </c>
      <c r="J1612" s="9">
        <v>42</v>
      </c>
      <c r="K1612" s="77">
        <f t="shared" si="113"/>
        <v>84</v>
      </c>
      <c r="L1612" s="76">
        <v>46142</v>
      </c>
      <c r="N1612" s="83"/>
      <c r="O1612" s="84"/>
      <c r="P1612" s="81"/>
      <c r="Q1612" s="81"/>
      <c r="R1612" s="81"/>
      <c r="S1612" s="81"/>
      <c r="T1612" s="85"/>
      <c r="U1612" s="81"/>
      <c r="V1612" s="81"/>
      <c r="W1612" s="123">
        <f t="shared" si="114"/>
        <v>0</v>
      </c>
      <c r="X1612" s="123" t="s">
        <v>84</v>
      </c>
      <c r="Y1612" s="114" t="s">
        <v>1128</v>
      </c>
    </row>
    <row r="1613" spans="1:25" s="24" customFormat="1" ht="11.1" customHeight="1">
      <c r="A1613" s="74">
        <f t="shared" si="115"/>
        <v>1611</v>
      </c>
      <c r="B1613" s="75" t="s">
        <v>1219</v>
      </c>
      <c r="C1613" s="74" t="str">
        <f>IF($B1613&lt;&gt;"",_xlfn.IFNA(VLOOKUP($B1613,'Node Details'!$B:$U,C$1,0),"Check"),"")</f>
        <v>0000CM408-CM4080108</v>
      </c>
      <c r="D1613" s="74" t="str">
        <f>IF($B1613&lt;&gt;"",_xlfn.IFNA(VLOOKUP($B1613,'Node Details'!$B:$U,D$1,0),"Check"),"")</f>
        <v>CM4</v>
      </c>
      <c r="E1613" s="74" t="str">
        <f>IF($B1613&lt;&gt;"",_xlfn.IFNA(VLOOKUP($B1613,'Node Details'!$B:$U,E$1,0),"Check"),"")</f>
        <v>Airtel</v>
      </c>
      <c r="F1613" s="76">
        <v>46148</v>
      </c>
      <c r="G1613" s="74"/>
      <c r="H1613" s="10" t="s">
        <v>22</v>
      </c>
      <c r="I1613" s="9">
        <v>2</v>
      </c>
      <c r="J1613" s="9">
        <v>42</v>
      </c>
      <c r="K1613" s="77">
        <f t="shared" si="113"/>
        <v>84</v>
      </c>
      <c r="L1613" s="76">
        <v>46142</v>
      </c>
      <c r="N1613" s="83"/>
      <c r="O1613" s="84"/>
      <c r="P1613" s="81"/>
      <c r="Q1613" s="81"/>
      <c r="R1613" s="81"/>
      <c r="S1613" s="81"/>
      <c r="T1613" s="85"/>
      <c r="U1613" s="81"/>
      <c r="V1613" s="81"/>
      <c r="W1613" s="123">
        <f t="shared" si="114"/>
        <v>0</v>
      </c>
      <c r="X1613" s="123" t="s">
        <v>84</v>
      </c>
      <c r="Y1613" s="114" t="s">
        <v>1128</v>
      </c>
    </row>
    <row r="1614" spans="1:25" s="24" customFormat="1" ht="11.1" customHeight="1">
      <c r="A1614" s="74">
        <f t="shared" si="115"/>
        <v>1612</v>
      </c>
      <c r="B1614" s="75" t="s">
        <v>848</v>
      </c>
      <c r="C1614" s="74" t="str">
        <f>IF($B1614&lt;&gt;"",_xlfn.IFNA(VLOOKUP($B1614,'Node Details'!$B:$U,C$1,0),"Check"),"")</f>
        <v>0000CM408-CM4080108</v>
      </c>
      <c r="D1614" s="74" t="str">
        <f>IF($B1614&lt;&gt;"",_xlfn.IFNA(VLOOKUP($B1614,'Node Details'!$B:$U,D$1,0),"Check"),"")</f>
        <v>CM4</v>
      </c>
      <c r="E1614" s="74" t="str">
        <f>IF($B1614&lt;&gt;"",_xlfn.IFNA(VLOOKUP($B1614,'Node Details'!$B:$U,E$1,0),"Check"),"")</f>
        <v>Airtel</v>
      </c>
      <c r="F1614" s="76">
        <v>46148</v>
      </c>
      <c r="G1614" s="74"/>
      <c r="H1614" s="10" t="s">
        <v>22</v>
      </c>
      <c r="I1614" s="9">
        <v>2</v>
      </c>
      <c r="J1614" s="9">
        <v>42</v>
      </c>
      <c r="K1614" s="77">
        <f t="shared" si="113"/>
        <v>84</v>
      </c>
      <c r="L1614" s="76">
        <v>46142</v>
      </c>
      <c r="N1614" s="83"/>
      <c r="O1614" s="84"/>
      <c r="P1614" s="81"/>
      <c r="Q1614" s="81"/>
      <c r="R1614" s="81"/>
      <c r="S1614" s="81"/>
      <c r="T1614" s="85"/>
      <c r="U1614" s="81"/>
      <c r="V1614" s="81"/>
      <c r="W1614" s="123">
        <f t="shared" si="114"/>
        <v>0</v>
      </c>
      <c r="X1614" s="123" t="s">
        <v>84</v>
      </c>
      <c r="Y1614" s="114" t="s">
        <v>1128</v>
      </c>
    </row>
    <row r="1615" spans="1:25" s="24" customFormat="1" ht="11.1" customHeight="1">
      <c r="A1615" s="74">
        <f t="shared" si="115"/>
        <v>1613</v>
      </c>
      <c r="B1615" s="75" t="s">
        <v>850</v>
      </c>
      <c r="C1615" s="74" t="str">
        <f>IF($B1615&lt;&gt;"",_xlfn.IFNA(VLOOKUP($B1615,'Node Details'!$B:$U,C$1,0),"Check"),"")</f>
        <v>0000CM408-CM4080105</v>
      </c>
      <c r="D1615" s="74" t="str">
        <f>IF($B1615&lt;&gt;"",_xlfn.IFNA(VLOOKUP($B1615,'Node Details'!$B:$U,D$1,0),"Check"),"")</f>
        <v>CM4</v>
      </c>
      <c r="E1615" s="74" t="str">
        <f>IF($B1615&lt;&gt;"",_xlfn.IFNA(VLOOKUP($B1615,'Node Details'!$B:$U,E$1,0),"Check"),"")</f>
        <v>Airtel</v>
      </c>
      <c r="F1615" s="76">
        <v>46148</v>
      </c>
      <c r="G1615" s="74"/>
      <c r="H1615" s="10" t="s">
        <v>22</v>
      </c>
      <c r="I1615" s="9">
        <v>2</v>
      </c>
      <c r="J1615" s="9">
        <v>42</v>
      </c>
      <c r="K1615" s="77">
        <f t="shared" si="113"/>
        <v>84</v>
      </c>
      <c r="L1615" s="76">
        <v>46142</v>
      </c>
      <c r="N1615" s="83"/>
      <c r="O1615" s="84"/>
      <c r="P1615" s="81"/>
      <c r="Q1615" s="81"/>
      <c r="R1615" s="81"/>
      <c r="S1615" s="81"/>
      <c r="T1615" s="85"/>
      <c r="U1615" s="81"/>
      <c r="V1615" s="81"/>
      <c r="W1615" s="123">
        <f t="shared" si="114"/>
        <v>0</v>
      </c>
      <c r="X1615" s="123" t="s">
        <v>84</v>
      </c>
      <c r="Y1615" s="114" t="s">
        <v>1128</v>
      </c>
    </row>
    <row r="1616" spans="1:25" s="24" customFormat="1" ht="11.1" customHeight="1">
      <c r="A1616" s="74">
        <f t="shared" si="115"/>
        <v>1614</v>
      </c>
      <c r="B1616" s="75" t="s">
        <v>852</v>
      </c>
      <c r="C1616" s="74" t="str">
        <f>IF($B1616&lt;&gt;"",_xlfn.IFNA(VLOOKUP($B1616,'Node Details'!$B:$U,C$1,0),"Check"),"")</f>
        <v>0000CM408-CM4080107</v>
      </c>
      <c r="D1616" s="74" t="str">
        <f>IF($B1616&lt;&gt;"",_xlfn.IFNA(VLOOKUP($B1616,'Node Details'!$B:$U,D$1,0),"Check"),"")</f>
        <v>CM4</v>
      </c>
      <c r="E1616" s="74" t="str">
        <f>IF($B1616&lt;&gt;"",_xlfn.IFNA(VLOOKUP($B1616,'Node Details'!$B:$U,E$1,0),"Check"),"")</f>
        <v>Airtel</v>
      </c>
      <c r="F1616" s="76">
        <v>46148</v>
      </c>
      <c r="G1616" s="74"/>
      <c r="H1616" s="10" t="s">
        <v>22</v>
      </c>
      <c r="I1616" s="9">
        <v>2</v>
      </c>
      <c r="J1616" s="9">
        <v>42</v>
      </c>
      <c r="K1616" s="77">
        <f t="shared" si="113"/>
        <v>84</v>
      </c>
      <c r="L1616" s="76">
        <v>46142</v>
      </c>
      <c r="N1616" s="83"/>
      <c r="O1616" s="84"/>
      <c r="P1616" s="81"/>
      <c r="Q1616" s="81"/>
      <c r="R1616" s="81"/>
      <c r="S1616" s="81"/>
      <c r="T1616" s="85"/>
      <c r="U1616" s="81"/>
      <c r="V1616" s="81"/>
      <c r="W1616" s="123">
        <f t="shared" si="114"/>
        <v>0</v>
      </c>
      <c r="X1616" s="123" t="s">
        <v>84</v>
      </c>
      <c r="Y1616" s="114" t="s">
        <v>1128</v>
      </c>
    </row>
    <row r="1617" spans="1:25" s="24" customFormat="1" ht="11.1" customHeight="1">
      <c r="A1617" s="74">
        <f t="shared" si="115"/>
        <v>1615</v>
      </c>
      <c r="B1617" s="75" t="s">
        <v>855</v>
      </c>
      <c r="C1617" s="74" t="str">
        <f>IF($B1617&lt;&gt;"",_xlfn.IFNA(VLOOKUP($B1617,'Node Details'!$B:$U,C$1,0),"Check"),"")</f>
        <v>0000CM409-CM4090103</v>
      </c>
      <c r="D1617" s="74" t="str">
        <f>IF($B1617&lt;&gt;"",_xlfn.IFNA(VLOOKUP($B1617,'Node Details'!$B:$U,D$1,0),"Check"),"")</f>
        <v>CM4</v>
      </c>
      <c r="E1617" s="74" t="str">
        <f>IF($B1617&lt;&gt;"",_xlfn.IFNA(VLOOKUP($B1617,'Node Details'!$B:$U,E$1,0),"Check"),"")</f>
        <v>Airtel</v>
      </c>
      <c r="F1617" s="76">
        <v>46148</v>
      </c>
      <c r="G1617" s="74"/>
      <c r="H1617" s="10" t="s">
        <v>22</v>
      </c>
      <c r="I1617" s="9">
        <v>2</v>
      </c>
      <c r="J1617" s="9">
        <v>42</v>
      </c>
      <c r="K1617" s="77">
        <f t="shared" si="113"/>
        <v>84</v>
      </c>
      <c r="L1617" s="76">
        <v>46142</v>
      </c>
      <c r="N1617" s="83"/>
      <c r="O1617" s="84"/>
      <c r="P1617" s="81"/>
      <c r="Q1617" s="81"/>
      <c r="R1617" s="81"/>
      <c r="S1617" s="81"/>
      <c r="T1617" s="85"/>
      <c r="U1617" s="81"/>
      <c r="V1617" s="81"/>
      <c r="W1617" s="123">
        <f t="shared" si="114"/>
        <v>0</v>
      </c>
      <c r="X1617" s="123" t="s">
        <v>84</v>
      </c>
      <c r="Y1617" s="114" t="s">
        <v>1128</v>
      </c>
    </row>
    <row r="1618" spans="1:25" s="24" customFormat="1" ht="11.1" customHeight="1">
      <c r="A1618" s="74">
        <f t="shared" si="115"/>
        <v>1616</v>
      </c>
      <c r="B1618" s="75" t="s">
        <v>857</v>
      </c>
      <c r="C1618" s="74" t="str">
        <f>IF($B1618&lt;&gt;"",_xlfn.IFNA(VLOOKUP($B1618,'Node Details'!$B:$U,C$1,0),"Check"),"")</f>
        <v>0000CM409-CM4090101</v>
      </c>
      <c r="D1618" s="74" t="str">
        <f>IF($B1618&lt;&gt;"",_xlfn.IFNA(VLOOKUP($B1618,'Node Details'!$B:$U,D$1,0),"Check"),"")</f>
        <v>CM4</v>
      </c>
      <c r="E1618" s="74" t="str">
        <f>IF($B1618&lt;&gt;"",_xlfn.IFNA(VLOOKUP($B1618,'Node Details'!$B:$U,E$1,0),"Check"),"")</f>
        <v>Airtel</v>
      </c>
      <c r="F1618" s="76">
        <v>46148</v>
      </c>
      <c r="G1618" s="74"/>
      <c r="H1618" s="10" t="s">
        <v>22</v>
      </c>
      <c r="I1618" s="9">
        <v>2</v>
      </c>
      <c r="J1618" s="9">
        <v>42</v>
      </c>
      <c r="K1618" s="77">
        <f t="shared" si="113"/>
        <v>84</v>
      </c>
      <c r="L1618" s="76">
        <v>46142</v>
      </c>
      <c r="N1618" s="83"/>
      <c r="O1618" s="84"/>
      <c r="P1618" s="81"/>
      <c r="Q1618" s="81"/>
      <c r="R1618" s="81"/>
      <c r="S1618" s="81"/>
      <c r="T1618" s="85"/>
      <c r="U1618" s="81"/>
      <c r="V1618" s="81"/>
      <c r="W1618" s="123">
        <f t="shared" si="114"/>
        <v>0</v>
      </c>
      <c r="X1618" s="123" t="s">
        <v>84</v>
      </c>
      <c r="Y1618" s="114" t="s">
        <v>1128</v>
      </c>
    </row>
    <row r="1619" spans="1:25" s="24" customFormat="1" ht="11.1" customHeight="1">
      <c r="A1619" s="74">
        <f t="shared" si="115"/>
        <v>1617</v>
      </c>
      <c r="B1619" s="75" t="s">
        <v>859</v>
      </c>
      <c r="C1619" s="74" t="str">
        <f>IF($B1619&lt;&gt;"",_xlfn.IFNA(VLOOKUP($B1619,'Node Details'!$B:$U,C$1,0),"Check"),"")</f>
        <v>0000CM409-CM4090102</v>
      </c>
      <c r="D1619" s="74" t="str">
        <f>IF($B1619&lt;&gt;"",_xlfn.IFNA(VLOOKUP($B1619,'Node Details'!$B:$U,D$1,0),"Check"),"")</f>
        <v>CM4</v>
      </c>
      <c r="E1619" s="74" t="str">
        <f>IF($B1619&lt;&gt;"",_xlfn.IFNA(VLOOKUP($B1619,'Node Details'!$B:$U,E$1,0),"Check"),"")</f>
        <v>Airtel</v>
      </c>
      <c r="F1619" s="76">
        <v>46148</v>
      </c>
      <c r="G1619" s="74"/>
      <c r="H1619" s="10" t="s">
        <v>22</v>
      </c>
      <c r="I1619" s="9">
        <v>2</v>
      </c>
      <c r="J1619" s="9">
        <v>42</v>
      </c>
      <c r="K1619" s="77">
        <f t="shared" si="113"/>
        <v>84</v>
      </c>
      <c r="L1619" s="76">
        <v>46142</v>
      </c>
      <c r="N1619" s="83"/>
      <c r="O1619" s="84"/>
      <c r="P1619" s="81"/>
      <c r="Q1619" s="81"/>
      <c r="R1619" s="81"/>
      <c r="S1619" s="81"/>
      <c r="T1619" s="85"/>
      <c r="U1619" s="81"/>
      <c r="V1619" s="81"/>
      <c r="W1619" s="123">
        <f t="shared" si="114"/>
        <v>0</v>
      </c>
      <c r="X1619" s="123" t="s">
        <v>84</v>
      </c>
      <c r="Y1619" s="114" t="s">
        <v>1128</v>
      </c>
    </row>
    <row r="1620" spans="1:25" s="24" customFormat="1" ht="11.1" customHeight="1">
      <c r="A1620" s="74">
        <f t="shared" si="115"/>
        <v>1618</v>
      </c>
      <c r="B1620" s="75" t="s">
        <v>861</v>
      </c>
      <c r="C1620" s="74" t="str">
        <f>IF($B1620&lt;&gt;"",_xlfn.IFNA(VLOOKUP($B1620,'Node Details'!$B:$U,C$1,0),"Check"),"")</f>
        <v>0000CM409-CM4090104</v>
      </c>
      <c r="D1620" s="74" t="str">
        <f>IF($B1620&lt;&gt;"",_xlfn.IFNA(VLOOKUP($B1620,'Node Details'!$B:$U,D$1,0),"Check"),"")</f>
        <v>CM4</v>
      </c>
      <c r="E1620" s="74" t="str">
        <f>IF($B1620&lt;&gt;"",_xlfn.IFNA(VLOOKUP($B1620,'Node Details'!$B:$U,E$1,0),"Check"),"")</f>
        <v>Airtel</v>
      </c>
      <c r="F1620" s="76">
        <v>46148</v>
      </c>
      <c r="G1620" s="74"/>
      <c r="H1620" s="10" t="s">
        <v>22</v>
      </c>
      <c r="I1620" s="9">
        <v>2</v>
      </c>
      <c r="J1620" s="9">
        <v>42</v>
      </c>
      <c r="K1620" s="77">
        <f t="shared" si="113"/>
        <v>84</v>
      </c>
      <c r="L1620" s="76">
        <v>46142</v>
      </c>
      <c r="N1620" s="83"/>
      <c r="O1620" s="84"/>
      <c r="P1620" s="81"/>
      <c r="Q1620" s="81"/>
      <c r="R1620" s="81"/>
      <c r="S1620" s="81"/>
      <c r="T1620" s="85"/>
      <c r="U1620" s="81"/>
      <c r="V1620" s="81"/>
      <c r="W1620" s="123">
        <f t="shared" si="114"/>
        <v>0</v>
      </c>
      <c r="X1620" s="123" t="s">
        <v>84</v>
      </c>
      <c r="Y1620" s="114" t="s">
        <v>1128</v>
      </c>
    </row>
    <row r="1621" spans="1:25" s="24" customFormat="1" ht="11.1" customHeight="1">
      <c r="A1621" s="74">
        <f t="shared" si="115"/>
        <v>1619</v>
      </c>
      <c r="B1621" s="75" t="s">
        <v>1220</v>
      </c>
      <c r="C1621" s="74" t="str">
        <f>IF($B1621&lt;&gt;"",_xlfn.IFNA(VLOOKUP($B1621,'Node Details'!$B:$U,C$1,0),"Check"),"")</f>
        <v>0000CM409-CM4090106</v>
      </c>
      <c r="D1621" s="74" t="str">
        <f>IF($B1621&lt;&gt;"",_xlfn.IFNA(VLOOKUP($B1621,'Node Details'!$B:$U,D$1,0),"Check"),"")</f>
        <v>CM4</v>
      </c>
      <c r="E1621" s="74" t="str">
        <f>IF($B1621&lt;&gt;"",_xlfn.IFNA(VLOOKUP($B1621,'Node Details'!$B:$U,E$1,0),"Check"),"")</f>
        <v>Airtel</v>
      </c>
      <c r="F1621" s="76">
        <v>46148</v>
      </c>
      <c r="G1621" s="74"/>
      <c r="H1621" s="10" t="s">
        <v>22</v>
      </c>
      <c r="I1621" s="9">
        <v>2</v>
      </c>
      <c r="J1621" s="9">
        <v>42</v>
      </c>
      <c r="K1621" s="77">
        <f t="shared" si="113"/>
        <v>84</v>
      </c>
      <c r="L1621" s="76">
        <v>46142</v>
      </c>
      <c r="N1621" s="83"/>
      <c r="O1621" s="84"/>
      <c r="P1621" s="81"/>
      <c r="Q1621" s="81"/>
      <c r="R1621" s="81"/>
      <c r="S1621" s="81"/>
      <c r="T1621" s="85"/>
      <c r="U1621" s="81"/>
      <c r="V1621" s="81"/>
      <c r="W1621" s="123">
        <f t="shared" si="114"/>
        <v>0</v>
      </c>
      <c r="X1621" s="123" t="s">
        <v>84</v>
      </c>
      <c r="Y1621" s="114" t="s">
        <v>1128</v>
      </c>
    </row>
    <row r="1622" spans="1:25" s="24" customFormat="1" ht="11.1" customHeight="1">
      <c r="A1622" s="74">
        <f t="shared" si="115"/>
        <v>1620</v>
      </c>
      <c r="B1622" s="75" t="s">
        <v>863</v>
      </c>
      <c r="C1622" s="74" t="str">
        <f>IF($B1622&lt;&gt;"",_xlfn.IFNA(VLOOKUP($B1622,'Node Details'!$B:$U,C$1,0),"Check"),"")</f>
        <v>0000CM409-CM4090106</v>
      </c>
      <c r="D1622" s="74" t="str">
        <f>IF($B1622&lt;&gt;"",_xlfn.IFNA(VLOOKUP($B1622,'Node Details'!$B:$U,D$1,0),"Check"),"")</f>
        <v>CM4</v>
      </c>
      <c r="E1622" s="74" t="str">
        <f>IF($B1622&lt;&gt;"",_xlfn.IFNA(VLOOKUP($B1622,'Node Details'!$B:$U,E$1,0),"Check"),"")</f>
        <v>Airtel</v>
      </c>
      <c r="F1622" s="76">
        <v>46148</v>
      </c>
      <c r="G1622" s="74"/>
      <c r="H1622" s="10" t="s">
        <v>22</v>
      </c>
      <c r="I1622" s="9">
        <v>2</v>
      </c>
      <c r="J1622" s="9">
        <v>42</v>
      </c>
      <c r="K1622" s="77">
        <f t="shared" si="113"/>
        <v>84</v>
      </c>
      <c r="L1622" s="76">
        <v>46142</v>
      </c>
      <c r="N1622" s="83"/>
      <c r="O1622" s="84"/>
      <c r="P1622" s="81"/>
      <c r="Q1622" s="81"/>
      <c r="R1622" s="81"/>
      <c r="S1622" s="81"/>
      <c r="T1622" s="85"/>
      <c r="U1622" s="81"/>
      <c r="V1622" s="81"/>
      <c r="W1622" s="123">
        <f t="shared" si="114"/>
        <v>0</v>
      </c>
      <c r="X1622" s="123" t="s">
        <v>84</v>
      </c>
      <c r="Y1622" s="114" t="s">
        <v>1128</v>
      </c>
    </row>
    <row r="1623" spans="1:25" s="24" customFormat="1" ht="11.1" customHeight="1">
      <c r="A1623" s="74">
        <f t="shared" si="115"/>
        <v>1621</v>
      </c>
      <c r="B1623" s="75" t="s">
        <v>866</v>
      </c>
      <c r="C1623" s="74" t="str">
        <f>IF($B1623&lt;&gt;"",_xlfn.IFNA(VLOOKUP($B1623,'Node Details'!$B:$U,C$1,0),"Check"),"")</f>
        <v>0000CM410-CM4100105</v>
      </c>
      <c r="D1623" s="74" t="str">
        <f>IF($B1623&lt;&gt;"",_xlfn.IFNA(VLOOKUP($B1623,'Node Details'!$B:$U,D$1,0),"Check"),"")</f>
        <v>CM4</v>
      </c>
      <c r="E1623" s="74" t="str">
        <f>IF($B1623&lt;&gt;"",_xlfn.IFNA(VLOOKUP($B1623,'Node Details'!$B:$U,E$1,0),"Check"),"")</f>
        <v>Airtel</v>
      </c>
      <c r="F1623" s="76">
        <v>46148</v>
      </c>
      <c r="G1623" s="74"/>
      <c r="H1623" s="10" t="s">
        <v>22</v>
      </c>
      <c r="I1623" s="9">
        <v>2</v>
      </c>
      <c r="J1623" s="9">
        <v>42</v>
      </c>
      <c r="K1623" s="77">
        <f t="shared" si="113"/>
        <v>84</v>
      </c>
      <c r="L1623" s="76">
        <v>46142</v>
      </c>
      <c r="N1623" s="83"/>
      <c r="O1623" s="84"/>
      <c r="P1623" s="81"/>
      <c r="Q1623" s="81"/>
      <c r="R1623" s="81"/>
      <c r="S1623" s="81"/>
      <c r="T1623" s="85"/>
      <c r="U1623" s="81"/>
      <c r="V1623" s="81"/>
      <c r="W1623" s="123">
        <f t="shared" si="114"/>
        <v>0</v>
      </c>
      <c r="X1623" s="123" t="s">
        <v>84</v>
      </c>
      <c r="Y1623" s="114" t="s">
        <v>1128</v>
      </c>
    </row>
    <row r="1624" spans="1:25" s="24" customFormat="1" ht="11.1" customHeight="1">
      <c r="A1624" s="74">
        <f t="shared" si="115"/>
        <v>1622</v>
      </c>
      <c r="B1624" s="75" t="s">
        <v>868</v>
      </c>
      <c r="C1624" s="74" t="str">
        <f>IF($B1624&lt;&gt;"",_xlfn.IFNA(VLOOKUP($B1624,'Node Details'!$B:$U,C$1,0),"Check"),"")</f>
        <v>0000CM410-CM4100106</v>
      </c>
      <c r="D1624" s="74" t="str">
        <f>IF($B1624&lt;&gt;"",_xlfn.IFNA(VLOOKUP($B1624,'Node Details'!$B:$U,D$1,0),"Check"),"")</f>
        <v>CM4</v>
      </c>
      <c r="E1624" s="74" t="str">
        <f>IF($B1624&lt;&gt;"",_xlfn.IFNA(VLOOKUP($B1624,'Node Details'!$B:$U,E$1,0),"Check"),"")</f>
        <v>Airtel</v>
      </c>
      <c r="F1624" s="76">
        <v>46148</v>
      </c>
      <c r="G1624" s="74"/>
      <c r="H1624" s="10" t="s">
        <v>22</v>
      </c>
      <c r="I1624" s="9">
        <v>2</v>
      </c>
      <c r="J1624" s="9">
        <v>42</v>
      </c>
      <c r="K1624" s="77">
        <f t="shared" si="113"/>
        <v>84</v>
      </c>
      <c r="L1624" s="76">
        <v>46142</v>
      </c>
      <c r="N1624" s="83"/>
      <c r="O1624" s="84"/>
      <c r="P1624" s="81"/>
      <c r="Q1624" s="81"/>
      <c r="R1624" s="81"/>
      <c r="S1624" s="81"/>
      <c r="T1624" s="85"/>
      <c r="U1624" s="81"/>
      <c r="V1624" s="81"/>
      <c r="W1624" s="123">
        <f t="shared" si="114"/>
        <v>0</v>
      </c>
      <c r="X1624" s="123" t="s">
        <v>84</v>
      </c>
      <c r="Y1624" s="114" t="s">
        <v>1128</v>
      </c>
    </row>
    <row r="1625" spans="1:25" s="24" customFormat="1" ht="11.1" customHeight="1">
      <c r="A1625" s="74">
        <f t="shared" si="115"/>
        <v>1623</v>
      </c>
      <c r="B1625" s="75" t="s">
        <v>870</v>
      </c>
      <c r="C1625" s="74" t="str">
        <f>IF($B1625&lt;&gt;"",_xlfn.IFNA(VLOOKUP($B1625,'Node Details'!$B:$U,C$1,0),"Check"),"")</f>
        <v>0000CM410-CM4100107</v>
      </c>
      <c r="D1625" s="74" t="str">
        <f>IF($B1625&lt;&gt;"",_xlfn.IFNA(VLOOKUP($B1625,'Node Details'!$B:$U,D$1,0),"Check"),"")</f>
        <v>CM4</v>
      </c>
      <c r="E1625" s="74" t="str">
        <f>IF($B1625&lt;&gt;"",_xlfn.IFNA(VLOOKUP($B1625,'Node Details'!$B:$U,E$1,0),"Check"),"")</f>
        <v>Airtel</v>
      </c>
      <c r="F1625" s="76">
        <v>46148</v>
      </c>
      <c r="G1625" s="74"/>
      <c r="H1625" s="10" t="s">
        <v>22</v>
      </c>
      <c r="I1625" s="9">
        <v>2</v>
      </c>
      <c r="J1625" s="9">
        <v>42</v>
      </c>
      <c r="K1625" s="77">
        <f t="shared" si="113"/>
        <v>84</v>
      </c>
      <c r="L1625" s="76">
        <v>46142</v>
      </c>
      <c r="N1625" s="83"/>
      <c r="O1625" s="84"/>
      <c r="P1625" s="81"/>
      <c r="Q1625" s="81"/>
      <c r="R1625" s="81"/>
      <c r="S1625" s="81"/>
      <c r="T1625" s="85"/>
      <c r="U1625" s="81"/>
      <c r="V1625" s="81"/>
      <c r="W1625" s="123">
        <f t="shared" si="114"/>
        <v>0</v>
      </c>
      <c r="X1625" s="123" t="s">
        <v>84</v>
      </c>
      <c r="Y1625" s="114" t="s">
        <v>1128</v>
      </c>
    </row>
    <row r="1626" spans="1:25" s="24" customFormat="1" ht="11.1" customHeight="1">
      <c r="A1626" s="74">
        <f t="shared" si="115"/>
        <v>1624</v>
      </c>
      <c r="B1626" s="75" t="s">
        <v>872</v>
      </c>
      <c r="C1626" s="74" t="str">
        <f>IF($B1626&lt;&gt;"",_xlfn.IFNA(VLOOKUP($B1626,'Node Details'!$B:$U,C$1,0),"Check"),"")</f>
        <v>0000CM410-CM4100108</v>
      </c>
      <c r="D1626" s="74" t="str">
        <f>IF($B1626&lt;&gt;"",_xlfn.IFNA(VLOOKUP($B1626,'Node Details'!$B:$U,D$1,0),"Check"),"")</f>
        <v>CM4</v>
      </c>
      <c r="E1626" s="74" t="str">
        <f>IF($B1626&lt;&gt;"",_xlfn.IFNA(VLOOKUP($B1626,'Node Details'!$B:$U,E$1,0),"Check"),"")</f>
        <v>Airtel</v>
      </c>
      <c r="F1626" s="76">
        <v>46148</v>
      </c>
      <c r="G1626" s="74"/>
      <c r="H1626" s="10" t="s">
        <v>22</v>
      </c>
      <c r="I1626" s="9">
        <v>2</v>
      </c>
      <c r="J1626" s="9">
        <v>42</v>
      </c>
      <c r="K1626" s="77">
        <f t="shared" si="113"/>
        <v>84</v>
      </c>
      <c r="L1626" s="76">
        <v>46142</v>
      </c>
      <c r="N1626" s="83"/>
      <c r="O1626" s="84"/>
      <c r="P1626" s="81"/>
      <c r="Q1626" s="81"/>
      <c r="R1626" s="81"/>
      <c r="S1626" s="81"/>
      <c r="T1626" s="85"/>
      <c r="U1626" s="81"/>
      <c r="V1626" s="81"/>
      <c r="W1626" s="123">
        <f t="shared" si="114"/>
        <v>0</v>
      </c>
      <c r="X1626" s="123" t="s">
        <v>84</v>
      </c>
      <c r="Y1626" s="114" t="s">
        <v>1128</v>
      </c>
    </row>
    <row r="1627" spans="1:25" s="24" customFormat="1" ht="11.1" customHeight="1">
      <c r="A1627" s="74">
        <f t="shared" si="115"/>
        <v>1625</v>
      </c>
      <c r="B1627" s="75" t="s">
        <v>874</v>
      </c>
      <c r="C1627" s="74" t="str">
        <f>IF($B1627&lt;&gt;"",_xlfn.IFNA(VLOOKUP($B1627,'Node Details'!$B:$U,C$1,0),"Check"),"")</f>
        <v>0000CM410-CM4100103</v>
      </c>
      <c r="D1627" s="74" t="str">
        <f>IF($B1627&lt;&gt;"",_xlfn.IFNA(VLOOKUP($B1627,'Node Details'!$B:$U,D$1,0),"Check"),"")</f>
        <v>CM4</v>
      </c>
      <c r="E1627" s="74" t="str">
        <f>IF($B1627&lt;&gt;"",_xlfn.IFNA(VLOOKUP($B1627,'Node Details'!$B:$U,E$1,0),"Check"),"")</f>
        <v>Airtel</v>
      </c>
      <c r="F1627" s="76">
        <v>46148</v>
      </c>
      <c r="G1627" s="74"/>
      <c r="H1627" s="10" t="s">
        <v>22</v>
      </c>
      <c r="I1627" s="9">
        <v>2</v>
      </c>
      <c r="J1627" s="9">
        <v>42</v>
      </c>
      <c r="K1627" s="77">
        <f t="shared" si="113"/>
        <v>84</v>
      </c>
      <c r="L1627" s="76">
        <v>46142</v>
      </c>
      <c r="N1627" s="83"/>
      <c r="O1627" s="84"/>
      <c r="P1627" s="81"/>
      <c r="Q1627" s="81"/>
      <c r="R1627" s="81"/>
      <c r="S1627" s="81"/>
      <c r="T1627" s="85"/>
      <c r="U1627" s="81"/>
      <c r="V1627" s="81"/>
      <c r="W1627" s="123">
        <f t="shared" si="114"/>
        <v>0</v>
      </c>
      <c r="X1627" s="123" t="s">
        <v>84</v>
      </c>
      <c r="Y1627" s="114" t="s">
        <v>1128</v>
      </c>
    </row>
    <row r="1628" spans="1:25" s="24" customFormat="1" ht="11.1" customHeight="1">
      <c r="A1628" s="74">
        <f t="shared" si="115"/>
        <v>1626</v>
      </c>
      <c r="B1628" s="75" t="s">
        <v>876</v>
      </c>
      <c r="C1628" s="74" t="str">
        <f>IF($B1628&lt;&gt;"",_xlfn.IFNA(VLOOKUP($B1628,'Node Details'!$B:$U,C$1,0),"Check"),"")</f>
        <v>0000CM410-CM4100104</v>
      </c>
      <c r="D1628" s="74" t="str">
        <f>IF($B1628&lt;&gt;"",_xlfn.IFNA(VLOOKUP($B1628,'Node Details'!$B:$U,D$1,0),"Check"),"")</f>
        <v>CM4</v>
      </c>
      <c r="E1628" s="74" t="str">
        <f>IF($B1628&lt;&gt;"",_xlfn.IFNA(VLOOKUP($B1628,'Node Details'!$B:$U,E$1,0),"Check"),"")</f>
        <v>Airtel</v>
      </c>
      <c r="F1628" s="76">
        <v>46148</v>
      </c>
      <c r="G1628" s="74"/>
      <c r="H1628" s="10" t="s">
        <v>22</v>
      </c>
      <c r="I1628" s="9">
        <v>2</v>
      </c>
      <c r="J1628" s="9">
        <v>42</v>
      </c>
      <c r="K1628" s="77">
        <f t="shared" si="113"/>
        <v>84</v>
      </c>
      <c r="L1628" s="76">
        <v>46142</v>
      </c>
      <c r="N1628" s="83"/>
      <c r="O1628" s="84"/>
      <c r="P1628" s="81"/>
      <c r="Q1628" s="81"/>
      <c r="R1628" s="81"/>
      <c r="S1628" s="81"/>
      <c r="T1628" s="85"/>
      <c r="U1628" s="81"/>
      <c r="V1628" s="81"/>
      <c r="W1628" s="123">
        <f t="shared" si="114"/>
        <v>0</v>
      </c>
      <c r="X1628" s="123" t="s">
        <v>84</v>
      </c>
      <c r="Y1628" s="114" t="s">
        <v>1128</v>
      </c>
    </row>
    <row r="1629" spans="1:25" s="24" customFormat="1" ht="11.1" customHeight="1">
      <c r="A1629" s="74">
        <f t="shared" si="115"/>
        <v>1627</v>
      </c>
      <c r="B1629" s="75" t="s">
        <v>878</v>
      </c>
      <c r="C1629" s="74" t="str">
        <f>IF($B1629&lt;&gt;"",_xlfn.IFNA(VLOOKUP($B1629,'Node Details'!$B:$U,C$1,0),"Check"),"")</f>
        <v>0000CM411-CM4110101</v>
      </c>
      <c r="D1629" s="74" t="str">
        <f>IF($B1629&lt;&gt;"",_xlfn.IFNA(VLOOKUP($B1629,'Node Details'!$B:$U,D$1,0),"Check"),"")</f>
        <v>CM4</v>
      </c>
      <c r="E1629" s="74" t="str">
        <f>IF($B1629&lt;&gt;"",_xlfn.IFNA(VLOOKUP($B1629,'Node Details'!$B:$U,E$1,0),"Check"),"")</f>
        <v>Airtel</v>
      </c>
      <c r="F1629" s="76">
        <v>46148</v>
      </c>
      <c r="G1629" s="74"/>
      <c r="H1629" s="10" t="s">
        <v>22</v>
      </c>
      <c r="I1629" s="9">
        <v>2</v>
      </c>
      <c r="J1629" s="9">
        <v>42</v>
      </c>
      <c r="K1629" s="77">
        <f t="shared" si="113"/>
        <v>84</v>
      </c>
      <c r="L1629" s="76">
        <v>46142</v>
      </c>
      <c r="N1629" s="83"/>
      <c r="O1629" s="84"/>
      <c r="P1629" s="81"/>
      <c r="Q1629" s="81"/>
      <c r="R1629" s="81"/>
      <c r="S1629" s="81"/>
      <c r="T1629" s="85"/>
      <c r="U1629" s="81"/>
      <c r="V1629" s="81"/>
      <c r="W1629" s="123">
        <f t="shared" si="114"/>
        <v>0</v>
      </c>
      <c r="X1629" s="123" t="s">
        <v>84</v>
      </c>
      <c r="Y1629" s="114" t="s">
        <v>1128</v>
      </c>
    </row>
    <row r="1630" spans="1:25" s="24" customFormat="1" ht="11.1" customHeight="1">
      <c r="A1630" s="74">
        <f t="shared" si="115"/>
        <v>1628</v>
      </c>
      <c r="B1630" s="75" t="s">
        <v>880</v>
      </c>
      <c r="C1630" s="74" t="str">
        <f>IF($B1630&lt;&gt;"",_xlfn.IFNA(VLOOKUP($B1630,'Node Details'!$B:$U,C$1,0),"Check"),"")</f>
        <v>0000CM411-CM4110104</v>
      </c>
      <c r="D1630" s="74" t="str">
        <f>IF($B1630&lt;&gt;"",_xlfn.IFNA(VLOOKUP($B1630,'Node Details'!$B:$U,D$1,0),"Check"),"")</f>
        <v>CM4</v>
      </c>
      <c r="E1630" s="74" t="str">
        <f>IF($B1630&lt;&gt;"",_xlfn.IFNA(VLOOKUP($B1630,'Node Details'!$B:$U,E$1,0),"Check"),"")</f>
        <v>Airtel</v>
      </c>
      <c r="F1630" s="76">
        <v>46148</v>
      </c>
      <c r="G1630" s="74"/>
      <c r="H1630" s="10" t="s">
        <v>22</v>
      </c>
      <c r="I1630" s="9">
        <v>2</v>
      </c>
      <c r="J1630" s="9">
        <v>42</v>
      </c>
      <c r="K1630" s="77">
        <f t="shared" si="113"/>
        <v>84</v>
      </c>
      <c r="L1630" s="76">
        <v>46142</v>
      </c>
      <c r="N1630" s="83"/>
      <c r="O1630" s="84"/>
      <c r="P1630" s="81"/>
      <c r="Q1630" s="81"/>
      <c r="R1630" s="81"/>
      <c r="S1630" s="81"/>
      <c r="T1630" s="85"/>
      <c r="U1630" s="81"/>
      <c r="V1630" s="81"/>
      <c r="W1630" s="123">
        <f t="shared" si="114"/>
        <v>0</v>
      </c>
      <c r="X1630" s="123" t="s">
        <v>84</v>
      </c>
      <c r="Y1630" s="114" t="s">
        <v>1128</v>
      </c>
    </row>
    <row r="1631" spans="1:25" s="24" customFormat="1" ht="11.1" customHeight="1">
      <c r="A1631" s="74">
        <f t="shared" si="115"/>
        <v>1629</v>
      </c>
      <c r="B1631" s="75" t="s">
        <v>884</v>
      </c>
      <c r="C1631" s="74" t="str">
        <f>IF($B1631&lt;&gt;"",_xlfn.IFNA(VLOOKUP($B1631,'Node Details'!$B:$U,C$1,0),"Check"),"")</f>
        <v>0000CM411-CM4110106</v>
      </c>
      <c r="D1631" s="74" t="str">
        <f>IF($B1631&lt;&gt;"",_xlfn.IFNA(VLOOKUP($B1631,'Node Details'!$B:$U,D$1,0),"Check"),"")</f>
        <v>CM4</v>
      </c>
      <c r="E1631" s="74" t="str">
        <f>IF($B1631&lt;&gt;"",_xlfn.IFNA(VLOOKUP($B1631,'Node Details'!$B:$U,E$1,0),"Check"),"")</f>
        <v>Airtel</v>
      </c>
      <c r="F1631" s="76">
        <v>46148</v>
      </c>
      <c r="G1631" s="74"/>
      <c r="H1631" s="10" t="s">
        <v>22</v>
      </c>
      <c r="I1631" s="9">
        <v>2</v>
      </c>
      <c r="J1631" s="9">
        <v>42</v>
      </c>
      <c r="K1631" s="77">
        <f t="shared" si="113"/>
        <v>84</v>
      </c>
      <c r="L1631" s="76">
        <v>46142</v>
      </c>
      <c r="N1631" s="83"/>
      <c r="O1631" s="84"/>
      <c r="P1631" s="81"/>
      <c r="Q1631" s="81"/>
      <c r="R1631" s="81"/>
      <c r="S1631" s="81"/>
      <c r="T1631" s="85"/>
      <c r="U1631" s="81"/>
      <c r="V1631" s="81"/>
      <c r="W1631" s="123">
        <f t="shared" si="114"/>
        <v>0</v>
      </c>
      <c r="X1631" s="123" t="s">
        <v>84</v>
      </c>
      <c r="Y1631" s="114" t="s">
        <v>1128</v>
      </c>
    </row>
    <row r="1632" spans="1:25" s="24" customFormat="1" ht="11.1" customHeight="1">
      <c r="A1632" s="74">
        <f t="shared" si="115"/>
        <v>1630</v>
      </c>
      <c r="B1632" s="75" t="s">
        <v>882</v>
      </c>
      <c r="C1632" s="74" t="str">
        <f>IF($B1632&lt;&gt;"",_xlfn.IFNA(VLOOKUP($B1632,'Node Details'!$B:$U,C$1,0),"Check"),"")</f>
        <v>0000CM411-CM4110106</v>
      </c>
      <c r="D1632" s="74" t="str">
        <f>IF($B1632&lt;&gt;"",_xlfn.IFNA(VLOOKUP($B1632,'Node Details'!$B:$U,D$1,0),"Check"),"")</f>
        <v>CM4</v>
      </c>
      <c r="E1632" s="74" t="str">
        <f>IF($B1632&lt;&gt;"",_xlfn.IFNA(VLOOKUP($B1632,'Node Details'!$B:$U,E$1,0),"Check"),"")</f>
        <v>Airtel</v>
      </c>
      <c r="F1632" s="76">
        <v>46148</v>
      </c>
      <c r="G1632" s="74"/>
      <c r="H1632" s="10" t="s">
        <v>22</v>
      </c>
      <c r="I1632" s="9">
        <v>2</v>
      </c>
      <c r="J1632" s="9">
        <v>42</v>
      </c>
      <c r="K1632" s="77">
        <f t="shared" si="113"/>
        <v>84</v>
      </c>
      <c r="L1632" s="76">
        <v>46142</v>
      </c>
      <c r="N1632" s="83"/>
      <c r="O1632" s="84"/>
      <c r="P1632" s="81"/>
      <c r="Q1632" s="81"/>
      <c r="R1632" s="81"/>
      <c r="S1632" s="81"/>
      <c r="T1632" s="85"/>
      <c r="U1632" s="81"/>
      <c r="V1632" s="81"/>
      <c r="W1632" s="123">
        <f t="shared" si="114"/>
        <v>0</v>
      </c>
      <c r="X1632" s="123" t="s">
        <v>84</v>
      </c>
      <c r="Y1632" s="114" t="s">
        <v>1128</v>
      </c>
    </row>
    <row r="1633" spans="1:25" s="24" customFormat="1" ht="11.1" customHeight="1">
      <c r="A1633" s="74">
        <f t="shared" si="115"/>
        <v>1631</v>
      </c>
      <c r="B1633" s="75" t="s">
        <v>1221</v>
      </c>
      <c r="C1633" s="74" t="str">
        <f>IF($B1633&lt;&gt;"",_xlfn.IFNA(VLOOKUP($B1633,'Node Details'!$B:$U,C$1,0),"Check"),"")</f>
        <v>CM4110105-CM4110108</v>
      </c>
      <c r="D1633" s="74" t="str">
        <f>IF($B1633&lt;&gt;"",_xlfn.IFNA(VLOOKUP($B1633,'Node Details'!$B:$U,D$1,0),"Check"),"")</f>
        <v>CM4</v>
      </c>
      <c r="E1633" s="74" t="str">
        <f>IF($B1633&lt;&gt;"",_xlfn.IFNA(VLOOKUP($B1633,'Node Details'!$B:$U,E$1,0),"Check"),"")</f>
        <v>Airtel</v>
      </c>
      <c r="F1633" s="76">
        <v>46148</v>
      </c>
      <c r="G1633" s="74"/>
      <c r="H1633" s="10" t="s">
        <v>22</v>
      </c>
      <c r="I1633" s="9">
        <v>2</v>
      </c>
      <c r="J1633" s="9">
        <v>42</v>
      </c>
      <c r="K1633" s="77">
        <f t="shared" si="113"/>
        <v>84</v>
      </c>
      <c r="L1633" s="76">
        <v>46142</v>
      </c>
      <c r="N1633" s="83"/>
      <c r="O1633" s="84"/>
      <c r="P1633" s="81"/>
      <c r="Q1633" s="81"/>
      <c r="R1633" s="81"/>
      <c r="S1633" s="81"/>
      <c r="T1633" s="85"/>
      <c r="U1633" s="81"/>
      <c r="V1633" s="81"/>
      <c r="W1633" s="123">
        <f t="shared" si="114"/>
        <v>0</v>
      </c>
      <c r="X1633" s="123" t="s">
        <v>84</v>
      </c>
      <c r="Y1633" s="114" t="s">
        <v>1128</v>
      </c>
    </row>
    <row r="1634" spans="1:25" s="24" customFormat="1" ht="11.1" customHeight="1">
      <c r="A1634" s="74">
        <f t="shared" si="115"/>
        <v>1632</v>
      </c>
      <c r="B1634" s="75" t="s">
        <v>885</v>
      </c>
      <c r="C1634" s="74" t="str">
        <f>IF($B1634&lt;&gt;"",_xlfn.IFNA(VLOOKUP($B1634,'Node Details'!$B:$U,C$1,0),"Check"),"")</f>
        <v>CM4110105-CM4110108</v>
      </c>
      <c r="D1634" s="74" t="str">
        <f>IF($B1634&lt;&gt;"",_xlfn.IFNA(VLOOKUP($B1634,'Node Details'!$B:$U,D$1,0),"Check"),"")</f>
        <v>CM4</v>
      </c>
      <c r="E1634" s="74" t="str">
        <f>IF($B1634&lt;&gt;"",_xlfn.IFNA(VLOOKUP($B1634,'Node Details'!$B:$U,E$1,0),"Check"),"")</f>
        <v>Airtel</v>
      </c>
      <c r="F1634" s="76">
        <v>46148</v>
      </c>
      <c r="G1634" s="74"/>
      <c r="H1634" s="10" t="s">
        <v>22</v>
      </c>
      <c r="I1634" s="9">
        <v>2</v>
      </c>
      <c r="J1634" s="9">
        <v>42</v>
      </c>
      <c r="K1634" s="77">
        <f t="shared" si="113"/>
        <v>84</v>
      </c>
      <c r="L1634" s="76">
        <v>46142</v>
      </c>
      <c r="N1634" s="83"/>
      <c r="O1634" s="84"/>
      <c r="P1634" s="81"/>
      <c r="Q1634" s="81"/>
      <c r="R1634" s="81"/>
      <c r="S1634" s="81"/>
      <c r="T1634" s="85"/>
      <c r="U1634" s="81"/>
      <c r="V1634" s="81"/>
      <c r="W1634" s="123">
        <f t="shared" si="114"/>
        <v>0</v>
      </c>
      <c r="X1634" s="123" t="s">
        <v>84</v>
      </c>
      <c r="Y1634" s="114" t="s">
        <v>1128</v>
      </c>
    </row>
    <row r="1635" spans="1:25" s="24" customFormat="1" ht="11.1" customHeight="1">
      <c r="A1635" s="74">
        <f t="shared" si="115"/>
        <v>1633</v>
      </c>
      <c r="B1635" s="75" t="s">
        <v>887</v>
      </c>
      <c r="C1635" s="74" t="str">
        <f>IF($B1635&lt;&gt;"",_xlfn.IFNA(VLOOKUP($B1635,'Node Details'!$B:$U,C$1,0),"Check"),"")</f>
        <v>0000CM411-CM4110103</v>
      </c>
      <c r="D1635" s="74" t="str">
        <f>IF($B1635&lt;&gt;"",_xlfn.IFNA(VLOOKUP($B1635,'Node Details'!$B:$U,D$1,0),"Check"),"")</f>
        <v>CM4</v>
      </c>
      <c r="E1635" s="74" t="str">
        <f>IF($B1635&lt;&gt;"",_xlfn.IFNA(VLOOKUP($B1635,'Node Details'!$B:$U,E$1,0),"Check"),"")</f>
        <v>Airtel</v>
      </c>
      <c r="F1635" s="76">
        <v>46148</v>
      </c>
      <c r="G1635" s="74"/>
      <c r="H1635" s="10" t="s">
        <v>22</v>
      </c>
      <c r="I1635" s="9">
        <v>2</v>
      </c>
      <c r="J1635" s="9">
        <v>42</v>
      </c>
      <c r="K1635" s="77">
        <f t="shared" si="113"/>
        <v>84</v>
      </c>
      <c r="L1635" s="76">
        <v>46142</v>
      </c>
      <c r="N1635" s="83"/>
      <c r="O1635" s="84"/>
      <c r="P1635" s="81"/>
      <c r="Q1635" s="81"/>
      <c r="R1635" s="81"/>
      <c r="S1635" s="81"/>
      <c r="T1635" s="85"/>
      <c r="U1635" s="81"/>
      <c r="V1635" s="81"/>
      <c r="W1635" s="123">
        <f t="shared" si="114"/>
        <v>0</v>
      </c>
      <c r="X1635" s="123" t="s">
        <v>84</v>
      </c>
      <c r="Y1635" s="114" t="s">
        <v>1128</v>
      </c>
    </row>
    <row r="1636" spans="1:25" s="24" customFormat="1" ht="11.1" customHeight="1">
      <c r="A1636" s="74">
        <f t="shared" si="115"/>
        <v>1634</v>
      </c>
      <c r="B1636" s="75" t="s">
        <v>889</v>
      </c>
      <c r="C1636" s="74" t="str">
        <f>IF($B1636&lt;&gt;"",_xlfn.IFNA(VLOOKUP($B1636,'Node Details'!$B:$U,C$1,0),"Check"),"")</f>
        <v>0000CM412-CM4120101</v>
      </c>
      <c r="D1636" s="74" t="str">
        <f>IF($B1636&lt;&gt;"",_xlfn.IFNA(VLOOKUP($B1636,'Node Details'!$B:$U,D$1,0),"Check"),"")</f>
        <v>CM4</v>
      </c>
      <c r="E1636" s="74" t="str">
        <f>IF($B1636&lt;&gt;"",_xlfn.IFNA(VLOOKUP($B1636,'Node Details'!$B:$U,E$1,0),"Check"),"")</f>
        <v>Airtel</v>
      </c>
      <c r="F1636" s="76">
        <v>46148</v>
      </c>
      <c r="G1636" s="74"/>
      <c r="H1636" s="10" t="s">
        <v>22</v>
      </c>
      <c r="I1636" s="9">
        <v>2</v>
      </c>
      <c r="J1636" s="9">
        <v>42</v>
      </c>
      <c r="K1636" s="77">
        <f t="shared" si="113"/>
        <v>84</v>
      </c>
      <c r="L1636" s="76">
        <v>46142</v>
      </c>
      <c r="N1636" s="83"/>
      <c r="O1636" s="84"/>
      <c r="P1636" s="81"/>
      <c r="Q1636" s="81"/>
      <c r="R1636" s="81"/>
      <c r="S1636" s="81"/>
      <c r="T1636" s="85"/>
      <c r="U1636" s="81"/>
      <c r="V1636" s="81"/>
      <c r="W1636" s="123">
        <f t="shared" si="114"/>
        <v>0</v>
      </c>
      <c r="X1636" s="123" t="s">
        <v>84</v>
      </c>
      <c r="Y1636" s="114" t="s">
        <v>1128</v>
      </c>
    </row>
    <row r="1637" spans="1:25" s="24" customFormat="1" ht="11.1" customHeight="1">
      <c r="A1637" s="74">
        <f t="shared" si="115"/>
        <v>1635</v>
      </c>
      <c r="B1637" s="75" t="s">
        <v>891</v>
      </c>
      <c r="C1637" s="74" t="str">
        <f>IF($B1637&lt;&gt;"",_xlfn.IFNA(VLOOKUP($B1637,'Node Details'!$B:$U,C$1,0),"Check"),"")</f>
        <v>0000CM412-CM4120104</v>
      </c>
      <c r="D1637" s="74" t="str">
        <f>IF($B1637&lt;&gt;"",_xlfn.IFNA(VLOOKUP($B1637,'Node Details'!$B:$U,D$1,0),"Check"),"")</f>
        <v>CM4</v>
      </c>
      <c r="E1637" s="74" t="str">
        <f>IF($B1637&lt;&gt;"",_xlfn.IFNA(VLOOKUP($B1637,'Node Details'!$B:$U,E$1,0),"Check"),"")</f>
        <v>Airtel</v>
      </c>
      <c r="F1637" s="76">
        <v>46148</v>
      </c>
      <c r="G1637" s="74"/>
      <c r="H1637" s="10" t="s">
        <v>22</v>
      </c>
      <c r="I1637" s="9">
        <v>2</v>
      </c>
      <c r="J1637" s="9">
        <v>42</v>
      </c>
      <c r="K1637" s="77">
        <f t="shared" si="113"/>
        <v>84</v>
      </c>
      <c r="L1637" s="76">
        <v>46142</v>
      </c>
      <c r="N1637" s="83"/>
      <c r="O1637" s="84"/>
      <c r="P1637" s="81"/>
      <c r="Q1637" s="81"/>
      <c r="R1637" s="81"/>
      <c r="S1637" s="81"/>
      <c r="T1637" s="85"/>
      <c r="U1637" s="81"/>
      <c r="V1637" s="81"/>
      <c r="W1637" s="123">
        <f t="shared" si="114"/>
        <v>0</v>
      </c>
      <c r="X1637" s="123" t="s">
        <v>84</v>
      </c>
      <c r="Y1637" s="114" t="s">
        <v>1128</v>
      </c>
    </row>
    <row r="1638" spans="1:25" s="24" customFormat="1" ht="11.1" customHeight="1">
      <c r="A1638" s="74">
        <f t="shared" si="115"/>
        <v>1636</v>
      </c>
      <c r="B1638" s="75" t="s">
        <v>893</v>
      </c>
      <c r="C1638" s="74" t="str">
        <f>IF($B1638&lt;&gt;"",_xlfn.IFNA(VLOOKUP($B1638,'Node Details'!$B:$U,C$1,0),"Check"),"")</f>
        <v>0000CM412-CM4120105</v>
      </c>
      <c r="D1638" s="74" t="str">
        <f>IF($B1638&lt;&gt;"",_xlfn.IFNA(VLOOKUP($B1638,'Node Details'!$B:$U,D$1,0),"Check"),"")</f>
        <v>CM4</v>
      </c>
      <c r="E1638" s="74" t="str">
        <f>IF($B1638&lt;&gt;"",_xlfn.IFNA(VLOOKUP($B1638,'Node Details'!$B:$U,E$1,0),"Check"),"")</f>
        <v>Airtel</v>
      </c>
      <c r="F1638" s="76">
        <v>46148</v>
      </c>
      <c r="G1638" s="74"/>
      <c r="H1638" s="10" t="s">
        <v>22</v>
      </c>
      <c r="I1638" s="9">
        <v>2</v>
      </c>
      <c r="J1638" s="9">
        <v>42</v>
      </c>
      <c r="K1638" s="77">
        <f t="shared" si="113"/>
        <v>84</v>
      </c>
      <c r="L1638" s="76">
        <v>46142</v>
      </c>
      <c r="N1638" s="83"/>
      <c r="O1638" s="84"/>
      <c r="P1638" s="81"/>
      <c r="Q1638" s="81"/>
      <c r="R1638" s="81"/>
      <c r="S1638" s="81"/>
      <c r="T1638" s="85"/>
      <c r="U1638" s="81"/>
      <c r="V1638" s="81"/>
      <c r="W1638" s="123">
        <f t="shared" si="114"/>
        <v>0</v>
      </c>
      <c r="X1638" s="123" t="s">
        <v>84</v>
      </c>
      <c r="Y1638" s="114" t="s">
        <v>1128</v>
      </c>
    </row>
    <row r="1639" spans="1:25" s="24" customFormat="1" ht="11.1" customHeight="1">
      <c r="A1639" s="74">
        <f t="shared" si="115"/>
        <v>1637</v>
      </c>
      <c r="B1639" s="75" t="s">
        <v>1222</v>
      </c>
      <c r="C1639" s="74" t="str">
        <f>IF($B1639&lt;&gt;"",_xlfn.IFNA(VLOOKUP($B1639,'Node Details'!$B:$U,C$1,0),"Check"),"")</f>
        <v>0000CM412-CM4120108</v>
      </c>
      <c r="D1639" s="74" t="str">
        <f>IF($B1639&lt;&gt;"",_xlfn.IFNA(VLOOKUP($B1639,'Node Details'!$B:$U,D$1,0),"Check"),"")</f>
        <v>CM4</v>
      </c>
      <c r="E1639" s="74" t="str">
        <f>IF($B1639&lt;&gt;"",_xlfn.IFNA(VLOOKUP($B1639,'Node Details'!$B:$U,E$1,0),"Check"),"")</f>
        <v>Airtel</v>
      </c>
      <c r="F1639" s="76">
        <v>46148</v>
      </c>
      <c r="G1639" s="74"/>
      <c r="H1639" s="10" t="s">
        <v>22</v>
      </c>
      <c r="I1639" s="9">
        <v>2</v>
      </c>
      <c r="J1639" s="9">
        <v>42</v>
      </c>
      <c r="K1639" s="77">
        <f t="shared" si="113"/>
        <v>84</v>
      </c>
      <c r="L1639" s="76">
        <v>46142</v>
      </c>
      <c r="N1639" s="83"/>
      <c r="O1639" s="84"/>
      <c r="P1639" s="81"/>
      <c r="Q1639" s="81"/>
      <c r="R1639" s="81"/>
      <c r="S1639" s="81"/>
      <c r="T1639" s="85"/>
      <c r="U1639" s="81"/>
      <c r="V1639" s="81"/>
      <c r="W1639" s="123">
        <f t="shared" si="114"/>
        <v>0</v>
      </c>
      <c r="X1639" s="123" t="s">
        <v>84</v>
      </c>
      <c r="Y1639" s="114" t="s">
        <v>1128</v>
      </c>
    </row>
    <row r="1640" spans="1:25" s="24" customFormat="1" ht="11.1" customHeight="1">
      <c r="A1640" s="74">
        <f t="shared" si="115"/>
        <v>1638</v>
      </c>
      <c r="B1640" s="75" t="s">
        <v>895</v>
      </c>
      <c r="C1640" s="74" t="str">
        <f>IF($B1640&lt;&gt;"",_xlfn.IFNA(VLOOKUP($B1640,'Node Details'!$B:$U,C$1,0),"Check"),"")</f>
        <v>0000CM412-CM4120108</v>
      </c>
      <c r="D1640" s="74" t="str">
        <f>IF($B1640&lt;&gt;"",_xlfn.IFNA(VLOOKUP($B1640,'Node Details'!$B:$U,D$1,0),"Check"),"")</f>
        <v>CM4</v>
      </c>
      <c r="E1640" s="74" t="str">
        <f>IF($B1640&lt;&gt;"",_xlfn.IFNA(VLOOKUP($B1640,'Node Details'!$B:$U,E$1,0),"Check"),"")</f>
        <v>Airtel</v>
      </c>
      <c r="F1640" s="76">
        <v>46148</v>
      </c>
      <c r="G1640" s="74"/>
      <c r="H1640" s="10" t="s">
        <v>22</v>
      </c>
      <c r="I1640" s="9">
        <v>2</v>
      </c>
      <c r="J1640" s="9">
        <v>42</v>
      </c>
      <c r="K1640" s="77">
        <f t="shared" si="113"/>
        <v>84</v>
      </c>
      <c r="L1640" s="76">
        <v>46142</v>
      </c>
      <c r="N1640" s="83"/>
      <c r="O1640" s="84"/>
      <c r="P1640" s="81"/>
      <c r="Q1640" s="81"/>
      <c r="R1640" s="81"/>
      <c r="S1640" s="81"/>
      <c r="T1640" s="85"/>
      <c r="U1640" s="81"/>
      <c r="V1640" s="81"/>
      <c r="W1640" s="123">
        <f t="shared" si="114"/>
        <v>0</v>
      </c>
      <c r="X1640" s="123" t="s">
        <v>84</v>
      </c>
      <c r="Y1640" s="114" t="s">
        <v>1128</v>
      </c>
    </row>
    <row r="1641" spans="1:25" s="24" customFormat="1" ht="11.1" customHeight="1">
      <c r="A1641" s="74">
        <f t="shared" si="115"/>
        <v>1639</v>
      </c>
      <c r="B1641" s="75" t="s">
        <v>898</v>
      </c>
      <c r="C1641" s="74" t="str">
        <f>IF($B1641&lt;&gt;"",_xlfn.IFNA(VLOOKUP($B1641,'Node Details'!$B:$U,C$1,0),"Check"),"")</f>
        <v>0000CM413-CM4130101</v>
      </c>
      <c r="D1641" s="74" t="str">
        <f>IF($B1641&lt;&gt;"",_xlfn.IFNA(VLOOKUP($B1641,'Node Details'!$B:$U,D$1,0),"Check"),"")</f>
        <v>CM4</v>
      </c>
      <c r="E1641" s="74" t="str">
        <f>IF($B1641&lt;&gt;"",_xlfn.IFNA(VLOOKUP($B1641,'Node Details'!$B:$U,E$1,0),"Check"),"")</f>
        <v>Airtel</v>
      </c>
      <c r="F1641" s="76">
        <v>46148</v>
      </c>
      <c r="G1641" s="74"/>
      <c r="H1641" s="10" t="s">
        <v>22</v>
      </c>
      <c r="I1641" s="9">
        <v>2</v>
      </c>
      <c r="J1641" s="9">
        <v>42</v>
      </c>
      <c r="K1641" s="77">
        <f t="shared" si="113"/>
        <v>84</v>
      </c>
      <c r="L1641" s="76">
        <v>46142</v>
      </c>
      <c r="N1641" s="83"/>
      <c r="O1641" s="84"/>
      <c r="P1641" s="81"/>
      <c r="Q1641" s="81"/>
      <c r="R1641" s="81"/>
      <c r="S1641" s="81"/>
      <c r="T1641" s="85"/>
      <c r="U1641" s="81"/>
      <c r="V1641" s="81"/>
      <c r="W1641" s="123">
        <f t="shared" si="114"/>
        <v>0</v>
      </c>
      <c r="X1641" s="123" t="s">
        <v>84</v>
      </c>
      <c r="Y1641" s="114" t="s">
        <v>1128</v>
      </c>
    </row>
    <row r="1642" spans="1:25" s="24" customFormat="1" ht="11.1" customHeight="1">
      <c r="A1642" s="74">
        <f t="shared" si="115"/>
        <v>1640</v>
      </c>
      <c r="B1642" s="75" t="s">
        <v>902</v>
      </c>
      <c r="C1642" s="74" t="str">
        <f>IF($B1642&lt;&gt;"",_xlfn.IFNA(VLOOKUP($B1642,'Node Details'!$B:$U,C$1,0),"Check"),"")</f>
        <v>0000CM413-CM4130104</v>
      </c>
      <c r="D1642" s="74" t="str">
        <f>IF($B1642&lt;&gt;"",_xlfn.IFNA(VLOOKUP($B1642,'Node Details'!$B:$U,D$1,0),"Check"),"")</f>
        <v>CM4</v>
      </c>
      <c r="E1642" s="74" t="str">
        <f>IF($B1642&lt;&gt;"",_xlfn.IFNA(VLOOKUP($B1642,'Node Details'!$B:$U,E$1,0),"Check"),"")</f>
        <v>Airtel</v>
      </c>
      <c r="F1642" s="76">
        <v>46148</v>
      </c>
      <c r="G1642" s="74"/>
      <c r="H1642" s="10" t="s">
        <v>22</v>
      </c>
      <c r="I1642" s="9">
        <v>2</v>
      </c>
      <c r="J1642" s="9">
        <v>42</v>
      </c>
      <c r="K1642" s="77">
        <f t="shared" si="113"/>
        <v>84</v>
      </c>
      <c r="L1642" s="76">
        <v>46142</v>
      </c>
      <c r="N1642" s="83"/>
      <c r="O1642" s="84"/>
      <c r="P1642" s="81"/>
      <c r="Q1642" s="81"/>
      <c r="R1642" s="81"/>
      <c r="S1642" s="81"/>
      <c r="T1642" s="85"/>
      <c r="U1642" s="81"/>
      <c r="V1642" s="81"/>
      <c r="W1642" s="123">
        <f t="shared" si="114"/>
        <v>0</v>
      </c>
      <c r="X1642" s="123" t="s">
        <v>84</v>
      </c>
      <c r="Y1642" s="114" t="s">
        <v>1128</v>
      </c>
    </row>
    <row r="1643" spans="1:25" s="24" customFormat="1" ht="11.1" customHeight="1">
      <c r="A1643" s="74">
        <f t="shared" si="115"/>
        <v>1641</v>
      </c>
      <c r="B1643" s="75" t="s">
        <v>900</v>
      </c>
      <c r="C1643" s="74" t="str">
        <f>IF($B1643&lt;&gt;"",_xlfn.IFNA(VLOOKUP($B1643,'Node Details'!$B:$U,C$1,0),"Check"),"")</f>
        <v>0000CM413-CM4130104</v>
      </c>
      <c r="D1643" s="74" t="str">
        <f>IF($B1643&lt;&gt;"",_xlfn.IFNA(VLOOKUP($B1643,'Node Details'!$B:$U,D$1,0),"Check"),"")</f>
        <v>CM4</v>
      </c>
      <c r="E1643" s="74" t="str">
        <f>IF($B1643&lt;&gt;"",_xlfn.IFNA(VLOOKUP($B1643,'Node Details'!$B:$U,E$1,0),"Check"),"")</f>
        <v>Airtel</v>
      </c>
      <c r="F1643" s="76">
        <v>46148</v>
      </c>
      <c r="G1643" s="74"/>
      <c r="H1643" s="10" t="s">
        <v>22</v>
      </c>
      <c r="I1643" s="9">
        <v>2</v>
      </c>
      <c r="J1643" s="9">
        <v>42</v>
      </c>
      <c r="K1643" s="77">
        <f t="shared" si="113"/>
        <v>84</v>
      </c>
      <c r="L1643" s="76">
        <v>46142</v>
      </c>
      <c r="N1643" s="83"/>
      <c r="O1643" s="84"/>
      <c r="P1643" s="81"/>
      <c r="Q1643" s="81"/>
      <c r="R1643" s="81"/>
      <c r="S1643" s="81"/>
      <c r="T1643" s="85"/>
      <c r="U1643" s="81"/>
      <c r="V1643" s="81"/>
      <c r="W1643" s="123">
        <f t="shared" si="114"/>
        <v>0</v>
      </c>
      <c r="X1643" s="123" t="s">
        <v>84</v>
      </c>
      <c r="Y1643" s="114" t="s">
        <v>1128</v>
      </c>
    </row>
    <row r="1644" spans="1:25" s="24" customFormat="1" ht="11.1" customHeight="1">
      <c r="A1644" s="74">
        <f t="shared" si="115"/>
        <v>1642</v>
      </c>
      <c r="B1644" s="75" t="s">
        <v>903</v>
      </c>
      <c r="C1644" s="74" t="str">
        <f>IF($B1644&lt;&gt;"",_xlfn.IFNA(VLOOKUP($B1644,'Node Details'!$B:$U,C$1,0),"Check"),"")</f>
        <v>CM4130103-CM4130107</v>
      </c>
      <c r="D1644" s="74" t="str">
        <f>IF($B1644&lt;&gt;"",_xlfn.IFNA(VLOOKUP($B1644,'Node Details'!$B:$U,D$1,0),"Check"),"")</f>
        <v>CM4</v>
      </c>
      <c r="E1644" s="74" t="str">
        <f>IF($B1644&lt;&gt;"",_xlfn.IFNA(VLOOKUP($B1644,'Node Details'!$B:$U,E$1,0),"Check"),"")</f>
        <v>Airtel</v>
      </c>
      <c r="F1644" s="76">
        <v>46148</v>
      </c>
      <c r="G1644" s="74"/>
      <c r="H1644" s="10" t="s">
        <v>22</v>
      </c>
      <c r="I1644" s="9">
        <v>2</v>
      </c>
      <c r="J1644" s="9">
        <v>42</v>
      </c>
      <c r="K1644" s="77">
        <f t="shared" si="113"/>
        <v>84</v>
      </c>
      <c r="L1644" s="76">
        <v>46142</v>
      </c>
      <c r="N1644" s="83"/>
      <c r="O1644" s="84"/>
      <c r="P1644" s="81"/>
      <c r="Q1644" s="81"/>
      <c r="R1644" s="81"/>
      <c r="S1644" s="81"/>
      <c r="T1644" s="85"/>
      <c r="U1644" s="81"/>
      <c r="V1644" s="81"/>
      <c r="W1644" s="123">
        <f t="shared" si="114"/>
        <v>0</v>
      </c>
      <c r="X1644" s="123" t="s">
        <v>84</v>
      </c>
      <c r="Y1644" s="114" t="s">
        <v>1128</v>
      </c>
    </row>
    <row r="1645" spans="1:25" s="24" customFormat="1" ht="11.1" customHeight="1">
      <c r="A1645" s="74">
        <f t="shared" si="115"/>
        <v>1643</v>
      </c>
      <c r="B1645" s="75" t="s">
        <v>906</v>
      </c>
      <c r="C1645" s="74" t="str">
        <f>IF($B1645&lt;&gt;"",_xlfn.IFNA(VLOOKUP($B1645,'Node Details'!$B:$U,C$1,0),"Check"),"")</f>
        <v>0000CM414-CM4140101</v>
      </c>
      <c r="D1645" s="74" t="str">
        <f>IF($B1645&lt;&gt;"",_xlfn.IFNA(VLOOKUP($B1645,'Node Details'!$B:$U,D$1,0),"Check"),"")</f>
        <v>CM4</v>
      </c>
      <c r="E1645" s="74" t="str">
        <f>IF($B1645&lt;&gt;"",_xlfn.IFNA(VLOOKUP($B1645,'Node Details'!$B:$U,E$1,0),"Check"),"")</f>
        <v>Airtel</v>
      </c>
      <c r="F1645" s="76">
        <v>46148</v>
      </c>
      <c r="G1645" s="74"/>
      <c r="H1645" s="10" t="s">
        <v>22</v>
      </c>
      <c r="I1645" s="9">
        <v>2</v>
      </c>
      <c r="J1645" s="9">
        <v>42</v>
      </c>
      <c r="K1645" s="77">
        <f t="shared" si="113"/>
        <v>84</v>
      </c>
      <c r="L1645" s="76">
        <v>46142</v>
      </c>
      <c r="N1645" s="83"/>
      <c r="O1645" s="84"/>
      <c r="P1645" s="81"/>
      <c r="Q1645" s="81"/>
      <c r="R1645" s="81"/>
      <c r="S1645" s="81"/>
      <c r="T1645" s="85"/>
      <c r="U1645" s="81"/>
      <c r="V1645" s="81"/>
      <c r="W1645" s="123">
        <f t="shared" si="114"/>
        <v>0</v>
      </c>
      <c r="X1645" s="123" t="s">
        <v>84</v>
      </c>
      <c r="Y1645" s="114" t="s">
        <v>1128</v>
      </c>
    </row>
    <row r="1646" spans="1:25" s="24" customFormat="1" ht="11.1" customHeight="1">
      <c r="A1646" s="74">
        <f t="shared" si="115"/>
        <v>1644</v>
      </c>
      <c r="B1646" s="75" t="s">
        <v>1223</v>
      </c>
      <c r="C1646" s="74" t="str">
        <f>IF($B1646&lt;&gt;"",_xlfn.IFNA(VLOOKUP($B1646,'Node Details'!$B:$U,C$1,0),"Check"),"")</f>
        <v>0000CM414-CM4140105</v>
      </c>
      <c r="D1646" s="74" t="str">
        <f>IF($B1646&lt;&gt;"",_xlfn.IFNA(VLOOKUP($B1646,'Node Details'!$B:$U,D$1,0),"Check"),"")</f>
        <v>CM4</v>
      </c>
      <c r="E1646" s="74" t="str">
        <f>IF($B1646&lt;&gt;"",_xlfn.IFNA(VLOOKUP($B1646,'Node Details'!$B:$U,E$1,0),"Check"),"")</f>
        <v>Airtel</v>
      </c>
      <c r="F1646" s="76">
        <v>46148</v>
      </c>
      <c r="G1646" s="74"/>
      <c r="H1646" s="10" t="s">
        <v>22</v>
      </c>
      <c r="I1646" s="9">
        <v>2</v>
      </c>
      <c r="J1646" s="9">
        <v>42</v>
      </c>
      <c r="K1646" s="77">
        <f t="shared" si="113"/>
        <v>84</v>
      </c>
      <c r="L1646" s="76">
        <v>46142</v>
      </c>
      <c r="N1646" s="83"/>
      <c r="O1646" s="84"/>
      <c r="P1646" s="81"/>
      <c r="Q1646" s="81"/>
      <c r="R1646" s="81"/>
      <c r="S1646" s="81"/>
      <c r="T1646" s="85"/>
      <c r="U1646" s="81"/>
      <c r="V1646" s="81"/>
      <c r="W1646" s="123">
        <f t="shared" si="114"/>
        <v>0</v>
      </c>
      <c r="X1646" s="123" t="s">
        <v>84</v>
      </c>
      <c r="Y1646" s="114" t="s">
        <v>1128</v>
      </c>
    </row>
    <row r="1647" spans="1:25" s="24" customFormat="1" ht="11.1" customHeight="1">
      <c r="A1647" s="74">
        <f t="shared" si="115"/>
        <v>1645</v>
      </c>
      <c r="B1647" s="75" t="s">
        <v>908</v>
      </c>
      <c r="C1647" s="74" t="str">
        <f>IF($B1647&lt;&gt;"",_xlfn.IFNA(VLOOKUP($B1647,'Node Details'!$B:$U,C$1,0),"Check"),"")</f>
        <v>0000CM414-CM4140105</v>
      </c>
      <c r="D1647" s="74" t="str">
        <f>IF($B1647&lt;&gt;"",_xlfn.IFNA(VLOOKUP($B1647,'Node Details'!$B:$U,D$1,0),"Check"),"")</f>
        <v>CM4</v>
      </c>
      <c r="E1647" s="74" t="str">
        <f>IF($B1647&lt;&gt;"",_xlfn.IFNA(VLOOKUP($B1647,'Node Details'!$B:$U,E$1,0),"Check"),"")</f>
        <v>Airtel</v>
      </c>
      <c r="F1647" s="76">
        <v>46148</v>
      </c>
      <c r="G1647" s="74"/>
      <c r="H1647" s="10" t="s">
        <v>22</v>
      </c>
      <c r="I1647" s="9">
        <v>2</v>
      </c>
      <c r="J1647" s="9">
        <v>42</v>
      </c>
      <c r="K1647" s="77">
        <f t="shared" si="113"/>
        <v>84</v>
      </c>
      <c r="L1647" s="76">
        <v>46142</v>
      </c>
      <c r="N1647" s="83"/>
      <c r="O1647" s="84"/>
      <c r="P1647" s="81"/>
      <c r="Q1647" s="81"/>
      <c r="R1647" s="81"/>
      <c r="S1647" s="81"/>
      <c r="T1647" s="85"/>
      <c r="U1647" s="81"/>
      <c r="V1647" s="81"/>
      <c r="W1647" s="123">
        <f t="shared" si="114"/>
        <v>0</v>
      </c>
      <c r="X1647" s="123" t="s">
        <v>84</v>
      </c>
      <c r="Y1647" s="114" t="s">
        <v>1128</v>
      </c>
    </row>
    <row r="1648" spans="1:25" s="24" customFormat="1" ht="11.1" customHeight="1">
      <c r="A1648" s="74">
        <f t="shared" si="115"/>
        <v>1646</v>
      </c>
      <c r="B1648" s="75" t="s">
        <v>910</v>
      </c>
      <c r="C1648" s="74" t="str">
        <f>IF($B1648&lt;&gt;"",_xlfn.IFNA(VLOOKUP($B1648,'Node Details'!$B:$U,C$1,0),"Check"),"")</f>
        <v>0000CM414-CM4140108</v>
      </c>
      <c r="D1648" s="74" t="str">
        <f>IF($B1648&lt;&gt;"",_xlfn.IFNA(VLOOKUP($B1648,'Node Details'!$B:$U,D$1,0),"Check"),"")</f>
        <v>CM4</v>
      </c>
      <c r="E1648" s="74" t="str">
        <f>IF($B1648&lt;&gt;"",_xlfn.IFNA(VLOOKUP($B1648,'Node Details'!$B:$U,E$1,0),"Check"),"")</f>
        <v>Airtel</v>
      </c>
      <c r="F1648" s="76">
        <v>46148</v>
      </c>
      <c r="G1648" s="74"/>
      <c r="H1648" s="10" t="s">
        <v>22</v>
      </c>
      <c r="I1648" s="9">
        <v>2</v>
      </c>
      <c r="J1648" s="9">
        <v>42</v>
      </c>
      <c r="K1648" s="77">
        <f t="shared" ref="K1648:K1711" si="116">IF(I1648&lt;&gt;"",J1648*I1648,0)</f>
        <v>84</v>
      </c>
      <c r="L1648" s="76">
        <v>46142</v>
      </c>
      <c r="N1648" s="83"/>
      <c r="O1648" s="84"/>
      <c r="P1648" s="81"/>
      <c r="Q1648" s="81"/>
      <c r="R1648" s="81"/>
      <c r="S1648" s="81"/>
      <c r="T1648" s="85"/>
      <c r="U1648" s="81"/>
      <c r="V1648" s="81"/>
      <c r="W1648" s="123">
        <f t="shared" ref="W1648:W1711" si="117">IF(V1648&lt;&gt;"",V1648*U1648,0)</f>
        <v>0</v>
      </c>
      <c r="X1648" s="123" t="s">
        <v>84</v>
      </c>
      <c r="Y1648" s="114" t="s">
        <v>1128</v>
      </c>
    </row>
    <row r="1649" spans="1:25" s="24" customFormat="1" ht="11.1" customHeight="1">
      <c r="A1649" s="74">
        <f t="shared" si="115"/>
        <v>1647</v>
      </c>
      <c r="B1649" s="75" t="s">
        <v>912</v>
      </c>
      <c r="C1649" s="74" t="str">
        <f>IF($B1649&lt;&gt;"",_xlfn.IFNA(VLOOKUP($B1649,'Node Details'!$B:$U,C$1,0),"Check"),"")</f>
        <v>0000CM415-CM4150101</v>
      </c>
      <c r="D1649" s="74" t="str">
        <f>IF($B1649&lt;&gt;"",_xlfn.IFNA(VLOOKUP($B1649,'Node Details'!$B:$U,D$1,0),"Check"),"")</f>
        <v>CM4</v>
      </c>
      <c r="E1649" s="74" t="str">
        <f>IF($B1649&lt;&gt;"",_xlfn.IFNA(VLOOKUP($B1649,'Node Details'!$B:$U,E$1,0),"Check"),"")</f>
        <v>Airtel</v>
      </c>
      <c r="F1649" s="76">
        <v>46148</v>
      </c>
      <c r="G1649" s="74"/>
      <c r="H1649" s="10" t="s">
        <v>22</v>
      </c>
      <c r="I1649" s="9">
        <v>2</v>
      </c>
      <c r="J1649" s="9">
        <v>42</v>
      </c>
      <c r="K1649" s="77">
        <f t="shared" si="116"/>
        <v>84</v>
      </c>
      <c r="L1649" s="76">
        <v>46142</v>
      </c>
      <c r="N1649" s="83"/>
      <c r="O1649" s="84"/>
      <c r="P1649" s="81"/>
      <c r="Q1649" s="81"/>
      <c r="R1649" s="81"/>
      <c r="S1649" s="81"/>
      <c r="T1649" s="85"/>
      <c r="U1649" s="81"/>
      <c r="V1649" s="81"/>
      <c r="W1649" s="123">
        <f t="shared" si="117"/>
        <v>0</v>
      </c>
      <c r="X1649" s="123" t="s">
        <v>84</v>
      </c>
      <c r="Y1649" s="114" t="s">
        <v>1128</v>
      </c>
    </row>
    <row r="1650" spans="1:25" s="24" customFormat="1" ht="11.1" customHeight="1">
      <c r="A1650" s="74">
        <f t="shared" si="115"/>
        <v>1648</v>
      </c>
      <c r="B1650" s="75" t="s">
        <v>1224</v>
      </c>
      <c r="C1650" s="74" t="str">
        <f>IF($B1650&lt;&gt;"",_xlfn.IFNA(VLOOKUP($B1650,'Node Details'!$B:$U,C$1,0),"Check"),"")</f>
        <v>0000CM415-CM4150104</v>
      </c>
      <c r="D1650" s="74" t="str">
        <f>IF($B1650&lt;&gt;"",_xlfn.IFNA(VLOOKUP($B1650,'Node Details'!$B:$U,D$1,0),"Check"),"")</f>
        <v>CM4</v>
      </c>
      <c r="E1650" s="74" t="str">
        <f>IF($B1650&lt;&gt;"",_xlfn.IFNA(VLOOKUP($B1650,'Node Details'!$B:$U,E$1,0),"Check"),"")</f>
        <v>Airtel</v>
      </c>
      <c r="F1650" s="76">
        <v>46148</v>
      </c>
      <c r="G1650" s="74"/>
      <c r="H1650" s="10" t="s">
        <v>22</v>
      </c>
      <c r="I1650" s="9">
        <v>2</v>
      </c>
      <c r="J1650" s="9">
        <v>42</v>
      </c>
      <c r="K1650" s="77">
        <f t="shared" si="116"/>
        <v>84</v>
      </c>
      <c r="L1650" s="76">
        <v>46142</v>
      </c>
      <c r="N1650" s="83"/>
      <c r="O1650" s="84"/>
      <c r="P1650" s="81"/>
      <c r="Q1650" s="81"/>
      <c r="R1650" s="81"/>
      <c r="S1650" s="81"/>
      <c r="T1650" s="85"/>
      <c r="U1650" s="81"/>
      <c r="V1650" s="81"/>
      <c r="W1650" s="123">
        <f t="shared" si="117"/>
        <v>0</v>
      </c>
      <c r="X1650" s="123" t="s">
        <v>84</v>
      </c>
      <c r="Y1650" s="114" t="s">
        <v>1128</v>
      </c>
    </row>
    <row r="1651" spans="1:25" s="24" customFormat="1" ht="11.1" customHeight="1">
      <c r="A1651" s="74">
        <f t="shared" si="115"/>
        <v>1649</v>
      </c>
      <c r="B1651" s="75" t="s">
        <v>914</v>
      </c>
      <c r="C1651" s="74" t="str">
        <f>IF($B1651&lt;&gt;"",_xlfn.IFNA(VLOOKUP($B1651,'Node Details'!$B:$U,C$1,0),"Check"),"")</f>
        <v>0000CM415-CM4150104</v>
      </c>
      <c r="D1651" s="74" t="str">
        <f>IF($B1651&lt;&gt;"",_xlfn.IFNA(VLOOKUP($B1651,'Node Details'!$B:$U,D$1,0),"Check"),"")</f>
        <v>CM4</v>
      </c>
      <c r="E1651" s="74" t="str">
        <f>IF($B1651&lt;&gt;"",_xlfn.IFNA(VLOOKUP($B1651,'Node Details'!$B:$U,E$1,0),"Check"),"")</f>
        <v>Airtel</v>
      </c>
      <c r="F1651" s="76">
        <v>46148</v>
      </c>
      <c r="G1651" s="74"/>
      <c r="H1651" s="10" t="s">
        <v>22</v>
      </c>
      <c r="I1651" s="9">
        <v>2</v>
      </c>
      <c r="J1651" s="9">
        <v>42</v>
      </c>
      <c r="K1651" s="77">
        <f t="shared" si="116"/>
        <v>84</v>
      </c>
      <c r="L1651" s="76">
        <v>46142</v>
      </c>
      <c r="N1651" s="83"/>
      <c r="O1651" s="84"/>
      <c r="P1651" s="81"/>
      <c r="Q1651" s="81"/>
      <c r="R1651" s="81"/>
      <c r="S1651" s="81"/>
      <c r="T1651" s="85"/>
      <c r="U1651" s="81"/>
      <c r="V1651" s="81"/>
      <c r="W1651" s="123">
        <f t="shared" si="117"/>
        <v>0</v>
      </c>
      <c r="X1651" s="123" t="s">
        <v>84</v>
      </c>
      <c r="Y1651" s="114" t="s">
        <v>1128</v>
      </c>
    </row>
    <row r="1652" spans="1:25" s="24" customFormat="1" ht="11.1" customHeight="1">
      <c r="A1652" s="74">
        <f t="shared" si="115"/>
        <v>1650</v>
      </c>
      <c r="B1652" s="75" t="s">
        <v>1225</v>
      </c>
      <c r="C1652" s="74" t="str">
        <f>IF($B1652&lt;&gt;"",_xlfn.IFNA(VLOOKUP($B1652,'Node Details'!$B:$U,C$1,0),"Check"),"")</f>
        <v>0000CM415-CM4150108</v>
      </c>
      <c r="D1652" s="74" t="str">
        <f>IF($B1652&lt;&gt;"",_xlfn.IFNA(VLOOKUP($B1652,'Node Details'!$B:$U,D$1,0),"Check"),"")</f>
        <v>CM4</v>
      </c>
      <c r="E1652" s="74" t="str">
        <f>IF($B1652&lt;&gt;"",_xlfn.IFNA(VLOOKUP($B1652,'Node Details'!$B:$U,E$1,0),"Check"),"")</f>
        <v>Airtel</v>
      </c>
      <c r="F1652" s="76">
        <v>46148</v>
      </c>
      <c r="G1652" s="74"/>
      <c r="H1652" s="10" t="s">
        <v>22</v>
      </c>
      <c r="I1652" s="9">
        <v>2</v>
      </c>
      <c r="J1652" s="9">
        <v>42</v>
      </c>
      <c r="K1652" s="77">
        <f t="shared" si="116"/>
        <v>84</v>
      </c>
      <c r="L1652" s="76">
        <v>46142</v>
      </c>
      <c r="N1652" s="83"/>
      <c r="O1652" s="84"/>
      <c r="P1652" s="81"/>
      <c r="Q1652" s="81"/>
      <c r="R1652" s="81"/>
      <c r="S1652" s="81"/>
      <c r="T1652" s="85"/>
      <c r="U1652" s="81"/>
      <c r="V1652" s="81"/>
      <c r="W1652" s="123">
        <f t="shared" si="117"/>
        <v>0</v>
      </c>
      <c r="X1652" s="123" t="s">
        <v>84</v>
      </c>
      <c r="Y1652" s="114" t="s">
        <v>1128</v>
      </c>
    </row>
    <row r="1653" spans="1:25" s="24" customFormat="1" ht="11.1" customHeight="1">
      <c r="A1653" s="74">
        <f t="shared" si="115"/>
        <v>1651</v>
      </c>
      <c r="B1653" s="75" t="s">
        <v>1226</v>
      </c>
      <c r="C1653" s="74" t="str">
        <f>IF($B1653&lt;&gt;"",_xlfn.IFNA(VLOOKUP($B1653,'Node Details'!$B:$U,C$1,0),"Check"),"")</f>
        <v>0000CM415-CM4150108</v>
      </c>
      <c r="D1653" s="74" t="str">
        <f>IF($B1653&lt;&gt;"",_xlfn.IFNA(VLOOKUP($B1653,'Node Details'!$B:$U,D$1,0),"Check"),"")</f>
        <v>CM4</v>
      </c>
      <c r="E1653" s="74" t="str">
        <f>IF($B1653&lt;&gt;"",_xlfn.IFNA(VLOOKUP($B1653,'Node Details'!$B:$U,E$1,0),"Check"),"")</f>
        <v>Airtel</v>
      </c>
      <c r="F1653" s="76">
        <v>46148</v>
      </c>
      <c r="G1653" s="74"/>
      <c r="H1653" s="10" t="s">
        <v>22</v>
      </c>
      <c r="I1653" s="9">
        <v>2</v>
      </c>
      <c r="J1653" s="9">
        <v>42</v>
      </c>
      <c r="K1653" s="77">
        <f t="shared" si="116"/>
        <v>84</v>
      </c>
      <c r="L1653" s="76">
        <v>46142</v>
      </c>
      <c r="N1653" s="83"/>
      <c r="O1653" s="84"/>
      <c r="P1653" s="81"/>
      <c r="Q1653" s="81"/>
      <c r="R1653" s="81"/>
      <c r="S1653" s="81"/>
      <c r="T1653" s="85"/>
      <c r="U1653" s="81"/>
      <c r="V1653" s="81"/>
      <c r="W1653" s="123">
        <f t="shared" si="117"/>
        <v>0</v>
      </c>
      <c r="X1653" s="123" t="s">
        <v>84</v>
      </c>
      <c r="Y1653" s="114" t="s">
        <v>1128</v>
      </c>
    </row>
    <row r="1654" spans="1:25" s="24" customFormat="1" ht="11.1" customHeight="1">
      <c r="A1654" s="74">
        <f t="shared" si="115"/>
        <v>1652</v>
      </c>
      <c r="B1654" s="75" t="s">
        <v>916</v>
      </c>
      <c r="C1654" s="74" t="str">
        <f>IF($B1654&lt;&gt;"",_xlfn.IFNA(VLOOKUP($B1654,'Node Details'!$B:$U,C$1,0),"Check"),"")</f>
        <v>0000CM415-CM4150108</v>
      </c>
      <c r="D1654" s="74" t="str">
        <f>IF($B1654&lt;&gt;"",_xlfn.IFNA(VLOOKUP($B1654,'Node Details'!$B:$U,D$1,0),"Check"),"")</f>
        <v>CM4</v>
      </c>
      <c r="E1654" s="74" t="str">
        <f>IF($B1654&lt;&gt;"",_xlfn.IFNA(VLOOKUP($B1654,'Node Details'!$B:$U,E$1,0),"Check"),"")</f>
        <v>Airtel</v>
      </c>
      <c r="F1654" s="76">
        <v>46148</v>
      </c>
      <c r="G1654" s="74"/>
      <c r="H1654" s="10" t="s">
        <v>22</v>
      </c>
      <c r="I1654" s="9">
        <v>2</v>
      </c>
      <c r="J1654" s="9">
        <v>42</v>
      </c>
      <c r="K1654" s="77">
        <f t="shared" si="116"/>
        <v>84</v>
      </c>
      <c r="L1654" s="76">
        <v>46142</v>
      </c>
      <c r="N1654" s="83"/>
      <c r="O1654" s="84"/>
      <c r="P1654" s="81"/>
      <c r="Q1654" s="81"/>
      <c r="R1654" s="81"/>
      <c r="S1654" s="81"/>
      <c r="T1654" s="85"/>
      <c r="U1654" s="81"/>
      <c r="V1654" s="81"/>
      <c r="W1654" s="123">
        <f t="shared" si="117"/>
        <v>0</v>
      </c>
      <c r="X1654" s="123" t="s">
        <v>84</v>
      </c>
      <c r="Y1654" s="114" t="s">
        <v>1128</v>
      </c>
    </row>
    <row r="1655" spans="1:25" s="24" customFormat="1" ht="11.1" customHeight="1">
      <c r="A1655" s="74">
        <f t="shared" si="115"/>
        <v>1653</v>
      </c>
      <c r="B1655" s="75" t="s">
        <v>918</v>
      </c>
      <c r="C1655" s="74" t="str">
        <f>IF($B1655&lt;&gt;"",_xlfn.IFNA(VLOOKUP($B1655,'Node Details'!$B:$U,C$1,0),"Check"),"")</f>
        <v>0000CM416-CM4160101</v>
      </c>
      <c r="D1655" s="74" t="str">
        <f>IF($B1655&lt;&gt;"",_xlfn.IFNA(VLOOKUP($B1655,'Node Details'!$B:$U,D$1,0),"Check"),"")</f>
        <v>CM4</v>
      </c>
      <c r="E1655" s="74" t="str">
        <f>IF($B1655&lt;&gt;"",_xlfn.IFNA(VLOOKUP($B1655,'Node Details'!$B:$U,E$1,0),"Check"),"")</f>
        <v>Airtel</v>
      </c>
      <c r="F1655" s="76">
        <v>46148</v>
      </c>
      <c r="G1655" s="74"/>
      <c r="H1655" s="10" t="s">
        <v>22</v>
      </c>
      <c r="I1655" s="9">
        <v>2</v>
      </c>
      <c r="J1655" s="9">
        <v>42</v>
      </c>
      <c r="K1655" s="77">
        <f t="shared" si="116"/>
        <v>84</v>
      </c>
      <c r="L1655" s="76">
        <v>46142</v>
      </c>
      <c r="N1655" s="83"/>
      <c r="O1655" s="84"/>
      <c r="P1655" s="81"/>
      <c r="Q1655" s="81"/>
      <c r="R1655" s="81"/>
      <c r="S1655" s="81"/>
      <c r="T1655" s="85"/>
      <c r="U1655" s="81"/>
      <c r="V1655" s="81"/>
      <c r="W1655" s="123">
        <f t="shared" si="117"/>
        <v>0</v>
      </c>
      <c r="X1655" s="123" t="s">
        <v>84</v>
      </c>
      <c r="Y1655" s="114" t="s">
        <v>1128</v>
      </c>
    </row>
    <row r="1656" spans="1:25" s="24" customFormat="1" ht="11.1" customHeight="1">
      <c r="A1656" s="74">
        <f t="shared" si="115"/>
        <v>1654</v>
      </c>
      <c r="B1656" s="75" t="s">
        <v>1227</v>
      </c>
      <c r="C1656" s="74" t="str">
        <f>IF($B1656&lt;&gt;"",_xlfn.IFNA(VLOOKUP($B1656,'Node Details'!$B:$U,C$1,0),"Check"),"")</f>
        <v>0000CM416-CM4160104</v>
      </c>
      <c r="D1656" s="74" t="str">
        <f>IF($B1656&lt;&gt;"",_xlfn.IFNA(VLOOKUP($B1656,'Node Details'!$B:$U,D$1,0),"Check"),"")</f>
        <v>CM4</v>
      </c>
      <c r="E1656" s="74" t="str">
        <f>IF($B1656&lt;&gt;"",_xlfn.IFNA(VLOOKUP($B1656,'Node Details'!$B:$U,E$1,0),"Check"),"")</f>
        <v>Airtel</v>
      </c>
      <c r="F1656" s="76">
        <v>46148</v>
      </c>
      <c r="G1656" s="74"/>
      <c r="H1656" s="10" t="s">
        <v>22</v>
      </c>
      <c r="I1656" s="9">
        <v>2</v>
      </c>
      <c r="J1656" s="9">
        <v>42</v>
      </c>
      <c r="K1656" s="77">
        <f t="shared" si="116"/>
        <v>84</v>
      </c>
      <c r="L1656" s="76">
        <v>46142</v>
      </c>
      <c r="N1656" s="83"/>
      <c r="O1656" s="84"/>
      <c r="P1656" s="81"/>
      <c r="Q1656" s="81"/>
      <c r="R1656" s="81"/>
      <c r="S1656" s="81"/>
      <c r="T1656" s="85"/>
      <c r="U1656" s="81"/>
      <c r="V1656" s="81"/>
      <c r="W1656" s="123">
        <f t="shared" si="117"/>
        <v>0</v>
      </c>
      <c r="X1656" s="123" t="s">
        <v>84</v>
      </c>
      <c r="Y1656" s="114" t="s">
        <v>1128</v>
      </c>
    </row>
    <row r="1657" spans="1:25" s="24" customFormat="1" ht="11.1" customHeight="1">
      <c r="A1657" s="74">
        <f t="shared" si="115"/>
        <v>1655</v>
      </c>
      <c r="B1657" s="75" t="s">
        <v>1228</v>
      </c>
      <c r="C1657" s="74" t="str">
        <f>IF($B1657&lt;&gt;"",_xlfn.IFNA(VLOOKUP($B1657,'Node Details'!$B:$U,C$1,0),"Check"),"")</f>
        <v>0000CM416-CM4160104</v>
      </c>
      <c r="D1657" s="74" t="str">
        <f>IF($B1657&lt;&gt;"",_xlfn.IFNA(VLOOKUP($B1657,'Node Details'!$B:$U,D$1,0),"Check"),"")</f>
        <v>CM4</v>
      </c>
      <c r="E1657" s="74" t="str">
        <f>IF($B1657&lt;&gt;"",_xlfn.IFNA(VLOOKUP($B1657,'Node Details'!$B:$U,E$1,0),"Check"),"")</f>
        <v>Airtel</v>
      </c>
      <c r="F1657" s="76">
        <v>46148</v>
      </c>
      <c r="G1657" s="74"/>
      <c r="H1657" s="10" t="s">
        <v>22</v>
      </c>
      <c r="I1657" s="9">
        <v>2</v>
      </c>
      <c r="J1657" s="9">
        <v>42</v>
      </c>
      <c r="K1657" s="77">
        <f t="shared" si="116"/>
        <v>84</v>
      </c>
      <c r="L1657" s="76">
        <v>46142</v>
      </c>
      <c r="N1657" s="83"/>
      <c r="O1657" s="84"/>
      <c r="P1657" s="81"/>
      <c r="Q1657" s="81"/>
      <c r="R1657" s="81"/>
      <c r="S1657" s="81"/>
      <c r="T1657" s="85"/>
      <c r="U1657" s="81"/>
      <c r="V1657" s="81"/>
      <c r="W1657" s="123">
        <f t="shared" si="117"/>
        <v>0</v>
      </c>
      <c r="X1657" s="123" t="s">
        <v>84</v>
      </c>
      <c r="Y1657" s="114" t="s">
        <v>1128</v>
      </c>
    </row>
    <row r="1658" spans="1:25" s="24" customFormat="1" ht="11.1" customHeight="1">
      <c r="A1658" s="74">
        <f t="shared" si="115"/>
        <v>1656</v>
      </c>
      <c r="B1658" s="75" t="s">
        <v>920</v>
      </c>
      <c r="C1658" s="74" t="str">
        <f>IF($B1658&lt;&gt;"",_xlfn.IFNA(VLOOKUP($B1658,'Node Details'!$B:$U,C$1,0),"Check"),"")</f>
        <v>0000CM416-CM4160104</v>
      </c>
      <c r="D1658" s="74" t="str">
        <f>IF($B1658&lt;&gt;"",_xlfn.IFNA(VLOOKUP($B1658,'Node Details'!$B:$U,D$1,0),"Check"),"")</f>
        <v>CM4</v>
      </c>
      <c r="E1658" s="74" t="str">
        <f>IF($B1658&lt;&gt;"",_xlfn.IFNA(VLOOKUP($B1658,'Node Details'!$B:$U,E$1,0),"Check"),"")</f>
        <v>Airtel</v>
      </c>
      <c r="F1658" s="76">
        <v>46148</v>
      </c>
      <c r="G1658" s="74"/>
      <c r="H1658" s="10" t="s">
        <v>22</v>
      </c>
      <c r="I1658" s="9">
        <v>2</v>
      </c>
      <c r="J1658" s="9">
        <v>42</v>
      </c>
      <c r="K1658" s="77">
        <f t="shared" si="116"/>
        <v>84</v>
      </c>
      <c r="L1658" s="76">
        <v>46142</v>
      </c>
      <c r="N1658" s="83"/>
      <c r="O1658" s="84"/>
      <c r="P1658" s="81"/>
      <c r="Q1658" s="81"/>
      <c r="R1658" s="81"/>
      <c r="S1658" s="81"/>
      <c r="T1658" s="85"/>
      <c r="U1658" s="81"/>
      <c r="V1658" s="81"/>
      <c r="W1658" s="123">
        <f t="shared" si="117"/>
        <v>0</v>
      </c>
      <c r="X1658" s="123" t="s">
        <v>84</v>
      </c>
      <c r="Y1658" s="114" t="s">
        <v>1128</v>
      </c>
    </row>
    <row r="1659" spans="1:25" s="24" customFormat="1" ht="11.1" customHeight="1">
      <c r="A1659" s="74">
        <f t="shared" si="115"/>
        <v>1657</v>
      </c>
      <c r="B1659" s="75" t="s">
        <v>922</v>
      </c>
      <c r="C1659" s="74" t="str">
        <f>IF($B1659&lt;&gt;"",_xlfn.IFNA(VLOOKUP($B1659,'Node Details'!$B:$U,C$1,0),"Check"),"")</f>
        <v>0000CM416-CM4160105</v>
      </c>
      <c r="D1659" s="74" t="str">
        <f>IF($B1659&lt;&gt;"",_xlfn.IFNA(VLOOKUP($B1659,'Node Details'!$B:$U,D$1,0),"Check"),"")</f>
        <v>CM4</v>
      </c>
      <c r="E1659" s="74" t="str">
        <f>IF($B1659&lt;&gt;"",_xlfn.IFNA(VLOOKUP($B1659,'Node Details'!$B:$U,E$1,0),"Check"),"")</f>
        <v>Airtel</v>
      </c>
      <c r="F1659" s="76">
        <v>46148</v>
      </c>
      <c r="G1659" s="74"/>
      <c r="H1659" s="10" t="s">
        <v>22</v>
      </c>
      <c r="I1659" s="9">
        <v>2</v>
      </c>
      <c r="J1659" s="9">
        <v>42</v>
      </c>
      <c r="K1659" s="77">
        <f t="shared" si="116"/>
        <v>84</v>
      </c>
      <c r="L1659" s="76">
        <v>46142</v>
      </c>
      <c r="N1659" s="83"/>
      <c r="O1659" s="84"/>
      <c r="P1659" s="81"/>
      <c r="Q1659" s="81"/>
      <c r="R1659" s="81"/>
      <c r="S1659" s="81"/>
      <c r="T1659" s="85"/>
      <c r="U1659" s="81"/>
      <c r="V1659" s="81"/>
      <c r="W1659" s="123">
        <f t="shared" si="117"/>
        <v>0</v>
      </c>
      <c r="X1659" s="123" t="s">
        <v>84</v>
      </c>
      <c r="Y1659" s="114" t="s">
        <v>1128</v>
      </c>
    </row>
    <row r="1660" spans="1:25" s="24" customFormat="1" ht="11.1" customHeight="1">
      <c r="A1660" s="74">
        <f t="shared" si="115"/>
        <v>1658</v>
      </c>
      <c r="B1660" s="75" t="s">
        <v>924</v>
      </c>
      <c r="C1660" s="74" t="str">
        <f>IF($B1660&lt;&gt;"",_xlfn.IFNA(VLOOKUP($B1660,'Node Details'!$B:$U,C$1,0),"Check"),"")</f>
        <v>0000CM418-CM4180101</v>
      </c>
      <c r="D1660" s="74" t="str">
        <f>IF($B1660&lt;&gt;"",_xlfn.IFNA(VLOOKUP($B1660,'Node Details'!$B:$U,D$1,0),"Check"),"")</f>
        <v>CM4</v>
      </c>
      <c r="E1660" s="74" t="str">
        <f>IF($B1660&lt;&gt;"",_xlfn.IFNA(VLOOKUP($B1660,'Node Details'!$B:$U,E$1,0),"Check"),"")</f>
        <v>Airtel</v>
      </c>
      <c r="F1660" s="76">
        <v>46148</v>
      </c>
      <c r="G1660" s="74"/>
      <c r="H1660" s="10" t="s">
        <v>22</v>
      </c>
      <c r="I1660" s="9">
        <v>2</v>
      </c>
      <c r="J1660" s="9">
        <v>42</v>
      </c>
      <c r="K1660" s="77">
        <f t="shared" si="116"/>
        <v>84</v>
      </c>
      <c r="L1660" s="76">
        <v>46142</v>
      </c>
      <c r="N1660" s="83"/>
      <c r="O1660" s="84"/>
      <c r="P1660" s="81"/>
      <c r="Q1660" s="81"/>
      <c r="R1660" s="81"/>
      <c r="S1660" s="81"/>
      <c r="T1660" s="85"/>
      <c r="U1660" s="81"/>
      <c r="V1660" s="81"/>
      <c r="W1660" s="123">
        <f t="shared" si="117"/>
        <v>0</v>
      </c>
      <c r="X1660" s="123" t="s">
        <v>84</v>
      </c>
      <c r="Y1660" s="114" t="s">
        <v>1128</v>
      </c>
    </row>
    <row r="1661" spans="1:25" s="24" customFormat="1" ht="11.1" customHeight="1">
      <c r="A1661" s="74">
        <f t="shared" si="115"/>
        <v>1659</v>
      </c>
      <c r="B1661" s="75" t="s">
        <v>926</v>
      </c>
      <c r="C1661" s="74" t="str">
        <f>IF($B1661&lt;&gt;"",_xlfn.IFNA(VLOOKUP($B1661,'Node Details'!$B:$U,C$1,0),"Check"),"")</f>
        <v>0000CM418-CM4180102</v>
      </c>
      <c r="D1661" s="74" t="str">
        <f>IF($B1661&lt;&gt;"",_xlfn.IFNA(VLOOKUP($B1661,'Node Details'!$B:$U,D$1,0),"Check"),"")</f>
        <v>CM4</v>
      </c>
      <c r="E1661" s="74" t="str">
        <f>IF($B1661&lt;&gt;"",_xlfn.IFNA(VLOOKUP($B1661,'Node Details'!$B:$U,E$1,0),"Check"),"")</f>
        <v>Airtel</v>
      </c>
      <c r="F1661" s="76">
        <v>46148</v>
      </c>
      <c r="G1661" s="74"/>
      <c r="H1661" s="10" t="s">
        <v>22</v>
      </c>
      <c r="I1661" s="9">
        <v>2</v>
      </c>
      <c r="J1661" s="9">
        <v>42</v>
      </c>
      <c r="K1661" s="77">
        <f t="shared" si="116"/>
        <v>84</v>
      </c>
      <c r="L1661" s="76">
        <v>46142</v>
      </c>
      <c r="N1661" s="83"/>
      <c r="O1661" s="84"/>
      <c r="P1661" s="81"/>
      <c r="Q1661" s="81"/>
      <c r="R1661" s="81"/>
      <c r="S1661" s="81"/>
      <c r="T1661" s="85"/>
      <c r="U1661" s="81"/>
      <c r="V1661" s="81"/>
      <c r="W1661" s="123">
        <f t="shared" si="117"/>
        <v>0</v>
      </c>
      <c r="X1661" s="123" t="s">
        <v>84</v>
      </c>
      <c r="Y1661" s="114" t="s">
        <v>1128</v>
      </c>
    </row>
    <row r="1662" spans="1:25" s="24" customFormat="1" ht="11.1" customHeight="1">
      <c r="A1662" s="74">
        <f t="shared" si="115"/>
        <v>1660</v>
      </c>
      <c r="B1662" s="75" t="s">
        <v>1229</v>
      </c>
      <c r="C1662" s="74" t="str">
        <f>IF($B1662&lt;&gt;"",_xlfn.IFNA(VLOOKUP($B1662,'Node Details'!$B:$U,C$1,0),"Check"),"")</f>
        <v>0000CM418-CM4180104</v>
      </c>
      <c r="D1662" s="74" t="str">
        <f>IF($B1662&lt;&gt;"",_xlfn.IFNA(VLOOKUP($B1662,'Node Details'!$B:$U,D$1,0),"Check"),"")</f>
        <v>CM4</v>
      </c>
      <c r="E1662" s="74" t="str">
        <f>IF($B1662&lt;&gt;"",_xlfn.IFNA(VLOOKUP($B1662,'Node Details'!$B:$U,E$1,0),"Check"),"")</f>
        <v>Airtel</v>
      </c>
      <c r="F1662" s="76">
        <v>46148</v>
      </c>
      <c r="G1662" s="74"/>
      <c r="H1662" s="10" t="s">
        <v>22</v>
      </c>
      <c r="I1662" s="9">
        <v>2</v>
      </c>
      <c r="J1662" s="9">
        <v>42</v>
      </c>
      <c r="K1662" s="77">
        <f t="shared" si="116"/>
        <v>84</v>
      </c>
      <c r="L1662" s="76">
        <v>46142</v>
      </c>
      <c r="N1662" s="83"/>
      <c r="O1662" s="84"/>
      <c r="P1662" s="81"/>
      <c r="Q1662" s="81"/>
      <c r="R1662" s="81"/>
      <c r="S1662" s="81"/>
      <c r="T1662" s="85"/>
      <c r="U1662" s="81"/>
      <c r="V1662" s="81"/>
      <c r="W1662" s="123">
        <f t="shared" si="117"/>
        <v>0</v>
      </c>
      <c r="X1662" s="123" t="s">
        <v>84</v>
      </c>
      <c r="Y1662" s="114" t="s">
        <v>1128</v>
      </c>
    </row>
    <row r="1663" spans="1:25" s="24" customFormat="1" ht="11.1" customHeight="1">
      <c r="A1663" s="74">
        <f t="shared" si="115"/>
        <v>1661</v>
      </c>
      <c r="B1663" s="75" t="s">
        <v>928</v>
      </c>
      <c r="C1663" s="74" t="str">
        <f>IF($B1663&lt;&gt;"",_xlfn.IFNA(VLOOKUP($B1663,'Node Details'!$B:$U,C$1,0),"Check"),"")</f>
        <v>0000CM418-CM4180104</v>
      </c>
      <c r="D1663" s="74" t="str">
        <f>IF($B1663&lt;&gt;"",_xlfn.IFNA(VLOOKUP($B1663,'Node Details'!$B:$U,D$1,0),"Check"),"")</f>
        <v>CM4</v>
      </c>
      <c r="E1663" s="74" t="str">
        <f>IF($B1663&lt;&gt;"",_xlfn.IFNA(VLOOKUP($B1663,'Node Details'!$B:$U,E$1,0),"Check"),"")</f>
        <v>Airtel</v>
      </c>
      <c r="F1663" s="76">
        <v>46148</v>
      </c>
      <c r="G1663" s="74"/>
      <c r="H1663" s="10" t="s">
        <v>22</v>
      </c>
      <c r="I1663" s="9">
        <v>2</v>
      </c>
      <c r="J1663" s="9">
        <v>42</v>
      </c>
      <c r="K1663" s="77">
        <f t="shared" si="116"/>
        <v>84</v>
      </c>
      <c r="L1663" s="76">
        <v>46142</v>
      </c>
      <c r="N1663" s="83"/>
      <c r="O1663" s="84"/>
      <c r="P1663" s="81"/>
      <c r="Q1663" s="81"/>
      <c r="R1663" s="81"/>
      <c r="S1663" s="81"/>
      <c r="T1663" s="85"/>
      <c r="U1663" s="81"/>
      <c r="V1663" s="81"/>
      <c r="W1663" s="123">
        <f t="shared" si="117"/>
        <v>0</v>
      </c>
      <c r="X1663" s="123" t="s">
        <v>84</v>
      </c>
      <c r="Y1663" s="114" t="s">
        <v>1128</v>
      </c>
    </row>
    <row r="1664" spans="1:25" s="24" customFormat="1" ht="11.1" customHeight="1">
      <c r="A1664" s="74">
        <f t="shared" si="115"/>
        <v>1662</v>
      </c>
      <c r="B1664" s="75" t="s">
        <v>1230</v>
      </c>
      <c r="C1664" s="74" t="str">
        <f>IF($B1664&lt;&gt;"",_xlfn.IFNA(VLOOKUP($B1664,'Node Details'!$B:$U,C$1,0),"Check"),"")</f>
        <v>0000CM418-CM4180108</v>
      </c>
      <c r="D1664" s="74" t="str">
        <f>IF($B1664&lt;&gt;"",_xlfn.IFNA(VLOOKUP($B1664,'Node Details'!$B:$U,D$1,0),"Check"),"")</f>
        <v>CM4</v>
      </c>
      <c r="E1664" s="74" t="str">
        <f>IF($B1664&lt;&gt;"",_xlfn.IFNA(VLOOKUP($B1664,'Node Details'!$B:$U,E$1,0),"Check"),"")</f>
        <v>Airtel</v>
      </c>
      <c r="F1664" s="76">
        <v>46148</v>
      </c>
      <c r="G1664" s="74"/>
      <c r="H1664" s="10" t="s">
        <v>22</v>
      </c>
      <c r="I1664" s="9">
        <v>2</v>
      </c>
      <c r="J1664" s="9">
        <v>42</v>
      </c>
      <c r="K1664" s="77">
        <f t="shared" si="116"/>
        <v>84</v>
      </c>
      <c r="L1664" s="76">
        <v>46142</v>
      </c>
      <c r="N1664" s="83"/>
      <c r="O1664" s="84"/>
      <c r="P1664" s="81"/>
      <c r="Q1664" s="81"/>
      <c r="R1664" s="81"/>
      <c r="S1664" s="81"/>
      <c r="T1664" s="85"/>
      <c r="U1664" s="81"/>
      <c r="V1664" s="81"/>
      <c r="W1664" s="123">
        <f t="shared" si="117"/>
        <v>0</v>
      </c>
      <c r="X1664" s="123" t="s">
        <v>84</v>
      </c>
      <c r="Y1664" s="114" t="s">
        <v>1128</v>
      </c>
    </row>
    <row r="1665" spans="1:25" s="24" customFormat="1" ht="11.1" customHeight="1">
      <c r="A1665" s="74">
        <f t="shared" si="115"/>
        <v>1663</v>
      </c>
      <c r="B1665" s="75" t="s">
        <v>1231</v>
      </c>
      <c r="C1665" s="74" t="str">
        <f>IF($B1665&lt;&gt;"",_xlfn.IFNA(VLOOKUP($B1665,'Node Details'!$B:$U,C$1,0),"Check"),"")</f>
        <v>0000CM418-CM4180108</v>
      </c>
      <c r="D1665" s="74" t="str">
        <f>IF($B1665&lt;&gt;"",_xlfn.IFNA(VLOOKUP($B1665,'Node Details'!$B:$U,D$1,0),"Check"),"")</f>
        <v>CM4</v>
      </c>
      <c r="E1665" s="74" t="str">
        <f>IF($B1665&lt;&gt;"",_xlfn.IFNA(VLOOKUP($B1665,'Node Details'!$B:$U,E$1,0),"Check"),"")</f>
        <v>Airtel</v>
      </c>
      <c r="F1665" s="76">
        <v>46148</v>
      </c>
      <c r="G1665" s="74"/>
      <c r="H1665" s="10" t="s">
        <v>22</v>
      </c>
      <c r="I1665" s="9">
        <v>2</v>
      </c>
      <c r="J1665" s="9">
        <v>42</v>
      </c>
      <c r="K1665" s="77">
        <f t="shared" si="116"/>
        <v>84</v>
      </c>
      <c r="L1665" s="76">
        <v>46142</v>
      </c>
      <c r="N1665" s="83"/>
      <c r="O1665" s="84"/>
      <c r="P1665" s="81"/>
      <c r="Q1665" s="81"/>
      <c r="R1665" s="81"/>
      <c r="S1665" s="81"/>
      <c r="T1665" s="85"/>
      <c r="U1665" s="81"/>
      <c r="V1665" s="81"/>
      <c r="W1665" s="123">
        <f t="shared" si="117"/>
        <v>0</v>
      </c>
      <c r="X1665" s="123" t="s">
        <v>84</v>
      </c>
      <c r="Y1665" s="114" t="s">
        <v>1128</v>
      </c>
    </row>
    <row r="1666" spans="1:25" s="24" customFormat="1" ht="11.1" customHeight="1">
      <c r="A1666" s="74">
        <f t="shared" si="115"/>
        <v>1664</v>
      </c>
      <c r="B1666" s="75" t="s">
        <v>1232</v>
      </c>
      <c r="C1666" s="74" t="str">
        <f>IF($B1666&lt;&gt;"",_xlfn.IFNA(VLOOKUP($B1666,'Node Details'!$B:$U,C$1,0),"Check"),"")</f>
        <v>0000CM418-CM4180108</v>
      </c>
      <c r="D1666" s="74" t="str">
        <f>IF($B1666&lt;&gt;"",_xlfn.IFNA(VLOOKUP($B1666,'Node Details'!$B:$U,D$1,0),"Check"),"")</f>
        <v>CM4</v>
      </c>
      <c r="E1666" s="74" t="str">
        <f>IF($B1666&lt;&gt;"",_xlfn.IFNA(VLOOKUP($B1666,'Node Details'!$B:$U,E$1,0),"Check"),"")</f>
        <v>Airtel</v>
      </c>
      <c r="F1666" s="76">
        <v>46148</v>
      </c>
      <c r="G1666" s="74"/>
      <c r="H1666" s="10" t="s">
        <v>22</v>
      </c>
      <c r="I1666" s="9">
        <v>2</v>
      </c>
      <c r="J1666" s="9">
        <v>42</v>
      </c>
      <c r="K1666" s="77">
        <f t="shared" si="116"/>
        <v>84</v>
      </c>
      <c r="L1666" s="76">
        <v>46142</v>
      </c>
      <c r="N1666" s="83"/>
      <c r="O1666" s="84"/>
      <c r="P1666" s="81"/>
      <c r="Q1666" s="81"/>
      <c r="R1666" s="81"/>
      <c r="S1666" s="81"/>
      <c r="T1666" s="85"/>
      <c r="U1666" s="81"/>
      <c r="V1666" s="81"/>
      <c r="W1666" s="123">
        <f t="shared" si="117"/>
        <v>0</v>
      </c>
      <c r="X1666" s="123" t="s">
        <v>84</v>
      </c>
      <c r="Y1666" s="114" t="s">
        <v>1128</v>
      </c>
    </row>
    <row r="1667" spans="1:25" s="24" customFormat="1" ht="11.1" customHeight="1">
      <c r="A1667" s="74">
        <f t="shared" si="115"/>
        <v>1665</v>
      </c>
      <c r="B1667" s="75" t="s">
        <v>930</v>
      </c>
      <c r="C1667" s="74" t="str">
        <f>IF($B1667&lt;&gt;"",_xlfn.IFNA(VLOOKUP($B1667,'Node Details'!$B:$U,C$1,0),"Check"),"")</f>
        <v>0000CM418-CM4180108</v>
      </c>
      <c r="D1667" s="74" t="str">
        <f>IF($B1667&lt;&gt;"",_xlfn.IFNA(VLOOKUP($B1667,'Node Details'!$B:$U,D$1,0),"Check"),"")</f>
        <v>CM4</v>
      </c>
      <c r="E1667" s="74" t="str">
        <f>IF($B1667&lt;&gt;"",_xlfn.IFNA(VLOOKUP($B1667,'Node Details'!$B:$U,E$1,0),"Check"),"")</f>
        <v>Airtel</v>
      </c>
      <c r="F1667" s="76">
        <v>46148</v>
      </c>
      <c r="G1667" s="74"/>
      <c r="H1667" s="10" t="s">
        <v>22</v>
      </c>
      <c r="I1667" s="9">
        <v>2</v>
      </c>
      <c r="J1667" s="9">
        <v>42</v>
      </c>
      <c r="K1667" s="77">
        <f t="shared" si="116"/>
        <v>84</v>
      </c>
      <c r="L1667" s="76">
        <v>46142</v>
      </c>
      <c r="N1667" s="83"/>
      <c r="O1667" s="84"/>
      <c r="P1667" s="81"/>
      <c r="Q1667" s="81"/>
      <c r="R1667" s="81"/>
      <c r="S1667" s="81"/>
      <c r="T1667" s="85"/>
      <c r="U1667" s="81"/>
      <c r="V1667" s="81"/>
      <c r="W1667" s="123">
        <f t="shared" si="117"/>
        <v>0</v>
      </c>
      <c r="X1667" s="123" t="s">
        <v>84</v>
      </c>
      <c r="Y1667" s="114" t="s">
        <v>1128</v>
      </c>
    </row>
    <row r="1668" spans="1:25" s="24" customFormat="1" ht="11.1" customHeight="1">
      <c r="A1668" s="74">
        <f t="shared" ref="A1668:A1731" si="118">A1667+1</f>
        <v>1666</v>
      </c>
      <c r="B1668" s="75" t="s">
        <v>933</v>
      </c>
      <c r="C1668" s="74" t="str">
        <f>IF($B1668&lt;&gt;"",_xlfn.IFNA(VLOOKUP($B1668,'Node Details'!$B:$U,C$1,0),"Check"),"")</f>
        <v>0000CM419-CM4190101</v>
      </c>
      <c r="D1668" s="74" t="str">
        <f>IF($B1668&lt;&gt;"",_xlfn.IFNA(VLOOKUP($B1668,'Node Details'!$B:$U,D$1,0),"Check"),"")</f>
        <v>CM4</v>
      </c>
      <c r="E1668" s="74" t="str">
        <f>IF($B1668&lt;&gt;"",_xlfn.IFNA(VLOOKUP($B1668,'Node Details'!$B:$U,E$1,0),"Check"),"")</f>
        <v>Airtel</v>
      </c>
      <c r="F1668" s="76">
        <v>46148</v>
      </c>
      <c r="G1668" s="74"/>
      <c r="H1668" s="10" t="s">
        <v>22</v>
      </c>
      <c r="I1668" s="9">
        <v>2</v>
      </c>
      <c r="J1668" s="9">
        <v>42</v>
      </c>
      <c r="K1668" s="77">
        <f t="shared" si="116"/>
        <v>84</v>
      </c>
      <c r="L1668" s="76">
        <v>46142</v>
      </c>
      <c r="N1668" s="83"/>
      <c r="O1668" s="84"/>
      <c r="P1668" s="81"/>
      <c r="Q1668" s="81"/>
      <c r="R1668" s="81"/>
      <c r="S1668" s="81"/>
      <c r="T1668" s="85"/>
      <c r="U1668" s="81"/>
      <c r="V1668" s="81"/>
      <c r="W1668" s="123">
        <f t="shared" si="117"/>
        <v>0</v>
      </c>
      <c r="X1668" s="123" t="s">
        <v>84</v>
      </c>
      <c r="Y1668" s="114" t="s">
        <v>1128</v>
      </c>
    </row>
    <row r="1669" spans="1:25" s="24" customFormat="1" ht="11.1" customHeight="1">
      <c r="A1669" s="74">
        <f t="shared" si="118"/>
        <v>1667</v>
      </c>
      <c r="B1669" s="75" t="s">
        <v>935</v>
      </c>
      <c r="C1669" s="74" t="str">
        <f>IF($B1669&lt;&gt;"",_xlfn.IFNA(VLOOKUP($B1669,'Node Details'!$B:$U,C$1,0),"Check"),"")</f>
        <v>0000CM419-CM4190103</v>
      </c>
      <c r="D1669" s="74" t="str">
        <f>IF($B1669&lt;&gt;"",_xlfn.IFNA(VLOOKUP($B1669,'Node Details'!$B:$U,D$1,0),"Check"),"")</f>
        <v>CM4</v>
      </c>
      <c r="E1669" s="74" t="str">
        <f>IF($B1669&lt;&gt;"",_xlfn.IFNA(VLOOKUP($B1669,'Node Details'!$B:$U,E$1,0),"Check"),"")</f>
        <v>Airtel</v>
      </c>
      <c r="F1669" s="76">
        <v>46148</v>
      </c>
      <c r="G1669" s="74"/>
      <c r="H1669" s="10" t="s">
        <v>22</v>
      </c>
      <c r="I1669" s="9">
        <v>2</v>
      </c>
      <c r="J1669" s="9">
        <v>42</v>
      </c>
      <c r="K1669" s="77">
        <f t="shared" si="116"/>
        <v>84</v>
      </c>
      <c r="L1669" s="76">
        <v>46142</v>
      </c>
      <c r="N1669" s="83"/>
      <c r="O1669" s="84"/>
      <c r="P1669" s="81"/>
      <c r="Q1669" s="81"/>
      <c r="R1669" s="81"/>
      <c r="S1669" s="81"/>
      <c r="T1669" s="85"/>
      <c r="U1669" s="81"/>
      <c r="V1669" s="81"/>
      <c r="W1669" s="123">
        <f t="shared" si="117"/>
        <v>0</v>
      </c>
      <c r="X1669" s="123" t="s">
        <v>84</v>
      </c>
      <c r="Y1669" s="114" t="s">
        <v>1128</v>
      </c>
    </row>
    <row r="1670" spans="1:25" s="24" customFormat="1" ht="11.1" customHeight="1">
      <c r="A1670" s="74">
        <f t="shared" si="118"/>
        <v>1668</v>
      </c>
      <c r="B1670" s="75" t="s">
        <v>1233</v>
      </c>
      <c r="C1670" s="74" t="str">
        <f>IF($B1670&lt;&gt;"",_xlfn.IFNA(VLOOKUP($B1670,'Node Details'!$B:$U,C$1,0),"Check"),"")</f>
        <v>0000CM419-CM4190108</v>
      </c>
      <c r="D1670" s="74" t="str">
        <f>IF($B1670&lt;&gt;"",_xlfn.IFNA(VLOOKUP($B1670,'Node Details'!$B:$U,D$1,0),"Check"),"")</f>
        <v>CM4</v>
      </c>
      <c r="E1670" s="74" t="str">
        <f>IF($B1670&lt;&gt;"",_xlfn.IFNA(VLOOKUP($B1670,'Node Details'!$B:$U,E$1,0),"Check"),"")</f>
        <v>Airtel</v>
      </c>
      <c r="F1670" s="76">
        <v>46148</v>
      </c>
      <c r="G1670" s="74"/>
      <c r="H1670" s="10" t="s">
        <v>22</v>
      </c>
      <c r="I1670" s="9">
        <v>2</v>
      </c>
      <c r="J1670" s="9">
        <v>42</v>
      </c>
      <c r="K1670" s="77">
        <f t="shared" si="116"/>
        <v>84</v>
      </c>
      <c r="L1670" s="76">
        <v>46142</v>
      </c>
      <c r="N1670" s="83"/>
      <c r="O1670" s="84"/>
      <c r="P1670" s="81"/>
      <c r="Q1670" s="81"/>
      <c r="R1670" s="81"/>
      <c r="S1670" s="81"/>
      <c r="T1670" s="85"/>
      <c r="U1670" s="81"/>
      <c r="V1670" s="81"/>
      <c r="W1670" s="123">
        <f t="shared" si="117"/>
        <v>0</v>
      </c>
      <c r="X1670" s="123" t="s">
        <v>84</v>
      </c>
      <c r="Y1670" s="114" t="s">
        <v>1128</v>
      </c>
    </row>
    <row r="1671" spans="1:25" s="24" customFormat="1" ht="11.1" customHeight="1">
      <c r="A1671" s="74">
        <f t="shared" si="118"/>
        <v>1669</v>
      </c>
      <c r="B1671" s="75" t="s">
        <v>1234</v>
      </c>
      <c r="C1671" s="74" t="str">
        <f>IF($B1671&lt;&gt;"",_xlfn.IFNA(VLOOKUP($B1671,'Node Details'!$B:$U,C$1,0),"Check"),"")</f>
        <v>0000CM419-CM4190108</v>
      </c>
      <c r="D1671" s="74" t="str">
        <f>IF($B1671&lt;&gt;"",_xlfn.IFNA(VLOOKUP($B1671,'Node Details'!$B:$U,D$1,0),"Check"),"")</f>
        <v>CM4</v>
      </c>
      <c r="E1671" s="74" t="str">
        <f>IF($B1671&lt;&gt;"",_xlfn.IFNA(VLOOKUP($B1671,'Node Details'!$B:$U,E$1,0),"Check"),"")</f>
        <v>Airtel</v>
      </c>
      <c r="F1671" s="76">
        <v>46148</v>
      </c>
      <c r="G1671" s="74"/>
      <c r="H1671" s="10" t="s">
        <v>22</v>
      </c>
      <c r="I1671" s="9">
        <v>2</v>
      </c>
      <c r="J1671" s="9">
        <v>42</v>
      </c>
      <c r="K1671" s="77">
        <f t="shared" si="116"/>
        <v>84</v>
      </c>
      <c r="L1671" s="76">
        <v>46142</v>
      </c>
      <c r="N1671" s="83"/>
      <c r="O1671" s="84"/>
      <c r="P1671" s="81"/>
      <c r="Q1671" s="81"/>
      <c r="R1671" s="81"/>
      <c r="S1671" s="81"/>
      <c r="T1671" s="85"/>
      <c r="U1671" s="81"/>
      <c r="V1671" s="81"/>
      <c r="W1671" s="123">
        <f t="shared" si="117"/>
        <v>0</v>
      </c>
      <c r="X1671" s="123" t="s">
        <v>84</v>
      </c>
      <c r="Y1671" s="114" t="s">
        <v>1128</v>
      </c>
    </row>
    <row r="1672" spans="1:25" s="24" customFormat="1" ht="11.1" customHeight="1">
      <c r="A1672" s="74">
        <f t="shared" si="118"/>
        <v>1670</v>
      </c>
      <c r="B1672" s="75" t="s">
        <v>1235</v>
      </c>
      <c r="C1672" s="74" t="str">
        <f>IF($B1672&lt;&gt;"",_xlfn.IFNA(VLOOKUP($B1672,'Node Details'!$B:$U,C$1,0),"Check"),"")</f>
        <v>0000CM419-CM4190108</v>
      </c>
      <c r="D1672" s="74" t="str">
        <f>IF($B1672&lt;&gt;"",_xlfn.IFNA(VLOOKUP($B1672,'Node Details'!$B:$U,D$1,0),"Check"),"")</f>
        <v>CM4</v>
      </c>
      <c r="E1672" s="74" t="str">
        <f>IF($B1672&lt;&gt;"",_xlfn.IFNA(VLOOKUP($B1672,'Node Details'!$B:$U,E$1,0),"Check"),"")</f>
        <v>Airtel</v>
      </c>
      <c r="F1672" s="76">
        <v>46148</v>
      </c>
      <c r="G1672" s="74"/>
      <c r="H1672" s="10" t="s">
        <v>22</v>
      </c>
      <c r="I1672" s="9">
        <v>2</v>
      </c>
      <c r="J1672" s="9">
        <v>42</v>
      </c>
      <c r="K1672" s="77">
        <f t="shared" si="116"/>
        <v>84</v>
      </c>
      <c r="L1672" s="76">
        <v>46142</v>
      </c>
      <c r="N1672" s="83"/>
      <c r="O1672" s="84"/>
      <c r="P1672" s="81"/>
      <c r="Q1672" s="81"/>
      <c r="R1672" s="81"/>
      <c r="S1672" s="81"/>
      <c r="T1672" s="85"/>
      <c r="U1672" s="81"/>
      <c r="V1672" s="81"/>
      <c r="W1672" s="123">
        <f t="shared" si="117"/>
        <v>0</v>
      </c>
      <c r="X1672" s="123" t="s">
        <v>84</v>
      </c>
      <c r="Y1672" s="114" t="s">
        <v>1128</v>
      </c>
    </row>
    <row r="1673" spans="1:25" s="24" customFormat="1" ht="11.1" customHeight="1">
      <c r="A1673" s="74">
        <f t="shared" si="118"/>
        <v>1671</v>
      </c>
      <c r="B1673" s="75" t="s">
        <v>1236</v>
      </c>
      <c r="C1673" s="74" t="str">
        <f>IF($B1673&lt;&gt;"",_xlfn.IFNA(VLOOKUP($B1673,'Node Details'!$B:$U,C$1,0),"Check"),"")</f>
        <v>0000CM419-CM4190108</v>
      </c>
      <c r="D1673" s="74" t="str">
        <f>IF($B1673&lt;&gt;"",_xlfn.IFNA(VLOOKUP($B1673,'Node Details'!$B:$U,D$1,0),"Check"),"")</f>
        <v>CM4</v>
      </c>
      <c r="E1673" s="74" t="str">
        <f>IF($B1673&lt;&gt;"",_xlfn.IFNA(VLOOKUP($B1673,'Node Details'!$B:$U,E$1,0),"Check"),"")</f>
        <v>Airtel</v>
      </c>
      <c r="F1673" s="76">
        <v>46148</v>
      </c>
      <c r="G1673" s="74"/>
      <c r="H1673" s="10" t="s">
        <v>22</v>
      </c>
      <c r="I1673" s="9">
        <v>2</v>
      </c>
      <c r="J1673" s="9">
        <v>42</v>
      </c>
      <c r="K1673" s="77">
        <f t="shared" si="116"/>
        <v>84</v>
      </c>
      <c r="L1673" s="76">
        <v>46142</v>
      </c>
      <c r="N1673" s="83"/>
      <c r="O1673" s="84"/>
      <c r="P1673" s="81"/>
      <c r="Q1673" s="81"/>
      <c r="R1673" s="81"/>
      <c r="S1673" s="81"/>
      <c r="T1673" s="85"/>
      <c r="U1673" s="81"/>
      <c r="V1673" s="81"/>
      <c r="W1673" s="123">
        <f t="shared" si="117"/>
        <v>0</v>
      </c>
      <c r="X1673" s="123" t="s">
        <v>84</v>
      </c>
      <c r="Y1673" s="114" t="s">
        <v>1128</v>
      </c>
    </row>
    <row r="1674" spans="1:25" s="24" customFormat="1" ht="11.1" customHeight="1">
      <c r="A1674" s="74">
        <f t="shared" si="118"/>
        <v>1672</v>
      </c>
      <c r="B1674" s="75" t="s">
        <v>937</v>
      </c>
      <c r="C1674" s="74" t="str">
        <f>IF($B1674&lt;&gt;"",_xlfn.IFNA(VLOOKUP($B1674,'Node Details'!$B:$U,C$1,0),"Check"),"")</f>
        <v>0000CM419-CM4190108</v>
      </c>
      <c r="D1674" s="74" t="str">
        <f>IF($B1674&lt;&gt;"",_xlfn.IFNA(VLOOKUP($B1674,'Node Details'!$B:$U,D$1,0),"Check"),"")</f>
        <v>CM4</v>
      </c>
      <c r="E1674" s="74" t="str">
        <f>IF($B1674&lt;&gt;"",_xlfn.IFNA(VLOOKUP($B1674,'Node Details'!$B:$U,E$1,0),"Check"),"")</f>
        <v>Airtel</v>
      </c>
      <c r="F1674" s="76">
        <v>46148</v>
      </c>
      <c r="G1674" s="74"/>
      <c r="H1674" s="10" t="s">
        <v>22</v>
      </c>
      <c r="I1674" s="9">
        <v>2</v>
      </c>
      <c r="J1674" s="9">
        <v>42</v>
      </c>
      <c r="K1674" s="77">
        <f t="shared" si="116"/>
        <v>84</v>
      </c>
      <c r="L1674" s="76">
        <v>46142</v>
      </c>
      <c r="N1674" s="83"/>
      <c r="O1674" s="84"/>
      <c r="P1674" s="81"/>
      <c r="Q1674" s="81"/>
      <c r="R1674" s="81"/>
      <c r="S1674" s="81"/>
      <c r="T1674" s="85"/>
      <c r="U1674" s="81"/>
      <c r="V1674" s="81"/>
      <c r="W1674" s="123">
        <f t="shared" si="117"/>
        <v>0</v>
      </c>
      <c r="X1674" s="123" t="s">
        <v>84</v>
      </c>
      <c r="Y1674" s="114" t="s">
        <v>1128</v>
      </c>
    </row>
    <row r="1675" spans="1:25" s="24" customFormat="1" ht="11.1" customHeight="1">
      <c r="A1675" s="74">
        <f t="shared" si="118"/>
        <v>1673</v>
      </c>
      <c r="B1675" s="75" t="s">
        <v>939</v>
      </c>
      <c r="C1675" s="74" t="str">
        <f>IF($B1675&lt;&gt;"",_xlfn.IFNA(VLOOKUP($B1675,'Node Details'!$B:$U,C$1,0),"Check"),"")</f>
        <v>0000CM419-CM4190102</v>
      </c>
      <c r="D1675" s="74" t="str">
        <f>IF($B1675&lt;&gt;"",_xlfn.IFNA(VLOOKUP($B1675,'Node Details'!$B:$U,D$1,0),"Check"),"")</f>
        <v>CM4</v>
      </c>
      <c r="E1675" s="74" t="str">
        <f>IF($B1675&lt;&gt;"",_xlfn.IFNA(VLOOKUP($B1675,'Node Details'!$B:$U,E$1,0),"Check"),"")</f>
        <v>Airtel</v>
      </c>
      <c r="F1675" s="76">
        <v>46148</v>
      </c>
      <c r="G1675" s="74"/>
      <c r="H1675" s="10" t="s">
        <v>22</v>
      </c>
      <c r="I1675" s="9">
        <v>2</v>
      </c>
      <c r="J1675" s="9">
        <v>42</v>
      </c>
      <c r="K1675" s="77">
        <f t="shared" si="116"/>
        <v>84</v>
      </c>
      <c r="L1675" s="76">
        <v>46142</v>
      </c>
      <c r="N1675" s="83"/>
      <c r="O1675" s="84"/>
      <c r="P1675" s="81"/>
      <c r="Q1675" s="81"/>
      <c r="R1675" s="81"/>
      <c r="S1675" s="81"/>
      <c r="T1675" s="85"/>
      <c r="U1675" s="81"/>
      <c r="V1675" s="81"/>
      <c r="W1675" s="123">
        <f t="shared" si="117"/>
        <v>0</v>
      </c>
      <c r="X1675" s="123" t="s">
        <v>84</v>
      </c>
      <c r="Y1675" s="114" t="s">
        <v>1128</v>
      </c>
    </row>
    <row r="1676" spans="1:25" s="24" customFormat="1" ht="11.1" customHeight="1">
      <c r="A1676" s="74">
        <f t="shared" si="118"/>
        <v>1674</v>
      </c>
      <c r="B1676" s="75" t="s">
        <v>1237</v>
      </c>
      <c r="C1676" s="74" t="str">
        <f>IF($B1676&lt;&gt;"",_xlfn.IFNA(VLOOKUP($B1676,'Node Details'!$B:$U,C$1,0),"Check"),"")</f>
        <v>0000CM420-CM4200104</v>
      </c>
      <c r="D1676" s="74" t="str">
        <f>IF($B1676&lt;&gt;"",_xlfn.IFNA(VLOOKUP($B1676,'Node Details'!$B:$U,D$1,0),"Check"),"")</f>
        <v>CM4</v>
      </c>
      <c r="E1676" s="74" t="str">
        <f>IF($B1676&lt;&gt;"",_xlfn.IFNA(VLOOKUP($B1676,'Node Details'!$B:$U,E$1,0),"Check"),"")</f>
        <v>Airtel</v>
      </c>
      <c r="F1676" s="76">
        <v>46148</v>
      </c>
      <c r="G1676" s="74"/>
      <c r="H1676" s="10" t="s">
        <v>22</v>
      </c>
      <c r="I1676" s="9">
        <v>2</v>
      </c>
      <c r="J1676" s="9">
        <v>42</v>
      </c>
      <c r="K1676" s="77">
        <f t="shared" si="116"/>
        <v>84</v>
      </c>
      <c r="L1676" s="76">
        <v>46142</v>
      </c>
      <c r="N1676" s="83"/>
      <c r="O1676" s="84"/>
      <c r="P1676" s="81"/>
      <c r="Q1676" s="81"/>
      <c r="R1676" s="81"/>
      <c r="S1676" s="81"/>
      <c r="T1676" s="85"/>
      <c r="U1676" s="81"/>
      <c r="V1676" s="81"/>
      <c r="W1676" s="123">
        <f t="shared" si="117"/>
        <v>0</v>
      </c>
      <c r="X1676" s="123" t="s">
        <v>84</v>
      </c>
      <c r="Y1676" s="114" t="s">
        <v>1128</v>
      </c>
    </row>
    <row r="1677" spans="1:25" s="24" customFormat="1" ht="11.1" customHeight="1">
      <c r="A1677" s="74">
        <f t="shared" si="118"/>
        <v>1675</v>
      </c>
      <c r="B1677" s="75" t="s">
        <v>942</v>
      </c>
      <c r="C1677" s="74" t="str">
        <f>IF($B1677&lt;&gt;"",_xlfn.IFNA(VLOOKUP($B1677,'Node Details'!$B:$U,C$1,0),"Check"),"")</f>
        <v>0000CM420-CM4200104</v>
      </c>
      <c r="D1677" s="74" t="str">
        <f>IF($B1677&lt;&gt;"",_xlfn.IFNA(VLOOKUP($B1677,'Node Details'!$B:$U,D$1,0),"Check"),"")</f>
        <v>CM4</v>
      </c>
      <c r="E1677" s="74" t="str">
        <f>IF($B1677&lt;&gt;"",_xlfn.IFNA(VLOOKUP($B1677,'Node Details'!$B:$U,E$1,0),"Check"),"")</f>
        <v>Airtel</v>
      </c>
      <c r="F1677" s="76">
        <v>46148</v>
      </c>
      <c r="G1677" s="74"/>
      <c r="H1677" s="10" t="s">
        <v>22</v>
      </c>
      <c r="I1677" s="9">
        <v>2</v>
      </c>
      <c r="J1677" s="9">
        <v>42</v>
      </c>
      <c r="K1677" s="77">
        <f t="shared" si="116"/>
        <v>84</v>
      </c>
      <c r="L1677" s="76">
        <v>46142</v>
      </c>
      <c r="N1677" s="83"/>
      <c r="O1677" s="84"/>
      <c r="P1677" s="81"/>
      <c r="Q1677" s="81"/>
      <c r="R1677" s="81"/>
      <c r="S1677" s="81"/>
      <c r="T1677" s="85"/>
      <c r="U1677" s="81"/>
      <c r="V1677" s="81"/>
      <c r="W1677" s="123">
        <f t="shared" si="117"/>
        <v>0</v>
      </c>
      <c r="X1677" s="123" t="s">
        <v>84</v>
      </c>
      <c r="Y1677" s="114" t="s">
        <v>1128</v>
      </c>
    </row>
    <row r="1678" spans="1:25" s="24" customFormat="1" ht="11.1" customHeight="1">
      <c r="A1678" s="74">
        <f t="shared" si="118"/>
        <v>1676</v>
      </c>
      <c r="B1678" s="75" t="s">
        <v>1238</v>
      </c>
      <c r="C1678" s="74" t="str">
        <f>IF($B1678&lt;&gt;"",_xlfn.IFNA(VLOOKUP($B1678,'Node Details'!$B:$U,C$1,0),"Check"),"")</f>
        <v>0000CM420-CM4200102</v>
      </c>
      <c r="D1678" s="74" t="str">
        <f>IF($B1678&lt;&gt;"",_xlfn.IFNA(VLOOKUP($B1678,'Node Details'!$B:$U,D$1,0),"Check"),"")</f>
        <v>CM4</v>
      </c>
      <c r="E1678" s="74" t="str">
        <f>IF($B1678&lt;&gt;"",_xlfn.IFNA(VLOOKUP($B1678,'Node Details'!$B:$U,E$1,0),"Check"),"")</f>
        <v>Airtel</v>
      </c>
      <c r="F1678" s="76">
        <v>46148</v>
      </c>
      <c r="G1678" s="74"/>
      <c r="H1678" s="10" t="s">
        <v>22</v>
      </c>
      <c r="I1678" s="9">
        <v>2</v>
      </c>
      <c r="J1678" s="9">
        <v>42</v>
      </c>
      <c r="K1678" s="77">
        <f t="shared" si="116"/>
        <v>84</v>
      </c>
      <c r="L1678" s="76">
        <v>46142</v>
      </c>
      <c r="N1678" s="83"/>
      <c r="O1678" s="84"/>
      <c r="P1678" s="81"/>
      <c r="Q1678" s="81"/>
      <c r="R1678" s="81"/>
      <c r="S1678" s="81"/>
      <c r="T1678" s="85"/>
      <c r="U1678" s="81"/>
      <c r="V1678" s="81"/>
      <c r="W1678" s="123">
        <f t="shared" si="117"/>
        <v>0</v>
      </c>
      <c r="X1678" s="123" t="s">
        <v>84</v>
      </c>
      <c r="Y1678" s="114" t="s">
        <v>1128</v>
      </c>
    </row>
    <row r="1679" spans="1:25" s="24" customFormat="1" ht="11.1" customHeight="1">
      <c r="A1679" s="74">
        <f t="shared" si="118"/>
        <v>1677</v>
      </c>
      <c r="B1679" s="75" t="s">
        <v>944</v>
      </c>
      <c r="C1679" s="74" t="str">
        <f>IF($B1679&lt;&gt;"",_xlfn.IFNA(VLOOKUP($B1679,'Node Details'!$B:$U,C$1,0),"Check"),"")</f>
        <v>0000CM420-CM4200102</v>
      </c>
      <c r="D1679" s="74" t="str">
        <f>IF($B1679&lt;&gt;"",_xlfn.IFNA(VLOOKUP($B1679,'Node Details'!$B:$U,D$1,0),"Check"),"")</f>
        <v>CM4</v>
      </c>
      <c r="E1679" s="74" t="str">
        <f>IF($B1679&lt;&gt;"",_xlfn.IFNA(VLOOKUP($B1679,'Node Details'!$B:$U,E$1,0),"Check"),"")</f>
        <v>Airtel</v>
      </c>
      <c r="F1679" s="76">
        <v>46148</v>
      </c>
      <c r="G1679" s="74"/>
      <c r="H1679" s="10" t="s">
        <v>22</v>
      </c>
      <c r="I1679" s="9">
        <v>2</v>
      </c>
      <c r="J1679" s="9">
        <v>42</v>
      </c>
      <c r="K1679" s="77">
        <f t="shared" si="116"/>
        <v>84</v>
      </c>
      <c r="L1679" s="76">
        <v>46142</v>
      </c>
      <c r="N1679" s="83"/>
      <c r="O1679" s="84"/>
      <c r="P1679" s="81"/>
      <c r="Q1679" s="81"/>
      <c r="R1679" s="81"/>
      <c r="S1679" s="81"/>
      <c r="T1679" s="85"/>
      <c r="U1679" s="81"/>
      <c r="V1679" s="81"/>
      <c r="W1679" s="123">
        <f t="shared" si="117"/>
        <v>0</v>
      </c>
      <c r="X1679" s="123" t="s">
        <v>84</v>
      </c>
      <c r="Y1679" s="114" t="s">
        <v>1128</v>
      </c>
    </row>
    <row r="1680" spans="1:25" s="24" customFormat="1" ht="11.1" customHeight="1">
      <c r="A1680" s="74">
        <f t="shared" si="118"/>
        <v>1678</v>
      </c>
      <c r="B1680" s="75" t="s">
        <v>946</v>
      </c>
      <c r="C1680" s="74" t="str">
        <f>IF($B1680&lt;&gt;"",_xlfn.IFNA(VLOOKUP($B1680,'Node Details'!$B:$U,C$1,0),"Check"),"")</f>
        <v>0000CM420-CM4200108</v>
      </c>
      <c r="D1680" s="74" t="str">
        <f>IF($B1680&lt;&gt;"",_xlfn.IFNA(VLOOKUP($B1680,'Node Details'!$B:$U,D$1,0),"Check"),"")</f>
        <v>CM4</v>
      </c>
      <c r="E1680" s="74" t="str">
        <f>IF($B1680&lt;&gt;"",_xlfn.IFNA(VLOOKUP($B1680,'Node Details'!$B:$U,E$1,0),"Check"),"")</f>
        <v>Airtel</v>
      </c>
      <c r="F1680" s="76">
        <v>46148</v>
      </c>
      <c r="G1680" s="74"/>
      <c r="H1680" s="10" t="s">
        <v>22</v>
      </c>
      <c r="I1680" s="9">
        <v>2</v>
      </c>
      <c r="J1680" s="9">
        <v>42</v>
      </c>
      <c r="K1680" s="77">
        <f t="shared" si="116"/>
        <v>84</v>
      </c>
      <c r="L1680" s="76">
        <v>46142</v>
      </c>
      <c r="N1680" s="83"/>
      <c r="O1680" s="84"/>
      <c r="P1680" s="81"/>
      <c r="Q1680" s="81"/>
      <c r="R1680" s="81"/>
      <c r="S1680" s="81"/>
      <c r="T1680" s="85"/>
      <c r="U1680" s="81"/>
      <c r="V1680" s="81"/>
      <c r="W1680" s="123">
        <f t="shared" si="117"/>
        <v>0</v>
      </c>
      <c r="X1680" s="123" t="s">
        <v>84</v>
      </c>
      <c r="Y1680" s="114" t="s">
        <v>1128</v>
      </c>
    </row>
    <row r="1681" spans="1:25" s="24" customFormat="1" ht="11.1" customHeight="1">
      <c r="A1681" s="74">
        <f t="shared" si="118"/>
        <v>1679</v>
      </c>
      <c r="B1681" s="75" t="s">
        <v>948</v>
      </c>
      <c r="C1681" s="74" t="str">
        <f>IF($B1681&lt;&gt;"",_xlfn.IFNA(VLOOKUP($B1681,'Node Details'!$B:$U,C$1,0),"Check"),"")</f>
        <v>0000CM420-CM4200106</v>
      </c>
      <c r="D1681" s="74" t="str">
        <f>IF($B1681&lt;&gt;"",_xlfn.IFNA(VLOOKUP($B1681,'Node Details'!$B:$U,D$1,0),"Check"),"")</f>
        <v>CM4</v>
      </c>
      <c r="E1681" s="74" t="str">
        <f>IF($B1681&lt;&gt;"",_xlfn.IFNA(VLOOKUP($B1681,'Node Details'!$B:$U,E$1,0),"Check"),"")</f>
        <v>Airtel</v>
      </c>
      <c r="F1681" s="76">
        <v>46148</v>
      </c>
      <c r="G1681" s="74"/>
      <c r="H1681" s="10" t="s">
        <v>22</v>
      </c>
      <c r="I1681" s="9">
        <v>2</v>
      </c>
      <c r="J1681" s="9">
        <v>42</v>
      </c>
      <c r="K1681" s="77">
        <f t="shared" si="116"/>
        <v>84</v>
      </c>
      <c r="L1681" s="76">
        <v>46142</v>
      </c>
      <c r="N1681" s="83"/>
      <c r="O1681" s="84"/>
      <c r="P1681" s="81"/>
      <c r="Q1681" s="81"/>
      <c r="R1681" s="81"/>
      <c r="S1681" s="81"/>
      <c r="T1681" s="85"/>
      <c r="U1681" s="81"/>
      <c r="V1681" s="81"/>
      <c r="W1681" s="123">
        <f t="shared" si="117"/>
        <v>0</v>
      </c>
      <c r="X1681" s="123" t="s">
        <v>84</v>
      </c>
      <c r="Y1681" s="114" t="s">
        <v>1128</v>
      </c>
    </row>
    <row r="1682" spans="1:25" s="24" customFormat="1" ht="11.1" customHeight="1">
      <c r="A1682" s="74">
        <f t="shared" si="118"/>
        <v>1680</v>
      </c>
      <c r="B1682" s="75" t="s">
        <v>950</v>
      </c>
      <c r="C1682" s="74" t="str">
        <f>IF($B1682&lt;&gt;"",_xlfn.IFNA(VLOOKUP($B1682,'Node Details'!$B:$U,C$1,0),"Check"),"")</f>
        <v>0000CM421-CM4210101</v>
      </c>
      <c r="D1682" s="74" t="str">
        <f>IF($B1682&lt;&gt;"",_xlfn.IFNA(VLOOKUP($B1682,'Node Details'!$B:$U,D$1,0),"Check"),"")</f>
        <v>CM4</v>
      </c>
      <c r="E1682" s="74" t="str">
        <f>IF($B1682&lt;&gt;"",_xlfn.IFNA(VLOOKUP($B1682,'Node Details'!$B:$U,E$1,0),"Check"),"")</f>
        <v>Airtel</v>
      </c>
      <c r="F1682" s="76">
        <v>46148</v>
      </c>
      <c r="G1682" s="74"/>
      <c r="H1682" s="10" t="s">
        <v>22</v>
      </c>
      <c r="I1682" s="9">
        <v>2</v>
      </c>
      <c r="J1682" s="9">
        <v>42</v>
      </c>
      <c r="K1682" s="77">
        <f t="shared" si="116"/>
        <v>84</v>
      </c>
      <c r="L1682" s="76">
        <v>46142</v>
      </c>
      <c r="N1682" s="83"/>
      <c r="O1682" s="84"/>
      <c r="P1682" s="81"/>
      <c r="Q1682" s="81"/>
      <c r="R1682" s="81"/>
      <c r="S1682" s="81"/>
      <c r="T1682" s="85"/>
      <c r="U1682" s="81"/>
      <c r="V1682" s="81"/>
      <c r="W1682" s="123">
        <f t="shared" si="117"/>
        <v>0</v>
      </c>
      <c r="X1682" s="123" t="s">
        <v>84</v>
      </c>
      <c r="Y1682" s="114" t="s">
        <v>1128</v>
      </c>
    </row>
    <row r="1683" spans="1:25" s="24" customFormat="1" ht="11.1" customHeight="1">
      <c r="A1683" s="74">
        <f t="shared" si="118"/>
        <v>1681</v>
      </c>
      <c r="B1683" s="75" t="s">
        <v>1239</v>
      </c>
      <c r="C1683" s="74" t="str">
        <f>IF($B1683&lt;&gt;"",_xlfn.IFNA(VLOOKUP($B1683,'Node Details'!$B:$U,C$1,0),"Check"),"")</f>
        <v>0000CM421-CM4210104</v>
      </c>
      <c r="D1683" s="74" t="str">
        <f>IF($B1683&lt;&gt;"",_xlfn.IFNA(VLOOKUP($B1683,'Node Details'!$B:$U,D$1,0),"Check"),"")</f>
        <v>CM4</v>
      </c>
      <c r="E1683" s="74" t="str">
        <f>IF($B1683&lt;&gt;"",_xlfn.IFNA(VLOOKUP($B1683,'Node Details'!$B:$U,E$1,0),"Check"),"")</f>
        <v>Airtel</v>
      </c>
      <c r="F1683" s="76">
        <v>46148</v>
      </c>
      <c r="G1683" s="74"/>
      <c r="H1683" s="10" t="s">
        <v>22</v>
      </c>
      <c r="I1683" s="9">
        <v>2</v>
      </c>
      <c r="J1683" s="9">
        <v>42</v>
      </c>
      <c r="K1683" s="77">
        <f t="shared" si="116"/>
        <v>84</v>
      </c>
      <c r="L1683" s="76">
        <v>46142</v>
      </c>
      <c r="N1683" s="83"/>
      <c r="O1683" s="84"/>
      <c r="P1683" s="81"/>
      <c r="Q1683" s="81"/>
      <c r="R1683" s="81"/>
      <c r="S1683" s="81"/>
      <c r="T1683" s="85"/>
      <c r="U1683" s="81"/>
      <c r="V1683" s="81"/>
      <c r="W1683" s="123">
        <f t="shared" si="117"/>
        <v>0</v>
      </c>
      <c r="X1683" s="123" t="s">
        <v>84</v>
      </c>
      <c r="Y1683" s="114" t="s">
        <v>1128</v>
      </c>
    </row>
    <row r="1684" spans="1:25" s="24" customFormat="1" ht="11.1" customHeight="1">
      <c r="A1684" s="74">
        <f t="shared" si="118"/>
        <v>1682</v>
      </c>
      <c r="B1684" s="75" t="s">
        <v>1240</v>
      </c>
      <c r="C1684" s="74" t="str">
        <f>IF($B1684&lt;&gt;"",_xlfn.IFNA(VLOOKUP($B1684,'Node Details'!$B:$U,C$1,0),"Check"),"")</f>
        <v>0000CM421-CM4210104</v>
      </c>
      <c r="D1684" s="74" t="str">
        <f>IF($B1684&lt;&gt;"",_xlfn.IFNA(VLOOKUP($B1684,'Node Details'!$B:$U,D$1,0),"Check"),"")</f>
        <v>CM4</v>
      </c>
      <c r="E1684" s="74" t="str">
        <f>IF($B1684&lt;&gt;"",_xlfn.IFNA(VLOOKUP($B1684,'Node Details'!$B:$U,E$1,0),"Check"),"")</f>
        <v>Airtel</v>
      </c>
      <c r="F1684" s="76">
        <v>46148</v>
      </c>
      <c r="G1684" s="74"/>
      <c r="H1684" s="10" t="s">
        <v>22</v>
      </c>
      <c r="I1684" s="9">
        <v>2</v>
      </c>
      <c r="J1684" s="9">
        <v>42</v>
      </c>
      <c r="K1684" s="77">
        <f t="shared" si="116"/>
        <v>84</v>
      </c>
      <c r="L1684" s="76">
        <v>46142</v>
      </c>
      <c r="N1684" s="83"/>
      <c r="O1684" s="84"/>
      <c r="P1684" s="81"/>
      <c r="Q1684" s="81"/>
      <c r="R1684" s="81"/>
      <c r="S1684" s="81"/>
      <c r="T1684" s="85"/>
      <c r="U1684" s="81"/>
      <c r="V1684" s="81"/>
      <c r="W1684" s="123">
        <f t="shared" si="117"/>
        <v>0</v>
      </c>
      <c r="X1684" s="123" t="s">
        <v>84</v>
      </c>
      <c r="Y1684" s="114" t="s">
        <v>1128</v>
      </c>
    </row>
    <row r="1685" spans="1:25" s="24" customFormat="1" ht="11.1" customHeight="1">
      <c r="A1685" s="74">
        <f t="shared" si="118"/>
        <v>1683</v>
      </c>
      <c r="B1685" s="75" t="s">
        <v>952</v>
      </c>
      <c r="C1685" s="74" t="str">
        <f>IF($B1685&lt;&gt;"",_xlfn.IFNA(VLOOKUP($B1685,'Node Details'!$B:$U,C$1,0),"Check"),"")</f>
        <v>0000CM421-CM4210104</v>
      </c>
      <c r="D1685" s="74" t="str">
        <f>IF($B1685&lt;&gt;"",_xlfn.IFNA(VLOOKUP($B1685,'Node Details'!$B:$U,D$1,0),"Check"),"")</f>
        <v>CM4</v>
      </c>
      <c r="E1685" s="74" t="str">
        <f>IF($B1685&lt;&gt;"",_xlfn.IFNA(VLOOKUP($B1685,'Node Details'!$B:$U,E$1,0),"Check"),"")</f>
        <v>Airtel</v>
      </c>
      <c r="F1685" s="76">
        <v>46148</v>
      </c>
      <c r="G1685" s="74"/>
      <c r="H1685" s="10" t="s">
        <v>22</v>
      </c>
      <c r="I1685" s="9">
        <v>2</v>
      </c>
      <c r="J1685" s="9">
        <v>42</v>
      </c>
      <c r="K1685" s="77">
        <f t="shared" si="116"/>
        <v>84</v>
      </c>
      <c r="L1685" s="76">
        <v>46142</v>
      </c>
      <c r="N1685" s="83"/>
      <c r="O1685" s="84"/>
      <c r="P1685" s="81"/>
      <c r="Q1685" s="81"/>
      <c r="R1685" s="81"/>
      <c r="S1685" s="81"/>
      <c r="T1685" s="85"/>
      <c r="U1685" s="81"/>
      <c r="V1685" s="81"/>
      <c r="W1685" s="123">
        <f t="shared" si="117"/>
        <v>0</v>
      </c>
      <c r="X1685" s="123" t="s">
        <v>84</v>
      </c>
      <c r="Y1685" s="114" t="s">
        <v>1128</v>
      </c>
    </row>
    <row r="1686" spans="1:25" s="24" customFormat="1" ht="11.1" customHeight="1">
      <c r="A1686" s="74">
        <f t="shared" si="118"/>
        <v>1684</v>
      </c>
      <c r="B1686" s="75" t="s">
        <v>954</v>
      </c>
      <c r="C1686" s="74" t="str">
        <f>IF($B1686&lt;&gt;"",_xlfn.IFNA(VLOOKUP($B1686,'Node Details'!$B:$U,C$1,0),"Check"),"")</f>
        <v>0000CM421-CM4210105</v>
      </c>
      <c r="D1686" s="74" t="str">
        <f>IF($B1686&lt;&gt;"",_xlfn.IFNA(VLOOKUP($B1686,'Node Details'!$B:$U,D$1,0),"Check"),"")</f>
        <v>CM4</v>
      </c>
      <c r="E1686" s="74" t="str">
        <f>IF($B1686&lt;&gt;"",_xlfn.IFNA(VLOOKUP($B1686,'Node Details'!$B:$U,E$1,0),"Check"),"")</f>
        <v>Airtel</v>
      </c>
      <c r="F1686" s="76">
        <v>46148</v>
      </c>
      <c r="G1686" s="74"/>
      <c r="H1686" s="10" t="s">
        <v>22</v>
      </c>
      <c r="I1686" s="9">
        <v>2</v>
      </c>
      <c r="J1686" s="9">
        <v>42</v>
      </c>
      <c r="K1686" s="77">
        <f t="shared" si="116"/>
        <v>84</v>
      </c>
      <c r="L1686" s="76">
        <v>46142</v>
      </c>
      <c r="N1686" s="83"/>
      <c r="O1686" s="84"/>
      <c r="P1686" s="81"/>
      <c r="Q1686" s="81"/>
      <c r="R1686" s="81"/>
      <c r="S1686" s="81"/>
      <c r="T1686" s="85"/>
      <c r="U1686" s="81"/>
      <c r="V1686" s="81"/>
      <c r="W1686" s="123">
        <f t="shared" si="117"/>
        <v>0</v>
      </c>
      <c r="X1686" s="123" t="s">
        <v>84</v>
      </c>
      <c r="Y1686" s="114" t="s">
        <v>1128</v>
      </c>
    </row>
    <row r="1687" spans="1:25" s="24" customFormat="1" ht="11.1" customHeight="1">
      <c r="A1687" s="74">
        <f t="shared" si="118"/>
        <v>1685</v>
      </c>
      <c r="B1687" s="75" t="s">
        <v>820</v>
      </c>
      <c r="C1687" s="74" t="str">
        <f>IF($B1687&lt;&gt;"",_xlfn.IFNA(VLOOKUP($B1687,'Node Details'!$B:$U,C$1,0),"Check"),"")</f>
        <v>000000CM4-0000CM403</v>
      </c>
      <c r="D1687" s="74" t="str">
        <f>IF($B1687&lt;&gt;"",_xlfn.IFNA(VLOOKUP($B1687,'Node Details'!$B:$U,D$1,0),"Check"),"")</f>
        <v>CM4</v>
      </c>
      <c r="E1687" s="74" t="str">
        <f>IF($B1687&lt;&gt;"",_xlfn.IFNA(VLOOKUP($B1687,'Node Details'!$B:$U,E$1,0),"Check"),"")</f>
        <v>Airtel</v>
      </c>
      <c r="F1687" s="76">
        <v>46148</v>
      </c>
      <c r="G1687" s="74"/>
      <c r="H1687" s="10" t="s">
        <v>1247</v>
      </c>
      <c r="I1687" s="9">
        <v>1</v>
      </c>
      <c r="J1687" s="9">
        <v>650</v>
      </c>
      <c r="K1687" s="77">
        <f t="shared" si="116"/>
        <v>650</v>
      </c>
      <c r="L1687" s="76">
        <v>46142</v>
      </c>
      <c r="N1687" s="83"/>
      <c r="O1687" s="84"/>
      <c r="P1687" s="81"/>
      <c r="Q1687" s="81"/>
      <c r="R1687" s="81"/>
      <c r="S1687" s="81"/>
      <c r="T1687" s="85"/>
      <c r="U1687" s="81"/>
      <c r="V1687" s="81"/>
      <c r="W1687" s="123">
        <f t="shared" si="117"/>
        <v>0</v>
      </c>
      <c r="X1687" s="123" t="s">
        <v>84</v>
      </c>
      <c r="Y1687" s="114" t="s">
        <v>1128</v>
      </c>
    </row>
    <row r="1688" spans="1:25" s="24" customFormat="1" ht="11.1" customHeight="1">
      <c r="A1688" s="74">
        <f t="shared" si="118"/>
        <v>1686</v>
      </c>
      <c r="B1688" s="75" t="s">
        <v>809</v>
      </c>
      <c r="C1688" s="74" t="str">
        <f>IF($B1688&lt;&gt;"",_xlfn.IFNA(VLOOKUP($B1688,'Node Details'!$B:$U,C$1,0),"Check"),"")</f>
        <v>000000CM4-0000CM403</v>
      </c>
      <c r="D1688" s="74" t="str">
        <f>IF($B1688&lt;&gt;"",_xlfn.IFNA(VLOOKUP($B1688,'Node Details'!$B:$U,D$1,0),"Check"),"")</f>
        <v>CM4</v>
      </c>
      <c r="E1688" s="74" t="str">
        <f>IF($B1688&lt;&gt;"",_xlfn.IFNA(VLOOKUP($B1688,'Node Details'!$B:$U,E$1,0),"Check"),"")</f>
        <v>Airtel</v>
      </c>
      <c r="F1688" s="76">
        <v>46148</v>
      </c>
      <c r="G1688" s="74"/>
      <c r="H1688" s="10" t="s">
        <v>1247</v>
      </c>
      <c r="I1688" s="9">
        <v>1</v>
      </c>
      <c r="J1688" s="9">
        <v>650</v>
      </c>
      <c r="K1688" s="77">
        <f t="shared" si="116"/>
        <v>650</v>
      </c>
      <c r="L1688" s="76">
        <v>46142</v>
      </c>
      <c r="N1688" s="83"/>
      <c r="O1688" s="84"/>
      <c r="P1688" s="81"/>
      <c r="Q1688" s="81"/>
      <c r="R1688" s="81"/>
      <c r="S1688" s="81"/>
      <c r="T1688" s="85"/>
      <c r="U1688" s="81"/>
      <c r="V1688" s="81"/>
      <c r="W1688" s="123">
        <f t="shared" si="117"/>
        <v>0</v>
      </c>
      <c r="X1688" s="123" t="s">
        <v>84</v>
      </c>
      <c r="Y1688" s="114" t="s">
        <v>1128</v>
      </c>
    </row>
    <row r="1689" spans="1:25" s="24" customFormat="1" ht="11.1" customHeight="1">
      <c r="A1689" s="74">
        <f t="shared" si="118"/>
        <v>1687</v>
      </c>
      <c r="B1689" s="75" t="s">
        <v>807</v>
      </c>
      <c r="C1689" s="74" t="str">
        <f>IF($B1689&lt;&gt;"",_xlfn.IFNA(VLOOKUP($B1689,'Node Details'!$B:$U,C$1,0),"Check"),"")</f>
        <v>000000CM4-0000CM403</v>
      </c>
      <c r="D1689" s="74" t="str">
        <f>IF($B1689&lt;&gt;"",_xlfn.IFNA(VLOOKUP($B1689,'Node Details'!$B:$U,D$1,0),"Check"),"")</f>
        <v>CM4</v>
      </c>
      <c r="E1689" s="74" t="str">
        <f>IF($B1689&lt;&gt;"",_xlfn.IFNA(VLOOKUP($B1689,'Node Details'!$B:$U,E$1,0),"Check"),"")</f>
        <v>Airtel</v>
      </c>
      <c r="F1689" s="76">
        <v>46148</v>
      </c>
      <c r="G1689" s="74"/>
      <c r="H1689" s="10" t="s">
        <v>1247</v>
      </c>
      <c r="I1689" s="9">
        <v>1</v>
      </c>
      <c r="J1689" s="9">
        <v>650</v>
      </c>
      <c r="K1689" s="77">
        <f t="shared" si="116"/>
        <v>650</v>
      </c>
      <c r="L1689" s="76">
        <v>46142</v>
      </c>
      <c r="N1689" s="83"/>
      <c r="O1689" s="84"/>
      <c r="P1689" s="81"/>
      <c r="Q1689" s="81"/>
      <c r="R1689" s="81"/>
      <c r="S1689" s="81"/>
      <c r="T1689" s="85"/>
      <c r="U1689" s="81"/>
      <c r="V1689" s="81"/>
      <c r="W1689" s="123">
        <f t="shared" si="117"/>
        <v>0</v>
      </c>
      <c r="X1689" s="123" t="s">
        <v>84</v>
      </c>
      <c r="Y1689" s="114" t="s">
        <v>1128</v>
      </c>
    </row>
    <row r="1690" spans="1:25" s="24" customFormat="1" ht="11.1" customHeight="1">
      <c r="A1690" s="74">
        <f t="shared" si="118"/>
        <v>1688</v>
      </c>
      <c r="B1690" s="75" t="s">
        <v>810</v>
      </c>
      <c r="C1690" s="74" t="str">
        <f>IF($B1690&lt;&gt;"",_xlfn.IFNA(VLOOKUP($B1690,'Node Details'!$B:$U,C$1,0),"Check"),"")</f>
        <v>0000CM402-0000CM404</v>
      </c>
      <c r="D1690" s="74" t="str">
        <f>IF($B1690&lt;&gt;"",_xlfn.IFNA(VLOOKUP($B1690,'Node Details'!$B:$U,D$1,0),"Check"),"")</f>
        <v>CM4</v>
      </c>
      <c r="E1690" s="74" t="str">
        <f>IF($B1690&lt;&gt;"",_xlfn.IFNA(VLOOKUP($B1690,'Node Details'!$B:$U,E$1,0),"Check"),"")</f>
        <v>Airtel</v>
      </c>
      <c r="F1690" s="76">
        <v>46148</v>
      </c>
      <c r="G1690" s="74"/>
      <c r="H1690" s="10" t="s">
        <v>1247</v>
      </c>
      <c r="I1690" s="9">
        <v>1</v>
      </c>
      <c r="J1690" s="9">
        <v>650</v>
      </c>
      <c r="K1690" s="77">
        <f t="shared" si="116"/>
        <v>650</v>
      </c>
      <c r="L1690" s="76">
        <v>46142</v>
      </c>
      <c r="N1690" s="83"/>
      <c r="O1690" s="84"/>
      <c r="P1690" s="81"/>
      <c r="Q1690" s="81"/>
      <c r="R1690" s="81"/>
      <c r="S1690" s="81"/>
      <c r="T1690" s="85"/>
      <c r="U1690" s="81"/>
      <c r="V1690" s="81"/>
      <c r="W1690" s="123">
        <f t="shared" si="117"/>
        <v>0</v>
      </c>
      <c r="X1690" s="123" t="s">
        <v>84</v>
      </c>
      <c r="Y1690" s="114" t="s">
        <v>1128</v>
      </c>
    </row>
    <row r="1691" spans="1:25" s="24" customFormat="1" ht="11.1" customHeight="1">
      <c r="A1691" s="74">
        <f t="shared" si="118"/>
        <v>1689</v>
      </c>
      <c r="B1691" s="75" t="s">
        <v>805</v>
      </c>
      <c r="C1691" s="74" t="str">
        <f>IF($B1691&lt;&gt;"",_xlfn.IFNA(VLOOKUP($B1691,'Node Details'!$B:$U,C$1,0),"Check"),"")</f>
        <v>000000CM4-0000CM408</v>
      </c>
      <c r="D1691" s="74" t="str">
        <f>IF($B1691&lt;&gt;"",_xlfn.IFNA(VLOOKUP($B1691,'Node Details'!$B:$U,D$1,0),"Check"),"")</f>
        <v>CM4</v>
      </c>
      <c r="E1691" s="74" t="str">
        <f>IF($B1691&lt;&gt;"",_xlfn.IFNA(VLOOKUP($B1691,'Node Details'!$B:$U,E$1,0),"Check"),"")</f>
        <v>Airtel</v>
      </c>
      <c r="F1691" s="76">
        <v>46148</v>
      </c>
      <c r="G1691" s="74"/>
      <c r="H1691" s="10" t="s">
        <v>1247</v>
      </c>
      <c r="I1691" s="9">
        <v>1</v>
      </c>
      <c r="J1691" s="9">
        <v>650</v>
      </c>
      <c r="K1691" s="77">
        <f t="shared" si="116"/>
        <v>650</v>
      </c>
      <c r="L1691" s="76">
        <v>46142</v>
      </c>
      <c r="N1691" s="83"/>
      <c r="O1691" s="84"/>
      <c r="P1691" s="81"/>
      <c r="Q1691" s="81"/>
      <c r="R1691" s="81"/>
      <c r="S1691" s="81"/>
      <c r="T1691" s="85"/>
      <c r="U1691" s="81"/>
      <c r="V1691" s="81"/>
      <c r="W1691" s="123">
        <f t="shared" si="117"/>
        <v>0</v>
      </c>
      <c r="X1691" s="123" t="s">
        <v>84</v>
      </c>
      <c r="Y1691" s="114" t="s">
        <v>1128</v>
      </c>
    </row>
    <row r="1692" spans="1:25" s="24" customFormat="1" ht="11.1" customHeight="1">
      <c r="A1692" s="74">
        <f t="shared" si="118"/>
        <v>1690</v>
      </c>
      <c r="B1692" s="75" t="s">
        <v>854</v>
      </c>
      <c r="C1692" s="74" t="str">
        <f>IF($B1692&lt;&gt;"",_xlfn.IFNA(VLOOKUP($B1692,'Node Details'!$B:$U,C$1,0),"Check"),"")</f>
        <v>000000CM4-0000CM418</v>
      </c>
      <c r="D1692" s="74" t="str">
        <f>IF($B1692&lt;&gt;"",_xlfn.IFNA(VLOOKUP($B1692,'Node Details'!$B:$U,D$1,0),"Check"),"")</f>
        <v>CM4</v>
      </c>
      <c r="E1692" s="74" t="str">
        <f>IF($B1692&lt;&gt;"",_xlfn.IFNA(VLOOKUP($B1692,'Node Details'!$B:$U,E$1,0),"Check"),"")</f>
        <v>Airtel</v>
      </c>
      <c r="F1692" s="76">
        <v>46148</v>
      </c>
      <c r="G1692" s="74"/>
      <c r="H1692" s="10" t="s">
        <v>1247</v>
      </c>
      <c r="I1692" s="9">
        <v>1</v>
      </c>
      <c r="J1692" s="9">
        <v>650</v>
      </c>
      <c r="K1692" s="77">
        <f t="shared" si="116"/>
        <v>650</v>
      </c>
      <c r="L1692" s="76">
        <v>46142</v>
      </c>
      <c r="N1692" s="83"/>
      <c r="O1692" s="84"/>
      <c r="P1692" s="81"/>
      <c r="Q1692" s="81"/>
      <c r="R1692" s="81"/>
      <c r="S1692" s="81"/>
      <c r="T1692" s="85"/>
      <c r="U1692" s="81"/>
      <c r="V1692" s="81"/>
      <c r="W1692" s="123">
        <f t="shared" si="117"/>
        <v>0</v>
      </c>
      <c r="X1692" s="123" t="s">
        <v>84</v>
      </c>
      <c r="Y1692" s="114" t="s">
        <v>1128</v>
      </c>
    </row>
    <row r="1693" spans="1:25" s="24" customFormat="1" ht="11.1" customHeight="1">
      <c r="A1693" s="74">
        <f t="shared" si="118"/>
        <v>1691</v>
      </c>
      <c r="B1693" s="75" t="s">
        <v>865</v>
      </c>
      <c r="C1693" s="74" t="str">
        <f>IF($B1693&lt;&gt;"",_xlfn.IFNA(VLOOKUP($B1693,'Node Details'!$B:$U,C$1,0),"Check"),"")</f>
        <v>000000CM4-0000CM418</v>
      </c>
      <c r="D1693" s="74" t="str">
        <f>IF($B1693&lt;&gt;"",_xlfn.IFNA(VLOOKUP($B1693,'Node Details'!$B:$U,D$1,0),"Check"),"")</f>
        <v>CM4</v>
      </c>
      <c r="E1693" s="74" t="str">
        <f>IF($B1693&lt;&gt;"",_xlfn.IFNA(VLOOKUP($B1693,'Node Details'!$B:$U,E$1,0),"Check"),"")</f>
        <v>Airtel</v>
      </c>
      <c r="F1693" s="76">
        <v>46148</v>
      </c>
      <c r="G1693" s="74"/>
      <c r="H1693" s="10" t="s">
        <v>1247</v>
      </c>
      <c r="I1693" s="9">
        <v>1</v>
      </c>
      <c r="J1693" s="9">
        <v>650</v>
      </c>
      <c r="K1693" s="77">
        <f t="shared" si="116"/>
        <v>650</v>
      </c>
      <c r="L1693" s="76">
        <v>46142</v>
      </c>
      <c r="N1693" s="83"/>
      <c r="O1693" s="84"/>
      <c r="P1693" s="81"/>
      <c r="Q1693" s="81"/>
      <c r="R1693" s="81"/>
      <c r="S1693" s="81"/>
      <c r="T1693" s="85"/>
      <c r="U1693" s="81"/>
      <c r="V1693" s="81"/>
      <c r="W1693" s="123">
        <f t="shared" si="117"/>
        <v>0</v>
      </c>
      <c r="X1693" s="123" t="s">
        <v>84</v>
      </c>
      <c r="Y1693" s="114" t="s">
        <v>1128</v>
      </c>
    </row>
    <row r="1694" spans="1:25" s="24" customFormat="1" ht="11.1" customHeight="1">
      <c r="A1694" s="74">
        <f t="shared" si="118"/>
        <v>1692</v>
      </c>
      <c r="B1694" s="75" t="s">
        <v>812</v>
      </c>
      <c r="C1694" s="74" t="str">
        <f>IF($B1694&lt;&gt;"",_xlfn.IFNA(VLOOKUP($B1694,'Node Details'!$B:$U,C$1,0),"Check"),"")</f>
        <v>000000CM4-0000CM418</v>
      </c>
      <c r="D1694" s="74" t="str">
        <f>IF($B1694&lt;&gt;"",_xlfn.IFNA(VLOOKUP($B1694,'Node Details'!$B:$U,D$1,0),"Check"),"")</f>
        <v>CM4</v>
      </c>
      <c r="E1694" s="74" t="str">
        <f>IF($B1694&lt;&gt;"",_xlfn.IFNA(VLOOKUP($B1694,'Node Details'!$B:$U,E$1,0),"Check"),"")</f>
        <v>Airtel</v>
      </c>
      <c r="F1694" s="76">
        <v>46148</v>
      </c>
      <c r="G1694" s="74"/>
      <c r="H1694" s="10" t="s">
        <v>1247</v>
      </c>
      <c r="I1694" s="9">
        <v>1</v>
      </c>
      <c r="J1694" s="9">
        <v>650</v>
      </c>
      <c r="K1694" s="77">
        <f t="shared" si="116"/>
        <v>650</v>
      </c>
      <c r="L1694" s="76">
        <v>46142</v>
      </c>
      <c r="N1694" s="83"/>
      <c r="O1694" s="84"/>
      <c r="P1694" s="81"/>
      <c r="Q1694" s="81"/>
      <c r="R1694" s="81"/>
      <c r="S1694" s="81"/>
      <c r="T1694" s="85"/>
      <c r="U1694" s="81"/>
      <c r="V1694" s="81"/>
      <c r="W1694" s="123">
        <f t="shared" si="117"/>
        <v>0</v>
      </c>
      <c r="X1694" s="123" t="s">
        <v>84</v>
      </c>
      <c r="Y1694" s="114" t="s">
        <v>1128</v>
      </c>
    </row>
    <row r="1695" spans="1:25" s="24" customFormat="1" ht="11.1" customHeight="1">
      <c r="A1695" s="74">
        <f t="shared" si="118"/>
        <v>1693</v>
      </c>
      <c r="B1695" s="75" t="s">
        <v>813</v>
      </c>
      <c r="C1695" s="74" t="str">
        <f>IF($B1695&lt;&gt;"",_xlfn.IFNA(VLOOKUP($B1695,'Node Details'!$B:$U,C$1,0),"Check"),"")</f>
        <v>0000CM411-0000CM412</v>
      </c>
      <c r="D1695" s="74" t="str">
        <f>IF($B1695&lt;&gt;"",_xlfn.IFNA(VLOOKUP($B1695,'Node Details'!$B:$U,D$1,0),"Check"),"")</f>
        <v>CM4</v>
      </c>
      <c r="E1695" s="74" t="str">
        <f>IF($B1695&lt;&gt;"",_xlfn.IFNA(VLOOKUP($B1695,'Node Details'!$B:$U,E$1,0),"Check"),"")</f>
        <v>Airtel</v>
      </c>
      <c r="F1695" s="76">
        <v>46148</v>
      </c>
      <c r="G1695" s="74"/>
      <c r="H1695" s="10" t="s">
        <v>1247</v>
      </c>
      <c r="I1695" s="9">
        <v>1</v>
      </c>
      <c r="J1695" s="9">
        <v>650</v>
      </c>
      <c r="K1695" s="77">
        <f t="shared" si="116"/>
        <v>650</v>
      </c>
      <c r="L1695" s="76">
        <v>46142</v>
      </c>
      <c r="N1695" s="83"/>
      <c r="O1695" s="84"/>
      <c r="P1695" s="81"/>
      <c r="Q1695" s="81"/>
      <c r="R1695" s="81"/>
      <c r="S1695" s="81"/>
      <c r="T1695" s="85"/>
      <c r="U1695" s="81"/>
      <c r="V1695" s="81"/>
      <c r="W1695" s="123">
        <f t="shared" si="117"/>
        <v>0</v>
      </c>
      <c r="X1695" s="123" t="s">
        <v>84</v>
      </c>
      <c r="Y1695" s="114" t="s">
        <v>1128</v>
      </c>
    </row>
    <row r="1696" spans="1:25" s="24" customFormat="1" ht="11.1" customHeight="1">
      <c r="A1696" s="74">
        <f t="shared" si="118"/>
        <v>1694</v>
      </c>
      <c r="B1696" s="75" t="s">
        <v>897</v>
      </c>
      <c r="C1696" s="74" t="str">
        <f>IF($B1696&lt;&gt;"",_xlfn.IFNA(VLOOKUP($B1696,'Node Details'!$B:$U,C$1,0),"Check"),"")</f>
        <v>000000CM4-0000CM418</v>
      </c>
      <c r="D1696" s="74" t="str">
        <f>IF($B1696&lt;&gt;"",_xlfn.IFNA(VLOOKUP($B1696,'Node Details'!$B:$U,D$1,0),"Check"),"")</f>
        <v>CM4</v>
      </c>
      <c r="E1696" s="74" t="str">
        <f>IF($B1696&lt;&gt;"",_xlfn.IFNA(VLOOKUP($B1696,'Node Details'!$B:$U,E$1,0),"Check"),"")</f>
        <v>Airtel</v>
      </c>
      <c r="F1696" s="76">
        <v>46148</v>
      </c>
      <c r="G1696" s="74"/>
      <c r="H1696" s="10" t="s">
        <v>1247</v>
      </c>
      <c r="I1696" s="9">
        <v>1</v>
      </c>
      <c r="J1696" s="9">
        <v>650</v>
      </c>
      <c r="K1696" s="77">
        <f t="shared" si="116"/>
        <v>650</v>
      </c>
      <c r="L1696" s="76">
        <v>46142</v>
      </c>
      <c r="N1696" s="83"/>
      <c r="O1696" s="84"/>
      <c r="P1696" s="81"/>
      <c r="Q1696" s="81"/>
      <c r="R1696" s="81"/>
      <c r="S1696" s="81"/>
      <c r="T1696" s="85"/>
      <c r="U1696" s="81"/>
      <c r="V1696" s="81"/>
      <c r="W1696" s="123">
        <f t="shared" si="117"/>
        <v>0</v>
      </c>
      <c r="X1696" s="123" t="s">
        <v>84</v>
      </c>
      <c r="Y1696" s="114" t="s">
        <v>1128</v>
      </c>
    </row>
    <row r="1697" spans="1:25" s="24" customFormat="1" ht="11.1" customHeight="1">
      <c r="A1697" s="74">
        <f t="shared" si="118"/>
        <v>1695</v>
      </c>
      <c r="B1697" s="75" t="s">
        <v>905</v>
      </c>
      <c r="C1697" s="74" t="str">
        <f>IF($B1697&lt;&gt;"",_xlfn.IFNA(VLOOKUP($B1697,'Node Details'!$B:$U,C$1,0),"Check"),"")</f>
        <v>000000CM4-0000CM418</v>
      </c>
      <c r="D1697" s="74" t="str">
        <f>IF($B1697&lt;&gt;"",_xlfn.IFNA(VLOOKUP($B1697,'Node Details'!$B:$U,D$1,0),"Check"),"")</f>
        <v>CM4</v>
      </c>
      <c r="E1697" s="74" t="str">
        <f>IF($B1697&lt;&gt;"",_xlfn.IFNA(VLOOKUP($B1697,'Node Details'!$B:$U,E$1,0),"Check"),"")</f>
        <v>Airtel</v>
      </c>
      <c r="F1697" s="76">
        <v>46148</v>
      </c>
      <c r="G1697" s="74"/>
      <c r="H1697" s="10" t="s">
        <v>1247</v>
      </c>
      <c r="I1697" s="9">
        <v>1</v>
      </c>
      <c r="J1697" s="9">
        <v>650</v>
      </c>
      <c r="K1697" s="77">
        <f t="shared" si="116"/>
        <v>650</v>
      </c>
      <c r="L1697" s="76">
        <v>46142</v>
      </c>
      <c r="N1697" s="83"/>
      <c r="O1697" s="84"/>
      <c r="P1697" s="81"/>
      <c r="Q1697" s="81"/>
      <c r="R1697" s="81"/>
      <c r="S1697" s="81"/>
      <c r="T1697" s="85"/>
      <c r="U1697" s="81"/>
      <c r="V1697" s="81"/>
      <c r="W1697" s="123">
        <f t="shared" si="117"/>
        <v>0</v>
      </c>
      <c r="X1697" s="123" t="s">
        <v>84</v>
      </c>
      <c r="Y1697" s="114" t="s">
        <v>1128</v>
      </c>
    </row>
    <row r="1698" spans="1:25" s="24" customFormat="1" ht="11.1" customHeight="1">
      <c r="A1698" s="74">
        <f t="shared" si="118"/>
        <v>1696</v>
      </c>
      <c r="B1698" s="75" t="s">
        <v>815</v>
      </c>
      <c r="C1698" s="74" t="str">
        <f>IF($B1698&lt;&gt;"",_xlfn.IFNA(VLOOKUP($B1698,'Node Details'!$B:$U,C$1,0),"Check"),"")</f>
        <v>000000CM4-0000CM418</v>
      </c>
      <c r="D1698" s="74" t="str">
        <f>IF($B1698&lt;&gt;"",_xlfn.IFNA(VLOOKUP($B1698,'Node Details'!$B:$U,D$1,0),"Check"),"")</f>
        <v>CM4</v>
      </c>
      <c r="E1698" s="74" t="str">
        <f>IF($B1698&lt;&gt;"",_xlfn.IFNA(VLOOKUP($B1698,'Node Details'!$B:$U,E$1,0),"Check"),"")</f>
        <v>Airtel</v>
      </c>
      <c r="F1698" s="76">
        <v>46148</v>
      </c>
      <c r="G1698" s="74"/>
      <c r="H1698" s="10" t="s">
        <v>1247</v>
      </c>
      <c r="I1698" s="9">
        <v>1</v>
      </c>
      <c r="J1698" s="9">
        <v>650</v>
      </c>
      <c r="K1698" s="77">
        <f t="shared" si="116"/>
        <v>650</v>
      </c>
      <c r="L1698" s="76">
        <v>46142</v>
      </c>
      <c r="N1698" s="83"/>
      <c r="O1698" s="84"/>
      <c r="P1698" s="81"/>
      <c r="Q1698" s="81"/>
      <c r="R1698" s="81"/>
      <c r="S1698" s="81"/>
      <c r="T1698" s="85"/>
      <c r="U1698" s="81"/>
      <c r="V1698" s="81"/>
      <c r="W1698" s="123">
        <f t="shared" si="117"/>
        <v>0</v>
      </c>
      <c r="X1698" s="123" t="s">
        <v>84</v>
      </c>
      <c r="Y1698" s="114" t="s">
        <v>1128</v>
      </c>
    </row>
    <row r="1699" spans="1:25" s="24" customFormat="1" ht="11.1" customHeight="1">
      <c r="A1699" s="74">
        <f t="shared" si="118"/>
        <v>1697</v>
      </c>
      <c r="B1699" s="75" t="s">
        <v>816</v>
      </c>
      <c r="C1699" s="74" t="str">
        <f>IF($B1699&lt;&gt;"",_xlfn.IFNA(VLOOKUP($B1699,'Node Details'!$B:$U,C$1,0),"Check"),"")</f>
        <v>0000CM415-0000CM416</v>
      </c>
      <c r="D1699" s="74" t="str">
        <f>IF($B1699&lt;&gt;"",_xlfn.IFNA(VLOOKUP($B1699,'Node Details'!$B:$U,D$1,0),"Check"),"")</f>
        <v>CM4</v>
      </c>
      <c r="E1699" s="74" t="str">
        <f>IF($B1699&lt;&gt;"",_xlfn.IFNA(VLOOKUP($B1699,'Node Details'!$B:$U,E$1,0),"Check"),"")</f>
        <v>Airtel</v>
      </c>
      <c r="F1699" s="76">
        <v>46148</v>
      </c>
      <c r="G1699" s="74"/>
      <c r="H1699" s="10" t="s">
        <v>1247</v>
      </c>
      <c r="I1699" s="9">
        <v>1</v>
      </c>
      <c r="J1699" s="9">
        <v>650</v>
      </c>
      <c r="K1699" s="77">
        <f t="shared" si="116"/>
        <v>650</v>
      </c>
      <c r="L1699" s="76">
        <v>46142</v>
      </c>
      <c r="N1699" s="83"/>
      <c r="O1699" s="84"/>
      <c r="P1699" s="81"/>
      <c r="Q1699" s="81"/>
      <c r="R1699" s="81"/>
      <c r="S1699" s="81"/>
      <c r="T1699" s="85"/>
      <c r="U1699" s="81"/>
      <c r="V1699" s="81"/>
      <c r="W1699" s="123">
        <f t="shared" si="117"/>
        <v>0</v>
      </c>
      <c r="X1699" s="123" t="s">
        <v>84</v>
      </c>
      <c r="Y1699" s="114" t="s">
        <v>1128</v>
      </c>
    </row>
    <row r="1700" spans="1:25" s="24" customFormat="1" ht="11.1" customHeight="1">
      <c r="A1700" s="74">
        <f t="shared" si="118"/>
        <v>1698</v>
      </c>
      <c r="B1700" s="75" t="s">
        <v>802</v>
      </c>
      <c r="C1700" s="74" t="str">
        <f>IF($B1700&lt;&gt;"",_xlfn.IFNA(VLOOKUP($B1700,'Node Details'!$B:$U,C$1,0),"Check"),"")</f>
        <v>000000CM4-0000CM418</v>
      </c>
      <c r="D1700" s="74" t="str">
        <f>IF($B1700&lt;&gt;"",_xlfn.IFNA(VLOOKUP($B1700,'Node Details'!$B:$U,D$1,0),"Check"),"")</f>
        <v>CM4</v>
      </c>
      <c r="E1700" s="74" t="str">
        <f>IF($B1700&lt;&gt;"",_xlfn.IFNA(VLOOKUP($B1700,'Node Details'!$B:$U,E$1,0),"Check"),"")</f>
        <v>Airtel</v>
      </c>
      <c r="F1700" s="76">
        <v>46148</v>
      </c>
      <c r="G1700" s="74"/>
      <c r="H1700" s="10" t="s">
        <v>1247</v>
      </c>
      <c r="I1700" s="9">
        <v>1</v>
      </c>
      <c r="J1700" s="9">
        <v>650</v>
      </c>
      <c r="K1700" s="77">
        <f t="shared" si="116"/>
        <v>650</v>
      </c>
      <c r="L1700" s="76">
        <v>46142</v>
      </c>
      <c r="N1700" s="83"/>
      <c r="O1700" s="84"/>
      <c r="P1700" s="81"/>
      <c r="Q1700" s="81"/>
      <c r="R1700" s="81"/>
      <c r="S1700" s="81"/>
      <c r="T1700" s="85"/>
      <c r="U1700" s="81"/>
      <c r="V1700" s="81"/>
      <c r="W1700" s="123">
        <f t="shared" si="117"/>
        <v>0</v>
      </c>
      <c r="X1700" s="123" t="s">
        <v>84</v>
      </c>
      <c r="Y1700" s="114" t="s">
        <v>1128</v>
      </c>
    </row>
    <row r="1701" spans="1:25" s="24" customFormat="1" ht="11.1" customHeight="1">
      <c r="A1701" s="74">
        <f t="shared" si="118"/>
        <v>1699</v>
      </c>
      <c r="B1701" s="75" t="s">
        <v>932</v>
      </c>
      <c r="C1701" s="74" t="str">
        <f>IF($B1701&lt;&gt;"",_xlfn.IFNA(VLOOKUP($B1701,'Node Details'!$B:$U,C$1,0),"Check"),"")</f>
        <v>000000CM4-0000CM421</v>
      </c>
      <c r="D1701" s="74" t="str">
        <f>IF($B1701&lt;&gt;"",_xlfn.IFNA(VLOOKUP($B1701,'Node Details'!$B:$U,D$1,0),"Check"),"")</f>
        <v>CM4</v>
      </c>
      <c r="E1701" s="74" t="str">
        <f>IF($B1701&lt;&gt;"",_xlfn.IFNA(VLOOKUP($B1701,'Node Details'!$B:$U,E$1,0),"Check"),"")</f>
        <v>Airtel</v>
      </c>
      <c r="F1701" s="76">
        <v>46148</v>
      </c>
      <c r="G1701" s="74"/>
      <c r="H1701" s="10" t="s">
        <v>1247</v>
      </c>
      <c r="I1701" s="9">
        <v>1</v>
      </c>
      <c r="J1701" s="9">
        <v>650</v>
      </c>
      <c r="K1701" s="77">
        <f t="shared" si="116"/>
        <v>650</v>
      </c>
      <c r="L1701" s="76">
        <v>46142</v>
      </c>
      <c r="N1701" s="83"/>
      <c r="O1701" s="84"/>
      <c r="P1701" s="81"/>
      <c r="Q1701" s="81"/>
      <c r="R1701" s="81"/>
      <c r="S1701" s="81"/>
      <c r="T1701" s="85"/>
      <c r="U1701" s="81"/>
      <c r="V1701" s="81"/>
      <c r="W1701" s="123">
        <f t="shared" si="117"/>
        <v>0</v>
      </c>
      <c r="X1701" s="123" t="s">
        <v>84</v>
      </c>
      <c r="Y1701" s="114" t="s">
        <v>1128</v>
      </c>
    </row>
    <row r="1702" spans="1:25" s="24" customFormat="1" ht="11.1" customHeight="1">
      <c r="A1702" s="74">
        <f t="shared" si="118"/>
        <v>1700</v>
      </c>
      <c r="B1702" s="75" t="s">
        <v>941</v>
      </c>
      <c r="C1702" s="74" t="str">
        <f>IF($B1702&lt;&gt;"",_xlfn.IFNA(VLOOKUP($B1702,'Node Details'!$B:$U,C$1,0),"Check"),"")</f>
        <v>000000CM4-0000CM421</v>
      </c>
      <c r="D1702" s="74" t="str">
        <f>IF($B1702&lt;&gt;"",_xlfn.IFNA(VLOOKUP($B1702,'Node Details'!$B:$U,D$1,0),"Check"),"")</f>
        <v>CM4</v>
      </c>
      <c r="E1702" s="74" t="str">
        <f>IF($B1702&lt;&gt;"",_xlfn.IFNA(VLOOKUP($B1702,'Node Details'!$B:$U,E$1,0),"Check"),"")</f>
        <v>Airtel</v>
      </c>
      <c r="F1702" s="76">
        <v>46148</v>
      </c>
      <c r="G1702" s="74"/>
      <c r="H1702" s="10" t="s">
        <v>1247</v>
      </c>
      <c r="I1702" s="9">
        <v>1</v>
      </c>
      <c r="J1702" s="9">
        <v>650</v>
      </c>
      <c r="K1702" s="77">
        <f t="shared" si="116"/>
        <v>650</v>
      </c>
      <c r="L1702" s="76">
        <v>46142</v>
      </c>
      <c r="N1702" s="83"/>
      <c r="O1702" s="84"/>
      <c r="P1702" s="81"/>
      <c r="Q1702" s="81"/>
      <c r="R1702" s="81"/>
      <c r="S1702" s="81"/>
      <c r="T1702" s="85"/>
      <c r="U1702" s="81"/>
      <c r="V1702" s="81"/>
      <c r="W1702" s="123">
        <f t="shared" si="117"/>
        <v>0</v>
      </c>
      <c r="X1702" s="123" t="s">
        <v>84</v>
      </c>
      <c r="Y1702" s="114" t="s">
        <v>1128</v>
      </c>
    </row>
    <row r="1703" spans="1:25" s="24" customFormat="1" ht="11.1" customHeight="1">
      <c r="A1703" s="74">
        <f t="shared" si="118"/>
        <v>1701</v>
      </c>
      <c r="B1703" s="75" t="s">
        <v>818</v>
      </c>
      <c r="C1703" s="74" t="str">
        <f>IF($B1703&lt;&gt;"",_xlfn.IFNA(VLOOKUP($B1703,'Node Details'!$B:$U,C$1,0),"Check"),"")</f>
        <v>000000CM4-0000CM421</v>
      </c>
      <c r="D1703" s="74" t="str">
        <f>IF($B1703&lt;&gt;"",_xlfn.IFNA(VLOOKUP($B1703,'Node Details'!$B:$U,D$1,0),"Check"),"")</f>
        <v>CM4</v>
      </c>
      <c r="E1703" s="74" t="str">
        <f>IF($B1703&lt;&gt;"",_xlfn.IFNA(VLOOKUP($B1703,'Node Details'!$B:$U,E$1,0),"Check"),"")</f>
        <v>Airtel</v>
      </c>
      <c r="F1703" s="76">
        <v>46148</v>
      </c>
      <c r="G1703" s="74"/>
      <c r="H1703" s="10" t="s">
        <v>1247</v>
      </c>
      <c r="I1703" s="9">
        <v>1</v>
      </c>
      <c r="J1703" s="9">
        <v>650</v>
      </c>
      <c r="K1703" s="77">
        <f t="shared" si="116"/>
        <v>650</v>
      </c>
      <c r="L1703" s="76">
        <v>46142</v>
      </c>
      <c r="N1703" s="83"/>
      <c r="O1703" s="84"/>
      <c r="P1703" s="81"/>
      <c r="Q1703" s="81"/>
      <c r="R1703" s="81"/>
      <c r="S1703" s="81"/>
      <c r="T1703" s="85"/>
      <c r="U1703" s="81"/>
      <c r="V1703" s="81"/>
      <c r="W1703" s="123">
        <f t="shared" si="117"/>
        <v>0</v>
      </c>
      <c r="X1703" s="123" t="s">
        <v>84</v>
      </c>
      <c r="Y1703" s="114" t="s">
        <v>1128</v>
      </c>
    </row>
    <row r="1704" spans="1:25" s="24" customFormat="1" ht="11.1" customHeight="1">
      <c r="A1704" s="74">
        <f t="shared" si="118"/>
        <v>1702</v>
      </c>
      <c r="B1704" s="75" t="s">
        <v>821</v>
      </c>
      <c r="C1704" s="74" t="str">
        <f>IF($B1704&lt;&gt;"",_xlfn.IFNA(VLOOKUP($B1704,'Node Details'!$B:$U,C$1,0),"Check"),"")</f>
        <v>0000CM401-CM4010101</v>
      </c>
      <c r="D1704" s="74" t="str">
        <f>IF($B1704&lt;&gt;"",_xlfn.IFNA(VLOOKUP($B1704,'Node Details'!$B:$U,D$1,0),"Check"),"")</f>
        <v>CM4</v>
      </c>
      <c r="E1704" s="74" t="str">
        <f>IF($B1704&lt;&gt;"",_xlfn.IFNA(VLOOKUP($B1704,'Node Details'!$B:$U,E$1,0),"Check"),"")</f>
        <v>Airtel</v>
      </c>
      <c r="F1704" s="76">
        <v>46148</v>
      </c>
      <c r="G1704" s="74"/>
      <c r="H1704" s="10" t="s">
        <v>1248</v>
      </c>
      <c r="I1704" s="9">
        <v>1</v>
      </c>
      <c r="J1704" s="9">
        <v>950</v>
      </c>
      <c r="K1704" s="77">
        <f t="shared" si="116"/>
        <v>950</v>
      </c>
      <c r="L1704" s="76">
        <v>46142</v>
      </c>
      <c r="N1704" s="83"/>
      <c r="O1704" s="84"/>
      <c r="P1704" s="81"/>
      <c r="Q1704" s="81"/>
      <c r="R1704" s="81"/>
      <c r="S1704" s="81"/>
      <c r="T1704" s="85"/>
      <c r="U1704" s="81"/>
      <c r="V1704" s="81"/>
      <c r="W1704" s="123">
        <f t="shared" si="117"/>
        <v>0</v>
      </c>
      <c r="X1704" s="123" t="s">
        <v>84</v>
      </c>
      <c r="Y1704" s="114" t="s">
        <v>1128</v>
      </c>
    </row>
    <row r="1705" spans="1:25" s="24" customFormat="1" ht="11.1" customHeight="1">
      <c r="A1705" s="74">
        <f t="shared" si="118"/>
        <v>1703</v>
      </c>
      <c r="B1705" s="75" t="s">
        <v>823</v>
      </c>
      <c r="C1705" s="74" t="str">
        <f>IF($B1705&lt;&gt;"",_xlfn.IFNA(VLOOKUP($B1705,'Node Details'!$B:$U,C$1,0),"Check"),"")</f>
        <v>0000CM401-CM4010102</v>
      </c>
      <c r="D1705" s="74" t="str">
        <f>IF($B1705&lt;&gt;"",_xlfn.IFNA(VLOOKUP($B1705,'Node Details'!$B:$U,D$1,0),"Check"),"")</f>
        <v>CM4</v>
      </c>
      <c r="E1705" s="74" t="str">
        <f>IF($B1705&lt;&gt;"",_xlfn.IFNA(VLOOKUP($B1705,'Node Details'!$B:$U,E$1,0),"Check"),"")</f>
        <v>Airtel</v>
      </c>
      <c r="F1705" s="76">
        <v>46148</v>
      </c>
      <c r="G1705" s="74"/>
      <c r="H1705" s="10" t="s">
        <v>1248</v>
      </c>
      <c r="I1705" s="9">
        <v>1</v>
      </c>
      <c r="J1705" s="9">
        <v>950</v>
      </c>
      <c r="K1705" s="77">
        <f t="shared" si="116"/>
        <v>950</v>
      </c>
      <c r="L1705" s="76">
        <v>46142</v>
      </c>
      <c r="N1705" s="83"/>
      <c r="O1705" s="84"/>
      <c r="P1705" s="81"/>
      <c r="Q1705" s="81"/>
      <c r="R1705" s="81"/>
      <c r="S1705" s="81"/>
      <c r="T1705" s="85"/>
      <c r="U1705" s="81"/>
      <c r="V1705" s="81"/>
      <c r="W1705" s="123">
        <f t="shared" si="117"/>
        <v>0</v>
      </c>
      <c r="X1705" s="123" t="s">
        <v>84</v>
      </c>
      <c r="Y1705" s="114" t="s">
        <v>1128</v>
      </c>
    </row>
    <row r="1706" spans="1:25" s="24" customFormat="1" ht="11.1" customHeight="1">
      <c r="A1706" s="74">
        <f t="shared" si="118"/>
        <v>1704</v>
      </c>
      <c r="B1706" s="75" t="s">
        <v>1204</v>
      </c>
      <c r="C1706" s="74" t="str">
        <f>IF($B1706&lt;&gt;"",_xlfn.IFNA(VLOOKUP($B1706,'Node Details'!$B:$U,C$1,0),"Check"),"")</f>
        <v>0000CM401-CM4010104</v>
      </c>
      <c r="D1706" s="74" t="str">
        <f>IF($B1706&lt;&gt;"",_xlfn.IFNA(VLOOKUP($B1706,'Node Details'!$B:$U,D$1,0),"Check"),"")</f>
        <v>CM4</v>
      </c>
      <c r="E1706" s="74" t="str">
        <f>IF($B1706&lt;&gt;"",_xlfn.IFNA(VLOOKUP($B1706,'Node Details'!$B:$U,E$1,0),"Check"),"")</f>
        <v>Airtel</v>
      </c>
      <c r="F1706" s="76">
        <v>46148</v>
      </c>
      <c r="G1706" s="74"/>
      <c r="H1706" s="10" t="s">
        <v>1248</v>
      </c>
      <c r="I1706" s="9">
        <v>1</v>
      </c>
      <c r="J1706" s="9">
        <v>950</v>
      </c>
      <c r="K1706" s="77">
        <f t="shared" si="116"/>
        <v>950</v>
      </c>
      <c r="L1706" s="76">
        <v>46142</v>
      </c>
      <c r="N1706" s="83"/>
      <c r="O1706" s="84"/>
      <c r="P1706" s="81"/>
      <c r="Q1706" s="81"/>
      <c r="R1706" s="81"/>
      <c r="S1706" s="81"/>
      <c r="T1706" s="85"/>
      <c r="U1706" s="81"/>
      <c r="V1706" s="81"/>
      <c r="W1706" s="123">
        <f t="shared" si="117"/>
        <v>0</v>
      </c>
      <c r="X1706" s="123" t="s">
        <v>84</v>
      </c>
      <c r="Y1706" s="114" t="s">
        <v>1128</v>
      </c>
    </row>
    <row r="1707" spans="1:25" s="24" customFormat="1" ht="11.1" customHeight="1">
      <c r="A1707" s="74">
        <f t="shared" si="118"/>
        <v>1705</v>
      </c>
      <c r="B1707" s="75" t="s">
        <v>827</v>
      </c>
      <c r="C1707" s="74" t="str">
        <f>IF($B1707&lt;&gt;"",_xlfn.IFNA(VLOOKUP($B1707,'Node Details'!$B:$U,C$1,0),"Check"),"")</f>
        <v>0000CM401-CM4010104</v>
      </c>
      <c r="D1707" s="74" t="str">
        <f>IF($B1707&lt;&gt;"",_xlfn.IFNA(VLOOKUP($B1707,'Node Details'!$B:$U,D$1,0),"Check"),"")</f>
        <v>CM4</v>
      </c>
      <c r="E1707" s="74" t="str">
        <f>IF($B1707&lt;&gt;"",_xlfn.IFNA(VLOOKUP($B1707,'Node Details'!$B:$U,E$1,0),"Check"),"")</f>
        <v>Airtel</v>
      </c>
      <c r="F1707" s="76">
        <v>46148</v>
      </c>
      <c r="G1707" s="74"/>
      <c r="H1707" s="10" t="s">
        <v>1248</v>
      </c>
      <c r="I1707" s="9">
        <v>1</v>
      </c>
      <c r="J1707" s="9">
        <v>950</v>
      </c>
      <c r="K1707" s="77">
        <f t="shared" si="116"/>
        <v>950</v>
      </c>
      <c r="L1707" s="76">
        <v>46142</v>
      </c>
      <c r="N1707" s="83"/>
      <c r="O1707" s="84"/>
      <c r="P1707" s="81"/>
      <c r="Q1707" s="81"/>
      <c r="R1707" s="81"/>
      <c r="S1707" s="81"/>
      <c r="T1707" s="85"/>
      <c r="U1707" s="81"/>
      <c r="V1707" s="81"/>
      <c r="W1707" s="123">
        <f t="shared" si="117"/>
        <v>0</v>
      </c>
      <c r="X1707" s="123" t="s">
        <v>84</v>
      </c>
      <c r="Y1707" s="114" t="s">
        <v>1128</v>
      </c>
    </row>
    <row r="1708" spans="1:25" s="24" customFormat="1" ht="11.1" customHeight="1">
      <c r="A1708" s="74">
        <f t="shared" si="118"/>
        <v>1706</v>
      </c>
      <c r="B1708" s="75" t="s">
        <v>825</v>
      </c>
      <c r="C1708" s="74" t="str">
        <f>IF($B1708&lt;&gt;"",_xlfn.IFNA(VLOOKUP($B1708,'Node Details'!$B:$U,C$1,0),"Check"),"")</f>
        <v>0000CM401-CM4010104</v>
      </c>
      <c r="D1708" s="74" t="str">
        <f>IF($B1708&lt;&gt;"",_xlfn.IFNA(VLOOKUP($B1708,'Node Details'!$B:$U,D$1,0),"Check"),"")</f>
        <v>CM4</v>
      </c>
      <c r="E1708" s="74" t="str">
        <f>IF($B1708&lt;&gt;"",_xlfn.IFNA(VLOOKUP($B1708,'Node Details'!$B:$U,E$1,0),"Check"),"")</f>
        <v>Airtel</v>
      </c>
      <c r="F1708" s="76">
        <v>46148</v>
      </c>
      <c r="G1708" s="74"/>
      <c r="H1708" s="10" t="s">
        <v>1248</v>
      </c>
      <c r="I1708" s="9">
        <v>1</v>
      </c>
      <c r="J1708" s="9">
        <v>950</v>
      </c>
      <c r="K1708" s="77">
        <f t="shared" si="116"/>
        <v>950</v>
      </c>
      <c r="L1708" s="76">
        <v>46142</v>
      </c>
      <c r="N1708" s="83"/>
      <c r="O1708" s="84"/>
      <c r="P1708" s="81"/>
      <c r="Q1708" s="81"/>
      <c r="R1708" s="81"/>
      <c r="S1708" s="81"/>
      <c r="T1708" s="85"/>
      <c r="U1708" s="81"/>
      <c r="V1708" s="81"/>
      <c r="W1708" s="123">
        <f t="shared" si="117"/>
        <v>0</v>
      </c>
      <c r="X1708" s="123" t="s">
        <v>84</v>
      </c>
      <c r="Y1708" s="114" t="s">
        <v>1128</v>
      </c>
    </row>
    <row r="1709" spans="1:25" s="24" customFormat="1" ht="11.1" customHeight="1">
      <c r="A1709" s="74">
        <f t="shared" si="118"/>
        <v>1707</v>
      </c>
      <c r="B1709" s="75" t="s">
        <v>1205</v>
      </c>
      <c r="C1709" s="74" t="str">
        <f>IF($B1709&lt;&gt;"",_xlfn.IFNA(VLOOKUP($B1709,'Node Details'!$B:$U,C$1,0),"Check"),"")</f>
        <v>CM4010106-CM4010108</v>
      </c>
      <c r="D1709" s="74" t="str">
        <f>IF($B1709&lt;&gt;"",_xlfn.IFNA(VLOOKUP($B1709,'Node Details'!$B:$U,D$1,0),"Check"),"")</f>
        <v>CM4</v>
      </c>
      <c r="E1709" s="74" t="str">
        <f>IF($B1709&lt;&gt;"",_xlfn.IFNA(VLOOKUP($B1709,'Node Details'!$B:$U,E$1,0),"Check"),"")</f>
        <v>Airtel</v>
      </c>
      <c r="F1709" s="76">
        <v>46148</v>
      </c>
      <c r="G1709" s="74"/>
      <c r="H1709" s="10" t="s">
        <v>1248</v>
      </c>
      <c r="I1709" s="9">
        <v>1</v>
      </c>
      <c r="J1709" s="9">
        <v>950</v>
      </c>
      <c r="K1709" s="77">
        <f t="shared" si="116"/>
        <v>950</v>
      </c>
      <c r="L1709" s="76">
        <v>46142</v>
      </c>
      <c r="N1709" s="83"/>
      <c r="O1709" s="84"/>
      <c r="P1709" s="81"/>
      <c r="Q1709" s="81"/>
      <c r="R1709" s="81"/>
      <c r="S1709" s="81"/>
      <c r="T1709" s="85"/>
      <c r="U1709" s="81"/>
      <c r="V1709" s="81"/>
      <c r="W1709" s="123">
        <f t="shared" si="117"/>
        <v>0</v>
      </c>
      <c r="X1709" s="123" t="s">
        <v>84</v>
      </c>
      <c r="Y1709" s="114" t="s">
        <v>1128</v>
      </c>
    </row>
    <row r="1710" spans="1:25" s="24" customFormat="1" ht="11.1" customHeight="1">
      <c r="A1710" s="74">
        <f t="shared" si="118"/>
        <v>1708</v>
      </c>
      <c r="B1710" s="75" t="s">
        <v>828</v>
      </c>
      <c r="C1710" s="74" t="str">
        <f>IF($B1710&lt;&gt;"",_xlfn.IFNA(VLOOKUP($B1710,'Node Details'!$B:$U,C$1,0),"Check"),"")</f>
        <v>CM4010106-CM4010108</v>
      </c>
      <c r="D1710" s="74" t="str">
        <f>IF($B1710&lt;&gt;"",_xlfn.IFNA(VLOOKUP($B1710,'Node Details'!$B:$U,D$1,0),"Check"),"")</f>
        <v>CM4</v>
      </c>
      <c r="E1710" s="74" t="str">
        <f>IF($B1710&lt;&gt;"",_xlfn.IFNA(VLOOKUP($B1710,'Node Details'!$B:$U,E$1,0),"Check"),"")</f>
        <v>Airtel</v>
      </c>
      <c r="F1710" s="76">
        <v>46148</v>
      </c>
      <c r="G1710" s="74"/>
      <c r="H1710" s="10" t="s">
        <v>1248</v>
      </c>
      <c r="I1710" s="9">
        <v>1</v>
      </c>
      <c r="J1710" s="9">
        <v>950</v>
      </c>
      <c r="K1710" s="77">
        <f t="shared" si="116"/>
        <v>950</v>
      </c>
      <c r="L1710" s="76">
        <v>46142</v>
      </c>
      <c r="N1710" s="83"/>
      <c r="O1710" s="84"/>
      <c r="P1710" s="81"/>
      <c r="Q1710" s="81"/>
      <c r="R1710" s="81"/>
      <c r="S1710" s="81"/>
      <c r="T1710" s="85"/>
      <c r="U1710" s="81"/>
      <c r="V1710" s="81"/>
      <c r="W1710" s="123">
        <f t="shared" si="117"/>
        <v>0</v>
      </c>
      <c r="X1710" s="123" t="s">
        <v>84</v>
      </c>
      <c r="Y1710" s="114" t="s">
        <v>1128</v>
      </c>
    </row>
    <row r="1711" spans="1:25" s="24" customFormat="1" ht="11.1" customHeight="1">
      <c r="A1711" s="74">
        <f t="shared" si="118"/>
        <v>1709</v>
      </c>
      <c r="B1711" s="75" t="s">
        <v>1206</v>
      </c>
      <c r="C1711" s="74" t="str">
        <f>IF($B1711&lt;&gt;"",_xlfn.IFNA(VLOOKUP($B1711,'Node Details'!$B:$U,C$1,0),"Check"),"")</f>
        <v>0000CM402-CM4020104</v>
      </c>
      <c r="D1711" s="74" t="str">
        <f>IF($B1711&lt;&gt;"",_xlfn.IFNA(VLOOKUP($B1711,'Node Details'!$B:$U,D$1,0),"Check"),"")</f>
        <v>CM4</v>
      </c>
      <c r="E1711" s="74" t="str">
        <f>IF($B1711&lt;&gt;"",_xlfn.IFNA(VLOOKUP($B1711,'Node Details'!$B:$U,E$1,0),"Check"),"")</f>
        <v>Airtel</v>
      </c>
      <c r="F1711" s="76">
        <v>46148</v>
      </c>
      <c r="G1711" s="74"/>
      <c r="H1711" s="10" t="s">
        <v>1248</v>
      </c>
      <c r="I1711" s="9">
        <v>1</v>
      </c>
      <c r="J1711" s="9">
        <v>950</v>
      </c>
      <c r="K1711" s="77">
        <f t="shared" si="116"/>
        <v>950</v>
      </c>
      <c r="L1711" s="76">
        <v>46142</v>
      </c>
      <c r="N1711" s="83"/>
      <c r="O1711" s="84"/>
      <c r="P1711" s="81"/>
      <c r="Q1711" s="81"/>
      <c r="R1711" s="81"/>
      <c r="S1711" s="81"/>
      <c r="T1711" s="85"/>
      <c r="U1711" s="81"/>
      <c r="V1711" s="81"/>
      <c r="W1711" s="123">
        <f t="shared" si="117"/>
        <v>0</v>
      </c>
      <c r="X1711" s="123" t="s">
        <v>84</v>
      </c>
      <c r="Y1711" s="114" t="s">
        <v>1128</v>
      </c>
    </row>
    <row r="1712" spans="1:25" s="24" customFormat="1" ht="11.1" customHeight="1">
      <c r="A1712" s="74">
        <f t="shared" si="118"/>
        <v>1710</v>
      </c>
      <c r="B1712" s="75" t="s">
        <v>1207</v>
      </c>
      <c r="C1712" s="74" t="str">
        <f>IF($B1712&lt;&gt;"",_xlfn.IFNA(VLOOKUP($B1712,'Node Details'!$B:$U,C$1,0),"Check"),"")</f>
        <v>0000CM402-CM4020104</v>
      </c>
      <c r="D1712" s="74" t="str">
        <f>IF($B1712&lt;&gt;"",_xlfn.IFNA(VLOOKUP($B1712,'Node Details'!$B:$U,D$1,0),"Check"),"")</f>
        <v>CM4</v>
      </c>
      <c r="E1712" s="74" t="str">
        <f>IF($B1712&lt;&gt;"",_xlfn.IFNA(VLOOKUP($B1712,'Node Details'!$B:$U,E$1,0),"Check"),"")</f>
        <v>Airtel</v>
      </c>
      <c r="F1712" s="76">
        <v>46148</v>
      </c>
      <c r="G1712" s="74"/>
      <c r="H1712" s="10" t="s">
        <v>1248</v>
      </c>
      <c r="I1712" s="9">
        <v>1</v>
      </c>
      <c r="J1712" s="9">
        <v>950</v>
      </c>
      <c r="K1712" s="77">
        <f t="shared" ref="K1712:K1775" si="119">IF(I1712&lt;&gt;"",J1712*I1712,0)</f>
        <v>950</v>
      </c>
      <c r="L1712" s="76">
        <v>46142</v>
      </c>
      <c r="N1712" s="83"/>
      <c r="O1712" s="84"/>
      <c r="P1712" s="81"/>
      <c r="Q1712" s="81"/>
      <c r="R1712" s="81"/>
      <c r="S1712" s="81"/>
      <c r="T1712" s="85"/>
      <c r="U1712" s="81"/>
      <c r="V1712" s="81"/>
      <c r="W1712" s="123">
        <f t="shared" ref="W1712:W1775" si="120">IF(V1712&lt;&gt;"",V1712*U1712,0)</f>
        <v>0</v>
      </c>
      <c r="X1712" s="123" t="s">
        <v>84</v>
      </c>
      <c r="Y1712" s="114" t="s">
        <v>1128</v>
      </c>
    </row>
    <row r="1713" spans="1:25" s="24" customFormat="1" ht="11.1" customHeight="1">
      <c r="A1713" s="74">
        <f t="shared" si="118"/>
        <v>1711</v>
      </c>
      <c r="B1713" s="75" t="s">
        <v>1208</v>
      </c>
      <c r="C1713" s="74" t="str">
        <f>IF($B1713&lt;&gt;"",_xlfn.IFNA(VLOOKUP($B1713,'Node Details'!$B:$U,C$1,0),"Check"),"")</f>
        <v>0000CM402-CM4020104</v>
      </c>
      <c r="D1713" s="74" t="str">
        <f>IF($B1713&lt;&gt;"",_xlfn.IFNA(VLOOKUP($B1713,'Node Details'!$B:$U,D$1,0),"Check"),"")</f>
        <v>CM4</v>
      </c>
      <c r="E1713" s="74" t="str">
        <f>IF($B1713&lt;&gt;"",_xlfn.IFNA(VLOOKUP($B1713,'Node Details'!$B:$U,E$1,0),"Check"),"")</f>
        <v>Airtel</v>
      </c>
      <c r="F1713" s="76">
        <v>46148</v>
      </c>
      <c r="G1713" s="74"/>
      <c r="H1713" s="10" t="s">
        <v>1248</v>
      </c>
      <c r="I1713" s="9">
        <v>1</v>
      </c>
      <c r="J1713" s="9">
        <v>950</v>
      </c>
      <c r="K1713" s="77">
        <f t="shared" si="119"/>
        <v>950</v>
      </c>
      <c r="L1713" s="76">
        <v>46142</v>
      </c>
      <c r="N1713" s="83"/>
      <c r="O1713" s="84"/>
      <c r="P1713" s="81"/>
      <c r="Q1713" s="81"/>
      <c r="R1713" s="81"/>
      <c r="S1713" s="81"/>
      <c r="T1713" s="85"/>
      <c r="U1713" s="81"/>
      <c r="V1713" s="81"/>
      <c r="W1713" s="123">
        <f t="shared" si="120"/>
        <v>0</v>
      </c>
      <c r="X1713" s="123" t="s">
        <v>84</v>
      </c>
      <c r="Y1713" s="114" t="s">
        <v>1128</v>
      </c>
    </row>
    <row r="1714" spans="1:25" s="24" customFormat="1" ht="11.1" customHeight="1">
      <c r="A1714" s="74">
        <f t="shared" si="118"/>
        <v>1712</v>
      </c>
      <c r="B1714" s="75" t="s">
        <v>832</v>
      </c>
      <c r="C1714" s="74" t="str">
        <f>IF($B1714&lt;&gt;"",_xlfn.IFNA(VLOOKUP($B1714,'Node Details'!$B:$U,C$1,0),"Check"),"")</f>
        <v>0000CM402-CM4020105</v>
      </c>
      <c r="D1714" s="74" t="str">
        <f>IF($B1714&lt;&gt;"",_xlfn.IFNA(VLOOKUP($B1714,'Node Details'!$B:$U,D$1,0),"Check"),"")</f>
        <v>CM4</v>
      </c>
      <c r="E1714" s="74" t="str">
        <f>IF($B1714&lt;&gt;"",_xlfn.IFNA(VLOOKUP($B1714,'Node Details'!$B:$U,E$1,0),"Check"),"")</f>
        <v>Airtel</v>
      </c>
      <c r="F1714" s="76">
        <v>46148</v>
      </c>
      <c r="G1714" s="74"/>
      <c r="H1714" s="10" t="s">
        <v>1248</v>
      </c>
      <c r="I1714" s="9">
        <v>1</v>
      </c>
      <c r="J1714" s="9">
        <v>950</v>
      </c>
      <c r="K1714" s="77">
        <f t="shared" si="119"/>
        <v>950</v>
      </c>
      <c r="L1714" s="76">
        <v>46142</v>
      </c>
      <c r="N1714" s="83"/>
      <c r="O1714" s="84"/>
      <c r="P1714" s="81"/>
      <c r="Q1714" s="81"/>
      <c r="R1714" s="81"/>
      <c r="S1714" s="81"/>
      <c r="T1714" s="85"/>
      <c r="U1714" s="81"/>
      <c r="V1714" s="81"/>
      <c r="W1714" s="123">
        <f t="shared" si="120"/>
        <v>0</v>
      </c>
      <c r="X1714" s="123" t="s">
        <v>84</v>
      </c>
      <c r="Y1714" s="114" t="s">
        <v>1128</v>
      </c>
    </row>
    <row r="1715" spans="1:25" s="24" customFormat="1" ht="11.1" customHeight="1">
      <c r="A1715" s="74">
        <f t="shared" si="118"/>
        <v>1713</v>
      </c>
      <c r="B1715" s="75" t="s">
        <v>1209</v>
      </c>
      <c r="C1715" s="74" t="str">
        <f>IF($B1715&lt;&gt;"",_xlfn.IFNA(VLOOKUP($B1715,'Node Details'!$B:$U,C$1,0),"Check"),"")</f>
        <v>0000CM402-CM4020108</v>
      </c>
      <c r="D1715" s="74" t="str">
        <f>IF($B1715&lt;&gt;"",_xlfn.IFNA(VLOOKUP($B1715,'Node Details'!$B:$U,D$1,0),"Check"),"")</f>
        <v>CM4</v>
      </c>
      <c r="E1715" s="74" t="str">
        <f>IF($B1715&lt;&gt;"",_xlfn.IFNA(VLOOKUP($B1715,'Node Details'!$B:$U,E$1,0),"Check"),"")</f>
        <v>Airtel</v>
      </c>
      <c r="F1715" s="76">
        <v>46148</v>
      </c>
      <c r="G1715" s="74"/>
      <c r="H1715" s="10" t="s">
        <v>1248</v>
      </c>
      <c r="I1715" s="9">
        <v>1</v>
      </c>
      <c r="J1715" s="9">
        <v>950</v>
      </c>
      <c r="K1715" s="77">
        <f t="shared" si="119"/>
        <v>950</v>
      </c>
      <c r="L1715" s="76">
        <v>46142</v>
      </c>
      <c r="N1715" s="83"/>
      <c r="O1715" s="84"/>
      <c r="P1715" s="81"/>
      <c r="Q1715" s="81"/>
      <c r="R1715" s="81"/>
      <c r="S1715" s="81"/>
      <c r="T1715" s="85"/>
      <c r="U1715" s="81"/>
      <c r="V1715" s="81"/>
      <c r="W1715" s="123">
        <f t="shared" si="120"/>
        <v>0</v>
      </c>
      <c r="X1715" s="123" t="s">
        <v>84</v>
      </c>
      <c r="Y1715" s="114" t="s">
        <v>1128</v>
      </c>
    </row>
    <row r="1716" spans="1:25" s="24" customFormat="1" ht="11.1" customHeight="1">
      <c r="A1716" s="74">
        <f t="shared" si="118"/>
        <v>1714</v>
      </c>
      <c r="B1716" s="75" t="s">
        <v>1210</v>
      </c>
      <c r="C1716" s="74" t="str">
        <f>IF($B1716&lt;&gt;"",_xlfn.IFNA(VLOOKUP($B1716,'Node Details'!$B:$U,C$1,0),"Check"),"")</f>
        <v>0000CM402-CM4020108</v>
      </c>
      <c r="D1716" s="74" t="str">
        <f>IF($B1716&lt;&gt;"",_xlfn.IFNA(VLOOKUP($B1716,'Node Details'!$B:$U,D$1,0),"Check"),"")</f>
        <v>CM4</v>
      </c>
      <c r="E1716" s="74" t="str">
        <f>IF($B1716&lt;&gt;"",_xlfn.IFNA(VLOOKUP($B1716,'Node Details'!$B:$U,E$1,0),"Check"),"")</f>
        <v>Airtel</v>
      </c>
      <c r="F1716" s="76">
        <v>46148</v>
      </c>
      <c r="G1716" s="74"/>
      <c r="H1716" s="10" t="s">
        <v>1248</v>
      </c>
      <c r="I1716" s="9">
        <v>1</v>
      </c>
      <c r="J1716" s="9">
        <v>950</v>
      </c>
      <c r="K1716" s="77">
        <f t="shared" si="119"/>
        <v>950</v>
      </c>
      <c r="L1716" s="76">
        <v>46142</v>
      </c>
      <c r="N1716" s="83"/>
      <c r="O1716" s="84"/>
      <c r="P1716" s="81"/>
      <c r="Q1716" s="81"/>
      <c r="R1716" s="81"/>
      <c r="S1716" s="81"/>
      <c r="T1716" s="85"/>
      <c r="U1716" s="81"/>
      <c r="V1716" s="81"/>
      <c r="W1716" s="123">
        <f t="shared" si="120"/>
        <v>0</v>
      </c>
      <c r="X1716" s="123" t="s">
        <v>84</v>
      </c>
      <c r="Y1716" s="114" t="s">
        <v>1128</v>
      </c>
    </row>
    <row r="1717" spans="1:25" s="24" customFormat="1" ht="11.1" customHeight="1">
      <c r="A1717" s="74">
        <f t="shared" si="118"/>
        <v>1715</v>
      </c>
      <c r="B1717" s="75" t="s">
        <v>834</v>
      </c>
      <c r="C1717" s="74" t="str">
        <f>IF($B1717&lt;&gt;"",_xlfn.IFNA(VLOOKUP($B1717,'Node Details'!$B:$U,C$1,0),"Check"),"")</f>
        <v>0000CM402-CM4020108</v>
      </c>
      <c r="D1717" s="74" t="str">
        <f>IF($B1717&lt;&gt;"",_xlfn.IFNA(VLOOKUP($B1717,'Node Details'!$B:$U,D$1,0),"Check"),"")</f>
        <v>CM4</v>
      </c>
      <c r="E1717" s="74" t="str">
        <f>IF($B1717&lt;&gt;"",_xlfn.IFNA(VLOOKUP($B1717,'Node Details'!$B:$U,E$1,0),"Check"),"")</f>
        <v>Airtel</v>
      </c>
      <c r="F1717" s="76">
        <v>46148</v>
      </c>
      <c r="G1717" s="74"/>
      <c r="H1717" s="10" t="s">
        <v>1248</v>
      </c>
      <c r="I1717" s="9">
        <v>1</v>
      </c>
      <c r="J1717" s="9">
        <v>950</v>
      </c>
      <c r="K1717" s="77">
        <f t="shared" si="119"/>
        <v>950</v>
      </c>
      <c r="L1717" s="76">
        <v>46142</v>
      </c>
      <c r="N1717" s="83"/>
      <c r="O1717" s="84"/>
      <c r="P1717" s="81"/>
      <c r="Q1717" s="81"/>
      <c r="R1717" s="81"/>
      <c r="S1717" s="81"/>
      <c r="T1717" s="85"/>
      <c r="U1717" s="81"/>
      <c r="V1717" s="81"/>
      <c r="W1717" s="123">
        <f t="shared" si="120"/>
        <v>0</v>
      </c>
      <c r="X1717" s="123" t="s">
        <v>84</v>
      </c>
      <c r="Y1717" s="114" t="s">
        <v>1128</v>
      </c>
    </row>
    <row r="1718" spans="1:25" s="24" customFormat="1" ht="11.1" customHeight="1">
      <c r="A1718" s="74">
        <f t="shared" si="118"/>
        <v>1716</v>
      </c>
      <c r="B1718" s="75" t="s">
        <v>830</v>
      </c>
      <c r="C1718" s="74" t="str">
        <f>IF($B1718&lt;&gt;"",_xlfn.IFNA(VLOOKUP($B1718,'Node Details'!$B:$U,C$1,0),"Check"),"")</f>
        <v>0000CM402-CM4020104</v>
      </c>
      <c r="D1718" s="74" t="str">
        <f>IF($B1718&lt;&gt;"",_xlfn.IFNA(VLOOKUP($B1718,'Node Details'!$B:$U,D$1,0),"Check"),"")</f>
        <v>CM4</v>
      </c>
      <c r="E1718" s="74" t="str">
        <f>IF($B1718&lt;&gt;"",_xlfn.IFNA(VLOOKUP($B1718,'Node Details'!$B:$U,E$1,0),"Check"),"")</f>
        <v>Airtel</v>
      </c>
      <c r="F1718" s="76">
        <v>46148</v>
      </c>
      <c r="G1718" s="74"/>
      <c r="H1718" s="10" t="s">
        <v>1248</v>
      </c>
      <c r="I1718" s="9">
        <v>1</v>
      </c>
      <c r="J1718" s="9">
        <v>950</v>
      </c>
      <c r="K1718" s="77">
        <f t="shared" si="119"/>
        <v>950</v>
      </c>
      <c r="L1718" s="76">
        <v>46142</v>
      </c>
      <c r="N1718" s="83"/>
      <c r="O1718" s="84"/>
      <c r="P1718" s="81"/>
      <c r="Q1718" s="81"/>
      <c r="R1718" s="81"/>
      <c r="S1718" s="81"/>
      <c r="T1718" s="85"/>
      <c r="U1718" s="81"/>
      <c r="V1718" s="81"/>
      <c r="W1718" s="123">
        <f t="shared" si="120"/>
        <v>0</v>
      </c>
      <c r="X1718" s="123" t="s">
        <v>84</v>
      </c>
      <c r="Y1718" s="114" t="s">
        <v>1128</v>
      </c>
    </row>
    <row r="1719" spans="1:25" s="24" customFormat="1" ht="11.1" customHeight="1">
      <c r="A1719" s="74">
        <f t="shared" si="118"/>
        <v>1717</v>
      </c>
      <c r="B1719" s="75" t="s">
        <v>836</v>
      </c>
      <c r="C1719" s="74" t="str">
        <f>IF($B1719&lt;&gt;"",_xlfn.IFNA(VLOOKUP($B1719,'Node Details'!$B:$U,C$1,0),"Check"),"")</f>
        <v>0000CM403-CM4030101</v>
      </c>
      <c r="D1719" s="74" t="str">
        <f>IF($B1719&lt;&gt;"",_xlfn.IFNA(VLOOKUP($B1719,'Node Details'!$B:$U,D$1,0),"Check"),"")</f>
        <v>CM4</v>
      </c>
      <c r="E1719" s="74" t="str">
        <f>IF($B1719&lt;&gt;"",_xlfn.IFNA(VLOOKUP($B1719,'Node Details'!$B:$U,E$1,0),"Check"),"")</f>
        <v>Airtel</v>
      </c>
      <c r="F1719" s="76">
        <v>46148</v>
      </c>
      <c r="G1719" s="74"/>
      <c r="H1719" s="10" t="s">
        <v>1248</v>
      </c>
      <c r="I1719" s="9">
        <v>1</v>
      </c>
      <c r="J1719" s="9">
        <v>950</v>
      </c>
      <c r="K1719" s="77">
        <f t="shared" si="119"/>
        <v>950</v>
      </c>
      <c r="L1719" s="76">
        <v>46142</v>
      </c>
      <c r="N1719" s="83"/>
      <c r="O1719" s="84"/>
      <c r="P1719" s="81"/>
      <c r="Q1719" s="81"/>
      <c r="R1719" s="81"/>
      <c r="S1719" s="81"/>
      <c r="T1719" s="85"/>
      <c r="U1719" s="81"/>
      <c r="V1719" s="81"/>
      <c r="W1719" s="123">
        <f t="shared" si="120"/>
        <v>0</v>
      </c>
      <c r="X1719" s="123" t="s">
        <v>84</v>
      </c>
      <c r="Y1719" s="114" t="s">
        <v>1128</v>
      </c>
    </row>
    <row r="1720" spans="1:25" s="24" customFormat="1" ht="11.1" customHeight="1">
      <c r="A1720" s="74">
        <f t="shared" si="118"/>
        <v>1718</v>
      </c>
      <c r="B1720" s="75" t="s">
        <v>1211</v>
      </c>
      <c r="C1720" s="74" t="str">
        <f>IF($B1720&lt;&gt;"",_xlfn.IFNA(VLOOKUP($B1720,'Node Details'!$B:$U,C$1,0),"Check"),"")</f>
        <v>0000CM403-CM4030103</v>
      </c>
      <c r="D1720" s="74" t="str">
        <f>IF($B1720&lt;&gt;"",_xlfn.IFNA(VLOOKUP($B1720,'Node Details'!$B:$U,D$1,0),"Check"),"")</f>
        <v>CM4</v>
      </c>
      <c r="E1720" s="74" t="str">
        <f>IF($B1720&lt;&gt;"",_xlfn.IFNA(VLOOKUP($B1720,'Node Details'!$B:$U,E$1,0),"Check"),"")</f>
        <v>Airtel</v>
      </c>
      <c r="F1720" s="76">
        <v>46148</v>
      </c>
      <c r="G1720" s="74"/>
      <c r="H1720" s="10" t="s">
        <v>1248</v>
      </c>
      <c r="I1720" s="9">
        <v>1</v>
      </c>
      <c r="J1720" s="9">
        <v>950</v>
      </c>
      <c r="K1720" s="77">
        <f t="shared" si="119"/>
        <v>950</v>
      </c>
      <c r="L1720" s="76">
        <v>46142</v>
      </c>
      <c r="N1720" s="83"/>
      <c r="O1720" s="84"/>
      <c r="P1720" s="81"/>
      <c r="Q1720" s="81"/>
      <c r="R1720" s="81"/>
      <c r="S1720" s="81"/>
      <c r="T1720" s="85"/>
      <c r="U1720" s="81"/>
      <c r="V1720" s="81"/>
      <c r="W1720" s="123">
        <f t="shared" si="120"/>
        <v>0</v>
      </c>
      <c r="X1720" s="123" t="s">
        <v>84</v>
      </c>
      <c r="Y1720" s="114" t="s">
        <v>1128</v>
      </c>
    </row>
    <row r="1721" spans="1:25" s="24" customFormat="1" ht="11.1" customHeight="1">
      <c r="A1721" s="74">
        <f t="shared" si="118"/>
        <v>1719</v>
      </c>
      <c r="B1721" s="75" t="s">
        <v>838</v>
      </c>
      <c r="C1721" s="74" t="str">
        <f>IF($B1721&lt;&gt;"",_xlfn.IFNA(VLOOKUP($B1721,'Node Details'!$B:$U,C$1,0),"Check"),"")</f>
        <v>0000CM403-CM4030103</v>
      </c>
      <c r="D1721" s="74" t="str">
        <f>IF($B1721&lt;&gt;"",_xlfn.IFNA(VLOOKUP($B1721,'Node Details'!$B:$U,D$1,0),"Check"),"")</f>
        <v>CM4</v>
      </c>
      <c r="E1721" s="74" t="str">
        <f>IF($B1721&lt;&gt;"",_xlfn.IFNA(VLOOKUP($B1721,'Node Details'!$B:$U,E$1,0),"Check"),"")</f>
        <v>Airtel</v>
      </c>
      <c r="F1721" s="76">
        <v>46148</v>
      </c>
      <c r="G1721" s="74"/>
      <c r="H1721" s="10" t="s">
        <v>1248</v>
      </c>
      <c r="I1721" s="9">
        <v>1</v>
      </c>
      <c r="J1721" s="9">
        <v>950</v>
      </c>
      <c r="K1721" s="77">
        <f t="shared" si="119"/>
        <v>950</v>
      </c>
      <c r="L1721" s="76">
        <v>46142</v>
      </c>
      <c r="N1721" s="83"/>
      <c r="O1721" s="84"/>
      <c r="P1721" s="81"/>
      <c r="Q1721" s="81"/>
      <c r="R1721" s="81"/>
      <c r="S1721" s="81"/>
      <c r="T1721" s="85"/>
      <c r="U1721" s="81"/>
      <c r="V1721" s="81"/>
      <c r="W1721" s="123">
        <f t="shared" si="120"/>
        <v>0</v>
      </c>
      <c r="X1721" s="123" t="s">
        <v>84</v>
      </c>
      <c r="Y1721" s="114" t="s">
        <v>1128</v>
      </c>
    </row>
    <row r="1722" spans="1:25" s="24" customFormat="1" ht="11.1" customHeight="1">
      <c r="A1722" s="74">
        <f t="shared" si="118"/>
        <v>1720</v>
      </c>
      <c r="B1722" s="75" t="s">
        <v>1212</v>
      </c>
      <c r="C1722" s="74" t="str">
        <f>IF($B1722&lt;&gt;"",_xlfn.IFNA(VLOOKUP($B1722,'Node Details'!$B:$U,C$1,0),"Check"),"")</f>
        <v>0000CM403-CM4030108</v>
      </c>
      <c r="D1722" s="74" t="str">
        <f>IF($B1722&lt;&gt;"",_xlfn.IFNA(VLOOKUP($B1722,'Node Details'!$B:$U,D$1,0),"Check"),"")</f>
        <v>CM4</v>
      </c>
      <c r="E1722" s="74" t="str">
        <f>IF($B1722&lt;&gt;"",_xlfn.IFNA(VLOOKUP($B1722,'Node Details'!$B:$U,E$1,0),"Check"),"")</f>
        <v>Airtel</v>
      </c>
      <c r="F1722" s="76">
        <v>46148</v>
      </c>
      <c r="G1722" s="74"/>
      <c r="H1722" s="10" t="s">
        <v>1248</v>
      </c>
      <c r="I1722" s="9">
        <v>1</v>
      </c>
      <c r="J1722" s="9">
        <v>950</v>
      </c>
      <c r="K1722" s="77">
        <f t="shared" si="119"/>
        <v>950</v>
      </c>
      <c r="L1722" s="76">
        <v>46142</v>
      </c>
      <c r="N1722" s="83"/>
      <c r="O1722" s="84"/>
      <c r="P1722" s="81"/>
      <c r="Q1722" s="81"/>
      <c r="R1722" s="81"/>
      <c r="S1722" s="81"/>
      <c r="T1722" s="85"/>
      <c r="U1722" s="81"/>
      <c r="V1722" s="81"/>
      <c r="W1722" s="123">
        <f t="shared" si="120"/>
        <v>0</v>
      </c>
      <c r="X1722" s="123" t="s">
        <v>84</v>
      </c>
      <c r="Y1722" s="114" t="s">
        <v>1128</v>
      </c>
    </row>
    <row r="1723" spans="1:25" s="24" customFormat="1" ht="11.1" customHeight="1">
      <c r="A1723" s="74">
        <f t="shared" si="118"/>
        <v>1721</v>
      </c>
      <c r="B1723" s="75" t="s">
        <v>1213</v>
      </c>
      <c r="C1723" s="74" t="str">
        <f>IF($B1723&lt;&gt;"",_xlfn.IFNA(VLOOKUP($B1723,'Node Details'!$B:$U,C$1,0),"Check"),"")</f>
        <v>0000CM403-CM4030108</v>
      </c>
      <c r="D1723" s="74" t="str">
        <f>IF($B1723&lt;&gt;"",_xlfn.IFNA(VLOOKUP($B1723,'Node Details'!$B:$U,D$1,0),"Check"),"")</f>
        <v>CM4</v>
      </c>
      <c r="E1723" s="74" t="str">
        <f>IF($B1723&lt;&gt;"",_xlfn.IFNA(VLOOKUP($B1723,'Node Details'!$B:$U,E$1,0),"Check"),"")</f>
        <v>Airtel</v>
      </c>
      <c r="F1723" s="76">
        <v>46148</v>
      </c>
      <c r="G1723" s="74"/>
      <c r="H1723" s="10" t="s">
        <v>1248</v>
      </c>
      <c r="I1723" s="9">
        <v>1</v>
      </c>
      <c r="J1723" s="9">
        <v>950</v>
      </c>
      <c r="K1723" s="77">
        <f t="shared" si="119"/>
        <v>950</v>
      </c>
      <c r="L1723" s="76">
        <v>46142</v>
      </c>
      <c r="N1723" s="83"/>
      <c r="O1723" s="84"/>
      <c r="P1723" s="81"/>
      <c r="Q1723" s="81"/>
      <c r="R1723" s="81"/>
      <c r="S1723" s="81"/>
      <c r="T1723" s="85"/>
      <c r="U1723" s="81"/>
      <c r="V1723" s="81"/>
      <c r="W1723" s="123">
        <f t="shared" si="120"/>
        <v>0</v>
      </c>
      <c r="X1723" s="123" t="s">
        <v>84</v>
      </c>
      <c r="Y1723" s="114" t="s">
        <v>1128</v>
      </c>
    </row>
    <row r="1724" spans="1:25" s="24" customFormat="1" ht="11.1" customHeight="1">
      <c r="A1724" s="74">
        <f t="shared" si="118"/>
        <v>1722</v>
      </c>
      <c r="B1724" s="75" t="s">
        <v>840</v>
      </c>
      <c r="C1724" s="74" t="str">
        <f>IF($B1724&lt;&gt;"",_xlfn.IFNA(VLOOKUP($B1724,'Node Details'!$B:$U,C$1,0),"Check"),"")</f>
        <v>0000CM403-CM4030108</v>
      </c>
      <c r="D1724" s="74" t="str">
        <f>IF($B1724&lt;&gt;"",_xlfn.IFNA(VLOOKUP($B1724,'Node Details'!$B:$U,D$1,0),"Check"),"")</f>
        <v>CM4</v>
      </c>
      <c r="E1724" s="74" t="str">
        <f>IF($B1724&lt;&gt;"",_xlfn.IFNA(VLOOKUP($B1724,'Node Details'!$B:$U,E$1,0),"Check"),"")</f>
        <v>Airtel</v>
      </c>
      <c r="F1724" s="76">
        <v>46148</v>
      </c>
      <c r="G1724" s="74"/>
      <c r="H1724" s="10" t="s">
        <v>1248</v>
      </c>
      <c r="I1724" s="9">
        <v>1</v>
      </c>
      <c r="J1724" s="9">
        <v>950</v>
      </c>
      <c r="K1724" s="77">
        <f t="shared" si="119"/>
        <v>950</v>
      </c>
      <c r="L1724" s="76">
        <v>46142</v>
      </c>
      <c r="N1724" s="83"/>
      <c r="O1724" s="84"/>
      <c r="P1724" s="81"/>
      <c r="Q1724" s="81"/>
      <c r="R1724" s="81"/>
      <c r="S1724" s="81"/>
      <c r="T1724" s="85"/>
      <c r="U1724" s="81"/>
      <c r="V1724" s="81"/>
      <c r="W1724" s="123">
        <f t="shared" si="120"/>
        <v>0</v>
      </c>
      <c r="X1724" s="123" t="s">
        <v>84</v>
      </c>
      <c r="Y1724" s="114" t="s">
        <v>1128</v>
      </c>
    </row>
    <row r="1725" spans="1:25" s="24" customFormat="1" ht="11.1" customHeight="1">
      <c r="A1725" s="74">
        <f t="shared" si="118"/>
        <v>1723</v>
      </c>
      <c r="B1725" s="75" t="s">
        <v>1214</v>
      </c>
      <c r="C1725" s="74" t="str">
        <f>IF($B1725&lt;&gt;"",_xlfn.IFNA(VLOOKUP($B1725,'Node Details'!$B:$U,C$1,0),"Check"),"")</f>
        <v>0000CM404-CM4040105</v>
      </c>
      <c r="D1725" s="74" t="str">
        <f>IF($B1725&lt;&gt;"",_xlfn.IFNA(VLOOKUP($B1725,'Node Details'!$B:$U,D$1,0),"Check"),"")</f>
        <v>CM4</v>
      </c>
      <c r="E1725" s="74" t="str">
        <f>IF($B1725&lt;&gt;"",_xlfn.IFNA(VLOOKUP($B1725,'Node Details'!$B:$U,E$1,0),"Check"),"")</f>
        <v>Airtel</v>
      </c>
      <c r="F1725" s="76">
        <v>46148</v>
      </c>
      <c r="G1725" s="74"/>
      <c r="H1725" s="10" t="s">
        <v>1248</v>
      </c>
      <c r="I1725" s="9">
        <v>1</v>
      </c>
      <c r="J1725" s="9">
        <v>950</v>
      </c>
      <c r="K1725" s="77">
        <f t="shared" si="119"/>
        <v>950</v>
      </c>
      <c r="L1725" s="76">
        <v>46142</v>
      </c>
      <c r="N1725" s="83"/>
      <c r="O1725" s="84"/>
      <c r="P1725" s="81"/>
      <c r="Q1725" s="81"/>
      <c r="R1725" s="81"/>
      <c r="S1725" s="81"/>
      <c r="T1725" s="85"/>
      <c r="U1725" s="81"/>
      <c r="V1725" s="81"/>
      <c r="W1725" s="123">
        <f t="shared" si="120"/>
        <v>0</v>
      </c>
      <c r="X1725" s="123" t="s">
        <v>84</v>
      </c>
      <c r="Y1725" s="114" t="s">
        <v>1128</v>
      </c>
    </row>
    <row r="1726" spans="1:25" s="24" customFormat="1" ht="11.1" customHeight="1">
      <c r="A1726" s="74">
        <f t="shared" si="118"/>
        <v>1724</v>
      </c>
      <c r="B1726" s="75" t="s">
        <v>842</v>
      </c>
      <c r="C1726" s="74" t="str">
        <f>IF($B1726&lt;&gt;"",_xlfn.IFNA(VLOOKUP($B1726,'Node Details'!$B:$U,C$1,0),"Check"),"")</f>
        <v>0000CM404-CM4040105</v>
      </c>
      <c r="D1726" s="74" t="str">
        <f>IF($B1726&lt;&gt;"",_xlfn.IFNA(VLOOKUP($B1726,'Node Details'!$B:$U,D$1,0),"Check"),"")</f>
        <v>CM4</v>
      </c>
      <c r="E1726" s="74" t="str">
        <f>IF($B1726&lt;&gt;"",_xlfn.IFNA(VLOOKUP($B1726,'Node Details'!$B:$U,E$1,0),"Check"),"")</f>
        <v>Airtel</v>
      </c>
      <c r="F1726" s="76">
        <v>46148</v>
      </c>
      <c r="G1726" s="74"/>
      <c r="H1726" s="10" t="s">
        <v>1248</v>
      </c>
      <c r="I1726" s="9">
        <v>1</v>
      </c>
      <c r="J1726" s="9">
        <v>950</v>
      </c>
      <c r="K1726" s="77">
        <f t="shared" si="119"/>
        <v>950</v>
      </c>
      <c r="L1726" s="76">
        <v>46142</v>
      </c>
      <c r="N1726" s="83"/>
      <c r="O1726" s="84"/>
      <c r="P1726" s="81"/>
      <c r="Q1726" s="81"/>
      <c r="R1726" s="81"/>
      <c r="S1726" s="81"/>
      <c r="T1726" s="85"/>
      <c r="U1726" s="81"/>
      <c r="V1726" s="81"/>
      <c r="W1726" s="123">
        <f t="shared" si="120"/>
        <v>0</v>
      </c>
      <c r="X1726" s="123" t="s">
        <v>84</v>
      </c>
      <c r="Y1726" s="114" t="s">
        <v>1128</v>
      </c>
    </row>
    <row r="1727" spans="1:25" s="24" customFormat="1" ht="11.1" customHeight="1">
      <c r="A1727" s="74">
        <f t="shared" si="118"/>
        <v>1725</v>
      </c>
      <c r="B1727" s="75" t="s">
        <v>1215</v>
      </c>
      <c r="C1727" s="74" t="str">
        <f>IF($B1727&lt;&gt;"",_xlfn.IFNA(VLOOKUP($B1727,'Node Details'!$B:$U,C$1,0),"Check"),"")</f>
        <v>0000CM404-CM4040108</v>
      </c>
      <c r="D1727" s="74" t="str">
        <f>IF($B1727&lt;&gt;"",_xlfn.IFNA(VLOOKUP($B1727,'Node Details'!$B:$U,D$1,0),"Check"),"")</f>
        <v>CM4</v>
      </c>
      <c r="E1727" s="74" t="str">
        <f>IF($B1727&lt;&gt;"",_xlfn.IFNA(VLOOKUP($B1727,'Node Details'!$B:$U,E$1,0),"Check"),"")</f>
        <v>Airtel</v>
      </c>
      <c r="F1727" s="76">
        <v>46148</v>
      </c>
      <c r="G1727" s="74"/>
      <c r="H1727" s="10" t="s">
        <v>1248</v>
      </c>
      <c r="I1727" s="9">
        <v>1</v>
      </c>
      <c r="J1727" s="9">
        <v>950</v>
      </c>
      <c r="K1727" s="77">
        <f t="shared" si="119"/>
        <v>950</v>
      </c>
      <c r="L1727" s="76">
        <v>46142</v>
      </c>
      <c r="N1727" s="83"/>
      <c r="O1727" s="84"/>
      <c r="P1727" s="81"/>
      <c r="Q1727" s="81"/>
      <c r="R1727" s="81"/>
      <c r="S1727" s="81"/>
      <c r="T1727" s="85"/>
      <c r="U1727" s="81"/>
      <c r="V1727" s="81"/>
      <c r="W1727" s="123">
        <f t="shared" si="120"/>
        <v>0</v>
      </c>
      <c r="X1727" s="123" t="s">
        <v>84</v>
      </c>
      <c r="Y1727" s="114" t="s">
        <v>1128</v>
      </c>
    </row>
    <row r="1728" spans="1:25" s="24" customFormat="1" ht="11.1" customHeight="1">
      <c r="A1728" s="74">
        <f t="shared" si="118"/>
        <v>1726</v>
      </c>
      <c r="B1728" s="75" t="s">
        <v>844</v>
      </c>
      <c r="C1728" s="74" t="str">
        <f>IF($B1728&lt;&gt;"",_xlfn.IFNA(VLOOKUP($B1728,'Node Details'!$B:$U,C$1,0),"Check"),"")</f>
        <v>0000CM404-CM4040108</v>
      </c>
      <c r="D1728" s="74" t="str">
        <f>IF($B1728&lt;&gt;"",_xlfn.IFNA(VLOOKUP($B1728,'Node Details'!$B:$U,D$1,0),"Check"),"")</f>
        <v>CM4</v>
      </c>
      <c r="E1728" s="74" t="str">
        <f>IF($B1728&lt;&gt;"",_xlfn.IFNA(VLOOKUP($B1728,'Node Details'!$B:$U,E$1,0),"Check"),"")</f>
        <v>Airtel</v>
      </c>
      <c r="F1728" s="76">
        <v>46148</v>
      </c>
      <c r="G1728" s="74"/>
      <c r="H1728" s="10" t="s">
        <v>1248</v>
      </c>
      <c r="I1728" s="9">
        <v>1</v>
      </c>
      <c r="J1728" s="9">
        <v>950</v>
      </c>
      <c r="K1728" s="77">
        <f t="shared" si="119"/>
        <v>950</v>
      </c>
      <c r="L1728" s="76">
        <v>46142</v>
      </c>
      <c r="N1728" s="83"/>
      <c r="O1728" s="84"/>
      <c r="P1728" s="81"/>
      <c r="Q1728" s="81"/>
      <c r="R1728" s="81"/>
      <c r="S1728" s="81"/>
      <c r="T1728" s="85"/>
      <c r="U1728" s="81"/>
      <c r="V1728" s="81"/>
      <c r="W1728" s="123">
        <f t="shared" si="120"/>
        <v>0</v>
      </c>
      <c r="X1728" s="123" t="s">
        <v>84</v>
      </c>
      <c r="Y1728" s="114" t="s">
        <v>1128</v>
      </c>
    </row>
    <row r="1729" spans="1:25" s="24" customFormat="1" ht="11.1" customHeight="1">
      <c r="A1729" s="74">
        <f t="shared" si="118"/>
        <v>1727</v>
      </c>
      <c r="B1729" s="75" t="s">
        <v>1216</v>
      </c>
      <c r="C1729" s="74" t="str">
        <f>IF($B1729&lt;&gt;"",_xlfn.IFNA(VLOOKUP($B1729,'Node Details'!$B:$U,C$1,0),"Check"),"")</f>
        <v>0000CM408-CM4080104</v>
      </c>
      <c r="D1729" s="74" t="str">
        <f>IF($B1729&lt;&gt;"",_xlfn.IFNA(VLOOKUP($B1729,'Node Details'!$B:$U,D$1,0),"Check"),"")</f>
        <v>CM4</v>
      </c>
      <c r="E1729" s="74" t="str">
        <f>IF($B1729&lt;&gt;"",_xlfn.IFNA(VLOOKUP($B1729,'Node Details'!$B:$U,E$1,0),"Check"),"")</f>
        <v>Airtel</v>
      </c>
      <c r="F1729" s="76">
        <v>46148</v>
      </c>
      <c r="G1729" s="74"/>
      <c r="H1729" s="10" t="s">
        <v>1248</v>
      </c>
      <c r="I1729" s="9">
        <v>1</v>
      </c>
      <c r="J1729" s="9">
        <v>950</v>
      </c>
      <c r="K1729" s="77">
        <f t="shared" si="119"/>
        <v>950</v>
      </c>
      <c r="L1729" s="76">
        <v>46142</v>
      </c>
      <c r="N1729" s="83"/>
      <c r="O1729" s="84"/>
      <c r="P1729" s="81"/>
      <c r="Q1729" s="81"/>
      <c r="R1729" s="81"/>
      <c r="S1729" s="81"/>
      <c r="T1729" s="85"/>
      <c r="U1729" s="81"/>
      <c r="V1729" s="81"/>
      <c r="W1729" s="123">
        <f t="shared" si="120"/>
        <v>0</v>
      </c>
      <c r="X1729" s="123" t="s">
        <v>84</v>
      </c>
      <c r="Y1729" s="114" t="s">
        <v>1128</v>
      </c>
    </row>
    <row r="1730" spans="1:25" s="24" customFormat="1" ht="11.1" customHeight="1">
      <c r="A1730" s="74">
        <f t="shared" si="118"/>
        <v>1728</v>
      </c>
      <c r="B1730" s="75" t="s">
        <v>1217</v>
      </c>
      <c r="C1730" s="74" t="str">
        <f>IF($B1730&lt;&gt;"",_xlfn.IFNA(VLOOKUP($B1730,'Node Details'!$B:$U,C$1,0),"Check"),"")</f>
        <v>0000CM408-CM4080104</v>
      </c>
      <c r="D1730" s="74" t="str">
        <f>IF($B1730&lt;&gt;"",_xlfn.IFNA(VLOOKUP($B1730,'Node Details'!$B:$U,D$1,0),"Check"),"")</f>
        <v>CM4</v>
      </c>
      <c r="E1730" s="74" t="str">
        <f>IF($B1730&lt;&gt;"",_xlfn.IFNA(VLOOKUP($B1730,'Node Details'!$B:$U,E$1,0),"Check"),"")</f>
        <v>Airtel</v>
      </c>
      <c r="F1730" s="76">
        <v>46148</v>
      </c>
      <c r="G1730" s="74"/>
      <c r="H1730" s="10" t="s">
        <v>1248</v>
      </c>
      <c r="I1730" s="9">
        <v>1</v>
      </c>
      <c r="J1730" s="9">
        <v>950</v>
      </c>
      <c r="K1730" s="77">
        <f t="shared" si="119"/>
        <v>950</v>
      </c>
      <c r="L1730" s="76">
        <v>46142</v>
      </c>
      <c r="N1730" s="83"/>
      <c r="O1730" s="84"/>
      <c r="P1730" s="81"/>
      <c r="Q1730" s="81"/>
      <c r="R1730" s="81"/>
      <c r="S1730" s="81"/>
      <c r="T1730" s="85"/>
      <c r="U1730" s="81"/>
      <c r="V1730" s="81"/>
      <c r="W1730" s="123">
        <f t="shared" si="120"/>
        <v>0</v>
      </c>
      <c r="X1730" s="123" t="s">
        <v>84</v>
      </c>
      <c r="Y1730" s="114" t="s">
        <v>1128</v>
      </c>
    </row>
    <row r="1731" spans="1:25" s="24" customFormat="1" ht="11.1" customHeight="1">
      <c r="A1731" s="74">
        <f t="shared" si="118"/>
        <v>1729</v>
      </c>
      <c r="B1731" s="75" t="s">
        <v>1218</v>
      </c>
      <c r="C1731" s="74" t="str">
        <f>IF($B1731&lt;&gt;"",_xlfn.IFNA(VLOOKUP($B1731,'Node Details'!$B:$U,C$1,0),"Check"),"")</f>
        <v>0000CM408-CM4080104</v>
      </c>
      <c r="D1731" s="74" t="str">
        <f>IF($B1731&lt;&gt;"",_xlfn.IFNA(VLOOKUP($B1731,'Node Details'!$B:$U,D$1,0),"Check"),"")</f>
        <v>CM4</v>
      </c>
      <c r="E1731" s="74" t="str">
        <f>IF($B1731&lt;&gt;"",_xlfn.IFNA(VLOOKUP($B1731,'Node Details'!$B:$U,E$1,0),"Check"),"")</f>
        <v>Airtel</v>
      </c>
      <c r="F1731" s="76">
        <v>46148</v>
      </c>
      <c r="G1731" s="74"/>
      <c r="H1731" s="10" t="s">
        <v>1248</v>
      </c>
      <c r="I1731" s="9">
        <v>1</v>
      </c>
      <c r="J1731" s="9">
        <v>950</v>
      </c>
      <c r="K1731" s="77">
        <f t="shared" si="119"/>
        <v>950</v>
      </c>
      <c r="L1731" s="76">
        <v>46142</v>
      </c>
      <c r="N1731" s="83"/>
      <c r="O1731" s="84"/>
      <c r="P1731" s="81"/>
      <c r="Q1731" s="81"/>
      <c r="R1731" s="81"/>
      <c r="S1731" s="81"/>
      <c r="T1731" s="85"/>
      <c r="U1731" s="81"/>
      <c r="V1731" s="81"/>
      <c r="W1731" s="123">
        <f t="shared" si="120"/>
        <v>0</v>
      </c>
      <c r="X1731" s="123" t="s">
        <v>84</v>
      </c>
      <c r="Y1731" s="114" t="s">
        <v>1128</v>
      </c>
    </row>
    <row r="1732" spans="1:25" s="24" customFormat="1" ht="11.1" customHeight="1">
      <c r="A1732" s="74">
        <f t="shared" ref="A1732:A1795" si="121">A1731+1</f>
        <v>1730</v>
      </c>
      <c r="B1732" s="75" t="s">
        <v>846</v>
      </c>
      <c r="C1732" s="74" t="str">
        <f>IF($B1732&lt;&gt;"",_xlfn.IFNA(VLOOKUP($B1732,'Node Details'!$B:$U,C$1,0),"Check"),"")</f>
        <v>0000CM408-CM4080104</v>
      </c>
      <c r="D1732" s="74" t="str">
        <f>IF($B1732&lt;&gt;"",_xlfn.IFNA(VLOOKUP($B1732,'Node Details'!$B:$U,D$1,0),"Check"),"")</f>
        <v>CM4</v>
      </c>
      <c r="E1732" s="74" t="str">
        <f>IF($B1732&lt;&gt;"",_xlfn.IFNA(VLOOKUP($B1732,'Node Details'!$B:$U,E$1,0),"Check"),"")</f>
        <v>Airtel</v>
      </c>
      <c r="F1732" s="76">
        <v>46148</v>
      </c>
      <c r="G1732" s="74"/>
      <c r="H1732" s="10" t="s">
        <v>1248</v>
      </c>
      <c r="I1732" s="9">
        <v>1</v>
      </c>
      <c r="J1732" s="9">
        <v>950</v>
      </c>
      <c r="K1732" s="77">
        <f t="shared" si="119"/>
        <v>950</v>
      </c>
      <c r="L1732" s="76">
        <v>46142</v>
      </c>
      <c r="N1732" s="83"/>
      <c r="O1732" s="84"/>
      <c r="P1732" s="81"/>
      <c r="Q1732" s="81"/>
      <c r="R1732" s="81"/>
      <c r="S1732" s="81"/>
      <c r="T1732" s="85"/>
      <c r="U1732" s="81"/>
      <c r="V1732" s="81"/>
      <c r="W1732" s="123">
        <f t="shared" si="120"/>
        <v>0</v>
      </c>
      <c r="X1732" s="123" t="s">
        <v>84</v>
      </c>
      <c r="Y1732" s="114" t="s">
        <v>1128</v>
      </c>
    </row>
    <row r="1733" spans="1:25" s="24" customFormat="1" ht="11.1" customHeight="1">
      <c r="A1733" s="74">
        <f t="shared" si="121"/>
        <v>1731</v>
      </c>
      <c r="B1733" s="75" t="s">
        <v>1219</v>
      </c>
      <c r="C1733" s="74" t="str">
        <f>IF($B1733&lt;&gt;"",_xlfn.IFNA(VLOOKUP($B1733,'Node Details'!$B:$U,C$1,0),"Check"),"")</f>
        <v>0000CM408-CM4080108</v>
      </c>
      <c r="D1733" s="74" t="str">
        <f>IF($B1733&lt;&gt;"",_xlfn.IFNA(VLOOKUP($B1733,'Node Details'!$B:$U,D$1,0),"Check"),"")</f>
        <v>CM4</v>
      </c>
      <c r="E1733" s="74" t="str">
        <f>IF($B1733&lt;&gt;"",_xlfn.IFNA(VLOOKUP($B1733,'Node Details'!$B:$U,E$1,0),"Check"),"")</f>
        <v>Airtel</v>
      </c>
      <c r="F1733" s="76">
        <v>46148</v>
      </c>
      <c r="G1733" s="74"/>
      <c r="H1733" s="10" t="s">
        <v>1248</v>
      </c>
      <c r="I1733" s="9">
        <v>1</v>
      </c>
      <c r="J1733" s="9">
        <v>950</v>
      </c>
      <c r="K1733" s="77">
        <f t="shared" si="119"/>
        <v>950</v>
      </c>
      <c r="L1733" s="76">
        <v>46142</v>
      </c>
      <c r="N1733" s="83"/>
      <c r="O1733" s="84"/>
      <c r="P1733" s="81"/>
      <c r="Q1733" s="81"/>
      <c r="R1733" s="81"/>
      <c r="S1733" s="81"/>
      <c r="T1733" s="85"/>
      <c r="U1733" s="81"/>
      <c r="V1733" s="81"/>
      <c r="W1733" s="123">
        <f t="shared" si="120"/>
        <v>0</v>
      </c>
      <c r="X1733" s="123" t="s">
        <v>84</v>
      </c>
      <c r="Y1733" s="114" t="s">
        <v>1128</v>
      </c>
    </row>
    <row r="1734" spans="1:25" s="24" customFormat="1" ht="11.1" customHeight="1">
      <c r="A1734" s="74">
        <f t="shared" si="121"/>
        <v>1732</v>
      </c>
      <c r="B1734" s="75" t="s">
        <v>848</v>
      </c>
      <c r="C1734" s="74" t="str">
        <f>IF($B1734&lt;&gt;"",_xlfn.IFNA(VLOOKUP($B1734,'Node Details'!$B:$U,C$1,0),"Check"),"")</f>
        <v>0000CM408-CM4080108</v>
      </c>
      <c r="D1734" s="74" t="str">
        <f>IF($B1734&lt;&gt;"",_xlfn.IFNA(VLOOKUP($B1734,'Node Details'!$B:$U,D$1,0),"Check"),"")</f>
        <v>CM4</v>
      </c>
      <c r="E1734" s="74" t="str">
        <f>IF($B1734&lt;&gt;"",_xlfn.IFNA(VLOOKUP($B1734,'Node Details'!$B:$U,E$1,0),"Check"),"")</f>
        <v>Airtel</v>
      </c>
      <c r="F1734" s="76">
        <v>46148</v>
      </c>
      <c r="G1734" s="74"/>
      <c r="H1734" s="10" t="s">
        <v>1248</v>
      </c>
      <c r="I1734" s="9">
        <v>1</v>
      </c>
      <c r="J1734" s="9">
        <v>950</v>
      </c>
      <c r="K1734" s="77">
        <f t="shared" si="119"/>
        <v>950</v>
      </c>
      <c r="L1734" s="76">
        <v>46142</v>
      </c>
      <c r="N1734" s="83"/>
      <c r="O1734" s="84"/>
      <c r="P1734" s="81"/>
      <c r="Q1734" s="81"/>
      <c r="R1734" s="81"/>
      <c r="S1734" s="81"/>
      <c r="T1734" s="85"/>
      <c r="U1734" s="81"/>
      <c r="V1734" s="81"/>
      <c r="W1734" s="123">
        <f t="shared" si="120"/>
        <v>0</v>
      </c>
      <c r="X1734" s="123" t="s">
        <v>84</v>
      </c>
      <c r="Y1734" s="114" t="s">
        <v>1128</v>
      </c>
    </row>
    <row r="1735" spans="1:25" s="24" customFormat="1" ht="11.1" customHeight="1">
      <c r="A1735" s="74">
        <f t="shared" si="121"/>
        <v>1733</v>
      </c>
      <c r="B1735" s="75" t="s">
        <v>850</v>
      </c>
      <c r="C1735" s="74" t="str">
        <f>IF($B1735&lt;&gt;"",_xlfn.IFNA(VLOOKUP($B1735,'Node Details'!$B:$U,C$1,0),"Check"),"")</f>
        <v>0000CM408-CM4080105</v>
      </c>
      <c r="D1735" s="74" t="str">
        <f>IF($B1735&lt;&gt;"",_xlfn.IFNA(VLOOKUP($B1735,'Node Details'!$B:$U,D$1,0),"Check"),"")</f>
        <v>CM4</v>
      </c>
      <c r="E1735" s="74" t="str">
        <f>IF($B1735&lt;&gt;"",_xlfn.IFNA(VLOOKUP($B1735,'Node Details'!$B:$U,E$1,0),"Check"),"")</f>
        <v>Airtel</v>
      </c>
      <c r="F1735" s="76">
        <v>46148</v>
      </c>
      <c r="G1735" s="74"/>
      <c r="H1735" s="10" t="s">
        <v>1248</v>
      </c>
      <c r="I1735" s="9">
        <v>1</v>
      </c>
      <c r="J1735" s="9">
        <v>950</v>
      </c>
      <c r="K1735" s="77">
        <f t="shared" si="119"/>
        <v>950</v>
      </c>
      <c r="L1735" s="76">
        <v>46142</v>
      </c>
      <c r="N1735" s="83"/>
      <c r="O1735" s="84"/>
      <c r="P1735" s="81"/>
      <c r="Q1735" s="81"/>
      <c r="R1735" s="81"/>
      <c r="S1735" s="81"/>
      <c r="T1735" s="85"/>
      <c r="U1735" s="81"/>
      <c r="V1735" s="81"/>
      <c r="W1735" s="123">
        <f t="shared" si="120"/>
        <v>0</v>
      </c>
      <c r="X1735" s="123" t="s">
        <v>84</v>
      </c>
      <c r="Y1735" s="114" t="s">
        <v>1128</v>
      </c>
    </row>
    <row r="1736" spans="1:25" s="24" customFormat="1" ht="11.1" customHeight="1">
      <c r="A1736" s="74">
        <f t="shared" si="121"/>
        <v>1734</v>
      </c>
      <c r="B1736" s="75" t="s">
        <v>852</v>
      </c>
      <c r="C1736" s="74" t="str">
        <f>IF($B1736&lt;&gt;"",_xlfn.IFNA(VLOOKUP($B1736,'Node Details'!$B:$U,C$1,0),"Check"),"")</f>
        <v>0000CM408-CM4080107</v>
      </c>
      <c r="D1736" s="74" t="str">
        <f>IF($B1736&lt;&gt;"",_xlfn.IFNA(VLOOKUP($B1736,'Node Details'!$B:$U,D$1,0),"Check"),"")</f>
        <v>CM4</v>
      </c>
      <c r="E1736" s="74" t="str">
        <f>IF($B1736&lt;&gt;"",_xlfn.IFNA(VLOOKUP($B1736,'Node Details'!$B:$U,E$1,0),"Check"),"")</f>
        <v>Airtel</v>
      </c>
      <c r="F1736" s="76">
        <v>46148</v>
      </c>
      <c r="G1736" s="74"/>
      <c r="H1736" s="10" t="s">
        <v>1248</v>
      </c>
      <c r="I1736" s="9">
        <v>1</v>
      </c>
      <c r="J1736" s="9">
        <v>950</v>
      </c>
      <c r="K1736" s="77">
        <f t="shared" si="119"/>
        <v>950</v>
      </c>
      <c r="L1736" s="76">
        <v>46142</v>
      </c>
      <c r="N1736" s="83"/>
      <c r="O1736" s="84"/>
      <c r="P1736" s="81"/>
      <c r="Q1736" s="81"/>
      <c r="R1736" s="81"/>
      <c r="S1736" s="81"/>
      <c r="T1736" s="85"/>
      <c r="U1736" s="81"/>
      <c r="V1736" s="81"/>
      <c r="W1736" s="123">
        <f t="shared" si="120"/>
        <v>0</v>
      </c>
      <c r="X1736" s="123" t="s">
        <v>84</v>
      </c>
      <c r="Y1736" s="114" t="s">
        <v>1128</v>
      </c>
    </row>
    <row r="1737" spans="1:25" s="24" customFormat="1" ht="11.1" customHeight="1">
      <c r="A1737" s="74">
        <f t="shared" si="121"/>
        <v>1735</v>
      </c>
      <c r="B1737" s="75" t="s">
        <v>855</v>
      </c>
      <c r="C1737" s="74" t="str">
        <f>IF($B1737&lt;&gt;"",_xlfn.IFNA(VLOOKUP($B1737,'Node Details'!$B:$U,C$1,0),"Check"),"")</f>
        <v>0000CM409-CM4090103</v>
      </c>
      <c r="D1737" s="74" t="str">
        <f>IF($B1737&lt;&gt;"",_xlfn.IFNA(VLOOKUP($B1737,'Node Details'!$B:$U,D$1,0),"Check"),"")</f>
        <v>CM4</v>
      </c>
      <c r="E1737" s="74" t="str">
        <f>IF($B1737&lt;&gt;"",_xlfn.IFNA(VLOOKUP($B1737,'Node Details'!$B:$U,E$1,0),"Check"),"")</f>
        <v>Airtel</v>
      </c>
      <c r="F1737" s="76">
        <v>46148</v>
      </c>
      <c r="G1737" s="74"/>
      <c r="H1737" s="10" t="s">
        <v>1248</v>
      </c>
      <c r="I1737" s="9">
        <v>1</v>
      </c>
      <c r="J1737" s="9">
        <v>950</v>
      </c>
      <c r="K1737" s="77">
        <f t="shared" si="119"/>
        <v>950</v>
      </c>
      <c r="L1737" s="76">
        <v>46142</v>
      </c>
      <c r="N1737" s="83"/>
      <c r="O1737" s="84"/>
      <c r="P1737" s="81"/>
      <c r="Q1737" s="81"/>
      <c r="R1737" s="81"/>
      <c r="S1737" s="81"/>
      <c r="T1737" s="85"/>
      <c r="U1737" s="81"/>
      <c r="V1737" s="81"/>
      <c r="W1737" s="123">
        <f t="shared" si="120"/>
        <v>0</v>
      </c>
      <c r="X1737" s="123" t="s">
        <v>84</v>
      </c>
      <c r="Y1737" s="114" t="s">
        <v>1128</v>
      </c>
    </row>
    <row r="1738" spans="1:25" s="24" customFormat="1" ht="11.1" customHeight="1">
      <c r="A1738" s="74">
        <f t="shared" si="121"/>
        <v>1736</v>
      </c>
      <c r="B1738" s="75" t="s">
        <v>857</v>
      </c>
      <c r="C1738" s="74" t="str">
        <f>IF($B1738&lt;&gt;"",_xlfn.IFNA(VLOOKUP($B1738,'Node Details'!$B:$U,C$1,0),"Check"),"")</f>
        <v>0000CM409-CM4090101</v>
      </c>
      <c r="D1738" s="74" t="str">
        <f>IF($B1738&lt;&gt;"",_xlfn.IFNA(VLOOKUP($B1738,'Node Details'!$B:$U,D$1,0),"Check"),"")</f>
        <v>CM4</v>
      </c>
      <c r="E1738" s="74" t="str">
        <f>IF($B1738&lt;&gt;"",_xlfn.IFNA(VLOOKUP($B1738,'Node Details'!$B:$U,E$1,0),"Check"),"")</f>
        <v>Airtel</v>
      </c>
      <c r="F1738" s="76">
        <v>46148</v>
      </c>
      <c r="G1738" s="74"/>
      <c r="H1738" s="10" t="s">
        <v>1248</v>
      </c>
      <c r="I1738" s="9">
        <v>1</v>
      </c>
      <c r="J1738" s="9">
        <v>950</v>
      </c>
      <c r="K1738" s="77">
        <f t="shared" si="119"/>
        <v>950</v>
      </c>
      <c r="L1738" s="76">
        <v>46142</v>
      </c>
      <c r="N1738" s="83"/>
      <c r="O1738" s="84"/>
      <c r="P1738" s="81"/>
      <c r="Q1738" s="81"/>
      <c r="R1738" s="81"/>
      <c r="S1738" s="81"/>
      <c r="T1738" s="85"/>
      <c r="U1738" s="81"/>
      <c r="V1738" s="81"/>
      <c r="W1738" s="123">
        <f t="shared" si="120"/>
        <v>0</v>
      </c>
      <c r="X1738" s="123" t="s">
        <v>84</v>
      </c>
      <c r="Y1738" s="114" t="s">
        <v>1128</v>
      </c>
    </row>
    <row r="1739" spans="1:25" s="24" customFormat="1" ht="11.1" customHeight="1">
      <c r="A1739" s="74">
        <f t="shared" si="121"/>
        <v>1737</v>
      </c>
      <c r="B1739" s="75" t="s">
        <v>859</v>
      </c>
      <c r="C1739" s="74" t="str">
        <f>IF($B1739&lt;&gt;"",_xlfn.IFNA(VLOOKUP($B1739,'Node Details'!$B:$U,C$1,0),"Check"),"")</f>
        <v>0000CM409-CM4090102</v>
      </c>
      <c r="D1739" s="74" t="str">
        <f>IF($B1739&lt;&gt;"",_xlfn.IFNA(VLOOKUP($B1739,'Node Details'!$B:$U,D$1,0),"Check"),"")</f>
        <v>CM4</v>
      </c>
      <c r="E1739" s="74" t="str">
        <f>IF($B1739&lt;&gt;"",_xlfn.IFNA(VLOOKUP($B1739,'Node Details'!$B:$U,E$1,0),"Check"),"")</f>
        <v>Airtel</v>
      </c>
      <c r="F1739" s="76">
        <v>46148</v>
      </c>
      <c r="G1739" s="74"/>
      <c r="H1739" s="10" t="s">
        <v>1248</v>
      </c>
      <c r="I1739" s="9">
        <v>1</v>
      </c>
      <c r="J1739" s="9">
        <v>950</v>
      </c>
      <c r="K1739" s="77">
        <f t="shared" si="119"/>
        <v>950</v>
      </c>
      <c r="L1739" s="76">
        <v>46142</v>
      </c>
      <c r="N1739" s="83"/>
      <c r="O1739" s="84"/>
      <c r="P1739" s="81"/>
      <c r="Q1739" s="81"/>
      <c r="R1739" s="81"/>
      <c r="S1739" s="81"/>
      <c r="T1739" s="85"/>
      <c r="U1739" s="81"/>
      <c r="V1739" s="81"/>
      <c r="W1739" s="123">
        <f t="shared" si="120"/>
        <v>0</v>
      </c>
      <c r="X1739" s="123" t="s">
        <v>84</v>
      </c>
      <c r="Y1739" s="114" t="s">
        <v>1128</v>
      </c>
    </row>
    <row r="1740" spans="1:25" s="24" customFormat="1" ht="11.1" customHeight="1">
      <c r="A1740" s="74">
        <f t="shared" si="121"/>
        <v>1738</v>
      </c>
      <c r="B1740" s="75" t="s">
        <v>861</v>
      </c>
      <c r="C1740" s="74" t="str">
        <f>IF($B1740&lt;&gt;"",_xlfn.IFNA(VLOOKUP($B1740,'Node Details'!$B:$U,C$1,0),"Check"),"")</f>
        <v>0000CM409-CM4090104</v>
      </c>
      <c r="D1740" s="74" t="str">
        <f>IF($B1740&lt;&gt;"",_xlfn.IFNA(VLOOKUP($B1740,'Node Details'!$B:$U,D$1,0),"Check"),"")</f>
        <v>CM4</v>
      </c>
      <c r="E1740" s="74" t="str">
        <f>IF($B1740&lt;&gt;"",_xlfn.IFNA(VLOOKUP($B1740,'Node Details'!$B:$U,E$1,0),"Check"),"")</f>
        <v>Airtel</v>
      </c>
      <c r="F1740" s="76">
        <v>46148</v>
      </c>
      <c r="G1740" s="74"/>
      <c r="H1740" s="10" t="s">
        <v>1248</v>
      </c>
      <c r="I1740" s="9">
        <v>1</v>
      </c>
      <c r="J1740" s="9">
        <v>950</v>
      </c>
      <c r="K1740" s="77">
        <f t="shared" si="119"/>
        <v>950</v>
      </c>
      <c r="L1740" s="76">
        <v>46142</v>
      </c>
      <c r="N1740" s="83"/>
      <c r="O1740" s="84"/>
      <c r="P1740" s="81"/>
      <c r="Q1740" s="81"/>
      <c r="R1740" s="81"/>
      <c r="S1740" s="81"/>
      <c r="T1740" s="85"/>
      <c r="U1740" s="81"/>
      <c r="V1740" s="81"/>
      <c r="W1740" s="123">
        <f t="shared" si="120"/>
        <v>0</v>
      </c>
      <c r="X1740" s="123" t="s">
        <v>84</v>
      </c>
      <c r="Y1740" s="114" t="s">
        <v>1128</v>
      </c>
    </row>
    <row r="1741" spans="1:25" s="24" customFormat="1" ht="11.1" customHeight="1">
      <c r="A1741" s="74">
        <f t="shared" si="121"/>
        <v>1739</v>
      </c>
      <c r="B1741" s="75" t="s">
        <v>1220</v>
      </c>
      <c r="C1741" s="74" t="str">
        <f>IF($B1741&lt;&gt;"",_xlfn.IFNA(VLOOKUP($B1741,'Node Details'!$B:$U,C$1,0),"Check"),"")</f>
        <v>0000CM409-CM4090106</v>
      </c>
      <c r="D1741" s="74" t="str">
        <f>IF($B1741&lt;&gt;"",_xlfn.IFNA(VLOOKUP($B1741,'Node Details'!$B:$U,D$1,0),"Check"),"")</f>
        <v>CM4</v>
      </c>
      <c r="E1741" s="74" t="str">
        <f>IF($B1741&lt;&gt;"",_xlfn.IFNA(VLOOKUP($B1741,'Node Details'!$B:$U,E$1,0),"Check"),"")</f>
        <v>Airtel</v>
      </c>
      <c r="F1741" s="76">
        <v>46148</v>
      </c>
      <c r="G1741" s="74"/>
      <c r="H1741" s="10" t="s">
        <v>1248</v>
      </c>
      <c r="I1741" s="9">
        <v>1</v>
      </c>
      <c r="J1741" s="9">
        <v>950</v>
      </c>
      <c r="K1741" s="77">
        <f t="shared" si="119"/>
        <v>950</v>
      </c>
      <c r="L1741" s="76">
        <v>46142</v>
      </c>
      <c r="N1741" s="83"/>
      <c r="O1741" s="84"/>
      <c r="P1741" s="81"/>
      <c r="Q1741" s="81"/>
      <c r="R1741" s="81"/>
      <c r="S1741" s="81"/>
      <c r="T1741" s="85"/>
      <c r="U1741" s="81"/>
      <c r="V1741" s="81"/>
      <c r="W1741" s="123">
        <f t="shared" si="120"/>
        <v>0</v>
      </c>
      <c r="X1741" s="123" t="s">
        <v>84</v>
      </c>
      <c r="Y1741" s="114" t="s">
        <v>1128</v>
      </c>
    </row>
    <row r="1742" spans="1:25" s="24" customFormat="1" ht="11.1" customHeight="1">
      <c r="A1742" s="74">
        <f t="shared" si="121"/>
        <v>1740</v>
      </c>
      <c r="B1742" s="75" t="s">
        <v>863</v>
      </c>
      <c r="C1742" s="74" t="str">
        <f>IF($B1742&lt;&gt;"",_xlfn.IFNA(VLOOKUP($B1742,'Node Details'!$B:$U,C$1,0),"Check"),"")</f>
        <v>0000CM409-CM4090106</v>
      </c>
      <c r="D1742" s="74" t="str">
        <f>IF($B1742&lt;&gt;"",_xlfn.IFNA(VLOOKUP($B1742,'Node Details'!$B:$U,D$1,0),"Check"),"")</f>
        <v>CM4</v>
      </c>
      <c r="E1742" s="74" t="str">
        <f>IF($B1742&lt;&gt;"",_xlfn.IFNA(VLOOKUP($B1742,'Node Details'!$B:$U,E$1,0),"Check"),"")</f>
        <v>Airtel</v>
      </c>
      <c r="F1742" s="76">
        <v>46148</v>
      </c>
      <c r="G1742" s="74"/>
      <c r="H1742" s="10" t="s">
        <v>1248</v>
      </c>
      <c r="I1742" s="9">
        <v>1</v>
      </c>
      <c r="J1742" s="9">
        <v>950</v>
      </c>
      <c r="K1742" s="77">
        <f t="shared" si="119"/>
        <v>950</v>
      </c>
      <c r="L1742" s="76">
        <v>46142</v>
      </c>
      <c r="N1742" s="83"/>
      <c r="O1742" s="84"/>
      <c r="P1742" s="81"/>
      <c r="Q1742" s="81"/>
      <c r="R1742" s="81"/>
      <c r="S1742" s="81"/>
      <c r="T1742" s="85"/>
      <c r="U1742" s="81"/>
      <c r="V1742" s="81"/>
      <c r="W1742" s="123">
        <f t="shared" si="120"/>
        <v>0</v>
      </c>
      <c r="X1742" s="123" t="s">
        <v>84</v>
      </c>
      <c r="Y1742" s="114" t="s">
        <v>1128</v>
      </c>
    </row>
    <row r="1743" spans="1:25" s="24" customFormat="1" ht="11.1" customHeight="1">
      <c r="A1743" s="74">
        <f t="shared" si="121"/>
        <v>1741</v>
      </c>
      <c r="B1743" s="75" t="s">
        <v>866</v>
      </c>
      <c r="C1743" s="74" t="str">
        <f>IF($B1743&lt;&gt;"",_xlfn.IFNA(VLOOKUP($B1743,'Node Details'!$B:$U,C$1,0),"Check"),"")</f>
        <v>0000CM410-CM4100105</v>
      </c>
      <c r="D1743" s="74" t="str">
        <f>IF($B1743&lt;&gt;"",_xlfn.IFNA(VLOOKUP($B1743,'Node Details'!$B:$U,D$1,0),"Check"),"")</f>
        <v>CM4</v>
      </c>
      <c r="E1743" s="74" t="str">
        <f>IF($B1743&lt;&gt;"",_xlfn.IFNA(VLOOKUP($B1743,'Node Details'!$B:$U,E$1,0),"Check"),"")</f>
        <v>Airtel</v>
      </c>
      <c r="F1743" s="76">
        <v>46148</v>
      </c>
      <c r="G1743" s="74"/>
      <c r="H1743" s="10" t="s">
        <v>1248</v>
      </c>
      <c r="I1743" s="9">
        <v>1</v>
      </c>
      <c r="J1743" s="9">
        <v>950</v>
      </c>
      <c r="K1743" s="77">
        <f t="shared" si="119"/>
        <v>950</v>
      </c>
      <c r="L1743" s="76">
        <v>46142</v>
      </c>
      <c r="N1743" s="83"/>
      <c r="O1743" s="84"/>
      <c r="P1743" s="81"/>
      <c r="Q1743" s="81"/>
      <c r="R1743" s="81"/>
      <c r="S1743" s="81"/>
      <c r="T1743" s="85"/>
      <c r="U1743" s="81"/>
      <c r="V1743" s="81"/>
      <c r="W1743" s="123">
        <f t="shared" si="120"/>
        <v>0</v>
      </c>
      <c r="X1743" s="123" t="s">
        <v>84</v>
      </c>
      <c r="Y1743" s="114" t="s">
        <v>1128</v>
      </c>
    </row>
    <row r="1744" spans="1:25" s="24" customFormat="1" ht="11.1" customHeight="1">
      <c r="A1744" s="74">
        <f t="shared" si="121"/>
        <v>1742</v>
      </c>
      <c r="B1744" s="75" t="s">
        <v>868</v>
      </c>
      <c r="C1744" s="74" t="str">
        <f>IF($B1744&lt;&gt;"",_xlfn.IFNA(VLOOKUP($B1744,'Node Details'!$B:$U,C$1,0),"Check"),"")</f>
        <v>0000CM410-CM4100106</v>
      </c>
      <c r="D1744" s="74" t="str">
        <f>IF($B1744&lt;&gt;"",_xlfn.IFNA(VLOOKUP($B1744,'Node Details'!$B:$U,D$1,0),"Check"),"")</f>
        <v>CM4</v>
      </c>
      <c r="E1744" s="74" t="str">
        <f>IF($B1744&lt;&gt;"",_xlfn.IFNA(VLOOKUP($B1744,'Node Details'!$B:$U,E$1,0),"Check"),"")</f>
        <v>Airtel</v>
      </c>
      <c r="F1744" s="76">
        <v>46148</v>
      </c>
      <c r="G1744" s="74"/>
      <c r="H1744" s="10" t="s">
        <v>1248</v>
      </c>
      <c r="I1744" s="9">
        <v>1</v>
      </c>
      <c r="J1744" s="9">
        <v>950</v>
      </c>
      <c r="K1744" s="77">
        <f t="shared" si="119"/>
        <v>950</v>
      </c>
      <c r="L1744" s="76">
        <v>46142</v>
      </c>
      <c r="N1744" s="83"/>
      <c r="O1744" s="84"/>
      <c r="P1744" s="81"/>
      <c r="Q1744" s="81"/>
      <c r="R1744" s="81"/>
      <c r="S1744" s="81"/>
      <c r="T1744" s="85"/>
      <c r="U1744" s="81"/>
      <c r="V1744" s="81"/>
      <c r="W1744" s="123">
        <f t="shared" si="120"/>
        <v>0</v>
      </c>
      <c r="X1744" s="123" t="s">
        <v>84</v>
      </c>
      <c r="Y1744" s="114" t="s">
        <v>1128</v>
      </c>
    </row>
    <row r="1745" spans="1:25" s="24" customFormat="1" ht="11.1" customHeight="1">
      <c r="A1745" s="74">
        <f t="shared" si="121"/>
        <v>1743</v>
      </c>
      <c r="B1745" s="75" t="s">
        <v>870</v>
      </c>
      <c r="C1745" s="74" t="str">
        <f>IF($B1745&lt;&gt;"",_xlfn.IFNA(VLOOKUP($B1745,'Node Details'!$B:$U,C$1,0),"Check"),"")</f>
        <v>0000CM410-CM4100107</v>
      </c>
      <c r="D1745" s="74" t="str">
        <f>IF($B1745&lt;&gt;"",_xlfn.IFNA(VLOOKUP($B1745,'Node Details'!$B:$U,D$1,0),"Check"),"")</f>
        <v>CM4</v>
      </c>
      <c r="E1745" s="74" t="str">
        <f>IF($B1745&lt;&gt;"",_xlfn.IFNA(VLOOKUP($B1745,'Node Details'!$B:$U,E$1,0),"Check"),"")</f>
        <v>Airtel</v>
      </c>
      <c r="F1745" s="76">
        <v>46148</v>
      </c>
      <c r="G1745" s="74"/>
      <c r="H1745" s="10" t="s">
        <v>1248</v>
      </c>
      <c r="I1745" s="9">
        <v>1</v>
      </c>
      <c r="J1745" s="9">
        <v>950</v>
      </c>
      <c r="K1745" s="77">
        <f t="shared" si="119"/>
        <v>950</v>
      </c>
      <c r="L1745" s="76">
        <v>46142</v>
      </c>
      <c r="N1745" s="83"/>
      <c r="O1745" s="84"/>
      <c r="P1745" s="81"/>
      <c r="Q1745" s="81"/>
      <c r="R1745" s="81"/>
      <c r="S1745" s="81"/>
      <c r="T1745" s="85"/>
      <c r="U1745" s="81"/>
      <c r="V1745" s="81"/>
      <c r="W1745" s="123">
        <f t="shared" si="120"/>
        <v>0</v>
      </c>
      <c r="X1745" s="123" t="s">
        <v>84</v>
      </c>
      <c r="Y1745" s="114" t="s">
        <v>1128</v>
      </c>
    </row>
    <row r="1746" spans="1:25" s="24" customFormat="1" ht="11.1" customHeight="1">
      <c r="A1746" s="74">
        <f t="shared" si="121"/>
        <v>1744</v>
      </c>
      <c r="B1746" s="75" t="s">
        <v>872</v>
      </c>
      <c r="C1746" s="74" t="str">
        <f>IF($B1746&lt;&gt;"",_xlfn.IFNA(VLOOKUP($B1746,'Node Details'!$B:$U,C$1,0),"Check"),"")</f>
        <v>0000CM410-CM4100108</v>
      </c>
      <c r="D1746" s="74" t="str">
        <f>IF($B1746&lt;&gt;"",_xlfn.IFNA(VLOOKUP($B1746,'Node Details'!$B:$U,D$1,0),"Check"),"")</f>
        <v>CM4</v>
      </c>
      <c r="E1746" s="74" t="str">
        <f>IF($B1746&lt;&gt;"",_xlfn.IFNA(VLOOKUP($B1746,'Node Details'!$B:$U,E$1,0),"Check"),"")</f>
        <v>Airtel</v>
      </c>
      <c r="F1746" s="76">
        <v>46148</v>
      </c>
      <c r="G1746" s="74"/>
      <c r="H1746" s="10" t="s">
        <v>1248</v>
      </c>
      <c r="I1746" s="9">
        <v>1</v>
      </c>
      <c r="J1746" s="9">
        <v>950</v>
      </c>
      <c r="K1746" s="77">
        <f t="shared" si="119"/>
        <v>950</v>
      </c>
      <c r="L1746" s="76">
        <v>46142</v>
      </c>
      <c r="N1746" s="83"/>
      <c r="O1746" s="84"/>
      <c r="P1746" s="81"/>
      <c r="Q1746" s="81"/>
      <c r="R1746" s="81"/>
      <c r="S1746" s="81"/>
      <c r="T1746" s="85"/>
      <c r="U1746" s="81"/>
      <c r="V1746" s="81"/>
      <c r="W1746" s="123">
        <f t="shared" si="120"/>
        <v>0</v>
      </c>
      <c r="X1746" s="123" t="s">
        <v>84</v>
      </c>
      <c r="Y1746" s="114" t="s">
        <v>1128</v>
      </c>
    </row>
    <row r="1747" spans="1:25" s="24" customFormat="1" ht="11.1" customHeight="1">
      <c r="A1747" s="74">
        <f t="shared" si="121"/>
        <v>1745</v>
      </c>
      <c r="B1747" s="75" t="s">
        <v>874</v>
      </c>
      <c r="C1747" s="74" t="str">
        <f>IF($B1747&lt;&gt;"",_xlfn.IFNA(VLOOKUP($B1747,'Node Details'!$B:$U,C$1,0),"Check"),"")</f>
        <v>0000CM410-CM4100103</v>
      </c>
      <c r="D1747" s="74" t="str">
        <f>IF($B1747&lt;&gt;"",_xlfn.IFNA(VLOOKUP($B1747,'Node Details'!$B:$U,D$1,0),"Check"),"")</f>
        <v>CM4</v>
      </c>
      <c r="E1747" s="74" t="str">
        <f>IF($B1747&lt;&gt;"",_xlfn.IFNA(VLOOKUP($B1747,'Node Details'!$B:$U,E$1,0),"Check"),"")</f>
        <v>Airtel</v>
      </c>
      <c r="F1747" s="76">
        <v>46148</v>
      </c>
      <c r="G1747" s="74"/>
      <c r="H1747" s="10" t="s">
        <v>1248</v>
      </c>
      <c r="I1747" s="9">
        <v>1</v>
      </c>
      <c r="J1747" s="9">
        <v>950</v>
      </c>
      <c r="K1747" s="77">
        <f t="shared" si="119"/>
        <v>950</v>
      </c>
      <c r="L1747" s="76">
        <v>46142</v>
      </c>
      <c r="N1747" s="83"/>
      <c r="O1747" s="84"/>
      <c r="P1747" s="81"/>
      <c r="Q1747" s="81"/>
      <c r="R1747" s="81"/>
      <c r="S1747" s="81"/>
      <c r="T1747" s="85"/>
      <c r="U1747" s="81"/>
      <c r="V1747" s="81"/>
      <c r="W1747" s="123">
        <f t="shared" si="120"/>
        <v>0</v>
      </c>
      <c r="X1747" s="123" t="s">
        <v>84</v>
      </c>
      <c r="Y1747" s="114" t="s">
        <v>1128</v>
      </c>
    </row>
    <row r="1748" spans="1:25" s="24" customFormat="1" ht="11.1" customHeight="1">
      <c r="A1748" s="74">
        <f t="shared" si="121"/>
        <v>1746</v>
      </c>
      <c r="B1748" s="75" t="s">
        <v>876</v>
      </c>
      <c r="C1748" s="74" t="str">
        <f>IF($B1748&lt;&gt;"",_xlfn.IFNA(VLOOKUP($B1748,'Node Details'!$B:$U,C$1,0),"Check"),"")</f>
        <v>0000CM410-CM4100104</v>
      </c>
      <c r="D1748" s="74" t="str">
        <f>IF($B1748&lt;&gt;"",_xlfn.IFNA(VLOOKUP($B1748,'Node Details'!$B:$U,D$1,0),"Check"),"")</f>
        <v>CM4</v>
      </c>
      <c r="E1748" s="74" t="str">
        <f>IF($B1748&lt;&gt;"",_xlfn.IFNA(VLOOKUP($B1748,'Node Details'!$B:$U,E$1,0),"Check"),"")</f>
        <v>Airtel</v>
      </c>
      <c r="F1748" s="76">
        <v>46148</v>
      </c>
      <c r="G1748" s="74"/>
      <c r="H1748" s="10" t="s">
        <v>1248</v>
      </c>
      <c r="I1748" s="9">
        <v>1</v>
      </c>
      <c r="J1748" s="9">
        <v>950</v>
      </c>
      <c r="K1748" s="77">
        <f t="shared" si="119"/>
        <v>950</v>
      </c>
      <c r="L1748" s="76">
        <v>46142</v>
      </c>
      <c r="N1748" s="83"/>
      <c r="O1748" s="84"/>
      <c r="P1748" s="81"/>
      <c r="Q1748" s="81"/>
      <c r="R1748" s="81"/>
      <c r="S1748" s="81"/>
      <c r="T1748" s="85"/>
      <c r="U1748" s="81"/>
      <c r="V1748" s="81"/>
      <c r="W1748" s="123">
        <f t="shared" si="120"/>
        <v>0</v>
      </c>
      <c r="X1748" s="123" t="s">
        <v>84</v>
      </c>
      <c r="Y1748" s="114" t="s">
        <v>1128</v>
      </c>
    </row>
    <row r="1749" spans="1:25" s="24" customFormat="1" ht="11.1" customHeight="1">
      <c r="A1749" s="74">
        <f t="shared" si="121"/>
        <v>1747</v>
      </c>
      <c r="B1749" s="75" t="s">
        <v>878</v>
      </c>
      <c r="C1749" s="74" t="str">
        <f>IF($B1749&lt;&gt;"",_xlfn.IFNA(VLOOKUP($B1749,'Node Details'!$B:$U,C$1,0),"Check"),"")</f>
        <v>0000CM411-CM4110101</v>
      </c>
      <c r="D1749" s="74" t="str">
        <f>IF($B1749&lt;&gt;"",_xlfn.IFNA(VLOOKUP($B1749,'Node Details'!$B:$U,D$1,0),"Check"),"")</f>
        <v>CM4</v>
      </c>
      <c r="E1749" s="74" t="str">
        <f>IF($B1749&lt;&gt;"",_xlfn.IFNA(VLOOKUP($B1749,'Node Details'!$B:$U,E$1,0),"Check"),"")</f>
        <v>Airtel</v>
      </c>
      <c r="F1749" s="76">
        <v>46148</v>
      </c>
      <c r="G1749" s="74"/>
      <c r="H1749" s="10" t="s">
        <v>1248</v>
      </c>
      <c r="I1749" s="9">
        <v>1</v>
      </c>
      <c r="J1749" s="9">
        <v>950</v>
      </c>
      <c r="K1749" s="77">
        <f t="shared" si="119"/>
        <v>950</v>
      </c>
      <c r="L1749" s="76">
        <v>46142</v>
      </c>
      <c r="N1749" s="83"/>
      <c r="O1749" s="84"/>
      <c r="P1749" s="81"/>
      <c r="Q1749" s="81"/>
      <c r="R1749" s="81"/>
      <c r="S1749" s="81"/>
      <c r="T1749" s="85"/>
      <c r="U1749" s="81"/>
      <c r="V1749" s="81"/>
      <c r="W1749" s="123">
        <f t="shared" si="120"/>
        <v>0</v>
      </c>
      <c r="X1749" s="123" t="s">
        <v>84</v>
      </c>
      <c r="Y1749" s="114" t="s">
        <v>1128</v>
      </c>
    </row>
    <row r="1750" spans="1:25" s="24" customFormat="1" ht="11.1" customHeight="1">
      <c r="A1750" s="74">
        <f t="shared" si="121"/>
        <v>1748</v>
      </c>
      <c r="B1750" s="75" t="s">
        <v>880</v>
      </c>
      <c r="C1750" s="74" t="str">
        <f>IF($B1750&lt;&gt;"",_xlfn.IFNA(VLOOKUP($B1750,'Node Details'!$B:$U,C$1,0),"Check"),"")</f>
        <v>0000CM411-CM4110104</v>
      </c>
      <c r="D1750" s="74" t="str">
        <f>IF($B1750&lt;&gt;"",_xlfn.IFNA(VLOOKUP($B1750,'Node Details'!$B:$U,D$1,0),"Check"),"")</f>
        <v>CM4</v>
      </c>
      <c r="E1750" s="74" t="str">
        <f>IF($B1750&lt;&gt;"",_xlfn.IFNA(VLOOKUP($B1750,'Node Details'!$B:$U,E$1,0),"Check"),"")</f>
        <v>Airtel</v>
      </c>
      <c r="F1750" s="76">
        <v>46148</v>
      </c>
      <c r="G1750" s="74"/>
      <c r="H1750" s="10" t="s">
        <v>1248</v>
      </c>
      <c r="I1750" s="9">
        <v>1</v>
      </c>
      <c r="J1750" s="9">
        <v>950</v>
      </c>
      <c r="K1750" s="77">
        <f t="shared" si="119"/>
        <v>950</v>
      </c>
      <c r="L1750" s="76">
        <v>46142</v>
      </c>
      <c r="N1750" s="83"/>
      <c r="O1750" s="84"/>
      <c r="P1750" s="81"/>
      <c r="Q1750" s="81"/>
      <c r="R1750" s="81"/>
      <c r="S1750" s="81"/>
      <c r="T1750" s="85"/>
      <c r="U1750" s="81"/>
      <c r="V1750" s="81"/>
      <c r="W1750" s="123">
        <f t="shared" si="120"/>
        <v>0</v>
      </c>
      <c r="X1750" s="123" t="s">
        <v>84</v>
      </c>
      <c r="Y1750" s="114" t="s">
        <v>1128</v>
      </c>
    </row>
    <row r="1751" spans="1:25" s="24" customFormat="1" ht="11.1" customHeight="1">
      <c r="A1751" s="74">
        <f t="shared" si="121"/>
        <v>1749</v>
      </c>
      <c r="B1751" s="75" t="s">
        <v>884</v>
      </c>
      <c r="C1751" s="74" t="str">
        <f>IF($B1751&lt;&gt;"",_xlfn.IFNA(VLOOKUP($B1751,'Node Details'!$B:$U,C$1,0),"Check"),"")</f>
        <v>0000CM411-CM4110106</v>
      </c>
      <c r="D1751" s="74" t="str">
        <f>IF($B1751&lt;&gt;"",_xlfn.IFNA(VLOOKUP($B1751,'Node Details'!$B:$U,D$1,0),"Check"),"")</f>
        <v>CM4</v>
      </c>
      <c r="E1751" s="74" t="str">
        <f>IF($B1751&lt;&gt;"",_xlfn.IFNA(VLOOKUP($B1751,'Node Details'!$B:$U,E$1,0),"Check"),"")</f>
        <v>Airtel</v>
      </c>
      <c r="F1751" s="76">
        <v>46148</v>
      </c>
      <c r="G1751" s="74"/>
      <c r="H1751" s="10" t="s">
        <v>1248</v>
      </c>
      <c r="I1751" s="9">
        <v>1</v>
      </c>
      <c r="J1751" s="9">
        <v>950</v>
      </c>
      <c r="K1751" s="77">
        <f t="shared" si="119"/>
        <v>950</v>
      </c>
      <c r="L1751" s="76">
        <v>46142</v>
      </c>
      <c r="N1751" s="83"/>
      <c r="O1751" s="84"/>
      <c r="P1751" s="81"/>
      <c r="Q1751" s="81"/>
      <c r="R1751" s="81"/>
      <c r="S1751" s="81"/>
      <c r="T1751" s="85"/>
      <c r="U1751" s="81"/>
      <c r="V1751" s="81"/>
      <c r="W1751" s="123">
        <f t="shared" si="120"/>
        <v>0</v>
      </c>
      <c r="X1751" s="123" t="s">
        <v>84</v>
      </c>
      <c r="Y1751" s="114" t="s">
        <v>1128</v>
      </c>
    </row>
    <row r="1752" spans="1:25" s="24" customFormat="1" ht="11.1" customHeight="1">
      <c r="A1752" s="74">
        <f t="shared" si="121"/>
        <v>1750</v>
      </c>
      <c r="B1752" s="75" t="s">
        <v>882</v>
      </c>
      <c r="C1752" s="74" t="str">
        <f>IF($B1752&lt;&gt;"",_xlfn.IFNA(VLOOKUP($B1752,'Node Details'!$B:$U,C$1,0),"Check"),"")</f>
        <v>0000CM411-CM4110106</v>
      </c>
      <c r="D1752" s="74" t="str">
        <f>IF($B1752&lt;&gt;"",_xlfn.IFNA(VLOOKUP($B1752,'Node Details'!$B:$U,D$1,0),"Check"),"")</f>
        <v>CM4</v>
      </c>
      <c r="E1752" s="74" t="str">
        <f>IF($B1752&lt;&gt;"",_xlfn.IFNA(VLOOKUP($B1752,'Node Details'!$B:$U,E$1,0),"Check"),"")</f>
        <v>Airtel</v>
      </c>
      <c r="F1752" s="76">
        <v>46148</v>
      </c>
      <c r="G1752" s="74"/>
      <c r="H1752" s="10" t="s">
        <v>1248</v>
      </c>
      <c r="I1752" s="9">
        <v>1</v>
      </c>
      <c r="J1752" s="9">
        <v>950</v>
      </c>
      <c r="K1752" s="77">
        <f t="shared" si="119"/>
        <v>950</v>
      </c>
      <c r="L1752" s="76">
        <v>46142</v>
      </c>
      <c r="N1752" s="83"/>
      <c r="O1752" s="84"/>
      <c r="P1752" s="81"/>
      <c r="Q1752" s="81"/>
      <c r="R1752" s="81"/>
      <c r="S1752" s="81"/>
      <c r="T1752" s="85"/>
      <c r="U1752" s="81"/>
      <c r="V1752" s="81"/>
      <c r="W1752" s="123">
        <f t="shared" si="120"/>
        <v>0</v>
      </c>
      <c r="X1752" s="123" t="s">
        <v>84</v>
      </c>
      <c r="Y1752" s="114" t="s">
        <v>1128</v>
      </c>
    </row>
    <row r="1753" spans="1:25" s="24" customFormat="1" ht="11.1" customHeight="1">
      <c r="A1753" s="74">
        <f t="shared" si="121"/>
        <v>1751</v>
      </c>
      <c r="B1753" s="75" t="s">
        <v>1221</v>
      </c>
      <c r="C1753" s="74" t="str">
        <f>IF($B1753&lt;&gt;"",_xlfn.IFNA(VLOOKUP($B1753,'Node Details'!$B:$U,C$1,0),"Check"),"")</f>
        <v>CM4110105-CM4110108</v>
      </c>
      <c r="D1753" s="74" t="str">
        <f>IF($B1753&lt;&gt;"",_xlfn.IFNA(VLOOKUP($B1753,'Node Details'!$B:$U,D$1,0),"Check"),"")</f>
        <v>CM4</v>
      </c>
      <c r="E1753" s="74" t="str">
        <f>IF($B1753&lt;&gt;"",_xlfn.IFNA(VLOOKUP($B1753,'Node Details'!$B:$U,E$1,0),"Check"),"")</f>
        <v>Airtel</v>
      </c>
      <c r="F1753" s="76">
        <v>46148</v>
      </c>
      <c r="G1753" s="74"/>
      <c r="H1753" s="10" t="s">
        <v>1248</v>
      </c>
      <c r="I1753" s="9">
        <v>1</v>
      </c>
      <c r="J1753" s="9">
        <v>950</v>
      </c>
      <c r="K1753" s="77">
        <f t="shared" si="119"/>
        <v>950</v>
      </c>
      <c r="L1753" s="76">
        <v>46142</v>
      </c>
      <c r="N1753" s="83"/>
      <c r="O1753" s="84"/>
      <c r="P1753" s="81"/>
      <c r="Q1753" s="81"/>
      <c r="R1753" s="81"/>
      <c r="S1753" s="81"/>
      <c r="T1753" s="85"/>
      <c r="U1753" s="81"/>
      <c r="V1753" s="81"/>
      <c r="W1753" s="123">
        <f t="shared" si="120"/>
        <v>0</v>
      </c>
      <c r="X1753" s="123" t="s">
        <v>84</v>
      </c>
      <c r="Y1753" s="114" t="s">
        <v>1128</v>
      </c>
    </row>
    <row r="1754" spans="1:25" s="24" customFormat="1" ht="11.1" customHeight="1">
      <c r="A1754" s="74">
        <f t="shared" si="121"/>
        <v>1752</v>
      </c>
      <c r="B1754" s="75" t="s">
        <v>885</v>
      </c>
      <c r="C1754" s="74" t="str">
        <f>IF($B1754&lt;&gt;"",_xlfn.IFNA(VLOOKUP($B1754,'Node Details'!$B:$U,C$1,0),"Check"),"")</f>
        <v>CM4110105-CM4110108</v>
      </c>
      <c r="D1754" s="74" t="str">
        <f>IF($B1754&lt;&gt;"",_xlfn.IFNA(VLOOKUP($B1754,'Node Details'!$B:$U,D$1,0),"Check"),"")</f>
        <v>CM4</v>
      </c>
      <c r="E1754" s="74" t="str">
        <f>IF($B1754&lt;&gt;"",_xlfn.IFNA(VLOOKUP($B1754,'Node Details'!$B:$U,E$1,0),"Check"),"")</f>
        <v>Airtel</v>
      </c>
      <c r="F1754" s="76">
        <v>46148</v>
      </c>
      <c r="G1754" s="74"/>
      <c r="H1754" s="10" t="s">
        <v>1248</v>
      </c>
      <c r="I1754" s="9">
        <v>1</v>
      </c>
      <c r="J1754" s="9">
        <v>950</v>
      </c>
      <c r="K1754" s="77">
        <f t="shared" si="119"/>
        <v>950</v>
      </c>
      <c r="L1754" s="76">
        <v>46142</v>
      </c>
      <c r="N1754" s="83"/>
      <c r="O1754" s="84"/>
      <c r="P1754" s="81"/>
      <c r="Q1754" s="81"/>
      <c r="R1754" s="81"/>
      <c r="S1754" s="81"/>
      <c r="T1754" s="85"/>
      <c r="U1754" s="81"/>
      <c r="V1754" s="81"/>
      <c r="W1754" s="123">
        <f t="shared" si="120"/>
        <v>0</v>
      </c>
      <c r="X1754" s="123" t="s">
        <v>84</v>
      </c>
      <c r="Y1754" s="114" t="s">
        <v>1128</v>
      </c>
    </row>
    <row r="1755" spans="1:25" s="24" customFormat="1" ht="11.1" customHeight="1">
      <c r="A1755" s="74">
        <f t="shared" si="121"/>
        <v>1753</v>
      </c>
      <c r="B1755" s="75" t="s">
        <v>887</v>
      </c>
      <c r="C1755" s="74" t="str">
        <f>IF($B1755&lt;&gt;"",_xlfn.IFNA(VLOOKUP($B1755,'Node Details'!$B:$U,C$1,0),"Check"),"")</f>
        <v>0000CM411-CM4110103</v>
      </c>
      <c r="D1755" s="74" t="str">
        <f>IF($B1755&lt;&gt;"",_xlfn.IFNA(VLOOKUP($B1755,'Node Details'!$B:$U,D$1,0),"Check"),"")</f>
        <v>CM4</v>
      </c>
      <c r="E1755" s="74" t="str">
        <f>IF($B1755&lt;&gt;"",_xlfn.IFNA(VLOOKUP($B1755,'Node Details'!$B:$U,E$1,0),"Check"),"")</f>
        <v>Airtel</v>
      </c>
      <c r="F1755" s="76">
        <v>46148</v>
      </c>
      <c r="G1755" s="74"/>
      <c r="H1755" s="10" t="s">
        <v>1248</v>
      </c>
      <c r="I1755" s="9">
        <v>1</v>
      </c>
      <c r="J1755" s="9">
        <v>950</v>
      </c>
      <c r="K1755" s="77">
        <f t="shared" si="119"/>
        <v>950</v>
      </c>
      <c r="L1755" s="76">
        <v>46142</v>
      </c>
      <c r="N1755" s="83"/>
      <c r="O1755" s="84"/>
      <c r="P1755" s="81"/>
      <c r="Q1755" s="81"/>
      <c r="R1755" s="81"/>
      <c r="S1755" s="81"/>
      <c r="T1755" s="85"/>
      <c r="U1755" s="81"/>
      <c r="V1755" s="81"/>
      <c r="W1755" s="123">
        <f t="shared" si="120"/>
        <v>0</v>
      </c>
      <c r="X1755" s="123" t="s">
        <v>84</v>
      </c>
      <c r="Y1755" s="114" t="s">
        <v>1128</v>
      </c>
    </row>
    <row r="1756" spans="1:25" s="24" customFormat="1" ht="11.1" customHeight="1">
      <c r="A1756" s="74">
        <f t="shared" si="121"/>
        <v>1754</v>
      </c>
      <c r="B1756" s="75" t="s">
        <v>889</v>
      </c>
      <c r="C1756" s="74" t="str">
        <f>IF($B1756&lt;&gt;"",_xlfn.IFNA(VLOOKUP($B1756,'Node Details'!$B:$U,C$1,0),"Check"),"")</f>
        <v>0000CM412-CM4120101</v>
      </c>
      <c r="D1756" s="74" t="str">
        <f>IF($B1756&lt;&gt;"",_xlfn.IFNA(VLOOKUP($B1756,'Node Details'!$B:$U,D$1,0),"Check"),"")</f>
        <v>CM4</v>
      </c>
      <c r="E1756" s="74" t="str">
        <f>IF($B1756&lt;&gt;"",_xlfn.IFNA(VLOOKUP($B1756,'Node Details'!$B:$U,E$1,0),"Check"),"")</f>
        <v>Airtel</v>
      </c>
      <c r="F1756" s="76">
        <v>46148</v>
      </c>
      <c r="G1756" s="74"/>
      <c r="H1756" s="10" t="s">
        <v>1248</v>
      </c>
      <c r="I1756" s="9">
        <v>1</v>
      </c>
      <c r="J1756" s="9">
        <v>950</v>
      </c>
      <c r="K1756" s="77">
        <f t="shared" si="119"/>
        <v>950</v>
      </c>
      <c r="L1756" s="76">
        <v>46142</v>
      </c>
      <c r="N1756" s="83"/>
      <c r="O1756" s="84"/>
      <c r="P1756" s="81"/>
      <c r="Q1756" s="81"/>
      <c r="R1756" s="81"/>
      <c r="S1756" s="81"/>
      <c r="T1756" s="85"/>
      <c r="U1756" s="81"/>
      <c r="V1756" s="81"/>
      <c r="W1756" s="123">
        <f t="shared" si="120"/>
        <v>0</v>
      </c>
      <c r="X1756" s="123" t="s">
        <v>84</v>
      </c>
      <c r="Y1756" s="114" t="s">
        <v>1128</v>
      </c>
    </row>
    <row r="1757" spans="1:25" s="24" customFormat="1" ht="11.1" customHeight="1">
      <c r="A1757" s="74">
        <f t="shared" si="121"/>
        <v>1755</v>
      </c>
      <c r="B1757" s="75" t="s">
        <v>891</v>
      </c>
      <c r="C1757" s="74" t="str">
        <f>IF($B1757&lt;&gt;"",_xlfn.IFNA(VLOOKUP($B1757,'Node Details'!$B:$U,C$1,0),"Check"),"")</f>
        <v>0000CM412-CM4120104</v>
      </c>
      <c r="D1757" s="74" t="str">
        <f>IF($B1757&lt;&gt;"",_xlfn.IFNA(VLOOKUP($B1757,'Node Details'!$B:$U,D$1,0),"Check"),"")</f>
        <v>CM4</v>
      </c>
      <c r="E1757" s="74" t="str">
        <f>IF($B1757&lt;&gt;"",_xlfn.IFNA(VLOOKUP($B1757,'Node Details'!$B:$U,E$1,0),"Check"),"")</f>
        <v>Airtel</v>
      </c>
      <c r="F1757" s="76">
        <v>46148</v>
      </c>
      <c r="G1757" s="74"/>
      <c r="H1757" s="10" t="s">
        <v>1248</v>
      </c>
      <c r="I1757" s="9">
        <v>1</v>
      </c>
      <c r="J1757" s="9">
        <v>950</v>
      </c>
      <c r="K1757" s="77">
        <f t="shared" si="119"/>
        <v>950</v>
      </c>
      <c r="L1757" s="76">
        <v>46142</v>
      </c>
      <c r="N1757" s="83"/>
      <c r="O1757" s="84"/>
      <c r="P1757" s="81"/>
      <c r="Q1757" s="81"/>
      <c r="R1757" s="81"/>
      <c r="S1757" s="81"/>
      <c r="T1757" s="85"/>
      <c r="U1757" s="81"/>
      <c r="V1757" s="81"/>
      <c r="W1757" s="123">
        <f t="shared" si="120"/>
        <v>0</v>
      </c>
      <c r="X1757" s="123" t="s">
        <v>84</v>
      </c>
      <c r="Y1757" s="114" t="s">
        <v>1128</v>
      </c>
    </row>
    <row r="1758" spans="1:25" s="24" customFormat="1" ht="11.1" customHeight="1">
      <c r="A1758" s="74">
        <f t="shared" si="121"/>
        <v>1756</v>
      </c>
      <c r="B1758" s="75" t="s">
        <v>893</v>
      </c>
      <c r="C1758" s="74" t="str">
        <f>IF($B1758&lt;&gt;"",_xlfn.IFNA(VLOOKUP($B1758,'Node Details'!$B:$U,C$1,0),"Check"),"")</f>
        <v>0000CM412-CM4120105</v>
      </c>
      <c r="D1758" s="74" t="str">
        <f>IF($B1758&lt;&gt;"",_xlfn.IFNA(VLOOKUP($B1758,'Node Details'!$B:$U,D$1,0),"Check"),"")</f>
        <v>CM4</v>
      </c>
      <c r="E1758" s="74" t="str">
        <f>IF($B1758&lt;&gt;"",_xlfn.IFNA(VLOOKUP($B1758,'Node Details'!$B:$U,E$1,0),"Check"),"")</f>
        <v>Airtel</v>
      </c>
      <c r="F1758" s="76">
        <v>46148</v>
      </c>
      <c r="G1758" s="74"/>
      <c r="H1758" s="10" t="s">
        <v>1248</v>
      </c>
      <c r="I1758" s="9">
        <v>1</v>
      </c>
      <c r="J1758" s="9">
        <v>950</v>
      </c>
      <c r="K1758" s="77">
        <f t="shared" si="119"/>
        <v>950</v>
      </c>
      <c r="L1758" s="76">
        <v>46142</v>
      </c>
      <c r="N1758" s="83"/>
      <c r="O1758" s="84"/>
      <c r="P1758" s="81"/>
      <c r="Q1758" s="81"/>
      <c r="R1758" s="81"/>
      <c r="S1758" s="81"/>
      <c r="T1758" s="85"/>
      <c r="U1758" s="81"/>
      <c r="V1758" s="81"/>
      <c r="W1758" s="123">
        <f t="shared" si="120"/>
        <v>0</v>
      </c>
      <c r="X1758" s="123" t="s">
        <v>84</v>
      </c>
      <c r="Y1758" s="114" t="s">
        <v>1128</v>
      </c>
    </row>
    <row r="1759" spans="1:25" s="24" customFormat="1" ht="11.1" customHeight="1">
      <c r="A1759" s="74">
        <f t="shared" si="121"/>
        <v>1757</v>
      </c>
      <c r="B1759" s="75" t="s">
        <v>1222</v>
      </c>
      <c r="C1759" s="74" t="str">
        <f>IF($B1759&lt;&gt;"",_xlfn.IFNA(VLOOKUP($B1759,'Node Details'!$B:$U,C$1,0),"Check"),"")</f>
        <v>0000CM412-CM4120108</v>
      </c>
      <c r="D1759" s="74" t="str">
        <f>IF($B1759&lt;&gt;"",_xlfn.IFNA(VLOOKUP($B1759,'Node Details'!$B:$U,D$1,0),"Check"),"")</f>
        <v>CM4</v>
      </c>
      <c r="E1759" s="74" t="str">
        <f>IF($B1759&lt;&gt;"",_xlfn.IFNA(VLOOKUP($B1759,'Node Details'!$B:$U,E$1,0),"Check"),"")</f>
        <v>Airtel</v>
      </c>
      <c r="F1759" s="76">
        <v>46148</v>
      </c>
      <c r="G1759" s="74"/>
      <c r="H1759" s="10" t="s">
        <v>1248</v>
      </c>
      <c r="I1759" s="9">
        <v>1</v>
      </c>
      <c r="J1759" s="9">
        <v>950</v>
      </c>
      <c r="K1759" s="77">
        <f t="shared" si="119"/>
        <v>950</v>
      </c>
      <c r="L1759" s="76">
        <v>46142</v>
      </c>
      <c r="N1759" s="83"/>
      <c r="O1759" s="84"/>
      <c r="P1759" s="81"/>
      <c r="Q1759" s="81"/>
      <c r="R1759" s="81"/>
      <c r="S1759" s="81"/>
      <c r="T1759" s="85"/>
      <c r="U1759" s="81"/>
      <c r="V1759" s="81"/>
      <c r="W1759" s="123">
        <f t="shared" si="120"/>
        <v>0</v>
      </c>
      <c r="X1759" s="123" t="s">
        <v>84</v>
      </c>
      <c r="Y1759" s="114" t="s">
        <v>1128</v>
      </c>
    </row>
    <row r="1760" spans="1:25" s="24" customFormat="1" ht="11.1" customHeight="1">
      <c r="A1760" s="74">
        <f t="shared" si="121"/>
        <v>1758</v>
      </c>
      <c r="B1760" s="75" t="s">
        <v>895</v>
      </c>
      <c r="C1760" s="74" t="str">
        <f>IF($B1760&lt;&gt;"",_xlfn.IFNA(VLOOKUP($B1760,'Node Details'!$B:$U,C$1,0),"Check"),"")</f>
        <v>0000CM412-CM4120108</v>
      </c>
      <c r="D1760" s="74" t="str">
        <f>IF($B1760&lt;&gt;"",_xlfn.IFNA(VLOOKUP($B1760,'Node Details'!$B:$U,D$1,0),"Check"),"")</f>
        <v>CM4</v>
      </c>
      <c r="E1760" s="74" t="str">
        <f>IF($B1760&lt;&gt;"",_xlfn.IFNA(VLOOKUP($B1760,'Node Details'!$B:$U,E$1,0),"Check"),"")</f>
        <v>Airtel</v>
      </c>
      <c r="F1760" s="76">
        <v>46148</v>
      </c>
      <c r="G1760" s="74"/>
      <c r="H1760" s="10" t="s">
        <v>1248</v>
      </c>
      <c r="I1760" s="9">
        <v>1</v>
      </c>
      <c r="J1760" s="9">
        <v>950</v>
      </c>
      <c r="K1760" s="77">
        <f t="shared" si="119"/>
        <v>950</v>
      </c>
      <c r="L1760" s="76">
        <v>46142</v>
      </c>
      <c r="N1760" s="83"/>
      <c r="O1760" s="84"/>
      <c r="P1760" s="81"/>
      <c r="Q1760" s="81"/>
      <c r="R1760" s="81"/>
      <c r="S1760" s="81"/>
      <c r="T1760" s="85"/>
      <c r="U1760" s="81"/>
      <c r="V1760" s="81"/>
      <c r="W1760" s="123">
        <f t="shared" si="120"/>
        <v>0</v>
      </c>
      <c r="X1760" s="123" t="s">
        <v>84</v>
      </c>
      <c r="Y1760" s="114" t="s">
        <v>1128</v>
      </c>
    </row>
    <row r="1761" spans="1:25" s="24" customFormat="1" ht="11.1" customHeight="1">
      <c r="A1761" s="74">
        <f t="shared" si="121"/>
        <v>1759</v>
      </c>
      <c r="B1761" s="75" t="s">
        <v>898</v>
      </c>
      <c r="C1761" s="74" t="str">
        <f>IF($B1761&lt;&gt;"",_xlfn.IFNA(VLOOKUP($B1761,'Node Details'!$B:$U,C$1,0),"Check"),"")</f>
        <v>0000CM413-CM4130101</v>
      </c>
      <c r="D1761" s="74" t="str">
        <f>IF($B1761&lt;&gt;"",_xlfn.IFNA(VLOOKUP($B1761,'Node Details'!$B:$U,D$1,0),"Check"),"")</f>
        <v>CM4</v>
      </c>
      <c r="E1761" s="74" t="str">
        <f>IF($B1761&lt;&gt;"",_xlfn.IFNA(VLOOKUP($B1761,'Node Details'!$B:$U,E$1,0),"Check"),"")</f>
        <v>Airtel</v>
      </c>
      <c r="F1761" s="76">
        <v>46148</v>
      </c>
      <c r="G1761" s="74"/>
      <c r="H1761" s="10" t="s">
        <v>1248</v>
      </c>
      <c r="I1761" s="9">
        <v>1</v>
      </c>
      <c r="J1761" s="9">
        <v>950</v>
      </c>
      <c r="K1761" s="77">
        <f t="shared" si="119"/>
        <v>950</v>
      </c>
      <c r="L1761" s="76">
        <v>46142</v>
      </c>
      <c r="N1761" s="83"/>
      <c r="O1761" s="84"/>
      <c r="P1761" s="81"/>
      <c r="Q1761" s="81"/>
      <c r="R1761" s="81"/>
      <c r="S1761" s="81"/>
      <c r="T1761" s="85"/>
      <c r="U1761" s="81"/>
      <c r="V1761" s="81"/>
      <c r="W1761" s="123">
        <f t="shared" si="120"/>
        <v>0</v>
      </c>
      <c r="X1761" s="123" t="s">
        <v>84</v>
      </c>
      <c r="Y1761" s="114" t="s">
        <v>1128</v>
      </c>
    </row>
    <row r="1762" spans="1:25" s="24" customFormat="1" ht="11.1" customHeight="1">
      <c r="A1762" s="74">
        <f t="shared" si="121"/>
        <v>1760</v>
      </c>
      <c r="B1762" s="75" t="s">
        <v>902</v>
      </c>
      <c r="C1762" s="74" t="str">
        <f>IF($B1762&lt;&gt;"",_xlfn.IFNA(VLOOKUP($B1762,'Node Details'!$B:$U,C$1,0),"Check"),"")</f>
        <v>0000CM413-CM4130104</v>
      </c>
      <c r="D1762" s="74" t="str">
        <f>IF($B1762&lt;&gt;"",_xlfn.IFNA(VLOOKUP($B1762,'Node Details'!$B:$U,D$1,0),"Check"),"")</f>
        <v>CM4</v>
      </c>
      <c r="E1762" s="74" t="str">
        <f>IF($B1762&lt;&gt;"",_xlfn.IFNA(VLOOKUP($B1762,'Node Details'!$B:$U,E$1,0),"Check"),"")</f>
        <v>Airtel</v>
      </c>
      <c r="F1762" s="76">
        <v>46148</v>
      </c>
      <c r="G1762" s="74"/>
      <c r="H1762" s="10" t="s">
        <v>1248</v>
      </c>
      <c r="I1762" s="9">
        <v>1</v>
      </c>
      <c r="J1762" s="9">
        <v>950</v>
      </c>
      <c r="K1762" s="77">
        <f t="shared" si="119"/>
        <v>950</v>
      </c>
      <c r="L1762" s="76">
        <v>46142</v>
      </c>
      <c r="N1762" s="83"/>
      <c r="O1762" s="84"/>
      <c r="P1762" s="81"/>
      <c r="Q1762" s="81"/>
      <c r="R1762" s="81"/>
      <c r="S1762" s="81"/>
      <c r="T1762" s="85"/>
      <c r="U1762" s="81"/>
      <c r="V1762" s="81"/>
      <c r="W1762" s="123">
        <f t="shared" si="120"/>
        <v>0</v>
      </c>
      <c r="X1762" s="123" t="s">
        <v>84</v>
      </c>
      <c r="Y1762" s="114" t="s">
        <v>1128</v>
      </c>
    </row>
    <row r="1763" spans="1:25" s="24" customFormat="1" ht="11.1" customHeight="1">
      <c r="A1763" s="74">
        <f t="shared" si="121"/>
        <v>1761</v>
      </c>
      <c r="B1763" s="75" t="s">
        <v>900</v>
      </c>
      <c r="C1763" s="74" t="str">
        <f>IF($B1763&lt;&gt;"",_xlfn.IFNA(VLOOKUP($B1763,'Node Details'!$B:$U,C$1,0),"Check"),"")</f>
        <v>0000CM413-CM4130104</v>
      </c>
      <c r="D1763" s="74" t="str">
        <f>IF($B1763&lt;&gt;"",_xlfn.IFNA(VLOOKUP($B1763,'Node Details'!$B:$U,D$1,0),"Check"),"")</f>
        <v>CM4</v>
      </c>
      <c r="E1763" s="74" t="str">
        <f>IF($B1763&lt;&gt;"",_xlfn.IFNA(VLOOKUP($B1763,'Node Details'!$B:$U,E$1,0),"Check"),"")</f>
        <v>Airtel</v>
      </c>
      <c r="F1763" s="76">
        <v>46148</v>
      </c>
      <c r="G1763" s="74"/>
      <c r="H1763" s="10" t="s">
        <v>1248</v>
      </c>
      <c r="I1763" s="9">
        <v>1</v>
      </c>
      <c r="J1763" s="9">
        <v>950</v>
      </c>
      <c r="K1763" s="77">
        <f t="shared" si="119"/>
        <v>950</v>
      </c>
      <c r="L1763" s="76">
        <v>46142</v>
      </c>
      <c r="N1763" s="83"/>
      <c r="O1763" s="84"/>
      <c r="P1763" s="81"/>
      <c r="Q1763" s="81"/>
      <c r="R1763" s="81"/>
      <c r="S1763" s="81"/>
      <c r="T1763" s="85"/>
      <c r="U1763" s="81"/>
      <c r="V1763" s="81"/>
      <c r="W1763" s="123">
        <f t="shared" si="120"/>
        <v>0</v>
      </c>
      <c r="X1763" s="123" t="s">
        <v>84</v>
      </c>
      <c r="Y1763" s="114" t="s">
        <v>1128</v>
      </c>
    </row>
    <row r="1764" spans="1:25" s="24" customFormat="1" ht="11.1" customHeight="1">
      <c r="A1764" s="74">
        <f t="shared" si="121"/>
        <v>1762</v>
      </c>
      <c r="B1764" s="75" t="s">
        <v>903</v>
      </c>
      <c r="C1764" s="74" t="str">
        <f>IF($B1764&lt;&gt;"",_xlfn.IFNA(VLOOKUP($B1764,'Node Details'!$B:$U,C$1,0),"Check"),"")</f>
        <v>CM4130103-CM4130107</v>
      </c>
      <c r="D1764" s="74" t="str">
        <f>IF($B1764&lt;&gt;"",_xlfn.IFNA(VLOOKUP($B1764,'Node Details'!$B:$U,D$1,0),"Check"),"")</f>
        <v>CM4</v>
      </c>
      <c r="E1764" s="74" t="str">
        <f>IF($B1764&lt;&gt;"",_xlfn.IFNA(VLOOKUP($B1764,'Node Details'!$B:$U,E$1,0),"Check"),"")</f>
        <v>Airtel</v>
      </c>
      <c r="F1764" s="76">
        <v>46148</v>
      </c>
      <c r="G1764" s="74"/>
      <c r="H1764" s="10" t="s">
        <v>1248</v>
      </c>
      <c r="I1764" s="9">
        <v>1</v>
      </c>
      <c r="J1764" s="9">
        <v>950</v>
      </c>
      <c r="K1764" s="77">
        <f t="shared" si="119"/>
        <v>950</v>
      </c>
      <c r="L1764" s="76">
        <v>46142</v>
      </c>
      <c r="N1764" s="83"/>
      <c r="O1764" s="84"/>
      <c r="P1764" s="81"/>
      <c r="Q1764" s="81"/>
      <c r="R1764" s="81"/>
      <c r="S1764" s="81"/>
      <c r="T1764" s="85"/>
      <c r="U1764" s="81"/>
      <c r="V1764" s="81"/>
      <c r="W1764" s="123">
        <f t="shared" si="120"/>
        <v>0</v>
      </c>
      <c r="X1764" s="123" t="s">
        <v>84</v>
      </c>
      <c r="Y1764" s="114" t="s">
        <v>1128</v>
      </c>
    </row>
    <row r="1765" spans="1:25" s="24" customFormat="1" ht="11.1" customHeight="1">
      <c r="A1765" s="74">
        <f t="shared" si="121"/>
        <v>1763</v>
      </c>
      <c r="B1765" s="75" t="s">
        <v>906</v>
      </c>
      <c r="C1765" s="74" t="str">
        <f>IF($B1765&lt;&gt;"",_xlfn.IFNA(VLOOKUP($B1765,'Node Details'!$B:$U,C$1,0),"Check"),"")</f>
        <v>0000CM414-CM4140101</v>
      </c>
      <c r="D1765" s="74" t="str">
        <f>IF($B1765&lt;&gt;"",_xlfn.IFNA(VLOOKUP($B1765,'Node Details'!$B:$U,D$1,0),"Check"),"")</f>
        <v>CM4</v>
      </c>
      <c r="E1765" s="74" t="str">
        <f>IF($B1765&lt;&gt;"",_xlfn.IFNA(VLOOKUP($B1765,'Node Details'!$B:$U,E$1,0),"Check"),"")</f>
        <v>Airtel</v>
      </c>
      <c r="F1765" s="76">
        <v>46148</v>
      </c>
      <c r="G1765" s="74"/>
      <c r="H1765" s="10" t="s">
        <v>1248</v>
      </c>
      <c r="I1765" s="9">
        <v>1</v>
      </c>
      <c r="J1765" s="9">
        <v>950</v>
      </c>
      <c r="K1765" s="77">
        <f t="shared" si="119"/>
        <v>950</v>
      </c>
      <c r="L1765" s="76">
        <v>46142</v>
      </c>
      <c r="N1765" s="83"/>
      <c r="O1765" s="84"/>
      <c r="P1765" s="81"/>
      <c r="Q1765" s="81"/>
      <c r="R1765" s="81"/>
      <c r="S1765" s="81"/>
      <c r="T1765" s="85"/>
      <c r="U1765" s="81"/>
      <c r="V1765" s="81"/>
      <c r="W1765" s="123">
        <f t="shared" si="120"/>
        <v>0</v>
      </c>
      <c r="X1765" s="123" t="s">
        <v>84</v>
      </c>
      <c r="Y1765" s="114" t="s">
        <v>1128</v>
      </c>
    </row>
    <row r="1766" spans="1:25" s="24" customFormat="1" ht="11.1" customHeight="1">
      <c r="A1766" s="74">
        <f t="shared" si="121"/>
        <v>1764</v>
      </c>
      <c r="B1766" s="75" t="s">
        <v>1223</v>
      </c>
      <c r="C1766" s="74" t="str">
        <f>IF($B1766&lt;&gt;"",_xlfn.IFNA(VLOOKUP($B1766,'Node Details'!$B:$U,C$1,0),"Check"),"")</f>
        <v>0000CM414-CM4140105</v>
      </c>
      <c r="D1766" s="74" t="str">
        <f>IF($B1766&lt;&gt;"",_xlfn.IFNA(VLOOKUP($B1766,'Node Details'!$B:$U,D$1,0),"Check"),"")</f>
        <v>CM4</v>
      </c>
      <c r="E1766" s="74" t="str">
        <f>IF($B1766&lt;&gt;"",_xlfn.IFNA(VLOOKUP($B1766,'Node Details'!$B:$U,E$1,0),"Check"),"")</f>
        <v>Airtel</v>
      </c>
      <c r="F1766" s="76">
        <v>46148</v>
      </c>
      <c r="G1766" s="74"/>
      <c r="H1766" s="10" t="s">
        <v>1248</v>
      </c>
      <c r="I1766" s="9">
        <v>1</v>
      </c>
      <c r="J1766" s="9">
        <v>950</v>
      </c>
      <c r="K1766" s="77">
        <f t="shared" si="119"/>
        <v>950</v>
      </c>
      <c r="L1766" s="76">
        <v>46142</v>
      </c>
      <c r="N1766" s="83"/>
      <c r="O1766" s="84"/>
      <c r="P1766" s="81"/>
      <c r="Q1766" s="81"/>
      <c r="R1766" s="81"/>
      <c r="S1766" s="81"/>
      <c r="T1766" s="85"/>
      <c r="U1766" s="81"/>
      <c r="V1766" s="81"/>
      <c r="W1766" s="123">
        <f t="shared" si="120"/>
        <v>0</v>
      </c>
      <c r="X1766" s="123" t="s">
        <v>84</v>
      </c>
      <c r="Y1766" s="114" t="s">
        <v>1128</v>
      </c>
    </row>
    <row r="1767" spans="1:25" s="24" customFormat="1" ht="11.1" customHeight="1">
      <c r="A1767" s="74">
        <f t="shared" si="121"/>
        <v>1765</v>
      </c>
      <c r="B1767" s="75" t="s">
        <v>908</v>
      </c>
      <c r="C1767" s="74" t="str">
        <f>IF($B1767&lt;&gt;"",_xlfn.IFNA(VLOOKUP($B1767,'Node Details'!$B:$U,C$1,0),"Check"),"")</f>
        <v>0000CM414-CM4140105</v>
      </c>
      <c r="D1767" s="74" t="str">
        <f>IF($B1767&lt;&gt;"",_xlfn.IFNA(VLOOKUP($B1767,'Node Details'!$B:$U,D$1,0),"Check"),"")</f>
        <v>CM4</v>
      </c>
      <c r="E1767" s="74" t="str">
        <f>IF($B1767&lt;&gt;"",_xlfn.IFNA(VLOOKUP($B1767,'Node Details'!$B:$U,E$1,0),"Check"),"")</f>
        <v>Airtel</v>
      </c>
      <c r="F1767" s="76">
        <v>46148</v>
      </c>
      <c r="G1767" s="74"/>
      <c r="H1767" s="10" t="s">
        <v>1248</v>
      </c>
      <c r="I1767" s="9">
        <v>1</v>
      </c>
      <c r="J1767" s="9">
        <v>950</v>
      </c>
      <c r="K1767" s="77">
        <f t="shared" si="119"/>
        <v>950</v>
      </c>
      <c r="L1767" s="76">
        <v>46142</v>
      </c>
      <c r="N1767" s="83"/>
      <c r="O1767" s="84"/>
      <c r="P1767" s="81"/>
      <c r="Q1767" s="81"/>
      <c r="R1767" s="81"/>
      <c r="S1767" s="81"/>
      <c r="T1767" s="85"/>
      <c r="U1767" s="81"/>
      <c r="V1767" s="81"/>
      <c r="W1767" s="123">
        <f t="shared" si="120"/>
        <v>0</v>
      </c>
      <c r="X1767" s="123" t="s">
        <v>84</v>
      </c>
      <c r="Y1767" s="114" t="s">
        <v>1128</v>
      </c>
    </row>
    <row r="1768" spans="1:25" s="24" customFormat="1" ht="11.1" customHeight="1">
      <c r="A1768" s="74">
        <f t="shared" si="121"/>
        <v>1766</v>
      </c>
      <c r="B1768" s="75" t="s">
        <v>910</v>
      </c>
      <c r="C1768" s="74" t="str">
        <f>IF($B1768&lt;&gt;"",_xlfn.IFNA(VLOOKUP($B1768,'Node Details'!$B:$U,C$1,0),"Check"),"")</f>
        <v>0000CM414-CM4140108</v>
      </c>
      <c r="D1768" s="74" t="str">
        <f>IF($B1768&lt;&gt;"",_xlfn.IFNA(VLOOKUP($B1768,'Node Details'!$B:$U,D$1,0),"Check"),"")</f>
        <v>CM4</v>
      </c>
      <c r="E1768" s="74" t="str">
        <f>IF($B1768&lt;&gt;"",_xlfn.IFNA(VLOOKUP($B1768,'Node Details'!$B:$U,E$1,0),"Check"),"")</f>
        <v>Airtel</v>
      </c>
      <c r="F1768" s="76">
        <v>46148</v>
      </c>
      <c r="G1768" s="74"/>
      <c r="H1768" s="10" t="s">
        <v>1248</v>
      </c>
      <c r="I1768" s="9">
        <v>1</v>
      </c>
      <c r="J1768" s="9">
        <v>950</v>
      </c>
      <c r="K1768" s="77">
        <f t="shared" si="119"/>
        <v>950</v>
      </c>
      <c r="L1768" s="76">
        <v>46142</v>
      </c>
      <c r="N1768" s="83"/>
      <c r="O1768" s="84"/>
      <c r="P1768" s="81"/>
      <c r="Q1768" s="81"/>
      <c r="R1768" s="81"/>
      <c r="S1768" s="81"/>
      <c r="T1768" s="85"/>
      <c r="U1768" s="81"/>
      <c r="V1768" s="81"/>
      <c r="W1768" s="123">
        <f t="shared" si="120"/>
        <v>0</v>
      </c>
      <c r="X1768" s="123" t="s">
        <v>84</v>
      </c>
      <c r="Y1768" s="114" t="s">
        <v>1128</v>
      </c>
    </row>
    <row r="1769" spans="1:25" s="24" customFormat="1" ht="11.1" customHeight="1">
      <c r="A1769" s="74">
        <f t="shared" si="121"/>
        <v>1767</v>
      </c>
      <c r="B1769" s="75" t="s">
        <v>912</v>
      </c>
      <c r="C1769" s="74" t="str">
        <f>IF($B1769&lt;&gt;"",_xlfn.IFNA(VLOOKUP($B1769,'Node Details'!$B:$U,C$1,0),"Check"),"")</f>
        <v>0000CM415-CM4150101</v>
      </c>
      <c r="D1769" s="74" t="str">
        <f>IF($B1769&lt;&gt;"",_xlfn.IFNA(VLOOKUP($B1769,'Node Details'!$B:$U,D$1,0),"Check"),"")</f>
        <v>CM4</v>
      </c>
      <c r="E1769" s="74" t="str">
        <f>IF($B1769&lt;&gt;"",_xlfn.IFNA(VLOOKUP($B1769,'Node Details'!$B:$U,E$1,0),"Check"),"")</f>
        <v>Airtel</v>
      </c>
      <c r="F1769" s="76">
        <v>46148</v>
      </c>
      <c r="G1769" s="74"/>
      <c r="H1769" s="10" t="s">
        <v>1248</v>
      </c>
      <c r="I1769" s="9">
        <v>1</v>
      </c>
      <c r="J1769" s="9">
        <v>950</v>
      </c>
      <c r="K1769" s="77">
        <f t="shared" si="119"/>
        <v>950</v>
      </c>
      <c r="L1769" s="76">
        <v>46142</v>
      </c>
      <c r="N1769" s="83"/>
      <c r="O1769" s="84"/>
      <c r="P1769" s="81"/>
      <c r="Q1769" s="81"/>
      <c r="R1769" s="81"/>
      <c r="S1769" s="81"/>
      <c r="T1769" s="85"/>
      <c r="U1769" s="81"/>
      <c r="V1769" s="81"/>
      <c r="W1769" s="123">
        <f t="shared" si="120"/>
        <v>0</v>
      </c>
      <c r="X1769" s="123" t="s">
        <v>84</v>
      </c>
      <c r="Y1769" s="114" t="s">
        <v>1128</v>
      </c>
    </row>
    <row r="1770" spans="1:25" s="24" customFormat="1" ht="11.1" customHeight="1">
      <c r="A1770" s="74">
        <f t="shared" si="121"/>
        <v>1768</v>
      </c>
      <c r="B1770" s="75" t="s">
        <v>1224</v>
      </c>
      <c r="C1770" s="74" t="str">
        <f>IF($B1770&lt;&gt;"",_xlfn.IFNA(VLOOKUP($B1770,'Node Details'!$B:$U,C$1,0),"Check"),"")</f>
        <v>0000CM415-CM4150104</v>
      </c>
      <c r="D1770" s="74" t="str">
        <f>IF($B1770&lt;&gt;"",_xlfn.IFNA(VLOOKUP($B1770,'Node Details'!$B:$U,D$1,0),"Check"),"")</f>
        <v>CM4</v>
      </c>
      <c r="E1770" s="74" t="str">
        <f>IF($B1770&lt;&gt;"",_xlfn.IFNA(VLOOKUP($B1770,'Node Details'!$B:$U,E$1,0),"Check"),"")</f>
        <v>Airtel</v>
      </c>
      <c r="F1770" s="76">
        <v>46148</v>
      </c>
      <c r="G1770" s="74"/>
      <c r="H1770" s="10" t="s">
        <v>1248</v>
      </c>
      <c r="I1770" s="9">
        <v>1</v>
      </c>
      <c r="J1770" s="9">
        <v>950</v>
      </c>
      <c r="K1770" s="77">
        <f t="shared" si="119"/>
        <v>950</v>
      </c>
      <c r="L1770" s="76">
        <v>46142</v>
      </c>
      <c r="N1770" s="83"/>
      <c r="O1770" s="84"/>
      <c r="P1770" s="81"/>
      <c r="Q1770" s="81"/>
      <c r="R1770" s="81"/>
      <c r="S1770" s="81"/>
      <c r="T1770" s="85"/>
      <c r="U1770" s="81"/>
      <c r="V1770" s="81"/>
      <c r="W1770" s="123">
        <f t="shared" si="120"/>
        <v>0</v>
      </c>
      <c r="X1770" s="123" t="s">
        <v>84</v>
      </c>
      <c r="Y1770" s="114" t="s">
        <v>1128</v>
      </c>
    </row>
    <row r="1771" spans="1:25" s="24" customFormat="1" ht="11.1" customHeight="1">
      <c r="A1771" s="74">
        <f t="shared" si="121"/>
        <v>1769</v>
      </c>
      <c r="B1771" s="75" t="s">
        <v>914</v>
      </c>
      <c r="C1771" s="74" t="str">
        <f>IF($B1771&lt;&gt;"",_xlfn.IFNA(VLOOKUP($B1771,'Node Details'!$B:$U,C$1,0),"Check"),"")</f>
        <v>0000CM415-CM4150104</v>
      </c>
      <c r="D1771" s="74" t="str">
        <f>IF($B1771&lt;&gt;"",_xlfn.IFNA(VLOOKUP($B1771,'Node Details'!$B:$U,D$1,0),"Check"),"")</f>
        <v>CM4</v>
      </c>
      <c r="E1771" s="74" t="str">
        <f>IF($B1771&lt;&gt;"",_xlfn.IFNA(VLOOKUP($B1771,'Node Details'!$B:$U,E$1,0),"Check"),"")</f>
        <v>Airtel</v>
      </c>
      <c r="F1771" s="76">
        <v>46148</v>
      </c>
      <c r="G1771" s="74"/>
      <c r="H1771" s="10" t="s">
        <v>1248</v>
      </c>
      <c r="I1771" s="9">
        <v>1</v>
      </c>
      <c r="J1771" s="9">
        <v>950</v>
      </c>
      <c r="K1771" s="77">
        <f t="shared" si="119"/>
        <v>950</v>
      </c>
      <c r="L1771" s="76">
        <v>46142</v>
      </c>
      <c r="N1771" s="83"/>
      <c r="O1771" s="84"/>
      <c r="P1771" s="81"/>
      <c r="Q1771" s="81"/>
      <c r="R1771" s="81"/>
      <c r="S1771" s="81"/>
      <c r="T1771" s="85"/>
      <c r="U1771" s="81"/>
      <c r="V1771" s="81"/>
      <c r="W1771" s="123">
        <f t="shared" si="120"/>
        <v>0</v>
      </c>
      <c r="X1771" s="123" t="s">
        <v>84</v>
      </c>
      <c r="Y1771" s="114" t="s">
        <v>1128</v>
      </c>
    </row>
    <row r="1772" spans="1:25" s="24" customFormat="1" ht="11.1" customHeight="1">
      <c r="A1772" s="74">
        <f t="shared" si="121"/>
        <v>1770</v>
      </c>
      <c r="B1772" s="75" t="s">
        <v>1225</v>
      </c>
      <c r="C1772" s="74" t="str">
        <f>IF($B1772&lt;&gt;"",_xlfn.IFNA(VLOOKUP($B1772,'Node Details'!$B:$U,C$1,0),"Check"),"")</f>
        <v>0000CM415-CM4150108</v>
      </c>
      <c r="D1772" s="74" t="str">
        <f>IF($B1772&lt;&gt;"",_xlfn.IFNA(VLOOKUP($B1772,'Node Details'!$B:$U,D$1,0),"Check"),"")</f>
        <v>CM4</v>
      </c>
      <c r="E1772" s="74" t="str">
        <f>IF($B1772&lt;&gt;"",_xlfn.IFNA(VLOOKUP($B1772,'Node Details'!$B:$U,E$1,0),"Check"),"")</f>
        <v>Airtel</v>
      </c>
      <c r="F1772" s="76">
        <v>46148</v>
      </c>
      <c r="G1772" s="74"/>
      <c r="H1772" s="10" t="s">
        <v>1248</v>
      </c>
      <c r="I1772" s="9">
        <v>1</v>
      </c>
      <c r="J1772" s="9">
        <v>950</v>
      </c>
      <c r="K1772" s="77">
        <f t="shared" si="119"/>
        <v>950</v>
      </c>
      <c r="L1772" s="76">
        <v>46142</v>
      </c>
      <c r="N1772" s="83"/>
      <c r="O1772" s="84"/>
      <c r="P1772" s="81"/>
      <c r="Q1772" s="81"/>
      <c r="R1772" s="81"/>
      <c r="S1772" s="81"/>
      <c r="T1772" s="85"/>
      <c r="U1772" s="81"/>
      <c r="V1772" s="81"/>
      <c r="W1772" s="123">
        <f t="shared" si="120"/>
        <v>0</v>
      </c>
      <c r="X1772" s="123" t="s">
        <v>84</v>
      </c>
      <c r="Y1772" s="114" t="s">
        <v>1128</v>
      </c>
    </row>
    <row r="1773" spans="1:25" s="24" customFormat="1" ht="11.1" customHeight="1">
      <c r="A1773" s="74">
        <f t="shared" si="121"/>
        <v>1771</v>
      </c>
      <c r="B1773" s="75" t="s">
        <v>1226</v>
      </c>
      <c r="C1773" s="74" t="str">
        <f>IF($B1773&lt;&gt;"",_xlfn.IFNA(VLOOKUP($B1773,'Node Details'!$B:$U,C$1,0),"Check"),"")</f>
        <v>0000CM415-CM4150108</v>
      </c>
      <c r="D1773" s="74" t="str">
        <f>IF($B1773&lt;&gt;"",_xlfn.IFNA(VLOOKUP($B1773,'Node Details'!$B:$U,D$1,0),"Check"),"")</f>
        <v>CM4</v>
      </c>
      <c r="E1773" s="74" t="str">
        <f>IF($B1773&lt;&gt;"",_xlfn.IFNA(VLOOKUP($B1773,'Node Details'!$B:$U,E$1,0),"Check"),"")</f>
        <v>Airtel</v>
      </c>
      <c r="F1773" s="76">
        <v>46148</v>
      </c>
      <c r="G1773" s="74"/>
      <c r="H1773" s="10" t="s">
        <v>1248</v>
      </c>
      <c r="I1773" s="9">
        <v>1</v>
      </c>
      <c r="J1773" s="9">
        <v>950</v>
      </c>
      <c r="K1773" s="77">
        <f t="shared" si="119"/>
        <v>950</v>
      </c>
      <c r="L1773" s="76">
        <v>46142</v>
      </c>
      <c r="N1773" s="83"/>
      <c r="O1773" s="84"/>
      <c r="P1773" s="81"/>
      <c r="Q1773" s="81"/>
      <c r="R1773" s="81"/>
      <c r="S1773" s="81"/>
      <c r="T1773" s="85"/>
      <c r="U1773" s="81"/>
      <c r="V1773" s="81"/>
      <c r="W1773" s="123">
        <f t="shared" si="120"/>
        <v>0</v>
      </c>
      <c r="X1773" s="123" t="s">
        <v>84</v>
      </c>
      <c r="Y1773" s="114" t="s">
        <v>1128</v>
      </c>
    </row>
    <row r="1774" spans="1:25" s="24" customFormat="1" ht="11.1" customHeight="1">
      <c r="A1774" s="74">
        <f t="shared" si="121"/>
        <v>1772</v>
      </c>
      <c r="B1774" s="75" t="s">
        <v>916</v>
      </c>
      <c r="C1774" s="74" t="str">
        <f>IF($B1774&lt;&gt;"",_xlfn.IFNA(VLOOKUP($B1774,'Node Details'!$B:$U,C$1,0),"Check"),"")</f>
        <v>0000CM415-CM4150108</v>
      </c>
      <c r="D1774" s="74" t="str">
        <f>IF($B1774&lt;&gt;"",_xlfn.IFNA(VLOOKUP($B1774,'Node Details'!$B:$U,D$1,0),"Check"),"")</f>
        <v>CM4</v>
      </c>
      <c r="E1774" s="74" t="str">
        <f>IF($B1774&lt;&gt;"",_xlfn.IFNA(VLOOKUP($B1774,'Node Details'!$B:$U,E$1,0),"Check"),"")</f>
        <v>Airtel</v>
      </c>
      <c r="F1774" s="76">
        <v>46148</v>
      </c>
      <c r="G1774" s="74"/>
      <c r="H1774" s="10" t="s">
        <v>1248</v>
      </c>
      <c r="I1774" s="9">
        <v>1</v>
      </c>
      <c r="J1774" s="9">
        <v>950</v>
      </c>
      <c r="K1774" s="77">
        <f t="shared" si="119"/>
        <v>950</v>
      </c>
      <c r="L1774" s="76">
        <v>46142</v>
      </c>
      <c r="N1774" s="83"/>
      <c r="O1774" s="84"/>
      <c r="P1774" s="81"/>
      <c r="Q1774" s="81"/>
      <c r="R1774" s="81"/>
      <c r="S1774" s="81"/>
      <c r="T1774" s="85"/>
      <c r="U1774" s="81"/>
      <c r="V1774" s="81"/>
      <c r="W1774" s="123">
        <f t="shared" si="120"/>
        <v>0</v>
      </c>
      <c r="X1774" s="123" t="s">
        <v>84</v>
      </c>
      <c r="Y1774" s="114" t="s">
        <v>1128</v>
      </c>
    </row>
    <row r="1775" spans="1:25" s="24" customFormat="1" ht="11.1" customHeight="1">
      <c r="A1775" s="74">
        <f t="shared" si="121"/>
        <v>1773</v>
      </c>
      <c r="B1775" s="75" t="s">
        <v>918</v>
      </c>
      <c r="C1775" s="74" t="str">
        <f>IF($B1775&lt;&gt;"",_xlfn.IFNA(VLOOKUP($B1775,'Node Details'!$B:$U,C$1,0),"Check"),"")</f>
        <v>0000CM416-CM4160101</v>
      </c>
      <c r="D1775" s="74" t="str">
        <f>IF($B1775&lt;&gt;"",_xlfn.IFNA(VLOOKUP($B1775,'Node Details'!$B:$U,D$1,0),"Check"),"")</f>
        <v>CM4</v>
      </c>
      <c r="E1775" s="74" t="str">
        <f>IF($B1775&lt;&gt;"",_xlfn.IFNA(VLOOKUP($B1775,'Node Details'!$B:$U,E$1,0),"Check"),"")</f>
        <v>Airtel</v>
      </c>
      <c r="F1775" s="76">
        <v>46148</v>
      </c>
      <c r="G1775" s="74"/>
      <c r="H1775" s="10" t="s">
        <v>1248</v>
      </c>
      <c r="I1775" s="9">
        <v>1</v>
      </c>
      <c r="J1775" s="9">
        <v>950</v>
      </c>
      <c r="K1775" s="77">
        <f t="shared" si="119"/>
        <v>950</v>
      </c>
      <c r="L1775" s="76">
        <v>46142</v>
      </c>
      <c r="N1775" s="83"/>
      <c r="O1775" s="84"/>
      <c r="P1775" s="81"/>
      <c r="Q1775" s="81"/>
      <c r="R1775" s="81"/>
      <c r="S1775" s="81"/>
      <c r="T1775" s="85"/>
      <c r="U1775" s="81"/>
      <c r="V1775" s="81"/>
      <c r="W1775" s="123">
        <f t="shared" si="120"/>
        <v>0</v>
      </c>
      <c r="X1775" s="123" t="s">
        <v>84</v>
      </c>
      <c r="Y1775" s="114" t="s">
        <v>1128</v>
      </c>
    </row>
    <row r="1776" spans="1:25" s="24" customFormat="1" ht="11.1" customHeight="1">
      <c r="A1776" s="74">
        <f t="shared" si="121"/>
        <v>1774</v>
      </c>
      <c r="B1776" s="75" t="s">
        <v>1227</v>
      </c>
      <c r="C1776" s="74" t="str">
        <f>IF($B1776&lt;&gt;"",_xlfn.IFNA(VLOOKUP($B1776,'Node Details'!$B:$U,C$1,0),"Check"),"")</f>
        <v>0000CM416-CM4160104</v>
      </c>
      <c r="D1776" s="74" t="str">
        <f>IF($B1776&lt;&gt;"",_xlfn.IFNA(VLOOKUP($B1776,'Node Details'!$B:$U,D$1,0),"Check"),"")</f>
        <v>CM4</v>
      </c>
      <c r="E1776" s="74" t="str">
        <f>IF($B1776&lt;&gt;"",_xlfn.IFNA(VLOOKUP($B1776,'Node Details'!$B:$U,E$1,0),"Check"),"")</f>
        <v>Airtel</v>
      </c>
      <c r="F1776" s="76">
        <v>46148</v>
      </c>
      <c r="G1776" s="74"/>
      <c r="H1776" s="10" t="s">
        <v>1248</v>
      </c>
      <c r="I1776" s="9">
        <v>1</v>
      </c>
      <c r="J1776" s="9">
        <v>950</v>
      </c>
      <c r="K1776" s="77">
        <f t="shared" ref="K1776:K1839" si="122">IF(I1776&lt;&gt;"",J1776*I1776,0)</f>
        <v>950</v>
      </c>
      <c r="L1776" s="76">
        <v>46142</v>
      </c>
      <c r="N1776" s="83"/>
      <c r="O1776" s="84"/>
      <c r="P1776" s="81"/>
      <c r="Q1776" s="81"/>
      <c r="R1776" s="81"/>
      <c r="S1776" s="81"/>
      <c r="T1776" s="85"/>
      <c r="U1776" s="81"/>
      <c r="V1776" s="81"/>
      <c r="W1776" s="123">
        <f t="shared" ref="W1776:W1839" si="123">IF(V1776&lt;&gt;"",V1776*U1776,0)</f>
        <v>0</v>
      </c>
      <c r="X1776" s="123" t="s">
        <v>84</v>
      </c>
      <c r="Y1776" s="114" t="s">
        <v>1128</v>
      </c>
    </row>
    <row r="1777" spans="1:25" s="24" customFormat="1" ht="11.1" customHeight="1">
      <c r="A1777" s="74">
        <f t="shared" si="121"/>
        <v>1775</v>
      </c>
      <c r="B1777" s="75" t="s">
        <v>1228</v>
      </c>
      <c r="C1777" s="74" t="str">
        <f>IF($B1777&lt;&gt;"",_xlfn.IFNA(VLOOKUP($B1777,'Node Details'!$B:$U,C$1,0),"Check"),"")</f>
        <v>0000CM416-CM4160104</v>
      </c>
      <c r="D1777" s="74" t="str">
        <f>IF($B1777&lt;&gt;"",_xlfn.IFNA(VLOOKUP($B1777,'Node Details'!$B:$U,D$1,0),"Check"),"")</f>
        <v>CM4</v>
      </c>
      <c r="E1777" s="74" t="str">
        <f>IF($B1777&lt;&gt;"",_xlfn.IFNA(VLOOKUP($B1777,'Node Details'!$B:$U,E$1,0),"Check"),"")</f>
        <v>Airtel</v>
      </c>
      <c r="F1777" s="76">
        <v>46148</v>
      </c>
      <c r="G1777" s="74"/>
      <c r="H1777" s="10" t="s">
        <v>1248</v>
      </c>
      <c r="I1777" s="9">
        <v>1</v>
      </c>
      <c r="J1777" s="9">
        <v>950</v>
      </c>
      <c r="K1777" s="77">
        <f t="shared" si="122"/>
        <v>950</v>
      </c>
      <c r="L1777" s="76">
        <v>46142</v>
      </c>
      <c r="N1777" s="83"/>
      <c r="O1777" s="84"/>
      <c r="P1777" s="81"/>
      <c r="Q1777" s="81"/>
      <c r="R1777" s="81"/>
      <c r="S1777" s="81"/>
      <c r="T1777" s="85"/>
      <c r="U1777" s="81"/>
      <c r="V1777" s="81"/>
      <c r="W1777" s="123">
        <f t="shared" si="123"/>
        <v>0</v>
      </c>
      <c r="X1777" s="123" t="s">
        <v>84</v>
      </c>
      <c r="Y1777" s="114" t="s">
        <v>1128</v>
      </c>
    </row>
    <row r="1778" spans="1:25" s="24" customFormat="1" ht="11.1" customHeight="1">
      <c r="A1778" s="74">
        <f t="shared" si="121"/>
        <v>1776</v>
      </c>
      <c r="B1778" s="75" t="s">
        <v>920</v>
      </c>
      <c r="C1778" s="74" t="str">
        <f>IF($B1778&lt;&gt;"",_xlfn.IFNA(VLOOKUP($B1778,'Node Details'!$B:$U,C$1,0),"Check"),"")</f>
        <v>0000CM416-CM4160104</v>
      </c>
      <c r="D1778" s="74" t="str">
        <f>IF($B1778&lt;&gt;"",_xlfn.IFNA(VLOOKUP($B1778,'Node Details'!$B:$U,D$1,0),"Check"),"")</f>
        <v>CM4</v>
      </c>
      <c r="E1778" s="74" t="str">
        <f>IF($B1778&lt;&gt;"",_xlfn.IFNA(VLOOKUP($B1778,'Node Details'!$B:$U,E$1,0),"Check"),"")</f>
        <v>Airtel</v>
      </c>
      <c r="F1778" s="76">
        <v>46148</v>
      </c>
      <c r="G1778" s="74"/>
      <c r="H1778" s="10" t="s">
        <v>1248</v>
      </c>
      <c r="I1778" s="9">
        <v>1</v>
      </c>
      <c r="J1778" s="9">
        <v>950</v>
      </c>
      <c r="K1778" s="77">
        <f t="shared" si="122"/>
        <v>950</v>
      </c>
      <c r="L1778" s="76">
        <v>46142</v>
      </c>
      <c r="N1778" s="83"/>
      <c r="O1778" s="84"/>
      <c r="P1778" s="81"/>
      <c r="Q1778" s="81"/>
      <c r="R1778" s="81"/>
      <c r="S1778" s="81"/>
      <c r="T1778" s="85"/>
      <c r="U1778" s="81"/>
      <c r="V1778" s="81"/>
      <c r="W1778" s="123">
        <f t="shared" si="123"/>
        <v>0</v>
      </c>
      <c r="X1778" s="123" t="s">
        <v>84</v>
      </c>
      <c r="Y1778" s="114" t="s">
        <v>1128</v>
      </c>
    </row>
    <row r="1779" spans="1:25" s="24" customFormat="1" ht="11.1" customHeight="1">
      <c r="A1779" s="74">
        <f t="shared" si="121"/>
        <v>1777</v>
      </c>
      <c r="B1779" s="75" t="s">
        <v>922</v>
      </c>
      <c r="C1779" s="74" t="str">
        <f>IF($B1779&lt;&gt;"",_xlfn.IFNA(VLOOKUP($B1779,'Node Details'!$B:$U,C$1,0),"Check"),"")</f>
        <v>0000CM416-CM4160105</v>
      </c>
      <c r="D1779" s="74" t="str">
        <f>IF($B1779&lt;&gt;"",_xlfn.IFNA(VLOOKUP($B1779,'Node Details'!$B:$U,D$1,0),"Check"),"")</f>
        <v>CM4</v>
      </c>
      <c r="E1779" s="74" t="str">
        <f>IF($B1779&lt;&gt;"",_xlfn.IFNA(VLOOKUP($B1779,'Node Details'!$B:$U,E$1,0),"Check"),"")</f>
        <v>Airtel</v>
      </c>
      <c r="F1779" s="76">
        <v>46148</v>
      </c>
      <c r="G1779" s="74"/>
      <c r="H1779" s="10" t="s">
        <v>1248</v>
      </c>
      <c r="I1779" s="9">
        <v>1</v>
      </c>
      <c r="J1779" s="9">
        <v>950</v>
      </c>
      <c r="K1779" s="77">
        <f t="shared" si="122"/>
        <v>950</v>
      </c>
      <c r="L1779" s="76">
        <v>46142</v>
      </c>
      <c r="N1779" s="83"/>
      <c r="O1779" s="84"/>
      <c r="P1779" s="81"/>
      <c r="Q1779" s="81"/>
      <c r="R1779" s="81"/>
      <c r="S1779" s="81"/>
      <c r="T1779" s="85"/>
      <c r="U1779" s="81"/>
      <c r="V1779" s="81"/>
      <c r="W1779" s="123">
        <f t="shared" si="123"/>
        <v>0</v>
      </c>
      <c r="X1779" s="123" t="s">
        <v>84</v>
      </c>
      <c r="Y1779" s="114" t="s">
        <v>1128</v>
      </c>
    </row>
    <row r="1780" spans="1:25" s="24" customFormat="1" ht="11.1" customHeight="1">
      <c r="A1780" s="74">
        <f t="shared" si="121"/>
        <v>1778</v>
      </c>
      <c r="B1780" s="75" t="s">
        <v>924</v>
      </c>
      <c r="C1780" s="74" t="str">
        <f>IF($B1780&lt;&gt;"",_xlfn.IFNA(VLOOKUP($B1780,'Node Details'!$B:$U,C$1,0),"Check"),"")</f>
        <v>0000CM418-CM4180101</v>
      </c>
      <c r="D1780" s="74" t="str">
        <f>IF($B1780&lt;&gt;"",_xlfn.IFNA(VLOOKUP($B1780,'Node Details'!$B:$U,D$1,0),"Check"),"")</f>
        <v>CM4</v>
      </c>
      <c r="E1780" s="74" t="str">
        <f>IF($B1780&lt;&gt;"",_xlfn.IFNA(VLOOKUP($B1780,'Node Details'!$B:$U,E$1,0),"Check"),"")</f>
        <v>Airtel</v>
      </c>
      <c r="F1780" s="76">
        <v>46148</v>
      </c>
      <c r="G1780" s="74"/>
      <c r="H1780" s="10" t="s">
        <v>1248</v>
      </c>
      <c r="I1780" s="9">
        <v>1</v>
      </c>
      <c r="J1780" s="9">
        <v>950</v>
      </c>
      <c r="K1780" s="77">
        <f t="shared" si="122"/>
        <v>950</v>
      </c>
      <c r="L1780" s="76">
        <v>46142</v>
      </c>
      <c r="N1780" s="83"/>
      <c r="O1780" s="84"/>
      <c r="P1780" s="81"/>
      <c r="Q1780" s="81"/>
      <c r="R1780" s="81"/>
      <c r="S1780" s="81"/>
      <c r="T1780" s="85"/>
      <c r="U1780" s="81"/>
      <c r="V1780" s="81"/>
      <c r="W1780" s="123">
        <f t="shared" si="123"/>
        <v>0</v>
      </c>
      <c r="X1780" s="123" t="s">
        <v>84</v>
      </c>
      <c r="Y1780" s="114" t="s">
        <v>1128</v>
      </c>
    </row>
    <row r="1781" spans="1:25" s="24" customFormat="1" ht="11.1" customHeight="1">
      <c r="A1781" s="74">
        <f t="shared" si="121"/>
        <v>1779</v>
      </c>
      <c r="B1781" s="75" t="s">
        <v>926</v>
      </c>
      <c r="C1781" s="74" t="str">
        <f>IF($B1781&lt;&gt;"",_xlfn.IFNA(VLOOKUP($B1781,'Node Details'!$B:$U,C$1,0),"Check"),"")</f>
        <v>0000CM418-CM4180102</v>
      </c>
      <c r="D1781" s="74" t="str">
        <f>IF($B1781&lt;&gt;"",_xlfn.IFNA(VLOOKUP($B1781,'Node Details'!$B:$U,D$1,0),"Check"),"")</f>
        <v>CM4</v>
      </c>
      <c r="E1781" s="74" t="str">
        <f>IF($B1781&lt;&gt;"",_xlfn.IFNA(VLOOKUP($B1781,'Node Details'!$B:$U,E$1,0),"Check"),"")</f>
        <v>Airtel</v>
      </c>
      <c r="F1781" s="76">
        <v>46148</v>
      </c>
      <c r="G1781" s="74"/>
      <c r="H1781" s="10" t="s">
        <v>1248</v>
      </c>
      <c r="I1781" s="9">
        <v>1</v>
      </c>
      <c r="J1781" s="9">
        <v>950</v>
      </c>
      <c r="K1781" s="77">
        <f t="shared" si="122"/>
        <v>950</v>
      </c>
      <c r="L1781" s="76">
        <v>46142</v>
      </c>
      <c r="N1781" s="83"/>
      <c r="O1781" s="84"/>
      <c r="P1781" s="81"/>
      <c r="Q1781" s="81"/>
      <c r="R1781" s="81"/>
      <c r="S1781" s="81"/>
      <c r="T1781" s="85"/>
      <c r="U1781" s="81"/>
      <c r="V1781" s="81"/>
      <c r="W1781" s="123">
        <f t="shared" si="123"/>
        <v>0</v>
      </c>
      <c r="X1781" s="123" t="s">
        <v>84</v>
      </c>
      <c r="Y1781" s="114" t="s">
        <v>1128</v>
      </c>
    </row>
    <row r="1782" spans="1:25" s="24" customFormat="1" ht="11.1" customHeight="1">
      <c r="A1782" s="74">
        <f t="shared" si="121"/>
        <v>1780</v>
      </c>
      <c r="B1782" s="75" t="s">
        <v>1229</v>
      </c>
      <c r="C1782" s="74" t="str">
        <f>IF($B1782&lt;&gt;"",_xlfn.IFNA(VLOOKUP($B1782,'Node Details'!$B:$U,C$1,0),"Check"),"")</f>
        <v>0000CM418-CM4180104</v>
      </c>
      <c r="D1782" s="74" t="str">
        <f>IF($B1782&lt;&gt;"",_xlfn.IFNA(VLOOKUP($B1782,'Node Details'!$B:$U,D$1,0),"Check"),"")</f>
        <v>CM4</v>
      </c>
      <c r="E1782" s="74" t="str">
        <f>IF($B1782&lt;&gt;"",_xlfn.IFNA(VLOOKUP($B1782,'Node Details'!$B:$U,E$1,0),"Check"),"")</f>
        <v>Airtel</v>
      </c>
      <c r="F1782" s="76">
        <v>46148</v>
      </c>
      <c r="G1782" s="74"/>
      <c r="H1782" s="10" t="s">
        <v>1248</v>
      </c>
      <c r="I1782" s="9">
        <v>1</v>
      </c>
      <c r="J1782" s="9">
        <v>950</v>
      </c>
      <c r="K1782" s="77">
        <f t="shared" si="122"/>
        <v>950</v>
      </c>
      <c r="L1782" s="76">
        <v>46142</v>
      </c>
      <c r="N1782" s="83"/>
      <c r="O1782" s="84"/>
      <c r="P1782" s="81"/>
      <c r="Q1782" s="81"/>
      <c r="R1782" s="81"/>
      <c r="S1782" s="81"/>
      <c r="T1782" s="85"/>
      <c r="U1782" s="81"/>
      <c r="V1782" s="81"/>
      <c r="W1782" s="123">
        <f t="shared" si="123"/>
        <v>0</v>
      </c>
      <c r="X1782" s="123" t="s">
        <v>84</v>
      </c>
      <c r="Y1782" s="114" t="s">
        <v>1128</v>
      </c>
    </row>
    <row r="1783" spans="1:25" s="24" customFormat="1" ht="11.1" customHeight="1">
      <c r="A1783" s="74">
        <f t="shared" si="121"/>
        <v>1781</v>
      </c>
      <c r="B1783" s="75" t="s">
        <v>928</v>
      </c>
      <c r="C1783" s="74" t="str">
        <f>IF($B1783&lt;&gt;"",_xlfn.IFNA(VLOOKUP($B1783,'Node Details'!$B:$U,C$1,0),"Check"),"")</f>
        <v>0000CM418-CM4180104</v>
      </c>
      <c r="D1783" s="74" t="str">
        <f>IF($B1783&lt;&gt;"",_xlfn.IFNA(VLOOKUP($B1783,'Node Details'!$B:$U,D$1,0),"Check"),"")</f>
        <v>CM4</v>
      </c>
      <c r="E1783" s="74" t="str">
        <f>IF($B1783&lt;&gt;"",_xlfn.IFNA(VLOOKUP($B1783,'Node Details'!$B:$U,E$1,0),"Check"),"")</f>
        <v>Airtel</v>
      </c>
      <c r="F1783" s="76">
        <v>46148</v>
      </c>
      <c r="G1783" s="74"/>
      <c r="H1783" s="10" t="s">
        <v>1248</v>
      </c>
      <c r="I1783" s="9">
        <v>1</v>
      </c>
      <c r="J1783" s="9">
        <v>950</v>
      </c>
      <c r="K1783" s="77">
        <f t="shared" si="122"/>
        <v>950</v>
      </c>
      <c r="L1783" s="76">
        <v>46142</v>
      </c>
      <c r="N1783" s="83"/>
      <c r="O1783" s="84"/>
      <c r="P1783" s="81"/>
      <c r="Q1783" s="81"/>
      <c r="R1783" s="81"/>
      <c r="S1783" s="81"/>
      <c r="T1783" s="85"/>
      <c r="U1783" s="81"/>
      <c r="V1783" s="81"/>
      <c r="W1783" s="123">
        <f t="shared" si="123"/>
        <v>0</v>
      </c>
      <c r="X1783" s="123" t="s">
        <v>84</v>
      </c>
      <c r="Y1783" s="114" t="s">
        <v>1128</v>
      </c>
    </row>
    <row r="1784" spans="1:25" s="24" customFormat="1" ht="11.1" customHeight="1">
      <c r="A1784" s="74">
        <f t="shared" si="121"/>
        <v>1782</v>
      </c>
      <c r="B1784" s="75" t="s">
        <v>1230</v>
      </c>
      <c r="C1784" s="74" t="str">
        <f>IF($B1784&lt;&gt;"",_xlfn.IFNA(VLOOKUP($B1784,'Node Details'!$B:$U,C$1,0),"Check"),"")</f>
        <v>0000CM418-CM4180108</v>
      </c>
      <c r="D1784" s="74" t="str">
        <f>IF($B1784&lt;&gt;"",_xlfn.IFNA(VLOOKUP($B1784,'Node Details'!$B:$U,D$1,0),"Check"),"")</f>
        <v>CM4</v>
      </c>
      <c r="E1784" s="74" t="str">
        <f>IF($B1784&lt;&gt;"",_xlfn.IFNA(VLOOKUP($B1784,'Node Details'!$B:$U,E$1,0),"Check"),"")</f>
        <v>Airtel</v>
      </c>
      <c r="F1784" s="76">
        <v>46148</v>
      </c>
      <c r="G1784" s="74"/>
      <c r="H1784" s="10" t="s">
        <v>1248</v>
      </c>
      <c r="I1784" s="9">
        <v>1</v>
      </c>
      <c r="J1784" s="9">
        <v>950</v>
      </c>
      <c r="K1784" s="77">
        <f t="shared" si="122"/>
        <v>950</v>
      </c>
      <c r="L1784" s="76">
        <v>46142</v>
      </c>
      <c r="N1784" s="83"/>
      <c r="O1784" s="84"/>
      <c r="P1784" s="81"/>
      <c r="Q1784" s="81"/>
      <c r="R1784" s="81"/>
      <c r="S1784" s="81"/>
      <c r="T1784" s="85"/>
      <c r="U1784" s="81"/>
      <c r="V1784" s="81"/>
      <c r="W1784" s="123">
        <f t="shared" si="123"/>
        <v>0</v>
      </c>
      <c r="X1784" s="123" t="s">
        <v>84</v>
      </c>
      <c r="Y1784" s="114" t="s">
        <v>1128</v>
      </c>
    </row>
    <row r="1785" spans="1:25" s="24" customFormat="1" ht="11.1" customHeight="1">
      <c r="A1785" s="74">
        <f t="shared" si="121"/>
        <v>1783</v>
      </c>
      <c r="B1785" s="75" t="s">
        <v>1231</v>
      </c>
      <c r="C1785" s="74" t="str">
        <f>IF($B1785&lt;&gt;"",_xlfn.IFNA(VLOOKUP($B1785,'Node Details'!$B:$U,C$1,0),"Check"),"")</f>
        <v>0000CM418-CM4180108</v>
      </c>
      <c r="D1785" s="74" t="str">
        <f>IF($B1785&lt;&gt;"",_xlfn.IFNA(VLOOKUP($B1785,'Node Details'!$B:$U,D$1,0),"Check"),"")</f>
        <v>CM4</v>
      </c>
      <c r="E1785" s="74" t="str">
        <f>IF($B1785&lt;&gt;"",_xlfn.IFNA(VLOOKUP($B1785,'Node Details'!$B:$U,E$1,0),"Check"),"")</f>
        <v>Airtel</v>
      </c>
      <c r="F1785" s="76">
        <v>46148</v>
      </c>
      <c r="G1785" s="74"/>
      <c r="H1785" s="10" t="s">
        <v>1248</v>
      </c>
      <c r="I1785" s="9">
        <v>1</v>
      </c>
      <c r="J1785" s="9">
        <v>950</v>
      </c>
      <c r="K1785" s="77">
        <f t="shared" si="122"/>
        <v>950</v>
      </c>
      <c r="L1785" s="76">
        <v>46142</v>
      </c>
      <c r="N1785" s="83"/>
      <c r="O1785" s="84"/>
      <c r="P1785" s="81"/>
      <c r="Q1785" s="81"/>
      <c r="R1785" s="81"/>
      <c r="S1785" s="81"/>
      <c r="T1785" s="85"/>
      <c r="U1785" s="81"/>
      <c r="V1785" s="81"/>
      <c r="W1785" s="123">
        <f t="shared" si="123"/>
        <v>0</v>
      </c>
      <c r="X1785" s="123" t="s">
        <v>84</v>
      </c>
      <c r="Y1785" s="114" t="s">
        <v>1128</v>
      </c>
    </row>
    <row r="1786" spans="1:25" s="24" customFormat="1" ht="11.1" customHeight="1">
      <c r="A1786" s="74">
        <f t="shared" si="121"/>
        <v>1784</v>
      </c>
      <c r="B1786" s="75" t="s">
        <v>1232</v>
      </c>
      <c r="C1786" s="74" t="str">
        <f>IF($B1786&lt;&gt;"",_xlfn.IFNA(VLOOKUP($B1786,'Node Details'!$B:$U,C$1,0),"Check"),"")</f>
        <v>0000CM418-CM4180108</v>
      </c>
      <c r="D1786" s="74" t="str">
        <f>IF($B1786&lt;&gt;"",_xlfn.IFNA(VLOOKUP($B1786,'Node Details'!$B:$U,D$1,0),"Check"),"")</f>
        <v>CM4</v>
      </c>
      <c r="E1786" s="74" t="str">
        <f>IF($B1786&lt;&gt;"",_xlfn.IFNA(VLOOKUP($B1786,'Node Details'!$B:$U,E$1,0),"Check"),"")</f>
        <v>Airtel</v>
      </c>
      <c r="F1786" s="76">
        <v>46148</v>
      </c>
      <c r="G1786" s="74"/>
      <c r="H1786" s="10" t="s">
        <v>1248</v>
      </c>
      <c r="I1786" s="9">
        <v>1</v>
      </c>
      <c r="J1786" s="9">
        <v>950</v>
      </c>
      <c r="K1786" s="77">
        <f t="shared" si="122"/>
        <v>950</v>
      </c>
      <c r="L1786" s="76">
        <v>46142</v>
      </c>
      <c r="N1786" s="83"/>
      <c r="O1786" s="84"/>
      <c r="P1786" s="81"/>
      <c r="Q1786" s="81"/>
      <c r="R1786" s="81"/>
      <c r="S1786" s="81"/>
      <c r="T1786" s="85"/>
      <c r="U1786" s="81"/>
      <c r="V1786" s="81"/>
      <c r="W1786" s="123">
        <f t="shared" si="123"/>
        <v>0</v>
      </c>
      <c r="X1786" s="123" t="s">
        <v>84</v>
      </c>
      <c r="Y1786" s="114" t="s">
        <v>1128</v>
      </c>
    </row>
    <row r="1787" spans="1:25" s="24" customFormat="1" ht="11.1" customHeight="1">
      <c r="A1787" s="74">
        <f t="shared" si="121"/>
        <v>1785</v>
      </c>
      <c r="B1787" s="75" t="s">
        <v>930</v>
      </c>
      <c r="C1787" s="74" t="str">
        <f>IF($B1787&lt;&gt;"",_xlfn.IFNA(VLOOKUP($B1787,'Node Details'!$B:$U,C$1,0),"Check"),"")</f>
        <v>0000CM418-CM4180108</v>
      </c>
      <c r="D1787" s="74" t="str">
        <f>IF($B1787&lt;&gt;"",_xlfn.IFNA(VLOOKUP($B1787,'Node Details'!$B:$U,D$1,0),"Check"),"")</f>
        <v>CM4</v>
      </c>
      <c r="E1787" s="74" t="str">
        <f>IF($B1787&lt;&gt;"",_xlfn.IFNA(VLOOKUP($B1787,'Node Details'!$B:$U,E$1,0),"Check"),"")</f>
        <v>Airtel</v>
      </c>
      <c r="F1787" s="76">
        <v>46148</v>
      </c>
      <c r="G1787" s="74"/>
      <c r="H1787" s="10" t="s">
        <v>1248</v>
      </c>
      <c r="I1787" s="9">
        <v>1</v>
      </c>
      <c r="J1787" s="9">
        <v>950</v>
      </c>
      <c r="K1787" s="77">
        <f t="shared" si="122"/>
        <v>950</v>
      </c>
      <c r="L1787" s="76">
        <v>46142</v>
      </c>
      <c r="N1787" s="83"/>
      <c r="O1787" s="84"/>
      <c r="P1787" s="81"/>
      <c r="Q1787" s="81"/>
      <c r="R1787" s="81"/>
      <c r="S1787" s="81"/>
      <c r="T1787" s="85"/>
      <c r="U1787" s="81"/>
      <c r="V1787" s="81"/>
      <c r="W1787" s="123">
        <f t="shared" si="123"/>
        <v>0</v>
      </c>
      <c r="X1787" s="123" t="s">
        <v>84</v>
      </c>
      <c r="Y1787" s="114" t="s">
        <v>1128</v>
      </c>
    </row>
    <row r="1788" spans="1:25" s="24" customFormat="1" ht="11.1" customHeight="1">
      <c r="A1788" s="74">
        <f t="shared" si="121"/>
        <v>1786</v>
      </c>
      <c r="B1788" s="75" t="s">
        <v>933</v>
      </c>
      <c r="C1788" s="74" t="str">
        <f>IF($B1788&lt;&gt;"",_xlfn.IFNA(VLOOKUP($B1788,'Node Details'!$B:$U,C$1,0),"Check"),"")</f>
        <v>0000CM419-CM4190101</v>
      </c>
      <c r="D1788" s="74" t="str">
        <f>IF($B1788&lt;&gt;"",_xlfn.IFNA(VLOOKUP($B1788,'Node Details'!$B:$U,D$1,0),"Check"),"")</f>
        <v>CM4</v>
      </c>
      <c r="E1788" s="74" t="str">
        <f>IF($B1788&lt;&gt;"",_xlfn.IFNA(VLOOKUP($B1788,'Node Details'!$B:$U,E$1,0),"Check"),"")</f>
        <v>Airtel</v>
      </c>
      <c r="F1788" s="76">
        <v>46148</v>
      </c>
      <c r="G1788" s="74"/>
      <c r="H1788" s="10" t="s">
        <v>1248</v>
      </c>
      <c r="I1788" s="9">
        <v>1</v>
      </c>
      <c r="J1788" s="9">
        <v>950</v>
      </c>
      <c r="K1788" s="77">
        <f t="shared" si="122"/>
        <v>950</v>
      </c>
      <c r="L1788" s="76">
        <v>46142</v>
      </c>
      <c r="N1788" s="83"/>
      <c r="O1788" s="84"/>
      <c r="P1788" s="81"/>
      <c r="Q1788" s="81"/>
      <c r="R1788" s="81"/>
      <c r="S1788" s="81"/>
      <c r="T1788" s="85"/>
      <c r="U1788" s="81"/>
      <c r="V1788" s="81"/>
      <c r="W1788" s="123">
        <f t="shared" si="123"/>
        <v>0</v>
      </c>
      <c r="X1788" s="123" t="s">
        <v>84</v>
      </c>
      <c r="Y1788" s="114" t="s">
        <v>1128</v>
      </c>
    </row>
    <row r="1789" spans="1:25" s="24" customFormat="1" ht="11.1" customHeight="1">
      <c r="A1789" s="74">
        <f t="shared" si="121"/>
        <v>1787</v>
      </c>
      <c r="B1789" s="75" t="s">
        <v>935</v>
      </c>
      <c r="C1789" s="74" t="str">
        <f>IF($B1789&lt;&gt;"",_xlfn.IFNA(VLOOKUP($B1789,'Node Details'!$B:$U,C$1,0),"Check"),"")</f>
        <v>0000CM419-CM4190103</v>
      </c>
      <c r="D1789" s="74" t="str">
        <f>IF($B1789&lt;&gt;"",_xlfn.IFNA(VLOOKUP($B1789,'Node Details'!$B:$U,D$1,0),"Check"),"")</f>
        <v>CM4</v>
      </c>
      <c r="E1789" s="74" t="str">
        <f>IF($B1789&lt;&gt;"",_xlfn.IFNA(VLOOKUP($B1789,'Node Details'!$B:$U,E$1,0),"Check"),"")</f>
        <v>Airtel</v>
      </c>
      <c r="F1789" s="76">
        <v>46148</v>
      </c>
      <c r="G1789" s="74"/>
      <c r="H1789" s="10" t="s">
        <v>1248</v>
      </c>
      <c r="I1789" s="9">
        <v>1</v>
      </c>
      <c r="J1789" s="9">
        <v>950</v>
      </c>
      <c r="K1789" s="77">
        <f t="shared" si="122"/>
        <v>950</v>
      </c>
      <c r="L1789" s="76">
        <v>46142</v>
      </c>
      <c r="N1789" s="83"/>
      <c r="O1789" s="84"/>
      <c r="P1789" s="81"/>
      <c r="Q1789" s="81"/>
      <c r="R1789" s="81"/>
      <c r="S1789" s="81"/>
      <c r="T1789" s="85"/>
      <c r="U1789" s="81"/>
      <c r="V1789" s="81"/>
      <c r="W1789" s="123">
        <f t="shared" si="123"/>
        <v>0</v>
      </c>
      <c r="X1789" s="123" t="s">
        <v>84</v>
      </c>
      <c r="Y1789" s="114" t="s">
        <v>1128</v>
      </c>
    </row>
    <row r="1790" spans="1:25" s="24" customFormat="1" ht="11.1" customHeight="1">
      <c r="A1790" s="74">
        <f t="shared" si="121"/>
        <v>1788</v>
      </c>
      <c r="B1790" s="75" t="s">
        <v>1233</v>
      </c>
      <c r="C1790" s="74" t="str">
        <f>IF($B1790&lt;&gt;"",_xlfn.IFNA(VLOOKUP($B1790,'Node Details'!$B:$U,C$1,0),"Check"),"")</f>
        <v>0000CM419-CM4190108</v>
      </c>
      <c r="D1790" s="74" t="str">
        <f>IF($B1790&lt;&gt;"",_xlfn.IFNA(VLOOKUP($B1790,'Node Details'!$B:$U,D$1,0),"Check"),"")</f>
        <v>CM4</v>
      </c>
      <c r="E1790" s="74" t="str">
        <f>IF($B1790&lt;&gt;"",_xlfn.IFNA(VLOOKUP($B1790,'Node Details'!$B:$U,E$1,0),"Check"),"")</f>
        <v>Airtel</v>
      </c>
      <c r="F1790" s="76">
        <v>46148</v>
      </c>
      <c r="G1790" s="74"/>
      <c r="H1790" s="10" t="s">
        <v>1248</v>
      </c>
      <c r="I1790" s="9">
        <v>1</v>
      </c>
      <c r="J1790" s="9">
        <v>950</v>
      </c>
      <c r="K1790" s="77">
        <f t="shared" si="122"/>
        <v>950</v>
      </c>
      <c r="L1790" s="76">
        <v>46142</v>
      </c>
      <c r="N1790" s="83"/>
      <c r="O1790" s="84"/>
      <c r="P1790" s="81"/>
      <c r="Q1790" s="81"/>
      <c r="R1790" s="81"/>
      <c r="S1790" s="81"/>
      <c r="T1790" s="85"/>
      <c r="U1790" s="81"/>
      <c r="V1790" s="81"/>
      <c r="W1790" s="123">
        <f t="shared" si="123"/>
        <v>0</v>
      </c>
      <c r="X1790" s="123" t="s">
        <v>84</v>
      </c>
      <c r="Y1790" s="114" t="s">
        <v>1128</v>
      </c>
    </row>
    <row r="1791" spans="1:25" s="24" customFormat="1" ht="11.1" customHeight="1">
      <c r="A1791" s="74">
        <f t="shared" si="121"/>
        <v>1789</v>
      </c>
      <c r="B1791" s="75" t="s">
        <v>1234</v>
      </c>
      <c r="C1791" s="74" t="str">
        <f>IF($B1791&lt;&gt;"",_xlfn.IFNA(VLOOKUP($B1791,'Node Details'!$B:$U,C$1,0),"Check"),"")</f>
        <v>0000CM419-CM4190108</v>
      </c>
      <c r="D1791" s="74" t="str">
        <f>IF($B1791&lt;&gt;"",_xlfn.IFNA(VLOOKUP($B1791,'Node Details'!$B:$U,D$1,0),"Check"),"")</f>
        <v>CM4</v>
      </c>
      <c r="E1791" s="74" t="str">
        <f>IF($B1791&lt;&gt;"",_xlfn.IFNA(VLOOKUP($B1791,'Node Details'!$B:$U,E$1,0),"Check"),"")</f>
        <v>Airtel</v>
      </c>
      <c r="F1791" s="76">
        <v>46148</v>
      </c>
      <c r="G1791" s="74"/>
      <c r="H1791" s="10" t="s">
        <v>1248</v>
      </c>
      <c r="I1791" s="9">
        <v>1</v>
      </c>
      <c r="J1791" s="9">
        <v>950</v>
      </c>
      <c r="K1791" s="77">
        <f t="shared" si="122"/>
        <v>950</v>
      </c>
      <c r="L1791" s="76">
        <v>46142</v>
      </c>
      <c r="N1791" s="83"/>
      <c r="O1791" s="84"/>
      <c r="P1791" s="81"/>
      <c r="Q1791" s="81"/>
      <c r="R1791" s="81"/>
      <c r="S1791" s="81"/>
      <c r="T1791" s="85"/>
      <c r="U1791" s="81"/>
      <c r="V1791" s="81"/>
      <c r="W1791" s="123">
        <f t="shared" si="123"/>
        <v>0</v>
      </c>
      <c r="X1791" s="123" t="s">
        <v>84</v>
      </c>
      <c r="Y1791" s="114" t="s">
        <v>1128</v>
      </c>
    </row>
    <row r="1792" spans="1:25" s="24" customFormat="1" ht="11.1" customHeight="1">
      <c r="A1792" s="74">
        <f t="shared" si="121"/>
        <v>1790</v>
      </c>
      <c r="B1792" s="75" t="s">
        <v>1235</v>
      </c>
      <c r="C1792" s="74" t="str">
        <f>IF($B1792&lt;&gt;"",_xlfn.IFNA(VLOOKUP($B1792,'Node Details'!$B:$U,C$1,0),"Check"),"")</f>
        <v>0000CM419-CM4190108</v>
      </c>
      <c r="D1792" s="74" t="str">
        <f>IF($B1792&lt;&gt;"",_xlfn.IFNA(VLOOKUP($B1792,'Node Details'!$B:$U,D$1,0),"Check"),"")</f>
        <v>CM4</v>
      </c>
      <c r="E1792" s="74" t="str">
        <f>IF($B1792&lt;&gt;"",_xlfn.IFNA(VLOOKUP($B1792,'Node Details'!$B:$U,E$1,0),"Check"),"")</f>
        <v>Airtel</v>
      </c>
      <c r="F1792" s="76">
        <v>46148</v>
      </c>
      <c r="G1792" s="74"/>
      <c r="H1792" s="10" t="s">
        <v>1248</v>
      </c>
      <c r="I1792" s="9">
        <v>1</v>
      </c>
      <c r="J1792" s="9">
        <v>950</v>
      </c>
      <c r="K1792" s="77">
        <f t="shared" si="122"/>
        <v>950</v>
      </c>
      <c r="L1792" s="76">
        <v>46142</v>
      </c>
      <c r="N1792" s="83"/>
      <c r="O1792" s="84"/>
      <c r="P1792" s="81"/>
      <c r="Q1792" s="81"/>
      <c r="R1792" s="81"/>
      <c r="S1792" s="81"/>
      <c r="T1792" s="85"/>
      <c r="U1792" s="81"/>
      <c r="V1792" s="81"/>
      <c r="W1792" s="123">
        <f t="shared" si="123"/>
        <v>0</v>
      </c>
      <c r="X1792" s="123" t="s">
        <v>84</v>
      </c>
      <c r="Y1792" s="114" t="s">
        <v>1128</v>
      </c>
    </row>
    <row r="1793" spans="1:25" s="24" customFormat="1" ht="11.1" customHeight="1">
      <c r="A1793" s="74">
        <f t="shared" si="121"/>
        <v>1791</v>
      </c>
      <c r="B1793" s="75" t="s">
        <v>1236</v>
      </c>
      <c r="C1793" s="74" t="str">
        <f>IF($B1793&lt;&gt;"",_xlfn.IFNA(VLOOKUP($B1793,'Node Details'!$B:$U,C$1,0),"Check"),"")</f>
        <v>0000CM419-CM4190108</v>
      </c>
      <c r="D1793" s="74" t="str">
        <f>IF($B1793&lt;&gt;"",_xlfn.IFNA(VLOOKUP($B1793,'Node Details'!$B:$U,D$1,0),"Check"),"")</f>
        <v>CM4</v>
      </c>
      <c r="E1793" s="74" t="str">
        <f>IF($B1793&lt;&gt;"",_xlfn.IFNA(VLOOKUP($B1793,'Node Details'!$B:$U,E$1,0),"Check"),"")</f>
        <v>Airtel</v>
      </c>
      <c r="F1793" s="76">
        <v>46148</v>
      </c>
      <c r="G1793" s="74"/>
      <c r="H1793" s="10" t="s">
        <v>1248</v>
      </c>
      <c r="I1793" s="9">
        <v>1</v>
      </c>
      <c r="J1793" s="9">
        <v>950</v>
      </c>
      <c r="K1793" s="77">
        <f t="shared" si="122"/>
        <v>950</v>
      </c>
      <c r="L1793" s="76">
        <v>46142</v>
      </c>
      <c r="N1793" s="83"/>
      <c r="O1793" s="84"/>
      <c r="P1793" s="81"/>
      <c r="Q1793" s="81"/>
      <c r="R1793" s="81"/>
      <c r="S1793" s="81"/>
      <c r="T1793" s="85"/>
      <c r="U1793" s="81"/>
      <c r="V1793" s="81"/>
      <c r="W1793" s="123">
        <f t="shared" si="123"/>
        <v>0</v>
      </c>
      <c r="X1793" s="123" t="s">
        <v>84</v>
      </c>
      <c r="Y1793" s="114" t="s">
        <v>1128</v>
      </c>
    </row>
    <row r="1794" spans="1:25" s="24" customFormat="1" ht="11.1" customHeight="1">
      <c r="A1794" s="74">
        <f t="shared" si="121"/>
        <v>1792</v>
      </c>
      <c r="B1794" s="75" t="s">
        <v>937</v>
      </c>
      <c r="C1794" s="74" t="str">
        <f>IF($B1794&lt;&gt;"",_xlfn.IFNA(VLOOKUP($B1794,'Node Details'!$B:$U,C$1,0),"Check"),"")</f>
        <v>0000CM419-CM4190108</v>
      </c>
      <c r="D1794" s="74" t="str">
        <f>IF($B1794&lt;&gt;"",_xlfn.IFNA(VLOOKUP($B1794,'Node Details'!$B:$U,D$1,0),"Check"),"")</f>
        <v>CM4</v>
      </c>
      <c r="E1794" s="74" t="str">
        <f>IF($B1794&lt;&gt;"",_xlfn.IFNA(VLOOKUP($B1794,'Node Details'!$B:$U,E$1,0),"Check"),"")</f>
        <v>Airtel</v>
      </c>
      <c r="F1794" s="76">
        <v>46148</v>
      </c>
      <c r="G1794" s="74"/>
      <c r="H1794" s="10" t="s">
        <v>1249</v>
      </c>
      <c r="I1794" s="9">
        <v>1</v>
      </c>
      <c r="J1794" s="9">
        <v>375</v>
      </c>
      <c r="K1794" s="77">
        <f t="shared" si="122"/>
        <v>375</v>
      </c>
      <c r="L1794" s="76">
        <v>46142</v>
      </c>
      <c r="N1794" s="83"/>
      <c r="O1794" s="84"/>
      <c r="P1794" s="81"/>
      <c r="Q1794" s="81"/>
      <c r="R1794" s="81"/>
      <c r="S1794" s="81"/>
      <c r="T1794" s="85"/>
      <c r="U1794" s="81"/>
      <c r="V1794" s="81"/>
      <c r="W1794" s="123">
        <f t="shared" si="123"/>
        <v>0</v>
      </c>
      <c r="X1794" s="123" t="s">
        <v>84</v>
      </c>
      <c r="Y1794" s="114" t="s">
        <v>1128</v>
      </c>
    </row>
    <row r="1795" spans="1:25" s="24" customFormat="1" ht="11.1" customHeight="1">
      <c r="A1795" s="74">
        <f t="shared" si="121"/>
        <v>1793</v>
      </c>
      <c r="B1795" s="75" t="s">
        <v>939</v>
      </c>
      <c r="C1795" s="74" t="str">
        <f>IF($B1795&lt;&gt;"",_xlfn.IFNA(VLOOKUP($B1795,'Node Details'!$B:$U,C$1,0),"Check"),"")</f>
        <v>0000CM419-CM4190102</v>
      </c>
      <c r="D1795" s="74" t="str">
        <f>IF($B1795&lt;&gt;"",_xlfn.IFNA(VLOOKUP($B1795,'Node Details'!$B:$U,D$1,0),"Check"),"")</f>
        <v>CM4</v>
      </c>
      <c r="E1795" s="74" t="str">
        <f>IF($B1795&lt;&gt;"",_xlfn.IFNA(VLOOKUP($B1795,'Node Details'!$B:$U,E$1,0),"Check"),"")</f>
        <v>Airtel</v>
      </c>
      <c r="F1795" s="76">
        <v>46148</v>
      </c>
      <c r="G1795" s="74"/>
      <c r="H1795" s="10" t="s">
        <v>1249</v>
      </c>
      <c r="I1795" s="9">
        <v>1</v>
      </c>
      <c r="J1795" s="9">
        <v>375</v>
      </c>
      <c r="K1795" s="77">
        <f t="shared" si="122"/>
        <v>375</v>
      </c>
      <c r="L1795" s="76">
        <v>46142</v>
      </c>
      <c r="N1795" s="83"/>
      <c r="O1795" s="84"/>
      <c r="P1795" s="81"/>
      <c r="Q1795" s="81"/>
      <c r="R1795" s="81"/>
      <c r="S1795" s="81"/>
      <c r="T1795" s="85"/>
      <c r="U1795" s="81"/>
      <c r="V1795" s="81"/>
      <c r="W1795" s="123">
        <f t="shared" si="123"/>
        <v>0</v>
      </c>
      <c r="X1795" s="123" t="s">
        <v>84</v>
      </c>
      <c r="Y1795" s="114" t="s">
        <v>1128</v>
      </c>
    </row>
    <row r="1796" spans="1:25" s="24" customFormat="1" ht="11.1" customHeight="1">
      <c r="A1796" s="74">
        <f t="shared" ref="A1796:A1859" si="124">A1795+1</f>
        <v>1794</v>
      </c>
      <c r="B1796" s="75" t="s">
        <v>1237</v>
      </c>
      <c r="C1796" s="74" t="str">
        <f>IF($B1796&lt;&gt;"",_xlfn.IFNA(VLOOKUP($B1796,'Node Details'!$B:$U,C$1,0),"Check"),"")</f>
        <v>0000CM420-CM4200104</v>
      </c>
      <c r="D1796" s="74" t="str">
        <f>IF($B1796&lt;&gt;"",_xlfn.IFNA(VLOOKUP($B1796,'Node Details'!$B:$U,D$1,0),"Check"),"")</f>
        <v>CM4</v>
      </c>
      <c r="E1796" s="74" t="str">
        <f>IF($B1796&lt;&gt;"",_xlfn.IFNA(VLOOKUP($B1796,'Node Details'!$B:$U,E$1,0),"Check"),"")</f>
        <v>Airtel</v>
      </c>
      <c r="F1796" s="76">
        <v>46148</v>
      </c>
      <c r="G1796" s="74"/>
      <c r="H1796" s="10" t="s">
        <v>1249</v>
      </c>
      <c r="I1796" s="9">
        <v>1</v>
      </c>
      <c r="J1796" s="9">
        <v>375</v>
      </c>
      <c r="K1796" s="77">
        <f t="shared" si="122"/>
        <v>375</v>
      </c>
      <c r="L1796" s="76">
        <v>46142</v>
      </c>
      <c r="N1796" s="83"/>
      <c r="O1796" s="84"/>
      <c r="P1796" s="81"/>
      <c r="Q1796" s="81"/>
      <c r="R1796" s="81"/>
      <c r="S1796" s="81"/>
      <c r="T1796" s="85"/>
      <c r="U1796" s="81"/>
      <c r="V1796" s="81"/>
      <c r="W1796" s="123">
        <f t="shared" si="123"/>
        <v>0</v>
      </c>
      <c r="X1796" s="123" t="s">
        <v>84</v>
      </c>
      <c r="Y1796" s="114" t="s">
        <v>1128</v>
      </c>
    </row>
    <row r="1797" spans="1:25" s="24" customFormat="1" ht="11.1" customHeight="1">
      <c r="A1797" s="74">
        <f t="shared" si="124"/>
        <v>1795</v>
      </c>
      <c r="B1797" s="75" t="s">
        <v>942</v>
      </c>
      <c r="C1797" s="74" t="str">
        <f>IF($B1797&lt;&gt;"",_xlfn.IFNA(VLOOKUP($B1797,'Node Details'!$B:$U,C$1,0),"Check"),"")</f>
        <v>0000CM420-CM4200104</v>
      </c>
      <c r="D1797" s="74" t="str">
        <f>IF($B1797&lt;&gt;"",_xlfn.IFNA(VLOOKUP($B1797,'Node Details'!$B:$U,D$1,0),"Check"),"")</f>
        <v>CM4</v>
      </c>
      <c r="E1797" s="74" t="str">
        <f>IF($B1797&lt;&gt;"",_xlfn.IFNA(VLOOKUP($B1797,'Node Details'!$B:$U,E$1,0),"Check"),"")</f>
        <v>Airtel</v>
      </c>
      <c r="F1797" s="76">
        <v>46148</v>
      </c>
      <c r="G1797" s="74"/>
      <c r="H1797" s="10" t="s">
        <v>1249</v>
      </c>
      <c r="I1797" s="9">
        <v>1</v>
      </c>
      <c r="J1797" s="9">
        <v>375</v>
      </c>
      <c r="K1797" s="77">
        <f t="shared" si="122"/>
        <v>375</v>
      </c>
      <c r="L1797" s="76">
        <v>46142</v>
      </c>
      <c r="N1797" s="83"/>
      <c r="O1797" s="84"/>
      <c r="P1797" s="81"/>
      <c r="Q1797" s="81"/>
      <c r="R1797" s="81"/>
      <c r="S1797" s="81"/>
      <c r="T1797" s="85"/>
      <c r="U1797" s="81"/>
      <c r="V1797" s="81"/>
      <c r="W1797" s="123">
        <f t="shared" si="123"/>
        <v>0</v>
      </c>
      <c r="X1797" s="123" t="s">
        <v>84</v>
      </c>
      <c r="Y1797" s="114" t="s">
        <v>1128</v>
      </c>
    </row>
    <row r="1798" spans="1:25" s="24" customFormat="1" ht="11.1" customHeight="1">
      <c r="A1798" s="74">
        <f t="shared" si="124"/>
        <v>1796</v>
      </c>
      <c r="B1798" s="75" t="s">
        <v>1238</v>
      </c>
      <c r="C1798" s="74" t="str">
        <f>IF($B1798&lt;&gt;"",_xlfn.IFNA(VLOOKUP($B1798,'Node Details'!$B:$U,C$1,0),"Check"),"")</f>
        <v>0000CM420-CM4200102</v>
      </c>
      <c r="D1798" s="74" t="str">
        <f>IF($B1798&lt;&gt;"",_xlfn.IFNA(VLOOKUP($B1798,'Node Details'!$B:$U,D$1,0),"Check"),"")</f>
        <v>CM4</v>
      </c>
      <c r="E1798" s="74" t="str">
        <f>IF($B1798&lt;&gt;"",_xlfn.IFNA(VLOOKUP($B1798,'Node Details'!$B:$U,E$1,0),"Check"),"")</f>
        <v>Airtel</v>
      </c>
      <c r="F1798" s="76">
        <v>46148</v>
      </c>
      <c r="G1798" s="74"/>
      <c r="H1798" s="10" t="s">
        <v>1249</v>
      </c>
      <c r="I1798" s="9">
        <v>1</v>
      </c>
      <c r="J1798" s="9">
        <v>375</v>
      </c>
      <c r="K1798" s="77">
        <f t="shared" si="122"/>
        <v>375</v>
      </c>
      <c r="L1798" s="76">
        <v>46142</v>
      </c>
      <c r="N1798" s="83"/>
      <c r="O1798" s="84"/>
      <c r="P1798" s="81"/>
      <c r="Q1798" s="81"/>
      <c r="R1798" s="81"/>
      <c r="S1798" s="81"/>
      <c r="T1798" s="85"/>
      <c r="U1798" s="81"/>
      <c r="V1798" s="81"/>
      <c r="W1798" s="123">
        <f t="shared" si="123"/>
        <v>0</v>
      </c>
      <c r="X1798" s="123" t="s">
        <v>84</v>
      </c>
      <c r="Y1798" s="114" t="s">
        <v>1128</v>
      </c>
    </row>
    <row r="1799" spans="1:25" s="24" customFormat="1" ht="11.1" customHeight="1">
      <c r="A1799" s="74">
        <f t="shared" si="124"/>
        <v>1797</v>
      </c>
      <c r="B1799" s="75" t="s">
        <v>944</v>
      </c>
      <c r="C1799" s="74" t="str">
        <f>IF($B1799&lt;&gt;"",_xlfn.IFNA(VLOOKUP($B1799,'Node Details'!$B:$U,C$1,0),"Check"),"")</f>
        <v>0000CM420-CM4200102</v>
      </c>
      <c r="D1799" s="74" t="str">
        <f>IF($B1799&lt;&gt;"",_xlfn.IFNA(VLOOKUP($B1799,'Node Details'!$B:$U,D$1,0),"Check"),"")</f>
        <v>CM4</v>
      </c>
      <c r="E1799" s="74" t="str">
        <f>IF($B1799&lt;&gt;"",_xlfn.IFNA(VLOOKUP($B1799,'Node Details'!$B:$U,E$1,0),"Check"),"")</f>
        <v>Airtel</v>
      </c>
      <c r="F1799" s="76">
        <v>46148</v>
      </c>
      <c r="G1799" s="74"/>
      <c r="H1799" s="10" t="s">
        <v>1249</v>
      </c>
      <c r="I1799" s="9">
        <v>1</v>
      </c>
      <c r="J1799" s="9">
        <v>375</v>
      </c>
      <c r="K1799" s="77">
        <f t="shared" si="122"/>
        <v>375</v>
      </c>
      <c r="L1799" s="76">
        <v>46142</v>
      </c>
      <c r="N1799" s="83"/>
      <c r="O1799" s="84"/>
      <c r="P1799" s="81"/>
      <c r="Q1799" s="81"/>
      <c r="R1799" s="81"/>
      <c r="S1799" s="81"/>
      <c r="T1799" s="85"/>
      <c r="U1799" s="81"/>
      <c r="V1799" s="81"/>
      <c r="W1799" s="123">
        <f t="shared" si="123"/>
        <v>0</v>
      </c>
      <c r="X1799" s="123" t="s">
        <v>84</v>
      </c>
      <c r="Y1799" s="114" t="s">
        <v>1128</v>
      </c>
    </row>
    <row r="1800" spans="1:25" s="24" customFormat="1" ht="11.1" customHeight="1">
      <c r="A1800" s="74">
        <f t="shared" si="124"/>
        <v>1798</v>
      </c>
      <c r="B1800" s="75" t="s">
        <v>946</v>
      </c>
      <c r="C1800" s="74" t="str">
        <f>IF($B1800&lt;&gt;"",_xlfn.IFNA(VLOOKUP($B1800,'Node Details'!$B:$U,C$1,0),"Check"),"")</f>
        <v>0000CM420-CM4200108</v>
      </c>
      <c r="D1800" s="74" t="str">
        <f>IF($B1800&lt;&gt;"",_xlfn.IFNA(VLOOKUP($B1800,'Node Details'!$B:$U,D$1,0),"Check"),"")</f>
        <v>CM4</v>
      </c>
      <c r="E1800" s="74" t="str">
        <f>IF($B1800&lt;&gt;"",_xlfn.IFNA(VLOOKUP($B1800,'Node Details'!$B:$U,E$1,0),"Check"),"")</f>
        <v>Airtel</v>
      </c>
      <c r="F1800" s="76">
        <v>46148</v>
      </c>
      <c r="G1800" s="74"/>
      <c r="H1800" s="10" t="s">
        <v>1249</v>
      </c>
      <c r="I1800" s="9">
        <v>1</v>
      </c>
      <c r="J1800" s="9">
        <v>375</v>
      </c>
      <c r="K1800" s="77">
        <f t="shared" si="122"/>
        <v>375</v>
      </c>
      <c r="L1800" s="76">
        <v>46142</v>
      </c>
      <c r="N1800" s="83"/>
      <c r="O1800" s="84"/>
      <c r="P1800" s="81"/>
      <c r="Q1800" s="81"/>
      <c r="R1800" s="81"/>
      <c r="S1800" s="81"/>
      <c r="T1800" s="85"/>
      <c r="U1800" s="81"/>
      <c r="V1800" s="81"/>
      <c r="W1800" s="123">
        <f t="shared" si="123"/>
        <v>0</v>
      </c>
      <c r="X1800" s="123" t="s">
        <v>84</v>
      </c>
      <c r="Y1800" s="114" t="s">
        <v>1128</v>
      </c>
    </row>
    <row r="1801" spans="1:25" s="24" customFormat="1" ht="11.1" customHeight="1">
      <c r="A1801" s="74">
        <f t="shared" si="124"/>
        <v>1799</v>
      </c>
      <c r="B1801" s="75" t="s">
        <v>948</v>
      </c>
      <c r="C1801" s="74" t="str">
        <f>IF($B1801&lt;&gt;"",_xlfn.IFNA(VLOOKUP($B1801,'Node Details'!$B:$U,C$1,0),"Check"),"")</f>
        <v>0000CM420-CM4200106</v>
      </c>
      <c r="D1801" s="74" t="str">
        <f>IF($B1801&lt;&gt;"",_xlfn.IFNA(VLOOKUP($B1801,'Node Details'!$B:$U,D$1,0),"Check"),"")</f>
        <v>CM4</v>
      </c>
      <c r="E1801" s="74" t="str">
        <f>IF($B1801&lt;&gt;"",_xlfn.IFNA(VLOOKUP($B1801,'Node Details'!$B:$U,E$1,0),"Check"),"")</f>
        <v>Airtel</v>
      </c>
      <c r="F1801" s="76">
        <v>46148</v>
      </c>
      <c r="G1801" s="74"/>
      <c r="H1801" s="10" t="s">
        <v>1249</v>
      </c>
      <c r="I1801" s="9">
        <v>1</v>
      </c>
      <c r="J1801" s="9">
        <v>375</v>
      </c>
      <c r="K1801" s="77">
        <f t="shared" si="122"/>
        <v>375</v>
      </c>
      <c r="L1801" s="76">
        <v>46142</v>
      </c>
      <c r="N1801" s="83"/>
      <c r="O1801" s="84"/>
      <c r="P1801" s="81"/>
      <c r="Q1801" s="81"/>
      <c r="R1801" s="81"/>
      <c r="S1801" s="81"/>
      <c r="T1801" s="85"/>
      <c r="U1801" s="81"/>
      <c r="V1801" s="81"/>
      <c r="W1801" s="123">
        <f t="shared" si="123"/>
        <v>0</v>
      </c>
      <c r="X1801" s="123" t="s">
        <v>84</v>
      </c>
      <c r="Y1801" s="114" t="s">
        <v>1128</v>
      </c>
    </row>
    <row r="1802" spans="1:25" s="24" customFormat="1" ht="11.1" customHeight="1">
      <c r="A1802" s="74">
        <f t="shared" si="124"/>
        <v>1800</v>
      </c>
      <c r="B1802" s="75" t="s">
        <v>950</v>
      </c>
      <c r="C1802" s="74" t="str">
        <f>IF($B1802&lt;&gt;"",_xlfn.IFNA(VLOOKUP($B1802,'Node Details'!$B:$U,C$1,0),"Check"),"")</f>
        <v>0000CM421-CM4210101</v>
      </c>
      <c r="D1802" s="74" t="str">
        <f>IF($B1802&lt;&gt;"",_xlfn.IFNA(VLOOKUP($B1802,'Node Details'!$B:$U,D$1,0),"Check"),"")</f>
        <v>CM4</v>
      </c>
      <c r="E1802" s="74" t="str">
        <f>IF($B1802&lt;&gt;"",_xlfn.IFNA(VLOOKUP($B1802,'Node Details'!$B:$U,E$1,0),"Check"),"")</f>
        <v>Airtel</v>
      </c>
      <c r="F1802" s="76">
        <v>46148</v>
      </c>
      <c r="G1802" s="74"/>
      <c r="H1802" s="10" t="s">
        <v>1249</v>
      </c>
      <c r="I1802" s="9">
        <v>1</v>
      </c>
      <c r="J1802" s="9">
        <v>375</v>
      </c>
      <c r="K1802" s="77">
        <f t="shared" si="122"/>
        <v>375</v>
      </c>
      <c r="L1802" s="76">
        <v>46142</v>
      </c>
      <c r="N1802" s="83"/>
      <c r="O1802" s="84"/>
      <c r="P1802" s="81"/>
      <c r="Q1802" s="81"/>
      <c r="R1802" s="81"/>
      <c r="S1802" s="81"/>
      <c r="T1802" s="85"/>
      <c r="U1802" s="81"/>
      <c r="V1802" s="81"/>
      <c r="W1802" s="123">
        <f t="shared" si="123"/>
        <v>0</v>
      </c>
      <c r="X1802" s="123" t="s">
        <v>84</v>
      </c>
      <c r="Y1802" s="114" t="s">
        <v>1128</v>
      </c>
    </row>
    <row r="1803" spans="1:25" s="24" customFormat="1" ht="11.1" customHeight="1">
      <c r="A1803" s="74">
        <f t="shared" si="124"/>
        <v>1801</v>
      </c>
      <c r="B1803" s="75" t="s">
        <v>1239</v>
      </c>
      <c r="C1803" s="74" t="str">
        <f>IF($B1803&lt;&gt;"",_xlfn.IFNA(VLOOKUP($B1803,'Node Details'!$B:$U,C$1,0),"Check"),"")</f>
        <v>0000CM421-CM4210104</v>
      </c>
      <c r="D1803" s="74" t="str">
        <f>IF($B1803&lt;&gt;"",_xlfn.IFNA(VLOOKUP($B1803,'Node Details'!$B:$U,D$1,0),"Check"),"")</f>
        <v>CM4</v>
      </c>
      <c r="E1803" s="74" t="str">
        <f>IF($B1803&lt;&gt;"",_xlfn.IFNA(VLOOKUP($B1803,'Node Details'!$B:$U,E$1,0),"Check"),"")</f>
        <v>Airtel</v>
      </c>
      <c r="F1803" s="76">
        <v>46148</v>
      </c>
      <c r="G1803" s="74"/>
      <c r="H1803" s="10" t="s">
        <v>1249</v>
      </c>
      <c r="I1803" s="9">
        <v>1</v>
      </c>
      <c r="J1803" s="9">
        <v>375</v>
      </c>
      <c r="K1803" s="77">
        <f t="shared" si="122"/>
        <v>375</v>
      </c>
      <c r="L1803" s="76">
        <v>46142</v>
      </c>
      <c r="N1803" s="83"/>
      <c r="O1803" s="84"/>
      <c r="P1803" s="81"/>
      <c r="Q1803" s="81"/>
      <c r="R1803" s="81"/>
      <c r="S1803" s="81"/>
      <c r="T1803" s="85"/>
      <c r="U1803" s="81"/>
      <c r="V1803" s="81"/>
      <c r="W1803" s="123">
        <f t="shared" si="123"/>
        <v>0</v>
      </c>
      <c r="X1803" s="123" t="s">
        <v>84</v>
      </c>
      <c r="Y1803" s="114" t="s">
        <v>1128</v>
      </c>
    </row>
    <row r="1804" spans="1:25" s="24" customFormat="1" ht="11.1" customHeight="1">
      <c r="A1804" s="74">
        <f t="shared" si="124"/>
        <v>1802</v>
      </c>
      <c r="B1804" s="75" t="s">
        <v>1240</v>
      </c>
      <c r="C1804" s="74" t="str">
        <f>IF($B1804&lt;&gt;"",_xlfn.IFNA(VLOOKUP($B1804,'Node Details'!$B:$U,C$1,0),"Check"),"")</f>
        <v>0000CM421-CM4210104</v>
      </c>
      <c r="D1804" s="74" t="str">
        <f>IF($B1804&lt;&gt;"",_xlfn.IFNA(VLOOKUP($B1804,'Node Details'!$B:$U,D$1,0),"Check"),"")</f>
        <v>CM4</v>
      </c>
      <c r="E1804" s="74" t="str">
        <f>IF($B1804&lt;&gt;"",_xlfn.IFNA(VLOOKUP($B1804,'Node Details'!$B:$U,E$1,0),"Check"),"")</f>
        <v>Airtel</v>
      </c>
      <c r="F1804" s="76">
        <v>46148</v>
      </c>
      <c r="G1804" s="74"/>
      <c r="H1804" s="10" t="s">
        <v>1249</v>
      </c>
      <c r="I1804" s="9">
        <v>1</v>
      </c>
      <c r="J1804" s="9">
        <v>375</v>
      </c>
      <c r="K1804" s="77">
        <f t="shared" si="122"/>
        <v>375</v>
      </c>
      <c r="L1804" s="76">
        <v>46142</v>
      </c>
      <c r="N1804" s="83"/>
      <c r="O1804" s="84"/>
      <c r="P1804" s="81"/>
      <c r="Q1804" s="81"/>
      <c r="R1804" s="81"/>
      <c r="S1804" s="81"/>
      <c r="T1804" s="85"/>
      <c r="U1804" s="81"/>
      <c r="V1804" s="81"/>
      <c r="W1804" s="123">
        <f t="shared" si="123"/>
        <v>0</v>
      </c>
      <c r="X1804" s="123" t="s">
        <v>84</v>
      </c>
      <c r="Y1804" s="114" t="s">
        <v>1128</v>
      </c>
    </row>
    <row r="1805" spans="1:25" s="24" customFormat="1" ht="11.1" customHeight="1">
      <c r="A1805" s="74">
        <f t="shared" si="124"/>
        <v>1803</v>
      </c>
      <c r="B1805" s="75" t="s">
        <v>952</v>
      </c>
      <c r="C1805" s="74" t="str">
        <f>IF($B1805&lt;&gt;"",_xlfn.IFNA(VLOOKUP($B1805,'Node Details'!$B:$U,C$1,0),"Check"),"")</f>
        <v>0000CM421-CM4210104</v>
      </c>
      <c r="D1805" s="74" t="str">
        <f>IF($B1805&lt;&gt;"",_xlfn.IFNA(VLOOKUP($B1805,'Node Details'!$B:$U,D$1,0),"Check"),"")</f>
        <v>CM4</v>
      </c>
      <c r="E1805" s="74" t="str">
        <f>IF($B1805&lt;&gt;"",_xlfn.IFNA(VLOOKUP($B1805,'Node Details'!$B:$U,E$1,0),"Check"),"")</f>
        <v>Airtel</v>
      </c>
      <c r="F1805" s="76">
        <v>46148</v>
      </c>
      <c r="G1805" s="74"/>
      <c r="H1805" s="10" t="s">
        <v>1249</v>
      </c>
      <c r="I1805" s="9">
        <v>1</v>
      </c>
      <c r="J1805" s="9">
        <v>375</v>
      </c>
      <c r="K1805" s="77">
        <f t="shared" si="122"/>
        <v>375</v>
      </c>
      <c r="L1805" s="76">
        <v>46142</v>
      </c>
      <c r="N1805" s="83"/>
      <c r="O1805" s="84"/>
      <c r="P1805" s="81"/>
      <c r="Q1805" s="81"/>
      <c r="R1805" s="81"/>
      <c r="S1805" s="81"/>
      <c r="T1805" s="85"/>
      <c r="U1805" s="81"/>
      <c r="V1805" s="81"/>
      <c r="W1805" s="123">
        <f t="shared" si="123"/>
        <v>0</v>
      </c>
      <c r="X1805" s="123" t="s">
        <v>84</v>
      </c>
      <c r="Y1805" s="114" t="s">
        <v>1128</v>
      </c>
    </row>
    <row r="1806" spans="1:25" s="24" customFormat="1" ht="11.1" customHeight="1">
      <c r="A1806" s="74">
        <f t="shared" si="124"/>
        <v>1804</v>
      </c>
      <c r="B1806" s="75" t="s">
        <v>954</v>
      </c>
      <c r="C1806" s="74" t="str">
        <f>IF($B1806&lt;&gt;"",_xlfn.IFNA(VLOOKUP($B1806,'Node Details'!$B:$U,C$1,0),"Check"),"")</f>
        <v>0000CM421-CM4210105</v>
      </c>
      <c r="D1806" s="74" t="str">
        <f>IF($B1806&lt;&gt;"",_xlfn.IFNA(VLOOKUP($B1806,'Node Details'!$B:$U,D$1,0),"Check"),"")</f>
        <v>CM4</v>
      </c>
      <c r="E1806" s="74" t="str">
        <f>IF($B1806&lt;&gt;"",_xlfn.IFNA(VLOOKUP($B1806,'Node Details'!$B:$U,E$1,0),"Check"),"")</f>
        <v>Airtel</v>
      </c>
      <c r="F1806" s="76">
        <v>46148</v>
      </c>
      <c r="G1806" s="74"/>
      <c r="H1806" s="10" t="s">
        <v>1249</v>
      </c>
      <c r="I1806" s="9">
        <v>1</v>
      </c>
      <c r="J1806" s="9">
        <v>375</v>
      </c>
      <c r="K1806" s="77">
        <f t="shared" si="122"/>
        <v>375</v>
      </c>
      <c r="L1806" s="76">
        <v>46142</v>
      </c>
      <c r="N1806" s="83"/>
      <c r="O1806" s="84"/>
      <c r="P1806" s="81"/>
      <c r="Q1806" s="81"/>
      <c r="R1806" s="81"/>
      <c r="S1806" s="81"/>
      <c r="T1806" s="85"/>
      <c r="U1806" s="81"/>
      <c r="V1806" s="81"/>
      <c r="W1806" s="123">
        <f t="shared" si="123"/>
        <v>0</v>
      </c>
      <c r="X1806" s="123" t="s">
        <v>84</v>
      </c>
      <c r="Y1806" s="114" t="s">
        <v>1128</v>
      </c>
    </row>
    <row r="1807" spans="1:25" s="24" customFormat="1" ht="11.1" customHeight="1">
      <c r="A1807" s="74">
        <f t="shared" si="124"/>
        <v>1805</v>
      </c>
      <c r="B1807" s="75" t="s">
        <v>820</v>
      </c>
      <c r="C1807" s="74" t="str">
        <f>IF($B1807&lt;&gt;"",_xlfn.IFNA(VLOOKUP($B1807,'Node Details'!$B:$U,C$1,0),"Check"),"")</f>
        <v>000000CM4-0000CM403</v>
      </c>
      <c r="D1807" s="74" t="str">
        <f>IF($B1807&lt;&gt;"",_xlfn.IFNA(VLOOKUP($B1807,'Node Details'!$B:$U,D$1,0),"Check"),"")</f>
        <v>CM4</v>
      </c>
      <c r="E1807" s="74" t="str">
        <f>IF($B1807&lt;&gt;"",_xlfn.IFNA(VLOOKUP($B1807,'Node Details'!$B:$U,E$1,0),"Check"),"")</f>
        <v>Airtel</v>
      </c>
      <c r="F1807" s="76">
        <v>46148</v>
      </c>
      <c r="G1807" s="74"/>
      <c r="H1807" s="10" t="s">
        <v>1250</v>
      </c>
      <c r="I1807" s="9">
        <v>2</v>
      </c>
      <c r="J1807" s="9">
        <v>150</v>
      </c>
      <c r="K1807" s="77">
        <f t="shared" si="122"/>
        <v>300</v>
      </c>
      <c r="L1807" s="76">
        <v>46142</v>
      </c>
      <c r="N1807" s="83"/>
      <c r="O1807" s="84"/>
      <c r="P1807" s="81"/>
      <c r="Q1807" s="81"/>
      <c r="R1807" s="81"/>
      <c r="S1807" s="81"/>
      <c r="T1807" s="85"/>
      <c r="U1807" s="81"/>
      <c r="V1807" s="81"/>
      <c r="W1807" s="123">
        <f t="shared" si="123"/>
        <v>0</v>
      </c>
      <c r="X1807" s="123" t="s">
        <v>84</v>
      </c>
      <c r="Y1807" s="114" t="s">
        <v>1128</v>
      </c>
    </row>
    <row r="1808" spans="1:25" s="24" customFormat="1" ht="11.1" customHeight="1">
      <c r="A1808" s="74">
        <f t="shared" si="124"/>
        <v>1806</v>
      </c>
      <c r="B1808" s="75" t="s">
        <v>821</v>
      </c>
      <c r="C1808" s="74" t="str">
        <f>IF($B1808&lt;&gt;"",_xlfn.IFNA(VLOOKUP($B1808,'Node Details'!$B:$U,C$1,0),"Check"),"")</f>
        <v>0000CM401-CM4010101</v>
      </c>
      <c r="D1808" s="74" t="str">
        <f>IF($B1808&lt;&gt;"",_xlfn.IFNA(VLOOKUP($B1808,'Node Details'!$B:$U,D$1,0),"Check"),"")</f>
        <v>CM4</v>
      </c>
      <c r="E1808" s="74" t="str">
        <f>IF($B1808&lt;&gt;"",_xlfn.IFNA(VLOOKUP($B1808,'Node Details'!$B:$U,E$1,0),"Check"),"")</f>
        <v>Airtel</v>
      </c>
      <c r="F1808" s="76">
        <v>46148</v>
      </c>
      <c r="G1808" s="74"/>
      <c r="H1808" s="10" t="s">
        <v>1250</v>
      </c>
      <c r="I1808" s="9">
        <v>2</v>
      </c>
      <c r="J1808" s="9">
        <v>150</v>
      </c>
      <c r="K1808" s="77">
        <f t="shared" si="122"/>
        <v>300</v>
      </c>
      <c r="L1808" s="76">
        <v>46142</v>
      </c>
      <c r="N1808" s="83"/>
      <c r="O1808" s="84"/>
      <c r="P1808" s="81"/>
      <c r="Q1808" s="81"/>
      <c r="R1808" s="81"/>
      <c r="S1808" s="81"/>
      <c r="T1808" s="85"/>
      <c r="U1808" s="81"/>
      <c r="V1808" s="81"/>
      <c r="W1808" s="123">
        <f t="shared" si="123"/>
        <v>0</v>
      </c>
      <c r="X1808" s="123" t="s">
        <v>84</v>
      </c>
      <c r="Y1808" s="114" t="s">
        <v>1128</v>
      </c>
    </row>
    <row r="1809" spans="1:25" s="24" customFormat="1" ht="11.1" customHeight="1">
      <c r="A1809" s="74">
        <f t="shared" si="124"/>
        <v>1807</v>
      </c>
      <c r="B1809" s="75" t="s">
        <v>823</v>
      </c>
      <c r="C1809" s="74" t="str">
        <f>IF($B1809&lt;&gt;"",_xlfn.IFNA(VLOOKUP($B1809,'Node Details'!$B:$U,C$1,0),"Check"),"")</f>
        <v>0000CM401-CM4010102</v>
      </c>
      <c r="D1809" s="74" t="str">
        <f>IF($B1809&lt;&gt;"",_xlfn.IFNA(VLOOKUP($B1809,'Node Details'!$B:$U,D$1,0),"Check"),"")</f>
        <v>CM4</v>
      </c>
      <c r="E1809" s="74" t="str">
        <f>IF($B1809&lt;&gt;"",_xlfn.IFNA(VLOOKUP($B1809,'Node Details'!$B:$U,E$1,0),"Check"),"")</f>
        <v>Airtel</v>
      </c>
      <c r="F1809" s="76">
        <v>46148</v>
      </c>
      <c r="G1809" s="74"/>
      <c r="H1809" s="10" t="s">
        <v>1250</v>
      </c>
      <c r="I1809" s="9">
        <v>2</v>
      </c>
      <c r="J1809" s="9">
        <v>150</v>
      </c>
      <c r="K1809" s="77">
        <f t="shared" si="122"/>
        <v>300</v>
      </c>
      <c r="L1809" s="76">
        <v>46142</v>
      </c>
      <c r="N1809" s="83"/>
      <c r="O1809" s="84"/>
      <c r="P1809" s="81"/>
      <c r="Q1809" s="81"/>
      <c r="R1809" s="81"/>
      <c r="S1809" s="81"/>
      <c r="T1809" s="85"/>
      <c r="U1809" s="81"/>
      <c r="V1809" s="81"/>
      <c r="W1809" s="123">
        <f t="shared" si="123"/>
        <v>0</v>
      </c>
      <c r="X1809" s="123" t="s">
        <v>84</v>
      </c>
      <c r="Y1809" s="114" t="s">
        <v>1128</v>
      </c>
    </row>
    <row r="1810" spans="1:25" s="24" customFormat="1" ht="11.1" customHeight="1">
      <c r="A1810" s="74">
        <f t="shared" si="124"/>
        <v>1808</v>
      </c>
      <c r="B1810" s="75" t="s">
        <v>1204</v>
      </c>
      <c r="C1810" s="74" t="str">
        <f>IF($B1810&lt;&gt;"",_xlfn.IFNA(VLOOKUP($B1810,'Node Details'!$B:$U,C$1,0),"Check"),"")</f>
        <v>0000CM401-CM4010104</v>
      </c>
      <c r="D1810" s="74" t="str">
        <f>IF($B1810&lt;&gt;"",_xlfn.IFNA(VLOOKUP($B1810,'Node Details'!$B:$U,D$1,0),"Check"),"")</f>
        <v>CM4</v>
      </c>
      <c r="E1810" s="74" t="str">
        <f>IF($B1810&lt;&gt;"",_xlfn.IFNA(VLOOKUP($B1810,'Node Details'!$B:$U,E$1,0),"Check"),"")</f>
        <v>Airtel</v>
      </c>
      <c r="F1810" s="76">
        <v>46148</v>
      </c>
      <c r="G1810" s="74"/>
      <c r="H1810" s="10" t="s">
        <v>1250</v>
      </c>
      <c r="I1810" s="9">
        <v>2</v>
      </c>
      <c r="J1810" s="9">
        <v>150</v>
      </c>
      <c r="K1810" s="77">
        <f t="shared" si="122"/>
        <v>300</v>
      </c>
      <c r="L1810" s="76">
        <v>46142</v>
      </c>
      <c r="N1810" s="83"/>
      <c r="O1810" s="84"/>
      <c r="P1810" s="81"/>
      <c r="Q1810" s="81"/>
      <c r="R1810" s="81"/>
      <c r="S1810" s="81"/>
      <c r="T1810" s="85"/>
      <c r="U1810" s="81"/>
      <c r="V1810" s="81"/>
      <c r="W1810" s="123">
        <f t="shared" si="123"/>
        <v>0</v>
      </c>
      <c r="X1810" s="123" t="s">
        <v>84</v>
      </c>
      <c r="Y1810" s="114" t="s">
        <v>1128</v>
      </c>
    </row>
    <row r="1811" spans="1:25" s="24" customFormat="1" ht="11.1" customHeight="1">
      <c r="A1811" s="74">
        <f t="shared" si="124"/>
        <v>1809</v>
      </c>
      <c r="B1811" s="75" t="s">
        <v>827</v>
      </c>
      <c r="C1811" s="74" t="str">
        <f>IF($B1811&lt;&gt;"",_xlfn.IFNA(VLOOKUP($B1811,'Node Details'!$B:$U,C$1,0),"Check"),"")</f>
        <v>0000CM401-CM4010104</v>
      </c>
      <c r="D1811" s="74" t="str">
        <f>IF($B1811&lt;&gt;"",_xlfn.IFNA(VLOOKUP($B1811,'Node Details'!$B:$U,D$1,0),"Check"),"")</f>
        <v>CM4</v>
      </c>
      <c r="E1811" s="74" t="str">
        <f>IF($B1811&lt;&gt;"",_xlfn.IFNA(VLOOKUP($B1811,'Node Details'!$B:$U,E$1,0),"Check"),"")</f>
        <v>Airtel</v>
      </c>
      <c r="F1811" s="76">
        <v>46148</v>
      </c>
      <c r="G1811" s="74"/>
      <c r="H1811" s="10" t="s">
        <v>1250</v>
      </c>
      <c r="I1811" s="9">
        <v>2</v>
      </c>
      <c r="J1811" s="9">
        <v>150</v>
      </c>
      <c r="K1811" s="77">
        <f t="shared" si="122"/>
        <v>300</v>
      </c>
      <c r="L1811" s="76">
        <v>46142</v>
      </c>
      <c r="N1811" s="83"/>
      <c r="O1811" s="84"/>
      <c r="P1811" s="81"/>
      <c r="Q1811" s="81"/>
      <c r="R1811" s="81"/>
      <c r="S1811" s="81"/>
      <c r="T1811" s="85"/>
      <c r="U1811" s="81"/>
      <c r="V1811" s="81"/>
      <c r="W1811" s="123">
        <f t="shared" si="123"/>
        <v>0</v>
      </c>
      <c r="X1811" s="123" t="s">
        <v>84</v>
      </c>
      <c r="Y1811" s="114" t="s">
        <v>1128</v>
      </c>
    </row>
    <row r="1812" spans="1:25" s="24" customFormat="1" ht="11.1" customHeight="1">
      <c r="A1812" s="74">
        <f t="shared" si="124"/>
        <v>1810</v>
      </c>
      <c r="B1812" s="75" t="s">
        <v>825</v>
      </c>
      <c r="C1812" s="74" t="str">
        <f>IF($B1812&lt;&gt;"",_xlfn.IFNA(VLOOKUP($B1812,'Node Details'!$B:$U,C$1,0),"Check"),"")</f>
        <v>0000CM401-CM4010104</v>
      </c>
      <c r="D1812" s="74" t="str">
        <f>IF($B1812&lt;&gt;"",_xlfn.IFNA(VLOOKUP($B1812,'Node Details'!$B:$U,D$1,0),"Check"),"")</f>
        <v>CM4</v>
      </c>
      <c r="E1812" s="74" t="str">
        <f>IF($B1812&lt;&gt;"",_xlfn.IFNA(VLOOKUP($B1812,'Node Details'!$B:$U,E$1,0),"Check"),"")</f>
        <v>Airtel</v>
      </c>
      <c r="F1812" s="76">
        <v>46148</v>
      </c>
      <c r="G1812" s="74"/>
      <c r="H1812" s="10" t="s">
        <v>1250</v>
      </c>
      <c r="I1812" s="9">
        <v>2</v>
      </c>
      <c r="J1812" s="9">
        <v>150</v>
      </c>
      <c r="K1812" s="77">
        <f t="shared" si="122"/>
        <v>300</v>
      </c>
      <c r="L1812" s="76">
        <v>46142</v>
      </c>
      <c r="N1812" s="83"/>
      <c r="O1812" s="84"/>
      <c r="P1812" s="81"/>
      <c r="Q1812" s="81"/>
      <c r="R1812" s="81"/>
      <c r="S1812" s="81"/>
      <c r="T1812" s="85"/>
      <c r="U1812" s="81"/>
      <c r="V1812" s="81"/>
      <c r="W1812" s="123">
        <f t="shared" si="123"/>
        <v>0</v>
      </c>
      <c r="X1812" s="123" t="s">
        <v>84</v>
      </c>
      <c r="Y1812" s="114" t="s">
        <v>1128</v>
      </c>
    </row>
    <row r="1813" spans="1:25" s="24" customFormat="1" ht="11.1" customHeight="1">
      <c r="A1813" s="74">
        <f t="shared" si="124"/>
        <v>1811</v>
      </c>
      <c r="B1813" s="75" t="s">
        <v>1205</v>
      </c>
      <c r="C1813" s="74" t="str">
        <f>IF($B1813&lt;&gt;"",_xlfn.IFNA(VLOOKUP($B1813,'Node Details'!$B:$U,C$1,0),"Check"),"")</f>
        <v>CM4010106-CM4010108</v>
      </c>
      <c r="D1813" s="74" t="str">
        <f>IF($B1813&lt;&gt;"",_xlfn.IFNA(VLOOKUP($B1813,'Node Details'!$B:$U,D$1,0),"Check"),"")</f>
        <v>CM4</v>
      </c>
      <c r="E1813" s="74" t="str">
        <f>IF($B1813&lt;&gt;"",_xlfn.IFNA(VLOOKUP($B1813,'Node Details'!$B:$U,E$1,0),"Check"),"")</f>
        <v>Airtel</v>
      </c>
      <c r="F1813" s="76">
        <v>46148</v>
      </c>
      <c r="G1813" s="74"/>
      <c r="H1813" s="10" t="s">
        <v>1250</v>
      </c>
      <c r="I1813" s="9">
        <v>2</v>
      </c>
      <c r="J1813" s="9">
        <v>150</v>
      </c>
      <c r="K1813" s="77">
        <f t="shared" si="122"/>
        <v>300</v>
      </c>
      <c r="L1813" s="76">
        <v>46142</v>
      </c>
      <c r="N1813" s="83"/>
      <c r="O1813" s="84"/>
      <c r="P1813" s="81"/>
      <c r="Q1813" s="81"/>
      <c r="R1813" s="81"/>
      <c r="S1813" s="81"/>
      <c r="T1813" s="85"/>
      <c r="U1813" s="81"/>
      <c r="V1813" s="81"/>
      <c r="W1813" s="123">
        <f t="shared" si="123"/>
        <v>0</v>
      </c>
      <c r="X1813" s="123" t="s">
        <v>84</v>
      </c>
      <c r="Y1813" s="114" t="s">
        <v>1128</v>
      </c>
    </row>
    <row r="1814" spans="1:25" s="24" customFormat="1" ht="11.1" customHeight="1">
      <c r="A1814" s="74">
        <f t="shared" si="124"/>
        <v>1812</v>
      </c>
      <c r="B1814" s="75" t="s">
        <v>828</v>
      </c>
      <c r="C1814" s="74" t="str">
        <f>IF($B1814&lt;&gt;"",_xlfn.IFNA(VLOOKUP($B1814,'Node Details'!$B:$U,C$1,0),"Check"),"")</f>
        <v>CM4010106-CM4010108</v>
      </c>
      <c r="D1814" s="74" t="str">
        <f>IF($B1814&lt;&gt;"",_xlfn.IFNA(VLOOKUP($B1814,'Node Details'!$B:$U,D$1,0),"Check"),"")</f>
        <v>CM4</v>
      </c>
      <c r="E1814" s="74" t="str">
        <f>IF($B1814&lt;&gt;"",_xlfn.IFNA(VLOOKUP($B1814,'Node Details'!$B:$U,E$1,0),"Check"),"")</f>
        <v>Airtel</v>
      </c>
      <c r="F1814" s="76">
        <v>46148</v>
      </c>
      <c r="G1814" s="74"/>
      <c r="H1814" s="10" t="s">
        <v>1250</v>
      </c>
      <c r="I1814" s="9">
        <v>2</v>
      </c>
      <c r="J1814" s="9">
        <v>150</v>
      </c>
      <c r="K1814" s="77">
        <f t="shared" si="122"/>
        <v>300</v>
      </c>
      <c r="L1814" s="76">
        <v>46142</v>
      </c>
      <c r="N1814" s="83"/>
      <c r="O1814" s="84"/>
      <c r="P1814" s="81"/>
      <c r="Q1814" s="81"/>
      <c r="R1814" s="81"/>
      <c r="S1814" s="81"/>
      <c r="T1814" s="85"/>
      <c r="U1814" s="81"/>
      <c r="V1814" s="81"/>
      <c r="W1814" s="123">
        <f t="shared" si="123"/>
        <v>0</v>
      </c>
      <c r="X1814" s="123" t="s">
        <v>84</v>
      </c>
      <c r="Y1814" s="114" t="s">
        <v>1128</v>
      </c>
    </row>
    <row r="1815" spans="1:25" s="24" customFormat="1" ht="11.1" customHeight="1">
      <c r="A1815" s="74">
        <f t="shared" si="124"/>
        <v>1813</v>
      </c>
      <c r="B1815" s="75" t="s">
        <v>809</v>
      </c>
      <c r="C1815" s="74" t="str">
        <f>IF($B1815&lt;&gt;"",_xlfn.IFNA(VLOOKUP($B1815,'Node Details'!$B:$U,C$1,0),"Check"),"")</f>
        <v>000000CM4-0000CM403</v>
      </c>
      <c r="D1815" s="74" t="str">
        <f>IF($B1815&lt;&gt;"",_xlfn.IFNA(VLOOKUP($B1815,'Node Details'!$B:$U,D$1,0),"Check"),"")</f>
        <v>CM4</v>
      </c>
      <c r="E1815" s="74" t="str">
        <f>IF($B1815&lt;&gt;"",_xlfn.IFNA(VLOOKUP($B1815,'Node Details'!$B:$U,E$1,0),"Check"),"")</f>
        <v>Airtel</v>
      </c>
      <c r="F1815" s="76">
        <v>46148</v>
      </c>
      <c r="G1815" s="74"/>
      <c r="H1815" s="10" t="s">
        <v>1250</v>
      </c>
      <c r="I1815" s="9">
        <v>2</v>
      </c>
      <c r="J1815" s="9">
        <v>150</v>
      </c>
      <c r="K1815" s="77">
        <f t="shared" si="122"/>
        <v>300</v>
      </c>
      <c r="L1815" s="76">
        <v>46142</v>
      </c>
      <c r="N1815" s="83"/>
      <c r="O1815" s="84"/>
      <c r="P1815" s="81"/>
      <c r="Q1815" s="81"/>
      <c r="R1815" s="81"/>
      <c r="S1815" s="81"/>
      <c r="T1815" s="85"/>
      <c r="U1815" s="81"/>
      <c r="V1815" s="81"/>
      <c r="W1815" s="123">
        <f t="shared" si="123"/>
        <v>0</v>
      </c>
      <c r="X1815" s="123" t="s">
        <v>84</v>
      </c>
      <c r="Y1815" s="114" t="s">
        <v>1128</v>
      </c>
    </row>
    <row r="1816" spans="1:25" s="24" customFormat="1" ht="11.1" customHeight="1">
      <c r="A1816" s="74">
        <f t="shared" si="124"/>
        <v>1814</v>
      </c>
      <c r="B1816" s="75" t="s">
        <v>1206</v>
      </c>
      <c r="C1816" s="74" t="str">
        <f>IF($B1816&lt;&gt;"",_xlfn.IFNA(VLOOKUP($B1816,'Node Details'!$B:$U,C$1,0),"Check"),"")</f>
        <v>0000CM402-CM4020104</v>
      </c>
      <c r="D1816" s="74" t="str">
        <f>IF($B1816&lt;&gt;"",_xlfn.IFNA(VLOOKUP($B1816,'Node Details'!$B:$U,D$1,0),"Check"),"")</f>
        <v>CM4</v>
      </c>
      <c r="E1816" s="74" t="str">
        <f>IF($B1816&lt;&gt;"",_xlfn.IFNA(VLOOKUP($B1816,'Node Details'!$B:$U,E$1,0),"Check"),"")</f>
        <v>Airtel</v>
      </c>
      <c r="F1816" s="76">
        <v>46148</v>
      </c>
      <c r="G1816" s="74"/>
      <c r="H1816" s="10" t="s">
        <v>1250</v>
      </c>
      <c r="I1816" s="9">
        <v>2</v>
      </c>
      <c r="J1816" s="9">
        <v>150</v>
      </c>
      <c r="K1816" s="77">
        <f t="shared" si="122"/>
        <v>300</v>
      </c>
      <c r="L1816" s="76">
        <v>46142</v>
      </c>
      <c r="N1816" s="83"/>
      <c r="O1816" s="84"/>
      <c r="P1816" s="81"/>
      <c r="Q1816" s="81"/>
      <c r="R1816" s="81"/>
      <c r="S1816" s="81"/>
      <c r="T1816" s="85"/>
      <c r="U1816" s="81"/>
      <c r="V1816" s="81"/>
      <c r="W1816" s="123">
        <f t="shared" si="123"/>
        <v>0</v>
      </c>
      <c r="X1816" s="123" t="s">
        <v>84</v>
      </c>
      <c r="Y1816" s="114" t="s">
        <v>1128</v>
      </c>
    </row>
    <row r="1817" spans="1:25" s="24" customFormat="1" ht="11.1" customHeight="1">
      <c r="A1817" s="74">
        <f t="shared" si="124"/>
        <v>1815</v>
      </c>
      <c r="B1817" s="75" t="s">
        <v>1207</v>
      </c>
      <c r="C1817" s="74" t="str">
        <f>IF($B1817&lt;&gt;"",_xlfn.IFNA(VLOOKUP($B1817,'Node Details'!$B:$U,C$1,0),"Check"),"")</f>
        <v>0000CM402-CM4020104</v>
      </c>
      <c r="D1817" s="74" t="str">
        <f>IF($B1817&lt;&gt;"",_xlfn.IFNA(VLOOKUP($B1817,'Node Details'!$B:$U,D$1,0),"Check"),"")</f>
        <v>CM4</v>
      </c>
      <c r="E1817" s="74" t="str">
        <f>IF($B1817&lt;&gt;"",_xlfn.IFNA(VLOOKUP($B1817,'Node Details'!$B:$U,E$1,0),"Check"),"")</f>
        <v>Airtel</v>
      </c>
      <c r="F1817" s="76">
        <v>46148</v>
      </c>
      <c r="G1817" s="74"/>
      <c r="H1817" s="10" t="s">
        <v>1250</v>
      </c>
      <c r="I1817" s="9">
        <v>2</v>
      </c>
      <c r="J1817" s="9">
        <v>150</v>
      </c>
      <c r="K1817" s="77">
        <f t="shared" si="122"/>
        <v>300</v>
      </c>
      <c r="L1817" s="76">
        <v>46142</v>
      </c>
      <c r="N1817" s="83"/>
      <c r="O1817" s="84"/>
      <c r="P1817" s="81"/>
      <c r="Q1817" s="81"/>
      <c r="R1817" s="81"/>
      <c r="S1817" s="81"/>
      <c r="T1817" s="85"/>
      <c r="U1817" s="81"/>
      <c r="V1817" s="81"/>
      <c r="W1817" s="123">
        <f t="shared" si="123"/>
        <v>0</v>
      </c>
      <c r="X1817" s="123" t="s">
        <v>84</v>
      </c>
      <c r="Y1817" s="114" t="s">
        <v>1128</v>
      </c>
    </row>
    <row r="1818" spans="1:25" s="24" customFormat="1" ht="11.1" customHeight="1">
      <c r="A1818" s="74">
        <f t="shared" si="124"/>
        <v>1816</v>
      </c>
      <c r="B1818" s="75" t="s">
        <v>1208</v>
      </c>
      <c r="C1818" s="74" t="str">
        <f>IF($B1818&lt;&gt;"",_xlfn.IFNA(VLOOKUP($B1818,'Node Details'!$B:$U,C$1,0),"Check"),"")</f>
        <v>0000CM402-CM4020104</v>
      </c>
      <c r="D1818" s="74" t="str">
        <f>IF($B1818&lt;&gt;"",_xlfn.IFNA(VLOOKUP($B1818,'Node Details'!$B:$U,D$1,0),"Check"),"")</f>
        <v>CM4</v>
      </c>
      <c r="E1818" s="74" t="str">
        <f>IF($B1818&lt;&gt;"",_xlfn.IFNA(VLOOKUP($B1818,'Node Details'!$B:$U,E$1,0),"Check"),"")</f>
        <v>Airtel</v>
      </c>
      <c r="F1818" s="76">
        <v>46148</v>
      </c>
      <c r="G1818" s="74"/>
      <c r="H1818" s="10" t="s">
        <v>1250</v>
      </c>
      <c r="I1818" s="9">
        <v>2</v>
      </c>
      <c r="J1818" s="9">
        <v>150</v>
      </c>
      <c r="K1818" s="77">
        <f t="shared" si="122"/>
        <v>300</v>
      </c>
      <c r="L1818" s="76">
        <v>46142</v>
      </c>
      <c r="N1818" s="83"/>
      <c r="O1818" s="84"/>
      <c r="P1818" s="81"/>
      <c r="Q1818" s="81"/>
      <c r="R1818" s="81"/>
      <c r="S1818" s="81"/>
      <c r="T1818" s="85"/>
      <c r="U1818" s="81"/>
      <c r="V1818" s="81"/>
      <c r="W1818" s="123">
        <f t="shared" si="123"/>
        <v>0</v>
      </c>
      <c r="X1818" s="123" t="s">
        <v>84</v>
      </c>
      <c r="Y1818" s="114" t="s">
        <v>1128</v>
      </c>
    </row>
    <row r="1819" spans="1:25" s="24" customFormat="1" ht="11.1" customHeight="1">
      <c r="A1819" s="74">
        <f t="shared" si="124"/>
        <v>1817</v>
      </c>
      <c r="B1819" s="75" t="s">
        <v>832</v>
      </c>
      <c r="C1819" s="74" t="str">
        <f>IF($B1819&lt;&gt;"",_xlfn.IFNA(VLOOKUP($B1819,'Node Details'!$B:$U,C$1,0),"Check"),"")</f>
        <v>0000CM402-CM4020105</v>
      </c>
      <c r="D1819" s="74" t="str">
        <f>IF($B1819&lt;&gt;"",_xlfn.IFNA(VLOOKUP($B1819,'Node Details'!$B:$U,D$1,0),"Check"),"")</f>
        <v>CM4</v>
      </c>
      <c r="E1819" s="74" t="str">
        <f>IF($B1819&lt;&gt;"",_xlfn.IFNA(VLOOKUP($B1819,'Node Details'!$B:$U,E$1,0),"Check"),"")</f>
        <v>Airtel</v>
      </c>
      <c r="F1819" s="76">
        <v>46148</v>
      </c>
      <c r="G1819" s="74"/>
      <c r="H1819" s="10" t="s">
        <v>1250</v>
      </c>
      <c r="I1819" s="9">
        <v>2</v>
      </c>
      <c r="J1819" s="9">
        <v>150</v>
      </c>
      <c r="K1819" s="77">
        <f t="shared" si="122"/>
        <v>300</v>
      </c>
      <c r="L1819" s="76">
        <v>46142</v>
      </c>
      <c r="N1819" s="83"/>
      <c r="O1819" s="84"/>
      <c r="P1819" s="81"/>
      <c r="Q1819" s="81"/>
      <c r="R1819" s="81"/>
      <c r="S1819" s="81"/>
      <c r="T1819" s="85"/>
      <c r="U1819" s="81"/>
      <c r="V1819" s="81"/>
      <c r="W1819" s="123">
        <f t="shared" si="123"/>
        <v>0</v>
      </c>
      <c r="X1819" s="123" t="s">
        <v>84</v>
      </c>
      <c r="Y1819" s="114" t="s">
        <v>1128</v>
      </c>
    </row>
    <row r="1820" spans="1:25" s="24" customFormat="1" ht="11.1" customHeight="1">
      <c r="A1820" s="74">
        <f t="shared" si="124"/>
        <v>1818</v>
      </c>
      <c r="B1820" s="75" t="s">
        <v>1209</v>
      </c>
      <c r="C1820" s="74" t="str">
        <f>IF($B1820&lt;&gt;"",_xlfn.IFNA(VLOOKUP($B1820,'Node Details'!$B:$U,C$1,0),"Check"),"")</f>
        <v>0000CM402-CM4020108</v>
      </c>
      <c r="D1820" s="74" t="str">
        <f>IF($B1820&lt;&gt;"",_xlfn.IFNA(VLOOKUP($B1820,'Node Details'!$B:$U,D$1,0),"Check"),"")</f>
        <v>CM4</v>
      </c>
      <c r="E1820" s="74" t="str">
        <f>IF($B1820&lt;&gt;"",_xlfn.IFNA(VLOOKUP($B1820,'Node Details'!$B:$U,E$1,0),"Check"),"")</f>
        <v>Airtel</v>
      </c>
      <c r="F1820" s="76">
        <v>46148</v>
      </c>
      <c r="G1820" s="74"/>
      <c r="H1820" s="10" t="s">
        <v>1250</v>
      </c>
      <c r="I1820" s="9">
        <v>2</v>
      </c>
      <c r="J1820" s="9">
        <v>150</v>
      </c>
      <c r="K1820" s="77">
        <f t="shared" si="122"/>
        <v>300</v>
      </c>
      <c r="L1820" s="76">
        <v>46142</v>
      </c>
      <c r="N1820" s="83"/>
      <c r="O1820" s="84"/>
      <c r="P1820" s="81"/>
      <c r="Q1820" s="81"/>
      <c r="R1820" s="81"/>
      <c r="S1820" s="81"/>
      <c r="T1820" s="85"/>
      <c r="U1820" s="81"/>
      <c r="V1820" s="81"/>
      <c r="W1820" s="123">
        <f t="shared" si="123"/>
        <v>0</v>
      </c>
      <c r="X1820" s="123" t="s">
        <v>84</v>
      </c>
      <c r="Y1820" s="114" t="s">
        <v>1128</v>
      </c>
    </row>
    <row r="1821" spans="1:25" s="24" customFormat="1" ht="11.1" customHeight="1">
      <c r="A1821" s="74">
        <f t="shared" si="124"/>
        <v>1819</v>
      </c>
      <c r="B1821" s="75" t="s">
        <v>1210</v>
      </c>
      <c r="C1821" s="74" t="str">
        <f>IF($B1821&lt;&gt;"",_xlfn.IFNA(VLOOKUP($B1821,'Node Details'!$B:$U,C$1,0),"Check"),"")</f>
        <v>0000CM402-CM4020108</v>
      </c>
      <c r="D1821" s="74" t="str">
        <f>IF($B1821&lt;&gt;"",_xlfn.IFNA(VLOOKUP($B1821,'Node Details'!$B:$U,D$1,0),"Check"),"")</f>
        <v>CM4</v>
      </c>
      <c r="E1821" s="74" t="str">
        <f>IF($B1821&lt;&gt;"",_xlfn.IFNA(VLOOKUP($B1821,'Node Details'!$B:$U,E$1,0),"Check"),"")</f>
        <v>Airtel</v>
      </c>
      <c r="F1821" s="76">
        <v>46148</v>
      </c>
      <c r="G1821" s="74"/>
      <c r="H1821" s="10" t="s">
        <v>1250</v>
      </c>
      <c r="I1821" s="9">
        <v>2</v>
      </c>
      <c r="J1821" s="9">
        <v>150</v>
      </c>
      <c r="K1821" s="77">
        <f t="shared" si="122"/>
        <v>300</v>
      </c>
      <c r="L1821" s="76">
        <v>46142</v>
      </c>
      <c r="N1821" s="83"/>
      <c r="O1821" s="84"/>
      <c r="P1821" s="81"/>
      <c r="Q1821" s="81"/>
      <c r="R1821" s="81"/>
      <c r="S1821" s="81"/>
      <c r="T1821" s="85"/>
      <c r="U1821" s="81"/>
      <c r="V1821" s="81"/>
      <c r="W1821" s="123">
        <f t="shared" si="123"/>
        <v>0</v>
      </c>
      <c r="X1821" s="123" t="s">
        <v>84</v>
      </c>
      <c r="Y1821" s="114" t="s">
        <v>1128</v>
      </c>
    </row>
    <row r="1822" spans="1:25" s="24" customFormat="1" ht="11.1" customHeight="1">
      <c r="A1822" s="74">
        <f t="shared" si="124"/>
        <v>1820</v>
      </c>
      <c r="B1822" s="75" t="s">
        <v>834</v>
      </c>
      <c r="C1822" s="74" t="str">
        <f>IF($B1822&lt;&gt;"",_xlfn.IFNA(VLOOKUP($B1822,'Node Details'!$B:$U,C$1,0),"Check"),"")</f>
        <v>0000CM402-CM4020108</v>
      </c>
      <c r="D1822" s="74" t="str">
        <f>IF($B1822&lt;&gt;"",_xlfn.IFNA(VLOOKUP($B1822,'Node Details'!$B:$U,D$1,0),"Check"),"")</f>
        <v>CM4</v>
      </c>
      <c r="E1822" s="74" t="str">
        <f>IF($B1822&lt;&gt;"",_xlfn.IFNA(VLOOKUP($B1822,'Node Details'!$B:$U,E$1,0),"Check"),"")</f>
        <v>Airtel</v>
      </c>
      <c r="F1822" s="76">
        <v>46148</v>
      </c>
      <c r="G1822" s="74"/>
      <c r="H1822" s="10" t="s">
        <v>1250</v>
      </c>
      <c r="I1822" s="9">
        <v>2</v>
      </c>
      <c r="J1822" s="9">
        <v>150</v>
      </c>
      <c r="K1822" s="77">
        <f t="shared" si="122"/>
        <v>300</v>
      </c>
      <c r="L1822" s="76">
        <v>46142</v>
      </c>
      <c r="N1822" s="83"/>
      <c r="O1822" s="84"/>
      <c r="P1822" s="81"/>
      <c r="Q1822" s="81"/>
      <c r="R1822" s="81"/>
      <c r="S1822" s="81"/>
      <c r="T1822" s="85"/>
      <c r="U1822" s="81"/>
      <c r="V1822" s="81"/>
      <c r="W1822" s="123">
        <f t="shared" si="123"/>
        <v>0</v>
      </c>
      <c r="X1822" s="123" t="s">
        <v>84</v>
      </c>
      <c r="Y1822" s="114" t="s">
        <v>1128</v>
      </c>
    </row>
    <row r="1823" spans="1:25" s="24" customFormat="1" ht="11.1" customHeight="1">
      <c r="A1823" s="74">
        <f t="shared" si="124"/>
        <v>1821</v>
      </c>
      <c r="B1823" s="75" t="s">
        <v>830</v>
      </c>
      <c r="C1823" s="74" t="str">
        <f>IF($B1823&lt;&gt;"",_xlfn.IFNA(VLOOKUP($B1823,'Node Details'!$B:$U,C$1,0),"Check"),"")</f>
        <v>0000CM402-CM4020104</v>
      </c>
      <c r="D1823" s="74" t="str">
        <f>IF($B1823&lt;&gt;"",_xlfn.IFNA(VLOOKUP($B1823,'Node Details'!$B:$U,D$1,0),"Check"),"")</f>
        <v>CM4</v>
      </c>
      <c r="E1823" s="74" t="str">
        <f>IF($B1823&lt;&gt;"",_xlfn.IFNA(VLOOKUP($B1823,'Node Details'!$B:$U,E$1,0),"Check"),"")</f>
        <v>Airtel</v>
      </c>
      <c r="F1823" s="76">
        <v>46148</v>
      </c>
      <c r="G1823" s="74"/>
      <c r="H1823" s="10" t="s">
        <v>1250</v>
      </c>
      <c r="I1823" s="9">
        <v>2</v>
      </c>
      <c r="J1823" s="9">
        <v>150</v>
      </c>
      <c r="K1823" s="77">
        <f t="shared" si="122"/>
        <v>300</v>
      </c>
      <c r="L1823" s="76">
        <v>46142</v>
      </c>
      <c r="N1823" s="83"/>
      <c r="O1823" s="84"/>
      <c r="P1823" s="81"/>
      <c r="Q1823" s="81"/>
      <c r="R1823" s="81"/>
      <c r="S1823" s="81"/>
      <c r="T1823" s="85"/>
      <c r="U1823" s="81"/>
      <c r="V1823" s="81"/>
      <c r="W1823" s="123">
        <f t="shared" si="123"/>
        <v>0</v>
      </c>
      <c r="X1823" s="123" t="s">
        <v>84</v>
      </c>
      <c r="Y1823" s="114" t="s">
        <v>1128</v>
      </c>
    </row>
    <row r="1824" spans="1:25" s="24" customFormat="1" ht="11.1" customHeight="1">
      <c r="A1824" s="74">
        <f t="shared" si="124"/>
        <v>1822</v>
      </c>
      <c r="B1824" s="75" t="s">
        <v>807</v>
      </c>
      <c r="C1824" s="74" t="str">
        <f>IF($B1824&lt;&gt;"",_xlfn.IFNA(VLOOKUP($B1824,'Node Details'!$B:$U,C$1,0),"Check"),"")</f>
        <v>000000CM4-0000CM403</v>
      </c>
      <c r="D1824" s="74" t="str">
        <f>IF($B1824&lt;&gt;"",_xlfn.IFNA(VLOOKUP($B1824,'Node Details'!$B:$U,D$1,0),"Check"),"")</f>
        <v>CM4</v>
      </c>
      <c r="E1824" s="74" t="str">
        <f>IF($B1824&lt;&gt;"",_xlfn.IFNA(VLOOKUP($B1824,'Node Details'!$B:$U,E$1,0),"Check"),"")</f>
        <v>Airtel</v>
      </c>
      <c r="F1824" s="76">
        <v>46148</v>
      </c>
      <c r="G1824" s="74"/>
      <c r="H1824" s="10" t="s">
        <v>1250</v>
      </c>
      <c r="I1824" s="9">
        <v>2</v>
      </c>
      <c r="J1824" s="9">
        <v>150</v>
      </c>
      <c r="K1824" s="77">
        <f t="shared" si="122"/>
        <v>300</v>
      </c>
      <c r="L1824" s="76">
        <v>46142</v>
      </c>
      <c r="N1824" s="83"/>
      <c r="O1824" s="84"/>
      <c r="P1824" s="81"/>
      <c r="Q1824" s="81"/>
      <c r="R1824" s="81"/>
      <c r="S1824" s="81"/>
      <c r="T1824" s="85"/>
      <c r="U1824" s="81"/>
      <c r="V1824" s="81"/>
      <c r="W1824" s="123">
        <f t="shared" si="123"/>
        <v>0</v>
      </c>
      <c r="X1824" s="123" t="s">
        <v>84</v>
      </c>
      <c r="Y1824" s="114" t="s">
        <v>1128</v>
      </c>
    </row>
    <row r="1825" spans="1:25" s="24" customFormat="1" ht="11.1" customHeight="1">
      <c r="A1825" s="74">
        <f t="shared" si="124"/>
        <v>1823</v>
      </c>
      <c r="B1825" s="75" t="s">
        <v>836</v>
      </c>
      <c r="C1825" s="74" t="str">
        <f>IF($B1825&lt;&gt;"",_xlfn.IFNA(VLOOKUP($B1825,'Node Details'!$B:$U,C$1,0),"Check"),"")</f>
        <v>0000CM403-CM4030101</v>
      </c>
      <c r="D1825" s="74" t="str">
        <f>IF($B1825&lt;&gt;"",_xlfn.IFNA(VLOOKUP($B1825,'Node Details'!$B:$U,D$1,0),"Check"),"")</f>
        <v>CM4</v>
      </c>
      <c r="E1825" s="74" t="str">
        <f>IF($B1825&lt;&gt;"",_xlfn.IFNA(VLOOKUP($B1825,'Node Details'!$B:$U,E$1,0),"Check"),"")</f>
        <v>Airtel</v>
      </c>
      <c r="F1825" s="76">
        <v>46148</v>
      </c>
      <c r="G1825" s="74"/>
      <c r="H1825" s="10" t="s">
        <v>1250</v>
      </c>
      <c r="I1825" s="9">
        <v>2</v>
      </c>
      <c r="J1825" s="9">
        <v>150</v>
      </c>
      <c r="K1825" s="77">
        <f t="shared" si="122"/>
        <v>300</v>
      </c>
      <c r="L1825" s="76">
        <v>46142</v>
      </c>
      <c r="N1825" s="83"/>
      <c r="O1825" s="84"/>
      <c r="P1825" s="81"/>
      <c r="Q1825" s="81"/>
      <c r="R1825" s="81"/>
      <c r="S1825" s="81"/>
      <c r="T1825" s="85"/>
      <c r="U1825" s="81"/>
      <c r="V1825" s="81"/>
      <c r="W1825" s="123">
        <f t="shared" si="123"/>
        <v>0</v>
      </c>
      <c r="X1825" s="123" t="s">
        <v>84</v>
      </c>
      <c r="Y1825" s="114" t="s">
        <v>1128</v>
      </c>
    </row>
    <row r="1826" spans="1:25" s="24" customFormat="1" ht="11.1" customHeight="1">
      <c r="A1826" s="74">
        <f t="shared" si="124"/>
        <v>1824</v>
      </c>
      <c r="B1826" s="75" t="s">
        <v>1211</v>
      </c>
      <c r="C1826" s="74" t="str">
        <f>IF($B1826&lt;&gt;"",_xlfn.IFNA(VLOOKUP($B1826,'Node Details'!$B:$U,C$1,0),"Check"),"")</f>
        <v>0000CM403-CM4030103</v>
      </c>
      <c r="D1826" s="74" t="str">
        <f>IF($B1826&lt;&gt;"",_xlfn.IFNA(VLOOKUP($B1826,'Node Details'!$B:$U,D$1,0),"Check"),"")</f>
        <v>CM4</v>
      </c>
      <c r="E1826" s="74" t="str">
        <f>IF($B1826&lt;&gt;"",_xlfn.IFNA(VLOOKUP($B1826,'Node Details'!$B:$U,E$1,0),"Check"),"")</f>
        <v>Airtel</v>
      </c>
      <c r="F1826" s="76">
        <v>46148</v>
      </c>
      <c r="G1826" s="74"/>
      <c r="H1826" s="10" t="s">
        <v>1250</v>
      </c>
      <c r="I1826" s="9">
        <v>2</v>
      </c>
      <c r="J1826" s="9">
        <v>150</v>
      </c>
      <c r="K1826" s="77">
        <f t="shared" si="122"/>
        <v>300</v>
      </c>
      <c r="L1826" s="76">
        <v>46142</v>
      </c>
      <c r="N1826" s="83"/>
      <c r="O1826" s="84"/>
      <c r="P1826" s="81"/>
      <c r="Q1826" s="81"/>
      <c r="R1826" s="81"/>
      <c r="S1826" s="81"/>
      <c r="T1826" s="85"/>
      <c r="U1826" s="81"/>
      <c r="V1826" s="81"/>
      <c r="W1826" s="123">
        <f t="shared" si="123"/>
        <v>0</v>
      </c>
      <c r="X1826" s="123" t="s">
        <v>84</v>
      </c>
      <c r="Y1826" s="114" t="s">
        <v>1128</v>
      </c>
    </row>
    <row r="1827" spans="1:25" s="24" customFormat="1" ht="11.1" customHeight="1">
      <c r="A1827" s="74">
        <f t="shared" si="124"/>
        <v>1825</v>
      </c>
      <c r="B1827" s="75" t="s">
        <v>838</v>
      </c>
      <c r="C1827" s="74" t="str">
        <f>IF($B1827&lt;&gt;"",_xlfn.IFNA(VLOOKUP($B1827,'Node Details'!$B:$U,C$1,0),"Check"),"")</f>
        <v>0000CM403-CM4030103</v>
      </c>
      <c r="D1827" s="74" t="str">
        <f>IF($B1827&lt;&gt;"",_xlfn.IFNA(VLOOKUP($B1827,'Node Details'!$B:$U,D$1,0),"Check"),"")</f>
        <v>CM4</v>
      </c>
      <c r="E1827" s="74" t="str">
        <f>IF($B1827&lt;&gt;"",_xlfn.IFNA(VLOOKUP($B1827,'Node Details'!$B:$U,E$1,0),"Check"),"")</f>
        <v>Airtel</v>
      </c>
      <c r="F1827" s="76">
        <v>46148</v>
      </c>
      <c r="G1827" s="74"/>
      <c r="H1827" s="10" t="s">
        <v>1250</v>
      </c>
      <c r="I1827" s="9">
        <v>2</v>
      </c>
      <c r="J1827" s="9">
        <v>150</v>
      </c>
      <c r="K1827" s="77">
        <f t="shared" si="122"/>
        <v>300</v>
      </c>
      <c r="L1827" s="76">
        <v>46142</v>
      </c>
      <c r="N1827" s="83"/>
      <c r="O1827" s="84"/>
      <c r="P1827" s="81"/>
      <c r="Q1827" s="81"/>
      <c r="R1827" s="81"/>
      <c r="S1827" s="81"/>
      <c r="T1827" s="85"/>
      <c r="U1827" s="81"/>
      <c r="V1827" s="81"/>
      <c r="W1827" s="123">
        <f t="shared" si="123"/>
        <v>0</v>
      </c>
      <c r="X1827" s="123" t="s">
        <v>84</v>
      </c>
      <c r="Y1827" s="114" t="s">
        <v>1128</v>
      </c>
    </row>
    <row r="1828" spans="1:25" s="24" customFormat="1" ht="11.1" customHeight="1">
      <c r="A1828" s="74">
        <f t="shared" si="124"/>
        <v>1826</v>
      </c>
      <c r="B1828" s="75" t="s">
        <v>1212</v>
      </c>
      <c r="C1828" s="74" t="str">
        <f>IF($B1828&lt;&gt;"",_xlfn.IFNA(VLOOKUP($B1828,'Node Details'!$B:$U,C$1,0),"Check"),"")</f>
        <v>0000CM403-CM4030108</v>
      </c>
      <c r="D1828" s="74" t="str">
        <f>IF($B1828&lt;&gt;"",_xlfn.IFNA(VLOOKUP($B1828,'Node Details'!$B:$U,D$1,0),"Check"),"")</f>
        <v>CM4</v>
      </c>
      <c r="E1828" s="74" t="str">
        <f>IF($B1828&lt;&gt;"",_xlfn.IFNA(VLOOKUP($B1828,'Node Details'!$B:$U,E$1,0),"Check"),"")</f>
        <v>Airtel</v>
      </c>
      <c r="F1828" s="76">
        <v>46148</v>
      </c>
      <c r="G1828" s="74"/>
      <c r="H1828" s="10" t="s">
        <v>1250</v>
      </c>
      <c r="I1828" s="9">
        <v>2</v>
      </c>
      <c r="J1828" s="9">
        <v>150</v>
      </c>
      <c r="K1828" s="77">
        <f t="shared" si="122"/>
        <v>300</v>
      </c>
      <c r="L1828" s="76">
        <v>46142</v>
      </c>
      <c r="N1828" s="83"/>
      <c r="O1828" s="84"/>
      <c r="P1828" s="81"/>
      <c r="Q1828" s="81"/>
      <c r="R1828" s="81"/>
      <c r="S1828" s="81"/>
      <c r="T1828" s="85"/>
      <c r="U1828" s="81"/>
      <c r="V1828" s="81"/>
      <c r="W1828" s="123">
        <f t="shared" si="123"/>
        <v>0</v>
      </c>
      <c r="X1828" s="123" t="s">
        <v>84</v>
      </c>
      <c r="Y1828" s="114" t="s">
        <v>1128</v>
      </c>
    </row>
    <row r="1829" spans="1:25" s="24" customFormat="1" ht="11.1" customHeight="1">
      <c r="A1829" s="74">
        <f t="shared" si="124"/>
        <v>1827</v>
      </c>
      <c r="B1829" s="75" t="s">
        <v>1213</v>
      </c>
      <c r="C1829" s="74" t="str">
        <f>IF($B1829&lt;&gt;"",_xlfn.IFNA(VLOOKUP($B1829,'Node Details'!$B:$U,C$1,0),"Check"),"")</f>
        <v>0000CM403-CM4030108</v>
      </c>
      <c r="D1829" s="74" t="str">
        <f>IF($B1829&lt;&gt;"",_xlfn.IFNA(VLOOKUP($B1829,'Node Details'!$B:$U,D$1,0),"Check"),"")</f>
        <v>CM4</v>
      </c>
      <c r="E1829" s="74" t="str">
        <f>IF($B1829&lt;&gt;"",_xlfn.IFNA(VLOOKUP($B1829,'Node Details'!$B:$U,E$1,0),"Check"),"")</f>
        <v>Airtel</v>
      </c>
      <c r="F1829" s="76">
        <v>46148</v>
      </c>
      <c r="G1829" s="74"/>
      <c r="H1829" s="10" t="s">
        <v>1250</v>
      </c>
      <c r="I1829" s="9">
        <v>2</v>
      </c>
      <c r="J1829" s="9">
        <v>150</v>
      </c>
      <c r="K1829" s="77">
        <f t="shared" si="122"/>
        <v>300</v>
      </c>
      <c r="L1829" s="76">
        <v>46142</v>
      </c>
      <c r="N1829" s="83"/>
      <c r="O1829" s="84"/>
      <c r="P1829" s="81"/>
      <c r="Q1829" s="81"/>
      <c r="R1829" s="81"/>
      <c r="S1829" s="81"/>
      <c r="T1829" s="85"/>
      <c r="U1829" s="81"/>
      <c r="V1829" s="81"/>
      <c r="W1829" s="123">
        <f t="shared" si="123"/>
        <v>0</v>
      </c>
      <c r="X1829" s="123" t="s">
        <v>84</v>
      </c>
      <c r="Y1829" s="114" t="s">
        <v>1128</v>
      </c>
    </row>
    <row r="1830" spans="1:25" s="24" customFormat="1" ht="11.1" customHeight="1">
      <c r="A1830" s="74">
        <f t="shared" si="124"/>
        <v>1828</v>
      </c>
      <c r="B1830" s="75" t="s">
        <v>840</v>
      </c>
      <c r="C1830" s="74" t="str">
        <f>IF($B1830&lt;&gt;"",_xlfn.IFNA(VLOOKUP($B1830,'Node Details'!$B:$U,C$1,0),"Check"),"")</f>
        <v>0000CM403-CM4030108</v>
      </c>
      <c r="D1830" s="74" t="str">
        <f>IF($B1830&lt;&gt;"",_xlfn.IFNA(VLOOKUP($B1830,'Node Details'!$B:$U,D$1,0),"Check"),"")</f>
        <v>CM4</v>
      </c>
      <c r="E1830" s="74" t="str">
        <f>IF($B1830&lt;&gt;"",_xlfn.IFNA(VLOOKUP($B1830,'Node Details'!$B:$U,E$1,0),"Check"),"")</f>
        <v>Airtel</v>
      </c>
      <c r="F1830" s="76">
        <v>46148</v>
      </c>
      <c r="G1830" s="74"/>
      <c r="H1830" s="10" t="s">
        <v>1250</v>
      </c>
      <c r="I1830" s="9">
        <v>2</v>
      </c>
      <c r="J1830" s="9">
        <v>150</v>
      </c>
      <c r="K1830" s="77">
        <f t="shared" si="122"/>
        <v>300</v>
      </c>
      <c r="L1830" s="76">
        <v>46142</v>
      </c>
      <c r="N1830" s="83"/>
      <c r="O1830" s="84"/>
      <c r="P1830" s="81"/>
      <c r="Q1830" s="81"/>
      <c r="R1830" s="81"/>
      <c r="S1830" s="81"/>
      <c r="T1830" s="85"/>
      <c r="U1830" s="81"/>
      <c r="V1830" s="81"/>
      <c r="W1830" s="123">
        <f t="shared" si="123"/>
        <v>0</v>
      </c>
      <c r="X1830" s="123" t="s">
        <v>84</v>
      </c>
      <c r="Y1830" s="114" t="s">
        <v>1128</v>
      </c>
    </row>
    <row r="1831" spans="1:25" s="24" customFormat="1" ht="11.1" customHeight="1">
      <c r="A1831" s="74">
        <f t="shared" si="124"/>
        <v>1829</v>
      </c>
      <c r="B1831" s="75" t="s">
        <v>810</v>
      </c>
      <c r="C1831" s="74" t="str">
        <f>IF($B1831&lt;&gt;"",_xlfn.IFNA(VLOOKUP($B1831,'Node Details'!$B:$U,C$1,0),"Check"),"")</f>
        <v>0000CM402-0000CM404</v>
      </c>
      <c r="D1831" s="74" t="str">
        <f>IF($B1831&lt;&gt;"",_xlfn.IFNA(VLOOKUP($B1831,'Node Details'!$B:$U,D$1,0),"Check"),"")</f>
        <v>CM4</v>
      </c>
      <c r="E1831" s="74" t="str">
        <f>IF($B1831&lt;&gt;"",_xlfn.IFNA(VLOOKUP($B1831,'Node Details'!$B:$U,E$1,0),"Check"),"")</f>
        <v>Airtel</v>
      </c>
      <c r="F1831" s="76">
        <v>46148</v>
      </c>
      <c r="G1831" s="74"/>
      <c r="H1831" s="10" t="s">
        <v>1250</v>
      </c>
      <c r="I1831" s="9">
        <v>2</v>
      </c>
      <c r="J1831" s="9">
        <v>150</v>
      </c>
      <c r="K1831" s="77">
        <f t="shared" si="122"/>
        <v>300</v>
      </c>
      <c r="L1831" s="76">
        <v>46142</v>
      </c>
      <c r="N1831" s="83"/>
      <c r="O1831" s="84"/>
      <c r="P1831" s="81"/>
      <c r="Q1831" s="81"/>
      <c r="R1831" s="81"/>
      <c r="S1831" s="81"/>
      <c r="T1831" s="85"/>
      <c r="U1831" s="81"/>
      <c r="V1831" s="81"/>
      <c r="W1831" s="123">
        <f t="shared" si="123"/>
        <v>0</v>
      </c>
      <c r="X1831" s="123" t="s">
        <v>84</v>
      </c>
      <c r="Y1831" s="114" t="s">
        <v>1128</v>
      </c>
    </row>
    <row r="1832" spans="1:25" s="24" customFormat="1" ht="11.1" customHeight="1">
      <c r="A1832" s="74">
        <f t="shared" si="124"/>
        <v>1830</v>
      </c>
      <c r="B1832" s="75" t="s">
        <v>1214</v>
      </c>
      <c r="C1832" s="74" t="str">
        <f>IF($B1832&lt;&gt;"",_xlfn.IFNA(VLOOKUP($B1832,'Node Details'!$B:$U,C$1,0),"Check"),"")</f>
        <v>0000CM404-CM4040105</v>
      </c>
      <c r="D1832" s="74" t="str">
        <f>IF($B1832&lt;&gt;"",_xlfn.IFNA(VLOOKUP($B1832,'Node Details'!$B:$U,D$1,0),"Check"),"")</f>
        <v>CM4</v>
      </c>
      <c r="E1832" s="74" t="str">
        <f>IF($B1832&lt;&gt;"",_xlfn.IFNA(VLOOKUP($B1832,'Node Details'!$B:$U,E$1,0),"Check"),"")</f>
        <v>Airtel</v>
      </c>
      <c r="F1832" s="76">
        <v>46148</v>
      </c>
      <c r="G1832" s="74"/>
      <c r="H1832" s="10" t="s">
        <v>1250</v>
      </c>
      <c r="I1832" s="9">
        <v>2</v>
      </c>
      <c r="J1832" s="9">
        <v>150</v>
      </c>
      <c r="K1832" s="77">
        <f t="shared" si="122"/>
        <v>300</v>
      </c>
      <c r="L1832" s="76">
        <v>46142</v>
      </c>
      <c r="N1832" s="83"/>
      <c r="O1832" s="84"/>
      <c r="P1832" s="81"/>
      <c r="Q1832" s="81"/>
      <c r="R1832" s="81"/>
      <c r="S1832" s="81"/>
      <c r="T1832" s="85"/>
      <c r="U1832" s="81"/>
      <c r="V1832" s="81"/>
      <c r="W1832" s="123">
        <f t="shared" si="123"/>
        <v>0</v>
      </c>
      <c r="X1832" s="123" t="s">
        <v>84</v>
      </c>
      <c r="Y1832" s="114" t="s">
        <v>1128</v>
      </c>
    </row>
    <row r="1833" spans="1:25" s="24" customFormat="1" ht="11.1" customHeight="1">
      <c r="A1833" s="74">
        <f t="shared" si="124"/>
        <v>1831</v>
      </c>
      <c r="B1833" s="75" t="s">
        <v>842</v>
      </c>
      <c r="C1833" s="74" t="str">
        <f>IF($B1833&lt;&gt;"",_xlfn.IFNA(VLOOKUP($B1833,'Node Details'!$B:$U,C$1,0),"Check"),"")</f>
        <v>0000CM404-CM4040105</v>
      </c>
      <c r="D1833" s="74" t="str">
        <f>IF($B1833&lt;&gt;"",_xlfn.IFNA(VLOOKUP($B1833,'Node Details'!$B:$U,D$1,0),"Check"),"")</f>
        <v>CM4</v>
      </c>
      <c r="E1833" s="74" t="str">
        <f>IF($B1833&lt;&gt;"",_xlfn.IFNA(VLOOKUP($B1833,'Node Details'!$B:$U,E$1,0),"Check"),"")</f>
        <v>Airtel</v>
      </c>
      <c r="F1833" s="76">
        <v>46148</v>
      </c>
      <c r="G1833" s="74"/>
      <c r="H1833" s="10" t="s">
        <v>1250</v>
      </c>
      <c r="I1833" s="9">
        <v>2</v>
      </c>
      <c r="J1833" s="9">
        <v>150</v>
      </c>
      <c r="K1833" s="77">
        <f t="shared" si="122"/>
        <v>300</v>
      </c>
      <c r="L1833" s="76">
        <v>46142</v>
      </c>
      <c r="N1833" s="83"/>
      <c r="O1833" s="84"/>
      <c r="P1833" s="81"/>
      <c r="Q1833" s="81"/>
      <c r="R1833" s="81"/>
      <c r="S1833" s="81"/>
      <c r="T1833" s="85"/>
      <c r="U1833" s="81"/>
      <c r="V1833" s="81"/>
      <c r="W1833" s="123">
        <f t="shared" si="123"/>
        <v>0</v>
      </c>
      <c r="X1833" s="123" t="s">
        <v>84</v>
      </c>
      <c r="Y1833" s="114" t="s">
        <v>1128</v>
      </c>
    </row>
    <row r="1834" spans="1:25" s="24" customFormat="1" ht="11.1" customHeight="1">
      <c r="A1834" s="74">
        <f t="shared" si="124"/>
        <v>1832</v>
      </c>
      <c r="B1834" s="75" t="s">
        <v>1215</v>
      </c>
      <c r="C1834" s="74" t="str">
        <f>IF($B1834&lt;&gt;"",_xlfn.IFNA(VLOOKUP($B1834,'Node Details'!$B:$U,C$1,0),"Check"),"")</f>
        <v>0000CM404-CM4040108</v>
      </c>
      <c r="D1834" s="74" t="str">
        <f>IF($B1834&lt;&gt;"",_xlfn.IFNA(VLOOKUP($B1834,'Node Details'!$B:$U,D$1,0),"Check"),"")</f>
        <v>CM4</v>
      </c>
      <c r="E1834" s="74" t="str">
        <f>IF($B1834&lt;&gt;"",_xlfn.IFNA(VLOOKUP($B1834,'Node Details'!$B:$U,E$1,0),"Check"),"")</f>
        <v>Airtel</v>
      </c>
      <c r="F1834" s="76">
        <v>46148</v>
      </c>
      <c r="G1834" s="74"/>
      <c r="H1834" s="10" t="s">
        <v>1250</v>
      </c>
      <c r="I1834" s="9">
        <v>2</v>
      </c>
      <c r="J1834" s="9">
        <v>150</v>
      </c>
      <c r="K1834" s="77">
        <f t="shared" si="122"/>
        <v>300</v>
      </c>
      <c r="L1834" s="76">
        <v>46142</v>
      </c>
      <c r="N1834" s="83"/>
      <c r="O1834" s="84"/>
      <c r="P1834" s="81"/>
      <c r="Q1834" s="81"/>
      <c r="R1834" s="81"/>
      <c r="S1834" s="81"/>
      <c r="T1834" s="85"/>
      <c r="U1834" s="81"/>
      <c r="V1834" s="81"/>
      <c r="W1834" s="123">
        <f t="shared" si="123"/>
        <v>0</v>
      </c>
      <c r="X1834" s="123" t="s">
        <v>84</v>
      </c>
      <c r="Y1834" s="114" t="s">
        <v>1128</v>
      </c>
    </row>
    <row r="1835" spans="1:25" s="24" customFormat="1" ht="11.1" customHeight="1">
      <c r="A1835" s="74">
        <f t="shared" si="124"/>
        <v>1833</v>
      </c>
      <c r="B1835" s="75" t="s">
        <v>844</v>
      </c>
      <c r="C1835" s="74" t="str">
        <f>IF($B1835&lt;&gt;"",_xlfn.IFNA(VLOOKUP($B1835,'Node Details'!$B:$U,C$1,0),"Check"),"")</f>
        <v>0000CM404-CM4040108</v>
      </c>
      <c r="D1835" s="74" t="str">
        <f>IF($B1835&lt;&gt;"",_xlfn.IFNA(VLOOKUP($B1835,'Node Details'!$B:$U,D$1,0),"Check"),"")</f>
        <v>CM4</v>
      </c>
      <c r="E1835" s="74" t="str">
        <f>IF($B1835&lt;&gt;"",_xlfn.IFNA(VLOOKUP($B1835,'Node Details'!$B:$U,E$1,0),"Check"),"")</f>
        <v>Airtel</v>
      </c>
      <c r="F1835" s="76">
        <v>46148</v>
      </c>
      <c r="G1835" s="74"/>
      <c r="H1835" s="10" t="s">
        <v>1250</v>
      </c>
      <c r="I1835" s="9">
        <v>2</v>
      </c>
      <c r="J1835" s="9">
        <v>150</v>
      </c>
      <c r="K1835" s="77">
        <f t="shared" si="122"/>
        <v>300</v>
      </c>
      <c r="L1835" s="76">
        <v>46142</v>
      </c>
      <c r="N1835" s="83"/>
      <c r="O1835" s="84"/>
      <c r="P1835" s="81"/>
      <c r="Q1835" s="81"/>
      <c r="R1835" s="81"/>
      <c r="S1835" s="81"/>
      <c r="T1835" s="85"/>
      <c r="U1835" s="81"/>
      <c r="V1835" s="81"/>
      <c r="W1835" s="123">
        <f t="shared" si="123"/>
        <v>0</v>
      </c>
      <c r="X1835" s="123" t="s">
        <v>84</v>
      </c>
      <c r="Y1835" s="114" t="s">
        <v>1128</v>
      </c>
    </row>
    <row r="1836" spans="1:25" s="24" customFormat="1" ht="11.1" customHeight="1">
      <c r="A1836" s="74">
        <f t="shared" si="124"/>
        <v>1834</v>
      </c>
      <c r="B1836" s="75" t="s">
        <v>805</v>
      </c>
      <c r="C1836" s="74" t="str">
        <f>IF($B1836&lt;&gt;"",_xlfn.IFNA(VLOOKUP($B1836,'Node Details'!$B:$U,C$1,0),"Check"),"")</f>
        <v>000000CM4-0000CM408</v>
      </c>
      <c r="D1836" s="74" t="str">
        <f>IF($B1836&lt;&gt;"",_xlfn.IFNA(VLOOKUP($B1836,'Node Details'!$B:$U,D$1,0),"Check"),"")</f>
        <v>CM4</v>
      </c>
      <c r="E1836" s="74" t="str">
        <f>IF($B1836&lt;&gt;"",_xlfn.IFNA(VLOOKUP($B1836,'Node Details'!$B:$U,E$1,0),"Check"),"")</f>
        <v>Airtel</v>
      </c>
      <c r="F1836" s="76">
        <v>46148</v>
      </c>
      <c r="G1836" s="74"/>
      <c r="H1836" s="10" t="s">
        <v>1250</v>
      </c>
      <c r="I1836" s="9">
        <v>2</v>
      </c>
      <c r="J1836" s="9">
        <v>150</v>
      </c>
      <c r="K1836" s="77">
        <f t="shared" si="122"/>
        <v>300</v>
      </c>
      <c r="L1836" s="76">
        <v>46142</v>
      </c>
      <c r="N1836" s="83"/>
      <c r="O1836" s="84"/>
      <c r="P1836" s="81"/>
      <c r="Q1836" s="81"/>
      <c r="R1836" s="81"/>
      <c r="S1836" s="81"/>
      <c r="T1836" s="85"/>
      <c r="U1836" s="81"/>
      <c r="V1836" s="81"/>
      <c r="W1836" s="123">
        <f t="shared" si="123"/>
        <v>0</v>
      </c>
      <c r="X1836" s="123" t="s">
        <v>84</v>
      </c>
      <c r="Y1836" s="114" t="s">
        <v>1128</v>
      </c>
    </row>
    <row r="1837" spans="1:25" s="24" customFormat="1" ht="11.1" customHeight="1">
      <c r="A1837" s="74">
        <f t="shared" si="124"/>
        <v>1835</v>
      </c>
      <c r="B1837" s="75" t="s">
        <v>1216</v>
      </c>
      <c r="C1837" s="74" t="str">
        <f>IF($B1837&lt;&gt;"",_xlfn.IFNA(VLOOKUP($B1837,'Node Details'!$B:$U,C$1,0),"Check"),"")</f>
        <v>0000CM408-CM4080104</v>
      </c>
      <c r="D1837" s="74" t="str">
        <f>IF($B1837&lt;&gt;"",_xlfn.IFNA(VLOOKUP($B1837,'Node Details'!$B:$U,D$1,0),"Check"),"")</f>
        <v>CM4</v>
      </c>
      <c r="E1837" s="74" t="str">
        <f>IF($B1837&lt;&gt;"",_xlfn.IFNA(VLOOKUP($B1837,'Node Details'!$B:$U,E$1,0),"Check"),"")</f>
        <v>Airtel</v>
      </c>
      <c r="F1837" s="76">
        <v>46148</v>
      </c>
      <c r="G1837" s="74"/>
      <c r="H1837" s="10" t="s">
        <v>1250</v>
      </c>
      <c r="I1837" s="9">
        <v>2</v>
      </c>
      <c r="J1837" s="9">
        <v>150</v>
      </c>
      <c r="K1837" s="77">
        <f t="shared" si="122"/>
        <v>300</v>
      </c>
      <c r="L1837" s="76">
        <v>46142</v>
      </c>
      <c r="N1837" s="83"/>
      <c r="O1837" s="84"/>
      <c r="P1837" s="81"/>
      <c r="Q1837" s="81"/>
      <c r="R1837" s="81"/>
      <c r="S1837" s="81"/>
      <c r="T1837" s="85"/>
      <c r="U1837" s="81"/>
      <c r="V1837" s="81"/>
      <c r="W1837" s="123">
        <f t="shared" si="123"/>
        <v>0</v>
      </c>
      <c r="X1837" s="123" t="s">
        <v>84</v>
      </c>
      <c r="Y1837" s="114" t="s">
        <v>1128</v>
      </c>
    </row>
    <row r="1838" spans="1:25" s="24" customFormat="1" ht="11.1" customHeight="1">
      <c r="A1838" s="74">
        <f t="shared" si="124"/>
        <v>1836</v>
      </c>
      <c r="B1838" s="75" t="s">
        <v>1217</v>
      </c>
      <c r="C1838" s="74" t="str">
        <f>IF($B1838&lt;&gt;"",_xlfn.IFNA(VLOOKUP($B1838,'Node Details'!$B:$U,C$1,0),"Check"),"")</f>
        <v>0000CM408-CM4080104</v>
      </c>
      <c r="D1838" s="74" t="str">
        <f>IF($B1838&lt;&gt;"",_xlfn.IFNA(VLOOKUP($B1838,'Node Details'!$B:$U,D$1,0),"Check"),"")</f>
        <v>CM4</v>
      </c>
      <c r="E1838" s="74" t="str">
        <f>IF($B1838&lt;&gt;"",_xlfn.IFNA(VLOOKUP($B1838,'Node Details'!$B:$U,E$1,0),"Check"),"")</f>
        <v>Airtel</v>
      </c>
      <c r="F1838" s="76">
        <v>46148</v>
      </c>
      <c r="G1838" s="74"/>
      <c r="H1838" s="10" t="s">
        <v>1250</v>
      </c>
      <c r="I1838" s="9">
        <v>2</v>
      </c>
      <c r="J1838" s="9">
        <v>150</v>
      </c>
      <c r="K1838" s="77">
        <f t="shared" si="122"/>
        <v>300</v>
      </c>
      <c r="L1838" s="76">
        <v>46142</v>
      </c>
      <c r="N1838" s="83"/>
      <c r="O1838" s="84"/>
      <c r="P1838" s="81"/>
      <c r="Q1838" s="81"/>
      <c r="R1838" s="81"/>
      <c r="S1838" s="81"/>
      <c r="T1838" s="85"/>
      <c r="U1838" s="81"/>
      <c r="V1838" s="81"/>
      <c r="W1838" s="123">
        <f t="shared" si="123"/>
        <v>0</v>
      </c>
      <c r="X1838" s="123" t="s">
        <v>84</v>
      </c>
      <c r="Y1838" s="114" t="s">
        <v>1128</v>
      </c>
    </row>
    <row r="1839" spans="1:25" s="24" customFormat="1" ht="11.1" customHeight="1">
      <c r="A1839" s="74">
        <f t="shared" si="124"/>
        <v>1837</v>
      </c>
      <c r="B1839" s="75" t="s">
        <v>1218</v>
      </c>
      <c r="C1839" s="74" t="str">
        <f>IF($B1839&lt;&gt;"",_xlfn.IFNA(VLOOKUP($B1839,'Node Details'!$B:$U,C$1,0),"Check"),"")</f>
        <v>0000CM408-CM4080104</v>
      </c>
      <c r="D1839" s="74" t="str">
        <f>IF($B1839&lt;&gt;"",_xlfn.IFNA(VLOOKUP($B1839,'Node Details'!$B:$U,D$1,0),"Check"),"")</f>
        <v>CM4</v>
      </c>
      <c r="E1839" s="74" t="str">
        <f>IF($B1839&lt;&gt;"",_xlfn.IFNA(VLOOKUP($B1839,'Node Details'!$B:$U,E$1,0),"Check"),"")</f>
        <v>Airtel</v>
      </c>
      <c r="F1839" s="76">
        <v>46148</v>
      </c>
      <c r="G1839" s="74"/>
      <c r="H1839" s="10" t="s">
        <v>1250</v>
      </c>
      <c r="I1839" s="9">
        <v>2</v>
      </c>
      <c r="J1839" s="9">
        <v>150</v>
      </c>
      <c r="K1839" s="77">
        <f t="shared" si="122"/>
        <v>300</v>
      </c>
      <c r="L1839" s="76">
        <v>46142</v>
      </c>
      <c r="N1839" s="83"/>
      <c r="O1839" s="84"/>
      <c r="P1839" s="81"/>
      <c r="Q1839" s="81"/>
      <c r="R1839" s="81"/>
      <c r="S1839" s="81"/>
      <c r="T1839" s="85"/>
      <c r="U1839" s="81"/>
      <c r="V1839" s="81"/>
      <c r="W1839" s="123">
        <f t="shared" si="123"/>
        <v>0</v>
      </c>
      <c r="X1839" s="123" t="s">
        <v>84</v>
      </c>
      <c r="Y1839" s="114" t="s">
        <v>1128</v>
      </c>
    </row>
    <row r="1840" spans="1:25" s="24" customFormat="1" ht="11.1" customHeight="1">
      <c r="A1840" s="74">
        <f t="shared" si="124"/>
        <v>1838</v>
      </c>
      <c r="B1840" s="75" t="s">
        <v>846</v>
      </c>
      <c r="C1840" s="74" t="str">
        <f>IF($B1840&lt;&gt;"",_xlfn.IFNA(VLOOKUP($B1840,'Node Details'!$B:$U,C$1,0),"Check"),"")</f>
        <v>0000CM408-CM4080104</v>
      </c>
      <c r="D1840" s="74" t="str">
        <f>IF($B1840&lt;&gt;"",_xlfn.IFNA(VLOOKUP($B1840,'Node Details'!$B:$U,D$1,0),"Check"),"")</f>
        <v>CM4</v>
      </c>
      <c r="E1840" s="74" t="str">
        <f>IF($B1840&lt;&gt;"",_xlfn.IFNA(VLOOKUP($B1840,'Node Details'!$B:$U,E$1,0),"Check"),"")</f>
        <v>Airtel</v>
      </c>
      <c r="F1840" s="76">
        <v>46148</v>
      </c>
      <c r="G1840" s="74"/>
      <c r="H1840" s="10" t="s">
        <v>1250</v>
      </c>
      <c r="I1840" s="9">
        <v>2</v>
      </c>
      <c r="J1840" s="9">
        <v>150</v>
      </c>
      <c r="K1840" s="77">
        <f t="shared" ref="K1840:K1903" si="125">IF(I1840&lt;&gt;"",J1840*I1840,0)</f>
        <v>300</v>
      </c>
      <c r="L1840" s="76">
        <v>46142</v>
      </c>
      <c r="N1840" s="83"/>
      <c r="O1840" s="84"/>
      <c r="P1840" s="81"/>
      <c r="Q1840" s="81"/>
      <c r="R1840" s="81"/>
      <c r="S1840" s="81"/>
      <c r="T1840" s="85"/>
      <c r="U1840" s="81"/>
      <c r="V1840" s="81"/>
      <c r="W1840" s="123">
        <f t="shared" ref="W1840:W1903" si="126">IF(V1840&lt;&gt;"",V1840*U1840,0)</f>
        <v>0</v>
      </c>
      <c r="X1840" s="123" t="s">
        <v>84</v>
      </c>
      <c r="Y1840" s="114" t="s">
        <v>1128</v>
      </c>
    </row>
    <row r="1841" spans="1:25" s="24" customFormat="1" ht="11.1" customHeight="1">
      <c r="A1841" s="74">
        <f t="shared" si="124"/>
        <v>1839</v>
      </c>
      <c r="B1841" s="75" t="s">
        <v>1219</v>
      </c>
      <c r="C1841" s="74" t="str">
        <f>IF($B1841&lt;&gt;"",_xlfn.IFNA(VLOOKUP($B1841,'Node Details'!$B:$U,C$1,0),"Check"),"")</f>
        <v>0000CM408-CM4080108</v>
      </c>
      <c r="D1841" s="74" t="str">
        <f>IF($B1841&lt;&gt;"",_xlfn.IFNA(VLOOKUP($B1841,'Node Details'!$B:$U,D$1,0),"Check"),"")</f>
        <v>CM4</v>
      </c>
      <c r="E1841" s="74" t="str">
        <f>IF($B1841&lt;&gt;"",_xlfn.IFNA(VLOOKUP($B1841,'Node Details'!$B:$U,E$1,0),"Check"),"")</f>
        <v>Airtel</v>
      </c>
      <c r="F1841" s="76">
        <v>46148</v>
      </c>
      <c r="G1841" s="74"/>
      <c r="H1841" s="10" t="s">
        <v>1250</v>
      </c>
      <c r="I1841" s="9">
        <v>2</v>
      </c>
      <c r="J1841" s="9">
        <v>150</v>
      </c>
      <c r="K1841" s="77">
        <f t="shared" si="125"/>
        <v>300</v>
      </c>
      <c r="L1841" s="76">
        <v>46142</v>
      </c>
      <c r="N1841" s="83"/>
      <c r="O1841" s="84"/>
      <c r="P1841" s="81"/>
      <c r="Q1841" s="81"/>
      <c r="R1841" s="81"/>
      <c r="S1841" s="81"/>
      <c r="T1841" s="85"/>
      <c r="U1841" s="81"/>
      <c r="V1841" s="81"/>
      <c r="W1841" s="123">
        <f t="shared" si="126"/>
        <v>0</v>
      </c>
      <c r="X1841" s="123" t="s">
        <v>84</v>
      </c>
      <c r="Y1841" s="114" t="s">
        <v>1128</v>
      </c>
    </row>
    <row r="1842" spans="1:25" s="24" customFormat="1" ht="11.1" customHeight="1">
      <c r="A1842" s="74">
        <f t="shared" si="124"/>
        <v>1840</v>
      </c>
      <c r="B1842" s="75" t="s">
        <v>848</v>
      </c>
      <c r="C1842" s="74" t="str">
        <f>IF($B1842&lt;&gt;"",_xlfn.IFNA(VLOOKUP($B1842,'Node Details'!$B:$U,C$1,0),"Check"),"")</f>
        <v>0000CM408-CM4080108</v>
      </c>
      <c r="D1842" s="74" t="str">
        <f>IF($B1842&lt;&gt;"",_xlfn.IFNA(VLOOKUP($B1842,'Node Details'!$B:$U,D$1,0),"Check"),"")</f>
        <v>CM4</v>
      </c>
      <c r="E1842" s="74" t="str">
        <f>IF($B1842&lt;&gt;"",_xlfn.IFNA(VLOOKUP($B1842,'Node Details'!$B:$U,E$1,0),"Check"),"")</f>
        <v>Airtel</v>
      </c>
      <c r="F1842" s="76">
        <v>46148</v>
      </c>
      <c r="G1842" s="74"/>
      <c r="H1842" s="10" t="s">
        <v>1250</v>
      </c>
      <c r="I1842" s="9">
        <v>2</v>
      </c>
      <c r="J1842" s="9">
        <v>150</v>
      </c>
      <c r="K1842" s="77">
        <f t="shared" si="125"/>
        <v>300</v>
      </c>
      <c r="L1842" s="76">
        <v>46142</v>
      </c>
      <c r="N1842" s="83"/>
      <c r="O1842" s="84"/>
      <c r="P1842" s="81"/>
      <c r="Q1842" s="81"/>
      <c r="R1842" s="81"/>
      <c r="S1842" s="81"/>
      <c r="T1842" s="85"/>
      <c r="U1842" s="81"/>
      <c r="V1842" s="81"/>
      <c r="W1842" s="123">
        <f t="shared" si="126"/>
        <v>0</v>
      </c>
      <c r="X1842" s="123" t="s">
        <v>84</v>
      </c>
      <c r="Y1842" s="114" t="s">
        <v>1128</v>
      </c>
    </row>
    <row r="1843" spans="1:25" s="24" customFormat="1" ht="11.1" customHeight="1">
      <c r="A1843" s="74">
        <f t="shared" si="124"/>
        <v>1841</v>
      </c>
      <c r="B1843" s="75" t="s">
        <v>850</v>
      </c>
      <c r="C1843" s="74" t="str">
        <f>IF($B1843&lt;&gt;"",_xlfn.IFNA(VLOOKUP($B1843,'Node Details'!$B:$U,C$1,0),"Check"),"")</f>
        <v>0000CM408-CM4080105</v>
      </c>
      <c r="D1843" s="74" t="str">
        <f>IF($B1843&lt;&gt;"",_xlfn.IFNA(VLOOKUP($B1843,'Node Details'!$B:$U,D$1,0),"Check"),"")</f>
        <v>CM4</v>
      </c>
      <c r="E1843" s="74" t="str">
        <f>IF($B1843&lt;&gt;"",_xlfn.IFNA(VLOOKUP($B1843,'Node Details'!$B:$U,E$1,0),"Check"),"")</f>
        <v>Airtel</v>
      </c>
      <c r="F1843" s="76">
        <v>46148</v>
      </c>
      <c r="G1843" s="74"/>
      <c r="H1843" s="10" t="s">
        <v>1250</v>
      </c>
      <c r="I1843" s="9">
        <v>2</v>
      </c>
      <c r="J1843" s="9">
        <v>150</v>
      </c>
      <c r="K1843" s="77">
        <f t="shared" si="125"/>
        <v>300</v>
      </c>
      <c r="L1843" s="76">
        <v>46142</v>
      </c>
      <c r="N1843" s="83"/>
      <c r="O1843" s="84"/>
      <c r="P1843" s="81"/>
      <c r="Q1843" s="81"/>
      <c r="R1843" s="81"/>
      <c r="S1843" s="81"/>
      <c r="T1843" s="85"/>
      <c r="U1843" s="81"/>
      <c r="V1843" s="81"/>
      <c r="W1843" s="123">
        <f t="shared" si="126"/>
        <v>0</v>
      </c>
      <c r="X1843" s="123" t="s">
        <v>84</v>
      </c>
      <c r="Y1843" s="114" t="s">
        <v>1128</v>
      </c>
    </row>
    <row r="1844" spans="1:25" s="24" customFormat="1" ht="11.1" customHeight="1">
      <c r="A1844" s="74">
        <f t="shared" si="124"/>
        <v>1842</v>
      </c>
      <c r="B1844" s="75" t="s">
        <v>852</v>
      </c>
      <c r="C1844" s="74" t="str">
        <f>IF($B1844&lt;&gt;"",_xlfn.IFNA(VLOOKUP($B1844,'Node Details'!$B:$U,C$1,0),"Check"),"")</f>
        <v>0000CM408-CM4080107</v>
      </c>
      <c r="D1844" s="74" t="str">
        <f>IF($B1844&lt;&gt;"",_xlfn.IFNA(VLOOKUP($B1844,'Node Details'!$B:$U,D$1,0),"Check"),"")</f>
        <v>CM4</v>
      </c>
      <c r="E1844" s="74" t="str">
        <f>IF($B1844&lt;&gt;"",_xlfn.IFNA(VLOOKUP($B1844,'Node Details'!$B:$U,E$1,0),"Check"),"")</f>
        <v>Airtel</v>
      </c>
      <c r="F1844" s="76">
        <v>46148</v>
      </c>
      <c r="G1844" s="74"/>
      <c r="H1844" s="10" t="s">
        <v>1250</v>
      </c>
      <c r="I1844" s="9">
        <v>2</v>
      </c>
      <c r="J1844" s="9">
        <v>150</v>
      </c>
      <c r="K1844" s="77">
        <f t="shared" si="125"/>
        <v>300</v>
      </c>
      <c r="L1844" s="76">
        <v>46142</v>
      </c>
      <c r="N1844" s="83"/>
      <c r="O1844" s="84"/>
      <c r="P1844" s="81"/>
      <c r="Q1844" s="81"/>
      <c r="R1844" s="81"/>
      <c r="S1844" s="81"/>
      <c r="T1844" s="85"/>
      <c r="U1844" s="81"/>
      <c r="V1844" s="81"/>
      <c r="W1844" s="123">
        <f t="shared" si="126"/>
        <v>0</v>
      </c>
      <c r="X1844" s="123" t="s">
        <v>84</v>
      </c>
      <c r="Y1844" s="114" t="s">
        <v>1128</v>
      </c>
    </row>
    <row r="1845" spans="1:25" s="24" customFormat="1" ht="11.1" customHeight="1">
      <c r="A1845" s="74">
        <f t="shared" si="124"/>
        <v>1843</v>
      </c>
      <c r="B1845" s="75" t="s">
        <v>854</v>
      </c>
      <c r="C1845" s="74" t="str">
        <f>IF($B1845&lt;&gt;"",_xlfn.IFNA(VLOOKUP($B1845,'Node Details'!$B:$U,C$1,0),"Check"),"")</f>
        <v>000000CM4-0000CM418</v>
      </c>
      <c r="D1845" s="74" t="str">
        <f>IF($B1845&lt;&gt;"",_xlfn.IFNA(VLOOKUP($B1845,'Node Details'!$B:$U,D$1,0),"Check"),"")</f>
        <v>CM4</v>
      </c>
      <c r="E1845" s="74" t="str">
        <f>IF($B1845&lt;&gt;"",_xlfn.IFNA(VLOOKUP($B1845,'Node Details'!$B:$U,E$1,0),"Check"),"")</f>
        <v>Airtel</v>
      </c>
      <c r="F1845" s="76">
        <v>46148</v>
      </c>
      <c r="G1845" s="74"/>
      <c r="H1845" s="10" t="s">
        <v>1250</v>
      </c>
      <c r="I1845" s="9">
        <v>2</v>
      </c>
      <c r="J1845" s="9">
        <v>150</v>
      </c>
      <c r="K1845" s="77">
        <f t="shared" si="125"/>
        <v>300</v>
      </c>
      <c r="L1845" s="76">
        <v>46142</v>
      </c>
      <c r="N1845" s="83"/>
      <c r="O1845" s="84"/>
      <c r="P1845" s="81"/>
      <c r="Q1845" s="81"/>
      <c r="R1845" s="81"/>
      <c r="S1845" s="81"/>
      <c r="T1845" s="85"/>
      <c r="U1845" s="81"/>
      <c r="V1845" s="81"/>
      <c r="W1845" s="123">
        <f t="shared" si="126"/>
        <v>0</v>
      </c>
      <c r="X1845" s="123" t="s">
        <v>84</v>
      </c>
      <c r="Y1845" s="114" t="s">
        <v>1128</v>
      </c>
    </row>
    <row r="1846" spans="1:25" s="24" customFormat="1" ht="11.1" customHeight="1">
      <c r="A1846" s="74">
        <f t="shared" si="124"/>
        <v>1844</v>
      </c>
      <c r="B1846" s="75" t="s">
        <v>855</v>
      </c>
      <c r="C1846" s="74" t="str">
        <f>IF($B1846&lt;&gt;"",_xlfn.IFNA(VLOOKUP($B1846,'Node Details'!$B:$U,C$1,0),"Check"),"")</f>
        <v>0000CM409-CM4090103</v>
      </c>
      <c r="D1846" s="74" t="str">
        <f>IF($B1846&lt;&gt;"",_xlfn.IFNA(VLOOKUP($B1846,'Node Details'!$B:$U,D$1,0),"Check"),"")</f>
        <v>CM4</v>
      </c>
      <c r="E1846" s="74" t="str">
        <f>IF($B1846&lt;&gt;"",_xlfn.IFNA(VLOOKUP($B1846,'Node Details'!$B:$U,E$1,0),"Check"),"")</f>
        <v>Airtel</v>
      </c>
      <c r="F1846" s="76">
        <v>46148</v>
      </c>
      <c r="G1846" s="74"/>
      <c r="H1846" s="10" t="s">
        <v>1250</v>
      </c>
      <c r="I1846" s="9">
        <v>2</v>
      </c>
      <c r="J1846" s="9">
        <v>150</v>
      </c>
      <c r="K1846" s="77">
        <f t="shared" si="125"/>
        <v>300</v>
      </c>
      <c r="L1846" s="76">
        <v>46142</v>
      </c>
      <c r="N1846" s="83"/>
      <c r="O1846" s="84"/>
      <c r="P1846" s="81"/>
      <c r="Q1846" s="81"/>
      <c r="R1846" s="81"/>
      <c r="S1846" s="81"/>
      <c r="T1846" s="85"/>
      <c r="U1846" s="81"/>
      <c r="V1846" s="81"/>
      <c r="W1846" s="123">
        <f t="shared" si="126"/>
        <v>0</v>
      </c>
      <c r="X1846" s="123" t="s">
        <v>84</v>
      </c>
      <c r="Y1846" s="114" t="s">
        <v>1128</v>
      </c>
    </row>
    <row r="1847" spans="1:25" s="24" customFormat="1" ht="11.1" customHeight="1">
      <c r="A1847" s="74">
        <f t="shared" si="124"/>
        <v>1845</v>
      </c>
      <c r="B1847" s="75" t="s">
        <v>857</v>
      </c>
      <c r="C1847" s="74" t="str">
        <f>IF($B1847&lt;&gt;"",_xlfn.IFNA(VLOOKUP($B1847,'Node Details'!$B:$U,C$1,0),"Check"),"")</f>
        <v>0000CM409-CM4090101</v>
      </c>
      <c r="D1847" s="74" t="str">
        <f>IF($B1847&lt;&gt;"",_xlfn.IFNA(VLOOKUP($B1847,'Node Details'!$B:$U,D$1,0),"Check"),"")</f>
        <v>CM4</v>
      </c>
      <c r="E1847" s="74" t="str">
        <f>IF($B1847&lt;&gt;"",_xlfn.IFNA(VLOOKUP($B1847,'Node Details'!$B:$U,E$1,0),"Check"),"")</f>
        <v>Airtel</v>
      </c>
      <c r="F1847" s="76">
        <v>46148</v>
      </c>
      <c r="G1847" s="74"/>
      <c r="H1847" s="10" t="s">
        <v>1250</v>
      </c>
      <c r="I1847" s="9">
        <v>2</v>
      </c>
      <c r="J1847" s="9">
        <v>150</v>
      </c>
      <c r="K1847" s="77">
        <f t="shared" si="125"/>
        <v>300</v>
      </c>
      <c r="L1847" s="76">
        <v>46142</v>
      </c>
      <c r="N1847" s="83"/>
      <c r="O1847" s="84"/>
      <c r="P1847" s="81"/>
      <c r="Q1847" s="81"/>
      <c r="R1847" s="81"/>
      <c r="S1847" s="81"/>
      <c r="T1847" s="85"/>
      <c r="U1847" s="81"/>
      <c r="V1847" s="81"/>
      <c r="W1847" s="123">
        <f t="shared" si="126"/>
        <v>0</v>
      </c>
      <c r="X1847" s="123" t="s">
        <v>84</v>
      </c>
      <c r="Y1847" s="114" t="s">
        <v>1128</v>
      </c>
    </row>
    <row r="1848" spans="1:25" s="24" customFormat="1" ht="11.1" customHeight="1">
      <c r="A1848" s="74">
        <f t="shared" si="124"/>
        <v>1846</v>
      </c>
      <c r="B1848" s="75" t="s">
        <v>859</v>
      </c>
      <c r="C1848" s="74" t="str">
        <f>IF($B1848&lt;&gt;"",_xlfn.IFNA(VLOOKUP($B1848,'Node Details'!$B:$U,C$1,0),"Check"),"")</f>
        <v>0000CM409-CM4090102</v>
      </c>
      <c r="D1848" s="74" t="str">
        <f>IF($B1848&lt;&gt;"",_xlfn.IFNA(VLOOKUP($B1848,'Node Details'!$B:$U,D$1,0),"Check"),"")</f>
        <v>CM4</v>
      </c>
      <c r="E1848" s="74" t="str">
        <f>IF($B1848&lt;&gt;"",_xlfn.IFNA(VLOOKUP($B1848,'Node Details'!$B:$U,E$1,0),"Check"),"")</f>
        <v>Airtel</v>
      </c>
      <c r="F1848" s="76">
        <v>46148</v>
      </c>
      <c r="G1848" s="74"/>
      <c r="H1848" s="10" t="s">
        <v>1250</v>
      </c>
      <c r="I1848" s="9">
        <v>2</v>
      </c>
      <c r="J1848" s="9">
        <v>150</v>
      </c>
      <c r="K1848" s="77">
        <f t="shared" si="125"/>
        <v>300</v>
      </c>
      <c r="L1848" s="76">
        <v>46142</v>
      </c>
      <c r="N1848" s="83"/>
      <c r="O1848" s="84"/>
      <c r="P1848" s="81"/>
      <c r="Q1848" s="81"/>
      <c r="R1848" s="81"/>
      <c r="S1848" s="81"/>
      <c r="T1848" s="85"/>
      <c r="U1848" s="81"/>
      <c r="V1848" s="81"/>
      <c r="W1848" s="123">
        <f t="shared" si="126"/>
        <v>0</v>
      </c>
      <c r="X1848" s="123" t="s">
        <v>84</v>
      </c>
      <c r="Y1848" s="114" t="s">
        <v>1128</v>
      </c>
    </row>
    <row r="1849" spans="1:25" s="24" customFormat="1" ht="11.1" customHeight="1">
      <c r="A1849" s="74">
        <f t="shared" si="124"/>
        <v>1847</v>
      </c>
      <c r="B1849" s="75" t="s">
        <v>861</v>
      </c>
      <c r="C1849" s="74" t="str">
        <f>IF($B1849&lt;&gt;"",_xlfn.IFNA(VLOOKUP($B1849,'Node Details'!$B:$U,C$1,0),"Check"),"")</f>
        <v>0000CM409-CM4090104</v>
      </c>
      <c r="D1849" s="74" t="str">
        <f>IF($B1849&lt;&gt;"",_xlfn.IFNA(VLOOKUP($B1849,'Node Details'!$B:$U,D$1,0),"Check"),"")</f>
        <v>CM4</v>
      </c>
      <c r="E1849" s="74" t="str">
        <f>IF($B1849&lt;&gt;"",_xlfn.IFNA(VLOOKUP($B1849,'Node Details'!$B:$U,E$1,0),"Check"),"")</f>
        <v>Airtel</v>
      </c>
      <c r="F1849" s="76">
        <v>46148</v>
      </c>
      <c r="G1849" s="74"/>
      <c r="H1849" s="10" t="s">
        <v>1250</v>
      </c>
      <c r="I1849" s="9">
        <v>2</v>
      </c>
      <c r="J1849" s="9">
        <v>150</v>
      </c>
      <c r="K1849" s="77">
        <f t="shared" si="125"/>
        <v>300</v>
      </c>
      <c r="L1849" s="76">
        <v>46142</v>
      </c>
      <c r="N1849" s="83"/>
      <c r="O1849" s="84"/>
      <c r="P1849" s="81"/>
      <c r="Q1849" s="81"/>
      <c r="R1849" s="81"/>
      <c r="S1849" s="81"/>
      <c r="T1849" s="85"/>
      <c r="U1849" s="81"/>
      <c r="V1849" s="81"/>
      <c r="W1849" s="123">
        <f t="shared" si="126"/>
        <v>0</v>
      </c>
      <c r="X1849" s="123" t="s">
        <v>84</v>
      </c>
      <c r="Y1849" s="114" t="s">
        <v>1128</v>
      </c>
    </row>
    <row r="1850" spans="1:25" s="24" customFormat="1" ht="11.1" customHeight="1">
      <c r="A1850" s="74">
        <f t="shared" si="124"/>
        <v>1848</v>
      </c>
      <c r="B1850" s="75" t="s">
        <v>1220</v>
      </c>
      <c r="C1850" s="74" t="str">
        <f>IF($B1850&lt;&gt;"",_xlfn.IFNA(VLOOKUP($B1850,'Node Details'!$B:$U,C$1,0),"Check"),"")</f>
        <v>0000CM409-CM4090106</v>
      </c>
      <c r="D1850" s="74" t="str">
        <f>IF($B1850&lt;&gt;"",_xlfn.IFNA(VLOOKUP($B1850,'Node Details'!$B:$U,D$1,0),"Check"),"")</f>
        <v>CM4</v>
      </c>
      <c r="E1850" s="74" t="str">
        <f>IF($B1850&lt;&gt;"",_xlfn.IFNA(VLOOKUP($B1850,'Node Details'!$B:$U,E$1,0),"Check"),"")</f>
        <v>Airtel</v>
      </c>
      <c r="F1850" s="76">
        <v>46148</v>
      </c>
      <c r="G1850" s="74"/>
      <c r="H1850" s="10" t="s">
        <v>1250</v>
      </c>
      <c r="I1850" s="9">
        <v>2</v>
      </c>
      <c r="J1850" s="9">
        <v>150</v>
      </c>
      <c r="K1850" s="77">
        <f t="shared" si="125"/>
        <v>300</v>
      </c>
      <c r="L1850" s="76">
        <v>46142</v>
      </c>
      <c r="N1850" s="83"/>
      <c r="O1850" s="84"/>
      <c r="P1850" s="81"/>
      <c r="Q1850" s="81"/>
      <c r="R1850" s="81"/>
      <c r="S1850" s="81"/>
      <c r="T1850" s="85"/>
      <c r="U1850" s="81"/>
      <c r="V1850" s="81"/>
      <c r="W1850" s="123">
        <f t="shared" si="126"/>
        <v>0</v>
      </c>
      <c r="X1850" s="123" t="s">
        <v>84</v>
      </c>
      <c r="Y1850" s="114" t="s">
        <v>1128</v>
      </c>
    </row>
    <row r="1851" spans="1:25" s="24" customFormat="1" ht="11.1" customHeight="1">
      <c r="A1851" s="74">
        <f t="shared" si="124"/>
        <v>1849</v>
      </c>
      <c r="B1851" s="75" t="s">
        <v>863</v>
      </c>
      <c r="C1851" s="74" t="str">
        <f>IF($B1851&lt;&gt;"",_xlfn.IFNA(VLOOKUP($B1851,'Node Details'!$B:$U,C$1,0),"Check"),"")</f>
        <v>0000CM409-CM4090106</v>
      </c>
      <c r="D1851" s="74" t="str">
        <f>IF($B1851&lt;&gt;"",_xlfn.IFNA(VLOOKUP($B1851,'Node Details'!$B:$U,D$1,0),"Check"),"")</f>
        <v>CM4</v>
      </c>
      <c r="E1851" s="74" t="str">
        <f>IF($B1851&lt;&gt;"",_xlfn.IFNA(VLOOKUP($B1851,'Node Details'!$B:$U,E$1,0),"Check"),"")</f>
        <v>Airtel</v>
      </c>
      <c r="F1851" s="76">
        <v>46148</v>
      </c>
      <c r="G1851" s="74"/>
      <c r="H1851" s="10" t="s">
        <v>1250</v>
      </c>
      <c r="I1851" s="9">
        <v>2</v>
      </c>
      <c r="J1851" s="9">
        <v>150</v>
      </c>
      <c r="K1851" s="77">
        <f t="shared" si="125"/>
        <v>300</v>
      </c>
      <c r="L1851" s="76">
        <v>46142</v>
      </c>
      <c r="N1851" s="83"/>
      <c r="O1851" s="84"/>
      <c r="P1851" s="81"/>
      <c r="Q1851" s="81"/>
      <c r="R1851" s="81"/>
      <c r="S1851" s="81"/>
      <c r="T1851" s="85"/>
      <c r="U1851" s="81"/>
      <c r="V1851" s="81"/>
      <c r="W1851" s="123">
        <f t="shared" si="126"/>
        <v>0</v>
      </c>
      <c r="X1851" s="123" t="s">
        <v>84</v>
      </c>
      <c r="Y1851" s="114" t="s">
        <v>1128</v>
      </c>
    </row>
    <row r="1852" spans="1:25" s="24" customFormat="1" ht="11.1" customHeight="1">
      <c r="A1852" s="74">
        <f t="shared" si="124"/>
        <v>1850</v>
      </c>
      <c r="B1852" s="75" t="s">
        <v>865</v>
      </c>
      <c r="C1852" s="74" t="str">
        <f>IF($B1852&lt;&gt;"",_xlfn.IFNA(VLOOKUP($B1852,'Node Details'!$B:$U,C$1,0),"Check"),"")</f>
        <v>000000CM4-0000CM418</v>
      </c>
      <c r="D1852" s="74" t="str">
        <f>IF($B1852&lt;&gt;"",_xlfn.IFNA(VLOOKUP($B1852,'Node Details'!$B:$U,D$1,0),"Check"),"")</f>
        <v>CM4</v>
      </c>
      <c r="E1852" s="74" t="str">
        <f>IF($B1852&lt;&gt;"",_xlfn.IFNA(VLOOKUP($B1852,'Node Details'!$B:$U,E$1,0),"Check"),"")</f>
        <v>Airtel</v>
      </c>
      <c r="F1852" s="76">
        <v>46148</v>
      </c>
      <c r="G1852" s="74"/>
      <c r="H1852" s="10" t="s">
        <v>1250</v>
      </c>
      <c r="I1852" s="9">
        <v>2</v>
      </c>
      <c r="J1852" s="9">
        <v>150</v>
      </c>
      <c r="K1852" s="77">
        <f t="shared" si="125"/>
        <v>300</v>
      </c>
      <c r="L1852" s="76">
        <v>46142</v>
      </c>
      <c r="N1852" s="83"/>
      <c r="O1852" s="84"/>
      <c r="P1852" s="81"/>
      <c r="Q1852" s="81"/>
      <c r="R1852" s="81"/>
      <c r="S1852" s="81"/>
      <c r="T1852" s="85"/>
      <c r="U1852" s="81"/>
      <c r="V1852" s="81"/>
      <c r="W1852" s="123">
        <f t="shared" si="126"/>
        <v>0</v>
      </c>
      <c r="X1852" s="123" t="s">
        <v>84</v>
      </c>
      <c r="Y1852" s="114" t="s">
        <v>1128</v>
      </c>
    </row>
    <row r="1853" spans="1:25" s="24" customFormat="1" ht="11.1" customHeight="1">
      <c r="A1853" s="74">
        <f t="shared" si="124"/>
        <v>1851</v>
      </c>
      <c r="B1853" s="75" t="s">
        <v>866</v>
      </c>
      <c r="C1853" s="74" t="str">
        <f>IF($B1853&lt;&gt;"",_xlfn.IFNA(VLOOKUP($B1853,'Node Details'!$B:$U,C$1,0),"Check"),"")</f>
        <v>0000CM410-CM4100105</v>
      </c>
      <c r="D1853" s="74" t="str">
        <f>IF($B1853&lt;&gt;"",_xlfn.IFNA(VLOOKUP($B1853,'Node Details'!$B:$U,D$1,0),"Check"),"")</f>
        <v>CM4</v>
      </c>
      <c r="E1853" s="74" t="str">
        <f>IF($B1853&lt;&gt;"",_xlfn.IFNA(VLOOKUP($B1853,'Node Details'!$B:$U,E$1,0),"Check"),"")</f>
        <v>Airtel</v>
      </c>
      <c r="F1853" s="76">
        <v>46148</v>
      </c>
      <c r="G1853" s="74"/>
      <c r="H1853" s="10" t="s">
        <v>1250</v>
      </c>
      <c r="I1853" s="9">
        <v>2</v>
      </c>
      <c r="J1853" s="9">
        <v>150</v>
      </c>
      <c r="K1853" s="77">
        <f t="shared" si="125"/>
        <v>300</v>
      </c>
      <c r="L1853" s="76">
        <v>46142</v>
      </c>
      <c r="N1853" s="83"/>
      <c r="O1853" s="84"/>
      <c r="P1853" s="81"/>
      <c r="Q1853" s="81"/>
      <c r="R1853" s="81"/>
      <c r="S1853" s="81"/>
      <c r="T1853" s="85"/>
      <c r="U1853" s="81"/>
      <c r="V1853" s="81"/>
      <c r="W1853" s="123">
        <f t="shared" si="126"/>
        <v>0</v>
      </c>
      <c r="X1853" s="123" t="s">
        <v>84</v>
      </c>
      <c r="Y1853" s="114" t="s">
        <v>1128</v>
      </c>
    </row>
    <row r="1854" spans="1:25" s="24" customFormat="1" ht="11.1" customHeight="1">
      <c r="A1854" s="74">
        <f t="shared" si="124"/>
        <v>1852</v>
      </c>
      <c r="B1854" s="75" t="s">
        <v>868</v>
      </c>
      <c r="C1854" s="74" t="str">
        <f>IF($B1854&lt;&gt;"",_xlfn.IFNA(VLOOKUP($B1854,'Node Details'!$B:$U,C$1,0),"Check"),"")</f>
        <v>0000CM410-CM4100106</v>
      </c>
      <c r="D1854" s="74" t="str">
        <f>IF($B1854&lt;&gt;"",_xlfn.IFNA(VLOOKUP($B1854,'Node Details'!$B:$U,D$1,0),"Check"),"")</f>
        <v>CM4</v>
      </c>
      <c r="E1854" s="74" t="str">
        <f>IF($B1854&lt;&gt;"",_xlfn.IFNA(VLOOKUP($B1854,'Node Details'!$B:$U,E$1,0),"Check"),"")</f>
        <v>Airtel</v>
      </c>
      <c r="F1854" s="76">
        <v>46148</v>
      </c>
      <c r="G1854" s="74"/>
      <c r="H1854" s="10" t="s">
        <v>1250</v>
      </c>
      <c r="I1854" s="9">
        <v>2</v>
      </c>
      <c r="J1854" s="9">
        <v>150</v>
      </c>
      <c r="K1854" s="77">
        <f t="shared" si="125"/>
        <v>300</v>
      </c>
      <c r="L1854" s="76">
        <v>46142</v>
      </c>
      <c r="N1854" s="83"/>
      <c r="O1854" s="84"/>
      <c r="P1854" s="81"/>
      <c r="Q1854" s="81"/>
      <c r="R1854" s="81"/>
      <c r="S1854" s="81"/>
      <c r="T1854" s="85"/>
      <c r="U1854" s="81"/>
      <c r="V1854" s="81"/>
      <c r="W1854" s="123">
        <f t="shared" si="126"/>
        <v>0</v>
      </c>
      <c r="X1854" s="123" t="s">
        <v>84</v>
      </c>
      <c r="Y1854" s="114" t="s">
        <v>1128</v>
      </c>
    </row>
    <row r="1855" spans="1:25" s="24" customFormat="1" ht="11.1" customHeight="1">
      <c r="A1855" s="74">
        <f t="shared" si="124"/>
        <v>1853</v>
      </c>
      <c r="B1855" s="75" t="s">
        <v>870</v>
      </c>
      <c r="C1855" s="74" t="str">
        <f>IF($B1855&lt;&gt;"",_xlfn.IFNA(VLOOKUP($B1855,'Node Details'!$B:$U,C$1,0),"Check"),"")</f>
        <v>0000CM410-CM4100107</v>
      </c>
      <c r="D1855" s="74" t="str">
        <f>IF($B1855&lt;&gt;"",_xlfn.IFNA(VLOOKUP($B1855,'Node Details'!$B:$U,D$1,0),"Check"),"")</f>
        <v>CM4</v>
      </c>
      <c r="E1855" s="74" t="str">
        <f>IF($B1855&lt;&gt;"",_xlfn.IFNA(VLOOKUP($B1855,'Node Details'!$B:$U,E$1,0),"Check"),"")</f>
        <v>Airtel</v>
      </c>
      <c r="F1855" s="76">
        <v>46148</v>
      </c>
      <c r="G1855" s="74"/>
      <c r="H1855" s="10" t="s">
        <v>1250</v>
      </c>
      <c r="I1855" s="9">
        <v>2</v>
      </c>
      <c r="J1855" s="9">
        <v>150</v>
      </c>
      <c r="K1855" s="77">
        <f t="shared" si="125"/>
        <v>300</v>
      </c>
      <c r="L1855" s="76">
        <v>46142</v>
      </c>
      <c r="N1855" s="83"/>
      <c r="O1855" s="84"/>
      <c r="P1855" s="81"/>
      <c r="Q1855" s="81"/>
      <c r="R1855" s="81"/>
      <c r="S1855" s="81"/>
      <c r="T1855" s="85"/>
      <c r="U1855" s="81"/>
      <c r="V1855" s="81"/>
      <c r="W1855" s="123">
        <f t="shared" si="126"/>
        <v>0</v>
      </c>
      <c r="X1855" s="123" t="s">
        <v>84</v>
      </c>
      <c r="Y1855" s="114" t="s">
        <v>1128</v>
      </c>
    </row>
    <row r="1856" spans="1:25" s="24" customFormat="1" ht="11.1" customHeight="1">
      <c r="A1856" s="74">
        <f t="shared" si="124"/>
        <v>1854</v>
      </c>
      <c r="B1856" s="75" t="s">
        <v>872</v>
      </c>
      <c r="C1856" s="74" t="str">
        <f>IF($B1856&lt;&gt;"",_xlfn.IFNA(VLOOKUP($B1856,'Node Details'!$B:$U,C$1,0),"Check"),"")</f>
        <v>0000CM410-CM4100108</v>
      </c>
      <c r="D1856" s="74" t="str">
        <f>IF($B1856&lt;&gt;"",_xlfn.IFNA(VLOOKUP($B1856,'Node Details'!$B:$U,D$1,0),"Check"),"")</f>
        <v>CM4</v>
      </c>
      <c r="E1856" s="74" t="str">
        <f>IF($B1856&lt;&gt;"",_xlfn.IFNA(VLOOKUP($B1856,'Node Details'!$B:$U,E$1,0),"Check"),"")</f>
        <v>Airtel</v>
      </c>
      <c r="F1856" s="76">
        <v>46148</v>
      </c>
      <c r="G1856" s="74"/>
      <c r="H1856" s="10" t="s">
        <v>1250</v>
      </c>
      <c r="I1856" s="9">
        <v>2</v>
      </c>
      <c r="J1856" s="9">
        <v>150</v>
      </c>
      <c r="K1856" s="77">
        <f t="shared" si="125"/>
        <v>300</v>
      </c>
      <c r="L1856" s="76">
        <v>46142</v>
      </c>
      <c r="N1856" s="83"/>
      <c r="O1856" s="84"/>
      <c r="P1856" s="81"/>
      <c r="Q1856" s="81"/>
      <c r="R1856" s="81"/>
      <c r="S1856" s="81"/>
      <c r="T1856" s="85"/>
      <c r="U1856" s="81"/>
      <c r="V1856" s="81"/>
      <c r="W1856" s="123">
        <f t="shared" si="126"/>
        <v>0</v>
      </c>
      <c r="X1856" s="123" t="s">
        <v>84</v>
      </c>
      <c r="Y1856" s="114" t="s">
        <v>1128</v>
      </c>
    </row>
    <row r="1857" spans="1:25" s="24" customFormat="1" ht="11.1" customHeight="1">
      <c r="A1857" s="74">
        <f t="shared" si="124"/>
        <v>1855</v>
      </c>
      <c r="B1857" s="75" t="s">
        <v>874</v>
      </c>
      <c r="C1857" s="74" t="str">
        <f>IF($B1857&lt;&gt;"",_xlfn.IFNA(VLOOKUP($B1857,'Node Details'!$B:$U,C$1,0),"Check"),"")</f>
        <v>0000CM410-CM4100103</v>
      </c>
      <c r="D1857" s="74" t="str">
        <f>IF($B1857&lt;&gt;"",_xlfn.IFNA(VLOOKUP($B1857,'Node Details'!$B:$U,D$1,0),"Check"),"")</f>
        <v>CM4</v>
      </c>
      <c r="E1857" s="74" t="str">
        <f>IF($B1857&lt;&gt;"",_xlfn.IFNA(VLOOKUP($B1857,'Node Details'!$B:$U,E$1,0),"Check"),"")</f>
        <v>Airtel</v>
      </c>
      <c r="F1857" s="76">
        <v>46148</v>
      </c>
      <c r="G1857" s="74"/>
      <c r="H1857" s="10" t="s">
        <v>1250</v>
      </c>
      <c r="I1857" s="9">
        <v>2</v>
      </c>
      <c r="J1857" s="9">
        <v>150</v>
      </c>
      <c r="K1857" s="77">
        <f t="shared" si="125"/>
        <v>300</v>
      </c>
      <c r="L1857" s="76">
        <v>46142</v>
      </c>
      <c r="N1857" s="83"/>
      <c r="O1857" s="84"/>
      <c r="P1857" s="81"/>
      <c r="Q1857" s="81"/>
      <c r="R1857" s="81"/>
      <c r="S1857" s="81"/>
      <c r="T1857" s="85"/>
      <c r="U1857" s="81"/>
      <c r="V1857" s="81"/>
      <c r="W1857" s="123">
        <f t="shared" si="126"/>
        <v>0</v>
      </c>
      <c r="X1857" s="123" t="s">
        <v>84</v>
      </c>
      <c r="Y1857" s="114" t="s">
        <v>1128</v>
      </c>
    </row>
    <row r="1858" spans="1:25" s="24" customFormat="1" ht="11.1" customHeight="1">
      <c r="A1858" s="74">
        <f t="shared" si="124"/>
        <v>1856</v>
      </c>
      <c r="B1858" s="75" t="s">
        <v>876</v>
      </c>
      <c r="C1858" s="74" t="str">
        <f>IF($B1858&lt;&gt;"",_xlfn.IFNA(VLOOKUP($B1858,'Node Details'!$B:$U,C$1,0),"Check"),"")</f>
        <v>0000CM410-CM4100104</v>
      </c>
      <c r="D1858" s="74" t="str">
        <f>IF($B1858&lt;&gt;"",_xlfn.IFNA(VLOOKUP($B1858,'Node Details'!$B:$U,D$1,0),"Check"),"")</f>
        <v>CM4</v>
      </c>
      <c r="E1858" s="74" t="str">
        <f>IF($B1858&lt;&gt;"",_xlfn.IFNA(VLOOKUP($B1858,'Node Details'!$B:$U,E$1,0),"Check"),"")</f>
        <v>Airtel</v>
      </c>
      <c r="F1858" s="76">
        <v>46148</v>
      </c>
      <c r="G1858" s="74"/>
      <c r="H1858" s="10" t="s">
        <v>1250</v>
      </c>
      <c r="I1858" s="9">
        <v>2</v>
      </c>
      <c r="J1858" s="9">
        <v>150</v>
      </c>
      <c r="K1858" s="77">
        <f t="shared" si="125"/>
        <v>300</v>
      </c>
      <c r="L1858" s="76">
        <v>46142</v>
      </c>
      <c r="N1858" s="83"/>
      <c r="O1858" s="84"/>
      <c r="P1858" s="81"/>
      <c r="Q1858" s="81"/>
      <c r="R1858" s="81"/>
      <c r="S1858" s="81"/>
      <c r="T1858" s="85"/>
      <c r="U1858" s="81"/>
      <c r="V1858" s="81"/>
      <c r="W1858" s="123">
        <f t="shared" si="126"/>
        <v>0</v>
      </c>
      <c r="X1858" s="123" t="s">
        <v>84</v>
      </c>
      <c r="Y1858" s="114" t="s">
        <v>1128</v>
      </c>
    </row>
    <row r="1859" spans="1:25" s="24" customFormat="1" ht="11.1" customHeight="1">
      <c r="A1859" s="74">
        <f t="shared" si="124"/>
        <v>1857</v>
      </c>
      <c r="B1859" s="75" t="s">
        <v>812</v>
      </c>
      <c r="C1859" s="74" t="str">
        <f>IF($B1859&lt;&gt;"",_xlfn.IFNA(VLOOKUP($B1859,'Node Details'!$B:$U,C$1,0),"Check"),"")</f>
        <v>000000CM4-0000CM418</v>
      </c>
      <c r="D1859" s="74" t="str">
        <f>IF($B1859&lt;&gt;"",_xlfn.IFNA(VLOOKUP($B1859,'Node Details'!$B:$U,D$1,0),"Check"),"")</f>
        <v>CM4</v>
      </c>
      <c r="E1859" s="74" t="str">
        <f>IF($B1859&lt;&gt;"",_xlfn.IFNA(VLOOKUP($B1859,'Node Details'!$B:$U,E$1,0),"Check"),"")</f>
        <v>Airtel</v>
      </c>
      <c r="F1859" s="76">
        <v>46148</v>
      </c>
      <c r="G1859" s="74"/>
      <c r="H1859" s="10" t="s">
        <v>1250</v>
      </c>
      <c r="I1859" s="9">
        <v>2</v>
      </c>
      <c r="J1859" s="9">
        <v>150</v>
      </c>
      <c r="K1859" s="77">
        <f t="shared" si="125"/>
        <v>300</v>
      </c>
      <c r="L1859" s="76">
        <v>46142</v>
      </c>
      <c r="N1859" s="83"/>
      <c r="O1859" s="84"/>
      <c r="P1859" s="81"/>
      <c r="Q1859" s="81"/>
      <c r="R1859" s="81"/>
      <c r="S1859" s="81"/>
      <c r="T1859" s="85"/>
      <c r="U1859" s="81"/>
      <c r="V1859" s="81"/>
      <c r="W1859" s="123">
        <f t="shared" si="126"/>
        <v>0</v>
      </c>
      <c r="X1859" s="123" t="s">
        <v>84</v>
      </c>
      <c r="Y1859" s="114" t="s">
        <v>1128</v>
      </c>
    </row>
    <row r="1860" spans="1:25" s="24" customFormat="1" ht="11.1" customHeight="1">
      <c r="A1860" s="74">
        <f t="shared" ref="A1860:A1923" si="127">A1859+1</f>
        <v>1858</v>
      </c>
      <c r="B1860" s="75" t="s">
        <v>878</v>
      </c>
      <c r="C1860" s="74" t="str">
        <f>IF($B1860&lt;&gt;"",_xlfn.IFNA(VLOOKUP($B1860,'Node Details'!$B:$U,C$1,0),"Check"),"")</f>
        <v>0000CM411-CM4110101</v>
      </c>
      <c r="D1860" s="74" t="str">
        <f>IF($B1860&lt;&gt;"",_xlfn.IFNA(VLOOKUP($B1860,'Node Details'!$B:$U,D$1,0),"Check"),"")</f>
        <v>CM4</v>
      </c>
      <c r="E1860" s="74" t="str">
        <f>IF($B1860&lt;&gt;"",_xlfn.IFNA(VLOOKUP($B1860,'Node Details'!$B:$U,E$1,0),"Check"),"")</f>
        <v>Airtel</v>
      </c>
      <c r="F1860" s="76">
        <v>46148</v>
      </c>
      <c r="G1860" s="74"/>
      <c r="H1860" s="10" t="s">
        <v>1250</v>
      </c>
      <c r="I1860" s="9">
        <v>2</v>
      </c>
      <c r="J1860" s="9">
        <v>150</v>
      </c>
      <c r="K1860" s="77">
        <f t="shared" si="125"/>
        <v>300</v>
      </c>
      <c r="L1860" s="76">
        <v>46142</v>
      </c>
      <c r="N1860" s="83"/>
      <c r="O1860" s="84"/>
      <c r="P1860" s="81"/>
      <c r="Q1860" s="81"/>
      <c r="R1860" s="81"/>
      <c r="S1860" s="81"/>
      <c r="T1860" s="85"/>
      <c r="U1860" s="81"/>
      <c r="V1860" s="81"/>
      <c r="W1860" s="123">
        <f t="shared" si="126"/>
        <v>0</v>
      </c>
      <c r="X1860" s="123" t="s">
        <v>84</v>
      </c>
      <c r="Y1860" s="114" t="s">
        <v>1128</v>
      </c>
    </row>
    <row r="1861" spans="1:25" s="24" customFormat="1" ht="11.1" customHeight="1">
      <c r="A1861" s="74">
        <f t="shared" si="127"/>
        <v>1859</v>
      </c>
      <c r="B1861" s="75" t="s">
        <v>880</v>
      </c>
      <c r="C1861" s="74" t="str">
        <f>IF($B1861&lt;&gt;"",_xlfn.IFNA(VLOOKUP($B1861,'Node Details'!$B:$U,C$1,0),"Check"),"")</f>
        <v>0000CM411-CM4110104</v>
      </c>
      <c r="D1861" s="74" t="str">
        <f>IF($B1861&lt;&gt;"",_xlfn.IFNA(VLOOKUP($B1861,'Node Details'!$B:$U,D$1,0),"Check"),"")</f>
        <v>CM4</v>
      </c>
      <c r="E1861" s="74" t="str">
        <f>IF($B1861&lt;&gt;"",_xlfn.IFNA(VLOOKUP($B1861,'Node Details'!$B:$U,E$1,0),"Check"),"")</f>
        <v>Airtel</v>
      </c>
      <c r="F1861" s="76">
        <v>46148</v>
      </c>
      <c r="G1861" s="74"/>
      <c r="H1861" s="10" t="s">
        <v>1250</v>
      </c>
      <c r="I1861" s="9">
        <v>2</v>
      </c>
      <c r="J1861" s="9">
        <v>150</v>
      </c>
      <c r="K1861" s="77">
        <f t="shared" si="125"/>
        <v>300</v>
      </c>
      <c r="L1861" s="76">
        <v>46142</v>
      </c>
      <c r="N1861" s="83"/>
      <c r="O1861" s="84"/>
      <c r="P1861" s="81"/>
      <c r="Q1861" s="81"/>
      <c r="R1861" s="81"/>
      <c r="S1861" s="81"/>
      <c r="T1861" s="85"/>
      <c r="U1861" s="81"/>
      <c r="V1861" s="81"/>
      <c r="W1861" s="123">
        <f t="shared" si="126"/>
        <v>0</v>
      </c>
      <c r="X1861" s="123" t="s">
        <v>84</v>
      </c>
      <c r="Y1861" s="114" t="s">
        <v>1128</v>
      </c>
    </row>
    <row r="1862" spans="1:25" s="24" customFormat="1" ht="11.1" customHeight="1">
      <c r="A1862" s="74">
        <f t="shared" si="127"/>
        <v>1860</v>
      </c>
      <c r="B1862" s="75" t="s">
        <v>884</v>
      </c>
      <c r="C1862" s="74" t="str">
        <f>IF($B1862&lt;&gt;"",_xlfn.IFNA(VLOOKUP($B1862,'Node Details'!$B:$U,C$1,0),"Check"),"")</f>
        <v>0000CM411-CM4110106</v>
      </c>
      <c r="D1862" s="74" t="str">
        <f>IF($B1862&lt;&gt;"",_xlfn.IFNA(VLOOKUP($B1862,'Node Details'!$B:$U,D$1,0),"Check"),"")</f>
        <v>CM4</v>
      </c>
      <c r="E1862" s="74" t="str">
        <f>IF($B1862&lt;&gt;"",_xlfn.IFNA(VLOOKUP($B1862,'Node Details'!$B:$U,E$1,0),"Check"),"")</f>
        <v>Airtel</v>
      </c>
      <c r="F1862" s="76">
        <v>46148</v>
      </c>
      <c r="G1862" s="74"/>
      <c r="H1862" s="10" t="s">
        <v>1250</v>
      </c>
      <c r="I1862" s="9">
        <v>2</v>
      </c>
      <c r="J1862" s="9">
        <v>150</v>
      </c>
      <c r="K1862" s="77">
        <f t="shared" si="125"/>
        <v>300</v>
      </c>
      <c r="L1862" s="76">
        <v>46142</v>
      </c>
      <c r="N1862" s="83"/>
      <c r="O1862" s="84"/>
      <c r="P1862" s="81"/>
      <c r="Q1862" s="81"/>
      <c r="R1862" s="81"/>
      <c r="S1862" s="81"/>
      <c r="T1862" s="85"/>
      <c r="U1862" s="81"/>
      <c r="V1862" s="81"/>
      <c r="W1862" s="123">
        <f t="shared" si="126"/>
        <v>0</v>
      </c>
      <c r="X1862" s="123" t="s">
        <v>84</v>
      </c>
      <c r="Y1862" s="114" t="s">
        <v>1128</v>
      </c>
    </row>
    <row r="1863" spans="1:25" s="24" customFormat="1" ht="11.1" customHeight="1">
      <c r="A1863" s="74">
        <f t="shared" si="127"/>
        <v>1861</v>
      </c>
      <c r="B1863" s="75" t="s">
        <v>882</v>
      </c>
      <c r="C1863" s="74" t="str">
        <f>IF($B1863&lt;&gt;"",_xlfn.IFNA(VLOOKUP($B1863,'Node Details'!$B:$U,C$1,0),"Check"),"")</f>
        <v>0000CM411-CM4110106</v>
      </c>
      <c r="D1863" s="74" t="str">
        <f>IF($B1863&lt;&gt;"",_xlfn.IFNA(VLOOKUP($B1863,'Node Details'!$B:$U,D$1,0),"Check"),"")</f>
        <v>CM4</v>
      </c>
      <c r="E1863" s="74" t="str">
        <f>IF($B1863&lt;&gt;"",_xlfn.IFNA(VLOOKUP($B1863,'Node Details'!$B:$U,E$1,0),"Check"),"")</f>
        <v>Airtel</v>
      </c>
      <c r="F1863" s="76">
        <v>46148</v>
      </c>
      <c r="G1863" s="74"/>
      <c r="H1863" s="10" t="s">
        <v>1250</v>
      </c>
      <c r="I1863" s="9">
        <v>2</v>
      </c>
      <c r="J1863" s="9">
        <v>150</v>
      </c>
      <c r="K1863" s="77">
        <f t="shared" si="125"/>
        <v>300</v>
      </c>
      <c r="L1863" s="76">
        <v>46142</v>
      </c>
      <c r="N1863" s="83"/>
      <c r="O1863" s="84"/>
      <c r="P1863" s="81"/>
      <c r="Q1863" s="81"/>
      <c r="R1863" s="81"/>
      <c r="S1863" s="81"/>
      <c r="T1863" s="85"/>
      <c r="U1863" s="81"/>
      <c r="V1863" s="81"/>
      <c r="W1863" s="123">
        <f t="shared" si="126"/>
        <v>0</v>
      </c>
      <c r="X1863" s="123" t="s">
        <v>84</v>
      </c>
      <c r="Y1863" s="114" t="s">
        <v>1128</v>
      </c>
    </row>
    <row r="1864" spans="1:25" s="24" customFormat="1" ht="11.1" customHeight="1">
      <c r="A1864" s="74">
        <f t="shared" si="127"/>
        <v>1862</v>
      </c>
      <c r="B1864" s="75" t="s">
        <v>1221</v>
      </c>
      <c r="C1864" s="74" t="str">
        <f>IF($B1864&lt;&gt;"",_xlfn.IFNA(VLOOKUP($B1864,'Node Details'!$B:$U,C$1,0),"Check"),"")</f>
        <v>CM4110105-CM4110108</v>
      </c>
      <c r="D1864" s="74" t="str">
        <f>IF($B1864&lt;&gt;"",_xlfn.IFNA(VLOOKUP($B1864,'Node Details'!$B:$U,D$1,0),"Check"),"")</f>
        <v>CM4</v>
      </c>
      <c r="E1864" s="74" t="str">
        <f>IF($B1864&lt;&gt;"",_xlfn.IFNA(VLOOKUP($B1864,'Node Details'!$B:$U,E$1,0),"Check"),"")</f>
        <v>Airtel</v>
      </c>
      <c r="F1864" s="76">
        <v>46148</v>
      </c>
      <c r="G1864" s="74"/>
      <c r="H1864" s="10" t="s">
        <v>1250</v>
      </c>
      <c r="I1864" s="9">
        <v>2</v>
      </c>
      <c r="J1864" s="9">
        <v>150</v>
      </c>
      <c r="K1864" s="77">
        <f t="shared" si="125"/>
        <v>300</v>
      </c>
      <c r="L1864" s="76">
        <v>46142</v>
      </c>
      <c r="N1864" s="83"/>
      <c r="O1864" s="84"/>
      <c r="P1864" s="81"/>
      <c r="Q1864" s="81"/>
      <c r="R1864" s="81"/>
      <c r="S1864" s="81"/>
      <c r="T1864" s="85"/>
      <c r="U1864" s="81"/>
      <c r="V1864" s="81"/>
      <c r="W1864" s="123">
        <f t="shared" si="126"/>
        <v>0</v>
      </c>
      <c r="X1864" s="123" t="s">
        <v>84</v>
      </c>
      <c r="Y1864" s="114" t="s">
        <v>1128</v>
      </c>
    </row>
    <row r="1865" spans="1:25" s="24" customFormat="1" ht="11.1" customHeight="1">
      <c r="A1865" s="74">
        <f t="shared" si="127"/>
        <v>1863</v>
      </c>
      <c r="B1865" s="75" t="s">
        <v>885</v>
      </c>
      <c r="C1865" s="74" t="str">
        <f>IF($B1865&lt;&gt;"",_xlfn.IFNA(VLOOKUP($B1865,'Node Details'!$B:$U,C$1,0),"Check"),"")</f>
        <v>CM4110105-CM4110108</v>
      </c>
      <c r="D1865" s="74" t="str">
        <f>IF($B1865&lt;&gt;"",_xlfn.IFNA(VLOOKUP($B1865,'Node Details'!$B:$U,D$1,0),"Check"),"")</f>
        <v>CM4</v>
      </c>
      <c r="E1865" s="74" t="str">
        <f>IF($B1865&lt;&gt;"",_xlfn.IFNA(VLOOKUP($B1865,'Node Details'!$B:$U,E$1,0),"Check"),"")</f>
        <v>Airtel</v>
      </c>
      <c r="F1865" s="76">
        <v>46148</v>
      </c>
      <c r="G1865" s="74"/>
      <c r="H1865" s="10" t="s">
        <v>1250</v>
      </c>
      <c r="I1865" s="9">
        <v>2</v>
      </c>
      <c r="J1865" s="9">
        <v>150</v>
      </c>
      <c r="K1865" s="77">
        <f t="shared" si="125"/>
        <v>300</v>
      </c>
      <c r="L1865" s="76">
        <v>46142</v>
      </c>
      <c r="N1865" s="83"/>
      <c r="O1865" s="84"/>
      <c r="P1865" s="81"/>
      <c r="Q1865" s="81"/>
      <c r="R1865" s="81"/>
      <c r="S1865" s="81"/>
      <c r="T1865" s="85"/>
      <c r="U1865" s="81"/>
      <c r="V1865" s="81"/>
      <c r="W1865" s="123">
        <f t="shared" si="126"/>
        <v>0</v>
      </c>
      <c r="X1865" s="123" t="s">
        <v>84</v>
      </c>
      <c r="Y1865" s="114" t="s">
        <v>1128</v>
      </c>
    </row>
    <row r="1866" spans="1:25" s="24" customFormat="1" ht="11.1" customHeight="1">
      <c r="A1866" s="74">
        <f t="shared" si="127"/>
        <v>1864</v>
      </c>
      <c r="B1866" s="75" t="s">
        <v>887</v>
      </c>
      <c r="C1866" s="74" t="str">
        <f>IF($B1866&lt;&gt;"",_xlfn.IFNA(VLOOKUP($B1866,'Node Details'!$B:$U,C$1,0),"Check"),"")</f>
        <v>0000CM411-CM4110103</v>
      </c>
      <c r="D1866" s="74" t="str">
        <f>IF($B1866&lt;&gt;"",_xlfn.IFNA(VLOOKUP($B1866,'Node Details'!$B:$U,D$1,0),"Check"),"")</f>
        <v>CM4</v>
      </c>
      <c r="E1866" s="74" t="str">
        <f>IF($B1866&lt;&gt;"",_xlfn.IFNA(VLOOKUP($B1866,'Node Details'!$B:$U,E$1,0),"Check"),"")</f>
        <v>Airtel</v>
      </c>
      <c r="F1866" s="76">
        <v>46148</v>
      </c>
      <c r="G1866" s="74"/>
      <c r="H1866" s="10" t="s">
        <v>1250</v>
      </c>
      <c r="I1866" s="9">
        <v>2</v>
      </c>
      <c r="J1866" s="9">
        <v>150</v>
      </c>
      <c r="K1866" s="77">
        <f t="shared" si="125"/>
        <v>300</v>
      </c>
      <c r="L1866" s="76">
        <v>46142</v>
      </c>
      <c r="N1866" s="83"/>
      <c r="O1866" s="84"/>
      <c r="P1866" s="81"/>
      <c r="Q1866" s="81"/>
      <c r="R1866" s="81"/>
      <c r="S1866" s="81"/>
      <c r="T1866" s="85"/>
      <c r="U1866" s="81"/>
      <c r="V1866" s="81"/>
      <c r="W1866" s="123">
        <f t="shared" si="126"/>
        <v>0</v>
      </c>
      <c r="X1866" s="123" t="s">
        <v>84</v>
      </c>
      <c r="Y1866" s="114" t="s">
        <v>1128</v>
      </c>
    </row>
    <row r="1867" spans="1:25" s="24" customFormat="1" ht="11.1" customHeight="1">
      <c r="A1867" s="74">
        <f t="shared" si="127"/>
        <v>1865</v>
      </c>
      <c r="B1867" s="75" t="s">
        <v>813</v>
      </c>
      <c r="C1867" s="74" t="str">
        <f>IF($B1867&lt;&gt;"",_xlfn.IFNA(VLOOKUP($B1867,'Node Details'!$B:$U,C$1,0),"Check"),"")</f>
        <v>0000CM411-0000CM412</v>
      </c>
      <c r="D1867" s="74" t="str">
        <f>IF($B1867&lt;&gt;"",_xlfn.IFNA(VLOOKUP($B1867,'Node Details'!$B:$U,D$1,0),"Check"),"")</f>
        <v>CM4</v>
      </c>
      <c r="E1867" s="74" t="str">
        <f>IF($B1867&lt;&gt;"",_xlfn.IFNA(VLOOKUP($B1867,'Node Details'!$B:$U,E$1,0),"Check"),"")</f>
        <v>Airtel</v>
      </c>
      <c r="F1867" s="76">
        <v>46148</v>
      </c>
      <c r="G1867" s="74"/>
      <c r="H1867" s="10" t="s">
        <v>1250</v>
      </c>
      <c r="I1867" s="9">
        <v>2</v>
      </c>
      <c r="J1867" s="9">
        <v>150</v>
      </c>
      <c r="K1867" s="77">
        <f t="shared" si="125"/>
        <v>300</v>
      </c>
      <c r="L1867" s="76">
        <v>46142</v>
      </c>
      <c r="N1867" s="83"/>
      <c r="O1867" s="84"/>
      <c r="P1867" s="81"/>
      <c r="Q1867" s="81"/>
      <c r="R1867" s="81"/>
      <c r="S1867" s="81"/>
      <c r="T1867" s="85"/>
      <c r="U1867" s="81"/>
      <c r="V1867" s="81"/>
      <c r="W1867" s="123">
        <f t="shared" si="126"/>
        <v>0</v>
      </c>
      <c r="X1867" s="123" t="s">
        <v>84</v>
      </c>
      <c r="Y1867" s="114" t="s">
        <v>1128</v>
      </c>
    </row>
    <row r="1868" spans="1:25" s="24" customFormat="1" ht="11.1" customHeight="1">
      <c r="A1868" s="74">
        <f t="shared" si="127"/>
        <v>1866</v>
      </c>
      <c r="B1868" s="75" t="s">
        <v>889</v>
      </c>
      <c r="C1868" s="74" t="str">
        <f>IF($B1868&lt;&gt;"",_xlfn.IFNA(VLOOKUP($B1868,'Node Details'!$B:$U,C$1,0),"Check"),"")</f>
        <v>0000CM412-CM4120101</v>
      </c>
      <c r="D1868" s="74" t="str">
        <f>IF($B1868&lt;&gt;"",_xlfn.IFNA(VLOOKUP($B1868,'Node Details'!$B:$U,D$1,0),"Check"),"")</f>
        <v>CM4</v>
      </c>
      <c r="E1868" s="74" t="str">
        <f>IF($B1868&lt;&gt;"",_xlfn.IFNA(VLOOKUP($B1868,'Node Details'!$B:$U,E$1,0),"Check"),"")</f>
        <v>Airtel</v>
      </c>
      <c r="F1868" s="76">
        <v>46148</v>
      </c>
      <c r="G1868" s="74"/>
      <c r="H1868" s="10" t="s">
        <v>1250</v>
      </c>
      <c r="I1868" s="9">
        <v>2</v>
      </c>
      <c r="J1868" s="9">
        <v>150</v>
      </c>
      <c r="K1868" s="77">
        <f t="shared" si="125"/>
        <v>300</v>
      </c>
      <c r="L1868" s="76">
        <v>46142</v>
      </c>
      <c r="N1868" s="83"/>
      <c r="O1868" s="84"/>
      <c r="P1868" s="81"/>
      <c r="Q1868" s="81"/>
      <c r="R1868" s="81"/>
      <c r="S1868" s="81"/>
      <c r="T1868" s="85"/>
      <c r="U1868" s="81"/>
      <c r="V1868" s="81"/>
      <c r="W1868" s="123">
        <f t="shared" si="126"/>
        <v>0</v>
      </c>
      <c r="X1868" s="123" t="s">
        <v>84</v>
      </c>
      <c r="Y1868" s="114" t="s">
        <v>1128</v>
      </c>
    </row>
    <row r="1869" spans="1:25" s="24" customFormat="1" ht="11.1" customHeight="1">
      <c r="A1869" s="74">
        <f t="shared" si="127"/>
        <v>1867</v>
      </c>
      <c r="B1869" s="75" t="s">
        <v>891</v>
      </c>
      <c r="C1869" s="74" t="str">
        <f>IF($B1869&lt;&gt;"",_xlfn.IFNA(VLOOKUP($B1869,'Node Details'!$B:$U,C$1,0),"Check"),"")</f>
        <v>0000CM412-CM4120104</v>
      </c>
      <c r="D1869" s="74" t="str">
        <f>IF($B1869&lt;&gt;"",_xlfn.IFNA(VLOOKUP($B1869,'Node Details'!$B:$U,D$1,0),"Check"),"")</f>
        <v>CM4</v>
      </c>
      <c r="E1869" s="74" t="str">
        <f>IF($B1869&lt;&gt;"",_xlfn.IFNA(VLOOKUP($B1869,'Node Details'!$B:$U,E$1,0),"Check"),"")</f>
        <v>Airtel</v>
      </c>
      <c r="F1869" s="76">
        <v>46148</v>
      </c>
      <c r="G1869" s="74"/>
      <c r="H1869" s="10" t="s">
        <v>1250</v>
      </c>
      <c r="I1869" s="9">
        <v>2</v>
      </c>
      <c r="J1869" s="9">
        <v>150</v>
      </c>
      <c r="K1869" s="77">
        <f t="shared" si="125"/>
        <v>300</v>
      </c>
      <c r="L1869" s="76">
        <v>46142</v>
      </c>
      <c r="N1869" s="83"/>
      <c r="O1869" s="84"/>
      <c r="P1869" s="81"/>
      <c r="Q1869" s="81"/>
      <c r="R1869" s="81"/>
      <c r="S1869" s="81"/>
      <c r="T1869" s="85"/>
      <c r="U1869" s="81"/>
      <c r="V1869" s="81"/>
      <c r="W1869" s="123">
        <f t="shared" si="126"/>
        <v>0</v>
      </c>
      <c r="X1869" s="123" t="s">
        <v>84</v>
      </c>
      <c r="Y1869" s="114" t="s">
        <v>1128</v>
      </c>
    </row>
    <row r="1870" spans="1:25" s="24" customFormat="1" ht="11.1" customHeight="1">
      <c r="A1870" s="74">
        <f t="shared" si="127"/>
        <v>1868</v>
      </c>
      <c r="B1870" s="75" t="s">
        <v>893</v>
      </c>
      <c r="C1870" s="74" t="str">
        <f>IF($B1870&lt;&gt;"",_xlfn.IFNA(VLOOKUP($B1870,'Node Details'!$B:$U,C$1,0),"Check"),"")</f>
        <v>0000CM412-CM4120105</v>
      </c>
      <c r="D1870" s="74" t="str">
        <f>IF($B1870&lt;&gt;"",_xlfn.IFNA(VLOOKUP($B1870,'Node Details'!$B:$U,D$1,0),"Check"),"")</f>
        <v>CM4</v>
      </c>
      <c r="E1870" s="74" t="str">
        <f>IF($B1870&lt;&gt;"",_xlfn.IFNA(VLOOKUP($B1870,'Node Details'!$B:$U,E$1,0),"Check"),"")</f>
        <v>Airtel</v>
      </c>
      <c r="F1870" s="76">
        <v>46148</v>
      </c>
      <c r="G1870" s="74"/>
      <c r="H1870" s="10" t="s">
        <v>1250</v>
      </c>
      <c r="I1870" s="9">
        <v>2</v>
      </c>
      <c r="J1870" s="9">
        <v>150</v>
      </c>
      <c r="K1870" s="77">
        <f t="shared" si="125"/>
        <v>300</v>
      </c>
      <c r="L1870" s="76">
        <v>46142</v>
      </c>
      <c r="N1870" s="83"/>
      <c r="O1870" s="84"/>
      <c r="P1870" s="81"/>
      <c r="Q1870" s="81"/>
      <c r="R1870" s="81"/>
      <c r="S1870" s="81"/>
      <c r="T1870" s="85"/>
      <c r="U1870" s="81"/>
      <c r="V1870" s="81"/>
      <c r="W1870" s="123">
        <f t="shared" si="126"/>
        <v>0</v>
      </c>
      <c r="X1870" s="123" t="s">
        <v>84</v>
      </c>
      <c r="Y1870" s="114" t="s">
        <v>1128</v>
      </c>
    </row>
    <row r="1871" spans="1:25" s="24" customFormat="1" ht="11.1" customHeight="1">
      <c r="A1871" s="74">
        <f t="shared" si="127"/>
        <v>1869</v>
      </c>
      <c r="B1871" s="75" t="s">
        <v>1222</v>
      </c>
      <c r="C1871" s="74" t="str">
        <f>IF($B1871&lt;&gt;"",_xlfn.IFNA(VLOOKUP($B1871,'Node Details'!$B:$U,C$1,0),"Check"),"")</f>
        <v>0000CM412-CM4120108</v>
      </c>
      <c r="D1871" s="74" t="str">
        <f>IF($B1871&lt;&gt;"",_xlfn.IFNA(VLOOKUP($B1871,'Node Details'!$B:$U,D$1,0),"Check"),"")</f>
        <v>CM4</v>
      </c>
      <c r="E1871" s="74" t="str">
        <f>IF($B1871&lt;&gt;"",_xlfn.IFNA(VLOOKUP($B1871,'Node Details'!$B:$U,E$1,0),"Check"),"")</f>
        <v>Airtel</v>
      </c>
      <c r="F1871" s="76">
        <v>46148</v>
      </c>
      <c r="G1871" s="74"/>
      <c r="H1871" s="10" t="s">
        <v>1250</v>
      </c>
      <c r="I1871" s="9">
        <v>2</v>
      </c>
      <c r="J1871" s="9">
        <v>150</v>
      </c>
      <c r="K1871" s="77">
        <f t="shared" si="125"/>
        <v>300</v>
      </c>
      <c r="L1871" s="76">
        <v>46142</v>
      </c>
      <c r="N1871" s="83"/>
      <c r="O1871" s="84"/>
      <c r="P1871" s="81"/>
      <c r="Q1871" s="81"/>
      <c r="R1871" s="81"/>
      <c r="S1871" s="81"/>
      <c r="T1871" s="85"/>
      <c r="U1871" s="81"/>
      <c r="V1871" s="81"/>
      <c r="W1871" s="123">
        <f t="shared" si="126"/>
        <v>0</v>
      </c>
      <c r="X1871" s="123" t="s">
        <v>84</v>
      </c>
      <c r="Y1871" s="114" t="s">
        <v>1128</v>
      </c>
    </row>
    <row r="1872" spans="1:25" s="24" customFormat="1" ht="11.1" customHeight="1">
      <c r="A1872" s="74">
        <f t="shared" si="127"/>
        <v>1870</v>
      </c>
      <c r="B1872" s="75" t="s">
        <v>895</v>
      </c>
      <c r="C1872" s="74" t="str">
        <f>IF($B1872&lt;&gt;"",_xlfn.IFNA(VLOOKUP($B1872,'Node Details'!$B:$U,C$1,0),"Check"),"")</f>
        <v>0000CM412-CM4120108</v>
      </c>
      <c r="D1872" s="74" t="str">
        <f>IF($B1872&lt;&gt;"",_xlfn.IFNA(VLOOKUP($B1872,'Node Details'!$B:$U,D$1,0),"Check"),"")</f>
        <v>CM4</v>
      </c>
      <c r="E1872" s="74" t="str">
        <f>IF($B1872&lt;&gt;"",_xlfn.IFNA(VLOOKUP($B1872,'Node Details'!$B:$U,E$1,0),"Check"),"")</f>
        <v>Airtel</v>
      </c>
      <c r="F1872" s="76">
        <v>46148</v>
      </c>
      <c r="G1872" s="74"/>
      <c r="H1872" s="10" t="s">
        <v>1250</v>
      </c>
      <c r="I1872" s="9">
        <v>2</v>
      </c>
      <c r="J1872" s="9">
        <v>150</v>
      </c>
      <c r="K1872" s="77">
        <f t="shared" si="125"/>
        <v>300</v>
      </c>
      <c r="L1872" s="76">
        <v>46142</v>
      </c>
      <c r="N1872" s="83"/>
      <c r="O1872" s="84"/>
      <c r="P1872" s="81"/>
      <c r="Q1872" s="81"/>
      <c r="R1872" s="81"/>
      <c r="S1872" s="81"/>
      <c r="T1872" s="85"/>
      <c r="U1872" s="81"/>
      <c r="V1872" s="81"/>
      <c r="W1872" s="123">
        <f t="shared" si="126"/>
        <v>0</v>
      </c>
      <c r="X1872" s="123" t="s">
        <v>84</v>
      </c>
      <c r="Y1872" s="114" t="s">
        <v>1128</v>
      </c>
    </row>
    <row r="1873" spans="1:25" s="24" customFormat="1" ht="11.1" customHeight="1">
      <c r="A1873" s="74">
        <f t="shared" si="127"/>
        <v>1871</v>
      </c>
      <c r="B1873" s="75" t="s">
        <v>897</v>
      </c>
      <c r="C1873" s="74" t="str">
        <f>IF($B1873&lt;&gt;"",_xlfn.IFNA(VLOOKUP($B1873,'Node Details'!$B:$U,C$1,0),"Check"),"")</f>
        <v>000000CM4-0000CM418</v>
      </c>
      <c r="D1873" s="74" t="str">
        <f>IF($B1873&lt;&gt;"",_xlfn.IFNA(VLOOKUP($B1873,'Node Details'!$B:$U,D$1,0),"Check"),"")</f>
        <v>CM4</v>
      </c>
      <c r="E1873" s="74" t="str">
        <f>IF($B1873&lt;&gt;"",_xlfn.IFNA(VLOOKUP($B1873,'Node Details'!$B:$U,E$1,0),"Check"),"")</f>
        <v>Airtel</v>
      </c>
      <c r="F1873" s="76">
        <v>46148</v>
      </c>
      <c r="G1873" s="74"/>
      <c r="H1873" s="10" t="s">
        <v>1250</v>
      </c>
      <c r="I1873" s="9">
        <v>2</v>
      </c>
      <c r="J1873" s="9">
        <v>150</v>
      </c>
      <c r="K1873" s="77">
        <f t="shared" si="125"/>
        <v>300</v>
      </c>
      <c r="L1873" s="76">
        <v>46142</v>
      </c>
      <c r="N1873" s="83"/>
      <c r="O1873" s="84"/>
      <c r="P1873" s="81"/>
      <c r="Q1873" s="81"/>
      <c r="R1873" s="81"/>
      <c r="S1873" s="81"/>
      <c r="T1873" s="85"/>
      <c r="U1873" s="81"/>
      <c r="V1873" s="81"/>
      <c r="W1873" s="123">
        <f t="shared" si="126"/>
        <v>0</v>
      </c>
      <c r="X1873" s="123" t="s">
        <v>84</v>
      </c>
      <c r="Y1873" s="114" t="s">
        <v>1128</v>
      </c>
    </row>
    <row r="1874" spans="1:25" s="24" customFormat="1" ht="11.1" customHeight="1">
      <c r="A1874" s="74">
        <f t="shared" si="127"/>
        <v>1872</v>
      </c>
      <c r="B1874" s="75" t="s">
        <v>898</v>
      </c>
      <c r="C1874" s="74" t="str">
        <f>IF($B1874&lt;&gt;"",_xlfn.IFNA(VLOOKUP($B1874,'Node Details'!$B:$U,C$1,0),"Check"),"")</f>
        <v>0000CM413-CM4130101</v>
      </c>
      <c r="D1874" s="74" t="str">
        <f>IF($B1874&lt;&gt;"",_xlfn.IFNA(VLOOKUP($B1874,'Node Details'!$B:$U,D$1,0),"Check"),"")</f>
        <v>CM4</v>
      </c>
      <c r="E1874" s="74" t="str">
        <f>IF($B1874&lt;&gt;"",_xlfn.IFNA(VLOOKUP($B1874,'Node Details'!$B:$U,E$1,0),"Check"),"")</f>
        <v>Airtel</v>
      </c>
      <c r="F1874" s="76">
        <v>46148</v>
      </c>
      <c r="G1874" s="74"/>
      <c r="H1874" s="10" t="s">
        <v>1250</v>
      </c>
      <c r="I1874" s="9">
        <v>2</v>
      </c>
      <c r="J1874" s="9">
        <v>150</v>
      </c>
      <c r="K1874" s="77">
        <f t="shared" si="125"/>
        <v>300</v>
      </c>
      <c r="L1874" s="76">
        <v>46142</v>
      </c>
      <c r="N1874" s="83"/>
      <c r="O1874" s="84"/>
      <c r="P1874" s="81"/>
      <c r="Q1874" s="81"/>
      <c r="R1874" s="81"/>
      <c r="S1874" s="81"/>
      <c r="T1874" s="85"/>
      <c r="U1874" s="81"/>
      <c r="V1874" s="81"/>
      <c r="W1874" s="123">
        <f t="shared" si="126"/>
        <v>0</v>
      </c>
      <c r="X1874" s="123" t="s">
        <v>84</v>
      </c>
      <c r="Y1874" s="114" t="s">
        <v>1128</v>
      </c>
    </row>
    <row r="1875" spans="1:25" s="24" customFormat="1" ht="11.1" customHeight="1">
      <c r="A1875" s="74">
        <f t="shared" si="127"/>
        <v>1873</v>
      </c>
      <c r="B1875" s="75" t="s">
        <v>902</v>
      </c>
      <c r="C1875" s="74" t="str">
        <f>IF($B1875&lt;&gt;"",_xlfn.IFNA(VLOOKUP($B1875,'Node Details'!$B:$U,C$1,0),"Check"),"")</f>
        <v>0000CM413-CM4130104</v>
      </c>
      <c r="D1875" s="74" t="str">
        <f>IF($B1875&lt;&gt;"",_xlfn.IFNA(VLOOKUP($B1875,'Node Details'!$B:$U,D$1,0),"Check"),"")</f>
        <v>CM4</v>
      </c>
      <c r="E1875" s="74" t="str">
        <f>IF($B1875&lt;&gt;"",_xlfn.IFNA(VLOOKUP($B1875,'Node Details'!$B:$U,E$1,0),"Check"),"")</f>
        <v>Airtel</v>
      </c>
      <c r="F1875" s="76">
        <v>46148</v>
      </c>
      <c r="G1875" s="74"/>
      <c r="H1875" s="10" t="s">
        <v>1250</v>
      </c>
      <c r="I1875" s="9">
        <v>2</v>
      </c>
      <c r="J1875" s="9">
        <v>150</v>
      </c>
      <c r="K1875" s="77">
        <f t="shared" si="125"/>
        <v>300</v>
      </c>
      <c r="L1875" s="76">
        <v>46142</v>
      </c>
      <c r="N1875" s="83"/>
      <c r="O1875" s="84"/>
      <c r="P1875" s="81"/>
      <c r="Q1875" s="81"/>
      <c r="R1875" s="81"/>
      <c r="S1875" s="81"/>
      <c r="T1875" s="85"/>
      <c r="U1875" s="81"/>
      <c r="V1875" s="81"/>
      <c r="W1875" s="123">
        <f t="shared" si="126"/>
        <v>0</v>
      </c>
      <c r="X1875" s="123" t="s">
        <v>84</v>
      </c>
      <c r="Y1875" s="114" t="s">
        <v>1128</v>
      </c>
    </row>
    <row r="1876" spans="1:25" s="24" customFormat="1" ht="11.1" customHeight="1">
      <c r="A1876" s="74">
        <f t="shared" si="127"/>
        <v>1874</v>
      </c>
      <c r="B1876" s="75" t="s">
        <v>900</v>
      </c>
      <c r="C1876" s="74" t="str">
        <f>IF($B1876&lt;&gt;"",_xlfn.IFNA(VLOOKUP($B1876,'Node Details'!$B:$U,C$1,0),"Check"),"")</f>
        <v>0000CM413-CM4130104</v>
      </c>
      <c r="D1876" s="74" t="str">
        <f>IF($B1876&lt;&gt;"",_xlfn.IFNA(VLOOKUP($B1876,'Node Details'!$B:$U,D$1,0),"Check"),"")</f>
        <v>CM4</v>
      </c>
      <c r="E1876" s="74" t="str">
        <f>IF($B1876&lt;&gt;"",_xlfn.IFNA(VLOOKUP($B1876,'Node Details'!$B:$U,E$1,0),"Check"),"")</f>
        <v>Airtel</v>
      </c>
      <c r="F1876" s="76">
        <v>46148</v>
      </c>
      <c r="G1876" s="74"/>
      <c r="H1876" s="10" t="s">
        <v>1250</v>
      </c>
      <c r="I1876" s="9">
        <v>2</v>
      </c>
      <c r="J1876" s="9">
        <v>150</v>
      </c>
      <c r="K1876" s="77">
        <f t="shared" si="125"/>
        <v>300</v>
      </c>
      <c r="L1876" s="76">
        <v>46142</v>
      </c>
      <c r="N1876" s="83"/>
      <c r="O1876" s="84"/>
      <c r="P1876" s="81"/>
      <c r="Q1876" s="81"/>
      <c r="R1876" s="81"/>
      <c r="S1876" s="81"/>
      <c r="T1876" s="85"/>
      <c r="U1876" s="81"/>
      <c r="V1876" s="81"/>
      <c r="W1876" s="123">
        <f t="shared" si="126"/>
        <v>0</v>
      </c>
      <c r="X1876" s="123" t="s">
        <v>84</v>
      </c>
      <c r="Y1876" s="114" t="s">
        <v>1128</v>
      </c>
    </row>
    <row r="1877" spans="1:25" s="24" customFormat="1" ht="11.1" customHeight="1">
      <c r="A1877" s="74">
        <f t="shared" si="127"/>
        <v>1875</v>
      </c>
      <c r="B1877" s="75" t="s">
        <v>903</v>
      </c>
      <c r="C1877" s="74" t="str">
        <f>IF($B1877&lt;&gt;"",_xlfn.IFNA(VLOOKUP($B1877,'Node Details'!$B:$U,C$1,0),"Check"),"")</f>
        <v>CM4130103-CM4130107</v>
      </c>
      <c r="D1877" s="74" t="str">
        <f>IF($B1877&lt;&gt;"",_xlfn.IFNA(VLOOKUP($B1877,'Node Details'!$B:$U,D$1,0),"Check"),"")</f>
        <v>CM4</v>
      </c>
      <c r="E1877" s="74" t="str">
        <f>IF($B1877&lt;&gt;"",_xlfn.IFNA(VLOOKUP($B1877,'Node Details'!$B:$U,E$1,0),"Check"),"")</f>
        <v>Airtel</v>
      </c>
      <c r="F1877" s="76">
        <v>46148</v>
      </c>
      <c r="G1877" s="74"/>
      <c r="H1877" s="10" t="s">
        <v>1250</v>
      </c>
      <c r="I1877" s="9">
        <v>2</v>
      </c>
      <c r="J1877" s="9">
        <v>150</v>
      </c>
      <c r="K1877" s="77">
        <f t="shared" si="125"/>
        <v>300</v>
      </c>
      <c r="L1877" s="76">
        <v>46142</v>
      </c>
      <c r="N1877" s="83"/>
      <c r="O1877" s="84"/>
      <c r="P1877" s="81"/>
      <c r="Q1877" s="81"/>
      <c r="R1877" s="81"/>
      <c r="S1877" s="81"/>
      <c r="T1877" s="85"/>
      <c r="U1877" s="81"/>
      <c r="V1877" s="81"/>
      <c r="W1877" s="123">
        <f t="shared" si="126"/>
        <v>0</v>
      </c>
      <c r="X1877" s="123" t="s">
        <v>84</v>
      </c>
      <c r="Y1877" s="114" t="s">
        <v>1128</v>
      </c>
    </row>
    <row r="1878" spans="1:25" s="24" customFormat="1" ht="11.1" customHeight="1">
      <c r="A1878" s="74">
        <f t="shared" si="127"/>
        <v>1876</v>
      </c>
      <c r="B1878" s="75" t="s">
        <v>905</v>
      </c>
      <c r="C1878" s="74" t="str">
        <f>IF($B1878&lt;&gt;"",_xlfn.IFNA(VLOOKUP($B1878,'Node Details'!$B:$U,C$1,0),"Check"),"")</f>
        <v>000000CM4-0000CM418</v>
      </c>
      <c r="D1878" s="74" t="str">
        <f>IF($B1878&lt;&gt;"",_xlfn.IFNA(VLOOKUP($B1878,'Node Details'!$B:$U,D$1,0),"Check"),"")</f>
        <v>CM4</v>
      </c>
      <c r="E1878" s="74" t="str">
        <f>IF($B1878&lt;&gt;"",_xlfn.IFNA(VLOOKUP($B1878,'Node Details'!$B:$U,E$1,0),"Check"),"")</f>
        <v>Airtel</v>
      </c>
      <c r="F1878" s="76">
        <v>46148</v>
      </c>
      <c r="G1878" s="74"/>
      <c r="H1878" s="10" t="s">
        <v>1250</v>
      </c>
      <c r="I1878" s="9">
        <v>2</v>
      </c>
      <c r="J1878" s="9">
        <v>150</v>
      </c>
      <c r="K1878" s="77">
        <f t="shared" si="125"/>
        <v>300</v>
      </c>
      <c r="L1878" s="76">
        <v>46142</v>
      </c>
      <c r="N1878" s="83"/>
      <c r="O1878" s="84"/>
      <c r="P1878" s="81"/>
      <c r="Q1878" s="81"/>
      <c r="R1878" s="81"/>
      <c r="S1878" s="81"/>
      <c r="T1878" s="85"/>
      <c r="U1878" s="81"/>
      <c r="V1878" s="81"/>
      <c r="W1878" s="123">
        <f t="shared" si="126"/>
        <v>0</v>
      </c>
      <c r="X1878" s="123" t="s">
        <v>84</v>
      </c>
      <c r="Y1878" s="114" t="s">
        <v>1128</v>
      </c>
    </row>
    <row r="1879" spans="1:25" s="24" customFormat="1" ht="11.1" customHeight="1">
      <c r="A1879" s="74">
        <f t="shared" si="127"/>
        <v>1877</v>
      </c>
      <c r="B1879" s="75" t="s">
        <v>906</v>
      </c>
      <c r="C1879" s="74" t="str">
        <f>IF($B1879&lt;&gt;"",_xlfn.IFNA(VLOOKUP($B1879,'Node Details'!$B:$U,C$1,0),"Check"),"")</f>
        <v>0000CM414-CM4140101</v>
      </c>
      <c r="D1879" s="74" t="str">
        <f>IF($B1879&lt;&gt;"",_xlfn.IFNA(VLOOKUP($B1879,'Node Details'!$B:$U,D$1,0),"Check"),"")</f>
        <v>CM4</v>
      </c>
      <c r="E1879" s="74" t="str">
        <f>IF($B1879&lt;&gt;"",_xlfn.IFNA(VLOOKUP($B1879,'Node Details'!$B:$U,E$1,0),"Check"),"")</f>
        <v>Airtel</v>
      </c>
      <c r="F1879" s="76">
        <v>46148</v>
      </c>
      <c r="G1879" s="74"/>
      <c r="H1879" s="10" t="s">
        <v>1250</v>
      </c>
      <c r="I1879" s="9">
        <v>2</v>
      </c>
      <c r="J1879" s="9">
        <v>150</v>
      </c>
      <c r="K1879" s="77">
        <f t="shared" si="125"/>
        <v>300</v>
      </c>
      <c r="L1879" s="76">
        <v>46142</v>
      </c>
      <c r="N1879" s="83"/>
      <c r="O1879" s="84"/>
      <c r="P1879" s="81"/>
      <c r="Q1879" s="81"/>
      <c r="R1879" s="81"/>
      <c r="S1879" s="81"/>
      <c r="T1879" s="85"/>
      <c r="U1879" s="81"/>
      <c r="V1879" s="81"/>
      <c r="W1879" s="123">
        <f t="shared" si="126"/>
        <v>0</v>
      </c>
      <c r="X1879" s="123" t="s">
        <v>84</v>
      </c>
      <c r="Y1879" s="114" t="s">
        <v>1128</v>
      </c>
    </row>
    <row r="1880" spans="1:25" s="24" customFormat="1" ht="11.1" customHeight="1">
      <c r="A1880" s="74">
        <f t="shared" si="127"/>
        <v>1878</v>
      </c>
      <c r="B1880" s="75" t="s">
        <v>1223</v>
      </c>
      <c r="C1880" s="74" t="str">
        <f>IF($B1880&lt;&gt;"",_xlfn.IFNA(VLOOKUP($B1880,'Node Details'!$B:$U,C$1,0),"Check"),"")</f>
        <v>0000CM414-CM4140105</v>
      </c>
      <c r="D1880" s="74" t="str">
        <f>IF($B1880&lt;&gt;"",_xlfn.IFNA(VLOOKUP($B1880,'Node Details'!$B:$U,D$1,0),"Check"),"")</f>
        <v>CM4</v>
      </c>
      <c r="E1880" s="74" t="str">
        <f>IF($B1880&lt;&gt;"",_xlfn.IFNA(VLOOKUP($B1880,'Node Details'!$B:$U,E$1,0),"Check"),"")</f>
        <v>Airtel</v>
      </c>
      <c r="F1880" s="76">
        <v>46148</v>
      </c>
      <c r="G1880" s="74"/>
      <c r="H1880" s="10" t="s">
        <v>1250</v>
      </c>
      <c r="I1880" s="9">
        <v>2</v>
      </c>
      <c r="J1880" s="9">
        <v>150</v>
      </c>
      <c r="K1880" s="77">
        <f t="shared" si="125"/>
        <v>300</v>
      </c>
      <c r="L1880" s="76">
        <v>46142</v>
      </c>
      <c r="N1880" s="83"/>
      <c r="O1880" s="84"/>
      <c r="P1880" s="81"/>
      <c r="Q1880" s="81"/>
      <c r="R1880" s="81"/>
      <c r="S1880" s="81"/>
      <c r="T1880" s="85"/>
      <c r="U1880" s="81"/>
      <c r="V1880" s="81"/>
      <c r="W1880" s="123">
        <f t="shared" si="126"/>
        <v>0</v>
      </c>
      <c r="X1880" s="123" t="s">
        <v>84</v>
      </c>
      <c r="Y1880" s="114" t="s">
        <v>1128</v>
      </c>
    </row>
    <row r="1881" spans="1:25" s="24" customFormat="1" ht="11.1" customHeight="1">
      <c r="A1881" s="74">
        <f t="shared" si="127"/>
        <v>1879</v>
      </c>
      <c r="B1881" s="75" t="s">
        <v>908</v>
      </c>
      <c r="C1881" s="74" t="str">
        <f>IF($B1881&lt;&gt;"",_xlfn.IFNA(VLOOKUP($B1881,'Node Details'!$B:$U,C$1,0),"Check"),"")</f>
        <v>0000CM414-CM4140105</v>
      </c>
      <c r="D1881" s="74" t="str">
        <f>IF($B1881&lt;&gt;"",_xlfn.IFNA(VLOOKUP($B1881,'Node Details'!$B:$U,D$1,0),"Check"),"")</f>
        <v>CM4</v>
      </c>
      <c r="E1881" s="74" t="str">
        <f>IF($B1881&lt;&gt;"",_xlfn.IFNA(VLOOKUP($B1881,'Node Details'!$B:$U,E$1,0),"Check"),"")</f>
        <v>Airtel</v>
      </c>
      <c r="F1881" s="76">
        <v>46148</v>
      </c>
      <c r="G1881" s="74"/>
      <c r="H1881" s="10" t="s">
        <v>1250</v>
      </c>
      <c r="I1881" s="9">
        <v>2</v>
      </c>
      <c r="J1881" s="9">
        <v>150</v>
      </c>
      <c r="K1881" s="77">
        <f t="shared" si="125"/>
        <v>300</v>
      </c>
      <c r="L1881" s="76">
        <v>46142</v>
      </c>
      <c r="N1881" s="83"/>
      <c r="O1881" s="84"/>
      <c r="P1881" s="81"/>
      <c r="Q1881" s="81"/>
      <c r="R1881" s="81"/>
      <c r="S1881" s="81"/>
      <c r="T1881" s="85"/>
      <c r="U1881" s="81"/>
      <c r="V1881" s="81"/>
      <c r="W1881" s="123">
        <f t="shared" si="126"/>
        <v>0</v>
      </c>
      <c r="X1881" s="123" t="s">
        <v>84</v>
      </c>
      <c r="Y1881" s="114" t="s">
        <v>1128</v>
      </c>
    </row>
    <row r="1882" spans="1:25" s="24" customFormat="1" ht="11.1" customHeight="1">
      <c r="A1882" s="74">
        <f t="shared" si="127"/>
        <v>1880</v>
      </c>
      <c r="B1882" s="75" t="s">
        <v>910</v>
      </c>
      <c r="C1882" s="74" t="str">
        <f>IF($B1882&lt;&gt;"",_xlfn.IFNA(VLOOKUP($B1882,'Node Details'!$B:$U,C$1,0),"Check"),"")</f>
        <v>0000CM414-CM4140108</v>
      </c>
      <c r="D1882" s="74" t="str">
        <f>IF($B1882&lt;&gt;"",_xlfn.IFNA(VLOOKUP($B1882,'Node Details'!$B:$U,D$1,0),"Check"),"")</f>
        <v>CM4</v>
      </c>
      <c r="E1882" s="74" t="str">
        <f>IF($B1882&lt;&gt;"",_xlfn.IFNA(VLOOKUP($B1882,'Node Details'!$B:$U,E$1,0),"Check"),"")</f>
        <v>Airtel</v>
      </c>
      <c r="F1882" s="76">
        <v>46148</v>
      </c>
      <c r="G1882" s="74"/>
      <c r="H1882" s="10" t="s">
        <v>1250</v>
      </c>
      <c r="I1882" s="9">
        <v>2</v>
      </c>
      <c r="J1882" s="9">
        <v>150</v>
      </c>
      <c r="K1882" s="77">
        <f t="shared" si="125"/>
        <v>300</v>
      </c>
      <c r="L1882" s="76">
        <v>46142</v>
      </c>
      <c r="N1882" s="83"/>
      <c r="O1882" s="84"/>
      <c r="P1882" s="81"/>
      <c r="Q1882" s="81"/>
      <c r="R1882" s="81"/>
      <c r="S1882" s="81"/>
      <c r="T1882" s="85"/>
      <c r="U1882" s="81"/>
      <c r="V1882" s="81"/>
      <c r="W1882" s="123">
        <f t="shared" si="126"/>
        <v>0</v>
      </c>
      <c r="X1882" s="123" t="s">
        <v>84</v>
      </c>
      <c r="Y1882" s="114" t="s">
        <v>1128</v>
      </c>
    </row>
    <row r="1883" spans="1:25" s="24" customFormat="1" ht="11.1" customHeight="1">
      <c r="A1883" s="74">
        <f t="shared" si="127"/>
        <v>1881</v>
      </c>
      <c r="B1883" s="75" t="s">
        <v>815</v>
      </c>
      <c r="C1883" s="74" t="str">
        <f>IF($B1883&lt;&gt;"",_xlfn.IFNA(VLOOKUP($B1883,'Node Details'!$B:$U,C$1,0),"Check"),"")</f>
        <v>000000CM4-0000CM418</v>
      </c>
      <c r="D1883" s="74" t="str">
        <f>IF($B1883&lt;&gt;"",_xlfn.IFNA(VLOOKUP($B1883,'Node Details'!$B:$U,D$1,0),"Check"),"")</f>
        <v>CM4</v>
      </c>
      <c r="E1883" s="74" t="str">
        <f>IF($B1883&lt;&gt;"",_xlfn.IFNA(VLOOKUP($B1883,'Node Details'!$B:$U,E$1,0),"Check"),"")</f>
        <v>Airtel</v>
      </c>
      <c r="F1883" s="76">
        <v>46148</v>
      </c>
      <c r="G1883" s="74"/>
      <c r="H1883" s="10" t="s">
        <v>1250</v>
      </c>
      <c r="I1883" s="9">
        <v>2</v>
      </c>
      <c r="J1883" s="9">
        <v>150</v>
      </c>
      <c r="K1883" s="77">
        <f t="shared" si="125"/>
        <v>300</v>
      </c>
      <c r="L1883" s="76">
        <v>46142</v>
      </c>
      <c r="N1883" s="83"/>
      <c r="O1883" s="84"/>
      <c r="P1883" s="81"/>
      <c r="Q1883" s="81"/>
      <c r="R1883" s="81"/>
      <c r="S1883" s="81"/>
      <c r="T1883" s="85"/>
      <c r="U1883" s="81"/>
      <c r="V1883" s="81"/>
      <c r="W1883" s="123">
        <f t="shared" si="126"/>
        <v>0</v>
      </c>
      <c r="X1883" s="123" t="s">
        <v>84</v>
      </c>
      <c r="Y1883" s="114" t="s">
        <v>1128</v>
      </c>
    </row>
    <row r="1884" spans="1:25" s="24" customFormat="1" ht="11.1" customHeight="1">
      <c r="A1884" s="74">
        <f t="shared" si="127"/>
        <v>1882</v>
      </c>
      <c r="B1884" s="75" t="s">
        <v>912</v>
      </c>
      <c r="C1884" s="74" t="str">
        <f>IF($B1884&lt;&gt;"",_xlfn.IFNA(VLOOKUP($B1884,'Node Details'!$B:$U,C$1,0),"Check"),"")</f>
        <v>0000CM415-CM4150101</v>
      </c>
      <c r="D1884" s="74" t="str">
        <f>IF($B1884&lt;&gt;"",_xlfn.IFNA(VLOOKUP($B1884,'Node Details'!$B:$U,D$1,0),"Check"),"")</f>
        <v>CM4</v>
      </c>
      <c r="E1884" s="74" t="str">
        <f>IF($B1884&lt;&gt;"",_xlfn.IFNA(VLOOKUP($B1884,'Node Details'!$B:$U,E$1,0),"Check"),"")</f>
        <v>Airtel</v>
      </c>
      <c r="F1884" s="76">
        <v>46148</v>
      </c>
      <c r="G1884" s="74"/>
      <c r="H1884" s="10" t="s">
        <v>1250</v>
      </c>
      <c r="I1884" s="9">
        <v>2</v>
      </c>
      <c r="J1884" s="9">
        <v>150</v>
      </c>
      <c r="K1884" s="77">
        <f t="shared" si="125"/>
        <v>300</v>
      </c>
      <c r="L1884" s="76">
        <v>46142</v>
      </c>
      <c r="N1884" s="83"/>
      <c r="O1884" s="84"/>
      <c r="P1884" s="81"/>
      <c r="Q1884" s="81"/>
      <c r="R1884" s="81"/>
      <c r="S1884" s="81"/>
      <c r="T1884" s="85"/>
      <c r="U1884" s="81"/>
      <c r="V1884" s="81"/>
      <c r="W1884" s="123">
        <f t="shared" si="126"/>
        <v>0</v>
      </c>
      <c r="X1884" s="123" t="s">
        <v>84</v>
      </c>
      <c r="Y1884" s="114" t="s">
        <v>1128</v>
      </c>
    </row>
    <row r="1885" spans="1:25" s="24" customFormat="1" ht="11.1" customHeight="1">
      <c r="A1885" s="74">
        <f t="shared" si="127"/>
        <v>1883</v>
      </c>
      <c r="B1885" s="75" t="s">
        <v>1224</v>
      </c>
      <c r="C1885" s="74" t="str">
        <f>IF($B1885&lt;&gt;"",_xlfn.IFNA(VLOOKUP($B1885,'Node Details'!$B:$U,C$1,0),"Check"),"")</f>
        <v>0000CM415-CM4150104</v>
      </c>
      <c r="D1885" s="74" t="str">
        <f>IF($B1885&lt;&gt;"",_xlfn.IFNA(VLOOKUP($B1885,'Node Details'!$B:$U,D$1,0),"Check"),"")</f>
        <v>CM4</v>
      </c>
      <c r="E1885" s="74" t="str">
        <f>IF($B1885&lt;&gt;"",_xlfn.IFNA(VLOOKUP($B1885,'Node Details'!$B:$U,E$1,0),"Check"),"")</f>
        <v>Airtel</v>
      </c>
      <c r="F1885" s="76">
        <v>46148</v>
      </c>
      <c r="G1885" s="74"/>
      <c r="H1885" s="10" t="s">
        <v>1250</v>
      </c>
      <c r="I1885" s="9">
        <v>2</v>
      </c>
      <c r="J1885" s="9">
        <v>150</v>
      </c>
      <c r="K1885" s="77">
        <f t="shared" si="125"/>
        <v>300</v>
      </c>
      <c r="L1885" s="76">
        <v>46142</v>
      </c>
      <c r="N1885" s="83"/>
      <c r="O1885" s="84"/>
      <c r="P1885" s="81"/>
      <c r="Q1885" s="81"/>
      <c r="R1885" s="81"/>
      <c r="S1885" s="81"/>
      <c r="T1885" s="85"/>
      <c r="U1885" s="81"/>
      <c r="V1885" s="81"/>
      <c r="W1885" s="123">
        <f t="shared" si="126"/>
        <v>0</v>
      </c>
      <c r="X1885" s="123" t="s">
        <v>84</v>
      </c>
      <c r="Y1885" s="114" t="s">
        <v>1128</v>
      </c>
    </row>
    <row r="1886" spans="1:25" s="24" customFormat="1" ht="11.1" customHeight="1">
      <c r="A1886" s="74">
        <f t="shared" si="127"/>
        <v>1884</v>
      </c>
      <c r="B1886" s="75" t="s">
        <v>914</v>
      </c>
      <c r="C1886" s="74" t="str">
        <f>IF($B1886&lt;&gt;"",_xlfn.IFNA(VLOOKUP($B1886,'Node Details'!$B:$U,C$1,0),"Check"),"")</f>
        <v>0000CM415-CM4150104</v>
      </c>
      <c r="D1886" s="74" t="str">
        <f>IF($B1886&lt;&gt;"",_xlfn.IFNA(VLOOKUP($B1886,'Node Details'!$B:$U,D$1,0),"Check"),"")</f>
        <v>CM4</v>
      </c>
      <c r="E1886" s="74" t="str">
        <f>IF($B1886&lt;&gt;"",_xlfn.IFNA(VLOOKUP($B1886,'Node Details'!$B:$U,E$1,0),"Check"),"")</f>
        <v>Airtel</v>
      </c>
      <c r="F1886" s="76">
        <v>46148</v>
      </c>
      <c r="G1886" s="74"/>
      <c r="H1886" s="10" t="s">
        <v>1250</v>
      </c>
      <c r="I1886" s="9">
        <v>2</v>
      </c>
      <c r="J1886" s="9">
        <v>150</v>
      </c>
      <c r="K1886" s="77">
        <f t="shared" si="125"/>
        <v>300</v>
      </c>
      <c r="L1886" s="76">
        <v>46142</v>
      </c>
      <c r="N1886" s="83"/>
      <c r="O1886" s="84"/>
      <c r="P1886" s="81"/>
      <c r="Q1886" s="81"/>
      <c r="R1886" s="81"/>
      <c r="S1886" s="81"/>
      <c r="T1886" s="85"/>
      <c r="U1886" s="81"/>
      <c r="V1886" s="81"/>
      <c r="W1886" s="123">
        <f t="shared" si="126"/>
        <v>0</v>
      </c>
      <c r="X1886" s="123" t="s">
        <v>84</v>
      </c>
      <c r="Y1886" s="114" t="s">
        <v>1128</v>
      </c>
    </row>
    <row r="1887" spans="1:25" s="24" customFormat="1" ht="11.1" customHeight="1">
      <c r="A1887" s="74">
        <f t="shared" si="127"/>
        <v>1885</v>
      </c>
      <c r="B1887" s="75" t="s">
        <v>1225</v>
      </c>
      <c r="C1887" s="74" t="str">
        <f>IF($B1887&lt;&gt;"",_xlfn.IFNA(VLOOKUP($B1887,'Node Details'!$B:$U,C$1,0),"Check"),"")</f>
        <v>0000CM415-CM4150108</v>
      </c>
      <c r="D1887" s="74" t="str">
        <f>IF($B1887&lt;&gt;"",_xlfn.IFNA(VLOOKUP($B1887,'Node Details'!$B:$U,D$1,0),"Check"),"")</f>
        <v>CM4</v>
      </c>
      <c r="E1887" s="74" t="str">
        <f>IF($B1887&lt;&gt;"",_xlfn.IFNA(VLOOKUP($B1887,'Node Details'!$B:$U,E$1,0),"Check"),"")</f>
        <v>Airtel</v>
      </c>
      <c r="F1887" s="76">
        <v>46148</v>
      </c>
      <c r="G1887" s="74"/>
      <c r="H1887" s="10" t="s">
        <v>1250</v>
      </c>
      <c r="I1887" s="9">
        <v>2</v>
      </c>
      <c r="J1887" s="9">
        <v>150</v>
      </c>
      <c r="K1887" s="77">
        <f t="shared" si="125"/>
        <v>300</v>
      </c>
      <c r="L1887" s="76">
        <v>46142</v>
      </c>
      <c r="N1887" s="83"/>
      <c r="O1887" s="84"/>
      <c r="P1887" s="81"/>
      <c r="Q1887" s="81"/>
      <c r="R1887" s="81"/>
      <c r="S1887" s="81"/>
      <c r="T1887" s="85"/>
      <c r="U1887" s="81"/>
      <c r="V1887" s="81"/>
      <c r="W1887" s="123">
        <f t="shared" si="126"/>
        <v>0</v>
      </c>
      <c r="X1887" s="123" t="s">
        <v>84</v>
      </c>
      <c r="Y1887" s="114" t="s">
        <v>1128</v>
      </c>
    </row>
    <row r="1888" spans="1:25" s="24" customFormat="1" ht="11.1" customHeight="1">
      <c r="A1888" s="74">
        <f t="shared" si="127"/>
        <v>1886</v>
      </c>
      <c r="B1888" s="75" t="s">
        <v>1226</v>
      </c>
      <c r="C1888" s="74" t="str">
        <f>IF($B1888&lt;&gt;"",_xlfn.IFNA(VLOOKUP($B1888,'Node Details'!$B:$U,C$1,0),"Check"),"")</f>
        <v>0000CM415-CM4150108</v>
      </c>
      <c r="D1888" s="74" t="str">
        <f>IF($B1888&lt;&gt;"",_xlfn.IFNA(VLOOKUP($B1888,'Node Details'!$B:$U,D$1,0),"Check"),"")</f>
        <v>CM4</v>
      </c>
      <c r="E1888" s="74" t="str">
        <f>IF($B1888&lt;&gt;"",_xlfn.IFNA(VLOOKUP($B1888,'Node Details'!$B:$U,E$1,0),"Check"),"")</f>
        <v>Airtel</v>
      </c>
      <c r="F1888" s="76">
        <v>46148</v>
      </c>
      <c r="G1888" s="74"/>
      <c r="H1888" s="10" t="s">
        <v>1250</v>
      </c>
      <c r="I1888" s="9">
        <v>2</v>
      </c>
      <c r="J1888" s="9">
        <v>150</v>
      </c>
      <c r="K1888" s="77">
        <f t="shared" si="125"/>
        <v>300</v>
      </c>
      <c r="L1888" s="76">
        <v>46142</v>
      </c>
      <c r="N1888" s="83"/>
      <c r="O1888" s="84"/>
      <c r="P1888" s="81"/>
      <c r="Q1888" s="81"/>
      <c r="R1888" s="81"/>
      <c r="S1888" s="81"/>
      <c r="T1888" s="85"/>
      <c r="U1888" s="81"/>
      <c r="V1888" s="81"/>
      <c r="W1888" s="123">
        <f t="shared" si="126"/>
        <v>0</v>
      </c>
      <c r="X1888" s="123" t="s">
        <v>84</v>
      </c>
      <c r="Y1888" s="114" t="s">
        <v>1128</v>
      </c>
    </row>
    <row r="1889" spans="1:25" s="24" customFormat="1" ht="11.1" customHeight="1">
      <c r="A1889" s="74">
        <f t="shared" si="127"/>
        <v>1887</v>
      </c>
      <c r="B1889" s="75" t="s">
        <v>916</v>
      </c>
      <c r="C1889" s="74" t="str">
        <f>IF($B1889&lt;&gt;"",_xlfn.IFNA(VLOOKUP($B1889,'Node Details'!$B:$U,C$1,0),"Check"),"")</f>
        <v>0000CM415-CM4150108</v>
      </c>
      <c r="D1889" s="74" t="str">
        <f>IF($B1889&lt;&gt;"",_xlfn.IFNA(VLOOKUP($B1889,'Node Details'!$B:$U,D$1,0),"Check"),"")</f>
        <v>CM4</v>
      </c>
      <c r="E1889" s="74" t="str">
        <f>IF($B1889&lt;&gt;"",_xlfn.IFNA(VLOOKUP($B1889,'Node Details'!$B:$U,E$1,0),"Check"),"")</f>
        <v>Airtel</v>
      </c>
      <c r="F1889" s="76">
        <v>46148</v>
      </c>
      <c r="G1889" s="74"/>
      <c r="H1889" s="10" t="s">
        <v>1250</v>
      </c>
      <c r="I1889" s="9">
        <v>2</v>
      </c>
      <c r="J1889" s="9">
        <v>150</v>
      </c>
      <c r="K1889" s="77">
        <f t="shared" si="125"/>
        <v>300</v>
      </c>
      <c r="L1889" s="76">
        <v>46142</v>
      </c>
      <c r="N1889" s="83"/>
      <c r="O1889" s="84"/>
      <c r="P1889" s="81"/>
      <c r="Q1889" s="81"/>
      <c r="R1889" s="81"/>
      <c r="S1889" s="81"/>
      <c r="T1889" s="85"/>
      <c r="U1889" s="81"/>
      <c r="V1889" s="81"/>
      <c r="W1889" s="123">
        <f t="shared" si="126"/>
        <v>0</v>
      </c>
      <c r="X1889" s="123" t="s">
        <v>84</v>
      </c>
      <c r="Y1889" s="114" t="s">
        <v>1128</v>
      </c>
    </row>
    <row r="1890" spans="1:25" s="24" customFormat="1" ht="11.1" customHeight="1">
      <c r="A1890" s="74">
        <f t="shared" si="127"/>
        <v>1888</v>
      </c>
      <c r="B1890" s="75" t="s">
        <v>816</v>
      </c>
      <c r="C1890" s="74" t="str">
        <f>IF($B1890&lt;&gt;"",_xlfn.IFNA(VLOOKUP($B1890,'Node Details'!$B:$U,C$1,0),"Check"),"")</f>
        <v>0000CM415-0000CM416</v>
      </c>
      <c r="D1890" s="74" t="str">
        <f>IF($B1890&lt;&gt;"",_xlfn.IFNA(VLOOKUP($B1890,'Node Details'!$B:$U,D$1,0),"Check"),"")</f>
        <v>CM4</v>
      </c>
      <c r="E1890" s="74" t="str">
        <f>IF($B1890&lt;&gt;"",_xlfn.IFNA(VLOOKUP($B1890,'Node Details'!$B:$U,E$1,0),"Check"),"")</f>
        <v>Airtel</v>
      </c>
      <c r="F1890" s="76">
        <v>46148</v>
      </c>
      <c r="G1890" s="74"/>
      <c r="H1890" s="10" t="s">
        <v>1250</v>
      </c>
      <c r="I1890" s="9">
        <v>2</v>
      </c>
      <c r="J1890" s="9">
        <v>150</v>
      </c>
      <c r="K1890" s="77">
        <f t="shared" si="125"/>
        <v>300</v>
      </c>
      <c r="L1890" s="76">
        <v>46142</v>
      </c>
      <c r="N1890" s="83"/>
      <c r="O1890" s="84"/>
      <c r="P1890" s="81"/>
      <c r="Q1890" s="81"/>
      <c r="R1890" s="81"/>
      <c r="S1890" s="81"/>
      <c r="T1890" s="85"/>
      <c r="U1890" s="81"/>
      <c r="V1890" s="81"/>
      <c r="W1890" s="123">
        <f t="shared" si="126"/>
        <v>0</v>
      </c>
      <c r="X1890" s="123" t="s">
        <v>84</v>
      </c>
      <c r="Y1890" s="114" t="s">
        <v>1128</v>
      </c>
    </row>
    <row r="1891" spans="1:25" s="24" customFormat="1" ht="11.1" customHeight="1">
      <c r="A1891" s="74">
        <f t="shared" si="127"/>
        <v>1889</v>
      </c>
      <c r="B1891" s="75" t="s">
        <v>918</v>
      </c>
      <c r="C1891" s="74" t="str">
        <f>IF($B1891&lt;&gt;"",_xlfn.IFNA(VLOOKUP($B1891,'Node Details'!$B:$U,C$1,0),"Check"),"")</f>
        <v>0000CM416-CM4160101</v>
      </c>
      <c r="D1891" s="74" t="str">
        <f>IF($B1891&lt;&gt;"",_xlfn.IFNA(VLOOKUP($B1891,'Node Details'!$B:$U,D$1,0),"Check"),"")</f>
        <v>CM4</v>
      </c>
      <c r="E1891" s="74" t="str">
        <f>IF($B1891&lt;&gt;"",_xlfn.IFNA(VLOOKUP($B1891,'Node Details'!$B:$U,E$1,0),"Check"),"")</f>
        <v>Airtel</v>
      </c>
      <c r="F1891" s="76">
        <v>46148</v>
      </c>
      <c r="G1891" s="74"/>
      <c r="H1891" s="10" t="s">
        <v>1250</v>
      </c>
      <c r="I1891" s="9">
        <v>2</v>
      </c>
      <c r="J1891" s="9">
        <v>150</v>
      </c>
      <c r="K1891" s="77">
        <f t="shared" si="125"/>
        <v>300</v>
      </c>
      <c r="L1891" s="76">
        <v>46142</v>
      </c>
      <c r="N1891" s="83"/>
      <c r="O1891" s="84"/>
      <c r="P1891" s="81"/>
      <c r="Q1891" s="81"/>
      <c r="R1891" s="81"/>
      <c r="S1891" s="81"/>
      <c r="T1891" s="85"/>
      <c r="U1891" s="81"/>
      <c r="V1891" s="81"/>
      <c r="W1891" s="123">
        <f t="shared" si="126"/>
        <v>0</v>
      </c>
      <c r="X1891" s="123" t="s">
        <v>84</v>
      </c>
      <c r="Y1891" s="114" t="s">
        <v>1128</v>
      </c>
    </row>
    <row r="1892" spans="1:25" s="24" customFormat="1" ht="11.1" customHeight="1">
      <c r="A1892" s="74">
        <f t="shared" si="127"/>
        <v>1890</v>
      </c>
      <c r="B1892" s="75" t="s">
        <v>1227</v>
      </c>
      <c r="C1892" s="74" t="str">
        <f>IF($B1892&lt;&gt;"",_xlfn.IFNA(VLOOKUP($B1892,'Node Details'!$B:$U,C$1,0),"Check"),"")</f>
        <v>0000CM416-CM4160104</v>
      </c>
      <c r="D1892" s="74" t="str">
        <f>IF($B1892&lt;&gt;"",_xlfn.IFNA(VLOOKUP($B1892,'Node Details'!$B:$U,D$1,0),"Check"),"")</f>
        <v>CM4</v>
      </c>
      <c r="E1892" s="74" t="str">
        <f>IF($B1892&lt;&gt;"",_xlfn.IFNA(VLOOKUP($B1892,'Node Details'!$B:$U,E$1,0),"Check"),"")</f>
        <v>Airtel</v>
      </c>
      <c r="F1892" s="76">
        <v>46148</v>
      </c>
      <c r="G1892" s="74"/>
      <c r="H1892" s="10" t="s">
        <v>1250</v>
      </c>
      <c r="I1892" s="9">
        <v>2</v>
      </c>
      <c r="J1892" s="9">
        <v>150</v>
      </c>
      <c r="K1892" s="77">
        <f t="shared" si="125"/>
        <v>300</v>
      </c>
      <c r="L1892" s="76">
        <v>46142</v>
      </c>
      <c r="N1892" s="83"/>
      <c r="O1892" s="84"/>
      <c r="P1892" s="81"/>
      <c r="Q1892" s="81"/>
      <c r="R1892" s="81"/>
      <c r="S1892" s="81"/>
      <c r="T1892" s="85"/>
      <c r="U1892" s="81"/>
      <c r="V1892" s="81"/>
      <c r="W1892" s="123">
        <f t="shared" si="126"/>
        <v>0</v>
      </c>
      <c r="X1892" s="123" t="s">
        <v>84</v>
      </c>
      <c r="Y1892" s="114" t="s">
        <v>1128</v>
      </c>
    </row>
    <row r="1893" spans="1:25" s="24" customFormat="1" ht="11.1" customHeight="1">
      <c r="A1893" s="74">
        <f t="shared" si="127"/>
        <v>1891</v>
      </c>
      <c r="B1893" s="75" t="s">
        <v>1228</v>
      </c>
      <c r="C1893" s="74" t="str">
        <f>IF($B1893&lt;&gt;"",_xlfn.IFNA(VLOOKUP($B1893,'Node Details'!$B:$U,C$1,0),"Check"),"")</f>
        <v>0000CM416-CM4160104</v>
      </c>
      <c r="D1893" s="74" t="str">
        <f>IF($B1893&lt;&gt;"",_xlfn.IFNA(VLOOKUP($B1893,'Node Details'!$B:$U,D$1,0),"Check"),"")</f>
        <v>CM4</v>
      </c>
      <c r="E1893" s="74" t="str">
        <f>IF($B1893&lt;&gt;"",_xlfn.IFNA(VLOOKUP($B1893,'Node Details'!$B:$U,E$1,0),"Check"),"")</f>
        <v>Airtel</v>
      </c>
      <c r="F1893" s="76">
        <v>46148</v>
      </c>
      <c r="G1893" s="74"/>
      <c r="H1893" s="10" t="s">
        <v>1250</v>
      </c>
      <c r="I1893" s="9">
        <v>2</v>
      </c>
      <c r="J1893" s="9">
        <v>150</v>
      </c>
      <c r="K1893" s="77">
        <f t="shared" si="125"/>
        <v>300</v>
      </c>
      <c r="L1893" s="76">
        <v>46142</v>
      </c>
      <c r="N1893" s="83"/>
      <c r="O1893" s="84"/>
      <c r="P1893" s="81"/>
      <c r="Q1893" s="81"/>
      <c r="R1893" s="81"/>
      <c r="S1893" s="81"/>
      <c r="T1893" s="85"/>
      <c r="U1893" s="81"/>
      <c r="V1893" s="81"/>
      <c r="W1893" s="123">
        <f t="shared" si="126"/>
        <v>0</v>
      </c>
      <c r="X1893" s="123" t="s">
        <v>84</v>
      </c>
      <c r="Y1893" s="114" t="s">
        <v>1128</v>
      </c>
    </row>
    <row r="1894" spans="1:25" s="24" customFormat="1" ht="11.1" customHeight="1">
      <c r="A1894" s="74">
        <f t="shared" si="127"/>
        <v>1892</v>
      </c>
      <c r="B1894" s="75" t="s">
        <v>920</v>
      </c>
      <c r="C1894" s="74" t="str">
        <f>IF($B1894&lt;&gt;"",_xlfn.IFNA(VLOOKUP($B1894,'Node Details'!$B:$U,C$1,0),"Check"),"")</f>
        <v>0000CM416-CM4160104</v>
      </c>
      <c r="D1894" s="74" t="str">
        <f>IF($B1894&lt;&gt;"",_xlfn.IFNA(VLOOKUP($B1894,'Node Details'!$B:$U,D$1,0),"Check"),"")</f>
        <v>CM4</v>
      </c>
      <c r="E1894" s="74" t="str">
        <f>IF($B1894&lt;&gt;"",_xlfn.IFNA(VLOOKUP($B1894,'Node Details'!$B:$U,E$1,0),"Check"),"")</f>
        <v>Airtel</v>
      </c>
      <c r="F1894" s="76">
        <v>46148</v>
      </c>
      <c r="G1894" s="74"/>
      <c r="H1894" s="10" t="s">
        <v>1250</v>
      </c>
      <c r="I1894" s="9">
        <v>2</v>
      </c>
      <c r="J1894" s="9">
        <v>150</v>
      </c>
      <c r="K1894" s="77">
        <f t="shared" si="125"/>
        <v>300</v>
      </c>
      <c r="L1894" s="76">
        <v>46142</v>
      </c>
      <c r="N1894" s="83"/>
      <c r="O1894" s="84"/>
      <c r="P1894" s="81"/>
      <c r="Q1894" s="81"/>
      <c r="R1894" s="81"/>
      <c r="S1894" s="81"/>
      <c r="T1894" s="85"/>
      <c r="U1894" s="81"/>
      <c r="V1894" s="81"/>
      <c r="W1894" s="123">
        <f t="shared" si="126"/>
        <v>0</v>
      </c>
      <c r="X1894" s="123" t="s">
        <v>84</v>
      </c>
      <c r="Y1894" s="114" t="s">
        <v>1128</v>
      </c>
    </row>
    <row r="1895" spans="1:25" s="24" customFormat="1" ht="11.1" customHeight="1">
      <c r="A1895" s="74">
        <f t="shared" si="127"/>
        <v>1893</v>
      </c>
      <c r="B1895" s="75" t="s">
        <v>922</v>
      </c>
      <c r="C1895" s="74" t="str">
        <f>IF($B1895&lt;&gt;"",_xlfn.IFNA(VLOOKUP($B1895,'Node Details'!$B:$U,C$1,0),"Check"),"")</f>
        <v>0000CM416-CM4160105</v>
      </c>
      <c r="D1895" s="74" t="str">
        <f>IF($B1895&lt;&gt;"",_xlfn.IFNA(VLOOKUP($B1895,'Node Details'!$B:$U,D$1,0),"Check"),"")</f>
        <v>CM4</v>
      </c>
      <c r="E1895" s="74" t="str">
        <f>IF($B1895&lt;&gt;"",_xlfn.IFNA(VLOOKUP($B1895,'Node Details'!$B:$U,E$1,0),"Check"),"")</f>
        <v>Airtel</v>
      </c>
      <c r="F1895" s="76">
        <v>46148</v>
      </c>
      <c r="G1895" s="74"/>
      <c r="H1895" s="10" t="s">
        <v>1250</v>
      </c>
      <c r="I1895" s="9">
        <v>2</v>
      </c>
      <c r="J1895" s="9">
        <v>150</v>
      </c>
      <c r="K1895" s="77">
        <f t="shared" si="125"/>
        <v>300</v>
      </c>
      <c r="L1895" s="76">
        <v>46142</v>
      </c>
      <c r="N1895" s="83"/>
      <c r="O1895" s="84"/>
      <c r="P1895" s="81"/>
      <c r="Q1895" s="81"/>
      <c r="R1895" s="81"/>
      <c r="S1895" s="81"/>
      <c r="T1895" s="85"/>
      <c r="U1895" s="81"/>
      <c r="V1895" s="81"/>
      <c r="W1895" s="123">
        <f t="shared" si="126"/>
        <v>0</v>
      </c>
      <c r="X1895" s="123" t="s">
        <v>84</v>
      </c>
      <c r="Y1895" s="114" t="s">
        <v>1128</v>
      </c>
    </row>
    <row r="1896" spans="1:25" s="24" customFormat="1" ht="11.1" customHeight="1">
      <c r="A1896" s="74">
        <f t="shared" si="127"/>
        <v>1894</v>
      </c>
      <c r="B1896" s="75" t="s">
        <v>802</v>
      </c>
      <c r="C1896" s="74" t="str">
        <f>IF($B1896&lt;&gt;"",_xlfn.IFNA(VLOOKUP($B1896,'Node Details'!$B:$U,C$1,0),"Check"),"")</f>
        <v>000000CM4-0000CM418</v>
      </c>
      <c r="D1896" s="74" t="str">
        <f>IF($B1896&lt;&gt;"",_xlfn.IFNA(VLOOKUP($B1896,'Node Details'!$B:$U,D$1,0),"Check"),"")</f>
        <v>CM4</v>
      </c>
      <c r="E1896" s="74" t="str">
        <f>IF($B1896&lt;&gt;"",_xlfn.IFNA(VLOOKUP($B1896,'Node Details'!$B:$U,E$1,0),"Check"),"")</f>
        <v>Airtel</v>
      </c>
      <c r="F1896" s="76">
        <v>46148</v>
      </c>
      <c r="G1896" s="74"/>
      <c r="H1896" s="10" t="s">
        <v>1250</v>
      </c>
      <c r="I1896" s="9">
        <v>2</v>
      </c>
      <c r="J1896" s="9">
        <v>150</v>
      </c>
      <c r="K1896" s="77">
        <f t="shared" si="125"/>
        <v>300</v>
      </c>
      <c r="L1896" s="76">
        <v>46142</v>
      </c>
      <c r="N1896" s="83"/>
      <c r="O1896" s="84"/>
      <c r="P1896" s="81"/>
      <c r="Q1896" s="81"/>
      <c r="R1896" s="81"/>
      <c r="S1896" s="81"/>
      <c r="T1896" s="85"/>
      <c r="U1896" s="81"/>
      <c r="V1896" s="81"/>
      <c r="W1896" s="123">
        <f t="shared" si="126"/>
        <v>0</v>
      </c>
      <c r="X1896" s="123" t="s">
        <v>84</v>
      </c>
      <c r="Y1896" s="114" t="s">
        <v>1128</v>
      </c>
    </row>
    <row r="1897" spans="1:25" s="24" customFormat="1" ht="11.1" customHeight="1">
      <c r="A1897" s="74">
        <f t="shared" si="127"/>
        <v>1895</v>
      </c>
      <c r="B1897" s="75" t="s">
        <v>924</v>
      </c>
      <c r="C1897" s="74" t="str">
        <f>IF($B1897&lt;&gt;"",_xlfn.IFNA(VLOOKUP($B1897,'Node Details'!$B:$U,C$1,0),"Check"),"")</f>
        <v>0000CM418-CM4180101</v>
      </c>
      <c r="D1897" s="74" t="str">
        <f>IF($B1897&lt;&gt;"",_xlfn.IFNA(VLOOKUP($B1897,'Node Details'!$B:$U,D$1,0),"Check"),"")</f>
        <v>CM4</v>
      </c>
      <c r="E1897" s="74" t="str">
        <f>IF($B1897&lt;&gt;"",_xlfn.IFNA(VLOOKUP($B1897,'Node Details'!$B:$U,E$1,0),"Check"),"")</f>
        <v>Airtel</v>
      </c>
      <c r="F1897" s="76">
        <v>46148</v>
      </c>
      <c r="G1897" s="74"/>
      <c r="H1897" s="10" t="s">
        <v>1250</v>
      </c>
      <c r="I1897" s="9">
        <v>2</v>
      </c>
      <c r="J1897" s="9">
        <v>150</v>
      </c>
      <c r="K1897" s="77">
        <f t="shared" si="125"/>
        <v>300</v>
      </c>
      <c r="L1897" s="76">
        <v>46142</v>
      </c>
      <c r="N1897" s="83"/>
      <c r="O1897" s="84"/>
      <c r="P1897" s="81"/>
      <c r="Q1897" s="81"/>
      <c r="R1897" s="81"/>
      <c r="S1897" s="81"/>
      <c r="T1897" s="85"/>
      <c r="U1897" s="81"/>
      <c r="V1897" s="81"/>
      <c r="W1897" s="123">
        <f t="shared" si="126"/>
        <v>0</v>
      </c>
      <c r="X1897" s="123" t="s">
        <v>84</v>
      </c>
      <c r="Y1897" s="114" t="s">
        <v>1128</v>
      </c>
    </row>
    <row r="1898" spans="1:25" s="24" customFormat="1" ht="11.1" customHeight="1">
      <c r="A1898" s="74">
        <f t="shared" si="127"/>
        <v>1896</v>
      </c>
      <c r="B1898" s="75" t="s">
        <v>926</v>
      </c>
      <c r="C1898" s="74" t="str">
        <f>IF($B1898&lt;&gt;"",_xlfn.IFNA(VLOOKUP($B1898,'Node Details'!$B:$U,C$1,0),"Check"),"")</f>
        <v>0000CM418-CM4180102</v>
      </c>
      <c r="D1898" s="74" t="str">
        <f>IF($B1898&lt;&gt;"",_xlfn.IFNA(VLOOKUP($B1898,'Node Details'!$B:$U,D$1,0),"Check"),"")</f>
        <v>CM4</v>
      </c>
      <c r="E1898" s="74" t="str">
        <f>IF($B1898&lt;&gt;"",_xlfn.IFNA(VLOOKUP($B1898,'Node Details'!$B:$U,E$1,0),"Check"),"")</f>
        <v>Airtel</v>
      </c>
      <c r="F1898" s="76">
        <v>46148</v>
      </c>
      <c r="G1898" s="74"/>
      <c r="H1898" s="10" t="s">
        <v>1250</v>
      </c>
      <c r="I1898" s="9">
        <v>2</v>
      </c>
      <c r="J1898" s="9">
        <v>150</v>
      </c>
      <c r="K1898" s="77">
        <f t="shared" si="125"/>
        <v>300</v>
      </c>
      <c r="L1898" s="76">
        <v>46142</v>
      </c>
      <c r="N1898" s="83"/>
      <c r="O1898" s="84"/>
      <c r="P1898" s="81"/>
      <c r="Q1898" s="81"/>
      <c r="R1898" s="81"/>
      <c r="S1898" s="81"/>
      <c r="T1898" s="85"/>
      <c r="U1898" s="81"/>
      <c r="V1898" s="81"/>
      <c r="W1898" s="123">
        <f t="shared" si="126"/>
        <v>0</v>
      </c>
      <c r="X1898" s="123" t="s">
        <v>84</v>
      </c>
      <c r="Y1898" s="114" t="s">
        <v>1128</v>
      </c>
    </row>
    <row r="1899" spans="1:25" s="24" customFormat="1" ht="11.1" customHeight="1">
      <c r="A1899" s="74">
        <f t="shared" si="127"/>
        <v>1897</v>
      </c>
      <c r="B1899" s="75" t="s">
        <v>1229</v>
      </c>
      <c r="C1899" s="74" t="str">
        <f>IF($B1899&lt;&gt;"",_xlfn.IFNA(VLOOKUP($B1899,'Node Details'!$B:$U,C$1,0),"Check"),"")</f>
        <v>0000CM418-CM4180104</v>
      </c>
      <c r="D1899" s="74" t="str">
        <f>IF($B1899&lt;&gt;"",_xlfn.IFNA(VLOOKUP($B1899,'Node Details'!$B:$U,D$1,0),"Check"),"")</f>
        <v>CM4</v>
      </c>
      <c r="E1899" s="74" t="str">
        <f>IF($B1899&lt;&gt;"",_xlfn.IFNA(VLOOKUP($B1899,'Node Details'!$B:$U,E$1,0),"Check"),"")</f>
        <v>Airtel</v>
      </c>
      <c r="F1899" s="76">
        <v>46148</v>
      </c>
      <c r="G1899" s="74"/>
      <c r="H1899" s="10" t="s">
        <v>1250</v>
      </c>
      <c r="I1899" s="9">
        <v>2</v>
      </c>
      <c r="J1899" s="9">
        <v>150</v>
      </c>
      <c r="K1899" s="77">
        <f t="shared" si="125"/>
        <v>300</v>
      </c>
      <c r="L1899" s="76">
        <v>46142</v>
      </c>
      <c r="N1899" s="83"/>
      <c r="O1899" s="84"/>
      <c r="P1899" s="81"/>
      <c r="Q1899" s="81"/>
      <c r="R1899" s="81"/>
      <c r="S1899" s="81"/>
      <c r="T1899" s="85"/>
      <c r="U1899" s="81"/>
      <c r="V1899" s="81"/>
      <c r="W1899" s="123">
        <f t="shared" si="126"/>
        <v>0</v>
      </c>
      <c r="X1899" s="123" t="s">
        <v>84</v>
      </c>
      <c r="Y1899" s="114" t="s">
        <v>1128</v>
      </c>
    </row>
    <row r="1900" spans="1:25" s="24" customFormat="1" ht="11.1" customHeight="1">
      <c r="A1900" s="74">
        <f t="shared" si="127"/>
        <v>1898</v>
      </c>
      <c r="B1900" s="75" t="s">
        <v>928</v>
      </c>
      <c r="C1900" s="74" t="str">
        <f>IF($B1900&lt;&gt;"",_xlfn.IFNA(VLOOKUP($B1900,'Node Details'!$B:$U,C$1,0),"Check"),"")</f>
        <v>0000CM418-CM4180104</v>
      </c>
      <c r="D1900" s="74" t="str">
        <f>IF($B1900&lt;&gt;"",_xlfn.IFNA(VLOOKUP($B1900,'Node Details'!$B:$U,D$1,0),"Check"),"")</f>
        <v>CM4</v>
      </c>
      <c r="E1900" s="74" t="str">
        <f>IF($B1900&lt;&gt;"",_xlfn.IFNA(VLOOKUP($B1900,'Node Details'!$B:$U,E$1,0),"Check"),"")</f>
        <v>Airtel</v>
      </c>
      <c r="F1900" s="76">
        <v>46148</v>
      </c>
      <c r="G1900" s="74"/>
      <c r="H1900" s="10" t="s">
        <v>1250</v>
      </c>
      <c r="I1900" s="9">
        <v>2</v>
      </c>
      <c r="J1900" s="9">
        <v>150</v>
      </c>
      <c r="K1900" s="77">
        <f t="shared" si="125"/>
        <v>300</v>
      </c>
      <c r="L1900" s="76">
        <v>46142</v>
      </c>
      <c r="N1900" s="83"/>
      <c r="O1900" s="84"/>
      <c r="P1900" s="81"/>
      <c r="Q1900" s="81"/>
      <c r="R1900" s="81"/>
      <c r="S1900" s="81"/>
      <c r="T1900" s="85"/>
      <c r="U1900" s="81"/>
      <c r="V1900" s="81"/>
      <c r="W1900" s="123">
        <f t="shared" si="126"/>
        <v>0</v>
      </c>
      <c r="X1900" s="123" t="s">
        <v>84</v>
      </c>
      <c r="Y1900" s="114" t="s">
        <v>1128</v>
      </c>
    </row>
    <row r="1901" spans="1:25" s="24" customFormat="1" ht="11.1" customHeight="1">
      <c r="A1901" s="74">
        <f t="shared" si="127"/>
        <v>1899</v>
      </c>
      <c r="B1901" s="75" t="s">
        <v>1230</v>
      </c>
      <c r="C1901" s="74" t="str">
        <f>IF($B1901&lt;&gt;"",_xlfn.IFNA(VLOOKUP($B1901,'Node Details'!$B:$U,C$1,0),"Check"),"")</f>
        <v>0000CM418-CM4180108</v>
      </c>
      <c r="D1901" s="74" t="str">
        <f>IF($B1901&lt;&gt;"",_xlfn.IFNA(VLOOKUP($B1901,'Node Details'!$B:$U,D$1,0),"Check"),"")</f>
        <v>CM4</v>
      </c>
      <c r="E1901" s="74" t="str">
        <f>IF($B1901&lt;&gt;"",_xlfn.IFNA(VLOOKUP($B1901,'Node Details'!$B:$U,E$1,0),"Check"),"")</f>
        <v>Airtel</v>
      </c>
      <c r="F1901" s="76">
        <v>46148</v>
      </c>
      <c r="G1901" s="74"/>
      <c r="H1901" s="10" t="s">
        <v>1250</v>
      </c>
      <c r="I1901" s="9">
        <v>2</v>
      </c>
      <c r="J1901" s="9">
        <v>150</v>
      </c>
      <c r="K1901" s="77">
        <f t="shared" si="125"/>
        <v>300</v>
      </c>
      <c r="L1901" s="76">
        <v>46142</v>
      </c>
      <c r="N1901" s="83"/>
      <c r="O1901" s="84"/>
      <c r="P1901" s="81"/>
      <c r="Q1901" s="81"/>
      <c r="R1901" s="81"/>
      <c r="S1901" s="81"/>
      <c r="T1901" s="85"/>
      <c r="U1901" s="81"/>
      <c r="V1901" s="81"/>
      <c r="W1901" s="123">
        <f t="shared" si="126"/>
        <v>0</v>
      </c>
      <c r="X1901" s="123" t="s">
        <v>84</v>
      </c>
      <c r="Y1901" s="114" t="s">
        <v>1128</v>
      </c>
    </row>
    <row r="1902" spans="1:25" s="24" customFormat="1" ht="11.1" customHeight="1">
      <c r="A1902" s="74">
        <f t="shared" si="127"/>
        <v>1900</v>
      </c>
      <c r="B1902" s="75" t="s">
        <v>1231</v>
      </c>
      <c r="C1902" s="74" t="str">
        <f>IF($B1902&lt;&gt;"",_xlfn.IFNA(VLOOKUP($B1902,'Node Details'!$B:$U,C$1,0),"Check"),"")</f>
        <v>0000CM418-CM4180108</v>
      </c>
      <c r="D1902" s="74" t="str">
        <f>IF($B1902&lt;&gt;"",_xlfn.IFNA(VLOOKUP($B1902,'Node Details'!$B:$U,D$1,0),"Check"),"")</f>
        <v>CM4</v>
      </c>
      <c r="E1902" s="74" t="str">
        <f>IF($B1902&lt;&gt;"",_xlfn.IFNA(VLOOKUP($B1902,'Node Details'!$B:$U,E$1,0),"Check"),"")</f>
        <v>Airtel</v>
      </c>
      <c r="F1902" s="76">
        <v>46148</v>
      </c>
      <c r="G1902" s="74"/>
      <c r="H1902" s="10" t="s">
        <v>1250</v>
      </c>
      <c r="I1902" s="9">
        <v>2</v>
      </c>
      <c r="J1902" s="9">
        <v>150</v>
      </c>
      <c r="K1902" s="77">
        <f t="shared" si="125"/>
        <v>300</v>
      </c>
      <c r="L1902" s="76">
        <v>46142</v>
      </c>
      <c r="N1902" s="83"/>
      <c r="O1902" s="84"/>
      <c r="P1902" s="81"/>
      <c r="Q1902" s="81"/>
      <c r="R1902" s="81"/>
      <c r="S1902" s="81"/>
      <c r="T1902" s="85"/>
      <c r="U1902" s="81"/>
      <c r="V1902" s="81"/>
      <c r="W1902" s="123">
        <f t="shared" si="126"/>
        <v>0</v>
      </c>
      <c r="X1902" s="123" t="s">
        <v>84</v>
      </c>
      <c r="Y1902" s="114" t="s">
        <v>1128</v>
      </c>
    </row>
    <row r="1903" spans="1:25" s="24" customFormat="1" ht="11.1" customHeight="1">
      <c r="A1903" s="74">
        <f t="shared" si="127"/>
        <v>1901</v>
      </c>
      <c r="B1903" s="75" t="s">
        <v>1232</v>
      </c>
      <c r="C1903" s="74" t="str">
        <f>IF($B1903&lt;&gt;"",_xlfn.IFNA(VLOOKUP($B1903,'Node Details'!$B:$U,C$1,0),"Check"),"")</f>
        <v>0000CM418-CM4180108</v>
      </c>
      <c r="D1903" s="74" t="str">
        <f>IF($B1903&lt;&gt;"",_xlfn.IFNA(VLOOKUP($B1903,'Node Details'!$B:$U,D$1,0),"Check"),"")</f>
        <v>CM4</v>
      </c>
      <c r="E1903" s="74" t="str">
        <f>IF($B1903&lt;&gt;"",_xlfn.IFNA(VLOOKUP($B1903,'Node Details'!$B:$U,E$1,0),"Check"),"")</f>
        <v>Airtel</v>
      </c>
      <c r="F1903" s="76">
        <v>46148</v>
      </c>
      <c r="G1903" s="74"/>
      <c r="H1903" s="10" t="s">
        <v>1250</v>
      </c>
      <c r="I1903" s="9">
        <v>2</v>
      </c>
      <c r="J1903" s="9">
        <v>150</v>
      </c>
      <c r="K1903" s="77">
        <f t="shared" si="125"/>
        <v>300</v>
      </c>
      <c r="L1903" s="76">
        <v>46142</v>
      </c>
      <c r="N1903" s="83"/>
      <c r="O1903" s="84"/>
      <c r="P1903" s="81"/>
      <c r="Q1903" s="81"/>
      <c r="R1903" s="81"/>
      <c r="S1903" s="81"/>
      <c r="T1903" s="85"/>
      <c r="U1903" s="81"/>
      <c r="V1903" s="81"/>
      <c r="W1903" s="123">
        <f t="shared" si="126"/>
        <v>0</v>
      </c>
      <c r="X1903" s="123" t="s">
        <v>84</v>
      </c>
      <c r="Y1903" s="114" t="s">
        <v>1128</v>
      </c>
    </row>
    <row r="1904" spans="1:25" s="24" customFormat="1" ht="11.1" customHeight="1">
      <c r="A1904" s="74">
        <f t="shared" si="127"/>
        <v>1902</v>
      </c>
      <c r="B1904" s="75" t="s">
        <v>930</v>
      </c>
      <c r="C1904" s="74" t="str">
        <f>IF($B1904&lt;&gt;"",_xlfn.IFNA(VLOOKUP($B1904,'Node Details'!$B:$U,C$1,0),"Check"),"")</f>
        <v>0000CM418-CM4180108</v>
      </c>
      <c r="D1904" s="74" t="str">
        <f>IF($B1904&lt;&gt;"",_xlfn.IFNA(VLOOKUP($B1904,'Node Details'!$B:$U,D$1,0),"Check"),"")</f>
        <v>CM4</v>
      </c>
      <c r="E1904" s="74" t="str">
        <f>IF($B1904&lt;&gt;"",_xlfn.IFNA(VLOOKUP($B1904,'Node Details'!$B:$U,E$1,0),"Check"),"")</f>
        <v>Airtel</v>
      </c>
      <c r="F1904" s="76">
        <v>46148</v>
      </c>
      <c r="G1904" s="74"/>
      <c r="H1904" s="10" t="s">
        <v>1250</v>
      </c>
      <c r="I1904" s="9">
        <v>2</v>
      </c>
      <c r="J1904" s="9">
        <v>150</v>
      </c>
      <c r="K1904" s="77">
        <f t="shared" ref="K1904:K1926" si="128">IF(I1904&lt;&gt;"",J1904*I1904,0)</f>
        <v>300</v>
      </c>
      <c r="L1904" s="76">
        <v>46142</v>
      </c>
      <c r="N1904" s="83"/>
      <c r="O1904" s="84"/>
      <c r="P1904" s="81"/>
      <c r="Q1904" s="81"/>
      <c r="R1904" s="81"/>
      <c r="S1904" s="81"/>
      <c r="T1904" s="85"/>
      <c r="U1904" s="81"/>
      <c r="V1904" s="81"/>
      <c r="W1904" s="123">
        <f t="shared" ref="W1904:W1926" si="129">IF(V1904&lt;&gt;"",V1904*U1904,0)</f>
        <v>0</v>
      </c>
      <c r="X1904" s="123" t="s">
        <v>84</v>
      </c>
      <c r="Y1904" s="114" t="s">
        <v>1128</v>
      </c>
    </row>
    <row r="1905" spans="1:25" s="24" customFormat="1" ht="11.1" customHeight="1">
      <c r="A1905" s="74">
        <f t="shared" si="127"/>
        <v>1903</v>
      </c>
      <c r="B1905" s="75" t="s">
        <v>932</v>
      </c>
      <c r="C1905" s="74" t="str">
        <f>IF($B1905&lt;&gt;"",_xlfn.IFNA(VLOOKUP($B1905,'Node Details'!$B:$U,C$1,0),"Check"),"")</f>
        <v>000000CM4-0000CM421</v>
      </c>
      <c r="D1905" s="74" t="str">
        <f>IF($B1905&lt;&gt;"",_xlfn.IFNA(VLOOKUP($B1905,'Node Details'!$B:$U,D$1,0),"Check"),"")</f>
        <v>CM4</v>
      </c>
      <c r="E1905" s="74" t="str">
        <f>IF($B1905&lt;&gt;"",_xlfn.IFNA(VLOOKUP($B1905,'Node Details'!$B:$U,E$1,0),"Check"),"")</f>
        <v>Airtel</v>
      </c>
      <c r="F1905" s="76">
        <v>46148</v>
      </c>
      <c r="G1905" s="74"/>
      <c r="H1905" s="10" t="s">
        <v>1250</v>
      </c>
      <c r="I1905" s="9">
        <v>2</v>
      </c>
      <c r="J1905" s="9">
        <v>150</v>
      </c>
      <c r="K1905" s="77">
        <f t="shared" si="128"/>
        <v>300</v>
      </c>
      <c r="L1905" s="76">
        <v>46142</v>
      </c>
      <c r="N1905" s="83"/>
      <c r="O1905" s="84"/>
      <c r="P1905" s="81"/>
      <c r="Q1905" s="81"/>
      <c r="R1905" s="81"/>
      <c r="S1905" s="81"/>
      <c r="T1905" s="85"/>
      <c r="U1905" s="81"/>
      <c r="V1905" s="81"/>
      <c r="W1905" s="123">
        <f t="shared" si="129"/>
        <v>0</v>
      </c>
      <c r="X1905" s="123" t="s">
        <v>84</v>
      </c>
      <c r="Y1905" s="114" t="s">
        <v>1128</v>
      </c>
    </row>
    <row r="1906" spans="1:25" s="24" customFormat="1" ht="11.1" customHeight="1">
      <c r="A1906" s="74">
        <f t="shared" si="127"/>
        <v>1904</v>
      </c>
      <c r="B1906" s="75" t="s">
        <v>933</v>
      </c>
      <c r="C1906" s="74" t="str">
        <f>IF($B1906&lt;&gt;"",_xlfn.IFNA(VLOOKUP($B1906,'Node Details'!$B:$U,C$1,0),"Check"),"")</f>
        <v>0000CM419-CM4190101</v>
      </c>
      <c r="D1906" s="74" t="str">
        <f>IF($B1906&lt;&gt;"",_xlfn.IFNA(VLOOKUP($B1906,'Node Details'!$B:$U,D$1,0),"Check"),"")</f>
        <v>CM4</v>
      </c>
      <c r="E1906" s="74" t="str">
        <f>IF($B1906&lt;&gt;"",_xlfn.IFNA(VLOOKUP($B1906,'Node Details'!$B:$U,E$1,0),"Check"),"")</f>
        <v>Airtel</v>
      </c>
      <c r="F1906" s="76">
        <v>46148</v>
      </c>
      <c r="G1906" s="74"/>
      <c r="H1906" s="10" t="s">
        <v>1250</v>
      </c>
      <c r="I1906" s="9">
        <v>2</v>
      </c>
      <c r="J1906" s="9">
        <v>150</v>
      </c>
      <c r="K1906" s="77">
        <f t="shared" si="128"/>
        <v>300</v>
      </c>
      <c r="L1906" s="76">
        <v>46142</v>
      </c>
      <c r="N1906" s="83"/>
      <c r="O1906" s="84"/>
      <c r="P1906" s="81"/>
      <c r="Q1906" s="81"/>
      <c r="R1906" s="81"/>
      <c r="S1906" s="81"/>
      <c r="T1906" s="85"/>
      <c r="U1906" s="81"/>
      <c r="V1906" s="81"/>
      <c r="W1906" s="123">
        <f t="shared" si="129"/>
        <v>0</v>
      </c>
      <c r="X1906" s="123" t="s">
        <v>84</v>
      </c>
      <c r="Y1906" s="114" t="s">
        <v>1128</v>
      </c>
    </row>
    <row r="1907" spans="1:25" s="24" customFormat="1" ht="11.1" customHeight="1">
      <c r="A1907" s="74">
        <f t="shared" si="127"/>
        <v>1905</v>
      </c>
      <c r="B1907" s="75" t="s">
        <v>935</v>
      </c>
      <c r="C1907" s="74" t="str">
        <f>IF($B1907&lt;&gt;"",_xlfn.IFNA(VLOOKUP($B1907,'Node Details'!$B:$U,C$1,0),"Check"),"")</f>
        <v>0000CM419-CM4190103</v>
      </c>
      <c r="D1907" s="74" t="str">
        <f>IF($B1907&lt;&gt;"",_xlfn.IFNA(VLOOKUP($B1907,'Node Details'!$B:$U,D$1,0),"Check"),"")</f>
        <v>CM4</v>
      </c>
      <c r="E1907" s="74" t="str">
        <f>IF($B1907&lt;&gt;"",_xlfn.IFNA(VLOOKUP($B1907,'Node Details'!$B:$U,E$1,0),"Check"),"")</f>
        <v>Airtel</v>
      </c>
      <c r="F1907" s="76">
        <v>46148</v>
      </c>
      <c r="G1907" s="74"/>
      <c r="H1907" s="10" t="s">
        <v>1250</v>
      </c>
      <c r="I1907" s="9">
        <v>2</v>
      </c>
      <c r="J1907" s="9">
        <v>150</v>
      </c>
      <c r="K1907" s="77">
        <f t="shared" si="128"/>
        <v>300</v>
      </c>
      <c r="L1907" s="76">
        <v>46142</v>
      </c>
      <c r="N1907" s="83"/>
      <c r="O1907" s="84"/>
      <c r="P1907" s="81"/>
      <c r="Q1907" s="81"/>
      <c r="R1907" s="81"/>
      <c r="S1907" s="81"/>
      <c r="T1907" s="85"/>
      <c r="U1907" s="81"/>
      <c r="V1907" s="81"/>
      <c r="W1907" s="123">
        <f t="shared" si="129"/>
        <v>0</v>
      </c>
      <c r="X1907" s="123" t="s">
        <v>84</v>
      </c>
      <c r="Y1907" s="114" t="s">
        <v>1128</v>
      </c>
    </row>
    <row r="1908" spans="1:25" s="24" customFormat="1" ht="11.1" customHeight="1">
      <c r="A1908" s="74">
        <f t="shared" si="127"/>
        <v>1906</v>
      </c>
      <c r="B1908" s="75" t="s">
        <v>1233</v>
      </c>
      <c r="C1908" s="74" t="str">
        <f>IF($B1908&lt;&gt;"",_xlfn.IFNA(VLOOKUP($B1908,'Node Details'!$B:$U,C$1,0),"Check"),"")</f>
        <v>0000CM419-CM4190108</v>
      </c>
      <c r="D1908" s="74" t="str">
        <f>IF($B1908&lt;&gt;"",_xlfn.IFNA(VLOOKUP($B1908,'Node Details'!$B:$U,D$1,0),"Check"),"")</f>
        <v>CM4</v>
      </c>
      <c r="E1908" s="74" t="str">
        <f>IF($B1908&lt;&gt;"",_xlfn.IFNA(VLOOKUP($B1908,'Node Details'!$B:$U,E$1,0),"Check"),"")</f>
        <v>Airtel</v>
      </c>
      <c r="F1908" s="76">
        <v>46148</v>
      </c>
      <c r="G1908" s="74"/>
      <c r="H1908" s="10" t="s">
        <v>1250</v>
      </c>
      <c r="I1908" s="9">
        <v>2</v>
      </c>
      <c r="J1908" s="9">
        <v>150</v>
      </c>
      <c r="K1908" s="77">
        <f t="shared" si="128"/>
        <v>300</v>
      </c>
      <c r="L1908" s="76">
        <v>46142</v>
      </c>
      <c r="N1908" s="83"/>
      <c r="O1908" s="84"/>
      <c r="P1908" s="81"/>
      <c r="Q1908" s="81"/>
      <c r="R1908" s="81"/>
      <c r="S1908" s="81"/>
      <c r="T1908" s="85"/>
      <c r="U1908" s="81"/>
      <c r="V1908" s="81"/>
      <c r="W1908" s="123">
        <f t="shared" si="129"/>
        <v>0</v>
      </c>
      <c r="X1908" s="123" t="s">
        <v>84</v>
      </c>
      <c r="Y1908" s="114" t="s">
        <v>1128</v>
      </c>
    </row>
    <row r="1909" spans="1:25" s="24" customFormat="1" ht="11.1" customHeight="1">
      <c r="A1909" s="74">
        <f t="shared" si="127"/>
        <v>1907</v>
      </c>
      <c r="B1909" s="75" t="s">
        <v>1234</v>
      </c>
      <c r="C1909" s="74" t="str">
        <f>IF($B1909&lt;&gt;"",_xlfn.IFNA(VLOOKUP($B1909,'Node Details'!$B:$U,C$1,0),"Check"),"")</f>
        <v>0000CM419-CM4190108</v>
      </c>
      <c r="D1909" s="74" t="str">
        <f>IF($B1909&lt;&gt;"",_xlfn.IFNA(VLOOKUP($B1909,'Node Details'!$B:$U,D$1,0),"Check"),"")</f>
        <v>CM4</v>
      </c>
      <c r="E1909" s="74" t="str">
        <f>IF($B1909&lt;&gt;"",_xlfn.IFNA(VLOOKUP($B1909,'Node Details'!$B:$U,E$1,0),"Check"),"")</f>
        <v>Airtel</v>
      </c>
      <c r="F1909" s="76">
        <v>46148</v>
      </c>
      <c r="G1909" s="74"/>
      <c r="H1909" s="10" t="s">
        <v>1250</v>
      </c>
      <c r="I1909" s="9">
        <v>2</v>
      </c>
      <c r="J1909" s="9">
        <v>150</v>
      </c>
      <c r="K1909" s="77">
        <f t="shared" si="128"/>
        <v>300</v>
      </c>
      <c r="L1909" s="76">
        <v>46142</v>
      </c>
      <c r="N1909" s="83"/>
      <c r="O1909" s="84"/>
      <c r="P1909" s="81"/>
      <c r="Q1909" s="81"/>
      <c r="R1909" s="81"/>
      <c r="S1909" s="81"/>
      <c r="T1909" s="85"/>
      <c r="U1909" s="81"/>
      <c r="V1909" s="81"/>
      <c r="W1909" s="123">
        <f t="shared" si="129"/>
        <v>0</v>
      </c>
      <c r="X1909" s="123" t="s">
        <v>84</v>
      </c>
      <c r="Y1909" s="114" t="s">
        <v>1128</v>
      </c>
    </row>
    <row r="1910" spans="1:25" s="24" customFormat="1" ht="11.1" customHeight="1">
      <c r="A1910" s="74">
        <f t="shared" si="127"/>
        <v>1908</v>
      </c>
      <c r="B1910" s="75" t="s">
        <v>1235</v>
      </c>
      <c r="C1910" s="74" t="str">
        <f>IF($B1910&lt;&gt;"",_xlfn.IFNA(VLOOKUP($B1910,'Node Details'!$B:$U,C$1,0),"Check"),"")</f>
        <v>0000CM419-CM4190108</v>
      </c>
      <c r="D1910" s="74" t="str">
        <f>IF($B1910&lt;&gt;"",_xlfn.IFNA(VLOOKUP($B1910,'Node Details'!$B:$U,D$1,0),"Check"),"")</f>
        <v>CM4</v>
      </c>
      <c r="E1910" s="74" t="str">
        <f>IF($B1910&lt;&gt;"",_xlfn.IFNA(VLOOKUP($B1910,'Node Details'!$B:$U,E$1,0),"Check"),"")</f>
        <v>Airtel</v>
      </c>
      <c r="F1910" s="76">
        <v>46148</v>
      </c>
      <c r="G1910" s="74"/>
      <c r="H1910" s="10" t="s">
        <v>1250</v>
      </c>
      <c r="I1910" s="9">
        <v>2</v>
      </c>
      <c r="J1910" s="9">
        <v>150</v>
      </c>
      <c r="K1910" s="77">
        <f t="shared" si="128"/>
        <v>300</v>
      </c>
      <c r="L1910" s="76">
        <v>46142</v>
      </c>
      <c r="N1910" s="83"/>
      <c r="O1910" s="84"/>
      <c r="P1910" s="81"/>
      <c r="Q1910" s="81"/>
      <c r="R1910" s="81"/>
      <c r="S1910" s="81"/>
      <c r="T1910" s="85"/>
      <c r="U1910" s="81"/>
      <c r="V1910" s="81"/>
      <c r="W1910" s="123">
        <f t="shared" si="129"/>
        <v>0</v>
      </c>
      <c r="X1910" s="123" t="s">
        <v>84</v>
      </c>
      <c r="Y1910" s="114" t="s">
        <v>1128</v>
      </c>
    </row>
    <row r="1911" spans="1:25" s="24" customFormat="1" ht="11.1" customHeight="1">
      <c r="A1911" s="74">
        <f t="shared" si="127"/>
        <v>1909</v>
      </c>
      <c r="B1911" s="75" t="s">
        <v>1236</v>
      </c>
      <c r="C1911" s="74" t="str">
        <f>IF($B1911&lt;&gt;"",_xlfn.IFNA(VLOOKUP($B1911,'Node Details'!$B:$U,C$1,0),"Check"),"")</f>
        <v>0000CM419-CM4190108</v>
      </c>
      <c r="D1911" s="74" t="str">
        <f>IF($B1911&lt;&gt;"",_xlfn.IFNA(VLOOKUP($B1911,'Node Details'!$B:$U,D$1,0),"Check"),"")</f>
        <v>CM4</v>
      </c>
      <c r="E1911" s="74" t="str">
        <f>IF($B1911&lt;&gt;"",_xlfn.IFNA(VLOOKUP($B1911,'Node Details'!$B:$U,E$1,0),"Check"),"")</f>
        <v>Airtel</v>
      </c>
      <c r="F1911" s="76">
        <v>46148</v>
      </c>
      <c r="G1911" s="74"/>
      <c r="H1911" s="10" t="s">
        <v>1250</v>
      </c>
      <c r="I1911" s="9">
        <v>2</v>
      </c>
      <c r="J1911" s="9">
        <v>150</v>
      </c>
      <c r="K1911" s="77">
        <f t="shared" si="128"/>
        <v>300</v>
      </c>
      <c r="L1911" s="76">
        <v>46142</v>
      </c>
      <c r="N1911" s="83"/>
      <c r="O1911" s="84"/>
      <c r="P1911" s="81"/>
      <c r="Q1911" s="81"/>
      <c r="R1911" s="81"/>
      <c r="S1911" s="81"/>
      <c r="T1911" s="85"/>
      <c r="U1911" s="81"/>
      <c r="V1911" s="81"/>
      <c r="W1911" s="123">
        <f t="shared" si="129"/>
        <v>0</v>
      </c>
      <c r="X1911" s="123" t="s">
        <v>84</v>
      </c>
      <c r="Y1911" s="114" t="s">
        <v>1128</v>
      </c>
    </row>
    <row r="1912" spans="1:25" s="24" customFormat="1" ht="11.1" customHeight="1">
      <c r="A1912" s="74">
        <f t="shared" si="127"/>
        <v>1910</v>
      </c>
      <c r="B1912" s="75" t="s">
        <v>937</v>
      </c>
      <c r="C1912" s="74" t="str">
        <f>IF($B1912&lt;&gt;"",_xlfn.IFNA(VLOOKUP($B1912,'Node Details'!$B:$U,C$1,0),"Check"),"")</f>
        <v>0000CM419-CM4190108</v>
      </c>
      <c r="D1912" s="74" t="str">
        <f>IF($B1912&lt;&gt;"",_xlfn.IFNA(VLOOKUP($B1912,'Node Details'!$B:$U,D$1,0),"Check"),"")</f>
        <v>CM4</v>
      </c>
      <c r="E1912" s="74" t="str">
        <f>IF($B1912&lt;&gt;"",_xlfn.IFNA(VLOOKUP($B1912,'Node Details'!$B:$U,E$1,0),"Check"),"")</f>
        <v>Airtel</v>
      </c>
      <c r="F1912" s="76">
        <v>46148</v>
      </c>
      <c r="G1912" s="74"/>
      <c r="H1912" s="10" t="s">
        <v>1250</v>
      </c>
      <c r="I1912" s="9">
        <v>2</v>
      </c>
      <c r="J1912" s="9">
        <v>150</v>
      </c>
      <c r="K1912" s="77">
        <f t="shared" si="128"/>
        <v>300</v>
      </c>
      <c r="L1912" s="76">
        <v>46142</v>
      </c>
      <c r="N1912" s="83"/>
      <c r="O1912" s="84"/>
      <c r="P1912" s="81"/>
      <c r="Q1912" s="81"/>
      <c r="R1912" s="81"/>
      <c r="S1912" s="81"/>
      <c r="T1912" s="85"/>
      <c r="U1912" s="81"/>
      <c r="V1912" s="81"/>
      <c r="W1912" s="123">
        <f t="shared" si="129"/>
        <v>0</v>
      </c>
      <c r="X1912" s="123" t="s">
        <v>84</v>
      </c>
      <c r="Y1912" s="114" t="s">
        <v>1128</v>
      </c>
    </row>
    <row r="1913" spans="1:25" s="24" customFormat="1" ht="11.1" customHeight="1">
      <c r="A1913" s="74">
        <f t="shared" si="127"/>
        <v>1911</v>
      </c>
      <c r="B1913" s="75" t="s">
        <v>939</v>
      </c>
      <c r="C1913" s="74" t="str">
        <f>IF($B1913&lt;&gt;"",_xlfn.IFNA(VLOOKUP($B1913,'Node Details'!$B:$U,C$1,0),"Check"),"")</f>
        <v>0000CM419-CM4190102</v>
      </c>
      <c r="D1913" s="74" t="str">
        <f>IF($B1913&lt;&gt;"",_xlfn.IFNA(VLOOKUP($B1913,'Node Details'!$B:$U,D$1,0),"Check"),"")</f>
        <v>CM4</v>
      </c>
      <c r="E1913" s="74" t="str">
        <f>IF($B1913&lt;&gt;"",_xlfn.IFNA(VLOOKUP($B1913,'Node Details'!$B:$U,E$1,0),"Check"),"")</f>
        <v>Airtel</v>
      </c>
      <c r="F1913" s="76">
        <v>46148</v>
      </c>
      <c r="G1913" s="74"/>
      <c r="H1913" s="10" t="s">
        <v>1250</v>
      </c>
      <c r="I1913" s="9">
        <v>2</v>
      </c>
      <c r="J1913" s="9">
        <v>150</v>
      </c>
      <c r="K1913" s="77">
        <f t="shared" si="128"/>
        <v>300</v>
      </c>
      <c r="L1913" s="76">
        <v>46142</v>
      </c>
      <c r="N1913" s="83"/>
      <c r="O1913" s="84"/>
      <c r="P1913" s="81"/>
      <c r="Q1913" s="81"/>
      <c r="R1913" s="81"/>
      <c r="S1913" s="81"/>
      <c r="T1913" s="85"/>
      <c r="U1913" s="81"/>
      <c r="V1913" s="81"/>
      <c r="W1913" s="123">
        <f t="shared" si="129"/>
        <v>0</v>
      </c>
      <c r="X1913" s="123" t="s">
        <v>84</v>
      </c>
      <c r="Y1913" s="114" t="s">
        <v>1128</v>
      </c>
    </row>
    <row r="1914" spans="1:25" s="24" customFormat="1" ht="11.1" customHeight="1">
      <c r="A1914" s="74">
        <f t="shared" si="127"/>
        <v>1912</v>
      </c>
      <c r="B1914" s="75" t="s">
        <v>941</v>
      </c>
      <c r="C1914" s="74" t="str">
        <f>IF($B1914&lt;&gt;"",_xlfn.IFNA(VLOOKUP($B1914,'Node Details'!$B:$U,C$1,0),"Check"),"")</f>
        <v>000000CM4-0000CM421</v>
      </c>
      <c r="D1914" s="74" t="str">
        <f>IF($B1914&lt;&gt;"",_xlfn.IFNA(VLOOKUP($B1914,'Node Details'!$B:$U,D$1,0),"Check"),"")</f>
        <v>CM4</v>
      </c>
      <c r="E1914" s="74" t="str">
        <f>IF($B1914&lt;&gt;"",_xlfn.IFNA(VLOOKUP($B1914,'Node Details'!$B:$U,E$1,0),"Check"),"")</f>
        <v>Airtel</v>
      </c>
      <c r="F1914" s="76">
        <v>46148</v>
      </c>
      <c r="G1914" s="74"/>
      <c r="H1914" s="10" t="s">
        <v>1250</v>
      </c>
      <c r="I1914" s="9">
        <v>2</v>
      </c>
      <c r="J1914" s="9">
        <v>150</v>
      </c>
      <c r="K1914" s="77">
        <f t="shared" si="128"/>
        <v>300</v>
      </c>
      <c r="L1914" s="76">
        <v>46142</v>
      </c>
      <c r="N1914" s="83"/>
      <c r="O1914" s="84"/>
      <c r="P1914" s="81"/>
      <c r="Q1914" s="81"/>
      <c r="R1914" s="81"/>
      <c r="S1914" s="81"/>
      <c r="T1914" s="85"/>
      <c r="U1914" s="81"/>
      <c r="V1914" s="81"/>
      <c r="W1914" s="123">
        <f t="shared" si="129"/>
        <v>0</v>
      </c>
      <c r="X1914" s="123" t="s">
        <v>84</v>
      </c>
      <c r="Y1914" s="114" t="s">
        <v>1128</v>
      </c>
    </row>
    <row r="1915" spans="1:25" s="24" customFormat="1" ht="11.1" customHeight="1">
      <c r="A1915" s="74">
        <f t="shared" si="127"/>
        <v>1913</v>
      </c>
      <c r="B1915" s="75" t="s">
        <v>1237</v>
      </c>
      <c r="C1915" s="74" t="str">
        <f>IF($B1915&lt;&gt;"",_xlfn.IFNA(VLOOKUP($B1915,'Node Details'!$B:$U,C$1,0),"Check"),"")</f>
        <v>0000CM420-CM4200104</v>
      </c>
      <c r="D1915" s="74" t="str">
        <f>IF($B1915&lt;&gt;"",_xlfn.IFNA(VLOOKUP($B1915,'Node Details'!$B:$U,D$1,0),"Check"),"")</f>
        <v>CM4</v>
      </c>
      <c r="E1915" s="74" t="str">
        <f>IF($B1915&lt;&gt;"",_xlfn.IFNA(VLOOKUP($B1915,'Node Details'!$B:$U,E$1,0),"Check"),"")</f>
        <v>Airtel</v>
      </c>
      <c r="F1915" s="76">
        <v>46148</v>
      </c>
      <c r="G1915" s="74"/>
      <c r="H1915" s="10" t="s">
        <v>1250</v>
      </c>
      <c r="I1915" s="9">
        <v>2</v>
      </c>
      <c r="J1915" s="9">
        <v>150</v>
      </c>
      <c r="K1915" s="77">
        <f t="shared" si="128"/>
        <v>300</v>
      </c>
      <c r="L1915" s="76">
        <v>46142</v>
      </c>
      <c r="N1915" s="83"/>
      <c r="O1915" s="84"/>
      <c r="P1915" s="81"/>
      <c r="Q1915" s="81"/>
      <c r="R1915" s="81"/>
      <c r="S1915" s="81"/>
      <c r="T1915" s="85"/>
      <c r="U1915" s="81"/>
      <c r="V1915" s="81"/>
      <c r="W1915" s="123">
        <f t="shared" si="129"/>
        <v>0</v>
      </c>
      <c r="X1915" s="123" t="s">
        <v>84</v>
      </c>
      <c r="Y1915" s="114" t="s">
        <v>1128</v>
      </c>
    </row>
    <row r="1916" spans="1:25" s="24" customFormat="1" ht="11.1" customHeight="1">
      <c r="A1916" s="74">
        <f t="shared" si="127"/>
        <v>1914</v>
      </c>
      <c r="B1916" s="75" t="s">
        <v>942</v>
      </c>
      <c r="C1916" s="74" t="str">
        <f>IF($B1916&lt;&gt;"",_xlfn.IFNA(VLOOKUP($B1916,'Node Details'!$B:$U,C$1,0),"Check"),"")</f>
        <v>0000CM420-CM4200104</v>
      </c>
      <c r="D1916" s="74" t="str">
        <f>IF($B1916&lt;&gt;"",_xlfn.IFNA(VLOOKUP($B1916,'Node Details'!$B:$U,D$1,0),"Check"),"")</f>
        <v>CM4</v>
      </c>
      <c r="E1916" s="74" t="str">
        <f>IF($B1916&lt;&gt;"",_xlfn.IFNA(VLOOKUP($B1916,'Node Details'!$B:$U,E$1,0),"Check"),"")</f>
        <v>Airtel</v>
      </c>
      <c r="F1916" s="76">
        <v>46148</v>
      </c>
      <c r="G1916" s="74"/>
      <c r="H1916" s="10" t="s">
        <v>1250</v>
      </c>
      <c r="I1916" s="9">
        <v>2</v>
      </c>
      <c r="J1916" s="9">
        <v>150</v>
      </c>
      <c r="K1916" s="77">
        <f t="shared" si="128"/>
        <v>300</v>
      </c>
      <c r="L1916" s="76">
        <v>46142</v>
      </c>
      <c r="N1916" s="83"/>
      <c r="O1916" s="84"/>
      <c r="P1916" s="81"/>
      <c r="Q1916" s="81"/>
      <c r="R1916" s="81"/>
      <c r="S1916" s="81"/>
      <c r="T1916" s="85"/>
      <c r="U1916" s="81"/>
      <c r="V1916" s="81"/>
      <c r="W1916" s="123">
        <f t="shared" si="129"/>
        <v>0</v>
      </c>
      <c r="X1916" s="123" t="s">
        <v>84</v>
      </c>
      <c r="Y1916" s="114" t="s">
        <v>1128</v>
      </c>
    </row>
    <row r="1917" spans="1:25" s="24" customFormat="1" ht="11.1" customHeight="1">
      <c r="A1917" s="74">
        <f t="shared" si="127"/>
        <v>1915</v>
      </c>
      <c r="B1917" s="75" t="s">
        <v>1238</v>
      </c>
      <c r="C1917" s="74" t="str">
        <f>IF($B1917&lt;&gt;"",_xlfn.IFNA(VLOOKUP($B1917,'Node Details'!$B:$U,C$1,0),"Check"),"")</f>
        <v>0000CM420-CM4200102</v>
      </c>
      <c r="D1917" s="74" t="str">
        <f>IF($B1917&lt;&gt;"",_xlfn.IFNA(VLOOKUP($B1917,'Node Details'!$B:$U,D$1,0),"Check"),"")</f>
        <v>CM4</v>
      </c>
      <c r="E1917" s="74" t="str">
        <f>IF($B1917&lt;&gt;"",_xlfn.IFNA(VLOOKUP($B1917,'Node Details'!$B:$U,E$1,0),"Check"),"")</f>
        <v>Airtel</v>
      </c>
      <c r="F1917" s="76">
        <v>46148</v>
      </c>
      <c r="G1917" s="74"/>
      <c r="H1917" s="10" t="s">
        <v>1250</v>
      </c>
      <c r="I1917" s="9">
        <v>2</v>
      </c>
      <c r="J1917" s="9">
        <v>150</v>
      </c>
      <c r="K1917" s="77">
        <f t="shared" si="128"/>
        <v>300</v>
      </c>
      <c r="L1917" s="76">
        <v>46142</v>
      </c>
      <c r="N1917" s="83"/>
      <c r="O1917" s="84"/>
      <c r="P1917" s="81"/>
      <c r="Q1917" s="81"/>
      <c r="R1917" s="81"/>
      <c r="S1917" s="81"/>
      <c r="T1917" s="85"/>
      <c r="U1917" s="81"/>
      <c r="V1917" s="81"/>
      <c r="W1917" s="123">
        <f t="shared" si="129"/>
        <v>0</v>
      </c>
      <c r="X1917" s="123" t="s">
        <v>84</v>
      </c>
      <c r="Y1917" s="114" t="s">
        <v>1128</v>
      </c>
    </row>
    <row r="1918" spans="1:25" s="24" customFormat="1" ht="11.1" customHeight="1">
      <c r="A1918" s="74">
        <f t="shared" si="127"/>
        <v>1916</v>
      </c>
      <c r="B1918" s="75" t="s">
        <v>944</v>
      </c>
      <c r="C1918" s="74" t="str">
        <f>IF($B1918&lt;&gt;"",_xlfn.IFNA(VLOOKUP($B1918,'Node Details'!$B:$U,C$1,0),"Check"),"")</f>
        <v>0000CM420-CM4200102</v>
      </c>
      <c r="D1918" s="74" t="str">
        <f>IF($B1918&lt;&gt;"",_xlfn.IFNA(VLOOKUP($B1918,'Node Details'!$B:$U,D$1,0),"Check"),"")</f>
        <v>CM4</v>
      </c>
      <c r="E1918" s="74" t="str">
        <f>IF($B1918&lt;&gt;"",_xlfn.IFNA(VLOOKUP($B1918,'Node Details'!$B:$U,E$1,0),"Check"),"")</f>
        <v>Airtel</v>
      </c>
      <c r="F1918" s="76">
        <v>46148</v>
      </c>
      <c r="G1918" s="74"/>
      <c r="H1918" s="10" t="s">
        <v>1250</v>
      </c>
      <c r="I1918" s="9">
        <v>2</v>
      </c>
      <c r="J1918" s="9">
        <v>150</v>
      </c>
      <c r="K1918" s="77">
        <f t="shared" si="128"/>
        <v>300</v>
      </c>
      <c r="L1918" s="76">
        <v>46142</v>
      </c>
      <c r="N1918" s="83"/>
      <c r="O1918" s="84"/>
      <c r="P1918" s="81"/>
      <c r="Q1918" s="81"/>
      <c r="R1918" s="81"/>
      <c r="S1918" s="81"/>
      <c r="T1918" s="85"/>
      <c r="U1918" s="81"/>
      <c r="V1918" s="81"/>
      <c r="W1918" s="123">
        <f t="shared" si="129"/>
        <v>0</v>
      </c>
      <c r="X1918" s="123" t="s">
        <v>84</v>
      </c>
      <c r="Y1918" s="114" t="s">
        <v>1128</v>
      </c>
    </row>
    <row r="1919" spans="1:25" s="24" customFormat="1" ht="11.1" customHeight="1">
      <c r="A1919" s="74">
        <f t="shared" si="127"/>
        <v>1917</v>
      </c>
      <c r="B1919" s="75" t="s">
        <v>946</v>
      </c>
      <c r="C1919" s="74" t="str">
        <f>IF($B1919&lt;&gt;"",_xlfn.IFNA(VLOOKUP($B1919,'Node Details'!$B:$U,C$1,0),"Check"),"")</f>
        <v>0000CM420-CM4200108</v>
      </c>
      <c r="D1919" s="74" t="str">
        <f>IF($B1919&lt;&gt;"",_xlfn.IFNA(VLOOKUP($B1919,'Node Details'!$B:$U,D$1,0),"Check"),"")</f>
        <v>CM4</v>
      </c>
      <c r="E1919" s="74" t="str">
        <f>IF($B1919&lt;&gt;"",_xlfn.IFNA(VLOOKUP($B1919,'Node Details'!$B:$U,E$1,0),"Check"),"")</f>
        <v>Airtel</v>
      </c>
      <c r="F1919" s="76">
        <v>46148</v>
      </c>
      <c r="G1919" s="74"/>
      <c r="H1919" s="10" t="s">
        <v>1250</v>
      </c>
      <c r="I1919" s="9">
        <v>2</v>
      </c>
      <c r="J1919" s="9">
        <v>150</v>
      </c>
      <c r="K1919" s="77">
        <f t="shared" si="128"/>
        <v>300</v>
      </c>
      <c r="L1919" s="76">
        <v>46142</v>
      </c>
      <c r="N1919" s="83"/>
      <c r="O1919" s="84"/>
      <c r="P1919" s="81"/>
      <c r="Q1919" s="81"/>
      <c r="R1919" s="81"/>
      <c r="S1919" s="81"/>
      <c r="T1919" s="85"/>
      <c r="U1919" s="81"/>
      <c r="V1919" s="81"/>
      <c r="W1919" s="123">
        <f t="shared" si="129"/>
        <v>0</v>
      </c>
      <c r="X1919" s="123" t="s">
        <v>84</v>
      </c>
      <c r="Y1919" s="114" t="s">
        <v>1128</v>
      </c>
    </row>
    <row r="1920" spans="1:25" s="24" customFormat="1" ht="11.1" customHeight="1">
      <c r="A1920" s="74">
        <f t="shared" si="127"/>
        <v>1918</v>
      </c>
      <c r="B1920" s="75" t="s">
        <v>948</v>
      </c>
      <c r="C1920" s="74" t="str">
        <f>IF($B1920&lt;&gt;"",_xlfn.IFNA(VLOOKUP($B1920,'Node Details'!$B:$U,C$1,0),"Check"),"")</f>
        <v>0000CM420-CM4200106</v>
      </c>
      <c r="D1920" s="74" t="str">
        <f>IF($B1920&lt;&gt;"",_xlfn.IFNA(VLOOKUP($B1920,'Node Details'!$B:$U,D$1,0),"Check"),"")</f>
        <v>CM4</v>
      </c>
      <c r="E1920" s="74" t="str">
        <f>IF($B1920&lt;&gt;"",_xlfn.IFNA(VLOOKUP($B1920,'Node Details'!$B:$U,E$1,0),"Check"),"")</f>
        <v>Airtel</v>
      </c>
      <c r="F1920" s="76">
        <v>46148</v>
      </c>
      <c r="G1920" s="74"/>
      <c r="H1920" s="10" t="s">
        <v>1250</v>
      </c>
      <c r="I1920" s="9">
        <v>2</v>
      </c>
      <c r="J1920" s="9">
        <v>150</v>
      </c>
      <c r="K1920" s="77">
        <f t="shared" si="128"/>
        <v>300</v>
      </c>
      <c r="L1920" s="76">
        <v>46142</v>
      </c>
      <c r="N1920" s="83"/>
      <c r="O1920" s="84"/>
      <c r="P1920" s="81"/>
      <c r="Q1920" s="81"/>
      <c r="R1920" s="81"/>
      <c r="S1920" s="81"/>
      <c r="T1920" s="85"/>
      <c r="U1920" s="81"/>
      <c r="V1920" s="81"/>
      <c r="W1920" s="123">
        <f t="shared" si="129"/>
        <v>0</v>
      </c>
      <c r="X1920" s="123" t="s">
        <v>84</v>
      </c>
      <c r="Y1920" s="114" t="s">
        <v>1128</v>
      </c>
    </row>
    <row r="1921" spans="1:25" s="24" customFormat="1" ht="11.1" customHeight="1">
      <c r="A1921" s="74">
        <f t="shared" si="127"/>
        <v>1919</v>
      </c>
      <c r="B1921" s="75" t="s">
        <v>818</v>
      </c>
      <c r="C1921" s="74" t="str">
        <f>IF($B1921&lt;&gt;"",_xlfn.IFNA(VLOOKUP($B1921,'Node Details'!$B:$U,C$1,0),"Check"),"")</f>
        <v>000000CM4-0000CM421</v>
      </c>
      <c r="D1921" s="74" t="str">
        <f>IF($B1921&lt;&gt;"",_xlfn.IFNA(VLOOKUP($B1921,'Node Details'!$B:$U,D$1,0),"Check"),"")</f>
        <v>CM4</v>
      </c>
      <c r="E1921" s="74" t="str">
        <f>IF($B1921&lt;&gt;"",_xlfn.IFNA(VLOOKUP($B1921,'Node Details'!$B:$U,E$1,0),"Check"),"")</f>
        <v>Airtel</v>
      </c>
      <c r="F1921" s="76">
        <v>46148</v>
      </c>
      <c r="G1921" s="74"/>
      <c r="H1921" s="10" t="s">
        <v>1250</v>
      </c>
      <c r="I1921" s="9">
        <v>2</v>
      </c>
      <c r="J1921" s="9">
        <v>150</v>
      </c>
      <c r="K1921" s="77">
        <f t="shared" si="128"/>
        <v>300</v>
      </c>
      <c r="L1921" s="76">
        <v>46142</v>
      </c>
      <c r="N1921" s="83"/>
      <c r="O1921" s="84"/>
      <c r="P1921" s="81"/>
      <c r="Q1921" s="81"/>
      <c r="R1921" s="81"/>
      <c r="S1921" s="81"/>
      <c r="T1921" s="85"/>
      <c r="U1921" s="81"/>
      <c r="V1921" s="81"/>
      <c r="W1921" s="123">
        <f t="shared" si="129"/>
        <v>0</v>
      </c>
      <c r="X1921" s="123" t="s">
        <v>84</v>
      </c>
      <c r="Y1921" s="114" t="s">
        <v>1128</v>
      </c>
    </row>
    <row r="1922" spans="1:25" s="24" customFormat="1" ht="11.1" customHeight="1">
      <c r="A1922" s="74">
        <f t="shared" si="127"/>
        <v>1920</v>
      </c>
      <c r="B1922" s="75" t="s">
        <v>950</v>
      </c>
      <c r="C1922" s="74" t="str">
        <f>IF($B1922&lt;&gt;"",_xlfn.IFNA(VLOOKUP($B1922,'Node Details'!$B:$U,C$1,0),"Check"),"")</f>
        <v>0000CM421-CM4210101</v>
      </c>
      <c r="D1922" s="74" t="str">
        <f>IF($B1922&lt;&gt;"",_xlfn.IFNA(VLOOKUP($B1922,'Node Details'!$B:$U,D$1,0),"Check"),"")</f>
        <v>CM4</v>
      </c>
      <c r="E1922" s="74" t="str">
        <f>IF($B1922&lt;&gt;"",_xlfn.IFNA(VLOOKUP($B1922,'Node Details'!$B:$U,E$1,0),"Check"),"")</f>
        <v>Airtel</v>
      </c>
      <c r="F1922" s="76">
        <v>46148</v>
      </c>
      <c r="G1922" s="74"/>
      <c r="H1922" s="10" t="s">
        <v>1250</v>
      </c>
      <c r="I1922" s="9">
        <v>2</v>
      </c>
      <c r="J1922" s="9">
        <v>150</v>
      </c>
      <c r="K1922" s="77">
        <f t="shared" si="128"/>
        <v>300</v>
      </c>
      <c r="L1922" s="76">
        <v>46142</v>
      </c>
      <c r="N1922" s="83"/>
      <c r="O1922" s="84"/>
      <c r="P1922" s="81"/>
      <c r="Q1922" s="81"/>
      <c r="R1922" s="81"/>
      <c r="S1922" s="81"/>
      <c r="T1922" s="85"/>
      <c r="U1922" s="81"/>
      <c r="V1922" s="81"/>
      <c r="W1922" s="123">
        <f t="shared" si="129"/>
        <v>0</v>
      </c>
      <c r="X1922" s="123" t="s">
        <v>84</v>
      </c>
      <c r="Y1922" s="114" t="s">
        <v>1128</v>
      </c>
    </row>
    <row r="1923" spans="1:25" s="24" customFormat="1" ht="11.1" customHeight="1">
      <c r="A1923" s="74">
        <f t="shared" si="127"/>
        <v>1921</v>
      </c>
      <c r="B1923" s="75" t="s">
        <v>1239</v>
      </c>
      <c r="C1923" s="74" t="str">
        <f>IF($B1923&lt;&gt;"",_xlfn.IFNA(VLOOKUP($B1923,'Node Details'!$B:$U,C$1,0),"Check"),"")</f>
        <v>0000CM421-CM4210104</v>
      </c>
      <c r="D1923" s="74" t="str">
        <f>IF($B1923&lt;&gt;"",_xlfn.IFNA(VLOOKUP($B1923,'Node Details'!$B:$U,D$1,0),"Check"),"")</f>
        <v>CM4</v>
      </c>
      <c r="E1923" s="74" t="str">
        <f>IF($B1923&lt;&gt;"",_xlfn.IFNA(VLOOKUP($B1923,'Node Details'!$B:$U,E$1,0),"Check"),"")</f>
        <v>Airtel</v>
      </c>
      <c r="F1923" s="76">
        <v>46148</v>
      </c>
      <c r="G1923" s="74"/>
      <c r="H1923" s="10" t="s">
        <v>1250</v>
      </c>
      <c r="I1923" s="9">
        <v>2</v>
      </c>
      <c r="J1923" s="9">
        <v>150</v>
      </c>
      <c r="K1923" s="77">
        <f t="shared" si="128"/>
        <v>300</v>
      </c>
      <c r="L1923" s="76">
        <v>46142</v>
      </c>
      <c r="N1923" s="83"/>
      <c r="O1923" s="84"/>
      <c r="P1923" s="81"/>
      <c r="Q1923" s="81"/>
      <c r="R1923" s="81"/>
      <c r="S1923" s="81"/>
      <c r="T1923" s="85"/>
      <c r="U1923" s="81"/>
      <c r="V1923" s="81"/>
      <c r="W1923" s="123">
        <f t="shared" si="129"/>
        <v>0</v>
      </c>
      <c r="X1923" s="123" t="s">
        <v>84</v>
      </c>
      <c r="Y1923" s="114" t="s">
        <v>1128</v>
      </c>
    </row>
    <row r="1924" spans="1:25" s="24" customFormat="1" ht="11.1" customHeight="1">
      <c r="A1924" s="74">
        <f t="shared" ref="A1924:A1926" si="130">A1923+1</f>
        <v>1922</v>
      </c>
      <c r="B1924" s="75" t="s">
        <v>1240</v>
      </c>
      <c r="C1924" s="74" t="str">
        <f>IF($B1924&lt;&gt;"",_xlfn.IFNA(VLOOKUP($B1924,'Node Details'!$B:$U,C$1,0),"Check"),"")</f>
        <v>0000CM421-CM4210104</v>
      </c>
      <c r="D1924" s="74" t="str">
        <f>IF($B1924&lt;&gt;"",_xlfn.IFNA(VLOOKUP($B1924,'Node Details'!$B:$U,D$1,0),"Check"),"")</f>
        <v>CM4</v>
      </c>
      <c r="E1924" s="74" t="str">
        <f>IF($B1924&lt;&gt;"",_xlfn.IFNA(VLOOKUP($B1924,'Node Details'!$B:$U,E$1,0),"Check"),"")</f>
        <v>Airtel</v>
      </c>
      <c r="F1924" s="76">
        <v>46148</v>
      </c>
      <c r="G1924" s="74"/>
      <c r="H1924" s="10" t="s">
        <v>1250</v>
      </c>
      <c r="I1924" s="9">
        <v>2</v>
      </c>
      <c r="J1924" s="9">
        <v>150</v>
      </c>
      <c r="K1924" s="77">
        <f t="shared" si="128"/>
        <v>300</v>
      </c>
      <c r="L1924" s="76">
        <v>46142</v>
      </c>
      <c r="N1924" s="83"/>
      <c r="O1924" s="84"/>
      <c r="P1924" s="81"/>
      <c r="Q1924" s="81"/>
      <c r="R1924" s="81"/>
      <c r="S1924" s="81"/>
      <c r="T1924" s="85"/>
      <c r="U1924" s="81"/>
      <c r="V1924" s="81"/>
      <c r="W1924" s="123">
        <f t="shared" si="129"/>
        <v>0</v>
      </c>
      <c r="X1924" s="123" t="s">
        <v>84</v>
      </c>
      <c r="Y1924" s="114" t="s">
        <v>1128</v>
      </c>
    </row>
    <row r="1925" spans="1:25" s="24" customFormat="1" ht="11.1" customHeight="1">
      <c r="A1925" s="74">
        <f t="shared" si="130"/>
        <v>1923</v>
      </c>
      <c r="B1925" s="75" t="s">
        <v>952</v>
      </c>
      <c r="C1925" s="74" t="str">
        <f>IF($B1925&lt;&gt;"",_xlfn.IFNA(VLOOKUP($B1925,'Node Details'!$B:$U,C$1,0),"Check"),"")</f>
        <v>0000CM421-CM4210104</v>
      </c>
      <c r="D1925" s="74" t="str">
        <f>IF($B1925&lt;&gt;"",_xlfn.IFNA(VLOOKUP($B1925,'Node Details'!$B:$U,D$1,0),"Check"),"")</f>
        <v>CM4</v>
      </c>
      <c r="E1925" s="74" t="str">
        <f>IF($B1925&lt;&gt;"",_xlfn.IFNA(VLOOKUP($B1925,'Node Details'!$B:$U,E$1,0),"Check"),"")</f>
        <v>Airtel</v>
      </c>
      <c r="F1925" s="76">
        <v>46148</v>
      </c>
      <c r="G1925" s="74"/>
      <c r="H1925" s="10" t="s">
        <v>1250</v>
      </c>
      <c r="I1925" s="9">
        <v>2</v>
      </c>
      <c r="J1925" s="9">
        <v>150</v>
      </c>
      <c r="K1925" s="77">
        <f t="shared" si="128"/>
        <v>300</v>
      </c>
      <c r="L1925" s="76">
        <v>46142</v>
      </c>
      <c r="N1925" s="83"/>
      <c r="O1925" s="84"/>
      <c r="P1925" s="81"/>
      <c r="Q1925" s="81"/>
      <c r="R1925" s="81"/>
      <c r="S1925" s="81"/>
      <c r="T1925" s="85"/>
      <c r="U1925" s="81"/>
      <c r="V1925" s="81"/>
      <c r="W1925" s="123">
        <f t="shared" si="129"/>
        <v>0</v>
      </c>
      <c r="X1925" s="123" t="s">
        <v>84</v>
      </c>
      <c r="Y1925" s="114" t="s">
        <v>1128</v>
      </c>
    </row>
    <row r="1926" spans="1:25" s="24" customFormat="1" ht="11.1" customHeight="1">
      <c r="A1926" s="74">
        <f t="shared" si="130"/>
        <v>1924</v>
      </c>
      <c r="B1926" s="75" t="s">
        <v>954</v>
      </c>
      <c r="C1926" s="74" t="str">
        <f>IF($B1926&lt;&gt;"",_xlfn.IFNA(VLOOKUP($B1926,'Node Details'!$B:$U,C$1,0),"Check"),"")</f>
        <v>0000CM421-CM4210105</v>
      </c>
      <c r="D1926" s="74" t="str">
        <f>IF($B1926&lt;&gt;"",_xlfn.IFNA(VLOOKUP($B1926,'Node Details'!$B:$U,D$1,0),"Check"),"")</f>
        <v>CM4</v>
      </c>
      <c r="E1926" s="74" t="str">
        <f>IF($B1926&lt;&gt;"",_xlfn.IFNA(VLOOKUP($B1926,'Node Details'!$B:$U,E$1,0),"Check"),"")</f>
        <v>Airtel</v>
      </c>
      <c r="F1926" s="76">
        <v>46148</v>
      </c>
      <c r="G1926" s="74"/>
      <c r="H1926" s="10" t="s">
        <v>1250</v>
      </c>
      <c r="I1926" s="9">
        <v>2</v>
      </c>
      <c r="J1926" s="9">
        <v>150</v>
      </c>
      <c r="K1926" s="77">
        <f t="shared" si="128"/>
        <v>300</v>
      </c>
      <c r="L1926" s="76">
        <v>46142</v>
      </c>
      <c r="N1926" s="83"/>
      <c r="O1926" s="84"/>
      <c r="P1926" s="81"/>
      <c r="Q1926" s="81"/>
      <c r="R1926" s="81"/>
      <c r="S1926" s="81"/>
      <c r="T1926" s="85"/>
      <c r="U1926" s="81"/>
      <c r="V1926" s="81"/>
      <c r="W1926" s="123">
        <f t="shared" si="129"/>
        <v>0</v>
      </c>
      <c r="X1926" s="123" t="s">
        <v>84</v>
      </c>
      <c r="Y1926" s="114" t="s">
        <v>1128</v>
      </c>
    </row>
  </sheetData>
  <autoFilter ref="A2:X1926" xr:uid="{00000000-0001-0000-0500-000000000000}"/>
  <conditionalFormatting sqref="B3:B57">
    <cfRule type="duplicateValues" dxfId="3" priority="11"/>
  </conditionalFormatting>
  <conditionalFormatting sqref="B69:B1141 B1143:B1292 B1294:B1450 B1452:B1926">
    <cfRule type="duplicateValues" dxfId="2" priority="63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736"/>
  <sheetViews>
    <sheetView zoomScaleNormal="100" workbookViewId="0">
      <pane ySplit="2" topLeftCell="A1708" activePane="bottomLeft" state="frozen"/>
      <selection pane="bottomLeft" activeCell="X1736" sqref="X1736"/>
    </sheetView>
  </sheetViews>
  <sheetFormatPr defaultRowHeight="15" customHeight="1"/>
  <cols>
    <col min="1" max="1" width="11.42578125" style="9" bestFit="1" customWidth="1"/>
    <col min="2" max="2" width="20.85546875" style="9" bestFit="1" customWidth="1"/>
    <col min="3" max="3" width="23.28515625" bestFit="1" customWidth="1"/>
    <col min="4" max="4" width="14.85546875" style="9" bestFit="1" customWidth="1"/>
    <col min="5" max="5" width="15" bestFit="1" customWidth="1"/>
    <col min="6" max="6" width="15" customWidth="1"/>
    <col min="7" max="7" width="1.7109375" customWidth="1"/>
    <col min="8" max="8" width="25.85546875" bestFit="1" customWidth="1"/>
    <col min="9" max="9" width="14.28515625" style="9" bestFit="1" customWidth="1"/>
    <col min="10" max="10" width="13.85546875" style="9" bestFit="1" customWidth="1"/>
    <col min="11" max="11" width="15.140625" style="9" bestFit="1" customWidth="1"/>
    <col min="12" max="12" width="16.28515625" style="8" bestFit="1" customWidth="1"/>
    <col min="13" max="13" width="1.85546875" customWidth="1"/>
    <col min="14" max="14" width="25.85546875" style="10" bestFit="1" customWidth="1"/>
    <col min="15" max="15" width="17.7109375" style="11" bestFit="1" customWidth="1"/>
    <col min="16" max="16" width="17.5703125" style="10" bestFit="1" customWidth="1"/>
    <col min="17" max="17" width="17.42578125" style="9" bestFit="1" customWidth="1"/>
    <col min="18" max="18" width="1.7109375" style="10" customWidth="1"/>
    <col min="19" max="19" width="20" style="10" bestFit="1" customWidth="1"/>
    <col min="20" max="20" width="21.5703125" style="11" bestFit="1" customWidth="1"/>
    <col min="21" max="21" width="21.42578125" style="10" bestFit="1" customWidth="1"/>
    <col min="22" max="22" width="18.140625" style="9" bestFit="1" customWidth="1"/>
    <col min="23" max="23" width="12.85546875" bestFit="1" customWidth="1"/>
    <col min="24" max="24" width="17.5703125" style="13" bestFit="1" customWidth="1"/>
  </cols>
  <sheetData>
    <row r="1" spans="1:26" s="26" customFormat="1" ht="15" customHeight="1" thickBot="1">
      <c r="A1" s="29"/>
      <c r="B1" s="29"/>
      <c r="C1" s="26">
        <f>MATCH(C2,'Node Details'!$B$2:$U$2,0)</f>
        <v>3</v>
      </c>
      <c r="D1" s="29">
        <f>MATCH(D2,'Node Details'!$B$2:$U$2,0)</f>
        <v>9</v>
      </c>
      <c r="E1" s="26">
        <f>MATCH(E2,'Node Details'!$B$2:$U$2,0)</f>
        <v>4</v>
      </c>
      <c r="I1" s="29">
        <f>SUBTOTAL(9,I3:I1048576)</f>
        <v>5891</v>
      </c>
      <c r="J1" s="29"/>
      <c r="K1" s="29">
        <f>SUBTOTAL(9,K3:K1048576)</f>
        <v>745732</v>
      </c>
      <c r="N1" s="28"/>
      <c r="O1" s="28"/>
      <c r="P1" s="28"/>
      <c r="Q1" s="29">
        <f>SUBTOTAL(9,Q3:Q1048576)</f>
        <v>745732</v>
      </c>
      <c r="R1" s="28"/>
      <c r="S1" s="28"/>
      <c r="T1" s="28"/>
      <c r="U1" s="28"/>
      <c r="V1" s="29">
        <f>SUBTOTAL(9,V3:V1048576)</f>
        <v>5891</v>
      </c>
      <c r="W1" s="26">
        <f>SUBTOTAL(9,W3:W1048576)</f>
        <v>745732</v>
      </c>
      <c r="X1" s="27"/>
    </row>
    <row r="2" spans="1:26" s="19" customFormat="1" ht="37.5" customHeight="1">
      <c r="A2" s="40" t="s">
        <v>1251</v>
      </c>
      <c r="B2" s="64" t="s">
        <v>1241</v>
      </c>
      <c r="C2" s="65" t="s">
        <v>956</v>
      </c>
      <c r="D2" s="65" t="s">
        <v>38</v>
      </c>
      <c r="E2" s="65" t="s">
        <v>32</v>
      </c>
      <c r="F2" s="97" t="s">
        <v>41</v>
      </c>
      <c r="G2" s="22"/>
      <c r="H2" s="63" t="s">
        <v>1252</v>
      </c>
      <c r="I2" s="64" t="s">
        <v>1242</v>
      </c>
      <c r="J2" s="64" t="s">
        <v>1243</v>
      </c>
      <c r="K2" s="65" t="s">
        <v>1244</v>
      </c>
      <c r="L2" s="98" t="s">
        <v>1245</v>
      </c>
      <c r="M2" s="22"/>
      <c r="N2" s="63" t="s">
        <v>66</v>
      </c>
      <c r="O2" s="66" t="s">
        <v>67</v>
      </c>
      <c r="P2" s="65" t="s">
        <v>68</v>
      </c>
      <c r="Q2" s="69" t="s">
        <v>69</v>
      </c>
      <c r="R2" s="22"/>
      <c r="S2" s="63" t="s">
        <v>70</v>
      </c>
      <c r="T2" s="66" t="s">
        <v>71</v>
      </c>
      <c r="U2" s="65" t="s">
        <v>72</v>
      </c>
      <c r="V2" s="65" t="s">
        <v>73</v>
      </c>
      <c r="W2" s="65" t="s">
        <v>74</v>
      </c>
      <c r="X2" s="68" t="s">
        <v>1253</v>
      </c>
      <c r="Y2" s="19" t="s">
        <v>1246</v>
      </c>
      <c r="Z2" s="19" t="s">
        <v>76</v>
      </c>
    </row>
    <row r="3" spans="1:26" s="105" customFormat="1" ht="15" customHeight="1">
      <c r="A3" s="99">
        <v>1</v>
      </c>
      <c r="B3" s="75" t="s">
        <v>98</v>
      </c>
      <c r="C3" s="100" t="str">
        <f>IF($B3&lt;&gt;"",_xlfn.IFNA(VLOOKUP($B3,'Node Details'!$B:$U,C$1,0),"Check"),"")</f>
        <v>0000AXZ01-AXZ010101</v>
      </c>
      <c r="D3" s="100" t="str">
        <f>IF($B3&lt;&gt;"",_xlfn.IFNA(VLOOKUP($B3,'Node Details'!$B:$U,D$1,0),"Check"),"")</f>
        <v>AXZ</v>
      </c>
      <c r="E3" s="100" t="str">
        <f>IF($B3&lt;&gt;"",_xlfn.IFNA(VLOOKUP($B3,'Node Details'!$B:$U,E$1,0),"Check"),"")</f>
        <v>Airtel</v>
      </c>
      <c r="F3" s="101">
        <v>46110</v>
      </c>
      <c r="G3" s="100"/>
      <c r="H3" s="102" t="s">
        <v>1254</v>
      </c>
      <c r="I3" s="9">
        <v>1</v>
      </c>
      <c r="J3" s="9">
        <v>600</v>
      </c>
      <c r="K3" s="100">
        <f t="shared" ref="K3:K66" si="0">IF(I3&lt;&gt;"",J3*I3,0)</f>
        <v>600</v>
      </c>
      <c r="L3" s="78">
        <v>46110</v>
      </c>
      <c r="M3" s="103"/>
      <c r="N3" s="93" t="s">
        <v>90</v>
      </c>
      <c r="O3" s="94">
        <v>46141</v>
      </c>
      <c r="P3" s="104">
        <f t="shared" ref="P3" si="1">J3</f>
        <v>600</v>
      </c>
      <c r="Q3" s="104">
        <f t="shared" ref="Q3" si="2">P3*I3</f>
        <v>600</v>
      </c>
      <c r="R3" s="103"/>
      <c r="S3" s="93" t="s">
        <v>91</v>
      </c>
      <c r="T3" s="94">
        <v>46153</v>
      </c>
      <c r="U3" s="104">
        <f t="shared" ref="U3" si="3">J3</f>
        <v>600</v>
      </c>
      <c r="V3" s="104">
        <f t="shared" ref="V3" si="4">I3</f>
        <v>1</v>
      </c>
      <c r="W3" s="103">
        <f t="shared" ref="W3" si="5">IF(V3&lt;&gt;"",V3*U3,0)</f>
        <v>600</v>
      </c>
      <c r="X3" s="93" t="s">
        <v>89</v>
      </c>
      <c r="Y3" s="105" t="s">
        <v>84</v>
      </c>
      <c r="Z3" s="105" t="s">
        <v>93</v>
      </c>
    </row>
    <row r="4" spans="1:26" s="105" customFormat="1" ht="15" customHeight="1">
      <c r="A4" s="99">
        <f t="shared" ref="A4:A67" si="6">A3+1</f>
        <v>2</v>
      </c>
      <c r="B4" s="75" t="s">
        <v>103</v>
      </c>
      <c r="C4" s="100" t="str">
        <f>IF($B4&lt;&gt;"",_xlfn.IFNA(VLOOKUP($B4,'Node Details'!$B:$U,C$1,0),"Check"),"")</f>
        <v>0000AXZ01-AXZ010102</v>
      </c>
      <c r="D4" s="100" t="str">
        <f>IF($B4&lt;&gt;"",_xlfn.IFNA(VLOOKUP($B4,'Node Details'!$B:$U,D$1,0),"Check"),"")</f>
        <v>AXZ</v>
      </c>
      <c r="E4" s="100" t="str">
        <f>IF($B4&lt;&gt;"",_xlfn.IFNA(VLOOKUP($B4,'Node Details'!$B:$U,E$1,0),"Check"),"")</f>
        <v>Airtel</v>
      </c>
      <c r="F4" s="101">
        <v>46110</v>
      </c>
      <c r="G4" s="100"/>
      <c r="H4" s="102" t="s">
        <v>1254</v>
      </c>
      <c r="I4" s="9">
        <v>1</v>
      </c>
      <c r="J4" s="9">
        <v>600</v>
      </c>
      <c r="K4" s="100">
        <f t="shared" si="0"/>
        <v>600</v>
      </c>
      <c r="L4" s="78">
        <v>46110</v>
      </c>
      <c r="M4" s="103"/>
      <c r="N4" s="93" t="s">
        <v>90</v>
      </c>
      <c r="O4" s="94">
        <v>46141</v>
      </c>
      <c r="P4" s="104">
        <f t="shared" ref="P4:P67" si="7">J4</f>
        <v>600</v>
      </c>
      <c r="Q4" s="104">
        <f t="shared" ref="Q4:Q67" si="8">P4*I4</f>
        <v>600</v>
      </c>
      <c r="R4" s="103"/>
      <c r="S4" s="93" t="s">
        <v>91</v>
      </c>
      <c r="T4" s="94">
        <v>46153</v>
      </c>
      <c r="U4" s="104">
        <f t="shared" ref="U4:U67" si="9">J4</f>
        <v>600</v>
      </c>
      <c r="V4" s="104">
        <f t="shared" ref="V4:V67" si="10">I4</f>
        <v>1</v>
      </c>
      <c r="W4" s="103">
        <f t="shared" ref="W4:W67" si="11">IF(V4&lt;&gt;"",V4*U4,0)</f>
        <v>600</v>
      </c>
      <c r="X4" s="93" t="s">
        <v>89</v>
      </c>
      <c r="Y4" s="105" t="s">
        <v>84</v>
      </c>
      <c r="Z4" s="105" t="s">
        <v>93</v>
      </c>
    </row>
    <row r="5" spans="1:26" s="105" customFormat="1" ht="15" customHeight="1">
      <c r="A5" s="99">
        <f t="shared" si="6"/>
        <v>3</v>
      </c>
      <c r="B5" s="75" t="s">
        <v>959</v>
      </c>
      <c r="C5" s="100" t="str">
        <f>IF($B5&lt;&gt;"",_xlfn.IFNA(VLOOKUP($B5,'Node Details'!$B:$U,C$1,0),"Check"),"")</f>
        <v>0000AXZ01-AXZ010105</v>
      </c>
      <c r="D5" s="100" t="str">
        <f>IF($B5&lt;&gt;"",_xlfn.IFNA(VLOOKUP($B5,'Node Details'!$B:$U,D$1,0),"Check"),"")</f>
        <v>AXZ</v>
      </c>
      <c r="E5" s="100" t="str">
        <f>IF($B5&lt;&gt;"",_xlfn.IFNA(VLOOKUP($B5,'Node Details'!$B:$U,E$1,0),"Check"),"")</f>
        <v>Airtel</v>
      </c>
      <c r="F5" s="101">
        <v>46110</v>
      </c>
      <c r="G5" s="100"/>
      <c r="H5" s="102" t="s">
        <v>1254</v>
      </c>
      <c r="I5" s="9">
        <v>1</v>
      </c>
      <c r="J5" s="9">
        <v>600</v>
      </c>
      <c r="K5" s="100">
        <f t="shared" si="0"/>
        <v>600</v>
      </c>
      <c r="L5" s="78">
        <v>46110</v>
      </c>
      <c r="M5" s="103"/>
      <c r="N5" s="93" t="s">
        <v>90</v>
      </c>
      <c r="O5" s="94">
        <v>46141</v>
      </c>
      <c r="P5" s="104">
        <f t="shared" si="7"/>
        <v>600</v>
      </c>
      <c r="Q5" s="104">
        <f t="shared" si="8"/>
        <v>600</v>
      </c>
      <c r="R5" s="103"/>
      <c r="S5" s="93" t="s">
        <v>91</v>
      </c>
      <c r="T5" s="94">
        <v>46153</v>
      </c>
      <c r="U5" s="104">
        <f t="shared" si="9"/>
        <v>600</v>
      </c>
      <c r="V5" s="104">
        <f t="shared" si="10"/>
        <v>1</v>
      </c>
      <c r="W5" s="103">
        <f t="shared" si="11"/>
        <v>600</v>
      </c>
      <c r="X5" s="93" t="s">
        <v>89</v>
      </c>
      <c r="Y5" s="105" t="s">
        <v>84</v>
      </c>
      <c r="Z5" s="105" t="s">
        <v>93</v>
      </c>
    </row>
    <row r="6" spans="1:26" s="105" customFormat="1" ht="15" customHeight="1">
      <c r="A6" s="99">
        <f t="shared" si="6"/>
        <v>4</v>
      </c>
      <c r="B6" s="75" t="s">
        <v>960</v>
      </c>
      <c r="C6" s="100" t="str">
        <f>IF($B6&lt;&gt;"",_xlfn.IFNA(VLOOKUP($B6,'Node Details'!$B:$U,C$1,0),"Check"),"")</f>
        <v>0000AXZ01-AXZ010105</v>
      </c>
      <c r="D6" s="100" t="str">
        <f>IF($B6&lt;&gt;"",_xlfn.IFNA(VLOOKUP($B6,'Node Details'!$B:$U,D$1,0),"Check"),"")</f>
        <v>AXZ</v>
      </c>
      <c r="E6" s="100" t="str">
        <f>IF($B6&lt;&gt;"",_xlfn.IFNA(VLOOKUP($B6,'Node Details'!$B:$U,E$1,0),"Check"),"")</f>
        <v>Airtel</v>
      </c>
      <c r="F6" s="101">
        <v>46110</v>
      </c>
      <c r="G6" s="100"/>
      <c r="H6" s="102" t="s">
        <v>1254</v>
      </c>
      <c r="I6" s="9">
        <v>1</v>
      </c>
      <c r="J6" s="9">
        <v>600</v>
      </c>
      <c r="K6" s="100">
        <f t="shared" si="0"/>
        <v>600</v>
      </c>
      <c r="L6" s="78">
        <v>46110</v>
      </c>
      <c r="M6" s="103"/>
      <c r="N6" s="93" t="s">
        <v>90</v>
      </c>
      <c r="O6" s="94">
        <v>46141</v>
      </c>
      <c r="P6" s="104">
        <f t="shared" si="7"/>
        <v>600</v>
      </c>
      <c r="Q6" s="104">
        <f t="shared" si="8"/>
        <v>600</v>
      </c>
      <c r="R6" s="103"/>
      <c r="S6" s="93" t="s">
        <v>91</v>
      </c>
      <c r="T6" s="94">
        <v>46153</v>
      </c>
      <c r="U6" s="104">
        <f t="shared" si="9"/>
        <v>600</v>
      </c>
      <c r="V6" s="104">
        <f t="shared" si="10"/>
        <v>1</v>
      </c>
      <c r="W6" s="103">
        <f t="shared" si="11"/>
        <v>600</v>
      </c>
      <c r="X6" s="93" t="s">
        <v>89</v>
      </c>
      <c r="Y6" s="105" t="s">
        <v>84</v>
      </c>
      <c r="Z6" s="105" t="s">
        <v>93</v>
      </c>
    </row>
    <row r="7" spans="1:26" s="105" customFormat="1" ht="15" customHeight="1">
      <c r="A7" s="99">
        <f t="shared" si="6"/>
        <v>5</v>
      </c>
      <c r="B7" s="75" t="s">
        <v>106</v>
      </c>
      <c r="C7" s="100" t="str">
        <f>IF($B7&lt;&gt;"",_xlfn.IFNA(VLOOKUP($B7,'Node Details'!$B:$U,C$1,0),"Check"),"")</f>
        <v>0000AXZ01-AXZ010105</v>
      </c>
      <c r="D7" s="100" t="str">
        <f>IF($B7&lt;&gt;"",_xlfn.IFNA(VLOOKUP($B7,'Node Details'!$B:$U,D$1,0),"Check"),"")</f>
        <v>AXZ</v>
      </c>
      <c r="E7" s="100" t="str">
        <f>IF($B7&lt;&gt;"",_xlfn.IFNA(VLOOKUP($B7,'Node Details'!$B:$U,E$1,0),"Check"),"")</f>
        <v>Airtel</v>
      </c>
      <c r="F7" s="101">
        <v>46110</v>
      </c>
      <c r="G7" s="100"/>
      <c r="H7" s="102" t="s">
        <v>1254</v>
      </c>
      <c r="I7" s="9">
        <v>1</v>
      </c>
      <c r="J7" s="9">
        <v>600</v>
      </c>
      <c r="K7" s="100">
        <f t="shared" si="0"/>
        <v>600</v>
      </c>
      <c r="L7" s="78">
        <v>46110</v>
      </c>
      <c r="M7" s="103"/>
      <c r="N7" s="93" t="s">
        <v>90</v>
      </c>
      <c r="O7" s="94">
        <v>46141</v>
      </c>
      <c r="P7" s="104">
        <f t="shared" si="7"/>
        <v>600</v>
      </c>
      <c r="Q7" s="104">
        <f t="shared" si="8"/>
        <v>600</v>
      </c>
      <c r="R7" s="103"/>
      <c r="S7" s="93" t="s">
        <v>91</v>
      </c>
      <c r="T7" s="94">
        <v>46153</v>
      </c>
      <c r="U7" s="104">
        <f t="shared" si="9"/>
        <v>600</v>
      </c>
      <c r="V7" s="104">
        <f t="shared" si="10"/>
        <v>1</v>
      </c>
      <c r="W7" s="103">
        <f t="shared" si="11"/>
        <v>600</v>
      </c>
      <c r="X7" s="93" t="s">
        <v>89</v>
      </c>
      <c r="Y7" s="105" t="s">
        <v>84</v>
      </c>
      <c r="Z7" s="105" t="s">
        <v>93</v>
      </c>
    </row>
    <row r="8" spans="1:26" s="105" customFormat="1" ht="15" customHeight="1">
      <c r="A8" s="99">
        <f t="shared" si="6"/>
        <v>6</v>
      </c>
      <c r="B8" s="75" t="s">
        <v>961</v>
      </c>
      <c r="C8" s="100" t="str">
        <f>IF($B8&lt;&gt;"",_xlfn.IFNA(VLOOKUP($B8,'Node Details'!$B:$U,C$1,0),"Check"),"")</f>
        <v>0000AXZ01-AXZ010202</v>
      </c>
      <c r="D8" s="100" t="str">
        <f>IF($B8&lt;&gt;"",_xlfn.IFNA(VLOOKUP($B8,'Node Details'!$B:$U,D$1,0),"Check"),"")</f>
        <v>AXZ</v>
      </c>
      <c r="E8" s="100" t="str">
        <f>IF($B8&lt;&gt;"",_xlfn.IFNA(VLOOKUP($B8,'Node Details'!$B:$U,E$1,0),"Check"),"")</f>
        <v>Airtel</v>
      </c>
      <c r="F8" s="101">
        <v>46110</v>
      </c>
      <c r="G8" s="100"/>
      <c r="H8" s="102" t="s">
        <v>1254</v>
      </c>
      <c r="I8" s="9">
        <v>1</v>
      </c>
      <c r="J8" s="9">
        <v>600</v>
      </c>
      <c r="K8" s="100">
        <f t="shared" si="0"/>
        <v>600</v>
      </c>
      <c r="L8" s="78">
        <v>46110</v>
      </c>
      <c r="M8" s="103"/>
      <c r="N8" s="93" t="s">
        <v>90</v>
      </c>
      <c r="O8" s="94">
        <v>46141</v>
      </c>
      <c r="P8" s="104">
        <f t="shared" si="7"/>
        <v>600</v>
      </c>
      <c r="Q8" s="104">
        <f t="shared" si="8"/>
        <v>600</v>
      </c>
      <c r="R8" s="103"/>
      <c r="S8" s="93" t="s">
        <v>91</v>
      </c>
      <c r="T8" s="94">
        <v>46153</v>
      </c>
      <c r="U8" s="104">
        <f t="shared" si="9"/>
        <v>600</v>
      </c>
      <c r="V8" s="104">
        <f t="shared" si="10"/>
        <v>1</v>
      </c>
      <c r="W8" s="103">
        <f t="shared" si="11"/>
        <v>600</v>
      </c>
      <c r="X8" s="93" t="s">
        <v>89</v>
      </c>
      <c r="Y8" s="105" t="s">
        <v>84</v>
      </c>
      <c r="Z8" s="105" t="s">
        <v>93</v>
      </c>
    </row>
    <row r="9" spans="1:26" s="105" customFormat="1" ht="15" customHeight="1">
      <c r="A9" s="99">
        <f t="shared" si="6"/>
        <v>7</v>
      </c>
      <c r="B9" s="75" t="s">
        <v>962</v>
      </c>
      <c r="C9" s="100" t="str">
        <f>IF($B9&lt;&gt;"",_xlfn.IFNA(VLOOKUP($B9,'Node Details'!$B:$U,C$1,0),"Check"),"")</f>
        <v>0000AXZ01-AXZ010202</v>
      </c>
      <c r="D9" s="100" t="str">
        <f>IF($B9&lt;&gt;"",_xlfn.IFNA(VLOOKUP($B9,'Node Details'!$B:$U,D$1,0),"Check"),"")</f>
        <v>AXZ</v>
      </c>
      <c r="E9" s="100" t="str">
        <f>IF($B9&lt;&gt;"",_xlfn.IFNA(VLOOKUP($B9,'Node Details'!$B:$U,E$1,0),"Check"),"")</f>
        <v>Airtel</v>
      </c>
      <c r="F9" s="101">
        <v>46110</v>
      </c>
      <c r="G9" s="100"/>
      <c r="H9" s="102" t="s">
        <v>1254</v>
      </c>
      <c r="I9" s="9">
        <v>1</v>
      </c>
      <c r="J9" s="9">
        <v>600</v>
      </c>
      <c r="K9" s="100">
        <f t="shared" si="0"/>
        <v>600</v>
      </c>
      <c r="L9" s="78">
        <v>46110</v>
      </c>
      <c r="M9" s="103"/>
      <c r="N9" s="93" t="s">
        <v>90</v>
      </c>
      <c r="O9" s="94">
        <v>46141</v>
      </c>
      <c r="P9" s="104">
        <f t="shared" si="7"/>
        <v>600</v>
      </c>
      <c r="Q9" s="104">
        <f t="shared" si="8"/>
        <v>600</v>
      </c>
      <c r="R9" s="103"/>
      <c r="S9" s="93" t="s">
        <v>91</v>
      </c>
      <c r="T9" s="94">
        <v>46153</v>
      </c>
      <c r="U9" s="104">
        <f t="shared" si="9"/>
        <v>600</v>
      </c>
      <c r="V9" s="104">
        <f t="shared" si="10"/>
        <v>1</v>
      </c>
      <c r="W9" s="103">
        <f t="shared" si="11"/>
        <v>600</v>
      </c>
      <c r="X9" s="93" t="s">
        <v>89</v>
      </c>
      <c r="Y9" s="105" t="s">
        <v>84</v>
      </c>
      <c r="Z9" s="105" t="s">
        <v>93</v>
      </c>
    </row>
    <row r="10" spans="1:26" s="105" customFormat="1" ht="15" customHeight="1">
      <c r="A10" s="99">
        <f t="shared" si="6"/>
        <v>8</v>
      </c>
      <c r="B10" s="75" t="s">
        <v>963</v>
      </c>
      <c r="C10" s="100" t="str">
        <f>IF($B10&lt;&gt;"",_xlfn.IFNA(VLOOKUP($B10,'Node Details'!$B:$U,C$1,0),"Check"),"")</f>
        <v>0000AXZ01-AXZ010202</v>
      </c>
      <c r="D10" s="100" t="str">
        <f>IF($B10&lt;&gt;"",_xlfn.IFNA(VLOOKUP($B10,'Node Details'!$B:$U,D$1,0),"Check"),"")</f>
        <v>AXZ</v>
      </c>
      <c r="E10" s="100" t="str">
        <f>IF($B10&lt;&gt;"",_xlfn.IFNA(VLOOKUP($B10,'Node Details'!$B:$U,E$1,0),"Check"),"")</f>
        <v>Airtel</v>
      </c>
      <c r="F10" s="101">
        <v>46110</v>
      </c>
      <c r="G10" s="100"/>
      <c r="H10" s="102" t="s">
        <v>1254</v>
      </c>
      <c r="I10" s="9">
        <v>1</v>
      </c>
      <c r="J10" s="9">
        <v>600</v>
      </c>
      <c r="K10" s="100">
        <f t="shared" si="0"/>
        <v>600</v>
      </c>
      <c r="L10" s="78">
        <v>46110</v>
      </c>
      <c r="M10" s="103"/>
      <c r="N10" s="93" t="s">
        <v>90</v>
      </c>
      <c r="O10" s="94">
        <v>46141</v>
      </c>
      <c r="P10" s="104">
        <f t="shared" si="7"/>
        <v>600</v>
      </c>
      <c r="Q10" s="104">
        <f t="shared" si="8"/>
        <v>600</v>
      </c>
      <c r="R10" s="103"/>
      <c r="S10" s="93" t="s">
        <v>91</v>
      </c>
      <c r="T10" s="94">
        <v>46153</v>
      </c>
      <c r="U10" s="104">
        <f t="shared" si="9"/>
        <v>600</v>
      </c>
      <c r="V10" s="104">
        <f t="shared" si="10"/>
        <v>1</v>
      </c>
      <c r="W10" s="103">
        <f t="shared" si="11"/>
        <v>600</v>
      </c>
      <c r="X10" s="93" t="s">
        <v>89</v>
      </c>
      <c r="Y10" s="105" t="s">
        <v>84</v>
      </c>
      <c r="Z10" s="105" t="s">
        <v>93</v>
      </c>
    </row>
    <row r="11" spans="1:26" s="105" customFormat="1" ht="15" customHeight="1">
      <c r="A11" s="99">
        <f t="shared" si="6"/>
        <v>9</v>
      </c>
      <c r="B11" s="75" t="s">
        <v>964</v>
      </c>
      <c r="C11" s="100" t="str">
        <f>IF($B11&lt;&gt;"",_xlfn.IFNA(VLOOKUP($B11,'Node Details'!$B:$U,C$1,0),"Check"),"")</f>
        <v>0000AXZ01-AXZ010202</v>
      </c>
      <c r="D11" s="100" t="str">
        <f>IF($B11&lt;&gt;"",_xlfn.IFNA(VLOOKUP($B11,'Node Details'!$B:$U,D$1,0),"Check"),"")</f>
        <v>AXZ</v>
      </c>
      <c r="E11" s="100" t="str">
        <f>IF($B11&lt;&gt;"",_xlfn.IFNA(VLOOKUP($B11,'Node Details'!$B:$U,E$1,0),"Check"),"")</f>
        <v>Airtel</v>
      </c>
      <c r="F11" s="101">
        <v>46110</v>
      </c>
      <c r="G11" s="100"/>
      <c r="H11" s="102" t="s">
        <v>1254</v>
      </c>
      <c r="I11" s="9">
        <v>1</v>
      </c>
      <c r="J11" s="9">
        <v>600</v>
      </c>
      <c r="K11" s="100">
        <f t="shared" si="0"/>
        <v>600</v>
      </c>
      <c r="L11" s="78">
        <v>46110</v>
      </c>
      <c r="M11" s="103"/>
      <c r="N11" s="93" t="s">
        <v>90</v>
      </c>
      <c r="O11" s="94">
        <v>46141</v>
      </c>
      <c r="P11" s="104">
        <f t="shared" si="7"/>
        <v>600</v>
      </c>
      <c r="Q11" s="104">
        <f t="shared" si="8"/>
        <v>600</v>
      </c>
      <c r="R11" s="103"/>
      <c r="S11" s="93" t="s">
        <v>91</v>
      </c>
      <c r="T11" s="94">
        <v>46153</v>
      </c>
      <c r="U11" s="104">
        <f t="shared" si="9"/>
        <v>600</v>
      </c>
      <c r="V11" s="104">
        <f t="shared" si="10"/>
        <v>1</v>
      </c>
      <c r="W11" s="103">
        <f t="shared" si="11"/>
        <v>600</v>
      </c>
      <c r="X11" s="93" t="s">
        <v>89</v>
      </c>
      <c r="Y11" s="105" t="s">
        <v>84</v>
      </c>
      <c r="Z11" s="105" t="s">
        <v>93</v>
      </c>
    </row>
    <row r="12" spans="1:26" s="105" customFormat="1" ht="15" customHeight="1">
      <c r="A12" s="99">
        <f t="shared" si="6"/>
        <v>10</v>
      </c>
      <c r="B12" s="75" t="s">
        <v>109</v>
      </c>
      <c r="C12" s="100" t="str">
        <f>IF($B12&lt;&gt;"",_xlfn.IFNA(VLOOKUP($B12,'Node Details'!$B:$U,C$1,0),"Check"),"")</f>
        <v>0000AXZ01-AXZ010202</v>
      </c>
      <c r="D12" s="100" t="str">
        <f>IF($B12&lt;&gt;"",_xlfn.IFNA(VLOOKUP($B12,'Node Details'!$B:$U,D$1,0),"Check"),"")</f>
        <v>AXZ</v>
      </c>
      <c r="E12" s="100" t="str">
        <f>IF($B12&lt;&gt;"",_xlfn.IFNA(VLOOKUP($B12,'Node Details'!$B:$U,E$1,0),"Check"),"")</f>
        <v>Airtel</v>
      </c>
      <c r="F12" s="101">
        <v>46110</v>
      </c>
      <c r="G12" s="100"/>
      <c r="H12" s="102" t="s">
        <v>1254</v>
      </c>
      <c r="I12" s="9">
        <v>1</v>
      </c>
      <c r="J12" s="9">
        <v>600</v>
      </c>
      <c r="K12" s="100">
        <f t="shared" si="0"/>
        <v>600</v>
      </c>
      <c r="L12" s="78">
        <v>46110</v>
      </c>
      <c r="M12" s="103"/>
      <c r="N12" s="93" t="s">
        <v>90</v>
      </c>
      <c r="O12" s="94">
        <v>46141</v>
      </c>
      <c r="P12" s="104">
        <f t="shared" si="7"/>
        <v>600</v>
      </c>
      <c r="Q12" s="104">
        <f t="shared" si="8"/>
        <v>600</v>
      </c>
      <c r="R12" s="103"/>
      <c r="S12" s="93" t="s">
        <v>91</v>
      </c>
      <c r="T12" s="94">
        <v>46153</v>
      </c>
      <c r="U12" s="104">
        <f t="shared" si="9"/>
        <v>600</v>
      </c>
      <c r="V12" s="104">
        <f t="shared" si="10"/>
        <v>1</v>
      </c>
      <c r="W12" s="103">
        <f t="shared" si="11"/>
        <v>600</v>
      </c>
      <c r="X12" s="93" t="s">
        <v>89</v>
      </c>
      <c r="Y12" s="105" t="s">
        <v>84</v>
      </c>
      <c r="Z12" s="105" t="s">
        <v>93</v>
      </c>
    </row>
    <row r="13" spans="1:26" s="105" customFormat="1" ht="15" customHeight="1">
      <c r="A13" s="99">
        <f t="shared" si="6"/>
        <v>11</v>
      </c>
      <c r="B13" s="75" t="s">
        <v>113</v>
      </c>
      <c r="C13" s="100" t="str">
        <f>IF($B13&lt;&gt;"",_xlfn.IFNA(VLOOKUP($B13,'Node Details'!$B:$U,C$1,0),"Check"),"")</f>
        <v>0000AXZ02-AXZ020101</v>
      </c>
      <c r="D13" s="100" t="str">
        <f>IF($B13&lt;&gt;"",_xlfn.IFNA(VLOOKUP($B13,'Node Details'!$B:$U,D$1,0),"Check"),"")</f>
        <v>AXZ</v>
      </c>
      <c r="E13" s="100" t="str">
        <f>IF($B13&lt;&gt;"",_xlfn.IFNA(VLOOKUP($B13,'Node Details'!$B:$U,E$1,0),"Check"),"")</f>
        <v>Airtel</v>
      </c>
      <c r="F13" s="101">
        <v>46110</v>
      </c>
      <c r="G13" s="100"/>
      <c r="H13" s="102" t="s">
        <v>1254</v>
      </c>
      <c r="I13" s="9">
        <v>1</v>
      </c>
      <c r="J13" s="9">
        <v>600</v>
      </c>
      <c r="K13" s="100">
        <f t="shared" si="0"/>
        <v>600</v>
      </c>
      <c r="L13" s="78">
        <v>46110</v>
      </c>
      <c r="M13" s="103"/>
      <c r="N13" s="93" t="s">
        <v>90</v>
      </c>
      <c r="O13" s="94">
        <v>46141</v>
      </c>
      <c r="P13" s="104">
        <f t="shared" si="7"/>
        <v>600</v>
      </c>
      <c r="Q13" s="104">
        <f t="shared" si="8"/>
        <v>600</v>
      </c>
      <c r="R13" s="103"/>
      <c r="S13" s="93" t="s">
        <v>91</v>
      </c>
      <c r="T13" s="94">
        <v>46153</v>
      </c>
      <c r="U13" s="104">
        <f t="shared" si="9"/>
        <v>600</v>
      </c>
      <c r="V13" s="104">
        <f t="shared" si="10"/>
        <v>1</v>
      </c>
      <c r="W13" s="103">
        <f t="shared" si="11"/>
        <v>600</v>
      </c>
      <c r="X13" s="93" t="s">
        <v>89</v>
      </c>
      <c r="Y13" s="105" t="s">
        <v>84</v>
      </c>
      <c r="Z13" s="105" t="s">
        <v>93</v>
      </c>
    </row>
    <row r="14" spans="1:26" s="105" customFormat="1" ht="15" customHeight="1">
      <c r="A14" s="99">
        <f t="shared" si="6"/>
        <v>12</v>
      </c>
      <c r="B14" s="75" t="s">
        <v>965</v>
      </c>
      <c r="C14" s="100" t="str">
        <f>IF($B14&lt;&gt;"",_xlfn.IFNA(VLOOKUP($B14,'Node Details'!$B:$U,C$1,0),"Check"),"")</f>
        <v>0000AXZ02-AXZ020103</v>
      </c>
      <c r="D14" s="100" t="str">
        <f>IF($B14&lt;&gt;"",_xlfn.IFNA(VLOOKUP($B14,'Node Details'!$B:$U,D$1,0),"Check"),"")</f>
        <v>AXZ</v>
      </c>
      <c r="E14" s="100" t="str">
        <f>IF($B14&lt;&gt;"",_xlfn.IFNA(VLOOKUP($B14,'Node Details'!$B:$U,E$1,0),"Check"),"")</f>
        <v>Airtel</v>
      </c>
      <c r="F14" s="101">
        <v>46110</v>
      </c>
      <c r="G14" s="100"/>
      <c r="H14" s="102" t="s">
        <v>1254</v>
      </c>
      <c r="I14" s="9">
        <v>1</v>
      </c>
      <c r="J14" s="9">
        <v>600</v>
      </c>
      <c r="K14" s="100">
        <f t="shared" si="0"/>
        <v>600</v>
      </c>
      <c r="L14" s="78">
        <v>46110</v>
      </c>
      <c r="M14" s="103"/>
      <c r="N14" s="93" t="s">
        <v>90</v>
      </c>
      <c r="O14" s="94">
        <v>46141</v>
      </c>
      <c r="P14" s="104">
        <f t="shared" si="7"/>
        <v>600</v>
      </c>
      <c r="Q14" s="104">
        <f t="shared" si="8"/>
        <v>600</v>
      </c>
      <c r="R14" s="103"/>
      <c r="S14" s="93" t="s">
        <v>91</v>
      </c>
      <c r="T14" s="94">
        <v>46153</v>
      </c>
      <c r="U14" s="104">
        <f t="shared" si="9"/>
        <v>600</v>
      </c>
      <c r="V14" s="104">
        <f t="shared" si="10"/>
        <v>1</v>
      </c>
      <c r="W14" s="103">
        <f t="shared" si="11"/>
        <v>600</v>
      </c>
      <c r="X14" s="93" t="s">
        <v>89</v>
      </c>
      <c r="Y14" s="105" t="s">
        <v>84</v>
      </c>
      <c r="Z14" s="105" t="s">
        <v>93</v>
      </c>
    </row>
    <row r="15" spans="1:26" s="105" customFormat="1" ht="15" customHeight="1">
      <c r="A15" s="99">
        <f t="shared" si="6"/>
        <v>13</v>
      </c>
      <c r="B15" s="75" t="s">
        <v>116</v>
      </c>
      <c r="C15" s="100" t="str">
        <f>IF($B15&lt;&gt;"",_xlfn.IFNA(VLOOKUP($B15,'Node Details'!$B:$U,C$1,0),"Check"),"")</f>
        <v>0000AXZ02-AXZ020103</v>
      </c>
      <c r="D15" s="100" t="str">
        <f>IF($B15&lt;&gt;"",_xlfn.IFNA(VLOOKUP($B15,'Node Details'!$B:$U,D$1,0),"Check"),"")</f>
        <v>AXZ</v>
      </c>
      <c r="E15" s="100" t="str">
        <f>IF($B15&lt;&gt;"",_xlfn.IFNA(VLOOKUP($B15,'Node Details'!$B:$U,E$1,0),"Check"),"")</f>
        <v>Airtel</v>
      </c>
      <c r="F15" s="101">
        <v>46110</v>
      </c>
      <c r="G15" s="100"/>
      <c r="H15" s="102" t="s">
        <v>1254</v>
      </c>
      <c r="I15" s="9">
        <v>1</v>
      </c>
      <c r="J15" s="9">
        <v>600</v>
      </c>
      <c r="K15" s="100">
        <f t="shared" si="0"/>
        <v>600</v>
      </c>
      <c r="L15" s="78">
        <v>46110</v>
      </c>
      <c r="M15" s="103"/>
      <c r="N15" s="93" t="s">
        <v>90</v>
      </c>
      <c r="O15" s="94">
        <v>46141</v>
      </c>
      <c r="P15" s="104">
        <f t="shared" si="7"/>
        <v>600</v>
      </c>
      <c r="Q15" s="104">
        <f t="shared" si="8"/>
        <v>600</v>
      </c>
      <c r="R15" s="103"/>
      <c r="S15" s="93" t="s">
        <v>91</v>
      </c>
      <c r="T15" s="94">
        <v>46153</v>
      </c>
      <c r="U15" s="104">
        <f t="shared" si="9"/>
        <v>600</v>
      </c>
      <c r="V15" s="104">
        <f t="shared" si="10"/>
        <v>1</v>
      </c>
      <c r="W15" s="103">
        <f t="shared" si="11"/>
        <v>600</v>
      </c>
      <c r="X15" s="93" t="s">
        <v>89</v>
      </c>
      <c r="Y15" s="105" t="s">
        <v>84</v>
      </c>
      <c r="Z15" s="105" t="s">
        <v>93</v>
      </c>
    </row>
    <row r="16" spans="1:26" s="105" customFormat="1" ht="15" customHeight="1">
      <c r="A16" s="99">
        <f t="shared" si="6"/>
        <v>14</v>
      </c>
      <c r="B16" s="75" t="s">
        <v>966</v>
      </c>
      <c r="C16" s="100" t="str">
        <f>IF($B16&lt;&gt;"",_xlfn.IFNA(VLOOKUP($B16,'Node Details'!$B:$U,C$1,0),"Check"),"")</f>
        <v>0000AXZ02-AXZ020203</v>
      </c>
      <c r="D16" s="100" t="str">
        <f>IF($B16&lt;&gt;"",_xlfn.IFNA(VLOOKUP($B16,'Node Details'!$B:$U,D$1,0),"Check"),"")</f>
        <v>AXZ</v>
      </c>
      <c r="E16" s="100" t="str">
        <f>IF($B16&lt;&gt;"",_xlfn.IFNA(VLOOKUP($B16,'Node Details'!$B:$U,E$1,0),"Check"),"")</f>
        <v>Airtel</v>
      </c>
      <c r="F16" s="101">
        <v>46110</v>
      </c>
      <c r="G16" s="100"/>
      <c r="H16" s="102" t="s">
        <v>1254</v>
      </c>
      <c r="I16" s="9">
        <v>1</v>
      </c>
      <c r="J16" s="9">
        <v>600</v>
      </c>
      <c r="K16" s="100">
        <f t="shared" si="0"/>
        <v>600</v>
      </c>
      <c r="L16" s="78">
        <v>46110</v>
      </c>
      <c r="M16" s="103"/>
      <c r="N16" s="93" t="s">
        <v>90</v>
      </c>
      <c r="O16" s="94">
        <v>46141</v>
      </c>
      <c r="P16" s="104">
        <f t="shared" si="7"/>
        <v>600</v>
      </c>
      <c r="Q16" s="104">
        <f t="shared" si="8"/>
        <v>600</v>
      </c>
      <c r="R16" s="103"/>
      <c r="S16" s="93" t="s">
        <v>91</v>
      </c>
      <c r="T16" s="94">
        <v>46153</v>
      </c>
      <c r="U16" s="104">
        <f t="shared" si="9"/>
        <v>600</v>
      </c>
      <c r="V16" s="104">
        <f t="shared" si="10"/>
        <v>1</v>
      </c>
      <c r="W16" s="103">
        <f t="shared" si="11"/>
        <v>600</v>
      </c>
      <c r="X16" s="93" t="s">
        <v>89</v>
      </c>
      <c r="Y16" s="105" t="s">
        <v>84</v>
      </c>
      <c r="Z16" s="105" t="s">
        <v>93</v>
      </c>
    </row>
    <row r="17" spans="1:26" s="105" customFormat="1" ht="15" customHeight="1">
      <c r="A17" s="99">
        <f t="shared" si="6"/>
        <v>15</v>
      </c>
      <c r="B17" s="75" t="s">
        <v>967</v>
      </c>
      <c r="C17" s="100" t="str">
        <f>IF($B17&lt;&gt;"",_xlfn.IFNA(VLOOKUP($B17,'Node Details'!$B:$U,C$1,0),"Check"),"")</f>
        <v>0000AXZ02-AXZ020203</v>
      </c>
      <c r="D17" s="100" t="str">
        <f>IF($B17&lt;&gt;"",_xlfn.IFNA(VLOOKUP($B17,'Node Details'!$B:$U,D$1,0),"Check"),"")</f>
        <v>AXZ</v>
      </c>
      <c r="E17" s="100" t="str">
        <f>IF($B17&lt;&gt;"",_xlfn.IFNA(VLOOKUP($B17,'Node Details'!$B:$U,E$1,0),"Check"),"")</f>
        <v>Airtel</v>
      </c>
      <c r="F17" s="101">
        <v>46110</v>
      </c>
      <c r="G17" s="100"/>
      <c r="H17" s="102" t="s">
        <v>1254</v>
      </c>
      <c r="I17" s="9">
        <v>1</v>
      </c>
      <c r="J17" s="9">
        <v>600</v>
      </c>
      <c r="K17" s="100">
        <f t="shared" si="0"/>
        <v>600</v>
      </c>
      <c r="L17" s="78">
        <v>46110</v>
      </c>
      <c r="M17" s="103"/>
      <c r="N17" s="93" t="s">
        <v>90</v>
      </c>
      <c r="O17" s="94">
        <v>46141</v>
      </c>
      <c r="P17" s="104">
        <f t="shared" si="7"/>
        <v>600</v>
      </c>
      <c r="Q17" s="104">
        <f t="shared" si="8"/>
        <v>600</v>
      </c>
      <c r="R17" s="103"/>
      <c r="S17" s="93" t="s">
        <v>91</v>
      </c>
      <c r="T17" s="94">
        <v>46153</v>
      </c>
      <c r="U17" s="104">
        <f t="shared" si="9"/>
        <v>600</v>
      </c>
      <c r="V17" s="104">
        <f t="shared" si="10"/>
        <v>1</v>
      </c>
      <c r="W17" s="103">
        <f t="shared" si="11"/>
        <v>600</v>
      </c>
      <c r="X17" s="93" t="s">
        <v>89</v>
      </c>
      <c r="Y17" s="105" t="s">
        <v>84</v>
      </c>
      <c r="Z17" s="105" t="s">
        <v>93</v>
      </c>
    </row>
    <row r="18" spans="1:26" s="105" customFormat="1" ht="15" customHeight="1">
      <c r="A18" s="99">
        <f t="shared" si="6"/>
        <v>16</v>
      </c>
      <c r="B18" s="75" t="s">
        <v>968</v>
      </c>
      <c r="C18" s="100" t="str">
        <f>IF($B18&lt;&gt;"",_xlfn.IFNA(VLOOKUP($B18,'Node Details'!$B:$U,C$1,0),"Check"),"")</f>
        <v>0000AXZ02-AXZ020203</v>
      </c>
      <c r="D18" s="100" t="str">
        <f>IF($B18&lt;&gt;"",_xlfn.IFNA(VLOOKUP($B18,'Node Details'!$B:$U,D$1,0),"Check"),"")</f>
        <v>AXZ</v>
      </c>
      <c r="E18" s="100" t="str">
        <f>IF($B18&lt;&gt;"",_xlfn.IFNA(VLOOKUP($B18,'Node Details'!$B:$U,E$1,0),"Check"),"")</f>
        <v>Airtel</v>
      </c>
      <c r="F18" s="101">
        <v>46110</v>
      </c>
      <c r="G18" s="100"/>
      <c r="H18" s="102" t="s">
        <v>1254</v>
      </c>
      <c r="I18" s="9">
        <v>1</v>
      </c>
      <c r="J18" s="9">
        <v>600</v>
      </c>
      <c r="K18" s="100">
        <f t="shared" si="0"/>
        <v>600</v>
      </c>
      <c r="L18" s="78">
        <v>46110</v>
      </c>
      <c r="M18" s="103"/>
      <c r="N18" s="93" t="s">
        <v>90</v>
      </c>
      <c r="O18" s="94">
        <v>46141</v>
      </c>
      <c r="P18" s="104">
        <f t="shared" si="7"/>
        <v>600</v>
      </c>
      <c r="Q18" s="104">
        <f t="shared" si="8"/>
        <v>600</v>
      </c>
      <c r="R18" s="103"/>
      <c r="S18" s="93" t="s">
        <v>91</v>
      </c>
      <c r="T18" s="94">
        <v>46153</v>
      </c>
      <c r="U18" s="104">
        <f t="shared" si="9"/>
        <v>600</v>
      </c>
      <c r="V18" s="104">
        <f t="shared" si="10"/>
        <v>1</v>
      </c>
      <c r="W18" s="103">
        <f t="shared" si="11"/>
        <v>600</v>
      </c>
      <c r="X18" s="93" t="s">
        <v>89</v>
      </c>
      <c r="Y18" s="105" t="s">
        <v>84</v>
      </c>
      <c r="Z18" s="105" t="s">
        <v>93</v>
      </c>
    </row>
    <row r="19" spans="1:26" s="105" customFormat="1" ht="15" customHeight="1">
      <c r="A19" s="99">
        <f t="shared" si="6"/>
        <v>17</v>
      </c>
      <c r="B19" s="75" t="s">
        <v>969</v>
      </c>
      <c r="C19" s="100" t="str">
        <f>IF($B19&lt;&gt;"",_xlfn.IFNA(VLOOKUP($B19,'Node Details'!$B:$U,C$1,0),"Check"),"")</f>
        <v>0000AXZ02-AXZ020203</v>
      </c>
      <c r="D19" s="100" t="str">
        <f>IF($B19&lt;&gt;"",_xlfn.IFNA(VLOOKUP($B19,'Node Details'!$B:$U,D$1,0),"Check"),"")</f>
        <v>AXZ</v>
      </c>
      <c r="E19" s="100" t="str">
        <f>IF($B19&lt;&gt;"",_xlfn.IFNA(VLOOKUP($B19,'Node Details'!$B:$U,E$1,0),"Check"),"")</f>
        <v>Airtel</v>
      </c>
      <c r="F19" s="101">
        <v>46110</v>
      </c>
      <c r="G19" s="100"/>
      <c r="H19" s="102" t="s">
        <v>1254</v>
      </c>
      <c r="I19" s="9">
        <v>1</v>
      </c>
      <c r="J19" s="9">
        <v>600</v>
      </c>
      <c r="K19" s="100">
        <f t="shared" si="0"/>
        <v>600</v>
      </c>
      <c r="L19" s="78">
        <v>46110</v>
      </c>
      <c r="M19" s="103"/>
      <c r="N19" s="93" t="s">
        <v>90</v>
      </c>
      <c r="O19" s="94">
        <v>46141</v>
      </c>
      <c r="P19" s="104">
        <f t="shared" si="7"/>
        <v>600</v>
      </c>
      <c r="Q19" s="104">
        <f t="shared" si="8"/>
        <v>600</v>
      </c>
      <c r="R19" s="103"/>
      <c r="S19" s="93" t="s">
        <v>91</v>
      </c>
      <c r="T19" s="94">
        <v>46153</v>
      </c>
      <c r="U19" s="104">
        <f t="shared" si="9"/>
        <v>600</v>
      </c>
      <c r="V19" s="104">
        <f t="shared" si="10"/>
        <v>1</v>
      </c>
      <c r="W19" s="103">
        <f t="shared" si="11"/>
        <v>600</v>
      </c>
      <c r="X19" s="93" t="s">
        <v>89</v>
      </c>
      <c r="Y19" s="105" t="s">
        <v>84</v>
      </c>
      <c r="Z19" s="105" t="s">
        <v>93</v>
      </c>
    </row>
    <row r="20" spans="1:26" s="105" customFormat="1" ht="15" customHeight="1">
      <c r="A20" s="99">
        <f t="shared" si="6"/>
        <v>18</v>
      </c>
      <c r="B20" s="75" t="s">
        <v>970</v>
      </c>
      <c r="C20" s="100" t="str">
        <f>IF($B20&lt;&gt;"",_xlfn.IFNA(VLOOKUP($B20,'Node Details'!$B:$U,C$1,0),"Check"),"")</f>
        <v>0000AXZ02-AXZ020203</v>
      </c>
      <c r="D20" s="100" t="str">
        <f>IF($B20&lt;&gt;"",_xlfn.IFNA(VLOOKUP($B20,'Node Details'!$B:$U,D$1,0),"Check"),"")</f>
        <v>AXZ</v>
      </c>
      <c r="E20" s="100" t="str">
        <f>IF($B20&lt;&gt;"",_xlfn.IFNA(VLOOKUP($B20,'Node Details'!$B:$U,E$1,0),"Check"),"")</f>
        <v>Airtel</v>
      </c>
      <c r="F20" s="101">
        <v>46110</v>
      </c>
      <c r="G20" s="100"/>
      <c r="H20" s="102" t="s">
        <v>1254</v>
      </c>
      <c r="I20" s="9">
        <v>1</v>
      </c>
      <c r="J20" s="9">
        <v>600</v>
      </c>
      <c r="K20" s="100">
        <f t="shared" si="0"/>
        <v>600</v>
      </c>
      <c r="L20" s="78">
        <v>46110</v>
      </c>
      <c r="M20" s="103"/>
      <c r="N20" s="93" t="s">
        <v>90</v>
      </c>
      <c r="O20" s="94">
        <v>46141</v>
      </c>
      <c r="P20" s="104">
        <f t="shared" si="7"/>
        <v>600</v>
      </c>
      <c r="Q20" s="104">
        <f t="shared" si="8"/>
        <v>600</v>
      </c>
      <c r="R20" s="103"/>
      <c r="S20" s="93" t="s">
        <v>91</v>
      </c>
      <c r="T20" s="94">
        <v>46153</v>
      </c>
      <c r="U20" s="104">
        <f t="shared" si="9"/>
        <v>600</v>
      </c>
      <c r="V20" s="104">
        <f t="shared" si="10"/>
        <v>1</v>
      </c>
      <c r="W20" s="103">
        <f t="shared" si="11"/>
        <v>600</v>
      </c>
      <c r="X20" s="93" t="s">
        <v>89</v>
      </c>
      <c r="Y20" s="105" t="s">
        <v>84</v>
      </c>
      <c r="Z20" s="105" t="s">
        <v>93</v>
      </c>
    </row>
    <row r="21" spans="1:26" s="105" customFormat="1" ht="15" customHeight="1">
      <c r="A21" s="99">
        <f t="shared" si="6"/>
        <v>19</v>
      </c>
      <c r="B21" s="75" t="s">
        <v>971</v>
      </c>
      <c r="C21" s="100" t="str">
        <f>IF($B21&lt;&gt;"",_xlfn.IFNA(VLOOKUP($B21,'Node Details'!$B:$U,C$1,0),"Check"),"")</f>
        <v>0000AXZ02-AXZ020203</v>
      </c>
      <c r="D21" s="100" t="str">
        <f>IF($B21&lt;&gt;"",_xlfn.IFNA(VLOOKUP($B21,'Node Details'!$B:$U,D$1,0),"Check"),"")</f>
        <v>AXZ</v>
      </c>
      <c r="E21" s="100" t="str">
        <f>IF($B21&lt;&gt;"",_xlfn.IFNA(VLOOKUP($B21,'Node Details'!$B:$U,E$1,0),"Check"),"")</f>
        <v>Airtel</v>
      </c>
      <c r="F21" s="101">
        <v>46110</v>
      </c>
      <c r="G21" s="100"/>
      <c r="H21" s="102" t="s">
        <v>1254</v>
      </c>
      <c r="I21" s="9">
        <v>1</v>
      </c>
      <c r="J21" s="9">
        <v>600</v>
      </c>
      <c r="K21" s="100">
        <f t="shared" si="0"/>
        <v>600</v>
      </c>
      <c r="L21" s="78">
        <v>46110</v>
      </c>
      <c r="M21" s="103"/>
      <c r="N21" s="93" t="s">
        <v>90</v>
      </c>
      <c r="O21" s="94">
        <v>46141</v>
      </c>
      <c r="P21" s="104">
        <f t="shared" si="7"/>
        <v>600</v>
      </c>
      <c r="Q21" s="104">
        <f t="shared" si="8"/>
        <v>600</v>
      </c>
      <c r="R21" s="103"/>
      <c r="S21" s="93" t="s">
        <v>91</v>
      </c>
      <c r="T21" s="94">
        <v>46153</v>
      </c>
      <c r="U21" s="104">
        <f t="shared" si="9"/>
        <v>600</v>
      </c>
      <c r="V21" s="104">
        <f t="shared" si="10"/>
        <v>1</v>
      </c>
      <c r="W21" s="103">
        <f t="shared" si="11"/>
        <v>600</v>
      </c>
      <c r="X21" s="93" t="s">
        <v>89</v>
      </c>
      <c r="Y21" s="105" t="s">
        <v>84</v>
      </c>
      <c r="Z21" s="105" t="s">
        <v>93</v>
      </c>
    </row>
    <row r="22" spans="1:26" s="105" customFormat="1" ht="15" customHeight="1">
      <c r="A22" s="99">
        <f t="shared" si="6"/>
        <v>20</v>
      </c>
      <c r="B22" s="75" t="s">
        <v>972</v>
      </c>
      <c r="C22" s="100" t="str">
        <f>IF($B22&lt;&gt;"",_xlfn.IFNA(VLOOKUP($B22,'Node Details'!$B:$U,C$1,0),"Check"),"")</f>
        <v>0000AXZ02-AXZ020203</v>
      </c>
      <c r="D22" s="100" t="str">
        <f>IF($B22&lt;&gt;"",_xlfn.IFNA(VLOOKUP($B22,'Node Details'!$B:$U,D$1,0),"Check"),"")</f>
        <v>AXZ</v>
      </c>
      <c r="E22" s="100" t="str">
        <f>IF($B22&lt;&gt;"",_xlfn.IFNA(VLOOKUP($B22,'Node Details'!$B:$U,E$1,0),"Check"),"")</f>
        <v>Airtel</v>
      </c>
      <c r="F22" s="101">
        <v>46110</v>
      </c>
      <c r="G22" s="100"/>
      <c r="H22" s="102" t="s">
        <v>1254</v>
      </c>
      <c r="I22" s="9">
        <v>1</v>
      </c>
      <c r="J22" s="9">
        <v>600</v>
      </c>
      <c r="K22" s="100">
        <f t="shared" si="0"/>
        <v>600</v>
      </c>
      <c r="L22" s="78">
        <v>46110</v>
      </c>
      <c r="M22" s="103"/>
      <c r="N22" s="93" t="s">
        <v>90</v>
      </c>
      <c r="O22" s="94">
        <v>46141</v>
      </c>
      <c r="P22" s="104">
        <f t="shared" si="7"/>
        <v>600</v>
      </c>
      <c r="Q22" s="104">
        <f t="shared" si="8"/>
        <v>600</v>
      </c>
      <c r="R22" s="103"/>
      <c r="S22" s="93" t="s">
        <v>91</v>
      </c>
      <c r="T22" s="94">
        <v>46153</v>
      </c>
      <c r="U22" s="104">
        <f t="shared" si="9"/>
        <v>600</v>
      </c>
      <c r="V22" s="104">
        <f t="shared" si="10"/>
        <v>1</v>
      </c>
      <c r="W22" s="103">
        <f t="shared" si="11"/>
        <v>600</v>
      </c>
      <c r="X22" s="93" t="s">
        <v>89</v>
      </c>
      <c r="Y22" s="105" t="s">
        <v>84</v>
      </c>
      <c r="Z22" s="105" t="s">
        <v>93</v>
      </c>
    </row>
    <row r="23" spans="1:26" s="105" customFormat="1" ht="15" customHeight="1">
      <c r="A23" s="99">
        <f t="shared" si="6"/>
        <v>21</v>
      </c>
      <c r="B23" s="75" t="s">
        <v>119</v>
      </c>
      <c r="C23" s="100" t="str">
        <f>IF($B23&lt;&gt;"",_xlfn.IFNA(VLOOKUP($B23,'Node Details'!$B:$U,C$1,0),"Check"),"")</f>
        <v>0000AXZ02-AXZ020203</v>
      </c>
      <c r="D23" s="100" t="str">
        <f>IF($B23&lt;&gt;"",_xlfn.IFNA(VLOOKUP($B23,'Node Details'!$B:$U,D$1,0),"Check"),"")</f>
        <v>AXZ</v>
      </c>
      <c r="E23" s="100" t="str">
        <f>IF($B23&lt;&gt;"",_xlfn.IFNA(VLOOKUP($B23,'Node Details'!$B:$U,E$1,0),"Check"),"")</f>
        <v>Airtel</v>
      </c>
      <c r="F23" s="101">
        <v>46110</v>
      </c>
      <c r="G23" s="100"/>
      <c r="H23" s="102" t="s">
        <v>1254</v>
      </c>
      <c r="I23" s="9">
        <v>1</v>
      </c>
      <c r="J23" s="9">
        <v>600</v>
      </c>
      <c r="K23" s="100">
        <f t="shared" si="0"/>
        <v>600</v>
      </c>
      <c r="L23" s="78">
        <v>46110</v>
      </c>
      <c r="M23" s="103"/>
      <c r="N23" s="93" t="s">
        <v>90</v>
      </c>
      <c r="O23" s="94">
        <v>46141</v>
      </c>
      <c r="P23" s="104">
        <f t="shared" si="7"/>
        <v>600</v>
      </c>
      <c r="Q23" s="104">
        <f t="shared" si="8"/>
        <v>600</v>
      </c>
      <c r="R23" s="103"/>
      <c r="S23" s="93" t="s">
        <v>91</v>
      </c>
      <c r="T23" s="94">
        <v>46153</v>
      </c>
      <c r="U23" s="104">
        <f t="shared" si="9"/>
        <v>600</v>
      </c>
      <c r="V23" s="104">
        <f t="shared" si="10"/>
        <v>1</v>
      </c>
      <c r="W23" s="103">
        <f t="shared" si="11"/>
        <v>600</v>
      </c>
      <c r="X23" s="93" t="s">
        <v>89</v>
      </c>
      <c r="Y23" s="105" t="s">
        <v>84</v>
      </c>
      <c r="Z23" s="105" t="s">
        <v>93</v>
      </c>
    </row>
    <row r="24" spans="1:26" s="105" customFormat="1" ht="15" customHeight="1">
      <c r="A24" s="99">
        <f t="shared" si="6"/>
        <v>22</v>
      </c>
      <c r="B24" s="75" t="s">
        <v>122</v>
      </c>
      <c r="C24" s="100" t="str">
        <f>IF($B24&lt;&gt;"",_xlfn.IFNA(VLOOKUP($B24,'Node Details'!$B:$U,C$1,0),"Check"),"")</f>
        <v>0000AXZ03-AXZ030101</v>
      </c>
      <c r="D24" s="100" t="str">
        <f>IF($B24&lt;&gt;"",_xlfn.IFNA(VLOOKUP($B24,'Node Details'!$B:$U,D$1,0),"Check"),"")</f>
        <v>AXZ</v>
      </c>
      <c r="E24" s="100" t="str">
        <f>IF($B24&lt;&gt;"",_xlfn.IFNA(VLOOKUP($B24,'Node Details'!$B:$U,E$1,0),"Check"),"")</f>
        <v>Airtel</v>
      </c>
      <c r="F24" s="101">
        <v>46110</v>
      </c>
      <c r="G24" s="100"/>
      <c r="H24" s="102" t="s">
        <v>1254</v>
      </c>
      <c r="I24" s="9">
        <v>1</v>
      </c>
      <c r="J24" s="9">
        <v>600</v>
      </c>
      <c r="K24" s="100">
        <f t="shared" si="0"/>
        <v>600</v>
      </c>
      <c r="L24" s="78">
        <v>46110</v>
      </c>
      <c r="M24" s="103"/>
      <c r="N24" s="93" t="s">
        <v>90</v>
      </c>
      <c r="O24" s="94">
        <v>46141</v>
      </c>
      <c r="P24" s="104">
        <f t="shared" si="7"/>
        <v>600</v>
      </c>
      <c r="Q24" s="104">
        <f t="shared" si="8"/>
        <v>600</v>
      </c>
      <c r="R24" s="103"/>
      <c r="S24" s="93" t="s">
        <v>91</v>
      </c>
      <c r="T24" s="94">
        <v>46153</v>
      </c>
      <c r="U24" s="104">
        <f t="shared" si="9"/>
        <v>600</v>
      </c>
      <c r="V24" s="104">
        <f t="shared" si="10"/>
        <v>1</v>
      </c>
      <c r="W24" s="103">
        <f t="shared" si="11"/>
        <v>600</v>
      </c>
      <c r="X24" s="93" t="s">
        <v>89</v>
      </c>
      <c r="Y24" s="105" t="s">
        <v>84</v>
      </c>
      <c r="Z24" s="105" t="s">
        <v>93</v>
      </c>
    </row>
    <row r="25" spans="1:26" s="105" customFormat="1" ht="15" customHeight="1">
      <c r="A25" s="99">
        <f t="shared" si="6"/>
        <v>23</v>
      </c>
      <c r="B25" s="75" t="s">
        <v>125</v>
      </c>
      <c r="C25" s="100" t="str">
        <f>IF($B25&lt;&gt;"",_xlfn.IFNA(VLOOKUP($B25,'Node Details'!$B:$U,C$1,0),"Check"),"")</f>
        <v>0000AXZ03-AXZ030102</v>
      </c>
      <c r="D25" s="100" t="str">
        <f>IF($B25&lt;&gt;"",_xlfn.IFNA(VLOOKUP($B25,'Node Details'!$B:$U,D$1,0),"Check"),"")</f>
        <v>AXZ</v>
      </c>
      <c r="E25" s="100" t="str">
        <f>IF($B25&lt;&gt;"",_xlfn.IFNA(VLOOKUP($B25,'Node Details'!$B:$U,E$1,0),"Check"),"")</f>
        <v>Airtel</v>
      </c>
      <c r="F25" s="101">
        <v>46110</v>
      </c>
      <c r="G25" s="100"/>
      <c r="H25" s="102" t="s">
        <v>1254</v>
      </c>
      <c r="I25" s="9">
        <v>1</v>
      </c>
      <c r="J25" s="9">
        <v>600</v>
      </c>
      <c r="K25" s="100">
        <f t="shared" si="0"/>
        <v>600</v>
      </c>
      <c r="L25" s="78">
        <v>46110</v>
      </c>
      <c r="M25" s="103"/>
      <c r="N25" s="93" t="s">
        <v>90</v>
      </c>
      <c r="O25" s="94">
        <v>46141</v>
      </c>
      <c r="P25" s="104">
        <f t="shared" si="7"/>
        <v>600</v>
      </c>
      <c r="Q25" s="104">
        <f t="shared" si="8"/>
        <v>600</v>
      </c>
      <c r="R25" s="103"/>
      <c r="S25" s="93" t="s">
        <v>91</v>
      </c>
      <c r="T25" s="94">
        <v>46153</v>
      </c>
      <c r="U25" s="104">
        <f t="shared" si="9"/>
        <v>600</v>
      </c>
      <c r="V25" s="104">
        <f t="shared" si="10"/>
        <v>1</v>
      </c>
      <c r="W25" s="103">
        <f t="shared" si="11"/>
        <v>600</v>
      </c>
      <c r="X25" s="93" t="s">
        <v>89</v>
      </c>
      <c r="Y25" s="105" t="s">
        <v>84</v>
      </c>
      <c r="Z25" s="105" t="s">
        <v>93</v>
      </c>
    </row>
    <row r="26" spans="1:26" s="105" customFormat="1" ht="15" customHeight="1">
      <c r="A26" s="99">
        <f t="shared" si="6"/>
        <v>24</v>
      </c>
      <c r="B26" s="75" t="s">
        <v>973</v>
      </c>
      <c r="C26" s="100" t="str">
        <f>IF($B26&lt;&gt;"",_xlfn.IFNA(VLOOKUP($B26,'Node Details'!$B:$U,C$1,0),"Check"),"")</f>
        <v>0000AXZ03-AXZ030104</v>
      </c>
      <c r="D26" s="100" t="str">
        <f>IF($B26&lt;&gt;"",_xlfn.IFNA(VLOOKUP($B26,'Node Details'!$B:$U,D$1,0),"Check"),"")</f>
        <v>AXZ</v>
      </c>
      <c r="E26" s="100" t="str">
        <f>IF($B26&lt;&gt;"",_xlfn.IFNA(VLOOKUP($B26,'Node Details'!$B:$U,E$1,0),"Check"),"")</f>
        <v>Airtel</v>
      </c>
      <c r="F26" s="101">
        <v>46110</v>
      </c>
      <c r="G26" s="100"/>
      <c r="H26" s="102" t="s">
        <v>1254</v>
      </c>
      <c r="I26" s="9">
        <v>1</v>
      </c>
      <c r="J26" s="9">
        <v>600</v>
      </c>
      <c r="K26" s="100">
        <f t="shared" si="0"/>
        <v>600</v>
      </c>
      <c r="L26" s="78">
        <v>46110</v>
      </c>
      <c r="M26" s="103"/>
      <c r="N26" s="93" t="s">
        <v>90</v>
      </c>
      <c r="O26" s="94">
        <v>46141</v>
      </c>
      <c r="P26" s="104">
        <f t="shared" si="7"/>
        <v>600</v>
      </c>
      <c r="Q26" s="104">
        <f t="shared" si="8"/>
        <v>600</v>
      </c>
      <c r="R26" s="103"/>
      <c r="S26" s="93" t="s">
        <v>91</v>
      </c>
      <c r="T26" s="94">
        <v>46153</v>
      </c>
      <c r="U26" s="104">
        <f t="shared" si="9"/>
        <v>600</v>
      </c>
      <c r="V26" s="104">
        <f t="shared" si="10"/>
        <v>1</v>
      </c>
      <c r="W26" s="103">
        <f t="shared" si="11"/>
        <v>600</v>
      </c>
      <c r="X26" s="93" t="s">
        <v>89</v>
      </c>
      <c r="Y26" s="105" t="s">
        <v>84</v>
      </c>
      <c r="Z26" s="105" t="s">
        <v>93</v>
      </c>
    </row>
    <row r="27" spans="1:26" s="105" customFormat="1" ht="15" customHeight="1">
      <c r="A27" s="99">
        <f t="shared" si="6"/>
        <v>25</v>
      </c>
      <c r="B27" s="75" t="s">
        <v>128</v>
      </c>
      <c r="C27" s="100" t="str">
        <f>IF($B27&lt;&gt;"",_xlfn.IFNA(VLOOKUP($B27,'Node Details'!$B:$U,C$1,0),"Check"),"")</f>
        <v>0000AXZ03-AXZ030104</v>
      </c>
      <c r="D27" s="100" t="str">
        <f>IF($B27&lt;&gt;"",_xlfn.IFNA(VLOOKUP($B27,'Node Details'!$B:$U,D$1,0),"Check"),"")</f>
        <v>AXZ</v>
      </c>
      <c r="E27" s="100" t="str">
        <f>IF($B27&lt;&gt;"",_xlfn.IFNA(VLOOKUP($B27,'Node Details'!$B:$U,E$1,0),"Check"),"")</f>
        <v>Airtel</v>
      </c>
      <c r="F27" s="101">
        <v>46110</v>
      </c>
      <c r="G27" s="100"/>
      <c r="H27" s="102" t="s">
        <v>1254</v>
      </c>
      <c r="I27" s="9">
        <v>1</v>
      </c>
      <c r="J27" s="9">
        <v>600</v>
      </c>
      <c r="K27" s="100">
        <f t="shared" si="0"/>
        <v>600</v>
      </c>
      <c r="L27" s="78">
        <v>46110</v>
      </c>
      <c r="M27" s="103"/>
      <c r="N27" s="93" t="s">
        <v>90</v>
      </c>
      <c r="O27" s="94">
        <v>46141</v>
      </c>
      <c r="P27" s="104">
        <f t="shared" si="7"/>
        <v>600</v>
      </c>
      <c r="Q27" s="104">
        <f t="shared" si="8"/>
        <v>600</v>
      </c>
      <c r="R27" s="103"/>
      <c r="S27" s="93" t="s">
        <v>91</v>
      </c>
      <c r="T27" s="94">
        <v>46153</v>
      </c>
      <c r="U27" s="104">
        <f t="shared" si="9"/>
        <v>600</v>
      </c>
      <c r="V27" s="104">
        <f t="shared" si="10"/>
        <v>1</v>
      </c>
      <c r="W27" s="103">
        <f t="shared" si="11"/>
        <v>600</v>
      </c>
      <c r="X27" s="93" t="s">
        <v>89</v>
      </c>
      <c r="Y27" s="105" t="s">
        <v>84</v>
      </c>
      <c r="Z27" s="105" t="s">
        <v>93</v>
      </c>
    </row>
    <row r="28" spans="1:26" s="105" customFormat="1" ht="15" customHeight="1">
      <c r="A28" s="99">
        <f t="shared" si="6"/>
        <v>26</v>
      </c>
      <c r="B28" s="75" t="s">
        <v>974</v>
      </c>
      <c r="C28" s="100" t="str">
        <f>IF($B28&lt;&gt;"",_xlfn.IFNA(VLOOKUP($B28,'Node Details'!$B:$U,C$1,0),"Check"),"")</f>
        <v>AXZ030104-AXZ030106</v>
      </c>
      <c r="D28" s="100" t="str">
        <f>IF($B28&lt;&gt;"",_xlfn.IFNA(VLOOKUP($B28,'Node Details'!$B:$U,D$1,0),"Check"),"")</f>
        <v>AXZ</v>
      </c>
      <c r="E28" s="100" t="str">
        <f>IF($B28&lt;&gt;"",_xlfn.IFNA(VLOOKUP($B28,'Node Details'!$B:$U,E$1,0),"Check"),"")</f>
        <v>Airtel</v>
      </c>
      <c r="F28" s="101">
        <v>46110</v>
      </c>
      <c r="G28" s="100"/>
      <c r="H28" s="102" t="s">
        <v>1254</v>
      </c>
      <c r="I28" s="9">
        <v>1</v>
      </c>
      <c r="J28" s="9">
        <v>600</v>
      </c>
      <c r="K28" s="100">
        <f t="shared" si="0"/>
        <v>600</v>
      </c>
      <c r="L28" s="78">
        <v>46110</v>
      </c>
      <c r="M28" s="103"/>
      <c r="N28" s="93" t="s">
        <v>90</v>
      </c>
      <c r="O28" s="94">
        <v>46141</v>
      </c>
      <c r="P28" s="104">
        <f t="shared" si="7"/>
        <v>600</v>
      </c>
      <c r="Q28" s="104">
        <f t="shared" si="8"/>
        <v>600</v>
      </c>
      <c r="R28" s="103"/>
      <c r="S28" s="93" t="s">
        <v>91</v>
      </c>
      <c r="T28" s="94">
        <v>46153</v>
      </c>
      <c r="U28" s="104">
        <f t="shared" si="9"/>
        <v>600</v>
      </c>
      <c r="V28" s="104">
        <f t="shared" si="10"/>
        <v>1</v>
      </c>
      <c r="W28" s="103">
        <f t="shared" si="11"/>
        <v>600</v>
      </c>
      <c r="X28" s="93" t="s">
        <v>89</v>
      </c>
      <c r="Y28" s="105" t="s">
        <v>84</v>
      </c>
      <c r="Z28" s="105" t="s">
        <v>93</v>
      </c>
    </row>
    <row r="29" spans="1:26" s="105" customFormat="1" ht="15" customHeight="1">
      <c r="A29" s="99">
        <f t="shared" si="6"/>
        <v>27</v>
      </c>
      <c r="B29" s="75" t="s">
        <v>131</v>
      </c>
      <c r="C29" s="100" t="str">
        <f>IF($B29&lt;&gt;"",_xlfn.IFNA(VLOOKUP($B29,'Node Details'!$B:$U,C$1,0),"Check"),"")</f>
        <v>AXZ030104-AXZ030106</v>
      </c>
      <c r="D29" s="100" t="str">
        <f>IF($B29&lt;&gt;"",_xlfn.IFNA(VLOOKUP($B29,'Node Details'!$B:$U,D$1,0),"Check"),"")</f>
        <v>AXZ</v>
      </c>
      <c r="E29" s="100" t="str">
        <f>IF($B29&lt;&gt;"",_xlfn.IFNA(VLOOKUP($B29,'Node Details'!$B:$U,E$1,0),"Check"),"")</f>
        <v>Airtel</v>
      </c>
      <c r="F29" s="101">
        <v>46110</v>
      </c>
      <c r="G29" s="100"/>
      <c r="H29" s="102" t="s">
        <v>1254</v>
      </c>
      <c r="I29" s="9">
        <v>1</v>
      </c>
      <c r="J29" s="9">
        <v>600</v>
      </c>
      <c r="K29" s="100">
        <f t="shared" si="0"/>
        <v>600</v>
      </c>
      <c r="L29" s="78">
        <v>46110</v>
      </c>
      <c r="M29" s="103"/>
      <c r="N29" s="93" t="s">
        <v>90</v>
      </c>
      <c r="O29" s="94">
        <v>46141</v>
      </c>
      <c r="P29" s="104">
        <f t="shared" si="7"/>
        <v>600</v>
      </c>
      <c r="Q29" s="104">
        <f t="shared" si="8"/>
        <v>600</v>
      </c>
      <c r="R29" s="103"/>
      <c r="S29" s="93" t="s">
        <v>91</v>
      </c>
      <c r="T29" s="94">
        <v>46153</v>
      </c>
      <c r="U29" s="104">
        <f t="shared" si="9"/>
        <v>600</v>
      </c>
      <c r="V29" s="104">
        <f t="shared" si="10"/>
        <v>1</v>
      </c>
      <c r="W29" s="103">
        <f t="shared" si="11"/>
        <v>600</v>
      </c>
      <c r="X29" s="93" t="s">
        <v>89</v>
      </c>
      <c r="Y29" s="105" t="s">
        <v>84</v>
      </c>
      <c r="Z29" s="105" t="s">
        <v>93</v>
      </c>
    </row>
    <row r="30" spans="1:26" s="105" customFormat="1" ht="15" customHeight="1">
      <c r="A30" s="99">
        <f t="shared" si="6"/>
        <v>28</v>
      </c>
      <c r="B30" s="75" t="s">
        <v>975</v>
      </c>
      <c r="C30" s="100" t="str">
        <f>IF($B30&lt;&gt;"",_xlfn.IFNA(VLOOKUP($B30,'Node Details'!$B:$U,C$1,0),"Check"),"")</f>
        <v>0000AXZ03-AXZ030201</v>
      </c>
      <c r="D30" s="100" t="str">
        <f>IF($B30&lt;&gt;"",_xlfn.IFNA(VLOOKUP($B30,'Node Details'!$B:$U,D$1,0),"Check"),"")</f>
        <v>AXZ</v>
      </c>
      <c r="E30" s="100" t="str">
        <f>IF($B30&lt;&gt;"",_xlfn.IFNA(VLOOKUP($B30,'Node Details'!$B:$U,E$1,0),"Check"),"")</f>
        <v>Airtel</v>
      </c>
      <c r="F30" s="101">
        <v>46110</v>
      </c>
      <c r="G30" s="100"/>
      <c r="H30" s="102" t="s">
        <v>1254</v>
      </c>
      <c r="I30" s="9">
        <v>1</v>
      </c>
      <c r="J30" s="9">
        <v>600</v>
      </c>
      <c r="K30" s="100">
        <f t="shared" si="0"/>
        <v>600</v>
      </c>
      <c r="L30" s="78">
        <v>46110</v>
      </c>
      <c r="M30" s="103"/>
      <c r="N30" s="93" t="s">
        <v>90</v>
      </c>
      <c r="O30" s="94">
        <v>46141</v>
      </c>
      <c r="P30" s="104">
        <f t="shared" si="7"/>
        <v>600</v>
      </c>
      <c r="Q30" s="104">
        <f t="shared" si="8"/>
        <v>600</v>
      </c>
      <c r="R30" s="103"/>
      <c r="S30" s="93" t="s">
        <v>91</v>
      </c>
      <c r="T30" s="94">
        <v>46153</v>
      </c>
      <c r="U30" s="104">
        <f t="shared" si="9"/>
        <v>600</v>
      </c>
      <c r="V30" s="104">
        <f t="shared" si="10"/>
        <v>1</v>
      </c>
      <c r="W30" s="103">
        <f t="shared" si="11"/>
        <v>600</v>
      </c>
      <c r="X30" s="93" t="s">
        <v>89</v>
      </c>
      <c r="Y30" s="105" t="s">
        <v>84</v>
      </c>
      <c r="Z30" s="105" t="s">
        <v>93</v>
      </c>
    </row>
    <row r="31" spans="1:26" s="105" customFormat="1" ht="15" customHeight="1">
      <c r="A31" s="99">
        <f t="shared" si="6"/>
        <v>29</v>
      </c>
      <c r="B31" s="75" t="s">
        <v>976</v>
      </c>
      <c r="C31" s="100" t="str">
        <f>IF($B31&lt;&gt;"",_xlfn.IFNA(VLOOKUP($B31,'Node Details'!$B:$U,C$1,0),"Check"),"")</f>
        <v>0000AXZ03-AXZ030201</v>
      </c>
      <c r="D31" s="100" t="str">
        <f>IF($B31&lt;&gt;"",_xlfn.IFNA(VLOOKUP($B31,'Node Details'!$B:$U,D$1,0),"Check"),"")</f>
        <v>AXZ</v>
      </c>
      <c r="E31" s="100" t="str">
        <f>IF($B31&lt;&gt;"",_xlfn.IFNA(VLOOKUP($B31,'Node Details'!$B:$U,E$1,0),"Check"),"")</f>
        <v>Airtel</v>
      </c>
      <c r="F31" s="101">
        <v>46110</v>
      </c>
      <c r="G31" s="100"/>
      <c r="H31" s="102" t="s">
        <v>1254</v>
      </c>
      <c r="I31" s="9">
        <v>1</v>
      </c>
      <c r="J31" s="9">
        <v>600</v>
      </c>
      <c r="K31" s="100">
        <f t="shared" si="0"/>
        <v>600</v>
      </c>
      <c r="L31" s="78">
        <v>46110</v>
      </c>
      <c r="M31" s="103"/>
      <c r="N31" s="93" t="s">
        <v>90</v>
      </c>
      <c r="O31" s="94">
        <v>46141</v>
      </c>
      <c r="P31" s="104">
        <f t="shared" si="7"/>
        <v>600</v>
      </c>
      <c r="Q31" s="104">
        <f t="shared" si="8"/>
        <v>600</v>
      </c>
      <c r="R31" s="103"/>
      <c r="S31" s="93" t="s">
        <v>91</v>
      </c>
      <c r="T31" s="94">
        <v>46153</v>
      </c>
      <c r="U31" s="104">
        <f t="shared" si="9"/>
        <v>600</v>
      </c>
      <c r="V31" s="104">
        <f t="shared" si="10"/>
        <v>1</v>
      </c>
      <c r="W31" s="103">
        <f t="shared" si="11"/>
        <v>600</v>
      </c>
      <c r="X31" s="93" t="s">
        <v>89</v>
      </c>
      <c r="Y31" s="105" t="s">
        <v>84</v>
      </c>
      <c r="Z31" s="105" t="s">
        <v>93</v>
      </c>
    </row>
    <row r="32" spans="1:26" s="105" customFormat="1" ht="15" customHeight="1">
      <c r="A32" s="99">
        <f t="shared" si="6"/>
        <v>30</v>
      </c>
      <c r="B32" s="75" t="s">
        <v>134</v>
      </c>
      <c r="C32" s="100" t="str">
        <f>IF($B32&lt;&gt;"",_xlfn.IFNA(VLOOKUP($B32,'Node Details'!$B:$U,C$1,0),"Check"),"")</f>
        <v>0000AXZ03-AXZ030201</v>
      </c>
      <c r="D32" s="100" t="str">
        <f>IF($B32&lt;&gt;"",_xlfn.IFNA(VLOOKUP($B32,'Node Details'!$B:$U,D$1,0),"Check"),"")</f>
        <v>AXZ</v>
      </c>
      <c r="E32" s="100" t="str">
        <f>IF($B32&lt;&gt;"",_xlfn.IFNA(VLOOKUP($B32,'Node Details'!$B:$U,E$1,0),"Check"),"")</f>
        <v>Airtel</v>
      </c>
      <c r="F32" s="101">
        <v>46110</v>
      </c>
      <c r="G32" s="100"/>
      <c r="H32" s="102" t="s">
        <v>1254</v>
      </c>
      <c r="I32" s="9">
        <v>1</v>
      </c>
      <c r="J32" s="9">
        <v>600</v>
      </c>
      <c r="K32" s="100">
        <f t="shared" si="0"/>
        <v>600</v>
      </c>
      <c r="L32" s="78">
        <v>46110</v>
      </c>
      <c r="M32" s="103"/>
      <c r="N32" s="93" t="s">
        <v>90</v>
      </c>
      <c r="O32" s="94">
        <v>46141</v>
      </c>
      <c r="P32" s="104">
        <f t="shared" si="7"/>
        <v>600</v>
      </c>
      <c r="Q32" s="104">
        <f t="shared" si="8"/>
        <v>600</v>
      </c>
      <c r="R32" s="103"/>
      <c r="S32" s="93" t="s">
        <v>91</v>
      </c>
      <c r="T32" s="94">
        <v>46153</v>
      </c>
      <c r="U32" s="104">
        <f t="shared" si="9"/>
        <v>600</v>
      </c>
      <c r="V32" s="104">
        <f t="shared" si="10"/>
        <v>1</v>
      </c>
      <c r="W32" s="103">
        <f t="shared" si="11"/>
        <v>600</v>
      </c>
      <c r="X32" s="93" t="s">
        <v>89</v>
      </c>
      <c r="Y32" s="105" t="s">
        <v>84</v>
      </c>
      <c r="Z32" s="105" t="s">
        <v>93</v>
      </c>
    </row>
    <row r="33" spans="1:26" s="105" customFormat="1" ht="15" customHeight="1">
      <c r="A33" s="99">
        <f t="shared" si="6"/>
        <v>31</v>
      </c>
      <c r="B33" s="75" t="s">
        <v>977</v>
      </c>
      <c r="C33" s="100" t="str">
        <f>IF($B33&lt;&gt;"",_xlfn.IFNA(VLOOKUP($B33,'Node Details'!$B:$U,C$1,0),"Check"),"")</f>
        <v>AXZ030201-AXZ030205</v>
      </c>
      <c r="D33" s="100" t="str">
        <f>IF($B33&lt;&gt;"",_xlfn.IFNA(VLOOKUP($B33,'Node Details'!$B:$U,D$1,0),"Check"),"")</f>
        <v>AXZ</v>
      </c>
      <c r="E33" s="100" t="str">
        <f>IF($B33&lt;&gt;"",_xlfn.IFNA(VLOOKUP($B33,'Node Details'!$B:$U,E$1,0),"Check"),"")</f>
        <v>Airtel</v>
      </c>
      <c r="F33" s="101">
        <v>46110</v>
      </c>
      <c r="G33" s="100"/>
      <c r="H33" s="102" t="s">
        <v>1254</v>
      </c>
      <c r="I33" s="9">
        <v>1</v>
      </c>
      <c r="J33" s="9">
        <v>600</v>
      </c>
      <c r="K33" s="100">
        <f t="shared" si="0"/>
        <v>600</v>
      </c>
      <c r="L33" s="78">
        <v>46110</v>
      </c>
      <c r="M33" s="103"/>
      <c r="N33" s="93" t="s">
        <v>90</v>
      </c>
      <c r="O33" s="94">
        <v>46141</v>
      </c>
      <c r="P33" s="104">
        <f t="shared" si="7"/>
        <v>600</v>
      </c>
      <c r="Q33" s="104">
        <f t="shared" si="8"/>
        <v>600</v>
      </c>
      <c r="R33" s="103"/>
      <c r="S33" s="93" t="s">
        <v>91</v>
      </c>
      <c r="T33" s="94">
        <v>46153</v>
      </c>
      <c r="U33" s="104">
        <f t="shared" si="9"/>
        <v>600</v>
      </c>
      <c r="V33" s="104">
        <f t="shared" si="10"/>
        <v>1</v>
      </c>
      <c r="W33" s="103">
        <f t="shared" si="11"/>
        <v>600</v>
      </c>
      <c r="X33" s="93" t="s">
        <v>89</v>
      </c>
      <c r="Y33" s="105" t="s">
        <v>84</v>
      </c>
      <c r="Z33" s="105" t="s">
        <v>93</v>
      </c>
    </row>
    <row r="34" spans="1:26" s="105" customFormat="1" ht="15" customHeight="1">
      <c r="A34" s="99">
        <f t="shared" si="6"/>
        <v>32</v>
      </c>
      <c r="B34" s="75" t="s">
        <v>978</v>
      </c>
      <c r="C34" s="100" t="str">
        <f>IF($B34&lt;&gt;"",_xlfn.IFNA(VLOOKUP($B34,'Node Details'!$B:$U,C$1,0),"Check"),"")</f>
        <v>AXZ030201-AXZ030205</v>
      </c>
      <c r="D34" s="100" t="str">
        <f>IF($B34&lt;&gt;"",_xlfn.IFNA(VLOOKUP($B34,'Node Details'!$B:$U,D$1,0),"Check"),"")</f>
        <v>AXZ</v>
      </c>
      <c r="E34" s="100" t="str">
        <f>IF($B34&lt;&gt;"",_xlfn.IFNA(VLOOKUP($B34,'Node Details'!$B:$U,E$1,0),"Check"),"")</f>
        <v>Airtel</v>
      </c>
      <c r="F34" s="101">
        <v>46110</v>
      </c>
      <c r="G34" s="100"/>
      <c r="H34" s="102" t="s">
        <v>1254</v>
      </c>
      <c r="I34" s="9">
        <v>1</v>
      </c>
      <c r="J34" s="9">
        <v>600</v>
      </c>
      <c r="K34" s="100">
        <f t="shared" si="0"/>
        <v>600</v>
      </c>
      <c r="L34" s="78">
        <v>46110</v>
      </c>
      <c r="M34" s="103"/>
      <c r="N34" s="93" t="s">
        <v>90</v>
      </c>
      <c r="O34" s="94">
        <v>46141</v>
      </c>
      <c r="P34" s="104">
        <f t="shared" si="7"/>
        <v>600</v>
      </c>
      <c r="Q34" s="104">
        <f t="shared" si="8"/>
        <v>600</v>
      </c>
      <c r="R34" s="103"/>
      <c r="S34" s="93" t="s">
        <v>91</v>
      </c>
      <c r="T34" s="94">
        <v>46153</v>
      </c>
      <c r="U34" s="104">
        <f t="shared" si="9"/>
        <v>600</v>
      </c>
      <c r="V34" s="104">
        <f t="shared" si="10"/>
        <v>1</v>
      </c>
      <c r="W34" s="103">
        <f t="shared" si="11"/>
        <v>600</v>
      </c>
      <c r="X34" s="93" t="s">
        <v>89</v>
      </c>
      <c r="Y34" s="105" t="s">
        <v>84</v>
      </c>
      <c r="Z34" s="105" t="s">
        <v>93</v>
      </c>
    </row>
    <row r="35" spans="1:26" s="105" customFormat="1" ht="15" customHeight="1">
      <c r="A35" s="99">
        <f t="shared" si="6"/>
        <v>33</v>
      </c>
      <c r="B35" s="75" t="s">
        <v>979</v>
      </c>
      <c r="C35" s="100" t="str">
        <f>IF($B35&lt;&gt;"",_xlfn.IFNA(VLOOKUP($B35,'Node Details'!$B:$U,C$1,0),"Check"),"")</f>
        <v>AXZ030201-AXZ030205</v>
      </c>
      <c r="D35" s="100" t="str">
        <f>IF($B35&lt;&gt;"",_xlfn.IFNA(VLOOKUP($B35,'Node Details'!$B:$U,D$1,0),"Check"),"")</f>
        <v>AXZ</v>
      </c>
      <c r="E35" s="100" t="str">
        <f>IF($B35&lt;&gt;"",_xlfn.IFNA(VLOOKUP($B35,'Node Details'!$B:$U,E$1,0),"Check"),"")</f>
        <v>Airtel</v>
      </c>
      <c r="F35" s="101">
        <v>46110</v>
      </c>
      <c r="G35" s="100"/>
      <c r="H35" s="102" t="s">
        <v>1254</v>
      </c>
      <c r="I35" s="9">
        <v>1</v>
      </c>
      <c r="J35" s="9">
        <v>600</v>
      </c>
      <c r="K35" s="100">
        <f t="shared" si="0"/>
        <v>600</v>
      </c>
      <c r="L35" s="78">
        <v>46110</v>
      </c>
      <c r="M35" s="103"/>
      <c r="N35" s="93" t="s">
        <v>90</v>
      </c>
      <c r="O35" s="94">
        <v>46141</v>
      </c>
      <c r="P35" s="104">
        <f t="shared" si="7"/>
        <v>600</v>
      </c>
      <c r="Q35" s="104">
        <f t="shared" si="8"/>
        <v>600</v>
      </c>
      <c r="R35" s="103"/>
      <c r="S35" s="93" t="s">
        <v>91</v>
      </c>
      <c r="T35" s="94">
        <v>46153</v>
      </c>
      <c r="U35" s="104">
        <f t="shared" si="9"/>
        <v>600</v>
      </c>
      <c r="V35" s="104">
        <f t="shared" si="10"/>
        <v>1</v>
      </c>
      <c r="W35" s="103">
        <f t="shared" si="11"/>
        <v>600</v>
      </c>
      <c r="X35" s="93" t="s">
        <v>89</v>
      </c>
      <c r="Y35" s="105" t="s">
        <v>84</v>
      </c>
      <c r="Z35" s="105" t="s">
        <v>93</v>
      </c>
    </row>
    <row r="36" spans="1:26" s="105" customFormat="1" ht="15" customHeight="1">
      <c r="A36" s="99">
        <f t="shared" si="6"/>
        <v>34</v>
      </c>
      <c r="B36" s="75" t="s">
        <v>137</v>
      </c>
      <c r="C36" s="100" t="str">
        <f>IF($B36&lt;&gt;"",_xlfn.IFNA(VLOOKUP($B36,'Node Details'!$B:$U,C$1,0),"Check"),"")</f>
        <v>AXZ030201-AXZ030205</v>
      </c>
      <c r="D36" s="100" t="str">
        <f>IF($B36&lt;&gt;"",_xlfn.IFNA(VLOOKUP($B36,'Node Details'!$B:$U,D$1,0),"Check"),"")</f>
        <v>AXZ</v>
      </c>
      <c r="E36" s="100" t="str">
        <f>IF($B36&lt;&gt;"",_xlfn.IFNA(VLOOKUP($B36,'Node Details'!$B:$U,E$1,0),"Check"),"")</f>
        <v>Airtel</v>
      </c>
      <c r="F36" s="101">
        <v>46110</v>
      </c>
      <c r="G36" s="100"/>
      <c r="H36" s="102" t="s">
        <v>1254</v>
      </c>
      <c r="I36" s="9">
        <v>1</v>
      </c>
      <c r="J36" s="9">
        <v>600</v>
      </c>
      <c r="K36" s="100">
        <f t="shared" si="0"/>
        <v>600</v>
      </c>
      <c r="L36" s="78">
        <v>46110</v>
      </c>
      <c r="M36" s="103"/>
      <c r="N36" s="93" t="s">
        <v>90</v>
      </c>
      <c r="O36" s="94">
        <v>46141</v>
      </c>
      <c r="P36" s="104">
        <f t="shared" si="7"/>
        <v>600</v>
      </c>
      <c r="Q36" s="104">
        <f t="shared" si="8"/>
        <v>600</v>
      </c>
      <c r="R36" s="103"/>
      <c r="S36" s="93" t="s">
        <v>91</v>
      </c>
      <c r="T36" s="94">
        <v>46153</v>
      </c>
      <c r="U36" s="104">
        <f t="shared" si="9"/>
        <v>600</v>
      </c>
      <c r="V36" s="104">
        <f t="shared" si="10"/>
        <v>1</v>
      </c>
      <c r="W36" s="103">
        <f t="shared" si="11"/>
        <v>600</v>
      </c>
      <c r="X36" s="93" t="s">
        <v>89</v>
      </c>
      <c r="Y36" s="105" t="s">
        <v>84</v>
      </c>
      <c r="Z36" s="105" t="s">
        <v>93</v>
      </c>
    </row>
    <row r="37" spans="1:26" s="105" customFormat="1" ht="15" customHeight="1">
      <c r="A37" s="99">
        <f t="shared" si="6"/>
        <v>35</v>
      </c>
      <c r="B37" s="75" t="s">
        <v>80</v>
      </c>
      <c r="C37" s="100" t="str">
        <f>IF($B37&lt;&gt;"",_xlfn.IFNA(VLOOKUP($B37,'Node Details'!$B:$U,C$1,0),"Check"),"")</f>
        <v>000000AXZ-0000AXZ01</v>
      </c>
      <c r="D37" s="100" t="str">
        <f>IF($B37&lt;&gt;"",_xlfn.IFNA(VLOOKUP($B37,'Node Details'!$B:$U,D$1,0),"Check"),"")</f>
        <v>AXZ</v>
      </c>
      <c r="E37" s="100" t="str">
        <f>IF($B37&lt;&gt;"",_xlfn.IFNA(VLOOKUP($B37,'Node Details'!$B:$U,E$1,0),"Check"),"")</f>
        <v>Airtel</v>
      </c>
      <c r="F37" s="101">
        <v>46110</v>
      </c>
      <c r="G37" s="100"/>
      <c r="H37" s="102" t="s">
        <v>1255</v>
      </c>
      <c r="I37" s="9">
        <v>1</v>
      </c>
      <c r="J37" s="9">
        <v>600</v>
      </c>
      <c r="K37" s="100">
        <f t="shared" si="0"/>
        <v>600</v>
      </c>
      <c r="L37" s="78">
        <v>46110</v>
      </c>
      <c r="M37" s="103"/>
      <c r="N37" s="93" t="s">
        <v>90</v>
      </c>
      <c r="O37" s="94">
        <v>46141</v>
      </c>
      <c r="P37" s="104">
        <f t="shared" si="7"/>
        <v>600</v>
      </c>
      <c r="Q37" s="104">
        <f t="shared" si="8"/>
        <v>600</v>
      </c>
      <c r="R37" s="103"/>
      <c r="S37" s="93" t="s">
        <v>91</v>
      </c>
      <c r="T37" s="94">
        <v>46153</v>
      </c>
      <c r="U37" s="104">
        <f t="shared" si="9"/>
        <v>600</v>
      </c>
      <c r="V37" s="104">
        <f t="shared" si="10"/>
        <v>1</v>
      </c>
      <c r="W37" s="103">
        <f t="shared" si="11"/>
        <v>600</v>
      </c>
      <c r="X37" s="93" t="s">
        <v>89</v>
      </c>
      <c r="Y37" s="105" t="s">
        <v>84</v>
      </c>
      <c r="Z37" s="105" t="s">
        <v>93</v>
      </c>
    </row>
    <row r="38" spans="1:26" s="105" customFormat="1" ht="15" customHeight="1">
      <c r="A38" s="99">
        <f t="shared" si="6"/>
        <v>36</v>
      </c>
      <c r="B38" s="75" t="s">
        <v>112</v>
      </c>
      <c r="C38" s="100" t="str">
        <f>IF($B38&lt;&gt;"",_xlfn.IFNA(VLOOKUP($B38,'Node Details'!$B:$U,C$1,0),"Check"),"")</f>
        <v>000000AXZ-0000AXZ03</v>
      </c>
      <c r="D38" s="100" t="str">
        <f>IF($B38&lt;&gt;"",_xlfn.IFNA(VLOOKUP($B38,'Node Details'!$B:$U,D$1,0),"Check"),"")</f>
        <v>AXZ</v>
      </c>
      <c r="E38" s="100" t="str">
        <f>IF($B38&lt;&gt;"",_xlfn.IFNA(VLOOKUP($B38,'Node Details'!$B:$U,E$1,0),"Check"),"")</f>
        <v>Airtel</v>
      </c>
      <c r="F38" s="101">
        <v>46110</v>
      </c>
      <c r="G38" s="100"/>
      <c r="H38" s="102" t="s">
        <v>1255</v>
      </c>
      <c r="I38" s="9">
        <v>1</v>
      </c>
      <c r="J38" s="9">
        <v>600</v>
      </c>
      <c r="K38" s="100">
        <f t="shared" si="0"/>
        <v>600</v>
      </c>
      <c r="L38" s="78">
        <v>46110</v>
      </c>
      <c r="M38" s="103"/>
      <c r="N38" s="93" t="s">
        <v>90</v>
      </c>
      <c r="O38" s="94">
        <v>46141</v>
      </c>
      <c r="P38" s="104">
        <f t="shared" si="7"/>
        <v>600</v>
      </c>
      <c r="Q38" s="104">
        <f t="shared" si="8"/>
        <v>600</v>
      </c>
      <c r="R38" s="103"/>
      <c r="S38" s="93" t="s">
        <v>91</v>
      </c>
      <c r="T38" s="94">
        <v>46153</v>
      </c>
      <c r="U38" s="104">
        <f t="shared" si="9"/>
        <v>600</v>
      </c>
      <c r="V38" s="104">
        <f t="shared" si="10"/>
        <v>1</v>
      </c>
      <c r="W38" s="103">
        <f t="shared" si="11"/>
        <v>600</v>
      </c>
      <c r="X38" s="93" t="s">
        <v>89</v>
      </c>
      <c r="Y38" s="105" t="s">
        <v>84</v>
      </c>
      <c r="Z38" s="105" t="s">
        <v>93</v>
      </c>
    </row>
    <row r="39" spans="1:26" s="105" customFormat="1" ht="15" customHeight="1">
      <c r="A39" s="99">
        <f t="shared" si="6"/>
        <v>37</v>
      </c>
      <c r="B39" s="75" t="s">
        <v>95</v>
      </c>
      <c r="C39" s="100" t="str">
        <f>IF($B39&lt;&gt;"",_xlfn.IFNA(VLOOKUP($B39,'Node Details'!$B:$U,C$1,0),"Check"),"")</f>
        <v>000000AXZ-0000AXZ03</v>
      </c>
      <c r="D39" s="100" t="str">
        <f>IF($B39&lt;&gt;"",_xlfn.IFNA(VLOOKUP($B39,'Node Details'!$B:$U,D$1,0),"Check"),"")</f>
        <v>AXZ</v>
      </c>
      <c r="E39" s="100" t="str">
        <f>IF($B39&lt;&gt;"",_xlfn.IFNA(VLOOKUP($B39,'Node Details'!$B:$U,E$1,0),"Check"),"")</f>
        <v>Airtel</v>
      </c>
      <c r="F39" s="101">
        <v>46110</v>
      </c>
      <c r="G39" s="100"/>
      <c r="H39" s="102" t="s">
        <v>1255</v>
      </c>
      <c r="I39" s="9">
        <v>1</v>
      </c>
      <c r="J39" s="9">
        <v>600</v>
      </c>
      <c r="K39" s="100">
        <f t="shared" si="0"/>
        <v>600</v>
      </c>
      <c r="L39" s="78">
        <v>46110</v>
      </c>
      <c r="M39" s="103"/>
      <c r="N39" s="93" t="s">
        <v>90</v>
      </c>
      <c r="O39" s="94">
        <v>46141</v>
      </c>
      <c r="P39" s="104">
        <f t="shared" si="7"/>
        <v>600</v>
      </c>
      <c r="Q39" s="104">
        <f t="shared" si="8"/>
        <v>600</v>
      </c>
      <c r="R39" s="103"/>
      <c r="S39" s="93" t="s">
        <v>91</v>
      </c>
      <c r="T39" s="94">
        <v>46153</v>
      </c>
      <c r="U39" s="104">
        <f t="shared" si="9"/>
        <v>600</v>
      </c>
      <c r="V39" s="104">
        <f t="shared" si="10"/>
        <v>1</v>
      </c>
      <c r="W39" s="103">
        <f t="shared" si="11"/>
        <v>600</v>
      </c>
      <c r="X39" s="93" t="s">
        <v>89</v>
      </c>
      <c r="Y39" s="105" t="s">
        <v>84</v>
      </c>
      <c r="Z39" s="105" t="s">
        <v>93</v>
      </c>
    </row>
    <row r="40" spans="1:26" s="105" customFormat="1" ht="15" customHeight="1">
      <c r="A40" s="99">
        <f t="shared" si="6"/>
        <v>38</v>
      </c>
      <c r="B40" s="75" t="s">
        <v>80</v>
      </c>
      <c r="C40" s="100" t="str">
        <f>IF($B40&lt;&gt;"",_xlfn.IFNA(VLOOKUP($B40,'Node Details'!$B:$U,C$1,0),"Check"),"")</f>
        <v>000000AXZ-0000AXZ01</v>
      </c>
      <c r="D40" s="100" t="str">
        <f>IF($B40&lt;&gt;"",_xlfn.IFNA(VLOOKUP($B40,'Node Details'!$B:$U,D$1,0),"Check"),"")</f>
        <v>AXZ</v>
      </c>
      <c r="E40" s="100" t="str">
        <f>IF($B40&lt;&gt;"",_xlfn.IFNA(VLOOKUP($B40,'Node Details'!$B:$U,E$1,0),"Check"),"")</f>
        <v>Airtel</v>
      </c>
      <c r="F40" s="101">
        <v>46110</v>
      </c>
      <c r="G40" s="100"/>
      <c r="H40" s="102" t="s">
        <v>1256</v>
      </c>
      <c r="I40" s="9">
        <v>1</v>
      </c>
      <c r="J40" s="9">
        <v>48</v>
      </c>
      <c r="K40" s="100">
        <f t="shared" si="0"/>
        <v>48</v>
      </c>
      <c r="L40" s="78">
        <v>46110</v>
      </c>
      <c r="M40" s="103"/>
      <c r="N40" s="93" t="s">
        <v>90</v>
      </c>
      <c r="O40" s="94">
        <v>46141</v>
      </c>
      <c r="P40" s="104">
        <f t="shared" si="7"/>
        <v>48</v>
      </c>
      <c r="Q40" s="104">
        <f t="shared" si="8"/>
        <v>48</v>
      </c>
      <c r="R40" s="103"/>
      <c r="S40" s="93" t="s">
        <v>91</v>
      </c>
      <c r="T40" s="94">
        <v>46153</v>
      </c>
      <c r="U40" s="104">
        <f t="shared" si="9"/>
        <v>48</v>
      </c>
      <c r="V40" s="104">
        <f t="shared" si="10"/>
        <v>1</v>
      </c>
      <c r="W40" s="103">
        <f t="shared" si="11"/>
        <v>48</v>
      </c>
      <c r="X40" s="93" t="s">
        <v>89</v>
      </c>
      <c r="Y40" s="105" t="s">
        <v>84</v>
      </c>
      <c r="Z40" s="105" t="s">
        <v>93</v>
      </c>
    </row>
    <row r="41" spans="1:26" s="105" customFormat="1" ht="15" customHeight="1">
      <c r="A41" s="99">
        <f t="shared" si="6"/>
        <v>39</v>
      </c>
      <c r="B41" s="75" t="s">
        <v>98</v>
      </c>
      <c r="C41" s="100" t="str">
        <f>IF($B41&lt;&gt;"",_xlfn.IFNA(VLOOKUP($B41,'Node Details'!$B:$U,C$1,0),"Check"),"")</f>
        <v>0000AXZ01-AXZ010101</v>
      </c>
      <c r="D41" s="100" t="str">
        <f>IF($B41&lt;&gt;"",_xlfn.IFNA(VLOOKUP($B41,'Node Details'!$B:$U,D$1,0),"Check"),"")</f>
        <v>AXZ</v>
      </c>
      <c r="E41" s="100" t="str">
        <f>IF($B41&lt;&gt;"",_xlfn.IFNA(VLOOKUP($B41,'Node Details'!$B:$U,E$1,0),"Check"),"")</f>
        <v>Airtel</v>
      </c>
      <c r="F41" s="101">
        <v>46110</v>
      </c>
      <c r="G41" s="100"/>
      <c r="H41" s="102" t="s">
        <v>1256</v>
      </c>
      <c r="I41" s="9">
        <v>1</v>
      </c>
      <c r="J41" s="9">
        <v>48</v>
      </c>
      <c r="K41" s="100">
        <f t="shared" si="0"/>
        <v>48</v>
      </c>
      <c r="L41" s="78">
        <v>46110</v>
      </c>
      <c r="M41" s="103"/>
      <c r="N41" s="93" t="s">
        <v>90</v>
      </c>
      <c r="O41" s="94">
        <v>46141</v>
      </c>
      <c r="P41" s="104">
        <f t="shared" si="7"/>
        <v>48</v>
      </c>
      <c r="Q41" s="104">
        <f t="shared" si="8"/>
        <v>48</v>
      </c>
      <c r="R41" s="103"/>
      <c r="S41" s="93" t="s">
        <v>91</v>
      </c>
      <c r="T41" s="94">
        <v>46153</v>
      </c>
      <c r="U41" s="104">
        <f t="shared" si="9"/>
        <v>48</v>
      </c>
      <c r="V41" s="104">
        <f t="shared" si="10"/>
        <v>1</v>
      </c>
      <c r="W41" s="103">
        <f t="shared" si="11"/>
        <v>48</v>
      </c>
      <c r="X41" s="93" t="s">
        <v>89</v>
      </c>
      <c r="Y41" s="105" t="s">
        <v>84</v>
      </c>
      <c r="Z41" s="105" t="s">
        <v>93</v>
      </c>
    </row>
    <row r="42" spans="1:26" s="105" customFormat="1" ht="15" customHeight="1">
      <c r="A42" s="99">
        <f t="shared" si="6"/>
        <v>40</v>
      </c>
      <c r="B42" s="75" t="s">
        <v>103</v>
      </c>
      <c r="C42" s="100" t="str">
        <f>IF($B42&lt;&gt;"",_xlfn.IFNA(VLOOKUP($B42,'Node Details'!$B:$U,C$1,0),"Check"),"")</f>
        <v>0000AXZ01-AXZ010102</v>
      </c>
      <c r="D42" s="100" t="str">
        <f>IF($B42&lt;&gt;"",_xlfn.IFNA(VLOOKUP($B42,'Node Details'!$B:$U,D$1,0),"Check"),"")</f>
        <v>AXZ</v>
      </c>
      <c r="E42" s="100" t="str">
        <f>IF($B42&lt;&gt;"",_xlfn.IFNA(VLOOKUP($B42,'Node Details'!$B:$U,E$1,0),"Check"),"")</f>
        <v>Airtel</v>
      </c>
      <c r="F42" s="101">
        <v>46110</v>
      </c>
      <c r="G42" s="100"/>
      <c r="H42" s="102" t="s">
        <v>1256</v>
      </c>
      <c r="I42" s="9">
        <v>1</v>
      </c>
      <c r="J42" s="9">
        <v>48</v>
      </c>
      <c r="K42" s="100">
        <f t="shared" si="0"/>
        <v>48</v>
      </c>
      <c r="L42" s="78">
        <v>46110</v>
      </c>
      <c r="M42" s="103"/>
      <c r="N42" s="93" t="s">
        <v>90</v>
      </c>
      <c r="O42" s="94">
        <v>46141</v>
      </c>
      <c r="P42" s="104">
        <f t="shared" si="7"/>
        <v>48</v>
      </c>
      <c r="Q42" s="104">
        <f t="shared" si="8"/>
        <v>48</v>
      </c>
      <c r="R42" s="103"/>
      <c r="S42" s="93" t="s">
        <v>91</v>
      </c>
      <c r="T42" s="94">
        <v>46153</v>
      </c>
      <c r="U42" s="104">
        <f t="shared" si="9"/>
        <v>48</v>
      </c>
      <c r="V42" s="104">
        <f t="shared" si="10"/>
        <v>1</v>
      </c>
      <c r="W42" s="103">
        <f t="shared" si="11"/>
        <v>48</v>
      </c>
      <c r="X42" s="93" t="s">
        <v>89</v>
      </c>
      <c r="Y42" s="105" t="s">
        <v>84</v>
      </c>
      <c r="Z42" s="105" t="s">
        <v>93</v>
      </c>
    </row>
    <row r="43" spans="1:26" s="105" customFormat="1" ht="15" customHeight="1">
      <c r="A43" s="99">
        <f t="shared" si="6"/>
        <v>41</v>
      </c>
      <c r="B43" s="75" t="s">
        <v>959</v>
      </c>
      <c r="C43" s="100" t="str">
        <f>IF($B43&lt;&gt;"",_xlfn.IFNA(VLOOKUP($B43,'Node Details'!$B:$U,C$1,0),"Check"),"")</f>
        <v>0000AXZ01-AXZ010105</v>
      </c>
      <c r="D43" s="100" t="str">
        <f>IF($B43&lt;&gt;"",_xlfn.IFNA(VLOOKUP($B43,'Node Details'!$B:$U,D$1,0),"Check"),"")</f>
        <v>AXZ</v>
      </c>
      <c r="E43" s="100" t="str">
        <f>IF($B43&lt;&gt;"",_xlfn.IFNA(VLOOKUP($B43,'Node Details'!$B:$U,E$1,0),"Check"),"")</f>
        <v>Airtel</v>
      </c>
      <c r="F43" s="101">
        <v>46110</v>
      </c>
      <c r="G43" s="100"/>
      <c r="H43" s="102" t="s">
        <v>1256</v>
      </c>
      <c r="I43" s="9">
        <v>1</v>
      </c>
      <c r="J43" s="9">
        <v>48</v>
      </c>
      <c r="K43" s="100">
        <f t="shared" si="0"/>
        <v>48</v>
      </c>
      <c r="L43" s="78">
        <v>46110</v>
      </c>
      <c r="M43" s="103"/>
      <c r="N43" s="93" t="s">
        <v>90</v>
      </c>
      <c r="O43" s="94">
        <v>46141</v>
      </c>
      <c r="P43" s="104">
        <f t="shared" si="7"/>
        <v>48</v>
      </c>
      <c r="Q43" s="104">
        <f t="shared" si="8"/>
        <v>48</v>
      </c>
      <c r="R43" s="103"/>
      <c r="S43" s="93" t="s">
        <v>91</v>
      </c>
      <c r="T43" s="94">
        <v>46153</v>
      </c>
      <c r="U43" s="104">
        <f t="shared" si="9"/>
        <v>48</v>
      </c>
      <c r="V43" s="104">
        <f t="shared" si="10"/>
        <v>1</v>
      </c>
      <c r="W43" s="103">
        <f t="shared" si="11"/>
        <v>48</v>
      </c>
      <c r="X43" s="93" t="s">
        <v>89</v>
      </c>
      <c r="Y43" s="105" t="s">
        <v>84</v>
      </c>
      <c r="Z43" s="105" t="s">
        <v>93</v>
      </c>
    </row>
    <row r="44" spans="1:26" s="105" customFormat="1" ht="15" customHeight="1">
      <c r="A44" s="99">
        <f t="shared" si="6"/>
        <v>42</v>
      </c>
      <c r="B44" s="75" t="s">
        <v>960</v>
      </c>
      <c r="C44" s="100" t="str">
        <f>IF($B44&lt;&gt;"",_xlfn.IFNA(VLOOKUP($B44,'Node Details'!$B:$U,C$1,0),"Check"),"")</f>
        <v>0000AXZ01-AXZ010105</v>
      </c>
      <c r="D44" s="100" t="str">
        <f>IF($B44&lt;&gt;"",_xlfn.IFNA(VLOOKUP($B44,'Node Details'!$B:$U,D$1,0),"Check"),"")</f>
        <v>AXZ</v>
      </c>
      <c r="E44" s="100" t="str">
        <f>IF($B44&lt;&gt;"",_xlfn.IFNA(VLOOKUP($B44,'Node Details'!$B:$U,E$1,0),"Check"),"")</f>
        <v>Airtel</v>
      </c>
      <c r="F44" s="101">
        <v>46110</v>
      </c>
      <c r="G44" s="100"/>
      <c r="H44" s="102" t="s">
        <v>1256</v>
      </c>
      <c r="I44" s="9">
        <v>1</v>
      </c>
      <c r="J44" s="9">
        <v>48</v>
      </c>
      <c r="K44" s="100">
        <f t="shared" si="0"/>
        <v>48</v>
      </c>
      <c r="L44" s="78">
        <v>46110</v>
      </c>
      <c r="M44" s="103"/>
      <c r="N44" s="93" t="s">
        <v>90</v>
      </c>
      <c r="O44" s="94">
        <v>46141</v>
      </c>
      <c r="P44" s="104">
        <f t="shared" si="7"/>
        <v>48</v>
      </c>
      <c r="Q44" s="104">
        <f t="shared" si="8"/>
        <v>48</v>
      </c>
      <c r="R44" s="103"/>
      <c r="S44" s="93" t="s">
        <v>91</v>
      </c>
      <c r="T44" s="94">
        <v>46153</v>
      </c>
      <c r="U44" s="104">
        <f t="shared" si="9"/>
        <v>48</v>
      </c>
      <c r="V44" s="104">
        <f t="shared" si="10"/>
        <v>1</v>
      </c>
      <c r="W44" s="103">
        <f t="shared" si="11"/>
        <v>48</v>
      </c>
      <c r="X44" s="93" t="s">
        <v>89</v>
      </c>
      <c r="Y44" s="105" t="s">
        <v>84</v>
      </c>
      <c r="Z44" s="105" t="s">
        <v>93</v>
      </c>
    </row>
    <row r="45" spans="1:26" s="105" customFormat="1" ht="15" customHeight="1">
      <c r="A45" s="99">
        <f t="shared" si="6"/>
        <v>43</v>
      </c>
      <c r="B45" s="75" t="s">
        <v>106</v>
      </c>
      <c r="C45" s="100" t="str">
        <f>IF($B45&lt;&gt;"",_xlfn.IFNA(VLOOKUP($B45,'Node Details'!$B:$U,C$1,0),"Check"),"")</f>
        <v>0000AXZ01-AXZ010105</v>
      </c>
      <c r="D45" s="100" t="str">
        <f>IF($B45&lt;&gt;"",_xlfn.IFNA(VLOOKUP($B45,'Node Details'!$B:$U,D$1,0),"Check"),"")</f>
        <v>AXZ</v>
      </c>
      <c r="E45" s="100" t="str">
        <f>IF($B45&lt;&gt;"",_xlfn.IFNA(VLOOKUP($B45,'Node Details'!$B:$U,E$1,0),"Check"),"")</f>
        <v>Airtel</v>
      </c>
      <c r="F45" s="101">
        <v>46110</v>
      </c>
      <c r="G45" s="100"/>
      <c r="H45" s="102" t="s">
        <v>1256</v>
      </c>
      <c r="I45" s="9">
        <v>1</v>
      </c>
      <c r="J45" s="9">
        <v>48</v>
      </c>
      <c r="K45" s="100">
        <f t="shared" si="0"/>
        <v>48</v>
      </c>
      <c r="L45" s="78">
        <v>46110</v>
      </c>
      <c r="M45" s="103"/>
      <c r="N45" s="93" t="s">
        <v>90</v>
      </c>
      <c r="O45" s="94">
        <v>46141</v>
      </c>
      <c r="P45" s="104">
        <f t="shared" si="7"/>
        <v>48</v>
      </c>
      <c r="Q45" s="104">
        <f t="shared" si="8"/>
        <v>48</v>
      </c>
      <c r="R45" s="103"/>
      <c r="S45" s="93" t="s">
        <v>91</v>
      </c>
      <c r="T45" s="94">
        <v>46153</v>
      </c>
      <c r="U45" s="104">
        <f t="shared" si="9"/>
        <v>48</v>
      </c>
      <c r="V45" s="104">
        <f t="shared" si="10"/>
        <v>1</v>
      </c>
      <c r="W45" s="103">
        <f t="shared" si="11"/>
        <v>48</v>
      </c>
      <c r="X45" s="93" t="s">
        <v>89</v>
      </c>
      <c r="Y45" s="105" t="s">
        <v>84</v>
      </c>
      <c r="Z45" s="105" t="s">
        <v>93</v>
      </c>
    </row>
    <row r="46" spans="1:26" s="105" customFormat="1" ht="15" customHeight="1">
      <c r="A46" s="99">
        <f t="shared" si="6"/>
        <v>44</v>
      </c>
      <c r="B46" s="75" t="s">
        <v>961</v>
      </c>
      <c r="C46" s="100" t="str">
        <f>IF($B46&lt;&gt;"",_xlfn.IFNA(VLOOKUP($B46,'Node Details'!$B:$U,C$1,0),"Check"),"")</f>
        <v>0000AXZ01-AXZ010202</v>
      </c>
      <c r="D46" s="100" t="str">
        <f>IF($B46&lt;&gt;"",_xlfn.IFNA(VLOOKUP($B46,'Node Details'!$B:$U,D$1,0),"Check"),"")</f>
        <v>AXZ</v>
      </c>
      <c r="E46" s="100" t="str">
        <f>IF($B46&lt;&gt;"",_xlfn.IFNA(VLOOKUP($B46,'Node Details'!$B:$U,E$1,0),"Check"),"")</f>
        <v>Airtel</v>
      </c>
      <c r="F46" s="101">
        <v>46110</v>
      </c>
      <c r="G46" s="100"/>
      <c r="H46" s="102" t="s">
        <v>1256</v>
      </c>
      <c r="I46" s="9">
        <v>1</v>
      </c>
      <c r="J46" s="9">
        <v>48</v>
      </c>
      <c r="K46" s="100">
        <f t="shared" si="0"/>
        <v>48</v>
      </c>
      <c r="L46" s="78">
        <v>46110</v>
      </c>
      <c r="M46" s="103"/>
      <c r="N46" s="93" t="s">
        <v>90</v>
      </c>
      <c r="O46" s="94">
        <v>46141</v>
      </c>
      <c r="P46" s="104">
        <f t="shared" si="7"/>
        <v>48</v>
      </c>
      <c r="Q46" s="104">
        <f t="shared" si="8"/>
        <v>48</v>
      </c>
      <c r="R46" s="103"/>
      <c r="S46" s="93" t="s">
        <v>91</v>
      </c>
      <c r="T46" s="94">
        <v>46153</v>
      </c>
      <c r="U46" s="104">
        <f t="shared" si="9"/>
        <v>48</v>
      </c>
      <c r="V46" s="104">
        <f t="shared" si="10"/>
        <v>1</v>
      </c>
      <c r="W46" s="103">
        <f t="shared" si="11"/>
        <v>48</v>
      </c>
      <c r="X46" s="93" t="s">
        <v>89</v>
      </c>
      <c r="Y46" s="105" t="s">
        <v>84</v>
      </c>
      <c r="Z46" s="105" t="s">
        <v>93</v>
      </c>
    </row>
    <row r="47" spans="1:26" s="105" customFormat="1" ht="15" customHeight="1">
      <c r="A47" s="99">
        <f t="shared" si="6"/>
        <v>45</v>
      </c>
      <c r="B47" s="75" t="s">
        <v>962</v>
      </c>
      <c r="C47" s="100" t="str">
        <f>IF($B47&lt;&gt;"",_xlfn.IFNA(VLOOKUP($B47,'Node Details'!$B:$U,C$1,0),"Check"),"")</f>
        <v>0000AXZ01-AXZ010202</v>
      </c>
      <c r="D47" s="100" t="str">
        <f>IF($B47&lt;&gt;"",_xlfn.IFNA(VLOOKUP($B47,'Node Details'!$B:$U,D$1,0),"Check"),"")</f>
        <v>AXZ</v>
      </c>
      <c r="E47" s="100" t="str">
        <f>IF($B47&lt;&gt;"",_xlfn.IFNA(VLOOKUP($B47,'Node Details'!$B:$U,E$1,0),"Check"),"")</f>
        <v>Airtel</v>
      </c>
      <c r="F47" s="101">
        <v>46110</v>
      </c>
      <c r="G47" s="100"/>
      <c r="H47" s="102" t="s">
        <v>1256</v>
      </c>
      <c r="I47" s="9">
        <v>1</v>
      </c>
      <c r="J47" s="9">
        <v>48</v>
      </c>
      <c r="K47" s="100">
        <f t="shared" si="0"/>
        <v>48</v>
      </c>
      <c r="L47" s="78">
        <v>46110</v>
      </c>
      <c r="M47" s="103"/>
      <c r="N47" s="93" t="s">
        <v>90</v>
      </c>
      <c r="O47" s="94">
        <v>46141</v>
      </c>
      <c r="P47" s="104">
        <f t="shared" si="7"/>
        <v>48</v>
      </c>
      <c r="Q47" s="104">
        <f t="shared" si="8"/>
        <v>48</v>
      </c>
      <c r="R47" s="103"/>
      <c r="S47" s="93" t="s">
        <v>91</v>
      </c>
      <c r="T47" s="94">
        <v>46153</v>
      </c>
      <c r="U47" s="104">
        <f t="shared" si="9"/>
        <v>48</v>
      </c>
      <c r="V47" s="104">
        <f t="shared" si="10"/>
        <v>1</v>
      </c>
      <c r="W47" s="103">
        <f t="shared" si="11"/>
        <v>48</v>
      </c>
      <c r="X47" s="93" t="s">
        <v>89</v>
      </c>
      <c r="Y47" s="105" t="s">
        <v>84</v>
      </c>
      <c r="Z47" s="105" t="s">
        <v>93</v>
      </c>
    </row>
    <row r="48" spans="1:26" s="105" customFormat="1" ht="15" customHeight="1">
      <c r="A48" s="99">
        <f t="shared" si="6"/>
        <v>46</v>
      </c>
      <c r="B48" s="75" t="s">
        <v>963</v>
      </c>
      <c r="C48" s="100" t="str">
        <f>IF($B48&lt;&gt;"",_xlfn.IFNA(VLOOKUP($B48,'Node Details'!$B:$U,C$1,0),"Check"),"")</f>
        <v>0000AXZ01-AXZ010202</v>
      </c>
      <c r="D48" s="100" t="str">
        <f>IF($B48&lt;&gt;"",_xlfn.IFNA(VLOOKUP($B48,'Node Details'!$B:$U,D$1,0),"Check"),"")</f>
        <v>AXZ</v>
      </c>
      <c r="E48" s="100" t="str">
        <f>IF($B48&lt;&gt;"",_xlfn.IFNA(VLOOKUP($B48,'Node Details'!$B:$U,E$1,0),"Check"),"")</f>
        <v>Airtel</v>
      </c>
      <c r="F48" s="101">
        <v>46110</v>
      </c>
      <c r="G48" s="100"/>
      <c r="H48" s="102" t="s">
        <v>1256</v>
      </c>
      <c r="I48" s="9">
        <v>1</v>
      </c>
      <c r="J48" s="9">
        <v>48</v>
      </c>
      <c r="K48" s="100">
        <f t="shared" si="0"/>
        <v>48</v>
      </c>
      <c r="L48" s="78">
        <v>46110</v>
      </c>
      <c r="M48" s="103"/>
      <c r="N48" s="93" t="s">
        <v>90</v>
      </c>
      <c r="O48" s="94">
        <v>46141</v>
      </c>
      <c r="P48" s="104">
        <f t="shared" si="7"/>
        <v>48</v>
      </c>
      <c r="Q48" s="104">
        <f t="shared" si="8"/>
        <v>48</v>
      </c>
      <c r="R48" s="103"/>
      <c r="S48" s="93" t="s">
        <v>91</v>
      </c>
      <c r="T48" s="94">
        <v>46153</v>
      </c>
      <c r="U48" s="104">
        <f t="shared" si="9"/>
        <v>48</v>
      </c>
      <c r="V48" s="104">
        <f t="shared" si="10"/>
        <v>1</v>
      </c>
      <c r="W48" s="103">
        <f t="shared" si="11"/>
        <v>48</v>
      </c>
      <c r="X48" s="93" t="s">
        <v>89</v>
      </c>
      <c r="Y48" s="105" t="s">
        <v>84</v>
      </c>
      <c r="Z48" s="105" t="s">
        <v>93</v>
      </c>
    </row>
    <row r="49" spans="1:26" s="105" customFormat="1" ht="15" customHeight="1">
      <c r="A49" s="99">
        <f t="shared" si="6"/>
        <v>47</v>
      </c>
      <c r="B49" s="75" t="s">
        <v>964</v>
      </c>
      <c r="C49" s="100" t="str">
        <f>IF($B49&lt;&gt;"",_xlfn.IFNA(VLOOKUP($B49,'Node Details'!$B:$U,C$1,0),"Check"),"")</f>
        <v>0000AXZ01-AXZ010202</v>
      </c>
      <c r="D49" s="100" t="str">
        <f>IF($B49&lt;&gt;"",_xlfn.IFNA(VLOOKUP($B49,'Node Details'!$B:$U,D$1,0),"Check"),"")</f>
        <v>AXZ</v>
      </c>
      <c r="E49" s="100" t="str">
        <f>IF($B49&lt;&gt;"",_xlfn.IFNA(VLOOKUP($B49,'Node Details'!$B:$U,E$1,0),"Check"),"")</f>
        <v>Airtel</v>
      </c>
      <c r="F49" s="101">
        <v>46110</v>
      </c>
      <c r="G49" s="100"/>
      <c r="H49" s="102" t="s">
        <v>1256</v>
      </c>
      <c r="I49" s="9">
        <v>1</v>
      </c>
      <c r="J49" s="9">
        <v>48</v>
      </c>
      <c r="K49" s="100">
        <f t="shared" si="0"/>
        <v>48</v>
      </c>
      <c r="L49" s="78">
        <v>46110</v>
      </c>
      <c r="M49" s="103"/>
      <c r="N49" s="93" t="s">
        <v>90</v>
      </c>
      <c r="O49" s="94">
        <v>46141</v>
      </c>
      <c r="P49" s="104">
        <f t="shared" si="7"/>
        <v>48</v>
      </c>
      <c r="Q49" s="104">
        <f t="shared" si="8"/>
        <v>48</v>
      </c>
      <c r="R49" s="103"/>
      <c r="S49" s="93" t="s">
        <v>91</v>
      </c>
      <c r="T49" s="94">
        <v>46153</v>
      </c>
      <c r="U49" s="104">
        <f t="shared" si="9"/>
        <v>48</v>
      </c>
      <c r="V49" s="104">
        <f t="shared" si="10"/>
        <v>1</v>
      </c>
      <c r="W49" s="103">
        <f t="shared" si="11"/>
        <v>48</v>
      </c>
      <c r="X49" s="93" t="s">
        <v>89</v>
      </c>
      <c r="Y49" s="105" t="s">
        <v>84</v>
      </c>
      <c r="Z49" s="105" t="s">
        <v>93</v>
      </c>
    </row>
    <row r="50" spans="1:26" s="105" customFormat="1" ht="15" customHeight="1">
      <c r="A50" s="99">
        <f t="shared" si="6"/>
        <v>48</v>
      </c>
      <c r="B50" s="75" t="s">
        <v>109</v>
      </c>
      <c r="C50" s="100" t="str">
        <f>IF($B50&lt;&gt;"",_xlfn.IFNA(VLOOKUP($B50,'Node Details'!$B:$U,C$1,0),"Check"),"")</f>
        <v>0000AXZ01-AXZ010202</v>
      </c>
      <c r="D50" s="100" t="str">
        <f>IF($B50&lt;&gt;"",_xlfn.IFNA(VLOOKUP($B50,'Node Details'!$B:$U,D$1,0),"Check"),"")</f>
        <v>AXZ</v>
      </c>
      <c r="E50" s="100" t="str">
        <f>IF($B50&lt;&gt;"",_xlfn.IFNA(VLOOKUP($B50,'Node Details'!$B:$U,E$1,0),"Check"),"")</f>
        <v>Airtel</v>
      </c>
      <c r="F50" s="101">
        <v>46110</v>
      </c>
      <c r="G50" s="100"/>
      <c r="H50" s="102" t="s">
        <v>1256</v>
      </c>
      <c r="I50" s="9">
        <v>1</v>
      </c>
      <c r="J50" s="9">
        <v>48</v>
      </c>
      <c r="K50" s="100">
        <f t="shared" si="0"/>
        <v>48</v>
      </c>
      <c r="L50" s="78">
        <v>46110</v>
      </c>
      <c r="M50" s="103"/>
      <c r="N50" s="93" t="s">
        <v>90</v>
      </c>
      <c r="O50" s="94">
        <v>46141</v>
      </c>
      <c r="P50" s="104">
        <f t="shared" si="7"/>
        <v>48</v>
      </c>
      <c r="Q50" s="104">
        <f t="shared" si="8"/>
        <v>48</v>
      </c>
      <c r="R50" s="103"/>
      <c r="S50" s="93" t="s">
        <v>91</v>
      </c>
      <c r="T50" s="94">
        <v>46153</v>
      </c>
      <c r="U50" s="104">
        <f t="shared" si="9"/>
        <v>48</v>
      </c>
      <c r="V50" s="104">
        <f t="shared" si="10"/>
        <v>1</v>
      </c>
      <c r="W50" s="103">
        <f t="shared" si="11"/>
        <v>48</v>
      </c>
      <c r="X50" s="93" t="s">
        <v>89</v>
      </c>
      <c r="Y50" s="105" t="s">
        <v>84</v>
      </c>
      <c r="Z50" s="105" t="s">
        <v>93</v>
      </c>
    </row>
    <row r="51" spans="1:26" s="105" customFormat="1" ht="15" customHeight="1">
      <c r="A51" s="99">
        <f t="shared" si="6"/>
        <v>49</v>
      </c>
      <c r="B51" s="75" t="s">
        <v>112</v>
      </c>
      <c r="C51" s="100" t="str">
        <f>IF($B51&lt;&gt;"",_xlfn.IFNA(VLOOKUP($B51,'Node Details'!$B:$U,C$1,0),"Check"),"")</f>
        <v>000000AXZ-0000AXZ03</v>
      </c>
      <c r="D51" s="100" t="str">
        <f>IF($B51&lt;&gt;"",_xlfn.IFNA(VLOOKUP($B51,'Node Details'!$B:$U,D$1,0),"Check"),"")</f>
        <v>AXZ</v>
      </c>
      <c r="E51" s="100" t="str">
        <f>IF($B51&lt;&gt;"",_xlfn.IFNA(VLOOKUP($B51,'Node Details'!$B:$U,E$1,0),"Check"),"")</f>
        <v>Airtel</v>
      </c>
      <c r="F51" s="101">
        <v>46110</v>
      </c>
      <c r="G51" s="100"/>
      <c r="H51" s="102" t="s">
        <v>1256</v>
      </c>
      <c r="I51" s="9">
        <v>1</v>
      </c>
      <c r="J51" s="9">
        <v>48</v>
      </c>
      <c r="K51" s="100">
        <f t="shared" si="0"/>
        <v>48</v>
      </c>
      <c r="L51" s="78">
        <v>46110</v>
      </c>
      <c r="M51" s="103"/>
      <c r="N51" s="93" t="s">
        <v>90</v>
      </c>
      <c r="O51" s="94">
        <v>46141</v>
      </c>
      <c r="P51" s="104">
        <f t="shared" si="7"/>
        <v>48</v>
      </c>
      <c r="Q51" s="104">
        <f t="shared" si="8"/>
        <v>48</v>
      </c>
      <c r="R51" s="103"/>
      <c r="S51" s="93" t="s">
        <v>91</v>
      </c>
      <c r="T51" s="94">
        <v>46153</v>
      </c>
      <c r="U51" s="104">
        <f t="shared" si="9"/>
        <v>48</v>
      </c>
      <c r="V51" s="104">
        <f t="shared" si="10"/>
        <v>1</v>
      </c>
      <c r="W51" s="103">
        <f t="shared" si="11"/>
        <v>48</v>
      </c>
      <c r="X51" s="93" t="s">
        <v>89</v>
      </c>
      <c r="Y51" s="105" t="s">
        <v>84</v>
      </c>
      <c r="Z51" s="105" t="s">
        <v>93</v>
      </c>
    </row>
    <row r="52" spans="1:26" s="105" customFormat="1" ht="15" customHeight="1">
      <c r="A52" s="99">
        <f t="shared" si="6"/>
        <v>50</v>
      </c>
      <c r="B52" s="75" t="s">
        <v>113</v>
      </c>
      <c r="C52" s="100" t="str">
        <f>IF($B52&lt;&gt;"",_xlfn.IFNA(VLOOKUP($B52,'Node Details'!$B:$U,C$1,0),"Check"),"")</f>
        <v>0000AXZ02-AXZ020101</v>
      </c>
      <c r="D52" s="100" t="str">
        <f>IF($B52&lt;&gt;"",_xlfn.IFNA(VLOOKUP($B52,'Node Details'!$B:$U,D$1,0),"Check"),"")</f>
        <v>AXZ</v>
      </c>
      <c r="E52" s="100" t="str">
        <f>IF($B52&lt;&gt;"",_xlfn.IFNA(VLOOKUP($B52,'Node Details'!$B:$U,E$1,0),"Check"),"")</f>
        <v>Airtel</v>
      </c>
      <c r="F52" s="101">
        <v>46110</v>
      </c>
      <c r="G52" s="100"/>
      <c r="H52" s="102" t="s">
        <v>1256</v>
      </c>
      <c r="I52" s="9">
        <v>1</v>
      </c>
      <c r="J52" s="9">
        <v>48</v>
      </c>
      <c r="K52" s="100">
        <f t="shared" si="0"/>
        <v>48</v>
      </c>
      <c r="L52" s="78">
        <v>46110</v>
      </c>
      <c r="M52" s="103"/>
      <c r="N52" s="93" t="s">
        <v>90</v>
      </c>
      <c r="O52" s="94">
        <v>46141</v>
      </c>
      <c r="P52" s="104">
        <f t="shared" si="7"/>
        <v>48</v>
      </c>
      <c r="Q52" s="104">
        <f t="shared" si="8"/>
        <v>48</v>
      </c>
      <c r="R52" s="103"/>
      <c r="S52" s="93" t="s">
        <v>91</v>
      </c>
      <c r="T52" s="94">
        <v>46153</v>
      </c>
      <c r="U52" s="104">
        <f t="shared" si="9"/>
        <v>48</v>
      </c>
      <c r="V52" s="104">
        <f t="shared" si="10"/>
        <v>1</v>
      </c>
      <c r="W52" s="103">
        <f t="shared" si="11"/>
        <v>48</v>
      </c>
      <c r="X52" s="93" t="s">
        <v>89</v>
      </c>
      <c r="Y52" s="105" t="s">
        <v>84</v>
      </c>
      <c r="Z52" s="105" t="s">
        <v>93</v>
      </c>
    </row>
    <row r="53" spans="1:26" s="105" customFormat="1" ht="15" customHeight="1">
      <c r="A53" s="99">
        <f t="shared" si="6"/>
        <v>51</v>
      </c>
      <c r="B53" s="75" t="s">
        <v>965</v>
      </c>
      <c r="C53" s="100" t="str">
        <f>IF($B53&lt;&gt;"",_xlfn.IFNA(VLOOKUP($B53,'Node Details'!$B:$U,C$1,0),"Check"),"")</f>
        <v>0000AXZ02-AXZ020103</v>
      </c>
      <c r="D53" s="100" t="str">
        <f>IF($B53&lt;&gt;"",_xlfn.IFNA(VLOOKUP($B53,'Node Details'!$B:$U,D$1,0),"Check"),"")</f>
        <v>AXZ</v>
      </c>
      <c r="E53" s="100" t="str">
        <f>IF($B53&lt;&gt;"",_xlfn.IFNA(VLOOKUP($B53,'Node Details'!$B:$U,E$1,0),"Check"),"")</f>
        <v>Airtel</v>
      </c>
      <c r="F53" s="101">
        <v>46110</v>
      </c>
      <c r="G53" s="100"/>
      <c r="H53" s="102" t="s">
        <v>1256</v>
      </c>
      <c r="I53" s="9">
        <v>1</v>
      </c>
      <c r="J53" s="9">
        <v>48</v>
      </c>
      <c r="K53" s="100">
        <f t="shared" si="0"/>
        <v>48</v>
      </c>
      <c r="L53" s="78">
        <v>46110</v>
      </c>
      <c r="M53" s="103"/>
      <c r="N53" s="93" t="s">
        <v>90</v>
      </c>
      <c r="O53" s="94">
        <v>46141</v>
      </c>
      <c r="P53" s="104">
        <f t="shared" si="7"/>
        <v>48</v>
      </c>
      <c r="Q53" s="104">
        <f t="shared" si="8"/>
        <v>48</v>
      </c>
      <c r="R53" s="103"/>
      <c r="S53" s="93" t="s">
        <v>91</v>
      </c>
      <c r="T53" s="94">
        <v>46153</v>
      </c>
      <c r="U53" s="104">
        <f t="shared" si="9"/>
        <v>48</v>
      </c>
      <c r="V53" s="104">
        <f t="shared" si="10"/>
        <v>1</v>
      </c>
      <c r="W53" s="103">
        <f t="shared" si="11"/>
        <v>48</v>
      </c>
      <c r="X53" s="93" t="s">
        <v>89</v>
      </c>
      <c r="Y53" s="105" t="s">
        <v>84</v>
      </c>
      <c r="Z53" s="105" t="s">
        <v>93</v>
      </c>
    </row>
    <row r="54" spans="1:26" s="105" customFormat="1" ht="15" customHeight="1">
      <c r="A54" s="99">
        <f t="shared" si="6"/>
        <v>52</v>
      </c>
      <c r="B54" s="75" t="s">
        <v>116</v>
      </c>
      <c r="C54" s="100" t="str">
        <f>IF($B54&lt;&gt;"",_xlfn.IFNA(VLOOKUP($B54,'Node Details'!$B:$U,C$1,0),"Check"),"")</f>
        <v>0000AXZ02-AXZ020103</v>
      </c>
      <c r="D54" s="100" t="str">
        <f>IF($B54&lt;&gt;"",_xlfn.IFNA(VLOOKUP($B54,'Node Details'!$B:$U,D$1,0),"Check"),"")</f>
        <v>AXZ</v>
      </c>
      <c r="E54" s="100" t="str">
        <f>IF($B54&lt;&gt;"",_xlfn.IFNA(VLOOKUP($B54,'Node Details'!$B:$U,E$1,0),"Check"),"")</f>
        <v>Airtel</v>
      </c>
      <c r="F54" s="101">
        <v>46110</v>
      </c>
      <c r="G54" s="100"/>
      <c r="H54" s="102" t="s">
        <v>1256</v>
      </c>
      <c r="I54" s="9">
        <v>1</v>
      </c>
      <c r="J54" s="9">
        <v>48</v>
      </c>
      <c r="K54" s="100">
        <f t="shared" si="0"/>
        <v>48</v>
      </c>
      <c r="L54" s="78">
        <v>46110</v>
      </c>
      <c r="M54" s="103"/>
      <c r="N54" s="93" t="s">
        <v>90</v>
      </c>
      <c r="O54" s="94">
        <v>46141</v>
      </c>
      <c r="P54" s="104">
        <f t="shared" si="7"/>
        <v>48</v>
      </c>
      <c r="Q54" s="104">
        <f t="shared" si="8"/>
        <v>48</v>
      </c>
      <c r="R54" s="103"/>
      <c r="S54" s="93" t="s">
        <v>91</v>
      </c>
      <c r="T54" s="94">
        <v>46153</v>
      </c>
      <c r="U54" s="104">
        <f t="shared" si="9"/>
        <v>48</v>
      </c>
      <c r="V54" s="104">
        <f t="shared" si="10"/>
        <v>1</v>
      </c>
      <c r="W54" s="103">
        <f t="shared" si="11"/>
        <v>48</v>
      </c>
      <c r="X54" s="93" t="s">
        <v>89</v>
      </c>
      <c r="Y54" s="105" t="s">
        <v>84</v>
      </c>
      <c r="Z54" s="105" t="s">
        <v>93</v>
      </c>
    </row>
    <row r="55" spans="1:26" s="105" customFormat="1" ht="15" customHeight="1">
      <c r="A55" s="99">
        <f t="shared" si="6"/>
        <v>53</v>
      </c>
      <c r="B55" s="75" t="s">
        <v>966</v>
      </c>
      <c r="C55" s="100" t="str">
        <f>IF($B55&lt;&gt;"",_xlfn.IFNA(VLOOKUP($B55,'Node Details'!$B:$U,C$1,0),"Check"),"")</f>
        <v>0000AXZ02-AXZ020203</v>
      </c>
      <c r="D55" s="100" t="str">
        <f>IF($B55&lt;&gt;"",_xlfn.IFNA(VLOOKUP($B55,'Node Details'!$B:$U,D$1,0),"Check"),"")</f>
        <v>AXZ</v>
      </c>
      <c r="E55" s="100" t="str">
        <f>IF($B55&lt;&gt;"",_xlfn.IFNA(VLOOKUP($B55,'Node Details'!$B:$U,E$1,0),"Check"),"")</f>
        <v>Airtel</v>
      </c>
      <c r="F55" s="101">
        <v>46110</v>
      </c>
      <c r="G55" s="103"/>
      <c r="H55" s="102" t="s">
        <v>1256</v>
      </c>
      <c r="I55" s="9">
        <v>1</v>
      </c>
      <c r="J55" s="9">
        <v>48</v>
      </c>
      <c r="K55" s="100">
        <f t="shared" si="0"/>
        <v>48</v>
      </c>
      <c r="L55" s="78">
        <v>46110</v>
      </c>
      <c r="M55" s="103"/>
      <c r="N55" s="93" t="s">
        <v>90</v>
      </c>
      <c r="O55" s="94">
        <v>46141</v>
      </c>
      <c r="P55" s="104">
        <f t="shared" si="7"/>
        <v>48</v>
      </c>
      <c r="Q55" s="104">
        <f t="shared" si="8"/>
        <v>48</v>
      </c>
      <c r="R55" s="104"/>
      <c r="S55" s="93" t="s">
        <v>91</v>
      </c>
      <c r="T55" s="94">
        <v>46153</v>
      </c>
      <c r="U55" s="104">
        <f t="shared" si="9"/>
        <v>48</v>
      </c>
      <c r="V55" s="104">
        <f t="shared" si="10"/>
        <v>1</v>
      </c>
      <c r="W55" s="103">
        <f t="shared" si="11"/>
        <v>48</v>
      </c>
      <c r="X55" s="93" t="s">
        <v>89</v>
      </c>
      <c r="Y55" s="105" t="s">
        <v>84</v>
      </c>
      <c r="Z55" s="105" t="s">
        <v>93</v>
      </c>
    </row>
    <row r="56" spans="1:26" s="105" customFormat="1" ht="15" customHeight="1">
      <c r="A56" s="99">
        <f t="shared" si="6"/>
        <v>54</v>
      </c>
      <c r="B56" s="75" t="s">
        <v>967</v>
      </c>
      <c r="C56" s="100" t="str">
        <f>IF($B56&lt;&gt;"",_xlfn.IFNA(VLOOKUP($B56,'Node Details'!$B:$U,C$1,0),"Check"),"")</f>
        <v>0000AXZ02-AXZ020203</v>
      </c>
      <c r="D56" s="100" t="str">
        <f>IF($B56&lt;&gt;"",_xlfn.IFNA(VLOOKUP($B56,'Node Details'!$B:$U,D$1,0),"Check"),"")</f>
        <v>AXZ</v>
      </c>
      <c r="E56" s="100" t="str">
        <f>IF($B56&lt;&gt;"",_xlfn.IFNA(VLOOKUP($B56,'Node Details'!$B:$U,E$1,0),"Check"),"")</f>
        <v>Airtel</v>
      </c>
      <c r="F56" s="101">
        <v>46110</v>
      </c>
      <c r="G56" s="103"/>
      <c r="H56" s="102" t="s">
        <v>1256</v>
      </c>
      <c r="I56" s="9">
        <v>1</v>
      </c>
      <c r="J56" s="9">
        <v>48</v>
      </c>
      <c r="K56" s="100">
        <f t="shared" si="0"/>
        <v>48</v>
      </c>
      <c r="L56" s="78">
        <v>46110</v>
      </c>
      <c r="M56" s="103"/>
      <c r="N56" s="93" t="s">
        <v>90</v>
      </c>
      <c r="O56" s="94">
        <v>46141</v>
      </c>
      <c r="P56" s="104">
        <f t="shared" si="7"/>
        <v>48</v>
      </c>
      <c r="Q56" s="104">
        <f t="shared" si="8"/>
        <v>48</v>
      </c>
      <c r="R56" s="104"/>
      <c r="S56" s="93" t="s">
        <v>91</v>
      </c>
      <c r="T56" s="94">
        <v>46153</v>
      </c>
      <c r="U56" s="104">
        <f t="shared" si="9"/>
        <v>48</v>
      </c>
      <c r="V56" s="104">
        <f t="shared" si="10"/>
        <v>1</v>
      </c>
      <c r="W56" s="103">
        <f t="shared" si="11"/>
        <v>48</v>
      </c>
      <c r="X56" s="93" t="s">
        <v>89</v>
      </c>
      <c r="Y56" s="105" t="s">
        <v>84</v>
      </c>
      <c r="Z56" s="105" t="s">
        <v>93</v>
      </c>
    </row>
    <row r="57" spans="1:26" s="105" customFormat="1" ht="15" customHeight="1">
      <c r="A57" s="99">
        <f t="shared" si="6"/>
        <v>55</v>
      </c>
      <c r="B57" s="75" t="s">
        <v>968</v>
      </c>
      <c r="C57" s="100" t="str">
        <f>IF($B57&lt;&gt;"",_xlfn.IFNA(VLOOKUP($B57,'Node Details'!$B:$U,C$1,0),"Check"),"")</f>
        <v>0000AXZ02-AXZ020203</v>
      </c>
      <c r="D57" s="100" t="str">
        <f>IF($B57&lt;&gt;"",_xlfn.IFNA(VLOOKUP($B57,'Node Details'!$B:$U,D$1,0),"Check"),"")</f>
        <v>AXZ</v>
      </c>
      <c r="E57" s="100" t="str">
        <f>IF($B57&lt;&gt;"",_xlfn.IFNA(VLOOKUP($B57,'Node Details'!$B:$U,E$1,0),"Check"),"")</f>
        <v>Airtel</v>
      </c>
      <c r="F57" s="101">
        <v>46110</v>
      </c>
      <c r="G57" s="103"/>
      <c r="H57" s="102" t="s">
        <v>1256</v>
      </c>
      <c r="I57" s="9">
        <v>1</v>
      </c>
      <c r="J57" s="9">
        <v>48</v>
      </c>
      <c r="K57" s="100">
        <f t="shared" si="0"/>
        <v>48</v>
      </c>
      <c r="L57" s="78">
        <v>46110</v>
      </c>
      <c r="M57" s="103"/>
      <c r="N57" s="93" t="s">
        <v>90</v>
      </c>
      <c r="O57" s="94">
        <v>46141</v>
      </c>
      <c r="P57" s="104">
        <f t="shared" si="7"/>
        <v>48</v>
      </c>
      <c r="Q57" s="104">
        <f t="shared" si="8"/>
        <v>48</v>
      </c>
      <c r="R57" s="104"/>
      <c r="S57" s="93" t="s">
        <v>91</v>
      </c>
      <c r="T57" s="94">
        <v>46153</v>
      </c>
      <c r="U57" s="104">
        <f t="shared" si="9"/>
        <v>48</v>
      </c>
      <c r="V57" s="104">
        <f t="shared" si="10"/>
        <v>1</v>
      </c>
      <c r="W57" s="103">
        <f t="shared" si="11"/>
        <v>48</v>
      </c>
      <c r="X57" s="93" t="s">
        <v>89</v>
      </c>
      <c r="Y57" s="105" t="s">
        <v>84</v>
      </c>
      <c r="Z57" s="105" t="s">
        <v>93</v>
      </c>
    </row>
    <row r="58" spans="1:26" s="105" customFormat="1" ht="15" customHeight="1">
      <c r="A58" s="99">
        <f t="shared" si="6"/>
        <v>56</v>
      </c>
      <c r="B58" s="75" t="s">
        <v>969</v>
      </c>
      <c r="C58" s="100" t="str">
        <f>IF($B58&lt;&gt;"",_xlfn.IFNA(VLOOKUP($B58,'Node Details'!$B:$U,C$1,0),"Check"),"")</f>
        <v>0000AXZ02-AXZ020203</v>
      </c>
      <c r="D58" s="100" t="str">
        <f>IF($B58&lt;&gt;"",_xlfn.IFNA(VLOOKUP($B58,'Node Details'!$B:$U,D$1,0),"Check"),"")</f>
        <v>AXZ</v>
      </c>
      <c r="E58" s="100" t="str">
        <f>IF($B58&lt;&gt;"",_xlfn.IFNA(VLOOKUP($B58,'Node Details'!$B:$U,E$1,0),"Check"),"")</f>
        <v>Airtel</v>
      </c>
      <c r="F58" s="101">
        <v>46110</v>
      </c>
      <c r="G58" s="103"/>
      <c r="H58" s="102" t="s">
        <v>1256</v>
      </c>
      <c r="I58" s="9">
        <v>1</v>
      </c>
      <c r="J58" s="9">
        <v>48</v>
      </c>
      <c r="K58" s="100">
        <f t="shared" si="0"/>
        <v>48</v>
      </c>
      <c r="L58" s="78">
        <v>46110</v>
      </c>
      <c r="M58" s="103"/>
      <c r="N58" s="93" t="s">
        <v>90</v>
      </c>
      <c r="O58" s="94">
        <v>46141</v>
      </c>
      <c r="P58" s="104">
        <f t="shared" si="7"/>
        <v>48</v>
      </c>
      <c r="Q58" s="104">
        <f t="shared" si="8"/>
        <v>48</v>
      </c>
      <c r="R58" s="104"/>
      <c r="S58" s="93" t="s">
        <v>91</v>
      </c>
      <c r="T58" s="94">
        <v>46153</v>
      </c>
      <c r="U58" s="104">
        <f t="shared" si="9"/>
        <v>48</v>
      </c>
      <c r="V58" s="104">
        <f t="shared" si="10"/>
        <v>1</v>
      </c>
      <c r="W58" s="103">
        <f t="shared" si="11"/>
        <v>48</v>
      </c>
      <c r="X58" s="93" t="s">
        <v>89</v>
      </c>
      <c r="Y58" s="105" t="s">
        <v>84</v>
      </c>
      <c r="Z58" s="105" t="s">
        <v>93</v>
      </c>
    </row>
    <row r="59" spans="1:26" s="105" customFormat="1" ht="15" customHeight="1">
      <c r="A59" s="99">
        <f t="shared" si="6"/>
        <v>57</v>
      </c>
      <c r="B59" s="75" t="s">
        <v>970</v>
      </c>
      <c r="C59" s="100" t="str">
        <f>IF($B59&lt;&gt;"",_xlfn.IFNA(VLOOKUP($B59,'Node Details'!$B:$U,C$1,0),"Check"),"")</f>
        <v>0000AXZ02-AXZ020203</v>
      </c>
      <c r="D59" s="100" t="str">
        <f>IF($B59&lt;&gt;"",_xlfn.IFNA(VLOOKUP($B59,'Node Details'!$B:$U,D$1,0),"Check"),"")</f>
        <v>AXZ</v>
      </c>
      <c r="E59" s="100" t="str">
        <f>IF($B59&lt;&gt;"",_xlfn.IFNA(VLOOKUP($B59,'Node Details'!$B:$U,E$1,0),"Check"),"")</f>
        <v>Airtel</v>
      </c>
      <c r="F59" s="101">
        <v>46110</v>
      </c>
      <c r="G59" s="103"/>
      <c r="H59" s="102" t="s">
        <v>1256</v>
      </c>
      <c r="I59" s="9">
        <v>1</v>
      </c>
      <c r="J59" s="9">
        <v>48</v>
      </c>
      <c r="K59" s="100">
        <f t="shared" si="0"/>
        <v>48</v>
      </c>
      <c r="L59" s="78">
        <v>46110</v>
      </c>
      <c r="M59" s="103"/>
      <c r="N59" s="93" t="s">
        <v>90</v>
      </c>
      <c r="O59" s="94">
        <v>46141</v>
      </c>
      <c r="P59" s="104">
        <f t="shared" si="7"/>
        <v>48</v>
      </c>
      <c r="Q59" s="104">
        <f t="shared" si="8"/>
        <v>48</v>
      </c>
      <c r="R59" s="104"/>
      <c r="S59" s="93" t="s">
        <v>91</v>
      </c>
      <c r="T59" s="94">
        <v>46153</v>
      </c>
      <c r="U59" s="104">
        <f t="shared" si="9"/>
        <v>48</v>
      </c>
      <c r="V59" s="104">
        <f t="shared" si="10"/>
        <v>1</v>
      </c>
      <c r="W59" s="103">
        <f t="shared" si="11"/>
        <v>48</v>
      </c>
      <c r="X59" s="93" t="s">
        <v>89</v>
      </c>
      <c r="Y59" s="105" t="s">
        <v>84</v>
      </c>
      <c r="Z59" s="105" t="s">
        <v>93</v>
      </c>
    </row>
    <row r="60" spans="1:26" s="105" customFormat="1" ht="15" customHeight="1">
      <c r="A60" s="99">
        <f t="shared" si="6"/>
        <v>58</v>
      </c>
      <c r="B60" s="75" t="s">
        <v>971</v>
      </c>
      <c r="C60" s="100" t="str">
        <f>IF($B60&lt;&gt;"",_xlfn.IFNA(VLOOKUP($B60,'Node Details'!$B:$U,C$1,0),"Check"),"")</f>
        <v>0000AXZ02-AXZ020203</v>
      </c>
      <c r="D60" s="100" t="str">
        <f>IF($B60&lt;&gt;"",_xlfn.IFNA(VLOOKUP($B60,'Node Details'!$B:$U,D$1,0),"Check"),"")</f>
        <v>AXZ</v>
      </c>
      <c r="E60" s="100" t="str">
        <f>IF($B60&lt;&gt;"",_xlfn.IFNA(VLOOKUP($B60,'Node Details'!$B:$U,E$1,0),"Check"),"")</f>
        <v>Airtel</v>
      </c>
      <c r="F60" s="101">
        <v>46110</v>
      </c>
      <c r="G60" s="103"/>
      <c r="H60" s="102" t="s">
        <v>1256</v>
      </c>
      <c r="I60" s="9">
        <v>1</v>
      </c>
      <c r="J60" s="9">
        <v>48</v>
      </c>
      <c r="K60" s="100">
        <f t="shared" si="0"/>
        <v>48</v>
      </c>
      <c r="L60" s="78">
        <v>46110</v>
      </c>
      <c r="M60" s="103"/>
      <c r="N60" s="93" t="s">
        <v>90</v>
      </c>
      <c r="O60" s="94">
        <v>46141</v>
      </c>
      <c r="P60" s="104">
        <f t="shared" si="7"/>
        <v>48</v>
      </c>
      <c r="Q60" s="104">
        <f t="shared" si="8"/>
        <v>48</v>
      </c>
      <c r="R60" s="104"/>
      <c r="S60" s="93" t="s">
        <v>91</v>
      </c>
      <c r="T60" s="94">
        <v>46153</v>
      </c>
      <c r="U60" s="104">
        <f t="shared" si="9"/>
        <v>48</v>
      </c>
      <c r="V60" s="104">
        <f t="shared" si="10"/>
        <v>1</v>
      </c>
      <c r="W60" s="103">
        <f t="shared" si="11"/>
        <v>48</v>
      </c>
      <c r="X60" s="93" t="s">
        <v>89</v>
      </c>
      <c r="Y60" s="105" t="s">
        <v>84</v>
      </c>
      <c r="Z60" s="105" t="s">
        <v>93</v>
      </c>
    </row>
    <row r="61" spans="1:26" s="105" customFormat="1" ht="15" customHeight="1">
      <c r="A61" s="99">
        <f t="shared" si="6"/>
        <v>59</v>
      </c>
      <c r="B61" s="75" t="s">
        <v>972</v>
      </c>
      <c r="C61" s="100" t="str">
        <f>IF($B61&lt;&gt;"",_xlfn.IFNA(VLOOKUP($B61,'Node Details'!$B:$U,C$1,0),"Check"),"")</f>
        <v>0000AXZ02-AXZ020203</v>
      </c>
      <c r="D61" s="100" t="str">
        <f>IF($B61&lt;&gt;"",_xlfn.IFNA(VLOOKUP($B61,'Node Details'!$B:$U,D$1,0),"Check"),"")</f>
        <v>AXZ</v>
      </c>
      <c r="E61" s="100" t="str">
        <f>IF($B61&lt;&gt;"",_xlfn.IFNA(VLOOKUP($B61,'Node Details'!$B:$U,E$1,0),"Check"),"")</f>
        <v>Airtel</v>
      </c>
      <c r="F61" s="101">
        <v>46110</v>
      </c>
      <c r="G61" s="103"/>
      <c r="H61" s="102" t="s">
        <v>1256</v>
      </c>
      <c r="I61" s="9">
        <v>1</v>
      </c>
      <c r="J61" s="9">
        <v>48</v>
      </c>
      <c r="K61" s="100">
        <f t="shared" si="0"/>
        <v>48</v>
      </c>
      <c r="L61" s="78">
        <v>46110</v>
      </c>
      <c r="M61" s="103"/>
      <c r="N61" s="93" t="s">
        <v>90</v>
      </c>
      <c r="O61" s="94">
        <v>46141</v>
      </c>
      <c r="P61" s="104">
        <f t="shared" si="7"/>
        <v>48</v>
      </c>
      <c r="Q61" s="104">
        <f t="shared" si="8"/>
        <v>48</v>
      </c>
      <c r="R61" s="104"/>
      <c r="S61" s="93" t="s">
        <v>91</v>
      </c>
      <c r="T61" s="94">
        <v>46153</v>
      </c>
      <c r="U61" s="104">
        <f t="shared" si="9"/>
        <v>48</v>
      </c>
      <c r="V61" s="104">
        <f t="shared" si="10"/>
        <v>1</v>
      </c>
      <c r="W61" s="103">
        <f t="shared" si="11"/>
        <v>48</v>
      </c>
      <c r="X61" s="93" t="s">
        <v>89</v>
      </c>
      <c r="Y61" s="105" t="s">
        <v>84</v>
      </c>
      <c r="Z61" s="105" t="s">
        <v>93</v>
      </c>
    </row>
    <row r="62" spans="1:26" s="105" customFormat="1" ht="15" customHeight="1">
      <c r="A62" s="99">
        <f t="shared" si="6"/>
        <v>60</v>
      </c>
      <c r="B62" t="s">
        <v>119</v>
      </c>
      <c r="C62" s="100" t="str">
        <f>IF($B62&lt;&gt;"",_xlfn.IFNA(VLOOKUP($B62,'Node Details'!$B:$U,C$1,0),"Check"),"")</f>
        <v>0000AXZ02-AXZ020203</v>
      </c>
      <c r="D62" s="100" t="str">
        <f>IF($B62&lt;&gt;"",_xlfn.IFNA(VLOOKUP($B62,'Node Details'!$B:$U,D$1,0),"Check"),"")</f>
        <v>AXZ</v>
      </c>
      <c r="E62" s="100" t="str">
        <f>IF($B62&lt;&gt;"",_xlfn.IFNA(VLOOKUP($B62,'Node Details'!$B:$U,E$1,0),"Check"),"")</f>
        <v>Airtel</v>
      </c>
      <c r="F62" s="101">
        <v>46110</v>
      </c>
      <c r="G62" s="103"/>
      <c r="H62" s="102" t="s">
        <v>1256</v>
      </c>
      <c r="I62" s="9">
        <v>1</v>
      </c>
      <c r="J62" s="9">
        <v>48</v>
      </c>
      <c r="K62" s="100">
        <f t="shared" si="0"/>
        <v>48</v>
      </c>
      <c r="L62" s="78">
        <v>46110</v>
      </c>
      <c r="M62" s="103"/>
      <c r="N62" s="93" t="s">
        <v>90</v>
      </c>
      <c r="O62" s="94">
        <v>46141</v>
      </c>
      <c r="P62" s="104">
        <f t="shared" si="7"/>
        <v>48</v>
      </c>
      <c r="Q62" s="104">
        <f t="shared" si="8"/>
        <v>48</v>
      </c>
      <c r="R62" s="104"/>
      <c r="S62" s="93" t="s">
        <v>91</v>
      </c>
      <c r="T62" s="94">
        <v>46153</v>
      </c>
      <c r="U62" s="104">
        <f t="shared" si="9"/>
        <v>48</v>
      </c>
      <c r="V62" s="104">
        <f t="shared" si="10"/>
        <v>1</v>
      </c>
      <c r="W62" s="103">
        <f t="shared" si="11"/>
        <v>48</v>
      </c>
      <c r="X62" s="93" t="s">
        <v>89</v>
      </c>
      <c r="Y62" s="105" t="s">
        <v>84</v>
      </c>
      <c r="Z62" s="105" t="s">
        <v>93</v>
      </c>
    </row>
    <row r="63" spans="1:26" s="105" customFormat="1" ht="15" customHeight="1">
      <c r="A63" s="99">
        <f t="shared" si="6"/>
        <v>61</v>
      </c>
      <c r="B63" t="s">
        <v>95</v>
      </c>
      <c r="C63" s="100" t="str">
        <f>IF($B63&lt;&gt;"",_xlfn.IFNA(VLOOKUP($B63,'Node Details'!$B:$U,C$1,0),"Check"),"")</f>
        <v>000000AXZ-0000AXZ03</v>
      </c>
      <c r="D63" s="100" t="str">
        <f>IF($B63&lt;&gt;"",_xlfn.IFNA(VLOOKUP($B63,'Node Details'!$B:$U,D$1,0),"Check"),"")</f>
        <v>AXZ</v>
      </c>
      <c r="E63" s="100" t="str">
        <f>IF($B63&lt;&gt;"",_xlfn.IFNA(VLOOKUP($B63,'Node Details'!$B:$U,E$1,0),"Check"),"")</f>
        <v>Airtel</v>
      </c>
      <c r="F63" s="101">
        <v>46110</v>
      </c>
      <c r="G63" s="103"/>
      <c r="H63" s="102" t="s">
        <v>1256</v>
      </c>
      <c r="I63" s="9">
        <v>1</v>
      </c>
      <c r="J63" s="9">
        <v>48</v>
      </c>
      <c r="K63" s="100">
        <f t="shared" si="0"/>
        <v>48</v>
      </c>
      <c r="L63" s="78">
        <v>46110</v>
      </c>
      <c r="M63" s="103"/>
      <c r="N63" s="93" t="s">
        <v>90</v>
      </c>
      <c r="O63" s="94">
        <v>46141</v>
      </c>
      <c r="P63" s="104">
        <f t="shared" si="7"/>
        <v>48</v>
      </c>
      <c r="Q63" s="104">
        <f t="shared" si="8"/>
        <v>48</v>
      </c>
      <c r="R63" s="104"/>
      <c r="S63" s="93" t="s">
        <v>91</v>
      </c>
      <c r="T63" s="94">
        <v>46153</v>
      </c>
      <c r="U63" s="104">
        <f t="shared" si="9"/>
        <v>48</v>
      </c>
      <c r="V63" s="104">
        <f t="shared" si="10"/>
        <v>1</v>
      </c>
      <c r="W63" s="103">
        <f t="shared" si="11"/>
        <v>48</v>
      </c>
      <c r="X63" s="93" t="s">
        <v>89</v>
      </c>
      <c r="Y63" s="105" t="s">
        <v>84</v>
      </c>
      <c r="Z63" s="105" t="s">
        <v>93</v>
      </c>
    </row>
    <row r="64" spans="1:26" s="105" customFormat="1" ht="15" customHeight="1">
      <c r="A64" s="99">
        <f t="shared" si="6"/>
        <v>62</v>
      </c>
      <c r="B64" t="s">
        <v>122</v>
      </c>
      <c r="C64" s="100" t="str">
        <f>IF($B64&lt;&gt;"",_xlfn.IFNA(VLOOKUP($B64,'Node Details'!$B:$U,C$1,0),"Check"),"")</f>
        <v>0000AXZ03-AXZ030101</v>
      </c>
      <c r="D64" s="100" t="str">
        <f>IF($B64&lt;&gt;"",_xlfn.IFNA(VLOOKUP($B64,'Node Details'!$B:$U,D$1,0),"Check"),"")</f>
        <v>AXZ</v>
      </c>
      <c r="E64" s="100" t="str">
        <f>IF($B64&lt;&gt;"",_xlfn.IFNA(VLOOKUP($B64,'Node Details'!$B:$U,E$1,0),"Check"),"")</f>
        <v>Airtel</v>
      </c>
      <c r="F64" s="101">
        <v>46110</v>
      </c>
      <c r="G64" s="103"/>
      <c r="H64" s="102" t="s">
        <v>1256</v>
      </c>
      <c r="I64" s="9">
        <v>1</v>
      </c>
      <c r="J64" s="9">
        <v>48</v>
      </c>
      <c r="K64" s="100">
        <f t="shared" si="0"/>
        <v>48</v>
      </c>
      <c r="L64" s="78">
        <v>46110</v>
      </c>
      <c r="M64" s="103"/>
      <c r="N64" s="93" t="s">
        <v>90</v>
      </c>
      <c r="O64" s="94">
        <v>46141</v>
      </c>
      <c r="P64" s="104">
        <f t="shared" si="7"/>
        <v>48</v>
      </c>
      <c r="Q64" s="104">
        <f t="shared" si="8"/>
        <v>48</v>
      </c>
      <c r="R64" s="104"/>
      <c r="S64" s="93" t="s">
        <v>91</v>
      </c>
      <c r="T64" s="94">
        <v>46153</v>
      </c>
      <c r="U64" s="104">
        <f t="shared" si="9"/>
        <v>48</v>
      </c>
      <c r="V64" s="104">
        <f t="shared" si="10"/>
        <v>1</v>
      </c>
      <c r="W64" s="103">
        <f t="shared" si="11"/>
        <v>48</v>
      </c>
      <c r="X64" s="93" t="s">
        <v>89</v>
      </c>
      <c r="Y64" s="105" t="s">
        <v>84</v>
      </c>
      <c r="Z64" s="105" t="s">
        <v>93</v>
      </c>
    </row>
    <row r="65" spans="1:26" s="105" customFormat="1" ht="15" customHeight="1">
      <c r="A65" s="99">
        <f t="shared" si="6"/>
        <v>63</v>
      </c>
      <c r="B65" t="s">
        <v>125</v>
      </c>
      <c r="C65" s="100" t="str">
        <f>IF($B65&lt;&gt;"",_xlfn.IFNA(VLOOKUP($B65,'Node Details'!$B:$U,C$1,0),"Check"),"")</f>
        <v>0000AXZ03-AXZ030102</v>
      </c>
      <c r="D65" s="100" t="str">
        <f>IF($B65&lt;&gt;"",_xlfn.IFNA(VLOOKUP($B65,'Node Details'!$B:$U,D$1,0),"Check"),"")</f>
        <v>AXZ</v>
      </c>
      <c r="E65" s="100" t="str">
        <f>IF($B65&lt;&gt;"",_xlfn.IFNA(VLOOKUP($B65,'Node Details'!$B:$U,E$1,0),"Check"),"")</f>
        <v>Airtel</v>
      </c>
      <c r="F65" s="101">
        <v>46110</v>
      </c>
      <c r="G65" s="103"/>
      <c r="H65" s="102" t="s">
        <v>1256</v>
      </c>
      <c r="I65" s="9">
        <v>1</v>
      </c>
      <c r="J65" s="9">
        <v>48</v>
      </c>
      <c r="K65" s="100">
        <f t="shared" si="0"/>
        <v>48</v>
      </c>
      <c r="L65" s="78">
        <v>46110</v>
      </c>
      <c r="M65" s="103"/>
      <c r="N65" s="93" t="s">
        <v>90</v>
      </c>
      <c r="O65" s="94">
        <v>46141</v>
      </c>
      <c r="P65" s="104">
        <f t="shared" si="7"/>
        <v>48</v>
      </c>
      <c r="Q65" s="104">
        <f t="shared" si="8"/>
        <v>48</v>
      </c>
      <c r="R65" s="104"/>
      <c r="S65" s="93" t="s">
        <v>91</v>
      </c>
      <c r="T65" s="94">
        <v>46153</v>
      </c>
      <c r="U65" s="104">
        <f t="shared" si="9"/>
        <v>48</v>
      </c>
      <c r="V65" s="104">
        <f t="shared" si="10"/>
        <v>1</v>
      </c>
      <c r="W65" s="103">
        <f t="shared" si="11"/>
        <v>48</v>
      </c>
      <c r="X65" s="93" t="s">
        <v>89</v>
      </c>
      <c r="Y65" s="105" t="s">
        <v>84</v>
      </c>
      <c r="Z65" s="105" t="s">
        <v>93</v>
      </c>
    </row>
    <row r="66" spans="1:26" s="105" customFormat="1" ht="15" customHeight="1">
      <c r="A66" s="99">
        <f t="shared" si="6"/>
        <v>64</v>
      </c>
      <c r="B66" t="s">
        <v>973</v>
      </c>
      <c r="C66" s="100" t="str">
        <f>IF($B66&lt;&gt;"",_xlfn.IFNA(VLOOKUP($B66,'Node Details'!$B:$U,C$1,0),"Check"),"")</f>
        <v>0000AXZ03-AXZ030104</v>
      </c>
      <c r="D66" s="100" t="str">
        <f>IF($B66&lt;&gt;"",_xlfn.IFNA(VLOOKUP($B66,'Node Details'!$B:$U,D$1,0),"Check"),"")</f>
        <v>AXZ</v>
      </c>
      <c r="E66" s="100" t="str">
        <f>IF($B66&lt;&gt;"",_xlfn.IFNA(VLOOKUP($B66,'Node Details'!$B:$U,E$1,0),"Check"),"")</f>
        <v>Airtel</v>
      </c>
      <c r="F66" s="101">
        <v>46110</v>
      </c>
      <c r="G66" s="103"/>
      <c r="H66" s="102" t="s">
        <v>1256</v>
      </c>
      <c r="I66" s="9">
        <v>1</v>
      </c>
      <c r="J66" s="9">
        <v>48</v>
      </c>
      <c r="K66" s="100">
        <f t="shared" si="0"/>
        <v>48</v>
      </c>
      <c r="L66" s="78">
        <v>46110</v>
      </c>
      <c r="M66" s="103"/>
      <c r="N66" s="93" t="s">
        <v>90</v>
      </c>
      <c r="O66" s="94">
        <v>46141</v>
      </c>
      <c r="P66" s="104">
        <f t="shared" si="7"/>
        <v>48</v>
      </c>
      <c r="Q66" s="104">
        <f t="shared" si="8"/>
        <v>48</v>
      </c>
      <c r="R66" s="104"/>
      <c r="S66" s="93" t="s">
        <v>91</v>
      </c>
      <c r="T66" s="94">
        <v>46153</v>
      </c>
      <c r="U66" s="104">
        <f t="shared" si="9"/>
        <v>48</v>
      </c>
      <c r="V66" s="104">
        <f t="shared" si="10"/>
        <v>1</v>
      </c>
      <c r="W66" s="103">
        <f t="shared" si="11"/>
        <v>48</v>
      </c>
      <c r="X66" s="93" t="s">
        <v>89</v>
      </c>
      <c r="Y66" s="105" t="s">
        <v>84</v>
      </c>
      <c r="Z66" s="105" t="s">
        <v>93</v>
      </c>
    </row>
    <row r="67" spans="1:26" s="105" customFormat="1" ht="15" customHeight="1">
      <c r="A67" s="99">
        <f t="shared" si="6"/>
        <v>65</v>
      </c>
      <c r="B67" t="s">
        <v>128</v>
      </c>
      <c r="C67" s="100" t="str">
        <f>IF($B67&lt;&gt;"",_xlfn.IFNA(VLOOKUP($B67,'Node Details'!$B:$U,C$1,0),"Check"),"")</f>
        <v>0000AXZ03-AXZ030104</v>
      </c>
      <c r="D67" s="100" t="str">
        <f>IF($B67&lt;&gt;"",_xlfn.IFNA(VLOOKUP($B67,'Node Details'!$B:$U,D$1,0),"Check"),"")</f>
        <v>AXZ</v>
      </c>
      <c r="E67" s="100" t="str">
        <f>IF($B67&lt;&gt;"",_xlfn.IFNA(VLOOKUP($B67,'Node Details'!$B:$U,E$1,0),"Check"),"")</f>
        <v>Airtel</v>
      </c>
      <c r="F67" s="101">
        <v>46110</v>
      </c>
      <c r="G67" s="103"/>
      <c r="H67" s="102" t="s">
        <v>1256</v>
      </c>
      <c r="I67" s="9">
        <v>1</v>
      </c>
      <c r="J67" s="9">
        <v>48</v>
      </c>
      <c r="K67" s="100">
        <f t="shared" ref="K67:K78" si="12">IF(I67&lt;&gt;"",J67*I67,0)</f>
        <v>48</v>
      </c>
      <c r="L67" s="78">
        <v>46110</v>
      </c>
      <c r="M67" s="103"/>
      <c r="N67" s="93" t="s">
        <v>90</v>
      </c>
      <c r="O67" s="94">
        <v>46141</v>
      </c>
      <c r="P67" s="104">
        <f t="shared" si="7"/>
        <v>48</v>
      </c>
      <c r="Q67" s="104">
        <f t="shared" si="8"/>
        <v>48</v>
      </c>
      <c r="R67" s="104"/>
      <c r="S67" s="93" t="s">
        <v>91</v>
      </c>
      <c r="T67" s="94">
        <v>46153</v>
      </c>
      <c r="U67" s="104">
        <f t="shared" si="9"/>
        <v>48</v>
      </c>
      <c r="V67" s="104">
        <f t="shared" si="10"/>
        <v>1</v>
      </c>
      <c r="W67" s="103">
        <f t="shared" si="11"/>
        <v>48</v>
      </c>
      <c r="X67" s="93" t="s">
        <v>89</v>
      </c>
      <c r="Y67" s="105" t="s">
        <v>84</v>
      </c>
      <c r="Z67" s="105" t="s">
        <v>93</v>
      </c>
    </row>
    <row r="68" spans="1:26" s="105" customFormat="1" ht="15" customHeight="1">
      <c r="A68" s="99">
        <f t="shared" ref="A68:A131" si="13">A67+1</f>
        <v>66</v>
      </c>
      <c r="B68" t="s">
        <v>974</v>
      </c>
      <c r="C68" s="100" t="str">
        <f>IF($B68&lt;&gt;"",_xlfn.IFNA(VLOOKUP($B68,'Node Details'!$B:$U,C$1,0),"Check"),"")</f>
        <v>AXZ030104-AXZ030106</v>
      </c>
      <c r="D68" s="100" t="str">
        <f>IF($B68&lt;&gt;"",_xlfn.IFNA(VLOOKUP($B68,'Node Details'!$B:$U,D$1,0),"Check"),"")</f>
        <v>AXZ</v>
      </c>
      <c r="E68" s="100" t="str">
        <f>IF($B68&lt;&gt;"",_xlfn.IFNA(VLOOKUP($B68,'Node Details'!$B:$U,E$1,0),"Check"),"")</f>
        <v>Airtel</v>
      </c>
      <c r="F68" s="101">
        <v>46110</v>
      </c>
      <c r="G68" s="103"/>
      <c r="H68" s="102" t="s">
        <v>1256</v>
      </c>
      <c r="I68" s="9">
        <v>1</v>
      </c>
      <c r="J68" s="9">
        <v>48</v>
      </c>
      <c r="K68" s="100">
        <f t="shared" si="12"/>
        <v>48</v>
      </c>
      <c r="L68" s="78">
        <v>46110</v>
      </c>
      <c r="M68" s="103"/>
      <c r="N68" s="93" t="s">
        <v>90</v>
      </c>
      <c r="O68" s="94">
        <v>46141</v>
      </c>
      <c r="P68" s="104">
        <f t="shared" ref="P68:P77" si="14">J68</f>
        <v>48</v>
      </c>
      <c r="Q68" s="104">
        <f t="shared" ref="Q68:Q77" si="15">P68*I68</f>
        <v>48</v>
      </c>
      <c r="R68" s="104"/>
      <c r="S68" s="93" t="s">
        <v>91</v>
      </c>
      <c r="T68" s="94">
        <v>46153</v>
      </c>
      <c r="U68" s="104">
        <f t="shared" ref="U68:U77" si="16">J68</f>
        <v>48</v>
      </c>
      <c r="V68" s="104">
        <f t="shared" ref="V68:V77" si="17">I68</f>
        <v>1</v>
      </c>
      <c r="W68" s="103">
        <f t="shared" ref="W68:W77" si="18">IF(V68&lt;&gt;"",V68*U68,0)</f>
        <v>48</v>
      </c>
      <c r="X68" s="93" t="s">
        <v>89</v>
      </c>
      <c r="Y68" s="105" t="s">
        <v>84</v>
      </c>
      <c r="Z68" s="105" t="s">
        <v>93</v>
      </c>
    </row>
    <row r="69" spans="1:26" s="105" customFormat="1" ht="15" customHeight="1">
      <c r="A69" s="99">
        <f t="shared" si="13"/>
        <v>67</v>
      </c>
      <c r="B69" t="s">
        <v>131</v>
      </c>
      <c r="C69" s="100" t="str">
        <f>IF($B69&lt;&gt;"",_xlfn.IFNA(VLOOKUP($B69,'Node Details'!$B:$U,C$1,0),"Check"),"")</f>
        <v>AXZ030104-AXZ030106</v>
      </c>
      <c r="D69" s="100" t="str">
        <f>IF($B69&lt;&gt;"",_xlfn.IFNA(VLOOKUP($B69,'Node Details'!$B:$U,D$1,0),"Check"),"")</f>
        <v>AXZ</v>
      </c>
      <c r="E69" s="100" t="str">
        <f>IF($B69&lt;&gt;"",_xlfn.IFNA(VLOOKUP($B69,'Node Details'!$B:$U,E$1,0),"Check"),"")</f>
        <v>Airtel</v>
      </c>
      <c r="F69" s="101">
        <v>46110</v>
      </c>
      <c r="G69" s="103"/>
      <c r="H69" s="102" t="s">
        <v>1256</v>
      </c>
      <c r="I69" s="9">
        <v>1</v>
      </c>
      <c r="J69" s="9">
        <v>48</v>
      </c>
      <c r="K69" s="100">
        <f t="shared" si="12"/>
        <v>48</v>
      </c>
      <c r="L69" s="78">
        <v>46110</v>
      </c>
      <c r="M69" s="103"/>
      <c r="N69" s="93" t="s">
        <v>90</v>
      </c>
      <c r="O69" s="94">
        <v>46141</v>
      </c>
      <c r="P69" s="104">
        <f t="shared" si="14"/>
        <v>48</v>
      </c>
      <c r="Q69" s="104">
        <f t="shared" si="15"/>
        <v>48</v>
      </c>
      <c r="R69" s="104"/>
      <c r="S69" s="93" t="s">
        <v>91</v>
      </c>
      <c r="T69" s="94">
        <v>46153</v>
      </c>
      <c r="U69" s="104">
        <f t="shared" si="16"/>
        <v>48</v>
      </c>
      <c r="V69" s="104">
        <f t="shared" si="17"/>
        <v>1</v>
      </c>
      <c r="W69" s="103">
        <f t="shared" si="18"/>
        <v>48</v>
      </c>
      <c r="X69" s="93" t="s">
        <v>89</v>
      </c>
      <c r="Y69" s="105" t="s">
        <v>84</v>
      </c>
      <c r="Z69" s="105" t="s">
        <v>93</v>
      </c>
    </row>
    <row r="70" spans="1:26" s="105" customFormat="1" ht="15" customHeight="1">
      <c r="A70" s="99">
        <f t="shared" si="13"/>
        <v>68</v>
      </c>
      <c r="B70" t="s">
        <v>975</v>
      </c>
      <c r="C70" s="100" t="str">
        <f>IF($B70&lt;&gt;"",_xlfn.IFNA(VLOOKUP($B70,'Node Details'!$B:$U,C$1,0),"Check"),"")</f>
        <v>0000AXZ03-AXZ030201</v>
      </c>
      <c r="D70" s="100" t="str">
        <f>IF($B70&lt;&gt;"",_xlfn.IFNA(VLOOKUP($B70,'Node Details'!$B:$U,D$1,0),"Check"),"")</f>
        <v>AXZ</v>
      </c>
      <c r="E70" s="100" t="str">
        <f>IF($B70&lt;&gt;"",_xlfn.IFNA(VLOOKUP($B70,'Node Details'!$B:$U,E$1,0),"Check"),"")</f>
        <v>Airtel</v>
      </c>
      <c r="F70" s="101">
        <v>46110</v>
      </c>
      <c r="G70" s="103"/>
      <c r="H70" s="102" t="s">
        <v>1256</v>
      </c>
      <c r="I70" s="9">
        <v>1</v>
      </c>
      <c r="J70" s="9">
        <v>48</v>
      </c>
      <c r="K70" s="100">
        <f t="shared" si="12"/>
        <v>48</v>
      </c>
      <c r="L70" s="78">
        <v>46110</v>
      </c>
      <c r="M70" s="103"/>
      <c r="N70" s="93" t="s">
        <v>90</v>
      </c>
      <c r="O70" s="94">
        <v>46141</v>
      </c>
      <c r="P70" s="104">
        <f t="shared" si="14"/>
        <v>48</v>
      </c>
      <c r="Q70" s="104">
        <f t="shared" si="15"/>
        <v>48</v>
      </c>
      <c r="R70" s="104"/>
      <c r="S70" s="93" t="s">
        <v>91</v>
      </c>
      <c r="T70" s="94">
        <v>46153</v>
      </c>
      <c r="U70" s="104">
        <f t="shared" si="16"/>
        <v>48</v>
      </c>
      <c r="V70" s="104">
        <f t="shared" si="17"/>
        <v>1</v>
      </c>
      <c r="W70" s="103">
        <f t="shared" si="18"/>
        <v>48</v>
      </c>
      <c r="X70" s="93" t="s">
        <v>89</v>
      </c>
      <c r="Y70" s="105" t="s">
        <v>84</v>
      </c>
      <c r="Z70" s="105" t="s">
        <v>93</v>
      </c>
    </row>
    <row r="71" spans="1:26" s="105" customFormat="1" ht="15" customHeight="1">
      <c r="A71" s="99">
        <f t="shared" si="13"/>
        <v>69</v>
      </c>
      <c r="B71" t="s">
        <v>976</v>
      </c>
      <c r="C71" s="100" t="str">
        <f>IF($B71&lt;&gt;"",_xlfn.IFNA(VLOOKUP($B71,'Node Details'!$B:$U,C$1,0),"Check"),"")</f>
        <v>0000AXZ03-AXZ030201</v>
      </c>
      <c r="D71" s="100" t="str">
        <f>IF($B71&lt;&gt;"",_xlfn.IFNA(VLOOKUP($B71,'Node Details'!$B:$U,D$1,0),"Check"),"")</f>
        <v>AXZ</v>
      </c>
      <c r="E71" s="100" t="str">
        <f>IF($B71&lt;&gt;"",_xlfn.IFNA(VLOOKUP($B71,'Node Details'!$B:$U,E$1,0),"Check"),"")</f>
        <v>Airtel</v>
      </c>
      <c r="F71" s="101">
        <v>46110</v>
      </c>
      <c r="G71" s="103"/>
      <c r="H71" s="102" t="s">
        <v>1256</v>
      </c>
      <c r="I71" s="9">
        <v>1</v>
      </c>
      <c r="J71" s="9">
        <v>48</v>
      </c>
      <c r="K71" s="100">
        <f t="shared" si="12"/>
        <v>48</v>
      </c>
      <c r="L71" s="78">
        <v>46110</v>
      </c>
      <c r="M71" s="103"/>
      <c r="N71" s="93" t="s">
        <v>90</v>
      </c>
      <c r="O71" s="94">
        <v>46141</v>
      </c>
      <c r="P71" s="104">
        <f t="shared" si="14"/>
        <v>48</v>
      </c>
      <c r="Q71" s="104">
        <f t="shared" si="15"/>
        <v>48</v>
      </c>
      <c r="R71" s="104"/>
      <c r="S71" s="93" t="s">
        <v>91</v>
      </c>
      <c r="T71" s="94">
        <v>46153</v>
      </c>
      <c r="U71" s="104">
        <f t="shared" si="16"/>
        <v>48</v>
      </c>
      <c r="V71" s="104">
        <f t="shared" si="17"/>
        <v>1</v>
      </c>
      <c r="W71" s="103">
        <f t="shared" si="18"/>
        <v>48</v>
      </c>
      <c r="X71" s="93" t="s">
        <v>89</v>
      </c>
      <c r="Y71" s="105" t="s">
        <v>84</v>
      </c>
      <c r="Z71" s="105" t="s">
        <v>93</v>
      </c>
    </row>
    <row r="72" spans="1:26" s="105" customFormat="1" ht="15" customHeight="1">
      <c r="A72" s="99">
        <f t="shared" si="13"/>
        <v>70</v>
      </c>
      <c r="B72" t="s">
        <v>134</v>
      </c>
      <c r="C72" s="100" t="str">
        <f>IF($B72&lt;&gt;"",_xlfn.IFNA(VLOOKUP($B72,'Node Details'!$B:$U,C$1,0),"Check"),"")</f>
        <v>0000AXZ03-AXZ030201</v>
      </c>
      <c r="D72" s="100" t="str">
        <f>IF($B72&lt;&gt;"",_xlfn.IFNA(VLOOKUP($B72,'Node Details'!$B:$U,D$1,0),"Check"),"")</f>
        <v>AXZ</v>
      </c>
      <c r="E72" s="100" t="str">
        <f>IF($B72&lt;&gt;"",_xlfn.IFNA(VLOOKUP($B72,'Node Details'!$B:$U,E$1,0),"Check"),"")</f>
        <v>Airtel</v>
      </c>
      <c r="F72" s="101">
        <v>46110</v>
      </c>
      <c r="G72" s="103"/>
      <c r="H72" s="102" t="s">
        <v>1256</v>
      </c>
      <c r="I72" s="9">
        <v>1</v>
      </c>
      <c r="J72" s="9">
        <v>48</v>
      </c>
      <c r="K72" s="100">
        <f t="shared" si="12"/>
        <v>48</v>
      </c>
      <c r="L72" s="78">
        <v>46110</v>
      </c>
      <c r="M72" s="103"/>
      <c r="N72" s="93" t="s">
        <v>90</v>
      </c>
      <c r="O72" s="94">
        <v>46141</v>
      </c>
      <c r="P72" s="104">
        <f t="shared" si="14"/>
        <v>48</v>
      </c>
      <c r="Q72" s="104">
        <f t="shared" si="15"/>
        <v>48</v>
      </c>
      <c r="R72" s="104"/>
      <c r="S72" s="93" t="s">
        <v>91</v>
      </c>
      <c r="T72" s="94">
        <v>46153</v>
      </c>
      <c r="U72" s="104">
        <f t="shared" si="16"/>
        <v>48</v>
      </c>
      <c r="V72" s="104">
        <f t="shared" si="17"/>
        <v>1</v>
      </c>
      <c r="W72" s="103">
        <f t="shared" si="18"/>
        <v>48</v>
      </c>
      <c r="X72" s="93" t="s">
        <v>89</v>
      </c>
      <c r="Y72" s="105" t="s">
        <v>84</v>
      </c>
      <c r="Z72" s="105" t="s">
        <v>93</v>
      </c>
    </row>
    <row r="73" spans="1:26" s="105" customFormat="1" ht="15" customHeight="1">
      <c r="A73" s="99">
        <f t="shared" si="13"/>
        <v>71</v>
      </c>
      <c r="B73" s="75" t="s">
        <v>977</v>
      </c>
      <c r="C73" s="100" t="str">
        <f>IF($B73&lt;&gt;"",_xlfn.IFNA(VLOOKUP($B73,'Node Details'!$B:$U,C$1,0),"Check"),"")</f>
        <v>AXZ030201-AXZ030205</v>
      </c>
      <c r="D73" s="100" t="str">
        <f>IF($B73&lt;&gt;"",_xlfn.IFNA(VLOOKUP($B73,'Node Details'!$B:$U,D$1,0),"Check"),"")</f>
        <v>AXZ</v>
      </c>
      <c r="E73" s="100" t="str">
        <f>IF($B73&lt;&gt;"",_xlfn.IFNA(VLOOKUP($B73,'Node Details'!$B:$U,E$1,0),"Check"),"")</f>
        <v>Airtel</v>
      </c>
      <c r="F73" s="101">
        <v>46110</v>
      </c>
      <c r="G73" s="103"/>
      <c r="H73" s="102" t="s">
        <v>1256</v>
      </c>
      <c r="I73" s="9">
        <v>1</v>
      </c>
      <c r="J73" s="9">
        <v>48</v>
      </c>
      <c r="K73" s="100">
        <f t="shared" si="12"/>
        <v>48</v>
      </c>
      <c r="L73" s="78">
        <v>46110</v>
      </c>
      <c r="M73" s="103"/>
      <c r="N73" s="93" t="s">
        <v>90</v>
      </c>
      <c r="O73" s="94">
        <v>46141</v>
      </c>
      <c r="P73" s="104">
        <f t="shared" si="14"/>
        <v>48</v>
      </c>
      <c r="Q73" s="104">
        <f t="shared" si="15"/>
        <v>48</v>
      </c>
      <c r="R73" s="104"/>
      <c r="S73" s="93" t="s">
        <v>91</v>
      </c>
      <c r="T73" s="94">
        <v>46153</v>
      </c>
      <c r="U73" s="104">
        <f t="shared" si="16"/>
        <v>48</v>
      </c>
      <c r="V73" s="104">
        <f t="shared" si="17"/>
        <v>1</v>
      </c>
      <c r="W73" s="103">
        <f t="shared" si="18"/>
        <v>48</v>
      </c>
      <c r="X73" s="93" t="s">
        <v>89</v>
      </c>
      <c r="Y73" s="105" t="s">
        <v>84</v>
      </c>
      <c r="Z73" s="105" t="s">
        <v>93</v>
      </c>
    </row>
    <row r="74" spans="1:26" s="105" customFormat="1" ht="15" customHeight="1">
      <c r="A74" s="99">
        <f t="shared" si="13"/>
        <v>72</v>
      </c>
      <c r="B74" s="75" t="s">
        <v>978</v>
      </c>
      <c r="C74" s="100" t="str">
        <f>IF($B74&lt;&gt;"",_xlfn.IFNA(VLOOKUP($B74,'Node Details'!$B:$U,C$1,0),"Check"),"")</f>
        <v>AXZ030201-AXZ030205</v>
      </c>
      <c r="D74" s="100" t="str">
        <f>IF($B74&lt;&gt;"",_xlfn.IFNA(VLOOKUP($B74,'Node Details'!$B:$U,D$1,0),"Check"),"")</f>
        <v>AXZ</v>
      </c>
      <c r="E74" s="100" t="str">
        <f>IF($B74&lt;&gt;"",_xlfn.IFNA(VLOOKUP($B74,'Node Details'!$B:$U,E$1,0),"Check"),"")</f>
        <v>Airtel</v>
      </c>
      <c r="F74" s="101">
        <v>46110</v>
      </c>
      <c r="G74" s="103"/>
      <c r="H74" s="102" t="s">
        <v>1256</v>
      </c>
      <c r="I74" s="9">
        <v>1</v>
      </c>
      <c r="J74" s="9">
        <v>48</v>
      </c>
      <c r="K74" s="100">
        <f t="shared" si="12"/>
        <v>48</v>
      </c>
      <c r="L74" s="78">
        <v>46110</v>
      </c>
      <c r="M74" s="103"/>
      <c r="N74" s="93" t="s">
        <v>90</v>
      </c>
      <c r="O74" s="94">
        <v>46141</v>
      </c>
      <c r="P74" s="104">
        <f t="shared" si="14"/>
        <v>48</v>
      </c>
      <c r="Q74" s="104">
        <f t="shared" si="15"/>
        <v>48</v>
      </c>
      <c r="R74" s="104"/>
      <c r="S74" s="93" t="s">
        <v>91</v>
      </c>
      <c r="T74" s="94">
        <v>46153</v>
      </c>
      <c r="U74" s="104">
        <f t="shared" si="16"/>
        <v>48</v>
      </c>
      <c r="V74" s="104">
        <f t="shared" si="17"/>
        <v>1</v>
      </c>
      <c r="W74" s="103">
        <f t="shared" si="18"/>
        <v>48</v>
      </c>
      <c r="X74" s="93" t="s">
        <v>89</v>
      </c>
      <c r="Y74" s="105" t="s">
        <v>84</v>
      </c>
      <c r="Z74" s="105" t="s">
        <v>93</v>
      </c>
    </row>
    <row r="75" spans="1:26" s="105" customFormat="1" ht="15" customHeight="1">
      <c r="A75" s="99">
        <f t="shared" si="13"/>
        <v>73</v>
      </c>
      <c r="B75" s="75" t="s">
        <v>979</v>
      </c>
      <c r="C75" s="100" t="str">
        <f>IF($B75&lt;&gt;"",_xlfn.IFNA(VLOOKUP($B75,'Node Details'!$B:$U,C$1,0),"Check"),"")</f>
        <v>AXZ030201-AXZ030205</v>
      </c>
      <c r="D75" s="100" t="str">
        <f>IF($B75&lt;&gt;"",_xlfn.IFNA(VLOOKUP($B75,'Node Details'!$B:$U,D$1,0),"Check"),"")</f>
        <v>AXZ</v>
      </c>
      <c r="E75" s="100" t="str">
        <f>IF($B75&lt;&gt;"",_xlfn.IFNA(VLOOKUP($B75,'Node Details'!$B:$U,E$1,0),"Check"),"")</f>
        <v>Airtel</v>
      </c>
      <c r="F75" s="101">
        <v>46110</v>
      </c>
      <c r="G75" s="103"/>
      <c r="H75" s="102" t="s">
        <v>1256</v>
      </c>
      <c r="I75" s="9">
        <v>1</v>
      </c>
      <c r="J75" s="9">
        <v>48</v>
      </c>
      <c r="K75" s="100">
        <f t="shared" si="12"/>
        <v>48</v>
      </c>
      <c r="L75" s="78">
        <v>46110</v>
      </c>
      <c r="M75" s="103"/>
      <c r="N75" s="93" t="s">
        <v>90</v>
      </c>
      <c r="O75" s="94">
        <v>46141</v>
      </c>
      <c r="P75" s="104">
        <f t="shared" si="14"/>
        <v>48</v>
      </c>
      <c r="Q75" s="104">
        <f t="shared" si="15"/>
        <v>48</v>
      </c>
      <c r="R75" s="104"/>
      <c r="S75" s="93" t="s">
        <v>91</v>
      </c>
      <c r="T75" s="94">
        <v>46153</v>
      </c>
      <c r="U75" s="104">
        <f t="shared" si="16"/>
        <v>48</v>
      </c>
      <c r="V75" s="104">
        <f t="shared" si="17"/>
        <v>1</v>
      </c>
      <c r="W75" s="103">
        <f t="shared" si="18"/>
        <v>48</v>
      </c>
      <c r="X75" s="93" t="s">
        <v>89</v>
      </c>
      <c r="Y75" s="105" t="s">
        <v>84</v>
      </c>
      <c r="Z75" s="105" t="s">
        <v>93</v>
      </c>
    </row>
    <row r="76" spans="1:26" s="105" customFormat="1" ht="15" customHeight="1">
      <c r="A76" s="99">
        <f t="shared" si="13"/>
        <v>74</v>
      </c>
      <c r="B76" s="75" t="s">
        <v>137</v>
      </c>
      <c r="C76" s="100" t="str">
        <f>IF($B76&lt;&gt;"",_xlfn.IFNA(VLOOKUP($B76,'Node Details'!$B:$U,C$1,0),"Check"),"")</f>
        <v>AXZ030201-AXZ030205</v>
      </c>
      <c r="D76" s="100" t="str">
        <f>IF($B76&lt;&gt;"",_xlfn.IFNA(VLOOKUP($B76,'Node Details'!$B:$U,D$1,0),"Check"),"")</f>
        <v>AXZ</v>
      </c>
      <c r="E76" s="100" t="str">
        <f>IF($B76&lt;&gt;"",_xlfn.IFNA(VLOOKUP($B76,'Node Details'!$B:$U,E$1,0),"Check"),"")</f>
        <v>Airtel</v>
      </c>
      <c r="F76" s="101">
        <v>46110</v>
      </c>
      <c r="G76" s="103"/>
      <c r="H76" s="102" t="s">
        <v>1256</v>
      </c>
      <c r="I76" s="9">
        <v>1</v>
      </c>
      <c r="J76" s="9">
        <v>48</v>
      </c>
      <c r="K76" s="100">
        <f t="shared" si="12"/>
        <v>48</v>
      </c>
      <c r="L76" s="78">
        <v>46110</v>
      </c>
      <c r="M76" s="103"/>
      <c r="N76" s="93" t="s">
        <v>90</v>
      </c>
      <c r="O76" s="94">
        <v>46141</v>
      </c>
      <c r="P76" s="104">
        <f t="shared" si="14"/>
        <v>48</v>
      </c>
      <c r="Q76" s="104">
        <f t="shared" si="15"/>
        <v>48</v>
      </c>
      <c r="R76" s="104"/>
      <c r="S76" s="93" t="s">
        <v>91</v>
      </c>
      <c r="T76" s="94">
        <v>46153</v>
      </c>
      <c r="U76" s="104">
        <f t="shared" si="16"/>
        <v>48</v>
      </c>
      <c r="V76" s="104">
        <f t="shared" si="17"/>
        <v>1</v>
      </c>
      <c r="W76" s="103">
        <f t="shared" si="18"/>
        <v>48</v>
      </c>
      <c r="X76" s="93" t="s">
        <v>89</v>
      </c>
      <c r="Y76" s="105" t="s">
        <v>84</v>
      </c>
      <c r="Z76" s="105" t="s">
        <v>93</v>
      </c>
    </row>
    <row r="77" spans="1:26" s="105" customFormat="1" ht="15" customHeight="1">
      <c r="A77" s="99">
        <f t="shared" si="13"/>
        <v>75</v>
      </c>
      <c r="B77" s="75" t="s">
        <v>79</v>
      </c>
      <c r="C77" s="100" t="str">
        <f>IF($B77&lt;&gt;"",_xlfn.IFNA(VLOOKUP($B77,'Node Details'!$B:$U,C$1,0),"Check"),"")</f>
        <v>000000AXZ-0000AXZ01</v>
      </c>
      <c r="D77" s="100" t="str">
        <f>IF($B77&lt;&gt;"",_xlfn.IFNA(VLOOKUP($B77,'Node Details'!$B:$U,D$1,0),"Check"),"")</f>
        <v>AXZ</v>
      </c>
      <c r="E77" s="100" t="str">
        <f>IF($B77&lt;&gt;"",_xlfn.IFNA(VLOOKUP($B77,'Node Details'!$B:$U,E$1,0),"Check"),"")</f>
        <v>Airtel</v>
      </c>
      <c r="F77" s="101">
        <v>46110</v>
      </c>
      <c r="G77" s="103"/>
      <c r="H77" t="s">
        <v>1257</v>
      </c>
      <c r="I77" s="9">
        <v>1</v>
      </c>
      <c r="J77" s="9">
        <v>2700</v>
      </c>
      <c r="K77" s="100">
        <f t="shared" si="12"/>
        <v>2700</v>
      </c>
      <c r="L77" s="78">
        <v>46110</v>
      </c>
      <c r="M77" s="103"/>
      <c r="N77" s="93" t="s">
        <v>90</v>
      </c>
      <c r="O77" s="94">
        <v>46141</v>
      </c>
      <c r="P77" s="104">
        <f t="shared" si="14"/>
        <v>2700</v>
      </c>
      <c r="Q77" s="104">
        <f t="shared" si="15"/>
        <v>2700</v>
      </c>
      <c r="R77" s="104"/>
      <c r="S77" s="93" t="s">
        <v>91</v>
      </c>
      <c r="T77" s="94">
        <v>46153</v>
      </c>
      <c r="U77" s="104">
        <f t="shared" si="16"/>
        <v>2700</v>
      </c>
      <c r="V77" s="104">
        <f t="shared" si="17"/>
        <v>1</v>
      </c>
      <c r="W77" s="103">
        <f t="shared" si="18"/>
        <v>2700</v>
      </c>
      <c r="X77" s="93" t="s">
        <v>89</v>
      </c>
      <c r="Y77" s="105" t="s">
        <v>84</v>
      </c>
      <c r="Z77" s="105" t="s">
        <v>93</v>
      </c>
    </row>
    <row r="78" spans="1:26" s="105" customFormat="1" ht="15" customHeight="1">
      <c r="A78" s="99">
        <f t="shared" si="13"/>
        <v>76</v>
      </c>
      <c r="B78" s="75" t="s">
        <v>80</v>
      </c>
      <c r="C78" s="100" t="str">
        <f>IF($B78&lt;&gt;"",_xlfn.IFNA(VLOOKUP($B78,'Node Details'!$B:$U,C$1,0),"Check"),"")</f>
        <v>000000AXZ-0000AXZ01</v>
      </c>
      <c r="D78" s="100" t="str">
        <f>IF($B78&lt;&gt;"",_xlfn.IFNA(VLOOKUP($B78,'Node Details'!$B:$U,D$1,0),"Check"),"")</f>
        <v>AXZ</v>
      </c>
      <c r="E78" s="100" t="str">
        <f>IF($B78&lt;&gt;"",_xlfn.IFNA(VLOOKUP($B78,'Node Details'!$B:$U,E$1,0),"Check"),"")</f>
        <v>Airtel</v>
      </c>
      <c r="F78" s="101">
        <v>46110</v>
      </c>
      <c r="G78" s="103"/>
      <c r="H78" s="102" t="s">
        <v>1258</v>
      </c>
      <c r="I78" s="9">
        <v>18</v>
      </c>
      <c r="J78" s="9">
        <v>65</v>
      </c>
      <c r="K78" s="100">
        <f t="shared" si="12"/>
        <v>1170</v>
      </c>
      <c r="L78" s="78">
        <v>46110</v>
      </c>
      <c r="M78" s="103"/>
      <c r="N78" s="93" t="s">
        <v>90</v>
      </c>
      <c r="O78" s="94">
        <v>46141</v>
      </c>
      <c r="P78" s="104">
        <f t="shared" ref="P78:P92" si="19">J78</f>
        <v>65</v>
      </c>
      <c r="Q78" s="104">
        <f t="shared" ref="Q78:Q92" si="20">P78*I78</f>
        <v>1170</v>
      </c>
      <c r="R78" s="104"/>
      <c r="S78" s="93" t="s">
        <v>91</v>
      </c>
      <c r="T78" s="94">
        <v>46153</v>
      </c>
      <c r="U78" s="104">
        <f t="shared" ref="U78:U92" si="21">J78</f>
        <v>65</v>
      </c>
      <c r="V78" s="104">
        <f t="shared" ref="V78:V92" si="22">I78</f>
        <v>18</v>
      </c>
      <c r="W78" s="103">
        <f t="shared" ref="W78:W92" si="23">IF(V78&lt;&gt;"",V78*U78,0)</f>
        <v>1170</v>
      </c>
      <c r="X78" s="93" t="s">
        <v>89</v>
      </c>
      <c r="Y78" s="105" t="s">
        <v>84</v>
      </c>
      <c r="Z78" s="105" t="s">
        <v>93</v>
      </c>
    </row>
    <row r="79" spans="1:26" s="105" customFormat="1" ht="15" customHeight="1">
      <c r="A79" s="99">
        <f t="shared" si="13"/>
        <v>77</v>
      </c>
      <c r="B79" s="75" t="s">
        <v>961</v>
      </c>
      <c r="C79" s="100" t="str">
        <f>IF($B79&lt;&gt;"",_xlfn.IFNA(VLOOKUP($B79,'Node Details'!$B:$U,C$1,0),"Check"),"")</f>
        <v>0000AXZ01-AXZ010202</v>
      </c>
      <c r="D79" s="100" t="str">
        <f>IF($B79&lt;&gt;"",_xlfn.IFNA(VLOOKUP($B79,'Node Details'!$B:$U,D$1,0),"Check"),"")</f>
        <v>AXZ</v>
      </c>
      <c r="E79" s="100" t="str">
        <f>IF($B79&lt;&gt;"",_xlfn.IFNA(VLOOKUP($B79,'Node Details'!$B:$U,E$1,0),"Check"),"")</f>
        <v>Airtel</v>
      </c>
      <c r="F79" s="101">
        <v>46110</v>
      </c>
      <c r="G79" s="103"/>
      <c r="H79" s="102" t="s">
        <v>1258</v>
      </c>
      <c r="I79" s="9">
        <v>4</v>
      </c>
      <c r="J79" s="9">
        <v>65</v>
      </c>
      <c r="K79" s="100">
        <f t="shared" ref="K79:K93" si="24">IF(I79&lt;&gt;"",J79*I79,0)</f>
        <v>260</v>
      </c>
      <c r="L79" s="78">
        <v>46110</v>
      </c>
      <c r="M79" s="103"/>
      <c r="N79" s="93" t="s">
        <v>90</v>
      </c>
      <c r="O79" s="94">
        <v>46141</v>
      </c>
      <c r="P79" s="104">
        <f t="shared" si="19"/>
        <v>65</v>
      </c>
      <c r="Q79" s="104">
        <f t="shared" si="20"/>
        <v>260</v>
      </c>
      <c r="R79" s="104"/>
      <c r="S79" s="93" t="s">
        <v>91</v>
      </c>
      <c r="T79" s="94">
        <v>46153</v>
      </c>
      <c r="U79" s="104">
        <f t="shared" si="21"/>
        <v>65</v>
      </c>
      <c r="V79" s="104">
        <f t="shared" si="22"/>
        <v>4</v>
      </c>
      <c r="W79" s="103">
        <f t="shared" si="23"/>
        <v>260</v>
      </c>
      <c r="X79" s="93" t="s">
        <v>89</v>
      </c>
      <c r="Y79" s="105" t="s">
        <v>84</v>
      </c>
      <c r="Z79" s="105" t="s">
        <v>93</v>
      </c>
    </row>
    <row r="80" spans="1:26" s="105" customFormat="1" ht="15" customHeight="1">
      <c r="A80" s="99">
        <f t="shared" si="13"/>
        <v>78</v>
      </c>
      <c r="B80" s="75" t="s">
        <v>962</v>
      </c>
      <c r="C80" s="100" t="str">
        <f>IF($B80&lt;&gt;"",_xlfn.IFNA(VLOOKUP($B80,'Node Details'!$B:$U,C$1,0),"Check"),"")</f>
        <v>0000AXZ01-AXZ010202</v>
      </c>
      <c r="D80" s="100" t="str">
        <f>IF($B80&lt;&gt;"",_xlfn.IFNA(VLOOKUP($B80,'Node Details'!$B:$U,D$1,0),"Check"),"")</f>
        <v>AXZ</v>
      </c>
      <c r="E80" s="100" t="str">
        <f>IF($B80&lt;&gt;"",_xlfn.IFNA(VLOOKUP($B80,'Node Details'!$B:$U,E$1,0),"Check"),"")</f>
        <v>Airtel</v>
      </c>
      <c r="F80" s="101">
        <v>46110</v>
      </c>
      <c r="G80" s="103"/>
      <c r="H80" s="102" t="s">
        <v>1258</v>
      </c>
      <c r="I80" s="9">
        <v>2</v>
      </c>
      <c r="J80" s="9">
        <v>65</v>
      </c>
      <c r="K80" s="100">
        <f t="shared" si="24"/>
        <v>130</v>
      </c>
      <c r="L80" s="78">
        <v>46110</v>
      </c>
      <c r="M80" s="103"/>
      <c r="N80" s="93" t="s">
        <v>90</v>
      </c>
      <c r="O80" s="94">
        <v>46141</v>
      </c>
      <c r="P80" s="104">
        <f t="shared" si="19"/>
        <v>65</v>
      </c>
      <c r="Q80" s="104">
        <f t="shared" si="20"/>
        <v>130</v>
      </c>
      <c r="R80" s="104"/>
      <c r="S80" s="93" t="s">
        <v>91</v>
      </c>
      <c r="T80" s="94">
        <v>46153</v>
      </c>
      <c r="U80" s="104">
        <f t="shared" si="21"/>
        <v>65</v>
      </c>
      <c r="V80" s="104">
        <f t="shared" si="22"/>
        <v>2</v>
      </c>
      <c r="W80" s="103">
        <f t="shared" si="23"/>
        <v>130</v>
      </c>
      <c r="X80" s="93" t="s">
        <v>89</v>
      </c>
      <c r="Y80" s="105" t="s">
        <v>84</v>
      </c>
      <c r="Z80" s="105" t="s">
        <v>93</v>
      </c>
    </row>
    <row r="81" spans="1:26" s="105" customFormat="1" ht="15" customHeight="1">
      <c r="A81" s="99">
        <f t="shared" si="13"/>
        <v>79</v>
      </c>
      <c r="B81" s="75" t="s">
        <v>112</v>
      </c>
      <c r="C81" s="100" t="str">
        <f>IF($B81&lt;&gt;"",_xlfn.IFNA(VLOOKUP($B81,'Node Details'!$B:$U,C$1,0),"Check"),"")</f>
        <v>000000AXZ-0000AXZ03</v>
      </c>
      <c r="D81" s="100" t="str">
        <f>IF($B81&lt;&gt;"",_xlfn.IFNA(VLOOKUP($B81,'Node Details'!$B:$U,D$1,0),"Check"),"")</f>
        <v>AXZ</v>
      </c>
      <c r="E81" s="100" t="str">
        <f>IF($B81&lt;&gt;"",_xlfn.IFNA(VLOOKUP($B81,'Node Details'!$B:$U,E$1,0),"Check"),"")</f>
        <v>Airtel</v>
      </c>
      <c r="F81" s="101">
        <v>46110</v>
      </c>
      <c r="G81" s="103"/>
      <c r="H81" s="102" t="s">
        <v>1258</v>
      </c>
      <c r="I81" s="9">
        <v>7</v>
      </c>
      <c r="J81" s="9">
        <v>65</v>
      </c>
      <c r="K81" s="100">
        <f t="shared" si="24"/>
        <v>455</v>
      </c>
      <c r="L81" s="78">
        <v>46110</v>
      </c>
      <c r="M81" s="103"/>
      <c r="N81" s="93" t="s">
        <v>90</v>
      </c>
      <c r="O81" s="94">
        <v>46141</v>
      </c>
      <c r="P81" s="104">
        <f t="shared" si="19"/>
        <v>65</v>
      </c>
      <c r="Q81" s="104">
        <f t="shared" si="20"/>
        <v>455</v>
      </c>
      <c r="R81" s="104"/>
      <c r="S81" s="93" t="s">
        <v>91</v>
      </c>
      <c r="T81" s="94">
        <v>46153</v>
      </c>
      <c r="U81" s="104">
        <f t="shared" si="21"/>
        <v>65</v>
      </c>
      <c r="V81" s="104">
        <f t="shared" si="22"/>
        <v>7</v>
      </c>
      <c r="W81" s="103">
        <f t="shared" si="23"/>
        <v>455</v>
      </c>
      <c r="X81" s="93" t="s">
        <v>89</v>
      </c>
      <c r="Y81" s="105" t="s">
        <v>84</v>
      </c>
      <c r="Z81" s="105" t="s">
        <v>93</v>
      </c>
    </row>
    <row r="82" spans="1:26" s="105" customFormat="1" ht="15" customHeight="1">
      <c r="A82" s="99">
        <f t="shared" si="13"/>
        <v>80</v>
      </c>
      <c r="B82" s="75" t="s">
        <v>966</v>
      </c>
      <c r="C82" s="100" t="str">
        <f>IF($B82&lt;&gt;"",_xlfn.IFNA(VLOOKUP($B82,'Node Details'!$B:$U,C$1,0),"Check"),"")</f>
        <v>0000AXZ02-AXZ020203</v>
      </c>
      <c r="D82" s="100" t="str">
        <f>IF($B82&lt;&gt;"",_xlfn.IFNA(VLOOKUP($B82,'Node Details'!$B:$U,D$1,0),"Check"),"")</f>
        <v>AXZ</v>
      </c>
      <c r="E82" s="100" t="str">
        <f>IF($B82&lt;&gt;"",_xlfn.IFNA(VLOOKUP($B82,'Node Details'!$B:$U,E$1,0),"Check"),"")</f>
        <v>Airtel</v>
      </c>
      <c r="F82" s="101">
        <v>46110</v>
      </c>
      <c r="G82" s="103"/>
      <c r="H82" s="102" t="s">
        <v>1258</v>
      </c>
      <c r="I82" s="9">
        <v>10</v>
      </c>
      <c r="J82" s="9">
        <v>65</v>
      </c>
      <c r="K82" s="100">
        <f t="shared" si="24"/>
        <v>650</v>
      </c>
      <c r="L82" s="78">
        <v>46110</v>
      </c>
      <c r="M82" s="103"/>
      <c r="N82" s="93" t="s">
        <v>90</v>
      </c>
      <c r="O82" s="94">
        <v>46141</v>
      </c>
      <c r="P82" s="104">
        <f t="shared" si="19"/>
        <v>65</v>
      </c>
      <c r="Q82" s="104">
        <f t="shared" si="20"/>
        <v>650</v>
      </c>
      <c r="R82" s="104"/>
      <c r="S82" s="93" t="s">
        <v>91</v>
      </c>
      <c r="T82" s="94">
        <v>46153</v>
      </c>
      <c r="U82" s="104">
        <f t="shared" si="21"/>
        <v>65</v>
      </c>
      <c r="V82" s="104">
        <f t="shared" si="22"/>
        <v>10</v>
      </c>
      <c r="W82" s="103">
        <f t="shared" si="23"/>
        <v>650</v>
      </c>
      <c r="X82" s="93" t="s">
        <v>89</v>
      </c>
      <c r="Y82" s="105" t="s">
        <v>84</v>
      </c>
      <c r="Z82" s="105" t="s">
        <v>93</v>
      </c>
    </row>
    <row r="83" spans="1:26" s="105" customFormat="1" ht="15" customHeight="1">
      <c r="A83" s="99">
        <f t="shared" si="13"/>
        <v>81</v>
      </c>
      <c r="B83" s="75" t="s">
        <v>967</v>
      </c>
      <c r="C83" s="100" t="str">
        <f>IF($B83&lt;&gt;"",_xlfn.IFNA(VLOOKUP($B83,'Node Details'!$B:$U,C$1,0),"Check"),"")</f>
        <v>0000AXZ02-AXZ020203</v>
      </c>
      <c r="D83" s="100" t="str">
        <f>IF($B83&lt;&gt;"",_xlfn.IFNA(VLOOKUP($B83,'Node Details'!$B:$U,D$1,0),"Check"),"")</f>
        <v>AXZ</v>
      </c>
      <c r="E83" s="100" t="str">
        <f>IF($B83&lt;&gt;"",_xlfn.IFNA(VLOOKUP($B83,'Node Details'!$B:$U,E$1,0),"Check"),"")</f>
        <v>Airtel</v>
      </c>
      <c r="F83" s="101">
        <v>46110</v>
      </c>
      <c r="G83" s="103"/>
      <c r="H83" s="102" t="s">
        <v>1258</v>
      </c>
      <c r="I83" s="9">
        <v>8</v>
      </c>
      <c r="J83" s="9">
        <v>65</v>
      </c>
      <c r="K83" s="100">
        <f t="shared" si="24"/>
        <v>520</v>
      </c>
      <c r="L83" s="78">
        <v>46110</v>
      </c>
      <c r="M83" s="103"/>
      <c r="N83" s="93" t="s">
        <v>90</v>
      </c>
      <c r="O83" s="94">
        <v>46141</v>
      </c>
      <c r="P83" s="104">
        <f t="shared" si="19"/>
        <v>65</v>
      </c>
      <c r="Q83" s="104">
        <f t="shared" si="20"/>
        <v>520</v>
      </c>
      <c r="R83" s="104"/>
      <c r="S83" s="93" t="s">
        <v>91</v>
      </c>
      <c r="T83" s="94">
        <v>46153</v>
      </c>
      <c r="U83" s="104">
        <f t="shared" si="21"/>
        <v>65</v>
      </c>
      <c r="V83" s="104">
        <f t="shared" si="22"/>
        <v>8</v>
      </c>
      <c r="W83" s="103">
        <f t="shared" si="23"/>
        <v>520</v>
      </c>
      <c r="X83" s="93" t="s">
        <v>89</v>
      </c>
      <c r="Y83" s="105" t="s">
        <v>84</v>
      </c>
      <c r="Z83" s="105" t="s">
        <v>93</v>
      </c>
    </row>
    <row r="84" spans="1:26" s="105" customFormat="1" ht="15" customHeight="1">
      <c r="A84" s="99">
        <f t="shared" si="13"/>
        <v>82</v>
      </c>
      <c r="B84" s="75" t="s">
        <v>968</v>
      </c>
      <c r="C84" s="100" t="str">
        <f>IF($B84&lt;&gt;"",_xlfn.IFNA(VLOOKUP($B84,'Node Details'!$B:$U,C$1,0),"Check"),"")</f>
        <v>0000AXZ02-AXZ020203</v>
      </c>
      <c r="D84" s="100" t="str">
        <f>IF($B84&lt;&gt;"",_xlfn.IFNA(VLOOKUP($B84,'Node Details'!$B:$U,D$1,0),"Check"),"")</f>
        <v>AXZ</v>
      </c>
      <c r="E84" s="100" t="str">
        <f>IF($B84&lt;&gt;"",_xlfn.IFNA(VLOOKUP($B84,'Node Details'!$B:$U,E$1,0),"Check"),"")</f>
        <v>Airtel</v>
      </c>
      <c r="F84" s="101">
        <v>46110</v>
      </c>
      <c r="G84" s="103"/>
      <c r="H84" s="102" t="s">
        <v>1258</v>
      </c>
      <c r="I84" s="9">
        <v>6</v>
      </c>
      <c r="J84" s="9">
        <v>65</v>
      </c>
      <c r="K84" s="100">
        <f t="shared" si="24"/>
        <v>390</v>
      </c>
      <c r="L84" s="78">
        <v>46110</v>
      </c>
      <c r="M84" s="103"/>
      <c r="N84" s="93" t="s">
        <v>90</v>
      </c>
      <c r="O84" s="94">
        <v>46141</v>
      </c>
      <c r="P84" s="104">
        <f t="shared" si="19"/>
        <v>65</v>
      </c>
      <c r="Q84" s="104">
        <f t="shared" si="20"/>
        <v>390</v>
      </c>
      <c r="R84" s="104"/>
      <c r="S84" s="93" t="s">
        <v>91</v>
      </c>
      <c r="T84" s="94">
        <v>46153</v>
      </c>
      <c r="U84" s="104">
        <f t="shared" si="21"/>
        <v>65</v>
      </c>
      <c r="V84" s="104">
        <f t="shared" si="22"/>
        <v>6</v>
      </c>
      <c r="W84" s="103">
        <f t="shared" si="23"/>
        <v>390</v>
      </c>
      <c r="X84" s="93" t="s">
        <v>89</v>
      </c>
      <c r="Y84" s="105" t="s">
        <v>84</v>
      </c>
      <c r="Z84" s="105" t="s">
        <v>93</v>
      </c>
    </row>
    <row r="85" spans="1:26" s="105" customFormat="1" ht="15" customHeight="1">
      <c r="A85" s="99">
        <f t="shared" si="13"/>
        <v>83</v>
      </c>
      <c r="B85" s="75" t="s">
        <v>969</v>
      </c>
      <c r="C85" s="100" t="str">
        <f>IF($B85&lt;&gt;"",_xlfn.IFNA(VLOOKUP($B85,'Node Details'!$B:$U,C$1,0),"Check"),"")</f>
        <v>0000AXZ02-AXZ020203</v>
      </c>
      <c r="D85" s="100" t="str">
        <f>IF($B85&lt;&gt;"",_xlfn.IFNA(VLOOKUP($B85,'Node Details'!$B:$U,D$1,0),"Check"),"")</f>
        <v>AXZ</v>
      </c>
      <c r="E85" s="100" t="str">
        <f>IF($B85&lt;&gt;"",_xlfn.IFNA(VLOOKUP($B85,'Node Details'!$B:$U,E$1,0),"Check"),"")</f>
        <v>Airtel</v>
      </c>
      <c r="F85" s="101">
        <v>46110</v>
      </c>
      <c r="G85" s="103"/>
      <c r="H85" s="102" t="s">
        <v>1258</v>
      </c>
      <c r="I85" s="9">
        <v>4</v>
      </c>
      <c r="J85" s="9">
        <v>65</v>
      </c>
      <c r="K85" s="100">
        <f t="shared" si="24"/>
        <v>260</v>
      </c>
      <c r="L85" s="78">
        <v>46110</v>
      </c>
      <c r="M85" s="103"/>
      <c r="N85" s="93" t="s">
        <v>90</v>
      </c>
      <c r="O85" s="94">
        <v>46141</v>
      </c>
      <c r="P85" s="104">
        <f t="shared" si="19"/>
        <v>65</v>
      </c>
      <c r="Q85" s="104">
        <f t="shared" si="20"/>
        <v>260</v>
      </c>
      <c r="R85" s="104"/>
      <c r="S85" s="93" t="s">
        <v>91</v>
      </c>
      <c r="T85" s="94">
        <v>46153</v>
      </c>
      <c r="U85" s="104">
        <f t="shared" si="21"/>
        <v>65</v>
      </c>
      <c r="V85" s="104">
        <f t="shared" si="22"/>
        <v>4</v>
      </c>
      <c r="W85" s="103">
        <f t="shared" si="23"/>
        <v>260</v>
      </c>
      <c r="X85" s="93" t="s">
        <v>89</v>
      </c>
      <c r="Y85" s="105" t="s">
        <v>84</v>
      </c>
      <c r="Z85" s="105" t="s">
        <v>93</v>
      </c>
    </row>
    <row r="86" spans="1:26" s="105" customFormat="1" ht="15" customHeight="1">
      <c r="A86" s="99">
        <f t="shared" si="13"/>
        <v>84</v>
      </c>
      <c r="B86" s="75" t="s">
        <v>970</v>
      </c>
      <c r="C86" s="100" t="str">
        <f>IF($B86&lt;&gt;"",_xlfn.IFNA(VLOOKUP($B86,'Node Details'!$B:$U,C$1,0),"Check"),"")</f>
        <v>0000AXZ02-AXZ020203</v>
      </c>
      <c r="D86" s="100" t="str">
        <f>IF($B86&lt;&gt;"",_xlfn.IFNA(VLOOKUP($B86,'Node Details'!$B:$U,D$1,0),"Check"),"")</f>
        <v>AXZ</v>
      </c>
      <c r="E86" s="100" t="str">
        <f>IF($B86&lt;&gt;"",_xlfn.IFNA(VLOOKUP($B86,'Node Details'!$B:$U,E$1,0),"Check"),"")</f>
        <v>Airtel</v>
      </c>
      <c r="F86" s="101">
        <v>46110</v>
      </c>
      <c r="G86" s="103"/>
      <c r="H86" s="102" t="s">
        <v>1258</v>
      </c>
      <c r="I86" s="9">
        <v>2</v>
      </c>
      <c r="J86" s="9">
        <v>65</v>
      </c>
      <c r="K86" s="100">
        <f t="shared" si="24"/>
        <v>130</v>
      </c>
      <c r="L86" s="78">
        <v>46110</v>
      </c>
      <c r="M86" s="103"/>
      <c r="N86" s="93" t="s">
        <v>90</v>
      </c>
      <c r="O86" s="94">
        <v>46141</v>
      </c>
      <c r="P86" s="104">
        <f t="shared" si="19"/>
        <v>65</v>
      </c>
      <c r="Q86" s="104">
        <f t="shared" si="20"/>
        <v>130</v>
      </c>
      <c r="R86" s="104"/>
      <c r="S86" s="93" t="s">
        <v>91</v>
      </c>
      <c r="T86" s="94">
        <v>46153</v>
      </c>
      <c r="U86" s="104">
        <f t="shared" si="21"/>
        <v>65</v>
      </c>
      <c r="V86" s="104">
        <f t="shared" si="22"/>
        <v>2</v>
      </c>
      <c r="W86" s="103">
        <f t="shared" si="23"/>
        <v>130</v>
      </c>
      <c r="X86" s="93" t="s">
        <v>89</v>
      </c>
      <c r="Y86" s="105" t="s">
        <v>84</v>
      </c>
      <c r="Z86" s="105" t="s">
        <v>93</v>
      </c>
    </row>
    <row r="87" spans="1:26" s="105" customFormat="1" ht="15" customHeight="1">
      <c r="A87" s="99">
        <f t="shared" si="13"/>
        <v>85</v>
      </c>
      <c r="B87" s="75" t="s">
        <v>95</v>
      </c>
      <c r="C87" s="100" t="str">
        <f>IF($B87&lt;&gt;"",_xlfn.IFNA(VLOOKUP($B87,'Node Details'!$B:$U,C$1,0),"Check"),"")</f>
        <v>000000AXZ-0000AXZ03</v>
      </c>
      <c r="D87" s="100" t="str">
        <f>IF($B87&lt;&gt;"",_xlfn.IFNA(VLOOKUP($B87,'Node Details'!$B:$U,D$1,0),"Check"),"")</f>
        <v>AXZ</v>
      </c>
      <c r="E87" s="100" t="str">
        <f>IF($B87&lt;&gt;"",_xlfn.IFNA(VLOOKUP($B87,'Node Details'!$B:$U,E$1,0),"Check"),"")</f>
        <v>Airtel</v>
      </c>
      <c r="F87" s="101">
        <v>46110</v>
      </c>
      <c r="G87" s="103"/>
      <c r="H87" s="102" t="s">
        <v>1258</v>
      </c>
      <c r="I87" s="9">
        <v>9</v>
      </c>
      <c r="J87" s="9">
        <v>65</v>
      </c>
      <c r="K87" s="100">
        <f t="shared" si="24"/>
        <v>585</v>
      </c>
      <c r="L87" s="78">
        <v>46110</v>
      </c>
      <c r="M87" s="103"/>
      <c r="N87" s="93" t="s">
        <v>90</v>
      </c>
      <c r="O87" s="94">
        <v>46141</v>
      </c>
      <c r="P87" s="104">
        <f t="shared" si="19"/>
        <v>65</v>
      </c>
      <c r="Q87" s="104">
        <f t="shared" si="20"/>
        <v>585</v>
      </c>
      <c r="R87" s="104"/>
      <c r="S87" s="93" t="s">
        <v>91</v>
      </c>
      <c r="T87" s="94">
        <v>46153</v>
      </c>
      <c r="U87" s="104">
        <f t="shared" si="21"/>
        <v>65</v>
      </c>
      <c r="V87" s="104">
        <f t="shared" si="22"/>
        <v>9</v>
      </c>
      <c r="W87" s="103">
        <f t="shared" si="23"/>
        <v>585</v>
      </c>
      <c r="X87" s="93" t="s">
        <v>89</v>
      </c>
      <c r="Y87" s="105" t="s">
        <v>84</v>
      </c>
      <c r="Z87" s="105" t="s">
        <v>93</v>
      </c>
    </row>
    <row r="88" spans="1:26" s="105" customFormat="1" ht="15" customHeight="1">
      <c r="A88" s="99">
        <f t="shared" si="13"/>
        <v>86</v>
      </c>
      <c r="B88" s="75" t="s">
        <v>973</v>
      </c>
      <c r="C88" s="100" t="str">
        <f>IF($B88&lt;&gt;"",_xlfn.IFNA(VLOOKUP($B88,'Node Details'!$B:$U,C$1,0),"Check"),"")</f>
        <v>0000AXZ03-AXZ030104</v>
      </c>
      <c r="D88" s="100" t="str">
        <f>IF($B88&lt;&gt;"",_xlfn.IFNA(VLOOKUP($B88,'Node Details'!$B:$U,D$1,0),"Check"),"")</f>
        <v>AXZ</v>
      </c>
      <c r="E88" s="100" t="str">
        <f>IF($B88&lt;&gt;"",_xlfn.IFNA(VLOOKUP($B88,'Node Details'!$B:$U,E$1,0),"Check"),"")</f>
        <v>Airtel</v>
      </c>
      <c r="F88" s="101">
        <v>46110</v>
      </c>
      <c r="G88" s="103"/>
      <c r="H88" s="102" t="s">
        <v>1258</v>
      </c>
      <c r="I88" s="9">
        <v>2</v>
      </c>
      <c r="J88" s="9">
        <v>65</v>
      </c>
      <c r="K88" s="100">
        <f t="shared" si="24"/>
        <v>130</v>
      </c>
      <c r="L88" s="78">
        <v>46110</v>
      </c>
      <c r="M88" s="103"/>
      <c r="N88" s="93" t="s">
        <v>90</v>
      </c>
      <c r="O88" s="94">
        <v>46141</v>
      </c>
      <c r="P88" s="104">
        <f t="shared" si="19"/>
        <v>65</v>
      </c>
      <c r="Q88" s="104">
        <f t="shared" si="20"/>
        <v>130</v>
      </c>
      <c r="R88" s="104"/>
      <c r="S88" s="93" t="s">
        <v>91</v>
      </c>
      <c r="T88" s="94">
        <v>46153</v>
      </c>
      <c r="U88" s="104">
        <f t="shared" si="21"/>
        <v>65</v>
      </c>
      <c r="V88" s="104">
        <f t="shared" si="22"/>
        <v>2</v>
      </c>
      <c r="W88" s="103">
        <f t="shared" si="23"/>
        <v>130</v>
      </c>
      <c r="X88" s="93" t="s">
        <v>89</v>
      </c>
      <c r="Y88" s="105" t="s">
        <v>84</v>
      </c>
      <c r="Z88" s="105" t="s">
        <v>93</v>
      </c>
    </row>
    <row r="89" spans="1:26" s="105" customFormat="1" ht="15" customHeight="1">
      <c r="A89" s="99">
        <f t="shared" si="13"/>
        <v>87</v>
      </c>
      <c r="B89" s="75" t="s">
        <v>975</v>
      </c>
      <c r="C89" s="100" t="str">
        <f>IF($B89&lt;&gt;"",_xlfn.IFNA(VLOOKUP($B89,'Node Details'!$B:$U,C$1,0),"Check"),"")</f>
        <v>0000AXZ03-AXZ030201</v>
      </c>
      <c r="D89" s="100" t="str">
        <f>IF($B89&lt;&gt;"",_xlfn.IFNA(VLOOKUP($B89,'Node Details'!$B:$U,D$1,0),"Check"),"")</f>
        <v>AXZ</v>
      </c>
      <c r="E89" s="100" t="str">
        <f>IF($B89&lt;&gt;"",_xlfn.IFNA(VLOOKUP($B89,'Node Details'!$B:$U,E$1,0),"Check"),"")</f>
        <v>Airtel</v>
      </c>
      <c r="F89" s="101">
        <v>46110</v>
      </c>
      <c r="G89" s="103"/>
      <c r="H89" s="102" t="s">
        <v>1258</v>
      </c>
      <c r="I89" s="9">
        <v>8</v>
      </c>
      <c r="J89" s="9">
        <v>65</v>
      </c>
      <c r="K89" s="100">
        <f t="shared" si="24"/>
        <v>520</v>
      </c>
      <c r="L89" s="78">
        <v>46110</v>
      </c>
      <c r="M89" s="103"/>
      <c r="N89" s="93" t="s">
        <v>90</v>
      </c>
      <c r="O89" s="94">
        <v>46141</v>
      </c>
      <c r="P89" s="104">
        <f t="shared" si="19"/>
        <v>65</v>
      </c>
      <c r="Q89" s="104">
        <f t="shared" si="20"/>
        <v>520</v>
      </c>
      <c r="R89" s="104"/>
      <c r="S89" s="93" t="s">
        <v>91</v>
      </c>
      <c r="T89" s="94">
        <v>46153</v>
      </c>
      <c r="U89" s="104">
        <f t="shared" si="21"/>
        <v>65</v>
      </c>
      <c r="V89" s="104">
        <f t="shared" si="22"/>
        <v>8</v>
      </c>
      <c r="W89" s="103">
        <f t="shared" si="23"/>
        <v>520</v>
      </c>
      <c r="X89" s="93" t="s">
        <v>89</v>
      </c>
      <c r="Y89" s="105" t="s">
        <v>84</v>
      </c>
      <c r="Z89" s="105" t="s">
        <v>93</v>
      </c>
    </row>
    <row r="90" spans="1:26" s="105" customFormat="1" ht="15" customHeight="1">
      <c r="A90" s="99">
        <f t="shared" si="13"/>
        <v>88</v>
      </c>
      <c r="B90" s="75" t="s">
        <v>976</v>
      </c>
      <c r="C90" s="100" t="str">
        <f>IF($B90&lt;&gt;"",_xlfn.IFNA(VLOOKUP($B90,'Node Details'!$B:$U,C$1,0),"Check"),"")</f>
        <v>0000AXZ03-AXZ030201</v>
      </c>
      <c r="D90" s="100" t="str">
        <f>IF($B90&lt;&gt;"",_xlfn.IFNA(VLOOKUP($B90,'Node Details'!$B:$U,D$1,0),"Check"),"")</f>
        <v>AXZ</v>
      </c>
      <c r="E90" s="100" t="str">
        <f>IF($B90&lt;&gt;"",_xlfn.IFNA(VLOOKUP($B90,'Node Details'!$B:$U,E$1,0),"Check"),"")</f>
        <v>Airtel</v>
      </c>
      <c r="F90" s="101">
        <v>46110</v>
      </c>
      <c r="G90" s="103"/>
      <c r="H90" s="102" t="s">
        <v>1258</v>
      </c>
      <c r="I90" s="9">
        <v>6</v>
      </c>
      <c r="J90" s="9">
        <v>65</v>
      </c>
      <c r="K90" s="100">
        <f t="shared" si="24"/>
        <v>390</v>
      </c>
      <c r="L90" s="78">
        <v>46110</v>
      </c>
      <c r="M90" s="103"/>
      <c r="N90" s="93" t="s">
        <v>90</v>
      </c>
      <c r="O90" s="94">
        <v>46141</v>
      </c>
      <c r="P90" s="104">
        <f t="shared" si="19"/>
        <v>65</v>
      </c>
      <c r="Q90" s="104">
        <f t="shared" si="20"/>
        <v>390</v>
      </c>
      <c r="R90" s="104"/>
      <c r="S90" s="93" t="s">
        <v>91</v>
      </c>
      <c r="T90" s="94">
        <v>46153</v>
      </c>
      <c r="U90" s="104">
        <f t="shared" si="21"/>
        <v>65</v>
      </c>
      <c r="V90" s="104">
        <f t="shared" si="22"/>
        <v>6</v>
      </c>
      <c r="W90" s="103">
        <f t="shared" si="23"/>
        <v>390</v>
      </c>
      <c r="X90" s="93" t="s">
        <v>89</v>
      </c>
      <c r="Y90" s="105" t="s">
        <v>84</v>
      </c>
      <c r="Z90" s="105" t="s">
        <v>93</v>
      </c>
    </row>
    <row r="91" spans="1:26" s="105" customFormat="1" ht="15" customHeight="1">
      <c r="A91" s="99">
        <f t="shared" si="13"/>
        <v>89</v>
      </c>
      <c r="B91" s="75" t="s">
        <v>134</v>
      </c>
      <c r="C91" s="100" t="str">
        <f>IF($B91&lt;&gt;"",_xlfn.IFNA(VLOOKUP($B91,'Node Details'!$B:$U,C$1,0),"Check"),"")</f>
        <v>0000AXZ03-AXZ030201</v>
      </c>
      <c r="D91" s="100" t="str">
        <f>IF($B91&lt;&gt;"",_xlfn.IFNA(VLOOKUP($B91,'Node Details'!$B:$U,D$1,0),"Check"),"")</f>
        <v>AXZ</v>
      </c>
      <c r="E91" s="100" t="str">
        <f>IF($B91&lt;&gt;"",_xlfn.IFNA(VLOOKUP($B91,'Node Details'!$B:$U,E$1,0),"Check"),"")</f>
        <v>Airtel</v>
      </c>
      <c r="F91" s="101">
        <v>46110</v>
      </c>
      <c r="G91" s="103"/>
      <c r="H91" s="102" t="s">
        <v>1258</v>
      </c>
      <c r="I91" s="9">
        <v>4</v>
      </c>
      <c r="J91" s="9">
        <v>65</v>
      </c>
      <c r="K91" s="100">
        <f t="shared" si="24"/>
        <v>260</v>
      </c>
      <c r="L91" s="78">
        <v>46110</v>
      </c>
      <c r="M91" s="103"/>
      <c r="N91" s="93" t="s">
        <v>90</v>
      </c>
      <c r="O91" s="94">
        <v>46141</v>
      </c>
      <c r="P91" s="104">
        <f t="shared" si="19"/>
        <v>65</v>
      </c>
      <c r="Q91" s="104">
        <f t="shared" si="20"/>
        <v>260</v>
      </c>
      <c r="R91" s="104"/>
      <c r="S91" s="93" t="s">
        <v>91</v>
      </c>
      <c r="T91" s="94">
        <v>46153</v>
      </c>
      <c r="U91" s="104">
        <f t="shared" si="21"/>
        <v>65</v>
      </c>
      <c r="V91" s="104">
        <f t="shared" si="22"/>
        <v>4</v>
      </c>
      <c r="W91" s="103">
        <f t="shared" si="23"/>
        <v>260</v>
      </c>
      <c r="X91" s="93" t="s">
        <v>89</v>
      </c>
      <c r="Y91" s="105" t="s">
        <v>84</v>
      </c>
      <c r="Z91" s="105" t="s">
        <v>93</v>
      </c>
    </row>
    <row r="92" spans="1:26" s="105" customFormat="1" ht="15" customHeight="1">
      <c r="A92" s="99">
        <f t="shared" si="13"/>
        <v>90</v>
      </c>
      <c r="B92" s="75" t="s">
        <v>977</v>
      </c>
      <c r="C92" s="100" t="str">
        <f>IF($B92&lt;&gt;"",_xlfn.IFNA(VLOOKUP($B92,'Node Details'!$B:$U,C$1,0),"Check"),"")</f>
        <v>AXZ030201-AXZ030205</v>
      </c>
      <c r="D92" s="100" t="str">
        <f>IF($B92&lt;&gt;"",_xlfn.IFNA(VLOOKUP($B92,'Node Details'!$B:$U,D$1,0),"Check"),"")</f>
        <v>AXZ</v>
      </c>
      <c r="E92" s="100" t="str">
        <f>IF($B92&lt;&gt;"",_xlfn.IFNA(VLOOKUP($B92,'Node Details'!$B:$U,E$1,0),"Check"),"")</f>
        <v>Airtel</v>
      </c>
      <c r="F92" s="101">
        <v>46110</v>
      </c>
      <c r="G92" s="103"/>
      <c r="H92" s="102" t="s">
        <v>1258</v>
      </c>
      <c r="I92" s="9">
        <v>2</v>
      </c>
      <c r="J92" s="9">
        <v>65</v>
      </c>
      <c r="K92" s="100">
        <f t="shared" si="24"/>
        <v>130</v>
      </c>
      <c r="L92" s="78">
        <v>46110</v>
      </c>
      <c r="M92" s="103"/>
      <c r="N92" s="93" t="s">
        <v>90</v>
      </c>
      <c r="O92" s="94">
        <v>46141</v>
      </c>
      <c r="P92" s="104">
        <f t="shared" si="19"/>
        <v>65</v>
      </c>
      <c r="Q92" s="104">
        <f t="shared" si="20"/>
        <v>130</v>
      </c>
      <c r="R92" s="104"/>
      <c r="S92" s="93" t="s">
        <v>91</v>
      </c>
      <c r="T92" s="94">
        <v>46153</v>
      </c>
      <c r="U92" s="104">
        <f t="shared" si="21"/>
        <v>65</v>
      </c>
      <c r="V92" s="104">
        <f t="shared" si="22"/>
        <v>2</v>
      </c>
      <c r="W92" s="103">
        <f t="shared" si="23"/>
        <v>130</v>
      </c>
      <c r="X92" s="93" t="s">
        <v>89</v>
      </c>
      <c r="Y92" s="105" t="s">
        <v>84</v>
      </c>
      <c r="Z92" s="105" t="s">
        <v>93</v>
      </c>
    </row>
    <row r="93" spans="1:26" s="105" customFormat="1" ht="15" customHeight="1">
      <c r="A93" s="99">
        <f t="shared" si="13"/>
        <v>91</v>
      </c>
      <c r="B93" s="75" t="s">
        <v>157</v>
      </c>
      <c r="C93" s="100" t="str">
        <f>IF($B93&lt;&gt;"",_xlfn.IFNA(VLOOKUP($B93,'Node Details'!$B:$U,C$1,0),"Check"),"")</f>
        <v>0000AXY01-AXY010101</v>
      </c>
      <c r="D93" s="100" t="str">
        <f>IF($B93&lt;&gt;"",_xlfn.IFNA(VLOOKUP($B93,'Node Details'!$B:$U,D$1,0),"Check"),"")</f>
        <v>AXY</v>
      </c>
      <c r="E93" s="100" t="str">
        <f>IF($B93&lt;&gt;"",_xlfn.IFNA(VLOOKUP($B93,'Node Details'!$B:$U,E$1,0),"Check"),"")</f>
        <v>Airtel</v>
      </c>
      <c r="F93" s="101">
        <v>46113</v>
      </c>
      <c r="G93" s="103"/>
      <c r="H93" s="102" t="s">
        <v>1254</v>
      </c>
      <c r="I93" s="9">
        <v>1</v>
      </c>
      <c r="J93" s="9">
        <v>600</v>
      </c>
      <c r="K93" s="100">
        <f t="shared" si="24"/>
        <v>600</v>
      </c>
      <c r="L93" s="78">
        <v>46112</v>
      </c>
      <c r="M93" s="103"/>
      <c r="N93" s="93" t="s">
        <v>143</v>
      </c>
      <c r="O93" s="94">
        <v>46141</v>
      </c>
      <c r="P93" s="104">
        <f t="shared" ref="P93:P156" si="25">J93</f>
        <v>600</v>
      </c>
      <c r="Q93" s="104">
        <f t="shared" ref="Q93:Q156" si="26">P93*I93</f>
        <v>600</v>
      </c>
      <c r="R93" s="104"/>
      <c r="S93" s="93" t="s">
        <v>331</v>
      </c>
      <c r="T93" s="94">
        <v>46153</v>
      </c>
      <c r="U93" s="104">
        <f t="shared" ref="U93:U156" si="27">J93</f>
        <v>600</v>
      </c>
      <c r="V93" s="104">
        <f t="shared" ref="V93:V156" si="28">I93</f>
        <v>1</v>
      </c>
      <c r="W93" s="103">
        <f t="shared" ref="W93:W156" si="29">IF(V93&lt;&gt;"",V93*U93,0)</f>
        <v>600</v>
      </c>
      <c r="X93" s="93" t="s">
        <v>89</v>
      </c>
      <c r="Y93" s="105" t="s">
        <v>84</v>
      </c>
      <c r="Z93" s="105" t="s">
        <v>93</v>
      </c>
    </row>
    <row r="94" spans="1:26" s="105" customFormat="1" ht="15" customHeight="1">
      <c r="A94" s="99">
        <f t="shared" si="13"/>
        <v>92</v>
      </c>
      <c r="B94" s="75" t="s">
        <v>980</v>
      </c>
      <c r="C94" s="100" t="str">
        <f>IF($B94&lt;&gt;"",_xlfn.IFNA(VLOOKUP($B94,'Node Details'!$B:$U,C$1,0),"Check"),"")</f>
        <v>0000AXY01-AXY010104</v>
      </c>
      <c r="D94" s="100" t="str">
        <f>IF($B94&lt;&gt;"",_xlfn.IFNA(VLOOKUP($B94,'Node Details'!$B:$U,D$1,0),"Check"),"")</f>
        <v>AXY</v>
      </c>
      <c r="E94" s="100" t="str">
        <f>IF($B94&lt;&gt;"",_xlfn.IFNA(VLOOKUP($B94,'Node Details'!$B:$U,E$1,0),"Check"),"")</f>
        <v>Airtel</v>
      </c>
      <c r="F94" s="101">
        <v>46113</v>
      </c>
      <c r="G94" s="103"/>
      <c r="H94" s="102" t="s">
        <v>1254</v>
      </c>
      <c r="I94" s="9">
        <v>1</v>
      </c>
      <c r="J94" s="9">
        <v>600</v>
      </c>
      <c r="K94" s="100">
        <f t="shared" ref="K94:K157" si="30">IF(I94&lt;&gt;"",J94*I94,0)</f>
        <v>600</v>
      </c>
      <c r="L94" s="78">
        <v>46112</v>
      </c>
      <c r="M94" s="103"/>
      <c r="N94" s="93" t="s">
        <v>143</v>
      </c>
      <c r="O94" s="94">
        <v>46141</v>
      </c>
      <c r="P94" s="104">
        <f t="shared" si="25"/>
        <v>600</v>
      </c>
      <c r="Q94" s="104">
        <f t="shared" si="26"/>
        <v>600</v>
      </c>
      <c r="R94" s="104"/>
      <c r="S94" s="93" t="s">
        <v>331</v>
      </c>
      <c r="T94" s="94">
        <v>46153</v>
      </c>
      <c r="U94" s="104">
        <f t="shared" si="27"/>
        <v>600</v>
      </c>
      <c r="V94" s="104">
        <f t="shared" si="28"/>
        <v>1</v>
      </c>
      <c r="W94" s="103">
        <f t="shared" si="29"/>
        <v>600</v>
      </c>
      <c r="X94" s="93" t="s">
        <v>89</v>
      </c>
      <c r="Y94" s="105" t="s">
        <v>84</v>
      </c>
      <c r="Z94" s="105" t="s">
        <v>93</v>
      </c>
    </row>
    <row r="95" spans="1:26" s="105" customFormat="1" ht="15" customHeight="1">
      <c r="A95" s="99">
        <f t="shared" si="13"/>
        <v>93</v>
      </c>
      <c r="B95" s="75" t="s">
        <v>160</v>
      </c>
      <c r="C95" s="100" t="str">
        <f>IF($B95&lt;&gt;"",_xlfn.IFNA(VLOOKUP($B95,'Node Details'!$B:$U,C$1,0),"Check"),"")</f>
        <v>0000AXY01-AXY010104</v>
      </c>
      <c r="D95" s="100" t="str">
        <f>IF($B95&lt;&gt;"",_xlfn.IFNA(VLOOKUP($B95,'Node Details'!$B:$U,D$1,0),"Check"),"")</f>
        <v>AXY</v>
      </c>
      <c r="E95" s="100" t="str">
        <f>IF($B95&lt;&gt;"",_xlfn.IFNA(VLOOKUP($B95,'Node Details'!$B:$U,E$1,0),"Check"),"")</f>
        <v>Airtel</v>
      </c>
      <c r="F95" s="101">
        <v>46113</v>
      </c>
      <c r="G95" s="103"/>
      <c r="H95" s="102" t="s">
        <v>1254</v>
      </c>
      <c r="I95" s="9">
        <v>1</v>
      </c>
      <c r="J95" s="9">
        <v>600</v>
      </c>
      <c r="K95" s="100">
        <f t="shared" si="30"/>
        <v>600</v>
      </c>
      <c r="L95" s="78">
        <v>46112</v>
      </c>
      <c r="M95" s="103"/>
      <c r="N95" s="93" t="s">
        <v>143</v>
      </c>
      <c r="O95" s="94">
        <v>46141</v>
      </c>
      <c r="P95" s="104">
        <f t="shared" si="25"/>
        <v>600</v>
      </c>
      <c r="Q95" s="104">
        <f t="shared" si="26"/>
        <v>600</v>
      </c>
      <c r="R95" s="104"/>
      <c r="S95" s="93" t="s">
        <v>331</v>
      </c>
      <c r="T95" s="94">
        <v>46153</v>
      </c>
      <c r="U95" s="104">
        <f t="shared" si="27"/>
        <v>600</v>
      </c>
      <c r="V95" s="104">
        <f t="shared" si="28"/>
        <v>1</v>
      </c>
      <c r="W95" s="103">
        <f t="shared" si="29"/>
        <v>600</v>
      </c>
      <c r="X95" s="93" t="s">
        <v>89</v>
      </c>
      <c r="Y95" s="105" t="s">
        <v>84</v>
      </c>
      <c r="Z95" s="105" t="s">
        <v>93</v>
      </c>
    </row>
    <row r="96" spans="1:26" s="105" customFormat="1" ht="15" customHeight="1">
      <c r="A96" s="99">
        <f t="shared" si="13"/>
        <v>94</v>
      </c>
      <c r="B96" s="75" t="s">
        <v>162</v>
      </c>
      <c r="C96" s="100" t="str">
        <f>IF($B96&lt;&gt;"",_xlfn.IFNA(VLOOKUP($B96,'Node Details'!$B:$U,C$1,0),"Check"),"")</f>
        <v>0000AXY01-AXY010102</v>
      </c>
      <c r="D96" s="100" t="str">
        <f>IF($B96&lt;&gt;"",_xlfn.IFNA(VLOOKUP($B96,'Node Details'!$B:$U,D$1,0),"Check"),"")</f>
        <v>AXY</v>
      </c>
      <c r="E96" s="100" t="str">
        <f>IF($B96&lt;&gt;"",_xlfn.IFNA(VLOOKUP($B96,'Node Details'!$B:$U,E$1,0),"Check"),"")</f>
        <v>Airtel</v>
      </c>
      <c r="F96" s="101">
        <v>46113</v>
      </c>
      <c r="G96" s="103"/>
      <c r="H96" s="102" t="s">
        <v>1254</v>
      </c>
      <c r="I96" s="9">
        <v>1</v>
      </c>
      <c r="J96" s="9">
        <v>600</v>
      </c>
      <c r="K96" s="100">
        <f t="shared" si="30"/>
        <v>600</v>
      </c>
      <c r="L96" s="78">
        <v>46112</v>
      </c>
      <c r="M96" s="103"/>
      <c r="N96" s="93" t="s">
        <v>143</v>
      </c>
      <c r="O96" s="94">
        <v>46141</v>
      </c>
      <c r="P96" s="104">
        <f t="shared" si="25"/>
        <v>600</v>
      </c>
      <c r="Q96" s="104">
        <f t="shared" si="26"/>
        <v>600</v>
      </c>
      <c r="R96" s="104"/>
      <c r="S96" s="93" t="s">
        <v>331</v>
      </c>
      <c r="T96" s="94">
        <v>46153</v>
      </c>
      <c r="U96" s="104">
        <f t="shared" si="27"/>
        <v>600</v>
      </c>
      <c r="V96" s="104">
        <f t="shared" si="28"/>
        <v>1</v>
      </c>
      <c r="W96" s="103">
        <f t="shared" si="29"/>
        <v>600</v>
      </c>
      <c r="X96" s="93" t="s">
        <v>89</v>
      </c>
      <c r="Y96" s="105" t="s">
        <v>84</v>
      </c>
      <c r="Z96" s="105" t="s">
        <v>93</v>
      </c>
    </row>
    <row r="97" spans="1:26" s="105" customFormat="1" ht="15" customHeight="1">
      <c r="A97" s="99">
        <f t="shared" si="13"/>
        <v>95</v>
      </c>
      <c r="B97" s="75" t="s">
        <v>164</v>
      </c>
      <c r="C97" s="100" t="str">
        <f>IF($B97&lt;&gt;"",_xlfn.IFNA(VLOOKUP($B97,'Node Details'!$B:$U,C$1,0),"Check"),"")</f>
        <v>0000AXY03-AXY030101</v>
      </c>
      <c r="D97" s="100" t="str">
        <f>IF($B97&lt;&gt;"",_xlfn.IFNA(VLOOKUP($B97,'Node Details'!$B:$U,D$1,0),"Check"),"")</f>
        <v>AXY</v>
      </c>
      <c r="E97" s="100" t="str">
        <f>IF($B97&lt;&gt;"",_xlfn.IFNA(VLOOKUP($B97,'Node Details'!$B:$U,E$1,0),"Check"),"")</f>
        <v>Airtel</v>
      </c>
      <c r="F97" s="101">
        <v>46113</v>
      </c>
      <c r="G97" s="103"/>
      <c r="H97" s="102" t="s">
        <v>1254</v>
      </c>
      <c r="I97" s="9">
        <v>1</v>
      </c>
      <c r="J97" s="9">
        <v>600</v>
      </c>
      <c r="K97" s="100">
        <f t="shared" si="30"/>
        <v>600</v>
      </c>
      <c r="L97" s="78">
        <v>46112</v>
      </c>
      <c r="M97" s="103"/>
      <c r="N97" s="93" t="s">
        <v>143</v>
      </c>
      <c r="O97" s="94">
        <v>46141</v>
      </c>
      <c r="P97" s="104">
        <f t="shared" si="25"/>
        <v>600</v>
      </c>
      <c r="Q97" s="104">
        <f t="shared" si="26"/>
        <v>600</v>
      </c>
      <c r="R97" s="104"/>
      <c r="S97" s="93" t="s">
        <v>331</v>
      </c>
      <c r="T97" s="94">
        <v>46153</v>
      </c>
      <c r="U97" s="104">
        <f t="shared" si="27"/>
        <v>600</v>
      </c>
      <c r="V97" s="104">
        <f t="shared" si="28"/>
        <v>1</v>
      </c>
      <c r="W97" s="103">
        <f t="shared" si="29"/>
        <v>600</v>
      </c>
      <c r="X97" s="93" t="s">
        <v>89</v>
      </c>
      <c r="Y97" s="105" t="s">
        <v>84</v>
      </c>
      <c r="Z97" s="105" t="s">
        <v>93</v>
      </c>
    </row>
    <row r="98" spans="1:26" s="105" customFormat="1" ht="15" customHeight="1">
      <c r="A98" s="99">
        <f t="shared" si="13"/>
        <v>96</v>
      </c>
      <c r="B98" s="75" t="s">
        <v>168</v>
      </c>
      <c r="C98" s="100" t="str">
        <f>IF($B98&lt;&gt;"",_xlfn.IFNA(VLOOKUP($B98,'Node Details'!$B:$U,C$1,0),"Check"),"")</f>
        <v>0000AXY03-AXY030104</v>
      </c>
      <c r="D98" s="100" t="str">
        <f>IF($B98&lt;&gt;"",_xlfn.IFNA(VLOOKUP($B98,'Node Details'!$B:$U,D$1,0),"Check"),"")</f>
        <v>AXY</v>
      </c>
      <c r="E98" s="100" t="str">
        <f>IF($B98&lt;&gt;"",_xlfn.IFNA(VLOOKUP($B98,'Node Details'!$B:$U,E$1,0),"Check"),"")</f>
        <v>Airtel</v>
      </c>
      <c r="F98" s="101">
        <v>46113</v>
      </c>
      <c r="G98" s="103"/>
      <c r="H98" s="102" t="s">
        <v>1254</v>
      </c>
      <c r="I98" s="9">
        <v>1</v>
      </c>
      <c r="J98" s="9">
        <v>600</v>
      </c>
      <c r="K98" s="100">
        <f t="shared" si="30"/>
        <v>600</v>
      </c>
      <c r="L98" s="78">
        <v>46112</v>
      </c>
      <c r="M98" s="103"/>
      <c r="N98" s="93" t="s">
        <v>143</v>
      </c>
      <c r="O98" s="94">
        <v>46141</v>
      </c>
      <c r="P98" s="104">
        <f t="shared" si="25"/>
        <v>600</v>
      </c>
      <c r="Q98" s="104">
        <f t="shared" si="26"/>
        <v>600</v>
      </c>
      <c r="R98" s="104"/>
      <c r="S98" s="93" t="s">
        <v>331</v>
      </c>
      <c r="T98" s="94">
        <v>46153</v>
      </c>
      <c r="U98" s="104">
        <f t="shared" si="27"/>
        <v>600</v>
      </c>
      <c r="V98" s="104">
        <f t="shared" si="28"/>
        <v>1</v>
      </c>
      <c r="W98" s="103">
        <f t="shared" si="29"/>
        <v>600</v>
      </c>
      <c r="X98" s="93" t="s">
        <v>89</v>
      </c>
      <c r="Y98" s="105" t="s">
        <v>84</v>
      </c>
      <c r="Z98" s="105" t="s">
        <v>93</v>
      </c>
    </row>
    <row r="99" spans="1:26" s="105" customFormat="1" ht="15" customHeight="1">
      <c r="A99" s="99">
        <f t="shared" si="13"/>
        <v>97</v>
      </c>
      <c r="B99" s="75" t="s">
        <v>166</v>
      </c>
      <c r="C99" s="100" t="str">
        <f>IF($B99&lt;&gt;"",_xlfn.IFNA(VLOOKUP($B99,'Node Details'!$B:$U,C$1,0),"Check"),"")</f>
        <v>0000AXY03-AXY030104</v>
      </c>
      <c r="D99" s="100" t="str">
        <f>IF($B99&lt;&gt;"",_xlfn.IFNA(VLOOKUP($B99,'Node Details'!$B:$U,D$1,0),"Check"),"")</f>
        <v>AXY</v>
      </c>
      <c r="E99" s="100" t="str">
        <f>IF($B99&lt;&gt;"",_xlfn.IFNA(VLOOKUP($B99,'Node Details'!$B:$U,E$1,0),"Check"),"")</f>
        <v>Airtel</v>
      </c>
      <c r="F99" s="101">
        <v>46113</v>
      </c>
      <c r="G99" s="103"/>
      <c r="H99" s="102" t="s">
        <v>1254</v>
      </c>
      <c r="I99" s="9">
        <v>1</v>
      </c>
      <c r="J99" s="9">
        <v>600</v>
      </c>
      <c r="K99" s="100">
        <f t="shared" si="30"/>
        <v>600</v>
      </c>
      <c r="L99" s="78">
        <v>46112</v>
      </c>
      <c r="M99" s="103"/>
      <c r="N99" s="93" t="s">
        <v>143</v>
      </c>
      <c r="O99" s="94">
        <v>46141</v>
      </c>
      <c r="P99" s="104">
        <f t="shared" si="25"/>
        <v>600</v>
      </c>
      <c r="Q99" s="104">
        <f t="shared" si="26"/>
        <v>600</v>
      </c>
      <c r="R99" s="104"/>
      <c r="S99" s="93" t="s">
        <v>331</v>
      </c>
      <c r="T99" s="94">
        <v>46153</v>
      </c>
      <c r="U99" s="104">
        <f t="shared" si="27"/>
        <v>600</v>
      </c>
      <c r="V99" s="104">
        <f t="shared" si="28"/>
        <v>1</v>
      </c>
      <c r="W99" s="103">
        <f t="shared" si="29"/>
        <v>600</v>
      </c>
      <c r="X99" s="93" t="s">
        <v>89</v>
      </c>
      <c r="Y99" s="105" t="s">
        <v>84</v>
      </c>
      <c r="Z99" s="105" t="s">
        <v>93</v>
      </c>
    </row>
    <row r="100" spans="1:26" s="105" customFormat="1" ht="15" customHeight="1">
      <c r="A100" s="99">
        <f t="shared" si="13"/>
        <v>98</v>
      </c>
      <c r="B100" s="75" t="s">
        <v>169</v>
      </c>
      <c r="C100" s="100" t="str">
        <f>IF($B100&lt;&gt;"",_xlfn.IFNA(VLOOKUP($B100,'Node Details'!$B:$U,C$1,0),"Check"),"")</f>
        <v>AXY030103-AXY030105</v>
      </c>
      <c r="D100" s="100" t="str">
        <f>IF($B100&lt;&gt;"",_xlfn.IFNA(VLOOKUP($B100,'Node Details'!$B:$U,D$1,0),"Check"),"")</f>
        <v>AXY</v>
      </c>
      <c r="E100" s="100" t="str">
        <f>IF($B100&lt;&gt;"",_xlfn.IFNA(VLOOKUP($B100,'Node Details'!$B:$U,E$1,0),"Check"),"")</f>
        <v>Airtel</v>
      </c>
      <c r="F100" s="101">
        <v>46113</v>
      </c>
      <c r="G100" s="103"/>
      <c r="H100" s="102" t="s">
        <v>1254</v>
      </c>
      <c r="I100" s="9">
        <v>1</v>
      </c>
      <c r="J100" s="9">
        <v>600</v>
      </c>
      <c r="K100" s="100">
        <f t="shared" si="30"/>
        <v>600</v>
      </c>
      <c r="L100" s="78">
        <v>46112</v>
      </c>
      <c r="M100" s="103"/>
      <c r="N100" s="93" t="s">
        <v>143</v>
      </c>
      <c r="O100" s="94">
        <v>46141</v>
      </c>
      <c r="P100" s="104">
        <f t="shared" si="25"/>
        <v>600</v>
      </c>
      <c r="Q100" s="104">
        <f t="shared" si="26"/>
        <v>600</v>
      </c>
      <c r="R100" s="104"/>
      <c r="S100" s="93" t="s">
        <v>331</v>
      </c>
      <c r="T100" s="94">
        <v>46153</v>
      </c>
      <c r="U100" s="104">
        <f t="shared" si="27"/>
        <v>600</v>
      </c>
      <c r="V100" s="104">
        <f t="shared" si="28"/>
        <v>1</v>
      </c>
      <c r="W100" s="103">
        <f t="shared" si="29"/>
        <v>600</v>
      </c>
      <c r="X100" s="93" t="s">
        <v>89</v>
      </c>
      <c r="Y100" s="105" t="s">
        <v>84</v>
      </c>
      <c r="Z100" s="105" t="s">
        <v>93</v>
      </c>
    </row>
    <row r="101" spans="1:26" s="105" customFormat="1" ht="15" customHeight="1">
      <c r="A101" s="99">
        <f t="shared" si="13"/>
        <v>99</v>
      </c>
      <c r="B101" s="75" t="s">
        <v>174</v>
      </c>
      <c r="C101" s="100" t="str">
        <f>IF($B101&lt;&gt;"",_xlfn.IFNA(VLOOKUP($B101,'Node Details'!$B:$U,C$1,0),"Check"),"")</f>
        <v>0000AXY03-AXY030108</v>
      </c>
      <c r="D101" s="100" t="str">
        <f>IF($B101&lt;&gt;"",_xlfn.IFNA(VLOOKUP($B101,'Node Details'!$B:$U,D$1,0),"Check"),"")</f>
        <v>AXY</v>
      </c>
      <c r="E101" s="100" t="str">
        <f>IF($B101&lt;&gt;"",_xlfn.IFNA(VLOOKUP($B101,'Node Details'!$B:$U,E$1,0),"Check"),"")</f>
        <v>Airtel</v>
      </c>
      <c r="F101" s="101">
        <v>46113</v>
      </c>
      <c r="G101" s="103"/>
      <c r="H101" s="102" t="s">
        <v>1254</v>
      </c>
      <c r="I101" s="9">
        <v>1</v>
      </c>
      <c r="J101" s="9">
        <v>600</v>
      </c>
      <c r="K101" s="100">
        <f t="shared" si="30"/>
        <v>600</v>
      </c>
      <c r="L101" s="78">
        <v>46112</v>
      </c>
      <c r="M101" s="103"/>
      <c r="N101" s="93" t="s">
        <v>143</v>
      </c>
      <c r="O101" s="94">
        <v>46141</v>
      </c>
      <c r="P101" s="104">
        <f t="shared" si="25"/>
        <v>600</v>
      </c>
      <c r="Q101" s="104">
        <f t="shared" si="26"/>
        <v>600</v>
      </c>
      <c r="R101" s="104"/>
      <c r="S101" s="93" t="s">
        <v>331</v>
      </c>
      <c r="T101" s="94">
        <v>46153</v>
      </c>
      <c r="U101" s="104">
        <f t="shared" si="27"/>
        <v>600</v>
      </c>
      <c r="V101" s="104">
        <f t="shared" si="28"/>
        <v>1</v>
      </c>
      <c r="W101" s="103">
        <f t="shared" si="29"/>
        <v>600</v>
      </c>
      <c r="X101" s="93" t="s">
        <v>89</v>
      </c>
      <c r="Y101" s="105" t="s">
        <v>84</v>
      </c>
      <c r="Z101" s="105" t="s">
        <v>93</v>
      </c>
    </row>
    <row r="102" spans="1:26" s="105" customFormat="1" ht="15" customHeight="1">
      <c r="A102" s="99">
        <f t="shared" si="13"/>
        <v>100</v>
      </c>
      <c r="B102" s="75" t="s">
        <v>172</v>
      </c>
      <c r="C102" s="100" t="str">
        <f>IF($B102&lt;&gt;"",_xlfn.IFNA(VLOOKUP($B102,'Node Details'!$B:$U,C$1,0),"Check"),"")</f>
        <v>0000AXY03-AXY030108</v>
      </c>
      <c r="D102" s="100" t="str">
        <f>IF($B102&lt;&gt;"",_xlfn.IFNA(VLOOKUP($B102,'Node Details'!$B:$U,D$1,0),"Check"),"")</f>
        <v>AXY</v>
      </c>
      <c r="E102" s="100" t="str">
        <f>IF($B102&lt;&gt;"",_xlfn.IFNA(VLOOKUP($B102,'Node Details'!$B:$U,E$1,0),"Check"),"")</f>
        <v>Airtel</v>
      </c>
      <c r="F102" s="101">
        <v>46113</v>
      </c>
      <c r="G102" s="103"/>
      <c r="H102" s="102" t="s">
        <v>1254</v>
      </c>
      <c r="I102" s="9">
        <v>1</v>
      </c>
      <c r="J102" s="9">
        <v>600</v>
      </c>
      <c r="K102" s="100">
        <f t="shared" si="30"/>
        <v>600</v>
      </c>
      <c r="L102" s="78">
        <v>46112</v>
      </c>
      <c r="M102" s="103"/>
      <c r="N102" s="93" t="s">
        <v>143</v>
      </c>
      <c r="O102" s="94">
        <v>46141</v>
      </c>
      <c r="P102" s="104">
        <f t="shared" si="25"/>
        <v>600</v>
      </c>
      <c r="Q102" s="104">
        <f t="shared" si="26"/>
        <v>600</v>
      </c>
      <c r="R102" s="104"/>
      <c r="S102" s="93" t="s">
        <v>331</v>
      </c>
      <c r="T102" s="94">
        <v>46153</v>
      </c>
      <c r="U102" s="104">
        <f t="shared" si="27"/>
        <v>600</v>
      </c>
      <c r="V102" s="104">
        <f t="shared" si="28"/>
        <v>1</v>
      </c>
      <c r="W102" s="103">
        <f t="shared" si="29"/>
        <v>600</v>
      </c>
      <c r="X102" s="93" t="s">
        <v>89</v>
      </c>
      <c r="Y102" s="105" t="s">
        <v>84</v>
      </c>
      <c r="Z102" s="105" t="s">
        <v>93</v>
      </c>
    </row>
    <row r="103" spans="1:26" s="105" customFormat="1" ht="15" customHeight="1">
      <c r="A103" s="99">
        <f t="shared" si="13"/>
        <v>101</v>
      </c>
      <c r="B103" s="75" t="s">
        <v>175</v>
      </c>
      <c r="C103" s="100" t="str">
        <f>IF($B103&lt;&gt;"",_xlfn.IFNA(VLOOKUP($B103,'Node Details'!$B:$U,C$1,0),"Check"),"")</f>
        <v>AXY030107-AXY030201</v>
      </c>
      <c r="D103" s="100" t="str">
        <f>IF($B103&lt;&gt;"",_xlfn.IFNA(VLOOKUP($B103,'Node Details'!$B:$U,D$1,0),"Check"),"")</f>
        <v>AXY</v>
      </c>
      <c r="E103" s="100" t="str">
        <f>IF($B103&lt;&gt;"",_xlfn.IFNA(VLOOKUP($B103,'Node Details'!$B:$U,E$1,0),"Check"),"")</f>
        <v>Airtel</v>
      </c>
      <c r="F103" s="101">
        <v>46113</v>
      </c>
      <c r="G103" s="103"/>
      <c r="H103" s="102" t="s">
        <v>1254</v>
      </c>
      <c r="I103" s="9">
        <v>1</v>
      </c>
      <c r="J103" s="9">
        <v>600</v>
      </c>
      <c r="K103" s="100">
        <f t="shared" si="30"/>
        <v>600</v>
      </c>
      <c r="L103" s="78">
        <v>46112</v>
      </c>
      <c r="M103" s="103"/>
      <c r="N103" s="93" t="s">
        <v>143</v>
      </c>
      <c r="O103" s="94">
        <v>46141</v>
      </c>
      <c r="P103" s="104">
        <f t="shared" si="25"/>
        <v>600</v>
      </c>
      <c r="Q103" s="104">
        <f t="shared" si="26"/>
        <v>600</v>
      </c>
      <c r="R103" s="104"/>
      <c r="S103" s="93" t="s">
        <v>331</v>
      </c>
      <c r="T103" s="94">
        <v>46153</v>
      </c>
      <c r="U103" s="104">
        <f t="shared" si="27"/>
        <v>600</v>
      </c>
      <c r="V103" s="104">
        <f t="shared" si="28"/>
        <v>1</v>
      </c>
      <c r="W103" s="103">
        <f t="shared" si="29"/>
        <v>600</v>
      </c>
      <c r="X103" s="93" t="s">
        <v>89</v>
      </c>
      <c r="Y103" s="105" t="s">
        <v>84</v>
      </c>
      <c r="Z103" s="105" t="s">
        <v>93</v>
      </c>
    </row>
    <row r="104" spans="1:26" s="105" customFormat="1" ht="15" customHeight="1">
      <c r="A104" s="99">
        <f t="shared" si="13"/>
        <v>102</v>
      </c>
      <c r="B104" s="75" t="s">
        <v>981</v>
      </c>
      <c r="C104" s="100" t="str">
        <f>IF($B104&lt;&gt;"",_xlfn.IFNA(VLOOKUP($B104,'Node Details'!$B:$U,C$1,0),"Check"),"")</f>
        <v>AXY030201-AXY030204</v>
      </c>
      <c r="D104" s="100" t="str">
        <f>IF($B104&lt;&gt;"",_xlfn.IFNA(VLOOKUP($B104,'Node Details'!$B:$U,D$1,0),"Check"),"")</f>
        <v>AXY</v>
      </c>
      <c r="E104" s="100" t="str">
        <f>IF($B104&lt;&gt;"",_xlfn.IFNA(VLOOKUP($B104,'Node Details'!$B:$U,E$1,0),"Check"),"")</f>
        <v>Airtel</v>
      </c>
      <c r="F104" s="101">
        <v>46113</v>
      </c>
      <c r="G104" s="103"/>
      <c r="H104" s="102" t="s">
        <v>1254</v>
      </c>
      <c r="I104" s="9">
        <v>1</v>
      </c>
      <c r="J104" s="9">
        <v>600</v>
      </c>
      <c r="K104" s="100">
        <f t="shared" si="30"/>
        <v>600</v>
      </c>
      <c r="L104" s="78">
        <v>46112</v>
      </c>
      <c r="M104" s="103"/>
      <c r="N104" s="93" t="s">
        <v>143</v>
      </c>
      <c r="O104" s="94">
        <v>46141</v>
      </c>
      <c r="P104" s="104">
        <f t="shared" si="25"/>
        <v>600</v>
      </c>
      <c r="Q104" s="104">
        <f t="shared" si="26"/>
        <v>600</v>
      </c>
      <c r="R104" s="104"/>
      <c r="S104" s="93" t="s">
        <v>331</v>
      </c>
      <c r="T104" s="94">
        <v>46153</v>
      </c>
      <c r="U104" s="104">
        <f t="shared" si="27"/>
        <v>600</v>
      </c>
      <c r="V104" s="104">
        <f t="shared" si="28"/>
        <v>1</v>
      </c>
      <c r="W104" s="103">
        <f t="shared" si="29"/>
        <v>600</v>
      </c>
      <c r="X104" s="93" t="s">
        <v>89</v>
      </c>
      <c r="Y104" s="105" t="s">
        <v>84</v>
      </c>
      <c r="Z104" s="105" t="s">
        <v>93</v>
      </c>
    </row>
    <row r="105" spans="1:26" s="105" customFormat="1" ht="15" customHeight="1">
      <c r="A105" s="99">
        <f t="shared" si="13"/>
        <v>103</v>
      </c>
      <c r="B105" s="75" t="s">
        <v>177</v>
      </c>
      <c r="C105" s="100" t="str">
        <f>IF($B105&lt;&gt;"",_xlfn.IFNA(VLOOKUP($B105,'Node Details'!$B:$U,C$1,0),"Check"),"")</f>
        <v>AXY030201-AXY030204</v>
      </c>
      <c r="D105" s="100" t="str">
        <f>IF($B105&lt;&gt;"",_xlfn.IFNA(VLOOKUP($B105,'Node Details'!$B:$U,D$1,0),"Check"),"")</f>
        <v>AXY</v>
      </c>
      <c r="E105" s="100" t="str">
        <f>IF($B105&lt;&gt;"",_xlfn.IFNA(VLOOKUP($B105,'Node Details'!$B:$U,E$1,0),"Check"),"")</f>
        <v>Airtel</v>
      </c>
      <c r="F105" s="101">
        <v>46113</v>
      </c>
      <c r="G105" s="103"/>
      <c r="H105" s="102" t="s">
        <v>1254</v>
      </c>
      <c r="I105" s="9">
        <v>1</v>
      </c>
      <c r="J105" s="9">
        <v>600</v>
      </c>
      <c r="K105" s="100">
        <f t="shared" si="30"/>
        <v>600</v>
      </c>
      <c r="L105" s="78">
        <v>46112</v>
      </c>
      <c r="M105" s="103"/>
      <c r="N105" s="93" t="s">
        <v>143</v>
      </c>
      <c r="O105" s="94">
        <v>46141</v>
      </c>
      <c r="P105" s="104">
        <f t="shared" si="25"/>
        <v>600</v>
      </c>
      <c r="Q105" s="104">
        <f t="shared" si="26"/>
        <v>600</v>
      </c>
      <c r="R105" s="104"/>
      <c r="S105" s="93" t="s">
        <v>331</v>
      </c>
      <c r="T105" s="94">
        <v>46153</v>
      </c>
      <c r="U105" s="104">
        <f t="shared" si="27"/>
        <v>600</v>
      </c>
      <c r="V105" s="104">
        <f t="shared" si="28"/>
        <v>1</v>
      </c>
      <c r="W105" s="103">
        <f t="shared" si="29"/>
        <v>600</v>
      </c>
      <c r="X105" s="93" t="s">
        <v>89</v>
      </c>
      <c r="Y105" s="105" t="s">
        <v>84</v>
      </c>
      <c r="Z105" s="105" t="s">
        <v>93</v>
      </c>
    </row>
    <row r="106" spans="1:26" s="105" customFormat="1" ht="15" customHeight="1">
      <c r="A106" s="99">
        <f t="shared" si="13"/>
        <v>104</v>
      </c>
      <c r="B106" s="75" t="s">
        <v>179</v>
      </c>
      <c r="C106" s="100" t="str">
        <f>IF($B106&lt;&gt;"",_xlfn.IFNA(VLOOKUP($B106,'Node Details'!$B:$U,C$1,0),"Check"),"")</f>
        <v>0000AXY04-AXY040101</v>
      </c>
      <c r="D106" s="100" t="str">
        <f>IF($B106&lt;&gt;"",_xlfn.IFNA(VLOOKUP($B106,'Node Details'!$B:$U,D$1,0),"Check"),"")</f>
        <v>AXY</v>
      </c>
      <c r="E106" s="100" t="str">
        <f>IF($B106&lt;&gt;"",_xlfn.IFNA(VLOOKUP($B106,'Node Details'!$B:$U,E$1,0),"Check"),"")</f>
        <v>Airtel</v>
      </c>
      <c r="F106" s="101">
        <v>46113</v>
      </c>
      <c r="G106" s="103"/>
      <c r="H106" s="102" t="s">
        <v>1254</v>
      </c>
      <c r="I106" s="9">
        <v>1</v>
      </c>
      <c r="J106" s="9">
        <v>600</v>
      </c>
      <c r="K106" s="100">
        <f t="shared" si="30"/>
        <v>600</v>
      </c>
      <c r="L106" s="78">
        <v>46112</v>
      </c>
      <c r="M106" s="103"/>
      <c r="N106" s="93" t="s">
        <v>143</v>
      </c>
      <c r="O106" s="94">
        <v>46141</v>
      </c>
      <c r="P106" s="104">
        <f t="shared" si="25"/>
        <v>600</v>
      </c>
      <c r="Q106" s="104">
        <f t="shared" si="26"/>
        <v>600</v>
      </c>
      <c r="R106" s="104"/>
      <c r="S106" s="93" t="s">
        <v>331</v>
      </c>
      <c r="T106" s="94">
        <v>46153</v>
      </c>
      <c r="U106" s="104">
        <f t="shared" si="27"/>
        <v>600</v>
      </c>
      <c r="V106" s="104">
        <f t="shared" si="28"/>
        <v>1</v>
      </c>
      <c r="W106" s="103">
        <f t="shared" si="29"/>
        <v>600</v>
      </c>
      <c r="X106" s="93" t="s">
        <v>89</v>
      </c>
      <c r="Y106" s="105" t="s">
        <v>84</v>
      </c>
      <c r="Z106" s="105" t="s">
        <v>93</v>
      </c>
    </row>
    <row r="107" spans="1:26" s="105" customFormat="1" ht="15" customHeight="1">
      <c r="A107" s="99">
        <f t="shared" si="13"/>
        <v>105</v>
      </c>
      <c r="B107" s="75" t="s">
        <v>982</v>
      </c>
      <c r="C107" s="100" t="str">
        <f>IF($B107&lt;&gt;"",_xlfn.IFNA(VLOOKUP($B107,'Node Details'!$B:$U,C$1,0),"Check"),"")</f>
        <v>0000AXY04-00AXY-FMS</v>
      </c>
      <c r="D107" s="100" t="str">
        <f>IF($B107&lt;&gt;"",_xlfn.IFNA(VLOOKUP($B107,'Node Details'!$B:$U,D$1,0),"Check"),"")</f>
        <v>AXY</v>
      </c>
      <c r="E107" s="100" t="str">
        <f>IF($B107&lt;&gt;"",_xlfn.IFNA(VLOOKUP($B107,'Node Details'!$B:$U,E$1,0),"Check"),"")</f>
        <v>Airtel</v>
      </c>
      <c r="F107" s="101">
        <v>46113</v>
      </c>
      <c r="G107" s="103"/>
      <c r="H107" s="102" t="s">
        <v>1254</v>
      </c>
      <c r="I107" s="9">
        <v>1</v>
      </c>
      <c r="J107" s="9">
        <v>600</v>
      </c>
      <c r="K107" s="100">
        <f t="shared" si="30"/>
        <v>600</v>
      </c>
      <c r="L107" s="78">
        <v>46112</v>
      </c>
      <c r="M107" s="103"/>
      <c r="N107" s="93" t="s">
        <v>143</v>
      </c>
      <c r="O107" s="94">
        <v>46141</v>
      </c>
      <c r="P107" s="104">
        <f t="shared" si="25"/>
        <v>600</v>
      </c>
      <c r="Q107" s="104">
        <f t="shared" si="26"/>
        <v>600</v>
      </c>
      <c r="R107" s="104"/>
      <c r="S107" s="93" t="s">
        <v>331</v>
      </c>
      <c r="T107" s="94">
        <v>46153</v>
      </c>
      <c r="U107" s="104">
        <f t="shared" si="27"/>
        <v>600</v>
      </c>
      <c r="V107" s="104">
        <f t="shared" si="28"/>
        <v>1</v>
      </c>
      <c r="W107" s="103">
        <f t="shared" si="29"/>
        <v>600</v>
      </c>
      <c r="X107" s="93" t="s">
        <v>89</v>
      </c>
      <c r="Y107" s="105" t="s">
        <v>84</v>
      </c>
      <c r="Z107" s="105" t="s">
        <v>93</v>
      </c>
    </row>
    <row r="108" spans="1:26" s="105" customFormat="1" ht="15" customHeight="1">
      <c r="A108" s="99">
        <f t="shared" si="13"/>
        <v>106</v>
      </c>
      <c r="B108" s="75" t="s">
        <v>983</v>
      </c>
      <c r="C108" s="100" t="str">
        <f>IF($B108&lt;&gt;"",_xlfn.IFNA(VLOOKUP($B108,'Node Details'!$B:$U,C$1,0),"Check"),"")</f>
        <v>00AXY-FMS-AXY040108</v>
      </c>
      <c r="D108" s="100" t="str">
        <f>IF($B108&lt;&gt;"",_xlfn.IFNA(VLOOKUP($B108,'Node Details'!$B:$U,D$1,0),"Check"),"")</f>
        <v>AXY</v>
      </c>
      <c r="E108" s="100" t="str">
        <f>IF($B108&lt;&gt;"",_xlfn.IFNA(VLOOKUP($B108,'Node Details'!$B:$U,E$1,0),"Check"),"")</f>
        <v>Airtel</v>
      </c>
      <c r="F108" s="101">
        <v>46113</v>
      </c>
      <c r="G108" s="103"/>
      <c r="H108" s="102" t="s">
        <v>1254</v>
      </c>
      <c r="I108" s="9">
        <v>1</v>
      </c>
      <c r="J108" s="9">
        <v>600</v>
      </c>
      <c r="K108" s="100">
        <f t="shared" si="30"/>
        <v>600</v>
      </c>
      <c r="L108" s="78">
        <v>46112</v>
      </c>
      <c r="M108" s="103"/>
      <c r="N108" s="93" t="s">
        <v>143</v>
      </c>
      <c r="O108" s="94">
        <v>46141</v>
      </c>
      <c r="P108" s="104">
        <f t="shared" si="25"/>
        <v>600</v>
      </c>
      <c r="Q108" s="104">
        <f t="shared" si="26"/>
        <v>600</v>
      </c>
      <c r="R108" s="104"/>
      <c r="S108" s="93" t="s">
        <v>331</v>
      </c>
      <c r="T108" s="94">
        <v>46153</v>
      </c>
      <c r="U108" s="104">
        <f t="shared" si="27"/>
        <v>600</v>
      </c>
      <c r="V108" s="104">
        <f t="shared" si="28"/>
        <v>1</v>
      </c>
      <c r="W108" s="103">
        <f t="shared" si="29"/>
        <v>600</v>
      </c>
      <c r="X108" s="93" t="s">
        <v>89</v>
      </c>
      <c r="Y108" s="105" t="s">
        <v>84</v>
      </c>
      <c r="Z108" s="105" t="s">
        <v>93</v>
      </c>
    </row>
    <row r="109" spans="1:26" s="105" customFormat="1" ht="15" customHeight="1">
      <c r="A109" s="99">
        <f t="shared" si="13"/>
        <v>107</v>
      </c>
      <c r="B109" s="75" t="s">
        <v>984</v>
      </c>
      <c r="C109" s="100" t="str">
        <f>IF($B109&lt;&gt;"",_xlfn.IFNA(VLOOKUP($B109,'Node Details'!$B:$U,C$1,0),"Check"),"")</f>
        <v>00AXY-FMS-AXY040108</v>
      </c>
      <c r="D109" s="100" t="str">
        <f>IF($B109&lt;&gt;"",_xlfn.IFNA(VLOOKUP($B109,'Node Details'!$B:$U,D$1,0),"Check"),"")</f>
        <v>AXY</v>
      </c>
      <c r="E109" s="100" t="str">
        <f>IF($B109&lt;&gt;"",_xlfn.IFNA(VLOOKUP($B109,'Node Details'!$B:$U,E$1,0),"Check"),"")</f>
        <v>Airtel</v>
      </c>
      <c r="F109" s="101">
        <v>46113</v>
      </c>
      <c r="G109" s="103"/>
      <c r="H109" s="102" t="s">
        <v>1254</v>
      </c>
      <c r="I109" s="9">
        <v>1</v>
      </c>
      <c r="J109" s="9">
        <v>600</v>
      </c>
      <c r="K109" s="100">
        <f t="shared" si="30"/>
        <v>600</v>
      </c>
      <c r="L109" s="78">
        <v>46112</v>
      </c>
      <c r="M109" s="103"/>
      <c r="N109" s="93" t="s">
        <v>143</v>
      </c>
      <c r="O109" s="94">
        <v>46141</v>
      </c>
      <c r="P109" s="104">
        <f t="shared" si="25"/>
        <v>600</v>
      </c>
      <c r="Q109" s="104">
        <f t="shared" si="26"/>
        <v>600</v>
      </c>
      <c r="R109" s="104"/>
      <c r="S109" s="93" t="s">
        <v>331</v>
      </c>
      <c r="T109" s="94">
        <v>46153</v>
      </c>
      <c r="U109" s="104">
        <f t="shared" si="27"/>
        <v>600</v>
      </c>
      <c r="V109" s="104">
        <f t="shared" si="28"/>
        <v>1</v>
      </c>
      <c r="W109" s="103">
        <f t="shared" si="29"/>
        <v>600</v>
      </c>
      <c r="X109" s="93" t="s">
        <v>89</v>
      </c>
      <c r="Y109" s="105" t="s">
        <v>84</v>
      </c>
      <c r="Z109" s="105" t="s">
        <v>93</v>
      </c>
    </row>
    <row r="110" spans="1:26" s="105" customFormat="1" ht="15" customHeight="1">
      <c r="A110" s="99">
        <f t="shared" si="13"/>
        <v>108</v>
      </c>
      <c r="B110" s="75" t="s">
        <v>985</v>
      </c>
      <c r="C110" s="100" t="str">
        <f>IF($B110&lt;&gt;"",_xlfn.IFNA(VLOOKUP($B110,'Node Details'!$B:$U,C$1,0),"Check"),"")</f>
        <v>00AXY-FMS-AXY040108</v>
      </c>
      <c r="D110" s="100" t="str">
        <f>IF($B110&lt;&gt;"",_xlfn.IFNA(VLOOKUP($B110,'Node Details'!$B:$U,D$1,0),"Check"),"")</f>
        <v>AXY</v>
      </c>
      <c r="E110" s="100" t="str">
        <f>IF($B110&lt;&gt;"",_xlfn.IFNA(VLOOKUP($B110,'Node Details'!$B:$U,E$1,0),"Check"),"")</f>
        <v>Airtel</v>
      </c>
      <c r="F110" s="101">
        <v>46113</v>
      </c>
      <c r="G110" s="103"/>
      <c r="H110" s="102" t="s">
        <v>1254</v>
      </c>
      <c r="I110" s="9">
        <v>1</v>
      </c>
      <c r="J110" s="9">
        <v>600</v>
      </c>
      <c r="K110" s="100">
        <f t="shared" si="30"/>
        <v>600</v>
      </c>
      <c r="L110" s="78">
        <v>46112</v>
      </c>
      <c r="M110" s="103"/>
      <c r="N110" s="93" t="s">
        <v>143</v>
      </c>
      <c r="O110" s="94">
        <v>46141</v>
      </c>
      <c r="P110" s="104">
        <f t="shared" si="25"/>
        <v>600</v>
      </c>
      <c r="Q110" s="104">
        <f t="shared" si="26"/>
        <v>600</v>
      </c>
      <c r="R110" s="104"/>
      <c r="S110" s="93" t="s">
        <v>331</v>
      </c>
      <c r="T110" s="94">
        <v>46153</v>
      </c>
      <c r="U110" s="104">
        <f t="shared" si="27"/>
        <v>600</v>
      </c>
      <c r="V110" s="104">
        <f t="shared" si="28"/>
        <v>1</v>
      </c>
      <c r="W110" s="103">
        <f t="shared" si="29"/>
        <v>600</v>
      </c>
      <c r="X110" s="93" t="s">
        <v>89</v>
      </c>
      <c r="Y110" s="105" t="s">
        <v>84</v>
      </c>
      <c r="Z110" s="105" t="s">
        <v>93</v>
      </c>
    </row>
    <row r="111" spans="1:26" s="105" customFormat="1" ht="15" customHeight="1">
      <c r="A111" s="99">
        <f t="shared" si="13"/>
        <v>109</v>
      </c>
      <c r="B111" s="75" t="s">
        <v>184</v>
      </c>
      <c r="C111" s="100" t="str">
        <f>IF($B111&lt;&gt;"",_xlfn.IFNA(VLOOKUP($B111,'Node Details'!$B:$U,C$1,0),"Check"),"")</f>
        <v>00AXY-FMS-AXY040108</v>
      </c>
      <c r="D111" s="100" t="str">
        <f>IF($B111&lt;&gt;"",_xlfn.IFNA(VLOOKUP($B111,'Node Details'!$B:$U,D$1,0),"Check"),"")</f>
        <v>AXY</v>
      </c>
      <c r="E111" s="100" t="str">
        <f>IF($B111&lt;&gt;"",_xlfn.IFNA(VLOOKUP($B111,'Node Details'!$B:$U,E$1,0),"Check"),"")</f>
        <v>Airtel</v>
      </c>
      <c r="F111" s="101">
        <v>46113</v>
      </c>
      <c r="G111" s="103"/>
      <c r="H111" s="102" t="s">
        <v>1254</v>
      </c>
      <c r="I111" s="9">
        <v>1</v>
      </c>
      <c r="J111" s="9">
        <v>600</v>
      </c>
      <c r="K111" s="100">
        <f t="shared" si="30"/>
        <v>600</v>
      </c>
      <c r="L111" s="78">
        <v>46112</v>
      </c>
      <c r="M111" s="103"/>
      <c r="N111" s="93" t="s">
        <v>143</v>
      </c>
      <c r="O111" s="94">
        <v>46141</v>
      </c>
      <c r="P111" s="104">
        <f t="shared" si="25"/>
        <v>600</v>
      </c>
      <c r="Q111" s="104">
        <f t="shared" si="26"/>
        <v>600</v>
      </c>
      <c r="R111" s="104"/>
      <c r="S111" s="93" t="s">
        <v>331</v>
      </c>
      <c r="T111" s="94">
        <v>46153</v>
      </c>
      <c r="U111" s="104">
        <f t="shared" si="27"/>
        <v>600</v>
      </c>
      <c r="V111" s="104">
        <f t="shared" si="28"/>
        <v>1</v>
      </c>
      <c r="W111" s="103">
        <f t="shared" si="29"/>
        <v>600</v>
      </c>
      <c r="X111" s="93" t="s">
        <v>89</v>
      </c>
      <c r="Y111" s="105" t="s">
        <v>84</v>
      </c>
      <c r="Z111" s="105" t="s">
        <v>93</v>
      </c>
    </row>
    <row r="112" spans="1:26" s="105" customFormat="1" ht="15" customHeight="1">
      <c r="A112" s="99">
        <f t="shared" si="13"/>
        <v>110</v>
      </c>
      <c r="B112" s="75" t="s">
        <v>187</v>
      </c>
      <c r="C112" s="100" t="str">
        <f>IF($B112&lt;&gt;"",_xlfn.IFNA(VLOOKUP($B112,'Node Details'!$B:$U,C$1,0),"Check"),"")</f>
        <v>0000AXY04-AXY040201</v>
      </c>
      <c r="D112" s="100" t="str">
        <f>IF($B112&lt;&gt;"",_xlfn.IFNA(VLOOKUP($B112,'Node Details'!$B:$U,D$1,0),"Check"),"")</f>
        <v>AXY</v>
      </c>
      <c r="E112" s="100" t="str">
        <f>IF($B112&lt;&gt;"",_xlfn.IFNA(VLOOKUP($B112,'Node Details'!$B:$U,E$1,0),"Check"),"")</f>
        <v>Airtel</v>
      </c>
      <c r="F112" s="101">
        <v>46113</v>
      </c>
      <c r="G112" s="103"/>
      <c r="H112" s="102" t="s">
        <v>1254</v>
      </c>
      <c r="I112" s="9">
        <v>1</v>
      </c>
      <c r="J112" s="9">
        <v>600</v>
      </c>
      <c r="K112" s="100">
        <f t="shared" si="30"/>
        <v>600</v>
      </c>
      <c r="L112" s="78">
        <v>46112</v>
      </c>
      <c r="M112" s="103"/>
      <c r="N112" s="93" t="s">
        <v>143</v>
      </c>
      <c r="O112" s="94">
        <v>46141</v>
      </c>
      <c r="P112" s="104">
        <f t="shared" si="25"/>
        <v>600</v>
      </c>
      <c r="Q112" s="104">
        <f t="shared" si="26"/>
        <v>600</v>
      </c>
      <c r="R112" s="104"/>
      <c r="S112" s="93" t="s">
        <v>331</v>
      </c>
      <c r="T112" s="94">
        <v>46153</v>
      </c>
      <c r="U112" s="104">
        <f t="shared" si="27"/>
        <v>600</v>
      </c>
      <c r="V112" s="104">
        <f t="shared" si="28"/>
        <v>1</v>
      </c>
      <c r="W112" s="103">
        <f t="shared" si="29"/>
        <v>600</v>
      </c>
      <c r="X112" s="93" t="s">
        <v>89</v>
      </c>
      <c r="Y112" s="105" t="s">
        <v>84</v>
      </c>
      <c r="Z112" s="105" t="s">
        <v>93</v>
      </c>
    </row>
    <row r="113" spans="1:26" s="105" customFormat="1" ht="15" customHeight="1">
      <c r="A113" s="99">
        <f t="shared" si="13"/>
        <v>111</v>
      </c>
      <c r="B113" s="75" t="s">
        <v>986</v>
      </c>
      <c r="C113" s="100" t="str">
        <f>IF($B113&lt;&gt;"",_xlfn.IFNA(VLOOKUP($B113,'Node Details'!$B:$U,C$1,0),"Check"),"")</f>
        <v>AXY040201-AXY040204</v>
      </c>
      <c r="D113" s="100" t="str">
        <f>IF($B113&lt;&gt;"",_xlfn.IFNA(VLOOKUP($B113,'Node Details'!$B:$U,D$1,0),"Check"),"")</f>
        <v>AXY</v>
      </c>
      <c r="E113" s="100" t="str">
        <f>IF($B113&lt;&gt;"",_xlfn.IFNA(VLOOKUP($B113,'Node Details'!$B:$U,E$1,0),"Check"),"")</f>
        <v>Airtel</v>
      </c>
      <c r="F113" s="101">
        <v>46113</v>
      </c>
      <c r="G113" s="103"/>
      <c r="H113" s="102" t="s">
        <v>1254</v>
      </c>
      <c r="I113" s="9">
        <v>1</v>
      </c>
      <c r="J113" s="9">
        <v>600</v>
      </c>
      <c r="K113" s="100">
        <f t="shared" si="30"/>
        <v>600</v>
      </c>
      <c r="L113" s="78">
        <v>46112</v>
      </c>
      <c r="M113" s="103"/>
      <c r="N113" s="93" t="s">
        <v>143</v>
      </c>
      <c r="O113" s="94">
        <v>46141</v>
      </c>
      <c r="P113" s="104">
        <f t="shared" si="25"/>
        <v>600</v>
      </c>
      <c r="Q113" s="104">
        <f t="shared" si="26"/>
        <v>600</v>
      </c>
      <c r="R113" s="104"/>
      <c r="S113" s="93" t="s">
        <v>331</v>
      </c>
      <c r="T113" s="94">
        <v>46153</v>
      </c>
      <c r="U113" s="104">
        <f t="shared" si="27"/>
        <v>600</v>
      </c>
      <c r="V113" s="104">
        <f t="shared" si="28"/>
        <v>1</v>
      </c>
      <c r="W113" s="103">
        <f t="shared" si="29"/>
        <v>600</v>
      </c>
      <c r="X113" s="93" t="s">
        <v>89</v>
      </c>
      <c r="Y113" s="105" t="s">
        <v>84</v>
      </c>
      <c r="Z113" s="105" t="s">
        <v>93</v>
      </c>
    </row>
    <row r="114" spans="1:26" s="105" customFormat="1" ht="15" customHeight="1">
      <c r="A114" s="99">
        <f t="shared" si="13"/>
        <v>112</v>
      </c>
      <c r="B114" s="75" t="s">
        <v>987</v>
      </c>
      <c r="C114" s="100" t="str">
        <f>IF($B114&lt;&gt;"",_xlfn.IFNA(VLOOKUP($B114,'Node Details'!$B:$U,C$1,0),"Check"),"")</f>
        <v>AXY040201-AXY040204</v>
      </c>
      <c r="D114" s="100" t="str">
        <f>IF($B114&lt;&gt;"",_xlfn.IFNA(VLOOKUP($B114,'Node Details'!$B:$U,D$1,0),"Check"),"")</f>
        <v>AXY</v>
      </c>
      <c r="E114" s="100" t="str">
        <f>IF($B114&lt;&gt;"",_xlfn.IFNA(VLOOKUP($B114,'Node Details'!$B:$U,E$1,0),"Check"),"")</f>
        <v>Airtel</v>
      </c>
      <c r="F114" s="101">
        <v>46113</v>
      </c>
      <c r="G114" s="103"/>
      <c r="H114" s="102" t="s">
        <v>1254</v>
      </c>
      <c r="I114" s="9">
        <v>1</v>
      </c>
      <c r="J114" s="9">
        <v>600</v>
      </c>
      <c r="K114" s="100">
        <f t="shared" si="30"/>
        <v>600</v>
      </c>
      <c r="L114" s="78">
        <v>46112</v>
      </c>
      <c r="M114" s="103"/>
      <c r="N114" s="93" t="s">
        <v>143</v>
      </c>
      <c r="O114" s="94">
        <v>46141</v>
      </c>
      <c r="P114" s="104">
        <f t="shared" si="25"/>
        <v>600</v>
      </c>
      <c r="Q114" s="104">
        <f t="shared" si="26"/>
        <v>600</v>
      </c>
      <c r="R114" s="104"/>
      <c r="S114" s="93" t="s">
        <v>331</v>
      </c>
      <c r="T114" s="94">
        <v>46153</v>
      </c>
      <c r="U114" s="104">
        <f t="shared" si="27"/>
        <v>600</v>
      </c>
      <c r="V114" s="104">
        <f t="shared" si="28"/>
        <v>1</v>
      </c>
      <c r="W114" s="103">
        <f t="shared" si="29"/>
        <v>600</v>
      </c>
      <c r="X114" s="93" t="s">
        <v>89</v>
      </c>
      <c r="Y114" s="105" t="s">
        <v>84</v>
      </c>
      <c r="Z114" s="105" t="s">
        <v>93</v>
      </c>
    </row>
    <row r="115" spans="1:26" s="105" customFormat="1" ht="15" customHeight="1">
      <c r="A115" s="99">
        <f t="shared" si="13"/>
        <v>113</v>
      </c>
      <c r="B115" s="75" t="s">
        <v>191</v>
      </c>
      <c r="C115" s="100" t="str">
        <f>IF($B115&lt;&gt;"",_xlfn.IFNA(VLOOKUP($B115,'Node Details'!$B:$U,C$1,0),"Check"),"")</f>
        <v>AXY040201-AXY040204</v>
      </c>
      <c r="D115" s="100" t="str">
        <f>IF($B115&lt;&gt;"",_xlfn.IFNA(VLOOKUP($B115,'Node Details'!$B:$U,D$1,0),"Check"),"")</f>
        <v>AXY</v>
      </c>
      <c r="E115" s="100" t="str">
        <f>IF($B115&lt;&gt;"",_xlfn.IFNA(VLOOKUP($B115,'Node Details'!$B:$U,E$1,0),"Check"),"")</f>
        <v>Airtel</v>
      </c>
      <c r="F115" s="101">
        <v>46113</v>
      </c>
      <c r="G115" s="103"/>
      <c r="H115" s="102" t="s">
        <v>1254</v>
      </c>
      <c r="I115" s="9">
        <v>1</v>
      </c>
      <c r="J115" s="9">
        <v>600</v>
      </c>
      <c r="K115" s="100">
        <f t="shared" si="30"/>
        <v>600</v>
      </c>
      <c r="L115" s="78">
        <v>46112</v>
      </c>
      <c r="M115" s="103"/>
      <c r="N115" s="93" t="s">
        <v>143</v>
      </c>
      <c r="O115" s="94">
        <v>46141</v>
      </c>
      <c r="P115" s="104">
        <f t="shared" si="25"/>
        <v>600</v>
      </c>
      <c r="Q115" s="104">
        <f t="shared" si="26"/>
        <v>600</v>
      </c>
      <c r="R115" s="104"/>
      <c r="S115" s="93" t="s">
        <v>331</v>
      </c>
      <c r="T115" s="94">
        <v>46153</v>
      </c>
      <c r="U115" s="104">
        <f t="shared" si="27"/>
        <v>600</v>
      </c>
      <c r="V115" s="104">
        <f t="shared" si="28"/>
        <v>1</v>
      </c>
      <c r="W115" s="103">
        <f t="shared" si="29"/>
        <v>600</v>
      </c>
      <c r="X115" s="93" t="s">
        <v>89</v>
      </c>
      <c r="Y115" s="105" t="s">
        <v>84</v>
      </c>
      <c r="Z115" s="105" t="s">
        <v>93</v>
      </c>
    </row>
    <row r="116" spans="1:26" s="105" customFormat="1" ht="15" customHeight="1">
      <c r="A116" s="99">
        <f t="shared" si="13"/>
        <v>114</v>
      </c>
      <c r="B116" s="75" t="s">
        <v>194</v>
      </c>
      <c r="C116" s="100" t="str">
        <f>IF($B116&lt;&gt;"",_xlfn.IFNA(VLOOKUP($B116,'Node Details'!$B:$U,C$1,0),"Check"),"")</f>
        <v>0000AXY05-AXY050101</v>
      </c>
      <c r="D116" s="100" t="str">
        <f>IF($B116&lt;&gt;"",_xlfn.IFNA(VLOOKUP($B116,'Node Details'!$B:$U,D$1,0),"Check"),"")</f>
        <v>AXY</v>
      </c>
      <c r="E116" s="100" t="str">
        <f>IF($B116&lt;&gt;"",_xlfn.IFNA(VLOOKUP($B116,'Node Details'!$B:$U,E$1,0),"Check"),"")</f>
        <v>Airtel</v>
      </c>
      <c r="F116" s="101">
        <v>46113</v>
      </c>
      <c r="G116" s="103"/>
      <c r="H116" s="102" t="s">
        <v>1254</v>
      </c>
      <c r="I116" s="9">
        <v>1</v>
      </c>
      <c r="J116" s="9">
        <v>600</v>
      </c>
      <c r="K116" s="100">
        <f t="shared" si="30"/>
        <v>600</v>
      </c>
      <c r="L116" s="78">
        <v>46112</v>
      </c>
      <c r="M116" s="103"/>
      <c r="N116" s="93" t="s">
        <v>143</v>
      </c>
      <c r="O116" s="94">
        <v>46141</v>
      </c>
      <c r="P116" s="104">
        <f t="shared" si="25"/>
        <v>600</v>
      </c>
      <c r="Q116" s="104">
        <f t="shared" si="26"/>
        <v>600</v>
      </c>
      <c r="R116" s="104"/>
      <c r="S116" s="93" t="s">
        <v>331</v>
      </c>
      <c r="T116" s="94">
        <v>46153</v>
      </c>
      <c r="U116" s="104">
        <f t="shared" si="27"/>
        <v>600</v>
      </c>
      <c r="V116" s="104">
        <f t="shared" si="28"/>
        <v>1</v>
      </c>
      <c r="W116" s="103">
        <f t="shared" si="29"/>
        <v>600</v>
      </c>
      <c r="X116" s="93" t="s">
        <v>89</v>
      </c>
      <c r="Y116" s="105" t="s">
        <v>84</v>
      </c>
      <c r="Z116" s="105" t="s">
        <v>93</v>
      </c>
    </row>
    <row r="117" spans="1:26" s="105" customFormat="1" ht="15" customHeight="1">
      <c r="A117" s="99">
        <f t="shared" si="13"/>
        <v>115</v>
      </c>
      <c r="B117" s="75" t="s">
        <v>988</v>
      </c>
      <c r="C117" s="100" t="str">
        <f>IF($B117&lt;&gt;"",_xlfn.IFNA(VLOOKUP($B117,'Node Details'!$B:$U,C$1,0),"Check"),"")</f>
        <v>0000AXY5 -AXY050104</v>
      </c>
      <c r="D117" s="100" t="str">
        <f>IF($B117&lt;&gt;"",_xlfn.IFNA(VLOOKUP($B117,'Node Details'!$B:$U,D$1,0),"Check"),"")</f>
        <v>AXY</v>
      </c>
      <c r="E117" s="100" t="str">
        <f>IF($B117&lt;&gt;"",_xlfn.IFNA(VLOOKUP($B117,'Node Details'!$B:$U,E$1,0),"Check"),"")</f>
        <v>Airtel</v>
      </c>
      <c r="F117" s="101">
        <v>46113</v>
      </c>
      <c r="G117" s="103"/>
      <c r="H117" s="102" t="s">
        <v>1254</v>
      </c>
      <c r="I117" s="9">
        <v>1</v>
      </c>
      <c r="J117" s="9">
        <v>600</v>
      </c>
      <c r="K117" s="100">
        <f t="shared" si="30"/>
        <v>600</v>
      </c>
      <c r="L117" s="78">
        <v>46112</v>
      </c>
      <c r="M117" s="103"/>
      <c r="N117" s="93" t="s">
        <v>143</v>
      </c>
      <c r="O117" s="94">
        <v>46141</v>
      </c>
      <c r="P117" s="104">
        <f t="shared" si="25"/>
        <v>600</v>
      </c>
      <c r="Q117" s="104">
        <f t="shared" si="26"/>
        <v>600</v>
      </c>
      <c r="R117" s="104"/>
      <c r="S117" s="93" t="s">
        <v>331</v>
      </c>
      <c r="T117" s="94">
        <v>46153</v>
      </c>
      <c r="U117" s="104">
        <f t="shared" si="27"/>
        <v>600</v>
      </c>
      <c r="V117" s="104">
        <f t="shared" si="28"/>
        <v>1</v>
      </c>
      <c r="W117" s="103">
        <f t="shared" si="29"/>
        <v>600</v>
      </c>
      <c r="X117" s="93" t="s">
        <v>89</v>
      </c>
      <c r="Y117" s="105" t="s">
        <v>84</v>
      </c>
      <c r="Z117" s="105" t="s">
        <v>93</v>
      </c>
    </row>
    <row r="118" spans="1:26" s="105" customFormat="1" ht="15" customHeight="1">
      <c r="A118" s="99">
        <f t="shared" si="13"/>
        <v>116</v>
      </c>
      <c r="B118" s="75" t="s">
        <v>989</v>
      </c>
      <c r="C118" s="100" t="str">
        <f>IF($B118&lt;&gt;"",_xlfn.IFNA(VLOOKUP($B118,'Node Details'!$B:$U,C$1,0),"Check"),"")</f>
        <v>0000AXY5 -AXY050104</v>
      </c>
      <c r="D118" s="100" t="str">
        <f>IF($B118&lt;&gt;"",_xlfn.IFNA(VLOOKUP($B118,'Node Details'!$B:$U,D$1,0),"Check"),"")</f>
        <v>AXY</v>
      </c>
      <c r="E118" s="100" t="str">
        <f>IF($B118&lt;&gt;"",_xlfn.IFNA(VLOOKUP($B118,'Node Details'!$B:$U,E$1,0),"Check"),"")</f>
        <v>Airtel</v>
      </c>
      <c r="F118" s="101">
        <v>46113</v>
      </c>
      <c r="G118" s="103"/>
      <c r="H118" s="102" t="s">
        <v>1254</v>
      </c>
      <c r="I118" s="9">
        <v>1</v>
      </c>
      <c r="J118" s="9">
        <v>600</v>
      </c>
      <c r="K118" s="100">
        <f t="shared" si="30"/>
        <v>600</v>
      </c>
      <c r="L118" s="78">
        <v>46112</v>
      </c>
      <c r="M118" s="103"/>
      <c r="N118" s="93" t="s">
        <v>143</v>
      </c>
      <c r="O118" s="94">
        <v>46141</v>
      </c>
      <c r="P118" s="104">
        <f t="shared" si="25"/>
        <v>600</v>
      </c>
      <c r="Q118" s="104">
        <f t="shared" si="26"/>
        <v>600</v>
      </c>
      <c r="R118" s="104"/>
      <c r="S118" s="93" t="s">
        <v>331</v>
      </c>
      <c r="T118" s="94">
        <v>46153</v>
      </c>
      <c r="U118" s="104">
        <f t="shared" si="27"/>
        <v>600</v>
      </c>
      <c r="V118" s="104">
        <f t="shared" si="28"/>
        <v>1</v>
      </c>
      <c r="W118" s="103">
        <f t="shared" si="29"/>
        <v>600</v>
      </c>
      <c r="X118" s="93" t="s">
        <v>89</v>
      </c>
      <c r="Y118" s="105" t="s">
        <v>84</v>
      </c>
      <c r="Z118" s="105" t="s">
        <v>93</v>
      </c>
    </row>
    <row r="119" spans="1:26" s="105" customFormat="1" ht="15" customHeight="1">
      <c r="A119" s="99">
        <f t="shared" si="13"/>
        <v>117</v>
      </c>
      <c r="B119" s="75" t="s">
        <v>198</v>
      </c>
      <c r="C119" s="100" t="str">
        <f>IF($B119&lt;&gt;"",_xlfn.IFNA(VLOOKUP($B119,'Node Details'!$B:$U,C$1,0),"Check"),"")</f>
        <v>0000AXY5 -AXY050104</v>
      </c>
      <c r="D119" s="100" t="str">
        <f>IF($B119&lt;&gt;"",_xlfn.IFNA(VLOOKUP($B119,'Node Details'!$B:$U,D$1,0),"Check"),"")</f>
        <v>AXY</v>
      </c>
      <c r="E119" s="100" t="str">
        <f>IF($B119&lt;&gt;"",_xlfn.IFNA(VLOOKUP($B119,'Node Details'!$B:$U,E$1,0),"Check"),"")</f>
        <v>Airtel</v>
      </c>
      <c r="F119" s="101">
        <v>46113</v>
      </c>
      <c r="G119" s="103"/>
      <c r="H119" s="102" t="s">
        <v>1254</v>
      </c>
      <c r="I119" s="9">
        <v>1</v>
      </c>
      <c r="J119" s="9">
        <v>600</v>
      </c>
      <c r="K119" s="100">
        <f t="shared" si="30"/>
        <v>600</v>
      </c>
      <c r="L119" s="78">
        <v>46112</v>
      </c>
      <c r="M119" s="103"/>
      <c r="N119" s="93" t="s">
        <v>143</v>
      </c>
      <c r="O119" s="94">
        <v>46141</v>
      </c>
      <c r="P119" s="104">
        <f t="shared" si="25"/>
        <v>600</v>
      </c>
      <c r="Q119" s="104">
        <f t="shared" si="26"/>
        <v>600</v>
      </c>
      <c r="R119" s="104"/>
      <c r="S119" s="93" t="s">
        <v>331</v>
      </c>
      <c r="T119" s="94">
        <v>46153</v>
      </c>
      <c r="U119" s="104">
        <f t="shared" si="27"/>
        <v>600</v>
      </c>
      <c r="V119" s="104">
        <f t="shared" si="28"/>
        <v>1</v>
      </c>
      <c r="W119" s="103">
        <f t="shared" si="29"/>
        <v>600</v>
      </c>
      <c r="X119" s="93" t="s">
        <v>89</v>
      </c>
      <c r="Y119" s="105" t="s">
        <v>84</v>
      </c>
      <c r="Z119" s="105" t="s">
        <v>93</v>
      </c>
    </row>
    <row r="120" spans="1:26" s="105" customFormat="1" ht="15" customHeight="1">
      <c r="A120" s="99">
        <f t="shared" si="13"/>
        <v>118</v>
      </c>
      <c r="B120" s="75" t="s">
        <v>204</v>
      </c>
      <c r="C120" s="100" t="str">
        <f>IF($B120&lt;&gt;"",_xlfn.IFNA(VLOOKUP($B120,'Node Details'!$B:$U,C$1,0),"Check"),"")</f>
        <v>0000AXY05-AXY050107</v>
      </c>
      <c r="D120" s="100" t="str">
        <f>IF($B120&lt;&gt;"",_xlfn.IFNA(VLOOKUP($B120,'Node Details'!$B:$U,D$1,0),"Check"),"")</f>
        <v>AXY</v>
      </c>
      <c r="E120" s="100" t="str">
        <f>IF($B120&lt;&gt;"",_xlfn.IFNA(VLOOKUP($B120,'Node Details'!$B:$U,E$1,0),"Check"),"")</f>
        <v>Airtel</v>
      </c>
      <c r="F120" s="101">
        <v>46113</v>
      </c>
      <c r="G120" s="103"/>
      <c r="H120" s="102" t="s">
        <v>1254</v>
      </c>
      <c r="I120" s="9">
        <v>1</v>
      </c>
      <c r="J120" s="9">
        <v>600</v>
      </c>
      <c r="K120" s="100">
        <f t="shared" si="30"/>
        <v>600</v>
      </c>
      <c r="L120" s="78">
        <v>46112</v>
      </c>
      <c r="M120" s="103"/>
      <c r="N120" s="93" t="s">
        <v>143</v>
      </c>
      <c r="O120" s="94">
        <v>46141</v>
      </c>
      <c r="P120" s="104">
        <f t="shared" si="25"/>
        <v>600</v>
      </c>
      <c r="Q120" s="104">
        <f t="shared" si="26"/>
        <v>600</v>
      </c>
      <c r="R120" s="104"/>
      <c r="S120" s="93" t="s">
        <v>331</v>
      </c>
      <c r="T120" s="94">
        <v>46153</v>
      </c>
      <c r="U120" s="104">
        <f t="shared" si="27"/>
        <v>600</v>
      </c>
      <c r="V120" s="104">
        <f t="shared" si="28"/>
        <v>1</v>
      </c>
      <c r="W120" s="103">
        <f t="shared" si="29"/>
        <v>600</v>
      </c>
      <c r="X120" s="93" t="s">
        <v>89</v>
      </c>
      <c r="Y120" s="105" t="s">
        <v>84</v>
      </c>
      <c r="Z120" s="105" t="s">
        <v>93</v>
      </c>
    </row>
    <row r="121" spans="1:26" s="105" customFormat="1" ht="15" customHeight="1">
      <c r="A121" s="99">
        <f t="shared" si="13"/>
        <v>119</v>
      </c>
      <c r="B121" s="75" t="s">
        <v>990</v>
      </c>
      <c r="C121" s="100" t="str">
        <f>IF($B121&lt;&gt;"",_xlfn.IFNA(VLOOKUP($B121,'Node Details'!$B:$U,C$1,0),"Check"),"")</f>
        <v>0000AXY05-AXY050107</v>
      </c>
      <c r="D121" s="100" t="str">
        <f>IF($B121&lt;&gt;"",_xlfn.IFNA(VLOOKUP($B121,'Node Details'!$B:$U,D$1,0),"Check"),"")</f>
        <v>AXY</v>
      </c>
      <c r="E121" s="100" t="str">
        <f>IF($B121&lt;&gt;"",_xlfn.IFNA(VLOOKUP($B121,'Node Details'!$B:$U,E$1,0),"Check"),"")</f>
        <v>Airtel</v>
      </c>
      <c r="F121" s="101">
        <v>46113</v>
      </c>
      <c r="G121" s="103"/>
      <c r="H121" s="102" t="s">
        <v>1254</v>
      </c>
      <c r="I121" s="9">
        <v>1</v>
      </c>
      <c r="J121" s="9">
        <v>600</v>
      </c>
      <c r="K121" s="100">
        <f t="shared" si="30"/>
        <v>600</v>
      </c>
      <c r="L121" s="78">
        <v>46112</v>
      </c>
      <c r="M121" s="103"/>
      <c r="N121" s="93" t="s">
        <v>143</v>
      </c>
      <c r="O121" s="94">
        <v>46141</v>
      </c>
      <c r="P121" s="104">
        <f t="shared" si="25"/>
        <v>600</v>
      </c>
      <c r="Q121" s="104">
        <f t="shared" si="26"/>
        <v>600</v>
      </c>
      <c r="R121" s="104"/>
      <c r="S121" s="93" t="s">
        <v>331</v>
      </c>
      <c r="T121" s="94">
        <v>46153</v>
      </c>
      <c r="U121" s="104">
        <f t="shared" si="27"/>
        <v>600</v>
      </c>
      <c r="V121" s="104">
        <f t="shared" si="28"/>
        <v>1</v>
      </c>
      <c r="W121" s="103">
        <f t="shared" si="29"/>
        <v>600</v>
      </c>
      <c r="X121" s="93" t="s">
        <v>89</v>
      </c>
      <c r="Y121" s="105" t="s">
        <v>84</v>
      </c>
      <c r="Z121" s="105" t="s">
        <v>93</v>
      </c>
    </row>
    <row r="122" spans="1:26" s="105" customFormat="1" ht="15" customHeight="1">
      <c r="A122" s="99">
        <f t="shared" si="13"/>
        <v>120</v>
      </c>
      <c r="B122" s="75" t="s">
        <v>201</v>
      </c>
      <c r="C122" s="100" t="str">
        <f>IF($B122&lt;&gt;"",_xlfn.IFNA(VLOOKUP($B122,'Node Details'!$B:$U,C$1,0),"Check"),"")</f>
        <v>0000AXY05-AXY050107</v>
      </c>
      <c r="D122" s="100" t="str">
        <f>IF($B122&lt;&gt;"",_xlfn.IFNA(VLOOKUP($B122,'Node Details'!$B:$U,D$1,0),"Check"),"")</f>
        <v>AXY</v>
      </c>
      <c r="E122" s="100" t="str">
        <f>IF($B122&lt;&gt;"",_xlfn.IFNA(VLOOKUP($B122,'Node Details'!$B:$U,E$1,0),"Check"),"")</f>
        <v>Airtel</v>
      </c>
      <c r="F122" s="101">
        <v>46113</v>
      </c>
      <c r="G122" s="103"/>
      <c r="H122" s="102" t="s">
        <v>1254</v>
      </c>
      <c r="I122" s="9">
        <v>1</v>
      </c>
      <c r="J122" s="9">
        <v>600</v>
      </c>
      <c r="K122" s="100">
        <f t="shared" si="30"/>
        <v>600</v>
      </c>
      <c r="L122" s="78">
        <v>46112</v>
      </c>
      <c r="M122" s="103"/>
      <c r="N122" s="93" t="s">
        <v>143</v>
      </c>
      <c r="O122" s="94">
        <v>46141</v>
      </c>
      <c r="P122" s="104">
        <f t="shared" si="25"/>
        <v>600</v>
      </c>
      <c r="Q122" s="104">
        <f t="shared" si="26"/>
        <v>600</v>
      </c>
      <c r="R122" s="104"/>
      <c r="S122" s="93" t="s">
        <v>331</v>
      </c>
      <c r="T122" s="94">
        <v>46153</v>
      </c>
      <c r="U122" s="104">
        <f t="shared" si="27"/>
        <v>600</v>
      </c>
      <c r="V122" s="104">
        <f t="shared" si="28"/>
        <v>1</v>
      </c>
      <c r="W122" s="103">
        <f t="shared" si="29"/>
        <v>600</v>
      </c>
      <c r="X122" s="93" t="s">
        <v>89</v>
      </c>
      <c r="Y122" s="105" t="s">
        <v>84</v>
      </c>
      <c r="Z122" s="105" t="s">
        <v>93</v>
      </c>
    </row>
    <row r="123" spans="1:26" s="105" customFormat="1" ht="15" customHeight="1">
      <c r="A123" s="99">
        <f t="shared" si="13"/>
        <v>121</v>
      </c>
      <c r="B123" s="75" t="s">
        <v>991</v>
      </c>
      <c r="C123" s="100" t="str">
        <f>IF($B123&lt;&gt;"",_xlfn.IFNA(VLOOKUP($B123,'Node Details'!$B:$U,C$1,0),"Check"),"")</f>
        <v>AXY050105-AXY050202</v>
      </c>
      <c r="D123" s="100" t="str">
        <f>IF($B123&lt;&gt;"",_xlfn.IFNA(VLOOKUP($B123,'Node Details'!$B:$U,D$1,0),"Check"),"")</f>
        <v>AXY</v>
      </c>
      <c r="E123" s="100" t="str">
        <f>IF($B123&lt;&gt;"",_xlfn.IFNA(VLOOKUP($B123,'Node Details'!$B:$U,E$1,0),"Check"),"")</f>
        <v>Airtel</v>
      </c>
      <c r="F123" s="101">
        <v>46113</v>
      </c>
      <c r="G123" s="103"/>
      <c r="H123" s="102" t="s">
        <v>1254</v>
      </c>
      <c r="I123" s="9">
        <v>1</v>
      </c>
      <c r="J123" s="9">
        <v>600</v>
      </c>
      <c r="K123" s="100">
        <f t="shared" si="30"/>
        <v>600</v>
      </c>
      <c r="L123" s="78">
        <v>46112</v>
      </c>
      <c r="M123" s="103"/>
      <c r="N123" s="93" t="s">
        <v>143</v>
      </c>
      <c r="O123" s="94">
        <v>46141</v>
      </c>
      <c r="P123" s="104">
        <f t="shared" si="25"/>
        <v>600</v>
      </c>
      <c r="Q123" s="104">
        <f t="shared" si="26"/>
        <v>600</v>
      </c>
      <c r="R123" s="104"/>
      <c r="S123" s="93" t="s">
        <v>331</v>
      </c>
      <c r="T123" s="94">
        <v>46153</v>
      </c>
      <c r="U123" s="104">
        <f t="shared" si="27"/>
        <v>600</v>
      </c>
      <c r="V123" s="104">
        <f t="shared" si="28"/>
        <v>1</v>
      </c>
      <c r="W123" s="103">
        <f t="shared" si="29"/>
        <v>600</v>
      </c>
      <c r="X123" s="93" t="s">
        <v>89</v>
      </c>
      <c r="Y123" s="105" t="s">
        <v>84</v>
      </c>
      <c r="Z123" s="105" t="s">
        <v>93</v>
      </c>
    </row>
    <row r="124" spans="1:26" s="105" customFormat="1" ht="15" customHeight="1">
      <c r="A124" s="99">
        <f t="shared" si="13"/>
        <v>122</v>
      </c>
      <c r="B124" s="75" t="s">
        <v>992</v>
      </c>
      <c r="C124" s="100" t="str">
        <f>IF($B124&lt;&gt;"",_xlfn.IFNA(VLOOKUP($B124,'Node Details'!$B:$U,C$1,0),"Check"),"")</f>
        <v>AXY050105-AXY050202</v>
      </c>
      <c r="D124" s="100" t="str">
        <f>IF($B124&lt;&gt;"",_xlfn.IFNA(VLOOKUP($B124,'Node Details'!$B:$U,D$1,0),"Check"),"")</f>
        <v>AXY</v>
      </c>
      <c r="E124" s="100" t="str">
        <f>IF($B124&lt;&gt;"",_xlfn.IFNA(VLOOKUP($B124,'Node Details'!$B:$U,E$1,0),"Check"),"")</f>
        <v>Airtel</v>
      </c>
      <c r="F124" s="101">
        <v>46113</v>
      </c>
      <c r="G124" s="103"/>
      <c r="H124" s="102" t="s">
        <v>1254</v>
      </c>
      <c r="I124" s="9">
        <v>1</v>
      </c>
      <c r="J124" s="9">
        <v>600</v>
      </c>
      <c r="K124" s="100">
        <f t="shared" si="30"/>
        <v>600</v>
      </c>
      <c r="L124" s="78">
        <v>46112</v>
      </c>
      <c r="M124" s="103"/>
      <c r="N124" s="93" t="s">
        <v>143</v>
      </c>
      <c r="O124" s="94">
        <v>46141</v>
      </c>
      <c r="P124" s="104">
        <f t="shared" si="25"/>
        <v>600</v>
      </c>
      <c r="Q124" s="104">
        <f t="shared" si="26"/>
        <v>600</v>
      </c>
      <c r="R124" s="104"/>
      <c r="S124" s="93" t="s">
        <v>331</v>
      </c>
      <c r="T124" s="94">
        <v>46153</v>
      </c>
      <c r="U124" s="104">
        <f t="shared" si="27"/>
        <v>600</v>
      </c>
      <c r="V124" s="104">
        <f t="shared" si="28"/>
        <v>1</v>
      </c>
      <c r="W124" s="103">
        <f t="shared" si="29"/>
        <v>600</v>
      </c>
      <c r="X124" s="93" t="s">
        <v>89</v>
      </c>
      <c r="Y124" s="105" t="s">
        <v>84</v>
      </c>
      <c r="Z124" s="105" t="s">
        <v>93</v>
      </c>
    </row>
    <row r="125" spans="1:26" s="105" customFormat="1" ht="15" customHeight="1">
      <c r="A125" s="99">
        <f t="shared" si="13"/>
        <v>123</v>
      </c>
      <c r="B125" s="75" t="s">
        <v>205</v>
      </c>
      <c r="C125" s="100" t="str">
        <f>IF($B125&lt;&gt;"",_xlfn.IFNA(VLOOKUP($B125,'Node Details'!$B:$U,C$1,0),"Check"),"")</f>
        <v>AXY050105-AXY050202</v>
      </c>
      <c r="D125" s="100" t="str">
        <f>IF($B125&lt;&gt;"",_xlfn.IFNA(VLOOKUP($B125,'Node Details'!$B:$U,D$1,0),"Check"),"")</f>
        <v>AXY</v>
      </c>
      <c r="E125" s="100" t="str">
        <f>IF($B125&lt;&gt;"",_xlfn.IFNA(VLOOKUP($B125,'Node Details'!$B:$U,E$1,0),"Check"),"")</f>
        <v>Airtel</v>
      </c>
      <c r="F125" s="101">
        <v>46113</v>
      </c>
      <c r="G125" s="103"/>
      <c r="H125" s="102" t="s">
        <v>1254</v>
      </c>
      <c r="I125" s="9">
        <v>1</v>
      </c>
      <c r="J125" s="9">
        <v>600</v>
      </c>
      <c r="K125" s="100">
        <f t="shared" si="30"/>
        <v>600</v>
      </c>
      <c r="L125" s="78">
        <v>46112</v>
      </c>
      <c r="M125" s="103"/>
      <c r="N125" s="93" t="s">
        <v>143</v>
      </c>
      <c r="O125" s="94">
        <v>46141</v>
      </c>
      <c r="P125" s="104">
        <f t="shared" si="25"/>
        <v>600</v>
      </c>
      <c r="Q125" s="104">
        <f t="shared" si="26"/>
        <v>600</v>
      </c>
      <c r="R125" s="104"/>
      <c r="S125" s="93" t="s">
        <v>331</v>
      </c>
      <c r="T125" s="94">
        <v>46153</v>
      </c>
      <c r="U125" s="104">
        <f t="shared" si="27"/>
        <v>600</v>
      </c>
      <c r="V125" s="104">
        <f t="shared" si="28"/>
        <v>1</v>
      </c>
      <c r="W125" s="103">
        <f t="shared" si="29"/>
        <v>600</v>
      </c>
      <c r="X125" s="93" t="s">
        <v>89</v>
      </c>
      <c r="Y125" s="105" t="s">
        <v>84</v>
      </c>
      <c r="Z125" s="105" t="s">
        <v>93</v>
      </c>
    </row>
    <row r="126" spans="1:26" s="105" customFormat="1" ht="15" customHeight="1">
      <c r="A126" s="99">
        <f t="shared" si="13"/>
        <v>124</v>
      </c>
      <c r="B126" s="75" t="s">
        <v>993</v>
      </c>
      <c r="C126" s="100" t="str">
        <f>IF($B126&lt;&gt;"",_xlfn.IFNA(VLOOKUP($B126,'Node Details'!$B:$U,C$1,0),"Check"),"")</f>
        <v>0000AXY06-AXY060102</v>
      </c>
      <c r="D126" s="100" t="str">
        <f>IF($B126&lt;&gt;"",_xlfn.IFNA(VLOOKUP($B126,'Node Details'!$B:$U,D$1,0),"Check"),"")</f>
        <v>AXY</v>
      </c>
      <c r="E126" s="100" t="str">
        <f>IF($B126&lt;&gt;"",_xlfn.IFNA(VLOOKUP($B126,'Node Details'!$B:$U,E$1,0),"Check"),"")</f>
        <v>Airtel</v>
      </c>
      <c r="F126" s="101">
        <v>46113</v>
      </c>
      <c r="G126" s="103"/>
      <c r="H126" s="102" t="s">
        <v>1254</v>
      </c>
      <c r="I126" s="9">
        <v>1</v>
      </c>
      <c r="J126" s="9">
        <v>600</v>
      </c>
      <c r="K126" s="100">
        <f t="shared" si="30"/>
        <v>600</v>
      </c>
      <c r="L126" s="78">
        <v>46112</v>
      </c>
      <c r="M126" s="103"/>
      <c r="N126" s="93" t="s">
        <v>143</v>
      </c>
      <c r="O126" s="94">
        <v>46141</v>
      </c>
      <c r="P126" s="104">
        <f t="shared" si="25"/>
        <v>600</v>
      </c>
      <c r="Q126" s="104">
        <f t="shared" si="26"/>
        <v>600</v>
      </c>
      <c r="R126" s="104"/>
      <c r="S126" s="93" t="s">
        <v>331</v>
      </c>
      <c r="T126" s="94">
        <v>46153</v>
      </c>
      <c r="U126" s="104">
        <f t="shared" si="27"/>
        <v>600</v>
      </c>
      <c r="V126" s="104">
        <f t="shared" si="28"/>
        <v>1</v>
      </c>
      <c r="W126" s="103">
        <f t="shared" si="29"/>
        <v>600</v>
      </c>
      <c r="X126" s="93" t="s">
        <v>89</v>
      </c>
      <c r="Y126" s="105" t="s">
        <v>84</v>
      </c>
      <c r="Z126" s="105" t="s">
        <v>93</v>
      </c>
    </row>
    <row r="127" spans="1:26" s="105" customFormat="1" ht="15" customHeight="1">
      <c r="A127" s="99">
        <f t="shared" si="13"/>
        <v>125</v>
      </c>
      <c r="B127" s="75" t="s">
        <v>209</v>
      </c>
      <c r="C127" s="100" t="str">
        <f>IF($B127&lt;&gt;"",_xlfn.IFNA(VLOOKUP($B127,'Node Details'!$B:$U,C$1,0),"Check"),"")</f>
        <v>0000AXY06-AXY060102</v>
      </c>
      <c r="D127" s="100" t="str">
        <f>IF($B127&lt;&gt;"",_xlfn.IFNA(VLOOKUP($B127,'Node Details'!$B:$U,D$1,0),"Check"),"")</f>
        <v>AXY</v>
      </c>
      <c r="E127" s="100" t="str">
        <f>IF($B127&lt;&gt;"",_xlfn.IFNA(VLOOKUP($B127,'Node Details'!$B:$U,E$1,0),"Check"),"")</f>
        <v>Airtel</v>
      </c>
      <c r="F127" s="101">
        <v>46113</v>
      </c>
      <c r="G127" s="103"/>
      <c r="H127" s="102" t="s">
        <v>1254</v>
      </c>
      <c r="I127" s="9">
        <v>1</v>
      </c>
      <c r="J127" s="9">
        <v>600</v>
      </c>
      <c r="K127" s="100">
        <f t="shared" si="30"/>
        <v>600</v>
      </c>
      <c r="L127" s="78">
        <v>46112</v>
      </c>
      <c r="M127" s="103"/>
      <c r="N127" s="93" t="s">
        <v>143</v>
      </c>
      <c r="O127" s="94">
        <v>46141</v>
      </c>
      <c r="P127" s="104">
        <f t="shared" si="25"/>
        <v>600</v>
      </c>
      <c r="Q127" s="104">
        <f t="shared" si="26"/>
        <v>600</v>
      </c>
      <c r="R127" s="104"/>
      <c r="S127" s="93" t="s">
        <v>331</v>
      </c>
      <c r="T127" s="94">
        <v>46153</v>
      </c>
      <c r="U127" s="104">
        <f t="shared" si="27"/>
        <v>600</v>
      </c>
      <c r="V127" s="104">
        <f t="shared" si="28"/>
        <v>1</v>
      </c>
      <c r="W127" s="103">
        <f t="shared" si="29"/>
        <v>600</v>
      </c>
      <c r="X127" s="93" t="s">
        <v>89</v>
      </c>
      <c r="Y127" s="105" t="s">
        <v>84</v>
      </c>
      <c r="Z127" s="105" t="s">
        <v>93</v>
      </c>
    </row>
    <row r="128" spans="1:26" s="105" customFormat="1" ht="15" customHeight="1">
      <c r="A128" s="99">
        <f t="shared" si="13"/>
        <v>126</v>
      </c>
      <c r="B128" s="75" t="s">
        <v>994</v>
      </c>
      <c r="C128" s="100" t="str">
        <f>IF($B128&lt;&gt;"",_xlfn.IFNA(VLOOKUP($B128,'Node Details'!$B:$U,C$1,0),"Check"),"")</f>
        <v>0000AXY06-AXY060105</v>
      </c>
      <c r="D128" s="100" t="str">
        <f>IF($B128&lt;&gt;"",_xlfn.IFNA(VLOOKUP($B128,'Node Details'!$B:$U,D$1,0),"Check"),"")</f>
        <v>AXY</v>
      </c>
      <c r="E128" s="100" t="str">
        <f>IF($B128&lt;&gt;"",_xlfn.IFNA(VLOOKUP($B128,'Node Details'!$B:$U,E$1,0),"Check"),"")</f>
        <v>Airtel</v>
      </c>
      <c r="F128" s="101">
        <v>46113</v>
      </c>
      <c r="G128" s="103"/>
      <c r="H128" s="102" t="s">
        <v>1254</v>
      </c>
      <c r="I128" s="9">
        <v>1</v>
      </c>
      <c r="J128" s="9">
        <v>600</v>
      </c>
      <c r="K128" s="100">
        <f t="shared" si="30"/>
        <v>600</v>
      </c>
      <c r="L128" s="78">
        <v>46112</v>
      </c>
      <c r="M128" s="103"/>
      <c r="N128" s="93" t="s">
        <v>143</v>
      </c>
      <c r="O128" s="94">
        <v>46141</v>
      </c>
      <c r="P128" s="104">
        <f t="shared" si="25"/>
        <v>600</v>
      </c>
      <c r="Q128" s="104">
        <f t="shared" si="26"/>
        <v>600</v>
      </c>
      <c r="R128" s="104"/>
      <c r="S128" s="93" t="s">
        <v>331</v>
      </c>
      <c r="T128" s="94">
        <v>46153</v>
      </c>
      <c r="U128" s="104">
        <f t="shared" si="27"/>
        <v>600</v>
      </c>
      <c r="V128" s="104">
        <f t="shared" si="28"/>
        <v>1</v>
      </c>
      <c r="W128" s="103">
        <f t="shared" si="29"/>
        <v>600</v>
      </c>
      <c r="X128" s="93" t="s">
        <v>89</v>
      </c>
      <c r="Y128" s="105" t="s">
        <v>84</v>
      </c>
      <c r="Z128" s="105" t="s">
        <v>93</v>
      </c>
    </row>
    <row r="129" spans="1:26" s="105" customFormat="1" ht="15" customHeight="1">
      <c r="A129" s="99">
        <f t="shared" si="13"/>
        <v>127</v>
      </c>
      <c r="B129" s="75" t="s">
        <v>995</v>
      </c>
      <c r="C129" s="100" t="str">
        <f>IF($B129&lt;&gt;"",_xlfn.IFNA(VLOOKUP($B129,'Node Details'!$B:$U,C$1,0),"Check"),"")</f>
        <v>0000AXY06-AXY060105</v>
      </c>
      <c r="D129" s="100" t="str">
        <f>IF($B129&lt;&gt;"",_xlfn.IFNA(VLOOKUP($B129,'Node Details'!$B:$U,D$1,0),"Check"),"")</f>
        <v>AXY</v>
      </c>
      <c r="E129" s="100" t="str">
        <f>IF($B129&lt;&gt;"",_xlfn.IFNA(VLOOKUP($B129,'Node Details'!$B:$U,E$1,0),"Check"),"")</f>
        <v>Airtel</v>
      </c>
      <c r="F129" s="101">
        <v>46113</v>
      </c>
      <c r="G129" s="103"/>
      <c r="H129" s="102" t="s">
        <v>1254</v>
      </c>
      <c r="I129" s="9">
        <v>1</v>
      </c>
      <c r="J129" s="9">
        <v>600</v>
      </c>
      <c r="K129" s="100">
        <f t="shared" si="30"/>
        <v>600</v>
      </c>
      <c r="L129" s="78">
        <v>46112</v>
      </c>
      <c r="M129" s="103"/>
      <c r="N129" s="93" t="s">
        <v>143</v>
      </c>
      <c r="O129" s="94">
        <v>46141</v>
      </c>
      <c r="P129" s="104">
        <f t="shared" si="25"/>
        <v>600</v>
      </c>
      <c r="Q129" s="104">
        <f t="shared" si="26"/>
        <v>600</v>
      </c>
      <c r="R129" s="104"/>
      <c r="S129" s="93" t="s">
        <v>331</v>
      </c>
      <c r="T129" s="94">
        <v>46153</v>
      </c>
      <c r="U129" s="104">
        <f t="shared" si="27"/>
        <v>600</v>
      </c>
      <c r="V129" s="104">
        <f t="shared" si="28"/>
        <v>1</v>
      </c>
      <c r="W129" s="103">
        <f t="shared" si="29"/>
        <v>600</v>
      </c>
      <c r="X129" s="93" t="s">
        <v>89</v>
      </c>
      <c r="Y129" s="105" t="s">
        <v>84</v>
      </c>
      <c r="Z129" s="105" t="s">
        <v>93</v>
      </c>
    </row>
    <row r="130" spans="1:26" s="105" customFormat="1" ht="15" customHeight="1">
      <c r="A130" s="99">
        <f t="shared" si="13"/>
        <v>128</v>
      </c>
      <c r="B130" s="75" t="s">
        <v>212</v>
      </c>
      <c r="C130" s="100" t="str">
        <f>IF($B130&lt;&gt;"",_xlfn.IFNA(VLOOKUP($B130,'Node Details'!$B:$U,C$1,0),"Check"),"")</f>
        <v>0000AXY06-AXY060105</v>
      </c>
      <c r="D130" s="100" t="str">
        <f>IF($B130&lt;&gt;"",_xlfn.IFNA(VLOOKUP($B130,'Node Details'!$B:$U,D$1,0),"Check"),"")</f>
        <v>AXY</v>
      </c>
      <c r="E130" s="100" t="str">
        <f>IF($B130&lt;&gt;"",_xlfn.IFNA(VLOOKUP($B130,'Node Details'!$B:$U,E$1,0),"Check"),"")</f>
        <v>Airtel</v>
      </c>
      <c r="F130" s="101">
        <v>46113</v>
      </c>
      <c r="G130" s="103"/>
      <c r="H130" s="102" t="s">
        <v>1254</v>
      </c>
      <c r="I130" s="9">
        <v>1</v>
      </c>
      <c r="J130" s="9">
        <v>600</v>
      </c>
      <c r="K130" s="100">
        <f t="shared" si="30"/>
        <v>600</v>
      </c>
      <c r="L130" s="78">
        <v>46112</v>
      </c>
      <c r="M130" s="103"/>
      <c r="N130" s="93" t="s">
        <v>143</v>
      </c>
      <c r="O130" s="94">
        <v>46141</v>
      </c>
      <c r="P130" s="104">
        <f t="shared" si="25"/>
        <v>600</v>
      </c>
      <c r="Q130" s="104">
        <f t="shared" si="26"/>
        <v>600</v>
      </c>
      <c r="R130" s="104"/>
      <c r="S130" s="93" t="s">
        <v>331</v>
      </c>
      <c r="T130" s="94">
        <v>46153</v>
      </c>
      <c r="U130" s="104">
        <f t="shared" si="27"/>
        <v>600</v>
      </c>
      <c r="V130" s="104">
        <f t="shared" si="28"/>
        <v>1</v>
      </c>
      <c r="W130" s="103">
        <f t="shared" si="29"/>
        <v>600</v>
      </c>
      <c r="X130" s="93" t="s">
        <v>89</v>
      </c>
      <c r="Y130" s="105" t="s">
        <v>84</v>
      </c>
      <c r="Z130" s="105" t="s">
        <v>93</v>
      </c>
    </row>
    <row r="131" spans="1:26" s="105" customFormat="1" ht="15" customHeight="1">
      <c r="A131" s="99">
        <f t="shared" si="13"/>
        <v>129</v>
      </c>
      <c r="B131" s="75" t="s">
        <v>996</v>
      </c>
      <c r="C131" s="100" t="str">
        <f>IF($B131&lt;&gt;"",_xlfn.IFNA(VLOOKUP($B131,'Node Details'!$B:$U,C$1,0),"Check"),"")</f>
        <v>0000AXY06-AXY060201</v>
      </c>
      <c r="D131" s="100" t="str">
        <f>IF($B131&lt;&gt;"",_xlfn.IFNA(VLOOKUP($B131,'Node Details'!$B:$U,D$1,0),"Check"),"")</f>
        <v>AXY</v>
      </c>
      <c r="E131" s="100" t="str">
        <f>IF($B131&lt;&gt;"",_xlfn.IFNA(VLOOKUP($B131,'Node Details'!$B:$U,E$1,0),"Check"),"")</f>
        <v>Airtel</v>
      </c>
      <c r="F131" s="101">
        <v>46113</v>
      </c>
      <c r="G131" s="103"/>
      <c r="H131" s="102" t="s">
        <v>1254</v>
      </c>
      <c r="I131" s="9">
        <v>1</v>
      </c>
      <c r="J131" s="9">
        <v>600</v>
      </c>
      <c r="K131" s="100">
        <f t="shared" si="30"/>
        <v>600</v>
      </c>
      <c r="L131" s="78">
        <v>46112</v>
      </c>
      <c r="M131" s="103"/>
      <c r="N131" s="93" t="s">
        <v>143</v>
      </c>
      <c r="O131" s="94">
        <v>46141</v>
      </c>
      <c r="P131" s="104">
        <f t="shared" si="25"/>
        <v>600</v>
      </c>
      <c r="Q131" s="104">
        <f t="shared" si="26"/>
        <v>600</v>
      </c>
      <c r="R131" s="104"/>
      <c r="S131" s="93" t="s">
        <v>331</v>
      </c>
      <c r="T131" s="94">
        <v>46153</v>
      </c>
      <c r="U131" s="104">
        <f t="shared" si="27"/>
        <v>600</v>
      </c>
      <c r="V131" s="104">
        <f t="shared" si="28"/>
        <v>1</v>
      </c>
      <c r="W131" s="103">
        <f t="shared" si="29"/>
        <v>600</v>
      </c>
      <c r="X131" s="93" t="s">
        <v>89</v>
      </c>
      <c r="Y131" s="105" t="s">
        <v>84</v>
      </c>
      <c r="Z131" s="105" t="s">
        <v>93</v>
      </c>
    </row>
    <row r="132" spans="1:26" s="105" customFormat="1" ht="15" customHeight="1">
      <c r="A132" s="99">
        <f t="shared" ref="A132:A195" si="31">A131+1</f>
        <v>130</v>
      </c>
      <c r="B132" s="75" t="s">
        <v>997</v>
      </c>
      <c r="C132" s="100" t="str">
        <f>IF($B132&lt;&gt;"",_xlfn.IFNA(VLOOKUP($B132,'Node Details'!$B:$U,C$1,0),"Check"),"")</f>
        <v>0000AXY06-AXY060201</v>
      </c>
      <c r="D132" s="100" t="str">
        <f>IF($B132&lt;&gt;"",_xlfn.IFNA(VLOOKUP($B132,'Node Details'!$B:$U,D$1,0),"Check"),"")</f>
        <v>AXY</v>
      </c>
      <c r="E132" s="100" t="str">
        <f>IF($B132&lt;&gt;"",_xlfn.IFNA(VLOOKUP($B132,'Node Details'!$B:$U,E$1,0),"Check"),"")</f>
        <v>Airtel</v>
      </c>
      <c r="F132" s="101">
        <v>46113</v>
      </c>
      <c r="G132" s="103"/>
      <c r="H132" s="102" t="s">
        <v>1254</v>
      </c>
      <c r="I132" s="9">
        <v>1</v>
      </c>
      <c r="J132" s="9">
        <v>600</v>
      </c>
      <c r="K132" s="100">
        <f t="shared" si="30"/>
        <v>600</v>
      </c>
      <c r="L132" s="78">
        <v>46112</v>
      </c>
      <c r="M132" s="103"/>
      <c r="N132" s="93" t="s">
        <v>143</v>
      </c>
      <c r="O132" s="94">
        <v>46141</v>
      </c>
      <c r="P132" s="104">
        <f t="shared" si="25"/>
        <v>600</v>
      </c>
      <c r="Q132" s="104">
        <f t="shared" si="26"/>
        <v>600</v>
      </c>
      <c r="R132" s="104"/>
      <c r="S132" s="93" t="s">
        <v>331</v>
      </c>
      <c r="T132" s="94">
        <v>46153</v>
      </c>
      <c r="U132" s="104">
        <f t="shared" si="27"/>
        <v>600</v>
      </c>
      <c r="V132" s="104">
        <f t="shared" si="28"/>
        <v>1</v>
      </c>
      <c r="W132" s="103">
        <f t="shared" si="29"/>
        <v>600</v>
      </c>
      <c r="X132" s="93" t="s">
        <v>89</v>
      </c>
      <c r="Y132" s="105" t="s">
        <v>84</v>
      </c>
      <c r="Z132" s="105" t="s">
        <v>93</v>
      </c>
    </row>
    <row r="133" spans="1:26" s="105" customFormat="1" ht="15" customHeight="1">
      <c r="A133" s="99">
        <f t="shared" si="31"/>
        <v>131</v>
      </c>
      <c r="B133" s="75" t="s">
        <v>998</v>
      </c>
      <c r="C133" s="100" t="str">
        <f>IF($B133&lt;&gt;"",_xlfn.IFNA(VLOOKUP($B133,'Node Details'!$B:$U,C$1,0),"Check"),"")</f>
        <v>0000AXY06-AXY060201</v>
      </c>
      <c r="D133" s="100" t="str">
        <f>IF($B133&lt;&gt;"",_xlfn.IFNA(VLOOKUP($B133,'Node Details'!$B:$U,D$1,0),"Check"),"")</f>
        <v>AXY</v>
      </c>
      <c r="E133" s="100" t="str">
        <f>IF($B133&lt;&gt;"",_xlfn.IFNA(VLOOKUP($B133,'Node Details'!$B:$U,E$1,0),"Check"),"")</f>
        <v>Airtel</v>
      </c>
      <c r="F133" s="101">
        <v>46113</v>
      </c>
      <c r="G133" s="103"/>
      <c r="H133" s="102" t="s">
        <v>1254</v>
      </c>
      <c r="I133" s="9">
        <v>1</v>
      </c>
      <c r="J133" s="9">
        <v>600</v>
      </c>
      <c r="K133" s="100">
        <f t="shared" si="30"/>
        <v>600</v>
      </c>
      <c r="L133" s="78">
        <v>46112</v>
      </c>
      <c r="M133" s="103"/>
      <c r="N133" s="93" t="s">
        <v>143</v>
      </c>
      <c r="O133" s="94">
        <v>46141</v>
      </c>
      <c r="P133" s="104">
        <f t="shared" si="25"/>
        <v>600</v>
      </c>
      <c r="Q133" s="104">
        <f t="shared" si="26"/>
        <v>600</v>
      </c>
      <c r="R133" s="104"/>
      <c r="S133" s="93" t="s">
        <v>331</v>
      </c>
      <c r="T133" s="94">
        <v>46153</v>
      </c>
      <c r="U133" s="104">
        <f t="shared" si="27"/>
        <v>600</v>
      </c>
      <c r="V133" s="104">
        <f t="shared" si="28"/>
        <v>1</v>
      </c>
      <c r="W133" s="103">
        <f t="shared" si="29"/>
        <v>600</v>
      </c>
      <c r="X133" s="93" t="s">
        <v>89</v>
      </c>
      <c r="Y133" s="105" t="s">
        <v>84</v>
      </c>
      <c r="Z133" s="105" t="s">
        <v>93</v>
      </c>
    </row>
    <row r="134" spans="1:26" s="105" customFormat="1" ht="15" customHeight="1">
      <c r="A134" s="99">
        <f t="shared" si="31"/>
        <v>132</v>
      </c>
      <c r="B134" s="75" t="s">
        <v>215</v>
      </c>
      <c r="C134" s="100" t="str">
        <f>IF($B134&lt;&gt;"",_xlfn.IFNA(VLOOKUP($B134,'Node Details'!$B:$U,C$1,0),"Check"),"")</f>
        <v>0000AXY06-AXY060201</v>
      </c>
      <c r="D134" s="100" t="str">
        <f>IF($B134&lt;&gt;"",_xlfn.IFNA(VLOOKUP($B134,'Node Details'!$B:$U,D$1,0),"Check"),"")</f>
        <v>AXY</v>
      </c>
      <c r="E134" s="100" t="str">
        <f>IF($B134&lt;&gt;"",_xlfn.IFNA(VLOOKUP($B134,'Node Details'!$B:$U,E$1,0),"Check"),"")</f>
        <v>Airtel</v>
      </c>
      <c r="F134" s="101">
        <v>46113</v>
      </c>
      <c r="G134" s="103"/>
      <c r="H134" s="102" t="s">
        <v>1254</v>
      </c>
      <c r="I134" s="9">
        <v>1</v>
      </c>
      <c r="J134" s="9">
        <v>600</v>
      </c>
      <c r="K134" s="100">
        <f t="shared" si="30"/>
        <v>600</v>
      </c>
      <c r="L134" s="78">
        <v>46112</v>
      </c>
      <c r="M134" s="103"/>
      <c r="N134" s="93" t="s">
        <v>143</v>
      </c>
      <c r="O134" s="94">
        <v>46141</v>
      </c>
      <c r="P134" s="104">
        <f t="shared" si="25"/>
        <v>600</v>
      </c>
      <c r="Q134" s="104">
        <f t="shared" si="26"/>
        <v>600</v>
      </c>
      <c r="R134" s="104"/>
      <c r="S134" s="93" t="s">
        <v>331</v>
      </c>
      <c r="T134" s="94">
        <v>46153</v>
      </c>
      <c r="U134" s="104">
        <f t="shared" si="27"/>
        <v>600</v>
      </c>
      <c r="V134" s="104">
        <f t="shared" si="28"/>
        <v>1</v>
      </c>
      <c r="W134" s="103">
        <f t="shared" si="29"/>
        <v>600</v>
      </c>
      <c r="X134" s="93" t="s">
        <v>89</v>
      </c>
      <c r="Y134" s="105" t="s">
        <v>84</v>
      </c>
      <c r="Z134" s="105" t="s">
        <v>93</v>
      </c>
    </row>
    <row r="135" spans="1:26" s="105" customFormat="1" ht="15" customHeight="1">
      <c r="A135" s="99">
        <f t="shared" si="31"/>
        <v>133</v>
      </c>
      <c r="B135" s="75" t="s">
        <v>219</v>
      </c>
      <c r="C135" s="100" t="str">
        <f>IF($B135&lt;&gt;"",_xlfn.IFNA(VLOOKUP($B135,'Node Details'!$B:$U,C$1,0),"Check"),"")</f>
        <v>0000AXY07-AXY070101</v>
      </c>
      <c r="D135" s="100" t="str">
        <f>IF($B135&lt;&gt;"",_xlfn.IFNA(VLOOKUP($B135,'Node Details'!$B:$U,D$1,0),"Check"),"")</f>
        <v>AXY</v>
      </c>
      <c r="E135" s="100" t="str">
        <f>IF($B135&lt;&gt;"",_xlfn.IFNA(VLOOKUP($B135,'Node Details'!$B:$U,E$1,0),"Check"),"")</f>
        <v>Airtel</v>
      </c>
      <c r="F135" s="101">
        <v>46113</v>
      </c>
      <c r="G135" s="103"/>
      <c r="H135" s="102" t="s">
        <v>1254</v>
      </c>
      <c r="I135" s="9">
        <v>1</v>
      </c>
      <c r="J135" s="9">
        <v>600</v>
      </c>
      <c r="K135" s="100">
        <f t="shared" si="30"/>
        <v>600</v>
      </c>
      <c r="L135" s="78">
        <v>46112</v>
      </c>
      <c r="M135" s="103"/>
      <c r="N135" s="93" t="s">
        <v>143</v>
      </c>
      <c r="O135" s="94">
        <v>46141</v>
      </c>
      <c r="P135" s="104">
        <f t="shared" si="25"/>
        <v>600</v>
      </c>
      <c r="Q135" s="104">
        <f t="shared" si="26"/>
        <v>600</v>
      </c>
      <c r="R135" s="104"/>
      <c r="S135" s="93" t="s">
        <v>331</v>
      </c>
      <c r="T135" s="94">
        <v>46153</v>
      </c>
      <c r="U135" s="104">
        <f t="shared" si="27"/>
        <v>600</v>
      </c>
      <c r="V135" s="104">
        <f t="shared" si="28"/>
        <v>1</v>
      </c>
      <c r="W135" s="103">
        <f t="shared" si="29"/>
        <v>600</v>
      </c>
      <c r="X135" s="93" t="s">
        <v>89</v>
      </c>
      <c r="Y135" s="105" t="s">
        <v>84</v>
      </c>
      <c r="Z135" s="105" t="s">
        <v>93</v>
      </c>
    </row>
    <row r="136" spans="1:26" s="105" customFormat="1" ht="15" customHeight="1">
      <c r="A136" s="99">
        <f t="shared" si="31"/>
        <v>134</v>
      </c>
      <c r="B136" s="75" t="s">
        <v>222</v>
      </c>
      <c r="C136" s="100" t="str">
        <f>IF($B136&lt;&gt;"",_xlfn.IFNA(VLOOKUP($B136,'Node Details'!$B:$U,C$1,0),"Check"),"")</f>
        <v>0000AXY07-AXY070102</v>
      </c>
      <c r="D136" s="100" t="str">
        <f>IF($B136&lt;&gt;"",_xlfn.IFNA(VLOOKUP($B136,'Node Details'!$B:$U,D$1,0),"Check"),"")</f>
        <v>AXY</v>
      </c>
      <c r="E136" s="100" t="str">
        <f>IF($B136&lt;&gt;"",_xlfn.IFNA(VLOOKUP($B136,'Node Details'!$B:$U,E$1,0),"Check"),"")</f>
        <v>Airtel</v>
      </c>
      <c r="F136" s="101">
        <v>46113</v>
      </c>
      <c r="G136" s="103"/>
      <c r="H136" s="102" t="s">
        <v>1254</v>
      </c>
      <c r="I136" s="9">
        <v>1</v>
      </c>
      <c r="J136" s="9">
        <v>600</v>
      </c>
      <c r="K136" s="100">
        <f t="shared" si="30"/>
        <v>600</v>
      </c>
      <c r="L136" s="78">
        <v>46112</v>
      </c>
      <c r="M136" s="103"/>
      <c r="N136" s="93" t="s">
        <v>143</v>
      </c>
      <c r="O136" s="94">
        <v>46141</v>
      </c>
      <c r="P136" s="104">
        <f t="shared" si="25"/>
        <v>600</v>
      </c>
      <c r="Q136" s="104">
        <f t="shared" si="26"/>
        <v>600</v>
      </c>
      <c r="R136" s="104"/>
      <c r="S136" s="93" t="s">
        <v>331</v>
      </c>
      <c r="T136" s="94">
        <v>46153</v>
      </c>
      <c r="U136" s="104">
        <f t="shared" si="27"/>
        <v>600</v>
      </c>
      <c r="V136" s="104">
        <f t="shared" si="28"/>
        <v>1</v>
      </c>
      <c r="W136" s="103">
        <f t="shared" si="29"/>
        <v>600</v>
      </c>
      <c r="X136" s="93" t="s">
        <v>89</v>
      </c>
      <c r="Y136" s="105" t="s">
        <v>84</v>
      </c>
      <c r="Z136" s="105" t="s">
        <v>93</v>
      </c>
    </row>
    <row r="137" spans="1:26" s="105" customFormat="1" ht="15" customHeight="1">
      <c r="A137" s="99">
        <f t="shared" si="31"/>
        <v>135</v>
      </c>
      <c r="B137" s="75" t="s">
        <v>999</v>
      </c>
      <c r="C137" s="100" t="str">
        <f>IF($B137&lt;&gt;"",_xlfn.IFNA(VLOOKUP($B137,'Node Details'!$B:$U,C$1,0),"Check"),"")</f>
        <v>0000AXY07-AXY070105</v>
      </c>
      <c r="D137" s="100" t="str">
        <f>IF($B137&lt;&gt;"",_xlfn.IFNA(VLOOKUP($B137,'Node Details'!$B:$U,D$1,0),"Check"),"")</f>
        <v>AXY</v>
      </c>
      <c r="E137" s="100" t="str">
        <f>IF($B137&lt;&gt;"",_xlfn.IFNA(VLOOKUP($B137,'Node Details'!$B:$U,E$1,0),"Check"),"")</f>
        <v>Airtel</v>
      </c>
      <c r="F137" s="101">
        <v>46113</v>
      </c>
      <c r="G137" s="103"/>
      <c r="H137" s="102" t="s">
        <v>1254</v>
      </c>
      <c r="I137" s="9">
        <v>1</v>
      </c>
      <c r="J137" s="9">
        <v>600</v>
      </c>
      <c r="K137" s="100">
        <f t="shared" si="30"/>
        <v>600</v>
      </c>
      <c r="L137" s="78">
        <v>46112</v>
      </c>
      <c r="M137" s="103"/>
      <c r="N137" s="93" t="s">
        <v>143</v>
      </c>
      <c r="O137" s="94">
        <v>46141</v>
      </c>
      <c r="P137" s="104">
        <f t="shared" si="25"/>
        <v>600</v>
      </c>
      <c r="Q137" s="104">
        <f t="shared" si="26"/>
        <v>600</v>
      </c>
      <c r="R137" s="104"/>
      <c r="S137" s="93" t="s">
        <v>331</v>
      </c>
      <c r="T137" s="94">
        <v>46153</v>
      </c>
      <c r="U137" s="104">
        <f t="shared" si="27"/>
        <v>600</v>
      </c>
      <c r="V137" s="104">
        <f t="shared" si="28"/>
        <v>1</v>
      </c>
      <c r="W137" s="103">
        <f t="shared" si="29"/>
        <v>600</v>
      </c>
      <c r="X137" s="93" t="s">
        <v>89</v>
      </c>
      <c r="Y137" s="105" t="s">
        <v>84</v>
      </c>
      <c r="Z137" s="105" t="s">
        <v>93</v>
      </c>
    </row>
    <row r="138" spans="1:26" s="105" customFormat="1" ht="15" customHeight="1">
      <c r="A138" s="99">
        <f t="shared" si="31"/>
        <v>136</v>
      </c>
      <c r="B138" s="75" t="s">
        <v>1000</v>
      </c>
      <c r="C138" s="100" t="str">
        <f>IF($B138&lt;&gt;"",_xlfn.IFNA(VLOOKUP($B138,'Node Details'!$B:$U,C$1,0),"Check"),"")</f>
        <v>0000AXY07-AXY070105</v>
      </c>
      <c r="D138" s="100" t="str">
        <f>IF($B138&lt;&gt;"",_xlfn.IFNA(VLOOKUP($B138,'Node Details'!$B:$U,D$1,0),"Check"),"")</f>
        <v>AXY</v>
      </c>
      <c r="E138" s="100" t="str">
        <f>IF($B138&lt;&gt;"",_xlfn.IFNA(VLOOKUP($B138,'Node Details'!$B:$U,E$1,0),"Check"),"")</f>
        <v>Airtel</v>
      </c>
      <c r="F138" s="101">
        <v>46113</v>
      </c>
      <c r="G138" s="103"/>
      <c r="H138" s="102" t="s">
        <v>1254</v>
      </c>
      <c r="I138" s="9">
        <v>1</v>
      </c>
      <c r="J138" s="9">
        <v>600</v>
      </c>
      <c r="K138" s="100">
        <f t="shared" si="30"/>
        <v>600</v>
      </c>
      <c r="L138" s="78">
        <v>46112</v>
      </c>
      <c r="M138" s="103"/>
      <c r="N138" s="93" t="s">
        <v>143</v>
      </c>
      <c r="O138" s="94">
        <v>46141</v>
      </c>
      <c r="P138" s="104">
        <f t="shared" si="25"/>
        <v>600</v>
      </c>
      <c r="Q138" s="104">
        <f t="shared" si="26"/>
        <v>600</v>
      </c>
      <c r="R138" s="104"/>
      <c r="S138" s="93" t="s">
        <v>331</v>
      </c>
      <c r="T138" s="94">
        <v>46153</v>
      </c>
      <c r="U138" s="104">
        <f t="shared" si="27"/>
        <v>600</v>
      </c>
      <c r="V138" s="104">
        <f t="shared" si="28"/>
        <v>1</v>
      </c>
      <c r="W138" s="103">
        <f t="shared" si="29"/>
        <v>600</v>
      </c>
      <c r="X138" s="93" t="s">
        <v>89</v>
      </c>
      <c r="Y138" s="105" t="s">
        <v>84</v>
      </c>
      <c r="Z138" s="105" t="s">
        <v>93</v>
      </c>
    </row>
    <row r="139" spans="1:26" s="105" customFormat="1" ht="15" customHeight="1">
      <c r="A139" s="99">
        <f t="shared" si="31"/>
        <v>137</v>
      </c>
      <c r="B139" s="75" t="s">
        <v>226</v>
      </c>
      <c r="C139" s="100" t="str">
        <f>IF($B139&lt;&gt;"",_xlfn.IFNA(VLOOKUP($B139,'Node Details'!$B:$U,C$1,0),"Check"),"")</f>
        <v>0000AXY07-AXY070105</v>
      </c>
      <c r="D139" s="100" t="str">
        <f>IF($B139&lt;&gt;"",_xlfn.IFNA(VLOOKUP($B139,'Node Details'!$B:$U,D$1,0),"Check"),"")</f>
        <v>AXY</v>
      </c>
      <c r="E139" s="100" t="str">
        <f>IF($B139&lt;&gt;"",_xlfn.IFNA(VLOOKUP($B139,'Node Details'!$B:$U,E$1,0),"Check"),"")</f>
        <v>Airtel</v>
      </c>
      <c r="F139" s="101">
        <v>46113</v>
      </c>
      <c r="G139" s="103"/>
      <c r="H139" s="102" t="s">
        <v>1254</v>
      </c>
      <c r="I139" s="9">
        <v>1</v>
      </c>
      <c r="J139" s="9">
        <v>600</v>
      </c>
      <c r="K139" s="100">
        <f t="shared" si="30"/>
        <v>600</v>
      </c>
      <c r="L139" s="78">
        <v>46112</v>
      </c>
      <c r="M139" s="103"/>
      <c r="N139" s="93" t="s">
        <v>143</v>
      </c>
      <c r="O139" s="94">
        <v>46141</v>
      </c>
      <c r="P139" s="104">
        <f t="shared" si="25"/>
        <v>600</v>
      </c>
      <c r="Q139" s="104">
        <f t="shared" si="26"/>
        <v>600</v>
      </c>
      <c r="R139" s="104"/>
      <c r="S139" s="93" t="s">
        <v>331</v>
      </c>
      <c r="T139" s="94">
        <v>46153</v>
      </c>
      <c r="U139" s="104">
        <f t="shared" si="27"/>
        <v>600</v>
      </c>
      <c r="V139" s="104">
        <f t="shared" si="28"/>
        <v>1</v>
      </c>
      <c r="W139" s="103">
        <f t="shared" si="29"/>
        <v>600</v>
      </c>
      <c r="X139" s="93" t="s">
        <v>89</v>
      </c>
      <c r="Y139" s="105" t="s">
        <v>84</v>
      </c>
      <c r="Z139" s="105" t="s">
        <v>93</v>
      </c>
    </row>
    <row r="140" spans="1:26" s="105" customFormat="1" ht="15" customHeight="1">
      <c r="A140" s="99">
        <f t="shared" si="31"/>
        <v>138</v>
      </c>
      <c r="B140" s="75" t="s">
        <v>236</v>
      </c>
      <c r="C140" s="100" t="str">
        <f>IF($B140&lt;&gt;"",_xlfn.IFNA(VLOOKUP($B140,'Node Details'!$B:$U,C$1,0),"Check"),"")</f>
        <v>0000AXY08-AXY080104</v>
      </c>
      <c r="D140" s="100" t="str">
        <f>IF($B140&lt;&gt;"",_xlfn.IFNA(VLOOKUP($B140,'Node Details'!$B:$U,D$1,0),"Check"),"")</f>
        <v>AXY</v>
      </c>
      <c r="E140" s="100" t="str">
        <f>IF($B140&lt;&gt;"",_xlfn.IFNA(VLOOKUP($B140,'Node Details'!$B:$U,E$1,0),"Check"),"")</f>
        <v>Airtel</v>
      </c>
      <c r="F140" s="101">
        <v>46113</v>
      </c>
      <c r="G140" s="103"/>
      <c r="H140" s="102" t="s">
        <v>1254</v>
      </c>
      <c r="I140" s="9">
        <v>1</v>
      </c>
      <c r="J140" s="9">
        <v>600</v>
      </c>
      <c r="K140" s="100">
        <f t="shared" si="30"/>
        <v>600</v>
      </c>
      <c r="L140" s="78">
        <v>46112</v>
      </c>
      <c r="M140" s="103"/>
      <c r="N140" s="93" t="s">
        <v>143</v>
      </c>
      <c r="O140" s="94">
        <v>46141</v>
      </c>
      <c r="P140" s="104">
        <f t="shared" si="25"/>
        <v>600</v>
      </c>
      <c r="Q140" s="104">
        <f t="shared" si="26"/>
        <v>600</v>
      </c>
      <c r="R140" s="104"/>
      <c r="S140" s="93" t="s">
        <v>331</v>
      </c>
      <c r="T140" s="94">
        <v>46153</v>
      </c>
      <c r="U140" s="104">
        <f t="shared" si="27"/>
        <v>600</v>
      </c>
      <c r="V140" s="104">
        <f t="shared" si="28"/>
        <v>1</v>
      </c>
      <c r="W140" s="103">
        <f t="shared" si="29"/>
        <v>600</v>
      </c>
      <c r="X140" s="93" t="s">
        <v>89</v>
      </c>
      <c r="Y140" s="105" t="s">
        <v>84</v>
      </c>
      <c r="Z140" s="105" t="s">
        <v>93</v>
      </c>
    </row>
    <row r="141" spans="1:26" s="105" customFormat="1" ht="15" customHeight="1">
      <c r="A141" s="99">
        <f t="shared" si="31"/>
        <v>139</v>
      </c>
      <c r="B141" s="75" t="s">
        <v>1002</v>
      </c>
      <c r="C141" s="100" t="str">
        <f>IF($B141&lt;&gt;"",_xlfn.IFNA(VLOOKUP($B141,'Node Details'!$B:$U,C$1,0),"Check"),"")</f>
        <v>0000AXY08-AXY080103</v>
      </c>
      <c r="D141" s="100" t="str">
        <f>IF($B141&lt;&gt;"",_xlfn.IFNA(VLOOKUP($B141,'Node Details'!$B:$U,D$1,0),"Check"),"")</f>
        <v>AXY</v>
      </c>
      <c r="E141" s="100" t="str">
        <f>IF($B141&lt;&gt;"",_xlfn.IFNA(VLOOKUP($B141,'Node Details'!$B:$U,E$1,0),"Check"),"")</f>
        <v>Airtel</v>
      </c>
      <c r="F141" s="101">
        <v>46113</v>
      </c>
      <c r="G141" s="103"/>
      <c r="H141" s="102" t="s">
        <v>1254</v>
      </c>
      <c r="I141" s="9">
        <v>1</v>
      </c>
      <c r="J141" s="9">
        <v>600</v>
      </c>
      <c r="K141" s="100">
        <f t="shared" si="30"/>
        <v>600</v>
      </c>
      <c r="L141" s="78">
        <v>46112</v>
      </c>
      <c r="M141" s="103"/>
      <c r="N141" s="93" t="s">
        <v>143</v>
      </c>
      <c r="O141" s="94">
        <v>46141</v>
      </c>
      <c r="P141" s="104">
        <f t="shared" si="25"/>
        <v>600</v>
      </c>
      <c r="Q141" s="104">
        <f t="shared" si="26"/>
        <v>600</v>
      </c>
      <c r="R141" s="104"/>
      <c r="S141" s="93" t="s">
        <v>331</v>
      </c>
      <c r="T141" s="94">
        <v>46153</v>
      </c>
      <c r="U141" s="104">
        <f t="shared" si="27"/>
        <v>600</v>
      </c>
      <c r="V141" s="104">
        <f t="shared" si="28"/>
        <v>1</v>
      </c>
      <c r="W141" s="103">
        <f t="shared" si="29"/>
        <v>600</v>
      </c>
      <c r="X141" s="93" t="s">
        <v>89</v>
      </c>
      <c r="Y141" s="105" t="s">
        <v>84</v>
      </c>
      <c r="Z141" s="105" t="s">
        <v>93</v>
      </c>
    </row>
    <row r="142" spans="1:26" s="105" customFormat="1" ht="15" customHeight="1">
      <c r="A142" s="99">
        <f t="shared" si="31"/>
        <v>140</v>
      </c>
      <c r="B142" s="75" t="s">
        <v>1003</v>
      </c>
      <c r="C142" s="100" t="str">
        <f>IF($B142&lt;&gt;"",_xlfn.IFNA(VLOOKUP($B142,'Node Details'!$B:$U,C$1,0),"Check"),"")</f>
        <v>0000AXY08-AXY080103</v>
      </c>
      <c r="D142" s="100" t="str">
        <f>IF($B142&lt;&gt;"",_xlfn.IFNA(VLOOKUP($B142,'Node Details'!$B:$U,D$1,0),"Check"),"")</f>
        <v>AXY</v>
      </c>
      <c r="E142" s="100" t="str">
        <f>IF($B142&lt;&gt;"",_xlfn.IFNA(VLOOKUP($B142,'Node Details'!$B:$U,E$1,0),"Check"),"")</f>
        <v>Airtel</v>
      </c>
      <c r="F142" s="101">
        <v>46113</v>
      </c>
      <c r="G142" s="103"/>
      <c r="H142" s="102" t="s">
        <v>1254</v>
      </c>
      <c r="I142" s="9">
        <v>1</v>
      </c>
      <c r="J142" s="9">
        <v>600</v>
      </c>
      <c r="K142" s="100">
        <f t="shared" si="30"/>
        <v>600</v>
      </c>
      <c r="L142" s="78">
        <v>46112</v>
      </c>
      <c r="M142" s="103"/>
      <c r="N142" s="93" t="s">
        <v>143</v>
      </c>
      <c r="O142" s="94">
        <v>46141</v>
      </c>
      <c r="P142" s="104">
        <f t="shared" si="25"/>
        <v>600</v>
      </c>
      <c r="Q142" s="104">
        <f t="shared" si="26"/>
        <v>600</v>
      </c>
      <c r="R142" s="104"/>
      <c r="S142" s="93" t="s">
        <v>331</v>
      </c>
      <c r="T142" s="94">
        <v>46153</v>
      </c>
      <c r="U142" s="104">
        <f t="shared" si="27"/>
        <v>600</v>
      </c>
      <c r="V142" s="104">
        <f t="shared" si="28"/>
        <v>1</v>
      </c>
      <c r="W142" s="103">
        <f t="shared" si="29"/>
        <v>600</v>
      </c>
      <c r="X142" s="93" t="s">
        <v>89</v>
      </c>
      <c r="Y142" s="105" t="s">
        <v>84</v>
      </c>
      <c r="Z142" s="105" t="s">
        <v>93</v>
      </c>
    </row>
    <row r="143" spans="1:26" s="105" customFormat="1" ht="15" customHeight="1">
      <c r="A143" s="99">
        <f t="shared" si="31"/>
        <v>141</v>
      </c>
      <c r="B143" s="75" t="s">
        <v>239</v>
      </c>
      <c r="C143" s="100" t="str">
        <f>IF($B143&lt;&gt;"",_xlfn.IFNA(VLOOKUP($B143,'Node Details'!$B:$U,C$1,0),"Check"),"")</f>
        <v>0000AXY08-AXY080103</v>
      </c>
      <c r="D143" s="100" t="str">
        <f>IF($B143&lt;&gt;"",_xlfn.IFNA(VLOOKUP($B143,'Node Details'!$B:$U,D$1,0),"Check"),"")</f>
        <v>AXY</v>
      </c>
      <c r="E143" s="100" t="str">
        <f>IF($B143&lt;&gt;"",_xlfn.IFNA(VLOOKUP($B143,'Node Details'!$B:$U,E$1,0),"Check"),"")</f>
        <v>Airtel</v>
      </c>
      <c r="F143" s="101">
        <v>46113</v>
      </c>
      <c r="G143" s="103"/>
      <c r="H143" s="102" t="s">
        <v>1254</v>
      </c>
      <c r="I143" s="9">
        <v>1</v>
      </c>
      <c r="J143" s="9">
        <v>600</v>
      </c>
      <c r="K143" s="100">
        <f t="shared" si="30"/>
        <v>600</v>
      </c>
      <c r="L143" s="78">
        <v>46112</v>
      </c>
      <c r="M143" s="103"/>
      <c r="N143" s="93" t="s">
        <v>143</v>
      </c>
      <c r="O143" s="94">
        <v>46141</v>
      </c>
      <c r="P143" s="104">
        <f t="shared" si="25"/>
        <v>600</v>
      </c>
      <c r="Q143" s="104">
        <f t="shared" si="26"/>
        <v>600</v>
      </c>
      <c r="R143" s="104"/>
      <c r="S143" s="93" t="s">
        <v>331</v>
      </c>
      <c r="T143" s="94">
        <v>46153</v>
      </c>
      <c r="U143" s="104">
        <f t="shared" si="27"/>
        <v>600</v>
      </c>
      <c r="V143" s="104">
        <f t="shared" si="28"/>
        <v>1</v>
      </c>
      <c r="W143" s="103">
        <f t="shared" si="29"/>
        <v>600</v>
      </c>
      <c r="X143" s="93" t="s">
        <v>89</v>
      </c>
      <c r="Y143" s="105" t="s">
        <v>84</v>
      </c>
      <c r="Z143" s="105" t="s">
        <v>93</v>
      </c>
    </row>
    <row r="144" spans="1:26" s="105" customFormat="1" ht="15" customHeight="1">
      <c r="A144" s="99">
        <f t="shared" si="31"/>
        <v>142</v>
      </c>
      <c r="B144" s="75" t="s">
        <v>230</v>
      </c>
      <c r="C144" s="100" t="str">
        <f>IF($B144&lt;&gt;"",_xlfn.IFNA(VLOOKUP($B144,'Node Details'!$B:$U,C$1,0),"Check"),"")</f>
        <v>0000AXY08-AXY080105</v>
      </c>
      <c r="D144" s="100" t="str">
        <f>IF($B144&lt;&gt;"",_xlfn.IFNA(VLOOKUP($B144,'Node Details'!$B:$U,D$1,0),"Check"),"")</f>
        <v>AXY</v>
      </c>
      <c r="E144" s="100" t="str">
        <f>IF($B144&lt;&gt;"",_xlfn.IFNA(VLOOKUP($B144,'Node Details'!$B:$U,E$1,0),"Check"),"")</f>
        <v>Airtel</v>
      </c>
      <c r="F144" s="101">
        <v>46113</v>
      </c>
      <c r="G144" s="103"/>
      <c r="H144" s="102" t="s">
        <v>1254</v>
      </c>
      <c r="I144" s="9">
        <v>1</v>
      </c>
      <c r="J144" s="9">
        <v>600</v>
      </c>
      <c r="K144" s="100">
        <f t="shared" si="30"/>
        <v>600</v>
      </c>
      <c r="L144" s="78">
        <v>46112</v>
      </c>
      <c r="M144" s="103"/>
      <c r="N144" s="93" t="s">
        <v>143</v>
      </c>
      <c r="O144" s="94">
        <v>46141</v>
      </c>
      <c r="P144" s="104">
        <f t="shared" si="25"/>
        <v>600</v>
      </c>
      <c r="Q144" s="104">
        <f t="shared" si="26"/>
        <v>600</v>
      </c>
      <c r="R144" s="104"/>
      <c r="S144" s="93" t="s">
        <v>331</v>
      </c>
      <c r="T144" s="94">
        <v>46153</v>
      </c>
      <c r="U144" s="104">
        <f t="shared" si="27"/>
        <v>600</v>
      </c>
      <c r="V144" s="104">
        <f t="shared" si="28"/>
        <v>1</v>
      </c>
      <c r="W144" s="103">
        <f t="shared" si="29"/>
        <v>600</v>
      </c>
      <c r="X144" s="93" t="s">
        <v>89</v>
      </c>
      <c r="Y144" s="105" t="s">
        <v>84</v>
      </c>
      <c r="Z144" s="105" t="s">
        <v>93</v>
      </c>
    </row>
    <row r="145" spans="1:26" s="105" customFormat="1" ht="15" customHeight="1">
      <c r="A145" s="99">
        <f t="shared" si="31"/>
        <v>143</v>
      </c>
      <c r="B145" s="75" t="s">
        <v>233</v>
      </c>
      <c r="C145" s="100" t="str">
        <f>IF($B145&lt;&gt;"",_xlfn.IFNA(VLOOKUP($B145,'Node Details'!$B:$U,C$1,0),"Check"),"")</f>
        <v>0000AXY08-AXY080106</v>
      </c>
      <c r="D145" s="100" t="str">
        <f>IF($B145&lt;&gt;"",_xlfn.IFNA(VLOOKUP($B145,'Node Details'!$B:$U,D$1,0),"Check"),"")</f>
        <v>AXY</v>
      </c>
      <c r="E145" s="100" t="str">
        <f>IF($B145&lt;&gt;"",_xlfn.IFNA(VLOOKUP($B145,'Node Details'!$B:$U,E$1,0),"Check"),"")</f>
        <v>Airtel</v>
      </c>
      <c r="F145" s="101">
        <v>46113</v>
      </c>
      <c r="G145" s="103"/>
      <c r="H145" s="102" t="s">
        <v>1254</v>
      </c>
      <c r="I145" s="9">
        <v>1</v>
      </c>
      <c r="J145" s="9">
        <v>600</v>
      </c>
      <c r="K145" s="100">
        <f t="shared" si="30"/>
        <v>600</v>
      </c>
      <c r="L145" s="78">
        <v>46112</v>
      </c>
      <c r="M145" s="103"/>
      <c r="N145" s="93" t="s">
        <v>143</v>
      </c>
      <c r="O145" s="94">
        <v>46141</v>
      </c>
      <c r="P145" s="104">
        <f t="shared" si="25"/>
        <v>600</v>
      </c>
      <c r="Q145" s="104">
        <f t="shared" si="26"/>
        <v>600</v>
      </c>
      <c r="R145" s="104"/>
      <c r="S145" s="93" t="s">
        <v>331</v>
      </c>
      <c r="T145" s="94">
        <v>46153</v>
      </c>
      <c r="U145" s="104">
        <f t="shared" si="27"/>
        <v>600</v>
      </c>
      <c r="V145" s="104">
        <f t="shared" si="28"/>
        <v>1</v>
      </c>
      <c r="W145" s="103">
        <f t="shared" si="29"/>
        <v>600</v>
      </c>
      <c r="X145" s="93" t="s">
        <v>89</v>
      </c>
      <c r="Y145" s="105" t="s">
        <v>84</v>
      </c>
      <c r="Z145" s="105" t="s">
        <v>93</v>
      </c>
    </row>
    <row r="146" spans="1:26" s="105" customFormat="1" ht="15" customHeight="1">
      <c r="A146" s="99">
        <f t="shared" si="31"/>
        <v>144</v>
      </c>
      <c r="B146" s="75" t="s">
        <v>1004</v>
      </c>
      <c r="C146" s="100" t="str">
        <f>IF($B146&lt;&gt;"",_xlfn.IFNA(VLOOKUP($B146,'Node Details'!$B:$U,C$1,0),"Check"),"")</f>
        <v>AXY080106-AXY080203</v>
      </c>
      <c r="D146" s="100" t="str">
        <f>IF($B146&lt;&gt;"",_xlfn.IFNA(VLOOKUP($B146,'Node Details'!$B:$U,D$1,0),"Check"),"")</f>
        <v>AXY</v>
      </c>
      <c r="E146" s="100" t="str">
        <f>IF($B146&lt;&gt;"",_xlfn.IFNA(VLOOKUP($B146,'Node Details'!$B:$U,E$1,0),"Check"),"")</f>
        <v>Airtel</v>
      </c>
      <c r="F146" s="101">
        <v>46113</v>
      </c>
      <c r="G146" s="103"/>
      <c r="H146" s="102" t="s">
        <v>1254</v>
      </c>
      <c r="I146" s="9">
        <v>1</v>
      </c>
      <c r="J146" s="9">
        <v>600</v>
      </c>
      <c r="K146" s="100">
        <f t="shared" si="30"/>
        <v>600</v>
      </c>
      <c r="L146" s="78">
        <v>46112</v>
      </c>
      <c r="M146" s="103"/>
      <c r="N146" s="93" t="s">
        <v>143</v>
      </c>
      <c r="O146" s="94">
        <v>46141</v>
      </c>
      <c r="P146" s="104">
        <f t="shared" si="25"/>
        <v>600</v>
      </c>
      <c r="Q146" s="104">
        <f t="shared" si="26"/>
        <v>600</v>
      </c>
      <c r="R146" s="104"/>
      <c r="S146" s="93" t="s">
        <v>331</v>
      </c>
      <c r="T146" s="94">
        <v>46153</v>
      </c>
      <c r="U146" s="104">
        <f t="shared" si="27"/>
        <v>600</v>
      </c>
      <c r="V146" s="104">
        <f t="shared" si="28"/>
        <v>1</v>
      </c>
      <c r="W146" s="103">
        <f t="shared" si="29"/>
        <v>600</v>
      </c>
      <c r="X146" s="93" t="s">
        <v>89</v>
      </c>
      <c r="Y146" s="105" t="s">
        <v>84</v>
      </c>
      <c r="Z146" s="105" t="s">
        <v>93</v>
      </c>
    </row>
    <row r="147" spans="1:26" s="105" customFormat="1" ht="15" customHeight="1">
      <c r="A147" s="99">
        <f t="shared" si="31"/>
        <v>145</v>
      </c>
      <c r="B147" s="75" t="s">
        <v>243</v>
      </c>
      <c r="C147" s="100" t="str">
        <f>IF($B147&lt;&gt;"",_xlfn.IFNA(VLOOKUP($B147,'Node Details'!$B:$U,C$1,0),"Check"),"")</f>
        <v>AXY080106-AXY080203</v>
      </c>
      <c r="D147" s="100" t="str">
        <f>IF($B147&lt;&gt;"",_xlfn.IFNA(VLOOKUP($B147,'Node Details'!$B:$U,D$1,0),"Check"),"")</f>
        <v>AXY</v>
      </c>
      <c r="E147" s="100" t="str">
        <f>IF($B147&lt;&gt;"",_xlfn.IFNA(VLOOKUP($B147,'Node Details'!$B:$U,E$1,0),"Check"),"")</f>
        <v>Airtel</v>
      </c>
      <c r="F147" s="101">
        <v>46113</v>
      </c>
      <c r="G147" s="103"/>
      <c r="H147" s="102" t="s">
        <v>1254</v>
      </c>
      <c r="I147" s="9">
        <v>1</v>
      </c>
      <c r="J147" s="9">
        <v>600</v>
      </c>
      <c r="K147" s="100">
        <f t="shared" si="30"/>
        <v>600</v>
      </c>
      <c r="L147" s="78">
        <v>46112</v>
      </c>
      <c r="M147" s="103"/>
      <c r="N147" s="93" t="s">
        <v>143</v>
      </c>
      <c r="O147" s="94">
        <v>46141</v>
      </c>
      <c r="P147" s="104">
        <f t="shared" si="25"/>
        <v>600</v>
      </c>
      <c r="Q147" s="104">
        <f t="shared" si="26"/>
        <v>600</v>
      </c>
      <c r="R147" s="104"/>
      <c r="S147" s="93" t="s">
        <v>331</v>
      </c>
      <c r="T147" s="94">
        <v>46153</v>
      </c>
      <c r="U147" s="104">
        <f t="shared" si="27"/>
        <v>600</v>
      </c>
      <c r="V147" s="104">
        <f t="shared" si="28"/>
        <v>1</v>
      </c>
      <c r="W147" s="103">
        <f t="shared" si="29"/>
        <v>600</v>
      </c>
      <c r="X147" s="93" t="s">
        <v>89</v>
      </c>
      <c r="Y147" s="105" t="s">
        <v>84</v>
      </c>
      <c r="Z147" s="105" t="s">
        <v>93</v>
      </c>
    </row>
    <row r="148" spans="1:26" s="105" customFormat="1" ht="15" customHeight="1">
      <c r="A148" s="99">
        <f t="shared" si="31"/>
        <v>146</v>
      </c>
      <c r="B148" s="75" t="s">
        <v>1005</v>
      </c>
      <c r="C148" s="100" t="str">
        <f>IF($B148&lt;&gt;"",_xlfn.IFNA(VLOOKUP($B148,'Node Details'!$B:$U,C$1,0),"Check"),"")</f>
        <v>AXY080106-AXY080201</v>
      </c>
      <c r="D148" s="100" t="str">
        <f>IF($B148&lt;&gt;"",_xlfn.IFNA(VLOOKUP($B148,'Node Details'!$B:$U,D$1,0),"Check"),"")</f>
        <v>AXY</v>
      </c>
      <c r="E148" s="100" t="str">
        <f>IF($B148&lt;&gt;"",_xlfn.IFNA(VLOOKUP($B148,'Node Details'!$B:$U,E$1,0),"Check"),"")</f>
        <v>Airtel</v>
      </c>
      <c r="F148" s="101">
        <v>46113</v>
      </c>
      <c r="G148" s="103"/>
      <c r="H148" s="102" t="s">
        <v>1254</v>
      </c>
      <c r="I148" s="9">
        <v>1</v>
      </c>
      <c r="J148" s="9">
        <v>600</v>
      </c>
      <c r="K148" s="100">
        <f t="shared" si="30"/>
        <v>600</v>
      </c>
      <c r="L148" s="78">
        <v>46112</v>
      </c>
      <c r="M148" s="103"/>
      <c r="N148" s="93" t="s">
        <v>143</v>
      </c>
      <c r="O148" s="94">
        <v>46141</v>
      </c>
      <c r="P148" s="104">
        <f t="shared" si="25"/>
        <v>600</v>
      </c>
      <c r="Q148" s="104">
        <f t="shared" si="26"/>
        <v>600</v>
      </c>
      <c r="R148" s="104"/>
      <c r="S148" s="93" t="s">
        <v>331</v>
      </c>
      <c r="T148" s="94">
        <v>46153</v>
      </c>
      <c r="U148" s="104">
        <f t="shared" si="27"/>
        <v>600</v>
      </c>
      <c r="V148" s="104">
        <f t="shared" si="28"/>
        <v>1</v>
      </c>
      <c r="W148" s="103">
        <f t="shared" si="29"/>
        <v>600</v>
      </c>
      <c r="X148" s="93" t="s">
        <v>89</v>
      </c>
      <c r="Y148" s="105" t="s">
        <v>84</v>
      </c>
      <c r="Z148" s="105" t="s">
        <v>93</v>
      </c>
    </row>
    <row r="149" spans="1:26" s="105" customFormat="1" ht="15" customHeight="1">
      <c r="A149" s="99">
        <f t="shared" si="31"/>
        <v>147</v>
      </c>
      <c r="B149" s="75" t="s">
        <v>246</v>
      </c>
      <c r="C149" s="100" t="str">
        <f>IF($B149&lt;&gt;"",_xlfn.IFNA(VLOOKUP($B149,'Node Details'!$B:$U,C$1,0),"Check"),"")</f>
        <v>AXY080106-AXY080201</v>
      </c>
      <c r="D149" s="100" t="str">
        <f>IF($B149&lt;&gt;"",_xlfn.IFNA(VLOOKUP($B149,'Node Details'!$B:$U,D$1,0),"Check"),"")</f>
        <v>AXY</v>
      </c>
      <c r="E149" s="100" t="str">
        <f>IF($B149&lt;&gt;"",_xlfn.IFNA(VLOOKUP($B149,'Node Details'!$B:$U,E$1,0),"Check"),"")</f>
        <v>Airtel</v>
      </c>
      <c r="F149" s="101">
        <v>46113</v>
      </c>
      <c r="G149" s="103"/>
      <c r="H149" s="102" t="s">
        <v>1254</v>
      </c>
      <c r="I149" s="9">
        <v>1</v>
      </c>
      <c r="J149" s="9">
        <v>600</v>
      </c>
      <c r="K149" s="100">
        <f t="shared" si="30"/>
        <v>600</v>
      </c>
      <c r="L149" s="78">
        <v>46112</v>
      </c>
      <c r="M149" s="103"/>
      <c r="N149" s="93" t="s">
        <v>143</v>
      </c>
      <c r="O149" s="94">
        <v>46141</v>
      </c>
      <c r="P149" s="104">
        <f t="shared" si="25"/>
        <v>600</v>
      </c>
      <c r="Q149" s="104">
        <f t="shared" si="26"/>
        <v>600</v>
      </c>
      <c r="R149" s="104"/>
      <c r="S149" s="93" t="s">
        <v>331</v>
      </c>
      <c r="T149" s="94">
        <v>46153</v>
      </c>
      <c r="U149" s="104">
        <f t="shared" si="27"/>
        <v>600</v>
      </c>
      <c r="V149" s="104">
        <f t="shared" si="28"/>
        <v>1</v>
      </c>
      <c r="W149" s="103">
        <f t="shared" si="29"/>
        <v>600</v>
      </c>
      <c r="X149" s="93" t="s">
        <v>89</v>
      </c>
      <c r="Y149" s="105" t="s">
        <v>84</v>
      </c>
      <c r="Z149" s="105" t="s">
        <v>93</v>
      </c>
    </row>
    <row r="150" spans="1:26" s="105" customFormat="1" ht="15" customHeight="1">
      <c r="A150" s="99">
        <f t="shared" si="31"/>
        <v>148</v>
      </c>
      <c r="B150" s="75" t="s">
        <v>254</v>
      </c>
      <c r="C150" s="100" t="str">
        <f>IF($B150&lt;&gt;"",_xlfn.IFNA(VLOOKUP($B150,'Node Details'!$B:$U,C$1,0),"Check"),"")</f>
        <v>0000AXY09-AXY090101</v>
      </c>
      <c r="D150" s="100" t="str">
        <f>IF($B150&lt;&gt;"",_xlfn.IFNA(VLOOKUP($B150,'Node Details'!$B:$U,D$1,0),"Check"),"")</f>
        <v>AXY</v>
      </c>
      <c r="E150" s="100" t="str">
        <f>IF($B150&lt;&gt;"",_xlfn.IFNA(VLOOKUP($B150,'Node Details'!$B:$U,E$1,0),"Check"),"")</f>
        <v>Airtel</v>
      </c>
      <c r="F150" s="101">
        <v>46113</v>
      </c>
      <c r="G150" s="103"/>
      <c r="H150" s="102" t="s">
        <v>1254</v>
      </c>
      <c r="I150" s="9">
        <v>1</v>
      </c>
      <c r="J150" s="9">
        <v>600</v>
      </c>
      <c r="K150" s="100">
        <f t="shared" si="30"/>
        <v>600</v>
      </c>
      <c r="L150" s="78">
        <v>46112</v>
      </c>
      <c r="M150" s="103"/>
      <c r="N150" s="93" t="s">
        <v>143</v>
      </c>
      <c r="O150" s="94">
        <v>46141</v>
      </c>
      <c r="P150" s="104">
        <f t="shared" si="25"/>
        <v>600</v>
      </c>
      <c r="Q150" s="104">
        <f t="shared" si="26"/>
        <v>600</v>
      </c>
      <c r="R150" s="104"/>
      <c r="S150" s="93" t="s">
        <v>331</v>
      </c>
      <c r="T150" s="94">
        <v>46153</v>
      </c>
      <c r="U150" s="104">
        <f t="shared" si="27"/>
        <v>600</v>
      </c>
      <c r="V150" s="104">
        <f t="shared" si="28"/>
        <v>1</v>
      </c>
      <c r="W150" s="103">
        <f t="shared" si="29"/>
        <v>600</v>
      </c>
      <c r="X150" s="93" t="s">
        <v>89</v>
      </c>
      <c r="Y150" s="105" t="s">
        <v>84</v>
      </c>
      <c r="Z150" s="105" t="s">
        <v>93</v>
      </c>
    </row>
    <row r="151" spans="1:26" s="105" customFormat="1" ht="15" customHeight="1">
      <c r="A151" s="99">
        <f t="shared" si="31"/>
        <v>149</v>
      </c>
      <c r="B151" s="75" t="s">
        <v>1007</v>
      </c>
      <c r="C151" s="100" t="str">
        <f>IF($B151&lt;&gt;"",_xlfn.IFNA(VLOOKUP($B151,'Node Details'!$B:$U,C$1,0),"Check"),"")</f>
        <v>0000AXY09-AXY090105</v>
      </c>
      <c r="D151" s="100" t="str">
        <f>IF($B151&lt;&gt;"",_xlfn.IFNA(VLOOKUP($B151,'Node Details'!$B:$U,D$1,0),"Check"),"")</f>
        <v>AXY</v>
      </c>
      <c r="E151" s="100" t="str">
        <f>IF($B151&lt;&gt;"",_xlfn.IFNA(VLOOKUP($B151,'Node Details'!$B:$U,E$1,0),"Check"),"")</f>
        <v>Airtel</v>
      </c>
      <c r="F151" s="101">
        <v>46113</v>
      </c>
      <c r="G151" s="103"/>
      <c r="H151" s="102" t="s">
        <v>1254</v>
      </c>
      <c r="I151" s="9">
        <v>1</v>
      </c>
      <c r="J151" s="9">
        <v>600</v>
      </c>
      <c r="K151" s="100">
        <f t="shared" si="30"/>
        <v>600</v>
      </c>
      <c r="L151" s="78">
        <v>46112</v>
      </c>
      <c r="M151" s="103"/>
      <c r="N151" s="93" t="s">
        <v>143</v>
      </c>
      <c r="O151" s="94">
        <v>46141</v>
      </c>
      <c r="P151" s="104">
        <f t="shared" si="25"/>
        <v>600</v>
      </c>
      <c r="Q151" s="104">
        <f t="shared" si="26"/>
        <v>600</v>
      </c>
      <c r="R151" s="104"/>
      <c r="S151" s="93" t="s">
        <v>331</v>
      </c>
      <c r="T151" s="94">
        <v>46153</v>
      </c>
      <c r="U151" s="104">
        <f t="shared" si="27"/>
        <v>600</v>
      </c>
      <c r="V151" s="104">
        <f t="shared" si="28"/>
        <v>1</v>
      </c>
      <c r="W151" s="103">
        <f t="shared" si="29"/>
        <v>600</v>
      </c>
      <c r="X151" s="93" t="s">
        <v>89</v>
      </c>
      <c r="Y151" s="105" t="s">
        <v>84</v>
      </c>
      <c r="Z151" s="105" t="s">
        <v>93</v>
      </c>
    </row>
    <row r="152" spans="1:26" s="105" customFormat="1" ht="15" customHeight="1">
      <c r="A152" s="99">
        <f t="shared" si="31"/>
        <v>150</v>
      </c>
      <c r="B152" s="75" t="s">
        <v>1008</v>
      </c>
      <c r="C152" s="100" t="str">
        <f>IF($B152&lt;&gt;"",_xlfn.IFNA(VLOOKUP($B152,'Node Details'!$B:$U,C$1,0),"Check"),"")</f>
        <v>0000AXY09-AXY090105</v>
      </c>
      <c r="D152" s="100" t="str">
        <f>IF($B152&lt;&gt;"",_xlfn.IFNA(VLOOKUP($B152,'Node Details'!$B:$U,D$1,0),"Check"),"")</f>
        <v>AXY</v>
      </c>
      <c r="E152" s="100" t="str">
        <f>IF($B152&lt;&gt;"",_xlfn.IFNA(VLOOKUP($B152,'Node Details'!$B:$U,E$1,0),"Check"),"")</f>
        <v>Airtel</v>
      </c>
      <c r="F152" s="101">
        <v>46113</v>
      </c>
      <c r="G152" s="103"/>
      <c r="H152" s="102" t="s">
        <v>1254</v>
      </c>
      <c r="I152" s="9">
        <v>1</v>
      </c>
      <c r="J152" s="9">
        <v>600</v>
      </c>
      <c r="K152" s="100">
        <f t="shared" si="30"/>
        <v>600</v>
      </c>
      <c r="L152" s="78">
        <v>46112</v>
      </c>
      <c r="M152" s="103"/>
      <c r="N152" s="93" t="s">
        <v>143</v>
      </c>
      <c r="O152" s="94">
        <v>46141</v>
      </c>
      <c r="P152" s="104">
        <f t="shared" si="25"/>
        <v>600</v>
      </c>
      <c r="Q152" s="104">
        <f t="shared" si="26"/>
        <v>600</v>
      </c>
      <c r="R152" s="104"/>
      <c r="S152" s="93" t="s">
        <v>331</v>
      </c>
      <c r="T152" s="94">
        <v>46153</v>
      </c>
      <c r="U152" s="104">
        <f t="shared" si="27"/>
        <v>600</v>
      </c>
      <c r="V152" s="104">
        <f t="shared" si="28"/>
        <v>1</v>
      </c>
      <c r="W152" s="103">
        <f t="shared" si="29"/>
        <v>600</v>
      </c>
      <c r="X152" s="93" t="s">
        <v>89</v>
      </c>
      <c r="Y152" s="105" t="s">
        <v>84</v>
      </c>
      <c r="Z152" s="105" t="s">
        <v>93</v>
      </c>
    </row>
    <row r="153" spans="1:26" s="105" customFormat="1" ht="15" customHeight="1">
      <c r="A153" s="99">
        <f t="shared" si="31"/>
        <v>151</v>
      </c>
      <c r="B153" s="75" t="s">
        <v>257</v>
      </c>
      <c r="C153" s="100" t="str">
        <f>IF($B153&lt;&gt;"",_xlfn.IFNA(VLOOKUP($B153,'Node Details'!$B:$U,C$1,0),"Check"),"")</f>
        <v>0000AXY09-AXY090105</v>
      </c>
      <c r="D153" s="100" t="str">
        <f>IF($B153&lt;&gt;"",_xlfn.IFNA(VLOOKUP($B153,'Node Details'!$B:$U,D$1,0),"Check"),"")</f>
        <v>AXY</v>
      </c>
      <c r="E153" s="100" t="str">
        <f>IF($B153&lt;&gt;"",_xlfn.IFNA(VLOOKUP($B153,'Node Details'!$B:$U,E$1,0),"Check"),"")</f>
        <v>Airtel</v>
      </c>
      <c r="F153" s="101">
        <v>46113</v>
      </c>
      <c r="G153" s="103"/>
      <c r="H153" s="102" t="s">
        <v>1254</v>
      </c>
      <c r="I153" s="9">
        <v>1</v>
      </c>
      <c r="J153" s="9">
        <v>600</v>
      </c>
      <c r="K153" s="100">
        <f t="shared" si="30"/>
        <v>600</v>
      </c>
      <c r="L153" s="78">
        <v>46112</v>
      </c>
      <c r="M153" s="103"/>
      <c r="N153" s="93" t="s">
        <v>143</v>
      </c>
      <c r="O153" s="94">
        <v>46141</v>
      </c>
      <c r="P153" s="104">
        <f t="shared" si="25"/>
        <v>600</v>
      </c>
      <c r="Q153" s="104">
        <f t="shared" si="26"/>
        <v>600</v>
      </c>
      <c r="R153" s="104"/>
      <c r="S153" s="93" t="s">
        <v>331</v>
      </c>
      <c r="T153" s="94">
        <v>46153</v>
      </c>
      <c r="U153" s="104">
        <f t="shared" si="27"/>
        <v>600</v>
      </c>
      <c r="V153" s="104">
        <f t="shared" si="28"/>
        <v>1</v>
      </c>
      <c r="W153" s="103">
        <f t="shared" si="29"/>
        <v>600</v>
      </c>
      <c r="X153" s="93" t="s">
        <v>89</v>
      </c>
      <c r="Y153" s="105" t="s">
        <v>84</v>
      </c>
      <c r="Z153" s="105" t="s">
        <v>93</v>
      </c>
    </row>
    <row r="154" spans="1:26" s="105" customFormat="1" ht="15" customHeight="1">
      <c r="A154" s="99">
        <f t="shared" si="31"/>
        <v>152</v>
      </c>
      <c r="B154" s="75" t="s">
        <v>1009</v>
      </c>
      <c r="C154" s="100" t="str">
        <f>IF($B154&lt;&gt;"",_xlfn.IFNA(VLOOKUP($B154,'Node Details'!$B:$U,C$1,0),"Check"),"")</f>
        <v>0000AXY09-AXY090201</v>
      </c>
      <c r="D154" s="100" t="str">
        <f>IF($B154&lt;&gt;"",_xlfn.IFNA(VLOOKUP($B154,'Node Details'!$B:$U,D$1,0),"Check"),"")</f>
        <v>AXY</v>
      </c>
      <c r="E154" s="100" t="str">
        <f>IF($B154&lt;&gt;"",_xlfn.IFNA(VLOOKUP($B154,'Node Details'!$B:$U,E$1,0),"Check"),"")</f>
        <v>Airtel</v>
      </c>
      <c r="F154" s="101">
        <v>46113</v>
      </c>
      <c r="G154" s="103"/>
      <c r="H154" s="102" t="s">
        <v>1254</v>
      </c>
      <c r="I154" s="9">
        <v>1</v>
      </c>
      <c r="J154" s="9">
        <v>600</v>
      </c>
      <c r="K154" s="100">
        <f t="shared" si="30"/>
        <v>600</v>
      </c>
      <c r="L154" s="78">
        <v>46112</v>
      </c>
      <c r="M154" s="103"/>
      <c r="N154" s="93" t="s">
        <v>143</v>
      </c>
      <c r="O154" s="94">
        <v>46141</v>
      </c>
      <c r="P154" s="104">
        <f t="shared" si="25"/>
        <v>600</v>
      </c>
      <c r="Q154" s="104">
        <f t="shared" si="26"/>
        <v>600</v>
      </c>
      <c r="R154" s="104"/>
      <c r="S154" s="93" t="s">
        <v>331</v>
      </c>
      <c r="T154" s="94">
        <v>46153</v>
      </c>
      <c r="U154" s="104">
        <f t="shared" si="27"/>
        <v>600</v>
      </c>
      <c r="V154" s="104">
        <f t="shared" si="28"/>
        <v>1</v>
      </c>
      <c r="W154" s="103">
        <f t="shared" si="29"/>
        <v>600</v>
      </c>
      <c r="X154" s="93" t="s">
        <v>89</v>
      </c>
      <c r="Y154" s="105" t="s">
        <v>84</v>
      </c>
      <c r="Z154" s="105" t="s">
        <v>93</v>
      </c>
    </row>
    <row r="155" spans="1:26" s="105" customFormat="1" ht="15" customHeight="1">
      <c r="A155" s="99">
        <f t="shared" si="31"/>
        <v>153</v>
      </c>
      <c r="B155" s="75" t="s">
        <v>1010</v>
      </c>
      <c r="C155" s="100" t="str">
        <f>IF($B155&lt;&gt;"",_xlfn.IFNA(VLOOKUP($B155,'Node Details'!$B:$U,C$1,0),"Check"),"")</f>
        <v>0000AXY09-AXY090201</v>
      </c>
      <c r="D155" s="100" t="str">
        <f>IF($B155&lt;&gt;"",_xlfn.IFNA(VLOOKUP($B155,'Node Details'!$B:$U,D$1,0),"Check"),"")</f>
        <v>AXY</v>
      </c>
      <c r="E155" s="100" t="str">
        <f>IF($B155&lt;&gt;"",_xlfn.IFNA(VLOOKUP($B155,'Node Details'!$B:$U,E$1,0),"Check"),"")</f>
        <v>Airtel</v>
      </c>
      <c r="F155" s="101">
        <v>46113</v>
      </c>
      <c r="G155" s="103"/>
      <c r="H155" s="102" t="s">
        <v>1254</v>
      </c>
      <c r="I155" s="9">
        <v>1</v>
      </c>
      <c r="J155" s="9">
        <v>600</v>
      </c>
      <c r="K155" s="100">
        <f t="shared" si="30"/>
        <v>600</v>
      </c>
      <c r="L155" s="78">
        <v>46112</v>
      </c>
      <c r="M155" s="103"/>
      <c r="N155" s="93" t="s">
        <v>143</v>
      </c>
      <c r="O155" s="94">
        <v>46141</v>
      </c>
      <c r="P155" s="104">
        <f t="shared" si="25"/>
        <v>600</v>
      </c>
      <c r="Q155" s="104">
        <f t="shared" si="26"/>
        <v>600</v>
      </c>
      <c r="R155" s="104"/>
      <c r="S155" s="93" t="s">
        <v>331</v>
      </c>
      <c r="T155" s="94">
        <v>46153</v>
      </c>
      <c r="U155" s="104">
        <f t="shared" si="27"/>
        <v>600</v>
      </c>
      <c r="V155" s="104">
        <f t="shared" si="28"/>
        <v>1</v>
      </c>
      <c r="W155" s="103">
        <f t="shared" si="29"/>
        <v>600</v>
      </c>
      <c r="X155" s="93" t="s">
        <v>89</v>
      </c>
      <c r="Y155" s="105" t="s">
        <v>84</v>
      </c>
      <c r="Z155" s="105" t="s">
        <v>93</v>
      </c>
    </row>
    <row r="156" spans="1:26" s="105" customFormat="1" ht="15" customHeight="1">
      <c r="A156" s="99">
        <f t="shared" si="31"/>
        <v>154</v>
      </c>
      <c r="B156" s="75" t="s">
        <v>1011</v>
      </c>
      <c r="C156" s="100" t="str">
        <f>IF($B156&lt;&gt;"",_xlfn.IFNA(VLOOKUP($B156,'Node Details'!$B:$U,C$1,0),"Check"),"")</f>
        <v>0000AXY09-AXY090201</v>
      </c>
      <c r="D156" s="100" t="str">
        <f>IF($B156&lt;&gt;"",_xlfn.IFNA(VLOOKUP($B156,'Node Details'!$B:$U,D$1,0),"Check"),"")</f>
        <v>AXY</v>
      </c>
      <c r="E156" s="100" t="str">
        <f>IF($B156&lt;&gt;"",_xlfn.IFNA(VLOOKUP($B156,'Node Details'!$B:$U,E$1,0),"Check"),"")</f>
        <v>Airtel</v>
      </c>
      <c r="F156" s="101">
        <v>46113</v>
      </c>
      <c r="G156" s="103"/>
      <c r="H156" s="102" t="s">
        <v>1254</v>
      </c>
      <c r="I156" s="9">
        <v>1</v>
      </c>
      <c r="J156" s="9">
        <v>600</v>
      </c>
      <c r="K156" s="100">
        <f t="shared" si="30"/>
        <v>600</v>
      </c>
      <c r="L156" s="78">
        <v>46112</v>
      </c>
      <c r="M156" s="103"/>
      <c r="N156" s="93" t="s">
        <v>143</v>
      </c>
      <c r="O156" s="94">
        <v>46141</v>
      </c>
      <c r="P156" s="104">
        <f t="shared" si="25"/>
        <v>600</v>
      </c>
      <c r="Q156" s="104">
        <f t="shared" si="26"/>
        <v>600</v>
      </c>
      <c r="R156" s="104"/>
      <c r="S156" s="93" t="s">
        <v>331</v>
      </c>
      <c r="T156" s="94">
        <v>46153</v>
      </c>
      <c r="U156" s="104">
        <f t="shared" si="27"/>
        <v>600</v>
      </c>
      <c r="V156" s="104">
        <f t="shared" si="28"/>
        <v>1</v>
      </c>
      <c r="W156" s="103">
        <f t="shared" si="29"/>
        <v>600</v>
      </c>
      <c r="X156" s="93" t="s">
        <v>89</v>
      </c>
      <c r="Y156" s="105" t="s">
        <v>84</v>
      </c>
      <c r="Z156" s="105" t="s">
        <v>93</v>
      </c>
    </row>
    <row r="157" spans="1:26" s="105" customFormat="1" ht="15" customHeight="1">
      <c r="A157" s="99">
        <f t="shared" si="31"/>
        <v>155</v>
      </c>
      <c r="B157" s="75" t="s">
        <v>250</v>
      </c>
      <c r="C157" s="100" t="str">
        <f>IF($B157&lt;&gt;"",_xlfn.IFNA(VLOOKUP($B157,'Node Details'!$B:$U,C$1,0),"Check"),"")</f>
        <v>0000AXY09-AXY090201</v>
      </c>
      <c r="D157" s="100" t="str">
        <f>IF($B157&lt;&gt;"",_xlfn.IFNA(VLOOKUP($B157,'Node Details'!$B:$U,D$1,0),"Check"),"")</f>
        <v>AXY</v>
      </c>
      <c r="E157" s="100" t="str">
        <f>IF($B157&lt;&gt;"",_xlfn.IFNA(VLOOKUP($B157,'Node Details'!$B:$U,E$1,0),"Check"),"")</f>
        <v>Airtel</v>
      </c>
      <c r="F157" s="101">
        <v>46113</v>
      </c>
      <c r="G157" s="103"/>
      <c r="H157" s="102" t="s">
        <v>1254</v>
      </c>
      <c r="I157" s="9">
        <v>1</v>
      </c>
      <c r="J157" s="9">
        <v>600</v>
      </c>
      <c r="K157" s="100">
        <f t="shared" si="30"/>
        <v>600</v>
      </c>
      <c r="L157" s="78">
        <v>46112</v>
      </c>
      <c r="M157" s="103"/>
      <c r="N157" s="93" t="s">
        <v>143</v>
      </c>
      <c r="O157" s="94">
        <v>46141</v>
      </c>
      <c r="P157" s="104">
        <f t="shared" ref="P157:P220" si="32">J157</f>
        <v>600</v>
      </c>
      <c r="Q157" s="104">
        <f t="shared" ref="Q157:Q220" si="33">P157*I157</f>
        <v>600</v>
      </c>
      <c r="R157" s="104"/>
      <c r="S157" s="93" t="s">
        <v>331</v>
      </c>
      <c r="T157" s="94">
        <v>46153</v>
      </c>
      <c r="U157" s="104">
        <f t="shared" ref="U157:U220" si="34">J157</f>
        <v>600</v>
      </c>
      <c r="V157" s="104">
        <f t="shared" ref="V157:V220" si="35">I157</f>
        <v>1</v>
      </c>
      <c r="W157" s="103">
        <f t="shared" ref="W157:W220" si="36">IF(V157&lt;&gt;"",V157*U157,0)</f>
        <v>600</v>
      </c>
      <c r="X157" s="93" t="s">
        <v>89</v>
      </c>
      <c r="Y157" s="105" t="s">
        <v>84</v>
      </c>
      <c r="Z157" s="105" t="s">
        <v>93</v>
      </c>
    </row>
    <row r="158" spans="1:26" s="105" customFormat="1" ht="15" customHeight="1">
      <c r="A158" s="99">
        <f t="shared" si="31"/>
        <v>156</v>
      </c>
      <c r="B158" s="75" t="s">
        <v>1012</v>
      </c>
      <c r="C158" s="100" t="str">
        <f>IF($B158&lt;&gt;"",_xlfn.IFNA(VLOOKUP($B158,'Node Details'!$B:$U,C$1,0),"Check"),"")</f>
        <v>AXY090201-AXY090204</v>
      </c>
      <c r="D158" s="100" t="str">
        <f>IF($B158&lt;&gt;"",_xlfn.IFNA(VLOOKUP($B158,'Node Details'!$B:$U,D$1,0),"Check"),"")</f>
        <v>AXY</v>
      </c>
      <c r="E158" s="100" t="str">
        <f>IF($B158&lt;&gt;"",_xlfn.IFNA(VLOOKUP($B158,'Node Details'!$B:$U,E$1,0),"Check"),"")</f>
        <v>Airtel</v>
      </c>
      <c r="F158" s="101">
        <v>46113</v>
      </c>
      <c r="G158" s="103"/>
      <c r="H158" s="102" t="s">
        <v>1254</v>
      </c>
      <c r="I158" s="9">
        <v>1</v>
      </c>
      <c r="J158" s="9">
        <v>600</v>
      </c>
      <c r="K158" s="100">
        <f t="shared" ref="K158:K221" si="37">IF(I158&lt;&gt;"",J158*I158,0)</f>
        <v>600</v>
      </c>
      <c r="L158" s="78">
        <v>46112</v>
      </c>
      <c r="M158" s="103"/>
      <c r="N158" s="93" t="s">
        <v>143</v>
      </c>
      <c r="O158" s="94">
        <v>46141</v>
      </c>
      <c r="P158" s="104">
        <f t="shared" si="32"/>
        <v>600</v>
      </c>
      <c r="Q158" s="104">
        <f t="shared" si="33"/>
        <v>600</v>
      </c>
      <c r="R158" s="104"/>
      <c r="S158" s="93" t="s">
        <v>331</v>
      </c>
      <c r="T158" s="94">
        <v>46153</v>
      </c>
      <c r="U158" s="104">
        <f t="shared" si="34"/>
        <v>600</v>
      </c>
      <c r="V158" s="104">
        <f t="shared" si="35"/>
        <v>1</v>
      </c>
      <c r="W158" s="103">
        <f t="shared" si="36"/>
        <v>600</v>
      </c>
      <c r="X158" s="93" t="s">
        <v>89</v>
      </c>
      <c r="Y158" s="105" t="s">
        <v>84</v>
      </c>
      <c r="Z158" s="105" t="s">
        <v>93</v>
      </c>
    </row>
    <row r="159" spans="1:26" s="105" customFormat="1" ht="15" customHeight="1">
      <c r="A159" s="99">
        <f t="shared" si="31"/>
        <v>157</v>
      </c>
      <c r="B159" s="75" t="s">
        <v>1013</v>
      </c>
      <c r="C159" s="100" t="str">
        <f>IF($B159&lt;&gt;"",_xlfn.IFNA(VLOOKUP($B159,'Node Details'!$B:$U,C$1,0),"Check"),"")</f>
        <v>AXY090201-AXY090204</v>
      </c>
      <c r="D159" s="100" t="str">
        <f>IF($B159&lt;&gt;"",_xlfn.IFNA(VLOOKUP($B159,'Node Details'!$B:$U,D$1,0),"Check"),"")</f>
        <v>AXY</v>
      </c>
      <c r="E159" s="100" t="str">
        <f>IF($B159&lt;&gt;"",_xlfn.IFNA(VLOOKUP($B159,'Node Details'!$B:$U,E$1,0),"Check"),"")</f>
        <v>Airtel</v>
      </c>
      <c r="F159" s="101">
        <v>46113</v>
      </c>
      <c r="G159" s="103"/>
      <c r="H159" s="102" t="s">
        <v>1254</v>
      </c>
      <c r="I159" s="9">
        <v>1</v>
      </c>
      <c r="J159" s="9">
        <v>600</v>
      </c>
      <c r="K159" s="100">
        <f t="shared" si="37"/>
        <v>600</v>
      </c>
      <c r="L159" s="78">
        <v>46112</v>
      </c>
      <c r="M159" s="103"/>
      <c r="N159" s="93" t="s">
        <v>143</v>
      </c>
      <c r="O159" s="94">
        <v>46141</v>
      </c>
      <c r="P159" s="104">
        <f t="shared" si="32"/>
        <v>600</v>
      </c>
      <c r="Q159" s="104">
        <f t="shared" si="33"/>
        <v>600</v>
      </c>
      <c r="R159" s="104"/>
      <c r="S159" s="93" t="s">
        <v>331</v>
      </c>
      <c r="T159" s="94">
        <v>46153</v>
      </c>
      <c r="U159" s="104">
        <f t="shared" si="34"/>
        <v>600</v>
      </c>
      <c r="V159" s="104">
        <f t="shared" si="35"/>
        <v>1</v>
      </c>
      <c r="W159" s="103">
        <f t="shared" si="36"/>
        <v>600</v>
      </c>
      <c r="X159" s="93" t="s">
        <v>89</v>
      </c>
      <c r="Y159" s="105" t="s">
        <v>84</v>
      </c>
      <c r="Z159" s="105" t="s">
        <v>93</v>
      </c>
    </row>
    <row r="160" spans="1:26" s="105" customFormat="1" ht="15" customHeight="1">
      <c r="A160" s="99">
        <f t="shared" si="31"/>
        <v>158</v>
      </c>
      <c r="B160" s="75" t="s">
        <v>261</v>
      </c>
      <c r="C160" s="100" t="str">
        <f>IF($B160&lt;&gt;"",_xlfn.IFNA(VLOOKUP($B160,'Node Details'!$B:$U,C$1,0),"Check"),"")</f>
        <v>AXY090201-AXY090204</v>
      </c>
      <c r="D160" s="100" t="str">
        <f>IF($B160&lt;&gt;"",_xlfn.IFNA(VLOOKUP($B160,'Node Details'!$B:$U,D$1,0),"Check"),"")</f>
        <v>AXY</v>
      </c>
      <c r="E160" s="100" t="str">
        <f>IF($B160&lt;&gt;"",_xlfn.IFNA(VLOOKUP($B160,'Node Details'!$B:$U,E$1,0),"Check"),"")</f>
        <v>Airtel</v>
      </c>
      <c r="F160" s="101">
        <v>46113</v>
      </c>
      <c r="G160" s="103"/>
      <c r="H160" s="102" t="s">
        <v>1254</v>
      </c>
      <c r="I160" s="9">
        <v>1</v>
      </c>
      <c r="J160" s="9">
        <v>600</v>
      </c>
      <c r="K160" s="100">
        <f t="shared" si="37"/>
        <v>600</v>
      </c>
      <c r="L160" s="78">
        <v>46112</v>
      </c>
      <c r="M160" s="103"/>
      <c r="N160" s="93" t="s">
        <v>143</v>
      </c>
      <c r="O160" s="94">
        <v>46141</v>
      </c>
      <c r="P160" s="104">
        <f t="shared" si="32"/>
        <v>600</v>
      </c>
      <c r="Q160" s="104">
        <f t="shared" si="33"/>
        <v>600</v>
      </c>
      <c r="R160" s="104"/>
      <c r="S160" s="93" t="s">
        <v>331</v>
      </c>
      <c r="T160" s="94">
        <v>46153</v>
      </c>
      <c r="U160" s="104">
        <f t="shared" si="34"/>
        <v>600</v>
      </c>
      <c r="V160" s="104">
        <f t="shared" si="35"/>
        <v>1</v>
      </c>
      <c r="W160" s="103">
        <f t="shared" si="36"/>
        <v>600</v>
      </c>
      <c r="X160" s="93" t="s">
        <v>89</v>
      </c>
      <c r="Y160" s="105" t="s">
        <v>84</v>
      </c>
      <c r="Z160" s="105" t="s">
        <v>93</v>
      </c>
    </row>
    <row r="161" spans="1:26" s="105" customFormat="1" ht="15" customHeight="1">
      <c r="A161" s="99">
        <f t="shared" si="31"/>
        <v>159</v>
      </c>
      <c r="B161" s="75" t="s">
        <v>1015</v>
      </c>
      <c r="C161" s="100" t="str">
        <f>IF($B161&lt;&gt;"",_xlfn.IFNA(VLOOKUP($B161,'Node Details'!$B:$U,C$1,0),"Check"),"")</f>
        <v>0000AXY10-AXY100104</v>
      </c>
      <c r="D161" s="100" t="str">
        <f>IF($B161&lt;&gt;"",_xlfn.IFNA(VLOOKUP($B161,'Node Details'!$B:$U,D$1,0),"Check"),"")</f>
        <v>AXY</v>
      </c>
      <c r="E161" s="100" t="str">
        <f>IF($B161&lt;&gt;"",_xlfn.IFNA(VLOOKUP($B161,'Node Details'!$B:$U,E$1,0),"Check"),"")</f>
        <v>Airtel</v>
      </c>
      <c r="F161" s="101">
        <v>46113</v>
      </c>
      <c r="G161" s="103"/>
      <c r="H161" s="102" t="s">
        <v>1254</v>
      </c>
      <c r="I161" s="9">
        <v>1</v>
      </c>
      <c r="J161" s="9">
        <v>600</v>
      </c>
      <c r="K161" s="100">
        <f t="shared" si="37"/>
        <v>600</v>
      </c>
      <c r="L161" s="78">
        <v>46112</v>
      </c>
      <c r="M161" s="103"/>
      <c r="N161" s="93" t="s">
        <v>143</v>
      </c>
      <c r="O161" s="94">
        <v>46141</v>
      </c>
      <c r="P161" s="104">
        <f t="shared" si="32"/>
        <v>600</v>
      </c>
      <c r="Q161" s="104">
        <f t="shared" si="33"/>
        <v>600</v>
      </c>
      <c r="R161" s="104"/>
      <c r="S161" s="93" t="s">
        <v>331</v>
      </c>
      <c r="T161" s="94">
        <v>46153</v>
      </c>
      <c r="U161" s="104">
        <f t="shared" si="34"/>
        <v>600</v>
      </c>
      <c r="V161" s="104">
        <f t="shared" si="35"/>
        <v>1</v>
      </c>
      <c r="W161" s="103">
        <f t="shared" si="36"/>
        <v>600</v>
      </c>
      <c r="X161" s="93" t="s">
        <v>89</v>
      </c>
      <c r="Y161" s="105" t="s">
        <v>84</v>
      </c>
      <c r="Z161" s="105" t="s">
        <v>93</v>
      </c>
    </row>
    <row r="162" spans="1:26" s="105" customFormat="1" ht="15" customHeight="1">
      <c r="A162" s="99">
        <f t="shared" si="31"/>
        <v>160</v>
      </c>
      <c r="B162" s="75" t="s">
        <v>1016</v>
      </c>
      <c r="C162" s="100" t="str">
        <f>IF($B162&lt;&gt;"",_xlfn.IFNA(VLOOKUP($B162,'Node Details'!$B:$U,C$1,0),"Check"),"")</f>
        <v>0000AXY10-AXY100104</v>
      </c>
      <c r="D162" s="100" t="str">
        <f>IF($B162&lt;&gt;"",_xlfn.IFNA(VLOOKUP($B162,'Node Details'!$B:$U,D$1,0),"Check"),"")</f>
        <v>AXY</v>
      </c>
      <c r="E162" s="100" t="str">
        <f>IF($B162&lt;&gt;"",_xlfn.IFNA(VLOOKUP($B162,'Node Details'!$B:$U,E$1,0),"Check"),"")</f>
        <v>Airtel</v>
      </c>
      <c r="F162" s="101">
        <v>46113</v>
      </c>
      <c r="G162" s="103"/>
      <c r="H162" s="102" t="s">
        <v>1254</v>
      </c>
      <c r="I162" s="9">
        <v>1</v>
      </c>
      <c r="J162" s="9">
        <v>600</v>
      </c>
      <c r="K162" s="100">
        <f t="shared" si="37"/>
        <v>600</v>
      </c>
      <c r="L162" s="78">
        <v>46112</v>
      </c>
      <c r="M162" s="103"/>
      <c r="N162" s="93" t="s">
        <v>143</v>
      </c>
      <c r="O162" s="94">
        <v>46141</v>
      </c>
      <c r="P162" s="104">
        <f t="shared" si="32"/>
        <v>600</v>
      </c>
      <c r="Q162" s="104">
        <f t="shared" si="33"/>
        <v>600</v>
      </c>
      <c r="R162" s="104"/>
      <c r="S162" s="93" t="s">
        <v>331</v>
      </c>
      <c r="T162" s="94">
        <v>46153</v>
      </c>
      <c r="U162" s="104">
        <f t="shared" si="34"/>
        <v>600</v>
      </c>
      <c r="V162" s="104">
        <f t="shared" si="35"/>
        <v>1</v>
      </c>
      <c r="W162" s="103">
        <f t="shared" si="36"/>
        <v>600</v>
      </c>
      <c r="X162" s="93" t="s">
        <v>89</v>
      </c>
      <c r="Y162" s="105" t="s">
        <v>84</v>
      </c>
      <c r="Z162" s="105" t="s">
        <v>93</v>
      </c>
    </row>
    <row r="163" spans="1:26" s="105" customFormat="1" ht="15" customHeight="1">
      <c r="A163" s="99">
        <f t="shared" si="31"/>
        <v>161</v>
      </c>
      <c r="B163" s="75" t="s">
        <v>265</v>
      </c>
      <c r="C163" s="100" t="str">
        <f>IF($B163&lt;&gt;"",_xlfn.IFNA(VLOOKUP($B163,'Node Details'!$B:$U,C$1,0),"Check"),"")</f>
        <v>0000AXY10-AXY100104</v>
      </c>
      <c r="D163" s="100" t="str">
        <f>IF($B163&lt;&gt;"",_xlfn.IFNA(VLOOKUP($B163,'Node Details'!$B:$U,D$1,0),"Check"),"")</f>
        <v>AXY</v>
      </c>
      <c r="E163" s="100" t="str">
        <f>IF($B163&lt;&gt;"",_xlfn.IFNA(VLOOKUP($B163,'Node Details'!$B:$U,E$1,0),"Check"),"")</f>
        <v>Airtel</v>
      </c>
      <c r="F163" s="101">
        <v>46113</v>
      </c>
      <c r="G163" s="103"/>
      <c r="H163" s="102" t="s">
        <v>1254</v>
      </c>
      <c r="I163" s="9">
        <v>1</v>
      </c>
      <c r="J163" s="9">
        <v>600</v>
      </c>
      <c r="K163" s="100">
        <f t="shared" si="37"/>
        <v>600</v>
      </c>
      <c r="L163" s="78">
        <v>46112</v>
      </c>
      <c r="M163" s="103"/>
      <c r="N163" s="93" t="s">
        <v>143</v>
      </c>
      <c r="O163" s="94">
        <v>46141</v>
      </c>
      <c r="P163" s="104">
        <f t="shared" si="32"/>
        <v>600</v>
      </c>
      <c r="Q163" s="104">
        <f t="shared" si="33"/>
        <v>600</v>
      </c>
      <c r="R163" s="104"/>
      <c r="S163" s="93" t="s">
        <v>331</v>
      </c>
      <c r="T163" s="94">
        <v>46153</v>
      </c>
      <c r="U163" s="104">
        <f t="shared" si="34"/>
        <v>600</v>
      </c>
      <c r="V163" s="104">
        <f t="shared" si="35"/>
        <v>1</v>
      </c>
      <c r="W163" s="103">
        <f t="shared" si="36"/>
        <v>600</v>
      </c>
      <c r="X163" s="93" t="s">
        <v>89</v>
      </c>
      <c r="Y163" s="105" t="s">
        <v>84</v>
      </c>
      <c r="Z163" s="105" t="s">
        <v>93</v>
      </c>
    </row>
    <row r="164" spans="1:26" s="105" customFormat="1" ht="15" customHeight="1">
      <c r="A164" s="99">
        <f t="shared" si="31"/>
        <v>162</v>
      </c>
      <c r="B164" s="75" t="s">
        <v>1017</v>
      </c>
      <c r="C164" s="100" t="str">
        <f>IF($B164&lt;&gt;"",_xlfn.IFNA(VLOOKUP($B164,'Node Details'!$B:$U,C$1,0),"Check"),"")</f>
        <v>0000AXY10-AXY100105</v>
      </c>
      <c r="D164" s="100" t="str">
        <f>IF($B164&lt;&gt;"",_xlfn.IFNA(VLOOKUP($B164,'Node Details'!$B:$U,D$1,0),"Check"),"")</f>
        <v>AXY</v>
      </c>
      <c r="E164" s="100" t="str">
        <f>IF($B164&lt;&gt;"",_xlfn.IFNA(VLOOKUP($B164,'Node Details'!$B:$U,E$1,0),"Check"),"")</f>
        <v>Airtel</v>
      </c>
      <c r="F164" s="101">
        <v>46113</v>
      </c>
      <c r="G164" s="103"/>
      <c r="H164" s="102" t="s">
        <v>1254</v>
      </c>
      <c r="I164" s="9">
        <v>1</v>
      </c>
      <c r="J164" s="9">
        <v>600</v>
      </c>
      <c r="K164" s="100">
        <f t="shared" si="37"/>
        <v>600</v>
      </c>
      <c r="L164" s="78">
        <v>46112</v>
      </c>
      <c r="M164" s="103"/>
      <c r="N164" s="93" t="s">
        <v>143</v>
      </c>
      <c r="O164" s="94">
        <v>46141</v>
      </c>
      <c r="P164" s="104">
        <f t="shared" si="32"/>
        <v>600</v>
      </c>
      <c r="Q164" s="104">
        <f t="shared" si="33"/>
        <v>600</v>
      </c>
      <c r="R164" s="104"/>
      <c r="S164" s="93" t="s">
        <v>331</v>
      </c>
      <c r="T164" s="94">
        <v>46153</v>
      </c>
      <c r="U164" s="104">
        <f t="shared" si="34"/>
        <v>600</v>
      </c>
      <c r="V164" s="104">
        <f t="shared" si="35"/>
        <v>1</v>
      </c>
      <c r="W164" s="103">
        <f t="shared" si="36"/>
        <v>600</v>
      </c>
      <c r="X164" s="93" t="s">
        <v>89</v>
      </c>
      <c r="Y164" s="105" t="s">
        <v>84</v>
      </c>
      <c r="Z164" s="105" t="s">
        <v>93</v>
      </c>
    </row>
    <row r="165" spans="1:26" s="105" customFormat="1" ht="15" customHeight="1">
      <c r="A165" s="99">
        <f t="shared" si="31"/>
        <v>163</v>
      </c>
      <c r="B165" s="75" t="s">
        <v>269</v>
      </c>
      <c r="C165" s="100" t="str">
        <f>IF($B165&lt;&gt;"",_xlfn.IFNA(VLOOKUP($B165,'Node Details'!$B:$U,C$1,0),"Check"),"")</f>
        <v>0000AXY10-AXY100105</v>
      </c>
      <c r="D165" s="100" t="str">
        <f>IF($B165&lt;&gt;"",_xlfn.IFNA(VLOOKUP($B165,'Node Details'!$B:$U,D$1,0),"Check"),"")</f>
        <v>AXY</v>
      </c>
      <c r="E165" s="100" t="str">
        <f>IF($B165&lt;&gt;"",_xlfn.IFNA(VLOOKUP($B165,'Node Details'!$B:$U,E$1,0),"Check"),"")</f>
        <v>Airtel</v>
      </c>
      <c r="F165" s="101">
        <v>46113</v>
      </c>
      <c r="G165" s="103"/>
      <c r="H165" s="102" t="s">
        <v>1254</v>
      </c>
      <c r="I165" s="9">
        <v>1</v>
      </c>
      <c r="J165" s="9">
        <v>600</v>
      </c>
      <c r="K165" s="100">
        <f t="shared" si="37"/>
        <v>600</v>
      </c>
      <c r="L165" s="78">
        <v>46112</v>
      </c>
      <c r="M165" s="103"/>
      <c r="N165" s="93" t="s">
        <v>143</v>
      </c>
      <c r="O165" s="94">
        <v>46141</v>
      </c>
      <c r="P165" s="104">
        <f t="shared" si="32"/>
        <v>600</v>
      </c>
      <c r="Q165" s="104">
        <f t="shared" si="33"/>
        <v>600</v>
      </c>
      <c r="R165" s="104"/>
      <c r="S165" s="93" t="s">
        <v>331</v>
      </c>
      <c r="T165" s="94">
        <v>46153</v>
      </c>
      <c r="U165" s="104">
        <f t="shared" si="34"/>
        <v>600</v>
      </c>
      <c r="V165" s="104">
        <f t="shared" si="35"/>
        <v>1</v>
      </c>
      <c r="W165" s="103">
        <f t="shared" si="36"/>
        <v>600</v>
      </c>
      <c r="X165" s="93" t="s">
        <v>89</v>
      </c>
      <c r="Y165" s="105" t="s">
        <v>84</v>
      </c>
      <c r="Z165" s="105" t="s">
        <v>93</v>
      </c>
    </row>
    <row r="166" spans="1:26" s="105" customFormat="1" ht="15" customHeight="1">
      <c r="A166" s="99">
        <f t="shared" si="31"/>
        <v>164</v>
      </c>
      <c r="B166" s="75" t="s">
        <v>1018</v>
      </c>
      <c r="C166" s="100" t="str">
        <f>IF($B166&lt;&gt;"",_xlfn.IFNA(VLOOKUP($B166,'Node Details'!$B:$U,C$1,0),"Check"),"")</f>
        <v>AXY100106-AXY100201</v>
      </c>
      <c r="D166" s="100" t="str">
        <f>IF($B166&lt;&gt;"",_xlfn.IFNA(VLOOKUP($B166,'Node Details'!$B:$U,D$1,0),"Check"),"")</f>
        <v>AXY</v>
      </c>
      <c r="E166" s="100" t="str">
        <f>IF($B166&lt;&gt;"",_xlfn.IFNA(VLOOKUP($B166,'Node Details'!$B:$U,E$1,0),"Check"),"")</f>
        <v>Airtel</v>
      </c>
      <c r="F166" s="101">
        <v>46113</v>
      </c>
      <c r="G166" s="103"/>
      <c r="H166" s="102" t="s">
        <v>1254</v>
      </c>
      <c r="I166" s="9">
        <v>1</v>
      </c>
      <c r="J166" s="9">
        <v>600</v>
      </c>
      <c r="K166" s="100">
        <f t="shared" si="37"/>
        <v>600</v>
      </c>
      <c r="L166" s="78">
        <v>46112</v>
      </c>
      <c r="M166" s="103"/>
      <c r="N166" s="93" t="s">
        <v>143</v>
      </c>
      <c r="O166" s="94">
        <v>46141</v>
      </c>
      <c r="P166" s="104">
        <f t="shared" si="32"/>
        <v>600</v>
      </c>
      <c r="Q166" s="104">
        <f t="shared" si="33"/>
        <v>600</v>
      </c>
      <c r="R166" s="104"/>
      <c r="S166" s="93" t="s">
        <v>331</v>
      </c>
      <c r="T166" s="94">
        <v>46153</v>
      </c>
      <c r="U166" s="104">
        <f t="shared" si="34"/>
        <v>600</v>
      </c>
      <c r="V166" s="104">
        <f t="shared" si="35"/>
        <v>1</v>
      </c>
      <c r="W166" s="103">
        <f t="shared" si="36"/>
        <v>600</v>
      </c>
      <c r="X166" s="93" t="s">
        <v>89</v>
      </c>
      <c r="Y166" s="105" t="s">
        <v>84</v>
      </c>
      <c r="Z166" s="105" t="s">
        <v>93</v>
      </c>
    </row>
    <row r="167" spans="1:26" s="105" customFormat="1" ht="15" customHeight="1">
      <c r="A167" s="99">
        <f t="shared" si="31"/>
        <v>165</v>
      </c>
      <c r="B167" s="75" t="s">
        <v>273</v>
      </c>
      <c r="C167" s="100" t="str">
        <f>IF($B167&lt;&gt;"",_xlfn.IFNA(VLOOKUP($B167,'Node Details'!$B:$U,C$1,0),"Check"),"")</f>
        <v>AXY100106-AXY100201</v>
      </c>
      <c r="D167" s="100" t="str">
        <f>IF($B167&lt;&gt;"",_xlfn.IFNA(VLOOKUP($B167,'Node Details'!$B:$U,D$1,0),"Check"),"")</f>
        <v>AXY</v>
      </c>
      <c r="E167" s="100" t="str">
        <f>IF($B167&lt;&gt;"",_xlfn.IFNA(VLOOKUP($B167,'Node Details'!$B:$U,E$1,0),"Check"),"")</f>
        <v>Airtel</v>
      </c>
      <c r="F167" s="101">
        <v>46113</v>
      </c>
      <c r="G167" s="103"/>
      <c r="H167" s="102" t="s">
        <v>1254</v>
      </c>
      <c r="I167" s="9">
        <v>1</v>
      </c>
      <c r="J167" s="9">
        <v>600</v>
      </c>
      <c r="K167" s="100">
        <f t="shared" si="37"/>
        <v>600</v>
      </c>
      <c r="L167" s="78">
        <v>46112</v>
      </c>
      <c r="M167" s="103"/>
      <c r="N167" s="93" t="s">
        <v>143</v>
      </c>
      <c r="O167" s="94">
        <v>46141</v>
      </c>
      <c r="P167" s="104">
        <f t="shared" si="32"/>
        <v>600</v>
      </c>
      <c r="Q167" s="104">
        <f t="shared" si="33"/>
        <v>600</v>
      </c>
      <c r="R167" s="104"/>
      <c r="S167" s="93" t="s">
        <v>331</v>
      </c>
      <c r="T167" s="94">
        <v>46153</v>
      </c>
      <c r="U167" s="104">
        <f t="shared" si="34"/>
        <v>600</v>
      </c>
      <c r="V167" s="104">
        <f t="shared" si="35"/>
        <v>1</v>
      </c>
      <c r="W167" s="103">
        <f t="shared" si="36"/>
        <v>600</v>
      </c>
      <c r="X167" s="93" t="s">
        <v>89</v>
      </c>
      <c r="Y167" s="105" t="s">
        <v>84</v>
      </c>
      <c r="Z167" s="105" t="s">
        <v>93</v>
      </c>
    </row>
    <row r="168" spans="1:26" s="105" customFormat="1" ht="15" customHeight="1">
      <c r="A168" s="99">
        <f t="shared" si="31"/>
        <v>166</v>
      </c>
      <c r="B168" s="75" t="s">
        <v>1020</v>
      </c>
      <c r="C168" s="100" t="str">
        <f>IF($B168&lt;&gt;"",_xlfn.IFNA(VLOOKUP($B168,'Node Details'!$B:$U,C$1,0),"Check"),"")</f>
        <v>0000AXY11-AXY110102</v>
      </c>
      <c r="D168" s="100" t="str">
        <f>IF($B168&lt;&gt;"",_xlfn.IFNA(VLOOKUP($B168,'Node Details'!$B:$U,D$1,0),"Check"),"")</f>
        <v>AXY</v>
      </c>
      <c r="E168" s="100" t="str">
        <f>IF($B168&lt;&gt;"",_xlfn.IFNA(VLOOKUP($B168,'Node Details'!$B:$U,E$1,0),"Check"),"")</f>
        <v>Airtel</v>
      </c>
      <c r="F168" s="101">
        <v>46113</v>
      </c>
      <c r="G168" s="103"/>
      <c r="H168" s="102" t="s">
        <v>1254</v>
      </c>
      <c r="I168" s="9">
        <v>1</v>
      </c>
      <c r="J168" s="9">
        <v>600</v>
      </c>
      <c r="K168" s="100">
        <f t="shared" si="37"/>
        <v>600</v>
      </c>
      <c r="L168" s="78">
        <v>46112</v>
      </c>
      <c r="M168" s="103"/>
      <c r="N168" s="93" t="s">
        <v>143</v>
      </c>
      <c r="O168" s="94">
        <v>46141</v>
      </c>
      <c r="P168" s="104">
        <f t="shared" si="32"/>
        <v>600</v>
      </c>
      <c r="Q168" s="104">
        <f t="shared" si="33"/>
        <v>600</v>
      </c>
      <c r="R168" s="104"/>
      <c r="S168" s="93" t="s">
        <v>331</v>
      </c>
      <c r="T168" s="94">
        <v>46153</v>
      </c>
      <c r="U168" s="104">
        <f t="shared" si="34"/>
        <v>600</v>
      </c>
      <c r="V168" s="104">
        <f t="shared" si="35"/>
        <v>1</v>
      </c>
      <c r="W168" s="103">
        <f t="shared" si="36"/>
        <v>600</v>
      </c>
      <c r="X168" s="93" t="s">
        <v>89</v>
      </c>
      <c r="Y168" s="105" t="s">
        <v>84</v>
      </c>
      <c r="Z168" s="105" t="s">
        <v>93</v>
      </c>
    </row>
    <row r="169" spans="1:26" s="105" customFormat="1" ht="15" customHeight="1">
      <c r="A169" s="99">
        <f t="shared" si="31"/>
        <v>167</v>
      </c>
      <c r="B169" s="75" t="s">
        <v>277</v>
      </c>
      <c r="C169" s="100" t="str">
        <f>IF($B169&lt;&gt;"",_xlfn.IFNA(VLOOKUP($B169,'Node Details'!$B:$U,C$1,0),"Check"),"")</f>
        <v>0000AXY11-AXY110102</v>
      </c>
      <c r="D169" s="100" t="str">
        <f>IF($B169&lt;&gt;"",_xlfn.IFNA(VLOOKUP($B169,'Node Details'!$B:$U,D$1,0),"Check"),"")</f>
        <v>AXY</v>
      </c>
      <c r="E169" s="100" t="str">
        <f>IF($B169&lt;&gt;"",_xlfn.IFNA(VLOOKUP($B169,'Node Details'!$B:$U,E$1,0),"Check"),"")</f>
        <v>Airtel</v>
      </c>
      <c r="F169" s="101">
        <v>46113</v>
      </c>
      <c r="G169" s="103"/>
      <c r="H169" s="102" t="s">
        <v>1254</v>
      </c>
      <c r="I169" s="9">
        <v>1</v>
      </c>
      <c r="J169" s="9">
        <v>600</v>
      </c>
      <c r="K169" s="100">
        <f t="shared" si="37"/>
        <v>600</v>
      </c>
      <c r="L169" s="78">
        <v>46112</v>
      </c>
      <c r="M169" s="103"/>
      <c r="N169" s="93" t="s">
        <v>143</v>
      </c>
      <c r="O169" s="94">
        <v>46141</v>
      </c>
      <c r="P169" s="104">
        <f t="shared" si="32"/>
        <v>600</v>
      </c>
      <c r="Q169" s="104">
        <f t="shared" si="33"/>
        <v>600</v>
      </c>
      <c r="R169" s="104"/>
      <c r="S169" s="93" t="s">
        <v>331</v>
      </c>
      <c r="T169" s="94">
        <v>46153</v>
      </c>
      <c r="U169" s="104">
        <f t="shared" si="34"/>
        <v>600</v>
      </c>
      <c r="V169" s="104">
        <f t="shared" si="35"/>
        <v>1</v>
      </c>
      <c r="W169" s="103">
        <f t="shared" si="36"/>
        <v>600</v>
      </c>
      <c r="X169" s="93" t="s">
        <v>89</v>
      </c>
      <c r="Y169" s="105" t="s">
        <v>84</v>
      </c>
      <c r="Z169" s="105" t="s">
        <v>93</v>
      </c>
    </row>
    <row r="170" spans="1:26" s="105" customFormat="1" ht="15" customHeight="1">
      <c r="A170" s="99">
        <f t="shared" si="31"/>
        <v>168</v>
      </c>
      <c r="B170" s="75" t="s">
        <v>1021</v>
      </c>
      <c r="C170" s="100" t="str">
        <f>IF($B170&lt;&gt;"",_xlfn.IFNA(VLOOKUP($B170,'Node Details'!$B:$U,C$1,0),"Check"),"")</f>
        <v>0000AXY11-AXY110107</v>
      </c>
      <c r="D170" s="100" t="str">
        <f>IF($B170&lt;&gt;"",_xlfn.IFNA(VLOOKUP($B170,'Node Details'!$B:$U,D$1,0),"Check"),"")</f>
        <v>AXY</v>
      </c>
      <c r="E170" s="100" t="str">
        <f>IF($B170&lt;&gt;"",_xlfn.IFNA(VLOOKUP($B170,'Node Details'!$B:$U,E$1,0),"Check"),"")</f>
        <v>Airtel</v>
      </c>
      <c r="F170" s="101">
        <v>46113</v>
      </c>
      <c r="G170" s="103"/>
      <c r="H170" s="102" t="s">
        <v>1254</v>
      </c>
      <c r="I170" s="9">
        <v>1</v>
      </c>
      <c r="J170" s="9">
        <v>600</v>
      </c>
      <c r="K170" s="100">
        <f t="shared" si="37"/>
        <v>600</v>
      </c>
      <c r="L170" s="78">
        <v>46112</v>
      </c>
      <c r="M170" s="103"/>
      <c r="N170" s="93" t="s">
        <v>143</v>
      </c>
      <c r="O170" s="94">
        <v>46141</v>
      </c>
      <c r="P170" s="104">
        <f t="shared" si="32"/>
        <v>600</v>
      </c>
      <c r="Q170" s="104">
        <f t="shared" si="33"/>
        <v>600</v>
      </c>
      <c r="R170" s="104"/>
      <c r="S170" s="93" t="s">
        <v>331</v>
      </c>
      <c r="T170" s="94">
        <v>46153</v>
      </c>
      <c r="U170" s="104">
        <f t="shared" si="34"/>
        <v>600</v>
      </c>
      <c r="V170" s="104">
        <f t="shared" si="35"/>
        <v>1</v>
      </c>
      <c r="W170" s="103">
        <f t="shared" si="36"/>
        <v>600</v>
      </c>
      <c r="X170" s="93" t="s">
        <v>89</v>
      </c>
      <c r="Y170" s="105" t="s">
        <v>84</v>
      </c>
      <c r="Z170" s="105" t="s">
        <v>93</v>
      </c>
    </row>
    <row r="171" spans="1:26" s="105" customFormat="1" ht="15" customHeight="1">
      <c r="A171" s="99">
        <f t="shared" si="31"/>
        <v>169</v>
      </c>
      <c r="B171" s="75" t="s">
        <v>280</v>
      </c>
      <c r="C171" s="100" t="str">
        <f>IF($B171&lt;&gt;"",_xlfn.IFNA(VLOOKUP($B171,'Node Details'!$B:$U,C$1,0),"Check"),"")</f>
        <v>0000AXY11-AXY110107</v>
      </c>
      <c r="D171" s="100" t="str">
        <f>IF($B171&lt;&gt;"",_xlfn.IFNA(VLOOKUP($B171,'Node Details'!$B:$U,D$1,0),"Check"),"")</f>
        <v>AXY</v>
      </c>
      <c r="E171" s="100" t="str">
        <f>IF($B171&lt;&gt;"",_xlfn.IFNA(VLOOKUP($B171,'Node Details'!$B:$U,E$1,0),"Check"),"")</f>
        <v>Airtel</v>
      </c>
      <c r="F171" s="101">
        <v>46113</v>
      </c>
      <c r="G171" s="103"/>
      <c r="H171" s="102" t="s">
        <v>1254</v>
      </c>
      <c r="I171" s="9">
        <v>1</v>
      </c>
      <c r="J171" s="9">
        <v>600</v>
      </c>
      <c r="K171" s="100">
        <f t="shared" si="37"/>
        <v>600</v>
      </c>
      <c r="L171" s="78">
        <v>46112</v>
      </c>
      <c r="M171" s="103"/>
      <c r="N171" s="93" t="s">
        <v>143</v>
      </c>
      <c r="O171" s="94">
        <v>46141</v>
      </c>
      <c r="P171" s="104">
        <f t="shared" si="32"/>
        <v>600</v>
      </c>
      <c r="Q171" s="104">
        <f t="shared" si="33"/>
        <v>600</v>
      </c>
      <c r="R171" s="104"/>
      <c r="S171" s="93" t="s">
        <v>331</v>
      </c>
      <c r="T171" s="94">
        <v>46153</v>
      </c>
      <c r="U171" s="104">
        <f t="shared" si="34"/>
        <v>600</v>
      </c>
      <c r="V171" s="104">
        <f t="shared" si="35"/>
        <v>1</v>
      </c>
      <c r="W171" s="103">
        <f t="shared" si="36"/>
        <v>600</v>
      </c>
      <c r="X171" s="93" t="s">
        <v>89</v>
      </c>
      <c r="Y171" s="105" t="s">
        <v>84</v>
      </c>
      <c r="Z171" s="105" t="s">
        <v>93</v>
      </c>
    </row>
    <row r="172" spans="1:26" s="105" customFormat="1" ht="15" customHeight="1">
      <c r="A172" s="99">
        <f t="shared" si="31"/>
        <v>170</v>
      </c>
      <c r="B172" s="75" t="s">
        <v>1022</v>
      </c>
      <c r="C172" s="100" t="str">
        <f>IF($B172&lt;&gt;"",_xlfn.IFNA(VLOOKUP($B172,'Node Details'!$B:$U,C$1,0),"Check"),"")</f>
        <v>AXY110103-AXY110106</v>
      </c>
      <c r="D172" s="100" t="str">
        <f>IF($B172&lt;&gt;"",_xlfn.IFNA(VLOOKUP($B172,'Node Details'!$B:$U,D$1,0),"Check"),"")</f>
        <v>AXY</v>
      </c>
      <c r="E172" s="100" t="str">
        <f>IF($B172&lt;&gt;"",_xlfn.IFNA(VLOOKUP($B172,'Node Details'!$B:$U,E$1,0),"Check"),"")</f>
        <v>Airtel</v>
      </c>
      <c r="F172" s="101">
        <v>46113</v>
      </c>
      <c r="G172" s="103"/>
      <c r="H172" s="102" t="s">
        <v>1254</v>
      </c>
      <c r="I172" s="9">
        <v>1</v>
      </c>
      <c r="J172" s="9">
        <v>600</v>
      </c>
      <c r="K172" s="100">
        <f t="shared" si="37"/>
        <v>600</v>
      </c>
      <c r="L172" s="78">
        <v>46112</v>
      </c>
      <c r="M172" s="103"/>
      <c r="N172" s="93" t="s">
        <v>143</v>
      </c>
      <c r="O172" s="94">
        <v>46141</v>
      </c>
      <c r="P172" s="104">
        <f t="shared" si="32"/>
        <v>600</v>
      </c>
      <c r="Q172" s="104">
        <f t="shared" si="33"/>
        <v>600</v>
      </c>
      <c r="R172" s="104"/>
      <c r="S172" s="93" t="s">
        <v>331</v>
      </c>
      <c r="T172" s="94">
        <v>46153</v>
      </c>
      <c r="U172" s="104">
        <f t="shared" si="34"/>
        <v>600</v>
      </c>
      <c r="V172" s="104">
        <f t="shared" si="35"/>
        <v>1</v>
      </c>
      <c r="W172" s="103">
        <f t="shared" si="36"/>
        <v>600</v>
      </c>
      <c r="X172" s="93" t="s">
        <v>89</v>
      </c>
      <c r="Y172" s="105" t="s">
        <v>84</v>
      </c>
      <c r="Z172" s="105" t="s">
        <v>93</v>
      </c>
    </row>
    <row r="173" spans="1:26" s="105" customFormat="1" ht="15" customHeight="1">
      <c r="A173" s="99">
        <f t="shared" si="31"/>
        <v>171</v>
      </c>
      <c r="B173" s="75" t="s">
        <v>284</v>
      </c>
      <c r="C173" s="100" t="str">
        <f>IF($B173&lt;&gt;"",_xlfn.IFNA(VLOOKUP($B173,'Node Details'!$B:$U,C$1,0),"Check"),"")</f>
        <v>AXY110103-AXY110106</v>
      </c>
      <c r="D173" s="100" t="str">
        <f>IF($B173&lt;&gt;"",_xlfn.IFNA(VLOOKUP($B173,'Node Details'!$B:$U,D$1,0),"Check"),"")</f>
        <v>AXY</v>
      </c>
      <c r="E173" s="100" t="str">
        <f>IF($B173&lt;&gt;"",_xlfn.IFNA(VLOOKUP($B173,'Node Details'!$B:$U,E$1,0),"Check"),"")</f>
        <v>Airtel</v>
      </c>
      <c r="F173" s="101">
        <v>46113</v>
      </c>
      <c r="G173" s="103"/>
      <c r="H173" s="102" t="s">
        <v>1254</v>
      </c>
      <c r="I173" s="9">
        <v>1</v>
      </c>
      <c r="J173" s="9">
        <v>600</v>
      </c>
      <c r="K173" s="100">
        <f t="shared" si="37"/>
        <v>600</v>
      </c>
      <c r="L173" s="78">
        <v>46112</v>
      </c>
      <c r="M173" s="103"/>
      <c r="N173" s="93" t="s">
        <v>143</v>
      </c>
      <c r="O173" s="94">
        <v>46141</v>
      </c>
      <c r="P173" s="104">
        <f t="shared" si="32"/>
        <v>600</v>
      </c>
      <c r="Q173" s="104">
        <f t="shared" si="33"/>
        <v>600</v>
      </c>
      <c r="R173" s="104"/>
      <c r="S173" s="93" t="s">
        <v>331</v>
      </c>
      <c r="T173" s="94">
        <v>46153</v>
      </c>
      <c r="U173" s="104">
        <f t="shared" si="34"/>
        <v>600</v>
      </c>
      <c r="V173" s="104">
        <f t="shared" si="35"/>
        <v>1</v>
      </c>
      <c r="W173" s="103">
        <f t="shared" si="36"/>
        <v>600</v>
      </c>
      <c r="X173" s="93" t="s">
        <v>89</v>
      </c>
      <c r="Y173" s="105" t="s">
        <v>84</v>
      </c>
      <c r="Z173" s="105" t="s">
        <v>93</v>
      </c>
    </row>
    <row r="174" spans="1:26" s="105" customFormat="1" ht="15" customHeight="1">
      <c r="A174" s="99">
        <f t="shared" si="31"/>
        <v>172</v>
      </c>
      <c r="B174" s="75" t="s">
        <v>1023</v>
      </c>
      <c r="C174" s="100" t="str">
        <f>IF($B174&lt;&gt;"",_xlfn.IFNA(VLOOKUP($B174,'Node Details'!$B:$U,C$1,0),"Check"),"")</f>
        <v>AXY110107-AXY110202</v>
      </c>
      <c r="D174" s="100" t="str">
        <f>IF($B174&lt;&gt;"",_xlfn.IFNA(VLOOKUP($B174,'Node Details'!$B:$U,D$1,0),"Check"),"")</f>
        <v>AXY</v>
      </c>
      <c r="E174" s="100" t="str">
        <f>IF($B174&lt;&gt;"",_xlfn.IFNA(VLOOKUP($B174,'Node Details'!$B:$U,E$1,0),"Check"),"")</f>
        <v>Airtel</v>
      </c>
      <c r="F174" s="101">
        <v>46113</v>
      </c>
      <c r="G174" s="103"/>
      <c r="H174" s="102" t="s">
        <v>1254</v>
      </c>
      <c r="I174" s="9">
        <v>1</v>
      </c>
      <c r="J174" s="9">
        <v>600</v>
      </c>
      <c r="K174" s="100">
        <f t="shared" si="37"/>
        <v>600</v>
      </c>
      <c r="L174" s="78">
        <v>46112</v>
      </c>
      <c r="M174" s="103"/>
      <c r="N174" s="93" t="s">
        <v>143</v>
      </c>
      <c r="O174" s="94">
        <v>46141</v>
      </c>
      <c r="P174" s="104">
        <f t="shared" si="32"/>
        <v>600</v>
      </c>
      <c r="Q174" s="104">
        <f t="shared" si="33"/>
        <v>600</v>
      </c>
      <c r="R174" s="104"/>
      <c r="S174" s="93" t="s">
        <v>331</v>
      </c>
      <c r="T174" s="94">
        <v>46153</v>
      </c>
      <c r="U174" s="104">
        <f t="shared" si="34"/>
        <v>600</v>
      </c>
      <c r="V174" s="104">
        <f t="shared" si="35"/>
        <v>1</v>
      </c>
      <c r="W174" s="103">
        <f t="shared" si="36"/>
        <v>600</v>
      </c>
      <c r="X174" s="93" t="s">
        <v>89</v>
      </c>
      <c r="Y174" s="105" t="s">
        <v>84</v>
      </c>
      <c r="Z174" s="105" t="s">
        <v>93</v>
      </c>
    </row>
    <row r="175" spans="1:26" s="105" customFormat="1" ht="15" customHeight="1">
      <c r="A175" s="99">
        <f t="shared" si="31"/>
        <v>173</v>
      </c>
      <c r="B175" s="75" t="s">
        <v>287</v>
      </c>
      <c r="C175" s="100" t="str">
        <f>IF($B175&lt;&gt;"",_xlfn.IFNA(VLOOKUP($B175,'Node Details'!$B:$U,C$1,0),"Check"),"")</f>
        <v>AXY110107-AXY110202</v>
      </c>
      <c r="D175" s="100" t="str">
        <f>IF($B175&lt;&gt;"",_xlfn.IFNA(VLOOKUP($B175,'Node Details'!$B:$U,D$1,0),"Check"),"")</f>
        <v>AXY</v>
      </c>
      <c r="E175" s="100" t="str">
        <f>IF($B175&lt;&gt;"",_xlfn.IFNA(VLOOKUP($B175,'Node Details'!$B:$U,E$1,0),"Check"),"")</f>
        <v>Airtel</v>
      </c>
      <c r="F175" s="101">
        <v>46113</v>
      </c>
      <c r="G175" s="103"/>
      <c r="H175" s="102" t="s">
        <v>1254</v>
      </c>
      <c r="I175" s="9">
        <v>1</v>
      </c>
      <c r="J175" s="9">
        <v>600</v>
      </c>
      <c r="K175" s="100">
        <f t="shared" si="37"/>
        <v>600</v>
      </c>
      <c r="L175" s="78">
        <v>46112</v>
      </c>
      <c r="M175" s="103"/>
      <c r="N175" s="93" t="s">
        <v>143</v>
      </c>
      <c r="O175" s="94">
        <v>46141</v>
      </c>
      <c r="P175" s="104">
        <f t="shared" si="32"/>
        <v>600</v>
      </c>
      <c r="Q175" s="104">
        <f t="shared" si="33"/>
        <v>600</v>
      </c>
      <c r="R175" s="104"/>
      <c r="S175" s="93" t="s">
        <v>331</v>
      </c>
      <c r="T175" s="94">
        <v>46153</v>
      </c>
      <c r="U175" s="104">
        <f t="shared" si="34"/>
        <v>600</v>
      </c>
      <c r="V175" s="104">
        <f t="shared" si="35"/>
        <v>1</v>
      </c>
      <c r="W175" s="103">
        <f t="shared" si="36"/>
        <v>600</v>
      </c>
      <c r="X175" s="93" t="s">
        <v>89</v>
      </c>
      <c r="Y175" s="105" t="s">
        <v>84</v>
      </c>
      <c r="Z175" s="105" t="s">
        <v>93</v>
      </c>
    </row>
    <row r="176" spans="1:26" s="105" customFormat="1" ht="15" customHeight="1">
      <c r="A176" s="99">
        <f t="shared" si="31"/>
        <v>174</v>
      </c>
      <c r="B176" s="75" t="s">
        <v>291</v>
      </c>
      <c r="C176" s="100" t="str">
        <f>IF($B176&lt;&gt;"",_xlfn.IFNA(VLOOKUP($B176,'Node Details'!$B:$U,C$1,0),"Check"),"")</f>
        <v>AXY110108-AXY110201</v>
      </c>
      <c r="D176" s="100" t="str">
        <f>IF($B176&lt;&gt;"",_xlfn.IFNA(VLOOKUP($B176,'Node Details'!$B:$U,D$1,0),"Check"),"")</f>
        <v>AXY</v>
      </c>
      <c r="E176" s="100" t="str">
        <f>IF($B176&lt;&gt;"",_xlfn.IFNA(VLOOKUP($B176,'Node Details'!$B:$U,E$1,0),"Check"),"")</f>
        <v>Airtel</v>
      </c>
      <c r="F176" s="101">
        <v>46113</v>
      </c>
      <c r="G176" s="103"/>
      <c r="H176" s="102" t="s">
        <v>1254</v>
      </c>
      <c r="I176" s="9">
        <v>1</v>
      </c>
      <c r="J176" s="9">
        <v>600</v>
      </c>
      <c r="K176" s="100">
        <f t="shared" si="37"/>
        <v>600</v>
      </c>
      <c r="L176" s="78">
        <v>46112</v>
      </c>
      <c r="M176" s="103"/>
      <c r="N176" s="93" t="s">
        <v>143</v>
      </c>
      <c r="O176" s="94">
        <v>46141</v>
      </c>
      <c r="P176" s="104">
        <f t="shared" si="32"/>
        <v>600</v>
      </c>
      <c r="Q176" s="104">
        <f t="shared" si="33"/>
        <v>600</v>
      </c>
      <c r="R176" s="104"/>
      <c r="S176" s="93" t="s">
        <v>331</v>
      </c>
      <c r="T176" s="94">
        <v>46153</v>
      </c>
      <c r="U176" s="104">
        <f t="shared" si="34"/>
        <v>600</v>
      </c>
      <c r="V176" s="104">
        <f t="shared" si="35"/>
        <v>1</v>
      </c>
      <c r="W176" s="103">
        <f t="shared" si="36"/>
        <v>600</v>
      </c>
      <c r="X176" s="93" t="s">
        <v>89</v>
      </c>
      <c r="Y176" s="105" t="s">
        <v>84</v>
      </c>
      <c r="Z176" s="105" t="s">
        <v>93</v>
      </c>
    </row>
    <row r="177" spans="1:26" s="105" customFormat="1" ht="15" customHeight="1">
      <c r="A177" s="99">
        <f t="shared" si="31"/>
        <v>175</v>
      </c>
      <c r="B177" s="75" t="s">
        <v>295</v>
      </c>
      <c r="C177" s="100" t="str">
        <f>IF($B177&lt;&gt;"",_xlfn.IFNA(VLOOKUP($B177,'Node Details'!$B:$U,C$1,0),"Check"),"")</f>
        <v>0000AXY12-AXY120101</v>
      </c>
      <c r="D177" s="100" t="str">
        <f>IF($B177&lt;&gt;"",_xlfn.IFNA(VLOOKUP($B177,'Node Details'!$B:$U,D$1,0),"Check"),"")</f>
        <v>AXY</v>
      </c>
      <c r="E177" s="100" t="str">
        <f>IF($B177&lt;&gt;"",_xlfn.IFNA(VLOOKUP($B177,'Node Details'!$B:$U,E$1,0),"Check"),"")</f>
        <v>Airtel</v>
      </c>
      <c r="F177" s="101">
        <v>46113</v>
      </c>
      <c r="G177" s="103"/>
      <c r="H177" s="102" t="s">
        <v>1254</v>
      </c>
      <c r="I177" s="9">
        <v>1</v>
      </c>
      <c r="J177" s="9">
        <v>600</v>
      </c>
      <c r="K177" s="100">
        <f t="shared" si="37"/>
        <v>600</v>
      </c>
      <c r="L177" s="78">
        <v>46112</v>
      </c>
      <c r="M177" s="103"/>
      <c r="N177" s="93" t="s">
        <v>143</v>
      </c>
      <c r="O177" s="94">
        <v>46141</v>
      </c>
      <c r="P177" s="104">
        <f t="shared" si="32"/>
        <v>600</v>
      </c>
      <c r="Q177" s="104">
        <f t="shared" si="33"/>
        <v>600</v>
      </c>
      <c r="R177" s="104"/>
      <c r="S177" s="93" t="s">
        <v>331</v>
      </c>
      <c r="T177" s="94">
        <v>46153</v>
      </c>
      <c r="U177" s="104">
        <f t="shared" si="34"/>
        <v>600</v>
      </c>
      <c r="V177" s="104">
        <f t="shared" si="35"/>
        <v>1</v>
      </c>
      <c r="W177" s="103">
        <f t="shared" si="36"/>
        <v>600</v>
      </c>
      <c r="X177" s="93" t="s">
        <v>89</v>
      </c>
      <c r="Y177" s="105" t="s">
        <v>84</v>
      </c>
      <c r="Z177" s="105" t="s">
        <v>93</v>
      </c>
    </row>
    <row r="178" spans="1:26" s="105" customFormat="1" ht="15" customHeight="1">
      <c r="A178" s="99">
        <f t="shared" si="31"/>
        <v>176</v>
      </c>
      <c r="B178" s="75" t="s">
        <v>299</v>
      </c>
      <c r="C178" s="100" t="str">
        <f>IF($B178&lt;&gt;"",_xlfn.IFNA(VLOOKUP($B178,'Node Details'!$B:$U,C$1,0),"Check"),"")</f>
        <v>0000AXY12-AXY120102</v>
      </c>
      <c r="D178" s="100" t="str">
        <f>IF($B178&lt;&gt;"",_xlfn.IFNA(VLOOKUP($B178,'Node Details'!$B:$U,D$1,0),"Check"),"")</f>
        <v>AXY</v>
      </c>
      <c r="E178" s="100" t="str">
        <f>IF($B178&lt;&gt;"",_xlfn.IFNA(VLOOKUP($B178,'Node Details'!$B:$U,E$1,0),"Check"),"")</f>
        <v>Airtel</v>
      </c>
      <c r="F178" s="101">
        <v>46113</v>
      </c>
      <c r="G178" s="103"/>
      <c r="H178" s="102" t="s">
        <v>1254</v>
      </c>
      <c r="I178" s="9">
        <v>1</v>
      </c>
      <c r="J178" s="9">
        <v>600</v>
      </c>
      <c r="K178" s="100">
        <f t="shared" si="37"/>
        <v>600</v>
      </c>
      <c r="L178" s="78">
        <v>46112</v>
      </c>
      <c r="M178" s="103"/>
      <c r="N178" s="93" t="s">
        <v>143</v>
      </c>
      <c r="O178" s="94">
        <v>46141</v>
      </c>
      <c r="P178" s="104">
        <f t="shared" si="32"/>
        <v>600</v>
      </c>
      <c r="Q178" s="104">
        <f t="shared" si="33"/>
        <v>600</v>
      </c>
      <c r="R178" s="104"/>
      <c r="S178" s="93" t="s">
        <v>331</v>
      </c>
      <c r="T178" s="94">
        <v>46153</v>
      </c>
      <c r="U178" s="104">
        <f t="shared" si="34"/>
        <v>600</v>
      </c>
      <c r="V178" s="104">
        <f t="shared" si="35"/>
        <v>1</v>
      </c>
      <c r="W178" s="103">
        <f t="shared" si="36"/>
        <v>600</v>
      </c>
      <c r="X178" s="93" t="s">
        <v>89</v>
      </c>
      <c r="Y178" s="105" t="s">
        <v>84</v>
      </c>
      <c r="Z178" s="105" t="s">
        <v>93</v>
      </c>
    </row>
    <row r="179" spans="1:26" s="105" customFormat="1" ht="15" customHeight="1">
      <c r="A179" s="99">
        <f t="shared" si="31"/>
        <v>177</v>
      </c>
      <c r="B179" s="75" t="s">
        <v>1024</v>
      </c>
      <c r="C179" s="100" t="str">
        <f>IF($B179&lt;&gt;"",_xlfn.IFNA(VLOOKUP($B179,'Node Details'!$B:$U,C$1,0),"Check"),"")</f>
        <v>0000AXY12-AXY120105</v>
      </c>
      <c r="D179" s="100" t="str">
        <f>IF($B179&lt;&gt;"",_xlfn.IFNA(VLOOKUP($B179,'Node Details'!$B:$U,D$1,0),"Check"),"")</f>
        <v>AXY</v>
      </c>
      <c r="E179" s="100" t="str">
        <f>IF($B179&lt;&gt;"",_xlfn.IFNA(VLOOKUP($B179,'Node Details'!$B:$U,E$1,0),"Check"),"")</f>
        <v>Airtel</v>
      </c>
      <c r="F179" s="101">
        <v>46113</v>
      </c>
      <c r="G179" s="103"/>
      <c r="H179" s="102" t="s">
        <v>1254</v>
      </c>
      <c r="I179" s="9">
        <v>1</v>
      </c>
      <c r="J179" s="9">
        <v>600</v>
      </c>
      <c r="K179" s="100">
        <f t="shared" si="37"/>
        <v>600</v>
      </c>
      <c r="L179" s="78">
        <v>46112</v>
      </c>
      <c r="M179" s="103"/>
      <c r="N179" s="93" t="s">
        <v>143</v>
      </c>
      <c r="O179" s="94">
        <v>46141</v>
      </c>
      <c r="P179" s="104">
        <f t="shared" si="32"/>
        <v>600</v>
      </c>
      <c r="Q179" s="104">
        <f t="shared" si="33"/>
        <v>600</v>
      </c>
      <c r="R179" s="104"/>
      <c r="S179" s="93" t="s">
        <v>331</v>
      </c>
      <c r="T179" s="94">
        <v>46153</v>
      </c>
      <c r="U179" s="104">
        <f t="shared" si="34"/>
        <v>600</v>
      </c>
      <c r="V179" s="104">
        <f t="shared" si="35"/>
        <v>1</v>
      </c>
      <c r="W179" s="103">
        <f t="shared" si="36"/>
        <v>600</v>
      </c>
      <c r="X179" s="93" t="s">
        <v>89</v>
      </c>
      <c r="Y179" s="105" t="s">
        <v>84</v>
      </c>
      <c r="Z179" s="105" t="s">
        <v>93</v>
      </c>
    </row>
    <row r="180" spans="1:26" s="105" customFormat="1" ht="15" customHeight="1">
      <c r="A180" s="99">
        <f t="shared" si="31"/>
        <v>178</v>
      </c>
      <c r="B180" s="75" t="s">
        <v>302</v>
      </c>
      <c r="C180" s="100" t="str">
        <f>IF($B180&lt;&gt;"",_xlfn.IFNA(VLOOKUP($B180,'Node Details'!$B:$U,C$1,0),"Check"),"")</f>
        <v>0000AXY12-AXY120105</v>
      </c>
      <c r="D180" s="100" t="str">
        <f>IF($B180&lt;&gt;"",_xlfn.IFNA(VLOOKUP($B180,'Node Details'!$B:$U,D$1,0),"Check"),"")</f>
        <v>AXY</v>
      </c>
      <c r="E180" s="100" t="str">
        <f>IF($B180&lt;&gt;"",_xlfn.IFNA(VLOOKUP($B180,'Node Details'!$B:$U,E$1,0),"Check"),"")</f>
        <v>Airtel</v>
      </c>
      <c r="F180" s="101">
        <v>46113</v>
      </c>
      <c r="G180" s="103"/>
      <c r="H180" s="102" t="s">
        <v>1254</v>
      </c>
      <c r="I180" s="9">
        <v>1</v>
      </c>
      <c r="J180" s="9">
        <v>600</v>
      </c>
      <c r="K180" s="100">
        <f t="shared" si="37"/>
        <v>600</v>
      </c>
      <c r="L180" s="78">
        <v>46112</v>
      </c>
      <c r="M180" s="103"/>
      <c r="N180" s="93" t="s">
        <v>143</v>
      </c>
      <c r="O180" s="94">
        <v>46141</v>
      </c>
      <c r="P180" s="104">
        <f t="shared" si="32"/>
        <v>600</v>
      </c>
      <c r="Q180" s="104">
        <f t="shared" si="33"/>
        <v>600</v>
      </c>
      <c r="R180" s="104"/>
      <c r="S180" s="93" t="s">
        <v>331</v>
      </c>
      <c r="T180" s="94">
        <v>46153</v>
      </c>
      <c r="U180" s="104">
        <f t="shared" si="34"/>
        <v>600</v>
      </c>
      <c r="V180" s="104">
        <f t="shared" si="35"/>
        <v>1</v>
      </c>
      <c r="W180" s="103">
        <f t="shared" si="36"/>
        <v>600</v>
      </c>
      <c r="X180" s="93" t="s">
        <v>89</v>
      </c>
      <c r="Y180" s="105" t="s">
        <v>84</v>
      </c>
      <c r="Z180" s="105" t="s">
        <v>93</v>
      </c>
    </row>
    <row r="181" spans="1:26" s="105" customFormat="1" ht="15" customHeight="1">
      <c r="A181" s="99">
        <f t="shared" si="31"/>
        <v>179</v>
      </c>
      <c r="B181" s="75" t="s">
        <v>306</v>
      </c>
      <c r="C181" s="100" t="str">
        <f>IF($B181&lt;&gt;"",_xlfn.IFNA(VLOOKUP($B181,'Node Details'!$B:$U,C$1,0),"Check"),"")</f>
        <v>0000AXY13-AXY130101</v>
      </c>
      <c r="D181" s="100" t="str">
        <f>IF($B181&lt;&gt;"",_xlfn.IFNA(VLOOKUP($B181,'Node Details'!$B:$U,D$1,0),"Check"),"")</f>
        <v>AXY</v>
      </c>
      <c r="E181" s="100" t="str">
        <f>IF($B181&lt;&gt;"",_xlfn.IFNA(VLOOKUP($B181,'Node Details'!$B:$U,E$1,0),"Check"),"")</f>
        <v>Airtel</v>
      </c>
      <c r="F181" s="101">
        <v>46113</v>
      </c>
      <c r="G181" s="103"/>
      <c r="H181" s="102" t="s">
        <v>1254</v>
      </c>
      <c r="I181" s="9">
        <v>1</v>
      </c>
      <c r="J181" s="9">
        <v>600</v>
      </c>
      <c r="K181" s="100">
        <f t="shared" si="37"/>
        <v>600</v>
      </c>
      <c r="L181" s="78">
        <v>46112</v>
      </c>
      <c r="M181" s="103"/>
      <c r="N181" s="93" t="s">
        <v>143</v>
      </c>
      <c r="O181" s="94">
        <v>46141</v>
      </c>
      <c r="P181" s="104">
        <f t="shared" si="32"/>
        <v>600</v>
      </c>
      <c r="Q181" s="104">
        <f t="shared" si="33"/>
        <v>600</v>
      </c>
      <c r="R181" s="104"/>
      <c r="S181" s="93" t="s">
        <v>331</v>
      </c>
      <c r="T181" s="94">
        <v>46153</v>
      </c>
      <c r="U181" s="104">
        <f t="shared" si="34"/>
        <v>600</v>
      </c>
      <c r="V181" s="104">
        <f t="shared" si="35"/>
        <v>1</v>
      </c>
      <c r="W181" s="103">
        <f t="shared" si="36"/>
        <v>600</v>
      </c>
      <c r="X181" s="93" t="s">
        <v>89</v>
      </c>
      <c r="Y181" s="105" t="s">
        <v>84</v>
      </c>
      <c r="Z181" s="105" t="s">
        <v>93</v>
      </c>
    </row>
    <row r="182" spans="1:26" s="105" customFormat="1" ht="15" customHeight="1">
      <c r="A182" s="99">
        <f t="shared" si="31"/>
        <v>180</v>
      </c>
      <c r="B182" s="75" t="s">
        <v>1026</v>
      </c>
      <c r="C182" s="100" t="str">
        <f>IF($B182&lt;&gt;"",_xlfn.IFNA(VLOOKUP($B182,'Node Details'!$B:$U,C$1,0),"Check"),"")</f>
        <v>0000AXY13-AXY130104</v>
      </c>
      <c r="D182" s="100" t="str">
        <f>IF($B182&lt;&gt;"",_xlfn.IFNA(VLOOKUP($B182,'Node Details'!$B:$U,D$1,0),"Check"),"")</f>
        <v>AXY</v>
      </c>
      <c r="E182" s="100" t="str">
        <f>IF($B182&lt;&gt;"",_xlfn.IFNA(VLOOKUP($B182,'Node Details'!$B:$U,E$1,0),"Check"),"")</f>
        <v>Airtel</v>
      </c>
      <c r="F182" s="101">
        <v>46113</v>
      </c>
      <c r="G182" s="103"/>
      <c r="H182" s="102" t="s">
        <v>1254</v>
      </c>
      <c r="I182" s="9">
        <v>1</v>
      </c>
      <c r="J182" s="9">
        <v>600</v>
      </c>
      <c r="K182" s="100">
        <f t="shared" si="37"/>
        <v>600</v>
      </c>
      <c r="L182" s="78">
        <v>46112</v>
      </c>
      <c r="M182" s="103"/>
      <c r="N182" s="93" t="s">
        <v>143</v>
      </c>
      <c r="O182" s="94">
        <v>46141</v>
      </c>
      <c r="P182" s="104">
        <f t="shared" si="32"/>
        <v>600</v>
      </c>
      <c r="Q182" s="104">
        <f t="shared" si="33"/>
        <v>600</v>
      </c>
      <c r="R182" s="104"/>
      <c r="S182" s="93" t="s">
        <v>331</v>
      </c>
      <c r="T182" s="94">
        <v>46153</v>
      </c>
      <c r="U182" s="104">
        <f t="shared" si="34"/>
        <v>600</v>
      </c>
      <c r="V182" s="104">
        <f t="shared" si="35"/>
        <v>1</v>
      </c>
      <c r="W182" s="103">
        <f t="shared" si="36"/>
        <v>600</v>
      </c>
      <c r="X182" s="93" t="s">
        <v>89</v>
      </c>
      <c r="Y182" s="105" t="s">
        <v>84</v>
      </c>
      <c r="Z182" s="105" t="s">
        <v>93</v>
      </c>
    </row>
    <row r="183" spans="1:26" s="105" customFormat="1" ht="15" customHeight="1">
      <c r="A183" s="99">
        <f t="shared" si="31"/>
        <v>181</v>
      </c>
      <c r="B183" s="75" t="s">
        <v>1027</v>
      </c>
      <c r="C183" s="100" t="str">
        <f>IF($B183&lt;&gt;"",_xlfn.IFNA(VLOOKUP($B183,'Node Details'!$B:$U,C$1,0),"Check"),"")</f>
        <v>0000AXY13-AXY130104</v>
      </c>
      <c r="D183" s="100" t="str">
        <f>IF($B183&lt;&gt;"",_xlfn.IFNA(VLOOKUP($B183,'Node Details'!$B:$U,D$1,0),"Check"),"")</f>
        <v>AXY</v>
      </c>
      <c r="E183" s="100" t="str">
        <f>IF($B183&lt;&gt;"",_xlfn.IFNA(VLOOKUP($B183,'Node Details'!$B:$U,E$1,0),"Check"),"")</f>
        <v>Airtel</v>
      </c>
      <c r="F183" s="101">
        <v>46113</v>
      </c>
      <c r="G183" s="103"/>
      <c r="H183" s="102" t="s">
        <v>1254</v>
      </c>
      <c r="I183" s="9">
        <v>1</v>
      </c>
      <c r="J183" s="9">
        <v>600</v>
      </c>
      <c r="K183" s="100">
        <f t="shared" si="37"/>
        <v>600</v>
      </c>
      <c r="L183" s="78">
        <v>46112</v>
      </c>
      <c r="M183" s="103"/>
      <c r="N183" s="93" t="s">
        <v>143</v>
      </c>
      <c r="O183" s="94">
        <v>46141</v>
      </c>
      <c r="P183" s="104">
        <f t="shared" si="32"/>
        <v>600</v>
      </c>
      <c r="Q183" s="104">
        <f t="shared" si="33"/>
        <v>600</v>
      </c>
      <c r="R183" s="104"/>
      <c r="S183" s="93" t="s">
        <v>331</v>
      </c>
      <c r="T183" s="94">
        <v>46153</v>
      </c>
      <c r="U183" s="104">
        <f t="shared" si="34"/>
        <v>600</v>
      </c>
      <c r="V183" s="104">
        <f t="shared" si="35"/>
        <v>1</v>
      </c>
      <c r="W183" s="103">
        <f t="shared" si="36"/>
        <v>600</v>
      </c>
      <c r="X183" s="93" t="s">
        <v>89</v>
      </c>
      <c r="Y183" s="105" t="s">
        <v>84</v>
      </c>
      <c r="Z183" s="105" t="s">
        <v>93</v>
      </c>
    </row>
    <row r="184" spans="1:26" s="105" customFormat="1" ht="15" customHeight="1">
      <c r="A184" s="99">
        <f t="shared" si="31"/>
        <v>182</v>
      </c>
      <c r="B184" s="75" t="s">
        <v>309</v>
      </c>
      <c r="C184" s="100" t="str">
        <f>IF($B184&lt;&gt;"",_xlfn.IFNA(VLOOKUP($B184,'Node Details'!$B:$U,C$1,0),"Check"),"")</f>
        <v>0000AXY13-AXY130104</v>
      </c>
      <c r="D184" s="100" t="str">
        <f>IF($B184&lt;&gt;"",_xlfn.IFNA(VLOOKUP($B184,'Node Details'!$B:$U,D$1,0),"Check"),"")</f>
        <v>AXY</v>
      </c>
      <c r="E184" s="100" t="str">
        <f>IF($B184&lt;&gt;"",_xlfn.IFNA(VLOOKUP($B184,'Node Details'!$B:$U,E$1,0),"Check"),"")</f>
        <v>Airtel</v>
      </c>
      <c r="F184" s="101">
        <v>46113</v>
      </c>
      <c r="G184" s="103"/>
      <c r="H184" s="102" t="s">
        <v>1254</v>
      </c>
      <c r="I184" s="9">
        <v>1</v>
      </c>
      <c r="J184" s="9">
        <v>600</v>
      </c>
      <c r="K184" s="100">
        <f t="shared" si="37"/>
        <v>600</v>
      </c>
      <c r="L184" s="78">
        <v>46112</v>
      </c>
      <c r="M184" s="103"/>
      <c r="N184" s="93" t="s">
        <v>143</v>
      </c>
      <c r="O184" s="94">
        <v>46141</v>
      </c>
      <c r="P184" s="104">
        <f t="shared" si="32"/>
        <v>600</v>
      </c>
      <c r="Q184" s="104">
        <f t="shared" si="33"/>
        <v>600</v>
      </c>
      <c r="R184" s="104"/>
      <c r="S184" s="93" t="s">
        <v>331</v>
      </c>
      <c r="T184" s="94">
        <v>46153</v>
      </c>
      <c r="U184" s="104">
        <f t="shared" si="34"/>
        <v>600</v>
      </c>
      <c r="V184" s="104">
        <f t="shared" si="35"/>
        <v>1</v>
      </c>
      <c r="W184" s="103">
        <f t="shared" si="36"/>
        <v>600</v>
      </c>
      <c r="X184" s="93" t="s">
        <v>89</v>
      </c>
      <c r="Y184" s="105" t="s">
        <v>84</v>
      </c>
      <c r="Z184" s="105" t="s">
        <v>93</v>
      </c>
    </row>
    <row r="185" spans="1:26" s="105" customFormat="1" ht="15" customHeight="1">
      <c r="A185" s="99">
        <f t="shared" si="31"/>
        <v>183</v>
      </c>
      <c r="B185" s="75" t="s">
        <v>1028</v>
      </c>
      <c r="C185" s="100" t="str">
        <f>IF($B185&lt;&gt;"",_xlfn.IFNA(VLOOKUP($B185,'Node Details'!$B:$U,C$1,0),"Check"),"")</f>
        <v>0000AXY13-AXY130108</v>
      </c>
      <c r="D185" s="100" t="str">
        <f>IF($B185&lt;&gt;"",_xlfn.IFNA(VLOOKUP($B185,'Node Details'!$B:$U,D$1,0),"Check"),"")</f>
        <v>AXY</v>
      </c>
      <c r="E185" s="100" t="str">
        <f>IF($B185&lt;&gt;"",_xlfn.IFNA(VLOOKUP($B185,'Node Details'!$B:$U,E$1,0),"Check"),"")</f>
        <v>Airtel</v>
      </c>
      <c r="F185" s="101">
        <v>46113</v>
      </c>
      <c r="G185" s="103"/>
      <c r="H185" s="102" t="s">
        <v>1254</v>
      </c>
      <c r="I185" s="9">
        <v>1</v>
      </c>
      <c r="J185" s="9">
        <v>600</v>
      </c>
      <c r="K185" s="100">
        <f t="shared" si="37"/>
        <v>600</v>
      </c>
      <c r="L185" s="78">
        <v>46112</v>
      </c>
      <c r="M185" s="103"/>
      <c r="N185" s="93" t="s">
        <v>143</v>
      </c>
      <c r="O185" s="94">
        <v>46141</v>
      </c>
      <c r="P185" s="104">
        <f t="shared" si="32"/>
        <v>600</v>
      </c>
      <c r="Q185" s="104">
        <f t="shared" si="33"/>
        <v>600</v>
      </c>
      <c r="R185" s="104"/>
      <c r="S185" s="93" t="s">
        <v>331</v>
      </c>
      <c r="T185" s="94">
        <v>46153</v>
      </c>
      <c r="U185" s="104">
        <f t="shared" si="34"/>
        <v>600</v>
      </c>
      <c r="V185" s="104">
        <f t="shared" si="35"/>
        <v>1</v>
      </c>
      <c r="W185" s="103">
        <f t="shared" si="36"/>
        <v>600</v>
      </c>
      <c r="X185" s="93" t="s">
        <v>89</v>
      </c>
      <c r="Y185" s="105" t="s">
        <v>84</v>
      </c>
      <c r="Z185" s="105" t="s">
        <v>93</v>
      </c>
    </row>
    <row r="186" spans="1:26" s="105" customFormat="1" ht="15" customHeight="1">
      <c r="A186" s="99">
        <f t="shared" si="31"/>
        <v>184</v>
      </c>
      <c r="B186" s="75" t="s">
        <v>1029</v>
      </c>
      <c r="C186" s="100" t="str">
        <f>IF($B186&lt;&gt;"",_xlfn.IFNA(VLOOKUP($B186,'Node Details'!$B:$U,C$1,0),"Check"),"")</f>
        <v>0000AXY13-AXY130108</v>
      </c>
      <c r="D186" s="100" t="str">
        <f>IF($B186&lt;&gt;"",_xlfn.IFNA(VLOOKUP($B186,'Node Details'!$B:$U,D$1,0),"Check"),"")</f>
        <v>AXY</v>
      </c>
      <c r="E186" s="100" t="str">
        <f>IF($B186&lt;&gt;"",_xlfn.IFNA(VLOOKUP($B186,'Node Details'!$B:$U,E$1,0),"Check"),"")</f>
        <v>Airtel</v>
      </c>
      <c r="F186" s="101">
        <v>46113</v>
      </c>
      <c r="G186" s="103"/>
      <c r="H186" s="102" t="s">
        <v>1254</v>
      </c>
      <c r="I186" s="9">
        <v>1</v>
      </c>
      <c r="J186" s="9">
        <v>600</v>
      </c>
      <c r="K186" s="100">
        <f t="shared" si="37"/>
        <v>600</v>
      </c>
      <c r="L186" s="78">
        <v>46112</v>
      </c>
      <c r="M186" s="103"/>
      <c r="N186" s="93" t="s">
        <v>143</v>
      </c>
      <c r="O186" s="94">
        <v>46141</v>
      </c>
      <c r="P186" s="104">
        <f t="shared" si="32"/>
        <v>600</v>
      </c>
      <c r="Q186" s="104">
        <f t="shared" si="33"/>
        <v>600</v>
      </c>
      <c r="R186" s="104"/>
      <c r="S186" s="93" t="s">
        <v>331</v>
      </c>
      <c r="T186" s="94">
        <v>46153</v>
      </c>
      <c r="U186" s="104">
        <f t="shared" si="34"/>
        <v>600</v>
      </c>
      <c r="V186" s="104">
        <f t="shared" si="35"/>
        <v>1</v>
      </c>
      <c r="W186" s="103">
        <f t="shared" si="36"/>
        <v>600</v>
      </c>
      <c r="X186" s="93" t="s">
        <v>89</v>
      </c>
      <c r="Y186" s="105" t="s">
        <v>84</v>
      </c>
      <c r="Z186" s="105" t="s">
        <v>93</v>
      </c>
    </row>
    <row r="187" spans="1:26" s="105" customFormat="1" ht="15" customHeight="1">
      <c r="A187" s="99">
        <f t="shared" si="31"/>
        <v>185</v>
      </c>
      <c r="B187" s="75" t="s">
        <v>1030</v>
      </c>
      <c r="C187" s="100" t="str">
        <f>IF($B187&lt;&gt;"",_xlfn.IFNA(VLOOKUP($B187,'Node Details'!$B:$U,C$1,0),"Check"),"")</f>
        <v>0000AXY13-AXY130108</v>
      </c>
      <c r="D187" s="100" t="str">
        <f>IF($B187&lt;&gt;"",_xlfn.IFNA(VLOOKUP($B187,'Node Details'!$B:$U,D$1,0),"Check"),"")</f>
        <v>AXY</v>
      </c>
      <c r="E187" s="100" t="str">
        <f>IF($B187&lt;&gt;"",_xlfn.IFNA(VLOOKUP($B187,'Node Details'!$B:$U,E$1,0),"Check"),"")</f>
        <v>Airtel</v>
      </c>
      <c r="F187" s="101">
        <v>46113</v>
      </c>
      <c r="G187" s="103"/>
      <c r="H187" s="102" t="s">
        <v>1254</v>
      </c>
      <c r="I187" s="9">
        <v>1</v>
      </c>
      <c r="J187" s="9">
        <v>600</v>
      </c>
      <c r="K187" s="100">
        <f t="shared" si="37"/>
        <v>600</v>
      </c>
      <c r="L187" s="78">
        <v>46112</v>
      </c>
      <c r="M187" s="103"/>
      <c r="N187" s="93" t="s">
        <v>143</v>
      </c>
      <c r="O187" s="94">
        <v>46141</v>
      </c>
      <c r="P187" s="104">
        <f t="shared" si="32"/>
        <v>600</v>
      </c>
      <c r="Q187" s="104">
        <f t="shared" si="33"/>
        <v>600</v>
      </c>
      <c r="R187" s="104"/>
      <c r="S187" s="93" t="s">
        <v>331</v>
      </c>
      <c r="T187" s="94">
        <v>46153</v>
      </c>
      <c r="U187" s="104">
        <f t="shared" si="34"/>
        <v>600</v>
      </c>
      <c r="V187" s="104">
        <f t="shared" si="35"/>
        <v>1</v>
      </c>
      <c r="W187" s="103">
        <f t="shared" si="36"/>
        <v>600</v>
      </c>
      <c r="X187" s="93" t="s">
        <v>89</v>
      </c>
      <c r="Y187" s="105" t="s">
        <v>84</v>
      </c>
      <c r="Z187" s="105" t="s">
        <v>93</v>
      </c>
    </row>
    <row r="188" spans="1:26" s="105" customFormat="1" ht="15" customHeight="1">
      <c r="A188" s="99">
        <f t="shared" si="31"/>
        <v>186</v>
      </c>
      <c r="B188" s="75" t="s">
        <v>312</v>
      </c>
      <c r="C188" s="100" t="str">
        <f>IF($B188&lt;&gt;"",_xlfn.IFNA(VLOOKUP($B188,'Node Details'!$B:$U,C$1,0),"Check"),"")</f>
        <v>0000AXY13-AXY130108</v>
      </c>
      <c r="D188" s="100" t="str">
        <f>IF($B188&lt;&gt;"",_xlfn.IFNA(VLOOKUP($B188,'Node Details'!$B:$U,D$1,0),"Check"),"")</f>
        <v>AXY</v>
      </c>
      <c r="E188" s="100" t="str">
        <f>IF($B188&lt;&gt;"",_xlfn.IFNA(VLOOKUP($B188,'Node Details'!$B:$U,E$1,0),"Check"),"")</f>
        <v>Airtel</v>
      </c>
      <c r="F188" s="101">
        <v>46113</v>
      </c>
      <c r="G188" s="103"/>
      <c r="H188" s="102" t="s">
        <v>1254</v>
      </c>
      <c r="I188" s="9">
        <v>1</v>
      </c>
      <c r="J188" s="9">
        <v>600</v>
      </c>
      <c r="K188" s="100">
        <f t="shared" si="37"/>
        <v>600</v>
      </c>
      <c r="L188" s="78">
        <v>46112</v>
      </c>
      <c r="M188" s="103"/>
      <c r="N188" s="93" t="s">
        <v>143</v>
      </c>
      <c r="O188" s="94">
        <v>46141</v>
      </c>
      <c r="P188" s="104">
        <f t="shared" si="32"/>
        <v>600</v>
      </c>
      <c r="Q188" s="104">
        <f t="shared" si="33"/>
        <v>600</v>
      </c>
      <c r="R188" s="104"/>
      <c r="S188" s="93" t="s">
        <v>331</v>
      </c>
      <c r="T188" s="94">
        <v>46153</v>
      </c>
      <c r="U188" s="104">
        <f t="shared" si="34"/>
        <v>600</v>
      </c>
      <c r="V188" s="104">
        <f t="shared" si="35"/>
        <v>1</v>
      </c>
      <c r="W188" s="103">
        <f t="shared" si="36"/>
        <v>600</v>
      </c>
      <c r="X188" s="93" t="s">
        <v>89</v>
      </c>
      <c r="Y188" s="105" t="s">
        <v>84</v>
      </c>
      <c r="Z188" s="105" t="s">
        <v>93</v>
      </c>
    </row>
    <row r="189" spans="1:26" s="105" customFormat="1" ht="15" customHeight="1">
      <c r="A189" s="99">
        <f t="shared" si="31"/>
        <v>187</v>
      </c>
      <c r="B189" s="75" t="s">
        <v>316</v>
      </c>
      <c r="C189" s="100" t="str">
        <f>IF($B189&lt;&gt;"",_xlfn.IFNA(VLOOKUP($B189,'Node Details'!$B:$U,C$1,0),"Check"),"")</f>
        <v>0000AXY14-AXY140102</v>
      </c>
      <c r="D189" s="100" t="str">
        <f>IF($B189&lt;&gt;"",_xlfn.IFNA(VLOOKUP($B189,'Node Details'!$B:$U,D$1,0),"Check"),"")</f>
        <v>AXY</v>
      </c>
      <c r="E189" s="100" t="str">
        <f>IF($B189&lt;&gt;"",_xlfn.IFNA(VLOOKUP($B189,'Node Details'!$B:$U,E$1,0),"Check"),"")</f>
        <v>Airtel</v>
      </c>
      <c r="F189" s="101">
        <v>46113</v>
      </c>
      <c r="G189" s="103"/>
      <c r="H189" s="102" t="s">
        <v>1254</v>
      </c>
      <c r="I189" s="9">
        <v>1</v>
      </c>
      <c r="J189" s="9">
        <v>600</v>
      </c>
      <c r="K189" s="100">
        <f t="shared" si="37"/>
        <v>600</v>
      </c>
      <c r="L189" s="78">
        <v>46112</v>
      </c>
      <c r="M189" s="103"/>
      <c r="N189" s="93" t="s">
        <v>143</v>
      </c>
      <c r="O189" s="94">
        <v>46141</v>
      </c>
      <c r="P189" s="104">
        <f t="shared" si="32"/>
        <v>600</v>
      </c>
      <c r="Q189" s="104">
        <f t="shared" si="33"/>
        <v>600</v>
      </c>
      <c r="R189" s="104"/>
      <c r="S189" s="93" t="s">
        <v>331</v>
      </c>
      <c r="T189" s="94">
        <v>46153</v>
      </c>
      <c r="U189" s="104">
        <f t="shared" si="34"/>
        <v>600</v>
      </c>
      <c r="V189" s="104">
        <f t="shared" si="35"/>
        <v>1</v>
      </c>
      <c r="W189" s="103">
        <f t="shared" si="36"/>
        <v>600</v>
      </c>
      <c r="X189" s="93" t="s">
        <v>89</v>
      </c>
      <c r="Y189" s="105" t="s">
        <v>84</v>
      </c>
      <c r="Z189" s="105" t="s">
        <v>93</v>
      </c>
    </row>
    <row r="190" spans="1:26" s="105" customFormat="1" ht="15" customHeight="1">
      <c r="A190" s="99">
        <f t="shared" si="31"/>
        <v>188</v>
      </c>
      <c r="B190" s="75" t="s">
        <v>319</v>
      </c>
      <c r="C190" s="100" t="str">
        <f>IF($B190&lt;&gt;"",_xlfn.IFNA(VLOOKUP($B190,'Node Details'!$B:$U,C$1,0),"Check"),"")</f>
        <v>0000AXY14-AXY140101</v>
      </c>
      <c r="D190" s="100" t="str">
        <f>IF($B190&lt;&gt;"",_xlfn.IFNA(VLOOKUP($B190,'Node Details'!$B:$U,D$1,0),"Check"),"")</f>
        <v>AXY</v>
      </c>
      <c r="E190" s="100" t="str">
        <f>IF($B190&lt;&gt;"",_xlfn.IFNA(VLOOKUP($B190,'Node Details'!$B:$U,E$1,0),"Check"),"")</f>
        <v>Airtel</v>
      </c>
      <c r="F190" s="101">
        <v>46113</v>
      </c>
      <c r="G190" s="103"/>
      <c r="H190" s="102" t="s">
        <v>1254</v>
      </c>
      <c r="I190" s="9">
        <v>1</v>
      </c>
      <c r="J190" s="9">
        <v>600</v>
      </c>
      <c r="K190" s="100">
        <f t="shared" si="37"/>
        <v>600</v>
      </c>
      <c r="L190" s="78">
        <v>46112</v>
      </c>
      <c r="M190" s="103"/>
      <c r="N190" s="93" t="s">
        <v>143</v>
      </c>
      <c r="O190" s="94">
        <v>46141</v>
      </c>
      <c r="P190" s="104">
        <f t="shared" si="32"/>
        <v>600</v>
      </c>
      <c r="Q190" s="104">
        <f t="shared" si="33"/>
        <v>600</v>
      </c>
      <c r="R190" s="104"/>
      <c r="S190" s="93" t="s">
        <v>331</v>
      </c>
      <c r="T190" s="94">
        <v>46153</v>
      </c>
      <c r="U190" s="104">
        <f t="shared" si="34"/>
        <v>600</v>
      </c>
      <c r="V190" s="104">
        <f t="shared" si="35"/>
        <v>1</v>
      </c>
      <c r="W190" s="103">
        <f t="shared" si="36"/>
        <v>600</v>
      </c>
      <c r="X190" s="93" t="s">
        <v>89</v>
      </c>
      <c r="Y190" s="105" t="s">
        <v>84</v>
      </c>
      <c r="Z190" s="105" t="s">
        <v>93</v>
      </c>
    </row>
    <row r="191" spans="1:26" s="105" customFormat="1" ht="15" customHeight="1">
      <c r="A191" s="99">
        <f t="shared" si="31"/>
        <v>189</v>
      </c>
      <c r="B191" s="75" t="s">
        <v>1032</v>
      </c>
      <c r="C191" s="100" t="str">
        <f>IF($B191&lt;&gt;"",_xlfn.IFNA(VLOOKUP($B191,'Node Details'!$B:$U,C$1,0),"Check"),"")</f>
        <v>0000AXY14-AXY140202</v>
      </c>
      <c r="D191" s="100" t="str">
        <f>IF($B191&lt;&gt;"",_xlfn.IFNA(VLOOKUP($B191,'Node Details'!$B:$U,D$1,0),"Check"),"")</f>
        <v>AXY</v>
      </c>
      <c r="E191" s="100" t="str">
        <f>IF($B191&lt;&gt;"",_xlfn.IFNA(VLOOKUP($B191,'Node Details'!$B:$U,E$1,0),"Check"),"")</f>
        <v>Airtel</v>
      </c>
      <c r="F191" s="101">
        <v>46113</v>
      </c>
      <c r="G191" s="103"/>
      <c r="H191" s="102" t="s">
        <v>1254</v>
      </c>
      <c r="I191" s="9">
        <v>1</v>
      </c>
      <c r="J191" s="9">
        <v>600</v>
      </c>
      <c r="K191" s="100">
        <f t="shared" si="37"/>
        <v>600</v>
      </c>
      <c r="L191" s="78">
        <v>46112</v>
      </c>
      <c r="M191" s="103"/>
      <c r="N191" s="93" t="s">
        <v>143</v>
      </c>
      <c r="O191" s="94">
        <v>46141</v>
      </c>
      <c r="P191" s="104">
        <f t="shared" si="32"/>
        <v>600</v>
      </c>
      <c r="Q191" s="104">
        <f t="shared" si="33"/>
        <v>600</v>
      </c>
      <c r="R191" s="104"/>
      <c r="S191" s="93" t="s">
        <v>331</v>
      </c>
      <c r="T191" s="94">
        <v>46153</v>
      </c>
      <c r="U191" s="104">
        <f t="shared" si="34"/>
        <v>600</v>
      </c>
      <c r="V191" s="104">
        <f t="shared" si="35"/>
        <v>1</v>
      </c>
      <c r="W191" s="103">
        <f t="shared" si="36"/>
        <v>600</v>
      </c>
      <c r="X191" s="93" t="s">
        <v>89</v>
      </c>
      <c r="Y191" s="105" t="s">
        <v>84</v>
      </c>
      <c r="Z191" s="105" t="s">
        <v>93</v>
      </c>
    </row>
    <row r="192" spans="1:26" s="105" customFormat="1" ht="15" customHeight="1">
      <c r="A192" s="99">
        <f t="shared" si="31"/>
        <v>190</v>
      </c>
      <c r="B192" s="75" t="s">
        <v>1033</v>
      </c>
      <c r="C192" s="100" t="str">
        <f>IF($B192&lt;&gt;"",_xlfn.IFNA(VLOOKUP($B192,'Node Details'!$B:$U,C$1,0),"Check"),"")</f>
        <v>0000AXY14-AXY140202</v>
      </c>
      <c r="D192" s="100" t="str">
        <f>IF($B192&lt;&gt;"",_xlfn.IFNA(VLOOKUP($B192,'Node Details'!$B:$U,D$1,0),"Check"),"")</f>
        <v>AXY</v>
      </c>
      <c r="E192" s="100" t="str">
        <f>IF($B192&lt;&gt;"",_xlfn.IFNA(VLOOKUP($B192,'Node Details'!$B:$U,E$1,0),"Check"),"")</f>
        <v>Airtel</v>
      </c>
      <c r="F192" s="101">
        <v>46113</v>
      </c>
      <c r="G192" s="103"/>
      <c r="H192" s="102" t="s">
        <v>1254</v>
      </c>
      <c r="I192" s="9">
        <v>1</v>
      </c>
      <c r="J192" s="9">
        <v>600</v>
      </c>
      <c r="K192" s="100">
        <f t="shared" si="37"/>
        <v>600</v>
      </c>
      <c r="L192" s="78">
        <v>46112</v>
      </c>
      <c r="M192" s="103"/>
      <c r="N192" s="93" t="s">
        <v>143</v>
      </c>
      <c r="O192" s="94">
        <v>46141</v>
      </c>
      <c r="P192" s="104">
        <f t="shared" si="32"/>
        <v>600</v>
      </c>
      <c r="Q192" s="104">
        <f t="shared" si="33"/>
        <v>600</v>
      </c>
      <c r="R192" s="104"/>
      <c r="S192" s="93" t="s">
        <v>331</v>
      </c>
      <c r="T192" s="94">
        <v>46153</v>
      </c>
      <c r="U192" s="104">
        <f t="shared" si="34"/>
        <v>600</v>
      </c>
      <c r="V192" s="104">
        <f t="shared" si="35"/>
        <v>1</v>
      </c>
      <c r="W192" s="103">
        <f t="shared" si="36"/>
        <v>600</v>
      </c>
      <c r="X192" s="93" t="s">
        <v>89</v>
      </c>
      <c r="Y192" s="105" t="s">
        <v>84</v>
      </c>
      <c r="Z192" s="105" t="s">
        <v>93</v>
      </c>
    </row>
    <row r="193" spans="1:26" s="105" customFormat="1" ht="15" customHeight="1">
      <c r="A193" s="99">
        <f t="shared" si="31"/>
        <v>191</v>
      </c>
      <c r="B193" s="75" t="s">
        <v>322</v>
      </c>
      <c r="C193" s="100" t="str">
        <f>IF($B193&lt;&gt;"",_xlfn.IFNA(VLOOKUP($B193,'Node Details'!$B:$U,C$1,0),"Check"),"")</f>
        <v>0000AXY14-AXY140202</v>
      </c>
      <c r="D193" s="100" t="str">
        <f>IF($B193&lt;&gt;"",_xlfn.IFNA(VLOOKUP($B193,'Node Details'!$B:$U,D$1,0),"Check"),"")</f>
        <v>AXY</v>
      </c>
      <c r="E193" s="100" t="str">
        <f>IF($B193&lt;&gt;"",_xlfn.IFNA(VLOOKUP($B193,'Node Details'!$B:$U,E$1,0),"Check"),"")</f>
        <v>Airtel</v>
      </c>
      <c r="F193" s="101">
        <v>46113</v>
      </c>
      <c r="G193" s="103"/>
      <c r="H193" s="102" t="s">
        <v>1254</v>
      </c>
      <c r="I193" s="9">
        <v>1</v>
      </c>
      <c r="J193" s="9">
        <v>600</v>
      </c>
      <c r="K193" s="100">
        <f t="shared" si="37"/>
        <v>600</v>
      </c>
      <c r="L193" s="78">
        <v>46112</v>
      </c>
      <c r="M193" s="103"/>
      <c r="N193" s="93" t="s">
        <v>143</v>
      </c>
      <c r="O193" s="94">
        <v>46141</v>
      </c>
      <c r="P193" s="104">
        <f t="shared" si="32"/>
        <v>600</v>
      </c>
      <c r="Q193" s="104">
        <f t="shared" si="33"/>
        <v>600</v>
      </c>
      <c r="R193" s="104"/>
      <c r="S193" s="93" t="s">
        <v>331</v>
      </c>
      <c r="T193" s="94">
        <v>46153</v>
      </c>
      <c r="U193" s="104">
        <f t="shared" si="34"/>
        <v>600</v>
      </c>
      <c r="V193" s="104">
        <f t="shared" si="35"/>
        <v>1</v>
      </c>
      <c r="W193" s="103">
        <f t="shared" si="36"/>
        <v>600</v>
      </c>
      <c r="X193" s="93" t="s">
        <v>89</v>
      </c>
      <c r="Y193" s="105" t="s">
        <v>84</v>
      </c>
      <c r="Z193" s="105" t="s">
        <v>93</v>
      </c>
    </row>
    <row r="194" spans="1:26" s="105" customFormat="1" ht="15" customHeight="1">
      <c r="A194" s="99">
        <f t="shared" si="31"/>
        <v>192</v>
      </c>
      <c r="B194" s="75" t="s">
        <v>326</v>
      </c>
      <c r="C194" s="100" t="str">
        <f>IF($B194&lt;&gt;"",_xlfn.IFNA(VLOOKUP($B194,'Node Details'!$B:$U,C$1,0),"Check"),"")</f>
        <v>AXY140202-AXY140203</v>
      </c>
      <c r="D194" s="100" t="str">
        <f>IF($B194&lt;&gt;"",_xlfn.IFNA(VLOOKUP($B194,'Node Details'!$B:$U,D$1,0),"Check"),"")</f>
        <v>AXY</v>
      </c>
      <c r="E194" s="100" t="str">
        <f>IF($B194&lt;&gt;"",_xlfn.IFNA(VLOOKUP($B194,'Node Details'!$B:$U,E$1,0),"Check"),"")</f>
        <v>Airtel</v>
      </c>
      <c r="F194" s="101">
        <v>46113</v>
      </c>
      <c r="G194" s="103"/>
      <c r="H194" s="102" t="s">
        <v>1254</v>
      </c>
      <c r="I194" s="9">
        <v>1</v>
      </c>
      <c r="J194" s="9">
        <v>600</v>
      </c>
      <c r="K194" s="100">
        <f t="shared" si="37"/>
        <v>600</v>
      </c>
      <c r="L194" s="78">
        <v>46112</v>
      </c>
      <c r="M194" s="103"/>
      <c r="N194" s="93" t="s">
        <v>143</v>
      </c>
      <c r="O194" s="94">
        <v>46141</v>
      </c>
      <c r="P194" s="104">
        <f t="shared" si="32"/>
        <v>600</v>
      </c>
      <c r="Q194" s="104">
        <f t="shared" si="33"/>
        <v>600</v>
      </c>
      <c r="R194" s="104"/>
      <c r="S194" s="93" t="s">
        <v>331</v>
      </c>
      <c r="T194" s="94">
        <v>46153</v>
      </c>
      <c r="U194" s="104">
        <f t="shared" si="34"/>
        <v>600</v>
      </c>
      <c r="V194" s="104">
        <f t="shared" si="35"/>
        <v>1</v>
      </c>
      <c r="W194" s="103">
        <f t="shared" si="36"/>
        <v>600</v>
      </c>
      <c r="X194" s="93" t="s">
        <v>89</v>
      </c>
      <c r="Y194" s="105" t="s">
        <v>84</v>
      </c>
      <c r="Z194" s="105" t="s">
        <v>93</v>
      </c>
    </row>
    <row r="195" spans="1:26" s="105" customFormat="1" ht="15" customHeight="1">
      <c r="A195" s="99">
        <f t="shared" si="31"/>
        <v>193</v>
      </c>
      <c r="B195" s="75" t="s">
        <v>1034</v>
      </c>
      <c r="C195" s="100" t="str">
        <f>IF($B195&lt;&gt;"",_xlfn.IFNA(VLOOKUP($B195,'Node Details'!$B:$U,C$1,0),"Check"),"")</f>
        <v>AXY140108-AXY140104</v>
      </c>
      <c r="D195" s="100" t="str">
        <f>IF($B195&lt;&gt;"",_xlfn.IFNA(VLOOKUP($B195,'Node Details'!$B:$U,D$1,0),"Check"),"")</f>
        <v>AXY</v>
      </c>
      <c r="E195" s="100" t="str">
        <f>IF($B195&lt;&gt;"",_xlfn.IFNA(VLOOKUP($B195,'Node Details'!$B:$U,E$1,0),"Check"),"")</f>
        <v>Airtel</v>
      </c>
      <c r="F195" s="101">
        <v>46113</v>
      </c>
      <c r="G195" s="103"/>
      <c r="H195" s="102" t="s">
        <v>1254</v>
      </c>
      <c r="I195" s="9">
        <v>1</v>
      </c>
      <c r="J195" s="9">
        <v>600</v>
      </c>
      <c r="K195" s="100">
        <f t="shared" si="37"/>
        <v>600</v>
      </c>
      <c r="L195" s="78">
        <v>46112</v>
      </c>
      <c r="M195" s="103"/>
      <c r="N195" s="93" t="s">
        <v>143</v>
      </c>
      <c r="O195" s="94">
        <v>46141</v>
      </c>
      <c r="P195" s="104">
        <f t="shared" si="32"/>
        <v>600</v>
      </c>
      <c r="Q195" s="104">
        <f t="shared" si="33"/>
        <v>600</v>
      </c>
      <c r="R195" s="104"/>
      <c r="S195" s="93" t="s">
        <v>331</v>
      </c>
      <c r="T195" s="94">
        <v>46153</v>
      </c>
      <c r="U195" s="104">
        <f t="shared" si="34"/>
        <v>600</v>
      </c>
      <c r="V195" s="104">
        <f t="shared" si="35"/>
        <v>1</v>
      </c>
      <c r="W195" s="103">
        <f t="shared" si="36"/>
        <v>600</v>
      </c>
      <c r="X195" s="93" t="s">
        <v>89</v>
      </c>
      <c r="Y195" s="105" t="s">
        <v>84</v>
      </c>
      <c r="Z195" s="105" t="s">
        <v>93</v>
      </c>
    </row>
    <row r="196" spans="1:26" s="105" customFormat="1" ht="15" customHeight="1">
      <c r="A196" s="99">
        <f t="shared" ref="A196:A259" si="38">A195+1</f>
        <v>194</v>
      </c>
      <c r="B196" s="75" t="s">
        <v>1035</v>
      </c>
      <c r="C196" s="100" t="str">
        <f>IF($B196&lt;&gt;"",_xlfn.IFNA(VLOOKUP($B196,'Node Details'!$B:$U,C$1,0),"Check"),"")</f>
        <v>AXY140108-AXY140104</v>
      </c>
      <c r="D196" s="100" t="str">
        <f>IF($B196&lt;&gt;"",_xlfn.IFNA(VLOOKUP($B196,'Node Details'!$B:$U,D$1,0),"Check"),"")</f>
        <v>AXY</v>
      </c>
      <c r="E196" s="100" t="str">
        <f>IF($B196&lt;&gt;"",_xlfn.IFNA(VLOOKUP($B196,'Node Details'!$B:$U,E$1,0),"Check"),"")</f>
        <v>Airtel</v>
      </c>
      <c r="F196" s="101">
        <v>46113</v>
      </c>
      <c r="G196" s="103"/>
      <c r="H196" s="102" t="s">
        <v>1254</v>
      </c>
      <c r="I196" s="9">
        <v>1</v>
      </c>
      <c r="J196" s="9">
        <v>600</v>
      </c>
      <c r="K196" s="100">
        <f t="shared" si="37"/>
        <v>600</v>
      </c>
      <c r="L196" s="78">
        <v>46112</v>
      </c>
      <c r="M196" s="103"/>
      <c r="N196" s="93" t="s">
        <v>143</v>
      </c>
      <c r="O196" s="94">
        <v>46141</v>
      </c>
      <c r="P196" s="104">
        <f t="shared" si="32"/>
        <v>600</v>
      </c>
      <c r="Q196" s="104">
        <f t="shared" si="33"/>
        <v>600</v>
      </c>
      <c r="R196" s="104"/>
      <c r="S196" s="93" t="s">
        <v>331</v>
      </c>
      <c r="T196" s="94">
        <v>46153</v>
      </c>
      <c r="U196" s="104">
        <f t="shared" si="34"/>
        <v>600</v>
      </c>
      <c r="V196" s="104">
        <f t="shared" si="35"/>
        <v>1</v>
      </c>
      <c r="W196" s="103">
        <f t="shared" si="36"/>
        <v>600</v>
      </c>
      <c r="X196" s="93" t="s">
        <v>89</v>
      </c>
      <c r="Y196" s="105" t="s">
        <v>84</v>
      </c>
      <c r="Z196" s="105" t="s">
        <v>93</v>
      </c>
    </row>
    <row r="197" spans="1:26" s="105" customFormat="1" ht="15" customHeight="1">
      <c r="A197" s="99">
        <f t="shared" si="38"/>
        <v>195</v>
      </c>
      <c r="B197" s="75" t="s">
        <v>1036</v>
      </c>
      <c r="C197" s="100" t="str">
        <f>IF($B197&lt;&gt;"",_xlfn.IFNA(VLOOKUP($B197,'Node Details'!$B:$U,C$1,0),"Check"),"")</f>
        <v>AXY140108-AXY140104</v>
      </c>
      <c r="D197" s="100" t="str">
        <f>IF($B197&lt;&gt;"",_xlfn.IFNA(VLOOKUP($B197,'Node Details'!$B:$U,D$1,0),"Check"),"")</f>
        <v>AXY</v>
      </c>
      <c r="E197" s="100" t="str">
        <f>IF($B197&lt;&gt;"",_xlfn.IFNA(VLOOKUP($B197,'Node Details'!$B:$U,E$1,0),"Check"),"")</f>
        <v>Airtel</v>
      </c>
      <c r="F197" s="101">
        <v>46113</v>
      </c>
      <c r="G197" s="103"/>
      <c r="H197" s="102" t="s">
        <v>1254</v>
      </c>
      <c r="I197" s="9">
        <v>1</v>
      </c>
      <c r="J197" s="9">
        <v>600</v>
      </c>
      <c r="K197" s="100">
        <f t="shared" si="37"/>
        <v>600</v>
      </c>
      <c r="L197" s="78">
        <v>46112</v>
      </c>
      <c r="M197" s="103"/>
      <c r="N197" s="93" t="s">
        <v>143</v>
      </c>
      <c r="O197" s="94">
        <v>46141</v>
      </c>
      <c r="P197" s="104">
        <f t="shared" si="32"/>
        <v>600</v>
      </c>
      <c r="Q197" s="104">
        <f t="shared" si="33"/>
        <v>600</v>
      </c>
      <c r="R197" s="104"/>
      <c r="S197" s="93" t="s">
        <v>331</v>
      </c>
      <c r="T197" s="94">
        <v>46153</v>
      </c>
      <c r="U197" s="104">
        <f t="shared" si="34"/>
        <v>600</v>
      </c>
      <c r="V197" s="104">
        <f t="shared" si="35"/>
        <v>1</v>
      </c>
      <c r="W197" s="103">
        <f t="shared" si="36"/>
        <v>600</v>
      </c>
      <c r="X197" s="93" t="s">
        <v>89</v>
      </c>
      <c r="Y197" s="105" t="s">
        <v>84</v>
      </c>
      <c r="Z197" s="105" t="s">
        <v>93</v>
      </c>
    </row>
    <row r="198" spans="1:26" s="105" customFormat="1" ht="15" customHeight="1">
      <c r="A198" s="99">
        <f t="shared" si="38"/>
        <v>196</v>
      </c>
      <c r="B198" s="75" t="s">
        <v>330</v>
      </c>
      <c r="C198" s="100" t="str">
        <f>IF($B198&lt;&gt;"",_xlfn.IFNA(VLOOKUP($B198,'Node Details'!$B:$U,C$1,0),"Check"),"")</f>
        <v>AXY140108-AXY140104</v>
      </c>
      <c r="D198" s="100" t="str">
        <f>IF($B198&lt;&gt;"",_xlfn.IFNA(VLOOKUP($B198,'Node Details'!$B:$U,D$1,0),"Check"),"")</f>
        <v>AXY</v>
      </c>
      <c r="E198" s="100" t="str">
        <f>IF($B198&lt;&gt;"",_xlfn.IFNA(VLOOKUP($B198,'Node Details'!$B:$U,E$1,0),"Check"),"")</f>
        <v>Airtel</v>
      </c>
      <c r="F198" s="101">
        <v>46113</v>
      </c>
      <c r="G198" s="103"/>
      <c r="H198" s="102" t="s">
        <v>1254</v>
      </c>
      <c r="I198" s="9">
        <v>1</v>
      </c>
      <c r="J198" s="9">
        <v>600</v>
      </c>
      <c r="K198" s="100">
        <f t="shared" si="37"/>
        <v>600</v>
      </c>
      <c r="L198" s="78">
        <v>46112</v>
      </c>
      <c r="M198" s="103"/>
      <c r="N198" s="93" t="s">
        <v>143</v>
      </c>
      <c r="O198" s="94">
        <v>46141</v>
      </c>
      <c r="P198" s="104">
        <f t="shared" si="32"/>
        <v>600</v>
      </c>
      <c r="Q198" s="104">
        <f t="shared" si="33"/>
        <v>600</v>
      </c>
      <c r="R198" s="104"/>
      <c r="S198" s="93" t="s">
        <v>331</v>
      </c>
      <c r="T198" s="94">
        <v>46153</v>
      </c>
      <c r="U198" s="104">
        <f t="shared" si="34"/>
        <v>600</v>
      </c>
      <c r="V198" s="104">
        <f t="shared" si="35"/>
        <v>1</v>
      </c>
      <c r="W198" s="103">
        <f t="shared" si="36"/>
        <v>600</v>
      </c>
      <c r="X198" s="93" t="s">
        <v>89</v>
      </c>
      <c r="Y198" s="105" t="s">
        <v>84</v>
      </c>
      <c r="Z198" s="105" t="s">
        <v>93</v>
      </c>
    </row>
    <row r="199" spans="1:26" s="105" customFormat="1" ht="15" customHeight="1">
      <c r="A199" s="99">
        <f t="shared" si="38"/>
        <v>197</v>
      </c>
      <c r="B199" s="75" t="s">
        <v>1038</v>
      </c>
      <c r="C199" s="100" t="str">
        <f>IF($B199&lt;&gt;"",_xlfn.IFNA(VLOOKUP($B199,'Node Details'!$B:$U,C$1,0),"Check"),"")</f>
        <v>0000AXY15-AXY150103</v>
      </c>
      <c r="D199" s="100" t="str">
        <f>IF($B199&lt;&gt;"",_xlfn.IFNA(VLOOKUP($B199,'Node Details'!$B:$U,D$1,0),"Check"),"")</f>
        <v>AXY</v>
      </c>
      <c r="E199" s="100" t="str">
        <f>IF($B199&lt;&gt;"",_xlfn.IFNA(VLOOKUP($B199,'Node Details'!$B:$U,E$1,0),"Check"),"")</f>
        <v>Airtel</v>
      </c>
      <c r="F199" s="101">
        <v>46113</v>
      </c>
      <c r="G199" s="103"/>
      <c r="H199" s="102" t="s">
        <v>1254</v>
      </c>
      <c r="I199" s="9">
        <v>1</v>
      </c>
      <c r="J199" s="9">
        <v>600</v>
      </c>
      <c r="K199" s="100">
        <f t="shared" si="37"/>
        <v>600</v>
      </c>
      <c r="L199" s="78">
        <v>46112</v>
      </c>
      <c r="M199" s="103"/>
      <c r="N199" s="93" t="s">
        <v>143</v>
      </c>
      <c r="O199" s="94">
        <v>46141</v>
      </c>
      <c r="P199" s="104">
        <f t="shared" si="32"/>
        <v>600</v>
      </c>
      <c r="Q199" s="104">
        <f t="shared" si="33"/>
        <v>600</v>
      </c>
      <c r="R199" s="104"/>
      <c r="S199" s="93" t="s">
        <v>331</v>
      </c>
      <c r="T199" s="94">
        <v>46153</v>
      </c>
      <c r="U199" s="104">
        <f t="shared" si="34"/>
        <v>600</v>
      </c>
      <c r="V199" s="104">
        <f t="shared" si="35"/>
        <v>1</v>
      </c>
      <c r="W199" s="103">
        <f t="shared" si="36"/>
        <v>600</v>
      </c>
      <c r="X199" s="93" t="s">
        <v>89</v>
      </c>
      <c r="Y199" s="105" t="s">
        <v>84</v>
      </c>
      <c r="Z199" s="105" t="s">
        <v>93</v>
      </c>
    </row>
    <row r="200" spans="1:26" s="105" customFormat="1" ht="15" customHeight="1">
      <c r="A200" s="99">
        <f t="shared" si="38"/>
        <v>198</v>
      </c>
      <c r="B200" s="75" t="s">
        <v>1039</v>
      </c>
      <c r="C200" s="100" t="str">
        <f>IF($B200&lt;&gt;"",_xlfn.IFNA(VLOOKUP($B200,'Node Details'!$B:$U,C$1,0),"Check"),"")</f>
        <v>0000AXY15-AXY150103</v>
      </c>
      <c r="D200" s="100" t="str">
        <f>IF($B200&lt;&gt;"",_xlfn.IFNA(VLOOKUP($B200,'Node Details'!$B:$U,D$1,0),"Check"),"")</f>
        <v>AXY</v>
      </c>
      <c r="E200" s="100" t="str">
        <f>IF($B200&lt;&gt;"",_xlfn.IFNA(VLOOKUP($B200,'Node Details'!$B:$U,E$1,0),"Check"),"")</f>
        <v>Airtel</v>
      </c>
      <c r="F200" s="101">
        <v>46113</v>
      </c>
      <c r="G200" s="103"/>
      <c r="H200" s="102" t="s">
        <v>1254</v>
      </c>
      <c r="I200" s="9">
        <v>1</v>
      </c>
      <c r="J200" s="9">
        <v>600</v>
      </c>
      <c r="K200" s="100">
        <f t="shared" si="37"/>
        <v>600</v>
      </c>
      <c r="L200" s="78">
        <v>46112</v>
      </c>
      <c r="M200" s="103"/>
      <c r="N200" s="93" t="s">
        <v>143</v>
      </c>
      <c r="O200" s="94">
        <v>46141</v>
      </c>
      <c r="P200" s="104">
        <f t="shared" si="32"/>
        <v>600</v>
      </c>
      <c r="Q200" s="104">
        <f t="shared" si="33"/>
        <v>600</v>
      </c>
      <c r="R200" s="104"/>
      <c r="S200" s="93" t="s">
        <v>331</v>
      </c>
      <c r="T200" s="94">
        <v>46153</v>
      </c>
      <c r="U200" s="104">
        <f t="shared" si="34"/>
        <v>600</v>
      </c>
      <c r="V200" s="104">
        <f t="shared" si="35"/>
        <v>1</v>
      </c>
      <c r="W200" s="103">
        <f t="shared" si="36"/>
        <v>600</v>
      </c>
      <c r="X200" s="93" t="s">
        <v>89</v>
      </c>
      <c r="Y200" s="105" t="s">
        <v>84</v>
      </c>
      <c r="Z200" s="105" t="s">
        <v>93</v>
      </c>
    </row>
    <row r="201" spans="1:26" s="105" customFormat="1" ht="15" customHeight="1">
      <c r="A201" s="99">
        <f t="shared" si="38"/>
        <v>199</v>
      </c>
      <c r="B201" s="75" t="s">
        <v>335</v>
      </c>
      <c r="C201" s="100" t="str">
        <f>IF($B201&lt;&gt;"",_xlfn.IFNA(VLOOKUP($B201,'Node Details'!$B:$U,C$1,0),"Check"),"")</f>
        <v>0000AXY15-AXY150103</v>
      </c>
      <c r="D201" s="100" t="str">
        <f>IF($B201&lt;&gt;"",_xlfn.IFNA(VLOOKUP($B201,'Node Details'!$B:$U,D$1,0),"Check"),"")</f>
        <v>AXY</v>
      </c>
      <c r="E201" s="100" t="str">
        <f>IF($B201&lt;&gt;"",_xlfn.IFNA(VLOOKUP($B201,'Node Details'!$B:$U,E$1,0),"Check"),"")</f>
        <v>Airtel</v>
      </c>
      <c r="F201" s="101">
        <v>46113</v>
      </c>
      <c r="G201" s="103"/>
      <c r="H201" s="102" t="s">
        <v>1254</v>
      </c>
      <c r="I201" s="9">
        <v>1</v>
      </c>
      <c r="J201" s="9">
        <v>600</v>
      </c>
      <c r="K201" s="100">
        <f t="shared" si="37"/>
        <v>600</v>
      </c>
      <c r="L201" s="78">
        <v>46112</v>
      </c>
      <c r="M201" s="103"/>
      <c r="N201" s="93" t="s">
        <v>143</v>
      </c>
      <c r="O201" s="94">
        <v>46141</v>
      </c>
      <c r="P201" s="104">
        <f t="shared" si="32"/>
        <v>600</v>
      </c>
      <c r="Q201" s="104">
        <f t="shared" si="33"/>
        <v>600</v>
      </c>
      <c r="R201" s="104"/>
      <c r="S201" s="93" t="s">
        <v>331</v>
      </c>
      <c r="T201" s="94">
        <v>46153</v>
      </c>
      <c r="U201" s="104">
        <f t="shared" si="34"/>
        <v>600</v>
      </c>
      <c r="V201" s="104">
        <f t="shared" si="35"/>
        <v>1</v>
      </c>
      <c r="W201" s="103">
        <f t="shared" si="36"/>
        <v>600</v>
      </c>
      <c r="X201" s="93" t="s">
        <v>89</v>
      </c>
      <c r="Y201" s="105" t="s">
        <v>84</v>
      </c>
      <c r="Z201" s="105" t="s">
        <v>93</v>
      </c>
    </row>
    <row r="202" spans="1:26" s="105" customFormat="1" ht="15" customHeight="1">
      <c r="A202" s="99">
        <f t="shared" si="38"/>
        <v>200</v>
      </c>
      <c r="B202" s="75" t="s">
        <v>339</v>
      </c>
      <c r="C202" s="100" t="str">
        <f>IF($B202&lt;&gt;"",_xlfn.IFNA(VLOOKUP($B202,'Node Details'!$B:$U,C$1,0),"Check"),"")</f>
        <v>0000AXY15-AXY150104</v>
      </c>
      <c r="D202" s="100" t="str">
        <f>IF($B202&lt;&gt;"",_xlfn.IFNA(VLOOKUP($B202,'Node Details'!$B:$U,D$1,0),"Check"),"")</f>
        <v>AXY</v>
      </c>
      <c r="E202" s="100" t="str">
        <f>IF($B202&lt;&gt;"",_xlfn.IFNA(VLOOKUP($B202,'Node Details'!$B:$U,E$1,0),"Check"),"")</f>
        <v>Airtel</v>
      </c>
      <c r="F202" s="101">
        <v>46113</v>
      </c>
      <c r="G202" s="103"/>
      <c r="H202" s="102" t="s">
        <v>1254</v>
      </c>
      <c r="I202" s="9">
        <v>1</v>
      </c>
      <c r="J202" s="9">
        <v>600</v>
      </c>
      <c r="K202" s="100">
        <f t="shared" si="37"/>
        <v>600</v>
      </c>
      <c r="L202" s="78">
        <v>46112</v>
      </c>
      <c r="M202" s="103"/>
      <c r="N202" s="93" t="s">
        <v>143</v>
      </c>
      <c r="O202" s="94">
        <v>46141</v>
      </c>
      <c r="P202" s="104">
        <f t="shared" si="32"/>
        <v>600</v>
      </c>
      <c r="Q202" s="104">
        <f t="shared" si="33"/>
        <v>600</v>
      </c>
      <c r="R202" s="104"/>
      <c r="S202" s="93" t="s">
        <v>331</v>
      </c>
      <c r="T202" s="94">
        <v>46153</v>
      </c>
      <c r="U202" s="104">
        <f t="shared" si="34"/>
        <v>600</v>
      </c>
      <c r="V202" s="104">
        <f t="shared" si="35"/>
        <v>1</v>
      </c>
      <c r="W202" s="103">
        <f t="shared" si="36"/>
        <v>600</v>
      </c>
      <c r="X202" s="93" t="s">
        <v>89</v>
      </c>
      <c r="Y202" s="105" t="s">
        <v>84</v>
      </c>
      <c r="Z202" s="105" t="s">
        <v>93</v>
      </c>
    </row>
    <row r="203" spans="1:26" s="105" customFormat="1" ht="15" customHeight="1">
      <c r="A203" s="99">
        <f t="shared" si="38"/>
        <v>201</v>
      </c>
      <c r="B203" s="75" t="s">
        <v>1040</v>
      </c>
      <c r="C203" s="100" t="str">
        <f>IF($B203&lt;&gt;"",_xlfn.IFNA(VLOOKUP($B203,'Node Details'!$B:$U,C$1,0),"Check"),"")</f>
        <v>0000AXY15-AXY150108</v>
      </c>
      <c r="D203" s="100" t="str">
        <f>IF($B203&lt;&gt;"",_xlfn.IFNA(VLOOKUP($B203,'Node Details'!$B:$U,D$1,0),"Check"),"")</f>
        <v>AXY</v>
      </c>
      <c r="E203" s="100" t="str">
        <f>IF($B203&lt;&gt;"",_xlfn.IFNA(VLOOKUP($B203,'Node Details'!$B:$U,E$1,0),"Check"),"")</f>
        <v>Airtel</v>
      </c>
      <c r="F203" s="101">
        <v>46113</v>
      </c>
      <c r="G203" s="103"/>
      <c r="H203" s="102" t="s">
        <v>1254</v>
      </c>
      <c r="I203" s="9">
        <v>1</v>
      </c>
      <c r="J203" s="9">
        <v>600</v>
      </c>
      <c r="K203" s="100">
        <f t="shared" si="37"/>
        <v>600</v>
      </c>
      <c r="L203" s="78">
        <v>46112</v>
      </c>
      <c r="M203" s="103"/>
      <c r="N203" s="93" t="s">
        <v>143</v>
      </c>
      <c r="O203" s="94">
        <v>46141</v>
      </c>
      <c r="P203" s="104">
        <f t="shared" si="32"/>
        <v>600</v>
      </c>
      <c r="Q203" s="104">
        <f t="shared" si="33"/>
        <v>600</v>
      </c>
      <c r="R203" s="104"/>
      <c r="S203" s="93" t="s">
        <v>331</v>
      </c>
      <c r="T203" s="94">
        <v>46153</v>
      </c>
      <c r="U203" s="104">
        <f t="shared" si="34"/>
        <v>600</v>
      </c>
      <c r="V203" s="104">
        <f t="shared" si="35"/>
        <v>1</v>
      </c>
      <c r="W203" s="103">
        <f t="shared" si="36"/>
        <v>600</v>
      </c>
      <c r="X203" s="93" t="s">
        <v>89</v>
      </c>
      <c r="Y203" s="105" t="s">
        <v>84</v>
      </c>
      <c r="Z203" s="105" t="s">
        <v>93</v>
      </c>
    </row>
    <row r="204" spans="1:26" s="105" customFormat="1" ht="15" customHeight="1">
      <c r="A204" s="99">
        <f t="shared" si="38"/>
        <v>202</v>
      </c>
      <c r="B204" s="75" t="s">
        <v>1041</v>
      </c>
      <c r="C204" s="100" t="str">
        <f>IF($B204&lt;&gt;"",_xlfn.IFNA(VLOOKUP($B204,'Node Details'!$B:$U,C$1,0),"Check"),"")</f>
        <v>0000AXY15-AXY150108</v>
      </c>
      <c r="D204" s="100" t="str">
        <f>IF($B204&lt;&gt;"",_xlfn.IFNA(VLOOKUP($B204,'Node Details'!$B:$U,D$1,0),"Check"),"")</f>
        <v>AXY</v>
      </c>
      <c r="E204" s="100" t="str">
        <f>IF($B204&lt;&gt;"",_xlfn.IFNA(VLOOKUP($B204,'Node Details'!$B:$U,E$1,0),"Check"),"")</f>
        <v>Airtel</v>
      </c>
      <c r="F204" s="101">
        <v>46113</v>
      </c>
      <c r="G204" s="103"/>
      <c r="H204" s="102" t="s">
        <v>1254</v>
      </c>
      <c r="I204" s="9">
        <v>1</v>
      </c>
      <c r="J204" s="9">
        <v>600</v>
      </c>
      <c r="K204" s="100">
        <f t="shared" si="37"/>
        <v>600</v>
      </c>
      <c r="L204" s="78">
        <v>46112</v>
      </c>
      <c r="M204" s="103"/>
      <c r="N204" s="93" t="s">
        <v>143</v>
      </c>
      <c r="O204" s="94">
        <v>46141</v>
      </c>
      <c r="P204" s="104">
        <f t="shared" si="32"/>
        <v>600</v>
      </c>
      <c r="Q204" s="104">
        <f t="shared" si="33"/>
        <v>600</v>
      </c>
      <c r="R204" s="104"/>
      <c r="S204" s="93" t="s">
        <v>331</v>
      </c>
      <c r="T204" s="94">
        <v>46153</v>
      </c>
      <c r="U204" s="104">
        <f t="shared" si="34"/>
        <v>600</v>
      </c>
      <c r="V204" s="104">
        <f t="shared" si="35"/>
        <v>1</v>
      </c>
      <c r="W204" s="103">
        <f t="shared" si="36"/>
        <v>600</v>
      </c>
      <c r="X204" s="93" t="s">
        <v>89</v>
      </c>
      <c r="Y204" s="105" t="s">
        <v>84</v>
      </c>
      <c r="Z204" s="105" t="s">
        <v>93</v>
      </c>
    </row>
    <row r="205" spans="1:26" s="105" customFormat="1" ht="15" customHeight="1">
      <c r="A205" s="99">
        <f t="shared" si="38"/>
        <v>203</v>
      </c>
      <c r="B205" s="75" t="s">
        <v>342</v>
      </c>
      <c r="C205" s="100" t="str">
        <f>IF($B205&lt;&gt;"",_xlfn.IFNA(VLOOKUP($B205,'Node Details'!$B:$U,C$1,0),"Check"),"")</f>
        <v>0000AXY15-AXY150108</v>
      </c>
      <c r="D205" s="100" t="str">
        <f>IF($B205&lt;&gt;"",_xlfn.IFNA(VLOOKUP($B205,'Node Details'!$B:$U,D$1,0),"Check"),"")</f>
        <v>AXY</v>
      </c>
      <c r="E205" s="100" t="str">
        <f>IF($B205&lt;&gt;"",_xlfn.IFNA(VLOOKUP($B205,'Node Details'!$B:$U,E$1,0),"Check"),"")</f>
        <v>Airtel</v>
      </c>
      <c r="F205" s="101">
        <v>46113</v>
      </c>
      <c r="G205" s="103"/>
      <c r="H205" s="102" t="s">
        <v>1254</v>
      </c>
      <c r="I205" s="9">
        <v>1</v>
      </c>
      <c r="J205" s="9">
        <v>600</v>
      </c>
      <c r="K205" s="100">
        <f t="shared" si="37"/>
        <v>600</v>
      </c>
      <c r="L205" s="78">
        <v>46112</v>
      </c>
      <c r="M205" s="103"/>
      <c r="N205" s="93" t="s">
        <v>143</v>
      </c>
      <c r="O205" s="94">
        <v>46141</v>
      </c>
      <c r="P205" s="104">
        <f t="shared" si="32"/>
        <v>600</v>
      </c>
      <c r="Q205" s="104">
        <f t="shared" si="33"/>
        <v>600</v>
      </c>
      <c r="R205" s="104"/>
      <c r="S205" s="93" t="s">
        <v>331</v>
      </c>
      <c r="T205" s="94">
        <v>46153</v>
      </c>
      <c r="U205" s="104">
        <f t="shared" si="34"/>
        <v>600</v>
      </c>
      <c r="V205" s="104">
        <f t="shared" si="35"/>
        <v>1</v>
      </c>
      <c r="W205" s="103">
        <f t="shared" si="36"/>
        <v>600</v>
      </c>
      <c r="X205" s="93" t="s">
        <v>89</v>
      </c>
      <c r="Y205" s="105" t="s">
        <v>84</v>
      </c>
      <c r="Z205" s="105" t="s">
        <v>93</v>
      </c>
    </row>
    <row r="206" spans="1:26" s="105" customFormat="1" ht="15" customHeight="1">
      <c r="A206" s="99">
        <f t="shared" si="38"/>
        <v>204</v>
      </c>
      <c r="B206" s="75" t="s">
        <v>346</v>
      </c>
      <c r="C206" s="100" t="str">
        <f>IF($B206&lt;&gt;"",_xlfn.IFNA(VLOOKUP($B206,'Node Details'!$B:$U,C$1,0),"Check"),"")</f>
        <v>0000AXY16-AXY160104</v>
      </c>
      <c r="D206" s="100" t="str">
        <f>IF($B206&lt;&gt;"",_xlfn.IFNA(VLOOKUP($B206,'Node Details'!$B:$U,D$1,0),"Check"),"")</f>
        <v>AXY</v>
      </c>
      <c r="E206" s="100" t="str">
        <f>IF($B206&lt;&gt;"",_xlfn.IFNA(VLOOKUP($B206,'Node Details'!$B:$U,E$1,0),"Check"),"")</f>
        <v>Airtel</v>
      </c>
      <c r="F206" s="101">
        <v>46113</v>
      </c>
      <c r="G206" s="103"/>
      <c r="H206" s="102" t="s">
        <v>1254</v>
      </c>
      <c r="I206" s="9">
        <v>1</v>
      </c>
      <c r="J206" s="9">
        <v>600</v>
      </c>
      <c r="K206" s="100">
        <f t="shared" si="37"/>
        <v>600</v>
      </c>
      <c r="L206" s="78">
        <v>46112</v>
      </c>
      <c r="M206" s="103"/>
      <c r="N206" s="93" t="s">
        <v>143</v>
      </c>
      <c r="O206" s="94">
        <v>46141</v>
      </c>
      <c r="P206" s="104">
        <f t="shared" si="32"/>
        <v>600</v>
      </c>
      <c r="Q206" s="104">
        <f t="shared" si="33"/>
        <v>600</v>
      </c>
      <c r="R206" s="104"/>
      <c r="S206" s="93" t="s">
        <v>331</v>
      </c>
      <c r="T206" s="94">
        <v>46153</v>
      </c>
      <c r="U206" s="104">
        <f t="shared" si="34"/>
        <v>600</v>
      </c>
      <c r="V206" s="104">
        <f t="shared" si="35"/>
        <v>1</v>
      </c>
      <c r="W206" s="103">
        <f t="shared" si="36"/>
        <v>600</v>
      </c>
      <c r="X206" s="93" t="s">
        <v>89</v>
      </c>
      <c r="Y206" s="105" t="s">
        <v>84</v>
      </c>
      <c r="Z206" s="105" t="s">
        <v>93</v>
      </c>
    </row>
    <row r="207" spans="1:26" s="105" customFormat="1" ht="15" customHeight="1">
      <c r="A207" s="99">
        <f t="shared" si="38"/>
        <v>205</v>
      </c>
      <c r="B207" s="75" t="s">
        <v>1043</v>
      </c>
      <c r="C207" s="100" t="str">
        <f>IF($B207&lt;&gt;"",_xlfn.IFNA(VLOOKUP($B207,'Node Details'!$B:$U,C$1,0),"Check"),"")</f>
        <v>0000AXY16-AXY160103</v>
      </c>
      <c r="D207" s="100" t="str">
        <f>IF($B207&lt;&gt;"",_xlfn.IFNA(VLOOKUP($B207,'Node Details'!$B:$U,D$1,0),"Check"),"")</f>
        <v>AXY</v>
      </c>
      <c r="E207" s="100" t="str">
        <f>IF($B207&lt;&gt;"",_xlfn.IFNA(VLOOKUP($B207,'Node Details'!$B:$U,E$1,0),"Check"),"")</f>
        <v>Airtel</v>
      </c>
      <c r="F207" s="101">
        <v>46113</v>
      </c>
      <c r="G207" s="103"/>
      <c r="H207" s="102" t="s">
        <v>1254</v>
      </c>
      <c r="I207" s="9">
        <v>1</v>
      </c>
      <c r="J207" s="9">
        <v>600</v>
      </c>
      <c r="K207" s="100">
        <f t="shared" si="37"/>
        <v>600</v>
      </c>
      <c r="L207" s="78">
        <v>46112</v>
      </c>
      <c r="M207" s="103"/>
      <c r="N207" s="93" t="s">
        <v>143</v>
      </c>
      <c r="O207" s="94">
        <v>46141</v>
      </c>
      <c r="P207" s="104">
        <f t="shared" si="32"/>
        <v>600</v>
      </c>
      <c r="Q207" s="104">
        <f t="shared" si="33"/>
        <v>600</v>
      </c>
      <c r="R207" s="104"/>
      <c r="S207" s="93" t="s">
        <v>331</v>
      </c>
      <c r="T207" s="94">
        <v>46153</v>
      </c>
      <c r="U207" s="104">
        <f t="shared" si="34"/>
        <v>600</v>
      </c>
      <c r="V207" s="104">
        <f t="shared" si="35"/>
        <v>1</v>
      </c>
      <c r="W207" s="103">
        <f t="shared" si="36"/>
        <v>600</v>
      </c>
      <c r="X207" s="93" t="s">
        <v>89</v>
      </c>
      <c r="Y207" s="105" t="s">
        <v>84</v>
      </c>
      <c r="Z207" s="105" t="s">
        <v>93</v>
      </c>
    </row>
    <row r="208" spans="1:26" s="105" customFormat="1" ht="15" customHeight="1">
      <c r="A208" s="99">
        <f t="shared" si="38"/>
        <v>206</v>
      </c>
      <c r="B208" s="75" t="s">
        <v>1044</v>
      </c>
      <c r="C208" s="100" t="str">
        <f>IF($B208&lt;&gt;"",_xlfn.IFNA(VLOOKUP($B208,'Node Details'!$B:$U,C$1,0),"Check"),"")</f>
        <v>0000AXY16-AXY160103</v>
      </c>
      <c r="D208" s="100" t="str">
        <f>IF($B208&lt;&gt;"",_xlfn.IFNA(VLOOKUP($B208,'Node Details'!$B:$U,D$1,0),"Check"),"")</f>
        <v>AXY</v>
      </c>
      <c r="E208" s="100" t="str">
        <f>IF($B208&lt;&gt;"",_xlfn.IFNA(VLOOKUP($B208,'Node Details'!$B:$U,E$1,0),"Check"),"")</f>
        <v>Airtel</v>
      </c>
      <c r="F208" s="101">
        <v>46113</v>
      </c>
      <c r="G208" s="103"/>
      <c r="H208" s="102" t="s">
        <v>1254</v>
      </c>
      <c r="I208" s="9">
        <v>1</v>
      </c>
      <c r="J208" s="9">
        <v>600</v>
      </c>
      <c r="K208" s="100">
        <f t="shared" si="37"/>
        <v>600</v>
      </c>
      <c r="L208" s="78">
        <v>46112</v>
      </c>
      <c r="M208" s="103"/>
      <c r="N208" s="93" t="s">
        <v>143</v>
      </c>
      <c r="O208" s="94">
        <v>46141</v>
      </c>
      <c r="P208" s="104">
        <f t="shared" si="32"/>
        <v>600</v>
      </c>
      <c r="Q208" s="104">
        <f t="shared" si="33"/>
        <v>600</v>
      </c>
      <c r="R208" s="104"/>
      <c r="S208" s="93" t="s">
        <v>331</v>
      </c>
      <c r="T208" s="94">
        <v>46153</v>
      </c>
      <c r="U208" s="104">
        <f t="shared" si="34"/>
        <v>600</v>
      </c>
      <c r="V208" s="104">
        <f t="shared" si="35"/>
        <v>1</v>
      </c>
      <c r="W208" s="103">
        <f t="shared" si="36"/>
        <v>600</v>
      </c>
      <c r="X208" s="93" t="s">
        <v>89</v>
      </c>
      <c r="Y208" s="105" t="s">
        <v>84</v>
      </c>
      <c r="Z208" s="105" t="s">
        <v>93</v>
      </c>
    </row>
    <row r="209" spans="1:26" s="105" customFormat="1" ht="15" customHeight="1">
      <c r="A209" s="99">
        <f t="shared" si="38"/>
        <v>207</v>
      </c>
      <c r="B209" s="75" t="s">
        <v>349</v>
      </c>
      <c r="C209" s="100" t="str">
        <f>IF($B209&lt;&gt;"",_xlfn.IFNA(VLOOKUP($B209,'Node Details'!$B:$U,C$1,0),"Check"),"")</f>
        <v>0000AXY16-AXY160103</v>
      </c>
      <c r="D209" s="100" t="str">
        <f>IF($B209&lt;&gt;"",_xlfn.IFNA(VLOOKUP($B209,'Node Details'!$B:$U,D$1,0),"Check"),"")</f>
        <v>AXY</v>
      </c>
      <c r="E209" s="100" t="str">
        <f>IF($B209&lt;&gt;"",_xlfn.IFNA(VLOOKUP($B209,'Node Details'!$B:$U,E$1,0),"Check"),"")</f>
        <v>Airtel</v>
      </c>
      <c r="F209" s="101">
        <v>46113</v>
      </c>
      <c r="G209" s="103"/>
      <c r="H209" s="102" t="s">
        <v>1254</v>
      </c>
      <c r="I209" s="9">
        <v>1</v>
      </c>
      <c r="J209" s="9">
        <v>600</v>
      </c>
      <c r="K209" s="100">
        <f t="shared" si="37"/>
        <v>600</v>
      </c>
      <c r="L209" s="78">
        <v>46112</v>
      </c>
      <c r="M209" s="103"/>
      <c r="N209" s="93" t="s">
        <v>143</v>
      </c>
      <c r="O209" s="94">
        <v>46141</v>
      </c>
      <c r="P209" s="104">
        <f t="shared" si="32"/>
        <v>600</v>
      </c>
      <c r="Q209" s="104">
        <f t="shared" si="33"/>
        <v>600</v>
      </c>
      <c r="R209" s="104"/>
      <c r="S209" s="93" t="s">
        <v>331</v>
      </c>
      <c r="T209" s="94">
        <v>46153</v>
      </c>
      <c r="U209" s="104">
        <f t="shared" si="34"/>
        <v>600</v>
      </c>
      <c r="V209" s="104">
        <f t="shared" si="35"/>
        <v>1</v>
      </c>
      <c r="W209" s="103">
        <f t="shared" si="36"/>
        <v>600</v>
      </c>
      <c r="X209" s="93" t="s">
        <v>89</v>
      </c>
      <c r="Y209" s="105" t="s">
        <v>84</v>
      </c>
      <c r="Z209" s="105" t="s">
        <v>93</v>
      </c>
    </row>
    <row r="210" spans="1:26" s="105" customFormat="1" ht="15" customHeight="1">
      <c r="A210" s="99">
        <f t="shared" si="38"/>
        <v>208</v>
      </c>
      <c r="B210" s="75" t="s">
        <v>1045</v>
      </c>
      <c r="C210" s="100" t="str">
        <f>IF($B210&lt;&gt;"",_xlfn.IFNA(VLOOKUP($B210,'Node Details'!$B:$U,C$1,0),"Check"),"")</f>
        <v>0000AXY16-AXY160107</v>
      </c>
      <c r="D210" s="100" t="str">
        <f>IF($B210&lt;&gt;"",_xlfn.IFNA(VLOOKUP($B210,'Node Details'!$B:$U,D$1,0),"Check"),"")</f>
        <v>AXY</v>
      </c>
      <c r="E210" s="100" t="str">
        <f>IF($B210&lt;&gt;"",_xlfn.IFNA(VLOOKUP($B210,'Node Details'!$B:$U,E$1,0),"Check"),"")</f>
        <v>Airtel</v>
      </c>
      <c r="F210" s="101">
        <v>46113</v>
      </c>
      <c r="G210" s="103"/>
      <c r="H210" s="102" t="s">
        <v>1254</v>
      </c>
      <c r="I210" s="9">
        <v>1</v>
      </c>
      <c r="J210" s="9">
        <v>600</v>
      </c>
      <c r="K210" s="100">
        <f t="shared" si="37"/>
        <v>600</v>
      </c>
      <c r="L210" s="78">
        <v>46112</v>
      </c>
      <c r="M210" s="103"/>
      <c r="N210" s="93" t="s">
        <v>143</v>
      </c>
      <c r="O210" s="94">
        <v>46141</v>
      </c>
      <c r="P210" s="104">
        <f t="shared" si="32"/>
        <v>600</v>
      </c>
      <c r="Q210" s="104">
        <f t="shared" si="33"/>
        <v>600</v>
      </c>
      <c r="R210" s="104"/>
      <c r="S210" s="93" t="s">
        <v>331</v>
      </c>
      <c r="T210" s="94">
        <v>46153</v>
      </c>
      <c r="U210" s="104">
        <f t="shared" si="34"/>
        <v>600</v>
      </c>
      <c r="V210" s="104">
        <f t="shared" si="35"/>
        <v>1</v>
      </c>
      <c r="W210" s="103">
        <f t="shared" si="36"/>
        <v>600</v>
      </c>
      <c r="X210" s="93" t="s">
        <v>89</v>
      </c>
      <c r="Y210" s="105" t="s">
        <v>84</v>
      </c>
      <c r="Z210" s="105" t="s">
        <v>93</v>
      </c>
    </row>
    <row r="211" spans="1:26" s="105" customFormat="1" ht="15" customHeight="1">
      <c r="A211" s="99">
        <f t="shared" si="38"/>
        <v>209</v>
      </c>
      <c r="B211" s="75" t="s">
        <v>1046</v>
      </c>
      <c r="C211" s="100" t="str">
        <f>IF($B211&lt;&gt;"",_xlfn.IFNA(VLOOKUP($B211,'Node Details'!$B:$U,C$1,0),"Check"),"")</f>
        <v>0000AXY16-AXY160107</v>
      </c>
      <c r="D211" s="100" t="str">
        <f>IF($B211&lt;&gt;"",_xlfn.IFNA(VLOOKUP($B211,'Node Details'!$B:$U,D$1,0),"Check"),"")</f>
        <v>AXY</v>
      </c>
      <c r="E211" s="100" t="str">
        <f>IF($B211&lt;&gt;"",_xlfn.IFNA(VLOOKUP($B211,'Node Details'!$B:$U,E$1,0),"Check"),"")</f>
        <v>Airtel</v>
      </c>
      <c r="F211" s="101">
        <v>46113</v>
      </c>
      <c r="G211" s="103"/>
      <c r="H211" s="102" t="s">
        <v>1254</v>
      </c>
      <c r="I211" s="9">
        <v>1</v>
      </c>
      <c r="J211" s="9">
        <v>600</v>
      </c>
      <c r="K211" s="100">
        <f t="shared" si="37"/>
        <v>600</v>
      </c>
      <c r="L211" s="78">
        <v>46112</v>
      </c>
      <c r="M211" s="103"/>
      <c r="N211" s="93" t="s">
        <v>143</v>
      </c>
      <c r="O211" s="94">
        <v>46141</v>
      </c>
      <c r="P211" s="104">
        <f t="shared" si="32"/>
        <v>600</v>
      </c>
      <c r="Q211" s="104">
        <f t="shared" si="33"/>
        <v>600</v>
      </c>
      <c r="R211" s="104"/>
      <c r="S211" s="93" t="s">
        <v>331</v>
      </c>
      <c r="T211" s="94">
        <v>46153</v>
      </c>
      <c r="U211" s="104">
        <f t="shared" si="34"/>
        <v>600</v>
      </c>
      <c r="V211" s="104">
        <f t="shared" si="35"/>
        <v>1</v>
      </c>
      <c r="W211" s="103">
        <f t="shared" si="36"/>
        <v>600</v>
      </c>
      <c r="X211" s="93" t="s">
        <v>89</v>
      </c>
      <c r="Y211" s="105" t="s">
        <v>84</v>
      </c>
      <c r="Z211" s="105" t="s">
        <v>93</v>
      </c>
    </row>
    <row r="212" spans="1:26" s="105" customFormat="1" ht="15" customHeight="1">
      <c r="A212" s="99">
        <f t="shared" si="38"/>
        <v>210</v>
      </c>
      <c r="B212" s="75" t="s">
        <v>352</v>
      </c>
      <c r="C212" s="100" t="str">
        <f>IF($B212&lt;&gt;"",_xlfn.IFNA(VLOOKUP($B212,'Node Details'!$B:$U,C$1,0),"Check"),"")</f>
        <v>0000AXY16-AXY160107</v>
      </c>
      <c r="D212" s="100" t="str">
        <f>IF($B212&lt;&gt;"",_xlfn.IFNA(VLOOKUP($B212,'Node Details'!$B:$U,D$1,0),"Check"),"")</f>
        <v>AXY</v>
      </c>
      <c r="E212" s="100" t="str">
        <f>IF($B212&lt;&gt;"",_xlfn.IFNA(VLOOKUP($B212,'Node Details'!$B:$U,E$1,0),"Check"),"")</f>
        <v>Airtel</v>
      </c>
      <c r="F212" s="101">
        <v>46113</v>
      </c>
      <c r="G212" s="103"/>
      <c r="H212" s="102" t="s">
        <v>1254</v>
      </c>
      <c r="I212" s="9">
        <v>1</v>
      </c>
      <c r="J212" s="9">
        <v>600</v>
      </c>
      <c r="K212" s="100">
        <f t="shared" si="37"/>
        <v>600</v>
      </c>
      <c r="L212" s="78">
        <v>46112</v>
      </c>
      <c r="M212" s="103"/>
      <c r="N212" s="93" t="s">
        <v>143</v>
      </c>
      <c r="O212" s="94">
        <v>46141</v>
      </c>
      <c r="P212" s="104">
        <f t="shared" si="32"/>
        <v>600</v>
      </c>
      <c r="Q212" s="104">
        <f t="shared" si="33"/>
        <v>600</v>
      </c>
      <c r="R212" s="104"/>
      <c r="S212" s="93" t="s">
        <v>331</v>
      </c>
      <c r="T212" s="94">
        <v>46153</v>
      </c>
      <c r="U212" s="104">
        <f t="shared" si="34"/>
        <v>600</v>
      </c>
      <c r="V212" s="104">
        <f t="shared" si="35"/>
        <v>1</v>
      </c>
      <c r="W212" s="103">
        <f t="shared" si="36"/>
        <v>600</v>
      </c>
      <c r="X212" s="93" t="s">
        <v>89</v>
      </c>
      <c r="Y212" s="105" t="s">
        <v>84</v>
      </c>
      <c r="Z212" s="105" t="s">
        <v>93</v>
      </c>
    </row>
    <row r="213" spans="1:26" s="105" customFormat="1" ht="15" customHeight="1">
      <c r="A213" s="99">
        <f t="shared" si="38"/>
        <v>211</v>
      </c>
      <c r="B213" s="75" t="s">
        <v>355</v>
      </c>
      <c r="C213" s="100" t="str">
        <f>IF($B213&lt;&gt;"",_xlfn.IFNA(VLOOKUP($B213,'Node Details'!$B:$U,C$1,0),"Check"),"")</f>
        <v>0000AXY16-AXY160108</v>
      </c>
      <c r="D213" s="100" t="str">
        <f>IF($B213&lt;&gt;"",_xlfn.IFNA(VLOOKUP($B213,'Node Details'!$B:$U,D$1,0),"Check"),"")</f>
        <v>AXY</v>
      </c>
      <c r="E213" s="100" t="str">
        <f>IF($B213&lt;&gt;"",_xlfn.IFNA(VLOOKUP($B213,'Node Details'!$B:$U,E$1,0),"Check"),"")</f>
        <v>Airtel</v>
      </c>
      <c r="F213" s="101">
        <v>46113</v>
      </c>
      <c r="G213" s="103"/>
      <c r="H213" s="102" t="s">
        <v>1254</v>
      </c>
      <c r="I213" s="9">
        <v>1</v>
      </c>
      <c r="J213" s="9">
        <v>600</v>
      </c>
      <c r="K213" s="100">
        <f t="shared" si="37"/>
        <v>600</v>
      </c>
      <c r="L213" s="78">
        <v>46112</v>
      </c>
      <c r="M213" s="103"/>
      <c r="N213" s="93" t="s">
        <v>143</v>
      </c>
      <c r="O213" s="94">
        <v>46141</v>
      </c>
      <c r="P213" s="104">
        <f t="shared" si="32"/>
        <v>600</v>
      </c>
      <c r="Q213" s="104">
        <f t="shared" si="33"/>
        <v>600</v>
      </c>
      <c r="R213" s="104"/>
      <c r="S213" s="93" t="s">
        <v>331</v>
      </c>
      <c r="T213" s="94">
        <v>46153</v>
      </c>
      <c r="U213" s="104">
        <f t="shared" si="34"/>
        <v>600</v>
      </c>
      <c r="V213" s="104">
        <f t="shared" si="35"/>
        <v>1</v>
      </c>
      <c r="W213" s="103">
        <f t="shared" si="36"/>
        <v>600</v>
      </c>
      <c r="X213" s="93" t="s">
        <v>89</v>
      </c>
      <c r="Y213" s="105" t="s">
        <v>84</v>
      </c>
      <c r="Z213" s="105" t="s">
        <v>93</v>
      </c>
    </row>
    <row r="214" spans="1:26" s="105" customFormat="1" ht="15" customHeight="1">
      <c r="A214" s="99">
        <f t="shared" si="38"/>
        <v>212</v>
      </c>
      <c r="B214" s="75" t="s">
        <v>359</v>
      </c>
      <c r="C214" s="100" t="str">
        <f>IF($B214&lt;&gt;"",_xlfn.IFNA(VLOOKUP($B214,'Node Details'!$B:$U,C$1,0),"Check"),"")</f>
        <v>0000AXY17-AXY170101</v>
      </c>
      <c r="D214" s="100" t="str">
        <f>IF($B214&lt;&gt;"",_xlfn.IFNA(VLOOKUP($B214,'Node Details'!$B:$U,D$1,0),"Check"),"")</f>
        <v>AXY</v>
      </c>
      <c r="E214" s="100" t="str">
        <f>IF($B214&lt;&gt;"",_xlfn.IFNA(VLOOKUP($B214,'Node Details'!$B:$U,E$1,0),"Check"),"")</f>
        <v>Airtel</v>
      </c>
      <c r="F214" s="101">
        <v>46113</v>
      </c>
      <c r="G214" s="103"/>
      <c r="H214" s="102" t="s">
        <v>1254</v>
      </c>
      <c r="I214" s="9">
        <v>1</v>
      </c>
      <c r="J214" s="9">
        <v>600</v>
      </c>
      <c r="K214" s="100">
        <f t="shared" si="37"/>
        <v>600</v>
      </c>
      <c r="L214" s="78">
        <v>46112</v>
      </c>
      <c r="M214" s="103"/>
      <c r="N214" s="93" t="s">
        <v>143</v>
      </c>
      <c r="O214" s="94">
        <v>46141</v>
      </c>
      <c r="P214" s="104">
        <f t="shared" si="32"/>
        <v>600</v>
      </c>
      <c r="Q214" s="104">
        <f t="shared" si="33"/>
        <v>600</v>
      </c>
      <c r="R214" s="104"/>
      <c r="S214" s="93" t="s">
        <v>331</v>
      </c>
      <c r="T214" s="94">
        <v>46153</v>
      </c>
      <c r="U214" s="104">
        <f t="shared" si="34"/>
        <v>600</v>
      </c>
      <c r="V214" s="104">
        <f t="shared" si="35"/>
        <v>1</v>
      </c>
      <c r="W214" s="103">
        <f t="shared" si="36"/>
        <v>600</v>
      </c>
      <c r="X214" s="93" t="s">
        <v>89</v>
      </c>
      <c r="Y214" s="105" t="s">
        <v>84</v>
      </c>
      <c r="Z214" s="105" t="s">
        <v>93</v>
      </c>
    </row>
    <row r="215" spans="1:26" s="105" customFormat="1" ht="15" customHeight="1">
      <c r="A215" s="99">
        <f t="shared" si="38"/>
        <v>213</v>
      </c>
      <c r="B215" s="75" t="s">
        <v>1047</v>
      </c>
      <c r="C215" s="100" t="str">
        <f>IF($B215&lt;&gt;"",_xlfn.IFNA(VLOOKUP($B215,'Node Details'!$B:$U,C$1,0),"Check"),"")</f>
        <v>0000AXY17-AXY170107</v>
      </c>
      <c r="D215" s="100" t="str">
        <f>IF($B215&lt;&gt;"",_xlfn.IFNA(VLOOKUP($B215,'Node Details'!$B:$U,D$1,0),"Check"),"")</f>
        <v>AXY</v>
      </c>
      <c r="E215" s="100" t="str">
        <f>IF($B215&lt;&gt;"",_xlfn.IFNA(VLOOKUP($B215,'Node Details'!$B:$U,E$1,0),"Check"),"")</f>
        <v>Airtel</v>
      </c>
      <c r="F215" s="101">
        <v>46113</v>
      </c>
      <c r="G215" s="103"/>
      <c r="H215" s="102" t="s">
        <v>1254</v>
      </c>
      <c r="I215" s="9">
        <v>1</v>
      </c>
      <c r="J215" s="9">
        <v>600</v>
      </c>
      <c r="K215" s="100">
        <f t="shared" si="37"/>
        <v>600</v>
      </c>
      <c r="L215" s="78">
        <v>46112</v>
      </c>
      <c r="M215" s="103"/>
      <c r="N215" s="93" t="s">
        <v>143</v>
      </c>
      <c r="O215" s="94">
        <v>46141</v>
      </c>
      <c r="P215" s="104">
        <f t="shared" si="32"/>
        <v>600</v>
      </c>
      <c r="Q215" s="104">
        <f t="shared" si="33"/>
        <v>600</v>
      </c>
      <c r="R215" s="104"/>
      <c r="S215" s="93" t="s">
        <v>331</v>
      </c>
      <c r="T215" s="94">
        <v>46153</v>
      </c>
      <c r="U215" s="104">
        <f t="shared" si="34"/>
        <v>600</v>
      </c>
      <c r="V215" s="104">
        <f t="shared" si="35"/>
        <v>1</v>
      </c>
      <c r="W215" s="103">
        <f t="shared" si="36"/>
        <v>600</v>
      </c>
      <c r="X215" s="93" t="s">
        <v>89</v>
      </c>
      <c r="Y215" s="105" t="s">
        <v>84</v>
      </c>
      <c r="Z215" s="105" t="s">
        <v>93</v>
      </c>
    </row>
    <row r="216" spans="1:26" s="105" customFormat="1" ht="15" customHeight="1">
      <c r="A216" s="99">
        <f t="shared" si="38"/>
        <v>214</v>
      </c>
      <c r="B216" s="75" t="s">
        <v>1048</v>
      </c>
      <c r="C216" s="100" t="str">
        <f>IF($B216&lt;&gt;"",_xlfn.IFNA(VLOOKUP($B216,'Node Details'!$B:$U,C$1,0),"Check"),"")</f>
        <v>0000AXY17-AXY170107</v>
      </c>
      <c r="D216" s="100" t="str">
        <f>IF($B216&lt;&gt;"",_xlfn.IFNA(VLOOKUP($B216,'Node Details'!$B:$U,D$1,0),"Check"),"")</f>
        <v>AXY</v>
      </c>
      <c r="E216" s="100" t="str">
        <f>IF($B216&lt;&gt;"",_xlfn.IFNA(VLOOKUP($B216,'Node Details'!$B:$U,E$1,0),"Check"),"")</f>
        <v>Airtel</v>
      </c>
      <c r="F216" s="101">
        <v>46113</v>
      </c>
      <c r="G216" s="103"/>
      <c r="H216" s="102" t="s">
        <v>1254</v>
      </c>
      <c r="I216" s="9">
        <v>1</v>
      </c>
      <c r="J216" s="9">
        <v>600</v>
      </c>
      <c r="K216" s="100">
        <f t="shared" si="37"/>
        <v>600</v>
      </c>
      <c r="L216" s="78">
        <v>46112</v>
      </c>
      <c r="M216" s="103"/>
      <c r="N216" s="93" t="s">
        <v>143</v>
      </c>
      <c r="O216" s="94">
        <v>46141</v>
      </c>
      <c r="P216" s="104">
        <f t="shared" si="32"/>
        <v>600</v>
      </c>
      <c r="Q216" s="104">
        <f t="shared" si="33"/>
        <v>600</v>
      </c>
      <c r="R216" s="104"/>
      <c r="S216" s="93" t="s">
        <v>331</v>
      </c>
      <c r="T216" s="94">
        <v>46153</v>
      </c>
      <c r="U216" s="104">
        <f t="shared" si="34"/>
        <v>600</v>
      </c>
      <c r="V216" s="104">
        <f t="shared" si="35"/>
        <v>1</v>
      </c>
      <c r="W216" s="103">
        <f t="shared" si="36"/>
        <v>600</v>
      </c>
      <c r="X216" s="93" t="s">
        <v>89</v>
      </c>
      <c r="Y216" s="105" t="s">
        <v>84</v>
      </c>
      <c r="Z216" s="105" t="s">
        <v>93</v>
      </c>
    </row>
    <row r="217" spans="1:26" s="105" customFormat="1" ht="15" customHeight="1">
      <c r="A217" s="99">
        <f t="shared" si="38"/>
        <v>215</v>
      </c>
      <c r="B217" s="75" t="s">
        <v>1049</v>
      </c>
      <c r="C217" s="100" t="str">
        <f>IF($B217&lt;&gt;"",_xlfn.IFNA(VLOOKUP($B217,'Node Details'!$B:$U,C$1,0),"Check"),"")</f>
        <v>0000AXY17-AXY170201</v>
      </c>
      <c r="D217" s="100" t="str">
        <f>IF($B217&lt;&gt;"",_xlfn.IFNA(VLOOKUP($B217,'Node Details'!$B:$U,D$1,0),"Check"),"")</f>
        <v>AXY</v>
      </c>
      <c r="E217" s="100" t="str">
        <f>IF($B217&lt;&gt;"",_xlfn.IFNA(VLOOKUP($B217,'Node Details'!$B:$U,E$1,0),"Check"),"")</f>
        <v>Airtel</v>
      </c>
      <c r="F217" s="101">
        <v>46113</v>
      </c>
      <c r="G217" s="103"/>
      <c r="H217" s="102" t="s">
        <v>1254</v>
      </c>
      <c r="I217" s="9">
        <v>1</v>
      </c>
      <c r="J217" s="9">
        <v>600</v>
      </c>
      <c r="K217" s="100">
        <f t="shared" si="37"/>
        <v>600</v>
      </c>
      <c r="L217" s="78">
        <v>46112</v>
      </c>
      <c r="M217" s="103"/>
      <c r="N217" s="93" t="s">
        <v>143</v>
      </c>
      <c r="O217" s="94">
        <v>46141</v>
      </c>
      <c r="P217" s="104">
        <f t="shared" si="32"/>
        <v>600</v>
      </c>
      <c r="Q217" s="104">
        <f t="shared" si="33"/>
        <v>600</v>
      </c>
      <c r="R217" s="104"/>
      <c r="S217" s="93" t="s">
        <v>331</v>
      </c>
      <c r="T217" s="94">
        <v>46153</v>
      </c>
      <c r="U217" s="104">
        <f t="shared" si="34"/>
        <v>600</v>
      </c>
      <c r="V217" s="104">
        <f t="shared" si="35"/>
        <v>1</v>
      </c>
      <c r="W217" s="103">
        <f t="shared" si="36"/>
        <v>600</v>
      </c>
      <c r="X217" s="93" t="s">
        <v>89</v>
      </c>
      <c r="Y217" s="105" t="s">
        <v>84</v>
      </c>
      <c r="Z217" s="105" t="s">
        <v>93</v>
      </c>
    </row>
    <row r="218" spans="1:26" s="105" customFormat="1" ht="15" customHeight="1">
      <c r="A218" s="99">
        <f t="shared" si="38"/>
        <v>216</v>
      </c>
      <c r="B218" s="75" t="s">
        <v>362</v>
      </c>
      <c r="C218" s="100" t="str">
        <f>IF($B218&lt;&gt;"",_xlfn.IFNA(VLOOKUP($B218,'Node Details'!$B:$U,C$1,0),"Check"),"")</f>
        <v>0000AXY17-AXY170201</v>
      </c>
      <c r="D218" s="100" t="str">
        <f>IF($B218&lt;&gt;"",_xlfn.IFNA(VLOOKUP($B218,'Node Details'!$B:$U,D$1,0),"Check"),"")</f>
        <v>AXY</v>
      </c>
      <c r="E218" s="100" t="str">
        <f>IF($B218&lt;&gt;"",_xlfn.IFNA(VLOOKUP($B218,'Node Details'!$B:$U,E$1,0),"Check"),"")</f>
        <v>Airtel</v>
      </c>
      <c r="F218" s="101">
        <v>46113</v>
      </c>
      <c r="G218" s="103"/>
      <c r="H218" s="102" t="s">
        <v>1254</v>
      </c>
      <c r="I218" s="9">
        <v>1</v>
      </c>
      <c r="J218" s="9">
        <v>600</v>
      </c>
      <c r="K218" s="100">
        <f t="shared" si="37"/>
        <v>600</v>
      </c>
      <c r="L218" s="78">
        <v>46112</v>
      </c>
      <c r="M218" s="103"/>
      <c r="N218" s="93" t="s">
        <v>143</v>
      </c>
      <c r="O218" s="94">
        <v>46141</v>
      </c>
      <c r="P218" s="104">
        <f t="shared" si="32"/>
        <v>600</v>
      </c>
      <c r="Q218" s="104">
        <f t="shared" si="33"/>
        <v>600</v>
      </c>
      <c r="R218" s="104"/>
      <c r="S218" s="93" t="s">
        <v>331</v>
      </c>
      <c r="T218" s="94">
        <v>46153</v>
      </c>
      <c r="U218" s="104">
        <f t="shared" si="34"/>
        <v>600</v>
      </c>
      <c r="V218" s="104">
        <f t="shared" si="35"/>
        <v>1</v>
      </c>
      <c r="W218" s="103">
        <f t="shared" si="36"/>
        <v>600</v>
      </c>
      <c r="X218" s="93" t="s">
        <v>89</v>
      </c>
      <c r="Y218" s="105" t="s">
        <v>84</v>
      </c>
      <c r="Z218" s="105" t="s">
        <v>93</v>
      </c>
    </row>
    <row r="219" spans="1:26" s="105" customFormat="1" ht="15" customHeight="1">
      <c r="A219" s="99">
        <f t="shared" si="38"/>
        <v>217</v>
      </c>
      <c r="B219" s="75" t="s">
        <v>365</v>
      </c>
      <c r="C219" s="100" t="str">
        <f>IF($B219&lt;&gt;"",_xlfn.IFNA(VLOOKUP($B219,'Node Details'!$B:$U,C$1,0),"Check"),"")</f>
        <v>AXY170103-AXY170107</v>
      </c>
      <c r="D219" s="100" t="str">
        <f>IF($B219&lt;&gt;"",_xlfn.IFNA(VLOOKUP($B219,'Node Details'!$B:$U,D$1,0),"Check"),"")</f>
        <v>AXY</v>
      </c>
      <c r="E219" s="100" t="str">
        <f>IF($B219&lt;&gt;"",_xlfn.IFNA(VLOOKUP($B219,'Node Details'!$B:$U,E$1,0),"Check"),"")</f>
        <v>Airtel</v>
      </c>
      <c r="F219" s="101">
        <v>46113</v>
      </c>
      <c r="G219" s="103"/>
      <c r="H219" s="102" t="s">
        <v>1254</v>
      </c>
      <c r="I219" s="9">
        <v>1</v>
      </c>
      <c r="J219" s="9">
        <v>600</v>
      </c>
      <c r="K219" s="100">
        <f t="shared" si="37"/>
        <v>600</v>
      </c>
      <c r="L219" s="78">
        <v>46112</v>
      </c>
      <c r="M219" s="103"/>
      <c r="N219" s="93" t="s">
        <v>143</v>
      </c>
      <c r="O219" s="94">
        <v>46141</v>
      </c>
      <c r="P219" s="104">
        <f t="shared" si="32"/>
        <v>600</v>
      </c>
      <c r="Q219" s="104">
        <f t="shared" si="33"/>
        <v>600</v>
      </c>
      <c r="R219" s="104"/>
      <c r="S219" s="93" t="s">
        <v>331</v>
      </c>
      <c r="T219" s="94">
        <v>46153</v>
      </c>
      <c r="U219" s="104">
        <f t="shared" si="34"/>
        <v>600</v>
      </c>
      <c r="V219" s="104">
        <f t="shared" si="35"/>
        <v>1</v>
      </c>
      <c r="W219" s="103">
        <f t="shared" si="36"/>
        <v>600</v>
      </c>
      <c r="X219" s="93" t="s">
        <v>89</v>
      </c>
      <c r="Y219" s="105" t="s">
        <v>84</v>
      </c>
      <c r="Z219" s="105" t="s">
        <v>93</v>
      </c>
    </row>
    <row r="220" spans="1:26" s="105" customFormat="1" ht="15" customHeight="1">
      <c r="A220" s="99">
        <f t="shared" si="38"/>
        <v>218</v>
      </c>
      <c r="B220" s="75" t="s">
        <v>1050</v>
      </c>
      <c r="C220" s="100" t="str">
        <f>IF($B220&lt;&gt;"",_xlfn.IFNA(VLOOKUP($B220,'Node Details'!$B:$U,C$1,0),"Check"),"")</f>
        <v>AXY170103-AXY170107</v>
      </c>
      <c r="D220" s="100" t="str">
        <f>IF($B220&lt;&gt;"",_xlfn.IFNA(VLOOKUP($B220,'Node Details'!$B:$U,D$1,0),"Check"),"")</f>
        <v>AXY</v>
      </c>
      <c r="E220" s="100" t="str">
        <f>IF($B220&lt;&gt;"",_xlfn.IFNA(VLOOKUP($B220,'Node Details'!$B:$U,E$1,0),"Check"),"")</f>
        <v>Airtel</v>
      </c>
      <c r="F220" s="101">
        <v>46113</v>
      </c>
      <c r="G220" s="103"/>
      <c r="H220" s="102" t="s">
        <v>1254</v>
      </c>
      <c r="I220" s="9">
        <v>1</v>
      </c>
      <c r="J220" s="9">
        <v>600</v>
      </c>
      <c r="K220" s="100">
        <f t="shared" si="37"/>
        <v>600</v>
      </c>
      <c r="L220" s="78">
        <v>46112</v>
      </c>
      <c r="M220" s="103"/>
      <c r="N220" s="93" t="s">
        <v>143</v>
      </c>
      <c r="O220" s="94">
        <v>46141</v>
      </c>
      <c r="P220" s="104">
        <f t="shared" si="32"/>
        <v>600</v>
      </c>
      <c r="Q220" s="104">
        <f t="shared" si="33"/>
        <v>600</v>
      </c>
      <c r="R220" s="104"/>
      <c r="S220" s="93" t="s">
        <v>331</v>
      </c>
      <c r="T220" s="94">
        <v>46153</v>
      </c>
      <c r="U220" s="104">
        <f t="shared" si="34"/>
        <v>600</v>
      </c>
      <c r="V220" s="104">
        <f t="shared" si="35"/>
        <v>1</v>
      </c>
      <c r="W220" s="103">
        <f t="shared" si="36"/>
        <v>600</v>
      </c>
      <c r="X220" s="93" t="s">
        <v>89</v>
      </c>
      <c r="Y220" s="105" t="s">
        <v>84</v>
      </c>
      <c r="Z220" s="105" t="s">
        <v>93</v>
      </c>
    </row>
    <row r="221" spans="1:26" s="105" customFormat="1" ht="15" customHeight="1">
      <c r="A221" s="99">
        <f t="shared" si="38"/>
        <v>219</v>
      </c>
      <c r="B221" s="75" t="s">
        <v>149</v>
      </c>
      <c r="C221" s="100" t="str">
        <f>IF($B221&lt;&gt;"",_xlfn.IFNA(VLOOKUP($B221,'Node Details'!$B:$U,C$1,0),"Check"),"")</f>
        <v>000000AXY-0000AXY01</v>
      </c>
      <c r="D221" s="100" t="str">
        <f>IF($B221&lt;&gt;"",_xlfn.IFNA(VLOOKUP($B221,'Node Details'!$B:$U,D$1,0),"Check"),"")</f>
        <v>AXY</v>
      </c>
      <c r="E221" s="100" t="str">
        <f>IF($B221&lt;&gt;"",_xlfn.IFNA(VLOOKUP($B221,'Node Details'!$B:$U,E$1,0),"Check"),"")</f>
        <v>Airtel</v>
      </c>
      <c r="F221" s="101">
        <v>46113</v>
      </c>
      <c r="G221" s="103"/>
      <c r="H221" s="102" t="s">
        <v>1255</v>
      </c>
      <c r="I221" s="9">
        <v>1</v>
      </c>
      <c r="J221" s="9">
        <v>600</v>
      </c>
      <c r="K221" s="100">
        <f t="shared" si="37"/>
        <v>600</v>
      </c>
      <c r="L221" s="78">
        <v>46112</v>
      </c>
      <c r="M221" s="103"/>
      <c r="N221" s="93" t="s">
        <v>143</v>
      </c>
      <c r="O221" s="94">
        <v>46141</v>
      </c>
      <c r="P221" s="104">
        <f t="shared" ref="P221:P284" si="39">J221</f>
        <v>600</v>
      </c>
      <c r="Q221" s="104">
        <f t="shared" ref="Q221:Q284" si="40">P221*I221</f>
        <v>600</v>
      </c>
      <c r="R221" s="104"/>
      <c r="S221" s="93" t="s">
        <v>331</v>
      </c>
      <c r="T221" s="94">
        <v>46153</v>
      </c>
      <c r="U221" s="104">
        <f t="shared" ref="U221:U284" si="41">J221</f>
        <v>600</v>
      </c>
      <c r="V221" s="104">
        <f t="shared" ref="V221:V284" si="42">I221</f>
        <v>1</v>
      </c>
      <c r="W221" s="103">
        <f t="shared" ref="W221:W284" si="43">IF(V221&lt;&gt;"",V221*U221,0)</f>
        <v>600</v>
      </c>
      <c r="X221" s="93" t="s">
        <v>89</v>
      </c>
      <c r="Y221" s="105" t="s">
        <v>84</v>
      </c>
      <c r="Z221" s="105" t="s">
        <v>93</v>
      </c>
    </row>
    <row r="222" spans="1:26" s="105" customFormat="1" ht="15" customHeight="1">
      <c r="A222" s="99">
        <f t="shared" si="38"/>
        <v>220</v>
      </c>
      <c r="B222" s="75" t="s">
        <v>155</v>
      </c>
      <c r="C222" s="100" t="str">
        <f>IF($B222&lt;&gt;"",_xlfn.IFNA(VLOOKUP($B222,'Node Details'!$B:$U,C$1,0),"Check"),"")</f>
        <v>0000AXY02-0000AXY03</v>
      </c>
      <c r="D222" s="100" t="str">
        <f>IF($B222&lt;&gt;"",_xlfn.IFNA(VLOOKUP($B222,'Node Details'!$B:$U,D$1,0),"Check"),"")</f>
        <v>AXY</v>
      </c>
      <c r="E222" s="100" t="str">
        <f>IF($B222&lt;&gt;"",_xlfn.IFNA(VLOOKUP($B222,'Node Details'!$B:$U,E$1,0),"Check"),"")</f>
        <v>Airtel</v>
      </c>
      <c r="F222" s="101">
        <v>46113</v>
      </c>
      <c r="G222" s="103"/>
      <c r="H222" s="102" t="s">
        <v>1255</v>
      </c>
      <c r="I222" s="9">
        <v>1</v>
      </c>
      <c r="J222" s="9">
        <v>600</v>
      </c>
      <c r="K222" s="100">
        <f t="shared" ref="K222:K285" si="44">IF(I222&lt;&gt;"",J222*I222,0)</f>
        <v>600</v>
      </c>
      <c r="L222" s="78">
        <v>46112</v>
      </c>
      <c r="M222" s="103"/>
      <c r="N222" s="93" t="s">
        <v>143</v>
      </c>
      <c r="O222" s="94">
        <v>46141</v>
      </c>
      <c r="P222" s="104">
        <f t="shared" si="39"/>
        <v>600</v>
      </c>
      <c r="Q222" s="104">
        <f t="shared" si="40"/>
        <v>600</v>
      </c>
      <c r="R222" s="104"/>
      <c r="S222" s="93" t="s">
        <v>331</v>
      </c>
      <c r="T222" s="94">
        <v>46153</v>
      </c>
      <c r="U222" s="104">
        <f t="shared" si="41"/>
        <v>600</v>
      </c>
      <c r="V222" s="104">
        <f t="shared" si="42"/>
        <v>1</v>
      </c>
      <c r="W222" s="103">
        <f t="shared" si="43"/>
        <v>600</v>
      </c>
      <c r="X222" s="93" t="s">
        <v>89</v>
      </c>
      <c r="Y222" s="105" t="s">
        <v>84</v>
      </c>
      <c r="Z222" s="105" t="s">
        <v>93</v>
      </c>
    </row>
    <row r="223" spans="1:26" s="105" customFormat="1" ht="15" customHeight="1">
      <c r="A223" s="99">
        <f t="shared" si="38"/>
        <v>221</v>
      </c>
      <c r="B223" s="75" t="s">
        <v>151</v>
      </c>
      <c r="C223" s="100" t="str">
        <f>IF($B223&lt;&gt;"",_xlfn.IFNA(VLOOKUP($B223,'Node Details'!$B:$U,C$1,0),"Check"),"")</f>
        <v>000000AXY-0000AXY12</v>
      </c>
      <c r="D223" s="100" t="str">
        <f>IF($B223&lt;&gt;"",_xlfn.IFNA(VLOOKUP($B223,'Node Details'!$B:$U,D$1,0),"Check"),"")</f>
        <v>AXY</v>
      </c>
      <c r="E223" s="100" t="str">
        <f>IF($B223&lt;&gt;"",_xlfn.IFNA(VLOOKUP($B223,'Node Details'!$B:$U,E$1,0),"Check"),"")</f>
        <v>Airtel</v>
      </c>
      <c r="F223" s="101">
        <v>46113</v>
      </c>
      <c r="G223" s="103"/>
      <c r="H223" s="102" t="s">
        <v>1255</v>
      </c>
      <c r="I223" s="9">
        <v>1</v>
      </c>
      <c r="J223" s="9">
        <v>600</v>
      </c>
      <c r="K223" s="100">
        <f t="shared" si="44"/>
        <v>600</v>
      </c>
      <c r="L223" s="78">
        <v>46112</v>
      </c>
      <c r="M223" s="103"/>
      <c r="N223" s="93" t="s">
        <v>143</v>
      </c>
      <c r="O223" s="94">
        <v>46141</v>
      </c>
      <c r="P223" s="104">
        <f t="shared" si="39"/>
        <v>600</v>
      </c>
      <c r="Q223" s="104">
        <f t="shared" si="40"/>
        <v>600</v>
      </c>
      <c r="R223" s="104"/>
      <c r="S223" s="93" t="s">
        <v>331</v>
      </c>
      <c r="T223" s="94">
        <v>46153</v>
      </c>
      <c r="U223" s="104">
        <f t="shared" si="41"/>
        <v>600</v>
      </c>
      <c r="V223" s="104">
        <f t="shared" si="42"/>
        <v>1</v>
      </c>
      <c r="W223" s="103">
        <f t="shared" si="43"/>
        <v>600</v>
      </c>
      <c r="X223" s="93" t="s">
        <v>89</v>
      </c>
      <c r="Y223" s="105" t="s">
        <v>84</v>
      </c>
      <c r="Z223" s="105" t="s">
        <v>93</v>
      </c>
    </row>
    <row r="224" spans="1:26" s="105" customFormat="1" ht="15" customHeight="1">
      <c r="A224" s="99">
        <f t="shared" si="38"/>
        <v>222</v>
      </c>
      <c r="B224" s="75" t="s">
        <v>152</v>
      </c>
      <c r="C224" s="100" t="str">
        <f>IF($B224&lt;&gt;"",_xlfn.IFNA(VLOOKUP($B224,'Node Details'!$B:$U,C$1,0),"Check"),"")</f>
        <v>0000AXY04-0000AXY05</v>
      </c>
      <c r="D224" s="100" t="str">
        <f>IF($B224&lt;&gt;"",_xlfn.IFNA(VLOOKUP($B224,'Node Details'!$B:$U,D$1,0),"Check"),"")</f>
        <v>AXY</v>
      </c>
      <c r="E224" s="100" t="str">
        <f>IF($B224&lt;&gt;"",_xlfn.IFNA(VLOOKUP($B224,'Node Details'!$B:$U,E$1,0),"Check"),"")</f>
        <v>Airtel</v>
      </c>
      <c r="F224" s="101">
        <v>46113</v>
      </c>
      <c r="G224" s="103"/>
      <c r="H224" s="102" t="s">
        <v>1255</v>
      </c>
      <c r="I224" s="9">
        <v>1</v>
      </c>
      <c r="J224" s="9">
        <v>600</v>
      </c>
      <c r="K224" s="100">
        <f t="shared" si="44"/>
        <v>600</v>
      </c>
      <c r="L224" s="78">
        <v>46112</v>
      </c>
      <c r="M224" s="103"/>
      <c r="N224" s="93" t="s">
        <v>143</v>
      </c>
      <c r="O224" s="94">
        <v>46141</v>
      </c>
      <c r="P224" s="104">
        <f t="shared" si="39"/>
        <v>600</v>
      </c>
      <c r="Q224" s="104">
        <f t="shared" si="40"/>
        <v>600</v>
      </c>
      <c r="R224" s="104"/>
      <c r="S224" s="93" t="s">
        <v>331</v>
      </c>
      <c r="T224" s="94">
        <v>46153</v>
      </c>
      <c r="U224" s="104">
        <f t="shared" si="41"/>
        <v>600</v>
      </c>
      <c r="V224" s="104">
        <f t="shared" si="42"/>
        <v>1</v>
      </c>
      <c r="W224" s="103">
        <f t="shared" si="43"/>
        <v>600</v>
      </c>
      <c r="X224" s="93" t="s">
        <v>89</v>
      </c>
      <c r="Y224" s="105" t="s">
        <v>84</v>
      </c>
      <c r="Z224" s="105" t="s">
        <v>93</v>
      </c>
    </row>
    <row r="225" spans="1:26" s="105" customFormat="1" ht="15" customHeight="1">
      <c r="A225" s="99">
        <f t="shared" si="38"/>
        <v>223</v>
      </c>
      <c r="B225" s="75" t="s">
        <v>208</v>
      </c>
      <c r="C225" s="100" t="str">
        <f>IF($B225&lt;&gt;"",_xlfn.IFNA(VLOOKUP($B225,'Node Details'!$B:$U,C$1,0),"Check"),"")</f>
        <v>000000AXY-0000AXY12</v>
      </c>
      <c r="D225" s="100" t="str">
        <f>IF($B225&lt;&gt;"",_xlfn.IFNA(VLOOKUP($B225,'Node Details'!$B:$U,D$1,0),"Check"),"")</f>
        <v>AXY</v>
      </c>
      <c r="E225" s="100" t="str">
        <f>IF($B225&lt;&gt;"",_xlfn.IFNA(VLOOKUP($B225,'Node Details'!$B:$U,E$1,0),"Check"),"")</f>
        <v>Airtel</v>
      </c>
      <c r="F225" s="101">
        <v>46113</v>
      </c>
      <c r="G225" s="103"/>
      <c r="H225" s="102" t="s">
        <v>1255</v>
      </c>
      <c r="I225" s="9">
        <v>1</v>
      </c>
      <c r="J225" s="9">
        <v>600</v>
      </c>
      <c r="K225" s="100">
        <f t="shared" si="44"/>
        <v>600</v>
      </c>
      <c r="L225" s="78">
        <v>46112</v>
      </c>
      <c r="M225" s="103"/>
      <c r="N225" s="93" t="s">
        <v>143</v>
      </c>
      <c r="O225" s="94">
        <v>46141</v>
      </c>
      <c r="P225" s="104">
        <f t="shared" si="39"/>
        <v>600</v>
      </c>
      <c r="Q225" s="104">
        <f t="shared" si="40"/>
        <v>600</v>
      </c>
      <c r="R225" s="104"/>
      <c r="S225" s="93" t="s">
        <v>331</v>
      </c>
      <c r="T225" s="94">
        <v>46153</v>
      </c>
      <c r="U225" s="104">
        <f t="shared" si="41"/>
        <v>600</v>
      </c>
      <c r="V225" s="104">
        <f t="shared" si="42"/>
        <v>1</v>
      </c>
      <c r="W225" s="103">
        <f t="shared" si="43"/>
        <v>600</v>
      </c>
      <c r="X225" s="93" t="s">
        <v>89</v>
      </c>
      <c r="Y225" s="105" t="s">
        <v>84</v>
      </c>
      <c r="Z225" s="105" t="s">
        <v>93</v>
      </c>
    </row>
    <row r="226" spans="1:26" s="105" customFormat="1" ht="15" customHeight="1">
      <c r="A226" s="99">
        <f t="shared" si="38"/>
        <v>224</v>
      </c>
      <c r="B226" s="75" t="s">
        <v>218</v>
      </c>
      <c r="C226" s="100" t="str">
        <f>IF($B226&lt;&gt;"",_xlfn.IFNA(VLOOKUP($B226,'Node Details'!$B:$U,C$1,0),"Check"),"")</f>
        <v>000000AXY-0000AXY12</v>
      </c>
      <c r="D226" s="100" t="str">
        <f>IF($B226&lt;&gt;"",_xlfn.IFNA(VLOOKUP($B226,'Node Details'!$B:$U,D$1,0),"Check"),"")</f>
        <v>AXY</v>
      </c>
      <c r="E226" s="100" t="str">
        <f>IF($B226&lt;&gt;"",_xlfn.IFNA(VLOOKUP($B226,'Node Details'!$B:$U,E$1,0),"Check"),"")</f>
        <v>Airtel</v>
      </c>
      <c r="F226" s="101">
        <v>46113</v>
      </c>
      <c r="G226" s="103"/>
      <c r="H226" s="102" t="s">
        <v>1255</v>
      </c>
      <c r="I226" s="9">
        <v>1</v>
      </c>
      <c r="J226" s="9">
        <v>600</v>
      </c>
      <c r="K226" s="100">
        <f t="shared" si="44"/>
        <v>600</v>
      </c>
      <c r="L226" s="78">
        <v>46112</v>
      </c>
      <c r="M226" s="103"/>
      <c r="N226" s="93" t="s">
        <v>143</v>
      </c>
      <c r="O226" s="94">
        <v>46141</v>
      </c>
      <c r="P226" s="104">
        <f t="shared" si="39"/>
        <v>600</v>
      </c>
      <c r="Q226" s="104">
        <f t="shared" si="40"/>
        <v>600</v>
      </c>
      <c r="R226" s="104"/>
      <c r="S226" s="93" t="s">
        <v>331</v>
      </c>
      <c r="T226" s="94">
        <v>46153</v>
      </c>
      <c r="U226" s="104">
        <f t="shared" si="41"/>
        <v>600</v>
      </c>
      <c r="V226" s="104">
        <f t="shared" si="42"/>
        <v>1</v>
      </c>
      <c r="W226" s="103">
        <f t="shared" si="43"/>
        <v>600</v>
      </c>
      <c r="X226" s="93" t="s">
        <v>89</v>
      </c>
      <c r="Y226" s="105" t="s">
        <v>84</v>
      </c>
      <c r="Z226" s="105" t="s">
        <v>93</v>
      </c>
    </row>
    <row r="227" spans="1:26" s="105" customFormat="1" ht="15" customHeight="1">
      <c r="A227" s="99">
        <f t="shared" si="38"/>
        <v>225</v>
      </c>
      <c r="B227" s="75" t="s">
        <v>1001</v>
      </c>
      <c r="C227" s="100" t="str">
        <f>IF($B227&lt;&gt;"",_xlfn.IFNA(VLOOKUP($B227,'Node Details'!$B:$U,C$1,0),"Check"),"")</f>
        <v>000000AXY-0000AXY12</v>
      </c>
      <c r="D227" s="100" t="str">
        <f>IF($B227&lt;&gt;"",_xlfn.IFNA(VLOOKUP($B227,'Node Details'!$B:$U,D$1,0),"Check"),"")</f>
        <v>AXY</v>
      </c>
      <c r="E227" s="100" t="str">
        <f>IF($B227&lt;&gt;"",_xlfn.IFNA(VLOOKUP($B227,'Node Details'!$B:$U,E$1,0),"Check"),"")</f>
        <v>Airtel</v>
      </c>
      <c r="F227" s="101">
        <v>46113</v>
      </c>
      <c r="G227" s="103"/>
      <c r="H227" s="102" t="s">
        <v>1255</v>
      </c>
      <c r="I227" s="9">
        <v>1</v>
      </c>
      <c r="J227" s="9">
        <v>600</v>
      </c>
      <c r="K227" s="100">
        <f t="shared" si="44"/>
        <v>600</v>
      </c>
      <c r="L227" s="78">
        <v>46112</v>
      </c>
      <c r="M227" s="103"/>
      <c r="N227" s="93" t="s">
        <v>143</v>
      </c>
      <c r="O227" s="94">
        <v>46141</v>
      </c>
      <c r="P227" s="104">
        <f t="shared" si="39"/>
        <v>600</v>
      </c>
      <c r="Q227" s="104">
        <f t="shared" si="40"/>
        <v>600</v>
      </c>
      <c r="R227" s="104"/>
      <c r="S227" s="93" t="s">
        <v>331</v>
      </c>
      <c r="T227" s="94">
        <v>46153</v>
      </c>
      <c r="U227" s="104">
        <f t="shared" si="41"/>
        <v>600</v>
      </c>
      <c r="V227" s="104">
        <f t="shared" si="42"/>
        <v>1</v>
      </c>
      <c r="W227" s="103">
        <f t="shared" si="43"/>
        <v>600</v>
      </c>
      <c r="X227" s="93" t="s">
        <v>89</v>
      </c>
      <c r="Y227" s="105" t="s">
        <v>84</v>
      </c>
      <c r="Z227" s="105" t="s">
        <v>93</v>
      </c>
    </row>
    <row r="228" spans="1:26" s="105" customFormat="1" ht="15" customHeight="1">
      <c r="A228" s="99">
        <f t="shared" si="38"/>
        <v>226</v>
      </c>
      <c r="B228" s="75" t="s">
        <v>1006</v>
      </c>
      <c r="C228" s="100" t="str">
        <f>IF($B228&lt;&gt;"",_xlfn.IFNA(VLOOKUP($B228,'Node Details'!$B:$U,C$1,0),"Check"),"")</f>
        <v>000000AXY-0000AXY12</v>
      </c>
      <c r="D228" s="100" t="str">
        <f>IF($B228&lt;&gt;"",_xlfn.IFNA(VLOOKUP($B228,'Node Details'!$B:$U,D$1,0),"Check"),"")</f>
        <v>AXY</v>
      </c>
      <c r="E228" s="100" t="str">
        <f>IF($B228&lt;&gt;"",_xlfn.IFNA(VLOOKUP($B228,'Node Details'!$B:$U,E$1,0),"Check"),"")</f>
        <v>Airtel</v>
      </c>
      <c r="F228" s="101">
        <v>46113</v>
      </c>
      <c r="G228" s="103"/>
      <c r="H228" s="102" t="s">
        <v>1255</v>
      </c>
      <c r="I228" s="9">
        <v>1</v>
      </c>
      <c r="J228" s="9">
        <v>600</v>
      </c>
      <c r="K228" s="100">
        <f t="shared" si="44"/>
        <v>600</v>
      </c>
      <c r="L228" s="78">
        <v>46112</v>
      </c>
      <c r="M228" s="103"/>
      <c r="N228" s="93" t="s">
        <v>143</v>
      </c>
      <c r="O228" s="94">
        <v>46141</v>
      </c>
      <c r="P228" s="104">
        <f t="shared" si="39"/>
        <v>600</v>
      </c>
      <c r="Q228" s="104">
        <f t="shared" si="40"/>
        <v>600</v>
      </c>
      <c r="R228" s="104"/>
      <c r="S228" s="93" t="s">
        <v>331</v>
      </c>
      <c r="T228" s="94">
        <v>46153</v>
      </c>
      <c r="U228" s="104">
        <f t="shared" si="41"/>
        <v>600</v>
      </c>
      <c r="V228" s="104">
        <f t="shared" si="42"/>
        <v>1</v>
      </c>
      <c r="W228" s="103">
        <f t="shared" si="43"/>
        <v>600</v>
      </c>
      <c r="X228" s="93" t="s">
        <v>89</v>
      </c>
      <c r="Y228" s="105" t="s">
        <v>84</v>
      </c>
      <c r="Z228" s="105" t="s">
        <v>93</v>
      </c>
    </row>
    <row r="229" spans="1:26" s="105" customFormat="1" ht="15" customHeight="1">
      <c r="A229" s="99">
        <f t="shared" si="38"/>
        <v>227</v>
      </c>
      <c r="B229" s="75" t="s">
        <v>1014</v>
      </c>
      <c r="C229" s="100" t="str">
        <f>IF($B229&lt;&gt;"",_xlfn.IFNA(VLOOKUP($B229,'Node Details'!$B:$U,C$1,0),"Check"),"")</f>
        <v>000000AXY-0000AXY12</v>
      </c>
      <c r="D229" s="100" t="str">
        <f>IF($B229&lt;&gt;"",_xlfn.IFNA(VLOOKUP($B229,'Node Details'!$B:$U,D$1,0),"Check"),"")</f>
        <v>AXY</v>
      </c>
      <c r="E229" s="100" t="str">
        <f>IF($B229&lt;&gt;"",_xlfn.IFNA(VLOOKUP($B229,'Node Details'!$B:$U,E$1,0),"Check"),"")</f>
        <v>Airtel</v>
      </c>
      <c r="F229" s="101">
        <v>46113</v>
      </c>
      <c r="G229" s="103"/>
      <c r="H229" s="102" t="s">
        <v>1255</v>
      </c>
      <c r="I229" s="9">
        <v>1</v>
      </c>
      <c r="J229" s="9">
        <v>600</v>
      </c>
      <c r="K229" s="100">
        <f t="shared" si="44"/>
        <v>600</v>
      </c>
      <c r="L229" s="78">
        <v>46112</v>
      </c>
      <c r="M229" s="103"/>
      <c r="N229" s="93" t="s">
        <v>143</v>
      </c>
      <c r="O229" s="94">
        <v>46141</v>
      </c>
      <c r="P229" s="104">
        <f t="shared" si="39"/>
        <v>600</v>
      </c>
      <c r="Q229" s="104">
        <f t="shared" si="40"/>
        <v>600</v>
      </c>
      <c r="R229" s="104"/>
      <c r="S229" s="93" t="s">
        <v>331</v>
      </c>
      <c r="T229" s="94">
        <v>46153</v>
      </c>
      <c r="U229" s="104">
        <f t="shared" si="41"/>
        <v>600</v>
      </c>
      <c r="V229" s="104">
        <f t="shared" si="42"/>
        <v>1</v>
      </c>
      <c r="W229" s="103">
        <f t="shared" si="43"/>
        <v>600</v>
      </c>
      <c r="X229" s="93" t="s">
        <v>89</v>
      </c>
      <c r="Y229" s="105" t="s">
        <v>84</v>
      </c>
      <c r="Z229" s="105" t="s">
        <v>93</v>
      </c>
    </row>
    <row r="230" spans="1:26" s="105" customFormat="1" ht="15" customHeight="1">
      <c r="A230" s="99">
        <f t="shared" si="38"/>
        <v>228</v>
      </c>
      <c r="B230" s="75" t="s">
        <v>1019</v>
      </c>
      <c r="C230" s="100" t="str">
        <f>IF($B230&lt;&gt;"",_xlfn.IFNA(VLOOKUP($B230,'Node Details'!$B:$U,C$1,0),"Check"),"")</f>
        <v>000000AXY-0000AXY12</v>
      </c>
      <c r="D230" s="100" t="str">
        <f>IF($B230&lt;&gt;"",_xlfn.IFNA(VLOOKUP($B230,'Node Details'!$B:$U,D$1,0),"Check"),"")</f>
        <v>AXY</v>
      </c>
      <c r="E230" s="100" t="str">
        <f>IF($B230&lt;&gt;"",_xlfn.IFNA(VLOOKUP($B230,'Node Details'!$B:$U,E$1,0),"Check"),"")</f>
        <v>Airtel</v>
      </c>
      <c r="F230" s="101">
        <v>46113</v>
      </c>
      <c r="G230" s="103"/>
      <c r="H230" s="102" t="s">
        <v>1255</v>
      </c>
      <c r="I230" s="9">
        <v>1</v>
      </c>
      <c r="J230" s="9">
        <v>600</v>
      </c>
      <c r="K230" s="100">
        <f t="shared" si="44"/>
        <v>600</v>
      </c>
      <c r="L230" s="78">
        <v>46112</v>
      </c>
      <c r="M230" s="103"/>
      <c r="N230" s="93" t="s">
        <v>143</v>
      </c>
      <c r="O230" s="94">
        <v>46141</v>
      </c>
      <c r="P230" s="104">
        <f t="shared" si="39"/>
        <v>600</v>
      </c>
      <c r="Q230" s="104">
        <f t="shared" si="40"/>
        <v>600</v>
      </c>
      <c r="R230" s="104"/>
      <c r="S230" s="93" t="s">
        <v>331</v>
      </c>
      <c r="T230" s="94">
        <v>46153</v>
      </c>
      <c r="U230" s="104">
        <f t="shared" si="41"/>
        <v>600</v>
      </c>
      <c r="V230" s="104">
        <f t="shared" si="42"/>
        <v>1</v>
      </c>
      <c r="W230" s="103">
        <f t="shared" si="43"/>
        <v>600</v>
      </c>
      <c r="X230" s="93" t="s">
        <v>89</v>
      </c>
      <c r="Y230" s="105" t="s">
        <v>84</v>
      </c>
      <c r="Z230" s="105" t="s">
        <v>93</v>
      </c>
    </row>
    <row r="231" spans="1:26" s="105" customFormat="1" ht="15" customHeight="1">
      <c r="A231" s="99">
        <f t="shared" si="38"/>
        <v>229</v>
      </c>
      <c r="B231" s="75" t="s">
        <v>141</v>
      </c>
      <c r="C231" s="100" t="str">
        <f>IF($B231&lt;&gt;"",_xlfn.IFNA(VLOOKUP($B231,'Node Details'!$B:$U,C$1,0),"Check"),"")</f>
        <v>000000AXY-0000AXY12</v>
      </c>
      <c r="D231" s="100" t="str">
        <f>IF($B231&lt;&gt;"",_xlfn.IFNA(VLOOKUP($B231,'Node Details'!$B:$U,D$1,0),"Check"),"")</f>
        <v>AXY</v>
      </c>
      <c r="E231" s="100" t="str">
        <f>IF($B231&lt;&gt;"",_xlfn.IFNA(VLOOKUP($B231,'Node Details'!$B:$U,E$1,0),"Check"),"")</f>
        <v>Airtel</v>
      </c>
      <c r="F231" s="101">
        <v>46113</v>
      </c>
      <c r="G231" s="103"/>
      <c r="H231" s="102" t="s">
        <v>1255</v>
      </c>
      <c r="I231" s="9">
        <v>1</v>
      </c>
      <c r="J231" s="9">
        <v>600</v>
      </c>
      <c r="K231" s="100">
        <f t="shared" si="44"/>
        <v>600</v>
      </c>
      <c r="L231" s="78">
        <v>46112</v>
      </c>
      <c r="M231" s="103"/>
      <c r="N231" s="93" t="s">
        <v>143</v>
      </c>
      <c r="O231" s="94">
        <v>46141</v>
      </c>
      <c r="P231" s="104">
        <f t="shared" si="39"/>
        <v>600</v>
      </c>
      <c r="Q231" s="104">
        <f t="shared" si="40"/>
        <v>600</v>
      </c>
      <c r="R231" s="104"/>
      <c r="S231" s="93" t="s">
        <v>331</v>
      </c>
      <c r="T231" s="94">
        <v>46153</v>
      </c>
      <c r="U231" s="104">
        <f t="shared" si="41"/>
        <v>600</v>
      </c>
      <c r="V231" s="104">
        <f t="shared" si="42"/>
        <v>1</v>
      </c>
      <c r="W231" s="103">
        <f t="shared" si="43"/>
        <v>600</v>
      </c>
      <c r="X231" s="93" t="s">
        <v>89</v>
      </c>
      <c r="Y231" s="105" t="s">
        <v>84</v>
      </c>
      <c r="Z231" s="105" t="s">
        <v>93</v>
      </c>
    </row>
    <row r="232" spans="1:26" s="105" customFormat="1" ht="15" customHeight="1">
      <c r="A232" s="99">
        <f t="shared" si="38"/>
        <v>230</v>
      </c>
      <c r="B232" s="75" t="s">
        <v>1025</v>
      </c>
      <c r="C232" s="100" t="str">
        <f>IF($B232&lt;&gt;"",_xlfn.IFNA(VLOOKUP($B232,'Node Details'!$B:$U,C$1,0),"Check"),"")</f>
        <v>000000AXY-0000AXY17</v>
      </c>
      <c r="D232" s="100" t="str">
        <f>IF($B232&lt;&gt;"",_xlfn.IFNA(VLOOKUP($B232,'Node Details'!$B:$U,D$1,0),"Check"),"")</f>
        <v>AXY</v>
      </c>
      <c r="E232" s="100" t="str">
        <f>IF($B232&lt;&gt;"",_xlfn.IFNA(VLOOKUP($B232,'Node Details'!$B:$U,E$1,0),"Check"),"")</f>
        <v>Airtel</v>
      </c>
      <c r="F232" s="101">
        <v>46113</v>
      </c>
      <c r="G232" s="103"/>
      <c r="H232" s="102" t="s">
        <v>1255</v>
      </c>
      <c r="I232" s="9">
        <v>1</v>
      </c>
      <c r="J232" s="9">
        <v>600</v>
      </c>
      <c r="K232" s="100">
        <f t="shared" si="44"/>
        <v>600</v>
      </c>
      <c r="L232" s="78">
        <v>46112</v>
      </c>
      <c r="M232" s="103"/>
      <c r="N232" s="93" t="s">
        <v>143</v>
      </c>
      <c r="O232" s="94">
        <v>46141</v>
      </c>
      <c r="P232" s="104">
        <f t="shared" si="39"/>
        <v>600</v>
      </c>
      <c r="Q232" s="104">
        <f t="shared" si="40"/>
        <v>600</v>
      </c>
      <c r="R232" s="104"/>
      <c r="S232" s="93" t="s">
        <v>331</v>
      </c>
      <c r="T232" s="94">
        <v>46153</v>
      </c>
      <c r="U232" s="104">
        <f t="shared" si="41"/>
        <v>600</v>
      </c>
      <c r="V232" s="104">
        <f t="shared" si="42"/>
        <v>1</v>
      </c>
      <c r="W232" s="103">
        <f t="shared" si="43"/>
        <v>600</v>
      </c>
      <c r="X232" s="93" t="s">
        <v>89</v>
      </c>
      <c r="Y232" s="105" t="s">
        <v>84</v>
      </c>
      <c r="Z232" s="105" t="s">
        <v>93</v>
      </c>
    </row>
    <row r="233" spans="1:26" s="105" customFormat="1" ht="15" customHeight="1">
      <c r="A233" s="99">
        <f t="shared" si="38"/>
        <v>231</v>
      </c>
      <c r="B233" s="75" t="s">
        <v>1031</v>
      </c>
      <c r="C233" s="100" t="str">
        <f>IF($B233&lt;&gt;"",_xlfn.IFNA(VLOOKUP($B233,'Node Details'!$B:$U,C$1,0),"Check"),"")</f>
        <v>000000AXY-0000AXY17</v>
      </c>
      <c r="D233" s="100" t="str">
        <f>IF($B233&lt;&gt;"",_xlfn.IFNA(VLOOKUP($B233,'Node Details'!$B:$U,D$1,0),"Check"),"")</f>
        <v>AXY</v>
      </c>
      <c r="E233" s="100" t="str">
        <f>IF($B233&lt;&gt;"",_xlfn.IFNA(VLOOKUP($B233,'Node Details'!$B:$U,E$1,0),"Check"),"")</f>
        <v>Airtel</v>
      </c>
      <c r="F233" s="101">
        <v>46113</v>
      </c>
      <c r="G233" s="103"/>
      <c r="H233" s="102" t="s">
        <v>1255</v>
      </c>
      <c r="I233" s="9">
        <v>1</v>
      </c>
      <c r="J233" s="9">
        <v>600</v>
      </c>
      <c r="K233" s="100">
        <f t="shared" si="44"/>
        <v>600</v>
      </c>
      <c r="L233" s="78">
        <v>46112</v>
      </c>
      <c r="M233" s="103"/>
      <c r="N233" s="93" t="s">
        <v>143</v>
      </c>
      <c r="O233" s="94">
        <v>46141</v>
      </c>
      <c r="P233" s="104">
        <f t="shared" si="39"/>
        <v>600</v>
      </c>
      <c r="Q233" s="104">
        <f t="shared" si="40"/>
        <v>600</v>
      </c>
      <c r="R233" s="104"/>
      <c r="S233" s="93" t="s">
        <v>331</v>
      </c>
      <c r="T233" s="94">
        <v>46153</v>
      </c>
      <c r="U233" s="104">
        <f t="shared" si="41"/>
        <v>600</v>
      </c>
      <c r="V233" s="104">
        <f t="shared" si="42"/>
        <v>1</v>
      </c>
      <c r="W233" s="103">
        <f t="shared" si="43"/>
        <v>600</v>
      </c>
      <c r="X233" s="93" t="s">
        <v>89</v>
      </c>
      <c r="Y233" s="105" t="s">
        <v>84</v>
      </c>
      <c r="Z233" s="105" t="s">
        <v>93</v>
      </c>
    </row>
    <row r="234" spans="1:26" s="105" customFormat="1" ht="15" customHeight="1">
      <c r="A234" s="99">
        <f t="shared" si="38"/>
        <v>232</v>
      </c>
      <c r="B234" s="75" t="s">
        <v>1037</v>
      </c>
      <c r="C234" s="100" t="str">
        <f>IF($B234&lt;&gt;"",_xlfn.IFNA(VLOOKUP($B234,'Node Details'!$B:$U,C$1,0),"Check"),"")</f>
        <v>000000AXY-0000AXY17</v>
      </c>
      <c r="D234" s="100" t="str">
        <f>IF($B234&lt;&gt;"",_xlfn.IFNA(VLOOKUP($B234,'Node Details'!$B:$U,D$1,0),"Check"),"")</f>
        <v>AXY</v>
      </c>
      <c r="E234" s="100" t="str">
        <f>IF($B234&lt;&gt;"",_xlfn.IFNA(VLOOKUP($B234,'Node Details'!$B:$U,E$1,0),"Check"),"")</f>
        <v>Airtel</v>
      </c>
      <c r="F234" s="101">
        <v>46113</v>
      </c>
      <c r="G234" s="103"/>
      <c r="H234" s="102" t="s">
        <v>1255</v>
      </c>
      <c r="I234" s="9">
        <v>1</v>
      </c>
      <c r="J234" s="9">
        <v>600</v>
      </c>
      <c r="K234" s="100">
        <f t="shared" si="44"/>
        <v>600</v>
      </c>
      <c r="L234" s="78">
        <v>46112</v>
      </c>
      <c r="M234" s="103"/>
      <c r="N234" s="93" t="s">
        <v>143</v>
      </c>
      <c r="O234" s="94">
        <v>46141</v>
      </c>
      <c r="P234" s="104">
        <f t="shared" si="39"/>
        <v>600</v>
      </c>
      <c r="Q234" s="104">
        <f t="shared" si="40"/>
        <v>600</v>
      </c>
      <c r="R234" s="104"/>
      <c r="S234" s="93" t="s">
        <v>331</v>
      </c>
      <c r="T234" s="94">
        <v>46153</v>
      </c>
      <c r="U234" s="104">
        <f t="shared" si="41"/>
        <v>600</v>
      </c>
      <c r="V234" s="104">
        <f t="shared" si="42"/>
        <v>1</v>
      </c>
      <c r="W234" s="103">
        <f t="shared" si="43"/>
        <v>600</v>
      </c>
      <c r="X234" s="93" t="s">
        <v>89</v>
      </c>
      <c r="Y234" s="105" t="s">
        <v>84</v>
      </c>
      <c r="Z234" s="105" t="s">
        <v>93</v>
      </c>
    </row>
    <row r="235" spans="1:26" s="105" customFormat="1" ht="15" customHeight="1">
      <c r="A235" s="99">
        <f t="shared" si="38"/>
        <v>233</v>
      </c>
      <c r="B235" s="75" t="s">
        <v>1042</v>
      </c>
      <c r="C235" s="100" t="str">
        <f>IF($B235&lt;&gt;"",_xlfn.IFNA(VLOOKUP($B235,'Node Details'!$B:$U,C$1,0),"Check"),"")</f>
        <v>000000AXY-0000AXY17</v>
      </c>
      <c r="D235" s="100" t="str">
        <f>IF($B235&lt;&gt;"",_xlfn.IFNA(VLOOKUP($B235,'Node Details'!$B:$U,D$1,0),"Check"),"")</f>
        <v>AXY</v>
      </c>
      <c r="E235" s="100" t="str">
        <f>IF($B235&lt;&gt;"",_xlfn.IFNA(VLOOKUP($B235,'Node Details'!$B:$U,E$1,0),"Check"),"")</f>
        <v>Airtel</v>
      </c>
      <c r="F235" s="101">
        <v>46113</v>
      </c>
      <c r="G235" s="103"/>
      <c r="H235" s="102" t="s">
        <v>1255</v>
      </c>
      <c r="I235" s="9">
        <v>1</v>
      </c>
      <c r="J235" s="9">
        <v>600</v>
      </c>
      <c r="K235" s="100">
        <f t="shared" si="44"/>
        <v>600</v>
      </c>
      <c r="L235" s="78">
        <v>46112</v>
      </c>
      <c r="M235" s="103"/>
      <c r="N235" s="93" t="s">
        <v>143</v>
      </c>
      <c r="O235" s="94">
        <v>46141</v>
      </c>
      <c r="P235" s="104">
        <f t="shared" si="39"/>
        <v>600</v>
      </c>
      <c r="Q235" s="104">
        <f t="shared" si="40"/>
        <v>600</v>
      </c>
      <c r="R235" s="104"/>
      <c r="S235" s="93" t="s">
        <v>331</v>
      </c>
      <c r="T235" s="94">
        <v>46153</v>
      </c>
      <c r="U235" s="104">
        <f t="shared" si="41"/>
        <v>600</v>
      </c>
      <c r="V235" s="104">
        <f t="shared" si="42"/>
        <v>1</v>
      </c>
      <c r="W235" s="103">
        <f t="shared" si="43"/>
        <v>600</v>
      </c>
      <c r="X235" s="93" t="s">
        <v>89</v>
      </c>
      <c r="Y235" s="105" t="s">
        <v>84</v>
      </c>
      <c r="Z235" s="105" t="s">
        <v>93</v>
      </c>
    </row>
    <row r="236" spans="1:26" s="105" customFormat="1" ht="15" customHeight="1">
      <c r="A236" s="99">
        <f t="shared" si="38"/>
        <v>234</v>
      </c>
      <c r="B236" s="75" t="s">
        <v>147</v>
      </c>
      <c r="C236" s="100" t="str">
        <f>IF($B236&lt;&gt;"",_xlfn.IFNA(VLOOKUP($B236,'Node Details'!$B:$U,C$1,0),"Check"),"")</f>
        <v>000000AXY-0000AXY17</v>
      </c>
      <c r="D236" s="100" t="str">
        <f>IF($B236&lt;&gt;"",_xlfn.IFNA(VLOOKUP($B236,'Node Details'!$B:$U,D$1,0),"Check"),"")</f>
        <v>AXY</v>
      </c>
      <c r="E236" s="100" t="str">
        <f>IF($B236&lt;&gt;"",_xlfn.IFNA(VLOOKUP($B236,'Node Details'!$B:$U,E$1,0),"Check"),"")</f>
        <v>Airtel</v>
      </c>
      <c r="F236" s="101">
        <v>46113</v>
      </c>
      <c r="G236" s="103"/>
      <c r="H236" s="102" t="s">
        <v>1255</v>
      </c>
      <c r="I236" s="9">
        <v>1</v>
      </c>
      <c r="J236" s="9">
        <v>600</v>
      </c>
      <c r="K236" s="100">
        <f t="shared" si="44"/>
        <v>600</v>
      </c>
      <c r="L236" s="78">
        <v>46112</v>
      </c>
      <c r="M236" s="103"/>
      <c r="N236" s="93" t="s">
        <v>143</v>
      </c>
      <c r="O236" s="94">
        <v>46141</v>
      </c>
      <c r="P236" s="104">
        <f t="shared" si="39"/>
        <v>600</v>
      </c>
      <c r="Q236" s="104">
        <f t="shared" si="40"/>
        <v>600</v>
      </c>
      <c r="R236" s="104"/>
      <c r="S236" s="93" t="s">
        <v>331</v>
      </c>
      <c r="T236" s="94">
        <v>46153</v>
      </c>
      <c r="U236" s="104">
        <f t="shared" si="41"/>
        <v>600</v>
      </c>
      <c r="V236" s="104">
        <f t="shared" si="42"/>
        <v>1</v>
      </c>
      <c r="W236" s="103">
        <f t="shared" si="43"/>
        <v>600</v>
      </c>
      <c r="X236" s="93" t="s">
        <v>89</v>
      </c>
      <c r="Y236" s="105" t="s">
        <v>84</v>
      </c>
      <c r="Z236" s="105" t="s">
        <v>93</v>
      </c>
    </row>
    <row r="237" spans="1:26" s="105" customFormat="1" ht="15" customHeight="1">
      <c r="A237" s="99">
        <f t="shared" si="38"/>
        <v>235</v>
      </c>
      <c r="B237" s="75" t="s">
        <v>149</v>
      </c>
      <c r="C237" s="100" t="str">
        <f>IF($B237&lt;&gt;"",_xlfn.IFNA(VLOOKUP($B237,'Node Details'!$B:$U,C$1,0),"Check"),"")</f>
        <v>000000AXY-0000AXY01</v>
      </c>
      <c r="D237" s="100" t="str">
        <f>IF($B237&lt;&gt;"",_xlfn.IFNA(VLOOKUP($B237,'Node Details'!$B:$U,D$1,0),"Check"),"")</f>
        <v>AXY</v>
      </c>
      <c r="E237" s="100" t="str">
        <f>IF($B237&lt;&gt;"",_xlfn.IFNA(VLOOKUP($B237,'Node Details'!$B:$U,E$1,0),"Check"),"")</f>
        <v>Airtel</v>
      </c>
      <c r="F237" s="101">
        <v>46113</v>
      </c>
      <c r="G237" s="103"/>
      <c r="H237" s="102" t="s">
        <v>1256</v>
      </c>
      <c r="I237" s="9">
        <v>1</v>
      </c>
      <c r="J237" s="9">
        <v>48</v>
      </c>
      <c r="K237" s="100">
        <f t="shared" si="44"/>
        <v>48</v>
      </c>
      <c r="L237" s="78">
        <v>46112</v>
      </c>
      <c r="M237" s="103"/>
      <c r="N237" s="93" t="s">
        <v>143</v>
      </c>
      <c r="O237" s="94">
        <v>46141</v>
      </c>
      <c r="P237" s="104">
        <f t="shared" si="39"/>
        <v>48</v>
      </c>
      <c r="Q237" s="104">
        <f t="shared" si="40"/>
        <v>48</v>
      </c>
      <c r="R237" s="104"/>
      <c r="S237" s="93" t="s">
        <v>331</v>
      </c>
      <c r="T237" s="94">
        <v>46153</v>
      </c>
      <c r="U237" s="104">
        <f t="shared" si="41"/>
        <v>48</v>
      </c>
      <c r="V237" s="104">
        <f t="shared" si="42"/>
        <v>1</v>
      </c>
      <c r="W237" s="103">
        <f t="shared" si="43"/>
        <v>48</v>
      </c>
      <c r="X237" s="93" t="s">
        <v>89</v>
      </c>
      <c r="Y237" s="105" t="s">
        <v>84</v>
      </c>
      <c r="Z237" s="105" t="s">
        <v>93</v>
      </c>
    </row>
    <row r="238" spans="1:26" s="105" customFormat="1" ht="15" customHeight="1">
      <c r="A238" s="99">
        <f t="shared" si="38"/>
        <v>236</v>
      </c>
      <c r="B238" s="75" t="s">
        <v>157</v>
      </c>
      <c r="C238" s="100" t="str">
        <f>IF($B238&lt;&gt;"",_xlfn.IFNA(VLOOKUP($B238,'Node Details'!$B:$U,C$1,0),"Check"),"")</f>
        <v>0000AXY01-AXY010101</v>
      </c>
      <c r="D238" s="100" t="str">
        <f>IF($B238&lt;&gt;"",_xlfn.IFNA(VLOOKUP($B238,'Node Details'!$B:$U,D$1,0),"Check"),"")</f>
        <v>AXY</v>
      </c>
      <c r="E238" s="100" t="str">
        <f>IF($B238&lt;&gt;"",_xlfn.IFNA(VLOOKUP($B238,'Node Details'!$B:$U,E$1,0),"Check"),"")</f>
        <v>Airtel</v>
      </c>
      <c r="F238" s="101">
        <v>46113</v>
      </c>
      <c r="G238" s="103"/>
      <c r="H238" s="102" t="s">
        <v>1256</v>
      </c>
      <c r="I238" s="9">
        <v>1</v>
      </c>
      <c r="J238" s="9">
        <v>48</v>
      </c>
      <c r="K238" s="100">
        <f t="shared" si="44"/>
        <v>48</v>
      </c>
      <c r="L238" s="78">
        <v>46112</v>
      </c>
      <c r="M238" s="103"/>
      <c r="N238" s="93" t="s">
        <v>143</v>
      </c>
      <c r="O238" s="94">
        <v>46141</v>
      </c>
      <c r="P238" s="104">
        <f t="shared" si="39"/>
        <v>48</v>
      </c>
      <c r="Q238" s="104">
        <f t="shared" si="40"/>
        <v>48</v>
      </c>
      <c r="R238" s="104"/>
      <c r="S238" s="93" t="s">
        <v>331</v>
      </c>
      <c r="T238" s="94">
        <v>46153</v>
      </c>
      <c r="U238" s="104">
        <f t="shared" si="41"/>
        <v>48</v>
      </c>
      <c r="V238" s="104">
        <f t="shared" si="42"/>
        <v>1</v>
      </c>
      <c r="W238" s="103">
        <f t="shared" si="43"/>
        <v>48</v>
      </c>
      <c r="X238" s="93" t="s">
        <v>89</v>
      </c>
      <c r="Y238" s="105" t="s">
        <v>84</v>
      </c>
      <c r="Z238" s="105" t="s">
        <v>93</v>
      </c>
    </row>
    <row r="239" spans="1:26" s="105" customFormat="1" ht="15" customHeight="1">
      <c r="A239" s="99">
        <f t="shared" si="38"/>
        <v>237</v>
      </c>
      <c r="B239" s="75" t="s">
        <v>980</v>
      </c>
      <c r="C239" s="100" t="str">
        <f>IF($B239&lt;&gt;"",_xlfn.IFNA(VLOOKUP($B239,'Node Details'!$B:$U,C$1,0),"Check"),"")</f>
        <v>0000AXY01-AXY010104</v>
      </c>
      <c r="D239" s="100" t="str">
        <f>IF($B239&lt;&gt;"",_xlfn.IFNA(VLOOKUP($B239,'Node Details'!$B:$U,D$1,0),"Check"),"")</f>
        <v>AXY</v>
      </c>
      <c r="E239" s="100" t="str">
        <f>IF($B239&lt;&gt;"",_xlfn.IFNA(VLOOKUP($B239,'Node Details'!$B:$U,E$1,0),"Check"),"")</f>
        <v>Airtel</v>
      </c>
      <c r="F239" s="101">
        <v>46113</v>
      </c>
      <c r="G239" s="103"/>
      <c r="H239" s="102" t="s">
        <v>1256</v>
      </c>
      <c r="I239" s="9">
        <v>1</v>
      </c>
      <c r="J239" s="9">
        <v>48</v>
      </c>
      <c r="K239" s="100">
        <f t="shared" si="44"/>
        <v>48</v>
      </c>
      <c r="L239" s="78">
        <v>46112</v>
      </c>
      <c r="M239" s="103"/>
      <c r="N239" s="93" t="s">
        <v>143</v>
      </c>
      <c r="O239" s="94">
        <v>46141</v>
      </c>
      <c r="P239" s="104">
        <f t="shared" si="39"/>
        <v>48</v>
      </c>
      <c r="Q239" s="104">
        <f t="shared" si="40"/>
        <v>48</v>
      </c>
      <c r="R239" s="104"/>
      <c r="S239" s="93" t="s">
        <v>331</v>
      </c>
      <c r="T239" s="94">
        <v>46153</v>
      </c>
      <c r="U239" s="104">
        <f t="shared" si="41"/>
        <v>48</v>
      </c>
      <c r="V239" s="104">
        <f t="shared" si="42"/>
        <v>1</v>
      </c>
      <c r="W239" s="103">
        <f t="shared" si="43"/>
        <v>48</v>
      </c>
      <c r="X239" s="93" t="s">
        <v>89</v>
      </c>
      <c r="Y239" s="105" t="s">
        <v>84</v>
      </c>
      <c r="Z239" s="105" t="s">
        <v>93</v>
      </c>
    </row>
    <row r="240" spans="1:26" s="105" customFormat="1" ht="15" customHeight="1">
      <c r="A240" s="99">
        <f t="shared" si="38"/>
        <v>238</v>
      </c>
      <c r="B240" s="75" t="s">
        <v>160</v>
      </c>
      <c r="C240" s="100" t="str">
        <f>IF($B240&lt;&gt;"",_xlfn.IFNA(VLOOKUP($B240,'Node Details'!$B:$U,C$1,0),"Check"),"")</f>
        <v>0000AXY01-AXY010104</v>
      </c>
      <c r="D240" s="100" t="str">
        <f>IF($B240&lt;&gt;"",_xlfn.IFNA(VLOOKUP($B240,'Node Details'!$B:$U,D$1,0),"Check"),"")</f>
        <v>AXY</v>
      </c>
      <c r="E240" s="100" t="str">
        <f>IF($B240&lt;&gt;"",_xlfn.IFNA(VLOOKUP($B240,'Node Details'!$B:$U,E$1,0),"Check"),"")</f>
        <v>Airtel</v>
      </c>
      <c r="F240" s="101">
        <v>46113</v>
      </c>
      <c r="G240" s="103"/>
      <c r="H240" s="102" t="s">
        <v>1256</v>
      </c>
      <c r="I240" s="9">
        <v>1</v>
      </c>
      <c r="J240" s="9">
        <v>48</v>
      </c>
      <c r="K240" s="100">
        <f t="shared" si="44"/>
        <v>48</v>
      </c>
      <c r="L240" s="78">
        <v>46112</v>
      </c>
      <c r="M240" s="103"/>
      <c r="N240" s="93" t="s">
        <v>143</v>
      </c>
      <c r="O240" s="94">
        <v>46141</v>
      </c>
      <c r="P240" s="104">
        <f t="shared" si="39"/>
        <v>48</v>
      </c>
      <c r="Q240" s="104">
        <f t="shared" si="40"/>
        <v>48</v>
      </c>
      <c r="R240" s="104"/>
      <c r="S240" s="93" t="s">
        <v>331</v>
      </c>
      <c r="T240" s="94">
        <v>46153</v>
      </c>
      <c r="U240" s="104">
        <f t="shared" si="41"/>
        <v>48</v>
      </c>
      <c r="V240" s="104">
        <f t="shared" si="42"/>
        <v>1</v>
      </c>
      <c r="W240" s="103">
        <f t="shared" si="43"/>
        <v>48</v>
      </c>
      <c r="X240" s="93" t="s">
        <v>89</v>
      </c>
      <c r="Y240" s="105" t="s">
        <v>84</v>
      </c>
      <c r="Z240" s="105" t="s">
        <v>93</v>
      </c>
    </row>
    <row r="241" spans="1:26" s="105" customFormat="1" ht="15" customHeight="1">
      <c r="A241" s="99">
        <f t="shared" si="38"/>
        <v>239</v>
      </c>
      <c r="B241" s="75" t="s">
        <v>162</v>
      </c>
      <c r="C241" s="100" t="str">
        <f>IF($B241&lt;&gt;"",_xlfn.IFNA(VLOOKUP($B241,'Node Details'!$B:$U,C$1,0),"Check"),"")</f>
        <v>0000AXY01-AXY010102</v>
      </c>
      <c r="D241" s="100" t="str">
        <f>IF($B241&lt;&gt;"",_xlfn.IFNA(VLOOKUP($B241,'Node Details'!$B:$U,D$1,0),"Check"),"")</f>
        <v>AXY</v>
      </c>
      <c r="E241" s="100" t="str">
        <f>IF($B241&lt;&gt;"",_xlfn.IFNA(VLOOKUP($B241,'Node Details'!$B:$U,E$1,0),"Check"),"")</f>
        <v>Airtel</v>
      </c>
      <c r="F241" s="101">
        <v>46113</v>
      </c>
      <c r="G241" s="103"/>
      <c r="H241" s="102" t="s">
        <v>1256</v>
      </c>
      <c r="I241" s="9">
        <v>1</v>
      </c>
      <c r="J241" s="9">
        <v>48</v>
      </c>
      <c r="K241" s="100">
        <f t="shared" si="44"/>
        <v>48</v>
      </c>
      <c r="L241" s="78">
        <v>46112</v>
      </c>
      <c r="M241" s="103"/>
      <c r="N241" s="93" t="s">
        <v>143</v>
      </c>
      <c r="O241" s="94">
        <v>46141</v>
      </c>
      <c r="P241" s="104">
        <f t="shared" si="39"/>
        <v>48</v>
      </c>
      <c r="Q241" s="104">
        <f t="shared" si="40"/>
        <v>48</v>
      </c>
      <c r="R241" s="104"/>
      <c r="S241" s="93" t="s">
        <v>331</v>
      </c>
      <c r="T241" s="94">
        <v>46153</v>
      </c>
      <c r="U241" s="104">
        <f t="shared" si="41"/>
        <v>48</v>
      </c>
      <c r="V241" s="104">
        <f t="shared" si="42"/>
        <v>1</v>
      </c>
      <c r="W241" s="103">
        <f t="shared" si="43"/>
        <v>48</v>
      </c>
      <c r="X241" s="93" t="s">
        <v>89</v>
      </c>
      <c r="Y241" s="105" t="s">
        <v>84</v>
      </c>
      <c r="Z241" s="105" t="s">
        <v>93</v>
      </c>
    </row>
    <row r="242" spans="1:26" s="105" customFormat="1" ht="15" customHeight="1">
      <c r="A242" s="99">
        <f t="shared" si="38"/>
        <v>240</v>
      </c>
      <c r="B242" s="75" t="s">
        <v>155</v>
      </c>
      <c r="C242" s="100" t="str">
        <f>IF($B242&lt;&gt;"",_xlfn.IFNA(VLOOKUP($B242,'Node Details'!$B:$U,C$1,0),"Check"),"")</f>
        <v>0000AXY02-0000AXY03</v>
      </c>
      <c r="D242" s="100" t="str">
        <f>IF($B242&lt;&gt;"",_xlfn.IFNA(VLOOKUP($B242,'Node Details'!$B:$U,D$1,0),"Check"),"")</f>
        <v>AXY</v>
      </c>
      <c r="E242" s="100" t="str">
        <f>IF($B242&lt;&gt;"",_xlfn.IFNA(VLOOKUP($B242,'Node Details'!$B:$U,E$1,0),"Check"),"")</f>
        <v>Airtel</v>
      </c>
      <c r="F242" s="101">
        <v>46113</v>
      </c>
      <c r="G242" s="103"/>
      <c r="H242" s="102" t="s">
        <v>1256</v>
      </c>
      <c r="I242" s="9">
        <v>1</v>
      </c>
      <c r="J242" s="9">
        <v>48</v>
      </c>
      <c r="K242" s="100">
        <f t="shared" si="44"/>
        <v>48</v>
      </c>
      <c r="L242" s="78">
        <v>46112</v>
      </c>
      <c r="M242" s="103"/>
      <c r="N242" s="93" t="s">
        <v>143</v>
      </c>
      <c r="O242" s="94">
        <v>46141</v>
      </c>
      <c r="P242" s="104">
        <f t="shared" si="39"/>
        <v>48</v>
      </c>
      <c r="Q242" s="104">
        <f t="shared" si="40"/>
        <v>48</v>
      </c>
      <c r="R242" s="104"/>
      <c r="S242" s="93" t="s">
        <v>331</v>
      </c>
      <c r="T242" s="94">
        <v>46153</v>
      </c>
      <c r="U242" s="104">
        <f t="shared" si="41"/>
        <v>48</v>
      </c>
      <c r="V242" s="104">
        <f t="shared" si="42"/>
        <v>1</v>
      </c>
      <c r="W242" s="103">
        <f t="shared" si="43"/>
        <v>48</v>
      </c>
      <c r="X242" s="93" t="s">
        <v>89</v>
      </c>
      <c r="Y242" s="105" t="s">
        <v>84</v>
      </c>
      <c r="Z242" s="105" t="s">
        <v>93</v>
      </c>
    </row>
    <row r="243" spans="1:26" s="105" customFormat="1" ht="15" customHeight="1">
      <c r="A243" s="99">
        <f t="shared" si="38"/>
        <v>241</v>
      </c>
      <c r="B243" s="75" t="s">
        <v>164</v>
      </c>
      <c r="C243" s="100" t="str">
        <f>IF($B243&lt;&gt;"",_xlfn.IFNA(VLOOKUP($B243,'Node Details'!$B:$U,C$1,0),"Check"),"")</f>
        <v>0000AXY03-AXY030101</v>
      </c>
      <c r="D243" s="100" t="str">
        <f>IF($B243&lt;&gt;"",_xlfn.IFNA(VLOOKUP($B243,'Node Details'!$B:$U,D$1,0),"Check"),"")</f>
        <v>AXY</v>
      </c>
      <c r="E243" s="100" t="str">
        <f>IF($B243&lt;&gt;"",_xlfn.IFNA(VLOOKUP($B243,'Node Details'!$B:$U,E$1,0),"Check"),"")</f>
        <v>Airtel</v>
      </c>
      <c r="F243" s="101">
        <v>46113</v>
      </c>
      <c r="G243" s="103"/>
      <c r="H243" s="102" t="s">
        <v>1256</v>
      </c>
      <c r="I243" s="9">
        <v>1</v>
      </c>
      <c r="J243" s="9">
        <v>48</v>
      </c>
      <c r="K243" s="100">
        <f t="shared" si="44"/>
        <v>48</v>
      </c>
      <c r="L243" s="78">
        <v>46112</v>
      </c>
      <c r="M243" s="103"/>
      <c r="N243" s="93" t="s">
        <v>143</v>
      </c>
      <c r="O243" s="94">
        <v>46141</v>
      </c>
      <c r="P243" s="104">
        <f t="shared" si="39"/>
        <v>48</v>
      </c>
      <c r="Q243" s="104">
        <f t="shared" si="40"/>
        <v>48</v>
      </c>
      <c r="R243" s="104"/>
      <c r="S243" s="93" t="s">
        <v>331</v>
      </c>
      <c r="T243" s="94">
        <v>46153</v>
      </c>
      <c r="U243" s="104">
        <f t="shared" si="41"/>
        <v>48</v>
      </c>
      <c r="V243" s="104">
        <f t="shared" si="42"/>
        <v>1</v>
      </c>
      <c r="W243" s="103">
        <f t="shared" si="43"/>
        <v>48</v>
      </c>
      <c r="X243" s="93" t="s">
        <v>89</v>
      </c>
      <c r="Y243" s="105" t="s">
        <v>84</v>
      </c>
      <c r="Z243" s="105" t="s">
        <v>93</v>
      </c>
    </row>
    <row r="244" spans="1:26" s="105" customFormat="1" ht="15" customHeight="1">
      <c r="A244" s="99">
        <f t="shared" si="38"/>
        <v>242</v>
      </c>
      <c r="B244" s="75" t="s">
        <v>168</v>
      </c>
      <c r="C244" s="100" t="str">
        <f>IF($B244&lt;&gt;"",_xlfn.IFNA(VLOOKUP($B244,'Node Details'!$B:$U,C$1,0),"Check"),"")</f>
        <v>0000AXY03-AXY030104</v>
      </c>
      <c r="D244" s="100" t="str">
        <f>IF($B244&lt;&gt;"",_xlfn.IFNA(VLOOKUP($B244,'Node Details'!$B:$U,D$1,0),"Check"),"")</f>
        <v>AXY</v>
      </c>
      <c r="E244" s="100" t="str">
        <f>IF($B244&lt;&gt;"",_xlfn.IFNA(VLOOKUP($B244,'Node Details'!$B:$U,E$1,0),"Check"),"")</f>
        <v>Airtel</v>
      </c>
      <c r="F244" s="101">
        <v>46113</v>
      </c>
      <c r="G244" s="103"/>
      <c r="H244" s="102" t="s">
        <v>1256</v>
      </c>
      <c r="I244" s="9">
        <v>1</v>
      </c>
      <c r="J244" s="9">
        <v>48</v>
      </c>
      <c r="K244" s="100">
        <f t="shared" si="44"/>
        <v>48</v>
      </c>
      <c r="L244" s="78">
        <v>46112</v>
      </c>
      <c r="M244" s="103"/>
      <c r="N244" s="93" t="s">
        <v>143</v>
      </c>
      <c r="O244" s="94">
        <v>46141</v>
      </c>
      <c r="P244" s="104">
        <f t="shared" si="39"/>
        <v>48</v>
      </c>
      <c r="Q244" s="104">
        <f t="shared" si="40"/>
        <v>48</v>
      </c>
      <c r="R244" s="104"/>
      <c r="S244" s="93" t="s">
        <v>331</v>
      </c>
      <c r="T244" s="94">
        <v>46153</v>
      </c>
      <c r="U244" s="104">
        <f t="shared" si="41"/>
        <v>48</v>
      </c>
      <c r="V244" s="104">
        <f t="shared" si="42"/>
        <v>1</v>
      </c>
      <c r="W244" s="103">
        <f t="shared" si="43"/>
        <v>48</v>
      </c>
      <c r="X244" s="93" t="s">
        <v>89</v>
      </c>
      <c r="Y244" s="105" t="s">
        <v>84</v>
      </c>
      <c r="Z244" s="105" t="s">
        <v>93</v>
      </c>
    </row>
    <row r="245" spans="1:26" s="105" customFormat="1" ht="15" customHeight="1">
      <c r="A245" s="99">
        <f t="shared" si="38"/>
        <v>243</v>
      </c>
      <c r="B245" s="75" t="s">
        <v>166</v>
      </c>
      <c r="C245" s="100" t="str">
        <f>IF($B245&lt;&gt;"",_xlfn.IFNA(VLOOKUP($B245,'Node Details'!$B:$U,C$1,0),"Check"),"")</f>
        <v>0000AXY03-AXY030104</v>
      </c>
      <c r="D245" s="100" t="str">
        <f>IF($B245&lt;&gt;"",_xlfn.IFNA(VLOOKUP($B245,'Node Details'!$B:$U,D$1,0),"Check"),"")</f>
        <v>AXY</v>
      </c>
      <c r="E245" s="100" t="str">
        <f>IF($B245&lt;&gt;"",_xlfn.IFNA(VLOOKUP($B245,'Node Details'!$B:$U,E$1,0),"Check"),"")</f>
        <v>Airtel</v>
      </c>
      <c r="F245" s="101">
        <v>46113</v>
      </c>
      <c r="G245" s="103"/>
      <c r="H245" s="102" t="s">
        <v>1256</v>
      </c>
      <c r="I245" s="9">
        <v>1</v>
      </c>
      <c r="J245" s="9">
        <v>48</v>
      </c>
      <c r="K245" s="100">
        <f t="shared" si="44"/>
        <v>48</v>
      </c>
      <c r="L245" s="78">
        <v>46112</v>
      </c>
      <c r="M245" s="103"/>
      <c r="N245" s="93" t="s">
        <v>143</v>
      </c>
      <c r="O245" s="94">
        <v>46141</v>
      </c>
      <c r="P245" s="104">
        <f t="shared" si="39"/>
        <v>48</v>
      </c>
      <c r="Q245" s="104">
        <f t="shared" si="40"/>
        <v>48</v>
      </c>
      <c r="R245" s="104"/>
      <c r="S245" s="93" t="s">
        <v>331</v>
      </c>
      <c r="T245" s="94">
        <v>46153</v>
      </c>
      <c r="U245" s="104">
        <f t="shared" si="41"/>
        <v>48</v>
      </c>
      <c r="V245" s="104">
        <f t="shared" si="42"/>
        <v>1</v>
      </c>
      <c r="W245" s="103">
        <f t="shared" si="43"/>
        <v>48</v>
      </c>
      <c r="X245" s="93" t="s">
        <v>89</v>
      </c>
      <c r="Y245" s="105" t="s">
        <v>84</v>
      </c>
      <c r="Z245" s="105" t="s">
        <v>93</v>
      </c>
    </row>
    <row r="246" spans="1:26" s="105" customFormat="1" ht="15" customHeight="1">
      <c r="A246" s="99">
        <f t="shared" si="38"/>
        <v>244</v>
      </c>
      <c r="B246" s="75" t="s">
        <v>169</v>
      </c>
      <c r="C246" s="100" t="str">
        <f>IF($B246&lt;&gt;"",_xlfn.IFNA(VLOOKUP($B246,'Node Details'!$B:$U,C$1,0),"Check"),"")</f>
        <v>AXY030103-AXY030105</v>
      </c>
      <c r="D246" s="100" t="str">
        <f>IF($B246&lt;&gt;"",_xlfn.IFNA(VLOOKUP($B246,'Node Details'!$B:$U,D$1,0),"Check"),"")</f>
        <v>AXY</v>
      </c>
      <c r="E246" s="100" t="str">
        <f>IF($B246&lt;&gt;"",_xlfn.IFNA(VLOOKUP($B246,'Node Details'!$B:$U,E$1,0),"Check"),"")</f>
        <v>Airtel</v>
      </c>
      <c r="F246" s="101">
        <v>46113</v>
      </c>
      <c r="G246" s="103"/>
      <c r="H246" s="102" t="s">
        <v>1256</v>
      </c>
      <c r="I246" s="9">
        <v>1</v>
      </c>
      <c r="J246" s="9">
        <v>48</v>
      </c>
      <c r="K246" s="100">
        <f t="shared" si="44"/>
        <v>48</v>
      </c>
      <c r="L246" s="78">
        <v>46112</v>
      </c>
      <c r="M246" s="103"/>
      <c r="N246" s="93" t="s">
        <v>143</v>
      </c>
      <c r="O246" s="94">
        <v>46141</v>
      </c>
      <c r="P246" s="104">
        <f t="shared" si="39"/>
        <v>48</v>
      </c>
      <c r="Q246" s="104">
        <f t="shared" si="40"/>
        <v>48</v>
      </c>
      <c r="R246" s="104"/>
      <c r="S246" s="93" t="s">
        <v>331</v>
      </c>
      <c r="T246" s="94">
        <v>46153</v>
      </c>
      <c r="U246" s="104">
        <f t="shared" si="41"/>
        <v>48</v>
      </c>
      <c r="V246" s="104">
        <f t="shared" si="42"/>
        <v>1</v>
      </c>
      <c r="W246" s="103">
        <f t="shared" si="43"/>
        <v>48</v>
      </c>
      <c r="X246" s="93" t="s">
        <v>89</v>
      </c>
      <c r="Y246" s="105" t="s">
        <v>84</v>
      </c>
      <c r="Z246" s="105" t="s">
        <v>93</v>
      </c>
    </row>
    <row r="247" spans="1:26" s="105" customFormat="1" ht="15" customHeight="1">
      <c r="A247" s="99">
        <f t="shared" si="38"/>
        <v>245</v>
      </c>
      <c r="B247" s="75" t="s">
        <v>174</v>
      </c>
      <c r="C247" s="100" t="str">
        <f>IF($B247&lt;&gt;"",_xlfn.IFNA(VLOOKUP($B247,'Node Details'!$B:$U,C$1,0),"Check"),"")</f>
        <v>0000AXY03-AXY030108</v>
      </c>
      <c r="D247" s="100" t="str">
        <f>IF($B247&lt;&gt;"",_xlfn.IFNA(VLOOKUP($B247,'Node Details'!$B:$U,D$1,0),"Check"),"")</f>
        <v>AXY</v>
      </c>
      <c r="E247" s="100" t="str">
        <f>IF($B247&lt;&gt;"",_xlfn.IFNA(VLOOKUP($B247,'Node Details'!$B:$U,E$1,0),"Check"),"")</f>
        <v>Airtel</v>
      </c>
      <c r="F247" s="101">
        <v>46113</v>
      </c>
      <c r="G247" s="103"/>
      <c r="H247" s="102" t="s">
        <v>1256</v>
      </c>
      <c r="I247" s="9">
        <v>1</v>
      </c>
      <c r="J247" s="9">
        <v>48</v>
      </c>
      <c r="K247" s="100">
        <f t="shared" si="44"/>
        <v>48</v>
      </c>
      <c r="L247" s="78">
        <v>46112</v>
      </c>
      <c r="M247" s="103"/>
      <c r="N247" s="93" t="s">
        <v>143</v>
      </c>
      <c r="O247" s="94">
        <v>46141</v>
      </c>
      <c r="P247" s="104">
        <f t="shared" si="39"/>
        <v>48</v>
      </c>
      <c r="Q247" s="104">
        <f t="shared" si="40"/>
        <v>48</v>
      </c>
      <c r="R247" s="104"/>
      <c r="S247" s="93" t="s">
        <v>331</v>
      </c>
      <c r="T247" s="94">
        <v>46153</v>
      </c>
      <c r="U247" s="104">
        <f t="shared" si="41"/>
        <v>48</v>
      </c>
      <c r="V247" s="104">
        <f t="shared" si="42"/>
        <v>1</v>
      </c>
      <c r="W247" s="103">
        <f t="shared" si="43"/>
        <v>48</v>
      </c>
      <c r="X247" s="93" t="s">
        <v>89</v>
      </c>
      <c r="Y247" s="105" t="s">
        <v>84</v>
      </c>
      <c r="Z247" s="105" t="s">
        <v>93</v>
      </c>
    </row>
    <row r="248" spans="1:26" s="105" customFormat="1" ht="15" customHeight="1">
      <c r="A248" s="99">
        <f t="shared" si="38"/>
        <v>246</v>
      </c>
      <c r="B248" s="75" t="s">
        <v>172</v>
      </c>
      <c r="C248" s="100" t="str">
        <f>IF($B248&lt;&gt;"",_xlfn.IFNA(VLOOKUP($B248,'Node Details'!$B:$U,C$1,0),"Check"),"")</f>
        <v>0000AXY03-AXY030108</v>
      </c>
      <c r="D248" s="100" t="str">
        <f>IF($B248&lt;&gt;"",_xlfn.IFNA(VLOOKUP($B248,'Node Details'!$B:$U,D$1,0),"Check"),"")</f>
        <v>AXY</v>
      </c>
      <c r="E248" s="100" t="str">
        <f>IF($B248&lt;&gt;"",_xlfn.IFNA(VLOOKUP($B248,'Node Details'!$B:$U,E$1,0),"Check"),"")</f>
        <v>Airtel</v>
      </c>
      <c r="F248" s="101">
        <v>46113</v>
      </c>
      <c r="G248" s="103"/>
      <c r="H248" s="102" t="s">
        <v>1256</v>
      </c>
      <c r="I248" s="9">
        <v>1</v>
      </c>
      <c r="J248" s="9">
        <v>48</v>
      </c>
      <c r="K248" s="100">
        <f t="shared" si="44"/>
        <v>48</v>
      </c>
      <c r="L248" s="78">
        <v>46112</v>
      </c>
      <c r="M248" s="103"/>
      <c r="N248" s="93" t="s">
        <v>143</v>
      </c>
      <c r="O248" s="94">
        <v>46141</v>
      </c>
      <c r="P248" s="104">
        <f t="shared" si="39"/>
        <v>48</v>
      </c>
      <c r="Q248" s="104">
        <f t="shared" si="40"/>
        <v>48</v>
      </c>
      <c r="R248" s="104"/>
      <c r="S248" s="93" t="s">
        <v>331</v>
      </c>
      <c r="T248" s="94">
        <v>46153</v>
      </c>
      <c r="U248" s="104">
        <f t="shared" si="41"/>
        <v>48</v>
      </c>
      <c r="V248" s="104">
        <f t="shared" si="42"/>
        <v>1</v>
      </c>
      <c r="W248" s="103">
        <f t="shared" si="43"/>
        <v>48</v>
      </c>
      <c r="X248" s="93" t="s">
        <v>89</v>
      </c>
      <c r="Y248" s="105" t="s">
        <v>84</v>
      </c>
      <c r="Z248" s="105" t="s">
        <v>93</v>
      </c>
    </row>
    <row r="249" spans="1:26" s="105" customFormat="1" ht="15" customHeight="1">
      <c r="A249" s="99">
        <f t="shared" si="38"/>
        <v>247</v>
      </c>
      <c r="B249" s="75" t="s">
        <v>175</v>
      </c>
      <c r="C249" s="100" t="str">
        <f>IF($B249&lt;&gt;"",_xlfn.IFNA(VLOOKUP($B249,'Node Details'!$B:$U,C$1,0),"Check"),"")</f>
        <v>AXY030107-AXY030201</v>
      </c>
      <c r="D249" s="100" t="str">
        <f>IF($B249&lt;&gt;"",_xlfn.IFNA(VLOOKUP($B249,'Node Details'!$B:$U,D$1,0),"Check"),"")</f>
        <v>AXY</v>
      </c>
      <c r="E249" s="100" t="str">
        <f>IF($B249&lt;&gt;"",_xlfn.IFNA(VLOOKUP($B249,'Node Details'!$B:$U,E$1,0),"Check"),"")</f>
        <v>Airtel</v>
      </c>
      <c r="F249" s="101">
        <v>46113</v>
      </c>
      <c r="G249" s="103"/>
      <c r="H249" s="102" t="s">
        <v>1256</v>
      </c>
      <c r="I249" s="9">
        <v>1</v>
      </c>
      <c r="J249" s="9">
        <v>48</v>
      </c>
      <c r="K249" s="100">
        <f t="shared" si="44"/>
        <v>48</v>
      </c>
      <c r="L249" s="78">
        <v>46112</v>
      </c>
      <c r="M249" s="103"/>
      <c r="N249" s="93" t="s">
        <v>143</v>
      </c>
      <c r="O249" s="94">
        <v>46141</v>
      </c>
      <c r="P249" s="104">
        <f t="shared" si="39"/>
        <v>48</v>
      </c>
      <c r="Q249" s="104">
        <f t="shared" si="40"/>
        <v>48</v>
      </c>
      <c r="R249" s="104"/>
      <c r="S249" s="93" t="s">
        <v>331</v>
      </c>
      <c r="T249" s="94">
        <v>46153</v>
      </c>
      <c r="U249" s="104">
        <f t="shared" si="41"/>
        <v>48</v>
      </c>
      <c r="V249" s="104">
        <f t="shared" si="42"/>
        <v>1</v>
      </c>
      <c r="W249" s="103">
        <f t="shared" si="43"/>
        <v>48</v>
      </c>
      <c r="X249" s="93" t="s">
        <v>89</v>
      </c>
      <c r="Y249" s="105" t="s">
        <v>84</v>
      </c>
      <c r="Z249" s="105" t="s">
        <v>93</v>
      </c>
    </row>
    <row r="250" spans="1:26" s="105" customFormat="1" ht="15" customHeight="1">
      <c r="A250" s="99">
        <f t="shared" si="38"/>
        <v>248</v>
      </c>
      <c r="B250" s="75" t="s">
        <v>981</v>
      </c>
      <c r="C250" s="100" t="str">
        <f>IF($B250&lt;&gt;"",_xlfn.IFNA(VLOOKUP($B250,'Node Details'!$B:$U,C$1,0),"Check"),"")</f>
        <v>AXY030201-AXY030204</v>
      </c>
      <c r="D250" s="100" t="str">
        <f>IF($B250&lt;&gt;"",_xlfn.IFNA(VLOOKUP($B250,'Node Details'!$B:$U,D$1,0),"Check"),"")</f>
        <v>AXY</v>
      </c>
      <c r="E250" s="100" t="str">
        <f>IF($B250&lt;&gt;"",_xlfn.IFNA(VLOOKUP($B250,'Node Details'!$B:$U,E$1,0),"Check"),"")</f>
        <v>Airtel</v>
      </c>
      <c r="F250" s="101">
        <v>46113</v>
      </c>
      <c r="G250" s="103"/>
      <c r="H250" s="102" t="s">
        <v>1256</v>
      </c>
      <c r="I250" s="9">
        <v>1</v>
      </c>
      <c r="J250" s="9">
        <v>48</v>
      </c>
      <c r="K250" s="100">
        <f t="shared" si="44"/>
        <v>48</v>
      </c>
      <c r="L250" s="78">
        <v>46112</v>
      </c>
      <c r="M250" s="103"/>
      <c r="N250" s="93" t="s">
        <v>143</v>
      </c>
      <c r="O250" s="94">
        <v>46141</v>
      </c>
      <c r="P250" s="104">
        <f t="shared" si="39"/>
        <v>48</v>
      </c>
      <c r="Q250" s="104">
        <f t="shared" si="40"/>
        <v>48</v>
      </c>
      <c r="R250" s="104"/>
      <c r="S250" s="93" t="s">
        <v>331</v>
      </c>
      <c r="T250" s="94">
        <v>46153</v>
      </c>
      <c r="U250" s="104">
        <f t="shared" si="41"/>
        <v>48</v>
      </c>
      <c r="V250" s="104">
        <f t="shared" si="42"/>
        <v>1</v>
      </c>
      <c r="W250" s="103">
        <f t="shared" si="43"/>
        <v>48</v>
      </c>
      <c r="X250" s="93" t="s">
        <v>89</v>
      </c>
      <c r="Y250" s="105" t="s">
        <v>84</v>
      </c>
      <c r="Z250" s="105" t="s">
        <v>93</v>
      </c>
    </row>
    <row r="251" spans="1:26" s="105" customFormat="1" ht="15" customHeight="1">
      <c r="A251" s="99">
        <f t="shared" si="38"/>
        <v>249</v>
      </c>
      <c r="B251" s="75" t="s">
        <v>177</v>
      </c>
      <c r="C251" s="100" t="str">
        <f>IF($B251&lt;&gt;"",_xlfn.IFNA(VLOOKUP($B251,'Node Details'!$B:$U,C$1,0),"Check"),"")</f>
        <v>AXY030201-AXY030204</v>
      </c>
      <c r="D251" s="100" t="str">
        <f>IF($B251&lt;&gt;"",_xlfn.IFNA(VLOOKUP($B251,'Node Details'!$B:$U,D$1,0),"Check"),"")</f>
        <v>AXY</v>
      </c>
      <c r="E251" s="100" t="str">
        <f>IF($B251&lt;&gt;"",_xlfn.IFNA(VLOOKUP($B251,'Node Details'!$B:$U,E$1,0),"Check"),"")</f>
        <v>Airtel</v>
      </c>
      <c r="F251" s="101">
        <v>46113</v>
      </c>
      <c r="G251" s="103"/>
      <c r="H251" s="102" t="s">
        <v>1256</v>
      </c>
      <c r="I251" s="9">
        <v>1</v>
      </c>
      <c r="J251" s="9">
        <v>48</v>
      </c>
      <c r="K251" s="100">
        <f t="shared" si="44"/>
        <v>48</v>
      </c>
      <c r="L251" s="78">
        <v>46112</v>
      </c>
      <c r="M251" s="103"/>
      <c r="N251" s="93" t="s">
        <v>143</v>
      </c>
      <c r="O251" s="94">
        <v>46141</v>
      </c>
      <c r="P251" s="104">
        <f t="shared" si="39"/>
        <v>48</v>
      </c>
      <c r="Q251" s="104">
        <f t="shared" si="40"/>
        <v>48</v>
      </c>
      <c r="R251" s="104"/>
      <c r="S251" s="93" t="s">
        <v>331</v>
      </c>
      <c r="T251" s="94">
        <v>46153</v>
      </c>
      <c r="U251" s="104">
        <f t="shared" si="41"/>
        <v>48</v>
      </c>
      <c r="V251" s="104">
        <f t="shared" si="42"/>
        <v>1</v>
      </c>
      <c r="W251" s="103">
        <f t="shared" si="43"/>
        <v>48</v>
      </c>
      <c r="X251" s="93" t="s">
        <v>89</v>
      </c>
      <c r="Y251" s="105" t="s">
        <v>84</v>
      </c>
      <c r="Z251" s="105" t="s">
        <v>93</v>
      </c>
    </row>
    <row r="252" spans="1:26" s="105" customFormat="1" ht="15" customHeight="1">
      <c r="A252" s="99">
        <f t="shared" si="38"/>
        <v>250</v>
      </c>
      <c r="B252" s="75" t="s">
        <v>151</v>
      </c>
      <c r="C252" s="100" t="str">
        <f>IF($B252&lt;&gt;"",_xlfn.IFNA(VLOOKUP($B252,'Node Details'!$B:$U,C$1,0),"Check"),"")</f>
        <v>000000AXY-0000AXY12</v>
      </c>
      <c r="D252" s="100" t="str">
        <f>IF($B252&lt;&gt;"",_xlfn.IFNA(VLOOKUP($B252,'Node Details'!$B:$U,D$1,0),"Check"),"")</f>
        <v>AXY</v>
      </c>
      <c r="E252" s="100" t="str">
        <f>IF($B252&lt;&gt;"",_xlfn.IFNA(VLOOKUP($B252,'Node Details'!$B:$U,E$1,0),"Check"),"")</f>
        <v>Airtel</v>
      </c>
      <c r="F252" s="101">
        <v>46113</v>
      </c>
      <c r="G252" s="103"/>
      <c r="H252" s="102" t="s">
        <v>1256</v>
      </c>
      <c r="I252" s="9">
        <v>1</v>
      </c>
      <c r="J252" s="9">
        <v>48</v>
      </c>
      <c r="K252" s="100">
        <f t="shared" si="44"/>
        <v>48</v>
      </c>
      <c r="L252" s="78">
        <v>46112</v>
      </c>
      <c r="M252" s="103"/>
      <c r="N252" s="93" t="s">
        <v>143</v>
      </c>
      <c r="O252" s="94">
        <v>46141</v>
      </c>
      <c r="P252" s="104">
        <f t="shared" si="39"/>
        <v>48</v>
      </c>
      <c r="Q252" s="104">
        <f t="shared" si="40"/>
        <v>48</v>
      </c>
      <c r="R252" s="104"/>
      <c r="S252" s="93" t="s">
        <v>331</v>
      </c>
      <c r="T252" s="94">
        <v>46153</v>
      </c>
      <c r="U252" s="104">
        <f t="shared" si="41"/>
        <v>48</v>
      </c>
      <c r="V252" s="104">
        <f t="shared" si="42"/>
        <v>1</v>
      </c>
      <c r="W252" s="103">
        <f t="shared" si="43"/>
        <v>48</v>
      </c>
      <c r="X252" s="93" t="s">
        <v>89</v>
      </c>
      <c r="Y252" s="105" t="s">
        <v>84</v>
      </c>
      <c r="Z252" s="105" t="s">
        <v>93</v>
      </c>
    </row>
    <row r="253" spans="1:26" s="105" customFormat="1" ht="15" customHeight="1">
      <c r="A253" s="99">
        <f t="shared" si="38"/>
        <v>251</v>
      </c>
      <c r="B253" s="75" t="s">
        <v>179</v>
      </c>
      <c r="C253" s="100" t="str">
        <f>IF($B253&lt;&gt;"",_xlfn.IFNA(VLOOKUP($B253,'Node Details'!$B:$U,C$1,0),"Check"),"")</f>
        <v>0000AXY04-AXY040101</v>
      </c>
      <c r="D253" s="100" t="str">
        <f>IF($B253&lt;&gt;"",_xlfn.IFNA(VLOOKUP($B253,'Node Details'!$B:$U,D$1,0),"Check"),"")</f>
        <v>AXY</v>
      </c>
      <c r="E253" s="100" t="str">
        <f>IF($B253&lt;&gt;"",_xlfn.IFNA(VLOOKUP($B253,'Node Details'!$B:$U,E$1,0),"Check"),"")</f>
        <v>Airtel</v>
      </c>
      <c r="F253" s="101">
        <v>46113</v>
      </c>
      <c r="G253" s="103"/>
      <c r="H253" s="102" t="s">
        <v>1256</v>
      </c>
      <c r="I253" s="9">
        <v>1</v>
      </c>
      <c r="J253" s="9">
        <v>48</v>
      </c>
      <c r="K253" s="100">
        <f t="shared" si="44"/>
        <v>48</v>
      </c>
      <c r="L253" s="78">
        <v>46112</v>
      </c>
      <c r="M253" s="103"/>
      <c r="N253" s="93" t="s">
        <v>143</v>
      </c>
      <c r="O253" s="94">
        <v>46141</v>
      </c>
      <c r="P253" s="104">
        <f t="shared" si="39"/>
        <v>48</v>
      </c>
      <c r="Q253" s="104">
        <f t="shared" si="40"/>
        <v>48</v>
      </c>
      <c r="R253" s="104"/>
      <c r="S253" s="93" t="s">
        <v>331</v>
      </c>
      <c r="T253" s="94">
        <v>46153</v>
      </c>
      <c r="U253" s="104">
        <f t="shared" si="41"/>
        <v>48</v>
      </c>
      <c r="V253" s="104">
        <f t="shared" si="42"/>
        <v>1</v>
      </c>
      <c r="W253" s="103">
        <f t="shared" si="43"/>
        <v>48</v>
      </c>
      <c r="X253" s="93" t="s">
        <v>89</v>
      </c>
      <c r="Y253" s="105" t="s">
        <v>84</v>
      </c>
      <c r="Z253" s="105" t="s">
        <v>93</v>
      </c>
    </row>
    <row r="254" spans="1:26" s="105" customFormat="1" ht="15" customHeight="1">
      <c r="A254" s="99">
        <f t="shared" si="38"/>
        <v>252</v>
      </c>
      <c r="B254" s="75" t="s">
        <v>982</v>
      </c>
      <c r="C254" s="100" t="str">
        <f>IF($B254&lt;&gt;"",_xlfn.IFNA(VLOOKUP($B254,'Node Details'!$B:$U,C$1,0),"Check"),"")</f>
        <v>0000AXY04-00AXY-FMS</v>
      </c>
      <c r="D254" s="100" t="str">
        <f>IF($B254&lt;&gt;"",_xlfn.IFNA(VLOOKUP($B254,'Node Details'!$B:$U,D$1,0),"Check"),"")</f>
        <v>AXY</v>
      </c>
      <c r="E254" s="100" t="str">
        <f>IF($B254&lt;&gt;"",_xlfn.IFNA(VLOOKUP($B254,'Node Details'!$B:$U,E$1,0),"Check"),"")</f>
        <v>Airtel</v>
      </c>
      <c r="F254" s="101">
        <v>46113</v>
      </c>
      <c r="G254" s="103"/>
      <c r="H254" s="102" t="s">
        <v>1256</v>
      </c>
      <c r="I254" s="9">
        <v>1</v>
      </c>
      <c r="J254" s="9">
        <v>48</v>
      </c>
      <c r="K254" s="100">
        <f t="shared" si="44"/>
        <v>48</v>
      </c>
      <c r="L254" s="78">
        <v>46112</v>
      </c>
      <c r="M254" s="103"/>
      <c r="N254" s="93" t="s">
        <v>143</v>
      </c>
      <c r="O254" s="94">
        <v>46141</v>
      </c>
      <c r="P254" s="104">
        <f t="shared" si="39"/>
        <v>48</v>
      </c>
      <c r="Q254" s="104">
        <f t="shared" si="40"/>
        <v>48</v>
      </c>
      <c r="R254" s="104"/>
      <c r="S254" s="93" t="s">
        <v>331</v>
      </c>
      <c r="T254" s="94">
        <v>46153</v>
      </c>
      <c r="U254" s="104">
        <f t="shared" si="41"/>
        <v>48</v>
      </c>
      <c r="V254" s="104">
        <f t="shared" si="42"/>
        <v>1</v>
      </c>
      <c r="W254" s="103">
        <f t="shared" si="43"/>
        <v>48</v>
      </c>
      <c r="X254" s="93" t="s">
        <v>89</v>
      </c>
      <c r="Y254" s="105" t="s">
        <v>84</v>
      </c>
      <c r="Z254" s="105" t="s">
        <v>93</v>
      </c>
    </row>
    <row r="255" spans="1:26" s="105" customFormat="1" ht="15" customHeight="1">
      <c r="A255" s="99">
        <f t="shared" si="38"/>
        <v>253</v>
      </c>
      <c r="B255" s="75" t="s">
        <v>983</v>
      </c>
      <c r="C255" s="100" t="str">
        <f>IF($B255&lt;&gt;"",_xlfn.IFNA(VLOOKUP($B255,'Node Details'!$B:$U,C$1,0),"Check"),"")</f>
        <v>00AXY-FMS-AXY040108</v>
      </c>
      <c r="D255" s="100" t="str">
        <f>IF($B255&lt;&gt;"",_xlfn.IFNA(VLOOKUP($B255,'Node Details'!$B:$U,D$1,0),"Check"),"")</f>
        <v>AXY</v>
      </c>
      <c r="E255" s="100" t="str">
        <f>IF($B255&lt;&gt;"",_xlfn.IFNA(VLOOKUP($B255,'Node Details'!$B:$U,E$1,0),"Check"),"")</f>
        <v>Airtel</v>
      </c>
      <c r="F255" s="101">
        <v>46113</v>
      </c>
      <c r="G255" s="103"/>
      <c r="H255" s="102" t="s">
        <v>1256</v>
      </c>
      <c r="I255" s="9">
        <v>1</v>
      </c>
      <c r="J255" s="9">
        <v>48</v>
      </c>
      <c r="K255" s="100">
        <f t="shared" si="44"/>
        <v>48</v>
      </c>
      <c r="L255" s="78">
        <v>46112</v>
      </c>
      <c r="M255" s="103"/>
      <c r="N255" s="93" t="s">
        <v>143</v>
      </c>
      <c r="O255" s="94">
        <v>46141</v>
      </c>
      <c r="P255" s="104">
        <f t="shared" si="39"/>
        <v>48</v>
      </c>
      <c r="Q255" s="104">
        <f t="shared" si="40"/>
        <v>48</v>
      </c>
      <c r="R255" s="104"/>
      <c r="S255" s="93" t="s">
        <v>331</v>
      </c>
      <c r="T255" s="94">
        <v>46153</v>
      </c>
      <c r="U255" s="104">
        <f t="shared" si="41"/>
        <v>48</v>
      </c>
      <c r="V255" s="104">
        <f t="shared" si="42"/>
        <v>1</v>
      </c>
      <c r="W255" s="103">
        <f t="shared" si="43"/>
        <v>48</v>
      </c>
      <c r="X255" s="93" t="s">
        <v>89</v>
      </c>
      <c r="Y255" s="105" t="s">
        <v>84</v>
      </c>
      <c r="Z255" s="105" t="s">
        <v>93</v>
      </c>
    </row>
    <row r="256" spans="1:26" s="105" customFormat="1" ht="15" customHeight="1">
      <c r="A256" s="99">
        <f t="shared" si="38"/>
        <v>254</v>
      </c>
      <c r="B256" s="75" t="s">
        <v>984</v>
      </c>
      <c r="C256" s="100" t="str">
        <f>IF($B256&lt;&gt;"",_xlfn.IFNA(VLOOKUP($B256,'Node Details'!$B:$U,C$1,0),"Check"),"")</f>
        <v>00AXY-FMS-AXY040108</v>
      </c>
      <c r="D256" s="100" t="str">
        <f>IF($B256&lt;&gt;"",_xlfn.IFNA(VLOOKUP($B256,'Node Details'!$B:$U,D$1,0),"Check"),"")</f>
        <v>AXY</v>
      </c>
      <c r="E256" s="100" t="str">
        <f>IF($B256&lt;&gt;"",_xlfn.IFNA(VLOOKUP($B256,'Node Details'!$B:$U,E$1,0),"Check"),"")</f>
        <v>Airtel</v>
      </c>
      <c r="F256" s="101">
        <v>46113</v>
      </c>
      <c r="G256" s="103"/>
      <c r="H256" s="102" t="s">
        <v>1256</v>
      </c>
      <c r="I256" s="9">
        <v>1</v>
      </c>
      <c r="J256" s="9">
        <v>48</v>
      </c>
      <c r="K256" s="100">
        <f t="shared" si="44"/>
        <v>48</v>
      </c>
      <c r="L256" s="78">
        <v>46112</v>
      </c>
      <c r="M256" s="103"/>
      <c r="N256" s="93" t="s">
        <v>143</v>
      </c>
      <c r="O256" s="94">
        <v>46141</v>
      </c>
      <c r="P256" s="104">
        <f t="shared" si="39"/>
        <v>48</v>
      </c>
      <c r="Q256" s="104">
        <f t="shared" si="40"/>
        <v>48</v>
      </c>
      <c r="R256" s="104"/>
      <c r="S256" s="93" t="s">
        <v>331</v>
      </c>
      <c r="T256" s="94">
        <v>46153</v>
      </c>
      <c r="U256" s="104">
        <f t="shared" si="41"/>
        <v>48</v>
      </c>
      <c r="V256" s="104">
        <f t="shared" si="42"/>
        <v>1</v>
      </c>
      <c r="W256" s="103">
        <f t="shared" si="43"/>
        <v>48</v>
      </c>
      <c r="X256" s="93" t="s">
        <v>89</v>
      </c>
      <c r="Y256" s="105" t="s">
        <v>84</v>
      </c>
      <c r="Z256" s="105" t="s">
        <v>93</v>
      </c>
    </row>
    <row r="257" spans="1:26" s="105" customFormat="1" ht="15" customHeight="1">
      <c r="A257" s="99">
        <f t="shared" si="38"/>
        <v>255</v>
      </c>
      <c r="B257" s="75" t="s">
        <v>985</v>
      </c>
      <c r="C257" s="100" t="str">
        <f>IF($B257&lt;&gt;"",_xlfn.IFNA(VLOOKUP($B257,'Node Details'!$B:$U,C$1,0),"Check"),"")</f>
        <v>00AXY-FMS-AXY040108</v>
      </c>
      <c r="D257" s="100" t="str">
        <f>IF($B257&lt;&gt;"",_xlfn.IFNA(VLOOKUP($B257,'Node Details'!$B:$U,D$1,0),"Check"),"")</f>
        <v>AXY</v>
      </c>
      <c r="E257" s="100" t="str">
        <f>IF($B257&lt;&gt;"",_xlfn.IFNA(VLOOKUP($B257,'Node Details'!$B:$U,E$1,0),"Check"),"")</f>
        <v>Airtel</v>
      </c>
      <c r="F257" s="101">
        <v>46113</v>
      </c>
      <c r="G257" s="103"/>
      <c r="H257" s="102" t="s">
        <v>1256</v>
      </c>
      <c r="I257" s="9">
        <v>1</v>
      </c>
      <c r="J257" s="9">
        <v>48</v>
      </c>
      <c r="K257" s="100">
        <f t="shared" si="44"/>
        <v>48</v>
      </c>
      <c r="L257" s="78">
        <v>46112</v>
      </c>
      <c r="M257" s="103"/>
      <c r="N257" s="93" t="s">
        <v>143</v>
      </c>
      <c r="O257" s="94">
        <v>46141</v>
      </c>
      <c r="P257" s="104">
        <f t="shared" si="39"/>
        <v>48</v>
      </c>
      <c r="Q257" s="104">
        <f t="shared" si="40"/>
        <v>48</v>
      </c>
      <c r="R257" s="104"/>
      <c r="S257" s="93" t="s">
        <v>331</v>
      </c>
      <c r="T257" s="94">
        <v>46153</v>
      </c>
      <c r="U257" s="104">
        <f t="shared" si="41"/>
        <v>48</v>
      </c>
      <c r="V257" s="104">
        <f t="shared" si="42"/>
        <v>1</v>
      </c>
      <c r="W257" s="103">
        <f t="shared" si="43"/>
        <v>48</v>
      </c>
      <c r="X257" s="93" t="s">
        <v>89</v>
      </c>
      <c r="Y257" s="105" t="s">
        <v>84</v>
      </c>
      <c r="Z257" s="105" t="s">
        <v>93</v>
      </c>
    </row>
    <row r="258" spans="1:26" s="105" customFormat="1" ht="15" customHeight="1">
      <c r="A258" s="99">
        <f t="shared" si="38"/>
        <v>256</v>
      </c>
      <c r="B258" s="75" t="s">
        <v>184</v>
      </c>
      <c r="C258" s="100" t="str">
        <f>IF($B258&lt;&gt;"",_xlfn.IFNA(VLOOKUP($B258,'Node Details'!$B:$U,C$1,0),"Check"),"")</f>
        <v>00AXY-FMS-AXY040108</v>
      </c>
      <c r="D258" s="100" t="str">
        <f>IF($B258&lt;&gt;"",_xlfn.IFNA(VLOOKUP($B258,'Node Details'!$B:$U,D$1,0),"Check"),"")</f>
        <v>AXY</v>
      </c>
      <c r="E258" s="100" t="str">
        <f>IF($B258&lt;&gt;"",_xlfn.IFNA(VLOOKUP($B258,'Node Details'!$B:$U,E$1,0),"Check"),"")</f>
        <v>Airtel</v>
      </c>
      <c r="F258" s="101">
        <v>46113</v>
      </c>
      <c r="G258" s="103"/>
      <c r="H258" s="102" t="s">
        <v>1256</v>
      </c>
      <c r="I258" s="9">
        <v>1</v>
      </c>
      <c r="J258" s="9">
        <v>48</v>
      </c>
      <c r="K258" s="100">
        <f t="shared" si="44"/>
        <v>48</v>
      </c>
      <c r="L258" s="78">
        <v>46112</v>
      </c>
      <c r="M258" s="103"/>
      <c r="N258" s="93" t="s">
        <v>143</v>
      </c>
      <c r="O258" s="94">
        <v>46141</v>
      </c>
      <c r="P258" s="104">
        <f t="shared" si="39"/>
        <v>48</v>
      </c>
      <c r="Q258" s="104">
        <f t="shared" si="40"/>
        <v>48</v>
      </c>
      <c r="R258" s="104"/>
      <c r="S258" s="93" t="s">
        <v>331</v>
      </c>
      <c r="T258" s="94">
        <v>46153</v>
      </c>
      <c r="U258" s="104">
        <f t="shared" si="41"/>
        <v>48</v>
      </c>
      <c r="V258" s="104">
        <f t="shared" si="42"/>
        <v>1</v>
      </c>
      <c r="W258" s="103">
        <f t="shared" si="43"/>
        <v>48</v>
      </c>
      <c r="X258" s="93" t="s">
        <v>89</v>
      </c>
      <c r="Y258" s="105" t="s">
        <v>84</v>
      </c>
      <c r="Z258" s="105" t="s">
        <v>93</v>
      </c>
    </row>
    <row r="259" spans="1:26" s="105" customFormat="1" ht="15" customHeight="1">
      <c r="A259" s="99">
        <f t="shared" si="38"/>
        <v>257</v>
      </c>
      <c r="B259" s="75" t="s">
        <v>187</v>
      </c>
      <c r="C259" s="100" t="str">
        <f>IF($B259&lt;&gt;"",_xlfn.IFNA(VLOOKUP($B259,'Node Details'!$B:$U,C$1,0),"Check"),"")</f>
        <v>0000AXY04-AXY040201</v>
      </c>
      <c r="D259" s="100" t="str">
        <f>IF($B259&lt;&gt;"",_xlfn.IFNA(VLOOKUP($B259,'Node Details'!$B:$U,D$1,0),"Check"),"")</f>
        <v>AXY</v>
      </c>
      <c r="E259" s="100" t="str">
        <f>IF($B259&lt;&gt;"",_xlfn.IFNA(VLOOKUP($B259,'Node Details'!$B:$U,E$1,0),"Check"),"")</f>
        <v>Airtel</v>
      </c>
      <c r="F259" s="101">
        <v>46113</v>
      </c>
      <c r="G259" s="103"/>
      <c r="H259" s="102" t="s">
        <v>1256</v>
      </c>
      <c r="I259" s="9">
        <v>1</v>
      </c>
      <c r="J259" s="9">
        <v>48</v>
      </c>
      <c r="K259" s="100">
        <f t="shared" si="44"/>
        <v>48</v>
      </c>
      <c r="L259" s="78">
        <v>46112</v>
      </c>
      <c r="M259" s="103"/>
      <c r="N259" s="93" t="s">
        <v>143</v>
      </c>
      <c r="O259" s="94">
        <v>46141</v>
      </c>
      <c r="P259" s="104">
        <f t="shared" si="39"/>
        <v>48</v>
      </c>
      <c r="Q259" s="104">
        <f t="shared" si="40"/>
        <v>48</v>
      </c>
      <c r="R259" s="104"/>
      <c r="S259" s="93" t="s">
        <v>331</v>
      </c>
      <c r="T259" s="94">
        <v>46153</v>
      </c>
      <c r="U259" s="104">
        <f t="shared" si="41"/>
        <v>48</v>
      </c>
      <c r="V259" s="104">
        <f t="shared" si="42"/>
        <v>1</v>
      </c>
      <c r="W259" s="103">
        <f t="shared" si="43"/>
        <v>48</v>
      </c>
      <c r="X259" s="93" t="s">
        <v>89</v>
      </c>
      <c r="Y259" s="105" t="s">
        <v>84</v>
      </c>
      <c r="Z259" s="105" t="s">
        <v>93</v>
      </c>
    </row>
    <row r="260" spans="1:26" s="105" customFormat="1" ht="15" customHeight="1">
      <c r="A260" s="99">
        <f t="shared" ref="A260:A323" si="45">A259+1</f>
        <v>258</v>
      </c>
      <c r="B260" s="75" t="s">
        <v>986</v>
      </c>
      <c r="C260" s="100" t="str">
        <f>IF($B260&lt;&gt;"",_xlfn.IFNA(VLOOKUP($B260,'Node Details'!$B:$U,C$1,0),"Check"),"")</f>
        <v>AXY040201-AXY040204</v>
      </c>
      <c r="D260" s="100" t="str">
        <f>IF($B260&lt;&gt;"",_xlfn.IFNA(VLOOKUP($B260,'Node Details'!$B:$U,D$1,0),"Check"),"")</f>
        <v>AXY</v>
      </c>
      <c r="E260" s="100" t="str">
        <f>IF($B260&lt;&gt;"",_xlfn.IFNA(VLOOKUP($B260,'Node Details'!$B:$U,E$1,0),"Check"),"")</f>
        <v>Airtel</v>
      </c>
      <c r="F260" s="101">
        <v>46113</v>
      </c>
      <c r="G260" s="103"/>
      <c r="H260" s="102" t="s">
        <v>1256</v>
      </c>
      <c r="I260" s="9">
        <v>1</v>
      </c>
      <c r="J260" s="9">
        <v>48</v>
      </c>
      <c r="K260" s="100">
        <f t="shared" si="44"/>
        <v>48</v>
      </c>
      <c r="L260" s="78">
        <v>46112</v>
      </c>
      <c r="M260" s="103"/>
      <c r="N260" s="93" t="s">
        <v>143</v>
      </c>
      <c r="O260" s="94">
        <v>46141</v>
      </c>
      <c r="P260" s="104">
        <f t="shared" si="39"/>
        <v>48</v>
      </c>
      <c r="Q260" s="104">
        <f t="shared" si="40"/>
        <v>48</v>
      </c>
      <c r="R260" s="104"/>
      <c r="S260" s="93" t="s">
        <v>331</v>
      </c>
      <c r="T260" s="94">
        <v>46153</v>
      </c>
      <c r="U260" s="104">
        <f t="shared" si="41"/>
        <v>48</v>
      </c>
      <c r="V260" s="104">
        <f t="shared" si="42"/>
        <v>1</v>
      </c>
      <c r="W260" s="103">
        <f t="shared" si="43"/>
        <v>48</v>
      </c>
      <c r="X260" s="93" t="s">
        <v>89</v>
      </c>
      <c r="Y260" s="105" t="s">
        <v>84</v>
      </c>
      <c r="Z260" s="105" t="s">
        <v>93</v>
      </c>
    </row>
    <row r="261" spans="1:26" s="105" customFormat="1" ht="15" customHeight="1">
      <c r="A261" s="99">
        <f t="shared" si="45"/>
        <v>259</v>
      </c>
      <c r="B261" s="75" t="s">
        <v>987</v>
      </c>
      <c r="C261" s="100" t="str">
        <f>IF($B261&lt;&gt;"",_xlfn.IFNA(VLOOKUP($B261,'Node Details'!$B:$U,C$1,0),"Check"),"")</f>
        <v>AXY040201-AXY040204</v>
      </c>
      <c r="D261" s="100" t="str">
        <f>IF($B261&lt;&gt;"",_xlfn.IFNA(VLOOKUP($B261,'Node Details'!$B:$U,D$1,0),"Check"),"")</f>
        <v>AXY</v>
      </c>
      <c r="E261" s="100" t="str">
        <f>IF($B261&lt;&gt;"",_xlfn.IFNA(VLOOKUP($B261,'Node Details'!$B:$U,E$1,0),"Check"),"")</f>
        <v>Airtel</v>
      </c>
      <c r="F261" s="101">
        <v>46113</v>
      </c>
      <c r="G261" s="103"/>
      <c r="H261" s="102" t="s">
        <v>1256</v>
      </c>
      <c r="I261" s="9">
        <v>1</v>
      </c>
      <c r="J261" s="9">
        <v>48</v>
      </c>
      <c r="K261" s="100">
        <f t="shared" si="44"/>
        <v>48</v>
      </c>
      <c r="L261" s="78">
        <v>46112</v>
      </c>
      <c r="M261" s="103"/>
      <c r="N261" s="93" t="s">
        <v>143</v>
      </c>
      <c r="O261" s="94">
        <v>46141</v>
      </c>
      <c r="P261" s="104">
        <f t="shared" si="39"/>
        <v>48</v>
      </c>
      <c r="Q261" s="104">
        <f t="shared" si="40"/>
        <v>48</v>
      </c>
      <c r="R261" s="104"/>
      <c r="S261" s="93" t="s">
        <v>331</v>
      </c>
      <c r="T261" s="94">
        <v>46153</v>
      </c>
      <c r="U261" s="104">
        <f t="shared" si="41"/>
        <v>48</v>
      </c>
      <c r="V261" s="104">
        <f t="shared" si="42"/>
        <v>1</v>
      </c>
      <c r="W261" s="103">
        <f t="shared" si="43"/>
        <v>48</v>
      </c>
      <c r="X261" s="93" t="s">
        <v>89</v>
      </c>
      <c r="Y261" s="105" t="s">
        <v>84</v>
      </c>
      <c r="Z261" s="105" t="s">
        <v>93</v>
      </c>
    </row>
    <row r="262" spans="1:26" s="105" customFormat="1" ht="15" customHeight="1">
      <c r="A262" s="99">
        <f t="shared" si="45"/>
        <v>260</v>
      </c>
      <c r="B262" s="75" t="s">
        <v>191</v>
      </c>
      <c r="C262" s="100" t="str">
        <f>IF($B262&lt;&gt;"",_xlfn.IFNA(VLOOKUP($B262,'Node Details'!$B:$U,C$1,0),"Check"),"")</f>
        <v>AXY040201-AXY040204</v>
      </c>
      <c r="D262" s="100" t="str">
        <f>IF($B262&lt;&gt;"",_xlfn.IFNA(VLOOKUP($B262,'Node Details'!$B:$U,D$1,0),"Check"),"")</f>
        <v>AXY</v>
      </c>
      <c r="E262" s="100" t="str">
        <f>IF($B262&lt;&gt;"",_xlfn.IFNA(VLOOKUP($B262,'Node Details'!$B:$U,E$1,0),"Check"),"")</f>
        <v>Airtel</v>
      </c>
      <c r="F262" s="101">
        <v>46113</v>
      </c>
      <c r="G262" s="103"/>
      <c r="H262" s="102" t="s">
        <v>1256</v>
      </c>
      <c r="I262" s="9">
        <v>1</v>
      </c>
      <c r="J262" s="9">
        <v>48</v>
      </c>
      <c r="K262" s="100">
        <f t="shared" si="44"/>
        <v>48</v>
      </c>
      <c r="L262" s="78">
        <v>46112</v>
      </c>
      <c r="M262" s="103"/>
      <c r="N262" s="93" t="s">
        <v>143</v>
      </c>
      <c r="O262" s="94">
        <v>46141</v>
      </c>
      <c r="P262" s="104">
        <f t="shared" si="39"/>
        <v>48</v>
      </c>
      <c r="Q262" s="104">
        <f t="shared" si="40"/>
        <v>48</v>
      </c>
      <c r="R262" s="104"/>
      <c r="S262" s="93" t="s">
        <v>331</v>
      </c>
      <c r="T262" s="94">
        <v>46153</v>
      </c>
      <c r="U262" s="104">
        <f t="shared" si="41"/>
        <v>48</v>
      </c>
      <c r="V262" s="104">
        <f t="shared" si="42"/>
        <v>1</v>
      </c>
      <c r="W262" s="103">
        <f t="shared" si="43"/>
        <v>48</v>
      </c>
      <c r="X262" s="93" t="s">
        <v>89</v>
      </c>
      <c r="Y262" s="105" t="s">
        <v>84</v>
      </c>
      <c r="Z262" s="105" t="s">
        <v>93</v>
      </c>
    </row>
    <row r="263" spans="1:26" s="105" customFormat="1" ht="15" customHeight="1">
      <c r="A263" s="99">
        <f t="shared" si="45"/>
        <v>261</v>
      </c>
      <c r="B263" s="75" t="s">
        <v>152</v>
      </c>
      <c r="C263" s="100" t="str">
        <f>IF($B263&lt;&gt;"",_xlfn.IFNA(VLOOKUP($B263,'Node Details'!$B:$U,C$1,0),"Check"),"")</f>
        <v>0000AXY04-0000AXY05</v>
      </c>
      <c r="D263" s="100" t="str">
        <f>IF($B263&lt;&gt;"",_xlfn.IFNA(VLOOKUP($B263,'Node Details'!$B:$U,D$1,0),"Check"),"")</f>
        <v>AXY</v>
      </c>
      <c r="E263" s="100" t="str">
        <f>IF($B263&lt;&gt;"",_xlfn.IFNA(VLOOKUP($B263,'Node Details'!$B:$U,E$1,0),"Check"),"")</f>
        <v>Airtel</v>
      </c>
      <c r="F263" s="101">
        <v>46113</v>
      </c>
      <c r="G263" s="103"/>
      <c r="H263" s="102" t="s">
        <v>1256</v>
      </c>
      <c r="I263" s="9">
        <v>1</v>
      </c>
      <c r="J263" s="9">
        <v>48</v>
      </c>
      <c r="K263" s="100">
        <f t="shared" si="44"/>
        <v>48</v>
      </c>
      <c r="L263" s="78">
        <v>46112</v>
      </c>
      <c r="M263" s="103"/>
      <c r="N263" s="93" t="s">
        <v>143</v>
      </c>
      <c r="O263" s="94">
        <v>46141</v>
      </c>
      <c r="P263" s="104">
        <f t="shared" si="39"/>
        <v>48</v>
      </c>
      <c r="Q263" s="104">
        <f t="shared" si="40"/>
        <v>48</v>
      </c>
      <c r="R263" s="104"/>
      <c r="S263" s="93" t="s">
        <v>331</v>
      </c>
      <c r="T263" s="94">
        <v>46153</v>
      </c>
      <c r="U263" s="104">
        <f t="shared" si="41"/>
        <v>48</v>
      </c>
      <c r="V263" s="104">
        <f t="shared" si="42"/>
        <v>1</v>
      </c>
      <c r="W263" s="103">
        <f t="shared" si="43"/>
        <v>48</v>
      </c>
      <c r="X263" s="93" t="s">
        <v>89</v>
      </c>
      <c r="Y263" s="105" t="s">
        <v>84</v>
      </c>
      <c r="Z263" s="105" t="s">
        <v>93</v>
      </c>
    </row>
    <row r="264" spans="1:26" s="105" customFormat="1" ht="15" customHeight="1">
      <c r="A264" s="99">
        <f t="shared" si="45"/>
        <v>262</v>
      </c>
      <c r="B264" s="75" t="s">
        <v>194</v>
      </c>
      <c r="C264" s="100" t="str">
        <f>IF($B264&lt;&gt;"",_xlfn.IFNA(VLOOKUP($B264,'Node Details'!$B:$U,C$1,0),"Check"),"")</f>
        <v>0000AXY05-AXY050101</v>
      </c>
      <c r="D264" s="100" t="str">
        <f>IF($B264&lt;&gt;"",_xlfn.IFNA(VLOOKUP($B264,'Node Details'!$B:$U,D$1,0),"Check"),"")</f>
        <v>AXY</v>
      </c>
      <c r="E264" s="100" t="str">
        <f>IF($B264&lt;&gt;"",_xlfn.IFNA(VLOOKUP($B264,'Node Details'!$B:$U,E$1,0),"Check"),"")</f>
        <v>Airtel</v>
      </c>
      <c r="F264" s="101">
        <v>46113</v>
      </c>
      <c r="G264" s="103"/>
      <c r="H264" s="102" t="s">
        <v>1256</v>
      </c>
      <c r="I264" s="9">
        <v>1</v>
      </c>
      <c r="J264" s="9">
        <v>48</v>
      </c>
      <c r="K264" s="100">
        <f t="shared" si="44"/>
        <v>48</v>
      </c>
      <c r="L264" s="78">
        <v>46112</v>
      </c>
      <c r="M264" s="103"/>
      <c r="N264" s="93" t="s">
        <v>143</v>
      </c>
      <c r="O264" s="94">
        <v>46141</v>
      </c>
      <c r="P264" s="104">
        <f t="shared" si="39"/>
        <v>48</v>
      </c>
      <c r="Q264" s="104">
        <f t="shared" si="40"/>
        <v>48</v>
      </c>
      <c r="R264" s="104"/>
      <c r="S264" s="93" t="s">
        <v>331</v>
      </c>
      <c r="T264" s="94">
        <v>46153</v>
      </c>
      <c r="U264" s="104">
        <f t="shared" si="41"/>
        <v>48</v>
      </c>
      <c r="V264" s="104">
        <f t="shared" si="42"/>
        <v>1</v>
      </c>
      <c r="W264" s="103">
        <f t="shared" si="43"/>
        <v>48</v>
      </c>
      <c r="X264" s="93" t="s">
        <v>89</v>
      </c>
      <c r="Y264" s="105" t="s">
        <v>84</v>
      </c>
      <c r="Z264" s="105" t="s">
        <v>93</v>
      </c>
    </row>
    <row r="265" spans="1:26" s="105" customFormat="1" ht="15" customHeight="1">
      <c r="A265" s="99">
        <f t="shared" si="45"/>
        <v>263</v>
      </c>
      <c r="B265" s="75" t="s">
        <v>988</v>
      </c>
      <c r="C265" s="100" t="str">
        <f>IF($B265&lt;&gt;"",_xlfn.IFNA(VLOOKUP($B265,'Node Details'!$B:$U,C$1,0),"Check"),"")</f>
        <v>0000AXY5 -AXY050104</v>
      </c>
      <c r="D265" s="100" t="str">
        <f>IF($B265&lt;&gt;"",_xlfn.IFNA(VLOOKUP($B265,'Node Details'!$B:$U,D$1,0),"Check"),"")</f>
        <v>AXY</v>
      </c>
      <c r="E265" s="100" t="str">
        <f>IF($B265&lt;&gt;"",_xlfn.IFNA(VLOOKUP($B265,'Node Details'!$B:$U,E$1,0),"Check"),"")</f>
        <v>Airtel</v>
      </c>
      <c r="F265" s="101">
        <v>46113</v>
      </c>
      <c r="G265" s="103"/>
      <c r="H265" s="102" t="s">
        <v>1256</v>
      </c>
      <c r="I265" s="9">
        <v>1</v>
      </c>
      <c r="J265" s="9">
        <v>48</v>
      </c>
      <c r="K265" s="100">
        <f t="shared" si="44"/>
        <v>48</v>
      </c>
      <c r="L265" s="78">
        <v>46112</v>
      </c>
      <c r="M265" s="103"/>
      <c r="N265" s="93" t="s">
        <v>143</v>
      </c>
      <c r="O265" s="94">
        <v>46141</v>
      </c>
      <c r="P265" s="104">
        <f t="shared" si="39"/>
        <v>48</v>
      </c>
      <c r="Q265" s="104">
        <f t="shared" si="40"/>
        <v>48</v>
      </c>
      <c r="R265" s="104"/>
      <c r="S265" s="93" t="s">
        <v>331</v>
      </c>
      <c r="T265" s="94">
        <v>46153</v>
      </c>
      <c r="U265" s="104">
        <f t="shared" si="41"/>
        <v>48</v>
      </c>
      <c r="V265" s="104">
        <f t="shared" si="42"/>
        <v>1</v>
      </c>
      <c r="W265" s="103">
        <f t="shared" si="43"/>
        <v>48</v>
      </c>
      <c r="X265" s="93" t="s">
        <v>89</v>
      </c>
      <c r="Y265" s="105" t="s">
        <v>84</v>
      </c>
      <c r="Z265" s="105" t="s">
        <v>93</v>
      </c>
    </row>
    <row r="266" spans="1:26" s="105" customFormat="1" ht="15" customHeight="1">
      <c r="A266" s="99">
        <f t="shared" si="45"/>
        <v>264</v>
      </c>
      <c r="B266" s="75" t="s">
        <v>989</v>
      </c>
      <c r="C266" s="100" t="str">
        <f>IF($B266&lt;&gt;"",_xlfn.IFNA(VLOOKUP($B266,'Node Details'!$B:$U,C$1,0),"Check"),"")</f>
        <v>0000AXY5 -AXY050104</v>
      </c>
      <c r="D266" s="100" t="str">
        <f>IF($B266&lt;&gt;"",_xlfn.IFNA(VLOOKUP($B266,'Node Details'!$B:$U,D$1,0),"Check"),"")</f>
        <v>AXY</v>
      </c>
      <c r="E266" s="100" t="str">
        <f>IF($B266&lt;&gt;"",_xlfn.IFNA(VLOOKUP($B266,'Node Details'!$B:$U,E$1,0),"Check"),"")</f>
        <v>Airtel</v>
      </c>
      <c r="F266" s="101">
        <v>46113</v>
      </c>
      <c r="G266" s="103"/>
      <c r="H266" s="102" t="s">
        <v>1256</v>
      </c>
      <c r="I266" s="9">
        <v>1</v>
      </c>
      <c r="J266" s="9">
        <v>48</v>
      </c>
      <c r="K266" s="100">
        <f t="shared" si="44"/>
        <v>48</v>
      </c>
      <c r="L266" s="78">
        <v>46112</v>
      </c>
      <c r="M266" s="103"/>
      <c r="N266" s="93" t="s">
        <v>143</v>
      </c>
      <c r="O266" s="94">
        <v>46141</v>
      </c>
      <c r="P266" s="104">
        <f t="shared" si="39"/>
        <v>48</v>
      </c>
      <c r="Q266" s="104">
        <f t="shared" si="40"/>
        <v>48</v>
      </c>
      <c r="R266" s="104"/>
      <c r="S266" s="93" t="s">
        <v>331</v>
      </c>
      <c r="T266" s="94">
        <v>46153</v>
      </c>
      <c r="U266" s="104">
        <f t="shared" si="41"/>
        <v>48</v>
      </c>
      <c r="V266" s="104">
        <f t="shared" si="42"/>
        <v>1</v>
      </c>
      <c r="W266" s="103">
        <f t="shared" si="43"/>
        <v>48</v>
      </c>
      <c r="X266" s="93" t="s">
        <v>89</v>
      </c>
      <c r="Y266" s="105" t="s">
        <v>84</v>
      </c>
      <c r="Z266" s="105" t="s">
        <v>93</v>
      </c>
    </row>
    <row r="267" spans="1:26" s="105" customFormat="1" ht="15" customHeight="1">
      <c r="A267" s="99">
        <f t="shared" si="45"/>
        <v>265</v>
      </c>
      <c r="B267" s="75" t="s">
        <v>198</v>
      </c>
      <c r="C267" s="100" t="str">
        <f>IF($B267&lt;&gt;"",_xlfn.IFNA(VLOOKUP($B267,'Node Details'!$B:$U,C$1,0),"Check"),"")</f>
        <v>0000AXY5 -AXY050104</v>
      </c>
      <c r="D267" s="100" t="str">
        <f>IF($B267&lt;&gt;"",_xlfn.IFNA(VLOOKUP($B267,'Node Details'!$B:$U,D$1,0),"Check"),"")</f>
        <v>AXY</v>
      </c>
      <c r="E267" s="100" t="str">
        <f>IF($B267&lt;&gt;"",_xlfn.IFNA(VLOOKUP($B267,'Node Details'!$B:$U,E$1,0),"Check"),"")</f>
        <v>Airtel</v>
      </c>
      <c r="F267" s="101">
        <v>46113</v>
      </c>
      <c r="G267" s="103"/>
      <c r="H267" s="102" t="s">
        <v>1256</v>
      </c>
      <c r="I267" s="9">
        <v>1</v>
      </c>
      <c r="J267" s="9">
        <v>48</v>
      </c>
      <c r="K267" s="100">
        <f t="shared" si="44"/>
        <v>48</v>
      </c>
      <c r="L267" s="78">
        <v>46112</v>
      </c>
      <c r="M267" s="103"/>
      <c r="N267" s="93" t="s">
        <v>143</v>
      </c>
      <c r="O267" s="94">
        <v>46141</v>
      </c>
      <c r="P267" s="104">
        <f t="shared" si="39"/>
        <v>48</v>
      </c>
      <c r="Q267" s="104">
        <f t="shared" si="40"/>
        <v>48</v>
      </c>
      <c r="R267" s="104"/>
      <c r="S267" s="93" t="s">
        <v>331</v>
      </c>
      <c r="T267" s="94">
        <v>46153</v>
      </c>
      <c r="U267" s="104">
        <f t="shared" si="41"/>
        <v>48</v>
      </c>
      <c r="V267" s="104">
        <f t="shared" si="42"/>
        <v>1</v>
      </c>
      <c r="W267" s="103">
        <f t="shared" si="43"/>
        <v>48</v>
      </c>
      <c r="X267" s="93" t="s">
        <v>89</v>
      </c>
      <c r="Y267" s="105" t="s">
        <v>84</v>
      </c>
      <c r="Z267" s="105" t="s">
        <v>93</v>
      </c>
    </row>
    <row r="268" spans="1:26" s="105" customFormat="1" ht="15" customHeight="1">
      <c r="A268" s="99">
        <f t="shared" si="45"/>
        <v>266</v>
      </c>
      <c r="B268" s="75" t="s">
        <v>204</v>
      </c>
      <c r="C268" s="100" t="str">
        <f>IF($B268&lt;&gt;"",_xlfn.IFNA(VLOOKUP($B268,'Node Details'!$B:$U,C$1,0),"Check"),"")</f>
        <v>0000AXY05-AXY050107</v>
      </c>
      <c r="D268" s="100" t="str">
        <f>IF($B268&lt;&gt;"",_xlfn.IFNA(VLOOKUP($B268,'Node Details'!$B:$U,D$1,0),"Check"),"")</f>
        <v>AXY</v>
      </c>
      <c r="E268" s="100" t="str">
        <f>IF($B268&lt;&gt;"",_xlfn.IFNA(VLOOKUP($B268,'Node Details'!$B:$U,E$1,0),"Check"),"")</f>
        <v>Airtel</v>
      </c>
      <c r="F268" s="101">
        <v>46113</v>
      </c>
      <c r="G268" s="103"/>
      <c r="H268" s="102" t="s">
        <v>1256</v>
      </c>
      <c r="I268" s="9">
        <v>1</v>
      </c>
      <c r="J268" s="9">
        <v>48</v>
      </c>
      <c r="K268" s="100">
        <f t="shared" si="44"/>
        <v>48</v>
      </c>
      <c r="L268" s="78">
        <v>46112</v>
      </c>
      <c r="M268" s="103"/>
      <c r="N268" s="93" t="s">
        <v>143</v>
      </c>
      <c r="O268" s="94">
        <v>46141</v>
      </c>
      <c r="P268" s="104">
        <f t="shared" si="39"/>
        <v>48</v>
      </c>
      <c r="Q268" s="104">
        <f t="shared" si="40"/>
        <v>48</v>
      </c>
      <c r="R268" s="104"/>
      <c r="S268" s="93" t="s">
        <v>331</v>
      </c>
      <c r="T268" s="94">
        <v>46153</v>
      </c>
      <c r="U268" s="104">
        <f t="shared" si="41"/>
        <v>48</v>
      </c>
      <c r="V268" s="104">
        <f t="shared" si="42"/>
        <v>1</v>
      </c>
      <c r="W268" s="103">
        <f t="shared" si="43"/>
        <v>48</v>
      </c>
      <c r="X268" s="93" t="s">
        <v>89</v>
      </c>
      <c r="Y268" s="105" t="s">
        <v>84</v>
      </c>
      <c r="Z268" s="105" t="s">
        <v>93</v>
      </c>
    </row>
    <row r="269" spans="1:26" s="105" customFormat="1" ht="15" customHeight="1">
      <c r="A269" s="99">
        <f t="shared" si="45"/>
        <v>267</v>
      </c>
      <c r="B269" s="75" t="s">
        <v>990</v>
      </c>
      <c r="C269" s="100" t="str">
        <f>IF($B269&lt;&gt;"",_xlfn.IFNA(VLOOKUP($B269,'Node Details'!$B:$U,C$1,0),"Check"),"")</f>
        <v>0000AXY05-AXY050107</v>
      </c>
      <c r="D269" s="100" t="str">
        <f>IF($B269&lt;&gt;"",_xlfn.IFNA(VLOOKUP($B269,'Node Details'!$B:$U,D$1,0),"Check"),"")</f>
        <v>AXY</v>
      </c>
      <c r="E269" s="100" t="str">
        <f>IF($B269&lt;&gt;"",_xlfn.IFNA(VLOOKUP($B269,'Node Details'!$B:$U,E$1,0),"Check"),"")</f>
        <v>Airtel</v>
      </c>
      <c r="F269" s="101">
        <v>46113</v>
      </c>
      <c r="G269" s="103"/>
      <c r="H269" s="102" t="s">
        <v>1256</v>
      </c>
      <c r="I269" s="9">
        <v>1</v>
      </c>
      <c r="J269" s="9">
        <v>48</v>
      </c>
      <c r="K269" s="100">
        <f t="shared" si="44"/>
        <v>48</v>
      </c>
      <c r="L269" s="78">
        <v>46112</v>
      </c>
      <c r="M269" s="103"/>
      <c r="N269" s="93" t="s">
        <v>143</v>
      </c>
      <c r="O269" s="94">
        <v>46141</v>
      </c>
      <c r="P269" s="104">
        <f t="shared" si="39"/>
        <v>48</v>
      </c>
      <c r="Q269" s="104">
        <f t="shared" si="40"/>
        <v>48</v>
      </c>
      <c r="R269" s="104"/>
      <c r="S269" s="93" t="s">
        <v>331</v>
      </c>
      <c r="T269" s="94">
        <v>46153</v>
      </c>
      <c r="U269" s="104">
        <f t="shared" si="41"/>
        <v>48</v>
      </c>
      <c r="V269" s="104">
        <f t="shared" si="42"/>
        <v>1</v>
      </c>
      <c r="W269" s="103">
        <f t="shared" si="43"/>
        <v>48</v>
      </c>
      <c r="X269" s="93" t="s">
        <v>89</v>
      </c>
      <c r="Y269" s="105" t="s">
        <v>84</v>
      </c>
      <c r="Z269" s="105" t="s">
        <v>93</v>
      </c>
    </row>
    <row r="270" spans="1:26" s="105" customFormat="1" ht="15" customHeight="1">
      <c r="A270" s="99">
        <f t="shared" si="45"/>
        <v>268</v>
      </c>
      <c r="B270" s="75" t="s">
        <v>201</v>
      </c>
      <c r="C270" s="100" t="str">
        <f>IF($B270&lt;&gt;"",_xlfn.IFNA(VLOOKUP($B270,'Node Details'!$B:$U,C$1,0),"Check"),"")</f>
        <v>0000AXY05-AXY050107</v>
      </c>
      <c r="D270" s="100" t="str">
        <f>IF($B270&lt;&gt;"",_xlfn.IFNA(VLOOKUP($B270,'Node Details'!$B:$U,D$1,0),"Check"),"")</f>
        <v>AXY</v>
      </c>
      <c r="E270" s="100" t="str">
        <f>IF($B270&lt;&gt;"",_xlfn.IFNA(VLOOKUP($B270,'Node Details'!$B:$U,E$1,0),"Check"),"")</f>
        <v>Airtel</v>
      </c>
      <c r="F270" s="101">
        <v>46113</v>
      </c>
      <c r="G270" s="103"/>
      <c r="H270" s="102" t="s">
        <v>1256</v>
      </c>
      <c r="I270" s="9">
        <v>1</v>
      </c>
      <c r="J270" s="9">
        <v>48</v>
      </c>
      <c r="K270" s="100">
        <f t="shared" si="44"/>
        <v>48</v>
      </c>
      <c r="L270" s="78">
        <v>46112</v>
      </c>
      <c r="M270" s="103"/>
      <c r="N270" s="93" t="s">
        <v>143</v>
      </c>
      <c r="O270" s="94">
        <v>46141</v>
      </c>
      <c r="P270" s="104">
        <f t="shared" si="39"/>
        <v>48</v>
      </c>
      <c r="Q270" s="104">
        <f t="shared" si="40"/>
        <v>48</v>
      </c>
      <c r="R270" s="104"/>
      <c r="S270" s="93" t="s">
        <v>331</v>
      </c>
      <c r="T270" s="94">
        <v>46153</v>
      </c>
      <c r="U270" s="104">
        <f t="shared" si="41"/>
        <v>48</v>
      </c>
      <c r="V270" s="104">
        <f t="shared" si="42"/>
        <v>1</v>
      </c>
      <c r="W270" s="103">
        <f t="shared" si="43"/>
        <v>48</v>
      </c>
      <c r="X270" s="93" t="s">
        <v>89</v>
      </c>
      <c r="Y270" s="105" t="s">
        <v>84</v>
      </c>
      <c r="Z270" s="105" t="s">
        <v>93</v>
      </c>
    </row>
    <row r="271" spans="1:26" s="105" customFormat="1" ht="15" customHeight="1">
      <c r="A271" s="99">
        <f t="shared" si="45"/>
        <v>269</v>
      </c>
      <c r="B271" s="75" t="s">
        <v>991</v>
      </c>
      <c r="C271" s="100" t="str">
        <f>IF($B271&lt;&gt;"",_xlfn.IFNA(VLOOKUP($B271,'Node Details'!$B:$U,C$1,0),"Check"),"")</f>
        <v>AXY050105-AXY050202</v>
      </c>
      <c r="D271" s="100" t="str">
        <f>IF($B271&lt;&gt;"",_xlfn.IFNA(VLOOKUP($B271,'Node Details'!$B:$U,D$1,0),"Check"),"")</f>
        <v>AXY</v>
      </c>
      <c r="E271" s="100" t="str">
        <f>IF($B271&lt;&gt;"",_xlfn.IFNA(VLOOKUP($B271,'Node Details'!$B:$U,E$1,0),"Check"),"")</f>
        <v>Airtel</v>
      </c>
      <c r="F271" s="101">
        <v>46113</v>
      </c>
      <c r="G271" s="103"/>
      <c r="H271" s="102" t="s">
        <v>1256</v>
      </c>
      <c r="I271" s="9">
        <v>1</v>
      </c>
      <c r="J271" s="9">
        <v>48</v>
      </c>
      <c r="K271" s="100">
        <f t="shared" si="44"/>
        <v>48</v>
      </c>
      <c r="L271" s="78">
        <v>46112</v>
      </c>
      <c r="M271" s="103"/>
      <c r="N271" s="93" t="s">
        <v>143</v>
      </c>
      <c r="O271" s="94">
        <v>46141</v>
      </c>
      <c r="P271" s="104">
        <f t="shared" si="39"/>
        <v>48</v>
      </c>
      <c r="Q271" s="104">
        <f t="shared" si="40"/>
        <v>48</v>
      </c>
      <c r="R271" s="104"/>
      <c r="S271" s="93" t="s">
        <v>331</v>
      </c>
      <c r="T271" s="94">
        <v>46153</v>
      </c>
      <c r="U271" s="104">
        <f t="shared" si="41"/>
        <v>48</v>
      </c>
      <c r="V271" s="104">
        <f t="shared" si="42"/>
        <v>1</v>
      </c>
      <c r="W271" s="103">
        <f t="shared" si="43"/>
        <v>48</v>
      </c>
      <c r="X271" s="93" t="s">
        <v>89</v>
      </c>
      <c r="Y271" s="105" t="s">
        <v>84</v>
      </c>
      <c r="Z271" s="105" t="s">
        <v>93</v>
      </c>
    </row>
    <row r="272" spans="1:26" s="105" customFormat="1" ht="15" customHeight="1">
      <c r="A272" s="99">
        <f t="shared" si="45"/>
        <v>270</v>
      </c>
      <c r="B272" s="75" t="s">
        <v>992</v>
      </c>
      <c r="C272" s="100" t="str">
        <f>IF($B272&lt;&gt;"",_xlfn.IFNA(VLOOKUP($B272,'Node Details'!$B:$U,C$1,0),"Check"),"")</f>
        <v>AXY050105-AXY050202</v>
      </c>
      <c r="D272" s="100" t="str">
        <f>IF($B272&lt;&gt;"",_xlfn.IFNA(VLOOKUP($B272,'Node Details'!$B:$U,D$1,0),"Check"),"")</f>
        <v>AXY</v>
      </c>
      <c r="E272" s="100" t="str">
        <f>IF($B272&lt;&gt;"",_xlfn.IFNA(VLOOKUP($B272,'Node Details'!$B:$U,E$1,0),"Check"),"")</f>
        <v>Airtel</v>
      </c>
      <c r="F272" s="101">
        <v>46113</v>
      </c>
      <c r="G272" s="103"/>
      <c r="H272" s="102" t="s">
        <v>1256</v>
      </c>
      <c r="I272" s="9">
        <v>1</v>
      </c>
      <c r="J272" s="9">
        <v>48</v>
      </c>
      <c r="K272" s="100">
        <f t="shared" si="44"/>
        <v>48</v>
      </c>
      <c r="L272" s="78">
        <v>46112</v>
      </c>
      <c r="M272" s="103"/>
      <c r="N272" s="93" t="s">
        <v>143</v>
      </c>
      <c r="O272" s="94">
        <v>46141</v>
      </c>
      <c r="P272" s="104">
        <f t="shared" si="39"/>
        <v>48</v>
      </c>
      <c r="Q272" s="104">
        <f t="shared" si="40"/>
        <v>48</v>
      </c>
      <c r="R272" s="104"/>
      <c r="S272" s="93" t="s">
        <v>331</v>
      </c>
      <c r="T272" s="94">
        <v>46153</v>
      </c>
      <c r="U272" s="104">
        <f t="shared" si="41"/>
        <v>48</v>
      </c>
      <c r="V272" s="104">
        <f t="shared" si="42"/>
        <v>1</v>
      </c>
      <c r="W272" s="103">
        <f t="shared" si="43"/>
        <v>48</v>
      </c>
      <c r="X272" s="93" t="s">
        <v>89</v>
      </c>
      <c r="Y272" s="105" t="s">
        <v>84</v>
      </c>
      <c r="Z272" s="105" t="s">
        <v>93</v>
      </c>
    </row>
    <row r="273" spans="1:26" s="105" customFormat="1" ht="15" customHeight="1">
      <c r="A273" s="99">
        <f t="shared" si="45"/>
        <v>271</v>
      </c>
      <c r="B273" s="75" t="s">
        <v>205</v>
      </c>
      <c r="C273" s="100" t="str">
        <f>IF($B273&lt;&gt;"",_xlfn.IFNA(VLOOKUP($B273,'Node Details'!$B:$U,C$1,0),"Check"),"")</f>
        <v>AXY050105-AXY050202</v>
      </c>
      <c r="D273" s="100" t="str">
        <f>IF($B273&lt;&gt;"",_xlfn.IFNA(VLOOKUP($B273,'Node Details'!$B:$U,D$1,0),"Check"),"")</f>
        <v>AXY</v>
      </c>
      <c r="E273" s="100" t="str">
        <f>IF($B273&lt;&gt;"",_xlfn.IFNA(VLOOKUP($B273,'Node Details'!$B:$U,E$1,0),"Check"),"")</f>
        <v>Airtel</v>
      </c>
      <c r="F273" s="101">
        <v>46113</v>
      </c>
      <c r="G273" s="103"/>
      <c r="H273" s="102" t="s">
        <v>1256</v>
      </c>
      <c r="I273" s="9">
        <v>1</v>
      </c>
      <c r="J273" s="9">
        <v>48</v>
      </c>
      <c r="K273" s="100">
        <f t="shared" si="44"/>
        <v>48</v>
      </c>
      <c r="L273" s="78">
        <v>46112</v>
      </c>
      <c r="M273" s="103"/>
      <c r="N273" s="93" t="s">
        <v>143</v>
      </c>
      <c r="O273" s="94">
        <v>46141</v>
      </c>
      <c r="P273" s="104">
        <f t="shared" si="39"/>
        <v>48</v>
      </c>
      <c r="Q273" s="104">
        <f t="shared" si="40"/>
        <v>48</v>
      </c>
      <c r="R273" s="104"/>
      <c r="S273" s="93" t="s">
        <v>331</v>
      </c>
      <c r="T273" s="94">
        <v>46153</v>
      </c>
      <c r="U273" s="104">
        <f t="shared" si="41"/>
        <v>48</v>
      </c>
      <c r="V273" s="104">
        <f t="shared" si="42"/>
        <v>1</v>
      </c>
      <c r="W273" s="103">
        <f t="shared" si="43"/>
        <v>48</v>
      </c>
      <c r="X273" s="93" t="s">
        <v>89</v>
      </c>
      <c r="Y273" s="105" t="s">
        <v>84</v>
      </c>
      <c r="Z273" s="105" t="s">
        <v>93</v>
      </c>
    </row>
    <row r="274" spans="1:26" s="105" customFormat="1" ht="15" customHeight="1">
      <c r="A274" s="99">
        <f t="shared" si="45"/>
        <v>272</v>
      </c>
      <c r="B274" s="75" t="s">
        <v>208</v>
      </c>
      <c r="C274" s="100" t="str">
        <f>IF($B274&lt;&gt;"",_xlfn.IFNA(VLOOKUP($B274,'Node Details'!$B:$U,C$1,0),"Check"),"")</f>
        <v>000000AXY-0000AXY12</v>
      </c>
      <c r="D274" s="100" t="str">
        <f>IF($B274&lt;&gt;"",_xlfn.IFNA(VLOOKUP($B274,'Node Details'!$B:$U,D$1,0),"Check"),"")</f>
        <v>AXY</v>
      </c>
      <c r="E274" s="100" t="str">
        <f>IF($B274&lt;&gt;"",_xlfn.IFNA(VLOOKUP($B274,'Node Details'!$B:$U,E$1,0),"Check"),"")</f>
        <v>Airtel</v>
      </c>
      <c r="F274" s="101">
        <v>46113</v>
      </c>
      <c r="G274" s="103"/>
      <c r="H274" s="102" t="s">
        <v>1256</v>
      </c>
      <c r="I274" s="9">
        <v>1</v>
      </c>
      <c r="J274" s="9">
        <v>48</v>
      </c>
      <c r="K274" s="100">
        <f t="shared" si="44"/>
        <v>48</v>
      </c>
      <c r="L274" s="78">
        <v>46112</v>
      </c>
      <c r="M274" s="103"/>
      <c r="N274" s="93" t="s">
        <v>143</v>
      </c>
      <c r="O274" s="94">
        <v>46141</v>
      </c>
      <c r="P274" s="104">
        <f t="shared" si="39"/>
        <v>48</v>
      </c>
      <c r="Q274" s="104">
        <f t="shared" si="40"/>
        <v>48</v>
      </c>
      <c r="R274" s="104"/>
      <c r="S274" s="93" t="s">
        <v>331</v>
      </c>
      <c r="T274" s="94">
        <v>46153</v>
      </c>
      <c r="U274" s="104">
        <f t="shared" si="41"/>
        <v>48</v>
      </c>
      <c r="V274" s="104">
        <f t="shared" si="42"/>
        <v>1</v>
      </c>
      <c r="W274" s="103">
        <f t="shared" si="43"/>
        <v>48</v>
      </c>
      <c r="X274" s="93" t="s">
        <v>89</v>
      </c>
      <c r="Y274" s="105" t="s">
        <v>84</v>
      </c>
      <c r="Z274" s="105" t="s">
        <v>93</v>
      </c>
    </row>
    <row r="275" spans="1:26" s="105" customFormat="1" ht="15" customHeight="1">
      <c r="A275" s="99">
        <f t="shared" si="45"/>
        <v>273</v>
      </c>
      <c r="B275" s="75" t="s">
        <v>993</v>
      </c>
      <c r="C275" s="100" t="str">
        <f>IF($B275&lt;&gt;"",_xlfn.IFNA(VLOOKUP($B275,'Node Details'!$B:$U,C$1,0),"Check"),"")</f>
        <v>0000AXY06-AXY060102</v>
      </c>
      <c r="D275" s="100" t="str">
        <f>IF($B275&lt;&gt;"",_xlfn.IFNA(VLOOKUP($B275,'Node Details'!$B:$U,D$1,0),"Check"),"")</f>
        <v>AXY</v>
      </c>
      <c r="E275" s="100" t="str">
        <f>IF($B275&lt;&gt;"",_xlfn.IFNA(VLOOKUP($B275,'Node Details'!$B:$U,E$1,0),"Check"),"")</f>
        <v>Airtel</v>
      </c>
      <c r="F275" s="101">
        <v>46113</v>
      </c>
      <c r="G275" s="103"/>
      <c r="H275" s="102" t="s">
        <v>1256</v>
      </c>
      <c r="I275" s="9">
        <v>1</v>
      </c>
      <c r="J275" s="9">
        <v>48</v>
      </c>
      <c r="K275" s="100">
        <f t="shared" si="44"/>
        <v>48</v>
      </c>
      <c r="L275" s="78">
        <v>46112</v>
      </c>
      <c r="M275" s="103"/>
      <c r="N275" s="93" t="s">
        <v>143</v>
      </c>
      <c r="O275" s="94">
        <v>46141</v>
      </c>
      <c r="P275" s="104">
        <f t="shared" si="39"/>
        <v>48</v>
      </c>
      <c r="Q275" s="104">
        <f t="shared" si="40"/>
        <v>48</v>
      </c>
      <c r="R275" s="104"/>
      <c r="S275" s="93" t="s">
        <v>331</v>
      </c>
      <c r="T275" s="94">
        <v>46153</v>
      </c>
      <c r="U275" s="104">
        <f t="shared" si="41"/>
        <v>48</v>
      </c>
      <c r="V275" s="104">
        <f t="shared" si="42"/>
        <v>1</v>
      </c>
      <c r="W275" s="103">
        <f t="shared" si="43"/>
        <v>48</v>
      </c>
      <c r="X275" s="93" t="s">
        <v>89</v>
      </c>
      <c r="Y275" s="105" t="s">
        <v>84</v>
      </c>
      <c r="Z275" s="105" t="s">
        <v>93</v>
      </c>
    </row>
    <row r="276" spans="1:26" s="105" customFormat="1" ht="15" customHeight="1">
      <c r="A276" s="99">
        <f t="shared" si="45"/>
        <v>274</v>
      </c>
      <c r="B276" s="75" t="s">
        <v>209</v>
      </c>
      <c r="C276" s="100" t="str">
        <f>IF($B276&lt;&gt;"",_xlfn.IFNA(VLOOKUP($B276,'Node Details'!$B:$U,C$1,0),"Check"),"")</f>
        <v>0000AXY06-AXY060102</v>
      </c>
      <c r="D276" s="100" t="str">
        <f>IF($B276&lt;&gt;"",_xlfn.IFNA(VLOOKUP($B276,'Node Details'!$B:$U,D$1,0),"Check"),"")</f>
        <v>AXY</v>
      </c>
      <c r="E276" s="100" t="str">
        <f>IF($B276&lt;&gt;"",_xlfn.IFNA(VLOOKUP($B276,'Node Details'!$B:$U,E$1,0),"Check"),"")</f>
        <v>Airtel</v>
      </c>
      <c r="F276" s="101">
        <v>46113</v>
      </c>
      <c r="G276" s="103"/>
      <c r="H276" s="102" t="s">
        <v>1256</v>
      </c>
      <c r="I276" s="9">
        <v>1</v>
      </c>
      <c r="J276" s="9">
        <v>48</v>
      </c>
      <c r="K276" s="100">
        <f t="shared" si="44"/>
        <v>48</v>
      </c>
      <c r="L276" s="78">
        <v>46112</v>
      </c>
      <c r="M276" s="103"/>
      <c r="N276" s="93" t="s">
        <v>143</v>
      </c>
      <c r="O276" s="94">
        <v>46141</v>
      </c>
      <c r="P276" s="104">
        <f t="shared" si="39"/>
        <v>48</v>
      </c>
      <c r="Q276" s="104">
        <f t="shared" si="40"/>
        <v>48</v>
      </c>
      <c r="R276" s="104"/>
      <c r="S276" s="93" t="s">
        <v>331</v>
      </c>
      <c r="T276" s="94">
        <v>46153</v>
      </c>
      <c r="U276" s="104">
        <f t="shared" si="41"/>
        <v>48</v>
      </c>
      <c r="V276" s="104">
        <f t="shared" si="42"/>
        <v>1</v>
      </c>
      <c r="W276" s="103">
        <f t="shared" si="43"/>
        <v>48</v>
      </c>
      <c r="X276" s="93" t="s">
        <v>89</v>
      </c>
      <c r="Y276" s="105" t="s">
        <v>84</v>
      </c>
      <c r="Z276" s="105" t="s">
        <v>93</v>
      </c>
    </row>
    <row r="277" spans="1:26" s="105" customFormat="1" ht="15" customHeight="1">
      <c r="A277" s="99">
        <f t="shared" si="45"/>
        <v>275</v>
      </c>
      <c r="B277" s="75" t="s">
        <v>994</v>
      </c>
      <c r="C277" s="100" t="str">
        <f>IF($B277&lt;&gt;"",_xlfn.IFNA(VLOOKUP($B277,'Node Details'!$B:$U,C$1,0),"Check"),"")</f>
        <v>0000AXY06-AXY060105</v>
      </c>
      <c r="D277" s="100" t="str">
        <f>IF($B277&lt;&gt;"",_xlfn.IFNA(VLOOKUP($B277,'Node Details'!$B:$U,D$1,0),"Check"),"")</f>
        <v>AXY</v>
      </c>
      <c r="E277" s="100" t="str">
        <f>IF($B277&lt;&gt;"",_xlfn.IFNA(VLOOKUP($B277,'Node Details'!$B:$U,E$1,0),"Check"),"")</f>
        <v>Airtel</v>
      </c>
      <c r="F277" s="101">
        <v>46113</v>
      </c>
      <c r="G277" s="103"/>
      <c r="H277" s="102" t="s">
        <v>1256</v>
      </c>
      <c r="I277" s="9">
        <v>1</v>
      </c>
      <c r="J277" s="9">
        <v>48</v>
      </c>
      <c r="K277" s="100">
        <f t="shared" si="44"/>
        <v>48</v>
      </c>
      <c r="L277" s="78">
        <v>46112</v>
      </c>
      <c r="M277" s="103"/>
      <c r="N277" s="93" t="s">
        <v>143</v>
      </c>
      <c r="O277" s="94">
        <v>46141</v>
      </c>
      <c r="P277" s="104">
        <f t="shared" si="39"/>
        <v>48</v>
      </c>
      <c r="Q277" s="104">
        <f t="shared" si="40"/>
        <v>48</v>
      </c>
      <c r="R277" s="104"/>
      <c r="S277" s="93" t="s">
        <v>331</v>
      </c>
      <c r="T277" s="94">
        <v>46153</v>
      </c>
      <c r="U277" s="104">
        <f t="shared" si="41"/>
        <v>48</v>
      </c>
      <c r="V277" s="104">
        <f t="shared" si="42"/>
        <v>1</v>
      </c>
      <c r="W277" s="103">
        <f t="shared" si="43"/>
        <v>48</v>
      </c>
      <c r="X277" s="93" t="s">
        <v>89</v>
      </c>
      <c r="Y277" s="105" t="s">
        <v>84</v>
      </c>
      <c r="Z277" s="105" t="s">
        <v>93</v>
      </c>
    </row>
    <row r="278" spans="1:26" s="105" customFormat="1" ht="15" customHeight="1">
      <c r="A278" s="99">
        <f t="shared" si="45"/>
        <v>276</v>
      </c>
      <c r="B278" s="75" t="s">
        <v>995</v>
      </c>
      <c r="C278" s="100" t="str">
        <f>IF($B278&lt;&gt;"",_xlfn.IFNA(VLOOKUP($B278,'Node Details'!$B:$U,C$1,0),"Check"),"")</f>
        <v>0000AXY06-AXY060105</v>
      </c>
      <c r="D278" s="100" t="str">
        <f>IF($B278&lt;&gt;"",_xlfn.IFNA(VLOOKUP($B278,'Node Details'!$B:$U,D$1,0),"Check"),"")</f>
        <v>AXY</v>
      </c>
      <c r="E278" s="100" t="str">
        <f>IF($B278&lt;&gt;"",_xlfn.IFNA(VLOOKUP($B278,'Node Details'!$B:$U,E$1,0),"Check"),"")</f>
        <v>Airtel</v>
      </c>
      <c r="F278" s="101">
        <v>46113</v>
      </c>
      <c r="G278" s="103"/>
      <c r="H278" s="102" t="s">
        <v>1256</v>
      </c>
      <c r="I278" s="9">
        <v>1</v>
      </c>
      <c r="J278" s="9">
        <v>48</v>
      </c>
      <c r="K278" s="100">
        <f t="shared" si="44"/>
        <v>48</v>
      </c>
      <c r="L278" s="78">
        <v>46112</v>
      </c>
      <c r="M278" s="103"/>
      <c r="N278" s="93" t="s">
        <v>143</v>
      </c>
      <c r="O278" s="94">
        <v>46141</v>
      </c>
      <c r="P278" s="104">
        <f t="shared" si="39"/>
        <v>48</v>
      </c>
      <c r="Q278" s="104">
        <f t="shared" si="40"/>
        <v>48</v>
      </c>
      <c r="R278" s="104"/>
      <c r="S278" s="93" t="s">
        <v>331</v>
      </c>
      <c r="T278" s="94">
        <v>46153</v>
      </c>
      <c r="U278" s="104">
        <f t="shared" si="41"/>
        <v>48</v>
      </c>
      <c r="V278" s="104">
        <f t="shared" si="42"/>
        <v>1</v>
      </c>
      <c r="W278" s="103">
        <f t="shared" si="43"/>
        <v>48</v>
      </c>
      <c r="X278" s="93" t="s">
        <v>89</v>
      </c>
      <c r="Y278" s="105" t="s">
        <v>84</v>
      </c>
      <c r="Z278" s="105" t="s">
        <v>93</v>
      </c>
    </row>
    <row r="279" spans="1:26" s="105" customFormat="1" ht="15" customHeight="1">
      <c r="A279" s="99">
        <f t="shared" si="45"/>
        <v>277</v>
      </c>
      <c r="B279" s="75" t="s">
        <v>212</v>
      </c>
      <c r="C279" s="100" t="str">
        <f>IF($B279&lt;&gt;"",_xlfn.IFNA(VLOOKUP($B279,'Node Details'!$B:$U,C$1,0),"Check"),"")</f>
        <v>0000AXY06-AXY060105</v>
      </c>
      <c r="D279" s="100" t="str">
        <f>IF($B279&lt;&gt;"",_xlfn.IFNA(VLOOKUP($B279,'Node Details'!$B:$U,D$1,0),"Check"),"")</f>
        <v>AXY</v>
      </c>
      <c r="E279" s="100" t="str">
        <f>IF($B279&lt;&gt;"",_xlfn.IFNA(VLOOKUP($B279,'Node Details'!$B:$U,E$1,0),"Check"),"")</f>
        <v>Airtel</v>
      </c>
      <c r="F279" s="101">
        <v>46113</v>
      </c>
      <c r="G279" s="103"/>
      <c r="H279" s="102" t="s">
        <v>1256</v>
      </c>
      <c r="I279" s="9">
        <v>1</v>
      </c>
      <c r="J279" s="9">
        <v>48</v>
      </c>
      <c r="K279" s="100">
        <f t="shared" si="44"/>
        <v>48</v>
      </c>
      <c r="L279" s="78">
        <v>46112</v>
      </c>
      <c r="M279" s="103"/>
      <c r="N279" s="93" t="s">
        <v>143</v>
      </c>
      <c r="O279" s="94">
        <v>46141</v>
      </c>
      <c r="P279" s="104">
        <f t="shared" si="39"/>
        <v>48</v>
      </c>
      <c r="Q279" s="104">
        <f t="shared" si="40"/>
        <v>48</v>
      </c>
      <c r="R279" s="104"/>
      <c r="S279" s="93" t="s">
        <v>331</v>
      </c>
      <c r="T279" s="94">
        <v>46153</v>
      </c>
      <c r="U279" s="104">
        <f t="shared" si="41"/>
        <v>48</v>
      </c>
      <c r="V279" s="104">
        <f t="shared" si="42"/>
        <v>1</v>
      </c>
      <c r="W279" s="103">
        <f t="shared" si="43"/>
        <v>48</v>
      </c>
      <c r="X279" s="93" t="s">
        <v>89</v>
      </c>
      <c r="Y279" s="105" t="s">
        <v>84</v>
      </c>
      <c r="Z279" s="105" t="s">
        <v>93</v>
      </c>
    </row>
    <row r="280" spans="1:26" s="105" customFormat="1" ht="15" customHeight="1">
      <c r="A280" s="99">
        <f t="shared" si="45"/>
        <v>278</v>
      </c>
      <c r="B280" s="75" t="s">
        <v>996</v>
      </c>
      <c r="C280" s="100" t="str">
        <f>IF($B280&lt;&gt;"",_xlfn.IFNA(VLOOKUP($B280,'Node Details'!$B:$U,C$1,0),"Check"),"")</f>
        <v>0000AXY06-AXY060201</v>
      </c>
      <c r="D280" s="100" t="str">
        <f>IF($B280&lt;&gt;"",_xlfn.IFNA(VLOOKUP($B280,'Node Details'!$B:$U,D$1,0),"Check"),"")</f>
        <v>AXY</v>
      </c>
      <c r="E280" s="100" t="str">
        <f>IF($B280&lt;&gt;"",_xlfn.IFNA(VLOOKUP($B280,'Node Details'!$B:$U,E$1,0),"Check"),"")</f>
        <v>Airtel</v>
      </c>
      <c r="F280" s="101">
        <v>46113</v>
      </c>
      <c r="G280" s="103"/>
      <c r="H280" s="102" t="s">
        <v>1256</v>
      </c>
      <c r="I280" s="9">
        <v>1</v>
      </c>
      <c r="J280" s="9">
        <v>48</v>
      </c>
      <c r="K280" s="100">
        <f t="shared" si="44"/>
        <v>48</v>
      </c>
      <c r="L280" s="78">
        <v>46112</v>
      </c>
      <c r="M280" s="103"/>
      <c r="N280" s="93" t="s">
        <v>143</v>
      </c>
      <c r="O280" s="94">
        <v>46141</v>
      </c>
      <c r="P280" s="104">
        <f t="shared" si="39"/>
        <v>48</v>
      </c>
      <c r="Q280" s="104">
        <f t="shared" si="40"/>
        <v>48</v>
      </c>
      <c r="R280" s="104"/>
      <c r="S280" s="93" t="s">
        <v>331</v>
      </c>
      <c r="T280" s="94">
        <v>46153</v>
      </c>
      <c r="U280" s="104">
        <f t="shared" si="41"/>
        <v>48</v>
      </c>
      <c r="V280" s="104">
        <f t="shared" si="42"/>
        <v>1</v>
      </c>
      <c r="W280" s="103">
        <f t="shared" si="43"/>
        <v>48</v>
      </c>
      <c r="X280" s="93" t="s">
        <v>89</v>
      </c>
      <c r="Y280" s="105" t="s">
        <v>84</v>
      </c>
      <c r="Z280" s="105" t="s">
        <v>93</v>
      </c>
    </row>
    <row r="281" spans="1:26" s="105" customFormat="1" ht="15" customHeight="1">
      <c r="A281" s="99">
        <f t="shared" si="45"/>
        <v>279</v>
      </c>
      <c r="B281" s="75" t="s">
        <v>997</v>
      </c>
      <c r="C281" s="100" t="str">
        <f>IF($B281&lt;&gt;"",_xlfn.IFNA(VLOOKUP($B281,'Node Details'!$B:$U,C$1,0),"Check"),"")</f>
        <v>0000AXY06-AXY060201</v>
      </c>
      <c r="D281" s="100" t="str">
        <f>IF($B281&lt;&gt;"",_xlfn.IFNA(VLOOKUP($B281,'Node Details'!$B:$U,D$1,0),"Check"),"")</f>
        <v>AXY</v>
      </c>
      <c r="E281" s="100" t="str">
        <f>IF($B281&lt;&gt;"",_xlfn.IFNA(VLOOKUP($B281,'Node Details'!$B:$U,E$1,0),"Check"),"")</f>
        <v>Airtel</v>
      </c>
      <c r="F281" s="101">
        <v>46113</v>
      </c>
      <c r="G281" s="103"/>
      <c r="H281" s="102" t="s">
        <v>1256</v>
      </c>
      <c r="I281" s="9">
        <v>1</v>
      </c>
      <c r="J281" s="9">
        <v>48</v>
      </c>
      <c r="K281" s="100">
        <f t="shared" si="44"/>
        <v>48</v>
      </c>
      <c r="L281" s="78">
        <v>46112</v>
      </c>
      <c r="M281" s="103"/>
      <c r="N281" s="93" t="s">
        <v>143</v>
      </c>
      <c r="O281" s="94">
        <v>46141</v>
      </c>
      <c r="P281" s="104">
        <f t="shared" si="39"/>
        <v>48</v>
      </c>
      <c r="Q281" s="104">
        <f t="shared" si="40"/>
        <v>48</v>
      </c>
      <c r="R281" s="104"/>
      <c r="S281" s="93" t="s">
        <v>331</v>
      </c>
      <c r="T281" s="94">
        <v>46153</v>
      </c>
      <c r="U281" s="104">
        <f t="shared" si="41"/>
        <v>48</v>
      </c>
      <c r="V281" s="104">
        <f t="shared" si="42"/>
        <v>1</v>
      </c>
      <c r="W281" s="103">
        <f t="shared" si="43"/>
        <v>48</v>
      </c>
      <c r="X281" s="93" t="s">
        <v>89</v>
      </c>
      <c r="Y281" s="105" t="s">
        <v>84</v>
      </c>
      <c r="Z281" s="105" t="s">
        <v>93</v>
      </c>
    </row>
    <row r="282" spans="1:26" s="105" customFormat="1" ht="15" customHeight="1">
      <c r="A282" s="99">
        <f t="shared" si="45"/>
        <v>280</v>
      </c>
      <c r="B282" s="75" t="s">
        <v>998</v>
      </c>
      <c r="C282" s="100" t="str">
        <f>IF($B282&lt;&gt;"",_xlfn.IFNA(VLOOKUP($B282,'Node Details'!$B:$U,C$1,0),"Check"),"")</f>
        <v>0000AXY06-AXY060201</v>
      </c>
      <c r="D282" s="100" t="str">
        <f>IF($B282&lt;&gt;"",_xlfn.IFNA(VLOOKUP($B282,'Node Details'!$B:$U,D$1,0),"Check"),"")</f>
        <v>AXY</v>
      </c>
      <c r="E282" s="100" t="str">
        <f>IF($B282&lt;&gt;"",_xlfn.IFNA(VLOOKUP($B282,'Node Details'!$B:$U,E$1,0),"Check"),"")</f>
        <v>Airtel</v>
      </c>
      <c r="F282" s="101">
        <v>46113</v>
      </c>
      <c r="G282" s="103"/>
      <c r="H282" s="102" t="s">
        <v>1256</v>
      </c>
      <c r="I282" s="9">
        <v>1</v>
      </c>
      <c r="J282" s="9">
        <v>48</v>
      </c>
      <c r="K282" s="100">
        <f t="shared" si="44"/>
        <v>48</v>
      </c>
      <c r="L282" s="78">
        <v>46112</v>
      </c>
      <c r="M282" s="103"/>
      <c r="N282" s="93" t="s">
        <v>143</v>
      </c>
      <c r="O282" s="94">
        <v>46141</v>
      </c>
      <c r="P282" s="104">
        <f t="shared" si="39"/>
        <v>48</v>
      </c>
      <c r="Q282" s="104">
        <f t="shared" si="40"/>
        <v>48</v>
      </c>
      <c r="R282" s="104"/>
      <c r="S282" s="93" t="s">
        <v>331</v>
      </c>
      <c r="T282" s="94">
        <v>46153</v>
      </c>
      <c r="U282" s="104">
        <f t="shared" si="41"/>
        <v>48</v>
      </c>
      <c r="V282" s="104">
        <f t="shared" si="42"/>
        <v>1</v>
      </c>
      <c r="W282" s="103">
        <f t="shared" si="43"/>
        <v>48</v>
      </c>
      <c r="X282" s="93" t="s">
        <v>89</v>
      </c>
      <c r="Y282" s="105" t="s">
        <v>84</v>
      </c>
      <c r="Z282" s="105" t="s">
        <v>93</v>
      </c>
    </row>
    <row r="283" spans="1:26" s="105" customFormat="1" ht="15" customHeight="1">
      <c r="A283" s="99">
        <f t="shared" si="45"/>
        <v>281</v>
      </c>
      <c r="B283" s="75" t="s">
        <v>215</v>
      </c>
      <c r="C283" s="100" t="str">
        <f>IF($B283&lt;&gt;"",_xlfn.IFNA(VLOOKUP($B283,'Node Details'!$B:$U,C$1,0),"Check"),"")</f>
        <v>0000AXY06-AXY060201</v>
      </c>
      <c r="D283" s="100" t="str">
        <f>IF($B283&lt;&gt;"",_xlfn.IFNA(VLOOKUP($B283,'Node Details'!$B:$U,D$1,0),"Check"),"")</f>
        <v>AXY</v>
      </c>
      <c r="E283" s="100" t="str">
        <f>IF($B283&lt;&gt;"",_xlfn.IFNA(VLOOKUP($B283,'Node Details'!$B:$U,E$1,0),"Check"),"")</f>
        <v>Airtel</v>
      </c>
      <c r="F283" s="101">
        <v>46113</v>
      </c>
      <c r="G283" s="103"/>
      <c r="H283" s="102" t="s">
        <v>1256</v>
      </c>
      <c r="I283" s="9">
        <v>1</v>
      </c>
      <c r="J283" s="9">
        <v>48</v>
      </c>
      <c r="K283" s="100">
        <f t="shared" si="44"/>
        <v>48</v>
      </c>
      <c r="L283" s="78">
        <v>46112</v>
      </c>
      <c r="M283" s="103"/>
      <c r="N283" s="93" t="s">
        <v>143</v>
      </c>
      <c r="O283" s="94">
        <v>46141</v>
      </c>
      <c r="P283" s="104">
        <f t="shared" si="39"/>
        <v>48</v>
      </c>
      <c r="Q283" s="104">
        <f t="shared" si="40"/>
        <v>48</v>
      </c>
      <c r="R283" s="104"/>
      <c r="S283" s="93" t="s">
        <v>331</v>
      </c>
      <c r="T283" s="94">
        <v>46153</v>
      </c>
      <c r="U283" s="104">
        <f t="shared" si="41"/>
        <v>48</v>
      </c>
      <c r="V283" s="104">
        <f t="shared" si="42"/>
        <v>1</v>
      </c>
      <c r="W283" s="103">
        <f t="shared" si="43"/>
        <v>48</v>
      </c>
      <c r="X283" s="93" t="s">
        <v>89</v>
      </c>
      <c r="Y283" s="105" t="s">
        <v>84</v>
      </c>
      <c r="Z283" s="105" t="s">
        <v>93</v>
      </c>
    </row>
    <row r="284" spans="1:26" s="105" customFormat="1" ht="15" customHeight="1">
      <c r="A284" s="99">
        <f t="shared" si="45"/>
        <v>282</v>
      </c>
      <c r="B284" s="75" t="s">
        <v>218</v>
      </c>
      <c r="C284" s="100" t="str">
        <f>IF($B284&lt;&gt;"",_xlfn.IFNA(VLOOKUP($B284,'Node Details'!$B:$U,C$1,0),"Check"),"")</f>
        <v>000000AXY-0000AXY12</v>
      </c>
      <c r="D284" s="100" t="str">
        <f>IF($B284&lt;&gt;"",_xlfn.IFNA(VLOOKUP($B284,'Node Details'!$B:$U,D$1,0),"Check"),"")</f>
        <v>AXY</v>
      </c>
      <c r="E284" s="100" t="str">
        <f>IF($B284&lt;&gt;"",_xlfn.IFNA(VLOOKUP($B284,'Node Details'!$B:$U,E$1,0),"Check"),"")</f>
        <v>Airtel</v>
      </c>
      <c r="F284" s="101">
        <v>46113</v>
      </c>
      <c r="G284" s="103"/>
      <c r="H284" s="102" t="s">
        <v>1256</v>
      </c>
      <c r="I284" s="9">
        <v>1</v>
      </c>
      <c r="J284" s="9">
        <v>48</v>
      </c>
      <c r="K284" s="100">
        <f t="shared" si="44"/>
        <v>48</v>
      </c>
      <c r="L284" s="78">
        <v>46112</v>
      </c>
      <c r="M284" s="103"/>
      <c r="N284" s="93" t="s">
        <v>143</v>
      </c>
      <c r="O284" s="94">
        <v>46141</v>
      </c>
      <c r="P284" s="104">
        <f t="shared" si="39"/>
        <v>48</v>
      </c>
      <c r="Q284" s="104">
        <f t="shared" si="40"/>
        <v>48</v>
      </c>
      <c r="R284" s="104"/>
      <c r="S284" s="93" t="s">
        <v>331</v>
      </c>
      <c r="T284" s="94">
        <v>46153</v>
      </c>
      <c r="U284" s="104">
        <f t="shared" si="41"/>
        <v>48</v>
      </c>
      <c r="V284" s="104">
        <f t="shared" si="42"/>
        <v>1</v>
      </c>
      <c r="W284" s="103">
        <f t="shared" si="43"/>
        <v>48</v>
      </c>
      <c r="X284" s="93" t="s">
        <v>89</v>
      </c>
      <c r="Y284" s="105" t="s">
        <v>84</v>
      </c>
      <c r="Z284" s="105" t="s">
        <v>93</v>
      </c>
    </row>
    <row r="285" spans="1:26" s="105" customFormat="1" ht="15" customHeight="1">
      <c r="A285" s="99">
        <f t="shared" si="45"/>
        <v>283</v>
      </c>
      <c r="B285" s="75" t="s">
        <v>219</v>
      </c>
      <c r="C285" s="100" t="str">
        <f>IF($B285&lt;&gt;"",_xlfn.IFNA(VLOOKUP($B285,'Node Details'!$B:$U,C$1,0),"Check"),"")</f>
        <v>0000AXY07-AXY070101</v>
      </c>
      <c r="D285" s="100" t="str">
        <f>IF($B285&lt;&gt;"",_xlfn.IFNA(VLOOKUP($B285,'Node Details'!$B:$U,D$1,0),"Check"),"")</f>
        <v>AXY</v>
      </c>
      <c r="E285" s="100" t="str">
        <f>IF($B285&lt;&gt;"",_xlfn.IFNA(VLOOKUP($B285,'Node Details'!$B:$U,E$1,0),"Check"),"")</f>
        <v>Airtel</v>
      </c>
      <c r="F285" s="101">
        <v>46113</v>
      </c>
      <c r="G285" s="103"/>
      <c r="H285" s="102" t="s">
        <v>1256</v>
      </c>
      <c r="I285" s="9">
        <v>1</v>
      </c>
      <c r="J285" s="9">
        <v>48</v>
      </c>
      <c r="K285" s="100">
        <f t="shared" si="44"/>
        <v>48</v>
      </c>
      <c r="L285" s="78">
        <v>46112</v>
      </c>
      <c r="M285" s="103"/>
      <c r="N285" s="93" t="s">
        <v>143</v>
      </c>
      <c r="O285" s="94">
        <v>46141</v>
      </c>
      <c r="P285" s="104">
        <f t="shared" ref="P285:P348" si="46">J285</f>
        <v>48</v>
      </c>
      <c r="Q285" s="104">
        <f t="shared" ref="Q285:Q348" si="47">P285*I285</f>
        <v>48</v>
      </c>
      <c r="R285" s="104"/>
      <c r="S285" s="93" t="s">
        <v>331</v>
      </c>
      <c r="T285" s="94">
        <v>46153</v>
      </c>
      <c r="U285" s="104">
        <f t="shared" ref="U285:U348" si="48">J285</f>
        <v>48</v>
      </c>
      <c r="V285" s="104">
        <f t="shared" ref="V285:V348" si="49">I285</f>
        <v>1</v>
      </c>
      <c r="W285" s="103">
        <f t="shared" ref="W285:W348" si="50">IF(V285&lt;&gt;"",V285*U285,0)</f>
        <v>48</v>
      </c>
      <c r="X285" s="93" t="s">
        <v>89</v>
      </c>
      <c r="Y285" s="105" t="s">
        <v>84</v>
      </c>
      <c r="Z285" s="105" t="s">
        <v>93</v>
      </c>
    </row>
    <row r="286" spans="1:26" s="105" customFormat="1" ht="15" customHeight="1">
      <c r="A286" s="99">
        <f t="shared" si="45"/>
        <v>284</v>
      </c>
      <c r="B286" s="75" t="s">
        <v>222</v>
      </c>
      <c r="C286" s="100" t="str">
        <f>IF($B286&lt;&gt;"",_xlfn.IFNA(VLOOKUP($B286,'Node Details'!$B:$U,C$1,0),"Check"),"")</f>
        <v>0000AXY07-AXY070102</v>
      </c>
      <c r="D286" s="100" t="str">
        <f>IF($B286&lt;&gt;"",_xlfn.IFNA(VLOOKUP($B286,'Node Details'!$B:$U,D$1,0),"Check"),"")</f>
        <v>AXY</v>
      </c>
      <c r="E286" s="100" t="str">
        <f>IF($B286&lt;&gt;"",_xlfn.IFNA(VLOOKUP($B286,'Node Details'!$B:$U,E$1,0),"Check"),"")</f>
        <v>Airtel</v>
      </c>
      <c r="F286" s="101">
        <v>46113</v>
      </c>
      <c r="G286" s="103"/>
      <c r="H286" s="102" t="s">
        <v>1256</v>
      </c>
      <c r="I286" s="9">
        <v>1</v>
      </c>
      <c r="J286" s="9">
        <v>48</v>
      </c>
      <c r="K286" s="100">
        <f t="shared" ref="K286:K349" si="51">IF(I286&lt;&gt;"",J286*I286,0)</f>
        <v>48</v>
      </c>
      <c r="L286" s="78">
        <v>46112</v>
      </c>
      <c r="M286" s="103"/>
      <c r="N286" s="93" t="s">
        <v>143</v>
      </c>
      <c r="O286" s="94">
        <v>46141</v>
      </c>
      <c r="P286" s="104">
        <f t="shared" si="46"/>
        <v>48</v>
      </c>
      <c r="Q286" s="104">
        <f t="shared" si="47"/>
        <v>48</v>
      </c>
      <c r="R286" s="104"/>
      <c r="S286" s="93" t="s">
        <v>331</v>
      </c>
      <c r="T286" s="94">
        <v>46153</v>
      </c>
      <c r="U286" s="104">
        <f t="shared" si="48"/>
        <v>48</v>
      </c>
      <c r="V286" s="104">
        <f t="shared" si="49"/>
        <v>1</v>
      </c>
      <c r="W286" s="103">
        <f t="shared" si="50"/>
        <v>48</v>
      </c>
      <c r="X286" s="93" t="s">
        <v>89</v>
      </c>
      <c r="Y286" s="105" t="s">
        <v>84</v>
      </c>
      <c r="Z286" s="105" t="s">
        <v>93</v>
      </c>
    </row>
    <row r="287" spans="1:26" s="105" customFormat="1" ht="15" customHeight="1">
      <c r="A287" s="99">
        <f t="shared" si="45"/>
        <v>285</v>
      </c>
      <c r="B287" s="75" t="s">
        <v>999</v>
      </c>
      <c r="C287" s="100" t="str">
        <f>IF($B287&lt;&gt;"",_xlfn.IFNA(VLOOKUP($B287,'Node Details'!$B:$U,C$1,0),"Check"),"")</f>
        <v>0000AXY07-AXY070105</v>
      </c>
      <c r="D287" s="100" t="str">
        <f>IF($B287&lt;&gt;"",_xlfn.IFNA(VLOOKUP($B287,'Node Details'!$B:$U,D$1,0),"Check"),"")</f>
        <v>AXY</v>
      </c>
      <c r="E287" s="100" t="str">
        <f>IF($B287&lt;&gt;"",_xlfn.IFNA(VLOOKUP($B287,'Node Details'!$B:$U,E$1,0),"Check"),"")</f>
        <v>Airtel</v>
      </c>
      <c r="F287" s="101">
        <v>46113</v>
      </c>
      <c r="G287" s="103"/>
      <c r="H287" s="102" t="s">
        <v>1256</v>
      </c>
      <c r="I287" s="9">
        <v>1</v>
      </c>
      <c r="J287" s="9">
        <v>48</v>
      </c>
      <c r="K287" s="100">
        <f t="shared" si="51"/>
        <v>48</v>
      </c>
      <c r="L287" s="78">
        <v>46112</v>
      </c>
      <c r="M287" s="103"/>
      <c r="N287" s="93" t="s">
        <v>143</v>
      </c>
      <c r="O287" s="94">
        <v>46141</v>
      </c>
      <c r="P287" s="104">
        <f t="shared" si="46"/>
        <v>48</v>
      </c>
      <c r="Q287" s="104">
        <f t="shared" si="47"/>
        <v>48</v>
      </c>
      <c r="R287" s="104"/>
      <c r="S287" s="93" t="s">
        <v>331</v>
      </c>
      <c r="T287" s="94">
        <v>46153</v>
      </c>
      <c r="U287" s="104">
        <f t="shared" si="48"/>
        <v>48</v>
      </c>
      <c r="V287" s="104">
        <f t="shared" si="49"/>
        <v>1</v>
      </c>
      <c r="W287" s="103">
        <f t="shared" si="50"/>
        <v>48</v>
      </c>
      <c r="X287" s="93" t="s">
        <v>89</v>
      </c>
      <c r="Y287" s="105" t="s">
        <v>84</v>
      </c>
      <c r="Z287" s="105" t="s">
        <v>93</v>
      </c>
    </row>
    <row r="288" spans="1:26" s="105" customFormat="1" ht="15" customHeight="1">
      <c r="A288" s="99">
        <f t="shared" si="45"/>
        <v>286</v>
      </c>
      <c r="B288" s="75" t="s">
        <v>1000</v>
      </c>
      <c r="C288" s="100" t="str">
        <f>IF($B288&lt;&gt;"",_xlfn.IFNA(VLOOKUP($B288,'Node Details'!$B:$U,C$1,0),"Check"),"")</f>
        <v>0000AXY07-AXY070105</v>
      </c>
      <c r="D288" s="100" t="str">
        <f>IF($B288&lt;&gt;"",_xlfn.IFNA(VLOOKUP($B288,'Node Details'!$B:$U,D$1,0),"Check"),"")</f>
        <v>AXY</v>
      </c>
      <c r="E288" s="100" t="str">
        <f>IF($B288&lt;&gt;"",_xlfn.IFNA(VLOOKUP($B288,'Node Details'!$B:$U,E$1,0),"Check"),"")</f>
        <v>Airtel</v>
      </c>
      <c r="F288" s="101">
        <v>46113</v>
      </c>
      <c r="G288" s="103"/>
      <c r="H288" s="102" t="s">
        <v>1256</v>
      </c>
      <c r="I288" s="9">
        <v>1</v>
      </c>
      <c r="J288" s="9">
        <v>48</v>
      </c>
      <c r="K288" s="100">
        <f t="shared" si="51"/>
        <v>48</v>
      </c>
      <c r="L288" s="78">
        <v>46112</v>
      </c>
      <c r="M288" s="103"/>
      <c r="N288" s="93" t="s">
        <v>143</v>
      </c>
      <c r="O288" s="94">
        <v>46141</v>
      </c>
      <c r="P288" s="104">
        <f t="shared" si="46"/>
        <v>48</v>
      </c>
      <c r="Q288" s="104">
        <f t="shared" si="47"/>
        <v>48</v>
      </c>
      <c r="R288" s="104"/>
      <c r="S288" s="93" t="s">
        <v>331</v>
      </c>
      <c r="T288" s="94">
        <v>46153</v>
      </c>
      <c r="U288" s="104">
        <f t="shared" si="48"/>
        <v>48</v>
      </c>
      <c r="V288" s="104">
        <f t="shared" si="49"/>
        <v>1</v>
      </c>
      <c r="W288" s="103">
        <f t="shared" si="50"/>
        <v>48</v>
      </c>
      <c r="X288" s="93" t="s">
        <v>89</v>
      </c>
      <c r="Y288" s="105" t="s">
        <v>84</v>
      </c>
      <c r="Z288" s="105" t="s">
        <v>93</v>
      </c>
    </row>
    <row r="289" spans="1:26" s="105" customFormat="1" ht="15" customHeight="1">
      <c r="A289" s="99">
        <f t="shared" si="45"/>
        <v>287</v>
      </c>
      <c r="B289" s="75" t="s">
        <v>226</v>
      </c>
      <c r="C289" s="100" t="str">
        <f>IF($B289&lt;&gt;"",_xlfn.IFNA(VLOOKUP($B289,'Node Details'!$B:$U,C$1,0),"Check"),"")</f>
        <v>0000AXY07-AXY070105</v>
      </c>
      <c r="D289" s="100" t="str">
        <f>IF($B289&lt;&gt;"",_xlfn.IFNA(VLOOKUP($B289,'Node Details'!$B:$U,D$1,0),"Check"),"")</f>
        <v>AXY</v>
      </c>
      <c r="E289" s="100" t="str">
        <f>IF($B289&lt;&gt;"",_xlfn.IFNA(VLOOKUP($B289,'Node Details'!$B:$U,E$1,0),"Check"),"")</f>
        <v>Airtel</v>
      </c>
      <c r="F289" s="101">
        <v>46113</v>
      </c>
      <c r="G289" s="103"/>
      <c r="H289" s="102" t="s">
        <v>1256</v>
      </c>
      <c r="I289" s="9">
        <v>1</v>
      </c>
      <c r="J289" s="9">
        <v>48</v>
      </c>
      <c r="K289" s="100">
        <f t="shared" si="51"/>
        <v>48</v>
      </c>
      <c r="L289" s="78">
        <v>46112</v>
      </c>
      <c r="M289" s="103"/>
      <c r="N289" s="93" t="s">
        <v>143</v>
      </c>
      <c r="O289" s="94">
        <v>46141</v>
      </c>
      <c r="P289" s="104">
        <f t="shared" si="46"/>
        <v>48</v>
      </c>
      <c r="Q289" s="104">
        <f t="shared" si="47"/>
        <v>48</v>
      </c>
      <c r="R289" s="104"/>
      <c r="S289" s="93" t="s">
        <v>331</v>
      </c>
      <c r="T289" s="94">
        <v>46153</v>
      </c>
      <c r="U289" s="104">
        <f t="shared" si="48"/>
        <v>48</v>
      </c>
      <c r="V289" s="104">
        <f t="shared" si="49"/>
        <v>1</v>
      </c>
      <c r="W289" s="103">
        <f t="shared" si="50"/>
        <v>48</v>
      </c>
      <c r="X289" s="93" t="s">
        <v>89</v>
      </c>
      <c r="Y289" s="105" t="s">
        <v>84</v>
      </c>
      <c r="Z289" s="105" t="s">
        <v>93</v>
      </c>
    </row>
    <row r="290" spans="1:26" s="105" customFormat="1" ht="15" customHeight="1">
      <c r="A290" s="99">
        <f t="shared" si="45"/>
        <v>288</v>
      </c>
      <c r="B290" s="75" t="s">
        <v>1001</v>
      </c>
      <c r="C290" s="100" t="str">
        <f>IF($B290&lt;&gt;"",_xlfn.IFNA(VLOOKUP($B290,'Node Details'!$B:$U,C$1,0),"Check"),"")</f>
        <v>000000AXY-0000AXY12</v>
      </c>
      <c r="D290" s="100" t="str">
        <f>IF($B290&lt;&gt;"",_xlfn.IFNA(VLOOKUP($B290,'Node Details'!$B:$U,D$1,0),"Check"),"")</f>
        <v>AXY</v>
      </c>
      <c r="E290" s="100" t="str">
        <f>IF($B290&lt;&gt;"",_xlfn.IFNA(VLOOKUP($B290,'Node Details'!$B:$U,E$1,0),"Check"),"")</f>
        <v>Airtel</v>
      </c>
      <c r="F290" s="101">
        <v>46113</v>
      </c>
      <c r="G290" s="103"/>
      <c r="H290" s="102" t="s">
        <v>1256</v>
      </c>
      <c r="I290" s="9">
        <v>1</v>
      </c>
      <c r="J290" s="9">
        <v>48</v>
      </c>
      <c r="K290" s="100">
        <f t="shared" si="51"/>
        <v>48</v>
      </c>
      <c r="L290" s="78">
        <v>46112</v>
      </c>
      <c r="M290" s="103"/>
      <c r="N290" s="93" t="s">
        <v>143</v>
      </c>
      <c r="O290" s="94">
        <v>46141</v>
      </c>
      <c r="P290" s="104">
        <f t="shared" si="46"/>
        <v>48</v>
      </c>
      <c r="Q290" s="104">
        <f t="shared" si="47"/>
        <v>48</v>
      </c>
      <c r="R290" s="104"/>
      <c r="S290" s="93" t="s">
        <v>331</v>
      </c>
      <c r="T290" s="94">
        <v>46153</v>
      </c>
      <c r="U290" s="104">
        <f t="shared" si="48"/>
        <v>48</v>
      </c>
      <c r="V290" s="104">
        <f t="shared" si="49"/>
        <v>1</v>
      </c>
      <c r="W290" s="103">
        <f t="shared" si="50"/>
        <v>48</v>
      </c>
      <c r="X290" s="93" t="s">
        <v>89</v>
      </c>
      <c r="Y290" s="105" t="s">
        <v>84</v>
      </c>
      <c r="Z290" s="105" t="s">
        <v>93</v>
      </c>
    </row>
    <row r="291" spans="1:26" s="105" customFormat="1" ht="15" customHeight="1">
      <c r="A291" s="99">
        <f t="shared" si="45"/>
        <v>289</v>
      </c>
      <c r="B291" s="75" t="s">
        <v>236</v>
      </c>
      <c r="C291" s="100" t="str">
        <f>IF($B291&lt;&gt;"",_xlfn.IFNA(VLOOKUP($B291,'Node Details'!$B:$U,C$1,0),"Check"),"")</f>
        <v>0000AXY08-AXY080104</v>
      </c>
      <c r="D291" s="100" t="str">
        <f>IF($B291&lt;&gt;"",_xlfn.IFNA(VLOOKUP($B291,'Node Details'!$B:$U,D$1,0),"Check"),"")</f>
        <v>AXY</v>
      </c>
      <c r="E291" s="100" t="str">
        <f>IF($B291&lt;&gt;"",_xlfn.IFNA(VLOOKUP($B291,'Node Details'!$B:$U,E$1,0),"Check"),"")</f>
        <v>Airtel</v>
      </c>
      <c r="F291" s="101">
        <v>46113</v>
      </c>
      <c r="G291" s="103"/>
      <c r="H291" s="102" t="s">
        <v>1256</v>
      </c>
      <c r="I291" s="9">
        <v>1</v>
      </c>
      <c r="J291" s="9">
        <v>48</v>
      </c>
      <c r="K291" s="100">
        <f t="shared" si="51"/>
        <v>48</v>
      </c>
      <c r="L291" s="78">
        <v>46112</v>
      </c>
      <c r="M291" s="103"/>
      <c r="N291" s="93" t="s">
        <v>143</v>
      </c>
      <c r="O291" s="94">
        <v>46141</v>
      </c>
      <c r="P291" s="104">
        <f t="shared" si="46"/>
        <v>48</v>
      </c>
      <c r="Q291" s="104">
        <f t="shared" si="47"/>
        <v>48</v>
      </c>
      <c r="R291" s="104"/>
      <c r="S291" s="93" t="s">
        <v>331</v>
      </c>
      <c r="T291" s="94">
        <v>46153</v>
      </c>
      <c r="U291" s="104">
        <f t="shared" si="48"/>
        <v>48</v>
      </c>
      <c r="V291" s="104">
        <f t="shared" si="49"/>
        <v>1</v>
      </c>
      <c r="W291" s="103">
        <f t="shared" si="50"/>
        <v>48</v>
      </c>
      <c r="X291" s="93" t="s">
        <v>89</v>
      </c>
      <c r="Y291" s="105" t="s">
        <v>84</v>
      </c>
      <c r="Z291" s="105" t="s">
        <v>93</v>
      </c>
    </row>
    <row r="292" spans="1:26" s="105" customFormat="1" ht="15" customHeight="1">
      <c r="A292" s="99">
        <f t="shared" si="45"/>
        <v>290</v>
      </c>
      <c r="B292" s="75" t="s">
        <v>1002</v>
      </c>
      <c r="C292" s="100" t="str">
        <f>IF($B292&lt;&gt;"",_xlfn.IFNA(VLOOKUP($B292,'Node Details'!$B:$U,C$1,0),"Check"),"")</f>
        <v>0000AXY08-AXY080103</v>
      </c>
      <c r="D292" s="100" t="str">
        <f>IF($B292&lt;&gt;"",_xlfn.IFNA(VLOOKUP($B292,'Node Details'!$B:$U,D$1,0),"Check"),"")</f>
        <v>AXY</v>
      </c>
      <c r="E292" s="100" t="str">
        <f>IF($B292&lt;&gt;"",_xlfn.IFNA(VLOOKUP($B292,'Node Details'!$B:$U,E$1,0),"Check"),"")</f>
        <v>Airtel</v>
      </c>
      <c r="F292" s="101">
        <v>46113</v>
      </c>
      <c r="G292" s="103"/>
      <c r="H292" s="102" t="s">
        <v>1256</v>
      </c>
      <c r="I292" s="9">
        <v>1</v>
      </c>
      <c r="J292" s="9">
        <v>48</v>
      </c>
      <c r="K292" s="100">
        <f t="shared" si="51"/>
        <v>48</v>
      </c>
      <c r="L292" s="78">
        <v>46112</v>
      </c>
      <c r="M292" s="103"/>
      <c r="N292" s="93" t="s">
        <v>143</v>
      </c>
      <c r="O292" s="94">
        <v>46141</v>
      </c>
      <c r="P292" s="104">
        <f t="shared" si="46"/>
        <v>48</v>
      </c>
      <c r="Q292" s="104">
        <f t="shared" si="47"/>
        <v>48</v>
      </c>
      <c r="R292" s="104"/>
      <c r="S292" s="93" t="s">
        <v>331</v>
      </c>
      <c r="T292" s="94">
        <v>46153</v>
      </c>
      <c r="U292" s="104">
        <f t="shared" si="48"/>
        <v>48</v>
      </c>
      <c r="V292" s="104">
        <f t="shared" si="49"/>
        <v>1</v>
      </c>
      <c r="W292" s="103">
        <f t="shared" si="50"/>
        <v>48</v>
      </c>
      <c r="X292" s="93" t="s">
        <v>89</v>
      </c>
      <c r="Y292" s="105" t="s">
        <v>84</v>
      </c>
      <c r="Z292" s="105" t="s">
        <v>93</v>
      </c>
    </row>
    <row r="293" spans="1:26" s="105" customFormat="1" ht="15" customHeight="1">
      <c r="A293" s="99">
        <f t="shared" si="45"/>
        <v>291</v>
      </c>
      <c r="B293" s="75" t="s">
        <v>1003</v>
      </c>
      <c r="C293" s="100" t="str">
        <f>IF($B293&lt;&gt;"",_xlfn.IFNA(VLOOKUP($B293,'Node Details'!$B:$U,C$1,0),"Check"),"")</f>
        <v>0000AXY08-AXY080103</v>
      </c>
      <c r="D293" s="100" t="str">
        <f>IF($B293&lt;&gt;"",_xlfn.IFNA(VLOOKUP($B293,'Node Details'!$B:$U,D$1,0),"Check"),"")</f>
        <v>AXY</v>
      </c>
      <c r="E293" s="100" t="str">
        <f>IF($B293&lt;&gt;"",_xlfn.IFNA(VLOOKUP($B293,'Node Details'!$B:$U,E$1,0),"Check"),"")</f>
        <v>Airtel</v>
      </c>
      <c r="F293" s="101">
        <v>46113</v>
      </c>
      <c r="G293" s="103"/>
      <c r="H293" s="102" t="s">
        <v>1256</v>
      </c>
      <c r="I293" s="9">
        <v>1</v>
      </c>
      <c r="J293" s="9">
        <v>48</v>
      </c>
      <c r="K293" s="100">
        <f t="shared" si="51"/>
        <v>48</v>
      </c>
      <c r="L293" s="78">
        <v>46112</v>
      </c>
      <c r="M293" s="103"/>
      <c r="N293" s="93" t="s">
        <v>143</v>
      </c>
      <c r="O293" s="94">
        <v>46141</v>
      </c>
      <c r="P293" s="104">
        <f t="shared" si="46"/>
        <v>48</v>
      </c>
      <c r="Q293" s="104">
        <f t="shared" si="47"/>
        <v>48</v>
      </c>
      <c r="R293" s="104"/>
      <c r="S293" s="93" t="s">
        <v>331</v>
      </c>
      <c r="T293" s="94">
        <v>46153</v>
      </c>
      <c r="U293" s="104">
        <f t="shared" si="48"/>
        <v>48</v>
      </c>
      <c r="V293" s="104">
        <f t="shared" si="49"/>
        <v>1</v>
      </c>
      <c r="W293" s="103">
        <f t="shared" si="50"/>
        <v>48</v>
      </c>
      <c r="X293" s="93" t="s">
        <v>89</v>
      </c>
      <c r="Y293" s="105" t="s">
        <v>84</v>
      </c>
      <c r="Z293" s="105" t="s">
        <v>93</v>
      </c>
    </row>
    <row r="294" spans="1:26" s="105" customFormat="1" ht="15" customHeight="1">
      <c r="A294" s="99">
        <f t="shared" si="45"/>
        <v>292</v>
      </c>
      <c r="B294" s="75" t="s">
        <v>239</v>
      </c>
      <c r="C294" s="100" t="str">
        <f>IF($B294&lt;&gt;"",_xlfn.IFNA(VLOOKUP($B294,'Node Details'!$B:$U,C$1,0),"Check"),"")</f>
        <v>0000AXY08-AXY080103</v>
      </c>
      <c r="D294" s="100" t="str">
        <f>IF($B294&lt;&gt;"",_xlfn.IFNA(VLOOKUP($B294,'Node Details'!$B:$U,D$1,0),"Check"),"")</f>
        <v>AXY</v>
      </c>
      <c r="E294" s="100" t="str">
        <f>IF($B294&lt;&gt;"",_xlfn.IFNA(VLOOKUP($B294,'Node Details'!$B:$U,E$1,0),"Check"),"")</f>
        <v>Airtel</v>
      </c>
      <c r="F294" s="101">
        <v>46113</v>
      </c>
      <c r="G294" s="103"/>
      <c r="H294" s="102" t="s">
        <v>1256</v>
      </c>
      <c r="I294" s="9">
        <v>1</v>
      </c>
      <c r="J294" s="9">
        <v>48</v>
      </c>
      <c r="K294" s="100">
        <f t="shared" si="51"/>
        <v>48</v>
      </c>
      <c r="L294" s="78">
        <v>46112</v>
      </c>
      <c r="M294" s="103"/>
      <c r="N294" s="93" t="s">
        <v>143</v>
      </c>
      <c r="O294" s="94">
        <v>46141</v>
      </c>
      <c r="P294" s="104">
        <f t="shared" si="46"/>
        <v>48</v>
      </c>
      <c r="Q294" s="104">
        <f t="shared" si="47"/>
        <v>48</v>
      </c>
      <c r="R294" s="104"/>
      <c r="S294" s="93" t="s">
        <v>331</v>
      </c>
      <c r="T294" s="94">
        <v>46153</v>
      </c>
      <c r="U294" s="104">
        <f t="shared" si="48"/>
        <v>48</v>
      </c>
      <c r="V294" s="104">
        <f t="shared" si="49"/>
        <v>1</v>
      </c>
      <c r="W294" s="103">
        <f t="shared" si="50"/>
        <v>48</v>
      </c>
      <c r="X294" s="93" t="s">
        <v>89</v>
      </c>
      <c r="Y294" s="105" t="s">
        <v>84</v>
      </c>
      <c r="Z294" s="105" t="s">
        <v>93</v>
      </c>
    </row>
    <row r="295" spans="1:26" s="105" customFormat="1" ht="15" customHeight="1">
      <c r="A295" s="99">
        <f t="shared" si="45"/>
        <v>293</v>
      </c>
      <c r="B295" s="75" t="s">
        <v>230</v>
      </c>
      <c r="C295" s="100" t="str">
        <f>IF($B295&lt;&gt;"",_xlfn.IFNA(VLOOKUP($B295,'Node Details'!$B:$U,C$1,0),"Check"),"")</f>
        <v>0000AXY08-AXY080105</v>
      </c>
      <c r="D295" s="100" t="str">
        <f>IF($B295&lt;&gt;"",_xlfn.IFNA(VLOOKUP($B295,'Node Details'!$B:$U,D$1,0),"Check"),"")</f>
        <v>AXY</v>
      </c>
      <c r="E295" s="100" t="str">
        <f>IF($B295&lt;&gt;"",_xlfn.IFNA(VLOOKUP($B295,'Node Details'!$B:$U,E$1,0),"Check"),"")</f>
        <v>Airtel</v>
      </c>
      <c r="F295" s="101">
        <v>46113</v>
      </c>
      <c r="G295" s="103"/>
      <c r="H295" s="102" t="s">
        <v>1256</v>
      </c>
      <c r="I295" s="9">
        <v>1</v>
      </c>
      <c r="J295" s="9">
        <v>48</v>
      </c>
      <c r="K295" s="100">
        <f t="shared" si="51"/>
        <v>48</v>
      </c>
      <c r="L295" s="78">
        <v>46112</v>
      </c>
      <c r="M295" s="103"/>
      <c r="N295" s="93" t="s">
        <v>143</v>
      </c>
      <c r="O295" s="94">
        <v>46141</v>
      </c>
      <c r="P295" s="104">
        <f t="shared" si="46"/>
        <v>48</v>
      </c>
      <c r="Q295" s="104">
        <f t="shared" si="47"/>
        <v>48</v>
      </c>
      <c r="R295" s="104"/>
      <c r="S295" s="93" t="s">
        <v>331</v>
      </c>
      <c r="T295" s="94">
        <v>46153</v>
      </c>
      <c r="U295" s="104">
        <f t="shared" si="48"/>
        <v>48</v>
      </c>
      <c r="V295" s="104">
        <f t="shared" si="49"/>
        <v>1</v>
      </c>
      <c r="W295" s="103">
        <f t="shared" si="50"/>
        <v>48</v>
      </c>
      <c r="X295" s="93" t="s">
        <v>89</v>
      </c>
      <c r="Y295" s="105" t="s">
        <v>84</v>
      </c>
      <c r="Z295" s="105" t="s">
        <v>93</v>
      </c>
    </row>
    <row r="296" spans="1:26" s="105" customFormat="1" ht="15" customHeight="1">
      <c r="A296" s="99">
        <f t="shared" si="45"/>
        <v>294</v>
      </c>
      <c r="B296" s="75" t="s">
        <v>233</v>
      </c>
      <c r="C296" s="100" t="str">
        <f>IF($B296&lt;&gt;"",_xlfn.IFNA(VLOOKUP($B296,'Node Details'!$B:$U,C$1,0),"Check"),"")</f>
        <v>0000AXY08-AXY080106</v>
      </c>
      <c r="D296" s="100" t="str">
        <f>IF($B296&lt;&gt;"",_xlfn.IFNA(VLOOKUP($B296,'Node Details'!$B:$U,D$1,0),"Check"),"")</f>
        <v>AXY</v>
      </c>
      <c r="E296" s="100" t="str">
        <f>IF($B296&lt;&gt;"",_xlfn.IFNA(VLOOKUP($B296,'Node Details'!$B:$U,E$1,0),"Check"),"")</f>
        <v>Airtel</v>
      </c>
      <c r="F296" s="101">
        <v>46113</v>
      </c>
      <c r="G296" s="103"/>
      <c r="H296" s="102" t="s">
        <v>1256</v>
      </c>
      <c r="I296" s="9">
        <v>1</v>
      </c>
      <c r="J296" s="9">
        <v>48</v>
      </c>
      <c r="K296" s="100">
        <f t="shared" si="51"/>
        <v>48</v>
      </c>
      <c r="L296" s="78">
        <v>46112</v>
      </c>
      <c r="M296" s="103"/>
      <c r="N296" s="93" t="s">
        <v>143</v>
      </c>
      <c r="O296" s="94">
        <v>46141</v>
      </c>
      <c r="P296" s="104">
        <f t="shared" si="46"/>
        <v>48</v>
      </c>
      <c r="Q296" s="104">
        <f t="shared" si="47"/>
        <v>48</v>
      </c>
      <c r="R296" s="104"/>
      <c r="S296" s="93" t="s">
        <v>331</v>
      </c>
      <c r="T296" s="94">
        <v>46153</v>
      </c>
      <c r="U296" s="104">
        <f t="shared" si="48"/>
        <v>48</v>
      </c>
      <c r="V296" s="104">
        <f t="shared" si="49"/>
        <v>1</v>
      </c>
      <c r="W296" s="103">
        <f t="shared" si="50"/>
        <v>48</v>
      </c>
      <c r="X296" s="93" t="s">
        <v>89</v>
      </c>
      <c r="Y296" s="105" t="s">
        <v>84</v>
      </c>
      <c r="Z296" s="105" t="s">
        <v>93</v>
      </c>
    </row>
    <row r="297" spans="1:26" s="105" customFormat="1" ht="15" customHeight="1">
      <c r="A297" s="99">
        <f t="shared" si="45"/>
        <v>295</v>
      </c>
      <c r="B297" s="75" t="s">
        <v>1004</v>
      </c>
      <c r="C297" s="100" t="str">
        <f>IF($B297&lt;&gt;"",_xlfn.IFNA(VLOOKUP($B297,'Node Details'!$B:$U,C$1,0),"Check"),"")</f>
        <v>AXY080106-AXY080203</v>
      </c>
      <c r="D297" s="100" t="str">
        <f>IF($B297&lt;&gt;"",_xlfn.IFNA(VLOOKUP($B297,'Node Details'!$B:$U,D$1,0),"Check"),"")</f>
        <v>AXY</v>
      </c>
      <c r="E297" s="100" t="str">
        <f>IF($B297&lt;&gt;"",_xlfn.IFNA(VLOOKUP($B297,'Node Details'!$B:$U,E$1,0),"Check"),"")</f>
        <v>Airtel</v>
      </c>
      <c r="F297" s="101">
        <v>46113</v>
      </c>
      <c r="G297" s="103"/>
      <c r="H297" s="102" t="s">
        <v>1256</v>
      </c>
      <c r="I297" s="9">
        <v>1</v>
      </c>
      <c r="J297" s="9">
        <v>48</v>
      </c>
      <c r="K297" s="100">
        <f t="shared" si="51"/>
        <v>48</v>
      </c>
      <c r="L297" s="78">
        <v>46112</v>
      </c>
      <c r="M297" s="103"/>
      <c r="N297" s="93" t="s">
        <v>143</v>
      </c>
      <c r="O297" s="94">
        <v>46141</v>
      </c>
      <c r="P297" s="104">
        <f t="shared" si="46"/>
        <v>48</v>
      </c>
      <c r="Q297" s="104">
        <f t="shared" si="47"/>
        <v>48</v>
      </c>
      <c r="R297" s="104"/>
      <c r="S297" s="93" t="s">
        <v>331</v>
      </c>
      <c r="T297" s="94">
        <v>46153</v>
      </c>
      <c r="U297" s="104">
        <f t="shared" si="48"/>
        <v>48</v>
      </c>
      <c r="V297" s="104">
        <f t="shared" si="49"/>
        <v>1</v>
      </c>
      <c r="W297" s="103">
        <f t="shared" si="50"/>
        <v>48</v>
      </c>
      <c r="X297" s="93" t="s">
        <v>89</v>
      </c>
      <c r="Y297" s="105" t="s">
        <v>84</v>
      </c>
      <c r="Z297" s="105" t="s">
        <v>93</v>
      </c>
    </row>
    <row r="298" spans="1:26" s="105" customFormat="1" ht="15" customHeight="1">
      <c r="A298" s="99">
        <f t="shared" si="45"/>
        <v>296</v>
      </c>
      <c r="B298" s="75" t="s">
        <v>243</v>
      </c>
      <c r="C298" s="100" t="str">
        <f>IF($B298&lt;&gt;"",_xlfn.IFNA(VLOOKUP($B298,'Node Details'!$B:$U,C$1,0),"Check"),"")</f>
        <v>AXY080106-AXY080203</v>
      </c>
      <c r="D298" s="100" t="str">
        <f>IF($B298&lt;&gt;"",_xlfn.IFNA(VLOOKUP($B298,'Node Details'!$B:$U,D$1,0),"Check"),"")</f>
        <v>AXY</v>
      </c>
      <c r="E298" s="100" t="str">
        <f>IF($B298&lt;&gt;"",_xlfn.IFNA(VLOOKUP($B298,'Node Details'!$B:$U,E$1,0),"Check"),"")</f>
        <v>Airtel</v>
      </c>
      <c r="F298" s="101">
        <v>46113</v>
      </c>
      <c r="G298" s="103"/>
      <c r="H298" s="102" t="s">
        <v>1256</v>
      </c>
      <c r="I298" s="9">
        <v>1</v>
      </c>
      <c r="J298" s="9">
        <v>48</v>
      </c>
      <c r="K298" s="100">
        <f t="shared" si="51"/>
        <v>48</v>
      </c>
      <c r="L298" s="78">
        <v>46112</v>
      </c>
      <c r="M298" s="103"/>
      <c r="N298" s="93" t="s">
        <v>143</v>
      </c>
      <c r="O298" s="94">
        <v>46141</v>
      </c>
      <c r="P298" s="104">
        <f t="shared" si="46"/>
        <v>48</v>
      </c>
      <c r="Q298" s="104">
        <f t="shared" si="47"/>
        <v>48</v>
      </c>
      <c r="R298" s="104"/>
      <c r="S298" s="93" t="s">
        <v>331</v>
      </c>
      <c r="T298" s="94">
        <v>46153</v>
      </c>
      <c r="U298" s="104">
        <f t="shared" si="48"/>
        <v>48</v>
      </c>
      <c r="V298" s="104">
        <f t="shared" si="49"/>
        <v>1</v>
      </c>
      <c r="W298" s="103">
        <f t="shared" si="50"/>
        <v>48</v>
      </c>
      <c r="X298" s="93" t="s">
        <v>89</v>
      </c>
      <c r="Y298" s="105" t="s">
        <v>84</v>
      </c>
      <c r="Z298" s="105" t="s">
        <v>93</v>
      </c>
    </row>
    <row r="299" spans="1:26" s="105" customFormat="1" ht="15" customHeight="1">
      <c r="A299" s="99">
        <f t="shared" si="45"/>
        <v>297</v>
      </c>
      <c r="B299" s="75" t="s">
        <v>1005</v>
      </c>
      <c r="C299" s="100" t="str">
        <f>IF($B299&lt;&gt;"",_xlfn.IFNA(VLOOKUP($B299,'Node Details'!$B:$U,C$1,0),"Check"),"")</f>
        <v>AXY080106-AXY080201</v>
      </c>
      <c r="D299" s="100" t="str">
        <f>IF($B299&lt;&gt;"",_xlfn.IFNA(VLOOKUP($B299,'Node Details'!$B:$U,D$1,0),"Check"),"")</f>
        <v>AXY</v>
      </c>
      <c r="E299" s="100" t="str">
        <f>IF($B299&lt;&gt;"",_xlfn.IFNA(VLOOKUP($B299,'Node Details'!$B:$U,E$1,0),"Check"),"")</f>
        <v>Airtel</v>
      </c>
      <c r="F299" s="101">
        <v>46113</v>
      </c>
      <c r="G299" s="103"/>
      <c r="H299" s="102" t="s">
        <v>1256</v>
      </c>
      <c r="I299" s="9">
        <v>1</v>
      </c>
      <c r="J299" s="9">
        <v>48</v>
      </c>
      <c r="K299" s="100">
        <f t="shared" si="51"/>
        <v>48</v>
      </c>
      <c r="L299" s="78">
        <v>46112</v>
      </c>
      <c r="M299" s="103"/>
      <c r="N299" s="93" t="s">
        <v>143</v>
      </c>
      <c r="O299" s="94">
        <v>46141</v>
      </c>
      <c r="P299" s="104">
        <f t="shared" si="46"/>
        <v>48</v>
      </c>
      <c r="Q299" s="104">
        <f t="shared" si="47"/>
        <v>48</v>
      </c>
      <c r="R299" s="104"/>
      <c r="S299" s="93" t="s">
        <v>331</v>
      </c>
      <c r="T299" s="94">
        <v>46153</v>
      </c>
      <c r="U299" s="104">
        <f t="shared" si="48"/>
        <v>48</v>
      </c>
      <c r="V299" s="104">
        <f t="shared" si="49"/>
        <v>1</v>
      </c>
      <c r="W299" s="103">
        <f t="shared" si="50"/>
        <v>48</v>
      </c>
      <c r="X299" s="93" t="s">
        <v>89</v>
      </c>
      <c r="Y299" s="105" t="s">
        <v>84</v>
      </c>
      <c r="Z299" s="105" t="s">
        <v>93</v>
      </c>
    </row>
    <row r="300" spans="1:26" s="105" customFormat="1" ht="15" customHeight="1">
      <c r="A300" s="99">
        <f t="shared" si="45"/>
        <v>298</v>
      </c>
      <c r="B300" s="75" t="s">
        <v>246</v>
      </c>
      <c r="C300" s="100" t="str">
        <f>IF($B300&lt;&gt;"",_xlfn.IFNA(VLOOKUP($B300,'Node Details'!$B:$U,C$1,0),"Check"),"")</f>
        <v>AXY080106-AXY080201</v>
      </c>
      <c r="D300" s="100" t="str">
        <f>IF($B300&lt;&gt;"",_xlfn.IFNA(VLOOKUP($B300,'Node Details'!$B:$U,D$1,0),"Check"),"")</f>
        <v>AXY</v>
      </c>
      <c r="E300" s="100" t="str">
        <f>IF($B300&lt;&gt;"",_xlfn.IFNA(VLOOKUP($B300,'Node Details'!$B:$U,E$1,0),"Check"),"")</f>
        <v>Airtel</v>
      </c>
      <c r="F300" s="101">
        <v>46113</v>
      </c>
      <c r="G300" s="103"/>
      <c r="H300" s="102" t="s">
        <v>1256</v>
      </c>
      <c r="I300" s="9">
        <v>1</v>
      </c>
      <c r="J300" s="9">
        <v>48</v>
      </c>
      <c r="K300" s="100">
        <f t="shared" si="51"/>
        <v>48</v>
      </c>
      <c r="L300" s="78">
        <v>46112</v>
      </c>
      <c r="M300" s="103"/>
      <c r="N300" s="93" t="s">
        <v>143</v>
      </c>
      <c r="O300" s="94">
        <v>46141</v>
      </c>
      <c r="P300" s="104">
        <f t="shared" si="46"/>
        <v>48</v>
      </c>
      <c r="Q300" s="104">
        <f t="shared" si="47"/>
        <v>48</v>
      </c>
      <c r="R300" s="104"/>
      <c r="S300" s="93" t="s">
        <v>331</v>
      </c>
      <c r="T300" s="94">
        <v>46153</v>
      </c>
      <c r="U300" s="104">
        <f t="shared" si="48"/>
        <v>48</v>
      </c>
      <c r="V300" s="104">
        <f t="shared" si="49"/>
        <v>1</v>
      </c>
      <c r="W300" s="103">
        <f t="shared" si="50"/>
        <v>48</v>
      </c>
      <c r="X300" s="93" t="s">
        <v>89</v>
      </c>
      <c r="Y300" s="105" t="s">
        <v>84</v>
      </c>
      <c r="Z300" s="105" t="s">
        <v>93</v>
      </c>
    </row>
    <row r="301" spans="1:26" s="105" customFormat="1" ht="15" customHeight="1">
      <c r="A301" s="99">
        <f t="shared" si="45"/>
        <v>299</v>
      </c>
      <c r="B301" s="75" t="s">
        <v>1006</v>
      </c>
      <c r="C301" s="100" t="str">
        <f>IF($B301&lt;&gt;"",_xlfn.IFNA(VLOOKUP($B301,'Node Details'!$B:$U,C$1,0),"Check"),"")</f>
        <v>000000AXY-0000AXY12</v>
      </c>
      <c r="D301" s="100" t="str">
        <f>IF($B301&lt;&gt;"",_xlfn.IFNA(VLOOKUP($B301,'Node Details'!$B:$U,D$1,0),"Check"),"")</f>
        <v>AXY</v>
      </c>
      <c r="E301" s="100" t="str">
        <f>IF($B301&lt;&gt;"",_xlfn.IFNA(VLOOKUP($B301,'Node Details'!$B:$U,E$1,0),"Check"),"")</f>
        <v>Airtel</v>
      </c>
      <c r="F301" s="101">
        <v>46113</v>
      </c>
      <c r="G301" s="103"/>
      <c r="H301" s="102" t="s">
        <v>1256</v>
      </c>
      <c r="I301" s="9">
        <v>1</v>
      </c>
      <c r="J301" s="9">
        <v>48</v>
      </c>
      <c r="K301" s="100">
        <f t="shared" si="51"/>
        <v>48</v>
      </c>
      <c r="L301" s="78">
        <v>46112</v>
      </c>
      <c r="M301" s="103"/>
      <c r="N301" s="93" t="s">
        <v>143</v>
      </c>
      <c r="O301" s="94">
        <v>46141</v>
      </c>
      <c r="P301" s="104">
        <f t="shared" si="46"/>
        <v>48</v>
      </c>
      <c r="Q301" s="104">
        <f t="shared" si="47"/>
        <v>48</v>
      </c>
      <c r="R301" s="104"/>
      <c r="S301" s="93" t="s">
        <v>331</v>
      </c>
      <c r="T301" s="94">
        <v>46153</v>
      </c>
      <c r="U301" s="104">
        <f t="shared" si="48"/>
        <v>48</v>
      </c>
      <c r="V301" s="104">
        <f t="shared" si="49"/>
        <v>1</v>
      </c>
      <c r="W301" s="103">
        <f t="shared" si="50"/>
        <v>48</v>
      </c>
      <c r="X301" s="93" t="s">
        <v>89</v>
      </c>
      <c r="Y301" s="105" t="s">
        <v>84</v>
      </c>
      <c r="Z301" s="105" t="s">
        <v>93</v>
      </c>
    </row>
    <row r="302" spans="1:26" s="105" customFormat="1" ht="15" customHeight="1">
      <c r="A302" s="99">
        <f t="shared" si="45"/>
        <v>300</v>
      </c>
      <c r="B302" s="75" t="s">
        <v>254</v>
      </c>
      <c r="C302" s="100" t="str">
        <f>IF($B302&lt;&gt;"",_xlfn.IFNA(VLOOKUP($B302,'Node Details'!$B:$U,C$1,0),"Check"),"")</f>
        <v>0000AXY09-AXY090101</v>
      </c>
      <c r="D302" s="100" t="str">
        <f>IF($B302&lt;&gt;"",_xlfn.IFNA(VLOOKUP($B302,'Node Details'!$B:$U,D$1,0),"Check"),"")</f>
        <v>AXY</v>
      </c>
      <c r="E302" s="100" t="str">
        <f>IF($B302&lt;&gt;"",_xlfn.IFNA(VLOOKUP($B302,'Node Details'!$B:$U,E$1,0),"Check"),"")</f>
        <v>Airtel</v>
      </c>
      <c r="F302" s="101">
        <v>46113</v>
      </c>
      <c r="G302" s="103"/>
      <c r="H302" s="102" t="s">
        <v>1256</v>
      </c>
      <c r="I302" s="9">
        <v>1</v>
      </c>
      <c r="J302" s="9">
        <v>48</v>
      </c>
      <c r="K302" s="100">
        <f t="shared" si="51"/>
        <v>48</v>
      </c>
      <c r="L302" s="78">
        <v>46112</v>
      </c>
      <c r="M302" s="103"/>
      <c r="N302" s="93" t="s">
        <v>143</v>
      </c>
      <c r="O302" s="94">
        <v>46141</v>
      </c>
      <c r="P302" s="104">
        <f t="shared" si="46"/>
        <v>48</v>
      </c>
      <c r="Q302" s="104">
        <f t="shared" si="47"/>
        <v>48</v>
      </c>
      <c r="R302" s="104"/>
      <c r="S302" s="93" t="s">
        <v>331</v>
      </c>
      <c r="T302" s="94">
        <v>46153</v>
      </c>
      <c r="U302" s="104">
        <f t="shared" si="48"/>
        <v>48</v>
      </c>
      <c r="V302" s="104">
        <f t="shared" si="49"/>
        <v>1</v>
      </c>
      <c r="W302" s="103">
        <f t="shared" si="50"/>
        <v>48</v>
      </c>
      <c r="X302" s="93" t="s">
        <v>89</v>
      </c>
      <c r="Y302" s="105" t="s">
        <v>84</v>
      </c>
      <c r="Z302" s="105" t="s">
        <v>93</v>
      </c>
    </row>
    <row r="303" spans="1:26" s="105" customFormat="1" ht="15" customHeight="1">
      <c r="A303" s="99">
        <f t="shared" si="45"/>
        <v>301</v>
      </c>
      <c r="B303" s="75" t="s">
        <v>1007</v>
      </c>
      <c r="C303" s="100" t="str">
        <f>IF($B303&lt;&gt;"",_xlfn.IFNA(VLOOKUP($B303,'Node Details'!$B:$U,C$1,0),"Check"),"")</f>
        <v>0000AXY09-AXY090105</v>
      </c>
      <c r="D303" s="100" t="str">
        <f>IF($B303&lt;&gt;"",_xlfn.IFNA(VLOOKUP($B303,'Node Details'!$B:$U,D$1,0),"Check"),"")</f>
        <v>AXY</v>
      </c>
      <c r="E303" s="100" t="str">
        <f>IF($B303&lt;&gt;"",_xlfn.IFNA(VLOOKUP($B303,'Node Details'!$B:$U,E$1,0),"Check"),"")</f>
        <v>Airtel</v>
      </c>
      <c r="F303" s="101">
        <v>46113</v>
      </c>
      <c r="G303" s="103"/>
      <c r="H303" s="102" t="s">
        <v>1256</v>
      </c>
      <c r="I303" s="9">
        <v>1</v>
      </c>
      <c r="J303" s="9">
        <v>48</v>
      </c>
      <c r="K303" s="100">
        <f t="shared" si="51"/>
        <v>48</v>
      </c>
      <c r="L303" s="78">
        <v>46112</v>
      </c>
      <c r="M303" s="103"/>
      <c r="N303" s="93" t="s">
        <v>143</v>
      </c>
      <c r="O303" s="94">
        <v>46141</v>
      </c>
      <c r="P303" s="104">
        <f t="shared" si="46"/>
        <v>48</v>
      </c>
      <c r="Q303" s="104">
        <f t="shared" si="47"/>
        <v>48</v>
      </c>
      <c r="R303" s="104"/>
      <c r="S303" s="93" t="s">
        <v>331</v>
      </c>
      <c r="T303" s="94">
        <v>46153</v>
      </c>
      <c r="U303" s="104">
        <f t="shared" si="48"/>
        <v>48</v>
      </c>
      <c r="V303" s="104">
        <f t="shared" si="49"/>
        <v>1</v>
      </c>
      <c r="W303" s="103">
        <f t="shared" si="50"/>
        <v>48</v>
      </c>
      <c r="X303" s="93" t="s">
        <v>89</v>
      </c>
      <c r="Y303" s="105" t="s">
        <v>84</v>
      </c>
      <c r="Z303" s="105" t="s">
        <v>93</v>
      </c>
    </row>
    <row r="304" spans="1:26" s="105" customFormat="1" ht="15" customHeight="1">
      <c r="A304" s="99">
        <f t="shared" si="45"/>
        <v>302</v>
      </c>
      <c r="B304" s="75" t="s">
        <v>1008</v>
      </c>
      <c r="C304" s="100" t="str">
        <f>IF($B304&lt;&gt;"",_xlfn.IFNA(VLOOKUP($B304,'Node Details'!$B:$U,C$1,0),"Check"),"")</f>
        <v>0000AXY09-AXY090105</v>
      </c>
      <c r="D304" s="100" t="str">
        <f>IF($B304&lt;&gt;"",_xlfn.IFNA(VLOOKUP($B304,'Node Details'!$B:$U,D$1,0),"Check"),"")</f>
        <v>AXY</v>
      </c>
      <c r="E304" s="100" t="str">
        <f>IF($B304&lt;&gt;"",_xlfn.IFNA(VLOOKUP($B304,'Node Details'!$B:$U,E$1,0),"Check"),"")</f>
        <v>Airtel</v>
      </c>
      <c r="F304" s="101">
        <v>46113</v>
      </c>
      <c r="G304" s="103"/>
      <c r="H304" s="102" t="s">
        <v>1256</v>
      </c>
      <c r="I304" s="9">
        <v>1</v>
      </c>
      <c r="J304" s="9">
        <v>48</v>
      </c>
      <c r="K304" s="100">
        <f t="shared" si="51"/>
        <v>48</v>
      </c>
      <c r="L304" s="78">
        <v>46112</v>
      </c>
      <c r="M304" s="103"/>
      <c r="N304" s="93" t="s">
        <v>143</v>
      </c>
      <c r="O304" s="94">
        <v>46141</v>
      </c>
      <c r="P304" s="104">
        <f t="shared" si="46"/>
        <v>48</v>
      </c>
      <c r="Q304" s="104">
        <f t="shared" si="47"/>
        <v>48</v>
      </c>
      <c r="R304" s="104"/>
      <c r="S304" s="93" t="s">
        <v>331</v>
      </c>
      <c r="T304" s="94">
        <v>46153</v>
      </c>
      <c r="U304" s="104">
        <f t="shared" si="48"/>
        <v>48</v>
      </c>
      <c r="V304" s="104">
        <f t="shared" si="49"/>
        <v>1</v>
      </c>
      <c r="W304" s="103">
        <f t="shared" si="50"/>
        <v>48</v>
      </c>
      <c r="X304" s="93" t="s">
        <v>89</v>
      </c>
      <c r="Y304" s="105" t="s">
        <v>84</v>
      </c>
      <c r="Z304" s="105" t="s">
        <v>93</v>
      </c>
    </row>
    <row r="305" spans="1:26" s="105" customFormat="1" ht="15" customHeight="1">
      <c r="A305" s="99">
        <f t="shared" si="45"/>
        <v>303</v>
      </c>
      <c r="B305" s="75" t="s">
        <v>257</v>
      </c>
      <c r="C305" s="100" t="str">
        <f>IF($B305&lt;&gt;"",_xlfn.IFNA(VLOOKUP($B305,'Node Details'!$B:$U,C$1,0),"Check"),"")</f>
        <v>0000AXY09-AXY090105</v>
      </c>
      <c r="D305" s="100" t="str">
        <f>IF($B305&lt;&gt;"",_xlfn.IFNA(VLOOKUP($B305,'Node Details'!$B:$U,D$1,0),"Check"),"")</f>
        <v>AXY</v>
      </c>
      <c r="E305" s="100" t="str">
        <f>IF($B305&lt;&gt;"",_xlfn.IFNA(VLOOKUP($B305,'Node Details'!$B:$U,E$1,0),"Check"),"")</f>
        <v>Airtel</v>
      </c>
      <c r="F305" s="101">
        <v>46113</v>
      </c>
      <c r="G305" s="103"/>
      <c r="H305" s="102" t="s">
        <v>1256</v>
      </c>
      <c r="I305" s="9">
        <v>1</v>
      </c>
      <c r="J305" s="9">
        <v>48</v>
      </c>
      <c r="K305" s="100">
        <f t="shared" si="51"/>
        <v>48</v>
      </c>
      <c r="L305" s="78">
        <v>46112</v>
      </c>
      <c r="M305" s="103"/>
      <c r="N305" s="93" t="s">
        <v>143</v>
      </c>
      <c r="O305" s="94">
        <v>46141</v>
      </c>
      <c r="P305" s="104">
        <f t="shared" si="46"/>
        <v>48</v>
      </c>
      <c r="Q305" s="104">
        <f t="shared" si="47"/>
        <v>48</v>
      </c>
      <c r="R305" s="104"/>
      <c r="S305" s="93" t="s">
        <v>331</v>
      </c>
      <c r="T305" s="94">
        <v>46153</v>
      </c>
      <c r="U305" s="104">
        <f t="shared" si="48"/>
        <v>48</v>
      </c>
      <c r="V305" s="104">
        <f t="shared" si="49"/>
        <v>1</v>
      </c>
      <c r="W305" s="103">
        <f t="shared" si="50"/>
        <v>48</v>
      </c>
      <c r="X305" s="93" t="s">
        <v>89</v>
      </c>
      <c r="Y305" s="105" t="s">
        <v>84</v>
      </c>
      <c r="Z305" s="105" t="s">
        <v>93</v>
      </c>
    </row>
    <row r="306" spans="1:26" s="105" customFormat="1" ht="15" customHeight="1">
      <c r="A306" s="99">
        <f t="shared" si="45"/>
        <v>304</v>
      </c>
      <c r="B306" s="75" t="s">
        <v>1009</v>
      </c>
      <c r="C306" s="100" t="str">
        <f>IF($B306&lt;&gt;"",_xlfn.IFNA(VLOOKUP($B306,'Node Details'!$B:$U,C$1,0),"Check"),"")</f>
        <v>0000AXY09-AXY090201</v>
      </c>
      <c r="D306" s="100" t="str">
        <f>IF($B306&lt;&gt;"",_xlfn.IFNA(VLOOKUP($B306,'Node Details'!$B:$U,D$1,0),"Check"),"")</f>
        <v>AXY</v>
      </c>
      <c r="E306" s="100" t="str">
        <f>IF($B306&lt;&gt;"",_xlfn.IFNA(VLOOKUP($B306,'Node Details'!$B:$U,E$1,0),"Check"),"")</f>
        <v>Airtel</v>
      </c>
      <c r="F306" s="101">
        <v>46113</v>
      </c>
      <c r="G306" s="103"/>
      <c r="H306" s="102" t="s">
        <v>1256</v>
      </c>
      <c r="I306" s="9">
        <v>1</v>
      </c>
      <c r="J306" s="9">
        <v>48</v>
      </c>
      <c r="K306" s="100">
        <f t="shared" si="51"/>
        <v>48</v>
      </c>
      <c r="L306" s="78">
        <v>46112</v>
      </c>
      <c r="M306" s="103"/>
      <c r="N306" s="93" t="s">
        <v>143</v>
      </c>
      <c r="O306" s="94">
        <v>46141</v>
      </c>
      <c r="P306" s="104">
        <f t="shared" si="46"/>
        <v>48</v>
      </c>
      <c r="Q306" s="104">
        <f t="shared" si="47"/>
        <v>48</v>
      </c>
      <c r="R306" s="104"/>
      <c r="S306" s="93" t="s">
        <v>331</v>
      </c>
      <c r="T306" s="94">
        <v>46153</v>
      </c>
      <c r="U306" s="104">
        <f t="shared" si="48"/>
        <v>48</v>
      </c>
      <c r="V306" s="104">
        <f t="shared" si="49"/>
        <v>1</v>
      </c>
      <c r="W306" s="103">
        <f t="shared" si="50"/>
        <v>48</v>
      </c>
      <c r="X306" s="93" t="s">
        <v>89</v>
      </c>
      <c r="Y306" s="105" t="s">
        <v>84</v>
      </c>
      <c r="Z306" s="105" t="s">
        <v>93</v>
      </c>
    </row>
    <row r="307" spans="1:26" s="105" customFormat="1" ht="15" customHeight="1">
      <c r="A307" s="99">
        <f t="shared" si="45"/>
        <v>305</v>
      </c>
      <c r="B307" s="75" t="s">
        <v>1010</v>
      </c>
      <c r="C307" s="100" t="str">
        <f>IF($B307&lt;&gt;"",_xlfn.IFNA(VLOOKUP($B307,'Node Details'!$B:$U,C$1,0),"Check"),"")</f>
        <v>0000AXY09-AXY090201</v>
      </c>
      <c r="D307" s="100" t="str">
        <f>IF($B307&lt;&gt;"",_xlfn.IFNA(VLOOKUP($B307,'Node Details'!$B:$U,D$1,0),"Check"),"")</f>
        <v>AXY</v>
      </c>
      <c r="E307" s="100" t="str">
        <f>IF($B307&lt;&gt;"",_xlfn.IFNA(VLOOKUP($B307,'Node Details'!$B:$U,E$1,0),"Check"),"")</f>
        <v>Airtel</v>
      </c>
      <c r="F307" s="101">
        <v>46113</v>
      </c>
      <c r="G307" s="103"/>
      <c r="H307" s="102" t="s">
        <v>1256</v>
      </c>
      <c r="I307" s="9">
        <v>1</v>
      </c>
      <c r="J307" s="9">
        <v>48</v>
      </c>
      <c r="K307" s="100">
        <f t="shared" si="51"/>
        <v>48</v>
      </c>
      <c r="L307" s="78">
        <v>46112</v>
      </c>
      <c r="M307" s="103"/>
      <c r="N307" s="93" t="s">
        <v>143</v>
      </c>
      <c r="O307" s="94">
        <v>46141</v>
      </c>
      <c r="P307" s="104">
        <f t="shared" si="46"/>
        <v>48</v>
      </c>
      <c r="Q307" s="104">
        <f t="shared" si="47"/>
        <v>48</v>
      </c>
      <c r="R307" s="104"/>
      <c r="S307" s="93" t="s">
        <v>331</v>
      </c>
      <c r="T307" s="94">
        <v>46153</v>
      </c>
      <c r="U307" s="104">
        <f t="shared" si="48"/>
        <v>48</v>
      </c>
      <c r="V307" s="104">
        <f t="shared" si="49"/>
        <v>1</v>
      </c>
      <c r="W307" s="103">
        <f t="shared" si="50"/>
        <v>48</v>
      </c>
      <c r="X307" s="93" t="s">
        <v>89</v>
      </c>
      <c r="Y307" s="105" t="s">
        <v>84</v>
      </c>
      <c r="Z307" s="105" t="s">
        <v>93</v>
      </c>
    </row>
    <row r="308" spans="1:26" s="105" customFormat="1" ht="15" customHeight="1">
      <c r="A308" s="99">
        <f t="shared" si="45"/>
        <v>306</v>
      </c>
      <c r="B308" s="75" t="s">
        <v>1011</v>
      </c>
      <c r="C308" s="100" t="str">
        <f>IF($B308&lt;&gt;"",_xlfn.IFNA(VLOOKUP($B308,'Node Details'!$B:$U,C$1,0),"Check"),"")</f>
        <v>0000AXY09-AXY090201</v>
      </c>
      <c r="D308" s="100" t="str">
        <f>IF($B308&lt;&gt;"",_xlfn.IFNA(VLOOKUP($B308,'Node Details'!$B:$U,D$1,0),"Check"),"")</f>
        <v>AXY</v>
      </c>
      <c r="E308" s="100" t="str">
        <f>IF($B308&lt;&gt;"",_xlfn.IFNA(VLOOKUP($B308,'Node Details'!$B:$U,E$1,0),"Check"),"")</f>
        <v>Airtel</v>
      </c>
      <c r="F308" s="101">
        <v>46113</v>
      </c>
      <c r="G308" s="103"/>
      <c r="H308" s="102" t="s">
        <v>1256</v>
      </c>
      <c r="I308" s="9">
        <v>1</v>
      </c>
      <c r="J308" s="9">
        <v>48</v>
      </c>
      <c r="K308" s="100">
        <f t="shared" si="51"/>
        <v>48</v>
      </c>
      <c r="L308" s="78">
        <v>46112</v>
      </c>
      <c r="M308" s="103"/>
      <c r="N308" s="93" t="s">
        <v>143</v>
      </c>
      <c r="O308" s="94">
        <v>46141</v>
      </c>
      <c r="P308" s="104">
        <f t="shared" si="46"/>
        <v>48</v>
      </c>
      <c r="Q308" s="104">
        <f t="shared" si="47"/>
        <v>48</v>
      </c>
      <c r="R308" s="104"/>
      <c r="S308" s="93" t="s">
        <v>331</v>
      </c>
      <c r="T308" s="94">
        <v>46153</v>
      </c>
      <c r="U308" s="104">
        <f t="shared" si="48"/>
        <v>48</v>
      </c>
      <c r="V308" s="104">
        <f t="shared" si="49"/>
        <v>1</v>
      </c>
      <c r="W308" s="103">
        <f t="shared" si="50"/>
        <v>48</v>
      </c>
      <c r="X308" s="93" t="s">
        <v>89</v>
      </c>
      <c r="Y308" s="105" t="s">
        <v>84</v>
      </c>
      <c r="Z308" s="105" t="s">
        <v>93</v>
      </c>
    </row>
    <row r="309" spans="1:26" s="105" customFormat="1" ht="15" customHeight="1">
      <c r="A309" s="99">
        <f t="shared" si="45"/>
        <v>307</v>
      </c>
      <c r="B309" s="75" t="s">
        <v>250</v>
      </c>
      <c r="C309" s="100" t="str">
        <f>IF($B309&lt;&gt;"",_xlfn.IFNA(VLOOKUP($B309,'Node Details'!$B:$U,C$1,0),"Check"),"")</f>
        <v>0000AXY09-AXY090201</v>
      </c>
      <c r="D309" s="100" t="str">
        <f>IF($B309&lt;&gt;"",_xlfn.IFNA(VLOOKUP($B309,'Node Details'!$B:$U,D$1,0),"Check"),"")</f>
        <v>AXY</v>
      </c>
      <c r="E309" s="100" t="str">
        <f>IF($B309&lt;&gt;"",_xlfn.IFNA(VLOOKUP($B309,'Node Details'!$B:$U,E$1,0),"Check"),"")</f>
        <v>Airtel</v>
      </c>
      <c r="F309" s="101">
        <v>46113</v>
      </c>
      <c r="G309" s="103"/>
      <c r="H309" s="102" t="s">
        <v>1256</v>
      </c>
      <c r="I309" s="9">
        <v>1</v>
      </c>
      <c r="J309" s="9">
        <v>48</v>
      </c>
      <c r="K309" s="100">
        <f t="shared" si="51"/>
        <v>48</v>
      </c>
      <c r="L309" s="78">
        <v>46112</v>
      </c>
      <c r="M309" s="103"/>
      <c r="N309" s="93" t="s">
        <v>143</v>
      </c>
      <c r="O309" s="94">
        <v>46141</v>
      </c>
      <c r="P309" s="104">
        <f t="shared" si="46"/>
        <v>48</v>
      </c>
      <c r="Q309" s="104">
        <f t="shared" si="47"/>
        <v>48</v>
      </c>
      <c r="R309" s="104"/>
      <c r="S309" s="93" t="s">
        <v>331</v>
      </c>
      <c r="T309" s="94">
        <v>46153</v>
      </c>
      <c r="U309" s="104">
        <f t="shared" si="48"/>
        <v>48</v>
      </c>
      <c r="V309" s="104">
        <f t="shared" si="49"/>
        <v>1</v>
      </c>
      <c r="W309" s="103">
        <f t="shared" si="50"/>
        <v>48</v>
      </c>
      <c r="X309" s="93" t="s">
        <v>89</v>
      </c>
      <c r="Y309" s="105" t="s">
        <v>84</v>
      </c>
      <c r="Z309" s="105" t="s">
        <v>93</v>
      </c>
    </row>
    <row r="310" spans="1:26" s="105" customFormat="1" ht="15" customHeight="1">
      <c r="A310" s="99">
        <f t="shared" si="45"/>
        <v>308</v>
      </c>
      <c r="B310" s="75" t="s">
        <v>1012</v>
      </c>
      <c r="C310" s="100" t="str">
        <f>IF($B310&lt;&gt;"",_xlfn.IFNA(VLOOKUP($B310,'Node Details'!$B:$U,C$1,0),"Check"),"")</f>
        <v>AXY090201-AXY090204</v>
      </c>
      <c r="D310" s="100" t="str">
        <f>IF($B310&lt;&gt;"",_xlfn.IFNA(VLOOKUP($B310,'Node Details'!$B:$U,D$1,0),"Check"),"")</f>
        <v>AXY</v>
      </c>
      <c r="E310" s="100" t="str">
        <f>IF($B310&lt;&gt;"",_xlfn.IFNA(VLOOKUP($B310,'Node Details'!$B:$U,E$1,0),"Check"),"")</f>
        <v>Airtel</v>
      </c>
      <c r="F310" s="101">
        <v>46113</v>
      </c>
      <c r="G310" s="103"/>
      <c r="H310" s="102" t="s">
        <v>1256</v>
      </c>
      <c r="I310" s="9">
        <v>1</v>
      </c>
      <c r="J310" s="9">
        <v>48</v>
      </c>
      <c r="K310" s="100">
        <f t="shared" si="51"/>
        <v>48</v>
      </c>
      <c r="L310" s="78">
        <v>46112</v>
      </c>
      <c r="M310" s="103"/>
      <c r="N310" s="93" t="s">
        <v>143</v>
      </c>
      <c r="O310" s="94">
        <v>46141</v>
      </c>
      <c r="P310" s="104">
        <f t="shared" si="46"/>
        <v>48</v>
      </c>
      <c r="Q310" s="104">
        <f t="shared" si="47"/>
        <v>48</v>
      </c>
      <c r="R310" s="104"/>
      <c r="S310" s="93" t="s">
        <v>331</v>
      </c>
      <c r="T310" s="94">
        <v>46153</v>
      </c>
      <c r="U310" s="104">
        <f t="shared" si="48"/>
        <v>48</v>
      </c>
      <c r="V310" s="104">
        <f t="shared" si="49"/>
        <v>1</v>
      </c>
      <c r="W310" s="103">
        <f t="shared" si="50"/>
        <v>48</v>
      </c>
      <c r="X310" s="93" t="s">
        <v>89</v>
      </c>
      <c r="Y310" s="105" t="s">
        <v>84</v>
      </c>
      <c r="Z310" s="105" t="s">
        <v>93</v>
      </c>
    </row>
    <row r="311" spans="1:26" s="105" customFormat="1" ht="15" customHeight="1">
      <c r="A311" s="99">
        <f t="shared" si="45"/>
        <v>309</v>
      </c>
      <c r="B311" s="75" t="s">
        <v>1013</v>
      </c>
      <c r="C311" s="100" t="str">
        <f>IF($B311&lt;&gt;"",_xlfn.IFNA(VLOOKUP($B311,'Node Details'!$B:$U,C$1,0),"Check"),"")</f>
        <v>AXY090201-AXY090204</v>
      </c>
      <c r="D311" s="100" t="str">
        <f>IF($B311&lt;&gt;"",_xlfn.IFNA(VLOOKUP($B311,'Node Details'!$B:$U,D$1,0),"Check"),"")</f>
        <v>AXY</v>
      </c>
      <c r="E311" s="100" t="str">
        <f>IF($B311&lt;&gt;"",_xlfn.IFNA(VLOOKUP($B311,'Node Details'!$B:$U,E$1,0),"Check"),"")</f>
        <v>Airtel</v>
      </c>
      <c r="F311" s="101">
        <v>46113</v>
      </c>
      <c r="G311" s="103"/>
      <c r="H311" s="102" t="s">
        <v>1256</v>
      </c>
      <c r="I311" s="9">
        <v>1</v>
      </c>
      <c r="J311" s="9">
        <v>48</v>
      </c>
      <c r="K311" s="100">
        <f t="shared" si="51"/>
        <v>48</v>
      </c>
      <c r="L311" s="78">
        <v>46112</v>
      </c>
      <c r="M311" s="103"/>
      <c r="N311" s="93" t="s">
        <v>143</v>
      </c>
      <c r="O311" s="94">
        <v>46141</v>
      </c>
      <c r="P311" s="104">
        <f t="shared" si="46"/>
        <v>48</v>
      </c>
      <c r="Q311" s="104">
        <f t="shared" si="47"/>
        <v>48</v>
      </c>
      <c r="R311" s="104"/>
      <c r="S311" s="93" t="s">
        <v>331</v>
      </c>
      <c r="T311" s="94">
        <v>46153</v>
      </c>
      <c r="U311" s="104">
        <f t="shared" si="48"/>
        <v>48</v>
      </c>
      <c r="V311" s="104">
        <f t="shared" si="49"/>
        <v>1</v>
      </c>
      <c r="W311" s="103">
        <f t="shared" si="50"/>
        <v>48</v>
      </c>
      <c r="X311" s="93" t="s">
        <v>89</v>
      </c>
      <c r="Y311" s="105" t="s">
        <v>84</v>
      </c>
      <c r="Z311" s="105" t="s">
        <v>93</v>
      </c>
    </row>
    <row r="312" spans="1:26" s="105" customFormat="1" ht="15" customHeight="1">
      <c r="A312" s="99">
        <f t="shared" si="45"/>
        <v>310</v>
      </c>
      <c r="B312" s="75" t="s">
        <v>261</v>
      </c>
      <c r="C312" s="100" t="str">
        <f>IF($B312&lt;&gt;"",_xlfn.IFNA(VLOOKUP($B312,'Node Details'!$B:$U,C$1,0),"Check"),"")</f>
        <v>AXY090201-AXY090204</v>
      </c>
      <c r="D312" s="100" t="str">
        <f>IF($B312&lt;&gt;"",_xlfn.IFNA(VLOOKUP($B312,'Node Details'!$B:$U,D$1,0),"Check"),"")</f>
        <v>AXY</v>
      </c>
      <c r="E312" s="100" t="str">
        <f>IF($B312&lt;&gt;"",_xlfn.IFNA(VLOOKUP($B312,'Node Details'!$B:$U,E$1,0),"Check"),"")</f>
        <v>Airtel</v>
      </c>
      <c r="F312" s="101">
        <v>46113</v>
      </c>
      <c r="G312" s="103"/>
      <c r="H312" s="102" t="s">
        <v>1256</v>
      </c>
      <c r="I312" s="9">
        <v>1</v>
      </c>
      <c r="J312" s="9">
        <v>48</v>
      </c>
      <c r="K312" s="100">
        <f t="shared" si="51"/>
        <v>48</v>
      </c>
      <c r="L312" s="78">
        <v>46112</v>
      </c>
      <c r="M312" s="103"/>
      <c r="N312" s="93" t="s">
        <v>143</v>
      </c>
      <c r="O312" s="94">
        <v>46141</v>
      </c>
      <c r="P312" s="104">
        <f t="shared" si="46"/>
        <v>48</v>
      </c>
      <c r="Q312" s="104">
        <f t="shared" si="47"/>
        <v>48</v>
      </c>
      <c r="R312" s="104"/>
      <c r="S312" s="93" t="s">
        <v>331</v>
      </c>
      <c r="T312" s="94">
        <v>46153</v>
      </c>
      <c r="U312" s="104">
        <f t="shared" si="48"/>
        <v>48</v>
      </c>
      <c r="V312" s="104">
        <f t="shared" si="49"/>
        <v>1</v>
      </c>
      <c r="W312" s="103">
        <f t="shared" si="50"/>
        <v>48</v>
      </c>
      <c r="X312" s="93" t="s">
        <v>89</v>
      </c>
      <c r="Y312" s="105" t="s">
        <v>84</v>
      </c>
      <c r="Z312" s="105" t="s">
        <v>93</v>
      </c>
    </row>
    <row r="313" spans="1:26" s="105" customFormat="1" ht="15" customHeight="1">
      <c r="A313" s="99">
        <f t="shared" si="45"/>
        <v>311</v>
      </c>
      <c r="B313" s="75" t="s">
        <v>1014</v>
      </c>
      <c r="C313" s="100" t="str">
        <f>IF($B313&lt;&gt;"",_xlfn.IFNA(VLOOKUP($B313,'Node Details'!$B:$U,C$1,0),"Check"),"")</f>
        <v>000000AXY-0000AXY12</v>
      </c>
      <c r="D313" s="100" t="str">
        <f>IF($B313&lt;&gt;"",_xlfn.IFNA(VLOOKUP($B313,'Node Details'!$B:$U,D$1,0),"Check"),"")</f>
        <v>AXY</v>
      </c>
      <c r="E313" s="100" t="str">
        <f>IF($B313&lt;&gt;"",_xlfn.IFNA(VLOOKUP($B313,'Node Details'!$B:$U,E$1,0),"Check"),"")</f>
        <v>Airtel</v>
      </c>
      <c r="F313" s="101">
        <v>46113</v>
      </c>
      <c r="G313" s="103"/>
      <c r="H313" s="102" t="s">
        <v>1256</v>
      </c>
      <c r="I313" s="9">
        <v>1</v>
      </c>
      <c r="J313" s="9">
        <v>48</v>
      </c>
      <c r="K313" s="100">
        <f t="shared" si="51"/>
        <v>48</v>
      </c>
      <c r="L313" s="78">
        <v>46112</v>
      </c>
      <c r="M313" s="103"/>
      <c r="N313" s="93" t="s">
        <v>143</v>
      </c>
      <c r="O313" s="94">
        <v>46141</v>
      </c>
      <c r="P313" s="104">
        <f t="shared" si="46"/>
        <v>48</v>
      </c>
      <c r="Q313" s="104">
        <f t="shared" si="47"/>
        <v>48</v>
      </c>
      <c r="R313" s="104"/>
      <c r="S313" s="93" t="s">
        <v>331</v>
      </c>
      <c r="T313" s="94">
        <v>46153</v>
      </c>
      <c r="U313" s="104">
        <f t="shared" si="48"/>
        <v>48</v>
      </c>
      <c r="V313" s="104">
        <f t="shared" si="49"/>
        <v>1</v>
      </c>
      <c r="W313" s="103">
        <f t="shared" si="50"/>
        <v>48</v>
      </c>
      <c r="X313" s="93" t="s">
        <v>89</v>
      </c>
      <c r="Y313" s="105" t="s">
        <v>84</v>
      </c>
      <c r="Z313" s="105" t="s">
        <v>93</v>
      </c>
    </row>
    <row r="314" spans="1:26" s="105" customFormat="1" ht="15" customHeight="1">
      <c r="A314" s="99">
        <f t="shared" si="45"/>
        <v>312</v>
      </c>
      <c r="B314" s="75" t="s">
        <v>1015</v>
      </c>
      <c r="C314" s="100" t="str">
        <f>IF($B314&lt;&gt;"",_xlfn.IFNA(VLOOKUP($B314,'Node Details'!$B:$U,C$1,0),"Check"),"")</f>
        <v>0000AXY10-AXY100104</v>
      </c>
      <c r="D314" s="100" t="str">
        <f>IF($B314&lt;&gt;"",_xlfn.IFNA(VLOOKUP($B314,'Node Details'!$B:$U,D$1,0),"Check"),"")</f>
        <v>AXY</v>
      </c>
      <c r="E314" s="100" t="str">
        <f>IF($B314&lt;&gt;"",_xlfn.IFNA(VLOOKUP($B314,'Node Details'!$B:$U,E$1,0),"Check"),"")</f>
        <v>Airtel</v>
      </c>
      <c r="F314" s="101">
        <v>46113</v>
      </c>
      <c r="G314" s="103"/>
      <c r="H314" s="102" t="s">
        <v>1256</v>
      </c>
      <c r="I314" s="9">
        <v>1</v>
      </c>
      <c r="J314" s="9">
        <v>48</v>
      </c>
      <c r="K314" s="100">
        <f t="shared" si="51"/>
        <v>48</v>
      </c>
      <c r="L314" s="78">
        <v>46112</v>
      </c>
      <c r="M314" s="103"/>
      <c r="N314" s="93" t="s">
        <v>143</v>
      </c>
      <c r="O314" s="94">
        <v>46141</v>
      </c>
      <c r="P314" s="104">
        <f t="shared" si="46"/>
        <v>48</v>
      </c>
      <c r="Q314" s="104">
        <f t="shared" si="47"/>
        <v>48</v>
      </c>
      <c r="R314" s="104"/>
      <c r="S314" s="93" t="s">
        <v>331</v>
      </c>
      <c r="T314" s="94">
        <v>46153</v>
      </c>
      <c r="U314" s="104">
        <f t="shared" si="48"/>
        <v>48</v>
      </c>
      <c r="V314" s="104">
        <f t="shared" si="49"/>
        <v>1</v>
      </c>
      <c r="W314" s="103">
        <f t="shared" si="50"/>
        <v>48</v>
      </c>
      <c r="X314" s="93" t="s">
        <v>89</v>
      </c>
      <c r="Y314" s="105" t="s">
        <v>84</v>
      </c>
      <c r="Z314" s="105" t="s">
        <v>93</v>
      </c>
    </row>
    <row r="315" spans="1:26" s="105" customFormat="1" ht="15" customHeight="1">
      <c r="A315" s="99">
        <f t="shared" si="45"/>
        <v>313</v>
      </c>
      <c r="B315" s="75" t="s">
        <v>1016</v>
      </c>
      <c r="C315" s="100" t="str">
        <f>IF($B315&lt;&gt;"",_xlfn.IFNA(VLOOKUP($B315,'Node Details'!$B:$U,C$1,0),"Check"),"")</f>
        <v>0000AXY10-AXY100104</v>
      </c>
      <c r="D315" s="100" t="str">
        <f>IF($B315&lt;&gt;"",_xlfn.IFNA(VLOOKUP($B315,'Node Details'!$B:$U,D$1,0),"Check"),"")</f>
        <v>AXY</v>
      </c>
      <c r="E315" s="100" t="str">
        <f>IF($B315&lt;&gt;"",_xlfn.IFNA(VLOOKUP($B315,'Node Details'!$B:$U,E$1,0),"Check"),"")</f>
        <v>Airtel</v>
      </c>
      <c r="F315" s="101">
        <v>46113</v>
      </c>
      <c r="G315" s="103"/>
      <c r="H315" s="102" t="s">
        <v>1256</v>
      </c>
      <c r="I315" s="9">
        <v>1</v>
      </c>
      <c r="J315" s="9">
        <v>48</v>
      </c>
      <c r="K315" s="100">
        <f t="shared" si="51"/>
        <v>48</v>
      </c>
      <c r="L315" s="78">
        <v>46112</v>
      </c>
      <c r="M315" s="103"/>
      <c r="N315" s="93" t="s">
        <v>143</v>
      </c>
      <c r="O315" s="94">
        <v>46141</v>
      </c>
      <c r="P315" s="104">
        <f t="shared" si="46"/>
        <v>48</v>
      </c>
      <c r="Q315" s="104">
        <f t="shared" si="47"/>
        <v>48</v>
      </c>
      <c r="R315" s="104"/>
      <c r="S315" s="93" t="s">
        <v>331</v>
      </c>
      <c r="T315" s="94">
        <v>46153</v>
      </c>
      <c r="U315" s="104">
        <f t="shared" si="48"/>
        <v>48</v>
      </c>
      <c r="V315" s="104">
        <f t="shared" si="49"/>
        <v>1</v>
      </c>
      <c r="W315" s="103">
        <f t="shared" si="50"/>
        <v>48</v>
      </c>
      <c r="X315" s="93" t="s">
        <v>89</v>
      </c>
      <c r="Y315" s="105" t="s">
        <v>84</v>
      </c>
      <c r="Z315" s="105" t="s">
        <v>93</v>
      </c>
    </row>
    <row r="316" spans="1:26" s="105" customFormat="1" ht="15" customHeight="1">
      <c r="A316" s="99">
        <f t="shared" si="45"/>
        <v>314</v>
      </c>
      <c r="B316" s="75" t="s">
        <v>265</v>
      </c>
      <c r="C316" s="100" t="str">
        <f>IF($B316&lt;&gt;"",_xlfn.IFNA(VLOOKUP($B316,'Node Details'!$B:$U,C$1,0),"Check"),"")</f>
        <v>0000AXY10-AXY100104</v>
      </c>
      <c r="D316" s="100" t="str">
        <f>IF($B316&lt;&gt;"",_xlfn.IFNA(VLOOKUP($B316,'Node Details'!$B:$U,D$1,0),"Check"),"")</f>
        <v>AXY</v>
      </c>
      <c r="E316" s="100" t="str">
        <f>IF($B316&lt;&gt;"",_xlfn.IFNA(VLOOKUP($B316,'Node Details'!$B:$U,E$1,0),"Check"),"")</f>
        <v>Airtel</v>
      </c>
      <c r="F316" s="101">
        <v>46113</v>
      </c>
      <c r="G316" s="103"/>
      <c r="H316" s="102" t="s">
        <v>1256</v>
      </c>
      <c r="I316" s="9">
        <v>1</v>
      </c>
      <c r="J316" s="9">
        <v>48</v>
      </c>
      <c r="K316" s="100">
        <f t="shared" si="51"/>
        <v>48</v>
      </c>
      <c r="L316" s="78">
        <v>46112</v>
      </c>
      <c r="M316" s="103"/>
      <c r="N316" s="93" t="s">
        <v>143</v>
      </c>
      <c r="O316" s="94">
        <v>46141</v>
      </c>
      <c r="P316" s="104">
        <f t="shared" si="46"/>
        <v>48</v>
      </c>
      <c r="Q316" s="104">
        <f t="shared" si="47"/>
        <v>48</v>
      </c>
      <c r="R316" s="104"/>
      <c r="S316" s="93" t="s">
        <v>331</v>
      </c>
      <c r="T316" s="94">
        <v>46153</v>
      </c>
      <c r="U316" s="104">
        <f t="shared" si="48"/>
        <v>48</v>
      </c>
      <c r="V316" s="104">
        <f t="shared" si="49"/>
        <v>1</v>
      </c>
      <c r="W316" s="103">
        <f t="shared" si="50"/>
        <v>48</v>
      </c>
      <c r="X316" s="93" t="s">
        <v>89</v>
      </c>
      <c r="Y316" s="105" t="s">
        <v>84</v>
      </c>
      <c r="Z316" s="105" t="s">
        <v>93</v>
      </c>
    </row>
    <row r="317" spans="1:26" s="105" customFormat="1" ht="15" customHeight="1">
      <c r="A317" s="99">
        <f t="shared" si="45"/>
        <v>315</v>
      </c>
      <c r="B317" s="75" t="s">
        <v>1017</v>
      </c>
      <c r="C317" s="100" t="str">
        <f>IF($B317&lt;&gt;"",_xlfn.IFNA(VLOOKUP($B317,'Node Details'!$B:$U,C$1,0),"Check"),"")</f>
        <v>0000AXY10-AXY100105</v>
      </c>
      <c r="D317" s="100" t="str">
        <f>IF($B317&lt;&gt;"",_xlfn.IFNA(VLOOKUP($B317,'Node Details'!$B:$U,D$1,0),"Check"),"")</f>
        <v>AXY</v>
      </c>
      <c r="E317" s="100" t="str">
        <f>IF($B317&lt;&gt;"",_xlfn.IFNA(VLOOKUP($B317,'Node Details'!$B:$U,E$1,0),"Check"),"")</f>
        <v>Airtel</v>
      </c>
      <c r="F317" s="101">
        <v>46113</v>
      </c>
      <c r="G317" s="103"/>
      <c r="H317" s="102" t="s">
        <v>1256</v>
      </c>
      <c r="I317" s="9">
        <v>1</v>
      </c>
      <c r="J317" s="9">
        <v>48</v>
      </c>
      <c r="K317" s="100">
        <f t="shared" si="51"/>
        <v>48</v>
      </c>
      <c r="L317" s="78">
        <v>46112</v>
      </c>
      <c r="M317" s="103"/>
      <c r="N317" s="93" t="s">
        <v>143</v>
      </c>
      <c r="O317" s="94">
        <v>46141</v>
      </c>
      <c r="P317" s="104">
        <f t="shared" si="46"/>
        <v>48</v>
      </c>
      <c r="Q317" s="104">
        <f t="shared" si="47"/>
        <v>48</v>
      </c>
      <c r="R317" s="104"/>
      <c r="S317" s="93" t="s">
        <v>331</v>
      </c>
      <c r="T317" s="94">
        <v>46153</v>
      </c>
      <c r="U317" s="104">
        <f t="shared" si="48"/>
        <v>48</v>
      </c>
      <c r="V317" s="104">
        <f t="shared" si="49"/>
        <v>1</v>
      </c>
      <c r="W317" s="103">
        <f t="shared" si="50"/>
        <v>48</v>
      </c>
      <c r="X317" s="93" t="s">
        <v>89</v>
      </c>
      <c r="Y317" s="105" t="s">
        <v>84</v>
      </c>
      <c r="Z317" s="105" t="s">
        <v>93</v>
      </c>
    </row>
    <row r="318" spans="1:26" s="105" customFormat="1" ht="15" customHeight="1">
      <c r="A318" s="99">
        <f t="shared" si="45"/>
        <v>316</v>
      </c>
      <c r="B318" s="75" t="s">
        <v>269</v>
      </c>
      <c r="C318" s="100" t="str">
        <f>IF($B318&lt;&gt;"",_xlfn.IFNA(VLOOKUP($B318,'Node Details'!$B:$U,C$1,0),"Check"),"")</f>
        <v>0000AXY10-AXY100105</v>
      </c>
      <c r="D318" s="100" t="str">
        <f>IF($B318&lt;&gt;"",_xlfn.IFNA(VLOOKUP($B318,'Node Details'!$B:$U,D$1,0),"Check"),"")</f>
        <v>AXY</v>
      </c>
      <c r="E318" s="100" t="str">
        <f>IF($B318&lt;&gt;"",_xlfn.IFNA(VLOOKUP($B318,'Node Details'!$B:$U,E$1,0),"Check"),"")</f>
        <v>Airtel</v>
      </c>
      <c r="F318" s="101">
        <v>46113</v>
      </c>
      <c r="G318" s="103"/>
      <c r="H318" s="102" t="s">
        <v>1256</v>
      </c>
      <c r="I318" s="9">
        <v>1</v>
      </c>
      <c r="J318" s="9">
        <v>48</v>
      </c>
      <c r="K318" s="100">
        <f t="shared" si="51"/>
        <v>48</v>
      </c>
      <c r="L318" s="78">
        <v>46112</v>
      </c>
      <c r="M318" s="103"/>
      <c r="N318" s="93" t="s">
        <v>143</v>
      </c>
      <c r="O318" s="94">
        <v>46141</v>
      </c>
      <c r="P318" s="104">
        <f t="shared" si="46"/>
        <v>48</v>
      </c>
      <c r="Q318" s="104">
        <f t="shared" si="47"/>
        <v>48</v>
      </c>
      <c r="R318" s="104"/>
      <c r="S318" s="93" t="s">
        <v>331</v>
      </c>
      <c r="T318" s="94">
        <v>46153</v>
      </c>
      <c r="U318" s="104">
        <f t="shared" si="48"/>
        <v>48</v>
      </c>
      <c r="V318" s="104">
        <f t="shared" si="49"/>
        <v>1</v>
      </c>
      <c r="W318" s="103">
        <f t="shared" si="50"/>
        <v>48</v>
      </c>
      <c r="X318" s="93" t="s">
        <v>89</v>
      </c>
      <c r="Y318" s="105" t="s">
        <v>84</v>
      </c>
      <c r="Z318" s="105" t="s">
        <v>93</v>
      </c>
    </row>
    <row r="319" spans="1:26" s="105" customFormat="1" ht="15" customHeight="1">
      <c r="A319" s="99">
        <f t="shared" si="45"/>
        <v>317</v>
      </c>
      <c r="B319" s="75" t="s">
        <v>1018</v>
      </c>
      <c r="C319" s="100" t="str">
        <f>IF($B319&lt;&gt;"",_xlfn.IFNA(VLOOKUP($B319,'Node Details'!$B:$U,C$1,0),"Check"),"")</f>
        <v>AXY100106-AXY100201</v>
      </c>
      <c r="D319" s="100" t="str">
        <f>IF($B319&lt;&gt;"",_xlfn.IFNA(VLOOKUP($B319,'Node Details'!$B:$U,D$1,0),"Check"),"")</f>
        <v>AXY</v>
      </c>
      <c r="E319" s="100" t="str">
        <f>IF($B319&lt;&gt;"",_xlfn.IFNA(VLOOKUP($B319,'Node Details'!$B:$U,E$1,0),"Check"),"")</f>
        <v>Airtel</v>
      </c>
      <c r="F319" s="101">
        <v>46113</v>
      </c>
      <c r="G319" s="103"/>
      <c r="H319" s="102" t="s">
        <v>1256</v>
      </c>
      <c r="I319" s="9">
        <v>1</v>
      </c>
      <c r="J319" s="9">
        <v>48</v>
      </c>
      <c r="K319" s="100">
        <f t="shared" si="51"/>
        <v>48</v>
      </c>
      <c r="L319" s="78">
        <v>46112</v>
      </c>
      <c r="M319" s="103"/>
      <c r="N319" s="93" t="s">
        <v>143</v>
      </c>
      <c r="O319" s="94">
        <v>46141</v>
      </c>
      <c r="P319" s="104">
        <f t="shared" si="46"/>
        <v>48</v>
      </c>
      <c r="Q319" s="104">
        <f t="shared" si="47"/>
        <v>48</v>
      </c>
      <c r="R319" s="104"/>
      <c r="S319" s="93" t="s">
        <v>331</v>
      </c>
      <c r="T319" s="94">
        <v>46153</v>
      </c>
      <c r="U319" s="104">
        <f t="shared" si="48"/>
        <v>48</v>
      </c>
      <c r="V319" s="104">
        <f t="shared" si="49"/>
        <v>1</v>
      </c>
      <c r="W319" s="103">
        <f t="shared" si="50"/>
        <v>48</v>
      </c>
      <c r="X319" s="93" t="s">
        <v>89</v>
      </c>
      <c r="Y319" s="105" t="s">
        <v>84</v>
      </c>
      <c r="Z319" s="105" t="s">
        <v>93</v>
      </c>
    </row>
    <row r="320" spans="1:26" s="105" customFormat="1" ht="15" customHeight="1">
      <c r="A320" s="99">
        <f t="shared" si="45"/>
        <v>318</v>
      </c>
      <c r="B320" s="75" t="s">
        <v>273</v>
      </c>
      <c r="C320" s="100" t="str">
        <f>IF($B320&lt;&gt;"",_xlfn.IFNA(VLOOKUP($B320,'Node Details'!$B:$U,C$1,0),"Check"),"")</f>
        <v>AXY100106-AXY100201</v>
      </c>
      <c r="D320" s="100" t="str">
        <f>IF($B320&lt;&gt;"",_xlfn.IFNA(VLOOKUP($B320,'Node Details'!$B:$U,D$1,0),"Check"),"")</f>
        <v>AXY</v>
      </c>
      <c r="E320" s="100" t="str">
        <f>IF($B320&lt;&gt;"",_xlfn.IFNA(VLOOKUP($B320,'Node Details'!$B:$U,E$1,0),"Check"),"")</f>
        <v>Airtel</v>
      </c>
      <c r="F320" s="101">
        <v>46113</v>
      </c>
      <c r="G320" s="103"/>
      <c r="H320" s="102" t="s">
        <v>1256</v>
      </c>
      <c r="I320" s="9">
        <v>1</v>
      </c>
      <c r="J320" s="9">
        <v>48</v>
      </c>
      <c r="K320" s="100">
        <f t="shared" si="51"/>
        <v>48</v>
      </c>
      <c r="L320" s="78">
        <v>46112</v>
      </c>
      <c r="M320" s="103"/>
      <c r="N320" s="93" t="s">
        <v>143</v>
      </c>
      <c r="O320" s="94">
        <v>46141</v>
      </c>
      <c r="P320" s="104">
        <f t="shared" si="46"/>
        <v>48</v>
      </c>
      <c r="Q320" s="104">
        <f t="shared" si="47"/>
        <v>48</v>
      </c>
      <c r="R320" s="104"/>
      <c r="S320" s="93" t="s">
        <v>331</v>
      </c>
      <c r="T320" s="94">
        <v>46153</v>
      </c>
      <c r="U320" s="104">
        <f t="shared" si="48"/>
        <v>48</v>
      </c>
      <c r="V320" s="104">
        <f t="shared" si="49"/>
        <v>1</v>
      </c>
      <c r="W320" s="103">
        <f t="shared" si="50"/>
        <v>48</v>
      </c>
      <c r="X320" s="93" t="s">
        <v>89</v>
      </c>
      <c r="Y320" s="105" t="s">
        <v>84</v>
      </c>
      <c r="Z320" s="105" t="s">
        <v>93</v>
      </c>
    </row>
    <row r="321" spans="1:26" s="105" customFormat="1" ht="15" customHeight="1">
      <c r="A321" s="99">
        <f t="shared" si="45"/>
        <v>319</v>
      </c>
      <c r="B321" s="75" t="s">
        <v>1019</v>
      </c>
      <c r="C321" s="100" t="str">
        <f>IF($B321&lt;&gt;"",_xlfn.IFNA(VLOOKUP($B321,'Node Details'!$B:$U,C$1,0),"Check"),"")</f>
        <v>000000AXY-0000AXY12</v>
      </c>
      <c r="D321" s="100" t="str">
        <f>IF($B321&lt;&gt;"",_xlfn.IFNA(VLOOKUP($B321,'Node Details'!$B:$U,D$1,0),"Check"),"")</f>
        <v>AXY</v>
      </c>
      <c r="E321" s="100" t="str">
        <f>IF($B321&lt;&gt;"",_xlfn.IFNA(VLOOKUP($B321,'Node Details'!$B:$U,E$1,0),"Check"),"")</f>
        <v>Airtel</v>
      </c>
      <c r="F321" s="101">
        <v>46113</v>
      </c>
      <c r="G321" s="103"/>
      <c r="H321" s="102" t="s">
        <v>1256</v>
      </c>
      <c r="I321" s="9">
        <v>1</v>
      </c>
      <c r="J321" s="9">
        <v>48</v>
      </c>
      <c r="K321" s="100">
        <f t="shared" si="51"/>
        <v>48</v>
      </c>
      <c r="L321" s="78">
        <v>46112</v>
      </c>
      <c r="M321" s="103"/>
      <c r="N321" s="93" t="s">
        <v>143</v>
      </c>
      <c r="O321" s="94">
        <v>46141</v>
      </c>
      <c r="P321" s="104">
        <f t="shared" si="46"/>
        <v>48</v>
      </c>
      <c r="Q321" s="104">
        <f t="shared" si="47"/>
        <v>48</v>
      </c>
      <c r="R321" s="104"/>
      <c r="S321" s="93" t="s">
        <v>331</v>
      </c>
      <c r="T321" s="94">
        <v>46153</v>
      </c>
      <c r="U321" s="104">
        <f t="shared" si="48"/>
        <v>48</v>
      </c>
      <c r="V321" s="104">
        <f t="shared" si="49"/>
        <v>1</v>
      </c>
      <c r="W321" s="103">
        <f t="shared" si="50"/>
        <v>48</v>
      </c>
      <c r="X321" s="93" t="s">
        <v>89</v>
      </c>
      <c r="Y321" s="105" t="s">
        <v>84</v>
      </c>
      <c r="Z321" s="105" t="s">
        <v>93</v>
      </c>
    </row>
    <row r="322" spans="1:26" s="105" customFormat="1" ht="15" customHeight="1">
      <c r="A322" s="99">
        <f t="shared" si="45"/>
        <v>320</v>
      </c>
      <c r="B322" s="75" t="s">
        <v>1020</v>
      </c>
      <c r="C322" s="100" t="str">
        <f>IF($B322&lt;&gt;"",_xlfn.IFNA(VLOOKUP($B322,'Node Details'!$B:$U,C$1,0),"Check"),"")</f>
        <v>0000AXY11-AXY110102</v>
      </c>
      <c r="D322" s="100" t="str">
        <f>IF($B322&lt;&gt;"",_xlfn.IFNA(VLOOKUP($B322,'Node Details'!$B:$U,D$1,0),"Check"),"")</f>
        <v>AXY</v>
      </c>
      <c r="E322" s="100" t="str">
        <f>IF($B322&lt;&gt;"",_xlfn.IFNA(VLOOKUP($B322,'Node Details'!$B:$U,E$1,0),"Check"),"")</f>
        <v>Airtel</v>
      </c>
      <c r="F322" s="101">
        <v>46113</v>
      </c>
      <c r="G322" s="103"/>
      <c r="H322" s="102" t="s">
        <v>1256</v>
      </c>
      <c r="I322" s="9">
        <v>1</v>
      </c>
      <c r="J322" s="9">
        <v>48</v>
      </c>
      <c r="K322" s="100">
        <f t="shared" si="51"/>
        <v>48</v>
      </c>
      <c r="L322" s="78">
        <v>46112</v>
      </c>
      <c r="M322" s="103"/>
      <c r="N322" s="93" t="s">
        <v>143</v>
      </c>
      <c r="O322" s="94">
        <v>46141</v>
      </c>
      <c r="P322" s="104">
        <f t="shared" si="46"/>
        <v>48</v>
      </c>
      <c r="Q322" s="104">
        <f t="shared" si="47"/>
        <v>48</v>
      </c>
      <c r="R322" s="104"/>
      <c r="S322" s="93" t="s">
        <v>331</v>
      </c>
      <c r="T322" s="94">
        <v>46153</v>
      </c>
      <c r="U322" s="104">
        <f t="shared" si="48"/>
        <v>48</v>
      </c>
      <c r="V322" s="104">
        <f t="shared" si="49"/>
        <v>1</v>
      </c>
      <c r="W322" s="103">
        <f t="shared" si="50"/>
        <v>48</v>
      </c>
      <c r="X322" s="93" t="s">
        <v>89</v>
      </c>
      <c r="Y322" s="105" t="s">
        <v>84</v>
      </c>
      <c r="Z322" s="105" t="s">
        <v>93</v>
      </c>
    </row>
    <row r="323" spans="1:26" s="105" customFormat="1" ht="15" customHeight="1">
      <c r="A323" s="99">
        <f t="shared" si="45"/>
        <v>321</v>
      </c>
      <c r="B323" s="75" t="s">
        <v>277</v>
      </c>
      <c r="C323" s="100" t="str">
        <f>IF($B323&lt;&gt;"",_xlfn.IFNA(VLOOKUP($B323,'Node Details'!$B:$U,C$1,0),"Check"),"")</f>
        <v>0000AXY11-AXY110102</v>
      </c>
      <c r="D323" s="100" t="str">
        <f>IF($B323&lt;&gt;"",_xlfn.IFNA(VLOOKUP($B323,'Node Details'!$B:$U,D$1,0),"Check"),"")</f>
        <v>AXY</v>
      </c>
      <c r="E323" s="100" t="str">
        <f>IF($B323&lt;&gt;"",_xlfn.IFNA(VLOOKUP($B323,'Node Details'!$B:$U,E$1,0),"Check"),"")</f>
        <v>Airtel</v>
      </c>
      <c r="F323" s="101">
        <v>46113</v>
      </c>
      <c r="G323" s="103"/>
      <c r="H323" s="102" t="s">
        <v>1256</v>
      </c>
      <c r="I323" s="9">
        <v>1</v>
      </c>
      <c r="J323" s="9">
        <v>48</v>
      </c>
      <c r="K323" s="100">
        <f t="shared" si="51"/>
        <v>48</v>
      </c>
      <c r="L323" s="78">
        <v>46112</v>
      </c>
      <c r="M323" s="103"/>
      <c r="N323" s="93" t="s">
        <v>143</v>
      </c>
      <c r="O323" s="94">
        <v>46141</v>
      </c>
      <c r="P323" s="104">
        <f t="shared" si="46"/>
        <v>48</v>
      </c>
      <c r="Q323" s="104">
        <f t="shared" si="47"/>
        <v>48</v>
      </c>
      <c r="R323" s="104"/>
      <c r="S323" s="93" t="s">
        <v>331</v>
      </c>
      <c r="T323" s="94">
        <v>46153</v>
      </c>
      <c r="U323" s="104">
        <f t="shared" si="48"/>
        <v>48</v>
      </c>
      <c r="V323" s="104">
        <f t="shared" si="49"/>
        <v>1</v>
      </c>
      <c r="W323" s="103">
        <f t="shared" si="50"/>
        <v>48</v>
      </c>
      <c r="X323" s="93" t="s">
        <v>89</v>
      </c>
      <c r="Y323" s="105" t="s">
        <v>84</v>
      </c>
      <c r="Z323" s="105" t="s">
        <v>93</v>
      </c>
    </row>
    <row r="324" spans="1:26" s="105" customFormat="1" ht="15" customHeight="1">
      <c r="A324" s="99">
        <f t="shared" ref="A324:A387" si="52">A323+1</f>
        <v>322</v>
      </c>
      <c r="B324" s="75" t="s">
        <v>1021</v>
      </c>
      <c r="C324" s="100" t="str">
        <f>IF($B324&lt;&gt;"",_xlfn.IFNA(VLOOKUP($B324,'Node Details'!$B:$U,C$1,0),"Check"),"")</f>
        <v>0000AXY11-AXY110107</v>
      </c>
      <c r="D324" s="100" t="str">
        <f>IF($B324&lt;&gt;"",_xlfn.IFNA(VLOOKUP($B324,'Node Details'!$B:$U,D$1,0),"Check"),"")</f>
        <v>AXY</v>
      </c>
      <c r="E324" s="100" t="str">
        <f>IF($B324&lt;&gt;"",_xlfn.IFNA(VLOOKUP($B324,'Node Details'!$B:$U,E$1,0),"Check"),"")</f>
        <v>Airtel</v>
      </c>
      <c r="F324" s="101">
        <v>46113</v>
      </c>
      <c r="G324" s="103"/>
      <c r="H324" s="102" t="s">
        <v>1256</v>
      </c>
      <c r="I324" s="9">
        <v>1</v>
      </c>
      <c r="J324" s="9">
        <v>48</v>
      </c>
      <c r="K324" s="100">
        <f t="shared" si="51"/>
        <v>48</v>
      </c>
      <c r="L324" s="78">
        <v>46112</v>
      </c>
      <c r="M324" s="103"/>
      <c r="N324" s="93" t="s">
        <v>143</v>
      </c>
      <c r="O324" s="94">
        <v>46141</v>
      </c>
      <c r="P324" s="104">
        <f t="shared" si="46"/>
        <v>48</v>
      </c>
      <c r="Q324" s="104">
        <f t="shared" si="47"/>
        <v>48</v>
      </c>
      <c r="R324" s="104"/>
      <c r="S324" s="93" t="s">
        <v>331</v>
      </c>
      <c r="T324" s="94">
        <v>46153</v>
      </c>
      <c r="U324" s="104">
        <f t="shared" si="48"/>
        <v>48</v>
      </c>
      <c r="V324" s="104">
        <f t="shared" si="49"/>
        <v>1</v>
      </c>
      <c r="W324" s="103">
        <f t="shared" si="50"/>
        <v>48</v>
      </c>
      <c r="X324" s="93" t="s">
        <v>89</v>
      </c>
      <c r="Y324" s="105" t="s">
        <v>84</v>
      </c>
      <c r="Z324" s="105" t="s">
        <v>93</v>
      </c>
    </row>
    <row r="325" spans="1:26" s="105" customFormat="1" ht="15" customHeight="1">
      <c r="A325" s="99">
        <f t="shared" si="52"/>
        <v>323</v>
      </c>
      <c r="B325" s="75" t="s">
        <v>280</v>
      </c>
      <c r="C325" s="100" t="str">
        <f>IF($B325&lt;&gt;"",_xlfn.IFNA(VLOOKUP($B325,'Node Details'!$B:$U,C$1,0),"Check"),"")</f>
        <v>0000AXY11-AXY110107</v>
      </c>
      <c r="D325" s="100" t="str">
        <f>IF($B325&lt;&gt;"",_xlfn.IFNA(VLOOKUP($B325,'Node Details'!$B:$U,D$1,0),"Check"),"")</f>
        <v>AXY</v>
      </c>
      <c r="E325" s="100" t="str">
        <f>IF($B325&lt;&gt;"",_xlfn.IFNA(VLOOKUP($B325,'Node Details'!$B:$U,E$1,0),"Check"),"")</f>
        <v>Airtel</v>
      </c>
      <c r="F325" s="101">
        <v>46113</v>
      </c>
      <c r="G325" s="103"/>
      <c r="H325" s="102" t="s">
        <v>1256</v>
      </c>
      <c r="I325" s="9">
        <v>1</v>
      </c>
      <c r="J325" s="9">
        <v>48</v>
      </c>
      <c r="K325" s="100">
        <f t="shared" si="51"/>
        <v>48</v>
      </c>
      <c r="L325" s="78">
        <v>46112</v>
      </c>
      <c r="M325" s="103"/>
      <c r="N325" s="93" t="s">
        <v>143</v>
      </c>
      <c r="O325" s="94">
        <v>46141</v>
      </c>
      <c r="P325" s="104">
        <f t="shared" si="46"/>
        <v>48</v>
      </c>
      <c r="Q325" s="104">
        <f t="shared" si="47"/>
        <v>48</v>
      </c>
      <c r="R325" s="104"/>
      <c r="S325" s="93" t="s">
        <v>331</v>
      </c>
      <c r="T325" s="94">
        <v>46153</v>
      </c>
      <c r="U325" s="104">
        <f t="shared" si="48"/>
        <v>48</v>
      </c>
      <c r="V325" s="104">
        <f t="shared" si="49"/>
        <v>1</v>
      </c>
      <c r="W325" s="103">
        <f t="shared" si="50"/>
        <v>48</v>
      </c>
      <c r="X325" s="93" t="s">
        <v>89</v>
      </c>
      <c r="Y325" s="105" t="s">
        <v>84</v>
      </c>
      <c r="Z325" s="105" t="s">
        <v>93</v>
      </c>
    </row>
    <row r="326" spans="1:26" s="105" customFormat="1" ht="15" customHeight="1">
      <c r="A326" s="99">
        <f t="shared" si="52"/>
        <v>324</v>
      </c>
      <c r="B326" s="75" t="s">
        <v>1022</v>
      </c>
      <c r="C326" s="100" t="str">
        <f>IF($B326&lt;&gt;"",_xlfn.IFNA(VLOOKUP($B326,'Node Details'!$B:$U,C$1,0),"Check"),"")</f>
        <v>AXY110103-AXY110106</v>
      </c>
      <c r="D326" s="100" t="str">
        <f>IF($B326&lt;&gt;"",_xlfn.IFNA(VLOOKUP($B326,'Node Details'!$B:$U,D$1,0),"Check"),"")</f>
        <v>AXY</v>
      </c>
      <c r="E326" s="100" t="str">
        <f>IF($B326&lt;&gt;"",_xlfn.IFNA(VLOOKUP($B326,'Node Details'!$B:$U,E$1,0),"Check"),"")</f>
        <v>Airtel</v>
      </c>
      <c r="F326" s="101">
        <v>46113</v>
      </c>
      <c r="G326" s="103"/>
      <c r="H326" s="102" t="s">
        <v>1256</v>
      </c>
      <c r="I326" s="9">
        <v>1</v>
      </c>
      <c r="J326" s="9">
        <v>48</v>
      </c>
      <c r="K326" s="100">
        <f t="shared" si="51"/>
        <v>48</v>
      </c>
      <c r="L326" s="78">
        <v>46112</v>
      </c>
      <c r="M326" s="103"/>
      <c r="N326" s="93" t="s">
        <v>143</v>
      </c>
      <c r="O326" s="94">
        <v>46141</v>
      </c>
      <c r="P326" s="104">
        <f t="shared" si="46"/>
        <v>48</v>
      </c>
      <c r="Q326" s="104">
        <f t="shared" si="47"/>
        <v>48</v>
      </c>
      <c r="R326" s="104"/>
      <c r="S326" s="93" t="s">
        <v>331</v>
      </c>
      <c r="T326" s="94">
        <v>46153</v>
      </c>
      <c r="U326" s="104">
        <f t="shared" si="48"/>
        <v>48</v>
      </c>
      <c r="V326" s="104">
        <f t="shared" si="49"/>
        <v>1</v>
      </c>
      <c r="W326" s="103">
        <f t="shared" si="50"/>
        <v>48</v>
      </c>
      <c r="X326" s="93" t="s">
        <v>89</v>
      </c>
      <c r="Y326" s="105" t="s">
        <v>84</v>
      </c>
      <c r="Z326" s="105" t="s">
        <v>93</v>
      </c>
    </row>
    <row r="327" spans="1:26" s="105" customFormat="1" ht="15" customHeight="1">
      <c r="A327" s="99">
        <f t="shared" si="52"/>
        <v>325</v>
      </c>
      <c r="B327" s="75" t="s">
        <v>284</v>
      </c>
      <c r="C327" s="100" t="str">
        <f>IF($B327&lt;&gt;"",_xlfn.IFNA(VLOOKUP($B327,'Node Details'!$B:$U,C$1,0),"Check"),"")</f>
        <v>AXY110103-AXY110106</v>
      </c>
      <c r="D327" s="100" t="str">
        <f>IF($B327&lt;&gt;"",_xlfn.IFNA(VLOOKUP($B327,'Node Details'!$B:$U,D$1,0),"Check"),"")</f>
        <v>AXY</v>
      </c>
      <c r="E327" s="100" t="str">
        <f>IF($B327&lt;&gt;"",_xlfn.IFNA(VLOOKUP($B327,'Node Details'!$B:$U,E$1,0),"Check"),"")</f>
        <v>Airtel</v>
      </c>
      <c r="F327" s="101">
        <v>46113</v>
      </c>
      <c r="G327" s="103"/>
      <c r="H327" s="102" t="s">
        <v>1256</v>
      </c>
      <c r="I327" s="9">
        <v>1</v>
      </c>
      <c r="J327" s="9">
        <v>48</v>
      </c>
      <c r="K327" s="100">
        <f t="shared" si="51"/>
        <v>48</v>
      </c>
      <c r="L327" s="78">
        <v>46112</v>
      </c>
      <c r="M327" s="103"/>
      <c r="N327" s="93" t="s">
        <v>143</v>
      </c>
      <c r="O327" s="94">
        <v>46141</v>
      </c>
      <c r="P327" s="104">
        <f t="shared" si="46"/>
        <v>48</v>
      </c>
      <c r="Q327" s="104">
        <f t="shared" si="47"/>
        <v>48</v>
      </c>
      <c r="R327" s="104"/>
      <c r="S327" s="93" t="s">
        <v>331</v>
      </c>
      <c r="T327" s="94">
        <v>46153</v>
      </c>
      <c r="U327" s="104">
        <f t="shared" si="48"/>
        <v>48</v>
      </c>
      <c r="V327" s="104">
        <f t="shared" si="49"/>
        <v>1</v>
      </c>
      <c r="W327" s="103">
        <f t="shared" si="50"/>
        <v>48</v>
      </c>
      <c r="X327" s="93" t="s">
        <v>89</v>
      </c>
      <c r="Y327" s="105" t="s">
        <v>84</v>
      </c>
      <c r="Z327" s="105" t="s">
        <v>93</v>
      </c>
    </row>
    <row r="328" spans="1:26" s="105" customFormat="1" ht="15" customHeight="1">
      <c r="A328" s="99">
        <f t="shared" si="52"/>
        <v>326</v>
      </c>
      <c r="B328" s="75" t="s">
        <v>1023</v>
      </c>
      <c r="C328" s="100" t="str">
        <f>IF($B328&lt;&gt;"",_xlfn.IFNA(VLOOKUP($B328,'Node Details'!$B:$U,C$1,0),"Check"),"")</f>
        <v>AXY110107-AXY110202</v>
      </c>
      <c r="D328" s="100" t="str">
        <f>IF($B328&lt;&gt;"",_xlfn.IFNA(VLOOKUP($B328,'Node Details'!$B:$U,D$1,0),"Check"),"")</f>
        <v>AXY</v>
      </c>
      <c r="E328" s="100" t="str">
        <f>IF($B328&lt;&gt;"",_xlfn.IFNA(VLOOKUP($B328,'Node Details'!$B:$U,E$1,0),"Check"),"")</f>
        <v>Airtel</v>
      </c>
      <c r="F328" s="101">
        <v>46113</v>
      </c>
      <c r="G328" s="103"/>
      <c r="H328" s="102" t="s">
        <v>1256</v>
      </c>
      <c r="I328" s="9">
        <v>1</v>
      </c>
      <c r="J328" s="9">
        <v>48</v>
      </c>
      <c r="K328" s="100">
        <f t="shared" si="51"/>
        <v>48</v>
      </c>
      <c r="L328" s="78">
        <v>46112</v>
      </c>
      <c r="M328" s="103"/>
      <c r="N328" s="93" t="s">
        <v>143</v>
      </c>
      <c r="O328" s="94">
        <v>46141</v>
      </c>
      <c r="P328" s="104">
        <f t="shared" si="46"/>
        <v>48</v>
      </c>
      <c r="Q328" s="104">
        <f t="shared" si="47"/>
        <v>48</v>
      </c>
      <c r="R328" s="104"/>
      <c r="S328" s="93" t="s">
        <v>331</v>
      </c>
      <c r="T328" s="94">
        <v>46153</v>
      </c>
      <c r="U328" s="104">
        <f t="shared" si="48"/>
        <v>48</v>
      </c>
      <c r="V328" s="104">
        <f t="shared" si="49"/>
        <v>1</v>
      </c>
      <c r="W328" s="103">
        <f t="shared" si="50"/>
        <v>48</v>
      </c>
      <c r="X328" s="93" t="s">
        <v>89</v>
      </c>
      <c r="Y328" s="105" t="s">
        <v>84</v>
      </c>
      <c r="Z328" s="105" t="s">
        <v>93</v>
      </c>
    </row>
    <row r="329" spans="1:26" s="105" customFormat="1" ht="15" customHeight="1">
      <c r="A329" s="99">
        <f t="shared" si="52"/>
        <v>327</v>
      </c>
      <c r="B329" s="75" t="s">
        <v>287</v>
      </c>
      <c r="C329" s="100" t="str">
        <f>IF($B329&lt;&gt;"",_xlfn.IFNA(VLOOKUP($B329,'Node Details'!$B:$U,C$1,0),"Check"),"")</f>
        <v>AXY110107-AXY110202</v>
      </c>
      <c r="D329" s="100" t="str">
        <f>IF($B329&lt;&gt;"",_xlfn.IFNA(VLOOKUP($B329,'Node Details'!$B:$U,D$1,0),"Check"),"")</f>
        <v>AXY</v>
      </c>
      <c r="E329" s="100" t="str">
        <f>IF($B329&lt;&gt;"",_xlfn.IFNA(VLOOKUP($B329,'Node Details'!$B:$U,E$1,0),"Check"),"")</f>
        <v>Airtel</v>
      </c>
      <c r="F329" s="101">
        <v>46113</v>
      </c>
      <c r="G329" s="103"/>
      <c r="H329" s="102" t="s">
        <v>1256</v>
      </c>
      <c r="I329" s="9">
        <v>1</v>
      </c>
      <c r="J329" s="9">
        <v>48</v>
      </c>
      <c r="K329" s="100">
        <f t="shared" si="51"/>
        <v>48</v>
      </c>
      <c r="L329" s="78">
        <v>46112</v>
      </c>
      <c r="M329" s="103"/>
      <c r="N329" s="93" t="s">
        <v>143</v>
      </c>
      <c r="O329" s="94">
        <v>46141</v>
      </c>
      <c r="P329" s="104">
        <f t="shared" si="46"/>
        <v>48</v>
      </c>
      <c r="Q329" s="104">
        <f t="shared" si="47"/>
        <v>48</v>
      </c>
      <c r="R329" s="104"/>
      <c r="S329" s="93" t="s">
        <v>331</v>
      </c>
      <c r="T329" s="94">
        <v>46153</v>
      </c>
      <c r="U329" s="104">
        <f t="shared" si="48"/>
        <v>48</v>
      </c>
      <c r="V329" s="104">
        <f t="shared" si="49"/>
        <v>1</v>
      </c>
      <c r="W329" s="103">
        <f t="shared" si="50"/>
        <v>48</v>
      </c>
      <c r="X329" s="93" t="s">
        <v>89</v>
      </c>
      <c r="Y329" s="105" t="s">
        <v>84</v>
      </c>
      <c r="Z329" s="105" t="s">
        <v>93</v>
      </c>
    </row>
    <row r="330" spans="1:26" s="105" customFormat="1" ht="15" customHeight="1">
      <c r="A330" s="99">
        <f t="shared" si="52"/>
        <v>328</v>
      </c>
      <c r="B330" s="75" t="s">
        <v>291</v>
      </c>
      <c r="C330" s="100" t="str">
        <f>IF($B330&lt;&gt;"",_xlfn.IFNA(VLOOKUP($B330,'Node Details'!$B:$U,C$1,0),"Check"),"")</f>
        <v>AXY110108-AXY110201</v>
      </c>
      <c r="D330" s="100" t="str">
        <f>IF($B330&lt;&gt;"",_xlfn.IFNA(VLOOKUP($B330,'Node Details'!$B:$U,D$1,0),"Check"),"")</f>
        <v>AXY</v>
      </c>
      <c r="E330" s="100" t="str">
        <f>IF($B330&lt;&gt;"",_xlfn.IFNA(VLOOKUP($B330,'Node Details'!$B:$U,E$1,0),"Check"),"")</f>
        <v>Airtel</v>
      </c>
      <c r="F330" s="101">
        <v>46113</v>
      </c>
      <c r="G330" s="103"/>
      <c r="H330" s="102" t="s">
        <v>1256</v>
      </c>
      <c r="I330" s="9">
        <v>1</v>
      </c>
      <c r="J330" s="9">
        <v>48</v>
      </c>
      <c r="K330" s="100">
        <f t="shared" si="51"/>
        <v>48</v>
      </c>
      <c r="L330" s="78">
        <v>46112</v>
      </c>
      <c r="M330" s="103"/>
      <c r="N330" s="93" t="s">
        <v>143</v>
      </c>
      <c r="O330" s="94">
        <v>46141</v>
      </c>
      <c r="P330" s="104">
        <f t="shared" si="46"/>
        <v>48</v>
      </c>
      <c r="Q330" s="104">
        <f t="shared" si="47"/>
        <v>48</v>
      </c>
      <c r="R330" s="104"/>
      <c r="S330" s="93" t="s">
        <v>331</v>
      </c>
      <c r="T330" s="94">
        <v>46153</v>
      </c>
      <c r="U330" s="104">
        <f t="shared" si="48"/>
        <v>48</v>
      </c>
      <c r="V330" s="104">
        <f t="shared" si="49"/>
        <v>1</v>
      </c>
      <c r="W330" s="103">
        <f t="shared" si="50"/>
        <v>48</v>
      </c>
      <c r="X330" s="93" t="s">
        <v>89</v>
      </c>
      <c r="Y330" s="105" t="s">
        <v>84</v>
      </c>
      <c r="Z330" s="105" t="s">
        <v>93</v>
      </c>
    </row>
    <row r="331" spans="1:26" s="105" customFormat="1" ht="15" customHeight="1">
      <c r="A331" s="99">
        <f t="shared" si="52"/>
        <v>329</v>
      </c>
      <c r="B331" s="75" t="s">
        <v>141</v>
      </c>
      <c r="C331" s="100" t="str">
        <f>IF($B331&lt;&gt;"",_xlfn.IFNA(VLOOKUP($B331,'Node Details'!$B:$U,C$1,0),"Check"),"")</f>
        <v>000000AXY-0000AXY12</v>
      </c>
      <c r="D331" s="100" t="str">
        <f>IF($B331&lt;&gt;"",_xlfn.IFNA(VLOOKUP($B331,'Node Details'!$B:$U,D$1,0),"Check"),"")</f>
        <v>AXY</v>
      </c>
      <c r="E331" s="100" t="str">
        <f>IF($B331&lt;&gt;"",_xlfn.IFNA(VLOOKUP($B331,'Node Details'!$B:$U,E$1,0),"Check"),"")</f>
        <v>Airtel</v>
      </c>
      <c r="F331" s="101">
        <v>46113</v>
      </c>
      <c r="G331" s="103"/>
      <c r="H331" s="102" t="s">
        <v>1256</v>
      </c>
      <c r="I331" s="9">
        <v>1</v>
      </c>
      <c r="J331" s="9">
        <v>48</v>
      </c>
      <c r="K331" s="100">
        <f t="shared" si="51"/>
        <v>48</v>
      </c>
      <c r="L331" s="78">
        <v>46112</v>
      </c>
      <c r="M331" s="103"/>
      <c r="N331" s="93" t="s">
        <v>143</v>
      </c>
      <c r="O331" s="94">
        <v>46141</v>
      </c>
      <c r="P331" s="104">
        <f t="shared" si="46"/>
        <v>48</v>
      </c>
      <c r="Q331" s="104">
        <f t="shared" si="47"/>
        <v>48</v>
      </c>
      <c r="R331" s="104"/>
      <c r="S331" s="93" t="s">
        <v>331</v>
      </c>
      <c r="T331" s="94">
        <v>46153</v>
      </c>
      <c r="U331" s="104">
        <f t="shared" si="48"/>
        <v>48</v>
      </c>
      <c r="V331" s="104">
        <f t="shared" si="49"/>
        <v>1</v>
      </c>
      <c r="W331" s="103">
        <f t="shared" si="50"/>
        <v>48</v>
      </c>
      <c r="X331" s="93" t="s">
        <v>89</v>
      </c>
      <c r="Y331" s="105" t="s">
        <v>84</v>
      </c>
      <c r="Z331" s="105" t="s">
        <v>93</v>
      </c>
    </row>
    <row r="332" spans="1:26" s="105" customFormat="1" ht="15" customHeight="1">
      <c r="A332" s="99">
        <f t="shared" si="52"/>
        <v>330</v>
      </c>
      <c r="B332" s="75" t="s">
        <v>295</v>
      </c>
      <c r="C332" s="100" t="str">
        <f>IF($B332&lt;&gt;"",_xlfn.IFNA(VLOOKUP($B332,'Node Details'!$B:$U,C$1,0),"Check"),"")</f>
        <v>0000AXY12-AXY120101</v>
      </c>
      <c r="D332" s="100" t="str">
        <f>IF($B332&lt;&gt;"",_xlfn.IFNA(VLOOKUP($B332,'Node Details'!$B:$U,D$1,0),"Check"),"")</f>
        <v>AXY</v>
      </c>
      <c r="E332" s="100" t="str">
        <f>IF($B332&lt;&gt;"",_xlfn.IFNA(VLOOKUP($B332,'Node Details'!$B:$U,E$1,0),"Check"),"")</f>
        <v>Airtel</v>
      </c>
      <c r="F332" s="101">
        <v>46113</v>
      </c>
      <c r="G332" s="103"/>
      <c r="H332" s="102" t="s">
        <v>1256</v>
      </c>
      <c r="I332" s="9">
        <v>1</v>
      </c>
      <c r="J332" s="9">
        <v>48</v>
      </c>
      <c r="K332" s="100">
        <f t="shared" si="51"/>
        <v>48</v>
      </c>
      <c r="L332" s="78">
        <v>46112</v>
      </c>
      <c r="M332" s="103"/>
      <c r="N332" s="93" t="s">
        <v>143</v>
      </c>
      <c r="O332" s="94">
        <v>46141</v>
      </c>
      <c r="P332" s="104">
        <f t="shared" si="46"/>
        <v>48</v>
      </c>
      <c r="Q332" s="104">
        <f t="shared" si="47"/>
        <v>48</v>
      </c>
      <c r="R332" s="104"/>
      <c r="S332" s="93" t="s">
        <v>331</v>
      </c>
      <c r="T332" s="94">
        <v>46153</v>
      </c>
      <c r="U332" s="104">
        <f t="shared" si="48"/>
        <v>48</v>
      </c>
      <c r="V332" s="104">
        <f t="shared" si="49"/>
        <v>1</v>
      </c>
      <c r="W332" s="103">
        <f t="shared" si="50"/>
        <v>48</v>
      </c>
      <c r="X332" s="93" t="s">
        <v>89</v>
      </c>
      <c r="Y332" s="105" t="s">
        <v>84</v>
      </c>
      <c r="Z332" s="105" t="s">
        <v>93</v>
      </c>
    </row>
    <row r="333" spans="1:26" s="105" customFormat="1" ht="15" customHeight="1">
      <c r="A333" s="99">
        <f t="shared" si="52"/>
        <v>331</v>
      </c>
      <c r="B333" s="75" t="s">
        <v>299</v>
      </c>
      <c r="C333" s="100" t="str">
        <f>IF($B333&lt;&gt;"",_xlfn.IFNA(VLOOKUP($B333,'Node Details'!$B:$U,C$1,0),"Check"),"")</f>
        <v>0000AXY12-AXY120102</v>
      </c>
      <c r="D333" s="100" t="str">
        <f>IF($B333&lt;&gt;"",_xlfn.IFNA(VLOOKUP($B333,'Node Details'!$B:$U,D$1,0),"Check"),"")</f>
        <v>AXY</v>
      </c>
      <c r="E333" s="100" t="str">
        <f>IF($B333&lt;&gt;"",_xlfn.IFNA(VLOOKUP($B333,'Node Details'!$B:$U,E$1,0),"Check"),"")</f>
        <v>Airtel</v>
      </c>
      <c r="F333" s="101">
        <v>46113</v>
      </c>
      <c r="G333" s="103"/>
      <c r="H333" s="102" t="s">
        <v>1256</v>
      </c>
      <c r="I333" s="9">
        <v>1</v>
      </c>
      <c r="J333" s="9">
        <v>48</v>
      </c>
      <c r="K333" s="100">
        <f t="shared" si="51"/>
        <v>48</v>
      </c>
      <c r="L333" s="78">
        <v>46112</v>
      </c>
      <c r="M333" s="103"/>
      <c r="N333" s="93" t="s">
        <v>143</v>
      </c>
      <c r="O333" s="94">
        <v>46141</v>
      </c>
      <c r="P333" s="104">
        <f t="shared" si="46"/>
        <v>48</v>
      </c>
      <c r="Q333" s="104">
        <f t="shared" si="47"/>
        <v>48</v>
      </c>
      <c r="R333" s="104"/>
      <c r="S333" s="93" t="s">
        <v>331</v>
      </c>
      <c r="T333" s="94">
        <v>46153</v>
      </c>
      <c r="U333" s="104">
        <f t="shared" si="48"/>
        <v>48</v>
      </c>
      <c r="V333" s="104">
        <f t="shared" si="49"/>
        <v>1</v>
      </c>
      <c r="W333" s="103">
        <f t="shared" si="50"/>
        <v>48</v>
      </c>
      <c r="X333" s="93" t="s">
        <v>89</v>
      </c>
      <c r="Y333" s="105" t="s">
        <v>84</v>
      </c>
      <c r="Z333" s="105" t="s">
        <v>93</v>
      </c>
    </row>
    <row r="334" spans="1:26" s="105" customFormat="1" ht="15" customHeight="1">
      <c r="A334" s="99">
        <f t="shared" si="52"/>
        <v>332</v>
      </c>
      <c r="B334" s="75" t="s">
        <v>1024</v>
      </c>
      <c r="C334" s="100" t="str">
        <f>IF($B334&lt;&gt;"",_xlfn.IFNA(VLOOKUP($B334,'Node Details'!$B:$U,C$1,0),"Check"),"")</f>
        <v>0000AXY12-AXY120105</v>
      </c>
      <c r="D334" s="100" t="str">
        <f>IF($B334&lt;&gt;"",_xlfn.IFNA(VLOOKUP($B334,'Node Details'!$B:$U,D$1,0),"Check"),"")</f>
        <v>AXY</v>
      </c>
      <c r="E334" s="100" t="str">
        <f>IF($B334&lt;&gt;"",_xlfn.IFNA(VLOOKUP($B334,'Node Details'!$B:$U,E$1,0),"Check"),"")</f>
        <v>Airtel</v>
      </c>
      <c r="F334" s="101">
        <v>46113</v>
      </c>
      <c r="G334" s="103"/>
      <c r="H334" s="102" t="s">
        <v>1256</v>
      </c>
      <c r="I334" s="9">
        <v>1</v>
      </c>
      <c r="J334" s="9">
        <v>48</v>
      </c>
      <c r="K334" s="100">
        <f t="shared" si="51"/>
        <v>48</v>
      </c>
      <c r="L334" s="78">
        <v>46112</v>
      </c>
      <c r="M334" s="103"/>
      <c r="N334" s="93" t="s">
        <v>143</v>
      </c>
      <c r="O334" s="94">
        <v>46141</v>
      </c>
      <c r="P334" s="104">
        <f t="shared" si="46"/>
        <v>48</v>
      </c>
      <c r="Q334" s="104">
        <f t="shared" si="47"/>
        <v>48</v>
      </c>
      <c r="R334" s="104"/>
      <c r="S334" s="93" t="s">
        <v>331</v>
      </c>
      <c r="T334" s="94">
        <v>46153</v>
      </c>
      <c r="U334" s="104">
        <f t="shared" si="48"/>
        <v>48</v>
      </c>
      <c r="V334" s="104">
        <f t="shared" si="49"/>
        <v>1</v>
      </c>
      <c r="W334" s="103">
        <f t="shared" si="50"/>
        <v>48</v>
      </c>
      <c r="X334" s="93" t="s">
        <v>89</v>
      </c>
      <c r="Y334" s="105" t="s">
        <v>84</v>
      </c>
      <c r="Z334" s="105" t="s">
        <v>93</v>
      </c>
    </row>
    <row r="335" spans="1:26" s="105" customFormat="1" ht="15" customHeight="1">
      <c r="A335" s="99">
        <f t="shared" si="52"/>
        <v>333</v>
      </c>
      <c r="B335" s="75" t="s">
        <v>302</v>
      </c>
      <c r="C335" s="100" t="str">
        <f>IF($B335&lt;&gt;"",_xlfn.IFNA(VLOOKUP($B335,'Node Details'!$B:$U,C$1,0),"Check"),"")</f>
        <v>0000AXY12-AXY120105</v>
      </c>
      <c r="D335" s="100" t="str">
        <f>IF($B335&lt;&gt;"",_xlfn.IFNA(VLOOKUP($B335,'Node Details'!$B:$U,D$1,0),"Check"),"")</f>
        <v>AXY</v>
      </c>
      <c r="E335" s="100" t="str">
        <f>IF($B335&lt;&gt;"",_xlfn.IFNA(VLOOKUP($B335,'Node Details'!$B:$U,E$1,0),"Check"),"")</f>
        <v>Airtel</v>
      </c>
      <c r="F335" s="101">
        <v>46113</v>
      </c>
      <c r="G335" s="103"/>
      <c r="H335" s="102" t="s">
        <v>1256</v>
      </c>
      <c r="I335" s="9">
        <v>1</v>
      </c>
      <c r="J335" s="9">
        <v>48</v>
      </c>
      <c r="K335" s="100">
        <f t="shared" si="51"/>
        <v>48</v>
      </c>
      <c r="L335" s="78">
        <v>46112</v>
      </c>
      <c r="M335" s="103"/>
      <c r="N335" s="93" t="s">
        <v>143</v>
      </c>
      <c r="O335" s="94">
        <v>46141</v>
      </c>
      <c r="P335" s="104">
        <f t="shared" si="46"/>
        <v>48</v>
      </c>
      <c r="Q335" s="104">
        <f t="shared" si="47"/>
        <v>48</v>
      </c>
      <c r="R335" s="104"/>
      <c r="S335" s="93" t="s">
        <v>331</v>
      </c>
      <c r="T335" s="94">
        <v>46153</v>
      </c>
      <c r="U335" s="104">
        <f t="shared" si="48"/>
        <v>48</v>
      </c>
      <c r="V335" s="104">
        <f t="shared" si="49"/>
        <v>1</v>
      </c>
      <c r="W335" s="103">
        <f t="shared" si="50"/>
        <v>48</v>
      </c>
      <c r="X335" s="93" t="s">
        <v>89</v>
      </c>
      <c r="Y335" s="105" t="s">
        <v>84</v>
      </c>
      <c r="Z335" s="105" t="s">
        <v>93</v>
      </c>
    </row>
    <row r="336" spans="1:26" s="105" customFormat="1" ht="15" customHeight="1">
      <c r="A336" s="99">
        <f t="shared" si="52"/>
        <v>334</v>
      </c>
      <c r="B336" s="75" t="s">
        <v>1025</v>
      </c>
      <c r="C336" s="100" t="str">
        <f>IF($B336&lt;&gt;"",_xlfn.IFNA(VLOOKUP($B336,'Node Details'!$B:$U,C$1,0),"Check"),"")</f>
        <v>000000AXY-0000AXY17</v>
      </c>
      <c r="D336" s="100" t="str">
        <f>IF($B336&lt;&gt;"",_xlfn.IFNA(VLOOKUP($B336,'Node Details'!$B:$U,D$1,0),"Check"),"")</f>
        <v>AXY</v>
      </c>
      <c r="E336" s="100" t="str">
        <f>IF($B336&lt;&gt;"",_xlfn.IFNA(VLOOKUP($B336,'Node Details'!$B:$U,E$1,0),"Check"),"")</f>
        <v>Airtel</v>
      </c>
      <c r="F336" s="101">
        <v>46113</v>
      </c>
      <c r="G336" s="103"/>
      <c r="H336" s="102" t="s">
        <v>1256</v>
      </c>
      <c r="I336" s="9">
        <v>1</v>
      </c>
      <c r="J336" s="9">
        <v>48</v>
      </c>
      <c r="K336" s="100">
        <f t="shared" si="51"/>
        <v>48</v>
      </c>
      <c r="L336" s="78">
        <v>46112</v>
      </c>
      <c r="M336" s="103"/>
      <c r="N336" s="93" t="s">
        <v>143</v>
      </c>
      <c r="O336" s="94">
        <v>46141</v>
      </c>
      <c r="P336" s="104">
        <f t="shared" si="46"/>
        <v>48</v>
      </c>
      <c r="Q336" s="104">
        <f t="shared" si="47"/>
        <v>48</v>
      </c>
      <c r="R336" s="104"/>
      <c r="S336" s="93" t="s">
        <v>331</v>
      </c>
      <c r="T336" s="94">
        <v>46153</v>
      </c>
      <c r="U336" s="104">
        <f t="shared" si="48"/>
        <v>48</v>
      </c>
      <c r="V336" s="104">
        <f t="shared" si="49"/>
        <v>1</v>
      </c>
      <c r="W336" s="103">
        <f t="shared" si="50"/>
        <v>48</v>
      </c>
      <c r="X336" s="93" t="s">
        <v>89</v>
      </c>
      <c r="Y336" s="105" t="s">
        <v>84</v>
      </c>
      <c r="Z336" s="105" t="s">
        <v>93</v>
      </c>
    </row>
    <row r="337" spans="1:26" s="105" customFormat="1" ht="15" customHeight="1">
      <c r="A337" s="99">
        <f t="shared" si="52"/>
        <v>335</v>
      </c>
      <c r="B337" s="75" t="s">
        <v>306</v>
      </c>
      <c r="C337" s="100" t="str">
        <f>IF($B337&lt;&gt;"",_xlfn.IFNA(VLOOKUP($B337,'Node Details'!$B:$U,C$1,0),"Check"),"")</f>
        <v>0000AXY13-AXY130101</v>
      </c>
      <c r="D337" s="100" t="str">
        <f>IF($B337&lt;&gt;"",_xlfn.IFNA(VLOOKUP($B337,'Node Details'!$B:$U,D$1,0),"Check"),"")</f>
        <v>AXY</v>
      </c>
      <c r="E337" s="100" t="str">
        <f>IF($B337&lt;&gt;"",_xlfn.IFNA(VLOOKUP($B337,'Node Details'!$B:$U,E$1,0),"Check"),"")</f>
        <v>Airtel</v>
      </c>
      <c r="F337" s="101">
        <v>46113</v>
      </c>
      <c r="G337" s="103"/>
      <c r="H337" s="102" t="s">
        <v>1256</v>
      </c>
      <c r="I337" s="9">
        <v>1</v>
      </c>
      <c r="J337" s="9">
        <v>48</v>
      </c>
      <c r="K337" s="100">
        <f t="shared" si="51"/>
        <v>48</v>
      </c>
      <c r="L337" s="78">
        <v>46112</v>
      </c>
      <c r="M337" s="103"/>
      <c r="N337" s="93" t="s">
        <v>143</v>
      </c>
      <c r="O337" s="94">
        <v>46141</v>
      </c>
      <c r="P337" s="104">
        <f t="shared" si="46"/>
        <v>48</v>
      </c>
      <c r="Q337" s="104">
        <f t="shared" si="47"/>
        <v>48</v>
      </c>
      <c r="R337" s="104"/>
      <c r="S337" s="93" t="s">
        <v>331</v>
      </c>
      <c r="T337" s="94">
        <v>46153</v>
      </c>
      <c r="U337" s="104">
        <f t="shared" si="48"/>
        <v>48</v>
      </c>
      <c r="V337" s="104">
        <f t="shared" si="49"/>
        <v>1</v>
      </c>
      <c r="W337" s="103">
        <f t="shared" si="50"/>
        <v>48</v>
      </c>
      <c r="X337" s="93" t="s">
        <v>89</v>
      </c>
      <c r="Y337" s="105" t="s">
        <v>84</v>
      </c>
      <c r="Z337" s="105" t="s">
        <v>93</v>
      </c>
    </row>
    <row r="338" spans="1:26" s="105" customFormat="1" ht="15" customHeight="1">
      <c r="A338" s="99">
        <f t="shared" si="52"/>
        <v>336</v>
      </c>
      <c r="B338" s="75" t="s">
        <v>1026</v>
      </c>
      <c r="C338" s="100" t="str">
        <f>IF($B338&lt;&gt;"",_xlfn.IFNA(VLOOKUP($B338,'Node Details'!$B:$U,C$1,0),"Check"),"")</f>
        <v>0000AXY13-AXY130104</v>
      </c>
      <c r="D338" s="100" t="str">
        <f>IF($B338&lt;&gt;"",_xlfn.IFNA(VLOOKUP($B338,'Node Details'!$B:$U,D$1,0),"Check"),"")</f>
        <v>AXY</v>
      </c>
      <c r="E338" s="100" t="str">
        <f>IF($B338&lt;&gt;"",_xlfn.IFNA(VLOOKUP($B338,'Node Details'!$B:$U,E$1,0),"Check"),"")</f>
        <v>Airtel</v>
      </c>
      <c r="F338" s="101">
        <v>46113</v>
      </c>
      <c r="G338" s="103"/>
      <c r="H338" s="102" t="s">
        <v>1256</v>
      </c>
      <c r="I338" s="9">
        <v>1</v>
      </c>
      <c r="J338" s="9">
        <v>48</v>
      </c>
      <c r="K338" s="100">
        <f t="shared" si="51"/>
        <v>48</v>
      </c>
      <c r="L338" s="78">
        <v>46112</v>
      </c>
      <c r="M338" s="103"/>
      <c r="N338" s="93" t="s">
        <v>143</v>
      </c>
      <c r="O338" s="94">
        <v>46141</v>
      </c>
      <c r="P338" s="104">
        <f t="shared" si="46"/>
        <v>48</v>
      </c>
      <c r="Q338" s="104">
        <f t="shared" si="47"/>
        <v>48</v>
      </c>
      <c r="R338" s="104"/>
      <c r="S338" s="93" t="s">
        <v>331</v>
      </c>
      <c r="T338" s="94">
        <v>46153</v>
      </c>
      <c r="U338" s="104">
        <f t="shared" si="48"/>
        <v>48</v>
      </c>
      <c r="V338" s="104">
        <f t="shared" si="49"/>
        <v>1</v>
      </c>
      <c r="W338" s="103">
        <f t="shared" si="50"/>
        <v>48</v>
      </c>
      <c r="X338" s="93" t="s">
        <v>89</v>
      </c>
      <c r="Y338" s="105" t="s">
        <v>84</v>
      </c>
      <c r="Z338" s="105" t="s">
        <v>93</v>
      </c>
    </row>
    <row r="339" spans="1:26" s="105" customFormat="1" ht="15" customHeight="1">
      <c r="A339" s="99">
        <f t="shared" si="52"/>
        <v>337</v>
      </c>
      <c r="B339" s="75" t="s">
        <v>1027</v>
      </c>
      <c r="C339" s="100" t="str">
        <f>IF($B339&lt;&gt;"",_xlfn.IFNA(VLOOKUP($B339,'Node Details'!$B:$U,C$1,0),"Check"),"")</f>
        <v>0000AXY13-AXY130104</v>
      </c>
      <c r="D339" s="100" t="str">
        <f>IF($B339&lt;&gt;"",_xlfn.IFNA(VLOOKUP($B339,'Node Details'!$B:$U,D$1,0),"Check"),"")</f>
        <v>AXY</v>
      </c>
      <c r="E339" s="100" t="str">
        <f>IF($B339&lt;&gt;"",_xlfn.IFNA(VLOOKUP($B339,'Node Details'!$B:$U,E$1,0),"Check"),"")</f>
        <v>Airtel</v>
      </c>
      <c r="F339" s="101">
        <v>46113</v>
      </c>
      <c r="G339" s="103"/>
      <c r="H339" s="102" t="s">
        <v>1256</v>
      </c>
      <c r="I339" s="9">
        <v>1</v>
      </c>
      <c r="J339" s="9">
        <v>48</v>
      </c>
      <c r="K339" s="100">
        <f t="shared" si="51"/>
        <v>48</v>
      </c>
      <c r="L339" s="78">
        <v>46112</v>
      </c>
      <c r="M339" s="103"/>
      <c r="N339" s="93" t="s">
        <v>143</v>
      </c>
      <c r="O339" s="94">
        <v>46141</v>
      </c>
      <c r="P339" s="104">
        <f t="shared" si="46"/>
        <v>48</v>
      </c>
      <c r="Q339" s="104">
        <f t="shared" si="47"/>
        <v>48</v>
      </c>
      <c r="R339" s="104"/>
      <c r="S339" s="93" t="s">
        <v>331</v>
      </c>
      <c r="T339" s="94">
        <v>46153</v>
      </c>
      <c r="U339" s="104">
        <f t="shared" si="48"/>
        <v>48</v>
      </c>
      <c r="V339" s="104">
        <f t="shared" si="49"/>
        <v>1</v>
      </c>
      <c r="W339" s="103">
        <f t="shared" si="50"/>
        <v>48</v>
      </c>
      <c r="X339" s="93" t="s">
        <v>89</v>
      </c>
      <c r="Y339" s="105" t="s">
        <v>84</v>
      </c>
      <c r="Z339" s="105" t="s">
        <v>93</v>
      </c>
    </row>
    <row r="340" spans="1:26" s="105" customFormat="1" ht="15" customHeight="1">
      <c r="A340" s="99">
        <f t="shared" si="52"/>
        <v>338</v>
      </c>
      <c r="B340" s="75" t="s">
        <v>309</v>
      </c>
      <c r="C340" s="100" t="str">
        <f>IF($B340&lt;&gt;"",_xlfn.IFNA(VLOOKUP($B340,'Node Details'!$B:$U,C$1,0),"Check"),"")</f>
        <v>0000AXY13-AXY130104</v>
      </c>
      <c r="D340" s="100" t="str">
        <f>IF($B340&lt;&gt;"",_xlfn.IFNA(VLOOKUP($B340,'Node Details'!$B:$U,D$1,0),"Check"),"")</f>
        <v>AXY</v>
      </c>
      <c r="E340" s="100" t="str">
        <f>IF($B340&lt;&gt;"",_xlfn.IFNA(VLOOKUP($B340,'Node Details'!$B:$U,E$1,0),"Check"),"")</f>
        <v>Airtel</v>
      </c>
      <c r="F340" s="101">
        <v>46113</v>
      </c>
      <c r="G340" s="103"/>
      <c r="H340" s="102" t="s">
        <v>1256</v>
      </c>
      <c r="I340" s="9">
        <v>1</v>
      </c>
      <c r="J340" s="9">
        <v>48</v>
      </c>
      <c r="K340" s="100">
        <f t="shared" si="51"/>
        <v>48</v>
      </c>
      <c r="L340" s="78">
        <v>46112</v>
      </c>
      <c r="M340" s="103"/>
      <c r="N340" s="93" t="s">
        <v>143</v>
      </c>
      <c r="O340" s="94">
        <v>46141</v>
      </c>
      <c r="P340" s="104">
        <f t="shared" si="46"/>
        <v>48</v>
      </c>
      <c r="Q340" s="104">
        <f t="shared" si="47"/>
        <v>48</v>
      </c>
      <c r="R340" s="104"/>
      <c r="S340" s="93" t="s">
        <v>331</v>
      </c>
      <c r="T340" s="94">
        <v>46153</v>
      </c>
      <c r="U340" s="104">
        <f t="shared" si="48"/>
        <v>48</v>
      </c>
      <c r="V340" s="104">
        <f t="shared" si="49"/>
        <v>1</v>
      </c>
      <c r="W340" s="103">
        <f t="shared" si="50"/>
        <v>48</v>
      </c>
      <c r="X340" s="93" t="s">
        <v>89</v>
      </c>
      <c r="Y340" s="105" t="s">
        <v>84</v>
      </c>
      <c r="Z340" s="105" t="s">
        <v>93</v>
      </c>
    </row>
    <row r="341" spans="1:26" s="105" customFormat="1" ht="15" customHeight="1">
      <c r="A341" s="99">
        <f t="shared" si="52"/>
        <v>339</v>
      </c>
      <c r="B341" s="75" t="s">
        <v>1028</v>
      </c>
      <c r="C341" s="100" t="str">
        <f>IF($B341&lt;&gt;"",_xlfn.IFNA(VLOOKUP($B341,'Node Details'!$B:$U,C$1,0),"Check"),"")</f>
        <v>0000AXY13-AXY130108</v>
      </c>
      <c r="D341" s="100" t="str">
        <f>IF($B341&lt;&gt;"",_xlfn.IFNA(VLOOKUP($B341,'Node Details'!$B:$U,D$1,0),"Check"),"")</f>
        <v>AXY</v>
      </c>
      <c r="E341" s="100" t="str">
        <f>IF($B341&lt;&gt;"",_xlfn.IFNA(VLOOKUP($B341,'Node Details'!$B:$U,E$1,0),"Check"),"")</f>
        <v>Airtel</v>
      </c>
      <c r="F341" s="101">
        <v>46113</v>
      </c>
      <c r="G341" s="103"/>
      <c r="H341" s="102" t="s">
        <v>1256</v>
      </c>
      <c r="I341" s="9">
        <v>1</v>
      </c>
      <c r="J341" s="9">
        <v>48</v>
      </c>
      <c r="K341" s="100">
        <f t="shared" si="51"/>
        <v>48</v>
      </c>
      <c r="L341" s="78">
        <v>46112</v>
      </c>
      <c r="M341" s="103"/>
      <c r="N341" s="93" t="s">
        <v>143</v>
      </c>
      <c r="O341" s="94">
        <v>46141</v>
      </c>
      <c r="P341" s="104">
        <f t="shared" si="46"/>
        <v>48</v>
      </c>
      <c r="Q341" s="104">
        <f t="shared" si="47"/>
        <v>48</v>
      </c>
      <c r="R341" s="104"/>
      <c r="S341" s="93" t="s">
        <v>331</v>
      </c>
      <c r="T341" s="94">
        <v>46153</v>
      </c>
      <c r="U341" s="104">
        <f t="shared" si="48"/>
        <v>48</v>
      </c>
      <c r="V341" s="104">
        <f t="shared" si="49"/>
        <v>1</v>
      </c>
      <c r="W341" s="103">
        <f t="shared" si="50"/>
        <v>48</v>
      </c>
      <c r="X341" s="93" t="s">
        <v>89</v>
      </c>
      <c r="Y341" s="105" t="s">
        <v>84</v>
      </c>
      <c r="Z341" s="105" t="s">
        <v>93</v>
      </c>
    </row>
    <row r="342" spans="1:26" s="105" customFormat="1" ht="15" customHeight="1">
      <c r="A342" s="99">
        <f t="shared" si="52"/>
        <v>340</v>
      </c>
      <c r="B342" s="75" t="s">
        <v>1029</v>
      </c>
      <c r="C342" s="100" t="str">
        <f>IF($B342&lt;&gt;"",_xlfn.IFNA(VLOOKUP($B342,'Node Details'!$B:$U,C$1,0),"Check"),"")</f>
        <v>0000AXY13-AXY130108</v>
      </c>
      <c r="D342" s="100" t="str">
        <f>IF($B342&lt;&gt;"",_xlfn.IFNA(VLOOKUP($B342,'Node Details'!$B:$U,D$1,0),"Check"),"")</f>
        <v>AXY</v>
      </c>
      <c r="E342" s="100" t="str">
        <f>IF($B342&lt;&gt;"",_xlfn.IFNA(VLOOKUP($B342,'Node Details'!$B:$U,E$1,0),"Check"),"")</f>
        <v>Airtel</v>
      </c>
      <c r="F342" s="101">
        <v>46113</v>
      </c>
      <c r="G342" s="103"/>
      <c r="H342" s="102" t="s">
        <v>1256</v>
      </c>
      <c r="I342" s="9">
        <v>1</v>
      </c>
      <c r="J342" s="9">
        <v>48</v>
      </c>
      <c r="K342" s="100">
        <f t="shared" si="51"/>
        <v>48</v>
      </c>
      <c r="L342" s="78">
        <v>46112</v>
      </c>
      <c r="M342" s="103"/>
      <c r="N342" s="93" t="s">
        <v>143</v>
      </c>
      <c r="O342" s="94">
        <v>46141</v>
      </c>
      <c r="P342" s="104">
        <f t="shared" si="46"/>
        <v>48</v>
      </c>
      <c r="Q342" s="104">
        <f t="shared" si="47"/>
        <v>48</v>
      </c>
      <c r="R342" s="104"/>
      <c r="S342" s="93" t="s">
        <v>331</v>
      </c>
      <c r="T342" s="94">
        <v>46153</v>
      </c>
      <c r="U342" s="104">
        <f t="shared" si="48"/>
        <v>48</v>
      </c>
      <c r="V342" s="104">
        <f t="shared" si="49"/>
        <v>1</v>
      </c>
      <c r="W342" s="103">
        <f t="shared" si="50"/>
        <v>48</v>
      </c>
      <c r="X342" s="93" t="s">
        <v>89</v>
      </c>
      <c r="Y342" s="105" t="s">
        <v>84</v>
      </c>
      <c r="Z342" s="105" t="s">
        <v>93</v>
      </c>
    </row>
    <row r="343" spans="1:26" s="105" customFormat="1" ht="15" customHeight="1">
      <c r="A343" s="99">
        <f t="shared" si="52"/>
        <v>341</v>
      </c>
      <c r="B343" s="75" t="s">
        <v>1030</v>
      </c>
      <c r="C343" s="100" t="str">
        <f>IF($B343&lt;&gt;"",_xlfn.IFNA(VLOOKUP($B343,'Node Details'!$B:$U,C$1,0),"Check"),"")</f>
        <v>0000AXY13-AXY130108</v>
      </c>
      <c r="D343" s="100" t="str">
        <f>IF($B343&lt;&gt;"",_xlfn.IFNA(VLOOKUP($B343,'Node Details'!$B:$U,D$1,0),"Check"),"")</f>
        <v>AXY</v>
      </c>
      <c r="E343" s="100" t="str">
        <f>IF($B343&lt;&gt;"",_xlfn.IFNA(VLOOKUP($B343,'Node Details'!$B:$U,E$1,0),"Check"),"")</f>
        <v>Airtel</v>
      </c>
      <c r="F343" s="101">
        <v>46113</v>
      </c>
      <c r="G343" s="103"/>
      <c r="H343" s="102" t="s">
        <v>1256</v>
      </c>
      <c r="I343" s="9">
        <v>1</v>
      </c>
      <c r="J343" s="9">
        <v>48</v>
      </c>
      <c r="K343" s="100">
        <f t="shared" si="51"/>
        <v>48</v>
      </c>
      <c r="L343" s="78">
        <v>46112</v>
      </c>
      <c r="M343" s="103"/>
      <c r="N343" s="93" t="s">
        <v>143</v>
      </c>
      <c r="O343" s="94">
        <v>46141</v>
      </c>
      <c r="P343" s="104">
        <f t="shared" si="46"/>
        <v>48</v>
      </c>
      <c r="Q343" s="104">
        <f t="shared" si="47"/>
        <v>48</v>
      </c>
      <c r="R343" s="104"/>
      <c r="S343" s="93" t="s">
        <v>331</v>
      </c>
      <c r="T343" s="94">
        <v>46153</v>
      </c>
      <c r="U343" s="104">
        <f t="shared" si="48"/>
        <v>48</v>
      </c>
      <c r="V343" s="104">
        <f t="shared" si="49"/>
        <v>1</v>
      </c>
      <c r="W343" s="103">
        <f t="shared" si="50"/>
        <v>48</v>
      </c>
      <c r="X343" s="93" t="s">
        <v>89</v>
      </c>
      <c r="Y343" s="105" t="s">
        <v>84</v>
      </c>
      <c r="Z343" s="105" t="s">
        <v>93</v>
      </c>
    </row>
    <row r="344" spans="1:26" s="105" customFormat="1" ht="15" customHeight="1">
      <c r="A344" s="99">
        <f t="shared" si="52"/>
        <v>342</v>
      </c>
      <c r="B344" s="75" t="s">
        <v>312</v>
      </c>
      <c r="C344" s="100" t="str">
        <f>IF($B344&lt;&gt;"",_xlfn.IFNA(VLOOKUP($B344,'Node Details'!$B:$U,C$1,0),"Check"),"")</f>
        <v>0000AXY13-AXY130108</v>
      </c>
      <c r="D344" s="100" t="str">
        <f>IF($B344&lt;&gt;"",_xlfn.IFNA(VLOOKUP($B344,'Node Details'!$B:$U,D$1,0),"Check"),"")</f>
        <v>AXY</v>
      </c>
      <c r="E344" s="100" t="str">
        <f>IF($B344&lt;&gt;"",_xlfn.IFNA(VLOOKUP($B344,'Node Details'!$B:$U,E$1,0),"Check"),"")</f>
        <v>Airtel</v>
      </c>
      <c r="F344" s="101">
        <v>46113</v>
      </c>
      <c r="G344" s="103"/>
      <c r="H344" s="102" t="s">
        <v>1256</v>
      </c>
      <c r="I344" s="9">
        <v>1</v>
      </c>
      <c r="J344" s="9">
        <v>48</v>
      </c>
      <c r="K344" s="100">
        <f t="shared" si="51"/>
        <v>48</v>
      </c>
      <c r="L344" s="78">
        <v>46112</v>
      </c>
      <c r="M344" s="103"/>
      <c r="N344" s="93" t="s">
        <v>143</v>
      </c>
      <c r="O344" s="94">
        <v>46141</v>
      </c>
      <c r="P344" s="104">
        <f t="shared" si="46"/>
        <v>48</v>
      </c>
      <c r="Q344" s="104">
        <f t="shared" si="47"/>
        <v>48</v>
      </c>
      <c r="R344" s="104"/>
      <c r="S344" s="93" t="s">
        <v>331</v>
      </c>
      <c r="T344" s="94">
        <v>46153</v>
      </c>
      <c r="U344" s="104">
        <f t="shared" si="48"/>
        <v>48</v>
      </c>
      <c r="V344" s="104">
        <f t="shared" si="49"/>
        <v>1</v>
      </c>
      <c r="W344" s="103">
        <f t="shared" si="50"/>
        <v>48</v>
      </c>
      <c r="X344" s="93" t="s">
        <v>89</v>
      </c>
      <c r="Y344" s="105" t="s">
        <v>84</v>
      </c>
      <c r="Z344" s="105" t="s">
        <v>93</v>
      </c>
    </row>
    <row r="345" spans="1:26" s="105" customFormat="1" ht="15" customHeight="1">
      <c r="A345" s="99">
        <f t="shared" si="52"/>
        <v>343</v>
      </c>
      <c r="B345" s="75" t="s">
        <v>1031</v>
      </c>
      <c r="C345" s="100" t="str">
        <f>IF($B345&lt;&gt;"",_xlfn.IFNA(VLOOKUP($B345,'Node Details'!$B:$U,C$1,0),"Check"),"")</f>
        <v>000000AXY-0000AXY17</v>
      </c>
      <c r="D345" s="100" t="str">
        <f>IF($B345&lt;&gt;"",_xlfn.IFNA(VLOOKUP($B345,'Node Details'!$B:$U,D$1,0),"Check"),"")</f>
        <v>AXY</v>
      </c>
      <c r="E345" s="100" t="str">
        <f>IF($B345&lt;&gt;"",_xlfn.IFNA(VLOOKUP($B345,'Node Details'!$B:$U,E$1,0),"Check"),"")</f>
        <v>Airtel</v>
      </c>
      <c r="F345" s="101">
        <v>46113</v>
      </c>
      <c r="G345" s="103"/>
      <c r="H345" s="102" t="s">
        <v>1256</v>
      </c>
      <c r="I345" s="9">
        <v>1</v>
      </c>
      <c r="J345" s="9">
        <v>48</v>
      </c>
      <c r="K345" s="100">
        <f t="shared" si="51"/>
        <v>48</v>
      </c>
      <c r="L345" s="78">
        <v>46112</v>
      </c>
      <c r="M345" s="103"/>
      <c r="N345" s="93" t="s">
        <v>143</v>
      </c>
      <c r="O345" s="94">
        <v>46141</v>
      </c>
      <c r="P345" s="104">
        <f t="shared" si="46"/>
        <v>48</v>
      </c>
      <c r="Q345" s="104">
        <f t="shared" si="47"/>
        <v>48</v>
      </c>
      <c r="R345" s="104"/>
      <c r="S345" s="93" t="s">
        <v>331</v>
      </c>
      <c r="T345" s="94">
        <v>46153</v>
      </c>
      <c r="U345" s="104">
        <f t="shared" si="48"/>
        <v>48</v>
      </c>
      <c r="V345" s="104">
        <f t="shared" si="49"/>
        <v>1</v>
      </c>
      <c r="W345" s="103">
        <f t="shared" si="50"/>
        <v>48</v>
      </c>
      <c r="X345" s="93" t="s">
        <v>89</v>
      </c>
      <c r="Y345" s="105" t="s">
        <v>84</v>
      </c>
      <c r="Z345" s="105" t="s">
        <v>93</v>
      </c>
    </row>
    <row r="346" spans="1:26" s="105" customFormat="1" ht="15" customHeight="1">
      <c r="A346" s="99">
        <f t="shared" si="52"/>
        <v>344</v>
      </c>
      <c r="B346" s="75" t="s">
        <v>316</v>
      </c>
      <c r="C346" s="100" t="str">
        <f>IF($B346&lt;&gt;"",_xlfn.IFNA(VLOOKUP($B346,'Node Details'!$B:$U,C$1,0),"Check"),"")</f>
        <v>0000AXY14-AXY140102</v>
      </c>
      <c r="D346" s="100" t="str">
        <f>IF($B346&lt;&gt;"",_xlfn.IFNA(VLOOKUP($B346,'Node Details'!$B:$U,D$1,0),"Check"),"")</f>
        <v>AXY</v>
      </c>
      <c r="E346" s="100" t="str">
        <f>IF($B346&lt;&gt;"",_xlfn.IFNA(VLOOKUP($B346,'Node Details'!$B:$U,E$1,0),"Check"),"")</f>
        <v>Airtel</v>
      </c>
      <c r="F346" s="101">
        <v>46113</v>
      </c>
      <c r="G346" s="103"/>
      <c r="H346" s="102" t="s">
        <v>1256</v>
      </c>
      <c r="I346" s="9">
        <v>1</v>
      </c>
      <c r="J346" s="9">
        <v>48</v>
      </c>
      <c r="K346" s="100">
        <f t="shared" si="51"/>
        <v>48</v>
      </c>
      <c r="L346" s="78">
        <v>46112</v>
      </c>
      <c r="M346" s="103"/>
      <c r="N346" s="93" t="s">
        <v>143</v>
      </c>
      <c r="O346" s="94">
        <v>46141</v>
      </c>
      <c r="P346" s="104">
        <f t="shared" si="46"/>
        <v>48</v>
      </c>
      <c r="Q346" s="104">
        <f t="shared" si="47"/>
        <v>48</v>
      </c>
      <c r="R346" s="104"/>
      <c r="S346" s="93" t="s">
        <v>331</v>
      </c>
      <c r="T346" s="94">
        <v>46153</v>
      </c>
      <c r="U346" s="104">
        <f t="shared" si="48"/>
        <v>48</v>
      </c>
      <c r="V346" s="104">
        <f t="shared" si="49"/>
        <v>1</v>
      </c>
      <c r="W346" s="103">
        <f t="shared" si="50"/>
        <v>48</v>
      </c>
      <c r="X346" s="93" t="s">
        <v>89</v>
      </c>
      <c r="Y346" s="105" t="s">
        <v>84</v>
      </c>
      <c r="Z346" s="105" t="s">
        <v>93</v>
      </c>
    </row>
    <row r="347" spans="1:26" s="105" customFormat="1" ht="15" customHeight="1">
      <c r="A347" s="99">
        <f t="shared" si="52"/>
        <v>345</v>
      </c>
      <c r="B347" s="75" t="s">
        <v>319</v>
      </c>
      <c r="C347" s="100" t="str">
        <f>IF($B347&lt;&gt;"",_xlfn.IFNA(VLOOKUP($B347,'Node Details'!$B:$U,C$1,0),"Check"),"")</f>
        <v>0000AXY14-AXY140101</v>
      </c>
      <c r="D347" s="100" t="str">
        <f>IF($B347&lt;&gt;"",_xlfn.IFNA(VLOOKUP($B347,'Node Details'!$B:$U,D$1,0),"Check"),"")</f>
        <v>AXY</v>
      </c>
      <c r="E347" s="100" t="str">
        <f>IF($B347&lt;&gt;"",_xlfn.IFNA(VLOOKUP($B347,'Node Details'!$B:$U,E$1,0),"Check"),"")</f>
        <v>Airtel</v>
      </c>
      <c r="F347" s="101">
        <v>46113</v>
      </c>
      <c r="G347" s="103"/>
      <c r="H347" s="102" t="s">
        <v>1256</v>
      </c>
      <c r="I347" s="9">
        <v>1</v>
      </c>
      <c r="J347" s="9">
        <v>48</v>
      </c>
      <c r="K347" s="100">
        <f t="shared" si="51"/>
        <v>48</v>
      </c>
      <c r="L347" s="78">
        <v>46112</v>
      </c>
      <c r="M347" s="103"/>
      <c r="N347" s="93" t="s">
        <v>143</v>
      </c>
      <c r="O347" s="94">
        <v>46141</v>
      </c>
      <c r="P347" s="104">
        <f t="shared" si="46"/>
        <v>48</v>
      </c>
      <c r="Q347" s="104">
        <f t="shared" si="47"/>
        <v>48</v>
      </c>
      <c r="R347" s="104"/>
      <c r="S347" s="93" t="s">
        <v>331</v>
      </c>
      <c r="T347" s="94">
        <v>46153</v>
      </c>
      <c r="U347" s="104">
        <f t="shared" si="48"/>
        <v>48</v>
      </c>
      <c r="V347" s="104">
        <f t="shared" si="49"/>
        <v>1</v>
      </c>
      <c r="W347" s="103">
        <f t="shared" si="50"/>
        <v>48</v>
      </c>
      <c r="X347" s="93" t="s">
        <v>89</v>
      </c>
      <c r="Y347" s="105" t="s">
        <v>84</v>
      </c>
      <c r="Z347" s="105" t="s">
        <v>93</v>
      </c>
    </row>
    <row r="348" spans="1:26" s="105" customFormat="1" ht="15" customHeight="1">
      <c r="A348" s="99">
        <f t="shared" si="52"/>
        <v>346</v>
      </c>
      <c r="B348" s="75" t="s">
        <v>1032</v>
      </c>
      <c r="C348" s="100" t="str">
        <f>IF($B348&lt;&gt;"",_xlfn.IFNA(VLOOKUP($B348,'Node Details'!$B:$U,C$1,0),"Check"),"")</f>
        <v>0000AXY14-AXY140202</v>
      </c>
      <c r="D348" s="100" t="str">
        <f>IF($B348&lt;&gt;"",_xlfn.IFNA(VLOOKUP($B348,'Node Details'!$B:$U,D$1,0),"Check"),"")</f>
        <v>AXY</v>
      </c>
      <c r="E348" s="100" t="str">
        <f>IF($B348&lt;&gt;"",_xlfn.IFNA(VLOOKUP($B348,'Node Details'!$B:$U,E$1,0),"Check"),"")</f>
        <v>Airtel</v>
      </c>
      <c r="F348" s="101">
        <v>46113</v>
      </c>
      <c r="G348" s="103"/>
      <c r="H348" s="102" t="s">
        <v>1256</v>
      </c>
      <c r="I348" s="9">
        <v>1</v>
      </c>
      <c r="J348" s="9">
        <v>48</v>
      </c>
      <c r="K348" s="100">
        <f t="shared" si="51"/>
        <v>48</v>
      </c>
      <c r="L348" s="78">
        <v>46112</v>
      </c>
      <c r="M348" s="103"/>
      <c r="N348" s="93" t="s">
        <v>143</v>
      </c>
      <c r="O348" s="94">
        <v>46141</v>
      </c>
      <c r="P348" s="104">
        <f t="shared" si="46"/>
        <v>48</v>
      </c>
      <c r="Q348" s="104">
        <f t="shared" si="47"/>
        <v>48</v>
      </c>
      <c r="R348" s="104"/>
      <c r="S348" s="93" t="s">
        <v>331</v>
      </c>
      <c r="T348" s="94">
        <v>46153</v>
      </c>
      <c r="U348" s="104">
        <f t="shared" si="48"/>
        <v>48</v>
      </c>
      <c r="V348" s="104">
        <f t="shared" si="49"/>
        <v>1</v>
      </c>
      <c r="W348" s="103">
        <f t="shared" si="50"/>
        <v>48</v>
      </c>
      <c r="X348" s="93" t="s">
        <v>89</v>
      </c>
      <c r="Y348" s="105" t="s">
        <v>84</v>
      </c>
      <c r="Z348" s="105" t="s">
        <v>93</v>
      </c>
    </row>
    <row r="349" spans="1:26" s="105" customFormat="1" ht="15" customHeight="1">
      <c r="A349" s="99">
        <f t="shared" si="52"/>
        <v>347</v>
      </c>
      <c r="B349" s="75" t="s">
        <v>1033</v>
      </c>
      <c r="C349" s="100" t="str">
        <f>IF($B349&lt;&gt;"",_xlfn.IFNA(VLOOKUP($B349,'Node Details'!$B:$U,C$1,0),"Check"),"")</f>
        <v>0000AXY14-AXY140202</v>
      </c>
      <c r="D349" s="100" t="str">
        <f>IF($B349&lt;&gt;"",_xlfn.IFNA(VLOOKUP($B349,'Node Details'!$B:$U,D$1,0),"Check"),"")</f>
        <v>AXY</v>
      </c>
      <c r="E349" s="100" t="str">
        <f>IF($B349&lt;&gt;"",_xlfn.IFNA(VLOOKUP($B349,'Node Details'!$B:$U,E$1,0),"Check"),"")</f>
        <v>Airtel</v>
      </c>
      <c r="F349" s="101">
        <v>46113</v>
      </c>
      <c r="G349" s="103"/>
      <c r="H349" s="102" t="s">
        <v>1256</v>
      </c>
      <c r="I349" s="9">
        <v>1</v>
      </c>
      <c r="J349" s="9">
        <v>48</v>
      </c>
      <c r="K349" s="100">
        <f t="shared" si="51"/>
        <v>48</v>
      </c>
      <c r="L349" s="78">
        <v>46112</v>
      </c>
      <c r="M349" s="103"/>
      <c r="N349" s="93" t="s">
        <v>143</v>
      </c>
      <c r="O349" s="94">
        <v>46141</v>
      </c>
      <c r="P349" s="104">
        <f t="shared" ref="P349:P412" si="53">J349</f>
        <v>48</v>
      </c>
      <c r="Q349" s="104">
        <f t="shared" ref="Q349:Q412" si="54">P349*I349</f>
        <v>48</v>
      </c>
      <c r="R349" s="104"/>
      <c r="S349" s="93" t="s">
        <v>331</v>
      </c>
      <c r="T349" s="94">
        <v>46153</v>
      </c>
      <c r="U349" s="104">
        <f t="shared" ref="U349:U412" si="55">J349</f>
        <v>48</v>
      </c>
      <c r="V349" s="104">
        <f t="shared" ref="V349:V412" si="56">I349</f>
        <v>1</v>
      </c>
      <c r="W349" s="103">
        <f t="shared" ref="W349:W412" si="57">IF(V349&lt;&gt;"",V349*U349,0)</f>
        <v>48</v>
      </c>
      <c r="X349" s="93" t="s">
        <v>89</v>
      </c>
      <c r="Y349" s="105" t="s">
        <v>84</v>
      </c>
      <c r="Z349" s="105" t="s">
        <v>93</v>
      </c>
    </row>
    <row r="350" spans="1:26" s="105" customFormat="1" ht="15" customHeight="1">
      <c r="A350" s="99">
        <f t="shared" si="52"/>
        <v>348</v>
      </c>
      <c r="B350" s="75" t="s">
        <v>322</v>
      </c>
      <c r="C350" s="100" t="str">
        <f>IF($B350&lt;&gt;"",_xlfn.IFNA(VLOOKUP($B350,'Node Details'!$B:$U,C$1,0),"Check"),"")</f>
        <v>0000AXY14-AXY140202</v>
      </c>
      <c r="D350" s="100" t="str">
        <f>IF($B350&lt;&gt;"",_xlfn.IFNA(VLOOKUP($B350,'Node Details'!$B:$U,D$1,0),"Check"),"")</f>
        <v>AXY</v>
      </c>
      <c r="E350" s="100" t="str">
        <f>IF($B350&lt;&gt;"",_xlfn.IFNA(VLOOKUP($B350,'Node Details'!$B:$U,E$1,0),"Check"),"")</f>
        <v>Airtel</v>
      </c>
      <c r="F350" s="101">
        <v>46113</v>
      </c>
      <c r="G350" s="103"/>
      <c r="H350" s="102" t="s">
        <v>1256</v>
      </c>
      <c r="I350" s="9">
        <v>1</v>
      </c>
      <c r="J350" s="9">
        <v>48</v>
      </c>
      <c r="K350" s="100">
        <f t="shared" ref="K350:K413" si="58">IF(I350&lt;&gt;"",J350*I350,0)</f>
        <v>48</v>
      </c>
      <c r="L350" s="78">
        <v>46112</v>
      </c>
      <c r="M350" s="103"/>
      <c r="N350" s="93" t="s">
        <v>143</v>
      </c>
      <c r="O350" s="94">
        <v>46141</v>
      </c>
      <c r="P350" s="104">
        <f t="shared" si="53"/>
        <v>48</v>
      </c>
      <c r="Q350" s="104">
        <f t="shared" si="54"/>
        <v>48</v>
      </c>
      <c r="R350" s="104"/>
      <c r="S350" s="93" t="s">
        <v>331</v>
      </c>
      <c r="T350" s="94">
        <v>46153</v>
      </c>
      <c r="U350" s="104">
        <f t="shared" si="55"/>
        <v>48</v>
      </c>
      <c r="V350" s="104">
        <f t="shared" si="56"/>
        <v>1</v>
      </c>
      <c r="W350" s="103">
        <f t="shared" si="57"/>
        <v>48</v>
      </c>
      <c r="X350" s="93" t="s">
        <v>89</v>
      </c>
      <c r="Y350" s="105" t="s">
        <v>84</v>
      </c>
      <c r="Z350" s="105" t="s">
        <v>93</v>
      </c>
    </row>
    <row r="351" spans="1:26" s="105" customFormat="1" ht="15" customHeight="1">
      <c r="A351" s="99">
        <f t="shared" si="52"/>
        <v>349</v>
      </c>
      <c r="B351" s="75" t="s">
        <v>326</v>
      </c>
      <c r="C351" s="100" t="str">
        <f>IF($B351&lt;&gt;"",_xlfn.IFNA(VLOOKUP($B351,'Node Details'!$B:$U,C$1,0),"Check"),"")</f>
        <v>AXY140202-AXY140203</v>
      </c>
      <c r="D351" s="100" t="str">
        <f>IF($B351&lt;&gt;"",_xlfn.IFNA(VLOOKUP($B351,'Node Details'!$B:$U,D$1,0),"Check"),"")</f>
        <v>AXY</v>
      </c>
      <c r="E351" s="100" t="str">
        <f>IF($B351&lt;&gt;"",_xlfn.IFNA(VLOOKUP($B351,'Node Details'!$B:$U,E$1,0),"Check"),"")</f>
        <v>Airtel</v>
      </c>
      <c r="F351" s="101">
        <v>46113</v>
      </c>
      <c r="G351" s="103"/>
      <c r="H351" s="102" t="s">
        <v>1256</v>
      </c>
      <c r="I351" s="9">
        <v>1</v>
      </c>
      <c r="J351" s="9">
        <v>48</v>
      </c>
      <c r="K351" s="100">
        <f t="shared" si="58"/>
        <v>48</v>
      </c>
      <c r="L351" s="78">
        <v>46112</v>
      </c>
      <c r="M351" s="103"/>
      <c r="N351" s="93" t="s">
        <v>143</v>
      </c>
      <c r="O351" s="94">
        <v>46141</v>
      </c>
      <c r="P351" s="104">
        <f t="shared" si="53"/>
        <v>48</v>
      </c>
      <c r="Q351" s="104">
        <f t="shared" si="54"/>
        <v>48</v>
      </c>
      <c r="R351" s="104"/>
      <c r="S351" s="93" t="s">
        <v>331</v>
      </c>
      <c r="T351" s="94">
        <v>46153</v>
      </c>
      <c r="U351" s="104">
        <f t="shared" si="55"/>
        <v>48</v>
      </c>
      <c r="V351" s="104">
        <f t="shared" si="56"/>
        <v>1</v>
      </c>
      <c r="W351" s="103">
        <f t="shared" si="57"/>
        <v>48</v>
      </c>
      <c r="X351" s="93" t="s">
        <v>89</v>
      </c>
      <c r="Y351" s="105" t="s">
        <v>84</v>
      </c>
      <c r="Z351" s="105" t="s">
        <v>93</v>
      </c>
    </row>
    <row r="352" spans="1:26" s="105" customFormat="1" ht="15" customHeight="1">
      <c r="A352" s="99">
        <f t="shared" si="52"/>
        <v>350</v>
      </c>
      <c r="B352" s="75" t="s">
        <v>1034</v>
      </c>
      <c r="C352" s="100" t="str">
        <f>IF($B352&lt;&gt;"",_xlfn.IFNA(VLOOKUP($B352,'Node Details'!$B:$U,C$1,0),"Check"),"")</f>
        <v>AXY140108-AXY140104</v>
      </c>
      <c r="D352" s="100" t="str">
        <f>IF($B352&lt;&gt;"",_xlfn.IFNA(VLOOKUP($B352,'Node Details'!$B:$U,D$1,0),"Check"),"")</f>
        <v>AXY</v>
      </c>
      <c r="E352" s="100" t="str">
        <f>IF($B352&lt;&gt;"",_xlfn.IFNA(VLOOKUP($B352,'Node Details'!$B:$U,E$1,0),"Check"),"")</f>
        <v>Airtel</v>
      </c>
      <c r="F352" s="101">
        <v>46113</v>
      </c>
      <c r="G352" s="103"/>
      <c r="H352" s="102" t="s">
        <v>1256</v>
      </c>
      <c r="I352" s="9">
        <v>1</v>
      </c>
      <c r="J352" s="9">
        <v>48</v>
      </c>
      <c r="K352" s="100">
        <f t="shared" si="58"/>
        <v>48</v>
      </c>
      <c r="L352" s="78">
        <v>46112</v>
      </c>
      <c r="M352" s="103"/>
      <c r="N352" s="93" t="s">
        <v>143</v>
      </c>
      <c r="O352" s="94">
        <v>46141</v>
      </c>
      <c r="P352" s="104">
        <f t="shared" si="53"/>
        <v>48</v>
      </c>
      <c r="Q352" s="104">
        <f t="shared" si="54"/>
        <v>48</v>
      </c>
      <c r="R352" s="104"/>
      <c r="S352" s="93" t="s">
        <v>331</v>
      </c>
      <c r="T352" s="94">
        <v>46153</v>
      </c>
      <c r="U352" s="104">
        <f t="shared" si="55"/>
        <v>48</v>
      </c>
      <c r="V352" s="104">
        <f t="shared" si="56"/>
        <v>1</v>
      </c>
      <c r="W352" s="103">
        <f t="shared" si="57"/>
        <v>48</v>
      </c>
      <c r="X352" s="93" t="s">
        <v>89</v>
      </c>
      <c r="Y352" s="105" t="s">
        <v>84</v>
      </c>
      <c r="Z352" s="105" t="s">
        <v>93</v>
      </c>
    </row>
    <row r="353" spans="1:26" s="105" customFormat="1" ht="15" customHeight="1">
      <c r="A353" s="99">
        <f t="shared" si="52"/>
        <v>351</v>
      </c>
      <c r="B353" s="75" t="s">
        <v>1035</v>
      </c>
      <c r="C353" s="100" t="str">
        <f>IF($B353&lt;&gt;"",_xlfn.IFNA(VLOOKUP($B353,'Node Details'!$B:$U,C$1,0),"Check"),"")</f>
        <v>AXY140108-AXY140104</v>
      </c>
      <c r="D353" s="100" t="str">
        <f>IF($B353&lt;&gt;"",_xlfn.IFNA(VLOOKUP($B353,'Node Details'!$B:$U,D$1,0),"Check"),"")</f>
        <v>AXY</v>
      </c>
      <c r="E353" s="100" t="str">
        <f>IF($B353&lt;&gt;"",_xlfn.IFNA(VLOOKUP($B353,'Node Details'!$B:$U,E$1,0),"Check"),"")</f>
        <v>Airtel</v>
      </c>
      <c r="F353" s="101">
        <v>46113</v>
      </c>
      <c r="G353" s="103"/>
      <c r="H353" s="102" t="s">
        <v>1256</v>
      </c>
      <c r="I353" s="9">
        <v>1</v>
      </c>
      <c r="J353" s="9">
        <v>48</v>
      </c>
      <c r="K353" s="100">
        <f t="shared" si="58"/>
        <v>48</v>
      </c>
      <c r="L353" s="78">
        <v>46112</v>
      </c>
      <c r="M353" s="103"/>
      <c r="N353" s="93" t="s">
        <v>143</v>
      </c>
      <c r="O353" s="94">
        <v>46141</v>
      </c>
      <c r="P353" s="104">
        <f t="shared" si="53"/>
        <v>48</v>
      </c>
      <c r="Q353" s="104">
        <f t="shared" si="54"/>
        <v>48</v>
      </c>
      <c r="R353" s="104"/>
      <c r="S353" s="93" t="s">
        <v>331</v>
      </c>
      <c r="T353" s="94">
        <v>46153</v>
      </c>
      <c r="U353" s="104">
        <f t="shared" si="55"/>
        <v>48</v>
      </c>
      <c r="V353" s="104">
        <f t="shared" si="56"/>
        <v>1</v>
      </c>
      <c r="W353" s="103">
        <f t="shared" si="57"/>
        <v>48</v>
      </c>
      <c r="X353" s="93" t="s">
        <v>89</v>
      </c>
      <c r="Y353" s="105" t="s">
        <v>84</v>
      </c>
      <c r="Z353" s="105" t="s">
        <v>93</v>
      </c>
    </row>
    <row r="354" spans="1:26" s="105" customFormat="1" ht="15" customHeight="1">
      <c r="A354" s="99">
        <f t="shared" si="52"/>
        <v>352</v>
      </c>
      <c r="B354" s="75" t="s">
        <v>1036</v>
      </c>
      <c r="C354" s="100" t="str">
        <f>IF($B354&lt;&gt;"",_xlfn.IFNA(VLOOKUP($B354,'Node Details'!$B:$U,C$1,0),"Check"),"")</f>
        <v>AXY140108-AXY140104</v>
      </c>
      <c r="D354" s="100" t="str">
        <f>IF($B354&lt;&gt;"",_xlfn.IFNA(VLOOKUP($B354,'Node Details'!$B:$U,D$1,0),"Check"),"")</f>
        <v>AXY</v>
      </c>
      <c r="E354" s="100" t="str">
        <f>IF($B354&lt;&gt;"",_xlfn.IFNA(VLOOKUP($B354,'Node Details'!$B:$U,E$1,0),"Check"),"")</f>
        <v>Airtel</v>
      </c>
      <c r="F354" s="101">
        <v>46113</v>
      </c>
      <c r="G354" s="103"/>
      <c r="H354" s="102" t="s">
        <v>1256</v>
      </c>
      <c r="I354" s="9">
        <v>1</v>
      </c>
      <c r="J354" s="9">
        <v>48</v>
      </c>
      <c r="K354" s="100">
        <f t="shared" si="58"/>
        <v>48</v>
      </c>
      <c r="L354" s="78">
        <v>46112</v>
      </c>
      <c r="M354" s="103"/>
      <c r="N354" s="93" t="s">
        <v>143</v>
      </c>
      <c r="O354" s="94">
        <v>46141</v>
      </c>
      <c r="P354" s="104">
        <f t="shared" si="53"/>
        <v>48</v>
      </c>
      <c r="Q354" s="104">
        <f t="shared" si="54"/>
        <v>48</v>
      </c>
      <c r="R354" s="104"/>
      <c r="S354" s="93" t="s">
        <v>331</v>
      </c>
      <c r="T354" s="94">
        <v>46153</v>
      </c>
      <c r="U354" s="104">
        <f t="shared" si="55"/>
        <v>48</v>
      </c>
      <c r="V354" s="104">
        <f t="shared" si="56"/>
        <v>1</v>
      </c>
      <c r="W354" s="103">
        <f t="shared" si="57"/>
        <v>48</v>
      </c>
      <c r="X354" s="93" t="s">
        <v>89</v>
      </c>
      <c r="Y354" s="105" t="s">
        <v>84</v>
      </c>
      <c r="Z354" s="105" t="s">
        <v>93</v>
      </c>
    </row>
    <row r="355" spans="1:26" s="105" customFormat="1" ht="15" customHeight="1">
      <c r="A355" s="99">
        <f t="shared" si="52"/>
        <v>353</v>
      </c>
      <c r="B355" s="75" t="s">
        <v>330</v>
      </c>
      <c r="C355" s="100" t="str">
        <f>IF($B355&lt;&gt;"",_xlfn.IFNA(VLOOKUP($B355,'Node Details'!$B:$U,C$1,0),"Check"),"")</f>
        <v>AXY140108-AXY140104</v>
      </c>
      <c r="D355" s="100" t="str">
        <f>IF($B355&lt;&gt;"",_xlfn.IFNA(VLOOKUP($B355,'Node Details'!$B:$U,D$1,0),"Check"),"")</f>
        <v>AXY</v>
      </c>
      <c r="E355" s="100" t="str">
        <f>IF($B355&lt;&gt;"",_xlfn.IFNA(VLOOKUP($B355,'Node Details'!$B:$U,E$1,0),"Check"),"")</f>
        <v>Airtel</v>
      </c>
      <c r="F355" s="101">
        <v>46113</v>
      </c>
      <c r="G355" s="103"/>
      <c r="H355" s="102" t="s">
        <v>1256</v>
      </c>
      <c r="I355" s="9">
        <v>1</v>
      </c>
      <c r="J355" s="9">
        <v>48</v>
      </c>
      <c r="K355" s="100">
        <f t="shared" si="58"/>
        <v>48</v>
      </c>
      <c r="L355" s="78">
        <v>46112</v>
      </c>
      <c r="M355" s="103"/>
      <c r="N355" s="93" t="s">
        <v>143</v>
      </c>
      <c r="O355" s="94">
        <v>46141</v>
      </c>
      <c r="P355" s="104">
        <f t="shared" si="53"/>
        <v>48</v>
      </c>
      <c r="Q355" s="104">
        <f t="shared" si="54"/>
        <v>48</v>
      </c>
      <c r="R355" s="104"/>
      <c r="S355" s="93" t="s">
        <v>331</v>
      </c>
      <c r="T355" s="94">
        <v>46153</v>
      </c>
      <c r="U355" s="104">
        <f t="shared" si="55"/>
        <v>48</v>
      </c>
      <c r="V355" s="104">
        <f t="shared" si="56"/>
        <v>1</v>
      </c>
      <c r="W355" s="103">
        <f t="shared" si="57"/>
        <v>48</v>
      </c>
      <c r="X355" s="93" t="s">
        <v>89</v>
      </c>
      <c r="Y355" s="105" t="s">
        <v>84</v>
      </c>
      <c r="Z355" s="105" t="s">
        <v>93</v>
      </c>
    </row>
    <row r="356" spans="1:26" s="105" customFormat="1" ht="15" customHeight="1">
      <c r="A356" s="99">
        <f t="shared" si="52"/>
        <v>354</v>
      </c>
      <c r="B356" s="75" t="s">
        <v>1037</v>
      </c>
      <c r="C356" s="100" t="str">
        <f>IF($B356&lt;&gt;"",_xlfn.IFNA(VLOOKUP($B356,'Node Details'!$B:$U,C$1,0),"Check"),"")</f>
        <v>000000AXY-0000AXY17</v>
      </c>
      <c r="D356" s="100" t="str">
        <f>IF($B356&lt;&gt;"",_xlfn.IFNA(VLOOKUP($B356,'Node Details'!$B:$U,D$1,0),"Check"),"")</f>
        <v>AXY</v>
      </c>
      <c r="E356" s="100" t="str">
        <f>IF($B356&lt;&gt;"",_xlfn.IFNA(VLOOKUP($B356,'Node Details'!$B:$U,E$1,0),"Check"),"")</f>
        <v>Airtel</v>
      </c>
      <c r="F356" s="101">
        <v>46113</v>
      </c>
      <c r="G356" s="103"/>
      <c r="H356" s="102" t="s">
        <v>1256</v>
      </c>
      <c r="I356" s="9">
        <v>1</v>
      </c>
      <c r="J356" s="9">
        <v>48</v>
      </c>
      <c r="K356" s="100">
        <f t="shared" si="58"/>
        <v>48</v>
      </c>
      <c r="L356" s="78">
        <v>46112</v>
      </c>
      <c r="M356" s="103"/>
      <c r="N356" s="93" t="s">
        <v>143</v>
      </c>
      <c r="O356" s="94">
        <v>46141</v>
      </c>
      <c r="P356" s="104">
        <f t="shared" si="53"/>
        <v>48</v>
      </c>
      <c r="Q356" s="104">
        <f t="shared" si="54"/>
        <v>48</v>
      </c>
      <c r="R356" s="104"/>
      <c r="S356" s="93" t="s">
        <v>331</v>
      </c>
      <c r="T356" s="94">
        <v>46153</v>
      </c>
      <c r="U356" s="104">
        <f t="shared" si="55"/>
        <v>48</v>
      </c>
      <c r="V356" s="104">
        <f t="shared" si="56"/>
        <v>1</v>
      </c>
      <c r="W356" s="103">
        <f t="shared" si="57"/>
        <v>48</v>
      </c>
      <c r="X356" s="93" t="s">
        <v>89</v>
      </c>
      <c r="Y356" s="105" t="s">
        <v>84</v>
      </c>
      <c r="Z356" s="105" t="s">
        <v>93</v>
      </c>
    </row>
    <row r="357" spans="1:26" s="105" customFormat="1" ht="15" customHeight="1">
      <c r="A357" s="99">
        <f t="shared" si="52"/>
        <v>355</v>
      </c>
      <c r="B357" s="75" t="s">
        <v>1038</v>
      </c>
      <c r="C357" s="100" t="str">
        <f>IF($B357&lt;&gt;"",_xlfn.IFNA(VLOOKUP($B357,'Node Details'!$B:$U,C$1,0),"Check"),"")</f>
        <v>0000AXY15-AXY150103</v>
      </c>
      <c r="D357" s="100" t="str">
        <f>IF($B357&lt;&gt;"",_xlfn.IFNA(VLOOKUP($B357,'Node Details'!$B:$U,D$1,0),"Check"),"")</f>
        <v>AXY</v>
      </c>
      <c r="E357" s="100" t="str">
        <f>IF($B357&lt;&gt;"",_xlfn.IFNA(VLOOKUP($B357,'Node Details'!$B:$U,E$1,0),"Check"),"")</f>
        <v>Airtel</v>
      </c>
      <c r="F357" s="101">
        <v>46113</v>
      </c>
      <c r="G357" s="103"/>
      <c r="H357" s="102" t="s">
        <v>1256</v>
      </c>
      <c r="I357" s="9">
        <v>1</v>
      </c>
      <c r="J357" s="9">
        <v>48</v>
      </c>
      <c r="K357" s="100">
        <f t="shared" si="58"/>
        <v>48</v>
      </c>
      <c r="L357" s="78">
        <v>46112</v>
      </c>
      <c r="M357" s="103"/>
      <c r="N357" s="93" t="s">
        <v>143</v>
      </c>
      <c r="O357" s="94">
        <v>46141</v>
      </c>
      <c r="P357" s="104">
        <f t="shared" si="53"/>
        <v>48</v>
      </c>
      <c r="Q357" s="104">
        <f t="shared" si="54"/>
        <v>48</v>
      </c>
      <c r="R357" s="104"/>
      <c r="S357" s="93" t="s">
        <v>331</v>
      </c>
      <c r="T357" s="94">
        <v>46153</v>
      </c>
      <c r="U357" s="104">
        <f t="shared" si="55"/>
        <v>48</v>
      </c>
      <c r="V357" s="104">
        <f t="shared" si="56"/>
        <v>1</v>
      </c>
      <c r="W357" s="103">
        <f t="shared" si="57"/>
        <v>48</v>
      </c>
      <c r="X357" s="93" t="s">
        <v>89</v>
      </c>
      <c r="Y357" s="105" t="s">
        <v>84</v>
      </c>
      <c r="Z357" s="105" t="s">
        <v>93</v>
      </c>
    </row>
    <row r="358" spans="1:26" s="105" customFormat="1" ht="15" customHeight="1">
      <c r="A358" s="99">
        <f t="shared" si="52"/>
        <v>356</v>
      </c>
      <c r="B358" s="75" t="s">
        <v>1039</v>
      </c>
      <c r="C358" s="100" t="str">
        <f>IF($B358&lt;&gt;"",_xlfn.IFNA(VLOOKUP($B358,'Node Details'!$B:$U,C$1,0),"Check"),"")</f>
        <v>0000AXY15-AXY150103</v>
      </c>
      <c r="D358" s="100" t="str">
        <f>IF($B358&lt;&gt;"",_xlfn.IFNA(VLOOKUP($B358,'Node Details'!$B:$U,D$1,0),"Check"),"")</f>
        <v>AXY</v>
      </c>
      <c r="E358" s="100" t="str">
        <f>IF($B358&lt;&gt;"",_xlfn.IFNA(VLOOKUP($B358,'Node Details'!$B:$U,E$1,0),"Check"),"")</f>
        <v>Airtel</v>
      </c>
      <c r="F358" s="101">
        <v>46113</v>
      </c>
      <c r="G358" s="103"/>
      <c r="H358" s="102" t="s">
        <v>1256</v>
      </c>
      <c r="I358" s="9">
        <v>1</v>
      </c>
      <c r="J358" s="9">
        <v>48</v>
      </c>
      <c r="K358" s="100">
        <f t="shared" si="58"/>
        <v>48</v>
      </c>
      <c r="L358" s="78">
        <v>46112</v>
      </c>
      <c r="M358" s="103"/>
      <c r="N358" s="93" t="s">
        <v>143</v>
      </c>
      <c r="O358" s="94">
        <v>46141</v>
      </c>
      <c r="P358" s="104">
        <f t="shared" si="53"/>
        <v>48</v>
      </c>
      <c r="Q358" s="104">
        <f t="shared" si="54"/>
        <v>48</v>
      </c>
      <c r="R358" s="104"/>
      <c r="S358" s="93" t="s">
        <v>331</v>
      </c>
      <c r="T358" s="94">
        <v>46153</v>
      </c>
      <c r="U358" s="104">
        <f t="shared" si="55"/>
        <v>48</v>
      </c>
      <c r="V358" s="104">
        <f t="shared" si="56"/>
        <v>1</v>
      </c>
      <c r="W358" s="103">
        <f t="shared" si="57"/>
        <v>48</v>
      </c>
      <c r="X358" s="93" t="s">
        <v>89</v>
      </c>
      <c r="Y358" s="105" t="s">
        <v>84</v>
      </c>
      <c r="Z358" s="105" t="s">
        <v>93</v>
      </c>
    </row>
    <row r="359" spans="1:26" s="105" customFormat="1" ht="15" customHeight="1">
      <c r="A359" s="99">
        <f t="shared" si="52"/>
        <v>357</v>
      </c>
      <c r="B359" s="75" t="s">
        <v>335</v>
      </c>
      <c r="C359" s="100" t="str">
        <f>IF($B359&lt;&gt;"",_xlfn.IFNA(VLOOKUP($B359,'Node Details'!$B:$U,C$1,0),"Check"),"")</f>
        <v>0000AXY15-AXY150103</v>
      </c>
      <c r="D359" s="100" t="str">
        <f>IF($B359&lt;&gt;"",_xlfn.IFNA(VLOOKUP($B359,'Node Details'!$B:$U,D$1,0),"Check"),"")</f>
        <v>AXY</v>
      </c>
      <c r="E359" s="100" t="str">
        <f>IF($B359&lt;&gt;"",_xlfn.IFNA(VLOOKUP($B359,'Node Details'!$B:$U,E$1,0),"Check"),"")</f>
        <v>Airtel</v>
      </c>
      <c r="F359" s="101">
        <v>46113</v>
      </c>
      <c r="G359" s="103"/>
      <c r="H359" s="102" t="s">
        <v>1256</v>
      </c>
      <c r="I359" s="9">
        <v>1</v>
      </c>
      <c r="J359" s="9">
        <v>48</v>
      </c>
      <c r="K359" s="100">
        <f t="shared" si="58"/>
        <v>48</v>
      </c>
      <c r="L359" s="78">
        <v>46112</v>
      </c>
      <c r="M359" s="103"/>
      <c r="N359" s="93" t="s">
        <v>143</v>
      </c>
      <c r="O359" s="94">
        <v>46141</v>
      </c>
      <c r="P359" s="104">
        <f t="shared" si="53"/>
        <v>48</v>
      </c>
      <c r="Q359" s="104">
        <f t="shared" si="54"/>
        <v>48</v>
      </c>
      <c r="R359" s="104"/>
      <c r="S359" s="93" t="s">
        <v>331</v>
      </c>
      <c r="T359" s="94">
        <v>46153</v>
      </c>
      <c r="U359" s="104">
        <f t="shared" si="55"/>
        <v>48</v>
      </c>
      <c r="V359" s="104">
        <f t="shared" si="56"/>
        <v>1</v>
      </c>
      <c r="W359" s="103">
        <f t="shared" si="57"/>
        <v>48</v>
      </c>
      <c r="X359" s="93" t="s">
        <v>89</v>
      </c>
      <c r="Y359" s="105" t="s">
        <v>84</v>
      </c>
      <c r="Z359" s="105" t="s">
        <v>93</v>
      </c>
    </row>
    <row r="360" spans="1:26" s="105" customFormat="1" ht="15" customHeight="1">
      <c r="A360" s="99">
        <f t="shared" si="52"/>
        <v>358</v>
      </c>
      <c r="B360" s="75" t="s">
        <v>339</v>
      </c>
      <c r="C360" s="100" t="str">
        <f>IF($B360&lt;&gt;"",_xlfn.IFNA(VLOOKUP($B360,'Node Details'!$B:$U,C$1,0),"Check"),"")</f>
        <v>0000AXY15-AXY150104</v>
      </c>
      <c r="D360" s="100" t="str">
        <f>IF($B360&lt;&gt;"",_xlfn.IFNA(VLOOKUP($B360,'Node Details'!$B:$U,D$1,0),"Check"),"")</f>
        <v>AXY</v>
      </c>
      <c r="E360" s="100" t="str">
        <f>IF($B360&lt;&gt;"",_xlfn.IFNA(VLOOKUP($B360,'Node Details'!$B:$U,E$1,0),"Check"),"")</f>
        <v>Airtel</v>
      </c>
      <c r="F360" s="101">
        <v>46113</v>
      </c>
      <c r="G360" s="103"/>
      <c r="H360" s="102" t="s">
        <v>1256</v>
      </c>
      <c r="I360" s="9">
        <v>1</v>
      </c>
      <c r="J360" s="9">
        <v>48</v>
      </c>
      <c r="K360" s="100">
        <f t="shared" si="58"/>
        <v>48</v>
      </c>
      <c r="L360" s="78">
        <v>46112</v>
      </c>
      <c r="M360" s="103"/>
      <c r="N360" s="93" t="s">
        <v>143</v>
      </c>
      <c r="O360" s="94">
        <v>46141</v>
      </c>
      <c r="P360" s="104">
        <f t="shared" si="53"/>
        <v>48</v>
      </c>
      <c r="Q360" s="104">
        <f t="shared" si="54"/>
        <v>48</v>
      </c>
      <c r="R360" s="104"/>
      <c r="S360" s="93" t="s">
        <v>331</v>
      </c>
      <c r="T360" s="94">
        <v>46153</v>
      </c>
      <c r="U360" s="104">
        <f t="shared" si="55"/>
        <v>48</v>
      </c>
      <c r="V360" s="104">
        <f t="shared" si="56"/>
        <v>1</v>
      </c>
      <c r="W360" s="103">
        <f t="shared" si="57"/>
        <v>48</v>
      </c>
      <c r="X360" s="93" t="s">
        <v>89</v>
      </c>
      <c r="Y360" s="105" t="s">
        <v>84</v>
      </c>
      <c r="Z360" s="105" t="s">
        <v>93</v>
      </c>
    </row>
    <row r="361" spans="1:26" s="105" customFormat="1" ht="15" customHeight="1">
      <c r="A361" s="99">
        <f t="shared" si="52"/>
        <v>359</v>
      </c>
      <c r="B361" s="75" t="s">
        <v>1040</v>
      </c>
      <c r="C361" s="100" t="str">
        <f>IF($B361&lt;&gt;"",_xlfn.IFNA(VLOOKUP($B361,'Node Details'!$B:$U,C$1,0),"Check"),"")</f>
        <v>0000AXY15-AXY150108</v>
      </c>
      <c r="D361" s="100" t="str">
        <f>IF($B361&lt;&gt;"",_xlfn.IFNA(VLOOKUP($B361,'Node Details'!$B:$U,D$1,0),"Check"),"")</f>
        <v>AXY</v>
      </c>
      <c r="E361" s="100" t="str">
        <f>IF($B361&lt;&gt;"",_xlfn.IFNA(VLOOKUP($B361,'Node Details'!$B:$U,E$1,0),"Check"),"")</f>
        <v>Airtel</v>
      </c>
      <c r="F361" s="101">
        <v>46113</v>
      </c>
      <c r="G361" s="103"/>
      <c r="H361" s="102" t="s">
        <v>1256</v>
      </c>
      <c r="I361" s="9">
        <v>1</v>
      </c>
      <c r="J361" s="9">
        <v>48</v>
      </c>
      <c r="K361" s="100">
        <f t="shared" si="58"/>
        <v>48</v>
      </c>
      <c r="L361" s="78">
        <v>46112</v>
      </c>
      <c r="M361" s="103"/>
      <c r="N361" s="93" t="s">
        <v>143</v>
      </c>
      <c r="O361" s="94">
        <v>46141</v>
      </c>
      <c r="P361" s="104">
        <f t="shared" si="53"/>
        <v>48</v>
      </c>
      <c r="Q361" s="104">
        <f t="shared" si="54"/>
        <v>48</v>
      </c>
      <c r="R361" s="104"/>
      <c r="S361" s="93" t="s">
        <v>331</v>
      </c>
      <c r="T361" s="94">
        <v>46153</v>
      </c>
      <c r="U361" s="104">
        <f t="shared" si="55"/>
        <v>48</v>
      </c>
      <c r="V361" s="104">
        <f t="shared" si="56"/>
        <v>1</v>
      </c>
      <c r="W361" s="103">
        <f t="shared" si="57"/>
        <v>48</v>
      </c>
      <c r="X361" s="93" t="s">
        <v>89</v>
      </c>
      <c r="Y361" s="105" t="s">
        <v>84</v>
      </c>
      <c r="Z361" s="105" t="s">
        <v>93</v>
      </c>
    </row>
    <row r="362" spans="1:26" s="105" customFormat="1" ht="15" customHeight="1">
      <c r="A362" s="99">
        <f t="shared" si="52"/>
        <v>360</v>
      </c>
      <c r="B362" s="75" t="s">
        <v>1041</v>
      </c>
      <c r="C362" s="100" t="str">
        <f>IF($B362&lt;&gt;"",_xlfn.IFNA(VLOOKUP($B362,'Node Details'!$B:$U,C$1,0),"Check"),"")</f>
        <v>0000AXY15-AXY150108</v>
      </c>
      <c r="D362" s="100" t="str">
        <f>IF($B362&lt;&gt;"",_xlfn.IFNA(VLOOKUP($B362,'Node Details'!$B:$U,D$1,0),"Check"),"")</f>
        <v>AXY</v>
      </c>
      <c r="E362" s="100" t="str">
        <f>IF($B362&lt;&gt;"",_xlfn.IFNA(VLOOKUP($B362,'Node Details'!$B:$U,E$1,0),"Check"),"")</f>
        <v>Airtel</v>
      </c>
      <c r="F362" s="101">
        <v>46113</v>
      </c>
      <c r="G362" s="103"/>
      <c r="H362" s="102" t="s">
        <v>1256</v>
      </c>
      <c r="I362" s="9">
        <v>1</v>
      </c>
      <c r="J362" s="9">
        <v>48</v>
      </c>
      <c r="K362" s="100">
        <f t="shared" si="58"/>
        <v>48</v>
      </c>
      <c r="L362" s="78">
        <v>46112</v>
      </c>
      <c r="M362" s="103"/>
      <c r="N362" s="93" t="s">
        <v>143</v>
      </c>
      <c r="O362" s="94">
        <v>46141</v>
      </c>
      <c r="P362" s="104">
        <f t="shared" si="53"/>
        <v>48</v>
      </c>
      <c r="Q362" s="104">
        <f t="shared" si="54"/>
        <v>48</v>
      </c>
      <c r="R362" s="104"/>
      <c r="S362" s="93" t="s">
        <v>331</v>
      </c>
      <c r="T362" s="94">
        <v>46153</v>
      </c>
      <c r="U362" s="104">
        <f t="shared" si="55"/>
        <v>48</v>
      </c>
      <c r="V362" s="104">
        <f t="shared" si="56"/>
        <v>1</v>
      </c>
      <c r="W362" s="103">
        <f t="shared" si="57"/>
        <v>48</v>
      </c>
      <c r="X362" s="93" t="s">
        <v>89</v>
      </c>
      <c r="Y362" s="105" t="s">
        <v>84</v>
      </c>
      <c r="Z362" s="105" t="s">
        <v>93</v>
      </c>
    </row>
    <row r="363" spans="1:26" s="105" customFormat="1" ht="15" customHeight="1">
      <c r="A363" s="99">
        <f t="shared" si="52"/>
        <v>361</v>
      </c>
      <c r="B363" s="75" t="s">
        <v>342</v>
      </c>
      <c r="C363" s="100" t="str">
        <f>IF($B363&lt;&gt;"",_xlfn.IFNA(VLOOKUP($B363,'Node Details'!$B:$U,C$1,0),"Check"),"")</f>
        <v>0000AXY15-AXY150108</v>
      </c>
      <c r="D363" s="100" t="str">
        <f>IF($B363&lt;&gt;"",_xlfn.IFNA(VLOOKUP($B363,'Node Details'!$B:$U,D$1,0),"Check"),"")</f>
        <v>AXY</v>
      </c>
      <c r="E363" s="100" t="str">
        <f>IF($B363&lt;&gt;"",_xlfn.IFNA(VLOOKUP($B363,'Node Details'!$B:$U,E$1,0),"Check"),"")</f>
        <v>Airtel</v>
      </c>
      <c r="F363" s="101">
        <v>46113</v>
      </c>
      <c r="G363" s="103"/>
      <c r="H363" s="102" t="s">
        <v>1256</v>
      </c>
      <c r="I363" s="9">
        <v>1</v>
      </c>
      <c r="J363" s="9">
        <v>48</v>
      </c>
      <c r="K363" s="100">
        <f t="shared" si="58"/>
        <v>48</v>
      </c>
      <c r="L363" s="78">
        <v>46112</v>
      </c>
      <c r="M363" s="103"/>
      <c r="N363" s="93" t="s">
        <v>143</v>
      </c>
      <c r="O363" s="94">
        <v>46141</v>
      </c>
      <c r="P363" s="104">
        <f t="shared" si="53"/>
        <v>48</v>
      </c>
      <c r="Q363" s="104">
        <f t="shared" si="54"/>
        <v>48</v>
      </c>
      <c r="R363" s="104"/>
      <c r="S363" s="93" t="s">
        <v>331</v>
      </c>
      <c r="T363" s="94">
        <v>46153</v>
      </c>
      <c r="U363" s="104">
        <f t="shared" si="55"/>
        <v>48</v>
      </c>
      <c r="V363" s="104">
        <f t="shared" si="56"/>
        <v>1</v>
      </c>
      <c r="W363" s="103">
        <f t="shared" si="57"/>
        <v>48</v>
      </c>
      <c r="X363" s="93" t="s">
        <v>89</v>
      </c>
      <c r="Y363" s="105" t="s">
        <v>84</v>
      </c>
      <c r="Z363" s="105" t="s">
        <v>93</v>
      </c>
    </row>
    <row r="364" spans="1:26" s="105" customFormat="1" ht="15" customHeight="1">
      <c r="A364" s="99">
        <f t="shared" si="52"/>
        <v>362</v>
      </c>
      <c r="B364" s="75" t="s">
        <v>1042</v>
      </c>
      <c r="C364" s="100" t="str">
        <f>IF($B364&lt;&gt;"",_xlfn.IFNA(VLOOKUP($B364,'Node Details'!$B:$U,C$1,0),"Check"),"")</f>
        <v>000000AXY-0000AXY17</v>
      </c>
      <c r="D364" s="100" t="str">
        <f>IF($B364&lt;&gt;"",_xlfn.IFNA(VLOOKUP($B364,'Node Details'!$B:$U,D$1,0),"Check"),"")</f>
        <v>AXY</v>
      </c>
      <c r="E364" s="100" t="str">
        <f>IF($B364&lt;&gt;"",_xlfn.IFNA(VLOOKUP($B364,'Node Details'!$B:$U,E$1,0),"Check"),"")</f>
        <v>Airtel</v>
      </c>
      <c r="F364" s="101">
        <v>46113</v>
      </c>
      <c r="G364" s="103"/>
      <c r="H364" s="102" t="s">
        <v>1256</v>
      </c>
      <c r="I364" s="9">
        <v>1</v>
      </c>
      <c r="J364" s="9">
        <v>48</v>
      </c>
      <c r="K364" s="100">
        <f t="shared" si="58"/>
        <v>48</v>
      </c>
      <c r="L364" s="78">
        <v>46112</v>
      </c>
      <c r="M364" s="103"/>
      <c r="N364" s="93" t="s">
        <v>143</v>
      </c>
      <c r="O364" s="94">
        <v>46141</v>
      </c>
      <c r="P364" s="104">
        <f t="shared" si="53"/>
        <v>48</v>
      </c>
      <c r="Q364" s="104">
        <f t="shared" si="54"/>
        <v>48</v>
      </c>
      <c r="R364" s="104"/>
      <c r="S364" s="93" t="s">
        <v>331</v>
      </c>
      <c r="T364" s="94">
        <v>46153</v>
      </c>
      <c r="U364" s="104">
        <f t="shared" si="55"/>
        <v>48</v>
      </c>
      <c r="V364" s="104">
        <f t="shared" si="56"/>
        <v>1</v>
      </c>
      <c r="W364" s="103">
        <f t="shared" si="57"/>
        <v>48</v>
      </c>
      <c r="X364" s="93" t="s">
        <v>89</v>
      </c>
      <c r="Y364" s="105" t="s">
        <v>84</v>
      </c>
      <c r="Z364" s="105" t="s">
        <v>93</v>
      </c>
    </row>
    <row r="365" spans="1:26" s="105" customFormat="1" ht="15" customHeight="1">
      <c r="A365" s="99">
        <f t="shared" si="52"/>
        <v>363</v>
      </c>
      <c r="B365" s="75" t="s">
        <v>346</v>
      </c>
      <c r="C365" s="100" t="str">
        <f>IF($B365&lt;&gt;"",_xlfn.IFNA(VLOOKUP($B365,'Node Details'!$B:$U,C$1,0),"Check"),"")</f>
        <v>0000AXY16-AXY160104</v>
      </c>
      <c r="D365" s="100" t="str">
        <f>IF($B365&lt;&gt;"",_xlfn.IFNA(VLOOKUP($B365,'Node Details'!$B:$U,D$1,0),"Check"),"")</f>
        <v>AXY</v>
      </c>
      <c r="E365" s="100" t="str">
        <f>IF($B365&lt;&gt;"",_xlfn.IFNA(VLOOKUP($B365,'Node Details'!$B:$U,E$1,0),"Check"),"")</f>
        <v>Airtel</v>
      </c>
      <c r="F365" s="101">
        <v>46113</v>
      </c>
      <c r="G365" s="103"/>
      <c r="H365" s="102" t="s">
        <v>1256</v>
      </c>
      <c r="I365" s="9">
        <v>1</v>
      </c>
      <c r="J365" s="9">
        <v>48</v>
      </c>
      <c r="K365" s="100">
        <f t="shared" si="58"/>
        <v>48</v>
      </c>
      <c r="L365" s="78">
        <v>46112</v>
      </c>
      <c r="M365" s="103"/>
      <c r="N365" s="93" t="s">
        <v>143</v>
      </c>
      <c r="O365" s="94">
        <v>46141</v>
      </c>
      <c r="P365" s="104">
        <f t="shared" si="53"/>
        <v>48</v>
      </c>
      <c r="Q365" s="104">
        <f t="shared" si="54"/>
        <v>48</v>
      </c>
      <c r="R365" s="104"/>
      <c r="S365" s="93" t="s">
        <v>331</v>
      </c>
      <c r="T365" s="94">
        <v>46153</v>
      </c>
      <c r="U365" s="104">
        <f t="shared" si="55"/>
        <v>48</v>
      </c>
      <c r="V365" s="104">
        <f t="shared" si="56"/>
        <v>1</v>
      </c>
      <c r="W365" s="103">
        <f t="shared" si="57"/>
        <v>48</v>
      </c>
      <c r="X365" s="93" t="s">
        <v>89</v>
      </c>
      <c r="Y365" s="105" t="s">
        <v>84</v>
      </c>
      <c r="Z365" s="105" t="s">
        <v>93</v>
      </c>
    </row>
    <row r="366" spans="1:26" s="105" customFormat="1" ht="15" customHeight="1">
      <c r="A366" s="99">
        <f t="shared" si="52"/>
        <v>364</v>
      </c>
      <c r="B366" s="75" t="s">
        <v>1043</v>
      </c>
      <c r="C366" s="100" t="str">
        <f>IF($B366&lt;&gt;"",_xlfn.IFNA(VLOOKUP($B366,'Node Details'!$B:$U,C$1,0),"Check"),"")</f>
        <v>0000AXY16-AXY160103</v>
      </c>
      <c r="D366" s="100" t="str">
        <f>IF($B366&lt;&gt;"",_xlfn.IFNA(VLOOKUP($B366,'Node Details'!$B:$U,D$1,0),"Check"),"")</f>
        <v>AXY</v>
      </c>
      <c r="E366" s="100" t="str">
        <f>IF($B366&lt;&gt;"",_xlfn.IFNA(VLOOKUP($B366,'Node Details'!$B:$U,E$1,0),"Check"),"")</f>
        <v>Airtel</v>
      </c>
      <c r="F366" s="101">
        <v>46113</v>
      </c>
      <c r="G366" s="103"/>
      <c r="H366" s="102" t="s">
        <v>1256</v>
      </c>
      <c r="I366" s="9">
        <v>1</v>
      </c>
      <c r="J366" s="9">
        <v>48</v>
      </c>
      <c r="K366" s="100">
        <f t="shared" si="58"/>
        <v>48</v>
      </c>
      <c r="L366" s="78">
        <v>46112</v>
      </c>
      <c r="M366" s="103"/>
      <c r="N366" s="93" t="s">
        <v>143</v>
      </c>
      <c r="O366" s="94">
        <v>46141</v>
      </c>
      <c r="P366" s="104">
        <f t="shared" si="53"/>
        <v>48</v>
      </c>
      <c r="Q366" s="104">
        <f t="shared" si="54"/>
        <v>48</v>
      </c>
      <c r="R366" s="104"/>
      <c r="S366" s="93" t="s">
        <v>331</v>
      </c>
      <c r="T366" s="94">
        <v>46153</v>
      </c>
      <c r="U366" s="104">
        <f t="shared" si="55"/>
        <v>48</v>
      </c>
      <c r="V366" s="104">
        <f t="shared" si="56"/>
        <v>1</v>
      </c>
      <c r="W366" s="103">
        <f t="shared" si="57"/>
        <v>48</v>
      </c>
      <c r="X366" s="93" t="s">
        <v>89</v>
      </c>
      <c r="Y366" s="105" t="s">
        <v>84</v>
      </c>
      <c r="Z366" s="105" t="s">
        <v>93</v>
      </c>
    </row>
    <row r="367" spans="1:26" s="105" customFormat="1" ht="15" customHeight="1">
      <c r="A367" s="99">
        <f t="shared" si="52"/>
        <v>365</v>
      </c>
      <c r="B367" s="75" t="s">
        <v>1044</v>
      </c>
      <c r="C367" s="100" t="str">
        <f>IF($B367&lt;&gt;"",_xlfn.IFNA(VLOOKUP($B367,'Node Details'!$B:$U,C$1,0),"Check"),"")</f>
        <v>0000AXY16-AXY160103</v>
      </c>
      <c r="D367" s="100" t="str">
        <f>IF($B367&lt;&gt;"",_xlfn.IFNA(VLOOKUP($B367,'Node Details'!$B:$U,D$1,0),"Check"),"")</f>
        <v>AXY</v>
      </c>
      <c r="E367" s="100" t="str">
        <f>IF($B367&lt;&gt;"",_xlfn.IFNA(VLOOKUP($B367,'Node Details'!$B:$U,E$1,0),"Check"),"")</f>
        <v>Airtel</v>
      </c>
      <c r="F367" s="101">
        <v>46113</v>
      </c>
      <c r="G367" s="103"/>
      <c r="H367" s="102" t="s">
        <v>1256</v>
      </c>
      <c r="I367" s="9">
        <v>1</v>
      </c>
      <c r="J367" s="9">
        <v>48</v>
      </c>
      <c r="K367" s="100">
        <f t="shared" si="58"/>
        <v>48</v>
      </c>
      <c r="L367" s="78">
        <v>46112</v>
      </c>
      <c r="M367" s="103"/>
      <c r="N367" s="93" t="s">
        <v>143</v>
      </c>
      <c r="O367" s="94">
        <v>46141</v>
      </c>
      <c r="P367" s="104">
        <f t="shared" si="53"/>
        <v>48</v>
      </c>
      <c r="Q367" s="104">
        <f t="shared" si="54"/>
        <v>48</v>
      </c>
      <c r="R367" s="104"/>
      <c r="S367" s="93" t="s">
        <v>331</v>
      </c>
      <c r="T367" s="94">
        <v>46153</v>
      </c>
      <c r="U367" s="104">
        <f t="shared" si="55"/>
        <v>48</v>
      </c>
      <c r="V367" s="104">
        <f t="shared" si="56"/>
        <v>1</v>
      </c>
      <c r="W367" s="103">
        <f t="shared" si="57"/>
        <v>48</v>
      </c>
      <c r="X367" s="93" t="s">
        <v>89</v>
      </c>
      <c r="Y367" s="105" t="s">
        <v>84</v>
      </c>
      <c r="Z367" s="105" t="s">
        <v>93</v>
      </c>
    </row>
    <row r="368" spans="1:26" s="105" customFormat="1" ht="15" customHeight="1">
      <c r="A368" s="99">
        <f t="shared" si="52"/>
        <v>366</v>
      </c>
      <c r="B368" s="75" t="s">
        <v>349</v>
      </c>
      <c r="C368" s="100" t="str">
        <f>IF($B368&lt;&gt;"",_xlfn.IFNA(VLOOKUP($B368,'Node Details'!$B:$U,C$1,0),"Check"),"")</f>
        <v>0000AXY16-AXY160103</v>
      </c>
      <c r="D368" s="100" t="str">
        <f>IF($B368&lt;&gt;"",_xlfn.IFNA(VLOOKUP($B368,'Node Details'!$B:$U,D$1,0),"Check"),"")</f>
        <v>AXY</v>
      </c>
      <c r="E368" s="100" t="str">
        <f>IF($B368&lt;&gt;"",_xlfn.IFNA(VLOOKUP($B368,'Node Details'!$B:$U,E$1,0),"Check"),"")</f>
        <v>Airtel</v>
      </c>
      <c r="F368" s="101">
        <v>46113</v>
      </c>
      <c r="G368" s="103"/>
      <c r="H368" s="102" t="s">
        <v>1256</v>
      </c>
      <c r="I368" s="9">
        <v>1</v>
      </c>
      <c r="J368" s="9">
        <v>48</v>
      </c>
      <c r="K368" s="100">
        <f t="shared" si="58"/>
        <v>48</v>
      </c>
      <c r="L368" s="78">
        <v>46112</v>
      </c>
      <c r="M368" s="103"/>
      <c r="N368" s="93" t="s">
        <v>143</v>
      </c>
      <c r="O368" s="94">
        <v>46141</v>
      </c>
      <c r="P368" s="104">
        <f t="shared" si="53"/>
        <v>48</v>
      </c>
      <c r="Q368" s="104">
        <f t="shared" si="54"/>
        <v>48</v>
      </c>
      <c r="R368" s="104"/>
      <c r="S368" s="93" t="s">
        <v>331</v>
      </c>
      <c r="T368" s="94">
        <v>46153</v>
      </c>
      <c r="U368" s="104">
        <f t="shared" si="55"/>
        <v>48</v>
      </c>
      <c r="V368" s="104">
        <f t="shared" si="56"/>
        <v>1</v>
      </c>
      <c r="W368" s="103">
        <f t="shared" si="57"/>
        <v>48</v>
      </c>
      <c r="X368" s="93" t="s">
        <v>89</v>
      </c>
      <c r="Y368" s="105" t="s">
        <v>84</v>
      </c>
      <c r="Z368" s="105" t="s">
        <v>93</v>
      </c>
    </row>
    <row r="369" spans="1:26" s="105" customFormat="1" ht="15" customHeight="1">
      <c r="A369" s="99">
        <f t="shared" si="52"/>
        <v>367</v>
      </c>
      <c r="B369" s="75" t="s">
        <v>1045</v>
      </c>
      <c r="C369" s="100" t="str">
        <f>IF($B369&lt;&gt;"",_xlfn.IFNA(VLOOKUP($B369,'Node Details'!$B:$U,C$1,0),"Check"),"")</f>
        <v>0000AXY16-AXY160107</v>
      </c>
      <c r="D369" s="100" t="str">
        <f>IF($B369&lt;&gt;"",_xlfn.IFNA(VLOOKUP($B369,'Node Details'!$B:$U,D$1,0),"Check"),"")</f>
        <v>AXY</v>
      </c>
      <c r="E369" s="100" t="str">
        <f>IF($B369&lt;&gt;"",_xlfn.IFNA(VLOOKUP($B369,'Node Details'!$B:$U,E$1,0),"Check"),"")</f>
        <v>Airtel</v>
      </c>
      <c r="F369" s="101">
        <v>46113</v>
      </c>
      <c r="G369" s="103"/>
      <c r="H369" s="102" t="s">
        <v>1256</v>
      </c>
      <c r="I369" s="9">
        <v>1</v>
      </c>
      <c r="J369" s="9">
        <v>48</v>
      </c>
      <c r="K369" s="100">
        <f t="shared" si="58"/>
        <v>48</v>
      </c>
      <c r="L369" s="78">
        <v>46112</v>
      </c>
      <c r="M369" s="103"/>
      <c r="N369" s="93" t="s">
        <v>143</v>
      </c>
      <c r="O369" s="94">
        <v>46141</v>
      </c>
      <c r="P369" s="104">
        <f t="shared" si="53"/>
        <v>48</v>
      </c>
      <c r="Q369" s="104">
        <f t="shared" si="54"/>
        <v>48</v>
      </c>
      <c r="R369" s="104"/>
      <c r="S369" s="93" t="s">
        <v>331</v>
      </c>
      <c r="T369" s="94">
        <v>46153</v>
      </c>
      <c r="U369" s="104">
        <f t="shared" si="55"/>
        <v>48</v>
      </c>
      <c r="V369" s="104">
        <f t="shared" si="56"/>
        <v>1</v>
      </c>
      <c r="W369" s="103">
        <f t="shared" si="57"/>
        <v>48</v>
      </c>
      <c r="X369" s="93" t="s">
        <v>89</v>
      </c>
      <c r="Y369" s="105" t="s">
        <v>84</v>
      </c>
      <c r="Z369" s="105" t="s">
        <v>93</v>
      </c>
    </row>
    <row r="370" spans="1:26" s="105" customFormat="1" ht="15" customHeight="1">
      <c r="A370" s="99">
        <f t="shared" si="52"/>
        <v>368</v>
      </c>
      <c r="B370" s="75" t="s">
        <v>1046</v>
      </c>
      <c r="C370" s="100" t="str">
        <f>IF($B370&lt;&gt;"",_xlfn.IFNA(VLOOKUP($B370,'Node Details'!$B:$U,C$1,0),"Check"),"")</f>
        <v>0000AXY16-AXY160107</v>
      </c>
      <c r="D370" s="100" t="str">
        <f>IF($B370&lt;&gt;"",_xlfn.IFNA(VLOOKUP($B370,'Node Details'!$B:$U,D$1,0),"Check"),"")</f>
        <v>AXY</v>
      </c>
      <c r="E370" s="100" t="str">
        <f>IF($B370&lt;&gt;"",_xlfn.IFNA(VLOOKUP($B370,'Node Details'!$B:$U,E$1,0),"Check"),"")</f>
        <v>Airtel</v>
      </c>
      <c r="F370" s="101">
        <v>46113</v>
      </c>
      <c r="G370" s="103"/>
      <c r="H370" s="102" t="s">
        <v>1256</v>
      </c>
      <c r="I370" s="9">
        <v>1</v>
      </c>
      <c r="J370" s="9">
        <v>48</v>
      </c>
      <c r="K370" s="100">
        <f t="shared" si="58"/>
        <v>48</v>
      </c>
      <c r="L370" s="78">
        <v>46112</v>
      </c>
      <c r="M370" s="103"/>
      <c r="N370" s="93" t="s">
        <v>143</v>
      </c>
      <c r="O370" s="94">
        <v>46141</v>
      </c>
      <c r="P370" s="104">
        <f t="shared" si="53"/>
        <v>48</v>
      </c>
      <c r="Q370" s="104">
        <f t="shared" si="54"/>
        <v>48</v>
      </c>
      <c r="R370" s="104"/>
      <c r="S370" s="93" t="s">
        <v>331</v>
      </c>
      <c r="T370" s="94">
        <v>46153</v>
      </c>
      <c r="U370" s="104">
        <f t="shared" si="55"/>
        <v>48</v>
      </c>
      <c r="V370" s="104">
        <f t="shared" si="56"/>
        <v>1</v>
      </c>
      <c r="W370" s="103">
        <f t="shared" si="57"/>
        <v>48</v>
      </c>
      <c r="X370" s="93" t="s">
        <v>89</v>
      </c>
      <c r="Y370" s="105" t="s">
        <v>84</v>
      </c>
      <c r="Z370" s="105" t="s">
        <v>93</v>
      </c>
    </row>
    <row r="371" spans="1:26" s="105" customFormat="1" ht="15" customHeight="1">
      <c r="A371" s="99">
        <f t="shared" si="52"/>
        <v>369</v>
      </c>
      <c r="B371" s="75" t="s">
        <v>352</v>
      </c>
      <c r="C371" s="100" t="str">
        <f>IF($B371&lt;&gt;"",_xlfn.IFNA(VLOOKUP($B371,'Node Details'!$B:$U,C$1,0),"Check"),"")</f>
        <v>0000AXY16-AXY160107</v>
      </c>
      <c r="D371" s="100" t="str">
        <f>IF($B371&lt;&gt;"",_xlfn.IFNA(VLOOKUP($B371,'Node Details'!$B:$U,D$1,0),"Check"),"")</f>
        <v>AXY</v>
      </c>
      <c r="E371" s="100" t="str">
        <f>IF($B371&lt;&gt;"",_xlfn.IFNA(VLOOKUP($B371,'Node Details'!$B:$U,E$1,0),"Check"),"")</f>
        <v>Airtel</v>
      </c>
      <c r="F371" s="101">
        <v>46113</v>
      </c>
      <c r="G371" s="103"/>
      <c r="H371" s="102" t="s">
        <v>1256</v>
      </c>
      <c r="I371" s="9">
        <v>1</v>
      </c>
      <c r="J371" s="9">
        <v>48</v>
      </c>
      <c r="K371" s="100">
        <f t="shared" si="58"/>
        <v>48</v>
      </c>
      <c r="L371" s="78">
        <v>46112</v>
      </c>
      <c r="M371" s="103"/>
      <c r="N371" s="93" t="s">
        <v>143</v>
      </c>
      <c r="O371" s="94">
        <v>46141</v>
      </c>
      <c r="P371" s="104">
        <f t="shared" si="53"/>
        <v>48</v>
      </c>
      <c r="Q371" s="104">
        <f t="shared" si="54"/>
        <v>48</v>
      </c>
      <c r="R371" s="104"/>
      <c r="S371" s="93" t="s">
        <v>331</v>
      </c>
      <c r="T371" s="94">
        <v>46153</v>
      </c>
      <c r="U371" s="104">
        <f t="shared" si="55"/>
        <v>48</v>
      </c>
      <c r="V371" s="104">
        <f t="shared" si="56"/>
        <v>1</v>
      </c>
      <c r="W371" s="103">
        <f t="shared" si="57"/>
        <v>48</v>
      </c>
      <c r="X371" s="93" t="s">
        <v>89</v>
      </c>
      <c r="Y371" s="105" t="s">
        <v>84</v>
      </c>
      <c r="Z371" s="105" t="s">
        <v>93</v>
      </c>
    </row>
    <row r="372" spans="1:26" s="105" customFormat="1" ht="15" customHeight="1">
      <c r="A372" s="99">
        <f t="shared" si="52"/>
        <v>370</v>
      </c>
      <c r="B372" s="75" t="s">
        <v>355</v>
      </c>
      <c r="C372" s="100" t="str">
        <f>IF($B372&lt;&gt;"",_xlfn.IFNA(VLOOKUP($B372,'Node Details'!$B:$U,C$1,0),"Check"),"")</f>
        <v>0000AXY16-AXY160108</v>
      </c>
      <c r="D372" s="100" t="str">
        <f>IF($B372&lt;&gt;"",_xlfn.IFNA(VLOOKUP($B372,'Node Details'!$B:$U,D$1,0),"Check"),"")</f>
        <v>AXY</v>
      </c>
      <c r="E372" s="100" t="str">
        <f>IF($B372&lt;&gt;"",_xlfn.IFNA(VLOOKUP($B372,'Node Details'!$B:$U,E$1,0),"Check"),"")</f>
        <v>Airtel</v>
      </c>
      <c r="F372" s="101">
        <v>46113</v>
      </c>
      <c r="G372" s="103"/>
      <c r="H372" s="102" t="s">
        <v>1256</v>
      </c>
      <c r="I372" s="9">
        <v>1</v>
      </c>
      <c r="J372" s="9">
        <v>48</v>
      </c>
      <c r="K372" s="100">
        <f t="shared" si="58"/>
        <v>48</v>
      </c>
      <c r="L372" s="78">
        <v>46112</v>
      </c>
      <c r="M372" s="103"/>
      <c r="N372" s="93" t="s">
        <v>143</v>
      </c>
      <c r="O372" s="94">
        <v>46141</v>
      </c>
      <c r="P372" s="104">
        <f t="shared" si="53"/>
        <v>48</v>
      </c>
      <c r="Q372" s="104">
        <f t="shared" si="54"/>
        <v>48</v>
      </c>
      <c r="R372" s="104"/>
      <c r="S372" s="93" t="s">
        <v>331</v>
      </c>
      <c r="T372" s="94">
        <v>46153</v>
      </c>
      <c r="U372" s="104">
        <f t="shared" si="55"/>
        <v>48</v>
      </c>
      <c r="V372" s="104">
        <f t="shared" si="56"/>
        <v>1</v>
      </c>
      <c r="W372" s="103">
        <f t="shared" si="57"/>
        <v>48</v>
      </c>
      <c r="X372" s="93" t="s">
        <v>89</v>
      </c>
      <c r="Y372" s="105" t="s">
        <v>84</v>
      </c>
      <c r="Z372" s="105" t="s">
        <v>93</v>
      </c>
    </row>
    <row r="373" spans="1:26" s="105" customFormat="1" ht="15" customHeight="1">
      <c r="A373" s="99">
        <f t="shared" si="52"/>
        <v>371</v>
      </c>
      <c r="B373" s="75" t="s">
        <v>147</v>
      </c>
      <c r="C373" s="100" t="str">
        <f>IF($B373&lt;&gt;"",_xlfn.IFNA(VLOOKUP($B373,'Node Details'!$B:$U,C$1,0),"Check"),"")</f>
        <v>000000AXY-0000AXY17</v>
      </c>
      <c r="D373" s="100" t="str">
        <f>IF($B373&lt;&gt;"",_xlfn.IFNA(VLOOKUP($B373,'Node Details'!$B:$U,D$1,0),"Check"),"")</f>
        <v>AXY</v>
      </c>
      <c r="E373" s="100" t="str">
        <f>IF($B373&lt;&gt;"",_xlfn.IFNA(VLOOKUP($B373,'Node Details'!$B:$U,E$1,0),"Check"),"")</f>
        <v>Airtel</v>
      </c>
      <c r="F373" s="101">
        <v>46113</v>
      </c>
      <c r="G373" s="103"/>
      <c r="H373" s="102" t="s">
        <v>1256</v>
      </c>
      <c r="I373" s="9">
        <v>1</v>
      </c>
      <c r="J373" s="9">
        <v>48</v>
      </c>
      <c r="K373" s="100">
        <f t="shared" si="58"/>
        <v>48</v>
      </c>
      <c r="L373" s="78">
        <v>46112</v>
      </c>
      <c r="M373" s="103"/>
      <c r="N373" s="93" t="s">
        <v>143</v>
      </c>
      <c r="O373" s="94">
        <v>46141</v>
      </c>
      <c r="P373" s="104">
        <f t="shared" si="53"/>
        <v>48</v>
      </c>
      <c r="Q373" s="104">
        <f t="shared" si="54"/>
        <v>48</v>
      </c>
      <c r="R373" s="104"/>
      <c r="S373" s="93" t="s">
        <v>331</v>
      </c>
      <c r="T373" s="94">
        <v>46153</v>
      </c>
      <c r="U373" s="104">
        <f t="shared" si="55"/>
        <v>48</v>
      </c>
      <c r="V373" s="104">
        <f t="shared" si="56"/>
        <v>1</v>
      </c>
      <c r="W373" s="103">
        <f t="shared" si="57"/>
        <v>48</v>
      </c>
      <c r="X373" s="93" t="s">
        <v>89</v>
      </c>
      <c r="Y373" s="105" t="s">
        <v>84</v>
      </c>
      <c r="Z373" s="105" t="s">
        <v>93</v>
      </c>
    </row>
    <row r="374" spans="1:26" s="105" customFormat="1" ht="15" customHeight="1">
      <c r="A374" s="99">
        <f t="shared" si="52"/>
        <v>372</v>
      </c>
      <c r="B374" s="75" t="s">
        <v>359</v>
      </c>
      <c r="C374" s="100" t="str">
        <f>IF($B374&lt;&gt;"",_xlfn.IFNA(VLOOKUP($B374,'Node Details'!$B:$U,C$1,0),"Check"),"")</f>
        <v>0000AXY17-AXY170101</v>
      </c>
      <c r="D374" s="100" t="str">
        <f>IF($B374&lt;&gt;"",_xlfn.IFNA(VLOOKUP($B374,'Node Details'!$B:$U,D$1,0),"Check"),"")</f>
        <v>AXY</v>
      </c>
      <c r="E374" s="100" t="str">
        <f>IF($B374&lt;&gt;"",_xlfn.IFNA(VLOOKUP($B374,'Node Details'!$B:$U,E$1,0),"Check"),"")</f>
        <v>Airtel</v>
      </c>
      <c r="F374" s="101">
        <v>46113</v>
      </c>
      <c r="G374" s="103"/>
      <c r="H374" s="102" t="s">
        <v>1256</v>
      </c>
      <c r="I374" s="9">
        <v>1</v>
      </c>
      <c r="J374" s="9">
        <v>48</v>
      </c>
      <c r="K374" s="100">
        <f t="shared" si="58"/>
        <v>48</v>
      </c>
      <c r="L374" s="78">
        <v>46112</v>
      </c>
      <c r="M374" s="103"/>
      <c r="N374" s="93" t="s">
        <v>143</v>
      </c>
      <c r="O374" s="94">
        <v>46141</v>
      </c>
      <c r="P374" s="104">
        <f t="shared" si="53"/>
        <v>48</v>
      </c>
      <c r="Q374" s="104">
        <f t="shared" si="54"/>
        <v>48</v>
      </c>
      <c r="R374" s="104"/>
      <c r="S374" s="93" t="s">
        <v>331</v>
      </c>
      <c r="T374" s="94">
        <v>46153</v>
      </c>
      <c r="U374" s="104">
        <f t="shared" si="55"/>
        <v>48</v>
      </c>
      <c r="V374" s="104">
        <f t="shared" si="56"/>
        <v>1</v>
      </c>
      <c r="W374" s="103">
        <f t="shared" si="57"/>
        <v>48</v>
      </c>
      <c r="X374" s="93" t="s">
        <v>89</v>
      </c>
      <c r="Y374" s="105" t="s">
        <v>84</v>
      </c>
      <c r="Z374" s="105" t="s">
        <v>93</v>
      </c>
    </row>
    <row r="375" spans="1:26" s="105" customFormat="1" ht="15" customHeight="1">
      <c r="A375" s="99">
        <f t="shared" si="52"/>
        <v>373</v>
      </c>
      <c r="B375" s="75" t="s">
        <v>1047</v>
      </c>
      <c r="C375" s="100" t="str">
        <f>IF($B375&lt;&gt;"",_xlfn.IFNA(VLOOKUP($B375,'Node Details'!$B:$U,C$1,0),"Check"),"")</f>
        <v>0000AXY17-AXY170107</v>
      </c>
      <c r="D375" s="100" t="str">
        <f>IF($B375&lt;&gt;"",_xlfn.IFNA(VLOOKUP($B375,'Node Details'!$B:$U,D$1,0),"Check"),"")</f>
        <v>AXY</v>
      </c>
      <c r="E375" s="100" t="str">
        <f>IF($B375&lt;&gt;"",_xlfn.IFNA(VLOOKUP($B375,'Node Details'!$B:$U,E$1,0),"Check"),"")</f>
        <v>Airtel</v>
      </c>
      <c r="F375" s="101">
        <v>46113</v>
      </c>
      <c r="G375" s="103"/>
      <c r="H375" s="102" t="s">
        <v>1256</v>
      </c>
      <c r="I375" s="9">
        <v>1</v>
      </c>
      <c r="J375" s="9">
        <v>48</v>
      </c>
      <c r="K375" s="100">
        <f t="shared" si="58"/>
        <v>48</v>
      </c>
      <c r="L375" s="78">
        <v>46112</v>
      </c>
      <c r="M375" s="103"/>
      <c r="N375" s="93" t="s">
        <v>143</v>
      </c>
      <c r="O375" s="94">
        <v>46141</v>
      </c>
      <c r="P375" s="104">
        <f t="shared" si="53"/>
        <v>48</v>
      </c>
      <c r="Q375" s="104">
        <f t="shared" si="54"/>
        <v>48</v>
      </c>
      <c r="R375" s="104"/>
      <c r="S375" s="93" t="s">
        <v>331</v>
      </c>
      <c r="T375" s="94">
        <v>46153</v>
      </c>
      <c r="U375" s="104">
        <f t="shared" si="55"/>
        <v>48</v>
      </c>
      <c r="V375" s="104">
        <f t="shared" si="56"/>
        <v>1</v>
      </c>
      <c r="W375" s="103">
        <f t="shared" si="57"/>
        <v>48</v>
      </c>
      <c r="X375" s="93" t="s">
        <v>89</v>
      </c>
      <c r="Y375" s="105" t="s">
        <v>84</v>
      </c>
      <c r="Z375" s="105" t="s">
        <v>93</v>
      </c>
    </row>
    <row r="376" spans="1:26" s="105" customFormat="1" ht="15" customHeight="1">
      <c r="A376" s="99">
        <f t="shared" si="52"/>
        <v>374</v>
      </c>
      <c r="B376" s="75" t="s">
        <v>1048</v>
      </c>
      <c r="C376" s="100" t="str">
        <f>IF($B376&lt;&gt;"",_xlfn.IFNA(VLOOKUP($B376,'Node Details'!$B:$U,C$1,0),"Check"),"")</f>
        <v>0000AXY17-AXY170107</v>
      </c>
      <c r="D376" s="100" t="str">
        <f>IF($B376&lt;&gt;"",_xlfn.IFNA(VLOOKUP($B376,'Node Details'!$B:$U,D$1,0),"Check"),"")</f>
        <v>AXY</v>
      </c>
      <c r="E376" s="100" t="str">
        <f>IF($B376&lt;&gt;"",_xlfn.IFNA(VLOOKUP($B376,'Node Details'!$B:$U,E$1,0),"Check"),"")</f>
        <v>Airtel</v>
      </c>
      <c r="F376" s="101">
        <v>46113</v>
      </c>
      <c r="G376" s="103"/>
      <c r="H376" s="102" t="s">
        <v>1256</v>
      </c>
      <c r="I376" s="9">
        <v>1</v>
      </c>
      <c r="J376" s="9">
        <v>48</v>
      </c>
      <c r="K376" s="100">
        <f t="shared" si="58"/>
        <v>48</v>
      </c>
      <c r="L376" s="78">
        <v>46112</v>
      </c>
      <c r="M376" s="103"/>
      <c r="N376" s="93" t="s">
        <v>143</v>
      </c>
      <c r="O376" s="94">
        <v>46141</v>
      </c>
      <c r="P376" s="104">
        <f t="shared" si="53"/>
        <v>48</v>
      </c>
      <c r="Q376" s="104">
        <f t="shared" si="54"/>
        <v>48</v>
      </c>
      <c r="R376" s="104"/>
      <c r="S376" s="93" t="s">
        <v>331</v>
      </c>
      <c r="T376" s="94">
        <v>46153</v>
      </c>
      <c r="U376" s="104">
        <f t="shared" si="55"/>
        <v>48</v>
      </c>
      <c r="V376" s="104">
        <f t="shared" si="56"/>
        <v>1</v>
      </c>
      <c r="W376" s="103">
        <f t="shared" si="57"/>
        <v>48</v>
      </c>
      <c r="X376" s="93" t="s">
        <v>89</v>
      </c>
      <c r="Y376" s="105" t="s">
        <v>84</v>
      </c>
      <c r="Z376" s="105" t="s">
        <v>93</v>
      </c>
    </row>
    <row r="377" spans="1:26" s="105" customFormat="1" ht="15" customHeight="1">
      <c r="A377" s="99">
        <f t="shared" si="52"/>
        <v>375</v>
      </c>
      <c r="B377" s="75" t="s">
        <v>1049</v>
      </c>
      <c r="C377" s="100" t="str">
        <f>IF($B377&lt;&gt;"",_xlfn.IFNA(VLOOKUP($B377,'Node Details'!$B:$U,C$1,0),"Check"),"")</f>
        <v>0000AXY17-AXY170201</v>
      </c>
      <c r="D377" s="100" t="str">
        <f>IF($B377&lt;&gt;"",_xlfn.IFNA(VLOOKUP($B377,'Node Details'!$B:$U,D$1,0),"Check"),"")</f>
        <v>AXY</v>
      </c>
      <c r="E377" s="100" t="str">
        <f>IF($B377&lt;&gt;"",_xlfn.IFNA(VLOOKUP($B377,'Node Details'!$B:$U,E$1,0),"Check"),"")</f>
        <v>Airtel</v>
      </c>
      <c r="F377" s="101">
        <v>46113</v>
      </c>
      <c r="G377" s="103"/>
      <c r="H377" s="102" t="s">
        <v>1256</v>
      </c>
      <c r="I377" s="9">
        <v>1</v>
      </c>
      <c r="J377" s="9">
        <v>48</v>
      </c>
      <c r="K377" s="100">
        <f t="shared" si="58"/>
        <v>48</v>
      </c>
      <c r="L377" s="78">
        <v>46112</v>
      </c>
      <c r="M377" s="103"/>
      <c r="N377" s="93" t="s">
        <v>143</v>
      </c>
      <c r="O377" s="94">
        <v>46141</v>
      </c>
      <c r="P377" s="104">
        <f t="shared" si="53"/>
        <v>48</v>
      </c>
      <c r="Q377" s="104">
        <f t="shared" si="54"/>
        <v>48</v>
      </c>
      <c r="R377" s="104"/>
      <c r="S377" s="93" t="s">
        <v>331</v>
      </c>
      <c r="T377" s="94">
        <v>46153</v>
      </c>
      <c r="U377" s="104">
        <f t="shared" si="55"/>
        <v>48</v>
      </c>
      <c r="V377" s="104">
        <f t="shared" si="56"/>
        <v>1</v>
      </c>
      <c r="W377" s="103">
        <f t="shared" si="57"/>
        <v>48</v>
      </c>
      <c r="X377" s="93" t="s">
        <v>89</v>
      </c>
      <c r="Y377" s="105" t="s">
        <v>84</v>
      </c>
      <c r="Z377" s="105" t="s">
        <v>93</v>
      </c>
    </row>
    <row r="378" spans="1:26" s="105" customFormat="1" ht="15" customHeight="1">
      <c r="A378" s="99">
        <f t="shared" si="52"/>
        <v>376</v>
      </c>
      <c r="B378" s="75" t="s">
        <v>362</v>
      </c>
      <c r="C378" s="100" t="str">
        <f>IF($B378&lt;&gt;"",_xlfn.IFNA(VLOOKUP($B378,'Node Details'!$B:$U,C$1,0),"Check"),"")</f>
        <v>0000AXY17-AXY170201</v>
      </c>
      <c r="D378" s="100" t="str">
        <f>IF($B378&lt;&gt;"",_xlfn.IFNA(VLOOKUP($B378,'Node Details'!$B:$U,D$1,0),"Check"),"")</f>
        <v>AXY</v>
      </c>
      <c r="E378" s="100" t="str">
        <f>IF($B378&lt;&gt;"",_xlfn.IFNA(VLOOKUP($B378,'Node Details'!$B:$U,E$1,0),"Check"),"")</f>
        <v>Airtel</v>
      </c>
      <c r="F378" s="101">
        <v>46113</v>
      </c>
      <c r="G378" s="103"/>
      <c r="H378" s="102" t="s">
        <v>1256</v>
      </c>
      <c r="I378" s="9">
        <v>1</v>
      </c>
      <c r="J378" s="9">
        <v>48</v>
      </c>
      <c r="K378" s="100">
        <f t="shared" si="58"/>
        <v>48</v>
      </c>
      <c r="L378" s="78">
        <v>46112</v>
      </c>
      <c r="M378" s="103"/>
      <c r="N378" s="93" t="s">
        <v>143</v>
      </c>
      <c r="O378" s="94">
        <v>46141</v>
      </c>
      <c r="P378" s="104">
        <f t="shared" si="53"/>
        <v>48</v>
      </c>
      <c r="Q378" s="104">
        <f t="shared" si="54"/>
        <v>48</v>
      </c>
      <c r="R378" s="104"/>
      <c r="S378" s="93" t="s">
        <v>331</v>
      </c>
      <c r="T378" s="94">
        <v>46153</v>
      </c>
      <c r="U378" s="104">
        <f t="shared" si="55"/>
        <v>48</v>
      </c>
      <c r="V378" s="104">
        <f t="shared" si="56"/>
        <v>1</v>
      </c>
      <c r="W378" s="103">
        <f t="shared" si="57"/>
        <v>48</v>
      </c>
      <c r="X378" s="93" t="s">
        <v>89</v>
      </c>
      <c r="Y378" s="105" t="s">
        <v>84</v>
      </c>
      <c r="Z378" s="105" t="s">
        <v>93</v>
      </c>
    </row>
    <row r="379" spans="1:26" s="105" customFormat="1" ht="15" customHeight="1">
      <c r="A379" s="99">
        <f t="shared" si="52"/>
        <v>377</v>
      </c>
      <c r="B379" s="75" t="s">
        <v>365</v>
      </c>
      <c r="C379" s="100" t="str">
        <f>IF($B379&lt;&gt;"",_xlfn.IFNA(VLOOKUP($B379,'Node Details'!$B:$U,C$1,0),"Check"),"")</f>
        <v>AXY170103-AXY170107</v>
      </c>
      <c r="D379" s="100" t="str">
        <f>IF($B379&lt;&gt;"",_xlfn.IFNA(VLOOKUP($B379,'Node Details'!$B:$U,D$1,0),"Check"),"")</f>
        <v>AXY</v>
      </c>
      <c r="E379" s="100" t="str">
        <f>IF($B379&lt;&gt;"",_xlfn.IFNA(VLOOKUP($B379,'Node Details'!$B:$U,E$1,0),"Check"),"")</f>
        <v>Airtel</v>
      </c>
      <c r="F379" s="101">
        <v>46113</v>
      </c>
      <c r="G379" s="103"/>
      <c r="H379" s="102" t="s">
        <v>1256</v>
      </c>
      <c r="I379" s="9">
        <v>1</v>
      </c>
      <c r="J379" s="9">
        <v>48</v>
      </c>
      <c r="K379" s="100">
        <f t="shared" si="58"/>
        <v>48</v>
      </c>
      <c r="L379" s="78">
        <v>46112</v>
      </c>
      <c r="M379" s="103"/>
      <c r="N379" s="93" t="s">
        <v>143</v>
      </c>
      <c r="O379" s="94">
        <v>46141</v>
      </c>
      <c r="P379" s="104">
        <f t="shared" si="53"/>
        <v>48</v>
      </c>
      <c r="Q379" s="104">
        <f t="shared" si="54"/>
        <v>48</v>
      </c>
      <c r="R379" s="104"/>
      <c r="S379" s="93" t="s">
        <v>331</v>
      </c>
      <c r="T379" s="94">
        <v>46153</v>
      </c>
      <c r="U379" s="104">
        <f t="shared" si="55"/>
        <v>48</v>
      </c>
      <c r="V379" s="104">
        <f t="shared" si="56"/>
        <v>1</v>
      </c>
      <c r="W379" s="103">
        <f t="shared" si="57"/>
        <v>48</v>
      </c>
      <c r="X379" s="93" t="s">
        <v>89</v>
      </c>
      <c r="Y379" s="105" t="s">
        <v>84</v>
      </c>
      <c r="Z379" s="105" t="s">
        <v>93</v>
      </c>
    </row>
    <row r="380" spans="1:26" s="105" customFormat="1" ht="15" customHeight="1">
      <c r="A380" s="99">
        <f t="shared" si="52"/>
        <v>378</v>
      </c>
      <c r="B380" s="75" t="s">
        <v>1050</v>
      </c>
      <c r="C380" s="100" t="str">
        <f>IF($B380&lt;&gt;"",_xlfn.IFNA(VLOOKUP($B380,'Node Details'!$B:$U,C$1,0),"Check"),"")</f>
        <v>AXY170103-AXY170107</v>
      </c>
      <c r="D380" s="100" t="str">
        <f>IF($B380&lt;&gt;"",_xlfn.IFNA(VLOOKUP($B380,'Node Details'!$B:$U,D$1,0),"Check"),"")</f>
        <v>AXY</v>
      </c>
      <c r="E380" s="100" t="str">
        <f>IF($B380&lt;&gt;"",_xlfn.IFNA(VLOOKUP($B380,'Node Details'!$B:$U,E$1,0),"Check"),"")</f>
        <v>Airtel</v>
      </c>
      <c r="F380" s="101">
        <v>46113</v>
      </c>
      <c r="G380" s="103"/>
      <c r="H380" s="102" t="s">
        <v>1256</v>
      </c>
      <c r="I380" s="9">
        <v>1</v>
      </c>
      <c r="J380" s="9">
        <v>48</v>
      </c>
      <c r="K380" s="100">
        <f t="shared" si="58"/>
        <v>48</v>
      </c>
      <c r="L380" s="78">
        <v>46112</v>
      </c>
      <c r="M380" s="103"/>
      <c r="N380" s="93" t="s">
        <v>143</v>
      </c>
      <c r="O380" s="94">
        <v>46141</v>
      </c>
      <c r="P380" s="104">
        <f t="shared" si="53"/>
        <v>48</v>
      </c>
      <c r="Q380" s="104">
        <f t="shared" si="54"/>
        <v>48</v>
      </c>
      <c r="R380" s="104"/>
      <c r="S380" s="93" t="s">
        <v>331</v>
      </c>
      <c r="T380" s="94">
        <v>46153</v>
      </c>
      <c r="U380" s="104">
        <f t="shared" si="55"/>
        <v>48</v>
      </c>
      <c r="V380" s="104">
        <f t="shared" si="56"/>
        <v>1</v>
      </c>
      <c r="W380" s="103">
        <f t="shared" si="57"/>
        <v>48</v>
      </c>
      <c r="X380" s="93" t="s">
        <v>89</v>
      </c>
      <c r="Y380" s="105" t="s">
        <v>84</v>
      </c>
      <c r="Z380" s="105" t="s">
        <v>93</v>
      </c>
    </row>
    <row r="381" spans="1:26" s="105" customFormat="1" ht="15" customHeight="1">
      <c r="A381" s="99">
        <f t="shared" si="52"/>
        <v>379</v>
      </c>
      <c r="B381" s="75" t="s">
        <v>140</v>
      </c>
      <c r="C381" s="100" t="str">
        <f>IF($B381&lt;&gt;"",_xlfn.IFNA(VLOOKUP($B381,'Node Details'!$B:$U,C$1,0),"Check"),"")</f>
        <v>000000AXY-0000AXY12</v>
      </c>
      <c r="D381" s="100" t="str">
        <f>IF($B381&lt;&gt;"",_xlfn.IFNA(VLOOKUP($B381,'Node Details'!$B:$U,D$1,0),"Check"),"")</f>
        <v>AXY</v>
      </c>
      <c r="E381" s="100" t="str">
        <f>IF($B381&lt;&gt;"",_xlfn.IFNA(VLOOKUP($B381,'Node Details'!$B:$U,E$1,0),"Check"),"")</f>
        <v>Airtel</v>
      </c>
      <c r="F381" s="101">
        <v>46113</v>
      </c>
      <c r="G381" s="103"/>
      <c r="H381" s="102" t="s">
        <v>1257</v>
      </c>
      <c r="I381" s="9">
        <v>1</v>
      </c>
      <c r="J381" s="9">
        <v>2700</v>
      </c>
      <c r="K381" s="100">
        <f t="shared" si="58"/>
        <v>2700</v>
      </c>
      <c r="L381" s="78">
        <v>46112</v>
      </c>
      <c r="M381" s="103"/>
      <c r="N381" s="93" t="s">
        <v>143</v>
      </c>
      <c r="O381" s="94">
        <v>46141</v>
      </c>
      <c r="P381" s="104">
        <f t="shared" si="53"/>
        <v>2700</v>
      </c>
      <c r="Q381" s="104">
        <f t="shared" si="54"/>
        <v>2700</v>
      </c>
      <c r="R381" s="104"/>
      <c r="S381" s="93" t="s">
        <v>331</v>
      </c>
      <c r="T381" s="94">
        <v>46153</v>
      </c>
      <c r="U381" s="104">
        <f t="shared" si="55"/>
        <v>2700</v>
      </c>
      <c r="V381" s="104">
        <f t="shared" si="56"/>
        <v>1</v>
      </c>
      <c r="W381" s="103">
        <f t="shared" si="57"/>
        <v>2700</v>
      </c>
      <c r="X381" s="93" t="s">
        <v>89</v>
      </c>
      <c r="Y381" s="105" t="s">
        <v>84</v>
      </c>
      <c r="Z381" s="105" t="s">
        <v>93</v>
      </c>
    </row>
    <row r="382" spans="1:26" s="105" customFormat="1" ht="15" customHeight="1">
      <c r="A382" s="99">
        <f t="shared" si="52"/>
        <v>380</v>
      </c>
      <c r="B382" s="75" t="s">
        <v>149</v>
      </c>
      <c r="C382" s="100" t="str">
        <f>IF($B382&lt;&gt;"",_xlfn.IFNA(VLOOKUP($B382,'Node Details'!$B:$U,C$1,0),"Check"),"")</f>
        <v>000000AXY-0000AXY01</v>
      </c>
      <c r="D382" s="100" t="str">
        <f>IF($B382&lt;&gt;"",_xlfn.IFNA(VLOOKUP($B382,'Node Details'!$B:$U,D$1,0),"Check"),"")</f>
        <v>AXY</v>
      </c>
      <c r="E382" s="100" t="str">
        <f>IF($B382&lt;&gt;"",_xlfn.IFNA(VLOOKUP($B382,'Node Details'!$B:$U,E$1,0),"Check"),"")</f>
        <v>Airtel</v>
      </c>
      <c r="F382" s="101">
        <v>46113</v>
      </c>
      <c r="G382" s="103"/>
      <c r="H382" s="102" t="s">
        <v>1258</v>
      </c>
      <c r="I382" s="9">
        <v>18</v>
      </c>
      <c r="J382" s="9">
        <v>65</v>
      </c>
      <c r="K382" s="100">
        <f t="shared" si="58"/>
        <v>1170</v>
      </c>
      <c r="L382" s="78">
        <v>46112</v>
      </c>
      <c r="M382" s="103"/>
      <c r="N382" s="93" t="s">
        <v>143</v>
      </c>
      <c r="O382" s="94">
        <v>46141</v>
      </c>
      <c r="P382" s="104">
        <f t="shared" si="53"/>
        <v>65</v>
      </c>
      <c r="Q382" s="104">
        <f t="shared" si="54"/>
        <v>1170</v>
      </c>
      <c r="R382" s="104"/>
      <c r="S382" s="93" t="s">
        <v>331</v>
      </c>
      <c r="T382" s="94">
        <v>46153</v>
      </c>
      <c r="U382" s="104">
        <f t="shared" si="55"/>
        <v>65</v>
      </c>
      <c r="V382" s="104">
        <f t="shared" si="56"/>
        <v>18</v>
      </c>
      <c r="W382" s="103">
        <f t="shared" si="57"/>
        <v>1170</v>
      </c>
      <c r="X382" s="93" t="s">
        <v>89</v>
      </c>
      <c r="Y382" s="105" t="s">
        <v>84</v>
      </c>
      <c r="Z382" s="105" t="s">
        <v>93</v>
      </c>
    </row>
    <row r="383" spans="1:26" s="105" customFormat="1" ht="15" customHeight="1">
      <c r="A383" s="99">
        <f t="shared" si="52"/>
        <v>381</v>
      </c>
      <c r="B383" s="75" t="s">
        <v>157</v>
      </c>
      <c r="C383" s="100" t="str">
        <f>IF($B383&lt;&gt;"",_xlfn.IFNA(VLOOKUP($B383,'Node Details'!$B:$U,C$1,0),"Check"),"")</f>
        <v>0000AXY01-AXY010101</v>
      </c>
      <c r="D383" s="100" t="str">
        <f>IF($B383&lt;&gt;"",_xlfn.IFNA(VLOOKUP($B383,'Node Details'!$B:$U,D$1,0),"Check"),"")</f>
        <v>AXY</v>
      </c>
      <c r="E383" s="100" t="str">
        <f>IF($B383&lt;&gt;"",_xlfn.IFNA(VLOOKUP($B383,'Node Details'!$B:$U,E$1,0),"Check"),"")</f>
        <v>Airtel</v>
      </c>
      <c r="F383" s="101">
        <v>46113</v>
      </c>
      <c r="G383" s="103"/>
      <c r="H383" s="102" t="s">
        <v>1258</v>
      </c>
      <c r="I383" s="9">
        <v>2</v>
      </c>
      <c r="J383" s="9">
        <v>65</v>
      </c>
      <c r="K383" s="100">
        <f t="shared" si="58"/>
        <v>130</v>
      </c>
      <c r="L383" s="78">
        <v>46112</v>
      </c>
      <c r="M383" s="103"/>
      <c r="N383" s="93" t="s">
        <v>143</v>
      </c>
      <c r="O383" s="94">
        <v>46141</v>
      </c>
      <c r="P383" s="104">
        <f t="shared" si="53"/>
        <v>65</v>
      </c>
      <c r="Q383" s="104">
        <f t="shared" si="54"/>
        <v>130</v>
      </c>
      <c r="R383" s="104"/>
      <c r="S383" s="93" t="s">
        <v>331</v>
      </c>
      <c r="T383" s="94">
        <v>46153</v>
      </c>
      <c r="U383" s="104">
        <f t="shared" si="55"/>
        <v>65</v>
      </c>
      <c r="V383" s="104">
        <f t="shared" si="56"/>
        <v>2</v>
      </c>
      <c r="W383" s="103">
        <f t="shared" si="57"/>
        <v>130</v>
      </c>
      <c r="X383" s="93" t="s">
        <v>89</v>
      </c>
      <c r="Y383" s="105" t="s">
        <v>84</v>
      </c>
      <c r="Z383" s="105" t="s">
        <v>93</v>
      </c>
    </row>
    <row r="384" spans="1:26" s="105" customFormat="1" ht="15" customHeight="1">
      <c r="A384" s="99">
        <f t="shared" si="52"/>
        <v>382</v>
      </c>
      <c r="B384" s="75" t="s">
        <v>155</v>
      </c>
      <c r="C384" s="100" t="str">
        <f>IF($B384&lt;&gt;"",_xlfn.IFNA(VLOOKUP($B384,'Node Details'!$B:$U,C$1,0),"Check"),"")</f>
        <v>0000AXY02-0000AXY03</v>
      </c>
      <c r="D384" s="100" t="str">
        <f>IF($B384&lt;&gt;"",_xlfn.IFNA(VLOOKUP($B384,'Node Details'!$B:$U,D$1,0),"Check"),"")</f>
        <v>AXY</v>
      </c>
      <c r="E384" s="100" t="str">
        <f>IF($B384&lt;&gt;"",_xlfn.IFNA(VLOOKUP($B384,'Node Details'!$B:$U,E$1,0),"Check"),"")</f>
        <v>Airtel</v>
      </c>
      <c r="F384" s="101">
        <v>46113</v>
      </c>
      <c r="G384" s="103"/>
      <c r="H384" s="102" t="s">
        <v>1258</v>
      </c>
      <c r="I384" s="9">
        <v>18</v>
      </c>
      <c r="J384" s="9">
        <v>65</v>
      </c>
      <c r="K384" s="100">
        <f t="shared" si="58"/>
        <v>1170</v>
      </c>
      <c r="L384" s="78">
        <v>46112</v>
      </c>
      <c r="M384" s="103"/>
      <c r="N384" s="93" t="s">
        <v>143</v>
      </c>
      <c r="O384" s="94">
        <v>46141</v>
      </c>
      <c r="P384" s="104">
        <f t="shared" si="53"/>
        <v>65</v>
      </c>
      <c r="Q384" s="104">
        <f t="shared" si="54"/>
        <v>1170</v>
      </c>
      <c r="R384" s="104"/>
      <c r="S384" s="93" t="s">
        <v>331</v>
      </c>
      <c r="T384" s="94">
        <v>46153</v>
      </c>
      <c r="U384" s="104">
        <f t="shared" si="55"/>
        <v>65</v>
      </c>
      <c r="V384" s="104">
        <f t="shared" si="56"/>
        <v>18</v>
      </c>
      <c r="W384" s="103">
        <f t="shared" si="57"/>
        <v>1170</v>
      </c>
      <c r="X384" s="93" t="s">
        <v>89</v>
      </c>
      <c r="Y384" s="105" t="s">
        <v>84</v>
      </c>
      <c r="Z384" s="105" t="s">
        <v>93</v>
      </c>
    </row>
    <row r="385" spans="1:26" s="105" customFormat="1" ht="15" customHeight="1">
      <c r="A385" s="99">
        <f t="shared" si="52"/>
        <v>383</v>
      </c>
      <c r="B385" s="75" t="s">
        <v>169</v>
      </c>
      <c r="C385" s="100" t="str">
        <f>IF($B385&lt;&gt;"",_xlfn.IFNA(VLOOKUP($B385,'Node Details'!$B:$U,C$1,0),"Check"),"")</f>
        <v>AXY030103-AXY030105</v>
      </c>
      <c r="D385" s="100" t="str">
        <f>IF($B385&lt;&gt;"",_xlfn.IFNA(VLOOKUP($B385,'Node Details'!$B:$U,D$1,0),"Check"),"")</f>
        <v>AXY</v>
      </c>
      <c r="E385" s="100" t="str">
        <f>IF($B385&lt;&gt;"",_xlfn.IFNA(VLOOKUP($B385,'Node Details'!$B:$U,E$1,0),"Check"),"")</f>
        <v>Airtel</v>
      </c>
      <c r="F385" s="101">
        <v>46113</v>
      </c>
      <c r="G385" s="103"/>
      <c r="H385" s="102" t="s">
        <v>1258</v>
      </c>
      <c r="I385" s="9">
        <v>2</v>
      </c>
      <c r="J385" s="9">
        <v>65</v>
      </c>
      <c r="K385" s="100">
        <f t="shared" si="58"/>
        <v>130</v>
      </c>
      <c r="L385" s="78">
        <v>46112</v>
      </c>
      <c r="M385" s="103"/>
      <c r="N385" s="93" t="s">
        <v>143</v>
      </c>
      <c r="O385" s="94">
        <v>46141</v>
      </c>
      <c r="P385" s="104">
        <f t="shared" si="53"/>
        <v>65</v>
      </c>
      <c r="Q385" s="104">
        <f t="shared" si="54"/>
        <v>130</v>
      </c>
      <c r="R385" s="104"/>
      <c r="S385" s="93" t="s">
        <v>331</v>
      </c>
      <c r="T385" s="94">
        <v>46153</v>
      </c>
      <c r="U385" s="104">
        <f t="shared" si="55"/>
        <v>65</v>
      </c>
      <c r="V385" s="104">
        <f t="shared" si="56"/>
        <v>2</v>
      </c>
      <c r="W385" s="103">
        <f t="shared" si="57"/>
        <v>130</v>
      </c>
      <c r="X385" s="93" t="s">
        <v>89</v>
      </c>
      <c r="Y385" s="105" t="s">
        <v>84</v>
      </c>
      <c r="Z385" s="105" t="s">
        <v>93</v>
      </c>
    </row>
    <row r="386" spans="1:26" s="105" customFormat="1" ht="15" customHeight="1">
      <c r="A386" s="99">
        <f t="shared" si="52"/>
        <v>384</v>
      </c>
      <c r="B386" s="75" t="s">
        <v>155</v>
      </c>
      <c r="C386" s="100" t="str">
        <f>IF($B386&lt;&gt;"",_xlfn.IFNA(VLOOKUP($B386,'Node Details'!$B:$U,C$1,0),"Check"),"")</f>
        <v>0000AXY02-0000AXY03</v>
      </c>
      <c r="D386" s="100" t="str">
        <f>IF($B386&lt;&gt;"",_xlfn.IFNA(VLOOKUP($B386,'Node Details'!$B:$U,D$1,0),"Check"),"")</f>
        <v>AXY</v>
      </c>
      <c r="E386" s="100" t="str">
        <f>IF($B386&lt;&gt;"",_xlfn.IFNA(VLOOKUP($B386,'Node Details'!$B:$U,E$1,0),"Check"),"")</f>
        <v>Airtel</v>
      </c>
      <c r="F386" s="101">
        <v>46113</v>
      </c>
      <c r="G386" s="103"/>
      <c r="H386" s="102" t="s">
        <v>1258</v>
      </c>
      <c r="I386" s="9">
        <v>18</v>
      </c>
      <c r="J386" s="9">
        <v>65</v>
      </c>
      <c r="K386" s="100">
        <f t="shared" si="58"/>
        <v>1170</v>
      </c>
      <c r="L386" s="78">
        <v>46112</v>
      </c>
      <c r="M386" s="103"/>
      <c r="N386" s="93" t="s">
        <v>143</v>
      </c>
      <c r="O386" s="94">
        <v>46141</v>
      </c>
      <c r="P386" s="104">
        <f t="shared" si="53"/>
        <v>65</v>
      </c>
      <c r="Q386" s="104">
        <f t="shared" si="54"/>
        <v>1170</v>
      </c>
      <c r="R386" s="104"/>
      <c r="S386" s="93" t="s">
        <v>331</v>
      </c>
      <c r="T386" s="94">
        <v>46153</v>
      </c>
      <c r="U386" s="104">
        <f t="shared" si="55"/>
        <v>65</v>
      </c>
      <c r="V386" s="104">
        <f t="shared" si="56"/>
        <v>18</v>
      </c>
      <c r="W386" s="103">
        <f t="shared" si="57"/>
        <v>1170</v>
      </c>
      <c r="X386" s="93" t="s">
        <v>89</v>
      </c>
      <c r="Y386" s="105" t="s">
        <v>84</v>
      </c>
      <c r="Z386" s="105" t="s">
        <v>93</v>
      </c>
    </row>
    <row r="387" spans="1:26" s="105" customFormat="1" ht="15" customHeight="1">
      <c r="A387" s="99">
        <f t="shared" si="52"/>
        <v>385</v>
      </c>
      <c r="B387" s="75" t="s">
        <v>168</v>
      </c>
      <c r="C387" s="100" t="str">
        <f>IF($B387&lt;&gt;"",_xlfn.IFNA(VLOOKUP($B387,'Node Details'!$B:$U,C$1,0),"Check"),"")</f>
        <v>0000AXY03-AXY030104</v>
      </c>
      <c r="D387" s="100" t="str">
        <f>IF($B387&lt;&gt;"",_xlfn.IFNA(VLOOKUP($B387,'Node Details'!$B:$U,D$1,0),"Check"),"")</f>
        <v>AXY</v>
      </c>
      <c r="E387" s="100" t="str">
        <f>IF($B387&lt;&gt;"",_xlfn.IFNA(VLOOKUP($B387,'Node Details'!$B:$U,E$1,0),"Check"),"")</f>
        <v>Airtel</v>
      </c>
      <c r="F387" s="101">
        <v>46113</v>
      </c>
      <c r="G387" s="103"/>
      <c r="H387" s="102" t="s">
        <v>1258</v>
      </c>
      <c r="I387" s="9">
        <v>4</v>
      </c>
      <c r="J387" s="9">
        <v>65</v>
      </c>
      <c r="K387" s="100">
        <f t="shared" si="58"/>
        <v>260</v>
      </c>
      <c r="L387" s="78">
        <v>46112</v>
      </c>
      <c r="M387" s="103"/>
      <c r="N387" s="93" t="s">
        <v>143</v>
      </c>
      <c r="O387" s="94">
        <v>46141</v>
      </c>
      <c r="P387" s="104">
        <f t="shared" si="53"/>
        <v>65</v>
      </c>
      <c r="Q387" s="104">
        <f t="shared" si="54"/>
        <v>260</v>
      </c>
      <c r="R387" s="104"/>
      <c r="S387" s="93" t="s">
        <v>331</v>
      </c>
      <c r="T387" s="94">
        <v>46153</v>
      </c>
      <c r="U387" s="104">
        <f t="shared" si="55"/>
        <v>65</v>
      </c>
      <c r="V387" s="104">
        <f t="shared" si="56"/>
        <v>4</v>
      </c>
      <c r="W387" s="103">
        <f t="shared" si="57"/>
        <v>260</v>
      </c>
      <c r="X387" s="93" t="s">
        <v>89</v>
      </c>
      <c r="Y387" s="105" t="s">
        <v>84</v>
      </c>
      <c r="Z387" s="105" t="s">
        <v>93</v>
      </c>
    </row>
    <row r="388" spans="1:26" s="105" customFormat="1" ht="15" customHeight="1">
      <c r="A388" s="99">
        <f t="shared" ref="A388:A452" si="59">A387+1</f>
        <v>386</v>
      </c>
      <c r="B388" s="75" t="s">
        <v>166</v>
      </c>
      <c r="C388" s="100" t="str">
        <f>IF($B388&lt;&gt;"",_xlfn.IFNA(VLOOKUP($B388,'Node Details'!$B:$U,C$1,0),"Check"),"")</f>
        <v>0000AXY03-AXY030104</v>
      </c>
      <c r="D388" s="100" t="str">
        <f>IF($B388&lt;&gt;"",_xlfn.IFNA(VLOOKUP($B388,'Node Details'!$B:$U,D$1,0),"Check"),"")</f>
        <v>AXY</v>
      </c>
      <c r="E388" s="100" t="str">
        <f>IF($B388&lt;&gt;"",_xlfn.IFNA(VLOOKUP($B388,'Node Details'!$B:$U,E$1,0),"Check"),"")</f>
        <v>Airtel</v>
      </c>
      <c r="F388" s="101">
        <v>46113</v>
      </c>
      <c r="G388" s="103"/>
      <c r="H388" s="102" t="s">
        <v>1258</v>
      </c>
      <c r="I388" s="9">
        <v>2</v>
      </c>
      <c r="J388" s="9">
        <v>65</v>
      </c>
      <c r="K388" s="100">
        <f t="shared" si="58"/>
        <v>130</v>
      </c>
      <c r="L388" s="78">
        <v>46112</v>
      </c>
      <c r="M388" s="103"/>
      <c r="N388" s="93" t="s">
        <v>143</v>
      </c>
      <c r="O388" s="94">
        <v>46141</v>
      </c>
      <c r="P388" s="104">
        <f t="shared" si="53"/>
        <v>65</v>
      </c>
      <c r="Q388" s="104">
        <f t="shared" si="54"/>
        <v>130</v>
      </c>
      <c r="R388" s="104"/>
      <c r="S388" s="93" t="s">
        <v>331</v>
      </c>
      <c r="T388" s="94">
        <v>46153</v>
      </c>
      <c r="U388" s="104">
        <f t="shared" si="55"/>
        <v>65</v>
      </c>
      <c r="V388" s="104">
        <f t="shared" si="56"/>
        <v>2</v>
      </c>
      <c r="W388" s="103">
        <f t="shared" si="57"/>
        <v>130</v>
      </c>
      <c r="X388" s="93" t="s">
        <v>89</v>
      </c>
      <c r="Y388" s="105" t="s">
        <v>84</v>
      </c>
      <c r="Z388" s="105" t="s">
        <v>93</v>
      </c>
    </row>
    <row r="389" spans="1:26" s="105" customFormat="1" ht="15" customHeight="1">
      <c r="A389" s="99">
        <f t="shared" si="59"/>
        <v>387</v>
      </c>
      <c r="B389" s="75" t="s">
        <v>174</v>
      </c>
      <c r="C389" s="100" t="str">
        <f>IF($B389&lt;&gt;"",_xlfn.IFNA(VLOOKUP($B389,'Node Details'!$B:$U,C$1,0),"Check"),"")</f>
        <v>0000AXY03-AXY030108</v>
      </c>
      <c r="D389" s="100" t="str">
        <f>IF($B389&lt;&gt;"",_xlfn.IFNA(VLOOKUP($B389,'Node Details'!$B:$U,D$1,0),"Check"),"")</f>
        <v>AXY</v>
      </c>
      <c r="E389" s="100" t="str">
        <f>IF($B389&lt;&gt;"",_xlfn.IFNA(VLOOKUP($B389,'Node Details'!$B:$U,E$1,0),"Check"),"")</f>
        <v>Airtel</v>
      </c>
      <c r="F389" s="101">
        <v>46113</v>
      </c>
      <c r="G389" s="103"/>
      <c r="H389" s="102" t="s">
        <v>1258</v>
      </c>
      <c r="I389" s="9">
        <v>4</v>
      </c>
      <c r="J389" s="9">
        <v>65</v>
      </c>
      <c r="K389" s="100">
        <f t="shared" si="58"/>
        <v>260</v>
      </c>
      <c r="L389" s="78">
        <v>46112</v>
      </c>
      <c r="M389" s="103"/>
      <c r="N389" s="93" t="s">
        <v>143</v>
      </c>
      <c r="O389" s="94">
        <v>46141</v>
      </c>
      <c r="P389" s="104">
        <f t="shared" si="53"/>
        <v>65</v>
      </c>
      <c r="Q389" s="104">
        <f t="shared" si="54"/>
        <v>260</v>
      </c>
      <c r="R389" s="104"/>
      <c r="S389" s="93" t="s">
        <v>331</v>
      </c>
      <c r="T389" s="94">
        <v>46153</v>
      </c>
      <c r="U389" s="104">
        <f t="shared" si="55"/>
        <v>65</v>
      </c>
      <c r="V389" s="104">
        <f t="shared" si="56"/>
        <v>4</v>
      </c>
      <c r="W389" s="103">
        <f t="shared" si="57"/>
        <v>260</v>
      </c>
      <c r="X389" s="93" t="s">
        <v>89</v>
      </c>
      <c r="Y389" s="105" t="s">
        <v>84</v>
      </c>
      <c r="Z389" s="105" t="s">
        <v>93</v>
      </c>
    </row>
    <row r="390" spans="1:26" s="105" customFormat="1" ht="15" customHeight="1">
      <c r="A390" s="99">
        <f t="shared" si="59"/>
        <v>388</v>
      </c>
      <c r="B390" s="75" t="s">
        <v>172</v>
      </c>
      <c r="C390" s="100" t="str">
        <f>IF($B390&lt;&gt;"",_xlfn.IFNA(VLOOKUP($B390,'Node Details'!$B:$U,C$1,0),"Check"),"")</f>
        <v>0000AXY03-AXY030108</v>
      </c>
      <c r="D390" s="100" t="str">
        <f>IF($B390&lt;&gt;"",_xlfn.IFNA(VLOOKUP($B390,'Node Details'!$B:$U,D$1,0),"Check"),"")</f>
        <v>AXY</v>
      </c>
      <c r="E390" s="100" t="str">
        <f>IF($B390&lt;&gt;"",_xlfn.IFNA(VLOOKUP($B390,'Node Details'!$B:$U,E$1,0),"Check"),"")</f>
        <v>Airtel</v>
      </c>
      <c r="F390" s="101">
        <v>46113</v>
      </c>
      <c r="G390" s="103"/>
      <c r="H390" s="102" t="s">
        <v>1258</v>
      </c>
      <c r="I390" s="9">
        <v>2</v>
      </c>
      <c r="J390" s="9">
        <v>65</v>
      </c>
      <c r="K390" s="100">
        <f t="shared" si="58"/>
        <v>130</v>
      </c>
      <c r="L390" s="78">
        <v>46112</v>
      </c>
      <c r="M390" s="103"/>
      <c r="N390" s="93" t="s">
        <v>143</v>
      </c>
      <c r="O390" s="94">
        <v>46141</v>
      </c>
      <c r="P390" s="104">
        <f t="shared" si="53"/>
        <v>65</v>
      </c>
      <c r="Q390" s="104">
        <f t="shared" si="54"/>
        <v>130</v>
      </c>
      <c r="R390" s="104"/>
      <c r="S390" s="93" t="s">
        <v>331</v>
      </c>
      <c r="T390" s="94">
        <v>46153</v>
      </c>
      <c r="U390" s="104">
        <f t="shared" si="55"/>
        <v>65</v>
      </c>
      <c r="V390" s="104">
        <f t="shared" si="56"/>
        <v>2</v>
      </c>
      <c r="W390" s="103">
        <f t="shared" si="57"/>
        <v>130</v>
      </c>
      <c r="X390" s="93" t="s">
        <v>89</v>
      </c>
      <c r="Y390" s="105" t="s">
        <v>84</v>
      </c>
      <c r="Z390" s="105" t="s">
        <v>93</v>
      </c>
    </row>
    <row r="391" spans="1:26" s="105" customFormat="1" ht="15" customHeight="1">
      <c r="A391" s="99">
        <f t="shared" si="59"/>
        <v>389</v>
      </c>
      <c r="B391" s="75" t="s">
        <v>151</v>
      </c>
      <c r="C391" s="100" t="str">
        <f>IF($B391&lt;&gt;"",_xlfn.IFNA(VLOOKUP($B391,'Node Details'!$B:$U,C$1,0),"Check"),"")</f>
        <v>000000AXY-0000AXY12</v>
      </c>
      <c r="D391" s="100" t="str">
        <f>IF($B391&lt;&gt;"",_xlfn.IFNA(VLOOKUP($B391,'Node Details'!$B:$U,D$1,0),"Check"),"")</f>
        <v>AXY</v>
      </c>
      <c r="E391" s="100" t="str">
        <f>IF($B391&lt;&gt;"",_xlfn.IFNA(VLOOKUP($B391,'Node Details'!$B:$U,E$1,0),"Check"),"")</f>
        <v>Airtel</v>
      </c>
      <c r="F391" s="101">
        <v>46113</v>
      </c>
      <c r="G391" s="103"/>
      <c r="H391" s="102" t="s">
        <v>1258</v>
      </c>
      <c r="I391" s="9">
        <v>42</v>
      </c>
      <c r="J391" s="9">
        <v>65</v>
      </c>
      <c r="K391" s="100">
        <f t="shared" si="58"/>
        <v>2730</v>
      </c>
      <c r="L391" s="78">
        <v>46112</v>
      </c>
      <c r="M391" s="103"/>
      <c r="N391" s="93" t="s">
        <v>143</v>
      </c>
      <c r="O391" s="94">
        <v>46141</v>
      </c>
      <c r="P391" s="104">
        <f t="shared" si="53"/>
        <v>65</v>
      </c>
      <c r="Q391" s="104">
        <f t="shared" si="54"/>
        <v>2730</v>
      </c>
      <c r="R391" s="104"/>
      <c r="S391" s="93" t="s">
        <v>331</v>
      </c>
      <c r="T391" s="94">
        <v>46153</v>
      </c>
      <c r="U391" s="104">
        <f t="shared" si="55"/>
        <v>65</v>
      </c>
      <c r="V391" s="104">
        <f t="shared" si="56"/>
        <v>42</v>
      </c>
      <c r="W391" s="103">
        <f t="shared" si="57"/>
        <v>2730</v>
      </c>
      <c r="X391" s="93" t="s">
        <v>89</v>
      </c>
      <c r="Y391" s="105" t="s">
        <v>84</v>
      </c>
      <c r="Z391" s="105" t="s">
        <v>93</v>
      </c>
    </row>
    <row r="392" spans="1:26" s="105" customFormat="1" ht="15" customHeight="1">
      <c r="A392" s="99">
        <f t="shared" si="59"/>
        <v>390</v>
      </c>
      <c r="B392" s="75" t="s">
        <v>982</v>
      </c>
      <c r="C392" s="100" t="str">
        <f>IF($B392&lt;&gt;"",_xlfn.IFNA(VLOOKUP($B392,'Node Details'!$B:$U,C$1,0),"Check"),"")</f>
        <v>0000AXY04-00AXY-FMS</v>
      </c>
      <c r="D392" s="100" t="str">
        <f>IF($B392&lt;&gt;"",_xlfn.IFNA(VLOOKUP($B392,'Node Details'!$B:$U,D$1,0),"Check"),"")</f>
        <v>AXY</v>
      </c>
      <c r="E392" s="100" t="str">
        <f>IF($B392&lt;&gt;"",_xlfn.IFNA(VLOOKUP($B392,'Node Details'!$B:$U,E$1,0),"Check"),"")</f>
        <v>Airtel</v>
      </c>
      <c r="F392" s="101">
        <v>46113</v>
      </c>
      <c r="G392" s="103"/>
      <c r="H392" s="102" t="s">
        <v>1258</v>
      </c>
      <c r="I392" s="9">
        <v>8</v>
      </c>
      <c r="J392" s="9">
        <v>65</v>
      </c>
      <c r="K392" s="100">
        <f t="shared" si="58"/>
        <v>520</v>
      </c>
      <c r="L392" s="78">
        <v>46112</v>
      </c>
      <c r="M392" s="103"/>
      <c r="N392" s="93" t="s">
        <v>143</v>
      </c>
      <c r="O392" s="94">
        <v>46141</v>
      </c>
      <c r="P392" s="104">
        <f t="shared" si="53"/>
        <v>65</v>
      </c>
      <c r="Q392" s="104">
        <f t="shared" si="54"/>
        <v>520</v>
      </c>
      <c r="R392" s="104"/>
      <c r="S392" s="93" t="s">
        <v>331</v>
      </c>
      <c r="T392" s="94">
        <v>46153</v>
      </c>
      <c r="U392" s="104">
        <f t="shared" si="55"/>
        <v>65</v>
      </c>
      <c r="V392" s="104">
        <f t="shared" si="56"/>
        <v>8</v>
      </c>
      <c r="W392" s="103">
        <f t="shared" si="57"/>
        <v>520</v>
      </c>
      <c r="X392" s="93" t="s">
        <v>89</v>
      </c>
      <c r="Y392" s="105" t="s">
        <v>84</v>
      </c>
      <c r="Z392" s="105" t="s">
        <v>93</v>
      </c>
    </row>
    <row r="393" spans="1:26" s="105" customFormat="1" ht="15" customHeight="1">
      <c r="A393" s="99">
        <f t="shared" si="59"/>
        <v>391</v>
      </c>
      <c r="B393" s="75" t="s">
        <v>982</v>
      </c>
      <c r="C393" s="100" t="str">
        <f>IF($B393&lt;&gt;"",_xlfn.IFNA(VLOOKUP($B393,'Node Details'!$B:$U,C$1,0),"Check"),"")</f>
        <v>0000AXY04-00AXY-FMS</v>
      </c>
      <c r="D393" s="100" t="str">
        <f>IF($B393&lt;&gt;"",_xlfn.IFNA(VLOOKUP($B393,'Node Details'!$B:$U,D$1,0),"Check"),"")</f>
        <v>AXY</v>
      </c>
      <c r="E393" s="100" t="str">
        <f>IF($B393&lt;&gt;"",_xlfn.IFNA(VLOOKUP($B393,'Node Details'!$B:$U,E$1,0),"Check"),"")</f>
        <v>Airtel</v>
      </c>
      <c r="F393" s="101">
        <v>46113</v>
      </c>
      <c r="G393" s="103"/>
      <c r="H393" s="102" t="s">
        <v>1258</v>
      </c>
      <c r="I393" s="9">
        <v>6</v>
      </c>
      <c r="J393" s="9">
        <v>65</v>
      </c>
      <c r="K393" s="100">
        <f t="shared" si="58"/>
        <v>390</v>
      </c>
      <c r="L393" s="78">
        <v>46112</v>
      </c>
      <c r="M393" s="103"/>
      <c r="N393" s="93" t="s">
        <v>143</v>
      </c>
      <c r="O393" s="94">
        <v>46141</v>
      </c>
      <c r="P393" s="104">
        <f t="shared" si="53"/>
        <v>65</v>
      </c>
      <c r="Q393" s="104">
        <f t="shared" si="54"/>
        <v>390</v>
      </c>
      <c r="R393" s="104"/>
      <c r="S393" s="93" t="s">
        <v>331</v>
      </c>
      <c r="T393" s="94">
        <v>46153</v>
      </c>
      <c r="U393" s="104">
        <f t="shared" si="55"/>
        <v>65</v>
      </c>
      <c r="V393" s="104">
        <f t="shared" si="56"/>
        <v>6</v>
      </c>
      <c r="W393" s="103">
        <f t="shared" si="57"/>
        <v>390</v>
      </c>
      <c r="X393" s="93" t="s">
        <v>89</v>
      </c>
      <c r="Y393" s="105" t="s">
        <v>84</v>
      </c>
      <c r="Z393" s="105" t="s">
        <v>93</v>
      </c>
    </row>
    <row r="394" spans="1:26" s="105" customFormat="1" ht="15" customHeight="1">
      <c r="A394" s="99">
        <f t="shared" si="59"/>
        <v>392</v>
      </c>
      <c r="B394" s="75" t="s">
        <v>983</v>
      </c>
      <c r="C394" s="100" t="str">
        <f>IF($B394&lt;&gt;"",_xlfn.IFNA(VLOOKUP($B394,'Node Details'!$B:$U,C$1,0),"Check"),"")</f>
        <v>00AXY-FMS-AXY040108</v>
      </c>
      <c r="D394" s="100" t="str">
        <f>IF($B394&lt;&gt;"",_xlfn.IFNA(VLOOKUP($B394,'Node Details'!$B:$U,D$1,0),"Check"),"")</f>
        <v>AXY</v>
      </c>
      <c r="E394" s="100" t="str">
        <f>IF($B394&lt;&gt;"",_xlfn.IFNA(VLOOKUP($B394,'Node Details'!$B:$U,E$1,0),"Check"),"")</f>
        <v>Airtel</v>
      </c>
      <c r="F394" s="101">
        <v>46113</v>
      </c>
      <c r="G394" s="103"/>
      <c r="H394" s="102" t="s">
        <v>1258</v>
      </c>
      <c r="I394" s="9">
        <v>4</v>
      </c>
      <c r="J394" s="9">
        <v>65</v>
      </c>
      <c r="K394" s="100">
        <f t="shared" si="58"/>
        <v>260</v>
      </c>
      <c r="L394" s="78">
        <v>46112</v>
      </c>
      <c r="M394" s="103"/>
      <c r="N394" s="93" t="s">
        <v>143</v>
      </c>
      <c r="O394" s="94">
        <v>46141</v>
      </c>
      <c r="P394" s="104">
        <f t="shared" si="53"/>
        <v>65</v>
      </c>
      <c r="Q394" s="104">
        <f t="shared" si="54"/>
        <v>260</v>
      </c>
      <c r="R394" s="104"/>
      <c r="S394" s="93" t="s">
        <v>331</v>
      </c>
      <c r="T394" s="94">
        <v>46153</v>
      </c>
      <c r="U394" s="104">
        <f t="shared" si="55"/>
        <v>65</v>
      </c>
      <c r="V394" s="104">
        <f t="shared" si="56"/>
        <v>4</v>
      </c>
      <c r="W394" s="103">
        <f t="shared" si="57"/>
        <v>260</v>
      </c>
      <c r="X394" s="93" t="s">
        <v>89</v>
      </c>
      <c r="Y394" s="105" t="s">
        <v>84</v>
      </c>
      <c r="Z394" s="105" t="s">
        <v>93</v>
      </c>
    </row>
    <row r="395" spans="1:26" s="105" customFormat="1" ht="15" customHeight="1">
      <c r="A395" s="99">
        <f t="shared" si="59"/>
        <v>393</v>
      </c>
      <c r="B395" s="75" t="s">
        <v>984</v>
      </c>
      <c r="C395" s="100" t="str">
        <f>IF($B395&lt;&gt;"",_xlfn.IFNA(VLOOKUP($B395,'Node Details'!$B:$U,C$1,0),"Check"),"")</f>
        <v>00AXY-FMS-AXY040108</v>
      </c>
      <c r="D395" s="100" t="str">
        <f>IF($B395&lt;&gt;"",_xlfn.IFNA(VLOOKUP($B395,'Node Details'!$B:$U,D$1,0),"Check"),"")</f>
        <v>AXY</v>
      </c>
      <c r="E395" s="100" t="str">
        <f>IF($B395&lt;&gt;"",_xlfn.IFNA(VLOOKUP($B395,'Node Details'!$B:$U,E$1,0),"Check"),"")</f>
        <v>Airtel</v>
      </c>
      <c r="F395" s="101">
        <v>46113</v>
      </c>
      <c r="G395" s="103"/>
      <c r="H395" s="102" t="s">
        <v>1258</v>
      </c>
      <c r="I395" s="9">
        <v>2</v>
      </c>
      <c r="J395" s="9">
        <v>65</v>
      </c>
      <c r="K395" s="100">
        <f t="shared" si="58"/>
        <v>130</v>
      </c>
      <c r="L395" s="78">
        <v>46112</v>
      </c>
      <c r="M395" s="103"/>
      <c r="N395" s="93" t="s">
        <v>143</v>
      </c>
      <c r="O395" s="94">
        <v>46141</v>
      </c>
      <c r="P395" s="104">
        <f t="shared" si="53"/>
        <v>65</v>
      </c>
      <c r="Q395" s="104">
        <f t="shared" si="54"/>
        <v>130</v>
      </c>
      <c r="R395" s="104"/>
      <c r="S395" s="93" t="s">
        <v>331</v>
      </c>
      <c r="T395" s="94">
        <v>46153</v>
      </c>
      <c r="U395" s="104">
        <f t="shared" si="55"/>
        <v>65</v>
      </c>
      <c r="V395" s="104">
        <f t="shared" si="56"/>
        <v>2</v>
      </c>
      <c r="W395" s="103">
        <f t="shared" si="57"/>
        <v>130</v>
      </c>
      <c r="X395" s="93" t="s">
        <v>89</v>
      </c>
      <c r="Y395" s="105" t="s">
        <v>84</v>
      </c>
      <c r="Z395" s="105" t="s">
        <v>93</v>
      </c>
    </row>
    <row r="396" spans="1:26" s="105" customFormat="1" ht="15" customHeight="1">
      <c r="A396" s="99">
        <f t="shared" si="59"/>
        <v>394</v>
      </c>
      <c r="B396" s="75" t="s">
        <v>187</v>
      </c>
      <c r="C396" s="100" t="str">
        <f>IF($B396&lt;&gt;"",_xlfn.IFNA(VLOOKUP($B396,'Node Details'!$B:$U,C$1,0),"Check"),"")</f>
        <v>0000AXY04-AXY040201</v>
      </c>
      <c r="D396" s="100" t="str">
        <f>IF($B396&lt;&gt;"",_xlfn.IFNA(VLOOKUP($B396,'Node Details'!$B:$U,D$1,0),"Check"),"")</f>
        <v>AXY</v>
      </c>
      <c r="E396" s="100" t="str">
        <f>IF($B396&lt;&gt;"",_xlfn.IFNA(VLOOKUP($B396,'Node Details'!$B:$U,E$1,0),"Check"),"")</f>
        <v>Airtel</v>
      </c>
      <c r="F396" s="101">
        <v>46113</v>
      </c>
      <c r="G396" s="103"/>
      <c r="H396" s="102" t="s">
        <v>1258</v>
      </c>
      <c r="I396" s="9">
        <v>6</v>
      </c>
      <c r="J396" s="9">
        <v>65</v>
      </c>
      <c r="K396" s="100">
        <f t="shared" si="58"/>
        <v>390</v>
      </c>
      <c r="L396" s="78">
        <v>46112</v>
      </c>
      <c r="M396" s="103"/>
      <c r="N396" s="93" t="s">
        <v>143</v>
      </c>
      <c r="O396" s="94">
        <v>46141</v>
      </c>
      <c r="P396" s="104">
        <f t="shared" si="53"/>
        <v>65</v>
      </c>
      <c r="Q396" s="104">
        <f t="shared" si="54"/>
        <v>390</v>
      </c>
      <c r="R396" s="104"/>
      <c r="S396" s="93" t="s">
        <v>331</v>
      </c>
      <c r="T396" s="94">
        <v>46153</v>
      </c>
      <c r="U396" s="104">
        <f t="shared" si="55"/>
        <v>65</v>
      </c>
      <c r="V396" s="104">
        <f t="shared" si="56"/>
        <v>6</v>
      </c>
      <c r="W396" s="103">
        <f t="shared" si="57"/>
        <v>390</v>
      </c>
      <c r="X396" s="93" t="s">
        <v>89</v>
      </c>
      <c r="Y396" s="105" t="s">
        <v>84</v>
      </c>
      <c r="Z396" s="105" t="s">
        <v>93</v>
      </c>
    </row>
    <row r="397" spans="1:26" s="105" customFormat="1" ht="15" customHeight="1">
      <c r="A397" s="99">
        <f t="shared" si="59"/>
        <v>395</v>
      </c>
      <c r="B397" s="75" t="s">
        <v>986</v>
      </c>
      <c r="C397" s="100" t="str">
        <f>IF($B397&lt;&gt;"",_xlfn.IFNA(VLOOKUP($B397,'Node Details'!$B:$U,C$1,0),"Check"),"")</f>
        <v>AXY040201-AXY040204</v>
      </c>
      <c r="D397" s="100" t="str">
        <f>IF($B397&lt;&gt;"",_xlfn.IFNA(VLOOKUP($B397,'Node Details'!$B:$U,D$1,0),"Check"),"")</f>
        <v>AXY</v>
      </c>
      <c r="E397" s="100" t="str">
        <f>IF($B397&lt;&gt;"",_xlfn.IFNA(VLOOKUP($B397,'Node Details'!$B:$U,E$1,0),"Check"),"")</f>
        <v>Airtel</v>
      </c>
      <c r="F397" s="101">
        <v>46113</v>
      </c>
      <c r="G397" s="103"/>
      <c r="H397" s="102" t="s">
        <v>1258</v>
      </c>
      <c r="I397" s="9">
        <v>4</v>
      </c>
      <c r="J397" s="9">
        <v>65</v>
      </c>
      <c r="K397" s="100">
        <f t="shared" si="58"/>
        <v>260</v>
      </c>
      <c r="L397" s="78">
        <v>46112</v>
      </c>
      <c r="M397" s="103"/>
      <c r="N397" s="93" t="s">
        <v>143</v>
      </c>
      <c r="O397" s="94">
        <v>46141</v>
      </c>
      <c r="P397" s="104">
        <f t="shared" si="53"/>
        <v>65</v>
      </c>
      <c r="Q397" s="104">
        <f t="shared" si="54"/>
        <v>260</v>
      </c>
      <c r="R397" s="104"/>
      <c r="S397" s="93" t="s">
        <v>331</v>
      </c>
      <c r="T397" s="94">
        <v>46153</v>
      </c>
      <c r="U397" s="104">
        <f t="shared" si="55"/>
        <v>65</v>
      </c>
      <c r="V397" s="104">
        <f t="shared" si="56"/>
        <v>4</v>
      </c>
      <c r="W397" s="103">
        <f t="shared" si="57"/>
        <v>260</v>
      </c>
      <c r="X397" s="93" t="s">
        <v>89</v>
      </c>
      <c r="Y397" s="105" t="s">
        <v>84</v>
      </c>
      <c r="Z397" s="105" t="s">
        <v>93</v>
      </c>
    </row>
    <row r="398" spans="1:26" s="105" customFormat="1" ht="15" customHeight="1">
      <c r="A398" s="99">
        <f t="shared" si="59"/>
        <v>396</v>
      </c>
      <c r="B398" s="75" t="s">
        <v>987</v>
      </c>
      <c r="C398" s="100" t="str">
        <f>IF($B398&lt;&gt;"",_xlfn.IFNA(VLOOKUP($B398,'Node Details'!$B:$U,C$1,0),"Check"),"")</f>
        <v>AXY040201-AXY040204</v>
      </c>
      <c r="D398" s="100" t="str">
        <f>IF($B398&lt;&gt;"",_xlfn.IFNA(VLOOKUP($B398,'Node Details'!$B:$U,D$1,0),"Check"),"")</f>
        <v>AXY</v>
      </c>
      <c r="E398" s="100" t="str">
        <f>IF($B398&lt;&gt;"",_xlfn.IFNA(VLOOKUP($B398,'Node Details'!$B:$U,E$1,0),"Check"),"")</f>
        <v>Airtel</v>
      </c>
      <c r="F398" s="101">
        <v>46113</v>
      </c>
      <c r="G398" s="103"/>
      <c r="H398" s="102" t="s">
        <v>1258</v>
      </c>
      <c r="I398" s="9">
        <v>2</v>
      </c>
      <c r="J398" s="9">
        <v>65</v>
      </c>
      <c r="K398" s="100">
        <f t="shared" si="58"/>
        <v>130</v>
      </c>
      <c r="L398" s="78">
        <v>46112</v>
      </c>
      <c r="M398" s="103"/>
      <c r="N398" s="93" t="s">
        <v>143</v>
      </c>
      <c r="O398" s="94">
        <v>46141</v>
      </c>
      <c r="P398" s="104">
        <f t="shared" si="53"/>
        <v>65</v>
      </c>
      <c r="Q398" s="104">
        <f t="shared" si="54"/>
        <v>130</v>
      </c>
      <c r="R398" s="104"/>
      <c r="S398" s="93" t="s">
        <v>331</v>
      </c>
      <c r="T398" s="94">
        <v>46153</v>
      </c>
      <c r="U398" s="104">
        <f t="shared" si="55"/>
        <v>65</v>
      </c>
      <c r="V398" s="104">
        <f t="shared" si="56"/>
        <v>2</v>
      </c>
      <c r="W398" s="103">
        <f t="shared" si="57"/>
        <v>130</v>
      </c>
      <c r="X398" s="93" t="s">
        <v>89</v>
      </c>
      <c r="Y398" s="105" t="s">
        <v>84</v>
      </c>
      <c r="Z398" s="105" t="s">
        <v>93</v>
      </c>
    </row>
    <row r="399" spans="1:26" s="105" customFormat="1" ht="15" customHeight="1">
      <c r="A399" s="99">
        <f t="shared" si="59"/>
        <v>397</v>
      </c>
      <c r="B399" s="75" t="s">
        <v>152</v>
      </c>
      <c r="C399" s="100" t="str">
        <f>IF($B399&lt;&gt;"",_xlfn.IFNA(VLOOKUP($B399,'Node Details'!$B:$U,C$1,0),"Check"),"")</f>
        <v>0000AXY04-0000AXY05</v>
      </c>
      <c r="D399" s="100" t="str">
        <f>IF($B399&lt;&gt;"",_xlfn.IFNA(VLOOKUP($B399,'Node Details'!$B:$U,D$1,0),"Check"),"")</f>
        <v>AXY</v>
      </c>
      <c r="E399" s="100" t="str">
        <f>IF($B399&lt;&gt;"",_xlfn.IFNA(VLOOKUP($B399,'Node Details'!$B:$U,E$1,0),"Check"),"")</f>
        <v>Airtel</v>
      </c>
      <c r="F399" s="101">
        <v>46113</v>
      </c>
      <c r="G399" s="103"/>
      <c r="H399" s="102" t="s">
        <v>1258</v>
      </c>
      <c r="I399" s="9">
        <v>18</v>
      </c>
      <c r="J399" s="9">
        <v>65</v>
      </c>
      <c r="K399" s="100">
        <f t="shared" si="58"/>
        <v>1170</v>
      </c>
      <c r="L399" s="78">
        <v>46112</v>
      </c>
      <c r="M399" s="103"/>
      <c r="N399" s="93" t="s">
        <v>143</v>
      </c>
      <c r="O399" s="94">
        <v>46141</v>
      </c>
      <c r="P399" s="104">
        <f t="shared" si="53"/>
        <v>65</v>
      </c>
      <c r="Q399" s="104">
        <f t="shared" si="54"/>
        <v>1170</v>
      </c>
      <c r="R399" s="104"/>
      <c r="S399" s="93" t="s">
        <v>331</v>
      </c>
      <c r="T399" s="94">
        <v>46153</v>
      </c>
      <c r="U399" s="104">
        <f t="shared" si="55"/>
        <v>65</v>
      </c>
      <c r="V399" s="104">
        <f t="shared" si="56"/>
        <v>18</v>
      </c>
      <c r="W399" s="103">
        <f t="shared" si="57"/>
        <v>1170</v>
      </c>
      <c r="X399" s="93" t="s">
        <v>89</v>
      </c>
      <c r="Y399" s="105" t="s">
        <v>84</v>
      </c>
      <c r="Z399" s="105" t="s">
        <v>93</v>
      </c>
    </row>
    <row r="400" spans="1:26" s="105" customFormat="1" ht="15" customHeight="1">
      <c r="A400" s="99">
        <f t="shared" si="59"/>
        <v>398</v>
      </c>
      <c r="B400" s="75" t="s">
        <v>988</v>
      </c>
      <c r="C400" s="100" t="str">
        <f>IF($B400&lt;&gt;"",_xlfn.IFNA(VLOOKUP($B400,'Node Details'!$B:$U,C$1,0),"Check"),"")</f>
        <v>0000AXY5 -AXY050104</v>
      </c>
      <c r="D400" s="100" t="str">
        <f>IF($B400&lt;&gt;"",_xlfn.IFNA(VLOOKUP($B400,'Node Details'!$B:$U,D$1,0),"Check"),"")</f>
        <v>AXY</v>
      </c>
      <c r="E400" s="100" t="str">
        <f>IF($B400&lt;&gt;"",_xlfn.IFNA(VLOOKUP($B400,'Node Details'!$B:$U,E$1,0),"Check"),"")</f>
        <v>Airtel</v>
      </c>
      <c r="F400" s="101">
        <v>46113</v>
      </c>
      <c r="G400" s="103"/>
      <c r="H400" s="102" t="s">
        <v>1258</v>
      </c>
      <c r="I400" s="9">
        <v>2</v>
      </c>
      <c r="J400" s="9">
        <v>65</v>
      </c>
      <c r="K400" s="100">
        <f t="shared" si="58"/>
        <v>130</v>
      </c>
      <c r="L400" s="78">
        <v>46112</v>
      </c>
      <c r="M400" s="103"/>
      <c r="N400" s="93" t="s">
        <v>143</v>
      </c>
      <c r="O400" s="94">
        <v>46141</v>
      </c>
      <c r="P400" s="104">
        <f t="shared" si="53"/>
        <v>65</v>
      </c>
      <c r="Q400" s="104">
        <f t="shared" si="54"/>
        <v>130</v>
      </c>
      <c r="R400" s="104"/>
      <c r="S400" s="93" t="s">
        <v>331</v>
      </c>
      <c r="T400" s="94">
        <v>46153</v>
      </c>
      <c r="U400" s="104">
        <f t="shared" si="55"/>
        <v>65</v>
      </c>
      <c r="V400" s="104">
        <f t="shared" si="56"/>
        <v>2</v>
      </c>
      <c r="W400" s="103">
        <f t="shared" si="57"/>
        <v>130</v>
      </c>
      <c r="X400" s="93" t="s">
        <v>89</v>
      </c>
      <c r="Y400" s="105" t="s">
        <v>84</v>
      </c>
      <c r="Z400" s="105" t="s">
        <v>93</v>
      </c>
    </row>
    <row r="401" spans="1:26" s="105" customFormat="1" ht="15" customHeight="1">
      <c r="A401" s="99">
        <f t="shared" si="59"/>
        <v>399</v>
      </c>
      <c r="B401" s="75" t="s">
        <v>204</v>
      </c>
      <c r="C401" s="100" t="str">
        <f>IF($B401&lt;&gt;"",_xlfn.IFNA(VLOOKUP($B401,'Node Details'!$B:$U,C$1,0),"Check"),"")</f>
        <v>0000AXY05-AXY050107</v>
      </c>
      <c r="D401" s="100" t="str">
        <f>IF($B401&lt;&gt;"",_xlfn.IFNA(VLOOKUP($B401,'Node Details'!$B:$U,D$1,0),"Check"),"")</f>
        <v>AXY</v>
      </c>
      <c r="E401" s="100" t="str">
        <f>IF($B401&lt;&gt;"",_xlfn.IFNA(VLOOKUP($B401,'Node Details'!$B:$U,E$1,0),"Check"),"")</f>
        <v>Airtel</v>
      </c>
      <c r="F401" s="101">
        <v>46113</v>
      </c>
      <c r="G401" s="103"/>
      <c r="H401" s="102" t="s">
        <v>1258</v>
      </c>
      <c r="I401" s="9">
        <v>4</v>
      </c>
      <c r="J401" s="9">
        <v>65</v>
      </c>
      <c r="K401" s="100">
        <f t="shared" si="58"/>
        <v>260</v>
      </c>
      <c r="L401" s="78">
        <v>46112</v>
      </c>
      <c r="M401" s="103"/>
      <c r="N401" s="93" t="s">
        <v>143</v>
      </c>
      <c r="O401" s="94">
        <v>46141</v>
      </c>
      <c r="P401" s="104">
        <f t="shared" si="53"/>
        <v>65</v>
      </c>
      <c r="Q401" s="104">
        <f t="shared" si="54"/>
        <v>260</v>
      </c>
      <c r="R401" s="104"/>
      <c r="S401" s="93" t="s">
        <v>331</v>
      </c>
      <c r="T401" s="94">
        <v>46153</v>
      </c>
      <c r="U401" s="104">
        <f t="shared" si="55"/>
        <v>65</v>
      </c>
      <c r="V401" s="104">
        <f t="shared" si="56"/>
        <v>4</v>
      </c>
      <c r="W401" s="103">
        <f t="shared" si="57"/>
        <v>260</v>
      </c>
      <c r="X401" s="93" t="s">
        <v>89</v>
      </c>
      <c r="Y401" s="105" t="s">
        <v>84</v>
      </c>
      <c r="Z401" s="105" t="s">
        <v>93</v>
      </c>
    </row>
    <row r="402" spans="1:26" s="105" customFormat="1" ht="15" customHeight="1">
      <c r="A402" s="99">
        <f t="shared" si="59"/>
        <v>400</v>
      </c>
      <c r="B402" s="75" t="s">
        <v>990</v>
      </c>
      <c r="C402" s="100" t="str">
        <f>IF($B402&lt;&gt;"",_xlfn.IFNA(VLOOKUP($B402,'Node Details'!$B:$U,C$1,0),"Check"),"")</f>
        <v>0000AXY05-AXY050107</v>
      </c>
      <c r="D402" s="100" t="str">
        <f>IF($B402&lt;&gt;"",_xlfn.IFNA(VLOOKUP($B402,'Node Details'!$B:$U,D$1,0),"Check"),"")</f>
        <v>AXY</v>
      </c>
      <c r="E402" s="100" t="str">
        <f>IF($B402&lt;&gt;"",_xlfn.IFNA(VLOOKUP($B402,'Node Details'!$B:$U,E$1,0),"Check"),"")</f>
        <v>Airtel</v>
      </c>
      <c r="F402" s="101">
        <v>46113</v>
      </c>
      <c r="G402" s="103"/>
      <c r="H402" s="102" t="s">
        <v>1258</v>
      </c>
      <c r="I402" s="9">
        <v>2</v>
      </c>
      <c r="J402" s="9">
        <v>65</v>
      </c>
      <c r="K402" s="100">
        <f t="shared" si="58"/>
        <v>130</v>
      </c>
      <c r="L402" s="78">
        <v>46112</v>
      </c>
      <c r="M402" s="103"/>
      <c r="N402" s="93" t="s">
        <v>143</v>
      </c>
      <c r="O402" s="94">
        <v>46141</v>
      </c>
      <c r="P402" s="104">
        <f t="shared" si="53"/>
        <v>65</v>
      </c>
      <c r="Q402" s="104">
        <f t="shared" si="54"/>
        <v>130</v>
      </c>
      <c r="R402" s="104"/>
      <c r="S402" s="93" t="s">
        <v>331</v>
      </c>
      <c r="T402" s="94">
        <v>46153</v>
      </c>
      <c r="U402" s="104">
        <f t="shared" si="55"/>
        <v>65</v>
      </c>
      <c r="V402" s="104">
        <f t="shared" si="56"/>
        <v>2</v>
      </c>
      <c r="W402" s="103">
        <f t="shared" si="57"/>
        <v>130</v>
      </c>
      <c r="X402" s="93" t="s">
        <v>89</v>
      </c>
      <c r="Y402" s="105" t="s">
        <v>84</v>
      </c>
      <c r="Z402" s="105" t="s">
        <v>93</v>
      </c>
    </row>
    <row r="403" spans="1:26" s="105" customFormat="1" ht="15" customHeight="1">
      <c r="A403" s="99">
        <f t="shared" si="59"/>
        <v>401</v>
      </c>
      <c r="B403" s="75" t="s">
        <v>991</v>
      </c>
      <c r="C403" s="100" t="str">
        <f>IF($B403&lt;&gt;"",_xlfn.IFNA(VLOOKUP($B403,'Node Details'!$B:$U,C$1,0),"Check"),"")</f>
        <v>AXY050105-AXY050202</v>
      </c>
      <c r="D403" s="100" t="str">
        <f>IF($B403&lt;&gt;"",_xlfn.IFNA(VLOOKUP($B403,'Node Details'!$B:$U,D$1,0),"Check"),"")</f>
        <v>AXY</v>
      </c>
      <c r="E403" s="100" t="str">
        <f>IF($B403&lt;&gt;"",_xlfn.IFNA(VLOOKUP($B403,'Node Details'!$B:$U,E$1,0),"Check"),"")</f>
        <v>Airtel</v>
      </c>
      <c r="F403" s="101">
        <v>46113</v>
      </c>
      <c r="G403" s="103"/>
      <c r="H403" s="102" t="s">
        <v>1258</v>
      </c>
      <c r="I403" s="9">
        <v>2</v>
      </c>
      <c r="J403" s="9">
        <v>65</v>
      </c>
      <c r="K403" s="100">
        <f t="shared" si="58"/>
        <v>130</v>
      </c>
      <c r="L403" s="78">
        <v>46112</v>
      </c>
      <c r="M403" s="103"/>
      <c r="N403" s="93" t="s">
        <v>143</v>
      </c>
      <c r="O403" s="94">
        <v>46141</v>
      </c>
      <c r="P403" s="104">
        <f t="shared" si="53"/>
        <v>65</v>
      </c>
      <c r="Q403" s="104">
        <f t="shared" si="54"/>
        <v>130</v>
      </c>
      <c r="R403" s="104"/>
      <c r="S403" s="93" t="s">
        <v>331</v>
      </c>
      <c r="T403" s="94">
        <v>46153</v>
      </c>
      <c r="U403" s="104">
        <f t="shared" si="55"/>
        <v>65</v>
      </c>
      <c r="V403" s="104">
        <f t="shared" si="56"/>
        <v>2</v>
      </c>
      <c r="W403" s="103">
        <f t="shared" si="57"/>
        <v>130</v>
      </c>
      <c r="X403" s="93" t="s">
        <v>89</v>
      </c>
      <c r="Y403" s="105" t="s">
        <v>84</v>
      </c>
      <c r="Z403" s="105" t="s">
        <v>93</v>
      </c>
    </row>
    <row r="404" spans="1:26" s="105" customFormat="1" ht="15" customHeight="1">
      <c r="A404" s="99">
        <f t="shared" si="59"/>
        <v>402</v>
      </c>
      <c r="B404" s="75" t="s">
        <v>208</v>
      </c>
      <c r="C404" s="100" t="str">
        <f>IF($B404&lt;&gt;"",_xlfn.IFNA(VLOOKUP($B404,'Node Details'!$B:$U,C$1,0),"Check"),"")</f>
        <v>000000AXY-0000AXY12</v>
      </c>
      <c r="D404" s="100" t="str">
        <f>IF($B404&lt;&gt;"",_xlfn.IFNA(VLOOKUP($B404,'Node Details'!$B:$U,D$1,0),"Check"),"")</f>
        <v>AXY</v>
      </c>
      <c r="E404" s="100" t="str">
        <f>IF($B404&lt;&gt;"",_xlfn.IFNA(VLOOKUP($B404,'Node Details'!$B:$U,E$1,0),"Check"),"")</f>
        <v>Airtel</v>
      </c>
      <c r="F404" s="101">
        <v>46113</v>
      </c>
      <c r="G404" s="103"/>
      <c r="H404" s="102" t="s">
        <v>1258</v>
      </c>
      <c r="I404" s="9">
        <v>18</v>
      </c>
      <c r="J404" s="9">
        <v>65</v>
      </c>
      <c r="K404" s="100">
        <f t="shared" si="58"/>
        <v>1170</v>
      </c>
      <c r="L404" s="78">
        <v>46112</v>
      </c>
      <c r="M404" s="103"/>
      <c r="N404" s="93" t="s">
        <v>143</v>
      </c>
      <c r="O404" s="94">
        <v>46141</v>
      </c>
      <c r="P404" s="104">
        <f t="shared" si="53"/>
        <v>65</v>
      </c>
      <c r="Q404" s="104">
        <f t="shared" si="54"/>
        <v>1170</v>
      </c>
      <c r="R404" s="104"/>
      <c r="S404" s="93" t="s">
        <v>331</v>
      </c>
      <c r="T404" s="94">
        <v>46153</v>
      </c>
      <c r="U404" s="104">
        <f t="shared" si="55"/>
        <v>65</v>
      </c>
      <c r="V404" s="104">
        <f t="shared" si="56"/>
        <v>18</v>
      </c>
      <c r="W404" s="103">
        <f t="shared" si="57"/>
        <v>1170</v>
      </c>
      <c r="X404" s="93" t="s">
        <v>89</v>
      </c>
      <c r="Y404" s="105" t="s">
        <v>84</v>
      </c>
      <c r="Z404" s="105" t="s">
        <v>93</v>
      </c>
    </row>
    <row r="405" spans="1:26" s="105" customFormat="1" ht="15" customHeight="1">
      <c r="A405" s="99">
        <f t="shared" si="59"/>
        <v>403</v>
      </c>
      <c r="B405" s="75" t="s">
        <v>994</v>
      </c>
      <c r="C405" s="100" t="str">
        <f>IF($B405&lt;&gt;"",_xlfn.IFNA(VLOOKUP($B405,'Node Details'!$B:$U,C$1,0),"Check"),"")</f>
        <v>0000AXY06-AXY060105</v>
      </c>
      <c r="D405" s="100" t="str">
        <f>IF($B405&lt;&gt;"",_xlfn.IFNA(VLOOKUP($B405,'Node Details'!$B:$U,D$1,0),"Check"),"")</f>
        <v>AXY</v>
      </c>
      <c r="E405" s="100" t="str">
        <f>IF($B405&lt;&gt;"",_xlfn.IFNA(VLOOKUP($B405,'Node Details'!$B:$U,E$1,0),"Check"),"")</f>
        <v>Airtel</v>
      </c>
      <c r="F405" s="101">
        <v>46113</v>
      </c>
      <c r="G405" s="103"/>
      <c r="H405" s="102" t="s">
        <v>1258</v>
      </c>
      <c r="I405" s="9">
        <v>2</v>
      </c>
      <c r="J405" s="9">
        <v>65</v>
      </c>
      <c r="K405" s="100">
        <f t="shared" si="58"/>
        <v>130</v>
      </c>
      <c r="L405" s="78">
        <v>46112</v>
      </c>
      <c r="M405" s="103"/>
      <c r="N405" s="93" t="s">
        <v>143</v>
      </c>
      <c r="O405" s="94">
        <v>46141</v>
      </c>
      <c r="P405" s="104">
        <f t="shared" si="53"/>
        <v>65</v>
      </c>
      <c r="Q405" s="104">
        <f t="shared" si="54"/>
        <v>130</v>
      </c>
      <c r="R405" s="104"/>
      <c r="S405" s="93" t="s">
        <v>331</v>
      </c>
      <c r="T405" s="94">
        <v>46153</v>
      </c>
      <c r="U405" s="104">
        <f t="shared" si="55"/>
        <v>65</v>
      </c>
      <c r="V405" s="104">
        <f t="shared" si="56"/>
        <v>2</v>
      </c>
      <c r="W405" s="103">
        <f t="shared" si="57"/>
        <v>130</v>
      </c>
      <c r="X405" s="93" t="s">
        <v>89</v>
      </c>
      <c r="Y405" s="105" t="s">
        <v>84</v>
      </c>
      <c r="Z405" s="105" t="s">
        <v>93</v>
      </c>
    </row>
    <row r="406" spans="1:26" s="105" customFormat="1" ht="15" customHeight="1">
      <c r="A406" s="99">
        <f t="shared" si="59"/>
        <v>404</v>
      </c>
      <c r="B406" s="75" t="s">
        <v>996</v>
      </c>
      <c r="C406" s="100" t="str">
        <f>IF($B406&lt;&gt;"",_xlfn.IFNA(VLOOKUP($B406,'Node Details'!$B:$U,C$1,0),"Check"),"")</f>
        <v>0000AXY06-AXY060201</v>
      </c>
      <c r="D406" s="100" t="str">
        <f>IF($B406&lt;&gt;"",_xlfn.IFNA(VLOOKUP($B406,'Node Details'!$B:$U,D$1,0),"Check"),"")</f>
        <v>AXY</v>
      </c>
      <c r="E406" s="100" t="str">
        <f>IF($B406&lt;&gt;"",_xlfn.IFNA(VLOOKUP($B406,'Node Details'!$B:$U,E$1,0),"Check"),"")</f>
        <v>Airtel</v>
      </c>
      <c r="F406" s="101">
        <v>46113</v>
      </c>
      <c r="G406" s="103"/>
      <c r="H406" s="102" t="s">
        <v>1258</v>
      </c>
      <c r="I406" s="9">
        <v>2</v>
      </c>
      <c r="J406" s="9">
        <v>65</v>
      </c>
      <c r="K406" s="100">
        <f t="shared" si="58"/>
        <v>130</v>
      </c>
      <c r="L406" s="78">
        <v>46112</v>
      </c>
      <c r="M406" s="103"/>
      <c r="N406" s="93" t="s">
        <v>143</v>
      </c>
      <c r="O406" s="94">
        <v>46141</v>
      </c>
      <c r="P406" s="104">
        <f t="shared" si="53"/>
        <v>65</v>
      </c>
      <c r="Q406" s="104">
        <f t="shared" si="54"/>
        <v>130</v>
      </c>
      <c r="R406" s="104"/>
      <c r="S406" s="93" t="s">
        <v>331</v>
      </c>
      <c r="T406" s="94">
        <v>46153</v>
      </c>
      <c r="U406" s="104">
        <f t="shared" si="55"/>
        <v>65</v>
      </c>
      <c r="V406" s="104">
        <f t="shared" si="56"/>
        <v>2</v>
      </c>
      <c r="W406" s="103">
        <f t="shared" si="57"/>
        <v>130</v>
      </c>
      <c r="X406" s="93" t="s">
        <v>89</v>
      </c>
      <c r="Y406" s="105" t="s">
        <v>84</v>
      </c>
      <c r="Z406" s="105" t="s">
        <v>93</v>
      </c>
    </row>
    <row r="407" spans="1:26" s="105" customFormat="1" ht="15" customHeight="1">
      <c r="A407" s="99">
        <f t="shared" si="59"/>
        <v>405</v>
      </c>
      <c r="B407" s="75" t="s">
        <v>218</v>
      </c>
      <c r="C407" s="100" t="str">
        <f>IF($B407&lt;&gt;"",_xlfn.IFNA(VLOOKUP($B407,'Node Details'!$B:$U,C$1,0),"Check"),"")</f>
        <v>000000AXY-0000AXY12</v>
      </c>
      <c r="D407" s="100" t="str">
        <f>IF($B407&lt;&gt;"",_xlfn.IFNA(VLOOKUP($B407,'Node Details'!$B:$U,D$1,0),"Check"),"")</f>
        <v>AXY</v>
      </c>
      <c r="E407" s="100" t="str">
        <f>IF($B407&lt;&gt;"",_xlfn.IFNA(VLOOKUP($B407,'Node Details'!$B:$U,E$1,0),"Check"),"")</f>
        <v>Airtel</v>
      </c>
      <c r="F407" s="101">
        <v>46113</v>
      </c>
      <c r="G407" s="103"/>
      <c r="H407" s="102" t="s">
        <v>1258</v>
      </c>
      <c r="I407" s="9">
        <v>42</v>
      </c>
      <c r="J407" s="9">
        <v>65</v>
      </c>
      <c r="K407" s="100">
        <f t="shared" si="58"/>
        <v>2730</v>
      </c>
      <c r="L407" s="78">
        <v>46112</v>
      </c>
      <c r="M407" s="103"/>
      <c r="N407" s="93" t="s">
        <v>143</v>
      </c>
      <c r="O407" s="94">
        <v>46141</v>
      </c>
      <c r="P407" s="104">
        <f t="shared" si="53"/>
        <v>65</v>
      </c>
      <c r="Q407" s="104">
        <f t="shared" si="54"/>
        <v>2730</v>
      </c>
      <c r="R407" s="104"/>
      <c r="S407" s="93" t="s">
        <v>331</v>
      </c>
      <c r="T407" s="94">
        <v>46153</v>
      </c>
      <c r="U407" s="104">
        <f t="shared" si="55"/>
        <v>65</v>
      </c>
      <c r="V407" s="104">
        <f t="shared" si="56"/>
        <v>42</v>
      </c>
      <c r="W407" s="103">
        <f t="shared" si="57"/>
        <v>2730</v>
      </c>
      <c r="X407" s="93" t="s">
        <v>89</v>
      </c>
      <c r="Y407" s="105" t="s">
        <v>84</v>
      </c>
      <c r="Z407" s="105" t="s">
        <v>93</v>
      </c>
    </row>
    <row r="408" spans="1:26" s="105" customFormat="1" ht="15" customHeight="1">
      <c r="A408" s="99">
        <f t="shared" si="59"/>
        <v>406</v>
      </c>
      <c r="B408" s="75" t="s">
        <v>999</v>
      </c>
      <c r="C408" s="100" t="str">
        <f>IF($B408&lt;&gt;"",_xlfn.IFNA(VLOOKUP($B408,'Node Details'!$B:$U,C$1,0),"Check"),"")</f>
        <v>0000AXY07-AXY070105</v>
      </c>
      <c r="D408" s="100" t="str">
        <f>IF($B408&lt;&gt;"",_xlfn.IFNA(VLOOKUP($B408,'Node Details'!$B:$U,D$1,0),"Check"),"")</f>
        <v>AXY</v>
      </c>
      <c r="E408" s="100" t="str">
        <f>IF($B408&lt;&gt;"",_xlfn.IFNA(VLOOKUP($B408,'Node Details'!$B:$U,E$1,0),"Check"),"")</f>
        <v>Airtel</v>
      </c>
      <c r="F408" s="101">
        <v>46113</v>
      </c>
      <c r="G408" s="103"/>
      <c r="H408" s="102" t="s">
        <v>1258</v>
      </c>
      <c r="I408" s="9">
        <v>2</v>
      </c>
      <c r="J408" s="9">
        <v>65</v>
      </c>
      <c r="K408" s="100">
        <f t="shared" si="58"/>
        <v>130</v>
      </c>
      <c r="L408" s="78">
        <v>46112</v>
      </c>
      <c r="M408" s="103"/>
      <c r="N408" s="93" t="s">
        <v>143</v>
      </c>
      <c r="O408" s="94">
        <v>46141</v>
      </c>
      <c r="P408" s="104">
        <f t="shared" si="53"/>
        <v>65</v>
      </c>
      <c r="Q408" s="104">
        <f t="shared" si="54"/>
        <v>130</v>
      </c>
      <c r="R408" s="104"/>
      <c r="S408" s="93" t="s">
        <v>331</v>
      </c>
      <c r="T408" s="94">
        <v>46153</v>
      </c>
      <c r="U408" s="104">
        <f t="shared" si="55"/>
        <v>65</v>
      </c>
      <c r="V408" s="104">
        <f t="shared" si="56"/>
        <v>2</v>
      </c>
      <c r="W408" s="103">
        <f t="shared" si="57"/>
        <v>130</v>
      </c>
      <c r="X408" s="93" t="s">
        <v>89</v>
      </c>
      <c r="Y408" s="105" t="s">
        <v>84</v>
      </c>
      <c r="Z408" s="105" t="s">
        <v>93</v>
      </c>
    </row>
    <row r="409" spans="1:26" s="105" customFormat="1" ht="15" customHeight="1">
      <c r="A409" s="99">
        <f t="shared" si="59"/>
        <v>407</v>
      </c>
      <c r="B409" s="75" t="s">
        <v>1001</v>
      </c>
      <c r="C409" s="100" t="str">
        <f>IF($B409&lt;&gt;"",_xlfn.IFNA(VLOOKUP($B409,'Node Details'!$B:$U,C$1,0),"Check"),"")</f>
        <v>000000AXY-0000AXY12</v>
      </c>
      <c r="D409" s="100" t="str">
        <f>IF($B409&lt;&gt;"",_xlfn.IFNA(VLOOKUP($B409,'Node Details'!$B:$U,D$1,0),"Check"),"")</f>
        <v>AXY</v>
      </c>
      <c r="E409" s="100" t="str">
        <f>IF($B409&lt;&gt;"",_xlfn.IFNA(VLOOKUP($B409,'Node Details'!$B:$U,E$1,0),"Check"),"")</f>
        <v>Airtel</v>
      </c>
      <c r="F409" s="101">
        <v>46113</v>
      </c>
      <c r="G409" s="103"/>
      <c r="H409" s="102" t="s">
        <v>1258</v>
      </c>
      <c r="I409" s="9">
        <v>42</v>
      </c>
      <c r="J409" s="9">
        <v>65</v>
      </c>
      <c r="K409" s="100">
        <f t="shared" si="58"/>
        <v>2730</v>
      </c>
      <c r="L409" s="78">
        <v>46112</v>
      </c>
      <c r="M409" s="103"/>
      <c r="N409" s="93" t="s">
        <v>143</v>
      </c>
      <c r="O409" s="94">
        <v>46141</v>
      </c>
      <c r="P409" s="104">
        <f t="shared" si="53"/>
        <v>65</v>
      </c>
      <c r="Q409" s="104">
        <f t="shared" si="54"/>
        <v>2730</v>
      </c>
      <c r="R409" s="104"/>
      <c r="S409" s="93" t="s">
        <v>331</v>
      </c>
      <c r="T409" s="94">
        <v>46153</v>
      </c>
      <c r="U409" s="104">
        <f t="shared" si="55"/>
        <v>65</v>
      </c>
      <c r="V409" s="104">
        <f t="shared" si="56"/>
        <v>42</v>
      </c>
      <c r="W409" s="103">
        <f t="shared" si="57"/>
        <v>2730</v>
      </c>
      <c r="X409" s="93" t="s">
        <v>89</v>
      </c>
      <c r="Y409" s="105" t="s">
        <v>84</v>
      </c>
      <c r="Z409" s="105" t="s">
        <v>93</v>
      </c>
    </row>
    <row r="410" spans="1:26" s="105" customFormat="1" ht="15" customHeight="1">
      <c r="A410" s="99">
        <f t="shared" si="59"/>
        <v>408</v>
      </c>
      <c r="B410" s="75" t="s">
        <v>1002</v>
      </c>
      <c r="C410" s="100" t="str">
        <f>IF($B410&lt;&gt;"",_xlfn.IFNA(VLOOKUP($B410,'Node Details'!$B:$U,C$1,0),"Check"),"")</f>
        <v>0000AXY08-AXY080103</v>
      </c>
      <c r="D410" s="100" t="str">
        <f>IF($B410&lt;&gt;"",_xlfn.IFNA(VLOOKUP($B410,'Node Details'!$B:$U,D$1,0),"Check"),"")</f>
        <v>AXY</v>
      </c>
      <c r="E410" s="100" t="str">
        <f>IF($B410&lt;&gt;"",_xlfn.IFNA(VLOOKUP($B410,'Node Details'!$B:$U,E$1,0),"Check"),"")</f>
        <v>Airtel</v>
      </c>
      <c r="F410" s="101">
        <v>46113</v>
      </c>
      <c r="G410" s="103"/>
      <c r="H410" s="102" t="s">
        <v>1258</v>
      </c>
      <c r="I410" s="9">
        <v>2</v>
      </c>
      <c r="J410" s="9">
        <v>65</v>
      </c>
      <c r="K410" s="100">
        <f t="shared" si="58"/>
        <v>130</v>
      </c>
      <c r="L410" s="78">
        <v>46112</v>
      </c>
      <c r="M410" s="103"/>
      <c r="N410" s="93" t="s">
        <v>143</v>
      </c>
      <c r="O410" s="94">
        <v>46141</v>
      </c>
      <c r="P410" s="104">
        <f t="shared" si="53"/>
        <v>65</v>
      </c>
      <c r="Q410" s="104">
        <f t="shared" si="54"/>
        <v>130</v>
      </c>
      <c r="R410" s="104"/>
      <c r="S410" s="93" t="s">
        <v>331</v>
      </c>
      <c r="T410" s="94">
        <v>46153</v>
      </c>
      <c r="U410" s="104">
        <f t="shared" si="55"/>
        <v>65</v>
      </c>
      <c r="V410" s="104">
        <f t="shared" si="56"/>
        <v>2</v>
      </c>
      <c r="W410" s="103">
        <f t="shared" si="57"/>
        <v>130</v>
      </c>
      <c r="X410" s="93" t="s">
        <v>89</v>
      </c>
      <c r="Y410" s="105" t="s">
        <v>84</v>
      </c>
      <c r="Z410" s="105" t="s">
        <v>93</v>
      </c>
    </row>
    <row r="411" spans="1:26" s="105" customFormat="1" ht="15" customHeight="1">
      <c r="A411" s="99">
        <f t="shared" si="59"/>
        <v>409</v>
      </c>
      <c r="B411" s="75" t="s">
        <v>230</v>
      </c>
      <c r="C411" s="100" t="str">
        <f>IF($B411&lt;&gt;"",_xlfn.IFNA(VLOOKUP($B411,'Node Details'!$B:$U,C$1,0),"Check"),"")</f>
        <v>0000AXY08-AXY080105</v>
      </c>
      <c r="D411" s="100" t="str">
        <f>IF($B411&lt;&gt;"",_xlfn.IFNA(VLOOKUP($B411,'Node Details'!$B:$U,D$1,0),"Check"),"")</f>
        <v>AXY</v>
      </c>
      <c r="E411" s="100" t="str">
        <f>IF($B411&lt;&gt;"",_xlfn.IFNA(VLOOKUP($B411,'Node Details'!$B:$U,E$1,0),"Check"),"")</f>
        <v>Airtel</v>
      </c>
      <c r="F411" s="101">
        <v>46113</v>
      </c>
      <c r="G411" s="103"/>
      <c r="H411" s="102" t="s">
        <v>1258</v>
      </c>
      <c r="I411" s="9">
        <v>6</v>
      </c>
      <c r="J411" s="9">
        <v>65</v>
      </c>
      <c r="K411" s="100">
        <f t="shared" si="58"/>
        <v>390</v>
      </c>
      <c r="L411" s="78">
        <v>46112</v>
      </c>
      <c r="M411" s="103"/>
      <c r="N411" s="93" t="s">
        <v>143</v>
      </c>
      <c r="O411" s="94">
        <v>46141</v>
      </c>
      <c r="P411" s="104">
        <f t="shared" si="53"/>
        <v>65</v>
      </c>
      <c r="Q411" s="104">
        <f t="shared" si="54"/>
        <v>390</v>
      </c>
      <c r="R411" s="104"/>
      <c r="S411" s="93" t="s">
        <v>331</v>
      </c>
      <c r="T411" s="94">
        <v>46153</v>
      </c>
      <c r="U411" s="104">
        <f t="shared" si="55"/>
        <v>65</v>
      </c>
      <c r="V411" s="104">
        <f t="shared" si="56"/>
        <v>6</v>
      </c>
      <c r="W411" s="103">
        <f t="shared" si="57"/>
        <v>390</v>
      </c>
      <c r="X411" s="93" t="s">
        <v>89</v>
      </c>
      <c r="Y411" s="105" t="s">
        <v>84</v>
      </c>
      <c r="Z411" s="105" t="s">
        <v>93</v>
      </c>
    </row>
    <row r="412" spans="1:26" s="105" customFormat="1" ht="15" customHeight="1">
      <c r="A412" s="99">
        <f t="shared" si="59"/>
        <v>410</v>
      </c>
      <c r="B412" s="75" t="s">
        <v>233</v>
      </c>
      <c r="C412" s="100" t="str">
        <f>IF($B412&lt;&gt;"",_xlfn.IFNA(VLOOKUP($B412,'Node Details'!$B:$U,C$1,0),"Check"),"")</f>
        <v>0000AXY08-AXY080106</v>
      </c>
      <c r="D412" s="100" t="str">
        <f>IF($B412&lt;&gt;"",_xlfn.IFNA(VLOOKUP($B412,'Node Details'!$B:$U,D$1,0),"Check"),"")</f>
        <v>AXY</v>
      </c>
      <c r="E412" s="100" t="str">
        <f>IF($B412&lt;&gt;"",_xlfn.IFNA(VLOOKUP($B412,'Node Details'!$B:$U,E$1,0),"Check"),"")</f>
        <v>Airtel</v>
      </c>
      <c r="F412" s="101">
        <v>46113</v>
      </c>
      <c r="G412" s="103"/>
      <c r="H412" s="102" t="s">
        <v>1258</v>
      </c>
      <c r="I412" s="9">
        <v>4</v>
      </c>
      <c r="J412" s="9">
        <v>65</v>
      </c>
      <c r="K412" s="100">
        <f t="shared" si="58"/>
        <v>260</v>
      </c>
      <c r="L412" s="78">
        <v>46112</v>
      </c>
      <c r="M412" s="103"/>
      <c r="N412" s="93" t="s">
        <v>143</v>
      </c>
      <c r="O412" s="94">
        <v>46141</v>
      </c>
      <c r="P412" s="104">
        <f t="shared" si="53"/>
        <v>65</v>
      </c>
      <c r="Q412" s="104">
        <f t="shared" si="54"/>
        <v>260</v>
      </c>
      <c r="R412" s="104"/>
      <c r="S412" s="93" t="s">
        <v>331</v>
      </c>
      <c r="T412" s="94">
        <v>46153</v>
      </c>
      <c r="U412" s="104">
        <f t="shared" si="55"/>
        <v>65</v>
      </c>
      <c r="V412" s="104">
        <f t="shared" si="56"/>
        <v>4</v>
      </c>
      <c r="W412" s="103">
        <f t="shared" si="57"/>
        <v>260</v>
      </c>
      <c r="X412" s="93" t="s">
        <v>89</v>
      </c>
      <c r="Y412" s="105" t="s">
        <v>84</v>
      </c>
      <c r="Z412" s="105" t="s">
        <v>93</v>
      </c>
    </row>
    <row r="413" spans="1:26" s="105" customFormat="1" ht="15" customHeight="1">
      <c r="A413" s="99">
        <f t="shared" si="59"/>
        <v>411</v>
      </c>
      <c r="B413" s="75" t="s">
        <v>1005</v>
      </c>
      <c r="C413" s="100" t="str">
        <f>IF($B413&lt;&gt;"",_xlfn.IFNA(VLOOKUP($B413,'Node Details'!$B:$U,C$1,0),"Check"),"")</f>
        <v>AXY080106-AXY080201</v>
      </c>
      <c r="D413" s="100" t="str">
        <f>IF($B413&lt;&gt;"",_xlfn.IFNA(VLOOKUP($B413,'Node Details'!$B:$U,D$1,0),"Check"),"")</f>
        <v>AXY</v>
      </c>
      <c r="E413" s="100" t="str">
        <f>IF($B413&lt;&gt;"",_xlfn.IFNA(VLOOKUP($B413,'Node Details'!$B:$U,E$1,0),"Check"),"")</f>
        <v>Airtel</v>
      </c>
      <c r="F413" s="101">
        <v>46113</v>
      </c>
      <c r="G413" s="103"/>
      <c r="H413" s="102" t="s">
        <v>1258</v>
      </c>
      <c r="I413" s="9">
        <v>2</v>
      </c>
      <c r="J413" s="9">
        <v>65</v>
      </c>
      <c r="K413" s="100">
        <f t="shared" si="58"/>
        <v>130</v>
      </c>
      <c r="L413" s="78">
        <v>46112</v>
      </c>
      <c r="M413" s="103"/>
      <c r="N413" s="93" t="s">
        <v>143</v>
      </c>
      <c r="O413" s="94">
        <v>46141</v>
      </c>
      <c r="P413" s="104">
        <f t="shared" ref="P413:P451" si="60">J413</f>
        <v>65</v>
      </c>
      <c r="Q413" s="104">
        <f t="shared" ref="Q413:Q451" si="61">P413*I413</f>
        <v>130</v>
      </c>
      <c r="R413" s="104"/>
      <c r="S413" s="93" t="s">
        <v>331</v>
      </c>
      <c r="T413" s="94">
        <v>46153</v>
      </c>
      <c r="U413" s="104">
        <f t="shared" ref="U413:U451" si="62">J413</f>
        <v>65</v>
      </c>
      <c r="V413" s="104">
        <f t="shared" ref="V413:V451" si="63">I413</f>
        <v>2</v>
      </c>
      <c r="W413" s="103">
        <f t="shared" ref="W413:W451" si="64">IF(V413&lt;&gt;"",V413*U413,0)</f>
        <v>130</v>
      </c>
      <c r="X413" s="93" t="s">
        <v>89</v>
      </c>
      <c r="Y413" s="105" t="s">
        <v>84</v>
      </c>
      <c r="Z413" s="105" t="s">
        <v>93</v>
      </c>
    </row>
    <row r="414" spans="1:26" s="105" customFormat="1" ht="15" customHeight="1">
      <c r="A414" s="99">
        <f t="shared" si="59"/>
        <v>412</v>
      </c>
      <c r="B414" s="75" t="s">
        <v>1006</v>
      </c>
      <c r="C414" s="100" t="str">
        <f>IF($B414&lt;&gt;"",_xlfn.IFNA(VLOOKUP($B414,'Node Details'!$B:$U,C$1,0),"Check"),"")</f>
        <v>000000AXY-0000AXY12</v>
      </c>
      <c r="D414" s="100" t="str">
        <f>IF($B414&lt;&gt;"",_xlfn.IFNA(VLOOKUP($B414,'Node Details'!$B:$U,D$1,0),"Check"),"")</f>
        <v>AXY</v>
      </c>
      <c r="E414" s="100" t="str">
        <f>IF($B414&lt;&gt;"",_xlfn.IFNA(VLOOKUP($B414,'Node Details'!$B:$U,E$1,0),"Check"),"")</f>
        <v>Airtel</v>
      </c>
      <c r="F414" s="101">
        <v>46113</v>
      </c>
      <c r="G414" s="103"/>
      <c r="H414" s="102" t="s">
        <v>1258</v>
      </c>
      <c r="I414" s="9">
        <v>42</v>
      </c>
      <c r="J414" s="9">
        <v>65</v>
      </c>
      <c r="K414" s="100">
        <f t="shared" ref="K414:K451" si="65">IF(I414&lt;&gt;"",J414*I414,0)</f>
        <v>2730</v>
      </c>
      <c r="L414" s="78">
        <v>46112</v>
      </c>
      <c r="M414" s="103"/>
      <c r="N414" s="93" t="s">
        <v>143</v>
      </c>
      <c r="O414" s="94">
        <v>46141</v>
      </c>
      <c r="P414" s="104">
        <f t="shared" si="60"/>
        <v>65</v>
      </c>
      <c r="Q414" s="104">
        <f t="shared" si="61"/>
        <v>2730</v>
      </c>
      <c r="R414" s="104"/>
      <c r="S414" s="93" t="s">
        <v>331</v>
      </c>
      <c r="T414" s="94">
        <v>46153</v>
      </c>
      <c r="U414" s="104">
        <f t="shared" si="62"/>
        <v>65</v>
      </c>
      <c r="V414" s="104">
        <f t="shared" si="63"/>
        <v>42</v>
      </c>
      <c r="W414" s="103">
        <f t="shared" si="64"/>
        <v>2730</v>
      </c>
      <c r="X414" s="93" t="s">
        <v>89</v>
      </c>
      <c r="Y414" s="105" t="s">
        <v>84</v>
      </c>
      <c r="Z414" s="105" t="s">
        <v>93</v>
      </c>
    </row>
    <row r="415" spans="1:26" s="105" customFormat="1" ht="15" customHeight="1">
      <c r="A415" s="99">
        <f t="shared" si="59"/>
        <v>413</v>
      </c>
      <c r="B415" s="75" t="s">
        <v>254</v>
      </c>
      <c r="C415" s="100" t="str">
        <f>IF($B415&lt;&gt;"",_xlfn.IFNA(VLOOKUP($B415,'Node Details'!$B:$U,C$1,0),"Check"),"")</f>
        <v>0000AXY09-AXY090101</v>
      </c>
      <c r="D415" s="100" t="str">
        <f>IF($B415&lt;&gt;"",_xlfn.IFNA(VLOOKUP($B415,'Node Details'!$B:$U,D$1,0),"Check"),"")</f>
        <v>AXY</v>
      </c>
      <c r="E415" s="100" t="str">
        <f>IF($B415&lt;&gt;"",_xlfn.IFNA(VLOOKUP($B415,'Node Details'!$B:$U,E$1,0),"Check"),"")</f>
        <v>Airtel</v>
      </c>
      <c r="F415" s="101">
        <v>46113</v>
      </c>
      <c r="G415" s="103"/>
      <c r="H415" s="102" t="s">
        <v>1258</v>
      </c>
      <c r="I415" s="9">
        <v>6</v>
      </c>
      <c r="J415" s="9">
        <v>65</v>
      </c>
      <c r="K415" s="100">
        <f t="shared" si="65"/>
        <v>390</v>
      </c>
      <c r="L415" s="78">
        <v>46112</v>
      </c>
      <c r="M415" s="103"/>
      <c r="N415" s="93" t="s">
        <v>143</v>
      </c>
      <c r="O415" s="94">
        <v>46141</v>
      </c>
      <c r="P415" s="104">
        <f t="shared" si="60"/>
        <v>65</v>
      </c>
      <c r="Q415" s="104">
        <f t="shared" si="61"/>
        <v>390</v>
      </c>
      <c r="R415" s="104"/>
      <c r="S415" s="93" t="s">
        <v>331</v>
      </c>
      <c r="T415" s="94">
        <v>46153</v>
      </c>
      <c r="U415" s="104">
        <f t="shared" si="62"/>
        <v>65</v>
      </c>
      <c r="V415" s="104">
        <f t="shared" si="63"/>
        <v>6</v>
      </c>
      <c r="W415" s="103">
        <f t="shared" si="64"/>
        <v>390</v>
      </c>
      <c r="X415" s="93" t="s">
        <v>89</v>
      </c>
      <c r="Y415" s="105" t="s">
        <v>84</v>
      </c>
      <c r="Z415" s="105" t="s">
        <v>93</v>
      </c>
    </row>
    <row r="416" spans="1:26" s="105" customFormat="1" ht="15" customHeight="1">
      <c r="A416" s="99">
        <f t="shared" si="59"/>
        <v>414</v>
      </c>
      <c r="B416" s="75" t="s">
        <v>1007</v>
      </c>
      <c r="C416" s="100" t="str">
        <f>IF($B416&lt;&gt;"",_xlfn.IFNA(VLOOKUP($B416,'Node Details'!$B:$U,C$1,0),"Check"),"")</f>
        <v>0000AXY09-AXY090105</v>
      </c>
      <c r="D416" s="100" t="str">
        <f>IF($B416&lt;&gt;"",_xlfn.IFNA(VLOOKUP($B416,'Node Details'!$B:$U,D$1,0),"Check"),"")</f>
        <v>AXY</v>
      </c>
      <c r="E416" s="100" t="str">
        <f>IF($B416&lt;&gt;"",_xlfn.IFNA(VLOOKUP($B416,'Node Details'!$B:$U,E$1,0),"Check"),"")</f>
        <v>Airtel</v>
      </c>
      <c r="F416" s="101">
        <v>46113</v>
      </c>
      <c r="G416" s="103"/>
      <c r="H416" s="102" t="s">
        <v>1258</v>
      </c>
      <c r="I416" s="9">
        <v>2</v>
      </c>
      <c r="J416" s="9">
        <v>65</v>
      </c>
      <c r="K416" s="100">
        <f t="shared" si="65"/>
        <v>130</v>
      </c>
      <c r="L416" s="78">
        <v>46112</v>
      </c>
      <c r="M416" s="103"/>
      <c r="N416" s="93" t="s">
        <v>143</v>
      </c>
      <c r="O416" s="94">
        <v>46141</v>
      </c>
      <c r="P416" s="104">
        <f t="shared" si="60"/>
        <v>65</v>
      </c>
      <c r="Q416" s="104">
        <f t="shared" si="61"/>
        <v>130</v>
      </c>
      <c r="R416" s="104"/>
      <c r="S416" s="93" t="s">
        <v>331</v>
      </c>
      <c r="T416" s="94">
        <v>46153</v>
      </c>
      <c r="U416" s="104">
        <f t="shared" si="62"/>
        <v>65</v>
      </c>
      <c r="V416" s="104">
        <f t="shared" si="63"/>
        <v>2</v>
      </c>
      <c r="W416" s="103">
        <f t="shared" si="64"/>
        <v>130</v>
      </c>
      <c r="X416" s="93" t="s">
        <v>89</v>
      </c>
      <c r="Y416" s="105" t="s">
        <v>84</v>
      </c>
      <c r="Z416" s="105" t="s">
        <v>93</v>
      </c>
    </row>
    <row r="417" spans="1:26" s="105" customFormat="1" ht="15" customHeight="1">
      <c r="A417" s="99">
        <f t="shared" si="59"/>
        <v>415</v>
      </c>
      <c r="B417" s="75" t="s">
        <v>1008</v>
      </c>
      <c r="C417" s="100" t="str">
        <f>IF($B417&lt;&gt;"",_xlfn.IFNA(VLOOKUP($B417,'Node Details'!$B:$U,C$1,0),"Check"),"")</f>
        <v>0000AXY09-AXY090105</v>
      </c>
      <c r="D417" s="100" t="str">
        <f>IF($B417&lt;&gt;"",_xlfn.IFNA(VLOOKUP($B417,'Node Details'!$B:$U,D$1,0),"Check"),"")</f>
        <v>AXY</v>
      </c>
      <c r="E417" s="100" t="str">
        <f>IF($B417&lt;&gt;"",_xlfn.IFNA(VLOOKUP($B417,'Node Details'!$B:$U,E$1,0),"Check"),"")</f>
        <v>Airtel</v>
      </c>
      <c r="F417" s="101">
        <v>46113</v>
      </c>
      <c r="G417" s="103"/>
      <c r="H417" s="102" t="s">
        <v>1258</v>
      </c>
      <c r="I417" s="9">
        <v>0</v>
      </c>
      <c r="J417" s="9">
        <v>65</v>
      </c>
      <c r="K417" s="100">
        <f t="shared" si="65"/>
        <v>0</v>
      </c>
      <c r="L417" s="78">
        <v>46112</v>
      </c>
      <c r="M417" s="103"/>
      <c r="N417" s="93" t="s">
        <v>143</v>
      </c>
      <c r="O417" s="94">
        <v>46141</v>
      </c>
      <c r="P417" s="104">
        <f t="shared" si="60"/>
        <v>65</v>
      </c>
      <c r="Q417" s="104">
        <f t="shared" si="61"/>
        <v>0</v>
      </c>
      <c r="R417" s="104"/>
      <c r="S417" s="93" t="s">
        <v>331</v>
      </c>
      <c r="T417" s="94">
        <v>46153</v>
      </c>
      <c r="U417" s="104">
        <f t="shared" si="62"/>
        <v>65</v>
      </c>
      <c r="V417" s="104">
        <f t="shared" si="63"/>
        <v>0</v>
      </c>
      <c r="W417" s="103">
        <f t="shared" si="64"/>
        <v>0</v>
      </c>
      <c r="X417" s="93" t="s">
        <v>89</v>
      </c>
      <c r="Y417" s="105" t="s">
        <v>84</v>
      </c>
      <c r="Z417" s="105" t="s">
        <v>93</v>
      </c>
    </row>
    <row r="418" spans="1:26" s="105" customFormat="1" ht="15" customHeight="1">
      <c r="A418" s="99">
        <f t="shared" si="59"/>
        <v>416</v>
      </c>
      <c r="B418" s="75" t="s">
        <v>1009</v>
      </c>
      <c r="C418" s="100" t="str">
        <f>IF($B418&lt;&gt;"",_xlfn.IFNA(VLOOKUP($B418,'Node Details'!$B:$U,C$1,0),"Check"),"")</f>
        <v>0000AXY09-AXY090201</v>
      </c>
      <c r="D418" s="100" t="str">
        <f>IF($B418&lt;&gt;"",_xlfn.IFNA(VLOOKUP($B418,'Node Details'!$B:$U,D$1,0),"Check"),"")</f>
        <v>AXY</v>
      </c>
      <c r="E418" s="100" t="str">
        <f>IF($B418&lt;&gt;"",_xlfn.IFNA(VLOOKUP($B418,'Node Details'!$B:$U,E$1,0),"Check"),"")</f>
        <v>Airtel</v>
      </c>
      <c r="F418" s="101">
        <v>46113</v>
      </c>
      <c r="G418" s="103"/>
      <c r="H418" s="102" t="s">
        <v>1258</v>
      </c>
      <c r="I418" s="9">
        <v>6</v>
      </c>
      <c r="J418" s="9">
        <v>65</v>
      </c>
      <c r="K418" s="100">
        <f t="shared" si="65"/>
        <v>390</v>
      </c>
      <c r="L418" s="78">
        <v>46112</v>
      </c>
      <c r="M418" s="103"/>
      <c r="N418" s="93" t="s">
        <v>143</v>
      </c>
      <c r="O418" s="94">
        <v>46141</v>
      </c>
      <c r="P418" s="104">
        <f t="shared" si="60"/>
        <v>65</v>
      </c>
      <c r="Q418" s="104">
        <f t="shared" si="61"/>
        <v>390</v>
      </c>
      <c r="R418" s="104"/>
      <c r="S418" s="93" t="s">
        <v>331</v>
      </c>
      <c r="T418" s="94">
        <v>46153</v>
      </c>
      <c r="U418" s="104">
        <f t="shared" si="62"/>
        <v>65</v>
      </c>
      <c r="V418" s="104">
        <f t="shared" si="63"/>
        <v>6</v>
      </c>
      <c r="W418" s="103">
        <f t="shared" si="64"/>
        <v>390</v>
      </c>
      <c r="X418" s="93" t="s">
        <v>89</v>
      </c>
      <c r="Y418" s="105" t="s">
        <v>84</v>
      </c>
      <c r="Z418" s="105" t="s">
        <v>93</v>
      </c>
    </row>
    <row r="419" spans="1:26" s="105" customFormat="1" ht="15" customHeight="1">
      <c r="A419" s="99">
        <f t="shared" si="59"/>
        <v>417</v>
      </c>
      <c r="B419" s="75" t="s">
        <v>1010</v>
      </c>
      <c r="C419" s="100" t="str">
        <f>IF($B419&lt;&gt;"",_xlfn.IFNA(VLOOKUP($B419,'Node Details'!$B:$U,C$1,0),"Check"),"")</f>
        <v>0000AXY09-AXY090201</v>
      </c>
      <c r="D419" s="100" t="str">
        <f>IF($B419&lt;&gt;"",_xlfn.IFNA(VLOOKUP($B419,'Node Details'!$B:$U,D$1,0),"Check"),"")</f>
        <v>AXY</v>
      </c>
      <c r="E419" s="100" t="str">
        <f>IF($B419&lt;&gt;"",_xlfn.IFNA(VLOOKUP($B419,'Node Details'!$B:$U,E$1,0),"Check"),"")</f>
        <v>Airtel</v>
      </c>
      <c r="F419" s="101">
        <v>46113</v>
      </c>
      <c r="G419" s="103"/>
      <c r="H419" s="102" t="s">
        <v>1258</v>
      </c>
      <c r="I419" s="9">
        <v>4</v>
      </c>
      <c r="J419" s="9">
        <v>65</v>
      </c>
      <c r="K419" s="100">
        <f t="shared" si="65"/>
        <v>260</v>
      </c>
      <c r="L419" s="78">
        <v>46112</v>
      </c>
      <c r="M419" s="103"/>
      <c r="N419" s="93" t="s">
        <v>143</v>
      </c>
      <c r="O419" s="94">
        <v>46141</v>
      </c>
      <c r="P419" s="104">
        <f t="shared" si="60"/>
        <v>65</v>
      </c>
      <c r="Q419" s="104">
        <f t="shared" si="61"/>
        <v>260</v>
      </c>
      <c r="R419" s="104"/>
      <c r="S419" s="93" t="s">
        <v>331</v>
      </c>
      <c r="T419" s="94">
        <v>46153</v>
      </c>
      <c r="U419" s="104">
        <f t="shared" si="62"/>
        <v>65</v>
      </c>
      <c r="V419" s="104">
        <f t="shared" si="63"/>
        <v>4</v>
      </c>
      <c r="W419" s="103">
        <f t="shared" si="64"/>
        <v>260</v>
      </c>
      <c r="X419" s="93" t="s">
        <v>89</v>
      </c>
      <c r="Y419" s="105" t="s">
        <v>84</v>
      </c>
      <c r="Z419" s="105" t="s">
        <v>93</v>
      </c>
    </row>
    <row r="420" spans="1:26" s="105" customFormat="1" ht="15" customHeight="1">
      <c r="A420" s="99">
        <f t="shared" si="59"/>
        <v>418</v>
      </c>
      <c r="B420" s="75" t="s">
        <v>1011</v>
      </c>
      <c r="C420" s="100" t="str">
        <f>IF($B420&lt;&gt;"",_xlfn.IFNA(VLOOKUP($B420,'Node Details'!$B:$U,C$1,0),"Check"),"")</f>
        <v>0000AXY09-AXY090201</v>
      </c>
      <c r="D420" s="100" t="str">
        <f>IF($B420&lt;&gt;"",_xlfn.IFNA(VLOOKUP($B420,'Node Details'!$B:$U,D$1,0),"Check"),"")</f>
        <v>AXY</v>
      </c>
      <c r="E420" s="100" t="str">
        <f>IF($B420&lt;&gt;"",_xlfn.IFNA(VLOOKUP($B420,'Node Details'!$B:$U,E$1,0),"Check"),"")</f>
        <v>Airtel</v>
      </c>
      <c r="F420" s="101">
        <v>46113</v>
      </c>
      <c r="G420" s="103"/>
      <c r="H420" s="102" t="s">
        <v>1258</v>
      </c>
      <c r="I420" s="9">
        <v>0</v>
      </c>
      <c r="J420" s="9">
        <v>65</v>
      </c>
      <c r="K420" s="100">
        <f t="shared" si="65"/>
        <v>0</v>
      </c>
      <c r="L420" s="78">
        <v>46112</v>
      </c>
      <c r="M420" s="103"/>
      <c r="N420" s="93" t="s">
        <v>143</v>
      </c>
      <c r="O420" s="94">
        <v>46141</v>
      </c>
      <c r="P420" s="104">
        <f t="shared" si="60"/>
        <v>65</v>
      </c>
      <c r="Q420" s="104">
        <f t="shared" si="61"/>
        <v>0</v>
      </c>
      <c r="R420" s="104"/>
      <c r="S420" s="93" t="s">
        <v>331</v>
      </c>
      <c r="T420" s="94">
        <v>46153</v>
      </c>
      <c r="U420" s="104">
        <f t="shared" si="62"/>
        <v>65</v>
      </c>
      <c r="V420" s="104">
        <f t="shared" si="63"/>
        <v>0</v>
      </c>
      <c r="W420" s="103">
        <f t="shared" si="64"/>
        <v>0</v>
      </c>
      <c r="X420" s="93" t="s">
        <v>89</v>
      </c>
      <c r="Y420" s="105" t="s">
        <v>84</v>
      </c>
      <c r="Z420" s="105" t="s">
        <v>93</v>
      </c>
    </row>
    <row r="421" spans="1:26" s="105" customFormat="1" ht="15" customHeight="1">
      <c r="A421" s="99">
        <f t="shared" si="59"/>
        <v>419</v>
      </c>
      <c r="B421" s="75" t="s">
        <v>1012</v>
      </c>
      <c r="C421" s="100" t="str">
        <f>IF($B421&lt;&gt;"",_xlfn.IFNA(VLOOKUP($B421,'Node Details'!$B:$U,C$1,0),"Check"),"")</f>
        <v>AXY090201-AXY090204</v>
      </c>
      <c r="D421" s="100" t="str">
        <f>IF($B421&lt;&gt;"",_xlfn.IFNA(VLOOKUP($B421,'Node Details'!$B:$U,D$1,0),"Check"),"")</f>
        <v>AXY</v>
      </c>
      <c r="E421" s="100" t="str">
        <f>IF($B421&lt;&gt;"",_xlfn.IFNA(VLOOKUP($B421,'Node Details'!$B:$U,E$1,0),"Check"),"")</f>
        <v>Airtel</v>
      </c>
      <c r="F421" s="101">
        <v>46113</v>
      </c>
      <c r="G421" s="103"/>
      <c r="H421" s="102" t="s">
        <v>1258</v>
      </c>
      <c r="I421" s="9">
        <v>3</v>
      </c>
      <c r="J421" s="9">
        <v>65</v>
      </c>
      <c r="K421" s="100">
        <f t="shared" si="65"/>
        <v>195</v>
      </c>
      <c r="L421" s="78">
        <v>46112</v>
      </c>
      <c r="M421" s="103"/>
      <c r="N421" s="93" t="s">
        <v>143</v>
      </c>
      <c r="O421" s="94">
        <v>46141</v>
      </c>
      <c r="P421" s="104">
        <f t="shared" si="60"/>
        <v>65</v>
      </c>
      <c r="Q421" s="104">
        <f t="shared" si="61"/>
        <v>195</v>
      </c>
      <c r="R421" s="104"/>
      <c r="S421" s="93" t="s">
        <v>331</v>
      </c>
      <c r="T421" s="94">
        <v>46153</v>
      </c>
      <c r="U421" s="104">
        <f t="shared" si="62"/>
        <v>65</v>
      </c>
      <c r="V421" s="104">
        <f t="shared" si="63"/>
        <v>3</v>
      </c>
      <c r="W421" s="103">
        <f t="shared" si="64"/>
        <v>195</v>
      </c>
      <c r="X421" s="93" t="s">
        <v>89</v>
      </c>
      <c r="Y421" s="105" t="s">
        <v>84</v>
      </c>
      <c r="Z421" s="105" t="s">
        <v>93</v>
      </c>
    </row>
    <row r="422" spans="1:26" s="105" customFormat="1" ht="15" customHeight="1">
      <c r="A422" s="99">
        <f t="shared" si="59"/>
        <v>420</v>
      </c>
      <c r="B422" s="75" t="s">
        <v>1013</v>
      </c>
      <c r="C422" s="100" t="str">
        <f>IF($B422&lt;&gt;"",_xlfn.IFNA(VLOOKUP($B422,'Node Details'!$B:$U,C$1,0),"Check"),"")</f>
        <v>AXY090201-AXY090204</v>
      </c>
      <c r="D422" s="100" t="str">
        <f>IF($B422&lt;&gt;"",_xlfn.IFNA(VLOOKUP($B422,'Node Details'!$B:$U,D$1,0),"Check"),"")</f>
        <v>AXY</v>
      </c>
      <c r="E422" s="100" t="str">
        <f>IF($B422&lt;&gt;"",_xlfn.IFNA(VLOOKUP($B422,'Node Details'!$B:$U,E$1,0),"Check"),"")</f>
        <v>Airtel</v>
      </c>
      <c r="F422" s="101">
        <v>46113</v>
      </c>
      <c r="G422" s="103"/>
      <c r="H422" s="102" t="s">
        <v>1258</v>
      </c>
      <c r="I422" s="9">
        <v>0</v>
      </c>
      <c r="J422" s="9">
        <v>65</v>
      </c>
      <c r="K422" s="100">
        <f t="shared" si="65"/>
        <v>0</v>
      </c>
      <c r="L422" s="78">
        <v>46112</v>
      </c>
      <c r="M422" s="103"/>
      <c r="N422" s="93" t="s">
        <v>143</v>
      </c>
      <c r="O422" s="94">
        <v>46141</v>
      </c>
      <c r="P422" s="104">
        <f t="shared" si="60"/>
        <v>65</v>
      </c>
      <c r="Q422" s="104">
        <f t="shared" si="61"/>
        <v>0</v>
      </c>
      <c r="R422" s="104"/>
      <c r="S422" s="93" t="s">
        <v>331</v>
      </c>
      <c r="T422" s="94">
        <v>46153</v>
      </c>
      <c r="U422" s="104">
        <f t="shared" si="62"/>
        <v>65</v>
      </c>
      <c r="V422" s="104">
        <f t="shared" si="63"/>
        <v>0</v>
      </c>
      <c r="W422" s="103">
        <f t="shared" si="64"/>
        <v>0</v>
      </c>
      <c r="X422" s="93" t="s">
        <v>89</v>
      </c>
      <c r="Y422" s="105" t="s">
        <v>84</v>
      </c>
      <c r="Z422" s="105" t="s">
        <v>93</v>
      </c>
    </row>
    <row r="423" spans="1:26" s="105" customFormat="1" ht="15" customHeight="1">
      <c r="A423" s="99">
        <f t="shared" si="59"/>
        <v>421</v>
      </c>
      <c r="B423" s="75" t="s">
        <v>1014</v>
      </c>
      <c r="C423" s="100" t="str">
        <f>IF($B423&lt;&gt;"",_xlfn.IFNA(VLOOKUP($B423,'Node Details'!$B:$U,C$1,0),"Check"),"")</f>
        <v>000000AXY-0000AXY12</v>
      </c>
      <c r="D423" s="100" t="str">
        <f>IF($B423&lt;&gt;"",_xlfn.IFNA(VLOOKUP($B423,'Node Details'!$B:$U,D$1,0),"Check"),"")</f>
        <v>AXY</v>
      </c>
      <c r="E423" s="100" t="str">
        <f>IF($B423&lt;&gt;"",_xlfn.IFNA(VLOOKUP($B423,'Node Details'!$B:$U,E$1,0),"Check"),"")</f>
        <v>Airtel</v>
      </c>
      <c r="F423" s="101">
        <v>46113</v>
      </c>
      <c r="G423" s="103"/>
      <c r="H423" s="102" t="s">
        <v>1258</v>
      </c>
      <c r="I423" s="9">
        <v>42</v>
      </c>
      <c r="J423" s="9">
        <v>65</v>
      </c>
      <c r="K423" s="100">
        <f t="shared" si="65"/>
        <v>2730</v>
      </c>
      <c r="L423" s="78">
        <v>46112</v>
      </c>
      <c r="M423" s="103"/>
      <c r="N423" s="93" t="s">
        <v>143</v>
      </c>
      <c r="O423" s="94">
        <v>46141</v>
      </c>
      <c r="P423" s="104">
        <f t="shared" si="60"/>
        <v>65</v>
      </c>
      <c r="Q423" s="104">
        <f t="shared" si="61"/>
        <v>2730</v>
      </c>
      <c r="R423" s="104"/>
      <c r="S423" s="93" t="s">
        <v>331</v>
      </c>
      <c r="T423" s="94">
        <v>46153</v>
      </c>
      <c r="U423" s="104">
        <f t="shared" si="62"/>
        <v>65</v>
      </c>
      <c r="V423" s="104">
        <f t="shared" si="63"/>
        <v>42</v>
      </c>
      <c r="W423" s="103">
        <f t="shared" si="64"/>
        <v>2730</v>
      </c>
      <c r="X423" s="93" t="s">
        <v>89</v>
      </c>
      <c r="Y423" s="105" t="s">
        <v>84</v>
      </c>
      <c r="Z423" s="105" t="s">
        <v>93</v>
      </c>
    </row>
    <row r="424" spans="1:26" s="105" customFormat="1" ht="15" customHeight="1">
      <c r="A424" s="99">
        <f t="shared" si="59"/>
        <v>422</v>
      </c>
      <c r="B424" s="75" t="s">
        <v>1015</v>
      </c>
      <c r="C424" s="100" t="str">
        <f>IF($B424&lt;&gt;"",_xlfn.IFNA(VLOOKUP($B424,'Node Details'!$B:$U,C$1,0),"Check"),"")</f>
        <v>0000AXY10-AXY100104</v>
      </c>
      <c r="D424" s="100" t="str">
        <f>IF($B424&lt;&gt;"",_xlfn.IFNA(VLOOKUP($B424,'Node Details'!$B:$U,D$1,0),"Check"),"")</f>
        <v>AXY</v>
      </c>
      <c r="E424" s="100" t="str">
        <f>IF($B424&lt;&gt;"",_xlfn.IFNA(VLOOKUP($B424,'Node Details'!$B:$U,E$1,0),"Check"),"")</f>
        <v>Airtel</v>
      </c>
      <c r="F424" s="101">
        <v>46113</v>
      </c>
      <c r="G424" s="103"/>
      <c r="H424" s="102" t="s">
        <v>1258</v>
      </c>
      <c r="I424" s="9">
        <v>3</v>
      </c>
      <c r="J424" s="9">
        <v>65</v>
      </c>
      <c r="K424" s="100">
        <f t="shared" si="65"/>
        <v>195</v>
      </c>
      <c r="L424" s="78">
        <v>46112</v>
      </c>
      <c r="M424" s="103"/>
      <c r="N424" s="93" t="s">
        <v>143</v>
      </c>
      <c r="O424" s="94">
        <v>46141</v>
      </c>
      <c r="P424" s="104">
        <f t="shared" si="60"/>
        <v>65</v>
      </c>
      <c r="Q424" s="104">
        <f t="shared" si="61"/>
        <v>195</v>
      </c>
      <c r="R424" s="104"/>
      <c r="S424" s="93" t="s">
        <v>331</v>
      </c>
      <c r="T424" s="94">
        <v>46153</v>
      </c>
      <c r="U424" s="104">
        <f t="shared" si="62"/>
        <v>65</v>
      </c>
      <c r="V424" s="104">
        <f t="shared" si="63"/>
        <v>3</v>
      </c>
      <c r="W424" s="103">
        <f t="shared" si="64"/>
        <v>195</v>
      </c>
      <c r="X424" s="93" t="s">
        <v>89</v>
      </c>
      <c r="Y424" s="105" t="s">
        <v>84</v>
      </c>
      <c r="Z424" s="105" t="s">
        <v>93</v>
      </c>
    </row>
    <row r="425" spans="1:26" s="105" customFormat="1" ht="15" customHeight="1">
      <c r="A425" s="99">
        <f t="shared" si="59"/>
        <v>423</v>
      </c>
      <c r="B425" s="75" t="s">
        <v>1016</v>
      </c>
      <c r="C425" s="100" t="str">
        <f>IF($B425&lt;&gt;"",_xlfn.IFNA(VLOOKUP($B425,'Node Details'!$B:$U,C$1,0),"Check"),"")</f>
        <v>0000AXY10-AXY100104</v>
      </c>
      <c r="D425" s="100" t="str">
        <f>IF($B425&lt;&gt;"",_xlfn.IFNA(VLOOKUP($B425,'Node Details'!$B:$U,D$1,0),"Check"),"")</f>
        <v>AXY</v>
      </c>
      <c r="E425" s="100" t="str">
        <f>IF($B425&lt;&gt;"",_xlfn.IFNA(VLOOKUP($B425,'Node Details'!$B:$U,E$1,0),"Check"),"")</f>
        <v>Airtel</v>
      </c>
      <c r="F425" s="101">
        <v>46113</v>
      </c>
      <c r="G425" s="103"/>
      <c r="H425" s="102" t="s">
        <v>1258</v>
      </c>
      <c r="I425" s="9">
        <v>0</v>
      </c>
      <c r="J425" s="9">
        <v>65</v>
      </c>
      <c r="K425" s="100">
        <f t="shared" si="65"/>
        <v>0</v>
      </c>
      <c r="L425" s="78">
        <v>46112</v>
      </c>
      <c r="M425" s="103"/>
      <c r="N425" s="93" t="s">
        <v>143</v>
      </c>
      <c r="O425" s="94">
        <v>46141</v>
      </c>
      <c r="P425" s="104">
        <f t="shared" si="60"/>
        <v>65</v>
      </c>
      <c r="Q425" s="104">
        <f t="shared" si="61"/>
        <v>0</v>
      </c>
      <c r="R425" s="104"/>
      <c r="S425" s="93" t="s">
        <v>331</v>
      </c>
      <c r="T425" s="94">
        <v>46153</v>
      </c>
      <c r="U425" s="104">
        <f t="shared" si="62"/>
        <v>65</v>
      </c>
      <c r="V425" s="104">
        <f t="shared" si="63"/>
        <v>0</v>
      </c>
      <c r="W425" s="103">
        <f t="shared" si="64"/>
        <v>0</v>
      </c>
      <c r="X425" s="93" t="s">
        <v>89</v>
      </c>
      <c r="Y425" s="105" t="s">
        <v>84</v>
      </c>
      <c r="Z425" s="105" t="s">
        <v>93</v>
      </c>
    </row>
    <row r="426" spans="1:26" s="105" customFormat="1" ht="15" customHeight="1">
      <c r="A426" s="99">
        <f t="shared" si="59"/>
        <v>424</v>
      </c>
      <c r="B426" s="75" t="s">
        <v>1017</v>
      </c>
      <c r="C426" s="100" t="str">
        <f>IF($B426&lt;&gt;"",_xlfn.IFNA(VLOOKUP($B426,'Node Details'!$B:$U,C$1,0),"Check"),"")</f>
        <v>0000AXY10-AXY100105</v>
      </c>
      <c r="D426" s="100" t="str">
        <f>IF($B426&lt;&gt;"",_xlfn.IFNA(VLOOKUP($B426,'Node Details'!$B:$U,D$1,0),"Check"),"")</f>
        <v>AXY</v>
      </c>
      <c r="E426" s="100" t="str">
        <f>IF($B426&lt;&gt;"",_xlfn.IFNA(VLOOKUP($B426,'Node Details'!$B:$U,E$1,0),"Check"),"")</f>
        <v>Airtel</v>
      </c>
      <c r="F426" s="101">
        <v>46113</v>
      </c>
      <c r="G426" s="103"/>
      <c r="H426" s="102" t="s">
        <v>1258</v>
      </c>
      <c r="I426" s="9">
        <v>6</v>
      </c>
      <c r="J426" s="9">
        <v>65</v>
      </c>
      <c r="K426" s="100">
        <f t="shared" si="65"/>
        <v>390</v>
      </c>
      <c r="L426" s="78">
        <v>46112</v>
      </c>
      <c r="M426" s="103"/>
      <c r="N426" s="93" t="s">
        <v>143</v>
      </c>
      <c r="O426" s="94">
        <v>46141</v>
      </c>
      <c r="P426" s="104">
        <f t="shared" si="60"/>
        <v>65</v>
      </c>
      <c r="Q426" s="104">
        <f t="shared" si="61"/>
        <v>390</v>
      </c>
      <c r="R426" s="104"/>
      <c r="S426" s="93" t="s">
        <v>331</v>
      </c>
      <c r="T426" s="94">
        <v>46153</v>
      </c>
      <c r="U426" s="104">
        <f t="shared" si="62"/>
        <v>65</v>
      </c>
      <c r="V426" s="104">
        <f t="shared" si="63"/>
        <v>6</v>
      </c>
      <c r="W426" s="103">
        <f t="shared" si="64"/>
        <v>390</v>
      </c>
      <c r="X426" s="93" t="s">
        <v>89</v>
      </c>
      <c r="Y426" s="105" t="s">
        <v>84</v>
      </c>
      <c r="Z426" s="105" t="s">
        <v>93</v>
      </c>
    </row>
    <row r="427" spans="1:26" s="105" customFormat="1" ht="15" customHeight="1">
      <c r="A427" s="99">
        <f t="shared" si="59"/>
        <v>425</v>
      </c>
      <c r="B427" s="75" t="s">
        <v>269</v>
      </c>
      <c r="C427" s="100" t="str">
        <f>IF($B427&lt;&gt;"",_xlfn.IFNA(VLOOKUP($B427,'Node Details'!$B:$U,C$1,0),"Check"),"")</f>
        <v>0000AXY10-AXY100105</v>
      </c>
      <c r="D427" s="100" t="str">
        <f>IF($B427&lt;&gt;"",_xlfn.IFNA(VLOOKUP($B427,'Node Details'!$B:$U,D$1,0),"Check"),"")</f>
        <v>AXY</v>
      </c>
      <c r="E427" s="100" t="str">
        <f>IF($B427&lt;&gt;"",_xlfn.IFNA(VLOOKUP($B427,'Node Details'!$B:$U,E$1,0),"Check"),"")</f>
        <v>Airtel</v>
      </c>
      <c r="F427" s="101">
        <v>46113</v>
      </c>
      <c r="G427" s="103"/>
      <c r="H427" s="102" t="s">
        <v>1258</v>
      </c>
      <c r="I427" s="9">
        <v>4</v>
      </c>
      <c r="J427" s="9">
        <v>65</v>
      </c>
      <c r="K427" s="100">
        <f t="shared" si="65"/>
        <v>260</v>
      </c>
      <c r="L427" s="78">
        <v>46112</v>
      </c>
      <c r="M427" s="103"/>
      <c r="N427" s="93" t="s">
        <v>143</v>
      </c>
      <c r="O427" s="94">
        <v>46141</v>
      </c>
      <c r="P427" s="104">
        <f t="shared" si="60"/>
        <v>65</v>
      </c>
      <c r="Q427" s="104">
        <f t="shared" si="61"/>
        <v>260</v>
      </c>
      <c r="R427" s="104"/>
      <c r="S427" s="93" t="s">
        <v>331</v>
      </c>
      <c r="T427" s="94">
        <v>46153</v>
      </c>
      <c r="U427" s="104">
        <f t="shared" si="62"/>
        <v>65</v>
      </c>
      <c r="V427" s="104">
        <f t="shared" si="63"/>
        <v>4</v>
      </c>
      <c r="W427" s="103">
        <f t="shared" si="64"/>
        <v>260</v>
      </c>
      <c r="X427" s="93" t="s">
        <v>89</v>
      </c>
      <c r="Y427" s="105" t="s">
        <v>84</v>
      </c>
      <c r="Z427" s="105" t="s">
        <v>93</v>
      </c>
    </row>
    <row r="428" spans="1:26" s="105" customFormat="1" ht="15" customHeight="1">
      <c r="A428" s="99">
        <f t="shared" si="59"/>
        <v>426</v>
      </c>
      <c r="B428" s="75" t="s">
        <v>1018</v>
      </c>
      <c r="C428" s="100" t="str">
        <f>IF($B428&lt;&gt;"",_xlfn.IFNA(VLOOKUP($B428,'Node Details'!$B:$U,C$1,0),"Check"),"")</f>
        <v>AXY100106-AXY100201</v>
      </c>
      <c r="D428" s="100" t="str">
        <f>IF($B428&lt;&gt;"",_xlfn.IFNA(VLOOKUP($B428,'Node Details'!$B:$U,D$1,0),"Check"),"")</f>
        <v>AXY</v>
      </c>
      <c r="E428" s="100" t="str">
        <f>IF($B428&lt;&gt;"",_xlfn.IFNA(VLOOKUP($B428,'Node Details'!$B:$U,E$1,0),"Check"),"")</f>
        <v>Airtel</v>
      </c>
      <c r="F428" s="101">
        <v>46113</v>
      </c>
      <c r="G428" s="103"/>
      <c r="H428" s="102" t="s">
        <v>1258</v>
      </c>
      <c r="I428" s="9">
        <v>2</v>
      </c>
      <c r="J428" s="9">
        <v>65</v>
      </c>
      <c r="K428" s="100">
        <f t="shared" si="65"/>
        <v>130</v>
      </c>
      <c r="L428" s="78">
        <v>46112</v>
      </c>
      <c r="M428" s="103"/>
      <c r="N428" s="93" t="s">
        <v>143</v>
      </c>
      <c r="O428" s="94">
        <v>46141</v>
      </c>
      <c r="P428" s="104">
        <f t="shared" si="60"/>
        <v>65</v>
      </c>
      <c r="Q428" s="104">
        <f t="shared" si="61"/>
        <v>130</v>
      </c>
      <c r="R428" s="104"/>
      <c r="S428" s="93" t="s">
        <v>331</v>
      </c>
      <c r="T428" s="94">
        <v>46153</v>
      </c>
      <c r="U428" s="104">
        <f t="shared" si="62"/>
        <v>65</v>
      </c>
      <c r="V428" s="104">
        <f t="shared" si="63"/>
        <v>2</v>
      </c>
      <c r="W428" s="103">
        <f t="shared" si="64"/>
        <v>130</v>
      </c>
      <c r="X428" s="93" t="s">
        <v>89</v>
      </c>
      <c r="Y428" s="105" t="s">
        <v>84</v>
      </c>
      <c r="Z428" s="105" t="s">
        <v>93</v>
      </c>
    </row>
    <row r="429" spans="1:26" s="105" customFormat="1" ht="15" customHeight="1">
      <c r="A429" s="99">
        <f t="shared" si="59"/>
        <v>427</v>
      </c>
      <c r="B429" s="75" t="s">
        <v>1019</v>
      </c>
      <c r="C429" s="100" t="str">
        <f>IF($B429&lt;&gt;"",_xlfn.IFNA(VLOOKUP($B429,'Node Details'!$B:$U,C$1,0),"Check"),"")</f>
        <v>000000AXY-0000AXY12</v>
      </c>
      <c r="D429" s="100" t="str">
        <f>IF($B429&lt;&gt;"",_xlfn.IFNA(VLOOKUP($B429,'Node Details'!$B:$U,D$1,0),"Check"),"")</f>
        <v>AXY</v>
      </c>
      <c r="E429" s="100" t="str">
        <f>IF($B429&lt;&gt;"",_xlfn.IFNA(VLOOKUP($B429,'Node Details'!$B:$U,E$1,0),"Check"),"")</f>
        <v>Airtel</v>
      </c>
      <c r="F429" s="101">
        <v>46113</v>
      </c>
      <c r="G429" s="103"/>
      <c r="H429" s="102" t="s">
        <v>1258</v>
      </c>
      <c r="I429" s="9">
        <v>42</v>
      </c>
      <c r="J429" s="9">
        <v>65</v>
      </c>
      <c r="K429" s="100">
        <f t="shared" si="65"/>
        <v>2730</v>
      </c>
      <c r="L429" s="78">
        <v>46112</v>
      </c>
      <c r="M429" s="103"/>
      <c r="N429" s="93" t="s">
        <v>143</v>
      </c>
      <c r="O429" s="94">
        <v>46141</v>
      </c>
      <c r="P429" s="104">
        <f t="shared" si="60"/>
        <v>65</v>
      </c>
      <c r="Q429" s="104">
        <f t="shared" si="61"/>
        <v>2730</v>
      </c>
      <c r="R429" s="104"/>
      <c r="S429" s="93" t="s">
        <v>331</v>
      </c>
      <c r="T429" s="94">
        <v>46153</v>
      </c>
      <c r="U429" s="104">
        <f t="shared" si="62"/>
        <v>65</v>
      </c>
      <c r="V429" s="104">
        <f t="shared" si="63"/>
        <v>42</v>
      </c>
      <c r="W429" s="103">
        <f t="shared" si="64"/>
        <v>2730</v>
      </c>
      <c r="X429" s="93" t="s">
        <v>89</v>
      </c>
      <c r="Y429" s="105" t="s">
        <v>84</v>
      </c>
      <c r="Z429" s="105" t="s">
        <v>93</v>
      </c>
    </row>
    <row r="430" spans="1:26" s="105" customFormat="1" ht="15" customHeight="1">
      <c r="A430" s="99">
        <f t="shared" si="59"/>
        <v>428</v>
      </c>
      <c r="B430" s="75" t="s">
        <v>1021</v>
      </c>
      <c r="C430" s="100" t="str">
        <f>IF($B430&lt;&gt;"",_xlfn.IFNA(VLOOKUP($B430,'Node Details'!$B:$U,C$1,0),"Check"),"")</f>
        <v>0000AXY11-AXY110107</v>
      </c>
      <c r="D430" s="100" t="str">
        <f>IF($B430&lt;&gt;"",_xlfn.IFNA(VLOOKUP($B430,'Node Details'!$B:$U,D$1,0),"Check"),"")</f>
        <v>AXY</v>
      </c>
      <c r="E430" s="100" t="str">
        <f>IF($B430&lt;&gt;"",_xlfn.IFNA(VLOOKUP($B430,'Node Details'!$B:$U,E$1,0),"Check"),"")</f>
        <v>Airtel</v>
      </c>
      <c r="F430" s="101">
        <v>46113</v>
      </c>
      <c r="G430" s="103"/>
      <c r="H430" s="102" t="s">
        <v>1258</v>
      </c>
      <c r="I430" s="9">
        <v>8</v>
      </c>
      <c r="J430" s="9">
        <v>65</v>
      </c>
      <c r="K430" s="100">
        <f t="shared" si="65"/>
        <v>520</v>
      </c>
      <c r="L430" s="78">
        <v>46112</v>
      </c>
      <c r="M430" s="103"/>
      <c r="N430" s="93" t="s">
        <v>143</v>
      </c>
      <c r="O430" s="94">
        <v>46141</v>
      </c>
      <c r="P430" s="104">
        <f t="shared" si="60"/>
        <v>65</v>
      </c>
      <c r="Q430" s="104">
        <f t="shared" si="61"/>
        <v>520</v>
      </c>
      <c r="R430" s="104"/>
      <c r="S430" s="93" t="s">
        <v>331</v>
      </c>
      <c r="T430" s="94">
        <v>46153</v>
      </c>
      <c r="U430" s="104">
        <f t="shared" si="62"/>
        <v>65</v>
      </c>
      <c r="V430" s="104">
        <f t="shared" si="63"/>
        <v>8</v>
      </c>
      <c r="W430" s="103">
        <f t="shared" si="64"/>
        <v>520</v>
      </c>
      <c r="X430" s="93" t="s">
        <v>89</v>
      </c>
      <c r="Y430" s="105" t="s">
        <v>84</v>
      </c>
      <c r="Z430" s="105" t="s">
        <v>93</v>
      </c>
    </row>
    <row r="431" spans="1:26" s="105" customFormat="1" ht="15" customHeight="1">
      <c r="A431" s="99">
        <f t="shared" si="59"/>
        <v>429</v>
      </c>
      <c r="B431" s="75" t="s">
        <v>1022</v>
      </c>
      <c r="C431" s="100" t="str">
        <f>IF($B431&lt;&gt;"",_xlfn.IFNA(VLOOKUP($B431,'Node Details'!$B:$U,C$1,0),"Check"),"")</f>
        <v>AXY110103-AXY110106</v>
      </c>
      <c r="D431" s="100" t="str">
        <f>IF($B431&lt;&gt;"",_xlfn.IFNA(VLOOKUP($B431,'Node Details'!$B:$U,D$1,0),"Check"),"")</f>
        <v>AXY</v>
      </c>
      <c r="E431" s="100" t="str">
        <f>IF($B431&lt;&gt;"",_xlfn.IFNA(VLOOKUP($B431,'Node Details'!$B:$U,E$1,0),"Check"),"")</f>
        <v>Airtel</v>
      </c>
      <c r="F431" s="101">
        <v>46113</v>
      </c>
      <c r="G431" s="103"/>
      <c r="H431" s="102" t="s">
        <v>1258</v>
      </c>
      <c r="I431" s="9">
        <v>6</v>
      </c>
      <c r="J431" s="9">
        <v>65</v>
      </c>
      <c r="K431" s="100">
        <f t="shared" si="65"/>
        <v>390</v>
      </c>
      <c r="L431" s="78">
        <v>46112</v>
      </c>
      <c r="M431" s="103"/>
      <c r="N431" s="93" t="s">
        <v>143</v>
      </c>
      <c r="O431" s="94">
        <v>46141</v>
      </c>
      <c r="P431" s="104">
        <f t="shared" si="60"/>
        <v>65</v>
      </c>
      <c r="Q431" s="104">
        <f t="shared" si="61"/>
        <v>390</v>
      </c>
      <c r="R431" s="104"/>
      <c r="S431" s="93" t="s">
        <v>331</v>
      </c>
      <c r="T431" s="94">
        <v>46153</v>
      </c>
      <c r="U431" s="104">
        <f t="shared" si="62"/>
        <v>65</v>
      </c>
      <c r="V431" s="104">
        <f t="shared" si="63"/>
        <v>6</v>
      </c>
      <c r="W431" s="103">
        <f t="shared" si="64"/>
        <v>390</v>
      </c>
      <c r="X431" s="93" t="s">
        <v>89</v>
      </c>
      <c r="Y431" s="105" t="s">
        <v>84</v>
      </c>
      <c r="Z431" s="105" t="s">
        <v>93</v>
      </c>
    </row>
    <row r="432" spans="1:26" s="105" customFormat="1" ht="15" customHeight="1">
      <c r="A432" s="99">
        <f t="shared" si="59"/>
        <v>430</v>
      </c>
      <c r="B432" s="75" t="s">
        <v>284</v>
      </c>
      <c r="C432" s="100" t="str">
        <f>IF($B432&lt;&gt;"",_xlfn.IFNA(VLOOKUP($B432,'Node Details'!$B:$U,C$1,0),"Check"),"")</f>
        <v>AXY110103-AXY110106</v>
      </c>
      <c r="D432" s="100" t="str">
        <f>IF($B432&lt;&gt;"",_xlfn.IFNA(VLOOKUP($B432,'Node Details'!$B:$U,D$1,0),"Check"),"")</f>
        <v>AXY</v>
      </c>
      <c r="E432" s="100" t="str">
        <f>IF($B432&lt;&gt;"",_xlfn.IFNA(VLOOKUP($B432,'Node Details'!$B:$U,E$1,0),"Check"),"")</f>
        <v>Airtel</v>
      </c>
      <c r="F432" s="101">
        <v>46113</v>
      </c>
      <c r="G432" s="103"/>
      <c r="H432" s="102" t="s">
        <v>1258</v>
      </c>
      <c r="I432" s="9">
        <v>4</v>
      </c>
      <c r="J432" s="9">
        <v>65</v>
      </c>
      <c r="K432" s="100">
        <f t="shared" si="65"/>
        <v>260</v>
      </c>
      <c r="L432" s="78">
        <v>46112</v>
      </c>
      <c r="M432" s="103"/>
      <c r="N432" s="93" t="s">
        <v>143</v>
      </c>
      <c r="O432" s="94">
        <v>46141</v>
      </c>
      <c r="P432" s="104">
        <f t="shared" si="60"/>
        <v>65</v>
      </c>
      <c r="Q432" s="104">
        <f t="shared" si="61"/>
        <v>260</v>
      </c>
      <c r="R432" s="104"/>
      <c r="S432" s="93" t="s">
        <v>331</v>
      </c>
      <c r="T432" s="94">
        <v>46153</v>
      </c>
      <c r="U432" s="104">
        <f t="shared" si="62"/>
        <v>65</v>
      </c>
      <c r="V432" s="104">
        <f t="shared" si="63"/>
        <v>4</v>
      </c>
      <c r="W432" s="103">
        <f t="shared" si="64"/>
        <v>260</v>
      </c>
      <c r="X432" s="93" t="s">
        <v>89</v>
      </c>
      <c r="Y432" s="105" t="s">
        <v>84</v>
      </c>
      <c r="Z432" s="105" t="s">
        <v>93</v>
      </c>
    </row>
    <row r="433" spans="1:26" s="105" customFormat="1" ht="15" customHeight="1">
      <c r="A433" s="99">
        <f t="shared" si="59"/>
        <v>431</v>
      </c>
      <c r="B433" s="75" t="s">
        <v>280</v>
      </c>
      <c r="C433" s="100" t="str">
        <f>IF($B433&lt;&gt;"",_xlfn.IFNA(VLOOKUP($B433,'Node Details'!$B:$U,C$1,0),"Check"),"")</f>
        <v>0000AXY11-AXY110107</v>
      </c>
      <c r="D433" s="100" t="str">
        <f>IF($B433&lt;&gt;"",_xlfn.IFNA(VLOOKUP($B433,'Node Details'!$B:$U,D$1,0),"Check"),"")</f>
        <v>AXY</v>
      </c>
      <c r="E433" s="100" t="str">
        <f>IF($B433&lt;&gt;"",_xlfn.IFNA(VLOOKUP($B433,'Node Details'!$B:$U,E$1,0),"Check"),"")</f>
        <v>Airtel</v>
      </c>
      <c r="F433" s="101">
        <v>46113</v>
      </c>
      <c r="G433" s="103"/>
      <c r="H433" s="102" t="s">
        <v>1258</v>
      </c>
      <c r="I433" s="9">
        <v>2</v>
      </c>
      <c r="J433" s="9">
        <v>65</v>
      </c>
      <c r="K433" s="100">
        <f t="shared" si="65"/>
        <v>130</v>
      </c>
      <c r="L433" s="78">
        <v>46112</v>
      </c>
      <c r="M433" s="103"/>
      <c r="N433" s="93" t="s">
        <v>143</v>
      </c>
      <c r="O433" s="94">
        <v>46141</v>
      </c>
      <c r="P433" s="104">
        <f t="shared" si="60"/>
        <v>65</v>
      </c>
      <c r="Q433" s="104">
        <f t="shared" si="61"/>
        <v>130</v>
      </c>
      <c r="R433" s="104"/>
      <c r="S433" s="93" t="s">
        <v>331</v>
      </c>
      <c r="T433" s="94">
        <v>46153</v>
      </c>
      <c r="U433" s="104">
        <f t="shared" si="62"/>
        <v>65</v>
      </c>
      <c r="V433" s="104">
        <f t="shared" si="63"/>
        <v>2</v>
      </c>
      <c r="W433" s="103">
        <f t="shared" si="64"/>
        <v>130</v>
      </c>
      <c r="X433" s="93" t="s">
        <v>89</v>
      </c>
      <c r="Y433" s="105" t="s">
        <v>84</v>
      </c>
      <c r="Z433" s="105" t="s">
        <v>93</v>
      </c>
    </row>
    <row r="434" spans="1:26" s="105" customFormat="1" ht="15" customHeight="1">
      <c r="A434" s="99">
        <f t="shared" si="59"/>
        <v>432</v>
      </c>
      <c r="B434" s="75" t="s">
        <v>141</v>
      </c>
      <c r="C434" s="100" t="str">
        <f>IF($B434&lt;&gt;"",_xlfn.IFNA(VLOOKUP($B434,'Node Details'!$B:$U,C$1,0),"Check"),"")</f>
        <v>000000AXY-0000AXY12</v>
      </c>
      <c r="D434" s="100" t="str">
        <f>IF($B434&lt;&gt;"",_xlfn.IFNA(VLOOKUP($B434,'Node Details'!$B:$U,D$1,0),"Check"),"")</f>
        <v>AXY</v>
      </c>
      <c r="E434" s="100" t="str">
        <f>IF($B434&lt;&gt;"",_xlfn.IFNA(VLOOKUP($B434,'Node Details'!$B:$U,E$1,0),"Check"),"")</f>
        <v>Airtel</v>
      </c>
      <c r="F434" s="101">
        <v>46113</v>
      </c>
      <c r="G434" s="103"/>
      <c r="H434" s="102" t="s">
        <v>1258</v>
      </c>
      <c r="I434" s="9">
        <v>42</v>
      </c>
      <c r="J434" s="9">
        <v>65</v>
      </c>
      <c r="K434" s="100">
        <f t="shared" si="65"/>
        <v>2730</v>
      </c>
      <c r="L434" s="78">
        <v>46112</v>
      </c>
      <c r="M434" s="103"/>
      <c r="N434" s="93" t="s">
        <v>143</v>
      </c>
      <c r="O434" s="94">
        <v>46141</v>
      </c>
      <c r="P434" s="104">
        <f t="shared" si="60"/>
        <v>65</v>
      </c>
      <c r="Q434" s="104">
        <f t="shared" si="61"/>
        <v>2730</v>
      </c>
      <c r="R434" s="104"/>
      <c r="S434" s="93" t="s">
        <v>331</v>
      </c>
      <c r="T434" s="94">
        <v>46153</v>
      </c>
      <c r="U434" s="104">
        <f t="shared" si="62"/>
        <v>65</v>
      </c>
      <c r="V434" s="104">
        <f t="shared" si="63"/>
        <v>42</v>
      </c>
      <c r="W434" s="103">
        <f t="shared" si="64"/>
        <v>2730</v>
      </c>
      <c r="X434" s="93" t="s">
        <v>89</v>
      </c>
      <c r="Y434" s="105" t="s">
        <v>84</v>
      </c>
      <c r="Z434" s="105" t="s">
        <v>93</v>
      </c>
    </row>
    <row r="435" spans="1:26" s="105" customFormat="1" ht="15" customHeight="1">
      <c r="A435" s="99">
        <f t="shared" si="59"/>
        <v>433</v>
      </c>
      <c r="B435" s="75" t="s">
        <v>295</v>
      </c>
      <c r="C435" s="100" t="str">
        <f>IF($B435&lt;&gt;"",_xlfn.IFNA(VLOOKUP($B435,'Node Details'!$B:$U,C$1,0),"Check"),"")</f>
        <v>0000AXY12-AXY120101</v>
      </c>
      <c r="D435" s="100" t="str">
        <f>IF($B435&lt;&gt;"",_xlfn.IFNA(VLOOKUP($B435,'Node Details'!$B:$U,D$1,0),"Check"),"")</f>
        <v>AXY</v>
      </c>
      <c r="E435" s="100" t="str">
        <f>IF($B435&lt;&gt;"",_xlfn.IFNA(VLOOKUP($B435,'Node Details'!$B:$U,E$1,0),"Check"),"")</f>
        <v>Airtel</v>
      </c>
      <c r="F435" s="101">
        <v>46113</v>
      </c>
      <c r="G435" s="103"/>
      <c r="H435" s="102" t="s">
        <v>1258</v>
      </c>
      <c r="I435" s="9">
        <v>2</v>
      </c>
      <c r="J435" s="9">
        <v>65</v>
      </c>
      <c r="K435" s="100">
        <f t="shared" si="65"/>
        <v>130</v>
      </c>
      <c r="L435" s="78">
        <v>46112</v>
      </c>
      <c r="M435" s="103"/>
      <c r="N435" s="93" t="s">
        <v>143</v>
      </c>
      <c r="O435" s="94">
        <v>46141</v>
      </c>
      <c r="P435" s="104">
        <f t="shared" si="60"/>
        <v>65</v>
      </c>
      <c r="Q435" s="104">
        <f t="shared" si="61"/>
        <v>130</v>
      </c>
      <c r="R435" s="104"/>
      <c r="S435" s="93" t="s">
        <v>331</v>
      </c>
      <c r="T435" s="94">
        <v>46153</v>
      </c>
      <c r="U435" s="104">
        <f t="shared" si="62"/>
        <v>65</v>
      </c>
      <c r="V435" s="104">
        <f t="shared" si="63"/>
        <v>2</v>
      </c>
      <c r="W435" s="103">
        <f t="shared" si="64"/>
        <v>130</v>
      </c>
      <c r="X435" s="93" t="s">
        <v>89</v>
      </c>
      <c r="Y435" s="105" t="s">
        <v>84</v>
      </c>
      <c r="Z435" s="105" t="s">
        <v>93</v>
      </c>
    </row>
    <row r="436" spans="1:26" s="105" customFormat="1" ht="15" customHeight="1">
      <c r="A436" s="99">
        <f t="shared" si="59"/>
        <v>434</v>
      </c>
      <c r="B436" s="75" t="s">
        <v>1025</v>
      </c>
      <c r="C436" s="100" t="str">
        <f>IF($B436&lt;&gt;"",_xlfn.IFNA(VLOOKUP($B436,'Node Details'!$B:$U,C$1,0),"Check"),"")</f>
        <v>000000AXY-0000AXY17</v>
      </c>
      <c r="D436" s="100" t="str">
        <f>IF($B436&lt;&gt;"",_xlfn.IFNA(VLOOKUP($B436,'Node Details'!$B:$U,D$1,0),"Check"),"")</f>
        <v>AXY</v>
      </c>
      <c r="E436" s="100" t="str">
        <f>IF($B436&lt;&gt;"",_xlfn.IFNA(VLOOKUP($B436,'Node Details'!$B:$U,E$1,0),"Check"),"")</f>
        <v>Airtel</v>
      </c>
      <c r="F436" s="101">
        <v>46113</v>
      </c>
      <c r="G436" s="103"/>
      <c r="H436" s="102" t="s">
        <v>1258</v>
      </c>
      <c r="I436" s="9">
        <v>42</v>
      </c>
      <c r="J436" s="9">
        <v>65</v>
      </c>
      <c r="K436" s="100">
        <f t="shared" si="65"/>
        <v>2730</v>
      </c>
      <c r="L436" s="78">
        <v>46112</v>
      </c>
      <c r="M436" s="103"/>
      <c r="N436" s="93" t="s">
        <v>143</v>
      </c>
      <c r="O436" s="94">
        <v>46141</v>
      </c>
      <c r="P436" s="104">
        <f t="shared" si="60"/>
        <v>65</v>
      </c>
      <c r="Q436" s="104">
        <f t="shared" si="61"/>
        <v>2730</v>
      </c>
      <c r="R436" s="104"/>
      <c r="S436" s="93" t="s">
        <v>331</v>
      </c>
      <c r="T436" s="94">
        <v>46153</v>
      </c>
      <c r="U436" s="104">
        <f t="shared" si="62"/>
        <v>65</v>
      </c>
      <c r="V436" s="104">
        <f t="shared" si="63"/>
        <v>42</v>
      </c>
      <c r="W436" s="103">
        <f t="shared" si="64"/>
        <v>2730</v>
      </c>
      <c r="X436" s="93" t="s">
        <v>89</v>
      </c>
      <c r="Y436" s="105" t="s">
        <v>84</v>
      </c>
      <c r="Z436" s="105" t="s">
        <v>93</v>
      </c>
    </row>
    <row r="437" spans="1:26" s="105" customFormat="1" ht="15" customHeight="1">
      <c r="A437" s="99">
        <f t="shared" si="59"/>
        <v>435</v>
      </c>
      <c r="B437" s="75" t="s">
        <v>1028</v>
      </c>
      <c r="C437" s="100" t="str">
        <f>IF($B437&lt;&gt;"",_xlfn.IFNA(VLOOKUP($B437,'Node Details'!$B:$U,C$1,0),"Check"),"")</f>
        <v>0000AXY13-AXY130108</v>
      </c>
      <c r="D437" s="100" t="str">
        <f>IF($B437&lt;&gt;"",_xlfn.IFNA(VLOOKUP($B437,'Node Details'!$B:$U,D$1,0),"Check"),"")</f>
        <v>AXY</v>
      </c>
      <c r="E437" s="100" t="str">
        <f>IF($B437&lt;&gt;"",_xlfn.IFNA(VLOOKUP($B437,'Node Details'!$B:$U,E$1,0),"Check"),"")</f>
        <v>Airtel</v>
      </c>
      <c r="F437" s="101">
        <v>46113</v>
      </c>
      <c r="G437" s="103"/>
      <c r="H437" s="102" t="s">
        <v>1258</v>
      </c>
      <c r="I437" s="9">
        <v>2</v>
      </c>
      <c r="J437" s="9">
        <v>65</v>
      </c>
      <c r="K437" s="100">
        <f t="shared" si="65"/>
        <v>130</v>
      </c>
      <c r="L437" s="78">
        <v>46112</v>
      </c>
      <c r="M437" s="103"/>
      <c r="N437" s="93" t="s">
        <v>143</v>
      </c>
      <c r="O437" s="94">
        <v>46141</v>
      </c>
      <c r="P437" s="104">
        <f t="shared" si="60"/>
        <v>65</v>
      </c>
      <c r="Q437" s="104">
        <f t="shared" si="61"/>
        <v>130</v>
      </c>
      <c r="R437" s="104"/>
      <c r="S437" s="93" t="s">
        <v>331</v>
      </c>
      <c r="T437" s="94">
        <v>46153</v>
      </c>
      <c r="U437" s="104">
        <f t="shared" si="62"/>
        <v>65</v>
      </c>
      <c r="V437" s="104">
        <f t="shared" si="63"/>
        <v>2</v>
      </c>
      <c r="W437" s="103">
        <f t="shared" si="64"/>
        <v>130</v>
      </c>
      <c r="X437" s="93" t="s">
        <v>89</v>
      </c>
      <c r="Y437" s="105" t="s">
        <v>84</v>
      </c>
      <c r="Z437" s="105" t="s">
        <v>93</v>
      </c>
    </row>
    <row r="438" spans="1:26" s="105" customFormat="1" ht="15" customHeight="1">
      <c r="A438" s="99">
        <f t="shared" si="59"/>
        <v>436</v>
      </c>
      <c r="B438" s="75" t="s">
        <v>1031</v>
      </c>
      <c r="C438" s="100" t="str">
        <f>IF($B438&lt;&gt;"",_xlfn.IFNA(VLOOKUP($B438,'Node Details'!$B:$U,C$1,0),"Check"),"")</f>
        <v>000000AXY-0000AXY17</v>
      </c>
      <c r="D438" s="100" t="str">
        <f>IF($B438&lt;&gt;"",_xlfn.IFNA(VLOOKUP($B438,'Node Details'!$B:$U,D$1,0),"Check"),"")</f>
        <v>AXY</v>
      </c>
      <c r="E438" s="100" t="str">
        <f>IF($B438&lt;&gt;"",_xlfn.IFNA(VLOOKUP($B438,'Node Details'!$B:$U,E$1,0),"Check"),"")</f>
        <v>Airtel</v>
      </c>
      <c r="F438" s="101">
        <v>46113</v>
      </c>
      <c r="G438" s="103"/>
      <c r="H438" s="102" t="s">
        <v>1258</v>
      </c>
      <c r="I438" s="9">
        <v>42</v>
      </c>
      <c r="J438" s="9">
        <v>65</v>
      </c>
      <c r="K438" s="100">
        <f t="shared" si="65"/>
        <v>2730</v>
      </c>
      <c r="L438" s="78">
        <v>46112</v>
      </c>
      <c r="M438" s="103"/>
      <c r="N438" s="93" t="s">
        <v>143</v>
      </c>
      <c r="O438" s="94">
        <v>46141</v>
      </c>
      <c r="P438" s="104">
        <f t="shared" si="60"/>
        <v>65</v>
      </c>
      <c r="Q438" s="104">
        <f t="shared" si="61"/>
        <v>2730</v>
      </c>
      <c r="R438" s="104"/>
      <c r="S438" s="93" t="s">
        <v>331</v>
      </c>
      <c r="T438" s="94">
        <v>46153</v>
      </c>
      <c r="U438" s="104">
        <f t="shared" si="62"/>
        <v>65</v>
      </c>
      <c r="V438" s="104">
        <f t="shared" si="63"/>
        <v>42</v>
      </c>
      <c r="W438" s="103">
        <f t="shared" si="64"/>
        <v>2730</v>
      </c>
      <c r="X438" s="93" t="s">
        <v>89</v>
      </c>
      <c r="Y438" s="105" t="s">
        <v>84</v>
      </c>
      <c r="Z438" s="105" t="s">
        <v>93</v>
      </c>
    </row>
    <row r="439" spans="1:26" s="105" customFormat="1" ht="15" customHeight="1">
      <c r="A439" s="99">
        <f t="shared" si="59"/>
        <v>437</v>
      </c>
      <c r="B439" s="75" t="s">
        <v>1032</v>
      </c>
      <c r="C439" s="100" t="str">
        <f>IF($B439&lt;&gt;"",_xlfn.IFNA(VLOOKUP($B439,'Node Details'!$B:$U,C$1,0),"Check"),"")</f>
        <v>0000AXY14-AXY140202</v>
      </c>
      <c r="D439" s="100" t="str">
        <f>IF($B439&lt;&gt;"",_xlfn.IFNA(VLOOKUP($B439,'Node Details'!$B:$U,D$1,0),"Check"),"")</f>
        <v>AXY</v>
      </c>
      <c r="E439" s="100" t="str">
        <f>IF($B439&lt;&gt;"",_xlfn.IFNA(VLOOKUP($B439,'Node Details'!$B:$U,E$1,0),"Check"),"")</f>
        <v>Airtel</v>
      </c>
      <c r="F439" s="101">
        <v>46113</v>
      </c>
      <c r="G439" s="103"/>
      <c r="H439" s="102" t="s">
        <v>1258</v>
      </c>
      <c r="I439" s="9">
        <v>10</v>
      </c>
      <c r="J439" s="9">
        <v>65</v>
      </c>
      <c r="K439" s="100">
        <f t="shared" si="65"/>
        <v>650</v>
      </c>
      <c r="L439" s="78">
        <v>46112</v>
      </c>
      <c r="M439" s="103"/>
      <c r="N439" s="93" t="s">
        <v>143</v>
      </c>
      <c r="O439" s="94">
        <v>46141</v>
      </c>
      <c r="P439" s="104">
        <f t="shared" si="60"/>
        <v>65</v>
      </c>
      <c r="Q439" s="104">
        <f t="shared" si="61"/>
        <v>650</v>
      </c>
      <c r="R439" s="104"/>
      <c r="S439" s="93" t="s">
        <v>331</v>
      </c>
      <c r="T439" s="94">
        <v>46153</v>
      </c>
      <c r="U439" s="104">
        <f t="shared" si="62"/>
        <v>65</v>
      </c>
      <c r="V439" s="104">
        <f t="shared" si="63"/>
        <v>10</v>
      </c>
      <c r="W439" s="103">
        <f t="shared" si="64"/>
        <v>650</v>
      </c>
      <c r="X439" s="93" t="s">
        <v>89</v>
      </c>
      <c r="Y439" s="105" t="s">
        <v>84</v>
      </c>
      <c r="Z439" s="105" t="s">
        <v>93</v>
      </c>
    </row>
    <row r="440" spans="1:26" s="105" customFormat="1" ht="15" customHeight="1">
      <c r="A440" s="99">
        <f t="shared" si="59"/>
        <v>438</v>
      </c>
      <c r="B440" s="75" t="s">
        <v>1033</v>
      </c>
      <c r="C440" s="100" t="str">
        <f>IF($B440&lt;&gt;"",_xlfn.IFNA(VLOOKUP($B440,'Node Details'!$B:$U,C$1,0),"Check"),"")</f>
        <v>0000AXY14-AXY140202</v>
      </c>
      <c r="D440" s="100" t="str">
        <f>IF($B440&lt;&gt;"",_xlfn.IFNA(VLOOKUP($B440,'Node Details'!$B:$U,D$1,0),"Check"),"")</f>
        <v>AXY</v>
      </c>
      <c r="E440" s="100" t="str">
        <f>IF($B440&lt;&gt;"",_xlfn.IFNA(VLOOKUP($B440,'Node Details'!$B:$U,E$1,0),"Check"),"")</f>
        <v>Airtel</v>
      </c>
      <c r="F440" s="101">
        <v>46113</v>
      </c>
      <c r="G440" s="103"/>
      <c r="H440" s="102" t="s">
        <v>1258</v>
      </c>
      <c r="I440" s="9">
        <v>8</v>
      </c>
      <c r="J440" s="9">
        <v>65</v>
      </c>
      <c r="K440" s="100">
        <f t="shared" si="65"/>
        <v>520</v>
      </c>
      <c r="L440" s="78">
        <v>46112</v>
      </c>
      <c r="M440" s="103"/>
      <c r="N440" s="93" t="s">
        <v>143</v>
      </c>
      <c r="O440" s="94">
        <v>46141</v>
      </c>
      <c r="P440" s="104">
        <f t="shared" si="60"/>
        <v>65</v>
      </c>
      <c r="Q440" s="104">
        <f t="shared" si="61"/>
        <v>520</v>
      </c>
      <c r="R440" s="104"/>
      <c r="S440" s="93" t="s">
        <v>331</v>
      </c>
      <c r="T440" s="94">
        <v>46153</v>
      </c>
      <c r="U440" s="104">
        <f t="shared" si="62"/>
        <v>65</v>
      </c>
      <c r="V440" s="104">
        <f t="shared" si="63"/>
        <v>8</v>
      </c>
      <c r="W440" s="103">
        <f t="shared" si="64"/>
        <v>520</v>
      </c>
      <c r="X440" s="93" t="s">
        <v>89</v>
      </c>
      <c r="Y440" s="105" t="s">
        <v>84</v>
      </c>
      <c r="Z440" s="105" t="s">
        <v>93</v>
      </c>
    </row>
    <row r="441" spans="1:26" s="105" customFormat="1" ht="15" customHeight="1">
      <c r="A441" s="99">
        <f t="shared" si="59"/>
        <v>439</v>
      </c>
      <c r="B441" s="75" t="s">
        <v>1034</v>
      </c>
      <c r="C441" s="100" t="str">
        <f>IF($B441&lt;&gt;"",_xlfn.IFNA(VLOOKUP($B441,'Node Details'!$B:$U,C$1,0),"Check"),"")</f>
        <v>AXY140108-AXY140104</v>
      </c>
      <c r="D441" s="100" t="str">
        <f>IF($B441&lt;&gt;"",_xlfn.IFNA(VLOOKUP($B441,'Node Details'!$B:$U,D$1,0),"Check"),"")</f>
        <v>AXY</v>
      </c>
      <c r="E441" s="100" t="str">
        <f>IF($B441&lt;&gt;"",_xlfn.IFNA(VLOOKUP($B441,'Node Details'!$B:$U,E$1,0),"Check"),"")</f>
        <v>Airtel</v>
      </c>
      <c r="F441" s="101">
        <v>46113</v>
      </c>
      <c r="G441" s="103"/>
      <c r="H441" s="102" t="s">
        <v>1258</v>
      </c>
      <c r="I441" s="9">
        <v>6</v>
      </c>
      <c r="J441" s="9">
        <v>65</v>
      </c>
      <c r="K441" s="100">
        <f t="shared" si="65"/>
        <v>390</v>
      </c>
      <c r="L441" s="78">
        <v>46112</v>
      </c>
      <c r="M441" s="103"/>
      <c r="N441" s="93" t="s">
        <v>143</v>
      </c>
      <c r="O441" s="94">
        <v>46141</v>
      </c>
      <c r="P441" s="104">
        <f t="shared" si="60"/>
        <v>65</v>
      </c>
      <c r="Q441" s="104">
        <f t="shared" si="61"/>
        <v>390</v>
      </c>
      <c r="R441" s="104"/>
      <c r="S441" s="93" t="s">
        <v>331</v>
      </c>
      <c r="T441" s="94">
        <v>46153</v>
      </c>
      <c r="U441" s="104">
        <f t="shared" si="62"/>
        <v>65</v>
      </c>
      <c r="V441" s="104">
        <f t="shared" si="63"/>
        <v>6</v>
      </c>
      <c r="W441" s="103">
        <f t="shared" si="64"/>
        <v>390</v>
      </c>
      <c r="X441" s="93" t="s">
        <v>89</v>
      </c>
      <c r="Y441" s="105" t="s">
        <v>84</v>
      </c>
      <c r="Z441" s="105" t="s">
        <v>93</v>
      </c>
    </row>
    <row r="442" spans="1:26" s="105" customFormat="1" ht="15" customHeight="1">
      <c r="A442" s="99">
        <f t="shared" si="59"/>
        <v>440</v>
      </c>
      <c r="B442" s="75" t="s">
        <v>1035</v>
      </c>
      <c r="C442" s="100" t="str">
        <f>IF($B442&lt;&gt;"",_xlfn.IFNA(VLOOKUP($B442,'Node Details'!$B:$U,C$1,0),"Check"),"")</f>
        <v>AXY140108-AXY140104</v>
      </c>
      <c r="D442" s="100" t="str">
        <f>IF($B442&lt;&gt;"",_xlfn.IFNA(VLOOKUP($B442,'Node Details'!$B:$U,D$1,0),"Check"),"")</f>
        <v>AXY</v>
      </c>
      <c r="E442" s="100" t="str">
        <f>IF($B442&lt;&gt;"",_xlfn.IFNA(VLOOKUP($B442,'Node Details'!$B:$U,E$1,0),"Check"),"")</f>
        <v>Airtel</v>
      </c>
      <c r="F442" s="101">
        <v>46113</v>
      </c>
      <c r="G442" s="103"/>
      <c r="H442" s="102" t="s">
        <v>1258</v>
      </c>
      <c r="I442" s="9">
        <v>4</v>
      </c>
      <c r="J442" s="9">
        <v>65</v>
      </c>
      <c r="K442" s="100">
        <f t="shared" si="65"/>
        <v>260</v>
      </c>
      <c r="L442" s="78">
        <v>46112</v>
      </c>
      <c r="M442" s="103"/>
      <c r="N442" s="93" t="s">
        <v>143</v>
      </c>
      <c r="O442" s="94">
        <v>46141</v>
      </c>
      <c r="P442" s="104">
        <f t="shared" si="60"/>
        <v>65</v>
      </c>
      <c r="Q442" s="104">
        <f t="shared" si="61"/>
        <v>260</v>
      </c>
      <c r="R442" s="104"/>
      <c r="S442" s="93" t="s">
        <v>331</v>
      </c>
      <c r="T442" s="94">
        <v>46153</v>
      </c>
      <c r="U442" s="104">
        <f t="shared" si="62"/>
        <v>65</v>
      </c>
      <c r="V442" s="104">
        <f t="shared" si="63"/>
        <v>4</v>
      </c>
      <c r="W442" s="103">
        <f t="shared" si="64"/>
        <v>260</v>
      </c>
      <c r="X442" s="93" t="s">
        <v>89</v>
      </c>
      <c r="Y442" s="105" t="s">
        <v>84</v>
      </c>
      <c r="Z442" s="105" t="s">
        <v>93</v>
      </c>
    </row>
    <row r="443" spans="1:26" s="105" customFormat="1" ht="15" customHeight="1">
      <c r="A443" s="99">
        <f t="shared" si="59"/>
        <v>441</v>
      </c>
      <c r="B443" s="75" t="s">
        <v>1036</v>
      </c>
      <c r="C443" s="100" t="str">
        <f>IF($B443&lt;&gt;"",_xlfn.IFNA(VLOOKUP($B443,'Node Details'!$B:$U,C$1,0),"Check"),"")</f>
        <v>AXY140108-AXY140104</v>
      </c>
      <c r="D443" s="100" t="str">
        <f>IF($B443&lt;&gt;"",_xlfn.IFNA(VLOOKUP($B443,'Node Details'!$B:$U,D$1,0),"Check"),"")</f>
        <v>AXY</v>
      </c>
      <c r="E443" s="100" t="str">
        <f>IF($B443&lt;&gt;"",_xlfn.IFNA(VLOOKUP($B443,'Node Details'!$B:$U,E$1,0),"Check"),"")</f>
        <v>Airtel</v>
      </c>
      <c r="F443" s="101">
        <v>46113</v>
      </c>
      <c r="G443" s="103"/>
      <c r="H443" s="102" t="s">
        <v>1258</v>
      </c>
      <c r="I443" s="9">
        <v>2</v>
      </c>
      <c r="J443" s="9">
        <v>65</v>
      </c>
      <c r="K443" s="100">
        <f t="shared" si="65"/>
        <v>130</v>
      </c>
      <c r="L443" s="78">
        <v>46112</v>
      </c>
      <c r="M443" s="103"/>
      <c r="N443" s="93" t="s">
        <v>143</v>
      </c>
      <c r="O443" s="94">
        <v>46141</v>
      </c>
      <c r="P443" s="104">
        <f t="shared" si="60"/>
        <v>65</v>
      </c>
      <c r="Q443" s="104">
        <f t="shared" si="61"/>
        <v>130</v>
      </c>
      <c r="R443" s="104"/>
      <c r="S443" s="93" t="s">
        <v>331</v>
      </c>
      <c r="T443" s="94">
        <v>46153</v>
      </c>
      <c r="U443" s="104">
        <f t="shared" si="62"/>
        <v>65</v>
      </c>
      <c r="V443" s="104">
        <f t="shared" si="63"/>
        <v>2</v>
      </c>
      <c r="W443" s="103">
        <f t="shared" si="64"/>
        <v>130</v>
      </c>
      <c r="X443" s="93" t="s">
        <v>89</v>
      </c>
      <c r="Y443" s="105" t="s">
        <v>84</v>
      </c>
      <c r="Z443" s="105" t="s">
        <v>93</v>
      </c>
    </row>
    <row r="444" spans="1:26" s="105" customFormat="1" ht="15" customHeight="1">
      <c r="A444" s="99">
        <f t="shared" si="59"/>
        <v>442</v>
      </c>
      <c r="B444" s="75" t="s">
        <v>1037</v>
      </c>
      <c r="C444" s="100" t="str">
        <f>IF($B444&lt;&gt;"",_xlfn.IFNA(VLOOKUP($B444,'Node Details'!$B:$U,C$1,0),"Check"),"")</f>
        <v>000000AXY-0000AXY17</v>
      </c>
      <c r="D444" s="100" t="str">
        <f>IF($B444&lt;&gt;"",_xlfn.IFNA(VLOOKUP($B444,'Node Details'!$B:$U,D$1,0),"Check"),"")</f>
        <v>AXY</v>
      </c>
      <c r="E444" s="100" t="str">
        <f>IF($B444&lt;&gt;"",_xlfn.IFNA(VLOOKUP($B444,'Node Details'!$B:$U,E$1,0),"Check"),"")</f>
        <v>Airtel</v>
      </c>
      <c r="F444" s="101">
        <v>46113</v>
      </c>
      <c r="G444" s="103"/>
      <c r="H444" s="102" t="s">
        <v>1258</v>
      </c>
      <c r="I444" s="9">
        <v>42</v>
      </c>
      <c r="J444" s="9">
        <v>65</v>
      </c>
      <c r="K444" s="100">
        <f t="shared" si="65"/>
        <v>2730</v>
      </c>
      <c r="L444" s="78">
        <v>46112</v>
      </c>
      <c r="M444" s="103"/>
      <c r="N444" s="93" t="s">
        <v>143</v>
      </c>
      <c r="O444" s="94">
        <v>46141</v>
      </c>
      <c r="P444" s="104">
        <f t="shared" si="60"/>
        <v>65</v>
      </c>
      <c r="Q444" s="104">
        <f t="shared" si="61"/>
        <v>2730</v>
      </c>
      <c r="R444" s="104"/>
      <c r="S444" s="93" t="s">
        <v>331</v>
      </c>
      <c r="T444" s="94">
        <v>46153</v>
      </c>
      <c r="U444" s="104">
        <f t="shared" si="62"/>
        <v>65</v>
      </c>
      <c r="V444" s="104">
        <f t="shared" si="63"/>
        <v>42</v>
      </c>
      <c r="W444" s="103">
        <f t="shared" si="64"/>
        <v>2730</v>
      </c>
      <c r="X444" s="93" t="s">
        <v>89</v>
      </c>
      <c r="Y444" s="105" t="s">
        <v>84</v>
      </c>
      <c r="Z444" s="105" t="s">
        <v>93</v>
      </c>
    </row>
    <row r="445" spans="1:26" s="105" customFormat="1" ht="15" customHeight="1">
      <c r="A445" s="99">
        <f t="shared" si="59"/>
        <v>443</v>
      </c>
      <c r="B445" s="75" t="s">
        <v>339</v>
      </c>
      <c r="C445" s="100" t="str">
        <f>IF($B445&lt;&gt;"",_xlfn.IFNA(VLOOKUP($B445,'Node Details'!$B:$U,C$1,0),"Check"),"")</f>
        <v>0000AXY15-AXY150104</v>
      </c>
      <c r="D445" s="100" t="str">
        <f>IF($B445&lt;&gt;"",_xlfn.IFNA(VLOOKUP($B445,'Node Details'!$B:$U,D$1,0),"Check"),"")</f>
        <v>AXY</v>
      </c>
      <c r="E445" s="100" t="str">
        <f>IF($B445&lt;&gt;"",_xlfn.IFNA(VLOOKUP($B445,'Node Details'!$B:$U,E$1,0),"Check"),"")</f>
        <v>Airtel</v>
      </c>
      <c r="F445" s="101">
        <v>46113</v>
      </c>
      <c r="G445" s="103"/>
      <c r="H445" s="102" t="s">
        <v>1258</v>
      </c>
      <c r="I445" s="9">
        <v>2</v>
      </c>
      <c r="J445" s="9">
        <v>65</v>
      </c>
      <c r="K445" s="100">
        <f t="shared" si="65"/>
        <v>130</v>
      </c>
      <c r="L445" s="78">
        <v>46112</v>
      </c>
      <c r="M445" s="103"/>
      <c r="N445" s="93" t="s">
        <v>143</v>
      </c>
      <c r="O445" s="94">
        <v>46141</v>
      </c>
      <c r="P445" s="104">
        <f t="shared" si="60"/>
        <v>65</v>
      </c>
      <c r="Q445" s="104">
        <f t="shared" si="61"/>
        <v>130</v>
      </c>
      <c r="R445" s="104"/>
      <c r="S445" s="93" t="s">
        <v>331</v>
      </c>
      <c r="T445" s="94">
        <v>46153</v>
      </c>
      <c r="U445" s="104">
        <f t="shared" si="62"/>
        <v>65</v>
      </c>
      <c r="V445" s="104">
        <f t="shared" si="63"/>
        <v>2</v>
      </c>
      <c r="W445" s="103">
        <f t="shared" si="64"/>
        <v>130</v>
      </c>
      <c r="X445" s="93" t="s">
        <v>89</v>
      </c>
      <c r="Y445" s="105" t="s">
        <v>84</v>
      </c>
      <c r="Z445" s="105" t="s">
        <v>93</v>
      </c>
    </row>
    <row r="446" spans="1:26" s="105" customFormat="1" ht="15" customHeight="1">
      <c r="A446" s="99">
        <f t="shared" si="59"/>
        <v>444</v>
      </c>
      <c r="B446" s="75" t="s">
        <v>1042</v>
      </c>
      <c r="C446" s="100" t="str">
        <f>IF($B446&lt;&gt;"",_xlfn.IFNA(VLOOKUP($B446,'Node Details'!$B:$U,C$1,0),"Check"),"")</f>
        <v>000000AXY-0000AXY17</v>
      </c>
      <c r="D446" s="100" t="str">
        <f>IF($B446&lt;&gt;"",_xlfn.IFNA(VLOOKUP($B446,'Node Details'!$B:$U,D$1,0),"Check"),"")</f>
        <v>AXY</v>
      </c>
      <c r="E446" s="100" t="str">
        <f>IF($B446&lt;&gt;"",_xlfn.IFNA(VLOOKUP($B446,'Node Details'!$B:$U,E$1,0),"Check"),"")</f>
        <v>Airtel</v>
      </c>
      <c r="F446" s="101">
        <v>46113</v>
      </c>
      <c r="G446" s="103"/>
      <c r="H446" s="102" t="s">
        <v>1258</v>
      </c>
      <c r="I446" s="9">
        <v>42</v>
      </c>
      <c r="J446" s="9">
        <v>65</v>
      </c>
      <c r="K446" s="100">
        <f t="shared" si="65"/>
        <v>2730</v>
      </c>
      <c r="L446" s="78">
        <v>46112</v>
      </c>
      <c r="M446" s="103"/>
      <c r="N446" s="93" t="s">
        <v>143</v>
      </c>
      <c r="O446" s="94">
        <v>46141</v>
      </c>
      <c r="P446" s="104">
        <f t="shared" si="60"/>
        <v>65</v>
      </c>
      <c r="Q446" s="104">
        <f t="shared" si="61"/>
        <v>2730</v>
      </c>
      <c r="R446" s="104"/>
      <c r="S446" s="93" t="s">
        <v>331</v>
      </c>
      <c r="T446" s="94">
        <v>46153</v>
      </c>
      <c r="U446" s="104">
        <f t="shared" si="62"/>
        <v>65</v>
      </c>
      <c r="V446" s="104">
        <f t="shared" si="63"/>
        <v>42</v>
      </c>
      <c r="W446" s="103">
        <f t="shared" si="64"/>
        <v>2730</v>
      </c>
      <c r="X446" s="93" t="s">
        <v>89</v>
      </c>
      <c r="Y446" s="105" t="s">
        <v>84</v>
      </c>
      <c r="Z446" s="105" t="s">
        <v>93</v>
      </c>
    </row>
    <row r="447" spans="1:26" s="105" customFormat="1" ht="15" customHeight="1">
      <c r="A447" s="99">
        <f t="shared" si="59"/>
        <v>445</v>
      </c>
      <c r="B447" s="75" t="s">
        <v>346</v>
      </c>
      <c r="C447" s="100" t="str">
        <f>IF($B447&lt;&gt;"",_xlfn.IFNA(VLOOKUP($B447,'Node Details'!$B:$U,C$1,0),"Check"),"")</f>
        <v>0000AXY16-AXY160104</v>
      </c>
      <c r="D447" s="100" t="str">
        <f>IF($B447&lt;&gt;"",_xlfn.IFNA(VLOOKUP($B447,'Node Details'!$B:$U,D$1,0),"Check"),"")</f>
        <v>AXY</v>
      </c>
      <c r="E447" s="100" t="str">
        <f>IF($B447&lt;&gt;"",_xlfn.IFNA(VLOOKUP($B447,'Node Details'!$B:$U,E$1,0),"Check"),"")</f>
        <v>Airtel</v>
      </c>
      <c r="F447" s="101">
        <v>46113</v>
      </c>
      <c r="G447" s="103"/>
      <c r="H447" s="102" t="s">
        <v>1258</v>
      </c>
      <c r="I447" s="9">
        <v>4</v>
      </c>
      <c r="J447" s="9">
        <v>65</v>
      </c>
      <c r="K447" s="100">
        <f t="shared" si="65"/>
        <v>260</v>
      </c>
      <c r="L447" s="78">
        <v>46112</v>
      </c>
      <c r="M447" s="103"/>
      <c r="N447" s="93" t="s">
        <v>143</v>
      </c>
      <c r="O447" s="94">
        <v>46141</v>
      </c>
      <c r="P447" s="104">
        <f t="shared" si="60"/>
        <v>65</v>
      </c>
      <c r="Q447" s="104">
        <f t="shared" si="61"/>
        <v>260</v>
      </c>
      <c r="R447" s="104"/>
      <c r="S447" s="93" t="s">
        <v>331</v>
      </c>
      <c r="T447" s="94">
        <v>46153</v>
      </c>
      <c r="U447" s="104">
        <f t="shared" si="62"/>
        <v>65</v>
      </c>
      <c r="V447" s="104">
        <f t="shared" si="63"/>
        <v>4</v>
      </c>
      <c r="W447" s="103">
        <f t="shared" si="64"/>
        <v>260</v>
      </c>
      <c r="X447" s="93" t="s">
        <v>89</v>
      </c>
      <c r="Y447" s="105" t="s">
        <v>84</v>
      </c>
      <c r="Z447" s="105" t="s">
        <v>93</v>
      </c>
    </row>
    <row r="448" spans="1:26" s="105" customFormat="1" ht="15" customHeight="1">
      <c r="A448" s="99">
        <f t="shared" si="59"/>
        <v>446</v>
      </c>
      <c r="B448" s="75" t="s">
        <v>1045</v>
      </c>
      <c r="C448" s="100" t="str">
        <f>IF($B448&lt;&gt;"",_xlfn.IFNA(VLOOKUP($B448,'Node Details'!$B:$U,C$1,0),"Check"),"")</f>
        <v>0000AXY16-AXY160107</v>
      </c>
      <c r="D448" s="100" t="str">
        <f>IF($B448&lt;&gt;"",_xlfn.IFNA(VLOOKUP($B448,'Node Details'!$B:$U,D$1,0),"Check"),"")</f>
        <v>AXY</v>
      </c>
      <c r="E448" s="100" t="str">
        <f>IF($B448&lt;&gt;"",_xlfn.IFNA(VLOOKUP($B448,'Node Details'!$B:$U,E$1,0),"Check"),"")</f>
        <v>Airtel</v>
      </c>
      <c r="F448" s="101">
        <v>46113</v>
      </c>
      <c r="G448" s="103"/>
      <c r="H448" s="102" t="s">
        <v>1258</v>
      </c>
      <c r="I448" s="9">
        <v>2</v>
      </c>
      <c r="J448" s="9">
        <v>65</v>
      </c>
      <c r="K448" s="100">
        <f t="shared" si="65"/>
        <v>130</v>
      </c>
      <c r="L448" s="78">
        <v>46112</v>
      </c>
      <c r="M448" s="103"/>
      <c r="N448" s="93" t="s">
        <v>143</v>
      </c>
      <c r="O448" s="94">
        <v>46141</v>
      </c>
      <c r="P448" s="104">
        <f t="shared" si="60"/>
        <v>65</v>
      </c>
      <c r="Q448" s="104">
        <f t="shared" si="61"/>
        <v>130</v>
      </c>
      <c r="R448" s="104"/>
      <c r="S448" s="93" t="s">
        <v>331</v>
      </c>
      <c r="T448" s="94">
        <v>46153</v>
      </c>
      <c r="U448" s="104">
        <f t="shared" si="62"/>
        <v>65</v>
      </c>
      <c r="V448" s="104">
        <f t="shared" si="63"/>
        <v>2</v>
      </c>
      <c r="W448" s="103">
        <f t="shared" si="64"/>
        <v>130</v>
      </c>
      <c r="X448" s="93" t="s">
        <v>89</v>
      </c>
      <c r="Y448" s="105" t="s">
        <v>84</v>
      </c>
      <c r="Z448" s="105" t="s">
        <v>93</v>
      </c>
    </row>
    <row r="449" spans="1:26" s="105" customFormat="1" ht="15" customHeight="1">
      <c r="A449" s="99">
        <f t="shared" si="59"/>
        <v>447</v>
      </c>
      <c r="B449" s="75" t="s">
        <v>147</v>
      </c>
      <c r="C449" s="100" t="str">
        <f>IF($B449&lt;&gt;"",_xlfn.IFNA(VLOOKUP($B449,'Node Details'!$B:$U,C$1,0),"Check"),"")</f>
        <v>000000AXY-0000AXY17</v>
      </c>
      <c r="D449" s="100" t="str">
        <f>IF($B449&lt;&gt;"",_xlfn.IFNA(VLOOKUP($B449,'Node Details'!$B:$U,D$1,0),"Check"),"")</f>
        <v>AXY</v>
      </c>
      <c r="E449" s="100" t="str">
        <f>IF($B449&lt;&gt;"",_xlfn.IFNA(VLOOKUP($B449,'Node Details'!$B:$U,E$1,0),"Check"),"")</f>
        <v>Airtel</v>
      </c>
      <c r="F449" s="101">
        <v>46113</v>
      </c>
      <c r="G449" s="103"/>
      <c r="H449" s="102" t="s">
        <v>1258</v>
      </c>
      <c r="I449" s="9">
        <v>42</v>
      </c>
      <c r="J449" s="9">
        <v>65</v>
      </c>
      <c r="K449" s="100">
        <f t="shared" si="65"/>
        <v>2730</v>
      </c>
      <c r="L449" s="78">
        <v>46112</v>
      </c>
      <c r="M449" s="103"/>
      <c r="N449" s="93" t="s">
        <v>143</v>
      </c>
      <c r="O449" s="94">
        <v>46141</v>
      </c>
      <c r="P449" s="104">
        <f t="shared" si="60"/>
        <v>65</v>
      </c>
      <c r="Q449" s="104">
        <f t="shared" si="61"/>
        <v>2730</v>
      </c>
      <c r="R449" s="104"/>
      <c r="S449" s="93" t="s">
        <v>331</v>
      </c>
      <c r="T449" s="94">
        <v>46153</v>
      </c>
      <c r="U449" s="104">
        <f t="shared" si="62"/>
        <v>65</v>
      </c>
      <c r="V449" s="104">
        <f t="shared" si="63"/>
        <v>42</v>
      </c>
      <c r="W449" s="103">
        <f t="shared" si="64"/>
        <v>2730</v>
      </c>
      <c r="X449" s="93" t="s">
        <v>89</v>
      </c>
      <c r="Y449" s="105" t="s">
        <v>84</v>
      </c>
      <c r="Z449" s="105" t="s">
        <v>93</v>
      </c>
    </row>
    <row r="450" spans="1:26" s="105" customFormat="1" ht="15" customHeight="1">
      <c r="A450" s="99">
        <f t="shared" si="59"/>
        <v>448</v>
      </c>
      <c r="B450" s="75" t="s">
        <v>362</v>
      </c>
      <c r="C450" s="100" t="str">
        <f>IF($B450&lt;&gt;"",_xlfn.IFNA(VLOOKUP($B450,'Node Details'!$B:$U,C$1,0),"Check"),"")</f>
        <v>0000AXY17-AXY170201</v>
      </c>
      <c r="D450" s="100" t="str">
        <f>IF($B450&lt;&gt;"",_xlfn.IFNA(VLOOKUP($B450,'Node Details'!$B:$U,D$1,0),"Check"),"")</f>
        <v>AXY</v>
      </c>
      <c r="E450" s="100" t="str">
        <f>IF($B450&lt;&gt;"",_xlfn.IFNA(VLOOKUP($B450,'Node Details'!$B:$U,E$1,0),"Check"),"")</f>
        <v>Airtel</v>
      </c>
      <c r="F450" s="101">
        <v>46113</v>
      </c>
      <c r="G450" s="103"/>
      <c r="H450" s="102" t="s">
        <v>1258</v>
      </c>
      <c r="I450" s="9">
        <v>2</v>
      </c>
      <c r="J450" s="9">
        <v>65</v>
      </c>
      <c r="K450" s="100">
        <f t="shared" si="65"/>
        <v>130</v>
      </c>
      <c r="L450" s="78">
        <v>46112</v>
      </c>
      <c r="M450" s="103"/>
      <c r="N450" s="93" t="s">
        <v>143</v>
      </c>
      <c r="O450" s="94">
        <v>46141</v>
      </c>
      <c r="P450" s="104">
        <f t="shared" si="60"/>
        <v>65</v>
      </c>
      <c r="Q450" s="104">
        <f t="shared" si="61"/>
        <v>130</v>
      </c>
      <c r="R450" s="104"/>
      <c r="S450" s="93" t="s">
        <v>331</v>
      </c>
      <c r="T450" s="94">
        <v>46153</v>
      </c>
      <c r="U450" s="104">
        <f t="shared" si="62"/>
        <v>65</v>
      </c>
      <c r="V450" s="104">
        <f t="shared" si="63"/>
        <v>2</v>
      </c>
      <c r="W450" s="103">
        <f t="shared" si="64"/>
        <v>130</v>
      </c>
      <c r="X450" s="93" t="s">
        <v>89</v>
      </c>
      <c r="Y450" s="105" t="s">
        <v>84</v>
      </c>
      <c r="Z450" s="105" t="s">
        <v>93</v>
      </c>
    </row>
    <row r="451" spans="1:26" s="105" customFormat="1" ht="15" customHeight="1">
      <c r="A451" s="99">
        <f t="shared" si="59"/>
        <v>449</v>
      </c>
      <c r="B451" s="75" t="s">
        <v>140</v>
      </c>
      <c r="C451" s="100" t="str">
        <f>IF($B451&lt;&gt;"",_xlfn.IFNA(VLOOKUP($B451,'Node Details'!$B:$U,C$1,0),"Check"),"")</f>
        <v>000000AXY-0000AXY12</v>
      </c>
      <c r="D451" s="100" t="str">
        <f>IF($B451&lt;&gt;"",_xlfn.IFNA(VLOOKUP($B451,'Node Details'!$B:$U,D$1,0),"Check"),"")</f>
        <v>AXY</v>
      </c>
      <c r="E451" s="100" t="str">
        <f>IF($B451&lt;&gt;"",_xlfn.IFNA(VLOOKUP($B451,'Node Details'!$B:$U,E$1,0),"Check"),"")</f>
        <v>Airtel</v>
      </c>
      <c r="F451" s="101">
        <v>46113</v>
      </c>
      <c r="G451" s="103"/>
      <c r="H451" s="102" t="s">
        <v>1259</v>
      </c>
      <c r="I451" s="9">
        <v>1</v>
      </c>
      <c r="J451" s="9">
        <v>4600</v>
      </c>
      <c r="K451" s="100">
        <f t="shared" si="65"/>
        <v>4600</v>
      </c>
      <c r="L451" s="78">
        <v>46112</v>
      </c>
      <c r="M451" s="103"/>
      <c r="N451" s="93" t="s">
        <v>143</v>
      </c>
      <c r="O451" s="94">
        <v>46141</v>
      </c>
      <c r="P451" s="104">
        <f t="shared" si="60"/>
        <v>4600</v>
      </c>
      <c r="Q451" s="104">
        <f t="shared" si="61"/>
        <v>4600</v>
      </c>
      <c r="R451" s="104"/>
      <c r="S451" s="93" t="s">
        <v>331</v>
      </c>
      <c r="T451" s="94">
        <v>46153</v>
      </c>
      <c r="U451" s="104">
        <f t="shared" si="62"/>
        <v>4600</v>
      </c>
      <c r="V451" s="104">
        <f t="shared" si="63"/>
        <v>1</v>
      </c>
      <c r="W451" s="103">
        <f t="shared" si="64"/>
        <v>4600</v>
      </c>
      <c r="X451" s="93" t="s">
        <v>89</v>
      </c>
      <c r="Y451" s="105" t="s">
        <v>84</v>
      </c>
      <c r="Z451" s="105" t="s">
        <v>93</v>
      </c>
    </row>
    <row r="452" spans="1:26" s="105" customFormat="1" ht="15" customHeight="1">
      <c r="A452" s="99">
        <f t="shared" si="59"/>
        <v>450</v>
      </c>
      <c r="B452" s="75" t="s">
        <v>392</v>
      </c>
      <c r="C452" s="100" t="str">
        <f>IF($B452&lt;&gt;"",_xlfn.IFNA(VLOOKUP($B452,'Node Details'!$B:$U,C$1,0),"Check"),"")</f>
        <v>0000AXW01-AXW010101</v>
      </c>
      <c r="D452" s="100" t="str">
        <f>IF($B452&lt;&gt;"",_xlfn.IFNA(VLOOKUP($B452,'Node Details'!$B:$U,D$1,0),"Check"),"")</f>
        <v>AXW</v>
      </c>
      <c r="E452" s="100" t="str">
        <f>IF($B452&lt;&gt;"",_xlfn.IFNA(VLOOKUP($B452,'Node Details'!$B:$U,E$1,0),"Check"),"")</f>
        <v>Airtel</v>
      </c>
      <c r="F452" s="101">
        <v>46114</v>
      </c>
      <c r="G452" s="103"/>
      <c r="H452" s="102" t="s">
        <v>1254</v>
      </c>
      <c r="I452" s="9">
        <v>1</v>
      </c>
      <c r="J452" s="9">
        <v>600</v>
      </c>
      <c r="K452" s="100">
        <f t="shared" ref="K452:K515" si="66">IF(I452&lt;&gt;"",J452*I452,0)</f>
        <v>600</v>
      </c>
      <c r="L452" s="78">
        <v>46112</v>
      </c>
      <c r="M452" s="103"/>
      <c r="N452" s="93" t="s">
        <v>373</v>
      </c>
      <c r="O452" s="94">
        <v>46146</v>
      </c>
      <c r="P452" s="104">
        <f t="shared" ref="P452" si="67">J452</f>
        <v>600</v>
      </c>
      <c r="Q452" s="104">
        <f t="shared" ref="Q452" si="68">P452*I452</f>
        <v>600</v>
      </c>
      <c r="R452" s="104"/>
      <c r="S452" s="93" t="s">
        <v>374</v>
      </c>
      <c r="T452" s="94">
        <v>46156</v>
      </c>
      <c r="U452" s="104">
        <f t="shared" ref="U452" si="69">J452</f>
        <v>600</v>
      </c>
      <c r="V452" s="104">
        <f t="shared" ref="V452" si="70">I452</f>
        <v>1</v>
      </c>
      <c r="W452" s="103">
        <f t="shared" ref="W452" si="71">IF(V452&lt;&gt;"",V452*U452,0)</f>
        <v>600</v>
      </c>
      <c r="X452" s="93" t="s">
        <v>89</v>
      </c>
      <c r="Y452" s="105" t="s">
        <v>84</v>
      </c>
      <c r="Z452" s="105" t="s">
        <v>93</v>
      </c>
    </row>
    <row r="453" spans="1:26" s="105" customFormat="1" ht="15" customHeight="1">
      <c r="A453" s="99">
        <f t="shared" ref="A453:A516" si="72">A452+1</f>
        <v>451</v>
      </c>
      <c r="B453" s="75" t="s">
        <v>1051</v>
      </c>
      <c r="C453" s="100" t="str">
        <f>IF($B453&lt;&gt;"",_xlfn.IFNA(VLOOKUP($B453,'Node Details'!$B:$U,C$1,0),"Check"),"")</f>
        <v>0000AXW01-AXW010105</v>
      </c>
      <c r="D453" s="100" t="str">
        <f>IF($B453&lt;&gt;"",_xlfn.IFNA(VLOOKUP($B453,'Node Details'!$B:$U,D$1,0),"Check"),"")</f>
        <v>AXW</v>
      </c>
      <c r="E453" s="100" t="str">
        <f>IF($B453&lt;&gt;"",_xlfn.IFNA(VLOOKUP($B453,'Node Details'!$B:$U,E$1,0),"Check"),"")</f>
        <v>Airtel</v>
      </c>
      <c r="F453" s="101">
        <v>46114</v>
      </c>
      <c r="G453" s="103"/>
      <c r="H453" s="102" t="s">
        <v>1254</v>
      </c>
      <c r="I453" s="9">
        <v>1</v>
      </c>
      <c r="J453" s="9">
        <v>600</v>
      </c>
      <c r="K453" s="100">
        <f t="shared" si="66"/>
        <v>600</v>
      </c>
      <c r="L453" s="78">
        <v>46112</v>
      </c>
      <c r="M453" s="103"/>
      <c r="N453" s="93" t="s">
        <v>373</v>
      </c>
      <c r="O453" s="94">
        <v>46146</v>
      </c>
      <c r="P453" s="104">
        <f t="shared" ref="P453:P516" si="73">J453</f>
        <v>600</v>
      </c>
      <c r="Q453" s="104">
        <f t="shared" ref="Q453:Q516" si="74">P453*I453</f>
        <v>600</v>
      </c>
      <c r="R453" s="104"/>
      <c r="S453" s="93" t="s">
        <v>374</v>
      </c>
      <c r="T453" s="94">
        <v>46156</v>
      </c>
      <c r="U453" s="104">
        <f t="shared" ref="U453:U516" si="75">J453</f>
        <v>600</v>
      </c>
      <c r="V453" s="104">
        <f t="shared" ref="V453:V516" si="76">I453</f>
        <v>1</v>
      </c>
      <c r="W453" s="103">
        <f t="shared" ref="W453:W516" si="77">IF(V453&lt;&gt;"",V453*U453,0)</f>
        <v>600</v>
      </c>
      <c r="X453" s="93" t="s">
        <v>89</v>
      </c>
      <c r="Y453" s="105" t="s">
        <v>84</v>
      </c>
      <c r="Z453" s="105" t="s">
        <v>93</v>
      </c>
    </row>
    <row r="454" spans="1:26" s="105" customFormat="1" ht="15" customHeight="1">
      <c r="A454" s="99">
        <f t="shared" si="72"/>
        <v>452</v>
      </c>
      <c r="B454" s="75" t="s">
        <v>1052</v>
      </c>
      <c r="C454" s="100" t="str">
        <f>IF($B454&lt;&gt;"",_xlfn.IFNA(VLOOKUP($B454,'Node Details'!$B:$U,C$1,0),"Check"),"")</f>
        <v>0000AXW01-AXW010105</v>
      </c>
      <c r="D454" s="100" t="str">
        <f>IF($B454&lt;&gt;"",_xlfn.IFNA(VLOOKUP($B454,'Node Details'!$B:$U,D$1,0),"Check"),"")</f>
        <v>AXW</v>
      </c>
      <c r="E454" s="100" t="str">
        <f>IF($B454&lt;&gt;"",_xlfn.IFNA(VLOOKUP($B454,'Node Details'!$B:$U,E$1,0),"Check"),"")</f>
        <v>Airtel</v>
      </c>
      <c r="F454" s="101">
        <v>46114</v>
      </c>
      <c r="G454" s="103"/>
      <c r="H454" s="102" t="s">
        <v>1254</v>
      </c>
      <c r="I454" s="9">
        <v>1</v>
      </c>
      <c r="J454" s="9">
        <v>600</v>
      </c>
      <c r="K454" s="100">
        <f t="shared" si="66"/>
        <v>600</v>
      </c>
      <c r="L454" s="78">
        <v>46112</v>
      </c>
      <c r="M454" s="103"/>
      <c r="N454" s="93" t="s">
        <v>373</v>
      </c>
      <c r="O454" s="94">
        <v>46146</v>
      </c>
      <c r="P454" s="104">
        <f t="shared" si="73"/>
        <v>600</v>
      </c>
      <c r="Q454" s="104">
        <f t="shared" si="74"/>
        <v>600</v>
      </c>
      <c r="R454" s="104"/>
      <c r="S454" s="93" t="s">
        <v>374</v>
      </c>
      <c r="T454" s="94">
        <v>46156</v>
      </c>
      <c r="U454" s="104">
        <f t="shared" si="75"/>
        <v>600</v>
      </c>
      <c r="V454" s="104">
        <f t="shared" si="76"/>
        <v>1</v>
      </c>
      <c r="W454" s="103">
        <f t="shared" si="77"/>
        <v>600</v>
      </c>
      <c r="X454" s="93" t="s">
        <v>89</v>
      </c>
      <c r="Y454" s="105" t="s">
        <v>84</v>
      </c>
      <c r="Z454" s="105" t="s">
        <v>93</v>
      </c>
    </row>
    <row r="455" spans="1:26" s="105" customFormat="1" ht="15" customHeight="1">
      <c r="A455" s="99">
        <f t="shared" si="72"/>
        <v>453</v>
      </c>
      <c r="B455" s="75" t="s">
        <v>394</v>
      </c>
      <c r="C455" s="100" t="str">
        <f>IF($B455&lt;&gt;"",_xlfn.IFNA(VLOOKUP($B455,'Node Details'!$B:$U,C$1,0),"Check"),"")</f>
        <v>0000AXW01-AXW010105</v>
      </c>
      <c r="D455" s="100" t="str">
        <f>IF($B455&lt;&gt;"",_xlfn.IFNA(VLOOKUP($B455,'Node Details'!$B:$U,D$1,0),"Check"),"")</f>
        <v>AXW</v>
      </c>
      <c r="E455" s="100" t="str">
        <f>IF($B455&lt;&gt;"",_xlfn.IFNA(VLOOKUP($B455,'Node Details'!$B:$U,E$1,0),"Check"),"")</f>
        <v>Airtel</v>
      </c>
      <c r="F455" s="101">
        <v>46114</v>
      </c>
      <c r="G455" s="103"/>
      <c r="H455" s="102" t="s">
        <v>1254</v>
      </c>
      <c r="I455" s="9">
        <v>1</v>
      </c>
      <c r="J455" s="9">
        <v>600</v>
      </c>
      <c r="K455" s="100">
        <f t="shared" si="66"/>
        <v>600</v>
      </c>
      <c r="L455" s="78">
        <v>46112</v>
      </c>
      <c r="M455" s="103"/>
      <c r="N455" s="93" t="s">
        <v>373</v>
      </c>
      <c r="O455" s="94">
        <v>46146</v>
      </c>
      <c r="P455" s="104">
        <f t="shared" si="73"/>
        <v>600</v>
      </c>
      <c r="Q455" s="104">
        <f t="shared" si="74"/>
        <v>600</v>
      </c>
      <c r="R455" s="104"/>
      <c r="S455" s="93" t="s">
        <v>374</v>
      </c>
      <c r="T455" s="94">
        <v>46156</v>
      </c>
      <c r="U455" s="104">
        <f t="shared" si="75"/>
        <v>600</v>
      </c>
      <c r="V455" s="104">
        <f t="shared" si="76"/>
        <v>1</v>
      </c>
      <c r="W455" s="103">
        <f t="shared" si="77"/>
        <v>600</v>
      </c>
      <c r="X455" s="93" t="s">
        <v>89</v>
      </c>
      <c r="Y455" s="105" t="s">
        <v>84</v>
      </c>
      <c r="Z455" s="105" t="s">
        <v>93</v>
      </c>
    </row>
    <row r="456" spans="1:26" s="105" customFormat="1" ht="15" customHeight="1">
      <c r="A456" s="99">
        <f t="shared" si="72"/>
        <v>454</v>
      </c>
      <c r="B456" s="75" t="s">
        <v>1053</v>
      </c>
      <c r="C456" s="100" t="str">
        <f>IF($B456&lt;&gt;"",_xlfn.IFNA(VLOOKUP($B456,'Node Details'!$B:$U,C$1,0),"Check"),"")</f>
        <v>0000AXW02-AXW020105</v>
      </c>
      <c r="D456" s="100" t="str">
        <f>IF($B456&lt;&gt;"",_xlfn.IFNA(VLOOKUP($B456,'Node Details'!$B:$U,D$1,0),"Check"),"")</f>
        <v>AXW</v>
      </c>
      <c r="E456" s="100" t="str">
        <f>IF($B456&lt;&gt;"",_xlfn.IFNA(VLOOKUP($B456,'Node Details'!$B:$U,E$1,0),"Check"),"")</f>
        <v>Airtel</v>
      </c>
      <c r="F456" s="101">
        <v>46114</v>
      </c>
      <c r="G456" s="103"/>
      <c r="H456" s="102" t="s">
        <v>1254</v>
      </c>
      <c r="I456" s="9">
        <v>1</v>
      </c>
      <c r="J456" s="9">
        <v>600</v>
      </c>
      <c r="K456" s="100">
        <f t="shared" si="66"/>
        <v>600</v>
      </c>
      <c r="L456" s="78">
        <v>46112</v>
      </c>
      <c r="M456" s="103"/>
      <c r="N456" s="93" t="s">
        <v>373</v>
      </c>
      <c r="O456" s="94">
        <v>46146</v>
      </c>
      <c r="P456" s="104">
        <f t="shared" si="73"/>
        <v>600</v>
      </c>
      <c r="Q456" s="104">
        <f t="shared" si="74"/>
        <v>600</v>
      </c>
      <c r="R456" s="104"/>
      <c r="S456" s="93" t="s">
        <v>374</v>
      </c>
      <c r="T456" s="94">
        <v>46156</v>
      </c>
      <c r="U456" s="104">
        <f t="shared" si="75"/>
        <v>600</v>
      </c>
      <c r="V456" s="104">
        <f t="shared" si="76"/>
        <v>1</v>
      </c>
      <c r="W456" s="103">
        <f t="shared" si="77"/>
        <v>600</v>
      </c>
      <c r="X456" s="93" t="s">
        <v>89</v>
      </c>
      <c r="Y456" s="105" t="s">
        <v>84</v>
      </c>
      <c r="Z456" s="105" t="s">
        <v>93</v>
      </c>
    </row>
    <row r="457" spans="1:26" s="105" customFormat="1" ht="15" customHeight="1">
      <c r="A457" s="99">
        <f t="shared" si="72"/>
        <v>455</v>
      </c>
      <c r="B457" s="75" t="s">
        <v>399</v>
      </c>
      <c r="C457" s="100" t="str">
        <f>IF($B457&lt;&gt;"",_xlfn.IFNA(VLOOKUP($B457,'Node Details'!$B:$U,C$1,0),"Check"),"")</f>
        <v>0000AXW02-AXW020101</v>
      </c>
      <c r="D457" s="100" t="str">
        <f>IF($B457&lt;&gt;"",_xlfn.IFNA(VLOOKUP($B457,'Node Details'!$B:$U,D$1,0),"Check"),"")</f>
        <v>AXW</v>
      </c>
      <c r="E457" s="100" t="str">
        <f>IF($B457&lt;&gt;"",_xlfn.IFNA(VLOOKUP($B457,'Node Details'!$B:$U,E$1,0),"Check"),"")</f>
        <v>Airtel</v>
      </c>
      <c r="F457" s="101">
        <v>46114</v>
      </c>
      <c r="G457" s="103"/>
      <c r="H457" s="102" t="s">
        <v>1254</v>
      </c>
      <c r="I457" s="9">
        <v>1</v>
      </c>
      <c r="J457" s="9">
        <v>600</v>
      </c>
      <c r="K457" s="100">
        <f t="shared" si="66"/>
        <v>600</v>
      </c>
      <c r="L457" s="78">
        <v>46112</v>
      </c>
      <c r="M457" s="103"/>
      <c r="N457" s="93" t="s">
        <v>373</v>
      </c>
      <c r="O457" s="94">
        <v>46146</v>
      </c>
      <c r="P457" s="104">
        <f t="shared" si="73"/>
        <v>600</v>
      </c>
      <c r="Q457" s="104">
        <f t="shared" si="74"/>
        <v>600</v>
      </c>
      <c r="R457" s="104"/>
      <c r="S457" s="93" t="s">
        <v>374</v>
      </c>
      <c r="T457" s="94">
        <v>46156</v>
      </c>
      <c r="U457" s="104">
        <f t="shared" si="75"/>
        <v>600</v>
      </c>
      <c r="V457" s="104">
        <f t="shared" si="76"/>
        <v>1</v>
      </c>
      <c r="W457" s="103">
        <f t="shared" si="77"/>
        <v>600</v>
      </c>
      <c r="X457" s="93" t="s">
        <v>89</v>
      </c>
      <c r="Y457" s="105" t="s">
        <v>84</v>
      </c>
      <c r="Z457" s="105" t="s">
        <v>93</v>
      </c>
    </row>
    <row r="458" spans="1:26" s="105" customFormat="1" ht="15" customHeight="1">
      <c r="A458" s="99">
        <f t="shared" si="72"/>
        <v>456</v>
      </c>
      <c r="B458" s="75" t="s">
        <v>1054</v>
      </c>
      <c r="C458" s="100" t="str">
        <f>IF($B458&lt;&gt;"",_xlfn.IFNA(VLOOKUP($B458,'Node Details'!$B:$U,C$1,0),"Check"),"")</f>
        <v>0000AXW02-AXW020105</v>
      </c>
      <c r="D458" s="100" t="str">
        <f>IF($B458&lt;&gt;"",_xlfn.IFNA(VLOOKUP($B458,'Node Details'!$B:$U,D$1,0),"Check"),"")</f>
        <v>AXW</v>
      </c>
      <c r="E458" s="100" t="str">
        <f>IF($B458&lt;&gt;"",_xlfn.IFNA(VLOOKUP($B458,'Node Details'!$B:$U,E$1,0),"Check"),"")</f>
        <v>Airtel</v>
      </c>
      <c r="F458" s="101">
        <v>46114</v>
      </c>
      <c r="G458" s="103"/>
      <c r="H458" s="102" t="s">
        <v>1254</v>
      </c>
      <c r="I458" s="9">
        <v>1</v>
      </c>
      <c r="J458" s="9">
        <v>600</v>
      </c>
      <c r="K458" s="100">
        <f t="shared" si="66"/>
        <v>600</v>
      </c>
      <c r="L458" s="78">
        <v>46112</v>
      </c>
      <c r="M458" s="103"/>
      <c r="N458" s="93" t="s">
        <v>373</v>
      </c>
      <c r="O458" s="94">
        <v>46146</v>
      </c>
      <c r="P458" s="104">
        <f t="shared" si="73"/>
        <v>600</v>
      </c>
      <c r="Q458" s="104">
        <f t="shared" si="74"/>
        <v>600</v>
      </c>
      <c r="R458" s="104"/>
      <c r="S458" s="93" t="s">
        <v>374</v>
      </c>
      <c r="T458" s="94">
        <v>46156</v>
      </c>
      <c r="U458" s="104">
        <f t="shared" si="75"/>
        <v>600</v>
      </c>
      <c r="V458" s="104">
        <f t="shared" si="76"/>
        <v>1</v>
      </c>
      <c r="W458" s="103">
        <f t="shared" si="77"/>
        <v>600</v>
      </c>
      <c r="X458" s="93" t="s">
        <v>89</v>
      </c>
      <c r="Y458" s="105" t="s">
        <v>84</v>
      </c>
      <c r="Z458" s="105" t="s">
        <v>93</v>
      </c>
    </row>
    <row r="459" spans="1:26" s="105" customFormat="1" ht="15" customHeight="1">
      <c r="A459" s="99">
        <f t="shared" si="72"/>
        <v>457</v>
      </c>
      <c r="B459" s="75" t="s">
        <v>1055</v>
      </c>
      <c r="C459" s="100" t="str">
        <f>IF($B459&lt;&gt;"",_xlfn.IFNA(VLOOKUP($B459,'Node Details'!$B:$U,C$1,0),"Check"),"")</f>
        <v>0000AXW02-AXW020105</v>
      </c>
      <c r="D459" s="100" t="str">
        <f>IF($B459&lt;&gt;"",_xlfn.IFNA(VLOOKUP($B459,'Node Details'!$B:$U,D$1,0),"Check"),"")</f>
        <v>AXW</v>
      </c>
      <c r="E459" s="100" t="str">
        <f>IF($B459&lt;&gt;"",_xlfn.IFNA(VLOOKUP($B459,'Node Details'!$B:$U,E$1,0),"Check"),"")</f>
        <v>Airtel</v>
      </c>
      <c r="F459" s="101">
        <v>46114</v>
      </c>
      <c r="G459" s="103"/>
      <c r="H459" s="102" t="s">
        <v>1254</v>
      </c>
      <c r="I459" s="9">
        <v>1</v>
      </c>
      <c r="J459" s="9">
        <v>600</v>
      </c>
      <c r="K459" s="100">
        <f t="shared" si="66"/>
        <v>600</v>
      </c>
      <c r="L459" s="78">
        <v>46112</v>
      </c>
      <c r="M459" s="103"/>
      <c r="N459" s="93" t="s">
        <v>373</v>
      </c>
      <c r="O459" s="94">
        <v>46146</v>
      </c>
      <c r="P459" s="104">
        <f t="shared" si="73"/>
        <v>600</v>
      </c>
      <c r="Q459" s="104">
        <f t="shared" si="74"/>
        <v>600</v>
      </c>
      <c r="R459" s="104"/>
      <c r="S459" s="93" t="s">
        <v>374</v>
      </c>
      <c r="T459" s="94">
        <v>46156</v>
      </c>
      <c r="U459" s="104">
        <f t="shared" si="75"/>
        <v>600</v>
      </c>
      <c r="V459" s="104">
        <f t="shared" si="76"/>
        <v>1</v>
      </c>
      <c r="W459" s="103">
        <f t="shared" si="77"/>
        <v>600</v>
      </c>
      <c r="X459" s="93" t="s">
        <v>89</v>
      </c>
      <c r="Y459" s="105" t="s">
        <v>84</v>
      </c>
      <c r="Z459" s="105" t="s">
        <v>93</v>
      </c>
    </row>
    <row r="460" spans="1:26" s="105" customFormat="1" ht="15" customHeight="1">
      <c r="A460" s="99">
        <f t="shared" si="72"/>
        <v>458</v>
      </c>
      <c r="B460" s="75" t="s">
        <v>397</v>
      </c>
      <c r="C460" s="100" t="str">
        <f>IF($B460&lt;&gt;"",_xlfn.IFNA(VLOOKUP($B460,'Node Details'!$B:$U,C$1,0),"Check"),"")</f>
        <v>0000AXW02-AXW020105</v>
      </c>
      <c r="D460" s="100" t="str">
        <f>IF($B460&lt;&gt;"",_xlfn.IFNA(VLOOKUP($B460,'Node Details'!$B:$U,D$1,0),"Check"),"")</f>
        <v>AXW</v>
      </c>
      <c r="E460" s="100" t="str">
        <f>IF($B460&lt;&gt;"",_xlfn.IFNA(VLOOKUP($B460,'Node Details'!$B:$U,E$1,0),"Check"),"")</f>
        <v>Airtel</v>
      </c>
      <c r="F460" s="101">
        <v>46114</v>
      </c>
      <c r="G460" s="103"/>
      <c r="H460" s="102" t="s">
        <v>1254</v>
      </c>
      <c r="I460" s="9">
        <v>1</v>
      </c>
      <c r="J460" s="9">
        <v>600</v>
      </c>
      <c r="K460" s="100">
        <f t="shared" si="66"/>
        <v>600</v>
      </c>
      <c r="L460" s="78">
        <v>46112</v>
      </c>
      <c r="M460" s="103"/>
      <c r="N460" s="93" t="s">
        <v>373</v>
      </c>
      <c r="O460" s="94">
        <v>46146</v>
      </c>
      <c r="P460" s="104">
        <f t="shared" si="73"/>
        <v>600</v>
      </c>
      <c r="Q460" s="104">
        <f t="shared" si="74"/>
        <v>600</v>
      </c>
      <c r="R460" s="104"/>
      <c r="S460" s="93" t="s">
        <v>374</v>
      </c>
      <c r="T460" s="94">
        <v>46156</v>
      </c>
      <c r="U460" s="104">
        <f t="shared" si="75"/>
        <v>600</v>
      </c>
      <c r="V460" s="104">
        <f t="shared" si="76"/>
        <v>1</v>
      </c>
      <c r="W460" s="103">
        <f t="shared" si="77"/>
        <v>600</v>
      </c>
      <c r="X460" s="93" t="s">
        <v>89</v>
      </c>
      <c r="Y460" s="105" t="s">
        <v>84</v>
      </c>
      <c r="Z460" s="105" t="s">
        <v>93</v>
      </c>
    </row>
    <row r="461" spans="1:26" s="105" customFormat="1" ht="15" customHeight="1">
      <c r="A461" s="99">
        <f t="shared" si="72"/>
        <v>459</v>
      </c>
      <c r="B461" s="75" t="s">
        <v>401</v>
      </c>
      <c r="C461" s="100" t="str">
        <f>IF($B461&lt;&gt;"",_xlfn.IFNA(VLOOKUP($B461,'Node Details'!$B:$U,C$1,0),"Check"),"")</f>
        <v>0000AXW02-AXW020106</v>
      </c>
      <c r="D461" s="100" t="str">
        <f>IF($B461&lt;&gt;"",_xlfn.IFNA(VLOOKUP($B461,'Node Details'!$B:$U,D$1,0),"Check"),"")</f>
        <v>AXW</v>
      </c>
      <c r="E461" s="100" t="str">
        <f>IF($B461&lt;&gt;"",_xlfn.IFNA(VLOOKUP($B461,'Node Details'!$B:$U,E$1,0),"Check"),"")</f>
        <v>Airtel</v>
      </c>
      <c r="F461" s="101">
        <v>46114</v>
      </c>
      <c r="G461" s="103"/>
      <c r="H461" s="102" t="s">
        <v>1254</v>
      </c>
      <c r="I461" s="9">
        <v>1</v>
      </c>
      <c r="J461" s="9">
        <v>600</v>
      </c>
      <c r="K461" s="100">
        <f t="shared" si="66"/>
        <v>600</v>
      </c>
      <c r="L461" s="78">
        <v>46112</v>
      </c>
      <c r="M461" s="103"/>
      <c r="N461" s="93" t="s">
        <v>373</v>
      </c>
      <c r="O461" s="94">
        <v>46146</v>
      </c>
      <c r="P461" s="104">
        <f t="shared" si="73"/>
        <v>600</v>
      </c>
      <c r="Q461" s="104">
        <f t="shared" si="74"/>
        <v>600</v>
      </c>
      <c r="R461" s="104"/>
      <c r="S461" s="93" t="s">
        <v>374</v>
      </c>
      <c r="T461" s="94">
        <v>46156</v>
      </c>
      <c r="U461" s="104">
        <f t="shared" si="75"/>
        <v>600</v>
      </c>
      <c r="V461" s="104">
        <f t="shared" si="76"/>
        <v>1</v>
      </c>
      <c r="W461" s="103">
        <f t="shared" si="77"/>
        <v>600</v>
      </c>
      <c r="X461" s="93" t="s">
        <v>89</v>
      </c>
      <c r="Y461" s="105" t="s">
        <v>84</v>
      </c>
      <c r="Z461" s="105" t="s">
        <v>93</v>
      </c>
    </row>
    <row r="462" spans="1:26" s="105" customFormat="1" ht="15" customHeight="1">
      <c r="A462" s="99">
        <f t="shared" si="72"/>
        <v>460</v>
      </c>
      <c r="B462" s="75" t="s">
        <v>1056</v>
      </c>
      <c r="C462" s="100" t="str">
        <f>IF($B462&lt;&gt;"",_xlfn.IFNA(VLOOKUP($B462,'Node Details'!$B:$U,C$1,0),"Check"),"")</f>
        <v>AXW020106-AXW020108</v>
      </c>
      <c r="D462" s="100" t="str">
        <f>IF($B462&lt;&gt;"",_xlfn.IFNA(VLOOKUP($B462,'Node Details'!$B:$U,D$1,0),"Check"),"")</f>
        <v>AXW</v>
      </c>
      <c r="E462" s="100" t="str">
        <f>IF($B462&lt;&gt;"",_xlfn.IFNA(VLOOKUP($B462,'Node Details'!$B:$U,E$1,0),"Check"),"")</f>
        <v>Airtel</v>
      </c>
      <c r="F462" s="101">
        <v>46114</v>
      </c>
      <c r="G462" s="103"/>
      <c r="H462" s="102" t="s">
        <v>1254</v>
      </c>
      <c r="I462" s="9">
        <v>1</v>
      </c>
      <c r="J462" s="9">
        <v>600</v>
      </c>
      <c r="K462" s="100">
        <f t="shared" si="66"/>
        <v>600</v>
      </c>
      <c r="L462" s="78">
        <v>46112</v>
      </c>
      <c r="M462" s="103"/>
      <c r="N462" s="93" t="s">
        <v>373</v>
      </c>
      <c r="O462" s="94">
        <v>46146</v>
      </c>
      <c r="P462" s="104">
        <f t="shared" si="73"/>
        <v>600</v>
      </c>
      <c r="Q462" s="104">
        <f t="shared" si="74"/>
        <v>600</v>
      </c>
      <c r="R462" s="104"/>
      <c r="S462" s="93" t="s">
        <v>374</v>
      </c>
      <c r="T462" s="94">
        <v>46156</v>
      </c>
      <c r="U462" s="104">
        <f t="shared" si="75"/>
        <v>600</v>
      </c>
      <c r="V462" s="104">
        <f t="shared" si="76"/>
        <v>1</v>
      </c>
      <c r="W462" s="103">
        <f t="shared" si="77"/>
        <v>600</v>
      </c>
      <c r="X462" s="93" t="s">
        <v>89</v>
      </c>
      <c r="Y462" s="105" t="s">
        <v>84</v>
      </c>
      <c r="Z462" s="105" t="s">
        <v>93</v>
      </c>
    </row>
    <row r="463" spans="1:26" s="105" customFormat="1" ht="15" customHeight="1">
      <c r="A463" s="99">
        <f t="shared" si="72"/>
        <v>461</v>
      </c>
      <c r="B463" s="75" t="s">
        <v>403</v>
      </c>
      <c r="C463" s="100" t="str">
        <f>IF($B463&lt;&gt;"",_xlfn.IFNA(VLOOKUP($B463,'Node Details'!$B:$U,C$1,0),"Check"),"")</f>
        <v>AXW020106-AXW020108</v>
      </c>
      <c r="D463" s="100" t="str">
        <f>IF($B463&lt;&gt;"",_xlfn.IFNA(VLOOKUP($B463,'Node Details'!$B:$U,D$1,0),"Check"),"")</f>
        <v>AXW</v>
      </c>
      <c r="E463" s="100" t="str">
        <f>IF($B463&lt;&gt;"",_xlfn.IFNA(VLOOKUP($B463,'Node Details'!$B:$U,E$1,0),"Check"),"")</f>
        <v>Airtel</v>
      </c>
      <c r="F463" s="101">
        <v>46114</v>
      </c>
      <c r="G463" s="103"/>
      <c r="H463" s="102" t="s">
        <v>1254</v>
      </c>
      <c r="I463" s="9">
        <v>1</v>
      </c>
      <c r="J463" s="9">
        <v>600</v>
      </c>
      <c r="K463" s="100">
        <f t="shared" si="66"/>
        <v>600</v>
      </c>
      <c r="L463" s="78">
        <v>46112</v>
      </c>
      <c r="M463" s="103"/>
      <c r="N463" s="93" t="s">
        <v>373</v>
      </c>
      <c r="O463" s="94">
        <v>46146</v>
      </c>
      <c r="P463" s="104">
        <f t="shared" si="73"/>
        <v>600</v>
      </c>
      <c r="Q463" s="104">
        <f t="shared" si="74"/>
        <v>600</v>
      </c>
      <c r="R463" s="104"/>
      <c r="S463" s="93" t="s">
        <v>374</v>
      </c>
      <c r="T463" s="94">
        <v>46156</v>
      </c>
      <c r="U463" s="104">
        <f t="shared" si="75"/>
        <v>600</v>
      </c>
      <c r="V463" s="104">
        <f t="shared" si="76"/>
        <v>1</v>
      </c>
      <c r="W463" s="103">
        <f t="shared" si="77"/>
        <v>600</v>
      </c>
      <c r="X463" s="93" t="s">
        <v>89</v>
      </c>
      <c r="Y463" s="105" t="s">
        <v>84</v>
      </c>
      <c r="Z463" s="105" t="s">
        <v>93</v>
      </c>
    </row>
    <row r="464" spans="1:26" s="105" customFormat="1" ht="15" customHeight="1">
      <c r="A464" s="99">
        <f t="shared" si="72"/>
        <v>462</v>
      </c>
      <c r="B464" s="75" t="s">
        <v>1057</v>
      </c>
      <c r="C464" s="100" t="str">
        <f>IF($B464&lt;&gt;"",_xlfn.IFNA(VLOOKUP($B464,'Node Details'!$B:$U,C$1,0),"Check"),"")</f>
        <v>AXW020106-AXW020203</v>
      </c>
      <c r="D464" s="100" t="str">
        <f>IF($B464&lt;&gt;"",_xlfn.IFNA(VLOOKUP($B464,'Node Details'!$B:$U,D$1,0),"Check"),"")</f>
        <v>AXW</v>
      </c>
      <c r="E464" s="100" t="str">
        <f>IF($B464&lt;&gt;"",_xlfn.IFNA(VLOOKUP($B464,'Node Details'!$B:$U,E$1,0),"Check"),"")</f>
        <v>Airtel</v>
      </c>
      <c r="F464" s="101">
        <v>46114</v>
      </c>
      <c r="G464" s="103"/>
      <c r="H464" s="102" t="s">
        <v>1254</v>
      </c>
      <c r="I464" s="9">
        <v>1</v>
      </c>
      <c r="J464" s="9">
        <v>600</v>
      </c>
      <c r="K464" s="100">
        <f t="shared" si="66"/>
        <v>600</v>
      </c>
      <c r="L464" s="78">
        <v>46112</v>
      </c>
      <c r="M464" s="103"/>
      <c r="N464" s="93" t="s">
        <v>373</v>
      </c>
      <c r="O464" s="94">
        <v>46146</v>
      </c>
      <c r="P464" s="104">
        <f t="shared" si="73"/>
        <v>600</v>
      </c>
      <c r="Q464" s="104">
        <f t="shared" si="74"/>
        <v>600</v>
      </c>
      <c r="R464" s="104"/>
      <c r="S464" s="93" t="s">
        <v>374</v>
      </c>
      <c r="T464" s="94">
        <v>46156</v>
      </c>
      <c r="U464" s="104">
        <f t="shared" si="75"/>
        <v>600</v>
      </c>
      <c r="V464" s="104">
        <f t="shared" si="76"/>
        <v>1</v>
      </c>
      <c r="W464" s="103">
        <f t="shared" si="77"/>
        <v>600</v>
      </c>
      <c r="X464" s="93" t="s">
        <v>89</v>
      </c>
      <c r="Y464" s="105" t="s">
        <v>84</v>
      </c>
      <c r="Z464" s="105" t="s">
        <v>93</v>
      </c>
    </row>
    <row r="465" spans="1:26" s="105" customFormat="1" ht="15" customHeight="1">
      <c r="A465" s="99">
        <f t="shared" si="72"/>
        <v>463</v>
      </c>
      <c r="B465" s="75" t="s">
        <v>1058</v>
      </c>
      <c r="C465" s="100" t="str">
        <f>IF($B465&lt;&gt;"",_xlfn.IFNA(VLOOKUP($B465,'Node Details'!$B:$U,C$1,0),"Check"),"")</f>
        <v>AXW020106-AXW020203</v>
      </c>
      <c r="D465" s="100" t="str">
        <f>IF($B465&lt;&gt;"",_xlfn.IFNA(VLOOKUP($B465,'Node Details'!$B:$U,D$1,0),"Check"),"")</f>
        <v>AXW</v>
      </c>
      <c r="E465" s="100" t="str">
        <f>IF($B465&lt;&gt;"",_xlfn.IFNA(VLOOKUP($B465,'Node Details'!$B:$U,E$1,0),"Check"),"")</f>
        <v>Airtel</v>
      </c>
      <c r="F465" s="101">
        <v>46114</v>
      </c>
      <c r="G465" s="103"/>
      <c r="H465" s="102" t="s">
        <v>1254</v>
      </c>
      <c r="I465" s="9">
        <v>1</v>
      </c>
      <c r="J465" s="9">
        <v>600</v>
      </c>
      <c r="K465" s="100">
        <f t="shared" si="66"/>
        <v>600</v>
      </c>
      <c r="L465" s="78">
        <v>46112</v>
      </c>
      <c r="M465" s="103"/>
      <c r="N465" s="93" t="s">
        <v>373</v>
      </c>
      <c r="O465" s="94">
        <v>46146</v>
      </c>
      <c r="P465" s="104">
        <f t="shared" si="73"/>
        <v>600</v>
      </c>
      <c r="Q465" s="104">
        <f t="shared" si="74"/>
        <v>600</v>
      </c>
      <c r="R465" s="104"/>
      <c r="S465" s="93" t="s">
        <v>374</v>
      </c>
      <c r="T465" s="94">
        <v>46156</v>
      </c>
      <c r="U465" s="104">
        <f t="shared" si="75"/>
        <v>600</v>
      </c>
      <c r="V465" s="104">
        <f t="shared" si="76"/>
        <v>1</v>
      </c>
      <c r="W465" s="103">
        <f t="shared" si="77"/>
        <v>600</v>
      </c>
      <c r="X465" s="93" t="s">
        <v>89</v>
      </c>
      <c r="Y465" s="105" t="s">
        <v>84</v>
      </c>
      <c r="Z465" s="105" t="s">
        <v>93</v>
      </c>
    </row>
    <row r="466" spans="1:26" s="105" customFormat="1" ht="15" customHeight="1">
      <c r="A466" s="99">
        <f t="shared" si="72"/>
        <v>464</v>
      </c>
      <c r="B466" s="75" t="s">
        <v>405</v>
      </c>
      <c r="C466" s="100" t="str">
        <f>IF($B466&lt;&gt;"",_xlfn.IFNA(VLOOKUP($B466,'Node Details'!$B:$U,C$1,0),"Check"),"")</f>
        <v>AXW020106-AXW020203</v>
      </c>
      <c r="D466" s="100" t="str">
        <f>IF($B466&lt;&gt;"",_xlfn.IFNA(VLOOKUP($B466,'Node Details'!$B:$U,D$1,0),"Check"),"")</f>
        <v>AXW</v>
      </c>
      <c r="E466" s="100" t="str">
        <f>IF($B466&lt;&gt;"",_xlfn.IFNA(VLOOKUP($B466,'Node Details'!$B:$U,E$1,0),"Check"),"")</f>
        <v>Airtel</v>
      </c>
      <c r="F466" s="101">
        <v>46114</v>
      </c>
      <c r="G466" s="103"/>
      <c r="H466" s="102" t="s">
        <v>1254</v>
      </c>
      <c r="I466" s="9">
        <v>1</v>
      </c>
      <c r="J466" s="9">
        <v>600</v>
      </c>
      <c r="K466" s="100">
        <f t="shared" si="66"/>
        <v>600</v>
      </c>
      <c r="L466" s="78">
        <v>46112</v>
      </c>
      <c r="M466" s="103"/>
      <c r="N466" s="93" t="s">
        <v>373</v>
      </c>
      <c r="O466" s="94">
        <v>46146</v>
      </c>
      <c r="P466" s="104">
        <f t="shared" si="73"/>
        <v>600</v>
      </c>
      <c r="Q466" s="104">
        <f t="shared" si="74"/>
        <v>600</v>
      </c>
      <c r="R466" s="104"/>
      <c r="S466" s="93" t="s">
        <v>374</v>
      </c>
      <c r="T466" s="94">
        <v>46156</v>
      </c>
      <c r="U466" s="104">
        <f t="shared" si="75"/>
        <v>600</v>
      </c>
      <c r="V466" s="104">
        <f t="shared" si="76"/>
        <v>1</v>
      </c>
      <c r="W466" s="103">
        <f t="shared" si="77"/>
        <v>600</v>
      </c>
      <c r="X466" s="93" t="s">
        <v>89</v>
      </c>
      <c r="Y466" s="105" t="s">
        <v>84</v>
      </c>
      <c r="Z466" s="105" t="s">
        <v>93</v>
      </c>
    </row>
    <row r="467" spans="1:26" s="105" customFormat="1" ht="15" customHeight="1">
      <c r="A467" s="99">
        <f t="shared" si="72"/>
        <v>465</v>
      </c>
      <c r="B467" s="75" t="s">
        <v>611</v>
      </c>
      <c r="C467" s="100" t="str">
        <f>IF($B467&lt;&gt;"",_xlfn.IFNA(VLOOKUP($B467,'Node Details'!$B:$U,C$1,0),"Check"),"")</f>
        <v>0000AXW02-AXW020204</v>
      </c>
      <c r="D467" s="100" t="str">
        <f>IF($B467&lt;&gt;"",_xlfn.IFNA(VLOOKUP($B467,'Node Details'!$B:$U,D$1,0),"Check"),"")</f>
        <v>AXW</v>
      </c>
      <c r="E467" s="100" t="str">
        <f>IF($B467&lt;&gt;"",_xlfn.IFNA(VLOOKUP($B467,'Node Details'!$B:$U,E$1,0),"Check"),"")</f>
        <v>Airtel</v>
      </c>
      <c r="F467" s="101">
        <v>46114</v>
      </c>
      <c r="G467" s="103"/>
      <c r="H467" s="102" t="s">
        <v>1254</v>
      </c>
      <c r="I467" s="9">
        <v>1</v>
      </c>
      <c r="J467" s="9">
        <v>600</v>
      </c>
      <c r="K467" s="100">
        <f t="shared" si="66"/>
        <v>600</v>
      </c>
      <c r="L467" s="78">
        <v>46112</v>
      </c>
      <c r="M467" s="103"/>
      <c r="N467" s="93" t="s">
        <v>373</v>
      </c>
      <c r="O467" s="94">
        <v>46146</v>
      </c>
      <c r="P467" s="104">
        <f t="shared" si="73"/>
        <v>600</v>
      </c>
      <c r="Q467" s="104">
        <f t="shared" si="74"/>
        <v>600</v>
      </c>
      <c r="R467" s="104"/>
      <c r="S467" s="93" t="s">
        <v>374</v>
      </c>
      <c r="T467" s="94">
        <v>46156</v>
      </c>
      <c r="U467" s="104">
        <f t="shared" si="75"/>
        <v>600</v>
      </c>
      <c r="V467" s="104">
        <f t="shared" si="76"/>
        <v>1</v>
      </c>
      <c r="W467" s="103">
        <f t="shared" si="77"/>
        <v>600</v>
      </c>
      <c r="X467" s="93" t="s">
        <v>89</v>
      </c>
      <c r="Y467" s="105" t="s">
        <v>84</v>
      </c>
      <c r="Z467" s="105" t="s">
        <v>93</v>
      </c>
    </row>
    <row r="468" spans="1:26" s="105" customFormat="1" ht="15" customHeight="1">
      <c r="A468" s="99">
        <f t="shared" si="72"/>
        <v>466</v>
      </c>
      <c r="B468" s="75" t="s">
        <v>1059</v>
      </c>
      <c r="C468" s="100" t="str">
        <f>IF($B468&lt;&gt;"",_xlfn.IFNA(VLOOKUP($B468,'Node Details'!$B:$U,C$1,0),"Check"),"")</f>
        <v>0000AXW03-AXW030104</v>
      </c>
      <c r="D468" s="100" t="str">
        <f>IF($B468&lt;&gt;"",_xlfn.IFNA(VLOOKUP($B468,'Node Details'!$B:$U,D$1,0),"Check"),"")</f>
        <v>AXW</v>
      </c>
      <c r="E468" s="100" t="str">
        <f>IF($B468&lt;&gt;"",_xlfn.IFNA(VLOOKUP($B468,'Node Details'!$B:$U,E$1,0),"Check"),"")</f>
        <v>Airtel</v>
      </c>
      <c r="F468" s="101">
        <v>46114</v>
      </c>
      <c r="G468" s="103"/>
      <c r="H468" s="102" t="s">
        <v>1254</v>
      </c>
      <c r="I468" s="9">
        <v>1</v>
      </c>
      <c r="J468" s="9">
        <v>600</v>
      </c>
      <c r="K468" s="100">
        <f t="shared" si="66"/>
        <v>600</v>
      </c>
      <c r="L468" s="78">
        <v>46112</v>
      </c>
      <c r="M468" s="103"/>
      <c r="N468" s="93" t="s">
        <v>373</v>
      </c>
      <c r="O468" s="94">
        <v>46146</v>
      </c>
      <c r="P468" s="104">
        <f t="shared" si="73"/>
        <v>600</v>
      </c>
      <c r="Q468" s="104">
        <f t="shared" si="74"/>
        <v>600</v>
      </c>
      <c r="R468" s="104"/>
      <c r="S468" s="93" t="s">
        <v>374</v>
      </c>
      <c r="T468" s="94">
        <v>46156</v>
      </c>
      <c r="U468" s="104">
        <f t="shared" si="75"/>
        <v>600</v>
      </c>
      <c r="V468" s="104">
        <f t="shared" si="76"/>
        <v>1</v>
      </c>
      <c r="W468" s="103">
        <f t="shared" si="77"/>
        <v>600</v>
      </c>
      <c r="X468" s="93" t="s">
        <v>89</v>
      </c>
      <c r="Y468" s="105" t="s">
        <v>84</v>
      </c>
      <c r="Z468" s="105" t="s">
        <v>93</v>
      </c>
    </row>
    <row r="469" spans="1:26" s="105" customFormat="1" ht="15" customHeight="1">
      <c r="A469" s="99">
        <f t="shared" si="72"/>
        <v>467</v>
      </c>
      <c r="B469" s="75" t="s">
        <v>1060</v>
      </c>
      <c r="C469" s="100" t="str">
        <f>IF($B469&lt;&gt;"",_xlfn.IFNA(VLOOKUP($B469,'Node Details'!$B:$U,C$1,0),"Check"),"")</f>
        <v>0000AXW03-AXW030104</v>
      </c>
      <c r="D469" s="100" t="str">
        <f>IF($B469&lt;&gt;"",_xlfn.IFNA(VLOOKUP($B469,'Node Details'!$B:$U,D$1,0),"Check"),"")</f>
        <v>AXW</v>
      </c>
      <c r="E469" s="100" t="str">
        <f>IF($B469&lt;&gt;"",_xlfn.IFNA(VLOOKUP($B469,'Node Details'!$B:$U,E$1,0),"Check"),"")</f>
        <v>Airtel</v>
      </c>
      <c r="F469" s="101">
        <v>46114</v>
      </c>
      <c r="G469" s="103"/>
      <c r="H469" s="102" t="s">
        <v>1254</v>
      </c>
      <c r="I469" s="9">
        <v>1</v>
      </c>
      <c r="J469" s="9">
        <v>600</v>
      </c>
      <c r="K469" s="100">
        <f t="shared" si="66"/>
        <v>600</v>
      </c>
      <c r="L469" s="78">
        <v>46112</v>
      </c>
      <c r="M469" s="103"/>
      <c r="N469" s="93" t="s">
        <v>373</v>
      </c>
      <c r="O469" s="94">
        <v>46146</v>
      </c>
      <c r="P469" s="104">
        <f t="shared" si="73"/>
        <v>600</v>
      </c>
      <c r="Q469" s="104">
        <f t="shared" si="74"/>
        <v>600</v>
      </c>
      <c r="R469" s="104"/>
      <c r="S469" s="93" t="s">
        <v>374</v>
      </c>
      <c r="T469" s="94">
        <v>46156</v>
      </c>
      <c r="U469" s="104">
        <f t="shared" si="75"/>
        <v>600</v>
      </c>
      <c r="V469" s="104">
        <f t="shared" si="76"/>
        <v>1</v>
      </c>
      <c r="W469" s="103">
        <f t="shared" si="77"/>
        <v>600</v>
      </c>
      <c r="X469" s="93" t="s">
        <v>89</v>
      </c>
      <c r="Y469" s="105" t="s">
        <v>84</v>
      </c>
      <c r="Z469" s="105" t="s">
        <v>93</v>
      </c>
    </row>
    <row r="470" spans="1:26" s="105" customFormat="1" ht="15" customHeight="1">
      <c r="A470" s="99">
        <f t="shared" si="72"/>
        <v>468</v>
      </c>
      <c r="B470" s="75" t="s">
        <v>1061</v>
      </c>
      <c r="C470" s="100" t="str">
        <f>IF($B470&lt;&gt;"",_xlfn.IFNA(VLOOKUP($B470,'Node Details'!$B:$U,C$1,0),"Check"),"")</f>
        <v>0000AXW03-AXW030104</v>
      </c>
      <c r="D470" s="100" t="str">
        <f>IF($B470&lt;&gt;"",_xlfn.IFNA(VLOOKUP($B470,'Node Details'!$B:$U,D$1,0),"Check"),"")</f>
        <v>AXW</v>
      </c>
      <c r="E470" s="100" t="str">
        <f>IF($B470&lt;&gt;"",_xlfn.IFNA(VLOOKUP($B470,'Node Details'!$B:$U,E$1,0),"Check"),"")</f>
        <v>Airtel</v>
      </c>
      <c r="F470" s="101">
        <v>46114</v>
      </c>
      <c r="G470" s="103"/>
      <c r="H470" s="102" t="s">
        <v>1254</v>
      </c>
      <c r="I470" s="9">
        <v>1</v>
      </c>
      <c r="J470" s="9">
        <v>600</v>
      </c>
      <c r="K470" s="100">
        <f t="shared" si="66"/>
        <v>600</v>
      </c>
      <c r="L470" s="78">
        <v>46112</v>
      </c>
      <c r="M470" s="103"/>
      <c r="N470" s="93" t="s">
        <v>373</v>
      </c>
      <c r="O470" s="94">
        <v>46146</v>
      </c>
      <c r="P470" s="104">
        <f t="shared" si="73"/>
        <v>600</v>
      </c>
      <c r="Q470" s="104">
        <f t="shared" si="74"/>
        <v>600</v>
      </c>
      <c r="R470" s="104"/>
      <c r="S470" s="93" t="s">
        <v>374</v>
      </c>
      <c r="T470" s="94">
        <v>46156</v>
      </c>
      <c r="U470" s="104">
        <f t="shared" si="75"/>
        <v>600</v>
      </c>
      <c r="V470" s="104">
        <f t="shared" si="76"/>
        <v>1</v>
      </c>
      <c r="W470" s="103">
        <f t="shared" si="77"/>
        <v>600</v>
      </c>
      <c r="X470" s="93" t="s">
        <v>89</v>
      </c>
      <c r="Y470" s="105" t="s">
        <v>84</v>
      </c>
      <c r="Z470" s="105" t="s">
        <v>93</v>
      </c>
    </row>
    <row r="471" spans="1:26" s="105" customFormat="1" ht="15" customHeight="1">
      <c r="A471" s="99">
        <f t="shared" si="72"/>
        <v>469</v>
      </c>
      <c r="B471" s="75" t="s">
        <v>408</v>
      </c>
      <c r="C471" s="100" t="str">
        <f>IF($B471&lt;&gt;"",_xlfn.IFNA(VLOOKUP($B471,'Node Details'!$B:$U,C$1,0),"Check"),"")</f>
        <v>0000AXW03-AXW030104</v>
      </c>
      <c r="D471" s="100" t="str">
        <f>IF($B471&lt;&gt;"",_xlfn.IFNA(VLOOKUP($B471,'Node Details'!$B:$U,D$1,0),"Check"),"")</f>
        <v>AXW</v>
      </c>
      <c r="E471" s="100" t="str">
        <f>IF($B471&lt;&gt;"",_xlfn.IFNA(VLOOKUP($B471,'Node Details'!$B:$U,E$1,0),"Check"),"")</f>
        <v>Airtel</v>
      </c>
      <c r="F471" s="101">
        <v>46114</v>
      </c>
      <c r="G471" s="103"/>
      <c r="H471" s="102" t="s">
        <v>1254</v>
      </c>
      <c r="I471" s="9">
        <v>1</v>
      </c>
      <c r="J471" s="9">
        <v>600</v>
      </c>
      <c r="K471" s="100">
        <f t="shared" si="66"/>
        <v>600</v>
      </c>
      <c r="L471" s="78">
        <v>46112</v>
      </c>
      <c r="M471" s="103"/>
      <c r="N471" s="93" t="s">
        <v>373</v>
      </c>
      <c r="O471" s="94">
        <v>46146</v>
      </c>
      <c r="P471" s="104">
        <f t="shared" si="73"/>
        <v>600</v>
      </c>
      <c r="Q471" s="104">
        <f t="shared" si="74"/>
        <v>600</v>
      </c>
      <c r="R471" s="104"/>
      <c r="S471" s="93" t="s">
        <v>374</v>
      </c>
      <c r="T471" s="94">
        <v>46156</v>
      </c>
      <c r="U471" s="104">
        <f t="shared" si="75"/>
        <v>600</v>
      </c>
      <c r="V471" s="104">
        <f t="shared" si="76"/>
        <v>1</v>
      </c>
      <c r="W471" s="103">
        <f t="shared" si="77"/>
        <v>600</v>
      </c>
      <c r="X471" s="93" t="s">
        <v>89</v>
      </c>
      <c r="Y471" s="105" t="s">
        <v>84</v>
      </c>
      <c r="Z471" s="105" t="s">
        <v>93</v>
      </c>
    </row>
    <row r="472" spans="1:26" s="105" customFormat="1" ht="15" customHeight="1">
      <c r="A472" s="99">
        <f t="shared" si="72"/>
        <v>470</v>
      </c>
      <c r="B472" s="75" t="s">
        <v>410</v>
      </c>
      <c r="C472" s="100" t="str">
        <f>IF($B472&lt;&gt;"",_xlfn.IFNA(VLOOKUP($B472,'Node Details'!$B:$U,C$1,0),"Check"),"")</f>
        <v>AXW030104-AXW030105</v>
      </c>
      <c r="D472" s="100" t="str">
        <f>IF($B472&lt;&gt;"",_xlfn.IFNA(VLOOKUP($B472,'Node Details'!$B:$U,D$1,0),"Check"),"")</f>
        <v>AXW</v>
      </c>
      <c r="E472" s="100" t="str">
        <f>IF($B472&lt;&gt;"",_xlfn.IFNA(VLOOKUP($B472,'Node Details'!$B:$U,E$1,0),"Check"),"")</f>
        <v>Airtel</v>
      </c>
      <c r="F472" s="101">
        <v>46114</v>
      </c>
      <c r="G472" s="103"/>
      <c r="H472" s="102" t="s">
        <v>1254</v>
      </c>
      <c r="I472" s="9">
        <v>1</v>
      </c>
      <c r="J472" s="9">
        <v>600</v>
      </c>
      <c r="K472" s="100">
        <f t="shared" si="66"/>
        <v>600</v>
      </c>
      <c r="L472" s="78">
        <v>46112</v>
      </c>
      <c r="M472" s="103"/>
      <c r="N472" s="93" t="s">
        <v>373</v>
      </c>
      <c r="O472" s="94">
        <v>46146</v>
      </c>
      <c r="P472" s="104">
        <f t="shared" si="73"/>
        <v>600</v>
      </c>
      <c r="Q472" s="104">
        <f t="shared" si="74"/>
        <v>600</v>
      </c>
      <c r="R472" s="104"/>
      <c r="S472" s="93" t="s">
        <v>374</v>
      </c>
      <c r="T472" s="94">
        <v>46156</v>
      </c>
      <c r="U472" s="104">
        <f t="shared" si="75"/>
        <v>600</v>
      </c>
      <c r="V472" s="104">
        <f t="shared" si="76"/>
        <v>1</v>
      </c>
      <c r="W472" s="103">
        <f t="shared" si="77"/>
        <v>600</v>
      </c>
      <c r="X472" s="93" t="s">
        <v>89</v>
      </c>
      <c r="Y472" s="105" t="s">
        <v>84</v>
      </c>
      <c r="Z472" s="105" t="s">
        <v>93</v>
      </c>
    </row>
    <row r="473" spans="1:26" s="105" customFormat="1" ht="15" customHeight="1">
      <c r="A473" s="99">
        <f t="shared" si="72"/>
        <v>471</v>
      </c>
      <c r="B473" s="75" t="s">
        <v>1062</v>
      </c>
      <c r="C473" s="100" t="str">
        <f>IF($B473&lt;&gt;"",_xlfn.IFNA(VLOOKUP($B473,'Node Details'!$B:$U,C$1,0),"Check"),"")</f>
        <v>AXW030104-AXW030108</v>
      </c>
      <c r="D473" s="100" t="str">
        <f>IF($B473&lt;&gt;"",_xlfn.IFNA(VLOOKUP($B473,'Node Details'!$B:$U,D$1,0),"Check"),"")</f>
        <v>AXW</v>
      </c>
      <c r="E473" s="100" t="str">
        <f>IF($B473&lt;&gt;"",_xlfn.IFNA(VLOOKUP($B473,'Node Details'!$B:$U,E$1,0),"Check"),"")</f>
        <v>Airtel</v>
      </c>
      <c r="F473" s="101">
        <v>46114</v>
      </c>
      <c r="G473" s="103"/>
      <c r="H473" s="102" t="s">
        <v>1254</v>
      </c>
      <c r="I473" s="9">
        <v>1</v>
      </c>
      <c r="J473" s="9">
        <v>600</v>
      </c>
      <c r="K473" s="100">
        <f t="shared" si="66"/>
        <v>600</v>
      </c>
      <c r="L473" s="78">
        <v>46112</v>
      </c>
      <c r="M473" s="103"/>
      <c r="N473" s="93" t="s">
        <v>373</v>
      </c>
      <c r="O473" s="94">
        <v>46146</v>
      </c>
      <c r="P473" s="104">
        <f t="shared" si="73"/>
        <v>600</v>
      </c>
      <c r="Q473" s="104">
        <f t="shared" si="74"/>
        <v>600</v>
      </c>
      <c r="R473" s="104"/>
      <c r="S473" s="93" t="s">
        <v>374</v>
      </c>
      <c r="T473" s="94">
        <v>46156</v>
      </c>
      <c r="U473" s="104">
        <f t="shared" si="75"/>
        <v>600</v>
      </c>
      <c r="V473" s="104">
        <f t="shared" si="76"/>
        <v>1</v>
      </c>
      <c r="W473" s="103">
        <f t="shared" si="77"/>
        <v>600</v>
      </c>
      <c r="X473" s="93" t="s">
        <v>89</v>
      </c>
      <c r="Y473" s="105" t="s">
        <v>84</v>
      </c>
      <c r="Z473" s="105" t="s">
        <v>93</v>
      </c>
    </row>
    <row r="474" spans="1:26" s="105" customFormat="1" ht="15" customHeight="1">
      <c r="A474" s="99">
        <f t="shared" si="72"/>
        <v>472</v>
      </c>
      <c r="B474" s="75" t="s">
        <v>412</v>
      </c>
      <c r="C474" s="100" t="str">
        <f>IF($B474&lt;&gt;"",_xlfn.IFNA(VLOOKUP($B474,'Node Details'!$B:$U,C$1,0),"Check"),"")</f>
        <v>AXW030104-AXW030108</v>
      </c>
      <c r="D474" s="100" t="str">
        <f>IF($B474&lt;&gt;"",_xlfn.IFNA(VLOOKUP($B474,'Node Details'!$B:$U,D$1,0),"Check"),"")</f>
        <v>AXW</v>
      </c>
      <c r="E474" s="100" t="str">
        <f>IF($B474&lt;&gt;"",_xlfn.IFNA(VLOOKUP($B474,'Node Details'!$B:$U,E$1,0),"Check"),"")</f>
        <v>Airtel</v>
      </c>
      <c r="F474" s="101">
        <v>46114</v>
      </c>
      <c r="G474" s="103"/>
      <c r="H474" s="102" t="s">
        <v>1254</v>
      </c>
      <c r="I474" s="9">
        <v>1</v>
      </c>
      <c r="J474" s="9">
        <v>600</v>
      </c>
      <c r="K474" s="100">
        <f t="shared" si="66"/>
        <v>600</v>
      </c>
      <c r="L474" s="78">
        <v>46112</v>
      </c>
      <c r="M474" s="103"/>
      <c r="N474" s="93" t="s">
        <v>373</v>
      </c>
      <c r="O474" s="94">
        <v>46146</v>
      </c>
      <c r="P474" s="104">
        <f t="shared" si="73"/>
        <v>600</v>
      </c>
      <c r="Q474" s="104">
        <f t="shared" si="74"/>
        <v>600</v>
      </c>
      <c r="R474" s="104"/>
      <c r="S474" s="93" t="s">
        <v>374</v>
      </c>
      <c r="T474" s="94">
        <v>46156</v>
      </c>
      <c r="U474" s="104">
        <f t="shared" si="75"/>
        <v>600</v>
      </c>
      <c r="V474" s="104">
        <f t="shared" si="76"/>
        <v>1</v>
      </c>
      <c r="W474" s="103">
        <f t="shared" si="77"/>
        <v>600</v>
      </c>
      <c r="X474" s="93" t="s">
        <v>89</v>
      </c>
      <c r="Y474" s="105" t="s">
        <v>84</v>
      </c>
      <c r="Z474" s="105" t="s">
        <v>93</v>
      </c>
    </row>
    <row r="475" spans="1:26" s="105" customFormat="1" ht="15" customHeight="1">
      <c r="A475" s="99">
        <f t="shared" si="72"/>
        <v>473</v>
      </c>
      <c r="B475" s="75" t="s">
        <v>1063</v>
      </c>
      <c r="C475" s="100" t="str">
        <f>IF($B475&lt;&gt;"",_xlfn.IFNA(VLOOKUP($B475,'Node Details'!$B:$U,C$1,0),"Check"),"")</f>
        <v>0000AXW04-AXW040102</v>
      </c>
      <c r="D475" s="100" t="str">
        <f>IF($B475&lt;&gt;"",_xlfn.IFNA(VLOOKUP($B475,'Node Details'!$B:$U,D$1,0),"Check"),"")</f>
        <v>AXW</v>
      </c>
      <c r="E475" s="100" t="str">
        <f>IF($B475&lt;&gt;"",_xlfn.IFNA(VLOOKUP($B475,'Node Details'!$B:$U,E$1,0),"Check"),"")</f>
        <v>Airtel</v>
      </c>
      <c r="F475" s="101">
        <v>46114</v>
      </c>
      <c r="G475" s="103"/>
      <c r="H475" s="102" t="s">
        <v>1254</v>
      </c>
      <c r="I475" s="9">
        <v>1</v>
      </c>
      <c r="J475" s="9">
        <v>600</v>
      </c>
      <c r="K475" s="100">
        <f t="shared" si="66"/>
        <v>600</v>
      </c>
      <c r="L475" s="78">
        <v>46112</v>
      </c>
      <c r="M475" s="103"/>
      <c r="N475" s="93" t="s">
        <v>373</v>
      </c>
      <c r="O475" s="94">
        <v>46146</v>
      </c>
      <c r="P475" s="104">
        <f t="shared" si="73"/>
        <v>600</v>
      </c>
      <c r="Q475" s="104">
        <f t="shared" si="74"/>
        <v>600</v>
      </c>
      <c r="R475" s="104"/>
      <c r="S475" s="93" t="s">
        <v>374</v>
      </c>
      <c r="T475" s="94">
        <v>46156</v>
      </c>
      <c r="U475" s="104">
        <f t="shared" si="75"/>
        <v>600</v>
      </c>
      <c r="V475" s="104">
        <f t="shared" si="76"/>
        <v>1</v>
      </c>
      <c r="W475" s="103">
        <f t="shared" si="77"/>
        <v>600</v>
      </c>
      <c r="X475" s="93" t="s">
        <v>89</v>
      </c>
      <c r="Y475" s="105" t="s">
        <v>84</v>
      </c>
      <c r="Z475" s="105" t="s">
        <v>93</v>
      </c>
    </row>
    <row r="476" spans="1:26" s="105" customFormat="1" ht="15" customHeight="1">
      <c r="A476" s="99">
        <f t="shared" si="72"/>
        <v>474</v>
      </c>
      <c r="B476" s="75" t="s">
        <v>415</v>
      </c>
      <c r="C476" s="100" t="str">
        <f>IF($B476&lt;&gt;"",_xlfn.IFNA(VLOOKUP($B476,'Node Details'!$B:$U,C$1,0),"Check"),"")</f>
        <v>0000AXW04-AXW040102</v>
      </c>
      <c r="D476" s="100" t="str">
        <f>IF($B476&lt;&gt;"",_xlfn.IFNA(VLOOKUP($B476,'Node Details'!$B:$U,D$1,0),"Check"),"")</f>
        <v>AXW</v>
      </c>
      <c r="E476" s="100" t="str">
        <f>IF($B476&lt;&gt;"",_xlfn.IFNA(VLOOKUP($B476,'Node Details'!$B:$U,E$1,0),"Check"),"")</f>
        <v>Airtel</v>
      </c>
      <c r="F476" s="101">
        <v>46114</v>
      </c>
      <c r="G476" s="103"/>
      <c r="H476" s="102" t="s">
        <v>1254</v>
      </c>
      <c r="I476" s="9">
        <v>1</v>
      </c>
      <c r="J476" s="9">
        <v>600</v>
      </c>
      <c r="K476" s="100">
        <f t="shared" si="66"/>
        <v>600</v>
      </c>
      <c r="L476" s="78">
        <v>46112</v>
      </c>
      <c r="M476" s="103"/>
      <c r="N476" s="93" t="s">
        <v>373</v>
      </c>
      <c r="O476" s="94">
        <v>46146</v>
      </c>
      <c r="P476" s="104">
        <f t="shared" si="73"/>
        <v>600</v>
      </c>
      <c r="Q476" s="104">
        <f t="shared" si="74"/>
        <v>600</v>
      </c>
      <c r="R476" s="104"/>
      <c r="S476" s="93" t="s">
        <v>374</v>
      </c>
      <c r="T476" s="94">
        <v>46156</v>
      </c>
      <c r="U476" s="104">
        <f t="shared" si="75"/>
        <v>600</v>
      </c>
      <c r="V476" s="104">
        <f t="shared" si="76"/>
        <v>1</v>
      </c>
      <c r="W476" s="103">
        <f t="shared" si="77"/>
        <v>600</v>
      </c>
      <c r="X476" s="93" t="s">
        <v>89</v>
      </c>
      <c r="Y476" s="105" t="s">
        <v>84</v>
      </c>
      <c r="Z476" s="105" t="s">
        <v>93</v>
      </c>
    </row>
    <row r="477" spans="1:26" s="105" customFormat="1" ht="15" customHeight="1">
      <c r="A477" s="99">
        <f t="shared" si="72"/>
        <v>475</v>
      </c>
      <c r="B477" s="75" t="s">
        <v>1064</v>
      </c>
      <c r="C477" s="100" t="str">
        <f>IF($B477&lt;&gt;"",_xlfn.IFNA(VLOOKUP($B477,'Node Details'!$B:$U,C$1,0),"Check"),"")</f>
        <v>0000AXW04-AXW040105</v>
      </c>
      <c r="D477" s="100" t="str">
        <f>IF($B477&lt;&gt;"",_xlfn.IFNA(VLOOKUP($B477,'Node Details'!$B:$U,D$1,0),"Check"),"")</f>
        <v>AXW</v>
      </c>
      <c r="E477" s="100" t="str">
        <f>IF($B477&lt;&gt;"",_xlfn.IFNA(VLOOKUP($B477,'Node Details'!$B:$U,E$1,0),"Check"),"")</f>
        <v>Airtel</v>
      </c>
      <c r="F477" s="101">
        <v>46114</v>
      </c>
      <c r="G477" s="103"/>
      <c r="H477" s="102" t="s">
        <v>1254</v>
      </c>
      <c r="I477" s="9">
        <v>1</v>
      </c>
      <c r="J477" s="9">
        <v>600</v>
      </c>
      <c r="K477" s="100">
        <f t="shared" si="66"/>
        <v>600</v>
      </c>
      <c r="L477" s="78">
        <v>46112</v>
      </c>
      <c r="M477" s="103"/>
      <c r="N477" s="93" t="s">
        <v>373</v>
      </c>
      <c r="O477" s="94">
        <v>46146</v>
      </c>
      <c r="P477" s="104">
        <f t="shared" si="73"/>
        <v>600</v>
      </c>
      <c r="Q477" s="104">
        <f t="shared" si="74"/>
        <v>600</v>
      </c>
      <c r="R477" s="104"/>
      <c r="S477" s="93" t="s">
        <v>374</v>
      </c>
      <c r="T477" s="94">
        <v>46156</v>
      </c>
      <c r="U477" s="104">
        <f t="shared" si="75"/>
        <v>600</v>
      </c>
      <c r="V477" s="104">
        <f t="shared" si="76"/>
        <v>1</v>
      </c>
      <c r="W477" s="103">
        <f t="shared" si="77"/>
        <v>600</v>
      </c>
      <c r="X477" s="93" t="s">
        <v>89</v>
      </c>
      <c r="Y477" s="105" t="s">
        <v>84</v>
      </c>
      <c r="Z477" s="105" t="s">
        <v>93</v>
      </c>
    </row>
    <row r="478" spans="1:26" s="105" customFormat="1" ht="15" customHeight="1">
      <c r="A478" s="99">
        <f t="shared" si="72"/>
        <v>476</v>
      </c>
      <c r="B478" s="75" t="s">
        <v>417</v>
      </c>
      <c r="C478" s="100" t="str">
        <f>IF($B478&lt;&gt;"",_xlfn.IFNA(VLOOKUP($B478,'Node Details'!$B:$U,C$1,0),"Check"),"")</f>
        <v>0000AXW04-AXW040105</v>
      </c>
      <c r="D478" s="100" t="str">
        <f>IF($B478&lt;&gt;"",_xlfn.IFNA(VLOOKUP($B478,'Node Details'!$B:$U,D$1,0),"Check"),"")</f>
        <v>AXW</v>
      </c>
      <c r="E478" s="100" t="str">
        <f>IF($B478&lt;&gt;"",_xlfn.IFNA(VLOOKUP($B478,'Node Details'!$B:$U,E$1,0),"Check"),"")</f>
        <v>Airtel</v>
      </c>
      <c r="F478" s="101">
        <v>46114</v>
      </c>
      <c r="G478" s="103"/>
      <c r="H478" s="102" t="s">
        <v>1254</v>
      </c>
      <c r="I478" s="9">
        <v>1</v>
      </c>
      <c r="J478" s="9">
        <v>600</v>
      </c>
      <c r="K478" s="100">
        <f t="shared" si="66"/>
        <v>600</v>
      </c>
      <c r="L478" s="78">
        <v>46112</v>
      </c>
      <c r="M478" s="103"/>
      <c r="N478" s="93" t="s">
        <v>373</v>
      </c>
      <c r="O478" s="94">
        <v>46146</v>
      </c>
      <c r="P478" s="104">
        <f t="shared" si="73"/>
        <v>600</v>
      </c>
      <c r="Q478" s="104">
        <f t="shared" si="74"/>
        <v>600</v>
      </c>
      <c r="R478" s="104"/>
      <c r="S478" s="93" t="s">
        <v>374</v>
      </c>
      <c r="T478" s="94">
        <v>46156</v>
      </c>
      <c r="U478" s="104">
        <f t="shared" si="75"/>
        <v>600</v>
      </c>
      <c r="V478" s="104">
        <f t="shared" si="76"/>
        <v>1</v>
      </c>
      <c r="W478" s="103">
        <f t="shared" si="77"/>
        <v>600</v>
      </c>
      <c r="X478" s="93" t="s">
        <v>89</v>
      </c>
      <c r="Y478" s="105" t="s">
        <v>84</v>
      </c>
      <c r="Z478" s="105" t="s">
        <v>93</v>
      </c>
    </row>
    <row r="479" spans="1:26" s="105" customFormat="1" ht="15" customHeight="1">
      <c r="A479" s="99">
        <f t="shared" si="72"/>
        <v>477</v>
      </c>
      <c r="B479" s="75" t="s">
        <v>1065</v>
      </c>
      <c r="C479" s="100" t="str">
        <f>IF($B479&lt;&gt;"",_xlfn.IFNA(VLOOKUP($B479,'Node Details'!$B:$U,C$1,0),"Check"),"")</f>
        <v>00AXW-FMS-AXW040201</v>
      </c>
      <c r="D479" s="100" t="str">
        <f>IF($B479&lt;&gt;"",_xlfn.IFNA(VLOOKUP($B479,'Node Details'!$B:$U,D$1,0),"Check"),"")</f>
        <v>AXW</v>
      </c>
      <c r="E479" s="100" t="str">
        <f>IF($B479&lt;&gt;"",_xlfn.IFNA(VLOOKUP($B479,'Node Details'!$B:$U,E$1,0),"Check"),"")</f>
        <v>Airtel</v>
      </c>
      <c r="F479" s="101">
        <v>46114</v>
      </c>
      <c r="G479" s="103"/>
      <c r="H479" s="102" t="s">
        <v>1254</v>
      </c>
      <c r="I479" s="9">
        <v>1</v>
      </c>
      <c r="J479" s="9">
        <v>600</v>
      </c>
      <c r="K479" s="100">
        <f t="shared" si="66"/>
        <v>600</v>
      </c>
      <c r="L479" s="78">
        <v>46112</v>
      </c>
      <c r="M479" s="103"/>
      <c r="N479" s="93" t="s">
        <v>373</v>
      </c>
      <c r="O479" s="94">
        <v>46146</v>
      </c>
      <c r="P479" s="104">
        <f t="shared" si="73"/>
        <v>600</v>
      </c>
      <c r="Q479" s="104">
        <f t="shared" si="74"/>
        <v>600</v>
      </c>
      <c r="R479" s="104"/>
      <c r="S479" s="93" t="s">
        <v>374</v>
      </c>
      <c r="T479" s="94">
        <v>46156</v>
      </c>
      <c r="U479" s="104">
        <f t="shared" si="75"/>
        <v>600</v>
      </c>
      <c r="V479" s="104">
        <f t="shared" si="76"/>
        <v>1</v>
      </c>
      <c r="W479" s="103">
        <f t="shared" si="77"/>
        <v>600</v>
      </c>
      <c r="X479" s="93" t="s">
        <v>89</v>
      </c>
      <c r="Y479" s="105" t="s">
        <v>84</v>
      </c>
      <c r="Z479" s="105" t="s">
        <v>93</v>
      </c>
    </row>
    <row r="480" spans="1:26" s="105" customFormat="1" ht="15" customHeight="1">
      <c r="A480" s="99">
        <f t="shared" si="72"/>
        <v>478</v>
      </c>
      <c r="B480" s="75" t="s">
        <v>1066</v>
      </c>
      <c r="C480" s="100" t="str">
        <f>IF($B480&lt;&gt;"",_xlfn.IFNA(VLOOKUP($B480,'Node Details'!$B:$U,C$1,0),"Check"),"")</f>
        <v>00AXW-FMS-AXW040201</v>
      </c>
      <c r="D480" s="100" t="str">
        <f>IF($B480&lt;&gt;"",_xlfn.IFNA(VLOOKUP($B480,'Node Details'!$B:$U,D$1,0),"Check"),"")</f>
        <v>AXW</v>
      </c>
      <c r="E480" s="100" t="str">
        <f>IF($B480&lt;&gt;"",_xlfn.IFNA(VLOOKUP($B480,'Node Details'!$B:$U,E$1,0),"Check"),"")</f>
        <v>Airtel</v>
      </c>
      <c r="F480" s="101">
        <v>46114</v>
      </c>
      <c r="G480" s="103"/>
      <c r="H480" s="102" t="s">
        <v>1254</v>
      </c>
      <c r="I480" s="9">
        <v>1</v>
      </c>
      <c r="J480" s="9">
        <v>600</v>
      </c>
      <c r="K480" s="100">
        <f t="shared" si="66"/>
        <v>600</v>
      </c>
      <c r="L480" s="78">
        <v>46112</v>
      </c>
      <c r="M480" s="103"/>
      <c r="N480" s="93" t="s">
        <v>373</v>
      </c>
      <c r="O480" s="94">
        <v>46146</v>
      </c>
      <c r="P480" s="104">
        <f t="shared" si="73"/>
        <v>600</v>
      </c>
      <c r="Q480" s="104">
        <f t="shared" si="74"/>
        <v>600</v>
      </c>
      <c r="R480" s="104"/>
      <c r="S480" s="93" t="s">
        <v>374</v>
      </c>
      <c r="T480" s="94">
        <v>46156</v>
      </c>
      <c r="U480" s="104">
        <f t="shared" si="75"/>
        <v>600</v>
      </c>
      <c r="V480" s="104">
        <f t="shared" si="76"/>
        <v>1</v>
      </c>
      <c r="W480" s="103">
        <f t="shared" si="77"/>
        <v>600</v>
      </c>
      <c r="X480" s="93" t="s">
        <v>89</v>
      </c>
      <c r="Y480" s="105" t="s">
        <v>84</v>
      </c>
      <c r="Z480" s="105" t="s">
        <v>93</v>
      </c>
    </row>
    <row r="481" spans="1:26" s="105" customFormat="1" ht="15" customHeight="1">
      <c r="A481" s="99">
        <f t="shared" si="72"/>
        <v>479</v>
      </c>
      <c r="B481" s="75" t="s">
        <v>1067</v>
      </c>
      <c r="C481" s="100" t="str">
        <f>IF($B481&lt;&gt;"",_xlfn.IFNA(VLOOKUP($B481,'Node Details'!$B:$U,C$1,0),"Check"),"")</f>
        <v>00AXW-FMS-AXW040201</v>
      </c>
      <c r="D481" s="100" t="str">
        <f>IF($B481&lt;&gt;"",_xlfn.IFNA(VLOOKUP($B481,'Node Details'!$B:$U,D$1,0),"Check"),"")</f>
        <v>AXW</v>
      </c>
      <c r="E481" s="100" t="str">
        <f>IF($B481&lt;&gt;"",_xlfn.IFNA(VLOOKUP($B481,'Node Details'!$B:$U,E$1,0),"Check"),"")</f>
        <v>Airtel</v>
      </c>
      <c r="F481" s="101">
        <v>46114</v>
      </c>
      <c r="G481" s="103"/>
      <c r="H481" s="102" t="s">
        <v>1254</v>
      </c>
      <c r="I481" s="9">
        <v>1</v>
      </c>
      <c r="J481" s="9">
        <v>600</v>
      </c>
      <c r="K481" s="100">
        <f t="shared" si="66"/>
        <v>600</v>
      </c>
      <c r="L481" s="78">
        <v>46112</v>
      </c>
      <c r="M481" s="103"/>
      <c r="N481" s="93" t="s">
        <v>373</v>
      </c>
      <c r="O481" s="94">
        <v>46146</v>
      </c>
      <c r="P481" s="104">
        <f t="shared" si="73"/>
        <v>600</v>
      </c>
      <c r="Q481" s="104">
        <f t="shared" si="74"/>
        <v>600</v>
      </c>
      <c r="R481" s="104"/>
      <c r="S481" s="93" t="s">
        <v>374</v>
      </c>
      <c r="T481" s="94">
        <v>46156</v>
      </c>
      <c r="U481" s="104">
        <f t="shared" si="75"/>
        <v>600</v>
      </c>
      <c r="V481" s="104">
        <f t="shared" si="76"/>
        <v>1</v>
      </c>
      <c r="W481" s="103">
        <f t="shared" si="77"/>
        <v>600</v>
      </c>
      <c r="X481" s="93" t="s">
        <v>89</v>
      </c>
      <c r="Y481" s="105" t="s">
        <v>84</v>
      </c>
      <c r="Z481" s="105" t="s">
        <v>93</v>
      </c>
    </row>
    <row r="482" spans="1:26" s="105" customFormat="1" ht="15" customHeight="1">
      <c r="A482" s="99">
        <f t="shared" si="72"/>
        <v>480</v>
      </c>
      <c r="B482" s="75" t="s">
        <v>420</v>
      </c>
      <c r="C482" s="100" t="str">
        <f>IF($B482&lt;&gt;"",_xlfn.IFNA(VLOOKUP($B482,'Node Details'!$B:$U,C$1,0),"Check"),"")</f>
        <v>00AXW-FMS-AXW040201</v>
      </c>
      <c r="D482" s="100" t="str">
        <f>IF($B482&lt;&gt;"",_xlfn.IFNA(VLOOKUP($B482,'Node Details'!$B:$U,D$1,0),"Check"),"")</f>
        <v>AXW</v>
      </c>
      <c r="E482" s="100" t="str">
        <f>IF($B482&lt;&gt;"",_xlfn.IFNA(VLOOKUP($B482,'Node Details'!$B:$U,E$1,0),"Check"),"")</f>
        <v>Airtel</v>
      </c>
      <c r="F482" s="101">
        <v>46114</v>
      </c>
      <c r="G482" s="103"/>
      <c r="H482" s="102" t="s">
        <v>1254</v>
      </c>
      <c r="I482" s="9">
        <v>1</v>
      </c>
      <c r="J482" s="9">
        <v>600</v>
      </c>
      <c r="K482" s="100">
        <f t="shared" si="66"/>
        <v>600</v>
      </c>
      <c r="L482" s="78">
        <v>46112</v>
      </c>
      <c r="M482" s="103"/>
      <c r="N482" s="93" t="s">
        <v>373</v>
      </c>
      <c r="O482" s="94">
        <v>46146</v>
      </c>
      <c r="P482" s="104">
        <f t="shared" si="73"/>
        <v>600</v>
      </c>
      <c r="Q482" s="104">
        <f t="shared" si="74"/>
        <v>600</v>
      </c>
      <c r="R482" s="104"/>
      <c r="S482" s="93" t="s">
        <v>374</v>
      </c>
      <c r="T482" s="94">
        <v>46156</v>
      </c>
      <c r="U482" s="104">
        <f t="shared" si="75"/>
        <v>600</v>
      </c>
      <c r="V482" s="104">
        <f t="shared" si="76"/>
        <v>1</v>
      </c>
      <c r="W482" s="103">
        <f t="shared" si="77"/>
        <v>600</v>
      </c>
      <c r="X482" s="93" t="s">
        <v>89</v>
      </c>
      <c r="Y482" s="105" t="s">
        <v>84</v>
      </c>
      <c r="Z482" s="105" t="s">
        <v>93</v>
      </c>
    </row>
    <row r="483" spans="1:26" s="105" customFormat="1" ht="15" customHeight="1">
      <c r="A483" s="99">
        <f t="shared" si="72"/>
        <v>481</v>
      </c>
      <c r="B483" s="75" t="s">
        <v>422</v>
      </c>
      <c r="C483" s="100" t="str">
        <f>IF($B483&lt;&gt;"",_xlfn.IFNA(VLOOKUP($B483,'Node Details'!$B:$U,C$1,0),"Check"),"")</f>
        <v>00AXW-FMS-AXW040202</v>
      </c>
      <c r="D483" s="100" t="str">
        <f>IF($B483&lt;&gt;"",_xlfn.IFNA(VLOOKUP($B483,'Node Details'!$B:$U,D$1,0),"Check"),"")</f>
        <v>AXW</v>
      </c>
      <c r="E483" s="100" t="str">
        <f>IF($B483&lt;&gt;"",_xlfn.IFNA(VLOOKUP($B483,'Node Details'!$B:$U,E$1,0),"Check"),"")</f>
        <v>Airtel</v>
      </c>
      <c r="F483" s="101">
        <v>46114</v>
      </c>
      <c r="G483" s="103"/>
      <c r="H483" s="102" t="s">
        <v>1254</v>
      </c>
      <c r="I483" s="9">
        <v>1</v>
      </c>
      <c r="J483" s="9">
        <v>600</v>
      </c>
      <c r="K483" s="100">
        <f t="shared" si="66"/>
        <v>600</v>
      </c>
      <c r="L483" s="78">
        <v>46112</v>
      </c>
      <c r="M483" s="103"/>
      <c r="N483" s="93" t="s">
        <v>373</v>
      </c>
      <c r="O483" s="94">
        <v>46146</v>
      </c>
      <c r="P483" s="104">
        <f t="shared" si="73"/>
        <v>600</v>
      </c>
      <c r="Q483" s="104">
        <f t="shared" si="74"/>
        <v>600</v>
      </c>
      <c r="R483" s="104"/>
      <c r="S483" s="93" t="s">
        <v>374</v>
      </c>
      <c r="T483" s="94">
        <v>46156</v>
      </c>
      <c r="U483" s="104">
        <f t="shared" si="75"/>
        <v>600</v>
      </c>
      <c r="V483" s="104">
        <f t="shared" si="76"/>
        <v>1</v>
      </c>
      <c r="W483" s="103">
        <f t="shared" si="77"/>
        <v>600</v>
      </c>
      <c r="X483" s="93" t="s">
        <v>89</v>
      </c>
      <c r="Y483" s="105" t="s">
        <v>84</v>
      </c>
      <c r="Z483" s="105" t="s">
        <v>93</v>
      </c>
    </row>
    <row r="484" spans="1:26" s="105" customFormat="1" ht="15" customHeight="1">
      <c r="A484" s="99">
        <f t="shared" si="72"/>
        <v>482</v>
      </c>
      <c r="B484" s="75" t="s">
        <v>424</v>
      </c>
      <c r="C484" s="100" t="str">
        <f>IF($B484&lt;&gt;"",_xlfn.IFNA(VLOOKUP($B484,'Node Details'!$B:$U,C$1,0),"Check"),"")</f>
        <v>0000AXW05-AXW050101</v>
      </c>
      <c r="D484" s="100" t="str">
        <f>IF($B484&lt;&gt;"",_xlfn.IFNA(VLOOKUP($B484,'Node Details'!$B:$U,D$1,0),"Check"),"")</f>
        <v>AXW</v>
      </c>
      <c r="E484" s="100" t="str">
        <f>IF($B484&lt;&gt;"",_xlfn.IFNA(VLOOKUP($B484,'Node Details'!$B:$U,E$1,0),"Check"),"")</f>
        <v>Airtel</v>
      </c>
      <c r="F484" s="101">
        <v>46114</v>
      </c>
      <c r="G484" s="103"/>
      <c r="H484" s="102" t="s">
        <v>1254</v>
      </c>
      <c r="I484" s="9">
        <v>1</v>
      </c>
      <c r="J484" s="9">
        <v>600</v>
      </c>
      <c r="K484" s="100">
        <f t="shared" si="66"/>
        <v>600</v>
      </c>
      <c r="L484" s="78">
        <v>46112</v>
      </c>
      <c r="M484" s="103"/>
      <c r="N484" s="93" t="s">
        <v>373</v>
      </c>
      <c r="O484" s="94">
        <v>46146</v>
      </c>
      <c r="P484" s="104">
        <f t="shared" si="73"/>
        <v>600</v>
      </c>
      <c r="Q484" s="104">
        <f t="shared" si="74"/>
        <v>600</v>
      </c>
      <c r="R484" s="104"/>
      <c r="S484" s="93" t="s">
        <v>374</v>
      </c>
      <c r="T484" s="94">
        <v>46156</v>
      </c>
      <c r="U484" s="104">
        <f t="shared" si="75"/>
        <v>600</v>
      </c>
      <c r="V484" s="104">
        <f t="shared" si="76"/>
        <v>1</v>
      </c>
      <c r="W484" s="103">
        <f t="shared" si="77"/>
        <v>600</v>
      </c>
      <c r="X484" s="93" t="s">
        <v>89</v>
      </c>
      <c r="Y484" s="105" t="s">
        <v>84</v>
      </c>
      <c r="Z484" s="105" t="s">
        <v>93</v>
      </c>
    </row>
    <row r="485" spans="1:26" s="105" customFormat="1" ht="15" customHeight="1">
      <c r="A485" s="99">
        <f t="shared" si="72"/>
        <v>483</v>
      </c>
      <c r="B485" s="75" t="s">
        <v>426</v>
      </c>
      <c r="C485" s="100" t="str">
        <f>IF($B485&lt;&gt;"",_xlfn.IFNA(VLOOKUP($B485,'Node Details'!$B:$U,C$1,0),"Check"),"")</f>
        <v>0000AXW05-AXW050102</v>
      </c>
      <c r="D485" s="100" t="str">
        <f>IF($B485&lt;&gt;"",_xlfn.IFNA(VLOOKUP($B485,'Node Details'!$B:$U,D$1,0),"Check"),"")</f>
        <v>AXW</v>
      </c>
      <c r="E485" s="100" t="str">
        <f>IF($B485&lt;&gt;"",_xlfn.IFNA(VLOOKUP($B485,'Node Details'!$B:$U,E$1,0),"Check"),"")</f>
        <v>Airtel</v>
      </c>
      <c r="F485" s="101">
        <v>46114</v>
      </c>
      <c r="G485" s="103"/>
      <c r="H485" s="102" t="s">
        <v>1254</v>
      </c>
      <c r="I485" s="9">
        <v>1</v>
      </c>
      <c r="J485" s="9">
        <v>600</v>
      </c>
      <c r="K485" s="100">
        <f t="shared" si="66"/>
        <v>600</v>
      </c>
      <c r="L485" s="78">
        <v>46112</v>
      </c>
      <c r="M485" s="103"/>
      <c r="N485" s="93" t="s">
        <v>373</v>
      </c>
      <c r="O485" s="94">
        <v>46146</v>
      </c>
      <c r="P485" s="104">
        <f t="shared" si="73"/>
        <v>600</v>
      </c>
      <c r="Q485" s="104">
        <f t="shared" si="74"/>
        <v>600</v>
      </c>
      <c r="R485" s="104"/>
      <c r="S485" s="93" t="s">
        <v>374</v>
      </c>
      <c r="T485" s="94">
        <v>46156</v>
      </c>
      <c r="U485" s="104">
        <f t="shared" si="75"/>
        <v>600</v>
      </c>
      <c r="V485" s="104">
        <f t="shared" si="76"/>
        <v>1</v>
      </c>
      <c r="W485" s="103">
        <f t="shared" si="77"/>
        <v>600</v>
      </c>
      <c r="X485" s="93" t="s">
        <v>89</v>
      </c>
      <c r="Y485" s="105" t="s">
        <v>84</v>
      </c>
      <c r="Z485" s="105" t="s">
        <v>93</v>
      </c>
    </row>
    <row r="486" spans="1:26" s="105" customFormat="1" ht="15" customHeight="1">
      <c r="A486" s="99">
        <f t="shared" si="72"/>
        <v>484</v>
      </c>
      <c r="B486" s="75" t="s">
        <v>428</v>
      </c>
      <c r="C486" s="100" t="str">
        <f>IF($B486&lt;&gt;"",_xlfn.IFNA(VLOOKUP($B486,'Node Details'!$B:$U,C$1,0),"Check"),"")</f>
        <v>0000AXW05-AXW050105</v>
      </c>
      <c r="D486" s="100" t="str">
        <f>IF($B486&lt;&gt;"",_xlfn.IFNA(VLOOKUP($B486,'Node Details'!$B:$U,D$1,0),"Check"),"")</f>
        <v>AXW</v>
      </c>
      <c r="E486" s="100" t="str">
        <f>IF($B486&lt;&gt;"",_xlfn.IFNA(VLOOKUP($B486,'Node Details'!$B:$U,E$1,0),"Check"),"")</f>
        <v>Airtel</v>
      </c>
      <c r="F486" s="101">
        <v>46114</v>
      </c>
      <c r="G486" s="103"/>
      <c r="H486" s="102" t="s">
        <v>1254</v>
      </c>
      <c r="I486" s="9">
        <v>1</v>
      </c>
      <c r="J486" s="9">
        <v>600</v>
      </c>
      <c r="K486" s="100">
        <f t="shared" si="66"/>
        <v>600</v>
      </c>
      <c r="L486" s="78">
        <v>46112</v>
      </c>
      <c r="M486" s="103"/>
      <c r="N486" s="93" t="s">
        <v>373</v>
      </c>
      <c r="O486" s="94">
        <v>46146</v>
      </c>
      <c r="P486" s="104">
        <f t="shared" si="73"/>
        <v>600</v>
      </c>
      <c r="Q486" s="104">
        <f t="shared" si="74"/>
        <v>600</v>
      </c>
      <c r="R486" s="104"/>
      <c r="S486" s="93" t="s">
        <v>374</v>
      </c>
      <c r="T486" s="94">
        <v>46156</v>
      </c>
      <c r="U486" s="104">
        <f t="shared" si="75"/>
        <v>600</v>
      </c>
      <c r="V486" s="104">
        <f t="shared" si="76"/>
        <v>1</v>
      </c>
      <c r="W486" s="103">
        <f t="shared" si="77"/>
        <v>600</v>
      </c>
      <c r="X486" s="93" t="s">
        <v>89</v>
      </c>
      <c r="Y486" s="105" t="s">
        <v>84</v>
      </c>
      <c r="Z486" s="105" t="s">
        <v>93</v>
      </c>
    </row>
    <row r="487" spans="1:26" s="105" customFormat="1" ht="15" customHeight="1">
      <c r="A487" s="99">
        <f t="shared" si="72"/>
        <v>485</v>
      </c>
      <c r="B487" s="75" t="s">
        <v>1068</v>
      </c>
      <c r="C487" s="100" t="str">
        <f>IF($B487&lt;&gt;"",_xlfn.IFNA(VLOOKUP($B487,'Node Details'!$B:$U,C$1,0),"Check"),"")</f>
        <v>0000AXW05-AXW050204</v>
      </c>
      <c r="D487" s="100" t="str">
        <f>IF($B487&lt;&gt;"",_xlfn.IFNA(VLOOKUP($B487,'Node Details'!$B:$U,D$1,0),"Check"),"")</f>
        <v>AXW</v>
      </c>
      <c r="E487" s="100" t="str">
        <f>IF($B487&lt;&gt;"",_xlfn.IFNA(VLOOKUP($B487,'Node Details'!$B:$U,E$1,0),"Check"),"")</f>
        <v>Airtel</v>
      </c>
      <c r="F487" s="101">
        <v>46114</v>
      </c>
      <c r="G487" s="103"/>
      <c r="H487" s="102" t="s">
        <v>1254</v>
      </c>
      <c r="I487" s="9">
        <v>1</v>
      </c>
      <c r="J487" s="9">
        <v>600</v>
      </c>
      <c r="K487" s="100">
        <f t="shared" si="66"/>
        <v>600</v>
      </c>
      <c r="L487" s="78">
        <v>46112</v>
      </c>
      <c r="M487" s="103"/>
      <c r="N487" s="93" t="s">
        <v>373</v>
      </c>
      <c r="O487" s="94">
        <v>46146</v>
      </c>
      <c r="P487" s="104">
        <f t="shared" si="73"/>
        <v>600</v>
      </c>
      <c r="Q487" s="104">
        <f t="shared" si="74"/>
        <v>600</v>
      </c>
      <c r="R487" s="104"/>
      <c r="S487" s="93" t="s">
        <v>374</v>
      </c>
      <c r="T487" s="94">
        <v>46156</v>
      </c>
      <c r="U487" s="104">
        <f t="shared" si="75"/>
        <v>600</v>
      </c>
      <c r="V487" s="104">
        <f t="shared" si="76"/>
        <v>1</v>
      </c>
      <c r="W487" s="103">
        <f t="shared" si="77"/>
        <v>600</v>
      </c>
      <c r="X487" s="93" t="s">
        <v>89</v>
      </c>
      <c r="Y487" s="105" t="s">
        <v>84</v>
      </c>
      <c r="Z487" s="105" t="s">
        <v>93</v>
      </c>
    </row>
    <row r="488" spans="1:26" s="105" customFormat="1" ht="15" customHeight="1">
      <c r="A488" s="99">
        <f t="shared" si="72"/>
        <v>486</v>
      </c>
      <c r="B488" s="75" t="s">
        <v>1069</v>
      </c>
      <c r="C488" s="100" t="str">
        <f>IF($B488&lt;&gt;"",_xlfn.IFNA(VLOOKUP($B488,'Node Details'!$B:$U,C$1,0),"Check"),"")</f>
        <v>0000AXW05-AXW050204</v>
      </c>
      <c r="D488" s="100" t="str">
        <f>IF($B488&lt;&gt;"",_xlfn.IFNA(VLOOKUP($B488,'Node Details'!$B:$U,D$1,0),"Check"),"")</f>
        <v>AXW</v>
      </c>
      <c r="E488" s="100" t="str">
        <f>IF($B488&lt;&gt;"",_xlfn.IFNA(VLOOKUP($B488,'Node Details'!$B:$U,E$1,0),"Check"),"")</f>
        <v>Airtel</v>
      </c>
      <c r="F488" s="101">
        <v>46114</v>
      </c>
      <c r="G488" s="103"/>
      <c r="H488" s="102" t="s">
        <v>1254</v>
      </c>
      <c r="I488" s="9">
        <v>1</v>
      </c>
      <c r="J488" s="9">
        <v>600</v>
      </c>
      <c r="K488" s="100">
        <f t="shared" si="66"/>
        <v>600</v>
      </c>
      <c r="L488" s="78">
        <v>46112</v>
      </c>
      <c r="M488" s="103"/>
      <c r="N488" s="93" t="s">
        <v>373</v>
      </c>
      <c r="O488" s="94">
        <v>46146</v>
      </c>
      <c r="P488" s="104">
        <f t="shared" si="73"/>
        <v>600</v>
      </c>
      <c r="Q488" s="104">
        <f t="shared" si="74"/>
        <v>600</v>
      </c>
      <c r="R488" s="104"/>
      <c r="S488" s="93" t="s">
        <v>374</v>
      </c>
      <c r="T488" s="94">
        <v>46156</v>
      </c>
      <c r="U488" s="104">
        <f t="shared" si="75"/>
        <v>600</v>
      </c>
      <c r="V488" s="104">
        <f t="shared" si="76"/>
        <v>1</v>
      </c>
      <c r="W488" s="103">
        <f t="shared" si="77"/>
        <v>600</v>
      </c>
      <c r="X488" s="93" t="s">
        <v>89</v>
      </c>
      <c r="Y488" s="105" t="s">
        <v>84</v>
      </c>
      <c r="Z488" s="105" t="s">
        <v>93</v>
      </c>
    </row>
    <row r="489" spans="1:26" s="105" customFormat="1" ht="15" customHeight="1">
      <c r="A489" s="99">
        <f t="shared" si="72"/>
        <v>487</v>
      </c>
      <c r="B489" s="75" t="s">
        <v>1070</v>
      </c>
      <c r="C489" s="100" t="str">
        <f>IF($B489&lt;&gt;"",_xlfn.IFNA(VLOOKUP($B489,'Node Details'!$B:$U,C$1,0),"Check"),"")</f>
        <v>0000AXW05-AXW050204</v>
      </c>
      <c r="D489" s="100" t="str">
        <f>IF($B489&lt;&gt;"",_xlfn.IFNA(VLOOKUP($B489,'Node Details'!$B:$U,D$1,0),"Check"),"")</f>
        <v>AXW</v>
      </c>
      <c r="E489" s="100" t="str">
        <f>IF($B489&lt;&gt;"",_xlfn.IFNA(VLOOKUP($B489,'Node Details'!$B:$U,E$1,0),"Check"),"")</f>
        <v>Airtel</v>
      </c>
      <c r="F489" s="101">
        <v>46114</v>
      </c>
      <c r="G489" s="103"/>
      <c r="H489" s="102" t="s">
        <v>1254</v>
      </c>
      <c r="I489" s="9">
        <v>1</v>
      </c>
      <c r="J489" s="9">
        <v>600</v>
      </c>
      <c r="K489" s="100">
        <f t="shared" si="66"/>
        <v>600</v>
      </c>
      <c r="L489" s="78">
        <v>46112</v>
      </c>
      <c r="M489" s="103"/>
      <c r="N489" s="93" t="s">
        <v>373</v>
      </c>
      <c r="O489" s="94">
        <v>46146</v>
      </c>
      <c r="P489" s="104">
        <f t="shared" si="73"/>
        <v>600</v>
      </c>
      <c r="Q489" s="104">
        <f t="shared" si="74"/>
        <v>600</v>
      </c>
      <c r="R489" s="104"/>
      <c r="S489" s="93" t="s">
        <v>374</v>
      </c>
      <c r="T489" s="94">
        <v>46156</v>
      </c>
      <c r="U489" s="104">
        <f t="shared" si="75"/>
        <v>600</v>
      </c>
      <c r="V489" s="104">
        <f t="shared" si="76"/>
        <v>1</v>
      </c>
      <c r="W489" s="103">
        <f t="shared" si="77"/>
        <v>600</v>
      </c>
      <c r="X489" s="93" t="s">
        <v>89</v>
      </c>
      <c r="Y489" s="105" t="s">
        <v>84</v>
      </c>
      <c r="Z489" s="105" t="s">
        <v>93</v>
      </c>
    </row>
    <row r="490" spans="1:26" s="105" customFormat="1" ht="15" customHeight="1">
      <c r="A490" s="99">
        <f t="shared" si="72"/>
        <v>488</v>
      </c>
      <c r="B490" s="75" t="s">
        <v>1071</v>
      </c>
      <c r="C490" s="100" t="str">
        <f>IF($B490&lt;&gt;"",_xlfn.IFNA(VLOOKUP($B490,'Node Details'!$B:$U,C$1,0),"Check"),"")</f>
        <v>0000AXW05-AXW050204</v>
      </c>
      <c r="D490" s="100" t="str">
        <f>IF($B490&lt;&gt;"",_xlfn.IFNA(VLOOKUP($B490,'Node Details'!$B:$U,D$1,0),"Check"),"")</f>
        <v>AXW</v>
      </c>
      <c r="E490" s="100" t="str">
        <f>IF($B490&lt;&gt;"",_xlfn.IFNA(VLOOKUP($B490,'Node Details'!$B:$U,E$1,0),"Check"),"")</f>
        <v>Airtel</v>
      </c>
      <c r="F490" s="101">
        <v>46114</v>
      </c>
      <c r="G490" s="103"/>
      <c r="H490" s="102" t="s">
        <v>1254</v>
      </c>
      <c r="I490" s="9">
        <v>1</v>
      </c>
      <c r="J490" s="9">
        <v>600</v>
      </c>
      <c r="K490" s="100">
        <f t="shared" si="66"/>
        <v>600</v>
      </c>
      <c r="L490" s="78">
        <v>46112</v>
      </c>
      <c r="M490" s="103"/>
      <c r="N490" s="93" t="s">
        <v>373</v>
      </c>
      <c r="O490" s="94">
        <v>46146</v>
      </c>
      <c r="P490" s="104">
        <f t="shared" si="73"/>
        <v>600</v>
      </c>
      <c r="Q490" s="104">
        <f t="shared" si="74"/>
        <v>600</v>
      </c>
      <c r="R490" s="104"/>
      <c r="S490" s="93" t="s">
        <v>374</v>
      </c>
      <c r="T490" s="94">
        <v>46156</v>
      </c>
      <c r="U490" s="104">
        <f t="shared" si="75"/>
        <v>600</v>
      </c>
      <c r="V490" s="104">
        <f t="shared" si="76"/>
        <v>1</v>
      </c>
      <c r="W490" s="103">
        <f t="shared" si="77"/>
        <v>600</v>
      </c>
      <c r="X490" s="93" t="s">
        <v>89</v>
      </c>
      <c r="Y490" s="105" t="s">
        <v>84</v>
      </c>
      <c r="Z490" s="105" t="s">
        <v>93</v>
      </c>
    </row>
    <row r="491" spans="1:26" s="105" customFormat="1" ht="15" customHeight="1">
      <c r="A491" s="99">
        <f t="shared" si="72"/>
        <v>489</v>
      </c>
      <c r="B491" s="75" t="s">
        <v>1072</v>
      </c>
      <c r="C491" s="100" t="str">
        <f>IF($B491&lt;&gt;"",_xlfn.IFNA(VLOOKUP($B491,'Node Details'!$B:$U,C$1,0),"Check"),"")</f>
        <v>0000AXW05-AXW050204</v>
      </c>
      <c r="D491" s="100" t="str">
        <f>IF($B491&lt;&gt;"",_xlfn.IFNA(VLOOKUP($B491,'Node Details'!$B:$U,D$1,0),"Check"),"")</f>
        <v>AXW</v>
      </c>
      <c r="E491" s="100" t="str">
        <f>IF($B491&lt;&gt;"",_xlfn.IFNA(VLOOKUP($B491,'Node Details'!$B:$U,E$1,0),"Check"),"")</f>
        <v>Airtel</v>
      </c>
      <c r="F491" s="101">
        <v>46114</v>
      </c>
      <c r="G491" s="103"/>
      <c r="H491" s="102" t="s">
        <v>1254</v>
      </c>
      <c r="I491" s="9">
        <v>1</v>
      </c>
      <c r="J491" s="9">
        <v>600</v>
      </c>
      <c r="K491" s="100">
        <f t="shared" si="66"/>
        <v>600</v>
      </c>
      <c r="L491" s="78">
        <v>46112</v>
      </c>
      <c r="M491" s="103"/>
      <c r="N491" s="93" t="s">
        <v>373</v>
      </c>
      <c r="O491" s="94">
        <v>46146</v>
      </c>
      <c r="P491" s="104">
        <f t="shared" si="73"/>
        <v>600</v>
      </c>
      <c r="Q491" s="104">
        <f t="shared" si="74"/>
        <v>600</v>
      </c>
      <c r="R491" s="104"/>
      <c r="S491" s="93" t="s">
        <v>374</v>
      </c>
      <c r="T491" s="94">
        <v>46156</v>
      </c>
      <c r="U491" s="104">
        <f t="shared" si="75"/>
        <v>600</v>
      </c>
      <c r="V491" s="104">
        <f t="shared" si="76"/>
        <v>1</v>
      </c>
      <c r="W491" s="103">
        <f t="shared" si="77"/>
        <v>600</v>
      </c>
      <c r="X491" s="93" t="s">
        <v>89</v>
      </c>
      <c r="Y491" s="105" t="s">
        <v>84</v>
      </c>
      <c r="Z491" s="105" t="s">
        <v>93</v>
      </c>
    </row>
    <row r="492" spans="1:26" s="105" customFormat="1" ht="15" customHeight="1">
      <c r="A492" s="99">
        <f t="shared" si="72"/>
        <v>490</v>
      </c>
      <c r="B492" s="75" t="s">
        <v>430</v>
      </c>
      <c r="C492" s="100" t="str">
        <f>IF($B492&lt;&gt;"",_xlfn.IFNA(VLOOKUP($B492,'Node Details'!$B:$U,C$1,0),"Check"),"")</f>
        <v>0000AXW05-AXW050204</v>
      </c>
      <c r="D492" s="100" t="str">
        <f>IF($B492&lt;&gt;"",_xlfn.IFNA(VLOOKUP($B492,'Node Details'!$B:$U,D$1,0),"Check"),"")</f>
        <v>AXW</v>
      </c>
      <c r="E492" s="100" t="str">
        <f>IF($B492&lt;&gt;"",_xlfn.IFNA(VLOOKUP($B492,'Node Details'!$B:$U,E$1,0),"Check"),"")</f>
        <v>Airtel</v>
      </c>
      <c r="F492" s="101">
        <v>46114</v>
      </c>
      <c r="G492" s="103"/>
      <c r="H492" s="102" t="s">
        <v>1254</v>
      </c>
      <c r="I492" s="9">
        <v>1</v>
      </c>
      <c r="J492" s="9">
        <v>600</v>
      </c>
      <c r="K492" s="100">
        <f t="shared" si="66"/>
        <v>600</v>
      </c>
      <c r="L492" s="78">
        <v>46112</v>
      </c>
      <c r="M492" s="103"/>
      <c r="N492" s="93" t="s">
        <v>373</v>
      </c>
      <c r="O492" s="94">
        <v>46146</v>
      </c>
      <c r="P492" s="104">
        <f t="shared" si="73"/>
        <v>600</v>
      </c>
      <c r="Q492" s="104">
        <f t="shared" si="74"/>
        <v>600</v>
      </c>
      <c r="R492" s="104"/>
      <c r="S492" s="93" t="s">
        <v>374</v>
      </c>
      <c r="T492" s="94">
        <v>46156</v>
      </c>
      <c r="U492" s="104">
        <f t="shared" si="75"/>
        <v>600</v>
      </c>
      <c r="V492" s="104">
        <f t="shared" si="76"/>
        <v>1</v>
      </c>
      <c r="W492" s="103">
        <f t="shared" si="77"/>
        <v>600</v>
      </c>
      <c r="X492" s="93" t="s">
        <v>89</v>
      </c>
      <c r="Y492" s="105" t="s">
        <v>84</v>
      </c>
      <c r="Z492" s="105" t="s">
        <v>93</v>
      </c>
    </row>
    <row r="493" spans="1:26" s="105" customFormat="1" ht="15" customHeight="1">
      <c r="A493" s="99">
        <f t="shared" si="72"/>
        <v>491</v>
      </c>
      <c r="B493" s="75" t="s">
        <v>433</v>
      </c>
      <c r="C493" s="100" t="str">
        <f>IF($B493&lt;&gt;"",_xlfn.IFNA(VLOOKUP($B493,'Node Details'!$B:$U,C$1,0),"Check"),"")</f>
        <v>0000AXW06-AXW060101</v>
      </c>
      <c r="D493" s="100" t="str">
        <f>IF($B493&lt;&gt;"",_xlfn.IFNA(VLOOKUP($B493,'Node Details'!$B:$U,D$1,0),"Check"),"")</f>
        <v>AXW</v>
      </c>
      <c r="E493" s="100" t="str">
        <f>IF($B493&lt;&gt;"",_xlfn.IFNA(VLOOKUP($B493,'Node Details'!$B:$U,E$1,0),"Check"),"")</f>
        <v>Airtel</v>
      </c>
      <c r="F493" s="101">
        <v>46114</v>
      </c>
      <c r="G493" s="103"/>
      <c r="H493" s="102" t="s">
        <v>1254</v>
      </c>
      <c r="I493" s="9">
        <v>1</v>
      </c>
      <c r="J493" s="9">
        <v>600</v>
      </c>
      <c r="K493" s="100">
        <f t="shared" si="66"/>
        <v>600</v>
      </c>
      <c r="L493" s="78">
        <v>46112</v>
      </c>
      <c r="M493" s="103"/>
      <c r="N493" s="93" t="s">
        <v>373</v>
      </c>
      <c r="O493" s="94">
        <v>46146</v>
      </c>
      <c r="P493" s="104">
        <f t="shared" si="73"/>
        <v>600</v>
      </c>
      <c r="Q493" s="104">
        <f t="shared" si="74"/>
        <v>600</v>
      </c>
      <c r="R493" s="104"/>
      <c r="S493" s="93" t="s">
        <v>374</v>
      </c>
      <c r="T493" s="94">
        <v>46156</v>
      </c>
      <c r="U493" s="104">
        <f t="shared" si="75"/>
        <v>600</v>
      </c>
      <c r="V493" s="104">
        <f t="shared" si="76"/>
        <v>1</v>
      </c>
      <c r="W493" s="103">
        <f t="shared" si="77"/>
        <v>600</v>
      </c>
      <c r="X493" s="93" t="s">
        <v>89</v>
      </c>
      <c r="Y493" s="105" t="s">
        <v>84</v>
      </c>
      <c r="Z493" s="105" t="s">
        <v>93</v>
      </c>
    </row>
    <row r="494" spans="1:26" s="105" customFormat="1" ht="15" customHeight="1">
      <c r="A494" s="99">
        <f t="shared" si="72"/>
        <v>492</v>
      </c>
      <c r="B494" s="75" t="s">
        <v>1073</v>
      </c>
      <c r="C494" s="100" t="str">
        <f>IF($B494&lt;&gt;"",_xlfn.IFNA(VLOOKUP($B494,'Node Details'!$B:$U,C$1,0),"Check"),"")</f>
        <v>0000AXW06-AXW060103</v>
      </c>
      <c r="D494" s="100" t="str">
        <f>IF($B494&lt;&gt;"",_xlfn.IFNA(VLOOKUP($B494,'Node Details'!$B:$U,D$1,0),"Check"),"")</f>
        <v>AXW</v>
      </c>
      <c r="E494" s="100" t="str">
        <f>IF($B494&lt;&gt;"",_xlfn.IFNA(VLOOKUP($B494,'Node Details'!$B:$U,E$1,0),"Check"),"")</f>
        <v>Airtel</v>
      </c>
      <c r="F494" s="101">
        <v>46114</v>
      </c>
      <c r="G494" s="103"/>
      <c r="H494" s="102" t="s">
        <v>1254</v>
      </c>
      <c r="I494" s="9">
        <v>1</v>
      </c>
      <c r="J494" s="9">
        <v>600</v>
      </c>
      <c r="K494" s="100">
        <f t="shared" si="66"/>
        <v>600</v>
      </c>
      <c r="L494" s="78">
        <v>46112</v>
      </c>
      <c r="M494" s="103"/>
      <c r="N494" s="93" t="s">
        <v>373</v>
      </c>
      <c r="O494" s="94">
        <v>46146</v>
      </c>
      <c r="P494" s="104">
        <f t="shared" si="73"/>
        <v>600</v>
      </c>
      <c r="Q494" s="104">
        <f t="shared" si="74"/>
        <v>600</v>
      </c>
      <c r="R494" s="104"/>
      <c r="S494" s="93" t="s">
        <v>374</v>
      </c>
      <c r="T494" s="94">
        <v>46156</v>
      </c>
      <c r="U494" s="104">
        <f t="shared" si="75"/>
        <v>600</v>
      </c>
      <c r="V494" s="104">
        <f t="shared" si="76"/>
        <v>1</v>
      </c>
      <c r="W494" s="103">
        <f t="shared" si="77"/>
        <v>600</v>
      </c>
      <c r="X494" s="93" t="s">
        <v>89</v>
      </c>
      <c r="Y494" s="105" t="s">
        <v>84</v>
      </c>
      <c r="Z494" s="105" t="s">
        <v>93</v>
      </c>
    </row>
    <row r="495" spans="1:26" s="105" customFormat="1" ht="15" customHeight="1">
      <c r="A495" s="99">
        <f t="shared" si="72"/>
        <v>493</v>
      </c>
      <c r="B495" s="75" t="s">
        <v>435</v>
      </c>
      <c r="C495" s="100" t="str">
        <f>IF($B495&lt;&gt;"",_xlfn.IFNA(VLOOKUP($B495,'Node Details'!$B:$U,C$1,0),"Check"),"")</f>
        <v>0000AXW06-AXW060103</v>
      </c>
      <c r="D495" s="100" t="str">
        <f>IF($B495&lt;&gt;"",_xlfn.IFNA(VLOOKUP($B495,'Node Details'!$B:$U,D$1,0),"Check"),"")</f>
        <v>AXW</v>
      </c>
      <c r="E495" s="100" t="str">
        <f>IF($B495&lt;&gt;"",_xlfn.IFNA(VLOOKUP($B495,'Node Details'!$B:$U,E$1,0),"Check"),"")</f>
        <v>Airtel</v>
      </c>
      <c r="F495" s="101">
        <v>46114</v>
      </c>
      <c r="G495" s="103"/>
      <c r="H495" s="102" t="s">
        <v>1254</v>
      </c>
      <c r="I495" s="9">
        <v>1</v>
      </c>
      <c r="J495" s="9">
        <v>600</v>
      </c>
      <c r="K495" s="100">
        <f t="shared" si="66"/>
        <v>600</v>
      </c>
      <c r="L495" s="78">
        <v>46112</v>
      </c>
      <c r="M495" s="103"/>
      <c r="N495" s="93" t="s">
        <v>373</v>
      </c>
      <c r="O495" s="94">
        <v>46146</v>
      </c>
      <c r="P495" s="104">
        <f t="shared" si="73"/>
        <v>600</v>
      </c>
      <c r="Q495" s="104">
        <f t="shared" si="74"/>
        <v>600</v>
      </c>
      <c r="R495" s="104"/>
      <c r="S495" s="93" t="s">
        <v>374</v>
      </c>
      <c r="T495" s="94">
        <v>46156</v>
      </c>
      <c r="U495" s="104">
        <f t="shared" si="75"/>
        <v>600</v>
      </c>
      <c r="V495" s="104">
        <f t="shared" si="76"/>
        <v>1</v>
      </c>
      <c r="W495" s="103">
        <f t="shared" si="77"/>
        <v>600</v>
      </c>
      <c r="X495" s="93" t="s">
        <v>89</v>
      </c>
      <c r="Y495" s="105" t="s">
        <v>84</v>
      </c>
      <c r="Z495" s="105" t="s">
        <v>93</v>
      </c>
    </row>
    <row r="496" spans="1:26" s="105" customFormat="1" ht="15" customHeight="1">
      <c r="A496" s="99">
        <f t="shared" si="72"/>
        <v>494</v>
      </c>
      <c r="B496" s="75" t="s">
        <v>1074</v>
      </c>
      <c r="C496" s="100" t="str">
        <f>IF($B496&lt;&gt;"",_xlfn.IFNA(VLOOKUP($B496,'Node Details'!$B:$U,C$1,0),"Check"),"")</f>
        <v>AXW060103-AXW060107</v>
      </c>
      <c r="D496" s="100" t="str">
        <f>IF($B496&lt;&gt;"",_xlfn.IFNA(VLOOKUP($B496,'Node Details'!$B:$U,D$1,0),"Check"),"")</f>
        <v>AXW</v>
      </c>
      <c r="E496" s="100" t="str">
        <f>IF($B496&lt;&gt;"",_xlfn.IFNA(VLOOKUP($B496,'Node Details'!$B:$U,E$1,0),"Check"),"")</f>
        <v>Airtel</v>
      </c>
      <c r="F496" s="101">
        <v>46114</v>
      </c>
      <c r="G496" s="103"/>
      <c r="H496" s="102" t="s">
        <v>1254</v>
      </c>
      <c r="I496" s="9">
        <v>1</v>
      </c>
      <c r="J496" s="9">
        <v>600</v>
      </c>
      <c r="K496" s="100">
        <f t="shared" si="66"/>
        <v>600</v>
      </c>
      <c r="L496" s="78">
        <v>46112</v>
      </c>
      <c r="M496" s="103"/>
      <c r="N496" s="93" t="s">
        <v>373</v>
      </c>
      <c r="O496" s="94">
        <v>46146</v>
      </c>
      <c r="P496" s="104">
        <f t="shared" si="73"/>
        <v>600</v>
      </c>
      <c r="Q496" s="104">
        <f t="shared" si="74"/>
        <v>600</v>
      </c>
      <c r="R496" s="104"/>
      <c r="S496" s="93" t="s">
        <v>374</v>
      </c>
      <c r="T496" s="94">
        <v>46156</v>
      </c>
      <c r="U496" s="104">
        <f t="shared" si="75"/>
        <v>600</v>
      </c>
      <c r="V496" s="104">
        <f t="shared" si="76"/>
        <v>1</v>
      </c>
      <c r="W496" s="103">
        <f t="shared" si="77"/>
        <v>600</v>
      </c>
      <c r="X496" s="93" t="s">
        <v>89</v>
      </c>
      <c r="Y496" s="105" t="s">
        <v>84</v>
      </c>
      <c r="Z496" s="105" t="s">
        <v>93</v>
      </c>
    </row>
    <row r="497" spans="1:26" s="105" customFormat="1" ht="15" customHeight="1">
      <c r="A497" s="99">
        <f t="shared" si="72"/>
        <v>495</v>
      </c>
      <c r="B497" s="75" t="s">
        <v>1075</v>
      </c>
      <c r="C497" s="100" t="str">
        <f>IF($B497&lt;&gt;"",_xlfn.IFNA(VLOOKUP($B497,'Node Details'!$B:$U,C$1,0),"Check"),"")</f>
        <v>AXW060103-AXW060107</v>
      </c>
      <c r="D497" s="100" t="str">
        <f>IF($B497&lt;&gt;"",_xlfn.IFNA(VLOOKUP($B497,'Node Details'!$B:$U,D$1,0),"Check"),"")</f>
        <v>AXW</v>
      </c>
      <c r="E497" s="100" t="str">
        <f>IF($B497&lt;&gt;"",_xlfn.IFNA(VLOOKUP($B497,'Node Details'!$B:$U,E$1,0),"Check"),"")</f>
        <v>Airtel</v>
      </c>
      <c r="F497" s="101">
        <v>46114</v>
      </c>
      <c r="G497" s="103"/>
      <c r="H497" s="102" t="s">
        <v>1254</v>
      </c>
      <c r="I497" s="9">
        <v>1</v>
      </c>
      <c r="J497" s="9">
        <v>600</v>
      </c>
      <c r="K497" s="100">
        <f t="shared" si="66"/>
        <v>600</v>
      </c>
      <c r="L497" s="78">
        <v>46112</v>
      </c>
      <c r="M497" s="103"/>
      <c r="N497" s="93" t="s">
        <v>373</v>
      </c>
      <c r="O497" s="94">
        <v>46146</v>
      </c>
      <c r="P497" s="104">
        <f t="shared" si="73"/>
        <v>600</v>
      </c>
      <c r="Q497" s="104">
        <f t="shared" si="74"/>
        <v>600</v>
      </c>
      <c r="R497" s="104"/>
      <c r="S497" s="93" t="s">
        <v>374</v>
      </c>
      <c r="T497" s="94">
        <v>46156</v>
      </c>
      <c r="U497" s="104">
        <f t="shared" si="75"/>
        <v>600</v>
      </c>
      <c r="V497" s="104">
        <f t="shared" si="76"/>
        <v>1</v>
      </c>
      <c r="W497" s="103">
        <f t="shared" si="77"/>
        <v>600</v>
      </c>
      <c r="X497" s="93" t="s">
        <v>89</v>
      </c>
      <c r="Y497" s="105" t="s">
        <v>84</v>
      </c>
      <c r="Z497" s="105" t="s">
        <v>93</v>
      </c>
    </row>
    <row r="498" spans="1:26" s="105" customFormat="1" ht="15" customHeight="1">
      <c r="A498" s="99">
        <f t="shared" si="72"/>
        <v>496</v>
      </c>
      <c r="B498" s="75" t="s">
        <v>1076</v>
      </c>
      <c r="C498" s="100" t="str">
        <f>IF($B498&lt;&gt;"",_xlfn.IFNA(VLOOKUP($B498,'Node Details'!$B:$U,C$1,0),"Check"),"")</f>
        <v>AXW060103-AXW060107</v>
      </c>
      <c r="D498" s="100" t="str">
        <f>IF($B498&lt;&gt;"",_xlfn.IFNA(VLOOKUP($B498,'Node Details'!$B:$U,D$1,0),"Check"),"")</f>
        <v>AXW</v>
      </c>
      <c r="E498" s="100" t="str">
        <f>IF($B498&lt;&gt;"",_xlfn.IFNA(VLOOKUP($B498,'Node Details'!$B:$U,E$1,0),"Check"),"")</f>
        <v>Airtel</v>
      </c>
      <c r="F498" s="101">
        <v>46114</v>
      </c>
      <c r="G498" s="103"/>
      <c r="H498" s="102" t="s">
        <v>1254</v>
      </c>
      <c r="I498" s="9">
        <v>1</v>
      </c>
      <c r="J498" s="9">
        <v>600</v>
      </c>
      <c r="K498" s="100">
        <f t="shared" si="66"/>
        <v>600</v>
      </c>
      <c r="L498" s="78">
        <v>46112</v>
      </c>
      <c r="M498" s="103"/>
      <c r="N498" s="93" t="s">
        <v>373</v>
      </c>
      <c r="O498" s="94">
        <v>46146</v>
      </c>
      <c r="P498" s="104">
        <f t="shared" si="73"/>
        <v>600</v>
      </c>
      <c r="Q498" s="104">
        <f t="shared" si="74"/>
        <v>600</v>
      </c>
      <c r="R498" s="104"/>
      <c r="S498" s="93" t="s">
        <v>374</v>
      </c>
      <c r="T498" s="94">
        <v>46156</v>
      </c>
      <c r="U498" s="104">
        <f t="shared" si="75"/>
        <v>600</v>
      </c>
      <c r="V498" s="104">
        <f t="shared" si="76"/>
        <v>1</v>
      </c>
      <c r="W498" s="103">
        <f t="shared" si="77"/>
        <v>600</v>
      </c>
      <c r="X498" s="93" t="s">
        <v>89</v>
      </c>
      <c r="Y498" s="105" t="s">
        <v>84</v>
      </c>
      <c r="Z498" s="105" t="s">
        <v>93</v>
      </c>
    </row>
    <row r="499" spans="1:26" s="105" customFormat="1" ht="15" customHeight="1">
      <c r="A499" s="99">
        <f t="shared" si="72"/>
        <v>497</v>
      </c>
      <c r="B499" s="75" t="s">
        <v>437</v>
      </c>
      <c r="C499" s="100" t="str">
        <f>IF($B499&lt;&gt;"",_xlfn.IFNA(VLOOKUP($B499,'Node Details'!$B:$U,C$1,0),"Check"),"")</f>
        <v>AXW060103-AXW060107</v>
      </c>
      <c r="D499" s="100" t="str">
        <f>IF($B499&lt;&gt;"",_xlfn.IFNA(VLOOKUP($B499,'Node Details'!$B:$U,D$1,0),"Check"),"")</f>
        <v>AXW</v>
      </c>
      <c r="E499" s="100" t="str">
        <f>IF($B499&lt;&gt;"",_xlfn.IFNA(VLOOKUP($B499,'Node Details'!$B:$U,E$1,0),"Check"),"")</f>
        <v>Airtel</v>
      </c>
      <c r="F499" s="101">
        <v>46114</v>
      </c>
      <c r="G499" s="103"/>
      <c r="H499" s="102" t="s">
        <v>1254</v>
      </c>
      <c r="I499" s="9">
        <v>1</v>
      </c>
      <c r="J499" s="9">
        <v>600</v>
      </c>
      <c r="K499" s="100">
        <f t="shared" si="66"/>
        <v>600</v>
      </c>
      <c r="L499" s="78">
        <v>46112</v>
      </c>
      <c r="M499" s="103"/>
      <c r="N499" s="93" t="s">
        <v>373</v>
      </c>
      <c r="O499" s="94">
        <v>46146</v>
      </c>
      <c r="P499" s="104">
        <f t="shared" si="73"/>
        <v>600</v>
      </c>
      <c r="Q499" s="104">
        <f t="shared" si="74"/>
        <v>600</v>
      </c>
      <c r="R499" s="104"/>
      <c r="S499" s="93" t="s">
        <v>374</v>
      </c>
      <c r="T499" s="94">
        <v>46156</v>
      </c>
      <c r="U499" s="104">
        <f t="shared" si="75"/>
        <v>600</v>
      </c>
      <c r="V499" s="104">
        <f t="shared" si="76"/>
        <v>1</v>
      </c>
      <c r="W499" s="103">
        <f t="shared" si="77"/>
        <v>600</v>
      </c>
      <c r="X499" s="93" t="s">
        <v>89</v>
      </c>
      <c r="Y499" s="105" t="s">
        <v>84</v>
      </c>
      <c r="Z499" s="105" t="s">
        <v>93</v>
      </c>
    </row>
    <row r="500" spans="1:26" s="105" customFormat="1" ht="15" customHeight="1">
      <c r="A500" s="99">
        <f t="shared" si="72"/>
        <v>498</v>
      </c>
      <c r="B500" s="75" t="s">
        <v>439</v>
      </c>
      <c r="C500" s="100" t="str">
        <f>IF($B500&lt;&gt;"",_xlfn.IFNA(VLOOKUP($B500,'Node Details'!$B:$U,C$1,0),"Check"),"")</f>
        <v>0000AXW07-AXW070101</v>
      </c>
      <c r="D500" s="100" t="str">
        <f>IF($B500&lt;&gt;"",_xlfn.IFNA(VLOOKUP($B500,'Node Details'!$B:$U,D$1,0),"Check"),"")</f>
        <v>AXW</v>
      </c>
      <c r="E500" s="100" t="str">
        <f>IF($B500&lt;&gt;"",_xlfn.IFNA(VLOOKUP($B500,'Node Details'!$B:$U,E$1,0),"Check"),"")</f>
        <v>Airtel</v>
      </c>
      <c r="F500" s="101">
        <v>46114</v>
      </c>
      <c r="G500" s="103"/>
      <c r="H500" s="102" t="s">
        <v>1254</v>
      </c>
      <c r="I500" s="9">
        <v>1</v>
      </c>
      <c r="J500" s="9">
        <v>600</v>
      </c>
      <c r="K500" s="100">
        <f t="shared" si="66"/>
        <v>600</v>
      </c>
      <c r="L500" s="78">
        <v>46112</v>
      </c>
      <c r="M500" s="103"/>
      <c r="N500" s="93" t="s">
        <v>373</v>
      </c>
      <c r="O500" s="94">
        <v>46146</v>
      </c>
      <c r="P500" s="104">
        <f t="shared" si="73"/>
        <v>600</v>
      </c>
      <c r="Q500" s="104">
        <f t="shared" si="74"/>
        <v>600</v>
      </c>
      <c r="R500" s="104"/>
      <c r="S500" s="93" t="s">
        <v>374</v>
      </c>
      <c r="T500" s="94">
        <v>46156</v>
      </c>
      <c r="U500" s="104">
        <f t="shared" si="75"/>
        <v>600</v>
      </c>
      <c r="V500" s="104">
        <f t="shared" si="76"/>
        <v>1</v>
      </c>
      <c r="W500" s="103">
        <f t="shared" si="77"/>
        <v>600</v>
      </c>
      <c r="X500" s="93" t="s">
        <v>89</v>
      </c>
      <c r="Y500" s="105" t="s">
        <v>84</v>
      </c>
      <c r="Z500" s="105" t="s">
        <v>93</v>
      </c>
    </row>
    <row r="501" spans="1:26" s="105" customFormat="1" ht="15" customHeight="1">
      <c r="A501" s="99">
        <f t="shared" si="72"/>
        <v>499</v>
      </c>
      <c r="B501" s="75" t="s">
        <v>1077</v>
      </c>
      <c r="C501" s="100" t="str">
        <f>IF($B501&lt;&gt;"",_xlfn.IFNA(VLOOKUP($B501,'Node Details'!$B:$U,C$1,0),"Check"),"")</f>
        <v>0000AXW07-AXW070103</v>
      </c>
      <c r="D501" s="100" t="str">
        <f>IF($B501&lt;&gt;"",_xlfn.IFNA(VLOOKUP($B501,'Node Details'!$B:$U,D$1,0),"Check"),"")</f>
        <v>AXW</v>
      </c>
      <c r="E501" s="100" t="str">
        <f>IF($B501&lt;&gt;"",_xlfn.IFNA(VLOOKUP($B501,'Node Details'!$B:$U,E$1,0),"Check"),"")</f>
        <v>Airtel</v>
      </c>
      <c r="F501" s="101">
        <v>46114</v>
      </c>
      <c r="G501" s="103"/>
      <c r="H501" s="102" t="s">
        <v>1254</v>
      </c>
      <c r="I501" s="9">
        <v>1</v>
      </c>
      <c r="J501" s="9">
        <v>600</v>
      </c>
      <c r="K501" s="100">
        <f t="shared" si="66"/>
        <v>600</v>
      </c>
      <c r="L501" s="78">
        <v>46112</v>
      </c>
      <c r="M501" s="103"/>
      <c r="N501" s="93" t="s">
        <v>373</v>
      </c>
      <c r="O501" s="94">
        <v>46146</v>
      </c>
      <c r="P501" s="104">
        <f t="shared" si="73"/>
        <v>600</v>
      </c>
      <c r="Q501" s="104">
        <f t="shared" si="74"/>
        <v>600</v>
      </c>
      <c r="R501" s="104"/>
      <c r="S501" s="93" t="s">
        <v>374</v>
      </c>
      <c r="T501" s="94">
        <v>46156</v>
      </c>
      <c r="U501" s="104">
        <f t="shared" si="75"/>
        <v>600</v>
      </c>
      <c r="V501" s="104">
        <f t="shared" si="76"/>
        <v>1</v>
      </c>
      <c r="W501" s="103">
        <f t="shared" si="77"/>
        <v>600</v>
      </c>
      <c r="X501" s="93" t="s">
        <v>89</v>
      </c>
      <c r="Y501" s="105" t="s">
        <v>84</v>
      </c>
      <c r="Z501" s="105" t="s">
        <v>93</v>
      </c>
    </row>
    <row r="502" spans="1:26" s="105" customFormat="1" ht="15" customHeight="1">
      <c r="A502" s="99">
        <f t="shared" si="72"/>
        <v>500</v>
      </c>
      <c r="B502" s="75" t="s">
        <v>441</v>
      </c>
      <c r="C502" s="100" t="str">
        <f>IF($B502&lt;&gt;"",_xlfn.IFNA(VLOOKUP($B502,'Node Details'!$B:$U,C$1,0),"Check"),"")</f>
        <v>0000AXW07-AXW070103</v>
      </c>
      <c r="D502" s="100" t="str">
        <f>IF($B502&lt;&gt;"",_xlfn.IFNA(VLOOKUP($B502,'Node Details'!$B:$U,D$1,0),"Check"),"")</f>
        <v>AXW</v>
      </c>
      <c r="E502" s="100" t="str">
        <f>IF($B502&lt;&gt;"",_xlfn.IFNA(VLOOKUP($B502,'Node Details'!$B:$U,E$1,0),"Check"),"")</f>
        <v>Airtel</v>
      </c>
      <c r="F502" s="101">
        <v>46114</v>
      </c>
      <c r="G502" s="103"/>
      <c r="H502" s="102" t="s">
        <v>1254</v>
      </c>
      <c r="I502" s="9">
        <v>1</v>
      </c>
      <c r="J502" s="9">
        <v>600</v>
      </c>
      <c r="K502" s="100">
        <f t="shared" si="66"/>
        <v>600</v>
      </c>
      <c r="L502" s="78">
        <v>46112</v>
      </c>
      <c r="M502" s="103"/>
      <c r="N502" s="93" t="s">
        <v>373</v>
      </c>
      <c r="O502" s="94">
        <v>46146</v>
      </c>
      <c r="P502" s="104">
        <f t="shared" si="73"/>
        <v>600</v>
      </c>
      <c r="Q502" s="104">
        <f t="shared" si="74"/>
        <v>600</v>
      </c>
      <c r="R502" s="104"/>
      <c r="S502" s="93" t="s">
        <v>374</v>
      </c>
      <c r="T502" s="94">
        <v>46156</v>
      </c>
      <c r="U502" s="104">
        <f t="shared" si="75"/>
        <v>600</v>
      </c>
      <c r="V502" s="104">
        <f t="shared" si="76"/>
        <v>1</v>
      </c>
      <c r="W502" s="103">
        <f t="shared" si="77"/>
        <v>600</v>
      </c>
      <c r="X502" s="93" t="s">
        <v>89</v>
      </c>
      <c r="Y502" s="105" t="s">
        <v>84</v>
      </c>
      <c r="Z502" s="105" t="s">
        <v>93</v>
      </c>
    </row>
    <row r="503" spans="1:26" s="105" customFormat="1" ht="15" customHeight="1">
      <c r="A503" s="99">
        <f t="shared" si="72"/>
        <v>501</v>
      </c>
      <c r="B503" s="75" t="s">
        <v>1078</v>
      </c>
      <c r="C503" s="100" t="str">
        <f>IF($B503&lt;&gt;"",_xlfn.IFNA(VLOOKUP($B503,'Node Details'!$B:$U,C$1,0),"Check"),"")</f>
        <v>0000AXW07-AXW070106</v>
      </c>
      <c r="D503" s="100" t="str">
        <f>IF($B503&lt;&gt;"",_xlfn.IFNA(VLOOKUP($B503,'Node Details'!$B:$U,D$1,0),"Check"),"")</f>
        <v>AXW</v>
      </c>
      <c r="E503" s="100" t="str">
        <f>IF($B503&lt;&gt;"",_xlfn.IFNA(VLOOKUP($B503,'Node Details'!$B:$U,E$1,0),"Check"),"")</f>
        <v>Airtel</v>
      </c>
      <c r="F503" s="101">
        <v>46114</v>
      </c>
      <c r="G503" s="103"/>
      <c r="H503" s="102" t="s">
        <v>1254</v>
      </c>
      <c r="I503" s="9">
        <v>1</v>
      </c>
      <c r="J503" s="9">
        <v>600</v>
      </c>
      <c r="K503" s="100">
        <f t="shared" si="66"/>
        <v>600</v>
      </c>
      <c r="L503" s="78">
        <v>46112</v>
      </c>
      <c r="M503" s="103"/>
      <c r="N503" s="93" t="s">
        <v>373</v>
      </c>
      <c r="O503" s="94">
        <v>46146</v>
      </c>
      <c r="P503" s="104">
        <f t="shared" si="73"/>
        <v>600</v>
      </c>
      <c r="Q503" s="104">
        <f t="shared" si="74"/>
        <v>600</v>
      </c>
      <c r="R503" s="104"/>
      <c r="S503" s="93" t="s">
        <v>374</v>
      </c>
      <c r="T503" s="94">
        <v>46156</v>
      </c>
      <c r="U503" s="104">
        <f t="shared" si="75"/>
        <v>600</v>
      </c>
      <c r="V503" s="104">
        <f t="shared" si="76"/>
        <v>1</v>
      </c>
      <c r="W503" s="103">
        <f t="shared" si="77"/>
        <v>600</v>
      </c>
      <c r="X503" s="93" t="s">
        <v>89</v>
      </c>
      <c r="Y503" s="105" t="s">
        <v>84</v>
      </c>
      <c r="Z503" s="105" t="s">
        <v>93</v>
      </c>
    </row>
    <row r="504" spans="1:26" s="105" customFormat="1" ht="15" customHeight="1">
      <c r="A504" s="99">
        <f t="shared" si="72"/>
        <v>502</v>
      </c>
      <c r="B504" s="75" t="s">
        <v>443</v>
      </c>
      <c r="C504" s="100" t="str">
        <f>IF($B504&lt;&gt;"",_xlfn.IFNA(VLOOKUP($B504,'Node Details'!$B:$U,C$1,0),"Check"),"")</f>
        <v>0000AXW07-AXW070106</v>
      </c>
      <c r="D504" s="100" t="str">
        <f>IF($B504&lt;&gt;"",_xlfn.IFNA(VLOOKUP($B504,'Node Details'!$B:$U,D$1,0),"Check"),"")</f>
        <v>AXW</v>
      </c>
      <c r="E504" s="100" t="str">
        <f>IF($B504&lt;&gt;"",_xlfn.IFNA(VLOOKUP($B504,'Node Details'!$B:$U,E$1,0),"Check"),"")</f>
        <v>Airtel</v>
      </c>
      <c r="F504" s="101">
        <v>46114</v>
      </c>
      <c r="G504" s="103"/>
      <c r="H504" s="102" t="s">
        <v>1254</v>
      </c>
      <c r="I504" s="9">
        <v>1</v>
      </c>
      <c r="J504" s="9">
        <v>600</v>
      </c>
      <c r="K504" s="100">
        <f t="shared" si="66"/>
        <v>600</v>
      </c>
      <c r="L504" s="78">
        <v>46112</v>
      </c>
      <c r="M504" s="103"/>
      <c r="N504" s="93" t="s">
        <v>373</v>
      </c>
      <c r="O504" s="94">
        <v>46146</v>
      </c>
      <c r="P504" s="104">
        <f t="shared" si="73"/>
        <v>600</v>
      </c>
      <c r="Q504" s="104">
        <f t="shared" si="74"/>
        <v>600</v>
      </c>
      <c r="R504" s="104"/>
      <c r="S504" s="93" t="s">
        <v>374</v>
      </c>
      <c r="T504" s="94">
        <v>46156</v>
      </c>
      <c r="U504" s="104">
        <f t="shared" si="75"/>
        <v>600</v>
      </c>
      <c r="V504" s="104">
        <f t="shared" si="76"/>
        <v>1</v>
      </c>
      <c r="W504" s="103">
        <f t="shared" si="77"/>
        <v>600</v>
      </c>
      <c r="X504" s="93" t="s">
        <v>89</v>
      </c>
      <c r="Y504" s="105" t="s">
        <v>84</v>
      </c>
      <c r="Z504" s="105" t="s">
        <v>93</v>
      </c>
    </row>
    <row r="505" spans="1:26" s="105" customFormat="1" ht="15" customHeight="1">
      <c r="A505" s="99">
        <f t="shared" si="72"/>
        <v>503</v>
      </c>
      <c r="B505" s="75" t="s">
        <v>446</v>
      </c>
      <c r="C505" s="100" t="str">
        <f>IF($B505&lt;&gt;"",_xlfn.IFNA(VLOOKUP($B505,'Node Details'!$B:$U,C$1,0),"Check"),"")</f>
        <v>0000AXW08-AXW080101</v>
      </c>
      <c r="D505" s="100" t="str">
        <f>IF($B505&lt;&gt;"",_xlfn.IFNA(VLOOKUP($B505,'Node Details'!$B:$U,D$1,0),"Check"),"")</f>
        <v>AXW</v>
      </c>
      <c r="E505" s="100" t="str">
        <f>IF($B505&lt;&gt;"",_xlfn.IFNA(VLOOKUP($B505,'Node Details'!$B:$U,E$1,0),"Check"),"")</f>
        <v>Airtel</v>
      </c>
      <c r="F505" s="101">
        <v>46114</v>
      </c>
      <c r="G505" s="103"/>
      <c r="H505" s="102" t="s">
        <v>1254</v>
      </c>
      <c r="I505" s="9">
        <v>1</v>
      </c>
      <c r="J505" s="9">
        <v>600</v>
      </c>
      <c r="K505" s="100">
        <f t="shared" si="66"/>
        <v>600</v>
      </c>
      <c r="L505" s="78">
        <v>46112</v>
      </c>
      <c r="M505" s="103"/>
      <c r="N505" s="93" t="s">
        <v>373</v>
      </c>
      <c r="O505" s="94">
        <v>46146</v>
      </c>
      <c r="P505" s="104">
        <f t="shared" si="73"/>
        <v>600</v>
      </c>
      <c r="Q505" s="104">
        <f t="shared" si="74"/>
        <v>600</v>
      </c>
      <c r="R505" s="104"/>
      <c r="S505" s="93" t="s">
        <v>374</v>
      </c>
      <c r="T505" s="94">
        <v>46156</v>
      </c>
      <c r="U505" s="104">
        <f t="shared" si="75"/>
        <v>600</v>
      </c>
      <c r="V505" s="104">
        <f t="shared" si="76"/>
        <v>1</v>
      </c>
      <c r="W505" s="103">
        <f t="shared" si="77"/>
        <v>600</v>
      </c>
      <c r="X505" s="93" t="s">
        <v>89</v>
      </c>
      <c r="Y505" s="105" t="s">
        <v>84</v>
      </c>
      <c r="Z505" s="105" t="s">
        <v>93</v>
      </c>
    </row>
    <row r="506" spans="1:26" s="105" customFormat="1" ht="15" customHeight="1">
      <c r="A506" s="99">
        <f t="shared" si="72"/>
        <v>504</v>
      </c>
      <c r="B506" s="75" t="s">
        <v>448</v>
      </c>
      <c r="C506" s="100" t="str">
        <f>IF($B506&lt;&gt;"",_xlfn.IFNA(VLOOKUP($B506,'Node Details'!$B:$U,C$1,0),"Check"),"")</f>
        <v>0000AXW08-AXW080103</v>
      </c>
      <c r="D506" s="100" t="str">
        <f>IF($B506&lt;&gt;"",_xlfn.IFNA(VLOOKUP($B506,'Node Details'!$B:$U,D$1,0),"Check"),"")</f>
        <v>AXW</v>
      </c>
      <c r="E506" s="100" t="str">
        <f>IF($B506&lt;&gt;"",_xlfn.IFNA(VLOOKUP($B506,'Node Details'!$B:$U,E$1,0),"Check"),"")</f>
        <v>Airtel</v>
      </c>
      <c r="F506" s="101">
        <v>46114</v>
      </c>
      <c r="G506" s="103"/>
      <c r="H506" s="102" t="s">
        <v>1254</v>
      </c>
      <c r="I506" s="9">
        <v>1</v>
      </c>
      <c r="J506" s="9">
        <v>600</v>
      </c>
      <c r="K506" s="100">
        <f t="shared" si="66"/>
        <v>600</v>
      </c>
      <c r="L506" s="78">
        <v>46112</v>
      </c>
      <c r="M506" s="103"/>
      <c r="N506" s="93" t="s">
        <v>373</v>
      </c>
      <c r="O506" s="94">
        <v>46146</v>
      </c>
      <c r="P506" s="104">
        <f t="shared" si="73"/>
        <v>600</v>
      </c>
      <c r="Q506" s="104">
        <f t="shared" si="74"/>
        <v>600</v>
      </c>
      <c r="R506" s="104"/>
      <c r="S506" s="93" t="s">
        <v>374</v>
      </c>
      <c r="T506" s="94">
        <v>46156</v>
      </c>
      <c r="U506" s="104">
        <f t="shared" si="75"/>
        <v>600</v>
      </c>
      <c r="V506" s="104">
        <f t="shared" si="76"/>
        <v>1</v>
      </c>
      <c r="W506" s="103">
        <f t="shared" si="77"/>
        <v>600</v>
      </c>
      <c r="X506" s="93" t="s">
        <v>89</v>
      </c>
      <c r="Y506" s="105" t="s">
        <v>84</v>
      </c>
      <c r="Z506" s="105" t="s">
        <v>93</v>
      </c>
    </row>
    <row r="507" spans="1:26" s="105" customFormat="1" ht="15" customHeight="1">
      <c r="A507" s="99">
        <f t="shared" si="72"/>
        <v>505</v>
      </c>
      <c r="B507" s="75" t="s">
        <v>1079</v>
      </c>
      <c r="C507" s="100" t="str">
        <f>IF($B507&lt;&gt;"",_xlfn.IFNA(VLOOKUP($B507,'Node Details'!$B:$U,C$1,0),"Check"),"")</f>
        <v>AXW080103-AXW080105</v>
      </c>
      <c r="D507" s="100" t="str">
        <f>IF($B507&lt;&gt;"",_xlfn.IFNA(VLOOKUP($B507,'Node Details'!$B:$U,D$1,0),"Check"),"")</f>
        <v>AXW</v>
      </c>
      <c r="E507" s="100" t="str">
        <f>IF($B507&lt;&gt;"",_xlfn.IFNA(VLOOKUP($B507,'Node Details'!$B:$U,E$1,0),"Check"),"")</f>
        <v>Airtel</v>
      </c>
      <c r="F507" s="101">
        <v>46114</v>
      </c>
      <c r="G507" s="103"/>
      <c r="H507" s="102" t="s">
        <v>1254</v>
      </c>
      <c r="I507" s="9">
        <v>1</v>
      </c>
      <c r="J507" s="9">
        <v>600</v>
      </c>
      <c r="K507" s="100">
        <f t="shared" si="66"/>
        <v>600</v>
      </c>
      <c r="L507" s="78">
        <v>46112</v>
      </c>
      <c r="M507" s="103"/>
      <c r="N507" s="93" t="s">
        <v>373</v>
      </c>
      <c r="O507" s="94">
        <v>46146</v>
      </c>
      <c r="P507" s="104">
        <f t="shared" si="73"/>
        <v>600</v>
      </c>
      <c r="Q507" s="104">
        <f t="shared" si="74"/>
        <v>600</v>
      </c>
      <c r="R507" s="104"/>
      <c r="S507" s="93" t="s">
        <v>374</v>
      </c>
      <c r="T507" s="94">
        <v>46156</v>
      </c>
      <c r="U507" s="104">
        <f t="shared" si="75"/>
        <v>600</v>
      </c>
      <c r="V507" s="104">
        <f t="shared" si="76"/>
        <v>1</v>
      </c>
      <c r="W507" s="103">
        <f t="shared" si="77"/>
        <v>600</v>
      </c>
      <c r="X507" s="93" t="s">
        <v>89</v>
      </c>
      <c r="Y507" s="105" t="s">
        <v>84</v>
      </c>
      <c r="Z507" s="105" t="s">
        <v>93</v>
      </c>
    </row>
    <row r="508" spans="1:26" s="105" customFormat="1" ht="15" customHeight="1">
      <c r="A508" s="99">
        <f t="shared" si="72"/>
        <v>506</v>
      </c>
      <c r="B508" s="75" t="s">
        <v>450</v>
      </c>
      <c r="C508" s="100" t="str">
        <f>IF($B508&lt;&gt;"",_xlfn.IFNA(VLOOKUP($B508,'Node Details'!$B:$U,C$1,0),"Check"),"")</f>
        <v>AXW080103-AXW080105</v>
      </c>
      <c r="D508" s="100" t="str">
        <f>IF($B508&lt;&gt;"",_xlfn.IFNA(VLOOKUP($B508,'Node Details'!$B:$U,D$1,0),"Check"),"")</f>
        <v>AXW</v>
      </c>
      <c r="E508" s="100" t="str">
        <f>IF($B508&lt;&gt;"",_xlfn.IFNA(VLOOKUP($B508,'Node Details'!$B:$U,E$1,0),"Check"),"")</f>
        <v>Airtel</v>
      </c>
      <c r="F508" s="101">
        <v>46114</v>
      </c>
      <c r="G508" s="103"/>
      <c r="H508" s="102" t="s">
        <v>1254</v>
      </c>
      <c r="I508" s="9">
        <v>1</v>
      </c>
      <c r="J508" s="9">
        <v>600</v>
      </c>
      <c r="K508" s="100">
        <f t="shared" si="66"/>
        <v>600</v>
      </c>
      <c r="L508" s="78">
        <v>46112</v>
      </c>
      <c r="M508" s="103"/>
      <c r="N508" s="93" t="s">
        <v>373</v>
      </c>
      <c r="O508" s="94">
        <v>46146</v>
      </c>
      <c r="P508" s="104">
        <f t="shared" si="73"/>
        <v>600</v>
      </c>
      <c r="Q508" s="104">
        <f t="shared" si="74"/>
        <v>600</v>
      </c>
      <c r="R508" s="104"/>
      <c r="S508" s="93" t="s">
        <v>374</v>
      </c>
      <c r="T508" s="94">
        <v>46156</v>
      </c>
      <c r="U508" s="104">
        <f t="shared" si="75"/>
        <v>600</v>
      </c>
      <c r="V508" s="104">
        <f t="shared" si="76"/>
        <v>1</v>
      </c>
      <c r="W508" s="103">
        <f t="shared" si="77"/>
        <v>600</v>
      </c>
      <c r="X508" s="93" t="s">
        <v>89</v>
      </c>
      <c r="Y508" s="105" t="s">
        <v>84</v>
      </c>
      <c r="Z508" s="105" t="s">
        <v>93</v>
      </c>
    </row>
    <row r="509" spans="1:26" s="105" customFormat="1" ht="15" customHeight="1">
      <c r="A509" s="99">
        <f t="shared" si="72"/>
        <v>507</v>
      </c>
      <c r="B509" s="75" t="s">
        <v>452</v>
      </c>
      <c r="C509" s="100" t="str">
        <f>IF($B509&lt;&gt;"",_xlfn.IFNA(VLOOKUP($B509,'Node Details'!$B:$U,C$1,0),"Check"),"")</f>
        <v>0000AXW08-AXW080106</v>
      </c>
      <c r="D509" s="100" t="str">
        <f>IF($B509&lt;&gt;"",_xlfn.IFNA(VLOOKUP($B509,'Node Details'!$B:$U,D$1,0),"Check"),"")</f>
        <v>AXW</v>
      </c>
      <c r="E509" s="100" t="str">
        <f>IF($B509&lt;&gt;"",_xlfn.IFNA(VLOOKUP($B509,'Node Details'!$B:$U,E$1,0),"Check"),"")</f>
        <v>Airtel</v>
      </c>
      <c r="F509" s="101">
        <v>46114</v>
      </c>
      <c r="G509" s="103"/>
      <c r="H509" s="102" t="s">
        <v>1254</v>
      </c>
      <c r="I509" s="9">
        <v>1</v>
      </c>
      <c r="J509" s="9">
        <v>600</v>
      </c>
      <c r="K509" s="100">
        <f t="shared" si="66"/>
        <v>600</v>
      </c>
      <c r="L509" s="78">
        <v>46112</v>
      </c>
      <c r="M509" s="103"/>
      <c r="N509" s="93" t="s">
        <v>373</v>
      </c>
      <c r="O509" s="94">
        <v>46146</v>
      </c>
      <c r="P509" s="104">
        <f t="shared" si="73"/>
        <v>600</v>
      </c>
      <c r="Q509" s="104">
        <f t="shared" si="74"/>
        <v>600</v>
      </c>
      <c r="R509" s="104"/>
      <c r="S509" s="93" t="s">
        <v>374</v>
      </c>
      <c r="T509" s="94">
        <v>46156</v>
      </c>
      <c r="U509" s="104">
        <f t="shared" si="75"/>
        <v>600</v>
      </c>
      <c r="V509" s="104">
        <f t="shared" si="76"/>
        <v>1</v>
      </c>
      <c r="W509" s="103">
        <f t="shared" si="77"/>
        <v>600</v>
      </c>
      <c r="X509" s="93" t="s">
        <v>89</v>
      </c>
      <c r="Y509" s="105" t="s">
        <v>84</v>
      </c>
      <c r="Z509" s="105" t="s">
        <v>93</v>
      </c>
    </row>
    <row r="510" spans="1:26" s="105" customFormat="1" ht="15" customHeight="1">
      <c r="A510" s="99">
        <f t="shared" si="72"/>
        <v>508</v>
      </c>
      <c r="B510" s="75" t="s">
        <v>1080</v>
      </c>
      <c r="C510" s="100" t="str">
        <f>IF($B510&lt;&gt;"",_xlfn.IFNA(VLOOKUP($B510,'Node Details'!$B:$U,C$1,0),"Check"),"")</f>
        <v>AXW080106-AXW080108</v>
      </c>
      <c r="D510" s="100" t="str">
        <f>IF($B510&lt;&gt;"",_xlfn.IFNA(VLOOKUP($B510,'Node Details'!$B:$U,D$1,0),"Check"),"")</f>
        <v>AXW</v>
      </c>
      <c r="E510" s="100" t="str">
        <f>IF($B510&lt;&gt;"",_xlfn.IFNA(VLOOKUP($B510,'Node Details'!$B:$U,E$1,0),"Check"),"")</f>
        <v>Airtel</v>
      </c>
      <c r="F510" s="101">
        <v>46114</v>
      </c>
      <c r="G510" s="103"/>
      <c r="H510" s="102" t="s">
        <v>1254</v>
      </c>
      <c r="I510" s="9">
        <v>1</v>
      </c>
      <c r="J510" s="9">
        <v>600</v>
      </c>
      <c r="K510" s="100">
        <f t="shared" si="66"/>
        <v>600</v>
      </c>
      <c r="L510" s="78">
        <v>46112</v>
      </c>
      <c r="M510" s="103"/>
      <c r="N510" s="93" t="s">
        <v>373</v>
      </c>
      <c r="O510" s="94">
        <v>46146</v>
      </c>
      <c r="P510" s="104">
        <f t="shared" si="73"/>
        <v>600</v>
      </c>
      <c r="Q510" s="104">
        <f t="shared" si="74"/>
        <v>600</v>
      </c>
      <c r="R510" s="104"/>
      <c r="S510" s="93" t="s">
        <v>374</v>
      </c>
      <c r="T510" s="94">
        <v>46156</v>
      </c>
      <c r="U510" s="104">
        <f t="shared" si="75"/>
        <v>600</v>
      </c>
      <c r="V510" s="104">
        <f t="shared" si="76"/>
        <v>1</v>
      </c>
      <c r="W510" s="103">
        <f t="shared" si="77"/>
        <v>600</v>
      </c>
      <c r="X510" s="93" t="s">
        <v>89</v>
      </c>
      <c r="Y510" s="105" t="s">
        <v>84</v>
      </c>
      <c r="Z510" s="105" t="s">
        <v>93</v>
      </c>
    </row>
    <row r="511" spans="1:26" s="105" customFormat="1" ht="15" customHeight="1">
      <c r="A511" s="99">
        <f t="shared" si="72"/>
        <v>509</v>
      </c>
      <c r="B511" s="75" t="s">
        <v>454</v>
      </c>
      <c r="C511" s="100" t="str">
        <f>IF($B511&lt;&gt;"",_xlfn.IFNA(VLOOKUP($B511,'Node Details'!$B:$U,C$1,0),"Check"),"")</f>
        <v>AXW080106-AXW080108</v>
      </c>
      <c r="D511" s="100" t="str">
        <f>IF($B511&lt;&gt;"",_xlfn.IFNA(VLOOKUP($B511,'Node Details'!$B:$U,D$1,0),"Check"),"")</f>
        <v>AXW</v>
      </c>
      <c r="E511" s="100" t="str">
        <f>IF($B511&lt;&gt;"",_xlfn.IFNA(VLOOKUP($B511,'Node Details'!$B:$U,E$1,0),"Check"),"")</f>
        <v>Airtel</v>
      </c>
      <c r="F511" s="101">
        <v>46114</v>
      </c>
      <c r="G511" s="103"/>
      <c r="H511" s="102" t="s">
        <v>1254</v>
      </c>
      <c r="I511" s="9">
        <v>1</v>
      </c>
      <c r="J511" s="9">
        <v>600</v>
      </c>
      <c r="K511" s="100">
        <f t="shared" si="66"/>
        <v>600</v>
      </c>
      <c r="L511" s="78">
        <v>46112</v>
      </c>
      <c r="M511" s="103"/>
      <c r="N511" s="93" t="s">
        <v>373</v>
      </c>
      <c r="O511" s="94">
        <v>46146</v>
      </c>
      <c r="P511" s="104">
        <f t="shared" si="73"/>
        <v>600</v>
      </c>
      <c r="Q511" s="104">
        <f t="shared" si="74"/>
        <v>600</v>
      </c>
      <c r="R511" s="104"/>
      <c r="S511" s="93" t="s">
        <v>374</v>
      </c>
      <c r="T511" s="94">
        <v>46156</v>
      </c>
      <c r="U511" s="104">
        <f t="shared" si="75"/>
        <v>600</v>
      </c>
      <c r="V511" s="104">
        <f t="shared" si="76"/>
        <v>1</v>
      </c>
      <c r="W511" s="103">
        <f t="shared" si="77"/>
        <v>600</v>
      </c>
      <c r="X511" s="93" t="s">
        <v>89</v>
      </c>
      <c r="Y511" s="105" t="s">
        <v>84</v>
      </c>
      <c r="Z511" s="105" t="s">
        <v>93</v>
      </c>
    </row>
    <row r="512" spans="1:26" s="105" customFormat="1" ht="15" customHeight="1">
      <c r="A512" s="99">
        <f t="shared" si="72"/>
        <v>510</v>
      </c>
      <c r="B512" s="75" t="s">
        <v>1081</v>
      </c>
      <c r="C512" s="100" t="str">
        <f>IF($B512&lt;&gt;"",_xlfn.IFNA(VLOOKUP($B512,'Node Details'!$B:$U,C$1,0),"Check"),"")</f>
        <v>AXW080106-AXW080202</v>
      </c>
      <c r="D512" s="100" t="str">
        <f>IF($B512&lt;&gt;"",_xlfn.IFNA(VLOOKUP($B512,'Node Details'!$B:$U,D$1,0),"Check"),"")</f>
        <v>AXW</v>
      </c>
      <c r="E512" s="100" t="str">
        <f>IF($B512&lt;&gt;"",_xlfn.IFNA(VLOOKUP($B512,'Node Details'!$B:$U,E$1,0),"Check"),"")</f>
        <v>Airtel</v>
      </c>
      <c r="F512" s="101">
        <v>46114</v>
      </c>
      <c r="G512" s="103"/>
      <c r="H512" s="102" t="s">
        <v>1254</v>
      </c>
      <c r="I512" s="9">
        <v>1</v>
      </c>
      <c r="J512" s="9">
        <v>600</v>
      </c>
      <c r="K512" s="100">
        <f t="shared" si="66"/>
        <v>600</v>
      </c>
      <c r="L512" s="78">
        <v>46112</v>
      </c>
      <c r="M512" s="103"/>
      <c r="N512" s="93" t="s">
        <v>373</v>
      </c>
      <c r="O512" s="94">
        <v>46146</v>
      </c>
      <c r="P512" s="104">
        <f t="shared" si="73"/>
        <v>600</v>
      </c>
      <c r="Q512" s="104">
        <f t="shared" si="74"/>
        <v>600</v>
      </c>
      <c r="R512" s="104"/>
      <c r="S512" s="93" t="s">
        <v>374</v>
      </c>
      <c r="T512" s="94">
        <v>46156</v>
      </c>
      <c r="U512" s="104">
        <f t="shared" si="75"/>
        <v>600</v>
      </c>
      <c r="V512" s="104">
        <f t="shared" si="76"/>
        <v>1</v>
      </c>
      <c r="W512" s="103">
        <f t="shared" si="77"/>
        <v>600</v>
      </c>
      <c r="X512" s="93" t="s">
        <v>89</v>
      </c>
      <c r="Y512" s="105" t="s">
        <v>84</v>
      </c>
      <c r="Z512" s="105" t="s">
        <v>93</v>
      </c>
    </row>
    <row r="513" spans="1:26" s="105" customFormat="1" ht="15" customHeight="1">
      <c r="A513" s="99">
        <f t="shared" si="72"/>
        <v>511</v>
      </c>
      <c r="B513" s="75" t="s">
        <v>456</v>
      </c>
      <c r="C513" s="100" t="str">
        <f>IF($B513&lt;&gt;"",_xlfn.IFNA(VLOOKUP($B513,'Node Details'!$B:$U,C$1,0),"Check"),"")</f>
        <v>AXW080106-AXW080202</v>
      </c>
      <c r="D513" s="100" t="str">
        <f>IF($B513&lt;&gt;"",_xlfn.IFNA(VLOOKUP($B513,'Node Details'!$B:$U,D$1,0),"Check"),"")</f>
        <v>AXW</v>
      </c>
      <c r="E513" s="100" t="str">
        <f>IF($B513&lt;&gt;"",_xlfn.IFNA(VLOOKUP($B513,'Node Details'!$B:$U,E$1,0),"Check"),"")</f>
        <v>Airtel</v>
      </c>
      <c r="F513" s="101">
        <v>46114</v>
      </c>
      <c r="G513" s="103"/>
      <c r="H513" s="102" t="s">
        <v>1254</v>
      </c>
      <c r="I513" s="9">
        <v>1</v>
      </c>
      <c r="J513" s="9">
        <v>600</v>
      </c>
      <c r="K513" s="100">
        <f t="shared" si="66"/>
        <v>600</v>
      </c>
      <c r="L513" s="78">
        <v>46112</v>
      </c>
      <c r="M513" s="103"/>
      <c r="N513" s="93" t="s">
        <v>373</v>
      </c>
      <c r="O513" s="94">
        <v>46146</v>
      </c>
      <c r="P513" s="104">
        <f t="shared" si="73"/>
        <v>600</v>
      </c>
      <c r="Q513" s="104">
        <f t="shared" si="74"/>
        <v>600</v>
      </c>
      <c r="R513" s="104"/>
      <c r="S513" s="93" t="s">
        <v>374</v>
      </c>
      <c r="T513" s="94">
        <v>46156</v>
      </c>
      <c r="U513" s="104">
        <f t="shared" si="75"/>
        <v>600</v>
      </c>
      <c r="V513" s="104">
        <f t="shared" si="76"/>
        <v>1</v>
      </c>
      <c r="W513" s="103">
        <f t="shared" si="77"/>
        <v>600</v>
      </c>
      <c r="X513" s="93" t="s">
        <v>89</v>
      </c>
      <c r="Y513" s="105" t="s">
        <v>84</v>
      </c>
      <c r="Z513" s="105" t="s">
        <v>93</v>
      </c>
    </row>
    <row r="514" spans="1:26" s="105" customFormat="1" ht="15" customHeight="1">
      <c r="A514" s="99">
        <f t="shared" si="72"/>
        <v>512</v>
      </c>
      <c r="B514" s="75" t="s">
        <v>459</v>
      </c>
      <c r="C514" s="100" t="str">
        <f>IF($B514&lt;&gt;"",_xlfn.IFNA(VLOOKUP($B514,'Node Details'!$B:$U,C$1,0),"Check"),"")</f>
        <v>0000AXW09-AXW090101</v>
      </c>
      <c r="D514" s="100" t="str">
        <f>IF($B514&lt;&gt;"",_xlfn.IFNA(VLOOKUP($B514,'Node Details'!$B:$U,D$1,0),"Check"),"")</f>
        <v>AXW</v>
      </c>
      <c r="E514" s="100" t="str">
        <f>IF($B514&lt;&gt;"",_xlfn.IFNA(VLOOKUP($B514,'Node Details'!$B:$U,E$1,0),"Check"),"")</f>
        <v>Airtel</v>
      </c>
      <c r="F514" s="101">
        <v>46114</v>
      </c>
      <c r="G514" s="103"/>
      <c r="H514" s="102" t="s">
        <v>1254</v>
      </c>
      <c r="I514" s="9">
        <v>1</v>
      </c>
      <c r="J514" s="9">
        <v>600</v>
      </c>
      <c r="K514" s="100">
        <f t="shared" si="66"/>
        <v>600</v>
      </c>
      <c r="L514" s="78">
        <v>46112</v>
      </c>
      <c r="M514" s="103"/>
      <c r="N514" s="93" t="s">
        <v>373</v>
      </c>
      <c r="O514" s="94">
        <v>46146</v>
      </c>
      <c r="P514" s="104">
        <f t="shared" si="73"/>
        <v>600</v>
      </c>
      <c r="Q514" s="104">
        <f t="shared" si="74"/>
        <v>600</v>
      </c>
      <c r="R514" s="104"/>
      <c r="S514" s="93" t="s">
        <v>374</v>
      </c>
      <c r="T514" s="94">
        <v>46156</v>
      </c>
      <c r="U514" s="104">
        <f t="shared" si="75"/>
        <v>600</v>
      </c>
      <c r="V514" s="104">
        <f t="shared" si="76"/>
        <v>1</v>
      </c>
      <c r="W514" s="103">
        <f t="shared" si="77"/>
        <v>600</v>
      </c>
      <c r="X514" s="93" t="s">
        <v>89</v>
      </c>
      <c r="Y514" s="105" t="s">
        <v>84</v>
      </c>
      <c r="Z514" s="105" t="s">
        <v>93</v>
      </c>
    </row>
    <row r="515" spans="1:26" s="105" customFormat="1" ht="15" customHeight="1">
      <c r="A515" s="99">
        <f t="shared" si="72"/>
        <v>513</v>
      </c>
      <c r="B515" s="75" t="s">
        <v>461</v>
      </c>
      <c r="C515" s="100" t="str">
        <f>IF($B515&lt;&gt;"",_xlfn.IFNA(VLOOKUP($B515,'Node Details'!$B:$U,C$1,0),"Check"),"")</f>
        <v>0000AXW09-AXW090102</v>
      </c>
      <c r="D515" s="100" t="str">
        <f>IF($B515&lt;&gt;"",_xlfn.IFNA(VLOOKUP($B515,'Node Details'!$B:$U,D$1,0),"Check"),"")</f>
        <v>AXW</v>
      </c>
      <c r="E515" s="100" t="str">
        <f>IF($B515&lt;&gt;"",_xlfn.IFNA(VLOOKUP($B515,'Node Details'!$B:$U,E$1,0),"Check"),"")</f>
        <v>Airtel</v>
      </c>
      <c r="F515" s="101">
        <v>46114</v>
      </c>
      <c r="G515" s="103"/>
      <c r="H515" s="102" t="s">
        <v>1254</v>
      </c>
      <c r="I515" s="9">
        <v>1</v>
      </c>
      <c r="J515" s="9">
        <v>600</v>
      </c>
      <c r="K515" s="100">
        <f t="shared" si="66"/>
        <v>600</v>
      </c>
      <c r="L515" s="78">
        <v>46112</v>
      </c>
      <c r="M515" s="103"/>
      <c r="N515" s="93" t="s">
        <v>373</v>
      </c>
      <c r="O515" s="94">
        <v>46146</v>
      </c>
      <c r="P515" s="104">
        <f t="shared" si="73"/>
        <v>600</v>
      </c>
      <c r="Q515" s="104">
        <f t="shared" si="74"/>
        <v>600</v>
      </c>
      <c r="R515" s="104"/>
      <c r="S515" s="93" t="s">
        <v>374</v>
      </c>
      <c r="T515" s="94">
        <v>46156</v>
      </c>
      <c r="U515" s="104">
        <f t="shared" si="75"/>
        <v>600</v>
      </c>
      <c r="V515" s="104">
        <f t="shared" si="76"/>
        <v>1</v>
      </c>
      <c r="W515" s="103">
        <f t="shared" si="77"/>
        <v>600</v>
      </c>
      <c r="X515" s="93" t="s">
        <v>89</v>
      </c>
      <c r="Y515" s="105" t="s">
        <v>84</v>
      </c>
      <c r="Z515" s="105" t="s">
        <v>93</v>
      </c>
    </row>
    <row r="516" spans="1:26" s="105" customFormat="1" ht="15" customHeight="1">
      <c r="A516" s="99">
        <f t="shared" si="72"/>
        <v>514</v>
      </c>
      <c r="B516" s="75" t="s">
        <v>1082</v>
      </c>
      <c r="C516" s="100" t="str">
        <f>IF($B516&lt;&gt;"",_xlfn.IFNA(VLOOKUP($B516,'Node Details'!$B:$U,C$1,0),"Check"),"")</f>
        <v>0000AXW09-AXW090106</v>
      </c>
      <c r="D516" s="100" t="str">
        <f>IF($B516&lt;&gt;"",_xlfn.IFNA(VLOOKUP($B516,'Node Details'!$B:$U,D$1,0),"Check"),"")</f>
        <v>AXW</v>
      </c>
      <c r="E516" s="100" t="str">
        <f>IF($B516&lt;&gt;"",_xlfn.IFNA(VLOOKUP($B516,'Node Details'!$B:$U,E$1,0),"Check"),"")</f>
        <v>Airtel</v>
      </c>
      <c r="F516" s="101">
        <v>46114</v>
      </c>
      <c r="G516" s="103"/>
      <c r="H516" s="102" t="s">
        <v>1254</v>
      </c>
      <c r="I516" s="9">
        <v>1</v>
      </c>
      <c r="J516" s="9">
        <v>600</v>
      </c>
      <c r="K516" s="100">
        <f t="shared" ref="K516:K579" si="78">IF(I516&lt;&gt;"",J516*I516,0)</f>
        <v>600</v>
      </c>
      <c r="L516" s="78">
        <v>46112</v>
      </c>
      <c r="M516" s="103"/>
      <c r="N516" s="93" t="s">
        <v>373</v>
      </c>
      <c r="O516" s="94">
        <v>46146</v>
      </c>
      <c r="P516" s="104">
        <f t="shared" si="73"/>
        <v>600</v>
      </c>
      <c r="Q516" s="104">
        <f t="shared" si="74"/>
        <v>600</v>
      </c>
      <c r="R516" s="104"/>
      <c r="S516" s="93" t="s">
        <v>374</v>
      </c>
      <c r="T516" s="94">
        <v>46156</v>
      </c>
      <c r="U516" s="104">
        <f t="shared" si="75"/>
        <v>600</v>
      </c>
      <c r="V516" s="104">
        <f t="shared" si="76"/>
        <v>1</v>
      </c>
      <c r="W516" s="103">
        <f t="shared" si="77"/>
        <v>600</v>
      </c>
      <c r="X516" s="93" t="s">
        <v>89</v>
      </c>
      <c r="Y516" s="105" t="s">
        <v>84</v>
      </c>
      <c r="Z516" s="105" t="s">
        <v>93</v>
      </c>
    </row>
    <row r="517" spans="1:26" s="105" customFormat="1" ht="15" customHeight="1">
      <c r="A517" s="99">
        <f t="shared" ref="A517:A580" si="79">A516+1</f>
        <v>515</v>
      </c>
      <c r="B517" s="75" t="s">
        <v>1083</v>
      </c>
      <c r="C517" s="100" t="str">
        <f>IF($B517&lt;&gt;"",_xlfn.IFNA(VLOOKUP($B517,'Node Details'!$B:$U,C$1,0),"Check"),"")</f>
        <v>0000AXW09-AXW090106</v>
      </c>
      <c r="D517" s="100" t="str">
        <f>IF($B517&lt;&gt;"",_xlfn.IFNA(VLOOKUP($B517,'Node Details'!$B:$U,D$1,0),"Check"),"")</f>
        <v>AXW</v>
      </c>
      <c r="E517" s="100" t="str">
        <f>IF($B517&lt;&gt;"",_xlfn.IFNA(VLOOKUP($B517,'Node Details'!$B:$U,E$1,0),"Check"),"")</f>
        <v>Airtel</v>
      </c>
      <c r="F517" s="101">
        <v>46114</v>
      </c>
      <c r="G517" s="103"/>
      <c r="H517" s="102" t="s">
        <v>1254</v>
      </c>
      <c r="I517" s="9">
        <v>1</v>
      </c>
      <c r="J517" s="9">
        <v>600</v>
      </c>
      <c r="K517" s="100">
        <f t="shared" si="78"/>
        <v>600</v>
      </c>
      <c r="L517" s="78">
        <v>46112</v>
      </c>
      <c r="M517" s="103"/>
      <c r="N517" s="93" t="s">
        <v>373</v>
      </c>
      <c r="O517" s="94">
        <v>46146</v>
      </c>
      <c r="P517" s="104">
        <f t="shared" ref="P517:P580" si="80">J517</f>
        <v>600</v>
      </c>
      <c r="Q517" s="104">
        <f t="shared" ref="Q517:Q580" si="81">P517*I517</f>
        <v>600</v>
      </c>
      <c r="R517" s="104"/>
      <c r="S517" s="93" t="s">
        <v>374</v>
      </c>
      <c r="T517" s="94">
        <v>46156</v>
      </c>
      <c r="U517" s="104">
        <f t="shared" ref="U517:U580" si="82">J517</f>
        <v>600</v>
      </c>
      <c r="V517" s="104">
        <f t="shared" ref="V517:V580" si="83">I517</f>
        <v>1</v>
      </c>
      <c r="W517" s="103">
        <f t="shared" ref="W517:W580" si="84">IF(V517&lt;&gt;"",V517*U517,0)</f>
        <v>600</v>
      </c>
      <c r="X517" s="93" t="s">
        <v>89</v>
      </c>
      <c r="Y517" s="105" t="s">
        <v>84</v>
      </c>
      <c r="Z517" s="105" t="s">
        <v>93</v>
      </c>
    </row>
    <row r="518" spans="1:26" s="105" customFormat="1" ht="15" customHeight="1">
      <c r="A518" s="99">
        <f t="shared" si="79"/>
        <v>516</v>
      </c>
      <c r="B518" s="75" t="s">
        <v>1084</v>
      </c>
      <c r="C518" s="100" t="str">
        <f>IF($B518&lt;&gt;"",_xlfn.IFNA(VLOOKUP($B518,'Node Details'!$B:$U,C$1,0),"Check"),"")</f>
        <v>0000AXW09-AXW090106</v>
      </c>
      <c r="D518" s="100" t="str">
        <f>IF($B518&lt;&gt;"",_xlfn.IFNA(VLOOKUP($B518,'Node Details'!$B:$U,D$1,0),"Check"),"")</f>
        <v>AXW</v>
      </c>
      <c r="E518" s="100" t="str">
        <f>IF($B518&lt;&gt;"",_xlfn.IFNA(VLOOKUP($B518,'Node Details'!$B:$U,E$1,0),"Check"),"")</f>
        <v>Airtel</v>
      </c>
      <c r="F518" s="101">
        <v>46114</v>
      </c>
      <c r="G518" s="103"/>
      <c r="H518" s="102" t="s">
        <v>1254</v>
      </c>
      <c r="I518" s="9">
        <v>1</v>
      </c>
      <c r="J518" s="9">
        <v>600</v>
      </c>
      <c r="K518" s="100">
        <f t="shared" si="78"/>
        <v>600</v>
      </c>
      <c r="L518" s="78">
        <v>46112</v>
      </c>
      <c r="M518" s="103"/>
      <c r="N518" s="93" t="s">
        <v>373</v>
      </c>
      <c r="O518" s="94">
        <v>46146</v>
      </c>
      <c r="P518" s="104">
        <f t="shared" si="80"/>
        <v>600</v>
      </c>
      <c r="Q518" s="104">
        <f t="shared" si="81"/>
        <v>600</v>
      </c>
      <c r="R518" s="104"/>
      <c r="S518" s="93" t="s">
        <v>374</v>
      </c>
      <c r="T518" s="94">
        <v>46156</v>
      </c>
      <c r="U518" s="104">
        <f t="shared" si="82"/>
        <v>600</v>
      </c>
      <c r="V518" s="104">
        <f t="shared" si="83"/>
        <v>1</v>
      </c>
      <c r="W518" s="103">
        <f t="shared" si="84"/>
        <v>600</v>
      </c>
      <c r="X518" s="93" t="s">
        <v>89</v>
      </c>
      <c r="Y518" s="105" t="s">
        <v>84</v>
      </c>
      <c r="Z518" s="105" t="s">
        <v>93</v>
      </c>
    </row>
    <row r="519" spans="1:26" s="105" customFormat="1" ht="15" customHeight="1">
      <c r="A519" s="99">
        <f t="shared" si="79"/>
        <v>517</v>
      </c>
      <c r="B519" s="75" t="s">
        <v>463</v>
      </c>
      <c r="C519" s="100" t="str">
        <f>IF($B519&lt;&gt;"",_xlfn.IFNA(VLOOKUP($B519,'Node Details'!$B:$U,C$1,0),"Check"),"")</f>
        <v>0000AXW09-AXW090106</v>
      </c>
      <c r="D519" s="100" t="str">
        <f>IF($B519&lt;&gt;"",_xlfn.IFNA(VLOOKUP($B519,'Node Details'!$B:$U,D$1,0),"Check"),"")</f>
        <v>AXW</v>
      </c>
      <c r="E519" s="100" t="str">
        <f>IF($B519&lt;&gt;"",_xlfn.IFNA(VLOOKUP($B519,'Node Details'!$B:$U,E$1,0),"Check"),"")</f>
        <v>Airtel</v>
      </c>
      <c r="F519" s="101">
        <v>46114</v>
      </c>
      <c r="G519" s="103"/>
      <c r="H519" s="102" t="s">
        <v>1254</v>
      </c>
      <c r="I519" s="9">
        <v>1</v>
      </c>
      <c r="J519" s="9">
        <v>600</v>
      </c>
      <c r="K519" s="100">
        <f t="shared" si="78"/>
        <v>600</v>
      </c>
      <c r="L519" s="78">
        <v>46112</v>
      </c>
      <c r="M519" s="103"/>
      <c r="N519" s="93" t="s">
        <v>373</v>
      </c>
      <c r="O519" s="94">
        <v>46146</v>
      </c>
      <c r="P519" s="104">
        <f t="shared" si="80"/>
        <v>600</v>
      </c>
      <c r="Q519" s="104">
        <f t="shared" si="81"/>
        <v>600</v>
      </c>
      <c r="R519" s="104"/>
      <c r="S519" s="93" t="s">
        <v>374</v>
      </c>
      <c r="T519" s="94">
        <v>46156</v>
      </c>
      <c r="U519" s="104">
        <f t="shared" si="82"/>
        <v>600</v>
      </c>
      <c r="V519" s="104">
        <f t="shared" si="83"/>
        <v>1</v>
      </c>
      <c r="W519" s="103">
        <f t="shared" si="84"/>
        <v>600</v>
      </c>
      <c r="X519" s="93" t="s">
        <v>89</v>
      </c>
      <c r="Y519" s="105" t="s">
        <v>84</v>
      </c>
      <c r="Z519" s="105" t="s">
        <v>93</v>
      </c>
    </row>
    <row r="520" spans="1:26" s="105" customFormat="1" ht="15" customHeight="1">
      <c r="A520" s="99">
        <f t="shared" si="79"/>
        <v>518</v>
      </c>
      <c r="B520" s="75" t="s">
        <v>471</v>
      </c>
      <c r="C520" s="100" t="str">
        <f>IF($B520&lt;&gt;"",_xlfn.IFNA(VLOOKUP($B520,'Node Details'!$B:$U,C$1,0),"Check"),"")</f>
        <v>0000AXW10-AXW100107</v>
      </c>
      <c r="D520" s="100" t="str">
        <f>IF($B520&lt;&gt;"",_xlfn.IFNA(VLOOKUP($B520,'Node Details'!$B:$U,D$1,0),"Check"),"")</f>
        <v>AXW</v>
      </c>
      <c r="E520" s="100" t="str">
        <f>IF($B520&lt;&gt;"",_xlfn.IFNA(VLOOKUP($B520,'Node Details'!$B:$U,E$1,0),"Check"),"")</f>
        <v>Airtel</v>
      </c>
      <c r="F520" s="101">
        <v>46114</v>
      </c>
      <c r="G520" s="103"/>
      <c r="H520" s="102" t="s">
        <v>1254</v>
      </c>
      <c r="I520" s="9">
        <v>1</v>
      </c>
      <c r="J520" s="9">
        <v>600</v>
      </c>
      <c r="K520" s="100">
        <f t="shared" si="78"/>
        <v>600</v>
      </c>
      <c r="L520" s="78">
        <v>46112</v>
      </c>
      <c r="M520" s="103"/>
      <c r="N520" s="93" t="s">
        <v>373</v>
      </c>
      <c r="O520" s="94">
        <v>46146</v>
      </c>
      <c r="P520" s="104">
        <f t="shared" si="80"/>
        <v>600</v>
      </c>
      <c r="Q520" s="104">
        <f t="shared" si="81"/>
        <v>600</v>
      </c>
      <c r="R520" s="104"/>
      <c r="S520" s="93" t="s">
        <v>374</v>
      </c>
      <c r="T520" s="94">
        <v>46156</v>
      </c>
      <c r="U520" s="104">
        <f t="shared" si="82"/>
        <v>600</v>
      </c>
      <c r="V520" s="104">
        <f t="shared" si="83"/>
        <v>1</v>
      </c>
      <c r="W520" s="103">
        <f t="shared" si="84"/>
        <v>600</v>
      </c>
      <c r="X520" s="93" t="s">
        <v>89</v>
      </c>
      <c r="Y520" s="105" t="s">
        <v>84</v>
      </c>
      <c r="Z520" s="105" t="s">
        <v>93</v>
      </c>
    </row>
    <row r="521" spans="1:26" s="105" customFormat="1" ht="15" customHeight="1">
      <c r="A521" s="99">
        <f t="shared" si="79"/>
        <v>519</v>
      </c>
      <c r="B521" s="75" t="s">
        <v>467</v>
      </c>
      <c r="C521" s="100" t="str">
        <f>IF($B521&lt;&gt;"",_xlfn.IFNA(VLOOKUP($B521,'Node Details'!$B:$U,C$1,0),"Check"),"")</f>
        <v>0000AXW10-AXW100102</v>
      </c>
      <c r="D521" s="100" t="str">
        <f>IF($B521&lt;&gt;"",_xlfn.IFNA(VLOOKUP($B521,'Node Details'!$B:$U,D$1,0),"Check"),"")</f>
        <v>AXW</v>
      </c>
      <c r="E521" s="100" t="str">
        <f>IF($B521&lt;&gt;"",_xlfn.IFNA(VLOOKUP($B521,'Node Details'!$B:$U,E$1,0),"Check"),"")</f>
        <v>Airtel</v>
      </c>
      <c r="F521" s="101">
        <v>46114</v>
      </c>
      <c r="G521" s="103"/>
      <c r="H521" s="102" t="s">
        <v>1254</v>
      </c>
      <c r="I521" s="9">
        <v>1</v>
      </c>
      <c r="J521" s="9">
        <v>600</v>
      </c>
      <c r="K521" s="100">
        <f t="shared" si="78"/>
        <v>600</v>
      </c>
      <c r="L521" s="78">
        <v>46112</v>
      </c>
      <c r="M521" s="103"/>
      <c r="N521" s="93" t="s">
        <v>373</v>
      </c>
      <c r="O521" s="94">
        <v>46146</v>
      </c>
      <c r="P521" s="104">
        <f t="shared" si="80"/>
        <v>600</v>
      </c>
      <c r="Q521" s="104">
        <f t="shared" si="81"/>
        <v>600</v>
      </c>
      <c r="R521" s="104"/>
      <c r="S521" s="93" t="s">
        <v>374</v>
      </c>
      <c r="T521" s="94">
        <v>46156</v>
      </c>
      <c r="U521" s="104">
        <f t="shared" si="82"/>
        <v>600</v>
      </c>
      <c r="V521" s="104">
        <f t="shared" si="83"/>
        <v>1</v>
      </c>
      <c r="W521" s="103">
        <f t="shared" si="84"/>
        <v>600</v>
      </c>
      <c r="X521" s="93" t="s">
        <v>89</v>
      </c>
      <c r="Y521" s="105" t="s">
        <v>84</v>
      </c>
      <c r="Z521" s="105" t="s">
        <v>93</v>
      </c>
    </row>
    <row r="522" spans="1:26" s="105" customFormat="1" ht="15" customHeight="1">
      <c r="A522" s="99">
        <f t="shared" si="79"/>
        <v>520</v>
      </c>
      <c r="B522" s="75" t="s">
        <v>1085</v>
      </c>
      <c r="C522" s="100" t="str">
        <f>IF($B522&lt;&gt;"",_xlfn.IFNA(VLOOKUP($B522,'Node Details'!$B:$U,C$1,0),"Check"),"")</f>
        <v>0000AXW10-AXW100105</v>
      </c>
      <c r="D522" s="100" t="str">
        <f>IF($B522&lt;&gt;"",_xlfn.IFNA(VLOOKUP($B522,'Node Details'!$B:$U,D$1,0),"Check"),"")</f>
        <v>AXW</v>
      </c>
      <c r="E522" s="100" t="str">
        <f>IF($B522&lt;&gt;"",_xlfn.IFNA(VLOOKUP($B522,'Node Details'!$B:$U,E$1,0),"Check"),"")</f>
        <v>Airtel</v>
      </c>
      <c r="F522" s="101">
        <v>46114</v>
      </c>
      <c r="G522" s="103"/>
      <c r="H522" s="102" t="s">
        <v>1254</v>
      </c>
      <c r="I522" s="9">
        <v>1</v>
      </c>
      <c r="J522" s="9">
        <v>600</v>
      </c>
      <c r="K522" s="100">
        <f t="shared" si="78"/>
        <v>600</v>
      </c>
      <c r="L522" s="78">
        <v>46112</v>
      </c>
      <c r="M522" s="103"/>
      <c r="N522" s="93" t="s">
        <v>373</v>
      </c>
      <c r="O522" s="94">
        <v>46146</v>
      </c>
      <c r="P522" s="104">
        <f t="shared" si="80"/>
        <v>600</v>
      </c>
      <c r="Q522" s="104">
        <f t="shared" si="81"/>
        <v>600</v>
      </c>
      <c r="R522" s="104"/>
      <c r="S522" s="93" t="s">
        <v>374</v>
      </c>
      <c r="T522" s="94">
        <v>46156</v>
      </c>
      <c r="U522" s="104">
        <f t="shared" si="82"/>
        <v>600</v>
      </c>
      <c r="V522" s="104">
        <f t="shared" si="83"/>
        <v>1</v>
      </c>
      <c r="W522" s="103">
        <f t="shared" si="84"/>
        <v>600</v>
      </c>
      <c r="X522" s="93" t="s">
        <v>89</v>
      </c>
      <c r="Y522" s="105" t="s">
        <v>84</v>
      </c>
      <c r="Z522" s="105" t="s">
        <v>93</v>
      </c>
    </row>
    <row r="523" spans="1:26" s="105" customFormat="1" ht="15" customHeight="1">
      <c r="A523" s="99">
        <f t="shared" si="79"/>
        <v>521</v>
      </c>
      <c r="B523" s="75" t="s">
        <v>1086</v>
      </c>
      <c r="C523" s="100" t="str">
        <f>IF($B523&lt;&gt;"",_xlfn.IFNA(VLOOKUP($B523,'Node Details'!$B:$U,C$1,0),"Check"),"")</f>
        <v>0000AXW10-AXW100105</v>
      </c>
      <c r="D523" s="100" t="str">
        <f>IF($B523&lt;&gt;"",_xlfn.IFNA(VLOOKUP($B523,'Node Details'!$B:$U,D$1,0),"Check"),"")</f>
        <v>AXW</v>
      </c>
      <c r="E523" s="100" t="str">
        <f>IF($B523&lt;&gt;"",_xlfn.IFNA(VLOOKUP($B523,'Node Details'!$B:$U,E$1,0),"Check"),"")</f>
        <v>Airtel</v>
      </c>
      <c r="F523" s="101">
        <v>46114</v>
      </c>
      <c r="G523" s="103"/>
      <c r="H523" s="102" t="s">
        <v>1254</v>
      </c>
      <c r="I523" s="9">
        <v>1</v>
      </c>
      <c r="J523" s="9">
        <v>600</v>
      </c>
      <c r="K523" s="100">
        <f t="shared" si="78"/>
        <v>600</v>
      </c>
      <c r="L523" s="78">
        <v>46112</v>
      </c>
      <c r="M523" s="103"/>
      <c r="N523" s="93" t="s">
        <v>373</v>
      </c>
      <c r="O523" s="94">
        <v>46146</v>
      </c>
      <c r="P523" s="104">
        <f t="shared" si="80"/>
        <v>600</v>
      </c>
      <c r="Q523" s="104">
        <f t="shared" si="81"/>
        <v>600</v>
      </c>
      <c r="R523" s="104"/>
      <c r="S523" s="93" t="s">
        <v>374</v>
      </c>
      <c r="T523" s="94">
        <v>46156</v>
      </c>
      <c r="U523" s="104">
        <f t="shared" si="82"/>
        <v>600</v>
      </c>
      <c r="V523" s="104">
        <f t="shared" si="83"/>
        <v>1</v>
      </c>
      <c r="W523" s="103">
        <f t="shared" si="84"/>
        <v>600</v>
      </c>
      <c r="X523" s="93" t="s">
        <v>89</v>
      </c>
      <c r="Y523" s="105" t="s">
        <v>84</v>
      </c>
      <c r="Z523" s="105" t="s">
        <v>93</v>
      </c>
    </row>
    <row r="524" spans="1:26" s="105" customFormat="1" ht="15" customHeight="1">
      <c r="A524" s="99">
        <f t="shared" si="79"/>
        <v>522</v>
      </c>
      <c r="B524" s="75" t="s">
        <v>469</v>
      </c>
      <c r="C524" s="100" t="str">
        <f>IF($B524&lt;&gt;"",_xlfn.IFNA(VLOOKUP($B524,'Node Details'!$B:$U,C$1,0),"Check"),"")</f>
        <v>0000AXW10-AXW100105</v>
      </c>
      <c r="D524" s="100" t="str">
        <f>IF($B524&lt;&gt;"",_xlfn.IFNA(VLOOKUP($B524,'Node Details'!$B:$U,D$1,0),"Check"),"")</f>
        <v>AXW</v>
      </c>
      <c r="E524" s="100" t="str">
        <f>IF($B524&lt;&gt;"",_xlfn.IFNA(VLOOKUP($B524,'Node Details'!$B:$U,E$1,0),"Check"),"")</f>
        <v>Airtel</v>
      </c>
      <c r="F524" s="101">
        <v>46114</v>
      </c>
      <c r="G524" s="103"/>
      <c r="H524" s="102" t="s">
        <v>1254</v>
      </c>
      <c r="I524" s="9">
        <v>1</v>
      </c>
      <c r="J524" s="9">
        <v>600</v>
      </c>
      <c r="K524" s="100">
        <f t="shared" si="78"/>
        <v>600</v>
      </c>
      <c r="L524" s="78">
        <v>46112</v>
      </c>
      <c r="M524" s="103"/>
      <c r="N524" s="93" t="s">
        <v>373</v>
      </c>
      <c r="O524" s="94">
        <v>46146</v>
      </c>
      <c r="P524" s="104">
        <f t="shared" si="80"/>
        <v>600</v>
      </c>
      <c r="Q524" s="104">
        <f t="shared" si="81"/>
        <v>600</v>
      </c>
      <c r="R524" s="104"/>
      <c r="S524" s="93" t="s">
        <v>374</v>
      </c>
      <c r="T524" s="94">
        <v>46156</v>
      </c>
      <c r="U524" s="104">
        <f t="shared" si="82"/>
        <v>600</v>
      </c>
      <c r="V524" s="104">
        <f t="shared" si="83"/>
        <v>1</v>
      </c>
      <c r="W524" s="103">
        <f t="shared" si="84"/>
        <v>600</v>
      </c>
      <c r="X524" s="93" t="s">
        <v>89</v>
      </c>
      <c r="Y524" s="105" t="s">
        <v>84</v>
      </c>
      <c r="Z524" s="105" t="s">
        <v>93</v>
      </c>
    </row>
    <row r="525" spans="1:26" s="105" customFormat="1" ht="15" customHeight="1">
      <c r="A525" s="99">
        <f t="shared" si="79"/>
        <v>523</v>
      </c>
      <c r="B525" s="75" t="s">
        <v>1087</v>
      </c>
      <c r="C525" s="100" t="str">
        <f>IF($B525&lt;&gt;"",_xlfn.IFNA(VLOOKUP($B525,'Node Details'!$B:$U,C$1,0),"Check"),"")</f>
        <v>0000AXW10-AXW100107</v>
      </c>
      <c r="D525" s="100" t="str">
        <f>IF($B525&lt;&gt;"",_xlfn.IFNA(VLOOKUP($B525,'Node Details'!$B:$U,D$1,0),"Check"),"")</f>
        <v>AXW</v>
      </c>
      <c r="E525" s="100" t="str">
        <f>IF($B525&lt;&gt;"",_xlfn.IFNA(VLOOKUP($B525,'Node Details'!$B:$U,E$1,0),"Check"),"")</f>
        <v>Airtel</v>
      </c>
      <c r="F525" s="101">
        <v>46114</v>
      </c>
      <c r="G525" s="103"/>
      <c r="H525" s="102" t="s">
        <v>1254</v>
      </c>
      <c r="I525" s="9">
        <v>1</v>
      </c>
      <c r="J525" s="9">
        <v>600</v>
      </c>
      <c r="K525" s="100">
        <f t="shared" si="78"/>
        <v>600</v>
      </c>
      <c r="L525" s="78">
        <v>46112</v>
      </c>
      <c r="M525" s="103"/>
      <c r="N525" s="93" t="s">
        <v>373</v>
      </c>
      <c r="O525" s="94">
        <v>46146</v>
      </c>
      <c r="P525" s="104">
        <f t="shared" si="80"/>
        <v>600</v>
      </c>
      <c r="Q525" s="104">
        <f t="shared" si="81"/>
        <v>600</v>
      </c>
      <c r="R525" s="104"/>
      <c r="S525" s="93" t="s">
        <v>374</v>
      </c>
      <c r="T525" s="94">
        <v>46156</v>
      </c>
      <c r="U525" s="104">
        <f t="shared" si="82"/>
        <v>600</v>
      </c>
      <c r="V525" s="104">
        <f t="shared" si="83"/>
        <v>1</v>
      </c>
      <c r="W525" s="103">
        <f t="shared" si="84"/>
        <v>600</v>
      </c>
      <c r="X525" s="93" t="s">
        <v>89</v>
      </c>
      <c r="Y525" s="105" t="s">
        <v>84</v>
      </c>
      <c r="Z525" s="105" t="s">
        <v>93</v>
      </c>
    </row>
    <row r="526" spans="1:26" s="105" customFormat="1" ht="15" customHeight="1">
      <c r="A526" s="99">
        <f t="shared" si="79"/>
        <v>524</v>
      </c>
      <c r="B526" s="75" t="s">
        <v>465</v>
      </c>
      <c r="C526" s="100" t="str">
        <f>IF($B526&lt;&gt;"",_xlfn.IFNA(VLOOKUP($B526,'Node Details'!$B:$U,C$1,0),"Check"),"")</f>
        <v>0000AXW10-AXW100107</v>
      </c>
      <c r="D526" s="100" t="str">
        <f>IF($B526&lt;&gt;"",_xlfn.IFNA(VLOOKUP($B526,'Node Details'!$B:$U,D$1,0),"Check"),"")</f>
        <v>AXW</v>
      </c>
      <c r="E526" s="100" t="str">
        <f>IF($B526&lt;&gt;"",_xlfn.IFNA(VLOOKUP($B526,'Node Details'!$B:$U,E$1,0),"Check"),"")</f>
        <v>Airtel</v>
      </c>
      <c r="F526" s="101">
        <v>46114</v>
      </c>
      <c r="G526" s="103"/>
      <c r="H526" s="102" t="s">
        <v>1254</v>
      </c>
      <c r="I526" s="9">
        <v>1</v>
      </c>
      <c r="J526" s="9">
        <v>600</v>
      </c>
      <c r="K526" s="100">
        <f t="shared" si="78"/>
        <v>600</v>
      </c>
      <c r="L526" s="78">
        <v>46112</v>
      </c>
      <c r="M526" s="103"/>
      <c r="N526" s="93" t="s">
        <v>373</v>
      </c>
      <c r="O526" s="94">
        <v>46146</v>
      </c>
      <c r="P526" s="104">
        <f t="shared" si="80"/>
        <v>600</v>
      </c>
      <c r="Q526" s="104">
        <f t="shared" si="81"/>
        <v>600</v>
      </c>
      <c r="R526" s="104"/>
      <c r="S526" s="93" t="s">
        <v>374</v>
      </c>
      <c r="T526" s="94">
        <v>46156</v>
      </c>
      <c r="U526" s="104">
        <f t="shared" si="82"/>
        <v>600</v>
      </c>
      <c r="V526" s="104">
        <f t="shared" si="83"/>
        <v>1</v>
      </c>
      <c r="W526" s="103">
        <f t="shared" si="84"/>
        <v>600</v>
      </c>
      <c r="X526" s="93" t="s">
        <v>89</v>
      </c>
      <c r="Y526" s="105" t="s">
        <v>84</v>
      </c>
      <c r="Z526" s="105" t="s">
        <v>93</v>
      </c>
    </row>
    <row r="527" spans="1:26" s="105" customFormat="1" ht="15" customHeight="1">
      <c r="A527" s="99">
        <f t="shared" si="79"/>
        <v>525</v>
      </c>
      <c r="B527" s="75" t="s">
        <v>1088</v>
      </c>
      <c r="C527" s="100" t="str">
        <f>IF($B527&lt;&gt;"",_xlfn.IFNA(VLOOKUP($B527,'Node Details'!$B:$U,C$1,0),"Check"),"")</f>
        <v>AXW100101-AXW100201</v>
      </c>
      <c r="D527" s="100" t="str">
        <f>IF($B527&lt;&gt;"",_xlfn.IFNA(VLOOKUP($B527,'Node Details'!$B:$U,D$1,0),"Check"),"")</f>
        <v>AXW</v>
      </c>
      <c r="E527" s="100" t="str">
        <f>IF($B527&lt;&gt;"",_xlfn.IFNA(VLOOKUP($B527,'Node Details'!$B:$U,E$1,0),"Check"),"")</f>
        <v>Airtel</v>
      </c>
      <c r="F527" s="101">
        <v>46114</v>
      </c>
      <c r="G527" s="103"/>
      <c r="H527" s="102" t="s">
        <v>1254</v>
      </c>
      <c r="I527" s="9">
        <v>1</v>
      </c>
      <c r="J527" s="9">
        <v>600</v>
      </c>
      <c r="K527" s="100">
        <f t="shared" si="78"/>
        <v>600</v>
      </c>
      <c r="L527" s="78">
        <v>46112</v>
      </c>
      <c r="M527" s="103"/>
      <c r="N527" s="93" t="s">
        <v>373</v>
      </c>
      <c r="O527" s="94">
        <v>46146</v>
      </c>
      <c r="P527" s="104">
        <f t="shared" si="80"/>
        <v>600</v>
      </c>
      <c r="Q527" s="104">
        <f t="shared" si="81"/>
        <v>600</v>
      </c>
      <c r="R527" s="104"/>
      <c r="S527" s="93" t="s">
        <v>374</v>
      </c>
      <c r="T527" s="94">
        <v>46156</v>
      </c>
      <c r="U527" s="104">
        <f t="shared" si="82"/>
        <v>600</v>
      </c>
      <c r="V527" s="104">
        <f t="shared" si="83"/>
        <v>1</v>
      </c>
      <c r="W527" s="103">
        <f t="shared" si="84"/>
        <v>600</v>
      </c>
      <c r="X527" s="93" t="s">
        <v>89</v>
      </c>
      <c r="Y527" s="105" t="s">
        <v>84</v>
      </c>
      <c r="Z527" s="105" t="s">
        <v>93</v>
      </c>
    </row>
    <row r="528" spans="1:26" s="105" customFormat="1" ht="15" customHeight="1">
      <c r="A528" s="99">
        <f t="shared" si="79"/>
        <v>526</v>
      </c>
      <c r="B528" s="75" t="s">
        <v>472</v>
      </c>
      <c r="C528" s="100" t="str">
        <f>IF($B528&lt;&gt;"",_xlfn.IFNA(VLOOKUP($B528,'Node Details'!$B:$U,C$1,0),"Check"),"")</f>
        <v>AXW100101-AXW100201</v>
      </c>
      <c r="D528" s="100" t="str">
        <f>IF($B528&lt;&gt;"",_xlfn.IFNA(VLOOKUP($B528,'Node Details'!$B:$U,D$1,0),"Check"),"")</f>
        <v>AXW</v>
      </c>
      <c r="E528" s="100" t="str">
        <f>IF($B528&lt;&gt;"",_xlfn.IFNA(VLOOKUP($B528,'Node Details'!$B:$U,E$1,0),"Check"),"")</f>
        <v>Airtel</v>
      </c>
      <c r="F528" s="101">
        <v>46114</v>
      </c>
      <c r="G528" s="103"/>
      <c r="H528" s="102" t="s">
        <v>1254</v>
      </c>
      <c r="I528" s="9">
        <v>1</v>
      </c>
      <c r="J528" s="9">
        <v>600</v>
      </c>
      <c r="K528" s="100">
        <f t="shared" si="78"/>
        <v>600</v>
      </c>
      <c r="L528" s="78">
        <v>46112</v>
      </c>
      <c r="M528" s="103"/>
      <c r="N528" s="93" t="s">
        <v>373</v>
      </c>
      <c r="O528" s="94">
        <v>46146</v>
      </c>
      <c r="P528" s="104">
        <f t="shared" si="80"/>
        <v>600</v>
      </c>
      <c r="Q528" s="104">
        <f t="shared" si="81"/>
        <v>600</v>
      </c>
      <c r="R528" s="104"/>
      <c r="S528" s="93" t="s">
        <v>374</v>
      </c>
      <c r="T528" s="94">
        <v>46156</v>
      </c>
      <c r="U528" s="104">
        <f t="shared" si="82"/>
        <v>600</v>
      </c>
      <c r="V528" s="104">
        <f t="shared" si="83"/>
        <v>1</v>
      </c>
      <c r="W528" s="103">
        <f t="shared" si="84"/>
        <v>600</v>
      </c>
      <c r="X528" s="93" t="s">
        <v>89</v>
      </c>
      <c r="Y528" s="105" t="s">
        <v>84</v>
      </c>
      <c r="Z528" s="105" t="s">
        <v>93</v>
      </c>
    </row>
    <row r="529" spans="1:26" s="105" customFormat="1" ht="15" customHeight="1">
      <c r="A529" s="99">
        <f t="shared" si="79"/>
        <v>527</v>
      </c>
      <c r="B529" s="75" t="s">
        <v>475</v>
      </c>
      <c r="C529" s="100" t="str">
        <f>IF($B529&lt;&gt;"",_xlfn.IFNA(VLOOKUP($B529,'Node Details'!$B:$U,C$1,0),"Check"),"")</f>
        <v>0000AXW11-AXW110101</v>
      </c>
      <c r="D529" s="100" t="str">
        <f>IF($B529&lt;&gt;"",_xlfn.IFNA(VLOOKUP($B529,'Node Details'!$B:$U,D$1,0),"Check"),"")</f>
        <v>AXW</v>
      </c>
      <c r="E529" s="100" t="str">
        <f>IF($B529&lt;&gt;"",_xlfn.IFNA(VLOOKUP($B529,'Node Details'!$B:$U,E$1,0),"Check"),"")</f>
        <v>Airtel</v>
      </c>
      <c r="F529" s="101">
        <v>46114</v>
      </c>
      <c r="G529" s="103"/>
      <c r="H529" s="102" t="s">
        <v>1254</v>
      </c>
      <c r="I529" s="9">
        <v>1</v>
      </c>
      <c r="J529" s="9">
        <v>600</v>
      </c>
      <c r="K529" s="100">
        <f t="shared" si="78"/>
        <v>600</v>
      </c>
      <c r="L529" s="78">
        <v>46112</v>
      </c>
      <c r="M529" s="103"/>
      <c r="N529" s="93" t="s">
        <v>373</v>
      </c>
      <c r="O529" s="94">
        <v>46146</v>
      </c>
      <c r="P529" s="104">
        <f t="shared" si="80"/>
        <v>600</v>
      </c>
      <c r="Q529" s="104">
        <f t="shared" si="81"/>
        <v>600</v>
      </c>
      <c r="R529" s="104"/>
      <c r="S529" s="93" t="s">
        <v>374</v>
      </c>
      <c r="T529" s="94">
        <v>46156</v>
      </c>
      <c r="U529" s="104">
        <f t="shared" si="82"/>
        <v>600</v>
      </c>
      <c r="V529" s="104">
        <f t="shared" si="83"/>
        <v>1</v>
      </c>
      <c r="W529" s="103">
        <f t="shared" si="84"/>
        <v>600</v>
      </c>
      <c r="X529" s="93" t="s">
        <v>89</v>
      </c>
      <c r="Y529" s="105" t="s">
        <v>84</v>
      </c>
      <c r="Z529" s="105" t="s">
        <v>93</v>
      </c>
    </row>
    <row r="530" spans="1:26" s="105" customFormat="1" ht="15" customHeight="1">
      <c r="A530" s="99">
        <f t="shared" si="79"/>
        <v>528</v>
      </c>
      <c r="B530" s="75" t="s">
        <v>1089</v>
      </c>
      <c r="C530" s="100" t="str">
        <f>IF($B530&lt;&gt;"",_xlfn.IFNA(VLOOKUP($B530,'Node Details'!$B:$U,C$1,0),"Check"),"")</f>
        <v>0000AXW11-AXW110103</v>
      </c>
      <c r="D530" s="100" t="str">
        <f>IF($B530&lt;&gt;"",_xlfn.IFNA(VLOOKUP($B530,'Node Details'!$B:$U,D$1,0),"Check"),"")</f>
        <v>AXW</v>
      </c>
      <c r="E530" s="100" t="str">
        <f>IF($B530&lt;&gt;"",_xlfn.IFNA(VLOOKUP($B530,'Node Details'!$B:$U,E$1,0),"Check"),"")</f>
        <v>Airtel</v>
      </c>
      <c r="F530" s="101">
        <v>46114</v>
      </c>
      <c r="G530" s="103"/>
      <c r="H530" s="102" t="s">
        <v>1254</v>
      </c>
      <c r="I530" s="9">
        <v>1</v>
      </c>
      <c r="J530" s="9">
        <v>600</v>
      </c>
      <c r="K530" s="100">
        <f t="shared" si="78"/>
        <v>600</v>
      </c>
      <c r="L530" s="78">
        <v>46112</v>
      </c>
      <c r="M530" s="103"/>
      <c r="N530" s="93" t="s">
        <v>373</v>
      </c>
      <c r="O530" s="94">
        <v>46146</v>
      </c>
      <c r="P530" s="104">
        <f t="shared" si="80"/>
        <v>600</v>
      </c>
      <c r="Q530" s="104">
        <f t="shared" si="81"/>
        <v>600</v>
      </c>
      <c r="R530" s="104"/>
      <c r="S530" s="93" t="s">
        <v>374</v>
      </c>
      <c r="T530" s="94">
        <v>46156</v>
      </c>
      <c r="U530" s="104">
        <f t="shared" si="82"/>
        <v>600</v>
      </c>
      <c r="V530" s="104">
        <f t="shared" si="83"/>
        <v>1</v>
      </c>
      <c r="W530" s="103">
        <f t="shared" si="84"/>
        <v>600</v>
      </c>
      <c r="X530" s="93" t="s">
        <v>89</v>
      </c>
      <c r="Y530" s="105" t="s">
        <v>84</v>
      </c>
      <c r="Z530" s="105" t="s">
        <v>93</v>
      </c>
    </row>
    <row r="531" spans="1:26" s="105" customFormat="1" ht="15" customHeight="1">
      <c r="A531" s="99">
        <f t="shared" si="79"/>
        <v>529</v>
      </c>
      <c r="B531" s="75" t="s">
        <v>477</v>
      </c>
      <c r="C531" s="100" t="str">
        <f>IF($B531&lt;&gt;"",_xlfn.IFNA(VLOOKUP($B531,'Node Details'!$B:$U,C$1,0),"Check"),"")</f>
        <v>0000AXW11-AXW110103</v>
      </c>
      <c r="D531" s="100" t="str">
        <f>IF($B531&lt;&gt;"",_xlfn.IFNA(VLOOKUP($B531,'Node Details'!$B:$U,D$1,0),"Check"),"")</f>
        <v>AXW</v>
      </c>
      <c r="E531" s="100" t="str">
        <f>IF($B531&lt;&gt;"",_xlfn.IFNA(VLOOKUP($B531,'Node Details'!$B:$U,E$1,0),"Check"),"")</f>
        <v>Airtel</v>
      </c>
      <c r="F531" s="101">
        <v>46114</v>
      </c>
      <c r="G531" s="103"/>
      <c r="H531" s="102" t="s">
        <v>1254</v>
      </c>
      <c r="I531" s="9">
        <v>1</v>
      </c>
      <c r="J531" s="9">
        <v>600</v>
      </c>
      <c r="K531" s="100">
        <f t="shared" si="78"/>
        <v>600</v>
      </c>
      <c r="L531" s="78">
        <v>46112</v>
      </c>
      <c r="M531" s="103"/>
      <c r="N531" s="93" t="s">
        <v>373</v>
      </c>
      <c r="O531" s="94">
        <v>46146</v>
      </c>
      <c r="P531" s="104">
        <f t="shared" si="80"/>
        <v>600</v>
      </c>
      <c r="Q531" s="104">
        <f t="shared" si="81"/>
        <v>600</v>
      </c>
      <c r="R531" s="104"/>
      <c r="S531" s="93" t="s">
        <v>374</v>
      </c>
      <c r="T531" s="94">
        <v>46156</v>
      </c>
      <c r="U531" s="104">
        <f t="shared" si="82"/>
        <v>600</v>
      </c>
      <c r="V531" s="104">
        <f t="shared" si="83"/>
        <v>1</v>
      </c>
      <c r="W531" s="103">
        <f t="shared" si="84"/>
        <v>600</v>
      </c>
      <c r="X531" s="93" t="s">
        <v>89</v>
      </c>
      <c r="Y531" s="105" t="s">
        <v>84</v>
      </c>
      <c r="Z531" s="105" t="s">
        <v>93</v>
      </c>
    </row>
    <row r="532" spans="1:26" s="105" customFormat="1" ht="15" customHeight="1">
      <c r="A532" s="99">
        <f t="shared" si="79"/>
        <v>530</v>
      </c>
      <c r="B532" s="75" t="s">
        <v>479</v>
      </c>
      <c r="C532" s="100" t="str">
        <f>IF($B532&lt;&gt;"",_xlfn.IFNA(VLOOKUP($B532,'Node Details'!$B:$U,C$1,0),"Check"),"")</f>
        <v>0000AXW12-AXW120101</v>
      </c>
      <c r="D532" s="100" t="str">
        <f>IF($B532&lt;&gt;"",_xlfn.IFNA(VLOOKUP($B532,'Node Details'!$B:$U,D$1,0),"Check"),"")</f>
        <v>AXW</v>
      </c>
      <c r="E532" s="100" t="str">
        <f>IF($B532&lt;&gt;"",_xlfn.IFNA(VLOOKUP($B532,'Node Details'!$B:$U,E$1,0),"Check"),"")</f>
        <v>Airtel</v>
      </c>
      <c r="F532" s="101">
        <v>46114</v>
      </c>
      <c r="G532" s="103"/>
      <c r="H532" s="102" t="s">
        <v>1254</v>
      </c>
      <c r="I532" s="9">
        <v>1</v>
      </c>
      <c r="J532" s="9">
        <v>600</v>
      </c>
      <c r="K532" s="100">
        <f t="shared" si="78"/>
        <v>600</v>
      </c>
      <c r="L532" s="78">
        <v>46112</v>
      </c>
      <c r="M532" s="103"/>
      <c r="N532" s="93" t="s">
        <v>373</v>
      </c>
      <c r="O532" s="94">
        <v>46146</v>
      </c>
      <c r="P532" s="104">
        <f t="shared" si="80"/>
        <v>600</v>
      </c>
      <c r="Q532" s="104">
        <f t="shared" si="81"/>
        <v>600</v>
      </c>
      <c r="R532" s="104"/>
      <c r="S532" s="93" t="s">
        <v>374</v>
      </c>
      <c r="T532" s="94">
        <v>46156</v>
      </c>
      <c r="U532" s="104">
        <f t="shared" si="82"/>
        <v>600</v>
      </c>
      <c r="V532" s="104">
        <f t="shared" si="83"/>
        <v>1</v>
      </c>
      <c r="W532" s="103">
        <f t="shared" si="84"/>
        <v>600</v>
      </c>
      <c r="X532" s="93" t="s">
        <v>89</v>
      </c>
      <c r="Y532" s="105" t="s">
        <v>84</v>
      </c>
      <c r="Z532" s="105" t="s">
        <v>93</v>
      </c>
    </row>
    <row r="533" spans="1:26" s="105" customFormat="1" ht="15" customHeight="1">
      <c r="A533" s="99">
        <f t="shared" si="79"/>
        <v>531</v>
      </c>
      <c r="B533" s="75" t="s">
        <v>481</v>
      </c>
      <c r="C533" s="100" t="str">
        <f>IF($B533&lt;&gt;"",_xlfn.IFNA(VLOOKUP($B533,'Node Details'!$B:$U,C$1,0),"Check"),"")</f>
        <v>0000AXW12-AXW120102</v>
      </c>
      <c r="D533" s="100" t="str">
        <f>IF($B533&lt;&gt;"",_xlfn.IFNA(VLOOKUP($B533,'Node Details'!$B:$U,D$1,0),"Check"),"")</f>
        <v>AXW</v>
      </c>
      <c r="E533" s="100" t="str">
        <f>IF($B533&lt;&gt;"",_xlfn.IFNA(VLOOKUP($B533,'Node Details'!$B:$U,E$1,0),"Check"),"")</f>
        <v>Airtel</v>
      </c>
      <c r="F533" s="101">
        <v>46114</v>
      </c>
      <c r="G533" s="103"/>
      <c r="H533" s="102" t="s">
        <v>1254</v>
      </c>
      <c r="I533" s="9">
        <v>1</v>
      </c>
      <c r="J533" s="9">
        <v>600</v>
      </c>
      <c r="K533" s="100">
        <f t="shared" si="78"/>
        <v>600</v>
      </c>
      <c r="L533" s="78">
        <v>46112</v>
      </c>
      <c r="M533" s="103"/>
      <c r="N533" s="93" t="s">
        <v>373</v>
      </c>
      <c r="O533" s="94">
        <v>46146</v>
      </c>
      <c r="P533" s="104">
        <f t="shared" si="80"/>
        <v>600</v>
      </c>
      <c r="Q533" s="104">
        <f t="shared" si="81"/>
        <v>600</v>
      </c>
      <c r="R533" s="104"/>
      <c r="S533" s="93" t="s">
        <v>374</v>
      </c>
      <c r="T533" s="94">
        <v>46156</v>
      </c>
      <c r="U533" s="104">
        <f t="shared" si="82"/>
        <v>600</v>
      </c>
      <c r="V533" s="104">
        <f t="shared" si="83"/>
        <v>1</v>
      </c>
      <c r="W533" s="103">
        <f t="shared" si="84"/>
        <v>600</v>
      </c>
      <c r="X533" s="93" t="s">
        <v>89</v>
      </c>
      <c r="Y533" s="105" t="s">
        <v>84</v>
      </c>
      <c r="Z533" s="105" t="s">
        <v>93</v>
      </c>
    </row>
    <row r="534" spans="1:26" s="105" customFormat="1" ht="15" customHeight="1">
      <c r="A534" s="99">
        <f t="shared" si="79"/>
        <v>532</v>
      </c>
      <c r="B534" s="75" t="s">
        <v>1090</v>
      </c>
      <c r="C534" s="100" t="str">
        <f>IF($B534&lt;&gt;"",_xlfn.IFNA(VLOOKUP($B534,'Node Details'!$B:$U,C$1,0),"Check"),"")</f>
        <v>0000AXW12-AXW120106</v>
      </c>
      <c r="D534" s="100" t="str">
        <f>IF($B534&lt;&gt;"",_xlfn.IFNA(VLOOKUP($B534,'Node Details'!$B:$U,D$1,0),"Check"),"")</f>
        <v>AXW</v>
      </c>
      <c r="E534" s="100" t="str">
        <f>IF($B534&lt;&gt;"",_xlfn.IFNA(VLOOKUP($B534,'Node Details'!$B:$U,E$1,0),"Check"),"")</f>
        <v>Airtel</v>
      </c>
      <c r="F534" s="101">
        <v>46114</v>
      </c>
      <c r="G534" s="103"/>
      <c r="H534" s="102" t="s">
        <v>1254</v>
      </c>
      <c r="I534" s="9">
        <v>1</v>
      </c>
      <c r="J534" s="9">
        <v>600</v>
      </c>
      <c r="K534" s="100">
        <f t="shared" si="78"/>
        <v>600</v>
      </c>
      <c r="L534" s="78">
        <v>46112</v>
      </c>
      <c r="M534" s="103"/>
      <c r="N534" s="93" t="s">
        <v>373</v>
      </c>
      <c r="O534" s="94">
        <v>46146</v>
      </c>
      <c r="P534" s="104">
        <f t="shared" si="80"/>
        <v>600</v>
      </c>
      <c r="Q534" s="104">
        <f t="shared" si="81"/>
        <v>600</v>
      </c>
      <c r="R534" s="104"/>
      <c r="S534" s="93" t="s">
        <v>374</v>
      </c>
      <c r="T534" s="94">
        <v>46156</v>
      </c>
      <c r="U534" s="104">
        <f t="shared" si="82"/>
        <v>600</v>
      </c>
      <c r="V534" s="104">
        <f t="shared" si="83"/>
        <v>1</v>
      </c>
      <c r="W534" s="103">
        <f t="shared" si="84"/>
        <v>600</v>
      </c>
      <c r="X534" s="93" t="s">
        <v>89</v>
      </c>
      <c r="Y534" s="105" t="s">
        <v>84</v>
      </c>
      <c r="Z534" s="105" t="s">
        <v>93</v>
      </c>
    </row>
    <row r="535" spans="1:26" s="105" customFormat="1" ht="15" customHeight="1">
      <c r="A535" s="99">
        <f t="shared" si="79"/>
        <v>533</v>
      </c>
      <c r="B535" s="75" t="s">
        <v>1091</v>
      </c>
      <c r="C535" s="100" t="str">
        <f>IF($B535&lt;&gt;"",_xlfn.IFNA(VLOOKUP($B535,'Node Details'!$B:$U,C$1,0),"Check"),"")</f>
        <v>0000AXW12-AXW120106</v>
      </c>
      <c r="D535" s="100" t="str">
        <f>IF($B535&lt;&gt;"",_xlfn.IFNA(VLOOKUP($B535,'Node Details'!$B:$U,D$1,0),"Check"),"")</f>
        <v>AXW</v>
      </c>
      <c r="E535" s="100" t="str">
        <f>IF($B535&lt;&gt;"",_xlfn.IFNA(VLOOKUP($B535,'Node Details'!$B:$U,E$1,0),"Check"),"")</f>
        <v>Airtel</v>
      </c>
      <c r="F535" s="101">
        <v>46114</v>
      </c>
      <c r="G535" s="103"/>
      <c r="H535" s="102" t="s">
        <v>1254</v>
      </c>
      <c r="I535" s="9">
        <v>1</v>
      </c>
      <c r="J535" s="9">
        <v>600</v>
      </c>
      <c r="K535" s="100">
        <f t="shared" si="78"/>
        <v>600</v>
      </c>
      <c r="L535" s="78">
        <v>46112</v>
      </c>
      <c r="M535" s="103"/>
      <c r="N535" s="93" t="s">
        <v>373</v>
      </c>
      <c r="O535" s="94">
        <v>46146</v>
      </c>
      <c r="P535" s="104">
        <f t="shared" si="80"/>
        <v>600</v>
      </c>
      <c r="Q535" s="104">
        <f t="shared" si="81"/>
        <v>600</v>
      </c>
      <c r="R535" s="104"/>
      <c r="S535" s="93" t="s">
        <v>374</v>
      </c>
      <c r="T535" s="94">
        <v>46156</v>
      </c>
      <c r="U535" s="104">
        <f t="shared" si="82"/>
        <v>600</v>
      </c>
      <c r="V535" s="104">
        <f t="shared" si="83"/>
        <v>1</v>
      </c>
      <c r="W535" s="103">
        <f t="shared" si="84"/>
        <v>600</v>
      </c>
      <c r="X535" s="93" t="s">
        <v>89</v>
      </c>
      <c r="Y535" s="105" t="s">
        <v>84</v>
      </c>
      <c r="Z535" s="105" t="s">
        <v>93</v>
      </c>
    </row>
    <row r="536" spans="1:26" s="105" customFormat="1" ht="15" customHeight="1">
      <c r="A536" s="99">
        <f t="shared" si="79"/>
        <v>534</v>
      </c>
      <c r="B536" s="75" t="s">
        <v>1092</v>
      </c>
      <c r="C536" s="100" t="str">
        <f>IF($B536&lt;&gt;"",_xlfn.IFNA(VLOOKUP($B536,'Node Details'!$B:$U,C$1,0),"Check"),"")</f>
        <v>0000AXW12-AXW120106</v>
      </c>
      <c r="D536" s="100" t="str">
        <f>IF($B536&lt;&gt;"",_xlfn.IFNA(VLOOKUP($B536,'Node Details'!$B:$U,D$1,0),"Check"),"")</f>
        <v>AXW</v>
      </c>
      <c r="E536" s="100" t="str">
        <f>IF($B536&lt;&gt;"",_xlfn.IFNA(VLOOKUP($B536,'Node Details'!$B:$U,E$1,0),"Check"),"")</f>
        <v>Airtel</v>
      </c>
      <c r="F536" s="101">
        <v>46114</v>
      </c>
      <c r="G536" s="103"/>
      <c r="H536" s="102" t="s">
        <v>1254</v>
      </c>
      <c r="I536" s="9">
        <v>1</v>
      </c>
      <c r="J536" s="9">
        <v>600</v>
      </c>
      <c r="K536" s="100">
        <f t="shared" si="78"/>
        <v>600</v>
      </c>
      <c r="L536" s="78">
        <v>46112</v>
      </c>
      <c r="M536" s="103"/>
      <c r="N536" s="93" t="s">
        <v>373</v>
      </c>
      <c r="O536" s="94">
        <v>46146</v>
      </c>
      <c r="P536" s="104">
        <f t="shared" si="80"/>
        <v>600</v>
      </c>
      <c r="Q536" s="104">
        <f t="shared" si="81"/>
        <v>600</v>
      </c>
      <c r="R536" s="104"/>
      <c r="S536" s="93" t="s">
        <v>374</v>
      </c>
      <c r="T536" s="94">
        <v>46156</v>
      </c>
      <c r="U536" s="104">
        <f t="shared" si="82"/>
        <v>600</v>
      </c>
      <c r="V536" s="104">
        <f t="shared" si="83"/>
        <v>1</v>
      </c>
      <c r="W536" s="103">
        <f t="shared" si="84"/>
        <v>600</v>
      </c>
      <c r="X536" s="93" t="s">
        <v>89</v>
      </c>
      <c r="Y536" s="105" t="s">
        <v>84</v>
      </c>
      <c r="Z536" s="105" t="s">
        <v>93</v>
      </c>
    </row>
    <row r="537" spans="1:26" s="105" customFormat="1" ht="15" customHeight="1">
      <c r="A537" s="99">
        <f t="shared" si="79"/>
        <v>535</v>
      </c>
      <c r="B537" s="75" t="s">
        <v>483</v>
      </c>
      <c r="C537" s="100" t="str">
        <f>IF($B537&lt;&gt;"",_xlfn.IFNA(VLOOKUP($B537,'Node Details'!$B:$U,C$1,0),"Check"),"")</f>
        <v>0000AXW12-AXW120106</v>
      </c>
      <c r="D537" s="100" t="str">
        <f>IF($B537&lt;&gt;"",_xlfn.IFNA(VLOOKUP($B537,'Node Details'!$B:$U,D$1,0),"Check"),"")</f>
        <v>AXW</v>
      </c>
      <c r="E537" s="100" t="str">
        <f>IF($B537&lt;&gt;"",_xlfn.IFNA(VLOOKUP($B537,'Node Details'!$B:$U,E$1,0),"Check"),"")</f>
        <v>Airtel</v>
      </c>
      <c r="F537" s="101">
        <v>46114</v>
      </c>
      <c r="G537" s="103"/>
      <c r="H537" s="102" t="s">
        <v>1254</v>
      </c>
      <c r="I537" s="9">
        <v>1</v>
      </c>
      <c r="J537" s="9">
        <v>600</v>
      </c>
      <c r="K537" s="100">
        <f t="shared" si="78"/>
        <v>600</v>
      </c>
      <c r="L537" s="78">
        <v>46112</v>
      </c>
      <c r="M537" s="103"/>
      <c r="N537" s="93" t="s">
        <v>373</v>
      </c>
      <c r="O537" s="94">
        <v>46146</v>
      </c>
      <c r="P537" s="104">
        <f t="shared" si="80"/>
        <v>600</v>
      </c>
      <c r="Q537" s="104">
        <f t="shared" si="81"/>
        <v>600</v>
      </c>
      <c r="R537" s="104"/>
      <c r="S537" s="93" t="s">
        <v>374</v>
      </c>
      <c r="T537" s="94">
        <v>46156</v>
      </c>
      <c r="U537" s="104">
        <f t="shared" si="82"/>
        <v>600</v>
      </c>
      <c r="V537" s="104">
        <f t="shared" si="83"/>
        <v>1</v>
      </c>
      <c r="W537" s="103">
        <f t="shared" si="84"/>
        <v>600</v>
      </c>
      <c r="X537" s="93" t="s">
        <v>89</v>
      </c>
      <c r="Y537" s="105" t="s">
        <v>84</v>
      </c>
      <c r="Z537" s="105" t="s">
        <v>93</v>
      </c>
    </row>
    <row r="538" spans="1:26" s="105" customFormat="1" ht="15" customHeight="1">
      <c r="A538" s="99">
        <f t="shared" si="79"/>
        <v>536</v>
      </c>
      <c r="B538" s="75" t="s">
        <v>1093</v>
      </c>
      <c r="C538" s="100" t="str">
        <f>IF($B538&lt;&gt;"",_xlfn.IFNA(VLOOKUP($B538,'Node Details'!$B:$U,C$1,0),"Check"),"")</f>
        <v>AXW120106-AXW120108</v>
      </c>
      <c r="D538" s="100" t="str">
        <f>IF($B538&lt;&gt;"",_xlfn.IFNA(VLOOKUP($B538,'Node Details'!$B:$U,D$1,0),"Check"),"")</f>
        <v>AXW</v>
      </c>
      <c r="E538" s="100" t="str">
        <f>IF($B538&lt;&gt;"",_xlfn.IFNA(VLOOKUP($B538,'Node Details'!$B:$U,E$1,0),"Check"),"")</f>
        <v>Airtel</v>
      </c>
      <c r="F538" s="101">
        <v>46114</v>
      </c>
      <c r="G538" s="103"/>
      <c r="H538" s="102" t="s">
        <v>1254</v>
      </c>
      <c r="I538" s="9">
        <v>1</v>
      </c>
      <c r="J538" s="9">
        <v>600</v>
      </c>
      <c r="K538" s="100">
        <f t="shared" si="78"/>
        <v>600</v>
      </c>
      <c r="L538" s="78">
        <v>46112</v>
      </c>
      <c r="M538" s="103"/>
      <c r="N538" s="93" t="s">
        <v>373</v>
      </c>
      <c r="O538" s="94">
        <v>46146</v>
      </c>
      <c r="P538" s="104">
        <f t="shared" si="80"/>
        <v>600</v>
      </c>
      <c r="Q538" s="104">
        <f t="shared" si="81"/>
        <v>600</v>
      </c>
      <c r="R538" s="104"/>
      <c r="S538" s="93" t="s">
        <v>374</v>
      </c>
      <c r="T538" s="94">
        <v>46156</v>
      </c>
      <c r="U538" s="104">
        <f t="shared" si="82"/>
        <v>600</v>
      </c>
      <c r="V538" s="104">
        <f t="shared" si="83"/>
        <v>1</v>
      </c>
      <c r="W538" s="103">
        <f t="shared" si="84"/>
        <v>600</v>
      </c>
      <c r="X538" s="93" t="s">
        <v>89</v>
      </c>
      <c r="Y538" s="105" t="s">
        <v>84</v>
      </c>
      <c r="Z538" s="105" t="s">
        <v>93</v>
      </c>
    </row>
    <row r="539" spans="1:26" s="105" customFormat="1" ht="15" customHeight="1">
      <c r="A539" s="99">
        <f t="shared" si="79"/>
        <v>537</v>
      </c>
      <c r="B539" s="75" t="s">
        <v>485</v>
      </c>
      <c r="C539" s="100" t="str">
        <f>IF($B539&lt;&gt;"",_xlfn.IFNA(VLOOKUP($B539,'Node Details'!$B:$U,C$1,0),"Check"),"")</f>
        <v>AXW120106-AXW120108</v>
      </c>
      <c r="D539" s="100" t="str">
        <f>IF($B539&lt;&gt;"",_xlfn.IFNA(VLOOKUP($B539,'Node Details'!$B:$U,D$1,0),"Check"),"")</f>
        <v>AXW</v>
      </c>
      <c r="E539" s="100" t="str">
        <f>IF($B539&lt;&gt;"",_xlfn.IFNA(VLOOKUP($B539,'Node Details'!$B:$U,E$1,0),"Check"),"")</f>
        <v>Airtel</v>
      </c>
      <c r="F539" s="101">
        <v>46114</v>
      </c>
      <c r="G539" s="103"/>
      <c r="H539" s="102" t="s">
        <v>1254</v>
      </c>
      <c r="I539" s="9">
        <v>1</v>
      </c>
      <c r="J539" s="9">
        <v>600</v>
      </c>
      <c r="K539" s="100">
        <f t="shared" si="78"/>
        <v>600</v>
      </c>
      <c r="L539" s="78">
        <v>46112</v>
      </c>
      <c r="M539" s="103"/>
      <c r="N539" s="93" t="s">
        <v>373</v>
      </c>
      <c r="O539" s="94">
        <v>46146</v>
      </c>
      <c r="P539" s="104">
        <f t="shared" si="80"/>
        <v>600</v>
      </c>
      <c r="Q539" s="104">
        <f t="shared" si="81"/>
        <v>600</v>
      </c>
      <c r="R539" s="104"/>
      <c r="S539" s="93" t="s">
        <v>374</v>
      </c>
      <c r="T539" s="94">
        <v>46156</v>
      </c>
      <c r="U539" s="104">
        <f t="shared" si="82"/>
        <v>600</v>
      </c>
      <c r="V539" s="104">
        <f t="shared" si="83"/>
        <v>1</v>
      </c>
      <c r="W539" s="103">
        <f t="shared" si="84"/>
        <v>600</v>
      </c>
      <c r="X539" s="93" t="s">
        <v>89</v>
      </c>
      <c r="Y539" s="105" t="s">
        <v>84</v>
      </c>
      <c r="Z539" s="105" t="s">
        <v>93</v>
      </c>
    </row>
    <row r="540" spans="1:26" s="105" customFormat="1" ht="15" customHeight="1">
      <c r="A540" s="99">
        <f t="shared" si="79"/>
        <v>538</v>
      </c>
      <c r="B540" s="75" t="s">
        <v>1094</v>
      </c>
      <c r="C540" s="100" t="str">
        <f>IF($B540&lt;&gt;"",_xlfn.IFNA(VLOOKUP($B540,'Node Details'!$B:$U,C$1,0),"Check"),"")</f>
        <v>0000AXW13-AXW130108</v>
      </c>
      <c r="D540" s="100" t="str">
        <f>IF($B540&lt;&gt;"",_xlfn.IFNA(VLOOKUP($B540,'Node Details'!$B:$U,D$1,0),"Check"),"")</f>
        <v>AXW</v>
      </c>
      <c r="E540" s="100" t="str">
        <f>IF($B540&lt;&gt;"",_xlfn.IFNA(VLOOKUP($B540,'Node Details'!$B:$U,E$1,0),"Check"),"")</f>
        <v>Airtel</v>
      </c>
      <c r="F540" s="101">
        <v>46114</v>
      </c>
      <c r="G540" s="103"/>
      <c r="H540" s="102" t="s">
        <v>1254</v>
      </c>
      <c r="I540" s="9">
        <v>1</v>
      </c>
      <c r="J540" s="9">
        <v>600</v>
      </c>
      <c r="K540" s="100">
        <f t="shared" si="78"/>
        <v>600</v>
      </c>
      <c r="L540" s="78">
        <v>46112</v>
      </c>
      <c r="M540" s="103"/>
      <c r="N540" s="93" t="s">
        <v>373</v>
      </c>
      <c r="O540" s="94">
        <v>46146</v>
      </c>
      <c r="P540" s="104">
        <f t="shared" si="80"/>
        <v>600</v>
      </c>
      <c r="Q540" s="104">
        <f t="shared" si="81"/>
        <v>600</v>
      </c>
      <c r="R540" s="104"/>
      <c r="S540" s="93" t="s">
        <v>374</v>
      </c>
      <c r="T540" s="94">
        <v>46156</v>
      </c>
      <c r="U540" s="104">
        <f t="shared" si="82"/>
        <v>600</v>
      </c>
      <c r="V540" s="104">
        <f t="shared" si="83"/>
        <v>1</v>
      </c>
      <c r="W540" s="103">
        <f t="shared" si="84"/>
        <v>600</v>
      </c>
      <c r="X540" s="93" t="s">
        <v>89</v>
      </c>
      <c r="Y540" s="105" t="s">
        <v>84</v>
      </c>
      <c r="Z540" s="105" t="s">
        <v>93</v>
      </c>
    </row>
    <row r="541" spans="1:26" s="105" customFormat="1" ht="15" customHeight="1">
      <c r="A541" s="99">
        <f t="shared" si="79"/>
        <v>539</v>
      </c>
      <c r="B541" s="75" t="s">
        <v>490</v>
      </c>
      <c r="C541" s="100" t="str">
        <f>IF($B541&lt;&gt;"",_xlfn.IFNA(VLOOKUP($B541,'Node Details'!$B:$U,C$1,0),"Check"),"")</f>
        <v>0000AXW13-AXW130102</v>
      </c>
      <c r="D541" s="100" t="str">
        <f>IF($B541&lt;&gt;"",_xlfn.IFNA(VLOOKUP($B541,'Node Details'!$B:$U,D$1,0),"Check"),"")</f>
        <v>AXW</v>
      </c>
      <c r="E541" s="100" t="str">
        <f>IF($B541&lt;&gt;"",_xlfn.IFNA(VLOOKUP($B541,'Node Details'!$B:$U,E$1,0),"Check"),"")</f>
        <v>Airtel</v>
      </c>
      <c r="F541" s="101">
        <v>46114</v>
      </c>
      <c r="G541" s="103"/>
      <c r="H541" s="102" t="s">
        <v>1254</v>
      </c>
      <c r="I541" s="9">
        <v>1</v>
      </c>
      <c r="J541" s="9">
        <v>600</v>
      </c>
      <c r="K541" s="100">
        <f t="shared" si="78"/>
        <v>600</v>
      </c>
      <c r="L541" s="78">
        <v>46112</v>
      </c>
      <c r="M541" s="103"/>
      <c r="N541" s="93" t="s">
        <v>373</v>
      </c>
      <c r="O541" s="94">
        <v>46146</v>
      </c>
      <c r="P541" s="104">
        <f t="shared" si="80"/>
        <v>600</v>
      </c>
      <c r="Q541" s="104">
        <f t="shared" si="81"/>
        <v>600</v>
      </c>
      <c r="R541" s="104"/>
      <c r="S541" s="93" t="s">
        <v>374</v>
      </c>
      <c r="T541" s="94">
        <v>46156</v>
      </c>
      <c r="U541" s="104">
        <f t="shared" si="82"/>
        <v>600</v>
      </c>
      <c r="V541" s="104">
        <f t="shared" si="83"/>
        <v>1</v>
      </c>
      <c r="W541" s="103">
        <f t="shared" si="84"/>
        <v>600</v>
      </c>
      <c r="X541" s="93" t="s">
        <v>89</v>
      </c>
      <c r="Y541" s="105" t="s">
        <v>84</v>
      </c>
      <c r="Z541" s="105" t="s">
        <v>93</v>
      </c>
    </row>
    <row r="542" spans="1:26" s="105" customFormat="1" ht="15" customHeight="1">
      <c r="A542" s="99">
        <f t="shared" si="79"/>
        <v>540</v>
      </c>
      <c r="B542" s="75" t="s">
        <v>1095</v>
      </c>
      <c r="C542" s="100" t="str">
        <f>IF($B542&lt;&gt;"",_xlfn.IFNA(VLOOKUP($B542,'Node Details'!$B:$U,C$1,0),"Check"),"")</f>
        <v>0000AXW13-AXW130104</v>
      </c>
      <c r="D542" s="100" t="str">
        <f>IF($B542&lt;&gt;"",_xlfn.IFNA(VLOOKUP($B542,'Node Details'!$B:$U,D$1,0),"Check"),"")</f>
        <v>AXW</v>
      </c>
      <c r="E542" s="100" t="str">
        <f>IF($B542&lt;&gt;"",_xlfn.IFNA(VLOOKUP($B542,'Node Details'!$B:$U,E$1,0),"Check"),"")</f>
        <v>Airtel</v>
      </c>
      <c r="F542" s="101">
        <v>46114</v>
      </c>
      <c r="G542" s="103"/>
      <c r="H542" s="102" t="s">
        <v>1254</v>
      </c>
      <c r="I542" s="9">
        <v>1</v>
      </c>
      <c r="J542" s="9">
        <v>600</v>
      </c>
      <c r="K542" s="100">
        <f t="shared" si="78"/>
        <v>600</v>
      </c>
      <c r="L542" s="78">
        <v>46112</v>
      </c>
      <c r="M542" s="103"/>
      <c r="N542" s="93" t="s">
        <v>373</v>
      </c>
      <c r="O542" s="94">
        <v>46146</v>
      </c>
      <c r="P542" s="104">
        <f t="shared" si="80"/>
        <v>600</v>
      </c>
      <c r="Q542" s="104">
        <f t="shared" si="81"/>
        <v>600</v>
      </c>
      <c r="R542" s="104"/>
      <c r="S542" s="93" t="s">
        <v>374</v>
      </c>
      <c r="T542" s="94">
        <v>46156</v>
      </c>
      <c r="U542" s="104">
        <f t="shared" si="82"/>
        <v>600</v>
      </c>
      <c r="V542" s="104">
        <f t="shared" si="83"/>
        <v>1</v>
      </c>
      <c r="W542" s="103">
        <f t="shared" si="84"/>
        <v>600</v>
      </c>
      <c r="X542" s="93" t="s">
        <v>89</v>
      </c>
      <c r="Y542" s="105" t="s">
        <v>84</v>
      </c>
      <c r="Z542" s="105" t="s">
        <v>93</v>
      </c>
    </row>
    <row r="543" spans="1:26" s="105" customFormat="1" ht="15" customHeight="1">
      <c r="A543" s="99">
        <f t="shared" si="79"/>
        <v>541</v>
      </c>
      <c r="B543" s="75" t="s">
        <v>492</v>
      </c>
      <c r="C543" s="100" t="str">
        <f>IF($B543&lt;&gt;"",_xlfn.IFNA(VLOOKUP($B543,'Node Details'!$B:$U,C$1,0),"Check"),"")</f>
        <v>0000AXW13-AXW130104</v>
      </c>
      <c r="D543" s="100" t="str">
        <f>IF($B543&lt;&gt;"",_xlfn.IFNA(VLOOKUP($B543,'Node Details'!$B:$U,D$1,0),"Check"),"")</f>
        <v>AXW</v>
      </c>
      <c r="E543" s="100" t="str">
        <f>IF($B543&lt;&gt;"",_xlfn.IFNA(VLOOKUP($B543,'Node Details'!$B:$U,E$1,0),"Check"),"")</f>
        <v>Airtel</v>
      </c>
      <c r="F543" s="101">
        <v>46114</v>
      </c>
      <c r="G543" s="103"/>
      <c r="H543" s="102" t="s">
        <v>1254</v>
      </c>
      <c r="I543" s="9">
        <v>1</v>
      </c>
      <c r="J543" s="9">
        <v>600</v>
      </c>
      <c r="K543" s="100">
        <f t="shared" si="78"/>
        <v>600</v>
      </c>
      <c r="L543" s="78">
        <v>46112</v>
      </c>
      <c r="M543" s="103"/>
      <c r="N543" s="93" t="s">
        <v>373</v>
      </c>
      <c r="O543" s="94">
        <v>46146</v>
      </c>
      <c r="P543" s="104">
        <f t="shared" si="80"/>
        <v>600</v>
      </c>
      <c r="Q543" s="104">
        <f t="shared" si="81"/>
        <v>600</v>
      </c>
      <c r="R543" s="104"/>
      <c r="S543" s="93" t="s">
        <v>374</v>
      </c>
      <c r="T543" s="94">
        <v>46156</v>
      </c>
      <c r="U543" s="104">
        <f t="shared" si="82"/>
        <v>600</v>
      </c>
      <c r="V543" s="104">
        <f t="shared" si="83"/>
        <v>1</v>
      </c>
      <c r="W543" s="103">
        <f t="shared" si="84"/>
        <v>600</v>
      </c>
      <c r="X543" s="93" t="s">
        <v>89</v>
      </c>
      <c r="Y543" s="105" t="s">
        <v>84</v>
      </c>
      <c r="Z543" s="105" t="s">
        <v>93</v>
      </c>
    </row>
    <row r="544" spans="1:26" s="105" customFormat="1" ht="15" customHeight="1">
      <c r="A544" s="99">
        <f t="shared" si="79"/>
        <v>542</v>
      </c>
      <c r="B544" s="75" t="s">
        <v>1096</v>
      </c>
      <c r="C544" s="100" t="str">
        <f>IF($B544&lt;&gt;"",_xlfn.IFNA(VLOOKUP($B544,'Node Details'!$B:$U,C$1,0),"Check"),"")</f>
        <v>0000AXW13-AXW130108</v>
      </c>
      <c r="D544" s="100" t="str">
        <f>IF($B544&lt;&gt;"",_xlfn.IFNA(VLOOKUP($B544,'Node Details'!$B:$U,D$1,0),"Check"),"")</f>
        <v>AXW</v>
      </c>
      <c r="E544" s="100" t="str">
        <f>IF($B544&lt;&gt;"",_xlfn.IFNA(VLOOKUP($B544,'Node Details'!$B:$U,E$1,0),"Check"),"")</f>
        <v>Airtel</v>
      </c>
      <c r="F544" s="101">
        <v>46114</v>
      </c>
      <c r="G544" s="103"/>
      <c r="H544" s="102" t="s">
        <v>1254</v>
      </c>
      <c r="I544" s="9">
        <v>1</v>
      </c>
      <c r="J544" s="9">
        <v>600</v>
      </c>
      <c r="K544" s="100">
        <f t="shared" si="78"/>
        <v>600</v>
      </c>
      <c r="L544" s="78">
        <v>46112</v>
      </c>
      <c r="M544" s="103"/>
      <c r="N544" s="93" t="s">
        <v>373</v>
      </c>
      <c r="O544" s="94">
        <v>46146</v>
      </c>
      <c r="P544" s="104">
        <f t="shared" si="80"/>
        <v>600</v>
      </c>
      <c r="Q544" s="104">
        <f t="shared" si="81"/>
        <v>600</v>
      </c>
      <c r="R544" s="104"/>
      <c r="S544" s="93" t="s">
        <v>374</v>
      </c>
      <c r="T544" s="94">
        <v>46156</v>
      </c>
      <c r="U544" s="104">
        <f t="shared" si="82"/>
        <v>600</v>
      </c>
      <c r="V544" s="104">
        <f t="shared" si="83"/>
        <v>1</v>
      </c>
      <c r="W544" s="103">
        <f t="shared" si="84"/>
        <v>600</v>
      </c>
      <c r="X544" s="93" t="s">
        <v>89</v>
      </c>
      <c r="Y544" s="105" t="s">
        <v>84</v>
      </c>
      <c r="Z544" s="105" t="s">
        <v>93</v>
      </c>
    </row>
    <row r="545" spans="1:26" s="105" customFormat="1" ht="15" customHeight="1">
      <c r="A545" s="99">
        <f t="shared" si="79"/>
        <v>543</v>
      </c>
      <c r="B545" s="75" t="s">
        <v>1097</v>
      </c>
      <c r="C545" s="100" t="str">
        <f>IF($B545&lt;&gt;"",_xlfn.IFNA(VLOOKUP($B545,'Node Details'!$B:$U,C$1,0),"Check"),"")</f>
        <v>0000AXW13-AXW130108</v>
      </c>
      <c r="D545" s="100" t="str">
        <f>IF($B545&lt;&gt;"",_xlfn.IFNA(VLOOKUP($B545,'Node Details'!$B:$U,D$1,0),"Check"),"")</f>
        <v>AXW</v>
      </c>
      <c r="E545" s="100" t="str">
        <f>IF($B545&lt;&gt;"",_xlfn.IFNA(VLOOKUP($B545,'Node Details'!$B:$U,E$1,0),"Check"),"")</f>
        <v>Airtel</v>
      </c>
      <c r="F545" s="101">
        <v>46114</v>
      </c>
      <c r="G545" s="103"/>
      <c r="H545" s="102" t="s">
        <v>1254</v>
      </c>
      <c r="I545" s="9">
        <v>1</v>
      </c>
      <c r="J545" s="9">
        <v>600</v>
      </c>
      <c r="K545" s="100">
        <f t="shared" si="78"/>
        <v>600</v>
      </c>
      <c r="L545" s="78">
        <v>46112</v>
      </c>
      <c r="M545" s="103"/>
      <c r="N545" s="93" t="s">
        <v>373</v>
      </c>
      <c r="O545" s="94">
        <v>46146</v>
      </c>
      <c r="P545" s="104">
        <f t="shared" si="80"/>
        <v>600</v>
      </c>
      <c r="Q545" s="104">
        <f t="shared" si="81"/>
        <v>600</v>
      </c>
      <c r="R545" s="104"/>
      <c r="S545" s="93" t="s">
        <v>374</v>
      </c>
      <c r="T545" s="94">
        <v>46156</v>
      </c>
      <c r="U545" s="104">
        <f t="shared" si="82"/>
        <v>600</v>
      </c>
      <c r="V545" s="104">
        <f t="shared" si="83"/>
        <v>1</v>
      </c>
      <c r="W545" s="103">
        <f t="shared" si="84"/>
        <v>600</v>
      </c>
      <c r="X545" s="93" t="s">
        <v>89</v>
      </c>
      <c r="Y545" s="105" t="s">
        <v>84</v>
      </c>
      <c r="Z545" s="105" t="s">
        <v>93</v>
      </c>
    </row>
    <row r="546" spans="1:26" s="105" customFormat="1" ht="15" customHeight="1">
      <c r="A546" s="99">
        <f t="shared" si="79"/>
        <v>544</v>
      </c>
      <c r="B546" s="75" t="s">
        <v>1098</v>
      </c>
      <c r="C546" s="100" t="str">
        <f>IF($B546&lt;&gt;"",_xlfn.IFNA(VLOOKUP($B546,'Node Details'!$B:$U,C$1,0),"Check"),"")</f>
        <v>0000AXW13-AXW130108</v>
      </c>
      <c r="D546" s="100" t="str">
        <f>IF($B546&lt;&gt;"",_xlfn.IFNA(VLOOKUP($B546,'Node Details'!$B:$U,D$1,0),"Check"),"")</f>
        <v>AXW</v>
      </c>
      <c r="E546" s="100" t="str">
        <f>IF($B546&lt;&gt;"",_xlfn.IFNA(VLOOKUP($B546,'Node Details'!$B:$U,E$1,0),"Check"),"")</f>
        <v>Airtel</v>
      </c>
      <c r="F546" s="101">
        <v>46114</v>
      </c>
      <c r="G546" s="103"/>
      <c r="H546" s="102" t="s">
        <v>1254</v>
      </c>
      <c r="I546" s="9">
        <v>1</v>
      </c>
      <c r="J546" s="9">
        <v>600</v>
      </c>
      <c r="K546" s="100">
        <f t="shared" si="78"/>
        <v>600</v>
      </c>
      <c r="L546" s="78">
        <v>46112</v>
      </c>
      <c r="M546" s="103"/>
      <c r="N546" s="93" t="s">
        <v>373</v>
      </c>
      <c r="O546" s="94">
        <v>46146</v>
      </c>
      <c r="P546" s="104">
        <f t="shared" si="80"/>
        <v>600</v>
      </c>
      <c r="Q546" s="104">
        <f t="shared" si="81"/>
        <v>600</v>
      </c>
      <c r="R546" s="104"/>
      <c r="S546" s="93" t="s">
        <v>374</v>
      </c>
      <c r="T546" s="94">
        <v>46156</v>
      </c>
      <c r="U546" s="104">
        <f t="shared" si="82"/>
        <v>600</v>
      </c>
      <c r="V546" s="104">
        <f t="shared" si="83"/>
        <v>1</v>
      </c>
      <c r="W546" s="103">
        <f t="shared" si="84"/>
        <v>600</v>
      </c>
      <c r="X546" s="93" t="s">
        <v>89</v>
      </c>
      <c r="Y546" s="105" t="s">
        <v>84</v>
      </c>
      <c r="Z546" s="105" t="s">
        <v>93</v>
      </c>
    </row>
    <row r="547" spans="1:26" s="105" customFormat="1" ht="15" customHeight="1">
      <c r="A547" s="99">
        <f t="shared" si="79"/>
        <v>545</v>
      </c>
      <c r="B547" s="75" t="s">
        <v>488</v>
      </c>
      <c r="C547" s="100" t="str">
        <f>IF($B547&lt;&gt;"",_xlfn.IFNA(VLOOKUP($B547,'Node Details'!$B:$U,C$1,0),"Check"),"")</f>
        <v>0000AXW13-AXW130108</v>
      </c>
      <c r="D547" s="100" t="str">
        <f>IF($B547&lt;&gt;"",_xlfn.IFNA(VLOOKUP($B547,'Node Details'!$B:$U,D$1,0),"Check"),"")</f>
        <v>AXW</v>
      </c>
      <c r="E547" s="100" t="str">
        <f>IF($B547&lt;&gt;"",_xlfn.IFNA(VLOOKUP($B547,'Node Details'!$B:$U,E$1,0),"Check"),"")</f>
        <v>Airtel</v>
      </c>
      <c r="F547" s="101">
        <v>46114</v>
      </c>
      <c r="G547" s="103"/>
      <c r="H547" s="102" t="s">
        <v>1254</v>
      </c>
      <c r="I547" s="9">
        <v>1</v>
      </c>
      <c r="J547" s="9">
        <v>600</v>
      </c>
      <c r="K547" s="100">
        <f t="shared" si="78"/>
        <v>600</v>
      </c>
      <c r="L547" s="78">
        <v>46112</v>
      </c>
      <c r="M547" s="103"/>
      <c r="N547" s="93" t="s">
        <v>373</v>
      </c>
      <c r="O547" s="94">
        <v>46146</v>
      </c>
      <c r="P547" s="104">
        <f t="shared" si="80"/>
        <v>600</v>
      </c>
      <c r="Q547" s="104">
        <f t="shared" si="81"/>
        <v>600</v>
      </c>
      <c r="R547" s="104"/>
      <c r="S547" s="93" t="s">
        <v>374</v>
      </c>
      <c r="T547" s="94">
        <v>46156</v>
      </c>
      <c r="U547" s="104">
        <f t="shared" si="82"/>
        <v>600</v>
      </c>
      <c r="V547" s="104">
        <f t="shared" si="83"/>
        <v>1</v>
      </c>
      <c r="W547" s="103">
        <f t="shared" si="84"/>
        <v>600</v>
      </c>
      <c r="X547" s="93" t="s">
        <v>89</v>
      </c>
      <c r="Y547" s="105" t="s">
        <v>84</v>
      </c>
      <c r="Z547" s="105" t="s">
        <v>93</v>
      </c>
    </row>
    <row r="548" spans="1:26" s="105" customFormat="1" ht="15" customHeight="1">
      <c r="A548" s="99">
        <f t="shared" si="79"/>
        <v>546</v>
      </c>
      <c r="B548" s="75" t="s">
        <v>495</v>
      </c>
      <c r="C548" s="100" t="str">
        <f>IF($B548&lt;&gt;"",_xlfn.IFNA(VLOOKUP($B548,'Node Details'!$B:$U,C$1,0),"Check"),"")</f>
        <v>0000AXW14-AXW140101</v>
      </c>
      <c r="D548" s="100" t="str">
        <f>IF($B548&lt;&gt;"",_xlfn.IFNA(VLOOKUP($B548,'Node Details'!$B:$U,D$1,0),"Check"),"")</f>
        <v>AXW</v>
      </c>
      <c r="E548" s="100" t="str">
        <f>IF($B548&lt;&gt;"",_xlfn.IFNA(VLOOKUP($B548,'Node Details'!$B:$U,E$1,0),"Check"),"")</f>
        <v>Airtel</v>
      </c>
      <c r="F548" s="101">
        <v>46114</v>
      </c>
      <c r="G548" s="103"/>
      <c r="H548" s="102" t="s">
        <v>1254</v>
      </c>
      <c r="I548" s="9">
        <v>1</v>
      </c>
      <c r="J548" s="9">
        <v>600</v>
      </c>
      <c r="K548" s="100">
        <f t="shared" si="78"/>
        <v>600</v>
      </c>
      <c r="L548" s="78">
        <v>46112</v>
      </c>
      <c r="M548" s="103"/>
      <c r="N548" s="93" t="s">
        <v>373</v>
      </c>
      <c r="O548" s="94">
        <v>46146</v>
      </c>
      <c r="P548" s="104">
        <f t="shared" si="80"/>
        <v>600</v>
      </c>
      <c r="Q548" s="104">
        <f t="shared" si="81"/>
        <v>600</v>
      </c>
      <c r="R548" s="104"/>
      <c r="S548" s="93" t="s">
        <v>374</v>
      </c>
      <c r="T548" s="94">
        <v>46156</v>
      </c>
      <c r="U548" s="104">
        <f t="shared" si="82"/>
        <v>600</v>
      </c>
      <c r="V548" s="104">
        <f t="shared" si="83"/>
        <v>1</v>
      </c>
      <c r="W548" s="103">
        <f t="shared" si="84"/>
        <v>600</v>
      </c>
      <c r="X548" s="93" t="s">
        <v>89</v>
      </c>
      <c r="Y548" s="105" t="s">
        <v>84</v>
      </c>
      <c r="Z548" s="105" t="s">
        <v>93</v>
      </c>
    </row>
    <row r="549" spans="1:26" s="105" customFormat="1" ht="15" customHeight="1">
      <c r="A549" s="99">
        <f t="shared" si="79"/>
        <v>547</v>
      </c>
      <c r="B549" s="75" t="s">
        <v>499</v>
      </c>
      <c r="C549" s="100" t="str">
        <f>IF($B549&lt;&gt;"",_xlfn.IFNA(VLOOKUP($B549,'Node Details'!$B:$U,C$1,0),"Check"),"")</f>
        <v>0000AXW14-AXW140103</v>
      </c>
      <c r="D549" s="100" t="str">
        <f>IF($B549&lt;&gt;"",_xlfn.IFNA(VLOOKUP($B549,'Node Details'!$B:$U,D$1,0),"Check"),"")</f>
        <v>AXW</v>
      </c>
      <c r="E549" s="100" t="str">
        <f>IF($B549&lt;&gt;"",_xlfn.IFNA(VLOOKUP($B549,'Node Details'!$B:$U,E$1,0),"Check"),"")</f>
        <v>Airtel</v>
      </c>
      <c r="F549" s="101">
        <v>46114</v>
      </c>
      <c r="G549" s="103"/>
      <c r="H549" s="102" t="s">
        <v>1254</v>
      </c>
      <c r="I549" s="9">
        <v>1</v>
      </c>
      <c r="J549" s="9">
        <v>600</v>
      </c>
      <c r="K549" s="100">
        <f t="shared" si="78"/>
        <v>600</v>
      </c>
      <c r="L549" s="78">
        <v>46112</v>
      </c>
      <c r="M549" s="103"/>
      <c r="N549" s="93" t="s">
        <v>373</v>
      </c>
      <c r="O549" s="94">
        <v>46146</v>
      </c>
      <c r="P549" s="104">
        <f t="shared" si="80"/>
        <v>600</v>
      </c>
      <c r="Q549" s="104">
        <f t="shared" si="81"/>
        <v>600</v>
      </c>
      <c r="R549" s="104"/>
      <c r="S549" s="93" t="s">
        <v>374</v>
      </c>
      <c r="T549" s="94">
        <v>46156</v>
      </c>
      <c r="U549" s="104">
        <f t="shared" si="82"/>
        <v>600</v>
      </c>
      <c r="V549" s="104">
        <f t="shared" si="83"/>
        <v>1</v>
      </c>
      <c r="W549" s="103">
        <f t="shared" si="84"/>
        <v>600</v>
      </c>
      <c r="X549" s="93" t="s">
        <v>89</v>
      </c>
      <c r="Y549" s="105" t="s">
        <v>84</v>
      </c>
      <c r="Z549" s="105" t="s">
        <v>93</v>
      </c>
    </row>
    <row r="550" spans="1:26" s="105" customFormat="1" ht="15" customHeight="1">
      <c r="A550" s="99">
        <f t="shared" si="79"/>
        <v>548</v>
      </c>
      <c r="B550" s="75" t="s">
        <v>497</v>
      </c>
      <c r="C550" s="100" t="str">
        <f>IF($B550&lt;&gt;"",_xlfn.IFNA(VLOOKUP($B550,'Node Details'!$B:$U,C$1,0),"Check"),"")</f>
        <v>0000AXW14-AXW140103</v>
      </c>
      <c r="D550" s="100" t="str">
        <f>IF($B550&lt;&gt;"",_xlfn.IFNA(VLOOKUP($B550,'Node Details'!$B:$U,D$1,0),"Check"),"")</f>
        <v>AXW</v>
      </c>
      <c r="E550" s="100" t="str">
        <f>IF($B550&lt;&gt;"",_xlfn.IFNA(VLOOKUP($B550,'Node Details'!$B:$U,E$1,0),"Check"),"")</f>
        <v>Airtel</v>
      </c>
      <c r="F550" s="101">
        <v>46114</v>
      </c>
      <c r="G550" s="103"/>
      <c r="H550" s="102" t="s">
        <v>1254</v>
      </c>
      <c r="I550" s="9">
        <v>1</v>
      </c>
      <c r="J550" s="9">
        <v>600</v>
      </c>
      <c r="K550" s="100">
        <f t="shared" si="78"/>
        <v>600</v>
      </c>
      <c r="L550" s="78">
        <v>46112</v>
      </c>
      <c r="M550" s="103"/>
      <c r="N550" s="93" t="s">
        <v>373</v>
      </c>
      <c r="O550" s="94">
        <v>46146</v>
      </c>
      <c r="P550" s="104">
        <f t="shared" si="80"/>
        <v>600</v>
      </c>
      <c r="Q550" s="104">
        <f t="shared" si="81"/>
        <v>600</v>
      </c>
      <c r="R550" s="104"/>
      <c r="S550" s="93" t="s">
        <v>374</v>
      </c>
      <c r="T550" s="94">
        <v>46156</v>
      </c>
      <c r="U550" s="104">
        <f t="shared" si="82"/>
        <v>600</v>
      </c>
      <c r="V550" s="104">
        <f t="shared" si="83"/>
        <v>1</v>
      </c>
      <c r="W550" s="103">
        <f t="shared" si="84"/>
        <v>600</v>
      </c>
      <c r="X550" s="93" t="s">
        <v>89</v>
      </c>
      <c r="Y550" s="105" t="s">
        <v>84</v>
      </c>
      <c r="Z550" s="105" t="s">
        <v>93</v>
      </c>
    </row>
    <row r="551" spans="1:26" s="105" customFormat="1" ht="15" customHeight="1">
      <c r="A551" s="99">
        <f t="shared" si="79"/>
        <v>549</v>
      </c>
      <c r="B551" s="75" t="s">
        <v>1099</v>
      </c>
      <c r="C551" s="100" t="str">
        <f>IF($B551&lt;&gt;"",_xlfn.IFNA(VLOOKUP($B551,'Node Details'!$B:$U,C$1,0),"Check"),"")</f>
        <v>AXW140102-AXW140105</v>
      </c>
      <c r="D551" s="100" t="str">
        <f>IF($B551&lt;&gt;"",_xlfn.IFNA(VLOOKUP($B551,'Node Details'!$B:$U,D$1,0),"Check"),"")</f>
        <v>AXW</v>
      </c>
      <c r="E551" s="100" t="str">
        <f>IF($B551&lt;&gt;"",_xlfn.IFNA(VLOOKUP($B551,'Node Details'!$B:$U,E$1,0),"Check"),"")</f>
        <v>Airtel</v>
      </c>
      <c r="F551" s="101">
        <v>46114</v>
      </c>
      <c r="G551" s="103"/>
      <c r="H551" s="102" t="s">
        <v>1254</v>
      </c>
      <c r="I551" s="9">
        <v>1</v>
      </c>
      <c r="J551" s="9">
        <v>600</v>
      </c>
      <c r="K551" s="100">
        <f t="shared" si="78"/>
        <v>600</v>
      </c>
      <c r="L551" s="78">
        <v>46112</v>
      </c>
      <c r="M551" s="103"/>
      <c r="N551" s="93" t="s">
        <v>373</v>
      </c>
      <c r="O551" s="94">
        <v>46146</v>
      </c>
      <c r="P551" s="104">
        <f t="shared" si="80"/>
        <v>600</v>
      </c>
      <c r="Q551" s="104">
        <f t="shared" si="81"/>
        <v>600</v>
      </c>
      <c r="R551" s="104"/>
      <c r="S551" s="93" t="s">
        <v>374</v>
      </c>
      <c r="T551" s="94">
        <v>46156</v>
      </c>
      <c r="U551" s="104">
        <f t="shared" si="82"/>
        <v>600</v>
      </c>
      <c r="V551" s="104">
        <f t="shared" si="83"/>
        <v>1</v>
      </c>
      <c r="W551" s="103">
        <f t="shared" si="84"/>
        <v>600</v>
      </c>
      <c r="X551" s="93" t="s">
        <v>89</v>
      </c>
      <c r="Y551" s="105" t="s">
        <v>84</v>
      </c>
      <c r="Z551" s="105" t="s">
        <v>93</v>
      </c>
    </row>
    <row r="552" spans="1:26" s="105" customFormat="1" ht="15" customHeight="1">
      <c r="A552" s="99">
        <f t="shared" si="79"/>
        <v>550</v>
      </c>
      <c r="B552" s="75" t="s">
        <v>500</v>
      </c>
      <c r="C552" s="100" t="str">
        <f>IF($B552&lt;&gt;"",_xlfn.IFNA(VLOOKUP($B552,'Node Details'!$B:$U,C$1,0),"Check"),"")</f>
        <v>AXW140102-AXW140105</v>
      </c>
      <c r="D552" s="100" t="str">
        <f>IF($B552&lt;&gt;"",_xlfn.IFNA(VLOOKUP($B552,'Node Details'!$B:$U,D$1,0),"Check"),"")</f>
        <v>AXW</v>
      </c>
      <c r="E552" s="100" t="str">
        <f>IF($B552&lt;&gt;"",_xlfn.IFNA(VLOOKUP($B552,'Node Details'!$B:$U,E$1,0),"Check"),"")</f>
        <v>Airtel</v>
      </c>
      <c r="F552" s="101">
        <v>46114</v>
      </c>
      <c r="G552" s="103"/>
      <c r="H552" s="102" t="s">
        <v>1254</v>
      </c>
      <c r="I552" s="9">
        <v>1</v>
      </c>
      <c r="J552" s="9">
        <v>600</v>
      </c>
      <c r="K552" s="100">
        <f t="shared" si="78"/>
        <v>600</v>
      </c>
      <c r="L552" s="78">
        <v>46112</v>
      </c>
      <c r="M552" s="103"/>
      <c r="N552" s="93" t="s">
        <v>373</v>
      </c>
      <c r="O552" s="94">
        <v>46146</v>
      </c>
      <c r="P552" s="104">
        <f t="shared" si="80"/>
        <v>600</v>
      </c>
      <c r="Q552" s="104">
        <f t="shared" si="81"/>
        <v>600</v>
      </c>
      <c r="R552" s="104"/>
      <c r="S552" s="93" t="s">
        <v>374</v>
      </c>
      <c r="T552" s="94">
        <v>46156</v>
      </c>
      <c r="U552" s="104">
        <f t="shared" si="82"/>
        <v>600</v>
      </c>
      <c r="V552" s="104">
        <f t="shared" si="83"/>
        <v>1</v>
      </c>
      <c r="W552" s="103">
        <f t="shared" si="84"/>
        <v>600</v>
      </c>
      <c r="X552" s="93" t="s">
        <v>89</v>
      </c>
      <c r="Y552" s="105" t="s">
        <v>84</v>
      </c>
      <c r="Z552" s="105" t="s">
        <v>93</v>
      </c>
    </row>
    <row r="553" spans="1:26" s="105" customFormat="1" ht="15" customHeight="1">
      <c r="A553" s="99">
        <f t="shared" si="79"/>
        <v>551</v>
      </c>
      <c r="B553" s="75" t="s">
        <v>502</v>
      </c>
      <c r="C553" s="100" t="str">
        <f>IF($B553&lt;&gt;"",_xlfn.IFNA(VLOOKUP($B553,'Node Details'!$B:$U,C$1,0),"Check"),"")</f>
        <v>0000AXW15-AXW150101</v>
      </c>
      <c r="D553" s="100" t="str">
        <f>IF($B553&lt;&gt;"",_xlfn.IFNA(VLOOKUP($B553,'Node Details'!$B:$U,D$1,0),"Check"),"")</f>
        <v>AXW</v>
      </c>
      <c r="E553" s="100" t="str">
        <f>IF($B553&lt;&gt;"",_xlfn.IFNA(VLOOKUP($B553,'Node Details'!$B:$U,E$1,0),"Check"),"")</f>
        <v>Airtel</v>
      </c>
      <c r="F553" s="101">
        <v>46114</v>
      </c>
      <c r="G553" s="103"/>
      <c r="H553" s="102" t="s">
        <v>1254</v>
      </c>
      <c r="I553" s="9">
        <v>1</v>
      </c>
      <c r="J553" s="9">
        <v>600</v>
      </c>
      <c r="K553" s="100">
        <f t="shared" si="78"/>
        <v>600</v>
      </c>
      <c r="L553" s="78">
        <v>46112</v>
      </c>
      <c r="M553" s="103"/>
      <c r="N553" s="93" t="s">
        <v>373</v>
      </c>
      <c r="O553" s="94">
        <v>46146</v>
      </c>
      <c r="P553" s="104">
        <f t="shared" si="80"/>
        <v>600</v>
      </c>
      <c r="Q553" s="104">
        <f t="shared" si="81"/>
        <v>600</v>
      </c>
      <c r="R553" s="104"/>
      <c r="S553" s="93" t="s">
        <v>374</v>
      </c>
      <c r="T553" s="94">
        <v>46156</v>
      </c>
      <c r="U553" s="104">
        <f t="shared" si="82"/>
        <v>600</v>
      </c>
      <c r="V553" s="104">
        <f t="shared" si="83"/>
        <v>1</v>
      </c>
      <c r="W553" s="103">
        <f t="shared" si="84"/>
        <v>600</v>
      </c>
      <c r="X553" s="93" t="s">
        <v>89</v>
      </c>
      <c r="Y553" s="105" t="s">
        <v>84</v>
      </c>
      <c r="Z553" s="105" t="s">
        <v>93</v>
      </c>
    </row>
    <row r="554" spans="1:26" s="105" customFormat="1" ht="15" customHeight="1">
      <c r="A554" s="99">
        <f t="shared" si="79"/>
        <v>552</v>
      </c>
      <c r="B554" s="75" t="s">
        <v>506</v>
      </c>
      <c r="C554" s="100" t="str">
        <f>IF($B554&lt;&gt;"",_xlfn.IFNA(VLOOKUP($B554,'Node Details'!$B:$U,C$1,0),"Check"),"")</f>
        <v>0000AXW15-AXW150103</v>
      </c>
      <c r="D554" s="100" t="str">
        <f>IF($B554&lt;&gt;"",_xlfn.IFNA(VLOOKUP($B554,'Node Details'!$B:$U,D$1,0),"Check"),"")</f>
        <v>AXW</v>
      </c>
      <c r="E554" s="100" t="str">
        <f>IF($B554&lt;&gt;"",_xlfn.IFNA(VLOOKUP($B554,'Node Details'!$B:$U,E$1,0),"Check"),"")</f>
        <v>Airtel</v>
      </c>
      <c r="F554" s="101">
        <v>46114</v>
      </c>
      <c r="G554" s="103"/>
      <c r="H554" s="102" t="s">
        <v>1254</v>
      </c>
      <c r="I554" s="9">
        <v>1</v>
      </c>
      <c r="J554" s="9">
        <v>600</v>
      </c>
      <c r="K554" s="100">
        <f t="shared" si="78"/>
        <v>600</v>
      </c>
      <c r="L554" s="78">
        <v>46112</v>
      </c>
      <c r="M554" s="103"/>
      <c r="N554" s="93" t="s">
        <v>373</v>
      </c>
      <c r="O554" s="94">
        <v>46146</v>
      </c>
      <c r="P554" s="104">
        <f t="shared" si="80"/>
        <v>600</v>
      </c>
      <c r="Q554" s="104">
        <f t="shared" si="81"/>
        <v>600</v>
      </c>
      <c r="R554" s="104"/>
      <c r="S554" s="93" t="s">
        <v>374</v>
      </c>
      <c r="T554" s="94">
        <v>46156</v>
      </c>
      <c r="U554" s="104">
        <f t="shared" si="82"/>
        <v>600</v>
      </c>
      <c r="V554" s="104">
        <f t="shared" si="83"/>
        <v>1</v>
      </c>
      <c r="W554" s="103">
        <f t="shared" si="84"/>
        <v>600</v>
      </c>
      <c r="X554" s="93" t="s">
        <v>89</v>
      </c>
      <c r="Y554" s="105" t="s">
        <v>84</v>
      </c>
      <c r="Z554" s="105" t="s">
        <v>93</v>
      </c>
    </row>
    <row r="555" spans="1:26" s="105" customFormat="1" ht="15" customHeight="1">
      <c r="A555" s="99">
        <f t="shared" si="79"/>
        <v>553</v>
      </c>
      <c r="B555" s="75" t="s">
        <v>504</v>
      </c>
      <c r="C555" s="100" t="str">
        <f>IF($B555&lt;&gt;"",_xlfn.IFNA(VLOOKUP($B555,'Node Details'!$B:$U,C$1,0),"Check"),"")</f>
        <v>0000AXW15-AXW150103</v>
      </c>
      <c r="D555" s="100" t="str">
        <f>IF($B555&lt;&gt;"",_xlfn.IFNA(VLOOKUP($B555,'Node Details'!$B:$U,D$1,0),"Check"),"")</f>
        <v>AXW</v>
      </c>
      <c r="E555" s="100" t="str">
        <f>IF($B555&lt;&gt;"",_xlfn.IFNA(VLOOKUP($B555,'Node Details'!$B:$U,E$1,0),"Check"),"")</f>
        <v>Airtel</v>
      </c>
      <c r="F555" s="101">
        <v>46114</v>
      </c>
      <c r="G555" s="103"/>
      <c r="H555" s="102" t="s">
        <v>1254</v>
      </c>
      <c r="I555" s="9">
        <v>1</v>
      </c>
      <c r="J555" s="9">
        <v>600</v>
      </c>
      <c r="K555" s="100">
        <f t="shared" si="78"/>
        <v>600</v>
      </c>
      <c r="L555" s="78">
        <v>46112</v>
      </c>
      <c r="M555" s="103"/>
      <c r="N555" s="93" t="s">
        <v>373</v>
      </c>
      <c r="O555" s="94">
        <v>46146</v>
      </c>
      <c r="P555" s="104">
        <f t="shared" si="80"/>
        <v>600</v>
      </c>
      <c r="Q555" s="104">
        <f t="shared" si="81"/>
        <v>600</v>
      </c>
      <c r="R555" s="104"/>
      <c r="S555" s="93" t="s">
        <v>374</v>
      </c>
      <c r="T555" s="94">
        <v>46156</v>
      </c>
      <c r="U555" s="104">
        <f t="shared" si="82"/>
        <v>600</v>
      </c>
      <c r="V555" s="104">
        <f t="shared" si="83"/>
        <v>1</v>
      </c>
      <c r="W555" s="103">
        <f t="shared" si="84"/>
        <v>600</v>
      </c>
      <c r="X555" s="93" t="s">
        <v>89</v>
      </c>
      <c r="Y555" s="105" t="s">
        <v>84</v>
      </c>
      <c r="Z555" s="105" t="s">
        <v>93</v>
      </c>
    </row>
    <row r="556" spans="1:26" s="105" customFormat="1" ht="15" customHeight="1">
      <c r="A556" s="99">
        <f t="shared" si="79"/>
        <v>554</v>
      </c>
      <c r="B556" s="75" t="s">
        <v>507</v>
      </c>
      <c r="C556" s="100" t="str">
        <f>IF($B556&lt;&gt;"",_xlfn.IFNA(VLOOKUP($B556,'Node Details'!$B:$U,C$1,0),"Check"),"")</f>
        <v>AXW150102-AXW150104</v>
      </c>
      <c r="D556" s="100" t="str">
        <f>IF($B556&lt;&gt;"",_xlfn.IFNA(VLOOKUP($B556,'Node Details'!$B:$U,D$1,0),"Check"),"")</f>
        <v>AXW</v>
      </c>
      <c r="E556" s="100" t="str">
        <f>IF($B556&lt;&gt;"",_xlfn.IFNA(VLOOKUP($B556,'Node Details'!$B:$U,E$1,0),"Check"),"")</f>
        <v>Airtel</v>
      </c>
      <c r="F556" s="101">
        <v>46114</v>
      </c>
      <c r="G556" s="103"/>
      <c r="H556" s="102" t="s">
        <v>1254</v>
      </c>
      <c r="I556" s="9">
        <v>1</v>
      </c>
      <c r="J556" s="9">
        <v>600</v>
      </c>
      <c r="K556" s="100">
        <f t="shared" si="78"/>
        <v>600</v>
      </c>
      <c r="L556" s="78">
        <v>46112</v>
      </c>
      <c r="M556" s="103"/>
      <c r="N556" s="93" t="s">
        <v>373</v>
      </c>
      <c r="O556" s="94">
        <v>46146</v>
      </c>
      <c r="P556" s="104">
        <f t="shared" si="80"/>
        <v>600</v>
      </c>
      <c r="Q556" s="104">
        <f t="shared" si="81"/>
        <v>600</v>
      </c>
      <c r="R556" s="104"/>
      <c r="S556" s="93" t="s">
        <v>374</v>
      </c>
      <c r="T556" s="94">
        <v>46156</v>
      </c>
      <c r="U556" s="104">
        <f t="shared" si="82"/>
        <v>600</v>
      </c>
      <c r="V556" s="104">
        <f t="shared" si="83"/>
        <v>1</v>
      </c>
      <c r="W556" s="103">
        <f t="shared" si="84"/>
        <v>600</v>
      </c>
      <c r="X556" s="93" t="s">
        <v>89</v>
      </c>
      <c r="Y556" s="105" t="s">
        <v>84</v>
      </c>
      <c r="Z556" s="105" t="s">
        <v>93</v>
      </c>
    </row>
    <row r="557" spans="1:26" s="105" customFormat="1" ht="15" customHeight="1">
      <c r="A557" s="99">
        <f t="shared" si="79"/>
        <v>555</v>
      </c>
      <c r="B557" s="75" t="s">
        <v>509</v>
      </c>
      <c r="C557" s="100" t="str">
        <f>IF($B557&lt;&gt;"",_xlfn.IFNA(VLOOKUP($B557,'Node Details'!$B:$U,C$1,0),"Check"),"")</f>
        <v>0000AXW15-AXW150105</v>
      </c>
      <c r="D557" s="100" t="str">
        <f>IF($B557&lt;&gt;"",_xlfn.IFNA(VLOOKUP($B557,'Node Details'!$B:$U,D$1,0),"Check"),"")</f>
        <v>AXW</v>
      </c>
      <c r="E557" s="100" t="str">
        <f>IF($B557&lt;&gt;"",_xlfn.IFNA(VLOOKUP($B557,'Node Details'!$B:$U,E$1,0),"Check"),"")</f>
        <v>Airtel</v>
      </c>
      <c r="F557" s="101">
        <v>46114</v>
      </c>
      <c r="G557" s="103"/>
      <c r="H557" s="102" t="s">
        <v>1254</v>
      </c>
      <c r="I557" s="9">
        <v>1</v>
      </c>
      <c r="J557" s="9">
        <v>600</v>
      </c>
      <c r="K557" s="100">
        <f t="shared" si="78"/>
        <v>600</v>
      </c>
      <c r="L557" s="78">
        <v>46112</v>
      </c>
      <c r="M557" s="103"/>
      <c r="N557" s="93" t="s">
        <v>373</v>
      </c>
      <c r="O557" s="94">
        <v>46146</v>
      </c>
      <c r="P557" s="104">
        <f t="shared" si="80"/>
        <v>600</v>
      </c>
      <c r="Q557" s="104">
        <f t="shared" si="81"/>
        <v>600</v>
      </c>
      <c r="R557" s="104"/>
      <c r="S557" s="93" t="s">
        <v>374</v>
      </c>
      <c r="T557" s="94">
        <v>46156</v>
      </c>
      <c r="U557" s="104">
        <f t="shared" si="82"/>
        <v>600</v>
      </c>
      <c r="V557" s="104">
        <f t="shared" si="83"/>
        <v>1</v>
      </c>
      <c r="W557" s="103">
        <f t="shared" si="84"/>
        <v>600</v>
      </c>
      <c r="X557" s="93" t="s">
        <v>89</v>
      </c>
      <c r="Y557" s="105" t="s">
        <v>84</v>
      </c>
      <c r="Z557" s="105" t="s">
        <v>93</v>
      </c>
    </row>
    <row r="558" spans="1:26" s="105" customFormat="1" ht="15" customHeight="1">
      <c r="A558" s="99">
        <f t="shared" si="79"/>
        <v>556</v>
      </c>
      <c r="B558" s="75" t="s">
        <v>511</v>
      </c>
      <c r="C558" s="100" t="str">
        <f>IF($B558&lt;&gt;"",_xlfn.IFNA(VLOOKUP($B558,'Node Details'!$B:$U,C$1,0),"Check"),"")</f>
        <v>0000AXW15-AXW150106</v>
      </c>
      <c r="D558" s="100" t="str">
        <f>IF($B558&lt;&gt;"",_xlfn.IFNA(VLOOKUP($B558,'Node Details'!$B:$U,D$1,0),"Check"),"")</f>
        <v>AXW</v>
      </c>
      <c r="E558" s="100" t="str">
        <f>IF($B558&lt;&gt;"",_xlfn.IFNA(VLOOKUP($B558,'Node Details'!$B:$U,E$1,0),"Check"),"")</f>
        <v>Airtel</v>
      </c>
      <c r="F558" s="101">
        <v>46114</v>
      </c>
      <c r="G558" s="103"/>
      <c r="H558" s="102" t="s">
        <v>1254</v>
      </c>
      <c r="I558" s="9">
        <v>1</v>
      </c>
      <c r="J558" s="9">
        <v>600</v>
      </c>
      <c r="K558" s="100">
        <f t="shared" si="78"/>
        <v>600</v>
      </c>
      <c r="L558" s="78">
        <v>46112</v>
      </c>
      <c r="M558" s="103"/>
      <c r="N558" s="93" t="s">
        <v>373</v>
      </c>
      <c r="O558" s="94">
        <v>46146</v>
      </c>
      <c r="P558" s="104">
        <f t="shared" si="80"/>
        <v>600</v>
      </c>
      <c r="Q558" s="104">
        <f t="shared" si="81"/>
        <v>600</v>
      </c>
      <c r="R558" s="104"/>
      <c r="S558" s="93" t="s">
        <v>374</v>
      </c>
      <c r="T558" s="94">
        <v>46156</v>
      </c>
      <c r="U558" s="104">
        <f t="shared" si="82"/>
        <v>600</v>
      </c>
      <c r="V558" s="104">
        <f t="shared" si="83"/>
        <v>1</v>
      </c>
      <c r="W558" s="103">
        <f t="shared" si="84"/>
        <v>600</v>
      </c>
      <c r="X558" s="93" t="s">
        <v>89</v>
      </c>
      <c r="Y558" s="105" t="s">
        <v>84</v>
      </c>
      <c r="Z558" s="105" t="s">
        <v>93</v>
      </c>
    </row>
    <row r="559" spans="1:26" s="105" customFormat="1" ht="15" customHeight="1">
      <c r="A559" s="99">
        <f t="shared" si="79"/>
        <v>557</v>
      </c>
      <c r="B559" s="75" t="s">
        <v>513</v>
      </c>
      <c r="C559" s="100" t="str">
        <f>IF($B559&lt;&gt;"",_xlfn.IFNA(VLOOKUP($B559,'Node Details'!$B:$U,C$1,0),"Check"),"")</f>
        <v>0000AXW16-AXW160101</v>
      </c>
      <c r="D559" s="100" t="str">
        <f>IF($B559&lt;&gt;"",_xlfn.IFNA(VLOOKUP($B559,'Node Details'!$B:$U,D$1,0),"Check"),"")</f>
        <v>AXW</v>
      </c>
      <c r="E559" s="100" t="str">
        <f>IF($B559&lt;&gt;"",_xlfn.IFNA(VLOOKUP($B559,'Node Details'!$B:$U,E$1,0),"Check"),"")</f>
        <v>Airtel</v>
      </c>
      <c r="F559" s="101">
        <v>46114</v>
      </c>
      <c r="G559" s="103"/>
      <c r="H559" s="102" t="s">
        <v>1254</v>
      </c>
      <c r="I559" s="9">
        <v>1</v>
      </c>
      <c r="J559" s="9">
        <v>600</v>
      </c>
      <c r="K559" s="100">
        <f t="shared" si="78"/>
        <v>600</v>
      </c>
      <c r="L559" s="78">
        <v>46112</v>
      </c>
      <c r="M559" s="103"/>
      <c r="N559" s="93" t="s">
        <v>373</v>
      </c>
      <c r="O559" s="94">
        <v>46146</v>
      </c>
      <c r="P559" s="104">
        <f t="shared" si="80"/>
        <v>600</v>
      </c>
      <c r="Q559" s="104">
        <f t="shared" si="81"/>
        <v>600</v>
      </c>
      <c r="R559" s="104"/>
      <c r="S559" s="93" t="s">
        <v>374</v>
      </c>
      <c r="T559" s="94">
        <v>46156</v>
      </c>
      <c r="U559" s="104">
        <f t="shared" si="82"/>
        <v>600</v>
      </c>
      <c r="V559" s="104">
        <f t="shared" si="83"/>
        <v>1</v>
      </c>
      <c r="W559" s="103">
        <f t="shared" si="84"/>
        <v>600</v>
      </c>
      <c r="X559" s="93" t="s">
        <v>89</v>
      </c>
      <c r="Y559" s="105" t="s">
        <v>84</v>
      </c>
      <c r="Z559" s="105" t="s">
        <v>93</v>
      </c>
    </row>
    <row r="560" spans="1:26" s="105" customFormat="1" ht="15" customHeight="1">
      <c r="A560" s="99">
        <f t="shared" si="79"/>
        <v>558</v>
      </c>
      <c r="B560" s="75" t="s">
        <v>515</v>
      </c>
      <c r="C560" s="100" t="str">
        <f>IF($B560&lt;&gt;"",_xlfn.IFNA(VLOOKUP($B560,'Node Details'!$B:$U,C$1,0),"Check"),"")</f>
        <v>0000AXW16-AXW160102</v>
      </c>
      <c r="D560" s="100" t="str">
        <f>IF($B560&lt;&gt;"",_xlfn.IFNA(VLOOKUP($B560,'Node Details'!$B:$U,D$1,0),"Check"),"")</f>
        <v>AXW</v>
      </c>
      <c r="E560" s="100" t="str">
        <f>IF($B560&lt;&gt;"",_xlfn.IFNA(VLOOKUP($B560,'Node Details'!$B:$U,E$1,0),"Check"),"")</f>
        <v>Airtel</v>
      </c>
      <c r="F560" s="101">
        <v>46114</v>
      </c>
      <c r="G560" s="103"/>
      <c r="H560" s="102" t="s">
        <v>1254</v>
      </c>
      <c r="I560" s="9">
        <v>1</v>
      </c>
      <c r="J560" s="9">
        <v>600</v>
      </c>
      <c r="K560" s="100">
        <f t="shared" si="78"/>
        <v>600</v>
      </c>
      <c r="L560" s="78">
        <v>46112</v>
      </c>
      <c r="M560" s="103"/>
      <c r="N560" s="93" t="s">
        <v>373</v>
      </c>
      <c r="O560" s="94">
        <v>46146</v>
      </c>
      <c r="P560" s="104">
        <f t="shared" si="80"/>
        <v>600</v>
      </c>
      <c r="Q560" s="104">
        <f t="shared" si="81"/>
        <v>600</v>
      </c>
      <c r="R560" s="104"/>
      <c r="S560" s="93" t="s">
        <v>374</v>
      </c>
      <c r="T560" s="94">
        <v>46156</v>
      </c>
      <c r="U560" s="104">
        <f t="shared" si="82"/>
        <v>600</v>
      </c>
      <c r="V560" s="104">
        <f t="shared" si="83"/>
        <v>1</v>
      </c>
      <c r="W560" s="103">
        <f t="shared" si="84"/>
        <v>600</v>
      </c>
      <c r="X560" s="93" t="s">
        <v>89</v>
      </c>
      <c r="Y560" s="105" t="s">
        <v>84</v>
      </c>
      <c r="Z560" s="105" t="s">
        <v>93</v>
      </c>
    </row>
    <row r="561" spans="1:26" s="105" customFormat="1" ht="15" customHeight="1">
      <c r="A561" s="99">
        <f t="shared" si="79"/>
        <v>559</v>
      </c>
      <c r="B561" s="75" t="s">
        <v>1100</v>
      </c>
      <c r="C561" s="100" t="str">
        <f>IF($B561&lt;&gt;"",_xlfn.IFNA(VLOOKUP($B561,'Node Details'!$B:$U,C$1,0),"Check"),"")</f>
        <v>0000AXW16-AXW160104</v>
      </c>
      <c r="D561" s="100" t="str">
        <f>IF($B561&lt;&gt;"",_xlfn.IFNA(VLOOKUP($B561,'Node Details'!$B:$U,D$1,0),"Check"),"")</f>
        <v>AXW</v>
      </c>
      <c r="E561" s="100" t="str">
        <f>IF($B561&lt;&gt;"",_xlfn.IFNA(VLOOKUP($B561,'Node Details'!$B:$U,E$1,0),"Check"),"")</f>
        <v>Airtel</v>
      </c>
      <c r="F561" s="101">
        <v>46114</v>
      </c>
      <c r="G561" s="103"/>
      <c r="H561" s="102" t="s">
        <v>1254</v>
      </c>
      <c r="I561" s="9">
        <v>1</v>
      </c>
      <c r="J561" s="9">
        <v>600</v>
      </c>
      <c r="K561" s="100">
        <f t="shared" si="78"/>
        <v>600</v>
      </c>
      <c r="L561" s="78">
        <v>46112</v>
      </c>
      <c r="M561" s="103"/>
      <c r="N561" s="93" t="s">
        <v>373</v>
      </c>
      <c r="O561" s="94">
        <v>46146</v>
      </c>
      <c r="P561" s="104">
        <f t="shared" si="80"/>
        <v>600</v>
      </c>
      <c r="Q561" s="104">
        <f t="shared" si="81"/>
        <v>600</v>
      </c>
      <c r="R561" s="104"/>
      <c r="S561" s="93" t="s">
        <v>374</v>
      </c>
      <c r="T561" s="94">
        <v>46156</v>
      </c>
      <c r="U561" s="104">
        <f t="shared" si="82"/>
        <v>600</v>
      </c>
      <c r="V561" s="104">
        <f t="shared" si="83"/>
        <v>1</v>
      </c>
      <c r="W561" s="103">
        <f t="shared" si="84"/>
        <v>600</v>
      </c>
      <c r="X561" s="93" t="s">
        <v>89</v>
      </c>
      <c r="Y561" s="105" t="s">
        <v>84</v>
      </c>
      <c r="Z561" s="105" t="s">
        <v>93</v>
      </c>
    </row>
    <row r="562" spans="1:26" s="105" customFormat="1" ht="15" customHeight="1">
      <c r="A562" s="99">
        <f t="shared" si="79"/>
        <v>560</v>
      </c>
      <c r="B562" s="75" t="s">
        <v>517</v>
      </c>
      <c r="C562" s="100" t="str">
        <f>IF($B562&lt;&gt;"",_xlfn.IFNA(VLOOKUP($B562,'Node Details'!$B:$U,C$1,0),"Check"),"")</f>
        <v>0000AXW16-AXW160104</v>
      </c>
      <c r="D562" s="100" t="str">
        <f>IF($B562&lt;&gt;"",_xlfn.IFNA(VLOOKUP($B562,'Node Details'!$B:$U,D$1,0),"Check"),"")</f>
        <v>AXW</v>
      </c>
      <c r="E562" s="100" t="str">
        <f>IF($B562&lt;&gt;"",_xlfn.IFNA(VLOOKUP($B562,'Node Details'!$B:$U,E$1,0),"Check"),"")</f>
        <v>Airtel</v>
      </c>
      <c r="F562" s="101">
        <v>46114</v>
      </c>
      <c r="G562" s="103"/>
      <c r="H562" s="102" t="s">
        <v>1254</v>
      </c>
      <c r="I562" s="9">
        <v>1</v>
      </c>
      <c r="J562" s="9">
        <v>600</v>
      </c>
      <c r="K562" s="100">
        <f t="shared" si="78"/>
        <v>600</v>
      </c>
      <c r="L562" s="78">
        <v>46112</v>
      </c>
      <c r="M562" s="103"/>
      <c r="N562" s="93" t="s">
        <v>373</v>
      </c>
      <c r="O562" s="94">
        <v>46146</v>
      </c>
      <c r="P562" s="104">
        <f t="shared" si="80"/>
        <v>600</v>
      </c>
      <c r="Q562" s="104">
        <f t="shared" si="81"/>
        <v>600</v>
      </c>
      <c r="R562" s="104"/>
      <c r="S562" s="93" t="s">
        <v>374</v>
      </c>
      <c r="T562" s="94">
        <v>46156</v>
      </c>
      <c r="U562" s="104">
        <f t="shared" si="82"/>
        <v>600</v>
      </c>
      <c r="V562" s="104">
        <f t="shared" si="83"/>
        <v>1</v>
      </c>
      <c r="W562" s="103">
        <f t="shared" si="84"/>
        <v>600</v>
      </c>
      <c r="X562" s="93" t="s">
        <v>89</v>
      </c>
      <c r="Y562" s="105" t="s">
        <v>84</v>
      </c>
      <c r="Z562" s="105" t="s">
        <v>93</v>
      </c>
    </row>
    <row r="563" spans="1:26" s="105" customFormat="1" ht="15" customHeight="1">
      <c r="A563" s="99">
        <f t="shared" si="79"/>
        <v>561</v>
      </c>
      <c r="B563" s="75" t="s">
        <v>519</v>
      </c>
      <c r="C563" s="100" t="str">
        <f>IF($B563&lt;&gt;"",_xlfn.IFNA(VLOOKUP($B563,'Node Details'!$B:$U,C$1,0),"Check"),"")</f>
        <v>0000AXW16-AXW160105</v>
      </c>
      <c r="D563" s="100" t="str">
        <f>IF($B563&lt;&gt;"",_xlfn.IFNA(VLOOKUP($B563,'Node Details'!$B:$U,D$1,0),"Check"),"")</f>
        <v>AXW</v>
      </c>
      <c r="E563" s="100" t="str">
        <f>IF($B563&lt;&gt;"",_xlfn.IFNA(VLOOKUP($B563,'Node Details'!$B:$U,E$1,0),"Check"),"")</f>
        <v>Airtel</v>
      </c>
      <c r="F563" s="101">
        <v>46114</v>
      </c>
      <c r="G563" s="103"/>
      <c r="H563" s="102" t="s">
        <v>1254</v>
      </c>
      <c r="I563" s="9">
        <v>1</v>
      </c>
      <c r="J563" s="9">
        <v>600</v>
      </c>
      <c r="K563" s="100">
        <f t="shared" si="78"/>
        <v>600</v>
      </c>
      <c r="L563" s="78">
        <v>46112</v>
      </c>
      <c r="M563" s="103"/>
      <c r="N563" s="93" t="s">
        <v>373</v>
      </c>
      <c r="O563" s="94">
        <v>46146</v>
      </c>
      <c r="P563" s="104">
        <f t="shared" si="80"/>
        <v>600</v>
      </c>
      <c r="Q563" s="104">
        <f t="shared" si="81"/>
        <v>600</v>
      </c>
      <c r="R563" s="104"/>
      <c r="S563" s="93" t="s">
        <v>374</v>
      </c>
      <c r="T563" s="94">
        <v>46156</v>
      </c>
      <c r="U563" s="104">
        <f t="shared" si="82"/>
        <v>600</v>
      </c>
      <c r="V563" s="104">
        <f t="shared" si="83"/>
        <v>1</v>
      </c>
      <c r="W563" s="103">
        <f t="shared" si="84"/>
        <v>600</v>
      </c>
      <c r="X563" s="93" t="s">
        <v>89</v>
      </c>
      <c r="Y563" s="105" t="s">
        <v>84</v>
      </c>
      <c r="Z563" s="105" t="s">
        <v>93</v>
      </c>
    </row>
    <row r="564" spans="1:26" s="105" customFormat="1" ht="15" customHeight="1">
      <c r="A564" s="99">
        <f t="shared" si="79"/>
        <v>562</v>
      </c>
      <c r="B564" s="75" t="s">
        <v>521</v>
      </c>
      <c r="C564" s="100" t="str">
        <f>IF($B564&lt;&gt;"",_xlfn.IFNA(VLOOKUP($B564,'Node Details'!$B:$U,C$1,0),"Check"),"")</f>
        <v>AXW160105-AXW160106</v>
      </c>
      <c r="D564" s="100" t="str">
        <f>IF($B564&lt;&gt;"",_xlfn.IFNA(VLOOKUP($B564,'Node Details'!$B:$U,D$1,0),"Check"),"")</f>
        <v>AXW</v>
      </c>
      <c r="E564" s="100" t="str">
        <f>IF($B564&lt;&gt;"",_xlfn.IFNA(VLOOKUP($B564,'Node Details'!$B:$U,E$1,0),"Check"),"")</f>
        <v>Airtel</v>
      </c>
      <c r="F564" s="101">
        <v>46114</v>
      </c>
      <c r="G564" s="103"/>
      <c r="H564" s="102" t="s">
        <v>1254</v>
      </c>
      <c r="I564" s="9">
        <v>1</v>
      </c>
      <c r="J564" s="9">
        <v>600</v>
      </c>
      <c r="K564" s="100">
        <f t="shared" si="78"/>
        <v>600</v>
      </c>
      <c r="L564" s="78">
        <v>46112</v>
      </c>
      <c r="M564" s="103"/>
      <c r="N564" s="93" t="s">
        <v>373</v>
      </c>
      <c r="O564" s="94">
        <v>46146</v>
      </c>
      <c r="P564" s="104">
        <f t="shared" si="80"/>
        <v>600</v>
      </c>
      <c r="Q564" s="104">
        <f t="shared" si="81"/>
        <v>600</v>
      </c>
      <c r="R564" s="104"/>
      <c r="S564" s="93" t="s">
        <v>374</v>
      </c>
      <c r="T564" s="94">
        <v>46156</v>
      </c>
      <c r="U564" s="104">
        <f t="shared" si="82"/>
        <v>600</v>
      </c>
      <c r="V564" s="104">
        <f t="shared" si="83"/>
        <v>1</v>
      </c>
      <c r="W564" s="103">
        <f t="shared" si="84"/>
        <v>600</v>
      </c>
      <c r="X564" s="93" t="s">
        <v>89</v>
      </c>
      <c r="Y564" s="105" t="s">
        <v>84</v>
      </c>
      <c r="Z564" s="105" t="s">
        <v>93</v>
      </c>
    </row>
    <row r="565" spans="1:26" s="105" customFormat="1" ht="15" customHeight="1">
      <c r="A565" s="99">
        <f t="shared" si="79"/>
        <v>563</v>
      </c>
      <c r="B565" s="75" t="s">
        <v>1101</v>
      </c>
      <c r="C565" s="100" t="str">
        <f>IF($B565&lt;&gt;"",_xlfn.IFNA(VLOOKUP($B565,'Node Details'!$B:$U,C$1,0),"Check"),"")</f>
        <v>AXW160106-AXW160108</v>
      </c>
      <c r="D565" s="100" t="str">
        <f>IF($B565&lt;&gt;"",_xlfn.IFNA(VLOOKUP($B565,'Node Details'!$B:$U,D$1,0),"Check"),"")</f>
        <v>AXW</v>
      </c>
      <c r="E565" s="100" t="str">
        <f>IF($B565&lt;&gt;"",_xlfn.IFNA(VLOOKUP($B565,'Node Details'!$B:$U,E$1,0),"Check"),"")</f>
        <v>Airtel</v>
      </c>
      <c r="F565" s="101">
        <v>46114</v>
      </c>
      <c r="G565" s="103"/>
      <c r="H565" s="102" t="s">
        <v>1254</v>
      </c>
      <c r="I565" s="9">
        <v>1</v>
      </c>
      <c r="J565" s="9">
        <v>600</v>
      </c>
      <c r="K565" s="100">
        <f t="shared" si="78"/>
        <v>600</v>
      </c>
      <c r="L565" s="78">
        <v>46112</v>
      </c>
      <c r="M565" s="103"/>
      <c r="N565" s="93" t="s">
        <v>373</v>
      </c>
      <c r="O565" s="94">
        <v>46146</v>
      </c>
      <c r="P565" s="104">
        <f t="shared" si="80"/>
        <v>600</v>
      </c>
      <c r="Q565" s="104">
        <f t="shared" si="81"/>
        <v>600</v>
      </c>
      <c r="R565" s="104"/>
      <c r="S565" s="93" t="s">
        <v>374</v>
      </c>
      <c r="T565" s="94">
        <v>46156</v>
      </c>
      <c r="U565" s="104">
        <f t="shared" si="82"/>
        <v>600</v>
      </c>
      <c r="V565" s="104">
        <f t="shared" si="83"/>
        <v>1</v>
      </c>
      <c r="W565" s="103">
        <f t="shared" si="84"/>
        <v>600</v>
      </c>
      <c r="X565" s="93" t="s">
        <v>89</v>
      </c>
      <c r="Y565" s="105" t="s">
        <v>84</v>
      </c>
      <c r="Z565" s="105" t="s">
        <v>93</v>
      </c>
    </row>
    <row r="566" spans="1:26" s="105" customFormat="1" ht="15" customHeight="1">
      <c r="A566" s="99">
        <f t="shared" si="79"/>
        <v>564</v>
      </c>
      <c r="B566" s="75" t="s">
        <v>523</v>
      </c>
      <c r="C566" s="100" t="str">
        <f>IF($B566&lt;&gt;"",_xlfn.IFNA(VLOOKUP($B566,'Node Details'!$B:$U,C$1,0),"Check"),"")</f>
        <v>AXW160106-AXW160108</v>
      </c>
      <c r="D566" s="100" t="str">
        <f>IF($B566&lt;&gt;"",_xlfn.IFNA(VLOOKUP($B566,'Node Details'!$B:$U,D$1,0),"Check"),"")</f>
        <v>AXW</v>
      </c>
      <c r="E566" s="100" t="str">
        <f>IF($B566&lt;&gt;"",_xlfn.IFNA(VLOOKUP($B566,'Node Details'!$B:$U,E$1,0),"Check"),"")</f>
        <v>Airtel</v>
      </c>
      <c r="F566" s="101">
        <v>46114</v>
      </c>
      <c r="G566" s="103"/>
      <c r="H566" s="102" t="s">
        <v>1254</v>
      </c>
      <c r="I566" s="9">
        <v>1</v>
      </c>
      <c r="J566" s="9">
        <v>600</v>
      </c>
      <c r="K566" s="100">
        <f t="shared" si="78"/>
        <v>600</v>
      </c>
      <c r="L566" s="78">
        <v>46112</v>
      </c>
      <c r="M566" s="103"/>
      <c r="N566" s="93" t="s">
        <v>373</v>
      </c>
      <c r="O566" s="94">
        <v>46146</v>
      </c>
      <c r="P566" s="104">
        <f t="shared" si="80"/>
        <v>600</v>
      </c>
      <c r="Q566" s="104">
        <f t="shared" si="81"/>
        <v>600</v>
      </c>
      <c r="R566" s="104"/>
      <c r="S566" s="93" t="s">
        <v>374</v>
      </c>
      <c r="T566" s="94">
        <v>46156</v>
      </c>
      <c r="U566" s="104">
        <f t="shared" si="82"/>
        <v>600</v>
      </c>
      <c r="V566" s="104">
        <f t="shared" si="83"/>
        <v>1</v>
      </c>
      <c r="W566" s="103">
        <f t="shared" si="84"/>
        <v>600</v>
      </c>
      <c r="X566" s="93" t="s">
        <v>89</v>
      </c>
      <c r="Y566" s="105" t="s">
        <v>84</v>
      </c>
      <c r="Z566" s="105" t="s">
        <v>93</v>
      </c>
    </row>
    <row r="567" spans="1:26" s="105" customFormat="1" ht="15" customHeight="1">
      <c r="A567" s="99">
        <f t="shared" si="79"/>
        <v>565</v>
      </c>
      <c r="B567" s="75" t="s">
        <v>525</v>
      </c>
      <c r="C567" s="100" t="str">
        <f>IF($B567&lt;&gt;"",_xlfn.IFNA(VLOOKUP($B567,'Node Details'!$B:$U,C$1,0),"Check"),"")</f>
        <v>0000AXW17-AXW170101</v>
      </c>
      <c r="D567" s="100" t="str">
        <f>IF($B567&lt;&gt;"",_xlfn.IFNA(VLOOKUP($B567,'Node Details'!$B:$U,D$1,0),"Check"),"")</f>
        <v>AXW</v>
      </c>
      <c r="E567" s="100" t="str">
        <f>IF($B567&lt;&gt;"",_xlfn.IFNA(VLOOKUP($B567,'Node Details'!$B:$U,E$1,0),"Check"),"")</f>
        <v>Airtel</v>
      </c>
      <c r="F567" s="101">
        <v>46114</v>
      </c>
      <c r="G567" s="103"/>
      <c r="H567" s="102" t="s">
        <v>1254</v>
      </c>
      <c r="I567" s="9">
        <v>1</v>
      </c>
      <c r="J567" s="9">
        <v>600</v>
      </c>
      <c r="K567" s="100">
        <f t="shared" si="78"/>
        <v>600</v>
      </c>
      <c r="L567" s="78">
        <v>46112</v>
      </c>
      <c r="M567" s="103"/>
      <c r="N567" s="93" t="s">
        <v>373</v>
      </c>
      <c r="O567" s="94">
        <v>46146</v>
      </c>
      <c r="P567" s="104">
        <f t="shared" si="80"/>
        <v>600</v>
      </c>
      <c r="Q567" s="104">
        <f t="shared" si="81"/>
        <v>600</v>
      </c>
      <c r="R567" s="104"/>
      <c r="S567" s="93" t="s">
        <v>374</v>
      </c>
      <c r="T567" s="94">
        <v>46156</v>
      </c>
      <c r="U567" s="104">
        <f t="shared" si="82"/>
        <v>600</v>
      </c>
      <c r="V567" s="104">
        <f t="shared" si="83"/>
        <v>1</v>
      </c>
      <c r="W567" s="103">
        <f t="shared" si="84"/>
        <v>600</v>
      </c>
      <c r="X567" s="93" t="s">
        <v>89</v>
      </c>
      <c r="Y567" s="105" t="s">
        <v>84</v>
      </c>
      <c r="Z567" s="105" t="s">
        <v>93</v>
      </c>
    </row>
    <row r="568" spans="1:26" s="105" customFormat="1" ht="15" customHeight="1">
      <c r="A568" s="99">
        <f t="shared" si="79"/>
        <v>566</v>
      </c>
      <c r="B568" s="75" t="s">
        <v>1102</v>
      </c>
      <c r="C568" s="100" t="str">
        <f>IF($B568&lt;&gt;"",_xlfn.IFNA(VLOOKUP($B568,'Node Details'!$B:$U,C$1,0),"Check"),"")</f>
        <v>0000AXW17-AXW170105</v>
      </c>
      <c r="D568" s="100" t="str">
        <f>IF($B568&lt;&gt;"",_xlfn.IFNA(VLOOKUP($B568,'Node Details'!$B:$U,D$1,0),"Check"),"")</f>
        <v>AXW</v>
      </c>
      <c r="E568" s="100" t="str">
        <f>IF($B568&lt;&gt;"",_xlfn.IFNA(VLOOKUP($B568,'Node Details'!$B:$U,E$1,0),"Check"),"")</f>
        <v>Airtel</v>
      </c>
      <c r="F568" s="101">
        <v>46114</v>
      </c>
      <c r="G568" s="103"/>
      <c r="H568" s="102" t="s">
        <v>1254</v>
      </c>
      <c r="I568" s="9">
        <v>1</v>
      </c>
      <c r="J568" s="9">
        <v>600</v>
      </c>
      <c r="K568" s="100">
        <f t="shared" si="78"/>
        <v>600</v>
      </c>
      <c r="L568" s="78">
        <v>46112</v>
      </c>
      <c r="M568" s="103"/>
      <c r="N568" s="93" t="s">
        <v>373</v>
      </c>
      <c r="O568" s="94">
        <v>46146</v>
      </c>
      <c r="P568" s="104">
        <f t="shared" si="80"/>
        <v>600</v>
      </c>
      <c r="Q568" s="104">
        <f t="shared" si="81"/>
        <v>600</v>
      </c>
      <c r="R568" s="104"/>
      <c r="S568" s="93" t="s">
        <v>374</v>
      </c>
      <c r="T568" s="94">
        <v>46156</v>
      </c>
      <c r="U568" s="104">
        <f t="shared" si="82"/>
        <v>600</v>
      </c>
      <c r="V568" s="104">
        <f t="shared" si="83"/>
        <v>1</v>
      </c>
      <c r="W568" s="103">
        <f t="shared" si="84"/>
        <v>600</v>
      </c>
      <c r="X568" s="93" t="s">
        <v>89</v>
      </c>
      <c r="Y568" s="105" t="s">
        <v>84</v>
      </c>
      <c r="Z568" s="105" t="s">
        <v>93</v>
      </c>
    </row>
    <row r="569" spans="1:26" s="105" customFormat="1" ht="15" customHeight="1">
      <c r="A569" s="99">
        <f t="shared" si="79"/>
        <v>567</v>
      </c>
      <c r="B569" s="75" t="s">
        <v>1103</v>
      </c>
      <c r="C569" s="100" t="str">
        <f>IF($B569&lt;&gt;"",_xlfn.IFNA(VLOOKUP($B569,'Node Details'!$B:$U,C$1,0),"Check"),"")</f>
        <v>0000AXW17-AXW170105</v>
      </c>
      <c r="D569" s="100" t="str">
        <f>IF($B569&lt;&gt;"",_xlfn.IFNA(VLOOKUP($B569,'Node Details'!$B:$U,D$1,0),"Check"),"")</f>
        <v>AXW</v>
      </c>
      <c r="E569" s="100" t="str">
        <f>IF($B569&lt;&gt;"",_xlfn.IFNA(VLOOKUP($B569,'Node Details'!$B:$U,E$1,0),"Check"),"")</f>
        <v>Airtel</v>
      </c>
      <c r="F569" s="101">
        <v>46114</v>
      </c>
      <c r="G569" s="103"/>
      <c r="H569" s="102" t="s">
        <v>1254</v>
      </c>
      <c r="I569" s="9">
        <v>1</v>
      </c>
      <c r="J569" s="9">
        <v>600</v>
      </c>
      <c r="K569" s="100">
        <f t="shared" si="78"/>
        <v>600</v>
      </c>
      <c r="L569" s="78">
        <v>46112</v>
      </c>
      <c r="M569" s="103"/>
      <c r="N569" s="93" t="s">
        <v>373</v>
      </c>
      <c r="O569" s="94">
        <v>46146</v>
      </c>
      <c r="P569" s="104">
        <f t="shared" si="80"/>
        <v>600</v>
      </c>
      <c r="Q569" s="104">
        <f t="shared" si="81"/>
        <v>600</v>
      </c>
      <c r="R569" s="104"/>
      <c r="S569" s="93" t="s">
        <v>374</v>
      </c>
      <c r="T569" s="94">
        <v>46156</v>
      </c>
      <c r="U569" s="104">
        <f t="shared" si="82"/>
        <v>600</v>
      </c>
      <c r="V569" s="104">
        <f t="shared" si="83"/>
        <v>1</v>
      </c>
      <c r="W569" s="103">
        <f t="shared" si="84"/>
        <v>600</v>
      </c>
      <c r="X569" s="93" t="s">
        <v>89</v>
      </c>
      <c r="Y569" s="105" t="s">
        <v>84</v>
      </c>
      <c r="Z569" s="105" t="s">
        <v>93</v>
      </c>
    </row>
    <row r="570" spans="1:26" s="105" customFormat="1" ht="15" customHeight="1">
      <c r="A570" s="99">
        <f t="shared" si="79"/>
        <v>568</v>
      </c>
      <c r="B570" s="75" t="s">
        <v>1104</v>
      </c>
      <c r="C570" s="100" t="str">
        <f>IF($B570&lt;&gt;"",_xlfn.IFNA(VLOOKUP($B570,'Node Details'!$B:$U,C$1,0),"Check"),"")</f>
        <v>0000AXW17-AXW170105</v>
      </c>
      <c r="D570" s="100" t="str">
        <f>IF($B570&lt;&gt;"",_xlfn.IFNA(VLOOKUP($B570,'Node Details'!$B:$U,D$1,0),"Check"),"")</f>
        <v>AXW</v>
      </c>
      <c r="E570" s="100" t="str">
        <f>IF($B570&lt;&gt;"",_xlfn.IFNA(VLOOKUP($B570,'Node Details'!$B:$U,E$1,0),"Check"),"")</f>
        <v>Airtel</v>
      </c>
      <c r="F570" s="101">
        <v>46114</v>
      </c>
      <c r="G570" s="103"/>
      <c r="H570" s="102" t="s">
        <v>1254</v>
      </c>
      <c r="I570" s="9">
        <v>1</v>
      </c>
      <c r="J570" s="9">
        <v>600</v>
      </c>
      <c r="K570" s="100">
        <f t="shared" si="78"/>
        <v>600</v>
      </c>
      <c r="L570" s="78">
        <v>46112</v>
      </c>
      <c r="M570" s="103"/>
      <c r="N570" s="93" t="s">
        <v>373</v>
      </c>
      <c r="O570" s="94">
        <v>46146</v>
      </c>
      <c r="P570" s="104">
        <f t="shared" si="80"/>
        <v>600</v>
      </c>
      <c r="Q570" s="104">
        <f t="shared" si="81"/>
        <v>600</v>
      </c>
      <c r="R570" s="104"/>
      <c r="S570" s="93" t="s">
        <v>374</v>
      </c>
      <c r="T570" s="94">
        <v>46156</v>
      </c>
      <c r="U570" s="104">
        <f t="shared" si="82"/>
        <v>600</v>
      </c>
      <c r="V570" s="104">
        <f t="shared" si="83"/>
        <v>1</v>
      </c>
      <c r="W570" s="103">
        <f t="shared" si="84"/>
        <v>600</v>
      </c>
      <c r="X570" s="93" t="s">
        <v>89</v>
      </c>
      <c r="Y570" s="105" t="s">
        <v>84</v>
      </c>
      <c r="Z570" s="105" t="s">
        <v>93</v>
      </c>
    </row>
    <row r="571" spans="1:26" s="105" customFormat="1" ht="15" customHeight="1">
      <c r="A571" s="99">
        <f t="shared" si="79"/>
        <v>569</v>
      </c>
      <c r="B571" s="75" t="s">
        <v>527</v>
      </c>
      <c r="C571" s="100" t="str">
        <f>IF($B571&lt;&gt;"",_xlfn.IFNA(VLOOKUP($B571,'Node Details'!$B:$U,C$1,0),"Check"),"")</f>
        <v>0000AXW17-AXW170105</v>
      </c>
      <c r="D571" s="100" t="str">
        <f>IF($B571&lt;&gt;"",_xlfn.IFNA(VLOOKUP($B571,'Node Details'!$B:$U,D$1,0),"Check"),"")</f>
        <v>AXW</v>
      </c>
      <c r="E571" s="100" t="str">
        <f>IF($B571&lt;&gt;"",_xlfn.IFNA(VLOOKUP($B571,'Node Details'!$B:$U,E$1,0),"Check"),"")</f>
        <v>Airtel</v>
      </c>
      <c r="F571" s="101">
        <v>46114</v>
      </c>
      <c r="G571" s="103"/>
      <c r="H571" s="102" t="s">
        <v>1254</v>
      </c>
      <c r="I571" s="9">
        <v>1</v>
      </c>
      <c r="J571" s="9">
        <v>600</v>
      </c>
      <c r="K571" s="100">
        <f t="shared" si="78"/>
        <v>600</v>
      </c>
      <c r="L571" s="78">
        <v>46112</v>
      </c>
      <c r="M571" s="103"/>
      <c r="N571" s="93" t="s">
        <v>373</v>
      </c>
      <c r="O571" s="94">
        <v>46146</v>
      </c>
      <c r="P571" s="104">
        <f t="shared" si="80"/>
        <v>600</v>
      </c>
      <c r="Q571" s="104">
        <f t="shared" si="81"/>
        <v>600</v>
      </c>
      <c r="R571" s="104"/>
      <c r="S571" s="93" t="s">
        <v>374</v>
      </c>
      <c r="T571" s="94">
        <v>46156</v>
      </c>
      <c r="U571" s="104">
        <f t="shared" si="82"/>
        <v>600</v>
      </c>
      <c r="V571" s="104">
        <f t="shared" si="83"/>
        <v>1</v>
      </c>
      <c r="W571" s="103">
        <f t="shared" si="84"/>
        <v>600</v>
      </c>
      <c r="X571" s="93" t="s">
        <v>89</v>
      </c>
      <c r="Y571" s="105" t="s">
        <v>84</v>
      </c>
      <c r="Z571" s="105" t="s">
        <v>93</v>
      </c>
    </row>
    <row r="572" spans="1:26" s="105" customFormat="1" ht="15" customHeight="1">
      <c r="A572" s="99">
        <f t="shared" si="79"/>
        <v>570</v>
      </c>
      <c r="B572" s="75" t="s">
        <v>1105</v>
      </c>
      <c r="C572" s="100" t="str">
        <f>IF($B572&lt;&gt;"",_xlfn.IFNA(VLOOKUP($B572,'Node Details'!$B:$U,C$1,0),"Check"),"")</f>
        <v>0000AXW17-AXW170201</v>
      </c>
      <c r="D572" s="100" t="str">
        <f>IF($B572&lt;&gt;"",_xlfn.IFNA(VLOOKUP($B572,'Node Details'!$B:$U,D$1,0),"Check"),"")</f>
        <v>AXW</v>
      </c>
      <c r="E572" s="100" t="str">
        <f>IF($B572&lt;&gt;"",_xlfn.IFNA(VLOOKUP($B572,'Node Details'!$B:$U,E$1,0),"Check"),"")</f>
        <v>Airtel</v>
      </c>
      <c r="F572" s="101">
        <v>46114</v>
      </c>
      <c r="G572" s="103"/>
      <c r="H572" s="102" t="s">
        <v>1254</v>
      </c>
      <c r="I572" s="9">
        <v>1</v>
      </c>
      <c r="J572" s="9">
        <v>600</v>
      </c>
      <c r="K572" s="100">
        <f t="shared" si="78"/>
        <v>600</v>
      </c>
      <c r="L572" s="78">
        <v>46112</v>
      </c>
      <c r="M572" s="103"/>
      <c r="N572" s="93" t="s">
        <v>373</v>
      </c>
      <c r="O572" s="94">
        <v>46146</v>
      </c>
      <c r="P572" s="104">
        <f t="shared" si="80"/>
        <v>600</v>
      </c>
      <c r="Q572" s="104">
        <f t="shared" si="81"/>
        <v>600</v>
      </c>
      <c r="R572" s="104"/>
      <c r="S572" s="93" t="s">
        <v>374</v>
      </c>
      <c r="T572" s="94">
        <v>46156</v>
      </c>
      <c r="U572" s="104">
        <f t="shared" si="82"/>
        <v>600</v>
      </c>
      <c r="V572" s="104">
        <f t="shared" si="83"/>
        <v>1</v>
      </c>
      <c r="W572" s="103">
        <f t="shared" si="84"/>
        <v>600</v>
      </c>
      <c r="X572" s="93" t="s">
        <v>89</v>
      </c>
      <c r="Y572" s="105" t="s">
        <v>84</v>
      </c>
      <c r="Z572" s="105" t="s">
        <v>93</v>
      </c>
    </row>
    <row r="573" spans="1:26" s="105" customFormat="1" ht="15" customHeight="1">
      <c r="A573" s="99">
        <f t="shared" si="79"/>
        <v>571</v>
      </c>
      <c r="B573" s="75" t="s">
        <v>1106</v>
      </c>
      <c r="C573" s="100" t="str">
        <f>IF($B573&lt;&gt;"",_xlfn.IFNA(VLOOKUP($B573,'Node Details'!$B:$U,C$1,0),"Check"),"")</f>
        <v>0000AXW17-AXW170201</v>
      </c>
      <c r="D573" s="100" t="str">
        <f>IF($B573&lt;&gt;"",_xlfn.IFNA(VLOOKUP($B573,'Node Details'!$B:$U,D$1,0),"Check"),"")</f>
        <v>AXW</v>
      </c>
      <c r="E573" s="100" t="str">
        <f>IF($B573&lt;&gt;"",_xlfn.IFNA(VLOOKUP($B573,'Node Details'!$B:$U,E$1,0),"Check"),"")</f>
        <v>Airtel</v>
      </c>
      <c r="F573" s="101">
        <v>46114</v>
      </c>
      <c r="G573" s="103"/>
      <c r="H573" s="102" t="s">
        <v>1254</v>
      </c>
      <c r="I573" s="9">
        <v>1</v>
      </c>
      <c r="J573" s="9">
        <v>600</v>
      </c>
      <c r="K573" s="100">
        <f t="shared" si="78"/>
        <v>600</v>
      </c>
      <c r="L573" s="78">
        <v>46112</v>
      </c>
      <c r="M573" s="103"/>
      <c r="N573" s="93" t="s">
        <v>373</v>
      </c>
      <c r="O573" s="94">
        <v>46146</v>
      </c>
      <c r="P573" s="104">
        <f t="shared" si="80"/>
        <v>600</v>
      </c>
      <c r="Q573" s="104">
        <f t="shared" si="81"/>
        <v>600</v>
      </c>
      <c r="R573" s="104"/>
      <c r="S573" s="93" t="s">
        <v>374</v>
      </c>
      <c r="T573" s="94">
        <v>46156</v>
      </c>
      <c r="U573" s="104">
        <f t="shared" si="82"/>
        <v>600</v>
      </c>
      <c r="V573" s="104">
        <f t="shared" si="83"/>
        <v>1</v>
      </c>
      <c r="W573" s="103">
        <f t="shared" si="84"/>
        <v>600</v>
      </c>
      <c r="X573" s="93" t="s">
        <v>89</v>
      </c>
      <c r="Y573" s="105" t="s">
        <v>84</v>
      </c>
      <c r="Z573" s="105" t="s">
        <v>93</v>
      </c>
    </row>
    <row r="574" spans="1:26" s="105" customFormat="1" ht="15" customHeight="1">
      <c r="A574" s="99">
        <f t="shared" si="79"/>
        <v>572</v>
      </c>
      <c r="B574" s="75" t="s">
        <v>1107</v>
      </c>
      <c r="C574" s="100" t="str">
        <f>IF($B574&lt;&gt;"",_xlfn.IFNA(VLOOKUP($B574,'Node Details'!$B:$U,C$1,0),"Check"),"")</f>
        <v>0000AXW17-AXW170201</v>
      </c>
      <c r="D574" s="100" t="str">
        <f>IF($B574&lt;&gt;"",_xlfn.IFNA(VLOOKUP($B574,'Node Details'!$B:$U,D$1,0),"Check"),"")</f>
        <v>AXW</v>
      </c>
      <c r="E574" s="100" t="str">
        <f>IF($B574&lt;&gt;"",_xlfn.IFNA(VLOOKUP($B574,'Node Details'!$B:$U,E$1,0),"Check"),"")</f>
        <v>Airtel</v>
      </c>
      <c r="F574" s="101">
        <v>46114</v>
      </c>
      <c r="G574" s="103"/>
      <c r="H574" s="102" t="s">
        <v>1254</v>
      </c>
      <c r="I574" s="9">
        <v>1</v>
      </c>
      <c r="J574" s="9">
        <v>600</v>
      </c>
      <c r="K574" s="100">
        <f t="shared" si="78"/>
        <v>600</v>
      </c>
      <c r="L574" s="78">
        <v>46112</v>
      </c>
      <c r="M574" s="103"/>
      <c r="N574" s="93" t="s">
        <v>373</v>
      </c>
      <c r="O574" s="94">
        <v>46146</v>
      </c>
      <c r="P574" s="104">
        <f t="shared" si="80"/>
        <v>600</v>
      </c>
      <c r="Q574" s="104">
        <f t="shared" si="81"/>
        <v>600</v>
      </c>
      <c r="R574" s="104"/>
      <c r="S574" s="93" t="s">
        <v>374</v>
      </c>
      <c r="T574" s="94">
        <v>46156</v>
      </c>
      <c r="U574" s="104">
        <f t="shared" si="82"/>
        <v>600</v>
      </c>
      <c r="V574" s="104">
        <f t="shared" si="83"/>
        <v>1</v>
      </c>
      <c r="W574" s="103">
        <f t="shared" si="84"/>
        <v>600</v>
      </c>
      <c r="X574" s="93" t="s">
        <v>89</v>
      </c>
      <c r="Y574" s="105" t="s">
        <v>84</v>
      </c>
      <c r="Z574" s="105" t="s">
        <v>93</v>
      </c>
    </row>
    <row r="575" spans="1:26" s="105" customFormat="1" ht="15" customHeight="1">
      <c r="A575" s="99">
        <f t="shared" si="79"/>
        <v>573</v>
      </c>
      <c r="B575" s="75" t="s">
        <v>529</v>
      </c>
      <c r="C575" s="100" t="str">
        <f>IF($B575&lt;&gt;"",_xlfn.IFNA(VLOOKUP($B575,'Node Details'!$B:$U,C$1,0),"Check"),"")</f>
        <v>0000AXW17-AXW170201</v>
      </c>
      <c r="D575" s="100" t="str">
        <f>IF($B575&lt;&gt;"",_xlfn.IFNA(VLOOKUP($B575,'Node Details'!$B:$U,D$1,0),"Check"),"")</f>
        <v>AXW</v>
      </c>
      <c r="E575" s="100" t="str">
        <f>IF($B575&lt;&gt;"",_xlfn.IFNA(VLOOKUP($B575,'Node Details'!$B:$U,E$1,0),"Check"),"")</f>
        <v>Airtel</v>
      </c>
      <c r="F575" s="101">
        <v>46114</v>
      </c>
      <c r="G575" s="103"/>
      <c r="H575" s="102" t="s">
        <v>1254</v>
      </c>
      <c r="I575" s="9">
        <v>1</v>
      </c>
      <c r="J575" s="9">
        <v>600</v>
      </c>
      <c r="K575" s="100">
        <f t="shared" si="78"/>
        <v>600</v>
      </c>
      <c r="L575" s="78">
        <v>46112</v>
      </c>
      <c r="M575" s="103"/>
      <c r="N575" s="93" t="s">
        <v>373</v>
      </c>
      <c r="O575" s="94">
        <v>46146</v>
      </c>
      <c r="P575" s="104">
        <f t="shared" si="80"/>
        <v>600</v>
      </c>
      <c r="Q575" s="104">
        <f t="shared" si="81"/>
        <v>600</v>
      </c>
      <c r="R575" s="104"/>
      <c r="S575" s="93" t="s">
        <v>374</v>
      </c>
      <c r="T575" s="94">
        <v>46156</v>
      </c>
      <c r="U575" s="104">
        <f t="shared" si="82"/>
        <v>600</v>
      </c>
      <c r="V575" s="104">
        <f t="shared" si="83"/>
        <v>1</v>
      </c>
      <c r="W575" s="103">
        <f t="shared" si="84"/>
        <v>600</v>
      </c>
      <c r="X575" s="93" t="s">
        <v>89</v>
      </c>
      <c r="Y575" s="105" t="s">
        <v>84</v>
      </c>
      <c r="Z575" s="105" t="s">
        <v>93</v>
      </c>
    </row>
    <row r="576" spans="1:26" s="105" customFormat="1" ht="15" customHeight="1">
      <c r="A576" s="99">
        <f t="shared" si="79"/>
        <v>574</v>
      </c>
      <c r="B576" s="75" t="s">
        <v>533</v>
      </c>
      <c r="C576" s="100" t="str">
        <f>IF($B576&lt;&gt;"",_xlfn.IFNA(VLOOKUP($B576,'Node Details'!$B:$U,C$1,0),"Check"),"")</f>
        <v>0000AXW18-AXW180101</v>
      </c>
      <c r="D576" s="100" t="str">
        <f>IF($B576&lt;&gt;"",_xlfn.IFNA(VLOOKUP($B576,'Node Details'!$B:$U,D$1,0),"Check"),"")</f>
        <v>AXW</v>
      </c>
      <c r="E576" s="100" t="str">
        <f>IF($B576&lt;&gt;"",_xlfn.IFNA(VLOOKUP($B576,'Node Details'!$B:$U,E$1,0),"Check"),"")</f>
        <v>Airtel</v>
      </c>
      <c r="F576" s="101">
        <v>46114</v>
      </c>
      <c r="G576" s="103"/>
      <c r="H576" s="102" t="s">
        <v>1254</v>
      </c>
      <c r="I576" s="9">
        <v>1</v>
      </c>
      <c r="J576" s="9">
        <v>600</v>
      </c>
      <c r="K576" s="100">
        <f t="shared" si="78"/>
        <v>600</v>
      </c>
      <c r="L576" s="78">
        <v>46112</v>
      </c>
      <c r="M576" s="103"/>
      <c r="N576" s="93" t="s">
        <v>373</v>
      </c>
      <c r="O576" s="94">
        <v>46146</v>
      </c>
      <c r="P576" s="104">
        <f t="shared" si="80"/>
        <v>600</v>
      </c>
      <c r="Q576" s="104">
        <f t="shared" si="81"/>
        <v>600</v>
      </c>
      <c r="R576" s="104"/>
      <c r="S576" s="93" t="s">
        <v>374</v>
      </c>
      <c r="T576" s="94">
        <v>46156</v>
      </c>
      <c r="U576" s="104">
        <f t="shared" si="82"/>
        <v>600</v>
      </c>
      <c r="V576" s="104">
        <f t="shared" si="83"/>
        <v>1</v>
      </c>
      <c r="W576" s="103">
        <f t="shared" si="84"/>
        <v>600</v>
      </c>
      <c r="X576" s="93" t="s">
        <v>89</v>
      </c>
      <c r="Y576" s="105" t="s">
        <v>84</v>
      </c>
      <c r="Z576" s="105" t="s">
        <v>93</v>
      </c>
    </row>
    <row r="577" spans="1:26" s="105" customFormat="1" ht="15" customHeight="1">
      <c r="A577" s="99">
        <f t="shared" si="79"/>
        <v>575</v>
      </c>
      <c r="B577" s="75" t="s">
        <v>1108</v>
      </c>
      <c r="C577" s="100" t="str">
        <f>IF($B577&lt;&gt;"",_xlfn.IFNA(VLOOKUP($B577,'Node Details'!$B:$U,C$1,0),"Check"),"")</f>
        <v>0000AXW18-AXW180105</v>
      </c>
      <c r="D577" s="100" t="str">
        <f>IF($B577&lt;&gt;"",_xlfn.IFNA(VLOOKUP($B577,'Node Details'!$B:$U,D$1,0),"Check"),"")</f>
        <v>AXW</v>
      </c>
      <c r="E577" s="100" t="str">
        <f>IF($B577&lt;&gt;"",_xlfn.IFNA(VLOOKUP($B577,'Node Details'!$B:$U,E$1,0),"Check"),"")</f>
        <v>Airtel</v>
      </c>
      <c r="F577" s="101">
        <v>46114</v>
      </c>
      <c r="G577" s="103"/>
      <c r="H577" s="102" t="s">
        <v>1254</v>
      </c>
      <c r="I577" s="9">
        <v>1</v>
      </c>
      <c r="J577" s="9">
        <v>600</v>
      </c>
      <c r="K577" s="100">
        <f t="shared" si="78"/>
        <v>600</v>
      </c>
      <c r="L577" s="78">
        <v>46112</v>
      </c>
      <c r="M577" s="103"/>
      <c r="N577" s="93" t="s">
        <v>373</v>
      </c>
      <c r="O577" s="94">
        <v>46146</v>
      </c>
      <c r="P577" s="104">
        <f t="shared" si="80"/>
        <v>600</v>
      </c>
      <c r="Q577" s="104">
        <f t="shared" si="81"/>
        <v>600</v>
      </c>
      <c r="R577" s="104"/>
      <c r="S577" s="93" t="s">
        <v>374</v>
      </c>
      <c r="T577" s="94">
        <v>46156</v>
      </c>
      <c r="U577" s="104">
        <f t="shared" si="82"/>
        <v>600</v>
      </c>
      <c r="V577" s="104">
        <f t="shared" si="83"/>
        <v>1</v>
      </c>
      <c r="W577" s="103">
        <f t="shared" si="84"/>
        <v>600</v>
      </c>
      <c r="X577" s="93" t="s">
        <v>89</v>
      </c>
      <c r="Y577" s="105" t="s">
        <v>84</v>
      </c>
      <c r="Z577" s="105" t="s">
        <v>93</v>
      </c>
    </row>
    <row r="578" spans="1:26" s="105" customFormat="1" ht="15" customHeight="1">
      <c r="A578" s="99">
        <f t="shared" si="79"/>
        <v>576</v>
      </c>
      <c r="B578" s="75" t="s">
        <v>1109</v>
      </c>
      <c r="C578" s="100" t="str">
        <f>IF($B578&lt;&gt;"",_xlfn.IFNA(VLOOKUP($B578,'Node Details'!$B:$U,C$1,0),"Check"),"")</f>
        <v>0000AXW18-AXW180105</v>
      </c>
      <c r="D578" s="100" t="str">
        <f>IF($B578&lt;&gt;"",_xlfn.IFNA(VLOOKUP($B578,'Node Details'!$B:$U,D$1,0),"Check"),"")</f>
        <v>AXW</v>
      </c>
      <c r="E578" s="100" t="str">
        <f>IF($B578&lt;&gt;"",_xlfn.IFNA(VLOOKUP($B578,'Node Details'!$B:$U,E$1,0),"Check"),"")</f>
        <v>Airtel</v>
      </c>
      <c r="F578" s="101">
        <v>46114</v>
      </c>
      <c r="G578" s="103"/>
      <c r="H578" s="102" t="s">
        <v>1254</v>
      </c>
      <c r="I578" s="9">
        <v>1</v>
      </c>
      <c r="J578" s="9">
        <v>600</v>
      </c>
      <c r="K578" s="100">
        <f t="shared" si="78"/>
        <v>600</v>
      </c>
      <c r="L578" s="78">
        <v>46112</v>
      </c>
      <c r="M578" s="103"/>
      <c r="N578" s="93" t="s">
        <v>373</v>
      </c>
      <c r="O578" s="94">
        <v>46146</v>
      </c>
      <c r="P578" s="104">
        <f t="shared" si="80"/>
        <v>600</v>
      </c>
      <c r="Q578" s="104">
        <f t="shared" si="81"/>
        <v>600</v>
      </c>
      <c r="R578" s="104"/>
      <c r="S578" s="93" t="s">
        <v>374</v>
      </c>
      <c r="T578" s="94">
        <v>46156</v>
      </c>
      <c r="U578" s="104">
        <f t="shared" si="82"/>
        <v>600</v>
      </c>
      <c r="V578" s="104">
        <f t="shared" si="83"/>
        <v>1</v>
      </c>
      <c r="W578" s="103">
        <f t="shared" si="84"/>
        <v>600</v>
      </c>
      <c r="X578" s="93" t="s">
        <v>89</v>
      </c>
      <c r="Y578" s="105" t="s">
        <v>84</v>
      </c>
      <c r="Z578" s="105" t="s">
        <v>93</v>
      </c>
    </row>
    <row r="579" spans="1:26" s="105" customFormat="1" ht="15" customHeight="1">
      <c r="A579" s="99">
        <f t="shared" si="79"/>
        <v>577</v>
      </c>
      <c r="B579" s="75" t="s">
        <v>1110</v>
      </c>
      <c r="C579" s="100" t="str">
        <f>IF($B579&lt;&gt;"",_xlfn.IFNA(VLOOKUP($B579,'Node Details'!$B:$U,C$1,0),"Check"),"")</f>
        <v>0000AXW18-AXW180105</v>
      </c>
      <c r="D579" s="100" t="str">
        <f>IF($B579&lt;&gt;"",_xlfn.IFNA(VLOOKUP($B579,'Node Details'!$B:$U,D$1,0),"Check"),"")</f>
        <v>AXW</v>
      </c>
      <c r="E579" s="100" t="str">
        <f>IF($B579&lt;&gt;"",_xlfn.IFNA(VLOOKUP($B579,'Node Details'!$B:$U,E$1,0),"Check"),"")</f>
        <v>Airtel</v>
      </c>
      <c r="F579" s="101">
        <v>46114</v>
      </c>
      <c r="G579" s="103"/>
      <c r="H579" s="102" t="s">
        <v>1254</v>
      </c>
      <c r="I579" s="9">
        <v>1</v>
      </c>
      <c r="J579" s="9">
        <v>600</v>
      </c>
      <c r="K579" s="100">
        <f t="shared" si="78"/>
        <v>600</v>
      </c>
      <c r="L579" s="78">
        <v>46112</v>
      </c>
      <c r="M579" s="103"/>
      <c r="N579" s="93" t="s">
        <v>373</v>
      </c>
      <c r="O579" s="94">
        <v>46146</v>
      </c>
      <c r="P579" s="104">
        <f t="shared" si="80"/>
        <v>600</v>
      </c>
      <c r="Q579" s="104">
        <f t="shared" si="81"/>
        <v>600</v>
      </c>
      <c r="R579" s="104"/>
      <c r="S579" s="93" t="s">
        <v>374</v>
      </c>
      <c r="T579" s="94">
        <v>46156</v>
      </c>
      <c r="U579" s="104">
        <f t="shared" si="82"/>
        <v>600</v>
      </c>
      <c r="V579" s="104">
        <f t="shared" si="83"/>
        <v>1</v>
      </c>
      <c r="W579" s="103">
        <f t="shared" si="84"/>
        <v>600</v>
      </c>
      <c r="X579" s="93" t="s">
        <v>89</v>
      </c>
      <c r="Y579" s="105" t="s">
        <v>84</v>
      </c>
      <c r="Z579" s="105" t="s">
        <v>93</v>
      </c>
    </row>
    <row r="580" spans="1:26" s="105" customFormat="1" ht="15" customHeight="1">
      <c r="A580" s="99">
        <f t="shared" si="79"/>
        <v>578</v>
      </c>
      <c r="B580" s="75" t="s">
        <v>537</v>
      </c>
      <c r="C580" s="100" t="str">
        <f>IF($B580&lt;&gt;"",_xlfn.IFNA(VLOOKUP($B580,'Node Details'!$B:$U,C$1,0),"Check"),"")</f>
        <v>0000AXW18-AXW180105</v>
      </c>
      <c r="D580" s="100" t="str">
        <f>IF($B580&lt;&gt;"",_xlfn.IFNA(VLOOKUP($B580,'Node Details'!$B:$U,D$1,0),"Check"),"")</f>
        <v>AXW</v>
      </c>
      <c r="E580" s="100" t="str">
        <f>IF($B580&lt;&gt;"",_xlfn.IFNA(VLOOKUP($B580,'Node Details'!$B:$U,E$1,0),"Check"),"")</f>
        <v>Airtel</v>
      </c>
      <c r="F580" s="101">
        <v>46114</v>
      </c>
      <c r="G580" s="103"/>
      <c r="H580" s="102" t="s">
        <v>1254</v>
      </c>
      <c r="I580" s="9">
        <v>1</v>
      </c>
      <c r="J580" s="9">
        <v>600</v>
      </c>
      <c r="K580" s="100">
        <f t="shared" ref="K580:K643" si="85">IF(I580&lt;&gt;"",J580*I580,0)</f>
        <v>600</v>
      </c>
      <c r="L580" s="78">
        <v>46112</v>
      </c>
      <c r="M580" s="103"/>
      <c r="N580" s="93" t="s">
        <v>373</v>
      </c>
      <c r="O580" s="94">
        <v>46146</v>
      </c>
      <c r="P580" s="104">
        <f t="shared" si="80"/>
        <v>600</v>
      </c>
      <c r="Q580" s="104">
        <f t="shared" si="81"/>
        <v>600</v>
      </c>
      <c r="R580" s="104"/>
      <c r="S580" s="93" t="s">
        <v>374</v>
      </c>
      <c r="T580" s="94">
        <v>46156</v>
      </c>
      <c r="U580" s="104">
        <f t="shared" si="82"/>
        <v>600</v>
      </c>
      <c r="V580" s="104">
        <f t="shared" si="83"/>
        <v>1</v>
      </c>
      <c r="W580" s="103">
        <f t="shared" si="84"/>
        <v>600</v>
      </c>
      <c r="X580" s="93" t="s">
        <v>89</v>
      </c>
      <c r="Y580" s="105" t="s">
        <v>84</v>
      </c>
      <c r="Z580" s="105" t="s">
        <v>93</v>
      </c>
    </row>
    <row r="581" spans="1:26" s="105" customFormat="1" ht="15" customHeight="1">
      <c r="A581" s="99">
        <f t="shared" ref="A581:A644" si="86">A580+1</f>
        <v>579</v>
      </c>
      <c r="B581" s="75" t="s">
        <v>540</v>
      </c>
      <c r="C581" s="100" t="str">
        <f>IF($B581&lt;&gt;"",_xlfn.IFNA(VLOOKUP($B581,'Node Details'!$B:$U,C$1,0),"Check"),"")</f>
        <v>0000AXW18-AXW180106</v>
      </c>
      <c r="D581" s="100" t="str">
        <f>IF($B581&lt;&gt;"",_xlfn.IFNA(VLOOKUP($B581,'Node Details'!$B:$U,D$1,0),"Check"),"")</f>
        <v>AXW</v>
      </c>
      <c r="E581" s="100" t="str">
        <f>IF($B581&lt;&gt;"",_xlfn.IFNA(VLOOKUP($B581,'Node Details'!$B:$U,E$1,0),"Check"),"")</f>
        <v>Airtel</v>
      </c>
      <c r="F581" s="101">
        <v>46114</v>
      </c>
      <c r="G581" s="103"/>
      <c r="H581" s="102" t="s">
        <v>1254</v>
      </c>
      <c r="I581" s="9">
        <v>1</v>
      </c>
      <c r="J581" s="9">
        <v>600</v>
      </c>
      <c r="K581" s="100">
        <f t="shared" si="85"/>
        <v>600</v>
      </c>
      <c r="L581" s="78">
        <v>46112</v>
      </c>
      <c r="M581" s="103"/>
      <c r="N581" s="93" t="s">
        <v>373</v>
      </c>
      <c r="O581" s="94">
        <v>46146</v>
      </c>
      <c r="P581" s="104">
        <f t="shared" ref="P581:P644" si="87">J581</f>
        <v>600</v>
      </c>
      <c r="Q581" s="104">
        <f t="shared" ref="Q581:Q644" si="88">P581*I581</f>
        <v>600</v>
      </c>
      <c r="R581" s="104"/>
      <c r="S581" s="93" t="s">
        <v>374</v>
      </c>
      <c r="T581" s="94">
        <v>46156</v>
      </c>
      <c r="U581" s="104">
        <f t="shared" ref="U581:U644" si="89">J581</f>
        <v>600</v>
      </c>
      <c r="V581" s="104">
        <f t="shared" ref="V581:V644" si="90">I581</f>
        <v>1</v>
      </c>
      <c r="W581" s="103">
        <f t="shared" ref="W581:W644" si="91">IF(V581&lt;&gt;"",V581*U581,0)</f>
        <v>600</v>
      </c>
      <c r="X581" s="93" t="s">
        <v>89</v>
      </c>
      <c r="Y581" s="105" t="s">
        <v>84</v>
      </c>
      <c r="Z581" s="105" t="s">
        <v>93</v>
      </c>
    </row>
    <row r="582" spans="1:26" s="105" customFormat="1" ht="15" customHeight="1">
      <c r="A582" s="99">
        <f t="shared" si="86"/>
        <v>580</v>
      </c>
      <c r="B582" s="75" t="s">
        <v>1111</v>
      </c>
      <c r="C582" s="100" t="str">
        <f>IF($B582&lt;&gt;"",_xlfn.IFNA(VLOOKUP($B582,'Node Details'!$B:$U,C$1,0),"Check"),"")</f>
        <v>AXW180106-AXW180108</v>
      </c>
      <c r="D582" s="100" t="str">
        <f>IF($B582&lt;&gt;"",_xlfn.IFNA(VLOOKUP($B582,'Node Details'!$B:$U,D$1,0),"Check"),"")</f>
        <v>AXW</v>
      </c>
      <c r="E582" s="100" t="str">
        <f>IF($B582&lt;&gt;"",_xlfn.IFNA(VLOOKUP($B582,'Node Details'!$B:$U,E$1,0),"Check"),"")</f>
        <v>Airtel</v>
      </c>
      <c r="F582" s="101">
        <v>46114</v>
      </c>
      <c r="G582" s="103"/>
      <c r="H582" s="102" t="s">
        <v>1254</v>
      </c>
      <c r="I582" s="9">
        <v>1</v>
      </c>
      <c r="J582" s="9">
        <v>600</v>
      </c>
      <c r="K582" s="100">
        <f t="shared" si="85"/>
        <v>600</v>
      </c>
      <c r="L582" s="78">
        <v>46112</v>
      </c>
      <c r="M582" s="103"/>
      <c r="N582" s="93" t="s">
        <v>373</v>
      </c>
      <c r="O582" s="94">
        <v>46146</v>
      </c>
      <c r="P582" s="104">
        <f t="shared" si="87"/>
        <v>600</v>
      </c>
      <c r="Q582" s="104">
        <f t="shared" si="88"/>
        <v>600</v>
      </c>
      <c r="R582" s="104"/>
      <c r="S582" s="93" t="s">
        <v>374</v>
      </c>
      <c r="T582" s="94">
        <v>46156</v>
      </c>
      <c r="U582" s="104">
        <f t="shared" si="89"/>
        <v>600</v>
      </c>
      <c r="V582" s="104">
        <f t="shared" si="90"/>
        <v>1</v>
      </c>
      <c r="W582" s="103">
        <f t="shared" si="91"/>
        <v>600</v>
      </c>
      <c r="X582" s="93" t="s">
        <v>89</v>
      </c>
      <c r="Y582" s="105" t="s">
        <v>84</v>
      </c>
      <c r="Z582" s="105" t="s">
        <v>93</v>
      </c>
    </row>
    <row r="583" spans="1:26" s="105" customFormat="1" ht="15" customHeight="1">
      <c r="A583" s="99">
        <f t="shared" si="86"/>
        <v>581</v>
      </c>
      <c r="B583" s="75" t="s">
        <v>543</v>
      </c>
      <c r="C583" s="100" t="str">
        <f>IF($B583&lt;&gt;"",_xlfn.IFNA(VLOOKUP($B583,'Node Details'!$B:$U,C$1,0),"Check"),"")</f>
        <v>AXW180106-AXW180108</v>
      </c>
      <c r="D583" s="100" t="str">
        <f>IF($B583&lt;&gt;"",_xlfn.IFNA(VLOOKUP($B583,'Node Details'!$B:$U,D$1,0),"Check"),"")</f>
        <v>AXW</v>
      </c>
      <c r="E583" s="100" t="str">
        <f>IF($B583&lt;&gt;"",_xlfn.IFNA(VLOOKUP($B583,'Node Details'!$B:$U,E$1,0),"Check"),"")</f>
        <v>Airtel</v>
      </c>
      <c r="F583" s="101">
        <v>46114</v>
      </c>
      <c r="G583" s="103"/>
      <c r="H583" s="102" t="s">
        <v>1254</v>
      </c>
      <c r="I583" s="9">
        <v>1</v>
      </c>
      <c r="J583" s="9">
        <v>600</v>
      </c>
      <c r="K583" s="100">
        <f t="shared" si="85"/>
        <v>600</v>
      </c>
      <c r="L583" s="78">
        <v>46112</v>
      </c>
      <c r="M583" s="103"/>
      <c r="N583" s="93" t="s">
        <v>373</v>
      </c>
      <c r="O583" s="94">
        <v>46146</v>
      </c>
      <c r="P583" s="104">
        <f t="shared" si="87"/>
        <v>600</v>
      </c>
      <c r="Q583" s="104">
        <f t="shared" si="88"/>
        <v>600</v>
      </c>
      <c r="R583" s="104"/>
      <c r="S583" s="93" t="s">
        <v>374</v>
      </c>
      <c r="T583" s="94">
        <v>46156</v>
      </c>
      <c r="U583" s="104">
        <f t="shared" si="89"/>
        <v>600</v>
      </c>
      <c r="V583" s="104">
        <f t="shared" si="90"/>
        <v>1</v>
      </c>
      <c r="W583" s="103">
        <f t="shared" si="91"/>
        <v>600</v>
      </c>
      <c r="X583" s="93" t="s">
        <v>89</v>
      </c>
      <c r="Y583" s="105" t="s">
        <v>84</v>
      </c>
      <c r="Z583" s="105" t="s">
        <v>93</v>
      </c>
    </row>
    <row r="584" spans="1:26" s="105" customFormat="1" ht="15" customHeight="1">
      <c r="A584" s="99">
        <f t="shared" si="86"/>
        <v>582</v>
      </c>
      <c r="B584" s="75" t="s">
        <v>546</v>
      </c>
      <c r="C584" s="100" t="str">
        <f>IF($B584&lt;&gt;"",_xlfn.IFNA(VLOOKUP($B584,'Node Details'!$B:$U,C$1,0),"Check"),"")</f>
        <v>0000AXW19-AXW190101</v>
      </c>
      <c r="D584" s="100" t="str">
        <f>IF($B584&lt;&gt;"",_xlfn.IFNA(VLOOKUP($B584,'Node Details'!$B:$U,D$1,0),"Check"),"")</f>
        <v>AXW</v>
      </c>
      <c r="E584" s="100" t="str">
        <f>IF($B584&lt;&gt;"",_xlfn.IFNA(VLOOKUP($B584,'Node Details'!$B:$U,E$1,0),"Check"),"")</f>
        <v>Airtel</v>
      </c>
      <c r="F584" s="101">
        <v>46114</v>
      </c>
      <c r="G584" s="103"/>
      <c r="H584" s="102" t="s">
        <v>1254</v>
      </c>
      <c r="I584" s="9">
        <v>1</v>
      </c>
      <c r="J584" s="9">
        <v>600</v>
      </c>
      <c r="K584" s="100">
        <f t="shared" si="85"/>
        <v>600</v>
      </c>
      <c r="L584" s="78">
        <v>46112</v>
      </c>
      <c r="M584" s="103"/>
      <c r="N584" s="93" t="s">
        <v>373</v>
      </c>
      <c r="O584" s="94">
        <v>46146</v>
      </c>
      <c r="P584" s="104">
        <f t="shared" si="87"/>
        <v>600</v>
      </c>
      <c r="Q584" s="104">
        <f t="shared" si="88"/>
        <v>600</v>
      </c>
      <c r="R584" s="104"/>
      <c r="S584" s="93" t="s">
        <v>374</v>
      </c>
      <c r="T584" s="94">
        <v>46156</v>
      </c>
      <c r="U584" s="104">
        <f t="shared" si="89"/>
        <v>600</v>
      </c>
      <c r="V584" s="104">
        <f t="shared" si="90"/>
        <v>1</v>
      </c>
      <c r="W584" s="103">
        <f t="shared" si="91"/>
        <v>600</v>
      </c>
      <c r="X584" s="93" t="s">
        <v>89</v>
      </c>
      <c r="Y584" s="105" t="s">
        <v>84</v>
      </c>
      <c r="Z584" s="105" t="s">
        <v>93</v>
      </c>
    </row>
    <row r="585" spans="1:26" s="105" customFormat="1" ht="15" customHeight="1">
      <c r="A585" s="99">
        <f t="shared" si="86"/>
        <v>583</v>
      </c>
      <c r="B585" s="75" t="s">
        <v>1112</v>
      </c>
      <c r="C585" s="100" t="str">
        <f>IF($B585&lt;&gt;"",_xlfn.IFNA(VLOOKUP($B585,'Node Details'!$B:$U,C$1,0),"Check"),"")</f>
        <v>0000AXW19-AXW190104</v>
      </c>
      <c r="D585" s="100" t="str">
        <f>IF($B585&lt;&gt;"",_xlfn.IFNA(VLOOKUP($B585,'Node Details'!$B:$U,D$1,0),"Check"),"")</f>
        <v>AXW</v>
      </c>
      <c r="E585" s="100" t="str">
        <f>IF($B585&lt;&gt;"",_xlfn.IFNA(VLOOKUP($B585,'Node Details'!$B:$U,E$1,0),"Check"),"")</f>
        <v>Airtel</v>
      </c>
      <c r="F585" s="101">
        <v>46114</v>
      </c>
      <c r="G585" s="103"/>
      <c r="H585" s="102" t="s">
        <v>1254</v>
      </c>
      <c r="I585" s="9">
        <v>1</v>
      </c>
      <c r="J585" s="9">
        <v>600</v>
      </c>
      <c r="K585" s="100">
        <f t="shared" si="85"/>
        <v>600</v>
      </c>
      <c r="L585" s="78">
        <v>46112</v>
      </c>
      <c r="M585" s="103"/>
      <c r="N585" s="93" t="s">
        <v>373</v>
      </c>
      <c r="O585" s="94">
        <v>46146</v>
      </c>
      <c r="P585" s="104">
        <f t="shared" si="87"/>
        <v>600</v>
      </c>
      <c r="Q585" s="104">
        <f t="shared" si="88"/>
        <v>600</v>
      </c>
      <c r="R585" s="104"/>
      <c r="S585" s="93" t="s">
        <v>374</v>
      </c>
      <c r="T585" s="94">
        <v>46156</v>
      </c>
      <c r="U585" s="104">
        <f t="shared" si="89"/>
        <v>600</v>
      </c>
      <c r="V585" s="104">
        <f t="shared" si="90"/>
        <v>1</v>
      </c>
      <c r="W585" s="103">
        <f t="shared" si="91"/>
        <v>600</v>
      </c>
      <c r="X585" s="93" t="s">
        <v>89</v>
      </c>
      <c r="Y585" s="105" t="s">
        <v>84</v>
      </c>
      <c r="Z585" s="105" t="s">
        <v>93</v>
      </c>
    </row>
    <row r="586" spans="1:26" s="105" customFormat="1" ht="15" customHeight="1">
      <c r="A586" s="99">
        <f t="shared" si="86"/>
        <v>584</v>
      </c>
      <c r="B586" s="75" t="s">
        <v>1113</v>
      </c>
      <c r="C586" s="100" t="str">
        <f>IF($B586&lt;&gt;"",_xlfn.IFNA(VLOOKUP($B586,'Node Details'!$B:$U,C$1,0),"Check"),"")</f>
        <v>0000AXW19-AXW190104</v>
      </c>
      <c r="D586" s="100" t="str">
        <f>IF($B586&lt;&gt;"",_xlfn.IFNA(VLOOKUP($B586,'Node Details'!$B:$U,D$1,0),"Check"),"")</f>
        <v>AXW</v>
      </c>
      <c r="E586" s="100" t="str">
        <f>IF($B586&lt;&gt;"",_xlfn.IFNA(VLOOKUP($B586,'Node Details'!$B:$U,E$1,0),"Check"),"")</f>
        <v>Airtel</v>
      </c>
      <c r="F586" s="101">
        <v>46114</v>
      </c>
      <c r="G586" s="103"/>
      <c r="H586" s="102" t="s">
        <v>1254</v>
      </c>
      <c r="I586" s="9">
        <v>1</v>
      </c>
      <c r="J586" s="9">
        <v>600</v>
      </c>
      <c r="K586" s="100">
        <f t="shared" si="85"/>
        <v>600</v>
      </c>
      <c r="L586" s="78">
        <v>46112</v>
      </c>
      <c r="M586" s="103"/>
      <c r="N586" s="93" t="s">
        <v>373</v>
      </c>
      <c r="O586" s="94">
        <v>46146</v>
      </c>
      <c r="P586" s="104">
        <f t="shared" si="87"/>
        <v>600</v>
      </c>
      <c r="Q586" s="104">
        <f t="shared" si="88"/>
        <v>600</v>
      </c>
      <c r="R586" s="104"/>
      <c r="S586" s="93" t="s">
        <v>374</v>
      </c>
      <c r="T586" s="94">
        <v>46156</v>
      </c>
      <c r="U586" s="104">
        <f t="shared" si="89"/>
        <v>600</v>
      </c>
      <c r="V586" s="104">
        <f t="shared" si="90"/>
        <v>1</v>
      </c>
      <c r="W586" s="103">
        <f t="shared" si="91"/>
        <v>600</v>
      </c>
      <c r="X586" s="93" t="s">
        <v>89</v>
      </c>
      <c r="Y586" s="105" t="s">
        <v>84</v>
      </c>
      <c r="Z586" s="105" t="s">
        <v>93</v>
      </c>
    </row>
    <row r="587" spans="1:26" s="105" customFormat="1" ht="15" customHeight="1">
      <c r="A587" s="99">
        <f t="shared" si="86"/>
        <v>585</v>
      </c>
      <c r="B587" s="75" t="s">
        <v>549</v>
      </c>
      <c r="C587" s="100" t="str">
        <f>IF($B587&lt;&gt;"",_xlfn.IFNA(VLOOKUP($B587,'Node Details'!$B:$U,C$1,0),"Check"),"")</f>
        <v>0000AXW19-AXW190104</v>
      </c>
      <c r="D587" s="100" t="str">
        <f>IF($B587&lt;&gt;"",_xlfn.IFNA(VLOOKUP($B587,'Node Details'!$B:$U,D$1,0),"Check"),"")</f>
        <v>AXW</v>
      </c>
      <c r="E587" s="100" t="str">
        <f>IF($B587&lt;&gt;"",_xlfn.IFNA(VLOOKUP($B587,'Node Details'!$B:$U,E$1,0),"Check"),"")</f>
        <v>Airtel</v>
      </c>
      <c r="F587" s="101">
        <v>46114</v>
      </c>
      <c r="G587" s="103"/>
      <c r="H587" s="102" t="s">
        <v>1254</v>
      </c>
      <c r="I587" s="9">
        <v>1</v>
      </c>
      <c r="J587" s="9">
        <v>600</v>
      </c>
      <c r="K587" s="100">
        <f t="shared" si="85"/>
        <v>600</v>
      </c>
      <c r="L587" s="78">
        <v>46112</v>
      </c>
      <c r="M587" s="103"/>
      <c r="N587" s="93" t="s">
        <v>373</v>
      </c>
      <c r="O587" s="94">
        <v>46146</v>
      </c>
      <c r="P587" s="104">
        <f t="shared" si="87"/>
        <v>600</v>
      </c>
      <c r="Q587" s="104">
        <f t="shared" si="88"/>
        <v>600</v>
      </c>
      <c r="R587" s="104"/>
      <c r="S587" s="93" t="s">
        <v>374</v>
      </c>
      <c r="T587" s="94">
        <v>46156</v>
      </c>
      <c r="U587" s="104">
        <f t="shared" si="89"/>
        <v>600</v>
      </c>
      <c r="V587" s="104">
        <f t="shared" si="90"/>
        <v>1</v>
      </c>
      <c r="W587" s="103">
        <f t="shared" si="91"/>
        <v>600</v>
      </c>
      <c r="X587" s="93" t="s">
        <v>89</v>
      </c>
      <c r="Y587" s="105" t="s">
        <v>84</v>
      </c>
      <c r="Z587" s="105" t="s">
        <v>93</v>
      </c>
    </row>
    <row r="588" spans="1:26" s="105" customFormat="1" ht="15" customHeight="1">
      <c r="A588" s="99">
        <f t="shared" si="86"/>
        <v>586</v>
      </c>
      <c r="B588" s="75" t="s">
        <v>1114</v>
      </c>
      <c r="C588" s="100" t="str">
        <f>IF($B588&lt;&gt;"",_xlfn.IFNA(VLOOKUP($B588,'Node Details'!$B:$U,C$1,0),"Check"),"")</f>
        <v>0000AXW19-AXW190108</v>
      </c>
      <c r="D588" s="100" t="str">
        <f>IF($B588&lt;&gt;"",_xlfn.IFNA(VLOOKUP($B588,'Node Details'!$B:$U,D$1,0),"Check"),"")</f>
        <v>AXW</v>
      </c>
      <c r="E588" s="100" t="str">
        <f>IF($B588&lt;&gt;"",_xlfn.IFNA(VLOOKUP($B588,'Node Details'!$B:$U,E$1,0),"Check"),"")</f>
        <v>Airtel</v>
      </c>
      <c r="F588" s="101">
        <v>46114</v>
      </c>
      <c r="G588" s="103"/>
      <c r="H588" s="102" t="s">
        <v>1254</v>
      </c>
      <c r="I588" s="9">
        <v>1</v>
      </c>
      <c r="J588" s="9">
        <v>600</v>
      </c>
      <c r="K588" s="100">
        <f t="shared" si="85"/>
        <v>600</v>
      </c>
      <c r="L588" s="78">
        <v>46112</v>
      </c>
      <c r="M588" s="103"/>
      <c r="N588" s="93" t="s">
        <v>373</v>
      </c>
      <c r="O588" s="94">
        <v>46146</v>
      </c>
      <c r="P588" s="104">
        <f t="shared" si="87"/>
        <v>600</v>
      </c>
      <c r="Q588" s="104">
        <f t="shared" si="88"/>
        <v>600</v>
      </c>
      <c r="R588" s="104"/>
      <c r="S588" s="93" t="s">
        <v>374</v>
      </c>
      <c r="T588" s="94">
        <v>46156</v>
      </c>
      <c r="U588" s="104">
        <f t="shared" si="89"/>
        <v>600</v>
      </c>
      <c r="V588" s="104">
        <f t="shared" si="90"/>
        <v>1</v>
      </c>
      <c r="W588" s="103">
        <f t="shared" si="91"/>
        <v>600</v>
      </c>
      <c r="X588" s="93" t="s">
        <v>89</v>
      </c>
      <c r="Y588" s="105" t="s">
        <v>84</v>
      </c>
      <c r="Z588" s="105" t="s">
        <v>93</v>
      </c>
    </row>
    <row r="589" spans="1:26" s="105" customFormat="1" ht="15" customHeight="1">
      <c r="A589" s="99">
        <f t="shared" si="86"/>
        <v>587</v>
      </c>
      <c r="B589" s="75" t="s">
        <v>1115</v>
      </c>
      <c r="C589" s="100" t="str">
        <f>IF($B589&lt;&gt;"",_xlfn.IFNA(VLOOKUP($B589,'Node Details'!$B:$U,C$1,0),"Check"),"")</f>
        <v>0000AXW19-AXW190108</v>
      </c>
      <c r="D589" s="100" t="str">
        <f>IF($B589&lt;&gt;"",_xlfn.IFNA(VLOOKUP($B589,'Node Details'!$B:$U,D$1,0),"Check"),"")</f>
        <v>AXW</v>
      </c>
      <c r="E589" s="100" t="str">
        <f>IF($B589&lt;&gt;"",_xlfn.IFNA(VLOOKUP($B589,'Node Details'!$B:$U,E$1,0),"Check"),"")</f>
        <v>Airtel</v>
      </c>
      <c r="F589" s="101">
        <v>46114</v>
      </c>
      <c r="G589" s="103"/>
      <c r="H589" s="102" t="s">
        <v>1254</v>
      </c>
      <c r="I589" s="9">
        <v>1</v>
      </c>
      <c r="J589" s="9">
        <v>600</v>
      </c>
      <c r="K589" s="100">
        <f t="shared" si="85"/>
        <v>600</v>
      </c>
      <c r="L589" s="78">
        <v>46112</v>
      </c>
      <c r="M589" s="103"/>
      <c r="N589" s="93" t="s">
        <v>373</v>
      </c>
      <c r="O589" s="94">
        <v>46146</v>
      </c>
      <c r="P589" s="104">
        <f t="shared" si="87"/>
        <v>600</v>
      </c>
      <c r="Q589" s="104">
        <f t="shared" si="88"/>
        <v>600</v>
      </c>
      <c r="R589" s="104"/>
      <c r="S589" s="93" t="s">
        <v>374</v>
      </c>
      <c r="T589" s="94">
        <v>46156</v>
      </c>
      <c r="U589" s="104">
        <f t="shared" si="89"/>
        <v>600</v>
      </c>
      <c r="V589" s="104">
        <f t="shared" si="90"/>
        <v>1</v>
      </c>
      <c r="W589" s="103">
        <f t="shared" si="91"/>
        <v>600</v>
      </c>
      <c r="X589" s="93" t="s">
        <v>89</v>
      </c>
      <c r="Y589" s="105" t="s">
        <v>84</v>
      </c>
      <c r="Z589" s="105" t="s">
        <v>93</v>
      </c>
    </row>
    <row r="590" spans="1:26" s="105" customFormat="1" ht="15" customHeight="1">
      <c r="A590" s="99">
        <f t="shared" si="86"/>
        <v>588</v>
      </c>
      <c r="B590" s="75" t="s">
        <v>1116</v>
      </c>
      <c r="C590" s="100" t="str">
        <f>IF($B590&lt;&gt;"",_xlfn.IFNA(VLOOKUP($B590,'Node Details'!$B:$U,C$1,0),"Check"),"")</f>
        <v>0000AXW19-AXW190108</v>
      </c>
      <c r="D590" s="100" t="str">
        <f>IF($B590&lt;&gt;"",_xlfn.IFNA(VLOOKUP($B590,'Node Details'!$B:$U,D$1,0),"Check"),"")</f>
        <v>AXW</v>
      </c>
      <c r="E590" s="100" t="str">
        <f>IF($B590&lt;&gt;"",_xlfn.IFNA(VLOOKUP($B590,'Node Details'!$B:$U,E$1,0),"Check"),"")</f>
        <v>Airtel</v>
      </c>
      <c r="F590" s="101">
        <v>46114</v>
      </c>
      <c r="G590" s="103"/>
      <c r="H590" s="102" t="s">
        <v>1254</v>
      </c>
      <c r="I590" s="9">
        <v>1</v>
      </c>
      <c r="J590" s="9">
        <v>600</v>
      </c>
      <c r="K590" s="100">
        <f t="shared" si="85"/>
        <v>600</v>
      </c>
      <c r="L590" s="78">
        <v>46112</v>
      </c>
      <c r="M590" s="103"/>
      <c r="N590" s="93" t="s">
        <v>373</v>
      </c>
      <c r="O590" s="94">
        <v>46146</v>
      </c>
      <c r="P590" s="104">
        <f t="shared" si="87"/>
        <v>600</v>
      </c>
      <c r="Q590" s="104">
        <f t="shared" si="88"/>
        <v>600</v>
      </c>
      <c r="R590" s="104"/>
      <c r="S590" s="93" t="s">
        <v>374</v>
      </c>
      <c r="T590" s="94">
        <v>46156</v>
      </c>
      <c r="U590" s="104">
        <f t="shared" si="89"/>
        <v>600</v>
      </c>
      <c r="V590" s="104">
        <f t="shared" si="90"/>
        <v>1</v>
      </c>
      <c r="W590" s="103">
        <f t="shared" si="91"/>
        <v>600</v>
      </c>
      <c r="X590" s="93" t="s">
        <v>89</v>
      </c>
      <c r="Y590" s="105" t="s">
        <v>84</v>
      </c>
      <c r="Z590" s="105" t="s">
        <v>93</v>
      </c>
    </row>
    <row r="591" spans="1:26" s="105" customFormat="1" ht="15" customHeight="1">
      <c r="A591" s="99">
        <f t="shared" si="86"/>
        <v>589</v>
      </c>
      <c r="B591" s="75" t="s">
        <v>552</v>
      </c>
      <c r="C591" s="100" t="str">
        <f>IF($B591&lt;&gt;"",_xlfn.IFNA(VLOOKUP($B591,'Node Details'!$B:$U,C$1,0),"Check"),"")</f>
        <v>0000AXW19-AXW190108</v>
      </c>
      <c r="D591" s="100" t="str">
        <f>IF($B591&lt;&gt;"",_xlfn.IFNA(VLOOKUP($B591,'Node Details'!$B:$U,D$1,0),"Check"),"")</f>
        <v>AXW</v>
      </c>
      <c r="E591" s="100" t="str">
        <f>IF($B591&lt;&gt;"",_xlfn.IFNA(VLOOKUP($B591,'Node Details'!$B:$U,E$1,0),"Check"),"")</f>
        <v>Airtel</v>
      </c>
      <c r="F591" s="101">
        <v>46114</v>
      </c>
      <c r="G591" s="103"/>
      <c r="H591" s="102" t="s">
        <v>1254</v>
      </c>
      <c r="I591" s="9">
        <v>1</v>
      </c>
      <c r="J591" s="9">
        <v>600</v>
      </c>
      <c r="K591" s="100">
        <f t="shared" si="85"/>
        <v>600</v>
      </c>
      <c r="L591" s="78">
        <v>46112</v>
      </c>
      <c r="M591" s="103"/>
      <c r="N591" s="93" t="s">
        <v>373</v>
      </c>
      <c r="O591" s="94">
        <v>46146</v>
      </c>
      <c r="P591" s="104">
        <f t="shared" si="87"/>
        <v>600</v>
      </c>
      <c r="Q591" s="104">
        <f t="shared" si="88"/>
        <v>600</v>
      </c>
      <c r="R591" s="104"/>
      <c r="S591" s="93" t="s">
        <v>374</v>
      </c>
      <c r="T591" s="94">
        <v>46156</v>
      </c>
      <c r="U591" s="104">
        <f t="shared" si="89"/>
        <v>600</v>
      </c>
      <c r="V591" s="104">
        <f t="shared" si="90"/>
        <v>1</v>
      </c>
      <c r="W591" s="103">
        <f t="shared" si="91"/>
        <v>600</v>
      </c>
      <c r="X591" s="93" t="s">
        <v>89</v>
      </c>
      <c r="Y591" s="105" t="s">
        <v>84</v>
      </c>
      <c r="Z591" s="105" t="s">
        <v>93</v>
      </c>
    </row>
    <row r="592" spans="1:26" s="105" customFormat="1" ht="15" customHeight="1">
      <c r="A592" s="99">
        <f t="shared" si="86"/>
        <v>590</v>
      </c>
      <c r="B592" s="75" t="s">
        <v>555</v>
      </c>
      <c r="C592" s="100" t="str">
        <f>IF($B592&lt;&gt;"",_xlfn.IFNA(VLOOKUP($B592,'Node Details'!$B:$U,C$1,0),"Check"),"")</f>
        <v>0000AXW20-AXW200101</v>
      </c>
      <c r="D592" s="100" t="str">
        <f>IF($B592&lt;&gt;"",_xlfn.IFNA(VLOOKUP($B592,'Node Details'!$B:$U,D$1,0),"Check"),"")</f>
        <v>AXW</v>
      </c>
      <c r="E592" s="100" t="str">
        <f>IF($B592&lt;&gt;"",_xlfn.IFNA(VLOOKUP($B592,'Node Details'!$B:$U,E$1,0),"Check"),"")</f>
        <v>Airtel</v>
      </c>
      <c r="F592" s="101">
        <v>46114</v>
      </c>
      <c r="G592" s="103"/>
      <c r="H592" s="102" t="s">
        <v>1254</v>
      </c>
      <c r="I592" s="9">
        <v>1</v>
      </c>
      <c r="J592" s="9">
        <v>600</v>
      </c>
      <c r="K592" s="100">
        <f t="shared" si="85"/>
        <v>600</v>
      </c>
      <c r="L592" s="78">
        <v>46112</v>
      </c>
      <c r="M592" s="103"/>
      <c r="N592" s="93" t="s">
        <v>373</v>
      </c>
      <c r="O592" s="94">
        <v>46146</v>
      </c>
      <c r="P592" s="104">
        <f t="shared" si="87"/>
        <v>600</v>
      </c>
      <c r="Q592" s="104">
        <f t="shared" si="88"/>
        <v>600</v>
      </c>
      <c r="R592" s="104"/>
      <c r="S592" s="93" t="s">
        <v>374</v>
      </c>
      <c r="T592" s="94">
        <v>46156</v>
      </c>
      <c r="U592" s="104">
        <f t="shared" si="89"/>
        <v>600</v>
      </c>
      <c r="V592" s="104">
        <f t="shared" si="90"/>
        <v>1</v>
      </c>
      <c r="W592" s="103">
        <f t="shared" si="91"/>
        <v>600</v>
      </c>
      <c r="X592" s="93" t="s">
        <v>89</v>
      </c>
      <c r="Y592" s="105" t="s">
        <v>84</v>
      </c>
      <c r="Z592" s="105" t="s">
        <v>93</v>
      </c>
    </row>
    <row r="593" spans="1:26" s="105" customFormat="1" ht="15" customHeight="1">
      <c r="A593" s="99">
        <f t="shared" si="86"/>
        <v>591</v>
      </c>
      <c r="B593" s="75" t="s">
        <v>1117</v>
      </c>
      <c r="C593" s="100" t="str">
        <f>IF($B593&lt;&gt;"",_xlfn.IFNA(VLOOKUP($B593,'Node Details'!$B:$U,C$1,0),"Check"),"")</f>
        <v>0000AXW20-AXW200107</v>
      </c>
      <c r="D593" s="100" t="str">
        <f>IF($B593&lt;&gt;"",_xlfn.IFNA(VLOOKUP($B593,'Node Details'!$B:$U,D$1,0),"Check"),"")</f>
        <v>AXW</v>
      </c>
      <c r="E593" s="100" t="str">
        <f>IF($B593&lt;&gt;"",_xlfn.IFNA(VLOOKUP($B593,'Node Details'!$B:$U,E$1,0),"Check"),"")</f>
        <v>Airtel</v>
      </c>
      <c r="F593" s="101">
        <v>46114</v>
      </c>
      <c r="G593" s="103"/>
      <c r="H593" s="102" t="s">
        <v>1254</v>
      </c>
      <c r="I593" s="9">
        <v>1</v>
      </c>
      <c r="J593" s="9">
        <v>600</v>
      </c>
      <c r="K593" s="100">
        <f t="shared" si="85"/>
        <v>600</v>
      </c>
      <c r="L593" s="78">
        <v>46112</v>
      </c>
      <c r="M593" s="103"/>
      <c r="N593" s="93" t="s">
        <v>373</v>
      </c>
      <c r="O593" s="94">
        <v>46146</v>
      </c>
      <c r="P593" s="104">
        <f t="shared" si="87"/>
        <v>600</v>
      </c>
      <c r="Q593" s="104">
        <f t="shared" si="88"/>
        <v>600</v>
      </c>
      <c r="R593" s="104"/>
      <c r="S593" s="93" t="s">
        <v>374</v>
      </c>
      <c r="T593" s="94">
        <v>46156</v>
      </c>
      <c r="U593" s="104">
        <f t="shared" si="89"/>
        <v>600</v>
      </c>
      <c r="V593" s="104">
        <f t="shared" si="90"/>
        <v>1</v>
      </c>
      <c r="W593" s="103">
        <f t="shared" si="91"/>
        <v>600</v>
      </c>
      <c r="X593" s="93" t="s">
        <v>89</v>
      </c>
      <c r="Y593" s="105" t="s">
        <v>84</v>
      </c>
      <c r="Z593" s="105" t="s">
        <v>93</v>
      </c>
    </row>
    <row r="594" spans="1:26" s="105" customFormat="1" ht="15" customHeight="1">
      <c r="A594" s="99">
        <f t="shared" si="86"/>
        <v>592</v>
      </c>
      <c r="B594" s="75" t="s">
        <v>1118</v>
      </c>
      <c r="C594" s="100" t="str">
        <f>IF($B594&lt;&gt;"",_xlfn.IFNA(VLOOKUP($B594,'Node Details'!$B:$U,C$1,0),"Check"),"")</f>
        <v>0000AXW20-AXW200107</v>
      </c>
      <c r="D594" s="100" t="str">
        <f>IF($B594&lt;&gt;"",_xlfn.IFNA(VLOOKUP($B594,'Node Details'!$B:$U,D$1,0),"Check"),"")</f>
        <v>AXW</v>
      </c>
      <c r="E594" s="100" t="str">
        <f>IF($B594&lt;&gt;"",_xlfn.IFNA(VLOOKUP($B594,'Node Details'!$B:$U,E$1,0),"Check"),"")</f>
        <v>Airtel</v>
      </c>
      <c r="F594" s="101">
        <v>46114</v>
      </c>
      <c r="G594" s="103"/>
      <c r="H594" s="102" t="s">
        <v>1254</v>
      </c>
      <c r="I594" s="9">
        <v>1</v>
      </c>
      <c r="J594" s="9">
        <v>600</v>
      </c>
      <c r="K594" s="100">
        <f t="shared" si="85"/>
        <v>600</v>
      </c>
      <c r="L594" s="78">
        <v>46112</v>
      </c>
      <c r="M594" s="103"/>
      <c r="N594" s="93" t="s">
        <v>373</v>
      </c>
      <c r="O594" s="94">
        <v>46146</v>
      </c>
      <c r="P594" s="104">
        <f t="shared" si="87"/>
        <v>600</v>
      </c>
      <c r="Q594" s="104">
        <f t="shared" si="88"/>
        <v>600</v>
      </c>
      <c r="R594" s="104"/>
      <c r="S594" s="93" t="s">
        <v>374</v>
      </c>
      <c r="T594" s="94">
        <v>46156</v>
      </c>
      <c r="U594" s="104">
        <f t="shared" si="89"/>
        <v>600</v>
      </c>
      <c r="V594" s="104">
        <f t="shared" si="90"/>
        <v>1</v>
      </c>
      <c r="W594" s="103">
        <f t="shared" si="91"/>
        <v>600</v>
      </c>
      <c r="X594" s="93" t="s">
        <v>89</v>
      </c>
      <c r="Y594" s="105" t="s">
        <v>84</v>
      </c>
      <c r="Z594" s="105" t="s">
        <v>93</v>
      </c>
    </row>
    <row r="595" spans="1:26" s="105" customFormat="1" ht="15" customHeight="1">
      <c r="A595" s="99">
        <f t="shared" si="86"/>
        <v>593</v>
      </c>
      <c r="B595" s="75" t="s">
        <v>561</v>
      </c>
      <c r="C595" s="100" t="str">
        <f>IF($B595&lt;&gt;"",_xlfn.IFNA(VLOOKUP($B595,'Node Details'!$B:$U,C$1,0),"Check"),"")</f>
        <v>0000AXW20-AXW200107</v>
      </c>
      <c r="D595" s="100" t="str">
        <f>IF($B595&lt;&gt;"",_xlfn.IFNA(VLOOKUP($B595,'Node Details'!$B:$U,D$1,0),"Check"),"")</f>
        <v>AXW</v>
      </c>
      <c r="E595" s="100" t="str">
        <f>IF($B595&lt;&gt;"",_xlfn.IFNA(VLOOKUP($B595,'Node Details'!$B:$U,E$1,0),"Check"),"")</f>
        <v>Airtel</v>
      </c>
      <c r="F595" s="101">
        <v>46114</v>
      </c>
      <c r="G595" s="103"/>
      <c r="H595" s="102" t="s">
        <v>1254</v>
      </c>
      <c r="I595" s="9">
        <v>1</v>
      </c>
      <c r="J595" s="9">
        <v>600</v>
      </c>
      <c r="K595" s="100">
        <f t="shared" si="85"/>
        <v>600</v>
      </c>
      <c r="L595" s="78">
        <v>46112</v>
      </c>
      <c r="M595" s="103"/>
      <c r="N595" s="93" t="s">
        <v>373</v>
      </c>
      <c r="O595" s="94">
        <v>46146</v>
      </c>
      <c r="P595" s="104">
        <f t="shared" si="87"/>
        <v>600</v>
      </c>
      <c r="Q595" s="104">
        <f t="shared" si="88"/>
        <v>600</v>
      </c>
      <c r="R595" s="104"/>
      <c r="S595" s="93" t="s">
        <v>374</v>
      </c>
      <c r="T595" s="94">
        <v>46156</v>
      </c>
      <c r="U595" s="104">
        <f t="shared" si="89"/>
        <v>600</v>
      </c>
      <c r="V595" s="104">
        <f t="shared" si="90"/>
        <v>1</v>
      </c>
      <c r="W595" s="103">
        <f t="shared" si="91"/>
        <v>600</v>
      </c>
      <c r="X595" s="93" t="s">
        <v>89</v>
      </c>
      <c r="Y595" s="105" t="s">
        <v>84</v>
      </c>
      <c r="Z595" s="105" t="s">
        <v>93</v>
      </c>
    </row>
    <row r="596" spans="1:26" s="105" customFormat="1" ht="15" customHeight="1">
      <c r="A596" s="99">
        <f t="shared" si="86"/>
        <v>594</v>
      </c>
      <c r="B596" s="75" t="s">
        <v>1119</v>
      </c>
      <c r="C596" s="100" t="str">
        <f>IF($B596&lt;&gt;"",_xlfn.IFNA(VLOOKUP($B596,'Node Details'!$B:$U,C$1,0),"Check"),"")</f>
        <v>AXW200104-AXW200106</v>
      </c>
      <c r="D596" s="100" t="str">
        <f>IF($B596&lt;&gt;"",_xlfn.IFNA(VLOOKUP($B596,'Node Details'!$B:$U,D$1,0),"Check"),"")</f>
        <v>AXW</v>
      </c>
      <c r="E596" s="100" t="str">
        <f>IF($B596&lt;&gt;"",_xlfn.IFNA(VLOOKUP($B596,'Node Details'!$B:$U,E$1,0),"Check"),"")</f>
        <v>Airtel</v>
      </c>
      <c r="F596" s="101">
        <v>46114</v>
      </c>
      <c r="G596" s="103"/>
      <c r="H596" s="102" t="s">
        <v>1254</v>
      </c>
      <c r="I596" s="9">
        <v>1</v>
      </c>
      <c r="J596" s="9">
        <v>600</v>
      </c>
      <c r="K596" s="100">
        <f t="shared" si="85"/>
        <v>600</v>
      </c>
      <c r="L596" s="78">
        <v>46112</v>
      </c>
      <c r="M596" s="103"/>
      <c r="N596" s="93" t="s">
        <v>373</v>
      </c>
      <c r="O596" s="94">
        <v>46146</v>
      </c>
      <c r="P596" s="104">
        <f t="shared" si="87"/>
        <v>600</v>
      </c>
      <c r="Q596" s="104">
        <f t="shared" si="88"/>
        <v>600</v>
      </c>
      <c r="R596" s="104"/>
      <c r="S596" s="93" t="s">
        <v>374</v>
      </c>
      <c r="T596" s="94">
        <v>46156</v>
      </c>
      <c r="U596" s="104">
        <f t="shared" si="89"/>
        <v>600</v>
      </c>
      <c r="V596" s="104">
        <f t="shared" si="90"/>
        <v>1</v>
      </c>
      <c r="W596" s="103">
        <f t="shared" si="91"/>
        <v>600</v>
      </c>
      <c r="X596" s="93" t="s">
        <v>89</v>
      </c>
      <c r="Y596" s="105" t="s">
        <v>84</v>
      </c>
      <c r="Z596" s="105" t="s">
        <v>93</v>
      </c>
    </row>
    <row r="597" spans="1:26" s="105" customFormat="1" ht="15" customHeight="1">
      <c r="A597" s="99">
        <f t="shared" si="86"/>
        <v>595</v>
      </c>
      <c r="B597" s="75" t="s">
        <v>562</v>
      </c>
      <c r="C597" s="100" t="str">
        <f>IF($B597&lt;&gt;"",_xlfn.IFNA(VLOOKUP($B597,'Node Details'!$B:$U,C$1,0),"Check"),"")</f>
        <v>AXW200104-AXW200106</v>
      </c>
      <c r="D597" s="100" t="str">
        <f>IF($B597&lt;&gt;"",_xlfn.IFNA(VLOOKUP($B597,'Node Details'!$B:$U,D$1,0),"Check"),"")</f>
        <v>AXW</v>
      </c>
      <c r="E597" s="100" t="str">
        <f>IF($B597&lt;&gt;"",_xlfn.IFNA(VLOOKUP($B597,'Node Details'!$B:$U,E$1,0),"Check"),"")</f>
        <v>Airtel</v>
      </c>
      <c r="F597" s="101">
        <v>46114</v>
      </c>
      <c r="G597" s="103"/>
      <c r="H597" s="102" t="s">
        <v>1254</v>
      </c>
      <c r="I597" s="9">
        <v>1</v>
      </c>
      <c r="J597" s="9">
        <v>600</v>
      </c>
      <c r="K597" s="100">
        <f t="shared" si="85"/>
        <v>600</v>
      </c>
      <c r="L597" s="78">
        <v>46112</v>
      </c>
      <c r="M597" s="103"/>
      <c r="N597" s="93" t="s">
        <v>373</v>
      </c>
      <c r="O597" s="94">
        <v>46146</v>
      </c>
      <c r="P597" s="104">
        <f t="shared" si="87"/>
        <v>600</v>
      </c>
      <c r="Q597" s="104">
        <f t="shared" si="88"/>
        <v>600</v>
      </c>
      <c r="R597" s="104"/>
      <c r="S597" s="93" t="s">
        <v>374</v>
      </c>
      <c r="T597" s="94">
        <v>46156</v>
      </c>
      <c r="U597" s="104">
        <f t="shared" si="89"/>
        <v>600</v>
      </c>
      <c r="V597" s="104">
        <f t="shared" si="90"/>
        <v>1</v>
      </c>
      <c r="W597" s="103">
        <f t="shared" si="91"/>
        <v>600</v>
      </c>
      <c r="X597" s="93" t="s">
        <v>89</v>
      </c>
      <c r="Y597" s="105" t="s">
        <v>84</v>
      </c>
      <c r="Z597" s="105" t="s">
        <v>93</v>
      </c>
    </row>
    <row r="598" spans="1:26" s="105" customFormat="1" ht="15" customHeight="1">
      <c r="A598" s="99">
        <f t="shared" si="86"/>
        <v>596</v>
      </c>
      <c r="B598" s="75" t="s">
        <v>558</v>
      </c>
      <c r="C598" s="100" t="str">
        <f>IF($B598&lt;&gt;"",_xlfn.IFNA(VLOOKUP($B598,'Node Details'!$B:$U,C$1,0),"Check"),"")</f>
        <v>0000AXW20-AXW200107</v>
      </c>
      <c r="D598" s="100" t="str">
        <f>IF($B598&lt;&gt;"",_xlfn.IFNA(VLOOKUP($B598,'Node Details'!$B:$U,D$1,0),"Check"),"")</f>
        <v>AXW</v>
      </c>
      <c r="E598" s="100" t="str">
        <f>IF($B598&lt;&gt;"",_xlfn.IFNA(VLOOKUP($B598,'Node Details'!$B:$U,E$1,0),"Check"),"")</f>
        <v>Airtel</v>
      </c>
      <c r="F598" s="101">
        <v>46114</v>
      </c>
      <c r="G598" s="103"/>
      <c r="H598" s="102" t="s">
        <v>1254</v>
      </c>
      <c r="I598" s="9">
        <v>1</v>
      </c>
      <c r="J598" s="9">
        <v>600</v>
      </c>
      <c r="K598" s="100">
        <f t="shared" si="85"/>
        <v>600</v>
      </c>
      <c r="L598" s="78">
        <v>46112</v>
      </c>
      <c r="M598" s="103"/>
      <c r="N598" s="93" t="s">
        <v>373</v>
      </c>
      <c r="O598" s="94">
        <v>46146</v>
      </c>
      <c r="P598" s="104">
        <f t="shared" si="87"/>
        <v>600</v>
      </c>
      <c r="Q598" s="104">
        <f t="shared" si="88"/>
        <v>600</v>
      </c>
      <c r="R598" s="104"/>
      <c r="S598" s="93" t="s">
        <v>374</v>
      </c>
      <c r="T598" s="94">
        <v>46156</v>
      </c>
      <c r="U598" s="104">
        <f t="shared" si="89"/>
        <v>600</v>
      </c>
      <c r="V598" s="104">
        <f t="shared" si="90"/>
        <v>1</v>
      </c>
      <c r="W598" s="103">
        <f t="shared" si="91"/>
        <v>600</v>
      </c>
      <c r="X598" s="93" t="s">
        <v>89</v>
      </c>
      <c r="Y598" s="105" t="s">
        <v>84</v>
      </c>
      <c r="Z598" s="105" t="s">
        <v>93</v>
      </c>
    </row>
    <row r="599" spans="1:26" s="105" customFormat="1" ht="15" customHeight="1">
      <c r="A599" s="99">
        <f t="shared" si="86"/>
        <v>597</v>
      </c>
      <c r="B599" s="75" t="s">
        <v>1120</v>
      </c>
      <c r="C599" s="100" t="str">
        <f>IF($B599&lt;&gt;"",_xlfn.IFNA(VLOOKUP($B599,'Node Details'!$B:$U,C$1,0),"Check"),"")</f>
        <v>AXW200107-AXW200201</v>
      </c>
      <c r="D599" s="100" t="str">
        <f>IF($B599&lt;&gt;"",_xlfn.IFNA(VLOOKUP($B599,'Node Details'!$B:$U,D$1,0),"Check"),"")</f>
        <v>AXW</v>
      </c>
      <c r="E599" s="100" t="str">
        <f>IF($B599&lt;&gt;"",_xlfn.IFNA(VLOOKUP($B599,'Node Details'!$B:$U,E$1,0),"Check"),"")</f>
        <v>Airtel</v>
      </c>
      <c r="F599" s="101">
        <v>46114</v>
      </c>
      <c r="G599" s="103"/>
      <c r="H599" s="102" t="s">
        <v>1254</v>
      </c>
      <c r="I599" s="9">
        <v>1</v>
      </c>
      <c r="J599" s="9">
        <v>600</v>
      </c>
      <c r="K599" s="100">
        <f t="shared" si="85"/>
        <v>600</v>
      </c>
      <c r="L599" s="78">
        <v>46112</v>
      </c>
      <c r="M599" s="103"/>
      <c r="N599" s="93" t="s">
        <v>373</v>
      </c>
      <c r="O599" s="94">
        <v>46146</v>
      </c>
      <c r="P599" s="104">
        <f t="shared" si="87"/>
        <v>600</v>
      </c>
      <c r="Q599" s="104">
        <f t="shared" si="88"/>
        <v>600</v>
      </c>
      <c r="R599" s="104"/>
      <c r="S599" s="93" t="s">
        <v>374</v>
      </c>
      <c r="T599" s="94">
        <v>46156</v>
      </c>
      <c r="U599" s="104">
        <f t="shared" si="89"/>
        <v>600</v>
      </c>
      <c r="V599" s="104">
        <f t="shared" si="90"/>
        <v>1</v>
      </c>
      <c r="W599" s="103">
        <f t="shared" si="91"/>
        <v>600</v>
      </c>
      <c r="X599" s="93" t="s">
        <v>89</v>
      </c>
      <c r="Y599" s="105" t="s">
        <v>84</v>
      </c>
      <c r="Z599" s="105" t="s">
        <v>93</v>
      </c>
    </row>
    <row r="600" spans="1:26" s="105" customFormat="1" ht="15" customHeight="1">
      <c r="A600" s="99">
        <f t="shared" si="86"/>
        <v>598</v>
      </c>
      <c r="B600" s="75" t="s">
        <v>565</v>
      </c>
      <c r="C600" s="100" t="str">
        <f>IF($B600&lt;&gt;"",_xlfn.IFNA(VLOOKUP($B600,'Node Details'!$B:$U,C$1,0),"Check"),"")</f>
        <v>AXW200107-AXW200201</v>
      </c>
      <c r="D600" s="100" t="str">
        <f>IF($B600&lt;&gt;"",_xlfn.IFNA(VLOOKUP($B600,'Node Details'!$B:$U,D$1,0),"Check"),"")</f>
        <v>AXW</v>
      </c>
      <c r="E600" s="100" t="str">
        <f>IF($B600&lt;&gt;"",_xlfn.IFNA(VLOOKUP($B600,'Node Details'!$B:$U,E$1,0),"Check"),"")</f>
        <v>Airtel</v>
      </c>
      <c r="F600" s="101">
        <v>46114</v>
      </c>
      <c r="G600" s="103"/>
      <c r="H600" s="102" t="s">
        <v>1254</v>
      </c>
      <c r="I600" s="9">
        <v>1</v>
      </c>
      <c r="J600" s="9">
        <v>600</v>
      </c>
      <c r="K600" s="100">
        <f t="shared" si="85"/>
        <v>600</v>
      </c>
      <c r="L600" s="78">
        <v>46112</v>
      </c>
      <c r="M600" s="103"/>
      <c r="N600" s="93" t="s">
        <v>373</v>
      </c>
      <c r="O600" s="94">
        <v>46146</v>
      </c>
      <c r="P600" s="104">
        <f t="shared" si="87"/>
        <v>600</v>
      </c>
      <c r="Q600" s="104">
        <f t="shared" si="88"/>
        <v>600</v>
      </c>
      <c r="R600" s="104"/>
      <c r="S600" s="93" t="s">
        <v>374</v>
      </c>
      <c r="T600" s="94">
        <v>46156</v>
      </c>
      <c r="U600" s="104">
        <f t="shared" si="89"/>
        <v>600</v>
      </c>
      <c r="V600" s="104">
        <f t="shared" si="90"/>
        <v>1</v>
      </c>
      <c r="W600" s="103">
        <f t="shared" si="91"/>
        <v>600</v>
      </c>
      <c r="X600" s="93" t="s">
        <v>89</v>
      </c>
      <c r="Y600" s="105" t="s">
        <v>84</v>
      </c>
      <c r="Z600" s="105" t="s">
        <v>93</v>
      </c>
    </row>
    <row r="601" spans="1:26" s="105" customFormat="1" ht="15" customHeight="1">
      <c r="A601" s="99">
        <f t="shared" si="86"/>
        <v>599</v>
      </c>
      <c r="B601" s="75" t="s">
        <v>1121</v>
      </c>
      <c r="C601" s="100" t="str">
        <f>IF($B601&lt;&gt;"",_xlfn.IFNA(VLOOKUP($B601,'Node Details'!$B:$U,C$1,0),"Check"),"")</f>
        <v>AXW200107-AXW200203</v>
      </c>
      <c r="D601" s="100" t="str">
        <f>IF($B601&lt;&gt;"",_xlfn.IFNA(VLOOKUP($B601,'Node Details'!$B:$U,D$1,0),"Check"),"")</f>
        <v>AXW</v>
      </c>
      <c r="E601" s="100" t="str">
        <f>IF($B601&lt;&gt;"",_xlfn.IFNA(VLOOKUP($B601,'Node Details'!$B:$U,E$1,0),"Check"),"")</f>
        <v>Airtel</v>
      </c>
      <c r="F601" s="101">
        <v>46114</v>
      </c>
      <c r="G601" s="103"/>
      <c r="H601" s="102" t="s">
        <v>1254</v>
      </c>
      <c r="I601" s="9">
        <v>1</v>
      </c>
      <c r="J601" s="9">
        <v>600</v>
      </c>
      <c r="K601" s="100">
        <f t="shared" si="85"/>
        <v>600</v>
      </c>
      <c r="L601" s="78">
        <v>46112</v>
      </c>
      <c r="M601" s="103"/>
      <c r="N601" s="93" t="s">
        <v>373</v>
      </c>
      <c r="O601" s="94">
        <v>46146</v>
      </c>
      <c r="P601" s="104">
        <f t="shared" si="87"/>
        <v>600</v>
      </c>
      <c r="Q601" s="104">
        <f t="shared" si="88"/>
        <v>600</v>
      </c>
      <c r="R601" s="104"/>
      <c r="S601" s="93" t="s">
        <v>374</v>
      </c>
      <c r="T601" s="94">
        <v>46156</v>
      </c>
      <c r="U601" s="104">
        <f t="shared" si="89"/>
        <v>600</v>
      </c>
      <c r="V601" s="104">
        <f t="shared" si="90"/>
        <v>1</v>
      </c>
      <c r="W601" s="103">
        <f t="shared" si="91"/>
        <v>600</v>
      </c>
      <c r="X601" s="93" t="s">
        <v>89</v>
      </c>
      <c r="Y601" s="105" t="s">
        <v>84</v>
      </c>
      <c r="Z601" s="105" t="s">
        <v>93</v>
      </c>
    </row>
    <row r="602" spans="1:26" s="105" customFormat="1" ht="15" customHeight="1">
      <c r="A602" s="99">
        <f t="shared" si="86"/>
        <v>600</v>
      </c>
      <c r="B602" s="75" t="s">
        <v>568</v>
      </c>
      <c r="C602" s="100" t="str">
        <f>IF($B602&lt;&gt;"",_xlfn.IFNA(VLOOKUP($B602,'Node Details'!$B:$U,C$1,0),"Check"),"")</f>
        <v>AXW200107-AXW200203</v>
      </c>
      <c r="D602" s="100" t="str">
        <f>IF($B602&lt;&gt;"",_xlfn.IFNA(VLOOKUP($B602,'Node Details'!$B:$U,D$1,0),"Check"),"")</f>
        <v>AXW</v>
      </c>
      <c r="E602" s="100" t="str">
        <f>IF($B602&lt;&gt;"",_xlfn.IFNA(VLOOKUP($B602,'Node Details'!$B:$U,E$1,0),"Check"),"")</f>
        <v>Airtel</v>
      </c>
      <c r="F602" s="101">
        <v>46114</v>
      </c>
      <c r="G602" s="103"/>
      <c r="H602" s="102" t="s">
        <v>1254</v>
      </c>
      <c r="I602" s="9">
        <v>1</v>
      </c>
      <c r="J602" s="9">
        <v>600</v>
      </c>
      <c r="K602" s="100">
        <f t="shared" si="85"/>
        <v>600</v>
      </c>
      <c r="L602" s="78">
        <v>46112</v>
      </c>
      <c r="M602" s="103"/>
      <c r="N602" s="93" t="s">
        <v>373</v>
      </c>
      <c r="O602" s="94">
        <v>46146</v>
      </c>
      <c r="P602" s="104">
        <f t="shared" si="87"/>
        <v>600</v>
      </c>
      <c r="Q602" s="104">
        <f t="shared" si="88"/>
        <v>600</v>
      </c>
      <c r="R602" s="104"/>
      <c r="S602" s="93" t="s">
        <v>374</v>
      </c>
      <c r="T602" s="94">
        <v>46156</v>
      </c>
      <c r="U602" s="104">
        <f t="shared" si="89"/>
        <v>600</v>
      </c>
      <c r="V602" s="104">
        <f t="shared" si="90"/>
        <v>1</v>
      </c>
      <c r="W602" s="103">
        <f t="shared" si="91"/>
        <v>600</v>
      </c>
      <c r="X602" s="93" t="s">
        <v>89</v>
      </c>
      <c r="Y602" s="105" t="s">
        <v>84</v>
      </c>
      <c r="Z602" s="105" t="s">
        <v>93</v>
      </c>
    </row>
    <row r="603" spans="1:26" s="105" customFormat="1" ht="15" customHeight="1">
      <c r="A603" s="99">
        <f t="shared" si="86"/>
        <v>601</v>
      </c>
      <c r="B603" s="75" t="s">
        <v>571</v>
      </c>
      <c r="C603" s="100" t="str">
        <f>IF($B603&lt;&gt;"",_xlfn.IFNA(VLOOKUP($B603,'Node Details'!$B:$U,C$1,0),"Check"),"")</f>
        <v>0000AXW20-AXW200204</v>
      </c>
      <c r="D603" s="100" t="str">
        <f>IF($B603&lt;&gt;"",_xlfn.IFNA(VLOOKUP($B603,'Node Details'!$B:$U,D$1,0),"Check"),"")</f>
        <v>AXW</v>
      </c>
      <c r="E603" s="100" t="str">
        <f>IF($B603&lt;&gt;"",_xlfn.IFNA(VLOOKUP($B603,'Node Details'!$B:$U,E$1,0),"Check"),"")</f>
        <v>Airtel</v>
      </c>
      <c r="F603" s="101">
        <v>46114</v>
      </c>
      <c r="G603" s="103"/>
      <c r="H603" s="102" t="s">
        <v>1254</v>
      </c>
      <c r="I603" s="9">
        <v>1</v>
      </c>
      <c r="J603" s="9">
        <v>600</v>
      </c>
      <c r="K603" s="100">
        <f t="shared" si="85"/>
        <v>600</v>
      </c>
      <c r="L603" s="78">
        <v>46112</v>
      </c>
      <c r="M603" s="103"/>
      <c r="N603" s="93" t="s">
        <v>373</v>
      </c>
      <c r="O603" s="94">
        <v>46146</v>
      </c>
      <c r="P603" s="104">
        <f t="shared" si="87"/>
        <v>600</v>
      </c>
      <c r="Q603" s="104">
        <f t="shared" si="88"/>
        <v>600</v>
      </c>
      <c r="R603" s="104"/>
      <c r="S603" s="93" t="s">
        <v>374</v>
      </c>
      <c r="T603" s="94">
        <v>46156</v>
      </c>
      <c r="U603" s="104">
        <f t="shared" si="89"/>
        <v>600</v>
      </c>
      <c r="V603" s="104">
        <f t="shared" si="90"/>
        <v>1</v>
      </c>
      <c r="W603" s="103">
        <f t="shared" si="91"/>
        <v>600</v>
      </c>
      <c r="X603" s="93" t="s">
        <v>89</v>
      </c>
      <c r="Y603" s="105" t="s">
        <v>84</v>
      </c>
      <c r="Z603" s="105" t="s">
        <v>93</v>
      </c>
    </row>
    <row r="604" spans="1:26" s="105" customFormat="1" ht="15" customHeight="1">
      <c r="A604" s="99">
        <f t="shared" si="86"/>
        <v>602</v>
      </c>
      <c r="B604" s="75" t="s">
        <v>575</v>
      </c>
      <c r="C604" s="100" t="str">
        <f>IF($B604&lt;&gt;"",_xlfn.IFNA(VLOOKUP($B604,'Node Details'!$B:$U,C$1,0),"Check"),"")</f>
        <v>0000AXW21-AXW210101</v>
      </c>
      <c r="D604" s="100" t="str">
        <f>IF($B604&lt;&gt;"",_xlfn.IFNA(VLOOKUP($B604,'Node Details'!$B:$U,D$1,0),"Check"),"")</f>
        <v>AXW</v>
      </c>
      <c r="E604" s="100" t="str">
        <f>IF($B604&lt;&gt;"",_xlfn.IFNA(VLOOKUP($B604,'Node Details'!$B:$U,E$1,0),"Check"),"")</f>
        <v>Airtel</v>
      </c>
      <c r="F604" s="101">
        <v>46114</v>
      </c>
      <c r="G604" s="103"/>
      <c r="H604" s="102" t="s">
        <v>1254</v>
      </c>
      <c r="I604" s="9">
        <v>1</v>
      </c>
      <c r="J604" s="9">
        <v>600</v>
      </c>
      <c r="K604" s="100">
        <f t="shared" si="85"/>
        <v>600</v>
      </c>
      <c r="L604" s="78">
        <v>46112</v>
      </c>
      <c r="M604" s="103"/>
      <c r="N604" s="93" t="s">
        <v>373</v>
      </c>
      <c r="O604" s="94">
        <v>46146</v>
      </c>
      <c r="P604" s="104">
        <f t="shared" si="87"/>
        <v>600</v>
      </c>
      <c r="Q604" s="104">
        <f t="shared" si="88"/>
        <v>600</v>
      </c>
      <c r="R604" s="104"/>
      <c r="S604" s="93" t="s">
        <v>374</v>
      </c>
      <c r="T604" s="94">
        <v>46156</v>
      </c>
      <c r="U604" s="104">
        <f t="shared" si="89"/>
        <v>600</v>
      </c>
      <c r="V604" s="104">
        <f t="shared" si="90"/>
        <v>1</v>
      </c>
      <c r="W604" s="103">
        <f t="shared" si="91"/>
        <v>600</v>
      </c>
      <c r="X604" s="93" t="s">
        <v>89</v>
      </c>
      <c r="Y604" s="105" t="s">
        <v>84</v>
      </c>
      <c r="Z604" s="105" t="s">
        <v>93</v>
      </c>
    </row>
    <row r="605" spans="1:26" s="105" customFormat="1" ht="15" customHeight="1">
      <c r="A605" s="99">
        <f t="shared" si="86"/>
        <v>603</v>
      </c>
      <c r="B605" s="75" t="s">
        <v>578</v>
      </c>
      <c r="C605" s="100" t="str">
        <f>IF($B605&lt;&gt;"",_xlfn.IFNA(VLOOKUP($B605,'Node Details'!$B:$U,C$1,0),"Check"),"")</f>
        <v>0000AXW21-AXW210102</v>
      </c>
      <c r="D605" s="100" t="str">
        <f>IF($B605&lt;&gt;"",_xlfn.IFNA(VLOOKUP($B605,'Node Details'!$B:$U,D$1,0),"Check"),"")</f>
        <v>AXW</v>
      </c>
      <c r="E605" s="100" t="str">
        <f>IF($B605&lt;&gt;"",_xlfn.IFNA(VLOOKUP($B605,'Node Details'!$B:$U,E$1,0),"Check"),"")</f>
        <v>Airtel</v>
      </c>
      <c r="F605" s="101">
        <v>46114</v>
      </c>
      <c r="G605" s="103"/>
      <c r="H605" s="102" t="s">
        <v>1254</v>
      </c>
      <c r="I605" s="9">
        <v>1</v>
      </c>
      <c r="J605" s="9">
        <v>600</v>
      </c>
      <c r="K605" s="100">
        <f t="shared" si="85"/>
        <v>600</v>
      </c>
      <c r="L605" s="78">
        <v>46112</v>
      </c>
      <c r="M605" s="103"/>
      <c r="N605" s="93" t="s">
        <v>373</v>
      </c>
      <c r="O605" s="94">
        <v>46146</v>
      </c>
      <c r="P605" s="104">
        <f t="shared" si="87"/>
        <v>600</v>
      </c>
      <c r="Q605" s="104">
        <f t="shared" si="88"/>
        <v>600</v>
      </c>
      <c r="R605" s="104"/>
      <c r="S605" s="93" t="s">
        <v>374</v>
      </c>
      <c r="T605" s="94">
        <v>46156</v>
      </c>
      <c r="U605" s="104">
        <f t="shared" si="89"/>
        <v>600</v>
      </c>
      <c r="V605" s="104">
        <f t="shared" si="90"/>
        <v>1</v>
      </c>
      <c r="W605" s="103">
        <f t="shared" si="91"/>
        <v>600</v>
      </c>
      <c r="X605" s="93" t="s">
        <v>89</v>
      </c>
      <c r="Y605" s="105" t="s">
        <v>84</v>
      </c>
      <c r="Z605" s="105" t="s">
        <v>93</v>
      </c>
    </row>
    <row r="606" spans="1:26" s="105" customFormat="1" ht="15" customHeight="1">
      <c r="A606" s="99">
        <f t="shared" si="86"/>
        <v>604</v>
      </c>
      <c r="B606" s="75" t="s">
        <v>587</v>
      </c>
      <c r="C606" s="100" t="str">
        <f>IF($B606&lt;&gt;"",_xlfn.IFNA(VLOOKUP($B606,'Node Details'!$B:$U,C$1,0),"Check"),"")</f>
        <v>0000AXW21-AXW210105</v>
      </c>
      <c r="D606" s="100" t="str">
        <f>IF($B606&lt;&gt;"",_xlfn.IFNA(VLOOKUP($B606,'Node Details'!$B:$U,D$1,0),"Check"),"")</f>
        <v>AXW</v>
      </c>
      <c r="E606" s="100" t="str">
        <f>IF($B606&lt;&gt;"",_xlfn.IFNA(VLOOKUP($B606,'Node Details'!$B:$U,E$1,0),"Check"),"")</f>
        <v>Airtel</v>
      </c>
      <c r="F606" s="101">
        <v>46114</v>
      </c>
      <c r="G606" s="103"/>
      <c r="H606" s="102" t="s">
        <v>1254</v>
      </c>
      <c r="I606" s="9">
        <v>1</v>
      </c>
      <c r="J606" s="9">
        <v>600</v>
      </c>
      <c r="K606" s="100">
        <f t="shared" si="85"/>
        <v>600</v>
      </c>
      <c r="L606" s="78">
        <v>46112</v>
      </c>
      <c r="M606" s="103"/>
      <c r="N606" s="93" t="s">
        <v>373</v>
      </c>
      <c r="O606" s="94">
        <v>46146</v>
      </c>
      <c r="P606" s="104">
        <f t="shared" si="87"/>
        <v>600</v>
      </c>
      <c r="Q606" s="104">
        <f t="shared" si="88"/>
        <v>600</v>
      </c>
      <c r="R606" s="104"/>
      <c r="S606" s="93" t="s">
        <v>374</v>
      </c>
      <c r="T606" s="94">
        <v>46156</v>
      </c>
      <c r="U606" s="104">
        <f t="shared" si="89"/>
        <v>600</v>
      </c>
      <c r="V606" s="104">
        <f t="shared" si="90"/>
        <v>1</v>
      </c>
      <c r="W606" s="103">
        <f t="shared" si="91"/>
        <v>600</v>
      </c>
      <c r="X606" s="93" t="s">
        <v>89</v>
      </c>
      <c r="Y606" s="105" t="s">
        <v>84</v>
      </c>
      <c r="Z606" s="105" t="s">
        <v>93</v>
      </c>
    </row>
    <row r="607" spans="1:26" s="105" customFormat="1" ht="15" customHeight="1">
      <c r="A607" s="99">
        <f t="shared" si="86"/>
        <v>605</v>
      </c>
      <c r="B607" s="75" t="s">
        <v>1122</v>
      </c>
      <c r="C607" s="100" t="str">
        <f>IF($B607&lt;&gt;"",_xlfn.IFNA(VLOOKUP($B607,'Node Details'!$B:$U,C$1,0),"Check"),"")</f>
        <v>0000AXW21-AXW210105</v>
      </c>
      <c r="D607" s="100" t="str">
        <f>IF($B607&lt;&gt;"",_xlfn.IFNA(VLOOKUP($B607,'Node Details'!$B:$U,D$1,0),"Check"),"")</f>
        <v>AXW</v>
      </c>
      <c r="E607" s="100" t="str">
        <f>IF($B607&lt;&gt;"",_xlfn.IFNA(VLOOKUP($B607,'Node Details'!$B:$U,E$1,0),"Check"),"")</f>
        <v>Airtel</v>
      </c>
      <c r="F607" s="101">
        <v>46114</v>
      </c>
      <c r="G607" s="103"/>
      <c r="H607" s="102" t="s">
        <v>1254</v>
      </c>
      <c r="I607" s="9">
        <v>1</v>
      </c>
      <c r="J607" s="9">
        <v>600</v>
      </c>
      <c r="K607" s="100">
        <f t="shared" si="85"/>
        <v>600</v>
      </c>
      <c r="L607" s="78">
        <v>46112</v>
      </c>
      <c r="M607" s="103"/>
      <c r="N607" s="93" t="s">
        <v>373</v>
      </c>
      <c r="O607" s="94">
        <v>46146</v>
      </c>
      <c r="P607" s="104">
        <f t="shared" si="87"/>
        <v>600</v>
      </c>
      <c r="Q607" s="104">
        <f t="shared" si="88"/>
        <v>600</v>
      </c>
      <c r="R607" s="104"/>
      <c r="S607" s="93" t="s">
        <v>374</v>
      </c>
      <c r="T607" s="94">
        <v>46156</v>
      </c>
      <c r="U607" s="104">
        <f t="shared" si="89"/>
        <v>600</v>
      </c>
      <c r="V607" s="104">
        <f t="shared" si="90"/>
        <v>1</v>
      </c>
      <c r="W607" s="103">
        <f t="shared" si="91"/>
        <v>600</v>
      </c>
      <c r="X607" s="93" t="s">
        <v>89</v>
      </c>
      <c r="Y607" s="105" t="s">
        <v>84</v>
      </c>
      <c r="Z607" s="105" t="s">
        <v>93</v>
      </c>
    </row>
    <row r="608" spans="1:26" s="105" customFormat="1" ht="15" customHeight="1">
      <c r="A608" s="99">
        <f t="shared" si="86"/>
        <v>606</v>
      </c>
      <c r="B608" s="75" t="s">
        <v>581</v>
      </c>
      <c r="C608" s="100" t="str">
        <f>IF($B608&lt;&gt;"",_xlfn.IFNA(VLOOKUP($B608,'Node Details'!$B:$U,C$1,0),"Check"),"")</f>
        <v>0000AXW21-AXW210105</v>
      </c>
      <c r="D608" s="100" t="str">
        <f>IF($B608&lt;&gt;"",_xlfn.IFNA(VLOOKUP($B608,'Node Details'!$B:$U,D$1,0),"Check"),"")</f>
        <v>AXW</v>
      </c>
      <c r="E608" s="100" t="str">
        <f>IF($B608&lt;&gt;"",_xlfn.IFNA(VLOOKUP($B608,'Node Details'!$B:$U,E$1,0),"Check"),"")</f>
        <v>Airtel</v>
      </c>
      <c r="F608" s="101">
        <v>46114</v>
      </c>
      <c r="G608" s="103"/>
      <c r="H608" s="102" t="s">
        <v>1254</v>
      </c>
      <c r="I608" s="9">
        <v>1</v>
      </c>
      <c r="J608" s="9">
        <v>600</v>
      </c>
      <c r="K608" s="100">
        <f t="shared" si="85"/>
        <v>600</v>
      </c>
      <c r="L608" s="78">
        <v>46112</v>
      </c>
      <c r="M608" s="103"/>
      <c r="N608" s="93" t="s">
        <v>373</v>
      </c>
      <c r="O608" s="94">
        <v>46146</v>
      </c>
      <c r="P608" s="104">
        <f t="shared" si="87"/>
        <v>600</v>
      </c>
      <c r="Q608" s="104">
        <f t="shared" si="88"/>
        <v>600</v>
      </c>
      <c r="R608" s="104"/>
      <c r="S608" s="93" t="s">
        <v>374</v>
      </c>
      <c r="T608" s="94">
        <v>46156</v>
      </c>
      <c r="U608" s="104">
        <f t="shared" si="89"/>
        <v>600</v>
      </c>
      <c r="V608" s="104">
        <f t="shared" si="90"/>
        <v>1</v>
      </c>
      <c r="W608" s="103">
        <f t="shared" si="91"/>
        <v>600</v>
      </c>
      <c r="X608" s="93" t="s">
        <v>89</v>
      </c>
      <c r="Y608" s="105" t="s">
        <v>84</v>
      </c>
      <c r="Z608" s="105" t="s">
        <v>93</v>
      </c>
    </row>
    <row r="609" spans="1:26" s="105" customFormat="1" ht="15" customHeight="1">
      <c r="A609" s="99">
        <f t="shared" si="86"/>
        <v>607</v>
      </c>
      <c r="B609" s="75" t="s">
        <v>1123</v>
      </c>
      <c r="C609" s="100" t="str">
        <f>IF($B609&lt;&gt;"",_xlfn.IFNA(VLOOKUP($B609,'Node Details'!$B:$U,C$1,0),"Check"),"")</f>
        <v>AXW210105-AXW210107</v>
      </c>
      <c r="D609" s="100" t="str">
        <f>IF($B609&lt;&gt;"",_xlfn.IFNA(VLOOKUP($B609,'Node Details'!$B:$U,D$1,0),"Check"),"")</f>
        <v>AXW</v>
      </c>
      <c r="E609" s="100" t="str">
        <f>IF($B609&lt;&gt;"",_xlfn.IFNA(VLOOKUP($B609,'Node Details'!$B:$U,E$1,0),"Check"),"")</f>
        <v>Airtel</v>
      </c>
      <c r="F609" s="101">
        <v>46114</v>
      </c>
      <c r="G609" s="103"/>
      <c r="H609" s="102" t="s">
        <v>1254</v>
      </c>
      <c r="I609" s="9">
        <v>1</v>
      </c>
      <c r="J609" s="9">
        <v>600</v>
      </c>
      <c r="K609" s="100">
        <f t="shared" si="85"/>
        <v>600</v>
      </c>
      <c r="L609" s="78">
        <v>46112</v>
      </c>
      <c r="M609" s="103"/>
      <c r="N609" s="93" t="s">
        <v>373</v>
      </c>
      <c r="O609" s="94">
        <v>46146</v>
      </c>
      <c r="P609" s="104">
        <f t="shared" si="87"/>
        <v>600</v>
      </c>
      <c r="Q609" s="104">
        <f t="shared" si="88"/>
        <v>600</v>
      </c>
      <c r="R609" s="104"/>
      <c r="S609" s="93" t="s">
        <v>374</v>
      </c>
      <c r="T609" s="94">
        <v>46156</v>
      </c>
      <c r="U609" s="104">
        <f t="shared" si="89"/>
        <v>600</v>
      </c>
      <c r="V609" s="104">
        <f t="shared" si="90"/>
        <v>1</v>
      </c>
      <c r="W609" s="103">
        <f t="shared" si="91"/>
        <v>600</v>
      </c>
      <c r="X609" s="93" t="s">
        <v>89</v>
      </c>
      <c r="Y609" s="105" t="s">
        <v>84</v>
      </c>
      <c r="Z609" s="105" t="s">
        <v>93</v>
      </c>
    </row>
    <row r="610" spans="1:26" s="105" customFormat="1" ht="15" customHeight="1">
      <c r="A610" s="99">
        <f t="shared" si="86"/>
        <v>608</v>
      </c>
      <c r="B610" s="75" t="s">
        <v>584</v>
      </c>
      <c r="C610" s="100" t="str">
        <f>IF($B610&lt;&gt;"",_xlfn.IFNA(VLOOKUP($B610,'Node Details'!$B:$U,C$1,0),"Check"),"")</f>
        <v>AXW210105-AXW210107</v>
      </c>
      <c r="D610" s="100" t="str">
        <f>IF($B610&lt;&gt;"",_xlfn.IFNA(VLOOKUP($B610,'Node Details'!$B:$U,D$1,0),"Check"),"")</f>
        <v>AXW</v>
      </c>
      <c r="E610" s="100" t="str">
        <f>IF($B610&lt;&gt;"",_xlfn.IFNA(VLOOKUP($B610,'Node Details'!$B:$U,E$1,0),"Check"),"")</f>
        <v>Airtel</v>
      </c>
      <c r="F610" s="101">
        <v>46114</v>
      </c>
      <c r="G610" s="103"/>
      <c r="H610" s="102" t="s">
        <v>1254</v>
      </c>
      <c r="I610" s="9">
        <v>1</v>
      </c>
      <c r="J610" s="9">
        <v>600</v>
      </c>
      <c r="K610" s="100">
        <f t="shared" si="85"/>
        <v>600</v>
      </c>
      <c r="L610" s="78">
        <v>46112</v>
      </c>
      <c r="M610" s="103"/>
      <c r="N610" s="93" t="s">
        <v>373</v>
      </c>
      <c r="O610" s="94">
        <v>46146</v>
      </c>
      <c r="P610" s="104">
        <f t="shared" si="87"/>
        <v>600</v>
      </c>
      <c r="Q610" s="104">
        <f t="shared" si="88"/>
        <v>600</v>
      </c>
      <c r="R610" s="104"/>
      <c r="S610" s="93" t="s">
        <v>374</v>
      </c>
      <c r="T610" s="94">
        <v>46156</v>
      </c>
      <c r="U610" s="104">
        <f t="shared" si="89"/>
        <v>600</v>
      </c>
      <c r="V610" s="104">
        <f t="shared" si="90"/>
        <v>1</v>
      </c>
      <c r="W610" s="103">
        <f t="shared" si="91"/>
        <v>600</v>
      </c>
      <c r="X610" s="93" t="s">
        <v>89</v>
      </c>
      <c r="Y610" s="105" t="s">
        <v>84</v>
      </c>
      <c r="Z610" s="105" t="s">
        <v>93</v>
      </c>
    </row>
    <row r="611" spans="1:26" s="105" customFormat="1" ht="15" customHeight="1">
      <c r="A611" s="99">
        <f t="shared" si="86"/>
        <v>609</v>
      </c>
      <c r="B611" s="75" t="s">
        <v>588</v>
      </c>
      <c r="C611" s="100" t="str">
        <f>IF($B611&lt;&gt;"",_xlfn.IFNA(VLOOKUP($B611,'Node Details'!$B:$U,C$1,0),"Check"),"")</f>
        <v>AXW210103-AXW210108</v>
      </c>
      <c r="D611" s="100" t="str">
        <f>IF($B611&lt;&gt;"",_xlfn.IFNA(VLOOKUP($B611,'Node Details'!$B:$U,D$1,0),"Check"),"")</f>
        <v>AXW</v>
      </c>
      <c r="E611" s="100" t="str">
        <f>IF($B611&lt;&gt;"",_xlfn.IFNA(VLOOKUP($B611,'Node Details'!$B:$U,E$1,0),"Check"),"")</f>
        <v>Airtel</v>
      </c>
      <c r="F611" s="101">
        <v>46114</v>
      </c>
      <c r="G611" s="103"/>
      <c r="H611" s="102" t="s">
        <v>1254</v>
      </c>
      <c r="I611" s="9">
        <v>1</v>
      </c>
      <c r="J611" s="9">
        <v>600</v>
      </c>
      <c r="K611" s="100">
        <f t="shared" si="85"/>
        <v>600</v>
      </c>
      <c r="L611" s="78">
        <v>46112</v>
      </c>
      <c r="M611" s="103"/>
      <c r="N611" s="93" t="s">
        <v>373</v>
      </c>
      <c r="O611" s="94">
        <v>46146</v>
      </c>
      <c r="P611" s="104">
        <f t="shared" si="87"/>
        <v>600</v>
      </c>
      <c r="Q611" s="104">
        <f t="shared" si="88"/>
        <v>600</v>
      </c>
      <c r="R611" s="104"/>
      <c r="S611" s="93" t="s">
        <v>374</v>
      </c>
      <c r="T611" s="94">
        <v>46156</v>
      </c>
      <c r="U611" s="104">
        <f t="shared" si="89"/>
        <v>600</v>
      </c>
      <c r="V611" s="104">
        <f t="shared" si="90"/>
        <v>1</v>
      </c>
      <c r="W611" s="103">
        <f t="shared" si="91"/>
        <v>600</v>
      </c>
      <c r="X611" s="93" t="s">
        <v>89</v>
      </c>
      <c r="Y611" s="105" t="s">
        <v>84</v>
      </c>
      <c r="Z611" s="105" t="s">
        <v>93</v>
      </c>
    </row>
    <row r="612" spans="1:26" s="105" customFormat="1" ht="15" customHeight="1">
      <c r="A612" s="99">
        <f t="shared" si="86"/>
        <v>610</v>
      </c>
      <c r="B612" s="75" t="s">
        <v>591</v>
      </c>
      <c r="C612" s="100" t="str">
        <f>IF($B612&lt;&gt;"",_xlfn.IFNA(VLOOKUP($B612,'Node Details'!$B:$U,C$1,0),"Check"),"")</f>
        <v>0000AXW21-AXW210201</v>
      </c>
      <c r="D612" s="100" t="str">
        <f>IF($B612&lt;&gt;"",_xlfn.IFNA(VLOOKUP($B612,'Node Details'!$B:$U,D$1,0),"Check"),"")</f>
        <v>AXW</v>
      </c>
      <c r="E612" s="100" t="str">
        <f>IF($B612&lt;&gt;"",_xlfn.IFNA(VLOOKUP($B612,'Node Details'!$B:$U,E$1,0),"Check"),"")</f>
        <v>Airtel</v>
      </c>
      <c r="F612" s="101">
        <v>46114</v>
      </c>
      <c r="G612" s="103"/>
      <c r="H612" s="102" t="s">
        <v>1254</v>
      </c>
      <c r="I612" s="9">
        <v>1</v>
      </c>
      <c r="J612" s="9">
        <v>600</v>
      </c>
      <c r="K612" s="100">
        <f t="shared" si="85"/>
        <v>600</v>
      </c>
      <c r="L612" s="78">
        <v>46112</v>
      </c>
      <c r="M612" s="103"/>
      <c r="N612" s="93" t="s">
        <v>373</v>
      </c>
      <c r="O612" s="94">
        <v>46146</v>
      </c>
      <c r="P612" s="104">
        <f t="shared" si="87"/>
        <v>600</v>
      </c>
      <c r="Q612" s="104">
        <f t="shared" si="88"/>
        <v>600</v>
      </c>
      <c r="R612" s="104"/>
      <c r="S612" s="93" t="s">
        <v>374</v>
      </c>
      <c r="T612" s="94">
        <v>46156</v>
      </c>
      <c r="U612" s="104">
        <f t="shared" si="89"/>
        <v>600</v>
      </c>
      <c r="V612" s="104">
        <f t="shared" si="90"/>
        <v>1</v>
      </c>
      <c r="W612" s="103">
        <f t="shared" si="91"/>
        <v>600</v>
      </c>
      <c r="X612" s="93" t="s">
        <v>89</v>
      </c>
      <c r="Y612" s="105" t="s">
        <v>84</v>
      </c>
      <c r="Z612" s="105" t="s">
        <v>93</v>
      </c>
    </row>
    <row r="613" spans="1:26" s="105" customFormat="1" ht="15" customHeight="1">
      <c r="A613" s="99">
        <f t="shared" si="86"/>
        <v>611</v>
      </c>
      <c r="B613" s="75" t="s">
        <v>1124</v>
      </c>
      <c r="C613" s="100" t="str">
        <f>IF($B613&lt;&gt;"",_xlfn.IFNA(VLOOKUP($B613,'Node Details'!$B:$U,C$1,0),"Check"),"")</f>
        <v>0000AXW22-AXW220103</v>
      </c>
      <c r="D613" s="100" t="str">
        <f>IF($B613&lt;&gt;"",_xlfn.IFNA(VLOOKUP($B613,'Node Details'!$B:$U,D$1,0),"Check"),"")</f>
        <v>AXW</v>
      </c>
      <c r="E613" s="100" t="str">
        <f>IF($B613&lt;&gt;"",_xlfn.IFNA(VLOOKUP($B613,'Node Details'!$B:$U,E$1,0),"Check"),"")</f>
        <v>Airtel</v>
      </c>
      <c r="F613" s="101">
        <v>46114</v>
      </c>
      <c r="G613" s="103"/>
      <c r="H613" s="102" t="s">
        <v>1254</v>
      </c>
      <c r="I613" s="9">
        <v>1</v>
      </c>
      <c r="J613" s="9">
        <v>600</v>
      </c>
      <c r="K613" s="100">
        <f t="shared" si="85"/>
        <v>600</v>
      </c>
      <c r="L613" s="78">
        <v>46112</v>
      </c>
      <c r="M613" s="103"/>
      <c r="N613" s="93" t="s">
        <v>373</v>
      </c>
      <c r="O613" s="94">
        <v>46146</v>
      </c>
      <c r="P613" s="104">
        <f t="shared" si="87"/>
        <v>600</v>
      </c>
      <c r="Q613" s="104">
        <f t="shared" si="88"/>
        <v>600</v>
      </c>
      <c r="R613" s="104"/>
      <c r="S613" s="93" t="s">
        <v>374</v>
      </c>
      <c r="T613" s="94">
        <v>46156</v>
      </c>
      <c r="U613" s="104">
        <f t="shared" si="89"/>
        <v>600</v>
      </c>
      <c r="V613" s="104">
        <f t="shared" si="90"/>
        <v>1</v>
      </c>
      <c r="W613" s="103">
        <f t="shared" si="91"/>
        <v>600</v>
      </c>
      <c r="X613" s="93" t="s">
        <v>89</v>
      </c>
      <c r="Y613" s="105" t="s">
        <v>84</v>
      </c>
      <c r="Z613" s="105" t="s">
        <v>93</v>
      </c>
    </row>
    <row r="614" spans="1:26" s="105" customFormat="1" ht="15" customHeight="1">
      <c r="A614" s="99">
        <f t="shared" si="86"/>
        <v>612</v>
      </c>
      <c r="B614" s="75" t="s">
        <v>594</v>
      </c>
      <c r="C614" s="100" t="str">
        <f>IF($B614&lt;&gt;"",_xlfn.IFNA(VLOOKUP($B614,'Node Details'!$B:$U,C$1,0),"Check"),"")</f>
        <v>0000AXW22-AXW220103</v>
      </c>
      <c r="D614" s="100" t="str">
        <f>IF($B614&lt;&gt;"",_xlfn.IFNA(VLOOKUP($B614,'Node Details'!$B:$U,D$1,0),"Check"),"")</f>
        <v>AXW</v>
      </c>
      <c r="E614" s="100" t="str">
        <f>IF($B614&lt;&gt;"",_xlfn.IFNA(VLOOKUP($B614,'Node Details'!$B:$U,E$1,0),"Check"),"")</f>
        <v>Airtel</v>
      </c>
      <c r="F614" s="101">
        <v>46114</v>
      </c>
      <c r="G614" s="103"/>
      <c r="H614" s="102" t="s">
        <v>1254</v>
      </c>
      <c r="I614" s="9">
        <v>1</v>
      </c>
      <c r="J614" s="9">
        <v>600</v>
      </c>
      <c r="K614" s="100">
        <f t="shared" si="85"/>
        <v>600</v>
      </c>
      <c r="L614" s="78">
        <v>46112</v>
      </c>
      <c r="M614" s="103"/>
      <c r="N614" s="93" t="s">
        <v>373</v>
      </c>
      <c r="O614" s="94">
        <v>46146</v>
      </c>
      <c r="P614" s="104">
        <f t="shared" si="87"/>
        <v>600</v>
      </c>
      <c r="Q614" s="104">
        <f t="shared" si="88"/>
        <v>600</v>
      </c>
      <c r="R614" s="104"/>
      <c r="S614" s="93" t="s">
        <v>374</v>
      </c>
      <c r="T614" s="94">
        <v>46156</v>
      </c>
      <c r="U614" s="104">
        <f t="shared" si="89"/>
        <v>600</v>
      </c>
      <c r="V614" s="104">
        <f t="shared" si="90"/>
        <v>1</v>
      </c>
      <c r="W614" s="103">
        <f t="shared" si="91"/>
        <v>600</v>
      </c>
      <c r="X614" s="93" t="s">
        <v>89</v>
      </c>
      <c r="Y614" s="105" t="s">
        <v>84</v>
      </c>
      <c r="Z614" s="105" t="s">
        <v>93</v>
      </c>
    </row>
    <row r="615" spans="1:26" s="105" customFormat="1" ht="15" customHeight="1">
      <c r="A615" s="99">
        <f t="shared" si="86"/>
        <v>613</v>
      </c>
      <c r="B615" s="75" t="s">
        <v>597</v>
      </c>
      <c r="C615" s="100" t="str">
        <f>IF($B615&lt;&gt;"",_xlfn.IFNA(VLOOKUP($B615,'Node Details'!$B:$U,C$1,0),"Check"),"")</f>
        <v>0000AXW22-AXW220104</v>
      </c>
      <c r="D615" s="100" t="str">
        <f>IF($B615&lt;&gt;"",_xlfn.IFNA(VLOOKUP($B615,'Node Details'!$B:$U,D$1,0),"Check"),"")</f>
        <v>AXW</v>
      </c>
      <c r="E615" s="100" t="str">
        <f>IF($B615&lt;&gt;"",_xlfn.IFNA(VLOOKUP($B615,'Node Details'!$B:$U,E$1,0),"Check"),"")</f>
        <v>Airtel</v>
      </c>
      <c r="F615" s="101">
        <v>46114</v>
      </c>
      <c r="G615" s="103"/>
      <c r="H615" s="102" t="s">
        <v>1254</v>
      </c>
      <c r="I615" s="9">
        <v>1</v>
      </c>
      <c r="J615" s="9">
        <v>600</v>
      </c>
      <c r="K615" s="100">
        <f t="shared" si="85"/>
        <v>600</v>
      </c>
      <c r="L615" s="78">
        <v>46112</v>
      </c>
      <c r="M615" s="103"/>
      <c r="N615" s="93" t="s">
        <v>373</v>
      </c>
      <c r="O615" s="94">
        <v>46146</v>
      </c>
      <c r="P615" s="104">
        <f t="shared" si="87"/>
        <v>600</v>
      </c>
      <c r="Q615" s="104">
        <f t="shared" si="88"/>
        <v>600</v>
      </c>
      <c r="R615" s="104"/>
      <c r="S615" s="93" t="s">
        <v>374</v>
      </c>
      <c r="T615" s="94">
        <v>46156</v>
      </c>
      <c r="U615" s="104">
        <f t="shared" si="89"/>
        <v>600</v>
      </c>
      <c r="V615" s="104">
        <f t="shared" si="90"/>
        <v>1</v>
      </c>
      <c r="W615" s="103">
        <f t="shared" si="91"/>
        <v>600</v>
      </c>
      <c r="X615" s="93" t="s">
        <v>89</v>
      </c>
      <c r="Y615" s="105" t="s">
        <v>84</v>
      </c>
      <c r="Z615" s="105" t="s">
        <v>93</v>
      </c>
    </row>
    <row r="616" spans="1:26" s="105" customFormat="1" ht="15" customHeight="1">
      <c r="A616" s="99">
        <f t="shared" si="86"/>
        <v>614</v>
      </c>
      <c r="B616" s="75" t="s">
        <v>1125</v>
      </c>
      <c r="C616" s="100" t="str">
        <f>IF($B616&lt;&gt;"",_xlfn.IFNA(VLOOKUP($B616,'Node Details'!$B:$U,C$1,0),"Check"),"")</f>
        <v>AXW220104-AXW220106</v>
      </c>
      <c r="D616" s="100" t="str">
        <f>IF($B616&lt;&gt;"",_xlfn.IFNA(VLOOKUP($B616,'Node Details'!$B:$U,D$1,0),"Check"),"")</f>
        <v>AXW</v>
      </c>
      <c r="E616" s="100" t="str">
        <f>IF($B616&lt;&gt;"",_xlfn.IFNA(VLOOKUP($B616,'Node Details'!$B:$U,E$1,0),"Check"),"")</f>
        <v>Airtel</v>
      </c>
      <c r="F616" s="101">
        <v>46114</v>
      </c>
      <c r="G616" s="103"/>
      <c r="H616" s="102" t="s">
        <v>1254</v>
      </c>
      <c r="I616" s="9">
        <v>1</v>
      </c>
      <c r="J616" s="9">
        <v>600</v>
      </c>
      <c r="K616" s="100">
        <f t="shared" si="85"/>
        <v>600</v>
      </c>
      <c r="L616" s="78">
        <v>46112</v>
      </c>
      <c r="M616" s="103"/>
      <c r="N616" s="93" t="s">
        <v>373</v>
      </c>
      <c r="O616" s="94">
        <v>46146</v>
      </c>
      <c r="P616" s="104">
        <f t="shared" si="87"/>
        <v>600</v>
      </c>
      <c r="Q616" s="104">
        <f t="shared" si="88"/>
        <v>600</v>
      </c>
      <c r="R616" s="104"/>
      <c r="S616" s="93" t="s">
        <v>374</v>
      </c>
      <c r="T616" s="94">
        <v>46156</v>
      </c>
      <c r="U616" s="104">
        <f t="shared" si="89"/>
        <v>600</v>
      </c>
      <c r="V616" s="104">
        <f t="shared" si="90"/>
        <v>1</v>
      </c>
      <c r="W616" s="103">
        <f t="shared" si="91"/>
        <v>600</v>
      </c>
      <c r="X616" s="93" t="s">
        <v>89</v>
      </c>
      <c r="Y616" s="105" t="s">
        <v>84</v>
      </c>
      <c r="Z616" s="105" t="s">
        <v>93</v>
      </c>
    </row>
    <row r="617" spans="1:26" s="105" customFormat="1" ht="15" customHeight="1">
      <c r="A617" s="99">
        <f t="shared" si="86"/>
        <v>615</v>
      </c>
      <c r="B617" s="75" t="s">
        <v>600</v>
      </c>
      <c r="C617" s="100" t="str">
        <f>IF($B617&lt;&gt;"",_xlfn.IFNA(VLOOKUP($B617,'Node Details'!$B:$U,C$1,0),"Check"),"")</f>
        <v>AXW220104-AXW220106</v>
      </c>
      <c r="D617" s="100" t="str">
        <f>IF($B617&lt;&gt;"",_xlfn.IFNA(VLOOKUP($B617,'Node Details'!$B:$U,D$1,0),"Check"),"")</f>
        <v>AXW</v>
      </c>
      <c r="E617" s="100" t="str">
        <f>IF($B617&lt;&gt;"",_xlfn.IFNA(VLOOKUP($B617,'Node Details'!$B:$U,E$1,0),"Check"),"")</f>
        <v>Airtel</v>
      </c>
      <c r="F617" s="101">
        <v>46114</v>
      </c>
      <c r="G617" s="103"/>
      <c r="H617" s="102" t="s">
        <v>1254</v>
      </c>
      <c r="I617" s="9">
        <v>1</v>
      </c>
      <c r="J617" s="9">
        <v>600</v>
      </c>
      <c r="K617" s="100">
        <f t="shared" si="85"/>
        <v>600</v>
      </c>
      <c r="L617" s="78">
        <v>46112</v>
      </c>
      <c r="M617" s="103"/>
      <c r="N617" s="93" t="s">
        <v>373</v>
      </c>
      <c r="O617" s="94">
        <v>46146</v>
      </c>
      <c r="P617" s="104">
        <f t="shared" si="87"/>
        <v>600</v>
      </c>
      <c r="Q617" s="104">
        <f t="shared" si="88"/>
        <v>600</v>
      </c>
      <c r="R617" s="104"/>
      <c r="S617" s="93" t="s">
        <v>374</v>
      </c>
      <c r="T617" s="94">
        <v>46156</v>
      </c>
      <c r="U617" s="104">
        <f t="shared" si="89"/>
        <v>600</v>
      </c>
      <c r="V617" s="104">
        <f t="shared" si="90"/>
        <v>1</v>
      </c>
      <c r="W617" s="103">
        <f t="shared" si="91"/>
        <v>600</v>
      </c>
      <c r="X617" s="93" t="s">
        <v>89</v>
      </c>
      <c r="Y617" s="105" t="s">
        <v>84</v>
      </c>
      <c r="Z617" s="105" t="s">
        <v>93</v>
      </c>
    </row>
    <row r="618" spans="1:26" s="105" customFormat="1" ht="15" customHeight="1">
      <c r="A618" s="99">
        <f t="shared" si="86"/>
        <v>616</v>
      </c>
      <c r="B618" s="75" t="s">
        <v>603</v>
      </c>
      <c r="C618" s="100" t="str">
        <f>IF($B618&lt;&gt;"",_xlfn.IFNA(VLOOKUP($B618,'Node Details'!$B:$U,C$1,0),"Check"),"")</f>
        <v>0000AXW22-AXW220107</v>
      </c>
      <c r="D618" s="100" t="str">
        <f>IF($B618&lt;&gt;"",_xlfn.IFNA(VLOOKUP($B618,'Node Details'!$B:$U,D$1,0),"Check"),"")</f>
        <v>AXW</v>
      </c>
      <c r="E618" s="100" t="str">
        <f>IF($B618&lt;&gt;"",_xlfn.IFNA(VLOOKUP($B618,'Node Details'!$B:$U,E$1,0),"Check"),"")</f>
        <v>Airtel</v>
      </c>
      <c r="F618" s="101">
        <v>46114</v>
      </c>
      <c r="G618" s="103"/>
      <c r="H618" s="102" t="s">
        <v>1254</v>
      </c>
      <c r="I618" s="9">
        <v>1</v>
      </c>
      <c r="J618" s="9">
        <v>600</v>
      </c>
      <c r="K618" s="100">
        <f t="shared" si="85"/>
        <v>600</v>
      </c>
      <c r="L618" s="78">
        <v>46112</v>
      </c>
      <c r="M618" s="103"/>
      <c r="N618" s="93" t="s">
        <v>373</v>
      </c>
      <c r="O618" s="94">
        <v>46146</v>
      </c>
      <c r="P618" s="104">
        <f t="shared" si="87"/>
        <v>600</v>
      </c>
      <c r="Q618" s="104">
        <f t="shared" si="88"/>
        <v>600</v>
      </c>
      <c r="R618" s="104"/>
      <c r="S618" s="93" t="s">
        <v>374</v>
      </c>
      <c r="T618" s="94">
        <v>46156</v>
      </c>
      <c r="U618" s="104">
        <f t="shared" si="89"/>
        <v>600</v>
      </c>
      <c r="V618" s="104">
        <f t="shared" si="90"/>
        <v>1</v>
      </c>
      <c r="W618" s="103">
        <f t="shared" si="91"/>
        <v>600</v>
      </c>
      <c r="X618" s="93" t="s">
        <v>89</v>
      </c>
      <c r="Y618" s="105" t="s">
        <v>84</v>
      </c>
      <c r="Z618" s="105" t="s">
        <v>93</v>
      </c>
    </row>
    <row r="619" spans="1:26" s="105" customFormat="1" ht="15" customHeight="1">
      <c r="A619" s="99">
        <f t="shared" si="86"/>
        <v>617</v>
      </c>
      <c r="B619" s="75" t="s">
        <v>1126</v>
      </c>
      <c r="C619" s="100" t="str">
        <f>IF($B619&lt;&gt;"",_xlfn.IFNA(VLOOKUP($B619,'Node Details'!$B:$U,C$1,0),"Check"),"")</f>
        <v>AXW220107-AXW220202</v>
      </c>
      <c r="D619" s="100" t="str">
        <f>IF($B619&lt;&gt;"",_xlfn.IFNA(VLOOKUP($B619,'Node Details'!$B:$U,D$1,0),"Check"),"")</f>
        <v>AXW</v>
      </c>
      <c r="E619" s="100" t="str">
        <f>IF($B619&lt;&gt;"",_xlfn.IFNA(VLOOKUP($B619,'Node Details'!$B:$U,E$1,0),"Check"),"")</f>
        <v>Airtel</v>
      </c>
      <c r="F619" s="101">
        <v>46114</v>
      </c>
      <c r="G619" s="103"/>
      <c r="H619" s="102" t="s">
        <v>1254</v>
      </c>
      <c r="I619" s="9">
        <v>1</v>
      </c>
      <c r="J619" s="9">
        <v>600</v>
      </c>
      <c r="K619" s="100">
        <f t="shared" si="85"/>
        <v>600</v>
      </c>
      <c r="L619" s="78">
        <v>46112</v>
      </c>
      <c r="M619" s="103"/>
      <c r="N619" s="93" t="s">
        <v>373</v>
      </c>
      <c r="O619" s="94">
        <v>46146</v>
      </c>
      <c r="P619" s="104">
        <f t="shared" si="87"/>
        <v>600</v>
      </c>
      <c r="Q619" s="104">
        <f t="shared" si="88"/>
        <v>600</v>
      </c>
      <c r="R619" s="104"/>
      <c r="S619" s="93" t="s">
        <v>374</v>
      </c>
      <c r="T619" s="94">
        <v>46156</v>
      </c>
      <c r="U619" s="104">
        <f t="shared" si="89"/>
        <v>600</v>
      </c>
      <c r="V619" s="104">
        <f t="shared" si="90"/>
        <v>1</v>
      </c>
      <c r="W619" s="103">
        <f t="shared" si="91"/>
        <v>600</v>
      </c>
      <c r="X619" s="93" t="s">
        <v>89</v>
      </c>
      <c r="Y619" s="105" t="s">
        <v>84</v>
      </c>
      <c r="Z619" s="105" t="s">
        <v>93</v>
      </c>
    </row>
    <row r="620" spans="1:26" s="105" customFormat="1" ht="15" customHeight="1">
      <c r="A620" s="99">
        <f t="shared" si="86"/>
        <v>618</v>
      </c>
      <c r="B620" s="75" t="s">
        <v>1127</v>
      </c>
      <c r="C620" s="100" t="str">
        <f>IF($B620&lt;&gt;"",_xlfn.IFNA(VLOOKUP($B620,'Node Details'!$B:$U,C$1,0),"Check"),"")</f>
        <v>AXW220107-AXW220202</v>
      </c>
      <c r="D620" s="100" t="str">
        <f>IF($B620&lt;&gt;"",_xlfn.IFNA(VLOOKUP($B620,'Node Details'!$B:$U,D$1,0),"Check"),"")</f>
        <v>AXW</v>
      </c>
      <c r="E620" s="100" t="str">
        <f>IF($B620&lt;&gt;"",_xlfn.IFNA(VLOOKUP($B620,'Node Details'!$B:$U,E$1,0),"Check"),"")</f>
        <v>Airtel</v>
      </c>
      <c r="F620" s="101">
        <v>46114</v>
      </c>
      <c r="G620" s="103"/>
      <c r="H620" s="102" t="s">
        <v>1254</v>
      </c>
      <c r="I620" s="9">
        <v>1</v>
      </c>
      <c r="J620" s="9">
        <v>600</v>
      </c>
      <c r="K620" s="100">
        <f t="shared" si="85"/>
        <v>600</v>
      </c>
      <c r="L620" s="78">
        <v>46112</v>
      </c>
      <c r="M620" s="103"/>
      <c r="N620" s="93" t="s">
        <v>373</v>
      </c>
      <c r="O620" s="94">
        <v>46146</v>
      </c>
      <c r="P620" s="104">
        <f t="shared" si="87"/>
        <v>600</v>
      </c>
      <c r="Q620" s="104">
        <f t="shared" si="88"/>
        <v>600</v>
      </c>
      <c r="R620" s="104"/>
      <c r="S620" s="93" t="s">
        <v>374</v>
      </c>
      <c r="T620" s="94">
        <v>46156</v>
      </c>
      <c r="U620" s="104">
        <f t="shared" si="89"/>
        <v>600</v>
      </c>
      <c r="V620" s="104">
        <f t="shared" si="90"/>
        <v>1</v>
      </c>
      <c r="W620" s="103">
        <f t="shared" si="91"/>
        <v>600</v>
      </c>
      <c r="X620" s="93" t="s">
        <v>89</v>
      </c>
      <c r="Y620" s="105" t="s">
        <v>84</v>
      </c>
      <c r="Z620" s="105" t="s">
        <v>93</v>
      </c>
    </row>
    <row r="621" spans="1:26" s="105" customFormat="1" ht="15" customHeight="1">
      <c r="A621" s="99">
        <f t="shared" si="86"/>
        <v>619</v>
      </c>
      <c r="B621" s="75" t="s">
        <v>606</v>
      </c>
      <c r="C621" s="100" t="str">
        <f>IF($B621&lt;&gt;"",_xlfn.IFNA(VLOOKUP($B621,'Node Details'!$B:$U,C$1,0),"Check"),"")</f>
        <v>AXW220107-AXW220202</v>
      </c>
      <c r="D621" s="100" t="str">
        <f>IF($B621&lt;&gt;"",_xlfn.IFNA(VLOOKUP($B621,'Node Details'!$B:$U,D$1,0),"Check"),"")</f>
        <v>AXW</v>
      </c>
      <c r="E621" s="100" t="str">
        <f>IF($B621&lt;&gt;"",_xlfn.IFNA(VLOOKUP($B621,'Node Details'!$B:$U,E$1,0),"Check"),"")</f>
        <v>Airtel</v>
      </c>
      <c r="F621" s="101">
        <v>46114</v>
      </c>
      <c r="G621" s="103"/>
      <c r="H621" s="102" t="s">
        <v>1254</v>
      </c>
      <c r="I621" s="9">
        <v>1</v>
      </c>
      <c r="J621" s="9">
        <v>600</v>
      </c>
      <c r="K621" s="100">
        <f t="shared" si="85"/>
        <v>600</v>
      </c>
      <c r="L621" s="78">
        <v>46112</v>
      </c>
      <c r="M621" s="103"/>
      <c r="N621" s="93" t="s">
        <v>373</v>
      </c>
      <c r="O621" s="94">
        <v>46146</v>
      </c>
      <c r="P621" s="104">
        <f t="shared" si="87"/>
        <v>600</v>
      </c>
      <c r="Q621" s="104">
        <f t="shared" si="88"/>
        <v>600</v>
      </c>
      <c r="R621" s="104"/>
      <c r="S621" s="93" t="s">
        <v>374</v>
      </c>
      <c r="T621" s="94">
        <v>46156</v>
      </c>
      <c r="U621" s="104">
        <f t="shared" si="89"/>
        <v>600</v>
      </c>
      <c r="V621" s="104">
        <f t="shared" si="90"/>
        <v>1</v>
      </c>
      <c r="W621" s="103">
        <f t="shared" si="91"/>
        <v>600</v>
      </c>
      <c r="X621" s="93" t="s">
        <v>89</v>
      </c>
      <c r="Y621" s="105" t="s">
        <v>84</v>
      </c>
      <c r="Z621" s="105" t="s">
        <v>93</v>
      </c>
    </row>
    <row r="622" spans="1:26" s="105" customFormat="1" ht="15" customHeight="1">
      <c r="A622" s="99">
        <f t="shared" si="86"/>
        <v>620</v>
      </c>
      <c r="B622" s="75" t="s">
        <v>376</v>
      </c>
      <c r="C622" s="100" t="str">
        <f>IF($B622&lt;&gt;"",_xlfn.IFNA(VLOOKUP($B622,'Node Details'!$B:$U,C$1,0),"Check"),"")</f>
        <v>000000AXW-0000AXW05</v>
      </c>
      <c r="D622" s="100" t="str">
        <f>IF($B622&lt;&gt;"",_xlfn.IFNA(VLOOKUP($B622,'Node Details'!$B:$U,D$1,0),"Check"),"")</f>
        <v>AXW</v>
      </c>
      <c r="E622" s="100" t="str">
        <f>IF($B622&lt;&gt;"",_xlfn.IFNA(VLOOKUP($B622,'Node Details'!$B:$U,E$1,0),"Check"),"")</f>
        <v>Airtel</v>
      </c>
      <c r="F622" s="101">
        <v>46114</v>
      </c>
      <c r="G622" s="103"/>
      <c r="H622" s="102" t="s">
        <v>1255</v>
      </c>
      <c r="I622" s="9">
        <v>1</v>
      </c>
      <c r="J622" s="9">
        <v>600</v>
      </c>
      <c r="K622" s="100">
        <f t="shared" si="85"/>
        <v>600</v>
      </c>
      <c r="L622" s="78">
        <v>46112</v>
      </c>
      <c r="M622" s="103"/>
      <c r="N622" s="93" t="s">
        <v>373</v>
      </c>
      <c r="O622" s="94">
        <v>46146</v>
      </c>
      <c r="P622" s="104">
        <f t="shared" si="87"/>
        <v>600</v>
      </c>
      <c r="Q622" s="104">
        <f t="shared" si="88"/>
        <v>600</v>
      </c>
      <c r="R622" s="104"/>
      <c r="S622" s="93" t="s">
        <v>374</v>
      </c>
      <c r="T622" s="94">
        <v>46156</v>
      </c>
      <c r="U622" s="104">
        <f t="shared" si="89"/>
        <v>600</v>
      </c>
      <c r="V622" s="104">
        <f t="shared" si="90"/>
        <v>1</v>
      </c>
      <c r="W622" s="103">
        <f t="shared" si="91"/>
        <v>600</v>
      </c>
      <c r="X622" s="93" t="s">
        <v>89</v>
      </c>
      <c r="Y622" s="105" t="s">
        <v>84</v>
      </c>
      <c r="Z622" s="105" t="s">
        <v>93</v>
      </c>
    </row>
    <row r="623" spans="1:26" s="105" customFormat="1" ht="15" customHeight="1">
      <c r="A623" s="99">
        <f t="shared" si="86"/>
        <v>621</v>
      </c>
      <c r="B623" s="75" t="s">
        <v>396</v>
      </c>
      <c r="C623" s="100" t="str">
        <f>IF($B623&lt;&gt;"",_xlfn.IFNA(VLOOKUP($B623,'Node Details'!$B:$U,C$1,0),"Check"),"")</f>
        <v>000000AXW-0000AXW05</v>
      </c>
      <c r="D623" s="100" t="str">
        <f>IF($B623&lt;&gt;"",_xlfn.IFNA(VLOOKUP($B623,'Node Details'!$B:$U,D$1,0),"Check"),"")</f>
        <v>AXW</v>
      </c>
      <c r="E623" s="100" t="str">
        <f>IF($B623&lt;&gt;"",_xlfn.IFNA(VLOOKUP($B623,'Node Details'!$B:$U,E$1,0),"Check"),"")</f>
        <v>Airtel</v>
      </c>
      <c r="F623" s="101">
        <v>46114</v>
      </c>
      <c r="G623" s="103"/>
      <c r="H623" s="102" t="s">
        <v>1255</v>
      </c>
      <c r="I623" s="9">
        <v>1</v>
      </c>
      <c r="J623" s="9">
        <v>600</v>
      </c>
      <c r="K623" s="100">
        <f t="shared" si="85"/>
        <v>600</v>
      </c>
      <c r="L623" s="78">
        <v>46112</v>
      </c>
      <c r="M623" s="103"/>
      <c r="N623" s="93" t="s">
        <v>373</v>
      </c>
      <c r="O623" s="94">
        <v>46146</v>
      </c>
      <c r="P623" s="104">
        <f t="shared" si="87"/>
        <v>600</v>
      </c>
      <c r="Q623" s="104">
        <f t="shared" si="88"/>
        <v>600</v>
      </c>
      <c r="R623" s="104"/>
      <c r="S623" s="93" t="s">
        <v>374</v>
      </c>
      <c r="T623" s="94">
        <v>46156</v>
      </c>
      <c r="U623" s="104">
        <f t="shared" si="89"/>
        <v>600</v>
      </c>
      <c r="V623" s="104">
        <f t="shared" si="90"/>
        <v>1</v>
      </c>
      <c r="W623" s="103">
        <f t="shared" si="91"/>
        <v>600</v>
      </c>
      <c r="X623" s="93" t="s">
        <v>89</v>
      </c>
      <c r="Y623" s="105" t="s">
        <v>84</v>
      </c>
      <c r="Z623" s="105" t="s">
        <v>93</v>
      </c>
    </row>
    <row r="624" spans="1:26" s="105" customFormat="1" ht="15" customHeight="1">
      <c r="A624" s="99">
        <f t="shared" si="86"/>
        <v>622</v>
      </c>
      <c r="B624" s="75" t="s">
        <v>407</v>
      </c>
      <c r="C624" s="100" t="str">
        <f>IF($B624&lt;&gt;"",_xlfn.IFNA(VLOOKUP($B624,'Node Details'!$B:$U,C$1,0),"Check"),"")</f>
        <v>000000AXW-0000AXW05</v>
      </c>
      <c r="D624" s="100" t="str">
        <f>IF($B624&lt;&gt;"",_xlfn.IFNA(VLOOKUP($B624,'Node Details'!$B:$U,D$1,0),"Check"),"")</f>
        <v>AXW</v>
      </c>
      <c r="E624" s="100" t="str">
        <f>IF($B624&lt;&gt;"",_xlfn.IFNA(VLOOKUP($B624,'Node Details'!$B:$U,E$1,0),"Check"),"")</f>
        <v>Airtel</v>
      </c>
      <c r="F624" s="101">
        <v>46114</v>
      </c>
      <c r="G624" s="103"/>
      <c r="H624" s="102" t="s">
        <v>1255</v>
      </c>
      <c r="I624" s="9">
        <v>1</v>
      </c>
      <c r="J624" s="9">
        <v>600</v>
      </c>
      <c r="K624" s="100">
        <f t="shared" si="85"/>
        <v>600</v>
      </c>
      <c r="L624" s="78">
        <v>46112</v>
      </c>
      <c r="M624" s="103"/>
      <c r="N624" s="93" t="s">
        <v>373</v>
      </c>
      <c r="O624" s="94">
        <v>46146</v>
      </c>
      <c r="P624" s="104">
        <f t="shared" si="87"/>
        <v>600</v>
      </c>
      <c r="Q624" s="104">
        <f t="shared" si="88"/>
        <v>600</v>
      </c>
      <c r="R624" s="104"/>
      <c r="S624" s="93" t="s">
        <v>374</v>
      </c>
      <c r="T624" s="94">
        <v>46156</v>
      </c>
      <c r="U624" s="104">
        <f t="shared" si="89"/>
        <v>600</v>
      </c>
      <c r="V624" s="104">
        <f t="shared" si="90"/>
        <v>1</v>
      </c>
      <c r="W624" s="103">
        <f t="shared" si="91"/>
        <v>600</v>
      </c>
      <c r="X624" s="93" t="s">
        <v>89</v>
      </c>
      <c r="Y624" s="105" t="s">
        <v>84</v>
      </c>
      <c r="Z624" s="105" t="s">
        <v>93</v>
      </c>
    </row>
    <row r="625" spans="1:26" s="105" customFormat="1" ht="15" customHeight="1">
      <c r="A625" s="99">
        <f t="shared" si="86"/>
        <v>623</v>
      </c>
      <c r="B625" s="75" t="s">
        <v>414</v>
      </c>
      <c r="C625" s="100" t="str">
        <f>IF($B625&lt;&gt;"",_xlfn.IFNA(VLOOKUP($B625,'Node Details'!$B:$U,C$1,0),"Check"),"")</f>
        <v>000000AXW-0000AXW05</v>
      </c>
      <c r="D625" s="100" t="str">
        <f>IF($B625&lt;&gt;"",_xlfn.IFNA(VLOOKUP($B625,'Node Details'!$B:$U,D$1,0),"Check"),"")</f>
        <v>AXW</v>
      </c>
      <c r="E625" s="100" t="str">
        <f>IF($B625&lt;&gt;"",_xlfn.IFNA(VLOOKUP($B625,'Node Details'!$B:$U,E$1,0),"Check"),"")</f>
        <v>Airtel</v>
      </c>
      <c r="F625" s="101">
        <v>46114</v>
      </c>
      <c r="G625" s="103"/>
      <c r="H625" s="102" t="s">
        <v>1255</v>
      </c>
      <c r="I625" s="9">
        <v>1</v>
      </c>
      <c r="J625" s="9">
        <v>600</v>
      </c>
      <c r="K625" s="100">
        <f t="shared" si="85"/>
        <v>600</v>
      </c>
      <c r="L625" s="78">
        <v>46112</v>
      </c>
      <c r="M625" s="103"/>
      <c r="N625" s="93" t="s">
        <v>373</v>
      </c>
      <c r="O625" s="94">
        <v>46146</v>
      </c>
      <c r="P625" s="104">
        <f t="shared" si="87"/>
        <v>600</v>
      </c>
      <c r="Q625" s="104">
        <f t="shared" si="88"/>
        <v>600</v>
      </c>
      <c r="R625" s="104"/>
      <c r="S625" s="93" t="s">
        <v>374</v>
      </c>
      <c r="T625" s="94">
        <v>46156</v>
      </c>
      <c r="U625" s="104">
        <f t="shared" si="89"/>
        <v>600</v>
      </c>
      <c r="V625" s="104">
        <f t="shared" si="90"/>
        <v>1</v>
      </c>
      <c r="W625" s="103">
        <f t="shared" si="91"/>
        <v>600</v>
      </c>
      <c r="X625" s="93" t="s">
        <v>89</v>
      </c>
      <c r="Y625" s="105" t="s">
        <v>84</v>
      </c>
      <c r="Z625" s="105" t="s">
        <v>93</v>
      </c>
    </row>
    <row r="626" spans="1:26" s="105" customFormat="1" ht="15" customHeight="1">
      <c r="A626" s="99">
        <f t="shared" si="86"/>
        <v>624</v>
      </c>
      <c r="B626" s="75" t="s">
        <v>372</v>
      </c>
      <c r="C626" s="100" t="str">
        <f>IF($B626&lt;&gt;"",_xlfn.IFNA(VLOOKUP($B626,'Node Details'!$B:$U,C$1,0),"Check"),"")</f>
        <v>000000AXW-0000AXW05</v>
      </c>
      <c r="D626" s="100" t="str">
        <f>IF($B626&lt;&gt;"",_xlfn.IFNA(VLOOKUP($B626,'Node Details'!$B:$U,D$1,0),"Check"),"")</f>
        <v>AXW</v>
      </c>
      <c r="E626" s="100" t="str">
        <f>IF($B626&lt;&gt;"",_xlfn.IFNA(VLOOKUP($B626,'Node Details'!$B:$U,E$1,0),"Check"),"")</f>
        <v>Airtel</v>
      </c>
      <c r="F626" s="101">
        <v>46114</v>
      </c>
      <c r="G626" s="103"/>
      <c r="H626" s="102" t="s">
        <v>1255</v>
      </c>
      <c r="I626" s="9">
        <v>1</v>
      </c>
      <c r="J626" s="9">
        <v>600</v>
      </c>
      <c r="K626" s="100">
        <f t="shared" si="85"/>
        <v>600</v>
      </c>
      <c r="L626" s="78">
        <v>46112</v>
      </c>
      <c r="M626" s="103"/>
      <c r="N626" s="93" t="s">
        <v>373</v>
      </c>
      <c r="O626" s="94">
        <v>46146</v>
      </c>
      <c r="P626" s="104">
        <f t="shared" si="87"/>
        <v>600</v>
      </c>
      <c r="Q626" s="104">
        <f t="shared" si="88"/>
        <v>600</v>
      </c>
      <c r="R626" s="104"/>
      <c r="S626" s="93" t="s">
        <v>374</v>
      </c>
      <c r="T626" s="94">
        <v>46156</v>
      </c>
      <c r="U626" s="104">
        <f t="shared" si="89"/>
        <v>600</v>
      </c>
      <c r="V626" s="104">
        <f t="shared" si="90"/>
        <v>1</v>
      </c>
      <c r="W626" s="103">
        <f t="shared" si="91"/>
        <v>600</v>
      </c>
      <c r="X626" s="93" t="s">
        <v>89</v>
      </c>
      <c r="Y626" s="105" t="s">
        <v>84</v>
      </c>
      <c r="Z626" s="105" t="s">
        <v>93</v>
      </c>
    </row>
    <row r="627" spans="1:26" s="105" customFormat="1" ht="15" customHeight="1">
      <c r="A627" s="99">
        <f t="shared" si="86"/>
        <v>625</v>
      </c>
      <c r="B627" s="75" t="s">
        <v>432</v>
      </c>
      <c r="C627" s="100" t="str">
        <f>IF($B627&lt;&gt;"",_xlfn.IFNA(VLOOKUP($B627,'Node Details'!$B:$U,C$1,0),"Check"),"")</f>
        <v>0000AXW01-0000AXW07</v>
      </c>
      <c r="D627" s="100" t="str">
        <f>IF($B627&lt;&gt;"",_xlfn.IFNA(VLOOKUP($B627,'Node Details'!$B:$U,D$1,0),"Check"),"")</f>
        <v>AXW</v>
      </c>
      <c r="E627" s="100" t="str">
        <f>IF($B627&lt;&gt;"",_xlfn.IFNA(VLOOKUP($B627,'Node Details'!$B:$U,E$1,0),"Check"),"")</f>
        <v>Airtel</v>
      </c>
      <c r="F627" s="101">
        <v>46114</v>
      </c>
      <c r="G627" s="103"/>
      <c r="H627" s="102" t="s">
        <v>1255</v>
      </c>
      <c r="I627" s="9">
        <v>1</v>
      </c>
      <c r="J627" s="9">
        <v>600</v>
      </c>
      <c r="K627" s="100">
        <f t="shared" si="85"/>
        <v>600</v>
      </c>
      <c r="L627" s="78">
        <v>46112</v>
      </c>
      <c r="M627" s="103"/>
      <c r="N627" s="93" t="s">
        <v>373</v>
      </c>
      <c r="O627" s="94">
        <v>46146</v>
      </c>
      <c r="P627" s="104">
        <f t="shared" si="87"/>
        <v>600</v>
      </c>
      <c r="Q627" s="104">
        <f t="shared" si="88"/>
        <v>600</v>
      </c>
      <c r="R627" s="104"/>
      <c r="S627" s="93" t="s">
        <v>374</v>
      </c>
      <c r="T627" s="94">
        <v>46156</v>
      </c>
      <c r="U627" s="104">
        <f t="shared" si="89"/>
        <v>600</v>
      </c>
      <c r="V627" s="104">
        <f t="shared" si="90"/>
        <v>1</v>
      </c>
      <c r="W627" s="103">
        <f t="shared" si="91"/>
        <v>600</v>
      </c>
      <c r="X627" s="93" t="s">
        <v>89</v>
      </c>
      <c r="Y627" s="105" t="s">
        <v>84</v>
      </c>
      <c r="Z627" s="105" t="s">
        <v>93</v>
      </c>
    </row>
    <row r="628" spans="1:26" s="105" customFormat="1" ht="15" customHeight="1">
      <c r="A628" s="99">
        <f t="shared" si="86"/>
        <v>626</v>
      </c>
      <c r="B628" s="75" t="s">
        <v>377</v>
      </c>
      <c r="C628" s="100" t="str">
        <f>IF($B628&lt;&gt;"",_xlfn.IFNA(VLOOKUP($B628,'Node Details'!$B:$U,C$1,0),"Check"),"")</f>
        <v>0000AXW01-0000AXW07</v>
      </c>
      <c r="D628" s="100" t="str">
        <f>IF($B628&lt;&gt;"",_xlfn.IFNA(VLOOKUP($B628,'Node Details'!$B:$U,D$1,0),"Check"),"")</f>
        <v>AXW</v>
      </c>
      <c r="E628" s="100" t="str">
        <f>IF($B628&lt;&gt;"",_xlfn.IFNA(VLOOKUP($B628,'Node Details'!$B:$U,E$1,0),"Check"),"")</f>
        <v>Airtel</v>
      </c>
      <c r="F628" s="101">
        <v>46114</v>
      </c>
      <c r="G628" s="103"/>
      <c r="H628" s="102" t="s">
        <v>1255</v>
      </c>
      <c r="I628" s="9">
        <v>1</v>
      </c>
      <c r="J628" s="9">
        <v>600</v>
      </c>
      <c r="K628" s="100">
        <f t="shared" si="85"/>
        <v>600</v>
      </c>
      <c r="L628" s="78">
        <v>46112</v>
      </c>
      <c r="M628" s="103"/>
      <c r="N628" s="93" t="s">
        <v>373</v>
      </c>
      <c r="O628" s="94">
        <v>46146</v>
      </c>
      <c r="P628" s="104">
        <f t="shared" si="87"/>
        <v>600</v>
      </c>
      <c r="Q628" s="104">
        <f t="shared" si="88"/>
        <v>600</v>
      </c>
      <c r="R628" s="104"/>
      <c r="S628" s="93" t="s">
        <v>374</v>
      </c>
      <c r="T628" s="94">
        <v>46156</v>
      </c>
      <c r="U628" s="104">
        <f t="shared" si="89"/>
        <v>600</v>
      </c>
      <c r="V628" s="104">
        <f t="shared" si="90"/>
        <v>1</v>
      </c>
      <c r="W628" s="103">
        <f t="shared" si="91"/>
        <v>600</v>
      </c>
      <c r="X628" s="93" t="s">
        <v>89</v>
      </c>
      <c r="Y628" s="105" t="s">
        <v>84</v>
      </c>
      <c r="Z628" s="105" t="s">
        <v>93</v>
      </c>
    </row>
    <row r="629" spans="1:26" s="105" customFormat="1" ht="15" customHeight="1">
      <c r="A629" s="99">
        <f t="shared" si="86"/>
        <v>627</v>
      </c>
      <c r="B629" s="75" t="s">
        <v>445</v>
      </c>
      <c r="C629" s="100" t="str">
        <f>IF($B629&lt;&gt;"",_xlfn.IFNA(VLOOKUP($B629,'Node Details'!$B:$U,C$1,0),"Check"),"")</f>
        <v>000000AXW-0000AXW17</v>
      </c>
      <c r="D629" s="100" t="str">
        <f>IF($B629&lt;&gt;"",_xlfn.IFNA(VLOOKUP($B629,'Node Details'!$B:$U,D$1,0),"Check"),"")</f>
        <v>AXW</v>
      </c>
      <c r="E629" s="100" t="str">
        <f>IF($B629&lt;&gt;"",_xlfn.IFNA(VLOOKUP($B629,'Node Details'!$B:$U,E$1,0),"Check"),"")</f>
        <v>Airtel</v>
      </c>
      <c r="F629" s="101">
        <v>46114</v>
      </c>
      <c r="G629" s="103"/>
      <c r="H629" s="102" t="s">
        <v>1255</v>
      </c>
      <c r="I629" s="9">
        <v>1</v>
      </c>
      <c r="J629" s="9">
        <v>600</v>
      </c>
      <c r="K629" s="100">
        <f t="shared" si="85"/>
        <v>600</v>
      </c>
      <c r="L629" s="78">
        <v>46112</v>
      </c>
      <c r="M629" s="103"/>
      <c r="N629" s="93" t="s">
        <v>373</v>
      </c>
      <c r="O629" s="94">
        <v>46146</v>
      </c>
      <c r="P629" s="104">
        <f t="shared" si="87"/>
        <v>600</v>
      </c>
      <c r="Q629" s="104">
        <f t="shared" si="88"/>
        <v>600</v>
      </c>
      <c r="R629" s="104"/>
      <c r="S629" s="93" t="s">
        <v>374</v>
      </c>
      <c r="T629" s="94">
        <v>46156</v>
      </c>
      <c r="U629" s="104">
        <f t="shared" si="89"/>
        <v>600</v>
      </c>
      <c r="V629" s="104">
        <f t="shared" si="90"/>
        <v>1</v>
      </c>
      <c r="W629" s="103">
        <f t="shared" si="91"/>
        <v>600</v>
      </c>
      <c r="X629" s="93" t="s">
        <v>89</v>
      </c>
      <c r="Y629" s="105" t="s">
        <v>84</v>
      </c>
      <c r="Z629" s="105" t="s">
        <v>93</v>
      </c>
    </row>
    <row r="630" spans="1:26" s="105" customFormat="1" ht="15" customHeight="1">
      <c r="A630" s="99">
        <f t="shared" si="86"/>
        <v>628</v>
      </c>
      <c r="B630" s="75" t="s">
        <v>458</v>
      </c>
      <c r="C630" s="100" t="str">
        <f>IF($B630&lt;&gt;"",_xlfn.IFNA(VLOOKUP($B630,'Node Details'!$B:$U,C$1,0),"Check"),"")</f>
        <v>000000AXW-0000AXW12</v>
      </c>
      <c r="D630" s="100" t="str">
        <f>IF($B630&lt;&gt;"",_xlfn.IFNA(VLOOKUP($B630,'Node Details'!$B:$U,D$1,0),"Check"),"")</f>
        <v>AXW</v>
      </c>
      <c r="E630" s="100" t="str">
        <f>IF($B630&lt;&gt;"",_xlfn.IFNA(VLOOKUP($B630,'Node Details'!$B:$U,E$1,0),"Check"),"")</f>
        <v>Airtel</v>
      </c>
      <c r="F630" s="101">
        <v>46114</v>
      </c>
      <c r="G630" s="103"/>
      <c r="H630" s="102" t="s">
        <v>1255</v>
      </c>
      <c r="I630" s="9">
        <v>1</v>
      </c>
      <c r="J630" s="9">
        <v>600</v>
      </c>
      <c r="K630" s="100">
        <f t="shared" si="85"/>
        <v>600</v>
      </c>
      <c r="L630" s="78">
        <v>46112</v>
      </c>
      <c r="M630" s="103"/>
      <c r="N630" s="93" t="s">
        <v>373</v>
      </c>
      <c r="O630" s="94">
        <v>46146</v>
      </c>
      <c r="P630" s="104">
        <f t="shared" si="87"/>
        <v>600</v>
      </c>
      <c r="Q630" s="104">
        <f t="shared" si="88"/>
        <v>600</v>
      </c>
      <c r="R630" s="104"/>
      <c r="S630" s="93" t="s">
        <v>374</v>
      </c>
      <c r="T630" s="94">
        <v>46156</v>
      </c>
      <c r="U630" s="104">
        <f t="shared" si="89"/>
        <v>600</v>
      </c>
      <c r="V630" s="104">
        <f t="shared" si="90"/>
        <v>1</v>
      </c>
      <c r="W630" s="103">
        <f t="shared" si="91"/>
        <v>600</v>
      </c>
      <c r="X630" s="93" t="s">
        <v>89</v>
      </c>
      <c r="Y630" s="105" t="s">
        <v>84</v>
      </c>
      <c r="Z630" s="105" t="s">
        <v>93</v>
      </c>
    </row>
    <row r="631" spans="1:26" s="105" customFormat="1" ht="15" customHeight="1">
      <c r="A631" s="99">
        <f t="shared" si="86"/>
        <v>629</v>
      </c>
      <c r="B631" s="75" t="s">
        <v>383</v>
      </c>
      <c r="C631" s="100" t="str">
        <f>IF($B631&lt;&gt;"",_xlfn.IFNA(VLOOKUP($B631,'Node Details'!$B:$U,C$1,0),"Check"),"")</f>
        <v>000000AXW-0000AXW12</v>
      </c>
      <c r="D631" s="100" t="str">
        <f>IF($B631&lt;&gt;"",_xlfn.IFNA(VLOOKUP($B631,'Node Details'!$B:$U,D$1,0),"Check"),"")</f>
        <v>AXW</v>
      </c>
      <c r="E631" s="100" t="str">
        <f>IF($B631&lt;&gt;"",_xlfn.IFNA(VLOOKUP($B631,'Node Details'!$B:$U,E$1,0),"Check"),"")</f>
        <v>Airtel</v>
      </c>
      <c r="F631" s="101">
        <v>46114</v>
      </c>
      <c r="G631" s="103"/>
      <c r="H631" s="102" t="s">
        <v>1255</v>
      </c>
      <c r="I631" s="9">
        <v>1</v>
      </c>
      <c r="J631" s="9">
        <v>600</v>
      </c>
      <c r="K631" s="100">
        <f t="shared" si="85"/>
        <v>600</v>
      </c>
      <c r="L631" s="78">
        <v>46112</v>
      </c>
      <c r="M631" s="103"/>
      <c r="N631" s="93" t="s">
        <v>373</v>
      </c>
      <c r="O631" s="94">
        <v>46146</v>
      </c>
      <c r="P631" s="104">
        <f t="shared" si="87"/>
        <v>600</v>
      </c>
      <c r="Q631" s="104">
        <f t="shared" si="88"/>
        <v>600</v>
      </c>
      <c r="R631" s="104"/>
      <c r="S631" s="93" t="s">
        <v>374</v>
      </c>
      <c r="T631" s="94">
        <v>46156</v>
      </c>
      <c r="U631" s="104">
        <f t="shared" si="89"/>
        <v>600</v>
      </c>
      <c r="V631" s="104">
        <f t="shared" si="90"/>
        <v>1</v>
      </c>
      <c r="W631" s="103">
        <f t="shared" si="91"/>
        <v>600</v>
      </c>
      <c r="X631" s="93" t="s">
        <v>89</v>
      </c>
      <c r="Y631" s="105" t="s">
        <v>84</v>
      </c>
      <c r="Z631" s="105" t="s">
        <v>93</v>
      </c>
    </row>
    <row r="632" spans="1:26" s="105" customFormat="1" ht="15" customHeight="1">
      <c r="A632" s="99">
        <f t="shared" si="86"/>
        <v>630</v>
      </c>
      <c r="B632" s="75" t="s">
        <v>474</v>
      </c>
      <c r="C632" s="100" t="str">
        <f>IF($B632&lt;&gt;"",_xlfn.IFNA(VLOOKUP($B632,'Node Details'!$B:$U,C$1,0),"Check"),"")</f>
        <v>000000AXW-0000AXW12</v>
      </c>
      <c r="D632" s="100" t="str">
        <f>IF($B632&lt;&gt;"",_xlfn.IFNA(VLOOKUP($B632,'Node Details'!$B:$U,D$1,0),"Check"),"")</f>
        <v>AXW</v>
      </c>
      <c r="E632" s="100" t="str">
        <f>IF($B632&lt;&gt;"",_xlfn.IFNA(VLOOKUP($B632,'Node Details'!$B:$U,E$1,0),"Check"),"")</f>
        <v>Airtel</v>
      </c>
      <c r="F632" s="101">
        <v>46114</v>
      </c>
      <c r="G632" s="103"/>
      <c r="H632" s="102" t="s">
        <v>1255</v>
      </c>
      <c r="I632" s="9">
        <v>1</v>
      </c>
      <c r="J632" s="9">
        <v>600</v>
      </c>
      <c r="K632" s="100">
        <f t="shared" si="85"/>
        <v>600</v>
      </c>
      <c r="L632" s="78">
        <v>46112</v>
      </c>
      <c r="M632" s="103"/>
      <c r="N632" s="93" t="s">
        <v>373</v>
      </c>
      <c r="O632" s="94">
        <v>46146</v>
      </c>
      <c r="P632" s="104">
        <f t="shared" si="87"/>
        <v>600</v>
      </c>
      <c r="Q632" s="104">
        <f t="shared" si="88"/>
        <v>600</v>
      </c>
      <c r="R632" s="104"/>
      <c r="S632" s="93" t="s">
        <v>374</v>
      </c>
      <c r="T632" s="94">
        <v>46156</v>
      </c>
      <c r="U632" s="104">
        <f t="shared" si="89"/>
        <v>600</v>
      </c>
      <c r="V632" s="104">
        <f t="shared" si="90"/>
        <v>1</v>
      </c>
      <c r="W632" s="103">
        <f t="shared" si="91"/>
        <v>600</v>
      </c>
      <c r="X632" s="93" t="s">
        <v>89</v>
      </c>
      <c r="Y632" s="105" t="s">
        <v>84</v>
      </c>
      <c r="Z632" s="105" t="s">
        <v>93</v>
      </c>
    </row>
    <row r="633" spans="1:26" s="105" customFormat="1" ht="15" customHeight="1">
      <c r="A633" s="99">
        <f t="shared" si="86"/>
        <v>631</v>
      </c>
      <c r="B633" s="75" t="s">
        <v>381</v>
      </c>
      <c r="C633" s="100" t="str">
        <f>IF($B633&lt;&gt;"",_xlfn.IFNA(VLOOKUP($B633,'Node Details'!$B:$U,C$1,0),"Check"),"")</f>
        <v>000000AXW-0000AXW12</v>
      </c>
      <c r="D633" s="100" t="str">
        <f>IF($B633&lt;&gt;"",_xlfn.IFNA(VLOOKUP($B633,'Node Details'!$B:$U,D$1,0),"Check"),"")</f>
        <v>AXW</v>
      </c>
      <c r="E633" s="100" t="str">
        <f>IF($B633&lt;&gt;"",_xlfn.IFNA(VLOOKUP($B633,'Node Details'!$B:$U,E$1,0),"Check"),"")</f>
        <v>Airtel</v>
      </c>
      <c r="F633" s="101">
        <v>46114</v>
      </c>
      <c r="G633" s="103"/>
      <c r="H633" s="102" t="s">
        <v>1255</v>
      </c>
      <c r="I633" s="9">
        <v>1</v>
      </c>
      <c r="J633" s="9">
        <v>600</v>
      </c>
      <c r="K633" s="100">
        <f t="shared" si="85"/>
        <v>600</v>
      </c>
      <c r="L633" s="78">
        <v>46112</v>
      </c>
      <c r="M633" s="103"/>
      <c r="N633" s="93" t="s">
        <v>373</v>
      </c>
      <c r="O633" s="94">
        <v>46146</v>
      </c>
      <c r="P633" s="104">
        <f t="shared" si="87"/>
        <v>600</v>
      </c>
      <c r="Q633" s="104">
        <f t="shared" si="88"/>
        <v>600</v>
      </c>
      <c r="R633" s="104"/>
      <c r="S633" s="93" t="s">
        <v>374</v>
      </c>
      <c r="T633" s="94">
        <v>46156</v>
      </c>
      <c r="U633" s="104">
        <f t="shared" si="89"/>
        <v>600</v>
      </c>
      <c r="V633" s="104">
        <f t="shared" si="90"/>
        <v>1</v>
      </c>
      <c r="W633" s="103">
        <f t="shared" si="91"/>
        <v>600</v>
      </c>
      <c r="X633" s="93" t="s">
        <v>89</v>
      </c>
      <c r="Y633" s="105" t="s">
        <v>84</v>
      </c>
      <c r="Z633" s="105" t="s">
        <v>93</v>
      </c>
    </row>
    <row r="634" spans="1:26" s="105" customFormat="1" ht="15" customHeight="1">
      <c r="A634" s="99">
        <f t="shared" si="86"/>
        <v>632</v>
      </c>
      <c r="B634" s="75" t="s">
        <v>487</v>
      </c>
      <c r="C634" s="100" t="str">
        <f>IF($B634&lt;&gt;"",_xlfn.IFNA(VLOOKUP($B634,'Node Details'!$B:$U,C$1,0),"Check"),"")</f>
        <v>0000AXW10-0000AXW15</v>
      </c>
      <c r="D634" s="100" t="str">
        <f>IF($B634&lt;&gt;"",_xlfn.IFNA(VLOOKUP($B634,'Node Details'!$B:$U,D$1,0),"Check"),"")</f>
        <v>AXW</v>
      </c>
      <c r="E634" s="100" t="str">
        <f>IF($B634&lt;&gt;"",_xlfn.IFNA(VLOOKUP($B634,'Node Details'!$B:$U,E$1,0),"Check"),"")</f>
        <v>Airtel</v>
      </c>
      <c r="F634" s="101">
        <v>46114</v>
      </c>
      <c r="G634" s="103"/>
      <c r="H634" s="102" t="s">
        <v>1255</v>
      </c>
      <c r="I634" s="9">
        <v>1</v>
      </c>
      <c r="J634" s="9">
        <v>600</v>
      </c>
      <c r="K634" s="100">
        <f t="shared" si="85"/>
        <v>600</v>
      </c>
      <c r="L634" s="78">
        <v>46112</v>
      </c>
      <c r="M634" s="103"/>
      <c r="N634" s="93" t="s">
        <v>373</v>
      </c>
      <c r="O634" s="94">
        <v>46146</v>
      </c>
      <c r="P634" s="104">
        <f t="shared" si="87"/>
        <v>600</v>
      </c>
      <c r="Q634" s="104">
        <f t="shared" si="88"/>
        <v>600</v>
      </c>
      <c r="R634" s="104"/>
      <c r="S634" s="93" t="s">
        <v>374</v>
      </c>
      <c r="T634" s="94">
        <v>46156</v>
      </c>
      <c r="U634" s="104">
        <f t="shared" si="89"/>
        <v>600</v>
      </c>
      <c r="V634" s="104">
        <f t="shared" si="90"/>
        <v>1</v>
      </c>
      <c r="W634" s="103">
        <f t="shared" si="91"/>
        <v>600</v>
      </c>
      <c r="X634" s="93" t="s">
        <v>89</v>
      </c>
      <c r="Y634" s="105" t="s">
        <v>84</v>
      </c>
      <c r="Z634" s="105" t="s">
        <v>93</v>
      </c>
    </row>
    <row r="635" spans="1:26" s="105" customFormat="1" ht="15" customHeight="1">
      <c r="A635" s="99">
        <f t="shared" si="86"/>
        <v>633</v>
      </c>
      <c r="B635" s="75" t="s">
        <v>494</v>
      </c>
      <c r="C635" s="100" t="str">
        <f>IF($B635&lt;&gt;"",_xlfn.IFNA(VLOOKUP($B635,'Node Details'!$B:$U,C$1,0),"Check"),"")</f>
        <v>0000AXW10-0000AXW15</v>
      </c>
      <c r="D635" s="100" t="str">
        <f>IF($B635&lt;&gt;"",_xlfn.IFNA(VLOOKUP($B635,'Node Details'!$B:$U,D$1,0),"Check"),"")</f>
        <v>AXW</v>
      </c>
      <c r="E635" s="100" t="str">
        <f>IF($B635&lt;&gt;"",_xlfn.IFNA(VLOOKUP($B635,'Node Details'!$B:$U,E$1,0),"Check"),"")</f>
        <v>Airtel</v>
      </c>
      <c r="F635" s="101">
        <v>46114</v>
      </c>
      <c r="G635" s="103"/>
      <c r="H635" s="102" t="s">
        <v>1255</v>
      </c>
      <c r="I635" s="9">
        <v>1</v>
      </c>
      <c r="J635" s="9">
        <v>600</v>
      </c>
      <c r="K635" s="100">
        <f t="shared" si="85"/>
        <v>600</v>
      </c>
      <c r="L635" s="78">
        <v>46112</v>
      </c>
      <c r="M635" s="103"/>
      <c r="N635" s="93" t="s">
        <v>373</v>
      </c>
      <c r="O635" s="94">
        <v>46146</v>
      </c>
      <c r="P635" s="104">
        <f t="shared" si="87"/>
        <v>600</v>
      </c>
      <c r="Q635" s="104">
        <f t="shared" si="88"/>
        <v>600</v>
      </c>
      <c r="R635" s="104"/>
      <c r="S635" s="93" t="s">
        <v>374</v>
      </c>
      <c r="T635" s="94">
        <v>46156</v>
      </c>
      <c r="U635" s="104">
        <f t="shared" si="89"/>
        <v>600</v>
      </c>
      <c r="V635" s="104">
        <f t="shared" si="90"/>
        <v>1</v>
      </c>
      <c r="W635" s="103">
        <f t="shared" si="91"/>
        <v>600</v>
      </c>
      <c r="X635" s="93" t="s">
        <v>89</v>
      </c>
      <c r="Y635" s="105" t="s">
        <v>84</v>
      </c>
      <c r="Z635" s="105" t="s">
        <v>93</v>
      </c>
    </row>
    <row r="636" spans="1:26" s="105" customFormat="1" ht="15" customHeight="1">
      <c r="A636" s="99">
        <f t="shared" si="86"/>
        <v>634</v>
      </c>
      <c r="B636" s="75" t="s">
        <v>384</v>
      </c>
      <c r="C636" s="100" t="str">
        <f>IF($B636&lt;&gt;"",_xlfn.IFNA(VLOOKUP($B636,'Node Details'!$B:$U,C$1,0),"Check"),"")</f>
        <v>0000AXW10-0000AXW15</v>
      </c>
      <c r="D636" s="100" t="str">
        <f>IF($B636&lt;&gt;"",_xlfn.IFNA(VLOOKUP($B636,'Node Details'!$B:$U,D$1,0),"Check"),"")</f>
        <v>AXW</v>
      </c>
      <c r="E636" s="100" t="str">
        <f>IF($B636&lt;&gt;"",_xlfn.IFNA(VLOOKUP($B636,'Node Details'!$B:$U,E$1,0),"Check"),"")</f>
        <v>Airtel</v>
      </c>
      <c r="F636" s="101">
        <v>46114</v>
      </c>
      <c r="G636" s="103"/>
      <c r="H636" s="102" t="s">
        <v>1255</v>
      </c>
      <c r="I636" s="9">
        <v>1</v>
      </c>
      <c r="J636" s="9">
        <v>600</v>
      </c>
      <c r="K636" s="100">
        <f t="shared" si="85"/>
        <v>600</v>
      </c>
      <c r="L636" s="78">
        <v>46112</v>
      </c>
      <c r="M636" s="103"/>
      <c r="N636" s="93" t="s">
        <v>373</v>
      </c>
      <c r="O636" s="94">
        <v>46146</v>
      </c>
      <c r="P636" s="104">
        <f t="shared" si="87"/>
        <v>600</v>
      </c>
      <c r="Q636" s="104">
        <f t="shared" si="88"/>
        <v>600</v>
      </c>
      <c r="R636" s="104"/>
      <c r="S636" s="93" t="s">
        <v>374</v>
      </c>
      <c r="T636" s="94">
        <v>46156</v>
      </c>
      <c r="U636" s="104">
        <f t="shared" si="89"/>
        <v>600</v>
      </c>
      <c r="V636" s="104">
        <f t="shared" si="90"/>
        <v>1</v>
      </c>
      <c r="W636" s="103">
        <f t="shared" si="91"/>
        <v>600</v>
      </c>
      <c r="X636" s="93" t="s">
        <v>89</v>
      </c>
      <c r="Y636" s="105" t="s">
        <v>84</v>
      </c>
      <c r="Z636" s="105" t="s">
        <v>93</v>
      </c>
    </row>
    <row r="637" spans="1:26" s="105" customFormat="1" ht="15" customHeight="1">
      <c r="A637" s="99">
        <f t="shared" si="86"/>
        <v>635</v>
      </c>
      <c r="B637" s="75" t="s">
        <v>386</v>
      </c>
      <c r="C637" s="100" t="str">
        <f>IF($B637&lt;&gt;"",_xlfn.IFNA(VLOOKUP($B637,'Node Details'!$B:$U,C$1,0),"Check"),"")</f>
        <v>000000AXW-0000AXW17</v>
      </c>
      <c r="D637" s="100" t="str">
        <f>IF($B637&lt;&gt;"",_xlfn.IFNA(VLOOKUP($B637,'Node Details'!$B:$U,D$1,0),"Check"),"")</f>
        <v>AXW</v>
      </c>
      <c r="E637" s="100" t="str">
        <f>IF($B637&lt;&gt;"",_xlfn.IFNA(VLOOKUP($B637,'Node Details'!$B:$U,E$1,0),"Check"),"")</f>
        <v>Airtel</v>
      </c>
      <c r="F637" s="101">
        <v>46114</v>
      </c>
      <c r="G637" s="103"/>
      <c r="H637" s="102" t="s">
        <v>1255</v>
      </c>
      <c r="I637" s="9">
        <v>1</v>
      </c>
      <c r="J637" s="9">
        <v>600</v>
      </c>
      <c r="K637" s="100">
        <f t="shared" si="85"/>
        <v>600</v>
      </c>
      <c r="L637" s="78">
        <v>46112</v>
      </c>
      <c r="M637" s="103"/>
      <c r="N637" s="93" t="s">
        <v>373</v>
      </c>
      <c r="O637" s="94">
        <v>46146</v>
      </c>
      <c r="P637" s="104">
        <f t="shared" si="87"/>
        <v>600</v>
      </c>
      <c r="Q637" s="104">
        <f t="shared" si="88"/>
        <v>600</v>
      </c>
      <c r="R637" s="104"/>
      <c r="S637" s="93" t="s">
        <v>374</v>
      </c>
      <c r="T637" s="94">
        <v>46156</v>
      </c>
      <c r="U637" s="104">
        <f t="shared" si="89"/>
        <v>600</v>
      </c>
      <c r="V637" s="104">
        <f t="shared" si="90"/>
        <v>1</v>
      </c>
      <c r="W637" s="103">
        <f t="shared" si="91"/>
        <v>600</v>
      </c>
      <c r="X637" s="93" t="s">
        <v>89</v>
      </c>
      <c r="Y637" s="105" t="s">
        <v>84</v>
      </c>
      <c r="Z637" s="105" t="s">
        <v>93</v>
      </c>
    </row>
    <row r="638" spans="1:26" s="105" customFormat="1" ht="15" customHeight="1">
      <c r="A638" s="99">
        <f t="shared" si="86"/>
        <v>636</v>
      </c>
      <c r="B638" s="75" t="s">
        <v>379</v>
      </c>
      <c r="C638" s="100" t="str">
        <f>IF($B638&lt;&gt;"",_xlfn.IFNA(VLOOKUP($B638,'Node Details'!$B:$U,C$1,0),"Check"),"")</f>
        <v>000000AXW-0000AXW17</v>
      </c>
      <c r="D638" s="100" t="str">
        <f>IF($B638&lt;&gt;"",_xlfn.IFNA(VLOOKUP($B638,'Node Details'!$B:$U,D$1,0),"Check"),"")</f>
        <v>AXW</v>
      </c>
      <c r="E638" s="100" t="str">
        <f>IF($B638&lt;&gt;"",_xlfn.IFNA(VLOOKUP($B638,'Node Details'!$B:$U,E$1,0),"Check"),"")</f>
        <v>Airtel</v>
      </c>
      <c r="F638" s="101">
        <v>46114</v>
      </c>
      <c r="G638" s="103"/>
      <c r="H638" s="102" t="s">
        <v>1255</v>
      </c>
      <c r="I638" s="9">
        <v>1</v>
      </c>
      <c r="J638" s="9">
        <v>600</v>
      </c>
      <c r="K638" s="100">
        <f t="shared" si="85"/>
        <v>600</v>
      </c>
      <c r="L638" s="78">
        <v>46112</v>
      </c>
      <c r="M638" s="103"/>
      <c r="N638" s="93" t="s">
        <v>373</v>
      </c>
      <c r="O638" s="94">
        <v>46146</v>
      </c>
      <c r="P638" s="104">
        <f t="shared" si="87"/>
        <v>600</v>
      </c>
      <c r="Q638" s="104">
        <f t="shared" si="88"/>
        <v>600</v>
      </c>
      <c r="R638" s="104"/>
      <c r="S638" s="93" t="s">
        <v>374</v>
      </c>
      <c r="T638" s="94">
        <v>46156</v>
      </c>
      <c r="U638" s="104">
        <f t="shared" si="89"/>
        <v>600</v>
      </c>
      <c r="V638" s="104">
        <f t="shared" si="90"/>
        <v>1</v>
      </c>
      <c r="W638" s="103">
        <f t="shared" si="91"/>
        <v>600</v>
      </c>
      <c r="X638" s="93" t="s">
        <v>89</v>
      </c>
      <c r="Y638" s="105" t="s">
        <v>84</v>
      </c>
      <c r="Z638" s="105" t="s">
        <v>93</v>
      </c>
    </row>
    <row r="639" spans="1:26" s="105" customFormat="1" ht="15" customHeight="1">
      <c r="A639" s="99">
        <f t="shared" si="86"/>
        <v>637</v>
      </c>
      <c r="B639" s="75" t="s">
        <v>532</v>
      </c>
      <c r="C639" s="100" t="str">
        <f>IF($B639&lt;&gt;"",_xlfn.IFNA(VLOOKUP($B639,'Node Details'!$B:$U,C$1,0),"Check"),"")</f>
        <v>0000AXW16-0000AXW20</v>
      </c>
      <c r="D639" s="100" t="str">
        <f>IF($B639&lt;&gt;"",_xlfn.IFNA(VLOOKUP($B639,'Node Details'!$B:$U,D$1,0),"Check"),"")</f>
        <v>AXW</v>
      </c>
      <c r="E639" s="100" t="str">
        <f>IF($B639&lt;&gt;"",_xlfn.IFNA(VLOOKUP($B639,'Node Details'!$B:$U,E$1,0),"Check"),"")</f>
        <v>Airtel</v>
      </c>
      <c r="F639" s="101">
        <v>46114</v>
      </c>
      <c r="G639" s="103"/>
      <c r="H639" s="102" t="s">
        <v>1255</v>
      </c>
      <c r="I639" s="9">
        <v>1</v>
      </c>
      <c r="J639" s="9">
        <v>600</v>
      </c>
      <c r="K639" s="100">
        <f t="shared" si="85"/>
        <v>600</v>
      </c>
      <c r="L639" s="78">
        <v>46112</v>
      </c>
      <c r="M639" s="103"/>
      <c r="N639" s="93" t="s">
        <v>373</v>
      </c>
      <c r="O639" s="94">
        <v>46146</v>
      </c>
      <c r="P639" s="104">
        <f t="shared" si="87"/>
        <v>600</v>
      </c>
      <c r="Q639" s="104">
        <f t="shared" si="88"/>
        <v>600</v>
      </c>
      <c r="R639" s="104"/>
      <c r="S639" s="93" t="s">
        <v>374</v>
      </c>
      <c r="T639" s="94">
        <v>46156</v>
      </c>
      <c r="U639" s="104">
        <f t="shared" si="89"/>
        <v>600</v>
      </c>
      <c r="V639" s="104">
        <f t="shared" si="90"/>
        <v>1</v>
      </c>
      <c r="W639" s="103">
        <f t="shared" si="91"/>
        <v>600</v>
      </c>
      <c r="X639" s="93" t="s">
        <v>89</v>
      </c>
      <c r="Y639" s="105" t="s">
        <v>84</v>
      </c>
      <c r="Z639" s="105" t="s">
        <v>93</v>
      </c>
    </row>
    <row r="640" spans="1:26" s="105" customFormat="1" ht="15" customHeight="1">
      <c r="A640" s="99">
        <f t="shared" si="86"/>
        <v>638</v>
      </c>
      <c r="B640" s="75" t="s">
        <v>389</v>
      </c>
      <c r="C640" s="100" t="str">
        <f>IF($B640&lt;&gt;"",_xlfn.IFNA(VLOOKUP($B640,'Node Details'!$B:$U,C$1,0),"Check"),"")</f>
        <v>0000AXW16-0000AXW20</v>
      </c>
      <c r="D640" s="100" t="str">
        <f>IF($B640&lt;&gt;"",_xlfn.IFNA(VLOOKUP($B640,'Node Details'!$B:$U,D$1,0),"Check"),"")</f>
        <v>AXW</v>
      </c>
      <c r="E640" s="100" t="str">
        <f>IF($B640&lt;&gt;"",_xlfn.IFNA(VLOOKUP($B640,'Node Details'!$B:$U,E$1,0),"Check"),"")</f>
        <v>Airtel</v>
      </c>
      <c r="F640" s="101">
        <v>46114</v>
      </c>
      <c r="G640" s="103"/>
      <c r="H640" s="102" t="s">
        <v>1255</v>
      </c>
      <c r="I640" s="9">
        <v>1</v>
      </c>
      <c r="J640" s="9">
        <v>600</v>
      </c>
      <c r="K640" s="100">
        <f t="shared" si="85"/>
        <v>600</v>
      </c>
      <c r="L640" s="78">
        <v>46112</v>
      </c>
      <c r="M640" s="103"/>
      <c r="N640" s="93" t="s">
        <v>373</v>
      </c>
      <c r="O640" s="94">
        <v>46146</v>
      </c>
      <c r="P640" s="104">
        <f t="shared" si="87"/>
        <v>600</v>
      </c>
      <c r="Q640" s="104">
        <f t="shared" si="88"/>
        <v>600</v>
      </c>
      <c r="R640" s="104"/>
      <c r="S640" s="93" t="s">
        <v>374</v>
      </c>
      <c r="T640" s="94">
        <v>46156</v>
      </c>
      <c r="U640" s="104">
        <f t="shared" si="89"/>
        <v>600</v>
      </c>
      <c r="V640" s="104">
        <f t="shared" si="90"/>
        <v>1</v>
      </c>
      <c r="W640" s="103">
        <f t="shared" si="91"/>
        <v>600</v>
      </c>
      <c r="X640" s="93" t="s">
        <v>89</v>
      </c>
      <c r="Y640" s="105" t="s">
        <v>84</v>
      </c>
      <c r="Z640" s="105" t="s">
        <v>93</v>
      </c>
    </row>
    <row r="641" spans="1:26" s="105" customFormat="1" ht="15" customHeight="1">
      <c r="A641" s="99">
        <f t="shared" si="86"/>
        <v>639</v>
      </c>
      <c r="B641" s="75" t="s">
        <v>387</v>
      </c>
      <c r="C641" s="100" t="str">
        <f>IF($B641&lt;&gt;"",_xlfn.IFNA(VLOOKUP($B641,'Node Details'!$B:$U,C$1,0),"Check"),"")</f>
        <v>0000AXW16-0000AXW20</v>
      </c>
      <c r="D641" s="100" t="str">
        <f>IF($B641&lt;&gt;"",_xlfn.IFNA(VLOOKUP($B641,'Node Details'!$B:$U,D$1,0),"Check"),"")</f>
        <v>AXW</v>
      </c>
      <c r="E641" s="100" t="str">
        <f>IF($B641&lt;&gt;"",_xlfn.IFNA(VLOOKUP($B641,'Node Details'!$B:$U,E$1,0),"Check"),"")</f>
        <v>Airtel</v>
      </c>
      <c r="F641" s="101">
        <v>46114</v>
      </c>
      <c r="G641" s="103"/>
      <c r="H641" s="102" t="s">
        <v>1255</v>
      </c>
      <c r="I641" s="9">
        <v>1</v>
      </c>
      <c r="J641" s="9">
        <v>600</v>
      </c>
      <c r="K641" s="100">
        <f t="shared" si="85"/>
        <v>600</v>
      </c>
      <c r="L641" s="78">
        <v>46112</v>
      </c>
      <c r="M641" s="103"/>
      <c r="N641" s="93" t="s">
        <v>373</v>
      </c>
      <c r="O641" s="94">
        <v>46146</v>
      </c>
      <c r="P641" s="104">
        <f t="shared" si="87"/>
        <v>600</v>
      </c>
      <c r="Q641" s="104">
        <f t="shared" si="88"/>
        <v>600</v>
      </c>
      <c r="R641" s="104"/>
      <c r="S641" s="93" t="s">
        <v>374</v>
      </c>
      <c r="T641" s="94">
        <v>46156</v>
      </c>
      <c r="U641" s="104">
        <f t="shared" si="89"/>
        <v>600</v>
      </c>
      <c r="V641" s="104">
        <f t="shared" si="90"/>
        <v>1</v>
      </c>
      <c r="W641" s="103">
        <f t="shared" si="91"/>
        <v>600</v>
      </c>
      <c r="X641" s="93" t="s">
        <v>89</v>
      </c>
      <c r="Y641" s="105" t="s">
        <v>84</v>
      </c>
      <c r="Z641" s="105" t="s">
        <v>93</v>
      </c>
    </row>
    <row r="642" spans="1:26" s="105" customFormat="1" ht="15" customHeight="1">
      <c r="A642" s="99">
        <f t="shared" si="86"/>
        <v>640</v>
      </c>
      <c r="B642" s="75" t="s">
        <v>574</v>
      </c>
      <c r="C642" s="100" t="str">
        <f>IF($B642&lt;&gt;"",_xlfn.IFNA(VLOOKUP($B642,'Node Details'!$B:$U,C$1,0),"Check"),"")</f>
        <v>0000AXW19-0000AXW22</v>
      </c>
      <c r="D642" s="100" t="str">
        <f>IF($B642&lt;&gt;"",_xlfn.IFNA(VLOOKUP($B642,'Node Details'!$B:$U,D$1,0),"Check"),"")</f>
        <v>AXW</v>
      </c>
      <c r="E642" s="100" t="str">
        <f>IF($B642&lt;&gt;"",_xlfn.IFNA(VLOOKUP($B642,'Node Details'!$B:$U,E$1,0),"Check"),"")</f>
        <v>Airtel</v>
      </c>
      <c r="F642" s="101">
        <v>46114</v>
      </c>
      <c r="G642" s="103"/>
      <c r="H642" s="102" t="s">
        <v>1255</v>
      </c>
      <c r="I642" s="9">
        <v>1</v>
      </c>
      <c r="J642" s="9">
        <v>600</v>
      </c>
      <c r="K642" s="100">
        <f t="shared" si="85"/>
        <v>600</v>
      </c>
      <c r="L642" s="78">
        <v>46112</v>
      </c>
      <c r="M642" s="103"/>
      <c r="N642" s="93" t="s">
        <v>373</v>
      </c>
      <c r="O642" s="94">
        <v>46146</v>
      </c>
      <c r="P642" s="104">
        <f t="shared" si="87"/>
        <v>600</v>
      </c>
      <c r="Q642" s="104">
        <f t="shared" si="88"/>
        <v>600</v>
      </c>
      <c r="R642" s="104"/>
      <c r="S642" s="93" t="s">
        <v>374</v>
      </c>
      <c r="T642" s="94">
        <v>46156</v>
      </c>
      <c r="U642" s="104">
        <f t="shared" si="89"/>
        <v>600</v>
      </c>
      <c r="V642" s="104">
        <f t="shared" si="90"/>
        <v>1</v>
      </c>
      <c r="W642" s="103">
        <f t="shared" si="91"/>
        <v>600</v>
      </c>
      <c r="X642" s="93" t="s">
        <v>89</v>
      </c>
      <c r="Y642" s="105" t="s">
        <v>84</v>
      </c>
      <c r="Z642" s="105" t="s">
        <v>93</v>
      </c>
    </row>
    <row r="643" spans="1:26" s="105" customFormat="1" ht="15" customHeight="1">
      <c r="A643" s="99">
        <f t="shared" si="86"/>
        <v>641</v>
      </c>
      <c r="B643" s="75" t="s">
        <v>390</v>
      </c>
      <c r="C643" s="100" t="str">
        <f>IF($B643&lt;&gt;"",_xlfn.IFNA(VLOOKUP($B643,'Node Details'!$B:$U,C$1,0),"Check"),"")</f>
        <v>0000AXW19-0000AXW22</v>
      </c>
      <c r="D643" s="100" t="str">
        <f>IF($B643&lt;&gt;"",_xlfn.IFNA(VLOOKUP($B643,'Node Details'!$B:$U,D$1,0),"Check"),"")</f>
        <v>AXW</v>
      </c>
      <c r="E643" s="100" t="str">
        <f>IF($B643&lt;&gt;"",_xlfn.IFNA(VLOOKUP($B643,'Node Details'!$B:$U,E$1,0),"Check"),"")</f>
        <v>Airtel</v>
      </c>
      <c r="F643" s="101">
        <v>46114</v>
      </c>
      <c r="G643" s="103"/>
      <c r="H643" s="102" t="s">
        <v>1255</v>
      </c>
      <c r="I643" s="9">
        <v>1</v>
      </c>
      <c r="J643" s="9">
        <v>600</v>
      </c>
      <c r="K643" s="100">
        <f t="shared" si="85"/>
        <v>600</v>
      </c>
      <c r="L643" s="78">
        <v>46112</v>
      </c>
      <c r="M643" s="103"/>
      <c r="N643" s="93" t="s">
        <v>373</v>
      </c>
      <c r="O643" s="94">
        <v>46146</v>
      </c>
      <c r="P643" s="104">
        <f t="shared" si="87"/>
        <v>600</v>
      </c>
      <c r="Q643" s="104">
        <f t="shared" si="88"/>
        <v>600</v>
      </c>
      <c r="R643" s="104"/>
      <c r="S643" s="93" t="s">
        <v>374</v>
      </c>
      <c r="T643" s="94">
        <v>46156</v>
      </c>
      <c r="U643" s="104">
        <f t="shared" si="89"/>
        <v>600</v>
      </c>
      <c r="V643" s="104">
        <f t="shared" si="90"/>
        <v>1</v>
      </c>
      <c r="W643" s="103">
        <f t="shared" si="91"/>
        <v>600</v>
      </c>
      <c r="X643" s="93" t="s">
        <v>89</v>
      </c>
      <c r="Y643" s="105" t="s">
        <v>84</v>
      </c>
      <c r="Z643" s="105" t="s">
        <v>93</v>
      </c>
    </row>
    <row r="644" spans="1:26" s="105" customFormat="1" ht="15" customHeight="1">
      <c r="A644" s="99">
        <f t="shared" si="86"/>
        <v>642</v>
      </c>
      <c r="B644" s="75" t="s">
        <v>376</v>
      </c>
      <c r="C644" s="100" t="str">
        <f>IF($B644&lt;&gt;"",_xlfn.IFNA(VLOOKUP($B644,'Node Details'!$B:$U,C$1,0),"Check"),"")</f>
        <v>000000AXW-0000AXW05</v>
      </c>
      <c r="D644" s="100" t="str">
        <f>IF($B644&lt;&gt;"",_xlfn.IFNA(VLOOKUP($B644,'Node Details'!$B:$U,D$1,0),"Check"),"")</f>
        <v>AXW</v>
      </c>
      <c r="E644" s="100" t="str">
        <f>IF($B644&lt;&gt;"",_xlfn.IFNA(VLOOKUP($B644,'Node Details'!$B:$U,E$1,0),"Check"),"")</f>
        <v>Airtel</v>
      </c>
      <c r="F644" s="101">
        <v>46114</v>
      </c>
      <c r="G644" s="103"/>
      <c r="H644" s="102" t="s">
        <v>1256</v>
      </c>
      <c r="I644" s="9">
        <v>1</v>
      </c>
      <c r="J644" s="9">
        <v>48</v>
      </c>
      <c r="K644" s="100">
        <f t="shared" ref="K644:K707" si="92">IF(I644&lt;&gt;"",J644*I644,0)</f>
        <v>48</v>
      </c>
      <c r="L644" s="78">
        <v>46112</v>
      </c>
      <c r="M644" s="103"/>
      <c r="N644" s="93" t="s">
        <v>373</v>
      </c>
      <c r="O644" s="94">
        <v>46146</v>
      </c>
      <c r="P644" s="104">
        <f t="shared" si="87"/>
        <v>48</v>
      </c>
      <c r="Q644" s="104">
        <f t="shared" si="88"/>
        <v>48</v>
      </c>
      <c r="R644" s="104"/>
      <c r="S644" s="93" t="s">
        <v>374</v>
      </c>
      <c r="T644" s="94">
        <v>46156</v>
      </c>
      <c r="U644" s="104">
        <f t="shared" si="89"/>
        <v>48</v>
      </c>
      <c r="V644" s="104">
        <f t="shared" si="90"/>
        <v>1</v>
      </c>
      <c r="W644" s="103">
        <f t="shared" si="91"/>
        <v>48</v>
      </c>
      <c r="X644" s="93" t="s">
        <v>89</v>
      </c>
      <c r="Y644" s="105" t="s">
        <v>84</v>
      </c>
      <c r="Z644" s="105" t="s">
        <v>93</v>
      </c>
    </row>
    <row r="645" spans="1:26" s="105" customFormat="1" ht="15" customHeight="1">
      <c r="A645" s="99">
        <f t="shared" ref="A645:A708" si="93">A644+1</f>
        <v>643</v>
      </c>
      <c r="B645" s="75" t="s">
        <v>392</v>
      </c>
      <c r="C645" s="100" t="str">
        <f>IF($B645&lt;&gt;"",_xlfn.IFNA(VLOOKUP($B645,'Node Details'!$B:$U,C$1,0),"Check"),"")</f>
        <v>0000AXW01-AXW010101</v>
      </c>
      <c r="D645" s="100" t="str">
        <f>IF($B645&lt;&gt;"",_xlfn.IFNA(VLOOKUP($B645,'Node Details'!$B:$U,D$1,0),"Check"),"")</f>
        <v>AXW</v>
      </c>
      <c r="E645" s="100" t="str">
        <f>IF($B645&lt;&gt;"",_xlfn.IFNA(VLOOKUP($B645,'Node Details'!$B:$U,E$1,0),"Check"),"")</f>
        <v>Airtel</v>
      </c>
      <c r="F645" s="101">
        <v>46114</v>
      </c>
      <c r="G645" s="103"/>
      <c r="H645" s="102" t="s">
        <v>1256</v>
      </c>
      <c r="I645" s="9">
        <v>1</v>
      </c>
      <c r="J645" s="9">
        <v>48</v>
      </c>
      <c r="K645" s="100">
        <f t="shared" si="92"/>
        <v>48</v>
      </c>
      <c r="L645" s="78">
        <v>46112</v>
      </c>
      <c r="M645" s="103"/>
      <c r="N645" s="93" t="s">
        <v>373</v>
      </c>
      <c r="O645" s="94">
        <v>46146</v>
      </c>
      <c r="P645" s="104">
        <f t="shared" ref="P645:P708" si="94">J645</f>
        <v>48</v>
      </c>
      <c r="Q645" s="104">
        <f t="shared" ref="Q645:Q708" si="95">P645*I645</f>
        <v>48</v>
      </c>
      <c r="R645" s="104"/>
      <c r="S645" s="93" t="s">
        <v>374</v>
      </c>
      <c r="T645" s="94">
        <v>46156</v>
      </c>
      <c r="U645" s="104">
        <f t="shared" ref="U645:U708" si="96">J645</f>
        <v>48</v>
      </c>
      <c r="V645" s="104">
        <f t="shared" ref="V645:V708" si="97">I645</f>
        <v>1</v>
      </c>
      <c r="W645" s="103">
        <f t="shared" ref="W645:W708" si="98">IF(V645&lt;&gt;"",V645*U645,0)</f>
        <v>48</v>
      </c>
      <c r="X645" s="93" t="s">
        <v>89</v>
      </c>
      <c r="Y645" s="105" t="s">
        <v>84</v>
      </c>
      <c r="Z645" s="105" t="s">
        <v>93</v>
      </c>
    </row>
    <row r="646" spans="1:26" s="105" customFormat="1" ht="15" customHeight="1">
      <c r="A646" s="99">
        <f t="shared" si="93"/>
        <v>644</v>
      </c>
      <c r="B646" s="75" t="s">
        <v>1051</v>
      </c>
      <c r="C646" s="100" t="str">
        <f>IF($B646&lt;&gt;"",_xlfn.IFNA(VLOOKUP($B646,'Node Details'!$B:$U,C$1,0),"Check"),"")</f>
        <v>0000AXW01-AXW010105</v>
      </c>
      <c r="D646" s="100" t="str">
        <f>IF($B646&lt;&gt;"",_xlfn.IFNA(VLOOKUP($B646,'Node Details'!$B:$U,D$1,0),"Check"),"")</f>
        <v>AXW</v>
      </c>
      <c r="E646" s="100" t="str">
        <f>IF($B646&lt;&gt;"",_xlfn.IFNA(VLOOKUP($B646,'Node Details'!$B:$U,E$1,0),"Check"),"")</f>
        <v>Airtel</v>
      </c>
      <c r="F646" s="101">
        <v>46114</v>
      </c>
      <c r="G646" s="103"/>
      <c r="H646" s="102" t="s">
        <v>1256</v>
      </c>
      <c r="I646" s="9">
        <v>1</v>
      </c>
      <c r="J646" s="9">
        <v>48</v>
      </c>
      <c r="K646" s="100">
        <f t="shared" si="92"/>
        <v>48</v>
      </c>
      <c r="L646" s="78">
        <v>46112</v>
      </c>
      <c r="M646" s="103"/>
      <c r="N646" s="93" t="s">
        <v>373</v>
      </c>
      <c r="O646" s="94">
        <v>46146</v>
      </c>
      <c r="P646" s="104">
        <f t="shared" si="94"/>
        <v>48</v>
      </c>
      <c r="Q646" s="104">
        <f t="shared" si="95"/>
        <v>48</v>
      </c>
      <c r="R646" s="104"/>
      <c r="S646" s="93" t="s">
        <v>374</v>
      </c>
      <c r="T646" s="94">
        <v>46156</v>
      </c>
      <c r="U646" s="104">
        <f t="shared" si="96"/>
        <v>48</v>
      </c>
      <c r="V646" s="104">
        <f t="shared" si="97"/>
        <v>1</v>
      </c>
      <c r="W646" s="103">
        <f t="shared" si="98"/>
        <v>48</v>
      </c>
      <c r="X646" s="93" t="s">
        <v>89</v>
      </c>
      <c r="Y646" s="105" t="s">
        <v>84</v>
      </c>
      <c r="Z646" s="105" t="s">
        <v>93</v>
      </c>
    </row>
    <row r="647" spans="1:26" s="105" customFormat="1" ht="15" customHeight="1">
      <c r="A647" s="99">
        <f t="shared" si="93"/>
        <v>645</v>
      </c>
      <c r="B647" s="75" t="s">
        <v>1052</v>
      </c>
      <c r="C647" s="100" t="str">
        <f>IF($B647&lt;&gt;"",_xlfn.IFNA(VLOOKUP($B647,'Node Details'!$B:$U,C$1,0),"Check"),"")</f>
        <v>0000AXW01-AXW010105</v>
      </c>
      <c r="D647" s="100" t="str">
        <f>IF($B647&lt;&gt;"",_xlfn.IFNA(VLOOKUP($B647,'Node Details'!$B:$U,D$1,0),"Check"),"")</f>
        <v>AXW</v>
      </c>
      <c r="E647" s="100" t="str">
        <f>IF($B647&lt;&gt;"",_xlfn.IFNA(VLOOKUP($B647,'Node Details'!$B:$U,E$1,0),"Check"),"")</f>
        <v>Airtel</v>
      </c>
      <c r="F647" s="101">
        <v>46114</v>
      </c>
      <c r="G647" s="103"/>
      <c r="H647" s="102" t="s">
        <v>1256</v>
      </c>
      <c r="I647" s="9">
        <v>1</v>
      </c>
      <c r="J647" s="9">
        <v>48</v>
      </c>
      <c r="K647" s="100">
        <f t="shared" si="92"/>
        <v>48</v>
      </c>
      <c r="L647" s="78">
        <v>46112</v>
      </c>
      <c r="M647" s="103"/>
      <c r="N647" s="93" t="s">
        <v>373</v>
      </c>
      <c r="O647" s="94">
        <v>46146</v>
      </c>
      <c r="P647" s="104">
        <f t="shared" si="94"/>
        <v>48</v>
      </c>
      <c r="Q647" s="104">
        <f t="shared" si="95"/>
        <v>48</v>
      </c>
      <c r="R647" s="104"/>
      <c r="S647" s="93" t="s">
        <v>374</v>
      </c>
      <c r="T647" s="94">
        <v>46156</v>
      </c>
      <c r="U647" s="104">
        <f t="shared" si="96"/>
        <v>48</v>
      </c>
      <c r="V647" s="104">
        <f t="shared" si="97"/>
        <v>1</v>
      </c>
      <c r="W647" s="103">
        <f t="shared" si="98"/>
        <v>48</v>
      </c>
      <c r="X647" s="93" t="s">
        <v>89</v>
      </c>
      <c r="Y647" s="105" t="s">
        <v>84</v>
      </c>
      <c r="Z647" s="105" t="s">
        <v>93</v>
      </c>
    </row>
    <row r="648" spans="1:26" s="105" customFormat="1" ht="15" customHeight="1">
      <c r="A648" s="99">
        <f t="shared" si="93"/>
        <v>646</v>
      </c>
      <c r="B648" s="75" t="s">
        <v>394</v>
      </c>
      <c r="C648" s="100" t="str">
        <f>IF($B648&lt;&gt;"",_xlfn.IFNA(VLOOKUP($B648,'Node Details'!$B:$U,C$1,0),"Check"),"")</f>
        <v>0000AXW01-AXW010105</v>
      </c>
      <c r="D648" s="100" t="str">
        <f>IF($B648&lt;&gt;"",_xlfn.IFNA(VLOOKUP($B648,'Node Details'!$B:$U,D$1,0),"Check"),"")</f>
        <v>AXW</v>
      </c>
      <c r="E648" s="100" t="str">
        <f>IF($B648&lt;&gt;"",_xlfn.IFNA(VLOOKUP($B648,'Node Details'!$B:$U,E$1,0),"Check"),"")</f>
        <v>Airtel</v>
      </c>
      <c r="F648" s="101">
        <v>46114</v>
      </c>
      <c r="G648" s="103"/>
      <c r="H648" s="102" t="s">
        <v>1256</v>
      </c>
      <c r="I648" s="9">
        <v>1</v>
      </c>
      <c r="J648" s="9">
        <v>48</v>
      </c>
      <c r="K648" s="100">
        <f t="shared" si="92"/>
        <v>48</v>
      </c>
      <c r="L648" s="78">
        <v>46112</v>
      </c>
      <c r="M648" s="103"/>
      <c r="N648" s="93" t="s">
        <v>373</v>
      </c>
      <c r="O648" s="94">
        <v>46146</v>
      </c>
      <c r="P648" s="104">
        <f t="shared" si="94"/>
        <v>48</v>
      </c>
      <c r="Q648" s="104">
        <f t="shared" si="95"/>
        <v>48</v>
      </c>
      <c r="R648" s="104"/>
      <c r="S648" s="93" t="s">
        <v>374</v>
      </c>
      <c r="T648" s="94">
        <v>46156</v>
      </c>
      <c r="U648" s="104">
        <f t="shared" si="96"/>
        <v>48</v>
      </c>
      <c r="V648" s="104">
        <f t="shared" si="97"/>
        <v>1</v>
      </c>
      <c r="W648" s="103">
        <f t="shared" si="98"/>
        <v>48</v>
      </c>
      <c r="X648" s="93" t="s">
        <v>89</v>
      </c>
      <c r="Y648" s="105" t="s">
        <v>84</v>
      </c>
      <c r="Z648" s="105" t="s">
        <v>93</v>
      </c>
    </row>
    <row r="649" spans="1:26" s="105" customFormat="1" ht="15" customHeight="1">
      <c r="A649" s="99">
        <f t="shared" si="93"/>
        <v>647</v>
      </c>
      <c r="B649" s="75" t="s">
        <v>396</v>
      </c>
      <c r="C649" s="100" t="str">
        <f>IF($B649&lt;&gt;"",_xlfn.IFNA(VLOOKUP($B649,'Node Details'!$B:$U,C$1,0),"Check"),"")</f>
        <v>000000AXW-0000AXW05</v>
      </c>
      <c r="D649" s="100" t="str">
        <f>IF($B649&lt;&gt;"",_xlfn.IFNA(VLOOKUP($B649,'Node Details'!$B:$U,D$1,0),"Check"),"")</f>
        <v>AXW</v>
      </c>
      <c r="E649" s="100" t="str">
        <f>IF($B649&lt;&gt;"",_xlfn.IFNA(VLOOKUP($B649,'Node Details'!$B:$U,E$1,0),"Check"),"")</f>
        <v>Airtel</v>
      </c>
      <c r="F649" s="101">
        <v>46114</v>
      </c>
      <c r="G649" s="103"/>
      <c r="H649" s="102" t="s">
        <v>1256</v>
      </c>
      <c r="I649" s="9">
        <v>1</v>
      </c>
      <c r="J649" s="9">
        <v>48</v>
      </c>
      <c r="K649" s="100">
        <f t="shared" si="92"/>
        <v>48</v>
      </c>
      <c r="L649" s="78">
        <v>46112</v>
      </c>
      <c r="M649" s="103"/>
      <c r="N649" s="93" t="s">
        <v>373</v>
      </c>
      <c r="O649" s="94">
        <v>46146</v>
      </c>
      <c r="P649" s="104">
        <f t="shared" si="94"/>
        <v>48</v>
      </c>
      <c r="Q649" s="104">
        <f t="shared" si="95"/>
        <v>48</v>
      </c>
      <c r="R649" s="104"/>
      <c r="S649" s="93" t="s">
        <v>374</v>
      </c>
      <c r="T649" s="94">
        <v>46156</v>
      </c>
      <c r="U649" s="104">
        <f t="shared" si="96"/>
        <v>48</v>
      </c>
      <c r="V649" s="104">
        <f t="shared" si="97"/>
        <v>1</v>
      </c>
      <c r="W649" s="103">
        <f t="shared" si="98"/>
        <v>48</v>
      </c>
      <c r="X649" s="93" t="s">
        <v>89</v>
      </c>
      <c r="Y649" s="105" t="s">
        <v>84</v>
      </c>
      <c r="Z649" s="105" t="s">
        <v>93</v>
      </c>
    </row>
    <row r="650" spans="1:26" s="105" customFormat="1" ht="15" customHeight="1">
      <c r="A650" s="99">
        <f t="shared" si="93"/>
        <v>648</v>
      </c>
      <c r="B650" s="75" t="s">
        <v>1053</v>
      </c>
      <c r="C650" s="100" t="str">
        <f>IF($B650&lt;&gt;"",_xlfn.IFNA(VLOOKUP($B650,'Node Details'!$B:$U,C$1,0),"Check"),"")</f>
        <v>0000AXW02-AXW020105</v>
      </c>
      <c r="D650" s="100" t="str">
        <f>IF($B650&lt;&gt;"",_xlfn.IFNA(VLOOKUP($B650,'Node Details'!$B:$U,D$1,0),"Check"),"")</f>
        <v>AXW</v>
      </c>
      <c r="E650" s="100" t="str">
        <f>IF($B650&lt;&gt;"",_xlfn.IFNA(VLOOKUP($B650,'Node Details'!$B:$U,E$1,0),"Check"),"")</f>
        <v>Airtel</v>
      </c>
      <c r="F650" s="101">
        <v>46114</v>
      </c>
      <c r="G650" s="103"/>
      <c r="H650" s="102" t="s">
        <v>1256</v>
      </c>
      <c r="I650" s="9">
        <v>1</v>
      </c>
      <c r="J650" s="9">
        <v>48</v>
      </c>
      <c r="K650" s="100">
        <f t="shared" si="92"/>
        <v>48</v>
      </c>
      <c r="L650" s="78">
        <v>46112</v>
      </c>
      <c r="M650" s="103"/>
      <c r="N650" s="93" t="s">
        <v>373</v>
      </c>
      <c r="O650" s="94">
        <v>46146</v>
      </c>
      <c r="P650" s="104">
        <f t="shared" si="94"/>
        <v>48</v>
      </c>
      <c r="Q650" s="104">
        <f t="shared" si="95"/>
        <v>48</v>
      </c>
      <c r="R650" s="104"/>
      <c r="S650" s="93" t="s">
        <v>374</v>
      </c>
      <c r="T650" s="94">
        <v>46156</v>
      </c>
      <c r="U650" s="104">
        <f t="shared" si="96"/>
        <v>48</v>
      </c>
      <c r="V650" s="104">
        <f t="shared" si="97"/>
        <v>1</v>
      </c>
      <c r="W650" s="103">
        <f t="shared" si="98"/>
        <v>48</v>
      </c>
      <c r="X650" s="93" t="s">
        <v>89</v>
      </c>
      <c r="Y650" s="105" t="s">
        <v>84</v>
      </c>
      <c r="Z650" s="105" t="s">
        <v>93</v>
      </c>
    </row>
    <row r="651" spans="1:26" s="105" customFormat="1" ht="15" customHeight="1">
      <c r="A651" s="99">
        <f t="shared" si="93"/>
        <v>649</v>
      </c>
      <c r="B651" s="75" t="s">
        <v>399</v>
      </c>
      <c r="C651" s="100" t="str">
        <f>IF($B651&lt;&gt;"",_xlfn.IFNA(VLOOKUP($B651,'Node Details'!$B:$U,C$1,0),"Check"),"")</f>
        <v>0000AXW02-AXW020101</v>
      </c>
      <c r="D651" s="100" t="str">
        <f>IF($B651&lt;&gt;"",_xlfn.IFNA(VLOOKUP($B651,'Node Details'!$B:$U,D$1,0),"Check"),"")</f>
        <v>AXW</v>
      </c>
      <c r="E651" s="100" t="str">
        <f>IF($B651&lt;&gt;"",_xlfn.IFNA(VLOOKUP($B651,'Node Details'!$B:$U,E$1,0),"Check"),"")</f>
        <v>Airtel</v>
      </c>
      <c r="F651" s="101">
        <v>46114</v>
      </c>
      <c r="G651" s="103"/>
      <c r="H651" s="102" t="s">
        <v>1256</v>
      </c>
      <c r="I651" s="9">
        <v>1</v>
      </c>
      <c r="J651" s="9">
        <v>48</v>
      </c>
      <c r="K651" s="100">
        <f t="shared" si="92"/>
        <v>48</v>
      </c>
      <c r="L651" s="78">
        <v>46112</v>
      </c>
      <c r="M651" s="103"/>
      <c r="N651" s="93" t="s">
        <v>373</v>
      </c>
      <c r="O651" s="94">
        <v>46146</v>
      </c>
      <c r="P651" s="104">
        <f t="shared" si="94"/>
        <v>48</v>
      </c>
      <c r="Q651" s="104">
        <f t="shared" si="95"/>
        <v>48</v>
      </c>
      <c r="R651" s="104"/>
      <c r="S651" s="93" t="s">
        <v>374</v>
      </c>
      <c r="T651" s="94">
        <v>46156</v>
      </c>
      <c r="U651" s="104">
        <f t="shared" si="96"/>
        <v>48</v>
      </c>
      <c r="V651" s="104">
        <f t="shared" si="97"/>
        <v>1</v>
      </c>
      <c r="W651" s="103">
        <f t="shared" si="98"/>
        <v>48</v>
      </c>
      <c r="X651" s="93" t="s">
        <v>89</v>
      </c>
      <c r="Y651" s="105" t="s">
        <v>84</v>
      </c>
      <c r="Z651" s="105" t="s">
        <v>93</v>
      </c>
    </row>
    <row r="652" spans="1:26" s="105" customFormat="1" ht="15" customHeight="1">
      <c r="A652" s="99">
        <f t="shared" si="93"/>
        <v>650</v>
      </c>
      <c r="B652" s="75" t="s">
        <v>1054</v>
      </c>
      <c r="C652" s="100" t="str">
        <f>IF($B652&lt;&gt;"",_xlfn.IFNA(VLOOKUP($B652,'Node Details'!$B:$U,C$1,0),"Check"),"")</f>
        <v>0000AXW02-AXW020105</v>
      </c>
      <c r="D652" s="100" t="str">
        <f>IF($B652&lt;&gt;"",_xlfn.IFNA(VLOOKUP($B652,'Node Details'!$B:$U,D$1,0),"Check"),"")</f>
        <v>AXW</v>
      </c>
      <c r="E652" s="100" t="str">
        <f>IF($B652&lt;&gt;"",_xlfn.IFNA(VLOOKUP($B652,'Node Details'!$B:$U,E$1,0),"Check"),"")</f>
        <v>Airtel</v>
      </c>
      <c r="F652" s="101">
        <v>46114</v>
      </c>
      <c r="G652" s="103"/>
      <c r="H652" s="102" t="s">
        <v>1256</v>
      </c>
      <c r="I652" s="9">
        <v>1</v>
      </c>
      <c r="J652" s="9">
        <v>48</v>
      </c>
      <c r="K652" s="100">
        <f t="shared" si="92"/>
        <v>48</v>
      </c>
      <c r="L652" s="78">
        <v>46112</v>
      </c>
      <c r="M652" s="103"/>
      <c r="N652" s="93" t="s">
        <v>373</v>
      </c>
      <c r="O652" s="94">
        <v>46146</v>
      </c>
      <c r="P652" s="104">
        <f t="shared" si="94"/>
        <v>48</v>
      </c>
      <c r="Q652" s="104">
        <f t="shared" si="95"/>
        <v>48</v>
      </c>
      <c r="R652" s="104"/>
      <c r="S652" s="93" t="s">
        <v>374</v>
      </c>
      <c r="T652" s="94">
        <v>46156</v>
      </c>
      <c r="U652" s="104">
        <f t="shared" si="96"/>
        <v>48</v>
      </c>
      <c r="V652" s="104">
        <f t="shared" si="97"/>
        <v>1</v>
      </c>
      <c r="W652" s="103">
        <f t="shared" si="98"/>
        <v>48</v>
      </c>
      <c r="X652" s="93" t="s">
        <v>89</v>
      </c>
      <c r="Y652" s="105" t="s">
        <v>84</v>
      </c>
      <c r="Z652" s="105" t="s">
        <v>93</v>
      </c>
    </row>
    <row r="653" spans="1:26" s="105" customFormat="1" ht="15" customHeight="1">
      <c r="A653" s="99">
        <f t="shared" si="93"/>
        <v>651</v>
      </c>
      <c r="B653" s="75" t="s">
        <v>1055</v>
      </c>
      <c r="C653" s="100" t="str">
        <f>IF($B653&lt;&gt;"",_xlfn.IFNA(VLOOKUP($B653,'Node Details'!$B:$U,C$1,0),"Check"),"")</f>
        <v>0000AXW02-AXW020105</v>
      </c>
      <c r="D653" s="100" t="str">
        <f>IF($B653&lt;&gt;"",_xlfn.IFNA(VLOOKUP($B653,'Node Details'!$B:$U,D$1,0),"Check"),"")</f>
        <v>AXW</v>
      </c>
      <c r="E653" s="100" t="str">
        <f>IF($B653&lt;&gt;"",_xlfn.IFNA(VLOOKUP($B653,'Node Details'!$B:$U,E$1,0),"Check"),"")</f>
        <v>Airtel</v>
      </c>
      <c r="F653" s="101">
        <v>46114</v>
      </c>
      <c r="G653" s="103"/>
      <c r="H653" s="102" t="s">
        <v>1256</v>
      </c>
      <c r="I653" s="9">
        <v>1</v>
      </c>
      <c r="J653" s="9">
        <v>48</v>
      </c>
      <c r="K653" s="100">
        <f t="shared" si="92"/>
        <v>48</v>
      </c>
      <c r="L653" s="78">
        <v>46112</v>
      </c>
      <c r="M653" s="103"/>
      <c r="N653" s="93" t="s">
        <v>373</v>
      </c>
      <c r="O653" s="94">
        <v>46146</v>
      </c>
      <c r="P653" s="104">
        <f t="shared" si="94"/>
        <v>48</v>
      </c>
      <c r="Q653" s="104">
        <f t="shared" si="95"/>
        <v>48</v>
      </c>
      <c r="R653" s="104"/>
      <c r="S653" s="93" t="s">
        <v>374</v>
      </c>
      <c r="T653" s="94">
        <v>46156</v>
      </c>
      <c r="U653" s="104">
        <f t="shared" si="96"/>
        <v>48</v>
      </c>
      <c r="V653" s="104">
        <f t="shared" si="97"/>
        <v>1</v>
      </c>
      <c r="W653" s="103">
        <f t="shared" si="98"/>
        <v>48</v>
      </c>
      <c r="X653" s="93" t="s">
        <v>89</v>
      </c>
      <c r="Y653" s="105" t="s">
        <v>84</v>
      </c>
      <c r="Z653" s="105" t="s">
        <v>93</v>
      </c>
    </row>
    <row r="654" spans="1:26" s="105" customFormat="1" ht="15" customHeight="1">
      <c r="A654" s="99">
        <f t="shared" si="93"/>
        <v>652</v>
      </c>
      <c r="B654" s="75" t="s">
        <v>397</v>
      </c>
      <c r="C654" s="100" t="str">
        <f>IF($B654&lt;&gt;"",_xlfn.IFNA(VLOOKUP($B654,'Node Details'!$B:$U,C$1,0),"Check"),"")</f>
        <v>0000AXW02-AXW020105</v>
      </c>
      <c r="D654" s="100" t="str">
        <f>IF($B654&lt;&gt;"",_xlfn.IFNA(VLOOKUP($B654,'Node Details'!$B:$U,D$1,0),"Check"),"")</f>
        <v>AXW</v>
      </c>
      <c r="E654" s="100" t="str">
        <f>IF($B654&lt;&gt;"",_xlfn.IFNA(VLOOKUP($B654,'Node Details'!$B:$U,E$1,0),"Check"),"")</f>
        <v>Airtel</v>
      </c>
      <c r="F654" s="101">
        <v>46114</v>
      </c>
      <c r="G654" s="103"/>
      <c r="H654" s="102" t="s">
        <v>1256</v>
      </c>
      <c r="I654" s="9">
        <v>1</v>
      </c>
      <c r="J654" s="9">
        <v>48</v>
      </c>
      <c r="K654" s="100">
        <f t="shared" si="92"/>
        <v>48</v>
      </c>
      <c r="L654" s="78">
        <v>46112</v>
      </c>
      <c r="M654" s="103"/>
      <c r="N654" s="93" t="s">
        <v>373</v>
      </c>
      <c r="O654" s="94">
        <v>46146</v>
      </c>
      <c r="P654" s="104">
        <f t="shared" si="94"/>
        <v>48</v>
      </c>
      <c r="Q654" s="104">
        <f t="shared" si="95"/>
        <v>48</v>
      </c>
      <c r="R654" s="104"/>
      <c r="S654" s="93" t="s">
        <v>374</v>
      </c>
      <c r="T654" s="94">
        <v>46156</v>
      </c>
      <c r="U654" s="104">
        <f t="shared" si="96"/>
        <v>48</v>
      </c>
      <c r="V654" s="104">
        <f t="shared" si="97"/>
        <v>1</v>
      </c>
      <c r="W654" s="103">
        <f t="shared" si="98"/>
        <v>48</v>
      </c>
      <c r="X654" s="93" t="s">
        <v>89</v>
      </c>
      <c r="Y654" s="105" t="s">
        <v>84</v>
      </c>
      <c r="Z654" s="105" t="s">
        <v>93</v>
      </c>
    </row>
    <row r="655" spans="1:26" s="105" customFormat="1" ht="15" customHeight="1">
      <c r="A655" s="99">
        <f t="shared" si="93"/>
        <v>653</v>
      </c>
      <c r="B655" s="75" t="s">
        <v>401</v>
      </c>
      <c r="C655" s="100" t="str">
        <f>IF($B655&lt;&gt;"",_xlfn.IFNA(VLOOKUP($B655,'Node Details'!$B:$U,C$1,0),"Check"),"")</f>
        <v>0000AXW02-AXW020106</v>
      </c>
      <c r="D655" s="100" t="str">
        <f>IF($B655&lt;&gt;"",_xlfn.IFNA(VLOOKUP($B655,'Node Details'!$B:$U,D$1,0),"Check"),"")</f>
        <v>AXW</v>
      </c>
      <c r="E655" s="100" t="str">
        <f>IF($B655&lt;&gt;"",_xlfn.IFNA(VLOOKUP($B655,'Node Details'!$B:$U,E$1,0),"Check"),"")</f>
        <v>Airtel</v>
      </c>
      <c r="F655" s="101">
        <v>46114</v>
      </c>
      <c r="G655" s="103"/>
      <c r="H655" s="102" t="s">
        <v>1256</v>
      </c>
      <c r="I655" s="9">
        <v>1</v>
      </c>
      <c r="J655" s="9">
        <v>48</v>
      </c>
      <c r="K655" s="100">
        <f t="shared" si="92"/>
        <v>48</v>
      </c>
      <c r="L655" s="78">
        <v>46112</v>
      </c>
      <c r="M655" s="103"/>
      <c r="N655" s="93" t="s">
        <v>373</v>
      </c>
      <c r="O655" s="94">
        <v>46146</v>
      </c>
      <c r="P655" s="104">
        <f t="shared" si="94"/>
        <v>48</v>
      </c>
      <c r="Q655" s="104">
        <f t="shared" si="95"/>
        <v>48</v>
      </c>
      <c r="R655" s="104"/>
      <c r="S655" s="93" t="s">
        <v>374</v>
      </c>
      <c r="T655" s="94">
        <v>46156</v>
      </c>
      <c r="U655" s="104">
        <f t="shared" si="96"/>
        <v>48</v>
      </c>
      <c r="V655" s="104">
        <f t="shared" si="97"/>
        <v>1</v>
      </c>
      <c r="W655" s="103">
        <f t="shared" si="98"/>
        <v>48</v>
      </c>
      <c r="X655" s="93" t="s">
        <v>89</v>
      </c>
      <c r="Y655" s="105" t="s">
        <v>84</v>
      </c>
      <c r="Z655" s="105" t="s">
        <v>93</v>
      </c>
    </row>
    <row r="656" spans="1:26" s="105" customFormat="1" ht="15" customHeight="1">
      <c r="A656" s="99">
        <f t="shared" si="93"/>
        <v>654</v>
      </c>
      <c r="B656" s="75" t="s">
        <v>1056</v>
      </c>
      <c r="C656" s="100" t="str">
        <f>IF($B656&lt;&gt;"",_xlfn.IFNA(VLOOKUP($B656,'Node Details'!$B:$U,C$1,0),"Check"),"")</f>
        <v>AXW020106-AXW020108</v>
      </c>
      <c r="D656" s="100" t="str">
        <f>IF($B656&lt;&gt;"",_xlfn.IFNA(VLOOKUP($B656,'Node Details'!$B:$U,D$1,0),"Check"),"")</f>
        <v>AXW</v>
      </c>
      <c r="E656" s="100" t="str">
        <f>IF($B656&lt;&gt;"",_xlfn.IFNA(VLOOKUP($B656,'Node Details'!$B:$U,E$1,0),"Check"),"")</f>
        <v>Airtel</v>
      </c>
      <c r="F656" s="101">
        <v>46114</v>
      </c>
      <c r="G656" s="103"/>
      <c r="H656" s="102" t="s">
        <v>1256</v>
      </c>
      <c r="I656" s="9">
        <v>1</v>
      </c>
      <c r="J656" s="9">
        <v>48</v>
      </c>
      <c r="K656" s="100">
        <f t="shared" si="92"/>
        <v>48</v>
      </c>
      <c r="L656" s="78">
        <v>46112</v>
      </c>
      <c r="M656" s="103"/>
      <c r="N656" s="93" t="s">
        <v>373</v>
      </c>
      <c r="O656" s="94">
        <v>46146</v>
      </c>
      <c r="P656" s="104">
        <f t="shared" si="94"/>
        <v>48</v>
      </c>
      <c r="Q656" s="104">
        <f t="shared" si="95"/>
        <v>48</v>
      </c>
      <c r="R656" s="104"/>
      <c r="S656" s="93" t="s">
        <v>374</v>
      </c>
      <c r="T656" s="94">
        <v>46156</v>
      </c>
      <c r="U656" s="104">
        <f t="shared" si="96"/>
        <v>48</v>
      </c>
      <c r="V656" s="104">
        <f t="shared" si="97"/>
        <v>1</v>
      </c>
      <c r="W656" s="103">
        <f t="shared" si="98"/>
        <v>48</v>
      </c>
      <c r="X656" s="93" t="s">
        <v>89</v>
      </c>
      <c r="Y656" s="105" t="s">
        <v>84</v>
      </c>
      <c r="Z656" s="105" t="s">
        <v>93</v>
      </c>
    </row>
    <row r="657" spans="1:26" s="105" customFormat="1" ht="15" customHeight="1">
      <c r="A657" s="99">
        <f t="shared" si="93"/>
        <v>655</v>
      </c>
      <c r="B657" s="75" t="s">
        <v>403</v>
      </c>
      <c r="C657" s="100" t="str">
        <f>IF($B657&lt;&gt;"",_xlfn.IFNA(VLOOKUP($B657,'Node Details'!$B:$U,C$1,0),"Check"),"")</f>
        <v>AXW020106-AXW020108</v>
      </c>
      <c r="D657" s="100" t="str">
        <f>IF($B657&lt;&gt;"",_xlfn.IFNA(VLOOKUP($B657,'Node Details'!$B:$U,D$1,0),"Check"),"")</f>
        <v>AXW</v>
      </c>
      <c r="E657" s="100" t="str">
        <f>IF($B657&lt;&gt;"",_xlfn.IFNA(VLOOKUP($B657,'Node Details'!$B:$U,E$1,0),"Check"),"")</f>
        <v>Airtel</v>
      </c>
      <c r="F657" s="101">
        <v>46114</v>
      </c>
      <c r="G657" s="103"/>
      <c r="H657" s="102" t="s">
        <v>1256</v>
      </c>
      <c r="I657" s="9">
        <v>1</v>
      </c>
      <c r="J657" s="9">
        <v>48</v>
      </c>
      <c r="K657" s="100">
        <f t="shared" si="92"/>
        <v>48</v>
      </c>
      <c r="L657" s="78">
        <v>46112</v>
      </c>
      <c r="M657" s="103"/>
      <c r="N657" s="93" t="s">
        <v>373</v>
      </c>
      <c r="O657" s="94">
        <v>46146</v>
      </c>
      <c r="P657" s="104">
        <f t="shared" si="94"/>
        <v>48</v>
      </c>
      <c r="Q657" s="104">
        <f t="shared" si="95"/>
        <v>48</v>
      </c>
      <c r="R657" s="104"/>
      <c r="S657" s="93" t="s">
        <v>374</v>
      </c>
      <c r="T657" s="94">
        <v>46156</v>
      </c>
      <c r="U657" s="104">
        <f t="shared" si="96"/>
        <v>48</v>
      </c>
      <c r="V657" s="104">
        <f t="shared" si="97"/>
        <v>1</v>
      </c>
      <c r="W657" s="103">
        <f t="shared" si="98"/>
        <v>48</v>
      </c>
      <c r="X657" s="93" t="s">
        <v>89</v>
      </c>
      <c r="Y657" s="105" t="s">
        <v>84</v>
      </c>
      <c r="Z657" s="105" t="s">
        <v>93</v>
      </c>
    </row>
    <row r="658" spans="1:26" s="105" customFormat="1" ht="15" customHeight="1">
      <c r="A658" s="99">
        <f t="shared" si="93"/>
        <v>656</v>
      </c>
      <c r="B658" s="75" t="s">
        <v>1057</v>
      </c>
      <c r="C658" s="100" t="str">
        <f>IF($B658&lt;&gt;"",_xlfn.IFNA(VLOOKUP($B658,'Node Details'!$B:$U,C$1,0),"Check"),"")</f>
        <v>AXW020106-AXW020203</v>
      </c>
      <c r="D658" s="100" t="str">
        <f>IF($B658&lt;&gt;"",_xlfn.IFNA(VLOOKUP($B658,'Node Details'!$B:$U,D$1,0),"Check"),"")</f>
        <v>AXW</v>
      </c>
      <c r="E658" s="100" t="str">
        <f>IF($B658&lt;&gt;"",_xlfn.IFNA(VLOOKUP($B658,'Node Details'!$B:$U,E$1,0),"Check"),"")</f>
        <v>Airtel</v>
      </c>
      <c r="F658" s="101">
        <v>46114</v>
      </c>
      <c r="G658" s="103"/>
      <c r="H658" s="102" t="s">
        <v>1256</v>
      </c>
      <c r="I658" s="9">
        <v>1</v>
      </c>
      <c r="J658" s="9">
        <v>48</v>
      </c>
      <c r="K658" s="100">
        <f t="shared" si="92"/>
        <v>48</v>
      </c>
      <c r="L658" s="78">
        <v>46112</v>
      </c>
      <c r="M658" s="103"/>
      <c r="N658" s="93" t="s">
        <v>373</v>
      </c>
      <c r="O658" s="94">
        <v>46146</v>
      </c>
      <c r="P658" s="104">
        <f t="shared" si="94"/>
        <v>48</v>
      </c>
      <c r="Q658" s="104">
        <f t="shared" si="95"/>
        <v>48</v>
      </c>
      <c r="R658" s="104"/>
      <c r="S658" s="93" t="s">
        <v>374</v>
      </c>
      <c r="T658" s="94">
        <v>46156</v>
      </c>
      <c r="U658" s="104">
        <f t="shared" si="96"/>
        <v>48</v>
      </c>
      <c r="V658" s="104">
        <f t="shared" si="97"/>
        <v>1</v>
      </c>
      <c r="W658" s="103">
        <f t="shared" si="98"/>
        <v>48</v>
      </c>
      <c r="X658" s="93" t="s">
        <v>89</v>
      </c>
      <c r="Y658" s="105" t="s">
        <v>84</v>
      </c>
      <c r="Z658" s="105" t="s">
        <v>93</v>
      </c>
    </row>
    <row r="659" spans="1:26" s="105" customFormat="1" ht="15" customHeight="1">
      <c r="A659" s="99">
        <f t="shared" si="93"/>
        <v>657</v>
      </c>
      <c r="B659" s="75" t="s">
        <v>1058</v>
      </c>
      <c r="C659" s="100" t="str">
        <f>IF($B659&lt;&gt;"",_xlfn.IFNA(VLOOKUP($B659,'Node Details'!$B:$U,C$1,0),"Check"),"")</f>
        <v>AXW020106-AXW020203</v>
      </c>
      <c r="D659" s="100" t="str">
        <f>IF($B659&lt;&gt;"",_xlfn.IFNA(VLOOKUP($B659,'Node Details'!$B:$U,D$1,0),"Check"),"")</f>
        <v>AXW</v>
      </c>
      <c r="E659" s="100" t="str">
        <f>IF($B659&lt;&gt;"",_xlfn.IFNA(VLOOKUP($B659,'Node Details'!$B:$U,E$1,0),"Check"),"")</f>
        <v>Airtel</v>
      </c>
      <c r="F659" s="101">
        <v>46114</v>
      </c>
      <c r="G659" s="103"/>
      <c r="H659" s="102" t="s">
        <v>1256</v>
      </c>
      <c r="I659" s="9">
        <v>1</v>
      </c>
      <c r="J659" s="9">
        <v>48</v>
      </c>
      <c r="K659" s="100">
        <f t="shared" si="92"/>
        <v>48</v>
      </c>
      <c r="L659" s="78">
        <v>46112</v>
      </c>
      <c r="M659" s="103"/>
      <c r="N659" s="93" t="s">
        <v>373</v>
      </c>
      <c r="O659" s="94">
        <v>46146</v>
      </c>
      <c r="P659" s="104">
        <f t="shared" si="94"/>
        <v>48</v>
      </c>
      <c r="Q659" s="104">
        <f t="shared" si="95"/>
        <v>48</v>
      </c>
      <c r="R659" s="104"/>
      <c r="S659" s="93" t="s">
        <v>374</v>
      </c>
      <c r="T659" s="94">
        <v>46156</v>
      </c>
      <c r="U659" s="104">
        <f t="shared" si="96"/>
        <v>48</v>
      </c>
      <c r="V659" s="104">
        <f t="shared" si="97"/>
        <v>1</v>
      </c>
      <c r="W659" s="103">
        <f t="shared" si="98"/>
        <v>48</v>
      </c>
      <c r="X659" s="93" t="s">
        <v>89</v>
      </c>
      <c r="Y659" s="105" t="s">
        <v>84</v>
      </c>
      <c r="Z659" s="105" t="s">
        <v>93</v>
      </c>
    </row>
    <row r="660" spans="1:26" s="105" customFormat="1" ht="15" customHeight="1">
      <c r="A660" s="99">
        <f t="shared" si="93"/>
        <v>658</v>
      </c>
      <c r="B660" s="75" t="s">
        <v>405</v>
      </c>
      <c r="C660" s="100" t="str">
        <f>IF($B660&lt;&gt;"",_xlfn.IFNA(VLOOKUP($B660,'Node Details'!$B:$U,C$1,0),"Check"),"")</f>
        <v>AXW020106-AXW020203</v>
      </c>
      <c r="D660" s="100" t="str">
        <f>IF($B660&lt;&gt;"",_xlfn.IFNA(VLOOKUP($B660,'Node Details'!$B:$U,D$1,0),"Check"),"")</f>
        <v>AXW</v>
      </c>
      <c r="E660" s="100" t="str">
        <f>IF($B660&lt;&gt;"",_xlfn.IFNA(VLOOKUP($B660,'Node Details'!$B:$U,E$1,0),"Check"),"")</f>
        <v>Airtel</v>
      </c>
      <c r="F660" s="101">
        <v>46114</v>
      </c>
      <c r="G660" s="103"/>
      <c r="H660" s="102" t="s">
        <v>1256</v>
      </c>
      <c r="I660" s="9">
        <v>1</v>
      </c>
      <c r="J660" s="9">
        <v>48</v>
      </c>
      <c r="K660" s="100">
        <f t="shared" si="92"/>
        <v>48</v>
      </c>
      <c r="L660" s="78">
        <v>46112</v>
      </c>
      <c r="M660" s="103"/>
      <c r="N660" s="93" t="s">
        <v>373</v>
      </c>
      <c r="O660" s="94">
        <v>46146</v>
      </c>
      <c r="P660" s="104">
        <f t="shared" si="94"/>
        <v>48</v>
      </c>
      <c r="Q660" s="104">
        <f t="shared" si="95"/>
        <v>48</v>
      </c>
      <c r="R660" s="104"/>
      <c r="S660" s="93" t="s">
        <v>374</v>
      </c>
      <c r="T660" s="94">
        <v>46156</v>
      </c>
      <c r="U660" s="104">
        <f t="shared" si="96"/>
        <v>48</v>
      </c>
      <c r="V660" s="104">
        <f t="shared" si="97"/>
        <v>1</v>
      </c>
      <c r="W660" s="103">
        <f t="shared" si="98"/>
        <v>48</v>
      </c>
      <c r="X660" s="93" t="s">
        <v>89</v>
      </c>
      <c r="Y660" s="105" t="s">
        <v>84</v>
      </c>
      <c r="Z660" s="105" t="s">
        <v>93</v>
      </c>
    </row>
    <row r="661" spans="1:26" s="105" customFormat="1" ht="15" customHeight="1">
      <c r="A661" s="99">
        <f t="shared" si="93"/>
        <v>659</v>
      </c>
      <c r="B661" s="75" t="s">
        <v>611</v>
      </c>
      <c r="C661" s="100" t="str">
        <f>IF($B661&lt;&gt;"",_xlfn.IFNA(VLOOKUP($B661,'Node Details'!$B:$U,C$1,0),"Check"),"")</f>
        <v>0000AXW02-AXW020204</v>
      </c>
      <c r="D661" s="100" t="str">
        <f>IF($B661&lt;&gt;"",_xlfn.IFNA(VLOOKUP($B661,'Node Details'!$B:$U,D$1,0),"Check"),"")</f>
        <v>AXW</v>
      </c>
      <c r="E661" s="100" t="str">
        <f>IF($B661&lt;&gt;"",_xlfn.IFNA(VLOOKUP($B661,'Node Details'!$B:$U,E$1,0),"Check"),"")</f>
        <v>Airtel</v>
      </c>
      <c r="F661" s="101">
        <v>46114</v>
      </c>
      <c r="G661" s="103"/>
      <c r="H661" s="102" t="s">
        <v>1256</v>
      </c>
      <c r="I661" s="9">
        <v>1</v>
      </c>
      <c r="J661" s="9">
        <v>48</v>
      </c>
      <c r="K661" s="100">
        <f t="shared" si="92"/>
        <v>48</v>
      </c>
      <c r="L661" s="78">
        <v>46112</v>
      </c>
      <c r="M661" s="103"/>
      <c r="N661" s="93" t="s">
        <v>373</v>
      </c>
      <c r="O661" s="94">
        <v>46146</v>
      </c>
      <c r="P661" s="104">
        <f t="shared" si="94"/>
        <v>48</v>
      </c>
      <c r="Q661" s="104">
        <f t="shared" si="95"/>
        <v>48</v>
      </c>
      <c r="R661" s="104"/>
      <c r="S661" s="93" t="s">
        <v>374</v>
      </c>
      <c r="T661" s="94">
        <v>46156</v>
      </c>
      <c r="U661" s="104">
        <f t="shared" si="96"/>
        <v>48</v>
      </c>
      <c r="V661" s="104">
        <f t="shared" si="97"/>
        <v>1</v>
      </c>
      <c r="W661" s="103">
        <f t="shared" si="98"/>
        <v>48</v>
      </c>
      <c r="X661" s="93" t="s">
        <v>89</v>
      </c>
      <c r="Y661" s="105" t="s">
        <v>84</v>
      </c>
      <c r="Z661" s="105" t="s">
        <v>93</v>
      </c>
    </row>
    <row r="662" spans="1:26" s="105" customFormat="1" ht="15" customHeight="1">
      <c r="A662" s="99">
        <f t="shared" si="93"/>
        <v>660</v>
      </c>
      <c r="B662" s="75" t="s">
        <v>407</v>
      </c>
      <c r="C662" s="100" t="str">
        <f>IF($B662&lt;&gt;"",_xlfn.IFNA(VLOOKUP($B662,'Node Details'!$B:$U,C$1,0),"Check"),"")</f>
        <v>000000AXW-0000AXW05</v>
      </c>
      <c r="D662" s="100" t="str">
        <f>IF($B662&lt;&gt;"",_xlfn.IFNA(VLOOKUP($B662,'Node Details'!$B:$U,D$1,0),"Check"),"")</f>
        <v>AXW</v>
      </c>
      <c r="E662" s="100" t="str">
        <f>IF($B662&lt;&gt;"",_xlfn.IFNA(VLOOKUP($B662,'Node Details'!$B:$U,E$1,0),"Check"),"")</f>
        <v>Airtel</v>
      </c>
      <c r="F662" s="101">
        <v>46114</v>
      </c>
      <c r="G662" s="103"/>
      <c r="H662" s="102" t="s">
        <v>1256</v>
      </c>
      <c r="I662" s="9">
        <v>1</v>
      </c>
      <c r="J662" s="9">
        <v>48</v>
      </c>
      <c r="K662" s="100">
        <f t="shared" si="92"/>
        <v>48</v>
      </c>
      <c r="L662" s="78">
        <v>46112</v>
      </c>
      <c r="M662" s="103"/>
      <c r="N662" s="93" t="s">
        <v>373</v>
      </c>
      <c r="O662" s="94">
        <v>46146</v>
      </c>
      <c r="P662" s="104">
        <f t="shared" si="94"/>
        <v>48</v>
      </c>
      <c r="Q662" s="104">
        <f t="shared" si="95"/>
        <v>48</v>
      </c>
      <c r="R662" s="104"/>
      <c r="S662" s="93" t="s">
        <v>374</v>
      </c>
      <c r="T662" s="94">
        <v>46156</v>
      </c>
      <c r="U662" s="104">
        <f t="shared" si="96"/>
        <v>48</v>
      </c>
      <c r="V662" s="104">
        <f t="shared" si="97"/>
        <v>1</v>
      </c>
      <c r="W662" s="103">
        <f t="shared" si="98"/>
        <v>48</v>
      </c>
      <c r="X662" s="93" t="s">
        <v>89</v>
      </c>
      <c r="Y662" s="105" t="s">
        <v>84</v>
      </c>
      <c r="Z662" s="105" t="s">
        <v>93</v>
      </c>
    </row>
    <row r="663" spans="1:26" s="105" customFormat="1" ht="15" customHeight="1">
      <c r="A663" s="99">
        <f t="shared" si="93"/>
        <v>661</v>
      </c>
      <c r="B663" s="75" t="s">
        <v>1059</v>
      </c>
      <c r="C663" s="100" t="str">
        <f>IF($B663&lt;&gt;"",_xlfn.IFNA(VLOOKUP($B663,'Node Details'!$B:$U,C$1,0),"Check"),"")</f>
        <v>0000AXW03-AXW030104</v>
      </c>
      <c r="D663" s="100" t="str">
        <f>IF($B663&lt;&gt;"",_xlfn.IFNA(VLOOKUP($B663,'Node Details'!$B:$U,D$1,0),"Check"),"")</f>
        <v>AXW</v>
      </c>
      <c r="E663" s="100" t="str">
        <f>IF($B663&lt;&gt;"",_xlfn.IFNA(VLOOKUP($B663,'Node Details'!$B:$U,E$1,0),"Check"),"")</f>
        <v>Airtel</v>
      </c>
      <c r="F663" s="101">
        <v>46114</v>
      </c>
      <c r="G663" s="103"/>
      <c r="H663" s="102" t="s">
        <v>1256</v>
      </c>
      <c r="I663" s="9">
        <v>1</v>
      </c>
      <c r="J663" s="9">
        <v>48</v>
      </c>
      <c r="K663" s="100">
        <f t="shared" si="92"/>
        <v>48</v>
      </c>
      <c r="L663" s="78">
        <v>46112</v>
      </c>
      <c r="M663" s="103"/>
      <c r="N663" s="93" t="s">
        <v>373</v>
      </c>
      <c r="O663" s="94">
        <v>46146</v>
      </c>
      <c r="P663" s="104">
        <f t="shared" si="94"/>
        <v>48</v>
      </c>
      <c r="Q663" s="104">
        <f t="shared" si="95"/>
        <v>48</v>
      </c>
      <c r="R663" s="104"/>
      <c r="S663" s="93" t="s">
        <v>374</v>
      </c>
      <c r="T663" s="94">
        <v>46156</v>
      </c>
      <c r="U663" s="104">
        <f t="shared" si="96"/>
        <v>48</v>
      </c>
      <c r="V663" s="104">
        <f t="shared" si="97"/>
        <v>1</v>
      </c>
      <c r="W663" s="103">
        <f t="shared" si="98"/>
        <v>48</v>
      </c>
      <c r="X663" s="93" t="s">
        <v>89</v>
      </c>
      <c r="Y663" s="105" t="s">
        <v>84</v>
      </c>
      <c r="Z663" s="105" t="s">
        <v>93</v>
      </c>
    </row>
    <row r="664" spans="1:26" s="105" customFormat="1" ht="15" customHeight="1">
      <c r="A664" s="99">
        <f t="shared" si="93"/>
        <v>662</v>
      </c>
      <c r="B664" s="75" t="s">
        <v>1060</v>
      </c>
      <c r="C664" s="100" t="str">
        <f>IF($B664&lt;&gt;"",_xlfn.IFNA(VLOOKUP($B664,'Node Details'!$B:$U,C$1,0),"Check"),"")</f>
        <v>0000AXW03-AXW030104</v>
      </c>
      <c r="D664" s="100" t="str">
        <f>IF($B664&lt;&gt;"",_xlfn.IFNA(VLOOKUP($B664,'Node Details'!$B:$U,D$1,0),"Check"),"")</f>
        <v>AXW</v>
      </c>
      <c r="E664" s="100" t="str">
        <f>IF($B664&lt;&gt;"",_xlfn.IFNA(VLOOKUP($B664,'Node Details'!$B:$U,E$1,0),"Check"),"")</f>
        <v>Airtel</v>
      </c>
      <c r="F664" s="101">
        <v>46114</v>
      </c>
      <c r="G664" s="103"/>
      <c r="H664" s="102" t="s">
        <v>1256</v>
      </c>
      <c r="I664" s="9">
        <v>1</v>
      </c>
      <c r="J664" s="9">
        <v>48</v>
      </c>
      <c r="K664" s="100">
        <f t="shared" si="92"/>
        <v>48</v>
      </c>
      <c r="L664" s="78">
        <v>46112</v>
      </c>
      <c r="M664" s="103"/>
      <c r="N664" s="93" t="s">
        <v>373</v>
      </c>
      <c r="O664" s="94">
        <v>46146</v>
      </c>
      <c r="P664" s="104">
        <f t="shared" si="94"/>
        <v>48</v>
      </c>
      <c r="Q664" s="104">
        <f t="shared" si="95"/>
        <v>48</v>
      </c>
      <c r="R664" s="104"/>
      <c r="S664" s="93" t="s">
        <v>374</v>
      </c>
      <c r="T664" s="94">
        <v>46156</v>
      </c>
      <c r="U664" s="104">
        <f t="shared" si="96"/>
        <v>48</v>
      </c>
      <c r="V664" s="104">
        <f t="shared" si="97"/>
        <v>1</v>
      </c>
      <c r="W664" s="103">
        <f t="shared" si="98"/>
        <v>48</v>
      </c>
      <c r="X664" s="93" t="s">
        <v>89</v>
      </c>
      <c r="Y664" s="105" t="s">
        <v>84</v>
      </c>
      <c r="Z664" s="105" t="s">
        <v>93</v>
      </c>
    </row>
    <row r="665" spans="1:26" s="105" customFormat="1" ht="15" customHeight="1">
      <c r="A665" s="99">
        <f t="shared" si="93"/>
        <v>663</v>
      </c>
      <c r="B665" s="75" t="s">
        <v>1061</v>
      </c>
      <c r="C665" s="100" t="str">
        <f>IF($B665&lt;&gt;"",_xlfn.IFNA(VLOOKUP($B665,'Node Details'!$B:$U,C$1,0),"Check"),"")</f>
        <v>0000AXW03-AXW030104</v>
      </c>
      <c r="D665" s="100" t="str">
        <f>IF($B665&lt;&gt;"",_xlfn.IFNA(VLOOKUP($B665,'Node Details'!$B:$U,D$1,0),"Check"),"")</f>
        <v>AXW</v>
      </c>
      <c r="E665" s="100" t="str">
        <f>IF($B665&lt;&gt;"",_xlfn.IFNA(VLOOKUP($B665,'Node Details'!$B:$U,E$1,0),"Check"),"")</f>
        <v>Airtel</v>
      </c>
      <c r="F665" s="101">
        <v>46114</v>
      </c>
      <c r="G665" s="103"/>
      <c r="H665" s="102" t="s">
        <v>1256</v>
      </c>
      <c r="I665" s="9">
        <v>1</v>
      </c>
      <c r="J665" s="9">
        <v>48</v>
      </c>
      <c r="K665" s="100">
        <f t="shared" si="92"/>
        <v>48</v>
      </c>
      <c r="L665" s="78">
        <v>46112</v>
      </c>
      <c r="M665" s="103"/>
      <c r="N665" s="93" t="s">
        <v>373</v>
      </c>
      <c r="O665" s="94">
        <v>46146</v>
      </c>
      <c r="P665" s="104">
        <f t="shared" si="94"/>
        <v>48</v>
      </c>
      <c r="Q665" s="104">
        <f t="shared" si="95"/>
        <v>48</v>
      </c>
      <c r="R665" s="104"/>
      <c r="S665" s="93" t="s">
        <v>374</v>
      </c>
      <c r="T665" s="94">
        <v>46156</v>
      </c>
      <c r="U665" s="104">
        <f t="shared" si="96"/>
        <v>48</v>
      </c>
      <c r="V665" s="104">
        <f t="shared" si="97"/>
        <v>1</v>
      </c>
      <c r="W665" s="103">
        <f t="shared" si="98"/>
        <v>48</v>
      </c>
      <c r="X665" s="93" t="s">
        <v>89</v>
      </c>
      <c r="Y665" s="105" t="s">
        <v>84</v>
      </c>
      <c r="Z665" s="105" t="s">
        <v>93</v>
      </c>
    </row>
    <row r="666" spans="1:26" s="105" customFormat="1" ht="15" customHeight="1">
      <c r="A666" s="99">
        <f t="shared" si="93"/>
        <v>664</v>
      </c>
      <c r="B666" s="75" t="s">
        <v>408</v>
      </c>
      <c r="C666" s="100" t="str">
        <f>IF($B666&lt;&gt;"",_xlfn.IFNA(VLOOKUP($B666,'Node Details'!$B:$U,C$1,0),"Check"),"")</f>
        <v>0000AXW03-AXW030104</v>
      </c>
      <c r="D666" s="100" t="str">
        <f>IF($B666&lt;&gt;"",_xlfn.IFNA(VLOOKUP($B666,'Node Details'!$B:$U,D$1,0),"Check"),"")</f>
        <v>AXW</v>
      </c>
      <c r="E666" s="100" t="str">
        <f>IF($B666&lt;&gt;"",_xlfn.IFNA(VLOOKUP($B666,'Node Details'!$B:$U,E$1,0),"Check"),"")</f>
        <v>Airtel</v>
      </c>
      <c r="F666" s="101">
        <v>46114</v>
      </c>
      <c r="G666" s="103"/>
      <c r="H666" s="102" t="s">
        <v>1256</v>
      </c>
      <c r="I666" s="9">
        <v>1</v>
      </c>
      <c r="J666" s="9">
        <v>48</v>
      </c>
      <c r="K666" s="100">
        <f t="shared" si="92"/>
        <v>48</v>
      </c>
      <c r="L666" s="78">
        <v>46112</v>
      </c>
      <c r="M666" s="103"/>
      <c r="N666" s="93" t="s">
        <v>373</v>
      </c>
      <c r="O666" s="94">
        <v>46146</v>
      </c>
      <c r="P666" s="104">
        <f t="shared" si="94"/>
        <v>48</v>
      </c>
      <c r="Q666" s="104">
        <f t="shared" si="95"/>
        <v>48</v>
      </c>
      <c r="R666" s="104"/>
      <c r="S666" s="93" t="s">
        <v>374</v>
      </c>
      <c r="T666" s="94">
        <v>46156</v>
      </c>
      <c r="U666" s="104">
        <f t="shared" si="96"/>
        <v>48</v>
      </c>
      <c r="V666" s="104">
        <f t="shared" si="97"/>
        <v>1</v>
      </c>
      <c r="W666" s="103">
        <f t="shared" si="98"/>
        <v>48</v>
      </c>
      <c r="X666" s="93" t="s">
        <v>89</v>
      </c>
      <c r="Y666" s="105" t="s">
        <v>84</v>
      </c>
      <c r="Z666" s="105" t="s">
        <v>93</v>
      </c>
    </row>
    <row r="667" spans="1:26" s="105" customFormat="1" ht="15" customHeight="1">
      <c r="A667" s="99">
        <f t="shared" si="93"/>
        <v>665</v>
      </c>
      <c r="B667" s="75" t="s">
        <v>410</v>
      </c>
      <c r="C667" s="100" t="str">
        <f>IF($B667&lt;&gt;"",_xlfn.IFNA(VLOOKUP($B667,'Node Details'!$B:$U,C$1,0),"Check"),"")</f>
        <v>AXW030104-AXW030105</v>
      </c>
      <c r="D667" s="100" t="str">
        <f>IF($B667&lt;&gt;"",_xlfn.IFNA(VLOOKUP($B667,'Node Details'!$B:$U,D$1,0),"Check"),"")</f>
        <v>AXW</v>
      </c>
      <c r="E667" s="100" t="str">
        <f>IF($B667&lt;&gt;"",_xlfn.IFNA(VLOOKUP($B667,'Node Details'!$B:$U,E$1,0),"Check"),"")</f>
        <v>Airtel</v>
      </c>
      <c r="F667" s="101">
        <v>46114</v>
      </c>
      <c r="G667" s="103"/>
      <c r="H667" s="102" t="s">
        <v>1256</v>
      </c>
      <c r="I667" s="9">
        <v>1</v>
      </c>
      <c r="J667" s="9">
        <v>48</v>
      </c>
      <c r="K667" s="100">
        <f t="shared" si="92"/>
        <v>48</v>
      </c>
      <c r="L667" s="78">
        <v>46112</v>
      </c>
      <c r="M667" s="103"/>
      <c r="N667" s="93" t="s">
        <v>373</v>
      </c>
      <c r="O667" s="94">
        <v>46146</v>
      </c>
      <c r="P667" s="104">
        <f t="shared" si="94"/>
        <v>48</v>
      </c>
      <c r="Q667" s="104">
        <f t="shared" si="95"/>
        <v>48</v>
      </c>
      <c r="R667" s="104"/>
      <c r="S667" s="93" t="s">
        <v>374</v>
      </c>
      <c r="T667" s="94">
        <v>46156</v>
      </c>
      <c r="U667" s="104">
        <f t="shared" si="96"/>
        <v>48</v>
      </c>
      <c r="V667" s="104">
        <f t="shared" si="97"/>
        <v>1</v>
      </c>
      <c r="W667" s="103">
        <f t="shared" si="98"/>
        <v>48</v>
      </c>
      <c r="X667" s="93" t="s">
        <v>89</v>
      </c>
      <c r="Y667" s="105" t="s">
        <v>84</v>
      </c>
      <c r="Z667" s="105" t="s">
        <v>93</v>
      </c>
    </row>
    <row r="668" spans="1:26" s="105" customFormat="1" ht="15" customHeight="1">
      <c r="A668" s="99">
        <f t="shared" si="93"/>
        <v>666</v>
      </c>
      <c r="B668" s="75" t="s">
        <v>1062</v>
      </c>
      <c r="C668" s="100" t="str">
        <f>IF($B668&lt;&gt;"",_xlfn.IFNA(VLOOKUP($B668,'Node Details'!$B:$U,C$1,0),"Check"),"")</f>
        <v>AXW030104-AXW030108</v>
      </c>
      <c r="D668" s="100" t="str">
        <f>IF($B668&lt;&gt;"",_xlfn.IFNA(VLOOKUP($B668,'Node Details'!$B:$U,D$1,0),"Check"),"")</f>
        <v>AXW</v>
      </c>
      <c r="E668" s="100" t="str">
        <f>IF($B668&lt;&gt;"",_xlfn.IFNA(VLOOKUP($B668,'Node Details'!$B:$U,E$1,0),"Check"),"")</f>
        <v>Airtel</v>
      </c>
      <c r="F668" s="101">
        <v>46114</v>
      </c>
      <c r="G668" s="103"/>
      <c r="H668" s="102" t="s">
        <v>1256</v>
      </c>
      <c r="I668" s="9">
        <v>1</v>
      </c>
      <c r="J668" s="9">
        <v>48</v>
      </c>
      <c r="K668" s="100">
        <f t="shared" si="92"/>
        <v>48</v>
      </c>
      <c r="L668" s="78">
        <v>46112</v>
      </c>
      <c r="M668" s="103"/>
      <c r="N668" s="93" t="s">
        <v>373</v>
      </c>
      <c r="O668" s="94">
        <v>46146</v>
      </c>
      <c r="P668" s="104">
        <f t="shared" si="94"/>
        <v>48</v>
      </c>
      <c r="Q668" s="104">
        <f t="shared" si="95"/>
        <v>48</v>
      </c>
      <c r="R668" s="104"/>
      <c r="S668" s="93" t="s">
        <v>374</v>
      </c>
      <c r="T668" s="94">
        <v>46156</v>
      </c>
      <c r="U668" s="104">
        <f t="shared" si="96"/>
        <v>48</v>
      </c>
      <c r="V668" s="104">
        <f t="shared" si="97"/>
        <v>1</v>
      </c>
      <c r="W668" s="103">
        <f t="shared" si="98"/>
        <v>48</v>
      </c>
      <c r="X668" s="93" t="s">
        <v>89</v>
      </c>
      <c r="Y668" s="105" t="s">
        <v>84</v>
      </c>
      <c r="Z668" s="105" t="s">
        <v>93</v>
      </c>
    </row>
    <row r="669" spans="1:26" s="105" customFormat="1" ht="15" customHeight="1">
      <c r="A669" s="99">
        <f t="shared" si="93"/>
        <v>667</v>
      </c>
      <c r="B669" s="75" t="s">
        <v>412</v>
      </c>
      <c r="C669" s="100" t="str">
        <f>IF($B669&lt;&gt;"",_xlfn.IFNA(VLOOKUP($B669,'Node Details'!$B:$U,C$1,0),"Check"),"")</f>
        <v>AXW030104-AXW030108</v>
      </c>
      <c r="D669" s="100" t="str">
        <f>IF($B669&lt;&gt;"",_xlfn.IFNA(VLOOKUP($B669,'Node Details'!$B:$U,D$1,0),"Check"),"")</f>
        <v>AXW</v>
      </c>
      <c r="E669" s="100" t="str">
        <f>IF($B669&lt;&gt;"",_xlfn.IFNA(VLOOKUP($B669,'Node Details'!$B:$U,E$1,0),"Check"),"")</f>
        <v>Airtel</v>
      </c>
      <c r="F669" s="101">
        <v>46114</v>
      </c>
      <c r="G669" s="103"/>
      <c r="H669" s="102" t="s">
        <v>1256</v>
      </c>
      <c r="I669" s="9">
        <v>1</v>
      </c>
      <c r="J669" s="9">
        <v>48</v>
      </c>
      <c r="K669" s="100">
        <f t="shared" si="92"/>
        <v>48</v>
      </c>
      <c r="L669" s="78">
        <v>46112</v>
      </c>
      <c r="M669" s="103"/>
      <c r="N669" s="93" t="s">
        <v>373</v>
      </c>
      <c r="O669" s="94">
        <v>46146</v>
      </c>
      <c r="P669" s="104">
        <f t="shared" si="94"/>
        <v>48</v>
      </c>
      <c r="Q669" s="104">
        <f t="shared" si="95"/>
        <v>48</v>
      </c>
      <c r="R669" s="104"/>
      <c r="S669" s="93" t="s">
        <v>374</v>
      </c>
      <c r="T669" s="94">
        <v>46156</v>
      </c>
      <c r="U669" s="104">
        <f t="shared" si="96"/>
        <v>48</v>
      </c>
      <c r="V669" s="104">
        <f t="shared" si="97"/>
        <v>1</v>
      </c>
      <c r="W669" s="103">
        <f t="shared" si="98"/>
        <v>48</v>
      </c>
      <c r="X669" s="93" t="s">
        <v>89</v>
      </c>
      <c r="Y669" s="105" t="s">
        <v>84</v>
      </c>
      <c r="Z669" s="105" t="s">
        <v>93</v>
      </c>
    </row>
    <row r="670" spans="1:26" s="105" customFormat="1" ht="15" customHeight="1">
      <c r="A670" s="99">
        <f t="shared" si="93"/>
        <v>668</v>
      </c>
      <c r="B670" s="75" t="s">
        <v>414</v>
      </c>
      <c r="C670" s="100" t="str">
        <f>IF($B670&lt;&gt;"",_xlfn.IFNA(VLOOKUP($B670,'Node Details'!$B:$U,C$1,0),"Check"),"")</f>
        <v>000000AXW-0000AXW05</v>
      </c>
      <c r="D670" s="100" t="str">
        <f>IF($B670&lt;&gt;"",_xlfn.IFNA(VLOOKUP($B670,'Node Details'!$B:$U,D$1,0),"Check"),"")</f>
        <v>AXW</v>
      </c>
      <c r="E670" s="100" t="str">
        <f>IF($B670&lt;&gt;"",_xlfn.IFNA(VLOOKUP($B670,'Node Details'!$B:$U,E$1,0),"Check"),"")</f>
        <v>Airtel</v>
      </c>
      <c r="F670" s="101">
        <v>46114</v>
      </c>
      <c r="G670" s="103"/>
      <c r="H670" s="102" t="s">
        <v>1256</v>
      </c>
      <c r="I670" s="9">
        <v>1</v>
      </c>
      <c r="J670" s="9">
        <v>48</v>
      </c>
      <c r="K670" s="100">
        <f t="shared" si="92"/>
        <v>48</v>
      </c>
      <c r="L670" s="78">
        <v>46112</v>
      </c>
      <c r="M670" s="103"/>
      <c r="N670" s="93" t="s">
        <v>373</v>
      </c>
      <c r="O670" s="94">
        <v>46146</v>
      </c>
      <c r="P670" s="104">
        <f t="shared" si="94"/>
        <v>48</v>
      </c>
      <c r="Q670" s="104">
        <f t="shared" si="95"/>
        <v>48</v>
      </c>
      <c r="R670" s="104"/>
      <c r="S670" s="93" t="s">
        <v>374</v>
      </c>
      <c r="T670" s="94">
        <v>46156</v>
      </c>
      <c r="U670" s="104">
        <f t="shared" si="96"/>
        <v>48</v>
      </c>
      <c r="V670" s="104">
        <f t="shared" si="97"/>
        <v>1</v>
      </c>
      <c r="W670" s="103">
        <f t="shared" si="98"/>
        <v>48</v>
      </c>
      <c r="X670" s="93" t="s">
        <v>89</v>
      </c>
      <c r="Y670" s="105" t="s">
        <v>84</v>
      </c>
      <c r="Z670" s="105" t="s">
        <v>93</v>
      </c>
    </row>
    <row r="671" spans="1:26" s="105" customFormat="1" ht="15" customHeight="1">
      <c r="A671" s="99">
        <f t="shared" si="93"/>
        <v>669</v>
      </c>
      <c r="B671" s="75" t="s">
        <v>1063</v>
      </c>
      <c r="C671" s="100" t="str">
        <f>IF($B671&lt;&gt;"",_xlfn.IFNA(VLOOKUP($B671,'Node Details'!$B:$U,C$1,0),"Check"),"")</f>
        <v>0000AXW04-AXW040102</v>
      </c>
      <c r="D671" s="100" t="str">
        <f>IF($B671&lt;&gt;"",_xlfn.IFNA(VLOOKUP($B671,'Node Details'!$B:$U,D$1,0),"Check"),"")</f>
        <v>AXW</v>
      </c>
      <c r="E671" s="100" t="str">
        <f>IF($B671&lt;&gt;"",_xlfn.IFNA(VLOOKUP($B671,'Node Details'!$B:$U,E$1,0),"Check"),"")</f>
        <v>Airtel</v>
      </c>
      <c r="F671" s="101">
        <v>46114</v>
      </c>
      <c r="G671" s="103"/>
      <c r="H671" s="102" t="s">
        <v>1256</v>
      </c>
      <c r="I671" s="9">
        <v>1</v>
      </c>
      <c r="J671" s="9">
        <v>48</v>
      </c>
      <c r="K671" s="100">
        <f t="shared" si="92"/>
        <v>48</v>
      </c>
      <c r="L671" s="78">
        <v>46112</v>
      </c>
      <c r="M671" s="103"/>
      <c r="N671" s="93" t="s">
        <v>373</v>
      </c>
      <c r="O671" s="94">
        <v>46146</v>
      </c>
      <c r="P671" s="104">
        <f t="shared" si="94"/>
        <v>48</v>
      </c>
      <c r="Q671" s="104">
        <f t="shared" si="95"/>
        <v>48</v>
      </c>
      <c r="R671" s="104"/>
      <c r="S671" s="93" t="s">
        <v>374</v>
      </c>
      <c r="T671" s="94">
        <v>46156</v>
      </c>
      <c r="U671" s="104">
        <f t="shared" si="96"/>
        <v>48</v>
      </c>
      <c r="V671" s="104">
        <f t="shared" si="97"/>
        <v>1</v>
      </c>
      <c r="W671" s="103">
        <f t="shared" si="98"/>
        <v>48</v>
      </c>
      <c r="X671" s="93" t="s">
        <v>89</v>
      </c>
      <c r="Y671" s="105" t="s">
        <v>84</v>
      </c>
      <c r="Z671" s="105" t="s">
        <v>93</v>
      </c>
    </row>
    <row r="672" spans="1:26" s="105" customFormat="1" ht="15" customHeight="1">
      <c r="A672" s="99">
        <f t="shared" si="93"/>
        <v>670</v>
      </c>
      <c r="B672" s="75" t="s">
        <v>415</v>
      </c>
      <c r="C672" s="100" t="str">
        <f>IF($B672&lt;&gt;"",_xlfn.IFNA(VLOOKUP($B672,'Node Details'!$B:$U,C$1,0),"Check"),"")</f>
        <v>0000AXW04-AXW040102</v>
      </c>
      <c r="D672" s="100" t="str">
        <f>IF($B672&lt;&gt;"",_xlfn.IFNA(VLOOKUP($B672,'Node Details'!$B:$U,D$1,0),"Check"),"")</f>
        <v>AXW</v>
      </c>
      <c r="E672" s="100" t="str">
        <f>IF($B672&lt;&gt;"",_xlfn.IFNA(VLOOKUP($B672,'Node Details'!$B:$U,E$1,0),"Check"),"")</f>
        <v>Airtel</v>
      </c>
      <c r="F672" s="101">
        <v>46114</v>
      </c>
      <c r="G672" s="103"/>
      <c r="H672" s="102" t="s">
        <v>1256</v>
      </c>
      <c r="I672" s="9">
        <v>1</v>
      </c>
      <c r="J672" s="9">
        <v>48</v>
      </c>
      <c r="K672" s="100">
        <f t="shared" si="92"/>
        <v>48</v>
      </c>
      <c r="L672" s="78">
        <v>46112</v>
      </c>
      <c r="M672" s="103"/>
      <c r="N672" s="93" t="s">
        <v>373</v>
      </c>
      <c r="O672" s="94">
        <v>46146</v>
      </c>
      <c r="P672" s="104">
        <f t="shared" si="94"/>
        <v>48</v>
      </c>
      <c r="Q672" s="104">
        <f t="shared" si="95"/>
        <v>48</v>
      </c>
      <c r="R672" s="104"/>
      <c r="S672" s="93" t="s">
        <v>374</v>
      </c>
      <c r="T672" s="94">
        <v>46156</v>
      </c>
      <c r="U672" s="104">
        <f t="shared" si="96"/>
        <v>48</v>
      </c>
      <c r="V672" s="104">
        <f t="shared" si="97"/>
        <v>1</v>
      </c>
      <c r="W672" s="103">
        <f t="shared" si="98"/>
        <v>48</v>
      </c>
      <c r="X672" s="93" t="s">
        <v>89</v>
      </c>
      <c r="Y672" s="105" t="s">
        <v>84</v>
      </c>
      <c r="Z672" s="105" t="s">
        <v>93</v>
      </c>
    </row>
    <row r="673" spans="1:26" s="105" customFormat="1" ht="15" customHeight="1">
      <c r="A673" s="99">
        <f t="shared" si="93"/>
        <v>671</v>
      </c>
      <c r="B673" s="75" t="s">
        <v>1064</v>
      </c>
      <c r="C673" s="100" t="str">
        <f>IF($B673&lt;&gt;"",_xlfn.IFNA(VLOOKUP($B673,'Node Details'!$B:$U,C$1,0),"Check"),"")</f>
        <v>0000AXW04-AXW040105</v>
      </c>
      <c r="D673" s="100" t="str">
        <f>IF($B673&lt;&gt;"",_xlfn.IFNA(VLOOKUP($B673,'Node Details'!$B:$U,D$1,0),"Check"),"")</f>
        <v>AXW</v>
      </c>
      <c r="E673" s="100" t="str">
        <f>IF($B673&lt;&gt;"",_xlfn.IFNA(VLOOKUP($B673,'Node Details'!$B:$U,E$1,0),"Check"),"")</f>
        <v>Airtel</v>
      </c>
      <c r="F673" s="101">
        <v>46114</v>
      </c>
      <c r="G673" s="103"/>
      <c r="H673" s="102" t="s">
        <v>1256</v>
      </c>
      <c r="I673" s="9">
        <v>1</v>
      </c>
      <c r="J673" s="9">
        <v>48</v>
      </c>
      <c r="K673" s="100">
        <f t="shared" si="92"/>
        <v>48</v>
      </c>
      <c r="L673" s="78">
        <v>46112</v>
      </c>
      <c r="M673" s="103"/>
      <c r="N673" s="93" t="s">
        <v>373</v>
      </c>
      <c r="O673" s="94">
        <v>46146</v>
      </c>
      <c r="P673" s="104">
        <f t="shared" si="94"/>
        <v>48</v>
      </c>
      <c r="Q673" s="104">
        <f t="shared" si="95"/>
        <v>48</v>
      </c>
      <c r="R673" s="104"/>
      <c r="S673" s="93" t="s">
        <v>374</v>
      </c>
      <c r="T673" s="94">
        <v>46156</v>
      </c>
      <c r="U673" s="104">
        <f t="shared" si="96"/>
        <v>48</v>
      </c>
      <c r="V673" s="104">
        <f t="shared" si="97"/>
        <v>1</v>
      </c>
      <c r="W673" s="103">
        <f t="shared" si="98"/>
        <v>48</v>
      </c>
      <c r="X673" s="93" t="s">
        <v>89</v>
      </c>
      <c r="Y673" s="105" t="s">
        <v>84</v>
      </c>
      <c r="Z673" s="105" t="s">
        <v>93</v>
      </c>
    </row>
    <row r="674" spans="1:26" s="105" customFormat="1" ht="15" customHeight="1">
      <c r="A674" s="99">
        <f t="shared" si="93"/>
        <v>672</v>
      </c>
      <c r="B674" s="75" t="s">
        <v>417</v>
      </c>
      <c r="C674" s="100" t="str">
        <f>IF($B674&lt;&gt;"",_xlfn.IFNA(VLOOKUP($B674,'Node Details'!$B:$U,C$1,0),"Check"),"")</f>
        <v>0000AXW04-AXW040105</v>
      </c>
      <c r="D674" s="100" t="str">
        <f>IF($B674&lt;&gt;"",_xlfn.IFNA(VLOOKUP($B674,'Node Details'!$B:$U,D$1,0),"Check"),"")</f>
        <v>AXW</v>
      </c>
      <c r="E674" s="100" t="str">
        <f>IF($B674&lt;&gt;"",_xlfn.IFNA(VLOOKUP($B674,'Node Details'!$B:$U,E$1,0),"Check"),"")</f>
        <v>Airtel</v>
      </c>
      <c r="F674" s="101">
        <v>46114</v>
      </c>
      <c r="G674" s="103"/>
      <c r="H674" s="102" t="s">
        <v>1256</v>
      </c>
      <c r="I674" s="9">
        <v>1</v>
      </c>
      <c r="J674" s="9">
        <v>48</v>
      </c>
      <c r="K674" s="100">
        <f t="shared" si="92"/>
        <v>48</v>
      </c>
      <c r="L674" s="78">
        <v>46112</v>
      </c>
      <c r="M674" s="103"/>
      <c r="N674" s="93" t="s">
        <v>373</v>
      </c>
      <c r="O674" s="94">
        <v>46146</v>
      </c>
      <c r="P674" s="104">
        <f t="shared" si="94"/>
        <v>48</v>
      </c>
      <c r="Q674" s="104">
        <f t="shared" si="95"/>
        <v>48</v>
      </c>
      <c r="R674" s="104"/>
      <c r="S674" s="93" t="s">
        <v>374</v>
      </c>
      <c r="T674" s="94">
        <v>46156</v>
      </c>
      <c r="U674" s="104">
        <f t="shared" si="96"/>
        <v>48</v>
      </c>
      <c r="V674" s="104">
        <f t="shared" si="97"/>
        <v>1</v>
      </c>
      <c r="W674" s="103">
        <f t="shared" si="98"/>
        <v>48</v>
      </c>
      <c r="X674" s="93" t="s">
        <v>89</v>
      </c>
      <c r="Y674" s="105" t="s">
        <v>84</v>
      </c>
      <c r="Z674" s="105" t="s">
        <v>93</v>
      </c>
    </row>
    <row r="675" spans="1:26" s="105" customFormat="1" ht="15" customHeight="1">
      <c r="A675" s="99">
        <f t="shared" si="93"/>
        <v>673</v>
      </c>
      <c r="B675" s="75" t="s">
        <v>1065</v>
      </c>
      <c r="C675" s="100" t="str">
        <f>IF($B675&lt;&gt;"",_xlfn.IFNA(VLOOKUP($B675,'Node Details'!$B:$U,C$1,0),"Check"),"")</f>
        <v>00AXW-FMS-AXW040201</v>
      </c>
      <c r="D675" s="100" t="str">
        <f>IF($B675&lt;&gt;"",_xlfn.IFNA(VLOOKUP($B675,'Node Details'!$B:$U,D$1,0),"Check"),"")</f>
        <v>AXW</v>
      </c>
      <c r="E675" s="100" t="str">
        <f>IF($B675&lt;&gt;"",_xlfn.IFNA(VLOOKUP($B675,'Node Details'!$B:$U,E$1,0),"Check"),"")</f>
        <v>Airtel</v>
      </c>
      <c r="F675" s="101">
        <v>46114</v>
      </c>
      <c r="G675" s="103"/>
      <c r="H675" s="102" t="s">
        <v>1256</v>
      </c>
      <c r="I675" s="9">
        <v>1</v>
      </c>
      <c r="J675" s="9">
        <v>48</v>
      </c>
      <c r="K675" s="100">
        <f t="shared" si="92"/>
        <v>48</v>
      </c>
      <c r="L675" s="78">
        <v>46112</v>
      </c>
      <c r="M675" s="103"/>
      <c r="N675" s="93" t="s">
        <v>373</v>
      </c>
      <c r="O675" s="94">
        <v>46146</v>
      </c>
      <c r="P675" s="104">
        <f t="shared" si="94"/>
        <v>48</v>
      </c>
      <c r="Q675" s="104">
        <f t="shared" si="95"/>
        <v>48</v>
      </c>
      <c r="R675" s="104"/>
      <c r="S675" s="93" t="s">
        <v>374</v>
      </c>
      <c r="T675" s="94">
        <v>46156</v>
      </c>
      <c r="U675" s="104">
        <f t="shared" si="96"/>
        <v>48</v>
      </c>
      <c r="V675" s="104">
        <f t="shared" si="97"/>
        <v>1</v>
      </c>
      <c r="W675" s="103">
        <f t="shared" si="98"/>
        <v>48</v>
      </c>
      <c r="X675" s="93" t="s">
        <v>89</v>
      </c>
      <c r="Y675" s="105" t="s">
        <v>84</v>
      </c>
      <c r="Z675" s="105" t="s">
        <v>93</v>
      </c>
    </row>
    <row r="676" spans="1:26" s="105" customFormat="1" ht="15" customHeight="1">
      <c r="A676" s="99">
        <f t="shared" si="93"/>
        <v>674</v>
      </c>
      <c r="B676" s="75" t="s">
        <v>1066</v>
      </c>
      <c r="C676" s="100" t="str">
        <f>IF($B676&lt;&gt;"",_xlfn.IFNA(VLOOKUP($B676,'Node Details'!$B:$U,C$1,0),"Check"),"")</f>
        <v>00AXW-FMS-AXW040201</v>
      </c>
      <c r="D676" s="100" t="str">
        <f>IF($B676&lt;&gt;"",_xlfn.IFNA(VLOOKUP($B676,'Node Details'!$B:$U,D$1,0),"Check"),"")</f>
        <v>AXW</v>
      </c>
      <c r="E676" s="100" t="str">
        <f>IF($B676&lt;&gt;"",_xlfn.IFNA(VLOOKUP($B676,'Node Details'!$B:$U,E$1,0),"Check"),"")</f>
        <v>Airtel</v>
      </c>
      <c r="F676" s="101">
        <v>46114</v>
      </c>
      <c r="G676" s="103"/>
      <c r="H676" s="102" t="s">
        <v>1256</v>
      </c>
      <c r="I676" s="9">
        <v>1</v>
      </c>
      <c r="J676" s="9">
        <v>48</v>
      </c>
      <c r="K676" s="100">
        <f t="shared" si="92"/>
        <v>48</v>
      </c>
      <c r="L676" s="78">
        <v>46112</v>
      </c>
      <c r="M676" s="103"/>
      <c r="N676" s="93" t="s">
        <v>373</v>
      </c>
      <c r="O676" s="94">
        <v>46146</v>
      </c>
      <c r="P676" s="104">
        <f t="shared" si="94"/>
        <v>48</v>
      </c>
      <c r="Q676" s="104">
        <f t="shared" si="95"/>
        <v>48</v>
      </c>
      <c r="R676" s="104"/>
      <c r="S676" s="93" t="s">
        <v>374</v>
      </c>
      <c r="T676" s="94">
        <v>46156</v>
      </c>
      <c r="U676" s="104">
        <f t="shared" si="96"/>
        <v>48</v>
      </c>
      <c r="V676" s="104">
        <f t="shared" si="97"/>
        <v>1</v>
      </c>
      <c r="W676" s="103">
        <f t="shared" si="98"/>
        <v>48</v>
      </c>
      <c r="X676" s="93" t="s">
        <v>89</v>
      </c>
      <c r="Y676" s="105" t="s">
        <v>84</v>
      </c>
      <c r="Z676" s="105" t="s">
        <v>93</v>
      </c>
    </row>
    <row r="677" spans="1:26" s="105" customFormat="1" ht="15" customHeight="1">
      <c r="A677" s="99">
        <f t="shared" si="93"/>
        <v>675</v>
      </c>
      <c r="B677" s="75" t="s">
        <v>1067</v>
      </c>
      <c r="C677" s="100" t="str">
        <f>IF($B677&lt;&gt;"",_xlfn.IFNA(VLOOKUP($B677,'Node Details'!$B:$U,C$1,0),"Check"),"")</f>
        <v>00AXW-FMS-AXW040201</v>
      </c>
      <c r="D677" s="100" t="str">
        <f>IF($B677&lt;&gt;"",_xlfn.IFNA(VLOOKUP($B677,'Node Details'!$B:$U,D$1,0),"Check"),"")</f>
        <v>AXW</v>
      </c>
      <c r="E677" s="100" t="str">
        <f>IF($B677&lt;&gt;"",_xlfn.IFNA(VLOOKUP($B677,'Node Details'!$B:$U,E$1,0),"Check"),"")</f>
        <v>Airtel</v>
      </c>
      <c r="F677" s="101">
        <v>46114</v>
      </c>
      <c r="G677" s="103"/>
      <c r="H677" s="102" t="s">
        <v>1256</v>
      </c>
      <c r="I677" s="9">
        <v>1</v>
      </c>
      <c r="J677" s="9">
        <v>48</v>
      </c>
      <c r="K677" s="100">
        <f t="shared" si="92"/>
        <v>48</v>
      </c>
      <c r="L677" s="78">
        <v>46112</v>
      </c>
      <c r="M677" s="103"/>
      <c r="N677" s="93" t="s">
        <v>373</v>
      </c>
      <c r="O677" s="94">
        <v>46146</v>
      </c>
      <c r="P677" s="104">
        <f t="shared" si="94"/>
        <v>48</v>
      </c>
      <c r="Q677" s="104">
        <f t="shared" si="95"/>
        <v>48</v>
      </c>
      <c r="R677" s="104"/>
      <c r="S677" s="93" t="s">
        <v>374</v>
      </c>
      <c r="T677" s="94">
        <v>46156</v>
      </c>
      <c r="U677" s="104">
        <f t="shared" si="96"/>
        <v>48</v>
      </c>
      <c r="V677" s="104">
        <f t="shared" si="97"/>
        <v>1</v>
      </c>
      <c r="W677" s="103">
        <f t="shared" si="98"/>
        <v>48</v>
      </c>
      <c r="X677" s="93" t="s">
        <v>89</v>
      </c>
      <c r="Y677" s="105" t="s">
        <v>84</v>
      </c>
      <c r="Z677" s="105" t="s">
        <v>93</v>
      </c>
    </row>
    <row r="678" spans="1:26" s="105" customFormat="1" ht="15" customHeight="1">
      <c r="A678" s="99">
        <f t="shared" si="93"/>
        <v>676</v>
      </c>
      <c r="B678" s="75" t="s">
        <v>420</v>
      </c>
      <c r="C678" s="100" t="str">
        <f>IF($B678&lt;&gt;"",_xlfn.IFNA(VLOOKUP($B678,'Node Details'!$B:$U,C$1,0),"Check"),"")</f>
        <v>00AXW-FMS-AXW040201</v>
      </c>
      <c r="D678" s="100" t="str">
        <f>IF($B678&lt;&gt;"",_xlfn.IFNA(VLOOKUP($B678,'Node Details'!$B:$U,D$1,0),"Check"),"")</f>
        <v>AXW</v>
      </c>
      <c r="E678" s="100" t="str">
        <f>IF($B678&lt;&gt;"",_xlfn.IFNA(VLOOKUP($B678,'Node Details'!$B:$U,E$1,0),"Check"),"")</f>
        <v>Airtel</v>
      </c>
      <c r="F678" s="101">
        <v>46114</v>
      </c>
      <c r="G678" s="103"/>
      <c r="H678" s="102" t="s">
        <v>1256</v>
      </c>
      <c r="I678" s="9">
        <v>1</v>
      </c>
      <c r="J678" s="9">
        <v>48</v>
      </c>
      <c r="K678" s="100">
        <f t="shared" si="92"/>
        <v>48</v>
      </c>
      <c r="L678" s="78">
        <v>46112</v>
      </c>
      <c r="M678" s="103"/>
      <c r="N678" s="93" t="s">
        <v>373</v>
      </c>
      <c r="O678" s="94">
        <v>46146</v>
      </c>
      <c r="P678" s="104">
        <f t="shared" si="94"/>
        <v>48</v>
      </c>
      <c r="Q678" s="104">
        <f t="shared" si="95"/>
        <v>48</v>
      </c>
      <c r="R678" s="104"/>
      <c r="S678" s="93" t="s">
        <v>374</v>
      </c>
      <c r="T678" s="94">
        <v>46156</v>
      </c>
      <c r="U678" s="104">
        <f t="shared" si="96"/>
        <v>48</v>
      </c>
      <c r="V678" s="104">
        <f t="shared" si="97"/>
        <v>1</v>
      </c>
      <c r="W678" s="103">
        <f t="shared" si="98"/>
        <v>48</v>
      </c>
      <c r="X678" s="93" t="s">
        <v>89</v>
      </c>
      <c r="Y678" s="105" t="s">
        <v>84</v>
      </c>
      <c r="Z678" s="105" t="s">
        <v>93</v>
      </c>
    </row>
    <row r="679" spans="1:26" s="105" customFormat="1" ht="15" customHeight="1">
      <c r="A679" s="99">
        <f t="shared" si="93"/>
        <v>677</v>
      </c>
      <c r="B679" s="75" t="s">
        <v>422</v>
      </c>
      <c r="C679" s="100" t="str">
        <f>IF($B679&lt;&gt;"",_xlfn.IFNA(VLOOKUP($B679,'Node Details'!$B:$U,C$1,0),"Check"),"")</f>
        <v>00AXW-FMS-AXW040202</v>
      </c>
      <c r="D679" s="100" t="str">
        <f>IF($B679&lt;&gt;"",_xlfn.IFNA(VLOOKUP($B679,'Node Details'!$B:$U,D$1,0),"Check"),"")</f>
        <v>AXW</v>
      </c>
      <c r="E679" s="100" t="str">
        <f>IF($B679&lt;&gt;"",_xlfn.IFNA(VLOOKUP($B679,'Node Details'!$B:$U,E$1,0),"Check"),"")</f>
        <v>Airtel</v>
      </c>
      <c r="F679" s="101">
        <v>46114</v>
      </c>
      <c r="G679" s="103"/>
      <c r="H679" s="102" t="s">
        <v>1256</v>
      </c>
      <c r="I679" s="9">
        <v>1</v>
      </c>
      <c r="J679" s="9">
        <v>48</v>
      </c>
      <c r="K679" s="100">
        <f t="shared" si="92"/>
        <v>48</v>
      </c>
      <c r="L679" s="78">
        <v>46112</v>
      </c>
      <c r="M679" s="103"/>
      <c r="N679" s="93" t="s">
        <v>373</v>
      </c>
      <c r="O679" s="94">
        <v>46146</v>
      </c>
      <c r="P679" s="104">
        <f t="shared" si="94"/>
        <v>48</v>
      </c>
      <c r="Q679" s="104">
        <f t="shared" si="95"/>
        <v>48</v>
      </c>
      <c r="R679" s="104"/>
      <c r="S679" s="93" t="s">
        <v>374</v>
      </c>
      <c r="T679" s="94">
        <v>46156</v>
      </c>
      <c r="U679" s="104">
        <f t="shared" si="96"/>
        <v>48</v>
      </c>
      <c r="V679" s="104">
        <f t="shared" si="97"/>
        <v>1</v>
      </c>
      <c r="W679" s="103">
        <f t="shared" si="98"/>
        <v>48</v>
      </c>
      <c r="X679" s="93" t="s">
        <v>89</v>
      </c>
      <c r="Y679" s="105" t="s">
        <v>84</v>
      </c>
      <c r="Z679" s="105" t="s">
        <v>93</v>
      </c>
    </row>
    <row r="680" spans="1:26" s="105" customFormat="1" ht="15" customHeight="1">
      <c r="A680" s="99">
        <f t="shared" si="93"/>
        <v>678</v>
      </c>
      <c r="B680" s="75" t="s">
        <v>372</v>
      </c>
      <c r="C680" s="100" t="str">
        <f>IF($B680&lt;&gt;"",_xlfn.IFNA(VLOOKUP($B680,'Node Details'!$B:$U,C$1,0),"Check"),"")</f>
        <v>000000AXW-0000AXW05</v>
      </c>
      <c r="D680" s="100" t="str">
        <f>IF($B680&lt;&gt;"",_xlfn.IFNA(VLOOKUP($B680,'Node Details'!$B:$U,D$1,0),"Check"),"")</f>
        <v>AXW</v>
      </c>
      <c r="E680" s="100" t="str">
        <f>IF($B680&lt;&gt;"",_xlfn.IFNA(VLOOKUP($B680,'Node Details'!$B:$U,E$1,0),"Check"),"")</f>
        <v>Airtel</v>
      </c>
      <c r="F680" s="101">
        <v>46114</v>
      </c>
      <c r="G680" s="103"/>
      <c r="H680" s="102" t="s">
        <v>1256</v>
      </c>
      <c r="I680" s="9">
        <v>1</v>
      </c>
      <c r="J680" s="9">
        <v>48</v>
      </c>
      <c r="K680" s="100">
        <f t="shared" si="92"/>
        <v>48</v>
      </c>
      <c r="L680" s="78">
        <v>46112</v>
      </c>
      <c r="M680" s="103"/>
      <c r="N680" s="93" t="s">
        <v>373</v>
      </c>
      <c r="O680" s="94">
        <v>46146</v>
      </c>
      <c r="P680" s="104">
        <f t="shared" si="94"/>
        <v>48</v>
      </c>
      <c r="Q680" s="104">
        <f t="shared" si="95"/>
        <v>48</v>
      </c>
      <c r="R680" s="104"/>
      <c r="S680" s="93" t="s">
        <v>374</v>
      </c>
      <c r="T680" s="94">
        <v>46156</v>
      </c>
      <c r="U680" s="104">
        <f t="shared" si="96"/>
        <v>48</v>
      </c>
      <c r="V680" s="104">
        <f t="shared" si="97"/>
        <v>1</v>
      </c>
      <c r="W680" s="103">
        <f t="shared" si="98"/>
        <v>48</v>
      </c>
      <c r="X680" s="93" t="s">
        <v>89</v>
      </c>
      <c r="Y680" s="105" t="s">
        <v>84</v>
      </c>
      <c r="Z680" s="105" t="s">
        <v>93</v>
      </c>
    </row>
    <row r="681" spans="1:26" s="105" customFormat="1" ht="15" customHeight="1">
      <c r="A681" s="99">
        <f t="shared" si="93"/>
        <v>679</v>
      </c>
      <c r="B681" s="75" t="s">
        <v>424</v>
      </c>
      <c r="C681" s="100" t="str">
        <f>IF($B681&lt;&gt;"",_xlfn.IFNA(VLOOKUP($B681,'Node Details'!$B:$U,C$1,0),"Check"),"")</f>
        <v>0000AXW05-AXW050101</v>
      </c>
      <c r="D681" s="100" t="str">
        <f>IF($B681&lt;&gt;"",_xlfn.IFNA(VLOOKUP($B681,'Node Details'!$B:$U,D$1,0),"Check"),"")</f>
        <v>AXW</v>
      </c>
      <c r="E681" s="100" t="str">
        <f>IF($B681&lt;&gt;"",_xlfn.IFNA(VLOOKUP($B681,'Node Details'!$B:$U,E$1,0),"Check"),"")</f>
        <v>Airtel</v>
      </c>
      <c r="F681" s="101">
        <v>46114</v>
      </c>
      <c r="G681" s="103"/>
      <c r="H681" s="102" t="s">
        <v>1256</v>
      </c>
      <c r="I681" s="9">
        <v>1</v>
      </c>
      <c r="J681" s="9">
        <v>48</v>
      </c>
      <c r="K681" s="100">
        <f t="shared" si="92"/>
        <v>48</v>
      </c>
      <c r="L681" s="78">
        <v>46112</v>
      </c>
      <c r="M681" s="103"/>
      <c r="N681" s="93" t="s">
        <v>373</v>
      </c>
      <c r="O681" s="94">
        <v>46146</v>
      </c>
      <c r="P681" s="104">
        <f t="shared" si="94"/>
        <v>48</v>
      </c>
      <c r="Q681" s="104">
        <f t="shared" si="95"/>
        <v>48</v>
      </c>
      <c r="R681" s="104"/>
      <c r="S681" s="93" t="s">
        <v>374</v>
      </c>
      <c r="T681" s="94">
        <v>46156</v>
      </c>
      <c r="U681" s="104">
        <f t="shared" si="96"/>
        <v>48</v>
      </c>
      <c r="V681" s="104">
        <f t="shared" si="97"/>
        <v>1</v>
      </c>
      <c r="W681" s="103">
        <f t="shared" si="98"/>
        <v>48</v>
      </c>
      <c r="X681" s="93" t="s">
        <v>89</v>
      </c>
      <c r="Y681" s="105" t="s">
        <v>84</v>
      </c>
      <c r="Z681" s="105" t="s">
        <v>93</v>
      </c>
    </row>
    <row r="682" spans="1:26" s="105" customFormat="1" ht="15" customHeight="1">
      <c r="A682" s="99">
        <f t="shared" si="93"/>
        <v>680</v>
      </c>
      <c r="B682" s="75" t="s">
        <v>426</v>
      </c>
      <c r="C682" s="100" t="str">
        <f>IF($B682&lt;&gt;"",_xlfn.IFNA(VLOOKUP($B682,'Node Details'!$B:$U,C$1,0),"Check"),"")</f>
        <v>0000AXW05-AXW050102</v>
      </c>
      <c r="D682" s="100" t="str">
        <f>IF($B682&lt;&gt;"",_xlfn.IFNA(VLOOKUP($B682,'Node Details'!$B:$U,D$1,0),"Check"),"")</f>
        <v>AXW</v>
      </c>
      <c r="E682" s="100" t="str">
        <f>IF($B682&lt;&gt;"",_xlfn.IFNA(VLOOKUP($B682,'Node Details'!$B:$U,E$1,0),"Check"),"")</f>
        <v>Airtel</v>
      </c>
      <c r="F682" s="101">
        <v>46114</v>
      </c>
      <c r="G682" s="103"/>
      <c r="H682" s="102" t="s">
        <v>1256</v>
      </c>
      <c r="I682" s="9">
        <v>1</v>
      </c>
      <c r="J682" s="9">
        <v>48</v>
      </c>
      <c r="K682" s="100">
        <f t="shared" si="92"/>
        <v>48</v>
      </c>
      <c r="L682" s="78">
        <v>46112</v>
      </c>
      <c r="M682" s="103"/>
      <c r="N682" s="93" t="s">
        <v>373</v>
      </c>
      <c r="O682" s="94">
        <v>46146</v>
      </c>
      <c r="P682" s="104">
        <f t="shared" si="94"/>
        <v>48</v>
      </c>
      <c r="Q682" s="104">
        <f t="shared" si="95"/>
        <v>48</v>
      </c>
      <c r="R682" s="104"/>
      <c r="S682" s="93" t="s">
        <v>374</v>
      </c>
      <c r="T682" s="94">
        <v>46156</v>
      </c>
      <c r="U682" s="104">
        <f t="shared" si="96"/>
        <v>48</v>
      </c>
      <c r="V682" s="104">
        <f t="shared" si="97"/>
        <v>1</v>
      </c>
      <c r="W682" s="103">
        <f t="shared" si="98"/>
        <v>48</v>
      </c>
      <c r="X682" s="93" t="s">
        <v>89</v>
      </c>
      <c r="Y682" s="105" t="s">
        <v>84</v>
      </c>
      <c r="Z682" s="105" t="s">
        <v>93</v>
      </c>
    </row>
    <row r="683" spans="1:26" s="105" customFormat="1" ht="15" customHeight="1">
      <c r="A683" s="99">
        <f t="shared" si="93"/>
        <v>681</v>
      </c>
      <c r="B683" s="75" t="s">
        <v>428</v>
      </c>
      <c r="C683" s="100" t="str">
        <f>IF($B683&lt;&gt;"",_xlfn.IFNA(VLOOKUP($B683,'Node Details'!$B:$U,C$1,0),"Check"),"")</f>
        <v>0000AXW05-AXW050105</v>
      </c>
      <c r="D683" s="100" t="str">
        <f>IF($B683&lt;&gt;"",_xlfn.IFNA(VLOOKUP($B683,'Node Details'!$B:$U,D$1,0),"Check"),"")</f>
        <v>AXW</v>
      </c>
      <c r="E683" s="100" t="str">
        <f>IF($B683&lt;&gt;"",_xlfn.IFNA(VLOOKUP($B683,'Node Details'!$B:$U,E$1,0),"Check"),"")</f>
        <v>Airtel</v>
      </c>
      <c r="F683" s="101">
        <v>46114</v>
      </c>
      <c r="G683" s="103"/>
      <c r="H683" s="102" t="s">
        <v>1256</v>
      </c>
      <c r="I683" s="9">
        <v>1</v>
      </c>
      <c r="J683" s="9">
        <v>48</v>
      </c>
      <c r="K683" s="100">
        <f t="shared" si="92"/>
        <v>48</v>
      </c>
      <c r="L683" s="78">
        <v>46112</v>
      </c>
      <c r="M683" s="103"/>
      <c r="N683" s="93" t="s">
        <v>373</v>
      </c>
      <c r="O683" s="94">
        <v>46146</v>
      </c>
      <c r="P683" s="104">
        <f t="shared" si="94"/>
        <v>48</v>
      </c>
      <c r="Q683" s="104">
        <f t="shared" si="95"/>
        <v>48</v>
      </c>
      <c r="R683" s="104"/>
      <c r="S683" s="93" t="s">
        <v>374</v>
      </c>
      <c r="T683" s="94">
        <v>46156</v>
      </c>
      <c r="U683" s="104">
        <f t="shared" si="96"/>
        <v>48</v>
      </c>
      <c r="V683" s="104">
        <f t="shared" si="97"/>
        <v>1</v>
      </c>
      <c r="W683" s="103">
        <f t="shared" si="98"/>
        <v>48</v>
      </c>
      <c r="X683" s="93" t="s">
        <v>89</v>
      </c>
      <c r="Y683" s="105" t="s">
        <v>84</v>
      </c>
      <c r="Z683" s="105" t="s">
        <v>93</v>
      </c>
    </row>
    <row r="684" spans="1:26" s="105" customFormat="1" ht="15" customHeight="1">
      <c r="A684" s="99">
        <f t="shared" si="93"/>
        <v>682</v>
      </c>
      <c r="B684" s="75" t="s">
        <v>1068</v>
      </c>
      <c r="C684" s="100" t="str">
        <f>IF($B684&lt;&gt;"",_xlfn.IFNA(VLOOKUP($B684,'Node Details'!$B:$U,C$1,0),"Check"),"")</f>
        <v>0000AXW05-AXW050204</v>
      </c>
      <c r="D684" s="100" t="str">
        <f>IF($B684&lt;&gt;"",_xlfn.IFNA(VLOOKUP($B684,'Node Details'!$B:$U,D$1,0),"Check"),"")</f>
        <v>AXW</v>
      </c>
      <c r="E684" s="100" t="str">
        <f>IF($B684&lt;&gt;"",_xlfn.IFNA(VLOOKUP($B684,'Node Details'!$B:$U,E$1,0),"Check"),"")</f>
        <v>Airtel</v>
      </c>
      <c r="F684" s="101">
        <v>46114</v>
      </c>
      <c r="G684" s="103"/>
      <c r="H684" s="102" t="s">
        <v>1256</v>
      </c>
      <c r="I684" s="9">
        <v>1</v>
      </c>
      <c r="J684" s="9">
        <v>48</v>
      </c>
      <c r="K684" s="100">
        <f t="shared" si="92"/>
        <v>48</v>
      </c>
      <c r="L684" s="78">
        <v>46112</v>
      </c>
      <c r="M684" s="103"/>
      <c r="N684" s="93" t="s">
        <v>373</v>
      </c>
      <c r="O684" s="94">
        <v>46146</v>
      </c>
      <c r="P684" s="104">
        <f t="shared" si="94"/>
        <v>48</v>
      </c>
      <c r="Q684" s="104">
        <f t="shared" si="95"/>
        <v>48</v>
      </c>
      <c r="R684" s="104"/>
      <c r="S684" s="93" t="s">
        <v>374</v>
      </c>
      <c r="T684" s="94">
        <v>46156</v>
      </c>
      <c r="U684" s="104">
        <f t="shared" si="96"/>
        <v>48</v>
      </c>
      <c r="V684" s="104">
        <f t="shared" si="97"/>
        <v>1</v>
      </c>
      <c r="W684" s="103">
        <f t="shared" si="98"/>
        <v>48</v>
      </c>
      <c r="X684" s="93" t="s">
        <v>89</v>
      </c>
      <c r="Y684" s="105" t="s">
        <v>84</v>
      </c>
      <c r="Z684" s="105" t="s">
        <v>93</v>
      </c>
    </row>
    <row r="685" spans="1:26" s="105" customFormat="1" ht="15" customHeight="1">
      <c r="A685" s="99">
        <f t="shared" si="93"/>
        <v>683</v>
      </c>
      <c r="B685" s="75" t="s">
        <v>1069</v>
      </c>
      <c r="C685" s="100" t="str">
        <f>IF($B685&lt;&gt;"",_xlfn.IFNA(VLOOKUP($B685,'Node Details'!$B:$U,C$1,0),"Check"),"")</f>
        <v>0000AXW05-AXW050204</v>
      </c>
      <c r="D685" s="100" t="str">
        <f>IF($B685&lt;&gt;"",_xlfn.IFNA(VLOOKUP($B685,'Node Details'!$B:$U,D$1,0),"Check"),"")</f>
        <v>AXW</v>
      </c>
      <c r="E685" s="100" t="str">
        <f>IF($B685&lt;&gt;"",_xlfn.IFNA(VLOOKUP($B685,'Node Details'!$B:$U,E$1,0),"Check"),"")</f>
        <v>Airtel</v>
      </c>
      <c r="F685" s="101">
        <v>46114</v>
      </c>
      <c r="G685" s="103"/>
      <c r="H685" s="102" t="s">
        <v>1256</v>
      </c>
      <c r="I685" s="9">
        <v>1</v>
      </c>
      <c r="J685" s="9">
        <v>48</v>
      </c>
      <c r="K685" s="100">
        <f t="shared" si="92"/>
        <v>48</v>
      </c>
      <c r="L685" s="78">
        <v>46112</v>
      </c>
      <c r="M685" s="103"/>
      <c r="N685" s="93" t="s">
        <v>373</v>
      </c>
      <c r="O685" s="94">
        <v>46146</v>
      </c>
      <c r="P685" s="104">
        <f t="shared" si="94"/>
        <v>48</v>
      </c>
      <c r="Q685" s="104">
        <f t="shared" si="95"/>
        <v>48</v>
      </c>
      <c r="R685" s="104"/>
      <c r="S685" s="93" t="s">
        <v>374</v>
      </c>
      <c r="T685" s="94">
        <v>46156</v>
      </c>
      <c r="U685" s="104">
        <f t="shared" si="96"/>
        <v>48</v>
      </c>
      <c r="V685" s="104">
        <f t="shared" si="97"/>
        <v>1</v>
      </c>
      <c r="W685" s="103">
        <f t="shared" si="98"/>
        <v>48</v>
      </c>
      <c r="X685" s="93" t="s">
        <v>89</v>
      </c>
      <c r="Y685" s="105" t="s">
        <v>84</v>
      </c>
      <c r="Z685" s="105" t="s">
        <v>93</v>
      </c>
    </row>
    <row r="686" spans="1:26" s="105" customFormat="1" ht="15" customHeight="1">
      <c r="A686" s="99">
        <f t="shared" si="93"/>
        <v>684</v>
      </c>
      <c r="B686" s="75" t="s">
        <v>1070</v>
      </c>
      <c r="C686" s="100" t="str">
        <f>IF($B686&lt;&gt;"",_xlfn.IFNA(VLOOKUP($B686,'Node Details'!$B:$U,C$1,0),"Check"),"")</f>
        <v>0000AXW05-AXW050204</v>
      </c>
      <c r="D686" s="100" t="str">
        <f>IF($B686&lt;&gt;"",_xlfn.IFNA(VLOOKUP($B686,'Node Details'!$B:$U,D$1,0),"Check"),"")</f>
        <v>AXW</v>
      </c>
      <c r="E686" s="100" t="str">
        <f>IF($B686&lt;&gt;"",_xlfn.IFNA(VLOOKUP($B686,'Node Details'!$B:$U,E$1,0),"Check"),"")</f>
        <v>Airtel</v>
      </c>
      <c r="F686" s="101">
        <v>46114</v>
      </c>
      <c r="G686" s="103"/>
      <c r="H686" s="102" t="s">
        <v>1256</v>
      </c>
      <c r="I686" s="9">
        <v>1</v>
      </c>
      <c r="J686" s="9">
        <v>48</v>
      </c>
      <c r="K686" s="100">
        <f t="shared" si="92"/>
        <v>48</v>
      </c>
      <c r="L686" s="78">
        <v>46112</v>
      </c>
      <c r="M686" s="103"/>
      <c r="N686" s="93" t="s">
        <v>373</v>
      </c>
      <c r="O686" s="94">
        <v>46146</v>
      </c>
      <c r="P686" s="104">
        <f t="shared" si="94"/>
        <v>48</v>
      </c>
      <c r="Q686" s="104">
        <f t="shared" si="95"/>
        <v>48</v>
      </c>
      <c r="R686" s="104"/>
      <c r="S686" s="93" t="s">
        <v>374</v>
      </c>
      <c r="T686" s="94">
        <v>46156</v>
      </c>
      <c r="U686" s="104">
        <f t="shared" si="96"/>
        <v>48</v>
      </c>
      <c r="V686" s="104">
        <f t="shared" si="97"/>
        <v>1</v>
      </c>
      <c r="W686" s="103">
        <f t="shared" si="98"/>
        <v>48</v>
      </c>
      <c r="X686" s="93" t="s">
        <v>89</v>
      </c>
      <c r="Y686" s="105" t="s">
        <v>84</v>
      </c>
      <c r="Z686" s="105" t="s">
        <v>93</v>
      </c>
    </row>
    <row r="687" spans="1:26" s="105" customFormat="1" ht="15" customHeight="1">
      <c r="A687" s="99">
        <f t="shared" si="93"/>
        <v>685</v>
      </c>
      <c r="B687" s="75" t="s">
        <v>1071</v>
      </c>
      <c r="C687" s="100" t="str">
        <f>IF($B687&lt;&gt;"",_xlfn.IFNA(VLOOKUP($B687,'Node Details'!$B:$U,C$1,0),"Check"),"")</f>
        <v>0000AXW05-AXW050204</v>
      </c>
      <c r="D687" s="100" t="str">
        <f>IF($B687&lt;&gt;"",_xlfn.IFNA(VLOOKUP($B687,'Node Details'!$B:$U,D$1,0),"Check"),"")</f>
        <v>AXW</v>
      </c>
      <c r="E687" s="100" t="str">
        <f>IF($B687&lt;&gt;"",_xlfn.IFNA(VLOOKUP($B687,'Node Details'!$B:$U,E$1,0),"Check"),"")</f>
        <v>Airtel</v>
      </c>
      <c r="F687" s="101">
        <v>46114</v>
      </c>
      <c r="G687" s="103"/>
      <c r="H687" s="102" t="s">
        <v>1256</v>
      </c>
      <c r="I687" s="9">
        <v>1</v>
      </c>
      <c r="J687" s="9">
        <v>48</v>
      </c>
      <c r="K687" s="100">
        <f t="shared" si="92"/>
        <v>48</v>
      </c>
      <c r="L687" s="78">
        <v>46112</v>
      </c>
      <c r="M687" s="103"/>
      <c r="N687" s="93" t="s">
        <v>373</v>
      </c>
      <c r="O687" s="94">
        <v>46146</v>
      </c>
      <c r="P687" s="104">
        <f t="shared" si="94"/>
        <v>48</v>
      </c>
      <c r="Q687" s="104">
        <f t="shared" si="95"/>
        <v>48</v>
      </c>
      <c r="R687" s="104"/>
      <c r="S687" s="93" t="s">
        <v>374</v>
      </c>
      <c r="T687" s="94">
        <v>46156</v>
      </c>
      <c r="U687" s="104">
        <f t="shared" si="96"/>
        <v>48</v>
      </c>
      <c r="V687" s="104">
        <f t="shared" si="97"/>
        <v>1</v>
      </c>
      <c r="W687" s="103">
        <f t="shared" si="98"/>
        <v>48</v>
      </c>
      <c r="X687" s="93" t="s">
        <v>89</v>
      </c>
      <c r="Y687" s="105" t="s">
        <v>84</v>
      </c>
      <c r="Z687" s="105" t="s">
        <v>93</v>
      </c>
    </row>
    <row r="688" spans="1:26" s="105" customFormat="1" ht="15" customHeight="1">
      <c r="A688" s="99">
        <f t="shared" si="93"/>
        <v>686</v>
      </c>
      <c r="B688" s="75" t="s">
        <v>1072</v>
      </c>
      <c r="C688" s="100" t="str">
        <f>IF($B688&lt;&gt;"",_xlfn.IFNA(VLOOKUP($B688,'Node Details'!$B:$U,C$1,0),"Check"),"")</f>
        <v>0000AXW05-AXW050204</v>
      </c>
      <c r="D688" s="100" t="str">
        <f>IF($B688&lt;&gt;"",_xlfn.IFNA(VLOOKUP($B688,'Node Details'!$B:$U,D$1,0),"Check"),"")</f>
        <v>AXW</v>
      </c>
      <c r="E688" s="100" t="str">
        <f>IF($B688&lt;&gt;"",_xlfn.IFNA(VLOOKUP($B688,'Node Details'!$B:$U,E$1,0),"Check"),"")</f>
        <v>Airtel</v>
      </c>
      <c r="F688" s="101">
        <v>46114</v>
      </c>
      <c r="G688" s="103"/>
      <c r="H688" s="102" t="s">
        <v>1256</v>
      </c>
      <c r="I688" s="9">
        <v>1</v>
      </c>
      <c r="J688" s="9">
        <v>48</v>
      </c>
      <c r="K688" s="100">
        <f t="shared" si="92"/>
        <v>48</v>
      </c>
      <c r="L688" s="78">
        <v>46112</v>
      </c>
      <c r="M688" s="103"/>
      <c r="N688" s="93" t="s">
        <v>373</v>
      </c>
      <c r="O688" s="94">
        <v>46146</v>
      </c>
      <c r="P688" s="104">
        <f t="shared" si="94"/>
        <v>48</v>
      </c>
      <c r="Q688" s="104">
        <f t="shared" si="95"/>
        <v>48</v>
      </c>
      <c r="R688" s="104"/>
      <c r="S688" s="93" t="s">
        <v>374</v>
      </c>
      <c r="T688" s="94">
        <v>46156</v>
      </c>
      <c r="U688" s="104">
        <f t="shared" si="96"/>
        <v>48</v>
      </c>
      <c r="V688" s="104">
        <f t="shared" si="97"/>
        <v>1</v>
      </c>
      <c r="W688" s="103">
        <f t="shared" si="98"/>
        <v>48</v>
      </c>
      <c r="X688" s="93" t="s">
        <v>89</v>
      </c>
      <c r="Y688" s="105" t="s">
        <v>84</v>
      </c>
      <c r="Z688" s="105" t="s">
        <v>93</v>
      </c>
    </row>
    <row r="689" spans="1:26" s="105" customFormat="1" ht="15" customHeight="1">
      <c r="A689" s="99">
        <f t="shared" si="93"/>
        <v>687</v>
      </c>
      <c r="B689" s="75" t="s">
        <v>430</v>
      </c>
      <c r="C689" s="100" t="str">
        <f>IF($B689&lt;&gt;"",_xlfn.IFNA(VLOOKUP($B689,'Node Details'!$B:$U,C$1,0),"Check"),"")</f>
        <v>0000AXW05-AXW050204</v>
      </c>
      <c r="D689" s="100" t="str">
        <f>IF($B689&lt;&gt;"",_xlfn.IFNA(VLOOKUP($B689,'Node Details'!$B:$U,D$1,0),"Check"),"")</f>
        <v>AXW</v>
      </c>
      <c r="E689" s="100" t="str">
        <f>IF($B689&lt;&gt;"",_xlfn.IFNA(VLOOKUP($B689,'Node Details'!$B:$U,E$1,0),"Check"),"")</f>
        <v>Airtel</v>
      </c>
      <c r="F689" s="101">
        <v>46114</v>
      </c>
      <c r="G689" s="103"/>
      <c r="H689" s="102" t="s">
        <v>1256</v>
      </c>
      <c r="I689" s="9">
        <v>1</v>
      </c>
      <c r="J689" s="9">
        <v>48</v>
      </c>
      <c r="K689" s="100">
        <f t="shared" si="92"/>
        <v>48</v>
      </c>
      <c r="L689" s="78">
        <v>46112</v>
      </c>
      <c r="M689" s="103"/>
      <c r="N689" s="93" t="s">
        <v>373</v>
      </c>
      <c r="O689" s="94">
        <v>46146</v>
      </c>
      <c r="P689" s="104">
        <f t="shared" si="94"/>
        <v>48</v>
      </c>
      <c r="Q689" s="104">
        <f t="shared" si="95"/>
        <v>48</v>
      </c>
      <c r="R689" s="104"/>
      <c r="S689" s="93" t="s">
        <v>374</v>
      </c>
      <c r="T689" s="94">
        <v>46156</v>
      </c>
      <c r="U689" s="104">
        <f t="shared" si="96"/>
        <v>48</v>
      </c>
      <c r="V689" s="104">
        <f t="shared" si="97"/>
        <v>1</v>
      </c>
      <c r="W689" s="103">
        <f t="shared" si="98"/>
        <v>48</v>
      </c>
      <c r="X689" s="93" t="s">
        <v>89</v>
      </c>
      <c r="Y689" s="105" t="s">
        <v>84</v>
      </c>
      <c r="Z689" s="105" t="s">
        <v>93</v>
      </c>
    </row>
    <row r="690" spans="1:26" s="105" customFormat="1" ht="15" customHeight="1">
      <c r="A690" s="99">
        <f t="shared" si="93"/>
        <v>688</v>
      </c>
      <c r="B690" s="75" t="s">
        <v>432</v>
      </c>
      <c r="C690" s="100" t="str">
        <f>IF($B690&lt;&gt;"",_xlfn.IFNA(VLOOKUP($B690,'Node Details'!$B:$U,C$1,0),"Check"),"")</f>
        <v>0000AXW01-0000AXW07</v>
      </c>
      <c r="D690" s="100" t="str">
        <f>IF($B690&lt;&gt;"",_xlfn.IFNA(VLOOKUP($B690,'Node Details'!$B:$U,D$1,0),"Check"),"")</f>
        <v>AXW</v>
      </c>
      <c r="E690" s="100" t="str">
        <f>IF($B690&lt;&gt;"",_xlfn.IFNA(VLOOKUP($B690,'Node Details'!$B:$U,E$1,0),"Check"),"")</f>
        <v>Airtel</v>
      </c>
      <c r="F690" s="101">
        <v>46114</v>
      </c>
      <c r="G690" s="103"/>
      <c r="H690" s="102" t="s">
        <v>1256</v>
      </c>
      <c r="I690" s="9">
        <v>1</v>
      </c>
      <c r="J690" s="9">
        <v>48</v>
      </c>
      <c r="K690" s="100">
        <f t="shared" si="92"/>
        <v>48</v>
      </c>
      <c r="L690" s="78">
        <v>46112</v>
      </c>
      <c r="M690" s="103"/>
      <c r="N690" s="93" t="s">
        <v>373</v>
      </c>
      <c r="O690" s="94">
        <v>46146</v>
      </c>
      <c r="P690" s="104">
        <f t="shared" si="94"/>
        <v>48</v>
      </c>
      <c r="Q690" s="104">
        <f t="shared" si="95"/>
        <v>48</v>
      </c>
      <c r="R690" s="104"/>
      <c r="S690" s="93" t="s">
        <v>374</v>
      </c>
      <c r="T690" s="94">
        <v>46156</v>
      </c>
      <c r="U690" s="104">
        <f t="shared" si="96"/>
        <v>48</v>
      </c>
      <c r="V690" s="104">
        <f t="shared" si="97"/>
        <v>1</v>
      </c>
      <c r="W690" s="103">
        <f t="shared" si="98"/>
        <v>48</v>
      </c>
      <c r="X690" s="93" t="s">
        <v>89</v>
      </c>
      <c r="Y690" s="105" t="s">
        <v>84</v>
      </c>
      <c r="Z690" s="105" t="s">
        <v>93</v>
      </c>
    </row>
    <row r="691" spans="1:26" s="105" customFormat="1" ht="15" customHeight="1">
      <c r="A691" s="99">
        <f t="shared" si="93"/>
        <v>689</v>
      </c>
      <c r="B691" s="75" t="s">
        <v>433</v>
      </c>
      <c r="C691" s="100" t="str">
        <f>IF($B691&lt;&gt;"",_xlfn.IFNA(VLOOKUP($B691,'Node Details'!$B:$U,C$1,0),"Check"),"")</f>
        <v>0000AXW06-AXW060101</v>
      </c>
      <c r="D691" s="100" t="str">
        <f>IF($B691&lt;&gt;"",_xlfn.IFNA(VLOOKUP($B691,'Node Details'!$B:$U,D$1,0),"Check"),"")</f>
        <v>AXW</v>
      </c>
      <c r="E691" s="100" t="str">
        <f>IF($B691&lt;&gt;"",_xlfn.IFNA(VLOOKUP($B691,'Node Details'!$B:$U,E$1,0),"Check"),"")</f>
        <v>Airtel</v>
      </c>
      <c r="F691" s="101">
        <v>46114</v>
      </c>
      <c r="G691" s="103"/>
      <c r="H691" s="102" t="s">
        <v>1256</v>
      </c>
      <c r="I691" s="9">
        <v>1</v>
      </c>
      <c r="J691" s="9">
        <v>48</v>
      </c>
      <c r="K691" s="100">
        <f t="shared" si="92"/>
        <v>48</v>
      </c>
      <c r="L691" s="78">
        <v>46112</v>
      </c>
      <c r="M691" s="103"/>
      <c r="N691" s="93" t="s">
        <v>373</v>
      </c>
      <c r="O691" s="94">
        <v>46146</v>
      </c>
      <c r="P691" s="104">
        <f t="shared" si="94"/>
        <v>48</v>
      </c>
      <c r="Q691" s="104">
        <f t="shared" si="95"/>
        <v>48</v>
      </c>
      <c r="R691" s="104"/>
      <c r="S691" s="93" t="s">
        <v>374</v>
      </c>
      <c r="T691" s="94">
        <v>46156</v>
      </c>
      <c r="U691" s="104">
        <f t="shared" si="96"/>
        <v>48</v>
      </c>
      <c r="V691" s="104">
        <f t="shared" si="97"/>
        <v>1</v>
      </c>
      <c r="W691" s="103">
        <f t="shared" si="98"/>
        <v>48</v>
      </c>
      <c r="X691" s="93" t="s">
        <v>89</v>
      </c>
      <c r="Y691" s="105" t="s">
        <v>84</v>
      </c>
      <c r="Z691" s="105" t="s">
        <v>93</v>
      </c>
    </row>
    <row r="692" spans="1:26" s="105" customFormat="1" ht="15" customHeight="1">
      <c r="A692" s="99">
        <f t="shared" si="93"/>
        <v>690</v>
      </c>
      <c r="B692" s="75" t="s">
        <v>1073</v>
      </c>
      <c r="C692" s="100" t="str">
        <f>IF($B692&lt;&gt;"",_xlfn.IFNA(VLOOKUP($B692,'Node Details'!$B:$U,C$1,0),"Check"),"")</f>
        <v>0000AXW06-AXW060103</v>
      </c>
      <c r="D692" s="100" t="str">
        <f>IF($B692&lt;&gt;"",_xlfn.IFNA(VLOOKUP($B692,'Node Details'!$B:$U,D$1,0),"Check"),"")</f>
        <v>AXW</v>
      </c>
      <c r="E692" s="100" t="str">
        <f>IF($B692&lt;&gt;"",_xlfn.IFNA(VLOOKUP($B692,'Node Details'!$B:$U,E$1,0),"Check"),"")</f>
        <v>Airtel</v>
      </c>
      <c r="F692" s="101">
        <v>46114</v>
      </c>
      <c r="G692" s="103"/>
      <c r="H692" s="102" t="s">
        <v>1256</v>
      </c>
      <c r="I692" s="9">
        <v>1</v>
      </c>
      <c r="J692" s="9">
        <v>48</v>
      </c>
      <c r="K692" s="100">
        <f t="shared" si="92"/>
        <v>48</v>
      </c>
      <c r="L692" s="78">
        <v>46112</v>
      </c>
      <c r="M692" s="103"/>
      <c r="N692" s="93" t="s">
        <v>373</v>
      </c>
      <c r="O692" s="94">
        <v>46146</v>
      </c>
      <c r="P692" s="104">
        <f t="shared" si="94"/>
        <v>48</v>
      </c>
      <c r="Q692" s="104">
        <f t="shared" si="95"/>
        <v>48</v>
      </c>
      <c r="R692" s="104"/>
      <c r="S692" s="93" t="s">
        <v>374</v>
      </c>
      <c r="T692" s="94">
        <v>46156</v>
      </c>
      <c r="U692" s="104">
        <f t="shared" si="96"/>
        <v>48</v>
      </c>
      <c r="V692" s="104">
        <f t="shared" si="97"/>
        <v>1</v>
      </c>
      <c r="W692" s="103">
        <f t="shared" si="98"/>
        <v>48</v>
      </c>
      <c r="X692" s="93" t="s">
        <v>89</v>
      </c>
      <c r="Y692" s="105" t="s">
        <v>84</v>
      </c>
      <c r="Z692" s="105" t="s">
        <v>93</v>
      </c>
    </row>
    <row r="693" spans="1:26" s="105" customFormat="1" ht="15" customHeight="1">
      <c r="A693" s="99">
        <f t="shared" si="93"/>
        <v>691</v>
      </c>
      <c r="B693" s="75" t="s">
        <v>435</v>
      </c>
      <c r="C693" s="100" t="str">
        <f>IF($B693&lt;&gt;"",_xlfn.IFNA(VLOOKUP($B693,'Node Details'!$B:$U,C$1,0),"Check"),"")</f>
        <v>0000AXW06-AXW060103</v>
      </c>
      <c r="D693" s="100" t="str">
        <f>IF($B693&lt;&gt;"",_xlfn.IFNA(VLOOKUP($B693,'Node Details'!$B:$U,D$1,0),"Check"),"")</f>
        <v>AXW</v>
      </c>
      <c r="E693" s="100" t="str">
        <f>IF($B693&lt;&gt;"",_xlfn.IFNA(VLOOKUP($B693,'Node Details'!$B:$U,E$1,0),"Check"),"")</f>
        <v>Airtel</v>
      </c>
      <c r="F693" s="101">
        <v>46114</v>
      </c>
      <c r="G693" s="103"/>
      <c r="H693" s="102" t="s">
        <v>1256</v>
      </c>
      <c r="I693" s="9">
        <v>1</v>
      </c>
      <c r="J693" s="9">
        <v>48</v>
      </c>
      <c r="K693" s="100">
        <f t="shared" si="92"/>
        <v>48</v>
      </c>
      <c r="L693" s="78">
        <v>46112</v>
      </c>
      <c r="M693" s="103"/>
      <c r="N693" s="93" t="s">
        <v>373</v>
      </c>
      <c r="O693" s="94">
        <v>46146</v>
      </c>
      <c r="P693" s="104">
        <f t="shared" si="94"/>
        <v>48</v>
      </c>
      <c r="Q693" s="104">
        <f t="shared" si="95"/>
        <v>48</v>
      </c>
      <c r="R693" s="104"/>
      <c r="S693" s="93" t="s">
        <v>374</v>
      </c>
      <c r="T693" s="94">
        <v>46156</v>
      </c>
      <c r="U693" s="104">
        <f t="shared" si="96"/>
        <v>48</v>
      </c>
      <c r="V693" s="104">
        <f t="shared" si="97"/>
        <v>1</v>
      </c>
      <c r="W693" s="103">
        <f t="shared" si="98"/>
        <v>48</v>
      </c>
      <c r="X693" s="93" t="s">
        <v>89</v>
      </c>
      <c r="Y693" s="105" t="s">
        <v>84</v>
      </c>
      <c r="Z693" s="105" t="s">
        <v>93</v>
      </c>
    </row>
    <row r="694" spans="1:26" s="105" customFormat="1" ht="15" customHeight="1">
      <c r="A694" s="99">
        <f t="shared" si="93"/>
        <v>692</v>
      </c>
      <c r="B694" s="75" t="s">
        <v>1074</v>
      </c>
      <c r="C694" s="100" t="str">
        <f>IF($B694&lt;&gt;"",_xlfn.IFNA(VLOOKUP($B694,'Node Details'!$B:$U,C$1,0),"Check"),"")</f>
        <v>AXW060103-AXW060107</v>
      </c>
      <c r="D694" s="100" t="str">
        <f>IF($B694&lt;&gt;"",_xlfn.IFNA(VLOOKUP($B694,'Node Details'!$B:$U,D$1,0),"Check"),"")</f>
        <v>AXW</v>
      </c>
      <c r="E694" s="100" t="str">
        <f>IF($B694&lt;&gt;"",_xlfn.IFNA(VLOOKUP($B694,'Node Details'!$B:$U,E$1,0),"Check"),"")</f>
        <v>Airtel</v>
      </c>
      <c r="F694" s="101">
        <v>46114</v>
      </c>
      <c r="G694" s="103"/>
      <c r="H694" s="102" t="s">
        <v>1256</v>
      </c>
      <c r="I694" s="9">
        <v>1</v>
      </c>
      <c r="J694" s="9">
        <v>48</v>
      </c>
      <c r="K694" s="100">
        <f t="shared" si="92"/>
        <v>48</v>
      </c>
      <c r="L694" s="78">
        <v>46112</v>
      </c>
      <c r="M694" s="103"/>
      <c r="N694" s="93" t="s">
        <v>373</v>
      </c>
      <c r="O694" s="94">
        <v>46146</v>
      </c>
      <c r="P694" s="104">
        <f t="shared" si="94"/>
        <v>48</v>
      </c>
      <c r="Q694" s="104">
        <f t="shared" si="95"/>
        <v>48</v>
      </c>
      <c r="R694" s="104"/>
      <c r="S694" s="93" t="s">
        <v>374</v>
      </c>
      <c r="T694" s="94">
        <v>46156</v>
      </c>
      <c r="U694" s="104">
        <f t="shared" si="96"/>
        <v>48</v>
      </c>
      <c r="V694" s="104">
        <f t="shared" si="97"/>
        <v>1</v>
      </c>
      <c r="W694" s="103">
        <f t="shared" si="98"/>
        <v>48</v>
      </c>
      <c r="X694" s="93" t="s">
        <v>89</v>
      </c>
      <c r="Y694" s="105" t="s">
        <v>84</v>
      </c>
      <c r="Z694" s="105" t="s">
        <v>93</v>
      </c>
    </row>
    <row r="695" spans="1:26" s="105" customFormat="1" ht="15" customHeight="1">
      <c r="A695" s="99">
        <f t="shared" si="93"/>
        <v>693</v>
      </c>
      <c r="B695" s="75" t="s">
        <v>1075</v>
      </c>
      <c r="C695" s="100" t="str">
        <f>IF($B695&lt;&gt;"",_xlfn.IFNA(VLOOKUP($B695,'Node Details'!$B:$U,C$1,0),"Check"),"")</f>
        <v>AXW060103-AXW060107</v>
      </c>
      <c r="D695" s="100" t="str">
        <f>IF($B695&lt;&gt;"",_xlfn.IFNA(VLOOKUP($B695,'Node Details'!$B:$U,D$1,0),"Check"),"")</f>
        <v>AXW</v>
      </c>
      <c r="E695" s="100" t="str">
        <f>IF($B695&lt;&gt;"",_xlfn.IFNA(VLOOKUP($B695,'Node Details'!$B:$U,E$1,0),"Check"),"")</f>
        <v>Airtel</v>
      </c>
      <c r="F695" s="101">
        <v>46114</v>
      </c>
      <c r="G695" s="103"/>
      <c r="H695" s="102" t="s">
        <v>1256</v>
      </c>
      <c r="I695" s="9">
        <v>1</v>
      </c>
      <c r="J695" s="9">
        <v>48</v>
      </c>
      <c r="K695" s="100">
        <f t="shared" si="92"/>
        <v>48</v>
      </c>
      <c r="L695" s="78">
        <v>46112</v>
      </c>
      <c r="M695" s="103"/>
      <c r="N695" s="93" t="s">
        <v>373</v>
      </c>
      <c r="O695" s="94">
        <v>46146</v>
      </c>
      <c r="P695" s="104">
        <f t="shared" si="94"/>
        <v>48</v>
      </c>
      <c r="Q695" s="104">
        <f t="shared" si="95"/>
        <v>48</v>
      </c>
      <c r="R695" s="104"/>
      <c r="S695" s="93" t="s">
        <v>374</v>
      </c>
      <c r="T695" s="94">
        <v>46156</v>
      </c>
      <c r="U695" s="104">
        <f t="shared" si="96"/>
        <v>48</v>
      </c>
      <c r="V695" s="104">
        <f t="shared" si="97"/>
        <v>1</v>
      </c>
      <c r="W695" s="103">
        <f t="shared" si="98"/>
        <v>48</v>
      </c>
      <c r="X695" s="93" t="s">
        <v>89</v>
      </c>
      <c r="Y695" s="105" t="s">
        <v>84</v>
      </c>
      <c r="Z695" s="105" t="s">
        <v>93</v>
      </c>
    </row>
    <row r="696" spans="1:26" s="105" customFormat="1" ht="15" customHeight="1">
      <c r="A696" s="99">
        <f t="shared" si="93"/>
        <v>694</v>
      </c>
      <c r="B696" s="75" t="s">
        <v>1076</v>
      </c>
      <c r="C696" s="100" t="str">
        <f>IF($B696&lt;&gt;"",_xlfn.IFNA(VLOOKUP($B696,'Node Details'!$B:$U,C$1,0),"Check"),"")</f>
        <v>AXW060103-AXW060107</v>
      </c>
      <c r="D696" s="100" t="str">
        <f>IF($B696&lt;&gt;"",_xlfn.IFNA(VLOOKUP($B696,'Node Details'!$B:$U,D$1,0),"Check"),"")</f>
        <v>AXW</v>
      </c>
      <c r="E696" s="100" t="str">
        <f>IF($B696&lt;&gt;"",_xlfn.IFNA(VLOOKUP($B696,'Node Details'!$B:$U,E$1,0),"Check"),"")</f>
        <v>Airtel</v>
      </c>
      <c r="F696" s="101">
        <v>46114</v>
      </c>
      <c r="G696" s="103"/>
      <c r="H696" s="102" t="s">
        <v>1256</v>
      </c>
      <c r="I696" s="9">
        <v>1</v>
      </c>
      <c r="J696" s="9">
        <v>48</v>
      </c>
      <c r="K696" s="100">
        <f t="shared" si="92"/>
        <v>48</v>
      </c>
      <c r="L696" s="78">
        <v>46112</v>
      </c>
      <c r="M696" s="103"/>
      <c r="N696" s="93" t="s">
        <v>373</v>
      </c>
      <c r="O696" s="94">
        <v>46146</v>
      </c>
      <c r="P696" s="104">
        <f t="shared" si="94"/>
        <v>48</v>
      </c>
      <c r="Q696" s="104">
        <f t="shared" si="95"/>
        <v>48</v>
      </c>
      <c r="R696" s="104"/>
      <c r="S696" s="93" t="s">
        <v>374</v>
      </c>
      <c r="T696" s="94">
        <v>46156</v>
      </c>
      <c r="U696" s="104">
        <f t="shared" si="96"/>
        <v>48</v>
      </c>
      <c r="V696" s="104">
        <f t="shared" si="97"/>
        <v>1</v>
      </c>
      <c r="W696" s="103">
        <f t="shared" si="98"/>
        <v>48</v>
      </c>
      <c r="X696" s="93" t="s">
        <v>89</v>
      </c>
      <c r="Y696" s="105" t="s">
        <v>84</v>
      </c>
      <c r="Z696" s="105" t="s">
        <v>93</v>
      </c>
    </row>
    <row r="697" spans="1:26" s="105" customFormat="1" ht="15" customHeight="1">
      <c r="A697" s="99">
        <f t="shared" si="93"/>
        <v>695</v>
      </c>
      <c r="B697" s="75" t="s">
        <v>437</v>
      </c>
      <c r="C697" s="100" t="str">
        <f>IF($B697&lt;&gt;"",_xlfn.IFNA(VLOOKUP($B697,'Node Details'!$B:$U,C$1,0),"Check"),"")</f>
        <v>AXW060103-AXW060107</v>
      </c>
      <c r="D697" s="100" t="str">
        <f>IF($B697&lt;&gt;"",_xlfn.IFNA(VLOOKUP($B697,'Node Details'!$B:$U,D$1,0),"Check"),"")</f>
        <v>AXW</v>
      </c>
      <c r="E697" s="100" t="str">
        <f>IF($B697&lt;&gt;"",_xlfn.IFNA(VLOOKUP($B697,'Node Details'!$B:$U,E$1,0),"Check"),"")</f>
        <v>Airtel</v>
      </c>
      <c r="F697" s="101">
        <v>46114</v>
      </c>
      <c r="G697" s="103"/>
      <c r="H697" s="102" t="s">
        <v>1256</v>
      </c>
      <c r="I697" s="9">
        <v>1</v>
      </c>
      <c r="J697" s="9">
        <v>48</v>
      </c>
      <c r="K697" s="100">
        <f t="shared" si="92"/>
        <v>48</v>
      </c>
      <c r="L697" s="78">
        <v>46112</v>
      </c>
      <c r="M697" s="103"/>
      <c r="N697" s="93" t="s">
        <v>373</v>
      </c>
      <c r="O697" s="94">
        <v>46146</v>
      </c>
      <c r="P697" s="104">
        <f t="shared" si="94"/>
        <v>48</v>
      </c>
      <c r="Q697" s="104">
        <f t="shared" si="95"/>
        <v>48</v>
      </c>
      <c r="R697" s="104"/>
      <c r="S697" s="93" t="s">
        <v>374</v>
      </c>
      <c r="T697" s="94">
        <v>46156</v>
      </c>
      <c r="U697" s="104">
        <f t="shared" si="96"/>
        <v>48</v>
      </c>
      <c r="V697" s="104">
        <f t="shared" si="97"/>
        <v>1</v>
      </c>
      <c r="W697" s="103">
        <f t="shared" si="98"/>
        <v>48</v>
      </c>
      <c r="X697" s="93" t="s">
        <v>89</v>
      </c>
      <c r="Y697" s="105" t="s">
        <v>84</v>
      </c>
      <c r="Z697" s="105" t="s">
        <v>93</v>
      </c>
    </row>
    <row r="698" spans="1:26" s="105" customFormat="1" ht="15" customHeight="1">
      <c r="A698" s="99">
        <f t="shared" si="93"/>
        <v>696</v>
      </c>
      <c r="B698" s="75" t="s">
        <v>377</v>
      </c>
      <c r="C698" s="100" t="str">
        <f>IF($B698&lt;&gt;"",_xlfn.IFNA(VLOOKUP($B698,'Node Details'!$B:$U,C$1,0),"Check"),"")</f>
        <v>0000AXW01-0000AXW07</v>
      </c>
      <c r="D698" s="100" t="str">
        <f>IF($B698&lt;&gt;"",_xlfn.IFNA(VLOOKUP($B698,'Node Details'!$B:$U,D$1,0),"Check"),"")</f>
        <v>AXW</v>
      </c>
      <c r="E698" s="100" t="str">
        <f>IF($B698&lt;&gt;"",_xlfn.IFNA(VLOOKUP($B698,'Node Details'!$B:$U,E$1,0),"Check"),"")</f>
        <v>Airtel</v>
      </c>
      <c r="F698" s="101">
        <v>46114</v>
      </c>
      <c r="G698" s="103"/>
      <c r="H698" s="102" t="s">
        <v>1256</v>
      </c>
      <c r="I698" s="9">
        <v>1</v>
      </c>
      <c r="J698" s="9">
        <v>48</v>
      </c>
      <c r="K698" s="100">
        <f t="shared" si="92"/>
        <v>48</v>
      </c>
      <c r="L698" s="78">
        <v>46112</v>
      </c>
      <c r="M698" s="103"/>
      <c r="N698" s="93" t="s">
        <v>373</v>
      </c>
      <c r="O698" s="94">
        <v>46146</v>
      </c>
      <c r="P698" s="104">
        <f t="shared" si="94"/>
        <v>48</v>
      </c>
      <c r="Q698" s="104">
        <f t="shared" si="95"/>
        <v>48</v>
      </c>
      <c r="R698" s="104"/>
      <c r="S698" s="93" t="s">
        <v>374</v>
      </c>
      <c r="T698" s="94">
        <v>46156</v>
      </c>
      <c r="U698" s="104">
        <f t="shared" si="96"/>
        <v>48</v>
      </c>
      <c r="V698" s="104">
        <f t="shared" si="97"/>
        <v>1</v>
      </c>
      <c r="W698" s="103">
        <f t="shared" si="98"/>
        <v>48</v>
      </c>
      <c r="X698" s="93" t="s">
        <v>89</v>
      </c>
      <c r="Y698" s="105" t="s">
        <v>84</v>
      </c>
      <c r="Z698" s="105" t="s">
        <v>93</v>
      </c>
    </row>
    <row r="699" spans="1:26" s="105" customFormat="1" ht="15" customHeight="1">
      <c r="A699" s="99">
        <f t="shared" si="93"/>
        <v>697</v>
      </c>
      <c r="B699" s="75" t="s">
        <v>439</v>
      </c>
      <c r="C699" s="100" t="str">
        <f>IF($B699&lt;&gt;"",_xlfn.IFNA(VLOOKUP($B699,'Node Details'!$B:$U,C$1,0),"Check"),"")</f>
        <v>0000AXW07-AXW070101</v>
      </c>
      <c r="D699" s="100" t="str">
        <f>IF($B699&lt;&gt;"",_xlfn.IFNA(VLOOKUP($B699,'Node Details'!$B:$U,D$1,0),"Check"),"")</f>
        <v>AXW</v>
      </c>
      <c r="E699" s="100" t="str">
        <f>IF($B699&lt;&gt;"",_xlfn.IFNA(VLOOKUP($B699,'Node Details'!$B:$U,E$1,0),"Check"),"")</f>
        <v>Airtel</v>
      </c>
      <c r="F699" s="101">
        <v>46114</v>
      </c>
      <c r="G699" s="103"/>
      <c r="H699" s="102" t="s">
        <v>1256</v>
      </c>
      <c r="I699" s="9">
        <v>1</v>
      </c>
      <c r="J699" s="9">
        <v>48</v>
      </c>
      <c r="K699" s="100">
        <f t="shared" si="92"/>
        <v>48</v>
      </c>
      <c r="L699" s="78">
        <v>46112</v>
      </c>
      <c r="M699" s="103"/>
      <c r="N699" s="93" t="s">
        <v>373</v>
      </c>
      <c r="O699" s="94">
        <v>46146</v>
      </c>
      <c r="P699" s="104">
        <f t="shared" si="94"/>
        <v>48</v>
      </c>
      <c r="Q699" s="104">
        <f t="shared" si="95"/>
        <v>48</v>
      </c>
      <c r="R699" s="104"/>
      <c r="S699" s="93" t="s">
        <v>374</v>
      </c>
      <c r="T699" s="94">
        <v>46156</v>
      </c>
      <c r="U699" s="104">
        <f t="shared" si="96"/>
        <v>48</v>
      </c>
      <c r="V699" s="104">
        <f t="shared" si="97"/>
        <v>1</v>
      </c>
      <c r="W699" s="103">
        <f t="shared" si="98"/>
        <v>48</v>
      </c>
      <c r="X699" s="93" t="s">
        <v>89</v>
      </c>
      <c r="Y699" s="105" t="s">
        <v>84</v>
      </c>
      <c r="Z699" s="105" t="s">
        <v>93</v>
      </c>
    </row>
    <row r="700" spans="1:26" s="105" customFormat="1" ht="15" customHeight="1">
      <c r="A700" s="99">
        <f t="shared" si="93"/>
        <v>698</v>
      </c>
      <c r="B700" s="75" t="s">
        <v>1077</v>
      </c>
      <c r="C700" s="100" t="str">
        <f>IF($B700&lt;&gt;"",_xlfn.IFNA(VLOOKUP($B700,'Node Details'!$B:$U,C$1,0),"Check"),"")</f>
        <v>0000AXW07-AXW070103</v>
      </c>
      <c r="D700" s="100" t="str">
        <f>IF($B700&lt;&gt;"",_xlfn.IFNA(VLOOKUP($B700,'Node Details'!$B:$U,D$1,0),"Check"),"")</f>
        <v>AXW</v>
      </c>
      <c r="E700" s="100" t="str">
        <f>IF($B700&lt;&gt;"",_xlfn.IFNA(VLOOKUP($B700,'Node Details'!$B:$U,E$1,0),"Check"),"")</f>
        <v>Airtel</v>
      </c>
      <c r="F700" s="101">
        <v>46114</v>
      </c>
      <c r="G700" s="103"/>
      <c r="H700" s="102" t="s">
        <v>1256</v>
      </c>
      <c r="I700" s="9">
        <v>1</v>
      </c>
      <c r="J700" s="9">
        <v>48</v>
      </c>
      <c r="K700" s="100">
        <f t="shared" si="92"/>
        <v>48</v>
      </c>
      <c r="L700" s="78">
        <v>46112</v>
      </c>
      <c r="M700" s="103"/>
      <c r="N700" s="93" t="s">
        <v>373</v>
      </c>
      <c r="O700" s="94">
        <v>46146</v>
      </c>
      <c r="P700" s="104">
        <f t="shared" si="94"/>
        <v>48</v>
      </c>
      <c r="Q700" s="104">
        <f t="shared" si="95"/>
        <v>48</v>
      </c>
      <c r="R700" s="104"/>
      <c r="S700" s="93" t="s">
        <v>374</v>
      </c>
      <c r="T700" s="94">
        <v>46156</v>
      </c>
      <c r="U700" s="104">
        <f t="shared" si="96"/>
        <v>48</v>
      </c>
      <c r="V700" s="104">
        <f t="shared" si="97"/>
        <v>1</v>
      </c>
      <c r="W700" s="103">
        <f t="shared" si="98"/>
        <v>48</v>
      </c>
      <c r="X700" s="93" t="s">
        <v>89</v>
      </c>
      <c r="Y700" s="105" t="s">
        <v>84</v>
      </c>
      <c r="Z700" s="105" t="s">
        <v>93</v>
      </c>
    </row>
    <row r="701" spans="1:26" s="105" customFormat="1" ht="15" customHeight="1">
      <c r="A701" s="99">
        <f t="shared" si="93"/>
        <v>699</v>
      </c>
      <c r="B701" s="75" t="s">
        <v>441</v>
      </c>
      <c r="C701" s="100" t="str">
        <f>IF($B701&lt;&gt;"",_xlfn.IFNA(VLOOKUP($B701,'Node Details'!$B:$U,C$1,0),"Check"),"")</f>
        <v>0000AXW07-AXW070103</v>
      </c>
      <c r="D701" s="100" t="str">
        <f>IF($B701&lt;&gt;"",_xlfn.IFNA(VLOOKUP($B701,'Node Details'!$B:$U,D$1,0),"Check"),"")</f>
        <v>AXW</v>
      </c>
      <c r="E701" s="100" t="str">
        <f>IF($B701&lt;&gt;"",_xlfn.IFNA(VLOOKUP($B701,'Node Details'!$B:$U,E$1,0),"Check"),"")</f>
        <v>Airtel</v>
      </c>
      <c r="F701" s="101">
        <v>46114</v>
      </c>
      <c r="G701" s="103"/>
      <c r="H701" s="102" t="s">
        <v>1256</v>
      </c>
      <c r="I701" s="9">
        <v>1</v>
      </c>
      <c r="J701" s="9">
        <v>48</v>
      </c>
      <c r="K701" s="100">
        <f t="shared" si="92"/>
        <v>48</v>
      </c>
      <c r="L701" s="78">
        <v>46112</v>
      </c>
      <c r="M701" s="103"/>
      <c r="N701" s="93" t="s">
        <v>373</v>
      </c>
      <c r="O701" s="94">
        <v>46146</v>
      </c>
      <c r="P701" s="104">
        <f t="shared" si="94"/>
        <v>48</v>
      </c>
      <c r="Q701" s="104">
        <f t="shared" si="95"/>
        <v>48</v>
      </c>
      <c r="R701" s="104"/>
      <c r="S701" s="93" t="s">
        <v>374</v>
      </c>
      <c r="T701" s="94">
        <v>46156</v>
      </c>
      <c r="U701" s="104">
        <f t="shared" si="96"/>
        <v>48</v>
      </c>
      <c r="V701" s="104">
        <f t="shared" si="97"/>
        <v>1</v>
      </c>
      <c r="W701" s="103">
        <f t="shared" si="98"/>
        <v>48</v>
      </c>
      <c r="X701" s="93" t="s">
        <v>89</v>
      </c>
      <c r="Y701" s="105" t="s">
        <v>84</v>
      </c>
      <c r="Z701" s="105" t="s">
        <v>93</v>
      </c>
    </row>
    <row r="702" spans="1:26" s="105" customFormat="1" ht="15" customHeight="1">
      <c r="A702" s="99">
        <f t="shared" si="93"/>
        <v>700</v>
      </c>
      <c r="B702" s="75" t="s">
        <v>1078</v>
      </c>
      <c r="C702" s="100" t="str">
        <f>IF($B702&lt;&gt;"",_xlfn.IFNA(VLOOKUP($B702,'Node Details'!$B:$U,C$1,0),"Check"),"")</f>
        <v>0000AXW07-AXW070106</v>
      </c>
      <c r="D702" s="100" t="str">
        <f>IF($B702&lt;&gt;"",_xlfn.IFNA(VLOOKUP($B702,'Node Details'!$B:$U,D$1,0),"Check"),"")</f>
        <v>AXW</v>
      </c>
      <c r="E702" s="100" t="str">
        <f>IF($B702&lt;&gt;"",_xlfn.IFNA(VLOOKUP($B702,'Node Details'!$B:$U,E$1,0),"Check"),"")</f>
        <v>Airtel</v>
      </c>
      <c r="F702" s="101">
        <v>46114</v>
      </c>
      <c r="G702" s="103"/>
      <c r="H702" s="102" t="s">
        <v>1256</v>
      </c>
      <c r="I702" s="9">
        <v>1</v>
      </c>
      <c r="J702" s="9">
        <v>48</v>
      </c>
      <c r="K702" s="100">
        <f t="shared" si="92"/>
        <v>48</v>
      </c>
      <c r="L702" s="78">
        <v>46112</v>
      </c>
      <c r="M702" s="103"/>
      <c r="N702" s="93" t="s">
        <v>373</v>
      </c>
      <c r="O702" s="94">
        <v>46146</v>
      </c>
      <c r="P702" s="104">
        <f t="shared" si="94"/>
        <v>48</v>
      </c>
      <c r="Q702" s="104">
        <f t="shared" si="95"/>
        <v>48</v>
      </c>
      <c r="R702" s="104"/>
      <c r="S702" s="93" t="s">
        <v>374</v>
      </c>
      <c r="T702" s="94">
        <v>46156</v>
      </c>
      <c r="U702" s="104">
        <f t="shared" si="96"/>
        <v>48</v>
      </c>
      <c r="V702" s="104">
        <f t="shared" si="97"/>
        <v>1</v>
      </c>
      <c r="W702" s="103">
        <f t="shared" si="98"/>
        <v>48</v>
      </c>
      <c r="X702" s="93" t="s">
        <v>89</v>
      </c>
      <c r="Y702" s="105" t="s">
        <v>84</v>
      </c>
      <c r="Z702" s="105" t="s">
        <v>93</v>
      </c>
    </row>
    <row r="703" spans="1:26" s="105" customFormat="1" ht="15" customHeight="1">
      <c r="A703" s="99">
        <f t="shared" si="93"/>
        <v>701</v>
      </c>
      <c r="B703" s="75" t="s">
        <v>443</v>
      </c>
      <c r="C703" s="100" t="str">
        <f>IF($B703&lt;&gt;"",_xlfn.IFNA(VLOOKUP($B703,'Node Details'!$B:$U,C$1,0),"Check"),"")</f>
        <v>0000AXW07-AXW070106</v>
      </c>
      <c r="D703" s="100" t="str">
        <f>IF($B703&lt;&gt;"",_xlfn.IFNA(VLOOKUP($B703,'Node Details'!$B:$U,D$1,0),"Check"),"")</f>
        <v>AXW</v>
      </c>
      <c r="E703" s="100" t="str">
        <f>IF($B703&lt;&gt;"",_xlfn.IFNA(VLOOKUP($B703,'Node Details'!$B:$U,E$1,0),"Check"),"")</f>
        <v>Airtel</v>
      </c>
      <c r="F703" s="101">
        <v>46114</v>
      </c>
      <c r="G703" s="103"/>
      <c r="H703" s="102" t="s">
        <v>1256</v>
      </c>
      <c r="I703" s="9">
        <v>1</v>
      </c>
      <c r="J703" s="9">
        <v>48</v>
      </c>
      <c r="K703" s="100">
        <f t="shared" si="92"/>
        <v>48</v>
      </c>
      <c r="L703" s="78">
        <v>46112</v>
      </c>
      <c r="M703" s="103"/>
      <c r="N703" s="93" t="s">
        <v>373</v>
      </c>
      <c r="O703" s="94">
        <v>46146</v>
      </c>
      <c r="P703" s="104">
        <f t="shared" si="94"/>
        <v>48</v>
      </c>
      <c r="Q703" s="104">
        <f t="shared" si="95"/>
        <v>48</v>
      </c>
      <c r="R703" s="104"/>
      <c r="S703" s="93" t="s">
        <v>374</v>
      </c>
      <c r="T703" s="94">
        <v>46156</v>
      </c>
      <c r="U703" s="104">
        <f t="shared" si="96"/>
        <v>48</v>
      </c>
      <c r="V703" s="104">
        <f t="shared" si="97"/>
        <v>1</v>
      </c>
      <c r="W703" s="103">
        <f t="shared" si="98"/>
        <v>48</v>
      </c>
      <c r="X703" s="93" t="s">
        <v>89</v>
      </c>
      <c r="Y703" s="105" t="s">
        <v>84</v>
      </c>
      <c r="Z703" s="105" t="s">
        <v>93</v>
      </c>
    </row>
    <row r="704" spans="1:26" s="105" customFormat="1" ht="15" customHeight="1">
      <c r="A704" s="99">
        <f t="shared" si="93"/>
        <v>702</v>
      </c>
      <c r="B704" s="75" t="s">
        <v>445</v>
      </c>
      <c r="C704" s="100" t="str">
        <f>IF($B704&lt;&gt;"",_xlfn.IFNA(VLOOKUP($B704,'Node Details'!$B:$U,C$1,0),"Check"),"")</f>
        <v>000000AXW-0000AXW17</v>
      </c>
      <c r="D704" s="100" t="str">
        <f>IF($B704&lt;&gt;"",_xlfn.IFNA(VLOOKUP($B704,'Node Details'!$B:$U,D$1,0),"Check"),"")</f>
        <v>AXW</v>
      </c>
      <c r="E704" s="100" t="str">
        <f>IF($B704&lt;&gt;"",_xlfn.IFNA(VLOOKUP($B704,'Node Details'!$B:$U,E$1,0),"Check"),"")</f>
        <v>Airtel</v>
      </c>
      <c r="F704" s="101">
        <v>46114</v>
      </c>
      <c r="G704" s="103"/>
      <c r="H704" s="102" t="s">
        <v>1256</v>
      </c>
      <c r="I704" s="9">
        <v>1</v>
      </c>
      <c r="J704" s="9">
        <v>48</v>
      </c>
      <c r="K704" s="100">
        <f t="shared" si="92"/>
        <v>48</v>
      </c>
      <c r="L704" s="78">
        <v>46112</v>
      </c>
      <c r="M704" s="103"/>
      <c r="N704" s="93" t="s">
        <v>373</v>
      </c>
      <c r="O704" s="94">
        <v>46146</v>
      </c>
      <c r="P704" s="104">
        <f t="shared" si="94"/>
        <v>48</v>
      </c>
      <c r="Q704" s="104">
        <f t="shared" si="95"/>
        <v>48</v>
      </c>
      <c r="R704" s="104"/>
      <c r="S704" s="93" t="s">
        <v>374</v>
      </c>
      <c r="T704" s="94">
        <v>46156</v>
      </c>
      <c r="U704" s="104">
        <f t="shared" si="96"/>
        <v>48</v>
      </c>
      <c r="V704" s="104">
        <f t="shared" si="97"/>
        <v>1</v>
      </c>
      <c r="W704" s="103">
        <f t="shared" si="98"/>
        <v>48</v>
      </c>
      <c r="X704" s="93" t="s">
        <v>89</v>
      </c>
      <c r="Y704" s="105" t="s">
        <v>84</v>
      </c>
      <c r="Z704" s="105" t="s">
        <v>93</v>
      </c>
    </row>
    <row r="705" spans="1:26" s="105" customFormat="1" ht="15" customHeight="1">
      <c r="A705" s="99">
        <f t="shared" si="93"/>
        <v>703</v>
      </c>
      <c r="B705" s="75" t="s">
        <v>446</v>
      </c>
      <c r="C705" s="100" t="str">
        <f>IF($B705&lt;&gt;"",_xlfn.IFNA(VLOOKUP($B705,'Node Details'!$B:$U,C$1,0),"Check"),"")</f>
        <v>0000AXW08-AXW080101</v>
      </c>
      <c r="D705" s="100" t="str">
        <f>IF($B705&lt;&gt;"",_xlfn.IFNA(VLOOKUP($B705,'Node Details'!$B:$U,D$1,0),"Check"),"")</f>
        <v>AXW</v>
      </c>
      <c r="E705" s="100" t="str">
        <f>IF($B705&lt;&gt;"",_xlfn.IFNA(VLOOKUP($B705,'Node Details'!$B:$U,E$1,0),"Check"),"")</f>
        <v>Airtel</v>
      </c>
      <c r="F705" s="101">
        <v>46114</v>
      </c>
      <c r="G705" s="103"/>
      <c r="H705" s="102" t="s">
        <v>1256</v>
      </c>
      <c r="I705" s="9">
        <v>1</v>
      </c>
      <c r="J705" s="9">
        <v>48</v>
      </c>
      <c r="K705" s="100">
        <f t="shared" si="92"/>
        <v>48</v>
      </c>
      <c r="L705" s="78">
        <v>46112</v>
      </c>
      <c r="M705" s="103"/>
      <c r="N705" s="93" t="s">
        <v>373</v>
      </c>
      <c r="O705" s="94">
        <v>46146</v>
      </c>
      <c r="P705" s="104">
        <f t="shared" si="94"/>
        <v>48</v>
      </c>
      <c r="Q705" s="104">
        <f t="shared" si="95"/>
        <v>48</v>
      </c>
      <c r="R705" s="104"/>
      <c r="S705" s="93" t="s">
        <v>374</v>
      </c>
      <c r="T705" s="94">
        <v>46156</v>
      </c>
      <c r="U705" s="104">
        <f t="shared" si="96"/>
        <v>48</v>
      </c>
      <c r="V705" s="104">
        <f t="shared" si="97"/>
        <v>1</v>
      </c>
      <c r="W705" s="103">
        <f t="shared" si="98"/>
        <v>48</v>
      </c>
      <c r="X705" s="93" t="s">
        <v>89</v>
      </c>
      <c r="Y705" s="105" t="s">
        <v>84</v>
      </c>
      <c r="Z705" s="105" t="s">
        <v>93</v>
      </c>
    </row>
    <row r="706" spans="1:26" s="105" customFormat="1" ht="15" customHeight="1">
      <c r="A706" s="99">
        <f t="shared" si="93"/>
        <v>704</v>
      </c>
      <c r="B706" s="75" t="s">
        <v>448</v>
      </c>
      <c r="C706" s="100" t="str">
        <f>IF($B706&lt;&gt;"",_xlfn.IFNA(VLOOKUP($B706,'Node Details'!$B:$U,C$1,0),"Check"),"")</f>
        <v>0000AXW08-AXW080103</v>
      </c>
      <c r="D706" s="100" t="str">
        <f>IF($B706&lt;&gt;"",_xlfn.IFNA(VLOOKUP($B706,'Node Details'!$B:$U,D$1,0),"Check"),"")</f>
        <v>AXW</v>
      </c>
      <c r="E706" s="100" t="str">
        <f>IF($B706&lt;&gt;"",_xlfn.IFNA(VLOOKUP($B706,'Node Details'!$B:$U,E$1,0),"Check"),"")</f>
        <v>Airtel</v>
      </c>
      <c r="F706" s="101">
        <v>46114</v>
      </c>
      <c r="G706" s="103"/>
      <c r="H706" s="102" t="s">
        <v>1256</v>
      </c>
      <c r="I706" s="9">
        <v>1</v>
      </c>
      <c r="J706" s="9">
        <v>48</v>
      </c>
      <c r="K706" s="100">
        <f t="shared" si="92"/>
        <v>48</v>
      </c>
      <c r="L706" s="78">
        <v>46112</v>
      </c>
      <c r="M706" s="103"/>
      <c r="N706" s="93" t="s">
        <v>373</v>
      </c>
      <c r="O706" s="94">
        <v>46146</v>
      </c>
      <c r="P706" s="104">
        <f t="shared" si="94"/>
        <v>48</v>
      </c>
      <c r="Q706" s="104">
        <f t="shared" si="95"/>
        <v>48</v>
      </c>
      <c r="R706" s="104"/>
      <c r="S706" s="93" t="s">
        <v>374</v>
      </c>
      <c r="T706" s="94">
        <v>46156</v>
      </c>
      <c r="U706" s="104">
        <f t="shared" si="96"/>
        <v>48</v>
      </c>
      <c r="V706" s="104">
        <f t="shared" si="97"/>
        <v>1</v>
      </c>
      <c r="W706" s="103">
        <f t="shared" si="98"/>
        <v>48</v>
      </c>
      <c r="X706" s="93" t="s">
        <v>89</v>
      </c>
      <c r="Y706" s="105" t="s">
        <v>84</v>
      </c>
      <c r="Z706" s="105" t="s">
        <v>93</v>
      </c>
    </row>
    <row r="707" spans="1:26" s="105" customFormat="1" ht="15" customHeight="1">
      <c r="A707" s="99">
        <f t="shared" si="93"/>
        <v>705</v>
      </c>
      <c r="B707" s="75" t="s">
        <v>1079</v>
      </c>
      <c r="C707" s="100" t="str">
        <f>IF($B707&lt;&gt;"",_xlfn.IFNA(VLOOKUP($B707,'Node Details'!$B:$U,C$1,0),"Check"),"")</f>
        <v>AXW080103-AXW080105</v>
      </c>
      <c r="D707" s="100" t="str">
        <f>IF($B707&lt;&gt;"",_xlfn.IFNA(VLOOKUP($B707,'Node Details'!$B:$U,D$1,0),"Check"),"")</f>
        <v>AXW</v>
      </c>
      <c r="E707" s="100" t="str">
        <f>IF($B707&lt;&gt;"",_xlfn.IFNA(VLOOKUP($B707,'Node Details'!$B:$U,E$1,0),"Check"),"")</f>
        <v>Airtel</v>
      </c>
      <c r="F707" s="101">
        <v>46114</v>
      </c>
      <c r="G707" s="103"/>
      <c r="H707" s="102" t="s">
        <v>1256</v>
      </c>
      <c r="I707" s="9">
        <v>1</v>
      </c>
      <c r="J707" s="9">
        <v>48</v>
      </c>
      <c r="K707" s="100">
        <f t="shared" si="92"/>
        <v>48</v>
      </c>
      <c r="L707" s="78">
        <v>46112</v>
      </c>
      <c r="M707" s="103"/>
      <c r="N707" s="93" t="s">
        <v>373</v>
      </c>
      <c r="O707" s="94">
        <v>46146</v>
      </c>
      <c r="P707" s="104">
        <f t="shared" si="94"/>
        <v>48</v>
      </c>
      <c r="Q707" s="104">
        <f t="shared" si="95"/>
        <v>48</v>
      </c>
      <c r="R707" s="104"/>
      <c r="S707" s="93" t="s">
        <v>374</v>
      </c>
      <c r="T707" s="94">
        <v>46156</v>
      </c>
      <c r="U707" s="104">
        <f t="shared" si="96"/>
        <v>48</v>
      </c>
      <c r="V707" s="104">
        <f t="shared" si="97"/>
        <v>1</v>
      </c>
      <c r="W707" s="103">
        <f t="shared" si="98"/>
        <v>48</v>
      </c>
      <c r="X707" s="93" t="s">
        <v>89</v>
      </c>
      <c r="Y707" s="105" t="s">
        <v>84</v>
      </c>
      <c r="Z707" s="105" t="s">
        <v>93</v>
      </c>
    </row>
    <row r="708" spans="1:26" s="105" customFormat="1" ht="15" customHeight="1">
      <c r="A708" s="99">
        <f t="shared" si="93"/>
        <v>706</v>
      </c>
      <c r="B708" s="75" t="s">
        <v>450</v>
      </c>
      <c r="C708" s="100" t="str">
        <f>IF($B708&lt;&gt;"",_xlfn.IFNA(VLOOKUP($B708,'Node Details'!$B:$U,C$1,0),"Check"),"")</f>
        <v>AXW080103-AXW080105</v>
      </c>
      <c r="D708" s="100" t="str">
        <f>IF($B708&lt;&gt;"",_xlfn.IFNA(VLOOKUP($B708,'Node Details'!$B:$U,D$1,0),"Check"),"")</f>
        <v>AXW</v>
      </c>
      <c r="E708" s="100" t="str">
        <f>IF($B708&lt;&gt;"",_xlfn.IFNA(VLOOKUP($B708,'Node Details'!$B:$U,E$1,0),"Check"),"")</f>
        <v>Airtel</v>
      </c>
      <c r="F708" s="101">
        <v>46114</v>
      </c>
      <c r="G708" s="103"/>
      <c r="H708" s="102" t="s">
        <v>1256</v>
      </c>
      <c r="I708" s="9">
        <v>1</v>
      </c>
      <c r="J708" s="9">
        <v>48</v>
      </c>
      <c r="K708" s="100">
        <f t="shared" ref="K708:K771" si="99">IF(I708&lt;&gt;"",J708*I708,0)</f>
        <v>48</v>
      </c>
      <c r="L708" s="78">
        <v>46112</v>
      </c>
      <c r="M708" s="103"/>
      <c r="N708" s="93" t="s">
        <v>373</v>
      </c>
      <c r="O708" s="94">
        <v>46146</v>
      </c>
      <c r="P708" s="104">
        <f t="shared" si="94"/>
        <v>48</v>
      </c>
      <c r="Q708" s="104">
        <f t="shared" si="95"/>
        <v>48</v>
      </c>
      <c r="R708" s="104"/>
      <c r="S708" s="93" t="s">
        <v>374</v>
      </c>
      <c r="T708" s="94">
        <v>46156</v>
      </c>
      <c r="U708" s="104">
        <f t="shared" si="96"/>
        <v>48</v>
      </c>
      <c r="V708" s="104">
        <f t="shared" si="97"/>
        <v>1</v>
      </c>
      <c r="W708" s="103">
        <f t="shared" si="98"/>
        <v>48</v>
      </c>
      <c r="X708" s="93" t="s">
        <v>89</v>
      </c>
      <c r="Y708" s="105" t="s">
        <v>84</v>
      </c>
      <c r="Z708" s="105" t="s">
        <v>93</v>
      </c>
    </row>
    <row r="709" spans="1:26" s="105" customFormat="1" ht="15" customHeight="1">
      <c r="A709" s="99">
        <f t="shared" ref="A709:A772" si="100">A708+1</f>
        <v>707</v>
      </c>
      <c r="B709" s="75" t="s">
        <v>452</v>
      </c>
      <c r="C709" s="100" t="str">
        <f>IF($B709&lt;&gt;"",_xlfn.IFNA(VLOOKUP($B709,'Node Details'!$B:$U,C$1,0),"Check"),"")</f>
        <v>0000AXW08-AXW080106</v>
      </c>
      <c r="D709" s="100" t="str">
        <f>IF($B709&lt;&gt;"",_xlfn.IFNA(VLOOKUP($B709,'Node Details'!$B:$U,D$1,0),"Check"),"")</f>
        <v>AXW</v>
      </c>
      <c r="E709" s="100" t="str">
        <f>IF($B709&lt;&gt;"",_xlfn.IFNA(VLOOKUP($B709,'Node Details'!$B:$U,E$1,0),"Check"),"")</f>
        <v>Airtel</v>
      </c>
      <c r="F709" s="101">
        <v>46114</v>
      </c>
      <c r="G709" s="103"/>
      <c r="H709" s="102" t="s">
        <v>1256</v>
      </c>
      <c r="I709" s="9">
        <v>1</v>
      </c>
      <c r="J709" s="9">
        <v>48</v>
      </c>
      <c r="K709" s="100">
        <f t="shared" si="99"/>
        <v>48</v>
      </c>
      <c r="L709" s="78">
        <v>46112</v>
      </c>
      <c r="M709" s="103"/>
      <c r="N709" s="93" t="s">
        <v>373</v>
      </c>
      <c r="O709" s="94">
        <v>46146</v>
      </c>
      <c r="P709" s="104">
        <f t="shared" ref="P709:P772" si="101">J709</f>
        <v>48</v>
      </c>
      <c r="Q709" s="104">
        <f t="shared" ref="Q709:Q772" si="102">P709*I709</f>
        <v>48</v>
      </c>
      <c r="R709" s="104"/>
      <c r="S709" s="93" t="s">
        <v>374</v>
      </c>
      <c r="T709" s="94">
        <v>46156</v>
      </c>
      <c r="U709" s="104">
        <f t="shared" ref="U709:U772" si="103">J709</f>
        <v>48</v>
      </c>
      <c r="V709" s="104">
        <f t="shared" ref="V709:V772" si="104">I709</f>
        <v>1</v>
      </c>
      <c r="W709" s="103">
        <f t="shared" ref="W709:W772" si="105">IF(V709&lt;&gt;"",V709*U709,0)</f>
        <v>48</v>
      </c>
      <c r="X709" s="93" t="s">
        <v>89</v>
      </c>
      <c r="Y709" s="105" t="s">
        <v>84</v>
      </c>
      <c r="Z709" s="105" t="s">
        <v>93</v>
      </c>
    </row>
    <row r="710" spans="1:26" s="105" customFormat="1" ht="15" customHeight="1">
      <c r="A710" s="99">
        <f t="shared" si="100"/>
        <v>708</v>
      </c>
      <c r="B710" s="75" t="s">
        <v>1080</v>
      </c>
      <c r="C710" s="100" t="str">
        <f>IF($B710&lt;&gt;"",_xlfn.IFNA(VLOOKUP($B710,'Node Details'!$B:$U,C$1,0),"Check"),"")</f>
        <v>AXW080106-AXW080108</v>
      </c>
      <c r="D710" s="100" t="str">
        <f>IF($B710&lt;&gt;"",_xlfn.IFNA(VLOOKUP($B710,'Node Details'!$B:$U,D$1,0),"Check"),"")</f>
        <v>AXW</v>
      </c>
      <c r="E710" s="100" t="str">
        <f>IF($B710&lt;&gt;"",_xlfn.IFNA(VLOOKUP($B710,'Node Details'!$B:$U,E$1,0),"Check"),"")</f>
        <v>Airtel</v>
      </c>
      <c r="F710" s="101">
        <v>46114</v>
      </c>
      <c r="G710" s="103"/>
      <c r="H710" s="102" t="s">
        <v>1256</v>
      </c>
      <c r="I710" s="9">
        <v>1</v>
      </c>
      <c r="J710" s="9">
        <v>48</v>
      </c>
      <c r="K710" s="100">
        <f t="shared" si="99"/>
        <v>48</v>
      </c>
      <c r="L710" s="78">
        <v>46112</v>
      </c>
      <c r="M710" s="103"/>
      <c r="N710" s="93" t="s">
        <v>373</v>
      </c>
      <c r="O710" s="94">
        <v>46146</v>
      </c>
      <c r="P710" s="104">
        <f t="shared" si="101"/>
        <v>48</v>
      </c>
      <c r="Q710" s="104">
        <f t="shared" si="102"/>
        <v>48</v>
      </c>
      <c r="R710" s="104"/>
      <c r="S710" s="93" t="s">
        <v>374</v>
      </c>
      <c r="T710" s="94">
        <v>46156</v>
      </c>
      <c r="U710" s="104">
        <f t="shared" si="103"/>
        <v>48</v>
      </c>
      <c r="V710" s="104">
        <f t="shared" si="104"/>
        <v>1</v>
      </c>
      <c r="W710" s="103">
        <f t="shared" si="105"/>
        <v>48</v>
      </c>
      <c r="X710" s="93" t="s">
        <v>89</v>
      </c>
      <c r="Y710" s="105" t="s">
        <v>84</v>
      </c>
      <c r="Z710" s="105" t="s">
        <v>93</v>
      </c>
    </row>
    <row r="711" spans="1:26" s="105" customFormat="1" ht="15" customHeight="1">
      <c r="A711" s="99">
        <f t="shared" si="100"/>
        <v>709</v>
      </c>
      <c r="B711" s="75" t="s">
        <v>454</v>
      </c>
      <c r="C711" s="100" t="str">
        <f>IF($B711&lt;&gt;"",_xlfn.IFNA(VLOOKUP($B711,'Node Details'!$B:$U,C$1,0),"Check"),"")</f>
        <v>AXW080106-AXW080108</v>
      </c>
      <c r="D711" s="100" t="str">
        <f>IF($B711&lt;&gt;"",_xlfn.IFNA(VLOOKUP($B711,'Node Details'!$B:$U,D$1,0),"Check"),"")</f>
        <v>AXW</v>
      </c>
      <c r="E711" s="100" t="str">
        <f>IF($B711&lt;&gt;"",_xlfn.IFNA(VLOOKUP($B711,'Node Details'!$B:$U,E$1,0),"Check"),"")</f>
        <v>Airtel</v>
      </c>
      <c r="F711" s="101">
        <v>46114</v>
      </c>
      <c r="G711" s="103"/>
      <c r="H711" s="102" t="s">
        <v>1256</v>
      </c>
      <c r="I711" s="9">
        <v>1</v>
      </c>
      <c r="J711" s="9">
        <v>48</v>
      </c>
      <c r="K711" s="100">
        <f t="shared" si="99"/>
        <v>48</v>
      </c>
      <c r="L711" s="78">
        <v>46112</v>
      </c>
      <c r="M711" s="103"/>
      <c r="N711" s="93" t="s">
        <v>373</v>
      </c>
      <c r="O711" s="94">
        <v>46146</v>
      </c>
      <c r="P711" s="104">
        <f t="shared" si="101"/>
        <v>48</v>
      </c>
      <c r="Q711" s="104">
        <f t="shared" si="102"/>
        <v>48</v>
      </c>
      <c r="R711" s="104"/>
      <c r="S711" s="93" t="s">
        <v>374</v>
      </c>
      <c r="T711" s="94">
        <v>46156</v>
      </c>
      <c r="U711" s="104">
        <f t="shared" si="103"/>
        <v>48</v>
      </c>
      <c r="V711" s="104">
        <f t="shared" si="104"/>
        <v>1</v>
      </c>
      <c r="W711" s="103">
        <f t="shared" si="105"/>
        <v>48</v>
      </c>
      <c r="X711" s="93" t="s">
        <v>89</v>
      </c>
      <c r="Y711" s="105" t="s">
        <v>84</v>
      </c>
      <c r="Z711" s="105" t="s">
        <v>93</v>
      </c>
    </row>
    <row r="712" spans="1:26" s="105" customFormat="1" ht="15" customHeight="1">
      <c r="A712" s="99">
        <f t="shared" si="100"/>
        <v>710</v>
      </c>
      <c r="B712" s="75" t="s">
        <v>1081</v>
      </c>
      <c r="C712" s="100" t="str">
        <f>IF($B712&lt;&gt;"",_xlfn.IFNA(VLOOKUP($B712,'Node Details'!$B:$U,C$1,0),"Check"),"")</f>
        <v>AXW080106-AXW080202</v>
      </c>
      <c r="D712" s="100" t="str">
        <f>IF($B712&lt;&gt;"",_xlfn.IFNA(VLOOKUP($B712,'Node Details'!$B:$U,D$1,0),"Check"),"")</f>
        <v>AXW</v>
      </c>
      <c r="E712" s="100" t="str">
        <f>IF($B712&lt;&gt;"",_xlfn.IFNA(VLOOKUP($B712,'Node Details'!$B:$U,E$1,0),"Check"),"")</f>
        <v>Airtel</v>
      </c>
      <c r="F712" s="101">
        <v>46114</v>
      </c>
      <c r="G712" s="103"/>
      <c r="H712" s="102" t="s">
        <v>1256</v>
      </c>
      <c r="I712" s="9">
        <v>1</v>
      </c>
      <c r="J712" s="9">
        <v>48</v>
      </c>
      <c r="K712" s="100">
        <f t="shared" si="99"/>
        <v>48</v>
      </c>
      <c r="L712" s="78">
        <v>46112</v>
      </c>
      <c r="M712" s="103"/>
      <c r="N712" s="93" t="s">
        <v>373</v>
      </c>
      <c r="O712" s="94">
        <v>46146</v>
      </c>
      <c r="P712" s="104">
        <f t="shared" si="101"/>
        <v>48</v>
      </c>
      <c r="Q712" s="104">
        <f t="shared" si="102"/>
        <v>48</v>
      </c>
      <c r="R712" s="104"/>
      <c r="S712" s="93" t="s">
        <v>374</v>
      </c>
      <c r="T712" s="94">
        <v>46156</v>
      </c>
      <c r="U712" s="104">
        <f t="shared" si="103"/>
        <v>48</v>
      </c>
      <c r="V712" s="104">
        <f t="shared" si="104"/>
        <v>1</v>
      </c>
      <c r="W712" s="103">
        <f t="shared" si="105"/>
        <v>48</v>
      </c>
      <c r="X712" s="93" t="s">
        <v>89</v>
      </c>
      <c r="Y712" s="105" t="s">
        <v>84</v>
      </c>
      <c r="Z712" s="105" t="s">
        <v>93</v>
      </c>
    </row>
    <row r="713" spans="1:26" s="105" customFormat="1" ht="15" customHeight="1">
      <c r="A713" s="99">
        <f t="shared" si="100"/>
        <v>711</v>
      </c>
      <c r="B713" s="75" t="s">
        <v>456</v>
      </c>
      <c r="C713" s="100" t="str">
        <f>IF($B713&lt;&gt;"",_xlfn.IFNA(VLOOKUP($B713,'Node Details'!$B:$U,C$1,0),"Check"),"")</f>
        <v>AXW080106-AXW080202</v>
      </c>
      <c r="D713" s="100" t="str">
        <f>IF($B713&lt;&gt;"",_xlfn.IFNA(VLOOKUP($B713,'Node Details'!$B:$U,D$1,0),"Check"),"")</f>
        <v>AXW</v>
      </c>
      <c r="E713" s="100" t="str">
        <f>IF($B713&lt;&gt;"",_xlfn.IFNA(VLOOKUP($B713,'Node Details'!$B:$U,E$1,0),"Check"),"")</f>
        <v>Airtel</v>
      </c>
      <c r="F713" s="101">
        <v>46114</v>
      </c>
      <c r="G713" s="103"/>
      <c r="H713" s="102" t="s">
        <v>1256</v>
      </c>
      <c r="I713" s="9">
        <v>1</v>
      </c>
      <c r="J713" s="9">
        <v>48</v>
      </c>
      <c r="K713" s="100">
        <f t="shared" si="99"/>
        <v>48</v>
      </c>
      <c r="L713" s="78">
        <v>46112</v>
      </c>
      <c r="M713" s="103"/>
      <c r="N713" s="93" t="s">
        <v>373</v>
      </c>
      <c r="O713" s="94">
        <v>46146</v>
      </c>
      <c r="P713" s="104">
        <f t="shared" si="101"/>
        <v>48</v>
      </c>
      <c r="Q713" s="104">
        <f t="shared" si="102"/>
        <v>48</v>
      </c>
      <c r="R713" s="104"/>
      <c r="S713" s="93" t="s">
        <v>374</v>
      </c>
      <c r="T713" s="94">
        <v>46156</v>
      </c>
      <c r="U713" s="104">
        <f t="shared" si="103"/>
        <v>48</v>
      </c>
      <c r="V713" s="104">
        <f t="shared" si="104"/>
        <v>1</v>
      </c>
      <c r="W713" s="103">
        <f t="shared" si="105"/>
        <v>48</v>
      </c>
      <c r="X713" s="93" t="s">
        <v>89</v>
      </c>
      <c r="Y713" s="105" t="s">
        <v>84</v>
      </c>
      <c r="Z713" s="105" t="s">
        <v>93</v>
      </c>
    </row>
    <row r="714" spans="1:26" s="105" customFormat="1" ht="15" customHeight="1">
      <c r="A714" s="99">
        <f t="shared" si="100"/>
        <v>712</v>
      </c>
      <c r="B714" s="75" t="s">
        <v>458</v>
      </c>
      <c r="C714" s="100" t="str">
        <f>IF($B714&lt;&gt;"",_xlfn.IFNA(VLOOKUP($B714,'Node Details'!$B:$U,C$1,0),"Check"),"")</f>
        <v>000000AXW-0000AXW12</v>
      </c>
      <c r="D714" s="100" t="str">
        <f>IF($B714&lt;&gt;"",_xlfn.IFNA(VLOOKUP($B714,'Node Details'!$B:$U,D$1,0),"Check"),"")</f>
        <v>AXW</v>
      </c>
      <c r="E714" s="100" t="str">
        <f>IF($B714&lt;&gt;"",_xlfn.IFNA(VLOOKUP($B714,'Node Details'!$B:$U,E$1,0),"Check"),"")</f>
        <v>Airtel</v>
      </c>
      <c r="F714" s="101">
        <v>46114</v>
      </c>
      <c r="G714" s="103"/>
      <c r="H714" s="102" t="s">
        <v>1256</v>
      </c>
      <c r="I714" s="9">
        <v>1</v>
      </c>
      <c r="J714" s="9">
        <v>48</v>
      </c>
      <c r="K714" s="100">
        <f t="shared" si="99"/>
        <v>48</v>
      </c>
      <c r="L714" s="78">
        <v>46112</v>
      </c>
      <c r="M714" s="103"/>
      <c r="N714" s="93" t="s">
        <v>373</v>
      </c>
      <c r="O714" s="94">
        <v>46146</v>
      </c>
      <c r="P714" s="104">
        <f t="shared" si="101"/>
        <v>48</v>
      </c>
      <c r="Q714" s="104">
        <f t="shared" si="102"/>
        <v>48</v>
      </c>
      <c r="R714" s="104"/>
      <c r="S714" s="93" t="s">
        <v>374</v>
      </c>
      <c r="T714" s="94">
        <v>46156</v>
      </c>
      <c r="U714" s="104">
        <f t="shared" si="103"/>
        <v>48</v>
      </c>
      <c r="V714" s="104">
        <f t="shared" si="104"/>
        <v>1</v>
      </c>
      <c r="W714" s="103">
        <f t="shared" si="105"/>
        <v>48</v>
      </c>
      <c r="X714" s="93" t="s">
        <v>89</v>
      </c>
      <c r="Y714" s="105" t="s">
        <v>84</v>
      </c>
      <c r="Z714" s="105" t="s">
        <v>93</v>
      </c>
    </row>
    <row r="715" spans="1:26" s="105" customFormat="1" ht="15" customHeight="1">
      <c r="A715" s="99">
        <f t="shared" si="100"/>
        <v>713</v>
      </c>
      <c r="B715" s="75" t="s">
        <v>459</v>
      </c>
      <c r="C715" s="100" t="str">
        <f>IF($B715&lt;&gt;"",_xlfn.IFNA(VLOOKUP($B715,'Node Details'!$B:$U,C$1,0),"Check"),"")</f>
        <v>0000AXW09-AXW090101</v>
      </c>
      <c r="D715" s="100" t="str">
        <f>IF($B715&lt;&gt;"",_xlfn.IFNA(VLOOKUP($B715,'Node Details'!$B:$U,D$1,0),"Check"),"")</f>
        <v>AXW</v>
      </c>
      <c r="E715" s="100" t="str">
        <f>IF($B715&lt;&gt;"",_xlfn.IFNA(VLOOKUP($B715,'Node Details'!$B:$U,E$1,0),"Check"),"")</f>
        <v>Airtel</v>
      </c>
      <c r="F715" s="101">
        <v>46114</v>
      </c>
      <c r="G715" s="103"/>
      <c r="H715" s="102" t="s">
        <v>1256</v>
      </c>
      <c r="I715" s="9">
        <v>1</v>
      </c>
      <c r="J715" s="9">
        <v>48</v>
      </c>
      <c r="K715" s="100">
        <f t="shared" si="99"/>
        <v>48</v>
      </c>
      <c r="L715" s="78">
        <v>46112</v>
      </c>
      <c r="M715" s="103"/>
      <c r="N715" s="93" t="s">
        <v>373</v>
      </c>
      <c r="O715" s="94">
        <v>46146</v>
      </c>
      <c r="P715" s="104">
        <f t="shared" si="101"/>
        <v>48</v>
      </c>
      <c r="Q715" s="104">
        <f t="shared" si="102"/>
        <v>48</v>
      </c>
      <c r="R715" s="104"/>
      <c r="S715" s="93" t="s">
        <v>374</v>
      </c>
      <c r="T715" s="94">
        <v>46156</v>
      </c>
      <c r="U715" s="104">
        <f t="shared" si="103"/>
        <v>48</v>
      </c>
      <c r="V715" s="104">
        <f t="shared" si="104"/>
        <v>1</v>
      </c>
      <c r="W715" s="103">
        <f t="shared" si="105"/>
        <v>48</v>
      </c>
      <c r="X715" s="93" t="s">
        <v>89</v>
      </c>
      <c r="Y715" s="105" t="s">
        <v>84</v>
      </c>
      <c r="Z715" s="105" t="s">
        <v>93</v>
      </c>
    </row>
    <row r="716" spans="1:26" s="105" customFormat="1" ht="15" customHeight="1">
      <c r="A716" s="99">
        <f t="shared" si="100"/>
        <v>714</v>
      </c>
      <c r="B716" s="75" t="s">
        <v>461</v>
      </c>
      <c r="C716" s="100" t="str">
        <f>IF($B716&lt;&gt;"",_xlfn.IFNA(VLOOKUP($B716,'Node Details'!$B:$U,C$1,0),"Check"),"")</f>
        <v>0000AXW09-AXW090102</v>
      </c>
      <c r="D716" s="100" t="str">
        <f>IF($B716&lt;&gt;"",_xlfn.IFNA(VLOOKUP($B716,'Node Details'!$B:$U,D$1,0),"Check"),"")</f>
        <v>AXW</v>
      </c>
      <c r="E716" s="100" t="str">
        <f>IF($B716&lt;&gt;"",_xlfn.IFNA(VLOOKUP($B716,'Node Details'!$B:$U,E$1,0),"Check"),"")</f>
        <v>Airtel</v>
      </c>
      <c r="F716" s="101">
        <v>46114</v>
      </c>
      <c r="G716" s="103"/>
      <c r="H716" s="102" t="s">
        <v>1256</v>
      </c>
      <c r="I716" s="9">
        <v>1</v>
      </c>
      <c r="J716" s="9">
        <v>48</v>
      </c>
      <c r="K716" s="100">
        <f t="shared" si="99"/>
        <v>48</v>
      </c>
      <c r="L716" s="78">
        <v>46112</v>
      </c>
      <c r="M716" s="103"/>
      <c r="N716" s="93" t="s">
        <v>373</v>
      </c>
      <c r="O716" s="94">
        <v>46146</v>
      </c>
      <c r="P716" s="104">
        <f t="shared" si="101"/>
        <v>48</v>
      </c>
      <c r="Q716" s="104">
        <f t="shared" si="102"/>
        <v>48</v>
      </c>
      <c r="R716" s="104"/>
      <c r="S716" s="93" t="s">
        <v>374</v>
      </c>
      <c r="T716" s="94">
        <v>46156</v>
      </c>
      <c r="U716" s="104">
        <f t="shared" si="103"/>
        <v>48</v>
      </c>
      <c r="V716" s="104">
        <f t="shared" si="104"/>
        <v>1</v>
      </c>
      <c r="W716" s="103">
        <f t="shared" si="105"/>
        <v>48</v>
      </c>
      <c r="X716" s="93" t="s">
        <v>89</v>
      </c>
      <c r="Y716" s="105" t="s">
        <v>84</v>
      </c>
      <c r="Z716" s="105" t="s">
        <v>93</v>
      </c>
    </row>
    <row r="717" spans="1:26" s="105" customFormat="1" ht="15" customHeight="1">
      <c r="A717" s="99">
        <f t="shared" si="100"/>
        <v>715</v>
      </c>
      <c r="B717" s="75" t="s">
        <v>1082</v>
      </c>
      <c r="C717" s="100" t="str">
        <f>IF($B717&lt;&gt;"",_xlfn.IFNA(VLOOKUP($B717,'Node Details'!$B:$U,C$1,0),"Check"),"")</f>
        <v>0000AXW09-AXW090106</v>
      </c>
      <c r="D717" s="100" t="str">
        <f>IF($B717&lt;&gt;"",_xlfn.IFNA(VLOOKUP($B717,'Node Details'!$B:$U,D$1,0),"Check"),"")</f>
        <v>AXW</v>
      </c>
      <c r="E717" s="100" t="str">
        <f>IF($B717&lt;&gt;"",_xlfn.IFNA(VLOOKUP($B717,'Node Details'!$B:$U,E$1,0),"Check"),"")</f>
        <v>Airtel</v>
      </c>
      <c r="F717" s="101">
        <v>46114</v>
      </c>
      <c r="G717" s="103"/>
      <c r="H717" s="102" t="s">
        <v>1256</v>
      </c>
      <c r="I717" s="9">
        <v>1</v>
      </c>
      <c r="J717" s="9">
        <v>48</v>
      </c>
      <c r="K717" s="100">
        <f t="shared" si="99"/>
        <v>48</v>
      </c>
      <c r="L717" s="78">
        <v>46112</v>
      </c>
      <c r="M717" s="103"/>
      <c r="N717" s="93" t="s">
        <v>373</v>
      </c>
      <c r="O717" s="94">
        <v>46146</v>
      </c>
      <c r="P717" s="104">
        <f t="shared" si="101"/>
        <v>48</v>
      </c>
      <c r="Q717" s="104">
        <f t="shared" si="102"/>
        <v>48</v>
      </c>
      <c r="R717" s="104"/>
      <c r="S717" s="93" t="s">
        <v>374</v>
      </c>
      <c r="T717" s="94">
        <v>46156</v>
      </c>
      <c r="U717" s="104">
        <f t="shared" si="103"/>
        <v>48</v>
      </c>
      <c r="V717" s="104">
        <f t="shared" si="104"/>
        <v>1</v>
      </c>
      <c r="W717" s="103">
        <f t="shared" si="105"/>
        <v>48</v>
      </c>
      <c r="X717" s="93" t="s">
        <v>89</v>
      </c>
      <c r="Y717" s="105" t="s">
        <v>84</v>
      </c>
      <c r="Z717" s="105" t="s">
        <v>93</v>
      </c>
    </row>
    <row r="718" spans="1:26" s="105" customFormat="1" ht="15" customHeight="1">
      <c r="A718" s="99">
        <f t="shared" si="100"/>
        <v>716</v>
      </c>
      <c r="B718" s="75" t="s">
        <v>1083</v>
      </c>
      <c r="C718" s="100" t="str">
        <f>IF($B718&lt;&gt;"",_xlfn.IFNA(VLOOKUP($B718,'Node Details'!$B:$U,C$1,0),"Check"),"")</f>
        <v>0000AXW09-AXW090106</v>
      </c>
      <c r="D718" s="100" t="str">
        <f>IF($B718&lt;&gt;"",_xlfn.IFNA(VLOOKUP($B718,'Node Details'!$B:$U,D$1,0),"Check"),"")</f>
        <v>AXW</v>
      </c>
      <c r="E718" s="100" t="str">
        <f>IF($B718&lt;&gt;"",_xlfn.IFNA(VLOOKUP($B718,'Node Details'!$B:$U,E$1,0),"Check"),"")</f>
        <v>Airtel</v>
      </c>
      <c r="F718" s="101">
        <v>46114</v>
      </c>
      <c r="G718" s="103"/>
      <c r="H718" s="102" t="s">
        <v>1256</v>
      </c>
      <c r="I718" s="9">
        <v>1</v>
      </c>
      <c r="J718" s="9">
        <v>48</v>
      </c>
      <c r="K718" s="100">
        <f t="shared" si="99"/>
        <v>48</v>
      </c>
      <c r="L718" s="78">
        <v>46112</v>
      </c>
      <c r="M718" s="103"/>
      <c r="N718" s="93" t="s">
        <v>373</v>
      </c>
      <c r="O718" s="94">
        <v>46146</v>
      </c>
      <c r="P718" s="104">
        <f t="shared" si="101"/>
        <v>48</v>
      </c>
      <c r="Q718" s="104">
        <f t="shared" si="102"/>
        <v>48</v>
      </c>
      <c r="R718" s="104"/>
      <c r="S718" s="93" t="s">
        <v>374</v>
      </c>
      <c r="T718" s="94">
        <v>46156</v>
      </c>
      <c r="U718" s="104">
        <f t="shared" si="103"/>
        <v>48</v>
      </c>
      <c r="V718" s="104">
        <f t="shared" si="104"/>
        <v>1</v>
      </c>
      <c r="W718" s="103">
        <f t="shared" si="105"/>
        <v>48</v>
      </c>
      <c r="X718" s="93" t="s">
        <v>89</v>
      </c>
      <c r="Y718" s="105" t="s">
        <v>84</v>
      </c>
      <c r="Z718" s="105" t="s">
        <v>93</v>
      </c>
    </row>
    <row r="719" spans="1:26" s="105" customFormat="1" ht="15" customHeight="1">
      <c r="A719" s="99">
        <f t="shared" si="100"/>
        <v>717</v>
      </c>
      <c r="B719" s="75" t="s">
        <v>1084</v>
      </c>
      <c r="C719" s="100" t="str">
        <f>IF($B719&lt;&gt;"",_xlfn.IFNA(VLOOKUP($B719,'Node Details'!$B:$U,C$1,0),"Check"),"")</f>
        <v>0000AXW09-AXW090106</v>
      </c>
      <c r="D719" s="100" t="str">
        <f>IF($B719&lt;&gt;"",_xlfn.IFNA(VLOOKUP($B719,'Node Details'!$B:$U,D$1,0),"Check"),"")</f>
        <v>AXW</v>
      </c>
      <c r="E719" s="100" t="str">
        <f>IF($B719&lt;&gt;"",_xlfn.IFNA(VLOOKUP($B719,'Node Details'!$B:$U,E$1,0),"Check"),"")</f>
        <v>Airtel</v>
      </c>
      <c r="F719" s="101">
        <v>46114</v>
      </c>
      <c r="G719" s="103"/>
      <c r="H719" s="102" t="s">
        <v>1256</v>
      </c>
      <c r="I719" s="9">
        <v>1</v>
      </c>
      <c r="J719" s="9">
        <v>48</v>
      </c>
      <c r="K719" s="100">
        <f t="shared" si="99"/>
        <v>48</v>
      </c>
      <c r="L719" s="78">
        <v>46112</v>
      </c>
      <c r="M719" s="103"/>
      <c r="N719" s="93" t="s">
        <v>373</v>
      </c>
      <c r="O719" s="94">
        <v>46146</v>
      </c>
      <c r="P719" s="104">
        <f t="shared" si="101"/>
        <v>48</v>
      </c>
      <c r="Q719" s="104">
        <f t="shared" si="102"/>
        <v>48</v>
      </c>
      <c r="R719" s="104"/>
      <c r="S719" s="93" t="s">
        <v>374</v>
      </c>
      <c r="T719" s="94">
        <v>46156</v>
      </c>
      <c r="U719" s="104">
        <f t="shared" si="103"/>
        <v>48</v>
      </c>
      <c r="V719" s="104">
        <f t="shared" si="104"/>
        <v>1</v>
      </c>
      <c r="W719" s="103">
        <f t="shared" si="105"/>
        <v>48</v>
      </c>
      <c r="X719" s="93" t="s">
        <v>89</v>
      </c>
      <c r="Y719" s="105" t="s">
        <v>84</v>
      </c>
      <c r="Z719" s="105" t="s">
        <v>93</v>
      </c>
    </row>
    <row r="720" spans="1:26" s="105" customFormat="1" ht="15" customHeight="1">
      <c r="A720" s="99">
        <f t="shared" si="100"/>
        <v>718</v>
      </c>
      <c r="B720" s="75" t="s">
        <v>463</v>
      </c>
      <c r="C720" s="100" t="str">
        <f>IF($B720&lt;&gt;"",_xlfn.IFNA(VLOOKUP($B720,'Node Details'!$B:$U,C$1,0),"Check"),"")</f>
        <v>0000AXW09-AXW090106</v>
      </c>
      <c r="D720" s="100" t="str">
        <f>IF($B720&lt;&gt;"",_xlfn.IFNA(VLOOKUP($B720,'Node Details'!$B:$U,D$1,0),"Check"),"")</f>
        <v>AXW</v>
      </c>
      <c r="E720" s="100" t="str">
        <f>IF($B720&lt;&gt;"",_xlfn.IFNA(VLOOKUP($B720,'Node Details'!$B:$U,E$1,0),"Check"),"")</f>
        <v>Airtel</v>
      </c>
      <c r="F720" s="101">
        <v>46114</v>
      </c>
      <c r="G720" s="103"/>
      <c r="H720" s="102" t="s">
        <v>1256</v>
      </c>
      <c r="I720" s="9">
        <v>1</v>
      </c>
      <c r="J720" s="9">
        <v>48</v>
      </c>
      <c r="K720" s="100">
        <f t="shared" si="99"/>
        <v>48</v>
      </c>
      <c r="L720" s="78">
        <v>46112</v>
      </c>
      <c r="M720" s="103"/>
      <c r="N720" s="93" t="s">
        <v>373</v>
      </c>
      <c r="O720" s="94">
        <v>46146</v>
      </c>
      <c r="P720" s="104">
        <f t="shared" si="101"/>
        <v>48</v>
      </c>
      <c r="Q720" s="104">
        <f t="shared" si="102"/>
        <v>48</v>
      </c>
      <c r="R720" s="104"/>
      <c r="S720" s="93" t="s">
        <v>374</v>
      </c>
      <c r="T720" s="94">
        <v>46156</v>
      </c>
      <c r="U720" s="104">
        <f t="shared" si="103"/>
        <v>48</v>
      </c>
      <c r="V720" s="104">
        <f t="shared" si="104"/>
        <v>1</v>
      </c>
      <c r="W720" s="103">
        <f t="shared" si="105"/>
        <v>48</v>
      </c>
      <c r="X720" s="93" t="s">
        <v>89</v>
      </c>
      <c r="Y720" s="105" t="s">
        <v>84</v>
      </c>
      <c r="Z720" s="105" t="s">
        <v>93</v>
      </c>
    </row>
    <row r="721" spans="1:26" s="105" customFormat="1" ht="15" customHeight="1">
      <c r="A721" s="99">
        <f t="shared" si="100"/>
        <v>719</v>
      </c>
      <c r="B721" s="75" t="s">
        <v>383</v>
      </c>
      <c r="C721" s="100" t="str">
        <f>IF($B721&lt;&gt;"",_xlfn.IFNA(VLOOKUP($B721,'Node Details'!$B:$U,C$1,0),"Check"),"")</f>
        <v>000000AXW-0000AXW12</v>
      </c>
      <c r="D721" s="100" t="str">
        <f>IF($B721&lt;&gt;"",_xlfn.IFNA(VLOOKUP($B721,'Node Details'!$B:$U,D$1,0),"Check"),"")</f>
        <v>AXW</v>
      </c>
      <c r="E721" s="100" t="str">
        <f>IF($B721&lt;&gt;"",_xlfn.IFNA(VLOOKUP($B721,'Node Details'!$B:$U,E$1,0),"Check"),"")</f>
        <v>Airtel</v>
      </c>
      <c r="F721" s="101">
        <v>46114</v>
      </c>
      <c r="G721" s="103"/>
      <c r="H721" s="102" t="s">
        <v>1256</v>
      </c>
      <c r="I721" s="9">
        <v>1</v>
      </c>
      <c r="J721" s="9">
        <v>48</v>
      </c>
      <c r="K721" s="100">
        <f t="shared" si="99"/>
        <v>48</v>
      </c>
      <c r="L721" s="78">
        <v>46112</v>
      </c>
      <c r="M721" s="103"/>
      <c r="N721" s="93" t="s">
        <v>373</v>
      </c>
      <c r="O721" s="94">
        <v>46146</v>
      </c>
      <c r="P721" s="104">
        <f t="shared" si="101"/>
        <v>48</v>
      </c>
      <c r="Q721" s="104">
        <f t="shared" si="102"/>
        <v>48</v>
      </c>
      <c r="R721" s="104"/>
      <c r="S721" s="93" t="s">
        <v>374</v>
      </c>
      <c r="T721" s="94">
        <v>46156</v>
      </c>
      <c r="U721" s="104">
        <f t="shared" si="103"/>
        <v>48</v>
      </c>
      <c r="V721" s="104">
        <f t="shared" si="104"/>
        <v>1</v>
      </c>
      <c r="W721" s="103">
        <f t="shared" si="105"/>
        <v>48</v>
      </c>
      <c r="X721" s="93" t="s">
        <v>89</v>
      </c>
      <c r="Y721" s="105" t="s">
        <v>84</v>
      </c>
      <c r="Z721" s="105" t="s">
        <v>93</v>
      </c>
    </row>
    <row r="722" spans="1:26" s="105" customFormat="1" ht="15" customHeight="1">
      <c r="A722" s="99">
        <f t="shared" si="100"/>
        <v>720</v>
      </c>
      <c r="B722" s="75" t="s">
        <v>471</v>
      </c>
      <c r="C722" s="100" t="str">
        <f>IF($B722&lt;&gt;"",_xlfn.IFNA(VLOOKUP($B722,'Node Details'!$B:$U,C$1,0),"Check"),"")</f>
        <v>0000AXW10-AXW100107</v>
      </c>
      <c r="D722" s="100" t="str">
        <f>IF($B722&lt;&gt;"",_xlfn.IFNA(VLOOKUP($B722,'Node Details'!$B:$U,D$1,0),"Check"),"")</f>
        <v>AXW</v>
      </c>
      <c r="E722" s="100" t="str">
        <f>IF($B722&lt;&gt;"",_xlfn.IFNA(VLOOKUP($B722,'Node Details'!$B:$U,E$1,0),"Check"),"")</f>
        <v>Airtel</v>
      </c>
      <c r="F722" s="101">
        <v>46114</v>
      </c>
      <c r="G722" s="103"/>
      <c r="H722" s="102" t="s">
        <v>1256</v>
      </c>
      <c r="I722" s="9">
        <v>1</v>
      </c>
      <c r="J722" s="9">
        <v>48</v>
      </c>
      <c r="K722" s="100">
        <f t="shared" si="99"/>
        <v>48</v>
      </c>
      <c r="L722" s="78">
        <v>46112</v>
      </c>
      <c r="M722" s="103"/>
      <c r="N722" s="93" t="s">
        <v>373</v>
      </c>
      <c r="O722" s="94">
        <v>46146</v>
      </c>
      <c r="P722" s="104">
        <f t="shared" si="101"/>
        <v>48</v>
      </c>
      <c r="Q722" s="104">
        <f t="shared" si="102"/>
        <v>48</v>
      </c>
      <c r="R722" s="104"/>
      <c r="S722" s="93" t="s">
        <v>374</v>
      </c>
      <c r="T722" s="94">
        <v>46156</v>
      </c>
      <c r="U722" s="104">
        <f t="shared" si="103"/>
        <v>48</v>
      </c>
      <c r="V722" s="104">
        <f t="shared" si="104"/>
        <v>1</v>
      </c>
      <c r="W722" s="103">
        <f t="shared" si="105"/>
        <v>48</v>
      </c>
      <c r="X722" s="93" t="s">
        <v>89</v>
      </c>
      <c r="Y722" s="105" t="s">
        <v>84</v>
      </c>
      <c r="Z722" s="105" t="s">
        <v>93</v>
      </c>
    </row>
    <row r="723" spans="1:26" s="105" customFormat="1" ht="15" customHeight="1">
      <c r="A723" s="99">
        <f t="shared" si="100"/>
        <v>721</v>
      </c>
      <c r="B723" s="75" t="s">
        <v>467</v>
      </c>
      <c r="C723" s="100" t="str">
        <f>IF($B723&lt;&gt;"",_xlfn.IFNA(VLOOKUP($B723,'Node Details'!$B:$U,C$1,0),"Check"),"")</f>
        <v>0000AXW10-AXW100102</v>
      </c>
      <c r="D723" s="100" t="str">
        <f>IF($B723&lt;&gt;"",_xlfn.IFNA(VLOOKUP($B723,'Node Details'!$B:$U,D$1,0),"Check"),"")</f>
        <v>AXW</v>
      </c>
      <c r="E723" s="100" t="str">
        <f>IF($B723&lt;&gt;"",_xlfn.IFNA(VLOOKUP($B723,'Node Details'!$B:$U,E$1,0),"Check"),"")</f>
        <v>Airtel</v>
      </c>
      <c r="F723" s="101">
        <v>46114</v>
      </c>
      <c r="G723" s="103"/>
      <c r="H723" s="102" t="s">
        <v>1256</v>
      </c>
      <c r="I723" s="9">
        <v>1</v>
      </c>
      <c r="J723" s="9">
        <v>48</v>
      </c>
      <c r="K723" s="100">
        <f t="shared" si="99"/>
        <v>48</v>
      </c>
      <c r="L723" s="78">
        <v>46112</v>
      </c>
      <c r="M723" s="103"/>
      <c r="N723" s="93" t="s">
        <v>373</v>
      </c>
      <c r="O723" s="94">
        <v>46146</v>
      </c>
      <c r="P723" s="104">
        <f t="shared" si="101"/>
        <v>48</v>
      </c>
      <c r="Q723" s="104">
        <f t="shared" si="102"/>
        <v>48</v>
      </c>
      <c r="R723" s="104"/>
      <c r="S723" s="93" t="s">
        <v>374</v>
      </c>
      <c r="T723" s="94">
        <v>46156</v>
      </c>
      <c r="U723" s="104">
        <f t="shared" si="103"/>
        <v>48</v>
      </c>
      <c r="V723" s="104">
        <f t="shared" si="104"/>
        <v>1</v>
      </c>
      <c r="W723" s="103">
        <f t="shared" si="105"/>
        <v>48</v>
      </c>
      <c r="X723" s="93" t="s">
        <v>89</v>
      </c>
      <c r="Y723" s="105" t="s">
        <v>84</v>
      </c>
      <c r="Z723" s="105" t="s">
        <v>93</v>
      </c>
    </row>
    <row r="724" spans="1:26" s="105" customFormat="1" ht="15" customHeight="1">
      <c r="A724" s="99">
        <f t="shared" si="100"/>
        <v>722</v>
      </c>
      <c r="B724" s="75" t="s">
        <v>1085</v>
      </c>
      <c r="C724" s="100" t="str">
        <f>IF($B724&lt;&gt;"",_xlfn.IFNA(VLOOKUP($B724,'Node Details'!$B:$U,C$1,0),"Check"),"")</f>
        <v>0000AXW10-AXW100105</v>
      </c>
      <c r="D724" s="100" t="str">
        <f>IF($B724&lt;&gt;"",_xlfn.IFNA(VLOOKUP($B724,'Node Details'!$B:$U,D$1,0),"Check"),"")</f>
        <v>AXW</v>
      </c>
      <c r="E724" s="100" t="str">
        <f>IF($B724&lt;&gt;"",_xlfn.IFNA(VLOOKUP($B724,'Node Details'!$B:$U,E$1,0),"Check"),"")</f>
        <v>Airtel</v>
      </c>
      <c r="F724" s="101">
        <v>46114</v>
      </c>
      <c r="G724" s="103"/>
      <c r="H724" s="102" t="s">
        <v>1256</v>
      </c>
      <c r="I724" s="9">
        <v>1</v>
      </c>
      <c r="J724" s="9">
        <v>48</v>
      </c>
      <c r="K724" s="100">
        <f t="shared" si="99"/>
        <v>48</v>
      </c>
      <c r="L724" s="78">
        <v>46112</v>
      </c>
      <c r="M724" s="103"/>
      <c r="N724" s="93" t="s">
        <v>373</v>
      </c>
      <c r="O724" s="94">
        <v>46146</v>
      </c>
      <c r="P724" s="104">
        <f t="shared" si="101"/>
        <v>48</v>
      </c>
      <c r="Q724" s="104">
        <f t="shared" si="102"/>
        <v>48</v>
      </c>
      <c r="R724" s="104"/>
      <c r="S724" s="93" t="s">
        <v>374</v>
      </c>
      <c r="T724" s="94">
        <v>46156</v>
      </c>
      <c r="U724" s="104">
        <f t="shared" si="103"/>
        <v>48</v>
      </c>
      <c r="V724" s="104">
        <f t="shared" si="104"/>
        <v>1</v>
      </c>
      <c r="W724" s="103">
        <f t="shared" si="105"/>
        <v>48</v>
      </c>
      <c r="X724" s="93" t="s">
        <v>89</v>
      </c>
      <c r="Y724" s="105" t="s">
        <v>84</v>
      </c>
      <c r="Z724" s="105" t="s">
        <v>93</v>
      </c>
    </row>
    <row r="725" spans="1:26" s="105" customFormat="1" ht="15" customHeight="1">
      <c r="A725" s="99">
        <f t="shared" si="100"/>
        <v>723</v>
      </c>
      <c r="B725" s="75" t="s">
        <v>1086</v>
      </c>
      <c r="C725" s="100" t="str">
        <f>IF($B725&lt;&gt;"",_xlfn.IFNA(VLOOKUP($B725,'Node Details'!$B:$U,C$1,0),"Check"),"")</f>
        <v>0000AXW10-AXW100105</v>
      </c>
      <c r="D725" s="100" t="str">
        <f>IF($B725&lt;&gt;"",_xlfn.IFNA(VLOOKUP($B725,'Node Details'!$B:$U,D$1,0),"Check"),"")</f>
        <v>AXW</v>
      </c>
      <c r="E725" s="100" t="str">
        <f>IF($B725&lt;&gt;"",_xlfn.IFNA(VLOOKUP($B725,'Node Details'!$B:$U,E$1,0),"Check"),"")</f>
        <v>Airtel</v>
      </c>
      <c r="F725" s="101">
        <v>46114</v>
      </c>
      <c r="G725" s="103"/>
      <c r="H725" s="102" t="s">
        <v>1256</v>
      </c>
      <c r="I725" s="9">
        <v>1</v>
      </c>
      <c r="J725" s="9">
        <v>48</v>
      </c>
      <c r="K725" s="100">
        <f t="shared" si="99"/>
        <v>48</v>
      </c>
      <c r="L725" s="78">
        <v>46112</v>
      </c>
      <c r="M725" s="103"/>
      <c r="N725" s="93" t="s">
        <v>373</v>
      </c>
      <c r="O725" s="94">
        <v>46146</v>
      </c>
      <c r="P725" s="104">
        <f t="shared" si="101"/>
        <v>48</v>
      </c>
      <c r="Q725" s="104">
        <f t="shared" si="102"/>
        <v>48</v>
      </c>
      <c r="R725" s="104"/>
      <c r="S725" s="93" t="s">
        <v>374</v>
      </c>
      <c r="T725" s="94">
        <v>46156</v>
      </c>
      <c r="U725" s="104">
        <f t="shared" si="103"/>
        <v>48</v>
      </c>
      <c r="V725" s="104">
        <f t="shared" si="104"/>
        <v>1</v>
      </c>
      <c r="W725" s="103">
        <f t="shared" si="105"/>
        <v>48</v>
      </c>
      <c r="X725" s="93" t="s">
        <v>89</v>
      </c>
      <c r="Y725" s="105" t="s">
        <v>84</v>
      </c>
      <c r="Z725" s="105" t="s">
        <v>93</v>
      </c>
    </row>
    <row r="726" spans="1:26" s="105" customFormat="1" ht="15" customHeight="1">
      <c r="A726" s="99">
        <f t="shared" si="100"/>
        <v>724</v>
      </c>
      <c r="B726" s="75" t="s">
        <v>469</v>
      </c>
      <c r="C726" s="100" t="str">
        <f>IF($B726&lt;&gt;"",_xlfn.IFNA(VLOOKUP($B726,'Node Details'!$B:$U,C$1,0),"Check"),"")</f>
        <v>0000AXW10-AXW100105</v>
      </c>
      <c r="D726" s="100" t="str">
        <f>IF($B726&lt;&gt;"",_xlfn.IFNA(VLOOKUP($B726,'Node Details'!$B:$U,D$1,0),"Check"),"")</f>
        <v>AXW</v>
      </c>
      <c r="E726" s="100" t="str">
        <f>IF($B726&lt;&gt;"",_xlfn.IFNA(VLOOKUP($B726,'Node Details'!$B:$U,E$1,0),"Check"),"")</f>
        <v>Airtel</v>
      </c>
      <c r="F726" s="101">
        <v>46114</v>
      </c>
      <c r="G726" s="103"/>
      <c r="H726" s="102" t="s">
        <v>1256</v>
      </c>
      <c r="I726" s="9">
        <v>1</v>
      </c>
      <c r="J726" s="9">
        <v>48</v>
      </c>
      <c r="K726" s="100">
        <f t="shared" si="99"/>
        <v>48</v>
      </c>
      <c r="L726" s="78">
        <v>46112</v>
      </c>
      <c r="M726" s="103"/>
      <c r="N726" s="93" t="s">
        <v>373</v>
      </c>
      <c r="O726" s="94">
        <v>46146</v>
      </c>
      <c r="P726" s="104">
        <f t="shared" si="101"/>
        <v>48</v>
      </c>
      <c r="Q726" s="104">
        <f t="shared" si="102"/>
        <v>48</v>
      </c>
      <c r="R726" s="104"/>
      <c r="S726" s="93" t="s">
        <v>374</v>
      </c>
      <c r="T726" s="94">
        <v>46156</v>
      </c>
      <c r="U726" s="104">
        <f t="shared" si="103"/>
        <v>48</v>
      </c>
      <c r="V726" s="104">
        <f t="shared" si="104"/>
        <v>1</v>
      </c>
      <c r="W726" s="103">
        <f t="shared" si="105"/>
        <v>48</v>
      </c>
      <c r="X726" s="93" t="s">
        <v>89</v>
      </c>
      <c r="Y726" s="105" t="s">
        <v>84</v>
      </c>
      <c r="Z726" s="105" t="s">
        <v>93</v>
      </c>
    </row>
    <row r="727" spans="1:26" s="105" customFormat="1" ht="15" customHeight="1">
      <c r="A727" s="99">
        <f t="shared" si="100"/>
        <v>725</v>
      </c>
      <c r="B727" s="75" t="s">
        <v>1087</v>
      </c>
      <c r="C727" s="100" t="str">
        <f>IF($B727&lt;&gt;"",_xlfn.IFNA(VLOOKUP($B727,'Node Details'!$B:$U,C$1,0),"Check"),"")</f>
        <v>0000AXW10-AXW100107</v>
      </c>
      <c r="D727" s="100" t="str">
        <f>IF($B727&lt;&gt;"",_xlfn.IFNA(VLOOKUP($B727,'Node Details'!$B:$U,D$1,0),"Check"),"")</f>
        <v>AXW</v>
      </c>
      <c r="E727" s="100" t="str">
        <f>IF($B727&lt;&gt;"",_xlfn.IFNA(VLOOKUP($B727,'Node Details'!$B:$U,E$1,0),"Check"),"")</f>
        <v>Airtel</v>
      </c>
      <c r="F727" s="101">
        <v>46114</v>
      </c>
      <c r="G727" s="103"/>
      <c r="H727" s="102" t="s">
        <v>1256</v>
      </c>
      <c r="I727" s="9">
        <v>1</v>
      </c>
      <c r="J727" s="9">
        <v>48</v>
      </c>
      <c r="K727" s="100">
        <f t="shared" si="99"/>
        <v>48</v>
      </c>
      <c r="L727" s="78">
        <v>46112</v>
      </c>
      <c r="M727" s="103"/>
      <c r="N727" s="93" t="s">
        <v>373</v>
      </c>
      <c r="O727" s="94">
        <v>46146</v>
      </c>
      <c r="P727" s="104">
        <f t="shared" si="101"/>
        <v>48</v>
      </c>
      <c r="Q727" s="104">
        <f t="shared" si="102"/>
        <v>48</v>
      </c>
      <c r="R727" s="104"/>
      <c r="S727" s="93" t="s">
        <v>374</v>
      </c>
      <c r="T727" s="94">
        <v>46156</v>
      </c>
      <c r="U727" s="104">
        <f t="shared" si="103"/>
        <v>48</v>
      </c>
      <c r="V727" s="104">
        <f t="shared" si="104"/>
        <v>1</v>
      </c>
      <c r="W727" s="103">
        <f t="shared" si="105"/>
        <v>48</v>
      </c>
      <c r="X727" s="93" t="s">
        <v>89</v>
      </c>
      <c r="Y727" s="105" t="s">
        <v>84</v>
      </c>
      <c r="Z727" s="105" t="s">
        <v>93</v>
      </c>
    </row>
    <row r="728" spans="1:26" s="105" customFormat="1" ht="15" customHeight="1">
      <c r="A728" s="99">
        <f t="shared" si="100"/>
        <v>726</v>
      </c>
      <c r="B728" s="75" t="s">
        <v>465</v>
      </c>
      <c r="C728" s="100" t="str">
        <f>IF($B728&lt;&gt;"",_xlfn.IFNA(VLOOKUP($B728,'Node Details'!$B:$U,C$1,0),"Check"),"")</f>
        <v>0000AXW10-AXW100107</v>
      </c>
      <c r="D728" s="100" t="str">
        <f>IF($B728&lt;&gt;"",_xlfn.IFNA(VLOOKUP($B728,'Node Details'!$B:$U,D$1,0),"Check"),"")</f>
        <v>AXW</v>
      </c>
      <c r="E728" s="100" t="str">
        <f>IF($B728&lt;&gt;"",_xlfn.IFNA(VLOOKUP($B728,'Node Details'!$B:$U,E$1,0),"Check"),"")</f>
        <v>Airtel</v>
      </c>
      <c r="F728" s="101">
        <v>46114</v>
      </c>
      <c r="G728" s="103"/>
      <c r="H728" s="102" t="s">
        <v>1256</v>
      </c>
      <c r="I728" s="9">
        <v>1</v>
      </c>
      <c r="J728" s="9">
        <v>48</v>
      </c>
      <c r="K728" s="100">
        <f t="shared" si="99"/>
        <v>48</v>
      </c>
      <c r="L728" s="78">
        <v>46112</v>
      </c>
      <c r="M728" s="103"/>
      <c r="N728" s="93" t="s">
        <v>373</v>
      </c>
      <c r="O728" s="94">
        <v>46146</v>
      </c>
      <c r="P728" s="104">
        <f t="shared" si="101"/>
        <v>48</v>
      </c>
      <c r="Q728" s="104">
        <f t="shared" si="102"/>
        <v>48</v>
      </c>
      <c r="R728" s="104"/>
      <c r="S728" s="93" t="s">
        <v>374</v>
      </c>
      <c r="T728" s="94">
        <v>46156</v>
      </c>
      <c r="U728" s="104">
        <f t="shared" si="103"/>
        <v>48</v>
      </c>
      <c r="V728" s="104">
        <f t="shared" si="104"/>
        <v>1</v>
      </c>
      <c r="W728" s="103">
        <f t="shared" si="105"/>
        <v>48</v>
      </c>
      <c r="X728" s="93" t="s">
        <v>89</v>
      </c>
      <c r="Y728" s="105" t="s">
        <v>84</v>
      </c>
      <c r="Z728" s="105" t="s">
        <v>93</v>
      </c>
    </row>
    <row r="729" spans="1:26" s="105" customFormat="1" ht="15" customHeight="1">
      <c r="A729" s="99">
        <f t="shared" si="100"/>
        <v>727</v>
      </c>
      <c r="B729" s="75" t="s">
        <v>1088</v>
      </c>
      <c r="C729" s="100" t="str">
        <f>IF($B729&lt;&gt;"",_xlfn.IFNA(VLOOKUP($B729,'Node Details'!$B:$U,C$1,0),"Check"),"")</f>
        <v>AXW100101-AXW100201</v>
      </c>
      <c r="D729" s="100" t="str">
        <f>IF($B729&lt;&gt;"",_xlfn.IFNA(VLOOKUP($B729,'Node Details'!$B:$U,D$1,0),"Check"),"")</f>
        <v>AXW</v>
      </c>
      <c r="E729" s="100" t="str">
        <f>IF($B729&lt;&gt;"",_xlfn.IFNA(VLOOKUP($B729,'Node Details'!$B:$U,E$1,0),"Check"),"")</f>
        <v>Airtel</v>
      </c>
      <c r="F729" s="101">
        <v>46114</v>
      </c>
      <c r="G729" s="103"/>
      <c r="H729" s="102" t="s">
        <v>1256</v>
      </c>
      <c r="I729" s="9">
        <v>1</v>
      </c>
      <c r="J729" s="9">
        <v>48</v>
      </c>
      <c r="K729" s="100">
        <f t="shared" si="99"/>
        <v>48</v>
      </c>
      <c r="L729" s="78">
        <v>46112</v>
      </c>
      <c r="M729" s="103"/>
      <c r="N729" s="93" t="s">
        <v>373</v>
      </c>
      <c r="O729" s="94">
        <v>46146</v>
      </c>
      <c r="P729" s="104">
        <f t="shared" si="101"/>
        <v>48</v>
      </c>
      <c r="Q729" s="104">
        <f t="shared" si="102"/>
        <v>48</v>
      </c>
      <c r="R729" s="104"/>
      <c r="S729" s="93" t="s">
        <v>374</v>
      </c>
      <c r="T729" s="94">
        <v>46156</v>
      </c>
      <c r="U729" s="104">
        <f t="shared" si="103"/>
        <v>48</v>
      </c>
      <c r="V729" s="104">
        <f t="shared" si="104"/>
        <v>1</v>
      </c>
      <c r="W729" s="103">
        <f t="shared" si="105"/>
        <v>48</v>
      </c>
      <c r="X729" s="93" t="s">
        <v>89</v>
      </c>
      <c r="Y729" s="105" t="s">
        <v>84</v>
      </c>
      <c r="Z729" s="105" t="s">
        <v>93</v>
      </c>
    </row>
    <row r="730" spans="1:26" s="105" customFormat="1" ht="15" customHeight="1">
      <c r="A730" s="99">
        <f t="shared" si="100"/>
        <v>728</v>
      </c>
      <c r="B730" s="75" t="s">
        <v>472</v>
      </c>
      <c r="C730" s="100" t="str">
        <f>IF($B730&lt;&gt;"",_xlfn.IFNA(VLOOKUP($B730,'Node Details'!$B:$U,C$1,0),"Check"),"")</f>
        <v>AXW100101-AXW100201</v>
      </c>
      <c r="D730" s="100" t="str">
        <f>IF($B730&lt;&gt;"",_xlfn.IFNA(VLOOKUP($B730,'Node Details'!$B:$U,D$1,0),"Check"),"")</f>
        <v>AXW</v>
      </c>
      <c r="E730" s="100" t="str">
        <f>IF($B730&lt;&gt;"",_xlfn.IFNA(VLOOKUP($B730,'Node Details'!$B:$U,E$1,0),"Check"),"")</f>
        <v>Airtel</v>
      </c>
      <c r="F730" s="101">
        <v>46114</v>
      </c>
      <c r="G730" s="103"/>
      <c r="H730" s="102" t="s">
        <v>1256</v>
      </c>
      <c r="I730" s="9">
        <v>1</v>
      </c>
      <c r="J730" s="9">
        <v>48</v>
      </c>
      <c r="K730" s="100">
        <f t="shared" si="99"/>
        <v>48</v>
      </c>
      <c r="L730" s="78">
        <v>46112</v>
      </c>
      <c r="M730" s="103"/>
      <c r="N730" s="93" t="s">
        <v>373</v>
      </c>
      <c r="O730" s="94">
        <v>46146</v>
      </c>
      <c r="P730" s="104">
        <f t="shared" si="101"/>
        <v>48</v>
      </c>
      <c r="Q730" s="104">
        <f t="shared" si="102"/>
        <v>48</v>
      </c>
      <c r="R730" s="104"/>
      <c r="S730" s="93" t="s">
        <v>374</v>
      </c>
      <c r="T730" s="94">
        <v>46156</v>
      </c>
      <c r="U730" s="104">
        <f t="shared" si="103"/>
        <v>48</v>
      </c>
      <c r="V730" s="104">
        <f t="shared" si="104"/>
        <v>1</v>
      </c>
      <c r="W730" s="103">
        <f t="shared" si="105"/>
        <v>48</v>
      </c>
      <c r="X730" s="93" t="s">
        <v>89</v>
      </c>
      <c r="Y730" s="105" t="s">
        <v>84</v>
      </c>
      <c r="Z730" s="105" t="s">
        <v>93</v>
      </c>
    </row>
    <row r="731" spans="1:26" s="105" customFormat="1" ht="15" customHeight="1">
      <c r="A731" s="99">
        <f t="shared" si="100"/>
        <v>729</v>
      </c>
      <c r="B731" s="75" t="s">
        <v>474</v>
      </c>
      <c r="C731" s="100" t="str">
        <f>IF($B731&lt;&gt;"",_xlfn.IFNA(VLOOKUP($B731,'Node Details'!$B:$U,C$1,0),"Check"),"")</f>
        <v>000000AXW-0000AXW12</v>
      </c>
      <c r="D731" s="100" t="str">
        <f>IF($B731&lt;&gt;"",_xlfn.IFNA(VLOOKUP($B731,'Node Details'!$B:$U,D$1,0),"Check"),"")</f>
        <v>AXW</v>
      </c>
      <c r="E731" s="100" t="str">
        <f>IF($B731&lt;&gt;"",_xlfn.IFNA(VLOOKUP($B731,'Node Details'!$B:$U,E$1,0),"Check"),"")</f>
        <v>Airtel</v>
      </c>
      <c r="F731" s="101">
        <v>46114</v>
      </c>
      <c r="G731" s="103"/>
      <c r="H731" s="102" t="s">
        <v>1256</v>
      </c>
      <c r="I731" s="9">
        <v>1</v>
      </c>
      <c r="J731" s="9">
        <v>48</v>
      </c>
      <c r="K731" s="100">
        <f t="shared" si="99"/>
        <v>48</v>
      </c>
      <c r="L731" s="78">
        <v>46112</v>
      </c>
      <c r="M731" s="103"/>
      <c r="N731" s="93" t="s">
        <v>373</v>
      </c>
      <c r="O731" s="94">
        <v>46146</v>
      </c>
      <c r="P731" s="104">
        <f t="shared" si="101"/>
        <v>48</v>
      </c>
      <c r="Q731" s="104">
        <f t="shared" si="102"/>
        <v>48</v>
      </c>
      <c r="R731" s="104"/>
      <c r="S731" s="93" t="s">
        <v>374</v>
      </c>
      <c r="T731" s="94">
        <v>46156</v>
      </c>
      <c r="U731" s="104">
        <f t="shared" si="103"/>
        <v>48</v>
      </c>
      <c r="V731" s="104">
        <f t="shared" si="104"/>
        <v>1</v>
      </c>
      <c r="W731" s="103">
        <f t="shared" si="105"/>
        <v>48</v>
      </c>
      <c r="X731" s="93" t="s">
        <v>89</v>
      </c>
      <c r="Y731" s="105" t="s">
        <v>84</v>
      </c>
      <c r="Z731" s="105" t="s">
        <v>93</v>
      </c>
    </row>
    <row r="732" spans="1:26" s="105" customFormat="1" ht="15" customHeight="1">
      <c r="A732" s="99">
        <f t="shared" si="100"/>
        <v>730</v>
      </c>
      <c r="B732" s="75" t="s">
        <v>475</v>
      </c>
      <c r="C732" s="100" t="str">
        <f>IF($B732&lt;&gt;"",_xlfn.IFNA(VLOOKUP($B732,'Node Details'!$B:$U,C$1,0),"Check"),"")</f>
        <v>0000AXW11-AXW110101</v>
      </c>
      <c r="D732" s="100" t="str">
        <f>IF($B732&lt;&gt;"",_xlfn.IFNA(VLOOKUP($B732,'Node Details'!$B:$U,D$1,0),"Check"),"")</f>
        <v>AXW</v>
      </c>
      <c r="E732" s="100" t="str">
        <f>IF($B732&lt;&gt;"",_xlfn.IFNA(VLOOKUP($B732,'Node Details'!$B:$U,E$1,0),"Check"),"")</f>
        <v>Airtel</v>
      </c>
      <c r="F732" s="101">
        <v>46114</v>
      </c>
      <c r="G732" s="103"/>
      <c r="H732" s="102" t="s">
        <v>1256</v>
      </c>
      <c r="I732" s="9">
        <v>1</v>
      </c>
      <c r="J732" s="9">
        <v>48</v>
      </c>
      <c r="K732" s="100">
        <f t="shared" si="99"/>
        <v>48</v>
      </c>
      <c r="L732" s="78">
        <v>46112</v>
      </c>
      <c r="M732" s="103"/>
      <c r="N732" s="93" t="s">
        <v>373</v>
      </c>
      <c r="O732" s="94">
        <v>46146</v>
      </c>
      <c r="P732" s="104">
        <f t="shared" si="101"/>
        <v>48</v>
      </c>
      <c r="Q732" s="104">
        <f t="shared" si="102"/>
        <v>48</v>
      </c>
      <c r="R732" s="104"/>
      <c r="S732" s="93" t="s">
        <v>374</v>
      </c>
      <c r="T732" s="94">
        <v>46156</v>
      </c>
      <c r="U732" s="104">
        <f t="shared" si="103"/>
        <v>48</v>
      </c>
      <c r="V732" s="104">
        <f t="shared" si="104"/>
        <v>1</v>
      </c>
      <c r="W732" s="103">
        <f t="shared" si="105"/>
        <v>48</v>
      </c>
      <c r="X732" s="93" t="s">
        <v>89</v>
      </c>
      <c r="Y732" s="105" t="s">
        <v>84</v>
      </c>
      <c r="Z732" s="105" t="s">
        <v>93</v>
      </c>
    </row>
    <row r="733" spans="1:26" s="105" customFormat="1" ht="15" customHeight="1">
      <c r="A733" s="99">
        <f t="shared" si="100"/>
        <v>731</v>
      </c>
      <c r="B733" s="75" t="s">
        <v>1089</v>
      </c>
      <c r="C733" s="100" t="str">
        <f>IF($B733&lt;&gt;"",_xlfn.IFNA(VLOOKUP($B733,'Node Details'!$B:$U,C$1,0),"Check"),"")</f>
        <v>0000AXW11-AXW110103</v>
      </c>
      <c r="D733" s="100" t="str">
        <f>IF($B733&lt;&gt;"",_xlfn.IFNA(VLOOKUP($B733,'Node Details'!$B:$U,D$1,0),"Check"),"")</f>
        <v>AXW</v>
      </c>
      <c r="E733" s="100" t="str">
        <f>IF($B733&lt;&gt;"",_xlfn.IFNA(VLOOKUP($B733,'Node Details'!$B:$U,E$1,0),"Check"),"")</f>
        <v>Airtel</v>
      </c>
      <c r="F733" s="101">
        <v>46114</v>
      </c>
      <c r="G733" s="103"/>
      <c r="H733" s="102" t="s">
        <v>1256</v>
      </c>
      <c r="I733" s="9">
        <v>1</v>
      </c>
      <c r="J733" s="9">
        <v>48</v>
      </c>
      <c r="K733" s="100">
        <f t="shared" si="99"/>
        <v>48</v>
      </c>
      <c r="L733" s="78">
        <v>46112</v>
      </c>
      <c r="M733" s="103"/>
      <c r="N733" s="93" t="s">
        <v>373</v>
      </c>
      <c r="O733" s="94">
        <v>46146</v>
      </c>
      <c r="P733" s="104">
        <f t="shared" si="101"/>
        <v>48</v>
      </c>
      <c r="Q733" s="104">
        <f t="shared" si="102"/>
        <v>48</v>
      </c>
      <c r="R733" s="104"/>
      <c r="S733" s="93" t="s">
        <v>374</v>
      </c>
      <c r="T733" s="94">
        <v>46156</v>
      </c>
      <c r="U733" s="104">
        <f t="shared" si="103"/>
        <v>48</v>
      </c>
      <c r="V733" s="104">
        <f t="shared" si="104"/>
        <v>1</v>
      </c>
      <c r="W733" s="103">
        <f t="shared" si="105"/>
        <v>48</v>
      </c>
      <c r="X733" s="93" t="s">
        <v>89</v>
      </c>
      <c r="Y733" s="105" t="s">
        <v>84</v>
      </c>
      <c r="Z733" s="105" t="s">
        <v>93</v>
      </c>
    </row>
    <row r="734" spans="1:26" s="105" customFormat="1" ht="15" customHeight="1">
      <c r="A734" s="99">
        <f t="shared" si="100"/>
        <v>732</v>
      </c>
      <c r="B734" s="75" t="s">
        <v>477</v>
      </c>
      <c r="C734" s="100" t="str">
        <f>IF($B734&lt;&gt;"",_xlfn.IFNA(VLOOKUP($B734,'Node Details'!$B:$U,C$1,0),"Check"),"")</f>
        <v>0000AXW11-AXW110103</v>
      </c>
      <c r="D734" s="100" t="str">
        <f>IF($B734&lt;&gt;"",_xlfn.IFNA(VLOOKUP($B734,'Node Details'!$B:$U,D$1,0),"Check"),"")</f>
        <v>AXW</v>
      </c>
      <c r="E734" s="100" t="str">
        <f>IF($B734&lt;&gt;"",_xlfn.IFNA(VLOOKUP($B734,'Node Details'!$B:$U,E$1,0),"Check"),"")</f>
        <v>Airtel</v>
      </c>
      <c r="F734" s="101">
        <v>46114</v>
      </c>
      <c r="G734" s="103"/>
      <c r="H734" s="102" t="s">
        <v>1256</v>
      </c>
      <c r="I734" s="9">
        <v>1</v>
      </c>
      <c r="J734" s="9">
        <v>48</v>
      </c>
      <c r="K734" s="100">
        <f t="shared" si="99"/>
        <v>48</v>
      </c>
      <c r="L734" s="78">
        <v>46112</v>
      </c>
      <c r="M734" s="103"/>
      <c r="N734" s="93" t="s">
        <v>373</v>
      </c>
      <c r="O734" s="94">
        <v>46146</v>
      </c>
      <c r="P734" s="104">
        <f t="shared" si="101"/>
        <v>48</v>
      </c>
      <c r="Q734" s="104">
        <f t="shared" si="102"/>
        <v>48</v>
      </c>
      <c r="R734" s="104"/>
      <c r="S734" s="93" t="s">
        <v>374</v>
      </c>
      <c r="T734" s="94">
        <v>46156</v>
      </c>
      <c r="U734" s="104">
        <f t="shared" si="103"/>
        <v>48</v>
      </c>
      <c r="V734" s="104">
        <f t="shared" si="104"/>
        <v>1</v>
      </c>
      <c r="W734" s="103">
        <f t="shared" si="105"/>
        <v>48</v>
      </c>
      <c r="X734" s="93" t="s">
        <v>89</v>
      </c>
      <c r="Y734" s="105" t="s">
        <v>84</v>
      </c>
      <c r="Z734" s="105" t="s">
        <v>93</v>
      </c>
    </row>
    <row r="735" spans="1:26" s="105" customFormat="1" ht="15" customHeight="1">
      <c r="A735" s="99">
        <f t="shared" si="100"/>
        <v>733</v>
      </c>
      <c r="B735" s="75" t="s">
        <v>381</v>
      </c>
      <c r="C735" s="100" t="str">
        <f>IF($B735&lt;&gt;"",_xlfn.IFNA(VLOOKUP($B735,'Node Details'!$B:$U,C$1,0),"Check"),"")</f>
        <v>000000AXW-0000AXW12</v>
      </c>
      <c r="D735" s="100" t="str">
        <f>IF($B735&lt;&gt;"",_xlfn.IFNA(VLOOKUP($B735,'Node Details'!$B:$U,D$1,0),"Check"),"")</f>
        <v>AXW</v>
      </c>
      <c r="E735" s="100" t="str">
        <f>IF($B735&lt;&gt;"",_xlfn.IFNA(VLOOKUP($B735,'Node Details'!$B:$U,E$1,0),"Check"),"")</f>
        <v>Airtel</v>
      </c>
      <c r="F735" s="101">
        <v>46114</v>
      </c>
      <c r="G735" s="103"/>
      <c r="H735" s="102" t="s">
        <v>1256</v>
      </c>
      <c r="I735" s="9">
        <v>1</v>
      </c>
      <c r="J735" s="9">
        <v>48</v>
      </c>
      <c r="K735" s="100">
        <f t="shared" si="99"/>
        <v>48</v>
      </c>
      <c r="L735" s="78">
        <v>46112</v>
      </c>
      <c r="M735" s="103"/>
      <c r="N735" s="93" t="s">
        <v>373</v>
      </c>
      <c r="O735" s="94">
        <v>46146</v>
      </c>
      <c r="P735" s="104">
        <f t="shared" si="101"/>
        <v>48</v>
      </c>
      <c r="Q735" s="104">
        <f t="shared" si="102"/>
        <v>48</v>
      </c>
      <c r="R735" s="104"/>
      <c r="S735" s="93" t="s">
        <v>374</v>
      </c>
      <c r="T735" s="94">
        <v>46156</v>
      </c>
      <c r="U735" s="104">
        <f t="shared" si="103"/>
        <v>48</v>
      </c>
      <c r="V735" s="104">
        <f t="shared" si="104"/>
        <v>1</v>
      </c>
      <c r="W735" s="103">
        <f t="shared" si="105"/>
        <v>48</v>
      </c>
      <c r="X735" s="93" t="s">
        <v>89</v>
      </c>
      <c r="Y735" s="105" t="s">
        <v>84</v>
      </c>
      <c r="Z735" s="105" t="s">
        <v>93</v>
      </c>
    </row>
    <row r="736" spans="1:26" s="105" customFormat="1" ht="15" customHeight="1">
      <c r="A736" s="99">
        <f t="shared" si="100"/>
        <v>734</v>
      </c>
      <c r="B736" s="75" t="s">
        <v>479</v>
      </c>
      <c r="C736" s="100" t="str">
        <f>IF($B736&lt;&gt;"",_xlfn.IFNA(VLOOKUP($B736,'Node Details'!$B:$U,C$1,0),"Check"),"")</f>
        <v>0000AXW12-AXW120101</v>
      </c>
      <c r="D736" s="100" t="str">
        <f>IF($B736&lt;&gt;"",_xlfn.IFNA(VLOOKUP($B736,'Node Details'!$B:$U,D$1,0),"Check"),"")</f>
        <v>AXW</v>
      </c>
      <c r="E736" s="100" t="str">
        <f>IF($B736&lt;&gt;"",_xlfn.IFNA(VLOOKUP($B736,'Node Details'!$B:$U,E$1,0),"Check"),"")</f>
        <v>Airtel</v>
      </c>
      <c r="F736" s="101">
        <v>46114</v>
      </c>
      <c r="G736" s="103"/>
      <c r="H736" s="102" t="s">
        <v>1256</v>
      </c>
      <c r="I736" s="9">
        <v>1</v>
      </c>
      <c r="J736" s="9">
        <v>48</v>
      </c>
      <c r="K736" s="100">
        <f t="shared" si="99"/>
        <v>48</v>
      </c>
      <c r="L736" s="78">
        <v>46112</v>
      </c>
      <c r="M736" s="103"/>
      <c r="N736" s="93" t="s">
        <v>373</v>
      </c>
      <c r="O736" s="94">
        <v>46146</v>
      </c>
      <c r="P736" s="104">
        <f t="shared" si="101"/>
        <v>48</v>
      </c>
      <c r="Q736" s="104">
        <f t="shared" si="102"/>
        <v>48</v>
      </c>
      <c r="R736" s="104"/>
      <c r="S736" s="93" t="s">
        <v>374</v>
      </c>
      <c r="T736" s="94">
        <v>46156</v>
      </c>
      <c r="U736" s="104">
        <f t="shared" si="103"/>
        <v>48</v>
      </c>
      <c r="V736" s="104">
        <f t="shared" si="104"/>
        <v>1</v>
      </c>
      <c r="W736" s="103">
        <f t="shared" si="105"/>
        <v>48</v>
      </c>
      <c r="X736" s="93" t="s">
        <v>89</v>
      </c>
      <c r="Y736" s="105" t="s">
        <v>84</v>
      </c>
      <c r="Z736" s="105" t="s">
        <v>93</v>
      </c>
    </row>
    <row r="737" spans="1:26" s="105" customFormat="1" ht="15" customHeight="1">
      <c r="A737" s="99">
        <f t="shared" si="100"/>
        <v>735</v>
      </c>
      <c r="B737" s="75" t="s">
        <v>481</v>
      </c>
      <c r="C737" s="100" t="str">
        <f>IF($B737&lt;&gt;"",_xlfn.IFNA(VLOOKUP($B737,'Node Details'!$B:$U,C$1,0),"Check"),"")</f>
        <v>0000AXW12-AXW120102</v>
      </c>
      <c r="D737" s="100" t="str">
        <f>IF($B737&lt;&gt;"",_xlfn.IFNA(VLOOKUP($B737,'Node Details'!$B:$U,D$1,0),"Check"),"")</f>
        <v>AXW</v>
      </c>
      <c r="E737" s="100" t="str">
        <f>IF($B737&lt;&gt;"",_xlfn.IFNA(VLOOKUP($B737,'Node Details'!$B:$U,E$1,0),"Check"),"")</f>
        <v>Airtel</v>
      </c>
      <c r="F737" s="101">
        <v>46114</v>
      </c>
      <c r="G737" s="103"/>
      <c r="H737" s="102" t="s">
        <v>1256</v>
      </c>
      <c r="I737" s="9">
        <v>1</v>
      </c>
      <c r="J737" s="9">
        <v>48</v>
      </c>
      <c r="K737" s="100">
        <f t="shared" si="99"/>
        <v>48</v>
      </c>
      <c r="L737" s="78">
        <v>46112</v>
      </c>
      <c r="M737" s="103"/>
      <c r="N737" s="93" t="s">
        <v>373</v>
      </c>
      <c r="O737" s="94">
        <v>46146</v>
      </c>
      <c r="P737" s="104">
        <f t="shared" si="101"/>
        <v>48</v>
      </c>
      <c r="Q737" s="104">
        <f t="shared" si="102"/>
        <v>48</v>
      </c>
      <c r="R737" s="104"/>
      <c r="S737" s="93" t="s">
        <v>374</v>
      </c>
      <c r="T737" s="94">
        <v>46156</v>
      </c>
      <c r="U737" s="104">
        <f t="shared" si="103"/>
        <v>48</v>
      </c>
      <c r="V737" s="104">
        <f t="shared" si="104"/>
        <v>1</v>
      </c>
      <c r="W737" s="103">
        <f t="shared" si="105"/>
        <v>48</v>
      </c>
      <c r="X737" s="93" t="s">
        <v>89</v>
      </c>
      <c r="Y737" s="105" t="s">
        <v>84</v>
      </c>
      <c r="Z737" s="105" t="s">
        <v>93</v>
      </c>
    </row>
    <row r="738" spans="1:26" s="105" customFormat="1" ht="15" customHeight="1">
      <c r="A738" s="99">
        <f t="shared" si="100"/>
        <v>736</v>
      </c>
      <c r="B738" s="75" t="s">
        <v>1090</v>
      </c>
      <c r="C738" s="100" t="str">
        <f>IF($B738&lt;&gt;"",_xlfn.IFNA(VLOOKUP($B738,'Node Details'!$B:$U,C$1,0),"Check"),"")</f>
        <v>0000AXW12-AXW120106</v>
      </c>
      <c r="D738" s="100" t="str">
        <f>IF($B738&lt;&gt;"",_xlfn.IFNA(VLOOKUP($B738,'Node Details'!$B:$U,D$1,0),"Check"),"")</f>
        <v>AXW</v>
      </c>
      <c r="E738" s="100" t="str">
        <f>IF($B738&lt;&gt;"",_xlfn.IFNA(VLOOKUP($B738,'Node Details'!$B:$U,E$1,0),"Check"),"")</f>
        <v>Airtel</v>
      </c>
      <c r="F738" s="101">
        <v>46114</v>
      </c>
      <c r="G738" s="103"/>
      <c r="H738" s="102" t="s">
        <v>1256</v>
      </c>
      <c r="I738" s="9">
        <v>1</v>
      </c>
      <c r="J738" s="9">
        <v>48</v>
      </c>
      <c r="K738" s="100">
        <f t="shared" si="99"/>
        <v>48</v>
      </c>
      <c r="L738" s="78">
        <v>46112</v>
      </c>
      <c r="M738" s="103"/>
      <c r="N738" s="93" t="s">
        <v>373</v>
      </c>
      <c r="O738" s="94">
        <v>46146</v>
      </c>
      <c r="P738" s="104">
        <f t="shared" si="101"/>
        <v>48</v>
      </c>
      <c r="Q738" s="104">
        <f t="shared" si="102"/>
        <v>48</v>
      </c>
      <c r="R738" s="104"/>
      <c r="S738" s="93" t="s">
        <v>374</v>
      </c>
      <c r="T738" s="94">
        <v>46156</v>
      </c>
      <c r="U738" s="104">
        <f t="shared" si="103"/>
        <v>48</v>
      </c>
      <c r="V738" s="104">
        <f t="shared" si="104"/>
        <v>1</v>
      </c>
      <c r="W738" s="103">
        <f t="shared" si="105"/>
        <v>48</v>
      </c>
      <c r="X738" s="93" t="s">
        <v>89</v>
      </c>
      <c r="Y738" s="105" t="s">
        <v>84</v>
      </c>
      <c r="Z738" s="105" t="s">
        <v>93</v>
      </c>
    </row>
    <row r="739" spans="1:26" s="105" customFormat="1" ht="15" customHeight="1">
      <c r="A739" s="99">
        <f t="shared" si="100"/>
        <v>737</v>
      </c>
      <c r="B739" s="75" t="s">
        <v>1091</v>
      </c>
      <c r="C739" s="100" t="str">
        <f>IF($B739&lt;&gt;"",_xlfn.IFNA(VLOOKUP($B739,'Node Details'!$B:$U,C$1,0),"Check"),"")</f>
        <v>0000AXW12-AXW120106</v>
      </c>
      <c r="D739" s="100" t="str">
        <f>IF($B739&lt;&gt;"",_xlfn.IFNA(VLOOKUP($B739,'Node Details'!$B:$U,D$1,0),"Check"),"")</f>
        <v>AXW</v>
      </c>
      <c r="E739" s="100" t="str">
        <f>IF($B739&lt;&gt;"",_xlfn.IFNA(VLOOKUP($B739,'Node Details'!$B:$U,E$1,0),"Check"),"")</f>
        <v>Airtel</v>
      </c>
      <c r="F739" s="101">
        <v>46114</v>
      </c>
      <c r="G739" s="103"/>
      <c r="H739" s="102" t="s">
        <v>1256</v>
      </c>
      <c r="I739" s="9">
        <v>1</v>
      </c>
      <c r="J739" s="9">
        <v>48</v>
      </c>
      <c r="K739" s="100">
        <f t="shared" si="99"/>
        <v>48</v>
      </c>
      <c r="L739" s="78">
        <v>46112</v>
      </c>
      <c r="M739" s="103"/>
      <c r="N739" s="93" t="s">
        <v>373</v>
      </c>
      <c r="O739" s="94">
        <v>46146</v>
      </c>
      <c r="P739" s="104">
        <f t="shared" si="101"/>
        <v>48</v>
      </c>
      <c r="Q739" s="104">
        <f t="shared" si="102"/>
        <v>48</v>
      </c>
      <c r="R739" s="104"/>
      <c r="S739" s="93" t="s">
        <v>374</v>
      </c>
      <c r="T739" s="94">
        <v>46156</v>
      </c>
      <c r="U739" s="104">
        <f t="shared" si="103"/>
        <v>48</v>
      </c>
      <c r="V739" s="104">
        <f t="shared" si="104"/>
        <v>1</v>
      </c>
      <c r="W739" s="103">
        <f t="shared" si="105"/>
        <v>48</v>
      </c>
      <c r="X739" s="93" t="s">
        <v>89</v>
      </c>
      <c r="Y739" s="105" t="s">
        <v>84</v>
      </c>
      <c r="Z739" s="105" t="s">
        <v>93</v>
      </c>
    </row>
    <row r="740" spans="1:26" s="105" customFormat="1" ht="15" customHeight="1">
      <c r="A740" s="99">
        <f t="shared" si="100"/>
        <v>738</v>
      </c>
      <c r="B740" s="75" t="s">
        <v>1092</v>
      </c>
      <c r="C740" s="100" t="str">
        <f>IF($B740&lt;&gt;"",_xlfn.IFNA(VLOOKUP($B740,'Node Details'!$B:$U,C$1,0),"Check"),"")</f>
        <v>0000AXW12-AXW120106</v>
      </c>
      <c r="D740" s="100" t="str">
        <f>IF($B740&lt;&gt;"",_xlfn.IFNA(VLOOKUP($B740,'Node Details'!$B:$U,D$1,0),"Check"),"")</f>
        <v>AXW</v>
      </c>
      <c r="E740" s="100" t="str">
        <f>IF($B740&lt;&gt;"",_xlfn.IFNA(VLOOKUP($B740,'Node Details'!$B:$U,E$1,0),"Check"),"")</f>
        <v>Airtel</v>
      </c>
      <c r="F740" s="101">
        <v>46114</v>
      </c>
      <c r="G740" s="103"/>
      <c r="H740" s="102" t="s">
        <v>1256</v>
      </c>
      <c r="I740" s="9">
        <v>1</v>
      </c>
      <c r="J740" s="9">
        <v>48</v>
      </c>
      <c r="K740" s="100">
        <f t="shared" si="99"/>
        <v>48</v>
      </c>
      <c r="L740" s="78">
        <v>46112</v>
      </c>
      <c r="M740" s="103"/>
      <c r="N740" s="93" t="s">
        <v>373</v>
      </c>
      <c r="O740" s="94">
        <v>46146</v>
      </c>
      <c r="P740" s="104">
        <f t="shared" si="101"/>
        <v>48</v>
      </c>
      <c r="Q740" s="104">
        <f t="shared" si="102"/>
        <v>48</v>
      </c>
      <c r="R740" s="104"/>
      <c r="S740" s="93" t="s">
        <v>374</v>
      </c>
      <c r="T740" s="94">
        <v>46156</v>
      </c>
      <c r="U740" s="104">
        <f t="shared" si="103"/>
        <v>48</v>
      </c>
      <c r="V740" s="104">
        <f t="shared" si="104"/>
        <v>1</v>
      </c>
      <c r="W740" s="103">
        <f t="shared" si="105"/>
        <v>48</v>
      </c>
      <c r="X740" s="93" t="s">
        <v>89</v>
      </c>
      <c r="Y740" s="105" t="s">
        <v>84</v>
      </c>
      <c r="Z740" s="105" t="s">
        <v>93</v>
      </c>
    </row>
    <row r="741" spans="1:26" s="105" customFormat="1" ht="15" customHeight="1">
      <c r="A741" s="99">
        <f t="shared" si="100"/>
        <v>739</v>
      </c>
      <c r="B741" s="75" t="s">
        <v>483</v>
      </c>
      <c r="C741" s="100" t="str">
        <f>IF($B741&lt;&gt;"",_xlfn.IFNA(VLOOKUP($B741,'Node Details'!$B:$U,C$1,0),"Check"),"")</f>
        <v>0000AXW12-AXW120106</v>
      </c>
      <c r="D741" s="100" t="str">
        <f>IF($B741&lt;&gt;"",_xlfn.IFNA(VLOOKUP($B741,'Node Details'!$B:$U,D$1,0),"Check"),"")</f>
        <v>AXW</v>
      </c>
      <c r="E741" s="100" t="str">
        <f>IF($B741&lt;&gt;"",_xlfn.IFNA(VLOOKUP($B741,'Node Details'!$B:$U,E$1,0),"Check"),"")</f>
        <v>Airtel</v>
      </c>
      <c r="F741" s="101">
        <v>46114</v>
      </c>
      <c r="G741" s="103"/>
      <c r="H741" s="102" t="s">
        <v>1256</v>
      </c>
      <c r="I741" s="9">
        <v>1</v>
      </c>
      <c r="J741" s="9">
        <v>48</v>
      </c>
      <c r="K741" s="100">
        <f t="shared" si="99"/>
        <v>48</v>
      </c>
      <c r="L741" s="78">
        <v>46112</v>
      </c>
      <c r="M741" s="103"/>
      <c r="N741" s="93" t="s">
        <v>373</v>
      </c>
      <c r="O741" s="94">
        <v>46146</v>
      </c>
      <c r="P741" s="104">
        <f t="shared" si="101"/>
        <v>48</v>
      </c>
      <c r="Q741" s="104">
        <f t="shared" si="102"/>
        <v>48</v>
      </c>
      <c r="R741" s="104"/>
      <c r="S741" s="93" t="s">
        <v>374</v>
      </c>
      <c r="T741" s="94">
        <v>46156</v>
      </c>
      <c r="U741" s="104">
        <f t="shared" si="103"/>
        <v>48</v>
      </c>
      <c r="V741" s="104">
        <f t="shared" si="104"/>
        <v>1</v>
      </c>
      <c r="W741" s="103">
        <f t="shared" si="105"/>
        <v>48</v>
      </c>
      <c r="X741" s="93" t="s">
        <v>89</v>
      </c>
      <c r="Y741" s="105" t="s">
        <v>84</v>
      </c>
      <c r="Z741" s="105" t="s">
        <v>93</v>
      </c>
    </row>
    <row r="742" spans="1:26" s="105" customFormat="1" ht="15" customHeight="1">
      <c r="A742" s="99">
        <f t="shared" si="100"/>
        <v>740</v>
      </c>
      <c r="B742" s="75" t="s">
        <v>1093</v>
      </c>
      <c r="C742" s="100" t="str">
        <f>IF($B742&lt;&gt;"",_xlfn.IFNA(VLOOKUP($B742,'Node Details'!$B:$U,C$1,0),"Check"),"")</f>
        <v>AXW120106-AXW120108</v>
      </c>
      <c r="D742" s="100" t="str">
        <f>IF($B742&lt;&gt;"",_xlfn.IFNA(VLOOKUP($B742,'Node Details'!$B:$U,D$1,0),"Check"),"")</f>
        <v>AXW</v>
      </c>
      <c r="E742" s="100" t="str">
        <f>IF($B742&lt;&gt;"",_xlfn.IFNA(VLOOKUP($B742,'Node Details'!$B:$U,E$1,0),"Check"),"")</f>
        <v>Airtel</v>
      </c>
      <c r="F742" s="101">
        <v>46114</v>
      </c>
      <c r="G742" s="103"/>
      <c r="H742" s="102" t="s">
        <v>1256</v>
      </c>
      <c r="I742" s="9">
        <v>1</v>
      </c>
      <c r="J742" s="9">
        <v>48</v>
      </c>
      <c r="K742" s="100">
        <f t="shared" si="99"/>
        <v>48</v>
      </c>
      <c r="L742" s="78">
        <v>46112</v>
      </c>
      <c r="M742" s="103"/>
      <c r="N742" s="93" t="s">
        <v>373</v>
      </c>
      <c r="O742" s="94">
        <v>46146</v>
      </c>
      <c r="P742" s="104">
        <f t="shared" si="101"/>
        <v>48</v>
      </c>
      <c r="Q742" s="104">
        <f t="shared" si="102"/>
        <v>48</v>
      </c>
      <c r="R742" s="104"/>
      <c r="S742" s="93" t="s">
        <v>374</v>
      </c>
      <c r="T742" s="94">
        <v>46156</v>
      </c>
      <c r="U742" s="104">
        <f t="shared" si="103"/>
        <v>48</v>
      </c>
      <c r="V742" s="104">
        <f t="shared" si="104"/>
        <v>1</v>
      </c>
      <c r="W742" s="103">
        <f t="shared" si="105"/>
        <v>48</v>
      </c>
      <c r="X742" s="93" t="s">
        <v>89</v>
      </c>
      <c r="Y742" s="105" t="s">
        <v>84</v>
      </c>
      <c r="Z742" s="105" t="s">
        <v>93</v>
      </c>
    </row>
    <row r="743" spans="1:26" s="105" customFormat="1" ht="15" customHeight="1">
      <c r="A743" s="99">
        <f t="shared" si="100"/>
        <v>741</v>
      </c>
      <c r="B743" s="75" t="s">
        <v>485</v>
      </c>
      <c r="C743" s="100" t="str">
        <f>IF($B743&lt;&gt;"",_xlfn.IFNA(VLOOKUP($B743,'Node Details'!$B:$U,C$1,0),"Check"),"")</f>
        <v>AXW120106-AXW120108</v>
      </c>
      <c r="D743" s="100" t="str">
        <f>IF($B743&lt;&gt;"",_xlfn.IFNA(VLOOKUP($B743,'Node Details'!$B:$U,D$1,0),"Check"),"")</f>
        <v>AXW</v>
      </c>
      <c r="E743" s="100" t="str">
        <f>IF($B743&lt;&gt;"",_xlfn.IFNA(VLOOKUP($B743,'Node Details'!$B:$U,E$1,0),"Check"),"")</f>
        <v>Airtel</v>
      </c>
      <c r="F743" s="101">
        <v>46114</v>
      </c>
      <c r="G743" s="103"/>
      <c r="H743" s="102" t="s">
        <v>1256</v>
      </c>
      <c r="I743" s="9">
        <v>1</v>
      </c>
      <c r="J743" s="9">
        <v>48</v>
      </c>
      <c r="K743" s="100">
        <f t="shared" si="99"/>
        <v>48</v>
      </c>
      <c r="L743" s="78">
        <v>46112</v>
      </c>
      <c r="M743" s="103"/>
      <c r="N743" s="93" t="s">
        <v>373</v>
      </c>
      <c r="O743" s="94">
        <v>46146</v>
      </c>
      <c r="P743" s="104">
        <f t="shared" si="101"/>
        <v>48</v>
      </c>
      <c r="Q743" s="104">
        <f t="shared" si="102"/>
        <v>48</v>
      </c>
      <c r="R743" s="104"/>
      <c r="S743" s="93" t="s">
        <v>374</v>
      </c>
      <c r="T743" s="94">
        <v>46156</v>
      </c>
      <c r="U743" s="104">
        <f t="shared" si="103"/>
        <v>48</v>
      </c>
      <c r="V743" s="104">
        <f t="shared" si="104"/>
        <v>1</v>
      </c>
      <c r="W743" s="103">
        <f t="shared" si="105"/>
        <v>48</v>
      </c>
      <c r="X743" s="93" t="s">
        <v>89</v>
      </c>
      <c r="Y743" s="105" t="s">
        <v>84</v>
      </c>
      <c r="Z743" s="105" t="s">
        <v>93</v>
      </c>
    </row>
    <row r="744" spans="1:26" s="105" customFormat="1" ht="15" customHeight="1">
      <c r="A744" s="99">
        <f t="shared" si="100"/>
        <v>742</v>
      </c>
      <c r="B744" s="75" t="s">
        <v>487</v>
      </c>
      <c r="C744" s="100" t="str">
        <f>IF($B744&lt;&gt;"",_xlfn.IFNA(VLOOKUP($B744,'Node Details'!$B:$U,C$1,0),"Check"),"")</f>
        <v>0000AXW10-0000AXW15</v>
      </c>
      <c r="D744" s="100" t="str">
        <f>IF($B744&lt;&gt;"",_xlfn.IFNA(VLOOKUP($B744,'Node Details'!$B:$U,D$1,0),"Check"),"")</f>
        <v>AXW</v>
      </c>
      <c r="E744" s="100" t="str">
        <f>IF($B744&lt;&gt;"",_xlfn.IFNA(VLOOKUP($B744,'Node Details'!$B:$U,E$1,0),"Check"),"")</f>
        <v>Airtel</v>
      </c>
      <c r="F744" s="101">
        <v>46114</v>
      </c>
      <c r="G744" s="103"/>
      <c r="H744" s="102" t="s">
        <v>1256</v>
      </c>
      <c r="I744" s="9">
        <v>1</v>
      </c>
      <c r="J744" s="9">
        <v>48</v>
      </c>
      <c r="K744" s="100">
        <f t="shared" si="99"/>
        <v>48</v>
      </c>
      <c r="L744" s="78">
        <v>46112</v>
      </c>
      <c r="M744" s="103"/>
      <c r="N744" s="93" t="s">
        <v>373</v>
      </c>
      <c r="O744" s="94">
        <v>46146</v>
      </c>
      <c r="P744" s="104">
        <f t="shared" si="101"/>
        <v>48</v>
      </c>
      <c r="Q744" s="104">
        <f t="shared" si="102"/>
        <v>48</v>
      </c>
      <c r="R744" s="104"/>
      <c r="S744" s="93" t="s">
        <v>374</v>
      </c>
      <c r="T744" s="94">
        <v>46156</v>
      </c>
      <c r="U744" s="104">
        <f t="shared" si="103"/>
        <v>48</v>
      </c>
      <c r="V744" s="104">
        <f t="shared" si="104"/>
        <v>1</v>
      </c>
      <c r="W744" s="103">
        <f t="shared" si="105"/>
        <v>48</v>
      </c>
      <c r="X744" s="93" t="s">
        <v>89</v>
      </c>
      <c r="Y744" s="105" t="s">
        <v>84</v>
      </c>
      <c r="Z744" s="105" t="s">
        <v>93</v>
      </c>
    </row>
    <row r="745" spans="1:26" s="105" customFormat="1" ht="15" customHeight="1">
      <c r="A745" s="99">
        <f t="shared" si="100"/>
        <v>743</v>
      </c>
      <c r="B745" s="75" t="s">
        <v>1094</v>
      </c>
      <c r="C745" s="100" t="str">
        <f>IF($B745&lt;&gt;"",_xlfn.IFNA(VLOOKUP($B745,'Node Details'!$B:$U,C$1,0),"Check"),"")</f>
        <v>0000AXW13-AXW130108</v>
      </c>
      <c r="D745" s="100" t="str">
        <f>IF($B745&lt;&gt;"",_xlfn.IFNA(VLOOKUP($B745,'Node Details'!$B:$U,D$1,0),"Check"),"")</f>
        <v>AXW</v>
      </c>
      <c r="E745" s="100" t="str">
        <f>IF($B745&lt;&gt;"",_xlfn.IFNA(VLOOKUP($B745,'Node Details'!$B:$U,E$1,0),"Check"),"")</f>
        <v>Airtel</v>
      </c>
      <c r="F745" s="101">
        <v>46114</v>
      </c>
      <c r="G745" s="103"/>
      <c r="H745" s="102" t="s">
        <v>1256</v>
      </c>
      <c r="I745" s="9">
        <v>1</v>
      </c>
      <c r="J745" s="9">
        <v>48</v>
      </c>
      <c r="K745" s="100">
        <f t="shared" si="99"/>
        <v>48</v>
      </c>
      <c r="L745" s="78">
        <v>46112</v>
      </c>
      <c r="M745" s="103"/>
      <c r="N745" s="93" t="s">
        <v>373</v>
      </c>
      <c r="O745" s="94">
        <v>46146</v>
      </c>
      <c r="P745" s="104">
        <f t="shared" si="101"/>
        <v>48</v>
      </c>
      <c r="Q745" s="104">
        <f t="shared" si="102"/>
        <v>48</v>
      </c>
      <c r="R745" s="104"/>
      <c r="S745" s="93" t="s">
        <v>374</v>
      </c>
      <c r="T745" s="94">
        <v>46156</v>
      </c>
      <c r="U745" s="104">
        <f t="shared" si="103"/>
        <v>48</v>
      </c>
      <c r="V745" s="104">
        <f t="shared" si="104"/>
        <v>1</v>
      </c>
      <c r="W745" s="103">
        <f t="shared" si="105"/>
        <v>48</v>
      </c>
      <c r="X745" s="93" t="s">
        <v>89</v>
      </c>
      <c r="Y745" s="105" t="s">
        <v>84</v>
      </c>
      <c r="Z745" s="105" t="s">
        <v>93</v>
      </c>
    </row>
    <row r="746" spans="1:26" s="105" customFormat="1" ht="15" customHeight="1">
      <c r="A746" s="99">
        <f t="shared" si="100"/>
        <v>744</v>
      </c>
      <c r="B746" s="75" t="s">
        <v>490</v>
      </c>
      <c r="C746" s="100" t="str">
        <f>IF($B746&lt;&gt;"",_xlfn.IFNA(VLOOKUP($B746,'Node Details'!$B:$U,C$1,0),"Check"),"")</f>
        <v>0000AXW13-AXW130102</v>
      </c>
      <c r="D746" s="100" t="str">
        <f>IF($B746&lt;&gt;"",_xlfn.IFNA(VLOOKUP($B746,'Node Details'!$B:$U,D$1,0),"Check"),"")</f>
        <v>AXW</v>
      </c>
      <c r="E746" s="100" t="str">
        <f>IF($B746&lt;&gt;"",_xlfn.IFNA(VLOOKUP($B746,'Node Details'!$B:$U,E$1,0),"Check"),"")</f>
        <v>Airtel</v>
      </c>
      <c r="F746" s="101">
        <v>46114</v>
      </c>
      <c r="G746" s="103"/>
      <c r="H746" s="102" t="s">
        <v>1256</v>
      </c>
      <c r="I746" s="9">
        <v>1</v>
      </c>
      <c r="J746" s="9">
        <v>48</v>
      </c>
      <c r="K746" s="100">
        <f t="shared" si="99"/>
        <v>48</v>
      </c>
      <c r="L746" s="78">
        <v>46112</v>
      </c>
      <c r="M746" s="103"/>
      <c r="N746" s="93" t="s">
        <v>373</v>
      </c>
      <c r="O746" s="94">
        <v>46146</v>
      </c>
      <c r="P746" s="104">
        <f t="shared" si="101"/>
        <v>48</v>
      </c>
      <c r="Q746" s="104">
        <f t="shared" si="102"/>
        <v>48</v>
      </c>
      <c r="R746" s="104"/>
      <c r="S746" s="93" t="s">
        <v>374</v>
      </c>
      <c r="T746" s="94">
        <v>46156</v>
      </c>
      <c r="U746" s="104">
        <f t="shared" si="103"/>
        <v>48</v>
      </c>
      <c r="V746" s="104">
        <f t="shared" si="104"/>
        <v>1</v>
      </c>
      <c r="W746" s="103">
        <f t="shared" si="105"/>
        <v>48</v>
      </c>
      <c r="X746" s="93" t="s">
        <v>89</v>
      </c>
      <c r="Y746" s="105" t="s">
        <v>84</v>
      </c>
      <c r="Z746" s="105" t="s">
        <v>93</v>
      </c>
    </row>
    <row r="747" spans="1:26" s="105" customFormat="1" ht="15" customHeight="1">
      <c r="A747" s="99">
        <f t="shared" si="100"/>
        <v>745</v>
      </c>
      <c r="B747" s="75" t="s">
        <v>1095</v>
      </c>
      <c r="C747" s="100" t="str">
        <f>IF($B747&lt;&gt;"",_xlfn.IFNA(VLOOKUP($B747,'Node Details'!$B:$U,C$1,0),"Check"),"")</f>
        <v>0000AXW13-AXW130104</v>
      </c>
      <c r="D747" s="100" t="str">
        <f>IF($B747&lt;&gt;"",_xlfn.IFNA(VLOOKUP($B747,'Node Details'!$B:$U,D$1,0),"Check"),"")</f>
        <v>AXW</v>
      </c>
      <c r="E747" s="100" t="str">
        <f>IF($B747&lt;&gt;"",_xlfn.IFNA(VLOOKUP($B747,'Node Details'!$B:$U,E$1,0),"Check"),"")</f>
        <v>Airtel</v>
      </c>
      <c r="F747" s="101">
        <v>46114</v>
      </c>
      <c r="G747" s="103"/>
      <c r="H747" s="102" t="s">
        <v>1256</v>
      </c>
      <c r="I747" s="9">
        <v>1</v>
      </c>
      <c r="J747" s="9">
        <v>48</v>
      </c>
      <c r="K747" s="100">
        <f t="shared" si="99"/>
        <v>48</v>
      </c>
      <c r="L747" s="78">
        <v>46112</v>
      </c>
      <c r="M747" s="103"/>
      <c r="N747" s="93" t="s">
        <v>373</v>
      </c>
      <c r="O747" s="94">
        <v>46146</v>
      </c>
      <c r="P747" s="104">
        <f t="shared" si="101"/>
        <v>48</v>
      </c>
      <c r="Q747" s="104">
        <f t="shared" si="102"/>
        <v>48</v>
      </c>
      <c r="R747" s="104"/>
      <c r="S747" s="93" t="s">
        <v>374</v>
      </c>
      <c r="T747" s="94">
        <v>46156</v>
      </c>
      <c r="U747" s="104">
        <f t="shared" si="103"/>
        <v>48</v>
      </c>
      <c r="V747" s="104">
        <f t="shared" si="104"/>
        <v>1</v>
      </c>
      <c r="W747" s="103">
        <f t="shared" si="105"/>
        <v>48</v>
      </c>
      <c r="X747" s="93" t="s">
        <v>89</v>
      </c>
      <c r="Y747" s="105" t="s">
        <v>84</v>
      </c>
      <c r="Z747" s="105" t="s">
        <v>93</v>
      </c>
    </row>
    <row r="748" spans="1:26" s="105" customFormat="1" ht="15" customHeight="1">
      <c r="A748" s="99">
        <f t="shared" si="100"/>
        <v>746</v>
      </c>
      <c r="B748" s="75" t="s">
        <v>492</v>
      </c>
      <c r="C748" s="100" t="str">
        <f>IF($B748&lt;&gt;"",_xlfn.IFNA(VLOOKUP($B748,'Node Details'!$B:$U,C$1,0),"Check"),"")</f>
        <v>0000AXW13-AXW130104</v>
      </c>
      <c r="D748" s="100" t="str">
        <f>IF($B748&lt;&gt;"",_xlfn.IFNA(VLOOKUP($B748,'Node Details'!$B:$U,D$1,0),"Check"),"")</f>
        <v>AXW</v>
      </c>
      <c r="E748" s="100" t="str">
        <f>IF($B748&lt;&gt;"",_xlfn.IFNA(VLOOKUP($B748,'Node Details'!$B:$U,E$1,0),"Check"),"")</f>
        <v>Airtel</v>
      </c>
      <c r="F748" s="101">
        <v>46114</v>
      </c>
      <c r="G748" s="103"/>
      <c r="H748" s="102" t="s">
        <v>1256</v>
      </c>
      <c r="I748" s="9">
        <v>1</v>
      </c>
      <c r="J748" s="9">
        <v>48</v>
      </c>
      <c r="K748" s="100">
        <f t="shared" si="99"/>
        <v>48</v>
      </c>
      <c r="L748" s="78">
        <v>46112</v>
      </c>
      <c r="M748" s="103"/>
      <c r="N748" s="93" t="s">
        <v>373</v>
      </c>
      <c r="O748" s="94">
        <v>46146</v>
      </c>
      <c r="P748" s="104">
        <f t="shared" si="101"/>
        <v>48</v>
      </c>
      <c r="Q748" s="104">
        <f t="shared" si="102"/>
        <v>48</v>
      </c>
      <c r="R748" s="104"/>
      <c r="S748" s="93" t="s">
        <v>374</v>
      </c>
      <c r="T748" s="94">
        <v>46156</v>
      </c>
      <c r="U748" s="104">
        <f t="shared" si="103"/>
        <v>48</v>
      </c>
      <c r="V748" s="104">
        <f t="shared" si="104"/>
        <v>1</v>
      </c>
      <c r="W748" s="103">
        <f t="shared" si="105"/>
        <v>48</v>
      </c>
      <c r="X748" s="93" t="s">
        <v>89</v>
      </c>
      <c r="Y748" s="105" t="s">
        <v>84</v>
      </c>
      <c r="Z748" s="105" t="s">
        <v>93</v>
      </c>
    </row>
    <row r="749" spans="1:26" s="105" customFormat="1" ht="15" customHeight="1">
      <c r="A749" s="99">
        <f t="shared" si="100"/>
        <v>747</v>
      </c>
      <c r="B749" s="75" t="s">
        <v>1096</v>
      </c>
      <c r="C749" s="100" t="str">
        <f>IF($B749&lt;&gt;"",_xlfn.IFNA(VLOOKUP($B749,'Node Details'!$B:$U,C$1,0),"Check"),"")</f>
        <v>0000AXW13-AXW130108</v>
      </c>
      <c r="D749" s="100" t="str">
        <f>IF($B749&lt;&gt;"",_xlfn.IFNA(VLOOKUP($B749,'Node Details'!$B:$U,D$1,0),"Check"),"")</f>
        <v>AXW</v>
      </c>
      <c r="E749" s="100" t="str">
        <f>IF($B749&lt;&gt;"",_xlfn.IFNA(VLOOKUP($B749,'Node Details'!$B:$U,E$1,0),"Check"),"")</f>
        <v>Airtel</v>
      </c>
      <c r="F749" s="101">
        <v>46114</v>
      </c>
      <c r="G749" s="103"/>
      <c r="H749" s="102" t="s">
        <v>1256</v>
      </c>
      <c r="I749" s="9">
        <v>1</v>
      </c>
      <c r="J749" s="9">
        <v>48</v>
      </c>
      <c r="K749" s="100">
        <f t="shared" si="99"/>
        <v>48</v>
      </c>
      <c r="L749" s="78">
        <v>46112</v>
      </c>
      <c r="M749" s="103"/>
      <c r="N749" s="93" t="s">
        <v>373</v>
      </c>
      <c r="O749" s="94">
        <v>46146</v>
      </c>
      <c r="P749" s="104">
        <f t="shared" si="101"/>
        <v>48</v>
      </c>
      <c r="Q749" s="104">
        <f t="shared" si="102"/>
        <v>48</v>
      </c>
      <c r="R749" s="104"/>
      <c r="S749" s="93" t="s">
        <v>374</v>
      </c>
      <c r="T749" s="94">
        <v>46156</v>
      </c>
      <c r="U749" s="104">
        <f t="shared" si="103"/>
        <v>48</v>
      </c>
      <c r="V749" s="104">
        <f t="shared" si="104"/>
        <v>1</v>
      </c>
      <c r="W749" s="103">
        <f t="shared" si="105"/>
        <v>48</v>
      </c>
      <c r="X749" s="93" t="s">
        <v>89</v>
      </c>
      <c r="Y749" s="105" t="s">
        <v>84</v>
      </c>
      <c r="Z749" s="105" t="s">
        <v>93</v>
      </c>
    </row>
    <row r="750" spans="1:26" s="105" customFormat="1" ht="15" customHeight="1">
      <c r="A750" s="99">
        <f t="shared" si="100"/>
        <v>748</v>
      </c>
      <c r="B750" s="75" t="s">
        <v>1097</v>
      </c>
      <c r="C750" s="100" t="str">
        <f>IF($B750&lt;&gt;"",_xlfn.IFNA(VLOOKUP($B750,'Node Details'!$B:$U,C$1,0),"Check"),"")</f>
        <v>0000AXW13-AXW130108</v>
      </c>
      <c r="D750" s="100" t="str">
        <f>IF($B750&lt;&gt;"",_xlfn.IFNA(VLOOKUP($B750,'Node Details'!$B:$U,D$1,0),"Check"),"")</f>
        <v>AXW</v>
      </c>
      <c r="E750" s="100" t="str">
        <f>IF($B750&lt;&gt;"",_xlfn.IFNA(VLOOKUP($B750,'Node Details'!$B:$U,E$1,0),"Check"),"")</f>
        <v>Airtel</v>
      </c>
      <c r="F750" s="101">
        <v>46114</v>
      </c>
      <c r="G750" s="103"/>
      <c r="H750" s="102" t="s">
        <v>1256</v>
      </c>
      <c r="I750" s="9">
        <v>1</v>
      </c>
      <c r="J750" s="9">
        <v>48</v>
      </c>
      <c r="K750" s="100">
        <f t="shared" si="99"/>
        <v>48</v>
      </c>
      <c r="L750" s="78">
        <v>46112</v>
      </c>
      <c r="M750" s="103"/>
      <c r="N750" s="93" t="s">
        <v>373</v>
      </c>
      <c r="O750" s="94">
        <v>46146</v>
      </c>
      <c r="P750" s="104">
        <f t="shared" si="101"/>
        <v>48</v>
      </c>
      <c r="Q750" s="104">
        <f t="shared" si="102"/>
        <v>48</v>
      </c>
      <c r="R750" s="104"/>
      <c r="S750" s="93" t="s">
        <v>374</v>
      </c>
      <c r="T750" s="94">
        <v>46156</v>
      </c>
      <c r="U750" s="104">
        <f t="shared" si="103"/>
        <v>48</v>
      </c>
      <c r="V750" s="104">
        <f t="shared" si="104"/>
        <v>1</v>
      </c>
      <c r="W750" s="103">
        <f t="shared" si="105"/>
        <v>48</v>
      </c>
      <c r="X750" s="93" t="s">
        <v>89</v>
      </c>
      <c r="Y750" s="105" t="s">
        <v>84</v>
      </c>
      <c r="Z750" s="105" t="s">
        <v>93</v>
      </c>
    </row>
    <row r="751" spans="1:26" s="105" customFormat="1" ht="15" customHeight="1">
      <c r="A751" s="99">
        <f t="shared" si="100"/>
        <v>749</v>
      </c>
      <c r="B751" s="75" t="s">
        <v>1098</v>
      </c>
      <c r="C751" s="100" t="str">
        <f>IF($B751&lt;&gt;"",_xlfn.IFNA(VLOOKUP($B751,'Node Details'!$B:$U,C$1,0),"Check"),"")</f>
        <v>0000AXW13-AXW130108</v>
      </c>
      <c r="D751" s="100" t="str">
        <f>IF($B751&lt;&gt;"",_xlfn.IFNA(VLOOKUP($B751,'Node Details'!$B:$U,D$1,0),"Check"),"")</f>
        <v>AXW</v>
      </c>
      <c r="E751" s="100" t="str">
        <f>IF($B751&lt;&gt;"",_xlfn.IFNA(VLOOKUP($B751,'Node Details'!$B:$U,E$1,0),"Check"),"")</f>
        <v>Airtel</v>
      </c>
      <c r="F751" s="101">
        <v>46114</v>
      </c>
      <c r="G751" s="103"/>
      <c r="H751" s="102" t="s">
        <v>1256</v>
      </c>
      <c r="I751" s="9">
        <v>1</v>
      </c>
      <c r="J751" s="9">
        <v>48</v>
      </c>
      <c r="K751" s="100">
        <f t="shared" si="99"/>
        <v>48</v>
      </c>
      <c r="L751" s="78">
        <v>46112</v>
      </c>
      <c r="M751" s="103"/>
      <c r="N751" s="93" t="s">
        <v>373</v>
      </c>
      <c r="O751" s="94">
        <v>46146</v>
      </c>
      <c r="P751" s="104">
        <f t="shared" si="101"/>
        <v>48</v>
      </c>
      <c r="Q751" s="104">
        <f t="shared" si="102"/>
        <v>48</v>
      </c>
      <c r="R751" s="104"/>
      <c r="S751" s="93" t="s">
        <v>374</v>
      </c>
      <c r="T751" s="94">
        <v>46156</v>
      </c>
      <c r="U751" s="104">
        <f t="shared" si="103"/>
        <v>48</v>
      </c>
      <c r="V751" s="104">
        <f t="shared" si="104"/>
        <v>1</v>
      </c>
      <c r="W751" s="103">
        <f t="shared" si="105"/>
        <v>48</v>
      </c>
      <c r="X751" s="93" t="s">
        <v>89</v>
      </c>
      <c r="Y751" s="105" t="s">
        <v>84</v>
      </c>
      <c r="Z751" s="105" t="s">
        <v>93</v>
      </c>
    </row>
    <row r="752" spans="1:26" s="105" customFormat="1" ht="15" customHeight="1">
      <c r="A752" s="99">
        <f t="shared" si="100"/>
        <v>750</v>
      </c>
      <c r="B752" s="75" t="s">
        <v>488</v>
      </c>
      <c r="C752" s="100" t="str">
        <f>IF($B752&lt;&gt;"",_xlfn.IFNA(VLOOKUP($B752,'Node Details'!$B:$U,C$1,0),"Check"),"")</f>
        <v>0000AXW13-AXW130108</v>
      </c>
      <c r="D752" s="100" t="str">
        <f>IF($B752&lt;&gt;"",_xlfn.IFNA(VLOOKUP($B752,'Node Details'!$B:$U,D$1,0),"Check"),"")</f>
        <v>AXW</v>
      </c>
      <c r="E752" s="100" t="str">
        <f>IF($B752&lt;&gt;"",_xlfn.IFNA(VLOOKUP($B752,'Node Details'!$B:$U,E$1,0),"Check"),"")</f>
        <v>Airtel</v>
      </c>
      <c r="F752" s="101">
        <v>46114</v>
      </c>
      <c r="G752" s="103"/>
      <c r="H752" s="102" t="s">
        <v>1256</v>
      </c>
      <c r="I752" s="9">
        <v>1</v>
      </c>
      <c r="J752" s="9">
        <v>48</v>
      </c>
      <c r="K752" s="100">
        <f t="shared" si="99"/>
        <v>48</v>
      </c>
      <c r="L752" s="78">
        <v>46112</v>
      </c>
      <c r="M752" s="103"/>
      <c r="N752" s="93" t="s">
        <v>373</v>
      </c>
      <c r="O752" s="94">
        <v>46146</v>
      </c>
      <c r="P752" s="104">
        <f t="shared" si="101"/>
        <v>48</v>
      </c>
      <c r="Q752" s="104">
        <f t="shared" si="102"/>
        <v>48</v>
      </c>
      <c r="R752" s="104"/>
      <c r="S752" s="93" t="s">
        <v>374</v>
      </c>
      <c r="T752" s="94">
        <v>46156</v>
      </c>
      <c r="U752" s="104">
        <f t="shared" si="103"/>
        <v>48</v>
      </c>
      <c r="V752" s="104">
        <f t="shared" si="104"/>
        <v>1</v>
      </c>
      <c r="W752" s="103">
        <f t="shared" si="105"/>
        <v>48</v>
      </c>
      <c r="X752" s="93" t="s">
        <v>89</v>
      </c>
      <c r="Y752" s="105" t="s">
        <v>84</v>
      </c>
      <c r="Z752" s="105" t="s">
        <v>93</v>
      </c>
    </row>
    <row r="753" spans="1:26" s="105" customFormat="1" ht="15" customHeight="1">
      <c r="A753" s="99">
        <f t="shared" si="100"/>
        <v>751</v>
      </c>
      <c r="B753" s="75" t="s">
        <v>494</v>
      </c>
      <c r="C753" s="100" t="str">
        <f>IF($B753&lt;&gt;"",_xlfn.IFNA(VLOOKUP($B753,'Node Details'!$B:$U,C$1,0),"Check"),"")</f>
        <v>0000AXW10-0000AXW15</v>
      </c>
      <c r="D753" s="100" t="str">
        <f>IF($B753&lt;&gt;"",_xlfn.IFNA(VLOOKUP($B753,'Node Details'!$B:$U,D$1,0),"Check"),"")</f>
        <v>AXW</v>
      </c>
      <c r="E753" s="100" t="str">
        <f>IF($B753&lt;&gt;"",_xlfn.IFNA(VLOOKUP($B753,'Node Details'!$B:$U,E$1,0),"Check"),"")</f>
        <v>Airtel</v>
      </c>
      <c r="F753" s="101">
        <v>46114</v>
      </c>
      <c r="G753" s="103"/>
      <c r="H753" s="102" t="s">
        <v>1256</v>
      </c>
      <c r="I753" s="9">
        <v>1</v>
      </c>
      <c r="J753" s="9">
        <v>48</v>
      </c>
      <c r="K753" s="100">
        <f t="shared" si="99"/>
        <v>48</v>
      </c>
      <c r="L753" s="78">
        <v>46112</v>
      </c>
      <c r="M753" s="103"/>
      <c r="N753" s="93" t="s">
        <v>373</v>
      </c>
      <c r="O753" s="94">
        <v>46146</v>
      </c>
      <c r="P753" s="104">
        <f t="shared" si="101"/>
        <v>48</v>
      </c>
      <c r="Q753" s="104">
        <f t="shared" si="102"/>
        <v>48</v>
      </c>
      <c r="R753" s="104"/>
      <c r="S753" s="93" t="s">
        <v>374</v>
      </c>
      <c r="T753" s="94">
        <v>46156</v>
      </c>
      <c r="U753" s="104">
        <f t="shared" si="103"/>
        <v>48</v>
      </c>
      <c r="V753" s="104">
        <f t="shared" si="104"/>
        <v>1</v>
      </c>
      <c r="W753" s="103">
        <f t="shared" si="105"/>
        <v>48</v>
      </c>
      <c r="X753" s="93" t="s">
        <v>89</v>
      </c>
      <c r="Y753" s="105" t="s">
        <v>84</v>
      </c>
      <c r="Z753" s="105" t="s">
        <v>93</v>
      </c>
    </row>
    <row r="754" spans="1:26" s="105" customFormat="1" ht="15" customHeight="1">
      <c r="A754" s="99">
        <f t="shared" si="100"/>
        <v>752</v>
      </c>
      <c r="B754" s="75" t="s">
        <v>495</v>
      </c>
      <c r="C754" s="100" t="str">
        <f>IF($B754&lt;&gt;"",_xlfn.IFNA(VLOOKUP($B754,'Node Details'!$B:$U,C$1,0),"Check"),"")</f>
        <v>0000AXW14-AXW140101</v>
      </c>
      <c r="D754" s="100" t="str">
        <f>IF($B754&lt;&gt;"",_xlfn.IFNA(VLOOKUP($B754,'Node Details'!$B:$U,D$1,0),"Check"),"")</f>
        <v>AXW</v>
      </c>
      <c r="E754" s="100" t="str">
        <f>IF($B754&lt;&gt;"",_xlfn.IFNA(VLOOKUP($B754,'Node Details'!$B:$U,E$1,0),"Check"),"")</f>
        <v>Airtel</v>
      </c>
      <c r="F754" s="101">
        <v>46114</v>
      </c>
      <c r="G754" s="103"/>
      <c r="H754" s="102" t="s">
        <v>1256</v>
      </c>
      <c r="I754" s="9">
        <v>1</v>
      </c>
      <c r="J754" s="9">
        <v>48</v>
      </c>
      <c r="K754" s="100">
        <f t="shared" si="99"/>
        <v>48</v>
      </c>
      <c r="L754" s="78">
        <v>46112</v>
      </c>
      <c r="M754" s="103"/>
      <c r="N754" s="93" t="s">
        <v>373</v>
      </c>
      <c r="O754" s="94">
        <v>46146</v>
      </c>
      <c r="P754" s="104">
        <f t="shared" si="101"/>
        <v>48</v>
      </c>
      <c r="Q754" s="104">
        <f t="shared" si="102"/>
        <v>48</v>
      </c>
      <c r="R754" s="104"/>
      <c r="S754" s="93" t="s">
        <v>374</v>
      </c>
      <c r="T754" s="94">
        <v>46156</v>
      </c>
      <c r="U754" s="104">
        <f t="shared" si="103"/>
        <v>48</v>
      </c>
      <c r="V754" s="104">
        <f t="shared" si="104"/>
        <v>1</v>
      </c>
      <c r="W754" s="103">
        <f t="shared" si="105"/>
        <v>48</v>
      </c>
      <c r="X754" s="93" t="s">
        <v>89</v>
      </c>
      <c r="Y754" s="105" t="s">
        <v>84</v>
      </c>
      <c r="Z754" s="105" t="s">
        <v>93</v>
      </c>
    </row>
    <row r="755" spans="1:26" s="105" customFormat="1" ht="15" customHeight="1">
      <c r="A755" s="99">
        <f t="shared" si="100"/>
        <v>753</v>
      </c>
      <c r="B755" s="75" t="s">
        <v>499</v>
      </c>
      <c r="C755" s="100" t="str">
        <f>IF($B755&lt;&gt;"",_xlfn.IFNA(VLOOKUP($B755,'Node Details'!$B:$U,C$1,0),"Check"),"")</f>
        <v>0000AXW14-AXW140103</v>
      </c>
      <c r="D755" s="100" t="str">
        <f>IF($B755&lt;&gt;"",_xlfn.IFNA(VLOOKUP($B755,'Node Details'!$B:$U,D$1,0),"Check"),"")</f>
        <v>AXW</v>
      </c>
      <c r="E755" s="100" t="str">
        <f>IF($B755&lt;&gt;"",_xlfn.IFNA(VLOOKUP($B755,'Node Details'!$B:$U,E$1,0),"Check"),"")</f>
        <v>Airtel</v>
      </c>
      <c r="F755" s="101">
        <v>46114</v>
      </c>
      <c r="G755" s="103"/>
      <c r="H755" s="102" t="s">
        <v>1256</v>
      </c>
      <c r="I755" s="9">
        <v>1</v>
      </c>
      <c r="J755" s="9">
        <v>48</v>
      </c>
      <c r="K755" s="100">
        <f t="shared" si="99"/>
        <v>48</v>
      </c>
      <c r="L755" s="78">
        <v>46112</v>
      </c>
      <c r="M755" s="103"/>
      <c r="N755" s="93" t="s">
        <v>373</v>
      </c>
      <c r="O755" s="94">
        <v>46146</v>
      </c>
      <c r="P755" s="104">
        <f t="shared" si="101"/>
        <v>48</v>
      </c>
      <c r="Q755" s="104">
        <f t="shared" si="102"/>
        <v>48</v>
      </c>
      <c r="R755" s="104"/>
      <c r="S755" s="93" t="s">
        <v>374</v>
      </c>
      <c r="T755" s="94">
        <v>46156</v>
      </c>
      <c r="U755" s="104">
        <f t="shared" si="103"/>
        <v>48</v>
      </c>
      <c r="V755" s="104">
        <f t="shared" si="104"/>
        <v>1</v>
      </c>
      <c r="W755" s="103">
        <f t="shared" si="105"/>
        <v>48</v>
      </c>
      <c r="X755" s="93" t="s">
        <v>89</v>
      </c>
      <c r="Y755" s="105" t="s">
        <v>84</v>
      </c>
      <c r="Z755" s="105" t="s">
        <v>93</v>
      </c>
    </row>
    <row r="756" spans="1:26" s="105" customFormat="1" ht="15" customHeight="1">
      <c r="A756" s="99">
        <f t="shared" si="100"/>
        <v>754</v>
      </c>
      <c r="B756" s="75" t="s">
        <v>497</v>
      </c>
      <c r="C756" s="100" t="str">
        <f>IF($B756&lt;&gt;"",_xlfn.IFNA(VLOOKUP($B756,'Node Details'!$B:$U,C$1,0),"Check"),"")</f>
        <v>0000AXW14-AXW140103</v>
      </c>
      <c r="D756" s="100" t="str">
        <f>IF($B756&lt;&gt;"",_xlfn.IFNA(VLOOKUP($B756,'Node Details'!$B:$U,D$1,0),"Check"),"")</f>
        <v>AXW</v>
      </c>
      <c r="E756" s="100" t="str">
        <f>IF($B756&lt;&gt;"",_xlfn.IFNA(VLOOKUP($B756,'Node Details'!$B:$U,E$1,0),"Check"),"")</f>
        <v>Airtel</v>
      </c>
      <c r="F756" s="101">
        <v>46114</v>
      </c>
      <c r="G756" s="103"/>
      <c r="H756" s="102" t="s">
        <v>1256</v>
      </c>
      <c r="I756" s="9">
        <v>1</v>
      </c>
      <c r="J756" s="9">
        <v>48</v>
      </c>
      <c r="K756" s="100">
        <f t="shared" si="99"/>
        <v>48</v>
      </c>
      <c r="L756" s="78">
        <v>46112</v>
      </c>
      <c r="M756" s="103"/>
      <c r="N756" s="93" t="s">
        <v>373</v>
      </c>
      <c r="O756" s="94">
        <v>46146</v>
      </c>
      <c r="P756" s="104">
        <f t="shared" si="101"/>
        <v>48</v>
      </c>
      <c r="Q756" s="104">
        <f t="shared" si="102"/>
        <v>48</v>
      </c>
      <c r="R756" s="104"/>
      <c r="S756" s="93" t="s">
        <v>374</v>
      </c>
      <c r="T756" s="94">
        <v>46156</v>
      </c>
      <c r="U756" s="104">
        <f t="shared" si="103"/>
        <v>48</v>
      </c>
      <c r="V756" s="104">
        <f t="shared" si="104"/>
        <v>1</v>
      </c>
      <c r="W756" s="103">
        <f t="shared" si="105"/>
        <v>48</v>
      </c>
      <c r="X756" s="93" t="s">
        <v>89</v>
      </c>
      <c r="Y756" s="105" t="s">
        <v>84</v>
      </c>
      <c r="Z756" s="105" t="s">
        <v>93</v>
      </c>
    </row>
    <row r="757" spans="1:26" s="105" customFormat="1" ht="15" customHeight="1">
      <c r="A757" s="99">
        <f t="shared" si="100"/>
        <v>755</v>
      </c>
      <c r="B757" s="75" t="s">
        <v>1099</v>
      </c>
      <c r="C757" s="100" t="str">
        <f>IF($B757&lt;&gt;"",_xlfn.IFNA(VLOOKUP($B757,'Node Details'!$B:$U,C$1,0),"Check"),"")</f>
        <v>AXW140102-AXW140105</v>
      </c>
      <c r="D757" s="100" t="str">
        <f>IF($B757&lt;&gt;"",_xlfn.IFNA(VLOOKUP($B757,'Node Details'!$B:$U,D$1,0),"Check"),"")</f>
        <v>AXW</v>
      </c>
      <c r="E757" s="100" t="str">
        <f>IF($B757&lt;&gt;"",_xlfn.IFNA(VLOOKUP($B757,'Node Details'!$B:$U,E$1,0),"Check"),"")</f>
        <v>Airtel</v>
      </c>
      <c r="F757" s="101">
        <v>46114</v>
      </c>
      <c r="G757" s="103"/>
      <c r="H757" s="102" t="s">
        <v>1256</v>
      </c>
      <c r="I757" s="9">
        <v>1</v>
      </c>
      <c r="J757" s="9">
        <v>48</v>
      </c>
      <c r="K757" s="100">
        <f t="shared" si="99"/>
        <v>48</v>
      </c>
      <c r="L757" s="78">
        <v>46112</v>
      </c>
      <c r="M757" s="103"/>
      <c r="N757" s="93" t="s">
        <v>373</v>
      </c>
      <c r="O757" s="94">
        <v>46146</v>
      </c>
      <c r="P757" s="104">
        <f t="shared" si="101"/>
        <v>48</v>
      </c>
      <c r="Q757" s="104">
        <f t="shared" si="102"/>
        <v>48</v>
      </c>
      <c r="R757" s="104"/>
      <c r="S757" s="93" t="s">
        <v>374</v>
      </c>
      <c r="T757" s="94">
        <v>46156</v>
      </c>
      <c r="U757" s="104">
        <f t="shared" si="103"/>
        <v>48</v>
      </c>
      <c r="V757" s="104">
        <f t="shared" si="104"/>
        <v>1</v>
      </c>
      <c r="W757" s="103">
        <f t="shared" si="105"/>
        <v>48</v>
      </c>
      <c r="X757" s="93" t="s">
        <v>89</v>
      </c>
      <c r="Y757" s="105" t="s">
        <v>84</v>
      </c>
      <c r="Z757" s="105" t="s">
        <v>93</v>
      </c>
    </row>
    <row r="758" spans="1:26" s="105" customFormat="1" ht="15" customHeight="1">
      <c r="A758" s="99">
        <f t="shared" si="100"/>
        <v>756</v>
      </c>
      <c r="B758" s="75" t="s">
        <v>500</v>
      </c>
      <c r="C758" s="100" t="str">
        <f>IF($B758&lt;&gt;"",_xlfn.IFNA(VLOOKUP($B758,'Node Details'!$B:$U,C$1,0),"Check"),"")</f>
        <v>AXW140102-AXW140105</v>
      </c>
      <c r="D758" s="100" t="str">
        <f>IF($B758&lt;&gt;"",_xlfn.IFNA(VLOOKUP($B758,'Node Details'!$B:$U,D$1,0),"Check"),"")</f>
        <v>AXW</v>
      </c>
      <c r="E758" s="100" t="str">
        <f>IF($B758&lt;&gt;"",_xlfn.IFNA(VLOOKUP($B758,'Node Details'!$B:$U,E$1,0),"Check"),"")</f>
        <v>Airtel</v>
      </c>
      <c r="F758" s="101">
        <v>46114</v>
      </c>
      <c r="G758" s="103"/>
      <c r="H758" s="102" t="s">
        <v>1256</v>
      </c>
      <c r="I758" s="9">
        <v>1</v>
      </c>
      <c r="J758" s="9">
        <v>48</v>
      </c>
      <c r="K758" s="100">
        <f t="shared" si="99"/>
        <v>48</v>
      </c>
      <c r="L758" s="78">
        <v>46112</v>
      </c>
      <c r="M758" s="103"/>
      <c r="N758" s="93" t="s">
        <v>373</v>
      </c>
      <c r="O758" s="94">
        <v>46146</v>
      </c>
      <c r="P758" s="104">
        <f t="shared" si="101"/>
        <v>48</v>
      </c>
      <c r="Q758" s="104">
        <f t="shared" si="102"/>
        <v>48</v>
      </c>
      <c r="R758" s="104"/>
      <c r="S758" s="93" t="s">
        <v>374</v>
      </c>
      <c r="T758" s="94">
        <v>46156</v>
      </c>
      <c r="U758" s="104">
        <f t="shared" si="103"/>
        <v>48</v>
      </c>
      <c r="V758" s="104">
        <f t="shared" si="104"/>
        <v>1</v>
      </c>
      <c r="W758" s="103">
        <f t="shared" si="105"/>
        <v>48</v>
      </c>
      <c r="X758" s="93" t="s">
        <v>89</v>
      </c>
      <c r="Y758" s="105" t="s">
        <v>84</v>
      </c>
      <c r="Z758" s="105" t="s">
        <v>93</v>
      </c>
    </row>
    <row r="759" spans="1:26" s="105" customFormat="1" ht="15" customHeight="1">
      <c r="A759" s="99">
        <f t="shared" si="100"/>
        <v>757</v>
      </c>
      <c r="B759" s="75" t="s">
        <v>384</v>
      </c>
      <c r="C759" s="100" t="str">
        <f>IF($B759&lt;&gt;"",_xlfn.IFNA(VLOOKUP($B759,'Node Details'!$B:$U,C$1,0),"Check"),"")</f>
        <v>0000AXW10-0000AXW15</v>
      </c>
      <c r="D759" s="100" t="str">
        <f>IF($B759&lt;&gt;"",_xlfn.IFNA(VLOOKUP($B759,'Node Details'!$B:$U,D$1,0),"Check"),"")</f>
        <v>AXW</v>
      </c>
      <c r="E759" s="100" t="str">
        <f>IF($B759&lt;&gt;"",_xlfn.IFNA(VLOOKUP($B759,'Node Details'!$B:$U,E$1,0),"Check"),"")</f>
        <v>Airtel</v>
      </c>
      <c r="F759" s="101">
        <v>46114</v>
      </c>
      <c r="G759" s="103"/>
      <c r="H759" s="102" t="s">
        <v>1256</v>
      </c>
      <c r="I759" s="9">
        <v>1</v>
      </c>
      <c r="J759" s="9">
        <v>48</v>
      </c>
      <c r="K759" s="100">
        <f t="shared" si="99"/>
        <v>48</v>
      </c>
      <c r="L759" s="78">
        <v>46112</v>
      </c>
      <c r="M759" s="103"/>
      <c r="N759" s="93" t="s">
        <v>373</v>
      </c>
      <c r="O759" s="94">
        <v>46146</v>
      </c>
      <c r="P759" s="104">
        <f t="shared" si="101"/>
        <v>48</v>
      </c>
      <c r="Q759" s="104">
        <f t="shared" si="102"/>
        <v>48</v>
      </c>
      <c r="R759" s="104"/>
      <c r="S759" s="93" t="s">
        <v>374</v>
      </c>
      <c r="T759" s="94">
        <v>46156</v>
      </c>
      <c r="U759" s="104">
        <f t="shared" si="103"/>
        <v>48</v>
      </c>
      <c r="V759" s="104">
        <f t="shared" si="104"/>
        <v>1</v>
      </c>
      <c r="W759" s="103">
        <f t="shared" si="105"/>
        <v>48</v>
      </c>
      <c r="X759" s="93" t="s">
        <v>89</v>
      </c>
      <c r="Y759" s="105" t="s">
        <v>84</v>
      </c>
      <c r="Z759" s="105" t="s">
        <v>93</v>
      </c>
    </row>
    <row r="760" spans="1:26" s="105" customFormat="1" ht="15" customHeight="1">
      <c r="A760" s="99">
        <f t="shared" si="100"/>
        <v>758</v>
      </c>
      <c r="B760" s="75" t="s">
        <v>502</v>
      </c>
      <c r="C760" s="100" t="str">
        <f>IF($B760&lt;&gt;"",_xlfn.IFNA(VLOOKUP($B760,'Node Details'!$B:$U,C$1,0),"Check"),"")</f>
        <v>0000AXW15-AXW150101</v>
      </c>
      <c r="D760" s="100" t="str">
        <f>IF($B760&lt;&gt;"",_xlfn.IFNA(VLOOKUP($B760,'Node Details'!$B:$U,D$1,0),"Check"),"")</f>
        <v>AXW</v>
      </c>
      <c r="E760" s="100" t="str">
        <f>IF($B760&lt;&gt;"",_xlfn.IFNA(VLOOKUP($B760,'Node Details'!$B:$U,E$1,0),"Check"),"")</f>
        <v>Airtel</v>
      </c>
      <c r="F760" s="101">
        <v>46114</v>
      </c>
      <c r="G760" s="103"/>
      <c r="H760" s="102" t="s">
        <v>1256</v>
      </c>
      <c r="I760" s="9">
        <v>1</v>
      </c>
      <c r="J760" s="9">
        <v>48</v>
      </c>
      <c r="K760" s="100">
        <f t="shared" si="99"/>
        <v>48</v>
      </c>
      <c r="L760" s="78">
        <v>46112</v>
      </c>
      <c r="M760" s="103"/>
      <c r="N760" s="93" t="s">
        <v>373</v>
      </c>
      <c r="O760" s="94">
        <v>46146</v>
      </c>
      <c r="P760" s="104">
        <f t="shared" si="101"/>
        <v>48</v>
      </c>
      <c r="Q760" s="104">
        <f t="shared" si="102"/>
        <v>48</v>
      </c>
      <c r="R760" s="104"/>
      <c r="S760" s="93" t="s">
        <v>374</v>
      </c>
      <c r="T760" s="94">
        <v>46156</v>
      </c>
      <c r="U760" s="104">
        <f t="shared" si="103"/>
        <v>48</v>
      </c>
      <c r="V760" s="104">
        <f t="shared" si="104"/>
        <v>1</v>
      </c>
      <c r="W760" s="103">
        <f t="shared" si="105"/>
        <v>48</v>
      </c>
      <c r="X760" s="93" t="s">
        <v>89</v>
      </c>
      <c r="Y760" s="105" t="s">
        <v>84</v>
      </c>
      <c r="Z760" s="105" t="s">
        <v>93</v>
      </c>
    </row>
    <row r="761" spans="1:26" s="105" customFormat="1" ht="15" customHeight="1">
      <c r="A761" s="99">
        <f t="shared" si="100"/>
        <v>759</v>
      </c>
      <c r="B761" s="75" t="s">
        <v>506</v>
      </c>
      <c r="C761" s="100" t="str">
        <f>IF($B761&lt;&gt;"",_xlfn.IFNA(VLOOKUP($B761,'Node Details'!$B:$U,C$1,0),"Check"),"")</f>
        <v>0000AXW15-AXW150103</v>
      </c>
      <c r="D761" s="100" t="str">
        <f>IF($B761&lt;&gt;"",_xlfn.IFNA(VLOOKUP($B761,'Node Details'!$B:$U,D$1,0),"Check"),"")</f>
        <v>AXW</v>
      </c>
      <c r="E761" s="100" t="str">
        <f>IF($B761&lt;&gt;"",_xlfn.IFNA(VLOOKUP($B761,'Node Details'!$B:$U,E$1,0),"Check"),"")</f>
        <v>Airtel</v>
      </c>
      <c r="F761" s="101">
        <v>46114</v>
      </c>
      <c r="G761" s="103"/>
      <c r="H761" s="102" t="s">
        <v>1256</v>
      </c>
      <c r="I761" s="9">
        <v>1</v>
      </c>
      <c r="J761" s="9">
        <v>48</v>
      </c>
      <c r="K761" s="100">
        <f t="shared" si="99"/>
        <v>48</v>
      </c>
      <c r="L761" s="78">
        <v>46112</v>
      </c>
      <c r="M761" s="103"/>
      <c r="N761" s="93" t="s">
        <v>373</v>
      </c>
      <c r="O761" s="94">
        <v>46146</v>
      </c>
      <c r="P761" s="104">
        <f t="shared" si="101"/>
        <v>48</v>
      </c>
      <c r="Q761" s="104">
        <f t="shared" si="102"/>
        <v>48</v>
      </c>
      <c r="R761" s="104"/>
      <c r="S761" s="93" t="s">
        <v>374</v>
      </c>
      <c r="T761" s="94">
        <v>46156</v>
      </c>
      <c r="U761" s="104">
        <f t="shared" si="103"/>
        <v>48</v>
      </c>
      <c r="V761" s="104">
        <f t="shared" si="104"/>
        <v>1</v>
      </c>
      <c r="W761" s="103">
        <f t="shared" si="105"/>
        <v>48</v>
      </c>
      <c r="X761" s="93" t="s">
        <v>89</v>
      </c>
      <c r="Y761" s="105" t="s">
        <v>84</v>
      </c>
      <c r="Z761" s="105" t="s">
        <v>93</v>
      </c>
    </row>
    <row r="762" spans="1:26" s="105" customFormat="1" ht="15" customHeight="1">
      <c r="A762" s="99">
        <f t="shared" si="100"/>
        <v>760</v>
      </c>
      <c r="B762" s="75" t="s">
        <v>504</v>
      </c>
      <c r="C762" s="100" t="str">
        <f>IF($B762&lt;&gt;"",_xlfn.IFNA(VLOOKUP($B762,'Node Details'!$B:$U,C$1,0),"Check"),"")</f>
        <v>0000AXW15-AXW150103</v>
      </c>
      <c r="D762" s="100" t="str">
        <f>IF($B762&lt;&gt;"",_xlfn.IFNA(VLOOKUP($B762,'Node Details'!$B:$U,D$1,0),"Check"),"")</f>
        <v>AXW</v>
      </c>
      <c r="E762" s="100" t="str">
        <f>IF($B762&lt;&gt;"",_xlfn.IFNA(VLOOKUP($B762,'Node Details'!$B:$U,E$1,0),"Check"),"")</f>
        <v>Airtel</v>
      </c>
      <c r="F762" s="101">
        <v>46114</v>
      </c>
      <c r="G762" s="103"/>
      <c r="H762" s="102" t="s">
        <v>1256</v>
      </c>
      <c r="I762" s="9">
        <v>1</v>
      </c>
      <c r="J762" s="9">
        <v>48</v>
      </c>
      <c r="K762" s="100">
        <f t="shared" si="99"/>
        <v>48</v>
      </c>
      <c r="L762" s="78">
        <v>46112</v>
      </c>
      <c r="M762" s="103"/>
      <c r="N762" s="93" t="s">
        <v>373</v>
      </c>
      <c r="O762" s="94">
        <v>46146</v>
      </c>
      <c r="P762" s="104">
        <f t="shared" si="101"/>
        <v>48</v>
      </c>
      <c r="Q762" s="104">
        <f t="shared" si="102"/>
        <v>48</v>
      </c>
      <c r="R762" s="104"/>
      <c r="S762" s="93" t="s">
        <v>374</v>
      </c>
      <c r="T762" s="94">
        <v>46156</v>
      </c>
      <c r="U762" s="104">
        <f t="shared" si="103"/>
        <v>48</v>
      </c>
      <c r="V762" s="104">
        <f t="shared" si="104"/>
        <v>1</v>
      </c>
      <c r="W762" s="103">
        <f t="shared" si="105"/>
        <v>48</v>
      </c>
      <c r="X762" s="93" t="s">
        <v>89</v>
      </c>
      <c r="Y762" s="105" t="s">
        <v>84</v>
      </c>
      <c r="Z762" s="105" t="s">
        <v>93</v>
      </c>
    </row>
    <row r="763" spans="1:26" s="105" customFormat="1" ht="15" customHeight="1">
      <c r="A763" s="99">
        <f t="shared" si="100"/>
        <v>761</v>
      </c>
      <c r="B763" s="75" t="s">
        <v>507</v>
      </c>
      <c r="C763" s="100" t="str">
        <f>IF($B763&lt;&gt;"",_xlfn.IFNA(VLOOKUP($B763,'Node Details'!$B:$U,C$1,0),"Check"),"")</f>
        <v>AXW150102-AXW150104</v>
      </c>
      <c r="D763" s="100" t="str">
        <f>IF($B763&lt;&gt;"",_xlfn.IFNA(VLOOKUP($B763,'Node Details'!$B:$U,D$1,0),"Check"),"")</f>
        <v>AXW</v>
      </c>
      <c r="E763" s="100" t="str">
        <f>IF($B763&lt;&gt;"",_xlfn.IFNA(VLOOKUP($B763,'Node Details'!$B:$U,E$1,0),"Check"),"")</f>
        <v>Airtel</v>
      </c>
      <c r="F763" s="101">
        <v>46114</v>
      </c>
      <c r="G763" s="103"/>
      <c r="H763" s="102" t="s">
        <v>1256</v>
      </c>
      <c r="I763" s="9">
        <v>1</v>
      </c>
      <c r="J763" s="9">
        <v>48</v>
      </c>
      <c r="K763" s="100">
        <f t="shared" si="99"/>
        <v>48</v>
      </c>
      <c r="L763" s="78">
        <v>46112</v>
      </c>
      <c r="M763" s="103"/>
      <c r="N763" s="93" t="s">
        <v>373</v>
      </c>
      <c r="O763" s="94">
        <v>46146</v>
      </c>
      <c r="P763" s="104">
        <f t="shared" si="101"/>
        <v>48</v>
      </c>
      <c r="Q763" s="104">
        <f t="shared" si="102"/>
        <v>48</v>
      </c>
      <c r="R763" s="104"/>
      <c r="S763" s="93" t="s">
        <v>374</v>
      </c>
      <c r="T763" s="94">
        <v>46156</v>
      </c>
      <c r="U763" s="104">
        <f t="shared" si="103"/>
        <v>48</v>
      </c>
      <c r="V763" s="104">
        <f t="shared" si="104"/>
        <v>1</v>
      </c>
      <c r="W763" s="103">
        <f t="shared" si="105"/>
        <v>48</v>
      </c>
      <c r="X763" s="93" t="s">
        <v>89</v>
      </c>
      <c r="Y763" s="105" t="s">
        <v>84</v>
      </c>
      <c r="Z763" s="105" t="s">
        <v>93</v>
      </c>
    </row>
    <row r="764" spans="1:26" s="105" customFormat="1" ht="15" customHeight="1">
      <c r="A764" s="99">
        <f t="shared" si="100"/>
        <v>762</v>
      </c>
      <c r="B764" s="75" t="s">
        <v>509</v>
      </c>
      <c r="C764" s="100" t="str">
        <f>IF($B764&lt;&gt;"",_xlfn.IFNA(VLOOKUP($B764,'Node Details'!$B:$U,C$1,0),"Check"),"")</f>
        <v>0000AXW15-AXW150105</v>
      </c>
      <c r="D764" s="100" t="str">
        <f>IF($B764&lt;&gt;"",_xlfn.IFNA(VLOOKUP($B764,'Node Details'!$B:$U,D$1,0),"Check"),"")</f>
        <v>AXW</v>
      </c>
      <c r="E764" s="100" t="str">
        <f>IF($B764&lt;&gt;"",_xlfn.IFNA(VLOOKUP($B764,'Node Details'!$B:$U,E$1,0),"Check"),"")</f>
        <v>Airtel</v>
      </c>
      <c r="F764" s="101">
        <v>46114</v>
      </c>
      <c r="G764" s="103"/>
      <c r="H764" s="102" t="s">
        <v>1256</v>
      </c>
      <c r="I764" s="9">
        <v>1</v>
      </c>
      <c r="J764" s="9">
        <v>48</v>
      </c>
      <c r="K764" s="100">
        <f t="shared" si="99"/>
        <v>48</v>
      </c>
      <c r="L764" s="78">
        <v>46112</v>
      </c>
      <c r="M764" s="103"/>
      <c r="N764" s="93" t="s">
        <v>373</v>
      </c>
      <c r="O764" s="94">
        <v>46146</v>
      </c>
      <c r="P764" s="104">
        <f t="shared" si="101"/>
        <v>48</v>
      </c>
      <c r="Q764" s="104">
        <f t="shared" si="102"/>
        <v>48</v>
      </c>
      <c r="R764" s="104"/>
      <c r="S764" s="93" t="s">
        <v>374</v>
      </c>
      <c r="T764" s="94">
        <v>46156</v>
      </c>
      <c r="U764" s="104">
        <f t="shared" si="103"/>
        <v>48</v>
      </c>
      <c r="V764" s="104">
        <f t="shared" si="104"/>
        <v>1</v>
      </c>
      <c r="W764" s="103">
        <f t="shared" si="105"/>
        <v>48</v>
      </c>
      <c r="X764" s="93" t="s">
        <v>89</v>
      </c>
      <c r="Y764" s="105" t="s">
        <v>84</v>
      </c>
      <c r="Z764" s="105" t="s">
        <v>93</v>
      </c>
    </row>
    <row r="765" spans="1:26" s="105" customFormat="1" ht="15" customHeight="1">
      <c r="A765" s="99">
        <f t="shared" si="100"/>
        <v>763</v>
      </c>
      <c r="B765" s="75" t="s">
        <v>511</v>
      </c>
      <c r="C765" s="100" t="str">
        <f>IF($B765&lt;&gt;"",_xlfn.IFNA(VLOOKUP($B765,'Node Details'!$B:$U,C$1,0),"Check"),"")</f>
        <v>0000AXW15-AXW150106</v>
      </c>
      <c r="D765" s="100" t="str">
        <f>IF($B765&lt;&gt;"",_xlfn.IFNA(VLOOKUP($B765,'Node Details'!$B:$U,D$1,0),"Check"),"")</f>
        <v>AXW</v>
      </c>
      <c r="E765" s="100" t="str">
        <f>IF($B765&lt;&gt;"",_xlfn.IFNA(VLOOKUP($B765,'Node Details'!$B:$U,E$1,0),"Check"),"")</f>
        <v>Airtel</v>
      </c>
      <c r="F765" s="101">
        <v>46114</v>
      </c>
      <c r="G765" s="103"/>
      <c r="H765" s="102" t="s">
        <v>1256</v>
      </c>
      <c r="I765" s="9">
        <v>1</v>
      </c>
      <c r="J765" s="9">
        <v>48</v>
      </c>
      <c r="K765" s="100">
        <f t="shared" si="99"/>
        <v>48</v>
      </c>
      <c r="L765" s="78">
        <v>46112</v>
      </c>
      <c r="M765" s="103"/>
      <c r="N765" s="93" t="s">
        <v>373</v>
      </c>
      <c r="O765" s="94">
        <v>46146</v>
      </c>
      <c r="P765" s="104">
        <f t="shared" si="101"/>
        <v>48</v>
      </c>
      <c r="Q765" s="104">
        <f t="shared" si="102"/>
        <v>48</v>
      </c>
      <c r="R765" s="104"/>
      <c r="S765" s="93" t="s">
        <v>374</v>
      </c>
      <c r="T765" s="94">
        <v>46156</v>
      </c>
      <c r="U765" s="104">
        <f t="shared" si="103"/>
        <v>48</v>
      </c>
      <c r="V765" s="104">
        <f t="shared" si="104"/>
        <v>1</v>
      </c>
      <c r="W765" s="103">
        <f t="shared" si="105"/>
        <v>48</v>
      </c>
      <c r="X765" s="93" t="s">
        <v>89</v>
      </c>
      <c r="Y765" s="105" t="s">
        <v>84</v>
      </c>
      <c r="Z765" s="105" t="s">
        <v>93</v>
      </c>
    </row>
    <row r="766" spans="1:26" s="105" customFormat="1" ht="15" customHeight="1">
      <c r="A766" s="99">
        <f t="shared" si="100"/>
        <v>764</v>
      </c>
      <c r="B766" s="75" t="s">
        <v>386</v>
      </c>
      <c r="C766" s="100" t="str">
        <f>IF($B766&lt;&gt;"",_xlfn.IFNA(VLOOKUP($B766,'Node Details'!$B:$U,C$1,0),"Check"),"")</f>
        <v>000000AXW-0000AXW17</v>
      </c>
      <c r="D766" s="100" t="str">
        <f>IF($B766&lt;&gt;"",_xlfn.IFNA(VLOOKUP($B766,'Node Details'!$B:$U,D$1,0),"Check"),"")</f>
        <v>AXW</v>
      </c>
      <c r="E766" s="100" t="str">
        <f>IF($B766&lt;&gt;"",_xlfn.IFNA(VLOOKUP($B766,'Node Details'!$B:$U,E$1,0),"Check"),"")</f>
        <v>Airtel</v>
      </c>
      <c r="F766" s="101">
        <v>46114</v>
      </c>
      <c r="G766" s="103"/>
      <c r="H766" s="102" t="s">
        <v>1256</v>
      </c>
      <c r="I766" s="9">
        <v>1</v>
      </c>
      <c r="J766" s="9">
        <v>48</v>
      </c>
      <c r="K766" s="100">
        <f t="shared" si="99"/>
        <v>48</v>
      </c>
      <c r="L766" s="78">
        <v>46112</v>
      </c>
      <c r="M766" s="103"/>
      <c r="N766" s="93" t="s">
        <v>373</v>
      </c>
      <c r="O766" s="94">
        <v>46146</v>
      </c>
      <c r="P766" s="104">
        <f t="shared" si="101"/>
        <v>48</v>
      </c>
      <c r="Q766" s="104">
        <f t="shared" si="102"/>
        <v>48</v>
      </c>
      <c r="R766" s="104"/>
      <c r="S766" s="93" t="s">
        <v>374</v>
      </c>
      <c r="T766" s="94">
        <v>46156</v>
      </c>
      <c r="U766" s="104">
        <f t="shared" si="103"/>
        <v>48</v>
      </c>
      <c r="V766" s="104">
        <f t="shared" si="104"/>
        <v>1</v>
      </c>
      <c r="W766" s="103">
        <f t="shared" si="105"/>
        <v>48</v>
      </c>
      <c r="X766" s="93" t="s">
        <v>89</v>
      </c>
      <c r="Y766" s="105" t="s">
        <v>84</v>
      </c>
      <c r="Z766" s="105" t="s">
        <v>93</v>
      </c>
    </row>
    <row r="767" spans="1:26" s="105" customFormat="1" ht="15" customHeight="1">
      <c r="A767" s="99">
        <f t="shared" si="100"/>
        <v>765</v>
      </c>
      <c r="B767" s="75" t="s">
        <v>513</v>
      </c>
      <c r="C767" s="100" t="str">
        <f>IF($B767&lt;&gt;"",_xlfn.IFNA(VLOOKUP($B767,'Node Details'!$B:$U,C$1,0),"Check"),"")</f>
        <v>0000AXW16-AXW160101</v>
      </c>
      <c r="D767" s="100" t="str">
        <f>IF($B767&lt;&gt;"",_xlfn.IFNA(VLOOKUP($B767,'Node Details'!$B:$U,D$1,0),"Check"),"")</f>
        <v>AXW</v>
      </c>
      <c r="E767" s="100" t="str">
        <f>IF($B767&lt;&gt;"",_xlfn.IFNA(VLOOKUP($B767,'Node Details'!$B:$U,E$1,0),"Check"),"")</f>
        <v>Airtel</v>
      </c>
      <c r="F767" s="101">
        <v>46114</v>
      </c>
      <c r="G767" s="103"/>
      <c r="H767" s="102" t="s">
        <v>1256</v>
      </c>
      <c r="I767" s="9">
        <v>1</v>
      </c>
      <c r="J767" s="9">
        <v>48</v>
      </c>
      <c r="K767" s="100">
        <f t="shared" si="99"/>
        <v>48</v>
      </c>
      <c r="L767" s="78">
        <v>46112</v>
      </c>
      <c r="M767" s="103"/>
      <c r="N767" s="93" t="s">
        <v>373</v>
      </c>
      <c r="O767" s="94">
        <v>46146</v>
      </c>
      <c r="P767" s="104">
        <f t="shared" si="101"/>
        <v>48</v>
      </c>
      <c r="Q767" s="104">
        <f t="shared" si="102"/>
        <v>48</v>
      </c>
      <c r="R767" s="104"/>
      <c r="S767" s="93" t="s">
        <v>374</v>
      </c>
      <c r="T767" s="94">
        <v>46156</v>
      </c>
      <c r="U767" s="104">
        <f t="shared" si="103"/>
        <v>48</v>
      </c>
      <c r="V767" s="104">
        <f t="shared" si="104"/>
        <v>1</v>
      </c>
      <c r="W767" s="103">
        <f t="shared" si="105"/>
        <v>48</v>
      </c>
      <c r="X767" s="93" t="s">
        <v>89</v>
      </c>
      <c r="Y767" s="105" t="s">
        <v>84</v>
      </c>
      <c r="Z767" s="105" t="s">
        <v>93</v>
      </c>
    </row>
    <row r="768" spans="1:26" s="105" customFormat="1" ht="15" customHeight="1">
      <c r="A768" s="99">
        <f t="shared" si="100"/>
        <v>766</v>
      </c>
      <c r="B768" s="75" t="s">
        <v>515</v>
      </c>
      <c r="C768" s="100" t="str">
        <f>IF($B768&lt;&gt;"",_xlfn.IFNA(VLOOKUP($B768,'Node Details'!$B:$U,C$1,0),"Check"),"")</f>
        <v>0000AXW16-AXW160102</v>
      </c>
      <c r="D768" s="100" t="str">
        <f>IF($B768&lt;&gt;"",_xlfn.IFNA(VLOOKUP($B768,'Node Details'!$B:$U,D$1,0),"Check"),"")</f>
        <v>AXW</v>
      </c>
      <c r="E768" s="100" t="str">
        <f>IF($B768&lt;&gt;"",_xlfn.IFNA(VLOOKUP($B768,'Node Details'!$B:$U,E$1,0),"Check"),"")</f>
        <v>Airtel</v>
      </c>
      <c r="F768" s="101">
        <v>46114</v>
      </c>
      <c r="G768" s="103"/>
      <c r="H768" s="102" t="s">
        <v>1256</v>
      </c>
      <c r="I768" s="9">
        <v>1</v>
      </c>
      <c r="J768" s="9">
        <v>48</v>
      </c>
      <c r="K768" s="100">
        <f t="shared" si="99"/>
        <v>48</v>
      </c>
      <c r="L768" s="78">
        <v>46112</v>
      </c>
      <c r="M768" s="103"/>
      <c r="N768" s="93" t="s">
        <v>373</v>
      </c>
      <c r="O768" s="94">
        <v>46146</v>
      </c>
      <c r="P768" s="104">
        <f t="shared" si="101"/>
        <v>48</v>
      </c>
      <c r="Q768" s="104">
        <f t="shared" si="102"/>
        <v>48</v>
      </c>
      <c r="R768" s="104"/>
      <c r="S768" s="93" t="s">
        <v>374</v>
      </c>
      <c r="T768" s="94">
        <v>46156</v>
      </c>
      <c r="U768" s="104">
        <f t="shared" si="103"/>
        <v>48</v>
      </c>
      <c r="V768" s="104">
        <f t="shared" si="104"/>
        <v>1</v>
      </c>
      <c r="W768" s="103">
        <f t="shared" si="105"/>
        <v>48</v>
      </c>
      <c r="X768" s="93" t="s">
        <v>89</v>
      </c>
      <c r="Y768" s="105" t="s">
        <v>84</v>
      </c>
      <c r="Z768" s="105" t="s">
        <v>93</v>
      </c>
    </row>
    <row r="769" spans="1:26" s="105" customFormat="1" ht="15" customHeight="1">
      <c r="A769" s="99">
        <f t="shared" si="100"/>
        <v>767</v>
      </c>
      <c r="B769" s="75" t="s">
        <v>1100</v>
      </c>
      <c r="C769" s="100" t="str">
        <f>IF($B769&lt;&gt;"",_xlfn.IFNA(VLOOKUP($B769,'Node Details'!$B:$U,C$1,0),"Check"),"")</f>
        <v>0000AXW16-AXW160104</v>
      </c>
      <c r="D769" s="100" t="str">
        <f>IF($B769&lt;&gt;"",_xlfn.IFNA(VLOOKUP($B769,'Node Details'!$B:$U,D$1,0),"Check"),"")</f>
        <v>AXW</v>
      </c>
      <c r="E769" s="100" t="str">
        <f>IF($B769&lt;&gt;"",_xlfn.IFNA(VLOOKUP($B769,'Node Details'!$B:$U,E$1,0),"Check"),"")</f>
        <v>Airtel</v>
      </c>
      <c r="F769" s="101">
        <v>46114</v>
      </c>
      <c r="G769" s="103"/>
      <c r="H769" s="102" t="s">
        <v>1256</v>
      </c>
      <c r="I769" s="9">
        <v>1</v>
      </c>
      <c r="J769" s="9">
        <v>48</v>
      </c>
      <c r="K769" s="100">
        <f t="shared" si="99"/>
        <v>48</v>
      </c>
      <c r="L769" s="78">
        <v>46112</v>
      </c>
      <c r="M769" s="103"/>
      <c r="N769" s="93" t="s">
        <v>373</v>
      </c>
      <c r="O769" s="94">
        <v>46146</v>
      </c>
      <c r="P769" s="104">
        <f t="shared" si="101"/>
        <v>48</v>
      </c>
      <c r="Q769" s="104">
        <f t="shared" si="102"/>
        <v>48</v>
      </c>
      <c r="R769" s="104"/>
      <c r="S769" s="93" t="s">
        <v>374</v>
      </c>
      <c r="T769" s="94">
        <v>46156</v>
      </c>
      <c r="U769" s="104">
        <f t="shared" si="103"/>
        <v>48</v>
      </c>
      <c r="V769" s="104">
        <f t="shared" si="104"/>
        <v>1</v>
      </c>
      <c r="W769" s="103">
        <f t="shared" si="105"/>
        <v>48</v>
      </c>
      <c r="X769" s="93" t="s">
        <v>89</v>
      </c>
      <c r="Y769" s="105" t="s">
        <v>84</v>
      </c>
      <c r="Z769" s="105" t="s">
        <v>93</v>
      </c>
    </row>
    <row r="770" spans="1:26" s="105" customFormat="1" ht="15" customHeight="1">
      <c r="A770" s="99">
        <f t="shared" si="100"/>
        <v>768</v>
      </c>
      <c r="B770" s="75" t="s">
        <v>517</v>
      </c>
      <c r="C770" s="100" t="str">
        <f>IF($B770&lt;&gt;"",_xlfn.IFNA(VLOOKUP($B770,'Node Details'!$B:$U,C$1,0),"Check"),"")</f>
        <v>0000AXW16-AXW160104</v>
      </c>
      <c r="D770" s="100" t="str">
        <f>IF($B770&lt;&gt;"",_xlfn.IFNA(VLOOKUP($B770,'Node Details'!$B:$U,D$1,0),"Check"),"")</f>
        <v>AXW</v>
      </c>
      <c r="E770" s="100" t="str">
        <f>IF($B770&lt;&gt;"",_xlfn.IFNA(VLOOKUP($B770,'Node Details'!$B:$U,E$1,0),"Check"),"")</f>
        <v>Airtel</v>
      </c>
      <c r="F770" s="101">
        <v>46114</v>
      </c>
      <c r="G770" s="103"/>
      <c r="H770" s="102" t="s">
        <v>1256</v>
      </c>
      <c r="I770" s="9">
        <v>1</v>
      </c>
      <c r="J770" s="9">
        <v>48</v>
      </c>
      <c r="K770" s="100">
        <f t="shared" si="99"/>
        <v>48</v>
      </c>
      <c r="L770" s="78">
        <v>46112</v>
      </c>
      <c r="M770" s="103"/>
      <c r="N770" s="93" t="s">
        <v>373</v>
      </c>
      <c r="O770" s="94">
        <v>46146</v>
      </c>
      <c r="P770" s="104">
        <f t="shared" si="101"/>
        <v>48</v>
      </c>
      <c r="Q770" s="104">
        <f t="shared" si="102"/>
        <v>48</v>
      </c>
      <c r="R770" s="104"/>
      <c r="S770" s="93" t="s">
        <v>374</v>
      </c>
      <c r="T770" s="94">
        <v>46156</v>
      </c>
      <c r="U770" s="104">
        <f t="shared" si="103"/>
        <v>48</v>
      </c>
      <c r="V770" s="104">
        <f t="shared" si="104"/>
        <v>1</v>
      </c>
      <c r="W770" s="103">
        <f t="shared" si="105"/>
        <v>48</v>
      </c>
      <c r="X770" s="93" t="s">
        <v>89</v>
      </c>
      <c r="Y770" s="105" t="s">
        <v>84</v>
      </c>
      <c r="Z770" s="105" t="s">
        <v>93</v>
      </c>
    </row>
    <row r="771" spans="1:26" s="105" customFormat="1" ht="15" customHeight="1">
      <c r="A771" s="99">
        <f t="shared" si="100"/>
        <v>769</v>
      </c>
      <c r="B771" s="75" t="s">
        <v>519</v>
      </c>
      <c r="C771" s="100" t="str">
        <f>IF($B771&lt;&gt;"",_xlfn.IFNA(VLOOKUP($B771,'Node Details'!$B:$U,C$1,0),"Check"),"")</f>
        <v>0000AXW16-AXW160105</v>
      </c>
      <c r="D771" s="100" t="str">
        <f>IF($B771&lt;&gt;"",_xlfn.IFNA(VLOOKUP($B771,'Node Details'!$B:$U,D$1,0),"Check"),"")</f>
        <v>AXW</v>
      </c>
      <c r="E771" s="100" t="str">
        <f>IF($B771&lt;&gt;"",_xlfn.IFNA(VLOOKUP($B771,'Node Details'!$B:$U,E$1,0),"Check"),"")</f>
        <v>Airtel</v>
      </c>
      <c r="F771" s="101">
        <v>46114</v>
      </c>
      <c r="G771" s="103"/>
      <c r="H771" s="102" t="s">
        <v>1256</v>
      </c>
      <c r="I771" s="9">
        <v>1</v>
      </c>
      <c r="J771" s="9">
        <v>48</v>
      </c>
      <c r="K771" s="100">
        <f t="shared" si="99"/>
        <v>48</v>
      </c>
      <c r="L771" s="78">
        <v>46112</v>
      </c>
      <c r="M771" s="103"/>
      <c r="N771" s="93" t="s">
        <v>373</v>
      </c>
      <c r="O771" s="94">
        <v>46146</v>
      </c>
      <c r="P771" s="104">
        <f t="shared" si="101"/>
        <v>48</v>
      </c>
      <c r="Q771" s="104">
        <f t="shared" si="102"/>
        <v>48</v>
      </c>
      <c r="R771" s="104"/>
      <c r="S771" s="93" t="s">
        <v>374</v>
      </c>
      <c r="T771" s="94">
        <v>46156</v>
      </c>
      <c r="U771" s="104">
        <f t="shared" si="103"/>
        <v>48</v>
      </c>
      <c r="V771" s="104">
        <f t="shared" si="104"/>
        <v>1</v>
      </c>
      <c r="W771" s="103">
        <f t="shared" si="105"/>
        <v>48</v>
      </c>
      <c r="X771" s="93" t="s">
        <v>89</v>
      </c>
      <c r="Y771" s="105" t="s">
        <v>84</v>
      </c>
      <c r="Z771" s="105" t="s">
        <v>93</v>
      </c>
    </row>
    <row r="772" spans="1:26" s="105" customFormat="1" ht="15" customHeight="1">
      <c r="A772" s="99">
        <f t="shared" si="100"/>
        <v>770</v>
      </c>
      <c r="B772" s="75" t="s">
        <v>521</v>
      </c>
      <c r="C772" s="100" t="str">
        <f>IF($B772&lt;&gt;"",_xlfn.IFNA(VLOOKUP($B772,'Node Details'!$B:$U,C$1,0),"Check"),"")</f>
        <v>AXW160105-AXW160106</v>
      </c>
      <c r="D772" s="100" t="str">
        <f>IF($B772&lt;&gt;"",_xlfn.IFNA(VLOOKUP($B772,'Node Details'!$B:$U,D$1,0),"Check"),"")</f>
        <v>AXW</v>
      </c>
      <c r="E772" s="100" t="str">
        <f>IF($B772&lt;&gt;"",_xlfn.IFNA(VLOOKUP($B772,'Node Details'!$B:$U,E$1,0),"Check"),"")</f>
        <v>Airtel</v>
      </c>
      <c r="F772" s="101">
        <v>46114</v>
      </c>
      <c r="G772" s="103"/>
      <c r="H772" s="102" t="s">
        <v>1256</v>
      </c>
      <c r="I772" s="9">
        <v>1</v>
      </c>
      <c r="J772" s="9">
        <v>48</v>
      </c>
      <c r="K772" s="100">
        <f t="shared" ref="K772:K835" si="106">IF(I772&lt;&gt;"",J772*I772,0)</f>
        <v>48</v>
      </c>
      <c r="L772" s="78">
        <v>46112</v>
      </c>
      <c r="M772" s="103"/>
      <c r="N772" s="93" t="s">
        <v>373</v>
      </c>
      <c r="O772" s="94">
        <v>46146</v>
      </c>
      <c r="P772" s="104">
        <f t="shared" si="101"/>
        <v>48</v>
      </c>
      <c r="Q772" s="104">
        <f t="shared" si="102"/>
        <v>48</v>
      </c>
      <c r="R772" s="104"/>
      <c r="S772" s="93" t="s">
        <v>374</v>
      </c>
      <c r="T772" s="94">
        <v>46156</v>
      </c>
      <c r="U772" s="104">
        <f t="shared" si="103"/>
        <v>48</v>
      </c>
      <c r="V772" s="104">
        <f t="shared" si="104"/>
        <v>1</v>
      </c>
      <c r="W772" s="103">
        <f t="shared" si="105"/>
        <v>48</v>
      </c>
      <c r="X772" s="93" t="s">
        <v>89</v>
      </c>
      <c r="Y772" s="105" t="s">
        <v>84</v>
      </c>
      <c r="Z772" s="105" t="s">
        <v>93</v>
      </c>
    </row>
    <row r="773" spans="1:26" s="105" customFormat="1" ht="15" customHeight="1">
      <c r="A773" s="99">
        <f t="shared" ref="A773:A836" si="107">A772+1</f>
        <v>771</v>
      </c>
      <c r="B773" s="75" t="s">
        <v>1101</v>
      </c>
      <c r="C773" s="100" t="str">
        <f>IF($B773&lt;&gt;"",_xlfn.IFNA(VLOOKUP($B773,'Node Details'!$B:$U,C$1,0),"Check"),"")</f>
        <v>AXW160106-AXW160108</v>
      </c>
      <c r="D773" s="100" t="str">
        <f>IF($B773&lt;&gt;"",_xlfn.IFNA(VLOOKUP($B773,'Node Details'!$B:$U,D$1,0),"Check"),"")</f>
        <v>AXW</v>
      </c>
      <c r="E773" s="100" t="str">
        <f>IF($B773&lt;&gt;"",_xlfn.IFNA(VLOOKUP($B773,'Node Details'!$B:$U,E$1,0),"Check"),"")</f>
        <v>Airtel</v>
      </c>
      <c r="F773" s="101">
        <v>46114</v>
      </c>
      <c r="G773" s="103"/>
      <c r="H773" s="102" t="s">
        <v>1256</v>
      </c>
      <c r="I773" s="9">
        <v>1</v>
      </c>
      <c r="J773" s="9">
        <v>48</v>
      </c>
      <c r="K773" s="100">
        <f t="shared" si="106"/>
        <v>48</v>
      </c>
      <c r="L773" s="78">
        <v>46112</v>
      </c>
      <c r="M773" s="103"/>
      <c r="N773" s="93" t="s">
        <v>373</v>
      </c>
      <c r="O773" s="94">
        <v>46146</v>
      </c>
      <c r="P773" s="104">
        <f t="shared" ref="P773:P836" si="108">J773</f>
        <v>48</v>
      </c>
      <c r="Q773" s="104">
        <f t="shared" ref="Q773:Q836" si="109">P773*I773</f>
        <v>48</v>
      </c>
      <c r="R773" s="104"/>
      <c r="S773" s="93" t="s">
        <v>374</v>
      </c>
      <c r="T773" s="94">
        <v>46156</v>
      </c>
      <c r="U773" s="104">
        <f t="shared" ref="U773:U836" si="110">J773</f>
        <v>48</v>
      </c>
      <c r="V773" s="104">
        <f t="shared" ref="V773:V836" si="111">I773</f>
        <v>1</v>
      </c>
      <c r="W773" s="103">
        <f t="shared" ref="W773:W836" si="112">IF(V773&lt;&gt;"",V773*U773,0)</f>
        <v>48</v>
      </c>
      <c r="X773" s="93" t="s">
        <v>89</v>
      </c>
      <c r="Y773" s="105" t="s">
        <v>84</v>
      </c>
      <c r="Z773" s="105" t="s">
        <v>93</v>
      </c>
    </row>
    <row r="774" spans="1:26" s="105" customFormat="1" ht="15" customHeight="1">
      <c r="A774" s="99">
        <f t="shared" si="107"/>
        <v>772</v>
      </c>
      <c r="B774" s="75" t="s">
        <v>523</v>
      </c>
      <c r="C774" s="100" t="str">
        <f>IF($B774&lt;&gt;"",_xlfn.IFNA(VLOOKUP($B774,'Node Details'!$B:$U,C$1,0),"Check"),"")</f>
        <v>AXW160106-AXW160108</v>
      </c>
      <c r="D774" s="100" t="str">
        <f>IF($B774&lt;&gt;"",_xlfn.IFNA(VLOOKUP($B774,'Node Details'!$B:$U,D$1,0),"Check"),"")</f>
        <v>AXW</v>
      </c>
      <c r="E774" s="100" t="str">
        <f>IF($B774&lt;&gt;"",_xlfn.IFNA(VLOOKUP($B774,'Node Details'!$B:$U,E$1,0),"Check"),"")</f>
        <v>Airtel</v>
      </c>
      <c r="F774" s="101">
        <v>46114</v>
      </c>
      <c r="G774" s="103"/>
      <c r="H774" s="102" t="s">
        <v>1256</v>
      </c>
      <c r="I774" s="9">
        <v>1</v>
      </c>
      <c r="J774" s="9">
        <v>48</v>
      </c>
      <c r="K774" s="100">
        <f t="shared" si="106"/>
        <v>48</v>
      </c>
      <c r="L774" s="78">
        <v>46112</v>
      </c>
      <c r="M774" s="103"/>
      <c r="N774" s="93" t="s">
        <v>373</v>
      </c>
      <c r="O774" s="94">
        <v>46146</v>
      </c>
      <c r="P774" s="104">
        <f t="shared" si="108"/>
        <v>48</v>
      </c>
      <c r="Q774" s="104">
        <f t="shared" si="109"/>
        <v>48</v>
      </c>
      <c r="R774" s="104"/>
      <c r="S774" s="93" t="s">
        <v>374</v>
      </c>
      <c r="T774" s="94">
        <v>46156</v>
      </c>
      <c r="U774" s="104">
        <f t="shared" si="110"/>
        <v>48</v>
      </c>
      <c r="V774" s="104">
        <f t="shared" si="111"/>
        <v>1</v>
      </c>
      <c r="W774" s="103">
        <f t="shared" si="112"/>
        <v>48</v>
      </c>
      <c r="X774" s="93" t="s">
        <v>89</v>
      </c>
      <c r="Y774" s="105" t="s">
        <v>84</v>
      </c>
      <c r="Z774" s="105" t="s">
        <v>93</v>
      </c>
    </row>
    <row r="775" spans="1:26" s="105" customFormat="1" ht="15" customHeight="1">
      <c r="A775" s="99">
        <f t="shared" si="107"/>
        <v>773</v>
      </c>
      <c r="B775" s="75" t="s">
        <v>379</v>
      </c>
      <c r="C775" s="100" t="str">
        <f>IF($B775&lt;&gt;"",_xlfn.IFNA(VLOOKUP($B775,'Node Details'!$B:$U,C$1,0),"Check"),"")</f>
        <v>000000AXW-0000AXW17</v>
      </c>
      <c r="D775" s="100" t="str">
        <f>IF($B775&lt;&gt;"",_xlfn.IFNA(VLOOKUP($B775,'Node Details'!$B:$U,D$1,0),"Check"),"")</f>
        <v>AXW</v>
      </c>
      <c r="E775" s="100" t="str">
        <f>IF($B775&lt;&gt;"",_xlfn.IFNA(VLOOKUP($B775,'Node Details'!$B:$U,E$1,0),"Check"),"")</f>
        <v>Airtel</v>
      </c>
      <c r="F775" s="101">
        <v>46114</v>
      </c>
      <c r="G775" s="103"/>
      <c r="H775" s="102" t="s">
        <v>1256</v>
      </c>
      <c r="I775" s="9">
        <v>1</v>
      </c>
      <c r="J775" s="9">
        <v>48</v>
      </c>
      <c r="K775" s="100">
        <f t="shared" si="106"/>
        <v>48</v>
      </c>
      <c r="L775" s="78">
        <v>46112</v>
      </c>
      <c r="M775" s="103"/>
      <c r="N775" s="93" t="s">
        <v>373</v>
      </c>
      <c r="O775" s="94">
        <v>46146</v>
      </c>
      <c r="P775" s="104">
        <f t="shared" si="108"/>
        <v>48</v>
      </c>
      <c r="Q775" s="104">
        <f t="shared" si="109"/>
        <v>48</v>
      </c>
      <c r="R775" s="104"/>
      <c r="S775" s="93" t="s">
        <v>374</v>
      </c>
      <c r="T775" s="94">
        <v>46156</v>
      </c>
      <c r="U775" s="104">
        <f t="shared" si="110"/>
        <v>48</v>
      </c>
      <c r="V775" s="104">
        <f t="shared" si="111"/>
        <v>1</v>
      </c>
      <c r="W775" s="103">
        <f t="shared" si="112"/>
        <v>48</v>
      </c>
      <c r="X775" s="93" t="s">
        <v>89</v>
      </c>
      <c r="Y775" s="105" t="s">
        <v>84</v>
      </c>
      <c r="Z775" s="105" t="s">
        <v>93</v>
      </c>
    </row>
    <row r="776" spans="1:26" s="105" customFormat="1" ht="15" customHeight="1">
      <c r="A776" s="99">
        <f t="shared" si="107"/>
        <v>774</v>
      </c>
      <c r="B776" s="75" t="s">
        <v>525</v>
      </c>
      <c r="C776" s="100" t="str">
        <f>IF($B776&lt;&gt;"",_xlfn.IFNA(VLOOKUP($B776,'Node Details'!$B:$U,C$1,0),"Check"),"")</f>
        <v>0000AXW17-AXW170101</v>
      </c>
      <c r="D776" s="100" t="str">
        <f>IF($B776&lt;&gt;"",_xlfn.IFNA(VLOOKUP($B776,'Node Details'!$B:$U,D$1,0),"Check"),"")</f>
        <v>AXW</v>
      </c>
      <c r="E776" s="100" t="str">
        <f>IF($B776&lt;&gt;"",_xlfn.IFNA(VLOOKUP($B776,'Node Details'!$B:$U,E$1,0),"Check"),"")</f>
        <v>Airtel</v>
      </c>
      <c r="F776" s="101">
        <v>46114</v>
      </c>
      <c r="G776" s="103"/>
      <c r="H776" s="102" t="s">
        <v>1256</v>
      </c>
      <c r="I776" s="9">
        <v>1</v>
      </c>
      <c r="J776" s="9">
        <v>48</v>
      </c>
      <c r="K776" s="100">
        <f t="shared" si="106"/>
        <v>48</v>
      </c>
      <c r="L776" s="78">
        <v>46112</v>
      </c>
      <c r="M776" s="103"/>
      <c r="N776" s="93" t="s">
        <v>373</v>
      </c>
      <c r="O776" s="94">
        <v>46146</v>
      </c>
      <c r="P776" s="104">
        <f t="shared" si="108"/>
        <v>48</v>
      </c>
      <c r="Q776" s="104">
        <f t="shared" si="109"/>
        <v>48</v>
      </c>
      <c r="R776" s="104"/>
      <c r="S776" s="93" t="s">
        <v>374</v>
      </c>
      <c r="T776" s="94">
        <v>46156</v>
      </c>
      <c r="U776" s="104">
        <f t="shared" si="110"/>
        <v>48</v>
      </c>
      <c r="V776" s="104">
        <f t="shared" si="111"/>
        <v>1</v>
      </c>
      <c r="W776" s="103">
        <f t="shared" si="112"/>
        <v>48</v>
      </c>
      <c r="X776" s="93" t="s">
        <v>89</v>
      </c>
      <c r="Y776" s="105" t="s">
        <v>84</v>
      </c>
      <c r="Z776" s="105" t="s">
        <v>93</v>
      </c>
    </row>
    <row r="777" spans="1:26" s="105" customFormat="1" ht="15" customHeight="1">
      <c r="A777" s="99">
        <f t="shared" si="107"/>
        <v>775</v>
      </c>
      <c r="B777" s="75" t="s">
        <v>1102</v>
      </c>
      <c r="C777" s="100" t="str">
        <f>IF($B777&lt;&gt;"",_xlfn.IFNA(VLOOKUP($B777,'Node Details'!$B:$U,C$1,0),"Check"),"")</f>
        <v>0000AXW17-AXW170105</v>
      </c>
      <c r="D777" s="100" t="str">
        <f>IF($B777&lt;&gt;"",_xlfn.IFNA(VLOOKUP($B777,'Node Details'!$B:$U,D$1,0),"Check"),"")</f>
        <v>AXW</v>
      </c>
      <c r="E777" s="100" t="str">
        <f>IF($B777&lt;&gt;"",_xlfn.IFNA(VLOOKUP($B777,'Node Details'!$B:$U,E$1,0),"Check"),"")</f>
        <v>Airtel</v>
      </c>
      <c r="F777" s="101">
        <v>46114</v>
      </c>
      <c r="G777" s="103"/>
      <c r="H777" s="102" t="s">
        <v>1256</v>
      </c>
      <c r="I777" s="9">
        <v>1</v>
      </c>
      <c r="J777" s="9">
        <v>48</v>
      </c>
      <c r="K777" s="100">
        <f t="shared" si="106"/>
        <v>48</v>
      </c>
      <c r="L777" s="78">
        <v>46112</v>
      </c>
      <c r="M777" s="103"/>
      <c r="N777" s="93" t="s">
        <v>373</v>
      </c>
      <c r="O777" s="94">
        <v>46146</v>
      </c>
      <c r="P777" s="104">
        <f t="shared" si="108"/>
        <v>48</v>
      </c>
      <c r="Q777" s="104">
        <f t="shared" si="109"/>
        <v>48</v>
      </c>
      <c r="R777" s="104"/>
      <c r="S777" s="93" t="s">
        <v>374</v>
      </c>
      <c r="T777" s="94">
        <v>46156</v>
      </c>
      <c r="U777" s="104">
        <f t="shared" si="110"/>
        <v>48</v>
      </c>
      <c r="V777" s="104">
        <f t="shared" si="111"/>
        <v>1</v>
      </c>
      <c r="W777" s="103">
        <f t="shared" si="112"/>
        <v>48</v>
      </c>
      <c r="X777" s="93" t="s">
        <v>89</v>
      </c>
      <c r="Y777" s="105" t="s">
        <v>84</v>
      </c>
      <c r="Z777" s="105" t="s">
        <v>93</v>
      </c>
    </row>
    <row r="778" spans="1:26" s="105" customFormat="1" ht="15" customHeight="1">
      <c r="A778" s="99">
        <f t="shared" si="107"/>
        <v>776</v>
      </c>
      <c r="B778" s="75" t="s">
        <v>1103</v>
      </c>
      <c r="C778" s="100" t="str">
        <f>IF($B778&lt;&gt;"",_xlfn.IFNA(VLOOKUP($B778,'Node Details'!$B:$U,C$1,0),"Check"),"")</f>
        <v>0000AXW17-AXW170105</v>
      </c>
      <c r="D778" s="100" t="str">
        <f>IF($B778&lt;&gt;"",_xlfn.IFNA(VLOOKUP($B778,'Node Details'!$B:$U,D$1,0),"Check"),"")</f>
        <v>AXW</v>
      </c>
      <c r="E778" s="100" t="str">
        <f>IF($B778&lt;&gt;"",_xlfn.IFNA(VLOOKUP($B778,'Node Details'!$B:$U,E$1,0),"Check"),"")</f>
        <v>Airtel</v>
      </c>
      <c r="F778" s="101">
        <v>46114</v>
      </c>
      <c r="G778" s="103"/>
      <c r="H778" s="102" t="s">
        <v>1256</v>
      </c>
      <c r="I778" s="9">
        <v>1</v>
      </c>
      <c r="J778" s="9">
        <v>48</v>
      </c>
      <c r="K778" s="100">
        <f t="shared" si="106"/>
        <v>48</v>
      </c>
      <c r="L778" s="78">
        <v>46112</v>
      </c>
      <c r="M778" s="103"/>
      <c r="N778" s="93" t="s">
        <v>373</v>
      </c>
      <c r="O778" s="94">
        <v>46146</v>
      </c>
      <c r="P778" s="104">
        <f t="shared" si="108"/>
        <v>48</v>
      </c>
      <c r="Q778" s="104">
        <f t="shared" si="109"/>
        <v>48</v>
      </c>
      <c r="R778" s="104"/>
      <c r="S778" s="93" t="s">
        <v>374</v>
      </c>
      <c r="T778" s="94">
        <v>46156</v>
      </c>
      <c r="U778" s="104">
        <f t="shared" si="110"/>
        <v>48</v>
      </c>
      <c r="V778" s="104">
        <f t="shared" si="111"/>
        <v>1</v>
      </c>
      <c r="W778" s="103">
        <f t="shared" si="112"/>
        <v>48</v>
      </c>
      <c r="X778" s="93" t="s">
        <v>89</v>
      </c>
      <c r="Y778" s="105" t="s">
        <v>84</v>
      </c>
      <c r="Z778" s="105" t="s">
        <v>93</v>
      </c>
    </row>
    <row r="779" spans="1:26" s="105" customFormat="1" ht="15" customHeight="1">
      <c r="A779" s="99">
        <f t="shared" si="107"/>
        <v>777</v>
      </c>
      <c r="B779" s="75" t="s">
        <v>1104</v>
      </c>
      <c r="C779" s="100" t="str">
        <f>IF($B779&lt;&gt;"",_xlfn.IFNA(VLOOKUP($B779,'Node Details'!$B:$U,C$1,0),"Check"),"")</f>
        <v>0000AXW17-AXW170105</v>
      </c>
      <c r="D779" s="100" t="str">
        <f>IF($B779&lt;&gt;"",_xlfn.IFNA(VLOOKUP($B779,'Node Details'!$B:$U,D$1,0),"Check"),"")</f>
        <v>AXW</v>
      </c>
      <c r="E779" s="100" t="str">
        <f>IF($B779&lt;&gt;"",_xlfn.IFNA(VLOOKUP($B779,'Node Details'!$B:$U,E$1,0),"Check"),"")</f>
        <v>Airtel</v>
      </c>
      <c r="F779" s="101">
        <v>46114</v>
      </c>
      <c r="G779" s="103"/>
      <c r="H779" s="102" t="s">
        <v>1256</v>
      </c>
      <c r="I779" s="9">
        <v>1</v>
      </c>
      <c r="J779" s="9">
        <v>48</v>
      </c>
      <c r="K779" s="100">
        <f t="shared" si="106"/>
        <v>48</v>
      </c>
      <c r="L779" s="78">
        <v>46112</v>
      </c>
      <c r="M779" s="103"/>
      <c r="N779" s="93" t="s">
        <v>373</v>
      </c>
      <c r="O779" s="94">
        <v>46146</v>
      </c>
      <c r="P779" s="104">
        <f t="shared" si="108"/>
        <v>48</v>
      </c>
      <c r="Q779" s="104">
        <f t="shared" si="109"/>
        <v>48</v>
      </c>
      <c r="R779" s="104"/>
      <c r="S779" s="93" t="s">
        <v>374</v>
      </c>
      <c r="T779" s="94">
        <v>46156</v>
      </c>
      <c r="U779" s="104">
        <f t="shared" si="110"/>
        <v>48</v>
      </c>
      <c r="V779" s="104">
        <f t="shared" si="111"/>
        <v>1</v>
      </c>
      <c r="W779" s="103">
        <f t="shared" si="112"/>
        <v>48</v>
      </c>
      <c r="X779" s="93" t="s">
        <v>89</v>
      </c>
      <c r="Y779" s="105" t="s">
        <v>84</v>
      </c>
      <c r="Z779" s="105" t="s">
        <v>93</v>
      </c>
    </row>
    <row r="780" spans="1:26" s="105" customFormat="1" ht="15" customHeight="1">
      <c r="A780" s="99">
        <f t="shared" si="107"/>
        <v>778</v>
      </c>
      <c r="B780" s="75" t="s">
        <v>527</v>
      </c>
      <c r="C780" s="100" t="str">
        <f>IF($B780&lt;&gt;"",_xlfn.IFNA(VLOOKUP($B780,'Node Details'!$B:$U,C$1,0),"Check"),"")</f>
        <v>0000AXW17-AXW170105</v>
      </c>
      <c r="D780" s="100" t="str">
        <f>IF($B780&lt;&gt;"",_xlfn.IFNA(VLOOKUP($B780,'Node Details'!$B:$U,D$1,0),"Check"),"")</f>
        <v>AXW</v>
      </c>
      <c r="E780" s="100" t="str">
        <f>IF($B780&lt;&gt;"",_xlfn.IFNA(VLOOKUP($B780,'Node Details'!$B:$U,E$1,0),"Check"),"")</f>
        <v>Airtel</v>
      </c>
      <c r="F780" s="101">
        <v>46114</v>
      </c>
      <c r="G780" s="103"/>
      <c r="H780" s="102" t="s">
        <v>1256</v>
      </c>
      <c r="I780" s="9">
        <v>1</v>
      </c>
      <c r="J780" s="9">
        <v>48</v>
      </c>
      <c r="K780" s="100">
        <f t="shared" si="106"/>
        <v>48</v>
      </c>
      <c r="L780" s="78">
        <v>46112</v>
      </c>
      <c r="M780" s="103"/>
      <c r="N780" s="93" t="s">
        <v>373</v>
      </c>
      <c r="O780" s="94">
        <v>46146</v>
      </c>
      <c r="P780" s="104">
        <f t="shared" si="108"/>
        <v>48</v>
      </c>
      <c r="Q780" s="104">
        <f t="shared" si="109"/>
        <v>48</v>
      </c>
      <c r="R780" s="104"/>
      <c r="S780" s="93" t="s">
        <v>374</v>
      </c>
      <c r="T780" s="94">
        <v>46156</v>
      </c>
      <c r="U780" s="104">
        <f t="shared" si="110"/>
        <v>48</v>
      </c>
      <c r="V780" s="104">
        <f t="shared" si="111"/>
        <v>1</v>
      </c>
      <c r="W780" s="103">
        <f t="shared" si="112"/>
        <v>48</v>
      </c>
      <c r="X780" s="93" t="s">
        <v>89</v>
      </c>
      <c r="Y780" s="105" t="s">
        <v>84</v>
      </c>
      <c r="Z780" s="105" t="s">
        <v>93</v>
      </c>
    </row>
    <row r="781" spans="1:26" s="105" customFormat="1" ht="15" customHeight="1">
      <c r="A781" s="99">
        <f t="shared" si="107"/>
        <v>779</v>
      </c>
      <c r="B781" s="75" t="s">
        <v>1105</v>
      </c>
      <c r="C781" s="100" t="str">
        <f>IF($B781&lt;&gt;"",_xlfn.IFNA(VLOOKUP($B781,'Node Details'!$B:$U,C$1,0),"Check"),"")</f>
        <v>0000AXW17-AXW170201</v>
      </c>
      <c r="D781" s="100" t="str">
        <f>IF($B781&lt;&gt;"",_xlfn.IFNA(VLOOKUP($B781,'Node Details'!$B:$U,D$1,0),"Check"),"")</f>
        <v>AXW</v>
      </c>
      <c r="E781" s="100" t="str">
        <f>IF($B781&lt;&gt;"",_xlfn.IFNA(VLOOKUP($B781,'Node Details'!$B:$U,E$1,0),"Check"),"")</f>
        <v>Airtel</v>
      </c>
      <c r="F781" s="101">
        <v>46114</v>
      </c>
      <c r="G781" s="103"/>
      <c r="H781" s="102" t="s">
        <v>1256</v>
      </c>
      <c r="I781" s="9">
        <v>1</v>
      </c>
      <c r="J781" s="9">
        <v>48</v>
      </c>
      <c r="K781" s="100">
        <f t="shared" si="106"/>
        <v>48</v>
      </c>
      <c r="L781" s="78">
        <v>46112</v>
      </c>
      <c r="M781" s="103"/>
      <c r="N781" s="93" t="s">
        <v>373</v>
      </c>
      <c r="O781" s="94">
        <v>46146</v>
      </c>
      <c r="P781" s="104">
        <f t="shared" si="108"/>
        <v>48</v>
      </c>
      <c r="Q781" s="104">
        <f t="shared" si="109"/>
        <v>48</v>
      </c>
      <c r="R781" s="104"/>
      <c r="S781" s="93" t="s">
        <v>374</v>
      </c>
      <c r="T781" s="94">
        <v>46156</v>
      </c>
      <c r="U781" s="104">
        <f t="shared" si="110"/>
        <v>48</v>
      </c>
      <c r="V781" s="104">
        <f t="shared" si="111"/>
        <v>1</v>
      </c>
      <c r="W781" s="103">
        <f t="shared" si="112"/>
        <v>48</v>
      </c>
      <c r="X781" s="93" t="s">
        <v>89</v>
      </c>
      <c r="Y781" s="105" t="s">
        <v>84</v>
      </c>
      <c r="Z781" s="105" t="s">
        <v>93</v>
      </c>
    </row>
    <row r="782" spans="1:26" s="105" customFormat="1" ht="15" customHeight="1">
      <c r="A782" s="99">
        <f t="shared" si="107"/>
        <v>780</v>
      </c>
      <c r="B782" s="75" t="s">
        <v>1106</v>
      </c>
      <c r="C782" s="100" t="str">
        <f>IF($B782&lt;&gt;"",_xlfn.IFNA(VLOOKUP($B782,'Node Details'!$B:$U,C$1,0),"Check"),"")</f>
        <v>0000AXW17-AXW170201</v>
      </c>
      <c r="D782" s="100" t="str">
        <f>IF($B782&lt;&gt;"",_xlfn.IFNA(VLOOKUP($B782,'Node Details'!$B:$U,D$1,0),"Check"),"")</f>
        <v>AXW</v>
      </c>
      <c r="E782" s="100" t="str">
        <f>IF($B782&lt;&gt;"",_xlfn.IFNA(VLOOKUP($B782,'Node Details'!$B:$U,E$1,0),"Check"),"")</f>
        <v>Airtel</v>
      </c>
      <c r="F782" s="101">
        <v>46114</v>
      </c>
      <c r="G782" s="103"/>
      <c r="H782" s="102" t="s">
        <v>1256</v>
      </c>
      <c r="I782" s="9">
        <v>1</v>
      </c>
      <c r="J782" s="9">
        <v>48</v>
      </c>
      <c r="K782" s="100">
        <f t="shared" si="106"/>
        <v>48</v>
      </c>
      <c r="L782" s="78">
        <v>46112</v>
      </c>
      <c r="M782" s="103"/>
      <c r="N782" s="93" t="s">
        <v>373</v>
      </c>
      <c r="O782" s="94">
        <v>46146</v>
      </c>
      <c r="P782" s="104">
        <f t="shared" si="108"/>
        <v>48</v>
      </c>
      <c r="Q782" s="104">
        <f t="shared" si="109"/>
        <v>48</v>
      </c>
      <c r="R782" s="104"/>
      <c r="S782" s="93" t="s">
        <v>374</v>
      </c>
      <c r="T782" s="94">
        <v>46156</v>
      </c>
      <c r="U782" s="104">
        <f t="shared" si="110"/>
        <v>48</v>
      </c>
      <c r="V782" s="104">
        <f t="shared" si="111"/>
        <v>1</v>
      </c>
      <c r="W782" s="103">
        <f t="shared" si="112"/>
        <v>48</v>
      </c>
      <c r="X782" s="93" t="s">
        <v>89</v>
      </c>
      <c r="Y782" s="105" t="s">
        <v>84</v>
      </c>
      <c r="Z782" s="105" t="s">
        <v>93</v>
      </c>
    </row>
    <row r="783" spans="1:26" s="105" customFormat="1" ht="15" customHeight="1">
      <c r="A783" s="99">
        <f t="shared" si="107"/>
        <v>781</v>
      </c>
      <c r="B783" s="75" t="s">
        <v>1107</v>
      </c>
      <c r="C783" s="100" t="str">
        <f>IF($B783&lt;&gt;"",_xlfn.IFNA(VLOOKUP($B783,'Node Details'!$B:$U,C$1,0),"Check"),"")</f>
        <v>0000AXW17-AXW170201</v>
      </c>
      <c r="D783" s="100" t="str">
        <f>IF($B783&lt;&gt;"",_xlfn.IFNA(VLOOKUP($B783,'Node Details'!$B:$U,D$1,0),"Check"),"")</f>
        <v>AXW</v>
      </c>
      <c r="E783" s="100" t="str">
        <f>IF($B783&lt;&gt;"",_xlfn.IFNA(VLOOKUP($B783,'Node Details'!$B:$U,E$1,0),"Check"),"")</f>
        <v>Airtel</v>
      </c>
      <c r="F783" s="101">
        <v>46114</v>
      </c>
      <c r="G783" s="103"/>
      <c r="H783" s="102" t="s">
        <v>1256</v>
      </c>
      <c r="I783" s="9">
        <v>1</v>
      </c>
      <c r="J783" s="9">
        <v>48</v>
      </c>
      <c r="K783" s="100">
        <f t="shared" si="106"/>
        <v>48</v>
      </c>
      <c r="L783" s="78">
        <v>46112</v>
      </c>
      <c r="M783" s="103"/>
      <c r="N783" s="93" t="s">
        <v>373</v>
      </c>
      <c r="O783" s="94">
        <v>46146</v>
      </c>
      <c r="P783" s="104">
        <f t="shared" si="108"/>
        <v>48</v>
      </c>
      <c r="Q783" s="104">
        <f t="shared" si="109"/>
        <v>48</v>
      </c>
      <c r="R783" s="104"/>
      <c r="S783" s="93" t="s">
        <v>374</v>
      </c>
      <c r="T783" s="94">
        <v>46156</v>
      </c>
      <c r="U783" s="104">
        <f t="shared" si="110"/>
        <v>48</v>
      </c>
      <c r="V783" s="104">
        <f t="shared" si="111"/>
        <v>1</v>
      </c>
      <c r="W783" s="103">
        <f t="shared" si="112"/>
        <v>48</v>
      </c>
      <c r="X783" s="93" t="s">
        <v>89</v>
      </c>
      <c r="Y783" s="105" t="s">
        <v>84</v>
      </c>
      <c r="Z783" s="105" t="s">
        <v>93</v>
      </c>
    </row>
    <row r="784" spans="1:26" s="105" customFormat="1" ht="15" customHeight="1">
      <c r="A784" s="99">
        <f t="shared" si="107"/>
        <v>782</v>
      </c>
      <c r="B784" s="75" t="s">
        <v>529</v>
      </c>
      <c r="C784" s="100" t="str">
        <f>IF($B784&lt;&gt;"",_xlfn.IFNA(VLOOKUP($B784,'Node Details'!$B:$U,C$1,0),"Check"),"")</f>
        <v>0000AXW17-AXW170201</v>
      </c>
      <c r="D784" s="100" t="str">
        <f>IF($B784&lt;&gt;"",_xlfn.IFNA(VLOOKUP($B784,'Node Details'!$B:$U,D$1,0),"Check"),"")</f>
        <v>AXW</v>
      </c>
      <c r="E784" s="100" t="str">
        <f>IF($B784&lt;&gt;"",_xlfn.IFNA(VLOOKUP($B784,'Node Details'!$B:$U,E$1,0),"Check"),"")</f>
        <v>Airtel</v>
      </c>
      <c r="F784" s="101">
        <v>46114</v>
      </c>
      <c r="G784" s="103"/>
      <c r="H784" s="102" t="s">
        <v>1256</v>
      </c>
      <c r="I784" s="9">
        <v>1</v>
      </c>
      <c r="J784" s="9">
        <v>48</v>
      </c>
      <c r="K784" s="100">
        <f t="shared" si="106"/>
        <v>48</v>
      </c>
      <c r="L784" s="78">
        <v>46112</v>
      </c>
      <c r="M784" s="103"/>
      <c r="N784" s="93" t="s">
        <v>373</v>
      </c>
      <c r="O784" s="94">
        <v>46146</v>
      </c>
      <c r="P784" s="104">
        <f t="shared" si="108"/>
        <v>48</v>
      </c>
      <c r="Q784" s="104">
        <f t="shared" si="109"/>
        <v>48</v>
      </c>
      <c r="R784" s="104"/>
      <c r="S784" s="93" t="s">
        <v>374</v>
      </c>
      <c r="T784" s="94">
        <v>46156</v>
      </c>
      <c r="U784" s="104">
        <f t="shared" si="110"/>
        <v>48</v>
      </c>
      <c r="V784" s="104">
        <f t="shared" si="111"/>
        <v>1</v>
      </c>
      <c r="W784" s="103">
        <f t="shared" si="112"/>
        <v>48</v>
      </c>
      <c r="X784" s="93" t="s">
        <v>89</v>
      </c>
      <c r="Y784" s="105" t="s">
        <v>84</v>
      </c>
      <c r="Z784" s="105" t="s">
        <v>93</v>
      </c>
    </row>
    <row r="785" spans="1:26" s="105" customFormat="1" ht="15" customHeight="1">
      <c r="A785" s="99">
        <f t="shared" si="107"/>
        <v>783</v>
      </c>
      <c r="B785" s="75" t="s">
        <v>532</v>
      </c>
      <c r="C785" s="100" t="str">
        <f>IF($B785&lt;&gt;"",_xlfn.IFNA(VLOOKUP($B785,'Node Details'!$B:$U,C$1,0),"Check"),"")</f>
        <v>0000AXW16-0000AXW20</v>
      </c>
      <c r="D785" s="100" t="str">
        <f>IF($B785&lt;&gt;"",_xlfn.IFNA(VLOOKUP($B785,'Node Details'!$B:$U,D$1,0),"Check"),"")</f>
        <v>AXW</v>
      </c>
      <c r="E785" s="100" t="str">
        <f>IF($B785&lt;&gt;"",_xlfn.IFNA(VLOOKUP($B785,'Node Details'!$B:$U,E$1,0),"Check"),"")</f>
        <v>Airtel</v>
      </c>
      <c r="F785" s="101">
        <v>46114</v>
      </c>
      <c r="G785" s="103"/>
      <c r="H785" s="102" t="s">
        <v>1256</v>
      </c>
      <c r="I785" s="9">
        <v>1</v>
      </c>
      <c r="J785" s="9">
        <v>48</v>
      </c>
      <c r="K785" s="100">
        <f t="shared" si="106"/>
        <v>48</v>
      </c>
      <c r="L785" s="78">
        <v>46112</v>
      </c>
      <c r="M785" s="103"/>
      <c r="N785" s="93" t="s">
        <v>373</v>
      </c>
      <c r="O785" s="94">
        <v>46146</v>
      </c>
      <c r="P785" s="104">
        <f t="shared" si="108"/>
        <v>48</v>
      </c>
      <c r="Q785" s="104">
        <f t="shared" si="109"/>
        <v>48</v>
      </c>
      <c r="R785" s="104"/>
      <c r="S785" s="93" t="s">
        <v>374</v>
      </c>
      <c r="T785" s="94">
        <v>46156</v>
      </c>
      <c r="U785" s="104">
        <f t="shared" si="110"/>
        <v>48</v>
      </c>
      <c r="V785" s="104">
        <f t="shared" si="111"/>
        <v>1</v>
      </c>
      <c r="W785" s="103">
        <f t="shared" si="112"/>
        <v>48</v>
      </c>
      <c r="X785" s="93" t="s">
        <v>89</v>
      </c>
      <c r="Y785" s="105" t="s">
        <v>84</v>
      </c>
      <c r="Z785" s="105" t="s">
        <v>93</v>
      </c>
    </row>
    <row r="786" spans="1:26" s="105" customFormat="1" ht="15" customHeight="1">
      <c r="A786" s="99">
        <f t="shared" si="107"/>
        <v>784</v>
      </c>
      <c r="B786" s="75" t="s">
        <v>533</v>
      </c>
      <c r="C786" s="100" t="str">
        <f>IF($B786&lt;&gt;"",_xlfn.IFNA(VLOOKUP($B786,'Node Details'!$B:$U,C$1,0),"Check"),"")</f>
        <v>0000AXW18-AXW180101</v>
      </c>
      <c r="D786" s="100" t="str">
        <f>IF($B786&lt;&gt;"",_xlfn.IFNA(VLOOKUP($B786,'Node Details'!$B:$U,D$1,0),"Check"),"")</f>
        <v>AXW</v>
      </c>
      <c r="E786" s="100" t="str">
        <f>IF($B786&lt;&gt;"",_xlfn.IFNA(VLOOKUP($B786,'Node Details'!$B:$U,E$1,0),"Check"),"")</f>
        <v>Airtel</v>
      </c>
      <c r="F786" s="101">
        <v>46114</v>
      </c>
      <c r="G786" s="103"/>
      <c r="H786" s="102" t="s">
        <v>1256</v>
      </c>
      <c r="I786" s="9">
        <v>1</v>
      </c>
      <c r="J786" s="9">
        <v>48</v>
      </c>
      <c r="K786" s="100">
        <f t="shared" si="106"/>
        <v>48</v>
      </c>
      <c r="L786" s="78">
        <v>46112</v>
      </c>
      <c r="M786" s="103"/>
      <c r="N786" s="93" t="s">
        <v>373</v>
      </c>
      <c r="O786" s="94">
        <v>46146</v>
      </c>
      <c r="P786" s="104">
        <f t="shared" si="108"/>
        <v>48</v>
      </c>
      <c r="Q786" s="104">
        <f t="shared" si="109"/>
        <v>48</v>
      </c>
      <c r="R786" s="104"/>
      <c r="S786" s="93" t="s">
        <v>374</v>
      </c>
      <c r="T786" s="94">
        <v>46156</v>
      </c>
      <c r="U786" s="104">
        <f t="shared" si="110"/>
        <v>48</v>
      </c>
      <c r="V786" s="104">
        <f t="shared" si="111"/>
        <v>1</v>
      </c>
      <c r="W786" s="103">
        <f t="shared" si="112"/>
        <v>48</v>
      </c>
      <c r="X786" s="93" t="s">
        <v>89</v>
      </c>
      <c r="Y786" s="105" t="s">
        <v>84</v>
      </c>
      <c r="Z786" s="105" t="s">
        <v>93</v>
      </c>
    </row>
    <row r="787" spans="1:26" s="105" customFormat="1" ht="15" customHeight="1">
      <c r="A787" s="99">
        <f t="shared" si="107"/>
        <v>785</v>
      </c>
      <c r="B787" s="75" t="s">
        <v>1108</v>
      </c>
      <c r="C787" s="100" t="str">
        <f>IF($B787&lt;&gt;"",_xlfn.IFNA(VLOOKUP($B787,'Node Details'!$B:$U,C$1,0),"Check"),"")</f>
        <v>0000AXW18-AXW180105</v>
      </c>
      <c r="D787" s="100" t="str">
        <f>IF($B787&lt;&gt;"",_xlfn.IFNA(VLOOKUP($B787,'Node Details'!$B:$U,D$1,0),"Check"),"")</f>
        <v>AXW</v>
      </c>
      <c r="E787" s="100" t="str">
        <f>IF($B787&lt;&gt;"",_xlfn.IFNA(VLOOKUP($B787,'Node Details'!$B:$U,E$1,0),"Check"),"")</f>
        <v>Airtel</v>
      </c>
      <c r="F787" s="101">
        <v>46114</v>
      </c>
      <c r="G787" s="103"/>
      <c r="H787" s="102" t="s">
        <v>1256</v>
      </c>
      <c r="I787" s="9">
        <v>1</v>
      </c>
      <c r="J787" s="9">
        <v>48</v>
      </c>
      <c r="K787" s="100">
        <f t="shared" si="106"/>
        <v>48</v>
      </c>
      <c r="L787" s="78">
        <v>46112</v>
      </c>
      <c r="M787" s="103"/>
      <c r="N787" s="93" t="s">
        <v>373</v>
      </c>
      <c r="O787" s="94">
        <v>46146</v>
      </c>
      <c r="P787" s="104">
        <f t="shared" si="108"/>
        <v>48</v>
      </c>
      <c r="Q787" s="104">
        <f t="shared" si="109"/>
        <v>48</v>
      </c>
      <c r="R787" s="104"/>
      <c r="S787" s="93" t="s">
        <v>374</v>
      </c>
      <c r="T787" s="94">
        <v>46156</v>
      </c>
      <c r="U787" s="104">
        <f t="shared" si="110"/>
        <v>48</v>
      </c>
      <c r="V787" s="104">
        <f t="shared" si="111"/>
        <v>1</v>
      </c>
      <c r="W787" s="103">
        <f t="shared" si="112"/>
        <v>48</v>
      </c>
      <c r="X787" s="93" t="s">
        <v>89</v>
      </c>
      <c r="Y787" s="105" t="s">
        <v>84</v>
      </c>
      <c r="Z787" s="105" t="s">
        <v>93</v>
      </c>
    </row>
    <row r="788" spans="1:26" s="105" customFormat="1" ht="15" customHeight="1">
      <c r="A788" s="99">
        <f t="shared" si="107"/>
        <v>786</v>
      </c>
      <c r="B788" s="75" t="s">
        <v>1109</v>
      </c>
      <c r="C788" s="100" t="str">
        <f>IF($B788&lt;&gt;"",_xlfn.IFNA(VLOOKUP($B788,'Node Details'!$B:$U,C$1,0),"Check"),"")</f>
        <v>0000AXW18-AXW180105</v>
      </c>
      <c r="D788" s="100" t="str">
        <f>IF($B788&lt;&gt;"",_xlfn.IFNA(VLOOKUP($B788,'Node Details'!$B:$U,D$1,0),"Check"),"")</f>
        <v>AXW</v>
      </c>
      <c r="E788" s="100" t="str">
        <f>IF($B788&lt;&gt;"",_xlfn.IFNA(VLOOKUP($B788,'Node Details'!$B:$U,E$1,0),"Check"),"")</f>
        <v>Airtel</v>
      </c>
      <c r="F788" s="101">
        <v>46114</v>
      </c>
      <c r="G788" s="103"/>
      <c r="H788" s="102" t="s">
        <v>1256</v>
      </c>
      <c r="I788" s="9">
        <v>1</v>
      </c>
      <c r="J788" s="9">
        <v>48</v>
      </c>
      <c r="K788" s="100">
        <f t="shared" si="106"/>
        <v>48</v>
      </c>
      <c r="L788" s="78">
        <v>46112</v>
      </c>
      <c r="M788" s="103"/>
      <c r="N788" s="93" t="s">
        <v>373</v>
      </c>
      <c r="O788" s="94">
        <v>46146</v>
      </c>
      <c r="P788" s="104">
        <f t="shared" si="108"/>
        <v>48</v>
      </c>
      <c r="Q788" s="104">
        <f t="shared" si="109"/>
        <v>48</v>
      </c>
      <c r="R788" s="104"/>
      <c r="S788" s="93" t="s">
        <v>374</v>
      </c>
      <c r="T788" s="94">
        <v>46156</v>
      </c>
      <c r="U788" s="104">
        <f t="shared" si="110"/>
        <v>48</v>
      </c>
      <c r="V788" s="104">
        <f t="shared" si="111"/>
        <v>1</v>
      </c>
      <c r="W788" s="103">
        <f t="shared" si="112"/>
        <v>48</v>
      </c>
      <c r="X788" s="93" t="s">
        <v>89</v>
      </c>
      <c r="Y788" s="105" t="s">
        <v>84</v>
      </c>
      <c r="Z788" s="105" t="s">
        <v>93</v>
      </c>
    </row>
    <row r="789" spans="1:26" s="105" customFormat="1" ht="15" customHeight="1">
      <c r="A789" s="99">
        <f t="shared" si="107"/>
        <v>787</v>
      </c>
      <c r="B789" s="75" t="s">
        <v>1110</v>
      </c>
      <c r="C789" s="100" t="str">
        <f>IF($B789&lt;&gt;"",_xlfn.IFNA(VLOOKUP($B789,'Node Details'!$B:$U,C$1,0),"Check"),"")</f>
        <v>0000AXW18-AXW180105</v>
      </c>
      <c r="D789" s="100" t="str">
        <f>IF($B789&lt;&gt;"",_xlfn.IFNA(VLOOKUP($B789,'Node Details'!$B:$U,D$1,0),"Check"),"")</f>
        <v>AXW</v>
      </c>
      <c r="E789" s="100" t="str">
        <f>IF($B789&lt;&gt;"",_xlfn.IFNA(VLOOKUP($B789,'Node Details'!$B:$U,E$1,0),"Check"),"")</f>
        <v>Airtel</v>
      </c>
      <c r="F789" s="101">
        <v>46114</v>
      </c>
      <c r="G789" s="103"/>
      <c r="H789" s="102" t="s">
        <v>1256</v>
      </c>
      <c r="I789" s="9">
        <v>1</v>
      </c>
      <c r="J789" s="9">
        <v>48</v>
      </c>
      <c r="K789" s="100">
        <f t="shared" si="106"/>
        <v>48</v>
      </c>
      <c r="L789" s="78">
        <v>46112</v>
      </c>
      <c r="M789" s="103"/>
      <c r="N789" s="93" t="s">
        <v>373</v>
      </c>
      <c r="O789" s="94">
        <v>46146</v>
      </c>
      <c r="P789" s="104">
        <f t="shared" si="108"/>
        <v>48</v>
      </c>
      <c r="Q789" s="104">
        <f t="shared" si="109"/>
        <v>48</v>
      </c>
      <c r="R789" s="104"/>
      <c r="S789" s="93" t="s">
        <v>374</v>
      </c>
      <c r="T789" s="94">
        <v>46156</v>
      </c>
      <c r="U789" s="104">
        <f t="shared" si="110"/>
        <v>48</v>
      </c>
      <c r="V789" s="104">
        <f t="shared" si="111"/>
        <v>1</v>
      </c>
      <c r="W789" s="103">
        <f t="shared" si="112"/>
        <v>48</v>
      </c>
      <c r="X789" s="93" t="s">
        <v>89</v>
      </c>
      <c r="Y789" s="105" t="s">
        <v>84</v>
      </c>
      <c r="Z789" s="105" t="s">
        <v>93</v>
      </c>
    </row>
    <row r="790" spans="1:26" s="105" customFormat="1" ht="15" customHeight="1">
      <c r="A790" s="99">
        <f t="shared" si="107"/>
        <v>788</v>
      </c>
      <c r="B790" s="75" t="s">
        <v>537</v>
      </c>
      <c r="C790" s="100" t="str">
        <f>IF($B790&lt;&gt;"",_xlfn.IFNA(VLOOKUP($B790,'Node Details'!$B:$U,C$1,0),"Check"),"")</f>
        <v>0000AXW18-AXW180105</v>
      </c>
      <c r="D790" s="100" t="str">
        <f>IF($B790&lt;&gt;"",_xlfn.IFNA(VLOOKUP($B790,'Node Details'!$B:$U,D$1,0),"Check"),"")</f>
        <v>AXW</v>
      </c>
      <c r="E790" s="100" t="str">
        <f>IF($B790&lt;&gt;"",_xlfn.IFNA(VLOOKUP($B790,'Node Details'!$B:$U,E$1,0),"Check"),"")</f>
        <v>Airtel</v>
      </c>
      <c r="F790" s="101">
        <v>46114</v>
      </c>
      <c r="G790" s="103"/>
      <c r="H790" s="102" t="s">
        <v>1256</v>
      </c>
      <c r="I790" s="9">
        <v>1</v>
      </c>
      <c r="J790" s="9">
        <v>48</v>
      </c>
      <c r="K790" s="100">
        <f t="shared" si="106"/>
        <v>48</v>
      </c>
      <c r="L790" s="78">
        <v>46112</v>
      </c>
      <c r="M790" s="103"/>
      <c r="N790" s="93" t="s">
        <v>373</v>
      </c>
      <c r="O790" s="94">
        <v>46146</v>
      </c>
      <c r="P790" s="104">
        <f t="shared" si="108"/>
        <v>48</v>
      </c>
      <c r="Q790" s="104">
        <f t="shared" si="109"/>
        <v>48</v>
      </c>
      <c r="R790" s="104"/>
      <c r="S790" s="93" t="s">
        <v>374</v>
      </c>
      <c r="T790" s="94">
        <v>46156</v>
      </c>
      <c r="U790" s="104">
        <f t="shared" si="110"/>
        <v>48</v>
      </c>
      <c r="V790" s="104">
        <f t="shared" si="111"/>
        <v>1</v>
      </c>
      <c r="W790" s="103">
        <f t="shared" si="112"/>
        <v>48</v>
      </c>
      <c r="X790" s="93" t="s">
        <v>89</v>
      </c>
      <c r="Y790" s="105" t="s">
        <v>84</v>
      </c>
      <c r="Z790" s="105" t="s">
        <v>93</v>
      </c>
    </row>
    <row r="791" spans="1:26" s="105" customFormat="1" ht="15" customHeight="1">
      <c r="A791" s="99">
        <f t="shared" si="107"/>
        <v>789</v>
      </c>
      <c r="B791" s="75" t="s">
        <v>540</v>
      </c>
      <c r="C791" s="100" t="str">
        <f>IF($B791&lt;&gt;"",_xlfn.IFNA(VLOOKUP($B791,'Node Details'!$B:$U,C$1,0),"Check"),"")</f>
        <v>0000AXW18-AXW180106</v>
      </c>
      <c r="D791" s="100" t="str">
        <f>IF($B791&lt;&gt;"",_xlfn.IFNA(VLOOKUP($B791,'Node Details'!$B:$U,D$1,0),"Check"),"")</f>
        <v>AXW</v>
      </c>
      <c r="E791" s="100" t="str">
        <f>IF($B791&lt;&gt;"",_xlfn.IFNA(VLOOKUP($B791,'Node Details'!$B:$U,E$1,0),"Check"),"")</f>
        <v>Airtel</v>
      </c>
      <c r="F791" s="101">
        <v>46114</v>
      </c>
      <c r="G791" s="103"/>
      <c r="H791" s="102" t="s">
        <v>1256</v>
      </c>
      <c r="I791" s="9">
        <v>1</v>
      </c>
      <c r="J791" s="9">
        <v>48</v>
      </c>
      <c r="K791" s="100">
        <f t="shared" si="106"/>
        <v>48</v>
      </c>
      <c r="L791" s="78">
        <v>46112</v>
      </c>
      <c r="M791" s="103"/>
      <c r="N791" s="93" t="s">
        <v>373</v>
      </c>
      <c r="O791" s="94">
        <v>46146</v>
      </c>
      <c r="P791" s="104">
        <f t="shared" si="108"/>
        <v>48</v>
      </c>
      <c r="Q791" s="104">
        <f t="shared" si="109"/>
        <v>48</v>
      </c>
      <c r="R791" s="104"/>
      <c r="S791" s="93" t="s">
        <v>374</v>
      </c>
      <c r="T791" s="94">
        <v>46156</v>
      </c>
      <c r="U791" s="104">
        <f t="shared" si="110"/>
        <v>48</v>
      </c>
      <c r="V791" s="104">
        <f t="shared" si="111"/>
        <v>1</v>
      </c>
      <c r="W791" s="103">
        <f t="shared" si="112"/>
        <v>48</v>
      </c>
      <c r="X791" s="93" t="s">
        <v>89</v>
      </c>
      <c r="Y791" s="105" t="s">
        <v>84</v>
      </c>
      <c r="Z791" s="105" t="s">
        <v>93</v>
      </c>
    </row>
    <row r="792" spans="1:26" s="105" customFormat="1" ht="15" customHeight="1">
      <c r="A792" s="99">
        <f t="shared" si="107"/>
        <v>790</v>
      </c>
      <c r="B792" s="75" t="s">
        <v>1111</v>
      </c>
      <c r="C792" s="100" t="str">
        <f>IF($B792&lt;&gt;"",_xlfn.IFNA(VLOOKUP($B792,'Node Details'!$B:$U,C$1,0),"Check"),"")</f>
        <v>AXW180106-AXW180108</v>
      </c>
      <c r="D792" s="100" t="str">
        <f>IF($B792&lt;&gt;"",_xlfn.IFNA(VLOOKUP($B792,'Node Details'!$B:$U,D$1,0),"Check"),"")</f>
        <v>AXW</v>
      </c>
      <c r="E792" s="100" t="str">
        <f>IF($B792&lt;&gt;"",_xlfn.IFNA(VLOOKUP($B792,'Node Details'!$B:$U,E$1,0),"Check"),"")</f>
        <v>Airtel</v>
      </c>
      <c r="F792" s="101">
        <v>46114</v>
      </c>
      <c r="G792" s="103"/>
      <c r="H792" s="102" t="s">
        <v>1256</v>
      </c>
      <c r="I792" s="9">
        <v>1</v>
      </c>
      <c r="J792" s="9">
        <v>48</v>
      </c>
      <c r="K792" s="100">
        <f t="shared" si="106"/>
        <v>48</v>
      </c>
      <c r="L792" s="78">
        <v>46112</v>
      </c>
      <c r="M792" s="103"/>
      <c r="N792" s="93" t="s">
        <v>373</v>
      </c>
      <c r="O792" s="94">
        <v>46146</v>
      </c>
      <c r="P792" s="104">
        <f t="shared" si="108"/>
        <v>48</v>
      </c>
      <c r="Q792" s="104">
        <f t="shared" si="109"/>
        <v>48</v>
      </c>
      <c r="R792" s="104"/>
      <c r="S792" s="93" t="s">
        <v>374</v>
      </c>
      <c r="T792" s="94">
        <v>46156</v>
      </c>
      <c r="U792" s="104">
        <f t="shared" si="110"/>
        <v>48</v>
      </c>
      <c r="V792" s="104">
        <f t="shared" si="111"/>
        <v>1</v>
      </c>
      <c r="W792" s="103">
        <f t="shared" si="112"/>
        <v>48</v>
      </c>
      <c r="X792" s="93" t="s">
        <v>89</v>
      </c>
      <c r="Y792" s="105" t="s">
        <v>84</v>
      </c>
      <c r="Z792" s="105" t="s">
        <v>93</v>
      </c>
    </row>
    <row r="793" spans="1:26" s="105" customFormat="1" ht="15" customHeight="1">
      <c r="A793" s="99">
        <f t="shared" si="107"/>
        <v>791</v>
      </c>
      <c r="B793" s="75" t="s">
        <v>543</v>
      </c>
      <c r="C793" s="100" t="str">
        <f>IF($B793&lt;&gt;"",_xlfn.IFNA(VLOOKUP($B793,'Node Details'!$B:$U,C$1,0),"Check"),"")</f>
        <v>AXW180106-AXW180108</v>
      </c>
      <c r="D793" s="100" t="str">
        <f>IF($B793&lt;&gt;"",_xlfn.IFNA(VLOOKUP($B793,'Node Details'!$B:$U,D$1,0),"Check"),"")</f>
        <v>AXW</v>
      </c>
      <c r="E793" s="100" t="str">
        <f>IF($B793&lt;&gt;"",_xlfn.IFNA(VLOOKUP($B793,'Node Details'!$B:$U,E$1,0),"Check"),"")</f>
        <v>Airtel</v>
      </c>
      <c r="F793" s="101">
        <v>46114</v>
      </c>
      <c r="G793" s="103"/>
      <c r="H793" s="102" t="s">
        <v>1256</v>
      </c>
      <c r="I793" s="9">
        <v>1</v>
      </c>
      <c r="J793" s="9">
        <v>48</v>
      </c>
      <c r="K793" s="100">
        <f t="shared" si="106"/>
        <v>48</v>
      </c>
      <c r="L793" s="78">
        <v>46112</v>
      </c>
      <c r="M793" s="103"/>
      <c r="N793" s="93" t="s">
        <v>373</v>
      </c>
      <c r="O793" s="94">
        <v>46146</v>
      </c>
      <c r="P793" s="104">
        <f t="shared" si="108"/>
        <v>48</v>
      </c>
      <c r="Q793" s="104">
        <f t="shared" si="109"/>
        <v>48</v>
      </c>
      <c r="R793" s="104"/>
      <c r="S793" s="93" t="s">
        <v>374</v>
      </c>
      <c r="T793" s="94">
        <v>46156</v>
      </c>
      <c r="U793" s="104">
        <f t="shared" si="110"/>
        <v>48</v>
      </c>
      <c r="V793" s="104">
        <f t="shared" si="111"/>
        <v>1</v>
      </c>
      <c r="W793" s="103">
        <f t="shared" si="112"/>
        <v>48</v>
      </c>
      <c r="X793" s="93" t="s">
        <v>89</v>
      </c>
      <c r="Y793" s="105" t="s">
        <v>84</v>
      </c>
      <c r="Z793" s="105" t="s">
        <v>93</v>
      </c>
    </row>
    <row r="794" spans="1:26" s="105" customFormat="1" ht="15" customHeight="1">
      <c r="A794" s="99">
        <f t="shared" si="107"/>
        <v>792</v>
      </c>
      <c r="B794" s="75" t="s">
        <v>389</v>
      </c>
      <c r="C794" s="100" t="str">
        <f>IF($B794&lt;&gt;"",_xlfn.IFNA(VLOOKUP($B794,'Node Details'!$B:$U,C$1,0),"Check"),"")</f>
        <v>0000AXW16-0000AXW20</v>
      </c>
      <c r="D794" s="100" t="str">
        <f>IF($B794&lt;&gt;"",_xlfn.IFNA(VLOOKUP($B794,'Node Details'!$B:$U,D$1,0),"Check"),"")</f>
        <v>AXW</v>
      </c>
      <c r="E794" s="100" t="str">
        <f>IF($B794&lt;&gt;"",_xlfn.IFNA(VLOOKUP($B794,'Node Details'!$B:$U,E$1,0),"Check"),"")</f>
        <v>Airtel</v>
      </c>
      <c r="F794" s="101">
        <v>46114</v>
      </c>
      <c r="G794" s="103"/>
      <c r="H794" s="102" t="s">
        <v>1256</v>
      </c>
      <c r="I794" s="9">
        <v>1</v>
      </c>
      <c r="J794" s="9">
        <v>48</v>
      </c>
      <c r="K794" s="100">
        <f t="shared" si="106"/>
        <v>48</v>
      </c>
      <c r="L794" s="78">
        <v>46112</v>
      </c>
      <c r="M794" s="103"/>
      <c r="N794" s="93" t="s">
        <v>373</v>
      </c>
      <c r="O794" s="94">
        <v>46146</v>
      </c>
      <c r="P794" s="104">
        <f t="shared" si="108"/>
        <v>48</v>
      </c>
      <c r="Q794" s="104">
        <f t="shared" si="109"/>
        <v>48</v>
      </c>
      <c r="R794" s="104"/>
      <c r="S794" s="93" t="s">
        <v>374</v>
      </c>
      <c r="T794" s="94">
        <v>46156</v>
      </c>
      <c r="U794" s="104">
        <f t="shared" si="110"/>
        <v>48</v>
      </c>
      <c r="V794" s="104">
        <f t="shared" si="111"/>
        <v>1</v>
      </c>
      <c r="W794" s="103">
        <f t="shared" si="112"/>
        <v>48</v>
      </c>
      <c r="X794" s="93" t="s">
        <v>89</v>
      </c>
      <c r="Y794" s="105" t="s">
        <v>84</v>
      </c>
      <c r="Z794" s="105" t="s">
        <v>93</v>
      </c>
    </row>
    <row r="795" spans="1:26" s="105" customFormat="1" ht="15" customHeight="1">
      <c r="A795" s="99">
        <f t="shared" si="107"/>
        <v>793</v>
      </c>
      <c r="B795" s="75" t="s">
        <v>546</v>
      </c>
      <c r="C795" s="100" t="str">
        <f>IF($B795&lt;&gt;"",_xlfn.IFNA(VLOOKUP($B795,'Node Details'!$B:$U,C$1,0),"Check"),"")</f>
        <v>0000AXW19-AXW190101</v>
      </c>
      <c r="D795" s="100" t="str">
        <f>IF($B795&lt;&gt;"",_xlfn.IFNA(VLOOKUP($B795,'Node Details'!$B:$U,D$1,0),"Check"),"")</f>
        <v>AXW</v>
      </c>
      <c r="E795" s="100" t="str">
        <f>IF($B795&lt;&gt;"",_xlfn.IFNA(VLOOKUP($B795,'Node Details'!$B:$U,E$1,0),"Check"),"")</f>
        <v>Airtel</v>
      </c>
      <c r="F795" s="101">
        <v>46114</v>
      </c>
      <c r="G795" s="103"/>
      <c r="H795" s="102" t="s">
        <v>1256</v>
      </c>
      <c r="I795" s="9">
        <v>1</v>
      </c>
      <c r="J795" s="9">
        <v>48</v>
      </c>
      <c r="K795" s="100">
        <f t="shared" si="106"/>
        <v>48</v>
      </c>
      <c r="L795" s="78">
        <v>46112</v>
      </c>
      <c r="M795" s="103"/>
      <c r="N795" s="93" t="s">
        <v>373</v>
      </c>
      <c r="O795" s="94">
        <v>46146</v>
      </c>
      <c r="P795" s="104">
        <f t="shared" si="108"/>
        <v>48</v>
      </c>
      <c r="Q795" s="104">
        <f t="shared" si="109"/>
        <v>48</v>
      </c>
      <c r="R795" s="104"/>
      <c r="S795" s="93" t="s">
        <v>374</v>
      </c>
      <c r="T795" s="94">
        <v>46156</v>
      </c>
      <c r="U795" s="104">
        <f t="shared" si="110"/>
        <v>48</v>
      </c>
      <c r="V795" s="104">
        <f t="shared" si="111"/>
        <v>1</v>
      </c>
      <c r="W795" s="103">
        <f t="shared" si="112"/>
        <v>48</v>
      </c>
      <c r="X795" s="93" t="s">
        <v>89</v>
      </c>
      <c r="Y795" s="105" t="s">
        <v>84</v>
      </c>
      <c r="Z795" s="105" t="s">
        <v>93</v>
      </c>
    </row>
    <row r="796" spans="1:26" s="105" customFormat="1" ht="15" customHeight="1">
      <c r="A796" s="99">
        <f t="shared" si="107"/>
        <v>794</v>
      </c>
      <c r="B796" s="75" t="s">
        <v>1112</v>
      </c>
      <c r="C796" s="100" t="str">
        <f>IF($B796&lt;&gt;"",_xlfn.IFNA(VLOOKUP($B796,'Node Details'!$B:$U,C$1,0),"Check"),"")</f>
        <v>0000AXW19-AXW190104</v>
      </c>
      <c r="D796" s="100" t="str">
        <f>IF($B796&lt;&gt;"",_xlfn.IFNA(VLOOKUP($B796,'Node Details'!$B:$U,D$1,0),"Check"),"")</f>
        <v>AXW</v>
      </c>
      <c r="E796" s="100" t="str">
        <f>IF($B796&lt;&gt;"",_xlfn.IFNA(VLOOKUP($B796,'Node Details'!$B:$U,E$1,0),"Check"),"")</f>
        <v>Airtel</v>
      </c>
      <c r="F796" s="101">
        <v>46114</v>
      </c>
      <c r="G796" s="103"/>
      <c r="H796" s="102" t="s">
        <v>1256</v>
      </c>
      <c r="I796" s="9">
        <v>1</v>
      </c>
      <c r="J796" s="9">
        <v>48</v>
      </c>
      <c r="K796" s="100">
        <f t="shared" si="106"/>
        <v>48</v>
      </c>
      <c r="L796" s="78">
        <v>46112</v>
      </c>
      <c r="M796" s="103"/>
      <c r="N796" s="93" t="s">
        <v>373</v>
      </c>
      <c r="O796" s="94">
        <v>46146</v>
      </c>
      <c r="P796" s="104">
        <f t="shared" si="108"/>
        <v>48</v>
      </c>
      <c r="Q796" s="104">
        <f t="shared" si="109"/>
        <v>48</v>
      </c>
      <c r="R796" s="104"/>
      <c r="S796" s="93" t="s">
        <v>374</v>
      </c>
      <c r="T796" s="94">
        <v>46156</v>
      </c>
      <c r="U796" s="104">
        <f t="shared" si="110"/>
        <v>48</v>
      </c>
      <c r="V796" s="104">
        <f t="shared" si="111"/>
        <v>1</v>
      </c>
      <c r="W796" s="103">
        <f t="shared" si="112"/>
        <v>48</v>
      </c>
      <c r="X796" s="93" t="s">
        <v>89</v>
      </c>
      <c r="Y796" s="105" t="s">
        <v>84</v>
      </c>
      <c r="Z796" s="105" t="s">
        <v>93</v>
      </c>
    </row>
    <row r="797" spans="1:26" s="105" customFormat="1" ht="15" customHeight="1">
      <c r="A797" s="99">
        <f t="shared" si="107"/>
        <v>795</v>
      </c>
      <c r="B797" s="75" t="s">
        <v>1113</v>
      </c>
      <c r="C797" s="100" t="str">
        <f>IF($B797&lt;&gt;"",_xlfn.IFNA(VLOOKUP($B797,'Node Details'!$B:$U,C$1,0),"Check"),"")</f>
        <v>0000AXW19-AXW190104</v>
      </c>
      <c r="D797" s="100" t="str">
        <f>IF($B797&lt;&gt;"",_xlfn.IFNA(VLOOKUP($B797,'Node Details'!$B:$U,D$1,0),"Check"),"")</f>
        <v>AXW</v>
      </c>
      <c r="E797" s="100" t="str">
        <f>IF($B797&lt;&gt;"",_xlfn.IFNA(VLOOKUP($B797,'Node Details'!$B:$U,E$1,0),"Check"),"")</f>
        <v>Airtel</v>
      </c>
      <c r="F797" s="101">
        <v>46114</v>
      </c>
      <c r="G797" s="103"/>
      <c r="H797" s="102" t="s">
        <v>1256</v>
      </c>
      <c r="I797" s="9">
        <v>1</v>
      </c>
      <c r="J797" s="9">
        <v>48</v>
      </c>
      <c r="K797" s="100">
        <f t="shared" si="106"/>
        <v>48</v>
      </c>
      <c r="L797" s="78">
        <v>46112</v>
      </c>
      <c r="M797" s="103"/>
      <c r="N797" s="93" t="s">
        <v>373</v>
      </c>
      <c r="O797" s="94">
        <v>46146</v>
      </c>
      <c r="P797" s="104">
        <f t="shared" si="108"/>
        <v>48</v>
      </c>
      <c r="Q797" s="104">
        <f t="shared" si="109"/>
        <v>48</v>
      </c>
      <c r="R797" s="104"/>
      <c r="S797" s="93" t="s">
        <v>374</v>
      </c>
      <c r="T797" s="94">
        <v>46156</v>
      </c>
      <c r="U797" s="104">
        <f t="shared" si="110"/>
        <v>48</v>
      </c>
      <c r="V797" s="104">
        <f t="shared" si="111"/>
        <v>1</v>
      </c>
      <c r="W797" s="103">
        <f t="shared" si="112"/>
        <v>48</v>
      </c>
      <c r="X797" s="93" t="s">
        <v>89</v>
      </c>
      <c r="Y797" s="105" t="s">
        <v>84</v>
      </c>
      <c r="Z797" s="105" t="s">
        <v>93</v>
      </c>
    </row>
    <row r="798" spans="1:26" s="105" customFormat="1" ht="15" customHeight="1">
      <c r="A798" s="99">
        <f t="shared" si="107"/>
        <v>796</v>
      </c>
      <c r="B798" s="75" t="s">
        <v>549</v>
      </c>
      <c r="C798" s="100" t="str">
        <f>IF($B798&lt;&gt;"",_xlfn.IFNA(VLOOKUP($B798,'Node Details'!$B:$U,C$1,0),"Check"),"")</f>
        <v>0000AXW19-AXW190104</v>
      </c>
      <c r="D798" s="100" t="str">
        <f>IF($B798&lt;&gt;"",_xlfn.IFNA(VLOOKUP($B798,'Node Details'!$B:$U,D$1,0),"Check"),"")</f>
        <v>AXW</v>
      </c>
      <c r="E798" s="100" t="str">
        <f>IF($B798&lt;&gt;"",_xlfn.IFNA(VLOOKUP($B798,'Node Details'!$B:$U,E$1,0),"Check"),"")</f>
        <v>Airtel</v>
      </c>
      <c r="F798" s="101">
        <v>46114</v>
      </c>
      <c r="G798" s="103"/>
      <c r="H798" s="102" t="s">
        <v>1256</v>
      </c>
      <c r="I798" s="9">
        <v>1</v>
      </c>
      <c r="J798" s="9">
        <v>48</v>
      </c>
      <c r="K798" s="100">
        <f t="shared" si="106"/>
        <v>48</v>
      </c>
      <c r="L798" s="78">
        <v>46112</v>
      </c>
      <c r="M798" s="103"/>
      <c r="N798" s="93" t="s">
        <v>373</v>
      </c>
      <c r="O798" s="94">
        <v>46146</v>
      </c>
      <c r="P798" s="104">
        <f t="shared" si="108"/>
        <v>48</v>
      </c>
      <c r="Q798" s="104">
        <f t="shared" si="109"/>
        <v>48</v>
      </c>
      <c r="R798" s="104"/>
      <c r="S798" s="93" t="s">
        <v>374</v>
      </c>
      <c r="T798" s="94">
        <v>46156</v>
      </c>
      <c r="U798" s="104">
        <f t="shared" si="110"/>
        <v>48</v>
      </c>
      <c r="V798" s="104">
        <f t="shared" si="111"/>
        <v>1</v>
      </c>
      <c r="W798" s="103">
        <f t="shared" si="112"/>
        <v>48</v>
      </c>
      <c r="X798" s="93" t="s">
        <v>89</v>
      </c>
      <c r="Y798" s="105" t="s">
        <v>84</v>
      </c>
      <c r="Z798" s="105" t="s">
        <v>93</v>
      </c>
    </row>
    <row r="799" spans="1:26" s="105" customFormat="1" ht="15" customHeight="1">
      <c r="A799" s="99">
        <f t="shared" si="107"/>
        <v>797</v>
      </c>
      <c r="B799" s="75" t="s">
        <v>1114</v>
      </c>
      <c r="C799" s="100" t="str">
        <f>IF($B799&lt;&gt;"",_xlfn.IFNA(VLOOKUP($B799,'Node Details'!$B:$U,C$1,0),"Check"),"")</f>
        <v>0000AXW19-AXW190108</v>
      </c>
      <c r="D799" s="100" t="str">
        <f>IF($B799&lt;&gt;"",_xlfn.IFNA(VLOOKUP($B799,'Node Details'!$B:$U,D$1,0),"Check"),"")</f>
        <v>AXW</v>
      </c>
      <c r="E799" s="100" t="str">
        <f>IF($B799&lt;&gt;"",_xlfn.IFNA(VLOOKUP($B799,'Node Details'!$B:$U,E$1,0),"Check"),"")</f>
        <v>Airtel</v>
      </c>
      <c r="F799" s="101">
        <v>46114</v>
      </c>
      <c r="G799" s="103"/>
      <c r="H799" s="102" t="s">
        <v>1256</v>
      </c>
      <c r="I799" s="9">
        <v>1</v>
      </c>
      <c r="J799" s="9">
        <v>48</v>
      </c>
      <c r="K799" s="100">
        <f t="shared" si="106"/>
        <v>48</v>
      </c>
      <c r="L799" s="78">
        <v>46112</v>
      </c>
      <c r="M799" s="103"/>
      <c r="N799" s="93" t="s">
        <v>373</v>
      </c>
      <c r="O799" s="94">
        <v>46146</v>
      </c>
      <c r="P799" s="104">
        <f t="shared" si="108"/>
        <v>48</v>
      </c>
      <c r="Q799" s="104">
        <f t="shared" si="109"/>
        <v>48</v>
      </c>
      <c r="R799" s="104"/>
      <c r="S799" s="93" t="s">
        <v>374</v>
      </c>
      <c r="T799" s="94">
        <v>46156</v>
      </c>
      <c r="U799" s="104">
        <f t="shared" si="110"/>
        <v>48</v>
      </c>
      <c r="V799" s="104">
        <f t="shared" si="111"/>
        <v>1</v>
      </c>
      <c r="W799" s="103">
        <f t="shared" si="112"/>
        <v>48</v>
      </c>
      <c r="X799" s="93" t="s">
        <v>89</v>
      </c>
      <c r="Y799" s="105" t="s">
        <v>84</v>
      </c>
      <c r="Z799" s="105" t="s">
        <v>93</v>
      </c>
    </row>
    <row r="800" spans="1:26" s="105" customFormat="1" ht="15" customHeight="1">
      <c r="A800" s="99">
        <f t="shared" si="107"/>
        <v>798</v>
      </c>
      <c r="B800" s="75" t="s">
        <v>1115</v>
      </c>
      <c r="C800" s="100" t="str">
        <f>IF($B800&lt;&gt;"",_xlfn.IFNA(VLOOKUP($B800,'Node Details'!$B:$U,C$1,0),"Check"),"")</f>
        <v>0000AXW19-AXW190108</v>
      </c>
      <c r="D800" s="100" t="str">
        <f>IF($B800&lt;&gt;"",_xlfn.IFNA(VLOOKUP($B800,'Node Details'!$B:$U,D$1,0),"Check"),"")</f>
        <v>AXW</v>
      </c>
      <c r="E800" s="100" t="str">
        <f>IF($B800&lt;&gt;"",_xlfn.IFNA(VLOOKUP($B800,'Node Details'!$B:$U,E$1,0),"Check"),"")</f>
        <v>Airtel</v>
      </c>
      <c r="F800" s="101">
        <v>46114</v>
      </c>
      <c r="G800" s="103"/>
      <c r="H800" s="102" t="s">
        <v>1256</v>
      </c>
      <c r="I800" s="9">
        <v>1</v>
      </c>
      <c r="J800" s="9">
        <v>48</v>
      </c>
      <c r="K800" s="100">
        <f t="shared" si="106"/>
        <v>48</v>
      </c>
      <c r="L800" s="78">
        <v>46112</v>
      </c>
      <c r="M800" s="103"/>
      <c r="N800" s="93" t="s">
        <v>373</v>
      </c>
      <c r="O800" s="94">
        <v>46146</v>
      </c>
      <c r="P800" s="104">
        <f t="shared" si="108"/>
        <v>48</v>
      </c>
      <c r="Q800" s="104">
        <f t="shared" si="109"/>
        <v>48</v>
      </c>
      <c r="R800" s="104"/>
      <c r="S800" s="93" t="s">
        <v>374</v>
      </c>
      <c r="T800" s="94">
        <v>46156</v>
      </c>
      <c r="U800" s="104">
        <f t="shared" si="110"/>
        <v>48</v>
      </c>
      <c r="V800" s="104">
        <f t="shared" si="111"/>
        <v>1</v>
      </c>
      <c r="W800" s="103">
        <f t="shared" si="112"/>
        <v>48</v>
      </c>
      <c r="X800" s="93" t="s">
        <v>89</v>
      </c>
      <c r="Y800" s="105" t="s">
        <v>84</v>
      </c>
      <c r="Z800" s="105" t="s">
        <v>93</v>
      </c>
    </row>
    <row r="801" spans="1:26" s="105" customFormat="1" ht="15" customHeight="1">
      <c r="A801" s="99">
        <f t="shared" si="107"/>
        <v>799</v>
      </c>
      <c r="B801" s="75" t="s">
        <v>1116</v>
      </c>
      <c r="C801" s="100" t="str">
        <f>IF($B801&lt;&gt;"",_xlfn.IFNA(VLOOKUP($B801,'Node Details'!$B:$U,C$1,0),"Check"),"")</f>
        <v>0000AXW19-AXW190108</v>
      </c>
      <c r="D801" s="100" t="str">
        <f>IF($B801&lt;&gt;"",_xlfn.IFNA(VLOOKUP($B801,'Node Details'!$B:$U,D$1,0),"Check"),"")</f>
        <v>AXW</v>
      </c>
      <c r="E801" s="100" t="str">
        <f>IF($B801&lt;&gt;"",_xlfn.IFNA(VLOOKUP($B801,'Node Details'!$B:$U,E$1,0),"Check"),"")</f>
        <v>Airtel</v>
      </c>
      <c r="F801" s="101">
        <v>46114</v>
      </c>
      <c r="G801" s="103"/>
      <c r="H801" s="102" t="s">
        <v>1256</v>
      </c>
      <c r="I801" s="9">
        <v>1</v>
      </c>
      <c r="J801" s="9">
        <v>48</v>
      </c>
      <c r="K801" s="100">
        <f t="shared" si="106"/>
        <v>48</v>
      </c>
      <c r="L801" s="78">
        <v>46112</v>
      </c>
      <c r="M801" s="103"/>
      <c r="N801" s="93" t="s">
        <v>373</v>
      </c>
      <c r="O801" s="94">
        <v>46146</v>
      </c>
      <c r="P801" s="104">
        <f t="shared" si="108"/>
        <v>48</v>
      </c>
      <c r="Q801" s="104">
        <f t="shared" si="109"/>
        <v>48</v>
      </c>
      <c r="R801" s="104"/>
      <c r="S801" s="93" t="s">
        <v>374</v>
      </c>
      <c r="T801" s="94">
        <v>46156</v>
      </c>
      <c r="U801" s="104">
        <f t="shared" si="110"/>
        <v>48</v>
      </c>
      <c r="V801" s="104">
        <f t="shared" si="111"/>
        <v>1</v>
      </c>
      <c r="W801" s="103">
        <f t="shared" si="112"/>
        <v>48</v>
      </c>
      <c r="X801" s="93" t="s">
        <v>89</v>
      </c>
      <c r="Y801" s="105" t="s">
        <v>84</v>
      </c>
      <c r="Z801" s="105" t="s">
        <v>93</v>
      </c>
    </row>
    <row r="802" spans="1:26" s="105" customFormat="1" ht="15" customHeight="1">
      <c r="A802" s="99">
        <f t="shared" si="107"/>
        <v>800</v>
      </c>
      <c r="B802" s="75" t="s">
        <v>552</v>
      </c>
      <c r="C802" s="100" t="str">
        <f>IF($B802&lt;&gt;"",_xlfn.IFNA(VLOOKUP($B802,'Node Details'!$B:$U,C$1,0),"Check"),"")</f>
        <v>0000AXW19-AXW190108</v>
      </c>
      <c r="D802" s="100" t="str">
        <f>IF($B802&lt;&gt;"",_xlfn.IFNA(VLOOKUP($B802,'Node Details'!$B:$U,D$1,0),"Check"),"")</f>
        <v>AXW</v>
      </c>
      <c r="E802" s="100" t="str">
        <f>IF($B802&lt;&gt;"",_xlfn.IFNA(VLOOKUP($B802,'Node Details'!$B:$U,E$1,0),"Check"),"")</f>
        <v>Airtel</v>
      </c>
      <c r="F802" s="101">
        <v>46114</v>
      </c>
      <c r="G802" s="103"/>
      <c r="H802" s="102" t="s">
        <v>1256</v>
      </c>
      <c r="I802" s="9">
        <v>1</v>
      </c>
      <c r="J802" s="9">
        <v>48</v>
      </c>
      <c r="K802" s="100">
        <f t="shared" si="106"/>
        <v>48</v>
      </c>
      <c r="L802" s="78">
        <v>46112</v>
      </c>
      <c r="M802" s="103"/>
      <c r="N802" s="93" t="s">
        <v>373</v>
      </c>
      <c r="O802" s="94">
        <v>46146</v>
      </c>
      <c r="P802" s="104">
        <f t="shared" si="108"/>
        <v>48</v>
      </c>
      <c r="Q802" s="104">
        <f t="shared" si="109"/>
        <v>48</v>
      </c>
      <c r="R802" s="104"/>
      <c r="S802" s="93" t="s">
        <v>374</v>
      </c>
      <c r="T802" s="94">
        <v>46156</v>
      </c>
      <c r="U802" s="104">
        <f t="shared" si="110"/>
        <v>48</v>
      </c>
      <c r="V802" s="104">
        <f t="shared" si="111"/>
        <v>1</v>
      </c>
      <c r="W802" s="103">
        <f t="shared" si="112"/>
        <v>48</v>
      </c>
      <c r="X802" s="93" t="s">
        <v>89</v>
      </c>
      <c r="Y802" s="105" t="s">
        <v>84</v>
      </c>
      <c r="Z802" s="105" t="s">
        <v>93</v>
      </c>
    </row>
    <row r="803" spans="1:26" s="105" customFormat="1" ht="15" customHeight="1">
      <c r="A803" s="99">
        <f t="shared" si="107"/>
        <v>801</v>
      </c>
      <c r="B803" s="75" t="s">
        <v>387</v>
      </c>
      <c r="C803" s="100" t="str">
        <f>IF($B803&lt;&gt;"",_xlfn.IFNA(VLOOKUP($B803,'Node Details'!$B:$U,C$1,0),"Check"),"")</f>
        <v>0000AXW16-0000AXW20</v>
      </c>
      <c r="D803" s="100" t="str">
        <f>IF($B803&lt;&gt;"",_xlfn.IFNA(VLOOKUP($B803,'Node Details'!$B:$U,D$1,0),"Check"),"")</f>
        <v>AXW</v>
      </c>
      <c r="E803" s="100" t="str">
        <f>IF($B803&lt;&gt;"",_xlfn.IFNA(VLOOKUP($B803,'Node Details'!$B:$U,E$1,0),"Check"),"")</f>
        <v>Airtel</v>
      </c>
      <c r="F803" s="101">
        <v>46114</v>
      </c>
      <c r="G803" s="103"/>
      <c r="H803" s="102" t="s">
        <v>1256</v>
      </c>
      <c r="I803" s="9">
        <v>1</v>
      </c>
      <c r="J803" s="9">
        <v>48</v>
      </c>
      <c r="K803" s="100">
        <f t="shared" si="106"/>
        <v>48</v>
      </c>
      <c r="L803" s="78">
        <v>46112</v>
      </c>
      <c r="M803" s="103"/>
      <c r="N803" s="93" t="s">
        <v>373</v>
      </c>
      <c r="O803" s="94">
        <v>46146</v>
      </c>
      <c r="P803" s="104">
        <f t="shared" si="108"/>
        <v>48</v>
      </c>
      <c r="Q803" s="104">
        <f t="shared" si="109"/>
        <v>48</v>
      </c>
      <c r="R803" s="104"/>
      <c r="S803" s="93" t="s">
        <v>374</v>
      </c>
      <c r="T803" s="94">
        <v>46156</v>
      </c>
      <c r="U803" s="104">
        <f t="shared" si="110"/>
        <v>48</v>
      </c>
      <c r="V803" s="104">
        <f t="shared" si="111"/>
        <v>1</v>
      </c>
      <c r="W803" s="103">
        <f t="shared" si="112"/>
        <v>48</v>
      </c>
      <c r="X803" s="93" t="s">
        <v>89</v>
      </c>
      <c r="Y803" s="105" t="s">
        <v>84</v>
      </c>
      <c r="Z803" s="105" t="s">
        <v>93</v>
      </c>
    </row>
    <row r="804" spans="1:26" s="105" customFormat="1" ht="15" customHeight="1">
      <c r="A804" s="99">
        <f t="shared" si="107"/>
        <v>802</v>
      </c>
      <c r="B804" s="75" t="s">
        <v>555</v>
      </c>
      <c r="C804" s="100" t="str">
        <f>IF($B804&lt;&gt;"",_xlfn.IFNA(VLOOKUP($B804,'Node Details'!$B:$U,C$1,0),"Check"),"")</f>
        <v>0000AXW20-AXW200101</v>
      </c>
      <c r="D804" s="100" t="str">
        <f>IF($B804&lt;&gt;"",_xlfn.IFNA(VLOOKUP($B804,'Node Details'!$B:$U,D$1,0),"Check"),"")</f>
        <v>AXW</v>
      </c>
      <c r="E804" s="100" t="str">
        <f>IF($B804&lt;&gt;"",_xlfn.IFNA(VLOOKUP($B804,'Node Details'!$B:$U,E$1,0),"Check"),"")</f>
        <v>Airtel</v>
      </c>
      <c r="F804" s="101">
        <v>46114</v>
      </c>
      <c r="G804" s="103"/>
      <c r="H804" s="102" t="s">
        <v>1256</v>
      </c>
      <c r="I804" s="9">
        <v>1</v>
      </c>
      <c r="J804" s="9">
        <v>48</v>
      </c>
      <c r="K804" s="100">
        <f t="shared" si="106"/>
        <v>48</v>
      </c>
      <c r="L804" s="78">
        <v>46112</v>
      </c>
      <c r="M804" s="103"/>
      <c r="N804" s="93" t="s">
        <v>373</v>
      </c>
      <c r="O804" s="94">
        <v>46146</v>
      </c>
      <c r="P804" s="104">
        <f t="shared" si="108"/>
        <v>48</v>
      </c>
      <c r="Q804" s="104">
        <f t="shared" si="109"/>
        <v>48</v>
      </c>
      <c r="R804" s="104"/>
      <c r="S804" s="93" t="s">
        <v>374</v>
      </c>
      <c r="T804" s="94">
        <v>46156</v>
      </c>
      <c r="U804" s="104">
        <f t="shared" si="110"/>
        <v>48</v>
      </c>
      <c r="V804" s="104">
        <f t="shared" si="111"/>
        <v>1</v>
      </c>
      <c r="W804" s="103">
        <f t="shared" si="112"/>
        <v>48</v>
      </c>
      <c r="X804" s="93" t="s">
        <v>89</v>
      </c>
      <c r="Y804" s="105" t="s">
        <v>84</v>
      </c>
      <c r="Z804" s="105" t="s">
        <v>93</v>
      </c>
    </row>
    <row r="805" spans="1:26" s="105" customFormat="1" ht="15" customHeight="1">
      <c r="A805" s="99">
        <f t="shared" si="107"/>
        <v>803</v>
      </c>
      <c r="B805" s="75" t="s">
        <v>1117</v>
      </c>
      <c r="C805" s="100" t="str">
        <f>IF($B805&lt;&gt;"",_xlfn.IFNA(VLOOKUP($B805,'Node Details'!$B:$U,C$1,0),"Check"),"")</f>
        <v>0000AXW20-AXW200107</v>
      </c>
      <c r="D805" s="100" t="str">
        <f>IF($B805&lt;&gt;"",_xlfn.IFNA(VLOOKUP($B805,'Node Details'!$B:$U,D$1,0),"Check"),"")</f>
        <v>AXW</v>
      </c>
      <c r="E805" s="100" t="str">
        <f>IF($B805&lt;&gt;"",_xlfn.IFNA(VLOOKUP($B805,'Node Details'!$B:$U,E$1,0),"Check"),"")</f>
        <v>Airtel</v>
      </c>
      <c r="F805" s="101">
        <v>46114</v>
      </c>
      <c r="G805" s="103"/>
      <c r="H805" s="102" t="s">
        <v>1256</v>
      </c>
      <c r="I805" s="9">
        <v>1</v>
      </c>
      <c r="J805" s="9">
        <v>48</v>
      </c>
      <c r="K805" s="100">
        <f t="shared" si="106"/>
        <v>48</v>
      </c>
      <c r="L805" s="78">
        <v>46112</v>
      </c>
      <c r="M805" s="103"/>
      <c r="N805" s="93" t="s">
        <v>373</v>
      </c>
      <c r="O805" s="94">
        <v>46146</v>
      </c>
      <c r="P805" s="104">
        <f t="shared" si="108"/>
        <v>48</v>
      </c>
      <c r="Q805" s="104">
        <f t="shared" si="109"/>
        <v>48</v>
      </c>
      <c r="R805" s="104"/>
      <c r="S805" s="93" t="s">
        <v>374</v>
      </c>
      <c r="T805" s="94">
        <v>46156</v>
      </c>
      <c r="U805" s="104">
        <f t="shared" si="110"/>
        <v>48</v>
      </c>
      <c r="V805" s="104">
        <f t="shared" si="111"/>
        <v>1</v>
      </c>
      <c r="W805" s="103">
        <f t="shared" si="112"/>
        <v>48</v>
      </c>
      <c r="X805" s="93" t="s">
        <v>89</v>
      </c>
      <c r="Y805" s="105" t="s">
        <v>84</v>
      </c>
      <c r="Z805" s="105" t="s">
        <v>93</v>
      </c>
    </row>
    <row r="806" spans="1:26" s="105" customFormat="1" ht="15" customHeight="1">
      <c r="A806" s="99">
        <f t="shared" si="107"/>
        <v>804</v>
      </c>
      <c r="B806" s="75" t="s">
        <v>1118</v>
      </c>
      <c r="C806" s="100" t="str">
        <f>IF($B806&lt;&gt;"",_xlfn.IFNA(VLOOKUP($B806,'Node Details'!$B:$U,C$1,0),"Check"),"")</f>
        <v>0000AXW20-AXW200107</v>
      </c>
      <c r="D806" s="100" t="str">
        <f>IF($B806&lt;&gt;"",_xlfn.IFNA(VLOOKUP($B806,'Node Details'!$B:$U,D$1,0),"Check"),"")</f>
        <v>AXW</v>
      </c>
      <c r="E806" s="100" t="str">
        <f>IF($B806&lt;&gt;"",_xlfn.IFNA(VLOOKUP($B806,'Node Details'!$B:$U,E$1,0),"Check"),"")</f>
        <v>Airtel</v>
      </c>
      <c r="F806" s="101">
        <v>46114</v>
      </c>
      <c r="G806" s="103"/>
      <c r="H806" s="102" t="s">
        <v>1256</v>
      </c>
      <c r="I806" s="9">
        <v>1</v>
      </c>
      <c r="J806" s="9">
        <v>48</v>
      </c>
      <c r="K806" s="100">
        <f t="shared" si="106"/>
        <v>48</v>
      </c>
      <c r="L806" s="78">
        <v>46112</v>
      </c>
      <c r="M806" s="103"/>
      <c r="N806" s="93" t="s">
        <v>373</v>
      </c>
      <c r="O806" s="94">
        <v>46146</v>
      </c>
      <c r="P806" s="104">
        <f t="shared" si="108"/>
        <v>48</v>
      </c>
      <c r="Q806" s="104">
        <f t="shared" si="109"/>
        <v>48</v>
      </c>
      <c r="R806" s="104"/>
      <c r="S806" s="93" t="s">
        <v>374</v>
      </c>
      <c r="T806" s="94">
        <v>46156</v>
      </c>
      <c r="U806" s="104">
        <f t="shared" si="110"/>
        <v>48</v>
      </c>
      <c r="V806" s="104">
        <f t="shared" si="111"/>
        <v>1</v>
      </c>
      <c r="W806" s="103">
        <f t="shared" si="112"/>
        <v>48</v>
      </c>
      <c r="X806" s="93" t="s">
        <v>89</v>
      </c>
      <c r="Y806" s="105" t="s">
        <v>84</v>
      </c>
      <c r="Z806" s="105" t="s">
        <v>93</v>
      </c>
    </row>
    <row r="807" spans="1:26" s="105" customFormat="1" ht="15" customHeight="1">
      <c r="A807" s="99">
        <f t="shared" si="107"/>
        <v>805</v>
      </c>
      <c r="B807" s="75" t="s">
        <v>561</v>
      </c>
      <c r="C807" s="100" t="str">
        <f>IF($B807&lt;&gt;"",_xlfn.IFNA(VLOOKUP($B807,'Node Details'!$B:$U,C$1,0),"Check"),"")</f>
        <v>0000AXW20-AXW200107</v>
      </c>
      <c r="D807" s="100" t="str">
        <f>IF($B807&lt;&gt;"",_xlfn.IFNA(VLOOKUP($B807,'Node Details'!$B:$U,D$1,0),"Check"),"")</f>
        <v>AXW</v>
      </c>
      <c r="E807" s="100" t="str">
        <f>IF($B807&lt;&gt;"",_xlfn.IFNA(VLOOKUP($B807,'Node Details'!$B:$U,E$1,0),"Check"),"")</f>
        <v>Airtel</v>
      </c>
      <c r="F807" s="101">
        <v>46114</v>
      </c>
      <c r="G807" s="103"/>
      <c r="H807" s="102" t="s">
        <v>1256</v>
      </c>
      <c r="I807" s="9">
        <v>1</v>
      </c>
      <c r="J807" s="9">
        <v>48</v>
      </c>
      <c r="K807" s="100">
        <f t="shared" si="106"/>
        <v>48</v>
      </c>
      <c r="L807" s="78">
        <v>46112</v>
      </c>
      <c r="M807" s="103"/>
      <c r="N807" s="93" t="s">
        <v>373</v>
      </c>
      <c r="O807" s="94">
        <v>46146</v>
      </c>
      <c r="P807" s="104">
        <f t="shared" si="108"/>
        <v>48</v>
      </c>
      <c r="Q807" s="104">
        <f t="shared" si="109"/>
        <v>48</v>
      </c>
      <c r="R807" s="104"/>
      <c r="S807" s="93" t="s">
        <v>374</v>
      </c>
      <c r="T807" s="94">
        <v>46156</v>
      </c>
      <c r="U807" s="104">
        <f t="shared" si="110"/>
        <v>48</v>
      </c>
      <c r="V807" s="104">
        <f t="shared" si="111"/>
        <v>1</v>
      </c>
      <c r="W807" s="103">
        <f t="shared" si="112"/>
        <v>48</v>
      </c>
      <c r="X807" s="93" t="s">
        <v>89</v>
      </c>
      <c r="Y807" s="105" t="s">
        <v>84</v>
      </c>
      <c r="Z807" s="105" t="s">
        <v>93</v>
      </c>
    </row>
    <row r="808" spans="1:26" s="105" customFormat="1" ht="15" customHeight="1">
      <c r="A808" s="99">
        <f t="shared" si="107"/>
        <v>806</v>
      </c>
      <c r="B808" s="75" t="s">
        <v>1119</v>
      </c>
      <c r="C808" s="100" t="str">
        <f>IF($B808&lt;&gt;"",_xlfn.IFNA(VLOOKUP($B808,'Node Details'!$B:$U,C$1,0),"Check"),"")</f>
        <v>AXW200104-AXW200106</v>
      </c>
      <c r="D808" s="100" t="str">
        <f>IF($B808&lt;&gt;"",_xlfn.IFNA(VLOOKUP($B808,'Node Details'!$B:$U,D$1,0),"Check"),"")</f>
        <v>AXW</v>
      </c>
      <c r="E808" s="100" t="str">
        <f>IF($B808&lt;&gt;"",_xlfn.IFNA(VLOOKUP($B808,'Node Details'!$B:$U,E$1,0),"Check"),"")</f>
        <v>Airtel</v>
      </c>
      <c r="F808" s="101">
        <v>46114</v>
      </c>
      <c r="G808" s="103"/>
      <c r="H808" s="102" t="s">
        <v>1256</v>
      </c>
      <c r="I808" s="9">
        <v>1</v>
      </c>
      <c r="J808" s="9">
        <v>48</v>
      </c>
      <c r="K808" s="100">
        <f t="shared" si="106"/>
        <v>48</v>
      </c>
      <c r="L808" s="78">
        <v>46112</v>
      </c>
      <c r="M808" s="103"/>
      <c r="N808" s="93" t="s">
        <v>373</v>
      </c>
      <c r="O808" s="94">
        <v>46146</v>
      </c>
      <c r="P808" s="104">
        <f t="shared" si="108"/>
        <v>48</v>
      </c>
      <c r="Q808" s="104">
        <f t="shared" si="109"/>
        <v>48</v>
      </c>
      <c r="R808" s="104"/>
      <c r="S808" s="93" t="s">
        <v>374</v>
      </c>
      <c r="T808" s="94">
        <v>46156</v>
      </c>
      <c r="U808" s="104">
        <f t="shared" si="110"/>
        <v>48</v>
      </c>
      <c r="V808" s="104">
        <f t="shared" si="111"/>
        <v>1</v>
      </c>
      <c r="W808" s="103">
        <f t="shared" si="112"/>
        <v>48</v>
      </c>
      <c r="X808" s="93" t="s">
        <v>89</v>
      </c>
      <c r="Y808" s="105" t="s">
        <v>84</v>
      </c>
      <c r="Z808" s="105" t="s">
        <v>93</v>
      </c>
    </row>
    <row r="809" spans="1:26" s="105" customFormat="1" ht="15" customHeight="1">
      <c r="A809" s="99">
        <f t="shared" si="107"/>
        <v>807</v>
      </c>
      <c r="B809" s="75" t="s">
        <v>562</v>
      </c>
      <c r="C809" s="100" t="str">
        <f>IF($B809&lt;&gt;"",_xlfn.IFNA(VLOOKUP($B809,'Node Details'!$B:$U,C$1,0),"Check"),"")</f>
        <v>AXW200104-AXW200106</v>
      </c>
      <c r="D809" s="100" t="str">
        <f>IF($B809&lt;&gt;"",_xlfn.IFNA(VLOOKUP($B809,'Node Details'!$B:$U,D$1,0),"Check"),"")</f>
        <v>AXW</v>
      </c>
      <c r="E809" s="100" t="str">
        <f>IF($B809&lt;&gt;"",_xlfn.IFNA(VLOOKUP($B809,'Node Details'!$B:$U,E$1,0),"Check"),"")</f>
        <v>Airtel</v>
      </c>
      <c r="F809" s="101">
        <v>46114</v>
      </c>
      <c r="G809" s="103"/>
      <c r="H809" s="102" t="s">
        <v>1256</v>
      </c>
      <c r="I809" s="9">
        <v>1</v>
      </c>
      <c r="J809" s="9">
        <v>48</v>
      </c>
      <c r="K809" s="100">
        <f t="shared" si="106"/>
        <v>48</v>
      </c>
      <c r="L809" s="78">
        <v>46112</v>
      </c>
      <c r="M809" s="103"/>
      <c r="N809" s="93" t="s">
        <v>373</v>
      </c>
      <c r="O809" s="94">
        <v>46146</v>
      </c>
      <c r="P809" s="104">
        <f t="shared" si="108"/>
        <v>48</v>
      </c>
      <c r="Q809" s="104">
        <f t="shared" si="109"/>
        <v>48</v>
      </c>
      <c r="R809" s="104"/>
      <c r="S809" s="93" t="s">
        <v>374</v>
      </c>
      <c r="T809" s="94">
        <v>46156</v>
      </c>
      <c r="U809" s="104">
        <f t="shared" si="110"/>
        <v>48</v>
      </c>
      <c r="V809" s="104">
        <f t="shared" si="111"/>
        <v>1</v>
      </c>
      <c r="W809" s="103">
        <f t="shared" si="112"/>
        <v>48</v>
      </c>
      <c r="X809" s="93" t="s">
        <v>89</v>
      </c>
      <c r="Y809" s="105" t="s">
        <v>84</v>
      </c>
      <c r="Z809" s="105" t="s">
        <v>93</v>
      </c>
    </row>
    <row r="810" spans="1:26" s="105" customFormat="1" ht="15" customHeight="1">
      <c r="A810" s="99">
        <f t="shared" si="107"/>
        <v>808</v>
      </c>
      <c r="B810" s="75" t="s">
        <v>558</v>
      </c>
      <c r="C810" s="100" t="str">
        <f>IF($B810&lt;&gt;"",_xlfn.IFNA(VLOOKUP($B810,'Node Details'!$B:$U,C$1,0),"Check"),"")</f>
        <v>0000AXW20-AXW200107</v>
      </c>
      <c r="D810" s="100" t="str">
        <f>IF($B810&lt;&gt;"",_xlfn.IFNA(VLOOKUP($B810,'Node Details'!$B:$U,D$1,0),"Check"),"")</f>
        <v>AXW</v>
      </c>
      <c r="E810" s="100" t="str">
        <f>IF($B810&lt;&gt;"",_xlfn.IFNA(VLOOKUP($B810,'Node Details'!$B:$U,E$1,0),"Check"),"")</f>
        <v>Airtel</v>
      </c>
      <c r="F810" s="101">
        <v>46114</v>
      </c>
      <c r="G810" s="103"/>
      <c r="H810" s="102" t="s">
        <v>1256</v>
      </c>
      <c r="I810" s="9">
        <v>1</v>
      </c>
      <c r="J810" s="9">
        <v>48</v>
      </c>
      <c r="K810" s="100">
        <f t="shared" si="106"/>
        <v>48</v>
      </c>
      <c r="L810" s="78">
        <v>46112</v>
      </c>
      <c r="M810" s="103"/>
      <c r="N810" s="93" t="s">
        <v>373</v>
      </c>
      <c r="O810" s="94">
        <v>46146</v>
      </c>
      <c r="P810" s="104">
        <f t="shared" si="108"/>
        <v>48</v>
      </c>
      <c r="Q810" s="104">
        <f t="shared" si="109"/>
        <v>48</v>
      </c>
      <c r="R810" s="104"/>
      <c r="S810" s="93" t="s">
        <v>374</v>
      </c>
      <c r="T810" s="94">
        <v>46156</v>
      </c>
      <c r="U810" s="104">
        <f t="shared" si="110"/>
        <v>48</v>
      </c>
      <c r="V810" s="104">
        <f t="shared" si="111"/>
        <v>1</v>
      </c>
      <c r="W810" s="103">
        <f t="shared" si="112"/>
        <v>48</v>
      </c>
      <c r="X810" s="93" t="s">
        <v>89</v>
      </c>
      <c r="Y810" s="105" t="s">
        <v>84</v>
      </c>
      <c r="Z810" s="105" t="s">
        <v>93</v>
      </c>
    </row>
    <row r="811" spans="1:26" s="105" customFormat="1" ht="15" customHeight="1">
      <c r="A811" s="99">
        <f t="shared" si="107"/>
        <v>809</v>
      </c>
      <c r="B811" s="75" t="s">
        <v>1120</v>
      </c>
      <c r="C811" s="100" t="str">
        <f>IF($B811&lt;&gt;"",_xlfn.IFNA(VLOOKUP($B811,'Node Details'!$B:$U,C$1,0),"Check"),"")</f>
        <v>AXW200107-AXW200201</v>
      </c>
      <c r="D811" s="100" t="str">
        <f>IF($B811&lt;&gt;"",_xlfn.IFNA(VLOOKUP($B811,'Node Details'!$B:$U,D$1,0),"Check"),"")</f>
        <v>AXW</v>
      </c>
      <c r="E811" s="100" t="str">
        <f>IF($B811&lt;&gt;"",_xlfn.IFNA(VLOOKUP($B811,'Node Details'!$B:$U,E$1,0),"Check"),"")</f>
        <v>Airtel</v>
      </c>
      <c r="F811" s="101">
        <v>46114</v>
      </c>
      <c r="G811" s="103"/>
      <c r="H811" s="102" t="s">
        <v>1256</v>
      </c>
      <c r="I811" s="9">
        <v>1</v>
      </c>
      <c r="J811" s="9">
        <v>48</v>
      </c>
      <c r="K811" s="100">
        <f t="shared" si="106"/>
        <v>48</v>
      </c>
      <c r="L811" s="78">
        <v>46112</v>
      </c>
      <c r="M811" s="103"/>
      <c r="N811" s="93" t="s">
        <v>373</v>
      </c>
      <c r="O811" s="94">
        <v>46146</v>
      </c>
      <c r="P811" s="104">
        <f t="shared" si="108"/>
        <v>48</v>
      </c>
      <c r="Q811" s="104">
        <f t="shared" si="109"/>
        <v>48</v>
      </c>
      <c r="R811" s="104"/>
      <c r="S811" s="93" t="s">
        <v>374</v>
      </c>
      <c r="T811" s="94">
        <v>46156</v>
      </c>
      <c r="U811" s="104">
        <f t="shared" si="110"/>
        <v>48</v>
      </c>
      <c r="V811" s="104">
        <f t="shared" si="111"/>
        <v>1</v>
      </c>
      <c r="W811" s="103">
        <f t="shared" si="112"/>
        <v>48</v>
      </c>
      <c r="X811" s="93" t="s">
        <v>89</v>
      </c>
      <c r="Y811" s="105" t="s">
        <v>84</v>
      </c>
      <c r="Z811" s="105" t="s">
        <v>93</v>
      </c>
    </row>
    <row r="812" spans="1:26" s="105" customFormat="1" ht="15" customHeight="1">
      <c r="A812" s="99">
        <f t="shared" si="107"/>
        <v>810</v>
      </c>
      <c r="B812" s="75" t="s">
        <v>565</v>
      </c>
      <c r="C812" s="100" t="str">
        <f>IF($B812&lt;&gt;"",_xlfn.IFNA(VLOOKUP($B812,'Node Details'!$B:$U,C$1,0),"Check"),"")</f>
        <v>AXW200107-AXW200201</v>
      </c>
      <c r="D812" s="100" t="str">
        <f>IF($B812&lt;&gt;"",_xlfn.IFNA(VLOOKUP($B812,'Node Details'!$B:$U,D$1,0),"Check"),"")</f>
        <v>AXW</v>
      </c>
      <c r="E812" s="100" t="str">
        <f>IF($B812&lt;&gt;"",_xlfn.IFNA(VLOOKUP($B812,'Node Details'!$B:$U,E$1,0),"Check"),"")</f>
        <v>Airtel</v>
      </c>
      <c r="F812" s="101">
        <v>46114</v>
      </c>
      <c r="G812" s="103"/>
      <c r="H812" s="102" t="s">
        <v>1256</v>
      </c>
      <c r="I812" s="9">
        <v>1</v>
      </c>
      <c r="J812" s="9">
        <v>48</v>
      </c>
      <c r="K812" s="100">
        <f t="shared" si="106"/>
        <v>48</v>
      </c>
      <c r="L812" s="78">
        <v>46112</v>
      </c>
      <c r="M812" s="103"/>
      <c r="N812" s="93" t="s">
        <v>373</v>
      </c>
      <c r="O812" s="94">
        <v>46146</v>
      </c>
      <c r="P812" s="104">
        <f t="shared" si="108"/>
        <v>48</v>
      </c>
      <c r="Q812" s="104">
        <f t="shared" si="109"/>
        <v>48</v>
      </c>
      <c r="R812" s="104"/>
      <c r="S812" s="93" t="s">
        <v>374</v>
      </c>
      <c r="T812" s="94">
        <v>46156</v>
      </c>
      <c r="U812" s="104">
        <f t="shared" si="110"/>
        <v>48</v>
      </c>
      <c r="V812" s="104">
        <f t="shared" si="111"/>
        <v>1</v>
      </c>
      <c r="W812" s="103">
        <f t="shared" si="112"/>
        <v>48</v>
      </c>
      <c r="X812" s="93" t="s">
        <v>89</v>
      </c>
      <c r="Y812" s="105" t="s">
        <v>84</v>
      </c>
      <c r="Z812" s="105" t="s">
        <v>93</v>
      </c>
    </row>
    <row r="813" spans="1:26" s="105" customFormat="1" ht="15" customHeight="1">
      <c r="A813" s="99">
        <f t="shared" si="107"/>
        <v>811</v>
      </c>
      <c r="B813" s="75" t="s">
        <v>1121</v>
      </c>
      <c r="C813" s="100" t="str">
        <f>IF($B813&lt;&gt;"",_xlfn.IFNA(VLOOKUP($B813,'Node Details'!$B:$U,C$1,0),"Check"),"")</f>
        <v>AXW200107-AXW200203</v>
      </c>
      <c r="D813" s="100" t="str">
        <f>IF($B813&lt;&gt;"",_xlfn.IFNA(VLOOKUP($B813,'Node Details'!$B:$U,D$1,0),"Check"),"")</f>
        <v>AXW</v>
      </c>
      <c r="E813" s="100" t="str">
        <f>IF($B813&lt;&gt;"",_xlfn.IFNA(VLOOKUP($B813,'Node Details'!$B:$U,E$1,0),"Check"),"")</f>
        <v>Airtel</v>
      </c>
      <c r="F813" s="101">
        <v>46114</v>
      </c>
      <c r="G813" s="103"/>
      <c r="H813" s="102" t="s">
        <v>1256</v>
      </c>
      <c r="I813" s="9">
        <v>1</v>
      </c>
      <c r="J813" s="9">
        <v>48</v>
      </c>
      <c r="K813" s="100">
        <f t="shared" si="106"/>
        <v>48</v>
      </c>
      <c r="L813" s="78">
        <v>46112</v>
      </c>
      <c r="M813" s="103"/>
      <c r="N813" s="93" t="s">
        <v>373</v>
      </c>
      <c r="O813" s="94">
        <v>46146</v>
      </c>
      <c r="P813" s="104">
        <f t="shared" si="108"/>
        <v>48</v>
      </c>
      <c r="Q813" s="104">
        <f t="shared" si="109"/>
        <v>48</v>
      </c>
      <c r="R813" s="104"/>
      <c r="S813" s="93" t="s">
        <v>374</v>
      </c>
      <c r="T813" s="94">
        <v>46156</v>
      </c>
      <c r="U813" s="104">
        <f t="shared" si="110"/>
        <v>48</v>
      </c>
      <c r="V813" s="104">
        <f t="shared" si="111"/>
        <v>1</v>
      </c>
      <c r="W813" s="103">
        <f t="shared" si="112"/>
        <v>48</v>
      </c>
      <c r="X813" s="93" t="s">
        <v>89</v>
      </c>
      <c r="Y813" s="105" t="s">
        <v>84</v>
      </c>
      <c r="Z813" s="105" t="s">
        <v>93</v>
      </c>
    </row>
    <row r="814" spans="1:26" s="105" customFormat="1" ht="15" customHeight="1">
      <c r="A814" s="99">
        <f t="shared" si="107"/>
        <v>812</v>
      </c>
      <c r="B814" s="75" t="s">
        <v>568</v>
      </c>
      <c r="C814" s="100" t="str">
        <f>IF($B814&lt;&gt;"",_xlfn.IFNA(VLOOKUP($B814,'Node Details'!$B:$U,C$1,0),"Check"),"")</f>
        <v>AXW200107-AXW200203</v>
      </c>
      <c r="D814" s="100" t="str">
        <f>IF($B814&lt;&gt;"",_xlfn.IFNA(VLOOKUP($B814,'Node Details'!$B:$U,D$1,0),"Check"),"")</f>
        <v>AXW</v>
      </c>
      <c r="E814" s="100" t="str">
        <f>IF($B814&lt;&gt;"",_xlfn.IFNA(VLOOKUP($B814,'Node Details'!$B:$U,E$1,0),"Check"),"")</f>
        <v>Airtel</v>
      </c>
      <c r="F814" s="101">
        <v>46114</v>
      </c>
      <c r="G814" s="103"/>
      <c r="H814" s="102" t="s">
        <v>1256</v>
      </c>
      <c r="I814" s="9">
        <v>1</v>
      </c>
      <c r="J814" s="9">
        <v>48</v>
      </c>
      <c r="K814" s="100">
        <f t="shared" si="106"/>
        <v>48</v>
      </c>
      <c r="L814" s="78">
        <v>46112</v>
      </c>
      <c r="M814" s="103"/>
      <c r="N814" s="93" t="s">
        <v>373</v>
      </c>
      <c r="O814" s="94">
        <v>46146</v>
      </c>
      <c r="P814" s="104">
        <f t="shared" si="108"/>
        <v>48</v>
      </c>
      <c r="Q814" s="104">
        <f t="shared" si="109"/>
        <v>48</v>
      </c>
      <c r="R814" s="104"/>
      <c r="S814" s="93" t="s">
        <v>374</v>
      </c>
      <c r="T814" s="94">
        <v>46156</v>
      </c>
      <c r="U814" s="104">
        <f t="shared" si="110"/>
        <v>48</v>
      </c>
      <c r="V814" s="104">
        <f t="shared" si="111"/>
        <v>1</v>
      </c>
      <c r="W814" s="103">
        <f t="shared" si="112"/>
        <v>48</v>
      </c>
      <c r="X814" s="93" t="s">
        <v>89</v>
      </c>
      <c r="Y814" s="105" t="s">
        <v>84</v>
      </c>
      <c r="Z814" s="105" t="s">
        <v>93</v>
      </c>
    </row>
    <row r="815" spans="1:26" s="105" customFormat="1" ht="15" customHeight="1">
      <c r="A815" s="99">
        <f t="shared" si="107"/>
        <v>813</v>
      </c>
      <c r="B815" s="75" t="s">
        <v>571</v>
      </c>
      <c r="C815" s="100" t="str">
        <f>IF($B815&lt;&gt;"",_xlfn.IFNA(VLOOKUP($B815,'Node Details'!$B:$U,C$1,0),"Check"),"")</f>
        <v>0000AXW20-AXW200204</v>
      </c>
      <c r="D815" s="100" t="str">
        <f>IF($B815&lt;&gt;"",_xlfn.IFNA(VLOOKUP($B815,'Node Details'!$B:$U,D$1,0),"Check"),"")</f>
        <v>AXW</v>
      </c>
      <c r="E815" s="100" t="str">
        <f>IF($B815&lt;&gt;"",_xlfn.IFNA(VLOOKUP($B815,'Node Details'!$B:$U,E$1,0),"Check"),"")</f>
        <v>Airtel</v>
      </c>
      <c r="F815" s="101">
        <v>46114</v>
      </c>
      <c r="G815" s="103"/>
      <c r="H815" s="102" t="s">
        <v>1256</v>
      </c>
      <c r="I815" s="9">
        <v>1</v>
      </c>
      <c r="J815" s="9">
        <v>48</v>
      </c>
      <c r="K815" s="100">
        <f t="shared" si="106"/>
        <v>48</v>
      </c>
      <c r="L815" s="78">
        <v>46112</v>
      </c>
      <c r="M815" s="103"/>
      <c r="N815" s="93" t="s">
        <v>373</v>
      </c>
      <c r="O815" s="94">
        <v>46146</v>
      </c>
      <c r="P815" s="104">
        <f t="shared" si="108"/>
        <v>48</v>
      </c>
      <c r="Q815" s="104">
        <f t="shared" si="109"/>
        <v>48</v>
      </c>
      <c r="R815" s="104"/>
      <c r="S815" s="93" t="s">
        <v>374</v>
      </c>
      <c r="T815" s="94">
        <v>46156</v>
      </c>
      <c r="U815" s="104">
        <f t="shared" si="110"/>
        <v>48</v>
      </c>
      <c r="V815" s="104">
        <f t="shared" si="111"/>
        <v>1</v>
      </c>
      <c r="W815" s="103">
        <f t="shared" si="112"/>
        <v>48</v>
      </c>
      <c r="X815" s="93" t="s">
        <v>89</v>
      </c>
      <c r="Y815" s="105" t="s">
        <v>84</v>
      </c>
      <c r="Z815" s="105" t="s">
        <v>93</v>
      </c>
    </row>
    <row r="816" spans="1:26" s="105" customFormat="1" ht="15" customHeight="1">
      <c r="A816" s="99">
        <f t="shared" si="107"/>
        <v>814</v>
      </c>
      <c r="B816" s="75" t="s">
        <v>574</v>
      </c>
      <c r="C816" s="100" t="str">
        <f>IF($B816&lt;&gt;"",_xlfn.IFNA(VLOOKUP($B816,'Node Details'!$B:$U,C$1,0),"Check"),"")</f>
        <v>0000AXW19-0000AXW22</v>
      </c>
      <c r="D816" s="100" t="str">
        <f>IF($B816&lt;&gt;"",_xlfn.IFNA(VLOOKUP($B816,'Node Details'!$B:$U,D$1,0),"Check"),"")</f>
        <v>AXW</v>
      </c>
      <c r="E816" s="100" t="str">
        <f>IF($B816&lt;&gt;"",_xlfn.IFNA(VLOOKUP($B816,'Node Details'!$B:$U,E$1,0),"Check"),"")</f>
        <v>Airtel</v>
      </c>
      <c r="F816" s="101">
        <v>46114</v>
      </c>
      <c r="G816" s="103"/>
      <c r="H816" s="102" t="s">
        <v>1256</v>
      </c>
      <c r="I816" s="9">
        <v>1</v>
      </c>
      <c r="J816" s="9">
        <v>48</v>
      </c>
      <c r="K816" s="100">
        <f t="shared" si="106"/>
        <v>48</v>
      </c>
      <c r="L816" s="78">
        <v>46112</v>
      </c>
      <c r="M816" s="103"/>
      <c r="N816" s="93" t="s">
        <v>373</v>
      </c>
      <c r="O816" s="94">
        <v>46146</v>
      </c>
      <c r="P816" s="104">
        <f t="shared" si="108"/>
        <v>48</v>
      </c>
      <c r="Q816" s="104">
        <f t="shared" si="109"/>
        <v>48</v>
      </c>
      <c r="R816" s="104"/>
      <c r="S816" s="93" t="s">
        <v>374</v>
      </c>
      <c r="T816" s="94">
        <v>46156</v>
      </c>
      <c r="U816" s="104">
        <f t="shared" si="110"/>
        <v>48</v>
      </c>
      <c r="V816" s="104">
        <f t="shared" si="111"/>
        <v>1</v>
      </c>
      <c r="W816" s="103">
        <f t="shared" si="112"/>
        <v>48</v>
      </c>
      <c r="X816" s="93" t="s">
        <v>89</v>
      </c>
      <c r="Y816" s="105" t="s">
        <v>84</v>
      </c>
      <c r="Z816" s="105" t="s">
        <v>93</v>
      </c>
    </row>
    <row r="817" spans="1:26" s="105" customFormat="1" ht="15" customHeight="1">
      <c r="A817" s="99">
        <f t="shared" si="107"/>
        <v>815</v>
      </c>
      <c r="B817" s="75" t="s">
        <v>575</v>
      </c>
      <c r="C817" s="100" t="str">
        <f>IF($B817&lt;&gt;"",_xlfn.IFNA(VLOOKUP($B817,'Node Details'!$B:$U,C$1,0),"Check"),"")</f>
        <v>0000AXW21-AXW210101</v>
      </c>
      <c r="D817" s="100" t="str">
        <f>IF($B817&lt;&gt;"",_xlfn.IFNA(VLOOKUP($B817,'Node Details'!$B:$U,D$1,0),"Check"),"")</f>
        <v>AXW</v>
      </c>
      <c r="E817" s="100" t="str">
        <f>IF($B817&lt;&gt;"",_xlfn.IFNA(VLOOKUP($B817,'Node Details'!$B:$U,E$1,0),"Check"),"")</f>
        <v>Airtel</v>
      </c>
      <c r="F817" s="101">
        <v>46114</v>
      </c>
      <c r="G817" s="103"/>
      <c r="H817" s="102" t="s">
        <v>1256</v>
      </c>
      <c r="I817" s="9">
        <v>1</v>
      </c>
      <c r="J817" s="9">
        <v>48</v>
      </c>
      <c r="K817" s="100">
        <f t="shared" si="106"/>
        <v>48</v>
      </c>
      <c r="L817" s="78">
        <v>46112</v>
      </c>
      <c r="M817" s="103"/>
      <c r="N817" s="93" t="s">
        <v>373</v>
      </c>
      <c r="O817" s="94">
        <v>46146</v>
      </c>
      <c r="P817" s="104">
        <f t="shared" si="108"/>
        <v>48</v>
      </c>
      <c r="Q817" s="104">
        <f t="shared" si="109"/>
        <v>48</v>
      </c>
      <c r="R817" s="104"/>
      <c r="S817" s="93" t="s">
        <v>374</v>
      </c>
      <c r="T817" s="94">
        <v>46156</v>
      </c>
      <c r="U817" s="104">
        <f t="shared" si="110"/>
        <v>48</v>
      </c>
      <c r="V817" s="104">
        <f t="shared" si="111"/>
        <v>1</v>
      </c>
      <c r="W817" s="103">
        <f t="shared" si="112"/>
        <v>48</v>
      </c>
      <c r="X817" s="93" t="s">
        <v>89</v>
      </c>
      <c r="Y817" s="105" t="s">
        <v>84</v>
      </c>
      <c r="Z817" s="105" t="s">
        <v>93</v>
      </c>
    </row>
    <row r="818" spans="1:26" s="105" customFormat="1" ht="15" customHeight="1">
      <c r="A818" s="99">
        <f t="shared" si="107"/>
        <v>816</v>
      </c>
      <c r="B818" s="75" t="s">
        <v>578</v>
      </c>
      <c r="C818" s="100" t="str">
        <f>IF($B818&lt;&gt;"",_xlfn.IFNA(VLOOKUP($B818,'Node Details'!$B:$U,C$1,0),"Check"),"")</f>
        <v>0000AXW21-AXW210102</v>
      </c>
      <c r="D818" s="100" t="str">
        <f>IF($B818&lt;&gt;"",_xlfn.IFNA(VLOOKUP($B818,'Node Details'!$B:$U,D$1,0),"Check"),"")</f>
        <v>AXW</v>
      </c>
      <c r="E818" s="100" t="str">
        <f>IF($B818&lt;&gt;"",_xlfn.IFNA(VLOOKUP($B818,'Node Details'!$B:$U,E$1,0),"Check"),"")</f>
        <v>Airtel</v>
      </c>
      <c r="F818" s="101">
        <v>46114</v>
      </c>
      <c r="G818" s="103"/>
      <c r="H818" s="102" t="s">
        <v>1256</v>
      </c>
      <c r="I818" s="9">
        <v>1</v>
      </c>
      <c r="J818" s="9">
        <v>48</v>
      </c>
      <c r="K818" s="100">
        <f t="shared" si="106"/>
        <v>48</v>
      </c>
      <c r="L818" s="78">
        <v>46112</v>
      </c>
      <c r="M818" s="103"/>
      <c r="N818" s="93" t="s">
        <v>373</v>
      </c>
      <c r="O818" s="94">
        <v>46146</v>
      </c>
      <c r="P818" s="104">
        <f t="shared" si="108"/>
        <v>48</v>
      </c>
      <c r="Q818" s="104">
        <f t="shared" si="109"/>
        <v>48</v>
      </c>
      <c r="R818" s="104"/>
      <c r="S818" s="93" t="s">
        <v>374</v>
      </c>
      <c r="T818" s="94">
        <v>46156</v>
      </c>
      <c r="U818" s="104">
        <f t="shared" si="110"/>
        <v>48</v>
      </c>
      <c r="V818" s="104">
        <f t="shared" si="111"/>
        <v>1</v>
      </c>
      <c r="W818" s="103">
        <f t="shared" si="112"/>
        <v>48</v>
      </c>
      <c r="X818" s="93" t="s">
        <v>89</v>
      </c>
      <c r="Y818" s="105" t="s">
        <v>84</v>
      </c>
      <c r="Z818" s="105" t="s">
        <v>93</v>
      </c>
    </row>
    <row r="819" spans="1:26" s="105" customFormat="1" ht="15" customHeight="1">
      <c r="A819" s="99">
        <f t="shared" si="107"/>
        <v>817</v>
      </c>
      <c r="B819" s="75" t="s">
        <v>587</v>
      </c>
      <c r="C819" s="100" t="str">
        <f>IF($B819&lt;&gt;"",_xlfn.IFNA(VLOOKUP($B819,'Node Details'!$B:$U,C$1,0),"Check"),"")</f>
        <v>0000AXW21-AXW210105</v>
      </c>
      <c r="D819" s="100" t="str">
        <f>IF($B819&lt;&gt;"",_xlfn.IFNA(VLOOKUP($B819,'Node Details'!$B:$U,D$1,0),"Check"),"")</f>
        <v>AXW</v>
      </c>
      <c r="E819" s="100" t="str">
        <f>IF($B819&lt;&gt;"",_xlfn.IFNA(VLOOKUP($B819,'Node Details'!$B:$U,E$1,0),"Check"),"")</f>
        <v>Airtel</v>
      </c>
      <c r="F819" s="101">
        <v>46114</v>
      </c>
      <c r="G819" s="103"/>
      <c r="H819" s="102" t="s">
        <v>1256</v>
      </c>
      <c r="I819" s="9">
        <v>1</v>
      </c>
      <c r="J819" s="9">
        <v>48</v>
      </c>
      <c r="K819" s="100">
        <f t="shared" si="106"/>
        <v>48</v>
      </c>
      <c r="L819" s="78">
        <v>46112</v>
      </c>
      <c r="M819" s="103"/>
      <c r="N819" s="93" t="s">
        <v>373</v>
      </c>
      <c r="O819" s="94">
        <v>46146</v>
      </c>
      <c r="P819" s="104">
        <f t="shared" si="108"/>
        <v>48</v>
      </c>
      <c r="Q819" s="104">
        <f t="shared" si="109"/>
        <v>48</v>
      </c>
      <c r="R819" s="104"/>
      <c r="S819" s="93" t="s">
        <v>374</v>
      </c>
      <c r="T819" s="94">
        <v>46156</v>
      </c>
      <c r="U819" s="104">
        <f t="shared" si="110"/>
        <v>48</v>
      </c>
      <c r="V819" s="104">
        <f t="shared" si="111"/>
        <v>1</v>
      </c>
      <c r="W819" s="103">
        <f t="shared" si="112"/>
        <v>48</v>
      </c>
      <c r="X819" s="93" t="s">
        <v>89</v>
      </c>
      <c r="Y819" s="105" t="s">
        <v>84</v>
      </c>
      <c r="Z819" s="105" t="s">
        <v>93</v>
      </c>
    </row>
    <row r="820" spans="1:26" s="105" customFormat="1" ht="15" customHeight="1">
      <c r="A820" s="99">
        <f t="shared" si="107"/>
        <v>818</v>
      </c>
      <c r="B820" s="75" t="s">
        <v>1122</v>
      </c>
      <c r="C820" s="100" t="str">
        <f>IF($B820&lt;&gt;"",_xlfn.IFNA(VLOOKUP($B820,'Node Details'!$B:$U,C$1,0),"Check"),"")</f>
        <v>0000AXW21-AXW210105</v>
      </c>
      <c r="D820" s="100" t="str">
        <f>IF($B820&lt;&gt;"",_xlfn.IFNA(VLOOKUP($B820,'Node Details'!$B:$U,D$1,0),"Check"),"")</f>
        <v>AXW</v>
      </c>
      <c r="E820" s="100" t="str">
        <f>IF($B820&lt;&gt;"",_xlfn.IFNA(VLOOKUP($B820,'Node Details'!$B:$U,E$1,0),"Check"),"")</f>
        <v>Airtel</v>
      </c>
      <c r="F820" s="101">
        <v>46114</v>
      </c>
      <c r="G820" s="103"/>
      <c r="H820" s="102" t="s">
        <v>1256</v>
      </c>
      <c r="I820" s="9">
        <v>1</v>
      </c>
      <c r="J820" s="9">
        <v>48</v>
      </c>
      <c r="K820" s="100">
        <f t="shared" si="106"/>
        <v>48</v>
      </c>
      <c r="L820" s="78">
        <v>46112</v>
      </c>
      <c r="M820" s="103"/>
      <c r="N820" s="93" t="s">
        <v>373</v>
      </c>
      <c r="O820" s="94">
        <v>46146</v>
      </c>
      <c r="P820" s="104">
        <f t="shared" si="108"/>
        <v>48</v>
      </c>
      <c r="Q820" s="104">
        <f t="shared" si="109"/>
        <v>48</v>
      </c>
      <c r="R820" s="104"/>
      <c r="S820" s="93" t="s">
        <v>374</v>
      </c>
      <c r="T820" s="94">
        <v>46156</v>
      </c>
      <c r="U820" s="104">
        <f t="shared" si="110"/>
        <v>48</v>
      </c>
      <c r="V820" s="104">
        <f t="shared" si="111"/>
        <v>1</v>
      </c>
      <c r="W820" s="103">
        <f t="shared" si="112"/>
        <v>48</v>
      </c>
      <c r="X820" s="93" t="s">
        <v>89</v>
      </c>
      <c r="Y820" s="105" t="s">
        <v>84</v>
      </c>
      <c r="Z820" s="105" t="s">
        <v>93</v>
      </c>
    </row>
    <row r="821" spans="1:26" s="105" customFormat="1" ht="15" customHeight="1">
      <c r="A821" s="99">
        <f t="shared" si="107"/>
        <v>819</v>
      </c>
      <c r="B821" s="75" t="s">
        <v>581</v>
      </c>
      <c r="C821" s="100" t="str">
        <f>IF($B821&lt;&gt;"",_xlfn.IFNA(VLOOKUP($B821,'Node Details'!$B:$U,C$1,0),"Check"),"")</f>
        <v>0000AXW21-AXW210105</v>
      </c>
      <c r="D821" s="100" t="str">
        <f>IF($B821&lt;&gt;"",_xlfn.IFNA(VLOOKUP($B821,'Node Details'!$B:$U,D$1,0),"Check"),"")</f>
        <v>AXW</v>
      </c>
      <c r="E821" s="100" t="str">
        <f>IF($B821&lt;&gt;"",_xlfn.IFNA(VLOOKUP($B821,'Node Details'!$B:$U,E$1,0),"Check"),"")</f>
        <v>Airtel</v>
      </c>
      <c r="F821" s="101">
        <v>46114</v>
      </c>
      <c r="G821" s="103"/>
      <c r="H821" s="102" t="s">
        <v>1256</v>
      </c>
      <c r="I821" s="9">
        <v>1</v>
      </c>
      <c r="J821" s="9">
        <v>48</v>
      </c>
      <c r="K821" s="100">
        <f t="shared" si="106"/>
        <v>48</v>
      </c>
      <c r="L821" s="78">
        <v>46112</v>
      </c>
      <c r="M821" s="103"/>
      <c r="N821" s="93" t="s">
        <v>373</v>
      </c>
      <c r="O821" s="94">
        <v>46146</v>
      </c>
      <c r="P821" s="104">
        <f t="shared" si="108"/>
        <v>48</v>
      </c>
      <c r="Q821" s="104">
        <f t="shared" si="109"/>
        <v>48</v>
      </c>
      <c r="R821" s="104"/>
      <c r="S821" s="93" t="s">
        <v>374</v>
      </c>
      <c r="T821" s="94">
        <v>46156</v>
      </c>
      <c r="U821" s="104">
        <f t="shared" si="110"/>
        <v>48</v>
      </c>
      <c r="V821" s="104">
        <f t="shared" si="111"/>
        <v>1</v>
      </c>
      <c r="W821" s="103">
        <f t="shared" si="112"/>
        <v>48</v>
      </c>
      <c r="X821" s="93" t="s">
        <v>89</v>
      </c>
      <c r="Y821" s="105" t="s">
        <v>84</v>
      </c>
      <c r="Z821" s="105" t="s">
        <v>93</v>
      </c>
    </row>
    <row r="822" spans="1:26" s="105" customFormat="1" ht="15" customHeight="1">
      <c r="A822" s="99">
        <f t="shared" si="107"/>
        <v>820</v>
      </c>
      <c r="B822" s="75" t="s">
        <v>1123</v>
      </c>
      <c r="C822" s="100" t="str">
        <f>IF($B822&lt;&gt;"",_xlfn.IFNA(VLOOKUP($B822,'Node Details'!$B:$U,C$1,0),"Check"),"")</f>
        <v>AXW210105-AXW210107</v>
      </c>
      <c r="D822" s="100" t="str">
        <f>IF($B822&lt;&gt;"",_xlfn.IFNA(VLOOKUP($B822,'Node Details'!$B:$U,D$1,0),"Check"),"")</f>
        <v>AXW</v>
      </c>
      <c r="E822" s="100" t="str">
        <f>IF($B822&lt;&gt;"",_xlfn.IFNA(VLOOKUP($B822,'Node Details'!$B:$U,E$1,0),"Check"),"")</f>
        <v>Airtel</v>
      </c>
      <c r="F822" s="101">
        <v>46114</v>
      </c>
      <c r="G822" s="103"/>
      <c r="H822" s="102" t="s">
        <v>1256</v>
      </c>
      <c r="I822" s="9">
        <v>1</v>
      </c>
      <c r="J822" s="9">
        <v>48</v>
      </c>
      <c r="K822" s="100">
        <f t="shared" si="106"/>
        <v>48</v>
      </c>
      <c r="L822" s="78">
        <v>46112</v>
      </c>
      <c r="M822" s="103"/>
      <c r="N822" s="93" t="s">
        <v>373</v>
      </c>
      <c r="O822" s="94">
        <v>46146</v>
      </c>
      <c r="P822" s="104">
        <f t="shared" si="108"/>
        <v>48</v>
      </c>
      <c r="Q822" s="104">
        <f t="shared" si="109"/>
        <v>48</v>
      </c>
      <c r="R822" s="104"/>
      <c r="S822" s="93" t="s">
        <v>374</v>
      </c>
      <c r="T822" s="94">
        <v>46156</v>
      </c>
      <c r="U822" s="104">
        <f t="shared" si="110"/>
        <v>48</v>
      </c>
      <c r="V822" s="104">
        <f t="shared" si="111"/>
        <v>1</v>
      </c>
      <c r="W822" s="103">
        <f t="shared" si="112"/>
        <v>48</v>
      </c>
      <c r="X822" s="93" t="s">
        <v>89</v>
      </c>
      <c r="Y822" s="105" t="s">
        <v>84</v>
      </c>
      <c r="Z822" s="105" t="s">
        <v>93</v>
      </c>
    </row>
    <row r="823" spans="1:26" s="105" customFormat="1" ht="15" customHeight="1">
      <c r="A823" s="99">
        <f t="shared" si="107"/>
        <v>821</v>
      </c>
      <c r="B823" s="75" t="s">
        <v>584</v>
      </c>
      <c r="C823" s="100" t="str">
        <f>IF($B823&lt;&gt;"",_xlfn.IFNA(VLOOKUP($B823,'Node Details'!$B:$U,C$1,0),"Check"),"")</f>
        <v>AXW210105-AXW210107</v>
      </c>
      <c r="D823" s="100" t="str">
        <f>IF($B823&lt;&gt;"",_xlfn.IFNA(VLOOKUP($B823,'Node Details'!$B:$U,D$1,0),"Check"),"")</f>
        <v>AXW</v>
      </c>
      <c r="E823" s="100" t="str">
        <f>IF($B823&lt;&gt;"",_xlfn.IFNA(VLOOKUP($B823,'Node Details'!$B:$U,E$1,0),"Check"),"")</f>
        <v>Airtel</v>
      </c>
      <c r="F823" s="101">
        <v>46114</v>
      </c>
      <c r="G823" s="103"/>
      <c r="H823" s="102" t="s">
        <v>1256</v>
      </c>
      <c r="I823" s="9">
        <v>1</v>
      </c>
      <c r="J823" s="9">
        <v>48</v>
      </c>
      <c r="K823" s="100">
        <f t="shared" si="106"/>
        <v>48</v>
      </c>
      <c r="L823" s="78">
        <v>46112</v>
      </c>
      <c r="M823" s="103"/>
      <c r="N823" s="93" t="s">
        <v>373</v>
      </c>
      <c r="O823" s="94">
        <v>46146</v>
      </c>
      <c r="P823" s="104">
        <f t="shared" si="108"/>
        <v>48</v>
      </c>
      <c r="Q823" s="104">
        <f t="shared" si="109"/>
        <v>48</v>
      </c>
      <c r="R823" s="104"/>
      <c r="S823" s="93" t="s">
        <v>374</v>
      </c>
      <c r="T823" s="94">
        <v>46156</v>
      </c>
      <c r="U823" s="104">
        <f t="shared" si="110"/>
        <v>48</v>
      </c>
      <c r="V823" s="104">
        <f t="shared" si="111"/>
        <v>1</v>
      </c>
      <c r="W823" s="103">
        <f t="shared" si="112"/>
        <v>48</v>
      </c>
      <c r="X823" s="93" t="s">
        <v>89</v>
      </c>
      <c r="Y823" s="105" t="s">
        <v>84</v>
      </c>
      <c r="Z823" s="105" t="s">
        <v>93</v>
      </c>
    </row>
    <row r="824" spans="1:26" s="105" customFormat="1" ht="15" customHeight="1">
      <c r="A824" s="99">
        <f t="shared" si="107"/>
        <v>822</v>
      </c>
      <c r="B824" s="75" t="s">
        <v>588</v>
      </c>
      <c r="C824" s="100" t="str">
        <f>IF($B824&lt;&gt;"",_xlfn.IFNA(VLOOKUP($B824,'Node Details'!$B:$U,C$1,0),"Check"),"")</f>
        <v>AXW210103-AXW210108</v>
      </c>
      <c r="D824" s="100" t="str">
        <f>IF($B824&lt;&gt;"",_xlfn.IFNA(VLOOKUP($B824,'Node Details'!$B:$U,D$1,0),"Check"),"")</f>
        <v>AXW</v>
      </c>
      <c r="E824" s="100" t="str">
        <f>IF($B824&lt;&gt;"",_xlfn.IFNA(VLOOKUP($B824,'Node Details'!$B:$U,E$1,0),"Check"),"")</f>
        <v>Airtel</v>
      </c>
      <c r="F824" s="101">
        <v>46114</v>
      </c>
      <c r="G824" s="103"/>
      <c r="H824" s="102" t="s">
        <v>1256</v>
      </c>
      <c r="I824" s="9">
        <v>1</v>
      </c>
      <c r="J824" s="9">
        <v>48</v>
      </c>
      <c r="K824" s="100">
        <f t="shared" si="106"/>
        <v>48</v>
      </c>
      <c r="L824" s="78">
        <v>46112</v>
      </c>
      <c r="M824" s="103"/>
      <c r="N824" s="93" t="s">
        <v>373</v>
      </c>
      <c r="O824" s="94">
        <v>46146</v>
      </c>
      <c r="P824" s="104">
        <f t="shared" si="108"/>
        <v>48</v>
      </c>
      <c r="Q824" s="104">
        <f t="shared" si="109"/>
        <v>48</v>
      </c>
      <c r="R824" s="104"/>
      <c r="S824" s="93" t="s">
        <v>374</v>
      </c>
      <c r="T824" s="94">
        <v>46156</v>
      </c>
      <c r="U824" s="104">
        <f t="shared" si="110"/>
        <v>48</v>
      </c>
      <c r="V824" s="104">
        <f t="shared" si="111"/>
        <v>1</v>
      </c>
      <c r="W824" s="103">
        <f t="shared" si="112"/>
        <v>48</v>
      </c>
      <c r="X824" s="93" t="s">
        <v>89</v>
      </c>
      <c r="Y824" s="105" t="s">
        <v>84</v>
      </c>
      <c r="Z824" s="105" t="s">
        <v>93</v>
      </c>
    </row>
    <row r="825" spans="1:26" s="105" customFormat="1" ht="15" customHeight="1">
      <c r="A825" s="99">
        <f t="shared" si="107"/>
        <v>823</v>
      </c>
      <c r="B825" s="75" t="s">
        <v>591</v>
      </c>
      <c r="C825" s="100" t="str">
        <f>IF($B825&lt;&gt;"",_xlfn.IFNA(VLOOKUP($B825,'Node Details'!$B:$U,C$1,0),"Check"),"")</f>
        <v>0000AXW21-AXW210201</v>
      </c>
      <c r="D825" s="100" t="str">
        <f>IF($B825&lt;&gt;"",_xlfn.IFNA(VLOOKUP($B825,'Node Details'!$B:$U,D$1,0),"Check"),"")</f>
        <v>AXW</v>
      </c>
      <c r="E825" s="100" t="str">
        <f>IF($B825&lt;&gt;"",_xlfn.IFNA(VLOOKUP($B825,'Node Details'!$B:$U,E$1,0),"Check"),"")</f>
        <v>Airtel</v>
      </c>
      <c r="F825" s="101">
        <v>46114</v>
      </c>
      <c r="G825" s="103"/>
      <c r="H825" s="102" t="s">
        <v>1256</v>
      </c>
      <c r="I825" s="9">
        <v>1</v>
      </c>
      <c r="J825" s="9">
        <v>48</v>
      </c>
      <c r="K825" s="100">
        <f t="shared" si="106"/>
        <v>48</v>
      </c>
      <c r="L825" s="78">
        <v>46112</v>
      </c>
      <c r="M825" s="103"/>
      <c r="N825" s="93" t="s">
        <v>373</v>
      </c>
      <c r="O825" s="94">
        <v>46146</v>
      </c>
      <c r="P825" s="104">
        <f t="shared" si="108"/>
        <v>48</v>
      </c>
      <c r="Q825" s="104">
        <f t="shared" si="109"/>
        <v>48</v>
      </c>
      <c r="R825" s="104"/>
      <c r="S825" s="93" t="s">
        <v>374</v>
      </c>
      <c r="T825" s="94">
        <v>46156</v>
      </c>
      <c r="U825" s="104">
        <f t="shared" si="110"/>
        <v>48</v>
      </c>
      <c r="V825" s="104">
        <f t="shared" si="111"/>
        <v>1</v>
      </c>
      <c r="W825" s="103">
        <f t="shared" si="112"/>
        <v>48</v>
      </c>
      <c r="X825" s="93" t="s">
        <v>89</v>
      </c>
      <c r="Y825" s="105" t="s">
        <v>84</v>
      </c>
      <c r="Z825" s="105" t="s">
        <v>93</v>
      </c>
    </row>
    <row r="826" spans="1:26" s="105" customFormat="1" ht="15" customHeight="1">
      <c r="A826" s="99">
        <f t="shared" si="107"/>
        <v>824</v>
      </c>
      <c r="B826" s="75" t="s">
        <v>390</v>
      </c>
      <c r="C826" s="100" t="str">
        <f>IF($B826&lt;&gt;"",_xlfn.IFNA(VLOOKUP($B826,'Node Details'!$B:$U,C$1,0),"Check"),"")</f>
        <v>0000AXW19-0000AXW22</v>
      </c>
      <c r="D826" s="100" t="str">
        <f>IF($B826&lt;&gt;"",_xlfn.IFNA(VLOOKUP($B826,'Node Details'!$B:$U,D$1,0),"Check"),"")</f>
        <v>AXW</v>
      </c>
      <c r="E826" s="100" t="str">
        <f>IF($B826&lt;&gt;"",_xlfn.IFNA(VLOOKUP($B826,'Node Details'!$B:$U,E$1,0),"Check"),"")</f>
        <v>Airtel</v>
      </c>
      <c r="F826" s="101">
        <v>46114</v>
      </c>
      <c r="G826" s="103"/>
      <c r="H826" s="102" t="s">
        <v>1256</v>
      </c>
      <c r="I826" s="9">
        <v>1</v>
      </c>
      <c r="J826" s="9">
        <v>48</v>
      </c>
      <c r="K826" s="100">
        <f t="shared" si="106"/>
        <v>48</v>
      </c>
      <c r="L826" s="78">
        <v>46112</v>
      </c>
      <c r="M826" s="103"/>
      <c r="N826" s="93" t="s">
        <v>373</v>
      </c>
      <c r="O826" s="94">
        <v>46146</v>
      </c>
      <c r="P826" s="104">
        <f t="shared" si="108"/>
        <v>48</v>
      </c>
      <c r="Q826" s="104">
        <f t="shared" si="109"/>
        <v>48</v>
      </c>
      <c r="R826" s="104"/>
      <c r="S826" s="93" t="s">
        <v>374</v>
      </c>
      <c r="T826" s="94">
        <v>46156</v>
      </c>
      <c r="U826" s="104">
        <f t="shared" si="110"/>
        <v>48</v>
      </c>
      <c r="V826" s="104">
        <f t="shared" si="111"/>
        <v>1</v>
      </c>
      <c r="W826" s="103">
        <f t="shared" si="112"/>
        <v>48</v>
      </c>
      <c r="X826" s="93" t="s">
        <v>89</v>
      </c>
      <c r="Y826" s="105" t="s">
        <v>84</v>
      </c>
      <c r="Z826" s="105" t="s">
        <v>93</v>
      </c>
    </row>
    <row r="827" spans="1:26" s="105" customFormat="1" ht="15" customHeight="1">
      <c r="A827" s="99">
        <f t="shared" si="107"/>
        <v>825</v>
      </c>
      <c r="B827" s="75" t="s">
        <v>1124</v>
      </c>
      <c r="C827" s="100" t="str">
        <f>IF($B827&lt;&gt;"",_xlfn.IFNA(VLOOKUP($B827,'Node Details'!$B:$U,C$1,0),"Check"),"")</f>
        <v>0000AXW22-AXW220103</v>
      </c>
      <c r="D827" s="100" t="str">
        <f>IF($B827&lt;&gt;"",_xlfn.IFNA(VLOOKUP($B827,'Node Details'!$B:$U,D$1,0),"Check"),"")</f>
        <v>AXW</v>
      </c>
      <c r="E827" s="100" t="str">
        <f>IF($B827&lt;&gt;"",_xlfn.IFNA(VLOOKUP($B827,'Node Details'!$B:$U,E$1,0),"Check"),"")</f>
        <v>Airtel</v>
      </c>
      <c r="F827" s="101">
        <v>46114</v>
      </c>
      <c r="G827" s="103"/>
      <c r="H827" s="102" t="s">
        <v>1256</v>
      </c>
      <c r="I827" s="9">
        <v>1</v>
      </c>
      <c r="J827" s="9">
        <v>48</v>
      </c>
      <c r="K827" s="100">
        <f t="shared" si="106"/>
        <v>48</v>
      </c>
      <c r="L827" s="78">
        <v>46112</v>
      </c>
      <c r="M827" s="103"/>
      <c r="N827" s="93" t="s">
        <v>373</v>
      </c>
      <c r="O827" s="94">
        <v>46146</v>
      </c>
      <c r="P827" s="104">
        <f t="shared" si="108"/>
        <v>48</v>
      </c>
      <c r="Q827" s="104">
        <f t="shared" si="109"/>
        <v>48</v>
      </c>
      <c r="R827" s="104"/>
      <c r="S827" s="93" t="s">
        <v>374</v>
      </c>
      <c r="T827" s="94">
        <v>46156</v>
      </c>
      <c r="U827" s="104">
        <f t="shared" si="110"/>
        <v>48</v>
      </c>
      <c r="V827" s="104">
        <f t="shared" si="111"/>
        <v>1</v>
      </c>
      <c r="W827" s="103">
        <f t="shared" si="112"/>
        <v>48</v>
      </c>
      <c r="X827" s="93" t="s">
        <v>89</v>
      </c>
      <c r="Y827" s="105" t="s">
        <v>84</v>
      </c>
      <c r="Z827" s="105" t="s">
        <v>93</v>
      </c>
    </row>
    <row r="828" spans="1:26" s="105" customFormat="1" ht="15" customHeight="1">
      <c r="A828" s="99">
        <f t="shared" si="107"/>
        <v>826</v>
      </c>
      <c r="B828" s="75" t="s">
        <v>594</v>
      </c>
      <c r="C828" s="100" t="str">
        <f>IF($B828&lt;&gt;"",_xlfn.IFNA(VLOOKUP($B828,'Node Details'!$B:$U,C$1,0),"Check"),"")</f>
        <v>0000AXW22-AXW220103</v>
      </c>
      <c r="D828" s="100" t="str">
        <f>IF($B828&lt;&gt;"",_xlfn.IFNA(VLOOKUP($B828,'Node Details'!$B:$U,D$1,0),"Check"),"")</f>
        <v>AXW</v>
      </c>
      <c r="E828" s="100" t="str">
        <f>IF($B828&lt;&gt;"",_xlfn.IFNA(VLOOKUP($B828,'Node Details'!$B:$U,E$1,0),"Check"),"")</f>
        <v>Airtel</v>
      </c>
      <c r="F828" s="101">
        <v>46114</v>
      </c>
      <c r="G828" s="103"/>
      <c r="H828" s="102" t="s">
        <v>1256</v>
      </c>
      <c r="I828" s="9">
        <v>1</v>
      </c>
      <c r="J828" s="9">
        <v>48</v>
      </c>
      <c r="K828" s="100">
        <f t="shared" si="106"/>
        <v>48</v>
      </c>
      <c r="L828" s="78">
        <v>46112</v>
      </c>
      <c r="M828" s="103"/>
      <c r="N828" s="93" t="s">
        <v>373</v>
      </c>
      <c r="O828" s="94">
        <v>46146</v>
      </c>
      <c r="P828" s="104">
        <f t="shared" si="108"/>
        <v>48</v>
      </c>
      <c r="Q828" s="104">
        <f t="shared" si="109"/>
        <v>48</v>
      </c>
      <c r="R828" s="104"/>
      <c r="S828" s="93" t="s">
        <v>374</v>
      </c>
      <c r="T828" s="94">
        <v>46156</v>
      </c>
      <c r="U828" s="104">
        <f t="shared" si="110"/>
        <v>48</v>
      </c>
      <c r="V828" s="104">
        <f t="shared" si="111"/>
        <v>1</v>
      </c>
      <c r="W828" s="103">
        <f t="shared" si="112"/>
        <v>48</v>
      </c>
      <c r="X828" s="93" t="s">
        <v>89</v>
      </c>
      <c r="Y828" s="105" t="s">
        <v>84</v>
      </c>
      <c r="Z828" s="105" t="s">
        <v>93</v>
      </c>
    </row>
    <row r="829" spans="1:26" s="105" customFormat="1" ht="15" customHeight="1">
      <c r="A829" s="99">
        <f t="shared" si="107"/>
        <v>827</v>
      </c>
      <c r="B829" s="75" t="s">
        <v>597</v>
      </c>
      <c r="C829" s="100" t="str">
        <f>IF($B829&lt;&gt;"",_xlfn.IFNA(VLOOKUP($B829,'Node Details'!$B:$U,C$1,0),"Check"),"")</f>
        <v>0000AXW22-AXW220104</v>
      </c>
      <c r="D829" s="100" t="str">
        <f>IF($B829&lt;&gt;"",_xlfn.IFNA(VLOOKUP($B829,'Node Details'!$B:$U,D$1,0),"Check"),"")</f>
        <v>AXW</v>
      </c>
      <c r="E829" s="100" t="str">
        <f>IF($B829&lt;&gt;"",_xlfn.IFNA(VLOOKUP($B829,'Node Details'!$B:$U,E$1,0),"Check"),"")</f>
        <v>Airtel</v>
      </c>
      <c r="F829" s="101">
        <v>46114</v>
      </c>
      <c r="G829" s="103"/>
      <c r="H829" s="102" t="s">
        <v>1256</v>
      </c>
      <c r="I829" s="9">
        <v>1</v>
      </c>
      <c r="J829" s="9">
        <v>48</v>
      </c>
      <c r="K829" s="100">
        <f t="shared" si="106"/>
        <v>48</v>
      </c>
      <c r="L829" s="78">
        <v>46112</v>
      </c>
      <c r="M829" s="103"/>
      <c r="N829" s="93" t="s">
        <v>373</v>
      </c>
      <c r="O829" s="94">
        <v>46146</v>
      </c>
      <c r="P829" s="104">
        <f t="shared" si="108"/>
        <v>48</v>
      </c>
      <c r="Q829" s="104">
        <f t="shared" si="109"/>
        <v>48</v>
      </c>
      <c r="R829" s="104"/>
      <c r="S829" s="93" t="s">
        <v>374</v>
      </c>
      <c r="T829" s="94">
        <v>46156</v>
      </c>
      <c r="U829" s="104">
        <f t="shared" si="110"/>
        <v>48</v>
      </c>
      <c r="V829" s="104">
        <f t="shared" si="111"/>
        <v>1</v>
      </c>
      <c r="W829" s="103">
        <f t="shared" si="112"/>
        <v>48</v>
      </c>
      <c r="X829" s="93" t="s">
        <v>89</v>
      </c>
      <c r="Y829" s="105" t="s">
        <v>84</v>
      </c>
      <c r="Z829" s="105" t="s">
        <v>93</v>
      </c>
    </row>
    <row r="830" spans="1:26" s="105" customFormat="1" ht="15" customHeight="1">
      <c r="A830" s="99">
        <f t="shared" si="107"/>
        <v>828</v>
      </c>
      <c r="B830" s="75" t="s">
        <v>1125</v>
      </c>
      <c r="C830" s="100" t="str">
        <f>IF($B830&lt;&gt;"",_xlfn.IFNA(VLOOKUP($B830,'Node Details'!$B:$U,C$1,0),"Check"),"")</f>
        <v>AXW220104-AXW220106</v>
      </c>
      <c r="D830" s="100" t="str">
        <f>IF($B830&lt;&gt;"",_xlfn.IFNA(VLOOKUP($B830,'Node Details'!$B:$U,D$1,0),"Check"),"")</f>
        <v>AXW</v>
      </c>
      <c r="E830" s="100" t="str">
        <f>IF($B830&lt;&gt;"",_xlfn.IFNA(VLOOKUP($B830,'Node Details'!$B:$U,E$1,0),"Check"),"")</f>
        <v>Airtel</v>
      </c>
      <c r="F830" s="101">
        <v>46114</v>
      </c>
      <c r="G830" s="103"/>
      <c r="H830" s="102" t="s">
        <v>1256</v>
      </c>
      <c r="I830" s="9">
        <v>1</v>
      </c>
      <c r="J830" s="9">
        <v>48</v>
      </c>
      <c r="K830" s="100">
        <f t="shared" si="106"/>
        <v>48</v>
      </c>
      <c r="L830" s="78">
        <v>46112</v>
      </c>
      <c r="M830" s="103"/>
      <c r="N830" s="93" t="s">
        <v>373</v>
      </c>
      <c r="O830" s="94">
        <v>46146</v>
      </c>
      <c r="P830" s="104">
        <f t="shared" si="108"/>
        <v>48</v>
      </c>
      <c r="Q830" s="104">
        <f t="shared" si="109"/>
        <v>48</v>
      </c>
      <c r="R830" s="104"/>
      <c r="S830" s="93" t="s">
        <v>374</v>
      </c>
      <c r="T830" s="94">
        <v>46156</v>
      </c>
      <c r="U830" s="104">
        <f t="shared" si="110"/>
        <v>48</v>
      </c>
      <c r="V830" s="104">
        <f t="shared" si="111"/>
        <v>1</v>
      </c>
      <c r="W830" s="103">
        <f t="shared" si="112"/>
        <v>48</v>
      </c>
      <c r="X830" s="93" t="s">
        <v>89</v>
      </c>
      <c r="Y830" s="105" t="s">
        <v>84</v>
      </c>
      <c r="Z830" s="105" t="s">
        <v>93</v>
      </c>
    </row>
    <row r="831" spans="1:26" s="105" customFormat="1" ht="15" customHeight="1">
      <c r="A831" s="99">
        <f t="shared" si="107"/>
        <v>829</v>
      </c>
      <c r="B831" s="75" t="s">
        <v>600</v>
      </c>
      <c r="C831" s="100" t="str">
        <f>IF($B831&lt;&gt;"",_xlfn.IFNA(VLOOKUP($B831,'Node Details'!$B:$U,C$1,0),"Check"),"")</f>
        <v>AXW220104-AXW220106</v>
      </c>
      <c r="D831" s="100" t="str">
        <f>IF($B831&lt;&gt;"",_xlfn.IFNA(VLOOKUP($B831,'Node Details'!$B:$U,D$1,0),"Check"),"")</f>
        <v>AXW</v>
      </c>
      <c r="E831" s="100" t="str">
        <f>IF($B831&lt;&gt;"",_xlfn.IFNA(VLOOKUP($B831,'Node Details'!$B:$U,E$1,0),"Check"),"")</f>
        <v>Airtel</v>
      </c>
      <c r="F831" s="101">
        <v>46114</v>
      </c>
      <c r="G831" s="103"/>
      <c r="H831" s="102" t="s">
        <v>1256</v>
      </c>
      <c r="I831" s="9">
        <v>1</v>
      </c>
      <c r="J831" s="9">
        <v>48</v>
      </c>
      <c r="K831" s="100">
        <f t="shared" si="106"/>
        <v>48</v>
      </c>
      <c r="L831" s="78">
        <v>46112</v>
      </c>
      <c r="M831" s="103"/>
      <c r="N831" s="93" t="s">
        <v>373</v>
      </c>
      <c r="O831" s="94">
        <v>46146</v>
      </c>
      <c r="P831" s="104">
        <f t="shared" si="108"/>
        <v>48</v>
      </c>
      <c r="Q831" s="104">
        <f t="shared" si="109"/>
        <v>48</v>
      </c>
      <c r="R831" s="104"/>
      <c r="S831" s="93" t="s">
        <v>374</v>
      </c>
      <c r="T831" s="94">
        <v>46156</v>
      </c>
      <c r="U831" s="104">
        <f t="shared" si="110"/>
        <v>48</v>
      </c>
      <c r="V831" s="104">
        <f t="shared" si="111"/>
        <v>1</v>
      </c>
      <c r="W831" s="103">
        <f t="shared" si="112"/>
        <v>48</v>
      </c>
      <c r="X831" s="93" t="s">
        <v>89</v>
      </c>
      <c r="Y831" s="105" t="s">
        <v>84</v>
      </c>
      <c r="Z831" s="105" t="s">
        <v>93</v>
      </c>
    </row>
    <row r="832" spans="1:26" s="105" customFormat="1" ht="15" customHeight="1">
      <c r="A832" s="99">
        <f t="shared" si="107"/>
        <v>830</v>
      </c>
      <c r="B832" s="75" t="s">
        <v>603</v>
      </c>
      <c r="C832" s="100" t="str">
        <f>IF($B832&lt;&gt;"",_xlfn.IFNA(VLOOKUP($B832,'Node Details'!$B:$U,C$1,0),"Check"),"")</f>
        <v>0000AXW22-AXW220107</v>
      </c>
      <c r="D832" s="100" t="str">
        <f>IF($B832&lt;&gt;"",_xlfn.IFNA(VLOOKUP($B832,'Node Details'!$B:$U,D$1,0),"Check"),"")</f>
        <v>AXW</v>
      </c>
      <c r="E832" s="100" t="str">
        <f>IF($B832&lt;&gt;"",_xlfn.IFNA(VLOOKUP($B832,'Node Details'!$B:$U,E$1,0),"Check"),"")</f>
        <v>Airtel</v>
      </c>
      <c r="F832" s="101">
        <v>46114</v>
      </c>
      <c r="G832" s="103"/>
      <c r="H832" s="102" t="s">
        <v>1256</v>
      </c>
      <c r="I832" s="9">
        <v>1</v>
      </c>
      <c r="J832" s="9">
        <v>48</v>
      </c>
      <c r="K832" s="100">
        <f t="shared" si="106"/>
        <v>48</v>
      </c>
      <c r="L832" s="78">
        <v>46112</v>
      </c>
      <c r="M832" s="103"/>
      <c r="N832" s="93" t="s">
        <v>373</v>
      </c>
      <c r="O832" s="94">
        <v>46146</v>
      </c>
      <c r="P832" s="104">
        <f t="shared" si="108"/>
        <v>48</v>
      </c>
      <c r="Q832" s="104">
        <f t="shared" si="109"/>
        <v>48</v>
      </c>
      <c r="R832" s="104"/>
      <c r="S832" s="93" t="s">
        <v>374</v>
      </c>
      <c r="T832" s="94">
        <v>46156</v>
      </c>
      <c r="U832" s="104">
        <f t="shared" si="110"/>
        <v>48</v>
      </c>
      <c r="V832" s="104">
        <f t="shared" si="111"/>
        <v>1</v>
      </c>
      <c r="W832" s="103">
        <f t="shared" si="112"/>
        <v>48</v>
      </c>
      <c r="X832" s="93" t="s">
        <v>89</v>
      </c>
      <c r="Y832" s="105" t="s">
        <v>84</v>
      </c>
      <c r="Z832" s="105" t="s">
        <v>93</v>
      </c>
    </row>
    <row r="833" spans="1:26" s="105" customFormat="1" ht="15" customHeight="1">
      <c r="A833" s="99">
        <f t="shared" si="107"/>
        <v>831</v>
      </c>
      <c r="B833" s="75" t="s">
        <v>1126</v>
      </c>
      <c r="C833" s="100" t="str">
        <f>IF($B833&lt;&gt;"",_xlfn.IFNA(VLOOKUP($B833,'Node Details'!$B:$U,C$1,0),"Check"),"")</f>
        <v>AXW220107-AXW220202</v>
      </c>
      <c r="D833" s="100" t="str">
        <f>IF($B833&lt;&gt;"",_xlfn.IFNA(VLOOKUP($B833,'Node Details'!$B:$U,D$1,0),"Check"),"")</f>
        <v>AXW</v>
      </c>
      <c r="E833" s="100" t="str">
        <f>IF($B833&lt;&gt;"",_xlfn.IFNA(VLOOKUP($B833,'Node Details'!$B:$U,E$1,0),"Check"),"")</f>
        <v>Airtel</v>
      </c>
      <c r="F833" s="101">
        <v>46114</v>
      </c>
      <c r="G833" s="103"/>
      <c r="H833" s="102" t="s">
        <v>1256</v>
      </c>
      <c r="I833" s="9">
        <v>1</v>
      </c>
      <c r="J833" s="9">
        <v>48</v>
      </c>
      <c r="K833" s="100">
        <f t="shared" si="106"/>
        <v>48</v>
      </c>
      <c r="L833" s="78">
        <v>46112</v>
      </c>
      <c r="M833" s="103"/>
      <c r="N833" s="93" t="s">
        <v>373</v>
      </c>
      <c r="O833" s="94">
        <v>46146</v>
      </c>
      <c r="P833" s="104">
        <f t="shared" si="108"/>
        <v>48</v>
      </c>
      <c r="Q833" s="104">
        <f t="shared" si="109"/>
        <v>48</v>
      </c>
      <c r="R833" s="104"/>
      <c r="S833" s="93" t="s">
        <v>374</v>
      </c>
      <c r="T833" s="94">
        <v>46156</v>
      </c>
      <c r="U833" s="104">
        <f t="shared" si="110"/>
        <v>48</v>
      </c>
      <c r="V833" s="104">
        <f t="shared" si="111"/>
        <v>1</v>
      </c>
      <c r="W833" s="103">
        <f t="shared" si="112"/>
        <v>48</v>
      </c>
      <c r="X833" s="93" t="s">
        <v>89</v>
      </c>
      <c r="Y833" s="105" t="s">
        <v>84</v>
      </c>
      <c r="Z833" s="105" t="s">
        <v>93</v>
      </c>
    </row>
    <row r="834" spans="1:26" s="105" customFormat="1" ht="15" customHeight="1">
      <c r="A834" s="99">
        <f t="shared" si="107"/>
        <v>832</v>
      </c>
      <c r="B834" s="75" t="s">
        <v>1127</v>
      </c>
      <c r="C834" s="100" t="str">
        <f>IF($B834&lt;&gt;"",_xlfn.IFNA(VLOOKUP($B834,'Node Details'!$B:$U,C$1,0),"Check"),"")</f>
        <v>AXW220107-AXW220202</v>
      </c>
      <c r="D834" s="100" t="str">
        <f>IF($B834&lt;&gt;"",_xlfn.IFNA(VLOOKUP($B834,'Node Details'!$B:$U,D$1,0),"Check"),"")</f>
        <v>AXW</v>
      </c>
      <c r="E834" s="100" t="str">
        <f>IF($B834&lt;&gt;"",_xlfn.IFNA(VLOOKUP($B834,'Node Details'!$B:$U,E$1,0),"Check"),"")</f>
        <v>Airtel</v>
      </c>
      <c r="F834" s="101">
        <v>46114</v>
      </c>
      <c r="G834" s="103"/>
      <c r="H834" s="102" t="s">
        <v>1256</v>
      </c>
      <c r="I834" s="9">
        <v>1</v>
      </c>
      <c r="J834" s="9">
        <v>48</v>
      </c>
      <c r="K834" s="100">
        <f t="shared" si="106"/>
        <v>48</v>
      </c>
      <c r="L834" s="78">
        <v>46112</v>
      </c>
      <c r="M834" s="103"/>
      <c r="N834" s="93" t="s">
        <v>373</v>
      </c>
      <c r="O834" s="94">
        <v>46146</v>
      </c>
      <c r="P834" s="104">
        <f t="shared" si="108"/>
        <v>48</v>
      </c>
      <c r="Q834" s="104">
        <f t="shared" si="109"/>
        <v>48</v>
      </c>
      <c r="R834" s="104"/>
      <c r="S834" s="93" t="s">
        <v>374</v>
      </c>
      <c r="T834" s="94">
        <v>46156</v>
      </c>
      <c r="U834" s="104">
        <f t="shared" si="110"/>
        <v>48</v>
      </c>
      <c r="V834" s="104">
        <f t="shared" si="111"/>
        <v>1</v>
      </c>
      <c r="W834" s="103">
        <f t="shared" si="112"/>
        <v>48</v>
      </c>
      <c r="X834" s="93" t="s">
        <v>89</v>
      </c>
      <c r="Y834" s="105" t="s">
        <v>84</v>
      </c>
      <c r="Z834" s="105" t="s">
        <v>93</v>
      </c>
    </row>
    <row r="835" spans="1:26" s="105" customFormat="1" ht="15" customHeight="1">
      <c r="A835" s="99">
        <f t="shared" si="107"/>
        <v>833</v>
      </c>
      <c r="B835" s="75" t="s">
        <v>606</v>
      </c>
      <c r="C835" s="100" t="str">
        <f>IF($B835&lt;&gt;"",_xlfn.IFNA(VLOOKUP($B835,'Node Details'!$B:$U,C$1,0),"Check"),"")</f>
        <v>AXW220107-AXW220202</v>
      </c>
      <c r="D835" s="100" t="str">
        <f>IF($B835&lt;&gt;"",_xlfn.IFNA(VLOOKUP($B835,'Node Details'!$B:$U,D$1,0),"Check"),"")</f>
        <v>AXW</v>
      </c>
      <c r="E835" s="100" t="str">
        <f>IF($B835&lt;&gt;"",_xlfn.IFNA(VLOOKUP($B835,'Node Details'!$B:$U,E$1,0),"Check"),"")</f>
        <v>Airtel</v>
      </c>
      <c r="F835" s="101">
        <v>46114</v>
      </c>
      <c r="G835" s="103"/>
      <c r="H835" s="102" t="s">
        <v>1256</v>
      </c>
      <c r="I835" s="9">
        <v>1</v>
      </c>
      <c r="J835" s="9">
        <v>48</v>
      </c>
      <c r="K835" s="100">
        <f t="shared" si="106"/>
        <v>48</v>
      </c>
      <c r="L835" s="78">
        <v>46112</v>
      </c>
      <c r="M835" s="103"/>
      <c r="N835" s="93" t="s">
        <v>373</v>
      </c>
      <c r="O835" s="94">
        <v>46146</v>
      </c>
      <c r="P835" s="104">
        <f t="shared" si="108"/>
        <v>48</v>
      </c>
      <c r="Q835" s="104">
        <f t="shared" si="109"/>
        <v>48</v>
      </c>
      <c r="R835" s="104"/>
      <c r="S835" s="93" t="s">
        <v>374</v>
      </c>
      <c r="T835" s="94">
        <v>46156</v>
      </c>
      <c r="U835" s="104">
        <f t="shared" si="110"/>
        <v>48</v>
      </c>
      <c r="V835" s="104">
        <f t="shared" si="111"/>
        <v>1</v>
      </c>
      <c r="W835" s="103">
        <f t="shared" si="112"/>
        <v>48</v>
      </c>
      <c r="X835" s="93" t="s">
        <v>89</v>
      </c>
      <c r="Y835" s="105" t="s">
        <v>84</v>
      </c>
      <c r="Z835" s="105" t="s">
        <v>93</v>
      </c>
    </row>
    <row r="836" spans="1:26" s="105" customFormat="1" ht="15" customHeight="1">
      <c r="A836" s="99">
        <f t="shared" si="107"/>
        <v>834</v>
      </c>
      <c r="B836" s="75" t="s">
        <v>371</v>
      </c>
      <c r="C836" s="100" t="str">
        <f>IF($B836&lt;&gt;"",_xlfn.IFNA(VLOOKUP($B836,'Node Details'!$B:$U,C$1,0),"Check"),"")</f>
        <v>000000AXW-0000AXW05</v>
      </c>
      <c r="D836" s="100" t="str">
        <f>IF($B836&lt;&gt;"",_xlfn.IFNA(VLOOKUP($B836,'Node Details'!$B:$U,D$1,0),"Check"),"")</f>
        <v>AXW</v>
      </c>
      <c r="E836" s="100" t="str">
        <f>IF($B836&lt;&gt;"",_xlfn.IFNA(VLOOKUP($B836,'Node Details'!$B:$U,E$1,0),"Check"),"")</f>
        <v>Airtel</v>
      </c>
      <c r="F836" s="101">
        <v>46114</v>
      </c>
      <c r="G836" s="103"/>
      <c r="H836" s="102" t="s">
        <v>1257</v>
      </c>
      <c r="I836" s="9">
        <v>1</v>
      </c>
      <c r="J836" s="9">
        <v>2700</v>
      </c>
      <c r="K836" s="100">
        <f t="shared" ref="K836" si="113">IF(I836&lt;&gt;"",J836*I836,0)</f>
        <v>2700</v>
      </c>
      <c r="L836" s="78">
        <v>46112</v>
      </c>
      <c r="M836" s="103"/>
      <c r="N836" s="93" t="s">
        <v>373</v>
      </c>
      <c r="O836" s="94">
        <v>46146</v>
      </c>
      <c r="P836" s="104">
        <f t="shared" si="108"/>
        <v>2700</v>
      </c>
      <c r="Q836" s="104">
        <f t="shared" si="109"/>
        <v>2700</v>
      </c>
      <c r="R836" s="104"/>
      <c r="S836" s="93" t="s">
        <v>374</v>
      </c>
      <c r="T836" s="94">
        <v>46156</v>
      </c>
      <c r="U836" s="104">
        <f t="shared" si="110"/>
        <v>2700</v>
      </c>
      <c r="V836" s="104">
        <f t="shared" si="111"/>
        <v>1</v>
      </c>
      <c r="W836" s="103">
        <f t="shared" si="112"/>
        <v>2700</v>
      </c>
      <c r="X836" s="93" t="s">
        <v>89</v>
      </c>
      <c r="Y836" s="105" t="s">
        <v>84</v>
      </c>
      <c r="Z836" s="105" t="s">
        <v>93</v>
      </c>
    </row>
    <row r="837" spans="1:26" s="105" customFormat="1" ht="15" customHeight="1">
      <c r="A837" s="99">
        <f t="shared" ref="A837:A900" si="114">A836+1</f>
        <v>835</v>
      </c>
      <c r="B837" s="75" t="s">
        <v>376</v>
      </c>
      <c r="C837" s="100" t="str">
        <f>IF($B837&lt;&gt;"",_xlfn.IFNA(VLOOKUP($B837,'Node Details'!$B:$U,C$1,0),"Check"),"")</f>
        <v>000000AXW-0000AXW05</v>
      </c>
      <c r="D837" s="100" t="str">
        <f>IF($B837&lt;&gt;"",_xlfn.IFNA(VLOOKUP($B837,'Node Details'!$B:$U,D$1,0),"Check"),"")</f>
        <v>AXW</v>
      </c>
      <c r="E837" s="100" t="str">
        <f>IF($B837&lt;&gt;"",_xlfn.IFNA(VLOOKUP($B837,'Node Details'!$B:$U,E$1,0),"Check"),"")</f>
        <v>Airtel</v>
      </c>
      <c r="F837" s="101">
        <v>46114</v>
      </c>
      <c r="G837" s="103"/>
      <c r="H837" s="102" t="s">
        <v>1260</v>
      </c>
      <c r="I837" s="9">
        <v>42</v>
      </c>
      <c r="J837" s="9">
        <v>65</v>
      </c>
      <c r="K837" s="100">
        <f t="shared" ref="K837:K899" si="115">IF(I837&lt;&gt;"",J837*I837,0)</f>
        <v>2730</v>
      </c>
      <c r="L837" s="78">
        <v>46112</v>
      </c>
      <c r="M837" s="103"/>
      <c r="N837" s="93" t="s">
        <v>373</v>
      </c>
      <c r="O837" s="94">
        <v>46146</v>
      </c>
      <c r="P837" s="104">
        <f t="shared" ref="P837:P900" si="116">J837</f>
        <v>65</v>
      </c>
      <c r="Q837" s="104">
        <f t="shared" ref="Q837:Q900" si="117">P837*I837</f>
        <v>2730</v>
      </c>
      <c r="R837" s="104"/>
      <c r="S837" s="93" t="s">
        <v>374</v>
      </c>
      <c r="T837" s="94">
        <v>46156</v>
      </c>
      <c r="U837" s="104">
        <f t="shared" ref="U837:U900" si="118">J837</f>
        <v>65</v>
      </c>
      <c r="V837" s="104">
        <f t="shared" ref="V837:V900" si="119">I837</f>
        <v>42</v>
      </c>
      <c r="W837" s="103">
        <f t="shared" ref="W837:W900" si="120">IF(V837&lt;&gt;"",V837*U837,0)</f>
        <v>2730</v>
      </c>
      <c r="X837" s="93" t="s">
        <v>89</v>
      </c>
      <c r="Y837" s="105" t="s">
        <v>84</v>
      </c>
      <c r="Z837" s="105" t="s">
        <v>93</v>
      </c>
    </row>
    <row r="838" spans="1:26" s="105" customFormat="1" ht="15" customHeight="1">
      <c r="A838" s="99">
        <f t="shared" si="114"/>
        <v>836</v>
      </c>
      <c r="B838" s="75" t="s">
        <v>396</v>
      </c>
      <c r="C838" s="100" t="str">
        <f>IF($B838&lt;&gt;"",_xlfn.IFNA(VLOOKUP($B838,'Node Details'!$B:$U,C$1,0),"Check"),"")</f>
        <v>000000AXW-0000AXW05</v>
      </c>
      <c r="D838" s="100" t="str">
        <f>IF($B838&lt;&gt;"",_xlfn.IFNA(VLOOKUP($B838,'Node Details'!$B:$U,D$1,0),"Check"),"")</f>
        <v>AXW</v>
      </c>
      <c r="E838" s="100" t="str">
        <f>IF($B838&lt;&gt;"",_xlfn.IFNA(VLOOKUP($B838,'Node Details'!$B:$U,E$1,0),"Check"),"")</f>
        <v>Airtel</v>
      </c>
      <c r="F838" s="101">
        <v>46114</v>
      </c>
      <c r="G838" s="103"/>
      <c r="H838" s="102" t="s">
        <v>1260</v>
      </c>
      <c r="I838" s="9">
        <v>42</v>
      </c>
      <c r="J838" s="9">
        <v>65</v>
      </c>
      <c r="K838" s="100">
        <f t="shared" si="115"/>
        <v>2730</v>
      </c>
      <c r="L838" s="78">
        <v>46112</v>
      </c>
      <c r="M838" s="103"/>
      <c r="N838" s="93" t="s">
        <v>373</v>
      </c>
      <c r="O838" s="94">
        <v>46146</v>
      </c>
      <c r="P838" s="104">
        <f t="shared" si="116"/>
        <v>65</v>
      </c>
      <c r="Q838" s="104">
        <f t="shared" si="117"/>
        <v>2730</v>
      </c>
      <c r="R838" s="104"/>
      <c r="S838" s="93" t="s">
        <v>374</v>
      </c>
      <c r="T838" s="94">
        <v>46156</v>
      </c>
      <c r="U838" s="104">
        <f t="shared" si="118"/>
        <v>65</v>
      </c>
      <c r="V838" s="104">
        <f t="shared" si="119"/>
        <v>42</v>
      </c>
      <c r="W838" s="103">
        <f t="shared" si="120"/>
        <v>2730</v>
      </c>
      <c r="X838" s="93" t="s">
        <v>89</v>
      </c>
      <c r="Y838" s="105" t="s">
        <v>84</v>
      </c>
      <c r="Z838" s="105" t="s">
        <v>93</v>
      </c>
    </row>
    <row r="839" spans="1:26" s="105" customFormat="1" ht="15" customHeight="1">
      <c r="A839" s="99">
        <f t="shared" si="114"/>
        <v>837</v>
      </c>
      <c r="B839" s="75" t="s">
        <v>399</v>
      </c>
      <c r="C839" s="100" t="str">
        <f>IF($B839&lt;&gt;"",_xlfn.IFNA(VLOOKUP($B839,'Node Details'!$B:$U,C$1,0),"Check"),"")</f>
        <v>0000AXW02-AXW020101</v>
      </c>
      <c r="D839" s="100" t="str">
        <f>IF($B839&lt;&gt;"",_xlfn.IFNA(VLOOKUP($B839,'Node Details'!$B:$U,D$1,0),"Check"),"")</f>
        <v>AXW</v>
      </c>
      <c r="E839" s="100" t="str">
        <f>IF($B839&lt;&gt;"",_xlfn.IFNA(VLOOKUP($B839,'Node Details'!$B:$U,E$1,0),"Check"),"")</f>
        <v>Airtel</v>
      </c>
      <c r="F839" s="101">
        <v>46114</v>
      </c>
      <c r="G839" s="103"/>
      <c r="H839" s="102" t="s">
        <v>1260</v>
      </c>
      <c r="I839" s="9">
        <v>4</v>
      </c>
      <c r="J839" s="9">
        <v>65</v>
      </c>
      <c r="K839" s="100">
        <f t="shared" si="115"/>
        <v>260</v>
      </c>
      <c r="L839" s="78">
        <v>46112</v>
      </c>
      <c r="M839" s="103"/>
      <c r="N839" s="93" t="s">
        <v>373</v>
      </c>
      <c r="O839" s="94">
        <v>46146</v>
      </c>
      <c r="P839" s="104">
        <f t="shared" si="116"/>
        <v>65</v>
      </c>
      <c r="Q839" s="104">
        <f t="shared" si="117"/>
        <v>260</v>
      </c>
      <c r="R839" s="104"/>
      <c r="S839" s="93" t="s">
        <v>374</v>
      </c>
      <c r="T839" s="94">
        <v>46156</v>
      </c>
      <c r="U839" s="104">
        <f t="shared" si="118"/>
        <v>65</v>
      </c>
      <c r="V839" s="104">
        <f t="shared" si="119"/>
        <v>4</v>
      </c>
      <c r="W839" s="103">
        <f t="shared" si="120"/>
        <v>260</v>
      </c>
      <c r="X839" s="93" t="s">
        <v>89</v>
      </c>
      <c r="Y839" s="105" t="s">
        <v>84</v>
      </c>
      <c r="Z839" s="105" t="s">
        <v>93</v>
      </c>
    </row>
    <row r="840" spans="1:26" s="105" customFormat="1" ht="15" customHeight="1">
      <c r="A840" s="99">
        <f t="shared" si="114"/>
        <v>838</v>
      </c>
      <c r="B840" s="75" t="s">
        <v>1053</v>
      </c>
      <c r="C840" s="100" t="str">
        <f>IF($B840&lt;&gt;"",_xlfn.IFNA(VLOOKUP($B840,'Node Details'!$B:$U,C$1,0),"Check"),"")</f>
        <v>0000AXW02-AXW020105</v>
      </c>
      <c r="D840" s="100" t="str">
        <f>IF($B840&lt;&gt;"",_xlfn.IFNA(VLOOKUP($B840,'Node Details'!$B:$U,D$1,0),"Check"),"")</f>
        <v>AXW</v>
      </c>
      <c r="E840" s="100" t="str">
        <f>IF($B840&lt;&gt;"",_xlfn.IFNA(VLOOKUP($B840,'Node Details'!$B:$U,E$1,0),"Check"),"")</f>
        <v>Airtel</v>
      </c>
      <c r="F840" s="101">
        <v>46114</v>
      </c>
      <c r="G840" s="103"/>
      <c r="H840" s="102" t="s">
        <v>1260</v>
      </c>
      <c r="I840" s="9">
        <v>2</v>
      </c>
      <c r="J840" s="9">
        <v>65</v>
      </c>
      <c r="K840" s="100">
        <f t="shared" si="115"/>
        <v>130</v>
      </c>
      <c r="L840" s="78">
        <v>46112</v>
      </c>
      <c r="M840" s="103"/>
      <c r="N840" s="93" t="s">
        <v>373</v>
      </c>
      <c r="O840" s="94">
        <v>46146</v>
      </c>
      <c r="P840" s="104">
        <f t="shared" si="116"/>
        <v>65</v>
      </c>
      <c r="Q840" s="104">
        <f t="shared" si="117"/>
        <v>130</v>
      </c>
      <c r="R840" s="104"/>
      <c r="S840" s="93" t="s">
        <v>374</v>
      </c>
      <c r="T840" s="94">
        <v>46156</v>
      </c>
      <c r="U840" s="104">
        <f t="shared" si="118"/>
        <v>65</v>
      </c>
      <c r="V840" s="104">
        <f t="shared" si="119"/>
        <v>2</v>
      </c>
      <c r="W840" s="103">
        <f t="shared" si="120"/>
        <v>130</v>
      </c>
      <c r="X840" s="93" t="s">
        <v>89</v>
      </c>
      <c r="Y840" s="105" t="s">
        <v>84</v>
      </c>
      <c r="Z840" s="105" t="s">
        <v>93</v>
      </c>
    </row>
    <row r="841" spans="1:26" s="105" customFormat="1" ht="15" customHeight="1">
      <c r="A841" s="99">
        <f t="shared" si="114"/>
        <v>839</v>
      </c>
      <c r="B841" s="75" t="s">
        <v>401</v>
      </c>
      <c r="C841" s="100" t="str">
        <f>IF($B841&lt;&gt;"",_xlfn.IFNA(VLOOKUP($B841,'Node Details'!$B:$U,C$1,0),"Check"),"")</f>
        <v>0000AXW02-AXW020106</v>
      </c>
      <c r="D841" s="100" t="str">
        <f>IF($B841&lt;&gt;"",_xlfn.IFNA(VLOOKUP($B841,'Node Details'!$B:$U,D$1,0),"Check"),"")</f>
        <v>AXW</v>
      </c>
      <c r="E841" s="100" t="str">
        <f>IF($B841&lt;&gt;"",_xlfn.IFNA(VLOOKUP($B841,'Node Details'!$B:$U,E$1,0),"Check"),"")</f>
        <v>Airtel</v>
      </c>
      <c r="F841" s="101">
        <v>46114</v>
      </c>
      <c r="G841" s="103"/>
      <c r="H841" s="102" t="s">
        <v>1260</v>
      </c>
      <c r="I841" s="9">
        <v>18</v>
      </c>
      <c r="J841" s="9">
        <v>65</v>
      </c>
      <c r="K841" s="100">
        <f t="shared" si="115"/>
        <v>1170</v>
      </c>
      <c r="L841" s="78">
        <v>46112</v>
      </c>
      <c r="M841" s="103"/>
      <c r="N841" s="93" t="s">
        <v>373</v>
      </c>
      <c r="O841" s="94">
        <v>46146</v>
      </c>
      <c r="P841" s="104">
        <f t="shared" si="116"/>
        <v>65</v>
      </c>
      <c r="Q841" s="104">
        <f t="shared" si="117"/>
        <v>1170</v>
      </c>
      <c r="R841" s="104"/>
      <c r="S841" s="93" t="s">
        <v>374</v>
      </c>
      <c r="T841" s="94">
        <v>46156</v>
      </c>
      <c r="U841" s="104">
        <f t="shared" si="118"/>
        <v>65</v>
      </c>
      <c r="V841" s="104">
        <f t="shared" si="119"/>
        <v>18</v>
      </c>
      <c r="W841" s="103">
        <f t="shared" si="120"/>
        <v>1170</v>
      </c>
      <c r="X841" s="93" t="s">
        <v>89</v>
      </c>
      <c r="Y841" s="105" t="s">
        <v>84</v>
      </c>
      <c r="Z841" s="105" t="s">
        <v>93</v>
      </c>
    </row>
    <row r="842" spans="1:26" s="105" customFormat="1" ht="15" customHeight="1">
      <c r="A842" s="99">
        <f t="shared" si="114"/>
        <v>840</v>
      </c>
      <c r="B842" s="75" t="s">
        <v>1056</v>
      </c>
      <c r="C842" s="100" t="str">
        <f>IF($B842&lt;&gt;"",_xlfn.IFNA(VLOOKUP($B842,'Node Details'!$B:$U,C$1,0),"Check"),"")</f>
        <v>AXW020106-AXW020108</v>
      </c>
      <c r="D842" s="100" t="str">
        <f>IF($B842&lt;&gt;"",_xlfn.IFNA(VLOOKUP($B842,'Node Details'!$B:$U,D$1,0),"Check"),"")</f>
        <v>AXW</v>
      </c>
      <c r="E842" s="100" t="str">
        <f>IF($B842&lt;&gt;"",_xlfn.IFNA(VLOOKUP($B842,'Node Details'!$B:$U,E$1,0),"Check"),"")</f>
        <v>Airtel</v>
      </c>
      <c r="F842" s="101">
        <v>46114</v>
      </c>
      <c r="G842" s="103"/>
      <c r="H842" s="102" t="s">
        <v>1260</v>
      </c>
      <c r="I842" s="9">
        <v>6</v>
      </c>
      <c r="J842" s="9">
        <v>65</v>
      </c>
      <c r="K842" s="100">
        <f t="shared" si="115"/>
        <v>390</v>
      </c>
      <c r="L842" s="78">
        <v>46112</v>
      </c>
      <c r="M842" s="103"/>
      <c r="N842" s="93" t="s">
        <v>373</v>
      </c>
      <c r="O842" s="94">
        <v>46146</v>
      </c>
      <c r="P842" s="104">
        <f t="shared" si="116"/>
        <v>65</v>
      </c>
      <c r="Q842" s="104">
        <f t="shared" si="117"/>
        <v>390</v>
      </c>
      <c r="R842" s="104"/>
      <c r="S842" s="93" t="s">
        <v>374</v>
      </c>
      <c r="T842" s="94">
        <v>46156</v>
      </c>
      <c r="U842" s="104">
        <f t="shared" si="118"/>
        <v>65</v>
      </c>
      <c r="V842" s="104">
        <f t="shared" si="119"/>
        <v>6</v>
      </c>
      <c r="W842" s="103">
        <f t="shared" si="120"/>
        <v>390</v>
      </c>
      <c r="X842" s="93" t="s">
        <v>89</v>
      </c>
      <c r="Y842" s="105" t="s">
        <v>84</v>
      </c>
      <c r="Z842" s="105" t="s">
        <v>93</v>
      </c>
    </row>
    <row r="843" spans="1:26" s="105" customFormat="1" ht="15" customHeight="1">
      <c r="A843" s="99">
        <f t="shared" si="114"/>
        <v>841</v>
      </c>
      <c r="B843" s="75" t="s">
        <v>403</v>
      </c>
      <c r="C843" s="100" t="str">
        <f>IF($B843&lt;&gt;"",_xlfn.IFNA(VLOOKUP($B843,'Node Details'!$B:$U,C$1,0),"Check"),"")</f>
        <v>AXW020106-AXW020108</v>
      </c>
      <c r="D843" s="100" t="str">
        <f>IF($B843&lt;&gt;"",_xlfn.IFNA(VLOOKUP($B843,'Node Details'!$B:$U,D$1,0),"Check"),"")</f>
        <v>AXW</v>
      </c>
      <c r="E843" s="100" t="str">
        <f>IF($B843&lt;&gt;"",_xlfn.IFNA(VLOOKUP($B843,'Node Details'!$B:$U,E$1,0),"Check"),"")</f>
        <v>Airtel</v>
      </c>
      <c r="F843" s="101">
        <v>46114</v>
      </c>
      <c r="G843" s="103"/>
      <c r="H843" s="102" t="s">
        <v>1260</v>
      </c>
      <c r="I843" s="9">
        <v>4</v>
      </c>
      <c r="J843" s="9">
        <v>65</v>
      </c>
      <c r="K843" s="100">
        <f t="shared" si="115"/>
        <v>260</v>
      </c>
      <c r="L843" s="78">
        <v>46112</v>
      </c>
      <c r="M843" s="103"/>
      <c r="N843" s="93" t="s">
        <v>373</v>
      </c>
      <c r="O843" s="94">
        <v>46146</v>
      </c>
      <c r="P843" s="104">
        <f t="shared" si="116"/>
        <v>65</v>
      </c>
      <c r="Q843" s="104">
        <f t="shared" si="117"/>
        <v>260</v>
      </c>
      <c r="R843" s="104"/>
      <c r="S843" s="93" t="s">
        <v>374</v>
      </c>
      <c r="T843" s="94">
        <v>46156</v>
      </c>
      <c r="U843" s="104">
        <f t="shared" si="118"/>
        <v>65</v>
      </c>
      <c r="V843" s="104">
        <f t="shared" si="119"/>
        <v>4</v>
      </c>
      <c r="W843" s="103">
        <f t="shared" si="120"/>
        <v>260</v>
      </c>
      <c r="X843" s="93" t="s">
        <v>89</v>
      </c>
      <c r="Y843" s="105" t="s">
        <v>84</v>
      </c>
      <c r="Z843" s="105" t="s">
        <v>93</v>
      </c>
    </row>
    <row r="844" spans="1:26" s="105" customFormat="1" ht="15" customHeight="1">
      <c r="A844" s="99">
        <f t="shared" si="114"/>
        <v>842</v>
      </c>
      <c r="B844" s="75" t="s">
        <v>1057</v>
      </c>
      <c r="C844" s="100" t="str">
        <f>IF($B844&lt;&gt;"",_xlfn.IFNA(VLOOKUP($B844,'Node Details'!$B:$U,C$1,0),"Check"),"")</f>
        <v>AXW020106-AXW020203</v>
      </c>
      <c r="D844" s="100" t="str">
        <f>IF($B844&lt;&gt;"",_xlfn.IFNA(VLOOKUP($B844,'Node Details'!$B:$U,D$1,0),"Check"),"")</f>
        <v>AXW</v>
      </c>
      <c r="E844" s="100" t="str">
        <f>IF($B844&lt;&gt;"",_xlfn.IFNA(VLOOKUP($B844,'Node Details'!$B:$U,E$1,0),"Check"),"")</f>
        <v>Airtel</v>
      </c>
      <c r="F844" s="101">
        <v>46114</v>
      </c>
      <c r="G844" s="103"/>
      <c r="H844" s="102" t="s">
        <v>1260</v>
      </c>
      <c r="I844" s="9">
        <v>2</v>
      </c>
      <c r="J844" s="9">
        <v>65</v>
      </c>
      <c r="K844" s="100">
        <f t="shared" si="115"/>
        <v>130</v>
      </c>
      <c r="L844" s="78">
        <v>46112</v>
      </c>
      <c r="M844" s="103"/>
      <c r="N844" s="93" t="s">
        <v>373</v>
      </c>
      <c r="O844" s="94">
        <v>46146</v>
      </c>
      <c r="P844" s="104">
        <f t="shared" si="116"/>
        <v>65</v>
      </c>
      <c r="Q844" s="104">
        <f t="shared" si="117"/>
        <v>130</v>
      </c>
      <c r="R844" s="104"/>
      <c r="S844" s="93" t="s">
        <v>374</v>
      </c>
      <c r="T844" s="94">
        <v>46156</v>
      </c>
      <c r="U844" s="104">
        <f t="shared" si="118"/>
        <v>65</v>
      </c>
      <c r="V844" s="104">
        <f t="shared" si="119"/>
        <v>2</v>
      </c>
      <c r="W844" s="103">
        <f t="shared" si="120"/>
        <v>130</v>
      </c>
      <c r="X844" s="93" t="s">
        <v>89</v>
      </c>
      <c r="Y844" s="105" t="s">
        <v>84</v>
      </c>
      <c r="Z844" s="105" t="s">
        <v>93</v>
      </c>
    </row>
    <row r="845" spans="1:26" s="105" customFormat="1" ht="15" customHeight="1">
      <c r="A845" s="99">
        <f t="shared" si="114"/>
        <v>843</v>
      </c>
      <c r="B845" s="75" t="s">
        <v>407</v>
      </c>
      <c r="C845" s="100" t="str">
        <f>IF($B845&lt;&gt;"",_xlfn.IFNA(VLOOKUP($B845,'Node Details'!$B:$U,C$1,0),"Check"),"")</f>
        <v>000000AXW-0000AXW05</v>
      </c>
      <c r="D845" s="100" t="str">
        <f>IF($B845&lt;&gt;"",_xlfn.IFNA(VLOOKUP($B845,'Node Details'!$B:$U,D$1,0),"Check"),"")</f>
        <v>AXW</v>
      </c>
      <c r="E845" s="100" t="str">
        <f>IF($B845&lt;&gt;"",_xlfn.IFNA(VLOOKUP($B845,'Node Details'!$B:$U,E$1,0),"Check"),"")</f>
        <v>Airtel</v>
      </c>
      <c r="F845" s="101">
        <v>46114</v>
      </c>
      <c r="G845" s="103"/>
      <c r="H845" s="102" t="s">
        <v>1260</v>
      </c>
      <c r="I845" s="9">
        <v>42</v>
      </c>
      <c r="J845" s="9">
        <v>65</v>
      </c>
      <c r="K845" s="100">
        <f t="shared" si="115"/>
        <v>2730</v>
      </c>
      <c r="L845" s="78">
        <v>46112</v>
      </c>
      <c r="M845" s="103"/>
      <c r="N845" s="93" t="s">
        <v>373</v>
      </c>
      <c r="O845" s="94">
        <v>46146</v>
      </c>
      <c r="P845" s="104">
        <f t="shared" si="116"/>
        <v>65</v>
      </c>
      <c r="Q845" s="104">
        <f t="shared" si="117"/>
        <v>2730</v>
      </c>
      <c r="R845" s="104"/>
      <c r="S845" s="93" t="s">
        <v>374</v>
      </c>
      <c r="T845" s="94">
        <v>46156</v>
      </c>
      <c r="U845" s="104">
        <f t="shared" si="118"/>
        <v>65</v>
      </c>
      <c r="V845" s="104">
        <f t="shared" si="119"/>
        <v>42</v>
      </c>
      <c r="W845" s="103">
        <f t="shared" si="120"/>
        <v>2730</v>
      </c>
      <c r="X845" s="93" t="s">
        <v>89</v>
      </c>
      <c r="Y845" s="105" t="s">
        <v>84</v>
      </c>
      <c r="Z845" s="105" t="s">
        <v>93</v>
      </c>
    </row>
    <row r="846" spans="1:26" s="105" customFormat="1" ht="15" customHeight="1">
      <c r="A846" s="99">
        <f t="shared" si="114"/>
        <v>844</v>
      </c>
      <c r="B846" s="75" t="s">
        <v>1059</v>
      </c>
      <c r="C846" s="100" t="str">
        <f>IF($B846&lt;&gt;"",_xlfn.IFNA(VLOOKUP($B846,'Node Details'!$B:$U,C$1,0),"Check"),"")</f>
        <v>0000AXW03-AXW030104</v>
      </c>
      <c r="D846" s="100" t="str">
        <f>IF($B846&lt;&gt;"",_xlfn.IFNA(VLOOKUP($B846,'Node Details'!$B:$U,D$1,0),"Check"),"")</f>
        <v>AXW</v>
      </c>
      <c r="E846" s="100" t="str">
        <f>IF($B846&lt;&gt;"",_xlfn.IFNA(VLOOKUP($B846,'Node Details'!$B:$U,E$1,0),"Check"),"")</f>
        <v>Airtel</v>
      </c>
      <c r="F846" s="101">
        <v>46114</v>
      </c>
      <c r="G846" s="103"/>
      <c r="H846" s="102" t="s">
        <v>1260</v>
      </c>
      <c r="I846" s="9">
        <v>8</v>
      </c>
      <c r="J846" s="9">
        <v>65</v>
      </c>
      <c r="K846" s="100">
        <f t="shared" si="115"/>
        <v>520</v>
      </c>
      <c r="L846" s="78">
        <v>46112</v>
      </c>
      <c r="M846" s="103"/>
      <c r="N846" s="93" t="s">
        <v>373</v>
      </c>
      <c r="O846" s="94">
        <v>46146</v>
      </c>
      <c r="P846" s="104">
        <f t="shared" si="116"/>
        <v>65</v>
      </c>
      <c r="Q846" s="104">
        <f t="shared" si="117"/>
        <v>520</v>
      </c>
      <c r="R846" s="104"/>
      <c r="S846" s="93" t="s">
        <v>374</v>
      </c>
      <c r="T846" s="94">
        <v>46156</v>
      </c>
      <c r="U846" s="104">
        <f t="shared" si="118"/>
        <v>65</v>
      </c>
      <c r="V846" s="104">
        <f t="shared" si="119"/>
        <v>8</v>
      </c>
      <c r="W846" s="103">
        <f t="shared" si="120"/>
        <v>520</v>
      </c>
      <c r="X846" s="93" t="s">
        <v>89</v>
      </c>
      <c r="Y846" s="105" t="s">
        <v>84</v>
      </c>
      <c r="Z846" s="105" t="s">
        <v>93</v>
      </c>
    </row>
    <row r="847" spans="1:26" s="105" customFormat="1" ht="15" customHeight="1">
      <c r="A847" s="99">
        <f t="shared" si="114"/>
        <v>845</v>
      </c>
      <c r="B847" s="75" t="s">
        <v>1060</v>
      </c>
      <c r="C847" s="100" t="str">
        <f>IF($B847&lt;&gt;"",_xlfn.IFNA(VLOOKUP($B847,'Node Details'!$B:$U,C$1,0),"Check"),"")</f>
        <v>0000AXW03-AXW030104</v>
      </c>
      <c r="D847" s="100" t="str">
        <f>IF($B847&lt;&gt;"",_xlfn.IFNA(VLOOKUP($B847,'Node Details'!$B:$U,D$1,0),"Check"),"")</f>
        <v>AXW</v>
      </c>
      <c r="E847" s="100" t="str">
        <f>IF($B847&lt;&gt;"",_xlfn.IFNA(VLOOKUP($B847,'Node Details'!$B:$U,E$1,0),"Check"),"")</f>
        <v>Airtel</v>
      </c>
      <c r="F847" s="101">
        <v>46114</v>
      </c>
      <c r="G847" s="103"/>
      <c r="H847" s="102" t="s">
        <v>1260</v>
      </c>
      <c r="I847" s="9">
        <v>6</v>
      </c>
      <c r="J847" s="9">
        <v>65</v>
      </c>
      <c r="K847" s="100">
        <f t="shared" si="115"/>
        <v>390</v>
      </c>
      <c r="L847" s="78">
        <v>46112</v>
      </c>
      <c r="M847" s="103"/>
      <c r="N847" s="93" t="s">
        <v>373</v>
      </c>
      <c r="O847" s="94">
        <v>46146</v>
      </c>
      <c r="P847" s="104">
        <f t="shared" si="116"/>
        <v>65</v>
      </c>
      <c r="Q847" s="104">
        <f t="shared" si="117"/>
        <v>390</v>
      </c>
      <c r="R847" s="104"/>
      <c r="S847" s="93" t="s">
        <v>374</v>
      </c>
      <c r="T847" s="94">
        <v>46156</v>
      </c>
      <c r="U847" s="104">
        <f t="shared" si="118"/>
        <v>65</v>
      </c>
      <c r="V847" s="104">
        <f t="shared" si="119"/>
        <v>6</v>
      </c>
      <c r="W847" s="103">
        <f t="shared" si="120"/>
        <v>390</v>
      </c>
      <c r="X847" s="93" t="s">
        <v>89</v>
      </c>
      <c r="Y847" s="105" t="s">
        <v>84</v>
      </c>
      <c r="Z847" s="105" t="s">
        <v>93</v>
      </c>
    </row>
    <row r="848" spans="1:26" s="105" customFormat="1" ht="15" customHeight="1">
      <c r="A848" s="99">
        <f t="shared" si="114"/>
        <v>846</v>
      </c>
      <c r="B848" s="75" t="s">
        <v>1061</v>
      </c>
      <c r="C848" s="100" t="str">
        <f>IF($B848&lt;&gt;"",_xlfn.IFNA(VLOOKUP($B848,'Node Details'!$B:$U,C$1,0),"Check"),"")</f>
        <v>0000AXW03-AXW030104</v>
      </c>
      <c r="D848" s="100" t="str">
        <f>IF($B848&lt;&gt;"",_xlfn.IFNA(VLOOKUP($B848,'Node Details'!$B:$U,D$1,0),"Check"),"")</f>
        <v>AXW</v>
      </c>
      <c r="E848" s="100" t="str">
        <f>IF($B848&lt;&gt;"",_xlfn.IFNA(VLOOKUP($B848,'Node Details'!$B:$U,E$1,0),"Check"),"")</f>
        <v>Airtel</v>
      </c>
      <c r="F848" s="101">
        <v>46114</v>
      </c>
      <c r="G848" s="103"/>
      <c r="H848" s="102" t="s">
        <v>1260</v>
      </c>
      <c r="I848" s="9">
        <v>4</v>
      </c>
      <c r="J848" s="9">
        <v>65</v>
      </c>
      <c r="K848" s="100">
        <f t="shared" si="115"/>
        <v>260</v>
      </c>
      <c r="L848" s="78">
        <v>46112</v>
      </c>
      <c r="M848" s="103"/>
      <c r="N848" s="93" t="s">
        <v>373</v>
      </c>
      <c r="O848" s="94">
        <v>46146</v>
      </c>
      <c r="P848" s="104">
        <f t="shared" si="116"/>
        <v>65</v>
      </c>
      <c r="Q848" s="104">
        <f t="shared" si="117"/>
        <v>260</v>
      </c>
      <c r="R848" s="104"/>
      <c r="S848" s="93" t="s">
        <v>374</v>
      </c>
      <c r="T848" s="94">
        <v>46156</v>
      </c>
      <c r="U848" s="104">
        <f t="shared" si="118"/>
        <v>65</v>
      </c>
      <c r="V848" s="104">
        <f t="shared" si="119"/>
        <v>4</v>
      </c>
      <c r="W848" s="103">
        <f t="shared" si="120"/>
        <v>260</v>
      </c>
      <c r="X848" s="93" t="s">
        <v>89</v>
      </c>
      <c r="Y848" s="105" t="s">
        <v>84</v>
      </c>
      <c r="Z848" s="105" t="s">
        <v>93</v>
      </c>
    </row>
    <row r="849" spans="1:26" s="105" customFormat="1" ht="15" customHeight="1">
      <c r="A849" s="99">
        <f t="shared" si="114"/>
        <v>847</v>
      </c>
      <c r="B849" s="75" t="s">
        <v>408</v>
      </c>
      <c r="C849" s="100" t="str">
        <f>IF($B849&lt;&gt;"",_xlfn.IFNA(VLOOKUP($B849,'Node Details'!$B:$U,C$1,0),"Check"),"")</f>
        <v>0000AXW03-AXW030104</v>
      </c>
      <c r="D849" s="100" t="str">
        <f>IF($B849&lt;&gt;"",_xlfn.IFNA(VLOOKUP($B849,'Node Details'!$B:$U,D$1,0),"Check"),"")</f>
        <v>AXW</v>
      </c>
      <c r="E849" s="100" t="str">
        <f>IF($B849&lt;&gt;"",_xlfn.IFNA(VLOOKUP($B849,'Node Details'!$B:$U,E$1,0),"Check"),"")</f>
        <v>Airtel</v>
      </c>
      <c r="F849" s="101">
        <v>46114</v>
      </c>
      <c r="G849" s="103"/>
      <c r="H849" s="102" t="s">
        <v>1260</v>
      </c>
      <c r="I849" s="9">
        <v>2</v>
      </c>
      <c r="J849" s="9">
        <v>65</v>
      </c>
      <c r="K849" s="100">
        <f t="shared" si="115"/>
        <v>130</v>
      </c>
      <c r="L849" s="78">
        <v>46112</v>
      </c>
      <c r="M849" s="103"/>
      <c r="N849" s="93" t="s">
        <v>373</v>
      </c>
      <c r="O849" s="94">
        <v>46146</v>
      </c>
      <c r="P849" s="104">
        <f t="shared" si="116"/>
        <v>65</v>
      </c>
      <c r="Q849" s="104">
        <f t="shared" si="117"/>
        <v>130</v>
      </c>
      <c r="R849" s="104"/>
      <c r="S849" s="93" t="s">
        <v>374</v>
      </c>
      <c r="T849" s="94">
        <v>46156</v>
      </c>
      <c r="U849" s="104">
        <f t="shared" si="118"/>
        <v>65</v>
      </c>
      <c r="V849" s="104">
        <f t="shared" si="119"/>
        <v>2</v>
      </c>
      <c r="W849" s="103">
        <f t="shared" si="120"/>
        <v>130</v>
      </c>
      <c r="X849" s="93" t="s">
        <v>89</v>
      </c>
      <c r="Y849" s="105" t="s">
        <v>84</v>
      </c>
      <c r="Z849" s="105" t="s">
        <v>93</v>
      </c>
    </row>
    <row r="850" spans="1:26" s="105" customFormat="1" ht="15" customHeight="1">
      <c r="A850" s="99">
        <f t="shared" si="114"/>
        <v>848</v>
      </c>
      <c r="B850" s="75" t="s">
        <v>414</v>
      </c>
      <c r="C850" s="100" t="str">
        <f>IF($B850&lt;&gt;"",_xlfn.IFNA(VLOOKUP($B850,'Node Details'!$B:$U,C$1,0),"Check"),"")</f>
        <v>000000AXW-0000AXW05</v>
      </c>
      <c r="D850" s="100" t="str">
        <f>IF($B850&lt;&gt;"",_xlfn.IFNA(VLOOKUP($B850,'Node Details'!$B:$U,D$1,0),"Check"),"")</f>
        <v>AXW</v>
      </c>
      <c r="E850" s="100" t="str">
        <f>IF($B850&lt;&gt;"",_xlfn.IFNA(VLOOKUP($B850,'Node Details'!$B:$U,E$1,0),"Check"),"")</f>
        <v>Airtel</v>
      </c>
      <c r="F850" s="101">
        <v>46114</v>
      </c>
      <c r="G850" s="103"/>
      <c r="H850" s="102" t="s">
        <v>1260</v>
      </c>
      <c r="I850" s="9">
        <v>42</v>
      </c>
      <c r="J850" s="9">
        <v>65</v>
      </c>
      <c r="K850" s="100">
        <f t="shared" si="115"/>
        <v>2730</v>
      </c>
      <c r="L850" s="78">
        <v>46112</v>
      </c>
      <c r="M850" s="103"/>
      <c r="N850" s="93" t="s">
        <v>373</v>
      </c>
      <c r="O850" s="94">
        <v>46146</v>
      </c>
      <c r="P850" s="104">
        <f t="shared" si="116"/>
        <v>65</v>
      </c>
      <c r="Q850" s="104">
        <f t="shared" si="117"/>
        <v>2730</v>
      </c>
      <c r="R850" s="104"/>
      <c r="S850" s="93" t="s">
        <v>374</v>
      </c>
      <c r="T850" s="94">
        <v>46156</v>
      </c>
      <c r="U850" s="104">
        <f t="shared" si="118"/>
        <v>65</v>
      </c>
      <c r="V850" s="104">
        <f t="shared" si="119"/>
        <v>42</v>
      </c>
      <c r="W850" s="103">
        <f t="shared" si="120"/>
        <v>2730</v>
      </c>
      <c r="X850" s="93" t="s">
        <v>89</v>
      </c>
      <c r="Y850" s="105" t="s">
        <v>84</v>
      </c>
      <c r="Z850" s="105" t="s">
        <v>93</v>
      </c>
    </row>
    <row r="851" spans="1:26" s="105" customFormat="1" ht="15" customHeight="1">
      <c r="A851" s="99">
        <f t="shared" si="114"/>
        <v>849</v>
      </c>
      <c r="B851" s="75" t="s">
        <v>1064</v>
      </c>
      <c r="C851" s="100" t="str">
        <f>IF($B851&lt;&gt;"",_xlfn.IFNA(VLOOKUP($B851,'Node Details'!$B:$U,C$1,0),"Check"),"")</f>
        <v>0000AXW04-AXW040105</v>
      </c>
      <c r="D851" s="100" t="str">
        <f>IF($B851&lt;&gt;"",_xlfn.IFNA(VLOOKUP($B851,'Node Details'!$B:$U,D$1,0),"Check"),"")</f>
        <v>AXW</v>
      </c>
      <c r="E851" s="100" t="str">
        <f>IF($B851&lt;&gt;"",_xlfn.IFNA(VLOOKUP($B851,'Node Details'!$B:$U,E$1,0),"Check"),"")</f>
        <v>Airtel</v>
      </c>
      <c r="F851" s="101">
        <v>46114</v>
      </c>
      <c r="G851" s="103"/>
      <c r="H851" s="102" t="s">
        <v>1260</v>
      </c>
      <c r="I851" s="9">
        <v>18</v>
      </c>
      <c r="J851" s="9">
        <v>65</v>
      </c>
      <c r="K851" s="100">
        <f t="shared" si="115"/>
        <v>1170</v>
      </c>
      <c r="L851" s="78">
        <v>46112</v>
      </c>
      <c r="M851" s="103"/>
      <c r="N851" s="93" t="s">
        <v>373</v>
      </c>
      <c r="O851" s="94">
        <v>46146</v>
      </c>
      <c r="P851" s="104">
        <f t="shared" si="116"/>
        <v>65</v>
      </c>
      <c r="Q851" s="104">
        <f t="shared" si="117"/>
        <v>1170</v>
      </c>
      <c r="R851" s="104"/>
      <c r="S851" s="93" t="s">
        <v>374</v>
      </c>
      <c r="T851" s="94">
        <v>46156</v>
      </c>
      <c r="U851" s="104">
        <f t="shared" si="118"/>
        <v>65</v>
      </c>
      <c r="V851" s="104">
        <f t="shared" si="119"/>
        <v>18</v>
      </c>
      <c r="W851" s="103">
        <f t="shared" si="120"/>
        <v>1170</v>
      </c>
      <c r="X851" s="93" t="s">
        <v>89</v>
      </c>
      <c r="Y851" s="105" t="s">
        <v>84</v>
      </c>
      <c r="Z851" s="105" t="s">
        <v>93</v>
      </c>
    </row>
    <row r="852" spans="1:26" s="105" customFormat="1" ht="15" customHeight="1">
      <c r="A852" s="99">
        <f t="shared" si="114"/>
        <v>850</v>
      </c>
      <c r="B852" s="75" t="s">
        <v>417</v>
      </c>
      <c r="C852" s="100" t="str">
        <f>IF($B852&lt;&gt;"",_xlfn.IFNA(VLOOKUP($B852,'Node Details'!$B:$U,C$1,0),"Check"),"")</f>
        <v>0000AXW04-AXW040105</v>
      </c>
      <c r="D852" s="100" t="str">
        <f>IF($B852&lt;&gt;"",_xlfn.IFNA(VLOOKUP($B852,'Node Details'!$B:$U,D$1,0),"Check"),"")</f>
        <v>AXW</v>
      </c>
      <c r="E852" s="100" t="str">
        <f>IF($B852&lt;&gt;"",_xlfn.IFNA(VLOOKUP($B852,'Node Details'!$B:$U,E$1,0),"Check"),"")</f>
        <v>Airtel</v>
      </c>
      <c r="F852" s="101">
        <v>46114</v>
      </c>
      <c r="G852" s="103"/>
      <c r="H852" s="102" t="s">
        <v>1260</v>
      </c>
      <c r="I852" s="9">
        <v>16</v>
      </c>
      <c r="J852" s="9">
        <v>65</v>
      </c>
      <c r="K852" s="100">
        <f t="shared" si="115"/>
        <v>1040</v>
      </c>
      <c r="L852" s="78">
        <v>46112</v>
      </c>
      <c r="M852" s="103"/>
      <c r="N852" s="93" t="s">
        <v>373</v>
      </c>
      <c r="O852" s="94">
        <v>46146</v>
      </c>
      <c r="P852" s="104">
        <f t="shared" si="116"/>
        <v>65</v>
      </c>
      <c r="Q852" s="104">
        <f t="shared" si="117"/>
        <v>1040</v>
      </c>
      <c r="R852" s="104"/>
      <c r="S852" s="93" t="s">
        <v>374</v>
      </c>
      <c r="T852" s="94">
        <v>46156</v>
      </c>
      <c r="U852" s="104">
        <f t="shared" si="118"/>
        <v>65</v>
      </c>
      <c r="V852" s="104">
        <f t="shared" si="119"/>
        <v>16</v>
      </c>
      <c r="W852" s="103">
        <f t="shared" si="120"/>
        <v>1040</v>
      </c>
      <c r="X852" s="93" t="s">
        <v>89</v>
      </c>
      <c r="Y852" s="105" t="s">
        <v>84</v>
      </c>
      <c r="Z852" s="105" t="s">
        <v>93</v>
      </c>
    </row>
    <row r="853" spans="1:26" s="105" customFormat="1" ht="15" customHeight="1">
      <c r="A853" s="99">
        <f t="shared" si="114"/>
        <v>851</v>
      </c>
      <c r="B853" s="75" t="s">
        <v>371</v>
      </c>
      <c r="C853" s="100" t="str">
        <f>IF($B853&lt;&gt;"",_xlfn.IFNA(VLOOKUP($B853,'Node Details'!$B:$U,C$1,0),"Check"),"")</f>
        <v>000000AXW-0000AXW05</v>
      </c>
      <c r="D853" s="100" t="str">
        <f>IF($B853&lt;&gt;"",_xlfn.IFNA(VLOOKUP($B853,'Node Details'!$B:$U,D$1,0),"Check"),"")</f>
        <v>AXW</v>
      </c>
      <c r="E853" s="100" t="str">
        <f>IF($B853&lt;&gt;"",_xlfn.IFNA(VLOOKUP($B853,'Node Details'!$B:$U,E$1,0),"Check"),"")</f>
        <v>Airtel</v>
      </c>
      <c r="F853" s="101">
        <v>46114</v>
      </c>
      <c r="G853" s="103"/>
      <c r="H853" s="102" t="s">
        <v>1260</v>
      </c>
      <c r="I853" s="9">
        <v>6</v>
      </c>
      <c r="J853" s="9">
        <v>65</v>
      </c>
      <c r="K853" s="100">
        <f t="shared" si="115"/>
        <v>390</v>
      </c>
      <c r="L853" s="78">
        <v>46112</v>
      </c>
      <c r="M853" s="103"/>
      <c r="N853" s="93" t="s">
        <v>373</v>
      </c>
      <c r="O853" s="94">
        <v>46146</v>
      </c>
      <c r="P853" s="104">
        <f t="shared" si="116"/>
        <v>65</v>
      </c>
      <c r="Q853" s="104">
        <f t="shared" si="117"/>
        <v>390</v>
      </c>
      <c r="R853" s="104"/>
      <c r="S853" s="93" t="s">
        <v>374</v>
      </c>
      <c r="T853" s="94">
        <v>46156</v>
      </c>
      <c r="U853" s="104">
        <f t="shared" si="118"/>
        <v>65</v>
      </c>
      <c r="V853" s="104">
        <f t="shared" si="119"/>
        <v>6</v>
      </c>
      <c r="W853" s="103">
        <f t="shared" si="120"/>
        <v>390</v>
      </c>
      <c r="X853" s="93" t="s">
        <v>89</v>
      </c>
      <c r="Y853" s="105" t="s">
        <v>84</v>
      </c>
      <c r="Z853" s="105" t="s">
        <v>93</v>
      </c>
    </row>
    <row r="854" spans="1:26" s="105" customFormat="1" ht="15" customHeight="1">
      <c r="A854" s="99">
        <f t="shared" si="114"/>
        <v>852</v>
      </c>
      <c r="B854" s="75" t="s">
        <v>1065</v>
      </c>
      <c r="C854" s="100" t="str">
        <f>IF($B854&lt;&gt;"",_xlfn.IFNA(VLOOKUP($B854,'Node Details'!$B:$U,C$1,0),"Check"),"")</f>
        <v>00AXW-FMS-AXW040201</v>
      </c>
      <c r="D854" s="100" t="str">
        <f>IF($B854&lt;&gt;"",_xlfn.IFNA(VLOOKUP($B854,'Node Details'!$B:$U,D$1,0),"Check"),"")</f>
        <v>AXW</v>
      </c>
      <c r="E854" s="100" t="str">
        <f>IF($B854&lt;&gt;"",_xlfn.IFNA(VLOOKUP($B854,'Node Details'!$B:$U,E$1,0),"Check"),"")</f>
        <v>Airtel</v>
      </c>
      <c r="F854" s="101">
        <v>46114</v>
      </c>
      <c r="G854" s="103"/>
      <c r="H854" s="102" t="s">
        <v>1260</v>
      </c>
      <c r="I854" s="9">
        <v>4</v>
      </c>
      <c r="J854" s="9">
        <v>65</v>
      </c>
      <c r="K854" s="100">
        <f t="shared" si="115"/>
        <v>260</v>
      </c>
      <c r="L854" s="78">
        <v>46112</v>
      </c>
      <c r="M854" s="103"/>
      <c r="N854" s="93" t="s">
        <v>373</v>
      </c>
      <c r="O854" s="94">
        <v>46146</v>
      </c>
      <c r="P854" s="104">
        <f t="shared" si="116"/>
        <v>65</v>
      </c>
      <c r="Q854" s="104">
        <f t="shared" si="117"/>
        <v>260</v>
      </c>
      <c r="R854" s="104"/>
      <c r="S854" s="93" t="s">
        <v>374</v>
      </c>
      <c r="T854" s="94">
        <v>46156</v>
      </c>
      <c r="U854" s="104">
        <f t="shared" si="118"/>
        <v>65</v>
      </c>
      <c r="V854" s="104">
        <f t="shared" si="119"/>
        <v>4</v>
      </c>
      <c r="W854" s="103">
        <f t="shared" si="120"/>
        <v>260</v>
      </c>
      <c r="X854" s="93" t="s">
        <v>89</v>
      </c>
      <c r="Y854" s="105" t="s">
        <v>84</v>
      </c>
      <c r="Z854" s="105" t="s">
        <v>93</v>
      </c>
    </row>
    <row r="855" spans="1:26" s="105" customFormat="1" ht="15" customHeight="1">
      <c r="A855" s="99">
        <f t="shared" si="114"/>
        <v>853</v>
      </c>
      <c r="B855" s="75" t="s">
        <v>1066</v>
      </c>
      <c r="C855" s="100" t="str">
        <f>IF($B855&lt;&gt;"",_xlfn.IFNA(VLOOKUP($B855,'Node Details'!$B:$U,C$1,0),"Check"),"")</f>
        <v>00AXW-FMS-AXW040201</v>
      </c>
      <c r="D855" s="100" t="str">
        <f>IF($B855&lt;&gt;"",_xlfn.IFNA(VLOOKUP($B855,'Node Details'!$B:$U,D$1,0),"Check"),"")</f>
        <v>AXW</v>
      </c>
      <c r="E855" s="100" t="str">
        <f>IF($B855&lt;&gt;"",_xlfn.IFNA(VLOOKUP($B855,'Node Details'!$B:$U,E$1,0),"Check"),"")</f>
        <v>Airtel</v>
      </c>
      <c r="F855" s="101">
        <v>46114</v>
      </c>
      <c r="G855" s="103"/>
      <c r="H855" s="102" t="s">
        <v>1260</v>
      </c>
      <c r="I855" s="9">
        <v>2</v>
      </c>
      <c r="J855" s="9">
        <v>65</v>
      </c>
      <c r="K855" s="100">
        <f t="shared" si="115"/>
        <v>130</v>
      </c>
      <c r="L855" s="78">
        <v>46112</v>
      </c>
      <c r="M855" s="103"/>
      <c r="N855" s="93" t="s">
        <v>373</v>
      </c>
      <c r="O855" s="94">
        <v>46146</v>
      </c>
      <c r="P855" s="104">
        <f t="shared" si="116"/>
        <v>65</v>
      </c>
      <c r="Q855" s="104">
        <f t="shared" si="117"/>
        <v>130</v>
      </c>
      <c r="R855" s="104"/>
      <c r="S855" s="93" t="s">
        <v>374</v>
      </c>
      <c r="T855" s="94">
        <v>46156</v>
      </c>
      <c r="U855" s="104">
        <f t="shared" si="118"/>
        <v>65</v>
      </c>
      <c r="V855" s="104">
        <f t="shared" si="119"/>
        <v>2</v>
      </c>
      <c r="W855" s="103">
        <f t="shared" si="120"/>
        <v>130</v>
      </c>
      <c r="X855" s="93" t="s">
        <v>89</v>
      </c>
      <c r="Y855" s="105" t="s">
        <v>84</v>
      </c>
      <c r="Z855" s="105" t="s">
        <v>93</v>
      </c>
    </row>
    <row r="856" spans="1:26" s="105" customFormat="1" ht="15" customHeight="1">
      <c r="A856" s="99">
        <f t="shared" si="114"/>
        <v>854</v>
      </c>
      <c r="B856" s="75" t="s">
        <v>372</v>
      </c>
      <c r="C856" s="100" t="str">
        <f>IF($B856&lt;&gt;"",_xlfn.IFNA(VLOOKUP($B856,'Node Details'!$B:$U,C$1,0),"Check"),"")</f>
        <v>000000AXW-0000AXW05</v>
      </c>
      <c r="D856" s="100" t="str">
        <f>IF($B856&lt;&gt;"",_xlfn.IFNA(VLOOKUP($B856,'Node Details'!$B:$U,D$1,0),"Check"),"")</f>
        <v>AXW</v>
      </c>
      <c r="E856" s="100" t="str">
        <f>IF($B856&lt;&gt;"",_xlfn.IFNA(VLOOKUP($B856,'Node Details'!$B:$U,E$1,0),"Check"),"")</f>
        <v>Airtel</v>
      </c>
      <c r="F856" s="101">
        <v>46114</v>
      </c>
      <c r="G856" s="103"/>
      <c r="H856" s="102" t="s">
        <v>1260</v>
      </c>
      <c r="I856" s="9">
        <v>42</v>
      </c>
      <c r="J856" s="9">
        <v>65</v>
      </c>
      <c r="K856" s="100">
        <f t="shared" si="115"/>
        <v>2730</v>
      </c>
      <c r="L856" s="78">
        <v>46112</v>
      </c>
      <c r="M856" s="103"/>
      <c r="N856" s="93" t="s">
        <v>373</v>
      </c>
      <c r="O856" s="94">
        <v>46146</v>
      </c>
      <c r="P856" s="104">
        <f t="shared" si="116"/>
        <v>65</v>
      </c>
      <c r="Q856" s="104">
        <f t="shared" si="117"/>
        <v>2730</v>
      </c>
      <c r="R856" s="104"/>
      <c r="S856" s="93" t="s">
        <v>374</v>
      </c>
      <c r="T856" s="94">
        <v>46156</v>
      </c>
      <c r="U856" s="104">
        <f t="shared" si="118"/>
        <v>65</v>
      </c>
      <c r="V856" s="104">
        <f t="shared" si="119"/>
        <v>42</v>
      </c>
      <c r="W856" s="103">
        <f t="shared" si="120"/>
        <v>2730</v>
      </c>
      <c r="X856" s="93" t="s">
        <v>89</v>
      </c>
      <c r="Y856" s="105" t="s">
        <v>84</v>
      </c>
      <c r="Z856" s="105" t="s">
        <v>93</v>
      </c>
    </row>
    <row r="857" spans="1:26" s="105" customFormat="1" ht="15" customHeight="1">
      <c r="A857" s="99">
        <f t="shared" si="114"/>
        <v>855</v>
      </c>
      <c r="B857" s="75" t="s">
        <v>424</v>
      </c>
      <c r="C857" s="100" t="str">
        <f>IF($B857&lt;&gt;"",_xlfn.IFNA(VLOOKUP($B857,'Node Details'!$B:$U,C$1,0),"Check"),"")</f>
        <v>0000AXW05-AXW050101</v>
      </c>
      <c r="D857" s="100" t="str">
        <f>IF($B857&lt;&gt;"",_xlfn.IFNA(VLOOKUP($B857,'Node Details'!$B:$U,D$1,0),"Check"),"")</f>
        <v>AXW</v>
      </c>
      <c r="E857" s="100" t="str">
        <f>IF($B857&lt;&gt;"",_xlfn.IFNA(VLOOKUP($B857,'Node Details'!$B:$U,E$1,0),"Check"),"")</f>
        <v>Airtel</v>
      </c>
      <c r="F857" s="101">
        <v>46114</v>
      </c>
      <c r="G857" s="103"/>
      <c r="H857" s="102" t="s">
        <v>1260</v>
      </c>
      <c r="I857" s="9">
        <v>16</v>
      </c>
      <c r="J857" s="9">
        <v>65</v>
      </c>
      <c r="K857" s="100">
        <f t="shared" si="115"/>
        <v>1040</v>
      </c>
      <c r="L857" s="78">
        <v>46112</v>
      </c>
      <c r="M857" s="103"/>
      <c r="N857" s="93" t="s">
        <v>373</v>
      </c>
      <c r="O857" s="94">
        <v>46146</v>
      </c>
      <c r="P857" s="104">
        <f t="shared" si="116"/>
        <v>65</v>
      </c>
      <c r="Q857" s="104">
        <f t="shared" si="117"/>
        <v>1040</v>
      </c>
      <c r="R857" s="104"/>
      <c r="S857" s="93" t="s">
        <v>374</v>
      </c>
      <c r="T857" s="94">
        <v>46156</v>
      </c>
      <c r="U857" s="104">
        <f t="shared" si="118"/>
        <v>65</v>
      </c>
      <c r="V857" s="104">
        <f t="shared" si="119"/>
        <v>16</v>
      </c>
      <c r="W857" s="103">
        <f t="shared" si="120"/>
        <v>1040</v>
      </c>
      <c r="X857" s="93" t="s">
        <v>89</v>
      </c>
      <c r="Y857" s="105" t="s">
        <v>84</v>
      </c>
      <c r="Z857" s="105" t="s">
        <v>93</v>
      </c>
    </row>
    <row r="858" spans="1:26" s="105" customFormat="1" ht="15" customHeight="1">
      <c r="A858" s="99">
        <f t="shared" si="114"/>
        <v>856</v>
      </c>
      <c r="B858" s="75" t="s">
        <v>426</v>
      </c>
      <c r="C858" s="100" t="str">
        <f>IF($B858&lt;&gt;"",_xlfn.IFNA(VLOOKUP($B858,'Node Details'!$B:$U,C$1,0),"Check"),"")</f>
        <v>0000AXW05-AXW050102</v>
      </c>
      <c r="D858" s="100" t="str">
        <f>IF($B858&lt;&gt;"",_xlfn.IFNA(VLOOKUP($B858,'Node Details'!$B:$U,D$1,0),"Check"),"")</f>
        <v>AXW</v>
      </c>
      <c r="E858" s="100" t="str">
        <f>IF($B858&lt;&gt;"",_xlfn.IFNA(VLOOKUP($B858,'Node Details'!$B:$U,E$1,0),"Check"),"")</f>
        <v>Airtel</v>
      </c>
      <c r="F858" s="101">
        <v>46114</v>
      </c>
      <c r="G858" s="103"/>
      <c r="H858" s="102" t="s">
        <v>1260</v>
      </c>
      <c r="I858" s="9">
        <v>14</v>
      </c>
      <c r="J858" s="9">
        <v>65</v>
      </c>
      <c r="K858" s="100">
        <f t="shared" si="115"/>
        <v>910</v>
      </c>
      <c r="L858" s="78">
        <v>46112</v>
      </c>
      <c r="M858" s="103"/>
      <c r="N858" s="93" t="s">
        <v>373</v>
      </c>
      <c r="O858" s="94">
        <v>46146</v>
      </c>
      <c r="P858" s="104">
        <f t="shared" si="116"/>
        <v>65</v>
      </c>
      <c r="Q858" s="104">
        <f t="shared" si="117"/>
        <v>910</v>
      </c>
      <c r="R858" s="104"/>
      <c r="S858" s="93" t="s">
        <v>374</v>
      </c>
      <c r="T858" s="94">
        <v>46156</v>
      </c>
      <c r="U858" s="104">
        <f t="shared" si="118"/>
        <v>65</v>
      </c>
      <c r="V858" s="104">
        <f t="shared" si="119"/>
        <v>14</v>
      </c>
      <c r="W858" s="103">
        <f t="shared" si="120"/>
        <v>910</v>
      </c>
      <c r="X858" s="93" t="s">
        <v>89</v>
      </c>
      <c r="Y858" s="105" t="s">
        <v>84</v>
      </c>
      <c r="Z858" s="105" t="s">
        <v>93</v>
      </c>
    </row>
    <row r="859" spans="1:26" s="105" customFormat="1" ht="15" customHeight="1">
      <c r="A859" s="99">
        <f t="shared" si="114"/>
        <v>857</v>
      </c>
      <c r="B859" s="75" t="s">
        <v>428</v>
      </c>
      <c r="C859" s="100" t="str">
        <f>IF($B859&lt;&gt;"",_xlfn.IFNA(VLOOKUP($B859,'Node Details'!$B:$U,C$1,0),"Check"),"")</f>
        <v>0000AXW05-AXW050105</v>
      </c>
      <c r="D859" s="100" t="str">
        <f>IF($B859&lt;&gt;"",_xlfn.IFNA(VLOOKUP($B859,'Node Details'!$B:$U,D$1,0),"Check"),"")</f>
        <v>AXW</v>
      </c>
      <c r="E859" s="100" t="str">
        <f>IF($B859&lt;&gt;"",_xlfn.IFNA(VLOOKUP($B859,'Node Details'!$B:$U,E$1,0),"Check"),"")</f>
        <v>Airtel</v>
      </c>
      <c r="F859" s="101">
        <v>46114</v>
      </c>
      <c r="G859" s="103"/>
      <c r="H859" s="102" t="s">
        <v>1260</v>
      </c>
      <c r="I859" s="9">
        <v>12</v>
      </c>
      <c r="J859" s="9">
        <v>65</v>
      </c>
      <c r="K859" s="100">
        <f t="shared" si="115"/>
        <v>780</v>
      </c>
      <c r="L859" s="78">
        <v>46112</v>
      </c>
      <c r="M859" s="103"/>
      <c r="N859" s="93" t="s">
        <v>373</v>
      </c>
      <c r="O859" s="94">
        <v>46146</v>
      </c>
      <c r="P859" s="104">
        <f t="shared" si="116"/>
        <v>65</v>
      </c>
      <c r="Q859" s="104">
        <f t="shared" si="117"/>
        <v>780</v>
      </c>
      <c r="R859" s="104"/>
      <c r="S859" s="93" t="s">
        <v>374</v>
      </c>
      <c r="T859" s="94">
        <v>46156</v>
      </c>
      <c r="U859" s="104">
        <f t="shared" si="118"/>
        <v>65</v>
      </c>
      <c r="V859" s="104">
        <f t="shared" si="119"/>
        <v>12</v>
      </c>
      <c r="W859" s="103">
        <f t="shared" si="120"/>
        <v>780</v>
      </c>
      <c r="X859" s="93" t="s">
        <v>89</v>
      </c>
      <c r="Y859" s="105" t="s">
        <v>84</v>
      </c>
      <c r="Z859" s="105" t="s">
        <v>93</v>
      </c>
    </row>
    <row r="860" spans="1:26" s="105" customFormat="1" ht="15" customHeight="1">
      <c r="A860" s="99">
        <f t="shared" si="114"/>
        <v>858</v>
      </c>
      <c r="B860" s="75" t="s">
        <v>1068</v>
      </c>
      <c r="C860" s="100" t="str">
        <f>IF($B860&lt;&gt;"",_xlfn.IFNA(VLOOKUP($B860,'Node Details'!$B:$U,C$1,0),"Check"),"")</f>
        <v>0000AXW05-AXW050204</v>
      </c>
      <c r="D860" s="100" t="str">
        <f>IF($B860&lt;&gt;"",_xlfn.IFNA(VLOOKUP($B860,'Node Details'!$B:$U,D$1,0),"Check"),"")</f>
        <v>AXW</v>
      </c>
      <c r="E860" s="100" t="str">
        <f>IF($B860&lt;&gt;"",_xlfn.IFNA(VLOOKUP($B860,'Node Details'!$B:$U,E$1,0),"Check"),"")</f>
        <v>Airtel</v>
      </c>
      <c r="F860" s="101">
        <v>46114</v>
      </c>
      <c r="G860" s="103"/>
      <c r="H860" s="102" t="s">
        <v>1260</v>
      </c>
      <c r="I860" s="9">
        <v>6</v>
      </c>
      <c r="J860" s="9">
        <v>65</v>
      </c>
      <c r="K860" s="100">
        <f t="shared" si="115"/>
        <v>390</v>
      </c>
      <c r="L860" s="78">
        <v>46112</v>
      </c>
      <c r="M860" s="103"/>
      <c r="N860" s="93" t="s">
        <v>373</v>
      </c>
      <c r="O860" s="94">
        <v>46146</v>
      </c>
      <c r="P860" s="104">
        <f t="shared" si="116"/>
        <v>65</v>
      </c>
      <c r="Q860" s="104">
        <f t="shared" si="117"/>
        <v>390</v>
      </c>
      <c r="R860" s="104"/>
      <c r="S860" s="93" t="s">
        <v>374</v>
      </c>
      <c r="T860" s="94">
        <v>46156</v>
      </c>
      <c r="U860" s="104">
        <f t="shared" si="118"/>
        <v>65</v>
      </c>
      <c r="V860" s="104">
        <f t="shared" si="119"/>
        <v>6</v>
      </c>
      <c r="W860" s="103">
        <f t="shared" si="120"/>
        <v>390</v>
      </c>
      <c r="X860" s="93" t="s">
        <v>89</v>
      </c>
      <c r="Y860" s="105" t="s">
        <v>84</v>
      </c>
      <c r="Z860" s="105" t="s">
        <v>93</v>
      </c>
    </row>
    <row r="861" spans="1:26" s="105" customFormat="1" ht="15" customHeight="1">
      <c r="A861" s="99">
        <f t="shared" si="114"/>
        <v>859</v>
      </c>
      <c r="B861" s="75" t="s">
        <v>1069</v>
      </c>
      <c r="C861" s="100" t="str">
        <f>IF($B861&lt;&gt;"",_xlfn.IFNA(VLOOKUP($B861,'Node Details'!$B:$U,C$1,0),"Check"),"")</f>
        <v>0000AXW05-AXW050204</v>
      </c>
      <c r="D861" s="100" t="str">
        <f>IF($B861&lt;&gt;"",_xlfn.IFNA(VLOOKUP($B861,'Node Details'!$B:$U,D$1,0),"Check"),"")</f>
        <v>AXW</v>
      </c>
      <c r="E861" s="100" t="str">
        <f>IF($B861&lt;&gt;"",_xlfn.IFNA(VLOOKUP($B861,'Node Details'!$B:$U,E$1,0),"Check"),"")</f>
        <v>Airtel</v>
      </c>
      <c r="F861" s="101">
        <v>46114</v>
      </c>
      <c r="G861" s="103"/>
      <c r="H861" s="102" t="s">
        <v>1260</v>
      </c>
      <c r="I861" s="9">
        <v>4</v>
      </c>
      <c r="J861" s="9">
        <v>65</v>
      </c>
      <c r="K861" s="100">
        <f t="shared" si="115"/>
        <v>260</v>
      </c>
      <c r="L861" s="78">
        <v>46112</v>
      </c>
      <c r="M861" s="103"/>
      <c r="N861" s="93" t="s">
        <v>373</v>
      </c>
      <c r="O861" s="94">
        <v>46146</v>
      </c>
      <c r="P861" s="104">
        <f t="shared" si="116"/>
        <v>65</v>
      </c>
      <c r="Q861" s="104">
        <f t="shared" si="117"/>
        <v>260</v>
      </c>
      <c r="R861" s="104"/>
      <c r="S861" s="93" t="s">
        <v>374</v>
      </c>
      <c r="T861" s="94">
        <v>46156</v>
      </c>
      <c r="U861" s="104">
        <f t="shared" si="118"/>
        <v>65</v>
      </c>
      <c r="V861" s="104">
        <f t="shared" si="119"/>
        <v>4</v>
      </c>
      <c r="W861" s="103">
        <f t="shared" si="120"/>
        <v>260</v>
      </c>
      <c r="X861" s="93" t="s">
        <v>89</v>
      </c>
      <c r="Y861" s="105" t="s">
        <v>84</v>
      </c>
      <c r="Z861" s="105" t="s">
        <v>93</v>
      </c>
    </row>
    <row r="862" spans="1:26" s="105" customFormat="1" ht="15" customHeight="1">
      <c r="A862" s="99">
        <f t="shared" si="114"/>
        <v>860</v>
      </c>
      <c r="B862" s="75" t="s">
        <v>1070</v>
      </c>
      <c r="C862" s="100" t="str">
        <f>IF($B862&lt;&gt;"",_xlfn.IFNA(VLOOKUP($B862,'Node Details'!$B:$U,C$1,0),"Check"),"")</f>
        <v>0000AXW05-AXW050204</v>
      </c>
      <c r="D862" s="100" t="str">
        <f>IF($B862&lt;&gt;"",_xlfn.IFNA(VLOOKUP($B862,'Node Details'!$B:$U,D$1,0),"Check"),"")</f>
        <v>AXW</v>
      </c>
      <c r="E862" s="100" t="str">
        <f>IF($B862&lt;&gt;"",_xlfn.IFNA(VLOOKUP($B862,'Node Details'!$B:$U,E$1,0),"Check"),"")</f>
        <v>Airtel</v>
      </c>
      <c r="F862" s="101">
        <v>46114</v>
      </c>
      <c r="G862" s="103"/>
      <c r="H862" s="102" t="s">
        <v>1260</v>
      </c>
      <c r="I862" s="9">
        <v>2</v>
      </c>
      <c r="J862" s="9">
        <v>65</v>
      </c>
      <c r="K862" s="100">
        <f t="shared" si="115"/>
        <v>130</v>
      </c>
      <c r="L862" s="78">
        <v>46112</v>
      </c>
      <c r="M862" s="103"/>
      <c r="N862" s="93" t="s">
        <v>373</v>
      </c>
      <c r="O862" s="94">
        <v>46146</v>
      </c>
      <c r="P862" s="104">
        <f t="shared" si="116"/>
        <v>65</v>
      </c>
      <c r="Q862" s="104">
        <f t="shared" si="117"/>
        <v>130</v>
      </c>
      <c r="R862" s="104"/>
      <c r="S862" s="93" t="s">
        <v>374</v>
      </c>
      <c r="T862" s="94">
        <v>46156</v>
      </c>
      <c r="U862" s="104">
        <f t="shared" si="118"/>
        <v>65</v>
      </c>
      <c r="V862" s="104">
        <f t="shared" si="119"/>
        <v>2</v>
      </c>
      <c r="W862" s="103">
        <f t="shared" si="120"/>
        <v>130</v>
      </c>
      <c r="X862" s="93" t="s">
        <v>89</v>
      </c>
      <c r="Y862" s="105" t="s">
        <v>84</v>
      </c>
      <c r="Z862" s="105" t="s">
        <v>93</v>
      </c>
    </row>
    <row r="863" spans="1:26" s="105" customFormat="1" ht="15" customHeight="1">
      <c r="A863" s="99">
        <f t="shared" si="114"/>
        <v>861</v>
      </c>
      <c r="B863" s="75" t="s">
        <v>432</v>
      </c>
      <c r="C863" s="100" t="str">
        <f>IF($B863&lt;&gt;"",_xlfn.IFNA(VLOOKUP($B863,'Node Details'!$B:$U,C$1,0),"Check"),"")</f>
        <v>0000AXW01-0000AXW07</v>
      </c>
      <c r="D863" s="100" t="str">
        <f>IF($B863&lt;&gt;"",_xlfn.IFNA(VLOOKUP($B863,'Node Details'!$B:$U,D$1,0),"Check"),"")</f>
        <v>AXW</v>
      </c>
      <c r="E863" s="100" t="str">
        <f>IF($B863&lt;&gt;"",_xlfn.IFNA(VLOOKUP($B863,'Node Details'!$B:$U,E$1,0),"Check"),"")</f>
        <v>Airtel</v>
      </c>
      <c r="F863" s="101">
        <v>46114</v>
      </c>
      <c r="G863" s="103"/>
      <c r="H863" s="102" t="s">
        <v>1260</v>
      </c>
      <c r="I863" s="9">
        <v>42</v>
      </c>
      <c r="J863" s="9">
        <v>65</v>
      </c>
      <c r="K863" s="100">
        <f t="shared" si="115"/>
        <v>2730</v>
      </c>
      <c r="L863" s="78">
        <v>46112</v>
      </c>
      <c r="M863" s="103"/>
      <c r="N863" s="93" t="s">
        <v>373</v>
      </c>
      <c r="O863" s="94">
        <v>46146</v>
      </c>
      <c r="P863" s="104">
        <f t="shared" si="116"/>
        <v>65</v>
      </c>
      <c r="Q863" s="104">
        <f t="shared" si="117"/>
        <v>2730</v>
      </c>
      <c r="R863" s="104"/>
      <c r="S863" s="93" t="s">
        <v>374</v>
      </c>
      <c r="T863" s="94">
        <v>46156</v>
      </c>
      <c r="U863" s="104">
        <f t="shared" si="118"/>
        <v>65</v>
      </c>
      <c r="V863" s="104">
        <f t="shared" si="119"/>
        <v>42</v>
      </c>
      <c r="W863" s="103">
        <f t="shared" si="120"/>
        <v>2730</v>
      </c>
      <c r="X863" s="93" t="s">
        <v>89</v>
      </c>
      <c r="Y863" s="105" t="s">
        <v>84</v>
      </c>
      <c r="Z863" s="105" t="s">
        <v>93</v>
      </c>
    </row>
    <row r="864" spans="1:26" s="105" customFormat="1" ht="15" customHeight="1">
      <c r="A864" s="99">
        <f t="shared" si="114"/>
        <v>862</v>
      </c>
      <c r="B864" s="75" t="s">
        <v>1073</v>
      </c>
      <c r="C864" s="100" t="str">
        <f>IF($B864&lt;&gt;"",_xlfn.IFNA(VLOOKUP($B864,'Node Details'!$B:$U,C$1,0),"Check"),"")</f>
        <v>0000AXW06-AXW060103</v>
      </c>
      <c r="D864" s="100" t="str">
        <f>IF($B864&lt;&gt;"",_xlfn.IFNA(VLOOKUP($B864,'Node Details'!$B:$U,D$1,0),"Check"),"")</f>
        <v>AXW</v>
      </c>
      <c r="E864" s="100" t="str">
        <f>IF($B864&lt;&gt;"",_xlfn.IFNA(VLOOKUP($B864,'Node Details'!$B:$U,E$1,0),"Check"),"")</f>
        <v>Airtel</v>
      </c>
      <c r="F864" s="101">
        <v>46114</v>
      </c>
      <c r="G864" s="103"/>
      <c r="H864" s="102" t="s">
        <v>1260</v>
      </c>
      <c r="I864" s="9">
        <v>16</v>
      </c>
      <c r="J864" s="9">
        <v>65</v>
      </c>
      <c r="K864" s="100">
        <f t="shared" si="115"/>
        <v>1040</v>
      </c>
      <c r="L864" s="78">
        <v>46112</v>
      </c>
      <c r="M864" s="103"/>
      <c r="N864" s="93" t="s">
        <v>373</v>
      </c>
      <c r="O864" s="94">
        <v>46146</v>
      </c>
      <c r="P864" s="104">
        <f t="shared" si="116"/>
        <v>65</v>
      </c>
      <c r="Q864" s="104">
        <f t="shared" si="117"/>
        <v>1040</v>
      </c>
      <c r="R864" s="104"/>
      <c r="S864" s="93" t="s">
        <v>374</v>
      </c>
      <c r="T864" s="94">
        <v>46156</v>
      </c>
      <c r="U864" s="104">
        <f t="shared" si="118"/>
        <v>65</v>
      </c>
      <c r="V864" s="104">
        <f t="shared" si="119"/>
        <v>16</v>
      </c>
      <c r="W864" s="103">
        <f t="shared" si="120"/>
        <v>1040</v>
      </c>
      <c r="X864" s="93" t="s">
        <v>89</v>
      </c>
      <c r="Y864" s="105" t="s">
        <v>84</v>
      </c>
      <c r="Z864" s="105" t="s">
        <v>93</v>
      </c>
    </row>
    <row r="865" spans="1:26" s="105" customFormat="1" ht="15" customHeight="1">
      <c r="A865" s="99">
        <f t="shared" si="114"/>
        <v>863</v>
      </c>
      <c r="B865" s="75" t="s">
        <v>435</v>
      </c>
      <c r="C865" s="100" t="str">
        <f>IF($B865&lt;&gt;"",_xlfn.IFNA(VLOOKUP($B865,'Node Details'!$B:$U,C$1,0),"Check"),"")</f>
        <v>0000AXW06-AXW060103</v>
      </c>
      <c r="D865" s="100" t="str">
        <f>IF($B865&lt;&gt;"",_xlfn.IFNA(VLOOKUP($B865,'Node Details'!$B:$U,D$1,0),"Check"),"")</f>
        <v>AXW</v>
      </c>
      <c r="E865" s="100" t="str">
        <f>IF($B865&lt;&gt;"",_xlfn.IFNA(VLOOKUP($B865,'Node Details'!$B:$U,E$1,0),"Check"),"")</f>
        <v>Airtel</v>
      </c>
      <c r="F865" s="101">
        <v>46114</v>
      </c>
      <c r="G865" s="103"/>
      <c r="H865" s="102" t="s">
        <v>1260</v>
      </c>
      <c r="I865" s="9">
        <v>14</v>
      </c>
      <c r="J865" s="9">
        <v>65</v>
      </c>
      <c r="K865" s="100">
        <f t="shared" si="115"/>
        <v>910</v>
      </c>
      <c r="L865" s="78">
        <v>46112</v>
      </c>
      <c r="M865" s="103"/>
      <c r="N865" s="93" t="s">
        <v>373</v>
      </c>
      <c r="O865" s="94">
        <v>46146</v>
      </c>
      <c r="P865" s="104">
        <f t="shared" si="116"/>
        <v>65</v>
      </c>
      <c r="Q865" s="104">
        <f t="shared" si="117"/>
        <v>910</v>
      </c>
      <c r="R865" s="104"/>
      <c r="S865" s="93" t="s">
        <v>374</v>
      </c>
      <c r="T865" s="94">
        <v>46156</v>
      </c>
      <c r="U865" s="104">
        <f t="shared" si="118"/>
        <v>65</v>
      </c>
      <c r="V865" s="104">
        <f t="shared" si="119"/>
        <v>14</v>
      </c>
      <c r="W865" s="103">
        <f t="shared" si="120"/>
        <v>910</v>
      </c>
      <c r="X865" s="93" t="s">
        <v>89</v>
      </c>
      <c r="Y865" s="105" t="s">
        <v>84</v>
      </c>
      <c r="Z865" s="105" t="s">
        <v>93</v>
      </c>
    </row>
    <row r="866" spans="1:26" s="105" customFormat="1" ht="15" customHeight="1">
      <c r="A866" s="99">
        <f t="shared" si="114"/>
        <v>864</v>
      </c>
      <c r="B866" s="75" t="s">
        <v>1074</v>
      </c>
      <c r="C866" s="100" t="str">
        <f>IF($B866&lt;&gt;"",_xlfn.IFNA(VLOOKUP($B866,'Node Details'!$B:$U,C$1,0),"Check"),"")</f>
        <v>AXW060103-AXW060107</v>
      </c>
      <c r="D866" s="100" t="str">
        <f>IF($B866&lt;&gt;"",_xlfn.IFNA(VLOOKUP($B866,'Node Details'!$B:$U,D$1,0),"Check"),"")</f>
        <v>AXW</v>
      </c>
      <c r="E866" s="100" t="str">
        <f>IF($B866&lt;&gt;"",_xlfn.IFNA(VLOOKUP($B866,'Node Details'!$B:$U,E$1,0),"Check"),"")</f>
        <v>Airtel</v>
      </c>
      <c r="F866" s="101">
        <v>46114</v>
      </c>
      <c r="G866" s="103"/>
      <c r="H866" s="102" t="s">
        <v>1260</v>
      </c>
      <c r="I866" s="9">
        <v>2</v>
      </c>
      <c r="J866" s="9">
        <v>65</v>
      </c>
      <c r="K866" s="100">
        <f t="shared" si="115"/>
        <v>130</v>
      </c>
      <c r="L866" s="78">
        <v>46112</v>
      </c>
      <c r="M866" s="103"/>
      <c r="N866" s="93" t="s">
        <v>373</v>
      </c>
      <c r="O866" s="94">
        <v>46146</v>
      </c>
      <c r="P866" s="104">
        <f t="shared" si="116"/>
        <v>65</v>
      </c>
      <c r="Q866" s="104">
        <f t="shared" si="117"/>
        <v>130</v>
      </c>
      <c r="R866" s="104"/>
      <c r="S866" s="93" t="s">
        <v>374</v>
      </c>
      <c r="T866" s="94">
        <v>46156</v>
      </c>
      <c r="U866" s="104">
        <f t="shared" si="118"/>
        <v>65</v>
      </c>
      <c r="V866" s="104">
        <f t="shared" si="119"/>
        <v>2</v>
      </c>
      <c r="W866" s="103">
        <f t="shared" si="120"/>
        <v>130</v>
      </c>
      <c r="X866" s="93" t="s">
        <v>89</v>
      </c>
      <c r="Y866" s="105" t="s">
        <v>84</v>
      </c>
      <c r="Z866" s="105" t="s">
        <v>93</v>
      </c>
    </row>
    <row r="867" spans="1:26" s="105" customFormat="1" ht="15" customHeight="1">
      <c r="A867" s="99">
        <f t="shared" si="114"/>
        <v>865</v>
      </c>
      <c r="B867" s="75" t="s">
        <v>377</v>
      </c>
      <c r="C867" s="100" t="str">
        <f>IF($B867&lt;&gt;"",_xlfn.IFNA(VLOOKUP($B867,'Node Details'!$B:$U,C$1,0),"Check"),"")</f>
        <v>0000AXW01-0000AXW07</v>
      </c>
      <c r="D867" s="100" t="str">
        <f>IF($B867&lt;&gt;"",_xlfn.IFNA(VLOOKUP($B867,'Node Details'!$B:$U,D$1,0),"Check"),"")</f>
        <v>AXW</v>
      </c>
      <c r="E867" s="100" t="str">
        <f>IF($B867&lt;&gt;"",_xlfn.IFNA(VLOOKUP($B867,'Node Details'!$B:$U,E$1,0),"Check"),"")</f>
        <v>Airtel</v>
      </c>
      <c r="F867" s="101">
        <v>46114</v>
      </c>
      <c r="G867" s="103"/>
      <c r="H867" s="102" t="s">
        <v>1260</v>
      </c>
      <c r="I867" s="9">
        <v>42</v>
      </c>
      <c r="J867" s="9">
        <v>65</v>
      </c>
      <c r="K867" s="100">
        <f t="shared" si="115"/>
        <v>2730</v>
      </c>
      <c r="L867" s="78">
        <v>46112</v>
      </c>
      <c r="M867" s="103"/>
      <c r="N867" s="93" t="s">
        <v>373</v>
      </c>
      <c r="O867" s="94">
        <v>46146</v>
      </c>
      <c r="P867" s="104">
        <f t="shared" si="116"/>
        <v>65</v>
      </c>
      <c r="Q867" s="104">
        <f t="shared" si="117"/>
        <v>2730</v>
      </c>
      <c r="R867" s="104"/>
      <c r="S867" s="93" t="s">
        <v>374</v>
      </c>
      <c r="T867" s="94">
        <v>46156</v>
      </c>
      <c r="U867" s="104">
        <f t="shared" si="118"/>
        <v>65</v>
      </c>
      <c r="V867" s="104">
        <f t="shared" si="119"/>
        <v>42</v>
      </c>
      <c r="W867" s="103">
        <f t="shared" si="120"/>
        <v>2730</v>
      </c>
      <c r="X867" s="93" t="s">
        <v>89</v>
      </c>
      <c r="Y867" s="105" t="s">
        <v>84</v>
      </c>
      <c r="Z867" s="105" t="s">
        <v>93</v>
      </c>
    </row>
    <row r="868" spans="1:26" s="105" customFormat="1" ht="15" customHeight="1">
      <c r="A868" s="99">
        <f t="shared" si="114"/>
        <v>866</v>
      </c>
      <c r="B868" s="75" t="s">
        <v>1077</v>
      </c>
      <c r="C868" s="100" t="str">
        <f>IF($B868&lt;&gt;"",_xlfn.IFNA(VLOOKUP($B868,'Node Details'!$B:$U,C$1,0),"Check"),"")</f>
        <v>0000AXW07-AXW070103</v>
      </c>
      <c r="D868" s="100" t="str">
        <f>IF($B868&lt;&gt;"",_xlfn.IFNA(VLOOKUP($B868,'Node Details'!$B:$U,D$1,0),"Check"),"")</f>
        <v>AXW</v>
      </c>
      <c r="E868" s="100" t="str">
        <f>IF($B868&lt;&gt;"",_xlfn.IFNA(VLOOKUP($B868,'Node Details'!$B:$U,E$1,0),"Check"),"")</f>
        <v>Airtel</v>
      </c>
      <c r="F868" s="101">
        <v>46114</v>
      </c>
      <c r="G868" s="103"/>
      <c r="H868" s="102" t="s">
        <v>1260</v>
      </c>
      <c r="I868" s="9">
        <v>6</v>
      </c>
      <c r="J868" s="9">
        <v>65</v>
      </c>
      <c r="K868" s="100">
        <f t="shared" si="115"/>
        <v>390</v>
      </c>
      <c r="L868" s="78">
        <v>46112</v>
      </c>
      <c r="M868" s="103"/>
      <c r="N868" s="93" t="s">
        <v>373</v>
      </c>
      <c r="O868" s="94">
        <v>46146</v>
      </c>
      <c r="P868" s="104">
        <f t="shared" si="116"/>
        <v>65</v>
      </c>
      <c r="Q868" s="104">
        <f t="shared" si="117"/>
        <v>390</v>
      </c>
      <c r="R868" s="104"/>
      <c r="S868" s="93" t="s">
        <v>374</v>
      </c>
      <c r="T868" s="94">
        <v>46156</v>
      </c>
      <c r="U868" s="104">
        <f t="shared" si="118"/>
        <v>65</v>
      </c>
      <c r="V868" s="104">
        <f t="shared" si="119"/>
        <v>6</v>
      </c>
      <c r="W868" s="103">
        <f t="shared" si="120"/>
        <v>390</v>
      </c>
      <c r="X868" s="93" t="s">
        <v>89</v>
      </c>
      <c r="Y868" s="105" t="s">
        <v>84</v>
      </c>
      <c r="Z868" s="105" t="s">
        <v>93</v>
      </c>
    </row>
    <row r="869" spans="1:26" s="105" customFormat="1" ht="15" customHeight="1">
      <c r="A869" s="99">
        <f t="shared" si="114"/>
        <v>867</v>
      </c>
      <c r="B869" s="75" t="s">
        <v>441</v>
      </c>
      <c r="C869" s="100" t="str">
        <f>IF($B869&lt;&gt;"",_xlfn.IFNA(VLOOKUP($B869,'Node Details'!$B:$U,C$1,0),"Check"),"")</f>
        <v>0000AXW07-AXW070103</v>
      </c>
      <c r="D869" s="100" t="str">
        <f>IF($B869&lt;&gt;"",_xlfn.IFNA(VLOOKUP($B869,'Node Details'!$B:$U,D$1,0),"Check"),"")</f>
        <v>AXW</v>
      </c>
      <c r="E869" s="100" t="str">
        <f>IF($B869&lt;&gt;"",_xlfn.IFNA(VLOOKUP($B869,'Node Details'!$B:$U,E$1,0),"Check"),"")</f>
        <v>Airtel</v>
      </c>
      <c r="F869" s="101">
        <v>46114</v>
      </c>
      <c r="G869" s="103"/>
      <c r="H869" s="102" t="s">
        <v>1260</v>
      </c>
      <c r="I869" s="9">
        <v>4</v>
      </c>
      <c r="J869" s="9">
        <v>65</v>
      </c>
      <c r="K869" s="100">
        <f t="shared" si="115"/>
        <v>260</v>
      </c>
      <c r="L869" s="78">
        <v>46112</v>
      </c>
      <c r="M869" s="103"/>
      <c r="N869" s="93" t="s">
        <v>373</v>
      </c>
      <c r="O869" s="94">
        <v>46146</v>
      </c>
      <c r="P869" s="104">
        <f t="shared" si="116"/>
        <v>65</v>
      </c>
      <c r="Q869" s="104">
        <f t="shared" si="117"/>
        <v>260</v>
      </c>
      <c r="R869" s="104"/>
      <c r="S869" s="93" t="s">
        <v>374</v>
      </c>
      <c r="T869" s="94">
        <v>46156</v>
      </c>
      <c r="U869" s="104">
        <f t="shared" si="118"/>
        <v>65</v>
      </c>
      <c r="V869" s="104">
        <f t="shared" si="119"/>
        <v>4</v>
      </c>
      <c r="W869" s="103">
        <f t="shared" si="120"/>
        <v>260</v>
      </c>
      <c r="X869" s="93" t="s">
        <v>89</v>
      </c>
      <c r="Y869" s="105" t="s">
        <v>84</v>
      </c>
      <c r="Z869" s="105" t="s">
        <v>93</v>
      </c>
    </row>
    <row r="870" spans="1:26" s="105" customFormat="1" ht="15" customHeight="1">
      <c r="A870" s="99">
        <f t="shared" si="114"/>
        <v>868</v>
      </c>
      <c r="B870" s="75" t="s">
        <v>1078</v>
      </c>
      <c r="C870" s="100" t="str">
        <f>IF($B870&lt;&gt;"",_xlfn.IFNA(VLOOKUP($B870,'Node Details'!$B:$U,C$1,0),"Check"),"")</f>
        <v>0000AXW07-AXW070106</v>
      </c>
      <c r="D870" s="100" t="str">
        <f>IF($B870&lt;&gt;"",_xlfn.IFNA(VLOOKUP($B870,'Node Details'!$B:$U,D$1,0),"Check"),"")</f>
        <v>AXW</v>
      </c>
      <c r="E870" s="100" t="str">
        <f>IF($B870&lt;&gt;"",_xlfn.IFNA(VLOOKUP($B870,'Node Details'!$B:$U,E$1,0),"Check"),"")</f>
        <v>Airtel</v>
      </c>
      <c r="F870" s="101">
        <v>46114</v>
      </c>
      <c r="G870" s="103"/>
      <c r="H870" s="102" t="s">
        <v>1260</v>
      </c>
      <c r="I870" s="9">
        <v>2</v>
      </c>
      <c r="J870" s="9">
        <v>65</v>
      </c>
      <c r="K870" s="100">
        <f t="shared" si="115"/>
        <v>130</v>
      </c>
      <c r="L870" s="78">
        <v>46112</v>
      </c>
      <c r="M870" s="103"/>
      <c r="N870" s="93" t="s">
        <v>373</v>
      </c>
      <c r="O870" s="94">
        <v>46146</v>
      </c>
      <c r="P870" s="104">
        <f t="shared" si="116"/>
        <v>65</v>
      </c>
      <c r="Q870" s="104">
        <f t="shared" si="117"/>
        <v>130</v>
      </c>
      <c r="R870" s="104"/>
      <c r="S870" s="93" t="s">
        <v>374</v>
      </c>
      <c r="T870" s="94">
        <v>46156</v>
      </c>
      <c r="U870" s="104">
        <f t="shared" si="118"/>
        <v>65</v>
      </c>
      <c r="V870" s="104">
        <f t="shared" si="119"/>
        <v>2</v>
      </c>
      <c r="W870" s="103">
        <f t="shared" si="120"/>
        <v>130</v>
      </c>
      <c r="X870" s="93" t="s">
        <v>89</v>
      </c>
      <c r="Y870" s="105" t="s">
        <v>84</v>
      </c>
      <c r="Z870" s="105" t="s">
        <v>93</v>
      </c>
    </row>
    <row r="871" spans="1:26" s="105" customFormat="1" ht="15" customHeight="1">
      <c r="A871" s="99">
        <f t="shared" si="114"/>
        <v>869</v>
      </c>
      <c r="B871" s="75" t="s">
        <v>445</v>
      </c>
      <c r="C871" s="100" t="str">
        <f>IF($B871&lt;&gt;"",_xlfn.IFNA(VLOOKUP($B871,'Node Details'!$B:$U,C$1,0),"Check"),"")</f>
        <v>000000AXW-0000AXW17</v>
      </c>
      <c r="D871" s="100" t="str">
        <f>IF($B871&lt;&gt;"",_xlfn.IFNA(VLOOKUP($B871,'Node Details'!$B:$U,D$1,0),"Check"),"")</f>
        <v>AXW</v>
      </c>
      <c r="E871" s="100" t="str">
        <f>IF($B871&lt;&gt;"",_xlfn.IFNA(VLOOKUP($B871,'Node Details'!$B:$U,E$1,0),"Check"),"")</f>
        <v>Airtel</v>
      </c>
      <c r="F871" s="101">
        <v>46114</v>
      </c>
      <c r="G871" s="103"/>
      <c r="H871" s="102" t="s">
        <v>1260</v>
      </c>
      <c r="I871" s="9">
        <v>42</v>
      </c>
      <c r="J871" s="9">
        <v>65</v>
      </c>
      <c r="K871" s="100">
        <f t="shared" si="115"/>
        <v>2730</v>
      </c>
      <c r="L871" s="78">
        <v>46112</v>
      </c>
      <c r="M871" s="103"/>
      <c r="N871" s="93" t="s">
        <v>373</v>
      </c>
      <c r="O871" s="94">
        <v>46146</v>
      </c>
      <c r="P871" s="104">
        <f t="shared" si="116"/>
        <v>65</v>
      </c>
      <c r="Q871" s="104">
        <f t="shared" si="117"/>
        <v>2730</v>
      </c>
      <c r="R871" s="104"/>
      <c r="S871" s="93" t="s">
        <v>374</v>
      </c>
      <c r="T871" s="94">
        <v>46156</v>
      </c>
      <c r="U871" s="104">
        <f t="shared" si="118"/>
        <v>65</v>
      </c>
      <c r="V871" s="104">
        <f t="shared" si="119"/>
        <v>42</v>
      </c>
      <c r="W871" s="103">
        <f t="shared" si="120"/>
        <v>2730</v>
      </c>
      <c r="X871" s="93" t="s">
        <v>89</v>
      </c>
      <c r="Y871" s="105" t="s">
        <v>84</v>
      </c>
      <c r="Z871" s="105" t="s">
        <v>93</v>
      </c>
    </row>
    <row r="872" spans="1:26" s="105" customFormat="1" ht="15" customHeight="1">
      <c r="A872" s="99">
        <f t="shared" si="114"/>
        <v>870</v>
      </c>
      <c r="B872" s="75" t="s">
        <v>448</v>
      </c>
      <c r="C872" s="100" t="str">
        <f>IF($B872&lt;&gt;"",_xlfn.IFNA(VLOOKUP($B872,'Node Details'!$B:$U,C$1,0),"Check"),"")</f>
        <v>0000AXW08-AXW080103</v>
      </c>
      <c r="D872" s="100" t="str">
        <f>IF($B872&lt;&gt;"",_xlfn.IFNA(VLOOKUP($B872,'Node Details'!$B:$U,D$1,0),"Check"),"")</f>
        <v>AXW</v>
      </c>
      <c r="E872" s="100" t="str">
        <f>IF($B872&lt;&gt;"",_xlfn.IFNA(VLOOKUP($B872,'Node Details'!$B:$U,E$1,0),"Check"),"")</f>
        <v>Airtel</v>
      </c>
      <c r="F872" s="101">
        <v>46114</v>
      </c>
      <c r="G872" s="103"/>
      <c r="H872" s="102" t="s">
        <v>1260</v>
      </c>
      <c r="I872" s="9">
        <v>6</v>
      </c>
      <c r="J872" s="9">
        <v>65</v>
      </c>
      <c r="K872" s="100">
        <f t="shared" si="115"/>
        <v>390</v>
      </c>
      <c r="L872" s="78">
        <v>46112</v>
      </c>
      <c r="M872" s="103"/>
      <c r="N872" s="93" t="s">
        <v>373</v>
      </c>
      <c r="O872" s="94">
        <v>46146</v>
      </c>
      <c r="P872" s="104">
        <f t="shared" si="116"/>
        <v>65</v>
      </c>
      <c r="Q872" s="104">
        <f t="shared" si="117"/>
        <v>390</v>
      </c>
      <c r="R872" s="104"/>
      <c r="S872" s="93" t="s">
        <v>374</v>
      </c>
      <c r="T872" s="94">
        <v>46156</v>
      </c>
      <c r="U872" s="104">
        <f t="shared" si="118"/>
        <v>65</v>
      </c>
      <c r="V872" s="104">
        <f t="shared" si="119"/>
        <v>6</v>
      </c>
      <c r="W872" s="103">
        <f t="shared" si="120"/>
        <v>390</v>
      </c>
      <c r="X872" s="93" t="s">
        <v>89</v>
      </c>
      <c r="Y872" s="105" t="s">
        <v>84</v>
      </c>
      <c r="Z872" s="105" t="s">
        <v>93</v>
      </c>
    </row>
    <row r="873" spans="1:26" s="105" customFormat="1" ht="15" customHeight="1">
      <c r="A873" s="99">
        <f t="shared" si="114"/>
        <v>871</v>
      </c>
      <c r="B873" s="75" t="s">
        <v>1079</v>
      </c>
      <c r="C873" s="100" t="str">
        <f>IF($B873&lt;&gt;"",_xlfn.IFNA(VLOOKUP($B873,'Node Details'!$B:$U,C$1,0),"Check"),"")</f>
        <v>AXW080103-AXW080105</v>
      </c>
      <c r="D873" s="100" t="str">
        <f>IF($B873&lt;&gt;"",_xlfn.IFNA(VLOOKUP($B873,'Node Details'!$B:$U,D$1,0),"Check"),"")</f>
        <v>AXW</v>
      </c>
      <c r="E873" s="100" t="str">
        <f>IF($B873&lt;&gt;"",_xlfn.IFNA(VLOOKUP($B873,'Node Details'!$B:$U,E$1,0),"Check"),"")</f>
        <v>Airtel</v>
      </c>
      <c r="F873" s="101">
        <v>46114</v>
      </c>
      <c r="G873" s="103"/>
      <c r="H873" s="102" t="s">
        <v>1260</v>
      </c>
      <c r="I873" s="9">
        <v>4</v>
      </c>
      <c r="J873" s="9">
        <v>65</v>
      </c>
      <c r="K873" s="100">
        <f t="shared" si="115"/>
        <v>260</v>
      </c>
      <c r="L873" s="78">
        <v>46112</v>
      </c>
      <c r="M873" s="103"/>
      <c r="N873" s="93" t="s">
        <v>373</v>
      </c>
      <c r="O873" s="94">
        <v>46146</v>
      </c>
      <c r="P873" s="104">
        <f t="shared" si="116"/>
        <v>65</v>
      </c>
      <c r="Q873" s="104">
        <f t="shared" si="117"/>
        <v>260</v>
      </c>
      <c r="R873" s="104"/>
      <c r="S873" s="93" t="s">
        <v>374</v>
      </c>
      <c r="T873" s="94">
        <v>46156</v>
      </c>
      <c r="U873" s="104">
        <f t="shared" si="118"/>
        <v>65</v>
      </c>
      <c r="V873" s="104">
        <f t="shared" si="119"/>
        <v>4</v>
      </c>
      <c r="W873" s="103">
        <f t="shared" si="120"/>
        <v>260</v>
      </c>
      <c r="X873" s="93" t="s">
        <v>89</v>
      </c>
      <c r="Y873" s="105" t="s">
        <v>84</v>
      </c>
      <c r="Z873" s="105" t="s">
        <v>93</v>
      </c>
    </row>
    <row r="874" spans="1:26" s="105" customFormat="1" ht="15" customHeight="1">
      <c r="A874" s="99">
        <f t="shared" si="114"/>
        <v>872</v>
      </c>
      <c r="B874" s="75" t="s">
        <v>450</v>
      </c>
      <c r="C874" s="100" t="str">
        <f>IF($B874&lt;&gt;"",_xlfn.IFNA(VLOOKUP($B874,'Node Details'!$B:$U,C$1,0),"Check"),"")</f>
        <v>AXW080103-AXW080105</v>
      </c>
      <c r="D874" s="100" t="str">
        <f>IF($B874&lt;&gt;"",_xlfn.IFNA(VLOOKUP($B874,'Node Details'!$B:$U,D$1,0),"Check"),"")</f>
        <v>AXW</v>
      </c>
      <c r="E874" s="100" t="str">
        <f>IF($B874&lt;&gt;"",_xlfn.IFNA(VLOOKUP($B874,'Node Details'!$B:$U,E$1,0),"Check"),"")</f>
        <v>Airtel</v>
      </c>
      <c r="F874" s="101">
        <v>46114</v>
      </c>
      <c r="G874" s="103"/>
      <c r="H874" s="102" t="s">
        <v>1260</v>
      </c>
      <c r="I874" s="9">
        <v>2</v>
      </c>
      <c r="J874" s="9">
        <v>65</v>
      </c>
      <c r="K874" s="100">
        <f t="shared" si="115"/>
        <v>130</v>
      </c>
      <c r="L874" s="78">
        <v>46112</v>
      </c>
      <c r="M874" s="103"/>
      <c r="N874" s="93" t="s">
        <v>373</v>
      </c>
      <c r="O874" s="94">
        <v>46146</v>
      </c>
      <c r="P874" s="104">
        <f t="shared" si="116"/>
        <v>65</v>
      </c>
      <c r="Q874" s="104">
        <f t="shared" si="117"/>
        <v>130</v>
      </c>
      <c r="R874" s="104"/>
      <c r="S874" s="93" t="s">
        <v>374</v>
      </c>
      <c r="T874" s="94">
        <v>46156</v>
      </c>
      <c r="U874" s="104">
        <f t="shared" si="118"/>
        <v>65</v>
      </c>
      <c r="V874" s="104">
        <f t="shared" si="119"/>
        <v>2</v>
      </c>
      <c r="W874" s="103">
        <f t="shared" si="120"/>
        <v>130</v>
      </c>
      <c r="X874" s="93" t="s">
        <v>89</v>
      </c>
      <c r="Y874" s="105" t="s">
        <v>84</v>
      </c>
      <c r="Z874" s="105" t="s">
        <v>93</v>
      </c>
    </row>
    <row r="875" spans="1:26" s="105" customFormat="1" ht="15" customHeight="1">
      <c r="A875" s="99">
        <f t="shared" si="114"/>
        <v>873</v>
      </c>
      <c r="B875" s="75" t="s">
        <v>452</v>
      </c>
      <c r="C875" s="100" t="str">
        <f>IF($B875&lt;&gt;"",_xlfn.IFNA(VLOOKUP($B875,'Node Details'!$B:$U,C$1,0),"Check"),"")</f>
        <v>0000AXW08-AXW080106</v>
      </c>
      <c r="D875" s="100" t="str">
        <f>IF($B875&lt;&gt;"",_xlfn.IFNA(VLOOKUP($B875,'Node Details'!$B:$U,D$1,0),"Check"),"")</f>
        <v>AXW</v>
      </c>
      <c r="E875" s="100" t="str">
        <f>IF($B875&lt;&gt;"",_xlfn.IFNA(VLOOKUP($B875,'Node Details'!$B:$U,E$1,0),"Check"),"")</f>
        <v>Airtel</v>
      </c>
      <c r="F875" s="101">
        <v>46114</v>
      </c>
      <c r="G875" s="103"/>
      <c r="H875" s="102" t="s">
        <v>1260</v>
      </c>
      <c r="I875" s="9">
        <v>6</v>
      </c>
      <c r="J875" s="9">
        <v>65</v>
      </c>
      <c r="K875" s="100">
        <f t="shared" si="115"/>
        <v>390</v>
      </c>
      <c r="L875" s="78">
        <v>46112</v>
      </c>
      <c r="M875" s="103"/>
      <c r="N875" s="93" t="s">
        <v>373</v>
      </c>
      <c r="O875" s="94">
        <v>46146</v>
      </c>
      <c r="P875" s="104">
        <f t="shared" si="116"/>
        <v>65</v>
      </c>
      <c r="Q875" s="104">
        <f t="shared" si="117"/>
        <v>390</v>
      </c>
      <c r="R875" s="104"/>
      <c r="S875" s="93" t="s">
        <v>374</v>
      </c>
      <c r="T875" s="94">
        <v>46156</v>
      </c>
      <c r="U875" s="104">
        <f t="shared" si="118"/>
        <v>65</v>
      </c>
      <c r="V875" s="104">
        <f t="shared" si="119"/>
        <v>6</v>
      </c>
      <c r="W875" s="103">
        <f t="shared" si="120"/>
        <v>390</v>
      </c>
      <c r="X875" s="93" t="s">
        <v>89</v>
      </c>
      <c r="Y875" s="105" t="s">
        <v>84</v>
      </c>
      <c r="Z875" s="105" t="s">
        <v>93</v>
      </c>
    </row>
    <row r="876" spans="1:26" s="105" customFormat="1" ht="15" customHeight="1">
      <c r="A876" s="99">
        <f t="shared" si="114"/>
        <v>874</v>
      </c>
      <c r="B876" s="75" t="s">
        <v>1080</v>
      </c>
      <c r="C876" s="100" t="str">
        <f>IF($B876&lt;&gt;"",_xlfn.IFNA(VLOOKUP($B876,'Node Details'!$B:$U,C$1,0),"Check"),"")</f>
        <v>AXW080106-AXW080108</v>
      </c>
      <c r="D876" s="100" t="str">
        <f>IF($B876&lt;&gt;"",_xlfn.IFNA(VLOOKUP($B876,'Node Details'!$B:$U,D$1,0),"Check"),"")</f>
        <v>AXW</v>
      </c>
      <c r="E876" s="100" t="str">
        <f>IF($B876&lt;&gt;"",_xlfn.IFNA(VLOOKUP($B876,'Node Details'!$B:$U,E$1,0),"Check"),"")</f>
        <v>Airtel</v>
      </c>
      <c r="F876" s="101">
        <v>46114</v>
      </c>
      <c r="G876" s="103"/>
      <c r="H876" s="102" t="s">
        <v>1260</v>
      </c>
      <c r="I876" s="9">
        <v>4</v>
      </c>
      <c r="J876" s="9">
        <v>65</v>
      </c>
      <c r="K876" s="100">
        <f t="shared" si="115"/>
        <v>260</v>
      </c>
      <c r="L876" s="78">
        <v>46112</v>
      </c>
      <c r="M876" s="103"/>
      <c r="N876" s="93" t="s">
        <v>373</v>
      </c>
      <c r="O876" s="94">
        <v>46146</v>
      </c>
      <c r="P876" s="104">
        <f t="shared" si="116"/>
        <v>65</v>
      </c>
      <c r="Q876" s="104">
        <f t="shared" si="117"/>
        <v>260</v>
      </c>
      <c r="R876" s="104"/>
      <c r="S876" s="93" t="s">
        <v>374</v>
      </c>
      <c r="T876" s="94">
        <v>46156</v>
      </c>
      <c r="U876" s="104">
        <f t="shared" si="118"/>
        <v>65</v>
      </c>
      <c r="V876" s="104">
        <f t="shared" si="119"/>
        <v>4</v>
      </c>
      <c r="W876" s="103">
        <f t="shared" si="120"/>
        <v>260</v>
      </c>
      <c r="X876" s="93" t="s">
        <v>89</v>
      </c>
      <c r="Y876" s="105" t="s">
        <v>84</v>
      </c>
      <c r="Z876" s="105" t="s">
        <v>93</v>
      </c>
    </row>
    <row r="877" spans="1:26" s="105" customFormat="1" ht="15" customHeight="1">
      <c r="A877" s="99">
        <f t="shared" si="114"/>
        <v>875</v>
      </c>
      <c r="B877" s="75" t="s">
        <v>454</v>
      </c>
      <c r="C877" s="100" t="str">
        <f>IF($B877&lt;&gt;"",_xlfn.IFNA(VLOOKUP($B877,'Node Details'!$B:$U,C$1,0),"Check"),"")</f>
        <v>AXW080106-AXW080108</v>
      </c>
      <c r="D877" s="100" t="str">
        <f>IF($B877&lt;&gt;"",_xlfn.IFNA(VLOOKUP($B877,'Node Details'!$B:$U,D$1,0),"Check"),"")</f>
        <v>AXW</v>
      </c>
      <c r="E877" s="100" t="str">
        <f>IF($B877&lt;&gt;"",_xlfn.IFNA(VLOOKUP($B877,'Node Details'!$B:$U,E$1,0),"Check"),"")</f>
        <v>Airtel</v>
      </c>
      <c r="F877" s="101">
        <v>46114</v>
      </c>
      <c r="G877" s="103"/>
      <c r="H877" s="102" t="s">
        <v>1260</v>
      </c>
      <c r="I877" s="9">
        <v>2</v>
      </c>
      <c r="J877" s="9">
        <v>65</v>
      </c>
      <c r="K877" s="100">
        <f t="shared" si="115"/>
        <v>130</v>
      </c>
      <c r="L877" s="78">
        <v>46112</v>
      </c>
      <c r="M877" s="103"/>
      <c r="N877" s="93" t="s">
        <v>373</v>
      </c>
      <c r="O877" s="94">
        <v>46146</v>
      </c>
      <c r="P877" s="104">
        <f t="shared" si="116"/>
        <v>65</v>
      </c>
      <c r="Q877" s="104">
        <f t="shared" si="117"/>
        <v>130</v>
      </c>
      <c r="R877" s="104"/>
      <c r="S877" s="93" t="s">
        <v>374</v>
      </c>
      <c r="T877" s="94">
        <v>46156</v>
      </c>
      <c r="U877" s="104">
        <f t="shared" si="118"/>
        <v>65</v>
      </c>
      <c r="V877" s="104">
        <f t="shared" si="119"/>
        <v>2</v>
      </c>
      <c r="W877" s="103">
        <f t="shared" si="120"/>
        <v>130</v>
      </c>
      <c r="X877" s="93" t="s">
        <v>89</v>
      </c>
      <c r="Y877" s="105" t="s">
        <v>84</v>
      </c>
      <c r="Z877" s="105" t="s">
        <v>93</v>
      </c>
    </row>
    <row r="878" spans="1:26" s="105" customFormat="1" ht="15" customHeight="1">
      <c r="A878" s="99">
        <f t="shared" si="114"/>
        <v>876</v>
      </c>
      <c r="B878" s="75" t="s">
        <v>458</v>
      </c>
      <c r="C878" s="100" t="str">
        <f>IF($B878&lt;&gt;"",_xlfn.IFNA(VLOOKUP($B878,'Node Details'!$B:$U,C$1,0),"Check"),"")</f>
        <v>000000AXW-0000AXW12</v>
      </c>
      <c r="D878" s="100" t="str">
        <f>IF($B878&lt;&gt;"",_xlfn.IFNA(VLOOKUP($B878,'Node Details'!$B:$U,D$1,0),"Check"),"")</f>
        <v>AXW</v>
      </c>
      <c r="E878" s="100" t="str">
        <f>IF($B878&lt;&gt;"",_xlfn.IFNA(VLOOKUP($B878,'Node Details'!$B:$U,E$1,0),"Check"),"")</f>
        <v>Airtel</v>
      </c>
      <c r="F878" s="101">
        <v>46114</v>
      </c>
      <c r="G878" s="103"/>
      <c r="H878" s="102" t="s">
        <v>1260</v>
      </c>
      <c r="I878" s="9">
        <v>42</v>
      </c>
      <c r="J878" s="9">
        <v>65</v>
      </c>
      <c r="K878" s="100">
        <f t="shared" si="115"/>
        <v>2730</v>
      </c>
      <c r="L878" s="78">
        <v>46112</v>
      </c>
      <c r="M878" s="103"/>
      <c r="N878" s="93" t="s">
        <v>373</v>
      </c>
      <c r="O878" s="94">
        <v>46146</v>
      </c>
      <c r="P878" s="104">
        <f t="shared" si="116"/>
        <v>65</v>
      </c>
      <c r="Q878" s="104">
        <f t="shared" si="117"/>
        <v>2730</v>
      </c>
      <c r="R878" s="104"/>
      <c r="S878" s="93" t="s">
        <v>374</v>
      </c>
      <c r="T878" s="94">
        <v>46156</v>
      </c>
      <c r="U878" s="104">
        <f t="shared" si="118"/>
        <v>65</v>
      </c>
      <c r="V878" s="104">
        <f t="shared" si="119"/>
        <v>42</v>
      </c>
      <c r="W878" s="103">
        <f t="shared" si="120"/>
        <v>2730</v>
      </c>
      <c r="X878" s="93" t="s">
        <v>89</v>
      </c>
      <c r="Y878" s="105" t="s">
        <v>84</v>
      </c>
      <c r="Z878" s="105" t="s">
        <v>93</v>
      </c>
    </row>
    <row r="879" spans="1:26" s="105" customFormat="1" ht="15" customHeight="1">
      <c r="A879" s="99">
        <f t="shared" si="114"/>
        <v>877</v>
      </c>
      <c r="B879" s="75" t="s">
        <v>459</v>
      </c>
      <c r="C879" s="100" t="str">
        <f>IF($B879&lt;&gt;"",_xlfn.IFNA(VLOOKUP($B879,'Node Details'!$B:$U,C$1,0),"Check"),"")</f>
        <v>0000AXW09-AXW090101</v>
      </c>
      <c r="D879" s="100" t="str">
        <f>IF($B879&lt;&gt;"",_xlfn.IFNA(VLOOKUP($B879,'Node Details'!$B:$U,D$1,0),"Check"),"")</f>
        <v>AXW</v>
      </c>
      <c r="E879" s="100" t="str">
        <f>IF($B879&lt;&gt;"",_xlfn.IFNA(VLOOKUP($B879,'Node Details'!$B:$U,E$1,0),"Check"),"")</f>
        <v>Airtel</v>
      </c>
      <c r="F879" s="101">
        <v>46114</v>
      </c>
      <c r="G879" s="103"/>
      <c r="H879" s="102" t="s">
        <v>1260</v>
      </c>
      <c r="I879" s="9">
        <v>6</v>
      </c>
      <c r="J879" s="9">
        <v>65</v>
      </c>
      <c r="K879" s="100">
        <f t="shared" si="115"/>
        <v>390</v>
      </c>
      <c r="L879" s="78">
        <v>46112</v>
      </c>
      <c r="M879" s="103"/>
      <c r="N879" s="93" t="s">
        <v>373</v>
      </c>
      <c r="O879" s="94">
        <v>46146</v>
      </c>
      <c r="P879" s="104">
        <f t="shared" si="116"/>
        <v>65</v>
      </c>
      <c r="Q879" s="104">
        <f t="shared" si="117"/>
        <v>390</v>
      </c>
      <c r="R879" s="104"/>
      <c r="S879" s="93" t="s">
        <v>374</v>
      </c>
      <c r="T879" s="94">
        <v>46156</v>
      </c>
      <c r="U879" s="104">
        <f t="shared" si="118"/>
        <v>65</v>
      </c>
      <c r="V879" s="104">
        <f t="shared" si="119"/>
        <v>6</v>
      </c>
      <c r="W879" s="103">
        <f t="shared" si="120"/>
        <v>390</v>
      </c>
      <c r="X879" s="93" t="s">
        <v>89</v>
      </c>
      <c r="Y879" s="105" t="s">
        <v>84</v>
      </c>
      <c r="Z879" s="105" t="s">
        <v>93</v>
      </c>
    </row>
    <row r="880" spans="1:26" s="105" customFormat="1" ht="15" customHeight="1">
      <c r="A880" s="99">
        <f t="shared" si="114"/>
        <v>878</v>
      </c>
      <c r="B880" s="75" t="s">
        <v>461</v>
      </c>
      <c r="C880" s="100" t="str">
        <f>IF($B880&lt;&gt;"",_xlfn.IFNA(VLOOKUP($B880,'Node Details'!$B:$U,C$1,0),"Check"),"")</f>
        <v>0000AXW09-AXW090102</v>
      </c>
      <c r="D880" s="100" t="str">
        <f>IF($B880&lt;&gt;"",_xlfn.IFNA(VLOOKUP($B880,'Node Details'!$B:$U,D$1,0),"Check"),"")</f>
        <v>AXW</v>
      </c>
      <c r="E880" s="100" t="str">
        <f>IF($B880&lt;&gt;"",_xlfn.IFNA(VLOOKUP($B880,'Node Details'!$B:$U,E$1,0),"Check"),"")</f>
        <v>Airtel</v>
      </c>
      <c r="F880" s="101">
        <v>46114</v>
      </c>
      <c r="G880" s="103"/>
      <c r="H880" s="102" t="s">
        <v>1260</v>
      </c>
      <c r="I880" s="9">
        <v>4</v>
      </c>
      <c r="J880" s="9">
        <v>65</v>
      </c>
      <c r="K880" s="100">
        <f t="shared" si="115"/>
        <v>260</v>
      </c>
      <c r="L880" s="78">
        <v>46112</v>
      </c>
      <c r="M880" s="103"/>
      <c r="N880" s="93" t="s">
        <v>373</v>
      </c>
      <c r="O880" s="94">
        <v>46146</v>
      </c>
      <c r="P880" s="104">
        <f t="shared" si="116"/>
        <v>65</v>
      </c>
      <c r="Q880" s="104">
        <f t="shared" si="117"/>
        <v>260</v>
      </c>
      <c r="R880" s="104"/>
      <c r="S880" s="93" t="s">
        <v>374</v>
      </c>
      <c r="T880" s="94">
        <v>46156</v>
      </c>
      <c r="U880" s="104">
        <f t="shared" si="118"/>
        <v>65</v>
      </c>
      <c r="V880" s="104">
        <f t="shared" si="119"/>
        <v>4</v>
      </c>
      <c r="W880" s="103">
        <f t="shared" si="120"/>
        <v>260</v>
      </c>
      <c r="X880" s="93" t="s">
        <v>89</v>
      </c>
      <c r="Y880" s="105" t="s">
        <v>84</v>
      </c>
      <c r="Z880" s="105" t="s">
        <v>93</v>
      </c>
    </row>
    <row r="881" spans="1:26" s="105" customFormat="1" ht="15" customHeight="1">
      <c r="A881" s="99">
        <f t="shared" si="114"/>
        <v>879</v>
      </c>
      <c r="B881" s="75" t="s">
        <v>1082</v>
      </c>
      <c r="C881" s="100" t="str">
        <f>IF($B881&lt;&gt;"",_xlfn.IFNA(VLOOKUP($B881,'Node Details'!$B:$U,C$1,0),"Check"),"")</f>
        <v>0000AXW09-AXW090106</v>
      </c>
      <c r="D881" s="100" t="str">
        <f>IF($B881&lt;&gt;"",_xlfn.IFNA(VLOOKUP($B881,'Node Details'!$B:$U,D$1,0),"Check"),"")</f>
        <v>AXW</v>
      </c>
      <c r="E881" s="100" t="str">
        <f>IF($B881&lt;&gt;"",_xlfn.IFNA(VLOOKUP($B881,'Node Details'!$B:$U,E$1,0),"Check"),"")</f>
        <v>Airtel</v>
      </c>
      <c r="F881" s="101">
        <v>46114</v>
      </c>
      <c r="G881" s="103"/>
      <c r="H881" s="102" t="s">
        <v>1260</v>
      </c>
      <c r="I881" s="9">
        <v>2</v>
      </c>
      <c r="J881" s="9">
        <v>65</v>
      </c>
      <c r="K881" s="100">
        <f t="shared" si="115"/>
        <v>130</v>
      </c>
      <c r="L881" s="78">
        <v>46112</v>
      </c>
      <c r="M881" s="103"/>
      <c r="N881" s="93" t="s">
        <v>373</v>
      </c>
      <c r="O881" s="94">
        <v>46146</v>
      </c>
      <c r="P881" s="104">
        <f t="shared" si="116"/>
        <v>65</v>
      </c>
      <c r="Q881" s="104">
        <f t="shared" si="117"/>
        <v>130</v>
      </c>
      <c r="R881" s="104"/>
      <c r="S881" s="93" t="s">
        <v>374</v>
      </c>
      <c r="T881" s="94">
        <v>46156</v>
      </c>
      <c r="U881" s="104">
        <f t="shared" si="118"/>
        <v>65</v>
      </c>
      <c r="V881" s="104">
        <f t="shared" si="119"/>
        <v>2</v>
      </c>
      <c r="W881" s="103">
        <f t="shared" si="120"/>
        <v>130</v>
      </c>
      <c r="X881" s="93" t="s">
        <v>89</v>
      </c>
      <c r="Y881" s="105" t="s">
        <v>84</v>
      </c>
      <c r="Z881" s="105" t="s">
        <v>93</v>
      </c>
    </row>
    <row r="882" spans="1:26" s="105" customFormat="1" ht="15" customHeight="1">
      <c r="A882" s="99">
        <f t="shared" si="114"/>
        <v>880</v>
      </c>
      <c r="B882" s="75" t="s">
        <v>383</v>
      </c>
      <c r="C882" s="100" t="str">
        <f>IF($B882&lt;&gt;"",_xlfn.IFNA(VLOOKUP($B882,'Node Details'!$B:$U,C$1,0),"Check"),"")</f>
        <v>000000AXW-0000AXW12</v>
      </c>
      <c r="D882" s="100" t="str">
        <f>IF($B882&lt;&gt;"",_xlfn.IFNA(VLOOKUP($B882,'Node Details'!$B:$U,D$1,0),"Check"),"")</f>
        <v>AXW</v>
      </c>
      <c r="E882" s="100" t="str">
        <f>IF($B882&lt;&gt;"",_xlfn.IFNA(VLOOKUP($B882,'Node Details'!$B:$U,E$1,0),"Check"),"")</f>
        <v>Airtel</v>
      </c>
      <c r="F882" s="101">
        <v>46114</v>
      </c>
      <c r="G882" s="103"/>
      <c r="H882" s="102" t="s">
        <v>1260</v>
      </c>
      <c r="I882" s="9">
        <v>42</v>
      </c>
      <c r="J882" s="9">
        <v>65</v>
      </c>
      <c r="K882" s="100">
        <f t="shared" si="115"/>
        <v>2730</v>
      </c>
      <c r="L882" s="78">
        <v>46112</v>
      </c>
      <c r="M882" s="103"/>
      <c r="N882" s="93" t="s">
        <v>373</v>
      </c>
      <c r="O882" s="94">
        <v>46146</v>
      </c>
      <c r="P882" s="104">
        <f t="shared" si="116"/>
        <v>65</v>
      </c>
      <c r="Q882" s="104">
        <f t="shared" si="117"/>
        <v>2730</v>
      </c>
      <c r="R882" s="104"/>
      <c r="S882" s="93" t="s">
        <v>374</v>
      </c>
      <c r="T882" s="94">
        <v>46156</v>
      </c>
      <c r="U882" s="104">
        <f t="shared" si="118"/>
        <v>65</v>
      </c>
      <c r="V882" s="104">
        <f t="shared" si="119"/>
        <v>42</v>
      </c>
      <c r="W882" s="103">
        <f t="shared" si="120"/>
        <v>2730</v>
      </c>
      <c r="X882" s="93" t="s">
        <v>89</v>
      </c>
      <c r="Y882" s="105" t="s">
        <v>84</v>
      </c>
      <c r="Z882" s="105" t="s">
        <v>93</v>
      </c>
    </row>
    <row r="883" spans="1:26" s="105" customFormat="1" ht="15" customHeight="1">
      <c r="A883" s="99">
        <f t="shared" si="114"/>
        <v>881</v>
      </c>
      <c r="B883" s="75" t="s">
        <v>467</v>
      </c>
      <c r="C883" s="100" t="str">
        <f>IF($B883&lt;&gt;"",_xlfn.IFNA(VLOOKUP($B883,'Node Details'!$B:$U,C$1,0),"Check"),"")</f>
        <v>0000AXW10-AXW100102</v>
      </c>
      <c r="D883" s="100" t="str">
        <f>IF($B883&lt;&gt;"",_xlfn.IFNA(VLOOKUP($B883,'Node Details'!$B:$U,D$1,0),"Check"),"")</f>
        <v>AXW</v>
      </c>
      <c r="E883" s="100" t="str">
        <f>IF($B883&lt;&gt;"",_xlfn.IFNA(VLOOKUP($B883,'Node Details'!$B:$U,E$1,0),"Check"),"")</f>
        <v>Airtel</v>
      </c>
      <c r="F883" s="101">
        <v>46114</v>
      </c>
      <c r="G883" s="103"/>
      <c r="H883" s="102" t="s">
        <v>1260</v>
      </c>
      <c r="I883" s="9">
        <v>6</v>
      </c>
      <c r="J883" s="9">
        <v>65</v>
      </c>
      <c r="K883" s="100">
        <f t="shared" si="115"/>
        <v>390</v>
      </c>
      <c r="L883" s="78">
        <v>46112</v>
      </c>
      <c r="M883" s="103"/>
      <c r="N883" s="93" t="s">
        <v>373</v>
      </c>
      <c r="O883" s="94">
        <v>46146</v>
      </c>
      <c r="P883" s="104">
        <f t="shared" si="116"/>
        <v>65</v>
      </c>
      <c r="Q883" s="104">
        <f t="shared" si="117"/>
        <v>390</v>
      </c>
      <c r="R883" s="104"/>
      <c r="S883" s="93" t="s">
        <v>374</v>
      </c>
      <c r="T883" s="94">
        <v>46156</v>
      </c>
      <c r="U883" s="104">
        <f t="shared" si="118"/>
        <v>65</v>
      </c>
      <c r="V883" s="104">
        <f t="shared" si="119"/>
        <v>6</v>
      </c>
      <c r="W883" s="103">
        <f t="shared" si="120"/>
        <v>390</v>
      </c>
      <c r="X883" s="93" t="s">
        <v>89</v>
      </c>
      <c r="Y883" s="105" t="s">
        <v>84</v>
      </c>
      <c r="Z883" s="105" t="s">
        <v>93</v>
      </c>
    </row>
    <row r="884" spans="1:26" s="105" customFormat="1" ht="15" customHeight="1">
      <c r="A884" s="99">
        <f t="shared" si="114"/>
        <v>882</v>
      </c>
      <c r="B884" s="75" t="s">
        <v>1085</v>
      </c>
      <c r="C884" s="100" t="str">
        <f>IF($B884&lt;&gt;"",_xlfn.IFNA(VLOOKUP($B884,'Node Details'!$B:$U,C$1,0),"Check"),"")</f>
        <v>0000AXW10-AXW100105</v>
      </c>
      <c r="D884" s="100" t="str">
        <f>IF($B884&lt;&gt;"",_xlfn.IFNA(VLOOKUP($B884,'Node Details'!$B:$U,D$1,0),"Check"),"")</f>
        <v>AXW</v>
      </c>
      <c r="E884" s="100" t="str">
        <f>IF($B884&lt;&gt;"",_xlfn.IFNA(VLOOKUP($B884,'Node Details'!$B:$U,E$1,0),"Check"),"")</f>
        <v>Airtel</v>
      </c>
      <c r="F884" s="101">
        <v>46114</v>
      </c>
      <c r="G884" s="103"/>
      <c r="H884" s="102" t="s">
        <v>1260</v>
      </c>
      <c r="I884" s="9">
        <v>4</v>
      </c>
      <c r="J884" s="9">
        <v>65</v>
      </c>
      <c r="K884" s="100">
        <f t="shared" si="115"/>
        <v>260</v>
      </c>
      <c r="L884" s="78">
        <v>46112</v>
      </c>
      <c r="M884" s="103"/>
      <c r="N884" s="93" t="s">
        <v>373</v>
      </c>
      <c r="O884" s="94">
        <v>46146</v>
      </c>
      <c r="P884" s="104">
        <f t="shared" si="116"/>
        <v>65</v>
      </c>
      <c r="Q884" s="104">
        <f t="shared" si="117"/>
        <v>260</v>
      </c>
      <c r="R884" s="104"/>
      <c r="S884" s="93" t="s">
        <v>374</v>
      </c>
      <c r="T884" s="94">
        <v>46156</v>
      </c>
      <c r="U884" s="104">
        <f t="shared" si="118"/>
        <v>65</v>
      </c>
      <c r="V884" s="104">
        <f t="shared" si="119"/>
        <v>4</v>
      </c>
      <c r="W884" s="103">
        <f t="shared" si="120"/>
        <v>260</v>
      </c>
      <c r="X884" s="93" t="s">
        <v>89</v>
      </c>
      <c r="Y884" s="105" t="s">
        <v>84</v>
      </c>
      <c r="Z884" s="105" t="s">
        <v>93</v>
      </c>
    </row>
    <row r="885" spans="1:26" s="105" customFormat="1" ht="15" customHeight="1">
      <c r="A885" s="99">
        <f t="shared" si="114"/>
        <v>883</v>
      </c>
      <c r="B885" s="75" t="s">
        <v>1086</v>
      </c>
      <c r="C885" s="100" t="str">
        <f>IF($B885&lt;&gt;"",_xlfn.IFNA(VLOOKUP($B885,'Node Details'!$B:$U,C$1,0),"Check"),"")</f>
        <v>0000AXW10-AXW100105</v>
      </c>
      <c r="D885" s="100" t="str">
        <f>IF($B885&lt;&gt;"",_xlfn.IFNA(VLOOKUP($B885,'Node Details'!$B:$U,D$1,0),"Check"),"")</f>
        <v>AXW</v>
      </c>
      <c r="E885" s="100" t="str">
        <f>IF($B885&lt;&gt;"",_xlfn.IFNA(VLOOKUP($B885,'Node Details'!$B:$U,E$1,0),"Check"),"")</f>
        <v>Airtel</v>
      </c>
      <c r="F885" s="101">
        <v>46114</v>
      </c>
      <c r="G885" s="103"/>
      <c r="H885" s="102" t="s">
        <v>1260</v>
      </c>
      <c r="I885" s="9">
        <v>2</v>
      </c>
      <c r="J885" s="9">
        <v>65</v>
      </c>
      <c r="K885" s="100">
        <f t="shared" si="115"/>
        <v>130</v>
      </c>
      <c r="L885" s="78">
        <v>46112</v>
      </c>
      <c r="M885" s="103"/>
      <c r="N885" s="93" t="s">
        <v>373</v>
      </c>
      <c r="O885" s="94">
        <v>46146</v>
      </c>
      <c r="P885" s="104">
        <f t="shared" si="116"/>
        <v>65</v>
      </c>
      <c r="Q885" s="104">
        <f t="shared" si="117"/>
        <v>130</v>
      </c>
      <c r="R885" s="104"/>
      <c r="S885" s="93" t="s">
        <v>374</v>
      </c>
      <c r="T885" s="94">
        <v>46156</v>
      </c>
      <c r="U885" s="104">
        <f t="shared" si="118"/>
        <v>65</v>
      </c>
      <c r="V885" s="104">
        <f t="shared" si="119"/>
        <v>2</v>
      </c>
      <c r="W885" s="103">
        <f t="shared" si="120"/>
        <v>130</v>
      </c>
      <c r="X885" s="93" t="s">
        <v>89</v>
      </c>
      <c r="Y885" s="105" t="s">
        <v>84</v>
      </c>
      <c r="Z885" s="105" t="s">
        <v>93</v>
      </c>
    </row>
    <row r="886" spans="1:26" s="105" customFormat="1" ht="15" customHeight="1">
      <c r="A886" s="99">
        <f t="shared" si="114"/>
        <v>884</v>
      </c>
      <c r="B886" s="75" t="s">
        <v>471</v>
      </c>
      <c r="C886" s="100" t="str">
        <f>IF($B886&lt;&gt;"",_xlfn.IFNA(VLOOKUP($B886,'Node Details'!$B:$U,C$1,0),"Check"),"")</f>
        <v>0000AXW10-AXW100107</v>
      </c>
      <c r="D886" s="100" t="str">
        <f>IF($B886&lt;&gt;"",_xlfn.IFNA(VLOOKUP($B886,'Node Details'!$B:$U,D$1,0),"Check"),"")</f>
        <v>AXW</v>
      </c>
      <c r="E886" s="100" t="str">
        <f>IF($B886&lt;&gt;"",_xlfn.IFNA(VLOOKUP($B886,'Node Details'!$B:$U,E$1,0),"Check"),"")</f>
        <v>Airtel</v>
      </c>
      <c r="F886" s="101">
        <v>46114</v>
      </c>
      <c r="G886" s="103"/>
      <c r="H886" s="102" t="s">
        <v>1260</v>
      </c>
      <c r="I886" s="9">
        <v>6</v>
      </c>
      <c r="J886" s="9">
        <v>65</v>
      </c>
      <c r="K886" s="100">
        <f t="shared" si="115"/>
        <v>390</v>
      </c>
      <c r="L886" s="78">
        <v>46112</v>
      </c>
      <c r="M886" s="103"/>
      <c r="N886" s="93" t="s">
        <v>373</v>
      </c>
      <c r="O886" s="94">
        <v>46146</v>
      </c>
      <c r="P886" s="104">
        <f t="shared" si="116"/>
        <v>65</v>
      </c>
      <c r="Q886" s="104">
        <f t="shared" si="117"/>
        <v>390</v>
      </c>
      <c r="R886" s="104"/>
      <c r="S886" s="93" t="s">
        <v>374</v>
      </c>
      <c r="T886" s="94">
        <v>46156</v>
      </c>
      <c r="U886" s="104">
        <f t="shared" si="118"/>
        <v>65</v>
      </c>
      <c r="V886" s="104">
        <f t="shared" si="119"/>
        <v>6</v>
      </c>
      <c r="W886" s="103">
        <f t="shared" si="120"/>
        <v>390</v>
      </c>
      <c r="X886" s="93" t="s">
        <v>89</v>
      </c>
      <c r="Y886" s="105" t="s">
        <v>84</v>
      </c>
      <c r="Z886" s="105" t="s">
        <v>93</v>
      </c>
    </row>
    <row r="887" spans="1:26" s="105" customFormat="1" ht="15" customHeight="1">
      <c r="A887" s="99">
        <f t="shared" si="114"/>
        <v>885</v>
      </c>
      <c r="B887" s="75" t="s">
        <v>1087</v>
      </c>
      <c r="C887" s="100" t="str">
        <f>IF($B887&lt;&gt;"",_xlfn.IFNA(VLOOKUP($B887,'Node Details'!$B:$U,C$1,0),"Check"),"")</f>
        <v>0000AXW10-AXW100107</v>
      </c>
      <c r="D887" s="100" t="str">
        <f>IF($B887&lt;&gt;"",_xlfn.IFNA(VLOOKUP($B887,'Node Details'!$B:$U,D$1,0),"Check"),"")</f>
        <v>AXW</v>
      </c>
      <c r="E887" s="100" t="str">
        <f>IF($B887&lt;&gt;"",_xlfn.IFNA(VLOOKUP($B887,'Node Details'!$B:$U,E$1,0),"Check"),"")</f>
        <v>Airtel</v>
      </c>
      <c r="F887" s="101">
        <v>46114</v>
      </c>
      <c r="G887" s="103"/>
      <c r="H887" s="102" t="s">
        <v>1260</v>
      </c>
      <c r="I887" s="9">
        <v>4</v>
      </c>
      <c r="J887" s="9">
        <v>65</v>
      </c>
      <c r="K887" s="100">
        <f t="shared" si="115"/>
        <v>260</v>
      </c>
      <c r="L887" s="78">
        <v>46112</v>
      </c>
      <c r="M887" s="103"/>
      <c r="N887" s="93" t="s">
        <v>373</v>
      </c>
      <c r="O887" s="94">
        <v>46146</v>
      </c>
      <c r="P887" s="104">
        <f t="shared" si="116"/>
        <v>65</v>
      </c>
      <c r="Q887" s="104">
        <f t="shared" si="117"/>
        <v>260</v>
      </c>
      <c r="R887" s="104"/>
      <c r="S887" s="93" t="s">
        <v>374</v>
      </c>
      <c r="T887" s="94">
        <v>46156</v>
      </c>
      <c r="U887" s="104">
        <f t="shared" si="118"/>
        <v>65</v>
      </c>
      <c r="V887" s="104">
        <f t="shared" si="119"/>
        <v>4</v>
      </c>
      <c r="W887" s="103">
        <f t="shared" si="120"/>
        <v>260</v>
      </c>
      <c r="X887" s="93" t="s">
        <v>89</v>
      </c>
      <c r="Y887" s="105" t="s">
        <v>84</v>
      </c>
      <c r="Z887" s="105" t="s">
        <v>93</v>
      </c>
    </row>
    <row r="888" spans="1:26" s="105" customFormat="1" ht="15" customHeight="1">
      <c r="A888" s="99">
        <f t="shared" si="114"/>
        <v>886</v>
      </c>
      <c r="B888" s="75" t="s">
        <v>465</v>
      </c>
      <c r="C888" s="100" t="str">
        <f>IF($B888&lt;&gt;"",_xlfn.IFNA(VLOOKUP($B888,'Node Details'!$B:$U,C$1,0),"Check"),"")</f>
        <v>0000AXW10-AXW100107</v>
      </c>
      <c r="D888" s="100" t="str">
        <f>IF($B888&lt;&gt;"",_xlfn.IFNA(VLOOKUP($B888,'Node Details'!$B:$U,D$1,0),"Check"),"")</f>
        <v>AXW</v>
      </c>
      <c r="E888" s="100" t="str">
        <f>IF($B888&lt;&gt;"",_xlfn.IFNA(VLOOKUP($B888,'Node Details'!$B:$U,E$1,0),"Check"),"")</f>
        <v>Airtel</v>
      </c>
      <c r="F888" s="101">
        <v>46114</v>
      </c>
      <c r="G888" s="103"/>
      <c r="H888" s="102" t="s">
        <v>1260</v>
      </c>
      <c r="I888" s="9">
        <v>2</v>
      </c>
      <c r="J888" s="9">
        <v>65</v>
      </c>
      <c r="K888" s="100">
        <f t="shared" si="115"/>
        <v>130</v>
      </c>
      <c r="L888" s="78">
        <v>46112</v>
      </c>
      <c r="M888" s="103"/>
      <c r="N888" s="93" t="s">
        <v>373</v>
      </c>
      <c r="O888" s="94">
        <v>46146</v>
      </c>
      <c r="P888" s="104">
        <f t="shared" si="116"/>
        <v>65</v>
      </c>
      <c r="Q888" s="104">
        <f t="shared" si="117"/>
        <v>130</v>
      </c>
      <c r="R888" s="104"/>
      <c r="S888" s="93" t="s">
        <v>374</v>
      </c>
      <c r="T888" s="94">
        <v>46156</v>
      </c>
      <c r="U888" s="104">
        <f t="shared" si="118"/>
        <v>65</v>
      </c>
      <c r="V888" s="104">
        <f t="shared" si="119"/>
        <v>2</v>
      </c>
      <c r="W888" s="103">
        <f t="shared" si="120"/>
        <v>130</v>
      </c>
      <c r="X888" s="93" t="s">
        <v>89</v>
      </c>
      <c r="Y888" s="105" t="s">
        <v>84</v>
      </c>
      <c r="Z888" s="105" t="s">
        <v>93</v>
      </c>
    </row>
    <row r="889" spans="1:26" s="105" customFormat="1" ht="15" customHeight="1">
      <c r="A889" s="99">
        <f t="shared" si="114"/>
        <v>887</v>
      </c>
      <c r="B889" s="75" t="s">
        <v>474</v>
      </c>
      <c r="C889" s="100" t="str">
        <f>IF($B889&lt;&gt;"",_xlfn.IFNA(VLOOKUP($B889,'Node Details'!$B:$U,C$1,0),"Check"),"")</f>
        <v>000000AXW-0000AXW12</v>
      </c>
      <c r="D889" s="100" t="str">
        <f>IF($B889&lt;&gt;"",_xlfn.IFNA(VLOOKUP($B889,'Node Details'!$B:$U,D$1,0),"Check"),"")</f>
        <v>AXW</v>
      </c>
      <c r="E889" s="100" t="str">
        <f>IF($B889&lt;&gt;"",_xlfn.IFNA(VLOOKUP($B889,'Node Details'!$B:$U,E$1,0),"Check"),"")</f>
        <v>Airtel</v>
      </c>
      <c r="F889" s="101">
        <v>46114</v>
      </c>
      <c r="G889" s="103"/>
      <c r="H889" s="102" t="s">
        <v>1260</v>
      </c>
      <c r="I889" s="9">
        <v>42</v>
      </c>
      <c r="J889" s="9">
        <v>65</v>
      </c>
      <c r="K889" s="100">
        <f t="shared" si="115"/>
        <v>2730</v>
      </c>
      <c r="L889" s="78">
        <v>46112</v>
      </c>
      <c r="M889" s="103"/>
      <c r="N889" s="93" t="s">
        <v>373</v>
      </c>
      <c r="O889" s="94">
        <v>46146</v>
      </c>
      <c r="P889" s="104">
        <f t="shared" si="116"/>
        <v>65</v>
      </c>
      <c r="Q889" s="104">
        <f t="shared" si="117"/>
        <v>2730</v>
      </c>
      <c r="R889" s="104"/>
      <c r="S889" s="93" t="s">
        <v>374</v>
      </c>
      <c r="T889" s="94">
        <v>46156</v>
      </c>
      <c r="U889" s="104">
        <f t="shared" si="118"/>
        <v>65</v>
      </c>
      <c r="V889" s="104">
        <f t="shared" si="119"/>
        <v>42</v>
      </c>
      <c r="W889" s="103">
        <f t="shared" si="120"/>
        <v>2730</v>
      </c>
      <c r="X889" s="93" t="s">
        <v>89</v>
      </c>
      <c r="Y889" s="105" t="s">
        <v>84</v>
      </c>
      <c r="Z889" s="105" t="s">
        <v>93</v>
      </c>
    </row>
    <row r="890" spans="1:26" s="105" customFormat="1" ht="15" customHeight="1">
      <c r="A890" s="99">
        <f t="shared" si="114"/>
        <v>888</v>
      </c>
      <c r="B890" s="75" t="s">
        <v>381</v>
      </c>
      <c r="C890" s="100" t="str">
        <f>IF($B890&lt;&gt;"",_xlfn.IFNA(VLOOKUP($B890,'Node Details'!$B:$U,C$1,0),"Check"),"")</f>
        <v>000000AXW-0000AXW12</v>
      </c>
      <c r="D890" s="100" t="str">
        <f>IF($B890&lt;&gt;"",_xlfn.IFNA(VLOOKUP($B890,'Node Details'!$B:$U,D$1,0),"Check"),"")</f>
        <v>AXW</v>
      </c>
      <c r="E890" s="100" t="str">
        <f>IF($B890&lt;&gt;"",_xlfn.IFNA(VLOOKUP($B890,'Node Details'!$B:$U,E$1,0),"Check"),"")</f>
        <v>Airtel</v>
      </c>
      <c r="F890" s="101">
        <v>46114</v>
      </c>
      <c r="G890" s="103"/>
      <c r="H890" s="102" t="s">
        <v>1260</v>
      </c>
      <c r="I890" s="9">
        <v>42</v>
      </c>
      <c r="J890" s="9">
        <v>65</v>
      </c>
      <c r="K890" s="100">
        <f t="shared" si="115"/>
        <v>2730</v>
      </c>
      <c r="L890" s="78">
        <v>46112</v>
      </c>
      <c r="M890" s="103"/>
      <c r="N890" s="93" t="s">
        <v>373</v>
      </c>
      <c r="O890" s="94">
        <v>46146</v>
      </c>
      <c r="P890" s="104">
        <f t="shared" si="116"/>
        <v>65</v>
      </c>
      <c r="Q890" s="104">
        <f t="shared" si="117"/>
        <v>2730</v>
      </c>
      <c r="R890" s="104"/>
      <c r="S890" s="93" t="s">
        <v>374</v>
      </c>
      <c r="T890" s="94">
        <v>46156</v>
      </c>
      <c r="U890" s="104">
        <f t="shared" si="118"/>
        <v>65</v>
      </c>
      <c r="V890" s="104">
        <f t="shared" si="119"/>
        <v>42</v>
      </c>
      <c r="W890" s="103">
        <f t="shared" si="120"/>
        <v>2730</v>
      </c>
      <c r="X890" s="93" t="s">
        <v>89</v>
      </c>
      <c r="Y890" s="105" t="s">
        <v>84</v>
      </c>
      <c r="Z890" s="105" t="s">
        <v>93</v>
      </c>
    </row>
    <row r="891" spans="1:26" s="105" customFormat="1" ht="15" customHeight="1">
      <c r="A891" s="99">
        <f t="shared" si="114"/>
        <v>889</v>
      </c>
      <c r="B891" s="75" t="s">
        <v>1090</v>
      </c>
      <c r="C891" s="100" t="str">
        <f>IF($B891&lt;&gt;"",_xlfn.IFNA(VLOOKUP($B891,'Node Details'!$B:$U,C$1,0),"Check"),"")</f>
        <v>0000AXW12-AXW120106</v>
      </c>
      <c r="D891" s="100" t="str">
        <f>IF($B891&lt;&gt;"",_xlfn.IFNA(VLOOKUP($B891,'Node Details'!$B:$U,D$1,0),"Check"),"")</f>
        <v>AXW</v>
      </c>
      <c r="E891" s="100" t="str">
        <f>IF($B891&lt;&gt;"",_xlfn.IFNA(VLOOKUP($B891,'Node Details'!$B:$U,E$1,0),"Check"),"")</f>
        <v>Airtel</v>
      </c>
      <c r="F891" s="101">
        <v>46114</v>
      </c>
      <c r="G891" s="103"/>
      <c r="H891" s="102" t="s">
        <v>1260</v>
      </c>
      <c r="I891" s="9">
        <v>8</v>
      </c>
      <c r="J891" s="9">
        <v>65</v>
      </c>
      <c r="K891" s="100">
        <f t="shared" si="115"/>
        <v>520</v>
      </c>
      <c r="L891" s="78">
        <v>46112</v>
      </c>
      <c r="M891" s="103"/>
      <c r="N891" s="93" t="s">
        <v>373</v>
      </c>
      <c r="O891" s="94">
        <v>46146</v>
      </c>
      <c r="P891" s="104">
        <f t="shared" si="116"/>
        <v>65</v>
      </c>
      <c r="Q891" s="104">
        <f t="shared" si="117"/>
        <v>520</v>
      </c>
      <c r="R891" s="104"/>
      <c r="S891" s="93" t="s">
        <v>374</v>
      </c>
      <c r="T891" s="94">
        <v>46156</v>
      </c>
      <c r="U891" s="104">
        <f t="shared" si="118"/>
        <v>65</v>
      </c>
      <c r="V891" s="104">
        <f t="shared" si="119"/>
        <v>8</v>
      </c>
      <c r="W891" s="103">
        <f t="shared" si="120"/>
        <v>520</v>
      </c>
      <c r="X891" s="93" t="s">
        <v>89</v>
      </c>
      <c r="Y891" s="105" t="s">
        <v>84</v>
      </c>
      <c r="Z891" s="105" t="s">
        <v>93</v>
      </c>
    </row>
    <row r="892" spans="1:26" s="105" customFormat="1" ht="15" customHeight="1">
      <c r="A892" s="99">
        <f t="shared" si="114"/>
        <v>890</v>
      </c>
      <c r="B892" s="75" t="s">
        <v>1091</v>
      </c>
      <c r="C892" s="100" t="str">
        <f>IF($B892&lt;&gt;"",_xlfn.IFNA(VLOOKUP($B892,'Node Details'!$B:$U,C$1,0),"Check"),"")</f>
        <v>0000AXW12-AXW120106</v>
      </c>
      <c r="D892" s="100" t="str">
        <f>IF($B892&lt;&gt;"",_xlfn.IFNA(VLOOKUP($B892,'Node Details'!$B:$U,D$1,0),"Check"),"")</f>
        <v>AXW</v>
      </c>
      <c r="E892" s="100" t="str">
        <f>IF($B892&lt;&gt;"",_xlfn.IFNA(VLOOKUP($B892,'Node Details'!$B:$U,E$1,0),"Check"),"")</f>
        <v>Airtel</v>
      </c>
      <c r="F892" s="101">
        <v>46114</v>
      </c>
      <c r="G892" s="103"/>
      <c r="H892" s="102" t="s">
        <v>1260</v>
      </c>
      <c r="I892" s="9">
        <v>6</v>
      </c>
      <c r="J892" s="9">
        <v>65</v>
      </c>
      <c r="K892" s="100">
        <f t="shared" si="115"/>
        <v>390</v>
      </c>
      <c r="L892" s="78">
        <v>46112</v>
      </c>
      <c r="M892" s="103"/>
      <c r="N892" s="93" t="s">
        <v>373</v>
      </c>
      <c r="O892" s="94">
        <v>46146</v>
      </c>
      <c r="P892" s="104">
        <f t="shared" si="116"/>
        <v>65</v>
      </c>
      <c r="Q892" s="104">
        <f t="shared" si="117"/>
        <v>390</v>
      </c>
      <c r="R892" s="104"/>
      <c r="S892" s="93" t="s">
        <v>374</v>
      </c>
      <c r="T892" s="94">
        <v>46156</v>
      </c>
      <c r="U892" s="104">
        <f t="shared" si="118"/>
        <v>65</v>
      </c>
      <c r="V892" s="104">
        <f t="shared" si="119"/>
        <v>6</v>
      </c>
      <c r="W892" s="103">
        <f t="shared" si="120"/>
        <v>390</v>
      </c>
      <c r="X892" s="93" t="s">
        <v>89</v>
      </c>
      <c r="Y892" s="105" t="s">
        <v>84</v>
      </c>
      <c r="Z892" s="105" t="s">
        <v>93</v>
      </c>
    </row>
    <row r="893" spans="1:26" s="105" customFormat="1" ht="15" customHeight="1">
      <c r="A893" s="99">
        <f t="shared" si="114"/>
        <v>891</v>
      </c>
      <c r="B893" s="75" t="s">
        <v>1092</v>
      </c>
      <c r="C893" s="100" t="str">
        <f>IF($B893&lt;&gt;"",_xlfn.IFNA(VLOOKUP($B893,'Node Details'!$B:$U,C$1,0),"Check"),"")</f>
        <v>0000AXW12-AXW120106</v>
      </c>
      <c r="D893" s="100" t="str">
        <f>IF($B893&lt;&gt;"",_xlfn.IFNA(VLOOKUP($B893,'Node Details'!$B:$U,D$1,0),"Check"),"")</f>
        <v>AXW</v>
      </c>
      <c r="E893" s="100" t="str">
        <f>IF($B893&lt;&gt;"",_xlfn.IFNA(VLOOKUP($B893,'Node Details'!$B:$U,E$1,0),"Check"),"")</f>
        <v>Airtel</v>
      </c>
      <c r="F893" s="101">
        <v>46114</v>
      </c>
      <c r="G893" s="103"/>
      <c r="H893" s="102" t="s">
        <v>1260</v>
      </c>
      <c r="I893" s="9">
        <v>4</v>
      </c>
      <c r="J893" s="9">
        <v>65</v>
      </c>
      <c r="K893" s="100">
        <f t="shared" si="115"/>
        <v>260</v>
      </c>
      <c r="L893" s="78">
        <v>46112</v>
      </c>
      <c r="M893" s="103"/>
      <c r="N893" s="93" t="s">
        <v>373</v>
      </c>
      <c r="O893" s="94">
        <v>46146</v>
      </c>
      <c r="P893" s="104">
        <f t="shared" si="116"/>
        <v>65</v>
      </c>
      <c r="Q893" s="104">
        <f t="shared" si="117"/>
        <v>260</v>
      </c>
      <c r="R893" s="104"/>
      <c r="S893" s="93" t="s">
        <v>374</v>
      </c>
      <c r="T893" s="94">
        <v>46156</v>
      </c>
      <c r="U893" s="104">
        <f t="shared" si="118"/>
        <v>65</v>
      </c>
      <c r="V893" s="104">
        <f t="shared" si="119"/>
        <v>4</v>
      </c>
      <c r="W893" s="103">
        <f t="shared" si="120"/>
        <v>260</v>
      </c>
      <c r="X893" s="93" t="s">
        <v>89</v>
      </c>
      <c r="Y893" s="105" t="s">
        <v>84</v>
      </c>
      <c r="Z893" s="105" t="s">
        <v>93</v>
      </c>
    </row>
    <row r="894" spans="1:26" s="105" customFormat="1" ht="15" customHeight="1">
      <c r="A894" s="99">
        <f t="shared" si="114"/>
        <v>892</v>
      </c>
      <c r="B894" s="75" t="s">
        <v>483</v>
      </c>
      <c r="C894" s="100" t="str">
        <f>IF($B894&lt;&gt;"",_xlfn.IFNA(VLOOKUP($B894,'Node Details'!$B:$U,C$1,0),"Check"),"")</f>
        <v>0000AXW12-AXW120106</v>
      </c>
      <c r="D894" s="100" t="str">
        <f>IF($B894&lt;&gt;"",_xlfn.IFNA(VLOOKUP($B894,'Node Details'!$B:$U,D$1,0),"Check"),"")</f>
        <v>AXW</v>
      </c>
      <c r="E894" s="100" t="str">
        <f>IF($B894&lt;&gt;"",_xlfn.IFNA(VLOOKUP($B894,'Node Details'!$B:$U,E$1,0),"Check"),"")</f>
        <v>Airtel</v>
      </c>
      <c r="F894" s="101">
        <v>46114</v>
      </c>
      <c r="G894" s="103"/>
      <c r="H894" s="102" t="s">
        <v>1260</v>
      </c>
      <c r="I894" s="9">
        <v>2</v>
      </c>
      <c r="J894" s="9">
        <v>65</v>
      </c>
      <c r="K894" s="100">
        <f t="shared" si="115"/>
        <v>130</v>
      </c>
      <c r="L894" s="78">
        <v>46112</v>
      </c>
      <c r="M894" s="103"/>
      <c r="N894" s="93" t="s">
        <v>373</v>
      </c>
      <c r="O894" s="94">
        <v>46146</v>
      </c>
      <c r="P894" s="104">
        <f t="shared" si="116"/>
        <v>65</v>
      </c>
      <c r="Q894" s="104">
        <f t="shared" si="117"/>
        <v>130</v>
      </c>
      <c r="R894" s="104"/>
      <c r="S894" s="93" t="s">
        <v>374</v>
      </c>
      <c r="T894" s="94">
        <v>46156</v>
      </c>
      <c r="U894" s="104">
        <f t="shared" si="118"/>
        <v>65</v>
      </c>
      <c r="V894" s="104">
        <f t="shared" si="119"/>
        <v>2</v>
      </c>
      <c r="W894" s="103">
        <f t="shared" si="120"/>
        <v>130</v>
      </c>
      <c r="X894" s="93" t="s">
        <v>89</v>
      </c>
      <c r="Y894" s="105" t="s">
        <v>84</v>
      </c>
      <c r="Z894" s="105" t="s">
        <v>93</v>
      </c>
    </row>
    <row r="895" spans="1:26" s="105" customFormat="1" ht="15" customHeight="1">
      <c r="A895" s="99">
        <f t="shared" si="114"/>
        <v>893</v>
      </c>
      <c r="B895" s="75" t="s">
        <v>487</v>
      </c>
      <c r="C895" s="100" t="str">
        <f>IF($B895&lt;&gt;"",_xlfn.IFNA(VLOOKUP($B895,'Node Details'!$B:$U,C$1,0),"Check"),"")</f>
        <v>0000AXW10-0000AXW15</v>
      </c>
      <c r="D895" s="100" t="str">
        <f>IF($B895&lt;&gt;"",_xlfn.IFNA(VLOOKUP($B895,'Node Details'!$B:$U,D$1,0),"Check"),"")</f>
        <v>AXW</v>
      </c>
      <c r="E895" s="100" t="str">
        <f>IF($B895&lt;&gt;"",_xlfn.IFNA(VLOOKUP($B895,'Node Details'!$B:$U,E$1,0),"Check"),"")</f>
        <v>Airtel</v>
      </c>
      <c r="F895" s="101">
        <v>46114</v>
      </c>
      <c r="G895" s="103"/>
      <c r="H895" s="102" t="s">
        <v>1260</v>
      </c>
      <c r="I895" s="9">
        <v>42</v>
      </c>
      <c r="J895" s="9">
        <v>65</v>
      </c>
      <c r="K895" s="100">
        <f t="shared" si="115"/>
        <v>2730</v>
      </c>
      <c r="L895" s="78">
        <v>46112</v>
      </c>
      <c r="M895" s="103"/>
      <c r="N895" s="93" t="s">
        <v>373</v>
      </c>
      <c r="O895" s="94">
        <v>46146</v>
      </c>
      <c r="P895" s="104">
        <f t="shared" si="116"/>
        <v>65</v>
      </c>
      <c r="Q895" s="104">
        <f t="shared" si="117"/>
        <v>2730</v>
      </c>
      <c r="R895" s="104"/>
      <c r="S895" s="93" t="s">
        <v>374</v>
      </c>
      <c r="T895" s="94">
        <v>46156</v>
      </c>
      <c r="U895" s="104">
        <f t="shared" si="118"/>
        <v>65</v>
      </c>
      <c r="V895" s="104">
        <f t="shared" si="119"/>
        <v>42</v>
      </c>
      <c r="W895" s="103">
        <f t="shared" si="120"/>
        <v>2730</v>
      </c>
      <c r="X895" s="93" t="s">
        <v>89</v>
      </c>
      <c r="Y895" s="105" t="s">
        <v>84</v>
      </c>
      <c r="Z895" s="105" t="s">
        <v>93</v>
      </c>
    </row>
    <row r="896" spans="1:26" s="105" customFormat="1" ht="15" customHeight="1">
      <c r="A896" s="99">
        <f t="shared" si="114"/>
        <v>894</v>
      </c>
      <c r="B896" s="75" t="s">
        <v>1094</v>
      </c>
      <c r="C896" s="100" t="str">
        <f>IF($B896&lt;&gt;"",_xlfn.IFNA(VLOOKUP($B896,'Node Details'!$B:$U,C$1,0),"Check"),"")</f>
        <v>0000AXW13-AXW130108</v>
      </c>
      <c r="D896" s="100" t="str">
        <f>IF($B896&lt;&gt;"",_xlfn.IFNA(VLOOKUP($B896,'Node Details'!$B:$U,D$1,0),"Check"),"")</f>
        <v>AXW</v>
      </c>
      <c r="E896" s="100" t="str">
        <f>IF($B896&lt;&gt;"",_xlfn.IFNA(VLOOKUP($B896,'Node Details'!$B:$U,E$1,0),"Check"),"")</f>
        <v>Airtel</v>
      </c>
      <c r="F896" s="101">
        <v>46114</v>
      </c>
      <c r="G896" s="103"/>
      <c r="H896" s="102" t="s">
        <v>1260</v>
      </c>
      <c r="I896" s="9">
        <v>6</v>
      </c>
      <c r="J896" s="9">
        <v>65</v>
      </c>
      <c r="K896" s="100">
        <f t="shared" si="115"/>
        <v>390</v>
      </c>
      <c r="L896" s="78">
        <v>46112</v>
      </c>
      <c r="M896" s="103"/>
      <c r="N896" s="93" t="s">
        <v>373</v>
      </c>
      <c r="O896" s="94">
        <v>46146</v>
      </c>
      <c r="P896" s="104">
        <f t="shared" si="116"/>
        <v>65</v>
      </c>
      <c r="Q896" s="104">
        <f t="shared" si="117"/>
        <v>390</v>
      </c>
      <c r="R896" s="104"/>
      <c r="S896" s="93" t="s">
        <v>374</v>
      </c>
      <c r="T896" s="94">
        <v>46156</v>
      </c>
      <c r="U896" s="104">
        <f t="shared" si="118"/>
        <v>65</v>
      </c>
      <c r="V896" s="104">
        <f t="shared" si="119"/>
        <v>6</v>
      </c>
      <c r="W896" s="103">
        <f t="shared" si="120"/>
        <v>390</v>
      </c>
      <c r="X896" s="93" t="s">
        <v>89</v>
      </c>
      <c r="Y896" s="105" t="s">
        <v>84</v>
      </c>
      <c r="Z896" s="105" t="s">
        <v>93</v>
      </c>
    </row>
    <row r="897" spans="1:26" s="105" customFormat="1" ht="15" customHeight="1">
      <c r="A897" s="99">
        <f t="shared" si="114"/>
        <v>895</v>
      </c>
      <c r="B897" s="75" t="s">
        <v>1096</v>
      </c>
      <c r="C897" s="100" t="str">
        <f>IF($B897&lt;&gt;"",_xlfn.IFNA(VLOOKUP($B897,'Node Details'!$B:$U,C$1,0),"Check"),"")</f>
        <v>0000AXW13-AXW130108</v>
      </c>
      <c r="D897" s="100" t="str">
        <f>IF($B897&lt;&gt;"",_xlfn.IFNA(VLOOKUP($B897,'Node Details'!$B:$U,D$1,0),"Check"),"")</f>
        <v>AXW</v>
      </c>
      <c r="E897" s="100" t="str">
        <f>IF($B897&lt;&gt;"",_xlfn.IFNA(VLOOKUP($B897,'Node Details'!$B:$U,E$1,0),"Check"),"")</f>
        <v>Airtel</v>
      </c>
      <c r="F897" s="101">
        <v>46114</v>
      </c>
      <c r="G897" s="103"/>
      <c r="H897" s="102" t="s">
        <v>1260</v>
      </c>
      <c r="I897" s="9">
        <v>4</v>
      </c>
      <c r="J897" s="9">
        <v>65</v>
      </c>
      <c r="K897" s="100">
        <f t="shared" si="115"/>
        <v>260</v>
      </c>
      <c r="L897" s="78">
        <v>46112</v>
      </c>
      <c r="M897" s="103"/>
      <c r="N897" s="93" t="s">
        <v>373</v>
      </c>
      <c r="O897" s="94">
        <v>46146</v>
      </c>
      <c r="P897" s="104">
        <f t="shared" si="116"/>
        <v>65</v>
      </c>
      <c r="Q897" s="104">
        <f t="shared" si="117"/>
        <v>260</v>
      </c>
      <c r="R897" s="104"/>
      <c r="S897" s="93" t="s">
        <v>374</v>
      </c>
      <c r="T897" s="94">
        <v>46156</v>
      </c>
      <c r="U897" s="104">
        <f t="shared" si="118"/>
        <v>65</v>
      </c>
      <c r="V897" s="104">
        <f t="shared" si="119"/>
        <v>4</v>
      </c>
      <c r="W897" s="103">
        <f t="shared" si="120"/>
        <v>260</v>
      </c>
      <c r="X897" s="93" t="s">
        <v>89</v>
      </c>
      <c r="Y897" s="105" t="s">
        <v>84</v>
      </c>
      <c r="Z897" s="105" t="s">
        <v>93</v>
      </c>
    </row>
    <row r="898" spans="1:26" s="105" customFormat="1" ht="15" customHeight="1">
      <c r="A898" s="99">
        <f t="shared" si="114"/>
        <v>896</v>
      </c>
      <c r="B898" s="75" t="s">
        <v>1097</v>
      </c>
      <c r="C898" s="100" t="str">
        <f>IF($B898&lt;&gt;"",_xlfn.IFNA(VLOOKUP($B898,'Node Details'!$B:$U,C$1,0),"Check"),"")</f>
        <v>0000AXW13-AXW130108</v>
      </c>
      <c r="D898" s="100" t="str">
        <f>IF($B898&lt;&gt;"",_xlfn.IFNA(VLOOKUP($B898,'Node Details'!$B:$U,D$1,0),"Check"),"")</f>
        <v>AXW</v>
      </c>
      <c r="E898" s="100" t="str">
        <f>IF($B898&lt;&gt;"",_xlfn.IFNA(VLOOKUP($B898,'Node Details'!$B:$U,E$1,0),"Check"),"")</f>
        <v>Airtel</v>
      </c>
      <c r="F898" s="101">
        <v>46114</v>
      </c>
      <c r="G898" s="103"/>
      <c r="H898" s="102" t="s">
        <v>1260</v>
      </c>
      <c r="I898" s="9">
        <v>2</v>
      </c>
      <c r="J898" s="9">
        <v>65</v>
      </c>
      <c r="K898" s="100">
        <f t="shared" si="115"/>
        <v>130</v>
      </c>
      <c r="L898" s="78">
        <v>46112</v>
      </c>
      <c r="M898" s="103"/>
      <c r="N898" s="93" t="s">
        <v>373</v>
      </c>
      <c r="O898" s="94">
        <v>46146</v>
      </c>
      <c r="P898" s="104">
        <f t="shared" si="116"/>
        <v>65</v>
      </c>
      <c r="Q898" s="104">
        <f t="shared" si="117"/>
        <v>130</v>
      </c>
      <c r="R898" s="104"/>
      <c r="S898" s="93" t="s">
        <v>374</v>
      </c>
      <c r="T898" s="94">
        <v>46156</v>
      </c>
      <c r="U898" s="104">
        <f t="shared" si="118"/>
        <v>65</v>
      </c>
      <c r="V898" s="104">
        <f t="shared" si="119"/>
        <v>2</v>
      </c>
      <c r="W898" s="103">
        <f t="shared" si="120"/>
        <v>130</v>
      </c>
      <c r="X898" s="93" t="s">
        <v>89</v>
      </c>
      <c r="Y898" s="105" t="s">
        <v>84</v>
      </c>
      <c r="Z898" s="105" t="s">
        <v>93</v>
      </c>
    </row>
    <row r="899" spans="1:26" s="105" customFormat="1" ht="15" customHeight="1">
      <c r="A899" s="99">
        <f t="shared" si="114"/>
        <v>897</v>
      </c>
      <c r="B899" s="75" t="s">
        <v>494</v>
      </c>
      <c r="C899" s="100" t="str">
        <f>IF($B899&lt;&gt;"",_xlfn.IFNA(VLOOKUP($B899,'Node Details'!$B:$U,C$1,0),"Check"),"")</f>
        <v>0000AXW10-0000AXW15</v>
      </c>
      <c r="D899" s="100" t="str">
        <f>IF($B899&lt;&gt;"",_xlfn.IFNA(VLOOKUP($B899,'Node Details'!$B:$U,D$1,0),"Check"),"")</f>
        <v>AXW</v>
      </c>
      <c r="E899" s="100" t="str">
        <f>IF($B899&lt;&gt;"",_xlfn.IFNA(VLOOKUP($B899,'Node Details'!$B:$U,E$1,0),"Check"),"")</f>
        <v>Airtel</v>
      </c>
      <c r="F899" s="101">
        <v>46114</v>
      </c>
      <c r="G899" s="103"/>
      <c r="H899" s="102" t="s">
        <v>1260</v>
      </c>
      <c r="I899" s="9">
        <v>42</v>
      </c>
      <c r="J899" s="9">
        <v>65</v>
      </c>
      <c r="K899" s="100">
        <f t="shared" si="115"/>
        <v>2730</v>
      </c>
      <c r="L899" s="78">
        <v>46112</v>
      </c>
      <c r="M899" s="103"/>
      <c r="N899" s="93" t="s">
        <v>373</v>
      </c>
      <c r="O899" s="94">
        <v>46146</v>
      </c>
      <c r="P899" s="104">
        <f t="shared" si="116"/>
        <v>65</v>
      </c>
      <c r="Q899" s="104">
        <f t="shared" si="117"/>
        <v>2730</v>
      </c>
      <c r="R899" s="104"/>
      <c r="S899" s="93" t="s">
        <v>374</v>
      </c>
      <c r="T899" s="94">
        <v>46156</v>
      </c>
      <c r="U899" s="104">
        <f t="shared" si="118"/>
        <v>65</v>
      </c>
      <c r="V899" s="104">
        <f t="shared" si="119"/>
        <v>42</v>
      </c>
      <c r="W899" s="103">
        <f t="shared" si="120"/>
        <v>2730</v>
      </c>
      <c r="X899" s="93" t="s">
        <v>89</v>
      </c>
      <c r="Y899" s="105" t="s">
        <v>84</v>
      </c>
      <c r="Z899" s="105" t="s">
        <v>93</v>
      </c>
    </row>
    <row r="900" spans="1:26" s="105" customFormat="1" ht="15" customHeight="1">
      <c r="A900" s="99">
        <f t="shared" si="114"/>
        <v>898</v>
      </c>
      <c r="B900" s="75" t="s">
        <v>495</v>
      </c>
      <c r="C900" s="100" t="str">
        <f>IF($B900&lt;&gt;"",_xlfn.IFNA(VLOOKUP($B900,'Node Details'!$B:$U,C$1,0),"Check"),"")</f>
        <v>0000AXW14-AXW140101</v>
      </c>
      <c r="D900" s="100" t="str">
        <f>IF($B900&lt;&gt;"",_xlfn.IFNA(VLOOKUP($B900,'Node Details'!$B:$U,D$1,0),"Check"),"")</f>
        <v>AXW</v>
      </c>
      <c r="E900" s="100" t="str">
        <f>IF($B900&lt;&gt;"",_xlfn.IFNA(VLOOKUP($B900,'Node Details'!$B:$U,E$1,0),"Check"),"")</f>
        <v>Airtel</v>
      </c>
      <c r="F900" s="101">
        <v>46114</v>
      </c>
      <c r="G900" s="103"/>
      <c r="H900" s="102" t="s">
        <v>1260</v>
      </c>
      <c r="I900" s="9">
        <v>6</v>
      </c>
      <c r="J900" s="9">
        <v>65</v>
      </c>
      <c r="K900" s="100">
        <f t="shared" ref="K900:K957" si="121">IF(I900&lt;&gt;"",J900*I900,0)</f>
        <v>390</v>
      </c>
      <c r="L900" s="78">
        <v>46112</v>
      </c>
      <c r="M900" s="103"/>
      <c r="N900" s="93" t="s">
        <v>373</v>
      </c>
      <c r="O900" s="94">
        <v>46146</v>
      </c>
      <c r="P900" s="104">
        <f t="shared" si="116"/>
        <v>65</v>
      </c>
      <c r="Q900" s="104">
        <f t="shared" si="117"/>
        <v>390</v>
      </c>
      <c r="R900" s="104"/>
      <c r="S900" s="93" t="s">
        <v>374</v>
      </c>
      <c r="T900" s="94">
        <v>46156</v>
      </c>
      <c r="U900" s="104">
        <f t="shared" si="118"/>
        <v>65</v>
      </c>
      <c r="V900" s="104">
        <f t="shared" si="119"/>
        <v>6</v>
      </c>
      <c r="W900" s="103">
        <f t="shared" si="120"/>
        <v>390</v>
      </c>
      <c r="X900" s="93" t="s">
        <v>89</v>
      </c>
      <c r="Y900" s="105" t="s">
        <v>84</v>
      </c>
      <c r="Z900" s="105" t="s">
        <v>93</v>
      </c>
    </row>
    <row r="901" spans="1:26" s="105" customFormat="1" ht="15" customHeight="1">
      <c r="A901" s="99">
        <f t="shared" ref="A901:A964" si="122">A900+1</f>
        <v>899</v>
      </c>
      <c r="B901" s="75" t="s">
        <v>499</v>
      </c>
      <c r="C901" s="100" t="str">
        <f>IF($B901&lt;&gt;"",_xlfn.IFNA(VLOOKUP($B901,'Node Details'!$B:$U,C$1,0),"Check"),"")</f>
        <v>0000AXW14-AXW140103</v>
      </c>
      <c r="D901" s="100" t="str">
        <f>IF($B901&lt;&gt;"",_xlfn.IFNA(VLOOKUP($B901,'Node Details'!$B:$U,D$1,0),"Check"),"")</f>
        <v>AXW</v>
      </c>
      <c r="E901" s="100" t="str">
        <f>IF($B901&lt;&gt;"",_xlfn.IFNA(VLOOKUP($B901,'Node Details'!$B:$U,E$1,0),"Check"),"")</f>
        <v>Airtel</v>
      </c>
      <c r="F901" s="101">
        <v>46114</v>
      </c>
      <c r="G901" s="103"/>
      <c r="H901" s="102" t="s">
        <v>1260</v>
      </c>
      <c r="I901" s="9">
        <v>4</v>
      </c>
      <c r="J901" s="9">
        <v>65</v>
      </c>
      <c r="K901" s="100">
        <f t="shared" si="121"/>
        <v>260</v>
      </c>
      <c r="L901" s="78">
        <v>46112</v>
      </c>
      <c r="M901" s="103"/>
      <c r="N901" s="93" t="s">
        <v>373</v>
      </c>
      <c r="O901" s="94">
        <v>46146</v>
      </c>
      <c r="P901" s="104">
        <f t="shared" ref="P901:P956" si="123">J901</f>
        <v>65</v>
      </c>
      <c r="Q901" s="104">
        <f t="shared" ref="Q901:Q956" si="124">P901*I901</f>
        <v>260</v>
      </c>
      <c r="R901" s="104"/>
      <c r="S901" s="93" t="s">
        <v>374</v>
      </c>
      <c r="T901" s="94">
        <v>46156</v>
      </c>
      <c r="U901" s="104">
        <f t="shared" ref="U901:U956" si="125">J901</f>
        <v>65</v>
      </c>
      <c r="V901" s="104">
        <f t="shared" ref="V901:V956" si="126">I901</f>
        <v>4</v>
      </c>
      <c r="W901" s="103">
        <f t="shared" ref="W901:W956" si="127">IF(V901&lt;&gt;"",V901*U901,0)</f>
        <v>260</v>
      </c>
      <c r="X901" s="93" t="s">
        <v>89</v>
      </c>
      <c r="Y901" s="105" t="s">
        <v>84</v>
      </c>
      <c r="Z901" s="105" t="s">
        <v>93</v>
      </c>
    </row>
    <row r="902" spans="1:26" s="105" customFormat="1" ht="15" customHeight="1">
      <c r="A902" s="99">
        <f t="shared" si="122"/>
        <v>900</v>
      </c>
      <c r="B902" s="75" t="s">
        <v>497</v>
      </c>
      <c r="C902" s="100" t="str">
        <f>IF($B902&lt;&gt;"",_xlfn.IFNA(VLOOKUP($B902,'Node Details'!$B:$U,C$1,0),"Check"),"")</f>
        <v>0000AXW14-AXW140103</v>
      </c>
      <c r="D902" s="100" t="str">
        <f>IF($B902&lt;&gt;"",_xlfn.IFNA(VLOOKUP($B902,'Node Details'!$B:$U,D$1,0),"Check"),"")</f>
        <v>AXW</v>
      </c>
      <c r="E902" s="100" t="str">
        <f>IF($B902&lt;&gt;"",_xlfn.IFNA(VLOOKUP($B902,'Node Details'!$B:$U,E$1,0),"Check"),"")</f>
        <v>Airtel</v>
      </c>
      <c r="F902" s="101">
        <v>46114</v>
      </c>
      <c r="G902" s="103"/>
      <c r="H902" s="102" t="s">
        <v>1260</v>
      </c>
      <c r="I902" s="9">
        <v>2</v>
      </c>
      <c r="J902" s="9">
        <v>65</v>
      </c>
      <c r="K902" s="100">
        <f t="shared" si="121"/>
        <v>130</v>
      </c>
      <c r="L902" s="78">
        <v>46112</v>
      </c>
      <c r="M902" s="103"/>
      <c r="N902" s="93" t="s">
        <v>373</v>
      </c>
      <c r="O902" s="94">
        <v>46146</v>
      </c>
      <c r="P902" s="104">
        <f t="shared" si="123"/>
        <v>65</v>
      </c>
      <c r="Q902" s="104">
        <f t="shared" si="124"/>
        <v>130</v>
      </c>
      <c r="R902" s="104"/>
      <c r="S902" s="93" t="s">
        <v>374</v>
      </c>
      <c r="T902" s="94">
        <v>46156</v>
      </c>
      <c r="U902" s="104">
        <f t="shared" si="125"/>
        <v>65</v>
      </c>
      <c r="V902" s="104">
        <f t="shared" si="126"/>
        <v>2</v>
      </c>
      <c r="W902" s="103">
        <f t="shared" si="127"/>
        <v>130</v>
      </c>
      <c r="X902" s="93" t="s">
        <v>89</v>
      </c>
      <c r="Y902" s="105" t="s">
        <v>84</v>
      </c>
      <c r="Z902" s="105" t="s">
        <v>93</v>
      </c>
    </row>
    <row r="903" spans="1:26" s="105" customFormat="1" ht="15" customHeight="1">
      <c r="A903" s="99">
        <f t="shared" si="122"/>
        <v>901</v>
      </c>
      <c r="B903" s="75" t="s">
        <v>384</v>
      </c>
      <c r="C903" s="100" t="str">
        <f>IF($B903&lt;&gt;"",_xlfn.IFNA(VLOOKUP($B903,'Node Details'!$B:$U,C$1,0),"Check"),"")</f>
        <v>0000AXW10-0000AXW15</v>
      </c>
      <c r="D903" s="100" t="str">
        <f>IF($B903&lt;&gt;"",_xlfn.IFNA(VLOOKUP($B903,'Node Details'!$B:$U,D$1,0),"Check"),"")</f>
        <v>AXW</v>
      </c>
      <c r="E903" s="100" t="str">
        <f>IF($B903&lt;&gt;"",_xlfn.IFNA(VLOOKUP($B903,'Node Details'!$B:$U,E$1,0),"Check"),"")</f>
        <v>Airtel</v>
      </c>
      <c r="F903" s="101">
        <v>46114</v>
      </c>
      <c r="G903" s="103"/>
      <c r="H903" s="102" t="s">
        <v>1260</v>
      </c>
      <c r="I903" s="9">
        <v>42</v>
      </c>
      <c r="J903" s="9">
        <v>65</v>
      </c>
      <c r="K903" s="100">
        <f t="shared" si="121"/>
        <v>2730</v>
      </c>
      <c r="L903" s="78">
        <v>46112</v>
      </c>
      <c r="M903" s="103"/>
      <c r="N903" s="93" t="s">
        <v>373</v>
      </c>
      <c r="O903" s="94">
        <v>46146</v>
      </c>
      <c r="P903" s="104">
        <f t="shared" si="123"/>
        <v>65</v>
      </c>
      <c r="Q903" s="104">
        <f t="shared" si="124"/>
        <v>2730</v>
      </c>
      <c r="R903" s="104"/>
      <c r="S903" s="93" t="s">
        <v>374</v>
      </c>
      <c r="T903" s="94">
        <v>46156</v>
      </c>
      <c r="U903" s="104">
        <f t="shared" si="125"/>
        <v>65</v>
      </c>
      <c r="V903" s="104">
        <f t="shared" si="126"/>
        <v>42</v>
      </c>
      <c r="W903" s="103">
        <f t="shared" si="127"/>
        <v>2730</v>
      </c>
      <c r="X903" s="93" t="s">
        <v>89</v>
      </c>
      <c r="Y903" s="105" t="s">
        <v>84</v>
      </c>
      <c r="Z903" s="105" t="s">
        <v>93</v>
      </c>
    </row>
    <row r="904" spans="1:26" s="105" customFormat="1" ht="15" customHeight="1">
      <c r="A904" s="99">
        <f t="shared" si="122"/>
        <v>902</v>
      </c>
      <c r="B904" s="75" t="s">
        <v>506</v>
      </c>
      <c r="C904" s="100" t="str">
        <f>IF($B904&lt;&gt;"",_xlfn.IFNA(VLOOKUP($B904,'Node Details'!$B:$U,C$1,0),"Check"),"")</f>
        <v>0000AXW15-AXW150103</v>
      </c>
      <c r="D904" s="100" t="str">
        <f>IF($B904&lt;&gt;"",_xlfn.IFNA(VLOOKUP($B904,'Node Details'!$B:$U,D$1,0),"Check"),"")</f>
        <v>AXW</v>
      </c>
      <c r="E904" s="100" t="str">
        <f>IF($B904&lt;&gt;"",_xlfn.IFNA(VLOOKUP($B904,'Node Details'!$B:$U,E$1,0),"Check"),"")</f>
        <v>Airtel</v>
      </c>
      <c r="F904" s="101">
        <v>46114</v>
      </c>
      <c r="G904" s="103"/>
      <c r="H904" s="102" t="s">
        <v>1260</v>
      </c>
      <c r="I904" s="9">
        <v>6</v>
      </c>
      <c r="J904" s="9">
        <v>65</v>
      </c>
      <c r="K904" s="100">
        <f t="shared" si="121"/>
        <v>390</v>
      </c>
      <c r="L904" s="78">
        <v>46112</v>
      </c>
      <c r="M904" s="103"/>
      <c r="N904" s="93" t="s">
        <v>373</v>
      </c>
      <c r="O904" s="94">
        <v>46146</v>
      </c>
      <c r="P904" s="104">
        <f t="shared" si="123"/>
        <v>65</v>
      </c>
      <c r="Q904" s="104">
        <f t="shared" si="124"/>
        <v>390</v>
      </c>
      <c r="R904" s="104"/>
      <c r="S904" s="93" t="s">
        <v>374</v>
      </c>
      <c r="T904" s="94">
        <v>46156</v>
      </c>
      <c r="U904" s="104">
        <f t="shared" si="125"/>
        <v>65</v>
      </c>
      <c r="V904" s="104">
        <f t="shared" si="126"/>
        <v>6</v>
      </c>
      <c r="W904" s="103">
        <f t="shared" si="127"/>
        <v>390</v>
      </c>
      <c r="X904" s="93" t="s">
        <v>89</v>
      </c>
      <c r="Y904" s="105" t="s">
        <v>84</v>
      </c>
      <c r="Z904" s="105" t="s">
        <v>93</v>
      </c>
    </row>
    <row r="905" spans="1:26" s="105" customFormat="1" ht="15" customHeight="1">
      <c r="A905" s="99">
        <f t="shared" si="122"/>
        <v>903</v>
      </c>
      <c r="B905" s="75" t="s">
        <v>504</v>
      </c>
      <c r="C905" s="100" t="str">
        <f>IF($B905&lt;&gt;"",_xlfn.IFNA(VLOOKUP($B905,'Node Details'!$B:$U,C$1,0),"Check"),"")</f>
        <v>0000AXW15-AXW150103</v>
      </c>
      <c r="D905" s="100" t="str">
        <f>IF($B905&lt;&gt;"",_xlfn.IFNA(VLOOKUP($B905,'Node Details'!$B:$U,D$1,0),"Check"),"")</f>
        <v>AXW</v>
      </c>
      <c r="E905" s="100" t="str">
        <f>IF($B905&lt;&gt;"",_xlfn.IFNA(VLOOKUP($B905,'Node Details'!$B:$U,E$1,0),"Check"),"")</f>
        <v>Airtel</v>
      </c>
      <c r="F905" s="101">
        <v>46114</v>
      </c>
      <c r="G905" s="103"/>
      <c r="H905" s="102" t="s">
        <v>1260</v>
      </c>
      <c r="I905" s="9">
        <v>4</v>
      </c>
      <c r="J905" s="9">
        <v>65</v>
      </c>
      <c r="K905" s="100">
        <f t="shared" si="121"/>
        <v>260</v>
      </c>
      <c r="L905" s="78">
        <v>46112</v>
      </c>
      <c r="M905" s="103"/>
      <c r="N905" s="93" t="s">
        <v>373</v>
      </c>
      <c r="O905" s="94">
        <v>46146</v>
      </c>
      <c r="P905" s="104">
        <f t="shared" si="123"/>
        <v>65</v>
      </c>
      <c r="Q905" s="104">
        <f t="shared" si="124"/>
        <v>260</v>
      </c>
      <c r="R905" s="104"/>
      <c r="S905" s="93" t="s">
        <v>374</v>
      </c>
      <c r="T905" s="94">
        <v>46156</v>
      </c>
      <c r="U905" s="104">
        <f t="shared" si="125"/>
        <v>65</v>
      </c>
      <c r="V905" s="104">
        <f t="shared" si="126"/>
        <v>4</v>
      </c>
      <c r="W905" s="103">
        <f t="shared" si="127"/>
        <v>260</v>
      </c>
      <c r="X905" s="93" t="s">
        <v>89</v>
      </c>
      <c r="Y905" s="105" t="s">
        <v>84</v>
      </c>
      <c r="Z905" s="105" t="s">
        <v>93</v>
      </c>
    </row>
    <row r="906" spans="1:26" s="105" customFormat="1" ht="15" customHeight="1">
      <c r="A906" s="99">
        <f t="shared" si="122"/>
        <v>904</v>
      </c>
      <c r="B906" s="75" t="s">
        <v>507</v>
      </c>
      <c r="C906" s="100" t="str">
        <f>IF($B906&lt;&gt;"",_xlfn.IFNA(VLOOKUP($B906,'Node Details'!$B:$U,C$1,0),"Check"),"")</f>
        <v>AXW150102-AXW150104</v>
      </c>
      <c r="D906" s="100" t="str">
        <f>IF($B906&lt;&gt;"",_xlfn.IFNA(VLOOKUP($B906,'Node Details'!$B:$U,D$1,0),"Check"),"")</f>
        <v>AXW</v>
      </c>
      <c r="E906" s="100" t="str">
        <f>IF($B906&lt;&gt;"",_xlfn.IFNA(VLOOKUP($B906,'Node Details'!$B:$U,E$1,0),"Check"),"")</f>
        <v>Airtel</v>
      </c>
      <c r="F906" s="101">
        <v>46114</v>
      </c>
      <c r="G906" s="103"/>
      <c r="H906" s="102" t="s">
        <v>1260</v>
      </c>
      <c r="I906" s="9">
        <v>2</v>
      </c>
      <c r="J906" s="9">
        <v>65</v>
      </c>
      <c r="K906" s="100">
        <f t="shared" si="121"/>
        <v>130</v>
      </c>
      <c r="L906" s="78">
        <v>46112</v>
      </c>
      <c r="M906" s="103"/>
      <c r="N906" s="93" t="s">
        <v>373</v>
      </c>
      <c r="O906" s="94">
        <v>46146</v>
      </c>
      <c r="P906" s="104">
        <f t="shared" si="123"/>
        <v>65</v>
      </c>
      <c r="Q906" s="104">
        <f t="shared" si="124"/>
        <v>130</v>
      </c>
      <c r="R906" s="104"/>
      <c r="S906" s="93" t="s">
        <v>374</v>
      </c>
      <c r="T906" s="94">
        <v>46156</v>
      </c>
      <c r="U906" s="104">
        <f t="shared" si="125"/>
        <v>65</v>
      </c>
      <c r="V906" s="104">
        <f t="shared" si="126"/>
        <v>2</v>
      </c>
      <c r="W906" s="103">
        <f t="shared" si="127"/>
        <v>130</v>
      </c>
      <c r="X906" s="93" t="s">
        <v>89</v>
      </c>
      <c r="Y906" s="105" t="s">
        <v>84</v>
      </c>
      <c r="Z906" s="105" t="s">
        <v>93</v>
      </c>
    </row>
    <row r="907" spans="1:26" s="105" customFormat="1" ht="15" customHeight="1">
      <c r="A907" s="99">
        <f t="shared" si="122"/>
        <v>905</v>
      </c>
      <c r="B907" s="75" t="s">
        <v>386</v>
      </c>
      <c r="C907" s="100" t="str">
        <f>IF($B907&lt;&gt;"",_xlfn.IFNA(VLOOKUP($B907,'Node Details'!$B:$U,C$1,0),"Check"),"")</f>
        <v>000000AXW-0000AXW17</v>
      </c>
      <c r="D907" s="100" t="str">
        <f>IF($B907&lt;&gt;"",_xlfn.IFNA(VLOOKUP($B907,'Node Details'!$B:$U,D$1,0),"Check"),"")</f>
        <v>AXW</v>
      </c>
      <c r="E907" s="100" t="str">
        <f>IF($B907&lt;&gt;"",_xlfn.IFNA(VLOOKUP($B907,'Node Details'!$B:$U,E$1,0),"Check"),"")</f>
        <v>Airtel</v>
      </c>
      <c r="F907" s="101">
        <v>46114</v>
      </c>
      <c r="G907" s="103"/>
      <c r="H907" s="102" t="s">
        <v>1260</v>
      </c>
      <c r="I907" s="9">
        <v>42</v>
      </c>
      <c r="J907" s="9">
        <v>65</v>
      </c>
      <c r="K907" s="100">
        <f t="shared" si="121"/>
        <v>2730</v>
      </c>
      <c r="L907" s="78">
        <v>46112</v>
      </c>
      <c r="M907" s="103"/>
      <c r="N907" s="93" t="s">
        <v>373</v>
      </c>
      <c r="O907" s="94">
        <v>46146</v>
      </c>
      <c r="P907" s="104">
        <f t="shared" si="123"/>
        <v>65</v>
      </c>
      <c r="Q907" s="104">
        <f t="shared" si="124"/>
        <v>2730</v>
      </c>
      <c r="R907" s="104"/>
      <c r="S907" s="93" t="s">
        <v>374</v>
      </c>
      <c r="T907" s="94">
        <v>46156</v>
      </c>
      <c r="U907" s="104">
        <f t="shared" si="125"/>
        <v>65</v>
      </c>
      <c r="V907" s="104">
        <f t="shared" si="126"/>
        <v>42</v>
      </c>
      <c r="W907" s="103">
        <f t="shared" si="127"/>
        <v>2730</v>
      </c>
      <c r="X907" s="93" t="s">
        <v>89</v>
      </c>
      <c r="Y907" s="105" t="s">
        <v>84</v>
      </c>
      <c r="Z907" s="105" t="s">
        <v>93</v>
      </c>
    </row>
    <row r="908" spans="1:26" s="105" customFormat="1" ht="15" customHeight="1">
      <c r="A908" s="99">
        <f t="shared" si="122"/>
        <v>906</v>
      </c>
      <c r="B908" s="75" t="s">
        <v>515</v>
      </c>
      <c r="C908" s="100" t="str">
        <f>IF($B908&lt;&gt;"",_xlfn.IFNA(VLOOKUP($B908,'Node Details'!$B:$U,C$1,0),"Check"),"")</f>
        <v>0000AXW16-AXW160102</v>
      </c>
      <c r="D908" s="100" t="str">
        <f>IF($B908&lt;&gt;"",_xlfn.IFNA(VLOOKUP($B908,'Node Details'!$B:$U,D$1,0),"Check"),"")</f>
        <v>AXW</v>
      </c>
      <c r="E908" s="100" t="str">
        <f>IF($B908&lt;&gt;"",_xlfn.IFNA(VLOOKUP($B908,'Node Details'!$B:$U,E$1,0),"Check"),"")</f>
        <v>Airtel</v>
      </c>
      <c r="F908" s="101">
        <v>46114</v>
      </c>
      <c r="G908" s="103"/>
      <c r="H908" s="102" t="s">
        <v>1260</v>
      </c>
      <c r="I908" s="9">
        <v>6</v>
      </c>
      <c r="J908" s="9">
        <v>65</v>
      </c>
      <c r="K908" s="100">
        <f t="shared" si="121"/>
        <v>390</v>
      </c>
      <c r="L908" s="78">
        <v>46112</v>
      </c>
      <c r="M908" s="103"/>
      <c r="N908" s="93" t="s">
        <v>373</v>
      </c>
      <c r="O908" s="94">
        <v>46146</v>
      </c>
      <c r="P908" s="104">
        <f t="shared" si="123"/>
        <v>65</v>
      </c>
      <c r="Q908" s="104">
        <f t="shared" si="124"/>
        <v>390</v>
      </c>
      <c r="R908" s="104"/>
      <c r="S908" s="93" t="s">
        <v>374</v>
      </c>
      <c r="T908" s="94">
        <v>46156</v>
      </c>
      <c r="U908" s="104">
        <f t="shared" si="125"/>
        <v>65</v>
      </c>
      <c r="V908" s="104">
        <f t="shared" si="126"/>
        <v>6</v>
      </c>
      <c r="W908" s="103">
        <f t="shared" si="127"/>
        <v>390</v>
      </c>
      <c r="X908" s="93" t="s">
        <v>89</v>
      </c>
      <c r="Y908" s="105" t="s">
        <v>84</v>
      </c>
      <c r="Z908" s="105" t="s">
        <v>93</v>
      </c>
    </row>
    <row r="909" spans="1:26" s="105" customFormat="1" ht="15" customHeight="1">
      <c r="A909" s="99">
        <f t="shared" si="122"/>
        <v>907</v>
      </c>
      <c r="B909" s="75" t="s">
        <v>1100</v>
      </c>
      <c r="C909" s="100" t="str">
        <f>IF($B909&lt;&gt;"",_xlfn.IFNA(VLOOKUP($B909,'Node Details'!$B:$U,C$1,0),"Check"),"")</f>
        <v>0000AXW16-AXW160104</v>
      </c>
      <c r="D909" s="100" t="str">
        <f>IF($B909&lt;&gt;"",_xlfn.IFNA(VLOOKUP($B909,'Node Details'!$B:$U,D$1,0),"Check"),"")</f>
        <v>AXW</v>
      </c>
      <c r="E909" s="100" t="str">
        <f>IF($B909&lt;&gt;"",_xlfn.IFNA(VLOOKUP($B909,'Node Details'!$B:$U,E$1,0),"Check"),"")</f>
        <v>Airtel</v>
      </c>
      <c r="F909" s="101">
        <v>46114</v>
      </c>
      <c r="G909" s="103"/>
      <c r="H909" s="102" t="s">
        <v>1260</v>
      </c>
      <c r="I909" s="9">
        <v>4</v>
      </c>
      <c r="J909" s="9">
        <v>65</v>
      </c>
      <c r="K909" s="100">
        <f t="shared" si="121"/>
        <v>260</v>
      </c>
      <c r="L909" s="78">
        <v>46112</v>
      </c>
      <c r="M909" s="103"/>
      <c r="N909" s="93" t="s">
        <v>373</v>
      </c>
      <c r="O909" s="94">
        <v>46146</v>
      </c>
      <c r="P909" s="104">
        <f t="shared" si="123"/>
        <v>65</v>
      </c>
      <c r="Q909" s="104">
        <f t="shared" si="124"/>
        <v>260</v>
      </c>
      <c r="R909" s="104"/>
      <c r="S909" s="93" t="s">
        <v>374</v>
      </c>
      <c r="T909" s="94">
        <v>46156</v>
      </c>
      <c r="U909" s="104">
        <f t="shared" si="125"/>
        <v>65</v>
      </c>
      <c r="V909" s="104">
        <f t="shared" si="126"/>
        <v>4</v>
      </c>
      <c r="W909" s="103">
        <f t="shared" si="127"/>
        <v>260</v>
      </c>
      <c r="X909" s="93" t="s">
        <v>89</v>
      </c>
      <c r="Y909" s="105" t="s">
        <v>84</v>
      </c>
      <c r="Z909" s="105" t="s">
        <v>93</v>
      </c>
    </row>
    <row r="910" spans="1:26" s="105" customFormat="1" ht="15" customHeight="1">
      <c r="A910" s="99">
        <f t="shared" si="122"/>
        <v>908</v>
      </c>
      <c r="B910" s="75" t="s">
        <v>517</v>
      </c>
      <c r="C910" s="100" t="str">
        <f>IF($B910&lt;&gt;"",_xlfn.IFNA(VLOOKUP($B910,'Node Details'!$B:$U,C$1,0),"Check"),"")</f>
        <v>0000AXW16-AXW160104</v>
      </c>
      <c r="D910" s="100" t="str">
        <f>IF($B910&lt;&gt;"",_xlfn.IFNA(VLOOKUP($B910,'Node Details'!$B:$U,D$1,0),"Check"),"")</f>
        <v>AXW</v>
      </c>
      <c r="E910" s="100" t="str">
        <f>IF($B910&lt;&gt;"",_xlfn.IFNA(VLOOKUP($B910,'Node Details'!$B:$U,E$1,0),"Check"),"")</f>
        <v>Airtel</v>
      </c>
      <c r="F910" s="101">
        <v>46114</v>
      </c>
      <c r="G910" s="103"/>
      <c r="H910" s="102" t="s">
        <v>1260</v>
      </c>
      <c r="I910" s="9">
        <v>2</v>
      </c>
      <c r="J910" s="9">
        <v>65</v>
      </c>
      <c r="K910" s="100">
        <f t="shared" si="121"/>
        <v>130</v>
      </c>
      <c r="L910" s="78">
        <v>46112</v>
      </c>
      <c r="M910" s="103"/>
      <c r="N910" s="93" t="s">
        <v>373</v>
      </c>
      <c r="O910" s="94">
        <v>46146</v>
      </c>
      <c r="P910" s="104">
        <f t="shared" si="123"/>
        <v>65</v>
      </c>
      <c r="Q910" s="104">
        <f t="shared" si="124"/>
        <v>130</v>
      </c>
      <c r="R910" s="104"/>
      <c r="S910" s="93" t="s">
        <v>374</v>
      </c>
      <c r="T910" s="94">
        <v>46156</v>
      </c>
      <c r="U910" s="104">
        <f t="shared" si="125"/>
        <v>65</v>
      </c>
      <c r="V910" s="104">
        <f t="shared" si="126"/>
        <v>2</v>
      </c>
      <c r="W910" s="103">
        <f t="shared" si="127"/>
        <v>130</v>
      </c>
      <c r="X910" s="93" t="s">
        <v>89</v>
      </c>
      <c r="Y910" s="105" t="s">
        <v>84</v>
      </c>
      <c r="Z910" s="105" t="s">
        <v>93</v>
      </c>
    </row>
    <row r="911" spans="1:26" s="105" customFormat="1" ht="15" customHeight="1">
      <c r="A911" s="99">
        <f t="shared" si="122"/>
        <v>909</v>
      </c>
      <c r="B911" s="75" t="s">
        <v>519</v>
      </c>
      <c r="C911" s="100" t="str">
        <f>IF($B911&lt;&gt;"",_xlfn.IFNA(VLOOKUP($B911,'Node Details'!$B:$U,C$1,0),"Check"),"")</f>
        <v>0000AXW16-AXW160105</v>
      </c>
      <c r="D911" s="100" t="str">
        <f>IF($B911&lt;&gt;"",_xlfn.IFNA(VLOOKUP($B911,'Node Details'!$B:$U,D$1,0),"Check"),"")</f>
        <v>AXW</v>
      </c>
      <c r="E911" s="100" t="str">
        <f>IF($B911&lt;&gt;"",_xlfn.IFNA(VLOOKUP($B911,'Node Details'!$B:$U,E$1,0),"Check"),"")</f>
        <v>Airtel</v>
      </c>
      <c r="F911" s="101">
        <v>46114</v>
      </c>
      <c r="G911" s="103"/>
      <c r="H911" s="102" t="s">
        <v>1260</v>
      </c>
      <c r="I911" s="9">
        <v>16</v>
      </c>
      <c r="J911" s="9">
        <v>65</v>
      </c>
      <c r="K911" s="100">
        <f t="shared" si="121"/>
        <v>1040</v>
      </c>
      <c r="L911" s="78">
        <v>46112</v>
      </c>
      <c r="M911" s="103"/>
      <c r="N911" s="93" t="s">
        <v>373</v>
      </c>
      <c r="O911" s="94">
        <v>46146</v>
      </c>
      <c r="P911" s="104">
        <f t="shared" si="123"/>
        <v>65</v>
      </c>
      <c r="Q911" s="104">
        <f t="shared" si="124"/>
        <v>1040</v>
      </c>
      <c r="R911" s="104"/>
      <c r="S911" s="93" t="s">
        <v>374</v>
      </c>
      <c r="T911" s="94">
        <v>46156</v>
      </c>
      <c r="U911" s="104">
        <f t="shared" si="125"/>
        <v>65</v>
      </c>
      <c r="V911" s="104">
        <f t="shared" si="126"/>
        <v>16</v>
      </c>
      <c r="W911" s="103">
        <f t="shared" si="127"/>
        <v>1040</v>
      </c>
      <c r="X911" s="93" t="s">
        <v>89</v>
      </c>
      <c r="Y911" s="105" t="s">
        <v>84</v>
      </c>
      <c r="Z911" s="105" t="s">
        <v>93</v>
      </c>
    </row>
    <row r="912" spans="1:26" s="105" customFormat="1" ht="15" customHeight="1">
      <c r="A912" s="99">
        <f t="shared" si="122"/>
        <v>910</v>
      </c>
      <c r="B912" s="75" t="s">
        <v>521</v>
      </c>
      <c r="C912" s="100" t="str">
        <f>IF($B912&lt;&gt;"",_xlfn.IFNA(VLOOKUP($B912,'Node Details'!$B:$U,C$1,0),"Check"),"")</f>
        <v>AXW160105-AXW160106</v>
      </c>
      <c r="D912" s="100" t="str">
        <f>IF($B912&lt;&gt;"",_xlfn.IFNA(VLOOKUP($B912,'Node Details'!$B:$U,D$1,0),"Check"),"")</f>
        <v>AXW</v>
      </c>
      <c r="E912" s="100" t="str">
        <f>IF($B912&lt;&gt;"",_xlfn.IFNA(VLOOKUP($B912,'Node Details'!$B:$U,E$1,0),"Check"),"")</f>
        <v>Airtel</v>
      </c>
      <c r="F912" s="101">
        <v>46114</v>
      </c>
      <c r="G912" s="103"/>
      <c r="H912" s="102" t="s">
        <v>1260</v>
      </c>
      <c r="I912" s="9">
        <v>14</v>
      </c>
      <c r="J912" s="9">
        <v>65</v>
      </c>
      <c r="K912" s="100">
        <f t="shared" si="121"/>
        <v>910</v>
      </c>
      <c r="L912" s="78">
        <v>46112</v>
      </c>
      <c r="M912" s="103"/>
      <c r="N912" s="93" t="s">
        <v>373</v>
      </c>
      <c r="O912" s="94">
        <v>46146</v>
      </c>
      <c r="P912" s="104">
        <f t="shared" si="123"/>
        <v>65</v>
      </c>
      <c r="Q912" s="104">
        <f t="shared" si="124"/>
        <v>910</v>
      </c>
      <c r="R912" s="104"/>
      <c r="S912" s="93" t="s">
        <v>374</v>
      </c>
      <c r="T912" s="94">
        <v>46156</v>
      </c>
      <c r="U912" s="104">
        <f t="shared" si="125"/>
        <v>65</v>
      </c>
      <c r="V912" s="104">
        <f t="shared" si="126"/>
        <v>14</v>
      </c>
      <c r="W912" s="103">
        <f t="shared" si="127"/>
        <v>910</v>
      </c>
      <c r="X912" s="93" t="s">
        <v>89</v>
      </c>
      <c r="Y912" s="105" t="s">
        <v>84</v>
      </c>
      <c r="Z912" s="105" t="s">
        <v>93</v>
      </c>
    </row>
    <row r="913" spans="1:26" s="105" customFormat="1" ht="15" customHeight="1">
      <c r="A913" s="99">
        <f t="shared" si="122"/>
        <v>911</v>
      </c>
      <c r="B913" s="75" t="s">
        <v>379</v>
      </c>
      <c r="C913" s="100" t="str">
        <f>IF($B913&lt;&gt;"",_xlfn.IFNA(VLOOKUP($B913,'Node Details'!$B:$U,C$1,0),"Check"),"")</f>
        <v>000000AXW-0000AXW17</v>
      </c>
      <c r="D913" s="100" t="str">
        <f>IF($B913&lt;&gt;"",_xlfn.IFNA(VLOOKUP($B913,'Node Details'!$B:$U,D$1,0),"Check"),"")</f>
        <v>AXW</v>
      </c>
      <c r="E913" s="100" t="str">
        <f>IF($B913&lt;&gt;"",_xlfn.IFNA(VLOOKUP($B913,'Node Details'!$B:$U,E$1,0),"Check"),"")</f>
        <v>Airtel</v>
      </c>
      <c r="F913" s="101">
        <v>46114</v>
      </c>
      <c r="G913" s="103"/>
      <c r="H913" s="102" t="s">
        <v>1260</v>
      </c>
      <c r="I913" s="9">
        <v>42</v>
      </c>
      <c r="J913" s="9">
        <v>65</v>
      </c>
      <c r="K913" s="100">
        <f t="shared" si="121"/>
        <v>2730</v>
      </c>
      <c r="L913" s="78">
        <v>46112</v>
      </c>
      <c r="M913" s="103"/>
      <c r="N913" s="93" t="s">
        <v>373</v>
      </c>
      <c r="O913" s="94">
        <v>46146</v>
      </c>
      <c r="P913" s="104">
        <f t="shared" si="123"/>
        <v>65</v>
      </c>
      <c r="Q913" s="104">
        <f t="shared" si="124"/>
        <v>2730</v>
      </c>
      <c r="R913" s="104"/>
      <c r="S913" s="93" t="s">
        <v>374</v>
      </c>
      <c r="T913" s="94">
        <v>46156</v>
      </c>
      <c r="U913" s="104">
        <f t="shared" si="125"/>
        <v>65</v>
      </c>
      <c r="V913" s="104">
        <f t="shared" si="126"/>
        <v>42</v>
      </c>
      <c r="W913" s="103">
        <f t="shared" si="127"/>
        <v>2730</v>
      </c>
      <c r="X913" s="93" t="s">
        <v>89</v>
      </c>
      <c r="Y913" s="105" t="s">
        <v>84</v>
      </c>
      <c r="Z913" s="105" t="s">
        <v>93</v>
      </c>
    </row>
    <row r="914" spans="1:26" s="105" customFormat="1" ht="15" customHeight="1">
      <c r="A914" s="99">
        <f t="shared" si="122"/>
        <v>912</v>
      </c>
      <c r="B914" s="75" t="s">
        <v>1102</v>
      </c>
      <c r="C914" s="100" t="str">
        <f>IF($B914&lt;&gt;"",_xlfn.IFNA(VLOOKUP($B914,'Node Details'!$B:$U,C$1,0),"Check"),"")</f>
        <v>0000AXW17-AXW170105</v>
      </c>
      <c r="D914" s="100" t="str">
        <f>IF($B914&lt;&gt;"",_xlfn.IFNA(VLOOKUP($B914,'Node Details'!$B:$U,D$1,0),"Check"),"")</f>
        <v>AXW</v>
      </c>
      <c r="E914" s="100" t="str">
        <f>IF($B914&lt;&gt;"",_xlfn.IFNA(VLOOKUP($B914,'Node Details'!$B:$U,E$1,0),"Check"),"")</f>
        <v>Airtel</v>
      </c>
      <c r="F914" s="101">
        <v>46114</v>
      </c>
      <c r="G914" s="103"/>
      <c r="H914" s="102" t="s">
        <v>1260</v>
      </c>
      <c r="I914" s="9">
        <v>6</v>
      </c>
      <c r="J914" s="9">
        <v>65</v>
      </c>
      <c r="K914" s="100">
        <f t="shared" si="121"/>
        <v>390</v>
      </c>
      <c r="L914" s="78">
        <v>46112</v>
      </c>
      <c r="M914" s="103"/>
      <c r="N914" s="93" t="s">
        <v>373</v>
      </c>
      <c r="O914" s="94">
        <v>46146</v>
      </c>
      <c r="P914" s="104">
        <f t="shared" si="123"/>
        <v>65</v>
      </c>
      <c r="Q914" s="104">
        <f t="shared" si="124"/>
        <v>390</v>
      </c>
      <c r="R914" s="104"/>
      <c r="S914" s="93" t="s">
        <v>374</v>
      </c>
      <c r="T914" s="94">
        <v>46156</v>
      </c>
      <c r="U914" s="104">
        <f t="shared" si="125"/>
        <v>65</v>
      </c>
      <c r="V914" s="104">
        <f t="shared" si="126"/>
        <v>6</v>
      </c>
      <c r="W914" s="103">
        <f t="shared" si="127"/>
        <v>390</v>
      </c>
      <c r="X914" s="93" t="s">
        <v>89</v>
      </c>
      <c r="Y914" s="105" t="s">
        <v>84</v>
      </c>
      <c r="Z914" s="105" t="s">
        <v>93</v>
      </c>
    </row>
    <row r="915" spans="1:26" s="105" customFormat="1" ht="15" customHeight="1">
      <c r="A915" s="99">
        <f t="shared" si="122"/>
        <v>913</v>
      </c>
      <c r="B915" s="75" t="s">
        <v>1103</v>
      </c>
      <c r="C915" s="100" t="str">
        <f>IF($B915&lt;&gt;"",_xlfn.IFNA(VLOOKUP($B915,'Node Details'!$B:$U,C$1,0),"Check"),"")</f>
        <v>0000AXW17-AXW170105</v>
      </c>
      <c r="D915" s="100" t="str">
        <f>IF($B915&lt;&gt;"",_xlfn.IFNA(VLOOKUP($B915,'Node Details'!$B:$U,D$1,0),"Check"),"")</f>
        <v>AXW</v>
      </c>
      <c r="E915" s="100" t="str">
        <f>IF($B915&lt;&gt;"",_xlfn.IFNA(VLOOKUP($B915,'Node Details'!$B:$U,E$1,0),"Check"),"")</f>
        <v>Airtel</v>
      </c>
      <c r="F915" s="101">
        <v>46114</v>
      </c>
      <c r="G915" s="103"/>
      <c r="H915" s="102" t="s">
        <v>1260</v>
      </c>
      <c r="I915" s="9">
        <v>4</v>
      </c>
      <c r="J915" s="9">
        <v>65</v>
      </c>
      <c r="K915" s="100">
        <f t="shared" si="121"/>
        <v>260</v>
      </c>
      <c r="L915" s="78">
        <v>46112</v>
      </c>
      <c r="M915" s="103"/>
      <c r="N915" s="93" t="s">
        <v>373</v>
      </c>
      <c r="O915" s="94">
        <v>46146</v>
      </c>
      <c r="P915" s="104">
        <f t="shared" si="123"/>
        <v>65</v>
      </c>
      <c r="Q915" s="104">
        <f t="shared" si="124"/>
        <v>260</v>
      </c>
      <c r="R915" s="104"/>
      <c r="S915" s="93" t="s">
        <v>374</v>
      </c>
      <c r="T915" s="94">
        <v>46156</v>
      </c>
      <c r="U915" s="104">
        <f t="shared" si="125"/>
        <v>65</v>
      </c>
      <c r="V915" s="104">
        <f t="shared" si="126"/>
        <v>4</v>
      </c>
      <c r="W915" s="103">
        <f t="shared" si="127"/>
        <v>260</v>
      </c>
      <c r="X915" s="93" t="s">
        <v>89</v>
      </c>
      <c r="Y915" s="105" t="s">
        <v>84</v>
      </c>
      <c r="Z915" s="105" t="s">
        <v>93</v>
      </c>
    </row>
    <row r="916" spans="1:26" s="105" customFormat="1" ht="15" customHeight="1">
      <c r="A916" s="99">
        <f t="shared" si="122"/>
        <v>914</v>
      </c>
      <c r="B916" s="75" t="s">
        <v>1104</v>
      </c>
      <c r="C916" s="100" t="str">
        <f>IF($B916&lt;&gt;"",_xlfn.IFNA(VLOOKUP($B916,'Node Details'!$B:$U,C$1,0),"Check"),"")</f>
        <v>0000AXW17-AXW170105</v>
      </c>
      <c r="D916" s="100" t="str">
        <f>IF($B916&lt;&gt;"",_xlfn.IFNA(VLOOKUP($B916,'Node Details'!$B:$U,D$1,0),"Check"),"")</f>
        <v>AXW</v>
      </c>
      <c r="E916" s="100" t="str">
        <f>IF($B916&lt;&gt;"",_xlfn.IFNA(VLOOKUP($B916,'Node Details'!$B:$U,E$1,0),"Check"),"")</f>
        <v>Airtel</v>
      </c>
      <c r="F916" s="101">
        <v>46114</v>
      </c>
      <c r="G916" s="103"/>
      <c r="H916" s="102" t="s">
        <v>1260</v>
      </c>
      <c r="I916" s="9">
        <v>2</v>
      </c>
      <c r="J916" s="9">
        <v>65</v>
      </c>
      <c r="K916" s="100">
        <f t="shared" si="121"/>
        <v>130</v>
      </c>
      <c r="L916" s="78">
        <v>46112</v>
      </c>
      <c r="M916" s="103"/>
      <c r="N916" s="93" t="s">
        <v>373</v>
      </c>
      <c r="O916" s="94">
        <v>46146</v>
      </c>
      <c r="P916" s="104">
        <f t="shared" si="123"/>
        <v>65</v>
      </c>
      <c r="Q916" s="104">
        <f t="shared" si="124"/>
        <v>130</v>
      </c>
      <c r="R916" s="104"/>
      <c r="S916" s="93" t="s">
        <v>374</v>
      </c>
      <c r="T916" s="94">
        <v>46156</v>
      </c>
      <c r="U916" s="104">
        <f t="shared" si="125"/>
        <v>65</v>
      </c>
      <c r="V916" s="104">
        <f t="shared" si="126"/>
        <v>2</v>
      </c>
      <c r="W916" s="103">
        <f t="shared" si="127"/>
        <v>130</v>
      </c>
      <c r="X916" s="93" t="s">
        <v>89</v>
      </c>
      <c r="Y916" s="105" t="s">
        <v>84</v>
      </c>
      <c r="Z916" s="105" t="s">
        <v>93</v>
      </c>
    </row>
    <row r="917" spans="1:26" s="105" customFormat="1" ht="15" customHeight="1">
      <c r="A917" s="99">
        <f t="shared" si="122"/>
        <v>915</v>
      </c>
      <c r="B917" s="75" t="s">
        <v>1105</v>
      </c>
      <c r="C917" s="100" t="str">
        <f>IF($B917&lt;&gt;"",_xlfn.IFNA(VLOOKUP($B917,'Node Details'!$B:$U,C$1,0),"Check"),"")</f>
        <v>0000AXW17-AXW170201</v>
      </c>
      <c r="D917" s="100" t="str">
        <f>IF($B917&lt;&gt;"",_xlfn.IFNA(VLOOKUP($B917,'Node Details'!$B:$U,D$1,0),"Check"),"")</f>
        <v>AXW</v>
      </c>
      <c r="E917" s="100" t="str">
        <f>IF($B917&lt;&gt;"",_xlfn.IFNA(VLOOKUP($B917,'Node Details'!$B:$U,E$1,0),"Check"),"")</f>
        <v>Airtel</v>
      </c>
      <c r="F917" s="101">
        <v>46114</v>
      </c>
      <c r="G917" s="103"/>
      <c r="H917" s="102" t="s">
        <v>1260</v>
      </c>
      <c r="I917" s="9">
        <v>6</v>
      </c>
      <c r="J917" s="9">
        <v>65</v>
      </c>
      <c r="K917" s="100">
        <f t="shared" si="121"/>
        <v>390</v>
      </c>
      <c r="L917" s="78">
        <v>46112</v>
      </c>
      <c r="M917" s="103"/>
      <c r="N917" s="93" t="s">
        <v>373</v>
      </c>
      <c r="O917" s="94">
        <v>46146</v>
      </c>
      <c r="P917" s="104">
        <f t="shared" si="123"/>
        <v>65</v>
      </c>
      <c r="Q917" s="104">
        <f t="shared" si="124"/>
        <v>390</v>
      </c>
      <c r="R917" s="104"/>
      <c r="S917" s="93" t="s">
        <v>374</v>
      </c>
      <c r="T917" s="94">
        <v>46156</v>
      </c>
      <c r="U917" s="104">
        <f t="shared" si="125"/>
        <v>65</v>
      </c>
      <c r="V917" s="104">
        <f t="shared" si="126"/>
        <v>6</v>
      </c>
      <c r="W917" s="103">
        <f t="shared" si="127"/>
        <v>390</v>
      </c>
      <c r="X917" s="93" t="s">
        <v>89</v>
      </c>
      <c r="Y917" s="105" t="s">
        <v>84</v>
      </c>
      <c r="Z917" s="105" t="s">
        <v>93</v>
      </c>
    </row>
    <row r="918" spans="1:26" s="105" customFormat="1" ht="15" customHeight="1">
      <c r="A918" s="99">
        <f t="shared" si="122"/>
        <v>916</v>
      </c>
      <c r="B918" s="75" t="s">
        <v>1106</v>
      </c>
      <c r="C918" s="100" t="str">
        <f>IF($B918&lt;&gt;"",_xlfn.IFNA(VLOOKUP($B918,'Node Details'!$B:$U,C$1,0),"Check"),"")</f>
        <v>0000AXW17-AXW170201</v>
      </c>
      <c r="D918" s="100" t="str">
        <f>IF($B918&lt;&gt;"",_xlfn.IFNA(VLOOKUP($B918,'Node Details'!$B:$U,D$1,0),"Check"),"")</f>
        <v>AXW</v>
      </c>
      <c r="E918" s="100" t="str">
        <f>IF($B918&lt;&gt;"",_xlfn.IFNA(VLOOKUP($B918,'Node Details'!$B:$U,E$1,0),"Check"),"")</f>
        <v>Airtel</v>
      </c>
      <c r="F918" s="101">
        <v>46114</v>
      </c>
      <c r="G918" s="103"/>
      <c r="H918" s="102" t="s">
        <v>1260</v>
      </c>
      <c r="I918" s="9">
        <v>4</v>
      </c>
      <c r="J918" s="9">
        <v>65</v>
      </c>
      <c r="K918" s="100">
        <f t="shared" si="121"/>
        <v>260</v>
      </c>
      <c r="L918" s="78">
        <v>46112</v>
      </c>
      <c r="M918" s="103"/>
      <c r="N918" s="93" t="s">
        <v>373</v>
      </c>
      <c r="O918" s="94">
        <v>46146</v>
      </c>
      <c r="P918" s="104">
        <f t="shared" si="123"/>
        <v>65</v>
      </c>
      <c r="Q918" s="104">
        <f t="shared" si="124"/>
        <v>260</v>
      </c>
      <c r="R918" s="104"/>
      <c r="S918" s="93" t="s">
        <v>374</v>
      </c>
      <c r="T918" s="94">
        <v>46156</v>
      </c>
      <c r="U918" s="104">
        <f t="shared" si="125"/>
        <v>65</v>
      </c>
      <c r="V918" s="104">
        <f t="shared" si="126"/>
        <v>4</v>
      </c>
      <c r="W918" s="103">
        <f t="shared" si="127"/>
        <v>260</v>
      </c>
      <c r="X918" s="93" t="s">
        <v>89</v>
      </c>
      <c r="Y918" s="105" t="s">
        <v>84</v>
      </c>
      <c r="Z918" s="105" t="s">
        <v>93</v>
      </c>
    </row>
    <row r="919" spans="1:26" s="105" customFormat="1" ht="15" customHeight="1">
      <c r="A919" s="99">
        <f t="shared" si="122"/>
        <v>917</v>
      </c>
      <c r="B919" s="75" t="s">
        <v>1107</v>
      </c>
      <c r="C919" s="100" t="str">
        <f>IF($B919&lt;&gt;"",_xlfn.IFNA(VLOOKUP($B919,'Node Details'!$B:$U,C$1,0),"Check"),"")</f>
        <v>0000AXW17-AXW170201</v>
      </c>
      <c r="D919" s="100" t="str">
        <f>IF($B919&lt;&gt;"",_xlfn.IFNA(VLOOKUP($B919,'Node Details'!$B:$U,D$1,0),"Check"),"")</f>
        <v>AXW</v>
      </c>
      <c r="E919" s="100" t="str">
        <f>IF($B919&lt;&gt;"",_xlfn.IFNA(VLOOKUP($B919,'Node Details'!$B:$U,E$1,0),"Check"),"")</f>
        <v>Airtel</v>
      </c>
      <c r="F919" s="101">
        <v>46114</v>
      </c>
      <c r="G919" s="103"/>
      <c r="H919" s="102" t="s">
        <v>1260</v>
      </c>
      <c r="I919" s="9">
        <v>2</v>
      </c>
      <c r="J919" s="9">
        <v>65</v>
      </c>
      <c r="K919" s="100">
        <f t="shared" si="121"/>
        <v>130</v>
      </c>
      <c r="L919" s="78">
        <v>46112</v>
      </c>
      <c r="M919" s="103"/>
      <c r="N919" s="93" t="s">
        <v>373</v>
      </c>
      <c r="O919" s="94">
        <v>46146</v>
      </c>
      <c r="P919" s="104">
        <f t="shared" si="123"/>
        <v>65</v>
      </c>
      <c r="Q919" s="104">
        <f t="shared" si="124"/>
        <v>130</v>
      </c>
      <c r="R919" s="104"/>
      <c r="S919" s="93" t="s">
        <v>374</v>
      </c>
      <c r="T919" s="94">
        <v>46156</v>
      </c>
      <c r="U919" s="104">
        <f t="shared" si="125"/>
        <v>65</v>
      </c>
      <c r="V919" s="104">
        <f t="shared" si="126"/>
        <v>2</v>
      </c>
      <c r="W919" s="103">
        <f t="shared" si="127"/>
        <v>130</v>
      </c>
      <c r="X919" s="93" t="s">
        <v>89</v>
      </c>
      <c r="Y919" s="105" t="s">
        <v>84</v>
      </c>
      <c r="Z919" s="105" t="s">
        <v>93</v>
      </c>
    </row>
    <row r="920" spans="1:26" s="105" customFormat="1" ht="15" customHeight="1">
      <c r="A920" s="99">
        <f t="shared" si="122"/>
        <v>918</v>
      </c>
      <c r="B920" s="75" t="s">
        <v>532</v>
      </c>
      <c r="C920" s="100" t="str">
        <f>IF($B920&lt;&gt;"",_xlfn.IFNA(VLOOKUP($B920,'Node Details'!$B:$U,C$1,0),"Check"),"")</f>
        <v>0000AXW16-0000AXW20</v>
      </c>
      <c r="D920" s="100" t="str">
        <f>IF($B920&lt;&gt;"",_xlfn.IFNA(VLOOKUP($B920,'Node Details'!$B:$U,D$1,0),"Check"),"")</f>
        <v>AXW</v>
      </c>
      <c r="E920" s="100" t="str">
        <f>IF($B920&lt;&gt;"",_xlfn.IFNA(VLOOKUP($B920,'Node Details'!$B:$U,E$1,0),"Check"),"")</f>
        <v>Airtel</v>
      </c>
      <c r="F920" s="101">
        <v>46114</v>
      </c>
      <c r="G920" s="103"/>
      <c r="H920" s="102" t="s">
        <v>1260</v>
      </c>
      <c r="I920" s="9">
        <v>42</v>
      </c>
      <c r="J920" s="9">
        <v>65</v>
      </c>
      <c r="K920" s="100">
        <f t="shared" si="121"/>
        <v>2730</v>
      </c>
      <c r="L920" s="78">
        <v>46112</v>
      </c>
      <c r="M920" s="103"/>
      <c r="N920" s="93" t="s">
        <v>373</v>
      </c>
      <c r="O920" s="94">
        <v>46146</v>
      </c>
      <c r="P920" s="104">
        <f t="shared" si="123"/>
        <v>65</v>
      </c>
      <c r="Q920" s="104">
        <f t="shared" si="124"/>
        <v>2730</v>
      </c>
      <c r="R920" s="104"/>
      <c r="S920" s="93" t="s">
        <v>374</v>
      </c>
      <c r="T920" s="94">
        <v>46156</v>
      </c>
      <c r="U920" s="104">
        <f t="shared" si="125"/>
        <v>65</v>
      </c>
      <c r="V920" s="104">
        <f t="shared" si="126"/>
        <v>42</v>
      </c>
      <c r="W920" s="103">
        <f t="shared" si="127"/>
        <v>2730</v>
      </c>
      <c r="X920" s="93" t="s">
        <v>89</v>
      </c>
      <c r="Y920" s="105" t="s">
        <v>84</v>
      </c>
      <c r="Z920" s="105" t="s">
        <v>93</v>
      </c>
    </row>
    <row r="921" spans="1:26" s="105" customFormat="1" ht="15" customHeight="1">
      <c r="A921" s="99">
        <f t="shared" si="122"/>
        <v>919</v>
      </c>
      <c r="B921" s="75" t="s">
        <v>1108</v>
      </c>
      <c r="C921" s="100" t="str">
        <f>IF($B921&lt;&gt;"",_xlfn.IFNA(VLOOKUP($B921,'Node Details'!$B:$U,C$1,0),"Check"),"")</f>
        <v>0000AXW18-AXW180105</v>
      </c>
      <c r="D921" s="100" t="str">
        <f>IF($B921&lt;&gt;"",_xlfn.IFNA(VLOOKUP($B921,'Node Details'!$B:$U,D$1,0),"Check"),"")</f>
        <v>AXW</v>
      </c>
      <c r="E921" s="100" t="str">
        <f>IF($B921&lt;&gt;"",_xlfn.IFNA(VLOOKUP($B921,'Node Details'!$B:$U,E$1,0),"Check"),"")</f>
        <v>Airtel</v>
      </c>
      <c r="F921" s="101">
        <v>46114</v>
      </c>
      <c r="G921" s="103"/>
      <c r="H921" s="102" t="s">
        <v>1260</v>
      </c>
      <c r="I921" s="9">
        <v>6</v>
      </c>
      <c r="J921" s="9">
        <v>65</v>
      </c>
      <c r="K921" s="100">
        <f t="shared" si="121"/>
        <v>390</v>
      </c>
      <c r="L921" s="78">
        <v>46112</v>
      </c>
      <c r="M921" s="103"/>
      <c r="N921" s="93" t="s">
        <v>373</v>
      </c>
      <c r="O921" s="94">
        <v>46146</v>
      </c>
      <c r="P921" s="104">
        <f t="shared" si="123"/>
        <v>65</v>
      </c>
      <c r="Q921" s="104">
        <f t="shared" si="124"/>
        <v>390</v>
      </c>
      <c r="R921" s="104"/>
      <c r="S921" s="93" t="s">
        <v>374</v>
      </c>
      <c r="T921" s="94">
        <v>46156</v>
      </c>
      <c r="U921" s="104">
        <f t="shared" si="125"/>
        <v>65</v>
      </c>
      <c r="V921" s="104">
        <f t="shared" si="126"/>
        <v>6</v>
      </c>
      <c r="W921" s="103">
        <f t="shared" si="127"/>
        <v>390</v>
      </c>
      <c r="X921" s="93" t="s">
        <v>89</v>
      </c>
      <c r="Y921" s="105" t="s">
        <v>84</v>
      </c>
      <c r="Z921" s="105" t="s">
        <v>93</v>
      </c>
    </row>
    <row r="922" spans="1:26" s="105" customFormat="1" ht="15" customHeight="1">
      <c r="A922" s="99">
        <f t="shared" si="122"/>
        <v>920</v>
      </c>
      <c r="B922" s="75" t="s">
        <v>1109</v>
      </c>
      <c r="C922" s="100" t="str">
        <f>IF($B922&lt;&gt;"",_xlfn.IFNA(VLOOKUP($B922,'Node Details'!$B:$U,C$1,0),"Check"),"")</f>
        <v>0000AXW18-AXW180105</v>
      </c>
      <c r="D922" s="100" t="str">
        <f>IF($B922&lt;&gt;"",_xlfn.IFNA(VLOOKUP($B922,'Node Details'!$B:$U,D$1,0),"Check"),"")</f>
        <v>AXW</v>
      </c>
      <c r="E922" s="100" t="str">
        <f>IF($B922&lt;&gt;"",_xlfn.IFNA(VLOOKUP($B922,'Node Details'!$B:$U,E$1,0),"Check"),"")</f>
        <v>Airtel</v>
      </c>
      <c r="F922" s="101">
        <v>46114</v>
      </c>
      <c r="G922" s="103"/>
      <c r="H922" s="102" t="s">
        <v>1260</v>
      </c>
      <c r="I922" s="9">
        <v>4</v>
      </c>
      <c r="J922" s="9">
        <v>65</v>
      </c>
      <c r="K922" s="100">
        <f t="shared" si="121"/>
        <v>260</v>
      </c>
      <c r="L922" s="78">
        <v>46112</v>
      </c>
      <c r="M922" s="103"/>
      <c r="N922" s="93" t="s">
        <v>373</v>
      </c>
      <c r="O922" s="94">
        <v>46146</v>
      </c>
      <c r="P922" s="104">
        <f t="shared" si="123"/>
        <v>65</v>
      </c>
      <c r="Q922" s="104">
        <f t="shared" si="124"/>
        <v>260</v>
      </c>
      <c r="R922" s="104"/>
      <c r="S922" s="93" t="s">
        <v>374</v>
      </c>
      <c r="T922" s="94">
        <v>46156</v>
      </c>
      <c r="U922" s="104">
        <f t="shared" si="125"/>
        <v>65</v>
      </c>
      <c r="V922" s="104">
        <f t="shared" si="126"/>
        <v>4</v>
      </c>
      <c r="W922" s="103">
        <f t="shared" si="127"/>
        <v>260</v>
      </c>
      <c r="X922" s="93" t="s">
        <v>89</v>
      </c>
      <c r="Y922" s="105" t="s">
        <v>84</v>
      </c>
      <c r="Z922" s="105" t="s">
        <v>93</v>
      </c>
    </row>
    <row r="923" spans="1:26" s="105" customFormat="1" ht="15" customHeight="1">
      <c r="A923" s="99">
        <f t="shared" si="122"/>
        <v>921</v>
      </c>
      <c r="B923" s="75" t="s">
        <v>1110</v>
      </c>
      <c r="C923" s="100" t="str">
        <f>IF($B923&lt;&gt;"",_xlfn.IFNA(VLOOKUP($B923,'Node Details'!$B:$U,C$1,0),"Check"),"")</f>
        <v>0000AXW18-AXW180105</v>
      </c>
      <c r="D923" s="100" t="str">
        <f>IF($B923&lt;&gt;"",_xlfn.IFNA(VLOOKUP($B923,'Node Details'!$B:$U,D$1,0),"Check"),"")</f>
        <v>AXW</v>
      </c>
      <c r="E923" s="100" t="str">
        <f>IF($B923&lt;&gt;"",_xlfn.IFNA(VLOOKUP($B923,'Node Details'!$B:$U,E$1,0),"Check"),"")</f>
        <v>Airtel</v>
      </c>
      <c r="F923" s="101">
        <v>46114</v>
      </c>
      <c r="G923" s="103"/>
      <c r="H923" s="102" t="s">
        <v>1260</v>
      </c>
      <c r="I923" s="9">
        <v>2</v>
      </c>
      <c r="J923" s="9">
        <v>65</v>
      </c>
      <c r="K923" s="100">
        <f t="shared" si="121"/>
        <v>130</v>
      </c>
      <c r="L923" s="78">
        <v>46112</v>
      </c>
      <c r="M923" s="103"/>
      <c r="N923" s="93" t="s">
        <v>373</v>
      </c>
      <c r="O923" s="94">
        <v>46146</v>
      </c>
      <c r="P923" s="104">
        <f t="shared" si="123"/>
        <v>65</v>
      </c>
      <c r="Q923" s="104">
        <f t="shared" si="124"/>
        <v>130</v>
      </c>
      <c r="R923" s="104"/>
      <c r="S923" s="93" t="s">
        <v>374</v>
      </c>
      <c r="T923" s="94">
        <v>46156</v>
      </c>
      <c r="U923" s="104">
        <f t="shared" si="125"/>
        <v>65</v>
      </c>
      <c r="V923" s="104">
        <f t="shared" si="126"/>
        <v>2</v>
      </c>
      <c r="W923" s="103">
        <f t="shared" si="127"/>
        <v>130</v>
      </c>
      <c r="X923" s="93" t="s">
        <v>89</v>
      </c>
      <c r="Y923" s="105" t="s">
        <v>84</v>
      </c>
      <c r="Z923" s="105" t="s">
        <v>93</v>
      </c>
    </row>
    <row r="924" spans="1:26" s="105" customFormat="1" ht="15" customHeight="1">
      <c r="A924" s="99">
        <f t="shared" si="122"/>
        <v>922</v>
      </c>
      <c r="B924" s="75" t="s">
        <v>371</v>
      </c>
      <c r="C924" s="100" t="str">
        <f>IF($B924&lt;&gt;"",_xlfn.IFNA(VLOOKUP($B924,'Node Details'!$B:$U,C$1,0),"Check"),"")</f>
        <v>000000AXW-0000AXW05</v>
      </c>
      <c r="D924" s="100" t="str">
        <f>IF($B924&lt;&gt;"",_xlfn.IFNA(VLOOKUP($B924,'Node Details'!$B:$U,D$1,0),"Check"),"")</f>
        <v>AXW</v>
      </c>
      <c r="E924" s="100" t="str">
        <f>IF($B924&lt;&gt;"",_xlfn.IFNA(VLOOKUP($B924,'Node Details'!$B:$U,E$1,0),"Check"),"")</f>
        <v>Airtel</v>
      </c>
      <c r="F924" s="101">
        <v>46114</v>
      </c>
      <c r="G924" s="103"/>
      <c r="H924" s="102" t="s">
        <v>1259</v>
      </c>
      <c r="I924" s="9">
        <v>1</v>
      </c>
      <c r="J924" s="9">
        <v>4600</v>
      </c>
      <c r="K924" s="100">
        <f>IF(I924&lt;&gt;"",J924*I924,0)</f>
        <v>4600</v>
      </c>
      <c r="L924" s="78">
        <v>46112</v>
      </c>
      <c r="M924" s="103"/>
      <c r="N924" s="93" t="s">
        <v>373</v>
      </c>
      <c r="O924" s="94">
        <v>46146</v>
      </c>
      <c r="P924" s="104">
        <f>J924</f>
        <v>4600</v>
      </c>
      <c r="Q924" s="104">
        <f>P924*I924</f>
        <v>4600</v>
      </c>
      <c r="R924" s="104"/>
      <c r="S924" s="93" t="s">
        <v>374</v>
      </c>
      <c r="T924" s="94">
        <v>46156</v>
      </c>
      <c r="U924" s="104">
        <f>J924</f>
        <v>4600</v>
      </c>
      <c r="V924" s="104">
        <f>I924</f>
        <v>1</v>
      </c>
      <c r="W924" s="103">
        <f>IF(V924&lt;&gt;"",V924*U924,0)</f>
        <v>4600</v>
      </c>
      <c r="X924" s="93" t="s">
        <v>89</v>
      </c>
      <c r="Y924" s="105" t="s">
        <v>84</v>
      </c>
      <c r="Z924" s="105" t="s">
        <v>93</v>
      </c>
    </row>
    <row r="925" spans="1:26" s="105" customFormat="1" ht="15" customHeight="1">
      <c r="A925" s="99">
        <f t="shared" si="122"/>
        <v>923</v>
      </c>
      <c r="B925" s="75" t="s">
        <v>540</v>
      </c>
      <c r="C925" s="100" t="str">
        <f>IF($B925&lt;&gt;"",_xlfn.IFNA(VLOOKUP($B925,'Node Details'!$B:$U,C$1,0),"Check"),"")</f>
        <v>0000AXW18-AXW180106</v>
      </c>
      <c r="D925" s="100" t="str">
        <f>IF($B925&lt;&gt;"",_xlfn.IFNA(VLOOKUP($B925,'Node Details'!$B:$U,D$1,0),"Check"),"")</f>
        <v>AXW</v>
      </c>
      <c r="E925" s="100" t="str">
        <f>IF($B925&lt;&gt;"",_xlfn.IFNA(VLOOKUP($B925,'Node Details'!$B:$U,E$1,0),"Check"),"")</f>
        <v>Airtel</v>
      </c>
      <c r="F925" s="101">
        <v>46114</v>
      </c>
      <c r="G925" s="103"/>
      <c r="H925" s="102" t="s">
        <v>1260</v>
      </c>
      <c r="I925" s="9">
        <v>6</v>
      </c>
      <c r="J925" s="9">
        <v>65</v>
      </c>
      <c r="K925" s="100">
        <f t="shared" si="121"/>
        <v>390</v>
      </c>
      <c r="L925" s="78">
        <v>46112</v>
      </c>
      <c r="M925" s="103"/>
      <c r="N925" s="93" t="s">
        <v>534</v>
      </c>
      <c r="O925" s="94"/>
      <c r="P925" s="104">
        <f t="shared" si="123"/>
        <v>65</v>
      </c>
      <c r="Q925" s="104">
        <f t="shared" si="124"/>
        <v>390</v>
      </c>
      <c r="R925" s="104"/>
      <c r="S925" s="93" t="s">
        <v>144</v>
      </c>
      <c r="T925" s="94"/>
      <c r="U925" s="104">
        <f t="shared" si="125"/>
        <v>65</v>
      </c>
      <c r="V925" s="104">
        <f t="shared" si="126"/>
        <v>6</v>
      </c>
      <c r="W925" s="103">
        <f t="shared" si="127"/>
        <v>390</v>
      </c>
      <c r="X925" s="93" t="s">
        <v>89</v>
      </c>
      <c r="Y925" s="105" t="s">
        <v>84</v>
      </c>
      <c r="Z925" s="105" t="s">
        <v>93</v>
      </c>
    </row>
    <row r="926" spans="1:26" s="105" customFormat="1" ht="15" customHeight="1">
      <c r="A926" s="99">
        <f t="shared" si="122"/>
        <v>924</v>
      </c>
      <c r="B926" s="75" t="s">
        <v>1111</v>
      </c>
      <c r="C926" s="100" t="str">
        <f>IF($B926&lt;&gt;"",_xlfn.IFNA(VLOOKUP($B926,'Node Details'!$B:$U,C$1,0),"Check"),"")</f>
        <v>AXW180106-AXW180108</v>
      </c>
      <c r="D926" s="100" t="str">
        <f>IF($B926&lt;&gt;"",_xlfn.IFNA(VLOOKUP($B926,'Node Details'!$B:$U,D$1,0),"Check"),"")</f>
        <v>AXW</v>
      </c>
      <c r="E926" s="100" t="str">
        <f>IF($B926&lt;&gt;"",_xlfn.IFNA(VLOOKUP($B926,'Node Details'!$B:$U,E$1,0),"Check"),"")</f>
        <v>Airtel</v>
      </c>
      <c r="F926" s="101">
        <v>46114</v>
      </c>
      <c r="G926" s="103"/>
      <c r="H926" s="102" t="s">
        <v>1260</v>
      </c>
      <c r="I926" s="9">
        <v>4</v>
      </c>
      <c r="J926" s="9">
        <v>65</v>
      </c>
      <c r="K926" s="100">
        <f t="shared" si="121"/>
        <v>260</v>
      </c>
      <c r="L926" s="78">
        <v>46112</v>
      </c>
      <c r="M926" s="103"/>
      <c r="N926" s="93" t="s">
        <v>534</v>
      </c>
      <c r="O926" s="94"/>
      <c r="P926" s="104">
        <f t="shared" si="123"/>
        <v>65</v>
      </c>
      <c r="Q926" s="104">
        <f t="shared" si="124"/>
        <v>260</v>
      </c>
      <c r="R926" s="104"/>
      <c r="S926" s="93" t="s">
        <v>144</v>
      </c>
      <c r="T926" s="94"/>
      <c r="U926" s="104">
        <f t="shared" si="125"/>
        <v>65</v>
      </c>
      <c r="V926" s="104">
        <f t="shared" si="126"/>
        <v>4</v>
      </c>
      <c r="W926" s="103">
        <f t="shared" si="127"/>
        <v>260</v>
      </c>
      <c r="X926" s="93" t="s">
        <v>89</v>
      </c>
      <c r="Y926" s="105" t="s">
        <v>84</v>
      </c>
      <c r="Z926" s="105" t="s">
        <v>93</v>
      </c>
    </row>
    <row r="927" spans="1:26" s="105" customFormat="1" ht="15" customHeight="1">
      <c r="A927" s="99">
        <f t="shared" si="122"/>
        <v>925</v>
      </c>
      <c r="B927" s="75" t="s">
        <v>543</v>
      </c>
      <c r="C927" s="100" t="str">
        <f>IF($B927&lt;&gt;"",_xlfn.IFNA(VLOOKUP($B927,'Node Details'!$B:$U,C$1,0),"Check"),"")</f>
        <v>AXW180106-AXW180108</v>
      </c>
      <c r="D927" s="100" t="str">
        <f>IF($B927&lt;&gt;"",_xlfn.IFNA(VLOOKUP($B927,'Node Details'!$B:$U,D$1,0),"Check"),"")</f>
        <v>AXW</v>
      </c>
      <c r="E927" s="100" t="str">
        <f>IF($B927&lt;&gt;"",_xlfn.IFNA(VLOOKUP($B927,'Node Details'!$B:$U,E$1,0),"Check"),"")</f>
        <v>Airtel</v>
      </c>
      <c r="F927" s="101">
        <v>46114</v>
      </c>
      <c r="G927" s="103"/>
      <c r="H927" s="102" t="s">
        <v>1260</v>
      </c>
      <c r="I927" s="9">
        <v>2</v>
      </c>
      <c r="J927" s="9">
        <v>65</v>
      </c>
      <c r="K927" s="100">
        <f t="shared" si="121"/>
        <v>130</v>
      </c>
      <c r="L927" s="78">
        <v>46112</v>
      </c>
      <c r="M927" s="103"/>
      <c r="N927" s="93" t="s">
        <v>534</v>
      </c>
      <c r="O927" s="94"/>
      <c r="P927" s="104">
        <f t="shared" si="123"/>
        <v>65</v>
      </c>
      <c r="Q927" s="104">
        <f t="shared" si="124"/>
        <v>130</v>
      </c>
      <c r="R927" s="104"/>
      <c r="S927" s="93" t="s">
        <v>144</v>
      </c>
      <c r="T927" s="94"/>
      <c r="U927" s="104">
        <f t="shared" si="125"/>
        <v>65</v>
      </c>
      <c r="V927" s="104">
        <f t="shared" si="126"/>
        <v>2</v>
      </c>
      <c r="W927" s="103">
        <f t="shared" si="127"/>
        <v>130</v>
      </c>
      <c r="X927" s="93" t="s">
        <v>89</v>
      </c>
      <c r="Y927" s="105" t="s">
        <v>84</v>
      </c>
      <c r="Z927" s="105" t="s">
        <v>93</v>
      </c>
    </row>
    <row r="928" spans="1:26" s="105" customFormat="1" ht="15" customHeight="1">
      <c r="A928" s="99">
        <f t="shared" si="122"/>
        <v>926</v>
      </c>
      <c r="B928" s="75" t="s">
        <v>389</v>
      </c>
      <c r="C928" s="100" t="str">
        <f>IF($B928&lt;&gt;"",_xlfn.IFNA(VLOOKUP($B928,'Node Details'!$B:$U,C$1,0),"Check"),"")</f>
        <v>0000AXW16-0000AXW20</v>
      </c>
      <c r="D928" s="100" t="str">
        <f>IF($B928&lt;&gt;"",_xlfn.IFNA(VLOOKUP($B928,'Node Details'!$B:$U,D$1,0),"Check"),"")</f>
        <v>AXW</v>
      </c>
      <c r="E928" s="100" t="str">
        <f>IF($B928&lt;&gt;"",_xlfn.IFNA(VLOOKUP($B928,'Node Details'!$B:$U,E$1,0),"Check"),"")</f>
        <v>Airtel</v>
      </c>
      <c r="F928" s="101">
        <v>46114</v>
      </c>
      <c r="G928" s="103"/>
      <c r="H928" s="102" t="s">
        <v>1260</v>
      </c>
      <c r="I928" s="9">
        <v>42</v>
      </c>
      <c r="J928" s="9">
        <v>65</v>
      </c>
      <c r="K928" s="100">
        <f t="shared" si="121"/>
        <v>2730</v>
      </c>
      <c r="L928" s="78">
        <v>46112</v>
      </c>
      <c r="M928" s="103"/>
      <c r="N928" s="93" t="s">
        <v>534</v>
      </c>
      <c r="O928" s="94"/>
      <c r="P928" s="104">
        <f t="shared" si="123"/>
        <v>65</v>
      </c>
      <c r="Q928" s="104">
        <f t="shared" si="124"/>
        <v>2730</v>
      </c>
      <c r="R928" s="104"/>
      <c r="S928" s="93" t="s">
        <v>144</v>
      </c>
      <c r="T928" s="94"/>
      <c r="U928" s="104">
        <f t="shared" si="125"/>
        <v>65</v>
      </c>
      <c r="V928" s="104">
        <f t="shared" si="126"/>
        <v>42</v>
      </c>
      <c r="W928" s="103">
        <f t="shared" si="127"/>
        <v>2730</v>
      </c>
      <c r="X928" s="93" t="s">
        <v>89</v>
      </c>
      <c r="Y928" s="105" t="s">
        <v>84</v>
      </c>
      <c r="Z928" s="105" t="s">
        <v>93</v>
      </c>
    </row>
    <row r="929" spans="1:26" s="105" customFormat="1" ht="15" customHeight="1">
      <c r="A929" s="99">
        <f t="shared" si="122"/>
        <v>927</v>
      </c>
      <c r="B929" s="75" t="s">
        <v>1112</v>
      </c>
      <c r="C929" s="100" t="str">
        <f>IF($B929&lt;&gt;"",_xlfn.IFNA(VLOOKUP($B929,'Node Details'!$B:$U,C$1,0),"Check"),"")</f>
        <v>0000AXW19-AXW190104</v>
      </c>
      <c r="D929" s="100" t="str">
        <f>IF($B929&lt;&gt;"",_xlfn.IFNA(VLOOKUP($B929,'Node Details'!$B:$U,D$1,0),"Check"),"")</f>
        <v>AXW</v>
      </c>
      <c r="E929" s="100" t="str">
        <f>IF($B929&lt;&gt;"",_xlfn.IFNA(VLOOKUP($B929,'Node Details'!$B:$U,E$1,0),"Check"),"")</f>
        <v>Airtel</v>
      </c>
      <c r="F929" s="101">
        <v>46114</v>
      </c>
      <c r="G929" s="103"/>
      <c r="H929" s="102" t="s">
        <v>1260</v>
      </c>
      <c r="I929" s="9">
        <v>6</v>
      </c>
      <c r="J929" s="9">
        <v>65</v>
      </c>
      <c r="K929" s="100">
        <f t="shared" si="121"/>
        <v>390</v>
      </c>
      <c r="L929" s="78">
        <v>46112</v>
      </c>
      <c r="M929" s="103"/>
      <c r="N929" s="93" t="s">
        <v>534</v>
      </c>
      <c r="O929" s="94"/>
      <c r="P929" s="104">
        <f t="shared" si="123"/>
        <v>65</v>
      </c>
      <c r="Q929" s="104">
        <f t="shared" si="124"/>
        <v>390</v>
      </c>
      <c r="R929" s="104"/>
      <c r="S929" s="93" t="s">
        <v>144</v>
      </c>
      <c r="T929" s="94"/>
      <c r="U929" s="104">
        <f t="shared" si="125"/>
        <v>65</v>
      </c>
      <c r="V929" s="104">
        <f t="shared" si="126"/>
        <v>6</v>
      </c>
      <c r="W929" s="103">
        <f t="shared" si="127"/>
        <v>390</v>
      </c>
      <c r="X929" s="93" t="s">
        <v>89</v>
      </c>
      <c r="Y929" s="105" t="s">
        <v>84</v>
      </c>
      <c r="Z929" s="105" t="s">
        <v>93</v>
      </c>
    </row>
    <row r="930" spans="1:26" s="105" customFormat="1" ht="15" customHeight="1">
      <c r="A930" s="99">
        <f t="shared" si="122"/>
        <v>928</v>
      </c>
      <c r="B930" s="75" t="s">
        <v>1113</v>
      </c>
      <c r="C930" s="100" t="str">
        <f>IF($B930&lt;&gt;"",_xlfn.IFNA(VLOOKUP($B930,'Node Details'!$B:$U,C$1,0),"Check"),"")</f>
        <v>0000AXW19-AXW190104</v>
      </c>
      <c r="D930" s="100" t="str">
        <f>IF($B930&lt;&gt;"",_xlfn.IFNA(VLOOKUP($B930,'Node Details'!$B:$U,D$1,0),"Check"),"")</f>
        <v>AXW</v>
      </c>
      <c r="E930" s="100" t="str">
        <f>IF($B930&lt;&gt;"",_xlfn.IFNA(VLOOKUP($B930,'Node Details'!$B:$U,E$1,0),"Check"),"")</f>
        <v>Airtel</v>
      </c>
      <c r="F930" s="101">
        <v>46114</v>
      </c>
      <c r="G930" s="103"/>
      <c r="H930" s="102" t="s">
        <v>1260</v>
      </c>
      <c r="I930" s="9">
        <v>4</v>
      </c>
      <c r="J930" s="9">
        <v>65</v>
      </c>
      <c r="K930" s="100">
        <f t="shared" si="121"/>
        <v>260</v>
      </c>
      <c r="L930" s="78">
        <v>46112</v>
      </c>
      <c r="M930" s="103"/>
      <c r="N930" s="93" t="s">
        <v>534</v>
      </c>
      <c r="O930" s="94"/>
      <c r="P930" s="104">
        <f t="shared" si="123"/>
        <v>65</v>
      </c>
      <c r="Q930" s="104">
        <f t="shared" si="124"/>
        <v>260</v>
      </c>
      <c r="R930" s="104"/>
      <c r="S930" s="93" t="s">
        <v>144</v>
      </c>
      <c r="T930" s="94"/>
      <c r="U930" s="104">
        <f t="shared" si="125"/>
        <v>65</v>
      </c>
      <c r="V930" s="104">
        <f t="shared" si="126"/>
        <v>4</v>
      </c>
      <c r="W930" s="103">
        <f t="shared" si="127"/>
        <v>260</v>
      </c>
      <c r="X930" s="93" t="s">
        <v>89</v>
      </c>
      <c r="Y930" s="105" t="s">
        <v>84</v>
      </c>
      <c r="Z930" s="105" t="s">
        <v>93</v>
      </c>
    </row>
    <row r="931" spans="1:26" s="105" customFormat="1" ht="15" customHeight="1">
      <c r="A931" s="99">
        <f t="shared" si="122"/>
        <v>929</v>
      </c>
      <c r="B931" s="75" t="s">
        <v>549</v>
      </c>
      <c r="C931" s="100" t="str">
        <f>IF($B931&lt;&gt;"",_xlfn.IFNA(VLOOKUP($B931,'Node Details'!$B:$U,C$1,0),"Check"),"")</f>
        <v>0000AXW19-AXW190104</v>
      </c>
      <c r="D931" s="100" t="str">
        <f>IF($B931&lt;&gt;"",_xlfn.IFNA(VLOOKUP($B931,'Node Details'!$B:$U,D$1,0),"Check"),"")</f>
        <v>AXW</v>
      </c>
      <c r="E931" s="100" t="str">
        <f>IF($B931&lt;&gt;"",_xlfn.IFNA(VLOOKUP($B931,'Node Details'!$B:$U,E$1,0),"Check"),"")</f>
        <v>Airtel</v>
      </c>
      <c r="F931" s="101">
        <v>46114</v>
      </c>
      <c r="G931" s="103"/>
      <c r="H931" s="102" t="s">
        <v>1260</v>
      </c>
      <c r="I931" s="9">
        <v>2</v>
      </c>
      <c r="J931" s="9">
        <v>65</v>
      </c>
      <c r="K931" s="100">
        <f t="shared" si="121"/>
        <v>130</v>
      </c>
      <c r="L931" s="78">
        <v>46112</v>
      </c>
      <c r="M931" s="103"/>
      <c r="N931" s="93" t="s">
        <v>534</v>
      </c>
      <c r="O931" s="94"/>
      <c r="P931" s="104">
        <f t="shared" si="123"/>
        <v>65</v>
      </c>
      <c r="Q931" s="104">
        <f t="shared" si="124"/>
        <v>130</v>
      </c>
      <c r="R931" s="104"/>
      <c r="S931" s="93" t="s">
        <v>144</v>
      </c>
      <c r="T931" s="94"/>
      <c r="U931" s="104">
        <f t="shared" si="125"/>
        <v>65</v>
      </c>
      <c r="V931" s="104">
        <f t="shared" si="126"/>
        <v>2</v>
      </c>
      <c r="W931" s="103">
        <f t="shared" si="127"/>
        <v>130</v>
      </c>
      <c r="X931" s="93" t="s">
        <v>89</v>
      </c>
      <c r="Y931" s="105" t="s">
        <v>84</v>
      </c>
      <c r="Z931" s="105" t="s">
        <v>93</v>
      </c>
    </row>
    <row r="932" spans="1:26" s="105" customFormat="1" ht="15" customHeight="1">
      <c r="A932" s="99">
        <f t="shared" si="122"/>
        <v>930</v>
      </c>
      <c r="B932" s="75" t="s">
        <v>1114</v>
      </c>
      <c r="C932" s="100" t="str">
        <f>IF($B932&lt;&gt;"",_xlfn.IFNA(VLOOKUP($B932,'Node Details'!$B:$U,C$1,0),"Check"),"")</f>
        <v>0000AXW19-AXW190108</v>
      </c>
      <c r="D932" s="100" t="str">
        <f>IF($B932&lt;&gt;"",_xlfn.IFNA(VLOOKUP($B932,'Node Details'!$B:$U,D$1,0),"Check"),"")</f>
        <v>AXW</v>
      </c>
      <c r="E932" s="100" t="str">
        <f>IF($B932&lt;&gt;"",_xlfn.IFNA(VLOOKUP($B932,'Node Details'!$B:$U,E$1,0),"Check"),"")</f>
        <v>Airtel</v>
      </c>
      <c r="F932" s="101">
        <v>46114</v>
      </c>
      <c r="G932" s="103"/>
      <c r="H932" s="102" t="s">
        <v>1260</v>
      </c>
      <c r="I932" s="9">
        <v>6</v>
      </c>
      <c r="J932" s="9">
        <v>65</v>
      </c>
      <c r="K932" s="100">
        <f t="shared" si="121"/>
        <v>390</v>
      </c>
      <c r="L932" s="78">
        <v>46112</v>
      </c>
      <c r="M932" s="103"/>
      <c r="N932" s="93" t="s">
        <v>534</v>
      </c>
      <c r="O932" s="94"/>
      <c r="P932" s="104">
        <f t="shared" si="123"/>
        <v>65</v>
      </c>
      <c r="Q932" s="104">
        <f t="shared" si="124"/>
        <v>390</v>
      </c>
      <c r="R932" s="104"/>
      <c r="S932" s="93" t="s">
        <v>144</v>
      </c>
      <c r="T932" s="94"/>
      <c r="U932" s="104">
        <f t="shared" si="125"/>
        <v>65</v>
      </c>
      <c r="V932" s="104">
        <f t="shared" si="126"/>
        <v>6</v>
      </c>
      <c r="W932" s="103">
        <f t="shared" si="127"/>
        <v>390</v>
      </c>
      <c r="X932" s="93" t="s">
        <v>89</v>
      </c>
      <c r="Y932" s="105" t="s">
        <v>84</v>
      </c>
      <c r="Z932" s="105" t="s">
        <v>93</v>
      </c>
    </row>
    <row r="933" spans="1:26" s="105" customFormat="1" ht="15" customHeight="1">
      <c r="A933" s="99">
        <f t="shared" si="122"/>
        <v>931</v>
      </c>
      <c r="B933" s="75" t="s">
        <v>1115</v>
      </c>
      <c r="C933" s="100" t="str">
        <f>IF($B933&lt;&gt;"",_xlfn.IFNA(VLOOKUP($B933,'Node Details'!$B:$U,C$1,0),"Check"),"")</f>
        <v>0000AXW19-AXW190108</v>
      </c>
      <c r="D933" s="100" t="str">
        <f>IF($B933&lt;&gt;"",_xlfn.IFNA(VLOOKUP($B933,'Node Details'!$B:$U,D$1,0),"Check"),"")</f>
        <v>AXW</v>
      </c>
      <c r="E933" s="100" t="str">
        <f>IF($B933&lt;&gt;"",_xlfn.IFNA(VLOOKUP($B933,'Node Details'!$B:$U,E$1,0),"Check"),"")</f>
        <v>Airtel</v>
      </c>
      <c r="F933" s="101">
        <v>46114</v>
      </c>
      <c r="G933" s="103"/>
      <c r="H933" s="102" t="s">
        <v>1260</v>
      </c>
      <c r="I933" s="9">
        <v>4</v>
      </c>
      <c r="J933" s="9">
        <v>65</v>
      </c>
      <c r="K933" s="100">
        <f t="shared" si="121"/>
        <v>260</v>
      </c>
      <c r="L933" s="78">
        <v>46112</v>
      </c>
      <c r="M933" s="103"/>
      <c r="N933" s="93" t="s">
        <v>534</v>
      </c>
      <c r="O933" s="94"/>
      <c r="P933" s="104">
        <f t="shared" si="123"/>
        <v>65</v>
      </c>
      <c r="Q933" s="104">
        <f t="shared" si="124"/>
        <v>260</v>
      </c>
      <c r="R933" s="104"/>
      <c r="S933" s="93" t="s">
        <v>144</v>
      </c>
      <c r="T933" s="94"/>
      <c r="U933" s="104">
        <f t="shared" si="125"/>
        <v>65</v>
      </c>
      <c r="V933" s="104">
        <f t="shared" si="126"/>
        <v>4</v>
      </c>
      <c r="W933" s="103">
        <f t="shared" si="127"/>
        <v>260</v>
      </c>
      <c r="X933" s="93" t="s">
        <v>89</v>
      </c>
      <c r="Y933" s="105" t="s">
        <v>84</v>
      </c>
      <c r="Z933" s="105" t="s">
        <v>93</v>
      </c>
    </row>
    <row r="934" spans="1:26" s="105" customFormat="1" ht="15" customHeight="1">
      <c r="A934" s="99">
        <f t="shared" si="122"/>
        <v>932</v>
      </c>
      <c r="B934" s="75" t="s">
        <v>1116</v>
      </c>
      <c r="C934" s="100" t="str">
        <f>IF($B934&lt;&gt;"",_xlfn.IFNA(VLOOKUP($B934,'Node Details'!$B:$U,C$1,0),"Check"),"")</f>
        <v>0000AXW19-AXW190108</v>
      </c>
      <c r="D934" s="100" t="str">
        <f>IF($B934&lt;&gt;"",_xlfn.IFNA(VLOOKUP($B934,'Node Details'!$B:$U,D$1,0),"Check"),"")</f>
        <v>AXW</v>
      </c>
      <c r="E934" s="100" t="str">
        <f>IF($B934&lt;&gt;"",_xlfn.IFNA(VLOOKUP($B934,'Node Details'!$B:$U,E$1,0),"Check"),"")</f>
        <v>Airtel</v>
      </c>
      <c r="F934" s="101">
        <v>46114</v>
      </c>
      <c r="G934" s="103"/>
      <c r="H934" s="102" t="s">
        <v>1260</v>
      </c>
      <c r="I934" s="9">
        <v>2</v>
      </c>
      <c r="J934" s="9">
        <v>65</v>
      </c>
      <c r="K934" s="100">
        <f t="shared" si="121"/>
        <v>130</v>
      </c>
      <c r="L934" s="78">
        <v>46112</v>
      </c>
      <c r="M934" s="103"/>
      <c r="N934" s="93" t="s">
        <v>534</v>
      </c>
      <c r="O934" s="94"/>
      <c r="P934" s="104">
        <f t="shared" si="123"/>
        <v>65</v>
      </c>
      <c r="Q934" s="104">
        <f t="shared" si="124"/>
        <v>130</v>
      </c>
      <c r="R934" s="104"/>
      <c r="S934" s="93" t="s">
        <v>144</v>
      </c>
      <c r="T934" s="94"/>
      <c r="U934" s="104">
        <f t="shared" si="125"/>
        <v>65</v>
      </c>
      <c r="V934" s="104">
        <f t="shared" si="126"/>
        <v>2</v>
      </c>
      <c r="W934" s="103">
        <f t="shared" si="127"/>
        <v>130</v>
      </c>
      <c r="X934" s="93" t="s">
        <v>89</v>
      </c>
      <c r="Y934" s="105" t="s">
        <v>84</v>
      </c>
      <c r="Z934" s="105" t="s">
        <v>93</v>
      </c>
    </row>
    <row r="935" spans="1:26" s="105" customFormat="1" ht="15" customHeight="1">
      <c r="A935" s="99">
        <f t="shared" si="122"/>
        <v>933</v>
      </c>
      <c r="B935" s="75" t="s">
        <v>387</v>
      </c>
      <c r="C935" s="100" t="str">
        <f>IF($B935&lt;&gt;"",_xlfn.IFNA(VLOOKUP($B935,'Node Details'!$B:$U,C$1,0),"Check"),"")</f>
        <v>0000AXW16-0000AXW20</v>
      </c>
      <c r="D935" s="100" t="str">
        <f>IF($B935&lt;&gt;"",_xlfn.IFNA(VLOOKUP($B935,'Node Details'!$B:$U,D$1,0),"Check"),"")</f>
        <v>AXW</v>
      </c>
      <c r="E935" s="100" t="str">
        <f>IF($B935&lt;&gt;"",_xlfn.IFNA(VLOOKUP($B935,'Node Details'!$B:$U,E$1,0),"Check"),"")</f>
        <v>Airtel</v>
      </c>
      <c r="F935" s="101">
        <v>46114</v>
      </c>
      <c r="G935" s="103"/>
      <c r="H935" s="102" t="s">
        <v>1260</v>
      </c>
      <c r="I935" s="9">
        <v>42</v>
      </c>
      <c r="J935" s="9">
        <v>65</v>
      </c>
      <c r="K935" s="100">
        <f t="shared" si="121"/>
        <v>2730</v>
      </c>
      <c r="L935" s="78">
        <v>46112</v>
      </c>
      <c r="M935" s="103"/>
      <c r="N935" s="93" t="s">
        <v>534</v>
      </c>
      <c r="O935" s="94"/>
      <c r="P935" s="104">
        <f t="shared" si="123"/>
        <v>65</v>
      </c>
      <c r="Q935" s="104">
        <f t="shared" si="124"/>
        <v>2730</v>
      </c>
      <c r="R935" s="104"/>
      <c r="S935" s="93" t="s">
        <v>144</v>
      </c>
      <c r="T935" s="94"/>
      <c r="U935" s="104">
        <f t="shared" si="125"/>
        <v>65</v>
      </c>
      <c r="V935" s="104">
        <f t="shared" si="126"/>
        <v>42</v>
      </c>
      <c r="W935" s="103">
        <f t="shared" si="127"/>
        <v>2730</v>
      </c>
      <c r="X935" s="93" t="s">
        <v>89</v>
      </c>
      <c r="Y935" s="105" t="s">
        <v>84</v>
      </c>
      <c r="Z935" s="105" t="s">
        <v>93</v>
      </c>
    </row>
    <row r="936" spans="1:26" s="105" customFormat="1" ht="15" customHeight="1">
      <c r="A936" s="99">
        <f t="shared" si="122"/>
        <v>934</v>
      </c>
      <c r="B936" s="75" t="s">
        <v>1117</v>
      </c>
      <c r="C936" s="100" t="str">
        <f>IF($B936&lt;&gt;"",_xlfn.IFNA(VLOOKUP($B936,'Node Details'!$B:$U,C$1,0),"Check"),"")</f>
        <v>0000AXW20-AXW200107</v>
      </c>
      <c r="D936" s="100" t="str">
        <f>IF($B936&lt;&gt;"",_xlfn.IFNA(VLOOKUP($B936,'Node Details'!$B:$U,D$1,0),"Check"),"")</f>
        <v>AXW</v>
      </c>
      <c r="E936" s="100" t="str">
        <f>IF($B936&lt;&gt;"",_xlfn.IFNA(VLOOKUP($B936,'Node Details'!$B:$U,E$1,0),"Check"),"")</f>
        <v>Airtel</v>
      </c>
      <c r="F936" s="101">
        <v>46114</v>
      </c>
      <c r="G936" s="103"/>
      <c r="H936" s="102" t="s">
        <v>1260</v>
      </c>
      <c r="I936" s="9">
        <v>18</v>
      </c>
      <c r="J936" s="9">
        <v>65</v>
      </c>
      <c r="K936" s="100">
        <f t="shared" si="121"/>
        <v>1170</v>
      </c>
      <c r="L936" s="78">
        <v>46112</v>
      </c>
      <c r="M936" s="103"/>
      <c r="N936" s="93" t="s">
        <v>534</v>
      </c>
      <c r="O936" s="94"/>
      <c r="P936" s="104">
        <f t="shared" si="123"/>
        <v>65</v>
      </c>
      <c r="Q936" s="104">
        <f t="shared" si="124"/>
        <v>1170</v>
      </c>
      <c r="R936" s="104"/>
      <c r="S936" s="93" t="s">
        <v>144</v>
      </c>
      <c r="T936" s="94"/>
      <c r="U936" s="104">
        <f t="shared" si="125"/>
        <v>65</v>
      </c>
      <c r="V936" s="104">
        <f t="shared" si="126"/>
        <v>18</v>
      </c>
      <c r="W936" s="103">
        <f t="shared" si="127"/>
        <v>1170</v>
      </c>
      <c r="X936" s="93" t="s">
        <v>89</v>
      </c>
      <c r="Y936" s="105" t="s">
        <v>84</v>
      </c>
      <c r="Z936" s="105" t="s">
        <v>93</v>
      </c>
    </row>
    <row r="937" spans="1:26" s="105" customFormat="1" ht="15" customHeight="1">
      <c r="A937" s="99">
        <f t="shared" si="122"/>
        <v>935</v>
      </c>
      <c r="B937" s="75" t="s">
        <v>1118</v>
      </c>
      <c r="C937" s="100" t="str">
        <f>IF($B937&lt;&gt;"",_xlfn.IFNA(VLOOKUP($B937,'Node Details'!$B:$U,C$1,0),"Check"),"")</f>
        <v>0000AXW20-AXW200107</v>
      </c>
      <c r="D937" s="100" t="str">
        <f>IF($B937&lt;&gt;"",_xlfn.IFNA(VLOOKUP($B937,'Node Details'!$B:$U,D$1,0),"Check"),"")</f>
        <v>AXW</v>
      </c>
      <c r="E937" s="100" t="str">
        <f>IF($B937&lt;&gt;"",_xlfn.IFNA(VLOOKUP($B937,'Node Details'!$B:$U,E$1,0),"Check"),"")</f>
        <v>Airtel</v>
      </c>
      <c r="F937" s="101">
        <v>46114</v>
      </c>
      <c r="G937" s="103"/>
      <c r="H937" s="102" t="s">
        <v>1260</v>
      </c>
      <c r="I937" s="9">
        <v>16</v>
      </c>
      <c r="J937" s="9">
        <v>65</v>
      </c>
      <c r="K937" s="100">
        <f t="shared" si="121"/>
        <v>1040</v>
      </c>
      <c r="L937" s="78">
        <v>46112</v>
      </c>
      <c r="M937" s="103"/>
      <c r="N937" s="93" t="s">
        <v>534</v>
      </c>
      <c r="O937" s="94"/>
      <c r="P937" s="104">
        <f t="shared" si="123"/>
        <v>65</v>
      </c>
      <c r="Q937" s="104">
        <f t="shared" si="124"/>
        <v>1040</v>
      </c>
      <c r="R937" s="104"/>
      <c r="S937" s="93" t="s">
        <v>144</v>
      </c>
      <c r="T937" s="94"/>
      <c r="U937" s="104">
        <f t="shared" si="125"/>
        <v>65</v>
      </c>
      <c r="V937" s="104">
        <f t="shared" si="126"/>
        <v>16</v>
      </c>
      <c r="W937" s="103">
        <f t="shared" si="127"/>
        <v>1040</v>
      </c>
      <c r="X937" s="93" t="s">
        <v>89</v>
      </c>
      <c r="Y937" s="105" t="s">
        <v>84</v>
      </c>
      <c r="Z937" s="105" t="s">
        <v>93</v>
      </c>
    </row>
    <row r="938" spans="1:26" s="105" customFormat="1" ht="15" customHeight="1">
      <c r="A938" s="99">
        <f t="shared" si="122"/>
        <v>936</v>
      </c>
      <c r="B938" s="75" t="s">
        <v>561</v>
      </c>
      <c r="C938" s="100" t="str">
        <f>IF($B938&lt;&gt;"",_xlfn.IFNA(VLOOKUP($B938,'Node Details'!$B:$U,C$1,0),"Check"),"")</f>
        <v>0000AXW20-AXW200107</v>
      </c>
      <c r="D938" s="100" t="str">
        <f>IF($B938&lt;&gt;"",_xlfn.IFNA(VLOOKUP($B938,'Node Details'!$B:$U,D$1,0),"Check"),"")</f>
        <v>AXW</v>
      </c>
      <c r="E938" s="100" t="str">
        <f>IF($B938&lt;&gt;"",_xlfn.IFNA(VLOOKUP($B938,'Node Details'!$B:$U,E$1,0),"Check"),"")</f>
        <v>Airtel</v>
      </c>
      <c r="F938" s="101">
        <v>46114</v>
      </c>
      <c r="G938" s="103"/>
      <c r="H938" s="102" t="s">
        <v>1260</v>
      </c>
      <c r="I938" s="9">
        <v>14</v>
      </c>
      <c r="J938" s="9">
        <v>65</v>
      </c>
      <c r="K938" s="100">
        <f t="shared" si="121"/>
        <v>910</v>
      </c>
      <c r="L938" s="78">
        <v>46112</v>
      </c>
      <c r="M938" s="103"/>
      <c r="N938" s="93" t="s">
        <v>534</v>
      </c>
      <c r="O938" s="94"/>
      <c r="P938" s="104">
        <f t="shared" si="123"/>
        <v>65</v>
      </c>
      <c r="Q938" s="104">
        <f t="shared" si="124"/>
        <v>910</v>
      </c>
      <c r="R938" s="104"/>
      <c r="S938" s="93" t="s">
        <v>144</v>
      </c>
      <c r="T938" s="94"/>
      <c r="U938" s="104">
        <f t="shared" si="125"/>
        <v>65</v>
      </c>
      <c r="V938" s="104">
        <f t="shared" si="126"/>
        <v>14</v>
      </c>
      <c r="W938" s="103">
        <f t="shared" si="127"/>
        <v>910</v>
      </c>
      <c r="X938" s="93" t="s">
        <v>89</v>
      </c>
      <c r="Y938" s="105" t="s">
        <v>84</v>
      </c>
      <c r="Z938" s="105" t="s">
        <v>93</v>
      </c>
    </row>
    <row r="939" spans="1:26" s="105" customFormat="1" ht="15" customHeight="1">
      <c r="A939" s="99">
        <f t="shared" si="122"/>
        <v>937</v>
      </c>
      <c r="B939" s="75" t="s">
        <v>558</v>
      </c>
      <c r="C939" s="100" t="str">
        <f>IF($B939&lt;&gt;"",_xlfn.IFNA(VLOOKUP($B939,'Node Details'!$B:$U,C$1,0),"Check"),"")</f>
        <v>0000AXW20-AXW200107</v>
      </c>
      <c r="D939" s="100" t="str">
        <f>IF($B939&lt;&gt;"",_xlfn.IFNA(VLOOKUP($B939,'Node Details'!$B:$U,D$1,0),"Check"),"")</f>
        <v>AXW</v>
      </c>
      <c r="E939" s="100" t="str">
        <f>IF($B939&lt;&gt;"",_xlfn.IFNA(VLOOKUP($B939,'Node Details'!$B:$U,E$1,0),"Check"),"")</f>
        <v>Airtel</v>
      </c>
      <c r="F939" s="101">
        <v>46114</v>
      </c>
      <c r="G939" s="103"/>
      <c r="H939" s="102" t="s">
        <v>1260</v>
      </c>
      <c r="I939" s="9">
        <v>6</v>
      </c>
      <c r="J939" s="9">
        <v>65</v>
      </c>
      <c r="K939" s="100">
        <f t="shared" si="121"/>
        <v>390</v>
      </c>
      <c r="L939" s="78">
        <v>46112</v>
      </c>
      <c r="M939" s="103"/>
      <c r="N939" s="93" t="s">
        <v>534</v>
      </c>
      <c r="O939" s="94"/>
      <c r="P939" s="104">
        <f t="shared" si="123"/>
        <v>65</v>
      </c>
      <c r="Q939" s="104">
        <f t="shared" si="124"/>
        <v>390</v>
      </c>
      <c r="R939" s="104"/>
      <c r="S939" s="93" t="s">
        <v>144</v>
      </c>
      <c r="T939" s="94"/>
      <c r="U939" s="104">
        <f t="shared" si="125"/>
        <v>65</v>
      </c>
      <c r="V939" s="104">
        <f t="shared" si="126"/>
        <v>6</v>
      </c>
      <c r="W939" s="103">
        <f t="shared" si="127"/>
        <v>390</v>
      </c>
      <c r="X939" s="93" t="s">
        <v>89</v>
      </c>
      <c r="Y939" s="105" t="s">
        <v>84</v>
      </c>
      <c r="Z939" s="105" t="s">
        <v>93</v>
      </c>
    </row>
    <row r="940" spans="1:26" s="105" customFormat="1" ht="15" customHeight="1">
      <c r="A940" s="99">
        <f t="shared" si="122"/>
        <v>938</v>
      </c>
      <c r="B940" s="75" t="s">
        <v>1120</v>
      </c>
      <c r="C940" s="100" t="str">
        <f>IF($B940&lt;&gt;"",_xlfn.IFNA(VLOOKUP($B940,'Node Details'!$B:$U,C$1,0),"Check"),"")</f>
        <v>AXW200107-AXW200201</v>
      </c>
      <c r="D940" s="100" t="str">
        <f>IF($B940&lt;&gt;"",_xlfn.IFNA(VLOOKUP($B940,'Node Details'!$B:$U,D$1,0),"Check"),"")</f>
        <v>AXW</v>
      </c>
      <c r="E940" s="100" t="str">
        <f>IF($B940&lt;&gt;"",_xlfn.IFNA(VLOOKUP($B940,'Node Details'!$B:$U,E$1,0),"Check"),"")</f>
        <v>Airtel</v>
      </c>
      <c r="F940" s="101">
        <v>46114</v>
      </c>
      <c r="G940" s="103"/>
      <c r="H940" s="102" t="s">
        <v>1260</v>
      </c>
      <c r="I940" s="9">
        <v>4</v>
      </c>
      <c r="J940" s="9">
        <v>65</v>
      </c>
      <c r="K940" s="100">
        <f t="shared" si="121"/>
        <v>260</v>
      </c>
      <c r="L940" s="78">
        <v>46112</v>
      </c>
      <c r="M940" s="103"/>
      <c r="N940" s="93" t="s">
        <v>534</v>
      </c>
      <c r="O940" s="94"/>
      <c r="P940" s="104">
        <f t="shared" si="123"/>
        <v>65</v>
      </c>
      <c r="Q940" s="104">
        <f t="shared" si="124"/>
        <v>260</v>
      </c>
      <c r="R940" s="104"/>
      <c r="S940" s="93" t="s">
        <v>144</v>
      </c>
      <c r="T940" s="94"/>
      <c r="U940" s="104">
        <f t="shared" si="125"/>
        <v>65</v>
      </c>
      <c r="V940" s="104">
        <f t="shared" si="126"/>
        <v>4</v>
      </c>
      <c r="W940" s="103">
        <f t="shared" si="127"/>
        <v>260</v>
      </c>
      <c r="X940" s="93" t="s">
        <v>89</v>
      </c>
      <c r="Y940" s="105" t="s">
        <v>84</v>
      </c>
      <c r="Z940" s="105" t="s">
        <v>93</v>
      </c>
    </row>
    <row r="941" spans="1:26" s="105" customFormat="1" ht="15" customHeight="1">
      <c r="A941" s="99">
        <f t="shared" si="122"/>
        <v>939</v>
      </c>
      <c r="B941" s="75" t="s">
        <v>565</v>
      </c>
      <c r="C941" s="100" t="str">
        <f>IF($B941&lt;&gt;"",_xlfn.IFNA(VLOOKUP($B941,'Node Details'!$B:$U,C$1,0),"Check"),"")</f>
        <v>AXW200107-AXW200201</v>
      </c>
      <c r="D941" s="100" t="str">
        <f>IF($B941&lt;&gt;"",_xlfn.IFNA(VLOOKUP($B941,'Node Details'!$B:$U,D$1,0),"Check"),"")</f>
        <v>AXW</v>
      </c>
      <c r="E941" s="100" t="str">
        <f>IF($B941&lt;&gt;"",_xlfn.IFNA(VLOOKUP($B941,'Node Details'!$B:$U,E$1,0),"Check"),"")</f>
        <v>Airtel</v>
      </c>
      <c r="F941" s="101">
        <v>46114</v>
      </c>
      <c r="G941" s="103"/>
      <c r="H941" s="102" t="s">
        <v>1260</v>
      </c>
      <c r="I941" s="9">
        <v>2</v>
      </c>
      <c r="J941" s="9">
        <v>65</v>
      </c>
      <c r="K941" s="100">
        <f t="shared" si="121"/>
        <v>130</v>
      </c>
      <c r="L941" s="78">
        <v>46112</v>
      </c>
      <c r="M941" s="103"/>
      <c r="N941" s="93" t="s">
        <v>534</v>
      </c>
      <c r="O941" s="94"/>
      <c r="P941" s="104">
        <f t="shared" si="123"/>
        <v>65</v>
      </c>
      <c r="Q941" s="104">
        <f t="shared" si="124"/>
        <v>130</v>
      </c>
      <c r="R941" s="104"/>
      <c r="S941" s="93" t="s">
        <v>144</v>
      </c>
      <c r="T941" s="94"/>
      <c r="U941" s="104">
        <f t="shared" si="125"/>
        <v>65</v>
      </c>
      <c r="V941" s="104">
        <f t="shared" si="126"/>
        <v>2</v>
      </c>
      <c r="W941" s="103">
        <f t="shared" si="127"/>
        <v>130</v>
      </c>
      <c r="X941" s="93" t="s">
        <v>89</v>
      </c>
      <c r="Y941" s="105" t="s">
        <v>84</v>
      </c>
      <c r="Z941" s="105" t="s">
        <v>93</v>
      </c>
    </row>
    <row r="942" spans="1:26" s="105" customFormat="1" ht="15" customHeight="1">
      <c r="A942" s="99">
        <f t="shared" si="122"/>
        <v>940</v>
      </c>
      <c r="B942" s="75" t="s">
        <v>574</v>
      </c>
      <c r="C942" s="100" t="str">
        <f>IF($B942&lt;&gt;"",_xlfn.IFNA(VLOOKUP($B942,'Node Details'!$B:$U,C$1,0),"Check"),"")</f>
        <v>0000AXW19-0000AXW22</v>
      </c>
      <c r="D942" s="100" t="str">
        <f>IF($B942&lt;&gt;"",_xlfn.IFNA(VLOOKUP($B942,'Node Details'!$B:$U,D$1,0),"Check"),"")</f>
        <v>AXW</v>
      </c>
      <c r="E942" s="100" t="str">
        <f>IF($B942&lt;&gt;"",_xlfn.IFNA(VLOOKUP($B942,'Node Details'!$B:$U,E$1,0),"Check"),"")</f>
        <v>Airtel</v>
      </c>
      <c r="F942" s="101">
        <v>46114</v>
      </c>
      <c r="G942" s="103"/>
      <c r="H942" s="102" t="s">
        <v>1260</v>
      </c>
      <c r="I942" s="9">
        <v>42</v>
      </c>
      <c r="J942" s="9">
        <v>65</v>
      </c>
      <c r="K942" s="100">
        <f t="shared" si="121"/>
        <v>2730</v>
      </c>
      <c r="L942" s="78">
        <v>46112</v>
      </c>
      <c r="M942" s="103"/>
      <c r="N942" s="93" t="s">
        <v>534</v>
      </c>
      <c r="O942" s="94"/>
      <c r="P942" s="104">
        <f t="shared" si="123"/>
        <v>65</v>
      </c>
      <c r="Q942" s="104">
        <f t="shared" si="124"/>
        <v>2730</v>
      </c>
      <c r="R942" s="104"/>
      <c r="S942" s="93" t="s">
        <v>144</v>
      </c>
      <c r="T942" s="94"/>
      <c r="U942" s="104">
        <f t="shared" si="125"/>
        <v>65</v>
      </c>
      <c r="V942" s="104">
        <f t="shared" si="126"/>
        <v>42</v>
      </c>
      <c r="W942" s="103">
        <f t="shared" si="127"/>
        <v>2730</v>
      </c>
      <c r="X942" s="93" t="s">
        <v>89</v>
      </c>
      <c r="Y942" s="105" t="s">
        <v>84</v>
      </c>
      <c r="Z942" s="105" t="s">
        <v>93</v>
      </c>
    </row>
    <row r="943" spans="1:26" s="105" customFormat="1" ht="15" customHeight="1">
      <c r="A943" s="99">
        <f t="shared" si="122"/>
        <v>941</v>
      </c>
      <c r="B943" s="75" t="s">
        <v>587</v>
      </c>
      <c r="C943" s="100" t="str">
        <f>IF($B943&lt;&gt;"",_xlfn.IFNA(VLOOKUP($B943,'Node Details'!$B:$U,C$1,0),"Check"),"")</f>
        <v>0000AXW21-AXW210105</v>
      </c>
      <c r="D943" s="100" t="str">
        <f>IF($B943&lt;&gt;"",_xlfn.IFNA(VLOOKUP($B943,'Node Details'!$B:$U,D$1,0),"Check"),"")</f>
        <v>AXW</v>
      </c>
      <c r="E943" s="100" t="str">
        <f>IF($B943&lt;&gt;"",_xlfn.IFNA(VLOOKUP($B943,'Node Details'!$B:$U,E$1,0),"Check"),"")</f>
        <v>Airtel</v>
      </c>
      <c r="F943" s="101">
        <v>46114</v>
      </c>
      <c r="G943" s="103"/>
      <c r="H943" s="102" t="s">
        <v>1260</v>
      </c>
      <c r="I943" s="9">
        <v>16</v>
      </c>
      <c r="J943" s="9">
        <v>65</v>
      </c>
      <c r="K943" s="100">
        <f t="shared" si="121"/>
        <v>1040</v>
      </c>
      <c r="L943" s="78">
        <v>46112</v>
      </c>
      <c r="M943" s="103"/>
      <c r="N943" s="93" t="s">
        <v>534</v>
      </c>
      <c r="O943" s="94"/>
      <c r="P943" s="104">
        <f t="shared" si="123"/>
        <v>65</v>
      </c>
      <c r="Q943" s="104">
        <f t="shared" si="124"/>
        <v>1040</v>
      </c>
      <c r="R943" s="104"/>
      <c r="S943" s="93" t="s">
        <v>144</v>
      </c>
      <c r="T943" s="94"/>
      <c r="U943" s="104">
        <f t="shared" si="125"/>
        <v>65</v>
      </c>
      <c r="V943" s="104">
        <f t="shared" si="126"/>
        <v>16</v>
      </c>
      <c r="W943" s="103">
        <f t="shared" si="127"/>
        <v>1040</v>
      </c>
      <c r="X943" s="93" t="s">
        <v>89</v>
      </c>
      <c r="Y943" s="105" t="s">
        <v>84</v>
      </c>
      <c r="Z943" s="105" t="s">
        <v>93</v>
      </c>
    </row>
    <row r="944" spans="1:26" s="105" customFormat="1" ht="15" customHeight="1">
      <c r="A944" s="99">
        <f t="shared" si="122"/>
        <v>942</v>
      </c>
      <c r="B944" s="75" t="s">
        <v>1122</v>
      </c>
      <c r="C944" s="100" t="str">
        <f>IF($B944&lt;&gt;"",_xlfn.IFNA(VLOOKUP($B944,'Node Details'!$B:$U,C$1,0),"Check"),"")</f>
        <v>0000AXW21-AXW210105</v>
      </c>
      <c r="D944" s="100" t="str">
        <f>IF($B944&lt;&gt;"",_xlfn.IFNA(VLOOKUP($B944,'Node Details'!$B:$U,D$1,0),"Check"),"")</f>
        <v>AXW</v>
      </c>
      <c r="E944" s="100" t="str">
        <f>IF($B944&lt;&gt;"",_xlfn.IFNA(VLOOKUP($B944,'Node Details'!$B:$U,E$1,0),"Check"),"")</f>
        <v>Airtel</v>
      </c>
      <c r="F944" s="101">
        <v>46114</v>
      </c>
      <c r="G944" s="103"/>
      <c r="H944" s="102" t="s">
        <v>1260</v>
      </c>
      <c r="I944" s="9">
        <v>14</v>
      </c>
      <c r="J944" s="9">
        <v>65</v>
      </c>
      <c r="K944" s="100">
        <f t="shared" si="121"/>
        <v>910</v>
      </c>
      <c r="L944" s="78">
        <v>46112</v>
      </c>
      <c r="M944" s="103"/>
      <c r="N944" s="93" t="s">
        <v>534</v>
      </c>
      <c r="O944" s="94"/>
      <c r="P944" s="104">
        <f t="shared" si="123"/>
        <v>65</v>
      </c>
      <c r="Q944" s="104">
        <f t="shared" si="124"/>
        <v>910</v>
      </c>
      <c r="R944" s="104"/>
      <c r="S944" s="93" t="s">
        <v>144</v>
      </c>
      <c r="T944" s="94"/>
      <c r="U944" s="104">
        <f t="shared" si="125"/>
        <v>65</v>
      </c>
      <c r="V944" s="104">
        <f t="shared" si="126"/>
        <v>14</v>
      </c>
      <c r="W944" s="103">
        <f t="shared" si="127"/>
        <v>910</v>
      </c>
      <c r="X944" s="93" t="s">
        <v>89</v>
      </c>
      <c r="Y944" s="105" t="s">
        <v>84</v>
      </c>
      <c r="Z944" s="105" t="s">
        <v>93</v>
      </c>
    </row>
    <row r="945" spans="1:26" s="105" customFormat="1" ht="15" customHeight="1">
      <c r="A945" s="99">
        <f t="shared" si="122"/>
        <v>943</v>
      </c>
      <c r="B945" s="75" t="s">
        <v>581</v>
      </c>
      <c r="C945" s="100" t="str">
        <f>IF($B945&lt;&gt;"",_xlfn.IFNA(VLOOKUP($B945,'Node Details'!$B:$U,C$1,0),"Check"),"")</f>
        <v>0000AXW21-AXW210105</v>
      </c>
      <c r="D945" s="100" t="str">
        <f>IF($B945&lt;&gt;"",_xlfn.IFNA(VLOOKUP($B945,'Node Details'!$B:$U,D$1,0),"Check"),"")</f>
        <v>AXW</v>
      </c>
      <c r="E945" s="100" t="str">
        <f>IF($B945&lt;&gt;"",_xlfn.IFNA(VLOOKUP($B945,'Node Details'!$B:$U,E$1,0),"Check"),"")</f>
        <v>Airtel</v>
      </c>
      <c r="F945" s="101">
        <v>46114</v>
      </c>
      <c r="G945" s="103"/>
      <c r="H945" s="102" t="s">
        <v>1260</v>
      </c>
      <c r="I945" s="9">
        <v>12</v>
      </c>
      <c r="J945" s="9">
        <v>65</v>
      </c>
      <c r="K945" s="100">
        <f t="shared" si="121"/>
        <v>780</v>
      </c>
      <c r="L945" s="78">
        <v>46112</v>
      </c>
      <c r="M945" s="103"/>
      <c r="N945" s="93" t="s">
        <v>534</v>
      </c>
      <c r="O945" s="94"/>
      <c r="P945" s="104">
        <f t="shared" si="123"/>
        <v>65</v>
      </c>
      <c r="Q945" s="104">
        <f t="shared" si="124"/>
        <v>780</v>
      </c>
      <c r="R945" s="104"/>
      <c r="S945" s="93" t="s">
        <v>144</v>
      </c>
      <c r="T945" s="94"/>
      <c r="U945" s="104">
        <f t="shared" si="125"/>
        <v>65</v>
      </c>
      <c r="V945" s="104">
        <f t="shared" si="126"/>
        <v>12</v>
      </c>
      <c r="W945" s="103">
        <f t="shared" si="127"/>
        <v>780</v>
      </c>
      <c r="X945" s="93" t="s">
        <v>89</v>
      </c>
      <c r="Y945" s="105" t="s">
        <v>84</v>
      </c>
      <c r="Z945" s="105" t="s">
        <v>93</v>
      </c>
    </row>
    <row r="946" spans="1:26" s="105" customFormat="1" ht="15" customHeight="1">
      <c r="A946" s="99">
        <f t="shared" si="122"/>
        <v>944</v>
      </c>
      <c r="B946" s="75" t="s">
        <v>1123</v>
      </c>
      <c r="C946" s="100" t="str">
        <f>IF($B946&lt;&gt;"",_xlfn.IFNA(VLOOKUP($B946,'Node Details'!$B:$U,C$1,0),"Check"),"")</f>
        <v>AXW210105-AXW210107</v>
      </c>
      <c r="D946" s="100" t="str">
        <f>IF($B946&lt;&gt;"",_xlfn.IFNA(VLOOKUP($B946,'Node Details'!$B:$U,D$1,0),"Check"),"")</f>
        <v>AXW</v>
      </c>
      <c r="E946" s="100" t="str">
        <f>IF($B946&lt;&gt;"",_xlfn.IFNA(VLOOKUP($B946,'Node Details'!$B:$U,E$1,0),"Check"),"")</f>
        <v>Airtel</v>
      </c>
      <c r="F946" s="101">
        <v>46114</v>
      </c>
      <c r="G946" s="103"/>
      <c r="H946" s="102" t="s">
        <v>1260</v>
      </c>
      <c r="I946" s="9">
        <v>6</v>
      </c>
      <c r="J946" s="9">
        <v>65</v>
      </c>
      <c r="K946" s="100">
        <f t="shared" si="121"/>
        <v>390</v>
      </c>
      <c r="L946" s="78">
        <v>46112</v>
      </c>
      <c r="M946" s="103"/>
      <c r="N946" s="93" t="s">
        <v>534</v>
      </c>
      <c r="O946" s="94"/>
      <c r="P946" s="104">
        <f t="shared" si="123"/>
        <v>65</v>
      </c>
      <c r="Q946" s="104">
        <f t="shared" si="124"/>
        <v>390</v>
      </c>
      <c r="R946" s="104"/>
      <c r="S946" s="93" t="s">
        <v>144</v>
      </c>
      <c r="T946" s="94"/>
      <c r="U946" s="104">
        <f t="shared" si="125"/>
        <v>65</v>
      </c>
      <c r="V946" s="104">
        <f t="shared" si="126"/>
        <v>6</v>
      </c>
      <c r="W946" s="103">
        <f t="shared" si="127"/>
        <v>390</v>
      </c>
      <c r="X946" s="93" t="s">
        <v>89</v>
      </c>
      <c r="Y946" s="105" t="s">
        <v>84</v>
      </c>
      <c r="Z946" s="105" t="s">
        <v>93</v>
      </c>
    </row>
    <row r="947" spans="1:26" s="105" customFormat="1" ht="15" customHeight="1">
      <c r="A947" s="99">
        <f t="shared" si="122"/>
        <v>945</v>
      </c>
      <c r="B947" s="75" t="s">
        <v>584</v>
      </c>
      <c r="C947" s="100" t="str">
        <f>IF($B947&lt;&gt;"",_xlfn.IFNA(VLOOKUP($B947,'Node Details'!$B:$U,C$1,0),"Check"),"")</f>
        <v>AXW210105-AXW210107</v>
      </c>
      <c r="D947" s="100" t="str">
        <f>IF($B947&lt;&gt;"",_xlfn.IFNA(VLOOKUP($B947,'Node Details'!$B:$U,D$1,0),"Check"),"")</f>
        <v>AXW</v>
      </c>
      <c r="E947" s="100" t="str">
        <f>IF($B947&lt;&gt;"",_xlfn.IFNA(VLOOKUP($B947,'Node Details'!$B:$U,E$1,0),"Check"),"")</f>
        <v>Airtel</v>
      </c>
      <c r="F947" s="101">
        <v>46114</v>
      </c>
      <c r="G947" s="103"/>
      <c r="H947" s="102" t="s">
        <v>1260</v>
      </c>
      <c r="I947" s="9">
        <v>4</v>
      </c>
      <c r="J947" s="9">
        <v>65</v>
      </c>
      <c r="K947" s="100">
        <f t="shared" si="121"/>
        <v>260</v>
      </c>
      <c r="L947" s="78">
        <v>46112</v>
      </c>
      <c r="M947" s="103"/>
      <c r="N947" s="93" t="s">
        <v>534</v>
      </c>
      <c r="O947" s="94"/>
      <c r="P947" s="104">
        <f t="shared" si="123"/>
        <v>65</v>
      </c>
      <c r="Q947" s="104">
        <f t="shared" si="124"/>
        <v>260</v>
      </c>
      <c r="R947" s="104"/>
      <c r="S947" s="93" t="s">
        <v>144</v>
      </c>
      <c r="T947" s="94"/>
      <c r="U947" s="104">
        <f t="shared" si="125"/>
        <v>65</v>
      </c>
      <c r="V947" s="104">
        <f t="shared" si="126"/>
        <v>4</v>
      </c>
      <c r="W947" s="103">
        <f t="shared" si="127"/>
        <v>260</v>
      </c>
      <c r="X947" s="93" t="s">
        <v>89</v>
      </c>
      <c r="Y947" s="105" t="s">
        <v>84</v>
      </c>
      <c r="Z947" s="105" t="s">
        <v>93</v>
      </c>
    </row>
    <row r="948" spans="1:26" s="105" customFormat="1" ht="15" customHeight="1">
      <c r="A948" s="99">
        <f t="shared" si="122"/>
        <v>946</v>
      </c>
      <c r="B948" s="75" t="s">
        <v>588</v>
      </c>
      <c r="C948" s="100" t="str">
        <f>IF($B948&lt;&gt;"",_xlfn.IFNA(VLOOKUP($B948,'Node Details'!$B:$U,C$1,0),"Check"),"")</f>
        <v>AXW210103-AXW210108</v>
      </c>
      <c r="D948" s="100" t="str">
        <f>IF($B948&lt;&gt;"",_xlfn.IFNA(VLOOKUP($B948,'Node Details'!$B:$U,D$1,0),"Check"),"")</f>
        <v>AXW</v>
      </c>
      <c r="E948" s="100" t="str">
        <f>IF($B948&lt;&gt;"",_xlfn.IFNA(VLOOKUP($B948,'Node Details'!$B:$U,E$1,0),"Check"),"")</f>
        <v>Airtel</v>
      </c>
      <c r="F948" s="101">
        <v>46114</v>
      </c>
      <c r="G948" s="103"/>
      <c r="H948" s="102" t="s">
        <v>1260</v>
      </c>
      <c r="I948" s="9">
        <v>2</v>
      </c>
      <c r="J948" s="9">
        <v>65</v>
      </c>
      <c r="K948" s="100">
        <f t="shared" si="121"/>
        <v>130</v>
      </c>
      <c r="L948" s="78">
        <v>46112</v>
      </c>
      <c r="M948" s="103"/>
      <c r="N948" s="93" t="s">
        <v>534</v>
      </c>
      <c r="O948" s="94"/>
      <c r="P948" s="104">
        <f t="shared" si="123"/>
        <v>65</v>
      </c>
      <c r="Q948" s="104">
        <f t="shared" si="124"/>
        <v>130</v>
      </c>
      <c r="R948" s="104"/>
      <c r="S948" s="93" t="s">
        <v>144</v>
      </c>
      <c r="T948" s="94"/>
      <c r="U948" s="104">
        <f t="shared" si="125"/>
        <v>65</v>
      </c>
      <c r="V948" s="104">
        <f t="shared" si="126"/>
        <v>2</v>
      </c>
      <c r="W948" s="103">
        <f t="shared" si="127"/>
        <v>130</v>
      </c>
      <c r="X948" s="93" t="s">
        <v>89</v>
      </c>
      <c r="Y948" s="105" t="s">
        <v>84</v>
      </c>
      <c r="Z948" s="105" t="s">
        <v>93</v>
      </c>
    </row>
    <row r="949" spans="1:26" s="105" customFormat="1" ht="15" customHeight="1">
      <c r="A949" s="99">
        <f t="shared" si="122"/>
        <v>947</v>
      </c>
      <c r="B949" s="75" t="s">
        <v>390</v>
      </c>
      <c r="C949" s="100" t="str">
        <f>IF($B949&lt;&gt;"",_xlfn.IFNA(VLOOKUP($B949,'Node Details'!$B:$U,C$1,0),"Check"),"")</f>
        <v>0000AXW19-0000AXW22</v>
      </c>
      <c r="D949" s="100" t="str">
        <f>IF($B949&lt;&gt;"",_xlfn.IFNA(VLOOKUP($B949,'Node Details'!$B:$U,D$1,0),"Check"),"")</f>
        <v>AXW</v>
      </c>
      <c r="E949" s="100" t="str">
        <f>IF($B949&lt;&gt;"",_xlfn.IFNA(VLOOKUP($B949,'Node Details'!$B:$U,E$1,0),"Check"),"")</f>
        <v>Airtel</v>
      </c>
      <c r="F949" s="101">
        <v>46114</v>
      </c>
      <c r="G949" s="103"/>
      <c r="H949" s="102" t="s">
        <v>1260</v>
      </c>
      <c r="I949" s="9">
        <v>42</v>
      </c>
      <c r="J949" s="9">
        <v>65</v>
      </c>
      <c r="K949" s="100">
        <f t="shared" si="121"/>
        <v>2730</v>
      </c>
      <c r="L949" s="78">
        <v>46112</v>
      </c>
      <c r="M949" s="103"/>
      <c r="N949" s="93" t="s">
        <v>534</v>
      </c>
      <c r="O949" s="94"/>
      <c r="P949" s="104">
        <f t="shared" si="123"/>
        <v>65</v>
      </c>
      <c r="Q949" s="104">
        <f t="shared" si="124"/>
        <v>2730</v>
      </c>
      <c r="R949" s="104"/>
      <c r="S949" s="93" t="s">
        <v>144</v>
      </c>
      <c r="T949" s="94"/>
      <c r="U949" s="104">
        <f t="shared" si="125"/>
        <v>65</v>
      </c>
      <c r="V949" s="104">
        <f t="shared" si="126"/>
        <v>42</v>
      </c>
      <c r="W949" s="103">
        <f t="shared" si="127"/>
        <v>2730</v>
      </c>
      <c r="X949" s="93" t="s">
        <v>89</v>
      </c>
      <c r="Y949" s="105" t="s">
        <v>84</v>
      </c>
      <c r="Z949" s="105" t="s">
        <v>93</v>
      </c>
    </row>
    <row r="950" spans="1:26" s="105" customFormat="1" ht="15" customHeight="1">
      <c r="A950" s="99">
        <f t="shared" si="122"/>
        <v>948</v>
      </c>
      <c r="B950" s="75" t="s">
        <v>1124</v>
      </c>
      <c r="C950" s="100" t="str">
        <f>IF($B950&lt;&gt;"",_xlfn.IFNA(VLOOKUP($B950,'Node Details'!$B:$U,C$1,0),"Check"),"")</f>
        <v>0000AXW22-AXW220103</v>
      </c>
      <c r="D950" s="100" t="str">
        <f>IF($B950&lt;&gt;"",_xlfn.IFNA(VLOOKUP($B950,'Node Details'!$B:$U,D$1,0),"Check"),"")</f>
        <v>AXW</v>
      </c>
      <c r="E950" s="100" t="str">
        <f>IF($B950&lt;&gt;"",_xlfn.IFNA(VLOOKUP($B950,'Node Details'!$B:$U,E$1,0),"Check"),"")</f>
        <v>Airtel</v>
      </c>
      <c r="F950" s="101">
        <v>46114</v>
      </c>
      <c r="G950" s="103"/>
      <c r="H950" s="102" t="s">
        <v>1260</v>
      </c>
      <c r="I950" s="9">
        <v>6</v>
      </c>
      <c r="J950" s="9">
        <v>65</v>
      </c>
      <c r="K950" s="100">
        <f t="shared" si="121"/>
        <v>390</v>
      </c>
      <c r="L950" s="78">
        <v>46112</v>
      </c>
      <c r="M950" s="103"/>
      <c r="N950" s="93" t="s">
        <v>534</v>
      </c>
      <c r="O950" s="94"/>
      <c r="P950" s="104">
        <f t="shared" si="123"/>
        <v>65</v>
      </c>
      <c r="Q950" s="104">
        <f t="shared" si="124"/>
        <v>390</v>
      </c>
      <c r="R950" s="104"/>
      <c r="S950" s="93" t="s">
        <v>144</v>
      </c>
      <c r="T950" s="94"/>
      <c r="U950" s="104">
        <f t="shared" si="125"/>
        <v>65</v>
      </c>
      <c r="V950" s="104">
        <f t="shared" si="126"/>
        <v>6</v>
      </c>
      <c r="W950" s="103">
        <f t="shared" si="127"/>
        <v>390</v>
      </c>
      <c r="X950" s="93" t="s">
        <v>89</v>
      </c>
      <c r="Y950" s="105" t="s">
        <v>84</v>
      </c>
      <c r="Z950" s="105" t="s">
        <v>93</v>
      </c>
    </row>
    <row r="951" spans="1:26" s="105" customFormat="1" ht="15" customHeight="1">
      <c r="A951" s="99">
        <f t="shared" si="122"/>
        <v>949</v>
      </c>
      <c r="B951" s="75" t="s">
        <v>594</v>
      </c>
      <c r="C951" s="100" t="str">
        <f>IF($B951&lt;&gt;"",_xlfn.IFNA(VLOOKUP($B951,'Node Details'!$B:$U,C$1,0),"Check"),"")</f>
        <v>0000AXW22-AXW220103</v>
      </c>
      <c r="D951" s="100" t="str">
        <f>IF($B951&lt;&gt;"",_xlfn.IFNA(VLOOKUP($B951,'Node Details'!$B:$U,D$1,0),"Check"),"")</f>
        <v>AXW</v>
      </c>
      <c r="E951" s="100" t="str">
        <f>IF($B951&lt;&gt;"",_xlfn.IFNA(VLOOKUP($B951,'Node Details'!$B:$U,E$1,0),"Check"),"")</f>
        <v>Airtel</v>
      </c>
      <c r="F951" s="101">
        <v>46114</v>
      </c>
      <c r="G951" s="103"/>
      <c r="H951" s="102" t="s">
        <v>1260</v>
      </c>
      <c r="I951" s="9">
        <v>4</v>
      </c>
      <c r="J951" s="9">
        <v>65</v>
      </c>
      <c r="K951" s="100">
        <f t="shared" si="121"/>
        <v>260</v>
      </c>
      <c r="L951" s="78">
        <v>46112</v>
      </c>
      <c r="M951" s="103"/>
      <c r="N951" s="93" t="s">
        <v>534</v>
      </c>
      <c r="O951" s="94"/>
      <c r="P951" s="104">
        <f t="shared" si="123"/>
        <v>65</v>
      </c>
      <c r="Q951" s="104">
        <f t="shared" si="124"/>
        <v>260</v>
      </c>
      <c r="R951" s="104"/>
      <c r="S951" s="93" t="s">
        <v>144</v>
      </c>
      <c r="T951" s="94"/>
      <c r="U951" s="104">
        <f t="shared" si="125"/>
        <v>65</v>
      </c>
      <c r="V951" s="104">
        <f t="shared" si="126"/>
        <v>4</v>
      </c>
      <c r="W951" s="103">
        <f t="shared" si="127"/>
        <v>260</v>
      </c>
      <c r="X951" s="93" t="s">
        <v>89</v>
      </c>
      <c r="Y951" s="105" t="s">
        <v>84</v>
      </c>
      <c r="Z951" s="105" t="s">
        <v>93</v>
      </c>
    </row>
    <row r="952" spans="1:26" s="105" customFormat="1" ht="15" customHeight="1">
      <c r="A952" s="99">
        <f t="shared" si="122"/>
        <v>950</v>
      </c>
      <c r="B952" s="75" t="s">
        <v>597</v>
      </c>
      <c r="C952" s="100" t="str">
        <f>IF($B952&lt;&gt;"",_xlfn.IFNA(VLOOKUP($B952,'Node Details'!$B:$U,C$1,0),"Check"),"")</f>
        <v>0000AXW22-AXW220104</v>
      </c>
      <c r="D952" s="100" t="str">
        <f>IF($B952&lt;&gt;"",_xlfn.IFNA(VLOOKUP($B952,'Node Details'!$B:$U,D$1,0),"Check"),"")</f>
        <v>AXW</v>
      </c>
      <c r="E952" s="100" t="str">
        <f>IF($B952&lt;&gt;"",_xlfn.IFNA(VLOOKUP($B952,'Node Details'!$B:$U,E$1,0),"Check"),"")</f>
        <v>Airtel</v>
      </c>
      <c r="F952" s="101">
        <v>46114</v>
      </c>
      <c r="G952" s="103"/>
      <c r="H952" s="102" t="s">
        <v>1260</v>
      </c>
      <c r="I952" s="9">
        <v>16</v>
      </c>
      <c r="J952" s="9">
        <v>65</v>
      </c>
      <c r="K952" s="100">
        <f t="shared" si="121"/>
        <v>1040</v>
      </c>
      <c r="L952" s="78">
        <v>46112</v>
      </c>
      <c r="M952" s="103"/>
      <c r="N952" s="93" t="s">
        <v>534</v>
      </c>
      <c r="O952" s="94"/>
      <c r="P952" s="104">
        <f t="shared" si="123"/>
        <v>65</v>
      </c>
      <c r="Q952" s="104">
        <f t="shared" si="124"/>
        <v>1040</v>
      </c>
      <c r="R952" s="104"/>
      <c r="S952" s="93" t="s">
        <v>144</v>
      </c>
      <c r="T952" s="94"/>
      <c r="U952" s="104">
        <f t="shared" si="125"/>
        <v>65</v>
      </c>
      <c r="V952" s="104">
        <f t="shared" si="126"/>
        <v>16</v>
      </c>
      <c r="W952" s="103">
        <f t="shared" si="127"/>
        <v>1040</v>
      </c>
      <c r="X952" s="93" t="s">
        <v>89</v>
      </c>
      <c r="Y952" s="105" t="s">
        <v>84</v>
      </c>
      <c r="Z952" s="105" t="s">
        <v>93</v>
      </c>
    </row>
    <row r="953" spans="1:26" s="105" customFormat="1" ht="15" customHeight="1">
      <c r="A953" s="99">
        <f t="shared" si="122"/>
        <v>951</v>
      </c>
      <c r="B953" s="75" t="s">
        <v>1125</v>
      </c>
      <c r="C953" s="100" t="str">
        <f>IF($B953&lt;&gt;"",_xlfn.IFNA(VLOOKUP($B953,'Node Details'!$B:$U,C$1,0),"Check"),"")</f>
        <v>AXW220104-AXW220106</v>
      </c>
      <c r="D953" s="100" t="str">
        <f>IF($B953&lt;&gt;"",_xlfn.IFNA(VLOOKUP($B953,'Node Details'!$B:$U,D$1,0),"Check"),"")</f>
        <v>AXW</v>
      </c>
      <c r="E953" s="100" t="str">
        <f>IF($B953&lt;&gt;"",_xlfn.IFNA(VLOOKUP($B953,'Node Details'!$B:$U,E$1,0),"Check"),"")</f>
        <v>Airtel</v>
      </c>
      <c r="F953" s="101">
        <v>46114</v>
      </c>
      <c r="G953" s="103"/>
      <c r="H953" s="102" t="s">
        <v>1260</v>
      </c>
      <c r="I953" s="9">
        <v>6</v>
      </c>
      <c r="J953" s="9">
        <v>65</v>
      </c>
      <c r="K953" s="100">
        <f t="shared" si="121"/>
        <v>390</v>
      </c>
      <c r="L953" s="78">
        <v>46112</v>
      </c>
      <c r="M953" s="103"/>
      <c r="N953" s="93" t="s">
        <v>534</v>
      </c>
      <c r="O953" s="94"/>
      <c r="P953" s="104">
        <f t="shared" si="123"/>
        <v>65</v>
      </c>
      <c r="Q953" s="104">
        <f t="shared" si="124"/>
        <v>390</v>
      </c>
      <c r="R953" s="104"/>
      <c r="S953" s="93" t="s">
        <v>144</v>
      </c>
      <c r="T953" s="94"/>
      <c r="U953" s="104">
        <f t="shared" si="125"/>
        <v>65</v>
      </c>
      <c r="V953" s="104">
        <f t="shared" si="126"/>
        <v>6</v>
      </c>
      <c r="W953" s="103">
        <f t="shared" si="127"/>
        <v>390</v>
      </c>
      <c r="X953" s="93" t="s">
        <v>89</v>
      </c>
      <c r="Y953" s="105" t="s">
        <v>84</v>
      </c>
      <c r="Z953" s="105" t="s">
        <v>93</v>
      </c>
    </row>
    <row r="954" spans="1:26" s="105" customFormat="1" ht="15" customHeight="1">
      <c r="A954" s="99">
        <f t="shared" si="122"/>
        <v>952</v>
      </c>
      <c r="B954" s="75" t="s">
        <v>600</v>
      </c>
      <c r="C954" s="100" t="str">
        <f>IF($B954&lt;&gt;"",_xlfn.IFNA(VLOOKUP($B954,'Node Details'!$B:$U,C$1,0),"Check"),"")</f>
        <v>AXW220104-AXW220106</v>
      </c>
      <c r="D954" s="100" t="str">
        <f>IF($B954&lt;&gt;"",_xlfn.IFNA(VLOOKUP($B954,'Node Details'!$B:$U,D$1,0),"Check"),"")</f>
        <v>AXW</v>
      </c>
      <c r="E954" s="100" t="str">
        <f>IF($B954&lt;&gt;"",_xlfn.IFNA(VLOOKUP($B954,'Node Details'!$B:$U,E$1,0),"Check"),"")</f>
        <v>Airtel</v>
      </c>
      <c r="F954" s="101">
        <v>46114</v>
      </c>
      <c r="G954" s="103"/>
      <c r="H954" s="102" t="s">
        <v>1260</v>
      </c>
      <c r="I954" s="9">
        <v>4</v>
      </c>
      <c r="J954" s="9">
        <v>65</v>
      </c>
      <c r="K954" s="100">
        <f t="shared" si="121"/>
        <v>260</v>
      </c>
      <c r="L954" s="78">
        <v>46112</v>
      </c>
      <c r="M954" s="103"/>
      <c r="N954" s="93" t="s">
        <v>534</v>
      </c>
      <c r="O954" s="94"/>
      <c r="P954" s="104">
        <f t="shared" si="123"/>
        <v>65</v>
      </c>
      <c r="Q954" s="104">
        <f t="shared" si="124"/>
        <v>260</v>
      </c>
      <c r="R954" s="104"/>
      <c r="S954" s="93" t="s">
        <v>144</v>
      </c>
      <c r="T954" s="94"/>
      <c r="U954" s="104">
        <f t="shared" si="125"/>
        <v>65</v>
      </c>
      <c r="V954" s="104">
        <f t="shared" si="126"/>
        <v>4</v>
      </c>
      <c r="W954" s="103">
        <f t="shared" si="127"/>
        <v>260</v>
      </c>
      <c r="X954" s="93" t="s">
        <v>89</v>
      </c>
      <c r="Y954" s="105" t="s">
        <v>84</v>
      </c>
      <c r="Z954" s="105" t="s">
        <v>93</v>
      </c>
    </row>
    <row r="955" spans="1:26" s="105" customFormat="1" ht="15" customHeight="1">
      <c r="A955" s="99">
        <f t="shared" si="122"/>
        <v>953</v>
      </c>
      <c r="B955" s="75" t="s">
        <v>603</v>
      </c>
      <c r="C955" s="100" t="str">
        <f>IF($B955&lt;&gt;"",_xlfn.IFNA(VLOOKUP($B955,'Node Details'!$B:$U,C$1,0),"Check"),"")</f>
        <v>0000AXW22-AXW220107</v>
      </c>
      <c r="D955" s="100" t="str">
        <f>IF($B955&lt;&gt;"",_xlfn.IFNA(VLOOKUP($B955,'Node Details'!$B:$U,D$1,0),"Check"),"")</f>
        <v>AXW</v>
      </c>
      <c r="E955" s="100" t="str">
        <f>IF($B955&lt;&gt;"",_xlfn.IFNA(VLOOKUP($B955,'Node Details'!$B:$U,E$1,0),"Check"),"")</f>
        <v>Airtel</v>
      </c>
      <c r="F955" s="101">
        <v>46114</v>
      </c>
      <c r="G955" s="103"/>
      <c r="H955" s="102" t="s">
        <v>1260</v>
      </c>
      <c r="I955" s="9">
        <v>4</v>
      </c>
      <c r="J955" s="9">
        <v>65</v>
      </c>
      <c r="K955" s="100">
        <f t="shared" si="121"/>
        <v>260</v>
      </c>
      <c r="L955" s="78">
        <v>46112</v>
      </c>
      <c r="M955" s="103"/>
      <c r="N955" s="93" t="s">
        <v>534</v>
      </c>
      <c r="O955" s="94"/>
      <c r="P955" s="104">
        <f t="shared" si="123"/>
        <v>65</v>
      </c>
      <c r="Q955" s="104">
        <f t="shared" si="124"/>
        <v>260</v>
      </c>
      <c r="R955" s="104"/>
      <c r="S955" s="93" t="s">
        <v>144</v>
      </c>
      <c r="T955" s="94"/>
      <c r="U955" s="104">
        <f t="shared" si="125"/>
        <v>65</v>
      </c>
      <c r="V955" s="104">
        <f t="shared" si="126"/>
        <v>4</v>
      </c>
      <c r="W955" s="103">
        <f t="shared" si="127"/>
        <v>260</v>
      </c>
      <c r="X955" s="93" t="s">
        <v>89</v>
      </c>
      <c r="Y955" s="105" t="s">
        <v>84</v>
      </c>
      <c r="Z955" s="105" t="s">
        <v>93</v>
      </c>
    </row>
    <row r="956" spans="1:26" s="105" customFormat="1" ht="15" customHeight="1">
      <c r="A956" s="99">
        <f t="shared" si="122"/>
        <v>954</v>
      </c>
      <c r="B956" s="75" t="s">
        <v>1126</v>
      </c>
      <c r="C956" s="100" t="str">
        <f>IF($B956&lt;&gt;"",_xlfn.IFNA(VLOOKUP($B956,'Node Details'!$B:$U,C$1,0),"Check"),"")</f>
        <v>AXW220107-AXW220202</v>
      </c>
      <c r="D956" s="100" t="str">
        <f>IF($B956&lt;&gt;"",_xlfn.IFNA(VLOOKUP($B956,'Node Details'!$B:$U,D$1,0),"Check"),"")</f>
        <v>AXW</v>
      </c>
      <c r="E956" s="100" t="str">
        <f>IF($B956&lt;&gt;"",_xlfn.IFNA(VLOOKUP($B956,'Node Details'!$B:$U,E$1,0),"Check"),"")</f>
        <v>Airtel</v>
      </c>
      <c r="F956" s="101">
        <v>46114</v>
      </c>
      <c r="G956" s="103"/>
      <c r="H956" s="102" t="s">
        <v>1260</v>
      </c>
      <c r="I956" s="9">
        <v>2</v>
      </c>
      <c r="J956" s="9">
        <v>65</v>
      </c>
      <c r="K956" s="100">
        <f t="shared" si="121"/>
        <v>130</v>
      </c>
      <c r="L956" s="78">
        <v>46112</v>
      </c>
      <c r="M956" s="103"/>
      <c r="N956" s="93" t="s">
        <v>534</v>
      </c>
      <c r="O956" s="94"/>
      <c r="P956" s="104">
        <f t="shared" si="123"/>
        <v>65</v>
      </c>
      <c r="Q956" s="104">
        <f t="shared" si="124"/>
        <v>130</v>
      </c>
      <c r="R956" s="104"/>
      <c r="S956" s="93" t="s">
        <v>144</v>
      </c>
      <c r="T956" s="94"/>
      <c r="U956" s="104">
        <f t="shared" si="125"/>
        <v>65</v>
      </c>
      <c r="V956" s="104">
        <f t="shared" si="126"/>
        <v>2</v>
      </c>
      <c r="W956" s="103">
        <f t="shared" si="127"/>
        <v>130</v>
      </c>
      <c r="X956" s="93" t="s">
        <v>89</v>
      </c>
      <c r="Y956" s="105" t="s">
        <v>84</v>
      </c>
      <c r="Z956" s="105" t="s">
        <v>93</v>
      </c>
    </row>
    <row r="957" spans="1:26" s="105" customFormat="1" ht="15" customHeight="1">
      <c r="A957" s="99">
        <f t="shared" si="122"/>
        <v>955</v>
      </c>
      <c r="B957" s="75" t="s">
        <v>638</v>
      </c>
      <c r="C957" s="100" t="str">
        <f>IF($B957&lt;&gt;"",_xlfn.IFNA(VLOOKUP($B957,'Node Details'!$B:$U,C$1,0),"Check"),"")</f>
        <v>0000CM301-CM3010102</v>
      </c>
      <c r="D957" s="100" t="str">
        <f>IF($B957&lt;&gt;"",_xlfn.IFNA(VLOOKUP($B957,'Node Details'!$B:$U,D$1,0),"Check"),"")</f>
        <v>CM3</v>
      </c>
      <c r="E957" s="100" t="str">
        <f>IF($B957&lt;&gt;"",_xlfn.IFNA(VLOOKUP($B957,'Node Details'!$B:$U,E$1,0),"Check"),"")</f>
        <v>Airtel</v>
      </c>
      <c r="F957" s="101">
        <v>46149</v>
      </c>
      <c r="G957" s="103"/>
      <c r="H957" s="102" t="s">
        <v>1254</v>
      </c>
      <c r="I957" s="9">
        <v>1</v>
      </c>
      <c r="J957" s="9">
        <v>600</v>
      </c>
      <c r="K957" s="100">
        <f t="shared" si="121"/>
        <v>600</v>
      </c>
      <c r="L957" s="78">
        <v>46142</v>
      </c>
      <c r="M957" s="103"/>
      <c r="N957" s="93" t="s">
        <v>617</v>
      </c>
      <c r="O957" s="94">
        <v>46141</v>
      </c>
      <c r="P957" s="104">
        <f t="shared" ref="P957" si="128">J957</f>
        <v>600</v>
      </c>
      <c r="Q957" s="104">
        <f t="shared" ref="Q957" si="129">P957*I957</f>
        <v>600</v>
      </c>
      <c r="R957" s="104"/>
      <c r="S957" s="93" t="s">
        <v>618</v>
      </c>
      <c r="T957" s="94">
        <v>46156</v>
      </c>
      <c r="U957" s="104">
        <f t="shared" ref="U957" si="130">J957</f>
        <v>600</v>
      </c>
      <c r="V957" s="104">
        <f t="shared" ref="V957" si="131">I957</f>
        <v>1</v>
      </c>
      <c r="W957" s="103">
        <f t="shared" ref="W957" si="132">IF(V957&lt;&gt;"",V957*U957,0)</f>
        <v>600</v>
      </c>
      <c r="X957" s="93" t="s">
        <v>89</v>
      </c>
      <c r="Y957" s="105" t="s">
        <v>84</v>
      </c>
      <c r="Z957" s="105" t="s">
        <v>619</v>
      </c>
    </row>
    <row r="958" spans="1:26" s="105" customFormat="1" ht="15" customHeight="1">
      <c r="A958" s="99">
        <f t="shared" si="122"/>
        <v>956</v>
      </c>
      <c r="B958" s="75" t="s">
        <v>640</v>
      </c>
      <c r="C958" s="100" t="str">
        <f>IF($B958&lt;&gt;"",_xlfn.IFNA(VLOOKUP($B958,'Node Details'!$B:$U,C$1,0),"Check"),"")</f>
        <v>0000CM301-CM3010101</v>
      </c>
      <c r="D958" s="100" t="str">
        <f>IF($B958&lt;&gt;"",_xlfn.IFNA(VLOOKUP($B958,'Node Details'!$B:$U,D$1,0),"Check"),"")</f>
        <v>CM3</v>
      </c>
      <c r="E958" s="100" t="str">
        <f>IF($B958&lt;&gt;"",_xlfn.IFNA(VLOOKUP($B958,'Node Details'!$B:$U,E$1,0),"Check"),"")</f>
        <v>Airtel</v>
      </c>
      <c r="F958" s="101">
        <v>46149</v>
      </c>
      <c r="G958" s="103"/>
      <c r="H958" s="102" t="s">
        <v>1254</v>
      </c>
      <c r="I958" s="9">
        <v>1</v>
      </c>
      <c r="J958" s="9">
        <v>600</v>
      </c>
      <c r="K958" s="100">
        <f t="shared" ref="K958:K1021" si="133">IF(I958&lt;&gt;"",J958*I958,0)</f>
        <v>600</v>
      </c>
      <c r="L958" s="78">
        <v>46142</v>
      </c>
      <c r="M958" s="103"/>
      <c r="N958" s="93" t="s">
        <v>617</v>
      </c>
      <c r="O958" s="94">
        <v>46141</v>
      </c>
      <c r="P958" s="104">
        <f t="shared" ref="P958:P1021" si="134">J958</f>
        <v>600</v>
      </c>
      <c r="Q958" s="104">
        <f t="shared" ref="Q958:Q1021" si="135">P958*I958</f>
        <v>600</v>
      </c>
      <c r="R958" s="104"/>
      <c r="S958" s="93" t="s">
        <v>618</v>
      </c>
      <c r="T958" s="94">
        <v>46156</v>
      </c>
      <c r="U958" s="104">
        <f t="shared" ref="U958:U1021" si="136">J958</f>
        <v>600</v>
      </c>
      <c r="V958" s="104">
        <f t="shared" ref="V958:V1021" si="137">I958</f>
        <v>1</v>
      </c>
      <c r="W958" s="103">
        <f t="shared" ref="W958:W1021" si="138">IF(V958&lt;&gt;"",V958*U958,0)</f>
        <v>600</v>
      </c>
      <c r="X958" s="93" t="s">
        <v>89</v>
      </c>
      <c r="Y958" s="105" t="s">
        <v>84</v>
      </c>
      <c r="Z958" s="105" t="s">
        <v>619</v>
      </c>
    </row>
    <row r="959" spans="1:26" s="105" customFormat="1" ht="15" customHeight="1">
      <c r="A959" s="99">
        <f t="shared" si="122"/>
        <v>957</v>
      </c>
      <c r="B959" s="75" t="s">
        <v>1129</v>
      </c>
      <c r="C959" s="100" t="str">
        <f>IF($B959&lt;&gt;"",_xlfn.IFNA(VLOOKUP($B959,'Node Details'!$B:$U,C$1,0),"Check"),"")</f>
        <v>0000CM301-CM3010106</v>
      </c>
      <c r="D959" s="100" t="str">
        <f>IF($B959&lt;&gt;"",_xlfn.IFNA(VLOOKUP($B959,'Node Details'!$B:$U,D$1,0),"Check"),"")</f>
        <v>CM3</v>
      </c>
      <c r="E959" s="100" t="str">
        <f>IF($B959&lt;&gt;"",_xlfn.IFNA(VLOOKUP($B959,'Node Details'!$B:$U,E$1,0),"Check"),"")</f>
        <v>Airtel</v>
      </c>
      <c r="F959" s="101">
        <v>46149</v>
      </c>
      <c r="G959" s="103"/>
      <c r="H959" s="102" t="s">
        <v>1254</v>
      </c>
      <c r="I959" s="9">
        <v>1</v>
      </c>
      <c r="J959" s="9">
        <v>600</v>
      </c>
      <c r="K959" s="100">
        <f t="shared" si="133"/>
        <v>600</v>
      </c>
      <c r="L959" s="78">
        <v>46142</v>
      </c>
      <c r="M959" s="103"/>
      <c r="N959" s="93" t="s">
        <v>617</v>
      </c>
      <c r="O959" s="94">
        <v>46141</v>
      </c>
      <c r="P959" s="104">
        <f t="shared" si="134"/>
        <v>600</v>
      </c>
      <c r="Q959" s="104">
        <f t="shared" si="135"/>
        <v>600</v>
      </c>
      <c r="R959" s="104"/>
      <c r="S959" s="93" t="s">
        <v>618</v>
      </c>
      <c r="T959" s="94">
        <v>46156</v>
      </c>
      <c r="U959" s="104">
        <f t="shared" si="136"/>
        <v>600</v>
      </c>
      <c r="V959" s="104">
        <f t="shared" si="137"/>
        <v>1</v>
      </c>
      <c r="W959" s="103">
        <f t="shared" si="138"/>
        <v>600</v>
      </c>
      <c r="X959" s="93" t="s">
        <v>89</v>
      </c>
      <c r="Y959" s="105" t="s">
        <v>84</v>
      </c>
      <c r="Z959" s="105" t="s">
        <v>619</v>
      </c>
    </row>
    <row r="960" spans="1:26" s="105" customFormat="1" ht="15" customHeight="1">
      <c r="A960" s="99">
        <f t="shared" si="122"/>
        <v>958</v>
      </c>
      <c r="B960" s="75" t="s">
        <v>1130</v>
      </c>
      <c r="C960" s="100" t="str">
        <f>IF($B960&lt;&gt;"",_xlfn.IFNA(VLOOKUP($B960,'Node Details'!$B:$U,C$1,0),"Check"),"")</f>
        <v>0000CM301-CM3010106</v>
      </c>
      <c r="D960" s="100" t="str">
        <f>IF($B960&lt;&gt;"",_xlfn.IFNA(VLOOKUP($B960,'Node Details'!$B:$U,D$1,0),"Check"),"")</f>
        <v>CM3</v>
      </c>
      <c r="E960" s="100" t="str">
        <f>IF($B960&lt;&gt;"",_xlfn.IFNA(VLOOKUP($B960,'Node Details'!$B:$U,E$1,0),"Check"),"")</f>
        <v>Airtel</v>
      </c>
      <c r="F960" s="101">
        <v>46149</v>
      </c>
      <c r="G960" s="103"/>
      <c r="H960" s="102" t="s">
        <v>1254</v>
      </c>
      <c r="I960" s="9">
        <v>1</v>
      </c>
      <c r="J960" s="9">
        <v>600</v>
      </c>
      <c r="K960" s="100">
        <f t="shared" si="133"/>
        <v>600</v>
      </c>
      <c r="L960" s="78">
        <v>46142</v>
      </c>
      <c r="M960" s="103"/>
      <c r="N960" s="93" t="s">
        <v>617</v>
      </c>
      <c r="O960" s="94">
        <v>46141</v>
      </c>
      <c r="P960" s="104">
        <f t="shared" si="134"/>
        <v>600</v>
      </c>
      <c r="Q960" s="104">
        <f t="shared" si="135"/>
        <v>600</v>
      </c>
      <c r="R960" s="104"/>
      <c r="S960" s="93" t="s">
        <v>618</v>
      </c>
      <c r="T960" s="94">
        <v>46156</v>
      </c>
      <c r="U960" s="104">
        <f t="shared" si="136"/>
        <v>600</v>
      </c>
      <c r="V960" s="104">
        <f t="shared" si="137"/>
        <v>1</v>
      </c>
      <c r="W960" s="103">
        <f t="shared" si="138"/>
        <v>600</v>
      </c>
      <c r="X960" s="93" t="s">
        <v>89</v>
      </c>
      <c r="Y960" s="105" t="s">
        <v>84</v>
      </c>
      <c r="Z960" s="105" t="s">
        <v>619</v>
      </c>
    </row>
    <row r="961" spans="1:26" s="105" customFormat="1" ht="15" customHeight="1">
      <c r="A961" s="99">
        <f t="shared" si="122"/>
        <v>959</v>
      </c>
      <c r="B961" s="75" t="s">
        <v>1131</v>
      </c>
      <c r="C961" s="100" t="str">
        <f>IF($B961&lt;&gt;"",_xlfn.IFNA(VLOOKUP($B961,'Node Details'!$B:$U,C$1,0),"Check"),"")</f>
        <v>0000CM301-CM3010106</v>
      </c>
      <c r="D961" s="100" t="str">
        <f>IF($B961&lt;&gt;"",_xlfn.IFNA(VLOOKUP($B961,'Node Details'!$B:$U,D$1,0),"Check"),"")</f>
        <v>CM3</v>
      </c>
      <c r="E961" s="100" t="str">
        <f>IF($B961&lt;&gt;"",_xlfn.IFNA(VLOOKUP($B961,'Node Details'!$B:$U,E$1,0),"Check"),"")</f>
        <v>Airtel</v>
      </c>
      <c r="F961" s="101">
        <v>46149</v>
      </c>
      <c r="G961" s="103"/>
      <c r="H961" s="102" t="s">
        <v>1254</v>
      </c>
      <c r="I961" s="9">
        <v>1</v>
      </c>
      <c r="J961" s="9">
        <v>600</v>
      </c>
      <c r="K961" s="100">
        <f t="shared" si="133"/>
        <v>600</v>
      </c>
      <c r="L961" s="78">
        <v>46142</v>
      </c>
      <c r="M961" s="103"/>
      <c r="N961" s="93" t="s">
        <v>617</v>
      </c>
      <c r="O961" s="94">
        <v>46141</v>
      </c>
      <c r="P961" s="104">
        <f t="shared" si="134"/>
        <v>600</v>
      </c>
      <c r="Q961" s="104">
        <f t="shared" si="135"/>
        <v>600</v>
      </c>
      <c r="R961" s="104"/>
      <c r="S961" s="93" t="s">
        <v>618</v>
      </c>
      <c r="T961" s="94">
        <v>46156</v>
      </c>
      <c r="U961" s="104">
        <f t="shared" si="136"/>
        <v>600</v>
      </c>
      <c r="V961" s="104">
        <f t="shared" si="137"/>
        <v>1</v>
      </c>
      <c r="W961" s="103">
        <f t="shared" si="138"/>
        <v>600</v>
      </c>
      <c r="X961" s="93" t="s">
        <v>89</v>
      </c>
      <c r="Y961" s="105" t="s">
        <v>84</v>
      </c>
      <c r="Z961" s="105" t="s">
        <v>619</v>
      </c>
    </row>
    <row r="962" spans="1:26" s="105" customFormat="1" ht="15" customHeight="1">
      <c r="A962" s="99">
        <f t="shared" si="122"/>
        <v>960</v>
      </c>
      <c r="B962" s="75" t="s">
        <v>642</v>
      </c>
      <c r="C962" s="100" t="str">
        <f>IF($B962&lt;&gt;"",_xlfn.IFNA(VLOOKUP($B962,'Node Details'!$B:$U,C$1,0),"Check"),"")</f>
        <v>0000CM301-CM3010106</v>
      </c>
      <c r="D962" s="100" t="str">
        <f>IF($B962&lt;&gt;"",_xlfn.IFNA(VLOOKUP($B962,'Node Details'!$B:$U,D$1,0),"Check"),"")</f>
        <v>CM3</v>
      </c>
      <c r="E962" s="100" t="str">
        <f>IF($B962&lt;&gt;"",_xlfn.IFNA(VLOOKUP($B962,'Node Details'!$B:$U,E$1,0),"Check"),"")</f>
        <v>Airtel</v>
      </c>
      <c r="F962" s="101">
        <v>46149</v>
      </c>
      <c r="G962" s="103"/>
      <c r="H962" s="102" t="s">
        <v>1254</v>
      </c>
      <c r="I962" s="9">
        <v>1</v>
      </c>
      <c r="J962" s="9">
        <v>600</v>
      </c>
      <c r="K962" s="100">
        <f t="shared" si="133"/>
        <v>600</v>
      </c>
      <c r="L962" s="78">
        <v>46142</v>
      </c>
      <c r="M962" s="103"/>
      <c r="N962" s="93" t="s">
        <v>617</v>
      </c>
      <c r="O962" s="94">
        <v>46141</v>
      </c>
      <c r="P962" s="104">
        <f t="shared" si="134"/>
        <v>600</v>
      </c>
      <c r="Q962" s="104">
        <f t="shared" si="135"/>
        <v>600</v>
      </c>
      <c r="R962" s="104"/>
      <c r="S962" s="93" t="s">
        <v>618</v>
      </c>
      <c r="T962" s="94">
        <v>46156</v>
      </c>
      <c r="U962" s="104">
        <f t="shared" si="136"/>
        <v>600</v>
      </c>
      <c r="V962" s="104">
        <f t="shared" si="137"/>
        <v>1</v>
      </c>
      <c r="W962" s="103">
        <f t="shared" si="138"/>
        <v>600</v>
      </c>
      <c r="X962" s="93" t="s">
        <v>89</v>
      </c>
      <c r="Y962" s="105" t="s">
        <v>84</v>
      </c>
      <c r="Z962" s="105" t="s">
        <v>619</v>
      </c>
    </row>
    <row r="963" spans="1:26" s="105" customFormat="1" ht="15" customHeight="1">
      <c r="A963" s="99">
        <f t="shared" si="122"/>
        <v>961</v>
      </c>
      <c r="B963" s="75" t="s">
        <v>645</v>
      </c>
      <c r="C963" s="100" t="str">
        <f>IF($B963&lt;&gt;"",_xlfn.IFNA(VLOOKUP($B963,'Node Details'!$B:$U,C$1,0),"Check"),"")</f>
        <v>0000CM302-CM3020101</v>
      </c>
      <c r="D963" s="100" t="str">
        <f>IF($B963&lt;&gt;"",_xlfn.IFNA(VLOOKUP($B963,'Node Details'!$B:$U,D$1,0),"Check"),"")</f>
        <v>CM3</v>
      </c>
      <c r="E963" s="100" t="str">
        <f>IF($B963&lt;&gt;"",_xlfn.IFNA(VLOOKUP($B963,'Node Details'!$B:$U,E$1,0),"Check"),"")</f>
        <v>Airtel</v>
      </c>
      <c r="F963" s="101">
        <v>46149</v>
      </c>
      <c r="G963" s="103"/>
      <c r="H963" s="102" t="s">
        <v>1254</v>
      </c>
      <c r="I963" s="9">
        <v>1</v>
      </c>
      <c r="J963" s="9">
        <v>600</v>
      </c>
      <c r="K963" s="100">
        <f t="shared" si="133"/>
        <v>600</v>
      </c>
      <c r="L963" s="78">
        <v>46142</v>
      </c>
      <c r="M963" s="103"/>
      <c r="N963" s="93" t="s">
        <v>617</v>
      </c>
      <c r="O963" s="94">
        <v>46141</v>
      </c>
      <c r="P963" s="104">
        <f t="shared" si="134"/>
        <v>600</v>
      </c>
      <c r="Q963" s="104">
        <f t="shared" si="135"/>
        <v>600</v>
      </c>
      <c r="R963" s="104"/>
      <c r="S963" s="93" t="s">
        <v>618</v>
      </c>
      <c r="T963" s="94">
        <v>46156</v>
      </c>
      <c r="U963" s="104">
        <f t="shared" si="136"/>
        <v>600</v>
      </c>
      <c r="V963" s="104">
        <f t="shared" si="137"/>
        <v>1</v>
      </c>
      <c r="W963" s="103">
        <f t="shared" si="138"/>
        <v>600</v>
      </c>
      <c r="X963" s="93" t="s">
        <v>89</v>
      </c>
      <c r="Y963" s="105" t="s">
        <v>84</v>
      </c>
      <c r="Z963" s="105" t="s">
        <v>619</v>
      </c>
    </row>
    <row r="964" spans="1:26" s="105" customFormat="1" ht="15" customHeight="1">
      <c r="A964" s="99">
        <f t="shared" si="122"/>
        <v>962</v>
      </c>
      <c r="B964" s="75" t="s">
        <v>1132</v>
      </c>
      <c r="C964" s="100" t="str">
        <f>IF($B964&lt;&gt;"",_xlfn.IFNA(VLOOKUP($B964,'Node Details'!$B:$U,C$1,0),"Check"),"")</f>
        <v>0000CM302-CM3020104</v>
      </c>
      <c r="D964" s="100" t="str">
        <f>IF($B964&lt;&gt;"",_xlfn.IFNA(VLOOKUP($B964,'Node Details'!$B:$U,D$1,0),"Check"),"")</f>
        <v>CM3</v>
      </c>
      <c r="E964" s="100" t="str">
        <f>IF($B964&lt;&gt;"",_xlfn.IFNA(VLOOKUP($B964,'Node Details'!$B:$U,E$1,0),"Check"),"")</f>
        <v>Airtel</v>
      </c>
      <c r="F964" s="101">
        <v>46149</v>
      </c>
      <c r="G964" s="103"/>
      <c r="H964" s="102" t="s">
        <v>1254</v>
      </c>
      <c r="I964" s="9">
        <v>1</v>
      </c>
      <c r="J964" s="9">
        <v>600</v>
      </c>
      <c r="K964" s="100">
        <f t="shared" si="133"/>
        <v>600</v>
      </c>
      <c r="L964" s="78">
        <v>46142</v>
      </c>
      <c r="M964" s="103"/>
      <c r="N964" s="93" t="s">
        <v>617</v>
      </c>
      <c r="O964" s="94">
        <v>46141</v>
      </c>
      <c r="P964" s="104">
        <f t="shared" si="134"/>
        <v>600</v>
      </c>
      <c r="Q964" s="104">
        <f t="shared" si="135"/>
        <v>600</v>
      </c>
      <c r="R964" s="104"/>
      <c r="S964" s="93" t="s">
        <v>618</v>
      </c>
      <c r="T964" s="94">
        <v>46156</v>
      </c>
      <c r="U964" s="104">
        <f t="shared" si="136"/>
        <v>600</v>
      </c>
      <c r="V964" s="104">
        <f t="shared" si="137"/>
        <v>1</v>
      </c>
      <c r="W964" s="103">
        <f t="shared" si="138"/>
        <v>600</v>
      </c>
      <c r="X964" s="93" t="s">
        <v>89</v>
      </c>
      <c r="Y964" s="105" t="s">
        <v>84</v>
      </c>
      <c r="Z964" s="105" t="s">
        <v>619</v>
      </c>
    </row>
    <row r="965" spans="1:26" s="105" customFormat="1" ht="15" customHeight="1">
      <c r="A965" s="99">
        <f t="shared" ref="A965:A1028" si="139">A964+1</f>
        <v>963</v>
      </c>
      <c r="B965" s="75" t="s">
        <v>1133</v>
      </c>
      <c r="C965" s="100" t="str">
        <f>IF($B965&lt;&gt;"",_xlfn.IFNA(VLOOKUP($B965,'Node Details'!$B:$U,C$1,0),"Check"),"")</f>
        <v>0000CM302-CM3020104</v>
      </c>
      <c r="D965" s="100" t="str">
        <f>IF($B965&lt;&gt;"",_xlfn.IFNA(VLOOKUP($B965,'Node Details'!$B:$U,D$1,0),"Check"),"")</f>
        <v>CM3</v>
      </c>
      <c r="E965" s="100" t="str">
        <f>IF($B965&lt;&gt;"",_xlfn.IFNA(VLOOKUP($B965,'Node Details'!$B:$U,E$1,0),"Check"),"")</f>
        <v>Airtel</v>
      </c>
      <c r="F965" s="101">
        <v>46149</v>
      </c>
      <c r="G965" s="103"/>
      <c r="H965" s="102" t="s">
        <v>1254</v>
      </c>
      <c r="I965" s="9">
        <v>1</v>
      </c>
      <c r="J965" s="9">
        <v>600</v>
      </c>
      <c r="K965" s="100">
        <f t="shared" si="133"/>
        <v>600</v>
      </c>
      <c r="L965" s="78">
        <v>46142</v>
      </c>
      <c r="M965" s="103"/>
      <c r="N965" s="93" t="s">
        <v>617</v>
      </c>
      <c r="O965" s="94">
        <v>46141</v>
      </c>
      <c r="P965" s="104">
        <f t="shared" si="134"/>
        <v>600</v>
      </c>
      <c r="Q965" s="104">
        <f t="shared" si="135"/>
        <v>600</v>
      </c>
      <c r="R965" s="104"/>
      <c r="S965" s="93" t="s">
        <v>618</v>
      </c>
      <c r="T965" s="94">
        <v>46156</v>
      </c>
      <c r="U965" s="104">
        <f t="shared" si="136"/>
        <v>600</v>
      </c>
      <c r="V965" s="104">
        <f t="shared" si="137"/>
        <v>1</v>
      </c>
      <c r="W965" s="103">
        <f t="shared" si="138"/>
        <v>600</v>
      </c>
      <c r="X965" s="93" t="s">
        <v>89</v>
      </c>
      <c r="Y965" s="105" t="s">
        <v>84</v>
      </c>
      <c r="Z965" s="105" t="s">
        <v>619</v>
      </c>
    </row>
    <row r="966" spans="1:26" s="105" customFormat="1" ht="15" customHeight="1">
      <c r="A966" s="99">
        <f t="shared" si="139"/>
        <v>964</v>
      </c>
      <c r="B966" s="75" t="s">
        <v>647</v>
      </c>
      <c r="C966" s="100" t="str">
        <f>IF($B966&lt;&gt;"",_xlfn.IFNA(VLOOKUP($B966,'Node Details'!$B:$U,C$1,0),"Check"),"")</f>
        <v>0000CM302-CM3020104</v>
      </c>
      <c r="D966" s="100" t="str">
        <f>IF($B966&lt;&gt;"",_xlfn.IFNA(VLOOKUP($B966,'Node Details'!$B:$U,D$1,0),"Check"),"")</f>
        <v>CM3</v>
      </c>
      <c r="E966" s="100" t="str">
        <f>IF($B966&lt;&gt;"",_xlfn.IFNA(VLOOKUP($B966,'Node Details'!$B:$U,E$1,0),"Check"),"")</f>
        <v>Airtel</v>
      </c>
      <c r="F966" s="101">
        <v>46149</v>
      </c>
      <c r="G966" s="103"/>
      <c r="H966" s="102" t="s">
        <v>1254</v>
      </c>
      <c r="I966" s="9">
        <v>1</v>
      </c>
      <c r="J966" s="9">
        <v>600</v>
      </c>
      <c r="K966" s="100">
        <f t="shared" si="133"/>
        <v>600</v>
      </c>
      <c r="L966" s="78">
        <v>46142</v>
      </c>
      <c r="M966" s="103"/>
      <c r="N966" s="93" t="s">
        <v>617</v>
      </c>
      <c r="O966" s="94">
        <v>46141</v>
      </c>
      <c r="P966" s="104">
        <f t="shared" si="134"/>
        <v>600</v>
      </c>
      <c r="Q966" s="104">
        <f t="shared" si="135"/>
        <v>600</v>
      </c>
      <c r="R966" s="104"/>
      <c r="S966" s="93" t="s">
        <v>618</v>
      </c>
      <c r="T966" s="94">
        <v>46156</v>
      </c>
      <c r="U966" s="104">
        <f t="shared" si="136"/>
        <v>600</v>
      </c>
      <c r="V966" s="104">
        <f t="shared" si="137"/>
        <v>1</v>
      </c>
      <c r="W966" s="103">
        <f t="shared" si="138"/>
        <v>600</v>
      </c>
      <c r="X966" s="93" t="s">
        <v>89</v>
      </c>
      <c r="Y966" s="105" t="s">
        <v>84</v>
      </c>
      <c r="Z966" s="105" t="s">
        <v>619</v>
      </c>
    </row>
    <row r="967" spans="1:26" s="105" customFormat="1" ht="15" customHeight="1">
      <c r="A967" s="99">
        <f t="shared" si="139"/>
        <v>965</v>
      </c>
      <c r="B967" s="75" t="s">
        <v>650</v>
      </c>
      <c r="C967" s="100" t="str">
        <f>IF($B967&lt;&gt;"",_xlfn.IFNA(VLOOKUP($B967,'Node Details'!$B:$U,C$1,0),"Check"),"")</f>
        <v>0000CM303-CM3030105</v>
      </c>
      <c r="D967" s="100" t="str">
        <f>IF($B967&lt;&gt;"",_xlfn.IFNA(VLOOKUP($B967,'Node Details'!$B:$U,D$1,0),"Check"),"")</f>
        <v>CM3</v>
      </c>
      <c r="E967" s="100" t="str">
        <f>IF($B967&lt;&gt;"",_xlfn.IFNA(VLOOKUP($B967,'Node Details'!$B:$U,E$1,0),"Check"),"")</f>
        <v>Airtel</v>
      </c>
      <c r="F967" s="101">
        <v>46149</v>
      </c>
      <c r="G967" s="103"/>
      <c r="H967" s="102" t="s">
        <v>1254</v>
      </c>
      <c r="I967" s="9">
        <v>1</v>
      </c>
      <c r="J967" s="9">
        <v>600</v>
      </c>
      <c r="K967" s="100">
        <f t="shared" si="133"/>
        <v>600</v>
      </c>
      <c r="L967" s="78">
        <v>46142</v>
      </c>
      <c r="M967" s="103"/>
      <c r="N967" s="93" t="s">
        <v>617</v>
      </c>
      <c r="O967" s="94">
        <v>46141</v>
      </c>
      <c r="P967" s="104">
        <f t="shared" si="134"/>
        <v>600</v>
      </c>
      <c r="Q967" s="104">
        <f t="shared" si="135"/>
        <v>600</v>
      </c>
      <c r="R967" s="104"/>
      <c r="S967" s="93" t="s">
        <v>618</v>
      </c>
      <c r="T967" s="94">
        <v>46156</v>
      </c>
      <c r="U967" s="104">
        <f t="shared" si="136"/>
        <v>600</v>
      </c>
      <c r="V967" s="104">
        <f t="shared" si="137"/>
        <v>1</v>
      </c>
      <c r="W967" s="103">
        <f t="shared" si="138"/>
        <v>600</v>
      </c>
      <c r="X967" s="93" t="s">
        <v>89</v>
      </c>
      <c r="Y967" s="105" t="s">
        <v>84</v>
      </c>
      <c r="Z967" s="105" t="s">
        <v>619</v>
      </c>
    </row>
    <row r="968" spans="1:26" s="105" customFormat="1" ht="15" customHeight="1">
      <c r="A968" s="99">
        <f t="shared" si="139"/>
        <v>966</v>
      </c>
      <c r="B968" s="75" t="s">
        <v>1134</v>
      </c>
      <c r="C968" s="100" t="str">
        <f>IF($B968&lt;&gt;"",_xlfn.IFNA(VLOOKUP($B968,'Node Details'!$B:$U,C$1,0),"Check"),"")</f>
        <v>0000CM303-CM3030102</v>
      </c>
      <c r="D968" s="100" t="str">
        <f>IF($B968&lt;&gt;"",_xlfn.IFNA(VLOOKUP($B968,'Node Details'!$B:$U,D$1,0),"Check"),"")</f>
        <v>CM3</v>
      </c>
      <c r="E968" s="100" t="str">
        <f>IF($B968&lt;&gt;"",_xlfn.IFNA(VLOOKUP($B968,'Node Details'!$B:$U,E$1,0),"Check"),"")</f>
        <v>Airtel</v>
      </c>
      <c r="F968" s="101">
        <v>46149</v>
      </c>
      <c r="G968" s="103"/>
      <c r="H968" s="102" t="s">
        <v>1254</v>
      </c>
      <c r="I968" s="9">
        <v>1</v>
      </c>
      <c r="J968" s="9">
        <v>600</v>
      </c>
      <c r="K968" s="100">
        <f t="shared" si="133"/>
        <v>600</v>
      </c>
      <c r="L968" s="78">
        <v>46142</v>
      </c>
      <c r="M968" s="103"/>
      <c r="N968" s="93" t="s">
        <v>617</v>
      </c>
      <c r="O968" s="94">
        <v>46141</v>
      </c>
      <c r="P968" s="104">
        <f t="shared" si="134"/>
        <v>600</v>
      </c>
      <c r="Q968" s="104">
        <f t="shared" si="135"/>
        <v>600</v>
      </c>
      <c r="R968" s="104"/>
      <c r="S968" s="93" t="s">
        <v>618</v>
      </c>
      <c r="T968" s="94">
        <v>46156</v>
      </c>
      <c r="U968" s="104">
        <f t="shared" si="136"/>
        <v>600</v>
      </c>
      <c r="V968" s="104">
        <f t="shared" si="137"/>
        <v>1</v>
      </c>
      <c r="W968" s="103">
        <f t="shared" si="138"/>
        <v>600</v>
      </c>
      <c r="X968" s="93" t="s">
        <v>89</v>
      </c>
      <c r="Y968" s="105" t="s">
        <v>84</v>
      </c>
      <c r="Z968" s="105" t="s">
        <v>619</v>
      </c>
    </row>
    <row r="969" spans="1:26" s="105" customFormat="1" ht="15" customHeight="1">
      <c r="A969" s="99">
        <f t="shared" si="139"/>
        <v>967</v>
      </c>
      <c r="B969" s="75" t="s">
        <v>652</v>
      </c>
      <c r="C969" s="100" t="str">
        <f>IF($B969&lt;&gt;"",_xlfn.IFNA(VLOOKUP($B969,'Node Details'!$B:$U,C$1,0),"Check"),"")</f>
        <v>0000CM303-CM3030102</v>
      </c>
      <c r="D969" s="100" t="str">
        <f>IF($B969&lt;&gt;"",_xlfn.IFNA(VLOOKUP($B969,'Node Details'!$B:$U,D$1,0),"Check"),"")</f>
        <v>CM3</v>
      </c>
      <c r="E969" s="100" t="str">
        <f>IF($B969&lt;&gt;"",_xlfn.IFNA(VLOOKUP($B969,'Node Details'!$B:$U,E$1,0),"Check"),"")</f>
        <v>Airtel</v>
      </c>
      <c r="F969" s="101">
        <v>46149</v>
      </c>
      <c r="G969" s="103"/>
      <c r="H969" s="102" t="s">
        <v>1254</v>
      </c>
      <c r="I969" s="9">
        <v>1</v>
      </c>
      <c r="J969" s="9">
        <v>600</v>
      </c>
      <c r="K969" s="100">
        <f t="shared" si="133"/>
        <v>600</v>
      </c>
      <c r="L969" s="78">
        <v>46142</v>
      </c>
      <c r="M969" s="103"/>
      <c r="N969" s="93" t="s">
        <v>617</v>
      </c>
      <c r="O969" s="94">
        <v>46141</v>
      </c>
      <c r="P969" s="104">
        <f t="shared" si="134"/>
        <v>600</v>
      </c>
      <c r="Q969" s="104">
        <f t="shared" si="135"/>
        <v>600</v>
      </c>
      <c r="R969" s="104"/>
      <c r="S969" s="93" t="s">
        <v>618</v>
      </c>
      <c r="T969" s="94">
        <v>46156</v>
      </c>
      <c r="U969" s="104">
        <f t="shared" si="136"/>
        <v>600</v>
      </c>
      <c r="V969" s="104">
        <f t="shared" si="137"/>
        <v>1</v>
      </c>
      <c r="W969" s="103">
        <f t="shared" si="138"/>
        <v>600</v>
      </c>
      <c r="X969" s="93" t="s">
        <v>89</v>
      </c>
      <c r="Y969" s="105" t="s">
        <v>84</v>
      </c>
      <c r="Z969" s="105" t="s">
        <v>619</v>
      </c>
    </row>
    <row r="970" spans="1:26" s="105" customFormat="1" ht="15" customHeight="1">
      <c r="A970" s="99">
        <f t="shared" si="139"/>
        <v>968</v>
      </c>
      <c r="B970" s="75" t="s">
        <v>654</v>
      </c>
      <c r="C970" s="100" t="str">
        <f>IF($B970&lt;&gt;"",_xlfn.IFNA(VLOOKUP($B970,'Node Details'!$B:$U,C$1,0),"Check"),"")</f>
        <v>0000CM303-CM3030103</v>
      </c>
      <c r="D970" s="100" t="str">
        <f>IF($B970&lt;&gt;"",_xlfn.IFNA(VLOOKUP($B970,'Node Details'!$B:$U,D$1,0),"Check"),"")</f>
        <v>CM3</v>
      </c>
      <c r="E970" s="100" t="str">
        <f>IF($B970&lt;&gt;"",_xlfn.IFNA(VLOOKUP($B970,'Node Details'!$B:$U,E$1,0),"Check"),"")</f>
        <v>Airtel</v>
      </c>
      <c r="F970" s="101">
        <v>46149</v>
      </c>
      <c r="G970" s="103"/>
      <c r="H970" s="102" t="s">
        <v>1254</v>
      </c>
      <c r="I970" s="9">
        <v>1</v>
      </c>
      <c r="J970" s="9">
        <v>600</v>
      </c>
      <c r="K970" s="100">
        <f t="shared" si="133"/>
        <v>600</v>
      </c>
      <c r="L970" s="78">
        <v>46142</v>
      </c>
      <c r="M970" s="103"/>
      <c r="N970" s="93" t="s">
        <v>617</v>
      </c>
      <c r="O970" s="94">
        <v>46141</v>
      </c>
      <c r="P970" s="104">
        <f t="shared" si="134"/>
        <v>600</v>
      </c>
      <c r="Q970" s="104">
        <f t="shared" si="135"/>
        <v>600</v>
      </c>
      <c r="R970" s="104"/>
      <c r="S970" s="93" t="s">
        <v>618</v>
      </c>
      <c r="T970" s="94">
        <v>46156</v>
      </c>
      <c r="U970" s="104">
        <f t="shared" si="136"/>
        <v>600</v>
      </c>
      <c r="V970" s="104">
        <f t="shared" si="137"/>
        <v>1</v>
      </c>
      <c r="W970" s="103">
        <f t="shared" si="138"/>
        <v>600</v>
      </c>
      <c r="X970" s="93" t="s">
        <v>89</v>
      </c>
      <c r="Y970" s="105" t="s">
        <v>84</v>
      </c>
      <c r="Z970" s="105" t="s">
        <v>619</v>
      </c>
    </row>
    <row r="971" spans="1:26" s="105" customFormat="1" ht="15" customHeight="1">
      <c r="A971" s="99">
        <f t="shared" si="139"/>
        <v>969</v>
      </c>
      <c r="B971" s="75" t="s">
        <v>1135</v>
      </c>
      <c r="C971" s="100" t="str">
        <f>IF($B971&lt;&gt;"",_xlfn.IFNA(VLOOKUP($B971,'Node Details'!$B:$U,C$1,0),"Check"),"")</f>
        <v>0000CM303-CM3030108</v>
      </c>
      <c r="D971" s="100" t="str">
        <f>IF($B971&lt;&gt;"",_xlfn.IFNA(VLOOKUP($B971,'Node Details'!$B:$U,D$1,0),"Check"),"")</f>
        <v>CM3</v>
      </c>
      <c r="E971" s="100" t="str">
        <f>IF($B971&lt;&gt;"",_xlfn.IFNA(VLOOKUP($B971,'Node Details'!$B:$U,E$1,0),"Check"),"")</f>
        <v>Airtel</v>
      </c>
      <c r="F971" s="101">
        <v>46149</v>
      </c>
      <c r="G971" s="103"/>
      <c r="H971" s="102" t="s">
        <v>1254</v>
      </c>
      <c r="I971" s="9">
        <v>1</v>
      </c>
      <c r="J971" s="9">
        <v>600</v>
      </c>
      <c r="K971" s="100">
        <f t="shared" si="133"/>
        <v>600</v>
      </c>
      <c r="L971" s="78">
        <v>46142</v>
      </c>
      <c r="M971" s="103"/>
      <c r="N971" s="93" t="s">
        <v>617</v>
      </c>
      <c r="O971" s="94">
        <v>46141</v>
      </c>
      <c r="P971" s="104">
        <f t="shared" si="134"/>
        <v>600</v>
      </c>
      <c r="Q971" s="104">
        <f t="shared" si="135"/>
        <v>600</v>
      </c>
      <c r="R971" s="104"/>
      <c r="S971" s="93" t="s">
        <v>618</v>
      </c>
      <c r="T971" s="94">
        <v>46156</v>
      </c>
      <c r="U971" s="104">
        <f t="shared" si="136"/>
        <v>600</v>
      </c>
      <c r="V971" s="104">
        <f t="shared" si="137"/>
        <v>1</v>
      </c>
      <c r="W971" s="103">
        <f t="shared" si="138"/>
        <v>600</v>
      </c>
      <c r="X971" s="93" t="s">
        <v>89</v>
      </c>
      <c r="Y971" s="105" t="s">
        <v>84</v>
      </c>
      <c r="Z971" s="105" t="s">
        <v>619</v>
      </c>
    </row>
    <row r="972" spans="1:26" s="105" customFormat="1" ht="15" customHeight="1">
      <c r="A972" s="99">
        <f t="shared" si="139"/>
        <v>970</v>
      </c>
      <c r="B972" s="75" t="s">
        <v>1136</v>
      </c>
      <c r="C972" s="100" t="str">
        <f>IF($B972&lt;&gt;"",_xlfn.IFNA(VLOOKUP($B972,'Node Details'!$B:$U,C$1,0),"Check"),"")</f>
        <v>0000CM303-CM3030108</v>
      </c>
      <c r="D972" s="100" t="str">
        <f>IF($B972&lt;&gt;"",_xlfn.IFNA(VLOOKUP($B972,'Node Details'!$B:$U,D$1,0),"Check"),"")</f>
        <v>CM3</v>
      </c>
      <c r="E972" s="100" t="str">
        <f>IF($B972&lt;&gt;"",_xlfn.IFNA(VLOOKUP($B972,'Node Details'!$B:$U,E$1,0),"Check"),"")</f>
        <v>Airtel</v>
      </c>
      <c r="F972" s="101">
        <v>46149</v>
      </c>
      <c r="G972" s="103"/>
      <c r="H972" s="102" t="s">
        <v>1254</v>
      </c>
      <c r="I972" s="9">
        <v>1</v>
      </c>
      <c r="J972" s="9">
        <v>600</v>
      </c>
      <c r="K972" s="100">
        <f t="shared" si="133"/>
        <v>600</v>
      </c>
      <c r="L972" s="78">
        <v>46142</v>
      </c>
      <c r="M972" s="103"/>
      <c r="N972" s="93" t="s">
        <v>617</v>
      </c>
      <c r="O972" s="94">
        <v>46141</v>
      </c>
      <c r="P972" s="104">
        <f t="shared" si="134"/>
        <v>600</v>
      </c>
      <c r="Q972" s="104">
        <f t="shared" si="135"/>
        <v>600</v>
      </c>
      <c r="R972" s="104"/>
      <c r="S972" s="93" t="s">
        <v>618</v>
      </c>
      <c r="T972" s="94">
        <v>46156</v>
      </c>
      <c r="U972" s="104">
        <f t="shared" si="136"/>
        <v>600</v>
      </c>
      <c r="V972" s="104">
        <f t="shared" si="137"/>
        <v>1</v>
      </c>
      <c r="W972" s="103">
        <f t="shared" si="138"/>
        <v>600</v>
      </c>
      <c r="X972" s="93" t="s">
        <v>89</v>
      </c>
      <c r="Y972" s="105" t="s">
        <v>84</v>
      </c>
      <c r="Z972" s="105" t="s">
        <v>619</v>
      </c>
    </row>
    <row r="973" spans="1:26" s="105" customFormat="1" ht="15" customHeight="1">
      <c r="A973" s="99">
        <f t="shared" si="139"/>
        <v>971</v>
      </c>
      <c r="B973" s="75" t="s">
        <v>656</v>
      </c>
      <c r="C973" s="100" t="str">
        <f>IF($B973&lt;&gt;"",_xlfn.IFNA(VLOOKUP($B973,'Node Details'!$B:$U,C$1,0),"Check"),"")</f>
        <v>0000CM303-CM3030108</v>
      </c>
      <c r="D973" s="100" t="str">
        <f>IF($B973&lt;&gt;"",_xlfn.IFNA(VLOOKUP($B973,'Node Details'!$B:$U,D$1,0),"Check"),"")</f>
        <v>CM3</v>
      </c>
      <c r="E973" s="100" t="str">
        <f>IF($B973&lt;&gt;"",_xlfn.IFNA(VLOOKUP($B973,'Node Details'!$B:$U,E$1,0),"Check"),"")</f>
        <v>Airtel</v>
      </c>
      <c r="F973" s="101">
        <v>46149</v>
      </c>
      <c r="G973" s="103"/>
      <c r="H973" s="102" t="s">
        <v>1254</v>
      </c>
      <c r="I973" s="9">
        <v>1</v>
      </c>
      <c r="J973" s="9">
        <v>600</v>
      </c>
      <c r="K973" s="100">
        <f t="shared" si="133"/>
        <v>600</v>
      </c>
      <c r="L973" s="78">
        <v>46142</v>
      </c>
      <c r="M973" s="103"/>
      <c r="N973" s="93" t="s">
        <v>617</v>
      </c>
      <c r="O973" s="94">
        <v>46141</v>
      </c>
      <c r="P973" s="104">
        <f t="shared" si="134"/>
        <v>600</v>
      </c>
      <c r="Q973" s="104">
        <f t="shared" si="135"/>
        <v>600</v>
      </c>
      <c r="R973" s="104"/>
      <c r="S973" s="93" t="s">
        <v>618</v>
      </c>
      <c r="T973" s="94">
        <v>46156</v>
      </c>
      <c r="U973" s="104">
        <f t="shared" si="136"/>
        <v>600</v>
      </c>
      <c r="V973" s="104">
        <f t="shared" si="137"/>
        <v>1</v>
      </c>
      <c r="W973" s="103">
        <f t="shared" si="138"/>
        <v>600</v>
      </c>
      <c r="X973" s="93" t="s">
        <v>89</v>
      </c>
      <c r="Y973" s="105" t="s">
        <v>84</v>
      </c>
      <c r="Z973" s="105" t="s">
        <v>619</v>
      </c>
    </row>
    <row r="974" spans="1:26" s="105" customFormat="1" ht="15" customHeight="1">
      <c r="A974" s="99">
        <f t="shared" si="139"/>
        <v>972</v>
      </c>
      <c r="B974" s="75" t="s">
        <v>658</v>
      </c>
      <c r="C974" s="100" t="str">
        <f>IF($B974&lt;&gt;"",_xlfn.IFNA(VLOOKUP($B974,'Node Details'!$B:$U,C$1,0),"Check"),"")</f>
        <v>0000CM304-CM3040101</v>
      </c>
      <c r="D974" s="100" t="str">
        <f>IF($B974&lt;&gt;"",_xlfn.IFNA(VLOOKUP($B974,'Node Details'!$B:$U,D$1,0),"Check"),"")</f>
        <v>CM3</v>
      </c>
      <c r="E974" s="100" t="str">
        <f>IF($B974&lt;&gt;"",_xlfn.IFNA(VLOOKUP($B974,'Node Details'!$B:$U,E$1,0),"Check"),"")</f>
        <v>Airtel</v>
      </c>
      <c r="F974" s="101">
        <v>46149</v>
      </c>
      <c r="G974" s="103"/>
      <c r="H974" s="102" t="s">
        <v>1254</v>
      </c>
      <c r="I974" s="9">
        <v>1</v>
      </c>
      <c r="J974" s="9">
        <v>600</v>
      </c>
      <c r="K974" s="100">
        <f t="shared" si="133"/>
        <v>600</v>
      </c>
      <c r="L974" s="78">
        <v>46142</v>
      </c>
      <c r="M974" s="103"/>
      <c r="N974" s="93" t="s">
        <v>617</v>
      </c>
      <c r="O974" s="94">
        <v>46141</v>
      </c>
      <c r="P974" s="104">
        <f t="shared" si="134"/>
        <v>600</v>
      </c>
      <c r="Q974" s="104">
        <f t="shared" si="135"/>
        <v>600</v>
      </c>
      <c r="R974" s="104"/>
      <c r="S974" s="93" t="s">
        <v>618</v>
      </c>
      <c r="T974" s="94">
        <v>46156</v>
      </c>
      <c r="U974" s="104">
        <f t="shared" si="136"/>
        <v>600</v>
      </c>
      <c r="V974" s="104">
        <f t="shared" si="137"/>
        <v>1</v>
      </c>
      <c r="W974" s="103">
        <f t="shared" si="138"/>
        <v>600</v>
      </c>
      <c r="X974" s="93" t="s">
        <v>89</v>
      </c>
      <c r="Y974" s="105" t="s">
        <v>84</v>
      </c>
      <c r="Z974" s="105" t="s">
        <v>619</v>
      </c>
    </row>
    <row r="975" spans="1:26" s="105" customFormat="1" ht="15" customHeight="1">
      <c r="A975" s="99">
        <f t="shared" si="139"/>
        <v>973</v>
      </c>
      <c r="B975" s="75" t="s">
        <v>1137</v>
      </c>
      <c r="C975" s="100" t="str">
        <f>IF($B975&lt;&gt;"",_xlfn.IFNA(VLOOKUP($B975,'Node Details'!$B:$U,C$1,0),"Check"),"")</f>
        <v>0000CM304-CM3040104</v>
      </c>
      <c r="D975" s="100" t="str">
        <f>IF($B975&lt;&gt;"",_xlfn.IFNA(VLOOKUP($B975,'Node Details'!$B:$U,D$1,0),"Check"),"")</f>
        <v>CM3</v>
      </c>
      <c r="E975" s="100" t="str">
        <f>IF($B975&lt;&gt;"",_xlfn.IFNA(VLOOKUP($B975,'Node Details'!$B:$U,E$1,0),"Check"),"")</f>
        <v>Airtel</v>
      </c>
      <c r="F975" s="101">
        <v>46149</v>
      </c>
      <c r="G975" s="103"/>
      <c r="H975" s="102" t="s">
        <v>1254</v>
      </c>
      <c r="I975" s="9">
        <v>1</v>
      </c>
      <c r="J975" s="9">
        <v>600</v>
      </c>
      <c r="K975" s="100">
        <f t="shared" si="133"/>
        <v>600</v>
      </c>
      <c r="L975" s="78">
        <v>46142</v>
      </c>
      <c r="M975" s="103"/>
      <c r="N975" s="93" t="s">
        <v>617</v>
      </c>
      <c r="O975" s="94">
        <v>46141</v>
      </c>
      <c r="P975" s="104">
        <f t="shared" si="134"/>
        <v>600</v>
      </c>
      <c r="Q975" s="104">
        <f t="shared" si="135"/>
        <v>600</v>
      </c>
      <c r="R975" s="104"/>
      <c r="S975" s="93" t="s">
        <v>618</v>
      </c>
      <c r="T975" s="94">
        <v>46156</v>
      </c>
      <c r="U975" s="104">
        <f t="shared" si="136"/>
        <v>600</v>
      </c>
      <c r="V975" s="104">
        <f t="shared" si="137"/>
        <v>1</v>
      </c>
      <c r="W975" s="103">
        <f t="shared" si="138"/>
        <v>600</v>
      </c>
      <c r="X975" s="93" t="s">
        <v>89</v>
      </c>
      <c r="Y975" s="105" t="s">
        <v>84</v>
      </c>
      <c r="Z975" s="105" t="s">
        <v>619</v>
      </c>
    </row>
    <row r="976" spans="1:26" s="105" customFormat="1" ht="15" customHeight="1">
      <c r="A976" s="99">
        <f t="shared" si="139"/>
        <v>974</v>
      </c>
      <c r="B976" s="75" t="s">
        <v>1138</v>
      </c>
      <c r="C976" s="100" t="str">
        <f>IF($B976&lt;&gt;"",_xlfn.IFNA(VLOOKUP($B976,'Node Details'!$B:$U,C$1,0),"Check"),"")</f>
        <v>0000CM304-CM3040104</v>
      </c>
      <c r="D976" s="100" t="str">
        <f>IF($B976&lt;&gt;"",_xlfn.IFNA(VLOOKUP($B976,'Node Details'!$B:$U,D$1,0),"Check"),"")</f>
        <v>CM3</v>
      </c>
      <c r="E976" s="100" t="str">
        <f>IF($B976&lt;&gt;"",_xlfn.IFNA(VLOOKUP($B976,'Node Details'!$B:$U,E$1,0),"Check"),"")</f>
        <v>Airtel</v>
      </c>
      <c r="F976" s="101">
        <v>46149</v>
      </c>
      <c r="G976" s="103"/>
      <c r="H976" s="102" t="s">
        <v>1254</v>
      </c>
      <c r="I976" s="9">
        <v>1</v>
      </c>
      <c r="J976" s="9">
        <v>600</v>
      </c>
      <c r="K976" s="100">
        <f t="shared" si="133"/>
        <v>600</v>
      </c>
      <c r="L976" s="78">
        <v>46142</v>
      </c>
      <c r="M976" s="103"/>
      <c r="N976" s="93" t="s">
        <v>617</v>
      </c>
      <c r="O976" s="94">
        <v>46141</v>
      </c>
      <c r="P976" s="104">
        <f t="shared" si="134"/>
        <v>600</v>
      </c>
      <c r="Q976" s="104">
        <f t="shared" si="135"/>
        <v>600</v>
      </c>
      <c r="R976" s="104"/>
      <c r="S976" s="93" t="s">
        <v>618</v>
      </c>
      <c r="T976" s="94">
        <v>46156</v>
      </c>
      <c r="U976" s="104">
        <f t="shared" si="136"/>
        <v>600</v>
      </c>
      <c r="V976" s="104">
        <f t="shared" si="137"/>
        <v>1</v>
      </c>
      <c r="W976" s="103">
        <f t="shared" si="138"/>
        <v>600</v>
      </c>
      <c r="X976" s="93" t="s">
        <v>89</v>
      </c>
      <c r="Y976" s="105" t="s">
        <v>84</v>
      </c>
      <c r="Z976" s="105" t="s">
        <v>619</v>
      </c>
    </row>
    <row r="977" spans="1:26" s="105" customFormat="1" ht="15" customHeight="1">
      <c r="A977" s="99">
        <f t="shared" si="139"/>
        <v>975</v>
      </c>
      <c r="B977" s="75" t="s">
        <v>660</v>
      </c>
      <c r="C977" s="100" t="str">
        <f>IF($B977&lt;&gt;"",_xlfn.IFNA(VLOOKUP($B977,'Node Details'!$B:$U,C$1,0),"Check"),"")</f>
        <v>0000CM304-CM3040104</v>
      </c>
      <c r="D977" s="100" t="str">
        <f>IF($B977&lt;&gt;"",_xlfn.IFNA(VLOOKUP($B977,'Node Details'!$B:$U,D$1,0),"Check"),"")</f>
        <v>CM3</v>
      </c>
      <c r="E977" s="100" t="str">
        <f>IF($B977&lt;&gt;"",_xlfn.IFNA(VLOOKUP($B977,'Node Details'!$B:$U,E$1,0),"Check"),"")</f>
        <v>Airtel</v>
      </c>
      <c r="F977" s="101">
        <v>46149</v>
      </c>
      <c r="G977" s="103"/>
      <c r="H977" s="102" t="s">
        <v>1254</v>
      </c>
      <c r="I977" s="9">
        <v>1</v>
      </c>
      <c r="J977" s="9">
        <v>600</v>
      </c>
      <c r="K977" s="100">
        <f t="shared" si="133"/>
        <v>600</v>
      </c>
      <c r="L977" s="78">
        <v>46142</v>
      </c>
      <c r="M977" s="103"/>
      <c r="N977" s="93" t="s">
        <v>617</v>
      </c>
      <c r="O977" s="94">
        <v>46141</v>
      </c>
      <c r="P977" s="104">
        <f t="shared" si="134"/>
        <v>600</v>
      </c>
      <c r="Q977" s="104">
        <f t="shared" si="135"/>
        <v>600</v>
      </c>
      <c r="R977" s="104"/>
      <c r="S977" s="93" t="s">
        <v>618</v>
      </c>
      <c r="T977" s="94">
        <v>46156</v>
      </c>
      <c r="U977" s="104">
        <f t="shared" si="136"/>
        <v>600</v>
      </c>
      <c r="V977" s="104">
        <f t="shared" si="137"/>
        <v>1</v>
      </c>
      <c r="W977" s="103">
        <f t="shared" si="138"/>
        <v>600</v>
      </c>
      <c r="X977" s="93" t="s">
        <v>89</v>
      </c>
      <c r="Y977" s="105" t="s">
        <v>84</v>
      </c>
      <c r="Z977" s="105" t="s">
        <v>619</v>
      </c>
    </row>
    <row r="978" spans="1:26" s="105" customFormat="1" ht="15" customHeight="1">
      <c r="A978" s="99">
        <f t="shared" si="139"/>
        <v>976</v>
      </c>
      <c r="B978" s="75" t="s">
        <v>1139</v>
      </c>
      <c r="C978" s="100" t="str">
        <f>IF($B978&lt;&gt;"",_xlfn.IFNA(VLOOKUP($B978,'Node Details'!$B:$U,C$1,0),"Check"),"")</f>
        <v>0000CM304-CM3040108</v>
      </c>
      <c r="D978" s="100" t="str">
        <f>IF($B978&lt;&gt;"",_xlfn.IFNA(VLOOKUP($B978,'Node Details'!$B:$U,D$1,0),"Check"),"")</f>
        <v>CM3</v>
      </c>
      <c r="E978" s="100" t="str">
        <f>IF($B978&lt;&gt;"",_xlfn.IFNA(VLOOKUP($B978,'Node Details'!$B:$U,E$1,0),"Check"),"")</f>
        <v>Airtel</v>
      </c>
      <c r="F978" s="101">
        <v>46149</v>
      </c>
      <c r="G978" s="103"/>
      <c r="H978" s="102" t="s">
        <v>1254</v>
      </c>
      <c r="I978" s="9">
        <v>1</v>
      </c>
      <c r="J978" s="9">
        <v>600</v>
      </c>
      <c r="K978" s="100">
        <f t="shared" si="133"/>
        <v>600</v>
      </c>
      <c r="L978" s="78">
        <v>46142</v>
      </c>
      <c r="M978" s="103"/>
      <c r="N978" s="93" t="s">
        <v>617</v>
      </c>
      <c r="O978" s="94">
        <v>46141</v>
      </c>
      <c r="P978" s="104">
        <f t="shared" si="134"/>
        <v>600</v>
      </c>
      <c r="Q978" s="104">
        <f t="shared" si="135"/>
        <v>600</v>
      </c>
      <c r="R978" s="104"/>
      <c r="S978" s="93" t="s">
        <v>618</v>
      </c>
      <c r="T978" s="94">
        <v>46156</v>
      </c>
      <c r="U978" s="104">
        <f t="shared" si="136"/>
        <v>600</v>
      </c>
      <c r="V978" s="104">
        <f t="shared" si="137"/>
        <v>1</v>
      </c>
      <c r="W978" s="103">
        <f t="shared" si="138"/>
        <v>600</v>
      </c>
      <c r="X978" s="93" t="s">
        <v>89</v>
      </c>
      <c r="Y978" s="105" t="s">
        <v>84</v>
      </c>
      <c r="Z978" s="105" t="s">
        <v>619</v>
      </c>
    </row>
    <row r="979" spans="1:26" s="105" customFormat="1" ht="15" customHeight="1">
      <c r="A979" s="99">
        <f t="shared" si="139"/>
        <v>977</v>
      </c>
      <c r="B979" s="75" t="s">
        <v>1140</v>
      </c>
      <c r="C979" s="100" t="str">
        <f>IF($B979&lt;&gt;"",_xlfn.IFNA(VLOOKUP($B979,'Node Details'!$B:$U,C$1,0),"Check"),"")</f>
        <v>0000CM304-CM3040108</v>
      </c>
      <c r="D979" s="100" t="str">
        <f>IF($B979&lt;&gt;"",_xlfn.IFNA(VLOOKUP($B979,'Node Details'!$B:$U,D$1,0),"Check"),"")</f>
        <v>CM3</v>
      </c>
      <c r="E979" s="100" t="str">
        <f>IF($B979&lt;&gt;"",_xlfn.IFNA(VLOOKUP($B979,'Node Details'!$B:$U,E$1,0),"Check"),"")</f>
        <v>Airtel</v>
      </c>
      <c r="F979" s="101">
        <v>46149</v>
      </c>
      <c r="G979" s="103"/>
      <c r="H979" s="102" t="s">
        <v>1254</v>
      </c>
      <c r="I979" s="9">
        <v>1</v>
      </c>
      <c r="J979" s="9">
        <v>600</v>
      </c>
      <c r="K979" s="100">
        <f t="shared" si="133"/>
        <v>600</v>
      </c>
      <c r="L979" s="78">
        <v>46142</v>
      </c>
      <c r="M979" s="103"/>
      <c r="N979" s="93" t="s">
        <v>617</v>
      </c>
      <c r="O979" s="94">
        <v>46141</v>
      </c>
      <c r="P979" s="104">
        <f t="shared" si="134"/>
        <v>600</v>
      </c>
      <c r="Q979" s="104">
        <f t="shared" si="135"/>
        <v>600</v>
      </c>
      <c r="R979" s="104"/>
      <c r="S979" s="93" t="s">
        <v>618</v>
      </c>
      <c r="T979" s="94">
        <v>46156</v>
      </c>
      <c r="U979" s="104">
        <f t="shared" si="136"/>
        <v>600</v>
      </c>
      <c r="V979" s="104">
        <f t="shared" si="137"/>
        <v>1</v>
      </c>
      <c r="W979" s="103">
        <f t="shared" si="138"/>
        <v>600</v>
      </c>
      <c r="X979" s="93" t="s">
        <v>89</v>
      </c>
      <c r="Y979" s="105" t="s">
        <v>84</v>
      </c>
      <c r="Z979" s="105" t="s">
        <v>619</v>
      </c>
    </row>
    <row r="980" spans="1:26" s="105" customFormat="1" ht="15" customHeight="1">
      <c r="A980" s="99">
        <f t="shared" si="139"/>
        <v>978</v>
      </c>
      <c r="B980" s="75" t="s">
        <v>662</v>
      </c>
      <c r="C980" s="100" t="str">
        <f>IF($B980&lt;&gt;"",_xlfn.IFNA(VLOOKUP($B980,'Node Details'!$B:$U,C$1,0),"Check"),"")</f>
        <v>0000CM304-CM3040108</v>
      </c>
      <c r="D980" s="100" t="str">
        <f>IF($B980&lt;&gt;"",_xlfn.IFNA(VLOOKUP($B980,'Node Details'!$B:$U,D$1,0),"Check"),"")</f>
        <v>CM3</v>
      </c>
      <c r="E980" s="100" t="str">
        <f>IF($B980&lt;&gt;"",_xlfn.IFNA(VLOOKUP($B980,'Node Details'!$B:$U,E$1,0),"Check"),"")</f>
        <v>Airtel</v>
      </c>
      <c r="F980" s="101">
        <v>46149</v>
      </c>
      <c r="G980" s="103"/>
      <c r="H980" s="102" t="s">
        <v>1254</v>
      </c>
      <c r="I980" s="9">
        <v>1</v>
      </c>
      <c r="J980" s="9">
        <v>600</v>
      </c>
      <c r="K980" s="100">
        <f t="shared" si="133"/>
        <v>600</v>
      </c>
      <c r="L980" s="78">
        <v>46142</v>
      </c>
      <c r="M980" s="103"/>
      <c r="N980" s="93" t="s">
        <v>617</v>
      </c>
      <c r="O980" s="94">
        <v>46141</v>
      </c>
      <c r="P980" s="104">
        <f t="shared" si="134"/>
        <v>600</v>
      </c>
      <c r="Q980" s="104">
        <f t="shared" si="135"/>
        <v>600</v>
      </c>
      <c r="R980" s="104"/>
      <c r="S980" s="93" t="s">
        <v>618</v>
      </c>
      <c r="T980" s="94">
        <v>46156</v>
      </c>
      <c r="U980" s="104">
        <f t="shared" si="136"/>
        <v>600</v>
      </c>
      <c r="V980" s="104">
        <f t="shared" si="137"/>
        <v>1</v>
      </c>
      <c r="W980" s="103">
        <f t="shared" si="138"/>
        <v>600</v>
      </c>
      <c r="X980" s="93" t="s">
        <v>89</v>
      </c>
      <c r="Y980" s="105" t="s">
        <v>84</v>
      </c>
      <c r="Z980" s="105" t="s">
        <v>619</v>
      </c>
    </row>
    <row r="981" spans="1:26" s="105" customFormat="1" ht="15" customHeight="1">
      <c r="A981" s="99">
        <f t="shared" si="139"/>
        <v>979</v>
      </c>
      <c r="B981" s="75" t="s">
        <v>664</v>
      </c>
      <c r="C981" s="100" t="str">
        <f>IF($B981&lt;&gt;"",_xlfn.IFNA(VLOOKUP($B981,'Node Details'!$B:$U,C$1,0),"Check"),"")</f>
        <v>0000CM305-CM3050102</v>
      </c>
      <c r="D981" s="100" t="str">
        <f>IF($B981&lt;&gt;"",_xlfn.IFNA(VLOOKUP($B981,'Node Details'!$B:$U,D$1,0),"Check"),"")</f>
        <v>CM3</v>
      </c>
      <c r="E981" s="100" t="str">
        <f>IF($B981&lt;&gt;"",_xlfn.IFNA(VLOOKUP($B981,'Node Details'!$B:$U,E$1,0),"Check"),"")</f>
        <v>Airtel</v>
      </c>
      <c r="F981" s="101">
        <v>46149</v>
      </c>
      <c r="G981" s="103"/>
      <c r="H981" s="102" t="s">
        <v>1254</v>
      </c>
      <c r="I981" s="9">
        <v>1</v>
      </c>
      <c r="J981" s="9">
        <v>600</v>
      </c>
      <c r="K981" s="100">
        <f t="shared" si="133"/>
        <v>600</v>
      </c>
      <c r="L981" s="78">
        <v>46142</v>
      </c>
      <c r="M981" s="103"/>
      <c r="N981" s="93" t="s">
        <v>617</v>
      </c>
      <c r="O981" s="94">
        <v>46141</v>
      </c>
      <c r="P981" s="104">
        <f t="shared" si="134"/>
        <v>600</v>
      </c>
      <c r="Q981" s="104">
        <f t="shared" si="135"/>
        <v>600</v>
      </c>
      <c r="R981" s="104"/>
      <c r="S981" s="93" t="s">
        <v>618</v>
      </c>
      <c r="T981" s="94">
        <v>46156</v>
      </c>
      <c r="U981" s="104">
        <f t="shared" si="136"/>
        <v>600</v>
      </c>
      <c r="V981" s="104">
        <f t="shared" si="137"/>
        <v>1</v>
      </c>
      <c r="W981" s="103">
        <f t="shared" si="138"/>
        <v>600</v>
      </c>
      <c r="X981" s="93" t="s">
        <v>89</v>
      </c>
      <c r="Y981" s="105" t="s">
        <v>84</v>
      </c>
      <c r="Z981" s="105" t="s">
        <v>619</v>
      </c>
    </row>
    <row r="982" spans="1:26" s="105" customFormat="1" ht="15" customHeight="1">
      <c r="A982" s="99">
        <f t="shared" si="139"/>
        <v>980</v>
      </c>
      <c r="B982" s="75" t="s">
        <v>1141</v>
      </c>
      <c r="C982" s="100" t="str">
        <f>IF($B982&lt;&gt;"",_xlfn.IFNA(VLOOKUP($B982,'Node Details'!$B:$U,C$1,0),"Check"),"")</f>
        <v>0000CM305-CM3050104</v>
      </c>
      <c r="D982" s="100" t="str">
        <f>IF($B982&lt;&gt;"",_xlfn.IFNA(VLOOKUP($B982,'Node Details'!$B:$U,D$1,0),"Check"),"")</f>
        <v>CM3</v>
      </c>
      <c r="E982" s="100" t="str">
        <f>IF($B982&lt;&gt;"",_xlfn.IFNA(VLOOKUP($B982,'Node Details'!$B:$U,E$1,0),"Check"),"")</f>
        <v>Airtel</v>
      </c>
      <c r="F982" s="101">
        <v>46149</v>
      </c>
      <c r="G982" s="103"/>
      <c r="H982" s="102" t="s">
        <v>1254</v>
      </c>
      <c r="I982" s="9">
        <v>1</v>
      </c>
      <c r="J982" s="9">
        <v>600</v>
      </c>
      <c r="K982" s="100">
        <f t="shared" si="133"/>
        <v>600</v>
      </c>
      <c r="L982" s="78">
        <v>46142</v>
      </c>
      <c r="M982" s="103"/>
      <c r="N982" s="93" t="s">
        <v>617</v>
      </c>
      <c r="O982" s="94">
        <v>46141</v>
      </c>
      <c r="P982" s="104">
        <f t="shared" si="134"/>
        <v>600</v>
      </c>
      <c r="Q982" s="104">
        <f t="shared" si="135"/>
        <v>600</v>
      </c>
      <c r="R982" s="104"/>
      <c r="S982" s="93" t="s">
        <v>618</v>
      </c>
      <c r="T982" s="94">
        <v>46156</v>
      </c>
      <c r="U982" s="104">
        <f t="shared" si="136"/>
        <v>600</v>
      </c>
      <c r="V982" s="104">
        <f t="shared" si="137"/>
        <v>1</v>
      </c>
      <c r="W982" s="103">
        <f t="shared" si="138"/>
        <v>600</v>
      </c>
      <c r="X982" s="93" t="s">
        <v>89</v>
      </c>
      <c r="Y982" s="105" t="s">
        <v>84</v>
      </c>
      <c r="Z982" s="105" t="s">
        <v>619</v>
      </c>
    </row>
    <row r="983" spans="1:26" s="105" customFormat="1" ht="15" customHeight="1">
      <c r="A983" s="99">
        <f t="shared" si="139"/>
        <v>981</v>
      </c>
      <c r="B983" s="75" t="s">
        <v>666</v>
      </c>
      <c r="C983" s="100" t="str">
        <f>IF($B983&lt;&gt;"",_xlfn.IFNA(VLOOKUP($B983,'Node Details'!$B:$U,C$1,0),"Check"),"")</f>
        <v>0000CM305-CM3050104</v>
      </c>
      <c r="D983" s="100" t="str">
        <f>IF($B983&lt;&gt;"",_xlfn.IFNA(VLOOKUP($B983,'Node Details'!$B:$U,D$1,0),"Check"),"")</f>
        <v>CM3</v>
      </c>
      <c r="E983" s="100" t="str">
        <f>IF($B983&lt;&gt;"",_xlfn.IFNA(VLOOKUP($B983,'Node Details'!$B:$U,E$1,0),"Check"),"")</f>
        <v>Airtel</v>
      </c>
      <c r="F983" s="101">
        <v>46149</v>
      </c>
      <c r="G983" s="103"/>
      <c r="H983" s="102" t="s">
        <v>1254</v>
      </c>
      <c r="I983" s="9">
        <v>1</v>
      </c>
      <c r="J983" s="9">
        <v>600</v>
      </c>
      <c r="K983" s="100">
        <f t="shared" si="133"/>
        <v>600</v>
      </c>
      <c r="L983" s="78">
        <v>46142</v>
      </c>
      <c r="M983" s="103"/>
      <c r="N983" s="93" t="s">
        <v>617</v>
      </c>
      <c r="O983" s="94">
        <v>46141</v>
      </c>
      <c r="P983" s="104">
        <f t="shared" si="134"/>
        <v>600</v>
      </c>
      <c r="Q983" s="104">
        <f t="shared" si="135"/>
        <v>600</v>
      </c>
      <c r="R983" s="104"/>
      <c r="S983" s="93" t="s">
        <v>618</v>
      </c>
      <c r="T983" s="94">
        <v>46156</v>
      </c>
      <c r="U983" s="104">
        <f t="shared" si="136"/>
        <v>600</v>
      </c>
      <c r="V983" s="104">
        <f t="shared" si="137"/>
        <v>1</v>
      </c>
      <c r="W983" s="103">
        <f t="shared" si="138"/>
        <v>600</v>
      </c>
      <c r="X983" s="93" t="s">
        <v>89</v>
      </c>
      <c r="Y983" s="105" t="s">
        <v>84</v>
      </c>
      <c r="Z983" s="105" t="s">
        <v>619</v>
      </c>
    </row>
    <row r="984" spans="1:26" s="105" customFormat="1" ht="15" customHeight="1">
      <c r="A984" s="99">
        <f t="shared" si="139"/>
        <v>982</v>
      </c>
      <c r="B984" s="75" t="s">
        <v>668</v>
      </c>
      <c r="C984" s="100" t="str">
        <f>IF($B984&lt;&gt;"",_xlfn.IFNA(VLOOKUP($B984,'Node Details'!$B:$U,C$1,0),"Check"),"")</f>
        <v>0000CM306-CM3060106</v>
      </c>
      <c r="D984" s="100" t="str">
        <f>IF($B984&lt;&gt;"",_xlfn.IFNA(VLOOKUP($B984,'Node Details'!$B:$U,D$1,0),"Check"),"")</f>
        <v>CM3</v>
      </c>
      <c r="E984" s="100" t="str">
        <f>IF($B984&lt;&gt;"",_xlfn.IFNA(VLOOKUP($B984,'Node Details'!$B:$U,E$1,0),"Check"),"")</f>
        <v>Airtel</v>
      </c>
      <c r="F984" s="101">
        <v>46149</v>
      </c>
      <c r="G984" s="103"/>
      <c r="H984" s="102" t="s">
        <v>1254</v>
      </c>
      <c r="I984" s="9">
        <v>1</v>
      </c>
      <c r="J984" s="9">
        <v>600</v>
      </c>
      <c r="K984" s="100">
        <f t="shared" si="133"/>
        <v>600</v>
      </c>
      <c r="L984" s="78">
        <v>46142</v>
      </c>
      <c r="M984" s="103"/>
      <c r="N984" s="93" t="s">
        <v>617</v>
      </c>
      <c r="O984" s="94">
        <v>46141</v>
      </c>
      <c r="P984" s="104">
        <f t="shared" si="134"/>
        <v>600</v>
      </c>
      <c r="Q984" s="104">
        <f t="shared" si="135"/>
        <v>600</v>
      </c>
      <c r="R984" s="104"/>
      <c r="S984" s="93" t="s">
        <v>618</v>
      </c>
      <c r="T984" s="94">
        <v>46156</v>
      </c>
      <c r="U984" s="104">
        <f t="shared" si="136"/>
        <v>600</v>
      </c>
      <c r="V984" s="104">
        <f t="shared" si="137"/>
        <v>1</v>
      </c>
      <c r="W984" s="103">
        <f t="shared" si="138"/>
        <v>600</v>
      </c>
      <c r="X984" s="93" t="s">
        <v>89</v>
      </c>
      <c r="Y984" s="105" t="s">
        <v>84</v>
      </c>
      <c r="Z984" s="105" t="s">
        <v>619</v>
      </c>
    </row>
    <row r="985" spans="1:26" s="105" customFormat="1" ht="15" customHeight="1">
      <c r="A985" s="99">
        <f t="shared" si="139"/>
        <v>983</v>
      </c>
      <c r="B985" s="75" t="s">
        <v>1142</v>
      </c>
      <c r="C985" s="100" t="str">
        <f>IF($B985&lt;&gt;"",_xlfn.IFNA(VLOOKUP($B985,'Node Details'!$B:$U,C$1,0),"Check"),"")</f>
        <v>0000CM606-CM3060108</v>
      </c>
      <c r="D985" s="100" t="str">
        <f>IF($B985&lt;&gt;"",_xlfn.IFNA(VLOOKUP($B985,'Node Details'!$B:$U,D$1,0),"Check"),"")</f>
        <v>CM3</v>
      </c>
      <c r="E985" s="100" t="str">
        <f>IF($B985&lt;&gt;"",_xlfn.IFNA(VLOOKUP($B985,'Node Details'!$B:$U,E$1,0),"Check"),"")</f>
        <v>Airtel</v>
      </c>
      <c r="F985" s="101">
        <v>46149</v>
      </c>
      <c r="G985" s="103"/>
      <c r="H985" s="102" t="s">
        <v>1254</v>
      </c>
      <c r="I985" s="9">
        <v>1</v>
      </c>
      <c r="J985" s="9">
        <v>600</v>
      </c>
      <c r="K985" s="100">
        <f t="shared" si="133"/>
        <v>600</v>
      </c>
      <c r="L985" s="78">
        <v>46142</v>
      </c>
      <c r="M985" s="103"/>
      <c r="N985" s="93" t="s">
        <v>617</v>
      </c>
      <c r="O985" s="94">
        <v>46141</v>
      </c>
      <c r="P985" s="104">
        <f t="shared" si="134"/>
        <v>600</v>
      </c>
      <c r="Q985" s="104">
        <f t="shared" si="135"/>
        <v>600</v>
      </c>
      <c r="R985" s="104"/>
      <c r="S985" s="93" t="s">
        <v>618</v>
      </c>
      <c r="T985" s="94">
        <v>46156</v>
      </c>
      <c r="U985" s="104">
        <f t="shared" si="136"/>
        <v>600</v>
      </c>
      <c r="V985" s="104">
        <f t="shared" si="137"/>
        <v>1</v>
      </c>
      <c r="W985" s="103">
        <f t="shared" si="138"/>
        <v>600</v>
      </c>
      <c r="X985" s="93" t="s">
        <v>89</v>
      </c>
      <c r="Y985" s="105" t="s">
        <v>84</v>
      </c>
      <c r="Z985" s="105" t="s">
        <v>619</v>
      </c>
    </row>
    <row r="986" spans="1:26" s="105" customFormat="1" ht="15" customHeight="1">
      <c r="A986" s="99">
        <f t="shared" si="139"/>
        <v>984</v>
      </c>
      <c r="B986" s="75" t="s">
        <v>671</v>
      </c>
      <c r="C986" s="100" t="str">
        <f>IF($B986&lt;&gt;"",_xlfn.IFNA(VLOOKUP($B986,'Node Details'!$B:$U,C$1,0),"Check"),"")</f>
        <v>0000CM606-CM3060108</v>
      </c>
      <c r="D986" s="100" t="str">
        <f>IF($B986&lt;&gt;"",_xlfn.IFNA(VLOOKUP($B986,'Node Details'!$B:$U,D$1,0),"Check"),"")</f>
        <v>CM3</v>
      </c>
      <c r="E986" s="100" t="str">
        <f>IF($B986&lt;&gt;"",_xlfn.IFNA(VLOOKUP($B986,'Node Details'!$B:$U,E$1,0),"Check"),"")</f>
        <v>Airtel</v>
      </c>
      <c r="F986" s="101">
        <v>46149</v>
      </c>
      <c r="G986" s="103"/>
      <c r="H986" s="102" t="s">
        <v>1254</v>
      </c>
      <c r="I986" s="9">
        <v>1</v>
      </c>
      <c r="J986" s="9">
        <v>600</v>
      </c>
      <c r="K986" s="100">
        <f t="shared" si="133"/>
        <v>600</v>
      </c>
      <c r="L986" s="78">
        <v>46142</v>
      </c>
      <c r="M986" s="103"/>
      <c r="N986" s="93" t="s">
        <v>617</v>
      </c>
      <c r="O986" s="94">
        <v>46141</v>
      </c>
      <c r="P986" s="104">
        <f t="shared" si="134"/>
        <v>600</v>
      </c>
      <c r="Q986" s="104">
        <f t="shared" si="135"/>
        <v>600</v>
      </c>
      <c r="R986" s="104"/>
      <c r="S986" s="93" t="s">
        <v>618</v>
      </c>
      <c r="T986" s="94">
        <v>46156</v>
      </c>
      <c r="U986" s="104">
        <f t="shared" si="136"/>
        <v>600</v>
      </c>
      <c r="V986" s="104">
        <f t="shared" si="137"/>
        <v>1</v>
      </c>
      <c r="W986" s="103">
        <f t="shared" si="138"/>
        <v>600</v>
      </c>
      <c r="X986" s="93" t="s">
        <v>89</v>
      </c>
      <c r="Y986" s="105" t="s">
        <v>84</v>
      </c>
      <c r="Z986" s="105" t="s">
        <v>619</v>
      </c>
    </row>
    <row r="987" spans="1:26" s="105" customFormat="1" ht="15" customHeight="1">
      <c r="A987" s="99">
        <f t="shared" si="139"/>
        <v>985</v>
      </c>
      <c r="B987" s="75" t="s">
        <v>1143</v>
      </c>
      <c r="C987" s="100" t="str">
        <f>IF($B987&lt;&gt;"",_xlfn.IFNA(VLOOKUP($B987,'Node Details'!$B:$U,C$1,0),"Check"),"")</f>
        <v>0000CM306-CM3060104</v>
      </c>
      <c r="D987" s="100" t="str">
        <f>IF($B987&lt;&gt;"",_xlfn.IFNA(VLOOKUP($B987,'Node Details'!$B:$U,D$1,0),"Check"),"")</f>
        <v>CM3</v>
      </c>
      <c r="E987" s="100" t="str">
        <f>IF($B987&lt;&gt;"",_xlfn.IFNA(VLOOKUP($B987,'Node Details'!$B:$U,E$1,0),"Check"),"")</f>
        <v>Airtel</v>
      </c>
      <c r="F987" s="101">
        <v>46149</v>
      </c>
      <c r="G987" s="103"/>
      <c r="H987" s="102" t="s">
        <v>1254</v>
      </c>
      <c r="I987" s="9">
        <v>1</v>
      </c>
      <c r="J987" s="9">
        <v>600</v>
      </c>
      <c r="K987" s="100">
        <f t="shared" si="133"/>
        <v>600</v>
      </c>
      <c r="L987" s="78">
        <v>46142</v>
      </c>
      <c r="M987" s="103"/>
      <c r="N987" s="93" t="s">
        <v>617</v>
      </c>
      <c r="O987" s="94">
        <v>46141</v>
      </c>
      <c r="P987" s="104">
        <f t="shared" si="134"/>
        <v>600</v>
      </c>
      <c r="Q987" s="104">
        <f t="shared" si="135"/>
        <v>600</v>
      </c>
      <c r="R987" s="104"/>
      <c r="S987" s="93" t="s">
        <v>618</v>
      </c>
      <c r="T987" s="94">
        <v>46156</v>
      </c>
      <c r="U987" s="104">
        <f t="shared" si="136"/>
        <v>600</v>
      </c>
      <c r="V987" s="104">
        <f t="shared" si="137"/>
        <v>1</v>
      </c>
      <c r="W987" s="103">
        <f t="shared" si="138"/>
        <v>600</v>
      </c>
      <c r="X987" s="93" t="s">
        <v>89</v>
      </c>
      <c r="Y987" s="105" t="s">
        <v>84</v>
      </c>
      <c r="Z987" s="105" t="s">
        <v>619</v>
      </c>
    </row>
    <row r="988" spans="1:26" s="105" customFormat="1" ht="15" customHeight="1">
      <c r="A988" s="99">
        <f t="shared" si="139"/>
        <v>986</v>
      </c>
      <c r="B988" s="75" t="s">
        <v>1144</v>
      </c>
      <c r="C988" s="100" t="str">
        <f>IF($B988&lt;&gt;"",_xlfn.IFNA(VLOOKUP($B988,'Node Details'!$B:$U,C$1,0),"Check"),"")</f>
        <v>0000CM306-CM3060104</v>
      </c>
      <c r="D988" s="100" t="str">
        <f>IF($B988&lt;&gt;"",_xlfn.IFNA(VLOOKUP($B988,'Node Details'!$B:$U,D$1,0),"Check"),"")</f>
        <v>CM3</v>
      </c>
      <c r="E988" s="100" t="str">
        <f>IF($B988&lt;&gt;"",_xlfn.IFNA(VLOOKUP($B988,'Node Details'!$B:$U,E$1,0),"Check"),"")</f>
        <v>Airtel</v>
      </c>
      <c r="F988" s="101">
        <v>46149</v>
      </c>
      <c r="G988" s="103"/>
      <c r="H988" s="102" t="s">
        <v>1254</v>
      </c>
      <c r="I988" s="9">
        <v>1</v>
      </c>
      <c r="J988" s="9">
        <v>600</v>
      </c>
      <c r="K988" s="100">
        <f t="shared" si="133"/>
        <v>600</v>
      </c>
      <c r="L988" s="78">
        <v>46142</v>
      </c>
      <c r="M988" s="103"/>
      <c r="N988" s="93" t="s">
        <v>617</v>
      </c>
      <c r="O988" s="94">
        <v>46141</v>
      </c>
      <c r="P988" s="104">
        <f t="shared" si="134"/>
        <v>600</v>
      </c>
      <c r="Q988" s="104">
        <f t="shared" si="135"/>
        <v>600</v>
      </c>
      <c r="R988" s="104"/>
      <c r="S988" s="93" t="s">
        <v>618</v>
      </c>
      <c r="T988" s="94">
        <v>46156</v>
      </c>
      <c r="U988" s="104">
        <f t="shared" si="136"/>
        <v>600</v>
      </c>
      <c r="V988" s="104">
        <f t="shared" si="137"/>
        <v>1</v>
      </c>
      <c r="W988" s="103">
        <f t="shared" si="138"/>
        <v>600</v>
      </c>
      <c r="X988" s="93" t="s">
        <v>89</v>
      </c>
      <c r="Y988" s="105" t="s">
        <v>84</v>
      </c>
      <c r="Z988" s="105" t="s">
        <v>619</v>
      </c>
    </row>
    <row r="989" spans="1:26" s="105" customFormat="1" ht="15" customHeight="1">
      <c r="A989" s="99">
        <f t="shared" si="139"/>
        <v>987</v>
      </c>
      <c r="B989" s="75" t="s">
        <v>1145</v>
      </c>
      <c r="C989" s="100" t="str">
        <f>IF($B989&lt;&gt;"",_xlfn.IFNA(VLOOKUP($B989,'Node Details'!$B:$U,C$1,0),"Check"),"")</f>
        <v>0000CM306-CM3060104</v>
      </c>
      <c r="D989" s="100" t="str">
        <f>IF($B989&lt;&gt;"",_xlfn.IFNA(VLOOKUP($B989,'Node Details'!$B:$U,D$1,0),"Check"),"")</f>
        <v>CM3</v>
      </c>
      <c r="E989" s="100" t="str">
        <f>IF($B989&lt;&gt;"",_xlfn.IFNA(VLOOKUP($B989,'Node Details'!$B:$U,E$1,0),"Check"),"")</f>
        <v>Airtel</v>
      </c>
      <c r="F989" s="101">
        <v>46149</v>
      </c>
      <c r="G989" s="103"/>
      <c r="H989" s="102" t="s">
        <v>1254</v>
      </c>
      <c r="I989" s="9">
        <v>1</v>
      </c>
      <c r="J989" s="9">
        <v>600</v>
      </c>
      <c r="K989" s="100">
        <f t="shared" si="133"/>
        <v>600</v>
      </c>
      <c r="L989" s="78">
        <v>46142</v>
      </c>
      <c r="M989" s="103"/>
      <c r="N989" s="93" t="s">
        <v>617</v>
      </c>
      <c r="O989" s="94">
        <v>46141</v>
      </c>
      <c r="P989" s="104">
        <f t="shared" si="134"/>
        <v>600</v>
      </c>
      <c r="Q989" s="104">
        <f t="shared" si="135"/>
        <v>600</v>
      </c>
      <c r="R989" s="104"/>
      <c r="S989" s="93" t="s">
        <v>618</v>
      </c>
      <c r="T989" s="94">
        <v>46156</v>
      </c>
      <c r="U989" s="104">
        <f t="shared" si="136"/>
        <v>600</v>
      </c>
      <c r="V989" s="104">
        <f t="shared" si="137"/>
        <v>1</v>
      </c>
      <c r="W989" s="103">
        <f t="shared" si="138"/>
        <v>600</v>
      </c>
      <c r="X989" s="93" t="s">
        <v>89</v>
      </c>
      <c r="Y989" s="105" t="s">
        <v>84</v>
      </c>
      <c r="Z989" s="105" t="s">
        <v>619</v>
      </c>
    </row>
    <row r="990" spans="1:26" s="105" customFormat="1" ht="15" customHeight="1">
      <c r="A990" s="99">
        <f t="shared" si="139"/>
        <v>988</v>
      </c>
      <c r="B990" s="75" t="s">
        <v>673</v>
      </c>
      <c r="C990" s="100" t="str">
        <f>IF($B990&lt;&gt;"",_xlfn.IFNA(VLOOKUP($B990,'Node Details'!$B:$U,C$1,0),"Check"),"")</f>
        <v>0000CM306-CM3060104</v>
      </c>
      <c r="D990" s="100" t="str">
        <f>IF($B990&lt;&gt;"",_xlfn.IFNA(VLOOKUP($B990,'Node Details'!$B:$U,D$1,0),"Check"),"")</f>
        <v>CM3</v>
      </c>
      <c r="E990" s="100" t="str">
        <f>IF($B990&lt;&gt;"",_xlfn.IFNA(VLOOKUP($B990,'Node Details'!$B:$U,E$1,0),"Check"),"")</f>
        <v>Airtel</v>
      </c>
      <c r="F990" s="101">
        <v>46149</v>
      </c>
      <c r="G990" s="103"/>
      <c r="H990" s="102" t="s">
        <v>1254</v>
      </c>
      <c r="I990" s="9">
        <v>1</v>
      </c>
      <c r="J990" s="9">
        <v>600</v>
      </c>
      <c r="K990" s="100">
        <f t="shared" si="133"/>
        <v>600</v>
      </c>
      <c r="L990" s="78">
        <v>46142</v>
      </c>
      <c r="M990" s="103"/>
      <c r="N990" s="93" t="s">
        <v>617</v>
      </c>
      <c r="O990" s="94">
        <v>46141</v>
      </c>
      <c r="P990" s="104">
        <f t="shared" si="134"/>
        <v>600</v>
      </c>
      <c r="Q990" s="104">
        <f t="shared" si="135"/>
        <v>600</v>
      </c>
      <c r="R990" s="104"/>
      <c r="S990" s="93" t="s">
        <v>618</v>
      </c>
      <c r="T990" s="94">
        <v>46156</v>
      </c>
      <c r="U990" s="104">
        <f t="shared" si="136"/>
        <v>600</v>
      </c>
      <c r="V990" s="104">
        <f t="shared" si="137"/>
        <v>1</v>
      </c>
      <c r="W990" s="103">
        <f t="shared" si="138"/>
        <v>600</v>
      </c>
      <c r="X990" s="93" t="s">
        <v>89</v>
      </c>
      <c r="Y990" s="105" t="s">
        <v>84</v>
      </c>
      <c r="Z990" s="105" t="s">
        <v>619</v>
      </c>
    </row>
    <row r="991" spans="1:26" s="105" customFormat="1" ht="15" customHeight="1">
      <c r="A991" s="99">
        <f t="shared" si="139"/>
        <v>989</v>
      </c>
      <c r="B991" s="75" t="s">
        <v>1146</v>
      </c>
      <c r="C991" s="100" t="str">
        <f>IF($B991&lt;&gt;"",_xlfn.IFNA(VLOOKUP($B991,'Node Details'!$B:$U,C$1,0),"Check"),"")</f>
        <v>0000CM307-CM3070103</v>
      </c>
      <c r="D991" s="100" t="str">
        <f>IF($B991&lt;&gt;"",_xlfn.IFNA(VLOOKUP($B991,'Node Details'!$B:$U,D$1,0),"Check"),"")</f>
        <v>CM3</v>
      </c>
      <c r="E991" s="100" t="str">
        <f>IF($B991&lt;&gt;"",_xlfn.IFNA(VLOOKUP($B991,'Node Details'!$B:$U,E$1,0),"Check"),"")</f>
        <v>Airtel</v>
      </c>
      <c r="F991" s="101">
        <v>46149</v>
      </c>
      <c r="G991" s="103"/>
      <c r="H991" s="102" t="s">
        <v>1254</v>
      </c>
      <c r="I991" s="9">
        <v>1</v>
      </c>
      <c r="J991" s="9">
        <v>600</v>
      </c>
      <c r="K991" s="100">
        <f t="shared" si="133"/>
        <v>600</v>
      </c>
      <c r="L991" s="78">
        <v>46142</v>
      </c>
      <c r="M991" s="103"/>
      <c r="N991" s="93" t="s">
        <v>617</v>
      </c>
      <c r="O991" s="94">
        <v>46141</v>
      </c>
      <c r="P991" s="104">
        <f t="shared" si="134"/>
        <v>600</v>
      </c>
      <c r="Q991" s="104">
        <f t="shared" si="135"/>
        <v>600</v>
      </c>
      <c r="R991" s="104"/>
      <c r="S991" s="93" t="s">
        <v>618</v>
      </c>
      <c r="T991" s="94">
        <v>46156</v>
      </c>
      <c r="U991" s="104">
        <f t="shared" si="136"/>
        <v>600</v>
      </c>
      <c r="V991" s="104">
        <f t="shared" si="137"/>
        <v>1</v>
      </c>
      <c r="W991" s="103">
        <f t="shared" si="138"/>
        <v>600</v>
      </c>
      <c r="X991" s="93" t="s">
        <v>89</v>
      </c>
      <c r="Y991" s="105" t="s">
        <v>84</v>
      </c>
      <c r="Z991" s="105" t="s">
        <v>619</v>
      </c>
    </row>
    <row r="992" spans="1:26" s="105" customFormat="1" ht="15" customHeight="1">
      <c r="A992" s="99">
        <f t="shared" si="139"/>
        <v>990</v>
      </c>
      <c r="B992" s="75" t="s">
        <v>1147</v>
      </c>
      <c r="C992" s="100" t="str">
        <f>IF($B992&lt;&gt;"",_xlfn.IFNA(VLOOKUP($B992,'Node Details'!$B:$U,C$1,0),"Check"),"")</f>
        <v>0000CM307-CM3070103</v>
      </c>
      <c r="D992" s="100" t="str">
        <f>IF($B992&lt;&gt;"",_xlfn.IFNA(VLOOKUP($B992,'Node Details'!$B:$U,D$1,0),"Check"),"")</f>
        <v>CM3</v>
      </c>
      <c r="E992" s="100" t="str">
        <f>IF($B992&lt;&gt;"",_xlfn.IFNA(VLOOKUP($B992,'Node Details'!$B:$U,E$1,0),"Check"),"")</f>
        <v>Airtel</v>
      </c>
      <c r="F992" s="101">
        <v>46149</v>
      </c>
      <c r="G992" s="103"/>
      <c r="H992" s="102" t="s">
        <v>1254</v>
      </c>
      <c r="I992" s="9">
        <v>1</v>
      </c>
      <c r="J992" s="9">
        <v>600</v>
      </c>
      <c r="K992" s="100">
        <f t="shared" si="133"/>
        <v>600</v>
      </c>
      <c r="L992" s="78">
        <v>46142</v>
      </c>
      <c r="M992" s="103"/>
      <c r="N992" s="93" t="s">
        <v>617</v>
      </c>
      <c r="O992" s="94">
        <v>46141</v>
      </c>
      <c r="P992" s="104">
        <f t="shared" si="134"/>
        <v>600</v>
      </c>
      <c r="Q992" s="104">
        <f t="shared" si="135"/>
        <v>600</v>
      </c>
      <c r="R992" s="104"/>
      <c r="S992" s="93" t="s">
        <v>618</v>
      </c>
      <c r="T992" s="94">
        <v>46156</v>
      </c>
      <c r="U992" s="104">
        <f t="shared" si="136"/>
        <v>600</v>
      </c>
      <c r="V992" s="104">
        <f t="shared" si="137"/>
        <v>1</v>
      </c>
      <c r="W992" s="103">
        <f t="shared" si="138"/>
        <v>600</v>
      </c>
      <c r="X992" s="93" t="s">
        <v>89</v>
      </c>
      <c r="Y992" s="105" t="s">
        <v>84</v>
      </c>
      <c r="Z992" s="105" t="s">
        <v>619</v>
      </c>
    </row>
    <row r="993" spans="1:26" s="105" customFormat="1" ht="15" customHeight="1">
      <c r="A993" s="99">
        <f t="shared" si="139"/>
        <v>991</v>
      </c>
      <c r="B993" t="s">
        <v>675</v>
      </c>
      <c r="C993" s="100" t="str">
        <f>IF($B993&lt;&gt;"",_xlfn.IFNA(VLOOKUP($B993,'Node Details'!$B:$U,C$1,0),"Check"),"")</f>
        <v>0000CM307-CM3070103</v>
      </c>
      <c r="D993" s="100" t="str">
        <f>IF($B993&lt;&gt;"",_xlfn.IFNA(VLOOKUP($B993,'Node Details'!$B:$U,D$1,0),"Check"),"")</f>
        <v>CM3</v>
      </c>
      <c r="E993" s="100" t="str">
        <f>IF($B993&lt;&gt;"",_xlfn.IFNA(VLOOKUP($B993,'Node Details'!$B:$U,E$1,0),"Check"),"")</f>
        <v>Airtel</v>
      </c>
      <c r="F993" s="101">
        <v>46149</v>
      </c>
      <c r="G993" s="103"/>
      <c r="H993" s="102" t="s">
        <v>1254</v>
      </c>
      <c r="I993" s="9">
        <v>1</v>
      </c>
      <c r="J993" s="9">
        <v>600</v>
      </c>
      <c r="K993" s="100">
        <f t="shared" si="133"/>
        <v>600</v>
      </c>
      <c r="L993" s="78">
        <v>46142</v>
      </c>
      <c r="M993" s="103"/>
      <c r="N993" s="93" t="s">
        <v>617</v>
      </c>
      <c r="O993" s="94">
        <v>46141</v>
      </c>
      <c r="P993" s="104">
        <f t="shared" si="134"/>
        <v>600</v>
      </c>
      <c r="Q993" s="104">
        <f t="shared" si="135"/>
        <v>600</v>
      </c>
      <c r="R993" s="104"/>
      <c r="S993" s="93" t="s">
        <v>618</v>
      </c>
      <c r="T993" s="94">
        <v>46156</v>
      </c>
      <c r="U993" s="104">
        <f t="shared" si="136"/>
        <v>600</v>
      </c>
      <c r="V993" s="104">
        <f t="shared" si="137"/>
        <v>1</v>
      </c>
      <c r="W993" s="103">
        <f t="shared" si="138"/>
        <v>600</v>
      </c>
      <c r="X993" s="93" t="s">
        <v>89</v>
      </c>
      <c r="Y993" s="105" t="s">
        <v>84</v>
      </c>
      <c r="Z993" s="105" t="s">
        <v>619</v>
      </c>
    </row>
    <row r="994" spans="1:26" s="105" customFormat="1" ht="15" customHeight="1">
      <c r="A994" s="99">
        <f t="shared" si="139"/>
        <v>992</v>
      </c>
      <c r="B994" s="75" t="s">
        <v>679</v>
      </c>
      <c r="C994" s="100" t="str">
        <f>IF($B994&lt;&gt;"",_xlfn.IFNA(VLOOKUP($B994,'Node Details'!$B:$U,C$1,0),"Check"),"")</f>
        <v>0000CM307-CM3070105</v>
      </c>
      <c r="D994" s="100" t="str">
        <f>IF($B994&lt;&gt;"",_xlfn.IFNA(VLOOKUP($B994,'Node Details'!$B:$U,D$1,0),"Check"),"")</f>
        <v>CM3</v>
      </c>
      <c r="E994" s="100" t="str">
        <f>IF($B994&lt;&gt;"",_xlfn.IFNA(VLOOKUP($B994,'Node Details'!$B:$U,E$1,0),"Check"),"")</f>
        <v>Airtel</v>
      </c>
      <c r="F994" s="101">
        <v>46149</v>
      </c>
      <c r="G994" s="103"/>
      <c r="H994" s="102" t="s">
        <v>1254</v>
      </c>
      <c r="I994" s="9">
        <v>1</v>
      </c>
      <c r="J994" s="9">
        <v>600</v>
      </c>
      <c r="K994" s="100">
        <f t="shared" si="133"/>
        <v>600</v>
      </c>
      <c r="L994" s="78">
        <v>46142</v>
      </c>
      <c r="M994" s="103"/>
      <c r="N994" s="93" t="s">
        <v>617</v>
      </c>
      <c r="O994" s="94">
        <v>46141</v>
      </c>
      <c r="P994" s="104">
        <f t="shared" si="134"/>
        <v>600</v>
      </c>
      <c r="Q994" s="104">
        <f t="shared" si="135"/>
        <v>600</v>
      </c>
      <c r="R994" s="104"/>
      <c r="S994" s="93" t="s">
        <v>618</v>
      </c>
      <c r="T994" s="94">
        <v>46156</v>
      </c>
      <c r="U994" s="104">
        <f t="shared" si="136"/>
        <v>600</v>
      </c>
      <c r="V994" s="104">
        <f t="shared" si="137"/>
        <v>1</v>
      </c>
      <c r="W994" s="103">
        <f t="shared" si="138"/>
        <v>600</v>
      </c>
      <c r="X994" s="93" t="s">
        <v>89</v>
      </c>
      <c r="Y994" s="105" t="s">
        <v>84</v>
      </c>
      <c r="Z994" s="105" t="s">
        <v>619</v>
      </c>
    </row>
    <row r="995" spans="1:26" s="105" customFormat="1" ht="15" customHeight="1">
      <c r="A995" s="99">
        <f t="shared" si="139"/>
        <v>993</v>
      </c>
      <c r="B995" s="75" t="s">
        <v>677</v>
      </c>
      <c r="C995" s="100" t="str">
        <f>IF($B995&lt;&gt;"",_xlfn.IFNA(VLOOKUP($B995,'Node Details'!$B:$U,C$1,0),"Check"),"")</f>
        <v>0000CM307-CM3070105</v>
      </c>
      <c r="D995" s="100" t="str">
        <f>IF($B995&lt;&gt;"",_xlfn.IFNA(VLOOKUP($B995,'Node Details'!$B:$U,D$1,0),"Check"),"")</f>
        <v>CM3</v>
      </c>
      <c r="E995" s="100" t="str">
        <f>IF($B995&lt;&gt;"",_xlfn.IFNA(VLOOKUP($B995,'Node Details'!$B:$U,E$1,0),"Check"),"")</f>
        <v>Airtel</v>
      </c>
      <c r="F995" s="101">
        <v>46149</v>
      </c>
      <c r="G995" s="103"/>
      <c r="H995" s="102" t="s">
        <v>1254</v>
      </c>
      <c r="I995" s="9">
        <v>1</v>
      </c>
      <c r="J995" s="9">
        <v>600</v>
      </c>
      <c r="K995" s="100">
        <f t="shared" si="133"/>
        <v>600</v>
      </c>
      <c r="L995" s="78">
        <v>46142</v>
      </c>
      <c r="M995" s="103"/>
      <c r="N995" s="93" t="s">
        <v>617</v>
      </c>
      <c r="O995" s="94">
        <v>46141</v>
      </c>
      <c r="P995" s="104">
        <f t="shared" si="134"/>
        <v>600</v>
      </c>
      <c r="Q995" s="104">
        <f t="shared" si="135"/>
        <v>600</v>
      </c>
      <c r="R995" s="104"/>
      <c r="S995" s="93" t="s">
        <v>618</v>
      </c>
      <c r="T995" s="94">
        <v>46156</v>
      </c>
      <c r="U995" s="104">
        <f t="shared" si="136"/>
        <v>600</v>
      </c>
      <c r="V995" s="104">
        <f t="shared" si="137"/>
        <v>1</v>
      </c>
      <c r="W995" s="103">
        <f t="shared" si="138"/>
        <v>600</v>
      </c>
      <c r="X995" s="93" t="s">
        <v>89</v>
      </c>
      <c r="Y995" s="105" t="s">
        <v>84</v>
      </c>
      <c r="Z995" s="105" t="s">
        <v>619</v>
      </c>
    </row>
    <row r="996" spans="1:26" s="105" customFormat="1" ht="15" customHeight="1">
      <c r="A996" s="99">
        <f t="shared" si="139"/>
        <v>994</v>
      </c>
      <c r="B996" s="75" t="s">
        <v>1148</v>
      </c>
      <c r="C996" s="100" t="str">
        <f>IF($B996&lt;&gt;"",_xlfn.IFNA(VLOOKUP($B996,'Node Details'!$B:$U,C$1,0),"Check"),"")</f>
        <v>CM3070104-CM3070108</v>
      </c>
      <c r="D996" s="100" t="str">
        <f>IF($B996&lt;&gt;"",_xlfn.IFNA(VLOOKUP($B996,'Node Details'!$B:$U,D$1,0),"Check"),"")</f>
        <v>CM3</v>
      </c>
      <c r="E996" s="100" t="str">
        <f>IF($B996&lt;&gt;"",_xlfn.IFNA(VLOOKUP($B996,'Node Details'!$B:$U,E$1,0),"Check"),"")</f>
        <v>Airtel</v>
      </c>
      <c r="F996" s="101">
        <v>46149</v>
      </c>
      <c r="G996" s="103"/>
      <c r="H996" s="102" t="s">
        <v>1254</v>
      </c>
      <c r="I996" s="9">
        <v>1</v>
      </c>
      <c r="J996" s="9">
        <v>600</v>
      </c>
      <c r="K996" s="100">
        <f t="shared" si="133"/>
        <v>600</v>
      </c>
      <c r="L996" s="78">
        <v>46142</v>
      </c>
      <c r="M996" s="103"/>
      <c r="N996" s="93" t="s">
        <v>617</v>
      </c>
      <c r="O996" s="94">
        <v>46141</v>
      </c>
      <c r="P996" s="104">
        <f t="shared" si="134"/>
        <v>600</v>
      </c>
      <c r="Q996" s="104">
        <f t="shared" si="135"/>
        <v>600</v>
      </c>
      <c r="R996" s="104"/>
      <c r="S996" s="93" t="s">
        <v>618</v>
      </c>
      <c r="T996" s="94">
        <v>46156</v>
      </c>
      <c r="U996" s="104">
        <f t="shared" si="136"/>
        <v>600</v>
      </c>
      <c r="V996" s="104">
        <f t="shared" si="137"/>
        <v>1</v>
      </c>
      <c r="W996" s="103">
        <f t="shared" si="138"/>
        <v>600</v>
      </c>
      <c r="X996" s="93" t="s">
        <v>89</v>
      </c>
      <c r="Y996" s="105" t="s">
        <v>84</v>
      </c>
      <c r="Z996" s="105" t="s">
        <v>619</v>
      </c>
    </row>
    <row r="997" spans="1:26" s="105" customFormat="1" ht="15" customHeight="1">
      <c r="A997" s="99">
        <f t="shared" si="139"/>
        <v>995</v>
      </c>
      <c r="B997" s="75" t="s">
        <v>1149</v>
      </c>
      <c r="C997" s="100" t="str">
        <f>IF($B997&lt;&gt;"",_xlfn.IFNA(VLOOKUP($B997,'Node Details'!$B:$U,C$1,0),"Check"),"")</f>
        <v>CM3070104-CM3070108</v>
      </c>
      <c r="D997" s="100" t="str">
        <f>IF($B997&lt;&gt;"",_xlfn.IFNA(VLOOKUP($B997,'Node Details'!$B:$U,D$1,0),"Check"),"")</f>
        <v>CM3</v>
      </c>
      <c r="E997" s="100" t="str">
        <f>IF($B997&lt;&gt;"",_xlfn.IFNA(VLOOKUP($B997,'Node Details'!$B:$U,E$1,0),"Check"),"")</f>
        <v>Airtel</v>
      </c>
      <c r="F997" s="101">
        <v>46149</v>
      </c>
      <c r="G997" s="103"/>
      <c r="H997" s="102" t="s">
        <v>1254</v>
      </c>
      <c r="I997" s="9">
        <v>1</v>
      </c>
      <c r="J997" s="9">
        <v>600</v>
      </c>
      <c r="K997" s="100">
        <f t="shared" si="133"/>
        <v>600</v>
      </c>
      <c r="L997" s="78">
        <v>46142</v>
      </c>
      <c r="M997" s="103"/>
      <c r="N997" s="93" t="s">
        <v>617</v>
      </c>
      <c r="O997" s="94">
        <v>46141</v>
      </c>
      <c r="P997" s="104">
        <f t="shared" si="134"/>
        <v>600</v>
      </c>
      <c r="Q997" s="104">
        <f t="shared" si="135"/>
        <v>600</v>
      </c>
      <c r="R997" s="104"/>
      <c r="S997" s="93" t="s">
        <v>618</v>
      </c>
      <c r="T997" s="94">
        <v>46156</v>
      </c>
      <c r="U997" s="104">
        <f t="shared" si="136"/>
        <v>600</v>
      </c>
      <c r="V997" s="104">
        <f t="shared" si="137"/>
        <v>1</v>
      </c>
      <c r="W997" s="103">
        <f t="shared" si="138"/>
        <v>600</v>
      </c>
      <c r="X997" s="93" t="s">
        <v>89</v>
      </c>
      <c r="Y997" s="105" t="s">
        <v>84</v>
      </c>
      <c r="Z997" s="105" t="s">
        <v>619</v>
      </c>
    </row>
    <row r="998" spans="1:26" s="105" customFormat="1" ht="15" customHeight="1">
      <c r="A998" s="99">
        <f t="shared" si="139"/>
        <v>996</v>
      </c>
      <c r="B998" s="75" t="s">
        <v>680</v>
      </c>
      <c r="C998" s="100" t="str">
        <f>IF($B998&lt;&gt;"",_xlfn.IFNA(VLOOKUP($B998,'Node Details'!$B:$U,C$1,0),"Check"),"")</f>
        <v>CM3070104-CM3070108</v>
      </c>
      <c r="D998" s="100" t="str">
        <f>IF($B998&lt;&gt;"",_xlfn.IFNA(VLOOKUP($B998,'Node Details'!$B:$U,D$1,0),"Check"),"")</f>
        <v>CM3</v>
      </c>
      <c r="E998" s="100" t="str">
        <f>IF($B998&lt;&gt;"",_xlfn.IFNA(VLOOKUP($B998,'Node Details'!$B:$U,E$1,0),"Check"),"")</f>
        <v>Airtel</v>
      </c>
      <c r="F998" s="101">
        <v>46149</v>
      </c>
      <c r="G998" s="103"/>
      <c r="H998" s="102" t="s">
        <v>1254</v>
      </c>
      <c r="I998" s="9">
        <v>1</v>
      </c>
      <c r="J998" s="9">
        <v>600</v>
      </c>
      <c r="K998" s="100">
        <f t="shared" si="133"/>
        <v>600</v>
      </c>
      <c r="L998" s="78">
        <v>46142</v>
      </c>
      <c r="M998" s="103"/>
      <c r="N998" s="93" t="s">
        <v>617</v>
      </c>
      <c r="O998" s="94">
        <v>46141</v>
      </c>
      <c r="P998" s="104">
        <f t="shared" si="134"/>
        <v>600</v>
      </c>
      <c r="Q998" s="104">
        <f t="shared" si="135"/>
        <v>600</v>
      </c>
      <c r="R998" s="104"/>
      <c r="S998" s="93" t="s">
        <v>618</v>
      </c>
      <c r="T998" s="94">
        <v>46156</v>
      </c>
      <c r="U998" s="104">
        <f t="shared" si="136"/>
        <v>600</v>
      </c>
      <c r="V998" s="104">
        <f t="shared" si="137"/>
        <v>1</v>
      </c>
      <c r="W998" s="103">
        <f t="shared" si="138"/>
        <v>600</v>
      </c>
      <c r="X998" s="93" t="s">
        <v>89</v>
      </c>
      <c r="Y998" s="105" t="s">
        <v>84</v>
      </c>
      <c r="Z998" s="105" t="s">
        <v>619</v>
      </c>
    </row>
    <row r="999" spans="1:26" s="105" customFormat="1" ht="15" customHeight="1">
      <c r="A999" s="99">
        <f t="shared" si="139"/>
        <v>997</v>
      </c>
      <c r="B999" s="75" t="s">
        <v>685</v>
      </c>
      <c r="C999" s="100" t="str">
        <f>IF($B999&lt;&gt;"",_xlfn.IFNA(VLOOKUP($B999,'Node Details'!$B:$U,C$1,0),"Check"),"")</f>
        <v>0000CM308-CM3080103</v>
      </c>
      <c r="D999" s="100" t="str">
        <f>IF($B999&lt;&gt;"",_xlfn.IFNA(VLOOKUP($B999,'Node Details'!$B:$U,D$1,0),"Check"),"")</f>
        <v>CM3</v>
      </c>
      <c r="E999" s="100" t="str">
        <f>IF($B999&lt;&gt;"",_xlfn.IFNA(VLOOKUP($B999,'Node Details'!$B:$U,E$1,0),"Check"),"")</f>
        <v>Airtel</v>
      </c>
      <c r="F999" s="101">
        <v>46149</v>
      </c>
      <c r="G999" s="103"/>
      <c r="H999" s="102" t="s">
        <v>1254</v>
      </c>
      <c r="I999" s="9">
        <v>1</v>
      </c>
      <c r="J999" s="9">
        <v>600</v>
      </c>
      <c r="K999" s="100">
        <f t="shared" si="133"/>
        <v>600</v>
      </c>
      <c r="L999" s="78">
        <v>46142</v>
      </c>
      <c r="M999" s="103"/>
      <c r="N999" s="93" t="s">
        <v>617</v>
      </c>
      <c r="O999" s="94">
        <v>46141</v>
      </c>
      <c r="P999" s="104">
        <f t="shared" si="134"/>
        <v>600</v>
      </c>
      <c r="Q999" s="104">
        <f t="shared" si="135"/>
        <v>600</v>
      </c>
      <c r="R999" s="104"/>
      <c r="S999" s="93" t="s">
        <v>618</v>
      </c>
      <c r="T999" s="94">
        <v>46156</v>
      </c>
      <c r="U999" s="104">
        <f t="shared" si="136"/>
        <v>600</v>
      </c>
      <c r="V999" s="104">
        <f t="shared" si="137"/>
        <v>1</v>
      </c>
      <c r="W999" s="103">
        <f t="shared" si="138"/>
        <v>600</v>
      </c>
      <c r="X999" s="93" t="s">
        <v>89</v>
      </c>
      <c r="Y999" s="105" t="s">
        <v>84</v>
      </c>
      <c r="Z999" s="105" t="s">
        <v>619</v>
      </c>
    </row>
    <row r="1000" spans="1:26" s="105" customFormat="1" ht="15" customHeight="1">
      <c r="A1000" s="99">
        <f t="shared" si="139"/>
        <v>998</v>
      </c>
      <c r="B1000" s="75" t="s">
        <v>683</v>
      </c>
      <c r="C1000" s="100" t="str">
        <f>IF($B1000&lt;&gt;"",_xlfn.IFNA(VLOOKUP($B1000,'Node Details'!$B:$U,C$1,0),"Check"),"")</f>
        <v>0000CM308-CM3080103</v>
      </c>
      <c r="D1000" s="100" t="str">
        <f>IF($B1000&lt;&gt;"",_xlfn.IFNA(VLOOKUP($B1000,'Node Details'!$B:$U,D$1,0),"Check"),"")</f>
        <v>CM3</v>
      </c>
      <c r="E1000" s="100" t="str">
        <f>IF($B1000&lt;&gt;"",_xlfn.IFNA(VLOOKUP($B1000,'Node Details'!$B:$U,E$1,0),"Check"),"")</f>
        <v>Airtel</v>
      </c>
      <c r="F1000" s="101">
        <v>46149</v>
      </c>
      <c r="G1000" s="103"/>
      <c r="H1000" s="102" t="s">
        <v>1254</v>
      </c>
      <c r="I1000" s="9">
        <v>1</v>
      </c>
      <c r="J1000" s="9">
        <v>600</v>
      </c>
      <c r="K1000" s="100">
        <f t="shared" si="133"/>
        <v>600</v>
      </c>
      <c r="L1000" s="78">
        <v>46142</v>
      </c>
      <c r="M1000" s="103"/>
      <c r="N1000" s="93" t="s">
        <v>617</v>
      </c>
      <c r="O1000" s="94">
        <v>46141</v>
      </c>
      <c r="P1000" s="104">
        <f t="shared" si="134"/>
        <v>600</v>
      </c>
      <c r="Q1000" s="104">
        <f t="shared" si="135"/>
        <v>600</v>
      </c>
      <c r="R1000" s="104"/>
      <c r="S1000" s="93" t="s">
        <v>618</v>
      </c>
      <c r="T1000" s="94">
        <v>46156</v>
      </c>
      <c r="U1000" s="104">
        <f t="shared" si="136"/>
        <v>600</v>
      </c>
      <c r="V1000" s="104">
        <f t="shared" si="137"/>
        <v>1</v>
      </c>
      <c r="W1000" s="103">
        <f t="shared" si="138"/>
        <v>600</v>
      </c>
      <c r="X1000" s="93" t="s">
        <v>89</v>
      </c>
      <c r="Y1000" s="105" t="s">
        <v>84</v>
      </c>
      <c r="Z1000" s="105" t="s">
        <v>619</v>
      </c>
    </row>
    <row r="1001" spans="1:26" s="105" customFormat="1" ht="15" customHeight="1">
      <c r="A1001" s="99">
        <f t="shared" si="139"/>
        <v>999</v>
      </c>
      <c r="B1001" s="75" t="s">
        <v>686</v>
      </c>
      <c r="C1001" s="100" t="str">
        <f>IF($B1001&lt;&gt;"",_xlfn.IFNA(VLOOKUP($B1001,'Node Details'!$B:$U,C$1,0),"Check"),"")</f>
        <v>CM3080101-CM3080102</v>
      </c>
      <c r="D1001" s="100" t="str">
        <f>IF($B1001&lt;&gt;"",_xlfn.IFNA(VLOOKUP($B1001,'Node Details'!$B:$U,D$1,0),"Check"),"")</f>
        <v>CM3</v>
      </c>
      <c r="E1001" s="100" t="str">
        <f>IF($B1001&lt;&gt;"",_xlfn.IFNA(VLOOKUP($B1001,'Node Details'!$B:$U,E$1,0),"Check"),"")</f>
        <v>Airtel</v>
      </c>
      <c r="F1001" s="101">
        <v>46149</v>
      </c>
      <c r="G1001" s="103"/>
      <c r="H1001" s="102" t="s">
        <v>1254</v>
      </c>
      <c r="I1001" s="9">
        <v>1</v>
      </c>
      <c r="J1001" s="9">
        <v>600</v>
      </c>
      <c r="K1001" s="100">
        <f t="shared" si="133"/>
        <v>600</v>
      </c>
      <c r="L1001" s="78">
        <v>46142</v>
      </c>
      <c r="M1001" s="103"/>
      <c r="N1001" s="93" t="s">
        <v>617</v>
      </c>
      <c r="O1001" s="94">
        <v>46141</v>
      </c>
      <c r="P1001" s="104">
        <f t="shared" si="134"/>
        <v>600</v>
      </c>
      <c r="Q1001" s="104">
        <f t="shared" si="135"/>
        <v>600</v>
      </c>
      <c r="R1001" s="104"/>
      <c r="S1001" s="93" t="s">
        <v>618</v>
      </c>
      <c r="T1001" s="94">
        <v>46156</v>
      </c>
      <c r="U1001" s="104">
        <f t="shared" si="136"/>
        <v>600</v>
      </c>
      <c r="V1001" s="104">
        <f t="shared" si="137"/>
        <v>1</v>
      </c>
      <c r="W1001" s="103">
        <f t="shared" si="138"/>
        <v>600</v>
      </c>
      <c r="X1001" s="93" t="s">
        <v>89</v>
      </c>
      <c r="Y1001" s="105" t="s">
        <v>84</v>
      </c>
      <c r="Z1001" s="105" t="s">
        <v>619</v>
      </c>
    </row>
    <row r="1002" spans="1:26" s="105" customFormat="1" ht="15" customHeight="1">
      <c r="A1002" s="99">
        <f t="shared" si="139"/>
        <v>1000</v>
      </c>
      <c r="B1002" s="75" t="s">
        <v>688</v>
      </c>
      <c r="C1002" s="100" t="str">
        <f>IF($B1002&lt;&gt;"",_xlfn.IFNA(VLOOKUP($B1002,'Node Details'!$B:$U,C$1,0),"Check"),"")</f>
        <v>CM3080101-CM3080104</v>
      </c>
      <c r="D1002" s="100" t="str">
        <f>IF($B1002&lt;&gt;"",_xlfn.IFNA(VLOOKUP($B1002,'Node Details'!$B:$U,D$1,0),"Check"),"")</f>
        <v>CM3</v>
      </c>
      <c r="E1002" s="100" t="str">
        <f>IF($B1002&lt;&gt;"",_xlfn.IFNA(VLOOKUP($B1002,'Node Details'!$B:$U,E$1,0),"Check"),"")</f>
        <v>Airtel</v>
      </c>
      <c r="F1002" s="101">
        <v>46149</v>
      </c>
      <c r="G1002" s="103"/>
      <c r="H1002" s="102" t="s">
        <v>1254</v>
      </c>
      <c r="I1002" s="9">
        <v>1</v>
      </c>
      <c r="J1002" s="9">
        <v>600</v>
      </c>
      <c r="K1002" s="100">
        <f t="shared" si="133"/>
        <v>600</v>
      </c>
      <c r="L1002" s="78">
        <v>46142</v>
      </c>
      <c r="M1002" s="103"/>
      <c r="N1002" s="93" t="s">
        <v>617</v>
      </c>
      <c r="O1002" s="94">
        <v>46141</v>
      </c>
      <c r="P1002" s="104">
        <f t="shared" si="134"/>
        <v>600</v>
      </c>
      <c r="Q1002" s="104">
        <f t="shared" si="135"/>
        <v>600</v>
      </c>
      <c r="R1002" s="104"/>
      <c r="S1002" s="93" t="s">
        <v>618</v>
      </c>
      <c r="T1002" s="94">
        <v>46156</v>
      </c>
      <c r="U1002" s="104">
        <f t="shared" si="136"/>
        <v>600</v>
      </c>
      <c r="V1002" s="104">
        <f t="shared" si="137"/>
        <v>1</v>
      </c>
      <c r="W1002" s="103">
        <f t="shared" si="138"/>
        <v>600</v>
      </c>
      <c r="X1002" s="93" t="s">
        <v>89</v>
      </c>
      <c r="Y1002" s="105" t="s">
        <v>84</v>
      </c>
      <c r="Z1002" s="105" t="s">
        <v>619</v>
      </c>
    </row>
    <row r="1003" spans="1:26" s="105" customFormat="1" ht="15" customHeight="1">
      <c r="A1003" s="99">
        <f t="shared" si="139"/>
        <v>1001</v>
      </c>
      <c r="B1003" s="75" t="s">
        <v>1150</v>
      </c>
      <c r="C1003" s="100" t="str">
        <f>IF($B1003&lt;&gt;"",_xlfn.IFNA(VLOOKUP($B1003,'Node Details'!$B:$U,C$1,0),"Check"),"")</f>
        <v>CM3080101-CM3080108</v>
      </c>
      <c r="D1003" s="100" t="str">
        <f>IF($B1003&lt;&gt;"",_xlfn.IFNA(VLOOKUP($B1003,'Node Details'!$B:$U,D$1,0),"Check"),"")</f>
        <v>CM3</v>
      </c>
      <c r="E1003" s="100" t="str">
        <f>IF($B1003&lt;&gt;"",_xlfn.IFNA(VLOOKUP($B1003,'Node Details'!$B:$U,E$1,0),"Check"),"")</f>
        <v>Airtel</v>
      </c>
      <c r="F1003" s="101">
        <v>46149</v>
      </c>
      <c r="G1003" s="103"/>
      <c r="H1003" s="102" t="s">
        <v>1254</v>
      </c>
      <c r="I1003" s="9">
        <v>1</v>
      </c>
      <c r="J1003" s="9">
        <v>600</v>
      </c>
      <c r="K1003" s="100">
        <f t="shared" si="133"/>
        <v>600</v>
      </c>
      <c r="L1003" s="78">
        <v>46142</v>
      </c>
      <c r="M1003" s="103"/>
      <c r="N1003" s="93" t="s">
        <v>617</v>
      </c>
      <c r="O1003" s="94">
        <v>46141</v>
      </c>
      <c r="P1003" s="104">
        <f t="shared" si="134"/>
        <v>600</v>
      </c>
      <c r="Q1003" s="104">
        <f t="shared" si="135"/>
        <v>600</v>
      </c>
      <c r="R1003" s="104"/>
      <c r="S1003" s="93" t="s">
        <v>618</v>
      </c>
      <c r="T1003" s="94">
        <v>46156</v>
      </c>
      <c r="U1003" s="104">
        <f t="shared" si="136"/>
        <v>600</v>
      </c>
      <c r="V1003" s="104">
        <f t="shared" si="137"/>
        <v>1</v>
      </c>
      <c r="W1003" s="103">
        <f t="shared" si="138"/>
        <v>600</v>
      </c>
      <c r="X1003" s="93" t="s">
        <v>89</v>
      </c>
      <c r="Y1003" s="105" t="s">
        <v>84</v>
      </c>
      <c r="Z1003" s="105" t="s">
        <v>619</v>
      </c>
    </row>
    <row r="1004" spans="1:26" s="105" customFormat="1" ht="15" customHeight="1">
      <c r="A1004" s="99">
        <f t="shared" si="139"/>
        <v>1002</v>
      </c>
      <c r="B1004" s="75" t="s">
        <v>1151</v>
      </c>
      <c r="C1004" s="100" t="str">
        <f>IF($B1004&lt;&gt;"",_xlfn.IFNA(VLOOKUP($B1004,'Node Details'!$B:$U,C$1,0),"Check"),"")</f>
        <v>CM3080101-CM3080108</v>
      </c>
      <c r="D1004" s="100" t="str">
        <f>IF($B1004&lt;&gt;"",_xlfn.IFNA(VLOOKUP($B1004,'Node Details'!$B:$U,D$1,0),"Check"),"")</f>
        <v>CM3</v>
      </c>
      <c r="E1004" s="100" t="str">
        <f>IF($B1004&lt;&gt;"",_xlfn.IFNA(VLOOKUP($B1004,'Node Details'!$B:$U,E$1,0),"Check"),"")</f>
        <v>Airtel</v>
      </c>
      <c r="F1004" s="101">
        <v>46149</v>
      </c>
      <c r="G1004" s="103"/>
      <c r="H1004" s="102" t="s">
        <v>1254</v>
      </c>
      <c r="I1004" s="9">
        <v>1</v>
      </c>
      <c r="J1004" s="9">
        <v>600</v>
      </c>
      <c r="K1004" s="100">
        <f t="shared" si="133"/>
        <v>600</v>
      </c>
      <c r="L1004" s="78">
        <v>46142</v>
      </c>
      <c r="M1004" s="103"/>
      <c r="N1004" s="93" t="s">
        <v>617</v>
      </c>
      <c r="O1004" s="94">
        <v>46141</v>
      </c>
      <c r="P1004" s="104">
        <f t="shared" si="134"/>
        <v>600</v>
      </c>
      <c r="Q1004" s="104">
        <f t="shared" si="135"/>
        <v>600</v>
      </c>
      <c r="R1004" s="104"/>
      <c r="S1004" s="93" t="s">
        <v>618</v>
      </c>
      <c r="T1004" s="94">
        <v>46156</v>
      </c>
      <c r="U1004" s="104">
        <f t="shared" si="136"/>
        <v>600</v>
      </c>
      <c r="V1004" s="104">
        <f t="shared" si="137"/>
        <v>1</v>
      </c>
      <c r="W1004" s="103">
        <f t="shared" si="138"/>
        <v>600</v>
      </c>
      <c r="X1004" s="93" t="s">
        <v>89</v>
      </c>
      <c r="Y1004" s="105" t="s">
        <v>84</v>
      </c>
      <c r="Z1004" s="105" t="s">
        <v>619</v>
      </c>
    </row>
    <row r="1005" spans="1:26" s="105" customFormat="1" ht="15" customHeight="1">
      <c r="A1005" s="99">
        <f t="shared" si="139"/>
        <v>1003</v>
      </c>
      <c r="B1005" s="75" t="s">
        <v>1152</v>
      </c>
      <c r="C1005" s="100" t="str">
        <f>IF($B1005&lt;&gt;"",_xlfn.IFNA(VLOOKUP($B1005,'Node Details'!$B:$U,C$1,0),"Check"),"")</f>
        <v>CM3080101-CM3080108</v>
      </c>
      <c r="D1005" s="100" t="str">
        <f>IF($B1005&lt;&gt;"",_xlfn.IFNA(VLOOKUP($B1005,'Node Details'!$B:$U,D$1,0),"Check"),"")</f>
        <v>CM3</v>
      </c>
      <c r="E1005" s="100" t="str">
        <f>IF($B1005&lt;&gt;"",_xlfn.IFNA(VLOOKUP($B1005,'Node Details'!$B:$U,E$1,0),"Check"),"")</f>
        <v>Airtel</v>
      </c>
      <c r="F1005" s="101">
        <v>46149</v>
      </c>
      <c r="G1005" s="103"/>
      <c r="H1005" s="102" t="s">
        <v>1254</v>
      </c>
      <c r="I1005" s="9">
        <v>1</v>
      </c>
      <c r="J1005" s="9">
        <v>600</v>
      </c>
      <c r="K1005" s="100">
        <f t="shared" si="133"/>
        <v>600</v>
      </c>
      <c r="L1005" s="78">
        <v>46142</v>
      </c>
      <c r="M1005" s="103"/>
      <c r="N1005" s="93" t="s">
        <v>617</v>
      </c>
      <c r="O1005" s="94">
        <v>46141</v>
      </c>
      <c r="P1005" s="104">
        <f t="shared" si="134"/>
        <v>600</v>
      </c>
      <c r="Q1005" s="104">
        <f t="shared" si="135"/>
        <v>600</v>
      </c>
      <c r="R1005" s="104"/>
      <c r="S1005" s="93" t="s">
        <v>618</v>
      </c>
      <c r="T1005" s="94">
        <v>46156</v>
      </c>
      <c r="U1005" s="104">
        <f t="shared" si="136"/>
        <v>600</v>
      </c>
      <c r="V1005" s="104">
        <f t="shared" si="137"/>
        <v>1</v>
      </c>
      <c r="W1005" s="103">
        <f t="shared" si="138"/>
        <v>600</v>
      </c>
      <c r="X1005" s="93" t="s">
        <v>89</v>
      </c>
      <c r="Y1005" s="105" t="s">
        <v>84</v>
      </c>
      <c r="Z1005" s="105" t="s">
        <v>619</v>
      </c>
    </row>
    <row r="1006" spans="1:26" s="105" customFormat="1" ht="15" customHeight="1">
      <c r="A1006" s="99">
        <f t="shared" si="139"/>
        <v>1004</v>
      </c>
      <c r="B1006" s="75" t="s">
        <v>690</v>
      </c>
      <c r="C1006" s="100" t="str">
        <f>IF($B1006&lt;&gt;"",_xlfn.IFNA(VLOOKUP($B1006,'Node Details'!$B:$U,C$1,0),"Check"),"")</f>
        <v>CM3080101-CM3080108</v>
      </c>
      <c r="D1006" s="100" t="str">
        <f>IF($B1006&lt;&gt;"",_xlfn.IFNA(VLOOKUP($B1006,'Node Details'!$B:$U,D$1,0),"Check"),"")</f>
        <v>CM3</v>
      </c>
      <c r="E1006" s="100" t="str">
        <f>IF($B1006&lt;&gt;"",_xlfn.IFNA(VLOOKUP($B1006,'Node Details'!$B:$U,E$1,0),"Check"),"")</f>
        <v>Airtel</v>
      </c>
      <c r="F1006" s="101">
        <v>46149</v>
      </c>
      <c r="G1006" s="103"/>
      <c r="H1006" s="102" t="s">
        <v>1254</v>
      </c>
      <c r="I1006" s="9">
        <v>1</v>
      </c>
      <c r="J1006" s="9">
        <v>600</v>
      </c>
      <c r="K1006" s="100">
        <f t="shared" si="133"/>
        <v>600</v>
      </c>
      <c r="L1006" s="78">
        <v>46142</v>
      </c>
      <c r="M1006" s="103"/>
      <c r="N1006" s="93" t="s">
        <v>617</v>
      </c>
      <c r="O1006" s="94">
        <v>46141</v>
      </c>
      <c r="P1006" s="104">
        <f t="shared" si="134"/>
        <v>600</v>
      </c>
      <c r="Q1006" s="104">
        <f t="shared" si="135"/>
        <v>600</v>
      </c>
      <c r="R1006" s="104"/>
      <c r="S1006" s="93" t="s">
        <v>618</v>
      </c>
      <c r="T1006" s="94">
        <v>46156</v>
      </c>
      <c r="U1006" s="104">
        <f t="shared" si="136"/>
        <v>600</v>
      </c>
      <c r="V1006" s="104">
        <f t="shared" si="137"/>
        <v>1</v>
      </c>
      <c r="W1006" s="103">
        <f t="shared" si="138"/>
        <v>600</v>
      </c>
      <c r="X1006" s="93" t="s">
        <v>89</v>
      </c>
      <c r="Y1006" s="105" t="s">
        <v>84</v>
      </c>
      <c r="Z1006" s="105" t="s">
        <v>619</v>
      </c>
    </row>
    <row r="1007" spans="1:26" s="105" customFormat="1" ht="15" customHeight="1">
      <c r="A1007" s="99">
        <f t="shared" si="139"/>
        <v>1005</v>
      </c>
      <c r="B1007" s="75" t="s">
        <v>1153</v>
      </c>
      <c r="C1007" s="100" t="str">
        <f>IF($B1007&lt;&gt;"",_xlfn.IFNA(VLOOKUP($B1007,'Node Details'!$B:$U,C$1,0),"Check"),"")</f>
        <v>0000CM309-CM3090103</v>
      </c>
      <c r="D1007" s="100" t="str">
        <f>IF($B1007&lt;&gt;"",_xlfn.IFNA(VLOOKUP($B1007,'Node Details'!$B:$U,D$1,0),"Check"),"")</f>
        <v>CM3</v>
      </c>
      <c r="E1007" s="100" t="str">
        <f>IF($B1007&lt;&gt;"",_xlfn.IFNA(VLOOKUP($B1007,'Node Details'!$B:$U,E$1,0),"Check"),"")</f>
        <v>Airtel</v>
      </c>
      <c r="F1007" s="101">
        <v>46149</v>
      </c>
      <c r="G1007" s="103"/>
      <c r="H1007" s="102" t="s">
        <v>1254</v>
      </c>
      <c r="I1007" s="9">
        <v>1</v>
      </c>
      <c r="J1007" s="9">
        <v>600</v>
      </c>
      <c r="K1007" s="100">
        <f t="shared" si="133"/>
        <v>600</v>
      </c>
      <c r="L1007" s="78">
        <v>46142</v>
      </c>
      <c r="M1007" s="103"/>
      <c r="N1007" s="93" t="s">
        <v>617</v>
      </c>
      <c r="O1007" s="94">
        <v>46141</v>
      </c>
      <c r="P1007" s="104">
        <f t="shared" si="134"/>
        <v>600</v>
      </c>
      <c r="Q1007" s="104">
        <f t="shared" si="135"/>
        <v>600</v>
      </c>
      <c r="R1007" s="104"/>
      <c r="S1007" s="93" t="s">
        <v>618</v>
      </c>
      <c r="T1007" s="94">
        <v>46156</v>
      </c>
      <c r="U1007" s="104">
        <f t="shared" si="136"/>
        <v>600</v>
      </c>
      <c r="V1007" s="104">
        <f t="shared" si="137"/>
        <v>1</v>
      </c>
      <c r="W1007" s="103">
        <f t="shared" si="138"/>
        <v>600</v>
      </c>
      <c r="X1007" s="93" t="s">
        <v>89</v>
      </c>
      <c r="Y1007" s="105" t="s">
        <v>84</v>
      </c>
      <c r="Z1007" s="105" t="s">
        <v>619</v>
      </c>
    </row>
    <row r="1008" spans="1:26" s="105" customFormat="1" ht="15" customHeight="1">
      <c r="A1008" s="99">
        <f t="shared" si="139"/>
        <v>1006</v>
      </c>
      <c r="B1008" s="75" t="s">
        <v>1154</v>
      </c>
      <c r="C1008" s="100" t="str">
        <f>IF($B1008&lt;&gt;"",_xlfn.IFNA(VLOOKUP($B1008,'Node Details'!$B:$U,C$1,0),"Check"),"")</f>
        <v>0000CM309-CM3090103</v>
      </c>
      <c r="D1008" s="100" t="str">
        <f>IF($B1008&lt;&gt;"",_xlfn.IFNA(VLOOKUP($B1008,'Node Details'!$B:$U,D$1,0),"Check"),"")</f>
        <v>CM3</v>
      </c>
      <c r="E1008" s="100" t="str">
        <f>IF($B1008&lt;&gt;"",_xlfn.IFNA(VLOOKUP($B1008,'Node Details'!$B:$U,E$1,0),"Check"),"")</f>
        <v>Airtel</v>
      </c>
      <c r="F1008" s="101">
        <v>46149</v>
      </c>
      <c r="G1008" s="103"/>
      <c r="H1008" s="102" t="s">
        <v>1254</v>
      </c>
      <c r="I1008" s="9">
        <v>1</v>
      </c>
      <c r="J1008" s="9">
        <v>600</v>
      </c>
      <c r="K1008" s="100">
        <f t="shared" si="133"/>
        <v>600</v>
      </c>
      <c r="L1008" s="78">
        <v>46142</v>
      </c>
      <c r="M1008" s="103"/>
      <c r="N1008" s="93" t="s">
        <v>617</v>
      </c>
      <c r="O1008" s="94">
        <v>46141</v>
      </c>
      <c r="P1008" s="104">
        <f t="shared" si="134"/>
        <v>600</v>
      </c>
      <c r="Q1008" s="104">
        <f t="shared" si="135"/>
        <v>600</v>
      </c>
      <c r="R1008" s="104"/>
      <c r="S1008" s="93" t="s">
        <v>618</v>
      </c>
      <c r="T1008" s="94">
        <v>46156</v>
      </c>
      <c r="U1008" s="104">
        <f t="shared" si="136"/>
        <v>600</v>
      </c>
      <c r="V1008" s="104">
        <f t="shared" si="137"/>
        <v>1</v>
      </c>
      <c r="W1008" s="103">
        <f t="shared" si="138"/>
        <v>600</v>
      </c>
      <c r="X1008" s="93" t="s">
        <v>89</v>
      </c>
      <c r="Y1008" s="105" t="s">
        <v>84</v>
      </c>
      <c r="Z1008" s="105" t="s">
        <v>619</v>
      </c>
    </row>
    <row r="1009" spans="1:26" s="105" customFormat="1" ht="15" customHeight="1">
      <c r="A1009" s="99">
        <f t="shared" si="139"/>
        <v>1007</v>
      </c>
      <c r="B1009" s="75" t="s">
        <v>693</v>
      </c>
      <c r="C1009" s="100" t="str">
        <f>IF($B1009&lt;&gt;"",_xlfn.IFNA(VLOOKUP($B1009,'Node Details'!$B:$U,C$1,0),"Check"),"")</f>
        <v>0000CM309-CM3090103</v>
      </c>
      <c r="D1009" s="100" t="str">
        <f>IF($B1009&lt;&gt;"",_xlfn.IFNA(VLOOKUP($B1009,'Node Details'!$B:$U,D$1,0),"Check"),"")</f>
        <v>CM3</v>
      </c>
      <c r="E1009" s="100" t="str">
        <f>IF($B1009&lt;&gt;"",_xlfn.IFNA(VLOOKUP($B1009,'Node Details'!$B:$U,E$1,0),"Check"),"")</f>
        <v>Airtel</v>
      </c>
      <c r="F1009" s="101">
        <v>46149</v>
      </c>
      <c r="G1009" s="103"/>
      <c r="H1009" s="102" t="s">
        <v>1254</v>
      </c>
      <c r="I1009" s="9">
        <v>1</v>
      </c>
      <c r="J1009" s="9">
        <v>600</v>
      </c>
      <c r="K1009" s="100">
        <f t="shared" si="133"/>
        <v>600</v>
      </c>
      <c r="L1009" s="78">
        <v>46142</v>
      </c>
      <c r="M1009" s="103"/>
      <c r="N1009" s="93" t="s">
        <v>617</v>
      </c>
      <c r="O1009" s="94">
        <v>46141</v>
      </c>
      <c r="P1009" s="104">
        <f t="shared" si="134"/>
        <v>600</v>
      </c>
      <c r="Q1009" s="104">
        <f t="shared" si="135"/>
        <v>600</v>
      </c>
      <c r="R1009" s="104"/>
      <c r="S1009" s="93" t="s">
        <v>618</v>
      </c>
      <c r="T1009" s="94">
        <v>46156</v>
      </c>
      <c r="U1009" s="104">
        <f t="shared" si="136"/>
        <v>600</v>
      </c>
      <c r="V1009" s="104">
        <f t="shared" si="137"/>
        <v>1</v>
      </c>
      <c r="W1009" s="103">
        <f t="shared" si="138"/>
        <v>600</v>
      </c>
      <c r="X1009" s="93" t="s">
        <v>89</v>
      </c>
      <c r="Y1009" s="105" t="s">
        <v>84</v>
      </c>
      <c r="Z1009" s="105" t="s">
        <v>619</v>
      </c>
    </row>
    <row r="1010" spans="1:26" s="105" customFormat="1" ht="15" customHeight="1">
      <c r="A1010" s="99">
        <f t="shared" si="139"/>
        <v>1008</v>
      </c>
      <c r="B1010" s="75" t="s">
        <v>695</v>
      </c>
      <c r="C1010" s="100" t="str">
        <f>IF($B1010&lt;&gt;"",_xlfn.IFNA(VLOOKUP($B1010,'Node Details'!$B:$U,C$1,0),"Check"),"")</f>
        <v>0000CM309-CM3090104</v>
      </c>
      <c r="D1010" s="100" t="str">
        <f>IF($B1010&lt;&gt;"",_xlfn.IFNA(VLOOKUP($B1010,'Node Details'!$B:$U,D$1,0),"Check"),"")</f>
        <v>CM3</v>
      </c>
      <c r="E1010" s="100" t="str">
        <f>IF($B1010&lt;&gt;"",_xlfn.IFNA(VLOOKUP($B1010,'Node Details'!$B:$U,E$1,0),"Check"),"")</f>
        <v>Airtel</v>
      </c>
      <c r="F1010" s="101">
        <v>46149</v>
      </c>
      <c r="G1010" s="103"/>
      <c r="H1010" s="102" t="s">
        <v>1254</v>
      </c>
      <c r="I1010" s="9">
        <v>1</v>
      </c>
      <c r="J1010" s="9">
        <v>600</v>
      </c>
      <c r="K1010" s="100">
        <f t="shared" si="133"/>
        <v>600</v>
      </c>
      <c r="L1010" s="78">
        <v>46142</v>
      </c>
      <c r="M1010" s="103"/>
      <c r="N1010" s="93" t="s">
        <v>617</v>
      </c>
      <c r="O1010" s="94">
        <v>46141</v>
      </c>
      <c r="P1010" s="104">
        <f t="shared" si="134"/>
        <v>600</v>
      </c>
      <c r="Q1010" s="104">
        <f t="shared" si="135"/>
        <v>600</v>
      </c>
      <c r="R1010" s="104"/>
      <c r="S1010" s="93" t="s">
        <v>618</v>
      </c>
      <c r="T1010" s="94">
        <v>46156</v>
      </c>
      <c r="U1010" s="104">
        <f t="shared" si="136"/>
        <v>600</v>
      </c>
      <c r="V1010" s="104">
        <f t="shared" si="137"/>
        <v>1</v>
      </c>
      <c r="W1010" s="103">
        <f t="shared" si="138"/>
        <v>600</v>
      </c>
      <c r="X1010" s="93" t="s">
        <v>89</v>
      </c>
      <c r="Y1010" s="105" t="s">
        <v>84</v>
      </c>
      <c r="Z1010" s="105" t="s">
        <v>619</v>
      </c>
    </row>
    <row r="1011" spans="1:26" s="105" customFormat="1" ht="15" customHeight="1">
      <c r="A1011" s="99">
        <f t="shared" si="139"/>
        <v>1009</v>
      </c>
      <c r="B1011" s="75" t="s">
        <v>1155</v>
      </c>
      <c r="C1011" s="100" t="str">
        <f>IF($B1011&lt;&gt;"",_xlfn.IFNA(VLOOKUP($B1011,'Node Details'!$B:$U,C$1,0),"Check"),"")</f>
        <v>0000CM309-CM3090107</v>
      </c>
      <c r="D1011" s="100" t="str">
        <f>IF($B1011&lt;&gt;"",_xlfn.IFNA(VLOOKUP($B1011,'Node Details'!$B:$U,D$1,0),"Check"),"")</f>
        <v>CM3</v>
      </c>
      <c r="E1011" s="100" t="str">
        <f>IF($B1011&lt;&gt;"",_xlfn.IFNA(VLOOKUP($B1011,'Node Details'!$B:$U,E$1,0),"Check"),"")</f>
        <v>Airtel</v>
      </c>
      <c r="F1011" s="101">
        <v>46149</v>
      </c>
      <c r="G1011" s="103"/>
      <c r="H1011" s="102" t="s">
        <v>1254</v>
      </c>
      <c r="I1011" s="9">
        <v>1</v>
      </c>
      <c r="J1011" s="9">
        <v>600</v>
      </c>
      <c r="K1011" s="100">
        <f t="shared" si="133"/>
        <v>600</v>
      </c>
      <c r="L1011" s="78">
        <v>46142</v>
      </c>
      <c r="M1011" s="103"/>
      <c r="N1011" s="93" t="s">
        <v>617</v>
      </c>
      <c r="O1011" s="94">
        <v>46141</v>
      </c>
      <c r="P1011" s="104">
        <f t="shared" si="134"/>
        <v>600</v>
      </c>
      <c r="Q1011" s="104">
        <f t="shared" si="135"/>
        <v>600</v>
      </c>
      <c r="R1011" s="104"/>
      <c r="S1011" s="93" t="s">
        <v>618</v>
      </c>
      <c r="T1011" s="94">
        <v>46156</v>
      </c>
      <c r="U1011" s="104">
        <f t="shared" si="136"/>
        <v>600</v>
      </c>
      <c r="V1011" s="104">
        <f t="shared" si="137"/>
        <v>1</v>
      </c>
      <c r="W1011" s="103">
        <f t="shared" si="138"/>
        <v>600</v>
      </c>
      <c r="X1011" s="93" t="s">
        <v>89</v>
      </c>
      <c r="Y1011" s="105" t="s">
        <v>84</v>
      </c>
      <c r="Z1011" s="105" t="s">
        <v>619</v>
      </c>
    </row>
    <row r="1012" spans="1:26" s="105" customFormat="1" ht="15" customHeight="1">
      <c r="A1012" s="99">
        <f t="shared" si="139"/>
        <v>1010</v>
      </c>
      <c r="B1012" s="75" t="s">
        <v>1156</v>
      </c>
      <c r="C1012" s="100" t="str">
        <f>IF($B1012&lt;&gt;"",_xlfn.IFNA(VLOOKUP($B1012,'Node Details'!$B:$U,C$1,0),"Check"),"")</f>
        <v>0000CM309-CM3090107</v>
      </c>
      <c r="D1012" s="100" t="str">
        <f>IF($B1012&lt;&gt;"",_xlfn.IFNA(VLOOKUP($B1012,'Node Details'!$B:$U,D$1,0),"Check"),"")</f>
        <v>CM3</v>
      </c>
      <c r="E1012" s="100" t="str">
        <f>IF($B1012&lt;&gt;"",_xlfn.IFNA(VLOOKUP($B1012,'Node Details'!$B:$U,E$1,0),"Check"),"")</f>
        <v>Airtel</v>
      </c>
      <c r="F1012" s="101">
        <v>46149</v>
      </c>
      <c r="G1012" s="103"/>
      <c r="H1012" s="102" t="s">
        <v>1254</v>
      </c>
      <c r="I1012" s="9">
        <v>1</v>
      </c>
      <c r="J1012" s="9">
        <v>600</v>
      </c>
      <c r="K1012" s="100">
        <f t="shared" si="133"/>
        <v>600</v>
      </c>
      <c r="L1012" s="78">
        <v>46142</v>
      </c>
      <c r="M1012" s="103"/>
      <c r="N1012" s="93" t="s">
        <v>617</v>
      </c>
      <c r="O1012" s="94">
        <v>46141</v>
      </c>
      <c r="P1012" s="104">
        <f t="shared" si="134"/>
        <v>600</v>
      </c>
      <c r="Q1012" s="104">
        <f t="shared" si="135"/>
        <v>600</v>
      </c>
      <c r="R1012" s="104"/>
      <c r="S1012" s="93" t="s">
        <v>618</v>
      </c>
      <c r="T1012" s="94">
        <v>46156</v>
      </c>
      <c r="U1012" s="104">
        <f t="shared" si="136"/>
        <v>600</v>
      </c>
      <c r="V1012" s="104">
        <f t="shared" si="137"/>
        <v>1</v>
      </c>
      <c r="W1012" s="103">
        <f t="shared" si="138"/>
        <v>600</v>
      </c>
      <c r="X1012" s="93" t="s">
        <v>89</v>
      </c>
      <c r="Y1012" s="105" t="s">
        <v>84</v>
      </c>
      <c r="Z1012" s="105" t="s">
        <v>619</v>
      </c>
    </row>
    <row r="1013" spans="1:26" s="105" customFormat="1" ht="15" customHeight="1">
      <c r="A1013" s="99">
        <f t="shared" si="139"/>
        <v>1011</v>
      </c>
      <c r="B1013" s="75" t="s">
        <v>697</v>
      </c>
      <c r="C1013" s="100" t="str">
        <f>IF($B1013&lt;&gt;"",_xlfn.IFNA(VLOOKUP($B1013,'Node Details'!$B:$U,C$1,0),"Check"),"")</f>
        <v>0000CM309-CM3090107</v>
      </c>
      <c r="D1013" s="100" t="str">
        <f>IF($B1013&lt;&gt;"",_xlfn.IFNA(VLOOKUP($B1013,'Node Details'!$B:$U,D$1,0),"Check"),"")</f>
        <v>CM3</v>
      </c>
      <c r="E1013" s="100" t="str">
        <f>IF($B1013&lt;&gt;"",_xlfn.IFNA(VLOOKUP($B1013,'Node Details'!$B:$U,E$1,0),"Check"),"")</f>
        <v>Airtel</v>
      </c>
      <c r="F1013" s="101">
        <v>46149</v>
      </c>
      <c r="G1013" s="103"/>
      <c r="H1013" s="102" t="s">
        <v>1254</v>
      </c>
      <c r="I1013" s="9">
        <v>1</v>
      </c>
      <c r="J1013" s="9">
        <v>600</v>
      </c>
      <c r="K1013" s="100">
        <f t="shared" si="133"/>
        <v>600</v>
      </c>
      <c r="L1013" s="78">
        <v>46142</v>
      </c>
      <c r="M1013" s="103"/>
      <c r="N1013" s="93" t="s">
        <v>617</v>
      </c>
      <c r="O1013" s="94">
        <v>46141</v>
      </c>
      <c r="P1013" s="104">
        <f t="shared" si="134"/>
        <v>600</v>
      </c>
      <c r="Q1013" s="104">
        <f t="shared" si="135"/>
        <v>600</v>
      </c>
      <c r="R1013" s="104"/>
      <c r="S1013" s="93" t="s">
        <v>618</v>
      </c>
      <c r="T1013" s="94">
        <v>46156</v>
      </c>
      <c r="U1013" s="104">
        <f t="shared" si="136"/>
        <v>600</v>
      </c>
      <c r="V1013" s="104">
        <f t="shared" si="137"/>
        <v>1</v>
      </c>
      <c r="W1013" s="103">
        <f t="shared" si="138"/>
        <v>600</v>
      </c>
      <c r="X1013" s="93" t="s">
        <v>89</v>
      </c>
      <c r="Y1013" s="105" t="s">
        <v>84</v>
      </c>
      <c r="Z1013" s="105" t="s">
        <v>619</v>
      </c>
    </row>
    <row r="1014" spans="1:26" s="105" customFormat="1" ht="15" customHeight="1">
      <c r="A1014" s="99">
        <f t="shared" si="139"/>
        <v>1012</v>
      </c>
      <c r="B1014" s="75" t="s">
        <v>699</v>
      </c>
      <c r="C1014" s="100" t="str">
        <f>IF($B1014&lt;&gt;"",_xlfn.IFNA(VLOOKUP($B1014,'Node Details'!$B:$U,C$1,0),"Check"),"")</f>
        <v>0000CM310-CM3100104</v>
      </c>
      <c r="D1014" s="100" t="str">
        <f>IF($B1014&lt;&gt;"",_xlfn.IFNA(VLOOKUP($B1014,'Node Details'!$B:$U,D$1,0),"Check"),"")</f>
        <v>CM3</v>
      </c>
      <c r="E1014" s="100" t="str">
        <f>IF($B1014&lt;&gt;"",_xlfn.IFNA(VLOOKUP($B1014,'Node Details'!$B:$U,E$1,0),"Check"),"")</f>
        <v>Airtel</v>
      </c>
      <c r="F1014" s="101">
        <v>46149</v>
      </c>
      <c r="G1014" s="103"/>
      <c r="H1014" s="102" t="s">
        <v>1254</v>
      </c>
      <c r="I1014" s="9">
        <v>1</v>
      </c>
      <c r="J1014" s="9">
        <v>600</v>
      </c>
      <c r="K1014" s="100">
        <f t="shared" si="133"/>
        <v>600</v>
      </c>
      <c r="L1014" s="78">
        <v>46142</v>
      </c>
      <c r="M1014" s="103"/>
      <c r="N1014" s="93" t="s">
        <v>617</v>
      </c>
      <c r="O1014" s="94">
        <v>46141</v>
      </c>
      <c r="P1014" s="104">
        <f t="shared" si="134"/>
        <v>600</v>
      </c>
      <c r="Q1014" s="104">
        <f t="shared" si="135"/>
        <v>600</v>
      </c>
      <c r="R1014" s="104"/>
      <c r="S1014" s="93" t="s">
        <v>618</v>
      </c>
      <c r="T1014" s="94">
        <v>46156</v>
      </c>
      <c r="U1014" s="104">
        <f t="shared" si="136"/>
        <v>600</v>
      </c>
      <c r="V1014" s="104">
        <f t="shared" si="137"/>
        <v>1</v>
      </c>
      <c r="W1014" s="103">
        <f t="shared" si="138"/>
        <v>600</v>
      </c>
      <c r="X1014" s="93" t="s">
        <v>89</v>
      </c>
      <c r="Y1014" s="105" t="s">
        <v>84</v>
      </c>
      <c r="Z1014" s="105" t="s">
        <v>619</v>
      </c>
    </row>
    <row r="1015" spans="1:26" s="105" customFormat="1" ht="15" customHeight="1">
      <c r="A1015" s="99">
        <f t="shared" si="139"/>
        <v>1013</v>
      </c>
      <c r="B1015" s="75" t="s">
        <v>1157</v>
      </c>
      <c r="C1015" s="100" t="str">
        <f>IF($B1015&lt;&gt;"",_xlfn.IFNA(VLOOKUP($B1015,'Node Details'!$B:$U,C$1,0),"Check"),"")</f>
        <v>0000CM310-CM3100103</v>
      </c>
      <c r="D1015" s="100" t="str">
        <f>IF($B1015&lt;&gt;"",_xlfn.IFNA(VLOOKUP($B1015,'Node Details'!$B:$U,D$1,0),"Check"),"")</f>
        <v>CM3</v>
      </c>
      <c r="E1015" s="100" t="str">
        <f>IF($B1015&lt;&gt;"",_xlfn.IFNA(VLOOKUP($B1015,'Node Details'!$B:$U,E$1,0),"Check"),"")</f>
        <v>Airtel</v>
      </c>
      <c r="F1015" s="101">
        <v>46149</v>
      </c>
      <c r="G1015" s="103"/>
      <c r="H1015" s="102" t="s">
        <v>1254</v>
      </c>
      <c r="I1015" s="9">
        <v>1</v>
      </c>
      <c r="J1015" s="9">
        <v>600</v>
      </c>
      <c r="K1015" s="100">
        <f t="shared" si="133"/>
        <v>600</v>
      </c>
      <c r="L1015" s="78">
        <v>46142</v>
      </c>
      <c r="M1015" s="103"/>
      <c r="N1015" s="93" t="s">
        <v>617</v>
      </c>
      <c r="O1015" s="94">
        <v>46141</v>
      </c>
      <c r="P1015" s="104">
        <f t="shared" si="134"/>
        <v>600</v>
      </c>
      <c r="Q1015" s="104">
        <f t="shared" si="135"/>
        <v>600</v>
      </c>
      <c r="R1015" s="104"/>
      <c r="S1015" s="93" t="s">
        <v>618</v>
      </c>
      <c r="T1015" s="94">
        <v>46156</v>
      </c>
      <c r="U1015" s="104">
        <f t="shared" si="136"/>
        <v>600</v>
      </c>
      <c r="V1015" s="104">
        <f t="shared" si="137"/>
        <v>1</v>
      </c>
      <c r="W1015" s="103">
        <f t="shared" si="138"/>
        <v>600</v>
      </c>
      <c r="X1015" s="93" t="s">
        <v>89</v>
      </c>
      <c r="Y1015" s="105" t="s">
        <v>84</v>
      </c>
      <c r="Z1015" s="105" t="s">
        <v>619</v>
      </c>
    </row>
    <row r="1016" spans="1:26" s="105" customFormat="1" ht="15" customHeight="1">
      <c r="A1016" s="99">
        <f t="shared" si="139"/>
        <v>1014</v>
      </c>
      <c r="B1016" s="75" t="s">
        <v>1158</v>
      </c>
      <c r="C1016" s="100" t="str">
        <f>IF($B1016&lt;&gt;"",_xlfn.IFNA(VLOOKUP($B1016,'Node Details'!$B:$U,C$1,0),"Check"),"")</f>
        <v>0000CM310-CM3100103</v>
      </c>
      <c r="D1016" s="100" t="str">
        <f>IF($B1016&lt;&gt;"",_xlfn.IFNA(VLOOKUP($B1016,'Node Details'!$B:$U,D$1,0),"Check"),"")</f>
        <v>CM3</v>
      </c>
      <c r="E1016" s="100" t="str">
        <f>IF($B1016&lt;&gt;"",_xlfn.IFNA(VLOOKUP($B1016,'Node Details'!$B:$U,E$1,0),"Check"),"")</f>
        <v>Airtel</v>
      </c>
      <c r="F1016" s="101">
        <v>46149</v>
      </c>
      <c r="G1016" s="103"/>
      <c r="H1016" s="102" t="s">
        <v>1254</v>
      </c>
      <c r="I1016" s="9">
        <v>1</v>
      </c>
      <c r="J1016" s="9">
        <v>600</v>
      </c>
      <c r="K1016" s="100">
        <f t="shared" si="133"/>
        <v>600</v>
      </c>
      <c r="L1016" s="78">
        <v>46142</v>
      </c>
      <c r="M1016" s="103"/>
      <c r="N1016" s="93" t="s">
        <v>617</v>
      </c>
      <c r="O1016" s="94">
        <v>46141</v>
      </c>
      <c r="P1016" s="104">
        <f t="shared" si="134"/>
        <v>600</v>
      </c>
      <c r="Q1016" s="104">
        <f t="shared" si="135"/>
        <v>600</v>
      </c>
      <c r="R1016" s="104"/>
      <c r="S1016" s="93" t="s">
        <v>618</v>
      </c>
      <c r="T1016" s="94">
        <v>46156</v>
      </c>
      <c r="U1016" s="104">
        <f t="shared" si="136"/>
        <v>600</v>
      </c>
      <c r="V1016" s="104">
        <f t="shared" si="137"/>
        <v>1</v>
      </c>
      <c r="W1016" s="103">
        <f t="shared" si="138"/>
        <v>600</v>
      </c>
      <c r="X1016" s="93" t="s">
        <v>89</v>
      </c>
      <c r="Y1016" s="105" t="s">
        <v>84</v>
      </c>
      <c r="Z1016" s="105" t="s">
        <v>619</v>
      </c>
    </row>
    <row r="1017" spans="1:26" s="105" customFormat="1" ht="15" customHeight="1">
      <c r="A1017" s="99">
        <f t="shared" si="139"/>
        <v>1015</v>
      </c>
      <c r="B1017" s="75" t="s">
        <v>701</v>
      </c>
      <c r="C1017" s="100" t="str">
        <f>IF($B1017&lt;&gt;"",_xlfn.IFNA(VLOOKUP($B1017,'Node Details'!$B:$U,C$1,0),"Check"),"")</f>
        <v>0000CM310-CM3100103</v>
      </c>
      <c r="D1017" s="100" t="str">
        <f>IF($B1017&lt;&gt;"",_xlfn.IFNA(VLOOKUP($B1017,'Node Details'!$B:$U,D$1,0),"Check"),"")</f>
        <v>CM3</v>
      </c>
      <c r="E1017" s="100" t="str">
        <f>IF($B1017&lt;&gt;"",_xlfn.IFNA(VLOOKUP($B1017,'Node Details'!$B:$U,E$1,0),"Check"),"")</f>
        <v>Airtel</v>
      </c>
      <c r="F1017" s="101">
        <v>46149</v>
      </c>
      <c r="G1017" s="103"/>
      <c r="H1017" s="102" t="s">
        <v>1254</v>
      </c>
      <c r="I1017" s="9">
        <v>1</v>
      </c>
      <c r="J1017" s="9">
        <v>600</v>
      </c>
      <c r="K1017" s="100">
        <f t="shared" si="133"/>
        <v>600</v>
      </c>
      <c r="L1017" s="78">
        <v>46142</v>
      </c>
      <c r="M1017" s="103"/>
      <c r="N1017" s="93" t="s">
        <v>617</v>
      </c>
      <c r="O1017" s="94">
        <v>46141</v>
      </c>
      <c r="P1017" s="104">
        <f t="shared" si="134"/>
        <v>600</v>
      </c>
      <c r="Q1017" s="104">
        <f t="shared" si="135"/>
        <v>600</v>
      </c>
      <c r="R1017" s="104"/>
      <c r="S1017" s="93" t="s">
        <v>618</v>
      </c>
      <c r="T1017" s="94">
        <v>46156</v>
      </c>
      <c r="U1017" s="104">
        <f t="shared" si="136"/>
        <v>600</v>
      </c>
      <c r="V1017" s="104">
        <f t="shared" si="137"/>
        <v>1</v>
      </c>
      <c r="W1017" s="103">
        <f t="shared" si="138"/>
        <v>600</v>
      </c>
      <c r="X1017" s="93" t="s">
        <v>89</v>
      </c>
      <c r="Y1017" s="105" t="s">
        <v>84</v>
      </c>
      <c r="Z1017" s="105" t="s">
        <v>619</v>
      </c>
    </row>
    <row r="1018" spans="1:26" s="105" customFormat="1" ht="15" customHeight="1">
      <c r="A1018" s="99">
        <f t="shared" si="139"/>
        <v>1016</v>
      </c>
      <c r="B1018" s="75" t="s">
        <v>1159</v>
      </c>
      <c r="C1018" s="100" t="str">
        <f>IF($B1018&lt;&gt;"",_xlfn.IFNA(VLOOKUP($B1018,'Node Details'!$B:$U,C$1,0),"Check"),"")</f>
        <v>0000CM310-CM3100106</v>
      </c>
      <c r="D1018" s="100" t="str">
        <f>IF($B1018&lt;&gt;"",_xlfn.IFNA(VLOOKUP($B1018,'Node Details'!$B:$U,D$1,0),"Check"),"")</f>
        <v>CM3</v>
      </c>
      <c r="E1018" s="100" t="str">
        <f>IF($B1018&lt;&gt;"",_xlfn.IFNA(VLOOKUP($B1018,'Node Details'!$B:$U,E$1,0),"Check"),"")</f>
        <v>Airtel</v>
      </c>
      <c r="F1018" s="101">
        <v>46149</v>
      </c>
      <c r="G1018" s="103"/>
      <c r="H1018" s="102" t="s">
        <v>1254</v>
      </c>
      <c r="I1018" s="9">
        <v>1</v>
      </c>
      <c r="J1018" s="9">
        <v>600</v>
      </c>
      <c r="K1018" s="100">
        <f t="shared" si="133"/>
        <v>600</v>
      </c>
      <c r="L1018" s="78">
        <v>46142</v>
      </c>
      <c r="M1018" s="103"/>
      <c r="N1018" s="93" t="s">
        <v>617</v>
      </c>
      <c r="O1018" s="94">
        <v>46141</v>
      </c>
      <c r="P1018" s="104">
        <f t="shared" si="134"/>
        <v>600</v>
      </c>
      <c r="Q1018" s="104">
        <f t="shared" si="135"/>
        <v>600</v>
      </c>
      <c r="R1018" s="104"/>
      <c r="S1018" s="93" t="s">
        <v>618</v>
      </c>
      <c r="T1018" s="94">
        <v>46156</v>
      </c>
      <c r="U1018" s="104">
        <f t="shared" si="136"/>
        <v>600</v>
      </c>
      <c r="V1018" s="104">
        <f t="shared" si="137"/>
        <v>1</v>
      </c>
      <c r="W1018" s="103">
        <f t="shared" si="138"/>
        <v>600</v>
      </c>
      <c r="X1018" s="93" t="s">
        <v>89</v>
      </c>
      <c r="Y1018" s="105" t="s">
        <v>84</v>
      </c>
      <c r="Z1018" s="105" t="s">
        <v>619</v>
      </c>
    </row>
    <row r="1019" spans="1:26" s="105" customFormat="1" ht="15" customHeight="1">
      <c r="A1019" s="99">
        <f t="shared" si="139"/>
        <v>1017</v>
      </c>
      <c r="B1019" s="75" t="s">
        <v>703</v>
      </c>
      <c r="C1019" s="100" t="str">
        <f>IF($B1019&lt;&gt;"",_xlfn.IFNA(VLOOKUP($B1019,'Node Details'!$B:$U,C$1,0),"Check"),"")</f>
        <v>0000CM310-CM3100106</v>
      </c>
      <c r="D1019" s="100" t="str">
        <f>IF($B1019&lt;&gt;"",_xlfn.IFNA(VLOOKUP($B1019,'Node Details'!$B:$U,D$1,0),"Check"),"")</f>
        <v>CM3</v>
      </c>
      <c r="E1019" s="100" t="str">
        <f>IF($B1019&lt;&gt;"",_xlfn.IFNA(VLOOKUP($B1019,'Node Details'!$B:$U,E$1,0),"Check"),"")</f>
        <v>Airtel</v>
      </c>
      <c r="F1019" s="101">
        <v>46149</v>
      </c>
      <c r="G1019" s="103"/>
      <c r="H1019" s="102" t="s">
        <v>1254</v>
      </c>
      <c r="I1019" s="9">
        <v>1</v>
      </c>
      <c r="J1019" s="9">
        <v>600</v>
      </c>
      <c r="K1019" s="100">
        <f t="shared" si="133"/>
        <v>600</v>
      </c>
      <c r="L1019" s="78">
        <v>46142</v>
      </c>
      <c r="M1019" s="103"/>
      <c r="N1019" s="93" t="s">
        <v>617</v>
      </c>
      <c r="O1019" s="94">
        <v>46141</v>
      </c>
      <c r="P1019" s="104">
        <f t="shared" si="134"/>
        <v>600</v>
      </c>
      <c r="Q1019" s="104">
        <f t="shared" si="135"/>
        <v>600</v>
      </c>
      <c r="R1019" s="104"/>
      <c r="S1019" s="93" t="s">
        <v>618</v>
      </c>
      <c r="T1019" s="94">
        <v>46156</v>
      </c>
      <c r="U1019" s="104">
        <f t="shared" si="136"/>
        <v>600</v>
      </c>
      <c r="V1019" s="104">
        <f t="shared" si="137"/>
        <v>1</v>
      </c>
      <c r="W1019" s="103">
        <f t="shared" si="138"/>
        <v>600</v>
      </c>
      <c r="X1019" s="93" t="s">
        <v>89</v>
      </c>
      <c r="Y1019" s="105" t="s">
        <v>84</v>
      </c>
      <c r="Z1019" s="105" t="s">
        <v>619</v>
      </c>
    </row>
    <row r="1020" spans="1:26" s="105" customFormat="1" ht="15" customHeight="1">
      <c r="A1020" s="99">
        <f t="shared" si="139"/>
        <v>1018</v>
      </c>
      <c r="B1020" s="75" t="s">
        <v>706</v>
      </c>
      <c r="C1020" s="100" t="str">
        <f>IF($B1020&lt;&gt;"",_xlfn.IFNA(VLOOKUP($B1020,'Node Details'!$B:$U,C$1,0),"Check"),"")</f>
        <v>0000CM311-CM3110101</v>
      </c>
      <c r="D1020" s="100" t="str">
        <f>IF($B1020&lt;&gt;"",_xlfn.IFNA(VLOOKUP($B1020,'Node Details'!$B:$U,D$1,0),"Check"),"")</f>
        <v>CM3</v>
      </c>
      <c r="E1020" s="100" t="str">
        <f>IF($B1020&lt;&gt;"",_xlfn.IFNA(VLOOKUP($B1020,'Node Details'!$B:$U,E$1,0),"Check"),"")</f>
        <v>Airtel</v>
      </c>
      <c r="F1020" s="101">
        <v>46149</v>
      </c>
      <c r="G1020" s="103"/>
      <c r="H1020" s="102" t="s">
        <v>1254</v>
      </c>
      <c r="I1020" s="9">
        <v>1</v>
      </c>
      <c r="J1020" s="9">
        <v>600</v>
      </c>
      <c r="K1020" s="100">
        <f t="shared" si="133"/>
        <v>600</v>
      </c>
      <c r="L1020" s="78">
        <v>46142</v>
      </c>
      <c r="M1020" s="103"/>
      <c r="N1020" s="93" t="s">
        <v>617</v>
      </c>
      <c r="O1020" s="94">
        <v>46141</v>
      </c>
      <c r="P1020" s="104">
        <f t="shared" si="134"/>
        <v>600</v>
      </c>
      <c r="Q1020" s="104">
        <f t="shared" si="135"/>
        <v>600</v>
      </c>
      <c r="R1020" s="104"/>
      <c r="S1020" s="93" t="s">
        <v>618</v>
      </c>
      <c r="T1020" s="94">
        <v>46156</v>
      </c>
      <c r="U1020" s="104">
        <f t="shared" si="136"/>
        <v>600</v>
      </c>
      <c r="V1020" s="104">
        <f t="shared" si="137"/>
        <v>1</v>
      </c>
      <c r="W1020" s="103">
        <f t="shared" si="138"/>
        <v>600</v>
      </c>
      <c r="X1020" s="93" t="s">
        <v>89</v>
      </c>
      <c r="Y1020" s="105" t="s">
        <v>84</v>
      </c>
      <c r="Z1020" s="105" t="s">
        <v>619</v>
      </c>
    </row>
    <row r="1021" spans="1:26" s="105" customFormat="1" ht="15" customHeight="1">
      <c r="A1021" s="99">
        <f t="shared" si="139"/>
        <v>1019</v>
      </c>
      <c r="B1021" s="75" t="s">
        <v>1160</v>
      </c>
      <c r="C1021" s="100" t="str">
        <f>IF($B1021&lt;&gt;"",_xlfn.IFNA(VLOOKUP($B1021,'Node Details'!$B:$U,C$1,0),"Check"),"")</f>
        <v>0000CM311-CM3110103</v>
      </c>
      <c r="D1021" s="100" t="str">
        <f>IF($B1021&lt;&gt;"",_xlfn.IFNA(VLOOKUP($B1021,'Node Details'!$B:$U,D$1,0),"Check"),"")</f>
        <v>CM3</v>
      </c>
      <c r="E1021" s="100" t="str">
        <f>IF($B1021&lt;&gt;"",_xlfn.IFNA(VLOOKUP($B1021,'Node Details'!$B:$U,E$1,0),"Check"),"")</f>
        <v>Airtel</v>
      </c>
      <c r="F1021" s="101">
        <v>46149</v>
      </c>
      <c r="G1021" s="103"/>
      <c r="H1021" s="102" t="s">
        <v>1254</v>
      </c>
      <c r="I1021" s="9">
        <v>1</v>
      </c>
      <c r="J1021" s="9">
        <v>600</v>
      </c>
      <c r="K1021" s="100">
        <f t="shared" si="133"/>
        <v>600</v>
      </c>
      <c r="L1021" s="78">
        <v>46142</v>
      </c>
      <c r="M1021" s="103"/>
      <c r="N1021" s="93" t="s">
        <v>617</v>
      </c>
      <c r="O1021" s="94">
        <v>46141</v>
      </c>
      <c r="P1021" s="104">
        <f t="shared" si="134"/>
        <v>600</v>
      </c>
      <c r="Q1021" s="104">
        <f t="shared" si="135"/>
        <v>600</v>
      </c>
      <c r="R1021" s="104"/>
      <c r="S1021" s="93" t="s">
        <v>618</v>
      </c>
      <c r="T1021" s="94">
        <v>46156</v>
      </c>
      <c r="U1021" s="104">
        <f t="shared" si="136"/>
        <v>600</v>
      </c>
      <c r="V1021" s="104">
        <f t="shared" si="137"/>
        <v>1</v>
      </c>
      <c r="W1021" s="103">
        <f t="shared" si="138"/>
        <v>600</v>
      </c>
      <c r="X1021" s="93" t="s">
        <v>89</v>
      </c>
      <c r="Y1021" s="105" t="s">
        <v>84</v>
      </c>
      <c r="Z1021" s="105" t="s">
        <v>619</v>
      </c>
    </row>
    <row r="1022" spans="1:26" s="105" customFormat="1" ht="15" customHeight="1">
      <c r="A1022" s="99">
        <f t="shared" si="139"/>
        <v>1020</v>
      </c>
      <c r="B1022" s="75" t="s">
        <v>708</v>
      </c>
      <c r="C1022" s="100" t="str">
        <f>IF($B1022&lt;&gt;"",_xlfn.IFNA(VLOOKUP($B1022,'Node Details'!$B:$U,C$1,0),"Check"),"")</f>
        <v>0000CM311-CM3110103</v>
      </c>
      <c r="D1022" s="100" t="str">
        <f>IF($B1022&lt;&gt;"",_xlfn.IFNA(VLOOKUP($B1022,'Node Details'!$B:$U,D$1,0),"Check"),"")</f>
        <v>CM3</v>
      </c>
      <c r="E1022" s="100" t="str">
        <f>IF($B1022&lt;&gt;"",_xlfn.IFNA(VLOOKUP($B1022,'Node Details'!$B:$U,E$1,0),"Check"),"")</f>
        <v>Airtel</v>
      </c>
      <c r="F1022" s="101">
        <v>46149</v>
      </c>
      <c r="G1022" s="103"/>
      <c r="H1022" s="102" t="s">
        <v>1254</v>
      </c>
      <c r="I1022" s="9">
        <v>1</v>
      </c>
      <c r="J1022" s="9">
        <v>600</v>
      </c>
      <c r="K1022" s="100">
        <f t="shared" ref="K1022:K1085" si="140">IF(I1022&lt;&gt;"",J1022*I1022,0)</f>
        <v>600</v>
      </c>
      <c r="L1022" s="78">
        <v>46142</v>
      </c>
      <c r="M1022" s="103"/>
      <c r="N1022" s="93" t="s">
        <v>617</v>
      </c>
      <c r="O1022" s="94">
        <v>46141</v>
      </c>
      <c r="P1022" s="104">
        <f t="shared" ref="P1022:P1085" si="141">J1022</f>
        <v>600</v>
      </c>
      <c r="Q1022" s="104">
        <f t="shared" ref="Q1022:Q1085" si="142">P1022*I1022</f>
        <v>600</v>
      </c>
      <c r="R1022" s="104"/>
      <c r="S1022" s="93" t="s">
        <v>618</v>
      </c>
      <c r="T1022" s="94">
        <v>46156</v>
      </c>
      <c r="U1022" s="104">
        <f t="shared" ref="U1022:U1085" si="143">J1022</f>
        <v>600</v>
      </c>
      <c r="V1022" s="104">
        <f t="shared" ref="V1022:V1085" si="144">I1022</f>
        <v>1</v>
      </c>
      <c r="W1022" s="103">
        <f t="shared" ref="W1022:W1085" si="145">IF(V1022&lt;&gt;"",V1022*U1022,0)</f>
        <v>600</v>
      </c>
      <c r="X1022" s="93" t="s">
        <v>89</v>
      </c>
      <c r="Y1022" s="105" t="s">
        <v>84</v>
      </c>
      <c r="Z1022" s="105" t="s">
        <v>619</v>
      </c>
    </row>
    <row r="1023" spans="1:26" s="105" customFormat="1" ht="15" customHeight="1">
      <c r="A1023" s="99">
        <f t="shared" si="139"/>
        <v>1021</v>
      </c>
      <c r="B1023" s="75" t="s">
        <v>1161</v>
      </c>
      <c r="C1023" s="100" t="str">
        <f>IF($B1023&lt;&gt;"",_xlfn.IFNA(VLOOKUP($B1023,'Node Details'!$B:$U,C$1,0),"Check"),"")</f>
        <v>0000CM311-CM3110107</v>
      </c>
      <c r="D1023" s="100" t="str">
        <f>IF($B1023&lt;&gt;"",_xlfn.IFNA(VLOOKUP($B1023,'Node Details'!$B:$U,D$1,0),"Check"),"")</f>
        <v>CM3</v>
      </c>
      <c r="E1023" s="100" t="str">
        <f>IF($B1023&lt;&gt;"",_xlfn.IFNA(VLOOKUP($B1023,'Node Details'!$B:$U,E$1,0),"Check"),"")</f>
        <v>Airtel</v>
      </c>
      <c r="F1023" s="101">
        <v>46149</v>
      </c>
      <c r="G1023" s="103"/>
      <c r="H1023" s="102" t="s">
        <v>1254</v>
      </c>
      <c r="I1023" s="9">
        <v>1</v>
      </c>
      <c r="J1023" s="9">
        <v>600</v>
      </c>
      <c r="K1023" s="100">
        <f t="shared" si="140"/>
        <v>600</v>
      </c>
      <c r="L1023" s="78">
        <v>46142</v>
      </c>
      <c r="M1023" s="103"/>
      <c r="N1023" s="93" t="s">
        <v>617</v>
      </c>
      <c r="O1023" s="94">
        <v>46141</v>
      </c>
      <c r="P1023" s="104">
        <f t="shared" si="141"/>
        <v>600</v>
      </c>
      <c r="Q1023" s="104">
        <f t="shared" si="142"/>
        <v>600</v>
      </c>
      <c r="R1023" s="104"/>
      <c r="S1023" s="93" t="s">
        <v>618</v>
      </c>
      <c r="T1023" s="94">
        <v>46156</v>
      </c>
      <c r="U1023" s="104">
        <f t="shared" si="143"/>
        <v>600</v>
      </c>
      <c r="V1023" s="104">
        <f t="shared" si="144"/>
        <v>1</v>
      </c>
      <c r="W1023" s="103">
        <f t="shared" si="145"/>
        <v>600</v>
      </c>
      <c r="X1023" s="93" t="s">
        <v>89</v>
      </c>
      <c r="Y1023" s="105" t="s">
        <v>84</v>
      </c>
      <c r="Z1023" s="105" t="s">
        <v>619</v>
      </c>
    </row>
    <row r="1024" spans="1:26" s="105" customFormat="1" ht="15" customHeight="1">
      <c r="A1024" s="99">
        <f t="shared" si="139"/>
        <v>1022</v>
      </c>
      <c r="B1024" s="75" t="s">
        <v>1162</v>
      </c>
      <c r="C1024" s="100" t="str">
        <f>IF($B1024&lt;&gt;"",_xlfn.IFNA(VLOOKUP($B1024,'Node Details'!$B:$U,C$1,0),"Check"),"")</f>
        <v>0000CM311-CM3110107</v>
      </c>
      <c r="D1024" s="100" t="str">
        <f>IF($B1024&lt;&gt;"",_xlfn.IFNA(VLOOKUP($B1024,'Node Details'!$B:$U,D$1,0),"Check"),"")</f>
        <v>CM3</v>
      </c>
      <c r="E1024" s="100" t="str">
        <f>IF($B1024&lt;&gt;"",_xlfn.IFNA(VLOOKUP($B1024,'Node Details'!$B:$U,E$1,0),"Check"),"")</f>
        <v>Airtel</v>
      </c>
      <c r="F1024" s="101">
        <v>46149</v>
      </c>
      <c r="G1024" s="103"/>
      <c r="H1024" s="102" t="s">
        <v>1254</v>
      </c>
      <c r="I1024" s="9">
        <v>1</v>
      </c>
      <c r="J1024" s="9">
        <v>600</v>
      </c>
      <c r="K1024" s="100">
        <f t="shared" si="140"/>
        <v>600</v>
      </c>
      <c r="L1024" s="78">
        <v>46142</v>
      </c>
      <c r="M1024" s="103"/>
      <c r="N1024" s="93" t="s">
        <v>617</v>
      </c>
      <c r="O1024" s="94">
        <v>46141</v>
      </c>
      <c r="P1024" s="104">
        <f t="shared" si="141"/>
        <v>600</v>
      </c>
      <c r="Q1024" s="104">
        <f t="shared" si="142"/>
        <v>600</v>
      </c>
      <c r="R1024" s="104"/>
      <c r="S1024" s="93" t="s">
        <v>618</v>
      </c>
      <c r="T1024" s="94">
        <v>46156</v>
      </c>
      <c r="U1024" s="104">
        <f t="shared" si="143"/>
        <v>600</v>
      </c>
      <c r="V1024" s="104">
        <f t="shared" si="144"/>
        <v>1</v>
      </c>
      <c r="W1024" s="103">
        <f t="shared" si="145"/>
        <v>600</v>
      </c>
      <c r="X1024" s="93" t="s">
        <v>89</v>
      </c>
      <c r="Y1024" s="105" t="s">
        <v>84</v>
      </c>
      <c r="Z1024" s="105" t="s">
        <v>619</v>
      </c>
    </row>
    <row r="1025" spans="1:26" s="105" customFormat="1" ht="15" customHeight="1">
      <c r="A1025" s="99">
        <f t="shared" si="139"/>
        <v>1023</v>
      </c>
      <c r="B1025" s="75" t="s">
        <v>1163</v>
      </c>
      <c r="C1025" s="100" t="str">
        <f>IF($B1025&lt;&gt;"",_xlfn.IFNA(VLOOKUP($B1025,'Node Details'!$B:$U,C$1,0),"Check"),"")</f>
        <v>0000CM311-CM3110107</v>
      </c>
      <c r="D1025" s="100" t="str">
        <f>IF($B1025&lt;&gt;"",_xlfn.IFNA(VLOOKUP($B1025,'Node Details'!$B:$U,D$1,0),"Check"),"")</f>
        <v>CM3</v>
      </c>
      <c r="E1025" s="100" t="str">
        <f>IF($B1025&lt;&gt;"",_xlfn.IFNA(VLOOKUP($B1025,'Node Details'!$B:$U,E$1,0),"Check"),"")</f>
        <v>Airtel</v>
      </c>
      <c r="F1025" s="101">
        <v>46149</v>
      </c>
      <c r="G1025" s="103"/>
      <c r="H1025" s="102" t="s">
        <v>1254</v>
      </c>
      <c r="I1025" s="9">
        <v>1</v>
      </c>
      <c r="J1025" s="9">
        <v>600</v>
      </c>
      <c r="K1025" s="100">
        <f t="shared" si="140"/>
        <v>600</v>
      </c>
      <c r="L1025" s="78">
        <v>46142</v>
      </c>
      <c r="M1025" s="103"/>
      <c r="N1025" s="93" t="s">
        <v>617</v>
      </c>
      <c r="O1025" s="94">
        <v>46141</v>
      </c>
      <c r="P1025" s="104">
        <f t="shared" si="141"/>
        <v>600</v>
      </c>
      <c r="Q1025" s="104">
        <f t="shared" si="142"/>
        <v>600</v>
      </c>
      <c r="R1025" s="104"/>
      <c r="S1025" s="93" t="s">
        <v>618</v>
      </c>
      <c r="T1025" s="94">
        <v>46156</v>
      </c>
      <c r="U1025" s="104">
        <f t="shared" si="143"/>
        <v>600</v>
      </c>
      <c r="V1025" s="104">
        <f t="shared" si="144"/>
        <v>1</v>
      </c>
      <c r="W1025" s="103">
        <f t="shared" si="145"/>
        <v>600</v>
      </c>
      <c r="X1025" s="93" t="s">
        <v>89</v>
      </c>
      <c r="Y1025" s="105" t="s">
        <v>84</v>
      </c>
      <c r="Z1025" s="105" t="s">
        <v>619</v>
      </c>
    </row>
    <row r="1026" spans="1:26" s="105" customFormat="1" ht="15" customHeight="1">
      <c r="A1026" s="99">
        <f t="shared" si="139"/>
        <v>1024</v>
      </c>
      <c r="B1026" s="75" t="s">
        <v>710</v>
      </c>
      <c r="C1026" s="100" t="str">
        <f>IF($B1026&lt;&gt;"",_xlfn.IFNA(VLOOKUP($B1026,'Node Details'!$B:$U,C$1,0),"Check"),"")</f>
        <v>0000CM311-CM3110107</v>
      </c>
      <c r="D1026" s="100" t="str">
        <f>IF($B1026&lt;&gt;"",_xlfn.IFNA(VLOOKUP($B1026,'Node Details'!$B:$U,D$1,0),"Check"),"")</f>
        <v>CM3</v>
      </c>
      <c r="E1026" s="100" t="str">
        <f>IF($B1026&lt;&gt;"",_xlfn.IFNA(VLOOKUP($B1026,'Node Details'!$B:$U,E$1,0),"Check"),"")</f>
        <v>Airtel</v>
      </c>
      <c r="F1026" s="101">
        <v>46149</v>
      </c>
      <c r="G1026" s="103"/>
      <c r="H1026" s="102" t="s">
        <v>1254</v>
      </c>
      <c r="I1026" s="9">
        <v>1</v>
      </c>
      <c r="J1026" s="9">
        <v>600</v>
      </c>
      <c r="K1026" s="100">
        <f t="shared" si="140"/>
        <v>600</v>
      </c>
      <c r="L1026" s="78">
        <v>46142</v>
      </c>
      <c r="M1026" s="103"/>
      <c r="N1026" s="93" t="s">
        <v>617</v>
      </c>
      <c r="O1026" s="94">
        <v>46141</v>
      </c>
      <c r="P1026" s="104">
        <f t="shared" si="141"/>
        <v>600</v>
      </c>
      <c r="Q1026" s="104">
        <f t="shared" si="142"/>
        <v>600</v>
      </c>
      <c r="R1026" s="104"/>
      <c r="S1026" s="93" t="s">
        <v>618</v>
      </c>
      <c r="T1026" s="94">
        <v>46156</v>
      </c>
      <c r="U1026" s="104">
        <f t="shared" si="143"/>
        <v>600</v>
      </c>
      <c r="V1026" s="104">
        <f t="shared" si="144"/>
        <v>1</v>
      </c>
      <c r="W1026" s="103">
        <f t="shared" si="145"/>
        <v>600</v>
      </c>
      <c r="X1026" s="93" t="s">
        <v>89</v>
      </c>
      <c r="Y1026" s="105" t="s">
        <v>84</v>
      </c>
      <c r="Z1026" s="105" t="s">
        <v>619</v>
      </c>
    </row>
    <row r="1027" spans="1:26" s="105" customFormat="1" ht="15" customHeight="1">
      <c r="A1027" s="99">
        <f t="shared" si="139"/>
        <v>1025</v>
      </c>
      <c r="B1027" s="75" t="s">
        <v>713</v>
      </c>
      <c r="C1027" s="100" t="str">
        <f>IF($B1027&lt;&gt;"",_xlfn.IFNA(VLOOKUP($B1027,'Node Details'!$B:$U,C$1,0),"Check"),"")</f>
        <v>0000CM312-CM3120102</v>
      </c>
      <c r="D1027" s="100" t="str">
        <f>IF($B1027&lt;&gt;"",_xlfn.IFNA(VLOOKUP($B1027,'Node Details'!$B:$U,D$1,0),"Check"),"")</f>
        <v>CM3</v>
      </c>
      <c r="E1027" s="100" t="str">
        <f>IF($B1027&lt;&gt;"",_xlfn.IFNA(VLOOKUP($B1027,'Node Details'!$B:$U,E$1,0),"Check"),"")</f>
        <v>Airtel</v>
      </c>
      <c r="F1027" s="101">
        <v>46149</v>
      </c>
      <c r="G1027" s="103"/>
      <c r="H1027" s="102" t="s">
        <v>1254</v>
      </c>
      <c r="I1027" s="9">
        <v>1</v>
      </c>
      <c r="J1027" s="9">
        <v>600</v>
      </c>
      <c r="K1027" s="100">
        <f t="shared" si="140"/>
        <v>600</v>
      </c>
      <c r="L1027" s="78">
        <v>46142</v>
      </c>
      <c r="M1027" s="103"/>
      <c r="N1027" s="93" t="s">
        <v>617</v>
      </c>
      <c r="O1027" s="94">
        <v>46141</v>
      </c>
      <c r="P1027" s="104">
        <f t="shared" si="141"/>
        <v>600</v>
      </c>
      <c r="Q1027" s="104">
        <f t="shared" si="142"/>
        <v>600</v>
      </c>
      <c r="R1027" s="104"/>
      <c r="S1027" s="93" t="s">
        <v>618</v>
      </c>
      <c r="T1027" s="94">
        <v>46156</v>
      </c>
      <c r="U1027" s="104">
        <f t="shared" si="143"/>
        <v>600</v>
      </c>
      <c r="V1027" s="104">
        <f t="shared" si="144"/>
        <v>1</v>
      </c>
      <c r="W1027" s="103">
        <f t="shared" si="145"/>
        <v>600</v>
      </c>
      <c r="X1027" s="93" t="s">
        <v>89</v>
      </c>
      <c r="Y1027" s="105" t="s">
        <v>84</v>
      </c>
      <c r="Z1027" s="105" t="s">
        <v>619</v>
      </c>
    </row>
    <row r="1028" spans="1:26" s="105" customFormat="1" ht="15" customHeight="1">
      <c r="A1028" s="99">
        <f t="shared" si="139"/>
        <v>1026</v>
      </c>
      <c r="B1028" s="75" t="s">
        <v>715</v>
      </c>
      <c r="C1028" s="100" t="str">
        <f>IF($B1028&lt;&gt;"",_xlfn.IFNA(VLOOKUP($B1028,'Node Details'!$B:$U,C$1,0),"Check"),"")</f>
        <v>0000CM312-CM3120103</v>
      </c>
      <c r="D1028" s="100" t="str">
        <f>IF($B1028&lt;&gt;"",_xlfn.IFNA(VLOOKUP($B1028,'Node Details'!$B:$U,D$1,0),"Check"),"")</f>
        <v>CM3</v>
      </c>
      <c r="E1028" s="100" t="str">
        <f>IF($B1028&lt;&gt;"",_xlfn.IFNA(VLOOKUP($B1028,'Node Details'!$B:$U,E$1,0),"Check"),"")</f>
        <v>Airtel</v>
      </c>
      <c r="F1028" s="101">
        <v>46149</v>
      </c>
      <c r="G1028" s="103"/>
      <c r="H1028" s="102" t="s">
        <v>1254</v>
      </c>
      <c r="I1028" s="9">
        <v>1</v>
      </c>
      <c r="J1028" s="9">
        <v>600</v>
      </c>
      <c r="K1028" s="100">
        <f t="shared" si="140"/>
        <v>600</v>
      </c>
      <c r="L1028" s="78">
        <v>46142</v>
      </c>
      <c r="M1028" s="103"/>
      <c r="N1028" s="93" t="s">
        <v>617</v>
      </c>
      <c r="O1028" s="94">
        <v>46141</v>
      </c>
      <c r="P1028" s="104">
        <f t="shared" si="141"/>
        <v>600</v>
      </c>
      <c r="Q1028" s="104">
        <f t="shared" si="142"/>
        <v>600</v>
      </c>
      <c r="R1028" s="104"/>
      <c r="S1028" s="93" t="s">
        <v>618</v>
      </c>
      <c r="T1028" s="94">
        <v>46156</v>
      </c>
      <c r="U1028" s="104">
        <f t="shared" si="143"/>
        <v>600</v>
      </c>
      <c r="V1028" s="104">
        <f t="shared" si="144"/>
        <v>1</v>
      </c>
      <c r="W1028" s="103">
        <f t="shared" si="145"/>
        <v>600</v>
      </c>
      <c r="X1028" s="93" t="s">
        <v>89</v>
      </c>
      <c r="Y1028" s="105" t="s">
        <v>84</v>
      </c>
      <c r="Z1028" s="105" t="s">
        <v>619</v>
      </c>
    </row>
    <row r="1029" spans="1:26" s="105" customFormat="1" ht="15" customHeight="1">
      <c r="A1029" s="99">
        <f t="shared" ref="A1029:A1092" si="146">A1028+1</f>
        <v>1027</v>
      </c>
      <c r="B1029" s="75" t="s">
        <v>717</v>
      </c>
      <c r="C1029" s="100" t="str">
        <f>IF($B1029&lt;&gt;"",_xlfn.IFNA(VLOOKUP($B1029,'Node Details'!$B:$U,C$1,0),"Check"),"")</f>
        <v>0000CM312-CM3120104</v>
      </c>
      <c r="D1029" s="100" t="str">
        <f>IF($B1029&lt;&gt;"",_xlfn.IFNA(VLOOKUP($B1029,'Node Details'!$B:$U,D$1,0),"Check"),"")</f>
        <v>CM3</v>
      </c>
      <c r="E1029" s="100" t="str">
        <f>IF($B1029&lt;&gt;"",_xlfn.IFNA(VLOOKUP($B1029,'Node Details'!$B:$U,E$1,0),"Check"),"")</f>
        <v>Airtel</v>
      </c>
      <c r="F1029" s="101">
        <v>46149</v>
      </c>
      <c r="G1029" s="103"/>
      <c r="H1029" s="102" t="s">
        <v>1254</v>
      </c>
      <c r="I1029" s="9">
        <v>1</v>
      </c>
      <c r="J1029" s="9">
        <v>600</v>
      </c>
      <c r="K1029" s="100">
        <f t="shared" si="140"/>
        <v>600</v>
      </c>
      <c r="L1029" s="78">
        <v>46142</v>
      </c>
      <c r="M1029" s="103"/>
      <c r="N1029" s="93" t="s">
        <v>617</v>
      </c>
      <c r="O1029" s="94">
        <v>46141</v>
      </c>
      <c r="P1029" s="104">
        <f t="shared" si="141"/>
        <v>600</v>
      </c>
      <c r="Q1029" s="104">
        <f t="shared" si="142"/>
        <v>600</v>
      </c>
      <c r="R1029" s="104"/>
      <c r="S1029" s="93" t="s">
        <v>618</v>
      </c>
      <c r="T1029" s="94">
        <v>46156</v>
      </c>
      <c r="U1029" s="104">
        <f t="shared" si="143"/>
        <v>600</v>
      </c>
      <c r="V1029" s="104">
        <f t="shared" si="144"/>
        <v>1</v>
      </c>
      <c r="W1029" s="103">
        <f t="shared" si="145"/>
        <v>600</v>
      </c>
      <c r="X1029" s="93" t="s">
        <v>89</v>
      </c>
      <c r="Y1029" s="105" t="s">
        <v>84</v>
      </c>
      <c r="Z1029" s="105" t="s">
        <v>619</v>
      </c>
    </row>
    <row r="1030" spans="1:26" s="105" customFormat="1" ht="15" customHeight="1">
      <c r="A1030" s="99">
        <f t="shared" si="146"/>
        <v>1028</v>
      </c>
      <c r="B1030" s="75" t="s">
        <v>1164</v>
      </c>
      <c r="C1030" s="100" t="str">
        <f>IF($B1030&lt;&gt;"",_xlfn.IFNA(VLOOKUP($B1030,'Node Details'!$B:$U,C$1,0),"Check"),"")</f>
        <v>0000CM312-CM3120108</v>
      </c>
      <c r="D1030" s="100" t="str">
        <f>IF($B1030&lt;&gt;"",_xlfn.IFNA(VLOOKUP($B1030,'Node Details'!$B:$U,D$1,0),"Check"),"")</f>
        <v>CM3</v>
      </c>
      <c r="E1030" s="100" t="str">
        <f>IF($B1030&lt;&gt;"",_xlfn.IFNA(VLOOKUP($B1030,'Node Details'!$B:$U,E$1,0),"Check"),"")</f>
        <v>Airtel</v>
      </c>
      <c r="F1030" s="101">
        <v>46149</v>
      </c>
      <c r="G1030" s="103"/>
      <c r="H1030" s="102" t="s">
        <v>1254</v>
      </c>
      <c r="I1030" s="9">
        <v>1</v>
      </c>
      <c r="J1030" s="9">
        <v>600</v>
      </c>
      <c r="K1030" s="100">
        <f t="shared" si="140"/>
        <v>600</v>
      </c>
      <c r="L1030" s="78">
        <v>46142</v>
      </c>
      <c r="M1030" s="103"/>
      <c r="N1030" s="93" t="s">
        <v>617</v>
      </c>
      <c r="O1030" s="94">
        <v>46141</v>
      </c>
      <c r="P1030" s="104">
        <f t="shared" si="141"/>
        <v>600</v>
      </c>
      <c r="Q1030" s="104">
        <f t="shared" si="142"/>
        <v>600</v>
      </c>
      <c r="R1030" s="104"/>
      <c r="S1030" s="93" t="s">
        <v>618</v>
      </c>
      <c r="T1030" s="94">
        <v>46156</v>
      </c>
      <c r="U1030" s="104">
        <f t="shared" si="143"/>
        <v>600</v>
      </c>
      <c r="V1030" s="104">
        <f t="shared" si="144"/>
        <v>1</v>
      </c>
      <c r="W1030" s="103">
        <f t="shared" si="145"/>
        <v>600</v>
      </c>
      <c r="X1030" s="93" t="s">
        <v>89</v>
      </c>
      <c r="Y1030" s="105" t="s">
        <v>84</v>
      </c>
      <c r="Z1030" s="105" t="s">
        <v>619</v>
      </c>
    </row>
    <row r="1031" spans="1:26" s="105" customFormat="1" ht="15" customHeight="1">
      <c r="A1031" s="99">
        <f t="shared" si="146"/>
        <v>1029</v>
      </c>
      <c r="B1031" s="75" t="s">
        <v>1165</v>
      </c>
      <c r="C1031" s="100" t="str">
        <f>IF($B1031&lt;&gt;"",_xlfn.IFNA(VLOOKUP($B1031,'Node Details'!$B:$U,C$1,0),"Check"),"")</f>
        <v>0000CM312-CM3120108</v>
      </c>
      <c r="D1031" s="100" t="str">
        <f>IF($B1031&lt;&gt;"",_xlfn.IFNA(VLOOKUP($B1031,'Node Details'!$B:$U,D$1,0),"Check"),"")</f>
        <v>CM3</v>
      </c>
      <c r="E1031" s="100" t="str">
        <f>IF($B1031&lt;&gt;"",_xlfn.IFNA(VLOOKUP($B1031,'Node Details'!$B:$U,E$1,0),"Check"),"")</f>
        <v>Airtel</v>
      </c>
      <c r="F1031" s="101">
        <v>46149</v>
      </c>
      <c r="G1031" s="103"/>
      <c r="H1031" s="102" t="s">
        <v>1254</v>
      </c>
      <c r="I1031" s="9">
        <v>1</v>
      </c>
      <c r="J1031" s="9">
        <v>600</v>
      </c>
      <c r="K1031" s="100">
        <f t="shared" si="140"/>
        <v>600</v>
      </c>
      <c r="L1031" s="78">
        <v>46142</v>
      </c>
      <c r="M1031" s="103"/>
      <c r="N1031" s="93" t="s">
        <v>617</v>
      </c>
      <c r="O1031" s="94">
        <v>46141</v>
      </c>
      <c r="P1031" s="104">
        <f t="shared" si="141"/>
        <v>600</v>
      </c>
      <c r="Q1031" s="104">
        <f t="shared" si="142"/>
        <v>600</v>
      </c>
      <c r="R1031" s="104"/>
      <c r="S1031" s="93" t="s">
        <v>618</v>
      </c>
      <c r="T1031" s="94">
        <v>46156</v>
      </c>
      <c r="U1031" s="104">
        <f t="shared" si="143"/>
        <v>600</v>
      </c>
      <c r="V1031" s="104">
        <f t="shared" si="144"/>
        <v>1</v>
      </c>
      <c r="W1031" s="103">
        <f t="shared" si="145"/>
        <v>600</v>
      </c>
      <c r="X1031" s="93" t="s">
        <v>89</v>
      </c>
      <c r="Y1031" s="105" t="s">
        <v>84</v>
      </c>
      <c r="Z1031" s="105" t="s">
        <v>619</v>
      </c>
    </row>
    <row r="1032" spans="1:26" s="105" customFormat="1" ht="15" customHeight="1">
      <c r="A1032" s="99">
        <f t="shared" si="146"/>
        <v>1030</v>
      </c>
      <c r="B1032" s="75" t="s">
        <v>1166</v>
      </c>
      <c r="C1032" s="100" t="str">
        <f>IF($B1032&lt;&gt;"",_xlfn.IFNA(VLOOKUP($B1032,'Node Details'!$B:$U,C$1,0),"Check"),"")</f>
        <v>0000CM312-CM3120108</v>
      </c>
      <c r="D1032" s="100" t="str">
        <f>IF($B1032&lt;&gt;"",_xlfn.IFNA(VLOOKUP($B1032,'Node Details'!$B:$U,D$1,0),"Check"),"")</f>
        <v>CM3</v>
      </c>
      <c r="E1032" s="100" t="str">
        <f>IF($B1032&lt;&gt;"",_xlfn.IFNA(VLOOKUP($B1032,'Node Details'!$B:$U,E$1,0),"Check"),"")</f>
        <v>Airtel</v>
      </c>
      <c r="F1032" s="101">
        <v>46149</v>
      </c>
      <c r="G1032" s="103"/>
      <c r="H1032" s="102" t="s">
        <v>1254</v>
      </c>
      <c r="I1032" s="9">
        <v>1</v>
      </c>
      <c r="J1032" s="9">
        <v>600</v>
      </c>
      <c r="K1032" s="100">
        <f t="shared" si="140"/>
        <v>600</v>
      </c>
      <c r="L1032" s="78">
        <v>46142</v>
      </c>
      <c r="M1032" s="103"/>
      <c r="N1032" s="93" t="s">
        <v>617</v>
      </c>
      <c r="O1032" s="94">
        <v>46141</v>
      </c>
      <c r="P1032" s="104">
        <f t="shared" si="141"/>
        <v>600</v>
      </c>
      <c r="Q1032" s="104">
        <f t="shared" si="142"/>
        <v>600</v>
      </c>
      <c r="R1032" s="104"/>
      <c r="S1032" s="93" t="s">
        <v>618</v>
      </c>
      <c r="T1032" s="94">
        <v>46156</v>
      </c>
      <c r="U1032" s="104">
        <f t="shared" si="143"/>
        <v>600</v>
      </c>
      <c r="V1032" s="104">
        <f t="shared" si="144"/>
        <v>1</v>
      </c>
      <c r="W1032" s="103">
        <f t="shared" si="145"/>
        <v>600</v>
      </c>
      <c r="X1032" s="93" t="s">
        <v>89</v>
      </c>
      <c r="Y1032" s="105" t="s">
        <v>84</v>
      </c>
      <c r="Z1032" s="105" t="s">
        <v>619</v>
      </c>
    </row>
    <row r="1033" spans="1:26" s="105" customFormat="1" ht="15" customHeight="1">
      <c r="A1033" s="99">
        <f t="shared" si="146"/>
        <v>1031</v>
      </c>
      <c r="B1033" s="75" t="s">
        <v>719</v>
      </c>
      <c r="C1033" s="100" t="str">
        <f>IF($B1033&lt;&gt;"",_xlfn.IFNA(VLOOKUP($B1033,'Node Details'!$B:$U,C$1,0),"Check"),"")</f>
        <v>0000CM312-CM3120108</v>
      </c>
      <c r="D1033" s="100" t="str">
        <f>IF($B1033&lt;&gt;"",_xlfn.IFNA(VLOOKUP($B1033,'Node Details'!$B:$U,D$1,0),"Check"),"")</f>
        <v>CM3</v>
      </c>
      <c r="E1033" s="100" t="str">
        <f>IF($B1033&lt;&gt;"",_xlfn.IFNA(VLOOKUP($B1033,'Node Details'!$B:$U,E$1,0),"Check"),"")</f>
        <v>Airtel</v>
      </c>
      <c r="F1033" s="101">
        <v>46149</v>
      </c>
      <c r="G1033" s="103"/>
      <c r="H1033" s="102" t="s">
        <v>1254</v>
      </c>
      <c r="I1033" s="9">
        <v>1</v>
      </c>
      <c r="J1033" s="9">
        <v>600</v>
      </c>
      <c r="K1033" s="100">
        <f t="shared" si="140"/>
        <v>600</v>
      </c>
      <c r="L1033" s="78">
        <v>46142</v>
      </c>
      <c r="M1033" s="103"/>
      <c r="N1033" s="93" t="s">
        <v>617</v>
      </c>
      <c r="O1033" s="94">
        <v>46141</v>
      </c>
      <c r="P1033" s="104">
        <f t="shared" si="141"/>
        <v>600</v>
      </c>
      <c r="Q1033" s="104">
        <f t="shared" si="142"/>
        <v>600</v>
      </c>
      <c r="R1033" s="104"/>
      <c r="S1033" s="93" t="s">
        <v>618</v>
      </c>
      <c r="T1033" s="94">
        <v>46156</v>
      </c>
      <c r="U1033" s="104">
        <f t="shared" si="143"/>
        <v>600</v>
      </c>
      <c r="V1033" s="104">
        <f t="shared" si="144"/>
        <v>1</v>
      </c>
      <c r="W1033" s="103">
        <f t="shared" si="145"/>
        <v>600</v>
      </c>
      <c r="X1033" s="93" t="s">
        <v>89</v>
      </c>
      <c r="Y1033" s="105" t="s">
        <v>84</v>
      </c>
      <c r="Z1033" s="105" t="s">
        <v>619</v>
      </c>
    </row>
    <row r="1034" spans="1:26" s="105" customFormat="1" ht="15" customHeight="1">
      <c r="A1034" s="99">
        <f t="shared" si="146"/>
        <v>1032</v>
      </c>
      <c r="B1034" s="75" t="s">
        <v>721</v>
      </c>
      <c r="C1034" s="100" t="str">
        <f>IF($B1034&lt;&gt;"",_xlfn.IFNA(VLOOKUP($B1034,'Node Details'!$B:$U,C$1,0),"Check"),"")</f>
        <v>0000CM313-CM3130101</v>
      </c>
      <c r="D1034" s="100" t="str">
        <f>IF($B1034&lt;&gt;"",_xlfn.IFNA(VLOOKUP($B1034,'Node Details'!$B:$U,D$1,0),"Check"),"")</f>
        <v>CM3</v>
      </c>
      <c r="E1034" s="100" t="str">
        <f>IF($B1034&lt;&gt;"",_xlfn.IFNA(VLOOKUP($B1034,'Node Details'!$B:$U,E$1,0),"Check"),"")</f>
        <v>Airtel</v>
      </c>
      <c r="F1034" s="101">
        <v>46149</v>
      </c>
      <c r="G1034" s="103"/>
      <c r="H1034" s="102" t="s">
        <v>1254</v>
      </c>
      <c r="I1034" s="9">
        <v>1</v>
      </c>
      <c r="J1034" s="9">
        <v>600</v>
      </c>
      <c r="K1034" s="100">
        <f t="shared" si="140"/>
        <v>600</v>
      </c>
      <c r="L1034" s="78">
        <v>46142</v>
      </c>
      <c r="M1034" s="103"/>
      <c r="N1034" s="93" t="s">
        <v>617</v>
      </c>
      <c r="O1034" s="94">
        <v>46141</v>
      </c>
      <c r="P1034" s="104">
        <f t="shared" si="141"/>
        <v>600</v>
      </c>
      <c r="Q1034" s="104">
        <f t="shared" si="142"/>
        <v>600</v>
      </c>
      <c r="R1034" s="104"/>
      <c r="S1034" s="93" t="s">
        <v>618</v>
      </c>
      <c r="T1034" s="94">
        <v>46156</v>
      </c>
      <c r="U1034" s="104">
        <f t="shared" si="143"/>
        <v>600</v>
      </c>
      <c r="V1034" s="104">
        <f t="shared" si="144"/>
        <v>1</v>
      </c>
      <c r="W1034" s="103">
        <f t="shared" si="145"/>
        <v>600</v>
      </c>
      <c r="X1034" s="93" t="s">
        <v>89</v>
      </c>
      <c r="Y1034" s="105" t="s">
        <v>84</v>
      </c>
      <c r="Z1034" s="105" t="s">
        <v>619</v>
      </c>
    </row>
    <row r="1035" spans="1:26" s="105" customFormat="1" ht="15" customHeight="1">
      <c r="A1035" s="99">
        <f t="shared" si="146"/>
        <v>1033</v>
      </c>
      <c r="B1035" s="75" t="s">
        <v>1167</v>
      </c>
      <c r="C1035" s="100" t="str">
        <f>IF($B1035&lt;&gt;"",_xlfn.IFNA(VLOOKUP($B1035,'Node Details'!$B:$U,C$1,0),"Check"),"")</f>
        <v>0000CM313-CM3130107</v>
      </c>
      <c r="D1035" s="100" t="str">
        <f>IF($B1035&lt;&gt;"",_xlfn.IFNA(VLOOKUP($B1035,'Node Details'!$B:$U,D$1,0),"Check"),"")</f>
        <v>CM3</v>
      </c>
      <c r="E1035" s="100" t="str">
        <f>IF($B1035&lt;&gt;"",_xlfn.IFNA(VLOOKUP($B1035,'Node Details'!$B:$U,E$1,0),"Check"),"")</f>
        <v>Airtel</v>
      </c>
      <c r="F1035" s="101">
        <v>46149</v>
      </c>
      <c r="G1035" s="103"/>
      <c r="H1035" s="102" t="s">
        <v>1254</v>
      </c>
      <c r="I1035" s="9">
        <v>1</v>
      </c>
      <c r="J1035" s="9">
        <v>600</v>
      </c>
      <c r="K1035" s="100">
        <f t="shared" si="140"/>
        <v>600</v>
      </c>
      <c r="L1035" s="78">
        <v>46142</v>
      </c>
      <c r="M1035" s="103"/>
      <c r="N1035" s="93" t="s">
        <v>617</v>
      </c>
      <c r="O1035" s="94">
        <v>46141</v>
      </c>
      <c r="P1035" s="104">
        <f t="shared" si="141"/>
        <v>600</v>
      </c>
      <c r="Q1035" s="104">
        <f t="shared" si="142"/>
        <v>600</v>
      </c>
      <c r="R1035" s="104"/>
      <c r="S1035" s="93" t="s">
        <v>618</v>
      </c>
      <c r="T1035" s="94">
        <v>46156</v>
      </c>
      <c r="U1035" s="104">
        <f t="shared" si="143"/>
        <v>600</v>
      </c>
      <c r="V1035" s="104">
        <f t="shared" si="144"/>
        <v>1</v>
      </c>
      <c r="W1035" s="103">
        <f t="shared" si="145"/>
        <v>600</v>
      </c>
      <c r="X1035" s="93" t="s">
        <v>89</v>
      </c>
      <c r="Y1035" s="105" t="s">
        <v>84</v>
      </c>
      <c r="Z1035" s="105" t="s">
        <v>619</v>
      </c>
    </row>
    <row r="1036" spans="1:26" s="105" customFormat="1" ht="15" customHeight="1">
      <c r="A1036" s="99">
        <f t="shared" si="146"/>
        <v>1034</v>
      </c>
      <c r="B1036" s="75" t="s">
        <v>723</v>
      </c>
      <c r="C1036" s="100" t="str">
        <f>IF($B1036&lt;&gt;"",_xlfn.IFNA(VLOOKUP($B1036,'Node Details'!$B:$U,C$1,0),"Check"),"")</f>
        <v>0000CM313-CM3130107</v>
      </c>
      <c r="D1036" s="100" t="str">
        <f>IF($B1036&lt;&gt;"",_xlfn.IFNA(VLOOKUP($B1036,'Node Details'!$B:$U,D$1,0),"Check"),"")</f>
        <v>CM3</v>
      </c>
      <c r="E1036" s="100" t="str">
        <f>IF($B1036&lt;&gt;"",_xlfn.IFNA(VLOOKUP($B1036,'Node Details'!$B:$U,E$1,0),"Check"),"")</f>
        <v>Airtel</v>
      </c>
      <c r="F1036" s="101">
        <v>46149</v>
      </c>
      <c r="G1036" s="103"/>
      <c r="H1036" s="102" t="s">
        <v>1254</v>
      </c>
      <c r="I1036" s="9">
        <v>1</v>
      </c>
      <c r="J1036" s="9">
        <v>600</v>
      </c>
      <c r="K1036" s="100">
        <f t="shared" si="140"/>
        <v>600</v>
      </c>
      <c r="L1036" s="78">
        <v>46142</v>
      </c>
      <c r="M1036" s="103"/>
      <c r="N1036" s="93" t="s">
        <v>617</v>
      </c>
      <c r="O1036" s="94">
        <v>46141</v>
      </c>
      <c r="P1036" s="104">
        <f t="shared" si="141"/>
        <v>600</v>
      </c>
      <c r="Q1036" s="104">
        <f t="shared" si="142"/>
        <v>600</v>
      </c>
      <c r="R1036" s="104"/>
      <c r="S1036" s="93" t="s">
        <v>618</v>
      </c>
      <c r="T1036" s="94">
        <v>46156</v>
      </c>
      <c r="U1036" s="104">
        <f t="shared" si="143"/>
        <v>600</v>
      </c>
      <c r="V1036" s="104">
        <f t="shared" si="144"/>
        <v>1</v>
      </c>
      <c r="W1036" s="103">
        <f t="shared" si="145"/>
        <v>600</v>
      </c>
      <c r="X1036" s="93" t="s">
        <v>89</v>
      </c>
      <c r="Y1036" s="105" t="s">
        <v>84</v>
      </c>
      <c r="Z1036" s="105" t="s">
        <v>619</v>
      </c>
    </row>
    <row r="1037" spans="1:26" s="105" customFormat="1" ht="15" customHeight="1">
      <c r="A1037" s="99">
        <f t="shared" si="146"/>
        <v>1035</v>
      </c>
      <c r="B1037" s="75" t="s">
        <v>1168</v>
      </c>
      <c r="C1037" s="100" t="str">
        <f>IF($B1037&lt;&gt;"",_xlfn.IFNA(VLOOKUP($B1037,'Node Details'!$B:$U,C$1,0),"Check"),"")</f>
        <v>0000CM313-CM3130104</v>
      </c>
      <c r="D1037" s="100" t="str">
        <f>IF($B1037&lt;&gt;"",_xlfn.IFNA(VLOOKUP($B1037,'Node Details'!$B:$U,D$1,0),"Check"),"")</f>
        <v>CM3</v>
      </c>
      <c r="E1037" s="100" t="str">
        <f>IF($B1037&lt;&gt;"",_xlfn.IFNA(VLOOKUP($B1037,'Node Details'!$B:$U,E$1,0),"Check"),"")</f>
        <v>Airtel</v>
      </c>
      <c r="F1037" s="101">
        <v>46149</v>
      </c>
      <c r="G1037" s="103"/>
      <c r="H1037" s="102" t="s">
        <v>1254</v>
      </c>
      <c r="I1037" s="9">
        <v>1</v>
      </c>
      <c r="J1037" s="9">
        <v>600</v>
      </c>
      <c r="K1037" s="100">
        <f t="shared" si="140"/>
        <v>600</v>
      </c>
      <c r="L1037" s="78">
        <v>46142</v>
      </c>
      <c r="M1037" s="103"/>
      <c r="N1037" s="93" t="s">
        <v>617</v>
      </c>
      <c r="O1037" s="94">
        <v>46141</v>
      </c>
      <c r="P1037" s="104">
        <f t="shared" si="141"/>
        <v>600</v>
      </c>
      <c r="Q1037" s="104">
        <f t="shared" si="142"/>
        <v>600</v>
      </c>
      <c r="R1037" s="104"/>
      <c r="S1037" s="93" t="s">
        <v>618</v>
      </c>
      <c r="T1037" s="94">
        <v>46156</v>
      </c>
      <c r="U1037" s="104">
        <f t="shared" si="143"/>
        <v>600</v>
      </c>
      <c r="V1037" s="104">
        <f t="shared" si="144"/>
        <v>1</v>
      </c>
      <c r="W1037" s="103">
        <f t="shared" si="145"/>
        <v>600</v>
      </c>
      <c r="X1037" s="93" t="s">
        <v>89</v>
      </c>
      <c r="Y1037" s="105" t="s">
        <v>84</v>
      </c>
      <c r="Z1037" s="105" t="s">
        <v>619</v>
      </c>
    </row>
    <row r="1038" spans="1:26" s="105" customFormat="1" ht="15" customHeight="1">
      <c r="A1038" s="99">
        <f t="shared" si="146"/>
        <v>1036</v>
      </c>
      <c r="B1038" s="75" t="s">
        <v>725</v>
      </c>
      <c r="C1038" s="100" t="str">
        <f>IF($B1038&lt;&gt;"",_xlfn.IFNA(VLOOKUP($B1038,'Node Details'!$B:$U,C$1,0),"Check"),"")</f>
        <v>0000CM313-CM3130104</v>
      </c>
      <c r="D1038" s="100" t="str">
        <f>IF($B1038&lt;&gt;"",_xlfn.IFNA(VLOOKUP($B1038,'Node Details'!$B:$U,D$1,0),"Check"),"")</f>
        <v>CM3</v>
      </c>
      <c r="E1038" s="100" t="str">
        <f>IF($B1038&lt;&gt;"",_xlfn.IFNA(VLOOKUP($B1038,'Node Details'!$B:$U,E$1,0),"Check"),"")</f>
        <v>Airtel</v>
      </c>
      <c r="F1038" s="101">
        <v>46149</v>
      </c>
      <c r="G1038" s="103"/>
      <c r="H1038" s="102" t="s">
        <v>1254</v>
      </c>
      <c r="I1038" s="9">
        <v>1</v>
      </c>
      <c r="J1038" s="9">
        <v>600</v>
      </c>
      <c r="K1038" s="100">
        <f t="shared" si="140"/>
        <v>600</v>
      </c>
      <c r="L1038" s="78">
        <v>46142</v>
      </c>
      <c r="M1038" s="103"/>
      <c r="N1038" s="93" t="s">
        <v>617</v>
      </c>
      <c r="O1038" s="94">
        <v>46141</v>
      </c>
      <c r="P1038" s="104">
        <f t="shared" si="141"/>
        <v>600</v>
      </c>
      <c r="Q1038" s="104">
        <f t="shared" si="142"/>
        <v>600</v>
      </c>
      <c r="R1038" s="104"/>
      <c r="S1038" s="93" t="s">
        <v>618</v>
      </c>
      <c r="T1038" s="94">
        <v>46156</v>
      </c>
      <c r="U1038" s="104">
        <f t="shared" si="143"/>
        <v>600</v>
      </c>
      <c r="V1038" s="104">
        <f t="shared" si="144"/>
        <v>1</v>
      </c>
      <c r="W1038" s="103">
        <f t="shared" si="145"/>
        <v>600</v>
      </c>
      <c r="X1038" s="93" t="s">
        <v>89</v>
      </c>
      <c r="Y1038" s="105" t="s">
        <v>84</v>
      </c>
      <c r="Z1038" s="105" t="s">
        <v>619</v>
      </c>
    </row>
    <row r="1039" spans="1:26" s="105" customFormat="1" ht="15" customHeight="1">
      <c r="A1039" s="99">
        <f t="shared" si="146"/>
        <v>1037</v>
      </c>
      <c r="B1039" s="75" t="s">
        <v>727</v>
      </c>
      <c r="C1039" s="100" t="str">
        <f>IF($B1039&lt;&gt;"",_xlfn.IFNA(VLOOKUP($B1039,'Node Details'!$B:$U,C$1,0),"Check"),"")</f>
        <v>0000CM314-CM3140101</v>
      </c>
      <c r="D1039" s="100" t="str">
        <f>IF($B1039&lt;&gt;"",_xlfn.IFNA(VLOOKUP($B1039,'Node Details'!$B:$U,D$1,0),"Check"),"")</f>
        <v>CM3</v>
      </c>
      <c r="E1039" s="100" t="str">
        <f>IF($B1039&lt;&gt;"",_xlfn.IFNA(VLOOKUP($B1039,'Node Details'!$B:$U,E$1,0),"Check"),"")</f>
        <v>Airtel</v>
      </c>
      <c r="F1039" s="101">
        <v>46149</v>
      </c>
      <c r="G1039" s="103"/>
      <c r="H1039" s="102" t="s">
        <v>1254</v>
      </c>
      <c r="I1039" s="9">
        <v>1</v>
      </c>
      <c r="J1039" s="9">
        <v>600</v>
      </c>
      <c r="K1039" s="100">
        <f t="shared" si="140"/>
        <v>600</v>
      </c>
      <c r="L1039" s="78">
        <v>46142</v>
      </c>
      <c r="M1039" s="103"/>
      <c r="N1039" s="93" t="s">
        <v>617</v>
      </c>
      <c r="O1039" s="94">
        <v>46141</v>
      </c>
      <c r="P1039" s="104">
        <f t="shared" si="141"/>
        <v>600</v>
      </c>
      <c r="Q1039" s="104">
        <f t="shared" si="142"/>
        <v>600</v>
      </c>
      <c r="R1039" s="104"/>
      <c r="S1039" s="93" t="s">
        <v>618</v>
      </c>
      <c r="T1039" s="94">
        <v>46156</v>
      </c>
      <c r="U1039" s="104">
        <f t="shared" si="143"/>
        <v>600</v>
      </c>
      <c r="V1039" s="104">
        <f t="shared" si="144"/>
        <v>1</v>
      </c>
      <c r="W1039" s="103">
        <f t="shared" si="145"/>
        <v>600</v>
      </c>
      <c r="X1039" s="93" t="s">
        <v>89</v>
      </c>
      <c r="Y1039" s="105" t="s">
        <v>84</v>
      </c>
      <c r="Z1039" s="105" t="s">
        <v>619</v>
      </c>
    </row>
    <row r="1040" spans="1:26" s="105" customFormat="1" ht="15" customHeight="1">
      <c r="A1040" s="99">
        <f t="shared" si="146"/>
        <v>1038</v>
      </c>
      <c r="B1040" s="75" t="s">
        <v>1169</v>
      </c>
      <c r="C1040" s="100" t="str">
        <f>IF($B1040&lt;&gt;"",_xlfn.IFNA(VLOOKUP($B1040,'Node Details'!$B:$U,C$1,0),"Check"),"")</f>
        <v>0000CM314-CM3140108</v>
      </c>
      <c r="D1040" s="100" t="str">
        <f>IF($B1040&lt;&gt;"",_xlfn.IFNA(VLOOKUP($B1040,'Node Details'!$B:$U,D$1,0),"Check"),"")</f>
        <v>CM3</v>
      </c>
      <c r="E1040" s="100" t="str">
        <f>IF($B1040&lt;&gt;"",_xlfn.IFNA(VLOOKUP($B1040,'Node Details'!$B:$U,E$1,0),"Check"),"")</f>
        <v>Airtel</v>
      </c>
      <c r="F1040" s="101">
        <v>46149</v>
      </c>
      <c r="G1040" s="103"/>
      <c r="H1040" s="102" t="s">
        <v>1254</v>
      </c>
      <c r="I1040" s="9">
        <v>1</v>
      </c>
      <c r="J1040" s="9">
        <v>600</v>
      </c>
      <c r="K1040" s="100">
        <f t="shared" si="140"/>
        <v>600</v>
      </c>
      <c r="L1040" s="78">
        <v>46142</v>
      </c>
      <c r="M1040" s="103"/>
      <c r="N1040" s="93" t="s">
        <v>617</v>
      </c>
      <c r="O1040" s="94">
        <v>46141</v>
      </c>
      <c r="P1040" s="104">
        <f t="shared" si="141"/>
        <v>600</v>
      </c>
      <c r="Q1040" s="104">
        <f t="shared" si="142"/>
        <v>600</v>
      </c>
      <c r="R1040" s="104"/>
      <c r="S1040" s="93" t="s">
        <v>618</v>
      </c>
      <c r="T1040" s="94">
        <v>46156</v>
      </c>
      <c r="U1040" s="104">
        <f t="shared" si="143"/>
        <v>600</v>
      </c>
      <c r="V1040" s="104">
        <f t="shared" si="144"/>
        <v>1</v>
      </c>
      <c r="W1040" s="103">
        <f t="shared" si="145"/>
        <v>600</v>
      </c>
      <c r="X1040" s="93" t="s">
        <v>89</v>
      </c>
      <c r="Y1040" s="105" t="s">
        <v>84</v>
      </c>
      <c r="Z1040" s="105" t="s">
        <v>619</v>
      </c>
    </row>
    <row r="1041" spans="1:26" s="105" customFormat="1" ht="15" customHeight="1">
      <c r="A1041" s="99">
        <f t="shared" si="146"/>
        <v>1039</v>
      </c>
      <c r="B1041" s="75" t="s">
        <v>1170</v>
      </c>
      <c r="C1041" s="100" t="str">
        <f>IF($B1041&lt;&gt;"",_xlfn.IFNA(VLOOKUP($B1041,'Node Details'!$B:$U,C$1,0),"Check"),"")</f>
        <v>0000CM314-CM3140108</v>
      </c>
      <c r="D1041" s="100" t="str">
        <f>IF($B1041&lt;&gt;"",_xlfn.IFNA(VLOOKUP($B1041,'Node Details'!$B:$U,D$1,0),"Check"),"")</f>
        <v>CM3</v>
      </c>
      <c r="E1041" s="100" t="str">
        <f>IF($B1041&lt;&gt;"",_xlfn.IFNA(VLOOKUP($B1041,'Node Details'!$B:$U,E$1,0),"Check"),"")</f>
        <v>Airtel</v>
      </c>
      <c r="F1041" s="101">
        <v>46149</v>
      </c>
      <c r="G1041" s="103"/>
      <c r="H1041" s="102" t="s">
        <v>1254</v>
      </c>
      <c r="I1041" s="9">
        <v>1</v>
      </c>
      <c r="J1041" s="9">
        <v>600</v>
      </c>
      <c r="K1041" s="100">
        <f t="shared" si="140"/>
        <v>600</v>
      </c>
      <c r="L1041" s="78">
        <v>46142</v>
      </c>
      <c r="M1041" s="103"/>
      <c r="N1041" s="93" t="s">
        <v>617</v>
      </c>
      <c r="O1041" s="94">
        <v>46141</v>
      </c>
      <c r="P1041" s="104">
        <f t="shared" si="141"/>
        <v>600</v>
      </c>
      <c r="Q1041" s="104">
        <f t="shared" si="142"/>
        <v>600</v>
      </c>
      <c r="R1041" s="104"/>
      <c r="S1041" s="93" t="s">
        <v>618</v>
      </c>
      <c r="T1041" s="94">
        <v>46156</v>
      </c>
      <c r="U1041" s="104">
        <f t="shared" si="143"/>
        <v>600</v>
      </c>
      <c r="V1041" s="104">
        <f t="shared" si="144"/>
        <v>1</v>
      </c>
      <c r="W1041" s="103">
        <f t="shared" si="145"/>
        <v>600</v>
      </c>
      <c r="X1041" s="93" t="s">
        <v>89</v>
      </c>
      <c r="Y1041" s="105" t="s">
        <v>84</v>
      </c>
      <c r="Z1041" s="105" t="s">
        <v>619</v>
      </c>
    </row>
    <row r="1042" spans="1:26" s="105" customFormat="1" ht="15" customHeight="1">
      <c r="A1042" s="99">
        <f t="shared" si="146"/>
        <v>1040</v>
      </c>
      <c r="B1042" s="75" t="s">
        <v>1171</v>
      </c>
      <c r="C1042" s="100" t="str">
        <f>IF($B1042&lt;&gt;"",_xlfn.IFNA(VLOOKUP($B1042,'Node Details'!$B:$U,C$1,0),"Check"),"")</f>
        <v>0000CM314-CM3140108</v>
      </c>
      <c r="D1042" s="100" t="str">
        <f>IF($B1042&lt;&gt;"",_xlfn.IFNA(VLOOKUP($B1042,'Node Details'!$B:$U,D$1,0),"Check"),"")</f>
        <v>CM3</v>
      </c>
      <c r="E1042" s="100" t="str">
        <f>IF($B1042&lt;&gt;"",_xlfn.IFNA(VLOOKUP($B1042,'Node Details'!$B:$U,E$1,0),"Check"),"")</f>
        <v>Airtel</v>
      </c>
      <c r="F1042" s="101">
        <v>46149</v>
      </c>
      <c r="G1042" s="103"/>
      <c r="H1042" s="102" t="s">
        <v>1254</v>
      </c>
      <c r="I1042" s="9">
        <v>1</v>
      </c>
      <c r="J1042" s="9">
        <v>600</v>
      </c>
      <c r="K1042" s="100">
        <f t="shared" si="140"/>
        <v>600</v>
      </c>
      <c r="L1042" s="78">
        <v>46142</v>
      </c>
      <c r="M1042" s="103"/>
      <c r="N1042" s="93" t="s">
        <v>617</v>
      </c>
      <c r="O1042" s="94">
        <v>46141</v>
      </c>
      <c r="P1042" s="104">
        <f t="shared" si="141"/>
        <v>600</v>
      </c>
      <c r="Q1042" s="104">
        <f t="shared" si="142"/>
        <v>600</v>
      </c>
      <c r="R1042" s="104"/>
      <c r="S1042" s="93" t="s">
        <v>618</v>
      </c>
      <c r="T1042" s="94">
        <v>46156</v>
      </c>
      <c r="U1042" s="104">
        <f t="shared" si="143"/>
        <v>600</v>
      </c>
      <c r="V1042" s="104">
        <f t="shared" si="144"/>
        <v>1</v>
      </c>
      <c r="W1042" s="103">
        <f t="shared" si="145"/>
        <v>600</v>
      </c>
      <c r="X1042" s="93" t="s">
        <v>89</v>
      </c>
      <c r="Y1042" s="105" t="s">
        <v>84</v>
      </c>
      <c r="Z1042" s="105" t="s">
        <v>619</v>
      </c>
    </row>
    <row r="1043" spans="1:26" s="105" customFormat="1" ht="15" customHeight="1">
      <c r="A1043" s="99">
        <f t="shared" si="146"/>
        <v>1041</v>
      </c>
      <c r="B1043" s="75" t="s">
        <v>729</v>
      </c>
      <c r="C1043" s="100" t="str">
        <f>IF($B1043&lt;&gt;"",_xlfn.IFNA(VLOOKUP($B1043,'Node Details'!$B:$U,C$1,0),"Check"),"")</f>
        <v>0000CM314-CM3140108</v>
      </c>
      <c r="D1043" s="100" t="str">
        <f>IF($B1043&lt;&gt;"",_xlfn.IFNA(VLOOKUP($B1043,'Node Details'!$B:$U,D$1,0),"Check"),"")</f>
        <v>CM3</v>
      </c>
      <c r="E1043" s="100" t="str">
        <f>IF($B1043&lt;&gt;"",_xlfn.IFNA(VLOOKUP($B1043,'Node Details'!$B:$U,E$1,0),"Check"),"")</f>
        <v>Airtel</v>
      </c>
      <c r="F1043" s="101">
        <v>46149</v>
      </c>
      <c r="G1043" s="103"/>
      <c r="H1043" s="102" t="s">
        <v>1254</v>
      </c>
      <c r="I1043" s="9">
        <v>1</v>
      </c>
      <c r="J1043" s="9">
        <v>600</v>
      </c>
      <c r="K1043" s="100">
        <f t="shared" si="140"/>
        <v>600</v>
      </c>
      <c r="L1043" s="78">
        <v>46142</v>
      </c>
      <c r="M1043" s="103"/>
      <c r="N1043" s="93" t="s">
        <v>617</v>
      </c>
      <c r="O1043" s="94">
        <v>46141</v>
      </c>
      <c r="P1043" s="104">
        <f t="shared" si="141"/>
        <v>600</v>
      </c>
      <c r="Q1043" s="104">
        <f t="shared" si="142"/>
        <v>600</v>
      </c>
      <c r="R1043" s="104"/>
      <c r="S1043" s="93" t="s">
        <v>618</v>
      </c>
      <c r="T1043" s="94">
        <v>46156</v>
      </c>
      <c r="U1043" s="104">
        <f t="shared" si="143"/>
        <v>600</v>
      </c>
      <c r="V1043" s="104">
        <f t="shared" si="144"/>
        <v>1</v>
      </c>
      <c r="W1043" s="103">
        <f t="shared" si="145"/>
        <v>600</v>
      </c>
      <c r="X1043" s="93" t="s">
        <v>89</v>
      </c>
      <c r="Y1043" s="105" t="s">
        <v>84</v>
      </c>
      <c r="Z1043" s="105" t="s">
        <v>619</v>
      </c>
    </row>
    <row r="1044" spans="1:26" s="105" customFormat="1" ht="15" customHeight="1">
      <c r="A1044" s="99">
        <f t="shared" si="146"/>
        <v>1042</v>
      </c>
      <c r="B1044" s="75" t="s">
        <v>1172</v>
      </c>
      <c r="C1044" s="100" t="str">
        <f>IF($B1044&lt;&gt;"",_xlfn.IFNA(VLOOKUP($B1044,'Node Details'!$B:$U,C$1,0),"Check"),"")</f>
        <v>0000CM314-CM3140103</v>
      </c>
      <c r="D1044" s="100" t="str">
        <f>IF($B1044&lt;&gt;"",_xlfn.IFNA(VLOOKUP($B1044,'Node Details'!$B:$U,D$1,0),"Check"),"")</f>
        <v>CM3</v>
      </c>
      <c r="E1044" s="100" t="str">
        <f>IF($B1044&lt;&gt;"",_xlfn.IFNA(VLOOKUP($B1044,'Node Details'!$B:$U,E$1,0),"Check"),"")</f>
        <v>Airtel</v>
      </c>
      <c r="F1044" s="101">
        <v>46149</v>
      </c>
      <c r="G1044" s="103"/>
      <c r="H1044" s="102" t="s">
        <v>1254</v>
      </c>
      <c r="I1044" s="9">
        <v>1</v>
      </c>
      <c r="J1044" s="9">
        <v>600</v>
      </c>
      <c r="K1044" s="100">
        <f t="shared" si="140"/>
        <v>600</v>
      </c>
      <c r="L1044" s="78">
        <v>46142</v>
      </c>
      <c r="M1044" s="103"/>
      <c r="N1044" s="93" t="s">
        <v>617</v>
      </c>
      <c r="O1044" s="94">
        <v>46141</v>
      </c>
      <c r="P1044" s="104">
        <f t="shared" si="141"/>
        <v>600</v>
      </c>
      <c r="Q1044" s="104">
        <f t="shared" si="142"/>
        <v>600</v>
      </c>
      <c r="R1044" s="104"/>
      <c r="S1044" s="93" t="s">
        <v>618</v>
      </c>
      <c r="T1044" s="94">
        <v>46156</v>
      </c>
      <c r="U1044" s="104">
        <f t="shared" si="143"/>
        <v>600</v>
      </c>
      <c r="V1044" s="104">
        <f t="shared" si="144"/>
        <v>1</v>
      </c>
      <c r="W1044" s="103">
        <f t="shared" si="145"/>
        <v>600</v>
      </c>
      <c r="X1044" s="93" t="s">
        <v>89</v>
      </c>
      <c r="Y1044" s="105" t="s">
        <v>84</v>
      </c>
      <c r="Z1044" s="105" t="s">
        <v>619</v>
      </c>
    </row>
    <row r="1045" spans="1:26" s="105" customFormat="1" ht="15" customHeight="1">
      <c r="A1045" s="99">
        <f t="shared" si="146"/>
        <v>1043</v>
      </c>
      <c r="B1045" s="75" t="s">
        <v>731</v>
      </c>
      <c r="C1045" s="100" t="str">
        <f>IF($B1045&lt;&gt;"",_xlfn.IFNA(VLOOKUP($B1045,'Node Details'!$B:$U,C$1,0),"Check"),"")</f>
        <v>0000CM314-CM3140103</v>
      </c>
      <c r="D1045" s="100" t="str">
        <f>IF($B1045&lt;&gt;"",_xlfn.IFNA(VLOOKUP($B1045,'Node Details'!$B:$U,D$1,0),"Check"),"")</f>
        <v>CM3</v>
      </c>
      <c r="E1045" s="100" t="str">
        <f>IF($B1045&lt;&gt;"",_xlfn.IFNA(VLOOKUP($B1045,'Node Details'!$B:$U,E$1,0),"Check"),"")</f>
        <v>Airtel</v>
      </c>
      <c r="F1045" s="101">
        <v>46149</v>
      </c>
      <c r="G1045" s="103"/>
      <c r="H1045" s="102" t="s">
        <v>1254</v>
      </c>
      <c r="I1045" s="9">
        <v>1</v>
      </c>
      <c r="J1045" s="9">
        <v>600</v>
      </c>
      <c r="K1045" s="100">
        <f t="shared" si="140"/>
        <v>600</v>
      </c>
      <c r="L1045" s="78">
        <v>46142</v>
      </c>
      <c r="M1045" s="103"/>
      <c r="N1045" s="93" t="s">
        <v>617</v>
      </c>
      <c r="O1045" s="94">
        <v>46141</v>
      </c>
      <c r="P1045" s="104">
        <f t="shared" si="141"/>
        <v>600</v>
      </c>
      <c r="Q1045" s="104">
        <f t="shared" si="142"/>
        <v>600</v>
      </c>
      <c r="R1045" s="104"/>
      <c r="S1045" s="93" t="s">
        <v>618</v>
      </c>
      <c r="T1045" s="94">
        <v>46156</v>
      </c>
      <c r="U1045" s="104">
        <f t="shared" si="143"/>
        <v>600</v>
      </c>
      <c r="V1045" s="104">
        <f t="shared" si="144"/>
        <v>1</v>
      </c>
      <c r="W1045" s="103">
        <f t="shared" si="145"/>
        <v>600</v>
      </c>
      <c r="X1045" s="93" t="s">
        <v>89</v>
      </c>
      <c r="Y1045" s="105" t="s">
        <v>84</v>
      </c>
      <c r="Z1045" s="105" t="s">
        <v>619</v>
      </c>
    </row>
    <row r="1046" spans="1:26" s="105" customFormat="1" ht="15" customHeight="1">
      <c r="A1046" s="99">
        <f t="shared" si="146"/>
        <v>1044</v>
      </c>
      <c r="B1046" s="75" t="s">
        <v>733</v>
      </c>
      <c r="C1046" s="100" t="str">
        <f>IF($B1046&lt;&gt;"",_xlfn.IFNA(VLOOKUP($B1046,'Node Details'!$B:$U,C$1,0),"Check"),"")</f>
        <v>0000CM315-CM3150101</v>
      </c>
      <c r="D1046" s="100" t="str">
        <f>IF($B1046&lt;&gt;"",_xlfn.IFNA(VLOOKUP($B1046,'Node Details'!$B:$U,D$1,0),"Check"),"")</f>
        <v>CM3</v>
      </c>
      <c r="E1046" s="100" t="str">
        <f>IF($B1046&lt;&gt;"",_xlfn.IFNA(VLOOKUP($B1046,'Node Details'!$B:$U,E$1,0),"Check"),"")</f>
        <v>Airtel</v>
      </c>
      <c r="F1046" s="101">
        <v>46149</v>
      </c>
      <c r="G1046" s="103"/>
      <c r="H1046" s="102" t="s">
        <v>1254</v>
      </c>
      <c r="I1046" s="9">
        <v>1</v>
      </c>
      <c r="J1046" s="9">
        <v>600</v>
      </c>
      <c r="K1046" s="100">
        <f t="shared" si="140"/>
        <v>600</v>
      </c>
      <c r="L1046" s="78">
        <v>46142</v>
      </c>
      <c r="M1046" s="103"/>
      <c r="N1046" s="93" t="s">
        <v>617</v>
      </c>
      <c r="O1046" s="94">
        <v>46141</v>
      </c>
      <c r="P1046" s="104">
        <f t="shared" si="141"/>
        <v>600</v>
      </c>
      <c r="Q1046" s="104">
        <f t="shared" si="142"/>
        <v>600</v>
      </c>
      <c r="R1046" s="104"/>
      <c r="S1046" s="93" t="s">
        <v>618</v>
      </c>
      <c r="T1046" s="94">
        <v>46156</v>
      </c>
      <c r="U1046" s="104">
        <f t="shared" si="143"/>
        <v>600</v>
      </c>
      <c r="V1046" s="104">
        <f t="shared" si="144"/>
        <v>1</v>
      </c>
      <c r="W1046" s="103">
        <f t="shared" si="145"/>
        <v>600</v>
      </c>
      <c r="X1046" s="93" t="s">
        <v>89</v>
      </c>
      <c r="Y1046" s="105" t="s">
        <v>84</v>
      </c>
      <c r="Z1046" s="105" t="s">
        <v>619</v>
      </c>
    </row>
    <row r="1047" spans="1:26" s="105" customFormat="1" ht="15" customHeight="1">
      <c r="A1047" s="99">
        <f t="shared" si="146"/>
        <v>1045</v>
      </c>
      <c r="B1047" s="75" t="s">
        <v>735</v>
      </c>
      <c r="C1047" s="100" t="str">
        <f>IF($B1047&lt;&gt;"",_xlfn.IFNA(VLOOKUP($B1047,'Node Details'!$B:$U,C$1,0),"Check"),"")</f>
        <v>0000CM315-CM3150104</v>
      </c>
      <c r="D1047" s="100" t="str">
        <f>IF($B1047&lt;&gt;"",_xlfn.IFNA(VLOOKUP($B1047,'Node Details'!$B:$U,D$1,0),"Check"),"")</f>
        <v>CM3</v>
      </c>
      <c r="E1047" s="100" t="str">
        <f>IF($B1047&lt;&gt;"",_xlfn.IFNA(VLOOKUP($B1047,'Node Details'!$B:$U,E$1,0),"Check"),"")</f>
        <v>Airtel</v>
      </c>
      <c r="F1047" s="101">
        <v>46149</v>
      </c>
      <c r="G1047" s="103"/>
      <c r="H1047" s="102" t="s">
        <v>1254</v>
      </c>
      <c r="I1047" s="9">
        <v>1</v>
      </c>
      <c r="J1047" s="9">
        <v>600</v>
      </c>
      <c r="K1047" s="100">
        <f t="shared" si="140"/>
        <v>600</v>
      </c>
      <c r="L1047" s="78">
        <v>46142</v>
      </c>
      <c r="M1047" s="103"/>
      <c r="N1047" s="93" t="s">
        <v>617</v>
      </c>
      <c r="O1047" s="94">
        <v>46141</v>
      </c>
      <c r="P1047" s="104">
        <f t="shared" si="141"/>
        <v>600</v>
      </c>
      <c r="Q1047" s="104">
        <f t="shared" si="142"/>
        <v>600</v>
      </c>
      <c r="R1047" s="104"/>
      <c r="S1047" s="93" t="s">
        <v>618</v>
      </c>
      <c r="T1047" s="94">
        <v>46156</v>
      </c>
      <c r="U1047" s="104">
        <f t="shared" si="143"/>
        <v>600</v>
      </c>
      <c r="V1047" s="104">
        <f t="shared" si="144"/>
        <v>1</v>
      </c>
      <c r="W1047" s="103">
        <f t="shared" si="145"/>
        <v>600</v>
      </c>
      <c r="X1047" s="93" t="s">
        <v>89</v>
      </c>
      <c r="Y1047" s="105" t="s">
        <v>84</v>
      </c>
      <c r="Z1047" s="105" t="s">
        <v>619</v>
      </c>
    </row>
    <row r="1048" spans="1:26" s="105" customFormat="1" ht="15" customHeight="1">
      <c r="A1048" s="99">
        <f t="shared" si="146"/>
        <v>1046</v>
      </c>
      <c r="B1048" s="75" t="s">
        <v>737</v>
      </c>
      <c r="C1048" s="100" t="str">
        <f>IF($B1048&lt;&gt;"",_xlfn.IFNA(VLOOKUP($B1048,'Node Details'!$B:$U,C$1,0),"Check"),"")</f>
        <v>0000CM316-CM3160101</v>
      </c>
      <c r="D1048" s="100" t="str">
        <f>IF($B1048&lt;&gt;"",_xlfn.IFNA(VLOOKUP($B1048,'Node Details'!$B:$U,D$1,0),"Check"),"")</f>
        <v>CM3</v>
      </c>
      <c r="E1048" s="100" t="str">
        <f>IF($B1048&lt;&gt;"",_xlfn.IFNA(VLOOKUP($B1048,'Node Details'!$B:$U,E$1,0),"Check"),"")</f>
        <v>Airtel</v>
      </c>
      <c r="F1048" s="101">
        <v>46149</v>
      </c>
      <c r="G1048" s="103"/>
      <c r="H1048" s="102" t="s">
        <v>1254</v>
      </c>
      <c r="I1048" s="9">
        <v>1</v>
      </c>
      <c r="J1048" s="9">
        <v>600</v>
      </c>
      <c r="K1048" s="100">
        <f t="shared" si="140"/>
        <v>600</v>
      </c>
      <c r="L1048" s="78">
        <v>46142</v>
      </c>
      <c r="M1048" s="103"/>
      <c r="N1048" s="93" t="s">
        <v>617</v>
      </c>
      <c r="O1048" s="94">
        <v>46141</v>
      </c>
      <c r="P1048" s="104">
        <f t="shared" si="141"/>
        <v>600</v>
      </c>
      <c r="Q1048" s="104">
        <f t="shared" si="142"/>
        <v>600</v>
      </c>
      <c r="R1048" s="104"/>
      <c r="S1048" s="93" t="s">
        <v>618</v>
      </c>
      <c r="T1048" s="94">
        <v>46156</v>
      </c>
      <c r="U1048" s="104">
        <f t="shared" si="143"/>
        <v>600</v>
      </c>
      <c r="V1048" s="104">
        <f t="shared" si="144"/>
        <v>1</v>
      </c>
      <c r="W1048" s="103">
        <f t="shared" si="145"/>
        <v>600</v>
      </c>
      <c r="X1048" s="93" t="s">
        <v>89</v>
      </c>
      <c r="Y1048" s="105" t="s">
        <v>84</v>
      </c>
      <c r="Z1048" s="105" t="s">
        <v>619</v>
      </c>
    </row>
    <row r="1049" spans="1:26" s="105" customFormat="1" ht="15" customHeight="1">
      <c r="A1049" s="99">
        <f t="shared" si="146"/>
        <v>1047</v>
      </c>
      <c r="B1049" s="75" t="s">
        <v>1173</v>
      </c>
      <c r="C1049" s="100" t="str">
        <f>IF($B1049&lt;&gt;"",_xlfn.IFNA(VLOOKUP($B1049,'Node Details'!$B:$U,C$1,0),"Check"),"")</f>
        <v>0000CM316-CM3160107</v>
      </c>
      <c r="D1049" s="100" t="str">
        <f>IF($B1049&lt;&gt;"",_xlfn.IFNA(VLOOKUP($B1049,'Node Details'!$B:$U,D$1,0),"Check"),"")</f>
        <v>CM3</v>
      </c>
      <c r="E1049" s="100" t="str">
        <f>IF($B1049&lt;&gt;"",_xlfn.IFNA(VLOOKUP($B1049,'Node Details'!$B:$U,E$1,0),"Check"),"")</f>
        <v>Airtel</v>
      </c>
      <c r="F1049" s="101">
        <v>46149</v>
      </c>
      <c r="G1049" s="103"/>
      <c r="H1049" s="102" t="s">
        <v>1254</v>
      </c>
      <c r="I1049" s="9">
        <v>1</v>
      </c>
      <c r="J1049" s="9">
        <v>600</v>
      </c>
      <c r="K1049" s="100">
        <f t="shared" si="140"/>
        <v>600</v>
      </c>
      <c r="L1049" s="78">
        <v>46142</v>
      </c>
      <c r="M1049" s="103"/>
      <c r="N1049" s="93" t="s">
        <v>617</v>
      </c>
      <c r="O1049" s="94">
        <v>46141</v>
      </c>
      <c r="P1049" s="104">
        <f t="shared" si="141"/>
        <v>600</v>
      </c>
      <c r="Q1049" s="104">
        <f t="shared" si="142"/>
        <v>600</v>
      </c>
      <c r="R1049" s="104"/>
      <c r="S1049" s="93" t="s">
        <v>618</v>
      </c>
      <c r="T1049" s="94">
        <v>46156</v>
      </c>
      <c r="U1049" s="104">
        <f t="shared" si="143"/>
        <v>600</v>
      </c>
      <c r="V1049" s="104">
        <f t="shared" si="144"/>
        <v>1</v>
      </c>
      <c r="W1049" s="103">
        <f t="shared" si="145"/>
        <v>600</v>
      </c>
      <c r="X1049" s="93" t="s">
        <v>89</v>
      </c>
      <c r="Y1049" s="105" t="s">
        <v>84</v>
      </c>
      <c r="Z1049" s="105" t="s">
        <v>619</v>
      </c>
    </row>
    <row r="1050" spans="1:26" s="105" customFormat="1" ht="15" customHeight="1">
      <c r="A1050" s="99">
        <f t="shared" si="146"/>
        <v>1048</v>
      </c>
      <c r="B1050" s="75" t="s">
        <v>741</v>
      </c>
      <c r="C1050" s="100" t="str">
        <f>IF($B1050&lt;&gt;"",_xlfn.IFNA(VLOOKUP($B1050,'Node Details'!$B:$U,C$1,0),"Check"),"")</f>
        <v>0000CM316-CM3160107</v>
      </c>
      <c r="D1050" s="100" t="str">
        <f>IF($B1050&lt;&gt;"",_xlfn.IFNA(VLOOKUP($B1050,'Node Details'!$B:$U,D$1,0),"Check"),"")</f>
        <v>CM3</v>
      </c>
      <c r="E1050" s="100" t="str">
        <f>IF($B1050&lt;&gt;"",_xlfn.IFNA(VLOOKUP($B1050,'Node Details'!$B:$U,E$1,0),"Check"),"")</f>
        <v>Airtel</v>
      </c>
      <c r="F1050" s="101">
        <v>46149</v>
      </c>
      <c r="G1050" s="103"/>
      <c r="H1050" s="102" t="s">
        <v>1254</v>
      </c>
      <c r="I1050" s="9">
        <v>1</v>
      </c>
      <c r="J1050" s="9">
        <v>600</v>
      </c>
      <c r="K1050" s="100">
        <f t="shared" si="140"/>
        <v>600</v>
      </c>
      <c r="L1050" s="78">
        <v>46142</v>
      </c>
      <c r="M1050" s="103"/>
      <c r="N1050" s="93" t="s">
        <v>617</v>
      </c>
      <c r="O1050" s="94">
        <v>46141</v>
      </c>
      <c r="P1050" s="104">
        <f t="shared" si="141"/>
        <v>600</v>
      </c>
      <c r="Q1050" s="104">
        <f t="shared" si="142"/>
        <v>600</v>
      </c>
      <c r="R1050" s="104"/>
      <c r="S1050" s="93" t="s">
        <v>618</v>
      </c>
      <c r="T1050" s="94">
        <v>46156</v>
      </c>
      <c r="U1050" s="104">
        <f t="shared" si="143"/>
        <v>600</v>
      </c>
      <c r="V1050" s="104">
        <f t="shared" si="144"/>
        <v>1</v>
      </c>
      <c r="W1050" s="103">
        <f t="shared" si="145"/>
        <v>600</v>
      </c>
      <c r="X1050" s="93" t="s">
        <v>89</v>
      </c>
      <c r="Y1050" s="105" t="s">
        <v>84</v>
      </c>
      <c r="Z1050" s="105" t="s">
        <v>619</v>
      </c>
    </row>
    <row r="1051" spans="1:26" s="105" customFormat="1" ht="15" customHeight="1">
      <c r="A1051" s="99">
        <f t="shared" si="146"/>
        <v>1049</v>
      </c>
      <c r="B1051" s="75" t="s">
        <v>739</v>
      </c>
      <c r="C1051" s="100" t="str">
        <f>IF($B1051&lt;&gt;"",_xlfn.IFNA(VLOOKUP($B1051,'Node Details'!$B:$U,C$1,0),"Check"),"")</f>
        <v>0000CM316-CM3160107</v>
      </c>
      <c r="D1051" s="100" t="str">
        <f>IF($B1051&lt;&gt;"",_xlfn.IFNA(VLOOKUP($B1051,'Node Details'!$B:$U,D$1,0),"Check"),"")</f>
        <v>CM3</v>
      </c>
      <c r="E1051" s="100" t="str">
        <f>IF($B1051&lt;&gt;"",_xlfn.IFNA(VLOOKUP($B1051,'Node Details'!$B:$U,E$1,0),"Check"),"")</f>
        <v>Airtel</v>
      </c>
      <c r="F1051" s="101">
        <v>46149</v>
      </c>
      <c r="G1051" s="103"/>
      <c r="H1051" s="102" t="s">
        <v>1254</v>
      </c>
      <c r="I1051" s="9">
        <v>1</v>
      </c>
      <c r="J1051" s="9">
        <v>600</v>
      </c>
      <c r="K1051" s="100">
        <f t="shared" si="140"/>
        <v>600</v>
      </c>
      <c r="L1051" s="78">
        <v>46142</v>
      </c>
      <c r="M1051" s="103"/>
      <c r="N1051" s="93" t="s">
        <v>617</v>
      </c>
      <c r="O1051" s="94">
        <v>46141</v>
      </c>
      <c r="P1051" s="104">
        <f t="shared" si="141"/>
        <v>600</v>
      </c>
      <c r="Q1051" s="104">
        <f t="shared" si="142"/>
        <v>600</v>
      </c>
      <c r="R1051" s="104"/>
      <c r="S1051" s="93" t="s">
        <v>618</v>
      </c>
      <c r="T1051" s="94">
        <v>46156</v>
      </c>
      <c r="U1051" s="104">
        <f t="shared" si="143"/>
        <v>600</v>
      </c>
      <c r="V1051" s="104">
        <f t="shared" si="144"/>
        <v>1</v>
      </c>
      <c r="W1051" s="103">
        <f t="shared" si="145"/>
        <v>600</v>
      </c>
      <c r="X1051" s="93" t="s">
        <v>89</v>
      </c>
      <c r="Y1051" s="105" t="s">
        <v>84</v>
      </c>
      <c r="Z1051" s="105" t="s">
        <v>619</v>
      </c>
    </row>
    <row r="1052" spans="1:26" s="105" customFormat="1" ht="15" customHeight="1">
      <c r="A1052" s="99">
        <f t="shared" si="146"/>
        <v>1050</v>
      </c>
      <c r="B1052" s="75" t="s">
        <v>742</v>
      </c>
      <c r="C1052" s="100" t="str">
        <f>IF($B1052&lt;&gt;"",_xlfn.IFNA(VLOOKUP($B1052,'Node Details'!$B:$U,C$1,0),"Check"),"")</f>
        <v>CM3160106-CM3160108</v>
      </c>
      <c r="D1052" s="100" t="str">
        <f>IF($B1052&lt;&gt;"",_xlfn.IFNA(VLOOKUP($B1052,'Node Details'!$B:$U,D$1,0),"Check"),"")</f>
        <v>CM3</v>
      </c>
      <c r="E1052" s="100" t="str">
        <f>IF($B1052&lt;&gt;"",_xlfn.IFNA(VLOOKUP($B1052,'Node Details'!$B:$U,E$1,0),"Check"),"")</f>
        <v>Airtel</v>
      </c>
      <c r="F1052" s="101">
        <v>46149</v>
      </c>
      <c r="G1052" s="103"/>
      <c r="H1052" s="102" t="s">
        <v>1254</v>
      </c>
      <c r="I1052" s="9">
        <v>1</v>
      </c>
      <c r="J1052" s="9">
        <v>600</v>
      </c>
      <c r="K1052" s="100">
        <f t="shared" si="140"/>
        <v>600</v>
      </c>
      <c r="L1052" s="78">
        <v>46142</v>
      </c>
      <c r="M1052" s="103"/>
      <c r="N1052" s="93" t="s">
        <v>617</v>
      </c>
      <c r="O1052" s="94">
        <v>46141</v>
      </c>
      <c r="P1052" s="104">
        <f t="shared" si="141"/>
        <v>600</v>
      </c>
      <c r="Q1052" s="104">
        <f t="shared" si="142"/>
        <v>600</v>
      </c>
      <c r="R1052" s="104"/>
      <c r="S1052" s="93" t="s">
        <v>618</v>
      </c>
      <c r="T1052" s="94">
        <v>46156</v>
      </c>
      <c r="U1052" s="104">
        <f t="shared" si="143"/>
        <v>600</v>
      </c>
      <c r="V1052" s="104">
        <f t="shared" si="144"/>
        <v>1</v>
      </c>
      <c r="W1052" s="103">
        <f t="shared" si="145"/>
        <v>600</v>
      </c>
      <c r="X1052" s="93" t="s">
        <v>89</v>
      </c>
      <c r="Y1052" s="105" t="s">
        <v>84</v>
      </c>
      <c r="Z1052" s="105" t="s">
        <v>619</v>
      </c>
    </row>
    <row r="1053" spans="1:26" s="105" customFormat="1" ht="15" customHeight="1">
      <c r="A1053" s="99">
        <f t="shared" si="146"/>
        <v>1051</v>
      </c>
      <c r="B1053" s="75" t="s">
        <v>1174</v>
      </c>
      <c r="C1053" s="100" t="str">
        <f>IF($B1053&lt;&gt;"",_xlfn.IFNA(VLOOKUP($B1053,'Node Details'!$B:$U,C$1,0),"Check"),"")</f>
        <v>0000CM316-CM3160104</v>
      </c>
      <c r="D1053" s="100" t="str">
        <f>IF($B1053&lt;&gt;"",_xlfn.IFNA(VLOOKUP($B1053,'Node Details'!$B:$U,D$1,0),"Check"),"")</f>
        <v>CM3</v>
      </c>
      <c r="E1053" s="100" t="str">
        <f>IF($B1053&lt;&gt;"",_xlfn.IFNA(VLOOKUP($B1053,'Node Details'!$B:$U,E$1,0),"Check"),"")</f>
        <v>Airtel</v>
      </c>
      <c r="F1053" s="101">
        <v>46149</v>
      </c>
      <c r="G1053" s="103"/>
      <c r="H1053" s="102" t="s">
        <v>1254</v>
      </c>
      <c r="I1053" s="9">
        <v>1</v>
      </c>
      <c r="J1053" s="9">
        <v>600</v>
      </c>
      <c r="K1053" s="100">
        <f t="shared" si="140"/>
        <v>600</v>
      </c>
      <c r="L1053" s="78">
        <v>46142</v>
      </c>
      <c r="M1053" s="103"/>
      <c r="N1053" s="93" t="s">
        <v>617</v>
      </c>
      <c r="O1053" s="94">
        <v>46141</v>
      </c>
      <c r="P1053" s="104">
        <f t="shared" si="141"/>
        <v>600</v>
      </c>
      <c r="Q1053" s="104">
        <f t="shared" si="142"/>
        <v>600</v>
      </c>
      <c r="R1053" s="104"/>
      <c r="S1053" s="93" t="s">
        <v>618</v>
      </c>
      <c r="T1053" s="94">
        <v>46156</v>
      </c>
      <c r="U1053" s="104">
        <f t="shared" si="143"/>
        <v>600</v>
      </c>
      <c r="V1053" s="104">
        <f t="shared" si="144"/>
        <v>1</v>
      </c>
      <c r="W1053" s="103">
        <f t="shared" si="145"/>
        <v>600</v>
      </c>
      <c r="X1053" s="93" t="s">
        <v>89</v>
      </c>
      <c r="Y1053" s="105" t="s">
        <v>84</v>
      </c>
      <c r="Z1053" s="105" t="s">
        <v>619</v>
      </c>
    </row>
    <row r="1054" spans="1:26" s="105" customFormat="1" ht="15" customHeight="1">
      <c r="A1054" s="99">
        <f t="shared" si="146"/>
        <v>1052</v>
      </c>
      <c r="B1054" s="75" t="s">
        <v>744</v>
      </c>
      <c r="C1054" s="100" t="str">
        <f>IF($B1054&lt;&gt;"",_xlfn.IFNA(VLOOKUP($B1054,'Node Details'!$B:$U,C$1,0),"Check"),"")</f>
        <v>0000CM316-CM3160104</v>
      </c>
      <c r="D1054" s="100" t="str">
        <f>IF($B1054&lt;&gt;"",_xlfn.IFNA(VLOOKUP($B1054,'Node Details'!$B:$U,D$1,0),"Check"),"")</f>
        <v>CM3</v>
      </c>
      <c r="E1054" s="100" t="str">
        <f>IF($B1054&lt;&gt;"",_xlfn.IFNA(VLOOKUP($B1054,'Node Details'!$B:$U,E$1,0),"Check"),"")</f>
        <v>Airtel</v>
      </c>
      <c r="F1054" s="101">
        <v>46149</v>
      </c>
      <c r="G1054" s="103"/>
      <c r="H1054" s="102" t="s">
        <v>1254</v>
      </c>
      <c r="I1054" s="9">
        <v>1</v>
      </c>
      <c r="J1054" s="9">
        <v>600</v>
      </c>
      <c r="K1054" s="100">
        <f t="shared" si="140"/>
        <v>600</v>
      </c>
      <c r="L1054" s="78">
        <v>46142</v>
      </c>
      <c r="M1054" s="103"/>
      <c r="N1054" s="93" t="s">
        <v>617</v>
      </c>
      <c r="O1054" s="94">
        <v>46141</v>
      </c>
      <c r="P1054" s="104">
        <f t="shared" si="141"/>
        <v>600</v>
      </c>
      <c r="Q1054" s="104">
        <f t="shared" si="142"/>
        <v>600</v>
      </c>
      <c r="R1054" s="104"/>
      <c r="S1054" s="93" t="s">
        <v>618</v>
      </c>
      <c r="T1054" s="94">
        <v>46156</v>
      </c>
      <c r="U1054" s="104">
        <f t="shared" si="143"/>
        <v>600</v>
      </c>
      <c r="V1054" s="104">
        <f t="shared" si="144"/>
        <v>1</v>
      </c>
      <c r="W1054" s="103">
        <f t="shared" si="145"/>
        <v>600</v>
      </c>
      <c r="X1054" s="93" t="s">
        <v>89</v>
      </c>
      <c r="Y1054" s="105" t="s">
        <v>84</v>
      </c>
      <c r="Z1054" s="105" t="s">
        <v>619</v>
      </c>
    </row>
    <row r="1055" spans="1:26" s="105" customFormat="1" ht="15" customHeight="1">
      <c r="A1055" s="99">
        <f t="shared" si="146"/>
        <v>1053</v>
      </c>
      <c r="B1055" s="75" t="s">
        <v>747</v>
      </c>
      <c r="C1055" s="100" t="str">
        <f>IF($B1055&lt;&gt;"",_xlfn.IFNA(VLOOKUP($B1055,'Node Details'!$B:$U,C$1,0),"Check"),"")</f>
        <v>0000CM317-CM3170101</v>
      </c>
      <c r="D1055" s="100" t="str">
        <f>IF($B1055&lt;&gt;"",_xlfn.IFNA(VLOOKUP($B1055,'Node Details'!$B:$U,D$1,0),"Check"),"")</f>
        <v>CM3</v>
      </c>
      <c r="E1055" s="100" t="str">
        <f>IF($B1055&lt;&gt;"",_xlfn.IFNA(VLOOKUP($B1055,'Node Details'!$B:$U,E$1,0),"Check"),"")</f>
        <v>Airtel</v>
      </c>
      <c r="F1055" s="101">
        <v>46149</v>
      </c>
      <c r="G1055" s="103"/>
      <c r="H1055" s="102" t="s">
        <v>1254</v>
      </c>
      <c r="I1055" s="9">
        <v>1</v>
      </c>
      <c r="J1055" s="9">
        <v>600</v>
      </c>
      <c r="K1055" s="100">
        <f t="shared" si="140"/>
        <v>600</v>
      </c>
      <c r="L1055" s="78">
        <v>46142</v>
      </c>
      <c r="M1055" s="103"/>
      <c r="N1055" s="93" t="s">
        <v>617</v>
      </c>
      <c r="O1055" s="94">
        <v>46141</v>
      </c>
      <c r="P1055" s="104">
        <f t="shared" si="141"/>
        <v>600</v>
      </c>
      <c r="Q1055" s="104">
        <f t="shared" si="142"/>
        <v>600</v>
      </c>
      <c r="R1055" s="104"/>
      <c r="S1055" s="93" t="s">
        <v>618</v>
      </c>
      <c r="T1055" s="94">
        <v>46156</v>
      </c>
      <c r="U1055" s="104">
        <f t="shared" si="143"/>
        <v>600</v>
      </c>
      <c r="V1055" s="104">
        <f t="shared" si="144"/>
        <v>1</v>
      </c>
      <c r="W1055" s="103">
        <f t="shared" si="145"/>
        <v>600</v>
      </c>
      <c r="X1055" s="93" t="s">
        <v>89</v>
      </c>
      <c r="Y1055" s="105" t="s">
        <v>84</v>
      </c>
      <c r="Z1055" s="105" t="s">
        <v>619</v>
      </c>
    </row>
    <row r="1056" spans="1:26" s="105" customFormat="1" ht="15" customHeight="1">
      <c r="A1056" s="99">
        <f t="shared" si="146"/>
        <v>1054</v>
      </c>
      <c r="B1056" s="75" t="s">
        <v>749</v>
      </c>
      <c r="C1056" s="100" t="str">
        <f>IF($B1056&lt;&gt;"",_xlfn.IFNA(VLOOKUP($B1056,'Node Details'!$B:$U,C$1,0),"Check"),"")</f>
        <v>0000CM317-CM3170102</v>
      </c>
      <c r="D1056" s="100" t="str">
        <f>IF($B1056&lt;&gt;"",_xlfn.IFNA(VLOOKUP($B1056,'Node Details'!$B:$U,D$1,0),"Check"),"")</f>
        <v>CM3</v>
      </c>
      <c r="E1056" s="100" t="str">
        <f>IF($B1056&lt;&gt;"",_xlfn.IFNA(VLOOKUP($B1056,'Node Details'!$B:$U,E$1,0),"Check"),"")</f>
        <v>Airtel</v>
      </c>
      <c r="F1056" s="101">
        <v>46149</v>
      </c>
      <c r="G1056" s="103"/>
      <c r="H1056" s="102" t="s">
        <v>1254</v>
      </c>
      <c r="I1056" s="9">
        <v>1</v>
      </c>
      <c r="J1056" s="9">
        <v>600</v>
      </c>
      <c r="K1056" s="100">
        <f t="shared" si="140"/>
        <v>600</v>
      </c>
      <c r="L1056" s="78">
        <v>46142</v>
      </c>
      <c r="M1056" s="103"/>
      <c r="N1056" s="93" t="s">
        <v>617</v>
      </c>
      <c r="O1056" s="94">
        <v>46141</v>
      </c>
      <c r="P1056" s="104">
        <f t="shared" si="141"/>
        <v>600</v>
      </c>
      <c r="Q1056" s="104">
        <f t="shared" si="142"/>
        <v>600</v>
      </c>
      <c r="R1056" s="104"/>
      <c r="S1056" s="93" t="s">
        <v>618</v>
      </c>
      <c r="T1056" s="94">
        <v>46156</v>
      </c>
      <c r="U1056" s="104">
        <f t="shared" si="143"/>
        <v>600</v>
      </c>
      <c r="V1056" s="104">
        <f t="shared" si="144"/>
        <v>1</v>
      </c>
      <c r="W1056" s="103">
        <f t="shared" si="145"/>
        <v>600</v>
      </c>
      <c r="X1056" s="93" t="s">
        <v>89</v>
      </c>
      <c r="Y1056" s="105" t="s">
        <v>84</v>
      </c>
      <c r="Z1056" s="105" t="s">
        <v>619</v>
      </c>
    </row>
    <row r="1057" spans="1:26" s="105" customFormat="1" ht="15" customHeight="1">
      <c r="A1057" s="99">
        <f t="shared" si="146"/>
        <v>1055</v>
      </c>
      <c r="B1057" s="75" t="s">
        <v>1175</v>
      </c>
      <c r="C1057" s="100" t="str">
        <f>IF($B1057&lt;&gt;"",_xlfn.IFNA(VLOOKUP($B1057,'Node Details'!$B:$U,C$1,0),"Check"),"")</f>
        <v>0000CM317-CM3170104</v>
      </c>
      <c r="D1057" s="100" t="str">
        <f>IF($B1057&lt;&gt;"",_xlfn.IFNA(VLOOKUP($B1057,'Node Details'!$B:$U,D$1,0),"Check"),"")</f>
        <v>CM3</v>
      </c>
      <c r="E1057" s="100" t="str">
        <f>IF($B1057&lt;&gt;"",_xlfn.IFNA(VLOOKUP($B1057,'Node Details'!$B:$U,E$1,0),"Check"),"")</f>
        <v>Airtel</v>
      </c>
      <c r="F1057" s="101">
        <v>46149</v>
      </c>
      <c r="G1057" s="103"/>
      <c r="H1057" s="102" t="s">
        <v>1254</v>
      </c>
      <c r="I1057" s="9">
        <v>1</v>
      </c>
      <c r="J1057" s="9">
        <v>600</v>
      </c>
      <c r="K1057" s="100">
        <f t="shared" si="140"/>
        <v>600</v>
      </c>
      <c r="L1057" s="78">
        <v>46142</v>
      </c>
      <c r="M1057" s="103"/>
      <c r="N1057" s="93" t="s">
        <v>617</v>
      </c>
      <c r="O1057" s="94">
        <v>46141</v>
      </c>
      <c r="P1057" s="104">
        <f t="shared" si="141"/>
        <v>600</v>
      </c>
      <c r="Q1057" s="104">
        <f t="shared" si="142"/>
        <v>600</v>
      </c>
      <c r="R1057" s="104"/>
      <c r="S1057" s="93" t="s">
        <v>618</v>
      </c>
      <c r="T1057" s="94">
        <v>46156</v>
      </c>
      <c r="U1057" s="104">
        <f t="shared" si="143"/>
        <v>600</v>
      </c>
      <c r="V1057" s="104">
        <f t="shared" si="144"/>
        <v>1</v>
      </c>
      <c r="W1057" s="103">
        <f t="shared" si="145"/>
        <v>600</v>
      </c>
      <c r="X1057" s="93" t="s">
        <v>89</v>
      </c>
      <c r="Y1057" s="105" t="s">
        <v>84</v>
      </c>
      <c r="Z1057" s="105" t="s">
        <v>619</v>
      </c>
    </row>
    <row r="1058" spans="1:26" s="105" customFormat="1" ht="15" customHeight="1">
      <c r="A1058" s="99">
        <f t="shared" si="146"/>
        <v>1056</v>
      </c>
      <c r="B1058" s="75" t="s">
        <v>751</v>
      </c>
      <c r="C1058" s="100" t="str">
        <f>IF($B1058&lt;&gt;"",_xlfn.IFNA(VLOOKUP($B1058,'Node Details'!$B:$U,C$1,0),"Check"),"")</f>
        <v>0000CM317-CM3170104</v>
      </c>
      <c r="D1058" s="100" t="str">
        <f>IF($B1058&lt;&gt;"",_xlfn.IFNA(VLOOKUP($B1058,'Node Details'!$B:$U,D$1,0),"Check"),"")</f>
        <v>CM3</v>
      </c>
      <c r="E1058" s="100" t="str">
        <f>IF($B1058&lt;&gt;"",_xlfn.IFNA(VLOOKUP($B1058,'Node Details'!$B:$U,E$1,0),"Check"),"")</f>
        <v>Airtel</v>
      </c>
      <c r="F1058" s="101">
        <v>46149</v>
      </c>
      <c r="G1058" s="103"/>
      <c r="H1058" s="102" t="s">
        <v>1254</v>
      </c>
      <c r="I1058" s="9">
        <v>1</v>
      </c>
      <c r="J1058" s="9">
        <v>600</v>
      </c>
      <c r="K1058" s="100">
        <f t="shared" si="140"/>
        <v>600</v>
      </c>
      <c r="L1058" s="78">
        <v>46142</v>
      </c>
      <c r="M1058" s="103"/>
      <c r="N1058" s="93" t="s">
        <v>617</v>
      </c>
      <c r="O1058" s="94">
        <v>46141</v>
      </c>
      <c r="P1058" s="104">
        <f t="shared" si="141"/>
        <v>600</v>
      </c>
      <c r="Q1058" s="104">
        <f t="shared" si="142"/>
        <v>600</v>
      </c>
      <c r="R1058" s="104"/>
      <c r="S1058" s="93" t="s">
        <v>618</v>
      </c>
      <c r="T1058" s="94">
        <v>46156</v>
      </c>
      <c r="U1058" s="104">
        <f t="shared" si="143"/>
        <v>600</v>
      </c>
      <c r="V1058" s="104">
        <f t="shared" si="144"/>
        <v>1</v>
      </c>
      <c r="W1058" s="103">
        <f t="shared" si="145"/>
        <v>600</v>
      </c>
      <c r="X1058" s="93" t="s">
        <v>89</v>
      </c>
      <c r="Y1058" s="105" t="s">
        <v>84</v>
      </c>
      <c r="Z1058" s="105" t="s">
        <v>619</v>
      </c>
    </row>
    <row r="1059" spans="1:26" s="105" customFormat="1" ht="15" customHeight="1">
      <c r="A1059" s="99">
        <f t="shared" si="146"/>
        <v>1057</v>
      </c>
      <c r="B1059" s="75" t="s">
        <v>754</v>
      </c>
      <c r="C1059" s="100" t="str">
        <f>IF($B1059&lt;&gt;"",_xlfn.IFNA(VLOOKUP($B1059,'Node Details'!$B:$U,C$1,0),"Check"),"")</f>
        <v>0000CM318-CM3180101</v>
      </c>
      <c r="D1059" s="100" t="str">
        <f>IF($B1059&lt;&gt;"",_xlfn.IFNA(VLOOKUP($B1059,'Node Details'!$B:$U,D$1,0),"Check"),"")</f>
        <v>CM3</v>
      </c>
      <c r="E1059" s="100" t="str">
        <f>IF($B1059&lt;&gt;"",_xlfn.IFNA(VLOOKUP($B1059,'Node Details'!$B:$U,E$1,0),"Check"),"")</f>
        <v>Airtel</v>
      </c>
      <c r="F1059" s="101">
        <v>46149</v>
      </c>
      <c r="G1059" s="103"/>
      <c r="H1059" s="102" t="s">
        <v>1254</v>
      </c>
      <c r="I1059" s="9">
        <v>1</v>
      </c>
      <c r="J1059" s="9">
        <v>600</v>
      </c>
      <c r="K1059" s="100">
        <f t="shared" si="140"/>
        <v>600</v>
      </c>
      <c r="L1059" s="78">
        <v>46142</v>
      </c>
      <c r="M1059" s="103"/>
      <c r="N1059" s="93" t="s">
        <v>617</v>
      </c>
      <c r="O1059" s="94">
        <v>46141</v>
      </c>
      <c r="P1059" s="104">
        <f t="shared" si="141"/>
        <v>600</v>
      </c>
      <c r="Q1059" s="104">
        <f t="shared" si="142"/>
        <v>600</v>
      </c>
      <c r="R1059" s="104"/>
      <c r="S1059" s="93" t="s">
        <v>618</v>
      </c>
      <c r="T1059" s="94">
        <v>46156</v>
      </c>
      <c r="U1059" s="104">
        <f t="shared" si="143"/>
        <v>600</v>
      </c>
      <c r="V1059" s="104">
        <f t="shared" si="144"/>
        <v>1</v>
      </c>
      <c r="W1059" s="103">
        <f t="shared" si="145"/>
        <v>600</v>
      </c>
      <c r="X1059" s="93" t="s">
        <v>89</v>
      </c>
      <c r="Y1059" s="105" t="s">
        <v>84</v>
      </c>
      <c r="Z1059" s="105" t="s">
        <v>619</v>
      </c>
    </row>
    <row r="1060" spans="1:26" s="105" customFormat="1" ht="15" customHeight="1">
      <c r="A1060" s="99">
        <f t="shared" si="146"/>
        <v>1058</v>
      </c>
      <c r="B1060" s="75" t="s">
        <v>1176</v>
      </c>
      <c r="C1060" s="100" t="str">
        <f>IF($B1060&lt;&gt;"",_xlfn.IFNA(VLOOKUP($B1060,'Node Details'!$B:$U,C$1,0),"Check"),"")</f>
        <v>0000CM318-CM3180102</v>
      </c>
      <c r="D1060" s="100" t="str">
        <f>IF($B1060&lt;&gt;"",_xlfn.IFNA(VLOOKUP($B1060,'Node Details'!$B:$U,D$1,0),"Check"),"")</f>
        <v>CM3</v>
      </c>
      <c r="E1060" s="100" t="str">
        <f>IF($B1060&lt;&gt;"",_xlfn.IFNA(VLOOKUP($B1060,'Node Details'!$B:$U,E$1,0),"Check"),"")</f>
        <v>Airtel</v>
      </c>
      <c r="F1060" s="101">
        <v>46149</v>
      </c>
      <c r="G1060" s="103"/>
      <c r="H1060" s="102" t="s">
        <v>1254</v>
      </c>
      <c r="I1060" s="9">
        <v>1</v>
      </c>
      <c r="J1060" s="9">
        <v>600</v>
      </c>
      <c r="K1060" s="100">
        <f t="shared" si="140"/>
        <v>600</v>
      </c>
      <c r="L1060" s="78">
        <v>46142</v>
      </c>
      <c r="M1060" s="103"/>
      <c r="N1060" s="93" t="s">
        <v>617</v>
      </c>
      <c r="O1060" s="94">
        <v>46141</v>
      </c>
      <c r="P1060" s="104">
        <f t="shared" si="141"/>
        <v>600</v>
      </c>
      <c r="Q1060" s="104">
        <f t="shared" si="142"/>
        <v>600</v>
      </c>
      <c r="R1060" s="104"/>
      <c r="S1060" s="93" t="s">
        <v>618</v>
      </c>
      <c r="T1060" s="94">
        <v>46156</v>
      </c>
      <c r="U1060" s="104">
        <f t="shared" si="143"/>
        <v>600</v>
      </c>
      <c r="V1060" s="104">
        <f t="shared" si="144"/>
        <v>1</v>
      </c>
      <c r="W1060" s="103">
        <f t="shared" si="145"/>
        <v>600</v>
      </c>
      <c r="X1060" s="93" t="s">
        <v>89</v>
      </c>
      <c r="Y1060" s="105" t="s">
        <v>84</v>
      </c>
      <c r="Z1060" s="105" t="s">
        <v>619</v>
      </c>
    </row>
    <row r="1061" spans="1:26" s="105" customFormat="1" ht="15" customHeight="1">
      <c r="A1061" s="99">
        <f t="shared" si="146"/>
        <v>1059</v>
      </c>
      <c r="B1061" s="75" t="s">
        <v>756</v>
      </c>
      <c r="C1061" s="100" t="str">
        <f>IF($B1061&lt;&gt;"",_xlfn.IFNA(VLOOKUP($B1061,'Node Details'!$B:$U,C$1,0),"Check"),"")</f>
        <v>0000CM318-CM3180102</v>
      </c>
      <c r="D1061" s="100" t="str">
        <f>IF($B1061&lt;&gt;"",_xlfn.IFNA(VLOOKUP($B1061,'Node Details'!$B:$U,D$1,0),"Check"),"")</f>
        <v>CM3</v>
      </c>
      <c r="E1061" s="100" t="str">
        <f>IF($B1061&lt;&gt;"",_xlfn.IFNA(VLOOKUP($B1061,'Node Details'!$B:$U,E$1,0),"Check"),"")</f>
        <v>Airtel</v>
      </c>
      <c r="F1061" s="101">
        <v>46149</v>
      </c>
      <c r="G1061" s="103"/>
      <c r="H1061" s="102" t="s">
        <v>1254</v>
      </c>
      <c r="I1061" s="9">
        <v>1</v>
      </c>
      <c r="J1061" s="9">
        <v>600</v>
      </c>
      <c r="K1061" s="100">
        <f t="shared" si="140"/>
        <v>600</v>
      </c>
      <c r="L1061" s="78">
        <v>46142</v>
      </c>
      <c r="M1061" s="103"/>
      <c r="N1061" s="93" t="s">
        <v>617</v>
      </c>
      <c r="O1061" s="94">
        <v>46141</v>
      </c>
      <c r="P1061" s="104">
        <f t="shared" si="141"/>
        <v>600</v>
      </c>
      <c r="Q1061" s="104">
        <f t="shared" si="142"/>
        <v>600</v>
      </c>
      <c r="R1061" s="104"/>
      <c r="S1061" s="93" t="s">
        <v>618</v>
      </c>
      <c r="T1061" s="94">
        <v>46156</v>
      </c>
      <c r="U1061" s="104">
        <f t="shared" si="143"/>
        <v>600</v>
      </c>
      <c r="V1061" s="104">
        <f t="shared" si="144"/>
        <v>1</v>
      </c>
      <c r="W1061" s="103">
        <f t="shared" si="145"/>
        <v>600</v>
      </c>
      <c r="X1061" s="93" t="s">
        <v>89</v>
      </c>
      <c r="Y1061" s="105" t="s">
        <v>84</v>
      </c>
      <c r="Z1061" s="105" t="s">
        <v>619</v>
      </c>
    </row>
    <row r="1062" spans="1:26" s="105" customFormat="1" ht="15" customHeight="1">
      <c r="A1062" s="99">
        <f t="shared" si="146"/>
        <v>1060</v>
      </c>
      <c r="B1062" s="75" t="s">
        <v>1177</v>
      </c>
      <c r="C1062" s="100" t="str">
        <f>IF($B1062&lt;&gt;"",_xlfn.IFNA(VLOOKUP($B1062,'Node Details'!$B:$U,C$1,0),"Check"),"")</f>
        <v>0000CM318-CM3180108</v>
      </c>
      <c r="D1062" s="100" t="str">
        <f>IF($B1062&lt;&gt;"",_xlfn.IFNA(VLOOKUP($B1062,'Node Details'!$B:$U,D$1,0),"Check"),"")</f>
        <v>CM3</v>
      </c>
      <c r="E1062" s="100" t="str">
        <f>IF($B1062&lt;&gt;"",_xlfn.IFNA(VLOOKUP($B1062,'Node Details'!$B:$U,E$1,0),"Check"),"")</f>
        <v>Airtel</v>
      </c>
      <c r="F1062" s="101">
        <v>46149</v>
      </c>
      <c r="G1062" s="103"/>
      <c r="H1062" s="102" t="s">
        <v>1254</v>
      </c>
      <c r="I1062" s="9">
        <v>1</v>
      </c>
      <c r="J1062" s="9">
        <v>600</v>
      </c>
      <c r="K1062" s="100">
        <f t="shared" si="140"/>
        <v>600</v>
      </c>
      <c r="L1062" s="78">
        <v>46142</v>
      </c>
      <c r="M1062" s="103"/>
      <c r="N1062" s="93" t="s">
        <v>617</v>
      </c>
      <c r="O1062" s="94">
        <v>46141</v>
      </c>
      <c r="P1062" s="104">
        <f t="shared" si="141"/>
        <v>600</v>
      </c>
      <c r="Q1062" s="104">
        <f t="shared" si="142"/>
        <v>600</v>
      </c>
      <c r="R1062" s="104"/>
      <c r="S1062" s="93" t="s">
        <v>618</v>
      </c>
      <c r="T1062" s="94">
        <v>46156</v>
      </c>
      <c r="U1062" s="104">
        <f t="shared" si="143"/>
        <v>600</v>
      </c>
      <c r="V1062" s="104">
        <f t="shared" si="144"/>
        <v>1</v>
      </c>
      <c r="W1062" s="103">
        <f t="shared" si="145"/>
        <v>600</v>
      </c>
      <c r="X1062" s="93" t="s">
        <v>89</v>
      </c>
      <c r="Y1062" s="105" t="s">
        <v>84</v>
      </c>
      <c r="Z1062" s="105" t="s">
        <v>619</v>
      </c>
    </row>
    <row r="1063" spans="1:26" s="105" customFormat="1" ht="15" customHeight="1">
      <c r="A1063" s="99">
        <f t="shared" si="146"/>
        <v>1061</v>
      </c>
      <c r="B1063" s="75" t="s">
        <v>758</v>
      </c>
      <c r="C1063" s="100" t="str">
        <f>IF($B1063&lt;&gt;"",_xlfn.IFNA(VLOOKUP($B1063,'Node Details'!$B:$U,C$1,0),"Check"),"")</f>
        <v>0000CM318-CM3180108</v>
      </c>
      <c r="D1063" s="100" t="str">
        <f>IF($B1063&lt;&gt;"",_xlfn.IFNA(VLOOKUP($B1063,'Node Details'!$B:$U,D$1,0),"Check"),"")</f>
        <v>CM3</v>
      </c>
      <c r="E1063" s="100" t="str">
        <f>IF($B1063&lt;&gt;"",_xlfn.IFNA(VLOOKUP($B1063,'Node Details'!$B:$U,E$1,0),"Check"),"")</f>
        <v>Airtel</v>
      </c>
      <c r="F1063" s="101">
        <v>46149</v>
      </c>
      <c r="G1063" s="103"/>
      <c r="H1063" s="102" t="s">
        <v>1254</v>
      </c>
      <c r="I1063" s="9">
        <v>1</v>
      </c>
      <c r="J1063" s="9">
        <v>600</v>
      </c>
      <c r="K1063" s="100">
        <f t="shared" si="140"/>
        <v>600</v>
      </c>
      <c r="L1063" s="78">
        <v>46142</v>
      </c>
      <c r="M1063" s="103"/>
      <c r="N1063" s="93" t="s">
        <v>617</v>
      </c>
      <c r="O1063" s="94">
        <v>46141</v>
      </c>
      <c r="P1063" s="104">
        <f t="shared" si="141"/>
        <v>600</v>
      </c>
      <c r="Q1063" s="104">
        <f t="shared" si="142"/>
        <v>600</v>
      </c>
      <c r="R1063" s="104"/>
      <c r="S1063" s="93" t="s">
        <v>618</v>
      </c>
      <c r="T1063" s="94">
        <v>46156</v>
      </c>
      <c r="U1063" s="104">
        <f t="shared" si="143"/>
        <v>600</v>
      </c>
      <c r="V1063" s="104">
        <f t="shared" si="144"/>
        <v>1</v>
      </c>
      <c r="W1063" s="103">
        <f t="shared" si="145"/>
        <v>600</v>
      </c>
      <c r="X1063" s="93" t="s">
        <v>89</v>
      </c>
      <c r="Y1063" s="105" t="s">
        <v>84</v>
      </c>
      <c r="Z1063" s="105" t="s">
        <v>619</v>
      </c>
    </row>
    <row r="1064" spans="1:26" s="105" customFormat="1" ht="15" customHeight="1">
      <c r="A1064" s="99">
        <f t="shared" si="146"/>
        <v>1062</v>
      </c>
      <c r="B1064" s="75" t="s">
        <v>1178</v>
      </c>
      <c r="C1064" s="100" t="str">
        <f>IF($B1064&lt;&gt;"",_xlfn.IFNA(VLOOKUP($B1064,'Node Details'!$B:$U,C$1,0),"Check"),"")</f>
        <v>0000CM318-CM3180105</v>
      </c>
      <c r="D1064" s="100" t="str">
        <f>IF($B1064&lt;&gt;"",_xlfn.IFNA(VLOOKUP($B1064,'Node Details'!$B:$U,D$1,0),"Check"),"")</f>
        <v>CM3</v>
      </c>
      <c r="E1064" s="100" t="str">
        <f>IF($B1064&lt;&gt;"",_xlfn.IFNA(VLOOKUP($B1064,'Node Details'!$B:$U,E$1,0),"Check"),"")</f>
        <v>Airtel</v>
      </c>
      <c r="F1064" s="101">
        <v>46149</v>
      </c>
      <c r="G1064" s="103"/>
      <c r="H1064" s="102" t="s">
        <v>1254</v>
      </c>
      <c r="I1064" s="9">
        <v>1</v>
      </c>
      <c r="J1064" s="9">
        <v>600</v>
      </c>
      <c r="K1064" s="100">
        <f t="shared" si="140"/>
        <v>600</v>
      </c>
      <c r="L1064" s="78">
        <v>46142</v>
      </c>
      <c r="M1064" s="103"/>
      <c r="N1064" s="93" t="s">
        <v>617</v>
      </c>
      <c r="O1064" s="94">
        <v>46141</v>
      </c>
      <c r="P1064" s="104">
        <f t="shared" si="141"/>
        <v>600</v>
      </c>
      <c r="Q1064" s="104">
        <f t="shared" si="142"/>
        <v>600</v>
      </c>
      <c r="R1064" s="104"/>
      <c r="S1064" s="93" t="s">
        <v>618</v>
      </c>
      <c r="T1064" s="94">
        <v>46156</v>
      </c>
      <c r="U1064" s="104">
        <f t="shared" si="143"/>
        <v>600</v>
      </c>
      <c r="V1064" s="104">
        <f t="shared" si="144"/>
        <v>1</v>
      </c>
      <c r="W1064" s="103">
        <f t="shared" si="145"/>
        <v>600</v>
      </c>
      <c r="X1064" s="93" t="s">
        <v>89</v>
      </c>
      <c r="Y1064" s="105" t="s">
        <v>84</v>
      </c>
      <c r="Z1064" s="105" t="s">
        <v>619</v>
      </c>
    </row>
    <row r="1065" spans="1:26" s="105" customFormat="1" ht="15" customHeight="1">
      <c r="A1065" s="99">
        <f t="shared" si="146"/>
        <v>1063</v>
      </c>
      <c r="B1065" s="75" t="s">
        <v>760</v>
      </c>
      <c r="C1065" s="100" t="str">
        <f>IF($B1065&lt;&gt;"",_xlfn.IFNA(VLOOKUP($B1065,'Node Details'!$B:$U,C$1,0),"Check"),"")</f>
        <v>0000CM318-CM3180105</v>
      </c>
      <c r="D1065" s="100" t="str">
        <f>IF($B1065&lt;&gt;"",_xlfn.IFNA(VLOOKUP($B1065,'Node Details'!$B:$U,D$1,0),"Check"),"")</f>
        <v>CM3</v>
      </c>
      <c r="E1065" s="100" t="str">
        <f>IF($B1065&lt;&gt;"",_xlfn.IFNA(VLOOKUP($B1065,'Node Details'!$B:$U,E$1,0),"Check"),"")</f>
        <v>Airtel</v>
      </c>
      <c r="F1065" s="101">
        <v>46149</v>
      </c>
      <c r="G1065" s="103"/>
      <c r="H1065" s="102" t="s">
        <v>1254</v>
      </c>
      <c r="I1065" s="9">
        <v>1</v>
      </c>
      <c r="J1065" s="9">
        <v>600</v>
      </c>
      <c r="K1065" s="100">
        <f t="shared" si="140"/>
        <v>600</v>
      </c>
      <c r="L1065" s="78">
        <v>46142</v>
      </c>
      <c r="M1065" s="103"/>
      <c r="N1065" s="93" t="s">
        <v>617</v>
      </c>
      <c r="O1065" s="94">
        <v>46141</v>
      </c>
      <c r="P1065" s="104">
        <f t="shared" si="141"/>
        <v>600</v>
      </c>
      <c r="Q1065" s="104">
        <f t="shared" si="142"/>
        <v>600</v>
      </c>
      <c r="R1065" s="104"/>
      <c r="S1065" s="93" t="s">
        <v>618</v>
      </c>
      <c r="T1065" s="94">
        <v>46156</v>
      </c>
      <c r="U1065" s="104">
        <f t="shared" si="143"/>
        <v>600</v>
      </c>
      <c r="V1065" s="104">
        <f t="shared" si="144"/>
        <v>1</v>
      </c>
      <c r="W1065" s="103">
        <f t="shared" si="145"/>
        <v>600</v>
      </c>
      <c r="X1065" s="93" t="s">
        <v>89</v>
      </c>
      <c r="Y1065" s="105" t="s">
        <v>84</v>
      </c>
      <c r="Z1065" s="105" t="s">
        <v>619</v>
      </c>
    </row>
    <row r="1066" spans="1:26" s="105" customFormat="1" ht="15" customHeight="1">
      <c r="A1066" s="99">
        <f t="shared" si="146"/>
        <v>1064</v>
      </c>
      <c r="B1066" s="75" t="s">
        <v>1179</v>
      </c>
      <c r="C1066" s="100" t="str">
        <f>IF($B1066&lt;&gt;"",_xlfn.IFNA(VLOOKUP($B1066,'Node Details'!$B:$U,C$1,0),"Check"),"")</f>
        <v>0000CM319-CM3190104</v>
      </c>
      <c r="D1066" s="100" t="str">
        <f>IF($B1066&lt;&gt;"",_xlfn.IFNA(VLOOKUP($B1066,'Node Details'!$B:$U,D$1,0),"Check"),"")</f>
        <v>CM3</v>
      </c>
      <c r="E1066" s="100" t="str">
        <f>IF($B1066&lt;&gt;"",_xlfn.IFNA(VLOOKUP($B1066,'Node Details'!$B:$U,E$1,0),"Check"),"")</f>
        <v>Airtel</v>
      </c>
      <c r="F1066" s="101">
        <v>46149</v>
      </c>
      <c r="G1066" s="103"/>
      <c r="H1066" s="102" t="s">
        <v>1254</v>
      </c>
      <c r="I1066" s="9">
        <v>1</v>
      </c>
      <c r="J1066" s="9">
        <v>600</v>
      </c>
      <c r="K1066" s="100">
        <f t="shared" si="140"/>
        <v>600</v>
      </c>
      <c r="L1066" s="78">
        <v>46142</v>
      </c>
      <c r="M1066" s="103"/>
      <c r="N1066" s="93" t="s">
        <v>617</v>
      </c>
      <c r="O1066" s="94">
        <v>46141</v>
      </c>
      <c r="P1066" s="104">
        <f t="shared" si="141"/>
        <v>600</v>
      </c>
      <c r="Q1066" s="104">
        <f t="shared" si="142"/>
        <v>600</v>
      </c>
      <c r="R1066" s="104"/>
      <c r="S1066" s="93" t="s">
        <v>618</v>
      </c>
      <c r="T1066" s="94">
        <v>46156</v>
      </c>
      <c r="U1066" s="104">
        <f t="shared" si="143"/>
        <v>600</v>
      </c>
      <c r="V1066" s="104">
        <f t="shared" si="144"/>
        <v>1</v>
      </c>
      <c r="W1066" s="103">
        <f t="shared" si="145"/>
        <v>600</v>
      </c>
      <c r="X1066" s="93" t="s">
        <v>89</v>
      </c>
      <c r="Y1066" s="105" t="s">
        <v>84</v>
      </c>
      <c r="Z1066" s="105" t="s">
        <v>619</v>
      </c>
    </row>
    <row r="1067" spans="1:26" s="105" customFormat="1" ht="15" customHeight="1">
      <c r="A1067" s="99">
        <f t="shared" si="146"/>
        <v>1065</v>
      </c>
      <c r="B1067" s="75" t="s">
        <v>1180</v>
      </c>
      <c r="C1067" s="100" t="str">
        <f>IF($B1067&lt;&gt;"",_xlfn.IFNA(VLOOKUP($B1067,'Node Details'!$B:$U,C$1,0),"Check"),"")</f>
        <v>0000CM319-CM3190104</v>
      </c>
      <c r="D1067" s="100" t="str">
        <f>IF($B1067&lt;&gt;"",_xlfn.IFNA(VLOOKUP($B1067,'Node Details'!$B:$U,D$1,0),"Check"),"")</f>
        <v>CM3</v>
      </c>
      <c r="E1067" s="100" t="str">
        <f>IF($B1067&lt;&gt;"",_xlfn.IFNA(VLOOKUP($B1067,'Node Details'!$B:$U,E$1,0),"Check"),"")</f>
        <v>Airtel</v>
      </c>
      <c r="F1067" s="101">
        <v>46149</v>
      </c>
      <c r="G1067" s="103"/>
      <c r="H1067" s="102" t="s">
        <v>1254</v>
      </c>
      <c r="I1067" s="9">
        <v>1</v>
      </c>
      <c r="J1067" s="9">
        <v>600</v>
      </c>
      <c r="K1067" s="100">
        <f t="shared" si="140"/>
        <v>600</v>
      </c>
      <c r="L1067" s="78">
        <v>46142</v>
      </c>
      <c r="M1067" s="103"/>
      <c r="N1067" s="93" t="s">
        <v>617</v>
      </c>
      <c r="O1067" s="94">
        <v>46141</v>
      </c>
      <c r="P1067" s="104">
        <f t="shared" si="141"/>
        <v>600</v>
      </c>
      <c r="Q1067" s="104">
        <f t="shared" si="142"/>
        <v>600</v>
      </c>
      <c r="R1067" s="104"/>
      <c r="S1067" s="93" t="s">
        <v>618</v>
      </c>
      <c r="T1067" s="94">
        <v>46156</v>
      </c>
      <c r="U1067" s="104">
        <f t="shared" si="143"/>
        <v>600</v>
      </c>
      <c r="V1067" s="104">
        <f t="shared" si="144"/>
        <v>1</v>
      </c>
      <c r="W1067" s="103">
        <f t="shared" si="145"/>
        <v>600</v>
      </c>
      <c r="X1067" s="93" t="s">
        <v>89</v>
      </c>
      <c r="Y1067" s="105" t="s">
        <v>84</v>
      </c>
      <c r="Z1067" s="105" t="s">
        <v>619</v>
      </c>
    </row>
    <row r="1068" spans="1:26" s="105" customFormat="1" ht="15" customHeight="1">
      <c r="A1068" s="99">
        <f t="shared" si="146"/>
        <v>1066</v>
      </c>
      <c r="B1068" s="75" t="s">
        <v>1181</v>
      </c>
      <c r="C1068" s="100" t="str">
        <f>IF($B1068&lt;&gt;"",_xlfn.IFNA(VLOOKUP($B1068,'Node Details'!$B:$U,C$1,0),"Check"),"")</f>
        <v>0000CM319-CM3190104</v>
      </c>
      <c r="D1068" s="100" t="str">
        <f>IF($B1068&lt;&gt;"",_xlfn.IFNA(VLOOKUP($B1068,'Node Details'!$B:$U,D$1,0),"Check"),"")</f>
        <v>CM3</v>
      </c>
      <c r="E1068" s="100" t="str">
        <f>IF($B1068&lt;&gt;"",_xlfn.IFNA(VLOOKUP($B1068,'Node Details'!$B:$U,E$1,0),"Check"),"")</f>
        <v>Airtel</v>
      </c>
      <c r="F1068" s="101">
        <v>46149</v>
      </c>
      <c r="G1068" s="103"/>
      <c r="H1068" s="102" t="s">
        <v>1254</v>
      </c>
      <c r="I1068" s="9">
        <v>1</v>
      </c>
      <c r="J1068" s="9">
        <v>600</v>
      </c>
      <c r="K1068" s="100">
        <f t="shared" si="140"/>
        <v>600</v>
      </c>
      <c r="L1068" s="78">
        <v>46142</v>
      </c>
      <c r="M1068" s="103"/>
      <c r="N1068" s="93" t="s">
        <v>617</v>
      </c>
      <c r="O1068" s="94">
        <v>46141</v>
      </c>
      <c r="P1068" s="104">
        <f t="shared" si="141"/>
        <v>600</v>
      </c>
      <c r="Q1068" s="104">
        <f t="shared" si="142"/>
        <v>600</v>
      </c>
      <c r="R1068" s="104"/>
      <c r="S1068" s="93" t="s">
        <v>618</v>
      </c>
      <c r="T1068" s="94">
        <v>46156</v>
      </c>
      <c r="U1068" s="104">
        <f t="shared" si="143"/>
        <v>600</v>
      </c>
      <c r="V1068" s="104">
        <f t="shared" si="144"/>
        <v>1</v>
      </c>
      <c r="W1068" s="103">
        <f t="shared" si="145"/>
        <v>600</v>
      </c>
      <c r="X1068" s="93" t="s">
        <v>89</v>
      </c>
      <c r="Y1068" s="105" t="s">
        <v>84</v>
      </c>
      <c r="Z1068" s="105" t="s">
        <v>619</v>
      </c>
    </row>
    <row r="1069" spans="1:26" s="105" customFormat="1" ht="15" customHeight="1">
      <c r="A1069" s="99">
        <f t="shared" si="146"/>
        <v>1067</v>
      </c>
      <c r="B1069" s="75" t="s">
        <v>763</v>
      </c>
      <c r="C1069" s="100" t="str">
        <f>IF($B1069&lt;&gt;"",_xlfn.IFNA(VLOOKUP($B1069,'Node Details'!$B:$U,C$1,0),"Check"),"")</f>
        <v>0000CM319-CM3190104</v>
      </c>
      <c r="D1069" s="100" t="str">
        <f>IF($B1069&lt;&gt;"",_xlfn.IFNA(VLOOKUP($B1069,'Node Details'!$B:$U,D$1,0),"Check"),"")</f>
        <v>CM3</v>
      </c>
      <c r="E1069" s="100" t="str">
        <f>IF($B1069&lt;&gt;"",_xlfn.IFNA(VLOOKUP($B1069,'Node Details'!$B:$U,E$1,0),"Check"),"")</f>
        <v>Airtel</v>
      </c>
      <c r="F1069" s="101">
        <v>46149</v>
      </c>
      <c r="G1069" s="103"/>
      <c r="H1069" s="102" t="s">
        <v>1254</v>
      </c>
      <c r="I1069" s="9">
        <v>1</v>
      </c>
      <c r="J1069" s="9">
        <v>600</v>
      </c>
      <c r="K1069" s="100">
        <f t="shared" si="140"/>
        <v>600</v>
      </c>
      <c r="L1069" s="78">
        <v>46142</v>
      </c>
      <c r="M1069" s="103"/>
      <c r="N1069" s="93" t="s">
        <v>617</v>
      </c>
      <c r="O1069" s="94">
        <v>46141</v>
      </c>
      <c r="P1069" s="104">
        <f t="shared" si="141"/>
        <v>600</v>
      </c>
      <c r="Q1069" s="104">
        <f t="shared" si="142"/>
        <v>600</v>
      </c>
      <c r="R1069" s="104"/>
      <c r="S1069" s="93" t="s">
        <v>618</v>
      </c>
      <c r="T1069" s="94">
        <v>46156</v>
      </c>
      <c r="U1069" s="104">
        <f t="shared" si="143"/>
        <v>600</v>
      </c>
      <c r="V1069" s="104">
        <f t="shared" si="144"/>
        <v>1</v>
      </c>
      <c r="W1069" s="103">
        <f t="shared" si="145"/>
        <v>600</v>
      </c>
      <c r="X1069" s="93" t="s">
        <v>89</v>
      </c>
      <c r="Y1069" s="105" t="s">
        <v>84</v>
      </c>
      <c r="Z1069" s="105" t="s">
        <v>619</v>
      </c>
    </row>
    <row r="1070" spans="1:26" s="105" customFormat="1" ht="15" customHeight="1">
      <c r="A1070" s="99">
        <f t="shared" si="146"/>
        <v>1068</v>
      </c>
      <c r="B1070" s="75" t="s">
        <v>1182</v>
      </c>
      <c r="C1070" s="100" t="str">
        <f>IF($B1070&lt;&gt;"",_xlfn.IFNA(VLOOKUP($B1070,'Node Details'!$B:$U,C$1,0),"Check"),"")</f>
        <v>0000CM319-CM3190108</v>
      </c>
      <c r="D1070" s="100" t="str">
        <f>IF($B1070&lt;&gt;"",_xlfn.IFNA(VLOOKUP($B1070,'Node Details'!$B:$U,D$1,0),"Check"),"")</f>
        <v>CM3</v>
      </c>
      <c r="E1070" s="100" t="str">
        <f>IF($B1070&lt;&gt;"",_xlfn.IFNA(VLOOKUP($B1070,'Node Details'!$B:$U,E$1,0),"Check"),"")</f>
        <v>Airtel</v>
      </c>
      <c r="F1070" s="101">
        <v>46149</v>
      </c>
      <c r="G1070" s="103"/>
      <c r="H1070" s="102" t="s">
        <v>1254</v>
      </c>
      <c r="I1070" s="9">
        <v>1</v>
      </c>
      <c r="J1070" s="9">
        <v>600</v>
      </c>
      <c r="K1070" s="100">
        <f t="shared" si="140"/>
        <v>600</v>
      </c>
      <c r="L1070" s="78">
        <v>46142</v>
      </c>
      <c r="M1070" s="103"/>
      <c r="N1070" s="93" t="s">
        <v>617</v>
      </c>
      <c r="O1070" s="94">
        <v>46141</v>
      </c>
      <c r="P1070" s="104">
        <f t="shared" si="141"/>
        <v>600</v>
      </c>
      <c r="Q1070" s="104">
        <f t="shared" si="142"/>
        <v>600</v>
      </c>
      <c r="R1070" s="104"/>
      <c r="S1070" s="93" t="s">
        <v>618</v>
      </c>
      <c r="T1070" s="94">
        <v>46156</v>
      </c>
      <c r="U1070" s="104">
        <f t="shared" si="143"/>
        <v>600</v>
      </c>
      <c r="V1070" s="104">
        <f t="shared" si="144"/>
        <v>1</v>
      </c>
      <c r="W1070" s="103">
        <f t="shared" si="145"/>
        <v>600</v>
      </c>
      <c r="X1070" s="93" t="s">
        <v>89</v>
      </c>
      <c r="Y1070" s="105" t="s">
        <v>84</v>
      </c>
      <c r="Z1070" s="105" t="s">
        <v>619</v>
      </c>
    </row>
    <row r="1071" spans="1:26" s="105" customFormat="1" ht="15" customHeight="1">
      <c r="A1071" s="99">
        <f t="shared" si="146"/>
        <v>1069</v>
      </c>
      <c r="B1071" s="75" t="s">
        <v>1183</v>
      </c>
      <c r="C1071" s="100" t="str">
        <f>IF($B1071&lt;&gt;"",_xlfn.IFNA(VLOOKUP($B1071,'Node Details'!$B:$U,C$1,0),"Check"),"")</f>
        <v>0000CM319-CM3190108</v>
      </c>
      <c r="D1071" s="100" t="str">
        <f>IF($B1071&lt;&gt;"",_xlfn.IFNA(VLOOKUP($B1071,'Node Details'!$B:$U,D$1,0),"Check"),"")</f>
        <v>CM3</v>
      </c>
      <c r="E1071" s="100" t="str">
        <f>IF($B1071&lt;&gt;"",_xlfn.IFNA(VLOOKUP($B1071,'Node Details'!$B:$U,E$1,0),"Check"),"")</f>
        <v>Airtel</v>
      </c>
      <c r="F1071" s="101">
        <v>46149</v>
      </c>
      <c r="G1071" s="103"/>
      <c r="H1071" s="102" t="s">
        <v>1254</v>
      </c>
      <c r="I1071" s="9">
        <v>1</v>
      </c>
      <c r="J1071" s="9">
        <v>600</v>
      </c>
      <c r="K1071" s="100">
        <f t="shared" si="140"/>
        <v>600</v>
      </c>
      <c r="L1071" s="78">
        <v>46142</v>
      </c>
      <c r="M1071" s="103"/>
      <c r="N1071" s="93" t="s">
        <v>617</v>
      </c>
      <c r="O1071" s="94">
        <v>46141</v>
      </c>
      <c r="P1071" s="104">
        <f t="shared" si="141"/>
        <v>600</v>
      </c>
      <c r="Q1071" s="104">
        <f t="shared" si="142"/>
        <v>600</v>
      </c>
      <c r="R1071" s="104"/>
      <c r="S1071" s="93" t="s">
        <v>618</v>
      </c>
      <c r="T1071" s="94">
        <v>46156</v>
      </c>
      <c r="U1071" s="104">
        <f t="shared" si="143"/>
        <v>600</v>
      </c>
      <c r="V1071" s="104">
        <f t="shared" si="144"/>
        <v>1</v>
      </c>
      <c r="W1071" s="103">
        <f t="shared" si="145"/>
        <v>600</v>
      </c>
      <c r="X1071" s="93" t="s">
        <v>89</v>
      </c>
      <c r="Y1071" s="105" t="s">
        <v>84</v>
      </c>
      <c r="Z1071" s="105" t="s">
        <v>619</v>
      </c>
    </row>
    <row r="1072" spans="1:26" s="105" customFormat="1" ht="15" customHeight="1">
      <c r="A1072" s="99">
        <f t="shared" si="146"/>
        <v>1070</v>
      </c>
      <c r="B1072" s="75" t="s">
        <v>1184</v>
      </c>
      <c r="C1072" s="100" t="str">
        <f>IF($B1072&lt;&gt;"",_xlfn.IFNA(VLOOKUP($B1072,'Node Details'!$B:$U,C$1,0),"Check"),"")</f>
        <v>0000CM319-CM3190108</v>
      </c>
      <c r="D1072" s="100" t="str">
        <f>IF($B1072&lt;&gt;"",_xlfn.IFNA(VLOOKUP($B1072,'Node Details'!$B:$U,D$1,0),"Check"),"")</f>
        <v>CM3</v>
      </c>
      <c r="E1072" s="100" t="str">
        <f>IF($B1072&lt;&gt;"",_xlfn.IFNA(VLOOKUP($B1072,'Node Details'!$B:$U,E$1,0),"Check"),"")</f>
        <v>Airtel</v>
      </c>
      <c r="F1072" s="101">
        <v>46149</v>
      </c>
      <c r="G1072" s="103"/>
      <c r="H1072" s="102" t="s">
        <v>1254</v>
      </c>
      <c r="I1072" s="9">
        <v>1</v>
      </c>
      <c r="J1072" s="9">
        <v>600</v>
      </c>
      <c r="K1072" s="100">
        <f t="shared" si="140"/>
        <v>600</v>
      </c>
      <c r="L1072" s="78">
        <v>46142</v>
      </c>
      <c r="M1072" s="103"/>
      <c r="N1072" s="93" t="s">
        <v>617</v>
      </c>
      <c r="O1072" s="94">
        <v>46141</v>
      </c>
      <c r="P1072" s="104">
        <f t="shared" si="141"/>
        <v>600</v>
      </c>
      <c r="Q1072" s="104">
        <f t="shared" si="142"/>
        <v>600</v>
      </c>
      <c r="R1072" s="104"/>
      <c r="S1072" s="93" t="s">
        <v>618</v>
      </c>
      <c r="T1072" s="94">
        <v>46156</v>
      </c>
      <c r="U1072" s="104">
        <f t="shared" si="143"/>
        <v>600</v>
      </c>
      <c r="V1072" s="104">
        <f t="shared" si="144"/>
        <v>1</v>
      </c>
      <c r="W1072" s="103">
        <f t="shared" si="145"/>
        <v>600</v>
      </c>
      <c r="X1072" s="93" t="s">
        <v>89</v>
      </c>
      <c r="Y1072" s="105" t="s">
        <v>84</v>
      </c>
      <c r="Z1072" s="105" t="s">
        <v>619</v>
      </c>
    </row>
    <row r="1073" spans="1:26" s="105" customFormat="1" ht="15" customHeight="1">
      <c r="A1073" s="99">
        <f t="shared" si="146"/>
        <v>1071</v>
      </c>
      <c r="B1073" s="75" t="s">
        <v>765</v>
      </c>
      <c r="C1073" s="100" t="str">
        <f>IF($B1073&lt;&gt;"",_xlfn.IFNA(VLOOKUP($B1073,'Node Details'!$B:$U,C$1,0),"Check"),"")</f>
        <v>0000CM319-CM3190108</v>
      </c>
      <c r="D1073" s="100" t="str">
        <f>IF($B1073&lt;&gt;"",_xlfn.IFNA(VLOOKUP($B1073,'Node Details'!$B:$U,D$1,0),"Check"),"")</f>
        <v>CM3</v>
      </c>
      <c r="E1073" s="100" t="str">
        <f>IF($B1073&lt;&gt;"",_xlfn.IFNA(VLOOKUP($B1073,'Node Details'!$B:$U,E$1,0),"Check"),"")</f>
        <v>Airtel</v>
      </c>
      <c r="F1073" s="101">
        <v>46149</v>
      </c>
      <c r="G1073" s="103"/>
      <c r="H1073" s="102" t="s">
        <v>1254</v>
      </c>
      <c r="I1073" s="9">
        <v>1</v>
      </c>
      <c r="J1073" s="9">
        <v>600</v>
      </c>
      <c r="K1073" s="100">
        <f t="shared" si="140"/>
        <v>600</v>
      </c>
      <c r="L1073" s="78">
        <v>46142</v>
      </c>
      <c r="M1073" s="103"/>
      <c r="N1073" s="93" t="s">
        <v>617</v>
      </c>
      <c r="O1073" s="94">
        <v>46141</v>
      </c>
      <c r="P1073" s="104">
        <f t="shared" si="141"/>
        <v>600</v>
      </c>
      <c r="Q1073" s="104">
        <f t="shared" si="142"/>
        <v>600</v>
      </c>
      <c r="R1073" s="104"/>
      <c r="S1073" s="93" t="s">
        <v>618</v>
      </c>
      <c r="T1073" s="94">
        <v>46156</v>
      </c>
      <c r="U1073" s="104">
        <f t="shared" si="143"/>
        <v>600</v>
      </c>
      <c r="V1073" s="104">
        <f t="shared" si="144"/>
        <v>1</v>
      </c>
      <c r="W1073" s="103">
        <f t="shared" si="145"/>
        <v>600</v>
      </c>
      <c r="X1073" s="93" t="s">
        <v>89</v>
      </c>
      <c r="Y1073" s="105" t="s">
        <v>84</v>
      </c>
      <c r="Z1073" s="105" t="s">
        <v>619</v>
      </c>
    </row>
    <row r="1074" spans="1:26" s="105" customFormat="1" ht="15" customHeight="1">
      <c r="A1074" s="99">
        <f t="shared" si="146"/>
        <v>1072</v>
      </c>
      <c r="B1074" s="75" t="s">
        <v>768</v>
      </c>
      <c r="C1074" s="100" t="str">
        <f>IF($B1074&lt;&gt;"",_xlfn.IFNA(VLOOKUP($B1074,'Node Details'!$B:$U,C$1,0),"Check"),"")</f>
        <v>0000CM320-CM3200101</v>
      </c>
      <c r="D1074" s="100" t="str">
        <f>IF($B1074&lt;&gt;"",_xlfn.IFNA(VLOOKUP($B1074,'Node Details'!$B:$U,D$1,0),"Check"),"")</f>
        <v>CM3</v>
      </c>
      <c r="E1074" s="100" t="str">
        <f>IF($B1074&lt;&gt;"",_xlfn.IFNA(VLOOKUP($B1074,'Node Details'!$B:$U,E$1,0),"Check"),"")</f>
        <v>Airtel</v>
      </c>
      <c r="F1074" s="101">
        <v>46149</v>
      </c>
      <c r="G1074" s="103"/>
      <c r="H1074" s="102" t="s">
        <v>1254</v>
      </c>
      <c r="I1074" s="9">
        <v>1</v>
      </c>
      <c r="J1074" s="9">
        <v>600</v>
      </c>
      <c r="K1074" s="100">
        <f t="shared" si="140"/>
        <v>600</v>
      </c>
      <c r="L1074" s="78">
        <v>46142</v>
      </c>
      <c r="M1074" s="103"/>
      <c r="N1074" s="93" t="s">
        <v>617</v>
      </c>
      <c r="O1074" s="94">
        <v>46141</v>
      </c>
      <c r="P1074" s="104">
        <f t="shared" si="141"/>
        <v>600</v>
      </c>
      <c r="Q1074" s="104">
        <f t="shared" si="142"/>
        <v>600</v>
      </c>
      <c r="R1074" s="104"/>
      <c r="S1074" s="93" t="s">
        <v>618</v>
      </c>
      <c r="T1074" s="94">
        <v>46156</v>
      </c>
      <c r="U1074" s="104">
        <f t="shared" si="143"/>
        <v>600</v>
      </c>
      <c r="V1074" s="104">
        <f t="shared" si="144"/>
        <v>1</v>
      </c>
      <c r="W1074" s="103">
        <f t="shared" si="145"/>
        <v>600</v>
      </c>
      <c r="X1074" s="93" t="s">
        <v>89</v>
      </c>
      <c r="Y1074" s="105" t="s">
        <v>84</v>
      </c>
      <c r="Z1074" s="105" t="s">
        <v>619</v>
      </c>
    </row>
    <row r="1075" spans="1:26" s="105" customFormat="1" ht="15" customHeight="1">
      <c r="A1075" s="99">
        <f t="shared" si="146"/>
        <v>1073</v>
      </c>
      <c r="B1075" s="75" t="s">
        <v>1185</v>
      </c>
      <c r="C1075" s="100" t="str">
        <f>IF($B1075&lt;&gt;"",_xlfn.IFNA(VLOOKUP($B1075,'Node Details'!$B:$U,C$1,0),"Check"),"")</f>
        <v>0000CM320-CM3200104</v>
      </c>
      <c r="D1075" s="100" t="str">
        <f>IF($B1075&lt;&gt;"",_xlfn.IFNA(VLOOKUP($B1075,'Node Details'!$B:$U,D$1,0),"Check"),"")</f>
        <v>CM3</v>
      </c>
      <c r="E1075" s="100" t="str">
        <f>IF($B1075&lt;&gt;"",_xlfn.IFNA(VLOOKUP($B1075,'Node Details'!$B:$U,E$1,0),"Check"),"")</f>
        <v>Airtel</v>
      </c>
      <c r="F1075" s="101">
        <v>46149</v>
      </c>
      <c r="G1075" s="103"/>
      <c r="H1075" s="102" t="s">
        <v>1254</v>
      </c>
      <c r="I1075" s="9">
        <v>1</v>
      </c>
      <c r="J1075" s="9">
        <v>600</v>
      </c>
      <c r="K1075" s="100">
        <f t="shared" si="140"/>
        <v>600</v>
      </c>
      <c r="L1075" s="78">
        <v>46142</v>
      </c>
      <c r="M1075" s="103"/>
      <c r="N1075" s="93" t="s">
        <v>617</v>
      </c>
      <c r="O1075" s="94">
        <v>46141</v>
      </c>
      <c r="P1075" s="104">
        <f t="shared" si="141"/>
        <v>600</v>
      </c>
      <c r="Q1075" s="104">
        <f t="shared" si="142"/>
        <v>600</v>
      </c>
      <c r="R1075" s="104"/>
      <c r="S1075" s="93" t="s">
        <v>618</v>
      </c>
      <c r="T1075" s="94">
        <v>46156</v>
      </c>
      <c r="U1075" s="104">
        <f t="shared" si="143"/>
        <v>600</v>
      </c>
      <c r="V1075" s="104">
        <f t="shared" si="144"/>
        <v>1</v>
      </c>
      <c r="W1075" s="103">
        <f t="shared" si="145"/>
        <v>600</v>
      </c>
      <c r="X1075" s="93" t="s">
        <v>89</v>
      </c>
      <c r="Y1075" s="105" t="s">
        <v>84</v>
      </c>
      <c r="Z1075" s="105" t="s">
        <v>619</v>
      </c>
    </row>
    <row r="1076" spans="1:26" s="105" customFormat="1" ht="15" customHeight="1">
      <c r="A1076" s="99">
        <f t="shared" si="146"/>
        <v>1074</v>
      </c>
      <c r="B1076" s="75" t="s">
        <v>1186</v>
      </c>
      <c r="C1076" s="100" t="str">
        <f>IF($B1076&lt;&gt;"",_xlfn.IFNA(VLOOKUP($B1076,'Node Details'!$B:$U,C$1,0),"Check"),"")</f>
        <v>0000CM320-CM3200104</v>
      </c>
      <c r="D1076" s="100" t="str">
        <f>IF($B1076&lt;&gt;"",_xlfn.IFNA(VLOOKUP($B1076,'Node Details'!$B:$U,D$1,0),"Check"),"")</f>
        <v>CM3</v>
      </c>
      <c r="E1076" s="100" t="str">
        <f>IF($B1076&lt;&gt;"",_xlfn.IFNA(VLOOKUP($B1076,'Node Details'!$B:$U,E$1,0),"Check"),"")</f>
        <v>Airtel</v>
      </c>
      <c r="F1076" s="101">
        <v>46149</v>
      </c>
      <c r="G1076" s="103"/>
      <c r="H1076" s="102" t="s">
        <v>1254</v>
      </c>
      <c r="I1076" s="9">
        <v>1</v>
      </c>
      <c r="J1076" s="9">
        <v>600</v>
      </c>
      <c r="K1076" s="100">
        <f t="shared" si="140"/>
        <v>600</v>
      </c>
      <c r="L1076" s="78">
        <v>46142</v>
      </c>
      <c r="M1076" s="103"/>
      <c r="N1076" s="93" t="s">
        <v>617</v>
      </c>
      <c r="O1076" s="94">
        <v>46141</v>
      </c>
      <c r="P1076" s="104">
        <f t="shared" si="141"/>
        <v>600</v>
      </c>
      <c r="Q1076" s="104">
        <f t="shared" si="142"/>
        <v>600</v>
      </c>
      <c r="R1076" s="104"/>
      <c r="S1076" s="93" t="s">
        <v>618</v>
      </c>
      <c r="T1076" s="94">
        <v>46156</v>
      </c>
      <c r="U1076" s="104">
        <f t="shared" si="143"/>
        <v>600</v>
      </c>
      <c r="V1076" s="104">
        <f t="shared" si="144"/>
        <v>1</v>
      </c>
      <c r="W1076" s="103">
        <f t="shared" si="145"/>
        <v>600</v>
      </c>
      <c r="X1076" s="93" t="s">
        <v>89</v>
      </c>
      <c r="Y1076" s="105" t="s">
        <v>84</v>
      </c>
      <c r="Z1076" s="105" t="s">
        <v>619</v>
      </c>
    </row>
    <row r="1077" spans="1:26" s="105" customFormat="1" ht="15" customHeight="1">
      <c r="A1077" s="99">
        <f t="shared" si="146"/>
        <v>1075</v>
      </c>
      <c r="B1077" s="75" t="s">
        <v>770</v>
      </c>
      <c r="C1077" s="100" t="str">
        <f>IF($B1077&lt;&gt;"",_xlfn.IFNA(VLOOKUP($B1077,'Node Details'!$B:$U,C$1,0),"Check"),"")</f>
        <v>0000CM320-CM3200104</v>
      </c>
      <c r="D1077" s="100" t="str">
        <f>IF($B1077&lt;&gt;"",_xlfn.IFNA(VLOOKUP($B1077,'Node Details'!$B:$U,D$1,0),"Check"),"")</f>
        <v>CM3</v>
      </c>
      <c r="E1077" s="100" t="str">
        <f>IF($B1077&lt;&gt;"",_xlfn.IFNA(VLOOKUP($B1077,'Node Details'!$B:$U,E$1,0),"Check"),"")</f>
        <v>Airtel</v>
      </c>
      <c r="F1077" s="101">
        <v>46149</v>
      </c>
      <c r="G1077" s="103"/>
      <c r="H1077" s="102" t="s">
        <v>1254</v>
      </c>
      <c r="I1077" s="9">
        <v>1</v>
      </c>
      <c r="J1077" s="9">
        <v>600</v>
      </c>
      <c r="K1077" s="100">
        <f t="shared" si="140"/>
        <v>600</v>
      </c>
      <c r="L1077" s="78">
        <v>46142</v>
      </c>
      <c r="M1077" s="103"/>
      <c r="N1077" s="93" t="s">
        <v>617</v>
      </c>
      <c r="O1077" s="94">
        <v>46141</v>
      </c>
      <c r="P1077" s="104">
        <f t="shared" si="141"/>
        <v>600</v>
      </c>
      <c r="Q1077" s="104">
        <f t="shared" si="142"/>
        <v>600</v>
      </c>
      <c r="R1077" s="104"/>
      <c r="S1077" s="93" t="s">
        <v>618</v>
      </c>
      <c r="T1077" s="94">
        <v>46156</v>
      </c>
      <c r="U1077" s="104">
        <f t="shared" si="143"/>
        <v>600</v>
      </c>
      <c r="V1077" s="104">
        <f t="shared" si="144"/>
        <v>1</v>
      </c>
      <c r="W1077" s="103">
        <f t="shared" si="145"/>
        <v>600</v>
      </c>
      <c r="X1077" s="93" t="s">
        <v>89</v>
      </c>
      <c r="Y1077" s="105" t="s">
        <v>84</v>
      </c>
      <c r="Z1077" s="105" t="s">
        <v>619</v>
      </c>
    </row>
    <row r="1078" spans="1:26" s="105" customFormat="1" ht="15" customHeight="1">
      <c r="A1078" s="99">
        <f t="shared" si="146"/>
        <v>1076</v>
      </c>
      <c r="B1078" s="75" t="s">
        <v>1187</v>
      </c>
      <c r="C1078" s="100" t="str">
        <f>IF($B1078&lt;&gt;"",_xlfn.IFNA(VLOOKUP($B1078,'Node Details'!$B:$U,C$1,0),"Check"),"")</f>
        <v>0000CM321-CM3210104</v>
      </c>
      <c r="D1078" s="100" t="str">
        <f>IF($B1078&lt;&gt;"",_xlfn.IFNA(VLOOKUP($B1078,'Node Details'!$B:$U,D$1,0),"Check"),"")</f>
        <v>CM3</v>
      </c>
      <c r="E1078" s="100" t="str">
        <f>IF($B1078&lt;&gt;"",_xlfn.IFNA(VLOOKUP($B1078,'Node Details'!$B:$U,E$1,0),"Check"),"")</f>
        <v>Airtel</v>
      </c>
      <c r="F1078" s="101">
        <v>46149</v>
      </c>
      <c r="G1078" s="103"/>
      <c r="H1078" s="102" t="s">
        <v>1254</v>
      </c>
      <c r="I1078" s="9">
        <v>1</v>
      </c>
      <c r="J1078" s="9">
        <v>600</v>
      </c>
      <c r="K1078" s="100">
        <f t="shared" si="140"/>
        <v>600</v>
      </c>
      <c r="L1078" s="78">
        <v>46142</v>
      </c>
      <c r="M1078" s="103"/>
      <c r="N1078" s="93" t="s">
        <v>617</v>
      </c>
      <c r="O1078" s="94">
        <v>46141</v>
      </c>
      <c r="P1078" s="104">
        <f t="shared" si="141"/>
        <v>600</v>
      </c>
      <c r="Q1078" s="104">
        <f t="shared" si="142"/>
        <v>600</v>
      </c>
      <c r="R1078" s="104"/>
      <c r="S1078" s="93" t="s">
        <v>618</v>
      </c>
      <c r="T1078" s="94">
        <v>46156</v>
      </c>
      <c r="U1078" s="104">
        <f t="shared" si="143"/>
        <v>600</v>
      </c>
      <c r="V1078" s="104">
        <f t="shared" si="144"/>
        <v>1</v>
      </c>
      <c r="W1078" s="103">
        <f t="shared" si="145"/>
        <v>600</v>
      </c>
      <c r="X1078" s="93" t="s">
        <v>89</v>
      </c>
      <c r="Y1078" s="105" t="s">
        <v>84</v>
      </c>
      <c r="Z1078" s="105" t="s">
        <v>619</v>
      </c>
    </row>
    <row r="1079" spans="1:26" s="105" customFormat="1" ht="15" customHeight="1">
      <c r="A1079" s="99">
        <f t="shared" si="146"/>
        <v>1077</v>
      </c>
      <c r="B1079" s="75" t="s">
        <v>1188</v>
      </c>
      <c r="C1079" s="100" t="str">
        <f>IF($B1079&lt;&gt;"",_xlfn.IFNA(VLOOKUP($B1079,'Node Details'!$B:$U,C$1,0),"Check"),"")</f>
        <v>0000CM321-CM3210104</v>
      </c>
      <c r="D1079" s="100" t="str">
        <f>IF($B1079&lt;&gt;"",_xlfn.IFNA(VLOOKUP($B1079,'Node Details'!$B:$U,D$1,0),"Check"),"")</f>
        <v>CM3</v>
      </c>
      <c r="E1079" s="100" t="str">
        <f>IF($B1079&lt;&gt;"",_xlfn.IFNA(VLOOKUP($B1079,'Node Details'!$B:$U,E$1,0),"Check"),"")</f>
        <v>Airtel</v>
      </c>
      <c r="F1079" s="101">
        <v>46149</v>
      </c>
      <c r="G1079" s="103"/>
      <c r="H1079" s="102" t="s">
        <v>1254</v>
      </c>
      <c r="I1079" s="9">
        <v>1</v>
      </c>
      <c r="J1079" s="9">
        <v>600</v>
      </c>
      <c r="K1079" s="100">
        <f t="shared" si="140"/>
        <v>600</v>
      </c>
      <c r="L1079" s="78">
        <v>46142</v>
      </c>
      <c r="M1079" s="103"/>
      <c r="N1079" s="93" t="s">
        <v>617</v>
      </c>
      <c r="O1079" s="94">
        <v>46141</v>
      </c>
      <c r="P1079" s="104">
        <f t="shared" si="141"/>
        <v>600</v>
      </c>
      <c r="Q1079" s="104">
        <f t="shared" si="142"/>
        <v>600</v>
      </c>
      <c r="R1079" s="104"/>
      <c r="S1079" s="93" t="s">
        <v>618</v>
      </c>
      <c r="T1079" s="94">
        <v>46156</v>
      </c>
      <c r="U1079" s="104">
        <f t="shared" si="143"/>
        <v>600</v>
      </c>
      <c r="V1079" s="104">
        <f t="shared" si="144"/>
        <v>1</v>
      </c>
      <c r="W1079" s="103">
        <f t="shared" si="145"/>
        <v>600</v>
      </c>
      <c r="X1079" s="93" t="s">
        <v>89</v>
      </c>
      <c r="Y1079" s="105" t="s">
        <v>84</v>
      </c>
      <c r="Z1079" s="105" t="s">
        <v>619</v>
      </c>
    </row>
    <row r="1080" spans="1:26" s="105" customFormat="1" ht="15" customHeight="1">
      <c r="A1080" s="99">
        <f t="shared" si="146"/>
        <v>1078</v>
      </c>
      <c r="B1080" s="75" t="s">
        <v>1189</v>
      </c>
      <c r="C1080" s="100" t="str">
        <f>IF($B1080&lt;&gt;"",_xlfn.IFNA(VLOOKUP($B1080,'Node Details'!$B:$U,C$1,0),"Check"),"")</f>
        <v>0000CM321-CM3210104</v>
      </c>
      <c r="D1080" s="100" t="str">
        <f>IF($B1080&lt;&gt;"",_xlfn.IFNA(VLOOKUP($B1080,'Node Details'!$B:$U,D$1,0),"Check"),"")</f>
        <v>CM3</v>
      </c>
      <c r="E1080" s="100" t="str">
        <f>IF($B1080&lt;&gt;"",_xlfn.IFNA(VLOOKUP($B1080,'Node Details'!$B:$U,E$1,0),"Check"),"")</f>
        <v>Airtel</v>
      </c>
      <c r="F1080" s="101">
        <v>46149</v>
      </c>
      <c r="G1080" s="103"/>
      <c r="H1080" s="102" t="s">
        <v>1254</v>
      </c>
      <c r="I1080" s="9">
        <v>1</v>
      </c>
      <c r="J1080" s="9">
        <v>600</v>
      </c>
      <c r="K1080" s="100">
        <f t="shared" si="140"/>
        <v>600</v>
      </c>
      <c r="L1080" s="78">
        <v>46142</v>
      </c>
      <c r="M1080" s="103"/>
      <c r="N1080" s="93" t="s">
        <v>617</v>
      </c>
      <c r="O1080" s="94">
        <v>46141</v>
      </c>
      <c r="P1080" s="104">
        <f t="shared" si="141"/>
        <v>600</v>
      </c>
      <c r="Q1080" s="104">
        <f t="shared" si="142"/>
        <v>600</v>
      </c>
      <c r="R1080" s="104"/>
      <c r="S1080" s="93" t="s">
        <v>618</v>
      </c>
      <c r="T1080" s="94">
        <v>46156</v>
      </c>
      <c r="U1080" s="104">
        <f t="shared" si="143"/>
        <v>600</v>
      </c>
      <c r="V1080" s="104">
        <f t="shared" si="144"/>
        <v>1</v>
      </c>
      <c r="W1080" s="103">
        <f t="shared" si="145"/>
        <v>600</v>
      </c>
      <c r="X1080" s="93" t="s">
        <v>89</v>
      </c>
      <c r="Y1080" s="105" t="s">
        <v>84</v>
      </c>
      <c r="Z1080" s="105" t="s">
        <v>619</v>
      </c>
    </row>
    <row r="1081" spans="1:26" s="105" customFormat="1" ht="15" customHeight="1">
      <c r="A1081" s="99">
        <f t="shared" si="146"/>
        <v>1079</v>
      </c>
      <c r="B1081" s="75" t="s">
        <v>773</v>
      </c>
      <c r="C1081" s="100" t="str">
        <f>IF($B1081&lt;&gt;"",_xlfn.IFNA(VLOOKUP($B1081,'Node Details'!$B:$U,C$1,0),"Check"),"")</f>
        <v>0000CM321-CM3210104</v>
      </c>
      <c r="D1081" s="100" t="str">
        <f>IF($B1081&lt;&gt;"",_xlfn.IFNA(VLOOKUP($B1081,'Node Details'!$B:$U,D$1,0),"Check"),"")</f>
        <v>CM3</v>
      </c>
      <c r="E1081" s="100" t="str">
        <f>IF($B1081&lt;&gt;"",_xlfn.IFNA(VLOOKUP($B1081,'Node Details'!$B:$U,E$1,0),"Check"),"")</f>
        <v>Airtel</v>
      </c>
      <c r="F1081" s="101">
        <v>46149</v>
      </c>
      <c r="G1081" s="103"/>
      <c r="H1081" s="102" t="s">
        <v>1254</v>
      </c>
      <c r="I1081" s="9">
        <v>1</v>
      </c>
      <c r="J1081" s="9">
        <v>600</v>
      </c>
      <c r="K1081" s="100">
        <f t="shared" si="140"/>
        <v>600</v>
      </c>
      <c r="L1081" s="78">
        <v>46142</v>
      </c>
      <c r="M1081" s="103"/>
      <c r="N1081" s="93" t="s">
        <v>617</v>
      </c>
      <c r="O1081" s="94">
        <v>46141</v>
      </c>
      <c r="P1081" s="104">
        <f t="shared" si="141"/>
        <v>600</v>
      </c>
      <c r="Q1081" s="104">
        <f t="shared" si="142"/>
        <v>600</v>
      </c>
      <c r="R1081" s="104"/>
      <c r="S1081" s="93" t="s">
        <v>618</v>
      </c>
      <c r="T1081" s="94">
        <v>46156</v>
      </c>
      <c r="U1081" s="104">
        <f t="shared" si="143"/>
        <v>600</v>
      </c>
      <c r="V1081" s="104">
        <f t="shared" si="144"/>
        <v>1</v>
      </c>
      <c r="W1081" s="103">
        <f t="shared" si="145"/>
        <v>600</v>
      </c>
      <c r="X1081" s="93" t="s">
        <v>89</v>
      </c>
      <c r="Y1081" s="105" t="s">
        <v>84</v>
      </c>
      <c r="Z1081" s="105" t="s">
        <v>619</v>
      </c>
    </row>
    <row r="1082" spans="1:26" s="105" customFormat="1" ht="15" customHeight="1">
      <c r="A1082" s="99">
        <f t="shared" si="146"/>
        <v>1080</v>
      </c>
      <c r="B1082" s="75" t="s">
        <v>1190</v>
      </c>
      <c r="C1082" s="100" t="str">
        <f>IF($B1082&lt;&gt;"",_xlfn.IFNA(VLOOKUP($B1082,'Node Details'!$B:$U,C$1,0),"Check"),"")</f>
        <v>0000CM322-CM3220108</v>
      </c>
      <c r="D1082" s="100" t="str">
        <f>IF($B1082&lt;&gt;"",_xlfn.IFNA(VLOOKUP($B1082,'Node Details'!$B:$U,D$1,0),"Check"),"")</f>
        <v>CM3</v>
      </c>
      <c r="E1082" s="100" t="str">
        <f>IF($B1082&lt;&gt;"",_xlfn.IFNA(VLOOKUP($B1082,'Node Details'!$B:$U,E$1,0),"Check"),"")</f>
        <v>Airtel</v>
      </c>
      <c r="F1082" s="101">
        <v>46149</v>
      </c>
      <c r="G1082" s="103"/>
      <c r="H1082" s="102" t="s">
        <v>1254</v>
      </c>
      <c r="I1082" s="9">
        <v>1</v>
      </c>
      <c r="J1082" s="9">
        <v>600</v>
      </c>
      <c r="K1082" s="100">
        <f t="shared" si="140"/>
        <v>600</v>
      </c>
      <c r="L1082" s="78">
        <v>46142</v>
      </c>
      <c r="M1082" s="103"/>
      <c r="N1082" s="93" t="s">
        <v>617</v>
      </c>
      <c r="O1082" s="94">
        <v>46141</v>
      </c>
      <c r="P1082" s="104">
        <f t="shared" si="141"/>
        <v>600</v>
      </c>
      <c r="Q1082" s="104">
        <f t="shared" si="142"/>
        <v>600</v>
      </c>
      <c r="R1082" s="104"/>
      <c r="S1082" s="93" t="s">
        <v>618</v>
      </c>
      <c r="T1082" s="94">
        <v>46156</v>
      </c>
      <c r="U1082" s="104">
        <f t="shared" si="143"/>
        <v>600</v>
      </c>
      <c r="V1082" s="104">
        <f t="shared" si="144"/>
        <v>1</v>
      </c>
      <c r="W1082" s="103">
        <f t="shared" si="145"/>
        <v>600</v>
      </c>
      <c r="X1082" s="93" t="s">
        <v>89</v>
      </c>
      <c r="Y1082" s="105" t="s">
        <v>84</v>
      </c>
      <c r="Z1082" s="105" t="s">
        <v>619</v>
      </c>
    </row>
    <row r="1083" spans="1:26" s="105" customFormat="1" ht="15" customHeight="1">
      <c r="A1083" s="99">
        <f t="shared" si="146"/>
        <v>1081</v>
      </c>
      <c r="B1083" s="75" t="s">
        <v>1191</v>
      </c>
      <c r="C1083" s="100" t="str">
        <f>IF($B1083&lt;&gt;"",_xlfn.IFNA(VLOOKUP($B1083,'Node Details'!$B:$U,C$1,0),"Check"),"")</f>
        <v>0000CM322-CM3220108</v>
      </c>
      <c r="D1083" s="100" t="str">
        <f>IF($B1083&lt;&gt;"",_xlfn.IFNA(VLOOKUP($B1083,'Node Details'!$B:$U,D$1,0),"Check"),"")</f>
        <v>CM3</v>
      </c>
      <c r="E1083" s="100" t="str">
        <f>IF($B1083&lt;&gt;"",_xlfn.IFNA(VLOOKUP($B1083,'Node Details'!$B:$U,E$1,0),"Check"),"")</f>
        <v>Airtel</v>
      </c>
      <c r="F1083" s="101">
        <v>46149</v>
      </c>
      <c r="G1083" s="103"/>
      <c r="H1083" s="102" t="s">
        <v>1254</v>
      </c>
      <c r="I1083" s="9">
        <v>1</v>
      </c>
      <c r="J1083" s="9">
        <v>600</v>
      </c>
      <c r="K1083" s="100">
        <f t="shared" si="140"/>
        <v>600</v>
      </c>
      <c r="L1083" s="78">
        <v>46142</v>
      </c>
      <c r="M1083" s="103"/>
      <c r="N1083" s="93" t="s">
        <v>617</v>
      </c>
      <c r="O1083" s="94">
        <v>46141</v>
      </c>
      <c r="P1083" s="104">
        <f t="shared" si="141"/>
        <v>600</v>
      </c>
      <c r="Q1083" s="104">
        <f t="shared" si="142"/>
        <v>600</v>
      </c>
      <c r="R1083" s="104"/>
      <c r="S1083" s="93" t="s">
        <v>618</v>
      </c>
      <c r="T1083" s="94">
        <v>46156</v>
      </c>
      <c r="U1083" s="104">
        <f t="shared" si="143"/>
        <v>600</v>
      </c>
      <c r="V1083" s="104">
        <f t="shared" si="144"/>
        <v>1</v>
      </c>
      <c r="W1083" s="103">
        <f t="shared" si="145"/>
        <v>600</v>
      </c>
      <c r="X1083" s="93" t="s">
        <v>89</v>
      </c>
      <c r="Y1083" s="105" t="s">
        <v>84</v>
      </c>
      <c r="Z1083" s="105" t="s">
        <v>619</v>
      </c>
    </row>
    <row r="1084" spans="1:26" s="105" customFormat="1" ht="15" customHeight="1">
      <c r="A1084" s="99">
        <f t="shared" si="146"/>
        <v>1082</v>
      </c>
      <c r="B1084" s="75" t="s">
        <v>1192</v>
      </c>
      <c r="C1084" s="100" t="str">
        <f>IF($B1084&lt;&gt;"",_xlfn.IFNA(VLOOKUP($B1084,'Node Details'!$B:$U,C$1,0),"Check"),"")</f>
        <v>0000CM322-CM3220108</v>
      </c>
      <c r="D1084" s="100" t="str">
        <f>IF($B1084&lt;&gt;"",_xlfn.IFNA(VLOOKUP($B1084,'Node Details'!$B:$U,D$1,0),"Check"),"")</f>
        <v>CM3</v>
      </c>
      <c r="E1084" s="100" t="str">
        <f>IF($B1084&lt;&gt;"",_xlfn.IFNA(VLOOKUP($B1084,'Node Details'!$B:$U,E$1,0),"Check"),"")</f>
        <v>Airtel</v>
      </c>
      <c r="F1084" s="101">
        <v>46149</v>
      </c>
      <c r="G1084" s="103"/>
      <c r="H1084" s="102" t="s">
        <v>1254</v>
      </c>
      <c r="I1084" s="9">
        <v>1</v>
      </c>
      <c r="J1084" s="9">
        <v>600</v>
      </c>
      <c r="K1084" s="100">
        <f t="shared" si="140"/>
        <v>600</v>
      </c>
      <c r="L1084" s="78">
        <v>46142</v>
      </c>
      <c r="M1084" s="103"/>
      <c r="N1084" s="93" t="s">
        <v>617</v>
      </c>
      <c r="O1084" s="94">
        <v>46141</v>
      </c>
      <c r="P1084" s="104">
        <f t="shared" si="141"/>
        <v>600</v>
      </c>
      <c r="Q1084" s="104">
        <f t="shared" si="142"/>
        <v>600</v>
      </c>
      <c r="R1084" s="104"/>
      <c r="S1084" s="93" t="s">
        <v>618</v>
      </c>
      <c r="T1084" s="94">
        <v>46156</v>
      </c>
      <c r="U1084" s="104">
        <f t="shared" si="143"/>
        <v>600</v>
      </c>
      <c r="V1084" s="104">
        <f t="shared" si="144"/>
        <v>1</v>
      </c>
      <c r="W1084" s="103">
        <f t="shared" si="145"/>
        <v>600</v>
      </c>
      <c r="X1084" s="93" t="s">
        <v>89</v>
      </c>
      <c r="Y1084" s="105" t="s">
        <v>84</v>
      </c>
      <c r="Z1084" s="105" t="s">
        <v>619</v>
      </c>
    </row>
    <row r="1085" spans="1:26" s="105" customFormat="1" ht="15" customHeight="1">
      <c r="A1085" s="99">
        <f t="shared" si="146"/>
        <v>1083</v>
      </c>
      <c r="B1085" s="75" t="s">
        <v>776</v>
      </c>
      <c r="C1085" s="100" t="str">
        <f>IF($B1085&lt;&gt;"",_xlfn.IFNA(VLOOKUP($B1085,'Node Details'!$B:$U,C$1,0),"Check"),"")</f>
        <v>0000CM322-CM3220108</v>
      </c>
      <c r="D1085" s="100" t="str">
        <f>IF($B1085&lt;&gt;"",_xlfn.IFNA(VLOOKUP($B1085,'Node Details'!$B:$U,D$1,0),"Check"),"")</f>
        <v>CM3</v>
      </c>
      <c r="E1085" s="100" t="str">
        <f>IF($B1085&lt;&gt;"",_xlfn.IFNA(VLOOKUP($B1085,'Node Details'!$B:$U,E$1,0),"Check"),"")</f>
        <v>Airtel</v>
      </c>
      <c r="F1085" s="101">
        <v>46149</v>
      </c>
      <c r="G1085" s="103"/>
      <c r="H1085" s="102" t="s">
        <v>1254</v>
      </c>
      <c r="I1085" s="9">
        <v>1</v>
      </c>
      <c r="J1085" s="9">
        <v>600</v>
      </c>
      <c r="K1085" s="100">
        <f t="shared" si="140"/>
        <v>600</v>
      </c>
      <c r="L1085" s="78">
        <v>46142</v>
      </c>
      <c r="M1085" s="103"/>
      <c r="N1085" s="93" t="s">
        <v>617</v>
      </c>
      <c r="O1085" s="94">
        <v>46141</v>
      </c>
      <c r="P1085" s="104">
        <f t="shared" si="141"/>
        <v>600</v>
      </c>
      <c r="Q1085" s="104">
        <f t="shared" si="142"/>
        <v>600</v>
      </c>
      <c r="R1085" s="104"/>
      <c r="S1085" s="93" t="s">
        <v>618</v>
      </c>
      <c r="T1085" s="94">
        <v>46156</v>
      </c>
      <c r="U1085" s="104">
        <f t="shared" si="143"/>
        <v>600</v>
      </c>
      <c r="V1085" s="104">
        <f t="shared" si="144"/>
        <v>1</v>
      </c>
      <c r="W1085" s="103">
        <f t="shared" si="145"/>
        <v>600</v>
      </c>
      <c r="X1085" s="93" t="s">
        <v>89</v>
      </c>
      <c r="Y1085" s="105" t="s">
        <v>84</v>
      </c>
      <c r="Z1085" s="105" t="s">
        <v>619</v>
      </c>
    </row>
    <row r="1086" spans="1:26" s="105" customFormat="1" ht="15" customHeight="1">
      <c r="A1086" s="99">
        <f t="shared" si="146"/>
        <v>1084</v>
      </c>
      <c r="B1086" s="75" t="s">
        <v>1193</v>
      </c>
      <c r="C1086" s="100" t="str">
        <f>IF($B1086&lt;&gt;"",_xlfn.IFNA(VLOOKUP($B1086,'Node Details'!$B:$U,C$1,0),"Check"),"")</f>
        <v>0000CM322-CM3220104</v>
      </c>
      <c r="D1086" s="100" t="str">
        <f>IF($B1086&lt;&gt;"",_xlfn.IFNA(VLOOKUP($B1086,'Node Details'!$B:$U,D$1,0),"Check"),"")</f>
        <v>CM3</v>
      </c>
      <c r="E1086" s="100" t="str">
        <f>IF($B1086&lt;&gt;"",_xlfn.IFNA(VLOOKUP($B1086,'Node Details'!$B:$U,E$1,0),"Check"),"")</f>
        <v>Airtel</v>
      </c>
      <c r="F1086" s="101">
        <v>46149</v>
      </c>
      <c r="G1086" s="103"/>
      <c r="H1086" s="102" t="s">
        <v>1254</v>
      </c>
      <c r="I1086" s="9">
        <v>1</v>
      </c>
      <c r="J1086" s="9">
        <v>600</v>
      </c>
      <c r="K1086" s="100">
        <f t="shared" ref="K1086:K1149" si="147">IF(I1086&lt;&gt;"",J1086*I1086,0)</f>
        <v>600</v>
      </c>
      <c r="L1086" s="78">
        <v>46142</v>
      </c>
      <c r="M1086" s="103"/>
      <c r="N1086" s="93" t="s">
        <v>617</v>
      </c>
      <c r="O1086" s="94">
        <v>46141</v>
      </c>
      <c r="P1086" s="104">
        <f t="shared" ref="P1086:P1149" si="148">J1086</f>
        <v>600</v>
      </c>
      <c r="Q1086" s="104">
        <f t="shared" ref="Q1086:Q1149" si="149">P1086*I1086</f>
        <v>600</v>
      </c>
      <c r="R1086" s="104"/>
      <c r="S1086" s="93" t="s">
        <v>618</v>
      </c>
      <c r="T1086" s="94">
        <v>46156</v>
      </c>
      <c r="U1086" s="104">
        <f t="shared" ref="U1086:U1149" si="150">J1086</f>
        <v>600</v>
      </c>
      <c r="V1086" s="104">
        <f t="shared" ref="V1086:V1149" si="151">I1086</f>
        <v>1</v>
      </c>
      <c r="W1086" s="103">
        <f t="shared" ref="W1086:W1149" si="152">IF(V1086&lt;&gt;"",V1086*U1086,0)</f>
        <v>600</v>
      </c>
      <c r="X1086" s="93" t="s">
        <v>89</v>
      </c>
      <c r="Y1086" s="105" t="s">
        <v>84</v>
      </c>
      <c r="Z1086" s="105" t="s">
        <v>619</v>
      </c>
    </row>
    <row r="1087" spans="1:26" s="105" customFormat="1" ht="15" customHeight="1">
      <c r="A1087" s="99">
        <f t="shared" si="146"/>
        <v>1085</v>
      </c>
      <c r="B1087" s="75" t="s">
        <v>780</v>
      </c>
      <c r="C1087" s="100" t="str">
        <f>IF($B1087&lt;&gt;"",_xlfn.IFNA(VLOOKUP($B1087,'Node Details'!$B:$U,C$1,0),"Check"),"")</f>
        <v>0000CM322-CM3220104</v>
      </c>
      <c r="D1087" s="100" t="str">
        <f>IF($B1087&lt;&gt;"",_xlfn.IFNA(VLOOKUP($B1087,'Node Details'!$B:$U,D$1,0),"Check"),"")</f>
        <v>CM3</v>
      </c>
      <c r="E1087" s="100" t="str">
        <f>IF($B1087&lt;&gt;"",_xlfn.IFNA(VLOOKUP($B1087,'Node Details'!$B:$U,E$1,0),"Check"),"")</f>
        <v>Airtel</v>
      </c>
      <c r="F1087" s="101">
        <v>46149</v>
      </c>
      <c r="G1087" s="103"/>
      <c r="H1087" s="102" t="s">
        <v>1254</v>
      </c>
      <c r="I1087" s="9">
        <v>1</v>
      </c>
      <c r="J1087" s="9">
        <v>600</v>
      </c>
      <c r="K1087" s="100">
        <f t="shared" si="147"/>
        <v>600</v>
      </c>
      <c r="L1087" s="78">
        <v>46142</v>
      </c>
      <c r="M1087" s="103"/>
      <c r="N1087" s="93" t="s">
        <v>617</v>
      </c>
      <c r="O1087" s="94">
        <v>46141</v>
      </c>
      <c r="P1087" s="104">
        <f t="shared" si="148"/>
        <v>600</v>
      </c>
      <c r="Q1087" s="104">
        <f t="shared" si="149"/>
        <v>600</v>
      </c>
      <c r="R1087" s="104"/>
      <c r="S1087" s="93" t="s">
        <v>618</v>
      </c>
      <c r="T1087" s="94">
        <v>46156</v>
      </c>
      <c r="U1087" s="104">
        <f t="shared" si="150"/>
        <v>600</v>
      </c>
      <c r="V1087" s="104">
        <f t="shared" si="151"/>
        <v>1</v>
      </c>
      <c r="W1087" s="103">
        <f t="shared" si="152"/>
        <v>600</v>
      </c>
      <c r="X1087" s="93" t="s">
        <v>89</v>
      </c>
      <c r="Y1087" s="105" t="s">
        <v>84</v>
      </c>
      <c r="Z1087" s="105" t="s">
        <v>619</v>
      </c>
    </row>
    <row r="1088" spans="1:26" s="105" customFormat="1" ht="15" customHeight="1">
      <c r="A1088" s="99">
        <f t="shared" si="146"/>
        <v>1086</v>
      </c>
      <c r="B1088" s="75" t="s">
        <v>778</v>
      </c>
      <c r="C1088" s="100" t="str">
        <f>IF($B1088&lt;&gt;"",_xlfn.IFNA(VLOOKUP($B1088,'Node Details'!$B:$U,C$1,0),"Check"),"")</f>
        <v>0000CM322-CM3220104</v>
      </c>
      <c r="D1088" s="100" t="str">
        <f>IF($B1088&lt;&gt;"",_xlfn.IFNA(VLOOKUP($B1088,'Node Details'!$B:$U,D$1,0),"Check"),"")</f>
        <v>CM3</v>
      </c>
      <c r="E1088" s="100" t="str">
        <f>IF($B1088&lt;&gt;"",_xlfn.IFNA(VLOOKUP($B1088,'Node Details'!$B:$U,E$1,0),"Check"),"")</f>
        <v>Airtel</v>
      </c>
      <c r="F1088" s="101">
        <v>46149</v>
      </c>
      <c r="G1088" s="103"/>
      <c r="H1088" s="102" t="s">
        <v>1254</v>
      </c>
      <c r="I1088" s="9">
        <v>1</v>
      </c>
      <c r="J1088" s="9">
        <v>600</v>
      </c>
      <c r="K1088" s="100">
        <f t="shared" si="147"/>
        <v>600</v>
      </c>
      <c r="L1088" s="78">
        <v>46142</v>
      </c>
      <c r="M1088" s="103"/>
      <c r="N1088" s="93" t="s">
        <v>617</v>
      </c>
      <c r="O1088" s="94">
        <v>46141</v>
      </c>
      <c r="P1088" s="104">
        <f t="shared" si="148"/>
        <v>600</v>
      </c>
      <c r="Q1088" s="104">
        <f t="shared" si="149"/>
        <v>600</v>
      </c>
      <c r="R1088" s="104"/>
      <c r="S1088" s="93" t="s">
        <v>618</v>
      </c>
      <c r="T1088" s="94">
        <v>46156</v>
      </c>
      <c r="U1088" s="104">
        <f t="shared" si="150"/>
        <v>600</v>
      </c>
      <c r="V1088" s="104">
        <f t="shared" si="151"/>
        <v>1</v>
      </c>
      <c r="W1088" s="103">
        <f t="shared" si="152"/>
        <v>600</v>
      </c>
      <c r="X1088" s="93" t="s">
        <v>89</v>
      </c>
      <c r="Y1088" s="105" t="s">
        <v>84</v>
      </c>
      <c r="Z1088" s="105" t="s">
        <v>619</v>
      </c>
    </row>
    <row r="1089" spans="1:26" s="105" customFormat="1" ht="15" customHeight="1">
      <c r="A1089" s="99">
        <f t="shared" si="146"/>
        <v>1087</v>
      </c>
      <c r="B1089" s="75" t="s">
        <v>781</v>
      </c>
      <c r="C1089" s="100" t="str">
        <f>IF($B1089&lt;&gt;"",_xlfn.IFNA(VLOOKUP($B1089,'Node Details'!$B:$U,C$1,0),"Check"),"")</f>
        <v>CM3220102-CM3220103</v>
      </c>
      <c r="D1089" s="100" t="str">
        <f>IF($B1089&lt;&gt;"",_xlfn.IFNA(VLOOKUP($B1089,'Node Details'!$B:$U,D$1,0),"Check"),"")</f>
        <v>CM3</v>
      </c>
      <c r="E1089" s="100" t="str">
        <f>IF($B1089&lt;&gt;"",_xlfn.IFNA(VLOOKUP($B1089,'Node Details'!$B:$U,E$1,0),"Check"),"")</f>
        <v>Airtel</v>
      </c>
      <c r="F1089" s="101">
        <v>46149</v>
      </c>
      <c r="G1089" s="103"/>
      <c r="H1089" s="102" t="s">
        <v>1254</v>
      </c>
      <c r="I1089" s="9">
        <v>1</v>
      </c>
      <c r="J1089" s="9">
        <v>600</v>
      </c>
      <c r="K1089" s="100">
        <f t="shared" si="147"/>
        <v>600</v>
      </c>
      <c r="L1089" s="78">
        <v>46142</v>
      </c>
      <c r="M1089" s="103"/>
      <c r="N1089" s="93" t="s">
        <v>617</v>
      </c>
      <c r="O1089" s="94">
        <v>46141</v>
      </c>
      <c r="P1089" s="104">
        <f t="shared" si="148"/>
        <v>600</v>
      </c>
      <c r="Q1089" s="104">
        <f t="shared" si="149"/>
        <v>600</v>
      </c>
      <c r="R1089" s="104"/>
      <c r="S1089" s="93" t="s">
        <v>618</v>
      </c>
      <c r="T1089" s="94">
        <v>46156</v>
      </c>
      <c r="U1089" s="104">
        <f t="shared" si="150"/>
        <v>600</v>
      </c>
      <c r="V1089" s="104">
        <f t="shared" si="151"/>
        <v>1</v>
      </c>
      <c r="W1089" s="103">
        <f t="shared" si="152"/>
        <v>600</v>
      </c>
      <c r="X1089" s="93" t="s">
        <v>89</v>
      </c>
      <c r="Y1089" s="105" t="s">
        <v>84</v>
      </c>
      <c r="Z1089" s="105" t="s">
        <v>619</v>
      </c>
    </row>
    <row r="1090" spans="1:26" s="105" customFormat="1" ht="15" customHeight="1">
      <c r="A1090" s="99">
        <f t="shared" si="146"/>
        <v>1088</v>
      </c>
      <c r="B1090" s="75" t="s">
        <v>784</v>
      </c>
      <c r="C1090" s="100" t="str">
        <f>IF($B1090&lt;&gt;"",_xlfn.IFNA(VLOOKUP($B1090,'Node Details'!$B:$U,C$1,0),"Check"),"")</f>
        <v>0000CM323-CM3230101</v>
      </c>
      <c r="D1090" s="100" t="str">
        <f>IF($B1090&lt;&gt;"",_xlfn.IFNA(VLOOKUP($B1090,'Node Details'!$B:$U,D$1,0),"Check"),"")</f>
        <v>CM3</v>
      </c>
      <c r="E1090" s="100" t="str">
        <f>IF($B1090&lt;&gt;"",_xlfn.IFNA(VLOOKUP($B1090,'Node Details'!$B:$U,E$1,0),"Check"),"")</f>
        <v>Airtel</v>
      </c>
      <c r="F1090" s="101">
        <v>46149</v>
      </c>
      <c r="G1090" s="103"/>
      <c r="H1090" s="102" t="s">
        <v>1254</v>
      </c>
      <c r="I1090" s="9">
        <v>1</v>
      </c>
      <c r="J1090" s="9">
        <v>600</v>
      </c>
      <c r="K1090" s="100">
        <f t="shared" si="147"/>
        <v>600</v>
      </c>
      <c r="L1090" s="78">
        <v>46142</v>
      </c>
      <c r="M1090" s="103"/>
      <c r="N1090" s="93" t="s">
        <v>617</v>
      </c>
      <c r="O1090" s="94">
        <v>46141</v>
      </c>
      <c r="P1090" s="104">
        <f t="shared" si="148"/>
        <v>600</v>
      </c>
      <c r="Q1090" s="104">
        <f t="shared" si="149"/>
        <v>600</v>
      </c>
      <c r="R1090" s="104"/>
      <c r="S1090" s="93" t="s">
        <v>618</v>
      </c>
      <c r="T1090" s="94">
        <v>46156</v>
      </c>
      <c r="U1090" s="104">
        <f t="shared" si="150"/>
        <v>600</v>
      </c>
      <c r="V1090" s="104">
        <f t="shared" si="151"/>
        <v>1</v>
      </c>
      <c r="W1090" s="103">
        <f t="shared" si="152"/>
        <v>600</v>
      </c>
      <c r="X1090" s="93" t="s">
        <v>89</v>
      </c>
      <c r="Y1090" s="105" t="s">
        <v>84</v>
      </c>
      <c r="Z1090" s="105" t="s">
        <v>619</v>
      </c>
    </row>
    <row r="1091" spans="1:26" s="105" customFormat="1" ht="15" customHeight="1">
      <c r="A1091" s="99">
        <f t="shared" si="146"/>
        <v>1089</v>
      </c>
      <c r="B1091" s="75" t="s">
        <v>1194</v>
      </c>
      <c r="C1091" s="100" t="str">
        <f>IF($B1091&lt;&gt;"",_xlfn.IFNA(VLOOKUP($B1091,'Node Details'!$B:$U,C$1,0),"Check"),"")</f>
        <v>0000CM323-CM3230104</v>
      </c>
      <c r="D1091" s="100" t="str">
        <f>IF($B1091&lt;&gt;"",_xlfn.IFNA(VLOOKUP($B1091,'Node Details'!$B:$U,D$1,0),"Check"),"")</f>
        <v>CM3</v>
      </c>
      <c r="E1091" s="100" t="str">
        <f>IF($B1091&lt;&gt;"",_xlfn.IFNA(VLOOKUP($B1091,'Node Details'!$B:$U,E$1,0),"Check"),"")</f>
        <v>Airtel</v>
      </c>
      <c r="F1091" s="101">
        <v>46149</v>
      </c>
      <c r="G1091" s="103"/>
      <c r="H1091" s="102" t="s">
        <v>1254</v>
      </c>
      <c r="I1091" s="9">
        <v>1</v>
      </c>
      <c r="J1091" s="9">
        <v>600</v>
      </c>
      <c r="K1091" s="100">
        <f t="shared" si="147"/>
        <v>600</v>
      </c>
      <c r="L1091" s="78">
        <v>46142</v>
      </c>
      <c r="M1091" s="103"/>
      <c r="N1091" s="93" t="s">
        <v>617</v>
      </c>
      <c r="O1091" s="94">
        <v>46141</v>
      </c>
      <c r="P1091" s="104">
        <f t="shared" si="148"/>
        <v>600</v>
      </c>
      <c r="Q1091" s="104">
        <f t="shared" si="149"/>
        <v>600</v>
      </c>
      <c r="R1091" s="104"/>
      <c r="S1091" s="93" t="s">
        <v>618</v>
      </c>
      <c r="T1091" s="94">
        <v>46156</v>
      </c>
      <c r="U1091" s="104">
        <f t="shared" si="150"/>
        <v>600</v>
      </c>
      <c r="V1091" s="104">
        <f t="shared" si="151"/>
        <v>1</v>
      </c>
      <c r="W1091" s="103">
        <f t="shared" si="152"/>
        <v>600</v>
      </c>
      <c r="X1091" s="93" t="s">
        <v>89</v>
      </c>
      <c r="Y1091" s="105" t="s">
        <v>84</v>
      </c>
      <c r="Z1091" s="105" t="s">
        <v>619</v>
      </c>
    </row>
    <row r="1092" spans="1:26" s="105" customFormat="1" ht="15" customHeight="1">
      <c r="A1092" s="99">
        <f t="shared" si="146"/>
        <v>1090</v>
      </c>
      <c r="B1092" s="75" t="s">
        <v>1195</v>
      </c>
      <c r="C1092" s="100" t="str">
        <f>IF($B1092&lt;&gt;"",_xlfn.IFNA(VLOOKUP($B1092,'Node Details'!$B:$U,C$1,0),"Check"),"")</f>
        <v>0000CM323-CM3230104</v>
      </c>
      <c r="D1092" s="100" t="str">
        <f>IF($B1092&lt;&gt;"",_xlfn.IFNA(VLOOKUP($B1092,'Node Details'!$B:$U,D$1,0),"Check"),"")</f>
        <v>CM3</v>
      </c>
      <c r="E1092" s="100" t="str">
        <f>IF($B1092&lt;&gt;"",_xlfn.IFNA(VLOOKUP($B1092,'Node Details'!$B:$U,E$1,0),"Check"),"")</f>
        <v>Airtel</v>
      </c>
      <c r="F1092" s="101">
        <v>46149</v>
      </c>
      <c r="G1092" s="103"/>
      <c r="H1092" s="102" t="s">
        <v>1254</v>
      </c>
      <c r="I1092" s="9">
        <v>1</v>
      </c>
      <c r="J1092" s="9">
        <v>600</v>
      </c>
      <c r="K1092" s="100">
        <f t="shared" si="147"/>
        <v>600</v>
      </c>
      <c r="L1092" s="78">
        <v>46142</v>
      </c>
      <c r="M1092" s="103"/>
      <c r="N1092" s="93" t="s">
        <v>617</v>
      </c>
      <c r="O1092" s="94">
        <v>46141</v>
      </c>
      <c r="P1092" s="104">
        <f t="shared" si="148"/>
        <v>600</v>
      </c>
      <c r="Q1092" s="104">
        <f t="shared" si="149"/>
        <v>600</v>
      </c>
      <c r="R1092" s="104"/>
      <c r="S1092" s="93" t="s">
        <v>618</v>
      </c>
      <c r="T1092" s="94">
        <v>46156</v>
      </c>
      <c r="U1092" s="104">
        <f t="shared" si="150"/>
        <v>600</v>
      </c>
      <c r="V1092" s="104">
        <f t="shared" si="151"/>
        <v>1</v>
      </c>
      <c r="W1092" s="103">
        <f t="shared" si="152"/>
        <v>600</v>
      </c>
      <c r="X1092" s="93" t="s">
        <v>89</v>
      </c>
      <c r="Y1092" s="105" t="s">
        <v>84</v>
      </c>
      <c r="Z1092" s="105" t="s">
        <v>619</v>
      </c>
    </row>
    <row r="1093" spans="1:26" s="105" customFormat="1" ht="15" customHeight="1">
      <c r="A1093" s="99">
        <f t="shared" ref="A1093:A1156" si="153">A1092+1</f>
        <v>1091</v>
      </c>
      <c r="B1093" s="75" t="s">
        <v>786</v>
      </c>
      <c r="C1093" s="100" t="str">
        <f>IF($B1093&lt;&gt;"",_xlfn.IFNA(VLOOKUP($B1093,'Node Details'!$B:$U,C$1,0),"Check"),"")</f>
        <v>0000CM323-CM3230104</v>
      </c>
      <c r="D1093" s="100" t="str">
        <f>IF($B1093&lt;&gt;"",_xlfn.IFNA(VLOOKUP($B1093,'Node Details'!$B:$U,D$1,0),"Check"),"")</f>
        <v>CM3</v>
      </c>
      <c r="E1093" s="100" t="str">
        <f>IF($B1093&lt;&gt;"",_xlfn.IFNA(VLOOKUP($B1093,'Node Details'!$B:$U,E$1,0),"Check"),"")</f>
        <v>Airtel</v>
      </c>
      <c r="F1093" s="101">
        <v>46149</v>
      </c>
      <c r="G1093" s="103"/>
      <c r="H1093" s="102" t="s">
        <v>1254</v>
      </c>
      <c r="I1093" s="9">
        <v>1</v>
      </c>
      <c r="J1093" s="9">
        <v>600</v>
      </c>
      <c r="K1093" s="100">
        <f t="shared" si="147"/>
        <v>600</v>
      </c>
      <c r="L1093" s="78">
        <v>46142</v>
      </c>
      <c r="M1093" s="103"/>
      <c r="N1093" s="93" t="s">
        <v>617</v>
      </c>
      <c r="O1093" s="94">
        <v>46141</v>
      </c>
      <c r="P1093" s="104">
        <f t="shared" si="148"/>
        <v>600</v>
      </c>
      <c r="Q1093" s="104">
        <f t="shared" si="149"/>
        <v>600</v>
      </c>
      <c r="R1093" s="104"/>
      <c r="S1093" s="93" t="s">
        <v>618</v>
      </c>
      <c r="T1093" s="94">
        <v>46156</v>
      </c>
      <c r="U1093" s="104">
        <f t="shared" si="150"/>
        <v>600</v>
      </c>
      <c r="V1093" s="104">
        <f t="shared" si="151"/>
        <v>1</v>
      </c>
      <c r="W1093" s="103">
        <f t="shared" si="152"/>
        <v>600</v>
      </c>
      <c r="X1093" s="93" t="s">
        <v>89</v>
      </c>
      <c r="Y1093" s="105" t="s">
        <v>84</v>
      </c>
      <c r="Z1093" s="105" t="s">
        <v>619</v>
      </c>
    </row>
    <row r="1094" spans="1:26" s="105" customFormat="1" ht="15" customHeight="1">
      <c r="A1094" s="99">
        <f t="shared" si="153"/>
        <v>1092</v>
      </c>
      <c r="B1094" s="75" t="s">
        <v>1196</v>
      </c>
      <c r="C1094" s="100" t="str">
        <f>IF($B1094&lt;&gt;"",_xlfn.IFNA(VLOOKUP($B1094,'Node Details'!$B:$U,C$1,0),"Check"),"")</f>
        <v>0000CM323-CM3230107</v>
      </c>
      <c r="D1094" s="100" t="str">
        <f>IF($B1094&lt;&gt;"",_xlfn.IFNA(VLOOKUP($B1094,'Node Details'!$B:$U,D$1,0),"Check"),"")</f>
        <v>CM3</v>
      </c>
      <c r="E1094" s="100" t="str">
        <f>IF($B1094&lt;&gt;"",_xlfn.IFNA(VLOOKUP($B1094,'Node Details'!$B:$U,E$1,0),"Check"),"")</f>
        <v>Airtel</v>
      </c>
      <c r="F1094" s="101">
        <v>46149</v>
      </c>
      <c r="G1094" s="103"/>
      <c r="H1094" s="102" t="s">
        <v>1254</v>
      </c>
      <c r="I1094" s="9">
        <v>1</v>
      </c>
      <c r="J1094" s="9">
        <v>600</v>
      </c>
      <c r="K1094" s="100">
        <f t="shared" si="147"/>
        <v>600</v>
      </c>
      <c r="L1094" s="78">
        <v>46142</v>
      </c>
      <c r="M1094" s="103"/>
      <c r="N1094" s="93" t="s">
        <v>617</v>
      </c>
      <c r="O1094" s="94">
        <v>46141</v>
      </c>
      <c r="P1094" s="104">
        <f t="shared" si="148"/>
        <v>600</v>
      </c>
      <c r="Q1094" s="104">
        <f t="shared" si="149"/>
        <v>600</v>
      </c>
      <c r="R1094" s="104"/>
      <c r="S1094" s="93" t="s">
        <v>618</v>
      </c>
      <c r="T1094" s="94">
        <v>46156</v>
      </c>
      <c r="U1094" s="104">
        <f t="shared" si="150"/>
        <v>600</v>
      </c>
      <c r="V1094" s="104">
        <f t="shared" si="151"/>
        <v>1</v>
      </c>
      <c r="W1094" s="103">
        <f t="shared" si="152"/>
        <v>600</v>
      </c>
      <c r="X1094" s="93" t="s">
        <v>89</v>
      </c>
      <c r="Y1094" s="105" t="s">
        <v>84</v>
      </c>
      <c r="Z1094" s="105" t="s">
        <v>619</v>
      </c>
    </row>
    <row r="1095" spans="1:26" s="105" customFormat="1" ht="15" customHeight="1">
      <c r="A1095" s="99">
        <f t="shared" si="153"/>
        <v>1093</v>
      </c>
      <c r="B1095" s="75" t="s">
        <v>788</v>
      </c>
      <c r="C1095" s="100" t="str">
        <f>IF($B1095&lt;&gt;"",_xlfn.IFNA(VLOOKUP($B1095,'Node Details'!$B:$U,C$1,0),"Check"),"")</f>
        <v>0000CM323-CM3230107</v>
      </c>
      <c r="D1095" s="100" t="str">
        <f>IF($B1095&lt;&gt;"",_xlfn.IFNA(VLOOKUP($B1095,'Node Details'!$B:$U,D$1,0),"Check"),"")</f>
        <v>CM3</v>
      </c>
      <c r="E1095" s="100" t="str">
        <f>IF($B1095&lt;&gt;"",_xlfn.IFNA(VLOOKUP($B1095,'Node Details'!$B:$U,E$1,0),"Check"),"")</f>
        <v>Airtel</v>
      </c>
      <c r="F1095" s="101">
        <v>46149</v>
      </c>
      <c r="G1095" s="103"/>
      <c r="H1095" s="102" t="s">
        <v>1254</v>
      </c>
      <c r="I1095" s="9">
        <v>1</v>
      </c>
      <c r="J1095" s="9">
        <v>600</v>
      </c>
      <c r="K1095" s="100">
        <f t="shared" si="147"/>
        <v>600</v>
      </c>
      <c r="L1095" s="78">
        <v>46142</v>
      </c>
      <c r="M1095" s="103"/>
      <c r="N1095" s="93" t="s">
        <v>617</v>
      </c>
      <c r="O1095" s="94">
        <v>46141</v>
      </c>
      <c r="P1095" s="104">
        <f t="shared" si="148"/>
        <v>600</v>
      </c>
      <c r="Q1095" s="104">
        <f t="shared" si="149"/>
        <v>600</v>
      </c>
      <c r="R1095" s="104"/>
      <c r="S1095" s="93" t="s">
        <v>618</v>
      </c>
      <c r="T1095" s="94">
        <v>46156</v>
      </c>
      <c r="U1095" s="104">
        <f t="shared" si="150"/>
        <v>600</v>
      </c>
      <c r="V1095" s="104">
        <f t="shared" si="151"/>
        <v>1</v>
      </c>
      <c r="W1095" s="103">
        <f t="shared" si="152"/>
        <v>600</v>
      </c>
      <c r="X1095" s="93" t="s">
        <v>89</v>
      </c>
      <c r="Y1095" s="105" t="s">
        <v>84</v>
      </c>
      <c r="Z1095" s="105" t="s">
        <v>619</v>
      </c>
    </row>
    <row r="1096" spans="1:26" s="105" customFormat="1" ht="15" customHeight="1">
      <c r="A1096" s="99">
        <f t="shared" si="153"/>
        <v>1094</v>
      </c>
      <c r="B1096" s="75" t="s">
        <v>791</v>
      </c>
      <c r="C1096" s="100" t="str">
        <f>IF($B1096&lt;&gt;"",_xlfn.IFNA(VLOOKUP($B1096,'Node Details'!$B:$U,C$1,0),"Check"),"")</f>
        <v>0000CM324-CM3240101</v>
      </c>
      <c r="D1096" s="100" t="str">
        <f>IF($B1096&lt;&gt;"",_xlfn.IFNA(VLOOKUP($B1096,'Node Details'!$B:$U,D$1,0),"Check"),"")</f>
        <v>CM3</v>
      </c>
      <c r="E1096" s="100" t="str">
        <f>IF($B1096&lt;&gt;"",_xlfn.IFNA(VLOOKUP($B1096,'Node Details'!$B:$U,E$1,0),"Check"),"")</f>
        <v>Airtel</v>
      </c>
      <c r="F1096" s="101">
        <v>46149</v>
      </c>
      <c r="G1096" s="103"/>
      <c r="H1096" s="102" t="s">
        <v>1254</v>
      </c>
      <c r="I1096" s="9">
        <v>1</v>
      </c>
      <c r="J1096" s="9">
        <v>600</v>
      </c>
      <c r="K1096" s="100">
        <f t="shared" si="147"/>
        <v>600</v>
      </c>
      <c r="L1096" s="78">
        <v>46142</v>
      </c>
      <c r="M1096" s="103"/>
      <c r="N1096" s="93" t="s">
        <v>617</v>
      </c>
      <c r="O1096" s="94">
        <v>46141</v>
      </c>
      <c r="P1096" s="104">
        <f t="shared" si="148"/>
        <v>600</v>
      </c>
      <c r="Q1096" s="104">
        <f t="shared" si="149"/>
        <v>600</v>
      </c>
      <c r="R1096" s="104"/>
      <c r="S1096" s="93" t="s">
        <v>618</v>
      </c>
      <c r="T1096" s="94">
        <v>46156</v>
      </c>
      <c r="U1096" s="104">
        <f t="shared" si="150"/>
        <v>600</v>
      </c>
      <c r="V1096" s="104">
        <f t="shared" si="151"/>
        <v>1</v>
      </c>
      <c r="W1096" s="103">
        <f t="shared" si="152"/>
        <v>600</v>
      </c>
      <c r="X1096" s="93" t="s">
        <v>89</v>
      </c>
      <c r="Y1096" s="105" t="s">
        <v>84</v>
      </c>
      <c r="Z1096" s="105" t="s">
        <v>619</v>
      </c>
    </row>
    <row r="1097" spans="1:26" s="105" customFormat="1" ht="15" customHeight="1">
      <c r="A1097" s="99">
        <f t="shared" si="153"/>
        <v>1095</v>
      </c>
      <c r="B1097" s="75" t="s">
        <v>793</v>
      </c>
      <c r="C1097" s="100" t="str">
        <f>IF($B1097&lt;&gt;"",_xlfn.IFNA(VLOOKUP($B1097,'Node Details'!$B:$U,C$1,0),"Check"),"")</f>
        <v>0000CM324-CM3240102</v>
      </c>
      <c r="D1097" s="100" t="str">
        <f>IF($B1097&lt;&gt;"",_xlfn.IFNA(VLOOKUP($B1097,'Node Details'!$B:$U,D$1,0),"Check"),"")</f>
        <v>CM3</v>
      </c>
      <c r="E1097" s="100" t="str">
        <f>IF($B1097&lt;&gt;"",_xlfn.IFNA(VLOOKUP($B1097,'Node Details'!$B:$U,E$1,0),"Check"),"")</f>
        <v>Airtel</v>
      </c>
      <c r="F1097" s="101">
        <v>46149</v>
      </c>
      <c r="G1097" s="103"/>
      <c r="H1097" s="102" t="s">
        <v>1254</v>
      </c>
      <c r="I1097" s="9">
        <v>1</v>
      </c>
      <c r="J1097" s="9">
        <v>600</v>
      </c>
      <c r="K1097" s="100">
        <f t="shared" si="147"/>
        <v>600</v>
      </c>
      <c r="L1097" s="78">
        <v>46142</v>
      </c>
      <c r="M1097" s="103"/>
      <c r="N1097" s="93" t="s">
        <v>617</v>
      </c>
      <c r="O1097" s="94">
        <v>46141</v>
      </c>
      <c r="P1097" s="104">
        <f t="shared" si="148"/>
        <v>600</v>
      </c>
      <c r="Q1097" s="104">
        <f t="shared" si="149"/>
        <v>600</v>
      </c>
      <c r="R1097" s="104"/>
      <c r="S1097" s="93" t="s">
        <v>618</v>
      </c>
      <c r="T1097" s="94">
        <v>46156</v>
      </c>
      <c r="U1097" s="104">
        <f t="shared" si="150"/>
        <v>600</v>
      </c>
      <c r="V1097" s="104">
        <f t="shared" si="151"/>
        <v>1</v>
      </c>
      <c r="W1097" s="103">
        <f t="shared" si="152"/>
        <v>600</v>
      </c>
      <c r="X1097" s="93" t="s">
        <v>89</v>
      </c>
      <c r="Y1097" s="105" t="s">
        <v>84</v>
      </c>
      <c r="Z1097" s="105" t="s">
        <v>619</v>
      </c>
    </row>
    <row r="1098" spans="1:26" s="105" customFormat="1" ht="15" customHeight="1">
      <c r="A1098" s="99">
        <f t="shared" si="153"/>
        <v>1096</v>
      </c>
      <c r="B1098" s="75" t="s">
        <v>1197</v>
      </c>
      <c r="C1098" s="100" t="str">
        <f>IF($B1098&lt;&gt;"",_xlfn.IFNA(VLOOKUP($B1098,'Node Details'!$B:$U,C$1,0),"Check"),"")</f>
        <v>0000CM324-CM3240106</v>
      </c>
      <c r="D1098" s="100" t="str">
        <f>IF($B1098&lt;&gt;"",_xlfn.IFNA(VLOOKUP($B1098,'Node Details'!$B:$U,D$1,0),"Check"),"")</f>
        <v>CM3</v>
      </c>
      <c r="E1098" s="100" t="str">
        <f>IF($B1098&lt;&gt;"",_xlfn.IFNA(VLOOKUP($B1098,'Node Details'!$B:$U,E$1,0),"Check"),"")</f>
        <v>Airtel</v>
      </c>
      <c r="F1098" s="101">
        <v>46149</v>
      </c>
      <c r="G1098" s="103"/>
      <c r="H1098" s="102" t="s">
        <v>1254</v>
      </c>
      <c r="I1098" s="9">
        <v>1</v>
      </c>
      <c r="J1098" s="9">
        <v>600</v>
      </c>
      <c r="K1098" s="100">
        <f t="shared" si="147"/>
        <v>600</v>
      </c>
      <c r="L1098" s="78">
        <v>46142</v>
      </c>
      <c r="M1098" s="103"/>
      <c r="N1098" s="93" t="s">
        <v>617</v>
      </c>
      <c r="O1098" s="94">
        <v>46141</v>
      </c>
      <c r="P1098" s="104">
        <f t="shared" si="148"/>
        <v>600</v>
      </c>
      <c r="Q1098" s="104">
        <f t="shared" si="149"/>
        <v>600</v>
      </c>
      <c r="R1098" s="104"/>
      <c r="S1098" s="93" t="s">
        <v>618</v>
      </c>
      <c r="T1098" s="94">
        <v>46156</v>
      </c>
      <c r="U1098" s="104">
        <f t="shared" si="150"/>
        <v>600</v>
      </c>
      <c r="V1098" s="104">
        <f t="shared" si="151"/>
        <v>1</v>
      </c>
      <c r="W1098" s="103">
        <f t="shared" si="152"/>
        <v>600</v>
      </c>
      <c r="X1098" s="93" t="s">
        <v>89</v>
      </c>
      <c r="Y1098" s="105" t="s">
        <v>84</v>
      </c>
      <c r="Z1098" s="105" t="s">
        <v>619</v>
      </c>
    </row>
    <row r="1099" spans="1:26" s="105" customFormat="1" ht="15" customHeight="1">
      <c r="A1099" s="99">
        <f t="shared" si="153"/>
        <v>1097</v>
      </c>
      <c r="B1099" s="75" t="s">
        <v>1198</v>
      </c>
      <c r="C1099" s="100" t="str">
        <f>IF($B1099&lt;&gt;"",_xlfn.IFNA(VLOOKUP($B1099,'Node Details'!$B:$U,C$1,0),"Check"),"")</f>
        <v>0000CM324-CM3240106</v>
      </c>
      <c r="D1099" s="100" t="str">
        <f>IF($B1099&lt;&gt;"",_xlfn.IFNA(VLOOKUP($B1099,'Node Details'!$B:$U,D$1,0),"Check"),"")</f>
        <v>CM3</v>
      </c>
      <c r="E1099" s="100" t="str">
        <f>IF($B1099&lt;&gt;"",_xlfn.IFNA(VLOOKUP($B1099,'Node Details'!$B:$U,E$1,0),"Check"),"")</f>
        <v>Airtel</v>
      </c>
      <c r="F1099" s="101">
        <v>46149</v>
      </c>
      <c r="G1099" s="103"/>
      <c r="H1099" s="102" t="s">
        <v>1254</v>
      </c>
      <c r="I1099" s="9">
        <v>1</v>
      </c>
      <c r="J1099" s="9">
        <v>600</v>
      </c>
      <c r="K1099" s="100">
        <f t="shared" si="147"/>
        <v>600</v>
      </c>
      <c r="L1099" s="78">
        <v>46142</v>
      </c>
      <c r="M1099" s="103"/>
      <c r="N1099" s="93" t="s">
        <v>617</v>
      </c>
      <c r="O1099" s="94">
        <v>46141</v>
      </c>
      <c r="P1099" s="104">
        <f t="shared" si="148"/>
        <v>600</v>
      </c>
      <c r="Q1099" s="104">
        <f t="shared" si="149"/>
        <v>600</v>
      </c>
      <c r="R1099" s="104"/>
      <c r="S1099" s="93" t="s">
        <v>618</v>
      </c>
      <c r="T1099" s="94">
        <v>46156</v>
      </c>
      <c r="U1099" s="104">
        <f t="shared" si="150"/>
        <v>600</v>
      </c>
      <c r="V1099" s="104">
        <f t="shared" si="151"/>
        <v>1</v>
      </c>
      <c r="W1099" s="103">
        <f t="shared" si="152"/>
        <v>600</v>
      </c>
      <c r="X1099" s="93" t="s">
        <v>89</v>
      </c>
      <c r="Y1099" s="105" t="s">
        <v>84</v>
      </c>
      <c r="Z1099" s="105" t="s">
        <v>619</v>
      </c>
    </row>
    <row r="1100" spans="1:26" s="105" customFormat="1" ht="15" customHeight="1">
      <c r="A1100" s="99">
        <f t="shared" si="153"/>
        <v>1098</v>
      </c>
      <c r="B1100" s="75" t="s">
        <v>795</v>
      </c>
      <c r="C1100" s="100" t="str">
        <f>IF($B1100&lt;&gt;"",_xlfn.IFNA(VLOOKUP($B1100,'Node Details'!$B:$U,C$1,0),"Check"),"")</f>
        <v>0000CM324-CM3240106</v>
      </c>
      <c r="D1100" s="100" t="str">
        <f>IF($B1100&lt;&gt;"",_xlfn.IFNA(VLOOKUP($B1100,'Node Details'!$B:$U,D$1,0),"Check"),"")</f>
        <v>CM3</v>
      </c>
      <c r="E1100" s="100" t="str">
        <f>IF($B1100&lt;&gt;"",_xlfn.IFNA(VLOOKUP($B1100,'Node Details'!$B:$U,E$1,0),"Check"),"")</f>
        <v>Airtel</v>
      </c>
      <c r="F1100" s="101">
        <v>46149</v>
      </c>
      <c r="G1100" s="103"/>
      <c r="H1100" s="102" t="s">
        <v>1254</v>
      </c>
      <c r="I1100" s="9">
        <v>1</v>
      </c>
      <c r="J1100" s="9">
        <v>600</v>
      </c>
      <c r="K1100" s="100">
        <f t="shared" si="147"/>
        <v>600</v>
      </c>
      <c r="L1100" s="78">
        <v>46142</v>
      </c>
      <c r="M1100" s="103"/>
      <c r="N1100" s="93" t="s">
        <v>617</v>
      </c>
      <c r="O1100" s="94">
        <v>46141</v>
      </c>
      <c r="P1100" s="104">
        <f t="shared" si="148"/>
        <v>600</v>
      </c>
      <c r="Q1100" s="104">
        <f t="shared" si="149"/>
        <v>600</v>
      </c>
      <c r="R1100" s="104"/>
      <c r="S1100" s="93" t="s">
        <v>618</v>
      </c>
      <c r="T1100" s="94">
        <v>46156</v>
      </c>
      <c r="U1100" s="104">
        <f t="shared" si="150"/>
        <v>600</v>
      </c>
      <c r="V1100" s="104">
        <f t="shared" si="151"/>
        <v>1</v>
      </c>
      <c r="W1100" s="103">
        <f t="shared" si="152"/>
        <v>600</v>
      </c>
      <c r="X1100" s="93" t="s">
        <v>89</v>
      </c>
      <c r="Y1100" s="105" t="s">
        <v>84</v>
      </c>
      <c r="Z1100" s="105" t="s">
        <v>619</v>
      </c>
    </row>
    <row r="1101" spans="1:26" s="105" customFormat="1" ht="15" customHeight="1">
      <c r="A1101" s="99">
        <f t="shared" si="153"/>
        <v>1099</v>
      </c>
      <c r="B1101" s="75" t="s">
        <v>1199</v>
      </c>
      <c r="C1101" s="100" t="str">
        <f>IF($B1101&lt;&gt;"",_xlfn.IFNA(VLOOKUP($B1101,'Node Details'!$B:$U,C$1,0),"Check"),"")</f>
        <v>0000CM325-CM3250103</v>
      </c>
      <c r="D1101" s="100" t="str">
        <f>IF($B1101&lt;&gt;"",_xlfn.IFNA(VLOOKUP($B1101,'Node Details'!$B:$U,D$1,0),"Check"),"")</f>
        <v>CM3</v>
      </c>
      <c r="E1101" s="100" t="str">
        <f>IF($B1101&lt;&gt;"",_xlfn.IFNA(VLOOKUP($B1101,'Node Details'!$B:$U,E$1,0),"Check"),"")</f>
        <v>Airtel</v>
      </c>
      <c r="F1101" s="101">
        <v>46149</v>
      </c>
      <c r="G1101" s="103"/>
      <c r="H1101" s="102" t="s">
        <v>1254</v>
      </c>
      <c r="I1101" s="9">
        <v>1</v>
      </c>
      <c r="J1101" s="9">
        <v>600</v>
      </c>
      <c r="K1101" s="100">
        <f t="shared" si="147"/>
        <v>600</v>
      </c>
      <c r="L1101" s="78">
        <v>46142</v>
      </c>
      <c r="M1101" s="103"/>
      <c r="N1101" s="93" t="s">
        <v>617</v>
      </c>
      <c r="O1101" s="94">
        <v>46141</v>
      </c>
      <c r="P1101" s="104">
        <f t="shared" si="148"/>
        <v>600</v>
      </c>
      <c r="Q1101" s="104">
        <f t="shared" si="149"/>
        <v>600</v>
      </c>
      <c r="R1101" s="104"/>
      <c r="S1101" s="93" t="s">
        <v>618</v>
      </c>
      <c r="T1101" s="94">
        <v>46156</v>
      </c>
      <c r="U1101" s="104">
        <f t="shared" si="150"/>
        <v>600</v>
      </c>
      <c r="V1101" s="104">
        <f t="shared" si="151"/>
        <v>1</v>
      </c>
      <c r="W1101" s="103">
        <f t="shared" si="152"/>
        <v>600</v>
      </c>
      <c r="X1101" s="93" t="s">
        <v>89</v>
      </c>
      <c r="Y1101" s="105" t="s">
        <v>84</v>
      </c>
      <c r="Z1101" s="105" t="s">
        <v>619</v>
      </c>
    </row>
    <row r="1102" spans="1:26" s="105" customFormat="1" ht="15" customHeight="1">
      <c r="A1102" s="99">
        <f t="shared" si="153"/>
        <v>1100</v>
      </c>
      <c r="B1102" s="75" t="s">
        <v>1200</v>
      </c>
      <c r="C1102" s="100" t="str">
        <f>IF($B1102&lt;&gt;"",_xlfn.IFNA(VLOOKUP($B1102,'Node Details'!$B:$U,C$1,0),"Check"),"")</f>
        <v>0000CM325-CM3250103</v>
      </c>
      <c r="D1102" s="100" t="str">
        <f>IF($B1102&lt;&gt;"",_xlfn.IFNA(VLOOKUP($B1102,'Node Details'!$B:$U,D$1,0),"Check"),"")</f>
        <v>CM3</v>
      </c>
      <c r="E1102" s="100" t="str">
        <f>IF($B1102&lt;&gt;"",_xlfn.IFNA(VLOOKUP($B1102,'Node Details'!$B:$U,E$1,0),"Check"),"")</f>
        <v>Airtel</v>
      </c>
      <c r="F1102" s="101">
        <v>46149</v>
      </c>
      <c r="G1102" s="103"/>
      <c r="H1102" s="102" t="s">
        <v>1254</v>
      </c>
      <c r="I1102" s="9">
        <v>1</v>
      </c>
      <c r="J1102" s="9">
        <v>600</v>
      </c>
      <c r="K1102" s="100">
        <f t="shared" si="147"/>
        <v>600</v>
      </c>
      <c r="L1102" s="78">
        <v>46142</v>
      </c>
      <c r="M1102" s="103"/>
      <c r="N1102" s="93" t="s">
        <v>617</v>
      </c>
      <c r="O1102" s="94">
        <v>46141</v>
      </c>
      <c r="P1102" s="104">
        <f t="shared" si="148"/>
        <v>600</v>
      </c>
      <c r="Q1102" s="104">
        <f t="shared" si="149"/>
        <v>600</v>
      </c>
      <c r="R1102" s="104"/>
      <c r="S1102" s="93" t="s">
        <v>618</v>
      </c>
      <c r="T1102" s="94">
        <v>46156</v>
      </c>
      <c r="U1102" s="104">
        <f t="shared" si="150"/>
        <v>600</v>
      </c>
      <c r="V1102" s="104">
        <f t="shared" si="151"/>
        <v>1</v>
      </c>
      <c r="W1102" s="103">
        <f t="shared" si="152"/>
        <v>600</v>
      </c>
      <c r="X1102" s="93" t="s">
        <v>89</v>
      </c>
      <c r="Y1102" s="105" t="s">
        <v>84</v>
      </c>
      <c r="Z1102" s="105" t="s">
        <v>619</v>
      </c>
    </row>
    <row r="1103" spans="1:26" s="105" customFormat="1" ht="15" customHeight="1">
      <c r="A1103" s="99">
        <f t="shared" si="153"/>
        <v>1101</v>
      </c>
      <c r="B1103" s="75" t="s">
        <v>797</v>
      </c>
      <c r="C1103" s="100" t="str">
        <f>IF($B1103&lt;&gt;"",_xlfn.IFNA(VLOOKUP($B1103,'Node Details'!$B:$U,C$1,0),"Check"),"")</f>
        <v>0000CM325-CM3250103</v>
      </c>
      <c r="D1103" s="100" t="str">
        <f>IF($B1103&lt;&gt;"",_xlfn.IFNA(VLOOKUP($B1103,'Node Details'!$B:$U,D$1,0),"Check"),"")</f>
        <v>CM3</v>
      </c>
      <c r="E1103" s="100" t="str">
        <f>IF($B1103&lt;&gt;"",_xlfn.IFNA(VLOOKUP($B1103,'Node Details'!$B:$U,E$1,0),"Check"),"")</f>
        <v>Airtel</v>
      </c>
      <c r="F1103" s="101">
        <v>46149</v>
      </c>
      <c r="G1103" s="103"/>
      <c r="H1103" s="102" t="s">
        <v>1254</v>
      </c>
      <c r="I1103" s="9">
        <v>1</v>
      </c>
      <c r="J1103" s="9">
        <v>600</v>
      </c>
      <c r="K1103" s="100">
        <f t="shared" si="147"/>
        <v>600</v>
      </c>
      <c r="L1103" s="78">
        <v>46142</v>
      </c>
      <c r="M1103" s="103"/>
      <c r="N1103" s="93" t="s">
        <v>617</v>
      </c>
      <c r="O1103" s="94">
        <v>46141</v>
      </c>
      <c r="P1103" s="104">
        <f t="shared" si="148"/>
        <v>600</v>
      </c>
      <c r="Q1103" s="104">
        <f t="shared" si="149"/>
        <v>600</v>
      </c>
      <c r="R1103" s="104"/>
      <c r="S1103" s="93" t="s">
        <v>618</v>
      </c>
      <c r="T1103" s="94">
        <v>46156</v>
      </c>
      <c r="U1103" s="104">
        <f t="shared" si="150"/>
        <v>600</v>
      </c>
      <c r="V1103" s="104">
        <f t="shared" si="151"/>
        <v>1</v>
      </c>
      <c r="W1103" s="103">
        <f t="shared" si="152"/>
        <v>600</v>
      </c>
      <c r="X1103" s="93" t="s">
        <v>89</v>
      </c>
      <c r="Y1103" s="105" t="s">
        <v>84</v>
      </c>
      <c r="Z1103" s="105" t="s">
        <v>619</v>
      </c>
    </row>
    <row r="1104" spans="1:26" s="105" customFormat="1" ht="15" customHeight="1">
      <c r="A1104" s="99">
        <f t="shared" si="153"/>
        <v>1102</v>
      </c>
      <c r="B1104" s="75" t="s">
        <v>1201</v>
      </c>
      <c r="C1104" s="100" t="str">
        <f>IF($B1104&lt;&gt;"",_xlfn.IFNA(VLOOKUP($B1104,'Node Details'!$B:$U,C$1,0),"Check"),"")</f>
        <v>0000CM325-CM3250107</v>
      </c>
      <c r="D1104" s="100" t="str">
        <f>IF($B1104&lt;&gt;"",_xlfn.IFNA(VLOOKUP($B1104,'Node Details'!$B:$U,D$1,0),"Check"),"")</f>
        <v>CM3</v>
      </c>
      <c r="E1104" s="100" t="str">
        <f>IF($B1104&lt;&gt;"",_xlfn.IFNA(VLOOKUP($B1104,'Node Details'!$B:$U,E$1,0),"Check"),"")</f>
        <v>Airtel</v>
      </c>
      <c r="F1104" s="101">
        <v>46149</v>
      </c>
      <c r="G1104" s="103"/>
      <c r="H1104" s="102" t="s">
        <v>1254</v>
      </c>
      <c r="I1104" s="9">
        <v>1</v>
      </c>
      <c r="J1104" s="9">
        <v>600</v>
      </c>
      <c r="K1104" s="100">
        <f t="shared" si="147"/>
        <v>600</v>
      </c>
      <c r="L1104" s="78">
        <v>46142</v>
      </c>
      <c r="M1104" s="103"/>
      <c r="N1104" s="93" t="s">
        <v>617</v>
      </c>
      <c r="O1104" s="94">
        <v>46141</v>
      </c>
      <c r="P1104" s="104">
        <f t="shared" si="148"/>
        <v>600</v>
      </c>
      <c r="Q1104" s="104">
        <f t="shared" si="149"/>
        <v>600</v>
      </c>
      <c r="R1104" s="104"/>
      <c r="S1104" s="93" t="s">
        <v>618</v>
      </c>
      <c r="T1104" s="94">
        <v>46156</v>
      </c>
      <c r="U1104" s="104">
        <f t="shared" si="150"/>
        <v>600</v>
      </c>
      <c r="V1104" s="104">
        <f t="shared" si="151"/>
        <v>1</v>
      </c>
      <c r="W1104" s="103">
        <f t="shared" si="152"/>
        <v>600</v>
      </c>
      <c r="X1104" s="93" t="s">
        <v>89</v>
      </c>
      <c r="Y1104" s="105" t="s">
        <v>84</v>
      </c>
      <c r="Z1104" s="105" t="s">
        <v>619</v>
      </c>
    </row>
    <row r="1105" spans="1:26" s="105" customFormat="1" ht="15" customHeight="1">
      <c r="A1105" s="99">
        <f t="shared" si="153"/>
        <v>1103</v>
      </c>
      <c r="B1105" s="75" t="s">
        <v>1202</v>
      </c>
      <c r="C1105" s="100" t="str">
        <f>IF($B1105&lt;&gt;"",_xlfn.IFNA(VLOOKUP($B1105,'Node Details'!$B:$U,C$1,0),"Check"),"")</f>
        <v>0000CM325-CM3250107</v>
      </c>
      <c r="D1105" s="100" t="str">
        <f>IF($B1105&lt;&gt;"",_xlfn.IFNA(VLOOKUP($B1105,'Node Details'!$B:$U,D$1,0),"Check"),"")</f>
        <v>CM3</v>
      </c>
      <c r="E1105" s="100" t="str">
        <f>IF($B1105&lt;&gt;"",_xlfn.IFNA(VLOOKUP($B1105,'Node Details'!$B:$U,E$1,0),"Check"),"")</f>
        <v>Airtel</v>
      </c>
      <c r="F1105" s="101">
        <v>46149</v>
      </c>
      <c r="G1105" s="103"/>
      <c r="H1105" s="102" t="s">
        <v>1254</v>
      </c>
      <c r="I1105" s="9">
        <v>1</v>
      </c>
      <c r="J1105" s="9">
        <v>600</v>
      </c>
      <c r="K1105" s="100">
        <f t="shared" si="147"/>
        <v>600</v>
      </c>
      <c r="L1105" s="78">
        <v>46142</v>
      </c>
      <c r="M1105" s="103"/>
      <c r="N1105" s="93" t="s">
        <v>617</v>
      </c>
      <c r="O1105" s="94">
        <v>46141</v>
      </c>
      <c r="P1105" s="104">
        <f t="shared" si="148"/>
        <v>600</v>
      </c>
      <c r="Q1105" s="104">
        <f t="shared" si="149"/>
        <v>600</v>
      </c>
      <c r="R1105" s="104"/>
      <c r="S1105" s="93" t="s">
        <v>618</v>
      </c>
      <c r="T1105" s="94">
        <v>46156</v>
      </c>
      <c r="U1105" s="104">
        <f t="shared" si="150"/>
        <v>600</v>
      </c>
      <c r="V1105" s="104">
        <f t="shared" si="151"/>
        <v>1</v>
      </c>
      <c r="W1105" s="103">
        <f t="shared" si="152"/>
        <v>600</v>
      </c>
      <c r="X1105" s="93" t="s">
        <v>89</v>
      </c>
      <c r="Y1105" s="105" t="s">
        <v>84</v>
      </c>
      <c r="Z1105" s="105" t="s">
        <v>619</v>
      </c>
    </row>
    <row r="1106" spans="1:26" s="105" customFormat="1" ht="15" customHeight="1">
      <c r="A1106" s="99">
        <f t="shared" si="153"/>
        <v>1104</v>
      </c>
      <c r="B1106" s="75" t="s">
        <v>1203</v>
      </c>
      <c r="C1106" s="100" t="str">
        <f>IF($B1106&lt;&gt;"",_xlfn.IFNA(VLOOKUP($B1106,'Node Details'!$B:$U,C$1,0),"Check"),"")</f>
        <v>0000CM325-CM3250107</v>
      </c>
      <c r="D1106" s="100" t="str">
        <f>IF($B1106&lt;&gt;"",_xlfn.IFNA(VLOOKUP($B1106,'Node Details'!$B:$U,D$1,0),"Check"),"")</f>
        <v>CM3</v>
      </c>
      <c r="E1106" s="100" t="str">
        <f>IF($B1106&lt;&gt;"",_xlfn.IFNA(VLOOKUP($B1106,'Node Details'!$B:$U,E$1,0),"Check"),"")</f>
        <v>Airtel</v>
      </c>
      <c r="F1106" s="101">
        <v>46149</v>
      </c>
      <c r="G1106" s="103"/>
      <c r="H1106" s="102" t="s">
        <v>1254</v>
      </c>
      <c r="I1106" s="9">
        <v>1</v>
      </c>
      <c r="J1106" s="9">
        <v>600</v>
      </c>
      <c r="K1106" s="100">
        <f t="shared" si="147"/>
        <v>600</v>
      </c>
      <c r="L1106" s="78">
        <v>46142</v>
      </c>
      <c r="M1106" s="103"/>
      <c r="N1106" s="93" t="s">
        <v>617</v>
      </c>
      <c r="O1106" s="94">
        <v>46141</v>
      </c>
      <c r="P1106" s="104">
        <f t="shared" si="148"/>
        <v>600</v>
      </c>
      <c r="Q1106" s="104">
        <f t="shared" si="149"/>
        <v>600</v>
      </c>
      <c r="R1106" s="104"/>
      <c r="S1106" s="93" t="s">
        <v>618</v>
      </c>
      <c r="T1106" s="94">
        <v>46156</v>
      </c>
      <c r="U1106" s="104">
        <f t="shared" si="150"/>
        <v>600</v>
      </c>
      <c r="V1106" s="104">
        <f t="shared" si="151"/>
        <v>1</v>
      </c>
      <c r="W1106" s="103">
        <f t="shared" si="152"/>
        <v>600</v>
      </c>
      <c r="X1106" s="93" t="s">
        <v>89</v>
      </c>
      <c r="Y1106" s="105" t="s">
        <v>84</v>
      </c>
      <c r="Z1106" s="105" t="s">
        <v>619</v>
      </c>
    </row>
    <row r="1107" spans="1:26" s="105" customFormat="1" ht="15" customHeight="1">
      <c r="A1107" s="99">
        <f t="shared" si="153"/>
        <v>1105</v>
      </c>
      <c r="B1107" s="75" t="s">
        <v>799</v>
      </c>
      <c r="C1107" s="100" t="str">
        <f>IF($B1107&lt;&gt;"",_xlfn.IFNA(VLOOKUP($B1107,'Node Details'!$B:$U,C$1,0),"Check"),"")</f>
        <v>0000CM325-CM3250107</v>
      </c>
      <c r="D1107" s="100" t="str">
        <f>IF($B1107&lt;&gt;"",_xlfn.IFNA(VLOOKUP($B1107,'Node Details'!$B:$U,D$1,0),"Check"),"")</f>
        <v>CM3</v>
      </c>
      <c r="E1107" s="100" t="str">
        <f>IF($B1107&lt;&gt;"",_xlfn.IFNA(VLOOKUP($B1107,'Node Details'!$B:$U,E$1,0),"Check"),"")</f>
        <v>Airtel</v>
      </c>
      <c r="F1107" s="101">
        <v>46149</v>
      </c>
      <c r="G1107" s="103"/>
      <c r="H1107" s="102" t="s">
        <v>1254</v>
      </c>
      <c r="I1107" s="9">
        <v>1</v>
      </c>
      <c r="J1107" s="9">
        <v>600</v>
      </c>
      <c r="K1107" s="100">
        <f t="shared" si="147"/>
        <v>600</v>
      </c>
      <c r="L1107" s="78">
        <v>46142</v>
      </c>
      <c r="M1107" s="103"/>
      <c r="N1107" s="93" t="s">
        <v>617</v>
      </c>
      <c r="O1107" s="94">
        <v>46141</v>
      </c>
      <c r="P1107" s="104">
        <f t="shared" si="148"/>
        <v>600</v>
      </c>
      <c r="Q1107" s="104">
        <f t="shared" si="149"/>
        <v>600</v>
      </c>
      <c r="R1107" s="104"/>
      <c r="S1107" s="93" t="s">
        <v>618</v>
      </c>
      <c r="T1107" s="94">
        <v>46156</v>
      </c>
      <c r="U1107" s="104">
        <f t="shared" si="150"/>
        <v>600</v>
      </c>
      <c r="V1107" s="104">
        <f t="shared" si="151"/>
        <v>1</v>
      </c>
      <c r="W1107" s="103">
        <f t="shared" si="152"/>
        <v>600</v>
      </c>
      <c r="X1107" s="93" t="s">
        <v>89</v>
      </c>
      <c r="Y1107" s="105" t="s">
        <v>84</v>
      </c>
      <c r="Z1107" s="105" t="s">
        <v>619</v>
      </c>
    </row>
    <row r="1108" spans="1:26" s="105" customFormat="1" ht="15" customHeight="1">
      <c r="A1108" s="99">
        <f t="shared" si="153"/>
        <v>1106</v>
      </c>
      <c r="B1108" s="75" t="s">
        <v>637</v>
      </c>
      <c r="C1108" s="100" t="str">
        <f>IF($B1108&lt;&gt;"",_xlfn.IFNA(VLOOKUP($B1108,'Node Details'!$B:$U,C$1,0),"Check"),"")</f>
        <v>000000CM3-0000CM310</v>
      </c>
      <c r="D1108" s="100" t="str">
        <f>IF($B1108&lt;&gt;"",_xlfn.IFNA(VLOOKUP($B1108,'Node Details'!$B:$U,D$1,0),"Check"),"")</f>
        <v>CM3</v>
      </c>
      <c r="E1108" s="100" t="str">
        <f>IF($B1108&lt;&gt;"",_xlfn.IFNA(VLOOKUP($B1108,'Node Details'!$B:$U,E$1,0),"Check"),"")</f>
        <v>Airtel</v>
      </c>
      <c r="F1108" s="101">
        <v>46149</v>
      </c>
      <c r="G1108" s="103"/>
      <c r="H1108" s="102" t="s">
        <v>1255</v>
      </c>
      <c r="I1108" s="9">
        <v>1</v>
      </c>
      <c r="J1108" s="9">
        <v>600</v>
      </c>
      <c r="K1108" s="100">
        <f t="shared" si="147"/>
        <v>600</v>
      </c>
      <c r="L1108" s="78">
        <v>46142</v>
      </c>
      <c r="M1108" s="103"/>
      <c r="N1108" s="93" t="s">
        <v>617</v>
      </c>
      <c r="O1108" s="94">
        <v>46141</v>
      </c>
      <c r="P1108" s="104">
        <f t="shared" si="148"/>
        <v>600</v>
      </c>
      <c r="Q1108" s="104">
        <f t="shared" si="149"/>
        <v>600</v>
      </c>
      <c r="R1108" s="104"/>
      <c r="S1108" s="93" t="s">
        <v>618</v>
      </c>
      <c r="T1108" s="94">
        <v>46156</v>
      </c>
      <c r="U1108" s="104">
        <f t="shared" si="150"/>
        <v>600</v>
      </c>
      <c r="V1108" s="104">
        <f t="shared" si="151"/>
        <v>1</v>
      </c>
      <c r="W1108" s="103">
        <f t="shared" si="152"/>
        <v>600</v>
      </c>
      <c r="X1108" s="93" t="s">
        <v>89</v>
      </c>
      <c r="Y1108" s="105" t="s">
        <v>84</v>
      </c>
      <c r="Z1108" s="105" t="s">
        <v>619</v>
      </c>
    </row>
    <row r="1109" spans="1:26" s="105" customFormat="1" ht="15" customHeight="1">
      <c r="A1109" s="99">
        <f t="shared" si="153"/>
        <v>1107</v>
      </c>
      <c r="B1109" s="75" t="s">
        <v>644</v>
      </c>
      <c r="C1109" s="100" t="str">
        <f>IF($B1109&lt;&gt;"",_xlfn.IFNA(VLOOKUP($B1109,'Node Details'!$B:$U,C$1,0),"Check"),"")</f>
        <v>000000CM3-0000CM310</v>
      </c>
      <c r="D1109" s="100" t="str">
        <f>IF($B1109&lt;&gt;"",_xlfn.IFNA(VLOOKUP($B1109,'Node Details'!$B:$U,D$1,0),"Check"),"")</f>
        <v>CM3</v>
      </c>
      <c r="E1109" s="100" t="str">
        <f>IF($B1109&lt;&gt;"",_xlfn.IFNA(VLOOKUP($B1109,'Node Details'!$B:$U,E$1,0),"Check"),"")</f>
        <v>Airtel</v>
      </c>
      <c r="F1109" s="101">
        <v>46149</v>
      </c>
      <c r="G1109" s="103"/>
      <c r="H1109" s="102" t="s">
        <v>1255</v>
      </c>
      <c r="I1109" s="9">
        <v>1</v>
      </c>
      <c r="J1109" s="9">
        <v>600</v>
      </c>
      <c r="K1109" s="100">
        <f t="shared" si="147"/>
        <v>600</v>
      </c>
      <c r="L1109" s="78">
        <v>46142</v>
      </c>
      <c r="M1109" s="103"/>
      <c r="N1109" s="93" t="s">
        <v>617</v>
      </c>
      <c r="O1109" s="94">
        <v>46141</v>
      </c>
      <c r="P1109" s="104">
        <f t="shared" si="148"/>
        <v>600</v>
      </c>
      <c r="Q1109" s="104">
        <f t="shared" si="149"/>
        <v>600</v>
      </c>
      <c r="R1109" s="104"/>
      <c r="S1109" s="93" t="s">
        <v>618</v>
      </c>
      <c r="T1109" s="94">
        <v>46156</v>
      </c>
      <c r="U1109" s="104">
        <f t="shared" si="150"/>
        <v>600</v>
      </c>
      <c r="V1109" s="104">
        <f t="shared" si="151"/>
        <v>1</v>
      </c>
      <c r="W1109" s="103">
        <f t="shared" si="152"/>
        <v>600</v>
      </c>
      <c r="X1109" s="93" t="s">
        <v>89</v>
      </c>
      <c r="Y1109" s="105" t="s">
        <v>84</v>
      </c>
      <c r="Z1109" s="105" t="s">
        <v>619</v>
      </c>
    </row>
    <row r="1110" spans="1:26" s="105" customFormat="1" ht="15" customHeight="1">
      <c r="A1110" s="99">
        <f t="shared" si="153"/>
        <v>1108</v>
      </c>
      <c r="B1110" s="75" t="s">
        <v>649</v>
      </c>
      <c r="C1110" s="100" t="str">
        <f>IF($B1110&lt;&gt;"",_xlfn.IFNA(VLOOKUP($B1110,'Node Details'!$B:$U,C$1,0),"Check"),"")</f>
        <v>000000CM3-0000CM310</v>
      </c>
      <c r="D1110" s="100" t="str">
        <f>IF($B1110&lt;&gt;"",_xlfn.IFNA(VLOOKUP($B1110,'Node Details'!$B:$U,D$1,0),"Check"),"")</f>
        <v>CM3</v>
      </c>
      <c r="E1110" s="100" t="str">
        <f>IF($B1110&lt;&gt;"",_xlfn.IFNA(VLOOKUP($B1110,'Node Details'!$B:$U,E$1,0),"Check"),"")</f>
        <v>Airtel</v>
      </c>
      <c r="F1110" s="101">
        <v>46149</v>
      </c>
      <c r="G1110" s="103"/>
      <c r="H1110" s="102" t="s">
        <v>1255</v>
      </c>
      <c r="I1110" s="9">
        <v>1</v>
      </c>
      <c r="J1110" s="9">
        <v>600</v>
      </c>
      <c r="K1110" s="100">
        <f t="shared" si="147"/>
        <v>600</v>
      </c>
      <c r="L1110" s="78">
        <v>46142</v>
      </c>
      <c r="M1110" s="103"/>
      <c r="N1110" s="93" t="s">
        <v>617</v>
      </c>
      <c r="O1110" s="94">
        <v>46141</v>
      </c>
      <c r="P1110" s="104">
        <f t="shared" si="148"/>
        <v>600</v>
      </c>
      <c r="Q1110" s="104">
        <f t="shared" si="149"/>
        <v>600</v>
      </c>
      <c r="R1110" s="104"/>
      <c r="S1110" s="93" t="s">
        <v>618</v>
      </c>
      <c r="T1110" s="94">
        <v>46156</v>
      </c>
      <c r="U1110" s="104">
        <f t="shared" si="150"/>
        <v>600</v>
      </c>
      <c r="V1110" s="104">
        <f t="shared" si="151"/>
        <v>1</v>
      </c>
      <c r="W1110" s="103">
        <f t="shared" si="152"/>
        <v>600</v>
      </c>
      <c r="X1110" s="93" t="s">
        <v>89</v>
      </c>
      <c r="Y1110" s="105" t="s">
        <v>84</v>
      </c>
      <c r="Z1110" s="105" t="s">
        <v>619</v>
      </c>
    </row>
    <row r="1111" spans="1:26" s="105" customFormat="1" ht="15" customHeight="1">
      <c r="A1111" s="99">
        <f t="shared" si="153"/>
        <v>1109</v>
      </c>
      <c r="B1111" s="75" t="s">
        <v>630</v>
      </c>
      <c r="C1111" s="100" t="str">
        <f>IF($B1111&lt;&gt;"",_xlfn.IFNA(VLOOKUP($B1111,'Node Details'!$B:$U,C$1,0),"Check"),"")</f>
        <v>000000CM3-0000CM310</v>
      </c>
      <c r="D1111" s="100" t="str">
        <f>IF($B1111&lt;&gt;"",_xlfn.IFNA(VLOOKUP($B1111,'Node Details'!$B:$U,D$1,0),"Check"),"")</f>
        <v>CM3</v>
      </c>
      <c r="E1111" s="100" t="str">
        <f>IF($B1111&lt;&gt;"",_xlfn.IFNA(VLOOKUP($B1111,'Node Details'!$B:$U,E$1,0),"Check"),"")</f>
        <v>Airtel</v>
      </c>
      <c r="F1111" s="101">
        <v>46149</v>
      </c>
      <c r="G1111" s="103"/>
      <c r="H1111" s="102" t="s">
        <v>1255</v>
      </c>
      <c r="I1111" s="9">
        <v>1</v>
      </c>
      <c r="J1111" s="9">
        <v>600</v>
      </c>
      <c r="K1111" s="100">
        <f t="shared" si="147"/>
        <v>600</v>
      </c>
      <c r="L1111" s="78">
        <v>46142</v>
      </c>
      <c r="M1111" s="103"/>
      <c r="N1111" s="93" t="s">
        <v>617</v>
      </c>
      <c r="O1111" s="94">
        <v>46141</v>
      </c>
      <c r="P1111" s="104">
        <f t="shared" si="148"/>
        <v>600</v>
      </c>
      <c r="Q1111" s="104">
        <f t="shared" si="149"/>
        <v>600</v>
      </c>
      <c r="R1111" s="104"/>
      <c r="S1111" s="93" t="s">
        <v>618</v>
      </c>
      <c r="T1111" s="94">
        <v>46156</v>
      </c>
      <c r="U1111" s="104">
        <f t="shared" si="150"/>
        <v>600</v>
      </c>
      <c r="V1111" s="104">
        <f t="shared" si="151"/>
        <v>1</v>
      </c>
      <c r="W1111" s="103">
        <f t="shared" si="152"/>
        <v>600</v>
      </c>
      <c r="X1111" s="93" t="s">
        <v>89</v>
      </c>
      <c r="Y1111" s="105" t="s">
        <v>84</v>
      </c>
      <c r="Z1111" s="105" t="s">
        <v>619</v>
      </c>
    </row>
    <row r="1112" spans="1:26" s="105" customFormat="1" ht="15" customHeight="1">
      <c r="A1112" s="99">
        <f t="shared" si="153"/>
        <v>1110</v>
      </c>
      <c r="B1112" s="75" t="s">
        <v>631</v>
      </c>
      <c r="C1112" s="100" t="str">
        <f>IF($B1112&lt;&gt;"",_xlfn.IFNA(VLOOKUP($B1112,'Node Details'!$B:$U,C$1,0),"Check"),"")</f>
        <v>0000CM304-0000CM305</v>
      </c>
      <c r="D1112" s="100" t="str">
        <f>IF($B1112&lt;&gt;"",_xlfn.IFNA(VLOOKUP($B1112,'Node Details'!$B:$U,D$1,0),"Check"),"")</f>
        <v>CM3</v>
      </c>
      <c r="E1112" s="100" t="str">
        <f>IF($B1112&lt;&gt;"",_xlfn.IFNA(VLOOKUP($B1112,'Node Details'!$B:$U,E$1,0),"Check"),"")</f>
        <v>Airtel</v>
      </c>
      <c r="F1112" s="101">
        <v>46149</v>
      </c>
      <c r="G1112" s="103"/>
      <c r="H1112" s="102" t="s">
        <v>1255</v>
      </c>
      <c r="I1112" s="9">
        <v>1</v>
      </c>
      <c r="J1112" s="9">
        <v>600</v>
      </c>
      <c r="K1112" s="100">
        <f t="shared" si="147"/>
        <v>600</v>
      </c>
      <c r="L1112" s="78">
        <v>46142</v>
      </c>
      <c r="M1112" s="103"/>
      <c r="N1112" s="93" t="s">
        <v>617</v>
      </c>
      <c r="O1112" s="94">
        <v>46141</v>
      </c>
      <c r="P1112" s="104">
        <f t="shared" si="148"/>
        <v>600</v>
      </c>
      <c r="Q1112" s="104">
        <f t="shared" si="149"/>
        <v>600</v>
      </c>
      <c r="R1112" s="104"/>
      <c r="S1112" s="93" t="s">
        <v>618</v>
      </c>
      <c r="T1112" s="94">
        <v>46156</v>
      </c>
      <c r="U1112" s="104">
        <f t="shared" si="150"/>
        <v>600</v>
      </c>
      <c r="V1112" s="104">
        <f t="shared" si="151"/>
        <v>1</v>
      </c>
      <c r="W1112" s="103">
        <f t="shared" si="152"/>
        <v>600</v>
      </c>
      <c r="X1112" s="93" t="s">
        <v>89</v>
      </c>
      <c r="Y1112" s="105" t="s">
        <v>84</v>
      </c>
      <c r="Z1112" s="105" t="s">
        <v>619</v>
      </c>
    </row>
    <row r="1113" spans="1:26" s="105" customFormat="1" ht="15" customHeight="1">
      <c r="A1113" s="99">
        <f t="shared" si="153"/>
        <v>1111</v>
      </c>
      <c r="B1113" s="75" t="s">
        <v>634</v>
      </c>
      <c r="C1113" s="100" t="str">
        <f>IF($B1113&lt;&gt;"",_xlfn.IFNA(VLOOKUP($B1113,'Node Details'!$B:$U,C$1,0),"Check"),"")</f>
        <v>000000CM3-0000CM310</v>
      </c>
      <c r="D1113" s="100" t="str">
        <f>IF($B1113&lt;&gt;"",_xlfn.IFNA(VLOOKUP($B1113,'Node Details'!$B:$U,D$1,0),"Check"),"")</f>
        <v>CM3</v>
      </c>
      <c r="E1113" s="100" t="str">
        <f>IF($B1113&lt;&gt;"",_xlfn.IFNA(VLOOKUP($B1113,'Node Details'!$B:$U,E$1,0),"Check"),"")</f>
        <v>Airtel</v>
      </c>
      <c r="F1113" s="101">
        <v>46149</v>
      </c>
      <c r="G1113" s="103"/>
      <c r="H1113" s="102" t="s">
        <v>1255</v>
      </c>
      <c r="I1113" s="9">
        <v>1</v>
      </c>
      <c r="J1113" s="9">
        <v>600</v>
      </c>
      <c r="K1113" s="100">
        <f t="shared" si="147"/>
        <v>600</v>
      </c>
      <c r="L1113" s="78">
        <v>46142</v>
      </c>
      <c r="M1113" s="103"/>
      <c r="N1113" s="93" t="s">
        <v>617</v>
      </c>
      <c r="O1113" s="94">
        <v>46141</v>
      </c>
      <c r="P1113" s="104">
        <f t="shared" si="148"/>
        <v>600</v>
      </c>
      <c r="Q1113" s="104">
        <f t="shared" si="149"/>
        <v>600</v>
      </c>
      <c r="R1113" s="104"/>
      <c r="S1113" s="93" t="s">
        <v>618</v>
      </c>
      <c r="T1113" s="94">
        <v>46156</v>
      </c>
      <c r="U1113" s="104">
        <f t="shared" si="150"/>
        <v>600</v>
      </c>
      <c r="V1113" s="104">
        <f t="shared" si="151"/>
        <v>1</v>
      </c>
      <c r="W1113" s="103">
        <f t="shared" si="152"/>
        <v>600</v>
      </c>
      <c r="X1113" s="93" t="s">
        <v>89</v>
      </c>
      <c r="Y1113" s="105" t="s">
        <v>84</v>
      </c>
      <c r="Z1113" s="105" t="s">
        <v>619</v>
      </c>
    </row>
    <row r="1114" spans="1:26" s="105" customFormat="1" ht="15" customHeight="1">
      <c r="A1114" s="99">
        <f t="shared" si="153"/>
        <v>1112</v>
      </c>
      <c r="B1114" s="75" t="s">
        <v>635</v>
      </c>
      <c r="C1114" s="100" t="str">
        <f>IF($B1114&lt;&gt;"",_xlfn.IFNA(VLOOKUP($B1114,'Node Details'!$B:$U,C$1,0),"Check"),"")</f>
        <v>0000CM306-0000CM307</v>
      </c>
      <c r="D1114" s="100" t="str">
        <f>IF($B1114&lt;&gt;"",_xlfn.IFNA(VLOOKUP($B1114,'Node Details'!$B:$U,D$1,0),"Check"),"")</f>
        <v>CM3</v>
      </c>
      <c r="E1114" s="100" t="str">
        <f>IF($B1114&lt;&gt;"",_xlfn.IFNA(VLOOKUP($B1114,'Node Details'!$B:$U,E$1,0),"Check"),"")</f>
        <v>Airtel</v>
      </c>
      <c r="F1114" s="101">
        <v>46149</v>
      </c>
      <c r="G1114" s="103"/>
      <c r="H1114" s="102" t="s">
        <v>1255</v>
      </c>
      <c r="I1114" s="9">
        <v>1</v>
      </c>
      <c r="J1114" s="9">
        <v>600</v>
      </c>
      <c r="K1114" s="100">
        <f t="shared" si="147"/>
        <v>600</v>
      </c>
      <c r="L1114" s="78">
        <v>46142</v>
      </c>
      <c r="M1114" s="103"/>
      <c r="N1114" s="93" t="s">
        <v>617</v>
      </c>
      <c r="O1114" s="94">
        <v>46141</v>
      </c>
      <c r="P1114" s="104">
        <f t="shared" si="148"/>
        <v>600</v>
      </c>
      <c r="Q1114" s="104">
        <f t="shared" si="149"/>
        <v>600</v>
      </c>
      <c r="R1114" s="104"/>
      <c r="S1114" s="93" t="s">
        <v>618</v>
      </c>
      <c r="T1114" s="94">
        <v>46156</v>
      </c>
      <c r="U1114" s="104">
        <f t="shared" si="150"/>
        <v>600</v>
      </c>
      <c r="V1114" s="104">
        <f t="shared" si="151"/>
        <v>1</v>
      </c>
      <c r="W1114" s="103">
        <f t="shared" si="152"/>
        <v>600</v>
      </c>
      <c r="X1114" s="93" t="s">
        <v>89</v>
      </c>
      <c r="Y1114" s="105" t="s">
        <v>84</v>
      </c>
      <c r="Z1114" s="105" t="s">
        <v>619</v>
      </c>
    </row>
    <row r="1115" spans="1:26" s="105" customFormat="1" ht="15" customHeight="1">
      <c r="A1115" s="99">
        <f t="shared" si="153"/>
        <v>1113</v>
      </c>
      <c r="B1115" s="75" t="s">
        <v>682</v>
      </c>
      <c r="C1115" s="100" t="str">
        <f>IF($B1115&lt;&gt;"",_xlfn.IFNA(VLOOKUP($B1115,'Node Details'!$B:$U,C$1,0),"Check"),"")</f>
        <v>000000CM3-0000CM310</v>
      </c>
      <c r="D1115" s="100" t="str">
        <f>IF($B1115&lt;&gt;"",_xlfn.IFNA(VLOOKUP($B1115,'Node Details'!$B:$U,D$1,0),"Check"),"")</f>
        <v>CM3</v>
      </c>
      <c r="E1115" s="100" t="str">
        <f>IF($B1115&lt;&gt;"",_xlfn.IFNA(VLOOKUP($B1115,'Node Details'!$B:$U,E$1,0),"Check"),"")</f>
        <v>Airtel</v>
      </c>
      <c r="F1115" s="101">
        <v>46149</v>
      </c>
      <c r="G1115" s="103"/>
      <c r="H1115" s="102" t="s">
        <v>1255</v>
      </c>
      <c r="I1115" s="9">
        <v>1</v>
      </c>
      <c r="J1115" s="9">
        <v>600</v>
      </c>
      <c r="K1115" s="100">
        <f t="shared" si="147"/>
        <v>600</v>
      </c>
      <c r="L1115" s="78">
        <v>46142</v>
      </c>
      <c r="M1115" s="103"/>
      <c r="N1115" s="93" t="s">
        <v>617</v>
      </c>
      <c r="O1115" s="94">
        <v>46141</v>
      </c>
      <c r="P1115" s="104">
        <f t="shared" si="148"/>
        <v>600</v>
      </c>
      <c r="Q1115" s="104">
        <f t="shared" si="149"/>
        <v>600</v>
      </c>
      <c r="R1115" s="104"/>
      <c r="S1115" s="93" t="s">
        <v>618</v>
      </c>
      <c r="T1115" s="94">
        <v>46156</v>
      </c>
      <c r="U1115" s="104">
        <f t="shared" si="150"/>
        <v>600</v>
      </c>
      <c r="V1115" s="104">
        <f t="shared" si="151"/>
        <v>1</v>
      </c>
      <c r="W1115" s="103">
        <f t="shared" si="152"/>
        <v>600</v>
      </c>
      <c r="X1115" s="93" t="s">
        <v>89</v>
      </c>
      <c r="Y1115" s="105" t="s">
        <v>84</v>
      </c>
      <c r="Z1115" s="105" t="s">
        <v>619</v>
      </c>
    </row>
    <row r="1116" spans="1:26" s="105" customFormat="1" ht="15" customHeight="1">
      <c r="A1116" s="99">
        <f t="shared" si="153"/>
        <v>1114</v>
      </c>
      <c r="B1116" s="75" t="s">
        <v>692</v>
      </c>
      <c r="C1116" s="100" t="str">
        <f>IF($B1116&lt;&gt;"",_xlfn.IFNA(VLOOKUP($B1116,'Node Details'!$B:$U,C$1,0),"Check"),"")</f>
        <v>000000CM3-0000CM310</v>
      </c>
      <c r="D1116" s="100" t="str">
        <f>IF($B1116&lt;&gt;"",_xlfn.IFNA(VLOOKUP($B1116,'Node Details'!$B:$U,D$1,0),"Check"),"")</f>
        <v>CM3</v>
      </c>
      <c r="E1116" s="100" t="str">
        <f>IF($B1116&lt;&gt;"",_xlfn.IFNA(VLOOKUP($B1116,'Node Details'!$B:$U,E$1,0),"Check"),"")</f>
        <v>Airtel</v>
      </c>
      <c r="F1116" s="101">
        <v>46149</v>
      </c>
      <c r="G1116" s="103"/>
      <c r="H1116" s="102" t="s">
        <v>1255</v>
      </c>
      <c r="I1116" s="9">
        <v>1</v>
      </c>
      <c r="J1116" s="9">
        <v>600</v>
      </c>
      <c r="K1116" s="100">
        <f t="shared" si="147"/>
        <v>600</v>
      </c>
      <c r="L1116" s="78">
        <v>46142</v>
      </c>
      <c r="M1116" s="103"/>
      <c r="N1116" s="93" t="s">
        <v>617</v>
      </c>
      <c r="O1116" s="94">
        <v>46141</v>
      </c>
      <c r="P1116" s="104">
        <f t="shared" si="148"/>
        <v>600</v>
      </c>
      <c r="Q1116" s="104">
        <f t="shared" si="149"/>
        <v>600</v>
      </c>
      <c r="R1116" s="104"/>
      <c r="S1116" s="93" t="s">
        <v>618</v>
      </c>
      <c r="T1116" s="94">
        <v>46156</v>
      </c>
      <c r="U1116" s="104">
        <f t="shared" si="150"/>
        <v>600</v>
      </c>
      <c r="V1116" s="104">
        <f t="shared" si="151"/>
        <v>1</v>
      </c>
      <c r="W1116" s="103">
        <f t="shared" si="152"/>
        <v>600</v>
      </c>
      <c r="X1116" s="93" t="s">
        <v>89</v>
      </c>
      <c r="Y1116" s="105" t="s">
        <v>84</v>
      </c>
      <c r="Z1116" s="105" t="s">
        <v>619</v>
      </c>
    </row>
    <row r="1117" spans="1:26" s="105" customFormat="1" ht="15" customHeight="1">
      <c r="A1117" s="99">
        <f t="shared" si="153"/>
        <v>1115</v>
      </c>
      <c r="B1117" s="75" t="s">
        <v>615</v>
      </c>
      <c r="C1117" s="100" t="str">
        <f>IF($B1117&lt;&gt;"",_xlfn.IFNA(VLOOKUP($B1117,'Node Details'!$B:$U,C$1,0),"Check"),"")</f>
        <v>000000CM3-0000CM310</v>
      </c>
      <c r="D1117" s="100" t="str">
        <f>IF($B1117&lt;&gt;"",_xlfn.IFNA(VLOOKUP($B1117,'Node Details'!$B:$U,D$1,0),"Check"),"")</f>
        <v>CM3</v>
      </c>
      <c r="E1117" s="100" t="str">
        <f>IF($B1117&lt;&gt;"",_xlfn.IFNA(VLOOKUP($B1117,'Node Details'!$B:$U,E$1,0),"Check"),"")</f>
        <v>Airtel</v>
      </c>
      <c r="F1117" s="101">
        <v>46149</v>
      </c>
      <c r="G1117" s="103"/>
      <c r="H1117" s="102" t="s">
        <v>1255</v>
      </c>
      <c r="I1117" s="9">
        <v>1</v>
      </c>
      <c r="J1117" s="9">
        <v>600</v>
      </c>
      <c r="K1117" s="100">
        <f t="shared" si="147"/>
        <v>600</v>
      </c>
      <c r="L1117" s="78">
        <v>46142</v>
      </c>
      <c r="M1117" s="103"/>
      <c r="N1117" s="93" t="s">
        <v>617</v>
      </c>
      <c r="O1117" s="94">
        <v>46141</v>
      </c>
      <c r="P1117" s="104">
        <f t="shared" si="148"/>
        <v>600</v>
      </c>
      <c r="Q1117" s="104">
        <f t="shared" si="149"/>
        <v>600</v>
      </c>
      <c r="R1117" s="104"/>
      <c r="S1117" s="93" t="s">
        <v>618</v>
      </c>
      <c r="T1117" s="94">
        <v>46156</v>
      </c>
      <c r="U1117" s="104">
        <f t="shared" si="150"/>
        <v>600</v>
      </c>
      <c r="V1117" s="104">
        <f t="shared" si="151"/>
        <v>1</v>
      </c>
      <c r="W1117" s="103">
        <f t="shared" si="152"/>
        <v>600</v>
      </c>
      <c r="X1117" s="93" t="s">
        <v>89</v>
      </c>
      <c r="Y1117" s="105" t="s">
        <v>84</v>
      </c>
      <c r="Z1117" s="105" t="s">
        <v>619</v>
      </c>
    </row>
    <row r="1118" spans="1:26" s="105" customFormat="1" ht="15" customHeight="1">
      <c r="A1118" s="99">
        <f t="shared" si="153"/>
        <v>1116</v>
      </c>
      <c r="B1118" s="75" t="s">
        <v>705</v>
      </c>
      <c r="C1118" s="100" t="str">
        <f>IF($B1118&lt;&gt;"",_xlfn.IFNA(VLOOKUP($B1118,'Node Details'!$B:$U,C$1,0),"Check"),"")</f>
        <v>000000CM3-0000CM325</v>
      </c>
      <c r="D1118" s="100" t="str">
        <f>IF($B1118&lt;&gt;"",_xlfn.IFNA(VLOOKUP($B1118,'Node Details'!$B:$U,D$1,0),"Check"),"")</f>
        <v>CM3</v>
      </c>
      <c r="E1118" s="100" t="str">
        <f>IF($B1118&lt;&gt;"",_xlfn.IFNA(VLOOKUP($B1118,'Node Details'!$B:$U,E$1,0),"Check"),"")</f>
        <v>Airtel</v>
      </c>
      <c r="F1118" s="101">
        <v>46149</v>
      </c>
      <c r="G1118" s="103"/>
      <c r="H1118" s="102" t="s">
        <v>1255</v>
      </c>
      <c r="I1118" s="9">
        <v>1</v>
      </c>
      <c r="J1118" s="9">
        <v>600</v>
      </c>
      <c r="K1118" s="100">
        <f t="shared" si="147"/>
        <v>600</v>
      </c>
      <c r="L1118" s="78">
        <v>46142</v>
      </c>
      <c r="M1118" s="103"/>
      <c r="N1118" s="93" t="s">
        <v>617</v>
      </c>
      <c r="O1118" s="94">
        <v>46141</v>
      </c>
      <c r="P1118" s="104">
        <f t="shared" si="148"/>
        <v>600</v>
      </c>
      <c r="Q1118" s="104">
        <f t="shared" si="149"/>
        <v>600</v>
      </c>
      <c r="R1118" s="104"/>
      <c r="S1118" s="93" t="s">
        <v>618</v>
      </c>
      <c r="T1118" s="94">
        <v>46156</v>
      </c>
      <c r="U1118" s="104">
        <f t="shared" si="150"/>
        <v>600</v>
      </c>
      <c r="V1118" s="104">
        <f t="shared" si="151"/>
        <v>1</v>
      </c>
      <c r="W1118" s="103">
        <f t="shared" si="152"/>
        <v>600</v>
      </c>
      <c r="X1118" s="93" t="s">
        <v>89</v>
      </c>
      <c r="Y1118" s="105" t="s">
        <v>84</v>
      </c>
      <c r="Z1118" s="105" t="s">
        <v>619</v>
      </c>
    </row>
    <row r="1119" spans="1:26" s="105" customFormat="1" ht="15" customHeight="1">
      <c r="A1119" s="99">
        <f t="shared" si="153"/>
        <v>1117</v>
      </c>
      <c r="B1119" s="75" t="s">
        <v>712</v>
      </c>
      <c r="C1119" s="100" t="str">
        <f>IF($B1119&lt;&gt;"",_xlfn.IFNA(VLOOKUP($B1119,'Node Details'!$B:$U,C$1,0),"Check"),"")</f>
        <v>000000CM3-0000CM325</v>
      </c>
      <c r="D1119" s="100" t="str">
        <f>IF($B1119&lt;&gt;"",_xlfn.IFNA(VLOOKUP($B1119,'Node Details'!$B:$U,D$1,0),"Check"),"")</f>
        <v>CM3</v>
      </c>
      <c r="E1119" s="100" t="str">
        <f>IF($B1119&lt;&gt;"",_xlfn.IFNA(VLOOKUP($B1119,'Node Details'!$B:$U,E$1,0),"Check"),"")</f>
        <v>Airtel</v>
      </c>
      <c r="F1119" s="101">
        <v>46149</v>
      </c>
      <c r="G1119" s="103"/>
      <c r="H1119" s="102" t="s">
        <v>1255</v>
      </c>
      <c r="I1119" s="9">
        <v>1</v>
      </c>
      <c r="J1119" s="9">
        <v>600</v>
      </c>
      <c r="K1119" s="100">
        <f t="shared" si="147"/>
        <v>600</v>
      </c>
      <c r="L1119" s="78">
        <v>46142</v>
      </c>
      <c r="M1119" s="103"/>
      <c r="N1119" s="93" t="s">
        <v>617</v>
      </c>
      <c r="O1119" s="94">
        <v>46141</v>
      </c>
      <c r="P1119" s="104">
        <f t="shared" si="148"/>
        <v>600</v>
      </c>
      <c r="Q1119" s="104">
        <f t="shared" si="149"/>
        <v>600</v>
      </c>
      <c r="R1119" s="104"/>
      <c r="S1119" s="93" t="s">
        <v>618</v>
      </c>
      <c r="T1119" s="94">
        <v>46156</v>
      </c>
      <c r="U1119" s="104">
        <f t="shared" si="150"/>
        <v>600</v>
      </c>
      <c r="V1119" s="104">
        <f t="shared" si="151"/>
        <v>1</v>
      </c>
      <c r="W1119" s="103">
        <f t="shared" si="152"/>
        <v>600</v>
      </c>
      <c r="X1119" s="93" t="s">
        <v>89</v>
      </c>
      <c r="Y1119" s="105" t="s">
        <v>84</v>
      </c>
      <c r="Z1119" s="105" t="s">
        <v>619</v>
      </c>
    </row>
    <row r="1120" spans="1:26" s="105" customFormat="1" ht="15" customHeight="1">
      <c r="A1120" s="99">
        <f t="shared" si="153"/>
        <v>1118</v>
      </c>
      <c r="B1120" s="75" t="s">
        <v>624</v>
      </c>
      <c r="C1120" s="100" t="str">
        <f>IF($B1120&lt;&gt;"",_xlfn.IFNA(VLOOKUP($B1120,'Node Details'!$B:$U,C$1,0),"Check"),"")</f>
        <v>000000CM3-0000CM325</v>
      </c>
      <c r="D1120" s="100" t="str">
        <f>IF($B1120&lt;&gt;"",_xlfn.IFNA(VLOOKUP($B1120,'Node Details'!$B:$U,D$1,0),"Check"),"")</f>
        <v>CM3</v>
      </c>
      <c r="E1120" s="100" t="str">
        <f>IF($B1120&lt;&gt;"",_xlfn.IFNA(VLOOKUP($B1120,'Node Details'!$B:$U,E$1,0),"Check"),"")</f>
        <v>Airtel</v>
      </c>
      <c r="F1120" s="101">
        <v>46149</v>
      </c>
      <c r="G1120" s="103"/>
      <c r="H1120" s="102" t="s">
        <v>1255</v>
      </c>
      <c r="I1120" s="9">
        <v>1</v>
      </c>
      <c r="J1120" s="9">
        <v>600</v>
      </c>
      <c r="K1120" s="100">
        <f t="shared" si="147"/>
        <v>600</v>
      </c>
      <c r="L1120" s="78">
        <v>46142</v>
      </c>
      <c r="M1120" s="103"/>
      <c r="N1120" s="93" t="s">
        <v>617</v>
      </c>
      <c r="O1120" s="94">
        <v>46141</v>
      </c>
      <c r="P1120" s="104">
        <f t="shared" si="148"/>
        <v>600</v>
      </c>
      <c r="Q1120" s="104">
        <f t="shared" si="149"/>
        <v>600</v>
      </c>
      <c r="R1120" s="104"/>
      <c r="S1120" s="93" t="s">
        <v>618</v>
      </c>
      <c r="T1120" s="94">
        <v>46156</v>
      </c>
      <c r="U1120" s="104">
        <f t="shared" si="150"/>
        <v>600</v>
      </c>
      <c r="V1120" s="104">
        <f t="shared" si="151"/>
        <v>1</v>
      </c>
      <c r="W1120" s="103">
        <f t="shared" si="152"/>
        <v>600</v>
      </c>
      <c r="X1120" s="93" t="s">
        <v>89</v>
      </c>
      <c r="Y1120" s="105" t="s">
        <v>84</v>
      </c>
      <c r="Z1120" s="105" t="s">
        <v>619</v>
      </c>
    </row>
    <row r="1121" spans="1:26" s="105" customFormat="1" ht="15" customHeight="1">
      <c r="A1121" s="99">
        <f t="shared" si="153"/>
        <v>1119</v>
      </c>
      <c r="B1121" s="75" t="s">
        <v>627</v>
      </c>
      <c r="C1121" s="100" t="str">
        <f>IF($B1121&lt;&gt;"",_xlfn.IFNA(VLOOKUP($B1121,'Node Details'!$B:$U,C$1,0),"Check"),"")</f>
        <v>0000CM313-0000CM315</v>
      </c>
      <c r="D1121" s="100" t="str">
        <f>IF($B1121&lt;&gt;"",_xlfn.IFNA(VLOOKUP($B1121,'Node Details'!$B:$U,D$1,0),"Check"),"")</f>
        <v>CM3</v>
      </c>
      <c r="E1121" s="100" t="str">
        <f>IF($B1121&lt;&gt;"",_xlfn.IFNA(VLOOKUP($B1121,'Node Details'!$B:$U,E$1,0),"Check"),"")</f>
        <v>Airtel</v>
      </c>
      <c r="F1121" s="101">
        <v>46149</v>
      </c>
      <c r="G1121" s="103"/>
      <c r="H1121" s="102" t="s">
        <v>1255</v>
      </c>
      <c r="I1121" s="9">
        <v>1</v>
      </c>
      <c r="J1121" s="9">
        <v>600</v>
      </c>
      <c r="K1121" s="100">
        <f t="shared" si="147"/>
        <v>600</v>
      </c>
      <c r="L1121" s="78">
        <v>46142</v>
      </c>
      <c r="M1121" s="103"/>
      <c r="N1121" s="93" t="s">
        <v>617</v>
      </c>
      <c r="O1121" s="94">
        <v>46141</v>
      </c>
      <c r="P1121" s="104">
        <f t="shared" si="148"/>
        <v>600</v>
      </c>
      <c r="Q1121" s="104">
        <f t="shared" si="149"/>
        <v>600</v>
      </c>
      <c r="R1121" s="104"/>
      <c r="S1121" s="93" t="s">
        <v>618</v>
      </c>
      <c r="T1121" s="94">
        <v>46156</v>
      </c>
      <c r="U1121" s="104">
        <f t="shared" si="150"/>
        <v>600</v>
      </c>
      <c r="V1121" s="104">
        <f t="shared" si="151"/>
        <v>1</v>
      </c>
      <c r="W1121" s="103">
        <f t="shared" si="152"/>
        <v>600</v>
      </c>
      <c r="X1121" s="93" t="s">
        <v>89</v>
      </c>
      <c r="Y1121" s="105" t="s">
        <v>84</v>
      </c>
      <c r="Z1121" s="105" t="s">
        <v>619</v>
      </c>
    </row>
    <row r="1122" spans="1:26" s="105" customFormat="1" ht="15" customHeight="1">
      <c r="A1122" s="99">
        <f t="shared" si="153"/>
        <v>1120</v>
      </c>
      <c r="B1122" s="75" t="s">
        <v>625</v>
      </c>
      <c r="C1122" s="100" t="str">
        <f>IF($B1122&lt;&gt;"",_xlfn.IFNA(VLOOKUP($B1122,'Node Details'!$B:$U,C$1,0),"Check"),"")</f>
        <v>0000CM313-0000CM315</v>
      </c>
      <c r="D1122" s="100" t="str">
        <f>IF($B1122&lt;&gt;"",_xlfn.IFNA(VLOOKUP($B1122,'Node Details'!$B:$U,D$1,0),"Check"),"")</f>
        <v>CM3</v>
      </c>
      <c r="E1122" s="100" t="str">
        <f>IF($B1122&lt;&gt;"",_xlfn.IFNA(VLOOKUP($B1122,'Node Details'!$B:$U,E$1,0),"Check"),"")</f>
        <v>Airtel</v>
      </c>
      <c r="F1122" s="101">
        <v>46149</v>
      </c>
      <c r="G1122" s="103"/>
      <c r="H1122" s="102" t="s">
        <v>1255</v>
      </c>
      <c r="I1122" s="9">
        <v>1</v>
      </c>
      <c r="J1122" s="9">
        <v>600</v>
      </c>
      <c r="K1122" s="100">
        <f t="shared" si="147"/>
        <v>600</v>
      </c>
      <c r="L1122" s="78">
        <v>46142</v>
      </c>
      <c r="M1122" s="103"/>
      <c r="N1122" s="93" t="s">
        <v>617</v>
      </c>
      <c r="O1122" s="94">
        <v>46141</v>
      </c>
      <c r="P1122" s="104">
        <f t="shared" si="148"/>
        <v>600</v>
      </c>
      <c r="Q1122" s="104">
        <f t="shared" si="149"/>
        <v>600</v>
      </c>
      <c r="R1122" s="104"/>
      <c r="S1122" s="93" t="s">
        <v>618</v>
      </c>
      <c r="T1122" s="94">
        <v>46156</v>
      </c>
      <c r="U1122" s="104">
        <f t="shared" si="150"/>
        <v>600</v>
      </c>
      <c r="V1122" s="104">
        <f t="shared" si="151"/>
        <v>1</v>
      </c>
      <c r="W1122" s="103">
        <f t="shared" si="152"/>
        <v>600</v>
      </c>
      <c r="X1122" s="93" t="s">
        <v>89</v>
      </c>
      <c r="Y1122" s="105" t="s">
        <v>84</v>
      </c>
      <c r="Z1122" s="105" t="s">
        <v>619</v>
      </c>
    </row>
    <row r="1123" spans="1:26" s="105" customFormat="1" ht="15" customHeight="1">
      <c r="A1123" s="99">
        <f t="shared" si="153"/>
        <v>1121</v>
      </c>
      <c r="B1123" s="75" t="s">
        <v>628</v>
      </c>
      <c r="C1123" s="100" t="str">
        <f>IF($B1123&lt;&gt;"",_xlfn.IFNA(VLOOKUP($B1123,'Node Details'!$B:$U,C$1,0),"Check"),"")</f>
        <v>0000CM314-0000CM316</v>
      </c>
      <c r="D1123" s="100" t="str">
        <f>IF($B1123&lt;&gt;"",_xlfn.IFNA(VLOOKUP($B1123,'Node Details'!$B:$U,D$1,0),"Check"),"")</f>
        <v>CM3</v>
      </c>
      <c r="E1123" s="100" t="str">
        <f>IF($B1123&lt;&gt;"",_xlfn.IFNA(VLOOKUP($B1123,'Node Details'!$B:$U,E$1,0),"Check"),"")</f>
        <v>Airtel</v>
      </c>
      <c r="F1123" s="101">
        <v>46149</v>
      </c>
      <c r="G1123" s="103"/>
      <c r="H1123" s="102" t="s">
        <v>1255</v>
      </c>
      <c r="I1123" s="9">
        <v>1</v>
      </c>
      <c r="J1123" s="9">
        <v>600</v>
      </c>
      <c r="K1123" s="100">
        <f t="shared" si="147"/>
        <v>600</v>
      </c>
      <c r="L1123" s="78">
        <v>46142</v>
      </c>
      <c r="M1123" s="103"/>
      <c r="N1123" s="93" t="s">
        <v>617</v>
      </c>
      <c r="O1123" s="94">
        <v>46141</v>
      </c>
      <c r="P1123" s="104">
        <f t="shared" si="148"/>
        <v>600</v>
      </c>
      <c r="Q1123" s="104">
        <f t="shared" si="149"/>
        <v>600</v>
      </c>
      <c r="R1123" s="104"/>
      <c r="S1123" s="93" t="s">
        <v>618</v>
      </c>
      <c r="T1123" s="94">
        <v>46156</v>
      </c>
      <c r="U1123" s="104">
        <f t="shared" si="150"/>
        <v>600</v>
      </c>
      <c r="V1123" s="104">
        <f t="shared" si="151"/>
        <v>1</v>
      </c>
      <c r="W1123" s="103">
        <f t="shared" si="152"/>
        <v>600</v>
      </c>
      <c r="X1123" s="93" t="s">
        <v>89</v>
      </c>
      <c r="Y1123" s="105" t="s">
        <v>84</v>
      </c>
      <c r="Z1123" s="105" t="s">
        <v>619</v>
      </c>
    </row>
    <row r="1124" spans="1:26" s="105" customFormat="1" ht="15" customHeight="1">
      <c r="A1124" s="99">
        <f t="shared" si="153"/>
        <v>1122</v>
      </c>
      <c r="B1124" s="75" t="s">
        <v>746</v>
      </c>
      <c r="C1124" s="100" t="str">
        <f>IF($B1124&lt;&gt;"",_xlfn.IFNA(VLOOKUP($B1124,'Node Details'!$B:$U,C$1,0),"Check"),"")</f>
        <v>000000CM3-0000CM325</v>
      </c>
      <c r="D1124" s="100" t="str">
        <f>IF($B1124&lt;&gt;"",_xlfn.IFNA(VLOOKUP($B1124,'Node Details'!$B:$U,D$1,0),"Check"),"")</f>
        <v>CM3</v>
      </c>
      <c r="E1124" s="100" t="str">
        <f>IF($B1124&lt;&gt;"",_xlfn.IFNA(VLOOKUP($B1124,'Node Details'!$B:$U,E$1,0),"Check"),"")</f>
        <v>Airtel</v>
      </c>
      <c r="F1124" s="101">
        <v>46149</v>
      </c>
      <c r="G1124" s="103"/>
      <c r="H1124" s="102" t="s">
        <v>1255</v>
      </c>
      <c r="I1124" s="9">
        <v>1</v>
      </c>
      <c r="J1124" s="9">
        <v>600</v>
      </c>
      <c r="K1124" s="100">
        <f t="shared" si="147"/>
        <v>600</v>
      </c>
      <c r="L1124" s="78">
        <v>46142</v>
      </c>
      <c r="M1124" s="103"/>
      <c r="N1124" s="93" t="s">
        <v>617</v>
      </c>
      <c r="O1124" s="94">
        <v>46141</v>
      </c>
      <c r="P1124" s="104">
        <f t="shared" si="148"/>
        <v>600</v>
      </c>
      <c r="Q1124" s="104">
        <f t="shared" si="149"/>
        <v>600</v>
      </c>
      <c r="R1124" s="104"/>
      <c r="S1124" s="93" t="s">
        <v>618</v>
      </c>
      <c r="T1124" s="94">
        <v>46156</v>
      </c>
      <c r="U1124" s="104">
        <f t="shared" si="150"/>
        <v>600</v>
      </c>
      <c r="V1124" s="104">
        <f t="shared" si="151"/>
        <v>1</v>
      </c>
      <c r="W1124" s="103">
        <f t="shared" si="152"/>
        <v>600</v>
      </c>
      <c r="X1124" s="93" t="s">
        <v>89</v>
      </c>
      <c r="Y1124" s="105" t="s">
        <v>84</v>
      </c>
      <c r="Z1124" s="105" t="s">
        <v>619</v>
      </c>
    </row>
    <row r="1125" spans="1:26" s="105" customFormat="1" ht="15" customHeight="1">
      <c r="A1125" s="99">
        <f t="shared" si="153"/>
        <v>1123</v>
      </c>
      <c r="B1125" s="75" t="s">
        <v>753</v>
      </c>
      <c r="C1125" s="100" t="str">
        <f>IF($B1125&lt;&gt;"",_xlfn.IFNA(VLOOKUP($B1125,'Node Details'!$B:$U,C$1,0),"Check"),"")</f>
        <v>000000CM3-0000CM325</v>
      </c>
      <c r="D1125" s="100" t="str">
        <f>IF($B1125&lt;&gt;"",_xlfn.IFNA(VLOOKUP($B1125,'Node Details'!$B:$U,D$1,0),"Check"),"")</f>
        <v>CM3</v>
      </c>
      <c r="E1125" s="100" t="str">
        <f>IF($B1125&lt;&gt;"",_xlfn.IFNA(VLOOKUP($B1125,'Node Details'!$B:$U,E$1,0),"Check"),"")</f>
        <v>Airtel</v>
      </c>
      <c r="F1125" s="101">
        <v>46149</v>
      </c>
      <c r="G1125" s="103"/>
      <c r="H1125" s="102" t="s">
        <v>1255</v>
      </c>
      <c r="I1125" s="9">
        <v>1</v>
      </c>
      <c r="J1125" s="9">
        <v>600</v>
      </c>
      <c r="K1125" s="100">
        <f t="shared" si="147"/>
        <v>600</v>
      </c>
      <c r="L1125" s="78">
        <v>46142</v>
      </c>
      <c r="M1125" s="103"/>
      <c r="N1125" s="93" t="s">
        <v>617</v>
      </c>
      <c r="O1125" s="94">
        <v>46141</v>
      </c>
      <c r="P1125" s="104">
        <f t="shared" si="148"/>
        <v>600</v>
      </c>
      <c r="Q1125" s="104">
        <f t="shared" si="149"/>
        <v>600</v>
      </c>
      <c r="R1125" s="104"/>
      <c r="S1125" s="93" t="s">
        <v>618</v>
      </c>
      <c r="T1125" s="94">
        <v>46156</v>
      </c>
      <c r="U1125" s="104">
        <f t="shared" si="150"/>
        <v>600</v>
      </c>
      <c r="V1125" s="104">
        <f t="shared" si="151"/>
        <v>1</v>
      </c>
      <c r="W1125" s="103">
        <f t="shared" si="152"/>
        <v>600</v>
      </c>
      <c r="X1125" s="93" t="s">
        <v>89</v>
      </c>
      <c r="Y1125" s="105" t="s">
        <v>84</v>
      </c>
      <c r="Z1125" s="105" t="s">
        <v>619</v>
      </c>
    </row>
    <row r="1126" spans="1:26" s="105" customFormat="1" ht="15" customHeight="1">
      <c r="A1126" s="99">
        <f t="shared" si="153"/>
        <v>1124</v>
      </c>
      <c r="B1126" s="75" t="s">
        <v>762</v>
      </c>
      <c r="C1126" s="100" t="str">
        <f>IF($B1126&lt;&gt;"",_xlfn.IFNA(VLOOKUP($B1126,'Node Details'!$B:$U,C$1,0),"Check"),"")</f>
        <v>000000CM3-0000CM325</v>
      </c>
      <c r="D1126" s="100" t="str">
        <f>IF($B1126&lt;&gt;"",_xlfn.IFNA(VLOOKUP($B1126,'Node Details'!$B:$U,D$1,0),"Check"),"")</f>
        <v>CM3</v>
      </c>
      <c r="E1126" s="100" t="str">
        <f>IF($B1126&lt;&gt;"",_xlfn.IFNA(VLOOKUP($B1126,'Node Details'!$B:$U,E$1,0),"Check"),"")</f>
        <v>Airtel</v>
      </c>
      <c r="F1126" s="101">
        <v>46149</v>
      </c>
      <c r="G1126" s="103"/>
      <c r="H1126" s="102" t="s">
        <v>1255</v>
      </c>
      <c r="I1126" s="9">
        <v>1</v>
      </c>
      <c r="J1126" s="9">
        <v>600</v>
      </c>
      <c r="K1126" s="100">
        <f t="shared" si="147"/>
        <v>600</v>
      </c>
      <c r="L1126" s="78">
        <v>46142</v>
      </c>
      <c r="M1126" s="103"/>
      <c r="N1126" s="93" t="s">
        <v>617</v>
      </c>
      <c r="O1126" s="94">
        <v>46141</v>
      </c>
      <c r="P1126" s="104">
        <f t="shared" si="148"/>
        <v>600</v>
      </c>
      <c r="Q1126" s="104">
        <f t="shared" si="149"/>
        <v>600</v>
      </c>
      <c r="R1126" s="104"/>
      <c r="S1126" s="93" t="s">
        <v>618</v>
      </c>
      <c r="T1126" s="94">
        <v>46156</v>
      </c>
      <c r="U1126" s="104">
        <f t="shared" si="150"/>
        <v>600</v>
      </c>
      <c r="V1126" s="104">
        <f t="shared" si="151"/>
        <v>1</v>
      </c>
      <c r="W1126" s="103">
        <f t="shared" si="152"/>
        <v>600</v>
      </c>
      <c r="X1126" s="93" t="s">
        <v>89</v>
      </c>
      <c r="Y1126" s="105" t="s">
        <v>84</v>
      </c>
      <c r="Z1126" s="105" t="s">
        <v>619</v>
      </c>
    </row>
    <row r="1127" spans="1:26" s="105" customFormat="1" ht="15" customHeight="1">
      <c r="A1127" s="99">
        <f t="shared" si="153"/>
        <v>1125</v>
      </c>
      <c r="B1127" s="75" t="s">
        <v>767</v>
      </c>
      <c r="C1127" s="100" t="str">
        <f>IF($B1127&lt;&gt;"",_xlfn.IFNA(VLOOKUP($B1127,'Node Details'!$B:$U,C$1,0),"Check"),"")</f>
        <v>000000CM3-0000CM325</v>
      </c>
      <c r="D1127" s="100" t="str">
        <f>IF($B1127&lt;&gt;"",_xlfn.IFNA(VLOOKUP($B1127,'Node Details'!$B:$U,D$1,0),"Check"),"")</f>
        <v>CM3</v>
      </c>
      <c r="E1127" s="100" t="str">
        <f>IF($B1127&lt;&gt;"",_xlfn.IFNA(VLOOKUP($B1127,'Node Details'!$B:$U,E$1,0),"Check"),"")</f>
        <v>Airtel</v>
      </c>
      <c r="F1127" s="101">
        <v>46149</v>
      </c>
      <c r="G1127" s="103"/>
      <c r="H1127" s="102" t="s">
        <v>1255</v>
      </c>
      <c r="I1127" s="9">
        <v>1</v>
      </c>
      <c r="J1127" s="9">
        <v>600</v>
      </c>
      <c r="K1127" s="100">
        <f t="shared" si="147"/>
        <v>600</v>
      </c>
      <c r="L1127" s="78">
        <v>46142</v>
      </c>
      <c r="M1127" s="103"/>
      <c r="N1127" s="93" t="s">
        <v>617</v>
      </c>
      <c r="O1127" s="94">
        <v>46141</v>
      </c>
      <c r="P1127" s="104">
        <f t="shared" si="148"/>
        <v>600</v>
      </c>
      <c r="Q1127" s="104">
        <f t="shared" si="149"/>
        <v>600</v>
      </c>
      <c r="R1127" s="104"/>
      <c r="S1127" s="93" t="s">
        <v>618</v>
      </c>
      <c r="T1127" s="94">
        <v>46156</v>
      </c>
      <c r="U1127" s="104">
        <f t="shared" si="150"/>
        <v>600</v>
      </c>
      <c r="V1127" s="104">
        <f t="shared" si="151"/>
        <v>1</v>
      </c>
      <c r="W1127" s="103">
        <f t="shared" si="152"/>
        <v>600</v>
      </c>
      <c r="X1127" s="93" t="s">
        <v>89</v>
      </c>
      <c r="Y1127" s="105" t="s">
        <v>84</v>
      </c>
      <c r="Z1127" s="105" t="s">
        <v>619</v>
      </c>
    </row>
    <row r="1128" spans="1:26" s="105" customFormat="1" ht="15" customHeight="1">
      <c r="A1128" s="99">
        <f t="shared" si="153"/>
        <v>1126</v>
      </c>
      <c r="B1128" s="75" t="s">
        <v>772</v>
      </c>
      <c r="C1128" s="100" t="str">
        <f>IF($B1128&lt;&gt;"",_xlfn.IFNA(VLOOKUP($B1128,'Node Details'!$B:$U,C$1,0),"Check"),"")</f>
        <v>000000CM3-0000CM325</v>
      </c>
      <c r="D1128" s="100" t="str">
        <f>IF($B1128&lt;&gt;"",_xlfn.IFNA(VLOOKUP($B1128,'Node Details'!$B:$U,D$1,0),"Check"),"")</f>
        <v>CM3</v>
      </c>
      <c r="E1128" s="100" t="str">
        <f>IF($B1128&lt;&gt;"",_xlfn.IFNA(VLOOKUP($B1128,'Node Details'!$B:$U,E$1,0),"Check"),"")</f>
        <v>Airtel</v>
      </c>
      <c r="F1128" s="101">
        <v>46149</v>
      </c>
      <c r="G1128" s="103"/>
      <c r="H1128" s="102" t="s">
        <v>1255</v>
      </c>
      <c r="I1128" s="9">
        <v>1</v>
      </c>
      <c r="J1128" s="9">
        <v>600</v>
      </c>
      <c r="K1128" s="100">
        <f t="shared" si="147"/>
        <v>600</v>
      </c>
      <c r="L1128" s="78">
        <v>46142</v>
      </c>
      <c r="M1128" s="103"/>
      <c r="N1128" s="93" t="s">
        <v>617</v>
      </c>
      <c r="O1128" s="94">
        <v>46141</v>
      </c>
      <c r="P1128" s="104">
        <f t="shared" si="148"/>
        <v>600</v>
      </c>
      <c r="Q1128" s="104">
        <f t="shared" si="149"/>
        <v>600</v>
      </c>
      <c r="R1128" s="104"/>
      <c r="S1128" s="93" t="s">
        <v>618</v>
      </c>
      <c r="T1128" s="94">
        <v>46156</v>
      </c>
      <c r="U1128" s="104">
        <f t="shared" si="150"/>
        <v>600</v>
      </c>
      <c r="V1128" s="104">
        <f t="shared" si="151"/>
        <v>1</v>
      </c>
      <c r="W1128" s="103">
        <f t="shared" si="152"/>
        <v>600</v>
      </c>
      <c r="X1128" s="93" t="s">
        <v>89</v>
      </c>
      <c r="Y1128" s="105" t="s">
        <v>84</v>
      </c>
      <c r="Z1128" s="105" t="s">
        <v>619</v>
      </c>
    </row>
    <row r="1129" spans="1:26" s="105" customFormat="1" ht="15" customHeight="1">
      <c r="A1129" s="99">
        <f t="shared" si="153"/>
        <v>1127</v>
      </c>
      <c r="B1129" s="75" t="s">
        <v>775</v>
      </c>
      <c r="C1129" s="100" t="str">
        <f>IF($B1129&lt;&gt;"",_xlfn.IFNA(VLOOKUP($B1129,'Node Details'!$B:$U,C$1,0),"Check"),"")</f>
        <v>000000CM3-0000CM325</v>
      </c>
      <c r="D1129" s="100" t="str">
        <f>IF($B1129&lt;&gt;"",_xlfn.IFNA(VLOOKUP($B1129,'Node Details'!$B:$U,D$1,0),"Check"),"")</f>
        <v>CM3</v>
      </c>
      <c r="E1129" s="100" t="str">
        <f>IF($B1129&lt;&gt;"",_xlfn.IFNA(VLOOKUP($B1129,'Node Details'!$B:$U,E$1,0),"Check"),"")</f>
        <v>Airtel</v>
      </c>
      <c r="F1129" s="101">
        <v>46149</v>
      </c>
      <c r="G1129" s="103"/>
      <c r="H1129" s="102" t="s">
        <v>1255</v>
      </c>
      <c r="I1129" s="9">
        <v>1</v>
      </c>
      <c r="J1129" s="9">
        <v>600</v>
      </c>
      <c r="K1129" s="100">
        <f t="shared" si="147"/>
        <v>600</v>
      </c>
      <c r="L1129" s="78">
        <v>46142</v>
      </c>
      <c r="M1129" s="103"/>
      <c r="N1129" s="93" t="s">
        <v>617</v>
      </c>
      <c r="O1129" s="94">
        <v>46141</v>
      </c>
      <c r="P1129" s="104">
        <f t="shared" si="148"/>
        <v>600</v>
      </c>
      <c r="Q1129" s="104">
        <f t="shared" si="149"/>
        <v>600</v>
      </c>
      <c r="R1129" s="104"/>
      <c r="S1129" s="93" t="s">
        <v>618</v>
      </c>
      <c r="T1129" s="94">
        <v>46156</v>
      </c>
      <c r="U1129" s="104">
        <f t="shared" si="150"/>
        <v>600</v>
      </c>
      <c r="V1129" s="104">
        <f t="shared" si="151"/>
        <v>1</v>
      </c>
      <c r="W1129" s="103">
        <f t="shared" si="152"/>
        <v>600</v>
      </c>
      <c r="X1129" s="93" t="s">
        <v>89</v>
      </c>
      <c r="Y1129" s="105" t="s">
        <v>84</v>
      </c>
      <c r="Z1129" s="105" t="s">
        <v>619</v>
      </c>
    </row>
    <row r="1130" spans="1:26" s="105" customFormat="1" ht="15" customHeight="1">
      <c r="A1130" s="99">
        <f t="shared" si="153"/>
        <v>1128</v>
      </c>
      <c r="B1130" s="75" t="s">
        <v>783</v>
      </c>
      <c r="C1130" s="100" t="str">
        <f>IF($B1130&lt;&gt;"",_xlfn.IFNA(VLOOKUP($B1130,'Node Details'!$B:$U,C$1,0),"Check"),"")</f>
        <v>000000CM3-0000CM325</v>
      </c>
      <c r="D1130" s="100" t="str">
        <f>IF($B1130&lt;&gt;"",_xlfn.IFNA(VLOOKUP($B1130,'Node Details'!$B:$U,D$1,0),"Check"),"")</f>
        <v>CM3</v>
      </c>
      <c r="E1130" s="100" t="str">
        <f>IF($B1130&lt;&gt;"",_xlfn.IFNA(VLOOKUP($B1130,'Node Details'!$B:$U,E$1,0),"Check"),"")</f>
        <v>Airtel</v>
      </c>
      <c r="F1130" s="101">
        <v>46149</v>
      </c>
      <c r="G1130" s="103"/>
      <c r="H1130" s="102" t="s">
        <v>1255</v>
      </c>
      <c r="I1130" s="9">
        <v>1</v>
      </c>
      <c r="J1130" s="9">
        <v>600</v>
      </c>
      <c r="K1130" s="100">
        <f t="shared" si="147"/>
        <v>600</v>
      </c>
      <c r="L1130" s="78">
        <v>46142</v>
      </c>
      <c r="M1130" s="103"/>
      <c r="N1130" s="93" t="s">
        <v>617</v>
      </c>
      <c r="O1130" s="94">
        <v>46141</v>
      </c>
      <c r="P1130" s="104">
        <f t="shared" si="148"/>
        <v>600</v>
      </c>
      <c r="Q1130" s="104">
        <f t="shared" si="149"/>
        <v>600</v>
      </c>
      <c r="R1130" s="104"/>
      <c r="S1130" s="93" t="s">
        <v>618</v>
      </c>
      <c r="T1130" s="94">
        <v>46156</v>
      </c>
      <c r="U1130" s="104">
        <f t="shared" si="150"/>
        <v>600</v>
      </c>
      <c r="V1130" s="104">
        <f t="shared" si="151"/>
        <v>1</v>
      </c>
      <c r="W1130" s="103">
        <f t="shared" si="152"/>
        <v>600</v>
      </c>
      <c r="X1130" s="93" t="s">
        <v>89</v>
      </c>
      <c r="Y1130" s="105" t="s">
        <v>84</v>
      </c>
      <c r="Z1130" s="105" t="s">
        <v>619</v>
      </c>
    </row>
    <row r="1131" spans="1:26" s="105" customFormat="1" ht="15" customHeight="1">
      <c r="A1131" s="99">
        <f t="shared" si="153"/>
        <v>1129</v>
      </c>
      <c r="B1131" s="75" t="s">
        <v>790</v>
      </c>
      <c r="C1131" s="100" t="str">
        <f>IF($B1131&lt;&gt;"",_xlfn.IFNA(VLOOKUP($B1131,'Node Details'!$B:$U,C$1,0),"Check"),"")</f>
        <v>000000CM3-0000CM325</v>
      </c>
      <c r="D1131" s="100" t="str">
        <f>IF($B1131&lt;&gt;"",_xlfn.IFNA(VLOOKUP($B1131,'Node Details'!$B:$U,D$1,0),"Check"),"")</f>
        <v>CM3</v>
      </c>
      <c r="E1131" s="100" t="str">
        <f>IF($B1131&lt;&gt;"",_xlfn.IFNA(VLOOKUP($B1131,'Node Details'!$B:$U,E$1,0),"Check"),"")</f>
        <v>Airtel</v>
      </c>
      <c r="F1131" s="101">
        <v>46149</v>
      </c>
      <c r="G1131" s="103"/>
      <c r="H1131" s="102" t="s">
        <v>1255</v>
      </c>
      <c r="I1131" s="9">
        <v>1</v>
      </c>
      <c r="J1131" s="9">
        <v>600</v>
      </c>
      <c r="K1131" s="100">
        <f t="shared" si="147"/>
        <v>600</v>
      </c>
      <c r="L1131" s="78">
        <v>46142</v>
      </c>
      <c r="M1131" s="103"/>
      <c r="N1131" s="93" t="s">
        <v>617</v>
      </c>
      <c r="O1131" s="94">
        <v>46141</v>
      </c>
      <c r="P1131" s="104">
        <f t="shared" si="148"/>
        <v>600</v>
      </c>
      <c r="Q1131" s="104">
        <f t="shared" si="149"/>
        <v>600</v>
      </c>
      <c r="R1131" s="104"/>
      <c r="S1131" s="93" t="s">
        <v>618</v>
      </c>
      <c r="T1131" s="94">
        <v>46156</v>
      </c>
      <c r="U1131" s="104">
        <f t="shared" si="150"/>
        <v>600</v>
      </c>
      <c r="V1131" s="104">
        <f t="shared" si="151"/>
        <v>1</v>
      </c>
      <c r="W1131" s="103">
        <f t="shared" si="152"/>
        <v>600</v>
      </c>
      <c r="X1131" s="93" t="s">
        <v>89</v>
      </c>
      <c r="Y1131" s="105" t="s">
        <v>84</v>
      </c>
      <c r="Z1131" s="105" t="s">
        <v>619</v>
      </c>
    </row>
    <row r="1132" spans="1:26" s="105" customFormat="1" ht="15" customHeight="1">
      <c r="A1132" s="99">
        <f t="shared" si="153"/>
        <v>1130</v>
      </c>
      <c r="B1132" s="75" t="s">
        <v>621</v>
      </c>
      <c r="C1132" s="100" t="str">
        <f>IF($B1132&lt;&gt;"",_xlfn.IFNA(VLOOKUP($B1132,'Node Details'!$B:$U,C$1,0),"Check"),"")</f>
        <v>000000CM3-0000CM325</v>
      </c>
      <c r="D1132" s="100" t="str">
        <f>IF($B1132&lt;&gt;"",_xlfn.IFNA(VLOOKUP($B1132,'Node Details'!$B:$U,D$1,0),"Check"),"")</f>
        <v>CM3</v>
      </c>
      <c r="E1132" s="100" t="str">
        <f>IF($B1132&lt;&gt;"",_xlfn.IFNA(VLOOKUP($B1132,'Node Details'!$B:$U,E$1,0),"Check"),"")</f>
        <v>Airtel</v>
      </c>
      <c r="F1132" s="101">
        <v>46149</v>
      </c>
      <c r="G1132" s="103"/>
      <c r="H1132" s="102" t="s">
        <v>1255</v>
      </c>
      <c r="I1132" s="9">
        <v>1</v>
      </c>
      <c r="J1132" s="9">
        <v>600</v>
      </c>
      <c r="K1132" s="100">
        <f t="shared" si="147"/>
        <v>600</v>
      </c>
      <c r="L1132" s="78">
        <v>46142</v>
      </c>
      <c r="M1132" s="103"/>
      <c r="N1132" s="93" t="s">
        <v>617</v>
      </c>
      <c r="O1132" s="94">
        <v>46141</v>
      </c>
      <c r="P1132" s="104">
        <f t="shared" si="148"/>
        <v>600</v>
      </c>
      <c r="Q1132" s="104">
        <f t="shared" si="149"/>
        <v>600</v>
      </c>
      <c r="R1132" s="104"/>
      <c r="S1132" s="93" t="s">
        <v>618</v>
      </c>
      <c r="T1132" s="94">
        <v>46156</v>
      </c>
      <c r="U1132" s="104">
        <f t="shared" si="150"/>
        <v>600</v>
      </c>
      <c r="V1132" s="104">
        <f t="shared" si="151"/>
        <v>1</v>
      </c>
      <c r="W1132" s="103">
        <f t="shared" si="152"/>
        <v>600</v>
      </c>
      <c r="X1132" s="93" t="s">
        <v>89</v>
      </c>
      <c r="Y1132" s="105" t="s">
        <v>84</v>
      </c>
      <c r="Z1132" s="105" t="s">
        <v>619</v>
      </c>
    </row>
    <row r="1133" spans="1:26" s="105" customFormat="1" ht="15" customHeight="1">
      <c r="A1133" s="99">
        <f t="shared" si="153"/>
        <v>1131</v>
      </c>
      <c r="B1133" s="75" t="s">
        <v>637</v>
      </c>
      <c r="C1133" s="100" t="str">
        <f>IF($B1133&lt;&gt;"",_xlfn.IFNA(VLOOKUP($B1133,'Node Details'!$B:$U,C$1,0),"Check"),"")</f>
        <v>000000CM3-0000CM310</v>
      </c>
      <c r="D1133" s="100" t="str">
        <f>IF($B1133&lt;&gt;"",_xlfn.IFNA(VLOOKUP($B1133,'Node Details'!$B:$U,D$1,0),"Check"),"")</f>
        <v>CM3</v>
      </c>
      <c r="E1133" s="100" t="str">
        <f>IF($B1133&lt;&gt;"",_xlfn.IFNA(VLOOKUP($B1133,'Node Details'!$B:$U,E$1,0),"Check"),"")</f>
        <v>Airtel</v>
      </c>
      <c r="F1133" s="101">
        <v>46149</v>
      </c>
      <c r="G1133" s="103"/>
      <c r="H1133" s="102" t="s">
        <v>1256</v>
      </c>
      <c r="I1133" s="9">
        <v>1</v>
      </c>
      <c r="J1133" s="9">
        <v>48</v>
      </c>
      <c r="K1133" s="100">
        <f t="shared" si="147"/>
        <v>48</v>
      </c>
      <c r="L1133" s="78">
        <v>46142</v>
      </c>
      <c r="M1133" s="103"/>
      <c r="N1133" s="93" t="s">
        <v>617</v>
      </c>
      <c r="O1133" s="94">
        <v>46141</v>
      </c>
      <c r="P1133" s="104">
        <f t="shared" si="148"/>
        <v>48</v>
      </c>
      <c r="Q1133" s="104">
        <f t="shared" si="149"/>
        <v>48</v>
      </c>
      <c r="R1133" s="104"/>
      <c r="S1133" s="93" t="s">
        <v>618</v>
      </c>
      <c r="T1133" s="94">
        <v>46156</v>
      </c>
      <c r="U1133" s="104">
        <f t="shared" si="150"/>
        <v>48</v>
      </c>
      <c r="V1133" s="104">
        <f t="shared" si="151"/>
        <v>1</v>
      </c>
      <c r="W1133" s="103">
        <f t="shared" si="152"/>
        <v>48</v>
      </c>
      <c r="X1133" s="93" t="s">
        <v>89</v>
      </c>
      <c r="Y1133" s="105" t="s">
        <v>84</v>
      </c>
      <c r="Z1133" s="105" t="s">
        <v>619</v>
      </c>
    </row>
    <row r="1134" spans="1:26" s="105" customFormat="1" ht="15" customHeight="1">
      <c r="A1134" s="99">
        <f t="shared" si="153"/>
        <v>1132</v>
      </c>
      <c r="B1134" s="75" t="s">
        <v>638</v>
      </c>
      <c r="C1134" s="100" t="str">
        <f>IF($B1134&lt;&gt;"",_xlfn.IFNA(VLOOKUP($B1134,'Node Details'!$B:$U,C$1,0),"Check"),"")</f>
        <v>0000CM301-CM3010102</v>
      </c>
      <c r="D1134" s="100" t="str">
        <f>IF($B1134&lt;&gt;"",_xlfn.IFNA(VLOOKUP($B1134,'Node Details'!$B:$U,D$1,0),"Check"),"")</f>
        <v>CM3</v>
      </c>
      <c r="E1134" s="100" t="str">
        <f>IF($B1134&lt;&gt;"",_xlfn.IFNA(VLOOKUP($B1134,'Node Details'!$B:$U,E$1,0),"Check"),"")</f>
        <v>Airtel</v>
      </c>
      <c r="F1134" s="101">
        <v>46149</v>
      </c>
      <c r="G1134" s="103"/>
      <c r="H1134" s="102" t="s">
        <v>1256</v>
      </c>
      <c r="I1134" s="9">
        <v>1</v>
      </c>
      <c r="J1134" s="9">
        <v>48</v>
      </c>
      <c r="K1134" s="100">
        <f t="shared" si="147"/>
        <v>48</v>
      </c>
      <c r="L1134" s="78">
        <v>46142</v>
      </c>
      <c r="M1134" s="103"/>
      <c r="N1134" s="93" t="s">
        <v>617</v>
      </c>
      <c r="O1134" s="94">
        <v>46141</v>
      </c>
      <c r="P1134" s="104">
        <f t="shared" si="148"/>
        <v>48</v>
      </c>
      <c r="Q1134" s="104">
        <f t="shared" si="149"/>
        <v>48</v>
      </c>
      <c r="R1134" s="104"/>
      <c r="S1134" s="93" t="s">
        <v>618</v>
      </c>
      <c r="T1134" s="94">
        <v>46156</v>
      </c>
      <c r="U1134" s="104">
        <f t="shared" si="150"/>
        <v>48</v>
      </c>
      <c r="V1134" s="104">
        <f t="shared" si="151"/>
        <v>1</v>
      </c>
      <c r="W1134" s="103">
        <f t="shared" si="152"/>
        <v>48</v>
      </c>
      <c r="X1134" s="93" t="s">
        <v>89</v>
      </c>
      <c r="Y1134" s="105" t="s">
        <v>84</v>
      </c>
      <c r="Z1134" s="105" t="s">
        <v>619</v>
      </c>
    </row>
    <row r="1135" spans="1:26" s="105" customFormat="1" ht="15" customHeight="1">
      <c r="A1135" s="99">
        <f t="shared" si="153"/>
        <v>1133</v>
      </c>
      <c r="B1135" s="75" t="s">
        <v>640</v>
      </c>
      <c r="C1135" s="100" t="str">
        <f>IF($B1135&lt;&gt;"",_xlfn.IFNA(VLOOKUP($B1135,'Node Details'!$B:$U,C$1,0),"Check"),"")</f>
        <v>0000CM301-CM3010101</v>
      </c>
      <c r="D1135" s="100" t="str">
        <f>IF($B1135&lt;&gt;"",_xlfn.IFNA(VLOOKUP($B1135,'Node Details'!$B:$U,D$1,0),"Check"),"")</f>
        <v>CM3</v>
      </c>
      <c r="E1135" s="100" t="str">
        <f>IF($B1135&lt;&gt;"",_xlfn.IFNA(VLOOKUP($B1135,'Node Details'!$B:$U,E$1,0),"Check"),"")</f>
        <v>Airtel</v>
      </c>
      <c r="F1135" s="101">
        <v>46149</v>
      </c>
      <c r="G1135" s="103"/>
      <c r="H1135" s="102" t="s">
        <v>1256</v>
      </c>
      <c r="I1135" s="9">
        <v>1</v>
      </c>
      <c r="J1135" s="9">
        <v>48</v>
      </c>
      <c r="K1135" s="100">
        <f t="shared" si="147"/>
        <v>48</v>
      </c>
      <c r="L1135" s="78">
        <v>46142</v>
      </c>
      <c r="M1135" s="103"/>
      <c r="N1135" s="93" t="s">
        <v>617</v>
      </c>
      <c r="O1135" s="94">
        <v>46141</v>
      </c>
      <c r="P1135" s="104">
        <f t="shared" si="148"/>
        <v>48</v>
      </c>
      <c r="Q1135" s="104">
        <f t="shared" si="149"/>
        <v>48</v>
      </c>
      <c r="R1135" s="104"/>
      <c r="S1135" s="93" t="s">
        <v>618</v>
      </c>
      <c r="T1135" s="94">
        <v>46156</v>
      </c>
      <c r="U1135" s="104">
        <f t="shared" si="150"/>
        <v>48</v>
      </c>
      <c r="V1135" s="104">
        <f t="shared" si="151"/>
        <v>1</v>
      </c>
      <c r="W1135" s="103">
        <f t="shared" si="152"/>
        <v>48</v>
      </c>
      <c r="X1135" s="93" t="s">
        <v>89</v>
      </c>
      <c r="Y1135" s="105" t="s">
        <v>84</v>
      </c>
      <c r="Z1135" s="105" t="s">
        <v>619</v>
      </c>
    </row>
    <row r="1136" spans="1:26" s="105" customFormat="1" ht="15" customHeight="1">
      <c r="A1136" s="99">
        <f t="shared" si="153"/>
        <v>1134</v>
      </c>
      <c r="B1136" s="75" t="s">
        <v>1129</v>
      </c>
      <c r="C1136" s="100" t="str">
        <f>IF($B1136&lt;&gt;"",_xlfn.IFNA(VLOOKUP($B1136,'Node Details'!$B:$U,C$1,0),"Check"),"")</f>
        <v>0000CM301-CM3010106</v>
      </c>
      <c r="D1136" s="100" t="str">
        <f>IF($B1136&lt;&gt;"",_xlfn.IFNA(VLOOKUP($B1136,'Node Details'!$B:$U,D$1,0),"Check"),"")</f>
        <v>CM3</v>
      </c>
      <c r="E1136" s="100" t="str">
        <f>IF($B1136&lt;&gt;"",_xlfn.IFNA(VLOOKUP($B1136,'Node Details'!$B:$U,E$1,0),"Check"),"")</f>
        <v>Airtel</v>
      </c>
      <c r="F1136" s="101">
        <v>46149</v>
      </c>
      <c r="G1136" s="103"/>
      <c r="H1136" s="102" t="s">
        <v>1256</v>
      </c>
      <c r="I1136" s="9">
        <v>1</v>
      </c>
      <c r="J1136" s="9">
        <v>48</v>
      </c>
      <c r="K1136" s="100">
        <f t="shared" si="147"/>
        <v>48</v>
      </c>
      <c r="L1136" s="78">
        <v>46142</v>
      </c>
      <c r="M1136" s="103"/>
      <c r="N1136" s="93" t="s">
        <v>617</v>
      </c>
      <c r="O1136" s="94">
        <v>46141</v>
      </c>
      <c r="P1136" s="104">
        <f t="shared" si="148"/>
        <v>48</v>
      </c>
      <c r="Q1136" s="104">
        <f t="shared" si="149"/>
        <v>48</v>
      </c>
      <c r="R1136" s="104"/>
      <c r="S1136" s="93" t="s">
        <v>618</v>
      </c>
      <c r="T1136" s="94">
        <v>46156</v>
      </c>
      <c r="U1136" s="104">
        <f t="shared" si="150"/>
        <v>48</v>
      </c>
      <c r="V1136" s="104">
        <f t="shared" si="151"/>
        <v>1</v>
      </c>
      <c r="W1136" s="103">
        <f t="shared" si="152"/>
        <v>48</v>
      </c>
      <c r="X1136" s="93" t="s">
        <v>89</v>
      </c>
      <c r="Y1136" s="105" t="s">
        <v>84</v>
      </c>
      <c r="Z1136" s="105" t="s">
        <v>619</v>
      </c>
    </row>
    <row r="1137" spans="1:26" s="105" customFormat="1" ht="15" customHeight="1">
      <c r="A1137" s="99">
        <f t="shared" si="153"/>
        <v>1135</v>
      </c>
      <c r="B1137" s="75" t="s">
        <v>1130</v>
      </c>
      <c r="C1137" s="100" t="str">
        <f>IF($B1137&lt;&gt;"",_xlfn.IFNA(VLOOKUP($B1137,'Node Details'!$B:$U,C$1,0),"Check"),"")</f>
        <v>0000CM301-CM3010106</v>
      </c>
      <c r="D1137" s="100" t="str">
        <f>IF($B1137&lt;&gt;"",_xlfn.IFNA(VLOOKUP($B1137,'Node Details'!$B:$U,D$1,0),"Check"),"")</f>
        <v>CM3</v>
      </c>
      <c r="E1137" s="100" t="str">
        <f>IF($B1137&lt;&gt;"",_xlfn.IFNA(VLOOKUP($B1137,'Node Details'!$B:$U,E$1,0),"Check"),"")</f>
        <v>Airtel</v>
      </c>
      <c r="F1137" s="101">
        <v>46149</v>
      </c>
      <c r="G1137" s="103"/>
      <c r="H1137" s="102" t="s">
        <v>1256</v>
      </c>
      <c r="I1137" s="9">
        <v>1</v>
      </c>
      <c r="J1137" s="9">
        <v>48</v>
      </c>
      <c r="K1137" s="100">
        <f t="shared" si="147"/>
        <v>48</v>
      </c>
      <c r="L1137" s="78">
        <v>46142</v>
      </c>
      <c r="M1137" s="103"/>
      <c r="N1137" s="93" t="s">
        <v>617</v>
      </c>
      <c r="O1137" s="94">
        <v>46141</v>
      </c>
      <c r="P1137" s="104">
        <f t="shared" si="148"/>
        <v>48</v>
      </c>
      <c r="Q1137" s="104">
        <f t="shared" si="149"/>
        <v>48</v>
      </c>
      <c r="R1137" s="104"/>
      <c r="S1137" s="93" t="s">
        <v>618</v>
      </c>
      <c r="T1137" s="94">
        <v>46156</v>
      </c>
      <c r="U1137" s="104">
        <f t="shared" si="150"/>
        <v>48</v>
      </c>
      <c r="V1137" s="104">
        <f t="shared" si="151"/>
        <v>1</v>
      </c>
      <c r="W1137" s="103">
        <f t="shared" si="152"/>
        <v>48</v>
      </c>
      <c r="X1137" s="93" t="s">
        <v>89</v>
      </c>
      <c r="Y1137" s="105" t="s">
        <v>84</v>
      </c>
      <c r="Z1137" s="105" t="s">
        <v>619</v>
      </c>
    </row>
    <row r="1138" spans="1:26" s="105" customFormat="1" ht="15" customHeight="1">
      <c r="A1138" s="99">
        <f t="shared" si="153"/>
        <v>1136</v>
      </c>
      <c r="B1138" s="75" t="s">
        <v>1131</v>
      </c>
      <c r="C1138" s="100" t="str">
        <f>IF($B1138&lt;&gt;"",_xlfn.IFNA(VLOOKUP($B1138,'Node Details'!$B:$U,C$1,0),"Check"),"")</f>
        <v>0000CM301-CM3010106</v>
      </c>
      <c r="D1138" s="100" t="str">
        <f>IF($B1138&lt;&gt;"",_xlfn.IFNA(VLOOKUP($B1138,'Node Details'!$B:$U,D$1,0),"Check"),"")</f>
        <v>CM3</v>
      </c>
      <c r="E1138" s="100" t="str">
        <f>IF($B1138&lt;&gt;"",_xlfn.IFNA(VLOOKUP($B1138,'Node Details'!$B:$U,E$1,0),"Check"),"")</f>
        <v>Airtel</v>
      </c>
      <c r="F1138" s="101">
        <v>46149</v>
      </c>
      <c r="G1138" s="103"/>
      <c r="H1138" s="102" t="s">
        <v>1256</v>
      </c>
      <c r="I1138" s="9">
        <v>1</v>
      </c>
      <c r="J1138" s="9">
        <v>48</v>
      </c>
      <c r="K1138" s="100">
        <f t="shared" si="147"/>
        <v>48</v>
      </c>
      <c r="L1138" s="78">
        <v>46142</v>
      </c>
      <c r="M1138" s="103"/>
      <c r="N1138" s="93" t="s">
        <v>617</v>
      </c>
      <c r="O1138" s="94">
        <v>46141</v>
      </c>
      <c r="P1138" s="104">
        <f t="shared" si="148"/>
        <v>48</v>
      </c>
      <c r="Q1138" s="104">
        <f t="shared" si="149"/>
        <v>48</v>
      </c>
      <c r="R1138" s="104"/>
      <c r="S1138" s="93" t="s">
        <v>618</v>
      </c>
      <c r="T1138" s="94">
        <v>46156</v>
      </c>
      <c r="U1138" s="104">
        <f t="shared" si="150"/>
        <v>48</v>
      </c>
      <c r="V1138" s="104">
        <f t="shared" si="151"/>
        <v>1</v>
      </c>
      <c r="W1138" s="103">
        <f t="shared" si="152"/>
        <v>48</v>
      </c>
      <c r="X1138" s="93" t="s">
        <v>89</v>
      </c>
      <c r="Y1138" s="105" t="s">
        <v>84</v>
      </c>
      <c r="Z1138" s="105" t="s">
        <v>619</v>
      </c>
    </row>
    <row r="1139" spans="1:26" s="105" customFormat="1" ht="15" customHeight="1">
      <c r="A1139" s="99">
        <f t="shared" si="153"/>
        <v>1137</v>
      </c>
      <c r="B1139" s="75" t="s">
        <v>642</v>
      </c>
      <c r="C1139" s="100" t="str">
        <f>IF($B1139&lt;&gt;"",_xlfn.IFNA(VLOOKUP($B1139,'Node Details'!$B:$U,C$1,0),"Check"),"")</f>
        <v>0000CM301-CM3010106</v>
      </c>
      <c r="D1139" s="100" t="str">
        <f>IF($B1139&lt;&gt;"",_xlfn.IFNA(VLOOKUP($B1139,'Node Details'!$B:$U,D$1,0),"Check"),"")</f>
        <v>CM3</v>
      </c>
      <c r="E1139" s="100" t="str">
        <f>IF($B1139&lt;&gt;"",_xlfn.IFNA(VLOOKUP($B1139,'Node Details'!$B:$U,E$1,0),"Check"),"")</f>
        <v>Airtel</v>
      </c>
      <c r="F1139" s="101">
        <v>46149</v>
      </c>
      <c r="G1139" s="103"/>
      <c r="H1139" s="102" t="s">
        <v>1256</v>
      </c>
      <c r="I1139" s="9">
        <v>1</v>
      </c>
      <c r="J1139" s="9">
        <v>48</v>
      </c>
      <c r="K1139" s="100">
        <f t="shared" si="147"/>
        <v>48</v>
      </c>
      <c r="L1139" s="78">
        <v>46142</v>
      </c>
      <c r="M1139" s="103"/>
      <c r="N1139" s="93" t="s">
        <v>617</v>
      </c>
      <c r="O1139" s="94">
        <v>46141</v>
      </c>
      <c r="P1139" s="104">
        <f t="shared" si="148"/>
        <v>48</v>
      </c>
      <c r="Q1139" s="104">
        <f t="shared" si="149"/>
        <v>48</v>
      </c>
      <c r="R1139" s="104"/>
      <c r="S1139" s="93" t="s">
        <v>618</v>
      </c>
      <c r="T1139" s="94">
        <v>46156</v>
      </c>
      <c r="U1139" s="104">
        <f t="shared" si="150"/>
        <v>48</v>
      </c>
      <c r="V1139" s="104">
        <f t="shared" si="151"/>
        <v>1</v>
      </c>
      <c r="W1139" s="103">
        <f t="shared" si="152"/>
        <v>48</v>
      </c>
      <c r="X1139" s="93" t="s">
        <v>89</v>
      </c>
      <c r="Y1139" s="105" t="s">
        <v>84</v>
      </c>
      <c r="Z1139" s="105" t="s">
        <v>619</v>
      </c>
    </row>
    <row r="1140" spans="1:26" s="105" customFormat="1" ht="15" customHeight="1">
      <c r="A1140" s="99">
        <f t="shared" si="153"/>
        <v>1138</v>
      </c>
      <c r="B1140" s="75" t="s">
        <v>644</v>
      </c>
      <c r="C1140" s="100" t="str">
        <f>IF($B1140&lt;&gt;"",_xlfn.IFNA(VLOOKUP($B1140,'Node Details'!$B:$U,C$1,0),"Check"),"")</f>
        <v>000000CM3-0000CM310</v>
      </c>
      <c r="D1140" s="100" t="str">
        <f>IF($B1140&lt;&gt;"",_xlfn.IFNA(VLOOKUP($B1140,'Node Details'!$B:$U,D$1,0),"Check"),"")</f>
        <v>CM3</v>
      </c>
      <c r="E1140" s="100" t="str">
        <f>IF($B1140&lt;&gt;"",_xlfn.IFNA(VLOOKUP($B1140,'Node Details'!$B:$U,E$1,0),"Check"),"")</f>
        <v>Airtel</v>
      </c>
      <c r="F1140" s="101">
        <v>46149</v>
      </c>
      <c r="G1140" s="103"/>
      <c r="H1140" s="102" t="s">
        <v>1256</v>
      </c>
      <c r="I1140" s="9">
        <v>1</v>
      </c>
      <c r="J1140" s="9">
        <v>48</v>
      </c>
      <c r="K1140" s="100">
        <f t="shared" si="147"/>
        <v>48</v>
      </c>
      <c r="L1140" s="78">
        <v>46142</v>
      </c>
      <c r="M1140" s="103"/>
      <c r="N1140" s="93" t="s">
        <v>617</v>
      </c>
      <c r="O1140" s="94">
        <v>46141</v>
      </c>
      <c r="P1140" s="104">
        <f t="shared" si="148"/>
        <v>48</v>
      </c>
      <c r="Q1140" s="104">
        <f t="shared" si="149"/>
        <v>48</v>
      </c>
      <c r="R1140" s="104"/>
      <c r="S1140" s="93" t="s">
        <v>618</v>
      </c>
      <c r="T1140" s="94">
        <v>46156</v>
      </c>
      <c r="U1140" s="104">
        <f t="shared" si="150"/>
        <v>48</v>
      </c>
      <c r="V1140" s="104">
        <f t="shared" si="151"/>
        <v>1</v>
      </c>
      <c r="W1140" s="103">
        <f t="shared" si="152"/>
        <v>48</v>
      </c>
      <c r="X1140" s="93" t="s">
        <v>89</v>
      </c>
      <c r="Y1140" s="105" t="s">
        <v>84</v>
      </c>
      <c r="Z1140" s="105" t="s">
        <v>619</v>
      </c>
    </row>
    <row r="1141" spans="1:26" s="105" customFormat="1" ht="15" customHeight="1">
      <c r="A1141" s="99">
        <f t="shared" si="153"/>
        <v>1139</v>
      </c>
      <c r="B1141" s="75" t="s">
        <v>645</v>
      </c>
      <c r="C1141" s="100" t="str">
        <f>IF($B1141&lt;&gt;"",_xlfn.IFNA(VLOOKUP($B1141,'Node Details'!$B:$U,C$1,0),"Check"),"")</f>
        <v>0000CM302-CM3020101</v>
      </c>
      <c r="D1141" s="100" t="str">
        <f>IF($B1141&lt;&gt;"",_xlfn.IFNA(VLOOKUP($B1141,'Node Details'!$B:$U,D$1,0),"Check"),"")</f>
        <v>CM3</v>
      </c>
      <c r="E1141" s="100" t="str">
        <f>IF($B1141&lt;&gt;"",_xlfn.IFNA(VLOOKUP($B1141,'Node Details'!$B:$U,E$1,0),"Check"),"")</f>
        <v>Airtel</v>
      </c>
      <c r="F1141" s="101">
        <v>46149</v>
      </c>
      <c r="G1141" s="103"/>
      <c r="H1141" s="102" t="s">
        <v>1256</v>
      </c>
      <c r="I1141" s="9">
        <v>1</v>
      </c>
      <c r="J1141" s="9">
        <v>48</v>
      </c>
      <c r="K1141" s="100">
        <f t="shared" si="147"/>
        <v>48</v>
      </c>
      <c r="L1141" s="78">
        <v>46142</v>
      </c>
      <c r="M1141" s="103"/>
      <c r="N1141" s="93" t="s">
        <v>617</v>
      </c>
      <c r="O1141" s="94">
        <v>46141</v>
      </c>
      <c r="P1141" s="104">
        <f t="shared" si="148"/>
        <v>48</v>
      </c>
      <c r="Q1141" s="104">
        <f t="shared" si="149"/>
        <v>48</v>
      </c>
      <c r="R1141" s="104"/>
      <c r="S1141" s="93" t="s">
        <v>618</v>
      </c>
      <c r="T1141" s="94">
        <v>46156</v>
      </c>
      <c r="U1141" s="104">
        <f t="shared" si="150"/>
        <v>48</v>
      </c>
      <c r="V1141" s="104">
        <f t="shared" si="151"/>
        <v>1</v>
      </c>
      <c r="W1141" s="103">
        <f t="shared" si="152"/>
        <v>48</v>
      </c>
      <c r="X1141" s="93" t="s">
        <v>89</v>
      </c>
      <c r="Y1141" s="105" t="s">
        <v>84</v>
      </c>
      <c r="Z1141" s="105" t="s">
        <v>619</v>
      </c>
    </row>
    <row r="1142" spans="1:26" s="105" customFormat="1" ht="15" customHeight="1">
      <c r="A1142" s="99">
        <f t="shared" si="153"/>
        <v>1140</v>
      </c>
      <c r="B1142" s="75" t="s">
        <v>1132</v>
      </c>
      <c r="C1142" s="100" t="str">
        <f>IF($B1142&lt;&gt;"",_xlfn.IFNA(VLOOKUP($B1142,'Node Details'!$B:$U,C$1,0),"Check"),"")</f>
        <v>0000CM302-CM3020104</v>
      </c>
      <c r="D1142" s="100" t="str">
        <f>IF($B1142&lt;&gt;"",_xlfn.IFNA(VLOOKUP($B1142,'Node Details'!$B:$U,D$1,0),"Check"),"")</f>
        <v>CM3</v>
      </c>
      <c r="E1142" s="100" t="str">
        <f>IF($B1142&lt;&gt;"",_xlfn.IFNA(VLOOKUP($B1142,'Node Details'!$B:$U,E$1,0),"Check"),"")</f>
        <v>Airtel</v>
      </c>
      <c r="F1142" s="101">
        <v>46149</v>
      </c>
      <c r="G1142" s="103"/>
      <c r="H1142" s="102" t="s">
        <v>1256</v>
      </c>
      <c r="I1142" s="9">
        <v>1</v>
      </c>
      <c r="J1142" s="9">
        <v>48</v>
      </c>
      <c r="K1142" s="100">
        <f t="shared" si="147"/>
        <v>48</v>
      </c>
      <c r="L1142" s="78">
        <v>46142</v>
      </c>
      <c r="M1142" s="103"/>
      <c r="N1142" s="93" t="s">
        <v>617</v>
      </c>
      <c r="O1142" s="94">
        <v>46141</v>
      </c>
      <c r="P1142" s="104">
        <f t="shared" si="148"/>
        <v>48</v>
      </c>
      <c r="Q1142" s="104">
        <f t="shared" si="149"/>
        <v>48</v>
      </c>
      <c r="R1142" s="104"/>
      <c r="S1142" s="93" t="s">
        <v>618</v>
      </c>
      <c r="T1142" s="94">
        <v>46156</v>
      </c>
      <c r="U1142" s="104">
        <f t="shared" si="150"/>
        <v>48</v>
      </c>
      <c r="V1142" s="104">
        <f t="shared" si="151"/>
        <v>1</v>
      </c>
      <c r="W1142" s="103">
        <f t="shared" si="152"/>
        <v>48</v>
      </c>
      <c r="X1142" s="93" t="s">
        <v>89</v>
      </c>
      <c r="Y1142" s="105" t="s">
        <v>84</v>
      </c>
      <c r="Z1142" s="105" t="s">
        <v>619</v>
      </c>
    </row>
    <row r="1143" spans="1:26" s="105" customFormat="1" ht="15" customHeight="1">
      <c r="A1143" s="99">
        <f t="shared" si="153"/>
        <v>1141</v>
      </c>
      <c r="B1143" s="75" t="s">
        <v>1133</v>
      </c>
      <c r="C1143" s="100" t="str">
        <f>IF($B1143&lt;&gt;"",_xlfn.IFNA(VLOOKUP($B1143,'Node Details'!$B:$U,C$1,0),"Check"),"")</f>
        <v>0000CM302-CM3020104</v>
      </c>
      <c r="D1143" s="100" t="str">
        <f>IF($B1143&lt;&gt;"",_xlfn.IFNA(VLOOKUP($B1143,'Node Details'!$B:$U,D$1,0),"Check"),"")</f>
        <v>CM3</v>
      </c>
      <c r="E1143" s="100" t="str">
        <f>IF($B1143&lt;&gt;"",_xlfn.IFNA(VLOOKUP($B1143,'Node Details'!$B:$U,E$1,0),"Check"),"")</f>
        <v>Airtel</v>
      </c>
      <c r="F1143" s="101">
        <v>46149</v>
      </c>
      <c r="G1143" s="103"/>
      <c r="H1143" s="102" t="s">
        <v>1256</v>
      </c>
      <c r="I1143" s="9">
        <v>1</v>
      </c>
      <c r="J1143" s="9">
        <v>48</v>
      </c>
      <c r="K1143" s="100">
        <f t="shared" si="147"/>
        <v>48</v>
      </c>
      <c r="L1143" s="78">
        <v>46142</v>
      </c>
      <c r="M1143" s="103"/>
      <c r="N1143" s="93" t="s">
        <v>617</v>
      </c>
      <c r="O1143" s="94">
        <v>46141</v>
      </c>
      <c r="P1143" s="104">
        <f t="shared" si="148"/>
        <v>48</v>
      </c>
      <c r="Q1143" s="104">
        <f t="shared" si="149"/>
        <v>48</v>
      </c>
      <c r="R1143" s="104"/>
      <c r="S1143" s="93" t="s">
        <v>618</v>
      </c>
      <c r="T1143" s="94">
        <v>46156</v>
      </c>
      <c r="U1143" s="104">
        <f t="shared" si="150"/>
        <v>48</v>
      </c>
      <c r="V1143" s="104">
        <f t="shared" si="151"/>
        <v>1</v>
      </c>
      <c r="W1143" s="103">
        <f t="shared" si="152"/>
        <v>48</v>
      </c>
      <c r="X1143" s="93" t="s">
        <v>89</v>
      </c>
      <c r="Y1143" s="105" t="s">
        <v>84</v>
      </c>
      <c r="Z1143" s="105" t="s">
        <v>619</v>
      </c>
    </row>
    <row r="1144" spans="1:26" s="105" customFormat="1" ht="15" customHeight="1">
      <c r="A1144" s="99">
        <f t="shared" si="153"/>
        <v>1142</v>
      </c>
      <c r="B1144" s="75" t="s">
        <v>647</v>
      </c>
      <c r="C1144" s="100" t="str">
        <f>IF($B1144&lt;&gt;"",_xlfn.IFNA(VLOOKUP($B1144,'Node Details'!$B:$U,C$1,0),"Check"),"")</f>
        <v>0000CM302-CM3020104</v>
      </c>
      <c r="D1144" s="100" t="str">
        <f>IF($B1144&lt;&gt;"",_xlfn.IFNA(VLOOKUP($B1144,'Node Details'!$B:$U,D$1,0),"Check"),"")</f>
        <v>CM3</v>
      </c>
      <c r="E1144" s="100" t="str">
        <f>IF($B1144&lt;&gt;"",_xlfn.IFNA(VLOOKUP($B1144,'Node Details'!$B:$U,E$1,0),"Check"),"")</f>
        <v>Airtel</v>
      </c>
      <c r="F1144" s="101">
        <v>46149</v>
      </c>
      <c r="G1144" s="103"/>
      <c r="H1144" s="102" t="s">
        <v>1256</v>
      </c>
      <c r="I1144" s="9">
        <v>1</v>
      </c>
      <c r="J1144" s="9">
        <v>48</v>
      </c>
      <c r="K1144" s="100">
        <f t="shared" si="147"/>
        <v>48</v>
      </c>
      <c r="L1144" s="78">
        <v>46142</v>
      </c>
      <c r="M1144" s="103"/>
      <c r="N1144" s="93" t="s">
        <v>617</v>
      </c>
      <c r="O1144" s="94">
        <v>46141</v>
      </c>
      <c r="P1144" s="104">
        <f t="shared" si="148"/>
        <v>48</v>
      </c>
      <c r="Q1144" s="104">
        <f t="shared" si="149"/>
        <v>48</v>
      </c>
      <c r="R1144" s="104"/>
      <c r="S1144" s="93" t="s">
        <v>618</v>
      </c>
      <c r="T1144" s="94">
        <v>46156</v>
      </c>
      <c r="U1144" s="104">
        <f t="shared" si="150"/>
        <v>48</v>
      </c>
      <c r="V1144" s="104">
        <f t="shared" si="151"/>
        <v>1</v>
      </c>
      <c r="W1144" s="103">
        <f t="shared" si="152"/>
        <v>48</v>
      </c>
      <c r="X1144" s="93" t="s">
        <v>89</v>
      </c>
      <c r="Y1144" s="105" t="s">
        <v>84</v>
      </c>
      <c r="Z1144" s="105" t="s">
        <v>619</v>
      </c>
    </row>
    <row r="1145" spans="1:26" s="105" customFormat="1" ht="15" customHeight="1">
      <c r="A1145" s="99">
        <f t="shared" si="153"/>
        <v>1143</v>
      </c>
      <c r="B1145" s="75" t="s">
        <v>649</v>
      </c>
      <c r="C1145" s="100" t="str">
        <f>IF($B1145&lt;&gt;"",_xlfn.IFNA(VLOOKUP($B1145,'Node Details'!$B:$U,C$1,0),"Check"),"")</f>
        <v>000000CM3-0000CM310</v>
      </c>
      <c r="D1145" s="100" t="str">
        <f>IF($B1145&lt;&gt;"",_xlfn.IFNA(VLOOKUP($B1145,'Node Details'!$B:$U,D$1,0),"Check"),"")</f>
        <v>CM3</v>
      </c>
      <c r="E1145" s="100" t="str">
        <f>IF($B1145&lt;&gt;"",_xlfn.IFNA(VLOOKUP($B1145,'Node Details'!$B:$U,E$1,0),"Check"),"")</f>
        <v>Airtel</v>
      </c>
      <c r="F1145" s="101">
        <v>46149</v>
      </c>
      <c r="G1145" s="103"/>
      <c r="H1145" s="102" t="s">
        <v>1256</v>
      </c>
      <c r="I1145" s="9">
        <v>1</v>
      </c>
      <c r="J1145" s="9">
        <v>48</v>
      </c>
      <c r="K1145" s="100">
        <f t="shared" si="147"/>
        <v>48</v>
      </c>
      <c r="L1145" s="78">
        <v>46142</v>
      </c>
      <c r="M1145" s="103"/>
      <c r="N1145" s="93" t="s">
        <v>617</v>
      </c>
      <c r="O1145" s="94">
        <v>46141</v>
      </c>
      <c r="P1145" s="104">
        <f t="shared" si="148"/>
        <v>48</v>
      </c>
      <c r="Q1145" s="104">
        <f t="shared" si="149"/>
        <v>48</v>
      </c>
      <c r="R1145" s="104"/>
      <c r="S1145" s="93" t="s">
        <v>618</v>
      </c>
      <c r="T1145" s="94">
        <v>46156</v>
      </c>
      <c r="U1145" s="104">
        <f t="shared" si="150"/>
        <v>48</v>
      </c>
      <c r="V1145" s="104">
        <f t="shared" si="151"/>
        <v>1</v>
      </c>
      <c r="W1145" s="103">
        <f t="shared" si="152"/>
        <v>48</v>
      </c>
      <c r="X1145" s="93" t="s">
        <v>89</v>
      </c>
      <c r="Y1145" s="105" t="s">
        <v>84</v>
      </c>
      <c r="Z1145" s="105" t="s">
        <v>619</v>
      </c>
    </row>
    <row r="1146" spans="1:26" s="105" customFormat="1" ht="15" customHeight="1">
      <c r="A1146" s="99">
        <f t="shared" si="153"/>
        <v>1144</v>
      </c>
      <c r="B1146" s="75" t="s">
        <v>650</v>
      </c>
      <c r="C1146" s="100" t="str">
        <f>IF($B1146&lt;&gt;"",_xlfn.IFNA(VLOOKUP($B1146,'Node Details'!$B:$U,C$1,0),"Check"),"")</f>
        <v>0000CM303-CM3030105</v>
      </c>
      <c r="D1146" s="100" t="str">
        <f>IF($B1146&lt;&gt;"",_xlfn.IFNA(VLOOKUP($B1146,'Node Details'!$B:$U,D$1,0),"Check"),"")</f>
        <v>CM3</v>
      </c>
      <c r="E1146" s="100" t="str">
        <f>IF($B1146&lt;&gt;"",_xlfn.IFNA(VLOOKUP($B1146,'Node Details'!$B:$U,E$1,0),"Check"),"")</f>
        <v>Airtel</v>
      </c>
      <c r="F1146" s="101">
        <v>46149</v>
      </c>
      <c r="G1146" s="103"/>
      <c r="H1146" s="102" t="s">
        <v>1256</v>
      </c>
      <c r="I1146" s="9">
        <v>1</v>
      </c>
      <c r="J1146" s="9">
        <v>48</v>
      </c>
      <c r="K1146" s="100">
        <f t="shared" si="147"/>
        <v>48</v>
      </c>
      <c r="L1146" s="78">
        <v>46142</v>
      </c>
      <c r="M1146" s="103"/>
      <c r="N1146" s="93" t="s">
        <v>617</v>
      </c>
      <c r="O1146" s="94">
        <v>46141</v>
      </c>
      <c r="P1146" s="104">
        <f t="shared" si="148"/>
        <v>48</v>
      </c>
      <c r="Q1146" s="104">
        <f t="shared" si="149"/>
        <v>48</v>
      </c>
      <c r="R1146" s="104"/>
      <c r="S1146" s="93" t="s">
        <v>618</v>
      </c>
      <c r="T1146" s="94">
        <v>46156</v>
      </c>
      <c r="U1146" s="104">
        <f t="shared" si="150"/>
        <v>48</v>
      </c>
      <c r="V1146" s="104">
        <f t="shared" si="151"/>
        <v>1</v>
      </c>
      <c r="W1146" s="103">
        <f t="shared" si="152"/>
        <v>48</v>
      </c>
      <c r="X1146" s="93" t="s">
        <v>89</v>
      </c>
      <c r="Y1146" s="105" t="s">
        <v>84</v>
      </c>
      <c r="Z1146" s="105" t="s">
        <v>619</v>
      </c>
    </row>
    <row r="1147" spans="1:26" s="105" customFormat="1" ht="15" customHeight="1">
      <c r="A1147" s="99">
        <f t="shared" si="153"/>
        <v>1145</v>
      </c>
      <c r="B1147" s="75" t="s">
        <v>1134</v>
      </c>
      <c r="C1147" s="100" t="str">
        <f>IF($B1147&lt;&gt;"",_xlfn.IFNA(VLOOKUP($B1147,'Node Details'!$B:$U,C$1,0),"Check"),"")</f>
        <v>0000CM303-CM3030102</v>
      </c>
      <c r="D1147" s="100" t="str">
        <f>IF($B1147&lt;&gt;"",_xlfn.IFNA(VLOOKUP($B1147,'Node Details'!$B:$U,D$1,0),"Check"),"")</f>
        <v>CM3</v>
      </c>
      <c r="E1147" s="100" t="str">
        <f>IF($B1147&lt;&gt;"",_xlfn.IFNA(VLOOKUP($B1147,'Node Details'!$B:$U,E$1,0),"Check"),"")</f>
        <v>Airtel</v>
      </c>
      <c r="F1147" s="101">
        <v>46149</v>
      </c>
      <c r="G1147" s="103"/>
      <c r="H1147" s="102" t="s">
        <v>1256</v>
      </c>
      <c r="I1147" s="9">
        <v>1</v>
      </c>
      <c r="J1147" s="9">
        <v>48</v>
      </c>
      <c r="K1147" s="100">
        <f t="shared" si="147"/>
        <v>48</v>
      </c>
      <c r="L1147" s="78">
        <v>46142</v>
      </c>
      <c r="M1147" s="103"/>
      <c r="N1147" s="93" t="s">
        <v>617</v>
      </c>
      <c r="O1147" s="94">
        <v>46141</v>
      </c>
      <c r="P1147" s="104">
        <f t="shared" si="148"/>
        <v>48</v>
      </c>
      <c r="Q1147" s="104">
        <f t="shared" si="149"/>
        <v>48</v>
      </c>
      <c r="R1147" s="104"/>
      <c r="S1147" s="93" t="s">
        <v>618</v>
      </c>
      <c r="T1147" s="94">
        <v>46156</v>
      </c>
      <c r="U1147" s="104">
        <f t="shared" si="150"/>
        <v>48</v>
      </c>
      <c r="V1147" s="104">
        <f t="shared" si="151"/>
        <v>1</v>
      </c>
      <c r="W1147" s="103">
        <f t="shared" si="152"/>
        <v>48</v>
      </c>
      <c r="X1147" s="93" t="s">
        <v>89</v>
      </c>
      <c r="Y1147" s="105" t="s">
        <v>84</v>
      </c>
      <c r="Z1147" s="105" t="s">
        <v>619</v>
      </c>
    </row>
    <row r="1148" spans="1:26" s="105" customFormat="1" ht="15" customHeight="1">
      <c r="A1148" s="99">
        <f t="shared" si="153"/>
        <v>1146</v>
      </c>
      <c r="B1148" s="75" t="s">
        <v>652</v>
      </c>
      <c r="C1148" s="100" t="str">
        <f>IF($B1148&lt;&gt;"",_xlfn.IFNA(VLOOKUP($B1148,'Node Details'!$B:$U,C$1,0),"Check"),"")</f>
        <v>0000CM303-CM3030102</v>
      </c>
      <c r="D1148" s="100" t="str">
        <f>IF($B1148&lt;&gt;"",_xlfn.IFNA(VLOOKUP($B1148,'Node Details'!$B:$U,D$1,0),"Check"),"")</f>
        <v>CM3</v>
      </c>
      <c r="E1148" s="100" t="str">
        <f>IF($B1148&lt;&gt;"",_xlfn.IFNA(VLOOKUP($B1148,'Node Details'!$B:$U,E$1,0),"Check"),"")</f>
        <v>Airtel</v>
      </c>
      <c r="F1148" s="101">
        <v>46149</v>
      </c>
      <c r="G1148" s="103"/>
      <c r="H1148" s="102" t="s">
        <v>1256</v>
      </c>
      <c r="I1148" s="9">
        <v>1</v>
      </c>
      <c r="J1148" s="9">
        <v>48</v>
      </c>
      <c r="K1148" s="100">
        <f t="shared" si="147"/>
        <v>48</v>
      </c>
      <c r="L1148" s="78">
        <v>46142</v>
      </c>
      <c r="M1148" s="103"/>
      <c r="N1148" s="93" t="s">
        <v>617</v>
      </c>
      <c r="O1148" s="94">
        <v>46141</v>
      </c>
      <c r="P1148" s="104">
        <f t="shared" si="148"/>
        <v>48</v>
      </c>
      <c r="Q1148" s="104">
        <f t="shared" si="149"/>
        <v>48</v>
      </c>
      <c r="R1148" s="104"/>
      <c r="S1148" s="93" t="s">
        <v>618</v>
      </c>
      <c r="T1148" s="94">
        <v>46156</v>
      </c>
      <c r="U1148" s="104">
        <f t="shared" si="150"/>
        <v>48</v>
      </c>
      <c r="V1148" s="104">
        <f t="shared" si="151"/>
        <v>1</v>
      </c>
      <c r="W1148" s="103">
        <f t="shared" si="152"/>
        <v>48</v>
      </c>
      <c r="X1148" s="93" t="s">
        <v>89</v>
      </c>
      <c r="Y1148" s="105" t="s">
        <v>84</v>
      </c>
      <c r="Z1148" s="105" t="s">
        <v>619</v>
      </c>
    </row>
    <row r="1149" spans="1:26" s="105" customFormat="1" ht="15" customHeight="1">
      <c r="A1149" s="99">
        <f t="shared" si="153"/>
        <v>1147</v>
      </c>
      <c r="B1149" s="75" t="s">
        <v>654</v>
      </c>
      <c r="C1149" s="100" t="str">
        <f>IF($B1149&lt;&gt;"",_xlfn.IFNA(VLOOKUP($B1149,'Node Details'!$B:$U,C$1,0),"Check"),"")</f>
        <v>0000CM303-CM3030103</v>
      </c>
      <c r="D1149" s="100" t="str">
        <f>IF($B1149&lt;&gt;"",_xlfn.IFNA(VLOOKUP($B1149,'Node Details'!$B:$U,D$1,0),"Check"),"")</f>
        <v>CM3</v>
      </c>
      <c r="E1149" s="100" t="str">
        <f>IF($B1149&lt;&gt;"",_xlfn.IFNA(VLOOKUP($B1149,'Node Details'!$B:$U,E$1,0),"Check"),"")</f>
        <v>Airtel</v>
      </c>
      <c r="F1149" s="101">
        <v>46149</v>
      </c>
      <c r="G1149" s="103"/>
      <c r="H1149" s="102" t="s">
        <v>1256</v>
      </c>
      <c r="I1149" s="9">
        <v>1</v>
      </c>
      <c r="J1149" s="9">
        <v>48</v>
      </c>
      <c r="K1149" s="100">
        <f t="shared" si="147"/>
        <v>48</v>
      </c>
      <c r="L1149" s="78">
        <v>46142</v>
      </c>
      <c r="M1149" s="103"/>
      <c r="N1149" s="93" t="s">
        <v>617</v>
      </c>
      <c r="O1149" s="94">
        <v>46141</v>
      </c>
      <c r="P1149" s="104">
        <f t="shared" si="148"/>
        <v>48</v>
      </c>
      <c r="Q1149" s="104">
        <f t="shared" si="149"/>
        <v>48</v>
      </c>
      <c r="R1149" s="104"/>
      <c r="S1149" s="93" t="s">
        <v>618</v>
      </c>
      <c r="T1149" s="94">
        <v>46156</v>
      </c>
      <c r="U1149" s="104">
        <f t="shared" si="150"/>
        <v>48</v>
      </c>
      <c r="V1149" s="104">
        <f t="shared" si="151"/>
        <v>1</v>
      </c>
      <c r="W1149" s="103">
        <f t="shared" si="152"/>
        <v>48</v>
      </c>
      <c r="X1149" s="93" t="s">
        <v>89</v>
      </c>
      <c r="Y1149" s="105" t="s">
        <v>84</v>
      </c>
      <c r="Z1149" s="105" t="s">
        <v>619</v>
      </c>
    </row>
    <row r="1150" spans="1:26" s="105" customFormat="1" ht="15" customHeight="1">
      <c r="A1150" s="99">
        <f t="shared" si="153"/>
        <v>1148</v>
      </c>
      <c r="B1150" s="75" t="s">
        <v>1135</v>
      </c>
      <c r="C1150" s="100" t="str">
        <f>IF($B1150&lt;&gt;"",_xlfn.IFNA(VLOOKUP($B1150,'Node Details'!$B:$U,C$1,0),"Check"),"")</f>
        <v>0000CM303-CM3030108</v>
      </c>
      <c r="D1150" s="100" t="str">
        <f>IF($B1150&lt;&gt;"",_xlfn.IFNA(VLOOKUP($B1150,'Node Details'!$B:$U,D$1,0),"Check"),"")</f>
        <v>CM3</v>
      </c>
      <c r="E1150" s="100" t="str">
        <f>IF($B1150&lt;&gt;"",_xlfn.IFNA(VLOOKUP($B1150,'Node Details'!$B:$U,E$1,0),"Check"),"")</f>
        <v>Airtel</v>
      </c>
      <c r="F1150" s="101">
        <v>46149</v>
      </c>
      <c r="G1150" s="103"/>
      <c r="H1150" s="102" t="s">
        <v>1256</v>
      </c>
      <c r="I1150" s="9">
        <v>1</v>
      </c>
      <c r="J1150" s="9">
        <v>48</v>
      </c>
      <c r="K1150" s="100">
        <f t="shared" ref="K1150:K1213" si="154">IF(I1150&lt;&gt;"",J1150*I1150,0)</f>
        <v>48</v>
      </c>
      <c r="L1150" s="78">
        <v>46142</v>
      </c>
      <c r="M1150" s="103"/>
      <c r="N1150" s="93" t="s">
        <v>617</v>
      </c>
      <c r="O1150" s="94">
        <v>46141</v>
      </c>
      <c r="P1150" s="104">
        <f t="shared" ref="P1150:P1213" si="155">J1150</f>
        <v>48</v>
      </c>
      <c r="Q1150" s="104">
        <f t="shared" ref="Q1150:Q1213" si="156">P1150*I1150</f>
        <v>48</v>
      </c>
      <c r="R1150" s="104"/>
      <c r="S1150" s="93" t="s">
        <v>618</v>
      </c>
      <c r="T1150" s="94">
        <v>46156</v>
      </c>
      <c r="U1150" s="104">
        <f t="shared" ref="U1150:U1213" si="157">J1150</f>
        <v>48</v>
      </c>
      <c r="V1150" s="104">
        <f t="shared" ref="V1150:V1213" si="158">I1150</f>
        <v>1</v>
      </c>
      <c r="W1150" s="103">
        <f t="shared" ref="W1150:W1213" si="159">IF(V1150&lt;&gt;"",V1150*U1150,0)</f>
        <v>48</v>
      </c>
      <c r="X1150" s="93" t="s">
        <v>89</v>
      </c>
      <c r="Y1150" s="105" t="s">
        <v>84</v>
      </c>
      <c r="Z1150" s="105" t="s">
        <v>619</v>
      </c>
    </row>
    <row r="1151" spans="1:26" s="105" customFormat="1" ht="15" customHeight="1">
      <c r="A1151" s="99">
        <f t="shared" si="153"/>
        <v>1149</v>
      </c>
      <c r="B1151" s="75" t="s">
        <v>1136</v>
      </c>
      <c r="C1151" s="100" t="str">
        <f>IF($B1151&lt;&gt;"",_xlfn.IFNA(VLOOKUP($B1151,'Node Details'!$B:$U,C$1,0),"Check"),"")</f>
        <v>0000CM303-CM3030108</v>
      </c>
      <c r="D1151" s="100" t="str">
        <f>IF($B1151&lt;&gt;"",_xlfn.IFNA(VLOOKUP($B1151,'Node Details'!$B:$U,D$1,0),"Check"),"")</f>
        <v>CM3</v>
      </c>
      <c r="E1151" s="100" t="str">
        <f>IF($B1151&lt;&gt;"",_xlfn.IFNA(VLOOKUP($B1151,'Node Details'!$B:$U,E$1,0),"Check"),"")</f>
        <v>Airtel</v>
      </c>
      <c r="F1151" s="101">
        <v>46149</v>
      </c>
      <c r="G1151" s="103"/>
      <c r="H1151" s="102" t="s">
        <v>1256</v>
      </c>
      <c r="I1151" s="9">
        <v>1</v>
      </c>
      <c r="J1151" s="9">
        <v>48</v>
      </c>
      <c r="K1151" s="100">
        <f t="shared" si="154"/>
        <v>48</v>
      </c>
      <c r="L1151" s="78">
        <v>46142</v>
      </c>
      <c r="M1151" s="103"/>
      <c r="N1151" s="93" t="s">
        <v>617</v>
      </c>
      <c r="O1151" s="94">
        <v>46141</v>
      </c>
      <c r="P1151" s="104">
        <f t="shared" si="155"/>
        <v>48</v>
      </c>
      <c r="Q1151" s="104">
        <f t="shared" si="156"/>
        <v>48</v>
      </c>
      <c r="R1151" s="104"/>
      <c r="S1151" s="93" t="s">
        <v>618</v>
      </c>
      <c r="T1151" s="94">
        <v>46156</v>
      </c>
      <c r="U1151" s="104">
        <f t="shared" si="157"/>
        <v>48</v>
      </c>
      <c r="V1151" s="104">
        <f t="shared" si="158"/>
        <v>1</v>
      </c>
      <c r="W1151" s="103">
        <f t="shared" si="159"/>
        <v>48</v>
      </c>
      <c r="X1151" s="93" t="s">
        <v>89</v>
      </c>
      <c r="Y1151" s="105" t="s">
        <v>84</v>
      </c>
      <c r="Z1151" s="105" t="s">
        <v>619</v>
      </c>
    </row>
    <row r="1152" spans="1:26" s="105" customFormat="1" ht="15" customHeight="1">
      <c r="A1152" s="99">
        <f t="shared" si="153"/>
        <v>1150</v>
      </c>
      <c r="B1152" s="75" t="s">
        <v>656</v>
      </c>
      <c r="C1152" s="100" t="str">
        <f>IF($B1152&lt;&gt;"",_xlfn.IFNA(VLOOKUP($B1152,'Node Details'!$B:$U,C$1,0),"Check"),"")</f>
        <v>0000CM303-CM3030108</v>
      </c>
      <c r="D1152" s="100" t="str">
        <f>IF($B1152&lt;&gt;"",_xlfn.IFNA(VLOOKUP($B1152,'Node Details'!$B:$U,D$1,0),"Check"),"")</f>
        <v>CM3</v>
      </c>
      <c r="E1152" s="100" t="str">
        <f>IF($B1152&lt;&gt;"",_xlfn.IFNA(VLOOKUP($B1152,'Node Details'!$B:$U,E$1,0),"Check"),"")</f>
        <v>Airtel</v>
      </c>
      <c r="F1152" s="101">
        <v>46149</v>
      </c>
      <c r="G1152" s="103"/>
      <c r="H1152" s="102" t="s">
        <v>1256</v>
      </c>
      <c r="I1152" s="9">
        <v>1</v>
      </c>
      <c r="J1152" s="9">
        <v>48</v>
      </c>
      <c r="K1152" s="100">
        <f t="shared" si="154"/>
        <v>48</v>
      </c>
      <c r="L1152" s="78">
        <v>46142</v>
      </c>
      <c r="M1152" s="103"/>
      <c r="N1152" s="93" t="s">
        <v>617</v>
      </c>
      <c r="O1152" s="94">
        <v>46141</v>
      </c>
      <c r="P1152" s="104">
        <f t="shared" si="155"/>
        <v>48</v>
      </c>
      <c r="Q1152" s="104">
        <f t="shared" si="156"/>
        <v>48</v>
      </c>
      <c r="R1152" s="104"/>
      <c r="S1152" s="93" t="s">
        <v>618</v>
      </c>
      <c r="T1152" s="94">
        <v>46156</v>
      </c>
      <c r="U1152" s="104">
        <f t="shared" si="157"/>
        <v>48</v>
      </c>
      <c r="V1152" s="104">
        <f t="shared" si="158"/>
        <v>1</v>
      </c>
      <c r="W1152" s="103">
        <f t="shared" si="159"/>
        <v>48</v>
      </c>
      <c r="X1152" s="93" t="s">
        <v>89</v>
      </c>
      <c r="Y1152" s="105" t="s">
        <v>84</v>
      </c>
      <c r="Z1152" s="105" t="s">
        <v>619</v>
      </c>
    </row>
    <row r="1153" spans="1:26" s="105" customFormat="1" ht="15" customHeight="1">
      <c r="A1153" s="99">
        <f t="shared" si="153"/>
        <v>1151</v>
      </c>
      <c r="B1153" s="75" t="s">
        <v>630</v>
      </c>
      <c r="C1153" s="100" t="str">
        <f>IF($B1153&lt;&gt;"",_xlfn.IFNA(VLOOKUP($B1153,'Node Details'!$B:$U,C$1,0),"Check"),"")</f>
        <v>000000CM3-0000CM310</v>
      </c>
      <c r="D1153" s="100" t="str">
        <f>IF($B1153&lt;&gt;"",_xlfn.IFNA(VLOOKUP($B1153,'Node Details'!$B:$U,D$1,0),"Check"),"")</f>
        <v>CM3</v>
      </c>
      <c r="E1153" s="100" t="str">
        <f>IF($B1153&lt;&gt;"",_xlfn.IFNA(VLOOKUP($B1153,'Node Details'!$B:$U,E$1,0),"Check"),"")</f>
        <v>Airtel</v>
      </c>
      <c r="F1153" s="101">
        <v>46149</v>
      </c>
      <c r="G1153" s="103"/>
      <c r="H1153" s="102" t="s">
        <v>1256</v>
      </c>
      <c r="I1153" s="9">
        <v>1</v>
      </c>
      <c r="J1153" s="9">
        <v>48</v>
      </c>
      <c r="K1153" s="100">
        <f t="shared" si="154"/>
        <v>48</v>
      </c>
      <c r="L1153" s="78">
        <v>46142</v>
      </c>
      <c r="M1153" s="103"/>
      <c r="N1153" s="93" t="s">
        <v>617</v>
      </c>
      <c r="O1153" s="94">
        <v>46141</v>
      </c>
      <c r="P1153" s="104">
        <f t="shared" si="155"/>
        <v>48</v>
      </c>
      <c r="Q1153" s="104">
        <f t="shared" si="156"/>
        <v>48</v>
      </c>
      <c r="R1153" s="104"/>
      <c r="S1153" s="93" t="s">
        <v>618</v>
      </c>
      <c r="T1153" s="94">
        <v>46156</v>
      </c>
      <c r="U1153" s="104">
        <f t="shared" si="157"/>
        <v>48</v>
      </c>
      <c r="V1153" s="104">
        <f t="shared" si="158"/>
        <v>1</v>
      </c>
      <c r="W1153" s="103">
        <f t="shared" si="159"/>
        <v>48</v>
      </c>
      <c r="X1153" s="93" t="s">
        <v>89</v>
      </c>
      <c r="Y1153" s="105" t="s">
        <v>84</v>
      </c>
      <c r="Z1153" s="105" t="s">
        <v>619</v>
      </c>
    </row>
    <row r="1154" spans="1:26" s="105" customFormat="1" ht="15" customHeight="1">
      <c r="A1154" s="99">
        <f t="shared" si="153"/>
        <v>1152</v>
      </c>
      <c r="B1154" s="75" t="s">
        <v>658</v>
      </c>
      <c r="C1154" s="100" t="str">
        <f>IF($B1154&lt;&gt;"",_xlfn.IFNA(VLOOKUP($B1154,'Node Details'!$B:$U,C$1,0),"Check"),"")</f>
        <v>0000CM304-CM3040101</v>
      </c>
      <c r="D1154" s="100" t="str">
        <f>IF($B1154&lt;&gt;"",_xlfn.IFNA(VLOOKUP($B1154,'Node Details'!$B:$U,D$1,0),"Check"),"")</f>
        <v>CM3</v>
      </c>
      <c r="E1154" s="100" t="str">
        <f>IF($B1154&lt;&gt;"",_xlfn.IFNA(VLOOKUP($B1154,'Node Details'!$B:$U,E$1,0),"Check"),"")</f>
        <v>Airtel</v>
      </c>
      <c r="F1154" s="101">
        <v>46149</v>
      </c>
      <c r="G1154" s="103"/>
      <c r="H1154" s="102" t="s">
        <v>1256</v>
      </c>
      <c r="I1154" s="9">
        <v>1</v>
      </c>
      <c r="J1154" s="9">
        <v>48</v>
      </c>
      <c r="K1154" s="100">
        <f t="shared" si="154"/>
        <v>48</v>
      </c>
      <c r="L1154" s="78">
        <v>46142</v>
      </c>
      <c r="M1154" s="103"/>
      <c r="N1154" s="93" t="s">
        <v>617</v>
      </c>
      <c r="O1154" s="94">
        <v>46141</v>
      </c>
      <c r="P1154" s="104">
        <f t="shared" si="155"/>
        <v>48</v>
      </c>
      <c r="Q1154" s="104">
        <f t="shared" si="156"/>
        <v>48</v>
      </c>
      <c r="R1154" s="104"/>
      <c r="S1154" s="93" t="s">
        <v>618</v>
      </c>
      <c r="T1154" s="94">
        <v>46156</v>
      </c>
      <c r="U1154" s="104">
        <f t="shared" si="157"/>
        <v>48</v>
      </c>
      <c r="V1154" s="104">
        <f t="shared" si="158"/>
        <v>1</v>
      </c>
      <c r="W1154" s="103">
        <f t="shared" si="159"/>
        <v>48</v>
      </c>
      <c r="X1154" s="93" t="s">
        <v>89</v>
      </c>
      <c r="Y1154" s="105" t="s">
        <v>84</v>
      </c>
      <c r="Z1154" s="105" t="s">
        <v>619</v>
      </c>
    </row>
    <row r="1155" spans="1:26" s="105" customFormat="1" ht="15" customHeight="1">
      <c r="A1155" s="99">
        <f t="shared" si="153"/>
        <v>1153</v>
      </c>
      <c r="B1155" s="75" t="s">
        <v>1137</v>
      </c>
      <c r="C1155" s="100" t="str">
        <f>IF($B1155&lt;&gt;"",_xlfn.IFNA(VLOOKUP($B1155,'Node Details'!$B:$U,C$1,0),"Check"),"")</f>
        <v>0000CM304-CM3040104</v>
      </c>
      <c r="D1155" s="100" t="str">
        <f>IF($B1155&lt;&gt;"",_xlfn.IFNA(VLOOKUP($B1155,'Node Details'!$B:$U,D$1,0),"Check"),"")</f>
        <v>CM3</v>
      </c>
      <c r="E1155" s="100" t="str">
        <f>IF($B1155&lt;&gt;"",_xlfn.IFNA(VLOOKUP($B1155,'Node Details'!$B:$U,E$1,0),"Check"),"")</f>
        <v>Airtel</v>
      </c>
      <c r="F1155" s="101">
        <v>46149</v>
      </c>
      <c r="G1155" s="103"/>
      <c r="H1155" s="102" t="s">
        <v>1256</v>
      </c>
      <c r="I1155" s="9">
        <v>1</v>
      </c>
      <c r="J1155" s="9">
        <v>48</v>
      </c>
      <c r="K1155" s="100">
        <f t="shared" si="154"/>
        <v>48</v>
      </c>
      <c r="L1155" s="78">
        <v>46142</v>
      </c>
      <c r="M1155" s="103"/>
      <c r="N1155" s="93" t="s">
        <v>617</v>
      </c>
      <c r="O1155" s="94">
        <v>46141</v>
      </c>
      <c r="P1155" s="104">
        <f t="shared" si="155"/>
        <v>48</v>
      </c>
      <c r="Q1155" s="104">
        <f t="shared" si="156"/>
        <v>48</v>
      </c>
      <c r="R1155" s="104"/>
      <c r="S1155" s="93" t="s">
        <v>618</v>
      </c>
      <c r="T1155" s="94">
        <v>46156</v>
      </c>
      <c r="U1155" s="104">
        <f t="shared" si="157"/>
        <v>48</v>
      </c>
      <c r="V1155" s="104">
        <f t="shared" si="158"/>
        <v>1</v>
      </c>
      <c r="W1155" s="103">
        <f t="shared" si="159"/>
        <v>48</v>
      </c>
      <c r="X1155" s="93" t="s">
        <v>89</v>
      </c>
      <c r="Y1155" s="105" t="s">
        <v>84</v>
      </c>
      <c r="Z1155" s="105" t="s">
        <v>619</v>
      </c>
    </row>
    <row r="1156" spans="1:26" s="105" customFormat="1" ht="15" customHeight="1">
      <c r="A1156" s="99">
        <f t="shared" si="153"/>
        <v>1154</v>
      </c>
      <c r="B1156" s="75" t="s">
        <v>1138</v>
      </c>
      <c r="C1156" s="100" t="str">
        <f>IF($B1156&lt;&gt;"",_xlfn.IFNA(VLOOKUP($B1156,'Node Details'!$B:$U,C$1,0),"Check"),"")</f>
        <v>0000CM304-CM3040104</v>
      </c>
      <c r="D1156" s="100" t="str">
        <f>IF($B1156&lt;&gt;"",_xlfn.IFNA(VLOOKUP($B1156,'Node Details'!$B:$U,D$1,0),"Check"),"")</f>
        <v>CM3</v>
      </c>
      <c r="E1156" s="100" t="str">
        <f>IF($B1156&lt;&gt;"",_xlfn.IFNA(VLOOKUP($B1156,'Node Details'!$B:$U,E$1,0),"Check"),"")</f>
        <v>Airtel</v>
      </c>
      <c r="F1156" s="101">
        <v>46149</v>
      </c>
      <c r="G1156" s="103"/>
      <c r="H1156" s="102" t="s">
        <v>1256</v>
      </c>
      <c r="I1156" s="9">
        <v>1</v>
      </c>
      <c r="J1156" s="9">
        <v>48</v>
      </c>
      <c r="K1156" s="100">
        <f t="shared" si="154"/>
        <v>48</v>
      </c>
      <c r="L1156" s="78">
        <v>46142</v>
      </c>
      <c r="M1156" s="103"/>
      <c r="N1156" s="93" t="s">
        <v>617</v>
      </c>
      <c r="O1156" s="94">
        <v>46141</v>
      </c>
      <c r="P1156" s="104">
        <f t="shared" si="155"/>
        <v>48</v>
      </c>
      <c r="Q1156" s="104">
        <f t="shared" si="156"/>
        <v>48</v>
      </c>
      <c r="R1156" s="104"/>
      <c r="S1156" s="93" t="s">
        <v>618</v>
      </c>
      <c r="T1156" s="94">
        <v>46156</v>
      </c>
      <c r="U1156" s="104">
        <f t="shared" si="157"/>
        <v>48</v>
      </c>
      <c r="V1156" s="104">
        <f t="shared" si="158"/>
        <v>1</v>
      </c>
      <c r="W1156" s="103">
        <f t="shared" si="159"/>
        <v>48</v>
      </c>
      <c r="X1156" s="93" t="s">
        <v>89</v>
      </c>
      <c r="Y1156" s="105" t="s">
        <v>84</v>
      </c>
      <c r="Z1156" s="105" t="s">
        <v>619</v>
      </c>
    </row>
    <row r="1157" spans="1:26" s="105" customFormat="1" ht="15" customHeight="1">
      <c r="A1157" s="99">
        <f t="shared" ref="A1157:A1220" si="160">A1156+1</f>
        <v>1155</v>
      </c>
      <c r="B1157" s="75" t="s">
        <v>660</v>
      </c>
      <c r="C1157" s="100" t="str">
        <f>IF($B1157&lt;&gt;"",_xlfn.IFNA(VLOOKUP($B1157,'Node Details'!$B:$U,C$1,0),"Check"),"")</f>
        <v>0000CM304-CM3040104</v>
      </c>
      <c r="D1157" s="100" t="str">
        <f>IF($B1157&lt;&gt;"",_xlfn.IFNA(VLOOKUP($B1157,'Node Details'!$B:$U,D$1,0),"Check"),"")</f>
        <v>CM3</v>
      </c>
      <c r="E1157" s="100" t="str">
        <f>IF($B1157&lt;&gt;"",_xlfn.IFNA(VLOOKUP($B1157,'Node Details'!$B:$U,E$1,0),"Check"),"")</f>
        <v>Airtel</v>
      </c>
      <c r="F1157" s="101">
        <v>46149</v>
      </c>
      <c r="G1157" s="103"/>
      <c r="H1157" s="102" t="s">
        <v>1256</v>
      </c>
      <c r="I1157" s="9">
        <v>1</v>
      </c>
      <c r="J1157" s="9">
        <v>48</v>
      </c>
      <c r="K1157" s="100">
        <f t="shared" si="154"/>
        <v>48</v>
      </c>
      <c r="L1157" s="78">
        <v>46142</v>
      </c>
      <c r="M1157" s="103"/>
      <c r="N1157" s="93" t="s">
        <v>617</v>
      </c>
      <c r="O1157" s="94">
        <v>46141</v>
      </c>
      <c r="P1157" s="104">
        <f t="shared" si="155"/>
        <v>48</v>
      </c>
      <c r="Q1157" s="104">
        <f t="shared" si="156"/>
        <v>48</v>
      </c>
      <c r="R1157" s="104"/>
      <c r="S1157" s="93" t="s">
        <v>618</v>
      </c>
      <c r="T1157" s="94">
        <v>46156</v>
      </c>
      <c r="U1157" s="104">
        <f t="shared" si="157"/>
        <v>48</v>
      </c>
      <c r="V1157" s="104">
        <f t="shared" si="158"/>
        <v>1</v>
      </c>
      <c r="W1157" s="103">
        <f t="shared" si="159"/>
        <v>48</v>
      </c>
      <c r="X1157" s="93" t="s">
        <v>89</v>
      </c>
      <c r="Y1157" s="105" t="s">
        <v>84</v>
      </c>
      <c r="Z1157" s="105" t="s">
        <v>619</v>
      </c>
    </row>
    <row r="1158" spans="1:26" s="105" customFormat="1" ht="15" customHeight="1">
      <c r="A1158" s="99">
        <f t="shared" si="160"/>
        <v>1156</v>
      </c>
      <c r="B1158" s="75" t="s">
        <v>1139</v>
      </c>
      <c r="C1158" s="100" t="str">
        <f>IF($B1158&lt;&gt;"",_xlfn.IFNA(VLOOKUP($B1158,'Node Details'!$B:$U,C$1,0),"Check"),"")</f>
        <v>0000CM304-CM3040108</v>
      </c>
      <c r="D1158" s="100" t="str">
        <f>IF($B1158&lt;&gt;"",_xlfn.IFNA(VLOOKUP($B1158,'Node Details'!$B:$U,D$1,0),"Check"),"")</f>
        <v>CM3</v>
      </c>
      <c r="E1158" s="100" t="str">
        <f>IF($B1158&lt;&gt;"",_xlfn.IFNA(VLOOKUP($B1158,'Node Details'!$B:$U,E$1,0),"Check"),"")</f>
        <v>Airtel</v>
      </c>
      <c r="F1158" s="101">
        <v>46149</v>
      </c>
      <c r="G1158" s="103"/>
      <c r="H1158" s="102" t="s">
        <v>1256</v>
      </c>
      <c r="I1158" s="9">
        <v>1</v>
      </c>
      <c r="J1158" s="9">
        <v>48</v>
      </c>
      <c r="K1158" s="100">
        <f t="shared" si="154"/>
        <v>48</v>
      </c>
      <c r="L1158" s="78">
        <v>46142</v>
      </c>
      <c r="M1158" s="103"/>
      <c r="N1158" s="93" t="s">
        <v>617</v>
      </c>
      <c r="O1158" s="94">
        <v>46141</v>
      </c>
      <c r="P1158" s="104">
        <f t="shared" si="155"/>
        <v>48</v>
      </c>
      <c r="Q1158" s="104">
        <f t="shared" si="156"/>
        <v>48</v>
      </c>
      <c r="R1158" s="104"/>
      <c r="S1158" s="93" t="s">
        <v>618</v>
      </c>
      <c r="T1158" s="94">
        <v>46156</v>
      </c>
      <c r="U1158" s="104">
        <f t="shared" si="157"/>
        <v>48</v>
      </c>
      <c r="V1158" s="104">
        <f t="shared" si="158"/>
        <v>1</v>
      </c>
      <c r="W1158" s="103">
        <f t="shared" si="159"/>
        <v>48</v>
      </c>
      <c r="X1158" s="93" t="s">
        <v>89</v>
      </c>
      <c r="Y1158" s="105" t="s">
        <v>84</v>
      </c>
      <c r="Z1158" s="105" t="s">
        <v>619</v>
      </c>
    </row>
    <row r="1159" spans="1:26" s="105" customFormat="1" ht="15" customHeight="1">
      <c r="A1159" s="99">
        <f t="shared" si="160"/>
        <v>1157</v>
      </c>
      <c r="B1159" s="75" t="s">
        <v>1140</v>
      </c>
      <c r="C1159" s="100" t="str">
        <f>IF($B1159&lt;&gt;"",_xlfn.IFNA(VLOOKUP($B1159,'Node Details'!$B:$U,C$1,0),"Check"),"")</f>
        <v>0000CM304-CM3040108</v>
      </c>
      <c r="D1159" s="100" t="str">
        <f>IF($B1159&lt;&gt;"",_xlfn.IFNA(VLOOKUP($B1159,'Node Details'!$B:$U,D$1,0),"Check"),"")</f>
        <v>CM3</v>
      </c>
      <c r="E1159" s="100" t="str">
        <f>IF($B1159&lt;&gt;"",_xlfn.IFNA(VLOOKUP($B1159,'Node Details'!$B:$U,E$1,0),"Check"),"")</f>
        <v>Airtel</v>
      </c>
      <c r="F1159" s="101">
        <v>46149</v>
      </c>
      <c r="G1159" s="103"/>
      <c r="H1159" s="102" t="s">
        <v>1256</v>
      </c>
      <c r="I1159" s="9">
        <v>1</v>
      </c>
      <c r="J1159" s="9">
        <v>48</v>
      </c>
      <c r="K1159" s="100">
        <f t="shared" si="154"/>
        <v>48</v>
      </c>
      <c r="L1159" s="78">
        <v>46142</v>
      </c>
      <c r="M1159" s="103"/>
      <c r="N1159" s="93" t="s">
        <v>617</v>
      </c>
      <c r="O1159" s="94">
        <v>46141</v>
      </c>
      <c r="P1159" s="104">
        <f t="shared" si="155"/>
        <v>48</v>
      </c>
      <c r="Q1159" s="104">
        <f t="shared" si="156"/>
        <v>48</v>
      </c>
      <c r="R1159" s="104"/>
      <c r="S1159" s="93" t="s">
        <v>618</v>
      </c>
      <c r="T1159" s="94">
        <v>46156</v>
      </c>
      <c r="U1159" s="104">
        <f t="shared" si="157"/>
        <v>48</v>
      </c>
      <c r="V1159" s="104">
        <f t="shared" si="158"/>
        <v>1</v>
      </c>
      <c r="W1159" s="103">
        <f t="shared" si="159"/>
        <v>48</v>
      </c>
      <c r="X1159" s="93" t="s">
        <v>89</v>
      </c>
      <c r="Y1159" s="105" t="s">
        <v>84</v>
      </c>
      <c r="Z1159" s="105" t="s">
        <v>619</v>
      </c>
    </row>
    <row r="1160" spans="1:26" s="105" customFormat="1" ht="15" customHeight="1">
      <c r="A1160" s="99">
        <f t="shared" si="160"/>
        <v>1158</v>
      </c>
      <c r="B1160" s="75" t="s">
        <v>662</v>
      </c>
      <c r="C1160" s="100" t="str">
        <f>IF($B1160&lt;&gt;"",_xlfn.IFNA(VLOOKUP($B1160,'Node Details'!$B:$U,C$1,0),"Check"),"")</f>
        <v>0000CM304-CM3040108</v>
      </c>
      <c r="D1160" s="100" t="str">
        <f>IF($B1160&lt;&gt;"",_xlfn.IFNA(VLOOKUP($B1160,'Node Details'!$B:$U,D$1,0),"Check"),"")</f>
        <v>CM3</v>
      </c>
      <c r="E1160" s="100" t="str">
        <f>IF($B1160&lt;&gt;"",_xlfn.IFNA(VLOOKUP($B1160,'Node Details'!$B:$U,E$1,0),"Check"),"")</f>
        <v>Airtel</v>
      </c>
      <c r="F1160" s="101">
        <v>46149</v>
      </c>
      <c r="G1160" s="103"/>
      <c r="H1160" s="102" t="s">
        <v>1256</v>
      </c>
      <c r="I1160" s="9">
        <v>1</v>
      </c>
      <c r="J1160" s="9">
        <v>48</v>
      </c>
      <c r="K1160" s="100">
        <f t="shared" si="154"/>
        <v>48</v>
      </c>
      <c r="L1160" s="78">
        <v>46142</v>
      </c>
      <c r="M1160" s="103"/>
      <c r="N1160" s="93" t="s">
        <v>617</v>
      </c>
      <c r="O1160" s="94">
        <v>46141</v>
      </c>
      <c r="P1160" s="104">
        <f t="shared" si="155"/>
        <v>48</v>
      </c>
      <c r="Q1160" s="104">
        <f t="shared" si="156"/>
        <v>48</v>
      </c>
      <c r="R1160" s="104"/>
      <c r="S1160" s="93" t="s">
        <v>618</v>
      </c>
      <c r="T1160" s="94">
        <v>46156</v>
      </c>
      <c r="U1160" s="104">
        <f t="shared" si="157"/>
        <v>48</v>
      </c>
      <c r="V1160" s="104">
        <f t="shared" si="158"/>
        <v>1</v>
      </c>
      <c r="W1160" s="103">
        <f t="shared" si="159"/>
        <v>48</v>
      </c>
      <c r="X1160" s="93" t="s">
        <v>89</v>
      </c>
      <c r="Y1160" s="105" t="s">
        <v>84</v>
      </c>
      <c r="Z1160" s="105" t="s">
        <v>619</v>
      </c>
    </row>
    <row r="1161" spans="1:26" s="105" customFormat="1" ht="15" customHeight="1">
      <c r="A1161" s="99">
        <f t="shared" si="160"/>
        <v>1159</v>
      </c>
      <c r="B1161" s="75" t="s">
        <v>631</v>
      </c>
      <c r="C1161" s="100" t="str">
        <f>IF($B1161&lt;&gt;"",_xlfn.IFNA(VLOOKUP($B1161,'Node Details'!$B:$U,C$1,0),"Check"),"")</f>
        <v>0000CM304-0000CM305</v>
      </c>
      <c r="D1161" s="100" t="str">
        <f>IF($B1161&lt;&gt;"",_xlfn.IFNA(VLOOKUP($B1161,'Node Details'!$B:$U,D$1,0),"Check"),"")</f>
        <v>CM3</v>
      </c>
      <c r="E1161" s="100" t="str">
        <f>IF($B1161&lt;&gt;"",_xlfn.IFNA(VLOOKUP($B1161,'Node Details'!$B:$U,E$1,0),"Check"),"")</f>
        <v>Airtel</v>
      </c>
      <c r="F1161" s="101">
        <v>46149</v>
      </c>
      <c r="G1161" s="103"/>
      <c r="H1161" s="102" t="s">
        <v>1256</v>
      </c>
      <c r="I1161" s="9">
        <v>1</v>
      </c>
      <c r="J1161" s="9">
        <v>48</v>
      </c>
      <c r="K1161" s="100">
        <f t="shared" si="154"/>
        <v>48</v>
      </c>
      <c r="L1161" s="78">
        <v>46142</v>
      </c>
      <c r="M1161" s="103"/>
      <c r="N1161" s="93" t="s">
        <v>617</v>
      </c>
      <c r="O1161" s="94">
        <v>46141</v>
      </c>
      <c r="P1161" s="104">
        <f t="shared" si="155"/>
        <v>48</v>
      </c>
      <c r="Q1161" s="104">
        <f t="shared" si="156"/>
        <v>48</v>
      </c>
      <c r="R1161" s="104"/>
      <c r="S1161" s="93" t="s">
        <v>618</v>
      </c>
      <c r="T1161" s="94">
        <v>46156</v>
      </c>
      <c r="U1161" s="104">
        <f t="shared" si="157"/>
        <v>48</v>
      </c>
      <c r="V1161" s="104">
        <f t="shared" si="158"/>
        <v>1</v>
      </c>
      <c r="W1161" s="103">
        <f t="shared" si="159"/>
        <v>48</v>
      </c>
      <c r="X1161" s="93" t="s">
        <v>89</v>
      </c>
      <c r="Y1161" s="105" t="s">
        <v>84</v>
      </c>
      <c r="Z1161" s="105" t="s">
        <v>619</v>
      </c>
    </row>
    <row r="1162" spans="1:26" s="105" customFormat="1" ht="15" customHeight="1">
      <c r="A1162" s="99">
        <f t="shared" si="160"/>
        <v>1160</v>
      </c>
      <c r="B1162" s="75" t="s">
        <v>664</v>
      </c>
      <c r="C1162" s="100" t="str">
        <f>IF($B1162&lt;&gt;"",_xlfn.IFNA(VLOOKUP($B1162,'Node Details'!$B:$U,C$1,0),"Check"),"")</f>
        <v>0000CM305-CM3050102</v>
      </c>
      <c r="D1162" s="100" t="str">
        <f>IF($B1162&lt;&gt;"",_xlfn.IFNA(VLOOKUP($B1162,'Node Details'!$B:$U,D$1,0),"Check"),"")</f>
        <v>CM3</v>
      </c>
      <c r="E1162" s="100" t="str">
        <f>IF($B1162&lt;&gt;"",_xlfn.IFNA(VLOOKUP($B1162,'Node Details'!$B:$U,E$1,0),"Check"),"")</f>
        <v>Airtel</v>
      </c>
      <c r="F1162" s="101">
        <v>46149</v>
      </c>
      <c r="G1162" s="103"/>
      <c r="H1162" s="102" t="s">
        <v>1256</v>
      </c>
      <c r="I1162" s="9">
        <v>1</v>
      </c>
      <c r="J1162" s="9">
        <v>48</v>
      </c>
      <c r="K1162" s="100">
        <f t="shared" si="154"/>
        <v>48</v>
      </c>
      <c r="L1162" s="78">
        <v>46142</v>
      </c>
      <c r="M1162" s="103"/>
      <c r="N1162" s="93" t="s">
        <v>617</v>
      </c>
      <c r="O1162" s="94">
        <v>46141</v>
      </c>
      <c r="P1162" s="104">
        <f t="shared" si="155"/>
        <v>48</v>
      </c>
      <c r="Q1162" s="104">
        <f t="shared" si="156"/>
        <v>48</v>
      </c>
      <c r="R1162" s="104"/>
      <c r="S1162" s="93" t="s">
        <v>618</v>
      </c>
      <c r="T1162" s="94">
        <v>46156</v>
      </c>
      <c r="U1162" s="104">
        <f t="shared" si="157"/>
        <v>48</v>
      </c>
      <c r="V1162" s="104">
        <f t="shared" si="158"/>
        <v>1</v>
      </c>
      <c r="W1162" s="103">
        <f t="shared" si="159"/>
        <v>48</v>
      </c>
      <c r="X1162" s="93" t="s">
        <v>89</v>
      </c>
      <c r="Y1162" s="105" t="s">
        <v>84</v>
      </c>
      <c r="Z1162" s="105" t="s">
        <v>619</v>
      </c>
    </row>
    <row r="1163" spans="1:26" s="105" customFormat="1" ht="15" customHeight="1">
      <c r="A1163" s="99">
        <f t="shared" si="160"/>
        <v>1161</v>
      </c>
      <c r="B1163" s="75" t="s">
        <v>1141</v>
      </c>
      <c r="C1163" s="100" t="str">
        <f>IF($B1163&lt;&gt;"",_xlfn.IFNA(VLOOKUP($B1163,'Node Details'!$B:$U,C$1,0),"Check"),"")</f>
        <v>0000CM305-CM3050104</v>
      </c>
      <c r="D1163" s="100" t="str">
        <f>IF($B1163&lt;&gt;"",_xlfn.IFNA(VLOOKUP($B1163,'Node Details'!$B:$U,D$1,0),"Check"),"")</f>
        <v>CM3</v>
      </c>
      <c r="E1163" s="100" t="str">
        <f>IF($B1163&lt;&gt;"",_xlfn.IFNA(VLOOKUP($B1163,'Node Details'!$B:$U,E$1,0),"Check"),"")</f>
        <v>Airtel</v>
      </c>
      <c r="F1163" s="101">
        <v>46149</v>
      </c>
      <c r="G1163" s="103"/>
      <c r="H1163" s="102" t="s">
        <v>1256</v>
      </c>
      <c r="I1163" s="9">
        <v>1</v>
      </c>
      <c r="J1163" s="9">
        <v>48</v>
      </c>
      <c r="K1163" s="100">
        <f t="shared" si="154"/>
        <v>48</v>
      </c>
      <c r="L1163" s="78">
        <v>46142</v>
      </c>
      <c r="M1163" s="103"/>
      <c r="N1163" s="93" t="s">
        <v>617</v>
      </c>
      <c r="O1163" s="94">
        <v>46141</v>
      </c>
      <c r="P1163" s="104">
        <f t="shared" si="155"/>
        <v>48</v>
      </c>
      <c r="Q1163" s="104">
        <f t="shared" si="156"/>
        <v>48</v>
      </c>
      <c r="R1163" s="104"/>
      <c r="S1163" s="93" t="s">
        <v>618</v>
      </c>
      <c r="T1163" s="94">
        <v>46156</v>
      </c>
      <c r="U1163" s="104">
        <f t="shared" si="157"/>
        <v>48</v>
      </c>
      <c r="V1163" s="104">
        <f t="shared" si="158"/>
        <v>1</v>
      </c>
      <c r="W1163" s="103">
        <f t="shared" si="159"/>
        <v>48</v>
      </c>
      <c r="X1163" s="93" t="s">
        <v>89</v>
      </c>
      <c r="Y1163" s="105" t="s">
        <v>84</v>
      </c>
      <c r="Z1163" s="105" t="s">
        <v>619</v>
      </c>
    </row>
    <row r="1164" spans="1:26" s="105" customFormat="1" ht="15" customHeight="1">
      <c r="A1164" s="99">
        <f t="shared" si="160"/>
        <v>1162</v>
      </c>
      <c r="B1164" s="75" t="s">
        <v>666</v>
      </c>
      <c r="C1164" s="100" t="str">
        <f>IF($B1164&lt;&gt;"",_xlfn.IFNA(VLOOKUP($B1164,'Node Details'!$B:$U,C$1,0),"Check"),"")</f>
        <v>0000CM305-CM3050104</v>
      </c>
      <c r="D1164" s="100" t="str">
        <f>IF($B1164&lt;&gt;"",_xlfn.IFNA(VLOOKUP($B1164,'Node Details'!$B:$U,D$1,0),"Check"),"")</f>
        <v>CM3</v>
      </c>
      <c r="E1164" s="100" t="str">
        <f>IF($B1164&lt;&gt;"",_xlfn.IFNA(VLOOKUP($B1164,'Node Details'!$B:$U,E$1,0),"Check"),"")</f>
        <v>Airtel</v>
      </c>
      <c r="F1164" s="101">
        <v>46149</v>
      </c>
      <c r="G1164" s="103"/>
      <c r="H1164" s="102" t="s">
        <v>1256</v>
      </c>
      <c r="I1164" s="9">
        <v>1</v>
      </c>
      <c r="J1164" s="9">
        <v>48</v>
      </c>
      <c r="K1164" s="100">
        <f t="shared" si="154"/>
        <v>48</v>
      </c>
      <c r="L1164" s="78">
        <v>46142</v>
      </c>
      <c r="M1164" s="103"/>
      <c r="N1164" s="93" t="s">
        <v>617</v>
      </c>
      <c r="O1164" s="94">
        <v>46141</v>
      </c>
      <c r="P1164" s="104">
        <f t="shared" si="155"/>
        <v>48</v>
      </c>
      <c r="Q1164" s="104">
        <f t="shared" si="156"/>
        <v>48</v>
      </c>
      <c r="R1164" s="104"/>
      <c r="S1164" s="93" t="s">
        <v>618</v>
      </c>
      <c r="T1164" s="94">
        <v>46156</v>
      </c>
      <c r="U1164" s="104">
        <f t="shared" si="157"/>
        <v>48</v>
      </c>
      <c r="V1164" s="104">
        <f t="shared" si="158"/>
        <v>1</v>
      </c>
      <c r="W1164" s="103">
        <f t="shared" si="159"/>
        <v>48</v>
      </c>
      <c r="X1164" s="93" t="s">
        <v>89</v>
      </c>
      <c r="Y1164" s="105" t="s">
        <v>84</v>
      </c>
      <c r="Z1164" s="105" t="s">
        <v>619</v>
      </c>
    </row>
    <row r="1165" spans="1:26" s="105" customFormat="1" ht="15" customHeight="1">
      <c r="A1165" s="99">
        <f t="shared" si="160"/>
        <v>1163</v>
      </c>
      <c r="B1165" s="75" t="s">
        <v>634</v>
      </c>
      <c r="C1165" s="100" t="str">
        <f>IF($B1165&lt;&gt;"",_xlfn.IFNA(VLOOKUP($B1165,'Node Details'!$B:$U,C$1,0),"Check"),"")</f>
        <v>000000CM3-0000CM310</v>
      </c>
      <c r="D1165" s="100" t="str">
        <f>IF($B1165&lt;&gt;"",_xlfn.IFNA(VLOOKUP($B1165,'Node Details'!$B:$U,D$1,0),"Check"),"")</f>
        <v>CM3</v>
      </c>
      <c r="E1165" s="100" t="str">
        <f>IF($B1165&lt;&gt;"",_xlfn.IFNA(VLOOKUP($B1165,'Node Details'!$B:$U,E$1,0),"Check"),"")</f>
        <v>Airtel</v>
      </c>
      <c r="F1165" s="101">
        <v>46149</v>
      </c>
      <c r="G1165" s="103"/>
      <c r="H1165" s="102" t="s">
        <v>1256</v>
      </c>
      <c r="I1165" s="9">
        <v>1</v>
      </c>
      <c r="J1165" s="9">
        <v>48</v>
      </c>
      <c r="K1165" s="100">
        <f t="shared" si="154"/>
        <v>48</v>
      </c>
      <c r="L1165" s="78">
        <v>46142</v>
      </c>
      <c r="M1165" s="103"/>
      <c r="N1165" s="93" t="s">
        <v>617</v>
      </c>
      <c r="O1165" s="94">
        <v>46141</v>
      </c>
      <c r="P1165" s="104">
        <f t="shared" si="155"/>
        <v>48</v>
      </c>
      <c r="Q1165" s="104">
        <f t="shared" si="156"/>
        <v>48</v>
      </c>
      <c r="R1165" s="104"/>
      <c r="S1165" s="93" t="s">
        <v>618</v>
      </c>
      <c r="T1165" s="94">
        <v>46156</v>
      </c>
      <c r="U1165" s="104">
        <f t="shared" si="157"/>
        <v>48</v>
      </c>
      <c r="V1165" s="104">
        <f t="shared" si="158"/>
        <v>1</v>
      </c>
      <c r="W1165" s="103">
        <f t="shared" si="159"/>
        <v>48</v>
      </c>
      <c r="X1165" s="93" t="s">
        <v>89</v>
      </c>
      <c r="Y1165" s="105" t="s">
        <v>84</v>
      </c>
      <c r="Z1165" s="105" t="s">
        <v>619</v>
      </c>
    </row>
    <row r="1166" spans="1:26" s="105" customFormat="1" ht="15" customHeight="1">
      <c r="A1166" s="99">
        <f t="shared" si="160"/>
        <v>1164</v>
      </c>
      <c r="B1166" s="75" t="s">
        <v>668</v>
      </c>
      <c r="C1166" s="100" t="str">
        <f>IF($B1166&lt;&gt;"",_xlfn.IFNA(VLOOKUP($B1166,'Node Details'!$B:$U,C$1,0),"Check"),"")</f>
        <v>0000CM306-CM3060106</v>
      </c>
      <c r="D1166" s="100" t="str">
        <f>IF($B1166&lt;&gt;"",_xlfn.IFNA(VLOOKUP($B1166,'Node Details'!$B:$U,D$1,0),"Check"),"")</f>
        <v>CM3</v>
      </c>
      <c r="E1166" s="100" t="str">
        <f>IF($B1166&lt;&gt;"",_xlfn.IFNA(VLOOKUP($B1166,'Node Details'!$B:$U,E$1,0),"Check"),"")</f>
        <v>Airtel</v>
      </c>
      <c r="F1166" s="101">
        <v>46149</v>
      </c>
      <c r="G1166" s="103"/>
      <c r="H1166" s="102" t="s">
        <v>1256</v>
      </c>
      <c r="I1166" s="9">
        <v>1</v>
      </c>
      <c r="J1166" s="9">
        <v>48</v>
      </c>
      <c r="K1166" s="100">
        <f t="shared" si="154"/>
        <v>48</v>
      </c>
      <c r="L1166" s="78">
        <v>46142</v>
      </c>
      <c r="M1166" s="103"/>
      <c r="N1166" s="93" t="s">
        <v>617</v>
      </c>
      <c r="O1166" s="94">
        <v>46141</v>
      </c>
      <c r="P1166" s="104">
        <f t="shared" si="155"/>
        <v>48</v>
      </c>
      <c r="Q1166" s="104">
        <f t="shared" si="156"/>
        <v>48</v>
      </c>
      <c r="R1166" s="104"/>
      <c r="S1166" s="93" t="s">
        <v>618</v>
      </c>
      <c r="T1166" s="94">
        <v>46156</v>
      </c>
      <c r="U1166" s="104">
        <f t="shared" si="157"/>
        <v>48</v>
      </c>
      <c r="V1166" s="104">
        <f t="shared" si="158"/>
        <v>1</v>
      </c>
      <c r="W1166" s="103">
        <f t="shared" si="159"/>
        <v>48</v>
      </c>
      <c r="X1166" s="93" t="s">
        <v>89</v>
      </c>
      <c r="Y1166" s="105" t="s">
        <v>84</v>
      </c>
      <c r="Z1166" s="105" t="s">
        <v>619</v>
      </c>
    </row>
    <row r="1167" spans="1:26" s="105" customFormat="1" ht="15" customHeight="1">
      <c r="A1167" s="99">
        <f t="shared" si="160"/>
        <v>1165</v>
      </c>
      <c r="B1167" s="75" t="s">
        <v>1142</v>
      </c>
      <c r="C1167" s="100" t="str">
        <f>IF($B1167&lt;&gt;"",_xlfn.IFNA(VLOOKUP($B1167,'Node Details'!$B:$U,C$1,0),"Check"),"")</f>
        <v>0000CM606-CM3060108</v>
      </c>
      <c r="D1167" s="100" t="str">
        <f>IF($B1167&lt;&gt;"",_xlfn.IFNA(VLOOKUP($B1167,'Node Details'!$B:$U,D$1,0),"Check"),"")</f>
        <v>CM3</v>
      </c>
      <c r="E1167" s="100" t="str">
        <f>IF($B1167&lt;&gt;"",_xlfn.IFNA(VLOOKUP($B1167,'Node Details'!$B:$U,E$1,0),"Check"),"")</f>
        <v>Airtel</v>
      </c>
      <c r="F1167" s="101">
        <v>46149</v>
      </c>
      <c r="G1167" s="103"/>
      <c r="H1167" s="102" t="s">
        <v>1256</v>
      </c>
      <c r="I1167" s="9">
        <v>1</v>
      </c>
      <c r="J1167" s="9">
        <v>48</v>
      </c>
      <c r="K1167" s="100">
        <f t="shared" si="154"/>
        <v>48</v>
      </c>
      <c r="L1167" s="78">
        <v>46142</v>
      </c>
      <c r="M1167" s="103"/>
      <c r="N1167" s="93" t="s">
        <v>617</v>
      </c>
      <c r="O1167" s="94">
        <v>46141</v>
      </c>
      <c r="P1167" s="104">
        <f t="shared" si="155"/>
        <v>48</v>
      </c>
      <c r="Q1167" s="104">
        <f t="shared" si="156"/>
        <v>48</v>
      </c>
      <c r="R1167" s="104"/>
      <c r="S1167" s="93" t="s">
        <v>618</v>
      </c>
      <c r="T1167" s="94">
        <v>46156</v>
      </c>
      <c r="U1167" s="104">
        <f t="shared" si="157"/>
        <v>48</v>
      </c>
      <c r="V1167" s="104">
        <f t="shared" si="158"/>
        <v>1</v>
      </c>
      <c r="W1167" s="103">
        <f t="shared" si="159"/>
        <v>48</v>
      </c>
      <c r="X1167" s="93" t="s">
        <v>89</v>
      </c>
      <c r="Y1167" s="105" t="s">
        <v>84</v>
      </c>
      <c r="Z1167" s="105" t="s">
        <v>619</v>
      </c>
    </row>
    <row r="1168" spans="1:26" s="105" customFormat="1" ht="15" customHeight="1">
      <c r="A1168" s="99">
        <f t="shared" si="160"/>
        <v>1166</v>
      </c>
      <c r="B1168" s="75" t="s">
        <v>671</v>
      </c>
      <c r="C1168" s="100" t="str">
        <f>IF($B1168&lt;&gt;"",_xlfn.IFNA(VLOOKUP($B1168,'Node Details'!$B:$U,C$1,0),"Check"),"")</f>
        <v>0000CM606-CM3060108</v>
      </c>
      <c r="D1168" s="100" t="str">
        <f>IF($B1168&lt;&gt;"",_xlfn.IFNA(VLOOKUP($B1168,'Node Details'!$B:$U,D$1,0),"Check"),"")</f>
        <v>CM3</v>
      </c>
      <c r="E1168" s="100" t="str">
        <f>IF($B1168&lt;&gt;"",_xlfn.IFNA(VLOOKUP($B1168,'Node Details'!$B:$U,E$1,0),"Check"),"")</f>
        <v>Airtel</v>
      </c>
      <c r="F1168" s="101">
        <v>46149</v>
      </c>
      <c r="G1168" s="103"/>
      <c r="H1168" s="102" t="s">
        <v>1256</v>
      </c>
      <c r="I1168" s="9">
        <v>1</v>
      </c>
      <c r="J1168" s="9">
        <v>48</v>
      </c>
      <c r="K1168" s="100">
        <f t="shared" si="154"/>
        <v>48</v>
      </c>
      <c r="L1168" s="78">
        <v>46142</v>
      </c>
      <c r="M1168" s="103"/>
      <c r="N1168" s="93" t="s">
        <v>617</v>
      </c>
      <c r="O1168" s="94">
        <v>46141</v>
      </c>
      <c r="P1168" s="104">
        <f t="shared" si="155"/>
        <v>48</v>
      </c>
      <c r="Q1168" s="104">
        <f t="shared" si="156"/>
        <v>48</v>
      </c>
      <c r="R1168" s="104"/>
      <c r="S1168" s="93" t="s">
        <v>618</v>
      </c>
      <c r="T1168" s="94">
        <v>46156</v>
      </c>
      <c r="U1168" s="104">
        <f t="shared" si="157"/>
        <v>48</v>
      </c>
      <c r="V1168" s="104">
        <f t="shared" si="158"/>
        <v>1</v>
      </c>
      <c r="W1168" s="103">
        <f t="shared" si="159"/>
        <v>48</v>
      </c>
      <c r="X1168" s="93" t="s">
        <v>89</v>
      </c>
      <c r="Y1168" s="105" t="s">
        <v>84</v>
      </c>
      <c r="Z1168" s="105" t="s">
        <v>619</v>
      </c>
    </row>
    <row r="1169" spans="1:26" s="105" customFormat="1" ht="15" customHeight="1">
      <c r="A1169" s="99">
        <f t="shared" si="160"/>
        <v>1167</v>
      </c>
      <c r="B1169" s="75" t="s">
        <v>1143</v>
      </c>
      <c r="C1169" s="100" t="str">
        <f>IF($B1169&lt;&gt;"",_xlfn.IFNA(VLOOKUP($B1169,'Node Details'!$B:$U,C$1,0),"Check"),"")</f>
        <v>0000CM306-CM3060104</v>
      </c>
      <c r="D1169" s="100" t="str">
        <f>IF($B1169&lt;&gt;"",_xlfn.IFNA(VLOOKUP($B1169,'Node Details'!$B:$U,D$1,0),"Check"),"")</f>
        <v>CM3</v>
      </c>
      <c r="E1169" s="100" t="str">
        <f>IF($B1169&lt;&gt;"",_xlfn.IFNA(VLOOKUP($B1169,'Node Details'!$B:$U,E$1,0),"Check"),"")</f>
        <v>Airtel</v>
      </c>
      <c r="F1169" s="101">
        <v>46149</v>
      </c>
      <c r="G1169" s="103"/>
      <c r="H1169" s="102" t="s">
        <v>1256</v>
      </c>
      <c r="I1169" s="9">
        <v>1</v>
      </c>
      <c r="J1169" s="9">
        <v>48</v>
      </c>
      <c r="K1169" s="100">
        <f t="shared" si="154"/>
        <v>48</v>
      </c>
      <c r="L1169" s="78">
        <v>46142</v>
      </c>
      <c r="M1169" s="103"/>
      <c r="N1169" s="93" t="s">
        <v>617</v>
      </c>
      <c r="O1169" s="94">
        <v>46141</v>
      </c>
      <c r="P1169" s="104">
        <f t="shared" si="155"/>
        <v>48</v>
      </c>
      <c r="Q1169" s="104">
        <f t="shared" si="156"/>
        <v>48</v>
      </c>
      <c r="R1169" s="104"/>
      <c r="S1169" s="93" t="s">
        <v>618</v>
      </c>
      <c r="T1169" s="94">
        <v>46156</v>
      </c>
      <c r="U1169" s="104">
        <f t="shared" si="157"/>
        <v>48</v>
      </c>
      <c r="V1169" s="104">
        <f t="shared" si="158"/>
        <v>1</v>
      </c>
      <c r="W1169" s="103">
        <f t="shared" si="159"/>
        <v>48</v>
      </c>
      <c r="X1169" s="93" t="s">
        <v>89</v>
      </c>
      <c r="Y1169" s="105" t="s">
        <v>84</v>
      </c>
      <c r="Z1169" s="105" t="s">
        <v>619</v>
      </c>
    </row>
    <row r="1170" spans="1:26" s="105" customFormat="1" ht="15" customHeight="1">
      <c r="A1170" s="99">
        <f t="shared" si="160"/>
        <v>1168</v>
      </c>
      <c r="B1170" s="75" t="s">
        <v>1144</v>
      </c>
      <c r="C1170" s="100" t="str">
        <f>IF($B1170&lt;&gt;"",_xlfn.IFNA(VLOOKUP($B1170,'Node Details'!$B:$U,C$1,0),"Check"),"")</f>
        <v>0000CM306-CM3060104</v>
      </c>
      <c r="D1170" s="100" t="str">
        <f>IF($B1170&lt;&gt;"",_xlfn.IFNA(VLOOKUP($B1170,'Node Details'!$B:$U,D$1,0),"Check"),"")</f>
        <v>CM3</v>
      </c>
      <c r="E1170" s="100" t="str">
        <f>IF($B1170&lt;&gt;"",_xlfn.IFNA(VLOOKUP($B1170,'Node Details'!$B:$U,E$1,0),"Check"),"")</f>
        <v>Airtel</v>
      </c>
      <c r="F1170" s="101">
        <v>46149</v>
      </c>
      <c r="G1170" s="103"/>
      <c r="H1170" s="102" t="s">
        <v>1256</v>
      </c>
      <c r="I1170" s="9">
        <v>1</v>
      </c>
      <c r="J1170" s="9">
        <v>48</v>
      </c>
      <c r="K1170" s="100">
        <f t="shared" si="154"/>
        <v>48</v>
      </c>
      <c r="L1170" s="78">
        <v>46142</v>
      </c>
      <c r="M1170" s="103"/>
      <c r="N1170" s="93" t="s">
        <v>617</v>
      </c>
      <c r="O1170" s="94">
        <v>46141</v>
      </c>
      <c r="P1170" s="104">
        <f t="shared" si="155"/>
        <v>48</v>
      </c>
      <c r="Q1170" s="104">
        <f t="shared" si="156"/>
        <v>48</v>
      </c>
      <c r="R1170" s="104"/>
      <c r="S1170" s="93" t="s">
        <v>618</v>
      </c>
      <c r="T1170" s="94">
        <v>46156</v>
      </c>
      <c r="U1170" s="104">
        <f t="shared" si="157"/>
        <v>48</v>
      </c>
      <c r="V1170" s="104">
        <f t="shared" si="158"/>
        <v>1</v>
      </c>
      <c r="W1170" s="103">
        <f t="shared" si="159"/>
        <v>48</v>
      </c>
      <c r="X1170" s="93" t="s">
        <v>89</v>
      </c>
      <c r="Y1170" s="105" t="s">
        <v>84</v>
      </c>
      <c r="Z1170" s="105" t="s">
        <v>619</v>
      </c>
    </row>
    <row r="1171" spans="1:26" s="105" customFormat="1" ht="15" customHeight="1">
      <c r="A1171" s="99">
        <f t="shared" si="160"/>
        <v>1169</v>
      </c>
      <c r="B1171" s="75" t="s">
        <v>1145</v>
      </c>
      <c r="C1171" s="100" t="str">
        <f>IF($B1171&lt;&gt;"",_xlfn.IFNA(VLOOKUP($B1171,'Node Details'!$B:$U,C$1,0),"Check"),"")</f>
        <v>0000CM306-CM3060104</v>
      </c>
      <c r="D1171" s="100" t="str">
        <f>IF($B1171&lt;&gt;"",_xlfn.IFNA(VLOOKUP($B1171,'Node Details'!$B:$U,D$1,0),"Check"),"")</f>
        <v>CM3</v>
      </c>
      <c r="E1171" s="100" t="str">
        <f>IF($B1171&lt;&gt;"",_xlfn.IFNA(VLOOKUP($B1171,'Node Details'!$B:$U,E$1,0),"Check"),"")</f>
        <v>Airtel</v>
      </c>
      <c r="F1171" s="101">
        <v>46149</v>
      </c>
      <c r="G1171" s="103"/>
      <c r="H1171" s="102" t="s">
        <v>1256</v>
      </c>
      <c r="I1171" s="9">
        <v>1</v>
      </c>
      <c r="J1171" s="9">
        <v>48</v>
      </c>
      <c r="K1171" s="100">
        <f t="shared" si="154"/>
        <v>48</v>
      </c>
      <c r="L1171" s="78">
        <v>46142</v>
      </c>
      <c r="M1171" s="103"/>
      <c r="N1171" s="93" t="s">
        <v>617</v>
      </c>
      <c r="O1171" s="94">
        <v>46141</v>
      </c>
      <c r="P1171" s="104">
        <f t="shared" si="155"/>
        <v>48</v>
      </c>
      <c r="Q1171" s="104">
        <f t="shared" si="156"/>
        <v>48</v>
      </c>
      <c r="R1171" s="104"/>
      <c r="S1171" s="93" t="s">
        <v>618</v>
      </c>
      <c r="T1171" s="94">
        <v>46156</v>
      </c>
      <c r="U1171" s="104">
        <f t="shared" si="157"/>
        <v>48</v>
      </c>
      <c r="V1171" s="104">
        <f t="shared" si="158"/>
        <v>1</v>
      </c>
      <c r="W1171" s="103">
        <f t="shared" si="159"/>
        <v>48</v>
      </c>
      <c r="X1171" s="93" t="s">
        <v>89</v>
      </c>
      <c r="Y1171" s="105" t="s">
        <v>84</v>
      </c>
      <c r="Z1171" s="105" t="s">
        <v>619</v>
      </c>
    </row>
    <row r="1172" spans="1:26" s="105" customFormat="1" ht="15" customHeight="1">
      <c r="A1172" s="99">
        <f t="shared" si="160"/>
        <v>1170</v>
      </c>
      <c r="B1172" s="75" t="s">
        <v>673</v>
      </c>
      <c r="C1172" s="100" t="str">
        <f>IF($B1172&lt;&gt;"",_xlfn.IFNA(VLOOKUP($B1172,'Node Details'!$B:$U,C$1,0),"Check"),"")</f>
        <v>0000CM306-CM3060104</v>
      </c>
      <c r="D1172" s="100" t="str">
        <f>IF($B1172&lt;&gt;"",_xlfn.IFNA(VLOOKUP($B1172,'Node Details'!$B:$U,D$1,0),"Check"),"")</f>
        <v>CM3</v>
      </c>
      <c r="E1172" s="100" t="str">
        <f>IF($B1172&lt;&gt;"",_xlfn.IFNA(VLOOKUP($B1172,'Node Details'!$B:$U,E$1,0),"Check"),"")</f>
        <v>Airtel</v>
      </c>
      <c r="F1172" s="101">
        <v>46149</v>
      </c>
      <c r="G1172" s="103"/>
      <c r="H1172" s="102" t="s">
        <v>1256</v>
      </c>
      <c r="I1172" s="9">
        <v>1</v>
      </c>
      <c r="J1172" s="9">
        <v>48</v>
      </c>
      <c r="K1172" s="100">
        <f t="shared" si="154"/>
        <v>48</v>
      </c>
      <c r="L1172" s="78">
        <v>46142</v>
      </c>
      <c r="M1172" s="103"/>
      <c r="N1172" s="93" t="s">
        <v>617</v>
      </c>
      <c r="O1172" s="94">
        <v>46141</v>
      </c>
      <c r="P1172" s="104">
        <f t="shared" si="155"/>
        <v>48</v>
      </c>
      <c r="Q1172" s="104">
        <f t="shared" si="156"/>
        <v>48</v>
      </c>
      <c r="R1172" s="104"/>
      <c r="S1172" s="93" t="s">
        <v>618</v>
      </c>
      <c r="T1172" s="94">
        <v>46156</v>
      </c>
      <c r="U1172" s="104">
        <f t="shared" si="157"/>
        <v>48</v>
      </c>
      <c r="V1172" s="104">
        <f t="shared" si="158"/>
        <v>1</v>
      </c>
      <c r="W1172" s="103">
        <f t="shared" si="159"/>
        <v>48</v>
      </c>
      <c r="X1172" s="93" t="s">
        <v>89</v>
      </c>
      <c r="Y1172" s="105" t="s">
        <v>84</v>
      </c>
      <c r="Z1172" s="105" t="s">
        <v>619</v>
      </c>
    </row>
    <row r="1173" spans="1:26" s="105" customFormat="1" ht="15" customHeight="1">
      <c r="A1173" s="99">
        <f t="shared" si="160"/>
        <v>1171</v>
      </c>
      <c r="B1173" s="75" t="s">
        <v>635</v>
      </c>
      <c r="C1173" s="100" t="str">
        <f>IF($B1173&lt;&gt;"",_xlfn.IFNA(VLOOKUP($B1173,'Node Details'!$B:$U,C$1,0),"Check"),"")</f>
        <v>0000CM306-0000CM307</v>
      </c>
      <c r="D1173" s="100" t="str">
        <f>IF($B1173&lt;&gt;"",_xlfn.IFNA(VLOOKUP($B1173,'Node Details'!$B:$U,D$1,0),"Check"),"")</f>
        <v>CM3</v>
      </c>
      <c r="E1173" s="100" t="str">
        <f>IF($B1173&lt;&gt;"",_xlfn.IFNA(VLOOKUP($B1173,'Node Details'!$B:$U,E$1,0),"Check"),"")</f>
        <v>Airtel</v>
      </c>
      <c r="F1173" s="101">
        <v>46149</v>
      </c>
      <c r="G1173" s="103"/>
      <c r="H1173" s="102" t="s">
        <v>1256</v>
      </c>
      <c r="I1173" s="9">
        <v>1</v>
      </c>
      <c r="J1173" s="9">
        <v>48</v>
      </c>
      <c r="K1173" s="100">
        <f t="shared" si="154"/>
        <v>48</v>
      </c>
      <c r="L1173" s="78">
        <v>46142</v>
      </c>
      <c r="M1173" s="103"/>
      <c r="N1173" s="93" t="s">
        <v>617</v>
      </c>
      <c r="O1173" s="94">
        <v>46141</v>
      </c>
      <c r="P1173" s="104">
        <f t="shared" si="155"/>
        <v>48</v>
      </c>
      <c r="Q1173" s="104">
        <f t="shared" si="156"/>
        <v>48</v>
      </c>
      <c r="R1173" s="104"/>
      <c r="S1173" s="93" t="s">
        <v>618</v>
      </c>
      <c r="T1173" s="94">
        <v>46156</v>
      </c>
      <c r="U1173" s="104">
        <f t="shared" si="157"/>
        <v>48</v>
      </c>
      <c r="V1173" s="104">
        <f t="shared" si="158"/>
        <v>1</v>
      </c>
      <c r="W1173" s="103">
        <f t="shared" si="159"/>
        <v>48</v>
      </c>
      <c r="X1173" s="93" t="s">
        <v>89</v>
      </c>
      <c r="Y1173" s="105" t="s">
        <v>84</v>
      </c>
      <c r="Z1173" s="105" t="s">
        <v>619</v>
      </c>
    </row>
    <row r="1174" spans="1:26" s="105" customFormat="1" ht="15" customHeight="1">
      <c r="A1174" s="99">
        <f t="shared" si="160"/>
        <v>1172</v>
      </c>
      <c r="B1174" s="75" t="s">
        <v>1146</v>
      </c>
      <c r="C1174" s="100" t="str">
        <f>IF($B1174&lt;&gt;"",_xlfn.IFNA(VLOOKUP($B1174,'Node Details'!$B:$U,C$1,0),"Check"),"")</f>
        <v>0000CM307-CM3070103</v>
      </c>
      <c r="D1174" s="100" t="str">
        <f>IF($B1174&lt;&gt;"",_xlfn.IFNA(VLOOKUP($B1174,'Node Details'!$B:$U,D$1,0),"Check"),"")</f>
        <v>CM3</v>
      </c>
      <c r="E1174" s="100" t="str">
        <f>IF($B1174&lt;&gt;"",_xlfn.IFNA(VLOOKUP($B1174,'Node Details'!$B:$U,E$1,0),"Check"),"")</f>
        <v>Airtel</v>
      </c>
      <c r="F1174" s="101">
        <v>46149</v>
      </c>
      <c r="G1174" s="103"/>
      <c r="H1174" s="102" t="s">
        <v>1256</v>
      </c>
      <c r="I1174" s="9">
        <v>1</v>
      </c>
      <c r="J1174" s="9">
        <v>48</v>
      </c>
      <c r="K1174" s="100">
        <f t="shared" si="154"/>
        <v>48</v>
      </c>
      <c r="L1174" s="78">
        <v>46142</v>
      </c>
      <c r="M1174" s="103"/>
      <c r="N1174" s="93" t="s">
        <v>617</v>
      </c>
      <c r="O1174" s="94">
        <v>46141</v>
      </c>
      <c r="P1174" s="104">
        <f t="shared" si="155"/>
        <v>48</v>
      </c>
      <c r="Q1174" s="104">
        <f t="shared" si="156"/>
        <v>48</v>
      </c>
      <c r="R1174" s="104"/>
      <c r="S1174" s="93" t="s">
        <v>618</v>
      </c>
      <c r="T1174" s="94">
        <v>46156</v>
      </c>
      <c r="U1174" s="104">
        <f t="shared" si="157"/>
        <v>48</v>
      </c>
      <c r="V1174" s="104">
        <f t="shared" si="158"/>
        <v>1</v>
      </c>
      <c r="W1174" s="103">
        <f t="shared" si="159"/>
        <v>48</v>
      </c>
      <c r="X1174" s="93" t="s">
        <v>89</v>
      </c>
      <c r="Y1174" s="105" t="s">
        <v>84</v>
      </c>
      <c r="Z1174" s="105" t="s">
        <v>619</v>
      </c>
    </row>
    <row r="1175" spans="1:26" s="105" customFormat="1" ht="15" customHeight="1">
      <c r="A1175" s="99">
        <f t="shared" si="160"/>
        <v>1173</v>
      </c>
      <c r="B1175" s="75" t="s">
        <v>1147</v>
      </c>
      <c r="C1175" s="100" t="str">
        <f>IF($B1175&lt;&gt;"",_xlfn.IFNA(VLOOKUP($B1175,'Node Details'!$B:$U,C$1,0),"Check"),"")</f>
        <v>0000CM307-CM3070103</v>
      </c>
      <c r="D1175" s="100" t="str">
        <f>IF($B1175&lt;&gt;"",_xlfn.IFNA(VLOOKUP($B1175,'Node Details'!$B:$U,D$1,0),"Check"),"")</f>
        <v>CM3</v>
      </c>
      <c r="E1175" s="100" t="str">
        <f>IF($B1175&lt;&gt;"",_xlfn.IFNA(VLOOKUP($B1175,'Node Details'!$B:$U,E$1,0),"Check"),"")</f>
        <v>Airtel</v>
      </c>
      <c r="F1175" s="101">
        <v>46149</v>
      </c>
      <c r="G1175" s="103"/>
      <c r="H1175" s="102" t="s">
        <v>1256</v>
      </c>
      <c r="I1175" s="9">
        <v>1</v>
      </c>
      <c r="J1175" s="9">
        <v>48</v>
      </c>
      <c r="K1175" s="100">
        <f t="shared" si="154"/>
        <v>48</v>
      </c>
      <c r="L1175" s="78">
        <v>46142</v>
      </c>
      <c r="M1175" s="103"/>
      <c r="N1175" s="93" t="s">
        <v>617</v>
      </c>
      <c r="O1175" s="94">
        <v>46141</v>
      </c>
      <c r="P1175" s="104">
        <f t="shared" si="155"/>
        <v>48</v>
      </c>
      <c r="Q1175" s="104">
        <f t="shared" si="156"/>
        <v>48</v>
      </c>
      <c r="R1175" s="104"/>
      <c r="S1175" s="93" t="s">
        <v>618</v>
      </c>
      <c r="T1175" s="94">
        <v>46156</v>
      </c>
      <c r="U1175" s="104">
        <f t="shared" si="157"/>
        <v>48</v>
      </c>
      <c r="V1175" s="104">
        <f t="shared" si="158"/>
        <v>1</v>
      </c>
      <c r="W1175" s="103">
        <f t="shared" si="159"/>
        <v>48</v>
      </c>
      <c r="X1175" s="93" t="s">
        <v>89</v>
      </c>
      <c r="Y1175" s="105" t="s">
        <v>84</v>
      </c>
      <c r="Z1175" s="105" t="s">
        <v>619</v>
      </c>
    </row>
    <row r="1176" spans="1:26" s="105" customFormat="1" ht="15" customHeight="1">
      <c r="A1176" s="99">
        <f t="shared" si="160"/>
        <v>1174</v>
      </c>
      <c r="B1176" t="s">
        <v>675</v>
      </c>
      <c r="C1176" s="100" t="str">
        <f>IF($B1176&lt;&gt;"",_xlfn.IFNA(VLOOKUP($B1176,'Node Details'!$B:$U,C$1,0),"Check"),"")</f>
        <v>0000CM307-CM3070103</v>
      </c>
      <c r="D1176" s="100" t="str">
        <f>IF($B1176&lt;&gt;"",_xlfn.IFNA(VLOOKUP($B1176,'Node Details'!$B:$U,D$1,0),"Check"),"")</f>
        <v>CM3</v>
      </c>
      <c r="E1176" s="100" t="str">
        <f>IF($B1176&lt;&gt;"",_xlfn.IFNA(VLOOKUP($B1176,'Node Details'!$B:$U,E$1,0),"Check"),"")</f>
        <v>Airtel</v>
      </c>
      <c r="F1176" s="101">
        <v>46149</v>
      </c>
      <c r="G1176" s="103"/>
      <c r="H1176" s="102" t="s">
        <v>1256</v>
      </c>
      <c r="I1176" s="9">
        <v>1</v>
      </c>
      <c r="J1176" s="9">
        <v>48</v>
      </c>
      <c r="K1176" s="100">
        <f t="shared" si="154"/>
        <v>48</v>
      </c>
      <c r="L1176" s="78">
        <v>46142</v>
      </c>
      <c r="M1176" s="103"/>
      <c r="N1176" s="93" t="s">
        <v>617</v>
      </c>
      <c r="O1176" s="94">
        <v>46141</v>
      </c>
      <c r="P1176" s="104">
        <f t="shared" si="155"/>
        <v>48</v>
      </c>
      <c r="Q1176" s="104">
        <f t="shared" si="156"/>
        <v>48</v>
      </c>
      <c r="R1176" s="104"/>
      <c r="S1176" s="93" t="s">
        <v>618</v>
      </c>
      <c r="T1176" s="94">
        <v>46156</v>
      </c>
      <c r="U1176" s="104">
        <f t="shared" si="157"/>
        <v>48</v>
      </c>
      <c r="V1176" s="104">
        <f t="shared" si="158"/>
        <v>1</v>
      </c>
      <c r="W1176" s="103">
        <f t="shared" si="159"/>
        <v>48</v>
      </c>
      <c r="X1176" s="93" t="s">
        <v>89</v>
      </c>
      <c r="Y1176" s="105" t="s">
        <v>84</v>
      </c>
      <c r="Z1176" s="105" t="s">
        <v>619</v>
      </c>
    </row>
    <row r="1177" spans="1:26" s="105" customFormat="1" ht="15" customHeight="1">
      <c r="A1177" s="99">
        <f t="shared" si="160"/>
        <v>1175</v>
      </c>
      <c r="B1177" s="75" t="s">
        <v>679</v>
      </c>
      <c r="C1177" s="100" t="str">
        <f>IF($B1177&lt;&gt;"",_xlfn.IFNA(VLOOKUP($B1177,'Node Details'!$B:$U,C$1,0),"Check"),"")</f>
        <v>0000CM307-CM3070105</v>
      </c>
      <c r="D1177" s="100" t="str">
        <f>IF($B1177&lt;&gt;"",_xlfn.IFNA(VLOOKUP($B1177,'Node Details'!$B:$U,D$1,0),"Check"),"")</f>
        <v>CM3</v>
      </c>
      <c r="E1177" s="100" t="str">
        <f>IF($B1177&lt;&gt;"",_xlfn.IFNA(VLOOKUP($B1177,'Node Details'!$B:$U,E$1,0),"Check"),"")</f>
        <v>Airtel</v>
      </c>
      <c r="F1177" s="101">
        <v>46149</v>
      </c>
      <c r="G1177" s="103"/>
      <c r="H1177" s="102" t="s">
        <v>1256</v>
      </c>
      <c r="I1177" s="9">
        <v>1</v>
      </c>
      <c r="J1177" s="9">
        <v>48</v>
      </c>
      <c r="K1177" s="100">
        <f t="shared" si="154"/>
        <v>48</v>
      </c>
      <c r="L1177" s="78">
        <v>46142</v>
      </c>
      <c r="M1177" s="103"/>
      <c r="N1177" s="93" t="s">
        <v>617</v>
      </c>
      <c r="O1177" s="94">
        <v>46141</v>
      </c>
      <c r="P1177" s="104">
        <f t="shared" si="155"/>
        <v>48</v>
      </c>
      <c r="Q1177" s="104">
        <f t="shared" si="156"/>
        <v>48</v>
      </c>
      <c r="R1177" s="104"/>
      <c r="S1177" s="93" t="s">
        <v>618</v>
      </c>
      <c r="T1177" s="94">
        <v>46156</v>
      </c>
      <c r="U1177" s="104">
        <f t="shared" si="157"/>
        <v>48</v>
      </c>
      <c r="V1177" s="104">
        <f t="shared" si="158"/>
        <v>1</v>
      </c>
      <c r="W1177" s="103">
        <f t="shared" si="159"/>
        <v>48</v>
      </c>
      <c r="X1177" s="93" t="s">
        <v>89</v>
      </c>
      <c r="Y1177" s="105" t="s">
        <v>84</v>
      </c>
      <c r="Z1177" s="105" t="s">
        <v>619</v>
      </c>
    </row>
    <row r="1178" spans="1:26" s="105" customFormat="1" ht="15" customHeight="1">
      <c r="A1178" s="99">
        <f t="shared" si="160"/>
        <v>1176</v>
      </c>
      <c r="B1178" s="75" t="s">
        <v>677</v>
      </c>
      <c r="C1178" s="100" t="str">
        <f>IF($B1178&lt;&gt;"",_xlfn.IFNA(VLOOKUP($B1178,'Node Details'!$B:$U,C$1,0),"Check"),"")</f>
        <v>0000CM307-CM3070105</v>
      </c>
      <c r="D1178" s="100" t="str">
        <f>IF($B1178&lt;&gt;"",_xlfn.IFNA(VLOOKUP($B1178,'Node Details'!$B:$U,D$1,0),"Check"),"")</f>
        <v>CM3</v>
      </c>
      <c r="E1178" s="100" t="str">
        <f>IF($B1178&lt;&gt;"",_xlfn.IFNA(VLOOKUP($B1178,'Node Details'!$B:$U,E$1,0),"Check"),"")</f>
        <v>Airtel</v>
      </c>
      <c r="F1178" s="101">
        <v>46149</v>
      </c>
      <c r="G1178" s="103"/>
      <c r="H1178" s="102" t="s">
        <v>1256</v>
      </c>
      <c r="I1178" s="9">
        <v>1</v>
      </c>
      <c r="J1178" s="9">
        <v>48</v>
      </c>
      <c r="K1178" s="100">
        <f t="shared" si="154"/>
        <v>48</v>
      </c>
      <c r="L1178" s="78">
        <v>46142</v>
      </c>
      <c r="M1178" s="103"/>
      <c r="N1178" s="93" t="s">
        <v>617</v>
      </c>
      <c r="O1178" s="94">
        <v>46141</v>
      </c>
      <c r="P1178" s="104">
        <f t="shared" si="155"/>
        <v>48</v>
      </c>
      <c r="Q1178" s="104">
        <f t="shared" si="156"/>
        <v>48</v>
      </c>
      <c r="R1178" s="104"/>
      <c r="S1178" s="93" t="s">
        <v>618</v>
      </c>
      <c r="T1178" s="94">
        <v>46156</v>
      </c>
      <c r="U1178" s="104">
        <f t="shared" si="157"/>
        <v>48</v>
      </c>
      <c r="V1178" s="104">
        <f t="shared" si="158"/>
        <v>1</v>
      </c>
      <c r="W1178" s="103">
        <f t="shared" si="159"/>
        <v>48</v>
      </c>
      <c r="X1178" s="93" t="s">
        <v>89</v>
      </c>
      <c r="Y1178" s="105" t="s">
        <v>84</v>
      </c>
      <c r="Z1178" s="105" t="s">
        <v>619</v>
      </c>
    </row>
    <row r="1179" spans="1:26" s="105" customFormat="1" ht="15" customHeight="1">
      <c r="A1179" s="99">
        <f t="shared" si="160"/>
        <v>1177</v>
      </c>
      <c r="B1179" s="75" t="s">
        <v>1148</v>
      </c>
      <c r="C1179" s="100" t="str">
        <f>IF($B1179&lt;&gt;"",_xlfn.IFNA(VLOOKUP($B1179,'Node Details'!$B:$U,C$1,0),"Check"),"")</f>
        <v>CM3070104-CM3070108</v>
      </c>
      <c r="D1179" s="100" t="str">
        <f>IF($B1179&lt;&gt;"",_xlfn.IFNA(VLOOKUP($B1179,'Node Details'!$B:$U,D$1,0),"Check"),"")</f>
        <v>CM3</v>
      </c>
      <c r="E1179" s="100" t="str">
        <f>IF($B1179&lt;&gt;"",_xlfn.IFNA(VLOOKUP($B1179,'Node Details'!$B:$U,E$1,0),"Check"),"")</f>
        <v>Airtel</v>
      </c>
      <c r="F1179" s="101">
        <v>46149</v>
      </c>
      <c r="G1179" s="103"/>
      <c r="H1179" s="102" t="s">
        <v>1256</v>
      </c>
      <c r="I1179" s="9">
        <v>1</v>
      </c>
      <c r="J1179" s="9">
        <v>48</v>
      </c>
      <c r="K1179" s="100">
        <f t="shared" si="154"/>
        <v>48</v>
      </c>
      <c r="L1179" s="78">
        <v>46142</v>
      </c>
      <c r="M1179" s="103"/>
      <c r="N1179" s="93" t="s">
        <v>617</v>
      </c>
      <c r="O1179" s="94">
        <v>46141</v>
      </c>
      <c r="P1179" s="104">
        <f t="shared" si="155"/>
        <v>48</v>
      </c>
      <c r="Q1179" s="104">
        <f t="shared" si="156"/>
        <v>48</v>
      </c>
      <c r="R1179" s="104"/>
      <c r="S1179" s="93" t="s">
        <v>618</v>
      </c>
      <c r="T1179" s="94">
        <v>46156</v>
      </c>
      <c r="U1179" s="104">
        <f t="shared" si="157"/>
        <v>48</v>
      </c>
      <c r="V1179" s="104">
        <f t="shared" si="158"/>
        <v>1</v>
      </c>
      <c r="W1179" s="103">
        <f t="shared" si="159"/>
        <v>48</v>
      </c>
      <c r="X1179" s="93" t="s">
        <v>89</v>
      </c>
      <c r="Y1179" s="105" t="s">
        <v>84</v>
      </c>
      <c r="Z1179" s="105" t="s">
        <v>619</v>
      </c>
    </row>
    <row r="1180" spans="1:26" s="105" customFormat="1" ht="15" customHeight="1">
      <c r="A1180" s="99">
        <f t="shared" si="160"/>
        <v>1178</v>
      </c>
      <c r="B1180" s="75" t="s">
        <v>1149</v>
      </c>
      <c r="C1180" s="100" t="str">
        <f>IF($B1180&lt;&gt;"",_xlfn.IFNA(VLOOKUP($B1180,'Node Details'!$B:$U,C$1,0),"Check"),"")</f>
        <v>CM3070104-CM3070108</v>
      </c>
      <c r="D1180" s="100" t="str">
        <f>IF($B1180&lt;&gt;"",_xlfn.IFNA(VLOOKUP($B1180,'Node Details'!$B:$U,D$1,0),"Check"),"")</f>
        <v>CM3</v>
      </c>
      <c r="E1180" s="100" t="str">
        <f>IF($B1180&lt;&gt;"",_xlfn.IFNA(VLOOKUP($B1180,'Node Details'!$B:$U,E$1,0),"Check"),"")</f>
        <v>Airtel</v>
      </c>
      <c r="F1180" s="101">
        <v>46149</v>
      </c>
      <c r="G1180" s="103"/>
      <c r="H1180" s="102" t="s">
        <v>1256</v>
      </c>
      <c r="I1180" s="9">
        <v>1</v>
      </c>
      <c r="J1180" s="9">
        <v>48</v>
      </c>
      <c r="K1180" s="100">
        <f t="shared" si="154"/>
        <v>48</v>
      </c>
      <c r="L1180" s="78">
        <v>46142</v>
      </c>
      <c r="M1180" s="103"/>
      <c r="N1180" s="93" t="s">
        <v>617</v>
      </c>
      <c r="O1180" s="94">
        <v>46141</v>
      </c>
      <c r="P1180" s="104">
        <f t="shared" si="155"/>
        <v>48</v>
      </c>
      <c r="Q1180" s="104">
        <f t="shared" si="156"/>
        <v>48</v>
      </c>
      <c r="R1180" s="104"/>
      <c r="S1180" s="93" t="s">
        <v>618</v>
      </c>
      <c r="T1180" s="94">
        <v>46156</v>
      </c>
      <c r="U1180" s="104">
        <f t="shared" si="157"/>
        <v>48</v>
      </c>
      <c r="V1180" s="104">
        <f t="shared" si="158"/>
        <v>1</v>
      </c>
      <c r="W1180" s="103">
        <f t="shared" si="159"/>
        <v>48</v>
      </c>
      <c r="X1180" s="93" t="s">
        <v>89</v>
      </c>
      <c r="Y1180" s="105" t="s">
        <v>84</v>
      </c>
      <c r="Z1180" s="105" t="s">
        <v>619</v>
      </c>
    </row>
    <row r="1181" spans="1:26" s="105" customFormat="1" ht="15" customHeight="1">
      <c r="A1181" s="99">
        <f t="shared" si="160"/>
        <v>1179</v>
      </c>
      <c r="B1181" s="75" t="s">
        <v>680</v>
      </c>
      <c r="C1181" s="100" t="str">
        <f>IF($B1181&lt;&gt;"",_xlfn.IFNA(VLOOKUP($B1181,'Node Details'!$B:$U,C$1,0),"Check"),"")</f>
        <v>CM3070104-CM3070108</v>
      </c>
      <c r="D1181" s="100" t="str">
        <f>IF($B1181&lt;&gt;"",_xlfn.IFNA(VLOOKUP($B1181,'Node Details'!$B:$U,D$1,0),"Check"),"")</f>
        <v>CM3</v>
      </c>
      <c r="E1181" s="100" t="str">
        <f>IF($B1181&lt;&gt;"",_xlfn.IFNA(VLOOKUP($B1181,'Node Details'!$B:$U,E$1,0),"Check"),"")</f>
        <v>Airtel</v>
      </c>
      <c r="F1181" s="101">
        <v>46149</v>
      </c>
      <c r="G1181" s="103"/>
      <c r="H1181" s="102" t="s">
        <v>1256</v>
      </c>
      <c r="I1181" s="9">
        <v>1</v>
      </c>
      <c r="J1181" s="9">
        <v>48</v>
      </c>
      <c r="K1181" s="100">
        <f t="shared" si="154"/>
        <v>48</v>
      </c>
      <c r="L1181" s="78">
        <v>46142</v>
      </c>
      <c r="M1181" s="103"/>
      <c r="N1181" s="93" t="s">
        <v>617</v>
      </c>
      <c r="O1181" s="94">
        <v>46141</v>
      </c>
      <c r="P1181" s="104">
        <f t="shared" si="155"/>
        <v>48</v>
      </c>
      <c r="Q1181" s="104">
        <f t="shared" si="156"/>
        <v>48</v>
      </c>
      <c r="R1181" s="104"/>
      <c r="S1181" s="93" t="s">
        <v>618</v>
      </c>
      <c r="T1181" s="94">
        <v>46156</v>
      </c>
      <c r="U1181" s="104">
        <f t="shared" si="157"/>
        <v>48</v>
      </c>
      <c r="V1181" s="104">
        <f t="shared" si="158"/>
        <v>1</v>
      </c>
      <c r="W1181" s="103">
        <f t="shared" si="159"/>
        <v>48</v>
      </c>
      <c r="X1181" s="93" t="s">
        <v>89</v>
      </c>
      <c r="Y1181" s="105" t="s">
        <v>84</v>
      </c>
      <c r="Z1181" s="105" t="s">
        <v>619</v>
      </c>
    </row>
    <row r="1182" spans="1:26" s="105" customFormat="1" ht="15" customHeight="1">
      <c r="A1182" s="99">
        <f t="shared" si="160"/>
        <v>1180</v>
      </c>
      <c r="B1182" s="75" t="s">
        <v>682</v>
      </c>
      <c r="C1182" s="100" t="str">
        <f>IF($B1182&lt;&gt;"",_xlfn.IFNA(VLOOKUP($B1182,'Node Details'!$B:$U,C$1,0),"Check"),"")</f>
        <v>000000CM3-0000CM310</v>
      </c>
      <c r="D1182" s="100" t="str">
        <f>IF($B1182&lt;&gt;"",_xlfn.IFNA(VLOOKUP($B1182,'Node Details'!$B:$U,D$1,0),"Check"),"")</f>
        <v>CM3</v>
      </c>
      <c r="E1182" s="100" t="str">
        <f>IF($B1182&lt;&gt;"",_xlfn.IFNA(VLOOKUP($B1182,'Node Details'!$B:$U,E$1,0),"Check"),"")</f>
        <v>Airtel</v>
      </c>
      <c r="F1182" s="101">
        <v>46149</v>
      </c>
      <c r="G1182" s="103"/>
      <c r="H1182" s="102" t="s">
        <v>1256</v>
      </c>
      <c r="I1182" s="9">
        <v>1</v>
      </c>
      <c r="J1182" s="9">
        <v>48</v>
      </c>
      <c r="K1182" s="100">
        <f t="shared" si="154"/>
        <v>48</v>
      </c>
      <c r="L1182" s="78">
        <v>46142</v>
      </c>
      <c r="M1182" s="103"/>
      <c r="N1182" s="93" t="s">
        <v>617</v>
      </c>
      <c r="O1182" s="94">
        <v>46141</v>
      </c>
      <c r="P1182" s="104">
        <f t="shared" si="155"/>
        <v>48</v>
      </c>
      <c r="Q1182" s="104">
        <f t="shared" si="156"/>
        <v>48</v>
      </c>
      <c r="R1182" s="104"/>
      <c r="S1182" s="93" t="s">
        <v>618</v>
      </c>
      <c r="T1182" s="94">
        <v>46156</v>
      </c>
      <c r="U1182" s="104">
        <f t="shared" si="157"/>
        <v>48</v>
      </c>
      <c r="V1182" s="104">
        <f t="shared" si="158"/>
        <v>1</v>
      </c>
      <c r="W1182" s="103">
        <f t="shared" si="159"/>
        <v>48</v>
      </c>
      <c r="X1182" s="93" t="s">
        <v>89</v>
      </c>
      <c r="Y1182" s="105" t="s">
        <v>84</v>
      </c>
      <c r="Z1182" s="105" t="s">
        <v>619</v>
      </c>
    </row>
    <row r="1183" spans="1:26" s="105" customFormat="1" ht="15" customHeight="1">
      <c r="A1183" s="99">
        <f t="shared" si="160"/>
        <v>1181</v>
      </c>
      <c r="B1183" s="75" t="s">
        <v>685</v>
      </c>
      <c r="C1183" s="100" t="str">
        <f>IF($B1183&lt;&gt;"",_xlfn.IFNA(VLOOKUP($B1183,'Node Details'!$B:$U,C$1,0),"Check"),"")</f>
        <v>0000CM308-CM3080103</v>
      </c>
      <c r="D1183" s="100" t="str">
        <f>IF($B1183&lt;&gt;"",_xlfn.IFNA(VLOOKUP($B1183,'Node Details'!$B:$U,D$1,0),"Check"),"")</f>
        <v>CM3</v>
      </c>
      <c r="E1183" s="100" t="str">
        <f>IF($B1183&lt;&gt;"",_xlfn.IFNA(VLOOKUP($B1183,'Node Details'!$B:$U,E$1,0),"Check"),"")</f>
        <v>Airtel</v>
      </c>
      <c r="F1183" s="101">
        <v>46149</v>
      </c>
      <c r="G1183" s="103"/>
      <c r="H1183" s="102" t="s">
        <v>1256</v>
      </c>
      <c r="I1183" s="9">
        <v>1</v>
      </c>
      <c r="J1183" s="9">
        <v>48</v>
      </c>
      <c r="K1183" s="100">
        <f t="shared" si="154"/>
        <v>48</v>
      </c>
      <c r="L1183" s="78">
        <v>46142</v>
      </c>
      <c r="M1183" s="103"/>
      <c r="N1183" s="93" t="s">
        <v>617</v>
      </c>
      <c r="O1183" s="94">
        <v>46141</v>
      </c>
      <c r="P1183" s="104">
        <f t="shared" si="155"/>
        <v>48</v>
      </c>
      <c r="Q1183" s="104">
        <f t="shared" si="156"/>
        <v>48</v>
      </c>
      <c r="R1183" s="104"/>
      <c r="S1183" s="93" t="s">
        <v>618</v>
      </c>
      <c r="T1183" s="94">
        <v>46156</v>
      </c>
      <c r="U1183" s="104">
        <f t="shared" si="157"/>
        <v>48</v>
      </c>
      <c r="V1183" s="104">
        <f t="shared" si="158"/>
        <v>1</v>
      </c>
      <c r="W1183" s="103">
        <f t="shared" si="159"/>
        <v>48</v>
      </c>
      <c r="X1183" s="93" t="s">
        <v>89</v>
      </c>
      <c r="Y1183" s="105" t="s">
        <v>84</v>
      </c>
      <c r="Z1183" s="105" t="s">
        <v>619</v>
      </c>
    </row>
    <row r="1184" spans="1:26" s="105" customFormat="1" ht="15" customHeight="1">
      <c r="A1184" s="99">
        <f t="shared" si="160"/>
        <v>1182</v>
      </c>
      <c r="B1184" s="75" t="s">
        <v>683</v>
      </c>
      <c r="C1184" s="100" t="str">
        <f>IF($B1184&lt;&gt;"",_xlfn.IFNA(VLOOKUP($B1184,'Node Details'!$B:$U,C$1,0),"Check"),"")</f>
        <v>0000CM308-CM3080103</v>
      </c>
      <c r="D1184" s="100" t="str">
        <f>IF($B1184&lt;&gt;"",_xlfn.IFNA(VLOOKUP($B1184,'Node Details'!$B:$U,D$1,0),"Check"),"")</f>
        <v>CM3</v>
      </c>
      <c r="E1184" s="100" t="str">
        <f>IF($B1184&lt;&gt;"",_xlfn.IFNA(VLOOKUP($B1184,'Node Details'!$B:$U,E$1,0),"Check"),"")</f>
        <v>Airtel</v>
      </c>
      <c r="F1184" s="101">
        <v>46149</v>
      </c>
      <c r="G1184" s="103"/>
      <c r="H1184" s="102" t="s">
        <v>1256</v>
      </c>
      <c r="I1184" s="9">
        <v>1</v>
      </c>
      <c r="J1184" s="9">
        <v>48</v>
      </c>
      <c r="K1184" s="100">
        <f t="shared" si="154"/>
        <v>48</v>
      </c>
      <c r="L1184" s="78">
        <v>46142</v>
      </c>
      <c r="M1184" s="103"/>
      <c r="N1184" s="93" t="s">
        <v>617</v>
      </c>
      <c r="O1184" s="94">
        <v>46141</v>
      </c>
      <c r="P1184" s="104">
        <f t="shared" si="155"/>
        <v>48</v>
      </c>
      <c r="Q1184" s="104">
        <f t="shared" si="156"/>
        <v>48</v>
      </c>
      <c r="R1184" s="104"/>
      <c r="S1184" s="93" t="s">
        <v>618</v>
      </c>
      <c r="T1184" s="94">
        <v>46156</v>
      </c>
      <c r="U1184" s="104">
        <f t="shared" si="157"/>
        <v>48</v>
      </c>
      <c r="V1184" s="104">
        <f t="shared" si="158"/>
        <v>1</v>
      </c>
      <c r="W1184" s="103">
        <f t="shared" si="159"/>
        <v>48</v>
      </c>
      <c r="X1184" s="93" t="s">
        <v>89</v>
      </c>
      <c r="Y1184" s="105" t="s">
        <v>84</v>
      </c>
      <c r="Z1184" s="105" t="s">
        <v>619</v>
      </c>
    </row>
    <row r="1185" spans="1:26" s="105" customFormat="1" ht="15" customHeight="1">
      <c r="A1185" s="99">
        <f t="shared" si="160"/>
        <v>1183</v>
      </c>
      <c r="B1185" s="75" t="s">
        <v>686</v>
      </c>
      <c r="C1185" s="100" t="str">
        <f>IF($B1185&lt;&gt;"",_xlfn.IFNA(VLOOKUP($B1185,'Node Details'!$B:$U,C$1,0),"Check"),"")</f>
        <v>CM3080101-CM3080102</v>
      </c>
      <c r="D1185" s="100" t="str">
        <f>IF($B1185&lt;&gt;"",_xlfn.IFNA(VLOOKUP($B1185,'Node Details'!$B:$U,D$1,0),"Check"),"")</f>
        <v>CM3</v>
      </c>
      <c r="E1185" s="100" t="str">
        <f>IF($B1185&lt;&gt;"",_xlfn.IFNA(VLOOKUP($B1185,'Node Details'!$B:$U,E$1,0),"Check"),"")</f>
        <v>Airtel</v>
      </c>
      <c r="F1185" s="101">
        <v>46149</v>
      </c>
      <c r="G1185" s="103"/>
      <c r="H1185" s="102" t="s">
        <v>1256</v>
      </c>
      <c r="I1185" s="9">
        <v>1</v>
      </c>
      <c r="J1185" s="9">
        <v>48</v>
      </c>
      <c r="K1185" s="100">
        <f t="shared" si="154"/>
        <v>48</v>
      </c>
      <c r="L1185" s="78">
        <v>46142</v>
      </c>
      <c r="M1185" s="103"/>
      <c r="N1185" s="93" t="s">
        <v>617</v>
      </c>
      <c r="O1185" s="94">
        <v>46141</v>
      </c>
      <c r="P1185" s="104">
        <f t="shared" si="155"/>
        <v>48</v>
      </c>
      <c r="Q1185" s="104">
        <f t="shared" si="156"/>
        <v>48</v>
      </c>
      <c r="R1185" s="104"/>
      <c r="S1185" s="93" t="s">
        <v>618</v>
      </c>
      <c r="T1185" s="94">
        <v>46156</v>
      </c>
      <c r="U1185" s="104">
        <f t="shared" si="157"/>
        <v>48</v>
      </c>
      <c r="V1185" s="104">
        <f t="shared" si="158"/>
        <v>1</v>
      </c>
      <c r="W1185" s="103">
        <f t="shared" si="159"/>
        <v>48</v>
      </c>
      <c r="X1185" s="93" t="s">
        <v>89</v>
      </c>
      <c r="Y1185" s="105" t="s">
        <v>84</v>
      </c>
      <c r="Z1185" s="105" t="s">
        <v>619</v>
      </c>
    </row>
    <row r="1186" spans="1:26" s="105" customFormat="1" ht="15" customHeight="1">
      <c r="A1186" s="99">
        <f t="shared" si="160"/>
        <v>1184</v>
      </c>
      <c r="B1186" s="75" t="s">
        <v>688</v>
      </c>
      <c r="C1186" s="100" t="str">
        <f>IF($B1186&lt;&gt;"",_xlfn.IFNA(VLOOKUP($B1186,'Node Details'!$B:$U,C$1,0),"Check"),"")</f>
        <v>CM3080101-CM3080104</v>
      </c>
      <c r="D1186" s="100" t="str">
        <f>IF($B1186&lt;&gt;"",_xlfn.IFNA(VLOOKUP($B1186,'Node Details'!$B:$U,D$1,0),"Check"),"")</f>
        <v>CM3</v>
      </c>
      <c r="E1186" s="100" t="str">
        <f>IF($B1186&lt;&gt;"",_xlfn.IFNA(VLOOKUP($B1186,'Node Details'!$B:$U,E$1,0),"Check"),"")</f>
        <v>Airtel</v>
      </c>
      <c r="F1186" s="101">
        <v>46149</v>
      </c>
      <c r="G1186" s="103"/>
      <c r="H1186" s="102" t="s">
        <v>1256</v>
      </c>
      <c r="I1186" s="9">
        <v>1</v>
      </c>
      <c r="J1186" s="9">
        <v>48</v>
      </c>
      <c r="K1186" s="100">
        <f t="shared" si="154"/>
        <v>48</v>
      </c>
      <c r="L1186" s="78">
        <v>46142</v>
      </c>
      <c r="M1186" s="103"/>
      <c r="N1186" s="93" t="s">
        <v>617</v>
      </c>
      <c r="O1186" s="94">
        <v>46141</v>
      </c>
      <c r="P1186" s="104">
        <f t="shared" si="155"/>
        <v>48</v>
      </c>
      <c r="Q1186" s="104">
        <f t="shared" si="156"/>
        <v>48</v>
      </c>
      <c r="R1186" s="104"/>
      <c r="S1186" s="93" t="s">
        <v>618</v>
      </c>
      <c r="T1186" s="94">
        <v>46156</v>
      </c>
      <c r="U1186" s="104">
        <f t="shared" si="157"/>
        <v>48</v>
      </c>
      <c r="V1186" s="104">
        <f t="shared" si="158"/>
        <v>1</v>
      </c>
      <c r="W1186" s="103">
        <f t="shared" si="159"/>
        <v>48</v>
      </c>
      <c r="X1186" s="93" t="s">
        <v>89</v>
      </c>
      <c r="Y1186" s="105" t="s">
        <v>84</v>
      </c>
      <c r="Z1186" s="105" t="s">
        <v>619</v>
      </c>
    </row>
    <row r="1187" spans="1:26" s="105" customFormat="1" ht="15" customHeight="1">
      <c r="A1187" s="99">
        <f t="shared" si="160"/>
        <v>1185</v>
      </c>
      <c r="B1187" s="75" t="s">
        <v>1150</v>
      </c>
      <c r="C1187" s="100" t="str">
        <f>IF($B1187&lt;&gt;"",_xlfn.IFNA(VLOOKUP($B1187,'Node Details'!$B:$U,C$1,0),"Check"),"")</f>
        <v>CM3080101-CM3080108</v>
      </c>
      <c r="D1187" s="100" t="str">
        <f>IF($B1187&lt;&gt;"",_xlfn.IFNA(VLOOKUP($B1187,'Node Details'!$B:$U,D$1,0),"Check"),"")</f>
        <v>CM3</v>
      </c>
      <c r="E1187" s="100" t="str">
        <f>IF($B1187&lt;&gt;"",_xlfn.IFNA(VLOOKUP($B1187,'Node Details'!$B:$U,E$1,0),"Check"),"")</f>
        <v>Airtel</v>
      </c>
      <c r="F1187" s="101">
        <v>46149</v>
      </c>
      <c r="G1187" s="103"/>
      <c r="H1187" s="102" t="s">
        <v>1256</v>
      </c>
      <c r="I1187" s="9">
        <v>1</v>
      </c>
      <c r="J1187" s="9">
        <v>48</v>
      </c>
      <c r="K1187" s="100">
        <f t="shared" si="154"/>
        <v>48</v>
      </c>
      <c r="L1187" s="78">
        <v>46142</v>
      </c>
      <c r="M1187" s="103"/>
      <c r="N1187" s="93" t="s">
        <v>617</v>
      </c>
      <c r="O1187" s="94">
        <v>46141</v>
      </c>
      <c r="P1187" s="104">
        <f t="shared" si="155"/>
        <v>48</v>
      </c>
      <c r="Q1187" s="104">
        <f t="shared" si="156"/>
        <v>48</v>
      </c>
      <c r="R1187" s="104"/>
      <c r="S1187" s="93" t="s">
        <v>618</v>
      </c>
      <c r="T1187" s="94">
        <v>46156</v>
      </c>
      <c r="U1187" s="104">
        <f t="shared" si="157"/>
        <v>48</v>
      </c>
      <c r="V1187" s="104">
        <f t="shared" si="158"/>
        <v>1</v>
      </c>
      <c r="W1187" s="103">
        <f t="shared" si="159"/>
        <v>48</v>
      </c>
      <c r="X1187" s="93" t="s">
        <v>89</v>
      </c>
      <c r="Y1187" s="105" t="s">
        <v>84</v>
      </c>
      <c r="Z1187" s="105" t="s">
        <v>619</v>
      </c>
    </row>
    <row r="1188" spans="1:26" s="105" customFormat="1" ht="15" customHeight="1">
      <c r="A1188" s="99">
        <f t="shared" si="160"/>
        <v>1186</v>
      </c>
      <c r="B1188" s="75" t="s">
        <v>1151</v>
      </c>
      <c r="C1188" s="100" t="str">
        <f>IF($B1188&lt;&gt;"",_xlfn.IFNA(VLOOKUP($B1188,'Node Details'!$B:$U,C$1,0),"Check"),"")</f>
        <v>CM3080101-CM3080108</v>
      </c>
      <c r="D1188" s="100" t="str">
        <f>IF($B1188&lt;&gt;"",_xlfn.IFNA(VLOOKUP($B1188,'Node Details'!$B:$U,D$1,0),"Check"),"")</f>
        <v>CM3</v>
      </c>
      <c r="E1188" s="100" t="str">
        <f>IF($B1188&lt;&gt;"",_xlfn.IFNA(VLOOKUP($B1188,'Node Details'!$B:$U,E$1,0),"Check"),"")</f>
        <v>Airtel</v>
      </c>
      <c r="F1188" s="101">
        <v>46149</v>
      </c>
      <c r="G1188" s="103"/>
      <c r="H1188" s="102" t="s">
        <v>1256</v>
      </c>
      <c r="I1188" s="9">
        <v>1</v>
      </c>
      <c r="J1188" s="9">
        <v>48</v>
      </c>
      <c r="K1188" s="100">
        <f t="shared" si="154"/>
        <v>48</v>
      </c>
      <c r="L1188" s="78">
        <v>46142</v>
      </c>
      <c r="M1188" s="103"/>
      <c r="N1188" s="93" t="s">
        <v>617</v>
      </c>
      <c r="O1188" s="94">
        <v>46141</v>
      </c>
      <c r="P1188" s="104">
        <f t="shared" si="155"/>
        <v>48</v>
      </c>
      <c r="Q1188" s="104">
        <f t="shared" si="156"/>
        <v>48</v>
      </c>
      <c r="R1188" s="104"/>
      <c r="S1188" s="93" t="s">
        <v>618</v>
      </c>
      <c r="T1188" s="94">
        <v>46156</v>
      </c>
      <c r="U1188" s="104">
        <f t="shared" si="157"/>
        <v>48</v>
      </c>
      <c r="V1188" s="104">
        <f t="shared" si="158"/>
        <v>1</v>
      </c>
      <c r="W1188" s="103">
        <f t="shared" si="159"/>
        <v>48</v>
      </c>
      <c r="X1188" s="93" t="s">
        <v>89</v>
      </c>
      <c r="Y1188" s="105" t="s">
        <v>84</v>
      </c>
      <c r="Z1188" s="105" t="s">
        <v>619</v>
      </c>
    </row>
    <row r="1189" spans="1:26" s="105" customFormat="1" ht="15" customHeight="1">
      <c r="A1189" s="99">
        <f t="shared" si="160"/>
        <v>1187</v>
      </c>
      <c r="B1189" s="75" t="s">
        <v>1152</v>
      </c>
      <c r="C1189" s="100" t="str">
        <f>IF($B1189&lt;&gt;"",_xlfn.IFNA(VLOOKUP($B1189,'Node Details'!$B:$U,C$1,0),"Check"),"")</f>
        <v>CM3080101-CM3080108</v>
      </c>
      <c r="D1189" s="100" t="str">
        <f>IF($B1189&lt;&gt;"",_xlfn.IFNA(VLOOKUP($B1189,'Node Details'!$B:$U,D$1,0),"Check"),"")</f>
        <v>CM3</v>
      </c>
      <c r="E1189" s="100" t="str">
        <f>IF($B1189&lt;&gt;"",_xlfn.IFNA(VLOOKUP($B1189,'Node Details'!$B:$U,E$1,0),"Check"),"")</f>
        <v>Airtel</v>
      </c>
      <c r="F1189" s="101">
        <v>46149</v>
      </c>
      <c r="G1189" s="103"/>
      <c r="H1189" s="102" t="s">
        <v>1256</v>
      </c>
      <c r="I1189" s="9">
        <v>1</v>
      </c>
      <c r="J1189" s="9">
        <v>48</v>
      </c>
      <c r="K1189" s="100">
        <f t="shared" si="154"/>
        <v>48</v>
      </c>
      <c r="L1189" s="78">
        <v>46142</v>
      </c>
      <c r="M1189" s="103"/>
      <c r="N1189" s="93" t="s">
        <v>617</v>
      </c>
      <c r="O1189" s="94">
        <v>46141</v>
      </c>
      <c r="P1189" s="104">
        <f t="shared" si="155"/>
        <v>48</v>
      </c>
      <c r="Q1189" s="104">
        <f t="shared" si="156"/>
        <v>48</v>
      </c>
      <c r="R1189" s="104"/>
      <c r="S1189" s="93" t="s">
        <v>618</v>
      </c>
      <c r="T1189" s="94">
        <v>46156</v>
      </c>
      <c r="U1189" s="104">
        <f t="shared" si="157"/>
        <v>48</v>
      </c>
      <c r="V1189" s="104">
        <f t="shared" si="158"/>
        <v>1</v>
      </c>
      <c r="W1189" s="103">
        <f t="shared" si="159"/>
        <v>48</v>
      </c>
      <c r="X1189" s="93" t="s">
        <v>89</v>
      </c>
      <c r="Y1189" s="105" t="s">
        <v>84</v>
      </c>
      <c r="Z1189" s="105" t="s">
        <v>619</v>
      </c>
    </row>
    <row r="1190" spans="1:26" s="105" customFormat="1" ht="15" customHeight="1">
      <c r="A1190" s="99">
        <f t="shared" si="160"/>
        <v>1188</v>
      </c>
      <c r="B1190" s="75" t="s">
        <v>690</v>
      </c>
      <c r="C1190" s="100" t="str">
        <f>IF($B1190&lt;&gt;"",_xlfn.IFNA(VLOOKUP($B1190,'Node Details'!$B:$U,C$1,0),"Check"),"")</f>
        <v>CM3080101-CM3080108</v>
      </c>
      <c r="D1190" s="100" t="str">
        <f>IF($B1190&lt;&gt;"",_xlfn.IFNA(VLOOKUP($B1190,'Node Details'!$B:$U,D$1,0),"Check"),"")</f>
        <v>CM3</v>
      </c>
      <c r="E1190" s="100" t="str">
        <f>IF($B1190&lt;&gt;"",_xlfn.IFNA(VLOOKUP($B1190,'Node Details'!$B:$U,E$1,0),"Check"),"")</f>
        <v>Airtel</v>
      </c>
      <c r="F1190" s="101">
        <v>46149</v>
      </c>
      <c r="G1190" s="103"/>
      <c r="H1190" s="102" t="s">
        <v>1256</v>
      </c>
      <c r="I1190" s="9">
        <v>1</v>
      </c>
      <c r="J1190" s="9">
        <v>48</v>
      </c>
      <c r="K1190" s="100">
        <f t="shared" si="154"/>
        <v>48</v>
      </c>
      <c r="L1190" s="78">
        <v>46142</v>
      </c>
      <c r="M1190" s="103"/>
      <c r="N1190" s="93" t="s">
        <v>617</v>
      </c>
      <c r="O1190" s="94">
        <v>46141</v>
      </c>
      <c r="P1190" s="104">
        <f t="shared" si="155"/>
        <v>48</v>
      </c>
      <c r="Q1190" s="104">
        <f t="shared" si="156"/>
        <v>48</v>
      </c>
      <c r="R1190" s="104"/>
      <c r="S1190" s="93" t="s">
        <v>618</v>
      </c>
      <c r="T1190" s="94">
        <v>46156</v>
      </c>
      <c r="U1190" s="104">
        <f t="shared" si="157"/>
        <v>48</v>
      </c>
      <c r="V1190" s="104">
        <f t="shared" si="158"/>
        <v>1</v>
      </c>
      <c r="W1190" s="103">
        <f t="shared" si="159"/>
        <v>48</v>
      </c>
      <c r="X1190" s="93" t="s">
        <v>89</v>
      </c>
      <c r="Y1190" s="105" t="s">
        <v>84</v>
      </c>
      <c r="Z1190" s="105" t="s">
        <v>619</v>
      </c>
    </row>
    <row r="1191" spans="1:26" s="105" customFormat="1" ht="15" customHeight="1">
      <c r="A1191" s="99">
        <f t="shared" si="160"/>
        <v>1189</v>
      </c>
      <c r="B1191" s="75" t="s">
        <v>692</v>
      </c>
      <c r="C1191" s="100" t="str">
        <f>IF($B1191&lt;&gt;"",_xlfn.IFNA(VLOOKUP($B1191,'Node Details'!$B:$U,C$1,0),"Check"),"")</f>
        <v>000000CM3-0000CM310</v>
      </c>
      <c r="D1191" s="100" t="str">
        <f>IF($B1191&lt;&gt;"",_xlfn.IFNA(VLOOKUP($B1191,'Node Details'!$B:$U,D$1,0),"Check"),"")</f>
        <v>CM3</v>
      </c>
      <c r="E1191" s="100" t="str">
        <f>IF($B1191&lt;&gt;"",_xlfn.IFNA(VLOOKUP($B1191,'Node Details'!$B:$U,E$1,0),"Check"),"")</f>
        <v>Airtel</v>
      </c>
      <c r="F1191" s="101">
        <v>46149</v>
      </c>
      <c r="G1191" s="103"/>
      <c r="H1191" s="102" t="s">
        <v>1256</v>
      </c>
      <c r="I1191" s="9">
        <v>1</v>
      </c>
      <c r="J1191" s="9">
        <v>48</v>
      </c>
      <c r="K1191" s="100">
        <f t="shared" si="154"/>
        <v>48</v>
      </c>
      <c r="L1191" s="78">
        <v>46142</v>
      </c>
      <c r="M1191" s="103"/>
      <c r="N1191" s="93" t="s">
        <v>617</v>
      </c>
      <c r="O1191" s="94">
        <v>46141</v>
      </c>
      <c r="P1191" s="104">
        <f t="shared" si="155"/>
        <v>48</v>
      </c>
      <c r="Q1191" s="104">
        <f t="shared" si="156"/>
        <v>48</v>
      </c>
      <c r="R1191" s="104"/>
      <c r="S1191" s="93" t="s">
        <v>618</v>
      </c>
      <c r="T1191" s="94">
        <v>46156</v>
      </c>
      <c r="U1191" s="104">
        <f t="shared" si="157"/>
        <v>48</v>
      </c>
      <c r="V1191" s="104">
        <f t="shared" si="158"/>
        <v>1</v>
      </c>
      <c r="W1191" s="103">
        <f t="shared" si="159"/>
        <v>48</v>
      </c>
      <c r="X1191" s="93" t="s">
        <v>89</v>
      </c>
      <c r="Y1191" s="105" t="s">
        <v>84</v>
      </c>
      <c r="Z1191" s="105" t="s">
        <v>619</v>
      </c>
    </row>
    <row r="1192" spans="1:26" s="105" customFormat="1" ht="15" customHeight="1">
      <c r="A1192" s="99">
        <f t="shared" si="160"/>
        <v>1190</v>
      </c>
      <c r="B1192" s="75" t="s">
        <v>1153</v>
      </c>
      <c r="C1192" s="100" t="str">
        <f>IF($B1192&lt;&gt;"",_xlfn.IFNA(VLOOKUP($B1192,'Node Details'!$B:$U,C$1,0),"Check"),"")</f>
        <v>0000CM309-CM3090103</v>
      </c>
      <c r="D1192" s="100" t="str">
        <f>IF($B1192&lt;&gt;"",_xlfn.IFNA(VLOOKUP($B1192,'Node Details'!$B:$U,D$1,0),"Check"),"")</f>
        <v>CM3</v>
      </c>
      <c r="E1192" s="100" t="str">
        <f>IF($B1192&lt;&gt;"",_xlfn.IFNA(VLOOKUP($B1192,'Node Details'!$B:$U,E$1,0),"Check"),"")</f>
        <v>Airtel</v>
      </c>
      <c r="F1192" s="101">
        <v>46149</v>
      </c>
      <c r="G1192" s="103"/>
      <c r="H1192" s="102" t="s">
        <v>1256</v>
      </c>
      <c r="I1192" s="9">
        <v>1</v>
      </c>
      <c r="J1192" s="9">
        <v>48</v>
      </c>
      <c r="K1192" s="100">
        <f t="shared" si="154"/>
        <v>48</v>
      </c>
      <c r="L1192" s="78">
        <v>46142</v>
      </c>
      <c r="M1192" s="103"/>
      <c r="N1192" s="93" t="s">
        <v>617</v>
      </c>
      <c r="O1192" s="94">
        <v>46141</v>
      </c>
      <c r="P1192" s="104">
        <f t="shared" si="155"/>
        <v>48</v>
      </c>
      <c r="Q1192" s="104">
        <f t="shared" si="156"/>
        <v>48</v>
      </c>
      <c r="R1192" s="104"/>
      <c r="S1192" s="93" t="s">
        <v>618</v>
      </c>
      <c r="T1192" s="94">
        <v>46156</v>
      </c>
      <c r="U1192" s="104">
        <f t="shared" si="157"/>
        <v>48</v>
      </c>
      <c r="V1192" s="104">
        <f t="shared" si="158"/>
        <v>1</v>
      </c>
      <c r="W1192" s="103">
        <f t="shared" si="159"/>
        <v>48</v>
      </c>
      <c r="X1192" s="93" t="s">
        <v>89</v>
      </c>
      <c r="Y1192" s="105" t="s">
        <v>84</v>
      </c>
      <c r="Z1192" s="105" t="s">
        <v>619</v>
      </c>
    </row>
    <row r="1193" spans="1:26" s="105" customFormat="1" ht="15" customHeight="1">
      <c r="A1193" s="99">
        <f t="shared" si="160"/>
        <v>1191</v>
      </c>
      <c r="B1193" s="75" t="s">
        <v>1154</v>
      </c>
      <c r="C1193" s="100" t="str">
        <f>IF($B1193&lt;&gt;"",_xlfn.IFNA(VLOOKUP($B1193,'Node Details'!$B:$U,C$1,0),"Check"),"")</f>
        <v>0000CM309-CM3090103</v>
      </c>
      <c r="D1193" s="100" t="str">
        <f>IF($B1193&lt;&gt;"",_xlfn.IFNA(VLOOKUP($B1193,'Node Details'!$B:$U,D$1,0),"Check"),"")</f>
        <v>CM3</v>
      </c>
      <c r="E1193" s="100" t="str">
        <f>IF($B1193&lt;&gt;"",_xlfn.IFNA(VLOOKUP($B1193,'Node Details'!$B:$U,E$1,0),"Check"),"")</f>
        <v>Airtel</v>
      </c>
      <c r="F1193" s="101">
        <v>46149</v>
      </c>
      <c r="G1193" s="103"/>
      <c r="H1193" s="102" t="s">
        <v>1256</v>
      </c>
      <c r="I1193" s="9">
        <v>1</v>
      </c>
      <c r="J1193" s="9">
        <v>48</v>
      </c>
      <c r="K1193" s="100">
        <f t="shared" si="154"/>
        <v>48</v>
      </c>
      <c r="L1193" s="78">
        <v>46142</v>
      </c>
      <c r="M1193" s="103"/>
      <c r="N1193" s="93" t="s">
        <v>617</v>
      </c>
      <c r="O1193" s="94">
        <v>46141</v>
      </c>
      <c r="P1193" s="104">
        <f t="shared" si="155"/>
        <v>48</v>
      </c>
      <c r="Q1193" s="104">
        <f t="shared" si="156"/>
        <v>48</v>
      </c>
      <c r="R1193" s="104"/>
      <c r="S1193" s="93" t="s">
        <v>618</v>
      </c>
      <c r="T1193" s="94">
        <v>46156</v>
      </c>
      <c r="U1193" s="104">
        <f t="shared" si="157"/>
        <v>48</v>
      </c>
      <c r="V1193" s="104">
        <f t="shared" si="158"/>
        <v>1</v>
      </c>
      <c r="W1193" s="103">
        <f t="shared" si="159"/>
        <v>48</v>
      </c>
      <c r="X1193" s="93" t="s">
        <v>89</v>
      </c>
      <c r="Y1193" s="105" t="s">
        <v>84</v>
      </c>
      <c r="Z1193" s="105" t="s">
        <v>619</v>
      </c>
    </row>
    <row r="1194" spans="1:26" s="105" customFormat="1" ht="15" customHeight="1">
      <c r="A1194" s="99">
        <f t="shared" si="160"/>
        <v>1192</v>
      </c>
      <c r="B1194" s="75" t="s">
        <v>693</v>
      </c>
      <c r="C1194" s="100" t="str">
        <f>IF($B1194&lt;&gt;"",_xlfn.IFNA(VLOOKUP($B1194,'Node Details'!$B:$U,C$1,0),"Check"),"")</f>
        <v>0000CM309-CM3090103</v>
      </c>
      <c r="D1194" s="100" t="str">
        <f>IF($B1194&lt;&gt;"",_xlfn.IFNA(VLOOKUP($B1194,'Node Details'!$B:$U,D$1,0),"Check"),"")</f>
        <v>CM3</v>
      </c>
      <c r="E1194" s="100" t="str">
        <f>IF($B1194&lt;&gt;"",_xlfn.IFNA(VLOOKUP($B1194,'Node Details'!$B:$U,E$1,0),"Check"),"")</f>
        <v>Airtel</v>
      </c>
      <c r="F1194" s="101">
        <v>46149</v>
      </c>
      <c r="G1194" s="103"/>
      <c r="H1194" s="102" t="s">
        <v>1256</v>
      </c>
      <c r="I1194" s="9">
        <v>1</v>
      </c>
      <c r="J1194" s="9">
        <v>48</v>
      </c>
      <c r="K1194" s="100">
        <f t="shared" si="154"/>
        <v>48</v>
      </c>
      <c r="L1194" s="78">
        <v>46142</v>
      </c>
      <c r="M1194" s="103"/>
      <c r="N1194" s="93" t="s">
        <v>617</v>
      </c>
      <c r="O1194" s="94">
        <v>46141</v>
      </c>
      <c r="P1194" s="104">
        <f t="shared" si="155"/>
        <v>48</v>
      </c>
      <c r="Q1194" s="104">
        <f t="shared" si="156"/>
        <v>48</v>
      </c>
      <c r="R1194" s="104"/>
      <c r="S1194" s="93" t="s">
        <v>618</v>
      </c>
      <c r="T1194" s="94">
        <v>46156</v>
      </c>
      <c r="U1194" s="104">
        <f t="shared" si="157"/>
        <v>48</v>
      </c>
      <c r="V1194" s="104">
        <f t="shared" si="158"/>
        <v>1</v>
      </c>
      <c r="W1194" s="103">
        <f t="shared" si="159"/>
        <v>48</v>
      </c>
      <c r="X1194" s="93" t="s">
        <v>89</v>
      </c>
      <c r="Y1194" s="105" t="s">
        <v>84</v>
      </c>
      <c r="Z1194" s="105" t="s">
        <v>619</v>
      </c>
    </row>
    <row r="1195" spans="1:26" s="105" customFormat="1" ht="15" customHeight="1">
      <c r="A1195" s="99">
        <f t="shared" si="160"/>
        <v>1193</v>
      </c>
      <c r="B1195" s="75" t="s">
        <v>695</v>
      </c>
      <c r="C1195" s="100" t="str">
        <f>IF($B1195&lt;&gt;"",_xlfn.IFNA(VLOOKUP($B1195,'Node Details'!$B:$U,C$1,0),"Check"),"")</f>
        <v>0000CM309-CM3090104</v>
      </c>
      <c r="D1195" s="100" t="str">
        <f>IF($B1195&lt;&gt;"",_xlfn.IFNA(VLOOKUP($B1195,'Node Details'!$B:$U,D$1,0),"Check"),"")</f>
        <v>CM3</v>
      </c>
      <c r="E1195" s="100" t="str">
        <f>IF($B1195&lt;&gt;"",_xlfn.IFNA(VLOOKUP($B1195,'Node Details'!$B:$U,E$1,0),"Check"),"")</f>
        <v>Airtel</v>
      </c>
      <c r="F1195" s="101">
        <v>46149</v>
      </c>
      <c r="G1195" s="103"/>
      <c r="H1195" s="102" t="s">
        <v>1256</v>
      </c>
      <c r="I1195" s="9">
        <v>1</v>
      </c>
      <c r="J1195" s="9">
        <v>48</v>
      </c>
      <c r="K1195" s="100">
        <f t="shared" si="154"/>
        <v>48</v>
      </c>
      <c r="L1195" s="78">
        <v>46142</v>
      </c>
      <c r="M1195" s="103"/>
      <c r="N1195" s="93" t="s">
        <v>617</v>
      </c>
      <c r="O1195" s="94">
        <v>46141</v>
      </c>
      <c r="P1195" s="104">
        <f t="shared" si="155"/>
        <v>48</v>
      </c>
      <c r="Q1195" s="104">
        <f t="shared" si="156"/>
        <v>48</v>
      </c>
      <c r="R1195" s="104"/>
      <c r="S1195" s="93" t="s">
        <v>618</v>
      </c>
      <c r="T1195" s="94">
        <v>46156</v>
      </c>
      <c r="U1195" s="104">
        <f t="shared" si="157"/>
        <v>48</v>
      </c>
      <c r="V1195" s="104">
        <f t="shared" si="158"/>
        <v>1</v>
      </c>
      <c r="W1195" s="103">
        <f t="shared" si="159"/>
        <v>48</v>
      </c>
      <c r="X1195" s="93" t="s">
        <v>89</v>
      </c>
      <c r="Y1195" s="105" t="s">
        <v>84</v>
      </c>
      <c r="Z1195" s="105" t="s">
        <v>619</v>
      </c>
    </row>
    <row r="1196" spans="1:26" s="105" customFormat="1" ht="15" customHeight="1">
      <c r="A1196" s="99">
        <f t="shared" si="160"/>
        <v>1194</v>
      </c>
      <c r="B1196" s="75" t="s">
        <v>1155</v>
      </c>
      <c r="C1196" s="100" t="str">
        <f>IF($B1196&lt;&gt;"",_xlfn.IFNA(VLOOKUP($B1196,'Node Details'!$B:$U,C$1,0),"Check"),"")</f>
        <v>0000CM309-CM3090107</v>
      </c>
      <c r="D1196" s="100" t="str">
        <f>IF($B1196&lt;&gt;"",_xlfn.IFNA(VLOOKUP($B1196,'Node Details'!$B:$U,D$1,0),"Check"),"")</f>
        <v>CM3</v>
      </c>
      <c r="E1196" s="100" t="str">
        <f>IF($B1196&lt;&gt;"",_xlfn.IFNA(VLOOKUP($B1196,'Node Details'!$B:$U,E$1,0),"Check"),"")</f>
        <v>Airtel</v>
      </c>
      <c r="F1196" s="101">
        <v>46149</v>
      </c>
      <c r="G1196" s="103"/>
      <c r="H1196" s="102" t="s">
        <v>1256</v>
      </c>
      <c r="I1196" s="9">
        <v>1</v>
      </c>
      <c r="J1196" s="9">
        <v>48</v>
      </c>
      <c r="K1196" s="100">
        <f t="shared" si="154"/>
        <v>48</v>
      </c>
      <c r="L1196" s="78">
        <v>46142</v>
      </c>
      <c r="M1196" s="103"/>
      <c r="N1196" s="93" t="s">
        <v>617</v>
      </c>
      <c r="O1196" s="94">
        <v>46141</v>
      </c>
      <c r="P1196" s="104">
        <f t="shared" si="155"/>
        <v>48</v>
      </c>
      <c r="Q1196" s="104">
        <f t="shared" si="156"/>
        <v>48</v>
      </c>
      <c r="R1196" s="104"/>
      <c r="S1196" s="93" t="s">
        <v>618</v>
      </c>
      <c r="T1196" s="94">
        <v>46156</v>
      </c>
      <c r="U1196" s="104">
        <f t="shared" si="157"/>
        <v>48</v>
      </c>
      <c r="V1196" s="104">
        <f t="shared" si="158"/>
        <v>1</v>
      </c>
      <c r="W1196" s="103">
        <f t="shared" si="159"/>
        <v>48</v>
      </c>
      <c r="X1196" s="93" t="s">
        <v>89</v>
      </c>
      <c r="Y1196" s="105" t="s">
        <v>84</v>
      </c>
      <c r="Z1196" s="105" t="s">
        <v>619</v>
      </c>
    </row>
    <row r="1197" spans="1:26" s="105" customFormat="1" ht="15" customHeight="1">
      <c r="A1197" s="99">
        <f t="shared" si="160"/>
        <v>1195</v>
      </c>
      <c r="B1197" s="75" t="s">
        <v>1156</v>
      </c>
      <c r="C1197" s="100" t="str">
        <f>IF($B1197&lt;&gt;"",_xlfn.IFNA(VLOOKUP($B1197,'Node Details'!$B:$U,C$1,0),"Check"),"")</f>
        <v>0000CM309-CM3090107</v>
      </c>
      <c r="D1197" s="100" t="str">
        <f>IF($B1197&lt;&gt;"",_xlfn.IFNA(VLOOKUP($B1197,'Node Details'!$B:$U,D$1,0),"Check"),"")</f>
        <v>CM3</v>
      </c>
      <c r="E1197" s="100" t="str">
        <f>IF($B1197&lt;&gt;"",_xlfn.IFNA(VLOOKUP($B1197,'Node Details'!$B:$U,E$1,0),"Check"),"")</f>
        <v>Airtel</v>
      </c>
      <c r="F1197" s="101">
        <v>46149</v>
      </c>
      <c r="G1197" s="103"/>
      <c r="H1197" s="102" t="s">
        <v>1256</v>
      </c>
      <c r="I1197" s="9">
        <v>1</v>
      </c>
      <c r="J1197" s="9">
        <v>48</v>
      </c>
      <c r="K1197" s="100">
        <f t="shared" si="154"/>
        <v>48</v>
      </c>
      <c r="L1197" s="78">
        <v>46142</v>
      </c>
      <c r="M1197" s="103"/>
      <c r="N1197" s="93" t="s">
        <v>617</v>
      </c>
      <c r="O1197" s="94">
        <v>46141</v>
      </c>
      <c r="P1197" s="104">
        <f t="shared" si="155"/>
        <v>48</v>
      </c>
      <c r="Q1197" s="104">
        <f t="shared" si="156"/>
        <v>48</v>
      </c>
      <c r="R1197" s="104"/>
      <c r="S1197" s="93" t="s">
        <v>618</v>
      </c>
      <c r="T1197" s="94">
        <v>46156</v>
      </c>
      <c r="U1197" s="104">
        <f t="shared" si="157"/>
        <v>48</v>
      </c>
      <c r="V1197" s="104">
        <f t="shared" si="158"/>
        <v>1</v>
      </c>
      <c r="W1197" s="103">
        <f t="shared" si="159"/>
        <v>48</v>
      </c>
      <c r="X1197" s="93" t="s">
        <v>89</v>
      </c>
      <c r="Y1197" s="105" t="s">
        <v>84</v>
      </c>
      <c r="Z1197" s="105" t="s">
        <v>619</v>
      </c>
    </row>
    <row r="1198" spans="1:26" s="105" customFormat="1" ht="15" customHeight="1">
      <c r="A1198" s="99">
        <f t="shared" si="160"/>
        <v>1196</v>
      </c>
      <c r="B1198" s="75" t="s">
        <v>697</v>
      </c>
      <c r="C1198" s="100" t="str">
        <f>IF($B1198&lt;&gt;"",_xlfn.IFNA(VLOOKUP($B1198,'Node Details'!$B:$U,C$1,0),"Check"),"")</f>
        <v>0000CM309-CM3090107</v>
      </c>
      <c r="D1198" s="100" t="str">
        <f>IF($B1198&lt;&gt;"",_xlfn.IFNA(VLOOKUP($B1198,'Node Details'!$B:$U,D$1,0),"Check"),"")</f>
        <v>CM3</v>
      </c>
      <c r="E1198" s="100" t="str">
        <f>IF($B1198&lt;&gt;"",_xlfn.IFNA(VLOOKUP($B1198,'Node Details'!$B:$U,E$1,0),"Check"),"")</f>
        <v>Airtel</v>
      </c>
      <c r="F1198" s="101">
        <v>46149</v>
      </c>
      <c r="G1198" s="103"/>
      <c r="H1198" s="102" t="s">
        <v>1256</v>
      </c>
      <c r="I1198" s="9">
        <v>1</v>
      </c>
      <c r="J1198" s="9">
        <v>48</v>
      </c>
      <c r="K1198" s="100">
        <f t="shared" si="154"/>
        <v>48</v>
      </c>
      <c r="L1198" s="78">
        <v>46142</v>
      </c>
      <c r="M1198" s="103"/>
      <c r="N1198" s="93" t="s">
        <v>617</v>
      </c>
      <c r="O1198" s="94">
        <v>46141</v>
      </c>
      <c r="P1198" s="104">
        <f t="shared" si="155"/>
        <v>48</v>
      </c>
      <c r="Q1198" s="104">
        <f t="shared" si="156"/>
        <v>48</v>
      </c>
      <c r="R1198" s="104"/>
      <c r="S1198" s="93" t="s">
        <v>618</v>
      </c>
      <c r="T1198" s="94">
        <v>46156</v>
      </c>
      <c r="U1198" s="104">
        <f t="shared" si="157"/>
        <v>48</v>
      </c>
      <c r="V1198" s="104">
        <f t="shared" si="158"/>
        <v>1</v>
      </c>
      <c r="W1198" s="103">
        <f t="shared" si="159"/>
        <v>48</v>
      </c>
      <c r="X1198" s="93" t="s">
        <v>89</v>
      </c>
      <c r="Y1198" s="105" t="s">
        <v>84</v>
      </c>
      <c r="Z1198" s="105" t="s">
        <v>619</v>
      </c>
    </row>
    <row r="1199" spans="1:26" s="105" customFormat="1" ht="15" customHeight="1">
      <c r="A1199" s="99">
        <f t="shared" si="160"/>
        <v>1197</v>
      </c>
      <c r="B1199" s="75" t="s">
        <v>615</v>
      </c>
      <c r="C1199" s="100" t="str">
        <f>IF($B1199&lt;&gt;"",_xlfn.IFNA(VLOOKUP($B1199,'Node Details'!$B:$U,C$1,0),"Check"),"")</f>
        <v>000000CM3-0000CM310</v>
      </c>
      <c r="D1199" s="100" t="str">
        <f>IF($B1199&lt;&gt;"",_xlfn.IFNA(VLOOKUP($B1199,'Node Details'!$B:$U,D$1,0),"Check"),"")</f>
        <v>CM3</v>
      </c>
      <c r="E1199" s="100" t="str">
        <f>IF($B1199&lt;&gt;"",_xlfn.IFNA(VLOOKUP($B1199,'Node Details'!$B:$U,E$1,0),"Check"),"")</f>
        <v>Airtel</v>
      </c>
      <c r="F1199" s="101">
        <v>46149</v>
      </c>
      <c r="G1199" s="103"/>
      <c r="H1199" s="102" t="s">
        <v>1256</v>
      </c>
      <c r="I1199" s="9">
        <v>1</v>
      </c>
      <c r="J1199" s="9">
        <v>48</v>
      </c>
      <c r="K1199" s="100">
        <f t="shared" si="154"/>
        <v>48</v>
      </c>
      <c r="L1199" s="78">
        <v>46142</v>
      </c>
      <c r="M1199" s="103"/>
      <c r="N1199" s="93" t="s">
        <v>617</v>
      </c>
      <c r="O1199" s="94">
        <v>46141</v>
      </c>
      <c r="P1199" s="104">
        <f t="shared" si="155"/>
        <v>48</v>
      </c>
      <c r="Q1199" s="104">
        <f t="shared" si="156"/>
        <v>48</v>
      </c>
      <c r="R1199" s="104"/>
      <c r="S1199" s="93" t="s">
        <v>618</v>
      </c>
      <c r="T1199" s="94">
        <v>46156</v>
      </c>
      <c r="U1199" s="104">
        <f t="shared" si="157"/>
        <v>48</v>
      </c>
      <c r="V1199" s="104">
        <f t="shared" si="158"/>
        <v>1</v>
      </c>
      <c r="W1199" s="103">
        <f t="shared" si="159"/>
        <v>48</v>
      </c>
      <c r="X1199" s="93" t="s">
        <v>89</v>
      </c>
      <c r="Y1199" s="105" t="s">
        <v>84</v>
      </c>
      <c r="Z1199" s="105" t="s">
        <v>619</v>
      </c>
    </row>
    <row r="1200" spans="1:26" s="105" customFormat="1" ht="15" customHeight="1">
      <c r="A1200" s="99">
        <f t="shared" si="160"/>
        <v>1198</v>
      </c>
      <c r="B1200" s="75" t="s">
        <v>699</v>
      </c>
      <c r="C1200" s="100" t="str">
        <f>IF($B1200&lt;&gt;"",_xlfn.IFNA(VLOOKUP($B1200,'Node Details'!$B:$U,C$1,0),"Check"),"")</f>
        <v>0000CM310-CM3100104</v>
      </c>
      <c r="D1200" s="100" t="str">
        <f>IF($B1200&lt;&gt;"",_xlfn.IFNA(VLOOKUP($B1200,'Node Details'!$B:$U,D$1,0),"Check"),"")</f>
        <v>CM3</v>
      </c>
      <c r="E1200" s="100" t="str">
        <f>IF($B1200&lt;&gt;"",_xlfn.IFNA(VLOOKUP($B1200,'Node Details'!$B:$U,E$1,0),"Check"),"")</f>
        <v>Airtel</v>
      </c>
      <c r="F1200" s="101">
        <v>46149</v>
      </c>
      <c r="G1200" s="103"/>
      <c r="H1200" s="102" t="s">
        <v>1256</v>
      </c>
      <c r="I1200" s="9">
        <v>1</v>
      </c>
      <c r="J1200" s="9">
        <v>48</v>
      </c>
      <c r="K1200" s="100">
        <f t="shared" si="154"/>
        <v>48</v>
      </c>
      <c r="L1200" s="78">
        <v>46142</v>
      </c>
      <c r="M1200" s="103"/>
      <c r="N1200" s="93" t="s">
        <v>617</v>
      </c>
      <c r="O1200" s="94">
        <v>46141</v>
      </c>
      <c r="P1200" s="104">
        <f t="shared" si="155"/>
        <v>48</v>
      </c>
      <c r="Q1200" s="104">
        <f t="shared" si="156"/>
        <v>48</v>
      </c>
      <c r="R1200" s="104"/>
      <c r="S1200" s="93" t="s">
        <v>618</v>
      </c>
      <c r="T1200" s="94">
        <v>46156</v>
      </c>
      <c r="U1200" s="104">
        <f t="shared" si="157"/>
        <v>48</v>
      </c>
      <c r="V1200" s="104">
        <f t="shared" si="158"/>
        <v>1</v>
      </c>
      <c r="W1200" s="103">
        <f t="shared" si="159"/>
        <v>48</v>
      </c>
      <c r="X1200" s="93" t="s">
        <v>89</v>
      </c>
      <c r="Y1200" s="105" t="s">
        <v>84</v>
      </c>
      <c r="Z1200" s="105" t="s">
        <v>619</v>
      </c>
    </row>
    <row r="1201" spans="1:26" s="105" customFormat="1" ht="15" customHeight="1">
      <c r="A1201" s="99">
        <f t="shared" si="160"/>
        <v>1199</v>
      </c>
      <c r="B1201" s="75" t="s">
        <v>1157</v>
      </c>
      <c r="C1201" s="100" t="str">
        <f>IF($B1201&lt;&gt;"",_xlfn.IFNA(VLOOKUP($B1201,'Node Details'!$B:$U,C$1,0),"Check"),"")</f>
        <v>0000CM310-CM3100103</v>
      </c>
      <c r="D1201" s="100" t="str">
        <f>IF($B1201&lt;&gt;"",_xlfn.IFNA(VLOOKUP($B1201,'Node Details'!$B:$U,D$1,0),"Check"),"")</f>
        <v>CM3</v>
      </c>
      <c r="E1201" s="100" t="str">
        <f>IF($B1201&lt;&gt;"",_xlfn.IFNA(VLOOKUP($B1201,'Node Details'!$B:$U,E$1,0),"Check"),"")</f>
        <v>Airtel</v>
      </c>
      <c r="F1201" s="101">
        <v>46149</v>
      </c>
      <c r="G1201" s="103"/>
      <c r="H1201" s="102" t="s">
        <v>1256</v>
      </c>
      <c r="I1201" s="9">
        <v>1</v>
      </c>
      <c r="J1201" s="9">
        <v>48</v>
      </c>
      <c r="K1201" s="100">
        <f t="shared" si="154"/>
        <v>48</v>
      </c>
      <c r="L1201" s="78">
        <v>46142</v>
      </c>
      <c r="M1201" s="103"/>
      <c r="N1201" s="93" t="s">
        <v>617</v>
      </c>
      <c r="O1201" s="94">
        <v>46141</v>
      </c>
      <c r="P1201" s="104">
        <f t="shared" si="155"/>
        <v>48</v>
      </c>
      <c r="Q1201" s="104">
        <f t="shared" si="156"/>
        <v>48</v>
      </c>
      <c r="R1201" s="104"/>
      <c r="S1201" s="93" t="s">
        <v>618</v>
      </c>
      <c r="T1201" s="94">
        <v>46156</v>
      </c>
      <c r="U1201" s="104">
        <f t="shared" si="157"/>
        <v>48</v>
      </c>
      <c r="V1201" s="104">
        <f t="shared" si="158"/>
        <v>1</v>
      </c>
      <c r="W1201" s="103">
        <f t="shared" si="159"/>
        <v>48</v>
      </c>
      <c r="X1201" s="93" t="s">
        <v>89</v>
      </c>
      <c r="Y1201" s="105" t="s">
        <v>84</v>
      </c>
      <c r="Z1201" s="105" t="s">
        <v>619</v>
      </c>
    </row>
    <row r="1202" spans="1:26" s="105" customFormat="1" ht="15" customHeight="1">
      <c r="A1202" s="99">
        <f t="shared" si="160"/>
        <v>1200</v>
      </c>
      <c r="B1202" s="75" t="s">
        <v>1158</v>
      </c>
      <c r="C1202" s="100" t="str">
        <f>IF($B1202&lt;&gt;"",_xlfn.IFNA(VLOOKUP($B1202,'Node Details'!$B:$U,C$1,0),"Check"),"")</f>
        <v>0000CM310-CM3100103</v>
      </c>
      <c r="D1202" s="100" t="str">
        <f>IF($B1202&lt;&gt;"",_xlfn.IFNA(VLOOKUP($B1202,'Node Details'!$B:$U,D$1,0),"Check"),"")</f>
        <v>CM3</v>
      </c>
      <c r="E1202" s="100" t="str">
        <f>IF($B1202&lt;&gt;"",_xlfn.IFNA(VLOOKUP($B1202,'Node Details'!$B:$U,E$1,0),"Check"),"")</f>
        <v>Airtel</v>
      </c>
      <c r="F1202" s="101">
        <v>46149</v>
      </c>
      <c r="G1202" s="103"/>
      <c r="H1202" s="102" t="s">
        <v>1256</v>
      </c>
      <c r="I1202" s="9">
        <v>1</v>
      </c>
      <c r="J1202" s="9">
        <v>48</v>
      </c>
      <c r="K1202" s="100">
        <f t="shared" si="154"/>
        <v>48</v>
      </c>
      <c r="L1202" s="78">
        <v>46142</v>
      </c>
      <c r="M1202" s="103"/>
      <c r="N1202" s="93" t="s">
        <v>617</v>
      </c>
      <c r="O1202" s="94">
        <v>46141</v>
      </c>
      <c r="P1202" s="104">
        <f t="shared" si="155"/>
        <v>48</v>
      </c>
      <c r="Q1202" s="104">
        <f t="shared" si="156"/>
        <v>48</v>
      </c>
      <c r="R1202" s="104"/>
      <c r="S1202" s="93" t="s">
        <v>618</v>
      </c>
      <c r="T1202" s="94">
        <v>46156</v>
      </c>
      <c r="U1202" s="104">
        <f t="shared" si="157"/>
        <v>48</v>
      </c>
      <c r="V1202" s="104">
        <f t="shared" si="158"/>
        <v>1</v>
      </c>
      <c r="W1202" s="103">
        <f t="shared" si="159"/>
        <v>48</v>
      </c>
      <c r="X1202" s="93" t="s">
        <v>89</v>
      </c>
      <c r="Y1202" s="105" t="s">
        <v>84</v>
      </c>
      <c r="Z1202" s="105" t="s">
        <v>619</v>
      </c>
    </row>
    <row r="1203" spans="1:26" s="105" customFormat="1" ht="15" customHeight="1">
      <c r="A1203" s="99">
        <f t="shared" si="160"/>
        <v>1201</v>
      </c>
      <c r="B1203" s="75" t="s">
        <v>701</v>
      </c>
      <c r="C1203" s="100" t="str">
        <f>IF($B1203&lt;&gt;"",_xlfn.IFNA(VLOOKUP($B1203,'Node Details'!$B:$U,C$1,0),"Check"),"")</f>
        <v>0000CM310-CM3100103</v>
      </c>
      <c r="D1203" s="100" t="str">
        <f>IF($B1203&lt;&gt;"",_xlfn.IFNA(VLOOKUP($B1203,'Node Details'!$B:$U,D$1,0),"Check"),"")</f>
        <v>CM3</v>
      </c>
      <c r="E1203" s="100" t="str">
        <f>IF($B1203&lt;&gt;"",_xlfn.IFNA(VLOOKUP($B1203,'Node Details'!$B:$U,E$1,0),"Check"),"")</f>
        <v>Airtel</v>
      </c>
      <c r="F1203" s="101">
        <v>46149</v>
      </c>
      <c r="G1203" s="103"/>
      <c r="H1203" s="102" t="s">
        <v>1256</v>
      </c>
      <c r="I1203" s="9">
        <v>1</v>
      </c>
      <c r="J1203" s="9">
        <v>48</v>
      </c>
      <c r="K1203" s="100">
        <f t="shared" si="154"/>
        <v>48</v>
      </c>
      <c r="L1203" s="78">
        <v>46142</v>
      </c>
      <c r="M1203" s="103"/>
      <c r="N1203" s="93" t="s">
        <v>617</v>
      </c>
      <c r="O1203" s="94">
        <v>46141</v>
      </c>
      <c r="P1203" s="104">
        <f t="shared" si="155"/>
        <v>48</v>
      </c>
      <c r="Q1203" s="104">
        <f t="shared" si="156"/>
        <v>48</v>
      </c>
      <c r="R1203" s="104"/>
      <c r="S1203" s="93" t="s">
        <v>618</v>
      </c>
      <c r="T1203" s="94">
        <v>46156</v>
      </c>
      <c r="U1203" s="104">
        <f t="shared" si="157"/>
        <v>48</v>
      </c>
      <c r="V1203" s="104">
        <f t="shared" si="158"/>
        <v>1</v>
      </c>
      <c r="W1203" s="103">
        <f t="shared" si="159"/>
        <v>48</v>
      </c>
      <c r="X1203" s="93" t="s">
        <v>89</v>
      </c>
      <c r="Y1203" s="105" t="s">
        <v>84</v>
      </c>
      <c r="Z1203" s="105" t="s">
        <v>619</v>
      </c>
    </row>
    <row r="1204" spans="1:26" s="105" customFormat="1" ht="15" customHeight="1">
      <c r="A1204" s="99">
        <f t="shared" si="160"/>
        <v>1202</v>
      </c>
      <c r="B1204" s="75" t="s">
        <v>1159</v>
      </c>
      <c r="C1204" s="100" t="str">
        <f>IF($B1204&lt;&gt;"",_xlfn.IFNA(VLOOKUP($B1204,'Node Details'!$B:$U,C$1,0),"Check"),"")</f>
        <v>0000CM310-CM3100106</v>
      </c>
      <c r="D1204" s="100" t="str">
        <f>IF($B1204&lt;&gt;"",_xlfn.IFNA(VLOOKUP($B1204,'Node Details'!$B:$U,D$1,0),"Check"),"")</f>
        <v>CM3</v>
      </c>
      <c r="E1204" s="100" t="str">
        <f>IF($B1204&lt;&gt;"",_xlfn.IFNA(VLOOKUP($B1204,'Node Details'!$B:$U,E$1,0),"Check"),"")</f>
        <v>Airtel</v>
      </c>
      <c r="F1204" s="101">
        <v>46149</v>
      </c>
      <c r="G1204" s="103"/>
      <c r="H1204" s="102" t="s">
        <v>1256</v>
      </c>
      <c r="I1204" s="9">
        <v>1</v>
      </c>
      <c r="J1204" s="9">
        <v>48</v>
      </c>
      <c r="K1204" s="100">
        <f t="shared" si="154"/>
        <v>48</v>
      </c>
      <c r="L1204" s="78">
        <v>46142</v>
      </c>
      <c r="M1204" s="103"/>
      <c r="N1204" s="93" t="s">
        <v>617</v>
      </c>
      <c r="O1204" s="94">
        <v>46141</v>
      </c>
      <c r="P1204" s="104">
        <f t="shared" si="155"/>
        <v>48</v>
      </c>
      <c r="Q1204" s="104">
        <f t="shared" si="156"/>
        <v>48</v>
      </c>
      <c r="R1204" s="104"/>
      <c r="S1204" s="93" t="s">
        <v>618</v>
      </c>
      <c r="T1204" s="94">
        <v>46156</v>
      </c>
      <c r="U1204" s="104">
        <f t="shared" si="157"/>
        <v>48</v>
      </c>
      <c r="V1204" s="104">
        <f t="shared" si="158"/>
        <v>1</v>
      </c>
      <c r="W1204" s="103">
        <f t="shared" si="159"/>
        <v>48</v>
      </c>
      <c r="X1204" s="93" t="s">
        <v>89</v>
      </c>
      <c r="Y1204" s="105" t="s">
        <v>84</v>
      </c>
      <c r="Z1204" s="105" t="s">
        <v>619</v>
      </c>
    </row>
    <row r="1205" spans="1:26" s="105" customFormat="1" ht="15" customHeight="1">
      <c r="A1205" s="99">
        <f t="shared" si="160"/>
        <v>1203</v>
      </c>
      <c r="B1205" s="75" t="s">
        <v>703</v>
      </c>
      <c r="C1205" s="100" t="str">
        <f>IF($B1205&lt;&gt;"",_xlfn.IFNA(VLOOKUP($B1205,'Node Details'!$B:$U,C$1,0),"Check"),"")</f>
        <v>0000CM310-CM3100106</v>
      </c>
      <c r="D1205" s="100" t="str">
        <f>IF($B1205&lt;&gt;"",_xlfn.IFNA(VLOOKUP($B1205,'Node Details'!$B:$U,D$1,0),"Check"),"")</f>
        <v>CM3</v>
      </c>
      <c r="E1205" s="100" t="str">
        <f>IF($B1205&lt;&gt;"",_xlfn.IFNA(VLOOKUP($B1205,'Node Details'!$B:$U,E$1,0),"Check"),"")</f>
        <v>Airtel</v>
      </c>
      <c r="F1205" s="101">
        <v>46149</v>
      </c>
      <c r="G1205" s="103"/>
      <c r="H1205" s="102" t="s">
        <v>1256</v>
      </c>
      <c r="I1205" s="9">
        <v>1</v>
      </c>
      <c r="J1205" s="9">
        <v>48</v>
      </c>
      <c r="K1205" s="100">
        <f t="shared" si="154"/>
        <v>48</v>
      </c>
      <c r="L1205" s="78">
        <v>46142</v>
      </c>
      <c r="M1205" s="103"/>
      <c r="N1205" s="93" t="s">
        <v>617</v>
      </c>
      <c r="O1205" s="94">
        <v>46141</v>
      </c>
      <c r="P1205" s="104">
        <f t="shared" si="155"/>
        <v>48</v>
      </c>
      <c r="Q1205" s="104">
        <f t="shared" si="156"/>
        <v>48</v>
      </c>
      <c r="R1205" s="104"/>
      <c r="S1205" s="93" t="s">
        <v>618</v>
      </c>
      <c r="T1205" s="94">
        <v>46156</v>
      </c>
      <c r="U1205" s="104">
        <f t="shared" si="157"/>
        <v>48</v>
      </c>
      <c r="V1205" s="104">
        <f t="shared" si="158"/>
        <v>1</v>
      </c>
      <c r="W1205" s="103">
        <f t="shared" si="159"/>
        <v>48</v>
      </c>
      <c r="X1205" s="93" t="s">
        <v>89</v>
      </c>
      <c r="Y1205" s="105" t="s">
        <v>84</v>
      </c>
      <c r="Z1205" s="105" t="s">
        <v>619</v>
      </c>
    </row>
    <row r="1206" spans="1:26" s="105" customFormat="1" ht="15" customHeight="1">
      <c r="A1206" s="99">
        <f t="shared" si="160"/>
        <v>1204</v>
      </c>
      <c r="B1206" s="75" t="s">
        <v>705</v>
      </c>
      <c r="C1206" s="100" t="str">
        <f>IF($B1206&lt;&gt;"",_xlfn.IFNA(VLOOKUP($B1206,'Node Details'!$B:$U,C$1,0),"Check"),"")</f>
        <v>000000CM3-0000CM325</v>
      </c>
      <c r="D1206" s="100" t="str">
        <f>IF($B1206&lt;&gt;"",_xlfn.IFNA(VLOOKUP($B1206,'Node Details'!$B:$U,D$1,0),"Check"),"")</f>
        <v>CM3</v>
      </c>
      <c r="E1206" s="100" t="str">
        <f>IF($B1206&lt;&gt;"",_xlfn.IFNA(VLOOKUP($B1206,'Node Details'!$B:$U,E$1,0),"Check"),"")</f>
        <v>Airtel</v>
      </c>
      <c r="F1206" s="101">
        <v>46149</v>
      </c>
      <c r="G1206" s="103"/>
      <c r="H1206" s="102" t="s">
        <v>1256</v>
      </c>
      <c r="I1206" s="9">
        <v>1</v>
      </c>
      <c r="J1206" s="9">
        <v>48</v>
      </c>
      <c r="K1206" s="100">
        <f t="shared" si="154"/>
        <v>48</v>
      </c>
      <c r="L1206" s="78">
        <v>46142</v>
      </c>
      <c r="M1206" s="103"/>
      <c r="N1206" s="93" t="s">
        <v>617</v>
      </c>
      <c r="O1206" s="94">
        <v>46141</v>
      </c>
      <c r="P1206" s="104">
        <f t="shared" si="155"/>
        <v>48</v>
      </c>
      <c r="Q1206" s="104">
        <f t="shared" si="156"/>
        <v>48</v>
      </c>
      <c r="R1206" s="104"/>
      <c r="S1206" s="93" t="s">
        <v>618</v>
      </c>
      <c r="T1206" s="94">
        <v>46156</v>
      </c>
      <c r="U1206" s="104">
        <f t="shared" si="157"/>
        <v>48</v>
      </c>
      <c r="V1206" s="104">
        <f t="shared" si="158"/>
        <v>1</v>
      </c>
      <c r="W1206" s="103">
        <f t="shared" si="159"/>
        <v>48</v>
      </c>
      <c r="X1206" s="93" t="s">
        <v>89</v>
      </c>
      <c r="Y1206" s="105" t="s">
        <v>84</v>
      </c>
      <c r="Z1206" s="105" t="s">
        <v>619</v>
      </c>
    </row>
    <row r="1207" spans="1:26" s="105" customFormat="1" ht="15" customHeight="1">
      <c r="A1207" s="99">
        <f t="shared" si="160"/>
        <v>1205</v>
      </c>
      <c r="B1207" s="75" t="s">
        <v>706</v>
      </c>
      <c r="C1207" s="100" t="str">
        <f>IF($B1207&lt;&gt;"",_xlfn.IFNA(VLOOKUP($B1207,'Node Details'!$B:$U,C$1,0),"Check"),"")</f>
        <v>0000CM311-CM3110101</v>
      </c>
      <c r="D1207" s="100" t="str">
        <f>IF($B1207&lt;&gt;"",_xlfn.IFNA(VLOOKUP($B1207,'Node Details'!$B:$U,D$1,0),"Check"),"")</f>
        <v>CM3</v>
      </c>
      <c r="E1207" s="100" t="str">
        <f>IF($B1207&lt;&gt;"",_xlfn.IFNA(VLOOKUP($B1207,'Node Details'!$B:$U,E$1,0),"Check"),"")</f>
        <v>Airtel</v>
      </c>
      <c r="F1207" s="101">
        <v>46149</v>
      </c>
      <c r="G1207" s="103"/>
      <c r="H1207" s="102" t="s">
        <v>1256</v>
      </c>
      <c r="I1207" s="9">
        <v>1</v>
      </c>
      <c r="J1207" s="9">
        <v>48</v>
      </c>
      <c r="K1207" s="100">
        <f t="shared" si="154"/>
        <v>48</v>
      </c>
      <c r="L1207" s="78">
        <v>46142</v>
      </c>
      <c r="M1207" s="103"/>
      <c r="N1207" s="93" t="s">
        <v>617</v>
      </c>
      <c r="O1207" s="94">
        <v>46141</v>
      </c>
      <c r="P1207" s="104">
        <f t="shared" si="155"/>
        <v>48</v>
      </c>
      <c r="Q1207" s="104">
        <f t="shared" si="156"/>
        <v>48</v>
      </c>
      <c r="R1207" s="104"/>
      <c r="S1207" s="93" t="s">
        <v>618</v>
      </c>
      <c r="T1207" s="94">
        <v>46156</v>
      </c>
      <c r="U1207" s="104">
        <f t="shared" si="157"/>
        <v>48</v>
      </c>
      <c r="V1207" s="104">
        <f t="shared" si="158"/>
        <v>1</v>
      </c>
      <c r="W1207" s="103">
        <f t="shared" si="159"/>
        <v>48</v>
      </c>
      <c r="X1207" s="93" t="s">
        <v>89</v>
      </c>
      <c r="Y1207" s="105" t="s">
        <v>84</v>
      </c>
      <c r="Z1207" s="105" t="s">
        <v>619</v>
      </c>
    </row>
    <row r="1208" spans="1:26" s="105" customFormat="1" ht="15" customHeight="1">
      <c r="A1208" s="99">
        <f t="shared" si="160"/>
        <v>1206</v>
      </c>
      <c r="B1208" s="75" t="s">
        <v>1160</v>
      </c>
      <c r="C1208" s="100" t="str">
        <f>IF($B1208&lt;&gt;"",_xlfn.IFNA(VLOOKUP($B1208,'Node Details'!$B:$U,C$1,0),"Check"),"")</f>
        <v>0000CM311-CM3110103</v>
      </c>
      <c r="D1208" s="100" t="str">
        <f>IF($B1208&lt;&gt;"",_xlfn.IFNA(VLOOKUP($B1208,'Node Details'!$B:$U,D$1,0),"Check"),"")</f>
        <v>CM3</v>
      </c>
      <c r="E1208" s="100" t="str">
        <f>IF($B1208&lt;&gt;"",_xlfn.IFNA(VLOOKUP($B1208,'Node Details'!$B:$U,E$1,0),"Check"),"")</f>
        <v>Airtel</v>
      </c>
      <c r="F1208" s="101">
        <v>46149</v>
      </c>
      <c r="G1208" s="103"/>
      <c r="H1208" s="102" t="s">
        <v>1256</v>
      </c>
      <c r="I1208" s="9">
        <v>1</v>
      </c>
      <c r="J1208" s="9">
        <v>48</v>
      </c>
      <c r="K1208" s="100">
        <f t="shared" si="154"/>
        <v>48</v>
      </c>
      <c r="L1208" s="78">
        <v>46142</v>
      </c>
      <c r="M1208" s="103"/>
      <c r="N1208" s="93" t="s">
        <v>617</v>
      </c>
      <c r="O1208" s="94">
        <v>46141</v>
      </c>
      <c r="P1208" s="104">
        <f t="shared" si="155"/>
        <v>48</v>
      </c>
      <c r="Q1208" s="104">
        <f t="shared" si="156"/>
        <v>48</v>
      </c>
      <c r="R1208" s="104"/>
      <c r="S1208" s="93" t="s">
        <v>618</v>
      </c>
      <c r="T1208" s="94">
        <v>46156</v>
      </c>
      <c r="U1208" s="104">
        <f t="shared" si="157"/>
        <v>48</v>
      </c>
      <c r="V1208" s="104">
        <f t="shared" si="158"/>
        <v>1</v>
      </c>
      <c r="W1208" s="103">
        <f t="shared" si="159"/>
        <v>48</v>
      </c>
      <c r="X1208" s="93" t="s">
        <v>89</v>
      </c>
      <c r="Y1208" s="105" t="s">
        <v>84</v>
      </c>
      <c r="Z1208" s="105" t="s">
        <v>619</v>
      </c>
    </row>
    <row r="1209" spans="1:26" s="105" customFormat="1" ht="15" customHeight="1">
      <c r="A1209" s="99">
        <f t="shared" si="160"/>
        <v>1207</v>
      </c>
      <c r="B1209" s="75" t="s">
        <v>708</v>
      </c>
      <c r="C1209" s="100" t="str">
        <f>IF($B1209&lt;&gt;"",_xlfn.IFNA(VLOOKUP($B1209,'Node Details'!$B:$U,C$1,0),"Check"),"")</f>
        <v>0000CM311-CM3110103</v>
      </c>
      <c r="D1209" s="100" t="str">
        <f>IF($B1209&lt;&gt;"",_xlfn.IFNA(VLOOKUP($B1209,'Node Details'!$B:$U,D$1,0),"Check"),"")</f>
        <v>CM3</v>
      </c>
      <c r="E1209" s="100" t="str">
        <f>IF($B1209&lt;&gt;"",_xlfn.IFNA(VLOOKUP($B1209,'Node Details'!$B:$U,E$1,0),"Check"),"")</f>
        <v>Airtel</v>
      </c>
      <c r="F1209" s="101">
        <v>46149</v>
      </c>
      <c r="G1209" s="103"/>
      <c r="H1209" s="102" t="s">
        <v>1256</v>
      </c>
      <c r="I1209" s="9">
        <v>1</v>
      </c>
      <c r="J1209" s="9">
        <v>48</v>
      </c>
      <c r="K1209" s="100">
        <f t="shared" si="154"/>
        <v>48</v>
      </c>
      <c r="L1209" s="78">
        <v>46142</v>
      </c>
      <c r="M1209" s="103"/>
      <c r="N1209" s="93" t="s">
        <v>617</v>
      </c>
      <c r="O1209" s="94">
        <v>46141</v>
      </c>
      <c r="P1209" s="104">
        <f t="shared" si="155"/>
        <v>48</v>
      </c>
      <c r="Q1209" s="104">
        <f t="shared" si="156"/>
        <v>48</v>
      </c>
      <c r="R1209" s="104"/>
      <c r="S1209" s="93" t="s">
        <v>618</v>
      </c>
      <c r="T1209" s="94">
        <v>46156</v>
      </c>
      <c r="U1209" s="104">
        <f t="shared" si="157"/>
        <v>48</v>
      </c>
      <c r="V1209" s="104">
        <f t="shared" si="158"/>
        <v>1</v>
      </c>
      <c r="W1209" s="103">
        <f t="shared" si="159"/>
        <v>48</v>
      </c>
      <c r="X1209" s="93" t="s">
        <v>89</v>
      </c>
      <c r="Y1209" s="105" t="s">
        <v>84</v>
      </c>
      <c r="Z1209" s="105" t="s">
        <v>619</v>
      </c>
    </row>
    <row r="1210" spans="1:26" s="105" customFormat="1" ht="15" customHeight="1">
      <c r="A1210" s="99">
        <f t="shared" si="160"/>
        <v>1208</v>
      </c>
      <c r="B1210" s="75" t="s">
        <v>1161</v>
      </c>
      <c r="C1210" s="100" t="str">
        <f>IF($B1210&lt;&gt;"",_xlfn.IFNA(VLOOKUP($B1210,'Node Details'!$B:$U,C$1,0),"Check"),"")</f>
        <v>0000CM311-CM3110107</v>
      </c>
      <c r="D1210" s="100" t="str">
        <f>IF($B1210&lt;&gt;"",_xlfn.IFNA(VLOOKUP($B1210,'Node Details'!$B:$U,D$1,0),"Check"),"")</f>
        <v>CM3</v>
      </c>
      <c r="E1210" s="100" t="str">
        <f>IF($B1210&lt;&gt;"",_xlfn.IFNA(VLOOKUP($B1210,'Node Details'!$B:$U,E$1,0),"Check"),"")</f>
        <v>Airtel</v>
      </c>
      <c r="F1210" s="101">
        <v>46149</v>
      </c>
      <c r="G1210" s="103"/>
      <c r="H1210" s="102" t="s">
        <v>1256</v>
      </c>
      <c r="I1210" s="9">
        <v>1</v>
      </c>
      <c r="J1210" s="9">
        <v>48</v>
      </c>
      <c r="K1210" s="100">
        <f t="shared" si="154"/>
        <v>48</v>
      </c>
      <c r="L1210" s="78">
        <v>46142</v>
      </c>
      <c r="M1210" s="103"/>
      <c r="N1210" s="93" t="s">
        <v>617</v>
      </c>
      <c r="O1210" s="94">
        <v>46141</v>
      </c>
      <c r="P1210" s="104">
        <f t="shared" si="155"/>
        <v>48</v>
      </c>
      <c r="Q1210" s="104">
        <f t="shared" si="156"/>
        <v>48</v>
      </c>
      <c r="R1210" s="104"/>
      <c r="S1210" s="93" t="s">
        <v>618</v>
      </c>
      <c r="T1210" s="94">
        <v>46156</v>
      </c>
      <c r="U1210" s="104">
        <f t="shared" si="157"/>
        <v>48</v>
      </c>
      <c r="V1210" s="104">
        <f t="shared" si="158"/>
        <v>1</v>
      </c>
      <c r="W1210" s="103">
        <f t="shared" si="159"/>
        <v>48</v>
      </c>
      <c r="X1210" s="93" t="s">
        <v>89</v>
      </c>
      <c r="Y1210" s="105" t="s">
        <v>84</v>
      </c>
      <c r="Z1210" s="105" t="s">
        <v>619</v>
      </c>
    </row>
    <row r="1211" spans="1:26" s="105" customFormat="1" ht="15" customHeight="1">
      <c r="A1211" s="99">
        <f t="shared" si="160"/>
        <v>1209</v>
      </c>
      <c r="B1211" s="75" t="s">
        <v>1162</v>
      </c>
      <c r="C1211" s="100" t="str">
        <f>IF($B1211&lt;&gt;"",_xlfn.IFNA(VLOOKUP($B1211,'Node Details'!$B:$U,C$1,0),"Check"),"")</f>
        <v>0000CM311-CM3110107</v>
      </c>
      <c r="D1211" s="100" t="str">
        <f>IF($B1211&lt;&gt;"",_xlfn.IFNA(VLOOKUP($B1211,'Node Details'!$B:$U,D$1,0),"Check"),"")</f>
        <v>CM3</v>
      </c>
      <c r="E1211" s="100" t="str">
        <f>IF($B1211&lt;&gt;"",_xlfn.IFNA(VLOOKUP($B1211,'Node Details'!$B:$U,E$1,0),"Check"),"")</f>
        <v>Airtel</v>
      </c>
      <c r="F1211" s="101">
        <v>46149</v>
      </c>
      <c r="G1211" s="103"/>
      <c r="H1211" s="102" t="s">
        <v>1256</v>
      </c>
      <c r="I1211" s="9">
        <v>1</v>
      </c>
      <c r="J1211" s="9">
        <v>48</v>
      </c>
      <c r="K1211" s="100">
        <f t="shared" si="154"/>
        <v>48</v>
      </c>
      <c r="L1211" s="78">
        <v>46142</v>
      </c>
      <c r="M1211" s="103"/>
      <c r="N1211" s="93" t="s">
        <v>617</v>
      </c>
      <c r="O1211" s="94">
        <v>46141</v>
      </c>
      <c r="P1211" s="104">
        <f t="shared" si="155"/>
        <v>48</v>
      </c>
      <c r="Q1211" s="104">
        <f t="shared" si="156"/>
        <v>48</v>
      </c>
      <c r="R1211" s="104"/>
      <c r="S1211" s="93" t="s">
        <v>618</v>
      </c>
      <c r="T1211" s="94">
        <v>46156</v>
      </c>
      <c r="U1211" s="104">
        <f t="shared" si="157"/>
        <v>48</v>
      </c>
      <c r="V1211" s="104">
        <f t="shared" si="158"/>
        <v>1</v>
      </c>
      <c r="W1211" s="103">
        <f t="shared" si="159"/>
        <v>48</v>
      </c>
      <c r="X1211" s="93" t="s">
        <v>89</v>
      </c>
      <c r="Y1211" s="105" t="s">
        <v>84</v>
      </c>
      <c r="Z1211" s="105" t="s">
        <v>619</v>
      </c>
    </row>
    <row r="1212" spans="1:26" s="105" customFormat="1" ht="15" customHeight="1">
      <c r="A1212" s="99">
        <f t="shared" si="160"/>
        <v>1210</v>
      </c>
      <c r="B1212" s="75" t="s">
        <v>1163</v>
      </c>
      <c r="C1212" s="100" t="str">
        <f>IF($B1212&lt;&gt;"",_xlfn.IFNA(VLOOKUP($B1212,'Node Details'!$B:$U,C$1,0),"Check"),"")</f>
        <v>0000CM311-CM3110107</v>
      </c>
      <c r="D1212" s="100" t="str">
        <f>IF($B1212&lt;&gt;"",_xlfn.IFNA(VLOOKUP($B1212,'Node Details'!$B:$U,D$1,0),"Check"),"")</f>
        <v>CM3</v>
      </c>
      <c r="E1212" s="100" t="str">
        <f>IF($B1212&lt;&gt;"",_xlfn.IFNA(VLOOKUP($B1212,'Node Details'!$B:$U,E$1,0),"Check"),"")</f>
        <v>Airtel</v>
      </c>
      <c r="F1212" s="101">
        <v>46149</v>
      </c>
      <c r="G1212" s="103"/>
      <c r="H1212" s="102" t="s">
        <v>1256</v>
      </c>
      <c r="I1212" s="9">
        <v>1</v>
      </c>
      <c r="J1212" s="9">
        <v>48</v>
      </c>
      <c r="K1212" s="100">
        <f t="shared" si="154"/>
        <v>48</v>
      </c>
      <c r="L1212" s="78">
        <v>46142</v>
      </c>
      <c r="M1212" s="103"/>
      <c r="N1212" s="93" t="s">
        <v>617</v>
      </c>
      <c r="O1212" s="94">
        <v>46141</v>
      </c>
      <c r="P1212" s="104">
        <f t="shared" si="155"/>
        <v>48</v>
      </c>
      <c r="Q1212" s="104">
        <f t="shared" si="156"/>
        <v>48</v>
      </c>
      <c r="R1212" s="104"/>
      <c r="S1212" s="93" t="s">
        <v>618</v>
      </c>
      <c r="T1212" s="94">
        <v>46156</v>
      </c>
      <c r="U1212" s="104">
        <f t="shared" si="157"/>
        <v>48</v>
      </c>
      <c r="V1212" s="104">
        <f t="shared" si="158"/>
        <v>1</v>
      </c>
      <c r="W1212" s="103">
        <f t="shared" si="159"/>
        <v>48</v>
      </c>
      <c r="X1212" s="93" t="s">
        <v>89</v>
      </c>
      <c r="Y1212" s="105" t="s">
        <v>84</v>
      </c>
      <c r="Z1212" s="105" t="s">
        <v>619</v>
      </c>
    </row>
    <row r="1213" spans="1:26" s="105" customFormat="1" ht="15" customHeight="1">
      <c r="A1213" s="99">
        <f t="shared" si="160"/>
        <v>1211</v>
      </c>
      <c r="B1213" s="75" t="s">
        <v>710</v>
      </c>
      <c r="C1213" s="100" t="str">
        <f>IF($B1213&lt;&gt;"",_xlfn.IFNA(VLOOKUP($B1213,'Node Details'!$B:$U,C$1,0),"Check"),"")</f>
        <v>0000CM311-CM3110107</v>
      </c>
      <c r="D1213" s="100" t="str">
        <f>IF($B1213&lt;&gt;"",_xlfn.IFNA(VLOOKUP($B1213,'Node Details'!$B:$U,D$1,0),"Check"),"")</f>
        <v>CM3</v>
      </c>
      <c r="E1213" s="100" t="str">
        <f>IF($B1213&lt;&gt;"",_xlfn.IFNA(VLOOKUP($B1213,'Node Details'!$B:$U,E$1,0),"Check"),"")</f>
        <v>Airtel</v>
      </c>
      <c r="F1213" s="101">
        <v>46149</v>
      </c>
      <c r="G1213" s="103"/>
      <c r="H1213" s="102" t="s">
        <v>1256</v>
      </c>
      <c r="I1213" s="9">
        <v>1</v>
      </c>
      <c r="J1213" s="9">
        <v>48</v>
      </c>
      <c r="K1213" s="100">
        <f t="shared" si="154"/>
        <v>48</v>
      </c>
      <c r="L1213" s="78">
        <v>46142</v>
      </c>
      <c r="M1213" s="103"/>
      <c r="N1213" s="93" t="s">
        <v>617</v>
      </c>
      <c r="O1213" s="94">
        <v>46141</v>
      </c>
      <c r="P1213" s="104">
        <f t="shared" si="155"/>
        <v>48</v>
      </c>
      <c r="Q1213" s="104">
        <f t="shared" si="156"/>
        <v>48</v>
      </c>
      <c r="R1213" s="104"/>
      <c r="S1213" s="93" t="s">
        <v>618</v>
      </c>
      <c r="T1213" s="94">
        <v>46156</v>
      </c>
      <c r="U1213" s="104">
        <f t="shared" si="157"/>
        <v>48</v>
      </c>
      <c r="V1213" s="104">
        <f t="shared" si="158"/>
        <v>1</v>
      </c>
      <c r="W1213" s="103">
        <f t="shared" si="159"/>
        <v>48</v>
      </c>
      <c r="X1213" s="93" t="s">
        <v>89</v>
      </c>
      <c r="Y1213" s="105" t="s">
        <v>84</v>
      </c>
      <c r="Z1213" s="105" t="s">
        <v>619</v>
      </c>
    </row>
    <row r="1214" spans="1:26" s="105" customFormat="1" ht="15" customHeight="1">
      <c r="A1214" s="99">
        <f t="shared" si="160"/>
        <v>1212</v>
      </c>
      <c r="B1214" s="75" t="s">
        <v>712</v>
      </c>
      <c r="C1214" s="100" t="str">
        <f>IF($B1214&lt;&gt;"",_xlfn.IFNA(VLOOKUP($B1214,'Node Details'!$B:$U,C$1,0),"Check"),"")</f>
        <v>000000CM3-0000CM325</v>
      </c>
      <c r="D1214" s="100" t="str">
        <f>IF($B1214&lt;&gt;"",_xlfn.IFNA(VLOOKUP($B1214,'Node Details'!$B:$U,D$1,0),"Check"),"")</f>
        <v>CM3</v>
      </c>
      <c r="E1214" s="100" t="str">
        <f>IF($B1214&lt;&gt;"",_xlfn.IFNA(VLOOKUP($B1214,'Node Details'!$B:$U,E$1,0),"Check"),"")</f>
        <v>Airtel</v>
      </c>
      <c r="F1214" s="101">
        <v>46149</v>
      </c>
      <c r="G1214" s="103"/>
      <c r="H1214" s="102" t="s">
        <v>1256</v>
      </c>
      <c r="I1214" s="9">
        <v>1</v>
      </c>
      <c r="J1214" s="9">
        <v>48</v>
      </c>
      <c r="K1214" s="100">
        <f t="shared" ref="K1214:K1277" si="161">IF(I1214&lt;&gt;"",J1214*I1214,0)</f>
        <v>48</v>
      </c>
      <c r="L1214" s="78">
        <v>46142</v>
      </c>
      <c r="M1214" s="103"/>
      <c r="N1214" s="93" t="s">
        <v>617</v>
      </c>
      <c r="O1214" s="94">
        <v>46141</v>
      </c>
      <c r="P1214" s="104">
        <f t="shared" ref="P1214:P1277" si="162">J1214</f>
        <v>48</v>
      </c>
      <c r="Q1214" s="104">
        <f t="shared" ref="Q1214:Q1277" si="163">P1214*I1214</f>
        <v>48</v>
      </c>
      <c r="R1214" s="104"/>
      <c r="S1214" s="93" t="s">
        <v>618</v>
      </c>
      <c r="T1214" s="94">
        <v>46156</v>
      </c>
      <c r="U1214" s="104">
        <f t="shared" ref="U1214:U1277" si="164">J1214</f>
        <v>48</v>
      </c>
      <c r="V1214" s="104">
        <f t="shared" ref="V1214:V1277" si="165">I1214</f>
        <v>1</v>
      </c>
      <c r="W1214" s="103">
        <f t="shared" ref="W1214:W1277" si="166">IF(V1214&lt;&gt;"",V1214*U1214,0)</f>
        <v>48</v>
      </c>
      <c r="X1214" s="93" t="s">
        <v>89</v>
      </c>
      <c r="Y1214" s="105" t="s">
        <v>84</v>
      </c>
      <c r="Z1214" s="105" t="s">
        <v>619</v>
      </c>
    </row>
    <row r="1215" spans="1:26" s="105" customFormat="1" ht="15" customHeight="1">
      <c r="A1215" s="99">
        <f t="shared" si="160"/>
        <v>1213</v>
      </c>
      <c r="B1215" s="75" t="s">
        <v>713</v>
      </c>
      <c r="C1215" s="100" t="str">
        <f>IF($B1215&lt;&gt;"",_xlfn.IFNA(VLOOKUP($B1215,'Node Details'!$B:$U,C$1,0),"Check"),"")</f>
        <v>0000CM312-CM3120102</v>
      </c>
      <c r="D1215" s="100" t="str">
        <f>IF($B1215&lt;&gt;"",_xlfn.IFNA(VLOOKUP($B1215,'Node Details'!$B:$U,D$1,0),"Check"),"")</f>
        <v>CM3</v>
      </c>
      <c r="E1215" s="100" t="str">
        <f>IF($B1215&lt;&gt;"",_xlfn.IFNA(VLOOKUP($B1215,'Node Details'!$B:$U,E$1,0),"Check"),"")</f>
        <v>Airtel</v>
      </c>
      <c r="F1215" s="101">
        <v>46149</v>
      </c>
      <c r="G1215" s="103"/>
      <c r="H1215" s="102" t="s">
        <v>1256</v>
      </c>
      <c r="I1215" s="9">
        <v>1</v>
      </c>
      <c r="J1215" s="9">
        <v>48</v>
      </c>
      <c r="K1215" s="100">
        <f t="shared" si="161"/>
        <v>48</v>
      </c>
      <c r="L1215" s="78">
        <v>46142</v>
      </c>
      <c r="M1215" s="103"/>
      <c r="N1215" s="93" t="s">
        <v>617</v>
      </c>
      <c r="O1215" s="94">
        <v>46141</v>
      </c>
      <c r="P1215" s="104">
        <f t="shared" si="162"/>
        <v>48</v>
      </c>
      <c r="Q1215" s="104">
        <f t="shared" si="163"/>
        <v>48</v>
      </c>
      <c r="R1215" s="104"/>
      <c r="S1215" s="93" t="s">
        <v>618</v>
      </c>
      <c r="T1215" s="94">
        <v>46156</v>
      </c>
      <c r="U1215" s="104">
        <f t="shared" si="164"/>
        <v>48</v>
      </c>
      <c r="V1215" s="104">
        <f t="shared" si="165"/>
        <v>1</v>
      </c>
      <c r="W1215" s="103">
        <f t="shared" si="166"/>
        <v>48</v>
      </c>
      <c r="X1215" s="93" t="s">
        <v>89</v>
      </c>
      <c r="Y1215" s="105" t="s">
        <v>84</v>
      </c>
      <c r="Z1215" s="105" t="s">
        <v>619</v>
      </c>
    </row>
    <row r="1216" spans="1:26" s="105" customFormat="1" ht="15" customHeight="1">
      <c r="A1216" s="99">
        <f t="shared" si="160"/>
        <v>1214</v>
      </c>
      <c r="B1216" s="75" t="s">
        <v>715</v>
      </c>
      <c r="C1216" s="100" t="str">
        <f>IF($B1216&lt;&gt;"",_xlfn.IFNA(VLOOKUP($B1216,'Node Details'!$B:$U,C$1,0),"Check"),"")</f>
        <v>0000CM312-CM3120103</v>
      </c>
      <c r="D1216" s="100" t="str">
        <f>IF($B1216&lt;&gt;"",_xlfn.IFNA(VLOOKUP($B1216,'Node Details'!$B:$U,D$1,0),"Check"),"")</f>
        <v>CM3</v>
      </c>
      <c r="E1216" s="100" t="str">
        <f>IF($B1216&lt;&gt;"",_xlfn.IFNA(VLOOKUP($B1216,'Node Details'!$B:$U,E$1,0),"Check"),"")</f>
        <v>Airtel</v>
      </c>
      <c r="F1216" s="101">
        <v>46149</v>
      </c>
      <c r="G1216" s="103"/>
      <c r="H1216" s="102" t="s">
        <v>1256</v>
      </c>
      <c r="I1216" s="9">
        <v>1</v>
      </c>
      <c r="J1216" s="9">
        <v>48</v>
      </c>
      <c r="K1216" s="100">
        <f t="shared" si="161"/>
        <v>48</v>
      </c>
      <c r="L1216" s="78">
        <v>46142</v>
      </c>
      <c r="M1216" s="103"/>
      <c r="N1216" s="93" t="s">
        <v>617</v>
      </c>
      <c r="O1216" s="94">
        <v>46141</v>
      </c>
      <c r="P1216" s="104">
        <f t="shared" si="162"/>
        <v>48</v>
      </c>
      <c r="Q1216" s="104">
        <f t="shared" si="163"/>
        <v>48</v>
      </c>
      <c r="R1216" s="104"/>
      <c r="S1216" s="93" t="s">
        <v>618</v>
      </c>
      <c r="T1216" s="94">
        <v>46156</v>
      </c>
      <c r="U1216" s="104">
        <f t="shared" si="164"/>
        <v>48</v>
      </c>
      <c r="V1216" s="104">
        <f t="shared" si="165"/>
        <v>1</v>
      </c>
      <c r="W1216" s="103">
        <f t="shared" si="166"/>
        <v>48</v>
      </c>
      <c r="X1216" s="93" t="s">
        <v>89</v>
      </c>
      <c r="Y1216" s="105" t="s">
        <v>84</v>
      </c>
      <c r="Z1216" s="105" t="s">
        <v>619</v>
      </c>
    </row>
    <row r="1217" spans="1:26" s="105" customFormat="1" ht="15" customHeight="1">
      <c r="A1217" s="99">
        <f t="shared" si="160"/>
        <v>1215</v>
      </c>
      <c r="B1217" s="75" t="s">
        <v>717</v>
      </c>
      <c r="C1217" s="100" t="str">
        <f>IF($B1217&lt;&gt;"",_xlfn.IFNA(VLOOKUP($B1217,'Node Details'!$B:$U,C$1,0),"Check"),"")</f>
        <v>0000CM312-CM3120104</v>
      </c>
      <c r="D1217" s="100" t="str">
        <f>IF($B1217&lt;&gt;"",_xlfn.IFNA(VLOOKUP($B1217,'Node Details'!$B:$U,D$1,0),"Check"),"")</f>
        <v>CM3</v>
      </c>
      <c r="E1217" s="100" t="str">
        <f>IF($B1217&lt;&gt;"",_xlfn.IFNA(VLOOKUP($B1217,'Node Details'!$B:$U,E$1,0),"Check"),"")</f>
        <v>Airtel</v>
      </c>
      <c r="F1217" s="101">
        <v>46149</v>
      </c>
      <c r="G1217" s="103"/>
      <c r="H1217" s="102" t="s">
        <v>1256</v>
      </c>
      <c r="I1217" s="9">
        <v>1</v>
      </c>
      <c r="J1217" s="9">
        <v>48</v>
      </c>
      <c r="K1217" s="100">
        <f t="shared" si="161"/>
        <v>48</v>
      </c>
      <c r="L1217" s="78">
        <v>46142</v>
      </c>
      <c r="M1217" s="103"/>
      <c r="N1217" s="93" t="s">
        <v>617</v>
      </c>
      <c r="O1217" s="94">
        <v>46141</v>
      </c>
      <c r="P1217" s="104">
        <f t="shared" si="162"/>
        <v>48</v>
      </c>
      <c r="Q1217" s="104">
        <f t="shared" si="163"/>
        <v>48</v>
      </c>
      <c r="R1217" s="104"/>
      <c r="S1217" s="93" t="s">
        <v>618</v>
      </c>
      <c r="T1217" s="94">
        <v>46156</v>
      </c>
      <c r="U1217" s="104">
        <f t="shared" si="164"/>
        <v>48</v>
      </c>
      <c r="V1217" s="104">
        <f t="shared" si="165"/>
        <v>1</v>
      </c>
      <c r="W1217" s="103">
        <f t="shared" si="166"/>
        <v>48</v>
      </c>
      <c r="X1217" s="93" t="s">
        <v>89</v>
      </c>
      <c r="Y1217" s="105" t="s">
        <v>84</v>
      </c>
      <c r="Z1217" s="105" t="s">
        <v>619</v>
      </c>
    </row>
    <row r="1218" spans="1:26" s="105" customFormat="1" ht="15" customHeight="1">
      <c r="A1218" s="99">
        <f t="shared" si="160"/>
        <v>1216</v>
      </c>
      <c r="B1218" s="75" t="s">
        <v>1164</v>
      </c>
      <c r="C1218" s="100" t="str">
        <f>IF($B1218&lt;&gt;"",_xlfn.IFNA(VLOOKUP($B1218,'Node Details'!$B:$U,C$1,0),"Check"),"")</f>
        <v>0000CM312-CM3120108</v>
      </c>
      <c r="D1218" s="100" t="str">
        <f>IF($B1218&lt;&gt;"",_xlfn.IFNA(VLOOKUP($B1218,'Node Details'!$B:$U,D$1,0),"Check"),"")</f>
        <v>CM3</v>
      </c>
      <c r="E1218" s="100" t="str">
        <f>IF($B1218&lt;&gt;"",_xlfn.IFNA(VLOOKUP($B1218,'Node Details'!$B:$U,E$1,0),"Check"),"")</f>
        <v>Airtel</v>
      </c>
      <c r="F1218" s="101">
        <v>46149</v>
      </c>
      <c r="G1218" s="103"/>
      <c r="H1218" s="102" t="s">
        <v>1256</v>
      </c>
      <c r="I1218" s="9">
        <v>1</v>
      </c>
      <c r="J1218" s="9">
        <v>48</v>
      </c>
      <c r="K1218" s="100">
        <f t="shared" si="161"/>
        <v>48</v>
      </c>
      <c r="L1218" s="78">
        <v>46142</v>
      </c>
      <c r="M1218" s="103"/>
      <c r="N1218" s="93" t="s">
        <v>617</v>
      </c>
      <c r="O1218" s="94">
        <v>46141</v>
      </c>
      <c r="P1218" s="104">
        <f t="shared" si="162"/>
        <v>48</v>
      </c>
      <c r="Q1218" s="104">
        <f t="shared" si="163"/>
        <v>48</v>
      </c>
      <c r="R1218" s="104"/>
      <c r="S1218" s="93" t="s">
        <v>618</v>
      </c>
      <c r="T1218" s="94">
        <v>46156</v>
      </c>
      <c r="U1218" s="104">
        <f t="shared" si="164"/>
        <v>48</v>
      </c>
      <c r="V1218" s="104">
        <f t="shared" si="165"/>
        <v>1</v>
      </c>
      <c r="W1218" s="103">
        <f t="shared" si="166"/>
        <v>48</v>
      </c>
      <c r="X1218" s="93" t="s">
        <v>89</v>
      </c>
      <c r="Y1218" s="105" t="s">
        <v>84</v>
      </c>
      <c r="Z1218" s="105" t="s">
        <v>619</v>
      </c>
    </row>
    <row r="1219" spans="1:26" s="105" customFormat="1" ht="15" customHeight="1">
      <c r="A1219" s="99">
        <f t="shared" si="160"/>
        <v>1217</v>
      </c>
      <c r="B1219" s="75" t="s">
        <v>1165</v>
      </c>
      <c r="C1219" s="100" t="str">
        <f>IF($B1219&lt;&gt;"",_xlfn.IFNA(VLOOKUP($B1219,'Node Details'!$B:$U,C$1,0),"Check"),"")</f>
        <v>0000CM312-CM3120108</v>
      </c>
      <c r="D1219" s="100" t="str">
        <f>IF($B1219&lt;&gt;"",_xlfn.IFNA(VLOOKUP($B1219,'Node Details'!$B:$U,D$1,0),"Check"),"")</f>
        <v>CM3</v>
      </c>
      <c r="E1219" s="100" t="str">
        <f>IF($B1219&lt;&gt;"",_xlfn.IFNA(VLOOKUP($B1219,'Node Details'!$B:$U,E$1,0),"Check"),"")</f>
        <v>Airtel</v>
      </c>
      <c r="F1219" s="101">
        <v>46149</v>
      </c>
      <c r="G1219" s="103"/>
      <c r="H1219" s="102" t="s">
        <v>1256</v>
      </c>
      <c r="I1219" s="9">
        <v>1</v>
      </c>
      <c r="J1219" s="9">
        <v>48</v>
      </c>
      <c r="K1219" s="100">
        <f t="shared" si="161"/>
        <v>48</v>
      </c>
      <c r="L1219" s="78">
        <v>46142</v>
      </c>
      <c r="M1219" s="103"/>
      <c r="N1219" s="93" t="s">
        <v>617</v>
      </c>
      <c r="O1219" s="94">
        <v>46141</v>
      </c>
      <c r="P1219" s="104">
        <f t="shared" si="162"/>
        <v>48</v>
      </c>
      <c r="Q1219" s="104">
        <f t="shared" si="163"/>
        <v>48</v>
      </c>
      <c r="R1219" s="104"/>
      <c r="S1219" s="93" t="s">
        <v>618</v>
      </c>
      <c r="T1219" s="94">
        <v>46156</v>
      </c>
      <c r="U1219" s="104">
        <f t="shared" si="164"/>
        <v>48</v>
      </c>
      <c r="V1219" s="104">
        <f t="shared" si="165"/>
        <v>1</v>
      </c>
      <c r="W1219" s="103">
        <f t="shared" si="166"/>
        <v>48</v>
      </c>
      <c r="X1219" s="93" t="s">
        <v>89</v>
      </c>
      <c r="Y1219" s="105" t="s">
        <v>84</v>
      </c>
      <c r="Z1219" s="105" t="s">
        <v>619</v>
      </c>
    </row>
    <row r="1220" spans="1:26" s="105" customFormat="1" ht="15" customHeight="1">
      <c r="A1220" s="99">
        <f t="shared" si="160"/>
        <v>1218</v>
      </c>
      <c r="B1220" s="75" t="s">
        <v>1166</v>
      </c>
      <c r="C1220" s="100" t="str">
        <f>IF($B1220&lt;&gt;"",_xlfn.IFNA(VLOOKUP($B1220,'Node Details'!$B:$U,C$1,0),"Check"),"")</f>
        <v>0000CM312-CM3120108</v>
      </c>
      <c r="D1220" s="100" t="str">
        <f>IF($B1220&lt;&gt;"",_xlfn.IFNA(VLOOKUP($B1220,'Node Details'!$B:$U,D$1,0),"Check"),"")</f>
        <v>CM3</v>
      </c>
      <c r="E1220" s="100" t="str">
        <f>IF($B1220&lt;&gt;"",_xlfn.IFNA(VLOOKUP($B1220,'Node Details'!$B:$U,E$1,0),"Check"),"")</f>
        <v>Airtel</v>
      </c>
      <c r="F1220" s="101">
        <v>46149</v>
      </c>
      <c r="G1220" s="103"/>
      <c r="H1220" s="102" t="s">
        <v>1256</v>
      </c>
      <c r="I1220" s="9">
        <v>1</v>
      </c>
      <c r="J1220" s="9">
        <v>48</v>
      </c>
      <c r="K1220" s="100">
        <f t="shared" si="161"/>
        <v>48</v>
      </c>
      <c r="L1220" s="78">
        <v>46142</v>
      </c>
      <c r="M1220" s="103"/>
      <c r="N1220" s="93" t="s">
        <v>617</v>
      </c>
      <c r="O1220" s="94">
        <v>46141</v>
      </c>
      <c r="P1220" s="104">
        <f t="shared" si="162"/>
        <v>48</v>
      </c>
      <c r="Q1220" s="104">
        <f t="shared" si="163"/>
        <v>48</v>
      </c>
      <c r="R1220" s="104"/>
      <c r="S1220" s="93" t="s">
        <v>618</v>
      </c>
      <c r="T1220" s="94">
        <v>46156</v>
      </c>
      <c r="U1220" s="104">
        <f t="shared" si="164"/>
        <v>48</v>
      </c>
      <c r="V1220" s="104">
        <f t="shared" si="165"/>
        <v>1</v>
      </c>
      <c r="W1220" s="103">
        <f t="shared" si="166"/>
        <v>48</v>
      </c>
      <c r="X1220" s="93" t="s">
        <v>89</v>
      </c>
      <c r="Y1220" s="105" t="s">
        <v>84</v>
      </c>
      <c r="Z1220" s="105" t="s">
        <v>619</v>
      </c>
    </row>
    <row r="1221" spans="1:26" s="105" customFormat="1" ht="15" customHeight="1">
      <c r="A1221" s="99">
        <f t="shared" ref="A1221:A1284" si="167">A1220+1</f>
        <v>1219</v>
      </c>
      <c r="B1221" s="75" t="s">
        <v>719</v>
      </c>
      <c r="C1221" s="100" t="str">
        <f>IF($B1221&lt;&gt;"",_xlfn.IFNA(VLOOKUP($B1221,'Node Details'!$B:$U,C$1,0),"Check"),"")</f>
        <v>0000CM312-CM3120108</v>
      </c>
      <c r="D1221" s="100" t="str">
        <f>IF($B1221&lt;&gt;"",_xlfn.IFNA(VLOOKUP($B1221,'Node Details'!$B:$U,D$1,0),"Check"),"")</f>
        <v>CM3</v>
      </c>
      <c r="E1221" s="100" t="str">
        <f>IF($B1221&lt;&gt;"",_xlfn.IFNA(VLOOKUP($B1221,'Node Details'!$B:$U,E$1,0),"Check"),"")</f>
        <v>Airtel</v>
      </c>
      <c r="F1221" s="101">
        <v>46149</v>
      </c>
      <c r="G1221" s="103"/>
      <c r="H1221" s="102" t="s">
        <v>1256</v>
      </c>
      <c r="I1221" s="9">
        <v>1</v>
      </c>
      <c r="J1221" s="9">
        <v>48</v>
      </c>
      <c r="K1221" s="100">
        <f t="shared" si="161"/>
        <v>48</v>
      </c>
      <c r="L1221" s="78">
        <v>46142</v>
      </c>
      <c r="M1221" s="103"/>
      <c r="N1221" s="93" t="s">
        <v>617</v>
      </c>
      <c r="O1221" s="94">
        <v>46141</v>
      </c>
      <c r="P1221" s="104">
        <f t="shared" si="162"/>
        <v>48</v>
      </c>
      <c r="Q1221" s="104">
        <f t="shared" si="163"/>
        <v>48</v>
      </c>
      <c r="R1221" s="104"/>
      <c r="S1221" s="93" t="s">
        <v>618</v>
      </c>
      <c r="T1221" s="94">
        <v>46156</v>
      </c>
      <c r="U1221" s="104">
        <f t="shared" si="164"/>
        <v>48</v>
      </c>
      <c r="V1221" s="104">
        <f t="shared" si="165"/>
        <v>1</v>
      </c>
      <c r="W1221" s="103">
        <f t="shared" si="166"/>
        <v>48</v>
      </c>
      <c r="X1221" s="93" t="s">
        <v>89</v>
      </c>
      <c r="Y1221" s="105" t="s">
        <v>84</v>
      </c>
      <c r="Z1221" s="105" t="s">
        <v>619</v>
      </c>
    </row>
    <row r="1222" spans="1:26" s="105" customFormat="1" ht="15" customHeight="1">
      <c r="A1222" s="99">
        <f t="shared" si="167"/>
        <v>1220</v>
      </c>
      <c r="B1222" s="75" t="s">
        <v>624</v>
      </c>
      <c r="C1222" s="100" t="str">
        <f>IF($B1222&lt;&gt;"",_xlfn.IFNA(VLOOKUP($B1222,'Node Details'!$B:$U,C$1,0),"Check"),"")</f>
        <v>000000CM3-0000CM325</v>
      </c>
      <c r="D1222" s="100" t="str">
        <f>IF($B1222&lt;&gt;"",_xlfn.IFNA(VLOOKUP($B1222,'Node Details'!$B:$U,D$1,0),"Check"),"")</f>
        <v>CM3</v>
      </c>
      <c r="E1222" s="100" t="str">
        <f>IF($B1222&lt;&gt;"",_xlfn.IFNA(VLOOKUP($B1222,'Node Details'!$B:$U,E$1,0),"Check"),"")</f>
        <v>Airtel</v>
      </c>
      <c r="F1222" s="101">
        <v>46149</v>
      </c>
      <c r="G1222" s="103"/>
      <c r="H1222" s="102" t="s">
        <v>1256</v>
      </c>
      <c r="I1222" s="9">
        <v>1</v>
      </c>
      <c r="J1222" s="9">
        <v>48</v>
      </c>
      <c r="K1222" s="100">
        <f t="shared" si="161"/>
        <v>48</v>
      </c>
      <c r="L1222" s="78">
        <v>46142</v>
      </c>
      <c r="M1222" s="103"/>
      <c r="N1222" s="93" t="s">
        <v>617</v>
      </c>
      <c r="O1222" s="94">
        <v>46141</v>
      </c>
      <c r="P1222" s="104">
        <f t="shared" si="162"/>
        <v>48</v>
      </c>
      <c r="Q1222" s="104">
        <f t="shared" si="163"/>
        <v>48</v>
      </c>
      <c r="R1222" s="104"/>
      <c r="S1222" s="93" t="s">
        <v>618</v>
      </c>
      <c r="T1222" s="94">
        <v>46156</v>
      </c>
      <c r="U1222" s="104">
        <f t="shared" si="164"/>
        <v>48</v>
      </c>
      <c r="V1222" s="104">
        <f t="shared" si="165"/>
        <v>1</v>
      </c>
      <c r="W1222" s="103">
        <f t="shared" si="166"/>
        <v>48</v>
      </c>
      <c r="X1222" s="93" t="s">
        <v>89</v>
      </c>
      <c r="Y1222" s="105" t="s">
        <v>84</v>
      </c>
      <c r="Z1222" s="105" t="s">
        <v>619</v>
      </c>
    </row>
    <row r="1223" spans="1:26" s="105" customFormat="1" ht="15" customHeight="1">
      <c r="A1223" s="99">
        <f t="shared" si="167"/>
        <v>1221</v>
      </c>
      <c r="B1223" s="75" t="s">
        <v>721</v>
      </c>
      <c r="C1223" s="100" t="str">
        <f>IF($B1223&lt;&gt;"",_xlfn.IFNA(VLOOKUP($B1223,'Node Details'!$B:$U,C$1,0),"Check"),"")</f>
        <v>0000CM313-CM3130101</v>
      </c>
      <c r="D1223" s="100" t="str">
        <f>IF($B1223&lt;&gt;"",_xlfn.IFNA(VLOOKUP($B1223,'Node Details'!$B:$U,D$1,0),"Check"),"")</f>
        <v>CM3</v>
      </c>
      <c r="E1223" s="100" t="str">
        <f>IF($B1223&lt;&gt;"",_xlfn.IFNA(VLOOKUP($B1223,'Node Details'!$B:$U,E$1,0),"Check"),"")</f>
        <v>Airtel</v>
      </c>
      <c r="F1223" s="101">
        <v>46149</v>
      </c>
      <c r="G1223" s="103"/>
      <c r="H1223" s="102" t="s">
        <v>1256</v>
      </c>
      <c r="I1223" s="9">
        <v>1</v>
      </c>
      <c r="J1223" s="9">
        <v>48</v>
      </c>
      <c r="K1223" s="100">
        <f t="shared" si="161"/>
        <v>48</v>
      </c>
      <c r="L1223" s="78">
        <v>46142</v>
      </c>
      <c r="M1223" s="103"/>
      <c r="N1223" s="93" t="s">
        <v>617</v>
      </c>
      <c r="O1223" s="94">
        <v>46141</v>
      </c>
      <c r="P1223" s="104">
        <f t="shared" si="162"/>
        <v>48</v>
      </c>
      <c r="Q1223" s="104">
        <f t="shared" si="163"/>
        <v>48</v>
      </c>
      <c r="R1223" s="104"/>
      <c r="S1223" s="93" t="s">
        <v>618</v>
      </c>
      <c r="T1223" s="94">
        <v>46156</v>
      </c>
      <c r="U1223" s="104">
        <f t="shared" si="164"/>
        <v>48</v>
      </c>
      <c r="V1223" s="104">
        <f t="shared" si="165"/>
        <v>1</v>
      </c>
      <c r="W1223" s="103">
        <f t="shared" si="166"/>
        <v>48</v>
      </c>
      <c r="X1223" s="93" t="s">
        <v>89</v>
      </c>
      <c r="Y1223" s="105" t="s">
        <v>84</v>
      </c>
      <c r="Z1223" s="105" t="s">
        <v>619</v>
      </c>
    </row>
    <row r="1224" spans="1:26" s="105" customFormat="1" ht="15" customHeight="1">
      <c r="A1224" s="99">
        <f t="shared" si="167"/>
        <v>1222</v>
      </c>
      <c r="B1224" s="75" t="s">
        <v>1167</v>
      </c>
      <c r="C1224" s="100" t="str">
        <f>IF($B1224&lt;&gt;"",_xlfn.IFNA(VLOOKUP($B1224,'Node Details'!$B:$U,C$1,0),"Check"),"")</f>
        <v>0000CM313-CM3130107</v>
      </c>
      <c r="D1224" s="100" t="str">
        <f>IF($B1224&lt;&gt;"",_xlfn.IFNA(VLOOKUP($B1224,'Node Details'!$B:$U,D$1,0),"Check"),"")</f>
        <v>CM3</v>
      </c>
      <c r="E1224" s="100" t="str">
        <f>IF($B1224&lt;&gt;"",_xlfn.IFNA(VLOOKUP($B1224,'Node Details'!$B:$U,E$1,0),"Check"),"")</f>
        <v>Airtel</v>
      </c>
      <c r="F1224" s="101">
        <v>46149</v>
      </c>
      <c r="G1224" s="103"/>
      <c r="H1224" s="102" t="s">
        <v>1256</v>
      </c>
      <c r="I1224" s="9">
        <v>1</v>
      </c>
      <c r="J1224" s="9">
        <v>48</v>
      </c>
      <c r="K1224" s="100">
        <f t="shared" si="161"/>
        <v>48</v>
      </c>
      <c r="L1224" s="78">
        <v>46142</v>
      </c>
      <c r="M1224" s="103"/>
      <c r="N1224" s="93" t="s">
        <v>617</v>
      </c>
      <c r="O1224" s="94">
        <v>46141</v>
      </c>
      <c r="P1224" s="104">
        <f t="shared" si="162"/>
        <v>48</v>
      </c>
      <c r="Q1224" s="104">
        <f t="shared" si="163"/>
        <v>48</v>
      </c>
      <c r="R1224" s="104"/>
      <c r="S1224" s="93" t="s">
        <v>618</v>
      </c>
      <c r="T1224" s="94">
        <v>46156</v>
      </c>
      <c r="U1224" s="104">
        <f t="shared" si="164"/>
        <v>48</v>
      </c>
      <c r="V1224" s="104">
        <f t="shared" si="165"/>
        <v>1</v>
      </c>
      <c r="W1224" s="103">
        <f t="shared" si="166"/>
        <v>48</v>
      </c>
      <c r="X1224" s="93" t="s">
        <v>89</v>
      </c>
      <c r="Y1224" s="105" t="s">
        <v>84</v>
      </c>
      <c r="Z1224" s="105" t="s">
        <v>619</v>
      </c>
    </row>
    <row r="1225" spans="1:26" s="105" customFormat="1" ht="15" customHeight="1">
      <c r="A1225" s="99">
        <f t="shared" si="167"/>
        <v>1223</v>
      </c>
      <c r="B1225" s="75" t="s">
        <v>723</v>
      </c>
      <c r="C1225" s="100" t="str">
        <f>IF($B1225&lt;&gt;"",_xlfn.IFNA(VLOOKUP($B1225,'Node Details'!$B:$U,C$1,0),"Check"),"")</f>
        <v>0000CM313-CM3130107</v>
      </c>
      <c r="D1225" s="100" t="str">
        <f>IF($B1225&lt;&gt;"",_xlfn.IFNA(VLOOKUP($B1225,'Node Details'!$B:$U,D$1,0),"Check"),"")</f>
        <v>CM3</v>
      </c>
      <c r="E1225" s="100" t="str">
        <f>IF($B1225&lt;&gt;"",_xlfn.IFNA(VLOOKUP($B1225,'Node Details'!$B:$U,E$1,0),"Check"),"")</f>
        <v>Airtel</v>
      </c>
      <c r="F1225" s="101">
        <v>46149</v>
      </c>
      <c r="G1225" s="103"/>
      <c r="H1225" s="102" t="s">
        <v>1256</v>
      </c>
      <c r="I1225" s="9">
        <v>1</v>
      </c>
      <c r="J1225" s="9">
        <v>48</v>
      </c>
      <c r="K1225" s="100">
        <f t="shared" si="161"/>
        <v>48</v>
      </c>
      <c r="L1225" s="78">
        <v>46142</v>
      </c>
      <c r="M1225" s="103"/>
      <c r="N1225" s="93" t="s">
        <v>617</v>
      </c>
      <c r="O1225" s="94">
        <v>46141</v>
      </c>
      <c r="P1225" s="104">
        <f t="shared" si="162"/>
        <v>48</v>
      </c>
      <c r="Q1225" s="104">
        <f t="shared" si="163"/>
        <v>48</v>
      </c>
      <c r="R1225" s="104"/>
      <c r="S1225" s="93" t="s">
        <v>618</v>
      </c>
      <c r="T1225" s="94">
        <v>46156</v>
      </c>
      <c r="U1225" s="104">
        <f t="shared" si="164"/>
        <v>48</v>
      </c>
      <c r="V1225" s="104">
        <f t="shared" si="165"/>
        <v>1</v>
      </c>
      <c r="W1225" s="103">
        <f t="shared" si="166"/>
        <v>48</v>
      </c>
      <c r="X1225" s="93" t="s">
        <v>89</v>
      </c>
      <c r="Y1225" s="105" t="s">
        <v>84</v>
      </c>
      <c r="Z1225" s="105" t="s">
        <v>619</v>
      </c>
    </row>
    <row r="1226" spans="1:26" s="105" customFormat="1" ht="15" customHeight="1">
      <c r="A1226" s="99">
        <f t="shared" si="167"/>
        <v>1224</v>
      </c>
      <c r="B1226" s="75" t="s">
        <v>1168</v>
      </c>
      <c r="C1226" s="100" t="str">
        <f>IF($B1226&lt;&gt;"",_xlfn.IFNA(VLOOKUP($B1226,'Node Details'!$B:$U,C$1,0),"Check"),"")</f>
        <v>0000CM313-CM3130104</v>
      </c>
      <c r="D1226" s="100" t="str">
        <f>IF($B1226&lt;&gt;"",_xlfn.IFNA(VLOOKUP($B1226,'Node Details'!$B:$U,D$1,0),"Check"),"")</f>
        <v>CM3</v>
      </c>
      <c r="E1226" s="100" t="str">
        <f>IF($B1226&lt;&gt;"",_xlfn.IFNA(VLOOKUP($B1226,'Node Details'!$B:$U,E$1,0),"Check"),"")</f>
        <v>Airtel</v>
      </c>
      <c r="F1226" s="101">
        <v>46149</v>
      </c>
      <c r="G1226" s="103"/>
      <c r="H1226" s="102" t="s">
        <v>1256</v>
      </c>
      <c r="I1226" s="9">
        <v>1</v>
      </c>
      <c r="J1226" s="9">
        <v>48</v>
      </c>
      <c r="K1226" s="100">
        <f t="shared" si="161"/>
        <v>48</v>
      </c>
      <c r="L1226" s="78">
        <v>46142</v>
      </c>
      <c r="M1226" s="103"/>
      <c r="N1226" s="93" t="s">
        <v>617</v>
      </c>
      <c r="O1226" s="94">
        <v>46141</v>
      </c>
      <c r="P1226" s="104">
        <f t="shared" si="162"/>
        <v>48</v>
      </c>
      <c r="Q1226" s="104">
        <f t="shared" si="163"/>
        <v>48</v>
      </c>
      <c r="R1226" s="104"/>
      <c r="S1226" s="93" t="s">
        <v>618</v>
      </c>
      <c r="T1226" s="94">
        <v>46156</v>
      </c>
      <c r="U1226" s="104">
        <f t="shared" si="164"/>
        <v>48</v>
      </c>
      <c r="V1226" s="104">
        <f t="shared" si="165"/>
        <v>1</v>
      </c>
      <c r="W1226" s="103">
        <f t="shared" si="166"/>
        <v>48</v>
      </c>
      <c r="X1226" s="93" t="s">
        <v>89</v>
      </c>
      <c r="Y1226" s="105" t="s">
        <v>84</v>
      </c>
      <c r="Z1226" s="105" t="s">
        <v>619</v>
      </c>
    </row>
    <row r="1227" spans="1:26" s="105" customFormat="1" ht="15" customHeight="1">
      <c r="A1227" s="99">
        <f t="shared" si="167"/>
        <v>1225</v>
      </c>
      <c r="B1227" s="75" t="s">
        <v>725</v>
      </c>
      <c r="C1227" s="100" t="str">
        <f>IF($B1227&lt;&gt;"",_xlfn.IFNA(VLOOKUP($B1227,'Node Details'!$B:$U,C$1,0),"Check"),"")</f>
        <v>0000CM313-CM3130104</v>
      </c>
      <c r="D1227" s="100" t="str">
        <f>IF($B1227&lt;&gt;"",_xlfn.IFNA(VLOOKUP($B1227,'Node Details'!$B:$U,D$1,0),"Check"),"")</f>
        <v>CM3</v>
      </c>
      <c r="E1227" s="100" t="str">
        <f>IF($B1227&lt;&gt;"",_xlfn.IFNA(VLOOKUP($B1227,'Node Details'!$B:$U,E$1,0),"Check"),"")</f>
        <v>Airtel</v>
      </c>
      <c r="F1227" s="101">
        <v>46149</v>
      </c>
      <c r="G1227" s="103"/>
      <c r="H1227" s="102" t="s">
        <v>1256</v>
      </c>
      <c r="I1227" s="9">
        <v>1</v>
      </c>
      <c r="J1227" s="9">
        <v>48</v>
      </c>
      <c r="K1227" s="100">
        <f t="shared" si="161"/>
        <v>48</v>
      </c>
      <c r="L1227" s="78">
        <v>46142</v>
      </c>
      <c r="M1227" s="103"/>
      <c r="N1227" s="93" t="s">
        <v>617</v>
      </c>
      <c r="O1227" s="94">
        <v>46141</v>
      </c>
      <c r="P1227" s="104">
        <f t="shared" si="162"/>
        <v>48</v>
      </c>
      <c r="Q1227" s="104">
        <f t="shared" si="163"/>
        <v>48</v>
      </c>
      <c r="R1227" s="104"/>
      <c r="S1227" s="93" t="s">
        <v>618</v>
      </c>
      <c r="T1227" s="94">
        <v>46156</v>
      </c>
      <c r="U1227" s="104">
        <f t="shared" si="164"/>
        <v>48</v>
      </c>
      <c r="V1227" s="104">
        <f t="shared" si="165"/>
        <v>1</v>
      </c>
      <c r="W1227" s="103">
        <f t="shared" si="166"/>
        <v>48</v>
      </c>
      <c r="X1227" s="93" t="s">
        <v>89</v>
      </c>
      <c r="Y1227" s="105" t="s">
        <v>84</v>
      </c>
      <c r="Z1227" s="105" t="s">
        <v>619</v>
      </c>
    </row>
    <row r="1228" spans="1:26" s="105" customFormat="1" ht="15" customHeight="1">
      <c r="A1228" s="99">
        <f t="shared" si="167"/>
        <v>1226</v>
      </c>
      <c r="B1228" s="75" t="s">
        <v>627</v>
      </c>
      <c r="C1228" s="100" t="str">
        <f>IF($B1228&lt;&gt;"",_xlfn.IFNA(VLOOKUP($B1228,'Node Details'!$B:$U,C$1,0),"Check"),"")</f>
        <v>0000CM313-0000CM315</v>
      </c>
      <c r="D1228" s="100" t="str">
        <f>IF($B1228&lt;&gt;"",_xlfn.IFNA(VLOOKUP($B1228,'Node Details'!$B:$U,D$1,0),"Check"),"")</f>
        <v>CM3</v>
      </c>
      <c r="E1228" s="100" t="str">
        <f>IF($B1228&lt;&gt;"",_xlfn.IFNA(VLOOKUP($B1228,'Node Details'!$B:$U,E$1,0),"Check"),"")</f>
        <v>Airtel</v>
      </c>
      <c r="F1228" s="101">
        <v>46149</v>
      </c>
      <c r="G1228" s="103"/>
      <c r="H1228" s="102" t="s">
        <v>1256</v>
      </c>
      <c r="I1228" s="9">
        <v>1</v>
      </c>
      <c r="J1228" s="9">
        <v>48</v>
      </c>
      <c r="K1228" s="100">
        <f t="shared" si="161"/>
        <v>48</v>
      </c>
      <c r="L1228" s="78">
        <v>46142</v>
      </c>
      <c r="M1228" s="103"/>
      <c r="N1228" s="93" t="s">
        <v>617</v>
      </c>
      <c r="O1228" s="94">
        <v>46141</v>
      </c>
      <c r="P1228" s="104">
        <f t="shared" si="162"/>
        <v>48</v>
      </c>
      <c r="Q1228" s="104">
        <f t="shared" si="163"/>
        <v>48</v>
      </c>
      <c r="R1228" s="104"/>
      <c r="S1228" s="93" t="s">
        <v>618</v>
      </c>
      <c r="T1228" s="94">
        <v>46156</v>
      </c>
      <c r="U1228" s="104">
        <f t="shared" si="164"/>
        <v>48</v>
      </c>
      <c r="V1228" s="104">
        <f t="shared" si="165"/>
        <v>1</v>
      </c>
      <c r="W1228" s="103">
        <f t="shared" si="166"/>
        <v>48</v>
      </c>
      <c r="X1228" s="93" t="s">
        <v>89</v>
      </c>
      <c r="Y1228" s="105" t="s">
        <v>84</v>
      </c>
      <c r="Z1228" s="105" t="s">
        <v>619</v>
      </c>
    </row>
    <row r="1229" spans="1:26" s="105" customFormat="1" ht="15" customHeight="1">
      <c r="A1229" s="99">
        <f t="shared" si="167"/>
        <v>1227</v>
      </c>
      <c r="B1229" s="75" t="s">
        <v>727</v>
      </c>
      <c r="C1229" s="100" t="str">
        <f>IF($B1229&lt;&gt;"",_xlfn.IFNA(VLOOKUP($B1229,'Node Details'!$B:$U,C$1,0),"Check"),"")</f>
        <v>0000CM314-CM3140101</v>
      </c>
      <c r="D1229" s="100" t="str">
        <f>IF($B1229&lt;&gt;"",_xlfn.IFNA(VLOOKUP($B1229,'Node Details'!$B:$U,D$1,0),"Check"),"")</f>
        <v>CM3</v>
      </c>
      <c r="E1229" s="100" t="str">
        <f>IF($B1229&lt;&gt;"",_xlfn.IFNA(VLOOKUP($B1229,'Node Details'!$B:$U,E$1,0),"Check"),"")</f>
        <v>Airtel</v>
      </c>
      <c r="F1229" s="101">
        <v>46149</v>
      </c>
      <c r="G1229" s="103"/>
      <c r="H1229" s="102" t="s">
        <v>1256</v>
      </c>
      <c r="I1229" s="9">
        <v>1</v>
      </c>
      <c r="J1229" s="9">
        <v>48</v>
      </c>
      <c r="K1229" s="100">
        <f t="shared" si="161"/>
        <v>48</v>
      </c>
      <c r="L1229" s="78">
        <v>46142</v>
      </c>
      <c r="M1229" s="103"/>
      <c r="N1229" s="93" t="s">
        <v>617</v>
      </c>
      <c r="O1229" s="94">
        <v>46141</v>
      </c>
      <c r="P1229" s="104">
        <f t="shared" si="162"/>
        <v>48</v>
      </c>
      <c r="Q1229" s="104">
        <f t="shared" si="163"/>
        <v>48</v>
      </c>
      <c r="R1229" s="104"/>
      <c r="S1229" s="93" t="s">
        <v>618</v>
      </c>
      <c r="T1229" s="94">
        <v>46156</v>
      </c>
      <c r="U1229" s="104">
        <f t="shared" si="164"/>
        <v>48</v>
      </c>
      <c r="V1229" s="104">
        <f t="shared" si="165"/>
        <v>1</v>
      </c>
      <c r="W1229" s="103">
        <f t="shared" si="166"/>
        <v>48</v>
      </c>
      <c r="X1229" s="93" t="s">
        <v>89</v>
      </c>
      <c r="Y1229" s="105" t="s">
        <v>84</v>
      </c>
      <c r="Z1229" s="105" t="s">
        <v>619</v>
      </c>
    </row>
    <row r="1230" spans="1:26" s="105" customFormat="1" ht="15" customHeight="1">
      <c r="A1230" s="99">
        <f t="shared" si="167"/>
        <v>1228</v>
      </c>
      <c r="B1230" s="75" t="s">
        <v>1169</v>
      </c>
      <c r="C1230" s="100" t="str">
        <f>IF($B1230&lt;&gt;"",_xlfn.IFNA(VLOOKUP($B1230,'Node Details'!$B:$U,C$1,0),"Check"),"")</f>
        <v>0000CM314-CM3140108</v>
      </c>
      <c r="D1230" s="100" t="str">
        <f>IF($B1230&lt;&gt;"",_xlfn.IFNA(VLOOKUP($B1230,'Node Details'!$B:$U,D$1,0),"Check"),"")</f>
        <v>CM3</v>
      </c>
      <c r="E1230" s="100" t="str">
        <f>IF($B1230&lt;&gt;"",_xlfn.IFNA(VLOOKUP($B1230,'Node Details'!$B:$U,E$1,0),"Check"),"")</f>
        <v>Airtel</v>
      </c>
      <c r="F1230" s="101">
        <v>46149</v>
      </c>
      <c r="G1230" s="103"/>
      <c r="H1230" s="102" t="s">
        <v>1256</v>
      </c>
      <c r="I1230" s="9">
        <v>1</v>
      </c>
      <c r="J1230" s="9">
        <v>48</v>
      </c>
      <c r="K1230" s="100">
        <f t="shared" si="161"/>
        <v>48</v>
      </c>
      <c r="L1230" s="78">
        <v>46142</v>
      </c>
      <c r="M1230" s="103"/>
      <c r="N1230" s="93" t="s">
        <v>617</v>
      </c>
      <c r="O1230" s="94">
        <v>46141</v>
      </c>
      <c r="P1230" s="104">
        <f t="shared" si="162"/>
        <v>48</v>
      </c>
      <c r="Q1230" s="104">
        <f t="shared" si="163"/>
        <v>48</v>
      </c>
      <c r="R1230" s="104"/>
      <c r="S1230" s="93" t="s">
        <v>618</v>
      </c>
      <c r="T1230" s="94">
        <v>46156</v>
      </c>
      <c r="U1230" s="104">
        <f t="shared" si="164"/>
        <v>48</v>
      </c>
      <c r="V1230" s="104">
        <f t="shared" si="165"/>
        <v>1</v>
      </c>
      <c r="W1230" s="103">
        <f t="shared" si="166"/>
        <v>48</v>
      </c>
      <c r="X1230" s="93" t="s">
        <v>89</v>
      </c>
      <c r="Y1230" s="105" t="s">
        <v>84</v>
      </c>
      <c r="Z1230" s="105" t="s">
        <v>619</v>
      </c>
    </row>
    <row r="1231" spans="1:26" s="105" customFormat="1" ht="15" customHeight="1">
      <c r="A1231" s="99">
        <f t="shared" si="167"/>
        <v>1229</v>
      </c>
      <c r="B1231" s="75" t="s">
        <v>1170</v>
      </c>
      <c r="C1231" s="100" t="str">
        <f>IF($B1231&lt;&gt;"",_xlfn.IFNA(VLOOKUP($B1231,'Node Details'!$B:$U,C$1,0),"Check"),"")</f>
        <v>0000CM314-CM3140108</v>
      </c>
      <c r="D1231" s="100" t="str">
        <f>IF($B1231&lt;&gt;"",_xlfn.IFNA(VLOOKUP($B1231,'Node Details'!$B:$U,D$1,0),"Check"),"")</f>
        <v>CM3</v>
      </c>
      <c r="E1231" s="100" t="str">
        <f>IF($B1231&lt;&gt;"",_xlfn.IFNA(VLOOKUP($B1231,'Node Details'!$B:$U,E$1,0),"Check"),"")</f>
        <v>Airtel</v>
      </c>
      <c r="F1231" s="101">
        <v>46149</v>
      </c>
      <c r="G1231" s="103"/>
      <c r="H1231" s="102" t="s">
        <v>1256</v>
      </c>
      <c r="I1231" s="9">
        <v>1</v>
      </c>
      <c r="J1231" s="9">
        <v>48</v>
      </c>
      <c r="K1231" s="100">
        <f t="shared" si="161"/>
        <v>48</v>
      </c>
      <c r="L1231" s="78">
        <v>46142</v>
      </c>
      <c r="M1231" s="103"/>
      <c r="N1231" s="93" t="s">
        <v>617</v>
      </c>
      <c r="O1231" s="94">
        <v>46141</v>
      </c>
      <c r="P1231" s="104">
        <f t="shared" si="162"/>
        <v>48</v>
      </c>
      <c r="Q1231" s="104">
        <f t="shared" si="163"/>
        <v>48</v>
      </c>
      <c r="R1231" s="104"/>
      <c r="S1231" s="93" t="s">
        <v>618</v>
      </c>
      <c r="T1231" s="94">
        <v>46156</v>
      </c>
      <c r="U1231" s="104">
        <f t="shared" si="164"/>
        <v>48</v>
      </c>
      <c r="V1231" s="104">
        <f t="shared" si="165"/>
        <v>1</v>
      </c>
      <c r="W1231" s="103">
        <f t="shared" si="166"/>
        <v>48</v>
      </c>
      <c r="X1231" s="93" t="s">
        <v>89</v>
      </c>
      <c r="Y1231" s="105" t="s">
        <v>84</v>
      </c>
      <c r="Z1231" s="105" t="s">
        <v>619</v>
      </c>
    </row>
    <row r="1232" spans="1:26" s="105" customFormat="1" ht="15" customHeight="1">
      <c r="A1232" s="99">
        <f t="shared" si="167"/>
        <v>1230</v>
      </c>
      <c r="B1232" s="75" t="s">
        <v>1171</v>
      </c>
      <c r="C1232" s="100" t="str">
        <f>IF($B1232&lt;&gt;"",_xlfn.IFNA(VLOOKUP($B1232,'Node Details'!$B:$U,C$1,0),"Check"),"")</f>
        <v>0000CM314-CM3140108</v>
      </c>
      <c r="D1232" s="100" t="str">
        <f>IF($B1232&lt;&gt;"",_xlfn.IFNA(VLOOKUP($B1232,'Node Details'!$B:$U,D$1,0),"Check"),"")</f>
        <v>CM3</v>
      </c>
      <c r="E1232" s="100" t="str">
        <f>IF($B1232&lt;&gt;"",_xlfn.IFNA(VLOOKUP($B1232,'Node Details'!$B:$U,E$1,0),"Check"),"")</f>
        <v>Airtel</v>
      </c>
      <c r="F1232" s="101">
        <v>46149</v>
      </c>
      <c r="G1232" s="103"/>
      <c r="H1232" s="102" t="s">
        <v>1256</v>
      </c>
      <c r="I1232" s="9">
        <v>1</v>
      </c>
      <c r="J1232" s="9">
        <v>48</v>
      </c>
      <c r="K1232" s="100">
        <f t="shared" si="161"/>
        <v>48</v>
      </c>
      <c r="L1232" s="78">
        <v>46142</v>
      </c>
      <c r="M1232" s="103"/>
      <c r="N1232" s="93" t="s">
        <v>617</v>
      </c>
      <c r="O1232" s="94">
        <v>46141</v>
      </c>
      <c r="P1232" s="104">
        <f t="shared" si="162"/>
        <v>48</v>
      </c>
      <c r="Q1232" s="104">
        <f t="shared" si="163"/>
        <v>48</v>
      </c>
      <c r="R1232" s="104"/>
      <c r="S1232" s="93" t="s">
        <v>618</v>
      </c>
      <c r="T1232" s="94">
        <v>46156</v>
      </c>
      <c r="U1232" s="104">
        <f t="shared" si="164"/>
        <v>48</v>
      </c>
      <c r="V1232" s="104">
        <f t="shared" si="165"/>
        <v>1</v>
      </c>
      <c r="W1232" s="103">
        <f t="shared" si="166"/>
        <v>48</v>
      </c>
      <c r="X1232" s="93" t="s">
        <v>89</v>
      </c>
      <c r="Y1232" s="105" t="s">
        <v>84</v>
      </c>
      <c r="Z1232" s="105" t="s">
        <v>619</v>
      </c>
    </row>
    <row r="1233" spans="1:26" s="105" customFormat="1" ht="15" customHeight="1">
      <c r="A1233" s="99">
        <f t="shared" si="167"/>
        <v>1231</v>
      </c>
      <c r="B1233" s="75" t="s">
        <v>729</v>
      </c>
      <c r="C1233" s="100" t="str">
        <f>IF($B1233&lt;&gt;"",_xlfn.IFNA(VLOOKUP($B1233,'Node Details'!$B:$U,C$1,0),"Check"),"")</f>
        <v>0000CM314-CM3140108</v>
      </c>
      <c r="D1233" s="100" t="str">
        <f>IF($B1233&lt;&gt;"",_xlfn.IFNA(VLOOKUP($B1233,'Node Details'!$B:$U,D$1,0),"Check"),"")</f>
        <v>CM3</v>
      </c>
      <c r="E1233" s="100" t="str">
        <f>IF($B1233&lt;&gt;"",_xlfn.IFNA(VLOOKUP($B1233,'Node Details'!$B:$U,E$1,0),"Check"),"")</f>
        <v>Airtel</v>
      </c>
      <c r="F1233" s="101">
        <v>46149</v>
      </c>
      <c r="G1233" s="103"/>
      <c r="H1233" s="102" t="s">
        <v>1256</v>
      </c>
      <c r="I1233" s="9">
        <v>1</v>
      </c>
      <c r="J1233" s="9">
        <v>48</v>
      </c>
      <c r="K1233" s="100">
        <f t="shared" si="161"/>
        <v>48</v>
      </c>
      <c r="L1233" s="78">
        <v>46142</v>
      </c>
      <c r="M1233" s="103"/>
      <c r="N1233" s="93" t="s">
        <v>617</v>
      </c>
      <c r="O1233" s="94">
        <v>46141</v>
      </c>
      <c r="P1233" s="104">
        <f t="shared" si="162"/>
        <v>48</v>
      </c>
      <c r="Q1233" s="104">
        <f t="shared" si="163"/>
        <v>48</v>
      </c>
      <c r="R1233" s="104"/>
      <c r="S1233" s="93" t="s">
        <v>618</v>
      </c>
      <c r="T1233" s="94">
        <v>46156</v>
      </c>
      <c r="U1233" s="104">
        <f t="shared" si="164"/>
        <v>48</v>
      </c>
      <c r="V1233" s="104">
        <f t="shared" si="165"/>
        <v>1</v>
      </c>
      <c r="W1233" s="103">
        <f t="shared" si="166"/>
        <v>48</v>
      </c>
      <c r="X1233" s="93" t="s">
        <v>89</v>
      </c>
      <c r="Y1233" s="105" t="s">
        <v>84</v>
      </c>
      <c r="Z1233" s="105" t="s">
        <v>619</v>
      </c>
    </row>
    <row r="1234" spans="1:26" s="105" customFormat="1" ht="15" customHeight="1">
      <c r="A1234" s="99">
        <f t="shared" si="167"/>
        <v>1232</v>
      </c>
      <c r="B1234" s="75" t="s">
        <v>1172</v>
      </c>
      <c r="C1234" s="100" t="str">
        <f>IF($B1234&lt;&gt;"",_xlfn.IFNA(VLOOKUP($B1234,'Node Details'!$B:$U,C$1,0),"Check"),"")</f>
        <v>0000CM314-CM3140103</v>
      </c>
      <c r="D1234" s="100" t="str">
        <f>IF($B1234&lt;&gt;"",_xlfn.IFNA(VLOOKUP($B1234,'Node Details'!$B:$U,D$1,0),"Check"),"")</f>
        <v>CM3</v>
      </c>
      <c r="E1234" s="100" t="str">
        <f>IF($B1234&lt;&gt;"",_xlfn.IFNA(VLOOKUP($B1234,'Node Details'!$B:$U,E$1,0),"Check"),"")</f>
        <v>Airtel</v>
      </c>
      <c r="F1234" s="101">
        <v>46149</v>
      </c>
      <c r="G1234" s="103"/>
      <c r="H1234" s="102" t="s">
        <v>1256</v>
      </c>
      <c r="I1234" s="9">
        <v>1</v>
      </c>
      <c r="J1234" s="9">
        <v>48</v>
      </c>
      <c r="K1234" s="100">
        <f t="shared" si="161"/>
        <v>48</v>
      </c>
      <c r="L1234" s="78">
        <v>46142</v>
      </c>
      <c r="M1234" s="103"/>
      <c r="N1234" s="93" t="s">
        <v>617</v>
      </c>
      <c r="O1234" s="94">
        <v>46141</v>
      </c>
      <c r="P1234" s="104">
        <f t="shared" si="162"/>
        <v>48</v>
      </c>
      <c r="Q1234" s="104">
        <f t="shared" si="163"/>
        <v>48</v>
      </c>
      <c r="R1234" s="104"/>
      <c r="S1234" s="93" t="s">
        <v>618</v>
      </c>
      <c r="T1234" s="94">
        <v>46156</v>
      </c>
      <c r="U1234" s="104">
        <f t="shared" si="164"/>
        <v>48</v>
      </c>
      <c r="V1234" s="104">
        <f t="shared" si="165"/>
        <v>1</v>
      </c>
      <c r="W1234" s="103">
        <f t="shared" si="166"/>
        <v>48</v>
      </c>
      <c r="X1234" s="93" t="s">
        <v>89</v>
      </c>
      <c r="Y1234" s="105" t="s">
        <v>84</v>
      </c>
      <c r="Z1234" s="105" t="s">
        <v>619</v>
      </c>
    </row>
    <row r="1235" spans="1:26" s="105" customFormat="1" ht="15" customHeight="1">
      <c r="A1235" s="99">
        <f t="shared" si="167"/>
        <v>1233</v>
      </c>
      <c r="B1235" s="75" t="s">
        <v>731</v>
      </c>
      <c r="C1235" s="100" t="str">
        <f>IF($B1235&lt;&gt;"",_xlfn.IFNA(VLOOKUP($B1235,'Node Details'!$B:$U,C$1,0),"Check"),"")</f>
        <v>0000CM314-CM3140103</v>
      </c>
      <c r="D1235" s="100" t="str">
        <f>IF($B1235&lt;&gt;"",_xlfn.IFNA(VLOOKUP($B1235,'Node Details'!$B:$U,D$1,0),"Check"),"")</f>
        <v>CM3</v>
      </c>
      <c r="E1235" s="100" t="str">
        <f>IF($B1235&lt;&gt;"",_xlfn.IFNA(VLOOKUP($B1235,'Node Details'!$B:$U,E$1,0),"Check"),"")</f>
        <v>Airtel</v>
      </c>
      <c r="F1235" s="101">
        <v>46149</v>
      </c>
      <c r="G1235" s="103"/>
      <c r="H1235" s="102" t="s">
        <v>1256</v>
      </c>
      <c r="I1235" s="9">
        <v>1</v>
      </c>
      <c r="J1235" s="9">
        <v>48</v>
      </c>
      <c r="K1235" s="100">
        <f t="shared" si="161"/>
        <v>48</v>
      </c>
      <c r="L1235" s="78">
        <v>46142</v>
      </c>
      <c r="M1235" s="103"/>
      <c r="N1235" s="93" t="s">
        <v>617</v>
      </c>
      <c r="O1235" s="94">
        <v>46141</v>
      </c>
      <c r="P1235" s="104">
        <f t="shared" si="162"/>
        <v>48</v>
      </c>
      <c r="Q1235" s="104">
        <f t="shared" si="163"/>
        <v>48</v>
      </c>
      <c r="R1235" s="104"/>
      <c r="S1235" s="93" t="s">
        <v>618</v>
      </c>
      <c r="T1235" s="94">
        <v>46156</v>
      </c>
      <c r="U1235" s="104">
        <f t="shared" si="164"/>
        <v>48</v>
      </c>
      <c r="V1235" s="104">
        <f t="shared" si="165"/>
        <v>1</v>
      </c>
      <c r="W1235" s="103">
        <f t="shared" si="166"/>
        <v>48</v>
      </c>
      <c r="X1235" s="93" t="s">
        <v>89</v>
      </c>
      <c r="Y1235" s="105" t="s">
        <v>84</v>
      </c>
      <c r="Z1235" s="105" t="s">
        <v>619</v>
      </c>
    </row>
    <row r="1236" spans="1:26" s="105" customFormat="1" ht="15" customHeight="1">
      <c r="A1236" s="99">
        <f t="shared" si="167"/>
        <v>1234</v>
      </c>
      <c r="B1236" s="75" t="s">
        <v>625</v>
      </c>
      <c r="C1236" s="100" t="str">
        <f>IF($B1236&lt;&gt;"",_xlfn.IFNA(VLOOKUP($B1236,'Node Details'!$B:$U,C$1,0),"Check"),"")</f>
        <v>0000CM313-0000CM315</v>
      </c>
      <c r="D1236" s="100" t="str">
        <f>IF($B1236&lt;&gt;"",_xlfn.IFNA(VLOOKUP($B1236,'Node Details'!$B:$U,D$1,0),"Check"),"")</f>
        <v>CM3</v>
      </c>
      <c r="E1236" s="100" t="str">
        <f>IF($B1236&lt;&gt;"",_xlfn.IFNA(VLOOKUP($B1236,'Node Details'!$B:$U,E$1,0),"Check"),"")</f>
        <v>Airtel</v>
      </c>
      <c r="F1236" s="101">
        <v>46149</v>
      </c>
      <c r="G1236" s="103"/>
      <c r="H1236" s="102" t="s">
        <v>1256</v>
      </c>
      <c r="I1236" s="9">
        <v>1</v>
      </c>
      <c r="J1236" s="9">
        <v>48</v>
      </c>
      <c r="K1236" s="100">
        <f t="shared" si="161"/>
        <v>48</v>
      </c>
      <c r="L1236" s="78">
        <v>46142</v>
      </c>
      <c r="M1236" s="103"/>
      <c r="N1236" s="93" t="s">
        <v>617</v>
      </c>
      <c r="O1236" s="94">
        <v>46141</v>
      </c>
      <c r="P1236" s="104">
        <f t="shared" si="162"/>
        <v>48</v>
      </c>
      <c r="Q1236" s="104">
        <f t="shared" si="163"/>
        <v>48</v>
      </c>
      <c r="R1236" s="104"/>
      <c r="S1236" s="93" t="s">
        <v>618</v>
      </c>
      <c r="T1236" s="94">
        <v>46156</v>
      </c>
      <c r="U1236" s="104">
        <f t="shared" si="164"/>
        <v>48</v>
      </c>
      <c r="V1236" s="104">
        <f t="shared" si="165"/>
        <v>1</v>
      </c>
      <c r="W1236" s="103">
        <f t="shared" si="166"/>
        <v>48</v>
      </c>
      <c r="X1236" s="93" t="s">
        <v>89</v>
      </c>
      <c r="Y1236" s="105" t="s">
        <v>84</v>
      </c>
      <c r="Z1236" s="105" t="s">
        <v>619</v>
      </c>
    </row>
    <row r="1237" spans="1:26" s="105" customFormat="1" ht="15" customHeight="1">
      <c r="A1237" s="99">
        <f t="shared" si="167"/>
        <v>1235</v>
      </c>
      <c r="B1237" s="75" t="s">
        <v>733</v>
      </c>
      <c r="C1237" s="100" t="str">
        <f>IF($B1237&lt;&gt;"",_xlfn.IFNA(VLOOKUP($B1237,'Node Details'!$B:$U,C$1,0),"Check"),"")</f>
        <v>0000CM315-CM3150101</v>
      </c>
      <c r="D1237" s="100" t="str">
        <f>IF($B1237&lt;&gt;"",_xlfn.IFNA(VLOOKUP($B1237,'Node Details'!$B:$U,D$1,0),"Check"),"")</f>
        <v>CM3</v>
      </c>
      <c r="E1237" s="100" t="str">
        <f>IF($B1237&lt;&gt;"",_xlfn.IFNA(VLOOKUP($B1237,'Node Details'!$B:$U,E$1,0),"Check"),"")</f>
        <v>Airtel</v>
      </c>
      <c r="F1237" s="101">
        <v>46149</v>
      </c>
      <c r="G1237" s="103"/>
      <c r="H1237" s="102" t="s">
        <v>1256</v>
      </c>
      <c r="I1237" s="9">
        <v>1</v>
      </c>
      <c r="J1237" s="9">
        <v>48</v>
      </c>
      <c r="K1237" s="100">
        <f t="shared" si="161"/>
        <v>48</v>
      </c>
      <c r="L1237" s="78">
        <v>46142</v>
      </c>
      <c r="M1237" s="103"/>
      <c r="N1237" s="93" t="s">
        <v>617</v>
      </c>
      <c r="O1237" s="94">
        <v>46141</v>
      </c>
      <c r="P1237" s="104">
        <f t="shared" si="162"/>
        <v>48</v>
      </c>
      <c r="Q1237" s="104">
        <f t="shared" si="163"/>
        <v>48</v>
      </c>
      <c r="R1237" s="104"/>
      <c r="S1237" s="93" t="s">
        <v>618</v>
      </c>
      <c r="T1237" s="94">
        <v>46156</v>
      </c>
      <c r="U1237" s="104">
        <f t="shared" si="164"/>
        <v>48</v>
      </c>
      <c r="V1237" s="104">
        <f t="shared" si="165"/>
        <v>1</v>
      </c>
      <c r="W1237" s="103">
        <f t="shared" si="166"/>
        <v>48</v>
      </c>
      <c r="X1237" s="93" t="s">
        <v>89</v>
      </c>
      <c r="Y1237" s="105" t="s">
        <v>84</v>
      </c>
      <c r="Z1237" s="105" t="s">
        <v>619</v>
      </c>
    </row>
    <row r="1238" spans="1:26" s="105" customFormat="1" ht="15" customHeight="1">
      <c r="A1238" s="99">
        <f t="shared" si="167"/>
        <v>1236</v>
      </c>
      <c r="B1238" s="75" t="s">
        <v>735</v>
      </c>
      <c r="C1238" s="100" t="str">
        <f>IF($B1238&lt;&gt;"",_xlfn.IFNA(VLOOKUP($B1238,'Node Details'!$B:$U,C$1,0),"Check"),"")</f>
        <v>0000CM315-CM3150104</v>
      </c>
      <c r="D1238" s="100" t="str">
        <f>IF($B1238&lt;&gt;"",_xlfn.IFNA(VLOOKUP($B1238,'Node Details'!$B:$U,D$1,0),"Check"),"")</f>
        <v>CM3</v>
      </c>
      <c r="E1238" s="100" t="str">
        <f>IF($B1238&lt;&gt;"",_xlfn.IFNA(VLOOKUP($B1238,'Node Details'!$B:$U,E$1,0),"Check"),"")</f>
        <v>Airtel</v>
      </c>
      <c r="F1238" s="101">
        <v>46149</v>
      </c>
      <c r="G1238" s="103"/>
      <c r="H1238" s="102" t="s">
        <v>1256</v>
      </c>
      <c r="I1238" s="9">
        <v>1</v>
      </c>
      <c r="J1238" s="9">
        <v>48</v>
      </c>
      <c r="K1238" s="100">
        <f t="shared" si="161"/>
        <v>48</v>
      </c>
      <c r="L1238" s="78">
        <v>46142</v>
      </c>
      <c r="M1238" s="103"/>
      <c r="N1238" s="93" t="s">
        <v>617</v>
      </c>
      <c r="O1238" s="94">
        <v>46141</v>
      </c>
      <c r="P1238" s="104">
        <f t="shared" si="162"/>
        <v>48</v>
      </c>
      <c r="Q1238" s="104">
        <f t="shared" si="163"/>
        <v>48</v>
      </c>
      <c r="R1238" s="104"/>
      <c r="S1238" s="93" t="s">
        <v>618</v>
      </c>
      <c r="T1238" s="94">
        <v>46156</v>
      </c>
      <c r="U1238" s="104">
        <f t="shared" si="164"/>
        <v>48</v>
      </c>
      <c r="V1238" s="104">
        <f t="shared" si="165"/>
        <v>1</v>
      </c>
      <c r="W1238" s="103">
        <f t="shared" si="166"/>
        <v>48</v>
      </c>
      <c r="X1238" s="93" t="s">
        <v>89</v>
      </c>
      <c r="Y1238" s="105" t="s">
        <v>84</v>
      </c>
      <c r="Z1238" s="105" t="s">
        <v>619</v>
      </c>
    </row>
    <row r="1239" spans="1:26" s="105" customFormat="1" ht="15" customHeight="1">
      <c r="A1239" s="99">
        <f t="shared" si="167"/>
        <v>1237</v>
      </c>
      <c r="B1239" s="75" t="s">
        <v>628</v>
      </c>
      <c r="C1239" s="100" t="str">
        <f>IF($B1239&lt;&gt;"",_xlfn.IFNA(VLOOKUP($B1239,'Node Details'!$B:$U,C$1,0),"Check"),"")</f>
        <v>0000CM314-0000CM316</v>
      </c>
      <c r="D1239" s="100" t="str">
        <f>IF($B1239&lt;&gt;"",_xlfn.IFNA(VLOOKUP($B1239,'Node Details'!$B:$U,D$1,0),"Check"),"")</f>
        <v>CM3</v>
      </c>
      <c r="E1239" s="100" t="str">
        <f>IF($B1239&lt;&gt;"",_xlfn.IFNA(VLOOKUP($B1239,'Node Details'!$B:$U,E$1,0),"Check"),"")</f>
        <v>Airtel</v>
      </c>
      <c r="F1239" s="101">
        <v>46149</v>
      </c>
      <c r="G1239" s="103"/>
      <c r="H1239" s="102" t="s">
        <v>1256</v>
      </c>
      <c r="I1239" s="9">
        <v>1</v>
      </c>
      <c r="J1239" s="9">
        <v>48</v>
      </c>
      <c r="K1239" s="100">
        <f t="shared" si="161"/>
        <v>48</v>
      </c>
      <c r="L1239" s="78">
        <v>46142</v>
      </c>
      <c r="M1239" s="103"/>
      <c r="N1239" s="93" t="s">
        <v>617</v>
      </c>
      <c r="O1239" s="94">
        <v>46141</v>
      </c>
      <c r="P1239" s="104">
        <f t="shared" si="162"/>
        <v>48</v>
      </c>
      <c r="Q1239" s="104">
        <f t="shared" si="163"/>
        <v>48</v>
      </c>
      <c r="R1239" s="104"/>
      <c r="S1239" s="93" t="s">
        <v>618</v>
      </c>
      <c r="T1239" s="94">
        <v>46156</v>
      </c>
      <c r="U1239" s="104">
        <f t="shared" si="164"/>
        <v>48</v>
      </c>
      <c r="V1239" s="104">
        <f t="shared" si="165"/>
        <v>1</v>
      </c>
      <c r="W1239" s="103">
        <f t="shared" si="166"/>
        <v>48</v>
      </c>
      <c r="X1239" s="93" t="s">
        <v>89</v>
      </c>
      <c r="Y1239" s="105" t="s">
        <v>84</v>
      </c>
      <c r="Z1239" s="105" t="s">
        <v>619</v>
      </c>
    </row>
    <row r="1240" spans="1:26" s="105" customFormat="1" ht="15" customHeight="1">
      <c r="A1240" s="99">
        <f t="shared" si="167"/>
        <v>1238</v>
      </c>
      <c r="B1240" s="75" t="s">
        <v>737</v>
      </c>
      <c r="C1240" s="100" t="str">
        <f>IF($B1240&lt;&gt;"",_xlfn.IFNA(VLOOKUP($B1240,'Node Details'!$B:$U,C$1,0),"Check"),"")</f>
        <v>0000CM316-CM3160101</v>
      </c>
      <c r="D1240" s="100" t="str">
        <f>IF($B1240&lt;&gt;"",_xlfn.IFNA(VLOOKUP($B1240,'Node Details'!$B:$U,D$1,0),"Check"),"")</f>
        <v>CM3</v>
      </c>
      <c r="E1240" s="100" t="str">
        <f>IF($B1240&lt;&gt;"",_xlfn.IFNA(VLOOKUP($B1240,'Node Details'!$B:$U,E$1,0),"Check"),"")</f>
        <v>Airtel</v>
      </c>
      <c r="F1240" s="101">
        <v>46149</v>
      </c>
      <c r="G1240" s="103"/>
      <c r="H1240" s="102" t="s">
        <v>1256</v>
      </c>
      <c r="I1240" s="9">
        <v>1</v>
      </c>
      <c r="J1240" s="9">
        <v>48</v>
      </c>
      <c r="K1240" s="100">
        <f t="shared" si="161"/>
        <v>48</v>
      </c>
      <c r="L1240" s="78">
        <v>46142</v>
      </c>
      <c r="M1240" s="103"/>
      <c r="N1240" s="93" t="s">
        <v>617</v>
      </c>
      <c r="O1240" s="94">
        <v>46141</v>
      </c>
      <c r="P1240" s="104">
        <f t="shared" si="162"/>
        <v>48</v>
      </c>
      <c r="Q1240" s="104">
        <f t="shared" si="163"/>
        <v>48</v>
      </c>
      <c r="R1240" s="104"/>
      <c r="S1240" s="93" t="s">
        <v>618</v>
      </c>
      <c r="T1240" s="94">
        <v>46156</v>
      </c>
      <c r="U1240" s="104">
        <f t="shared" si="164"/>
        <v>48</v>
      </c>
      <c r="V1240" s="104">
        <f t="shared" si="165"/>
        <v>1</v>
      </c>
      <c r="W1240" s="103">
        <f t="shared" si="166"/>
        <v>48</v>
      </c>
      <c r="X1240" s="93" t="s">
        <v>89</v>
      </c>
      <c r="Y1240" s="105" t="s">
        <v>84</v>
      </c>
      <c r="Z1240" s="105" t="s">
        <v>619</v>
      </c>
    </row>
    <row r="1241" spans="1:26" s="105" customFormat="1" ht="15" customHeight="1">
      <c r="A1241" s="99">
        <f t="shared" si="167"/>
        <v>1239</v>
      </c>
      <c r="B1241" s="75" t="s">
        <v>1173</v>
      </c>
      <c r="C1241" s="100" t="str">
        <f>IF($B1241&lt;&gt;"",_xlfn.IFNA(VLOOKUP($B1241,'Node Details'!$B:$U,C$1,0),"Check"),"")</f>
        <v>0000CM316-CM3160107</v>
      </c>
      <c r="D1241" s="100" t="str">
        <f>IF($B1241&lt;&gt;"",_xlfn.IFNA(VLOOKUP($B1241,'Node Details'!$B:$U,D$1,0),"Check"),"")</f>
        <v>CM3</v>
      </c>
      <c r="E1241" s="100" t="str">
        <f>IF($B1241&lt;&gt;"",_xlfn.IFNA(VLOOKUP($B1241,'Node Details'!$B:$U,E$1,0),"Check"),"")</f>
        <v>Airtel</v>
      </c>
      <c r="F1241" s="101">
        <v>46149</v>
      </c>
      <c r="G1241" s="103"/>
      <c r="H1241" s="102" t="s">
        <v>1256</v>
      </c>
      <c r="I1241" s="9">
        <v>1</v>
      </c>
      <c r="J1241" s="9">
        <v>48</v>
      </c>
      <c r="K1241" s="100">
        <f t="shared" si="161"/>
        <v>48</v>
      </c>
      <c r="L1241" s="78">
        <v>46142</v>
      </c>
      <c r="M1241" s="103"/>
      <c r="N1241" s="93" t="s">
        <v>617</v>
      </c>
      <c r="O1241" s="94">
        <v>46141</v>
      </c>
      <c r="P1241" s="104">
        <f t="shared" si="162"/>
        <v>48</v>
      </c>
      <c r="Q1241" s="104">
        <f t="shared" si="163"/>
        <v>48</v>
      </c>
      <c r="R1241" s="104"/>
      <c r="S1241" s="93" t="s">
        <v>618</v>
      </c>
      <c r="T1241" s="94">
        <v>46156</v>
      </c>
      <c r="U1241" s="104">
        <f t="shared" si="164"/>
        <v>48</v>
      </c>
      <c r="V1241" s="104">
        <f t="shared" si="165"/>
        <v>1</v>
      </c>
      <c r="W1241" s="103">
        <f t="shared" si="166"/>
        <v>48</v>
      </c>
      <c r="X1241" s="93" t="s">
        <v>89</v>
      </c>
      <c r="Y1241" s="105" t="s">
        <v>84</v>
      </c>
      <c r="Z1241" s="105" t="s">
        <v>619</v>
      </c>
    </row>
    <row r="1242" spans="1:26" s="105" customFormat="1" ht="15" customHeight="1">
      <c r="A1242" s="99">
        <f t="shared" si="167"/>
        <v>1240</v>
      </c>
      <c r="B1242" s="75" t="s">
        <v>741</v>
      </c>
      <c r="C1242" s="100" t="str">
        <f>IF($B1242&lt;&gt;"",_xlfn.IFNA(VLOOKUP($B1242,'Node Details'!$B:$U,C$1,0),"Check"),"")</f>
        <v>0000CM316-CM3160107</v>
      </c>
      <c r="D1242" s="100" t="str">
        <f>IF($B1242&lt;&gt;"",_xlfn.IFNA(VLOOKUP($B1242,'Node Details'!$B:$U,D$1,0),"Check"),"")</f>
        <v>CM3</v>
      </c>
      <c r="E1242" s="100" t="str">
        <f>IF($B1242&lt;&gt;"",_xlfn.IFNA(VLOOKUP($B1242,'Node Details'!$B:$U,E$1,0),"Check"),"")</f>
        <v>Airtel</v>
      </c>
      <c r="F1242" s="101">
        <v>46149</v>
      </c>
      <c r="G1242" s="103"/>
      <c r="H1242" s="102" t="s">
        <v>1256</v>
      </c>
      <c r="I1242" s="9">
        <v>1</v>
      </c>
      <c r="J1242" s="9">
        <v>48</v>
      </c>
      <c r="K1242" s="100">
        <f t="shared" si="161"/>
        <v>48</v>
      </c>
      <c r="L1242" s="78">
        <v>46142</v>
      </c>
      <c r="M1242" s="103"/>
      <c r="N1242" s="93" t="s">
        <v>617</v>
      </c>
      <c r="O1242" s="94">
        <v>46141</v>
      </c>
      <c r="P1242" s="104">
        <f t="shared" si="162"/>
        <v>48</v>
      </c>
      <c r="Q1242" s="104">
        <f t="shared" si="163"/>
        <v>48</v>
      </c>
      <c r="R1242" s="104"/>
      <c r="S1242" s="93" t="s">
        <v>618</v>
      </c>
      <c r="T1242" s="94">
        <v>46156</v>
      </c>
      <c r="U1242" s="104">
        <f t="shared" si="164"/>
        <v>48</v>
      </c>
      <c r="V1242" s="104">
        <f t="shared" si="165"/>
        <v>1</v>
      </c>
      <c r="W1242" s="103">
        <f t="shared" si="166"/>
        <v>48</v>
      </c>
      <c r="X1242" s="93" t="s">
        <v>89</v>
      </c>
      <c r="Y1242" s="105" t="s">
        <v>84</v>
      </c>
      <c r="Z1242" s="105" t="s">
        <v>619</v>
      </c>
    </row>
    <row r="1243" spans="1:26" s="105" customFormat="1" ht="15" customHeight="1">
      <c r="A1243" s="99">
        <f t="shared" si="167"/>
        <v>1241</v>
      </c>
      <c r="B1243" s="75" t="s">
        <v>739</v>
      </c>
      <c r="C1243" s="100" t="str">
        <f>IF($B1243&lt;&gt;"",_xlfn.IFNA(VLOOKUP($B1243,'Node Details'!$B:$U,C$1,0),"Check"),"")</f>
        <v>0000CM316-CM3160107</v>
      </c>
      <c r="D1243" s="100" t="str">
        <f>IF($B1243&lt;&gt;"",_xlfn.IFNA(VLOOKUP($B1243,'Node Details'!$B:$U,D$1,0),"Check"),"")</f>
        <v>CM3</v>
      </c>
      <c r="E1243" s="100" t="str">
        <f>IF($B1243&lt;&gt;"",_xlfn.IFNA(VLOOKUP($B1243,'Node Details'!$B:$U,E$1,0),"Check"),"")</f>
        <v>Airtel</v>
      </c>
      <c r="F1243" s="101">
        <v>46149</v>
      </c>
      <c r="G1243" s="103"/>
      <c r="H1243" s="102" t="s">
        <v>1256</v>
      </c>
      <c r="I1243" s="9">
        <v>1</v>
      </c>
      <c r="J1243" s="9">
        <v>48</v>
      </c>
      <c r="K1243" s="100">
        <f t="shared" si="161"/>
        <v>48</v>
      </c>
      <c r="L1243" s="78">
        <v>46142</v>
      </c>
      <c r="M1243" s="103"/>
      <c r="N1243" s="93" t="s">
        <v>617</v>
      </c>
      <c r="O1243" s="94">
        <v>46141</v>
      </c>
      <c r="P1243" s="104">
        <f t="shared" si="162"/>
        <v>48</v>
      </c>
      <c r="Q1243" s="104">
        <f t="shared" si="163"/>
        <v>48</v>
      </c>
      <c r="R1243" s="104"/>
      <c r="S1243" s="93" t="s">
        <v>618</v>
      </c>
      <c r="T1243" s="94">
        <v>46156</v>
      </c>
      <c r="U1243" s="104">
        <f t="shared" si="164"/>
        <v>48</v>
      </c>
      <c r="V1243" s="104">
        <f t="shared" si="165"/>
        <v>1</v>
      </c>
      <c r="W1243" s="103">
        <f t="shared" si="166"/>
        <v>48</v>
      </c>
      <c r="X1243" s="93" t="s">
        <v>89</v>
      </c>
      <c r="Y1243" s="105" t="s">
        <v>84</v>
      </c>
      <c r="Z1243" s="105" t="s">
        <v>619</v>
      </c>
    </row>
    <row r="1244" spans="1:26" s="105" customFormat="1" ht="15" customHeight="1">
      <c r="A1244" s="99">
        <f t="shared" si="167"/>
        <v>1242</v>
      </c>
      <c r="B1244" s="75" t="s">
        <v>742</v>
      </c>
      <c r="C1244" s="100" t="str">
        <f>IF($B1244&lt;&gt;"",_xlfn.IFNA(VLOOKUP($B1244,'Node Details'!$B:$U,C$1,0),"Check"),"")</f>
        <v>CM3160106-CM3160108</v>
      </c>
      <c r="D1244" s="100" t="str">
        <f>IF($B1244&lt;&gt;"",_xlfn.IFNA(VLOOKUP($B1244,'Node Details'!$B:$U,D$1,0),"Check"),"")</f>
        <v>CM3</v>
      </c>
      <c r="E1244" s="100" t="str">
        <f>IF($B1244&lt;&gt;"",_xlfn.IFNA(VLOOKUP($B1244,'Node Details'!$B:$U,E$1,0),"Check"),"")</f>
        <v>Airtel</v>
      </c>
      <c r="F1244" s="101">
        <v>46149</v>
      </c>
      <c r="G1244" s="103"/>
      <c r="H1244" s="102" t="s">
        <v>1256</v>
      </c>
      <c r="I1244" s="9">
        <v>1</v>
      </c>
      <c r="J1244" s="9">
        <v>48</v>
      </c>
      <c r="K1244" s="100">
        <f t="shared" si="161"/>
        <v>48</v>
      </c>
      <c r="L1244" s="78">
        <v>46142</v>
      </c>
      <c r="M1244" s="103"/>
      <c r="N1244" s="93" t="s">
        <v>617</v>
      </c>
      <c r="O1244" s="94">
        <v>46141</v>
      </c>
      <c r="P1244" s="104">
        <f t="shared" si="162"/>
        <v>48</v>
      </c>
      <c r="Q1244" s="104">
        <f t="shared" si="163"/>
        <v>48</v>
      </c>
      <c r="R1244" s="104"/>
      <c r="S1244" s="93" t="s">
        <v>618</v>
      </c>
      <c r="T1244" s="94">
        <v>46156</v>
      </c>
      <c r="U1244" s="104">
        <f t="shared" si="164"/>
        <v>48</v>
      </c>
      <c r="V1244" s="104">
        <f t="shared" si="165"/>
        <v>1</v>
      </c>
      <c r="W1244" s="103">
        <f t="shared" si="166"/>
        <v>48</v>
      </c>
      <c r="X1244" s="93" t="s">
        <v>89</v>
      </c>
      <c r="Y1244" s="105" t="s">
        <v>84</v>
      </c>
      <c r="Z1244" s="105" t="s">
        <v>619</v>
      </c>
    </row>
    <row r="1245" spans="1:26" s="105" customFormat="1" ht="15" customHeight="1">
      <c r="A1245" s="99">
        <f t="shared" si="167"/>
        <v>1243</v>
      </c>
      <c r="B1245" s="75" t="s">
        <v>1174</v>
      </c>
      <c r="C1245" s="100" t="str">
        <f>IF($B1245&lt;&gt;"",_xlfn.IFNA(VLOOKUP($B1245,'Node Details'!$B:$U,C$1,0),"Check"),"")</f>
        <v>0000CM316-CM3160104</v>
      </c>
      <c r="D1245" s="100" t="str">
        <f>IF($B1245&lt;&gt;"",_xlfn.IFNA(VLOOKUP($B1245,'Node Details'!$B:$U,D$1,0),"Check"),"")</f>
        <v>CM3</v>
      </c>
      <c r="E1245" s="100" t="str">
        <f>IF($B1245&lt;&gt;"",_xlfn.IFNA(VLOOKUP($B1245,'Node Details'!$B:$U,E$1,0),"Check"),"")</f>
        <v>Airtel</v>
      </c>
      <c r="F1245" s="101">
        <v>46149</v>
      </c>
      <c r="G1245" s="103"/>
      <c r="H1245" s="102" t="s">
        <v>1256</v>
      </c>
      <c r="I1245" s="9">
        <v>1</v>
      </c>
      <c r="J1245" s="9">
        <v>48</v>
      </c>
      <c r="K1245" s="100">
        <f t="shared" si="161"/>
        <v>48</v>
      </c>
      <c r="L1245" s="78">
        <v>46142</v>
      </c>
      <c r="M1245" s="103"/>
      <c r="N1245" s="93" t="s">
        <v>617</v>
      </c>
      <c r="O1245" s="94">
        <v>46141</v>
      </c>
      <c r="P1245" s="104">
        <f t="shared" si="162"/>
        <v>48</v>
      </c>
      <c r="Q1245" s="104">
        <f t="shared" si="163"/>
        <v>48</v>
      </c>
      <c r="R1245" s="104"/>
      <c r="S1245" s="93" t="s">
        <v>618</v>
      </c>
      <c r="T1245" s="94">
        <v>46156</v>
      </c>
      <c r="U1245" s="104">
        <f t="shared" si="164"/>
        <v>48</v>
      </c>
      <c r="V1245" s="104">
        <f t="shared" si="165"/>
        <v>1</v>
      </c>
      <c r="W1245" s="103">
        <f t="shared" si="166"/>
        <v>48</v>
      </c>
      <c r="X1245" s="93" t="s">
        <v>89</v>
      </c>
      <c r="Y1245" s="105" t="s">
        <v>84</v>
      </c>
      <c r="Z1245" s="105" t="s">
        <v>619</v>
      </c>
    </row>
    <row r="1246" spans="1:26" s="105" customFormat="1" ht="15" customHeight="1">
      <c r="A1246" s="99">
        <f t="shared" si="167"/>
        <v>1244</v>
      </c>
      <c r="B1246" s="75" t="s">
        <v>744</v>
      </c>
      <c r="C1246" s="100" t="str">
        <f>IF($B1246&lt;&gt;"",_xlfn.IFNA(VLOOKUP($B1246,'Node Details'!$B:$U,C$1,0),"Check"),"")</f>
        <v>0000CM316-CM3160104</v>
      </c>
      <c r="D1246" s="100" t="str">
        <f>IF($B1246&lt;&gt;"",_xlfn.IFNA(VLOOKUP($B1246,'Node Details'!$B:$U,D$1,0),"Check"),"")</f>
        <v>CM3</v>
      </c>
      <c r="E1246" s="100" t="str">
        <f>IF($B1246&lt;&gt;"",_xlfn.IFNA(VLOOKUP($B1246,'Node Details'!$B:$U,E$1,0),"Check"),"")</f>
        <v>Airtel</v>
      </c>
      <c r="F1246" s="101">
        <v>46149</v>
      </c>
      <c r="G1246" s="103"/>
      <c r="H1246" s="102" t="s">
        <v>1256</v>
      </c>
      <c r="I1246" s="9">
        <v>1</v>
      </c>
      <c r="J1246" s="9">
        <v>48</v>
      </c>
      <c r="K1246" s="100">
        <f t="shared" si="161"/>
        <v>48</v>
      </c>
      <c r="L1246" s="78">
        <v>46142</v>
      </c>
      <c r="M1246" s="103"/>
      <c r="N1246" s="93" t="s">
        <v>617</v>
      </c>
      <c r="O1246" s="94">
        <v>46141</v>
      </c>
      <c r="P1246" s="104">
        <f t="shared" si="162"/>
        <v>48</v>
      </c>
      <c r="Q1246" s="104">
        <f t="shared" si="163"/>
        <v>48</v>
      </c>
      <c r="R1246" s="104"/>
      <c r="S1246" s="93" t="s">
        <v>618</v>
      </c>
      <c r="T1246" s="94">
        <v>46156</v>
      </c>
      <c r="U1246" s="104">
        <f t="shared" si="164"/>
        <v>48</v>
      </c>
      <c r="V1246" s="104">
        <f t="shared" si="165"/>
        <v>1</v>
      </c>
      <c r="W1246" s="103">
        <f t="shared" si="166"/>
        <v>48</v>
      </c>
      <c r="X1246" s="93" t="s">
        <v>89</v>
      </c>
      <c r="Y1246" s="105" t="s">
        <v>84</v>
      </c>
      <c r="Z1246" s="105" t="s">
        <v>619</v>
      </c>
    </row>
    <row r="1247" spans="1:26" s="105" customFormat="1" ht="15" customHeight="1">
      <c r="A1247" s="99">
        <f t="shared" si="167"/>
        <v>1245</v>
      </c>
      <c r="B1247" s="75" t="s">
        <v>746</v>
      </c>
      <c r="C1247" s="100" t="str">
        <f>IF($B1247&lt;&gt;"",_xlfn.IFNA(VLOOKUP($B1247,'Node Details'!$B:$U,C$1,0),"Check"),"")</f>
        <v>000000CM3-0000CM325</v>
      </c>
      <c r="D1247" s="100" t="str">
        <f>IF($B1247&lt;&gt;"",_xlfn.IFNA(VLOOKUP($B1247,'Node Details'!$B:$U,D$1,0),"Check"),"")</f>
        <v>CM3</v>
      </c>
      <c r="E1247" s="100" t="str">
        <f>IF($B1247&lt;&gt;"",_xlfn.IFNA(VLOOKUP($B1247,'Node Details'!$B:$U,E$1,0),"Check"),"")</f>
        <v>Airtel</v>
      </c>
      <c r="F1247" s="101">
        <v>46149</v>
      </c>
      <c r="G1247" s="103"/>
      <c r="H1247" s="102" t="s">
        <v>1256</v>
      </c>
      <c r="I1247" s="9">
        <v>1</v>
      </c>
      <c r="J1247" s="9">
        <v>48</v>
      </c>
      <c r="K1247" s="100">
        <f t="shared" si="161"/>
        <v>48</v>
      </c>
      <c r="L1247" s="78">
        <v>46142</v>
      </c>
      <c r="M1247" s="103"/>
      <c r="N1247" s="93" t="s">
        <v>617</v>
      </c>
      <c r="O1247" s="94">
        <v>46141</v>
      </c>
      <c r="P1247" s="104">
        <f t="shared" si="162"/>
        <v>48</v>
      </c>
      <c r="Q1247" s="104">
        <f t="shared" si="163"/>
        <v>48</v>
      </c>
      <c r="R1247" s="104"/>
      <c r="S1247" s="93" t="s">
        <v>618</v>
      </c>
      <c r="T1247" s="94">
        <v>46156</v>
      </c>
      <c r="U1247" s="104">
        <f t="shared" si="164"/>
        <v>48</v>
      </c>
      <c r="V1247" s="104">
        <f t="shared" si="165"/>
        <v>1</v>
      </c>
      <c r="W1247" s="103">
        <f t="shared" si="166"/>
        <v>48</v>
      </c>
      <c r="X1247" s="93" t="s">
        <v>89</v>
      </c>
      <c r="Y1247" s="105" t="s">
        <v>84</v>
      </c>
      <c r="Z1247" s="105" t="s">
        <v>619</v>
      </c>
    </row>
    <row r="1248" spans="1:26" s="105" customFormat="1" ht="15" customHeight="1">
      <c r="A1248" s="99">
        <f t="shared" si="167"/>
        <v>1246</v>
      </c>
      <c r="B1248" s="75" t="s">
        <v>747</v>
      </c>
      <c r="C1248" s="100" t="str">
        <f>IF($B1248&lt;&gt;"",_xlfn.IFNA(VLOOKUP($B1248,'Node Details'!$B:$U,C$1,0),"Check"),"")</f>
        <v>0000CM317-CM3170101</v>
      </c>
      <c r="D1248" s="100" t="str">
        <f>IF($B1248&lt;&gt;"",_xlfn.IFNA(VLOOKUP($B1248,'Node Details'!$B:$U,D$1,0),"Check"),"")</f>
        <v>CM3</v>
      </c>
      <c r="E1248" s="100" t="str">
        <f>IF($B1248&lt;&gt;"",_xlfn.IFNA(VLOOKUP($B1248,'Node Details'!$B:$U,E$1,0),"Check"),"")</f>
        <v>Airtel</v>
      </c>
      <c r="F1248" s="101">
        <v>46149</v>
      </c>
      <c r="G1248" s="103"/>
      <c r="H1248" s="102" t="s">
        <v>1256</v>
      </c>
      <c r="I1248" s="9">
        <v>1</v>
      </c>
      <c r="J1248" s="9">
        <v>48</v>
      </c>
      <c r="K1248" s="100">
        <f t="shared" si="161"/>
        <v>48</v>
      </c>
      <c r="L1248" s="78">
        <v>46142</v>
      </c>
      <c r="M1248" s="103"/>
      <c r="N1248" s="93" t="s">
        <v>617</v>
      </c>
      <c r="O1248" s="94">
        <v>46141</v>
      </c>
      <c r="P1248" s="104">
        <f t="shared" si="162"/>
        <v>48</v>
      </c>
      <c r="Q1248" s="104">
        <f t="shared" si="163"/>
        <v>48</v>
      </c>
      <c r="R1248" s="104"/>
      <c r="S1248" s="93" t="s">
        <v>618</v>
      </c>
      <c r="T1248" s="94">
        <v>46156</v>
      </c>
      <c r="U1248" s="104">
        <f t="shared" si="164"/>
        <v>48</v>
      </c>
      <c r="V1248" s="104">
        <f t="shared" si="165"/>
        <v>1</v>
      </c>
      <c r="W1248" s="103">
        <f t="shared" si="166"/>
        <v>48</v>
      </c>
      <c r="X1248" s="93" t="s">
        <v>89</v>
      </c>
      <c r="Y1248" s="105" t="s">
        <v>84</v>
      </c>
      <c r="Z1248" s="105" t="s">
        <v>619</v>
      </c>
    </row>
    <row r="1249" spans="1:26" s="105" customFormat="1" ht="15" customHeight="1">
      <c r="A1249" s="99">
        <f t="shared" si="167"/>
        <v>1247</v>
      </c>
      <c r="B1249" s="75" t="s">
        <v>749</v>
      </c>
      <c r="C1249" s="100" t="str">
        <f>IF($B1249&lt;&gt;"",_xlfn.IFNA(VLOOKUP($B1249,'Node Details'!$B:$U,C$1,0),"Check"),"")</f>
        <v>0000CM317-CM3170102</v>
      </c>
      <c r="D1249" s="100" t="str">
        <f>IF($B1249&lt;&gt;"",_xlfn.IFNA(VLOOKUP($B1249,'Node Details'!$B:$U,D$1,0),"Check"),"")</f>
        <v>CM3</v>
      </c>
      <c r="E1249" s="100" t="str">
        <f>IF($B1249&lt;&gt;"",_xlfn.IFNA(VLOOKUP($B1249,'Node Details'!$B:$U,E$1,0),"Check"),"")</f>
        <v>Airtel</v>
      </c>
      <c r="F1249" s="101">
        <v>46149</v>
      </c>
      <c r="G1249" s="103"/>
      <c r="H1249" s="102" t="s">
        <v>1256</v>
      </c>
      <c r="I1249" s="9">
        <v>1</v>
      </c>
      <c r="J1249" s="9">
        <v>48</v>
      </c>
      <c r="K1249" s="100">
        <f t="shared" si="161"/>
        <v>48</v>
      </c>
      <c r="L1249" s="78">
        <v>46142</v>
      </c>
      <c r="M1249" s="103"/>
      <c r="N1249" s="93" t="s">
        <v>617</v>
      </c>
      <c r="O1249" s="94">
        <v>46141</v>
      </c>
      <c r="P1249" s="104">
        <f t="shared" si="162"/>
        <v>48</v>
      </c>
      <c r="Q1249" s="104">
        <f t="shared" si="163"/>
        <v>48</v>
      </c>
      <c r="R1249" s="104"/>
      <c r="S1249" s="93" t="s">
        <v>618</v>
      </c>
      <c r="T1249" s="94">
        <v>46156</v>
      </c>
      <c r="U1249" s="104">
        <f t="shared" si="164"/>
        <v>48</v>
      </c>
      <c r="V1249" s="104">
        <f t="shared" si="165"/>
        <v>1</v>
      </c>
      <c r="W1249" s="103">
        <f t="shared" si="166"/>
        <v>48</v>
      </c>
      <c r="X1249" s="93" t="s">
        <v>89</v>
      </c>
      <c r="Y1249" s="105" t="s">
        <v>84</v>
      </c>
      <c r="Z1249" s="105" t="s">
        <v>619</v>
      </c>
    </row>
    <row r="1250" spans="1:26" s="105" customFormat="1" ht="15" customHeight="1">
      <c r="A1250" s="99">
        <f t="shared" si="167"/>
        <v>1248</v>
      </c>
      <c r="B1250" s="75" t="s">
        <v>1175</v>
      </c>
      <c r="C1250" s="100" t="str">
        <f>IF($B1250&lt;&gt;"",_xlfn.IFNA(VLOOKUP($B1250,'Node Details'!$B:$U,C$1,0),"Check"),"")</f>
        <v>0000CM317-CM3170104</v>
      </c>
      <c r="D1250" s="100" t="str">
        <f>IF($B1250&lt;&gt;"",_xlfn.IFNA(VLOOKUP($B1250,'Node Details'!$B:$U,D$1,0),"Check"),"")</f>
        <v>CM3</v>
      </c>
      <c r="E1250" s="100" t="str">
        <f>IF($B1250&lt;&gt;"",_xlfn.IFNA(VLOOKUP($B1250,'Node Details'!$B:$U,E$1,0),"Check"),"")</f>
        <v>Airtel</v>
      </c>
      <c r="F1250" s="101">
        <v>46149</v>
      </c>
      <c r="G1250" s="103"/>
      <c r="H1250" s="102" t="s">
        <v>1256</v>
      </c>
      <c r="I1250" s="9">
        <v>1</v>
      </c>
      <c r="J1250" s="9">
        <v>48</v>
      </c>
      <c r="K1250" s="100">
        <f t="shared" si="161"/>
        <v>48</v>
      </c>
      <c r="L1250" s="78">
        <v>46142</v>
      </c>
      <c r="M1250" s="103"/>
      <c r="N1250" s="93" t="s">
        <v>617</v>
      </c>
      <c r="O1250" s="94">
        <v>46141</v>
      </c>
      <c r="P1250" s="104">
        <f t="shared" si="162"/>
        <v>48</v>
      </c>
      <c r="Q1250" s="104">
        <f t="shared" si="163"/>
        <v>48</v>
      </c>
      <c r="R1250" s="104"/>
      <c r="S1250" s="93" t="s">
        <v>618</v>
      </c>
      <c r="T1250" s="94">
        <v>46156</v>
      </c>
      <c r="U1250" s="104">
        <f t="shared" si="164"/>
        <v>48</v>
      </c>
      <c r="V1250" s="104">
        <f t="shared" si="165"/>
        <v>1</v>
      </c>
      <c r="W1250" s="103">
        <f t="shared" si="166"/>
        <v>48</v>
      </c>
      <c r="X1250" s="93" t="s">
        <v>89</v>
      </c>
      <c r="Y1250" s="105" t="s">
        <v>84</v>
      </c>
      <c r="Z1250" s="105" t="s">
        <v>619</v>
      </c>
    </row>
    <row r="1251" spans="1:26" s="105" customFormat="1" ht="15" customHeight="1">
      <c r="A1251" s="99">
        <f t="shared" si="167"/>
        <v>1249</v>
      </c>
      <c r="B1251" s="75" t="s">
        <v>751</v>
      </c>
      <c r="C1251" s="100" t="str">
        <f>IF($B1251&lt;&gt;"",_xlfn.IFNA(VLOOKUP($B1251,'Node Details'!$B:$U,C$1,0),"Check"),"")</f>
        <v>0000CM317-CM3170104</v>
      </c>
      <c r="D1251" s="100" t="str">
        <f>IF($B1251&lt;&gt;"",_xlfn.IFNA(VLOOKUP($B1251,'Node Details'!$B:$U,D$1,0),"Check"),"")</f>
        <v>CM3</v>
      </c>
      <c r="E1251" s="100" t="str">
        <f>IF($B1251&lt;&gt;"",_xlfn.IFNA(VLOOKUP($B1251,'Node Details'!$B:$U,E$1,0),"Check"),"")</f>
        <v>Airtel</v>
      </c>
      <c r="F1251" s="101">
        <v>46149</v>
      </c>
      <c r="G1251" s="103"/>
      <c r="H1251" s="102" t="s">
        <v>1256</v>
      </c>
      <c r="I1251" s="9">
        <v>1</v>
      </c>
      <c r="J1251" s="9">
        <v>48</v>
      </c>
      <c r="K1251" s="100">
        <f t="shared" si="161"/>
        <v>48</v>
      </c>
      <c r="L1251" s="78">
        <v>46142</v>
      </c>
      <c r="M1251" s="103"/>
      <c r="N1251" s="93" t="s">
        <v>617</v>
      </c>
      <c r="O1251" s="94">
        <v>46141</v>
      </c>
      <c r="P1251" s="104">
        <f t="shared" si="162"/>
        <v>48</v>
      </c>
      <c r="Q1251" s="104">
        <f t="shared" si="163"/>
        <v>48</v>
      </c>
      <c r="R1251" s="104"/>
      <c r="S1251" s="93" t="s">
        <v>618</v>
      </c>
      <c r="T1251" s="94">
        <v>46156</v>
      </c>
      <c r="U1251" s="104">
        <f t="shared" si="164"/>
        <v>48</v>
      </c>
      <c r="V1251" s="104">
        <f t="shared" si="165"/>
        <v>1</v>
      </c>
      <c r="W1251" s="103">
        <f t="shared" si="166"/>
        <v>48</v>
      </c>
      <c r="X1251" s="93" t="s">
        <v>89</v>
      </c>
      <c r="Y1251" s="105" t="s">
        <v>84</v>
      </c>
      <c r="Z1251" s="105" t="s">
        <v>619</v>
      </c>
    </row>
    <row r="1252" spans="1:26" s="105" customFormat="1" ht="15" customHeight="1">
      <c r="A1252" s="99">
        <f t="shared" si="167"/>
        <v>1250</v>
      </c>
      <c r="B1252" s="75" t="s">
        <v>753</v>
      </c>
      <c r="C1252" s="100" t="str">
        <f>IF($B1252&lt;&gt;"",_xlfn.IFNA(VLOOKUP($B1252,'Node Details'!$B:$U,C$1,0),"Check"),"")</f>
        <v>000000CM3-0000CM325</v>
      </c>
      <c r="D1252" s="100" t="str">
        <f>IF($B1252&lt;&gt;"",_xlfn.IFNA(VLOOKUP($B1252,'Node Details'!$B:$U,D$1,0),"Check"),"")</f>
        <v>CM3</v>
      </c>
      <c r="E1252" s="100" t="str">
        <f>IF($B1252&lt;&gt;"",_xlfn.IFNA(VLOOKUP($B1252,'Node Details'!$B:$U,E$1,0),"Check"),"")</f>
        <v>Airtel</v>
      </c>
      <c r="F1252" s="101">
        <v>46149</v>
      </c>
      <c r="G1252" s="103"/>
      <c r="H1252" s="102" t="s">
        <v>1256</v>
      </c>
      <c r="I1252" s="9">
        <v>1</v>
      </c>
      <c r="J1252" s="9">
        <v>48</v>
      </c>
      <c r="K1252" s="100">
        <f t="shared" si="161"/>
        <v>48</v>
      </c>
      <c r="L1252" s="78">
        <v>46142</v>
      </c>
      <c r="M1252" s="103"/>
      <c r="N1252" s="93" t="s">
        <v>617</v>
      </c>
      <c r="O1252" s="94">
        <v>46141</v>
      </c>
      <c r="P1252" s="104">
        <f t="shared" si="162"/>
        <v>48</v>
      </c>
      <c r="Q1252" s="104">
        <f t="shared" si="163"/>
        <v>48</v>
      </c>
      <c r="R1252" s="104"/>
      <c r="S1252" s="93" t="s">
        <v>618</v>
      </c>
      <c r="T1252" s="94">
        <v>46156</v>
      </c>
      <c r="U1252" s="104">
        <f t="shared" si="164"/>
        <v>48</v>
      </c>
      <c r="V1252" s="104">
        <f t="shared" si="165"/>
        <v>1</v>
      </c>
      <c r="W1252" s="103">
        <f t="shared" si="166"/>
        <v>48</v>
      </c>
      <c r="X1252" s="93" t="s">
        <v>89</v>
      </c>
      <c r="Y1252" s="105" t="s">
        <v>84</v>
      </c>
      <c r="Z1252" s="105" t="s">
        <v>619</v>
      </c>
    </row>
    <row r="1253" spans="1:26" s="105" customFormat="1" ht="15" customHeight="1">
      <c r="A1253" s="99">
        <f t="shared" si="167"/>
        <v>1251</v>
      </c>
      <c r="B1253" s="75" t="s">
        <v>754</v>
      </c>
      <c r="C1253" s="100" t="str">
        <f>IF($B1253&lt;&gt;"",_xlfn.IFNA(VLOOKUP($B1253,'Node Details'!$B:$U,C$1,0),"Check"),"")</f>
        <v>0000CM318-CM3180101</v>
      </c>
      <c r="D1253" s="100" t="str">
        <f>IF($B1253&lt;&gt;"",_xlfn.IFNA(VLOOKUP($B1253,'Node Details'!$B:$U,D$1,0),"Check"),"")</f>
        <v>CM3</v>
      </c>
      <c r="E1253" s="100" t="str">
        <f>IF($B1253&lt;&gt;"",_xlfn.IFNA(VLOOKUP($B1253,'Node Details'!$B:$U,E$1,0),"Check"),"")</f>
        <v>Airtel</v>
      </c>
      <c r="F1253" s="101">
        <v>46149</v>
      </c>
      <c r="G1253" s="103"/>
      <c r="H1253" s="102" t="s">
        <v>1256</v>
      </c>
      <c r="I1253" s="9">
        <v>1</v>
      </c>
      <c r="J1253" s="9">
        <v>48</v>
      </c>
      <c r="K1253" s="100">
        <f t="shared" si="161"/>
        <v>48</v>
      </c>
      <c r="L1253" s="78">
        <v>46142</v>
      </c>
      <c r="M1253" s="103"/>
      <c r="N1253" s="93" t="s">
        <v>617</v>
      </c>
      <c r="O1253" s="94">
        <v>46141</v>
      </c>
      <c r="P1253" s="104">
        <f t="shared" si="162"/>
        <v>48</v>
      </c>
      <c r="Q1253" s="104">
        <f t="shared" si="163"/>
        <v>48</v>
      </c>
      <c r="R1253" s="104"/>
      <c r="S1253" s="93" t="s">
        <v>618</v>
      </c>
      <c r="T1253" s="94">
        <v>46156</v>
      </c>
      <c r="U1253" s="104">
        <f t="shared" si="164"/>
        <v>48</v>
      </c>
      <c r="V1253" s="104">
        <f t="shared" si="165"/>
        <v>1</v>
      </c>
      <c r="W1253" s="103">
        <f t="shared" si="166"/>
        <v>48</v>
      </c>
      <c r="X1253" s="93" t="s">
        <v>89</v>
      </c>
      <c r="Y1253" s="105" t="s">
        <v>84</v>
      </c>
      <c r="Z1253" s="105" t="s">
        <v>619</v>
      </c>
    </row>
    <row r="1254" spans="1:26" s="105" customFormat="1" ht="15" customHeight="1">
      <c r="A1254" s="99">
        <f t="shared" si="167"/>
        <v>1252</v>
      </c>
      <c r="B1254" s="75" t="s">
        <v>1176</v>
      </c>
      <c r="C1254" s="100" t="str">
        <f>IF($B1254&lt;&gt;"",_xlfn.IFNA(VLOOKUP($B1254,'Node Details'!$B:$U,C$1,0),"Check"),"")</f>
        <v>0000CM318-CM3180102</v>
      </c>
      <c r="D1254" s="100" t="str">
        <f>IF($B1254&lt;&gt;"",_xlfn.IFNA(VLOOKUP($B1254,'Node Details'!$B:$U,D$1,0),"Check"),"")</f>
        <v>CM3</v>
      </c>
      <c r="E1254" s="100" t="str">
        <f>IF($B1254&lt;&gt;"",_xlfn.IFNA(VLOOKUP($B1254,'Node Details'!$B:$U,E$1,0),"Check"),"")</f>
        <v>Airtel</v>
      </c>
      <c r="F1254" s="101">
        <v>46149</v>
      </c>
      <c r="G1254" s="103"/>
      <c r="H1254" s="102" t="s">
        <v>1256</v>
      </c>
      <c r="I1254" s="9">
        <v>1</v>
      </c>
      <c r="J1254" s="9">
        <v>48</v>
      </c>
      <c r="K1254" s="100">
        <f t="shared" si="161"/>
        <v>48</v>
      </c>
      <c r="L1254" s="78">
        <v>46142</v>
      </c>
      <c r="M1254" s="103"/>
      <c r="N1254" s="93" t="s">
        <v>617</v>
      </c>
      <c r="O1254" s="94">
        <v>46141</v>
      </c>
      <c r="P1254" s="104">
        <f t="shared" si="162"/>
        <v>48</v>
      </c>
      <c r="Q1254" s="104">
        <f t="shared" si="163"/>
        <v>48</v>
      </c>
      <c r="R1254" s="104"/>
      <c r="S1254" s="93" t="s">
        <v>618</v>
      </c>
      <c r="T1254" s="94">
        <v>46156</v>
      </c>
      <c r="U1254" s="104">
        <f t="shared" si="164"/>
        <v>48</v>
      </c>
      <c r="V1254" s="104">
        <f t="shared" si="165"/>
        <v>1</v>
      </c>
      <c r="W1254" s="103">
        <f t="shared" si="166"/>
        <v>48</v>
      </c>
      <c r="X1254" s="93" t="s">
        <v>89</v>
      </c>
      <c r="Y1254" s="105" t="s">
        <v>84</v>
      </c>
      <c r="Z1254" s="105" t="s">
        <v>619</v>
      </c>
    </row>
    <row r="1255" spans="1:26" s="105" customFormat="1" ht="15" customHeight="1">
      <c r="A1255" s="99">
        <f t="shared" si="167"/>
        <v>1253</v>
      </c>
      <c r="B1255" s="75" t="s">
        <v>756</v>
      </c>
      <c r="C1255" s="100" t="str">
        <f>IF($B1255&lt;&gt;"",_xlfn.IFNA(VLOOKUP($B1255,'Node Details'!$B:$U,C$1,0),"Check"),"")</f>
        <v>0000CM318-CM3180102</v>
      </c>
      <c r="D1255" s="100" t="str">
        <f>IF($B1255&lt;&gt;"",_xlfn.IFNA(VLOOKUP($B1255,'Node Details'!$B:$U,D$1,0),"Check"),"")</f>
        <v>CM3</v>
      </c>
      <c r="E1255" s="100" t="str">
        <f>IF($B1255&lt;&gt;"",_xlfn.IFNA(VLOOKUP($B1255,'Node Details'!$B:$U,E$1,0),"Check"),"")</f>
        <v>Airtel</v>
      </c>
      <c r="F1255" s="101">
        <v>46149</v>
      </c>
      <c r="G1255" s="103"/>
      <c r="H1255" s="102" t="s">
        <v>1256</v>
      </c>
      <c r="I1255" s="9">
        <v>1</v>
      </c>
      <c r="J1255" s="9">
        <v>48</v>
      </c>
      <c r="K1255" s="100">
        <f t="shared" si="161"/>
        <v>48</v>
      </c>
      <c r="L1255" s="78">
        <v>46142</v>
      </c>
      <c r="M1255" s="103"/>
      <c r="N1255" s="93" t="s">
        <v>617</v>
      </c>
      <c r="O1255" s="94">
        <v>46141</v>
      </c>
      <c r="P1255" s="104">
        <f t="shared" si="162"/>
        <v>48</v>
      </c>
      <c r="Q1255" s="104">
        <f t="shared" si="163"/>
        <v>48</v>
      </c>
      <c r="R1255" s="104"/>
      <c r="S1255" s="93" t="s">
        <v>618</v>
      </c>
      <c r="T1255" s="94">
        <v>46156</v>
      </c>
      <c r="U1255" s="104">
        <f t="shared" si="164"/>
        <v>48</v>
      </c>
      <c r="V1255" s="104">
        <f t="shared" si="165"/>
        <v>1</v>
      </c>
      <c r="W1255" s="103">
        <f t="shared" si="166"/>
        <v>48</v>
      </c>
      <c r="X1255" s="93" t="s">
        <v>89</v>
      </c>
      <c r="Y1255" s="105" t="s">
        <v>84</v>
      </c>
      <c r="Z1255" s="105" t="s">
        <v>619</v>
      </c>
    </row>
    <row r="1256" spans="1:26" s="105" customFormat="1" ht="15" customHeight="1">
      <c r="A1256" s="99">
        <f t="shared" si="167"/>
        <v>1254</v>
      </c>
      <c r="B1256" s="75" t="s">
        <v>1177</v>
      </c>
      <c r="C1256" s="100" t="str">
        <f>IF($B1256&lt;&gt;"",_xlfn.IFNA(VLOOKUP($B1256,'Node Details'!$B:$U,C$1,0),"Check"),"")</f>
        <v>0000CM318-CM3180108</v>
      </c>
      <c r="D1256" s="100" t="str">
        <f>IF($B1256&lt;&gt;"",_xlfn.IFNA(VLOOKUP($B1256,'Node Details'!$B:$U,D$1,0),"Check"),"")</f>
        <v>CM3</v>
      </c>
      <c r="E1256" s="100" t="str">
        <f>IF($B1256&lt;&gt;"",_xlfn.IFNA(VLOOKUP($B1256,'Node Details'!$B:$U,E$1,0),"Check"),"")</f>
        <v>Airtel</v>
      </c>
      <c r="F1256" s="101">
        <v>46149</v>
      </c>
      <c r="G1256" s="103"/>
      <c r="H1256" s="102" t="s">
        <v>1256</v>
      </c>
      <c r="I1256" s="9">
        <v>1</v>
      </c>
      <c r="J1256" s="9">
        <v>48</v>
      </c>
      <c r="K1256" s="100">
        <f t="shared" si="161"/>
        <v>48</v>
      </c>
      <c r="L1256" s="78">
        <v>46142</v>
      </c>
      <c r="M1256" s="103"/>
      <c r="N1256" s="93" t="s">
        <v>617</v>
      </c>
      <c r="O1256" s="94">
        <v>46141</v>
      </c>
      <c r="P1256" s="104">
        <f t="shared" si="162"/>
        <v>48</v>
      </c>
      <c r="Q1256" s="104">
        <f t="shared" si="163"/>
        <v>48</v>
      </c>
      <c r="R1256" s="104"/>
      <c r="S1256" s="93" t="s">
        <v>618</v>
      </c>
      <c r="T1256" s="94">
        <v>46156</v>
      </c>
      <c r="U1256" s="104">
        <f t="shared" si="164"/>
        <v>48</v>
      </c>
      <c r="V1256" s="104">
        <f t="shared" si="165"/>
        <v>1</v>
      </c>
      <c r="W1256" s="103">
        <f t="shared" si="166"/>
        <v>48</v>
      </c>
      <c r="X1256" s="93" t="s">
        <v>89</v>
      </c>
      <c r="Y1256" s="105" t="s">
        <v>84</v>
      </c>
      <c r="Z1256" s="105" t="s">
        <v>619</v>
      </c>
    </row>
    <row r="1257" spans="1:26" s="105" customFormat="1" ht="15" customHeight="1">
      <c r="A1257" s="99">
        <f t="shared" si="167"/>
        <v>1255</v>
      </c>
      <c r="B1257" s="75" t="s">
        <v>758</v>
      </c>
      <c r="C1257" s="100" t="str">
        <f>IF($B1257&lt;&gt;"",_xlfn.IFNA(VLOOKUP($B1257,'Node Details'!$B:$U,C$1,0),"Check"),"")</f>
        <v>0000CM318-CM3180108</v>
      </c>
      <c r="D1257" s="100" t="str">
        <f>IF($B1257&lt;&gt;"",_xlfn.IFNA(VLOOKUP($B1257,'Node Details'!$B:$U,D$1,0),"Check"),"")</f>
        <v>CM3</v>
      </c>
      <c r="E1257" s="100" t="str">
        <f>IF($B1257&lt;&gt;"",_xlfn.IFNA(VLOOKUP($B1257,'Node Details'!$B:$U,E$1,0),"Check"),"")</f>
        <v>Airtel</v>
      </c>
      <c r="F1257" s="101">
        <v>46149</v>
      </c>
      <c r="G1257" s="103"/>
      <c r="H1257" s="102" t="s">
        <v>1256</v>
      </c>
      <c r="I1257" s="9">
        <v>1</v>
      </c>
      <c r="J1257" s="9">
        <v>48</v>
      </c>
      <c r="K1257" s="100">
        <f t="shared" si="161"/>
        <v>48</v>
      </c>
      <c r="L1257" s="78">
        <v>46142</v>
      </c>
      <c r="M1257" s="103"/>
      <c r="N1257" s="93" t="s">
        <v>617</v>
      </c>
      <c r="O1257" s="94">
        <v>46141</v>
      </c>
      <c r="P1257" s="104">
        <f t="shared" si="162"/>
        <v>48</v>
      </c>
      <c r="Q1257" s="104">
        <f t="shared" si="163"/>
        <v>48</v>
      </c>
      <c r="R1257" s="104"/>
      <c r="S1257" s="93" t="s">
        <v>618</v>
      </c>
      <c r="T1257" s="94">
        <v>46156</v>
      </c>
      <c r="U1257" s="104">
        <f t="shared" si="164"/>
        <v>48</v>
      </c>
      <c r="V1257" s="104">
        <f t="shared" si="165"/>
        <v>1</v>
      </c>
      <c r="W1257" s="103">
        <f t="shared" si="166"/>
        <v>48</v>
      </c>
      <c r="X1257" s="93" t="s">
        <v>89</v>
      </c>
      <c r="Y1257" s="105" t="s">
        <v>84</v>
      </c>
      <c r="Z1257" s="105" t="s">
        <v>619</v>
      </c>
    </row>
    <row r="1258" spans="1:26" s="105" customFormat="1" ht="15" customHeight="1">
      <c r="A1258" s="99">
        <f t="shared" si="167"/>
        <v>1256</v>
      </c>
      <c r="B1258" s="75" t="s">
        <v>1178</v>
      </c>
      <c r="C1258" s="100" t="str">
        <f>IF($B1258&lt;&gt;"",_xlfn.IFNA(VLOOKUP($B1258,'Node Details'!$B:$U,C$1,0),"Check"),"")</f>
        <v>0000CM318-CM3180105</v>
      </c>
      <c r="D1258" s="100" t="str">
        <f>IF($B1258&lt;&gt;"",_xlfn.IFNA(VLOOKUP($B1258,'Node Details'!$B:$U,D$1,0),"Check"),"")</f>
        <v>CM3</v>
      </c>
      <c r="E1258" s="100" t="str">
        <f>IF($B1258&lt;&gt;"",_xlfn.IFNA(VLOOKUP($B1258,'Node Details'!$B:$U,E$1,0),"Check"),"")</f>
        <v>Airtel</v>
      </c>
      <c r="F1258" s="101">
        <v>46149</v>
      </c>
      <c r="G1258" s="103"/>
      <c r="H1258" s="102" t="s">
        <v>1256</v>
      </c>
      <c r="I1258" s="9">
        <v>1</v>
      </c>
      <c r="J1258" s="9">
        <v>48</v>
      </c>
      <c r="K1258" s="100">
        <f t="shared" si="161"/>
        <v>48</v>
      </c>
      <c r="L1258" s="78">
        <v>46142</v>
      </c>
      <c r="M1258" s="103"/>
      <c r="N1258" s="93" t="s">
        <v>617</v>
      </c>
      <c r="O1258" s="94">
        <v>46141</v>
      </c>
      <c r="P1258" s="104">
        <f t="shared" si="162"/>
        <v>48</v>
      </c>
      <c r="Q1258" s="104">
        <f t="shared" si="163"/>
        <v>48</v>
      </c>
      <c r="R1258" s="104"/>
      <c r="S1258" s="93" t="s">
        <v>618</v>
      </c>
      <c r="T1258" s="94">
        <v>46156</v>
      </c>
      <c r="U1258" s="104">
        <f t="shared" si="164"/>
        <v>48</v>
      </c>
      <c r="V1258" s="104">
        <f t="shared" si="165"/>
        <v>1</v>
      </c>
      <c r="W1258" s="103">
        <f t="shared" si="166"/>
        <v>48</v>
      </c>
      <c r="X1258" s="93" t="s">
        <v>89</v>
      </c>
      <c r="Y1258" s="105" t="s">
        <v>84</v>
      </c>
      <c r="Z1258" s="105" t="s">
        <v>619</v>
      </c>
    </row>
    <row r="1259" spans="1:26" s="105" customFormat="1" ht="15" customHeight="1">
      <c r="A1259" s="99">
        <f t="shared" si="167"/>
        <v>1257</v>
      </c>
      <c r="B1259" s="75" t="s">
        <v>760</v>
      </c>
      <c r="C1259" s="100" t="str">
        <f>IF($B1259&lt;&gt;"",_xlfn.IFNA(VLOOKUP($B1259,'Node Details'!$B:$U,C$1,0),"Check"),"")</f>
        <v>0000CM318-CM3180105</v>
      </c>
      <c r="D1259" s="100" t="str">
        <f>IF($B1259&lt;&gt;"",_xlfn.IFNA(VLOOKUP($B1259,'Node Details'!$B:$U,D$1,0),"Check"),"")</f>
        <v>CM3</v>
      </c>
      <c r="E1259" s="100" t="str">
        <f>IF($B1259&lt;&gt;"",_xlfn.IFNA(VLOOKUP($B1259,'Node Details'!$B:$U,E$1,0),"Check"),"")</f>
        <v>Airtel</v>
      </c>
      <c r="F1259" s="101">
        <v>46149</v>
      </c>
      <c r="G1259" s="103"/>
      <c r="H1259" s="102" t="s">
        <v>1256</v>
      </c>
      <c r="I1259" s="9">
        <v>1</v>
      </c>
      <c r="J1259" s="9">
        <v>48</v>
      </c>
      <c r="K1259" s="100">
        <f t="shared" si="161"/>
        <v>48</v>
      </c>
      <c r="L1259" s="78">
        <v>46142</v>
      </c>
      <c r="M1259" s="103"/>
      <c r="N1259" s="93" t="s">
        <v>617</v>
      </c>
      <c r="O1259" s="94">
        <v>46141</v>
      </c>
      <c r="P1259" s="104">
        <f t="shared" si="162"/>
        <v>48</v>
      </c>
      <c r="Q1259" s="104">
        <f t="shared" si="163"/>
        <v>48</v>
      </c>
      <c r="R1259" s="104"/>
      <c r="S1259" s="93" t="s">
        <v>618</v>
      </c>
      <c r="T1259" s="94">
        <v>46156</v>
      </c>
      <c r="U1259" s="104">
        <f t="shared" si="164"/>
        <v>48</v>
      </c>
      <c r="V1259" s="104">
        <f t="shared" si="165"/>
        <v>1</v>
      </c>
      <c r="W1259" s="103">
        <f t="shared" si="166"/>
        <v>48</v>
      </c>
      <c r="X1259" s="93" t="s">
        <v>89</v>
      </c>
      <c r="Y1259" s="105" t="s">
        <v>84</v>
      </c>
      <c r="Z1259" s="105" t="s">
        <v>619</v>
      </c>
    </row>
    <row r="1260" spans="1:26" s="105" customFormat="1" ht="15" customHeight="1">
      <c r="A1260" s="99">
        <f t="shared" si="167"/>
        <v>1258</v>
      </c>
      <c r="B1260" s="75" t="s">
        <v>762</v>
      </c>
      <c r="C1260" s="100" t="str">
        <f>IF($B1260&lt;&gt;"",_xlfn.IFNA(VLOOKUP($B1260,'Node Details'!$B:$U,C$1,0),"Check"),"")</f>
        <v>000000CM3-0000CM325</v>
      </c>
      <c r="D1260" s="100" t="str">
        <f>IF($B1260&lt;&gt;"",_xlfn.IFNA(VLOOKUP($B1260,'Node Details'!$B:$U,D$1,0),"Check"),"")</f>
        <v>CM3</v>
      </c>
      <c r="E1260" s="100" t="str">
        <f>IF($B1260&lt;&gt;"",_xlfn.IFNA(VLOOKUP($B1260,'Node Details'!$B:$U,E$1,0),"Check"),"")</f>
        <v>Airtel</v>
      </c>
      <c r="F1260" s="101">
        <v>46149</v>
      </c>
      <c r="G1260" s="103"/>
      <c r="H1260" s="102" t="s">
        <v>1256</v>
      </c>
      <c r="I1260" s="9">
        <v>1</v>
      </c>
      <c r="J1260" s="9">
        <v>48</v>
      </c>
      <c r="K1260" s="100">
        <f t="shared" si="161"/>
        <v>48</v>
      </c>
      <c r="L1260" s="78">
        <v>46142</v>
      </c>
      <c r="M1260" s="103"/>
      <c r="N1260" s="93" t="s">
        <v>617</v>
      </c>
      <c r="O1260" s="94">
        <v>46141</v>
      </c>
      <c r="P1260" s="104">
        <f t="shared" si="162"/>
        <v>48</v>
      </c>
      <c r="Q1260" s="104">
        <f t="shared" si="163"/>
        <v>48</v>
      </c>
      <c r="R1260" s="104"/>
      <c r="S1260" s="93" t="s">
        <v>618</v>
      </c>
      <c r="T1260" s="94">
        <v>46156</v>
      </c>
      <c r="U1260" s="104">
        <f t="shared" si="164"/>
        <v>48</v>
      </c>
      <c r="V1260" s="104">
        <f t="shared" si="165"/>
        <v>1</v>
      </c>
      <c r="W1260" s="103">
        <f t="shared" si="166"/>
        <v>48</v>
      </c>
      <c r="X1260" s="93" t="s">
        <v>89</v>
      </c>
      <c r="Y1260" s="105" t="s">
        <v>84</v>
      </c>
      <c r="Z1260" s="105" t="s">
        <v>619</v>
      </c>
    </row>
    <row r="1261" spans="1:26" s="105" customFormat="1" ht="15" customHeight="1">
      <c r="A1261" s="99">
        <f t="shared" si="167"/>
        <v>1259</v>
      </c>
      <c r="B1261" s="75" t="s">
        <v>1179</v>
      </c>
      <c r="C1261" s="100" t="str">
        <f>IF($B1261&lt;&gt;"",_xlfn.IFNA(VLOOKUP($B1261,'Node Details'!$B:$U,C$1,0),"Check"),"")</f>
        <v>0000CM319-CM3190104</v>
      </c>
      <c r="D1261" s="100" t="str">
        <f>IF($B1261&lt;&gt;"",_xlfn.IFNA(VLOOKUP($B1261,'Node Details'!$B:$U,D$1,0),"Check"),"")</f>
        <v>CM3</v>
      </c>
      <c r="E1261" s="100" t="str">
        <f>IF($B1261&lt;&gt;"",_xlfn.IFNA(VLOOKUP($B1261,'Node Details'!$B:$U,E$1,0),"Check"),"")</f>
        <v>Airtel</v>
      </c>
      <c r="F1261" s="101">
        <v>46149</v>
      </c>
      <c r="G1261" s="103"/>
      <c r="H1261" s="102" t="s">
        <v>1256</v>
      </c>
      <c r="I1261" s="9">
        <v>1</v>
      </c>
      <c r="J1261" s="9">
        <v>48</v>
      </c>
      <c r="K1261" s="100">
        <f t="shared" si="161"/>
        <v>48</v>
      </c>
      <c r="L1261" s="78">
        <v>46142</v>
      </c>
      <c r="M1261" s="103"/>
      <c r="N1261" s="93" t="s">
        <v>617</v>
      </c>
      <c r="O1261" s="94">
        <v>46141</v>
      </c>
      <c r="P1261" s="104">
        <f t="shared" si="162"/>
        <v>48</v>
      </c>
      <c r="Q1261" s="104">
        <f t="shared" si="163"/>
        <v>48</v>
      </c>
      <c r="R1261" s="104"/>
      <c r="S1261" s="93" t="s">
        <v>618</v>
      </c>
      <c r="T1261" s="94">
        <v>46156</v>
      </c>
      <c r="U1261" s="104">
        <f t="shared" si="164"/>
        <v>48</v>
      </c>
      <c r="V1261" s="104">
        <f t="shared" si="165"/>
        <v>1</v>
      </c>
      <c r="W1261" s="103">
        <f t="shared" si="166"/>
        <v>48</v>
      </c>
      <c r="X1261" s="93" t="s">
        <v>89</v>
      </c>
      <c r="Y1261" s="105" t="s">
        <v>84</v>
      </c>
      <c r="Z1261" s="105" t="s">
        <v>619</v>
      </c>
    </row>
    <row r="1262" spans="1:26" s="105" customFormat="1" ht="15" customHeight="1">
      <c r="A1262" s="99">
        <f t="shared" si="167"/>
        <v>1260</v>
      </c>
      <c r="B1262" s="75" t="s">
        <v>1180</v>
      </c>
      <c r="C1262" s="100" t="str">
        <f>IF($B1262&lt;&gt;"",_xlfn.IFNA(VLOOKUP($B1262,'Node Details'!$B:$U,C$1,0),"Check"),"")</f>
        <v>0000CM319-CM3190104</v>
      </c>
      <c r="D1262" s="100" t="str">
        <f>IF($B1262&lt;&gt;"",_xlfn.IFNA(VLOOKUP($B1262,'Node Details'!$B:$U,D$1,0),"Check"),"")</f>
        <v>CM3</v>
      </c>
      <c r="E1262" s="100" t="str">
        <f>IF($B1262&lt;&gt;"",_xlfn.IFNA(VLOOKUP($B1262,'Node Details'!$B:$U,E$1,0),"Check"),"")</f>
        <v>Airtel</v>
      </c>
      <c r="F1262" s="101">
        <v>46149</v>
      </c>
      <c r="G1262" s="103"/>
      <c r="H1262" s="102" t="s">
        <v>1256</v>
      </c>
      <c r="I1262" s="9">
        <v>1</v>
      </c>
      <c r="J1262" s="9">
        <v>48</v>
      </c>
      <c r="K1262" s="100">
        <f t="shared" si="161"/>
        <v>48</v>
      </c>
      <c r="L1262" s="78">
        <v>46142</v>
      </c>
      <c r="M1262" s="103"/>
      <c r="N1262" s="93" t="s">
        <v>617</v>
      </c>
      <c r="O1262" s="94">
        <v>46141</v>
      </c>
      <c r="P1262" s="104">
        <f t="shared" si="162"/>
        <v>48</v>
      </c>
      <c r="Q1262" s="104">
        <f t="shared" si="163"/>
        <v>48</v>
      </c>
      <c r="R1262" s="104"/>
      <c r="S1262" s="93" t="s">
        <v>618</v>
      </c>
      <c r="T1262" s="94">
        <v>46156</v>
      </c>
      <c r="U1262" s="104">
        <f t="shared" si="164"/>
        <v>48</v>
      </c>
      <c r="V1262" s="104">
        <f t="shared" si="165"/>
        <v>1</v>
      </c>
      <c r="W1262" s="103">
        <f t="shared" si="166"/>
        <v>48</v>
      </c>
      <c r="X1262" s="93" t="s">
        <v>89</v>
      </c>
      <c r="Y1262" s="105" t="s">
        <v>84</v>
      </c>
      <c r="Z1262" s="105" t="s">
        <v>619</v>
      </c>
    </row>
    <row r="1263" spans="1:26" s="105" customFormat="1" ht="15" customHeight="1">
      <c r="A1263" s="99">
        <f t="shared" si="167"/>
        <v>1261</v>
      </c>
      <c r="B1263" s="75" t="s">
        <v>1181</v>
      </c>
      <c r="C1263" s="100" t="str">
        <f>IF($B1263&lt;&gt;"",_xlfn.IFNA(VLOOKUP($B1263,'Node Details'!$B:$U,C$1,0),"Check"),"")</f>
        <v>0000CM319-CM3190104</v>
      </c>
      <c r="D1263" s="100" t="str">
        <f>IF($B1263&lt;&gt;"",_xlfn.IFNA(VLOOKUP($B1263,'Node Details'!$B:$U,D$1,0),"Check"),"")</f>
        <v>CM3</v>
      </c>
      <c r="E1263" s="100" t="str">
        <f>IF($B1263&lt;&gt;"",_xlfn.IFNA(VLOOKUP($B1263,'Node Details'!$B:$U,E$1,0),"Check"),"")</f>
        <v>Airtel</v>
      </c>
      <c r="F1263" s="101">
        <v>46149</v>
      </c>
      <c r="G1263" s="103"/>
      <c r="H1263" s="102" t="s">
        <v>1256</v>
      </c>
      <c r="I1263" s="9">
        <v>1</v>
      </c>
      <c r="J1263" s="9">
        <v>48</v>
      </c>
      <c r="K1263" s="100">
        <f t="shared" si="161"/>
        <v>48</v>
      </c>
      <c r="L1263" s="78">
        <v>46142</v>
      </c>
      <c r="M1263" s="103"/>
      <c r="N1263" s="93" t="s">
        <v>617</v>
      </c>
      <c r="O1263" s="94">
        <v>46141</v>
      </c>
      <c r="P1263" s="104">
        <f t="shared" si="162"/>
        <v>48</v>
      </c>
      <c r="Q1263" s="104">
        <f t="shared" si="163"/>
        <v>48</v>
      </c>
      <c r="R1263" s="104"/>
      <c r="S1263" s="93" t="s">
        <v>618</v>
      </c>
      <c r="T1263" s="94">
        <v>46156</v>
      </c>
      <c r="U1263" s="104">
        <f t="shared" si="164"/>
        <v>48</v>
      </c>
      <c r="V1263" s="104">
        <f t="shared" si="165"/>
        <v>1</v>
      </c>
      <c r="W1263" s="103">
        <f t="shared" si="166"/>
        <v>48</v>
      </c>
      <c r="X1263" s="93" t="s">
        <v>89</v>
      </c>
      <c r="Y1263" s="105" t="s">
        <v>84</v>
      </c>
      <c r="Z1263" s="105" t="s">
        <v>619</v>
      </c>
    </row>
    <row r="1264" spans="1:26" s="105" customFormat="1" ht="15" customHeight="1">
      <c r="A1264" s="99">
        <f t="shared" si="167"/>
        <v>1262</v>
      </c>
      <c r="B1264" s="75" t="s">
        <v>763</v>
      </c>
      <c r="C1264" s="100" t="str">
        <f>IF($B1264&lt;&gt;"",_xlfn.IFNA(VLOOKUP($B1264,'Node Details'!$B:$U,C$1,0),"Check"),"")</f>
        <v>0000CM319-CM3190104</v>
      </c>
      <c r="D1264" s="100" t="str">
        <f>IF($B1264&lt;&gt;"",_xlfn.IFNA(VLOOKUP($B1264,'Node Details'!$B:$U,D$1,0),"Check"),"")</f>
        <v>CM3</v>
      </c>
      <c r="E1264" s="100" t="str">
        <f>IF($B1264&lt;&gt;"",_xlfn.IFNA(VLOOKUP($B1264,'Node Details'!$B:$U,E$1,0),"Check"),"")</f>
        <v>Airtel</v>
      </c>
      <c r="F1264" s="101">
        <v>46149</v>
      </c>
      <c r="G1264" s="103"/>
      <c r="H1264" s="102" t="s">
        <v>1256</v>
      </c>
      <c r="I1264" s="9">
        <v>1</v>
      </c>
      <c r="J1264" s="9">
        <v>48</v>
      </c>
      <c r="K1264" s="100">
        <f t="shared" si="161"/>
        <v>48</v>
      </c>
      <c r="L1264" s="78">
        <v>46142</v>
      </c>
      <c r="M1264" s="103"/>
      <c r="N1264" s="93" t="s">
        <v>617</v>
      </c>
      <c r="O1264" s="94">
        <v>46141</v>
      </c>
      <c r="P1264" s="104">
        <f t="shared" si="162"/>
        <v>48</v>
      </c>
      <c r="Q1264" s="104">
        <f t="shared" si="163"/>
        <v>48</v>
      </c>
      <c r="R1264" s="104"/>
      <c r="S1264" s="93" t="s">
        <v>618</v>
      </c>
      <c r="T1264" s="94">
        <v>46156</v>
      </c>
      <c r="U1264" s="104">
        <f t="shared" si="164"/>
        <v>48</v>
      </c>
      <c r="V1264" s="104">
        <f t="shared" si="165"/>
        <v>1</v>
      </c>
      <c r="W1264" s="103">
        <f t="shared" si="166"/>
        <v>48</v>
      </c>
      <c r="X1264" s="93" t="s">
        <v>89</v>
      </c>
      <c r="Y1264" s="105" t="s">
        <v>84</v>
      </c>
      <c r="Z1264" s="105" t="s">
        <v>619</v>
      </c>
    </row>
    <row r="1265" spans="1:26" s="105" customFormat="1" ht="15" customHeight="1">
      <c r="A1265" s="99">
        <f t="shared" si="167"/>
        <v>1263</v>
      </c>
      <c r="B1265" s="75" t="s">
        <v>1182</v>
      </c>
      <c r="C1265" s="100" t="str">
        <f>IF($B1265&lt;&gt;"",_xlfn.IFNA(VLOOKUP($B1265,'Node Details'!$B:$U,C$1,0),"Check"),"")</f>
        <v>0000CM319-CM3190108</v>
      </c>
      <c r="D1265" s="100" t="str">
        <f>IF($B1265&lt;&gt;"",_xlfn.IFNA(VLOOKUP($B1265,'Node Details'!$B:$U,D$1,0),"Check"),"")</f>
        <v>CM3</v>
      </c>
      <c r="E1265" s="100" t="str">
        <f>IF($B1265&lt;&gt;"",_xlfn.IFNA(VLOOKUP($B1265,'Node Details'!$B:$U,E$1,0),"Check"),"")</f>
        <v>Airtel</v>
      </c>
      <c r="F1265" s="101">
        <v>46149</v>
      </c>
      <c r="G1265" s="103"/>
      <c r="H1265" s="102" t="s">
        <v>1256</v>
      </c>
      <c r="I1265" s="9">
        <v>1</v>
      </c>
      <c r="J1265" s="9">
        <v>48</v>
      </c>
      <c r="K1265" s="100">
        <f t="shared" si="161"/>
        <v>48</v>
      </c>
      <c r="L1265" s="78">
        <v>46142</v>
      </c>
      <c r="M1265" s="103"/>
      <c r="N1265" s="93" t="s">
        <v>617</v>
      </c>
      <c r="O1265" s="94">
        <v>46141</v>
      </c>
      <c r="P1265" s="104">
        <f t="shared" si="162"/>
        <v>48</v>
      </c>
      <c r="Q1265" s="104">
        <f t="shared" si="163"/>
        <v>48</v>
      </c>
      <c r="R1265" s="104"/>
      <c r="S1265" s="93" t="s">
        <v>618</v>
      </c>
      <c r="T1265" s="94">
        <v>46156</v>
      </c>
      <c r="U1265" s="104">
        <f t="shared" si="164"/>
        <v>48</v>
      </c>
      <c r="V1265" s="104">
        <f t="shared" si="165"/>
        <v>1</v>
      </c>
      <c r="W1265" s="103">
        <f t="shared" si="166"/>
        <v>48</v>
      </c>
      <c r="X1265" s="93" t="s">
        <v>89</v>
      </c>
      <c r="Y1265" s="105" t="s">
        <v>84</v>
      </c>
      <c r="Z1265" s="105" t="s">
        <v>619</v>
      </c>
    </row>
    <row r="1266" spans="1:26" s="105" customFormat="1" ht="15" customHeight="1">
      <c r="A1266" s="99">
        <f t="shared" si="167"/>
        <v>1264</v>
      </c>
      <c r="B1266" s="75" t="s">
        <v>1183</v>
      </c>
      <c r="C1266" s="100" t="str">
        <f>IF($B1266&lt;&gt;"",_xlfn.IFNA(VLOOKUP($B1266,'Node Details'!$B:$U,C$1,0),"Check"),"")</f>
        <v>0000CM319-CM3190108</v>
      </c>
      <c r="D1266" s="100" t="str">
        <f>IF($B1266&lt;&gt;"",_xlfn.IFNA(VLOOKUP($B1266,'Node Details'!$B:$U,D$1,0),"Check"),"")</f>
        <v>CM3</v>
      </c>
      <c r="E1266" s="100" t="str">
        <f>IF($B1266&lt;&gt;"",_xlfn.IFNA(VLOOKUP($B1266,'Node Details'!$B:$U,E$1,0),"Check"),"")</f>
        <v>Airtel</v>
      </c>
      <c r="F1266" s="101">
        <v>46149</v>
      </c>
      <c r="G1266" s="103"/>
      <c r="H1266" s="102" t="s">
        <v>1256</v>
      </c>
      <c r="I1266" s="9">
        <v>1</v>
      </c>
      <c r="J1266" s="9">
        <v>48</v>
      </c>
      <c r="K1266" s="100">
        <f t="shared" si="161"/>
        <v>48</v>
      </c>
      <c r="L1266" s="78">
        <v>46142</v>
      </c>
      <c r="M1266" s="103"/>
      <c r="N1266" s="93" t="s">
        <v>617</v>
      </c>
      <c r="O1266" s="94">
        <v>46141</v>
      </c>
      <c r="P1266" s="104">
        <f t="shared" si="162"/>
        <v>48</v>
      </c>
      <c r="Q1266" s="104">
        <f t="shared" si="163"/>
        <v>48</v>
      </c>
      <c r="R1266" s="104"/>
      <c r="S1266" s="93" t="s">
        <v>618</v>
      </c>
      <c r="T1266" s="94">
        <v>46156</v>
      </c>
      <c r="U1266" s="104">
        <f t="shared" si="164"/>
        <v>48</v>
      </c>
      <c r="V1266" s="104">
        <f t="shared" si="165"/>
        <v>1</v>
      </c>
      <c r="W1266" s="103">
        <f t="shared" si="166"/>
        <v>48</v>
      </c>
      <c r="X1266" s="93" t="s">
        <v>89</v>
      </c>
      <c r="Y1266" s="105" t="s">
        <v>84</v>
      </c>
      <c r="Z1266" s="105" t="s">
        <v>619</v>
      </c>
    </row>
    <row r="1267" spans="1:26" s="105" customFormat="1" ht="15" customHeight="1">
      <c r="A1267" s="99">
        <f t="shared" si="167"/>
        <v>1265</v>
      </c>
      <c r="B1267" s="75" t="s">
        <v>1184</v>
      </c>
      <c r="C1267" s="100" t="str">
        <f>IF($B1267&lt;&gt;"",_xlfn.IFNA(VLOOKUP($B1267,'Node Details'!$B:$U,C$1,0),"Check"),"")</f>
        <v>0000CM319-CM3190108</v>
      </c>
      <c r="D1267" s="100" t="str">
        <f>IF($B1267&lt;&gt;"",_xlfn.IFNA(VLOOKUP($B1267,'Node Details'!$B:$U,D$1,0),"Check"),"")</f>
        <v>CM3</v>
      </c>
      <c r="E1267" s="100" t="str">
        <f>IF($B1267&lt;&gt;"",_xlfn.IFNA(VLOOKUP($B1267,'Node Details'!$B:$U,E$1,0),"Check"),"")</f>
        <v>Airtel</v>
      </c>
      <c r="F1267" s="101">
        <v>46149</v>
      </c>
      <c r="G1267" s="103"/>
      <c r="H1267" s="102" t="s">
        <v>1256</v>
      </c>
      <c r="I1267" s="9">
        <v>1</v>
      </c>
      <c r="J1267" s="9">
        <v>48</v>
      </c>
      <c r="K1267" s="100">
        <f t="shared" si="161"/>
        <v>48</v>
      </c>
      <c r="L1267" s="78">
        <v>46142</v>
      </c>
      <c r="M1267" s="103"/>
      <c r="N1267" s="93" t="s">
        <v>617</v>
      </c>
      <c r="O1267" s="94">
        <v>46141</v>
      </c>
      <c r="P1267" s="104">
        <f t="shared" si="162"/>
        <v>48</v>
      </c>
      <c r="Q1267" s="104">
        <f t="shared" si="163"/>
        <v>48</v>
      </c>
      <c r="R1267" s="104"/>
      <c r="S1267" s="93" t="s">
        <v>618</v>
      </c>
      <c r="T1267" s="94">
        <v>46156</v>
      </c>
      <c r="U1267" s="104">
        <f t="shared" si="164"/>
        <v>48</v>
      </c>
      <c r="V1267" s="104">
        <f t="shared" si="165"/>
        <v>1</v>
      </c>
      <c r="W1267" s="103">
        <f t="shared" si="166"/>
        <v>48</v>
      </c>
      <c r="X1267" s="93" t="s">
        <v>89</v>
      </c>
      <c r="Y1267" s="105" t="s">
        <v>84</v>
      </c>
      <c r="Z1267" s="105" t="s">
        <v>619</v>
      </c>
    </row>
    <row r="1268" spans="1:26" s="105" customFormat="1" ht="15" customHeight="1">
      <c r="A1268" s="99">
        <f t="shared" si="167"/>
        <v>1266</v>
      </c>
      <c r="B1268" s="75" t="s">
        <v>765</v>
      </c>
      <c r="C1268" s="100" t="str">
        <f>IF($B1268&lt;&gt;"",_xlfn.IFNA(VLOOKUP($B1268,'Node Details'!$B:$U,C$1,0),"Check"),"")</f>
        <v>0000CM319-CM3190108</v>
      </c>
      <c r="D1268" s="100" t="str">
        <f>IF($B1268&lt;&gt;"",_xlfn.IFNA(VLOOKUP($B1268,'Node Details'!$B:$U,D$1,0),"Check"),"")</f>
        <v>CM3</v>
      </c>
      <c r="E1268" s="100" t="str">
        <f>IF($B1268&lt;&gt;"",_xlfn.IFNA(VLOOKUP($B1268,'Node Details'!$B:$U,E$1,0),"Check"),"")</f>
        <v>Airtel</v>
      </c>
      <c r="F1268" s="101">
        <v>46149</v>
      </c>
      <c r="G1268" s="103"/>
      <c r="H1268" s="102" t="s">
        <v>1256</v>
      </c>
      <c r="I1268" s="9">
        <v>1</v>
      </c>
      <c r="J1268" s="9">
        <v>48</v>
      </c>
      <c r="K1268" s="100">
        <f t="shared" si="161"/>
        <v>48</v>
      </c>
      <c r="L1268" s="78">
        <v>46142</v>
      </c>
      <c r="M1268" s="103"/>
      <c r="N1268" s="93" t="s">
        <v>617</v>
      </c>
      <c r="O1268" s="94">
        <v>46141</v>
      </c>
      <c r="P1268" s="104">
        <f t="shared" si="162"/>
        <v>48</v>
      </c>
      <c r="Q1268" s="104">
        <f t="shared" si="163"/>
        <v>48</v>
      </c>
      <c r="R1268" s="104"/>
      <c r="S1268" s="93" t="s">
        <v>618</v>
      </c>
      <c r="T1268" s="94">
        <v>46156</v>
      </c>
      <c r="U1268" s="104">
        <f t="shared" si="164"/>
        <v>48</v>
      </c>
      <c r="V1268" s="104">
        <f t="shared" si="165"/>
        <v>1</v>
      </c>
      <c r="W1268" s="103">
        <f t="shared" si="166"/>
        <v>48</v>
      </c>
      <c r="X1268" s="93" t="s">
        <v>89</v>
      </c>
      <c r="Y1268" s="105" t="s">
        <v>84</v>
      </c>
      <c r="Z1268" s="105" t="s">
        <v>619</v>
      </c>
    </row>
    <row r="1269" spans="1:26" s="105" customFormat="1" ht="15" customHeight="1">
      <c r="A1269" s="99">
        <f t="shared" si="167"/>
        <v>1267</v>
      </c>
      <c r="B1269" s="75" t="s">
        <v>767</v>
      </c>
      <c r="C1269" s="100" t="str">
        <f>IF($B1269&lt;&gt;"",_xlfn.IFNA(VLOOKUP($B1269,'Node Details'!$B:$U,C$1,0),"Check"),"")</f>
        <v>000000CM3-0000CM325</v>
      </c>
      <c r="D1269" s="100" t="str">
        <f>IF($B1269&lt;&gt;"",_xlfn.IFNA(VLOOKUP($B1269,'Node Details'!$B:$U,D$1,0),"Check"),"")</f>
        <v>CM3</v>
      </c>
      <c r="E1269" s="100" t="str">
        <f>IF($B1269&lt;&gt;"",_xlfn.IFNA(VLOOKUP($B1269,'Node Details'!$B:$U,E$1,0),"Check"),"")</f>
        <v>Airtel</v>
      </c>
      <c r="F1269" s="101">
        <v>46149</v>
      </c>
      <c r="G1269" s="103"/>
      <c r="H1269" s="102" t="s">
        <v>1256</v>
      </c>
      <c r="I1269" s="9">
        <v>1</v>
      </c>
      <c r="J1269" s="9">
        <v>48</v>
      </c>
      <c r="K1269" s="100">
        <f t="shared" si="161"/>
        <v>48</v>
      </c>
      <c r="L1269" s="78">
        <v>46142</v>
      </c>
      <c r="M1269" s="103"/>
      <c r="N1269" s="93" t="s">
        <v>617</v>
      </c>
      <c r="O1269" s="94">
        <v>46141</v>
      </c>
      <c r="P1269" s="104">
        <f t="shared" si="162"/>
        <v>48</v>
      </c>
      <c r="Q1269" s="104">
        <f t="shared" si="163"/>
        <v>48</v>
      </c>
      <c r="R1269" s="104"/>
      <c r="S1269" s="93" t="s">
        <v>618</v>
      </c>
      <c r="T1269" s="94">
        <v>46156</v>
      </c>
      <c r="U1269" s="104">
        <f t="shared" si="164"/>
        <v>48</v>
      </c>
      <c r="V1269" s="104">
        <f t="shared" si="165"/>
        <v>1</v>
      </c>
      <c r="W1269" s="103">
        <f t="shared" si="166"/>
        <v>48</v>
      </c>
      <c r="X1269" s="93" t="s">
        <v>89</v>
      </c>
      <c r="Y1269" s="105" t="s">
        <v>84</v>
      </c>
      <c r="Z1269" s="105" t="s">
        <v>619</v>
      </c>
    </row>
    <row r="1270" spans="1:26" s="105" customFormat="1" ht="15" customHeight="1">
      <c r="A1270" s="99">
        <f t="shared" si="167"/>
        <v>1268</v>
      </c>
      <c r="B1270" s="75" t="s">
        <v>768</v>
      </c>
      <c r="C1270" s="100" t="str">
        <f>IF($B1270&lt;&gt;"",_xlfn.IFNA(VLOOKUP($B1270,'Node Details'!$B:$U,C$1,0),"Check"),"")</f>
        <v>0000CM320-CM3200101</v>
      </c>
      <c r="D1270" s="100" t="str">
        <f>IF($B1270&lt;&gt;"",_xlfn.IFNA(VLOOKUP($B1270,'Node Details'!$B:$U,D$1,0),"Check"),"")</f>
        <v>CM3</v>
      </c>
      <c r="E1270" s="100" t="str">
        <f>IF($B1270&lt;&gt;"",_xlfn.IFNA(VLOOKUP($B1270,'Node Details'!$B:$U,E$1,0),"Check"),"")</f>
        <v>Airtel</v>
      </c>
      <c r="F1270" s="101">
        <v>46149</v>
      </c>
      <c r="G1270" s="103"/>
      <c r="H1270" s="102" t="s">
        <v>1256</v>
      </c>
      <c r="I1270" s="9">
        <v>1</v>
      </c>
      <c r="J1270" s="9">
        <v>48</v>
      </c>
      <c r="K1270" s="100">
        <f t="shared" si="161"/>
        <v>48</v>
      </c>
      <c r="L1270" s="78">
        <v>46142</v>
      </c>
      <c r="M1270" s="103"/>
      <c r="N1270" s="93" t="s">
        <v>617</v>
      </c>
      <c r="O1270" s="94">
        <v>46141</v>
      </c>
      <c r="P1270" s="104">
        <f t="shared" si="162"/>
        <v>48</v>
      </c>
      <c r="Q1270" s="104">
        <f t="shared" si="163"/>
        <v>48</v>
      </c>
      <c r="R1270" s="104"/>
      <c r="S1270" s="93" t="s">
        <v>618</v>
      </c>
      <c r="T1270" s="94">
        <v>46156</v>
      </c>
      <c r="U1270" s="104">
        <f t="shared" si="164"/>
        <v>48</v>
      </c>
      <c r="V1270" s="104">
        <f t="shared" si="165"/>
        <v>1</v>
      </c>
      <c r="W1270" s="103">
        <f t="shared" si="166"/>
        <v>48</v>
      </c>
      <c r="X1270" s="93" t="s">
        <v>89</v>
      </c>
      <c r="Y1270" s="105" t="s">
        <v>84</v>
      </c>
      <c r="Z1270" s="105" t="s">
        <v>619</v>
      </c>
    </row>
    <row r="1271" spans="1:26" s="105" customFormat="1" ht="15" customHeight="1">
      <c r="A1271" s="99">
        <f t="shared" si="167"/>
        <v>1269</v>
      </c>
      <c r="B1271" s="75" t="s">
        <v>1185</v>
      </c>
      <c r="C1271" s="100" t="str">
        <f>IF($B1271&lt;&gt;"",_xlfn.IFNA(VLOOKUP($B1271,'Node Details'!$B:$U,C$1,0),"Check"),"")</f>
        <v>0000CM320-CM3200104</v>
      </c>
      <c r="D1271" s="100" t="str">
        <f>IF($B1271&lt;&gt;"",_xlfn.IFNA(VLOOKUP($B1271,'Node Details'!$B:$U,D$1,0),"Check"),"")</f>
        <v>CM3</v>
      </c>
      <c r="E1271" s="100" t="str">
        <f>IF($B1271&lt;&gt;"",_xlfn.IFNA(VLOOKUP($B1271,'Node Details'!$B:$U,E$1,0),"Check"),"")</f>
        <v>Airtel</v>
      </c>
      <c r="F1271" s="101">
        <v>46149</v>
      </c>
      <c r="G1271" s="103"/>
      <c r="H1271" s="102" t="s">
        <v>1256</v>
      </c>
      <c r="I1271" s="9">
        <v>1</v>
      </c>
      <c r="J1271" s="9">
        <v>48</v>
      </c>
      <c r="K1271" s="100">
        <f t="shared" si="161"/>
        <v>48</v>
      </c>
      <c r="L1271" s="78">
        <v>46142</v>
      </c>
      <c r="M1271" s="103"/>
      <c r="N1271" s="93" t="s">
        <v>617</v>
      </c>
      <c r="O1271" s="94">
        <v>46141</v>
      </c>
      <c r="P1271" s="104">
        <f t="shared" si="162"/>
        <v>48</v>
      </c>
      <c r="Q1271" s="104">
        <f t="shared" si="163"/>
        <v>48</v>
      </c>
      <c r="R1271" s="104"/>
      <c r="S1271" s="93" t="s">
        <v>618</v>
      </c>
      <c r="T1271" s="94">
        <v>46156</v>
      </c>
      <c r="U1271" s="104">
        <f t="shared" si="164"/>
        <v>48</v>
      </c>
      <c r="V1271" s="104">
        <f t="shared" si="165"/>
        <v>1</v>
      </c>
      <c r="W1271" s="103">
        <f t="shared" si="166"/>
        <v>48</v>
      </c>
      <c r="X1271" s="93" t="s">
        <v>89</v>
      </c>
      <c r="Y1271" s="105" t="s">
        <v>84</v>
      </c>
      <c r="Z1271" s="105" t="s">
        <v>619</v>
      </c>
    </row>
    <row r="1272" spans="1:26" s="105" customFormat="1" ht="15" customHeight="1">
      <c r="A1272" s="99">
        <f t="shared" si="167"/>
        <v>1270</v>
      </c>
      <c r="B1272" s="75" t="s">
        <v>1186</v>
      </c>
      <c r="C1272" s="100" t="str">
        <f>IF($B1272&lt;&gt;"",_xlfn.IFNA(VLOOKUP($B1272,'Node Details'!$B:$U,C$1,0),"Check"),"")</f>
        <v>0000CM320-CM3200104</v>
      </c>
      <c r="D1272" s="100" t="str">
        <f>IF($B1272&lt;&gt;"",_xlfn.IFNA(VLOOKUP($B1272,'Node Details'!$B:$U,D$1,0),"Check"),"")</f>
        <v>CM3</v>
      </c>
      <c r="E1272" s="100" t="str">
        <f>IF($B1272&lt;&gt;"",_xlfn.IFNA(VLOOKUP($B1272,'Node Details'!$B:$U,E$1,0),"Check"),"")</f>
        <v>Airtel</v>
      </c>
      <c r="F1272" s="101">
        <v>46149</v>
      </c>
      <c r="G1272" s="103"/>
      <c r="H1272" s="102" t="s">
        <v>1256</v>
      </c>
      <c r="I1272" s="9">
        <v>1</v>
      </c>
      <c r="J1272" s="9">
        <v>48</v>
      </c>
      <c r="K1272" s="100">
        <f t="shared" si="161"/>
        <v>48</v>
      </c>
      <c r="L1272" s="78">
        <v>46142</v>
      </c>
      <c r="M1272" s="103"/>
      <c r="N1272" s="93" t="s">
        <v>617</v>
      </c>
      <c r="O1272" s="94">
        <v>46141</v>
      </c>
      <c r="P1272" s="104">
        <f t="shared" si="162"/>
        <v>48</v>
      </c>
      <c r="Q1272" s="104">
        <f t="shared" si="163"/>
        <v>48</v>
      </c>
      <c r="R1272" s="104"/>
      <c r="S1272" s="93" t="s">
        <v>618</v>
      </c>
      <c r="T1272" s="94">
        <v>46156</v>
      </c>
      <c r="U1272" s="104">
        <f t="shared" si="164"/>
        <v>48</v>
      </c>
      <c r="V1272" s="104">
        <f t="shared" si="165"/>
        <v>1</v>
      </c>
      <c r="W1272" s="103">
        <f t="shared" si="166"/>
        <v>48</v>
      </c>
      <c r="X1272" s="93" t="s">
        <v>89</v>
      </c>
      <c r="Y1272" s="105" t="s">
        <v>84</v>
      </c>
      <c r="Z1272" s="105" t="s">
        <v>619</v>
      </c>
    </row>
    <row r="1273" spans="1:26" s="105" customFormat="1" ht="15" customHeight="1">
      <c r="A1273" s="99">
        <f t="shared" si="167"/>
        <v>1271</v>
      </c>
      <c r="B1273" s="75" t="s">
        <v>770</v>
      </c>
      <c r="C1273" s="100" t="str">
        <f>IF($B1273&lt;&gt;"",_xlfn.IFNA(VLOOKUP($B1273,'Node Details'!$B:$U,C$1,0),"Check"),"")</f>
        <v>0000CM320-CM3200104</v>
      </c>
      <c r="D1273" s="100" t="str">
        <f>IF($B1273&lt;&gt;"",_xlfn.IFNA(VLOOKUP($B1273,'Node Details'!$B:$U,D$1,0),"Check"),"")</f>
        <v>CM3</v>
      </c>
      <c r="E1273" s="100" t="str">
        <f>IF($B1273&lt;&gt;"",_xlfn.IFNA(VLOOKUP($B1273,'Node Details'!$B:$U,E$1,0),"Check"),"")</f>
        <v>Airtel</v>
      </c>
      <c r="F1273" s="101">
        <v>46149</v>
      </c>
      <c r="G1273" s="103"/>
      <c r="H1273" s="102" t="s">
        <v>1256</v>
      </c>
      <c r="I1273" s="9">
        <v>1</v>
      </c>
      <c r="J1273" s="9">
        <v>48</v>
      </c>
      <c r="K1273" s="100">
        <f t="shared" si="161"/>
        <v>48</v>
      </c>
      <c r="L1273" s="78">
        <v>46142</v>
      </c>
      <c r="M1273" s="103"/>
      <c r="N1273" s="93" t="s">
        <v>617</v>
      </c>
      <c r="O1273" s="94">
        <v>46141</v>
      </c>
      <c r="P1273" s="104">
        <f t="shared" si="162"/>
        <v>48</v>
      </c>
      <c r="Q1273" s="104">
        <f t="shared" si="163"/>
        <v>48</v>
      </c>
      <c r="R1273" s="104"/>
      <c r="S1273" s="93" t="s">
        <v>618</v>
      </c>
      <c r="T1273" s="94">
        <v>46156</v>
      </c>
      <c r="U1273" s="104">
        <f t="shared" si="164"/>
        <v>48</v>
      </c>
      <c r="V1273" s="104">
        <f t="shared" si="165"/>
        <v>1</v>
      </c>
      <c r="W1273" s="103">
        <f t="shared" si="166"/>
        <v>48</v>
      </c>
      <c r="X1273" s="93" t="s">
        <v>89</v>
      </c>
      <c r="Y1273" s="105" t="s">
        <v>84</v>
      </c>
      <c r="Z1273" s="105" t="s">
        <v>619</v>
      </c>
    </row>
    <row r="1274" spans="1:26" s="105" customFormat="1" ht="15" customHeight="1">
      <c r="A1274" s="99">
        <f t="shared" si="167"/>
        <v>1272</v>
      </c>
      <c r="B1274" s="75" t="s">
        <v>772</v>
      </c>
      <c r="C1274" s="100" t="str">
        <f>IF($B1274&lt;&gt;"",_xlfn.IFNA(VLOOKUP($B1274,'Node Details'!$B:$U,C$1,0),"Check"),"")</f>
        <v>000000CM3-0000CM325</v>
      </c>
      <c r="D1274" s="100" t="str">
        <f>IF($B1274&lt;&gt;"",_xlfn.IFNA(VLOOKUP($B1274,'Node Details'!$B:$U,D$1,0),"Check"),"")</f>
        <v>CM3</v>
      </c>
      <c r="E1274" s="100" t="str">
        <f>IF($B1274&lt;&gt;"",_xlfn.IFNA(VLOOKUP($B1274,'Node Details'!$B:$U,E$1,0),"Check"),"")</f>
        <v>Airtel</v>
      </c>
      <c r="F1274" s="101">
        <v>46149</v>
      </c>
      <c r="G1274" s="103"/>
      <c r="H1274" s="102" t="s">
        <v>1256</v>
      </c>
      <c r="I1274" s="9">
        <v>1</v>
      </c>
      <c r="J1274" s="9">
        <v>48</v>
      </c>
      <c r="K1274" s="100">
        <f t="shared" si="161"/>
        <v>48</v>
      </c>
      <c r="L1274" s="78">
        <v>46142</v>
      </c>
      <c r="M1274" s="103"/>
      <c r="N1274" s="93" t="s">
        <v>617</v>
      </c>
      <c r="O1274" s="94">
        <v>46141</v>
      </c>
      <c r="P1274" s="104">
        <f t="shared" si="162"/>
        <v>48</v>
      </c>
      <c r="Q1274" s="104">
        <f t="shared" si="163"/>
        <v>48</v>
      </c>
      <c r="R1274" s="104"/>
      <c r="S1274" s="93" t="s">
        <v>618</v>
      </c>
      <c r="T1274" s="94">
        <v>46156</v>
      </c>
      <c r="U1274" s="104">
        <f t="shared" si="164"/>
        <v>48</v>
      </c>
      <c r="V1274" s="104">
        <f t="shared" si="165"/>
        <v>1</v>
      </c>
      <c r="W1274" s="103">
        <f t="shared" si="166"/>
        <v>48</v>
      </c>
      <c r="X1274" s="93" t="s">
        <v>89</v>
      </c>
      <c r="Y1274" s="105" t="s">
        <v>84</v>
      </c>
      <c r="Z1274" s="105" t="s">
        <v>619</v>
      </c>
    </row>
    <row r="1275" spans="1:26" s="105" customFormat="1" ht="15" customHeight="1">
      <c r="A1275" s="99">
        <f t="shared" si="167"/>
        <v>1273</v>
      </c>
      <c r="B1275" s="75" t="s">
        <v>1187</v>
      </c>
      <c r="C1275" s="100" t="str">
        <f>IF($B1275&lt;&gt;"",_xlfn.IFNA(VLOOKUP($B1275,'Node Details'!$B:$U,C$1,0),"Check"),"")</f>
        <v>0000CM321-CM3210104</v>
      </c>
      <c r="D1275" s="100" t="str">
        <f>IF($B1275&lt;&gt;"",_xlfn.IFNA(VLOOKUP($B1275,'Node Details'!$B:$U,D$1,0),"Check"),"")</f>
        <v>CM3</v>
      </c>
      <c r="E1275" s="100" t="str">
        <f>IF($B1275&lt;&gt;"",_xlfn.IFNA(VLOOKUP($B1275,'Node Details'!$B:$U,E$1,0),"Check"),"")</f>
        <v>Airtel</v>
      </c>
      <c r="F1275" s="101">
        <v>46149</v>
      </c>
      <c r="G1275" s="103"/>
      <c r="H1275" s="102" t="s">
        <v>1256</v>
      </c>
      <c r="I1275" s="9">
        <v>1</v>
      </c>
      <c r="J1275" s="9">
        <v>48</v>
      </c>
      <c r="K1275" s="100">
        <f t="shared" si="161"/>
        <v>48</v>
      </c>
      <c r="L1275" s="78">
        <v>46142</v>
      </c>
      <c r="M1275" s="103"/>
      <c r="N1275" s="93" t="s">
        <v>617</v>
      </c>
      <c r="O1275" s="94">
        <v>46141</v>
      </c>
      <c r="P1275" s="104">
        <f t="shared" si="162"/>
        <v>48</v>
      </c>
      <c r="Q1275" s="104">
        <f t="shared" si="163"/>
        <v>48</v>
      </c>
      <c r="R1275" s="104"/>
      <c r="S1275" s="93" t="s">
        <v>618</v>
      </c>
      <c r="T1275" s="94">
        <v>46156</v>
      </c>
      <c r="U1275" s="104">
        <f t="shared" si="164"/>
        <v>48</v>
      </c>
      <c r="V1275" s="104">
        <f t="shared" si="165"/>
        <v>1</v>
      </c>
      <c r="W1275" s="103">
        <f t="shared" si="166"/>
        <v>48</v>
      </c>
      <c r="X1275" s="93" t="s">
        <v>89</v>
      </c>
      <c r="Y1275" s="105" t="s">
        <v>84</v>
      </c>
      <c r="Z1275" s="105" t="s">
        <v>619</v>
      </c>
    </row>
    <row r="1276" spans="1:26" s="105" customFormat="1" ht="15" customHeight="1">
      <c r="A1276" s="99">
        <f t="shared" si="167"/>
        <v>1274</v>
      </c>
      <c r="B1276" s="75" t="s">
        <v>1188</v>
      </c>
      <c r="C1276" s="100" t="str">
        <f>IF($B1276&lt;&gt;"",_xlfn.IFNA(VLOOKUP($B1276,'Node Details'!$B:$U,C$1,0),"Check"),"")</f>
        <v>0000CM321-CM3210104</v>
      </c>
      <c r="D1276" s="100" t="str">
        <f>IF($B1276&lt;&gt;"",_xlfn.IFNA(VLOOKUP($B1276,'Node Details'!$B:$U,D$1,0),"Check"),"")</f>
        <v>CM3</v>
      </c>
      <c r="E1276" s="100" t="str">
        <f>IF($B1276&lt;&gt;"",_xlfn.IFNA(VLOOKUP($B1276,'Node Details'!$B:$U,E$1,0),"Check"),"")</f>
        <v>Airtel</v>
      </c>
      <c r="F1276" s="101">
        <v>46149</v>
      </c>
      <c r="G1276" s="103"/>
      <c r="H1276" s="102" t="s">
        <v>1256</v>
      </c>
      <c r="I1276" s="9">
        <v>1</v>
      </c>
      <c r="J1276" s="9">
        <v>48</v>
      </c>
      <c r="K1276" s="100">
        <f t="shared" si="161"/>
        <v>48</v>
      </c>
      <c r="L1276" s="78">
        <v>46142</v>
      </c>
      <c r="M1276" s="103"/>
      <c r="N1276" s="93" t="s">
        <v>617</v>
      </c>
      <c r="O1276" s="94">
        <v>46141</v>
      </c>
      <c r="P1276" s="104">
        <f t="shared" si="162"/>
        <v>48</v>
      </c>
      <c r="Q1276" s="104">
        <f t="shared" si="163"/>
        <v>48</v>
      </c>
      <c r="R1276" s="104"/>
      <c r="S1276" s="93" t="s">
        <v>618</v>
      </c>
      <c r="T1276" s="94">
        <v>46156</v>
      </c>
      <c r="U1276" s="104">
        <f t="shared" si="164"/>
        <v>48</v>
      </c>
      <c r="V1276" s="104">
        <f t="shared" si="165"/>
        <v>1</v>
      </c>
      <c r="W1276" s="103">
        <f t="shared" si="166"/>
        <v>48</v>
      </c>
      <c r="X1276" s="93" t="s">
        <v>89</v>
      </c>
      <c r="Y1276" s="105" t="s">
        <v>84</v>
      </c>
      <c r="Z1276" s="105" t="s">
        <v>619</v>
      </c>
    </row>
    <row r="1277" spans="1:26" s="105" customFormat="1" ht="15" customHeight="1">
      <c r="A1277" s="99">
        <f t="shared" si="167"/>
        <v>1275</v>
      </c>
      <c r="B1277" s="75" t="s">
        <v>1189</v>
      </c>
      <c r="C1277" s="100" t="str">
        <f>IF($B1277&lt;&gt;"",_xlfn.IFNA(VLOOKUP($B1277,'Node Details'!$B:$U,C$1,0),"Check"),"")</f>
        <v>0000CM321-CM3210104</v>
      </c>
      <c r="D1277" s="100" t="str">
        <f>IF($B1277&lt;&gt;"",_xlfn.IFNA(VLOOKUP($B1277,'Node Details'!$B:$U,D$1,0),"Check"),"")</f>
        <v>CM3</v>
      </c>
      <c r="E1277" s="100" t="str">
        <f>IF($B1277&lt;&gt;"",_xlfn.IFNA(VLOOKUP($B1277,'Node Details'!$B:$U,E$1,0),"Check"),"")</f>
        <v>Airtel</v>
      </c>
      <c r="F1277" s="101">
        <v>46149</v>
      </c>
      <c r="G1277" s="103"/>
      <c r="H1277" s="102" t="s">
        <v>1256</v>
      </c>
      <c r="I1277" s="9">
        <v>1</v>
      </c>
      <c r="J1277" s="9">
        <v>48</v>
      </c>
      <c r="K1277" s="100">
        <f t="shared" si="161"/>
        <v>48</v>
      </c>
      <c r="L1277" s="78">
        <v>46142</v>
      </c>
      <c r="M1277" s="103"/>
      <c r="N1277" s="93" t="s">
        <v>617</v>
      </c>
      <c r="O1277" s="94">
        <v>46141</v>
      </c>
      <c r="P1277" s="104">
        <f t="shared" si="162"/>
        <v>48</v>
      </c>
      <c r="Q1277" s="104">
        <f t="shared" si="163"/>
        <v>48</v>
      </c>
      <c r="R1277" s="104"/>
      <c r="S1277" s="93" t="s">
        <v>618</v>
      </c>
      <c r="T1277" s="94">
        <v>46156</v>
      </c>
      <c r="U1277" s="104">
        <f t="shared" si="164"/>
        <v>48</v>
      </c>
      <c r="V1277" s="104">
        <f t="shared" si="165"/>
        <v>1</v>
      </c>
      <c r="W1277" s="103">
        <f t="shared" si="166"/>
        <v>48</v>
      </c>
      <c r="X1277" s="93" t="s">
        <v>89</v>
      </c>
      <c r="Y1277" s="105" t="s">
        <v>84</v>
      </c>
      <c r="Z1277" s="105" t="s">
        <v>619</v>
      </c>
    </row>
    <row r="1278" spans="1:26" s="105" customFormat="1" ht="15" customHeight="1">
      <c r="A1278" s="99">
        <f t="shared" si="167"/>
        <v>1276</v>
      </c>
      <c r="B1278" s="75" t="s">
        <v>773</v>
      </c>
      <c r="C1278" s="100" t="str">
        <f>IF($B1278&lt;&gt;"",_xlfn.IFNA(VLOOKUP($B1278,'Node Details'!$B:$U,C$1,0),"Check"),"")</f>
        <v>0000CM321-CM3210104</v>
      </c>
      <c r="D1278" s="100" t="str">
        <f>IF($B1278&lt;&gt;"",_xlfn.IFNA(VLOOKUP($B1278,'Node Details'!$B:$U,D$1,0),"Check"),"")</f>
        <v>CM3</v>
      </c>
      <c r="E1278" s="100" t="str">
        <f>IF($B1278&lt;&gt;"",_xlfn.IFNA(VLOOKUP($B1278,'Node Details'!$B:$U,E$1,0),"Check"),"")</f>
        <v>Airtel</v>
      </c>
      <c r="F1278" s="101">
        <v>46149</v>
      </c>
      <c r="G1278" s="103"/>
      <c r="H1278" s="102" t="s">
        <v>1256</v>
      </c>
      <c r="I1278" s="9">
        <v>1</v>
      </c>
      <c r="J1278" s="9">
        <v>48</v>
      </c>
      <c r="K1278" s="100">
        <f t="shared" ref="K1278:K1341" si="168">IF(I1278&lt;&gt;"",J1278*I1278,0)</f>
        <v>48</v>
      </c>
      <c r="L1278" s="78">
        <v>46142</v>
      </c>
      <c r="M1278" s="103"/>
      <c r="N1278" s="93" t="s">
        <v>617</v>
      </c>
      <c r="O1278" s="94">
        <v>46141</v>
      </c>
      <c r="P1278" s="104">
        <f t="shared" ref="P1278:P1341" si="169">J1278</f>
        <v>48</v>
      </c>
      <c r="Q1278" s="104">
        <f t="shared" ref="Q1278:Q1341" si="170">P1278*I1278</f>
        <v>48</v>
      </c>
      <c r="R1278" s="104"/>
      <c r="S1278" s="93" t="s">
        <v>618</v>
      </c>
      <c r="T1278" s="94">
        <v>46156</v>
      </c>
      <c r="U1278" s="104">
        <f t="shared" ref="U1278:U1341" si="171">J1278</f>
        <v>48</v>
      </c>
      <c r="V1278" s="104">
        <f t="shared" ref="V1278:V1341" si="172">I1278</f>
        <v>1</v>
      </c>
      <c r="W1278" s="103">
        <f t="shared" ref="W1278:W1341" si="173">IF(V1278&lt;&gt;"",V1278*U1278,0)</f>
        <v>48</v>
      </c>
      <c r="X1278" s="93" t="s">
        <v>89</v>
      </c>
      <c r="Y1278" s="105" t="s">
        <v>84</v>
      </c>
      <c r="Z1278" s="105" t="s">
        <v>619</v>
      </c>
    </row>
    <row r="1279" spans="1:26" s="105" customFormat="1" ht="15" customHeight="1">
      <c r="A1279" s="99">
        <f t="shared" si="167"/>
        <v>1277</v>
      </c>
      <c r="B1279" s="75" t="s">
        <v>775</v>
      </c>
      <c r="C1279" s="100" t="str">
        <f>IF($B1279&lt;&gt;"",_xlfn.IFNA(VLOOKUP($B1279,'Node Details'!$B:$U,C$1,0),"Check"),"")</f>
        <v>000000CM3-0000CM325</v>
      </c>
      <c r="D1279" s="100" t="str">
        <f>IF($B1279&lt;&gt;"",_xlfn.IFNA(VLOOKUP($B1279,'Node Details'!$B:$U,D$1,0),"Check"),"")</f>
        <v>CM3</v>
      </c>
      <c r="E1279" s="100" t="str">
        <f>IF($B1279&lt;&gt;"",_xlfn.IFNA(VLOOKUP($B1279,'Node Details'!$B:$U,E$1,0),"Check"),"")</f>
        <v>Airtel</v>
      </c>
      <c r="F1279" s="101">
        <v>46149</v>
      </c>
      <c r="G1279" s="103"/>
      <c r="H1279" s="102" t="s">
        <v>1256</v>
      </c>
      <c r="I1279" s="9">
        <v>1</v>
      </c>
      <c r="J1279" s="9">
        <v>48</v>
      </c>
      <c r="K1279" s="100">
        <f t="shared" si="168"/>
        <v>48</v>
      </c>
      <c r="L1279" s="78">
        <v>46142</v>
      </c>
      <c r="M1279" s="103"/>
      <c r="N1279" s="93" t="s">
        <v>617</v>
      </c>
      <c r="O1279" s="94">
        <v>46141</v>
      </c>
      <c r="P1279" s="104">
        <f t="shared" si="169"/>
        <v>48</v>
      </c>
      <c r="Q1279" s="104">
        <f t="shared" si="170"/>
        <v>48</v>
      </c>
      <c r="R1279" s="104"/>
      <c r="S1279" s="93" t="s">
        <v>618</v>
      </c>
      <c r="T1279" s="94">
        <v>46156</v>
      </c>
      <c r="U1279" s="104">
        <f t="shared" si="171"/>
        <v>48</v>
      </c>
      <c r="V1279" s="104">
        <f t="shared" si="172"/>
        <v>1</v>
      </c>
      <c r="W1279" s="103">
        <f t="shared" si="173"/>
        <v>48</v>
      </c>
      <c r="X1279" s="93" t="s">
        <v>89</v>
      </c>
      <c r="Y1279" s="105" t="s">
        <v>84</v>
      </c>
      <c r="Z1279" s="105" t="s">
        <v>619</v>
      </c>
    </row>
    <row r="1280" spans="1:26" s="105" customFormat="1" ht="15" customHeight="1">
      <c r="A1280" s="99">
        <f t="shared" si="167"/>
        <v>1278</v>
      </c>
      <c r="B1280" s="75" t="s">
        <v>1190</v>
      </c>
      <c r="C1280" s="100" t="str">
        <f>IF($B1280&lt;&gt;"",_xlfn.IFNA(VLOOKUP($B1280,'Node Details'!$B:$U,C$1,0),"Check"),"")</f>
        <v>0000CM322-CM3220108</v>
      </c>
      <c r="D1280" s="100" t="str">
        <f>IF($B1280&lt;&gt;"",_xlfn.IFNA(VLOOKUP($B1280,'Node Details'!$B:$U,D$1,0),"Check"),"")</f>
        <v>CM3</v>
      </c>
      <c r="E1280" s="100" t="str">
        <f>IF($B1280&lt;&gt;"",_xlfn.IFNA(VLOOKUP($B1280,'Node Details'!$B:$U,E$1,0),"Check"),"")</f>
        <v>Airtel</v>
      </c>
      <c r="F1280" s="101">
        <v>46149</v>
      </c>
      <c r="G1280" s="103"/>
      <c r="H1280" s="102" t="s">
        <v>1256</v>
      </c>
      <c r="I1280" s="9">
        <v>1</v>
      </c>
      <c r="J1280" s="9">
        <v>48</v>
      </c>
      <c r="K1280" s="100">
        <f t="shared" si="168"/>
        <v>48</v>
      </c>
      <c r="L1280" s="78">
        <v>46142</v>
      </c>
      <c r="M1280" s="103"/>
      <c r="N1280" s="93" t="s">
        <v>617</v>
      </c>
      <c r="O1280" s="94">
        <v>46141</v>
      </c>
      <c r="P1280" s="104">
        <f t="shared" si="169"/>
        <v>48</v>
      </c>
      <c r="Q1280" s="104">
        <f t="shared" si="170"/>
        <v>48</v>
      </c>
      <c r="R1280" s="104"/>
      <c r="S1280" s="93" t="s">
        <v>618</v>
      </c>
      <c r="T1280" s="94">
        <v>46156</v>
      </c>
      <c r="U1280" s="104">
        <f t="shared" si="171"/>
        <v>48</v>
      </c>
      <c r="V1280" s="104">
        <f t="shared" si="172"/>
        <v>1</v>
      </c>
      <c r="W1280" s="103">
        <f t="shared" si="173"/>
        <v>48</v>
      </c>
      <c r="X1280" s="93" t="s">
        <v>89</v>
      </c>
      <c r="Y1280" s="105" t="s">
        <v>84</v>
      </c>
      <c r="Z1280" s="105" t="s">
        <v>619</v>
      </c>
    </row>
    <row r="1281" spans="1:26" s="105" customFormat="1" ht="15" customHeight="1">
      <c r="A1281" s="99">
        <f t="shared" si="167"/>
        <v>1279</v>
      </c>
      <c r="B1281" s="75" t="s">
        <v>1191</v>
      </c>
      <c r="C1281" s="100" t="str">
        <f>IF($B1281&lt;&gt;"",_xlfn.IFNA(VLOOKUP($B1281,'Node Details'!$B:$U,C$1,0),"Check"),"")</f>
        <v>0000CM322-CM3220108</v>
      </c>
      <c r="D1281" s="100" t="str">
        <f>IF($B1281&lt;&gt;"",_xlfn.IFNA(VLOOKUP($B1281,'Node Details'!$B:$U,D$1,0),"Check"),"")</f>
        <v>CM3</v>
      </c>
      <c r="E1281" s="100" t="str">
        <f>IF($B1281&lt;&gt;"",_xlfn.IFNA(VLOOKUP($B1281,'Node Details'!$B:$U,E$1,0),"Check"),"")</f>
        <v>Airtel</v>
      </c>
      <c r="F1281" s="101">
        <v>46149</v>
      </c>
      <c r="G1281" s="103"/>
      <c r="H1281" s="102" t="s">
        <v>1256</v>
      </c>
      <c r="I1281" s="9">
        <v>1</v>
      </c>
      <c r="J1281" s="9">
        <v>48</v>
      </c>
      <c r="K1281" s="100">
        <f t="shared" si="168"/>
        <v>48</v>
      </c>
      <c r="L1281" s="78">
        <v>46142</v>
      </c>
      <c r="M1281" s="103"/>
      <c r="N1281" s="93" t="s">
        <v>617</v>
      </c>
      <c r="O1281" s="94">
        <v>46141</v>
      </c>
      <c r="P1281" s="104">
        <f t="shared" si="169"/>
        <v>48</v>
      </c>
      <c r="Q1281" s="104">
        <f t="shared" si="170"/>
        <v>48</v>
      </c>
      <c r="R1281" s="104"/>
      <c r="S1281" s="93" t="s">
        <v>618</v>
      </c>
      <c r="T1281" s="94">
        <v>46156</v>
      </c>
      <c r="U1281" s="104">
        <f t="shared" si="171"/>
        <v>48</v>
      </c>
      <c r="V1281" s="104">
        <f t="shared" si="172"/>
        <v>1</v>
      </c>
      <c r="W1281" s="103">
        <f t="shared" si="173"/>
        <v>48</v>
      </c>
      <c r="X1281" s="93" t="s">
        <v>89</v>
      </c>
      <c r="Y1281" s="105" t="s">
        <v>84</v>
      </c>
      <c r="Z1281" s="105" t="s">
        <v>619</v>
      </c>
    </row>
    <row r="1282" spans="1:26" s="105" customFormat="1" ht="15" customHeight="1">
      <c r="A1282" s="99">
        <f t="shared" si="167"/>
        <v>1280</v>
      </c>
      <c r="B1282" s="75" t="s">
        <v>1192</v>
      </c>
      <c r="C1282" s="100" t="str">
        <f>IF($B1282&lt;&gt;"",_xlfn.IFNA(VLOOKUP($B1282,'Node Details'!$B:$U,C$1,0),"Check"),"")</f>
        <v>0000CM322-CM3220108</v>
      </c>
      <c r="D1282" s="100" t="str">
        <f>IF($B1282&lt;&gt;"",_xlfn.IFNA(VLOOKUP($B1282,'Node Details'!$B:$U,D$1,0),"Check"),"")</f>
        <v>CM3</v>
      </c>
      <c r="E1282" s="100" t="str">
        <f>IF($B1282&lt;&gt;"",_xlfn.IFNA(VLOOKUP($B1282,'Node Details'!$B:$U,E$1,0),"Check"),"")</f>
        <v>Airtel</v>
      </c>
      <c r="F1282" s="101">
        <v>46149</v>
      </c>
      <c r="G1282" s="103"/>
      <c r="H1282" s="102" t="s">
        <v>1256</v>
      </c>
      <c r="I1282" s="9">
        <v>1</v>
      </c>
      <c r="J1282" s="9">
        <v>48</v>
      </c>
      <c r="K1282" s="100">
        <f t="shared" si="168"/>
        <v>48</v>
      </c>
      <c r="L1282" s="78">
        <v>46142</v>
      </c>
      <c r="M1282" s="103"/>
      <c r="N1282" s="93" t="s">
        <v>617</v>
      </c>
      <c r="O1282" s="94">
        <v>46141</v>
      </c>
      <c r="P1282" s="104">
        <f t="shared" si="169"/>
        <v>48</v>
      </c>
      <c r="Q1282" s="104">
        <f t="shared" si="170"/>
        <v>48</v>
      </c>
      <c r="R1282" s="104"/>
      <c r="S1282" s="93" t="s">
        <v>618</v>
      </c>
      <c r="T1282" s="94">
        <v>46156</v>
      </c>
      <c r="U1282" s="104">
        <f t="shared" si="171"/>
        <v>48</v>
      </c>
      <c r="V1282" s="104">
        <f t="shared" si="172"/>
        <v>1</v>
      </c>
      <c r="W1282" s="103">
        <f t="shared" si="173"/>
        <v>48</v>
      </c>
      <c r="X1282" s="93" t="s">
        <v>89</v>
      </c>
      <c r="Y1282" s="105" t="s">
        <v>84</v>
      </c>
      <c r="Z1282" s="105" t="s">
        <v>619</v>
      </c>
    </row>
    <row r="1283" spans="1:26" s="105" customFormat="1" ht="15" customHeight="1">
      <c r="A1283" s="99">
        <f t="shared" si="167"/>
        <v>1281</v>
      </c>
      <c r="B1283" s="75" t="s">
        <v>776</v>
      </c>
      <c r="C1283" s="100" t="str">
        <f>IF($B1283&lt;&gt;"",_xlfn.IFNA(VLOOKUP($B1283,'Node Details'!$B:$U,C$1,0),"Check"),"")</f>
        <v>0000CM322-CM3220108</v>
      </c>
      <c r="D1283" s="100" t="str">
        <f>IF($B1283&lt;&gt;"",_xlfn.IFNA(VLOOKUP($B1283,'Node Details'!$B:$U,D$1,0),"Check"),"")</f>
        <v>CM3</v>
      </c>
      <c r="E1283" s="100" t="str">
        <f>IF($B1283&lt;&gt;"",_xlfn.IFNA(VLOOKUP($B1283,'Node Details'!$B:$U,E$1,0),"Check"),"")</f>
        <v>Airtel</v>
      </c>
      <c r="F1283" s="101">
        <v>46149</v>
      </c>
      <c r="G1283" s="103"/>
      <c r="H1283" s="102" t="s">
        <v>1256</v>
      </c>
      <c r="I1283" s="9">
        <v>1</v>
      </c>
      <c r="J1283" s="9">
        <v>48</v>
      </c>
      <c r="K1283" s="100">
        <f t="shared" si="168"/>
        <v>48</v>
      </c>
      <c r="L1283" s="78">
        <v>46142</v>
      </c>
      <c r="M1283" s="103"/>
      <c r="N1283" s="93" t="s">
        <v>617</v>
      </c>
      <c r="O1283" s="94">
        <v>46141</v>
      </c>
      <c r="P1283" s="104">
        <f t="shared" si="169"/>
        <v>48</v>
      </c>
      <c r="Q1283" s="104">
        <f t="shared" si="170"/>
        <v>48</v>
      </c>
      <c r="R1283" s="104"/>
      <c r="S1283" s="93" t="s">
        <v>618</v>
      </c>
      <c r="T1283" s="94">
        <v>46156</v>
      </c>
      <c r="U1283" s="104">
        <f t="shared" si="171"/>
        <v>48</v>
      </c>
      <c r="V1283" s="104">
        <f t="shared" si="172"/>
        <v>1</v>
      </c>
      <c r="W1283" s="103">
        <f t="shared" si="173"/>
        <v>48</v>
      </c>
      <c r="X1283" s="93" t="s">
        <v>89</v>
      </c>
      <c r="Y1283" s="105" t="s">
        <v>84</v>
      </c>
      <c r="Z1283" s="105" t="s">
        <v>619</v>
      </c>
    </row>
    <row r="1284" spans="1:26" s="105" customFormat="1" ht="15" customHeight="1">
      <c r="A1284" s="99">
        <f t="shared" si="167"/>
        <v>1282</v>
      </c>
      <c r="B1284" s="75" t="s">
        <v>1193</v>
      </c>
      <c r="C1284" s="100" t="str">
        <f>IF($B1284&lt;&gt;"",_xlfn.IFNA(VLOOKUP($B1284,'Node Details'!$B:$U,C$1,0),"Check"),"")</f>
        <v>0000CM322-CM3220104</v>
      </c>
      <c r="D1284" s="100" t="str">
        <f>IF($B1284&lt;&gt;"",_xlfn.IFNA(VLOOKUP($B1284,'Node Details'!$B:$U,D$1,0),"Check"),"")</f>
        <v>CM3</v>
      </c>
      <c r="E1284" s="100" t="str">
        <f>IF($B1284&lt;&gt;"",_xlfn.IFNA(VLOOKUP($B1284,'Node Details'!$B:$U,E$1,0),"Check"),"")</f>
        <v>Airtel</v>
      </c>
      <c r="F1284" s="101">
        <v>46149</v>
      </c>
      <c r="G1284" s="103"/>
      <c r="H1284" s="102" t="s">
        <v>1256</v>
      </c>
      <c r="I1284" s="9">
        <v>1</v>
      </c>
      <c r="J1284" s="9">
        <v>48</v>
      </c>
      <c r="K1284" s="100">
        <f t="shared" si="168"/>
        <v>48</v>
      </c>
      <c r="L1284" s="78">
        <v>46142</v>
      </c>
      <c r="M1284" s="103"/>
      <c r="N1284" s="93" t="s">
        <v>617</v>
      </c>
      <c r="O1284" s="94">
        <v>46141</v>
      </c>
      <c r="P1284" s="104">
        <f t="shared" si="169"/>
        <v>48</v>
      </c>
      <c r="Q1284" s="104">
        <f t="shared" si="170"/>
        <v>48</v>
      </c>
      <c r="R1284" s="104"/>
      <c r="S1284" s="93" t="s">
        <v>618</v>
      </c>
      <c r="T1284" s="94">
        <v>46156</v>
      </c>
      <c r="U1284" s="104">
        <f t="shared" si="171"/>
        <v>48</v>
      </c>
      <c r="V1284" s="104">
        <f t="shared" si="172"/>
        <v>1</v>
      </c>
      <c r="W1284" s="103">
        <f t="shared" si="173"/>
        <v>48</v>
      </c>
      <c r="X1284" s="93" t="s">
        <v>89</v>
      </c>
      <c r="Y1284" s="105" t="s">
        <v>84</v>
      </c>
      <c r="Z1284" s="105" t="s">
        <v>619</v>
      </c>
    </row>
    <row r="1285" spans="1:26" s="105" customFormat="1" ht="15" customHeight="1">
      <c r="A1285" s="99">
        <f t="shared" ref="A1285:A1348" si="174">A1284+1</f>
        <v>1283</v>
      </c>
      <c r="B1285" s="75" t="s">
        <v>780</v>
      </c>
      <c r="C1285" s="100" t="str">
        <f>IF($B1285&lt;&gt;"",_xlfn.IFNA(VLOOKUP($B1285,'Node Details'!$B:$U,C$1,0),"Check"),"")</f>
        <v>0000CM322-CM3220104</v>
      </c>
      <c r="D1285" s="100" t="str">
        <f>IF($B1285&lt;&gt;"",_xlfn.IFNA(VLOOKUP($B1285,'Node Details'!$B:$U,D$1,0),"Check"),"")</f>
        <v>CM3</v>
      </c>
      <c r="E1285" s="100" t="str">
        <f>IF($B1285&lt;&gt;"",_xlfn.IFNA(VLOOKUP($B1285,'Node Details'!$B:$U,E$1,0),"Check"),"")</f>
        <v>Airtel</v>
      </c>
      <c r="F1285" s="101">
        <v>46149</v>
      </c>
      <c r="G1285" s="103"/>
      <c r="H1285" s="102" t="s">
        <v>1256</v>
      </c>
      <c r="I1285" s="9">
        <v>1</v>
      </c>
      <c r="J1285" s="9">
        <v>48</v>
      </c>
      <c r="K1285" s="100">
        <f t="shared" si="168"/>
        <v>48</v>
      </c>
      <c r="L1285" s="78">
        <v>46142</v>
      </c>
      <c r="M1285" s="103"/>
      <c r="N1285" s="93" t="s">
        <v>617</v>
      </c>
      <c r="O1285" s="94">
        <v>46141</v>
      </c>
      <c r="P1285" s="104">
        <f t="shared" si="169"/>
        <v>48</v>
      </c>
      <c r="Q1285" s="104">
        <f t="shared" si="170"/>
        <v>48</v>
      </c>
      <c r="R1285" s="104"/>
      <c r="S1285" s="93" t="s">
        <v>618</v>
      </c>
      <c r="T1285" s="94">
        <v>46156</v>
      </c>
      <c r="U1285" s="104">
        <f t="shared" si="171"/>
        <v>48</v>
      </c>
      <c r="V1285" s="104">
        <f t="shared" si="172"/>
        <v>1</v>
      </c>
      <c r="W1285" s="103">
        <f t="shared" si="173"/>
        <v>48</v>
      </c>
      <c r="X1285" s="93" t="s">
        <v>89</v>
      </c>
      <c r="Y1285" s="105" t="s">
        <v>84</v>
      </c>
      <c r="Z1285" s="105" t="s">
        <v>619</v>
      </c>
    </row>
    <row r="1286" spans="1:26" s="105" customFormat="1" ht="15" customHeight="1">
      <c r="A1286" s="99">
        <f t="shared" si="174"/>
        <v>1284</v>
      </c>
      <c r="B1286" s="75" t="s">
        <v>778</v>
      </c>
      <c r="C1286" s="100" t="str">
        <f>IF($B1286&lt;&gt;"",_xlfn.IFNA(VLOOKUP($B1286,'Node Details'!$B:$U,C$1,0),"Check"),"")</f>
        <v>0000CM322-CM3220104</v>
      </c>
      <c r="D1286" s="100" t="str">
        <f>IF($B1286&lt;&gt;"",_xlfn.IFNA(VLOOKUP($B1286,'Node Details'!$B:$U,D$1,0),"Check"),"")</f>
        <v>CM3</v>
      </c>
      <c r="E1286" s="100" t="str">
        <f>IF($B1286&lt;&gt;"",_xlfn.IFNA(VLOOKUP($B1286,'Node Details'!$B:$U,E$1,0),"Check"),"")</f>
        <v>Airtel</v>
      </c>
      <c r="F1286" s="101">
        <v>46149</v>
      </c>
      <c r="G1286" s="103"/>
      <c r="H1286" s="102" t="s">
        <v>1256</v>
      </c>
      <c r="I1286" s="9">
        <v>1</v>
      </c>
      <c r="J1286" s="9">
        <v>48</v>
      </c>
      <c r="K1286" s="100">
        <f t="shared" si="168"/>
        <v>48</v>
      </c>
      <c r="L1286" s="78">
        <v>46142</v>
      </c>
      <c r="M1286" s="103"/>
      <c r="N1286" s="93" t="s">
        <v>617</v>
      </c>
      <c r="O1286" s="94">
        <v>46141</v>
      </c>
      <c r="P1286" s="104">
        <f t="shared" si="169"/>
        <v>48</v>
      </c>
      <c r="Q1286" s="104">
        <f t="shared" si="170"/>
        <v>48</v>
      </c>
      <c r="R1286" s="104"/>
      <c r="S1286" s="93" t="s">
        <v>618</v>
      </c>
      <c r="T1286" s="94">
        <v>46156</v>
      </c>
      <c r="U1286" s="104">
        <f t="shared" si="171"/>
        <v>48</v>
      </c>
      <c r="V1286" s="104">
        <f t="shared" si="172"/>
        <v>1</v>
      </c>
      <c r="W1286" s="103">
        <f t="shared" si="173"/>
        <v>48</v>
      </c>
      <c r="X1286" s="93" t="s">
        <v>89</v>
      </c>
      <c r="Y1286" s="105" t="s">
        <v>84</v>
      </c>
      <c r="Z1286" s="105" t="s">
        <v>619</v>
      </c>
    </row>
    <row r="1287" spans="1:26" s="105" customFormat="1" ht="15" customHeight="1">
      <c r="A1287" s="99">
        <f t="shared" si="174"/>
        <v>1285</v>
      </c>
      <c r="B1287" s="75" t="s">
        <v>781</v>
      </c>
      <c r="C1287" s="100" t="str">
        <f>IF($B1287&lt;&gt;"",_xlfn.IFNA(VLOOKUP($B1287,'Node Details'!$B:$U,C$1,0),"Check"),"")</f>
        <v>CM3220102-CM3220103</v>
      </c>
      <c r="D1287" s="100" t="str">
        <f>IF($B1287&lt;&gt;"",_xlfn.IFNA(VLOOKUP($B1287,'Node Details'!$B:$U,D$1,0),"Check"),"")</f>
        <v>CM3</v>
      </c>
      <c r="E1287" s="100" t="str">
        <f>IF($B1287&lt;&gt;"",_xlfn.IFNA(VLOOKUP($B1287,'Node Details'!$B:$U,E$1,0),"Check"),"")</f>
        <v>Airtel</v>
      </c>
      <c r="F1287" s="101">
        <v>46149</v>
      </c>
      <c r="G1287" s="103"/>
      <c r="H1287" s="102" t="s">
        <v>1256</v>
      </c>
      <c r="I1287" s="9">
        <v>1</v>
      </c>
      <c r="J1287" s="9">
        <v>48</v>
      </c>
      <c r="K1287" s="100">
        <f t="shared" si="168"/>
        <v>48</v>
      </c>
      <c r="L1287" s="78">
        <v>46142</v>
      </c>
      <c r="M1287" s="103"/>
      <c r="N1287" s="93" t="s">
        <v>617</v>
      </c>
      <c r="O1287" s="94">
        <v>46141</v>
      </c>
      <c r="P1287" s="104">
        <f t="shared" si="169"/>
        <v>48</v>
      </c>
      <c r="Q1287" s="104">
        <f t="shared" si="170"/>
        <v>48</v>
      </c>
      <c r="R1287" s="104"/>
      <c r="S1287" s="93" t="s">
        <v>618</v>
      </c>
      <c r="T1287" s="94">
        <v>46156</v>
      </c>
      <c r="U1287" s="104">
        <f t="shared" si="171"/>
        <v>48</v>
      </c>
      <c r="V1287" s="104">
        <f t="shared" si="172"/>
        <v>1</v>
      </c>
      <c r="W1287" s="103">
        <f t="shared" si="173"/>
        <v>48</v>
      </c>
      <c r="X1287" s="93" t="s">
        <v>89</v>
      </c>
      <c r="Y1287" s="105" t="s">
        <v>84</v>
      </c>
      <c r="Z1287" s="105" t="s">
        <v>619</v>
      </c>
    </row>
    <row r="1288" spans="1:26" s="105" customFormat="1" ht="15" customHeight="1">
      <c r="A1288" s="99">
        <f t="shared" si="174"/>
        <v>1286</v>
      </c>
      <c r="B1288" s="75" t="s">
        <v>783</v>
      </c>
      <c r="C1288" s="100" t="str">
        <f>IF($B1288&lt;&gt;"",_xlfn.IFNA(VLOOKUP($B1288,'Node Details'!$B:$U,C$1,0),"Check"),"")</f>
        <v>000000CM3-0000CM325</v>
      </c>
      <c r="D1288" s="100" t="str">
        <f>IF($B1288&lt;&gt;"",_xlfn.IFNA(VLOOKUP($B1288,'Node Details'!$B:$U,D$1,0),"Check"),"")</f>
        <v>CM3</v>
      </c>
      <c r="E1288" s="100" t="str">
        <f>IF($B1288&lt;&gt;"",_xlfn.IFNA(VLOOKUP($B1288,'Node Details'!$B:$U,E$1,0),"Check"),"")</f>
        <v>Airtel</v>
      </c>
      <c r="F1288" s="101">
        <v>46149</v>
      </c>
      <c r="G1288" s="103"/>
      <c r="H1288" s="102" t="s">
        <v>1256</v>
      </c>
      <c r="I1288" s="9">
        <v>1</v>
      </c>
      <c r="J1288" s="9">
        <v>48</v>
      </c>
      <c r="K1288" s="100">
        <f t="shared" si="168"/>
        <v>48</v>
      </c>
      <c r="L1288" s="78">
        <v>46142</v>
      </c>
      <c r="M1288" s="103"/>
      <c r="N1288" s="93" t="s">
        <v>617</v>
      </c>
      <c r="O1288" s="94">
        <v>46141</v>
      </c>
      <c r="P1288" s="104">
        <f t="shared" si="169"/>
        <v>48</v>
      </c>
      <c r="Q1288" s="104">
        <f t="shared" si="170"/>
        <v>48</v>
      </c>
      <c r="R1288" s="104"/>
      <c r="S1288" s="93" t="s">
        <v>618</v>
      </c>
      <c r="T1288" s="94">
        <v>46156</v>
      </c>
      <c r="U1288" s="104">
        <f t="shared" si="171"/>
        <v>48</v>
      </c>
      <c r="V1288" s="104">
        <f t="shared" si="172"/>
        <v>1</v>
      </c>
      <c r="W1288" s="103">
        <f t="shared" si="173"/>
        <v>48</v>
      </c>
      <c r="X1288" s="93" t="s">
        <v>89</v>
      </c>
      <c r="Y1288" s="105" t="s">
        <v>84</v>
      </c>
      <c r="Z1288" s="105" t="s">
        <v>619</v>
      </c>
    </row>
    <row r="1289" spans="1:26" s="105" customFormat="1" ht="15" customHeight="1">
      <c r="A1289" s="99">
        <f t="shared" si="174"/>
        <v>1287</v>
      </c>
      <c r="B1289" s="75" t="s">
        <v>784</v>
      </c>
      <c r="C1289" s="100" t="str">
        <f>IF($B1289&lt;&gt;"",_xlfn.IFNA(VLOOKUP($B1289,'Node Details'!$B:$U,C$1,0),"Check"),"")</f>
        <v>0000CM323-CM3230101</v>
      </c>
      <c r="D1289" s="100" t="str">
        <f>IF($B1289&lt;&gt;"",_xlfn.IFNA(VLOOKUP($B1289,'Node Details'!$B:$U,D$1,0),"Check"),"")</f>
        <v>CM3</v>
      </c>
      <c r="E1289" s="100" t="str">
        <f>IF($B1289&lt;&gt;"",_xlfn.IFNA(VLOOKUP($B1289,'Node Details'!$B:$U,E$1,0),"Check"),"")</f>
        <v>Airtel</v>
      </c>
      <c r="F1289" s="101">
        <v>46149</v>
      </c>
      <c r="G1289" s="103"/>
      <c r="H1289" s="102" t="s">
        <v>1256</v>
      </c>
      <c r="I1289" s="9">
        <v>1</v>
      </c>
      <c r="J1289" s="9">
        <v>48</v>
      </c>
      <c r="K1289" s="100">
        <f t="shared" si="168"/>
        <v>48</v>
      </c>
      <c r="L1289" s="78">
        <v>46142</v>
      </c>
      <c r="M1289" s="103"/>
      <c r="N1289" s="93" t="s">
        <v>617</v>
      </c>
      <c r="O1289" s="94">
        <v>46141</v>
      </c>
      <c r="P1289" s="104">
        <f t="shared" si="169"/>
        <v>48</v>
      </c>
      <c r="Q1289" s="104">
        <f t="shared" si="170"/>
        <v>48</v>
      </c>
      <c r="R1289" s="104"/>
      <c r="S1289" s="93" t="s">
        <v>618</v>
      </c>
      <c r="T1289" s="94">
        <v>46156</v>
      </c>
      <c r="U1289" s="104">
        <f t="shared" si="171"/>
        <v>48</v>
      </c>
      <c r="V1289" s="104">
        <f t="shared" si="172"/>
        <v>1</v>
      </c>
      <c r="W1289" s="103">
        <f t="shared" si="173"/>
        <v>48</v>
      </c>
      <c r="X1289" s="93" t="s">
        <v>89</v>
      </c>
      <c r="Y1289" s="105" t="s">
        <v>84</v>
      </c>
      <c r="Z1289" s="105" t="s">
        <v>619</v>
      </c>
    </row>
    <row r="1290" spans="1:26" s="105" customFormat="1" ht="15" customHeight="1">
      <c r="A1290" s="99">
        <f t="shared" si="174"/>
        <v>1288</v>
      </c>
      <c r="B1290" s="75" t="s">
        <v>1194</v>
      </c>
      <c r="C1290" s="100" t="str">
        <f>IF($B1290&lt;&gt;"",_xlfn.IFNA(VLOOKUP($B1290,'Node Details'!$B:$U,C$1,0),"Check"),"")</f>
        <v>0000CM323-CM3230104</v>
      </c>
      <c r="D1290" s="100" t="str">
        <f>IF($B1290&lt;&gt;"",_xlfn.IFNA(VLOOKUP($B1290,'Node Details'!$B:$U,D$1,0),"Check"),"")</f>
        <v>CM3</v>
      </c>
      <c r="E1290" s="100" t="str">
        <f>IF($B1290&lt;&gt;"",_xlfn.IFNA(VLOOKUP($B1290,'Node Details'!$B:$U,E$1,0),"Check"),"")</f>
        <v>Airtel</v>
      </c>
      <c r="F1290" s="101">
        <v>46149</v>
      </c>
      <c r="G1290" s="103"/>
      <c r="H1290" s="102" t="s">
        <v>1256</v>
      </c>
      <c r="I1290" s="9">
        <v>1</v>
      </c>
      <c r="J1290" s="9">
        <v>48</v>
      </c>
      <c r="K1290" s="100">
        <f t="shared" si="168"/>
        <v>48</v>
      </c>
      <c r="L1290" s="78">
        <v>46142</v>
      </c>
      <c r="M1290" s="103"/>
      <c r="N1290" s="93" t="s">
        <v>617</v>
      </c>
      <c r="O1290" s="94">
        <v>46141</v>
      </c>
      <c r="P1290" s="104">
        <f t="shared" si="169"/>
        <v>48</v>
      </c>
      <c r="Q1290" s="104">
        <f t="shared" si="170"/>
        <v>48</v>
      </c>
      <c r="R1290" s="104"/>
      <c r="S1290" s="93" t="s">
        <v>618</v>
      </c>
      <c r="T1290" s="94">
        <v>46156</v>
      </c>
      <c r="U1290" s="104">
        <f t="shared" si="171"/>
        <v>48</v>
      </c>
      <c r="V1290" s="104">
        <f t="shared" si="172"/>
        <v>1</v>
      </c>
      <c r="W1290" s="103">
        <f t="shared" si="173"/>
        <v>48</v>
      </c>
      <c r="X1290" s="93" t="s">
        <v>89</v>
      </c>
      <c r="Y1290" s="105" t="s">
        <v>84</v>
      </c>
      <c r="Z1290" s="105" t="s">
        <v>619</v>
      </c>
    </row>
    <row r="1291" spans="1:26" s="105" customFormat="1" ht="15" customHeight="1">
      <c r="A1291" s="99">
        <f t="shared" si="174"/>
        <v>1289</v>
      </c>
      <c r="B1291" s="75" t="s">
        <v>1195</v>
      </c>
      <c r="C1291" s="100" t="str">
        <f>IF($B1291&lt;&gt;"",_xlfn.IFNA(VLOOKUP($B1291,'Node Details'!$B:$U,C$1,0),"Check"),"")</f>
        <v>0000CM323-CM3230104</v>
      </c>
      <c r="D1291" s="100" t="str">
        <f>IF($B1291&lt;&gt;"",_xlfn.IFNA(VLOOKUP($B1291,'Node Details'!$B:$U,D$1,0),"Check"),"")</f>
        <v>CM3</v>
      </c>
      <c r="E1291" s="100" t="str">
        <f>IF($B1291&lt;&gt;"",_xlfn.IFNA(VLOOKUP($B1291,'Node Details'!$B:$U,E$1,0),"Check"),"")</f>
        <v>Airtel</v>
      </c>
      <c r="F1291" s="101">
        <v>46149</v>
      </c>
      <c r="G1291" s="103"/>
      <c r="H1291" s="102" t="s">
        <v>1256</v>
      </c>
      <c r="I1291" s="9">
        <v>1</v>
      </c>
      <c r="J1291" s="9">
        <v>48</v>
      </c>
      <c r="K1291" s="100">
        <f t="shared" si="168"/>
        <v>48</v>
      </c>
      <c r="L1291" s="78">
        <v>46142</v>
      </c>
      <c r="M1291" s="103"/>
      <c r="N1291" s="93" t="s">
        <v>617</v>
      </c>
      <c r="O1291" s="94">
        <v>46141</v>
      </c>
      <c r="P1291" s="104">
        <f t="shared" si="169"/>
        <v>48</v>
      </c>
      <c r="Q1291" s="104">
        <f t="shared" si="170"/>
        <v>48</v>
      </c>
      <c r="R1291" s="104"/>
      <c r="S1291" s="93" t="s">
        <v>618</v>
      </c>
      <c r="T1291" s="94">
        <v>46156</v>
      </c>
      <c r="U1291" s="104">
        <f t="shared" si="171"/>
        <v>48</v>
      </c>
      <c r="V1291" s="104">
        <f t="shared" si="172"/>
        <v>1</v>
      </c>
      <c r="W1291" s="103">
        <f t="shared" si="173"/>
        <v>48</v>
      </c>
      <c r="X1291" s="93" t="s">
        <v>89</v>
      </c>
      <c r="Y1291" s="105" t="s">
        <v>84</v>
      </c>
      <c r="Z1291" s="105" t="s">
        <v>619</v>
      </c>
    </row>
    <row r="1292" spans="1:26" s="105" customFormat="1" ht="15" customHeight="1">
      <c r="A1292" s="99">
        <f t="shared" si="174"/>
        <v>1290</v>
      </c>
      <c r="B1292" s="75" t="s">
        <v>786</v>
      </c>
      <c r="C1292" s="100" t="str">
        <f>IF($B1292&lt;&gt;"",_xlfn.IFNA(VLOOKUP($B1292,'Node Details'!$B:$U,C$1,0),"Check"),"")</f>
        <v>0000CM323-CM3230104</v>
      </c>
      <c r="D1292" s="100" t="str">
        <f>IF($B1292&lt;&gt;"",_xlfn.IFNA(VLOOKUP($B1292,'Node Details'!$B:$U,D$1,0),"Check"),"")</f>
        <v>CM3</v>
      </c>
      <c r="E1292" s="100" t="str">
        <f>IF($B1292&lt;&gt;"",_xlfn.IFNA(VLOOKUP($B1292,'Node Details'!$B:$U,E$1,0),"Check"),"")</f>
        <v>Airtel</v>
      </c>
      <c r="F1292" s="101">
        <v>46149</v>
      </c>
      <c r="G1292" s="103"/>
      <c r="H1292" s="102" t="s">
        <v>1256</v>
      </c>
      <c r="I1292" s="9">
        <v>1</v>
      </c>
      <c r="J1292" s="9">
        <v>48</v>
      </c>
      <c r="K1292" s="100">
        <f t="shared" si="168"/>
        <v>48</v>
      </c>
      <c r="L1292" s="78">
        <v>46142</v>
      </c>
      <c r="M1292" s="103"/>
      <c r="N1292" s="93" t="s">
        <v>617</v>
      </c>
      <c r="O1292" s="94">
        <v>46141</v>
      </c>
      <c r="P1292" s="104">
        <f t="shared" si="169"/>
        <v>48</v>
      </c>
      <c r="Q1292" s="104">
        <f t="shared" si="170"/>
        <v>48</v>
      </c>
      <c r="R1292" s="104"/>
      <c r="S1292" s="93" t="s">
        <v>618</v>
      </c>
      <c r="T1292" s="94">
        <v>46156</v>
      </c>
      <c r="U1292" s="104">
        <f t="shared" si="171"/>
        <v>48</v>
      </c>
      <c r="V1292" s="104">
        <f t="shared" si="172"/>
        <v>1</v>
      </c>
      <c r="W1292" s="103">
        <f t="shared" si="173"/>
        <v>48</v>
      </c>
      <c r="X1292" s="93" t="s">
        <v>89</v>
      </c>
      <c r="Y1292" s="105" t="s">
        <v>84</v>
      </c>
      <c r="Z1292" s="105" t="s">
        <v>619</v>
      </c>
    </row>
    <row r="1293" spans="1:26" s="105" customFormat="1" ht="15" customHeight="1">
      <c r="A1293" s="99">
        <f t="shared" si="174"/>
        <v>1291</v>
      </c>
      <c r="B1293" s="75" t="s">
        <v>1196</v>
      </c>
      <c r="C1293" s="100" t="str">
        <f>IF($B1293&lt;&gt;"",_xlfn.IFNA(VLOOKUP($B1293,'Node Details'!$B:$U,C$1,0),"Check"),"")</f>
        <v>0000CM323-CM3230107</v>
      </c>
      <c r="D1293" s="100" t="str">
        <f>IF($B1293&lt;&gt;"",_xlfn.IFNA(VLOOKUP($B1293,'Node Details'!$B:$U,D$1,0),"Check"),"")</f>
        <v>CM3</v>
      </c>
      <c r="E1293" s="100" t="str">
        <f>IF($B1293&lt;&gt;"",_xlfn.IFNA(VLOOKUP($B1293,'Node Details'!$B:$U,E$1,0),"Check"),"")</f>
        <v>Airtel</v>
      </c>
      <c r="F1293" s="101">
        <v>46149</v>
      </c>
      <c r="G1293" s="103"/>
      <c r="H1293" s="102" t="s">
        <v>1256</v>
      </c>
      <c r="I1293" s="9">
        <v>1</v>
      </c>
      <c r="J1293" s="9">
        <v>48</v>
      </c>
      <c r="K1293" s="100">
        <f t="shared" si="168"/>
        <v>48</v>
      </c>
      <c r="L1293" s="78">
        <v>46142</v>
      </c>
      <c r="M1293" s="103"/>
      <c r="N1293" s="93" t="s">
        <v>617</v>
      </c>
      <c r="O1293" s="94">
        <v>46141</v>
      </c>
      <c r="P1293" s="104">
        <f t="shared" si="169"/>
        <v>48</v>
      </c>
      <c r="Q1293" s="104">
        <f t="shared" si="170"/>
        <v>48</v>
      </c>
      <c r="R1293" s="104"/>
      <c r="S1293" s="93" t="s">
        <v>618</v>
      </c>
      <c r="T1293" s="94">
        <v>46156</v>
      </c>
      <c r="U1293" s="104">
        <f t="shared" si="171"/>
        <v>48</v>
      </c>
      <c r="V1293" s="104">
        <f t="shared" si="172"/>
        <v>1</v>
      </c>
      <c r="W1293" s="103">
        <f t="shared" si="173"/>
        <v>48</v>
      </c>
      <c r="X1293" s="93" t="s">
        <v>89</v>
      </c>
      <c r="Y1293" s="105" t="s">
        <v>84</v>
      </c>
      <c r="Z1293" s="105" t="s">
        <v>619</v>
      </c>
    </row>
    <row r="1294" spans="1:26" s="105" customFormat="1" ht="15" customHeight="1">
      <c r="A1294" s="99">
        <f t="shared" si="174"/>
        <v>1292</v>
      </c>
      <c r="B1294" s="75" t="s">
        <v>788</v>
      </c>
      <c r="C1294" s="100" t="str">
        <f>IF($B1294&lt;&gt;"",_xlfn.IFNA(VLOOKUP($B1294,'Node Details'!$B:$U,C$1,0),"Check"),"")</f>
        <v>0000CM323-CM3230107</v>
      </c>
      <c r="D1294" s="100" t="str">
        <f>IF($B1294&lt;&gt;"",_xlfn.IFNA(VLOOKUP($B1294,'Node Details'!$B:$U,D$1,0),"Check"),"")</f>
        <v>CM3</v>
      </c>
      <c r="E1294" s="100" t="str">
        <f>IF($B1294&lt;&gt;"",_xlfn.IFNA(VLOOKUP($B1294,'Node Details'!$B:$U,E$1,0),"Check"),"")</f>
        <v>Airtel</v>
      </c>
      <c r="F1294" s="101">
        <v>46149</v>
      </c>
      <c r="G1294" s="103"/>
      <c r="H1294" s="102" t="s">
        <v>1256</v>
      </c>
      <c r="I1294" s="9">
        <v>1</v>
      </c>
      <c r="J1294" s="9">
        <v>48</v>
      </c>
      <c r="K1294" s="100">
        <f t="shared" si="168"/>
        <v>48</v>
      </c>
      <c r="L1294" s="78">
        <v>46142</v>
      </c>
      <c r="M1294" s="103"/>
      <c r="N1294" s="93" t="s">
        <v>617</v>
      </c>
      <c r="O1294" s="94">
        <v>46141</v>
      </c>
      <c r="P1294" s="104">
        <f t="shared" si="169"/>
        <v>48</v>
      </c>
      <c r="Q1294" s="104">
        <f t="shared" si="170"/>
        <v>48</v>
      </c>
      <c r="R1294" s="104"/>
      <c r="S1294" s="93" t="s">
        <v>618</v>
      </c>
      <c r="T1294" s="94">
        <v>46156</v>
      </c>
      <c r="U1294" s="104">
        <f t="shared" si="171"/>
        <v>48</v>
      </c>
      <c r="V1294" s="104">
        <f t="shared" si="172"/>
        <v>1</v>
      </c>
      <c r="W1294" s="103">
        <f t="shared" si="173"/>
        <v>48</v>
      </c>
      <c r="X1294" s="93" t="s">
        <v>89</v>
      </c>
      <c r="Y1294" s="105" t="s">
        <v>84</v>
      </c>
      <c r="Z1294" s="105" t="s">
        <v>619</v>
      </c>
    </row>
    <row r="1295" spans="1:26" s="105" customFormat="1" ht="15" customHeight="1">
      <c r="A1295" s="99">
        <f t="shared" si="174"/>
        <v>1293</v>
      </c>
      <c r="B1295" s="75" t="s">
        <v>790</v>
      </c>
      <c r="C1295" s="100" t="str">
        <f>IF($B1295&lt;&gt;"",_xlfn.IFNA(VLOOKUP($B1295,'Node Details'!$B:$U,C$1,0),"Check"),"")</f>
        <v>000000CM3-0000CM325</v>
      </c>
      <c r="D1295" s="100" t="str">
        <f>IF($B1295&lt;&gt;"",_xlfn.IFNA(VLOOKUP($B1295,'Node Details'!$B:$U,D$1,0),"Check"),"")</f>
        <v>CM3</v>
      </c>
      <c r="E1295" s="100" t="str">
        <f>IF($B1295&lt;&gt;"",_xlfn.IFNA(VLOOKUP($B1295,'Node Details'!$B:$U,E$1,0),"Check"),"")</f>
        <v>Airtel</v>
      </c>
      <c r="F1295" s="101">
        <v>46149</v>
      </c>
      <c r="G1295" s="103"/>
      <c r="H1295" s="102" t="s">
        <v>1256</v>
      </c>
      <c r="I1295" s="9">
        <v>1</v>
      </c>
      <c r="J1295" s="9">
        <v>48</v>
      </c>
      <c r="K1295" s="100">
        <f t="shared" si="168"/>
        <v>48</v>
      </c>
      <c r="L1295" s="78">
        <v>46142</v>
      </c>
      <c r="M1295" s="103"/>
      <c r="N1295" s="93" t="s">
        <v>617</v>
      </c>
      <c r="O1295" s="94">
        <v>46141</v>
      </c>
      <c r="P1295" s="104">
        <f t="shared" si="169"/>
        <v>48</v>
      </c>
      <c r="Q1295" s="104">
        <f t="shared" si="170"/>
        <v>48</v>
      </c>
      <c r="R1295" s="104"/>
      <c r="S1295" s="93" t="s">
        <v>618</v>
      </c>
      <c r="T1295" s="94">
        <v>46156</v>
      </c>
      <c r="U1295" s="104">
        <f t="shared" si="171"/>
        <v>48</v>
      </c>
      <c r="V1295" s="104">
        <f t="shared" si="172"/>
        <v>1</v>
      </c>
      <c r="W1295" s="103">
        <f t="shared" si="173"/>
        <v>48</v>
      </c>
      <c r="X1295" s="93" t="s">
        <v>89</v>
      </c>
      <c r="Y1295" s="105" t="s">
        <v>84</v>
      </c>
      <c r="Z1295" s="105" t="s">
        <v>619</v>
      </c>
    </row>
    <row r="1296" spans="1:26" s="105" customFormat="1" ht="15" customHeight="1">
      <c r="A1296" s="99">
        <f t="shared" si="174"/>
        <v>1294</v>
      </c>
      <c r="B1296" s="75" t="s">
        <v>791</v>
      </c>
      <c r="C1296" s="100" t="str">
        <f>IF($B1296&lt;&gt;"",_xlfn.IFNA(VLOOKUP($B1296,'Node Details'!$B:$U,C$1,0),"Check"),"")</f>
        <v>0000CM324-CM3240101</v>
      </c>
      <c r="D1296" s="100" t="str">
        <f>IF($B1296&lt;&gt;"",_xlfn.IFNA(VLOOKUP($B1296,'Node Details'!$B:$U,D$1,0),"Check"),"")</f>
        <v>CM3</v>
      </c>
      <c r="E1296" s="100" t="str">
        <f>IF($B1296&lt;&gt;"",_xlfn.IFNA(VLOOKUP($B1296,'Node Details'!$B:$U,E$1,0),"Check"),"")</f>
        <v>Airtel</v>
      </c>
      <c r="F1296" s="101">
        <v>46149</v>
      </c>
      <c r="G1296" s="103"/>
      <c r="H1296" s="102" t="s">
        <v>1256</v>
      </c>
      <c r="I1296" s="9">
        <v>1</v>
      </c>
      <c r="J1296" s="9">
        <v>48</v>
      </c>
      <c r="K1296" s="100">
        <f t="shared" si="168"/>
        <v>48</v>
      </c>
      <c r="L1296" s="78">
        <v>46142</v>
      </c>
      <c r="M1296" s="103"/>
      <c r="N1296" s="93" t="s">
        <v>617</v>
      </c>
      <c r="O1296" s="94">
        <v>46141</v>
      </c>
      <c r="P1296" s="104">
        <f t="shared" si="169"/>
        <v>48</v>
      </c>
      <c r="Q1296" s="104">
        <f t="shared" si="170"/>
        <v>48</v>
      </c>
      <c r="R1296" s="104"/>
      <c r="S1296" s="93" t="s">
        <v>618</v>
      </c>
      <c r="T1296" s="94">
        <v>46156</v>
      </c>
      <c r="U1296" s="104">
        <f t="shared" si="171"/>
        <v>48</v>
      </c>
      <c r="V1296" s="104">
        <f t="shared" si="172"/>
        <v>1</v>
      </c>
      <c r="W1296" s="103">
        <f t="shared" si="173"/>
        <v>48</v>
      </c>
      <c r="X1296" s="93" t="s">
        <v>89</v>
      </c>
      <c r="Y1296" s="105" t="s">
        <v>84</v>
      </c>
      <c r="Z1296" s="105" t="s">
        <v>619</v>
      </c>
    </row>
    <row r="1297" spans="1:26" s="105" customFormat="1" ht="15" customHeight="1">
      <c r="A1297" s="99">
        <f t="shared" si="174"/>
        <v>1295</v>
      </c>
      <c r="B1297" s="75" t="s">
        <v>793</v>
      </c>
      <c r="C1297" s="100" t="str">
        <f>IF($B1297&lt;&gt;"",_xlfn.IFNA(VLOOKUP($B1297,'Node Details'!$B:$U,C$1,0),"Check"),"")</f>
        <v>0000CM324-CM3240102</v>
      </c>
      <c r="D1297" s="100" t="str">
        <f>IF($B1297&lt;&gt;"",_xlfn.IFNA(VLOOKUP($B1297,'Node Details'!$B:$U,D$1,0),"Check"),"")</f>
        <v>CM3</v>
      </c>
      <c r="E1297" s="100" t="str">
        <f>IF($B1297&lt;&gt;"",_xlfn.IFNA(VLOOKUP($B1297,'Node Details'!$B:$U,E$1,0),"Check"),"")</f>
        <v>Airtel</v>
      </c>
      <c r="F1297" s="101">
        <v>46149</v>
      </c>
      <c r="G1297" s="103"/>
      <c r="H1297" s="102" t="s">
        <v>1256</v>
      </c>
      <c r="I1297" s="9">
        <v>1</v>
      </c>
      <c r="J1297" s="9">
        <v>48</v>
      </c>
      <c r="K1297" s="100">
        <f t="shared" si="168"/>
        <v>48</v>
      </c>
      <c r="L1297" s="78">
        <v>46142</v>
      </c>
      <c r="M1297" s="103"/>
      <c r="N1297" s="93" t="s">
        <v>617</v>
      </c>
      <c r="O1297" s="94">
        <v>46141</v>
      </c>
      <c r="P1297" s="104">
        <f t="shared" si="169"/>
        <v>48</v>
      </c>
      <c r="Q1297" s="104">
        <f t="shared" si="170"/>
        <v>48</v>
      </c>
      <c r="R1297" s="104"/>
      <c r="S1297" s="93" t="s">
        <v>618</v>
      </c>
      <c r="T1297" s="94">
        <v>46156</v>
      </c>
      <c r="U1297" s="104">
        <f t="shared" si="171"/>
        <v>48</v>
      </c>
      <c r="V1297" s="104">
        <f t="shared" si="172"/>
        <v>1</v>
      </c>
      <c r="W1297" s="103">
        <f t="shared" si="173"/>
        <v>48</v>
      </c>
      <c r="X1297" s="93" t="s">
        <v>89</v>
      </c>
      <c r="Y1297" s="105" t="s">
        <v>84</v>
      </c>
      <c r="Z1297" s="105" t="s">
        <v>619</v>
      </c>
    </row>
    <row r="1298" spans="1:26" s="105" customFormat="1" ht="15" customHeight="1">
      <c r="A1298" s="99">
        <f t="shared" si="174"/>
        <v>1296</v>
      </c>
      <c r="B1298" s="75" t="s">
        <v>1197</v>
      </c>
      <c r="C1298" s="100" t="str">
        <f>IF($B1298&lt;&gt;"",_xlfn.IFNA(VLOOKUP($B1298,'Node Details'!$B:$U,C$1,0),"Check"),"")</f>
        <v>0000CM324-CM3240106</v>
      </c>
      <c r="D1298" s="100" t="str">
        <f>IF($B1298&lt;&gt;"",_xlfn.IFNA(VLOOKUP($B1298,'Node Details'!$B:$U,D$1,0),"Check"),"")</f>
        <v>CM3</v>
      </c>
      <c r="E1298" s="100" t="str">
        <f>IF($B1298&lt;&gt;"",_xlfn.IFNA(VLOOKUP($B1298,'Node Details'!$B:$U,E$1,0),"Check"),"")</f>
        <v>Airtel</v>
      </c>
      <c r="F1298" s="101">
        <v>46149</v>
      </c>
      <c r="G1298" s="103"/>
      <c r="H1298" s="102" t="s">
        <v>1256</v>
      </c>
      <c r="I1298" s="9">
        <v>1</v>
      </c>
      <c r="J1298" s="9">
        <v>48</v>
      </c>
      <c r="K1298" s="100">
        <f t="shared" si="168"/>
        <v>48</v>
      </c>
      <c r="L1298" s="78">
        <v>46142</v>
      </c>
      <c r="M1298" s="103"/>
      <c r="N1298" s="93" t="s">
        <v>617</v>
      </c>
      <c r="O1298" s="94">
        <v>46141</v>
      </c>
      <c r="P1298" s="104">
        <f t="shared" si="169"/>
        <v>48</v>
      </c>
      <c r="Q1298" s="104">
        <f t="shared" si="170"/>
        <v>48</v>
      </c>
      <c r="R1298" s="104"/>
      <c r="S1298" s="93" t="s">
        <v>618</v>
      </c>
      <c r="T1298" s="94">
        <v>46156</v>
      </c>
      <c r="U1298" s="104">
        <f t="shared" si="171"/>
        <v>48</v>
      </c>
      <c r="V1298" s="104">
        <f t="shared" si="172"/>
        <v>1</v>
      </c>
      <c r="W1298" s="103">
        <f t="shared" si="173"/>
        <v>48</v>
      </c>
      <c r="X1298" s="93" t="s">
        <v>89</v>
      </c>
      <c r="Y1298" s="105" t="s">
        <v>84</v>
      </c>
      <c r="Z1298" s="105" t="s">
        <v>619</v>
      </c>
    </row>
    <row r="1299" spans="1:26" s="105" customFormat="1" ht="15" customHeight="1">
      <c r="A1299" s="99">
        <f t="shared" si="174"/>
        <v>1297</v>
      </c>
      <c r="B1299" s="75" t="s">
        <v>1198</v>
      </c>
      <c r="C1299" s="100" t="str">
        <f>IF($B1299&lt;&gt;"",_xlfn.IFNA(VLOOKUP($B1299,'Node Details'!$B:$U,C$1,0),"Check"),"")</f>
        <v>0000CM324-CM3240106</v>
      </c>
      <c r="D1299" s="100" t="str">
        <f>IF($B1299&lt;&gt;"",_xlfn.IFNA(VLOOKUP($B1299,'Node Details'!$B:$U,D$1,0),"Check"),"")</f>
        <v>CM3</v>
      </c>
      <c r="E1299" s="100" t="str">
        <f>IF($B1299&lt;&gt;"",_xlfn.IFNA(VLOOKUP($B1299,'Node Details'!$B:$U,E$1,0),"Check"),"")</f>
        <v>Airtel</v>
      </c>
      <c r="F1299" s="101">
        <v>46149</v>
      </c>
      <c r="G1299" s="103"/>
      <c r="H1299" s="102" t="s">
        <v>1256</v>
      </c>
      <c r="I1299" s="9">
        <v>1</v>
      </c>
      <c r="J1299" s="9">
        <v>48</v>
      </c>
      <c r="K1299" s="100">
        <f t="shared" si="168"/>
        <v>48</v>
      </c>
      <c r="L1299" s="78">
        <v>46142</v>
      </c>
      <c r="M1299" s="103"/>
      <c r="N1299" s="93" t="s">
        <v>617</v>
      </c>
      <c r="O1299" s="94">
        <v>46141</v>
      </c>
      <c r="P1299" s="104">
        <f t="shared" si="169"/>
        <v>48</v>
      </c>
      <c r="Q1299" s="104">
        <f t="shared" si="170"/>
        <v>48</v>
      </c>
      <c r="R1299" s="104"/>
      <c r="S1299" s="93" t="s">
        <v>618</v>
      </c>
      <c r="T1299" s="94">
        <v>46156</v>
      </c>
      <c r="U1299" s="104">
        <f t="shared" si="171"/>
        <v>48</v>
      </c>
      <c r="V1299" s="104">
        <f t="shared" si="172"/>
        <v>1</v>
      </c>
      <c r="W1299" s="103">
        <f t="shared" si="173"/>
        <v>48</v>
      </c>
      <c r="X1299" s="93" t="s">
        <v>89</v>
      </c>
      <c r="Y1299" s="105" t="s">
        <v>84</v>
      </c>
      <c r="Z1299" s="105" t="s">
        <v>619</v>
      </c>
    </row>
    <row r="1300" spans="1:26" s="105" customFormat="1" ht="15" customHeight="1">
      <c r="A1300" s="99">
        <f t="shared" si="174"/>
        <v>1298</v>
      </c>
      <c r="B1300" s="75" t="s">
        <v>795</v>
      </c>
      <c r="C1300" s="100" t="str">
        <f>IF($B1300&lt;&gt;"",_xlfn.IFNA(VLOOKUP($B1300,'Node Details'!$B:$U,C$1,0),"Check"),"")</f>
        <v>0000CM324-CM3240106</v>
      </c>
      <c r="D1300" s="100" t="str">
        <f>IF($B1300&lt;&gt;"",_xlfn.IFNA(VLOOKUP($B1300,'Node Details'!$B:$U,D$1,0),"Check"),"")</f>
        <v>CM3</v>
      </c>
      <c r="E1300" s="100" t="str">
        <f>IF($B1300&lt;&gt;"",_xlfn.IFNA(VLOOKUP($B1300,'Node Details'!$B:$U,E$1,0),"Check"),"")</f>
        <v>Airtel</v>
      </c>
      <c r="F1300" s="101">
        <v>46149</v>
      </c>
      <c r="G1300" s="103"/>
      <c r="H1300" s="102" t="s">
        <v>1256</v>
      </c>
      <c r="I1300" s="9">
        <v>1</v>
      </c>
      <c r="J1300" s="9">
        <v>48</v>
      </c>
      <c r="K1300" s="100">
        <f t="shared" si="168"/>
        <v>48</v>
      </c>
      <c r="L1300" s="78">
        <v>46142</v>
      </c>
      <c r="M1300" s="103"/>
      <c r="N1300" s="93" t="s">
        <v>617</v>
      </c>
      <c r="O1300" s="94">
        <v>46141</v>
      </c>
      <c r="P1300" s="104">
        <f t="shared" si="169"/>
        <v>48</v>
      </c>
      <c r="Q1300" s="104">
        <f t="shared" si="170"/>
        <v>48</v>
      </c>
      <c r="R1300" s="104"/>
      <c r="S1300" s="93" t="s">
        <v>618</v>
      </c>
      <c r="T1300" s="94">
        <v>46156</v>
      </c>
      <c r="U1300" s="104">
        <f t="shared" si="171"/>
        <v>48</v>
      </c>
      <c r="V1300" s="104">
        <f t="shared" si="172"/>
        <v>1</v>
      </c>
      <c r="W1300" s="103">
        <f t="shared" si="173"/>
        <v>48</v>
      </c>
      <c r="X1300" s="93" t="s">
        <v>89</v>
      </c>
      <c r="Y1300" s="105" t="s">
        <v>84</v>
      </c>
      <c r="Z1300" s="105" t="s">
        <v>619</v>
      </c>
    </row>
    <row r="1301" spans="1:26" s="105" customFormat="1" ht="15" customHeight="1">
      <c r="A1301" s="99">
        <f t="shared" si="174"/>
        <v>1299</v>
      </c>
      <c r="B1301" s="75" t="s">
        <v>621</v>
      </c>
      <c r="C1301" s="100" t="str">
        <f>IF($B1301&lt;&gt;"",_xlfn.IFNA(VLOOKUP($B1301,'Node Details'!$B:$U,C$1,0),"Check"),"")</f>
        <v>000000CM3-0000CM325</v>
      </c>
      <c r="D1301" s="100" t="str">
        <f>IF($B1301&lt;&gt;"",_xlfn.IFNA(VLOOKUP($B1301,'Node Details'!$B:$U,D$1,0),"Check"),"")</f>
        <v>CM3</v>
      </c>
      <c r="E1301" s="100" t="str">
        <f>IF($B1301&lt;&gt;"",_xlfn.IFNA(VLOOKUP($B1301,'Node Details'!$B:$U,E$1,0),"Check"),"")</f>
        <v>Airtel</v>
      </c>
      <c r="F1301" s="101">
        <v>46149</v>
      </c>
      <c r="G1301" s="103"/>
      <c r="H1301" s="102" t="s">
        <v>1256</v>
      </c>
      <c r="I1301" s="9">
        <v>1</v>
      </c>
      <c r="J1301" s="9">
        <v>48</v>
      </c>
      <c r="K1301" s="100">
        <f t="shared" si="168"/>
        <v>48</v>
      </c>
      <c r="L1301" s="78">
        <v>46142</v>
      </c>
      <c r="M1301" s="103"/>
      <c r="N1301" s="93" t="s">
        <v>617</v>
      </c>
      <c r="O1301" s="94">
        <v>46141</v>
      </c>
      <c r="P1301" s="104">
        <f t="shared" si="169"/>
        <v>48</v>
      </c>
      <c r="Q1301" s="104">
        <f t="shared" si="170"/>
        <v>48</v>
      </c>
      <c r="R1301" s="104"/>
      <c r="S1301" s="93" t="s">
        <v>618</v>
      </c>
      <c r="T1301" s="94">
        <v>46156</v>
      </c>
      <c r="U1301" s="104">
        <f t="shared" si="171"/>
        <v>48</v>
      </c>
      <c r="V1301" s="104">
        <f t="shared" si="172"/>
        <v>1</v>
      </c>
      <c r="W1301" s="103">
        <f t="shared" si="173"/>
        <v>48</v>
      </c>
      <c r="X1301" s="93" t="s">
        <v>89</v>
      </c>
      <c r="Y1301" s="105" t="s">
        <v>84</v>
      </c>
      <c r="Z1301" s="105" t="s">
        <v>619</v>
      </c>
    </row>
    <row r="1302" spans="1:26" s="105" customFormat="1" ht="15" customHeight="1">
      <c r="A1302" s="99">
        <f t="shared" si="174"/>
        <v>1300</v>
      </c>
      <c r="B1302" s="75" t="s">
        <v>1199</v>
      </c>
      <c r="C1302" s="100" t="str">
        <f>IF($B1302&lt;&gt;"",_xlfn.IFNA(VLOOKUP($B1302,'Node Details'!$B:$U,C$1,0),"Check"),"")</f>
        <v>0000CM325-CM3250103</v>
      </c>
      <c r="D1302" s="100" t="str">
        <f>IF($B1302&lt;&gt;"",_xlfn.IFNA(VLOOKUP($B1302,'Node Details'!$B:$U,D$1,0),"Check"),"")</f>
        <v>CM3</v>
      </c>
      <c r="E1302" s="100" t="str">
        <f>IF($B1302&lt;&gt;"",_xlfn.IFNA(VLOOKUP($B1302,'Node Details'!$B:$U,E$1,0),"Check"),"")</f>
        <v>Airtel</v>
      </c>
      <c r="F1302" s="101">
        <v>46149</v>
      </c>
      <c r="G1302" s="103"/>
      <c r="H1302" s="102" t="s">
        <v>1256</v>
      </c>
      <c r="I1302" s="9">
        <v>1</v>
      </c>
      <c r="J1302" s="9">
        <v>48</v>
      </c>
      <c r="K1302" s="100">
        <f t="shared" si="168"/>
        <v>48</v>
      </c>
      <c r="L1302" s="78">
        <v>46142</v>
      </c>
      <c r="M1302" s="103"/>
      <c r="N1302" s="93" t="s">
        <v>617</v>
      </c>
      <c r="O1302" s="94">
        <v>46141</v>
      </c>
      <c r="P1302" s="104">
        <f t="shared" si="169"/>
        <v>48</v>
      </c>
      <c r="Q1302" s="104">
        <f t="shared" si="170"/>
        <v>48</v>
      </c>
      <c r="R1302" s="104"/>
      <c r="S1302" s="93" t="s">
        <v>618</v>
      </c>
      <c r="T1302" s="94">
        <v>46156</v>
      </c>
      <c r="U1302" s="104">
        <f t="shared" si="171"/>
        <v>48</v>
      </c>
      <c r="V1302" s="104">
        <f t="shared" si="172"/>
        <v>1</v>
      </c>
      <c r="W1302" s="103">
        <f t="shared" si="173"/>
        <v>48</v>
      </c>
      <c r="X1302" s="93" t="s">
        <v>89</v>
      </c>
      <c r="Y1302" s="105" t="s">
        <v>84</v>
      </c>
      <c r="Z1302" s="105" t="s">
        <v>619</v>
      </c>
    </row>
    <row r="1303" spans="1:26" s="105" customFormat="1" ht="15" customHeight="1">
      <c r="A1303" s="99">
        <f t="shared" si="174"/>
        <v>1301</v>
      </c>
      <c r="B1303" s="75" t="s">
        <v>1200</v>
      </c>
      <c r="C1303" s="100" t="str">
        <f>IF($B1303&lt;&gt;"",_xlfn.IFNA(VLOOKUP($B1303,'Node Details'!$B:$U,C$1,0),"Check"),"")</f>
        <v>0000CM325-CM3250103</v>
      </c>
      <c r="D1303" s="100" t="str">
        <f>IF($B1303&lt;&gt;"",_xlfn.IFNA(VLOOKUP($B1303,'Node Details'!$B:$U,D$1,0),"Check"),"")</f>
        <v>CM3</v>
      </c>
      <c r="E1303" s="100" t="str">
        <f>IF($B1303&lt;&gt;"",_xlfn.IFNA(VLOOKUP($B1303,'Node Details'!$B:$U,E$1,0),"Check"),"")</f>
        <v>Airtel</v>
      </c>
      <c r="F1303" s="101">
        <v>46149</v>
      </c>
      <c r="G1303" s="103"/>
      <c r="H1303" s="102" t="s">
        <v>1256</v>
      </c>
      <c r="I1303" s="9">
        <v>1</v>
      </c>
      <c r="J1303" s="9">
        <v>48</v>
      </c>
      <c r="K1303" s="100">
        <f t="shared" si="168"/>
        <v>48</v>
      </c>
      <c r="L1303" s="78">
        <v>46142</v>
      </c>
      <c r="M1303" s="103"/>
      <c r="N1303" s="93" t="s">
        <v>617</v>
      </c>
      <c r="O1303" s="94">
        <v>46141</v>
      </c>
      <c r="P1303" s="104">
        <f t="shared" si="169"/>
        <v>48</v>
      </c>
      <c r="Q1303" s="104">
        <f t="shared" si="170"/>
        <v>48</v>
      </c>
      <c r="R1303" s="104"/>
      <c r="S1303" s="93" t="s">
        <v>618</v>
      </c>
      <c r="T1303" s="94">
        <v>46156</v>
      </c>
      <c r="U1303" s="104">
        <f t="shared" si="171"/>
        <v>48</v>
      </c>
      <c r="V1303" s="104">
        <f t="shared" si="172"/>
        <v>1</v>
      </c>
      <c r="W1303" s="103">
        <f t="shared" si="173"/>
        <v>48</v>
      </c>
      <c r="X1303" s="93" t="s">
        <v>89</v>
      </c>
      <c r="Y1303" s="105" t="s">
        <v>84</v>
      </c>
      <c r="Z1303" s="105" t="s">
        <v>619</v>
      </c>
    </row>
    <row r="1304" spans="1:26" s="105" customFormat="1" ht="15" customHeight="1">
      <c r="A1304" s="99">
        <f t="shared" si="174"/>
        <v>1302</v>
      </c>
      <c r="B1304" s="75" t="s">
        <v>797</v>
      </c>
      <c r="C1304" s="100" t="str">
        <f>IF($B1304&lt;&gt;"",_xlfn.IFNA(VLOOKUP($B1304,'Node Details'!$B:$U,C$1,0),"Check"),"")</f>
        <v>0000CM325-CM3250103</v>
      </c>
      <c r="D1304" s="100" t="str">
        <f>IF($B1304&lt;&gt;"",_xlfn.IFNA(VLOOKUP($B1304,'Node Details'!$B:$U,D$1,0),"Check"),"")</f>
        <v>CM3</v>
      </c>
      <c r="E1304" s="100" t="str">
        <f>IF($B1304&lt;&gt;"",_xlfn.IFNA(VLOOKUP($B1304,'Node Details'!$B:$U,E$1,0),"Check"),"")</f>
        <v>Airtel</v>
      </c>
      <c r="F1304" s="101">
        <v>46149</v>
      </c>
      <c r="G1304" s="103"/>
      <c r="H1304" s="102" t="s">
        <v>1256</v>
      </c>
      <c r="I1304" s="9">
        <v>1</v>
      </c>
      <c r="J1304" s="9">
        <v>48</v>
      </c>
      <c r="K1304" s="100">
        <f t="shared" si="168"/>
        <v>48</v>
      </c>
      <c r="L1304" s="78">
        <v>46142</v>
      </c>
      <c r="M1304" s="103"/>
      <c r="N1304" s="93" t="s">
        <v>617</v>
      </c>
      <c r="O1304" s="94">
        <v>46141</v>
      </c>
      <c r="P1304" s="104">
        <f t="shared" si="169"/>
        <v>48</v>
      </c>
      <c r="Q1304" s="104">
        <f t="shared" si="170"/>
        <v>48</v>
      </c>
      <c r="R1304" s="104"/>
      <c r="S1304" s="93" t="s">
        <v>618</v>
      </c>
      <c r="T1304" s="94">
        <v>46156</v>
      </c>
      <c r="U1304" s="104">
        <f t="shared" si="171"/>
        <v>48</v>
      </c>
      <c r="V1304" s="104">
        <f t="shared" si="172"/>
        <v>1</v>
      </c>
      <c r="W1304" s="103">
        <f t="shared" si="173"/>
        <v>48</v>
      </c>
      <c r="X1304" s="93" t="s">
        <v>89</v>
      </c>
      <c r="Y1304" s="105" t="s">
        <v>84</v>
      </c>
      <c r="Z1304" s="105" t="s">
        <v>619</v>
      </c>
    </row>
    <row r="1305" spans="1:26" s="105" customFormat="1" ht="15" customHeight="1">
      <c r="A1305" s="99">
        <f t="shared" si="174"/>
        <v>1303</v>
      </c>
      <c r="B1305" s="75" t="s">
        <v>1201</v>
      </c>
      <c r="C1305" s="100" t="str">
        <f>IF($B1305&lt;&gt;"",_xlfn.IFNA(VLOOKUP($B1305,'Node Details'!$B:$U,C$1,0),"Check"),"")</f>
        <v>0000CM325-CM3250107</v>
      </c>
      <c r="D1305" s="100" t="str">
        <f>IF($B1305&lt;&gt;"",_xlfn.IFNA(VLOOKUP($B1305,'Node Details'!$B:$U,D$1,0),"Check"),"")</f>
        <v>CM3</v>
      </c>
      <c r="E1305" s="100" t="str">
        <f>IF($B1305&lt;&gt;"",_xlfn.IFNA(VLOOKUP($B1305,'Node Details'!$B:$U,E$1,0),"Check"),"")</f>
        <v>Airtel</v>
      </c>
      <c r="F1305" s="101">
        <v>46149</v>
      </c>
      <c r="G1305" s="103"/>
      <c r="H1305" s="102" t="s">
        <v>1256</v>
      </c>
      <c r="I1305" s="9">
        <v>1</v>
      </c>
      <c r="J1305" s="9">
        <v>48</v>
      </c>
      <c r="K1305" s="100">
        <f t="shared" si="168"/>
        <v>48</v>
      </c>
      <c r="L1305" s="78">
        <v>46142</v>
      </c>
      <c r="M1305" s="103"/>
      <c r="N1305" s="93" t="s">
        <v>617</v>
      </c>
      <c r="O1305" s="94">
        <v>46141</v>
      </c>
      <c r="P1305" s="104">
        <f t="shared" si="169"/>
        <v>48</v>
      </c>
      <c r="Q1305" s="104">
        <f t="shared" si="170"/>
        <v>48</v>
      </c>
      <c r="R1305" s="104"/>
      <c r="S1305" s="93" t="s">
        <v>618</v>
      </c>
      <c r="T1305" s="94">
        <v>46156</v>
      </c>
      <c r="U1305" s="104">
        <f t="shared" si="171"/>
        <v>48</v>
      </c>
      <c r="V1305" s="104">
        <f t="shared" si="172"/>
        <v>1</v>
      </c>
      <c r="W1305" s="103">
        <f t="shared" si="173"/>
        <v>48</v>
      </c>
      <c r="X1305" s="93" t="s">
        <v>89</v>
      </c>
      <c r="Y1305" s="105" t="s">
        <v>84</v>
      </c>
      <c r="Z1305" s="105" t="s">
        <v>619</v>
      </c>
    </row>
    <row r="1306" spans="1:26" s="105" customFormat="1" ht="15" customHeight="1">
      <c r="A1306" s="99">
        <f t="shared" si="174"/>
        <v>1304</v>
      </c>
      <c r="B1306" s="75" t="s">
        <v>1202</v>
      </c>
      <c r="C1306" s="100" t="str">
        <f>IF($B1306&lt;&gt;"",_xlfn.IFNA(VLOOKUP($B1306,'Node Details'!$B:$U,C$1,0),"Check"),"")</f>
        <v>0000CM325-CM3250107</v>
      </c>
      <c r="D1306" s="100" t="str">
        <f>IF($B1306&lt;&gt;"",_xlfn.IFNA(VLOOKUP($B1306,'Node Details'!$B:$U,D$1,0),"Check"),"")</f>
        <v>CM3</v>
      </c>
      <c r="E1306" s="100" t="str">
        <f>IF($B1306&lt;&gt;"",_xlfn.IFNA(VLOOKUP($B1306,'Node Details'!$B:$U,E$1,0),"Check"),"")</f>
        <v>Airtel</v>
      </c>
      <c r="F1306" s="101">
        <v>46149</v>
      </c>
      <c r="G1306" s="103"/>
      <c r="H1306" s="102" t="s">
        <v>1256</v>
      </c>
      <c r="I1306" s="9">
        <v>1</v>
      </c>
      <c r="J1306" s="9">
        <v>48</v>
      </c>
      <c r="K1306" s="100">
        <f t="shared" si="168"/>
        <v>48</v>
      </c>
      <c r="L1306" s="78">
        <v>46142</v>
      </c>
      <c r="M1306" s="103"/>
      <c r="N1306" s="93" t="s">
        <v>617</v>
      </c>
      <c r="O1306" s="94">
        <v>46141</v>
      </c>
      <c r="P1306" s="104">
        <f t="shared" si="169"/>
        <v>48</v>
      </c>
      <c r="Q1306" s="104">
        <f t="shared" si="170"/>
        <v>48</v>
      </c>
      <c r="R1306" s="104"/>
      <c r="S1306" s="93" t="s">
        <v>618</v>
      </c>
      <c r="T1306" s="94">
        <v>46156</v>
      </c>
      <c r="U1306" s="104">
        <f t="shared" si="171"/>
        <v>48</v>
      </c>
      <c r="V1306" s="104">
        <f t="shared" si="172"/>
        <v>1</v>
      </c>
      <c r="W1306" s="103">
        <f t="shared" si="173"/>
        <v>48</v>
      </c>
      <c r="X1306" s="93" t="s">
        <v>89</v>
      </c>
      <c r="Y1306" s="105" t="s">
        <v>84</v>
      </c>
      <c r="Z1306" s="105" t="s">
        <v>619</v>
      </c>
    </row>
    <row r="1307" spans="1:26" s="105" customFormat="1" ht="15" customHeight="1">
      <c r="A1307" s="99">
        <f t="shared" si="174"/>
        <v>1305</v>
      </c>
      <c r="B1307" s="75" t="s">
        <v>1203</v>
      </c>
      <c r="C1307" s="100" t="str">
        <f>IF($B1307&lt;&gt;"",_xlfn.IFNA(VLOOKUP($B1307,'Node Details'!$B:$U,C$1,0),"Check"),"")</f>
        <v>0000CM325-CM3250107</v>
      </c>
      <c r="D1307" s="100" t="str">
        <f>IF($B1307&lt;&gt;"",_xlfn.IFNA(VLOOKUP($B1307,'Node Details'!$B:$U,D$1,0),"Check"),"")</f>
        <v>CM3</v>
      </c>
      <c r="E1307" s="100" t="str">
        <f>IF($B1307&lt;&gt;"",_xlfn.IFNA(VLOOKUP($B1307,'Node Details'!$B:$U,E$1,0),"Check"),"")</f>
        <v>Airtel</v>
      </c>
      <c r="F1307" s="101">
        <v>46149</v>
      </c>
      <c r="G1307" s="103"/>
      <c r="H1307" s="102" t="s">
        <v>1256</v>
      </c>
      <c r="I1307" s="9">
        <v>1</v>
      </c>
      <c r="J1307" s="9">
        <v>48</v>
      </c>
      <c r="K1307" s="100">
        <f t="shared" si="168"/>
        <v>48</v>
      </c>
      <c r="L1307" s="78">
        <v>46142</v>
      </c>
      <c r="M1307" s="103"/>
      <c r="N1307" s="93" t="s">
        <v>617</v>
      </c>
      <c r="O1307" s="94">
        <v>46141</v>
      </c>
      <c r="P1307" s="104">
        <f t="shared" si="169"/>
        <v>48</v>
      </c>
      <c r="Q1307" s="104">
        <f t="shared" si="170"/>
        <v>48</v>
      </c>
      <c r="R1307" s="104"/>
      <c r="S1307" s="93" t="s">
        <v>618</v>
      </c>
      <c r="T1307" s="94">
        <v>46156</v>
      </c>
      <c r="U1307" s="104">
        <f t="shared" si="171"/>
        <v>48</v>
      </c>
      <c r="V1307" s="104">
        <f t="shared" si="172"/>
        <v>1</v>
      </c>
      <c r="W1307" s="103">
        <f t="shared" si="173"/>
        <v>48</v>
      </c>
      <c r="X1307" s="93" t="s">
        <v>89</v>
      </c>
      <c r="Y1307" s="105" t="s">
        <v>84</v>
      </c>
      <c r="Z1307" s="105" t="s">
        <v>619</v>
      </c>
    </row>
    <row r="1308" spans="1:26" s="105" customFormat="1" ht="15" customHeight="1">
      <c r="A1308" s="99">
        <f t="shared" si="174"/>
        <v>1306</v>
      </c>
      <c r="B1308" s="75" t="s">
        <v>799</v>
      </c>
      <c r="C1308" s="100" t="str">
        <f>IF($B1308&lt;&gt;"",_xlfn.IFNA(VLOOKUP($B1308,'Node Details'!$B:$U,C$1,0),"Check"),"")</f>
        <v>0000CM325-CM3250107</v>
      </c>
      <c r="D1308" s="100" t="str">
        <f>IF($B1308&lt;&gt;"",_xlfn.IFNA(VLOOKUP($B1308,'Node Details'!$B:$U,D$1,0),"Check"),"")</f>
        <v>CM3</v>
      </c>
      <c r="E1308" s="100" t="str">
        <f>IF($B1308&lt;&gt;"",_xlfn.IFNA(VLOOKUP($B1308,'Node Details'!$B:$U,E$1,0),"Check"),"")</f>
        <v>Airtel</v>
      </c>
      <c r="F1308" s="101">
        <v>46149</v>
      </c>
      <c r="G1308" s="103"/>
      <c r="H1308" s="102" t="s">
        <v>1256</v>
      </c>
      <c r="I1308" s="9">
        <v>1</v>
      </c>
      <c r="J1308" s="9">
        <v>48</v>
      </c>
      <c r="K1308" s="100">
        <f t="shared" si="168"/>
        <v>48</v>
      </c>
      <c r="L1308" s="78">
        <v>46142</v>
      </c>
      <c r="M1308" s="103"/>
      <c r="N1308" s="93" t="s">
        <v>617</v>
      </c>
      <c r="O1308" s="94">
        <v>46141</v>
      </c>
      <c r="P1308" s="104">
        <f t="shared" si="169"/>
        <v>48</v>
      </c>
      <c r="Q1308" s="104">
        <f t="shared" si="170"/>
        <v>48</v>
      </c>
      <c r="R1308" s="104"/>
      <c r="S1308" s="93" t="s">
        <v>618</v>
      </c>
      <c r="T1308" s="94">
        <v>46156</v>
      </c>
      <c r="U1308" s="104">
        <f t="shared" si="171"/>
        <v>48</v>
      </c>
      <c r="V1308" s="104">
        <f t="shared" si="172"/>
        <v>1</v>
      </c>
      <c r="W1308" s="103">
        <f t="shared" si="173"/>
        <v>48</v>
      </c>
      <c r="X1308" s="93" t="s">
        <v>89</v>
      </c>
      <c r="Y1308" s="105" t="s">
        <v>84</v>
      </c>
      <c r="Z1308" s="105" t="s">
        <v>619</v>
      </c>
    </row>
    <row r="1309" spans="1:26" s="105" customFormat="1" ht="15" customHeight="1">
      <c r="A1309" s="99">
        <f t="shared" si="174"/>
        <v>1307</v>
      </c>
      <c r="B1309" s="75" t="s">
        <v>637</v>
      </c>
      <c r="C1309" s="100" t="str">
        <f>IF($B1309&lt;&gt;"",_xlfn.IFNA(VLOOKUP($B1309,'Node Details'!$B:$U,C$1,0),"Check"),"")</f>
        <v>000000CM3-0000CM310</v>
      </c>
      <c r="D1309" s="100" t="str">
        <f>IF($B1309&lt;&gt;"",_xlfn.IFNA(VLOOKUP($B1309,'Node Details'!$B:$U,D$1,0),"Check"),"")</f>
        <v>CM3</v>
      </c>
      <c r="E1309" s="100" t="str">
        <f>IF($B1309&lt;&gt;"",_xlfn.IFNA(VLOOKUP($B1309,'Node Details'!$B:$U,E$1,0),"Check"),"")</f>
        <v>Airtel</v>
      </c>
      <c r="F1309" s="101">
        <v>46149</v>
      </c>
      <c r="G1309" s="103"/>
      <c r="H1309" s="102" t="s">
        <v>1260</v>
      </c>
      <c r="I1309" s="9">
        <v>42</v>
      </c>
      <c r="J1309" s="9">
        <v>65</v>
      </c>
      <c r="K1309" s="100">
        <f t="shared" si="168"/>
        <v>2730</v>
      </c>
      <c r="L1309" s="78">
        <v>46142</v>
      </c>
      <c r="M1309" s="103"/>
      <c r="N1309" s="93" t="s">
        <v>617</v>
      </c>
      <c r="O1309" s="94">
        <v>46141</v>
      </c>
      <c r="P1309" s="104">
        <f t="shared" si="169"/>
        <v>65</v>
      </c>
      <c r="Q1309" s="104">
        <f t="shared" si="170"/>
        <v>2730</v>
      </c>
      <c r="R1309" s="104"/>
      <c r="S1309" s="93" t="s">
        <v>618</v>
      </c>
      <c r="T1309" s="94">
        <v>46156</v>
      </c>
      <c r="U1309" s="104">
        <f t="shared" si="171"/>
        <v>65</v>
      </c>
      <c r="V1309" s="104">
        <f t="shared" si="172"/>
        <v>42</v>
      </c>
      <c r="W1309" s="103">
        <f t="shared" si="173"/>
        <v>2730</v>
      </c>
      <c r="X1309" s="93" t="s">
        <v>89</v>
      </c>
      <c r="Y1309" s="105" t="s">
        <v>84</v>
      </c>
      <c r="Z1309" s="105" t="s">
        <v>619</v>
      </c>
    </row>
    <row r="1310" spans="1:26" s="105" customFormat="1" ht="15" customHeight="1">
      <c r="A1310" s="99">
        <f t="shared" si="174"/>
        <v>1308</v>
      </c>
      <c r="B1310" s="75" t="s">
        <v>640</v>
      </c>
      <c r="C1310" s="100" t="str">
        <f>IF($B1310&lt;&gt;"",_xlfn.IFNA(VLOOKUP($B1310,'Node Details'!$B:$U,C$1,0),"Check"),"")</f>
        <v>0000CM301-CM3010101</v>
      </c>
      <c r="D1310" s="100" t="str">
        <f>IF($B1310&lt;&gt;"",_xlfn.IFNA(VLOOKUP($B1310,'Node Details'!$B:$U,D$1,0),"Check"),"")</f>
        <v>CM3</v>
      </c>
      <c r="E1310" s="100" t="str">
        <f>IF($B1310&lt;&gt;"",_xlfn.IFNA(VLOOKUP($B1310,'Node Details'!$B:$U,E$1,0),"Check"),"")</f>
        <v>Airtel</v>
      </c>
      <c r="F1310" s="101">
        <v>46149</v>
      </c>
      <c r="G1310" s="103"/>
      <c r="H1310" s="102" t="s">
        <v>1260</v>
      </c>
      <c r="I1310" s="9">
        <v>6</v>
      </c>
      <c r="J1310" s="9">
        <v>65</v>
      </c>
      <c r="K1310" s="100">
        <f t="shared" si="168"/>
        <v>390</v>
      </c>
      <c r="L1310" s="78">
        <v>46142</v>
      </c>
      <c r="M1310" s="103"/>
      <c r="N1310" s="93" t="s">
        <v>617</v>
      </c>
      <c r="O1310" s="94">
        <v>46141</v>
      </c>
      <c r="P1310" s="104">
        <f t="shared" si="169"/>
        <v>65</v>
      </c>
      <c r="Q1310" s="104">
        <f t="shared" si="170"/>
        <v>390</v>
      </c>
      <c r="R1310" s="104"/>
      <c r="S1310" s="93" t="s">
        <v>618</v>
      </c>
      <c r="T1310" s="94">
        <v>46156</v>
      </c>
      <c r="U1310" s="104">
        <f t="shared" si="171"/>
        <v>65</v>
      </c>
      <c r="V1310" s="104">
        <f t="shared" si="172"/>
        <v>6</v>
      </c>
      <c r="W1310" s="103">
        <f t="shared" si="173"/>
        <v>390</v>
      </c>
      <c r="X1310" s="93" t="s">
        <v>89</v>
      </c>
      <c r="Y1310" s="105" t="s">
        <v>84</v>
      </c>
      <c r="Z1310" s="105" t="s">
        <v>619</v>
      </c>
    </row>
    <row r="1311" spans="1:26" s="105" customFormat="1" ht="15" customHeight="1">
      <c r="A1311" s="99">
        <f t="shared" si="174"/>
        <v>1309</v>
      </c>
      <c r="B1311" s="75" t="s">
        <v>1129</v>
      </c>
      <c r="C1311" s="100" t="str">
        <f>IF($B1311&lt;&gt;"",_xlfn.IFNA(VLOOKUP($B1311,'Node Details'!$B:$U,C$1,0),"Check"),"")</f>
        <v>0000CM301-CM3010106</v>
      </c>
      <c r="D1311" s="100" t="str">
        <f>IF($B1311&lt;&gt;"",_xlfn.IFNA(VLOOKUP($B1311,'Node Details'!$B:$U,D$1,0),"Check"),"")</f>
        <v>CM3</v>
      </c>
      <c r="E1311" s="100" t="str">
        <f>IF($B1311&lt;&gt;"",_xlfn.IFNA(VLOOKUP($B1311,'Node Details'!$B:$U,E$1,0),"Check"),"")</f>
        <v>Airtel</v>
      </c>
      <c r="F1311" s="101">
        <v>46149</v>
      </c>
      <c r="G1311" s="103"/>
      <c r="H1311" s="102" t="s">
        <v>1260</v>
      </c>
      <c r="I1311" s="9">
        <v>4</v>
      </c>
      <c r="J1311" s="9">
        <v>65</v>
      </c>
      <c r="K1311" s="100">
        <f t="shared" si="168"/>
        <v>260</v>
      </c>
      <c r="L1311" s="78">
        <v>46142</v>
      </c>
      <c r="M1311" s="103"/>
      <c r="N1311" s="93" t="s">
        <v>617</v>
      </c>
      <c r="O1311" s="94">
        <v>46141</v>
      </c>
      <c r="P1311" s="104">
        <f t="shared" si="169"/>
        <v>65</v>
      </c>
      <c r="Q1311" s="104">
        <f t="shared" si="170"/>
        <v>260</v>
      </c>
      <c r="R1311" s="104"/>
      <c r="S1311" s="93" t="s">
        <v>618</v>
      </c>
      <c r="T1311" s="94">
        <v>46156</v>
      </c>
      <c r="U1311" s="104">
        <f t="shared" si="171"/>
        <v>65</v>
      </c>
      <c r="V1311" s="104">
        <f t="shared" si="172"/>
        <v>4</v>
      </c>
      <c r="W1311" s="103">
        <f t="shared" si="173"/>
        <v>260</v>
      </c>
      <c r="X1311" s="93" t="s">
        <v>89</v>
      </c>
      <c r="Y1311" s="105" t="s">
        <v>84</v>
      </c>
      <c r="Z1311" s="105" t="s">
        <v>619</v>
      </c>
    </row>
    <row r="1312" spans="1:26" s="105" customFormat="1" ht="15" customHeight="1">
      <c r="A1312" s="99">
        <f t="shared" si="174"/>
        <v>1310</v>
      </c>
      <c r="B1312" s="75" t="s">
        <v>1130</v>
      </c>
      <c r="C1312" s="100" t="str">
        <f>IF($B1312&lt;&gt;"",_xlfn.IFNA(VLOOKUP($B1312,'Node Details'!$B:$U,C$1,0),"Check"),"")</f>
        <v>0000CM301-CM3010106</v>
      </c>
      <c r="D1312" s="100" t="str">
        <f>IF($B1312&lt;&gt;"",_xlfn.IFNA(VLOOKUP($B1312,'Node Details'!$B:$U,D$1,0),"Check"),"")</f>
        <v>CM3</v>
      </c>
      <c r="E1312" s="100" t="str">
        <f>IF($B1312&lt;&gt;"",_xlfn.IFNA(VLOOKUP($B1312,'Node Details'!$B:$U,E$1,0),"Check"),"")</f>
        <v>Airtel</v>
      </c>
      <c r="F1312" s="101">
        <v>46149</v>
      </c>
      <c r="G1312" s="103"/>
      <c r="H1312" s="102" t="s">
        <v>1260</v>
      </c>
      <c r="I1312" s="9">
        <v>2</v>
      </c>
      <c r="J1312" s="9">
        <v>65</v>
      </c>
      <c r="K1312" s="100">
        <f t="shared" si="168"/>
        <v>130</v>
      </c>
      <c r="L1312" s="78">
        <v>46142</v>
      </c>
      <c r="M1312" s="103"/>
      <c r="N1312" s="93" t="s">
        <v>617</v>
      </c>
      <c r="O1312" s="94">
        <v>46141</v>
      </c>
      <c r="P1312" s="104">
        <f t="shared" si="169"/>
        <v>65</v>
      </c>
      <c r="Q1312" s="104">
        <f t="shared" si="170"/>
        <v>130</v>
      </c>
      <c r="R1312" s="104"/>
      <c r="S1312" s="93" t="s">
        <v>618</v>
      </c>
      <c r="T1312" s="94">
        <v>46156</v>
      </c>
      <c r="U1312" s="104">
        <f t="shared" si="171"/>
        <v>65</v>
      </c>
      <c r="V1312" s="104">
        <f t="shared" si="172"/>
        <v>2</v>
      </c>
      <c r="W1312" s="103">
        <f t="shared" si="173"/>
        <v>130</v>
      </c>
      <c r="X1312" s="93" t="s">
        <v>89</v>
      </c>
      <c r="Y1312" s="105" t="s">
        <v>84</v>
      </c>
      <c r="Z1312" s="105" t="s">
        <v>619</v>
      </c>
    </row>
    <row r="1313" spans="1:26" s="105" customFormat="1" ht="15" customHeight="1">
      <c r="A1313" s="99">
        <f t="shared" si="174"/>
        <v>1311</v>
      </c>
      <c r="B1313" s="75" t="s">
        <v>644</v>
      </c>
      <c r="C1313" s="100" t="str">
        <f>IF($B1313&lt;&gt;"",_xlfn.IFNA(VLOOKUP($B1313,'Node Details'!$B:$U,C$1,0),"Check"),"")</f>
        <v>000000CM3-0000CM310</v>
      </c>
      <c r="D1313" s="100" t="str">
        <f>IF($B1313&lt;&gt;"",_xlfn.IFNA(VLOOKUP($B1313,'Node Details'!$B:$U,D$1,0),"Check"),"")</f>
        <v>CM3</v>
      </c>
      <c r="E1313" s="100" t="str">
        <f>IF($B1313&lt;&gt;"",_xlfn.IFNA(VLOOKUP($B1313,'Node Details'!$B:$U,E$1,0),"Check"),"")</f>
        <v>Airtel</v>
      </c>
      <c r="F1313" s="101">
        <v>46149</v>
      </c>
      <c r="G1313" s="103"/>
      <c r="H1313" s="102" t="s">
        <v>1260</v>
      </c>
      <c r="I1313" s="9">
        <v>42</v>
      </c>
      <c r="J1313" s="9">
        <v>65</v>
      </c>
      <c r="K1313" s="100">
        <f t="shared" si="168"/>
        <v>2730</v>
      </c>
      <c r="L1313" s="78">
        <v>46142</v>
      </c>
      <c r="M1313" s="103"/>
      <c r="N1313" s="93" t="s">
        <v>617</v>
      </c>
      <c r="O1313" s="94">
        <v>46141</v>
      </c>
      <c r="P1313" s="104">
        <f t="shared" si="169"/>
        <v>65</v>
      </c>
      <c r="Q1313" s="104">
        <f t="shared" si="170"/>
        <v>2730</v>
      </c>
      <c r="R1313" s="104"/>
      <c r="S1313" s="93" t="s">
        <v>618</v>
      </c>
      <c r="T1313" s="94">
        <v>46156</v>
      </c>
      <c r="U1313" s="104">
        <f t="shared" si="171"/>
        <v>65</v>
      </c>
      <c r="V1313" s="104">
        <f t="shared" si="172"/>
        <v>42</v>
      </c>
      <c r="W1313" s="103">
        <f t="shared" si="173"/>
        <v>2730</v>
      </c>
      <c r="X1313" s="93" t="s">
        <v>89</v>
      </c>
      <c r="Y1313" s="105" t="s">
        <v>84</v>
      </c>
      <c r="Z1313" s="105" t="s">
        <v>619</v>
      </c>
    </row>
    <row r="1314" spans="1:26" s="105" customFormat="1" ht="15" customHeight="1">
      <c r="A1314" s="99">
        <f t="shared" si="174"/>
        <v>1312</v>
      </c>
      <c r="B1314" s="75" t="s">
        <v>1132</v>
      </c>
      <c r="C1314" s="100" t="str">
        <f>IF($B1314&lt;&gt;"",_xlfn.IFNA(VLOOKUP($B1314,'Node Details'!$B:$U,C$1,0),"Check"),"")</f>
        <v>0000CM302-CM3020104</v>
      </c>
      <c r="D1314" s="100" t="str">
        <f>IF($B1314&lt;&gt;"",_xlfn.IFNA(VLOOKUP($B1314,'Node Details'!$B:$U,D$1,0),"Check"),"")</f>
        <v>CM3</v>
      </c>
      <c r="E1314" s="100" t="str">
        <f>IF($B1314&lt;&gt;"",_xlfn.IFNA(VLOOKUP($B1314,'Node Details'!$B:$U,E$1,0),"Check"),"")</f>
        <v>Airtel</v>
      </c>
      <c r="F1314" s="101">
        <v>46149</v>
      </c>
      <c r="G1314" s="103"/>
      <c r="H1314" s="102" t="s">
        <v>1260</v>
      </c>
      <c r="I1314" s="9">
        <v>6</v>
      </c>
      <c r="J1314" s="9">
        <v>65</v>
      </c>
      <c r="K1314" s="100">
        <f t="shared" si="168"/>
        <v>390</v>
      </c>
      <c r="L1314" s="78">
        <v>46142</v>
      </c>
      <c r="M1314" s="103"/>
      <c r="N1314" s="93" t="s">
        <v>617</v>
      </c>
      <c r="O1314" s="94">
        <v>46141</v>
      </c>
      <c r="P1314" s="104">
        <f t="shared" si="169"/>
        <v>65</v>
      </c>
      <c r="Q1314" s="104">
        <f t="shared" si="170"/>
        <v>390</v>
      </c>
      <c r="R1314" s="104"/>
      <c r="S1314" s="93" t="s">
        <v>618</v>
      </c>
      <c r="T1314" s="94">
        <v>46156</v>
      </c>
      <c r="U1314" s="104">
        <f t="shared" si="171"/>
        <v>65</v>
      </c>
      <c r="V1314" s="104">
        <f t="shared" si="172"/>
        <v>6</v>
      </c>
      <c r="W1314" s="103">
        <f t="shared" si="173"/>
        <v>390</v>
      </c>
      <c r="X1314" s="93" t="s">
        <v>89</v>
      </c>
      <c r="Y1314" s="105" t="s">
        <v>84</v>
      </c>
      <c r="Z1314" s="105" t="s">
        <v>619</v>
      </c>
    </row>
    <row r="1315" spans="1:26" s="105" customFormat="1" ht="15" customHeight="1">
      <c r="A1315" s="99">
        <f t="shared" si="174"/>
        <v>1313</v>
      </c>
      <c r="B1315" s="75" t="s">
        <v>1133</v>
      </c>
      <c r="C1315" s="100" t="str">
        <f>IF($B1315&lt;&gt;"",_xlfn.IFNA(VLOOKUP($B1315,'Node Details'!$B:$U,C$1,0),"Check"),"")</f>
        <v>0000CM302-CM3020104</v>
      </c>
      <c r="D1315" s="100" t="str">
        <f>IF($B1315&lt;&gt;"",_xlfn.IFNA(VLOOKUP($B1315,'Node Details'!$B:$U,D$1,0),"Check"),"")</f>
        <v>CM3</v>
      </c>
      <c r="E1315" s="100" t="str">
        <f>IF($B1315&lt;&gt;"",_xlfn.IFNA(VLOOKUP($B1315,'Node Details'!$B:$U,E$1,0),"Check"),"")</f>
        <v>Airtel</v>
      </c>
      <c r="F1315" s="101">
        <v>46149</v>
      </c>
      <c r="G1315" s="103"/>
      <c r="H1315" s="102" t="s">
        <v>1260</v>
      </c>
      <c r="I1315" s="9">
        <v>4</v>
      </c>
      <c r="J1315" s="9">
        <v>65</v>
      </c>
      <c r="K1315" s="100">
        <f t="shared" si="168"/>
        <v>260</v>
      </c>
      <c r="L1315" s="78">
        <v>46142</v>
      </c>
      <c r="M1315" s="103"/>
      <c r="N1315" s="93" t="s">
        <v>617</v>
      </c>
      <c r="O1315" s="94">
        <v>46141</v>
      </c>
      <c r="P1315" s="104">
        <f t="shared" si="169"/>
        <v>65</v>
      </c>
      <c r="Q1315" s="104">
        <f t="shared" si="170"/>
        <v>260</v>
      </c>
      <c r="R1315" s="104"/>
      <c r="S1315" s="93" t="s">
        <v>618</v>
      </c>
      <c r="T1315" s="94">
        <v>46156</v>
      </c>
      <c r="U1315" s="104">
        <f t="shared" si="171"/>
        <v>65</v>
      </c>
      <c r="V1315" s="104">
        <f t="shared" si="172"/>
        <v>4</v>
      </c>
      <c r="W1315" s="103">
        <f t="shared" si="173"/>
        <v>260</v>
      </c>
      <c r="X1315" s="93" t="s">
        <v>89</v>
      </c>
      <c r="Y1315" s="105" t="s">
        <v>84</v>
      </c>
      <c r="Z1315" s="105" t="s">
        <v>619</v>
      </c>
    </row>
    <row r="1316" spans="1:26" s="105" customFormat="1" ht="15" customHeight="1">
      <c r="A1316" s="99">
        <f t="shared" si="174"/>
        <v>1314</v>
      </c>
      <c r="B1316" s="75" t="s">
        <v>647</v>
      </c>
      <c r="C1316" s="100" t="str">
        <f>IF($B1316&lt;&gt;"",_xlfn.IFNA(VLOOKUP($B1316,'Node Details'!$B:$U,C$1,0),"Check"),"")</f>
        <v>0000CM302-CM3020104</v>
      </c>
      <c r="D1316" s="100" t="str">
        <f>IF($B1316&lt;&gt;"",_xlfn.IFNA(VLOOKUP($B1316,'Node Details'!$B:$U,D$1,0),"Check"),"")</f>
        <v>CM3</v>
      </c>
      <c r="E1316" s="100" t="str">
        <f>IF($B1316&lt;&gt;"",_xlfn.IFNA(VLOOKUP($B1316,'Node Details'!$B:$U,E$1,0),"Check"),"")</f>
        <v>Airtel</v>
      </c>
      <c r="F1316" s="101">
        <v>46149</v>
      </c>
      <c r="G1316" s="103"/>
      <c r="H1316" s="102" t="s">
        <v>1260</v>
      </c>
      <c r="I1316" s="9">
        <v>2</v>
      </c>
      <c r="J1316" s="9">
        <v>65</v>
      </c>
      <c r="K1316" s="100">
        <f t="shared" si="168"/>
        <v>130</v>
      </c>
      <c r="L1316" s="78">
        <v>46142</v>
      </c>
      <c r="M1316" s="103"/>
      <c r="N1316" s="93" t="s">
        <v>617</v>
      </c>
      <c r="O1316" s="94">
        <v>46141</v>
      </c>
      <c r="P1316" s="104">
        <f t="shared" si="169"/>
        <v>65</v>
      </c>
      <c r="Q1316" s="104">
        <f t="shared" si="170"/>
        <v>130</v>
      </c>
      <c r="R1316" s="104"/>
      <c r="S1316" s="93" t="s">
        <v>618</v>
      </c>
      <c r="T1316" s="94">
        <v>46156</v>
      </c>
      <c r="U1316" s="104">
        <f t="shared" si="171"/>
        <v>65</v>
      </c>
      <c r="V1316" s="104">
        <f t="shared" si="172"/>
        <v>2</v>
      </c>
      <c r="W1316" s="103">
        <f t="shared" si="173"/>
        <v>130</v>
      </c>
      <c r="X1316" s="93" t="s">
        <v>89</v>
      </c>
      <c r="Y1316" s="105" t="s">
        <v>84</v>
      </c>
      <c r="Z1316" s="105" t="s">
        <v>619</v>
      </c>
    </row>
    <row r="1317" spans="1:26" s="105" customFormat="1" ht="15" customHeight="1">
      <c r="A1317" s="99">
        <f t="shared" si="174"/>
        <v>1315</v>
      </c>
      <c r="B1317" s="75" t="s">
        <v>649</v>
      </c>
      <c r="C1317" s="100" t="str">
        <f>IF($B1317&lt;&gt;"",_xlfn.IFNA(VLOOKUP($B1317,'Node Details'!$B:$U,C$1,0),"Check"),"")</f>
        <v>000000CM3-0000CM310</v>
      </c>
      <c r="D1317" s="100" t="str">
        <f>IF($B1317&lt;&gt;"",_xlfn.IFNA(VLOOKUP($B1317,'Node Details'!$B:$U,D$1,0),"Check"),"")</f>
        <v>CM3</v>
      </c>
      <c r="E1317" s="100" t="str">
        <f>IF($B1317&lt;&gt;"",_xlfn.IFNA(VLOOKUP($B1317,'Node Details'!$B:$U,E$1,0),"Check"),"")</f>
        <v>Airtel</v>
      </c>
      <c r="F1317" s="101">
        <v>46149</v>
      </c>
      <c r="G1317" s="103"/>
      <c r="H1317" s="102" t="s">
        <v>1260</v>
      </c>
      <c r="I1317" s="9">
        <v>40</v>
      </c>
      <c r="J1317" s="9">
        <v>65</v>
      </c>
      <c r="K1317" s="100">
        <f t="shared" si="168"/>
        <v>2600</v>
      </c>
      <c r="L1317" s="78">
        <v>46142</v>
      </c>
      <c r="M1317" s="103"/>
      <c r="N1317" s="93" t="s">
        <v>617</v>
      </c>
      <c r="O1317" s="94">
        <v>46141</v>
      </c>
      <c r="P1317" s="104">
        <f t="shared" si="169"/>
        <v>65</v>
      </c>
      <c r="Q1317" s="104">
        <f t="shared" si="170"/>
        <v>2600</v>
      </c>
      <c r="R1317" s="104"/>
      <c r="S1317" s="93" t="s">
        <v>618</v>
      </c>
      <c r="T1317" s="94">
        <v>46156</v>
      </c>
      <c r="U1317" s="104">
        <f t="shared" si="171"/>
        <v>65</v>
      </c>
      <c r="V1317" s="104">
        <f t="shared" si="172"/>
        <v>40</v>
      </c>
      <c r="W1317" s="103">
        <f t="shared" si="173"/>
        <v>2600</v>
      </c>
      <c r="X1317" s="93" t="s">
        <v>89</v>
      </c>
      <c r="Y1317" s="105" t="s">
        <v>84</v>
      </c>
      <c r="Z1317" s="105" t="s">
        <v>619</v>
      </c>
    </row>
    <row r="1318" spans="1:26" s="105" customFormat="1" ht="15" customHeight="1">
      <c r="A1318" s="99">
        <f t="shared" si="174"/>
        <v>1316</v>
      </c>
      <c r="B1318" s="75" t="s">
        <v>654</v>
      </c>
      <c r="C1318" s="100" t="str">
        <f>IF($B1318&lt;&gt;"",_xlfn.IFNA(VLOOKUP($B1318,'Node Details'!$B:$U,C$1,0),"Check"),"")</f>
        <v>0000CM303-CM3030103</v>
      </c>
      <c r="D1318" s="100" t="str">
        <f>IF($B1318&lt;&gt;"",_xlfn.IFNA(VLOOKUP($B1318,'Node Details'!$B:$U,D$1,0),"Check"),"")</f>
        <v>CM3</v>
      </c>
      <c r="E1318" s="100" t="str">
        <f>IF($B1318&lt;&gt;"",_xlfn.IFNA(VLOOKUP($B1318,'Node Details'!$B:$U,E$1,0),"Check"),"")</f>
        <v>Airtel</v>
      </c>
      <c r="F1318" s="101">
        <v>46149</v>
      </c>
      <c r="G1318" s="103"/>
      <c r="H1318" s="102" t="s">
        <v>1260</v>
      </c>
      <c r="I1318" s="9">
        <v>2</v>
      </c>
      <c r="J1318" s="9">
        <v>65</v>
      </c>
      <c r="K1318" s="100">
        <f t="shared" si="168"/>
        <v>130</v>
      </c>
      <c r="L1318" s="78">
        <v>46142</v>
      </c>
      <c r="M1318" s="103"/>
      <c r="N1318" s="93" t="s">
        <v>617</v>
      </c>
      <c r="O1318" s="94">
        <v>46141</v>
      </c>
      <c r="P1318" s="104">
        <f t="shared" si="169"/>
        <v>65</v>
      </c>
      <c r="Q1318" s="104">
        <f t="shared" si="170"/>
        <v>130</v>
      </c>
      <c r="R1318" s="104"/>
      <c r="S1318" s="93" t="s">
        <v>618</v>
      </c>
      <c r="T1318" s="94">
        <v>46156</v>
      </c>
      <c r="U1318" s="104">
        <f t="shared" si="171"/>
        <v>65</v>
      </c>
      <c r="V1318" s="104">
        <f t="shared" si="172"/>
        <v>2</v>
      </c>
      <c r="W1318" s="103">
        <f t="shared" si="173"/>
        <v>130</v>
      </c>
      <c r="X1318" s="93" t="s">
        <v>89</v>
      </c>
      <c r="Y1318" s="105" t="s">
        <v>84</v>
      </c>
      <c r="Z1318" s="105" t="s">
        <v>619</v>
      </c>
    </row>
    <row r="1319" spans="1:26" s="105" customFormat="1" ht="15" customHeight="1">
      <c r="A1319" s="99">
        <f t="shared" si="174"/>
        <v>1317</v>
      </c>
      <c r="B1319" s="75" t="s">
        <v>630</v>
      </c>
      <c r="C1319" s="100" t="str">
        <f>IF($B1319&lt;&gt;"",_xlfn.IFNA(VLOOKUP($B1319,'Node Details'!$B:$U,C$1,0),"Check"),"")</f>
        <v>000000CM3-0000CM310</v>
      </c>
      <c r="D1319" s="100" t="str">
        <f>IF($B1319&lt;&gt;"",_xlfn.IFNA(VLOOKUP($B1319,'Node Details'!$B:$U,D$1,0),"Check"),"")</f>
        <v>CM3</v>
      </c>
      <c r="E1319" s="100" t="str">
        <f>IF($B1319&lt;&gt;"",_xlfn.IFNA(VLOOKUP($B1319,'Node Details'!$B:$U,E$1,0),"Check"),"")</f>
        <v>Airtel</v>
      </c>
      <c r="F1319" s="101">
        <v>46149</v>
      </c>
      <c r="G1319" s="103"/>
      <c r="H1319" s="102" t="s">
        <v>1260</v>
      </c>
      <c r="I1319" s="9">
        <v>40</v>
      </c>
      <c r="J1319" s="9">
        <v>65</v>
      </c>
      <c r="K1319" s="100">
        <f t="shared" si="168"/>
        <v>2600</v>
      </c>
      <c r="L1319" s="78">
        <v>46142</v>
      </c>
      <c r="M1319" s="103"/>
      <c r="N1319" s="93" t="s">
        <v>617</v>
      </c>
      <c r="O1319" s="94">
        <v>46141</v>
      </c>
      <c r="P1319" s="104">
        <f t="shared" si="169"/>
        <v>65</v>
      </c>
      <c r="Q1319" s="104">
        <f t="shared" si="170"/>
        <v>2600</v>
      </c>
      <c r="R1319" s="104"/>
      <c r="S1319" s="93" t="s">
        <v>618</v>
      </c>
      <c r="T1319" s="94">
        <v>46156</v>
      </c>
      <c r="U1319" s="104">
        <f t="shared" si="171"/>
        <v>65</v>
      </c>
      <c r="V1319" s="104">
        <f t="shared" si="172"/>
        <v>40</v>
      </c>
      <c r="W1319" s="103">
        <f t="shared" si="173"/>
        <v>2600</v>
      </c>
      <c r="X1319" s="93" t="s">
        <v>89</v>
      </c>
      <c r="Y1319" s="105" t="s">
        <v>84</v>
      </c>
      <c r="Z1319" s="105" t="s">
        <v>619</v>
      </c>
    </row>
    <row r="1320" spans="1:26" s="105" customFormat="1" ht="15" customHeight="1">
      <c r="A1320" s="99">
        <f t="shared" si="174"/>
        <v>1318</v>
      </c>
      <c r="B1320" s="75" t="s">
        <v>1137</v>
      </c>
      <c r="C1320" s="100" t="str">
        <f>IF($B1320&lt;&gt;"",_xlfn.IFNA(VLOOKUP($B1320,'Node Details'!$B:$U,C$1,0),"Check"),"")</f>
        <v>0000CM304-CM3040104</v>
      </c>
      <c r="D1320" s="100" t="str">
        <f>IF($B1320&lt;&gt;"",_xlfn.IFNA(VLOOKUP($B1320,'Node Details'!$B:$U,D$1,0),"Check"),"")</f>
        <v>CM3</v>
      </c>
      <c r="E1320" s="100" t="str">
        <f>IF($B1320&lt;&gt;"",_xlfn.IFNA(VLOOKUP($B1320,'Node Details'!$B:$U,E$1,0),"Check"),"")</f>
        <v>Airtel</v>
      </c>
      <c r="F1320" s="101">
        <v>46149</v>
      </c>
      <c r="G1320" s="103"/>
      <c r="H1320" s="102" t="s">
        <v>1260</v>
      </c>
      <c r="I1320" s="9">
        <v>6</v>
      </c>
      <c r="J1320" s="9">
        <v>65</v>
      </c>
      <c r="K1320" s="100">
        <f t="shared" si="168"/>
        <v>390</v>
      </c>
      <c r="L1320" s="78">
        <v>46142</v>
      </c>
      <c r="M1320" s="103"/>
      <c r="N1320" s="93" t="s">
        <v>617</v>
      </c>
      <c r="O1320" s="94">
        <v>46141</v>
      </c>
      <c r="P1320" s="104">
        <f t="shared" si="169"/>
        <v>65</v>
      </c>
      <c r="Q1320" s="104">
        <f t="shared" si="170"/>
        <v>390</v>
      </c>
      <c r="R1320" s="104"/>
      <c r="S1320" s="93" t="s">
        <v>618</v>
      </c>
      <c r="T1320" s="94">
        <v>46156</v>
      </c>
      <c r="U1320" s="104">
        <f t="shared" si="171"/>
        <v>65</v>
      </c>
      <c r="V1320" s="104">
        <f t="shared" si="172"/>
        <v>6</v>
      </c>
      <c r="W1320" s="103">
        <f t="shared" si="173"/>
        <v>390</v>
      </c>
      <c r="X1320" s="93" t="s">
        <v>89</v>
      </c>
      <c r="Y1320" s="105" t="s">
        <v>84</v>
      </c>
      <c r="Z1320" s="105" t="s">
        <v>619</v>
      </c>
    </row>
    <row r="1321" spans="1:26" s="105" customFormat="1" ht="15" customHeight="1">
      <c r="A1321" s="99">
        <f t="shared" si="174"/>
        <v>1319</v>
      </c>
      <c r="B1321" s="75" t="s">
        <v>1138</v>
      </c>
      <c r="C1321" s="100" t="str">
        <f>IF($B1321&lt;&gt;"",_xlfn.IFNA(VLOOKUP($B1321,'Node Details'!$B:$U,C$1,0),"Check"),"")</f>
        <v>0000CM304-CM3040104</v>
      </c>
      <c r="D1321" s="100" t="str">
        <f>IF($B1321&lt;&gt;"",_xlfn.IFNA(VLOOKUP($B1321,'Node Details'!$B:$U,D$1,0),"Check"),"")</f>
        <v>CM3</v>
      </c>
      <c r="E1321" s="100" t="str">
        <f>IF($B1321&lt;&gt;"",_xlfn.IFNA(VLOOKUP($B1321,'Node Details'!$B:$U,E$1,0),"Check"),"")</f>
        <v>Airtel</v>
      </c>
      <c r="F1321" s="101">
        <v>46149</v>
      </c>
      <c r="G1321" s="103"/>
      <c r="H1321" s="102" t="s">
        <v>1260</v>
      </c>
      <c r="I1321" s="9">
        <v>4</v>
      </c>
      <c r="J1321" s="9">
        <v>65</v>
      </c>
      <c r="K1321" s="100">
        <f t="shared" si="168"/>
        <v>260</v>
      </c>
      <c r="L1321" s="78">
        <v>46142</v>
      </c>
      <c r="M1321" s="103"/>
      <c r="N1321" s="93" t="s">
        <v>617</v>
      </c>
      <c r="O1321" s="94">
        <v>46141</v>
      </c>
      <c r="P1321" s="104">
        <f t="shared" si="169"/>
        <v>65</v>
      </c>
      <c r="Q1321" s="104">
        <f t="shared" si="170"/>
        <v>260</v>
      </c>
      <c r="R1321" s="104"/>
      <c r="S1321" s="93" t="s">
        <v>618</v>
      </c>
      <c r="T1321" s="94">
        <v>46156</v>
      </c>
      <c r="U1321" s="104">
        <f t="shared" si="171"/>
        <v>65</v>
      </c>
      <c r="V1321" s="104">
        <f t="shared" si="172"/>
        <v>4</v>
      </c>
      <c r="W1321" s="103">
        <f t="shared" si="173"/>
        <v>260</v>
      </c>
      <c r="X1321" s="93" t="s">
        <v>89</v>
      </c>
      <c r="Y1321" s="105" t="s">
        <v>84</v>
      </c>
      <c r="Z1321" s="105" t="s">
        <v>619</v>
      </c>
    </row>
    <row r="1322" spans="1:26" s="105" customFormat="1" ht="15" customHeight="1">
      <c r="A1322" s="99">
        <f t="shared" si="174"/>
        <v>1320</v>
      </c>
      <c r="B1322" s="75" t="s">
        <v>660</v>
      </c>
      <c r="C1322" s="100" t="str">
        <f>IF($B1322&lt;&gt;"",_xlfn.IFNA(VLOOKUP($B1322,'Node Details'!$B:$U,C$1,0),"Check"),"")</f>
        <v>0000CM304-CM3040104</v>
      </c>
      <c r="D1322" s="100" t="str">
        <f>IF($B1322&lt;&gt;"",_xlfn.IFNA(VLOOKUP($B1322,'Node Details'!$B:$U,D$1,0),"Check"),"")</f>
        <v>CM3</v>
      </c>
      <c r="E1322" s="100" t="str">
        <f>IF($B1322&lt;&gt;"",_xlfn.IFNA(VLOOKUP($B1322,'Node Details'!$B:$U,E$1,0),"Check"),"")</f>
        <v>Airtel</v>
      </c>
      <c r="F1322" s="101">
        <v>46149</v>
      </c>
      <c r="G1322" s="103"/>
      <c r="H1322" s="102" t="s">
        <v>1260</v>
      </c>
      <c r="I1322" s="9">
        <v>2</v>
      </c>
      <c r="J1322" s="9">
        <v>65</v>
      </c>
      <c r="K1322" s="100">
        <f t="shared" si="168"/>
        <v>130</v>
      </c>
      <c r="L1322" s="78">
        <v>46142</v>
      </c>
      <c r="M1322" s="103"/>
      <c r="N1322" s="93" t="s">
        <v>617</v>
      </c>
      <c r="O1322" s="94">
        <v>46141</v>
      </c>
      <c r="P1322" s="104">
        <f t="shared" si="169"/>
        <v>65</v>
      </c>
      <c r="Q1322" s="104">
        <f t="shared" si="170"/>
        <v>130</v>
      </c>
      <c r="R1322" s="104"/>
      <c r="S1322" s="93" t="s">
        <v>618</v>
      </c>
      <c r="T1322" s="94">
        <v>46156</v>
      </c>
      <c r="U1322" s="104">
        <f t="shared" si="171"/>
        <v>65</v>
      </c>
      <c r="V1322" s="104">
        <f t="shared" si="172"/>
        <v>2</v>
      </c>
      <c r="W1322" s="103">
        <f t="shared" si="173"/>
        <v>130</v>
      </c>
      <c r="X1322" s="93" t="s">
        <v>89</v>
      </c>
      <c r="Y1322" s="105" t="s">
        <v>84</v>
      </c>
      <c r="Z1322" s="105" t="s">
        <v>619</v>
      </c>
    </row>
    <row r="1323" spans="1:26" s="105" customFormat="1" ht="15" customHeight="1">
      <c r="A1323" s="99">
        <f t="shared" si="174"/>
        <v>1321</v>
      </c>
      <c r="B1323" s="75" t="s">
        <v>634</v>
      </c>
      <c r="C1323" s="100" t="str">
        <f>IF($B1323&lt;&gt;"",_xlfn.IFNA(VLOOKUP($B1323,'Node Details'!$B:$U,C$1,0),"Check"),"")</f>
        <v>000000CM3-0000CM310</v>
      </c>
      <c r="D1323" s="100" t="str">
        <f>IF($B1323&lt;&gt;"",_xlfn.IFNA(VLOOKUP($B1323,'Node Details'!$B:$U,D$1,0),"Check"),"")</f>
        <v>CM3</v>
      </c>
      <c r="E1323" s="100" t="str">
        <f>IF($B1323&lt;&gt;"",_xlfn.IFNA(VLOOKUP($B1323,'Node Details'!$B:$U,E$1,0),"Check"),"")</f>
        <v>Airtel</v>
      </c>
      <c r="F1323" s="101">
        <v>46149</v>
      </c>
      <c r="G1323" s="103"/>
      <c r="H1323" s="102" t="s">
        <v>1260</v>
      </c>
      <c r="I1323" s="9">
        <v>40</v>
      </c>
      <c r="J1323" s="9">
        <v>65</v>
      </c>
      <c r="K1323" s="100">
        <f t="shared" si="168"/>
        <v>2600</v>
      </c>
      <c r="L1323" s="78">
        <v>46142</v>
      </c>
      <c r="M1323" s="103"/>
      <c r="N1323" s="93" t="s">
        <v>617</v>
      </c>
      <c r="O1323" s="94">
        <v>46141</v>
      </c>
      <c r="P1323" s="104">
        <f t="shared" si="169"/>
        <v>65</v>
      </c>
      <c r="Q1323" s="104">
        <f t="shared" si="170"/>
        <v>2600</v>
      </c>
      <c r="R1323" s="104"/>
      <c r="S1323" s="93" t="s">
        <v>618</v>
      </c>
      <c r="T1323" s="94">
        <v>46156</v>
      </c>
      <c r="U1323" s="104">
        <f t="shared" si="171"/>
        <v>65</v>
      </c>
      <c r="V1323" s="104">
        <f t="shared" si="172"/>
        <v>40</v>
      </c>
      <c r="W1323" s="103">
        <f t="shared" si="173"/>
        <v>2600</v>
      </c>
      <c r="X1323" s="93" t="s">
        <v>89</v>
      </c>
      <c r="Y1323" s="105" t="s">
        <v>84</v>
      </c>
      <c r="Z1323" s="105" t="s">
        <v>619</v>
      </c>
    </row>
    <row r="1324" spans="1:26" s="105" customFormat="1" ht="15" customHeight="1">
      <c r="A1324" s="99">
        <f t="shared" si="174"/>
        <v>1322</v>
      </c>
      <c r="B1324" s="75" t="s">
        <v>1143</v>
      </c>
      <c r="C1324" s="100" t="str">
        <f>IF($B1324&lt;&gt;"",_xlfn.IFNA(VLOOKUP($B1324,'Node Details'!$B:$U,C$1,0),"Check"),"")</f>
        <v>0000CM306-CM3060104</v>
      </c>
      <c r="D1324" s="100" t="str">
        <f>IF($B1324&lt;&gt;"",_xlfn.IFNA(VLOOKUP($B1324,'Node Details'!$B:$U,D$1,0),"Check"),"")</f>
        <v>CM3</v>
      </c>
      <c r="E1324" s="100" t="str">
        <f>IF($B1324&lt;&gt;"",_xlfn.IFNA(VLOOKUP($B1324,'Node Details'!$B:$U,E$1,0),"Check"),"")</f>
        <v>Airtel</v>
      </c>
      <c r="F1324" s="101">
        <v>46149</v>
      </c>
      <c r="G1324" s="103"/>
      <c r="H1324" s="102" t="s">
        <v>1260</v>
      </c>
      <c r="I1324" s="9">
        <v>6</v>
      </c>
      <c r="J1324" s="9">
        <v>65</v>
      </c>
      <c r="K1324" s="100">
        <f t="shared" si="168"/>
        <v>390</v>
      </c>
      <c r="L1324" s="78">
        <v>46142</v>
      </c>
      <c r="M1324" s="103"/>
      <c r="N1324" s="93" t="s">
        <v>617</v>
      </c>
      <c r="O1324" s="94">
        <v>46141</v>
      </c>
      <c r="P1324" s="104">
        <f t="shared" si="169"/>
        <v>65</v>
      </c>
      <c r="Q1324" s="104">
        <f t="shared" si="170"/>
        <v>390</v>
      </c>
      <c r="R1324" s="104"/>
      <c r="S1324" s="93" t="s">
        <v>618</v>
      </c>
      <c r="T1324" s="94">
        <v>46156</v>
      </c>
      <c r="U1324" s="104">
        <f t="shared" si="171"/>
        <v>65</v>
      </c>
      <c r="V1324" s="104">
        <f t="shared" si="172"/>
        <v>6</v>
      </c>
      <c r="W1324" s="103">
        <f t="shared" si="173"/>
        <v>390</v>
      </c>
      <c r="X1324" s="93" t="s">
        <v>89</v>
      </c>
      <c r="Y1324" s="105" t="s">
        <v>84</v>
      </c>
      <c r="Z1324" s="105" t="s">
        <v>619</v>
      </c>
    </row>
    <row r="1325" spans="1:26" s="105" customFormat="1" ht="15" customHeight="1">
      <c r="A1325" s="99">
        <f t="shared" si="174"/>
        <v>1323</v>
      </c>
      <c r="B1325" s="75" t="s">
        <v>1144</v>
      </c>
      <c r="C1325" s="100" t="str">
        <f>IF($B1325&lt;&gt;"",_xlfn.IFNA(VLOOKUP($B1325,'Node Details'!$B:$U,C$1,0),"Check"),"")</f>
        <v>0000CM306-CM3060104</v>
      </c>
      <c r="D1325" s="100" t="str">
        <f>IF($B1325&lt;&gt;"",_xlfn.IFNA(VLOOKUP($B1325,'Node Details'!$B:$U,D$1,0),"Check"),"")</f>
        <v>CM3</v>
      </c>
      <c r="E1325" s="100" t="str">
        <f>IF($B1325&lt;&gt;"",_xlfn.IFNA(VLOOKUP($B1325,'Node Details'!$B:$U,E$1,0),"Check"),"")</f>
        <v>Airtel</v>
      </c>
      <c r="F1325" s="101">
        <v>46149</v>
      </c>
      <c r="G1325" s="103"/>
      <c r="H1325" s="102" t="s">
        <v>1260</v>
      </c>
      <c r="I1325" s="9">
        <v>4</v>
      </c>
      <c r="J1325" s="9">
        <v>65</v>
      </c>
      <c r="K1325" s="100">
        <f t="shared" si="168"/>
        <v>260</v>
      </c>
      <c r="L1325" s="78">
        <v>46142</v>
      </c>
      <c r="M1325" s="103"/>
      <c r="N1325" s="93" t="s">
        <v>617</v>
      </c>
      <c r="O1325" s="94">
        <v>46141</v>
      </c>
      <c r="P1325" s="104">
        <f t="shared" si="169"/>
        <v>65</v>
      </c>
      <c r="Q1325" s="104">
        <f t="shared" si="170"/>
        <v>260</v>
      </c>
      <c r="R1325" s="104"/>
      <c r="S1325" s="93" t="s">
        <v>618</v>
      </c>
      <c r="T1325" s="94">
        <v>46156</v>
      </c>
      <c r="U1325" s="104">
        <f t="shared" si="171"/>
        <v>65</v>
      </c>
      <c r="V1325" s="104">
        <f t="shared" si="172"/>
        <v>4</v>
      </c>
      <c r="W1325" s="103">
        <f t="shared" si="173"/>
        <v>260</v>
      </c>
      <c r="X1325" s="93" t="s">
        <v>89</v>
      </c>
      <c r="Y1325" s="105" t="s">
        <v>84</v>
      </c>
      <c r="Z1325" s="105" t="s">
        <v>619</v>
      </c>
    </row>
    <row r="1326" spans="1:26" s="105" customFormat="1" ht="15" customHeight="1">
      <c r="A1326" s="99">
        <f t="shared" si="174"/>
        <v>1324</v>
      </c>
      <c r="B1326" s="75" t="s">
        <v>1145</v>
      </c>
      <c r="C1326" s="100" t="str">
        <f>IF($B1326&lt;&gt;"",_xlfn.IFNA(VLOOKUP($B1326,'Node Details'!$B:$U,C$1,0),"Check"),"")</f>
        <v>0000CM306-CM3060104</v>
      </c>
      <c r="D1326" s="100" t="str">
        <f>IF($B1326&lt;&gt;"",_xlfn.IFNA(VLOOKUP($B1326,'Node Details'!$B:$U,D$1,0),"Check"),"")</f>
        <v>CM3</v>
      </c>
      <c r="E1326" s="100" t="str">
        <f>IF($B1326&lt;&gt;"",_xlfn.IFNA(VLOOKUP($B1326,'Node Details'!$B:$U,E$1,0),"Check"),"")</f>
        <v>Airtel</v>
      </c>
      <c r="F1326" s="101">
        <v>46149</v>
      </c>
      <c r="G1326" s="103"/>
      <c r="H1326" s="102" t="s">
        <v>1260</v>
      </c>
      <c r="I1326" s="9">
        <v>2</v>
      </c>
      <c r="J1326" s="9">
        <v>65</v>
      </c>
      <c r="K1326" s="100">
        <f t="shared" si="168"/>
        <v>130</v>
      </c>
      <c r="L1326" s="78">
        <v>46142</v>
      </c>
      <c r="M1326" s="103"/>
      <c r="N1326" s="93" t="s">
        <v>617</v>
      </c>
      <c r="O1326" s="94">
        <v>46141</v>
      </c>
      <c r="P1326" s="104">
        <f t="shared" si="169"/>
        <v>65</v>
      </c>
      <c r="Q1326" s="104">
        <f t="shared" si="170"/>
        <v>130</v>
      </c>
      <c r="R1326" s="104"/>
      <c r="S1326" s="93" t="s">
        <v>618</v>
      </c>
      <c r="T1326" s="94">
        <v>46156</v>
      </c>
      <c r="U1326" s="104">
        <f t="shared" si="171"/>
        <v>65</v>
      </c>
      <c r="V1326" s="104">
        <f t="shared" si="172"/>
        <v>2</v>
      </c>
      <c r="W1326" s="103">
        <f t="shared" si="173"/>
        <v>130</v>
      </c>
      <c r="X1326" s="93" t="s">
        <v>89</v>
      </c>
      <c r="Y1326" s="105" t="s">
        <v>84</v>
      </c>
      <c r="Z1326" s="105" t="s">
        <v>619</v>
      </c>
    </row>
    <row r="1327" spans="1:26" s="105" customFormat="1" ht="15" customHeight="1">
      <c r="A1327" s="99">
        <f t="shared" si="174"/>
        <v>1325</v>
      </c>
      <c r="B1327" s="75" t="s">
        <v>1146</v>
      </c>
      <c r="C1327" s="100" t="str">
        <f>IF($B1327&lt;&gt;"",_xlfn.IFNA(VLOOKUP($B1327,'Node Details'!$B:$U,C$1,0),"Check"),"")</f>
        <v>0000CM307-CM3070103</v>
      </c>
      <c r="D1327" s="100" t="str">
        <f>IF($B1327&lt;&gt;"",_xlfn.IFNA(VLOOKUP($B1327,'Node Details'!$B:$U,D$1,0),"Check"),"")</f>
        <v>CM3</v>
      </c>
      <c r="E1327" s="100" t="str">
        <f>IF($B1327&lt;&gt;"",_xlfn.IFNA(VLOOKUP($B1327,'Node Details'!$B:$U,E$1,0),"Check"),"")</f>
        <v>Airtel</v>
      </c>
      <c r="F1327" s="101">
        <v>46149</v>
      </c>
      <c r="G1327" s="103"/>
      <c r="H1327" s="102" t="s">
        <v>1260</v>
      </c>
      <c r="I1327" s="9">
        <v>6</v>
      </c>
      <c r="J1327" s="9">
        <v>65</v>
      </c>
      <c r="K1327" s="100">
        <f t="shared" si="168"/>
        <v>390</v>
      </c>
      <c r="L1327" s="78">
        <v>46142</v>
      </c>
      <c r="M1327" s="103"/>
      <c r="N1327" s="93" t="s">
        <v>617</v>
      </c>
      <c r="O1327" s="94">
        <v>46141</v>
      </c>
      <c r="P1327" s="104">
        <f t="shared" si="169"/>
        <v>65</v>
      </c>
      <c r="Q1327" s="104">
        <f t="shared" si="170"/>
        <v>390</v>
      </c>
      <c r="R1327" s="104"/>
      <c r="S1327" s="93" t="s">
        <v>618</v>
      </c>
      <c r="T1327" s="94">
        <v>46156</v>
      </c>
      <c r="U1327" s="104">
        <f t="shared" si="171"/>
        <v>65</v>
      </c>
      <c r="V1327" s="104">
        <f t="shared" si="172"/>
        <v>6</v>
      </c>
      <c r="W1327" s="103">
        <f t="shared" si="173"/>
        <v>390</v>
      </c>
      <c r="X1327" s="93" t="s">
        <v>89</v>
      </c>
      <c r="Y1327" s="105" t="s">
        <v>84</v>
      </c>
      <c r="Z1327" s="105" t="s">
        <v>619</v>
      </c>
    </row>
    <row r="1328" spans="1:26" s="105" customFormat="1" ht="15" customHeight="1">
      <c r="A1328" s="99">
        <f t="shared" si="174"/>
        <v>1326</v>
      </c>
      <c r="B1328" s="75" t="s">
        <v>1147</v>
      </c>
      <c r="C1328" s="100" t="str">
        <f>IF($B1328&lt;&gt;"",_xlfn.IFNA(VLOOKUP($B1328,'Node Details'!$B:$U,C$1,0),"Check"),"")</f>
        <v>0000CM307-CM3070103</v>
      </c>
      <c r="D1328" s="100" t="str">
        <f>IF($B1328&lt;&gt;"",_xlfn.IFNA(VLOOKUP($B1328,'Node Details'!$B:$U,D$1,0),"Check"),"")</f>
        <v>CM3</v>
      </c>
      <c r="E1328" s="100" t="str">
        <f>IF($B1328&lt;&gt;"",_xlfn.IFNA(VLOOKUP($B1328,'Node Details'!$B:$U,E$1,0),"Check"),"")</f>
        <v>Airtel</v>
      </c>
      <c r="F1328" s="101">
        <v>46149</v>
      </c>
      <c r="G1328" s="103"/>
      <c r="H1328" s="102" t="s">
        <v>1260</v>
      </c>
      <c r="I1328" s="9">
        <v>4</v>
      </c>
      <c r="J1328" s="9">
        <v>65</v>
      </c>
      <c r="K1328" s="100">
        <f t="shared" si="168"/>
        <v>260</v>
      </c>
      <c r="L1328" s="78">
        <v>46142</v>
      </c>
      <c r="M1328" s="103"/>
      <c r="N1328" s="93" t="s">
        <v>617</v>
      </c>
      <c r="O1328" s="94">
        <v>46141</v>
      </c>
      <c r="P1328" s="104">
        <f t="shared" si="169"/>
        <v>65</v>
      </c>
      <c r="Q1328" s="104">
        <f t="shared" si="170"/>
        <v>260</v>
      </c>
      <c r="R1328" s="104"/>
      <c r="S1328" s="93" t="s">
        <v>618</v>
      </c>
      <c r="T1328" s="94">
        <v>46156</v>
      </c>
      <c r="U1328" s="104">
        <f t="shared" si="171"/>
        <v>65</v>
      </c>
      <c r="V1328" s="104">
        <f t="shared" si="172"/>
        <v>4</v>
      </c>
      <c r="W1328" s="103">
        <f t="shared" si="173"/>
        <v>260</v>
      </c>
      <c r="X1328" s="93" t="s">
        <v>89</v>
      </c>
      <c r="Y1328" s="105" t="s">
        <v>84</v>
      </c>
      <c r="Z1328" s="105" t="s">
        <v>619</v>
      </c>
    </row>
    <row r="1329" spans="1:26" s="105" customFormat="1" ht="15" customHeight="1">
      <c r="A1329" s="99">
        <f t="shared" si="174"/>
        <v>1327</v>
      </c>
      <c r="B1329" t="s">
        <v>675</v>
      </c>
      <c r="C1329" s="100" t="str">
        <f>IF($B1329&lt;&gt;"",_xlfn.IFNA(VLOOKUP($B1329,'Node Details'!$B:$U,C$1,0),"Check"),"")</f>
        <v>0000CM307-CM3070103</v>
      </c>
      <c r="D1329" s="100" t="str">
        <f>IF($B1329&lt;&gt;"",_xlfn.IFNA(VLOOKUP($B1329,'Node Details'!$B:$U,D$1,0),"Check"),"")</f>
        <v>CM3</v>
      </c>
      <c r="E1329" s="100" t="str">
        <f>IF($B1329&lt;&gt;"",_xlfn.IFNA(VLOOKUP($B1329,'Node Details'!$B:$U,E$1,0),"Check"),"")</f>
        <v>Airtel</v>
      </c>
      <c r="F1329" s="101">
        <v>46149</v>
      </c>
      <c r="G1329" s="103"/>
      <c r="H1329" s="102" t="s">
        <v>1260</v>
      </c>
      <c r="I1329" s="9">
        <v>2</v>
      </c>
      <c r="J1329" s="9">
        <v>65</v>
      </c>
      <c r="K1329" s="100">
        <f t="shared" si="168"/>
        <v>130</v>
      </c>
      <c r="L1329" s="78">
        <v>46142</v>
      </c>
      <c r="M1329" s="103"/>
      <c r="N1329" s="93" t="s">
        <v>617</v>
      </c>
      <c r="O1329" s="94">
        <v>46141</v>
      </c>
      <c r="P1329" s="104">
        <f t="shared" si="169"/>
        <v>65</v>
      </c>
      <c r="Q1329" s="104">
        <f t="shared" si="170"/>
        <v>130</v>
      </c>
      <c r="R1329" s="104"/>
      <c r="S1329" s="93" t="s">
        <v>618</v>
      </c>
      <c r="T1329" s="94">
        <v>46156</v>
      </c>
      <c r="U1329" s="104">
        <f t="shared" si="171"/>
        <v>65</v>
      </c>
      <c r="V1329" s="104">
        <f t="shared" si="172"/>
        <v>2</v>
      </c>
      <c r="W1329" s="103">
        <f t="shared" si="173"/>
        <v>130</v>
      </c>
      <c r="X1329" s="93" t="s">
        <v>89</v>
      </c>
      <c r="Y1329" s="105" t="s">
        <v>84</v>
      </c>
      <c r="Z1329" s="105" t="s">
        <v>619</v>
      </c>
    </row>
    <row r="1330" spans="1:26" s="105" customFormat="1" ht="15" customHeight="1">
      <c r="A1330" s="99">
        <f t="shared" si="174"/>
        <v>1328</v>
      </c>
      <c r="B1330" s="75" t="s">
        <v>679</v>
      </c>
      <c r="C1330" s="100" t="str">
        <f>IF($B1330&lt;&gt;"",_xlfn.IFNA(VLOOKUP($B1330,'Node Details'!$B:$U,C$1,0),"Check"),"")</f>
        <v>0000CM307-CM3070105</v>
      </c>
      <c r="D1330" s="100" t="str">
        <f>IF($B1330&lt;&gt;"",_xlfn.IFNA(VLOOKUP($B1330,'Node Details'!$B:$U,D$1,0),"Check"),"")</f>
        <v>CM3</v>
      </c>
      <c r="E1330" s="100" t="str">
        <f>IF($B1330&lt;&gt;"",_xlfn.IFNA(VLOOKUP($B1330,'Node Details'!$B:$U,E$1,0),"Check"),"")</f>
        <v>Airtel</v>
      </c>
      <c r="F1330" s="101">
        <v>46149</v>
      </c>
      <c r="G1330" s="103"/>
      <c r="H1330" s="102" t="s">
        <v>1260</v>
      </c>
      <c r="I1330" s="9">
        <v>6</v>
      </c>
      <c r="J1330" s="9">
        <v>65</v>
      </c>
      <c r="K1330" s="100">
        <f t="shared" si="168"/>
        <v>390</v>
      </c>
      <c r="L1330" s="78">
        <v>46142</v>
      </c>
      <c r="M1330" s="103"/>
      <c r="N1330" s="93" t="s">
        <v>617</v>
      </c>
      <c r="O1330" s="94">
        <v>46141</v>
      </c>
      <c r="P1330" s="104">
        <f t="shared" si="169"/>
        <v>65</v>
      </c>
      <c r="Q1330" s="104">
        <f t="shared" si="170"/>
        <v>390</v>
      </c>
      <c r="R1330" s="104"/>
      <c r="S1330" s="93" t="s">
        <v>618</v>
      </c>
      <c r="T1330" s="94">
        <v>46156</v>
      </c>
      <c r="U1330" s="104">
        <f t="shared" si="171"/>
        <v>65</v>
      </c>
      <c r="V1330" s="104">
        <f t="shared" si="172"/>
        <v>6</v>
      </c>
      <c r="W1330" s="103">
        <f t="shared" si="173"/>
        <v>390</v>
      </c>
      <c r="X1330" s="93" t="s">
        <v>89</v>
      </c>
      <c r="Y1330" s="105" t="s">
        <v>84</v>
      </c>
      <c r="Z1330" s="105" t="s">
        <v>619</v>
      </c>
    </row>
    <row r="1331" spans="1:26" s="105" customFormat="1" ht="15" customHeight="1">
      <c r="A1331" s="99">
        <f t="shared" si="174"/>
        <v>1329</v>
      </c>
      <c r="B1331" s="75" t="s">
        <v>677</v>
      </c>
      <c r="C1331" s="100" t="str">
        <f>IF($B1331&lt;&gt;"",_xlfn.IFNA(VLOOKUP($B1331,'Node Details'!$B:$U,C$1,0),"Check"),"")</f>
        <v>0000CM307-CM3070105</v>
      </c>
      <c r="D1331" s="100" t="str">
        <f>IF($B1331&lt;&gt;"",_xlfn.IFNA(VLOOKUP($B1331,'Node Details'!$B:$U,D$1,0),"Check"),"")</f>
        <v>CM3</v>
      </c>
      <c r="E1331" s="100" t="str">
        <f>IF($B1331&lt;&gt;"",_xlfn.IFNA(VLOOKUP($B1331,'Node Details'!$B:$U,E$1,0),"Check"),"")</f>
        <v>Airtel</v>
      </c>
      <c r="F1331" s="101">
        <v>46149</v>
      </c>
      <c r="G1331" s="103"/>
      <c r="H1331" s="102" t="s">
        <v>1260</v>
      </c>
      <c r="I1331" s="9">
        <v>4</v>
      </c>
      <c r="J1331" s="9">
        <v>65</v>
      </c>
      <c r="K1331" s="100">
        <f t="shared" si="168"/>
        <v>260</v>
      </c>
      <c r="L1331" s="78">
        <v>46142</v>
      </c>
      <c r="M1331" s="103"/>
      <c r="N1331" s="93" t="s">
        <v>617</v>
      </c>
      <c r="O1331" s="94">
        <v>46141</v>
      </c>
      <c r="P1331" s="104">
        <f t="shared" si="169"/>
        <v>65</v>
      </c>
      <c r="Q1331" s="104">
        <f t="shared" si="170"/>
        <v>260</v>
      </c>
      <c r="R1331" s="104"/>
      <c r="S1331" s="93" t="s">
        <v>618</v>
      </c>
      <c r="T1331" s="94">
        <v>46156</v>
      </c>
      <c r="U1331" s="104">
        <f t="shared" si="171"/>
        <v>65</v>
      </c>
      <c r="V1331" s="104">
        <f t="shared" si="172"/>
        <v>4</v>
      </c>
      <c r="W1331" s="103">
        <f t="shared" si="173"/>
        <v>260</v>
      </c>
      <c r="X1331" s="93" t="s">
        <v>89</v>
      </c>
      <c r="Y1331" s="105" t="s">
        <v>84</v>
      </c>
      <c r="Z1331" s="105" t="s">
        <v>619</v>
      </c>
    </row>
    <row r="1332" spans="1:26" s="105" customFormat="1" ht="15" customHeight="1">
      <c r="A1332" s="99">
        <f t="shared" si="174"/>
        <v>1330</v>
      </c>
      <c r="B1332" s="75" t="s">
        <v>1148</v>
      </c>
      <c r="C1332" s="100" t="str">
        <f>IF($B1332&lt;&gt;"",_xlfn.IFNA(VLOOKUP($B1332,'Node Details'!$B:$U,C$1,0),"Check"),"")</f>
        <v>CM3070104-CM3070108</v>
      </c>
      <c r="D1332" s="100" t="str">
        <f>IF($B1332&lt;&gt;"",_xlfn.IFNA(VLOOKUP($B1332,'Node Details'!$B:$U,D$1,0),"Check"),"")</f>
        <v>CM3</v>
      </c>
      <c r="E1332" s="100" t="str">
        <f>IF($B1332&lt;&gt;"",_xlfn.IFNA(VLOOKUP($B1332,'Node Details'!$B:$U,E$1,0),"Check"),"")</f>
        <v>Airtel</v>
      </c>
      <c r="F1332" s="101">
        <v>46149</v>
      </c>
      <c r="G1332" s="103"/>
      <c r="H1332" s="102" t="s">
        <v>1260</v>
      </c>
      <c r="I1332" s="9">
        <v>2</v>
      </c>
      <c r="J1332" s="9">
        <v>65</v>
      </c>
      <c r="K1332" s="100">
        <f t="shared" si="168"/>
        <v>130</v>
      </c>
      <c r="L1332" s="78">
        <v>46142</v>
      </c>
      <c r="M1332" s="103"/>
      <c r="N1332" s="93" t="s">
        <v>617</v>
      </c>
      <c r="O1332" s="94">
        <v>46141</v>
      </c>
      <c r="P1332" s="104">
        <f t="shared" si="169"/>
        <v>65</v>
      </c>
      <c r="Q1332" s="104">
        <f t="shared" si="170"/>
        <v>130</v>
      </c>
      <c r="R1332" s="104"/>
      <c r="S1332" s="93" t="s">
        <v>618</v>
      </c>
      <c r="T1332" s="94">
        <v>46156</v>
      </c>
      <c r="U1332" s="104">
        <f t="shared" si="171"/>
        <v>65</v>
      </c>
      <c r="V1332" s="104">
        <f t="shared" si="172"/>
        <v>2</v>
      </c>
      <c r="W1332" s="103">
        <f t="shared" si="173"/>
        <v>130</v>
      </c>
      <c r="X1332" s="93" t="s">
        <v>89</v>
      </c>
      <c r="Y1332" s="105" t="s">
        <v>84</v>
      </c>
      <c r="Z1332" s="105" t="s">
        <v>619</v>
      </c>
    </row>
    <row r="1333" spans="1:26" s="105" customFormat="1" ht="15" customHeight="1">
      <c r="A1333" s="99">
        <f t="shared" si="174"/>
        <v>1331</v>
      </c>
      <c r="B1333" s="75" t="s">
        <v>682</v>
      </c>
      <c r="C1333" s="100" t="str">
        <f>IF($B1333&lt;&gt;"",_xlfn.IFNA(VLOOKUP($B1333,'Node Details'!$B:$U,C$1,0),"Check"),"")</f>
        <v>000000CM3-0000CM310</v>
      </c>
      <c r="D1333" s="100" t="str">
        <f>IF($B1333&lt;&gt;"",_xlfn.IFNA(VLOOKUP($B1333,'Node Details'!$B:$U,D$1,0),"Check"),"")</f>
        <v>CM3</v>
      </c>
      <c r="E1333" s="100" t="str">
        <f>IF($B1333&lt;&gt;"",_xlfn.IFNA(VLOOKUP($B1333,'Node Details'!$B:$U,E$1,0),"Check"),"")</f>
        <v>Airtel</v>
      </c>
      <c r="F1333" s="101">
        <v>46149</v>
      </c>
      <c r="G1333" s="103"/>
      <c r="H1333" s="102" t="s">
        <v>1260</v>
      </c>
      <c r="I1333" s="9">
        <v>42</v>
      </c>
      <c r="J1333" s="9">
        <v>65</v>
      </c>
      <c r="K1333" s="100">
        <f t="shared" si="168"/>
        <v>2730</v>
      </c>
      <c r="L1333" s="78">
        <v>46142</v>
      </c>
      <c r="M1333" s="103"/>
      <c r="N1333" s="93" t="s">
        <v>617</v>
      </c>
      <c r="O1333" s="94">
        <v>46141</v>
      </c>
      <c r="P1333" s="104">
        <f t="shared" si="169"/>
        <v>65</v>
      </c>
      <c r="Q1333" s="104">
        <f t="shared" si="170"/>
        <v>2730</v>
      </c>
      <c r="R1333" s="104"/>
      <c r="S1333" s="93" t="s">
        <v>618</v>
      </c>
      <c r="T1333" s="94">
        <v>46156</v>
      </c>
      <c r="U1333" s="104">
        <f t="shared" si="171"/>
        <v>65</v>
      </c>
      <c r="V1333" s="104">
        <f t="shared" si="172"/>
        <v>42</v>
      </c>
      <c r="W1333" s="103">
        <f t="shared" si="173"/>
        <v>2730</v>
      </c>
      <c r="X1333" s="93" t="s">
        <v>89</v>
      </c>
      <c r="Y1333" s="105" t="s">
        <v>84</v>
      </c>
      <c r="Z1333" s="105" t="s">
        <v>619</v>
      </c>
    </row>
    <row r="1334" spans="1:26" s="105" customFormat="1" ht="15" customHeight="1">
      <c r="A1334" s="99">
        <f t="shared" si="174"/>
        <v>1332</v>
      </c>
      <c r="B1334" s="75" t="s">
        <v>685</v>
      </c>
      <c r="C1334" s="100" t="str">
        <f>IF($B1334&lt;&gt;"",_xlfn.IFNA(VLOOKUP($B1334,'Node Details'!$B:$U,C$1,0),"Check"),"")</f>
        <v>0000CM308-CM3080103</v>
      </c>
      <c r="D1334" s="100" t="str">
        <f>IF($B1334&lt;&gt;"",_xlfn.IFNA(VLOOKUP($B1334,'Node Details'!$B:$U,D$1,0),"Check"),"")</f>
        <v>CM3</v>
      </c>
      <c r="E1334" s="100" t="str">
        <f>IF($B1334&lt;&gt;"",_xlfn.IFNA(VLOOKUP($B1334,'Node Details'!$B:$U,E$1,0),"Check"),"")</f>
        <v>Airtel</v>
      </c>
      <c r="F1334" s="101">
        <v>46149</v>
      </c>
      <c r="G1334" s="103"/>
      <c r="H1334" s="102" t="s">
        <v>1260</v>
      </c>
      <c r="I1334" s="9">
        <v>6</v>
      </c>
      <c r="J1334" s="9">
        <v>65</v>
      </c>
      <c r="K1334" s="100">
        <f t="shared" si="168"/>
        <v>390</v>
      </c>
      <c r="L1334" s="78">
        <v>46142</v>
      </c>
      <c r="M1334" s="103"/>
      <c r="N1334" s="93" t="s">
        <v>617</v>
      </c>
      <c r="O1334" s="94">
        <v>46141</v>
      </c>
      <c r="P1334" s="104">
        <f t="shared" si="169"/>
        <v>65</v>
      </c>
      <c r="Q1334" s="104">
        <f t="shared" si="170"/>
        <v>390</v>
      </c>
      <c r="R1334" s="104"/>
      <c r="S1334" s="93" t="s">
        <v>618</v>
      </c>
      <c r="T1334" s="94">
        <v>46156</v>
      </c>
      <c r="U1334" s="104">
        <f t="shared" si="171"/>
        <v>65</v>
      </c>
      <c r="V1334" s="104">
        <f t="shared" si="172"/>
        <v>6</v>
      </c>
      <c r="W1334" s="103">
        <f t="shared" si="173"/>
        <v>390</v>
      </c>
      <c r="X1334" s="93" t="s">
        <v>89</v>
      </c>
      <c r="Y1334" s="105" t="s">
        <v>84</v>
      </c>
      <c r="Z1334" s="105" t="s">
        <v>619</v>
      </c>
    </row>
    <row r="1335" spans="1:26" s="105" customFormat="1" ht="15" customHeight="1">
      <c r="A1335" s="99">
        <f t="shared" si="174"/>
        <v>1333</v>
      </c>
      <c r="B1335" s="75" t="s">
        <v>683</v>
      </c>
      <c r="C1335" s="100" t="str">
        <f>IF($B1335&lt;&gt;"",_xlfn.IFNA(VLOOKUP($B1335,'Node Details'!$B:$U,C$1,0),"Check"),"")</f>
        <v>0000CM308-CM3080103</v>
      </c>
      <c r="D1335" s="100" t="str">
        <f>IF($B1335&lt;&gt;"",_xlfn.IFNA(VLOOKUP($B1335,'Node Details'!$B:$U,D$1,0),"Check"),"")</f>
        <v>CM3</v>
      </c>
      <c r="E1335" s="100" t="str">
        <f>IF($B1335&lt;&gt;"",_xlfn.IFNA(VLOOKUP($B1335,'Node Details'!$B:$U,E$1,0),"Check"),"")</f>
        <v>Airtel</v>
      </c>
      <c r="F1335" s="101">
        <v>46149</v>
      </c>
      <c r="G1335" s="103"/>
      <c r="H1335" s="102" t="s">
        <v>1260</v>
      </c>
      <c r="I1335" s="9">
        <v>4</v>
      </c>
      <c r="J1335" s="9">
        <v>65</v>
      </c>
      <c r="K1335" s="100">
        <f t="shared" si="168"/>
        <v>260</v>
      </c>
      <c r="L1335" s="78">
        <v>46142</v>
      </c>
      <c r="M1335" s="103"/>
      <c r="N1335" s="93" t="s">
        <v>617</v>
      </c>
      <c r="O1335" s="94">
        <v>46141</v>
      </c>
      <c r="P1335" s="104">
        <f t="shared" si="169"/>
        <v>65</v>
      </c>
      <c r="Q1335" s="104">
        <f t="shared" si="170"/>
        <v>260</v>
      </c>
      <c r="R1335" s="104"/>
      <c r="S1335" s="93" t="s">
        <v>618</v>
      </c>
      <c r="T1335" s="94">
        <v>46156</v>
      </c>
      <c r="U1335" s="104">
        <f t="shared" si="171"/>
        <v>65</v>
      </c>
      <c r="V1335" s="104">
        <f t="shared" si="172"/>
        <v>4</v>
      </c>
      <c r="W1335" s="103">
        <f t="shared" si="173"/>
        <v>260</v>
      </c>
      <c r="X1335" s="93" t="s">
        <v>89</v>
      </c>
      <c r="Y1335" s="105" t="s">
        <v>84</v>
      </c>
      <c r="Z1335" s="105" t="s">
        <v>619</v>
      </c>
    </row>
    <row r="1336" spans="1:26" s="105" customFormat="1" ht="15" customHeight="1">
      <c r="A1336" s="99">
        <f t="shared" si="174"/>
        <v>1334</v>
      </c>
      <c r="B1336" s="75" t="s">
        <v>686</v>
      </c>
      <c r="C1336" s="100" t="str">
        <f>IF($B1336&lt;&gt;"",_xlfn.IFNA(VLOOKUP($B1336,'Node Details'!$B:$U,C$1,0),"Check"),"")</f>
        <v>CM3080101-CM3080102</v>
      </c>
      <c r="D1336" s="100" t="str">
        <f>IF($B1336&lt;&gt;"",_xlfn.IFNA(VLOOKUP($B1336,'Node Details'!$B:$U,D$1,0),"Check"),"")</f>
        <v>CM3</v>
      </c>
      <c r="E1336" s="100" t="str">
        <f>IF($B1336&lt;&gt;"",_xlfn.IFNA(VLOOKUP($B1336,'Node Details'!$B:$U,E$1,0),"Check"),"")</f>
        <v>Airtel</v>
      </c>
      <c r="F1336" s="101">
        <v>46149</v>
      </c>
      <c r="G1336" s="103"/>
      <c r="H1336" s="102" t="s">
        <v>1260</v>
      </c>
      <c r="I1336" s="9">
        <v>2</v>
      </c>
      <c r="J1336" s="9">
        <v>65</v>
      </c>
      <c r="K1336" s="100">
        <f t="shared" si="168"/>
        <v>130</v>
      </c>
      <c r="L1336" s="78">
        <v>46142</v>
      </c>
      <c r="M1336" s="103"/>
      <c r="N1336" s="93" t="s">
        <v>617</v>
      </c>
      <c r="O1336" s="94">
        <v>46141</v>
      </c>
      <c r="P1336" s="104">
        <f t="shared" si="169"/>
        <v>65</v>
      </c>
      <c r="Q1336" s="104">
        <f t="shared" si="170"/>
        <v>130</v>
      </c>
      <c r="R1336" s="104"/>
      <c r="S1336" s="93" t="s">
        <v>618</v>
      </c>
      <c r="T1336" s="94">
        <v>46156</v>
      </c>
      <c r="U1336" s="104">
        <f t="shared" si="171"/>
        <v>65</v>
      </c>
      <c r="V1336" s="104">
        <f t="shared" si="172"/>
        <v>2</v>
      </c>
      <c r="W1336" s="103">
        <f t="shared" si="173"/>
        <v>130</v>
      </c>
      <c r="X1336" s="93" t="s">
        <v>89</v>
      </c>
      <c r="Y1336" s="105" t="s">
        <v>84</v>
      </c>
      <c r="Z1336" s="105" t="s">
        <v>619</v>
      </c>
    </row>
    <row r="1337" spans="1:26" s="105" customFormat="1" ht="15" customHeight="1">
      <c r="A1337" s="99">
        <f t="shared" si="174"/>
        <v>1335</v>
      </c>
      <c r="B1337" s="75" t="s">
        <v>1150</v>
      </c>
      <c r="C1337" s="100" t="str">
        <f>IF($B1337&lt;&gt;"",_xlfn.IFNA(VLOOKUP($B1337,'Node Details'!$B:$U,C$1,0),"Check"),"")</f>
        <v>CM3080101-CM3080108</v>
      </c>
      <c r="D1337" s="100" t="str">
        <f>IF($B1337&lt;&gt;"",_xlfn.IFNA(VLOOKUP($B1337,'Node Details'!$B:$U,D$1,0),"Check"),"")</f>
        <v>CM3</v>
      </c>
      <c r="E1337" s="100" t="str">
        <f>IF($B1337&lt;&gt;"",_xlfn.IFNA(VLOOKUP($B1337,'Node Details'!$B:$U,E$1,0),"Check"),"")</f>
        <v>Airtel</v>
      </c>
      <c r="F1337" s="101">
        <v>46149</v>
      </c>
      <c r="G1337" s="103"/>
      <c r="H1337" s="102" t="s">
        <v>1260</v>
      </c>
      <c r="I1337" s="9">
        <v>6</v>
      </c>
      <c r="J1337" s="9">
        <v>65</v>
      </c>
      <c r="K1337" s="100">
        <f t="shared" si="168"/>
        <v>390</v>
      </c>
      <c r="L1337" s="78">
        <v>46142</v>
      </c>
      <c r="M1337" s="103"/>
      <c r="N1337" s="93" t="s">
        <v>617</v>
      </c>
      <c r="O1337" s="94">
        <v>46141</v>
      </c>
      <c r="P1337" s="104">
        <f t="shared" si="169"/>
        <v>65</v>
      </c>
      <c r="Q1337" s="104">
        <f t="shared" si="170"/>
        <v>390</v>
      </c>
      <c r="R1337" s="104"/>
      <c r="S1337" s="93" t="s">
        <v>618</v>
      </c>
      <c r="T1337" s="94">
        <v>46156</v>
      </c>
      <c r="U1337" s="104">
        <f t="shared" si="171"/>
        <v>65</v>
      </c>
      <c r="V1337" s="104">
        <f t="shared" si="172"/>
        <v>6</v>
      </c>
      <c r="W1337" s="103">
        <f t="shared" si="173"/>
        <v>390</v>
      </c>
      <c r="X1337" s="93" t="s">
        <v>89</v>
      </c>
      <c r="Y1337" s="105" t="s">
        <v>84</v>
      </c>
      <c r="Z1337" s="105" t="s">
        <v>619</v>
      </c>
    </row>
    <row r="1338" spans="1:26" s="105" customFormat="1" ht="15" customHeight="1">
      <c r="A1338" s="99">
        <f t="shared" si="174"/>
        <v>1336</v>
      </c>
      <c r="B1338" s="75" t="s">
        <v>1151</v>
      </c>
      <c r="C1338" s="100" t="str">
        <f>IF($B1338&lt;&gt;"",_xlfn.IFNA(VLOOKUP($B1338,'Node Details'!$B:$U,C$1,0),"Check"),"")</f>
        <v>CM3080101-CM3080108</v>
      </c>
      <c r="D1338" s="100" t="str">
        <f>IF($B1338&lt;&gt;"",_xlfn.IFNA(VLOOKUP($B1338,'Node Details'!$B:$U,D$1,0),"Check"),"")</f>
        <v>CM3</v>
      </c>
      <c r="E1338" s="100" t="str">
        <f>IF($B1338&lt;&gt;"",_xlfn.IFNA(VLOOKUP($B1338,'Node Details'!$B:$U,E$1,0),"Check"),"")</f>
        <v>Airtel</v>
      </c>
      <c r="F1338" s="101">
        <v>46149</v>
      </c>
      <c r="G1338" s="103"/>
      <c r="H1338" s="102" t="s">
        <v>1260</v>
      </c>
      <c r="I1338" s="9">
        <v>4</v>
      </c>
      <c r="J1338" s="9">
        <v>65</v>
      </c>
      <c r="K1338" s="100">
        <f t="shared" si="168"/>
        <v>260</v>
      </c>
      <c r="L1338" s="78">
        <v>46142</v>
      </c>
      <c r="M1338" s="103"/>
      <c r="N1338" s="93" t="s">
        <v>617</v>
      </c>
      <c r="O1338" s="94">
        <v>46141</v>
      </c>
      <c r="P1338" s="104">
        <f t="shared" si="169"/>
        <v>65</v>
      </c>
      <c r="Q1338" s="104">
        <f t="shared" si="170"/>
        <v>260</v>
      </c>
      <c r="R1338" s="104"/>
      <c r="S1338" s="93" t="s">
        <v>618</v>
      </c>
      <c r="T1338" s="94">
        <v>46156</v>
      </c>
      <c r="U1338" s="104">
        <f t="shared" si="171"/>
        <v>65</v>
      </c>
      <c r="V1338" s="104">
        <f t="shared" si="172"/>
        <v>4</v>
      </c>
      <c r="W1338" s="103">
        <f t="shared" si="173"/>
        <v>260</v>
      </c>
      <c r="X1338" s="93" t="s">
        <v>89</v>
      </c>
      <c r="Y1338" s="105" t="s">
        <v>84</v>
      </c>
      <c r="Z1338" s="105" t="s">
        <v>619</v>
      </c>
    </row>
    <row r="1339" spans="1:26" s="105" customFormat="1" ht="15" customHeight="1">
      <c r="A1339" s="99">
        <f t="shared" si="174"/>
        <v>1337</v>
      </c>
      <c r="B1339" s="75" t="s">
        <v>1152</v>
      </c>
      <c r="C1339" s="100" t="str">
        <f>IF($B1339&lt;&gt;"",_xlfn.IFNA(VLOOKUP($B1339,'Node Details'!$B:$U,C$1,0),"Check"),"")</f>
        <v>CM3080101-CM3080108</v>
      </c>
      <c r="D1339" s="100" t="str">
        <f>IF($B1339&lt;&gt;"",_xlfn.IFNA(VLOOKUP($B1339,'Node Details'!$B:$U,D$1,0),"Check"),"")</f>
        <v>CM3</v>
      </c>
      <c r="E1339" s="100" t="str">
        <f>IF($B1339&lt;&gt;"",_xlfn.IFNA(VLOOKUP($B1339,'Node Details'!$B:$U,E$1,0),"Check"),"")</f>
        <v>Airtel</v>
      </c>
      <c r="F1339" s="101">
        <v>46149</v>
      </c>
      <c r="G1339" s="103"/>
      <c r="H1339" s="102" t="s">
        <v>1260</v>
      </c>
      <c r="I1339" s="9">
        <v>2</v>
      </c>
      <c r="J1339" s="9">
        <v>65</v>
      </c>
      <c r="K1339" s="100">
        <f t="shared" si="168"/>
        <v>130</v>
      </c>
      <c r="L1339" s="78">
        <v>46142</v>
      </c>
      <c r="M1339" s="103"/>
      <c r="N1339" s="93" t="s">
        <v>617</v>
      </c>
      <c r="O1339" s="94">
        <v>46141</v>
      </c>
      <c r="P1339" s="104">
        <f t="shared" si="169"/>
        <v>65</v>
      </c>
      <c r="Q1339" s="104">
        <f t="shared" si="170"/>
        <v>130</v>
      </c>
      <c r="R1339" s="104"/>
      <c r="S1339" s="93" t="s">
        <v>618</v>
      </c>
      <c r="T1339" s="94">
        <v>46156</v>
      </c>
      <c r="U1339" s="104">
        <f t="shared" si="171"/>
        <v>65</v>
      </c>
      <c r="V1339" s="104">
        <f t="shared" si="172"/>
        <v>2</v>
      </c>
      <c r="W1339" s="103">
        <f t="shared" si="173"/>
        <v>130</v>
      </c>
      <c r="X1339" s="93" t="s">
        <v>89</v>
      </c>
      <c r="Y1339" s="105" t="s">
        <v>84</v>
      </c>
      <c r="Z1339" s="105" t="s">
        <v>619</v>
      </c>
    </row>
    <row r="1340" spans="1:26" s="105" customFormat="1" ht="15" customHeight="1">
      <c r="A1340" s="99">
        <f t="shared" si="174"/>
        <v>1338</v>
      </c>
      <c r="B1340" s="75" t="s">
        <v>692</v>
      </c>
      <c r="C1340" s="100" t="str">
        <f>IF($B1340&lt;&gt;"",_xlfn.IFNA(VLOOKUP($B1340,'Node Details'!$B:$U,C$1,0),"Check"),"")</f>
        <v>000000CM3-0000CM310</v>
      </c>
      <c r="D1340" s="100" t="str">
        <f>IF($B1340&lt;&gt;"",_xlfn.IFNA(VLOOKUP($B1340,'Node Details'!$B:$U,D$1,0),"Check"),"")</f>
        <v>CM3</v>
      </c>
      <c r="E1340" s="100" t="str">
        <f>IF($B1340&lt;&gt;"",_xlfn.IFNA(VLOOKUP($B1340,'Node Details'!$B:$U,E$1,0),"Check"),"")</f>
        <v>Airtel</v>
      </c>
      <c r="F1340" s="101">
        <v>46149</v>
      </c>
      <c r="G1340" s="103"/>
      <c r="H1340" s="102" t="s">
        <v>1260</v>
      </c>
      <c r="I1340" s="9">
        <v>42</v>
      </c>
      <c r="J1340" s="9">
        <v>65</v>
      </c>
      <c r="K1340" s="100">
        <f t="shared" si="168"/>
        <v>2730</v>
      </c>
      <c r="L1340" s="78">
        <v>46142</v>
      </c>
      <c r="M1340" s="103"/>
      <c r="N1340" s="93" t="s">
        <v>617</v>
      </c>
      <c r="O1340" s="94">
        <v>46141</v>
      </c>
      <c r="P1340" s="104">
        <f t="shared" si="169"/>
        <v>65</v>
      </c>
      <c r="Q1340" s="104">
        <f t="shared" si="170"/>
        <v>2730</v>
      </c>
      <c r="R1340" s="104"/>
      <c r="S1340" s="93" t="s">
        <v>618</v>
      </c>
      <c r="T1340" s="94">
        <v>46156</v>
      </c>
      <c r="U1340" s="104">
        <f t="shared" si="171"/>
        <v>65</v>
      </c>
      <c r="V1340" s="104">
        <f t="shared" si="172"/>
        <v>42</v>
      </c>
      <c r="W1340" s="103">
        <f t="shared" si="173"/>
        <v>2730</v>
      </c>
      <c r="X1340" s="93" t="s">
        <v>89</v>
      </c>
      <c r="Y1340" s="105" t="s">
        <v>84</v>
      </c>
      <c r="Z1340" s="105" t="s">
        <v>619</v>
      </c>
    </row>
    <row r="1341" spans="1:26" s="105" customFormat="1" ht="15" customHeight="1">
      <c r="A1341" s="99">
        <f t="shared" si="174"/>
        <v>1339</v>
      </c>
      <c r="B1341" s="75" t="s">
        <v>1153</v>
      </c>
      <c r="C1341" s="100" t="str">
        <f>IF($B1341&lt;&gt;"",_xlfn.IFNA(VLOOKUP($B1341,'Node Details'!$B:$U,C$1,0),"Check"),"")</f>
        <v>0000CM309-CM3090103</v>
      </c>
      <c r="D1341" s="100" t="str">
        <f>IF($B1341&lt;&gt;"",_xlfn.IFNA(VLOOKUP($B1341,'Node Details'!$B:$U,D$1,0),"Check"),"")</f>
        <v>CM3</v>
      </c>
      <c r="E1341" s="100" t="str">
        <f>IF($B1341&lt;&gt;"",_xlfn.IFNA(VLOOKUP($B1341,'Node Details'!$B:$U,E$1,0),"Check"),"")</f>
        <v>Airtel</v>
      </c>
      <c r="F1341" s="101">
        <v>46149</v>
      </c>
      <c r="G1341" s="103"/>
      <c r="H1341" s="102" t="s">
        <v>1260</v>
      </c>
      <c r="I1341" s="9">
        <v>6</v>
      </c>
      <c r="J1341" s="9">
        <v>65</v>
      </c>
      <c r="K1341" s="100">
        <f t="shared" si="168"/>
        <v>390</v>
      </c>
      <c r="L1341" s="78">
        <v>46142</v>
      </c>
      <c r="M1341" s="103"/>
      <c r="N1341" s="93" t="s">
        <v>617</v>
      </c>
      <c r="O1341" s="94">
        <v>46141</v>
      </c>
      <c r="P1341" s="104">
        <f t="shared" si="169"/>
        <v>65</v>
      </c>
      <c r="Q1341" s="104">
        <f t="shared" si="170"/>
        <v>390</v>
      </c>
      <c r="R1341" s="104"/>
      <c r="S1341" s="93" t="s">
        <v>618</v>
      </c>
      <c r="T1341" s="94">
        <v>46156</v>
      </c>
      <c r="U1341" s="104">
        <f t="shared" si="171"/>
        <v>65</v>
      </c>
      <c r="V1341" s="104">
        <f t="shared" si="172"/>
        <v>6</v>
      </c>
      <c r="W1341" s="103">
        <f t="shared" si="173"/>
        <v>390</v>
      </c>
      <c r="X1341" s="93" t="s">
        <v>89</v>
      </c>
      <c r="Y1341" s="105" t="s">
        <v>84</v>
      </c>
      <c r="Z1341" s="105" t="s">
        <v>619</v>
      </c>
    </row>
    <row r="1342" spans="1:26" s="105" customFormat="1" ht="15" customHeight="1">
      <c r="A1342" s="99">
        <f t="shared" si="174"/>
        <v>1340</v>
      </c>
      <c r="B1342" s="75" t="s">
        <v>1154</v>
      </c>
      <c r="C1342" s="100" t="str">
        <f>IF($B1342&lt;&gt;"",_xlfn.IFNA(VLOOKUP($B1342,'Node Details'!$B:$U,C$1,0),"Check"),"")</f>
        <v>0000CM309-CM3090103</v>
      </c>
      <c r="D1342" s="100" t="str">
        <f>IF($B1342&lt;&gt;"",_xlfn.IFNA(VLOOKUP($B1342,'Node Details'!$B:$U,D$1,0),"Check"),"")</f>
        <v>CM3</v>
      </c>
      <c r="E1342" s="100" t="str">
        <f>IF($B1342&lt;&gt;"",_xlfn.IFNA(VLOOKUP($B1342,'Node Details'!$B:$U,E$1,0),"Check"),"")</f>
        <v>Airtel</v>
      </c>
      <c r="F1342" s="101">
        <v>46149</v>
      </c>
      <c r="G1342" s="103"/>
      <c r="H1342" s="102" t="s">
        <v>1260</v>
      </c>
      <c r="I1342" s="9">
        <v>4</v>
      </c>
      <c r="J1342" s="9">
        <v>65</v>
      </c>
      <c r="K1342" s="100">
        <f t="shared" ref="K1342:K1405" si="175">IF(I1342&lt;&gt;"",J1342*I1342,0)</f>
        <v>260</v>
      </c>
      <c r="L1342" s="78">
        <v>46142</v>
      </c>
      <c r="M1342" s="103"/>
      <c r="N1342" s="93" t="s">
        <v>617</v>
      </c>
      <c r="O1342" s="94">
        <v>46141</v>
      </c>
      <c r="P1342" s="104">
        <f t="shared" ref="P1342:P1405" si="176">J1342</f>
        <v>65</v>
      </c>
      <c r="Q1342" s="104">
        <f t="shared" ref="Q1342:Q1405" si="177">P1342*I1342</f>
        <v>260</v>
      </c>
      <c r="R1342" s="104"/>
      <c r="S1342" s="93" t="s">
        <v>618</v>
      </c>
      <c r="T1342" s="94">
        <v>46156</v>
      </c>
      <c r="U1342" s="104">
        <f t="shared" ref="U1342:U1405" si="178">J1342</f>
        <v>65</v>
      </c>
      <c r="V1342" s="104">
        <f t="shared" ref="V1342:V1405" si="179">I1342</f>
        <v>4</v>
      </c>
      <c r="W1342" s="103">
        <f t="shared" ref="W1342:W1405" si="180">IF(V1342&lt;&gt;"",V1342*U1342,0)</f>
        <v>260</v>
      </c>
      <c r="X1342" s="93" t="s">
        <v>89</v>
      </c>
      <c r="Y1342" s="105" t="s">
        <v>84</v>
      </c>
      <c r="Z1342" s="105" t="s">
        <v>619</v>
      </c>
    </row>
    <row r="1343" spans="1:26" s="105" customFormat="1" ht="15" customHeight="1">
      <c r="A1343" s="99">
        <f t="shared" si="174"/>
        <v>1341</v>
      </c>
      <c r="B1343" s="75" t="s">
        <v>693</v>
      </c>
      <c r="C1343" s="100" t="str">
        <f>IF($B1343&lt;&gt;"",_xlfn.IFNA(VLOOKUP($B1343,'Node Details'!$B:$U,C$1,0),"Check"),"")</f>
        <v>0000CM309-CM3090103</v>
      </c>
      <c r="D1343" s="100" t="str">
        <f>IF($B1343&lt;&gt;"",_xlfn.IFNA(VLOOKUP($B1343,'Node Details'!$B:$U,D$1,0),"Check"),"")</f>
        <v>CM3</v>
      </c>
      <c r="E1343" s="100" t="str">
        <f>IF($B1343&lt;&gt;"",_xlfn.IFNA(VLOOKUP($B1343,'Node Details'!$B:$U,E$1,0),"Check"),"")</f>
        <v>Airtel</v>
      </c>
      <c r="F1343" s="101">
        <v>46149</v>
      </c>
      <c r="G1343" s="103"/>
      <c r="H1343" s="102" t="s">
        <v>1260</v>
      </c>
      <c r="I1343" s="9">
        <v>2</v>
      </c>
      <c r="J1343" s="9">
        <v>65</v>
      </c>
      <c r="K1343" s="100">
        <f t="shared" si="175"/>
        <v>130</v>
      </c>
      <c r="L1343" s="78">
        <v>46142</v>
      </c>
      <c r="M1343" s="103"/>
      <c r="N1343" s="93" t="s">
        <v>617</v>
      </c>
      <c r="O1343" s="94">
        <v>46141</v>
      </c>
      <c r="P1343" s="104">
        <f t="shared" si="176"/>
        <v>65</v>
      </c>
      <c r="Q1343" s="104">
        <f t="shared" si="177"/>
        <v>130</v>
      </c>
      <c r="R1343" s="104"/>
      <c r="S1343" s="93" t="s">
        <v>618</v>
      </c>
      <c r="T1343" s="94">
        <v>46156</v>
      </c>
      <c r="U1343" s="104">
        <f t="shared" si="178"/>
        <v>65</v>
      </c>
      <c r="V1343" s="104">
        <f t="shared" si="179"/>
        <v>2</v>
      </c>
      <c r="W1343" s="103">
        <f t="shared" si="180"/>
        <v>130</v>
      </c>
      <c r="X1343" s="93" t="s">
        <v>89</v>
      </c>
      <c r="Y1343" s="105" t="s">
        <v>84</v>
      </c>
      <c r="Z1343" s="105" t="s">
        <v>619</v>
      </c>
    </row>
    <row r="1344" spans="1:26" s="105" customFormat="1" ht="15" customHeight="1">
      <c r="A1344" s="99">
        <f t="shared" si="174"/>
        <v>1342</v>
      </c>
      <c r="B1344" s="75" t="s">
        <v>695</v>
      </c>
      <c r="C1344" s="100" t="str">
        <f>IF($B1344&lt;&gt;"",_xlfn.IFNA(VLOOKUP($B1344,'Node Details'!$B:$U,C$1,0),"Check"),"")</f>
        <v>0000CM309-CM3090104</v>
      </c>
      <c r="D1344" s="100" t="str">
        <f>IF($B1344&lt;&gt;"",_xlfn.IFNA(VLOOKUP($B1344,'Node Details'!$B:$U,D$1,0),"Check"),"")</f>
        <v>CM3</v>
      </c>
      <c r="E1344" s="100" t="str">
        <f>IF($B1344&lt;&gt;"",_xlfn.IFNA(VLOOKUP($B1344,'Node Details'!$B:$U,E$1,0),"Check"),"")</f>
        <v>Airtel</v>
      </c>
      <c r="F1344" s="101">
        <v>46149</v>
      </c>
      <c r="G1344" s="103"/>
      <c r="H1344" s="102" t="s">
        <v>1260</v>
      </c>
      <c r="I1344" s="9">
        <v>6</v>
      </c>
      <c r="J1344" s="9">
        <v>65</v>
      </c>
      <c r="K1344" s="100">
        <f t="shared" si="175"/>
        <v>390</v>
      </c>
      <c r="L1344" s="78">
        <v>46142</v>
      </c>
      <c r="M1344" s="103"/>
      <c r="N1344" s="93" t="s">
        <v>617</v>
      </c>
      <c r="O1344" s="94">
        <v>46141</v>
      </c>
      <c r="P1344" s="104">
        <f t="shared" si="176"/>
        <v>65</v>
      </c>
      <c r="Q1344" s="104">
        <f t="shared" si="177"/>
        <v>390</v>
      </c>
      <c r="R1344" s="104"/>
      <c r="S1344" s="93" t="s">
        <v>618</v>
      </c>
      <c r="T1344" s="94">
        <v>46156</v>
      </c>
      <c r="U1344" s="104">
        <f t="shared" si="178"/>
        <v>65</v>
      </c>
      <c r="V1344" s="104">
        <f t="shared" si="179"/>
        <v>6</v>
      </c>
      <c r="W1344" s="103">
        <f t="shared" si="180"/>
        <v>390</v>
      </c>
      <c r="X1344" s="93" t="s">
        <v>89</v>
      </c>
      <c r="Y1344" s="105" t="s">
        <v>84</v>
      </c>
      <c r="Z1344" s="105" t="s">
        <v>619</v>
      </c>
    </row>
    <row r="1345" spans="1:26" s="105" customFormat="1" ht="15" customHeight="1">
      <c r="A1345" s="99">
        <f t="shared" si="174"/>
        <v>1343</v>
      </c>
      <c r="B1345" s="75" t="s">
        <v>1155</v>
      </c>
      <c r="C1345" s="100" t="str">
        <f>IF($B1345&lt;&gt;"",_xlfn.IFNA(VLOOKUP($B1345,'Node Details'!$B:$U,C$1,0),"Check"),"")</f>
        <v>0000CM309-CM3090107</v>
      </c>
      <c r="D1345" s="100" t="str">
        <f>IF($B1345&lt;&gt;"",_xlfn.IFNA(VLOOKUP($B1345,'Node Details'!$B:$U,D$1,0),"Check"),"")</f>
        <v>CM3</v>
      </c>
      <c r="E1345" s="100" t="str">
        <f>IF($B1345&lt;&gt;"",_xlfn.IFNA(VLOOKUP($B1345,'Node Details'!$B:$U,E$1,0),"Check"),"")</f>
        <v>Airtel</v>
      </c>
      <c r="F1345" s="101">
        <v>46149</v>
      </c>
      <c r="G1345" s="103"/>
      <c r="H1345" s="102" t="s">
        <v>1260</v>
      </c>
      <c r="I1345" s="9">
        <v>4</v>
      </c>
      <c r="J1345" s="9">
        <v>65</v>
      </c>
      <c r="K1345" s="100">
        <f t="shared" si="175"/>
        <v>260</v>
      </c>
      <c r="L1345" s="78">
        <v>46142</v>
      </c>
      <c r="M1345" s="103"/>
      <c r="N1345" s="93" t="s">
        <v>617</v>
      </c>
      <c r="O1345" s="94">
        <v>46141</v>
      </c>
      <c r="P1345" s="104">
        <f t="shared" si="176"/>
        <v>65</v>
      </c>
      <c r="Q1345" s="104">
        <f t="shared" si="177"/>
        <v>260</v>
      </c>
      <c r="R1345" s="104"/>
      <c r="S1345" s="93" t="s">
        <v>618</v>
      </c>
      <c r="T1345" s="94">
        <v>46156</v>
      </c>
      <c r="U1345" s="104">
        <f t="shared" si="178"/>
        <v>65</v>
      </c>
      <c r="V1345" s="104">
        <f t="shared" si="179"/>
        <v>4</v>
      </c>
      <c r="W1345" s="103">
        <f t="shared" si="180"/>
        <v>260</v>
      </c>
      <c r="X1345" s="93" t="s">
        <v>89</v>
      </c>
      <c r="Y1345" s="105" t="s">
        <v>84</v>
      </c>
      <c r="Z1345" s="105" t="s">
        <v>619</v>
      </c>
    </row>
    <row r="1346" spans="1:26" s="105" customFormat="1" ht="15" customHeight="1">
      <c r="A1346" s="99">
        <f t="shared" si="174"/>
        <v>1344</v>
      </c>
      <c r="B1346" s="75" t="s">
        <v>1156</v>
      </c>
      <c r="C1346" s="100" t="str">
        <f>IF($B1346&lt;&gt;"",_xlfn.IFNA(VLOOKUP($B1346,'Node Details'!$B:$U,C$1,0),"Check"),"")</f>
        <v>0000CM309-CM3090107</v>
      </c>
      <c r="D1346" s="100" t="str">
        <f>IF($B1346&lt;&gt;"",_xlfn.IFNA(VLOOKUP($B1346,'Node Details'!$B:$U,D$1,0),"Check"),"")</f>
        <v>CM3</v>
      </c>
      <c r="E1346" s="100" t="str">
        <f>IF($B1346&lt;&gt;"",_xlfn.IFNA(VLOOKUP($B1346,'Node Details'!$B:$U,E$1,0),"Check"),"")</f>
        <v>Airtel</v>
      </c>
      <c r="F1346" s="101">
        <v>46149</v>
      </c>
      <c r="G1346" s="103"/>
      <c r="H1346" s="102" t="s">
        <v>1260</v>
      </c>
      <c r="I1346" s="9">
        <v>2</v>
      </c>
      <c r="J1346" s="9">
        <v>65</v>
      </c>
      <c r="K1346" s="100">
        <f t="shared" si="175"/>
        <v>130</v>
      </c>
      <c r="L1346" s="78">
        <v>46142</v>
      </c>
      <c r="M1346" s="103"/>
      <c r="N1346" s="93" t="s">
        <v>617</v>
      </c>
      <c r="O1346" s="94">
        <v>46141</v>
      </c>
      <c r="P1346" s="104">
        <f t="shared" si="176"/>
        <v>65</v>
      </c>
      <c r="Q1346" s="104">
        <f t="shared" si="177"/>
        <v>130</v>
      </c>
      <c r="R1346" s="104"/>
      <c r="S1346" s="93" t="s">
        <v>618</v>
      </c>
      <c r="T1346" s="94">
        <v>46156</v>
      </c>
      <c r="U1346" s="104">
        <f t="shared" si="178"/>
        <v>65</v>
      </c>
      <c r="V1346" s="104">
        <f t="shared" si="179"/>
        <v>2</v>
      </c>
      <c r="W1346" s="103">
        <f t="shared" si="180"/>
        <v>130</v>
      </c>
      <c r="X1346" s="93" t="s">
        <v>89</v>
      </c>
      <c r="Y1346" s="105" t="s">
        <v>84</v>
      </c>
      <c r="Z1346" s="105" t="s">
        <v>619</v>
      </c>
    </row>
    <row r="1347" spans="1:26" s="105" customFormat="1" ht="15" customHeight="1">
      <c r="A1347" s="99">
        <f t="shared" si="174"/>
        <v>1345</v>
      </c>
      <c r="B1347" s="75" t="s">
        <v>615</v>
      </c>
      <c r="C1347" s="100" t="str">
        <f>IF($B1347&lt;&gt;"",_xlfn.IFNA(VLOOKUP($B1347,'Node Details'!$B:$U,C$1,0),"Check"),"")</f>
        <v>000000CM3-0000CM310</v>
      </c>
      <c r="D1347" s="100" t="str">
        <f>IF($B1347&lt;&gt;"",_xlfn.IFNA(VLOOKUP($B1347,'Node Details'!$B:$U,D$1,0),"Check"),"")</f>
        <v>CM3</v>
      </c>
      <c r="E1347" s="100" t="str">
        <f>IF($B1347&lt;&gt;"",_xlfn.IFNA(VLOOKUP($B1347,'Node Details'!$B:$U,E$1,0),"Check"),"")</f>
        <v>Airtel</v>
      </c>
      <c r="F1347" s="101">
        <v>46149</v>
      </c>
      <c r="G1347" s="103"/>
      <c r="H1347" s="102" t="s">
        <v>1260</v>
      </c>
      <c r="I1347" s="9">
        <v>42</v>
      </c>
      <c r="J1347" s="9">
        <v>65</v>
      </c>
      <c r="K1347" s="100">
        <f t="shared" si="175"/>
        <v>2730</v>
      </c>
      <c r="L1347" s="78">
        <v>46142</v>
      </c>
      <c r="M1347" s="103"/>
      <c r="N1347" s="93" t="s">
        <v>617</v>
      </c>
      <c r="O1347" s="94">
        <v>46141</v>
      </c>
      <c r="P1347" s="104">
        <f t="shared" si="176"/>
        <v>65</v>
      </c>
      <c r="Q1347" s="104">
        <f t="shared" si="177"/>
        <v>2730</v>
      </c>
      <c r="R1347" s="104"/>
      <c r="S1347" s="93" t="s">
        <v>618</v>
      </c>
      <c r="T1347" s="94">
        <v>46156</v>
      </c>
      <c r="U1347" s="104">
        <f t="shared" si="178"/>
        <v>65</v>
      </c>
      <c r="V1347" s="104">
        <f t="shared" si="179"/>
        <v>42</v>
      </c>
      <c r="W1347" s="103">
        <f t="shared" si="180"/>
        <v>2730</v>
      </c>
      <c r="X1347" s="93" t="s">
        <v>89</v>
      </c>
      <c r="Y1347" s="105" t="s">
        <v>84</v>
      </c>
      <c r="Z1347" s="105" t="s">
        <v>619</v>
      </c>
    </row>
    <row r="1348" spans="1:26" s="105" customFormat="1" ht="15" customHeight="1">
      <c r="A1348" s="99">
        <f t="shared" si="174"/>
        <v>1346</v>
      </c>
      <c r="B1348" s="75" t="s">
        <v>1157</v>
      </c>
      <c r="C1348" s="100" t="str">
        <f>IF($B1348&lt;&gt;"",_xlfn.IFNA(VLOOKUP($B1348,'Node Details'!$B:$U,C$1,0),"Check"),"")</f>
        <v>0000CM310-CM3100103</v>
      </c>
      <c r="D1348" s="100" t="str">
        <f>IF($B1348&lt;&gt;"",_xlfn.IFNA(VLOOKUP($B1348,'Node Details'!$B:$U,D$1,0),"Check"),"")</f>
        <v>CM3</v>
      </c>
      <c r="E1348" s="100" t="str">
        <f>IF($B1348&lt;&gt;"",_xlfn.IFNA(VLOOKUP($B1348,'Node Details'!$B:$U,E$1,0),"Check"),"")</f>
        <v>Airtel</v>
      </c>
      <c r="F1348" s="101">
        <v>46149</v>
      </c>
      <c r="G1348" s="103"/>
      <c r="H1348" s="102" t="s">
        <v>1260</v>
      </c>
      <c r="I1348" s="9">
        <v>6</v>
      </c>
      <c r="J1348" s="9">
        <v>65</v>
      </c>
      <c r="K1348" s="100">
        <f t="shared" si="175"/>
        <v>390</v>
      </c>
      <c r="L1348" s="78">
        <v>46142</v>
      </c>
      <c r="M1348" s="103"/>
      <c r="N1348" s="93" t="s">
        <v>617</v>
      </c>
      <c r="O1348" s="94">
        <v>46141</v>
      </c>
      <c r="P1348" s="104">
        <f t="shared" si="176"/>
        <v>65</v>
      </c>
      <c r="Q1348" s="104">
        <f t="shared" si="177"/>
        <v>390</v>
      </c>
      <c r="R1348" s="104"/>
      <c r="S1348" s="93" t="s">
        <v>618</v>
      </c>
      <c r="T1348" s="94">
        <v>46156</v>
      </c>
      <c r="U1348" s="104">
        <f t="shared" si="178"/>
        <v>65</v>
      </c>
      <c r="V1348" s="104">
        <f t="shared" si="179"/>
        <v>6</v>
      </c>
      <c r="W1348" s="103">
        <f t="shared" si="180"/>
        <v>390</v>
      </c>
      <c r="X1348" s="93" t="s">
        <v>89</v>
      </c>
      <c r="Y1348" s="105" t="s">
        <v>84</v>
      </c>
      <c r="Z1348" s="105" t="s">
        <v>619</v>
      </c>
    </row>
    <row r="1349" spans="1:26" s="105" customFormat="1" ht="15" customHeight="1">
      <c r="A1349" s="99">
        <f t="shared" ref="A1349:A1412" si="181">A1348+1</f>
        <v>1347</v>
      </c>
      <c r="B1349" s="75" t="s">
        <v>1158</v>
      </c>
      <c r="C1349" s="100" t="str">
        <f>IF($B1349&lt;&gt;"",_xlfn.IFNA(VLOOKUP($B1349,'Node Details'!$B:$U,C$1,0),"Check"),"")</f>
        <v>0000CM310-CM3100103</v>
      </c>
      <c r="D1349" s="100" t="str">
        <f>IF($B1349&lt;&gt;"",_xlfn.IFNA(VLOOKUP($B1349,'Node Details'!$B:$U,D$1,0),"Check"),"")</f>
        <v>CM3</v>
      </c>
      <c r="E1349" s="100" t="str">
        <f>IF($B1349&lt;&gt;"",_xlfn.IFNA(VLOOKUP($B1349,'Node Details'!$B:$U,E$1,0),"Check"),"")</f>
        <v>Airtel</v>
      </c>
      <c r="F1349" s="101">
        <v>46149</v>
      </c>
      <c r="G1349" s="103"/>
      <c r="H1349" s="102" t="s">
        <v>1260</v>
      </c>
      <c r="I1349" s="9">
        <v>4</v>
      </c>
      <c r="J1349" s="9">
        <v>65</v>
      </c>
      <c r="K1349" s="100">
        <f t="shared" si="175"/>
        <v>260</v>
      </c>
      <c r="L1349" s="78">
        <v>46142</v>
      </c>
      <c r="M1349" s="103"/>
      <c r="N1349" s="93" t="s">
        <v>617</v>
      </c>
      <c r="O1349" s="94">
        <v>46141</v>
      </c>
      <c r="P1349" s="104">
        <f t="shared" si="176"/>
        <v>65</v>
      </c>
      <c r="Q1349" s="104">
        <f t="shared" si="177"/>
        <v>260</v>
      </c>
      <c r="R1349" s="104"/>
      <c r="S1349" s="93" t="s">
        <v>618</v>
      </c>
      <c r="T1349" s="94">
        <v>46156</v>
      </c>
      <c r="U1349" s="104">
        <f t="shared" si="178"/>
        <v>65</v>
      </c>
      <c r="V1349" s="104">
        <f t="shared" si="179"/>
        <v>4</v>
      </c>
      <c r="W1349" s="103">
        <f t="shared" si="180"/>
        <v>260</v>
      </c>
      <c r="X1349" s="93" t="s">
        <v>89</v>
      </c>
      <c r="Y1349" s="105" t="s">
        <v>84</v>
      </c>
      <c r="Z1349" s="105" t="s">
        <v>619</v>
      </c>
    </row>
    <row r="1350" spans="1:26" s="105" customFormat="1" ht="15" customHeight="1">
      <c r="A1350" s="99">
        <f t="shared" si="181"/>
        <v>1348</v>
      </c>
      <c r="B1350" s="75" t="s">
        <v>701</v>
      </c>
      <c r="C1350" s="100" t="str">
        <f>IF($B1350&lt;&gt;"",_xlfn.IFNA(VLOOKUP($B1350,'Node Details'!$B:$U,C$1,0),"Check"),"")</f>
        <v>0000CM310-CM3100103</v>
      </c>
      <c r="D1350" s="100" t="str">
        <f>IF($B1350&lt;&gt;"",_xlfn.IFNA(VLOOKUP($B1350,'Node Details'!$B:$U,D$1,0),"Check"),"")</f>
        <v>CM3</v>
      </c>
      <c r="E1350" s="100" t="str">
        <f>IF($B1350&lt;&gt;"",_xlfn.IFNA(VLOOKUP($B1350,'Node Details'!$B:$U,E$1,0),"Check"),"")</f>
        <v>Airtel</v>
      </c>
      <c r="F1350" s="101">
        <v>46149</v>
      </c>
      <c r="G1350" s="103"/>
      <c r="H1350" s="102" t="s">
        <v>1260</v>
      </c>
      <c r="I1350" s="9">
        <v>2</v>
      </c>
      <c r="J1350" s="9">
        <v>65</v>
      </c>
      <c r="K1350" s="100">
        <f t="shared" si="175"/>
        <v>130</v>
      </c>
      <c r="L1350" s="78">
        <v>46142</v>
      </c>
      <c r="M1350" s="103"/>
      <c r="N1350" s="93" t="s">
        <v>617</v>
      </c>
      <c r="O1350" s="94">
        <v>46141</v>
      </c>
      <c r="P1350" s="104">
        <f t="shared" si="176"/>
        <v>65</v>
      </c>
      <c r="Q1350" s="104">
        <f t="shared" si="177"/>
        <v>130</v>
      </c>
      <c r="R1350" s="104"/>
      <c r="S1350" s="93" t="s">
        <v>618</v>
      </c>
      <c r="T1350" s="94">
        <v>46156</v>
      </c>
      <c r="U1350" s="104">
        <f t="shared" si="178"/>
        <v>65</v>
      </c>
      <c r="V1350" s="104">
        <f t="shared" si="179"/>
        <v>2</v>
      </c>
      <c r="W1350" s="103">
        <f t="shared" si="180"/>
        <v>130</v>
      </c>
      <c r="X1350" s="93" t="s">
        <v>89</v>
      </c>
      <c r="Y1350" s="105" t="s">
        <v>84</v>
      </c>
      <c r="Z1350" s="105" t="s">
        <v>619</v>
      </c>
    </row>
    <row r="1351" spans="1:26" s="105" customFormat="1" ht="15" customHeight="1">
      <c r="A1351" s="99">
        <f t="shared" si="181"/>
        <v>1349</v>
      </c>
      <c r="B1351" s="75" t="s">
        <v>1159</v>
      </c>
      <c r="C1351" s="100" t="str">
        <f>IF($B1351&lt;&gt;"",_xlfn.IFNA(VLOOKUP($B1351,'Node Details'!$B:$U,C$1,0),"Check"),"")</f>
        <v>0000CM310-CM3100106</v>
      </c>
      <c r="D1351" s="100" t="str">
        <f>IF($B1351&lt;&gt;"",_xlfn.IFNA(VLOOKUP($B1351,'Node Details'!$B:$U,D$1,0),"Check"),"")</f>
        <v>CM3</v>
      </c>
      <c r="E1351" s="100" t="str">
        <f>IF($B1351&lt;&gt;"",_xlfn.IFNA(VLOOKUP($B1351,'Node Details'!$B:$U,E$1,0),"Check"),"")</f>
        <v>Airtel</v>
      </c>
      <c r="F1351" s="101">
        <v>46149</v>
      </c>
      <c r="G1351" s="103"/>
      <c r="H1351" s="102" t="s">
        <v>1260</v>
      </c>
      <c r="I1351" s="9">
        <v>6</v>
      </c>
      <c r="J1351" s="9">
        <v>65</v>
      </c>
      <c r="K1351" s="100">
        <f t="shared" si="175"/>
        <v>390</v>
      </c>
      <c r="L1351" s="78">
        <v>46142</v>
      </c>
      <c r="M1351" s="103"/>
      <c r="N1351" s="93" t="s">
        <v>617</v>
      </c>
      <c r="O1351" s="94">
        <v>46141</v>
      </c>
      <c r="P1351" s="104">
        <f t="shared" si="176"/>
        <v>65</v>
      </c>
      <c r="Q1351" s="104">
        <f t="shared" si="177"/>
        <v>390</v>
      </c>
      <c r="R1351" s="104"/>
      <c r="S1351" s="93" t="s">
        <v>618</v>
      </c>
      <c r="T1351" s="94">
        <v>46156</v>
      </c>
      <c r="U1351" s="104">
        <f t="shared" si="178"/>
        <v>65</v>
      </c>
      <c r="V1351" s="104">
        <f t="shared" si="179"/>
        <v>6</v>
      </c>
      <c r="W1351" s="103">
        <f t="shared" si="180"/>
        <v>390</v>
      </c>
      <c r="X1351" s="93" t="s">
        <v>89</v>
      </c>
      <c r="Y1351" s="105" t="s">
        <v>84</v>
      </c>
      <c r="Z1351" s="105" t="s">
        <v>619</v>
      </c>
    </row>
    <row r="1352" spans="1:26" s="105" customFormat="1" ht="15" customHeight="1">
      <c r="A1352" s="99">
        <f t="shared" si="181"/>
        <v>1350</v>
      </c>
      <c r="B1352" s="75" t="s">
        <v>703</v>
      </c>
      <c r="C1352" s="100" t="str">
        <f>IF($B1352&lt;&gt;"",_xlfn.IFNA(VLOOKUP($B1352,'Node Details'!$B:$U,C$1,0),"Check"),"")</f>
        <v>0000CM310-CM3100106</v>
      </c>
      <c r="D1352" s="100" t="str">
        <f>IF($B1352&lt;&gt;"",_xlfn.IFNA(VLOOKUP($B1352,'Node Details'!$B:$U,D$1,0),"Check"),"")</f>
        <v>CM3</v>
      </c>
      <c r="E1352" s="100" t="str">
        <f>IF($B1352&lt;&gt;"",_xlfn.IFNA(VLOOKUP($B1352,'Node Details'!$B:$U,E$1,0),"Check"),"")</f>
        <v>Airtel</v>
      </c>
      <c r="F1352" s="101">
        <v>46149</v>
      </c>
      <c r="G1352" s="103"/>
      <c r="H1352" s="102" t="s">
        <v>1260</v>
      </c>
      <c r="I1352" s="9">
        <v>4</v>
      </c>
      <c r="J1352" s="9">
        <v>65</v>
      </c>
      <c r="K1352" s="100">
        <f t="shared" si="175"/>
        <v>260</v>
      </c>
      <c r="L1352" s="78">
        <v>46142</v>
      </c>
      <c r="M1352" s="103"/>
      <c r="N1352" s="93" t="s">
        <v>617</v>
      </c>
      <c r="O1352" s="94">
        <v>46141</v>
      </c>
      <c r="P1352" s="104">
        <f t="shared" si="176"/>
        <v>65</v>
      </c>
      <c r="Q1352" s="104">
        <f t="shared" si="177"/>
        <v>260</v>
      </c>
      <c r="R1352" s="104"/>
      <c r="S1352" s="93" t="s">
        <v>618</v>
      </c>
      <c r="T1352" s="94">
        <v>46156</v>
      </c>
      <c r="U1352" s="104">
        <f t="shared" si="178"/>
        <v>65</v>
      </c>
      <c r="V1352" s="104">
        <f t="shared" si="179"/>
        <v>4</v>
      </c>
      <c r="W1352" s="103">
        <f t="shared" si="180"/>
        <v>260</v>
      </c>
      <c r="X1352" s="93" t="s">
        <v>89</v>
      </c>
      <c r="Y1352" s="105" t="s">
        <v>84</v>
      </c>
      <c r="Z1352" s="105" t="s">
        <v>619</v>
      </c>
    </row>
    <row r="1353" spans="1:26" s="105" customFormat="1" ht="15" customHeight="1">
      <c r="A1353" s="99">
        <f t="shared" si="181"/>
        <v>1351</v>
      </c>
      <c r="B1353" s="75" t="s">
        <v>615</v>
      </c>
      <c r="C1353" s="100" t="str">
        <f>IF($B1353&lt;&gt;"",_xlfn.IFNA(VLOOKUP($B1353,'Node Details'!$B:$U,C$1,0),"Check"),"")</f>
        <v>000000CM3-0000CM310</v>
      </c>
      <c r="D1353" s="100" t="str">
        <f>IF($B1353&lt;&gt;"",_xlfn.IFNA(VLOOKUP($B1353,'Node Details'!$B:$U,D$1,0),"Check"),"")</f>
        <v>CM3</v>
      </c>
      <c r="E1353" s="100" t="str">
        <f>IF($B1353&lt;&gt;"",_xlfn.IFNA(VLOOKUP($B1353,'Node Details'!$B:$U,E$1,0),"Check"),"")</f>
        <v>Airtel</v>
      </c>
      <c r="F1353" s="101">
        <v>46149</v>
      </c>
      <c r="G1353" s="103"/>
      <c r="H1353" s="102" t="s">
        <v>1260</v>
      </c>
      <c r="I1353" s="9">
        <v>42</v>
      </c>
      <c r="J1353" s="9">
        <v>65</v>
      </c>
      <c r="K1353" s="100">
        <f t="shared" si="175"/>
        <v>2730</v>
      </c>
      <c r="L1353" s="78">
        <v>46142</v>
      </c>
      <c r="M1353" s="103"/>
      <c r="N1353" s="93" t="s">
        <v>617</v>
      </c>
      <c r="O1353" s="94">
        <v>46141</v>
      </c>
      <c r="P1353" s="104">
        <f t="shared" si="176"/>
        <v>65</v>
      </c>
      <c r="Q1353" s="104">
        <f t="shared" si="177"/>
        <v>2730</v>
      </c>
      <c r="R1353" s="104"/>
      <c r="S1353" s="93" t="s">
        <v>618</v>
      </c>
      <c r="T1353" s="94">
        <v>46156</v>
      </c>
      <c r="U1353" s="104">
        <f t="shared" si="178"/>
        <v>65</v>
      </c>
      <c r="V1353" s="104">
        <f t="shared" si="179"/>
        <v>42</v>
      </c>
      <c r="W1353" s="103">
        <f t="shared" si="180"/>
        <v>2730</v>
      </c>
      <c r="X1353" s="93" t="s">
        <v>89</v>
      </c>
      <c r="Y1353" s="105" t="s">
        <v>84</v>
      </c>
      <c r="Z1353" s="105" t="s">
        <v>619</v>
      </c>
    </row>
    <row r="1354" spans="1:26" s="105" customFormat="1" ht="15" customHeight="1">
      <c r="A1354" s="99">
        <f t="shared" si="181"/>
        <v>1352</v>
      </c>
      <c r="B1354" s="75" t="s">
        <v>705</v>
      </c>
      <c r="C1354" s="100" t="str">
        <f>IF($B1354&lt;&gt;"",_xlfn.IFNA(VLOOKUP($B1354,'Node Details'!$B:$U,C$1,0),"Check"),"")</f>
        <v>000000CM3-0000CM325</v>
      </c>
      <c r="D1354" s="100" t="str">
        <f>IF($B1354&lt;&gt;"",_xlfn.IFNA(VLOOKUP($B1354,'Node Details'!$B:$U,D$1,0),"Check"),"")</f>
        <v>CM3</v>
      </c>
      <c r="E1354" s="100" t="str">
        <f>IF($B1354&lt;&gt;"",_xlfn.IFNA(VLOOKUP($B1354,'Node Details'!$B:$U,E$1,0),"Check"),"")</f>
        <v>Airtel</v>
      </c>
      <c r="F1354" s="101">
        <v>46149</v>
      </c>
      <c r="G1354" s="103"/>
      <c r="H1354" s="102" t="s">
        <v>1260</v>
      </c>
      <c r="I1354" s="9">
        <v>42</v>
      </c>
      <c r="J1354" s="9">
        <v>65</v>
      </c>
      <c r="K1354" s="100">
        <f t="shared" si="175"/>
        <v>2730</v>
      </c>
      <c r="L1354" s="78">
        <v>46142</v>
      </c>
      <c r="M1354" s="103"/>
      <c r="N1354" s="93" t="s">
        <v>617</v>
      </c>
      <c r="O1354" s="94">
        <v>46141</v>
      </c>
      <c r="P1354" s="104">
        <f t="shared" si="176"/>
        <v>65</v>
      </c>
      <c r="Q1354" s="104">
        <f t="shared" si="177"/>
        <v>2730</v>
      </c>
      <c r="R1354" s="104"/>
      <c r="S1354" s="93" t="s">
        <v>618</v>
      </c>
      <c r="T1354" s="94">
        <v>46156</v>
      </c>
      <c r="U1354" s="104">
        <f t="shared" si="178"/>
        <v>65</v>
      </c>
      <c r="V1354" s="104">
        <f t="shared" si="179"/>
        <v>42</v>
      </c>
      <c r="W1354" s="103">
        <f t="shared" si="180"/>
        <v>2730</v>
      </c>
      <c r="X1354" s="93" t="s">
        <v>89</v>
      </c>
      <c r="Y1354" s="105" t="s">
        <v>84</v>
      </c>
      <c r="Z1354" s="105" t="s">
        <v>619</v>
      </c>
    </row>
    <row r="1355" spans="1:26" s="105" customFormat="1" ht="15" customHeight="1">
      <c r="A1355" s="99">
        <f t="shared" si="181"/>
        <v>1353</v>
      </c>
      <c r="B1355" s="75" t="s">
        <v>1160</v>
      </c>
      <c r="C1355" s="100" t="str">
        <f>IF($B1355&lt;&gt;"",_xlfn.IFNA(VLOOKUP($B1355,'Node Details'!$B:$U,C$1,0),"Check"),"")</f>
        <v>0000CM311-CM3110103</v>
      </c>
      <c r="D1355" s="100" t="str">
        <f>IF($B1355&lt;&gt;"",_xlfn.IFNA(VLOOKUP($B1355,'Node Details'!$B:$U,D$1,0),"Check"),"")</f>
        <v>CM3</v>
      </c>
      <c r="E1355" s="100" t="str">
        <f>IF($B1355&lt;&gt;"",_xlfn.IFNA(VLOOKUP($B1355,'Node Details'!$B:$U,E$1,0),"Check"),"")</f>
        <v>Airtel</v>
      </c>
      <c r="F1355" s="101">
        <v>46149</v>
      </c>
      <c r="G1355" s="103"/>
      <c r="H1355" s="102" t="s">
        <v>1260</v>
      </c>
      <c r="I1355" s="9">
        <v>6</v>
      </c>
      <c r="J1355" s="9">
        <v>65</v>
      </c>
      <c r="K1355" s="100">
        <f t="shared" si="175"/>
        <v>390</v>
      </c>
      <c r="L1355" s="78">
        <v>46142</v>
      </c>
      <c r="M1355" s="103"/>
      <c r="N1355" s="93" t="s">
        <v>617</v>
      </c>
      <c r="O1355" s="94">
        <v>46141</v>
      </c>
      <c r="P1355" s="104">
        <f t="shared" si="176"/>
        <v>65</v>
      </c>
      <c r="Q1355" s="104">
        <f t="shared" si="177"/>
        <v>390</v>
      </c>
      <c r="R1355" s="104"/>
      <c r="S1355" s="93" t="s">
        <v>618</v>
      </c>
      <c r="T1355" s="94">
        <v>46156</v>
      </c>
      <c r="U1355" s="104">
        <f t="shared" si="178"/>
        <v>65</v>
      </c>
      <c r="V1355" s="104">
        <f t="shared" si="179"/>
        <v>6</v>
      </c>
      <c r="W1355" s="103">
        <f t="shared" si="180"/>
        <v>390</v>
      </c>
      <c r="X1355" s="93" t="s">
        <v>89</v>
      </c>
      <c r="Y1355" s="105" t="s">
        <v>84</v>
      </c>
      <c r="Z1355" s="105" t="s">
        <v>619</v>
      </c>
    </row>
    <row r="1356" spans="1:26" s="105" customFormat="1" ht="15" customHeight="1">
      <c r="A1356" s="99">
        <f t="shared" si="181"/>
        <v>1354</v>
      </c>
      <c r="B1356" s="75" t="s">
        <v>708</v>
      </c>
      <c r="C1356" s="100" t="str">
        <f>IF($B1356&lt;&gt;"",_xlfn.IFNA(VLOOKUP($B1356,'Node Details'!$B:$U,C$1,0),"Check"),"")</f>
        <v>0000CM311-CM3110103</v>
      </c>
      <c r="D1356" s="100" t="str">
        <f>IF($B1356&lt;&gt;"",_xlfn.IFNA(VLOOKUP($B1356,'Node Details'!$B:$U,D$1,0),"Check"),"")</f>
        <v>CM3</v>
      </c>
      <c r="E1356" s="100" t="str">
        <f>IF($B1356&lt;&gt;"",_xlfn.IFNA(VLOOKUP($B1356,'Node Details'!$B:$U,E$1,0),"Check"),"")</f>
        <v>Airtel</v>
      </c>
      <c r="F1356" s="101">
        <v>46149</v>
      </c>
      <c r="G1356" s="103"/>
      <c r="H1356" s="102" t="s">
        <v>1260</v>
      </c>
      <c r="I1356" s="9">
        <v>4</v>
      </c>
      <c r="J1356" s="9">
        <v>65</v>
      </c>
      <c r="K1356" s="100">
        <f t="shared" si="175"/>
        <v>260</v>
      </c>
      <c r="L1356" s="78">
        <v>46142</v>
      </c>
      <c r="M1356" s="103"/>
      <c r="N1356" s="93" t="s">
        <v>617</v>
      </c>
      <c r="O1356" s="94">
        <v>46141</v>
      </c>
      <c r="P1356" s="104">
        <f t="shared" si="176"/>
        <v>65</v>
      </c>
      <c r="Q1356" s="104">
        <f t="shared" si="177"/>
        <v>260</v>
      </c>
      <c r="R1356" s="104"/>
      <c r="S1356" s="93" t="s">
        <v>618</v>
      </c>
      <c r="T1356" s="94">
        <v>46156</v>
      </c>
      <c r="U1356" s="104">
        <f t="shared" si="178"/>
        <v>65</v>
      </c>
      <c r="V1356" s="104">
        <f t="shared" si="179"/>
        <v>4</v>
      </c>
      <c r="W1356" s="103">
        <f t="shared" si="180"/>
        <v>260</v>
      </c>
      <c r="X1356" s="93" t="s">
        <v>89</v>
      </c>
      <c r="Y1356" s="105" t="s">
        <v>84</v>
      </c>
      <c r="Z1356" s="105" t="s">
        <v>619</v>
      </c>
    </row>
    <row r="1357" spans="1:26" s="105" customFormat="1" ht="15" customHeight="1">
      <c r="A1357" s="99">
        <f t="shared" si="181"/>
        <v>1355</v>
      </c>
      <c r="B1357" s="75" t="s">
        <v>1161</v>
      </c>
      <c r="C1357" s="100" t="str">
        <f>IF($B1357&lt;&gt;"",_xlfn.IFNA(VLOOKUP($B1357,'Node Details'!$B:$U,C$1,0),"Check"),"")</f>
        <v>0000CM311-CM3110107</v>
      </c>
      <c r="D1357" s="100" t="str">
        <f>IF($B1357&lt;&gt;"",_xlfn.IFNA(VLOOKUP($B1357,'Node Details'!$B:$U,D$1,0),"Check"),"")</f>
        <v>CM3</v>
      </c>
      <c r="E1357" s="100" t="str">
        <f>IF($B1357&lt;&gt;"",_xlfn.IFNA(VLOOKUP($B1357,'Node Details'!$B:$U,E$1,0),"Check"),"")</f>
        <v>Airtel</v>
      </c>
      <c r="F1357" s="101">
        <v>46149</v>
      </c>
      <c r="G1357" s="103"/>
      <c r="H1357" s="102" t="s">
        <v>1260</v>
      </c>
      <c r="I1357" s="9">
        <v>2</v>
      </c>
      <c r="J1357" s="9">
        <v>65</v>
      </c>
      <c r="K1357" s="100">
        <f t="shared" si="175"/>
        <v>130</v>
      </c>
      <c r="L1357" s="78">
        <v>46142</v>
      </c>
      <c r="M1357" s="103"/>
      <c r="N1357" s="93" t="s">
        <v>617</v>
      </c>
      <c r="O1357" s="94">
        <v>46141</v>
      </c>
      <c r="P1357" s="104">
        <f t="shared" si="176"/>
        <v>65</v>
      </c>
      <c r="Q1357" s="104">
        <f t="shared" si="177"/>
        <v>130</v>
      </c>
      <c r="R1357" s="104"/>
      <c r="S1357" s="93" t="s">
        <v>618</v>
      </c>
      <c r="T1357" s="94">
        <v>46156</v>
      </c>
      <c r="U1357" s="104">
        <f t="shared" si="178"/>
        <v>65</v>
      </c>
      <c r="V1357" s="104">
        <f t="shared" si="179"/>
        <v>2</v>
      </c>
      <c r="W1357" s="103">
        <f t="shared" si="180"/>
        <v>130</v>
      </c>
      <c r="X1357" s="93" t="s">
        <v>89</v>
      </c>
      <c r="Y1357" s="105" t="s">
        <v>84</v>
      </c>
      <c r="Z1357" s="105" t="s">
        <v>619</v>
      </c>
    </row>
    <row r="1358" spans="1:26" s="105" customFormat="1" ht="15" customHeight="1">
      <c r="A1358" s="99">
        <f t="shared" si="181"/>
        <v>1356</v>
      </c>
      <c r="B1358" s="75" t="s">
        <v>712</v>
      </c>
      <c r="C1358" s="100" t="str">
        <f>IF($B1358&lt;&gt;"",_xlfn.IFNA(VLOOKUP($B1358,'Node Details'!$B:$U,C$1,0),"Check"),"")</f>
        <v>000000CM3-0000CM325</v>
      </c>
      <c r="D1358" s="100" t="str">
        <f>IF($B1358&lt;&gt;"",_xlfn.IFNA(VLOOKUP($B1358,'Node Details'!$B:$U,D$1,0),"Check"),"")</f>
        <v>CM3</v>
      </c>
      <c r="E1358" s="100" t="str">
        <f>IF($B1358&lt;&gt;"",_xlfn.IFNA(VLOOKUP($B1358,'Node Details'!$B:$U,E$1,0),"Check"),"")</f>
        <v>Airtel</v>
      </c>
      <c r="F1358" s="101">
        <v>46149</v>
      </c>
      <c r="G1358" s="103"/>
      <c r="H1358" s="102" t="s">
        <v>1260</v>
      </c>
      <c r="I1358" s="9">
        <v>42</v>
      </c>
      <c r="J1358" s="9">
        <v>65</v>
      </c>
      <c r="K1358" s="100">
        <f t="shared" si="175"/>
        <v>2730</v>
      </c>
      <c r="L1358" s="78">
        <v>46142</v>
      </c>
      <c r="M1358" s="103"/>
      <c r="N1358" s="93" t="s">
        <v>617</v>
      </c>
      <c r="O1358" s="94">
        <v>46141</v>
      </c>
      <c r="P1358" s="104">
        <f t="shared" si="176"/>
        <v>65</v>
      </c>
      <c r="Q1358" s="104">
        <f t="shared" si="177"/>
        <v>2730</v>
      </c>
      <c r="R1358" s="104"/>
      <c r="S1358" s="93" t="s">
        <v>618</v>
      </c>
      <c r="T1358" s="94">
        <v>46156</v>
      </c>
      <c r="U1358" s="104">
        <f t="shared" si="178"/>
        <v>65</v>
      </c>
      <c r="V1358" s="104">
        <f t="shared" si="179"/>
        <v>42</v>
      </c>
      <c r="W1358" s="103">
        <f t="shared" si="180"/>
        <v>2730</v>
      </c>
      <c r="X1358" s="93" t="s">
        <v>89</v>
      </c>
      <c r="Y1358" s="105" t="s">
        <v>84</v>
      </c>
      <c r="Z1358" s="105" t="s">
        <v>619</v>
      </c>
    </row>
    <row r="1359" spans="1:26" s="105" customFormat="1" ht="15" customHeight="1">
      <c r="A1359" s="99">
        <f t="shared" si="181"/>
        <v>1357</v>
      </c>
      <c r="B1359" s="75" t="s">
        <v>717</v>
      </c>
      <c r="C1359" s="100" t="str">
        <f>IF($B1359&lt;&gt;"",_xlfn.IFNA(VLOOKUP($B1359,'Node Details'!$B:$U,C$1,0),"Check"),"")</f>
        <v>0000CM312-CM3120104</v>
      </c>
      <c r="D1359" s="100" t="str">
        <f>IF($B1359&lt;&gt;"",_xlfn.IFNA(VLOOKUP($B1359,'Node Details'!$B:$U,D$1,0),"Check"),"")</f>
        <v>CM3</v>
      </c>
      <c r="E1359" s="100" t="str">
        <f>IF($B1359&lt;&gt;"",_xlfn.IFNA(VLOOKUP($B1359,'Node Details'!$B:$U,E$1,0),"Check"),"")</f>
        <v>Airtel</v>
      </c>
      <c r="F1359" s="101">
        <v>46149</v>
      </c>
      <c r="G1359" s="103"/>
      <c r="H1359" s="102" t="s">
        <v>1260</v>
      </c>
      <c r="I1359" s="9">
        <v>6</v>
      </c>
      <c r="J1359" s="9">
        <v>65</v>
      </c>
      <c r="K1359" s="100">
        <f t="shared" si="175"/>
        <v>390</v>
      </c>
      <c r="L1359" s="78">
        <v>46142</v>
      </c>
      <c r="M1359" s="103"/>
      <c r="N1359" s="93" t="s">
        <v>617</v>
      </c>
      <c r="O1359" s="94">
        <v>46141</v>
      </c>
      <c r="P1359" s="104">
        <f t="shared" si="176"/>
        <v>65</v>
      </c>
      <c r="Q1359" s="104">
        <f t="shared" si="177"/>
        <v>390</v>
      </c>
      <c r="R1359" s="104"/>
      <c r="S1359" s="93" t="s">
        <v>618</v>
      </c>
      <c r="T1359" s="94">
        <v>46156</v>
      </c>
      <c r="U1359" s="104">
        <f t="shared" si="178"/>
        <v>65</v>
      </c>
      <c r="V1359" s="104">
        <f t="shared" si="179"/>
        <v>6</v>
      </c>
      <c r="W1359" s="103">
        <f t="shared" si="180"/>
        <v>390</v>
      </c>
      <c r="X1359" s="93" t="s">
        <v>89</v>
      </c>
      <c r="Y1359" s="105" t="s">
        <v>84</v>
      </c>
      <c r="Z1359" s="105" t="s">
        <v>619</v>
      </c>
    </row>
    <row r="1360" spans="1:26" s="105" customFormat="1" ht="15" customHeight="1">
      <c r="A1360" s="99">
        <f t="shared" si="181"/>
        <v>1358</v>
      </c>
      <c r="B1360" s="75" t="s">
        <v>1164</v>
      </c>
      <c r="C1360" s="100" t="str">
        <f>IF($B1360&lt;&gt;"",_xlfn.IFNA(VLOOKUP($B1360,'Node Details'!$B:$U,C$1,0),"Check"),"")</f>
        <v>0000CM312-CM3120108</v>
      </c>
      <c r="D1360" s="100" t="str">
        <f>IF($B1360&lt;&gt;"",_xlfn.IFNA(VLOOKUP($B1360,'Node Details'!$B:$U,D$1,0),"Check"),"")</f>
        <v>CM3</v>
      </c>
      <c r="E1360" s="100" t="str">
        <f>IF($B1360&lt;&gt;"",_xlfn.IFNA(VLOOKUP($B1360,'Node Details'!$B:$U,E$1,0),"Check"),"")</f>
        <v>Airtel</v>
      </c>
      <c r="F1360" s="101">
        <v>46149</v>
      </c>
      <c r="G1360" s="103"/>
      <c r="H1360" s="102" t="s">
        <v>1260</v>
      </c>
      <c r="I1360" s="9">
        <v>4</v>
      </c>
      <c r="J1360" s="9">
        <v>65</v>
      </c>
      <c r="K1360" s="100">
        <f t="shared" si="175"/>
        <v>260</v>
      </c>
      <c r="L1360" s="78">
        <v>46142</v>
      </c>
      <c r="M1360" s="103"/>
      <c r="N1360" s="93" t="s">
        <v>617</v>
      </c>
      <c r="O1360" s="94">
        <v>46141</v>
      </c>
      <c r="P1360" s="104">
        <f t="shared" si="176"/>
        <v>65</v>
      </c>
      <c r="Q1360" s="104">
        <f t="shared" si="177"/>
        <v>260</v>
      </c>
      <c r="R1360" s="104"/>
      <c r="S1360" s="93" t="s">
        <v>618</v>
      </c>
      <c r="T1360" s="94">
        <v>46156</v>
      </c>
      <c r="U1360" s="104">
        <f t="shared" si="178"/>
        <v>65</v>
      </c>
      <c r="V1360" s="104">
        <f t="shared" si="179"/>
        <v>4</v>
      </c>
      <c r="W1360" s="103">
        <f t="shared" si="180"/>
        <v>260</v>
      </c>
      <c r="X1360" s="93" t="s">
        <v>89</v>
      </c>
      <c r="Y1360" s="105" t="s">
        <v>84</v>
      </c>
      <c r="Z1360" s="105" t="s">
        <v>619</v>
      </c>
    </row>
    <row r="1361" spans="1:26" s="105" customFormat="1" ht="15" customHeight="1">
      <c r="A1361" s="99">
        <f t="shared" si="181"/>
        <v>1359</v>
      </c>
      <c r="B1361" s="75" t="s">
        <v>1165</v>
      </c>
      <c r="C1361" s="100" t="str">
        <f>IF($B1361&lt;&gt;"",_xlfn.IFNA(VLOOKUP($B1361,'Node Details'!$B:$U,C$1,0),"Check"),"")</f>
        <v>0000CM312-CM3120108</v>
      </c>
      <c r="D1361" s="100" t="str">
        <f>IF($B1361&lt;&gt;"",_xlfn.IFNA(VLOOKUP($B1361,'Node Details'!$B:$U,D$1,0),"Check"),"")</f>
        <v>CM3</v>
      </c>
      <c r="E1361" s="100" t="str">
        <f>IF($B1361&lt;&gt;"",_xlfn.IFNA(VLOOKUP($B1361,'Node Details'!$B:$U,E$1,0),"Check"),"")</f>
        <v>Airtel</v>
      </c>
      <c r="F1361" s="101">
        <v>46149</v>
      </c>
      <c r="G1361" s="103"/>
      <c r="H1361" s="102" t="s">
        <v>1260</v>
      </c>
      <c r="I1361" s="9">
        <v>2</v>
      </c>
      <c r="J1361" s="9">
        <v>65</v>
      </c>
      <c r="K1361" s="100">
        <f t="shared" si="175"/>
        <v>130</v>
      </c>
      <c r="L1361" s="78">
        <v>46142</v>
      </c>
      <c r="M1361" s="103"/>
      <c r="N1361" s="93" t="s">
        <v>617</v>
      </c>
      <c r="O1361" s="94">
        <v>46141</v>
      </c>
      <c r="P1361" s="104">
        <f t="shared" si="176"/>
        <v>65</v>
      </c>
      <c r="Q1361" s="104">
        <f t="shared" si="177"/>
        <v>130</v>
      </c>
      <c r="R1361" s="104"/>
      <c r="S1361" s="93" t="s">
        <v>618</v>
      </c>
      <c r="T1361" s="94">
        <v>46156</v>
      </c>
      <c r="U1361" s="104">
        <f t="shared" si="178"/>
        <v>65</v>
      </c>
      <c r="V1361" s="104">
        <f t="shared" si="179"/>
        <v>2</v>
      </c>
      <c r="W1361" s="103">
        <f t="shared" si="180"/>
        <v>130</v>
      </c>
      <c r="X1361" s="93" t="s">
        <v>89</v>
      </c>
      <c r="Y1361" s="105" t="s">
        <v>84</v>
      </c>
      <c r="Z1361" s="105" t="s">
        <v>619</v>
      </c>
    </row>
    <row r="1362" spans="1:26" s="105" customFormat="1" ht="15" customHeight="1">
      <c r="A1362" s="99">
        <f t="shared" si="181"/>
        <v>1360</v>
      </c>
      <c r="B1362" s="75" t="s">
        <v>624</v>
      </c>
      <c r="C1362" s="100" t="str">
        <f>IF($B1362&lt;&gt;"",_xlfn.IFNA(VLOOKUP($B1362,'Node Details'!$B:$U,C$1,0),"Check"),"")</f>
        <v>000000CM3-0000CM325</v>
      </c>
      <c r="D1362" s="100" t="str">
        <f>IF($B1362&lt;&gt;"",_xlfn.IFNA(VLOOKUP($B1362,'Node Details'!$B:$U,D$1,0),"Check"),"")</f>
        <v>CM3</v>
      </c>
      <c r="E1362" s="100" t="str">
        <f>IF($B1362&lt;&gt;"",_xlfn.IFNA(VLOOKUP($B1362,'Node Details'!$B:$U,E$1,0),"Check"),"")</f>
        <v>Airtel</v>
      </c>
      <c r="F1362" s="101">
        <v>46149</v>
      </c>
      <c r="G1362" s="103"/>
      <c r="H1362" s="102" t="s">
        <v>1260</v>
      </c>
      <c r="I1362" s="9">
        <v>42</v>
      </c>
      <c r="J1362" s="9">
        <v>65</v>
      </c>
      <c r="K1362" s="100">
        <f t="shared" si="175"/>
        <v>2730</v>
      </c>
      <c r="L1362" s="78">
        <v>46142</v>
      </c>
      <c r="M1362" s="103"/>
      <c r="N1362" s="93" t="s">
        <v>617</v>
      </c>
      <c r="O1362" s="94">
        <v>46141</v>
      </c>
      <c r="P1362" s="104">
        <f t="shared" si="176"/>
        <v>65</v>
      </c>
      <c r="Q1362" s="104">
        <f t="shared" si="177"/>
        <v>2730</v>
      </c>
      <c r="R1362" s="104"/>
      <c r="S1362" s="93" t="s">
        <v>618</v>
      </c>
      <c r="T1362" s="94">
        <v>46156</v>
      </c>
      <c r="U1362" s="104">
        <f t="shared" si="178"/>
        <v>65</v>
      </c>
      <c r="V1362" s="104">
        <f t="shared" si="179"/>
        <v>42</v>
      </c>
      <c r="W1362" s="103">
        <f t="shared" si="180"/>
        <v>2730</v>
      </c>
      <c r="X1362" s="93" t="s">
        <v>89</v>
      </c>
      <c r="Y1362" s="105" t="s">
        <v>84</v>
      </c>
      <c r="Z1362" s="105" t="s">
        <v>619</v>
      </c>
    </row>
    <row r="1363" spans="1:26" s="105" customFormat="1" ht="15" customHeight="1">
      <c r="A1363" s="99">
        <f t="shared" si="181"/>
        <v>1361</v>
      </c>
      <c r="B1363" s="75" t="s">
        <v>627</v>
      </c>
      <c r="C1363" s="100" t="str">
        <f>IF($B1363&lt;&gt;"",_xlfn.IFNA(VLOOKUP($B1363,'Node Details'!$B:$U,C$1,0),"Check"),"")</f>
        <v>0000CM313-0000CM315</v>
      </c>
      <c r="D1363" s="100" t="str">
        <f>IF($B1363&lt;&gt;"",_xlfn.IFNA(VLOOKUP($B1363,'Node Details'!$B:$U,D$1,0),"Check"),"")</f>
        <v>CM3</v>
      </c>
      <c r="E1363" s="100" t="str">
        <f>IF($B1363&lt;&gt;"",_xlfn.IFNA(VLOOKUP($B1363,'Node Details'!$B:$U,E$1,0),"Check"),"")</f>
        <v>Airtel</v>
      </c>
      <c r="F1363" s="101">
        <v>46149</v>
      </c>
      <c r="G1363" s="103"/>
      <c r="H1363" s="102" t="s">
        <v>1260</v>
      </c>
      <c r="I1363" s="9">
        <v>18</v>
      </c>
      <c r="J1363" s="9">
        <v>65</v>
      </c>
      <c r="K1363" s="100">
        <f t="shared" si="175"/>
        <v>1170</v>
      </c>
      <c r="L1363" s="78">
        <v>46142</v>
      </c>
      <c r="M1363" s="103"/>
      <c r="N1363" s="93" t="s">
        <v>617</v>
      </c>
      <c r="O1363" s="94">
        <v>46141</v>
      </c>
      <c r="P1363" s="104">
        <f t="shared" si="176"/>
        <v>65</v>
      </c>
      <c r="Q1363" s="104">
        <f t="shared" si="177"/>
        <v>1170</v>
      </c>
      <c r="R1363" s="104"/>
      <c r="S1363" s="93" t="s">
        <v>618</v>
      </c>
      <c r="T1363" s="94">
        <v>46156</v>
      </c>
      <c r="U1363" s="104">
        <f t="shared" si="178"/>
        <v>65</v>
      </c>
      <c r="V1363" s="104">
        <f t="shared" si="179"/>
        <v>18</v>
      </c>
      <c r="W1363" s="103">
        <f t="shared" si="180"/>
        <v>1170</v>
      </c>
      <c r="X1363" s="93" t="s">
        <v>89</v>
      </c>
      <c r="Y1363" s="105" t="s">
        <v>84</v>
      </c>
      <c r="Z1363" s="105" t="s">
        <v>619</v>
      </c>
    </row>
    <row r="1364" spans="1:26" s="105" customFormat="1" ht="15" customHeight="1">
      <c r="A1364" s="99">
        <f t="shared" si="181"/>
        <v>1362</v>
      </c>
      <c r="B1364" s="75" t="s">
        <v>1169</v>
      </c>
      <c r="C1364" s="100" t="str">
        <f>IF($B1364&lt;&gt;"",_xlfn.IFNA(VLOOKUP($B1364,'Node Details'!$B:$U,C$1,0),"Check"),"")</f>
        <v>0000CM314-CM3140108</v>
      </c>
      <c r="D1364" s="100" t="str">
        <f>IF($B1364&lt;&gt;"",_xlfn.IFNA(VLOOKUP($B1364,'Node Details'!$B:$U,D$1,0),"Check"),"")</f>
        <v>CM3</v>
      </c>
      <c r="E1364" s="100" t="str">
        <f>IF($B1364&lt;&gt;"",_xlfn.IFNA(VLOOKUP($B1364,'Node Details'!$B:$U,E$1,0),"Check"),"")</f>
        <v>Airtel</v>
      </c>
      <c r="F1364" s="101">
        <v>46149</v>
      </c>
      <c r="G1364" s="103"/>
      <c r="H1364" s="102" t="s">
        <v>1260</v>
      </c>
      <c r="I1364" s="9">
        <v>6</v>
      </c>
      <c r="J1364" s="9">
        <v>65</v>
      </c>
      <c r="K1364" s="100">
        <f t="shared" si="175"/>
        <v>390</v>
      </c>
      <c r="L1364" s="78">
        <v>46142</v>
      </c>
      <c r="M1364" s="103"/>
      <c r="N1364" s="93" t="s">
        <v>617</v>
      </c>
      <c r="O1364" s="94">
        <v>46141</v>
      </c>
      <c r="P1364" s="104">
        <f t="shared" si="176"/>
        <v>65</v>
      </c>
      <c r="Q1364" s="104">
        <f t="shared" si="177"/>
        <v>390</v>
      </c>
      <c r="R1364" s="104"/>
      <c r="S1364" s="93" t="s">
        <v>618</v>
      </c>
      <c r="T1364" s="94">
        <v>46156</v>
      </c>
      <c r="U1364" s="104">
        <f t="shared" si="178"/>
        <v>65</v>
      </c>
      <c r="V1364" s="104">
        <f t="shared" si="179"/>
        <v>6</v>
      </c>
      <c r="W1364" s="103">
        <f t="shared" si="180"/>
        <v>390</v>
      </c>
      <c r="X1364" s="93" t="s">
        <v>89</v>
      </c>
      <c r="Y1364" s="105" t="s">
        <v>84</v>
      </c>
      <c r="Z1364" s="105" t="s">
        <v>619</v>
      </c>
    </row>
    <row r="1365" spans="1:26" s="105" customFormat="1" ht="15" customHeight="1">
      <c r="A1365" s="99">
        <f t="shared" si="181"/>
        <v>1363</v>
      </c>
      <c r="B1365" s="75" t="s">
        <v>1170</v>
      </c>
      <c r="C1365" s="100" t="str">
        <f>IF($B1365&lt;&gt;"",_xlfn.IFNA(VLOOKUP($B1365,'Node Details'!$B:$U,C$1,0),"Check"),"")</f>
        <v>0000CM314-CM3140108</v>
      </c>
      <c r="D1365" s="100" t="str">
        <f>IF($B1365&lt;&gt;"",_xlfn.IFNA(VLOOKUP($B1365,'Node Details'!$B:$U,D$1,0),"Check"),"")</f>
        <v>CM3</v>
      </c>
      <c r="E1365" s="100" t="str">
        <f>IF($B1365&lt;&gt;"",_xlfn.IFNA(VLOOKUP($B1365,'Node Details'!$B:$U,E$1,0),"Check"),"")</f>
        <v>Airtel</v>
      </c>
      <c r="F1365" s="101">
        <v>46149</v>
      </c>
      <c r="G1365" s="103"/>
      <c r="H1365" s="102" t="s">
        <v>1260</v>
      </c>
      <c r="I1365" s="9">
        <v>4</v>
      </c>
      <c r="J1365" s="9">
        <v>65</v>
      </c>
      <c r="K1365" s="100">
        <f t="shared" si="175"/>
        <v>260</v>
      </c>
      <c r="L1365" s="78">
        <v>46142</v>
      </c>
      <c r="M1365" s="103"/>
      <c r="N1365" s="93" t="s">
        <v>617</v>
      </c>
      <c r="O1365" s="94">
        <v>46141</v>
      </c>
      <c r="P1365" s="104">
        <f t="shared" si="176"/>
        <v>65</v>
      </c>
      <c r="Q1365" s="104">
        <f t="shared" si="177"/>
        <v>260</v>
      </c>
      <c r="R1365" s="104"/>
      <c r="S1365" s="93" t="s">
        <v>618</v>
      </c>
      <c r="T1365" s="94">
        <v>46156</v>
      </c>
      <c r="U1365" s="104">
        <f t="shared" si="178"/>
        <v>65</v>
      </c>
      <c r="V1365" s="104">
        <f t="shared" si="179"/>
        <v>4</v>
      </c>
      <c r="W1365" s="103">
        <f t="shared" si="180"/>
        <v>260</v>
      </c>
      <c r="X1365" s="93" t="s">
        <v>89</v>
      </c>
      <c r="Y1365" s="105" t="s">
        <v>84</v>
      </c>
      <c r="Z1365" s="105" t="s">
        <v>619</v>
      </c>
    </row>
    <row r="1366" spans="1:26" s="105" customFormat="1" ht="15" customHeight="1">
      <c r="A1366" s="99">
        <f t="shared" si="181"/>
        <v>1364</v>
      </c>
      <c r="B1366" s="75" t="s">
        <v>1171</v>
      </c>
      <c r="C1366" s="100" t="str">
        <f>IF($B1366&lt;&gt;"",_xlfn.IFNA(VLOOKUP($B1366,'Node Details'!$B:$U,C$1,0),"Check"),"")</f>
        <v>0000CM314-CM3140108</v>
      </c>
      <c r="D1366" s="100" t="str">
        <f>IF($B1366&lt;&gt;"",_xlfn.IFNA(VLOOKUP($B1366,'Node Details'!$B:$U,D$1,0),"Check"),"")</f>
        <v>CM3</v>
      </c>
      <c r="E1366" s="100" t="str">
        <f>IF($B1366&lt;&gt;"",_xlfn.IFNA(VLOOKUP($B1366,'Node Details'!$B:$U,E$1,0),"Check"),"")</f>
        <v>Airtel</v>
      </c>
      <c r="F1366" s="101">
        <v>46149</v>
      </c>
      <c r="G1366" s="103"/>
      <c r="H1366" s="102" t="s">
        <v>1260</v>
      </c>
      <c r="I1366" s="9">
        <v>2</v>
      </c>
      <c r="J1366" s="9">
        <v>65</v>
      </c>
      <c r="K1366" s="100">
        <f t="shared" si="175"/>
        <v>130</v>
      </c>
      <c r="L1366" s="78">
        <v>46142</v>
      </c>
      <c r="M1366" s="103"/>
      <c r="N1366" s="93" t="s">
        <v>617</v>
      </c>
      <c r="O1366" s="94">
        <v>46141</v>
      </c>
      <c r="P1366" s="104">
        <f t="shared" si="176"/>
        <v>65</v>
      </c>
      <c r="Q1366" s="104">
        <f t="shared" si="177"/>
        <v>130</v>
      </c>
      <c r="R1366" s="104"/>
      <c r="S1366" s="93" t="s">
        <v>618</v>
      </c>
      <c r="T1366" s="94">
        <v>46156</v>
      </c>
      <c r="U1366" s="104">
        <f t="shared" si="178"/>
        <v>65</v>
      </c>
      <c r="V1366" s="104">
        <f t="shared" si="179"/>
        <v>2</v>
      </c>
      <c r="W1366" s="103">
        <f t="shared" si="180"/>
        <v>130</v>
      </c>
      <c r="X1366" s="93" t="s">
        <v>89</v>
      </c>
      <c r="Y1366" s="105" t="s">
        <v>84</v>
      </c>
      <c r="Z1366" s="105" t="s">
        <v>619</v>
      </c>
    </row>
    <row r="1367" spans="1:26" s="105" customFormat="1" ht="15" customHeight="1">
      <c r="A1367" s="99">
        <f t="shared" si="181"/>
        <v>1365</v>
      </c>
      <c r="B1367" s="75" t="s">
        <v>625</v>
      </c>
      <c r="C1367" s="100" t="str">
        <f>IF($B1367&lt;&gt;"",_xlfn.IFNA(VLOOKUP($B1367,'Node Details'!$B:$U,C$1,0),"Check"),"")</f>
        <v>0000CM313-0000CM315</v>
      </c>
      <c r="D1367" s="100" t="str">
        <f>IF($B1367&lt;&gt;"",_xlfn.IFNA(VLOOKUP($B1367,'Node Details'!$B:$U,D$1,0),"Check"),"")</f>
        <v>CM3</v>
      </c>
      <c r="E1367" s="100" t="str">
        <f>IF($B1367&lt;&gt;"",_xlfn.IFNA(VLOOKUP($B1367,'Node Details'!$B:$U,E$1,0),"Check"),"")</f>
        <v>Airtel</v>
      </c>
      <c r="F1367" s="101">
        <v>46149</v>
      </c>
      <c r="G1367" s="103"/>
      <c r="H1367" s="102" t="s">
        <v>1260</v>
      </c>
      <c r="I1367" s="9">
        <v>18</v>
      </c>
      <c r="J1367" s="9">
        <v>65</v>
      </c>
      <c r="K1367" s="100">
        <f t="shared" si="175"/>
        <v>1170</v>
      </c>
      <c r="L1367" s="78">
        <v>46142</v>
      </c>
      <c r="M1367" s="103"/>
      <c r="N1367" s="93" t="s">
        <v>617</v>
      </c>
      <c r="O1367" s="94">
        <v>46141</v>
      </c>
      <c r="P1367" s="104">
        <f t="shared" si="176"/>
        <v>65</v>
      </c>
      <c r="Q1367" s="104">
        <f t="shared" si="177"/>
        <v>1170</v>
      </c>
      <c r="R1367" s="104"/>
      <c r="S1367" s="93" t="s">
        <v>618</v>
      </c>
      <c r="T1367" s="94">
        <v>46156</v>
      </c>
      <c r="U1367" s="104">
        <f t="shared" si="178"/>
        <v>65</v>
      </c>
      <c r="V1367" s="104">
        <f t="shared" si="179"/>
        <v>18</v>
      </c>
      <c r="W1367" s="103">
        <f t="shared" si="180"/>
        <v>1170</v>
      </c>
      <c r="X1367" s="93" t="s">
        <v>89</v>
      </c>
      <c r="Y1367" s="105" t="s">
        <v>84</v>
      </c>
      <c r="Z1367" s="105" t="s">
        <v>619</v>
      </c>
    </row>
    <row r="1368" spans="1:26" s="105" customFormat="1" ht="15" customHeight="1">
      <c r="A1368" s="99">
        <f t="shared" si="181"/>
        <v>1366</v>
      </c>
      <c r="B1368" s="75" t="s">
        <v>628</v>
      </c>
      <c r="C1368" s="100" t="str">
        <f>IF($B1368&lt;&gt;"",_xlfn.IFNA(VLOOKUP($B1368,'Node Details'!$B:$U,C$1,0),"Check"),"")</f>
        <v>0000CM314-0000CM316</v>
      </c>
      <c r="D1368" s="100" t="str">
        <f>IF($B1368&lt;&gt;"",_xlfn.IFNA(VLOOKUP($B1368,'Node Details'!$B:$U,D$1,0),"Check"),"")</f>
        <v>CM3</v>
      </c>
      <c r="E1368" s="100" t="str">
        <f>IF($B1368&lt;&gt;"",_xlfn.IFNA(VLOOKUP($B1368,'Node Details'!$B:$U,E$1,0),"Check"),"")</f>
        <v>Airtel</v>
      </c>
      <c r="F1368" s="101">
        <v>46149</v>
      </c>
      <c r="G1368" s="103"/>
      <c r="H1368" s="102" t="s">
        <v>1260</v>
      </c>
      <c r="I1368" s="9">
        <v>18</v>
      </c>
      <c r="J1368" s="9">
        <v>65</v>
      </c>
      <c r="K1368" s="100">
        <f t="shared" si="175"/>
        <v>1170</v>
      </c>
      <c r="L1368" s="78">
        <v>46142</v>
      </c>
      <c r="M1368" s="103"/>
      <c r="N1368" s="93" t="s">
        <v>617</v>
      </c>
      <c r="O1368" s="94">
        <v>46141</v>
      </c>
      <c r="P1368" s="104">
        <f t="shared" si="176"/>
        <v>65</v>
      </c>
      <c r="Q1368" s="104">
        <f t="shared" si="177"/>
        <v>1170</v>
      </c>
      <c r="R1368" s="104"/>
      <c r="S1368" s="93" t="s">
        <v>618</v>
      </c>
      <c r="T1368" s="94">
        <v>46156</v>
      </c>
      <c r="U1368" s="104">
        <f t="shared" si="178"/>
        <v>65</v>
      </c>
      <c r="V1368" s="104">
        <f t="shared" si="179"/>
        <v>18</v>
      </c>
      <c r="W1368" s="103">
        <f t="shared" si="180"/>
        <v>1170</v>
      </c>
      <c r="X1368" s="93" t="s">
        <v>89</v>
      </c>
      <c r="Y1368" s="105" t="s">
        <v>84</v>
      </c>
      <c r="Z1368" s="105" t="s">
        <v>619</v>
      </c>
    </row>
    <row r="1369" spans="1:26" s="105" customFormat="1" ht="15" customHeight="1">
      <c r="A1369" s="99">
        <f t="shared" si="181"/>
        <v>1367</v>
      </c>
      <c r="B1369" s="75" t="s">
        <v>1173</v>
      </c>
      <c r="C1369" s="100" t="str">
        <f>IF($B1369&lt;&gt;"",_xlfn.IFNA(VLOOKUP($B1369,'Node Details'!$B:$U,C$1,0),"Check"),"")</f>
        <v>0000CM316-CM3160107</v>
      </c>
      <c r="D1369" s="100" t="str">
        <f>IF($B1369&lt;&gt;"",_xlfn.IFNA(VLOOKUP($B1369,'Node Details'!$B:$U,D$1,0),"Check"),"")</f>
        <v>CM3</v>
      </c>
      <c r="E1369" s="100" t="str">
        <f>IF($B1369&lt;&gt;"",_xlfn.IFNA(VLOOKUP($B1369,'Node Details'!$B:$U,E$1,0),"Check"),"")</f>
        <v>Airtel</v>
      </c>
      <c r="F1369" s="101">
        <v>46149</v>
      </c>
      <c r="G1369" s="103"/>
      <c r="H1369" s="102" t="s">
        <v>1260</v>
      </c>
      <c r="I1369" s="9">
        <v>6</v>
      </c>
      <c r="J1369" s="9">
        <v>65</v>
      </c>
      <c r="K1369" s="100">
        <f t="shared" si="175"/>
        <v>390</v>
      </c>
      <c r="L1369" s="78">
        <v>46142</v>
      </c>
      <c r="M1369" s="103"/>
      <c r="N1369" s="93" t="s">
        <v>617</v>
      </c>
      <c r="O1369" s="94">
        <v>46141</v>
      </c>
      <c r="P1369" s="104">
        <f t="shared" si="176"/>
        <v>65</v>
      </c>
      <c r="Q1369" s="104">
        <f t="shared" si="177"/>
        <v>390</v>
      </c>
      <c r="R1369" s="104"/>
      <c r="S1369" s="93" t="s">
        <v>618</v>
      </c>
      <c r="T1369" s="94">
        <v>46156</v>
      </c>
      <c r="U1369" s="104">
        <f t="shared" si="178"/>
        <v>65</v>
      </c>
      <c r="V1369" s="104">
        <f t="shared" si="179"/>
        <v>6</v>
      </c>
      <c r="W1369" s="103">
        <f t="shared" si="180"/>
        <v>390</v>
      </c>
      <c r="X1369" s="93" t="s">
        <v>89</v>
      </c>
      <c r="Y1369" s="105" t="s">
        <v>84</v>
      </c>
      <c r="Z1369" s="105" t="s">
        <v>619</v>
      </c>
    </row>
    <row r="1370" spans="1:26" s="105" customFormat="1" ht="15" customHeight="1">
      <c r="A1370" s="99">
        <f t="shared" si="181"/>
        <v>1368</v>
      </c>
      <c r="B1370" s="75" t="s">
        <v>741</v>
      </c>
      <c r="C1370" s="100" t="str">
        <f>IF($B1370&lt;&gt;"",_xlfn.IFNA(VLOOKUP($B1370,'Node Details'!$B:$U,C$1,0),"Check"),"")</f>
        <v>0000CM316-CM3160107</v>
      </c>
      <c r="D1370" s="100" t="str">
        <f>IF($B1370&lt;&gt;"",_xlfn.IFNA(VLOOKUP($B1370,'Node Details'!$B:$U,D$1,0),"Check"),"")</f>
        <v>CM3</v>
      </c>
      <c r="E1370" s="100" t="str">
        <f>IF($B1370&lt;&gt;"",_xlfn.IFNA(VLOOKUP($B1370,'Node Details'!$B:$U,E$1,0),"Check"),"")</f>
        <v>Airtel</v>
      </c>
      <c r="F1370" s="101">
        <v>46149</v>
      </c>
      <c r="G1370" s="103"/>
      <c r="H1370" s="102" t="s">
        <v>1260</v>
      </c>
      <c r="I1370" s="9">
        <v>4</v>
      </c>
      <c r="J1370" s="9">
        <v>65</v>
      </c>
      <c r="K1370" s="100">
        <f t="shared" si="175"/>
        <v>260</v>
      </c>
      <c r="L1370" s="78">
        <v>46142</v>
      </c>
      <c r="M1370" s="103"/>
      <c r="N1370" s="93" t="s">
        <v>617</v>
      </c>
      <c r="O1370" s="94">
        <v>46141</v>
      </c>
      <c r="P1370" s="104">
        <f t="shared" si="176"/>
        <v>65</v>
      </c>
      <c r="Q1370" s="104">
        <f t="shared" si="177"/>
        <v>260</v>
      </c>
      <c r="R1370" s="104"/>
      <c r="S1370" s="93" t="s">
        <v>618</v>
      </c>
      <c r="T1370" s="94">
        <v>46156</v>
      </c>
      <c r="U1370" s="104">
        <f t="shared" si="178"/>
        <v>65</v>
      </c>
      <c r="V1370" s="104">
        <f t="shared" si="179"/>
        <v>4</v>
      </c>
      <c r="W1370" s="103">
        <f t="shared" si="180"/>
        <v>260</v>
      </c>
      <c r="X1370" s="93" t="s">
        <v>89</v>
      </c>
      <c r="Y1370" s="105" t="s">
        <v>84</v>
      </c>
      <c r="Z1370" s="105" t="s">
        <v>619</v>
      </c>
    </row>
    <row r="1371" spans="1:26" s="105" customFormat="1" ht="15" customHeight="1">
      <c r="A1371" s="99">
        <f t="shared" si="181"/>
        <v>1369</v>
      </c>
      <c r="B1371" s="75" t="s">
        <v>739</v>
      </c>
      <c r="C1371" s="100" t="str">
        <f>IF($B1371&lt;&gt;"",_xlfn.IFNA(VLOOKUP($B1371,'Node Details'!$B:$U,C$1,0),"Check"),"")</f>
        <v>0000CM316-CM3160107</v>
      </c>
      <c r="D1371" s="100" t="str">
        <f>IF($B1371&lt;&gt;"",_xlfn.IFNA(VLOOKUP($B1371,'Node Details'!$B:$U,D$1,0),"Check"),"")</f>
        <v>CM3</v>
      </c>
      <c r="E1371" s="100" t="str">
        <f>IF($B1371&lt;&gt;"",_xlfn.IFNA(VLOOKUP($B1371,'Node Details'!$B:$U,E$1,0),"Check"),"")</f>
        <v>Airtel</v>
      </c>
      <c r="F1371" s="101">
        <v>46149</v>
      </c>
      <c r="G1371" s="103"/>
      <c r="H1371" s="102" t="s">
        <v>1260</v>
      </c>
      <c r="I1371" s="9">
        <v>2</v>
      </c>
      <c r="J1371" s="9">
        <v>65</v>
      </c>
      <c r="K1371" s="100">
        <f t="shared" si="175"/>
        <v>130</v>
      </c>
      <c r="L1371" s="78">
        <v>46142</v>
      </c>
      <c r="M1371" s="103"/>
      <c r="N1371" s="93" t="s">
        <v>617</v>
      </c>
      <c r="O1371" s="94">
        <v>46141</v>
      </c>
      <c r="P1371" s="104">
        <f t="shared" si="176"/>
        <v>65</v>
      </c>
      <c r="Q1371" s="104">
        <f t="shared" si="177"/>
        <v>130</v>
      </c>
      <c r="R1371" s="104"/>
      <c r="S1371" s="93" t="s">
        <v>618</v>
      </c>
      <c r="T1371" s="94">
        <v>46156</v>
      </c>
      <c r="U1371" s="104">
        <f t="shared" si="178"/>
        <v>65</v>
      </c>
      <c r="V1371" s="104">
        <f t="shared" si="179"/>
        <v>2</v>
      </c>
      <c r="W1371" s="103">
        <f t="shared" si="180"/>
        <v>130</v>
      </c>
      <c r="X1371" s="93" t="s">
        <v>89</v>
      </c>
      <c r="Y1371" s="105" t="s">
        <v>84</v>
      </c>
      <c r="Z1371" s="105" t="s">
        <v>619</v>
      </c>
    </row>
    <row r="1372" spans="1:26" s="105" customFormat="1" ht="15" customHeight="1">
      <c r="A1372" s="99">
        <f t="shared" si="181"/>
        <v>1370</v>
      </c>
      <c r="B1372" s="75" t="s">
        <v>746</v>
      </c>
      <c r="C1372" s="100" t="str">
        <f>IF($B1372&lt;&gt;"",_xlfn.IFNA(VLOOKUP($B1372,'Node Details'!$B:$U,C$1,0),"Check"),"")</f>
        <v>000000CM3-0000CM325</v>
      </c>
      <c r="D1372" s="100" t="str">
        <f>IF($B1372&lt;&gt;"",_xlfn.IFNA(VLOOKUP($B1372,'Node Details'!$B:$U,D$1,0),"Check"),"")</f>
        <v>CM3</v>
      </c>
      <c r="E1372" s="100" t="str">
        <f>IF($B1372&lt;&gt;"",_xlfn.IFNA(VLOOKUP($B1372,'Node Details'!$B:$U,E$1,0),"Check"),"")</f>
        <v>Airtel</v>
      </c>
      <c r="F1372" s="101">
        <v>46149</v>
      </c>
      <c r="G1372" s="103"/>
      <c r="H1372" s="102" t="s">
        <v>1260</v>
      </c>
      <c r="I1372" s="9">
        <v>42</v>
      </c>
      <c r="J1372" s="9">
        <v>65</v>
      </c>
      <c r="K1372" s="100">
        <f t="shared" si="175"/>
        <v>2730</v>
      </c>
      <c r="L1372" s="78">
        <v>46142</v>
      </c>
      <c r="M1372" s="103"/>
      <c r="N1372" s="93" t="s">
        <v>617</v>
      </c>
      <c r="O1372" s="94">
        <v>46141</v>
      </c>
      <c r="P1372" s="104">
        <f t="shared" si="176"/>
        <v>65</v>
      </c>
      <c r="Q1372" s="104">
        <f t="shared" si="177"/>
        <v>2730</v>
      </c>
      <c r="R1372" s="104"/>
      <c r="S1372" s="93" t="s">
        <v>618</v>
      </c>
      <c r="T1372" s="94">
        <v>46156</v>
      </c>
      <c r="U1372" s="104">
        <f t="shared" si="178"/>
        <v>65</v>
      </c>
      <c r="V1372" s="104">
        <f t="shared" si="179"/>
        <v>42</v>
      </c>
      <c r="W1372" s="103">
        <f t="shared" si="180"/>
        <v>2730</v>
      </c>
      <c r="X1372" s="93" t="s">
        <v>89</v>
      </c>
      <c r="Y1372" s="105" t="s">
        <v>84</v>
      </c>
      <c r="Z1372" s="105" t="s">
        <v>619</v>
      </c>
    </row>
    <row r="1373" spans="1:26" s="105" customFormat="1" ht="15" customHeight="1">
      <c r="A1373" s="99">
        <f t="shared" si="181"/>
        <v>1371</v>
      </c>
      <c r="B1373" s="75" t="s">
        <v>749</v>
      </c>
      <c r="C1373" s="100" t="str">
        <f>IF($B1373&lt;&gt;"",_xlfn.IFNA(VLOOKUP($B1373,'Node Details'!$B:$U,C$1,0),"Check"),"")</f>
        <v>0000CM317-CM3170102</v>
      </c>
      <c r="D1373" s="100" t="str">
        <f>IF($B1373&lt;&gt;"",_xlfn.IFNA(VLOOKUP($B1373,'Node Details'!$B:$U,D$1,0),"Check"),"")</f>
        <v>CM3</v>
      </c>
      <c r="E1373" s="100" t="str">
        <f>IF($B1373&lt;&gt;"",_xlfn.IFNA(VLOOKUP($B1373,'Node Details'!$B:$U,E$1,0),"Check"),"")</f>
        <v>Airtel</v>
      </c>
      <c r="F1373" s="101">
        <v>46149</v>
      </c>
      <c r="G1373" s="103"/>
      <c r="H1373" s="102" t="s">
        <v>1260</v>
      </c>
      <c r="I1373" s="9">
        <v>6</v>
      </c>
      <c r="J1373" s="9">
        <v>65</v>
      </c>
      <c r="K1373" s="100">
        <f t="shared" si="175"/>
        <v>390</v>
      </c>
      <c r="L1373" s="78">
        <v>46142</v>
      </c>
      <c r="M1373" s="103"/>
      <c r="N1373" s="93" t="s">
        <v>617</v>
      </c>
      <c r="O1373" s="94">
        <v>46141</v>
      </c>
      <c r="P1373" s="104">
        <f t="shared" si="176"/>
        <v>65</v>
      </c>
      <c r="Q1373" s="104">
        <f t="shared" si="177"/>
        <v>390</v>
      </c>
      <c r="R1373" s="104"/>
      <c r="S1373" s="93" t="s">
        <v>618</v>
      </c>
      <c r="T1373" s="94">
        <v>46156</v>
      </c>
      <c r="U1373" s="104">
        <f t="shared" si="178"/>
        <v>65</v>
      </c>
      <c r="V1373" s="104">
        <f t="shared" si="179"/>
        <v>6</v>
      </c>
      <c r="W1373" s="103">
        <f t="shared" si="180"/>
        <v>390</v>
      </c>
      <c r="X1373" s="93" t="s">
        <v>89</v>
      </c>
      <c r="Y1373" s="105" t="s">
        <v>84</v>
      </c>
      <c r="Z1373" s="105" t="s">
        <v>619</v>
      </c>
    </row>
    <row r="1374" spans="1:26" s="105" customFormat="1" ht="15" customHeight="1">
      <c r="A1374" s="99">
        <f t="shared" si="181"/>
        <v>1372</v>
      </c>
      <c r="B1374" s="75" t="s">
        <v>1175</v>
      </c>
      <c r="C1374" s="100" t="str">
        <f>IF($B1374&lt;&gt;"",_xlfn.IFNA(VLOOKUP($B1374,'Node Details'!$B:$U,C$1,0),"Check"),"")</f>
        <v>0000CM317-CM3170104</v>
      </c>
      <c r="D1374" s="100" t="str">
        <f>IF($B1374&lt;&gt;"",_xlfn.IFNA(VLOOKUP($B1374,'Node Details'!$B:$U,D$1,0),"Check"),"")</f>
        <v>CM3</v>
      </c>
      <c r="E1374" s="100" t="str">
        <f>IF($B1374&lt;&gt;"",_xlfn.IFNA(VLOOKUP($B1374,'Node Details'!$B:$U,E$1,0),"Check"),"")</f>
        <v>Airtel</v>
      </c>
      <c r="F1374" s="101">
        <v>46149</v>
      </c>
      <c r="G1374" s="103"/>
      <c r="H1374" s="102" t="s">
        <v>1260</v>
      </c>
      <c r="I1374" s="9">
        <v>4</v>
      </c>
      <c r="J1374" s="9">
        <v>65</v>
      </c>
      <c r="K1374" s="100">
        <f t="shared" si="175"/>
        <v>260</v>
      </c>
      <c r="L1374" s="78">
        <v>46142</v>
      </c>
      <c r="M1374" s="103"/>
      <c r="N1374" s="93" t="s">
        <v>617</v>
      </c>
      <c r="O1374" s="94">
        <v>46141</v>
      </c>
      <c r="P1374" s="104">
        <f t="shared" si="176"/>
        <v>65</v>
      </c>
      <c r="Q1374" s="104">
        <f t="shared" si="177"/>
        <v>260</v>
      </c>
      <c r="R1374" s="104"/>
      <c r="S1374" s="93" t="s">
        <v>618</v>
      </c>
      <c r="T1374" s="94">
        <v>46156</v>
      </c>
      <c r="U1374" s="104">
        <f t="shared" si="178"/>
        <v>65</v>
      </c>
      <c r="V1374" s="104">
        <f t="shared" si="179"/>
        <v>4</v>
      </c>
      <c r="W1374" s="103">
        <f t="shared" si="180"/>
        <v>260</v>
      </c>
      <c r="X1374" s="93" t="s">
        <v>89</v>
      </c>
      <c r="Y1374" s="105" t="s">
        <v>84</v>
      </c>
      <c r="Z1374" s="105" t="s">
        <v>619</v>
      </c>
    </row>
    <row r="1375" spans="1:26" s="105" customFormat="1" ht="15" customHeight="1">
      <c r="A1375" s="99">
        <f t="shared" si="181"/>
        <v>1373</v>
      </c>
      <c r="B1375" s="75" t="s">
        <v>751</v>
      </c>
      <c r="C1375" s="100" t="str">
        <f>IF($B1375&lt;&gt;"",_xlfn.IFNA(VLOOKUP($B1375,'Node Details'!$B:$U,C$1,0),"Check"),"")</f>
        <v>0000CM317-CM3170104</v>
      </c>
      <c r="D1375" s="100" t="str">
        <f>IF($B1375&lt;&gt;"",_xlfn.IFNA(VLOOKUP($B1375,'Node Details'!$B:$U,D$1,0),"Check"),"")</f>
        <v>CM3</v>
      </c>
      <c r="E1375" s="100" t="str">
        <f>IF($B1375&lt;&gt;"",_xlfn.IFNA(VLOOKUP($B1375,'Node Details'!$B:$U,E$1,0),"Check"),"")</f>
        <v>Airtel</v>
      </c>
      <c r="F1375" s="101">
        <v>46149</v>
      </c>
      <c r="G1375" s="103"/>
      <c r="H1375" s="102" t="s">
        <v>1260</v>
      </c>
      <c r="I1375" s="9">
        <v>2</v>
      </c>
      <c r="J1375" s="9">
        <v>65</v>
      </c>
      <c r="K1375" s="100">
        <f t="shared" si="175"/>
        <v>130</v>
      </c>
      <c r="L1375" s="78">
        <v>46142</v>
      </c>
      <c r="M1375" s="103"/>
      <c r="N1375" s="93" t="s">
        <v>617</v>
      </c>
      <c r="O1375" s="94">
        <v>46141</v>
      </c>
      <c r="P1375" s="104">
        <f t="shared" si="176"/>
        <v>65</v>
      </c>
      <c r="Q1375" s="104">
        <f t="shared" si="177"/>
        <v>130</v>
      </c>
      <c r="R1375" s="104"/>
      <c r="S1375" s="93" t="s">
        <v>618</v>
      </c>
      <c r="T1375" s="94">
        <v>46156</v>
      </c>
      <c r="U1375" s="104">
        <f t="shared" si="178"/>
        <v>65</v>
      </c>
      <c r="V1375" s="104">
        <f t="shared" si="179"/>
        <v>2</v>
      </c>
      <c r="W1375" s="103">
        <f t="shared" si="180"/>
        <v>130</v>
      </c>
      <c r="X1375" s="93" t="s">
        <v>89</v>
      </c>
      <c r="Y1375" s="105" t="s">
        <v>84</v>
      </c>
      <c r="Z1375" s="105" t="s">
        <v>619</v>
      </c>
    </row>
    <row r="1376" spans="1:26" s="105" customFormat="1" ht="15" customHeight="1">
      <c r="A1376" s="99">
        <f t="shared" si="181"/>
        <v>1374</v>
      </c>
      <c r="B1376" s="75" t="s">
        <v>753</v>
      </c>
      <c r="C1376" s="100" t="str">
        <f>IF($B1376&lt;&gt;"",_xlfn.IFNA(VLOOKUP($B1376,'Node Details'!$B:$U,C$1,0),"Check"),"")</f>
        <v>000000CM3-0000CM325</v>
      </c>
      <c r="D1376" s="100" t="str">
        <f>IF($B1376&lt;&gt;"",_xlfn.IFNA(VLOOKUP($B1376,'Node Details'!$B:$U,D$1,0),"Check"),"")</f>
        <v>CM3</v>
      </c>
      <c r="E1376" s="100" t="str">
        <f>IF($B1376&lt;&gt;"",_xlfn.IFNA(VLOOKUP($B1376,'Node Details'!$B:$U,E$1,0),"Check"),"")</f>
        <v>Airtel</v>
      </c>
      <c r="F1376" s="101">
        <v>46149</v>
      </c>
      <c r="G1376" s="103"/>
      <c r="H1376" s="102" t="s">
        <v>1260</v>
      </c>
      <c r="I1376" s="9">
        <v>42</v>
      </c>
      <c r="J1376" s="9">
        <v>65</v>
      </c>
      <c r="K1376" s="100">
        <f t="shared" si="175"/>
        <v>2730</v>
      </c>
      <c r="L1376" s="78">
        <v>46142</v>
      </c>
      <c r="M1376" s="103"/>
      <c r="N1376" s="93" t="s">
        <v>617</v>
      </c>
      <c r="O1376" s="94">
        <v>46141</v>
      </c>
      <c r="P1376" s="104">
        <f t="shared" si="176"/>
        <v>65</v>
      </c>
      <c r="Q1376" s="104">
        <f t="shared" si="177"/>
        <v>2730</v>
      </c>
      <c r="R1376" s="104"/>
      <c r="S1376" s="93" t="s">
        <v>618</v>
      </c>
      <c r="T1376" s="94">
        <v>46156</v>
      </c>
      <c r="U1376" s="104">
        <f t="shared" si="178"/>
        <v>65</v>
      </c>
      <c r="V1376" s="104">
        <f t="shared" si="179"/>
        <v>42</v>
      </c>
      <c r="W1376" s="103">
        <f t="shared" si="180"/>
        <v>2730</v>
      </c>
      <c r="X1376" s="93" t="s">
        <v>89</v>
      </c>
      <c r="Y1376" s="105" t="s">
        <v>84</v>
      </c>
      <c r="Z1376" s="105" t="s">
        <v>619</v>
      </c>
    </row>
    <row r="1377" spans="1:26" s="105" customFormat="1" ht="15" customHeight="1">
      <c r="A1377" s="99">
        <f t="shared" si="181"/>
        <v>1375</v>
      </c>
      <c r="B1377" s="75" t="s">
        <v>1176</v>
      </c>
      <c r="C1377" s="100" t="str">
        <f>IF($B1377&lt;&gt;"",_xlfn.IFNA(VLOOKUP($B1377,'Node Details'!$B:$U,C$1,0),"Check"),"")</f>
        <v>0000CM318-CM3180102</v>
      </c>
      <c r="D1377" s="100" t="str">
        <f>IF($B1377&lt;&gt;"",_xlfn.IFNA(VLOOKUP($B1377,'Node Details'!$B:$U,D$1,0),"Check"),"")</f>
        <v>CM3</v>
      </c>
      <c r="E1377" s="100" t="str">
        <f>IF($B1377&lt;&gt;"",_xlfn.IFNA(VLOOKUP($B1377,'Node Details'!$B:$U,E$1,0),"Check"),"")</f>
        <v>Airtel</v>
      </c>
      <c r="F1377" s="101">
        <v>46149</v>
      </c>
      <c r="G1377" s="103"/>
      <c r="H1377" s="102" t="s">
        <v>1260</v>
      </c>
      <c r="I1377" s="9">
        <v>6</v>
      </c>
      <c r="J1377" s="9">
        <v>65</v>
      </c>
      <c r="K1377" s="100">
        <f t="shared" si="175"/>
        <v>390</v>
      </c>
      <c r="L1377" s="78">
        <v>46142</v>
      </c>
      <c r="M1377" s="103"/>
      <c r="N1377" s="93" t="s">
        <v>617</v>
      </c>
      <c r="O1377" s="94">
        <v>46141</v>
      </c>
      <c r="P1377" s="104">
        <f t="shared" si="176"/>
        <v>65</v>
      </c>
      <c r="Q1377" s="104">
        <f t="shared" si="177"/>
        <v>390</v>
      </c>
      <c r="R1377" s="104"/>
      <c r="S1377" s="93" t="s">
        <v>618</v>
      </c>
      <c r="T1377" s="94">
        <v>46156</v>
      </c>
      <c r="U1377" s="104">
        <f t="shared" si="178"/>
        <v>65</v>
      </c>
      <c r="V1377" s="104">
        <f t="shared" si="179"/>
        <v>6</v>
      </c>
      <c r="W1377" s="103">
        <f t="shared" si="180"/>
        <v>390</v>
      </c>
      <c r="X1377" s="93" t="s">
        <v>89</v>
      </c>
      <c r="Y1377" s="105" t="s">
        <v>84</v>
      </c>
      <c r="Z1377" s="105" t="s">
        <v>619</v>
      </c>
    </row>
    <row r="1378" spans="1:26" s="105" customFormat="1" ht="15" customHeight="1">
      <c r="A1378" s="99">
        <f t="shared" si="181"/>
        <v>1376</v>
      </c>
      <c r="B1378" s="75" t="s">
        <v>756</v>
      </c>
      <c r="C1378" s="100" t="str">
        <f>IF($B1378&lt;&gt;"",_xlfn.IFNA(VLOOKUP($B1378,'Node Details'!$B:$U,C$1,0),"Check"),"")</f>
        <v>0000CM318-CM3180102</v>
      </c>
      <c r="D1378" s="100" t="str">
        <f>IF($B1378&lt;&gt;"",_xlfn.IFNA(VLOOKUP($B1378,'Node Details'!$B:$U,D$1,0),"Check"),"")</f>
        <v>CM3</v>
      </c>
      <c r="E1378" s="100" t="str">
        <f>IF($B1378&lt;&gt;"",_xlfn.IFNA(VLOOKUP($B1378,'Node Details'!$B:$U,E$1,0),"Check"),"")</f>
        <v>Airtel</v>
      </c>
      <c r="F1378" s="101">
        <v>46149</v>
      </c>
      <c r="G1378" s="103"/>
      <c r="H1378" s="102" t="s">
        <v>1260</v>
      </c>
      <c r="I1378" s="9">
        <v>4</v>
      </c>
      <c r="J1378" s="9">
        <v>65</v>
      </c>
      <c r="K1378" s="100">
        <f t="shared" si="175"/>
        <v>260</v>
      </c>
      <c r="L1378" s="78">
        <v>46142</v>
      </c>
      <c r="M1378" s="103"/>
      <c r="N1378" s="93" t="s">
        <v>617</v>
      </c>
      <c r="O1378" s="94">
        <v>46141</v>
      </c>
      <c r="P1378" s="104">
        <f t="shared" si="176"/>
        <v>65</v>
      </c>
      <c r="Q1378" s="104">
        <f t="shared" si="177"/>
        <v>260</v>
      </c>
      <c r="R1378" s="104"/>
      <c r="S1378" s="93" t="s">
        <v>618</v>
      </c>
      <c r="T1378" s="94">
        <v>46156</v>
      </c>
      <c r="U1378" s="104">
        <f t="shared" si="178"/>
        <v>65</v>
      </c>
      <c r="V1378" s="104">
        <f t="shared" si="179"/>
        <v>4</v>
      </c>
      <c r="W1378" s="103">
        <f t="shared" si="180"/>
        <v>260</v>
      </c>
      <c r="X1378" s="93" t="s">
        <v>89</v>
      </c>
      <c r="Y1378" s="105" t="s">
        <v>84</v>
      </c>
      <c r="Z1378" s="105" t="s">
        <v>619</v>
      </c>
    </row>
    <row r="1379" spans="1:26" s="105" customFormat="1" ht="15" customHeight="1">
      <c r="A1379" s="99">
        <f t="shared" si="181"/>
        <v>1377</v>
      </c>
      <c r="B1379" s="75" t="s">
        <v>1177</v>
      </c>
      <c r="C1379" s="100" t="str">
        <f>IF($B1379&lt;&gt;"",_xlfn.IFNA(VLOOKUP($B1379,'Node Details'!$B:$U,C$1,0),"Check"),"")</f>
        <v>0000CM318-CM3180108</v>
      </c>
      <c r="D1379" s="100" t="str">
        <f>IF($B1379&lt;&gt;"",_xlfn.IFNA(VLOOKUP($B1379,'Node Details'!$B:$U,D$1,0),"Check"),"")</f>
        <v>CM3</v>
      </c>
      <c r="E1379" s="100" t="str">
        <f>IF($B1379&lt;&gt;"",_xlfn.IFNA(VLOOKUP($B1379,'Node Details'!$B:$U,E$1,0),"Check"),"")</f>
        <v>Airtel</v>
      </c>
      <c r="F1379" s="101">
        <v>46149</v>
      </c>
      <c r="G1379" s="103"/>
      <c r="H1379" s="102" t="s">
        <v>1260</v>
      </c>
      <c r="I1379" s="9">
        <v>2</v>
      </c>
      <c r="J1379" s="9">
        <v>65</v>
      </c>
      <c r="K1379" s="100">
        <f t="shared" si="175"/>
        <v>130</v>
      </c>
      <c r="L1379" s="78">
        <v>46142</v>
      </c>
      <c r="M1379" s="103"/>
      <c r="N1379" s="93" t="s">
        <v>617</v>
      </c>
      <c r="O1379" s="94">
        <v>46141</v>
      </c>
      <c r="P1379" s="104">
        <f t="shared" si="176"/>
        <v>65</v>
      </c>
      <c r="Q1379" s="104">
        <f t="shared" si="177"/>
        <v>130</v>
      </c>
      <c r="R1379" s="104"/>
      <c r="S1379" s="93" t="s">
        <v>618</v>
      </c>
      <c r="T1379" s="94">
        <v>46156</v>
      </c>
      <c r="U1379" s="104">
        <f t="shared" si="178"/>
        <v>65</v>
      </c>
      <c r="V1379" s="104">
        <f t="shared" si="179"/>
        <v>2</v>
      </c>
      <c r="W1379" s="103">
        <f t="shared" si="180"/>
        <v>130</v>
      </c>
      <c r="X1379" s="93" t="s">
        <v>89</v>
      </c>
      <c r="Y1379" s="105" t="s">
        <v>84</v>
      </c>
      <c r="Z1379" s="105" t="s">
        <v>619</v>
      </c>
    </row>
    <row r="1380" spans="1:26" s="105" customFormat="1" ht="15" customHeight="1">
      <c r="A1380" s="99">
        <f t="shared" si="181"/>
        <v>1378</v>
      </c>
      <c r="B1380" s="75" t="s">
        <v>762</v>
      </c>
      <c r="C1380" s="100" t="str">
        <f>IF($B1380&lt;&gt;"",_xlfn.IFNA(VLOOKUP($B1380,'Node Details'!$B:$U,C$1,0),"Check"),"")</f>
        <v>000000CM3-0000CM325</v>
      </c>
      <c r="D1380" s="100" t="str">
        <f>IF($B1380&lt;&gt;"",_xlfn.IFNA(VLOOKUP($B1380,'Node Details'!$B:$U,D$1,0),"Check"),"")</f>
        <v>CM3</v>
      </c>
      <c r="E1380" s="100" t="str">
        <f>IF($B1380&lt;&gt;"",_xlfn.IFNA(VLOOKUP($B1380,'Node Details'!$B:$U,E$1,0),"Check"),"")</f>
        <v>Airtel</v>
      </c>
      <c r="F1380" s="101">
        <v>46149</v>
      </c>
      <c r="G1380" s="103"/>
      <c r="H1380" s="102" t="s">
        <v>1260</v>
      </c>
      <c r="I1380" s="9">
        <v>42</v>
      </c>
      <c r="J1380" s="9">
        <v>65</v>
      </c>
      <c r="K1380" s="100">
        <f t="shared" si="175"/>
        <v>2730</v>
      </c>
      <c r="L1380" s="78">
        <v>46142</v>
      </c>
      <c r="M1380" s="103"/>
      <c r="N1380" s="93" t="s">
        <v>617</v>
      </c>
      <c r="O1380" s="94">
        <v>46141</v>
      </c>
      <c r="P1380" s="104">
        <f t="shared" si="176"/>
        <v>65</v>
      </c>
      <c r="Q1380" s="104">
        <f t="shared" si="177"/>
        <v>2730</v>
      </c>
      <c r="R1380" s="104"/>
      <c r="S1380" s="93" t="s">
        <v>618</v>
      </c>
      <c r="T1380" s="94">
        <v>46156</v>
      </c>
      <c r="U1380" s="104">
        <f t="shared" si="178"/>
        <v>65</v>
      </c>
      <c r="V1380" s="104">
        <f t="shared" si="179"/>
        <v>42</v>
      </c>
      <c r="W1380" s="103">
        <f t="shared" si="180"/>
        <v>2730</v>
      </c>
      <c r="X1380" s="93" t="s">
        <v>89</v>
      </c>
      <c r="Y1380" s="105" t="s">
        <v>84</v>
      </c>
      <c r="Z1380" s="105" t="s">
        <v>619</v>
      </c>
    </row>
    <row r="1381" spans="1:26" s="105" customFormat="1" ht="15" customHeight="1">
      <c r="A1381" s="99">
        <f t="shared" si="181"/>
        <v>1379</v>
      </c>
      <c r="B1381" s="75" t="s">
        <v>1179</v>
      </c>
      <c r="C1381" s="100" t="str">
        <f>IF($B1381&lt;&gt;"",_xlfn.IFNA(VLOOKUP($B1381,'Node Details'!$B:$U,C$1,0),"Check"),"")</f>
        <v>0000CM319-CM3190104</v>
      </c>
      <c r="D1381" s="100" t="str">
        <f>IF($B1381&lt;&gt;"",_xlfn.IFNA(VLOOKUP($B1381,'Node Details'!$B:$U,D$1,0),"Check"),"")</f>
        <v>CM3</v>
      </c>
      <c r="E1381" s="100" t="str">
        <f>IF($B1381&lt;&gt;"",_xlfn.IFNA(VLOOKUP($B1381,'Node Details'!$B:$U,E$1,0),"Check"),"")</f>
        <v>Airtel</v>
      </c>
      <c r="F1381" s="101">
        <v>46149</v>
      </c>
      <c r="G1381" s="103"/>
      <c r="H1381" s="102" t="s">
        <v>1260</v>
      </c>
      <c r="I1381" s="9">
        <v>6</v>
      </c>
      <c r="J1381" s="9">
        <v>65</v>
      </c>
      <c r="K1381" s="100">
        <f t="shared" si="175"/>
        <v>390</v>
      </c>
      <c r="L1381" s="78">
        <v>46142</v>
      </c>
      <c r="M1381" s="103"/>
      <c r="N1381" s="93" t="s">
        <v>617</v>
      </c>
      <c r="O1381" s="94">
        <v>46141</v>
      </c>
      <c r="P1381" s="104">
        <f t="shared" si="176"/>
        <v>65</v>
      </c>
      <c r="Q1381" s="104">
        <f t="shared" si="177"/>
        <v>390</v>
      </c>
      <c r="R1381" s="104"/>
      <c r="S1381" s="93" t="s">
        <v>618</v>
      </c>
      <c r="T1381" s="94">
        <v>46156</v>
      </c>
      <c r="U1381" s="104">
        <f t="shared" si="178"/>
        <v>65</v>
      </c>
      <c r="V1381" s="104">
        <f t="shared" si="179"/>
        <v>6</v>
      </c>
      <c r="W1381" s="103">
        <f t="shared" si="180"/>
        <v>390</v>
      </c>
      <c r="X1381" s="93" t="s">
        <v>89</v>
      </c>
      <c r="Y1381" s="105" t="s">
        <v>84</v>
      </c>
      <c r="Z1381" s="105" t="s">
        <v>619</v>
      </c>
    </row>
    <row r="1382" spans="1:26" s="105" customFormat="1" ht="15" customHeight="1">
      <c r="A1382" s="99">
        <f t="shared" si="181"/>
        <v>1380</v>
      </c>
      <c r="B1382" s="75" t="s">
        <v>1180</v>
      </c>
      <c r="C1382" s="100" t="str">
        <f>IF($B1382&lt;&gt;"",_xlfn.IFNA(VLOOKUP($B1382,'Node Details'!$B:$U,C$1,0),"Check"),"")</f>
        <v>0000CM319-CM3190104</v>
      </c>
      <c r="D1382" s="100" t="str">
        <f>IF($B1382&lt;&gt;"",_xlfn.IFNA(VLOOKUP($B1382,'Node Details'!$B:$U,D$1,0),"Check"),"")</f>
        <v>CM3</v>
      </c>
      <c r="E1382" s="100" t="str">
        <f>IF($B1382&lt;&gt;"",_xlfn.IFNA(VLOOKUP($B1382,'Node Details'!$B:$U,E$1,0),"Check"),"")</f>
        <v>Airtel</v>
      </c>
      <c r="F1382" s="101">
        <v>46149</v>
      </c>
      <c r="G1382" s="103"/>
      <c r="H1382" s="102" t="s">
        <v>1260</v>
      </c>
      <c r="I1382" s="9">
        <v>4</v>
      </c>
      <c r="J1382" s="9">
        <v>65</v>
      </c>
      <c r="K1382" s="100">
        <f t="shared" si="175"/>
        <v>260</v>
      </c>
      <c r="L1382" s="78">
        <v>46142</v>
      </c>
      <c r="M1382" s="103"/>
      <c r="N1382" s="93" t="s">
        <v>617</v>
      </c>
      <c r="O1382" s="94">
        <v>46141</v>
      </c>
      <c r="P1382" s="104">
        <f t="shared" si="176"/>
        <v>65</v>
      </c>
      <c r="Q1382" s="104">
        <f t="shared" si="177"/>
        <v>260</v>
      </c>
      <c r="R1382" s="104"/>
      <c r="S1382" s="93" t="s">
        <v>618</v>
      </c>
      <c r="T1382" s="94">
        <v>46156</v>
      </c>
      <c r="U1382" s="104">
        <f t="shared" si="178"/>
        <v>65</v>
      </c>
      <c r="V1382" s="104">
        <f t="shared" si="179"/>
        <v>4</v>
      </c>
      <c r="W1382" s="103">
        <f t="shared" si="180"/>
        <v>260</v>
      </c>
      <c r="X1382" s="93" t="s">
        <v>89</v>
      </c>
      <c r="Y1382" s="105" t="s">
        <v>84</v>
      </c>
      <c r="Z1382" s="105" t="s">
        <v>619</v>
      </c>
    </row>
    <row r="1383" spans="1:26" s="105" customFormat="1" ht="15" customHeight="1">
      <c r="A1383" s="99">
        <f t="shared" si="181"/>
        <v>1381</v>
      </c>
      <c r="B1383" s="75" t="s">
        <v>1181</v>
      </c>
      <c r="C1383" s="100" t="str">
        <f>IF($B1383&lt;&gt;"",_xlfn.IFNA(VLOOKUP($B1383,'Node Details'!$B:$U,C$1,0),"Check"),"")</f>
        <v>0000CM319-CM3190104</v>
      </c>
      <c r="D1383" s="100" t="str">
        <f>IF($B1383&lt;&gt;"",_xlfn.IFNA(VLOOKUP($B1383,'Node Details'!$B:$U,D$1,0),"Check"),"")</f>
        <v>CM3</v>
      </c>
      <c r="E1383" s="100" t="str">
        <f>IF($B1383&lt;&gt;"",_xlfn.IFNA(VLOOKUP($B1383,'Node Details'!$B:$U,E$1,0),"Check"),"")</f>
        <v>Airtel</v>
      </c>
      <c r="F1383" s="101">
        <v>46149</v>
      </c>
      <c r="G1383" s="103"/>
      <c r="H1383" s="102" t="s">
        <v>1260</v>
      </c>
      <c r="I1383" s="9">
        <v>2</v>
      </c>
      <c r="J1383" s="9">
        <v>65</v>
      </c>
      <c r="K1383" s="100">
        <f t="shared" si="175"/>
        <v>130</v>
      </c>
      <c r="L1383" s="78">
        <v>46142</v>
      </c>
      <c r="M1383" s="103"/>
      <c r="N1383" s="93" t="s">
        <v>617</v>
      </c>
      <c r="O1383" s="94">
        <v>46141</v>
      </c>
      <c r="P1383" s="104">
        <f t="shared" si="176"/>
        <v>65</v>
      </c>
      <c r="Q1383" s="104">
        <f t="shared" si="177"/>
        <v>130</v>
      </c>
      <c r="R1383" s="104"/>
      <c r="S1383" s="93" t="s">
        <v>618</v>
      </c>
      <c r="T1383" s="94">
        <v>46156</v>
      </c>
      <c r="U1383" s="104">
        <f t="shared" si="178"/>
        <v>65</v>
      </c>
      <c r="V1383" s="104">
        <f t="shared" si="179"/>
        <v>2</v>
      </c>
      <c r="W1383" s="103">
        <f t="shared" si="180"/>
        <v>130</v>
      </c>
      <c r="X1383" s="93" t="s">
        <v>89</v>
      </c>
      <c r="Y1383" s="105" t="s">
        <v>84</v>
      </c>
      <c r="Z1383" s="105" t="s">
        <v>619</v>
      </c>
    </row>
    <row r="1384" spans="1:26" s="105" customFormat="1" ht="15" customHeight="1">
      <c r="A1384" s="99">
        <f t="shared" si="181"/>
        <v>1382</v>
      </c>
      <c r="B1384" s="75" t="s">
        <v>1182</v>
      </c>
      <c r="C1384" s="100" t="str">
        <f>IF($B1384&lt;&gt;"",_xlfn.IFNA(VLOOKUP($B1384,'Node Details'!$B:$U,C$1,0),"Check"),"")</f>
        <v>0000CM319-CM3190108</v>
      </c>
      <c r="D1384" s="100" t="str">
        <f>IF($B1384&lt;&gt;"",_xlfn.IFNA(VLOOKUP($B1384,'Node Details'!$B:$U,D$1,0),"Check"),"")</f>
        <v>CM3</v>
      </c>
      <c r="E1384" s="100" t="str">
        <f>IF($B1384&lt;&gt;"",_xlfn.IFNA(VLOOKUP($B1384,'Node Details'!$B:$U,E$1,0),"Check"),"")</f>
        <v>Airtel</v>
      </c>
      <c r="F1384" s="101">
        <v>46149</v>
      </c>
      <c r="G1384" s="103"/>
      <c r="H1384" s="102" t="s">
        <v>1260</v>
      </c>
      <c r="I1384" s="9">
        <v>6</v>
      </c>
      <c r="J1384" s="9">
        <v>65</v>
      </c>
      <c r="K1384" s="100">
        <f t="shared" si="175"/>
        <v>390</v>
      </c>
      <c r="L1384" s="78">
        <v>46142</v>
      </c>
      <c r="M1384" s="103"/>
      <c r="N1384" s="93" t="s">
        <v>617</v>
      </c>
      <c r="O1384" s="94">
        <v>46141</v>
      </c>
      <c r="P1384" s="104">
        <f t="shared" si="176"/>
        <v>65</v>
      </c>
      <c r="Q1384" s="104">
        <f t="shared" si="177"/>
        <v>390</v>
      </c>
      <c r="R1384" s="104"/>
      <c r="S1384" s="93" t="s">
        <v>618</v>
      </c>
      <c r="T1384" s="94">
        <v>46156</v>
      </c>
      <c r="U1384" s="104">
        <f t="shared" si="178"/>
        <v>65</v>
      </c>
      <c r="V1384" s="104">
        <f t="shared" si="179"/>
        <v>6</v>
      </c>
      <c r="W1384" s="103">
        <f t="shared" si="180"/>
        <v>390</v>
      </c>
      <c r="X1384" s="93" t="s">
        <v>89</v>
      </c>
      <c r="Y1384" s="105" t="s">
        <v>84</v>
      </c>
      <c r="Z1384" s="105" t="s">
        <v>619</v>
      </c>
    </row>
    <row r="1385" spans="1:26" s="105" customFormat="1" ht="15" customHeight="1">
      <c r="A1385" s="99">
        <f t="shared" si="181"/>
        <v>1383</v>
      </c>
      <c r="B1385" s="75" t="s">
        <v>1183</v>
      </c>
      <c r="C1385" s="100" t="str">
        <f>IF($B1385&lt;&gt;"",_xlfn.IFNA(VLOOKUP($B1385,'Node Details'!$B:$U,C$1,0),"Check"),"")</f>
        <v>0000CM319-CM3190108</v>
      </c>
      <c r="D1385" s="100" t="str">
        <f>IF($B1385&lt;&gt;"",_xlfn.IFNA(VLOOKUP($B1385,'Node Details'!$B:$U,D$1,0),"Check"),"")</f>
        <v>CM3</v>
      </c>
      <c r="E1385" s="100" t="str">
        <f>IF($B1385&lt;&gt;"",_xlfn.IFNA(VLOOKUP($B1385,'Node Details'!$B:$U,E$1,0),"Check"),"")</f>
        <v>Airtel</v>
      </c>
      <c r="F1385" s="101">
        <v>46149</v>
      </c>
      <c r="G1385" s="103"/>
      <c r="H1385" s="102" t="s">
        <v>1260</v>
      </c>
      <c r="I1385" s="9">
        <v>4</v>
      </c>
      <c r="J1385" s="9">
        <v>65</v>
      </c>
      <c r="K1385" s="100">
        <f t="shared" si="175"/>
        <v>260</v>
      </c>
      <c r="L1385" s="78">
        <v>46142</v>
      </c>
      <c r="M1385" s="103"/>
      <c r="N1385" s="93" t="s">
        <v>617</v>
      </c>
      <c r="O1385" s="94">
        <v>46141</v>
      </c>
      <c r="P1385" s="104">
        <f t="shared" si="176"/>
        <v>65</v>
      </c>
      <c r="Q1385" s="104">
        <f t="shared" si="177"/>
        <v>260</v>
      </c>
      <c r="R1385" s="104"/>
      <c r="S1385" s="93" t="s">
        <v>618</v>
      </c>
      <c r="T1385" s="94">
        <v>46156</v>
      </c>
      <c r="U1385" s="104">
        <f t="shared" si="178"/>
        <v>65</v>
      </c>
      <c r="V1385" s="104">
        <f t="shared" si="179"/>
        <v>4</v>
      </c>
      <c r="W1385" s="103">
        <f t="shared" si="180"/>
        <v>260</v>
      </c>
      <c r="X1385" s="93" t="s">
        <v>89</v>
      </c>
      <c r="Y1385" s="105" t="s">
        <v>84</v>
      </c>
      <c r="Z1385" s="105" t="s">
        <v>619</v>
      </c>
    </row>
    <row r="1386" spans="1:26" s="105" customFormat="1" ht="15" customHeight="1">
      <c r="A1386" s="99">
        <f t="shared" si="181"/>
        <v>1384</v>
      </c>
      <c r="B1386" s="75" t="s">
        <v>1184</v>
      </c>
      <c r="C1386" s="100" t="str">
        <f>IF($B1386&lt;&gt;"",_xlfn.IFNA(VLOOKUP($B1386,'Node Details'!$B:$U,C$1,0),"Check"),"")</f>
        <v>0000CM319-CM3190108</v>
      </c>
      <c r="D1386" s="100" t="str">
        <f>IF($B1386&lt;&gt;"",_xlfn.IFNA(VLOOKUP($B1386,'Node Details'!$B:$U,D$1,0),"Check"),"")</f>
        <v>CM3</v>
      </c>
      <c r="E1386" s="100" t="str">
        <f>IF($B1386&lt;&gt;"",_xlfn.IFNA(VLOOKUP($B1386,'Node Details'!$B:$U,E$1,0),"Check"),"")</f>
        <v>Airtel</v>
      </c>
      <c r="F1386" s="101">
        <v>46149</v>
      </c>
      <c r="G1386" s="103"/>
      <c r="H1386" s="102" t="s">
        <v>1260</v>
      </c>
      <c r="I1386" s="9">
        <v>2</v>
      </c>
      <c r="J1386" s="9">
        <v>65</v>
      </c>
      <c r="K1386" s="100">
        <f t="shared" si="175"/>
        <v>130</v>
      </c>
      <c r="L1386" s="78">
        <v>46142</v>
      </c>
      <c r="M1386" s="103"/>
      <c r="N1386" s="93" t="s">
        <v>617</v>
      </c>
      <c r="O1386" s="94">
        <v>46141</v>
      </c>
      <c r="P1386" s="104">
        <f t="shared" si="176"/>
        <v>65</v>
      </c>
      <c r="Q1386" s="104">
        <f t="shared" si="177"/>
        <v>130</v>
      </c>
      <c r="R1386" s="104"/>
      <c r="S1386" s="93" t="s">
        <v>618</v>
      </c>
      <c r="T1386" s="94">
        <v>46156</v>
      </c>
      <c r="U1386" s="104">
        <f t="shared" si="178"/>
        <v>65</v>
      </c>
      <c r="V1386" s="104">
        <f t="shared" si="179"/>
        <v>2</v>
      </c>
      <c r="W1386" s="103">
        <f t="shared" si="180"/>
        <v>130</v>
      </c>
      <c r="X1386" s="93" t="s">
        <v>89</v>
      </c>
      <c r="Y1386" s="105" t="s">
        <v>84</v>
      </c>
      <c r="Z1386" s="105" t="s">
        <v>619</v>
      </c>
    </row>
    <row r="1387" spans="1:26" s="105" customFormat="1" ht="15" customHeight="1">
      <c r="A1387" s="99">
        <f t="shared" si="181"/>
        <v>1385</v>
      </c>
      <c r="B1387" s="75" t="s">
        <v>767</v>
      </c>
      <c r="C1387" s="100" t="str">
        <f>IF($B1387&lt;&gt;"",_xlfn.IFNA(VLOOKUP($B1387,'Node Details'!$B:$U,C$1,0),"Check"),"")</f>
        <v>000000CM3-0000CM325</v>
      </c>
      <c r="D1387" s="100" t="str">
        <f>IF($B1387&lt;&gt;"",_xlfn.IFNA(VLOOKUP($B1387,'Node Details'!$B:$U,D$1,0),"Check"),"")</f>
        <v>CM3</v>
      </c>
      <c r="E1387" s="100" t="str">
        <f>IF($B1387&lt;&gt;"",_xlfn.IFNA(VLOOKUP($B1387,'Node Details'!$B:$U,E$1,0),"Check"),"")</f>
        <v>Airtel</v>
      </c>
      <c r="F1387" s="101">
        <v>46149</v>
      </c>
      <c r="G1387" s="103"/>
      <c r="H1387" s="102" t="s">
        <v>1260</v>
      </c>
      <c r="I1387" s="9">
        <v>42</v>
      </c>
      <c r="J1387" s="9">
        <v>65</v>
      </c>
      <c r="K1387" s="100">
        <f t="shared" si="175"/>
        <v>2730</v>
      </c>
      <c r="L1387" s="78">
        <v>46142</v>
      </c>
      <c r="M1387" s="103"/>
      <c r="N1387" s="93" t="s">
        <v>617</v>
      </c>
      <c r="O1387" s="94">
        <v>46141</v>
      </c>
      <c r="P1387" s="104">
        <f t="shared" si="176"/>
        <v>65</v>
      </c>
      <c r="Q1387" s="104">
        <f t="shared" si="177"/>
        <v>2730</v>
      </c>
      <c r="R1387" s="104"/>
      <c r="S1387" s="93" t="s">
        <v>618</v>
      </c>
      <c r="T1387" s="94">
        <v>46156</v>
      </c>
      <c r="U1387" s="104">
        <f t="shared" si="178"/>
        <v>65</v>
      </c>
      <c r="V1387" s="104">
        <f t="shared" si="179"/>
        <v>42</v>
      </c>
      <c r="W1387" s="103">
        <f t="shared" si="180"/>
        <v>2730</v>
      </c>
      <c r="X1387" s="93" t="s">
        <v>89</v>
      </c>
      <c r="Y1387" s="105" t="s">
        <v>84</v>
      </c>
      <c r="Z1387" s="105" t="s">
        <v>619</v>
      </c>
    </row>
    <row r="1388" spans="1:26" s="105" customFormat="1" ht="15" customHeight="1">
      <c r="A1388" s="99">
        <f t="shared" si="181"/>
        <v>1386</v>
      </c>
      <c r="B1388" s="75" t="s">
        <v>1185</v>
      </c>
      <c r="C1388" s="100" t="str">
        <f>IF($B1388&lt;&gt;"",_xlfn.IFNA(VLOOKUP($B1388,'Node Details'!$B:$U,C$1,0),"Check"),"")</f>
        <v>0000CM320-CM3200104</v>
      </c>
      <c r="D1388" s="100" t="str">
        <f>IF($B1388&lt;&gt;"",_xlfn.IFNA(VLOOKUP($B1388,'Node Details'!$B:$U,D$1,0),"Check"),"")</f>
        <v>CM3</v>
      </c>
      <c r="E1388" s="100" t="str">
        <f>IF($B1388&lt;&gt;"",_xlfn.IFNA(VLOOKUP($B1388,'Node Details'!$B:$U,E$1,0),"Check"),"")</f>
        <v>Airtel</v>
      </c>
      <c r="F1388" s="101">
        <v>46149</v>
      </c>
      <c r="G1388" s="103"/>
      <c r="H1388" s="102" t="s">
        <v>1260</v>
      </c>
      <c r="I1388" s="9">
        <v>6</v>
      </c>
      <c r="J1388" s="9">
        <v>65</v>
      </c>
      <c r="K1388" s="100">
        <f t="shared" si="175"/>
        <v>390</v>
      </c>
      <c r="L1388" s="78">
        <v>46142</v>
      </c>
      <c r="M1388" s="103"/>
      <c r="N1388" s="93" t="s">
        <v>622</v>
      </c>
      <c r="O1388" s="94">
        <v>46160</v>
      </c>
      <c r="P1388" s="104">
        <f t="shared" si="176"/>
        <v>65</v>
      </c>
      <c r="Q1388" s="104">
        <f t="shared" si="177"/>
        <v>390</v>
      </c>
      <c r="R1388" s="104"/>
      <c r="S1388" s="93" t="s">
        <v>144</v>
      </c>
      <c r="T1388" s="94"/>
      <c r="U1388" s="104">
        <f t="shared" si="178"/>
        <v>65</v>
      </c>
      <c r="V1388" s="104">
        <f t="shared" si="179"/>
        <v>6</v>
      </c>
      <c r="W1388" s="103">
        <f t="shared" si="180"/>
        <v>390</v>
      </c>
      <c r="X1388" s="93" t="s">
        <v>89</v>
      </c>
      <c r="Y1388" s="105" t="s">
        <v>84</v>
      </c>
      <c r="Z1388" s="105" t="s">
        <v>619</v>
      </c>
    </row>
    <row r="1389" spans="1:26" s="105" customFormat="1" ht="15" customHeight="1">
      <c r="A1389" s="99">
        <f t="shared" si="181"/>
        <v>1387</v>
      </c>
      <c r="B1389" s="75" t="s">
        <v>701</v>
      </c>
      <c r="C1389" s="100" t="str">
        <f>IF($B1389&lt;&gt;"",_xlfn.IFNA(VLOOKUP($B1389,'Node Details'!$B:$U,C$1,0),"Check"),"")</f>
        <v>0000CM310-CM3100103</v>
      </c>
      <c r="D1389" s="100" t="str">
        <f>IF($B1389&lt;&gt;"",_xlfn.IFNA(VLOOKUP($B1389,'Node Details'!$B:$U,D$1,0),"Check"),"")</f>
        <v>CM3</v>
      </c>
      <c r="E1389" s="100" t="str">
        <f>IF($B1389&lt;&gt;"",_xlfn.IFNA(VLOOKUP($B1389,'Node Details'!$B:$U,E$1,0),"Check"),"")</f>
        <v>Airtel</v>
      </c>
      <c r="F1389" s="101">
        <v>46149</v>
      </c>
      <c r="G1389" s="103"/>
      <c r="H1389" s="102" t="s">
        <v>1260</v>
      </c>
      <c r="I1389" s="9">
        <v>4</v>
      </c>
      <c r="J1389" s="9">
        <v>65</v>
      </c>
      <c r="K1389" s="100">
        <f t="shared" si="175"/>
        <v>260</v>
      </c>
      <c r="L1389" s="78">
        <v>46142</v>
      </c>
      <c r="M1389" s="103"/>
      <c r="N1389" s="93" t="s">
        <v>622</v>
      </c>
      <c r="O1389" s="94">
        <v>46160</v>
      </c>
      <c r="P1389" s="104">
        <f t="shared" si="176"/>
        <v>65</v>
      </c>
      <c r="Q1389" s="104">
        <f t="shared" si="177"/>
        <v>260</v>
      </c>
      <c r="R1389" s="104"/>
      <c r="S1389" s="93" t="s">
        <v>144</v>
      </c>
      <c r="T1389" s="94"/>
      <c r="U1389" s="104">
        <f t="shared" si="178"/>
        <v>65</v>
      </c>
      <c r="V1389" s="104">
        <f t="shared" si="179"/>
        <v>4</v>
      </c>
      <c r="W1389" s="103">
        <f t="shared" si="180"/>
        <v>260</v>
      </c>
      <c r="X1389" s="93" t="s">
        <v>89</v>
      </c>
      <c r="Y1389" s="105" t="s">
        <v>84</v>
      </c>
      <c r="Z1389" s="105" t="s">
        <v>619</v>
      </c>
    </row>
    <row r="1390" spans="1:26" s="105" customFormat="1" ht="15" customHeight="1">
      <c r="A1390" s="99">
        <f t="shared" si="181"/>
        <v>1388</v>
      </c>
      <c r="B1390" s="75" t="s">
        <v>699</v>
      </c>
      <c r="C1390" s="100" t="str">
        <f>IF($B1390&lt;&gt;"",_xlfn.IFNA(VLOOKUP($B1390,'Node Details'!$B:$U,C$1,0),"Check"),"")</f>
        <v>0000CM310-CM3100104</v>
      </c>
      <c r="D1390" s="100" t="str">
        <f>IF($B1390&lt;&gt;"",_xlfn.IFNA(VLOOKUP($B1390,'Node Details'!$B:$U,D$1,0),"Check"),"")</f>
        <v>CM3</v>
      </c>
      <c r="E1390" s="100" t="str">
        <f>IF($B1390&lt;&gt;"",_xlfn.IFNA(VLOOKUP($B1390,'Node Details'!$B:$U,E$1,0),"Check"),"")</f>
        <v>Airtel</v>
      </c>
      <c r="F1390" s="101">
        <v>46149</v>
      </c>
      <c r="G1390" s="103"/>
      <c r="H1390" s="102" t="s">
        <v>1260</v>
      </c>
      <c r="I1390" s="9">
        <v>2</v>
      </c>
      <c r="J1390" s="9">
        <v>65</v>
      </c>
      <c r="K1390" s="100">
        <f t="shared" si="175"/>
        <v>130</v>
      </c>
      <c r="L1390" s="78">
        <v>46142</v>
      </c>
      <c r="M1390" s="103"/>
      <c r="N1390" s="93" t="s">
        <v>622</v>
      </c>
      <c r="O1390" s="94">
        <v>46160</v>
      </c>
      <c r="P1390" s="104">
        <f t="shared" si="176"/>
        <v>65</v>
      </c>
      <c r="Q1390" s="104">
        <f t="shared" si="177"/>
        <v>130</v>
      </c>
      <c r="R1390" s="104"/>
      <c r="S1390" s="93" t="s">
        <v>144</v>
      </c>
      <c r="T1390" s="94"/>
      <c r="U1390" s="104">
        <f t="shared" si="178"/>
        <v>65</v>
      </c>
      <c r="V1390" s="104">
        <f t="shared" si="179"/>
        <v>2</v>
      </c>
      <c r="W1390" s="103">
        <f t="shared" si="180"/>
        <v>130</v>
      </c>
      <c r="X1390" s="93" t="s">
        <v>89</v>
      </c>
      <c r="Y1390" s="105" t="s">
        <v>84</v>
      </c>
      <c r="Z1390" s="105" t="s">
        <v>619</v>
      </c>
    </row>
    <row r="1391" spans="1:26" s="105" customFormat="1" ht="15" customHeight="1">
      <c r="A1391" s="99">
        <f t="shared" si="181"/>
        <v>1389</v>
      </c>
      <c r="B1391" s="75" t="s">
        <v>772</v>
      </c>
      <c r="C1391" s="100" t="str">
        <f>IF($B1391&lt;&gt;"",_xlfn.IFNA(VLOOKUP($B1391,'Node Details'!$B:$U,C$1,0),"Check"),"")</f>
        <v>000000CM3-0000CM325</v>
      </c>
      <c r="D1391" s="100" t="str">
        <f>IF($B1391&lt;&gt;"",_xlfn.IFNA(VLOOKUP($B1391,'Node Details'!$B:$U,D$1,0),"Check"),"")</f>
        <v>CM3</v>
      </c>
      <c r="E1391" s="100" t="str">
        <f>IF($B1391&lt;&gt;"",_xlfn.IFNA(VLOOKUP($B1391,'Node Details'!$B:$U,E$1,0),"Check"),"")</f>
        <v>Airtel</v>
      </c>
      <c r="F1391" s="101">
        <v>46149</v>
      </c>
      <c r="G1391" s="103"/>
      <c r="H1391" s="102" t="s">
        <v>1260</v>
      </c>
      <c r="I1391" s="9">
        <v>44</v>
      </c>
      <c r="J1391" s="9">
        <v>65</v>
      </c>
      <c r="K1391" s="100">
        <f t="shared" si="175"/>
        <v>2860</v>
      </c>
      <c r="L1391" s="78">
        <v>46142</v>
      </c>
      <c r="M1391" s="103"/>
      <c r="N1391" s="93" t="s">
        <v>622</v>
      </c>
      <c r="O1391" s="94">
        <v>46160</v>
      </c>
      <c r="P1391" s="104">
        <f t="shared" si="176"/>
        <v>65</v>
      </c>
      <c r="Q1391" s="104">
        <f t="shared" si="177"/>
        <v>2860</v>
      </c>
      <c r="R1391" s="104"/>
      <c r="S1391" s="93" t="s">
        <v>144</v>
      </c>
      <c r="T1391" s="94"/>
      <c r="U1391" s="104">
        <f t="shared" si="178"/>
        <v>65</v>
      </c>
      <c r="V1391" s="104">
        <f t="shared" si="179"/>
        <v>44</v>
      </c>
      <c r="W1391" s="103">
        <f t="shared" si="180"/>
        <v>2860</v>
      </c>
      <c r="X1391" s="93" t="s">
        <v>89</v>
      </c>
      <c r="Y1391" s="105" t="s">
        <v>84</v>
      </c>
      <c r="Z1391" s="105" t="s">
        <v>619</v>
      </c>
    </row>
    <row r="1392" spans="1:26" s="105" customFormat="1" ht="15" customHeight="1">
      <c r="A1392" s="99">
        <f t="shared" si="181"/>
        <v>1390</v>
      </c>
      <c r="B1392" s="75" t="s">
        <v>1187</v>
      </c>
      <c r="C1392" s="100" t="str">
        <f>IF($B1392&lt;&gt;"",_xlfn.IFNA(VLOOKUP($B1392,'Node Details'!$B:$U,C$1,0),"Check"),"")</f>
        <v>0000CM321-CM3210104</v>
      </c>
      <c r="D1392" s="100" t="str">
        <f>IF($B1392&lt;&gt;"",_xlfn.IFNA(VLOOKUP($B1392,'Node Details'!$B:$U,D$1,0),"Check"),"")</f>
        <v>CM3</v>
      </c>
      <c r="E1392" s="100" t="str">
        <f>IF($B1392&lt;&gt;"",_xlfn.IFNA(VLOOKUP($B1392,'Node Details'!$B:$U,E$1,0),"Check"),"")</f>
        <v>Airtel</v>
      </c>
      <c r="F1392" s="101">
        <v>46149</v>
      </c>
      <c r="G1392" s="103"/>
      <c r="H1392" s="102" t="s">
        <v>1260</v>
      </c>
      <c r="I1392" s="9">
        <v>6</v>
      </c>
      <c r="J1392" s="9">
        <v>65</v>
      </c>
      <c r="K1392" s="100">
        <f t="shared" si="175"/>
        <v>390</v>
      </c>
      <c r="L1392" s="78">
        <v>46142</v>
      </c>
      <c r="M1392" s="103"/>
      <c r="N1392" s="93" t="s">
        <v>622</v>
      </c>
      <c r="O1392" s="94">
        <v>46160</v>
      </c>
      <c r="P1392" s="104">
        <f t="shared" si="176"/>
        <v>65</v>
      </c>
      <c r="Q1392" s="104">
        <f t="shared" si="177"/>
        <v>390</v>
      </c>
      <c r="R1392" s="104"/>
      <c r="S1392" s="93" t="s">
        <v>144</v>
      </c>
      <c r="T1392" s="94"/>
      <c r="U1392" s="104">
        <f t="shared" si="178"/>
        <v>65</v>
      </c>
      <c r="V1392" s="104">
        <f t="shared" si="179"/>
        <v>6</v>
      </c>
      <c r="W1392" s="103">
        <f t="shared" si="180"/>
        <v>390</v>
      </c>
      <c r="X1392" s="93" t="s">
        <v>89</v>
      </c>
      <c r="Y1392" s="105" t="s">
        <v>84</v>
      </c>
      <c r="Z1392" s="105" t="s">
        <v>619</v>
      </c>
    </row>
    <row r="1393" spans="1:26" s="105" customFormat="1" ht="15" customHeight="1">
      <c r="A1393" s="99">
        <f t="shared" si="181"/>
        <v>1391</v>
      </c>
      <c r="B1393" s="75" t="s">
        <v>1188</v>
      </c>
      <c r="C1393" s="100" t="str">
        <f>IF($B1393&lt;&gt;"",_xlfn.IFNA(VLOOKUP($B1393,'Node Details'!$B:$U,C$1,0),"Check"),"")</f>
        <v>0000CM321-CM3210104</v>
      </c>
      <c r="D1393" s="100" t="str">
        <f>IF($B1393&lt;&gt;"",_xlfn.IFNA(VLOOKUP($B1393,'Node Details'!$B:$U,D$1,0),"Check"),"")</f>
        <v>CM3</v>
      </c>
      <c r="E1393" s="100" t="str">
        <f>IF($B1393&lt;&gt;"",_xlfn.IFNA(VLOOKUP($B1393,'Node Details'!$B:$U,E$1,0),"Check"),"")</f>
        <v>Airtel</v>
      </c>
      <c r="F1393" s="101">
        <v>46149</v>
      </c>
      <c r="G1393" s="103"/>
      <c r="H1393" s="102" t="s">
        <v>1260</v>
      </c>
      <c r="I1393" s="9">
        <v>4</v>
      </c>
      <c r="J1393" s="9">
        <v>65</v>
      </c>
      <c r="K1393" s="100">
        <f t="shared" si="175"/>
        <v>260</v>
      </c>
      <c r="L1393" s="78">
        <v>46142</v>
      </c>
      <c r="M1393" s="103"/>
      <c r="N1393" s="93" t="s">
        <v>622</v>
      </c>
      <c r="O1393" s="94">
        <v>46160</v>
      </c>
      <c r="P1393" s="104">
        <f t="shared" si="176"/>
        <v>65</v>
      </c>
      <c r="Q1393" s="104">
        <f t="shared" si="177"/>
        <v>260</v>
      </c>
      <c r="R1393" s="104"/>
      <c r="S1393" s="93" t="s">
        <v>144</v>
      </c>
      <c r="T1393" s="94"/>
      <c r="U1393" s="104">
        <f t="shared" si="178"/>
        <v>65</v>
      </c>
      <c r="V1393" s="104">
        <f t="shared" si="179"/>
        <v>4</v>
      </c>
      <c r="W1393" s="103">
        <f t="shared" si="180"/>
        <v>260</v>
      </c>
      <c r="X1393" s="93" t="s">
        <v>89</v>
      </c>
      <c r="Y1393" s="105" t="s">
        <v>84</v>
      </c>
      <c r="Z1393" s="105" t="s">
        <v>619</v>
      </c>
    </row>
    <row r="1394" spans="1:26" s="105" customFormat="1" ht="15" customHeight="1">
      <c r="A1394" s="99">
        <f t="shared" si="181"/>
        <v>1392</v>
      </c>
      <c r="B1394" s="75" t="s">
        <v>1189</v>
      </c>
      <c r="C1394" s="100" t="str">
        <f>IF($B1394&lt;&gt;"",_xlfn.IFNA(VLOOKUP($B1394,'Node Details'!$B:$U,C$1,0),"Check"),"")</f>
        <v>0000CM321-CM3210104</v>
      </c>
      <c r="D1394" s="100" t="str">
        <f>IF($B1394&lt;&gt;"",_xlfn.IFNA(VLOOKUP($B1394,'Node Details'!$B:$U,D$1,0),"Check"),"")</f>
        <v>CM3</v>
      </c>
      <c r="E1394" s="100" t="str">
        <f>IF($B1394&lt;&gt;"",_xlfn.IFNA(VLOOKUP($B1394,'Node Details'!$B:$U,E$1,0),"Check"),"")</f>
        <v>Airtel</v>
      </c>
      <c r="F1394" s="101">
        <v>46149</v>
      </c>
      <c r="G1394" s="103"/>
      <c r="H1394" s="102" t="s">
        <v>1260</v>
      </c>
      <c r="I1394" s="9">
        <v>2</v>
      </c>
      <c r="J1394" s="9">
        <v>65</v>
      </c>
      <c r="K1394" s="100">
        <f t="shared" si="175"/>
        <v>130</v>
      </c>
      <c r="L1394" s="78">
        <v>46142</v>
      </c>
      <c r="M1394" s="103"/>
      <c r="N1394" s="93" t="s">
        <v>622</v>
      </c>
      <c r="O1394" s="94">
        <v>46160</v>
      </c>
      <c r="P1394" s="104">
        <f t="shared" si="176"/>
        <v>65</v>
      </c>
      <c r="Q1394" s="104">
        <f t="shared" si="177"/>
        <v>130</v>
      </c>
      <c r="R1394" s="104"/>
      <c r="S1394" s="93" t="s">
        <v>144</v>
      </c>
      <c r="T1394" s="94"/>
      <c r="U1394" s="104">
        <f t="shared" si="178"/>
        <v>65</v>
      </c>
      <c r="V1394" s="104">
        <f t="shared" si="179"/>
        <v>2</v>
      </c>
      <c r="W1394" s="103">
        <f t="shared" si="180"/>
        <v>130</v>
      </c>
      <c r="X1394" s="93" t="s">
        <v>89</v>
      </c>
      <c r="Y1394" s="105" t="s">
        <v>84</v>
      </c>
      <c r="Z1394" s="105" t="s">
        <v>619</v>
      </c>
    </row>
    <row r="1395" spans="1:26" s="105" customFormat="1" ht="15" customHeight="1">
      <c r="A1395" s="99">
        <f t="shared" si="181"/>
        <v>1393</v>
      </c>
      <c r="B1395" s="75" t="s">
        <v>775</v>
      </c>
      <c r="C1395" s="100" t="str">
        <f>IF($B1395&lt;&gt;"",_xlfn.IFNA(VLOOKUP($B1395,'Node Details'!$B:$U,C$1,0),"Check"),"")</f>
        <v>000000CM3-0000CM325</v>
      </c>
      <c r="D1395" s="100" t="str">
        <f>IF($B1395&lt;&gt;"",_xlfn.IFNA(VLOOKUP($B1395,'Node Details'!$B:$U,D$1,0),"Check"),"")</f>
        <v>CM3</v>
      </c>
      <c r="E1395" s="100" t="str">
        <f>IF($B1395&lt;&gt;"",_xlfn.IFNA(VLOOKUP($B1395,'Node Details'!$B:$U,E$1,0),"Check"),"")</f>
        <v>Airtel</v>
      </c>
      <c r="F1395" s="101">
        <v>46149</v>
      </c>
      <c r="G1395" s="103"/>
      <c r="H1395" s="102" t="s">
        <v>1260</v>
      </c>
      <c r="I1395" s="9">
        <v>44</v>
      </c>
      <c r="J1395" s="9">
        <v>65</v>
      </c>
      <c r="K1395" s="100">
        <f t="shared" si="175"/>
        <v>2860</v>
      </c>
      <c r="L1395" s="78">
        <v>46142</v>
      </c>
      <c r="M1395" s="103"/>
      <c r="N1395" s="93" t="s">
        <v>622</v>
      </c>
      <c r="O1395" s="94">
        <v>46160</v>
      </c>
      <c r="P1395" s="104">
        <f t="shared" si="176"/>
        <v>65</v>
      </c>
      <c r="Q1395" s="104">
        <f t="shared" si="177"/>
        <v>2860</v>
      </c>
      <c r="R1395" s="104"/>
      <c r="S1395" s="93" t="s">
        <v>144</v>
      </c>
      <c r="T1395" s="94"/>
      <c r="U1395" s="104">
        <f t="shared" si="178"/>
        <v>65</v>
      </c>
      <c r="V1395" s="104">
        <f t="shared" si="179"/>
        <v>44</v>
      </c>
      <c r="W1395" s="103">
        <f t="shared" si="180"/>
        <v>2860</v>
      </c>
      <c r="X1395" s="93" t="s">
        <v>89</v>
      </c>
      <c r="Y1395" s="105" t="s">
        <v>84</v>
      </c>
      <c r="Z1395" s="105" t="s">
        <v>619</v>
      </c>
    </row>
    <row r="1396" spans="1:26" s="105" customFormat="1" ht="15" customHeight="1">
      <c r="A1396" s="99">
        <f t="shared" si="181"/>
        <v>1394</v>
      </c>
      <c r="B1396" s="75" t="s">
        <v>1190</v>
      </c>
      <c r="C1396" s="100" t="str">
        <f>IF($B1396&lt;&gt;"",_xlfn.IFNA(VLOOKUP($B1396,'Node Details'!$B:$U,C$1,0),"Check"),"")</f>
        <v>0000CM322-CM3220108</v>
      </c>
      <c r="D1396" s="100" t="str">
        <f>IF($B1396&lt;&gt;"",_xlfn.IFNA(VLOOKUP($B1396,'Node Details'!$B:$U,D$1,0),"Check"),"")</f>
        <v>CM3</v>
      </c>
      <c r="E1396" s="100" t="str">
        <f>IF($B1396&lt;&gt;"",_xlfn.IFNA(VLOOKUP($B1396,'Node Details'!$B:$U,E$1,0),"Check"),"")</f>
        <v>Airtel</v>
      </c>
      <c r="F1396" s="101">
        <v>46149</v>
      </c>
      <c r="G1396" s="103"/>
      <c r="H1396" s="102" t="s">
        <v>1260</v>
      </c>
      <c r="I1396" s="9">
        <v>6</v>
      </c>
      <c r="J1396" s="9">
        <v>65</v>
      </c>
      <c r="K1396" s="100">
        <f t="shared" si="175"/>
        <v>390</v>
      </c>
      <c r="L1396" s="78">
        <v>46142</v>
      </c>
      <c r="M1396" s="103"/>
      <c r="N1396" s="93" t="s">
        <v>622</v>
      </c>
      <c r="O1396" s="94">
        <v>46160</v>
      </c>
      <c r="P1396" s="104">
        <f t="shared" si="176"/>
        <v>65</v>
      </c>
      <c r="Q1396" s="104">
        <f t="shared" si="177"/>
        <v>390</v>
      </c>
      <c r="R1396" s="104"/>
      <c r="S1396" s="93" t="s">
        <v>144</v>
      </c>
      <c r="T1396" s="94"/>
      <c r="U1396" s="104">
        <f t="shared" si="178"/>
        <v>65</v>
      </c>
      <c r="V1396" s="104">
        <f t="shared" si="179"/>
        <v>6</v>
      </c>
      <c r="W1396" s="103">
        <f t="shared" si="180"/>
        <v>390</v>
      </c>
      <c r="X1396" s="93" t="s">
        <v>89</v>
      </c>
      <c r="Y1396" s="105" t="s">
        <v>84</v>
      </c>
      <c r="Z1396" s="105" t="s">
        <v>619</v>
      </c>
    </row>
    <row r="1397" spans="1:26" s="105" customFormat="1" ht="15" customHeight="1">
      <c r="A1397" s="99">
        <f t="shared" si="181"/>
        <v>1395</v>
      </c>
      <c r="B1397" s="75" t="s">
        <v>1191</v>
      </c>
      <c r="C1397" s="100" t="str">
        <f>IF($B1397&lt;&gt;"",_xlfn.IFNA(VLOOKUP($B1397,'Node Details'!$B:$U,C$1,0),"Check"),"")</f>
        <v>0000CM322-CM3220108</v>
      </c>
      <c r="D1397" s="100" t="str">
        <f>IF($B1397&lt;&gt;"",_xlfn.IFNA(VLOOKUP($B1397,'Node Details'!$B:$U,D$1,0),"Check"),"")</f>
        <v>CM3</v>
      </c>
      <c r="E1397" s="100" t="str">
        <f>IF($B1397&lt;&gt;"",_xlfn.IFNA(VLOOKUP($B1397,'Node Details'!$B:$U,E$1,0),"Check"),"")</f>
        <v>Airtel</v>
      </c>
      <c r="F1397" s="101">
        <v>46149</v>
      </c>
      <c r="G1397" s="103"/>
      <c r="H1397" s="102" t="s">
        <v>1260</v>
      </c>
      <c r="I1397" s="9">
        <v>4</v>
      </c>
      <c r="J1397" s="9">
        <v>65</v>
      </c>
      <c r="K1397" s="100">
        <f t="shared" si="175"/>
        <v>260</v>
      </c>
      <c r="L1397" s="78">
        <v>46142</v>
      </c>
      <c r="M1397" s="103"/>
      <c r="N1397" s="93" t="s">
        <v>622</v>
      </c>
      <c r="O1397" s="94">
        <v>46160</v>
      </c>
      <c r="P1397" s="104">
        <f t="shared" si="176"/>
        <v>65</v>
      </c>
      <c r="Q1397" s="104">
        <f t="shared" si="177"/>
        <v>260</v>
      </c>
      <c r="R1397" s="104"/>
      <c r="S1397" s="93" t="s">
        <v>144</v>
      </c>
      <c r="T1397" s="94"/>
      <c r="U1397" s="104">
        <f t="shared" si="178"/>
        <v>65</v>
      </c>
      <c r="V1397" s="104">
        <f t="shared" si="179"/>
        <v>4</v>
      </c>
      <c r="W1397" s="103">
        <f t="shared" si="180"/>
        <v>260</v>
      </c>
      <c r="X1397" s="93" t="s">
        <v>89</v>
      </c>
      <c r="Y1397" s="105" t="s">
        <v>84</v>
      </c>
      <c r="Z1397" s="105" t="s">
        <v>619</v>
      </c>
    </row>
    <row r="1398" spans="1:26" s="105" customFormat="1" ht="15" customHeight="1">
      <c r="A1398" s="99">
        <f t="shared" si="181"/>
        <v>1396</v>
      </c>
      <c r="B1398" s="75" t="s">
        <v>1192</v>
      </c>
      <c r="C1398" s="100" t="str">
        <f>IF($B1398&lt;&gt;"",_xlfn.IFNA(VLOOKUP($B1398,'Node Details'!$B:$U,C$1,0),"Check"),"")</f>
        <v>0000CM322-CM3220108</v>
      </c>
      <c r="D1398" s="100" t="str">
        <f>IF($B1398&lt;&gt;"",_xlfn.IFNA(VLOOKUP($B1398,'Node Details'!$B:$U,D$1,0),"Check"),"")</f>
        <v>CM3</v>
      </c>
      <c r="E1398" s="100" t="str">
        <f>IF($B1398&lt;&gt;"",_xlfn.IFNA(VLOOKUP($B1398,'Node Details'!$B:$U,E$1,0),"Check"),"")</f>
        <v>Airtel</v>
      </c>
      <c r="F1398" s="101">
        <v>46149</v>
      </c>
      <c r="G1398" s="103"/>
      <c r="H1398" s="102" t="s">
        <v>1260</v>
      </c>
      <c r="I1398" s="9">
        <v>2</v>
      </c>
      <c r="J1398" s="9">
        <v>65</v>
      </c>
      <c r="K1398" s="100">
        <f t="shared" si="175"/>
        <v>130</v>
      </c>
      <c r="L1398" s="78">
        <v>46142</v>
      </c>
      <c r="M1398" s="103"/>
      <c r="N1398" s="93" t="s">
        <v>622</v>
      </c>
      <c r="O1398" s="94">
        <v>46160</v>
      </c>
      <c r="P1398" s="104">
        <f t="shared" si="176"/>
        <v>65</v>
      </c>
      <c r="Q1398" s="104">
        <f t="shared" si="177"/>
        <v>130</v>
      </c>
      <c r="R1398" s="104"/>
      <c r="S1398" s="93" t="s">
        <v>144</v>
      </c>
      <c r="T1398" s="94"/>
      <c r="U1398" s="104">
        <f t="shared" si="178"/>
        <v>65</v>
      </c>
      <c r="V1398" s="104">
        <f t="shared" si="179"/>
        <v>2</v>
      </c>
      <c r="W1398" s="103">
        <f t="shared" si="180"/>
        <v>130</v>
      </c>
      <c r="X1398" s="93" t="s">
        <v>89</v>
      </c>
      <c r="Y1398" s="105" t="s">
        <v>84</v>
      </c>
      <c r="Z1398" s="105" t="s">
        <v>619</v>
      </c>
    </row>
    <row r="1399" spans="1:26" s="105" customFormat="1" ht="15" customHeight="1">
      <c r="A1399" s="99">
        <f t="shared" si="181"/>
        <v>1397</v>
      </c>
      <c r="B1399" s="75" t="s">
        <v>776</v>
      </c>
      <c r="C1399" s="100" t="str">
        <f>IF($B1399&lt;&gt;"",_xlfn.IFNA(VLOOKUP($B1399,'Node Details'!$B:$U,C$1,0),"Check"),"")</f>
        <v>0000CM322-CM3220108</v>
      </c>
      <c r="D1399" s="100" t="str">
        <f>IF($B1399&lt;&gt;"",_xlfn.IFNA(VLOOKUP($B1399,'Node Details'!$B:$U,D$1,0),"Check"),"")</f>
        <v>CM3</v>
      </c>
      <c r="E1399" s="100" t="str">
        <f>IF($B1399&lt;&gt;"",_xlfn.IFNA(VLOOKUP($B1399,'Node Details'!$B:$U,E$1,0),"Check"),"")</f>
        <v>Airtel</v>
      </c>
      <c r="F1399" s="101">
        <v>46149</v>
      </c>
      <c r="G1399" s="103"/>
      <c r="H1399" s="102" t="s">
        <v>1260</v>
      </c>
      <c r="I1399" s="9">
        <v>6</v>
      </c>
      <c r="J1399" s="9">
        <v>65</v>
      </c>
      <c r="K1399" s="100">
        <f t="shared" si="175"/>
        <v>390</v>
      </c>
      <c r="L1399" s="78">
        <v>46142</v>
      </c>
      <c r="M1399" s="103"/>
      <c r="N1399" s="93" t="s">
        <v>622</v>
      </c>
      <c r="O1399" s="94">
        <v>46160</v>
      </c>
      <c r="P1399" s="104">
        <f t="shared" si="176"/>
        <v>65</v>
      </c>
      <c r="Q1399" s="104">
        <f t="shared" si="177"/>
        <v>390</v>
      </c>
      <c r="R1399" s="104"/>
      <c r="S1399" s="93" t="s">
        <v>144</v>
      </c>
      <c r="T1399" s="94"/>
      <c r="U1399" s="104">
        <f t="shared" si="178"/>
        <v>65</v>
      </c>
      <c r="V1399" s="104">
        <f t="shared" si="179"/>
        <v>6</v>
      </c>
      <c r="W1399" s="103">
        <f t="shared" si="180"/>
        <v>390</v>
      </c>
      <c r="X1399" s="93" t="s">
        <v>89</v>
      </c>
      <c r="Y1399" s="105" t="s">
        <v>84</v>
      </c>
      <c r="Z1399" s="105" t="s">
        <v>619</v>
      </c>
    </row>
    <row r="1400" spans="1:26" s="105" customFormat="1" ht="15" customHeight="1">
      <c r="A1400" s="99">
        <f t="shared" si="181"/>
        <v>1398</v>
      </c>
      <c r="B1400" s="75" t="s">
        <v>780</v>
      </c>
      <c r="C1400" s="100" t="str">
        <f>IF($B1400&lt;&gt;"",_xlfn.IFNA(VLOOKUP($B1400,'Node Details'!$B:$U,C$1,0),"Check"),"")</f>
        <v>0000CM322-CM3220104</v>
      </c>
      <c r="D1400" s="100" t="str">
        <f>IF($B1400&lt;&gt;"",_xlfn.IFNA(VLOOKUP($B1400,'Node Details'!$B:$U,D$1,0),"Check"),"")</f>
        <v>CM3</v>
      </c>
      <c r="E1400" s="100" t="str">
        <f>IF($B1400&lt;&gt;"",_xlfn.IFNA(VLOOKUP($B1400,'Node Details'!$B:$U,E$1,0),"Check"),"")</f>
        <v>Airtel</v>
      </c>
      <c r="F1400" s="101">
        <v>46149</v>
      </c>
      <c r="G1400" s="103"/>
      <c r="H1400" s="102" t="s">
        <v>1260</v>
      </c>
      <c r="I1400" s="9">
        <v>4</v>
      </c>
      <c r="J1400" s="9">
        <v>65</v>
      </c>
      <c r="K1400" s="100">
        <f t="shared" si="175"/>
        <v>260</v>
      </c>
      <c r="L1400" s="78">
        <v>46142</v>
      </c>
      <c r="M1400" s="103"/>
      <c r="N1400" s="93" t="s">
        <v>622</v>
      </c>
      <c r="O1400" s="94">
        <v>46160</v>
      </c>
      <c r="P1400" s="104">
        <f t="shared" si="176"/>
        <v>65</v>
      </c>
      <c r="Q1400" s="104">
        <f t="shared" si="177"/>
        <v>260</v>
      </c>
      <c r="R1400" s="104"/>
      <c r="S1400" s="93" t="s">
        <v>144</v>
      </c>
      <c r="T1400" s="94"/>
      <c r="U1400" s="104">
        <f t="shared" si="178"/>
        <v>65</v>
      </c>
      <c r="V1400" s="104">
        <f t="shared" si="179"/>
        <v>4</v>
      </c>
      <c r="W1400" s="103">
        <f t="shared" si="180"/>
        <v>260</v>
      </c>
      <c r="X1400" s="93" t="s">
        <v>89</v>
      </c>
      <c r="Y1400" s="105" t="s">
        <v>84</v>
      </c>
      <c r="Z1400" s="105" t="s">
        <v>619</v>
      </c>
    </row>
    <row r="1401" spans="1:26" s="105" customFormat="1" ht="15" customHeight="1">
      <c r="A1401" s="99">
        <f t="shared" si="181"/>
        <v>1399</v>
      </c>
      <c r="B1401" s="75" t="s">
        <v>781</v>
      </c>
      <c r="C1401" s="100" t="str">
        <f>IF($B1401&lt;&gt;"",_xlfn.IFNA(VLOOKUP($B1401,'Node Details'!$B:$U,C$1,0),"Check"),"")</f>
        <v>CM3220102-CM3220103</v>
      </c>
      <c r="D1401" s="100" t="str">
        <f>IF($B1401&lt;&gt;"",_xlfn.IFNA(VLOOKUP($B1401,'Node Details'!$B:$U,D$1,0),"Check"),"")</f>
        <v>CM3</v>
      </c>
      <c r="E1401" s="100" t="str">
        <f>IF($B1401&lt;&gt;"",_xlfn.IFNA(VLOOKUP($B1401,'Node Details'!$B:$U,E$1,0),"Check"),"")</f>
        <v>Airtel</v>
      </c>
      <c r="F1401" s="101">
        <v>46149</v>
      </c>
      <c r="G1401" s="103"/>
      <c r="H1401" s="102" t="s">
        <v>1260</v>
      </c>
      <c r="I1401" s="9">
        <v>2</v>
      </c>
      <c r="J1401" s="9">
        <v>65</v>
      </c>
      <c r="K1401" s="100">
        <f t="shared" si="175"/>
        <v>130</v>
      </c>
      <c r="L1401" s="78">
        <v>46142</v>
      </c>
      <c r="M1401" s="103"/>
      <c r="N1401" s="93" t="s">
        <v>622</v>
      </c>
      <c r="O1401" s="94">
        <v>46160</v>
      </c>
      <c r="P1401" s="104">
        <f t="shared" si="176"/>
        <v>65</v>
      </c>
      <c r="Q1401" s="104">
        <f t="shared" si="177"/>
        <v>130</v>
      </c>
      <c r="R1401" s="104"/>
      <c r="S1401" s="93" t="s">
        <v>144</v>
      </c>
      <c r="T1401" s="94"/>
      <c r="U1401" s="104">
        <f t="shared" si="178"/>
        <v>65</v>
      </c>
      <c r="V1401" s="104">
        <f t="shared" si="179"/>
        <v>2</v>
      </c>
      <c r="W1401" s="103">
        <f t="shared" si="180"/>
        <v>130</v>
      </c>
      <c r="X1401" s="93" t="s">
        <v>89</v>
      </c>
      <c r="Y1401" s="105" t="s">
        <v>84</v>
      </c>
      <c r="Z1401" s="105" t="s">
        <v>619</v>
      </c>
    </row>
    <row r="1402" spans="1:26" s="105" customFormat="1" ht="15" customHeight="1">
      <c r="A1402" s="99">
        <f t="shared" si="181"/>
        <v>1400</v>
      </c>
      <c r="B1402" s="75" t="s">
        <v>783</v>
      </c>
      <c r="C1402" s="100" t="str">
        <f>IF($B1402&lt;&gt;"",_xlfn.IFNA(VLOOKUP($B1402,'Node Details'!$B:$U,C$1,0),"Check"),"")</f>
        <v>000000CM3-0000CM325</v>
      </c>
      <c r="D1402" s="100" t="str">
        <f>IF($B1402&lt;&gt;"",_xlfn.IFNA(VLOOKUP($B1402,'Node Details'!$B:$U,D$1,0),"Check"),"")</f>
        <v>CM3</v>
      </c>
      <c r="E1402" s="100" t="str">
        <f>IF($B1402&lt;&gt;"",_xlfn.IFNA(VLOOKUP($B1402,'Node Details'!$B:$U,E$1,0),"Check"),"")</f>
        <v>Airtel</v>
      </c>
      <c r="F1402" s="101">
        <v>46149</v>
      </c>
      <c r="G1402" s="103"/>
      <c r="H1402" s="102" t="s">
        <v>1260</v>
      </c>
      <c r="I1402" s="9">
        <v>44</v>
      </c>
      <c r="J1402" s="9">
        <v>65</v>
      </c>
      <c r="K1402" s="100">
        <f t="shared" si="175"/>
        <v>2860</v>
      </c>
      <c r="L1402" s="78">
        <v>46142</v>
      </c>
      <c r="M1402" s="103"/>
      <c r="N1402" s="93" t="s">
        <v>622</v>
      </c>
      <c r="O1402" s="94">
        <v>46160</v>
      </c>
      <c r="P1402" s="104">
        <f t="shared" si="176"/>
        <v>65</v>
      </c>
      <c r="Q1402" s="104">
        <f t="shared" si="177"/>
        <v>2860</v>
      </c>
      <c r="R1402" s="104"/>
      <c r="S1402" s="93" t="s">
        <v>144</v>
      </c>
      <c r="T1402" s="94"/>
      <c r="U1402" s="104">
        <f t="shared" si="178"/>
        <v>65</v>
      </c>
      <c r="V1402" s="104">
        <f t="shared" si="179"/>
        <v>44</v>
      </c>
      <c r="W1402" s="103">
        <f t="shared" si="180"/>
        <v>2860</v>
      </c>
      <c r="X1402" s="93" t="s">
        <v>89</v>
      </c>
      <c r="Y1402" s="105" t="s">
        <v>84</v>
      </c>
      <c r="Z1402" s="105" t="s">
        <v>619</v>
      </c>
    </row>
    <row r="1403" spans="1:26" s="105" customFormat="1" ht="15" customHeight="1">
      <c r="A1403" s="99">
        <f t="shared" si="181"/>
        <v>1401</v>
      </c>
      <c r="B1403" s="75" t="s">
        <v>1194</v>
      </c>
      <c r="C1403" s="100" t="str">
        <f>IF($B1403&lt;&gt;"",_xlfn.IFNA(VLOOKUP($B1403,'Node Details'!$B:$U,C$1,0),"Check"),"")</f>
        <v>0000CM323-CM3230104</v>
      </c>
      <c r="D1403" s="100" t="str">
        <f>IF($B1403&lt;&gt;"",_xlfn.IFNA(VLOOKUP($B1403,'Node Details'!$B:$U,D$1,0),"Check"),"")</f>
        <v>CM3</v>
      </c>
      <c r="E1403" s="100" t="str">
        <f>IF($B1403&lt;&gt;"",_xlfn.IFNA(VLOOKUP($B1403,'Node Details'!$B:$U,E$1,0),"Check"),"")</f>
        <v>Airtel</v>
      </c>
      <c r="F1403" s="101">
        <v>46149</v>
      </c>
      <c r="G1403" s="103"/>
      <c r="H1403" s="102" t="s">
        <v>1260</v>
      </c>
      <c r="I1403" s="9">
        <v>6</v>
      </c>
      <c r="J1403" s="9">
        <v>65</v>
      </c>
      <c r="K1403" s="100">
        <f t="shared" si="175"/>
        <v>390</v>
      </c>
      <c r="L1403" s="78">
        <v>46142</v>
      </c>
      <c r="M1403" s="103"/>
      <c r="N1403" s="93" t="s">
        <v>622</v>
      </c>
      <c r="O1403" s="94">
        <v>46160</v>
      </c>
      <c r="P1403" s="104">
        <f t="shared" si="176"/>
        <v>65</v>
      </c>
      <c r="Q1403" s="104">
        <f t="shared" si="177"/>
        <v>390</v>
      </c>
      <c r="R1403" s="104"/>
      <c r="S1403" s="93" t="s">
        <v>144</v>
      </c>
      <c r="T1403" s="94"/>
      <c r="U1403" s="104">
        <f t="shared" si="178"/>
        <v>65</v>
      </c>
      <c r="V1403" s="104">
        <f t="shared" si="179"/>
        <v>6</v>
      </c>
      <c r="W1403" s="103">
        <f t="shared" si="180"/>
        <v>390</v>
      </c>
      <c r="X1403" s="93" t="s">
        <v>89</v>
      </c>
      <c r="Y1403" s="105" t="s">
        <v>84</v>
      </c>
      <c r="Z1403" s="105" t="s">
        <v>619</v>
      </c>
    </row>
    <row r="1404" spans="1:26" s="105" customFormat="1" ht="15" customHeight="1">
      <c r="A1404" s="99">
        <f t="shared" si="181"/>
        <v>1402</v>
      </c>
      <c r="B1404" s="75" t="s">
        <v>1195</v>
      </c>
      <c r="C1404" s="100" t="str">
        <f>IF($B1404&lt;&gt;"",_xlfn.IFNA(VLOOKUP($B1404,'Node Details'!$B:$U,C$1,0),"Check"),"")</f>
        <v>0000CM323-CM3230104</v>
      </c>
      <c r="D1404" s="100" t="str">
        <f>IF($B1404&lt;&gt;"",_xlfn.IFNA(VLOOKUP($B1404,'Node Details'!$B:$U,D$1,0),"Check"),"")</f>
        <v>CM3</v>
      </c>
      <c r="E1404" s="100" t="str">
        <f>IF($B1404&lt;&gt;"",_xlfn.IFNA(VLOOKUP($B1404,'Node Details'!$B:$U,E$1,0),"Check"),"")</f>
        <v>Airtel</v>
      </c>
      <c r="F1404" s="101">
        <v>46149</v>
      </c>
      <c r="G1404" s="103"/>
      <c r="H1404" s="102" t="s">
        <v>1260</v>
      </c>
      <c r="I1404" s="9">
        <v>4</v>
      </c>
      <c r="J1404" s="9">
        <v>65</v>
      </c>
      <c r="K1404" s="100">
        <f t="shared" si="175"/>
        <v>260</v>
      </c>
      <c r="L1404" s="78">
        <v>46142</v>
      </c>
      <c r="M1404" s="103"/>
      <c r="N1404" s="93" t="s">
        <v>622</v>
      </c>
      <c r="O1404" s="94">
        <v>46160</v>
      </c>
      <c r="P1404" s="104">
        <f t="shared" si="176"/>
        <v>65</v>
      </c>
      <c r="Q1404" s="104">
        <f t="shared" si="177"/>
        <v>260</v>
      </c>
      <c r="R1404" s="104"/>
      <c r="S1404" s="93" t="s">
        <v>144</v>
      </c>
      <c r="T1404" s="94"/>
      <c r="U1404" s="104">
        <f t="shared" si="178"/>
        <v>65</v>
      </c>
      <c r="V1404" s="104">
        <f t="shared" si="179"/>
        <v>4</v>
      </c>
      <c r="W1404" s="103">
        <f t="shared" si="180"/>
        <v>260</v>
      </c>
      <c r="X1404" s="93" t="s">
        <v>89</v>
      </c>
      <c r="Y1404" s="105" t="s">
        <v>84</v>
      </c>
      <c r="Z1404" s="105" t="s">
        <v>619</v>
      </c>
    </row>
    <row r="1405" spans="1:26" s="105" customFormat="1" ht="15" customHeight="1">
      <c r="A1405" s="99">
        <f t="shared" si="181"/>
        <v>1403</v>
      </c>
      <c r="B1405" s="75" t="s">
        <v>786</v>
      </c>
      <c r="C1405" s="100" t="str">
        <f>IF($B1405&lt;&gt;"",_xlfn.IFNA(VLOOKUP($B1405,'Node Details'!$B:$U,C$1,0),"Check"),"")</f>
        <v>0000CM323-CM3230104</v>
      </c>
      <c r="D1405" s="100" t="str">
        <f>IF($B1405&lt;&gt;"",_xlfn.IFNA(VLOOKUP($B1405,'Node Details'!$B:$U,D$1,0),"Check"),"")</f>
        <v>CM3</v>
      </c>
      <c r="E1405" s="100" t="str">
        <f>IF($B1405&lt;&gt;"",_xlfn.IFNA(VLOOKUP($B1405,'Node Details'!$B:$U,E$1,0),"Check"),"")</f>
        <v>Airtel</v>
      </c>
      <c r="F1405" s="101">
        <v>46149</v>
      </c>
      <c r="G1405" s="103"/>
      <c r="H1405" s="102" t="s">
        <v>1260</v>
      </c>
      <c r="I1405" s="9">
        <v>2</v>
      </c>
      <c r="J1405" s="9">
        <v>65</v>
      </c>
      <c r="K1405" s="100">
        <f t="shared" si="175"/>
        <v>130</v>
      </c>
      <c r="L1405" s="78">
        <v>46142</v>
      </c>
      <c r="M1405" s="103"/>
      <c r="N1405" s="93" t="s">
        <v>622</v>
      </c>
      <c r="O1405" s="94">
        <v>46160</v>
      </c>
      <c r="P1405" s="104">
        <f t="shared" si="176"/>
        <v>65</v>
      </c>
      <c r="Q1405" s="104">
        <f t="shared" si="177"/>
        <v>130</v>
      </c>
      <c r="R1405" s="104"/>
      <c r="S1405" s="93" t="s">
        <v>144</v>
      </c>
      <c r="T1405" s="94"/>
      <c r="U1405" s="104">
        <f t="shared" si="178"/>
        <v>65</v>
      </c>
      <c r="V1405" s="104">
        <f t="shared" si="179"/>
        <v>2</v>
      </c>
      <c r="W1405" s="103">
        <f t="shared" si="180"/>
        <v>130</v>
      </c>
      <c r="X1405" s="93" t="s">
        <v>89</v>
      </c>
      <c r="Y1405" s="105" t="s">
        <v>84</v>
      </c>
      <c r="Z1405" s="105" t="s">
        <v>619</v>
      </c>
    </row>
    <row r="1406" spans="1:26" s="105" customFormat="1" ht="15" customHeight="1">
      <c r="A1406" s="99">
        <f t="shared" si="181"/>
        <v>1404</v>
      </c>
      <c r="B1406" s="75" t="s">
        <v>790</v>
      </c>
      <c r="C1406" s="100" t="str">
        <f>IF($B1406&lt;&gt;"",_xlfn.IFNA(VLOOKUP($B1406,'Node Details'!$B:$U,C$1,0),"Check"),"")</f>
        <v>000000CM3-0000CM325</v>
      </c>
      <c r="D1406" s="100" t="str">
        <f>IF($B1406&lt;&gt;"",_xlfn.IFNA(VLOOKUP($B1406,'Node Details'!$B:$U,D$1,0),"Check"),"")</f>
        <v>CM3</v>
      </c>
      <c r="E1406" s="100" t="str">
        <f>IF($B1406&lt;&gt;"",_xlfn.IFNA(VLOOKUP($B1406,'Node Details'!$B:$U,E$1,0),"Check"),"")</f>
        <v>Airtel</v>
      </c>
      <c r="F1406" s="101">
        <v>46149</v>
      </c>
      <c r="G1406" s="103"/>
      <c r="H1406" s="102" t="s">
        <v>1260</v>
      </c>
      <c r="I1406" s="9">
        <v>42</v>
      </c>
      <c r="J1406" s="9">
        <v>65</v>
      </c>
      <c r="K1406" s="100">
        <f t="shared" ref="K1406:K1418" si="182">IF(I1406&lt;&gt;"",J1406*I1406,0)</f>
        <v>2730</v>
      </c>
      <c r="L1406" s="78">
        <v>46142</v>
      </c>
      <c r="M1406" s="103"/>
      <c r="N1406" s="93" t="s">
        <v>622</v>
      </c>
      <c r="O1406" s="94">
        <v>46160</v>
      </c>
      <c r="P1406" s="104">
        <f t="shared" ref="P1406:P1418" si="183">J1406</f>
        <v>65</v>
      </c>
      <c r="Q1406" s="104">
        <f t="shared" ref="Q1406:Q1418" si="184">P1406*I1406</f>
        <v>2730</v>
      </c>
      <c r="R1406" s="104"/>
      <c r="S1406" s="93" t="s">
        <v>144</v>
      </c>
      <c r="T1406" s="94"/>
      <c r="U1406" s="104">
        <f t="shared" ref="U1406:U1418" si="185">J1406</f>
        <v>65</v>
      </c>
      <c r="V1406" s="104">
        <f t="shared" ref="V1406:V1418" si="186">I1406</f>
        <v>42</v>
      </c>
      <c r="W1406" s="103">
        <f t="shared" ref="W1406:W1418" si="187">IF(V1406&lt;&gt;"",V1406*U1406,0)</f>
        <v>2730</v>
      </c>
      <c r="X1406" s="93" t="s">
        <v>89</v>
      </c>
      <c r="Y1406" s="105" t="s">
        <v>84</v>
      </c>
      <c r="Z1406" s="105" t="s">
        <v>619</v>
      </c>
    </row>
    <row r="1407" spans="1:26" s="105" customFormat="1" ht="15" customHeight="1">
      <c r="A1407" s="99">
        <f t="shared" si="181"/>
        <v>1405</v>
      </c>
      <c r="B1407" s="75" t="s">
        <v>791</v>
      </c>
      <c r="C1407" s="100" t="str">
        <f>IF($B1407&lt;&gt;"",_xlfn.IFNA(VLOOKUP($B1407,'Node Details'!$B:$U,C$1,0),"Check"),"")</f>
        <v>0000CM324-CM3240101</v>
      </c>
      <c r="D1407" s="100" t="str">
        <f>IF($B1407&lt;&gt;"",_xlfn.IFNA(VLOOKUP($B1407,'Node Details'!$B:$U,D$1,0),"Check"),"")</f>
        <v>CM3</v>
      </c>
      <c r="E1407" s="100" t="str">
        <f>IF($B1407&lt;&gt;"",_xlfn.IFNA(VLOOKUP($B1407,'Node Details'!$B:$U,E$1,0),"Check"),"")</f>
        <v>Airtel</v>
      </c>
      <c r="F1407" s="101">
        <v>46149</v>
      </c>
      <c r="G1407" s="103"/>
      <c r="H1407" s="102" t="s">
        <v>1260</v>
      </c>
      <c r="I1407" s="9">
        <v>6</v>
      </c>
      <c r="J1407" s="9">
        <v>65</v>
      </c>
      <c r="K1407" s="100">
        <f t="shared" si="182"/>
        <v>390</v>
      </c>
      <c r="L1407" s="78">
        <v>46142</v>
      </c>
      <c r="M1407" s="103"/>
      <c r="N1407" s="93" t="s">
        <v>622</v>
      </c>
      <c r="O1407" s="94">
        <v>46160</v>
      </c>
      <c r="P1407" s="104">
        <f t="shared" si="183"/>
        <v>65</v>
      </c>
      <c r="Q1407" s="104">
        <f t="shared" si="184"/>
        <v>390</v>
      </c>
      <c r="R1407" s="104"/>
      <c r="S1407" s="93" t="s">
        <v>144</v>
      </c>
      <c r="T1407" s="94"/>
      <c r="U1407" s="104">
        <f t="shared" si="185"/>
        <v>65</v>
      </c>
      <c r="V1407" s="104">
        <f t="shared" si="186"/>
        <v>6</v>
      </c>
      <c r="W1407" s="103">
        <f t="shared" si="187"/>
        <v>390</v>
      </c>
      <c r="X1407" s="93" t="s">
        <v>89</v>
      </c>
      <c r="Y1407" s="105" t="s">
        <v>84</v>
      </c>
      <c r="Z1407" s="105" t="s">
        <v>619</v>
      </c>
    </row>
    <row r="1408" spans="1:26" s="105" customFormat="1" ht="15" customHeight="1">
      <c r="A1408" s="99">
        <f t="shared" si="181"/>
        <v>1406</v>
      </c>
      <c r="B1408" s="75" t="s">
        <v>1197</v>
      </c>
      <c r="C1408" s="100" t="str">
        <f>IF($B1408&lt;&gt;"",_xlfn.IFNA(VLOOKUP($B1408,'Node Details'!$B:$U,C$1,0),"Check"),"")</f>
        <v>0000CM324-CM3240106</v>
      </c>
      <c r="D1408" s="100" t="str">
        <f>IF($B1408&lt;&gt;"",_xlfn.IFNA(VLOOKUP($B1408,'Node Details'!$B:$U,D$1,0),"Check"),"")</f>
        <v>CM3</v>
      </c>
      <c r="E1408" s="100" t="str">
        <f>IF($B1408&lt;&gt;"",_xlfn.IFNA(VLOOKUP($B1408,'Node Details'!$B:$U,E$1,0),"Check"),"")</f>
        <v>Airtel</v>
      </c>
      <c r="F1408" s="101">
        <v>46149</v>
      </c>
      <c r="G1408" s="103"/>
      <c r="H1408" s="102" t="s">
        <v>1260</v>
      </c>
      <c r="I1408" s="9">
        <v>4</v>
      </c>
      <c r="J1408" s="9">
        <v>65</v>
      </c>
      <c r="K1408" s="100">
        <f t="shared" si="182"/>
        <v>260</v>
      </c>
      <c r="L1408" s="78">
        <v>46142</v>
      </c>
      <c r="M1408" s="103"/>
      <c r="N1408" s="93" t="s">
        <v>622</v>
      </c>
      <c r="O1408" s="94">
        <v>46160</v>
      </c>
      <c r="P1408" s="104">
        <f t="shared" si="183"/>
        <v>65</v>
      </c>
      <c r="Q1408" s="104">
        <f t="shared" si="184"/>
        <v>260</v>
      </c>
      <c r="R1408" s="104"/>
      <c r="S1408" s="93" t="s">
        <v>144</v>
      </c>
      <c r="T1408" s="94"/>
      <c r="U1408" s="104">
        <f t="shared" si="185"/>
        <v>65</v>
      </c>
      <c r="V1408" s="104">
        <f t="shared" si="186"/>
        <v>4</v>
      </c>
      <c r="W1408" s="103">
        <f t="shared" si="187"/>
        <v>260</v>
      </c>
      <c r="X1408" s="93" t="s">
        <v>89</v>
      </c>
      <c r="Y1408" s="105" t="s">
        <v>84</v>
      </c>
      <c r="Z1408" s="105" t="s">
        <v>619</v>
      </c>
    </row>
    <row r="1409" spans="1:26" s="105" customFormat="1" ht="15" customHeight="1">
      <c r="A1409" s="99">
        <f t="shared" si="181"/>
        <v>1407</v>
      </c>
      <c r="B1409" s="75" t="s">
        <v>1198</v>
      </c>
      <c r="C1409" s="100" t="str">
        <f>IF($B1409&lt;&gt;"",_xlfn.IFNA(VLOOKUP($B1409,'Node Details'!$B:$U,C$1,0),"Check"),"")</f>
        <v>0000CM324-CM3240106</v>
      </c>
      <c r="D1409" s="100" t="str">
        <f>IF($B1409&lt;&gt;"",_xlfn.IFNA(VLOOKUP($B1409,'Node Details'!$B:$U,D$1,0),"Check"),"")</f>
        <v>CM3</v>
      </c>
      <c r="E1409" s="100" t="str">
        <f>IF($B1409&lt;&gt;"",_xlfn.IFNA(VLOOKUP($B1409,'Node Details'!$B:$U,E$1,0),"Check"),"")</f>
        <v>Airtel</v>
      </c>
      <c r="F1409" s="101">
        <v>46149</v>
      </c>
      <c r="G1409" s="103"/>
      <c r="H1409" s="102" t="s">
        <v>1260</v>
      </c>
      <c r="I1409" s="9">
        <v>2</v>
      </c>
      <c r="J1409" s="9">
        <v>65</v>
      </c>
      <c r="K1409" s="100">
        <f t="shared" si="182"/>
        <v>130</v>
      </c>
      <c r="L1409" s="78">
        <v>46142</v>
      </c>
      <c r="M1409" s="103"/>
      <c r="N1409" s="93" t="s">
        <v>622</v>
      </c>
      <c r="O1409" s="94">
        <v>46160</v>
      </c>
      <c r="P1409" s="104">
        <f t="shared" si="183"/>
        <v>65</v>
      </c>
      <c r="Q1409" s="104">
        <f t="shared" si="184"/>
        <v>130</v>
      </c>
      <c r="R1409" s="104"/>
      <c r="S1409" s="93" t="s">
        <v>144</v>
      </c>
      <c r="T1409" s="94"/>
      <c r="U1409" s="104">
        <f t="shared" si="185"/>
        <v>65</v>
      </c>
      <c r="V1409" s="104">
        <f t="shared" si="186"/>
        <v>2</v>
      </c>
      <c r="W1409" s="103">
        <f t="shared" si="187"/>
        <v>130</v>
      </c>
      <c r="X1409" s="93" t="s">
        <v>89</v>
      </c>
      <c r="Y1409" s="105" t="s">
        <v>84</v>
      </c>
      <c r="Z1409" s="105" t="s">
        <v>619</v>
      </c>
    </row>
    <row r="1410" spans="1:26" s="105" customFormat="1" ht="15" customHeight="1">
      <c r="A1410" s="99">
        <f t="shared" si="181"/>
        <v>1408</v>
      </c>
      <c r="B1410" s="75" t="s">
        <v>621</v>
      </c>
      <c r="C1410" s="100" t="str">
        <f>IF($B1410&lt;&gt;"",_xlfn.IFNA(VLOOKUP($B1410,'Node Details'!$B:$U,C$1,0),"Check"),"")</f>
        <v>000000CM3-0000CM325</v>
      </c>
      <c r="D1410" s="100" t="str">
        <f>IF($B1410&lt;&gt;"",_xlfn.IFNA(VLOOKUP($B1410,'Node Details'!$B:$U,D$1,0),"Check"),"")</f>
        <v>CM3</v>
      </c>
      <c r="E1410" s="100" t="str">
        <f>IF($B1410&lt;&gt;"",_xlfn.IFNA(VLOOKUP($B1410,'Node Details'!$B:$U,E$1,0),"Check"),"")</f>
        <v>Airtel</v>
      </c>
      <c r="F1410" s="101">
        <v>46149</v>
      </c>
      <c r="G1410" s="103"/>
      <c r="H1410" s="102" t="s">
        <v>1260</v>
      </c>
      <c r="I1410" s="9">
        <v>42</v>
      </c>
      <c r="J1410" s="9">
        <v>65</v>
      </c>
      <c r="K1410" s="100">
        <f t="shared" si="182"/>
        <v>2730</v>
      </c>
      <c r="L1410" s="78">
        <v>46142</v>
      </c>
      <c r="M1410" s="103"/>
      <c r="N1410" s="93" t="s">
        <v>622</v>
      </c>
      <c r="O1410" s="94">
        <v>46160</v>
      </c>
      <c r="P1410" s="104">
        <f t="shared" si="183"/>
        <v>65</v>
      </c>
      <c r="Q1410" s="104">
        <f t="shared" si="184"/>
        <v>2730</v>
      </c>
      <c r="R1410" s="104"/>
      <c r="S1410" s="93" t="s">
        <v>144</v>
      </c>
      <c r="T1410" s="94"/>
      <c r="U1410" s="104">
        <f t="shared" si="185"/>
        <v>65</v>
      </c>
      <c r="V1410" s="104">
        <f t="shared" si="186"/>
        <v>42</v>
      </c>
      <c r="W1410" s="103">
        <f t="shared" si="187"/>
        <v>2730</v>
      </c>
      <c r="X1410" s="93" t="s">
        <v>89</v>
      </c>
      <c r="Y1410" s="105" t="s">
        <v>84</v>
      </c>
      <c r="Z1410" s="105" t="s">
        <v>619</v>
      </c>
    </row>
    <row r="1411" spans="1:26" s="105" customFormat="1" ht="15" customHeight="1">
      <c r="A1411" s="99">
        <f t="shared" si="181"/>
        <v>1409</v>
      </c>
      <c r="B1411" s="75" t="s">
        <v>1199</v>
      </c>
      <c r="C1411" s="100" t="str">
        <f>IF($B1411&lt;&gt;"",_xlfn.IFNA(VLOOKUP($B1411,'Node Details'!$B:$U,C$1,0),"Check"),"")</f>
        <v>0000CM325-CM3250103</v>
      </c>
      <c r="D1411" s="100" t="str">
        <f>IF($B1411&lt;&gt;"",_xlfn.IFNA(VLOOKUP($B1411,'Node Details'!$B:$U,D$1,0),"Check"),"")</f>
        <v>CM3</v>
      </c>
      <c r="E1411" s="100" t="str">
        <f>IF($B1411&lt;&gt;"",_xlfn.IFNA(VLOOKUP($B1411,'Node Details'!$B:$U,E$1,0),"Check"),"")</f>
        <v>Airtel</v>
      </c>
      <c r="F1411" s="101">
        <v>46149</v>
      </c>
      <c r="G1411" s="103"/>
      <c r="H1411" s="102" t="s">
        <v>1260</v>
      </c>
      <c r="I1411" s="9">
        <v>6</v>
      </c>
      <c r="J1411" s="9">
        <v>65</v>
      </c>
      <c r="K1411" s="100">
        <f t="shared" si="182"/>
        <v>390</v>
      </c>
      <c r="L1411" s="78">
        <v>46142</v>
      </c>
      <c r="M1411" s="103"/>
      <c r="N1411" s="93" t="s">
        <v>622</v>
      </c>
      <c r="O1411" s="94">
        <v>46160</v>
      </c>
      <c r="P1411" s="104">
        <f t="shared" si="183"/>
        <v>65</v>
      </c>
      <c r="Q1411" s="104">
        <f t="shared" si="184"/>
        <v>390</v>
      </c>
      <c r="R1411" s="104"/>
      <c r="S1411" s="93" t="s">
        <v>144</v>
      </c>
      <c r="T1411" s="94"/>
      <c r="U1411" s="104">
        <f t="shared" si="185"/>
        <v>65</v>
      </c>
      <c r="V1411" s="104">
        <f t="shared" si="186"/>
        <v>6</v>
      </c>
      <c r="W1411" s="103">
        <f t="shared" si="187"/>
        <v>390</v>
      </c>
      <c r="X1411" s="93" t="s">
        <v>89</v>
      </c>
      <c r="Y1411" s="105" t="s">
        <v>84</v>
      </c>
      <c r="Z1411" s="105" t="s">
        <v>619</v>
      </c>
    </row>
    <row r="1412" spans="1:26" s="105" customFormat="1" ht="15" customHeight="1">
      <c r="A1412" s="99">
        <f t="shared" si="181"/>
        <v>1410</v>
      </c>
      <c r="B1412" s="75" t="s">
        <v>1200</v>
      </c>
      <c r="C1412" s="100" t="str">
        <f>IF($B1412&lt;&gt;"",_xlfn.IFNA(VLOOKUP($B1412,'Node Details'!$B:$U,C$1,0),"Check"),"")</f>
        <v>0000CM325-CM3250103</v>
      </c>
      <c r="D1412" s="100" t="str">
        <f>IF($B1412&lt;&gt;"",_xlfn.IFNA(VLOOKUP($B1412,'Node Details'!$B:$U,D$1,0),"Check"),"")</f>
        <v>CM3</v>
      </c>
      <c r="E1412" s="100" t="str">
        <f>IF($B1412&lt;&gt;"",_xlfn.IFNA(VLOOKUP($B1412,'Node Details'!$B:$U,E$1,0),"Check"),"")</f>
        <v>Airtel</v>
      </c>
      <c r="F1412" s="101">
        <v>46149</v>
      </c>
      <c r="G1412" s="103"/>
      <c r="H1412" s="102" t="s">
        <v>1260</v>
      </c>
      <c r="I1412" s="9">
        <v>4</v>
      </c>
      <c r="J1412" s="9">
        <v>65</v>
      </c>
      <c r="K1412" s="100">
        <f t="shared" si="182"/>
        <v>260</v>
      </c>
      <c r="L1412" s="78">
        <v>46142</v>
      </c>
      <c r="M1412" s="103"/>
      <c r="N1412" s="93" t="s">
        <v>622</v>
      </c>
      <c r="O1412" s="94">
        <v>46160</v>
      </c>
      <c r="P1412" s="104">
        <f t="shared" si="183"/>
        <v>65</v>
      </c>
      <c r="Q1412" s="104">
        <f t="shared" si="184"/>
        <v>260</v>
      </c>
      <c r="R1412" s="104"/>
      <c r="S1412" s="93" t="s">
        <v>144</v>
      </c>
      <c r="T1412" s="94"/>
      <c r="U1412" s="104">
        <f t="shared" si="185"/>
        <v>65</v>
      </c>
      <c r="V1412" s="104">
        <f t="shared" si="186"/>
        <v>4</v>
      </c>
      <c r="W1412" s="103">
        <f t="shared" si="187"/>
        <v>260</v>
      </c>
      <c r="X1412" s="93" t="s">
        <v>89</v>
      </c>
      <c r="Y1412" s="105" t="s">
        <v>84</v>
      </c>
      <c r="Z1412" s="105" t="s">
        <v>619</v>
      </c>
    </row>
    <row r="1413" spans="1:26" s="105" customFormat="1" ht="15" customHeight="1">
      <c r="A1413" s="99">
        <f t="shared" ref="A1413:A1476" si="188">A1412+1</f>
        <v>1411</v>
      </c>
      <c r="B1413" s="75" t="s">
        <v>797</v>
      </c>
      <c r="C1413" s="100" t="str">
        <f>IF($B1413&lt;&gt;"",_xlfn.IFNA(VLOOKUP($B1413,'Node Details'!$B:$U,C$1,0),"Check"),"")</f>
        <v>0000CM325-CM3250103</v>
      </c>
      <c r="D1413" s="100" t="str">
        <f>IF($B1413&lt;&gt;"",_xlfn.IFNA(VLOOKUP($B1413,'Node Details'!$B:$U,D$1,0),"Check"),"")</f>
        <v>CM3</v>
      </c>
      <c r="E1413" s="100" t="str">
        <f>IF($B1413&lt;&gt;"",_xlfn.IFNA(VLOOKUP($B1413,'Node Details'!$B:$U,E$1,0),"Check"),"")</f>
        <v>Airtel</v>
      </c>
      <c r="F1413" s="101">
        <v>46149</v>
      </c>
      <c r="G1413" s="103"/>
      <c r="H1413" s="102" t="s">
        <v>1260</v>
      </c>
      <c r="I1413" s="9">
        <v>2</v>
      </c>
      <c r="J1413" s="9">
        <v>65</v>
      </c>
      <c r="K1413" s="100">
        <f t="shared" si="182"/>
        <v>130</v>
      </c>
      <c r="L1413" s="78">
        <v>46142</v>
      </c>
      <c r="M1413" s="103"/>
      <c r="N1413" s="93" t="s">
        <v>622</v>
      </c>
      <c r="O1413" s="94">
        <v>46160</v>
      </c>
      <c r="P1413" s="104">
        <f t="shared" si="183"/>
        <v>65</v>
      </c>
      <c r="Q1413" s="104">
        <f t="shared" si="184"/>
        <v>130</v>
      </c>
      <c r="R1413" s="104"/>
      <c r="S1413" s="93" t="s">
        <v>144</v>
      </c>
      <c r="T1413" s="94"/>
      <c r="U1413" s="104">
        <f t="shared" si="185"/>
        <v>65</v>
      </c>
      <c r="V1413" s="104">
        <f t="shared" si="186"/>
        <v>2</v>
      </c>
      <c r="W1413" s="103">
        <f t="shared" si="187"/>
        <v>130</v>
      </c>
      <c r="X1413" s="93" t="s">
        <v>89</v>
      </c>
      <c r="Y1413" s="105" t="s">
        <v>84</v>
      </c>
      <c r="Z1413" s="105" t="s">
        <v>619</v>
      </c>
    </row>
    <row r="1414" spans="1:26" s="105" customFormat="1" ht="15" customHeight="1">
      <c r="A1414" s="99">
        <f t="shared" si="188"/>
        <v>1412</v>
      </c>
      <c r="B1414" s="75" t="s">
        <v>1201</v>
      </c>
      <c r="C1414" s="100" t="str">
        <f>IF($B1414&lt;&gt;"",_xlfn.IFNA(VLOOKUP($B1414,'Node Details'!$B:$U,C$1,0),"Check"),"")</f>
        <v>0000CM325-CM3250107</v>
      </c>
      <c r="D1414" s="100" t="str">
        <f>IF($B1414&lt;&gt;"",_xlfn.IFNA(VLOOKUP($B1414,'Node Details'!$B:$U,D$1,0),"Check"),"")</f>
        <v>CM3</v>
      </c>
      <c r="E1414" s="100" t="str">
        <f>IF($B1414&lt;&gt;"",_xlfn.IFNA(VLOOKUP($B1414,'Node Details'!$B:$U,E$1,0),"Check"),"")</f>
        <v>Airtel</v>
      </c>
      <c r="F1414" s="101">
        <v>46149</v>
      </c>
      <c r="G1414" s="103"/>
      <c r="H1414" s="102" t="s">
        <v>1260</v>
      </c>
      <c r="I1414" s="9">
        <v>6</v>
      </c>
      <c r="J1414" s="9">
        <v>65</v>
      </c>
      <c r="K1414" s="100">
        <f t="shared" si="182"/>
        <v>390</v>
      </c>
      <c r="L1414" s="78">
        <v>46142</v>
      </c>
      <c r="M1414" s="103"/>
      <c r="N1414" s="93" t="s">
        <v>622</v>
      </c>
      <c r="O1414" s="94">
        <v>46160</v>
      </c>
      <c r="P1414" s="104">
        <f t="shared" si="183"/>
        <v>65</v>
      </c>
      <c r="Q1414" s="104">
        <f t="shared" si="184"/>
        <v>390</v>
      </c>
      <c r="R1414" s="104"/>
      <c r="S1414" s="93" t="s">
        <v>144</v>
      </c>
      <c r="T1414" s="94"/>
      <c r="U1414" s="104">
        <f t="shared" si="185"/>
        <v>65</v>
      </c>
      <c r="V1414" s="104">
        <f t="shared" si="186"/>
        <v>6</v>
      </c>
      <c r="W1414" s="103">
        <f t="shared" si="187"/>
        <v>390</v>
      </c>
      <c r="X1414" s="93" t="s">
        <v>89</v>
      </c>
      <c r="Y1414" s="105" t="s">
        <v>84</v>
      </c>
      <c r="Z1414" s="105" t="s">
        <v>619</v>
      </c>
    </row>
    <row r="1415" spans="1:26" s="105" customFormat="1" ht="15" customHeight="1">
      <c r="A1415" s="99">
        <f t="shared" si="188"/>
        <v>1413</v>
      </c>
      <c r="B1415" s="75" t="s">
        <v>1202</v>
      </c>
      <c r="C1415" s="100" t="str">
        <f>IF($B1415&lt;&gt;"",_xlfn.IFNA(VLOOKUP($B1415,'Node Details'!$B:$U,C$1,0),"Check"),"")</f>
        <v>0000CM325-CM3250107</v>
      </c>
      <c r="D1415" s="100" t="str">
        <f>IF($B1415&lt;&gt;"",_xlfn.IFNA(VLOOKUP($B1415,'Node Details'!$B:$U,D$1,0),"Check"),"")</f>
        <v>CM3</v>
      </c>
      <c r="E1415" s="100" t="str">
        <f>IF($B1415&lt;&gt;"",_xlfn.IFNA(VLOOKUP($B1415,'Node Details'!$B:$U,E$1,0),"Check"),"")</f>
        <v>Airtel</v>
      </c>
      <c r="F1415" s="101">
        <v>46149</v>
      </c>
      <c r="G1415" s="103"/>
      <c r="H1415" s="102" t="s">
        <v>1260</v>
      </c>
      <c r="I1415" s="9">
        <v>4</v>
      </c>
      <c r="J1415" s="9">
        <v>65</v>
      </c>
      <c r="K1415" s="100">
        <f t="shared" si="182"/>
        <v>260</v>
      </c>
      <c r="L1415" s="78">
        <v>46142</v>
      </c>
      <c r="M1415" s="103"/>
      <c r="N1415" s="93" t="s">
        <v>622</v>
      </c>
      <c r="O1415" s="94">
        <v>46160</v>
      </c>
      <c r="P1415" s="104">
        <f t="shared" si="183"/>
        <v>65</v>
      </c>
      <c r="Q1415" s="104">
        <f t="shared" si="184"/>
        <v>260</v>
      </c>
      <c r="R1415" s="104"/>
      <c r="S1415" s="93" t="s">
        <v>144</v>
      </c>
      <c r="T1415" s="94"/>
      <c r="U1415" s="104">
        <f t="shared" si="185"/>
        <v>65</v>
      </c>
      <c r="V1415" s="104">
        <f t="shared" si="186"/>
        <v>4</v>
      </c>
      <c r="W1415" s="103">
        <f t="shared" si="187"/>
        <v>260</v>
      </c>
      <c r="X1415" s="93" t="s">
        <v>89</v>
      </c>
      <c r="Y1415" s="105" t="s">
        <v>84</v>
      </c>
      <c r="Z1415" s="105" t="s">
        <v>619</v>
      </c>
    </row>
    <row r="1416" spans="1:26" s="105" customFormat="1" ht="15" customHeight="1">
      <c r="A1416" s="99">
        <f t="shared" si="188"/>
        <v>1414</v>
      </c>
      <c r="B1416" s="75" t="s">
        <v>1203</v>
      </c>
      <c r="C1416" s="100" t="str">
        <f>IF($B1416&lt;&gt;"",_xlfn.IFNA(VLOOKUP($B1416,'Node Details'!$B:$U,C$1,0),"Check"),"")</f>
        <v>0000CM325-CM3250107</v>
      </c>
      <c r="D1416" s="100" t="str">
        <f>IF($B1416&lt;&gt;"",_xlfn.IFNA(VLOOKUP($B1416,'Node Details'!$B:$U,D$1,0),"Check"),"")</f>
        <v>CM3</v>
      </c>
      <c r="E1416" s="100" t="str">
        <f>IF($B1416&lt;&gt;"",_xlfn.IFNA(VLOOKUP($B1416,'Node Details'!$B:$U,E$1,0),"Check"),"")</f>
        <v>Airtel</v>
      </c>
      <c r="F1416" s="101">
        <v>46149</v>
      </c>
      <c r="G1416" s="103"/>
      <c r="H1416" s="102" t="s">
        <v>1260</v>
      </c>
      <c r="I1416" s="9">
        <v>2</v>
      </c>
      <c r="J1416" s="9">
        <v>65</v>
      </c>
      <c r="K1416" s="100">
        <f t="shared" si="182"/>
        <v>130</v>
      </c>
      <c r="L1416" s="78">
        <v>46142</v>
      </c>
      <c r="M1416" s="103"/>
      <c r="N1416" s="93" t="s">
        <v>622</v>
      </c>
      <c r="O1416" s="94">
        <v>46160</v>
      </c>
      <c r="P1416" s="104">
        <f t="shared" si="183"/>
        <v>65</v>
      </c>
      <c r="Q1416" s="104">
        <f t="shared" si="184"/>
        <v>130</v>
      </c>
      <c r="R1416" s="104"/>
      <c r="S1416" s="93" t="s">
        <v>144</v>
      </c>
      <c r="T1416" s="94"/>
      <c r="U1416" s="104">
        <f t="shared" si="185"/>
        <v>65</v>
      </c>
      <c r="V1416" s="104">
        <f t="shared" si="186"/>
        <v>2</v>
      </c>
      <c r="W1416" s="103">
        <f t="shared" si="187"/>
        <v>130</v>
      </c>
      <c r="X1416" s="93" t="s">
        <v>89</v>
      </c>
      <c r="Y1416" s="105" t="s">
        <v>84</v>
      </c>
      <c r="Z1416" s="105" t="s">
        <v>619</v>
      </c>
    </row>
    <row r="1417" spans="1:26" s="105" customFormat="1" ht="15" customHeight="1">
      <c r="A1417" s="99">
        <f t="shared" si="188"/>
        <v>1415</v>
      </c>
      <c r="B1417" s="75" t="s">
        <v>614</v>
      </c>
      <c r="C1417" s="100" t="str">
        <f>IF($B1417&lt;&gt;"",_xlfn.IFNA(VLOOKUP($B1417,'Node Details'!$B:$U,C$1,0),"Check"),"")</f>
        <v>000000CM3-0000CM310</v>
      </c>
      <c r="D1417" s="100" t="str">
        <f>IF($B1417&lt;&gt;"",_xlfn.IFNA(VLOOKUP($B1417,'Node Details'!$B:$U,D$1,0),"Check"),"")</f>
        <v>CM3</v>
      </c>
      <c r="E1417" s="100" t="str">
        <f>IF($B1417&lt;&gt;"",_xlfn.IFNA(VLOOKUP($B1417,'Node Details'!$B:$U,E$1,0),"Check"),"")</f>
        <v>Airtel</v>
      </c>
      <c r="F1417" s="101">
        <v>46149</v>
      </c>
      <c r="G1417" s="103"/>
      <c r="H1417" s="102" t="s">
        <v>1260</v>
      </c>
      <c r="I1417" s="9">
        <v>42</v>
      </c>
      <c r="J1417" s="9">
        <v>65</v>
      </c>
      <c r="K1417" s="100">
        <f t="shared" si="182"/>
        <v>2730</v>
      </c>
      <c r="L1417" s="78">
        <v>46142</v>
      </c>
      <c r="M1417" s="103"/>
      <c r="N1417" s="93" t="s">
        <v>622</v>
      </c>
      <c r="O1417" s="94">
        <v>46160</v>
      </c>
      <c r="P1417" s="104">
        <f t="shared" si="183"/>
        <v>65</v>
      </c>
      <c r="Q1417" s="104">
        <f t="shared" si="184"/>
        <v>2730</v>
      </c>
      <c r="R1417" s="104"/>
      <c r="S1417" s="93" t="s">
        <v>144</v>
      </c>
      <c r="T1417" s="94"/>
      <c r="U1417" s="104">
        <f t="shared" si="185"/>
        <v>65</v>
      </c>
      <c r="V1417" s="104">
        <f t="shared" si="186"/>
        <v>42</v>
      </c>
      <c r="W1417" s="103">
        <f t="shared" si="187"/>
        <v>2730</v>
      </c>
      <c r="X1417" s="93" t="s">
        <v>89</v>
      </c>
      <c r="Y1417" s="105" t="s">
        <v>84</v>
      </c>
      <c r="Z1417" s="105" t="s">
        <v>619</v>
      </c>
    </row>
    <row r="1418" spans="1:26" s="105" customFormat="1" ht="15" customHeight="1">
      <c r="A1418" s="99">
        <f t="shared" si="188"/>
        <v>1416</v>
      </c>
      <c r="B1418" s="75" t="s">
        <v>614</v>
      </c>
      <c r="C1418" s="100" t="str">
        <f>IF($B1418&lt;&gt;"",_xlfn.IFNA(VLOOKUP($B1418,'Node Details'!$B:$U,C$1,0),"Check"),"")</f>
        <v>000000CM3-0000CM310</v>
      </c>
      <c r="D1418" s="100" t="str">
        <f>IF($B1418&lt;&gt;"",_xlfn.IFNA(VLOOKUP($B1418,'Node Details'!$B:$U,D$1,0),"Check"),"")</f>
        <v>CM3</v>
      </c>
      <c r="E1418" s="100" t="str">
        <f>IF($B1418&lt;&gt;"",_xlfn.IFNA(VLOOKUP($B1418,'Node Details'!$B:$U,E$1,0),"Check"),"")</f>
        <v>Airtel</v>
      </c>
      <c r="F1418" s="101">
        <v>46149</v>
      </c>
      <c r="G1418" s="103"/>
      <c r="H1418" s="102" t="s">
        <v>1259</v>
      </c>
      <c r="I1418" s="9">
        <v>1</v>
      </c>
      <c r="J1418" s="9">
        <v>4600</v>
      </c>
      <c r="K1418" s="100">
        <f t="shared" si="182"/>
        <v>4600</v>
      </c>
      <c r="L1418" s="78">
        <v>46142</v>
      </c>
      <c r="M1418" s="103"/>
      <c r="N1418" s="93" t="s">
        <v>617</v>
      </c>
      <c r="O1418" s="94">
        <v>46141</v>
      </c>
      <c r="P1418" s="104">
        <f t="shared" si="183"/>
        <v>4600</v>
      </c>
      <c r="Q1418" s="104">
        <f t="shared" si="184"/>
        <v>4600</v>
      </c>
      <c r="R1418" s="104"/>
      <c r="S1418" s="93" t="s">
        <v>618</v>
      </c>
      <c r="T1418" s="94">
        <v>46156</v>
      </c>
      <c r="U1418" s="104">
        <f t="shared" si="185"/>
        <v>4600</v>
      </c>
      <c r="V1418" s="104">
        <f t="shared" si="186"/>
        <v>1</v>
      </c>
      <c r="W1418" s="103">
        <f t="shared" si="187"/>
        <v>4600</v>
      </c>
      <c r="X1418" s="93" t="s">
        <v>89</v>
      </c>
      <c r="Y1418" s="105" t="s">
        <v>84</v>
      </c>
      <c r="Z1418" s="105" t="s">
        <v>619</v>
      </c>
    </row>
    <row r="1419" spans="1:26" s="105" customFormat="1" ht="15" customHeight="1">
      <c r="A1419" s="99">
        <f t="shared" si="188"/>
        <v>1417</v>
      </c>
      <c r="B1419" s="75" t="s">
        <v>614</v>
      </c>
      <c r="C1419" s="100" t="str">
        <f>IF($B1419&lt;&gt;"",_xlfn.IFNA(VLOOKUP($B1419,'Node Details'!$B:$U,C$1,0),"Check"),"")</f>
        <v>000000CM3-0000CM310</v>
      </c>
      <c r="D1419" s="100" t="str">
        <f>IF($B1419&lt;&gt;"",_xlfn.IFNA(VLOOKUP($B1419,'Node Details'!$B:$U,D$1,0),"Check"),"")</f>
        <v>CM3</v>
      </c>
      <c r="E1419" s="100" t="str">
        <f>IF($B1419&lt;&gt;"",_xlfn.IFNA(VLOOKUP($B1419,'Node Details'!$B:$U,E$1,0),"Check"),"")</f>
        <v>Airtel</v>
      </c>
      <c r="F1419" s="101">
        <v>46149</v>
      </c>
      <c r="G1419" s="103"/>
      <c r="H1419" s="102" t="s">
        <v>1259</v>
      </c>
      <c r="I1419" s="9">
        <v>1</v>
      </c>
      <c r="J1419" s="9">
        <v>4600</v>
      </c>
      <c r="K1419" s="100">
        <f t="shared" ref="K1419:K1482" si="189">IF(I1419&lt;&gt;"",J1419*I1419,0)</f>
        <v>4600</v>
      </c>
      <c r="L1419" s="78">
        <v>46142</v>
      </c>
      <c r="M1419" s="103"/>
      <c r="N1419" s="93" t="s">
        <v>622</v>
      </c>
      <c r="O1419" s="94">
        <v>46160</v>
      </c>
      <c r="P1419" s="104">
        <f t="shared" ref="P1419" si="190">J1419</f>
        <v>4600</v>
      </c>
      <c r="Q1419" s="104">
        <f t="shared" ref="Q1419" si="191">P1419*I1419</f>
        <v>4600</v>
      </c>
      <c r="R1419" s="104"/>
      <c r="S1419" s="93" t="s">
        <v>144</v>
      </c>
      <c r="T1419" s="94"/>
      <c r="U1419" s="104">
        <f t="shared" ref="U1419" si="192">J1419</f>
        <v>4600</v>
      </c>
      <c r="V1419" s="104">
        <f t="shared" ref="V1419" si="193">I1419</f>
        <v>1</v>
      </c>
      <c r="W1419" s="103">
        <f t="shared" ref="W1419" si="194">IF(V1419&lt;&gt;"",V1419*U1419,0)</f>
        <v>4600</v>
      </c>
      <c r="X1419" s="93" t="s">
        <v>89</v>
      </c>
      <c r="Y1419" s="105" t="s">
        <v>84</v>
      </c>
      <c r="Z1419" s="105" t="s">
        <v>619</v>
      </c>
    </row>
    <row r="1420" spans="1:26" s="105" customFormat="1" ht="15" customHeight="1">
      <c r="A1420" s="99">
        <f t="shared" si="188"/>
        <v>1418</v>
      </c>
      <c r="B1420" s="75" t="s">
        <v>821</v>
      </c>
      <c r="C1420" s="100" t="str">
        <f>IF($B1420&lt;&gt;"",_xlfn.IFNA(VLOOKUP($B1420,'Node Details'!$B:$U,C$1,0),"Check"),"")</f>
        <v>0000CM401-CM4010101</v>
      </c>
      <c r="D1420" s="100" t="str">
        <f>IF($B1420&lt;&gt;"",_xlfn.IFNA(VLOOKUP($B1420,'Node Details'!$B:$U,D$1,0),"Check"),"")</f>
        <v>CM4</v>
      </c>
      <c r="E1420" s="100" t="str">
        <f>IF($B1420&lt;&gt;"",_xlfn.IFNA(VLOOKUP($B1420,'Node Details'!$B:$U,E$1,0),"Check"),"")</f>
        <v>Airtel</v>
      </c>
      <c r="F1420" s="101">
        <v>46148</v>
      </c>
      <c r="G1420" s="103"/>
      <c r="H1420" s="102" t="s">
        <v>1254</v>
      </c>
      <c r="I1420" s="9">
        <v>1</v>
      </c>
      <c r="J1420" s="9">
        <v>500</v>
      </c>
      <c r="K1420" s="100">
        <f t="shared" si="189"/>
        <v>500</v>
      </c>
      <c r="L1420" s="78">
        <v>46142</v>
      </c>
      <c r="M1420" s="103"/>
      <c r="N1420" s="93" t="s">
        <v>534</v>
      </c>
      <c r="O1420" s="94"/>
      <c r="P1420" s="104">
        <f t="shared" ref="P1420" si="195">J1420</f>
        <v>500</v>
      </c>
      <c r="Q1420" s="104">
        <f t="shared" ref="Q1420" si="196">P1420*I1420</f>
        <v>500</v>
      </c>
      <c r="R1420" s="104"/>
      <c r="S1420" s="93" t="s">
        <v>144</v>
      </c>
      <c r="T1420" s="94"/>
      <c r="U1420" s="104">
        <f t="shared" ref="U1420" si="197">J1420</f>
        <v>500</v>
      </c>
      <c r="V1420" s="104">
        <f t="shared" ref="V1420" si="198">I1420</f>
        <v>1</v>
      </c>
      <c r="W1420" s="103">
        <f t="shared" ref="W1420" si="199">IF(V1420&lt;&gt;"",V1420*U1420,0)</f>
        <v>500</v>
      </c>
      <c r="X1420" s="93" t="s">
        <v>803</v>
      </c>
      <c r="Y1420" s="105" t="s">
        <v>84</v>
      </c>
      <c r="Z1420" s="105" t="s">
        <v>619</v>
      </c>
    </row>
    <row r="1421" spans="1:26" s="105" customFormat="1" ht="15" customHeight="1">
      <c r="A1421" s="99">
        <f t="shared" si="188"/>
        <v>1419</v>
      </c>
      <c r="B1421" s="75" t="s">
        <v>823</v>
      </c>
      <c r="C1421" s="100" t="str">
        <f>IF($B1421&lt;&gt;"",_xlfn.IFNA(VLOOKUP($B1421,'Node Details'!$B:$U,C$1,0),"Check"),"")</f>
        <v>0000CM401-CM4010102</v>
      </c>
      <c r="D1421" s="100" t="str">
        <f>IF($B1421&lt;&gt;"",_xlfn.IFNA(VLOOKUP($B1421,'Node Details'!$B:$U,D$1,0),"Check"),"")</f>
        <v>CM4</v>
      </c>
      <c r="E1421" s="100" t="str">
        <f>IF($B1421&lt;&gt;"",_xlfn.IFNA(VLOOKUP($B1421,'Node Details'!$B:$U,E$1,0),"Check"),"")</f>
        <v>Airtel</v>
      </c>
      <c r="F1421" s="101">
        <v>46148</v>
      </c>
      <c r="G1421" s="103"/>
      <c r="H1421" s="102" t="s">
        <v>1254</v>
      </c>
      <c r="I1421" s="9">
        <v>1</v>
      </c>
      <c r="J1421" s="9">
        <v>500</v>
      </c>
      <c r="K1421" s="100">
        <f t="shared" si="189"/>
        <v>500</v>
      </c>
      <c r="L1421" s="78">
        <v>46142</v>
      </c>
      <c r="M1421" s="103"/>
      <c r="N1421" s="93" t="s">
        <v>534</v>
      </c>
      <c r="O1421" s="94"/>
      <c r="P1421" s="104">
        <f t="shared" ref="P1421:P1484" si="200">J1421</f>
        <v>500</v>
      </c>
      <c r="Q1421" s="104">
        <f t="shared" ref="Q1421:Q1484" si="201">P1421*I1421</f>
        <v>500</v>
      </c>
      <c r="R1421" s="104"/>
      <c r="S1421" s="93" t="s">
        <v>144</v>
      </c>
      <c r="T1421" s="94"/>
      <c r="U1421" s="104">
        <f t="shared" ref="U1421:U1484" si="202">J1421</f>
        <v>500</v>
      </c>
      <c r="V1421" s="104">
        <f t="shared" ref="V1421:V1484" si="203">I1421</f>
        <v>1</v>
      </c>
      <c r="W1421" s="103">
        <f t="shared" ref="W1421:W1484" si="204">IF(V1421&lt;&gt;"",V1421*U1421,0)</f>
        <v>500</v>
      </c>
      <c r="X1421" s="93" t="s">
        <v>803</v>
      </c>
      <c r="Y1421" s="105" t="s">
        <v>84</v>
      </c>
      <c r="Z1421" s="105" t="s">
        <v>619</v>
      </c>
    </row>
    <row r="1422" spans="1:26" s="105" customFormat="1" ht="15" customHeight="1">
      <c r="A1422" s="99">
        <f t="shared" si="188"/>
        <v>1420</v>
      </c>
      <c r="B1422" s="75" t="s">
        <v>1204</v>
      </c>
      <c r="C1422" s="100" t="str">
        <f>IF($B1422&lt;&gt;"",_xlfn.IFNA(VLOOKUP($B1422,'Node Details'!$B:$U,C$1,0),"Check"),"")</f>
        <v>0000CM401-CM4010104</v>
      </c>
      <c r="D1422" s="100" t="str">
        <f>IF($B1422&lt;&gt;"",_xlfn.IFNA(VLOOKUP($B1422,'Node Details'!$B:$U,D$1,0),"Check"),"")</f>
        <v>CM4</v>
      </c>
      <c r="E1422" s="100" t="str">
        <f>IF($B1422&lt;&gt;"",_xlfn.IFNA(VLOOKUP($B1422,'Node Details'!$B:$U,E$1,0),"Check"),"")</f>
        <v>Airtel</v>
      </c>
      <c r="F1422" s="101">
        <v>46148</v>
      </c>
      <c r="G1422" s="103"/>
      <c r="H1422" s="102" t="s">
        <v>1254</v>
      </c>
      <c r="I1422" s="9">
        <v>1</v>
      </c>
      <c r="J1422" s="9">
        <v>500</v>
      </c>
      <c r="K1422" s="100">
        <f t="shared" si="189"/>
        <v>500</v>
      </c>
      <c r="L1422" s="78">
        <v>46142</v>
      </c>
      <c r="M1422" s="103"/>
      <c r="N1422" s="93" t="s">
        <v>534</v>
      </c>
      <c r="O1422" s="94"/>
      <c r="P1422" s="104">
        <f t="shared" si="200"/>
        <v>500</v>
      </c>
      <c r="Q1422" s="104">
        <f t="shared" si="201"/>
        <v>500</v>
      </c>
      <c r="R1422" s="104"/>
      <c r="S1422" s="93" t="s">
        <v>144</v>
      </c>
      <c r="T1422" s="94"/>
      <c r="U1422" s="104">
        <f t="shared" si="202"/>
        <v>500</v>
      </c>
      <c r="V1422" s="104">
        <f t="shared" si="203"/>
        <v>1</v>
      </c>
      <c r="W1422" s="103">
        <f t="shared" si="204"/>
        <v>500</v>
      </c>
      <c r="X1422" s="93" t="s">
        <v>803</v>
      </c>
      <c r="Y1422" s="105" t="s">
        <v>84</v>
      </c>
      <c r="Z1422" s="105" t="s">
        <v>619</v>
      </c>
    </row>
    <row r="1423" spans="1:26" s="105" customFormat="1" ht="15" customHeight="1">
      <c r="A1423" s="99">
        <f t="shared" si="188"/>
        <v>1421</v>
      </c>
      <c r="B1423" s="75" t="s">
        <v>827</v>
      </c>
      <c r="C1423" s="100" t="str">
        <f>IF($B1423&lt;&gt;"",_xlfn.IFNA(VLOOKUP($B1423,'Node Details'!$B:$U,C$1,0),"Check"),"")</f>
        <v>0000CM401-CM4010104</v>
      </c>
      <c r="D1423" s="100" t="str">
        <f>IF($B1423&lt;&gt;"",_xlfn.IFNA(VLOOKUP($B1423,'Node Details'!$B:$U,D$1,0),"Check"),"")</f>
        <v>CM4</v>
      </c>
      <c r="E1423" s="100" t="str">
        <f>IF($B1423&lt;&gt;"",_xlfn.IFNA(VLOOKUP($B1423,'Node Details'!$B:$U,E$1,0),"Check"),"")</f>
        <v>Airtel</v>
      </c>
      <c r="F1423" s="101">
        <v>46148</v>
      </c>
      <c r="G1423" s="103"/>
      <c r="H1423" s="102" t="s">
        <v>1254</v>
      </c>
      <c r="I1423" s="9">
        <v>1</v>
      </c>
      <c r="J1423" s="9">
        <v>500</v>
      </c>
      <c r="K1423" s="100">
        <f t="shared" si="189"/>
        <v>500</v>
      </c>
      <c r="L1423" s="78">
        <v>46142</v>
      </c>
      <c r="M1423" s="103"/>
      <c r="N1423" s="93" t="s">
        <v>534</v>
      </c>
      <c r="O1423" s="94"/>
      <c r="P1423" s="104">
        <f t="shared" si="200"/>
        <v>500</v>
      </c>
      <c r="Q1423" s="104">
        <f t="shared" si="201"/>
        <v>500</v>
      </c>
      <c r="R1423" s="104"/>
      <c r="S1423" s="93" t="s">
        <v>144</v>
      </c>
      <c r="T1423" s="94"/>
      <c r="U1423" s="104">
        <f t="shared" si="202"/>
        <v>500</v>
      </c>
      <c r="V1423" s="104">
        <f t="shared" si="203"/>
        <v>1</v>
      </c>
      <c r="W1423" s="103">
        <f t="shared" si="204"/>
        <v>500</v>
      </c>
      <c r="X1423" s="93" t="s">
        <v>803</v>
      </c>
      <c r="Y1423" s="105" t="s">
        <v>84</v>
      </c>
      <c r="Z1423" s="105" t="s">
        <v>619</v>
      </c>
    </row>
    <row r="1424" spans="1:26" s="105" customFormat="1" ht="15" customHeight="1">
      <c r="A1424" s="99">
        <f t="shared" si="188"/>
        <v>1422</v>
      </c>
      <c r="B1424" s="75" t="s">
        <v>825</v>
      </c>
      <c r="C1424" s="100" t="str">
        <f>IF($B1424&lt;&gt;"",_xlfn.IFNA(VLOOKUP($B1424,'Node Details'!$B:$U,C$1,0),"Check"),"")</f>
        <v>0000CM401-CM4010104</v>
      </c>
      <c r="D1424" s="100" t="str">
        <f>IF($B1424&lt;&gt;"",_xlfn.IFNA(VLOOKUP($B1424,'Node Details'!$B:$U,D$1,0),"Check"),"")</f>
        <v>CM4</v>
      </c>
      <c r="E1424" s="100" t="str">
        <f>IF($B1424&lt;&gt;"",_xlfn.IFNA(VLOOKUP($B1424,'Node Details'!$B:$U,E$1,0),"Check"),"")</f>
        <v>Airtel</v>
      </c>
      <c r="F1424" s="101">
        <v>46148</v>
      </c>
      <c r="G1424" s="103"/>
      <c r="H1424" s="102" t="s">
        <v>1254</v>
      </c>
      <c r="I1424" s="9">
        <v>1</v>
      </c>
      <c r="J1424" s="9">
        <v>500</v>
      </c>
      <c r="K1424" s="100">
        <f t="shared" si="189"/>
        <v>500</v>
      </c>
      <c r="L1424" s="78">
        <v>46142</v>
      </c>
      <c r="M1424" s="103"/>
      <c r="N1424" s="93" t="s">
        <v>534</v>
      </c>
      <c r="O1424" s="94"/>
      <c r="P1424" s="104">
        <f t="shared" si="200"/>
        <v>500</v>
      </c>
      <c r="Q1424" s="104">
        <f t="shared" si="201"/>
        <v>500</v>
      </c>
      <c r="R1424" s="104"/>
      <c r="S1424" s="93" t="s">
        <v>144</v>
      </c>
      <c r="T1424" s="94"/>
      <c r="U1424" s="104">
        <f t="shared" si="202"/>
        <v>500</v>
      </c>
      <c r="V1424" s="104">
        <f t="shared" si="203"/>
        <v>1</v>
      </c>
      <c r="W1424" s="103">
        <f t="shared" si="204"/>
        <v>500</v>
      </c>
      <c r="X1424" s="93" t="s">
        <v>803</v>
      </c>
      <c r="Y1424" s="105" t="s">
        <v>84</v>
      </c>
      <c r="Z1424" s="105" t="s">
        <v>619</v>
      </c>
    </row>
    <row r="1425" spans="1:26" s="105" customFormat="1" ht="15" customHeight="1">
      <c r="A1425" s="99">
        <f t="shared" si="188"/>
        <v>1423</v>
      </c>
      <c r="B1425" s="75" t="s">
        <v>1205</v>
      </c>
      <c r="C1425" s="100" t="str">
        <f>IF($B1425&lt;&gt;"",_xlfn.IFNA(VLOOKUP($B1425,'Node Details'!$B:$U,C$1,0),"Check"),"")</f>
        <v>CM4010106-CM4010108</v>
      </c>
      <c r="D1425" s="100" t="str">
        <f>IF($B1425&lt;&gt;"",_xlfn.IFNA(VLOOKUP($B1425,'Node Details'!$B:$U,D$1,0),"Check"),"")</f>
        <v>CM4</v>
      </c>
      <c r="E1425" s="100" t="str">
        <f>IF($B1425&lt;&gt;"",_xlfn.IFNA(VLOOKUP($B1425,'Node Details'!$B:$U,E$1,0),"Check"),"")</f>
        <v>Airtel</v>
      </c>
      <c r="F1425" s="101">
        <v>46148</v>
      </c>
      <c r="G1425" s="103"/>
      <c r="H1425" s="102" t="s">
        <v>1254</v>
      </c>
      <c r="I1425" s="9">
        <v>1</v>
      </c>
      <c r="J1425" s="9">
        <v>500</v>
      </c>
      <c r="K1425" s="100">
        <f t="shared" si="189"/>
        <v>500</v>
      </c>
      <c r="L1425" s="78">
        <v>46142</v>
      </c>
      <c r="M1425" s="103"/>
      <c r="N1425" s="93" t="s">
        <v>534</v>
      </c>
      <c r="O1425" s="94"/>
      <c r="P1425" s="104">
        <f t="shared" si="200"/>
        <v>500</v>
      </c>
      <c r="Q1425" s="104">
        <f t="shared" si="201"/>
        <v>500</v>
      </c>
      <c r="R1425" s="104"/>
      <c r="S1425" s="93" t="s">
        <v>144</v>
      </c>
      <c r="T1425" s="94"/>
      <c r="U1425" s="104">
        <f t="shared" si="202"/>
        <v>500</v>
      </c>
      <c r="V1425" s="104">
        <f t="shared" si="203"/>
        <v>1</v>
      </c>
      <c r="W1425" s="103">
        <f t="shared" si="204"/>
        <v>500</v>
      </c>
      <c r="X1425" s="93" t="s">
        <v>803</v>
      </c>
      <c r="Y1425" s="105" t="s">
        <v>84</v>
      </c>
      <c r="Z1425" s="105" t="s">
        <v>619</v>
      </c>
    </row>
    <row r="1426" spans="1:26" s="105" customFormat="1" ht="15" customHeight="1">
      <c r="A1426" s="99">
        <f t="shared" si="188"/>
        <v>1424</v>
      </c>
      <c r="B1426" s="75" t="s">
        <v>828</v>
      </c>
      <c r="C1426" s="100" t="str">
        <f>IF($B1426&lt;&gt;"",_xlfn.IFNA(VLOOKUP($B1426,'Node Details'!$B:$U,C$1,0),"Check"),"")</f>
        <v>CM4010106-CM4010108</v>
      </c>
      <c r="D1426" s="100" t="str">
        <f>IF($B1426&lt;&gt;"",_xlfn.IFNA(VLOOKUP($B1426,'Node Details'!$B:$U,D$1,0),"Check"),"")</f>
        <v>CM4</v>
      </c>
      <c r="E1426" s="100" t="str">
        <f>IF($B1426&lt;&gt;"",_xlfn.IFNA(VLOOKUP($B1426,'Node Details'!$B:$U,E$1,0),"Check"),"")</f>
        <v>Airtel</v>
      </c>
      <c r="F1426" s="101">
        <v>46148</v>
      </c>
      <c r="G1426" s="103"/>
      <c r="H1426" s="102" t="s">
        <v>1254</v>
      </c>
      <c r="I1426" s="9">
        <v>1</v>
      </c>
      <c r="J1426" s="9">
        <v>500</v>
      </c>
      <c r="K1426" s="100">
        <f t="shared" si="189"/>
        <v>500</v>
      </c>
      <c r="L1426" s="78">
        <v>46142</v>
      </c>
      <c r="M1426" s="103"/>
      <c r="N1426" s="93" t="s">
        <v>534</v>
      </c>
      <c r="O1426" s="94"/>
      <c r="P1426" s="104">
        <f t="shared" si="200"/>
        <v>500</v>
      </c>
      <c r="Q1426" s="104">
        <f t="shared" si="201"/>
        <v>500</v>
      </c>
      <c r="R1426" s="104"/>
      <c r="S1426" s="93" t="s">
        <v>144</v>
      </c>
      <c r="T1426" s="94"/>
      <c r="U1426" s="104">
        <f t="shared" si="202"/>
        <v>500</v>
      </c>
      <c r="V1426" s="104">
        <f t="shared" si="203"/>
        <v>1</v>
      </c>
      <c r="W1426" s="103">
        <f t="shared" si="204"/>
        <v>500</v>
      </c>
      <c r="X1426" s="93" t="s">
        <v>803</v>
      </c>
      <c r="Y1426" s="105" t="s">
        <v>84</v>
      </c>
      <c r="Z1426" s="105" t="s">
        <v>619</v>
      </c>
    </row>
    <row r="1427" spans="1:26" s="105" customFormat="1" ht="15" customHeight="1">
      <c r="A1427" s="99">
        <f t="shared" si="188"/>
        <v>1425</v>
      </c>
      <c r="B1427" s="75" t="s">
        <v>1206</v>
      </c>
      <c r="C1427" s="100" t="str">
        <f>IF($B1427&lt;&gt;"",_xlfn.IFNA(VLOOKUP($B1427,'Node Details'!$B:$U,C$1,0),"Check"),"")</f>
        <v>0000CM402-CM4020104</v>
      </c>
      <c r="D1427" s="100" t="str">
        <f>IF($B1427&lt;&gt;"",_xlfn.IFNA(VLOOKUP($B1427,'Node Details'!$B:$U,D$1,0),"Check"),"")</f>
        <v>CM4</v>
      </c>
      <c r="E1427" s="100" t="str">
        <f>IF($B1427&lt;&gt;"",_xlfn.IFNA(VLOOKUP($B1427,'Node Details'!$B:$U,E$1,0),"Check"),"")</f>
        <v>Airtel</v>
      </c>
      <c r="F1427" s="101">
        <v>46148</v>
      </c>
      <c r="G1427" s="103"/>
      <c r="H1427" s="102" t="s">
        <v>1254</v>
      </c>
      <c r="I1427" s="9">
        <v>1</v>
      </c>
      <c r="J1427" s="9">
        <v>500</v>
      </c>
      <c r="K1427" s="100">
        <f t="shared" si="189"/>
        <v>500</v>
      </c>
      <c r="L1427" s="78">
        <v>46142</v>
      </c>
      <c r="M1427" s="103"/>
      <c r="N1427" s="93" t="s">
        <v>534</v>
      </c>
      <c r="O1427" s="94"/>
      <c r="P1427" s="104">
        <f t="shared" si="200"/>
        <v>500</v>
      </c>
      <c r="Q1427" s="104">
        <f t="shared" si="201"/>
        <v>500</v>
      </c>
      <c r="R1427" s="104"/>
      <c r="S1427" s="93" t="s">
        <v>144</v>
      </c>
      <c r="T1427" s="94"/>
      <c r="U1427" s="104">
        <f t="shared" si="202"/>
        <v>500</v>
      </c>
      <c r="V1427" s="104">
        <f t="shared" si="203"/>
        <v>1</v>
      </c>
      <c r="W1427" s="103">
        <f t="shared" si="204"/>
        <v>500</v>
      </c>
      <c r="X1427" s="93" t="s">
        <v>803</v>
      </c>
      <c r="Y1427" s="105" t="s">
        <v>84</v>
      </c>
      <c r="Z1427" s="105" t="s">
        <v>619</v>
      </c>
    </row>
    <row r="1428" spans="1:26" s="105" customFormat="1" ht="15" customHeight="1">
      <c r="A1428" s="99">
        <f t="shared" si="188"/>
        <v>1426</v>
      </c>
      <c r="B1428" s="75" t="s">
        <v>1207</v>
      </c>
      <c r="C1428" s="100" t="str">
        <f>IF($B1428&lt;&gt;"",_xlfn.IFNA(VLOOKUP($B1428,'Node Details'!$B:$U,C$1,0),"Check"),"")</f>
        <v>0000CM402-CM4020104</v>
      </c>
      <c r="D1428" s="100" t="str">
        <f>IF($B1428&lt;&gt;"",_xlfn.IFNA(VLOOKUP($B1428,'Node Details'!$B:$U,D$1,0),"Check"),"")</f>
        <v>CM4</v>
      </c>
      <c r="E1428" s="100" t="str">
        <f>IF($B1428&lt;&gt;"",_xlfn.IFNA(VLOOKUP($B1428,'Node Details'!$B:$U,E$1,0),"Check"),"")</f>
        <v>Airtel</v>
      </c>
      <c r="F1428" s="101">
        <v>46148</v>
      </c>
      <c r="G1428" s="103"/>
      <c r="H1428" s="102" t="s">
        <v>1254</v>
      </c>
      <c r="I1428" s="9">
        <v>1</v>
      </c>
      <c r="J1428" s="9">
        <v>500</v>
      </c>
      <c r="K1428" s="100">
        <f t="shared" si="189"/>
        <v>500</v>
      </c>
      <c r="L1428" s="78">
        <v>46142</v>
      </c>
      <c r="M1428" s="103"/>
      <c r="N1428" s="93" t="s">
        <v>534</v>
      </c>
      <c r="O1428" s="94"/>
      <c r="P1428" s="104">
        <f t="shared" si="200"/>
        <v>500</v>
      </c>
      <c r="Q1428" s="104">
        <f t="shared" si="201"/>
        <v>500</v>
      </c>
      <c r="R1428" s="104"/>
      <c r="S1428" s="93" t="s">
        <v>144</v>
      </c>
      <c r="T1428" s="94"/>
      <c r="U1428" s="104">
        <f t="shared" si="202"/>
        <v>500</v>
      </c>
      <c r="V1428" s="104">
        <f t="shared" si="203"/>
        <v>1</v>
      </c>
      <c r="W1428" s="103">
        <f t="shared" si="204"/>
        <v>500</v>
      </c>
      <c r="X1428" s="93" t="s">
        <v>803</v>
      </c>
      <c r="Y1428" s="105" t="s">
        <v>84</v>
      </c>
      <c r="Z1428" s="105" t="s">
        <v>619</v>
      </c>
    </row>
    <row r="1429" spans="1:26" s="105" customFormat="1" ht="15" customHeight="1">
      <c r="A1429" s="99">
        <f t="shared" si="188"/>
        <v>1427</v>
      </c>
      <c r="B1429" s="75" t="s">
        <v>1208</v>
      </c>
      <c r="C1429" s="100" t="str">
        <f>IF($B1429&lt;&gt;"",_xlfn.IFNA(VLOOKUP($B1429,'Node Details'!$B:$U,C$1,0),"Check"),"")</f>
        <v>0000CM402-CM4020104</v>
      </c>
      <c r="D1429" s="100" t="str">
        <f>IF($B1429&lt;&gt;"",_xlfn.IFNA(VLOOKUP($B1429,'Node Details'!$B:$U,D$1,0),"Check"),"")</f>
        <v>CM4</v>
      </c>
      <c r="E1429" s="100" t="str">
        <f>IF($B1429&lt;&gt;"",_xlfn.IFNA(VLOOKUP($B1429,'Node Details'!$B:$U,E$1,0),"Check"),"")</f>
        <v>Airtel</v>
      </c>
      <c r="F1429" s="101">
        <v>46148</v>
      </c>
      <c r="G1429" s="103"/>
      <c r="H1429" s="102" t="s">
        <v>1254</v>
      </c>
      <c r="I1429" s="9">
        <v>1</v>
      </c>
      <c r="J1429" s="9">
        <v>500</v>
      </c>
      <c r="K1429" s="100">
        <f t="shared" si="189"/>
        <v>500</v>
      </c>
      <c r="L1429" s="78">
        <v>46142</v>
      </c>
      <c r="M1429" s="103"/>
      <c r="N1429" s="93" t="s">
        <v>534</v>
      </c>
      <c r="O1429" s="94"/>
      <c r="P1429" s="104">
        <f t="shared" si="200"/>
        <v>500</v>
      </c>
      <c r="Q1429" s="104">
        <f t="shared" si="201"/>
        <v>500</v>
      </c>
      <c r="R1429" s="104"/>
      <c r="S1429" s="93" t="s">
        <v>144</v>
      </c>
      <c r="T1429" s="94"/>
      <c r="U1429" s="104">
        <f t="shared" si="202"/>
        <v>500</v>
      </c>
      <c r="V1429" s="104">
        <f t="shared" si="203"/>
        <v>1</v>
      </c>
      <c r="W1429" s="103">
        <f t="shared" si="204"/>
        <v>500</v>
      </c>
      <c r="X1429" s="93" t="s">
        <v>803</v>
      </c>
      <c r="Y1429" s="105" t="s">
        <v>84</v>
      </c>
      <c r="Z1429" s="105" t="s">
        <v>619</v>
      </c>
    </row>
    <row r="1430" spans="1:26" s="105" customFormat="1" ht="15" customHeight="1">
      <c r="A1430" s="99">
        <f t="shared" si="188"/>
        <v>1428</v>
      </c>
      <c r="B1430" s="75" t="s">
        <v>832</v>
      </c>
      <c r="C1430" s="100" t="str">
        <f>IF($B1430&lt;&gt;"",_xlfn.IFNA(VLOOKUP($B1430,'Node Details'!$B:$U,C$1,0),"Check"),"")</f>
        <v>0000CM402-CM4020105</v>
      </c>
      <c r="D1430" s="100" t="str">
        <f>IF($B1430&lt;&gt;"",_xlfn.IFNA(VLOOKUP($B1430,'Node Details'!$B:$U,D$1,0),"Check"),"")</f>
        <v>CM4</v>
      </c>
      <c r="E1430" s="100" t="str">
        <f>IF($B1430&lt;&gt;"",_xlfn.IFNA(VLOOKUP($B1430,'Node Details'!$B:$U,E$1,0),"Check"),"")</f>
        <v>Airtel</v>
      </c>
      <c r="F1430" s="101">
        <v>46148</v>
      </c>
      <c r="G1430" s="103"/>
      <c r="H1430" s="102" t="s">
        <v>1254</v>
      </c>
      <c r="I1430" s="9">
        <v>1</v>
      </c>
      <c r="J1430" s="9">
        <v>500</v>
      </c>
      <c r="K1430" s="100">
        <f t="shared" si="189"/>
        <v>500</v>
      </c>
      <c r="L1430" s="78">
        <v>46142</v>
      </c>
      <c r="M1430" s="103"/>
      <c r="N1430" s="93" t="s">
        <v>534</v>
      </c>
      <c r="O1430" s="94"/>
      <c r="P1430" s="104">
        <f t="shared" si="200"/>
        <v>500</v>
      </c>
      <c r="Q1430" s="104">
        <f t="shared" si="201"/>
        <v>500</v>
      </c>
      <c r="R1430" s="104"/>
      <c r="S1430" s="93" t="s">
        <v>144</v>
      </c>
      <c r="T1430" s="94"/>
      <c r="U1430" s="104">
        <f t="shared" si="202"/>
        <v>500</v>
      </c>
      <c r="V1430" s="104">
        <f t="shared" si="203"/>
        <v>1</v>
      </c>
      <c r="W1430" s="103">
        <f t="shared" si="204"/>
        <v>500</v>
      </c>
      <c r="X1430" s="93" t="s">
        <v>803</v>
      </c>
      <c r="Y1430" s="105" t="s">
        <v>84</v>
      </c>
      <c r="Z1430" s="105" t="s">
        <v>619</v>
      </c>
    </row>
    <row r="1431" spans="1:26" s="105" customFormat="1" ht="15" customHeight="1">
      <c r="A1431" s="99">
        <f t="shared" si="188"/>
        <v>1429</v>
      </c>
      <c r="B1431" s="75" t="s">
        <v>1209</v>
      </c>
      <c r="C1431" s="100" t="str">
        <f>IF($B1431&lt;&gt;"",_xlfn.IFNA(VLOOKUP($B1431,'Node Details'!$B:$U,C$1,0),"Check"),"")</f>
        <v>0000CM402-CM4020108</v>
      </c>
      <c r="D1431" s="100" t="str">
        <f>IF($B1431&lt;&gt;"",_xlfn.IFNA(VLOOKUP($B1431,'Node Details'!$B:$U,D$1,0),"Check"),"")</f>
        <v>CM4</v>
      </c>
      <c r="E1431" s="100" t="str">
        <f>IF($B1431&lt;&gt;"",_xlfn.IFNA(VLOOKUP($B1431,'Node Details'!$B:$U,E$1,0),"Check"),"")</f>
        <v>Airtel</v>
      </c>
      <c r="F1431" s="101">
        <v>46148</v>
      </c>
      <c r="G1431" s="103"/>
      <c r="H1431" s="102" t="s">
        <v>1254</v>
      </c>
      <c r="I1431" s="9">
        <v>1</v>
      </c>
      <c r="J1431" s="9">
        <v>500</v>
      </c>
      <c r="K1431" s="100">
        <f t="shared" si="189"/>
        <v>500</v>
      </c>
      <c r="L1431" s="78">
        <v>46142</v>
      </c>
      <c r="M1431" s="103"/>
      <c r="N1431" s="93" t="s">
        <v>534</v>
      </c>
      <c r="O1431" s="94"/>
      <c r="P1431" s="104">
        <f t="shared" si="200"/>
        <v>500</v>
      </c>
      <c r="Q1431" s="104">
        <f t="shared" si="201"/>
        <v>500</v>
      </c>
      <c r="R1431" s="104"/>
      <c r="S1431" s="93" t="s">
        <v>144</v>
      </c>
      <c r="T1431" s="94"/>
      <c r="U1431" s="104">
        <f t="shared" si="202"/>
        <v>500</v>
      </c>
      <c r="V1431" s="104">
        <f t="shared" si="203"/>
        <v>1</v>
      </c>
      <c r="W1431" s="103">
        <f t="shared" si="204"/>
        <v>500</v>
      </c>
      <c r="X1431" s="93" t="s">
        <v>803</v>
      </c>
      <c r="Y1431" s="105" t="s">
        <v>84</v>
      </c>
      <c r="Z1431" s="105" t="s">
        <v>619</v>
      </c>
    </row>
    <row r="1432" spans="1:26" s="105" customFormat="1" ht="15" customHeight="1">
      <c r="A1432" s="99">
        <f t="shared" si="188"/>
        <v>1430</v>
      </c>
      <c r="B1432" s="75" t="s">
        <v>1210</v>
      </c>
      <c r="C1432" s="100" t="str">
        <f>IF($B1432&lt;&gt;"",_xlfn.IFNA(VLOOKUP($B1432,'Node Details'!$B:$U,C$1,0),"Check"),"")</f>
        <v>0000CM402-CM4020108</v>
      </c>
      <c r="D1432" s="100" t="str">
        <f>IF($B1432&lt;&gt;"",_xlfn.IFNA(VLOOKUP($B1432,'Node Details'!$B:$U,D$1,0),"Check"),"")</f>
        <v>CM4</v>
      </c>
      <c r="E1432" s="100" t="str">
        <f>IF($B1432&lt;&gt;"",_xlfn.IFNA(VLOOKUP($B1432,'Node Details'!$B:$U,E$1,0),"Check"),"")</f>
        <v>Airtel</v>
      </c>
      <c r="F1432" s="101">
        <v>46148</v>
      </c>
      <c r="G1432" s="103"/>
      <c r="H1432" s="102" t="s">
        <v>1254</v>
      </c>
      <c r="I1432" s="9">
        <v>1</v>
      </c>
      <c r="J1432" s="9">
        <v>500</v>
      </c>
      <c r="K1432" s="100">
        <f t="shared" si="189"/>
        <v>500</v>
      </c>
      <c r="L1432" s="78">
        <v>46142</v>
      </c>
      <c r="M1432" s="103"/>
      <c r="N1432" s="93" t="s">
        <v>534</v>
      </c>
      <c r="O1432" s="94"/>
      <c r="P1432" s="104">
        <f t="shared" si="200"/>
        <v>500</v>
      </c>
      <c r="Q1432" s="104">
        <f t="shared" si="201"/>
        <v>500</v>
      </c>
      <c r="R1432" s="104"/>
      <c r="S1432" s="93" t="s">
        <v>144</v>
      </c>
      <c r="T1432" s="94"/>
      <c r="U1432" s="104">
        <f t="shared" si="202"/>
        <v>500</v>
      </c>
      <c r="V1432" s="104">
        <f t="shared" si="203"/>
        <v>1</v>
      </c>
      <c r="W1432" s="103">
        <f t="shared" si="204"/>
        <v>500</v>
      </c>
      <c r="X1432" s="93" t="s">
        <v>803</v>
      </c>
      <c r="Y1432" s="105" t="s">
        <v>84</v>
      </c>
      <c r="Z1432" s="105" t="s">
        <v>619</v>
      </c>
    </row>
    <row r="1433" spans="1:26" s="105" customFormat="1" ht="15" customHeight="1">
      <c r="A1433" s="99">
        <f t="shared" si="188"/>
        <v>1431</v>
      </c>
      <c r="B1433" s="75" t="s">
        <v>834</v>
      </c>
      <c r="C1433" s="100" t="str">
        <f>IF($B1433&lt;&gt;"",_xlfn.IFNA(VLOOKUP($B1433,'Node Details'!$B:$U,C$1,0),"Check"),"")</f>
        <v>0000CM402-CM4020108</v>
      </c>
      <c r="D1433" s="100" t="str">
        <f>IF($B1433&lt;&gt;"",_xlfn.IFNA(VLOOKUP($B1433,'Node Details'!$B:$U,D$1,0),"Check"),"")</f>
        <v>CM4</v>
      </c>
      <c r="E1433" s="100" t="str">
        <f>IF($B1433&lt;&gt;"",_xlfn.IFNA(VLOOKUP($B1433,'Node Details'!$B:$U,E$1,0),"Check"),"")</f>
        <v>Airtel</v>
      </c>
      <c r="F1433" s="101">
        <v>46148</v>
      </c>
      <c r="G1433" s="103"/>
      <c r="H1433" s="102" t="s">
        <v>1254</v>
      </c>
      <c r="I1433" s="9">
        <v>1</v>
      </c>
      <c r="J1433" s="9">
        <v>500</v>
      </c>
      <c r="K1433" s="100">
        <f t="shared" si="189"/>
        <v>500</v>
      </c>
      <c r="L1433" s="78">
        <v>46142</v>
      </c>
      <c r="M1433" s="103"/>
      <c r="N1433" s="93" t="s">
        <v>534</v>
      </c>
      <c r="O1433" s="94"/>
      <c r="P1433" s="104">
        <f t="shared" si="200"/>
        <v>500</v>
      </c>
      <c r="Q1433" s="104">
        <f t="shared" si="201"/>
        <v>500</v>
      </c>
      <c r="R1433" s="104"/>
      <c r="S1433" s="93" t="s">
        <v>144</v>
      </c>
      <c r="T1433" s="94"/>
      <c r="U1433" s="104">
        <f t="shared" si="202"/>
        <v>500</v>
      </c>
      <c r="V1433" s="104">
        <f t="shared" si="203"/>
        <v>1</v>
      </c>
      <c r="W1433" s="103">
        <f t="shared" si="204"/>
        <v>500</v>
      </c>
      <c r="X1433" s="93" t="s">
        <v>803</v>
      </c>
      <c r="Y1433" s="105" t="s">
        <v>84</v>
      </c>
      <c r="Z1433" s="105" t="s">
        <v>619</v>
      </c>
    </row>
    <row r="1434" spans="1:26" s="105" customFormat="1" ht="15" customHeight="1">
      <c r="A1434" s="99">
        <f t="shared" si="188"/>
        <v>1432</v>
      </c>
      <c r="B1434" s="75" t="s">
        <v>830</v>
      </c>
      <c r="C1434" s="100" t="str">
        <f>IF($B1434&lt;&gt;"",_xlfn.IFNA(VLOOKUP($B1434,'Node Details'!$B:$U,C$1,0),"Check"),"")</f>
        <v>0000CM402-CM4020104</v>
      </c>
      <c r="D1434" s="100" t="str">
        <f>IF($B1434&lt;&gt;"",_xlfn.IFNA(VLOOKUP($B1434,'Node Details'!$B:$U,D$1,0),"Check"),"")</f>
        <v>CM4</v>
      </c>
      <c r="E1434" s="100" t="str">
        <f>IF($B1434&lt;&gt;"",_xlfn.IFNA(VLOOKUP($B1434,'Node Details'!$B:$U,E$1,0),"Check"),"")</f>
        <v>Airtel</v>
      </c>
      <c r="F1434" s="101">
        <v>46148</v>
      </c>
      <c r="G1434" s="103"/>
      <c r="H1434" s="102" t="s">
        <v>1254</v>
      </c>
      <c r="I1434" s="9">
        <v>1</v>
      </c>
      <c r="J1434" s="9">
        <v>500</v>
      </c>
      <c r="K1434" s="100">
        <f t="shared" si="189"/>
        <v>500</v>
      </c>
      <c r="L1434" s="78">
        <v>46142</v>
      </c>
      <c r="M1434" s="103"/>
      <c r="N1434" s="93" t="s">
        <v>534</v>
      </c>
      <c r="O1434" s="94"/>
      <c r="P1434" s="104">
        <f t="shared" si="200"/>
        <v>500</v>
      </c>
      <c r="Q1434" s="104">
        <f t="shared" si="201"/>
        <v>500</v>
      </c>
      <c r="R1434" s="104"/>
      <c r="S1434" s="93" t="s">
        <v>144</v>
      </c>
      <c r="T1434" s="94"/>
      <c r="U1434" s="104">
        <f t="shared" si="202"/>
        <v>500</v>
      </c>
      <c r="V1434" s="104">
        <f t="shared" si="203"/>
        <v>1</v>
      </c>
      <c r="W1434" s="103">
        <f t="shared" si="204"/>
        <v>500</v>
      </c>
      <c r="X1434" s="93" t="s">
        <v>803</v>
      </c>
      <c r="Y1434" s="105" t="s">
        <v>84</v>
      </c>
      <c r="Z1434" s="105" t="s">
        <v>619</v>
      </c>
    </row>
    <row r="1435" spans="1:26" s="105" customFormat="1" ht="15" customHeight="1">
      <c r="A1435" s="99">
        <f t="shared" si="188"/>
        <v>1433</v>
      </c>
      <c r="B1435" s="75" t="s">
        <v>836</v>
      </c>
      <c r="C1435" s="100" t="str">
        <f>IF($B1435&lt;&gt;"",_xlfn.IFNA(VLOOKUP($B1435,'Node Details'!$B:$U,C$1,0),"Check"),"")</f>
        <v>0000CM403-CM4030101</v>
      </c>
      <c r="D1435" s="100" t="str">
        <f>IF($B1435&lt;&gt;"",_xlfn.IFNA(VLOOKUP($B1435,'Node Details'!$B:$U,D$1,0),"Check"),"")</f>
        <v>CM4</v>
      </c>
      <c r="E1435" s="100" t="str">
        <f>IF($B1435&lt;&gt;"",_xlfn.IFNA(VLOOKUP($B1435,'Node Details'!$B:$U,E$1,0),"Check"),"")</f>
        <v>Airtel</v>
      </c>
      <c r="F1435" s="101">
        <v>46148</v>
      </c>
      <c r="G1435" s="103"/>
      <c r="H1435" s="102" t="s">
        <v>1254</v>
      </c>
      <c r="I1435" s="9">
        <v>1</v>
      </c>
      <c r="J1435" s="9">
        <v>500</v>
      </c>
      <c r="K1435" s="100">
        <f t="shared" si="189"/>
        <v>500</v>
      </c>
      <c r="L1435" s="78">
        <v>46142</v>
      </c>
      <c r="M1435" s="103"/>
      <c r="N1435" s="93" t="s">
        <v>534</v>
      </c>
      <c r="O1435" s="94"/>
      <c r="P1435" s="104">
        <f t="shared" si="200"/>
        <v>500</v>
      </c>
      <c r="Q1435" s="104">
        <f t="shared" si="201"/>
        <v>500</v>
      </c>
      <c r="R1435" s="104"/>
      <c r="S1435" s="93" t="s">
        <v>144</v>
      </c>
      <c r="T1435" s="94"/>
      <c r="U1435" s="104">
        <f t="shared" si="202"/>
        <v>500</v>
      </c>
      <c r="V1435" s="104">
        <f t="shared" si="203"/>
        <v>1</v>
      </c>
      <c r="W1435" s="103">
        <f t="shared" si="204"/>
        <v>500</v>
      </c>
      <c r="X1435" s="93" t="s">
        <v>803</v>
      </c>
      <c r="Y1435" s="105" t="s">
        <v>84</v>
      </c>
      <c r="Z1435" s="105" t="s">
        <v>619</v>
      </c>
    </row>
    <row r="1436" spans="1:26" s="105" customFormat="1" ht="15" customHeight="1">
      <c r="A1436" s="99">
        <f t="shared" si="188"/>
        <v>1434</v>
      </c>
      <c r="B1436" s="75" t="s">
        <v>1211</v>
      </c>
      <c r="C1436" s="100" t="str">
        <f>IF($B1436&lt;&gt;"",_xlfn.IFNA(VLOOKUP($B1436,'Node Details'!$B:$U,C$1,0),"Check"),"")</f>
        <v>0000CM403-CM4030103</v>
      </c>
      <c r="D1436" s="100" t="str">
        <f>IF($B1436&lt;&gt;"",_xlfn.IFNA(VLOOKUP($B1436,'Node Details'!$B:$U,D$1,0),"Check"),"")</f>
        <v>CM4</v>
      </c>
      <c r="E1436" s="100" t="str">
        <f>IF($B1436&lt;&gt;"",_xlfn.IFNA(VLOOKUP($B1436,'Node Details'!$B:$U,E$1,0),"Check"),"")</f>
        <v>Airtel</v>
      </c>
      <c r="F1436" s="101">
        <v>46148</v>
      </c>
      <c r="G1436" s="103"/>
      <c r="H1436" s="102" t="s">
        <v>1254</v>
      </c>
      <c r="I1436" s="9">
        <v>1</v>
      </c>
      <c r="J1436" s="9">
        <v>500</v>
      </c>
      <c r="K1436" s="100">
        <f t="shared" si="189"/>
        <v>500</v>
      </c>
      <c r="L1436" s="78">
        <v>46142</v>
      </c>
      <c r="M1436" s="103"/>
      <c r="N1436" s="93" t="s">
        <v>534</v>
      </c>
      <c r="O1436" s="94"/>
      <c r="P1436" s="104">
        <f t="shared" si="200"/>
        <v>500</v>
      </c>
      <c r="Q1436" s="104">
        <f t="shared" si="201"/>
        <v>500</v>
      </c>
      <c r="R1436" s="104"/>
      <c r="S1436" s="93" t="s">
        <v>144</v>
      </c>
      <c r="T1436" s="94"/>
      <c r="U1436" s="104">
        <f t="shared" si="202"/>
        <v>500</v>
      </c>
      <c r="V1436" s="104">
        <f t="shared" si="203"/>
        <v>1</v>
      </c>
      <c r="W1436" s="103">
        <f t="shared" si="204"/>
        <v>500</v>
      </c>
      <c r="X1436" s="93" t="s">
        <v>803</v>
      </c>
      <c r="Y1436" s="105" t="s">
        <v>84</v>
      </c>
      <c r="Z1436" s="105" t="s">
        <v>619</v>
      </c>
    </row>
    <row r="1437" spans="1:26" s="105" customFormat="1" ht="15" customHeight="1">
      <c r="A1437" s="99">
        <f t="shared" si="188"/>
        <v>1435</v>
      </c>
      <c r="B1437" s="75" t="s">
        <v>838</v>
      </c>
      <c r="C1437" s="100" t="str">
        <f>IF($B1437&lt;&gt;"",_xlfn.IFNA(VLOOKUP($B1437,'Node Details'!$B:$U,C$1,0),"Check"),"")</f>
        <v>0000CM403-CM4030103</v>
      </c>
      <c r="D1437" s="100" t="str">
        <f>IF($B1437&lt;&gt;"",_xlfn.IFNA(VLOOKUP($B1437,'Node Details'!$B:$U,D$1,0),"Check"),"")</f>
        <v>CM4</v>
      </c>
      <c r="E1437" s="100" t="str">
        <f>IF($B1437&lt;&gt;"",_xlfn.IFNA(VLOOKUP($B1437,'Node Details'!$B:$U,E$1,0),"Check"),"")</f>
        <v>Airtel</v>
      </c>
      <c r="F1437" s="101">
        <v>46148</v>
      </c>
      <c r="G1437" s="103"/>
      <c r="H1437" s="102" t="s">
        <v>1254</v>
      </c>
      <c r="I1437" s="9">
        <v>1</v>
      </c>
      <c r="J1437" s="9">
        <v>500</v>
      </c>
      <c r="K1437" s="100">
        <f t="shared" si="189"/>
        <v>500</v>
      </c>
      <c r="L1437" s="78">
        <v>46142</v>
      </c>
      <c r="M1437" s="103"/>
      <c r="N1437" s="93" t="s">
        <v>534</v>
      </c>
      <c r="O1437" s="94"/>
      <c r="P1437" s="104">
        <f t="shared" si="200"/>
        <v>500</v>
      </c>
      <c r="Q1437" s="104">
        <f t="shared" si="201"/>
        <v>500</v>
      </c>
      <c r="R1437" s="104"/>
      <c r="S1437" s="93" t="s">
        <v>144</v>
      </c>
      <c r="T1437" s="94"/>
      <c r="U1437" s="104">
        <f t="shared" si="202"/>
        <v>500</v>
      </c>
      <c r="V1437" s="104">
        <f t="shared" si="203"/>
        <v>1</v>
      </c>
      <c r="W1437" s="103">
        <f t="shared" si="204"/>
        <v>500</v>
      </c>
      <c r="X1437" s="93" t="s">
        <v>803</v>
      </c>
      <c r="Y1437" s="105" t="s">
        <v>84</v>
      </c>
      <c r="Z1437" s="105" t="s">
        <v>619</v>
      </c>
    </row>
    <row r="1438" spans="1:26" s="105" customFormat="1" ht="15" customHeight="1">
      <c r="A1438" s="99">
        <f t="shared" si="188"/>
        <v>1436</v>
      </c>
      <c r="B1438" s="75" t="s">
        <v>1212</v>
      </c>
      <c r="C1438" s="100" t="str">
        <f>IF($B1438&lt;&gt;"",_xlfn.IFNA(VLOOKUP($B1438,'Node Details'!$B:$U,C$1,0),"Check"),"")</f>
        <v>0000CM403-CM4030108</v>
      </c>
      <c r="D1438" s="100" t="str">
        <f>IF($B1438&lt;&gt;"",_xlfn.IFNA(VLOOKUP($B1438,'Node Details'!$B:$U,D$1,0),"Check"),"")</f>
        <v>CM4</v>
      </c>
      <c r="E1438" s="100" t="str">
        <f>IF($B1438&lt;&gt;"",_xlfn.IFNA(VLOOKUP($B1438,'Node Details'!$B:$U,E$1,0),"Check"),"")</f>
        <v>Airtel</v>
      </c>
      <c r="F1438" s="101">
        <v>46148</v>
      </c>
      <c r="G1438" s="103"/>
      <c r="H1438" s="102" t="s">
        <v>1254</v>
      </c>
      <c r="I1438" s="9">
        <v>1</v>
      </c>
      <c r="J1438" s="9">
        <v>500</v>
      </c>
      <c r="K1438" s="100">
        <f t="shared" si="189"/>
        <v>500</v>
      </c>
      <c r="L1438" s="78">
        <v>46142</v>
      </c>
      <c r="M1438" s="103"/>
      <c r="N1438" s="93" t="s">
        <v>534</v>
      </c>
      <c r="O1438" s="94"/>
      <c r="P1438" s="104">
        <f t="shared" si="200"/>
        <v>500</v>
      </c>
      <c r="Q1438" s="104">
        <f t="shared" si="201"/>
        <v>500</v>
      </c>
      <c r="R1438" s="104"/>
      <c r="S1438" s="93" t="s">
        <v>144</v>
      </c>
      <c r="T1438" s="94"/>
      <c r="U1438" s="104">
        <f t="shared" si="202"/>
        <v>500</v>
      </c>
      <c r="V1438" s="104">
        <f t="shared" si="203"/>
        <v>1</v>
      </c>
      <c r="W1438" s="103">
        <f t="shared" si="204"/>
        <v>500</v>
      </c>
      <c r="X1438" s="93" t="s">
        <v>803</v>
      </c>
      <c r="Y1438" s="105" t="s">
        <v>84</v>
      </c>
      <c r="Z1438" s="105" t="s">
        <v>619</v>
      </c>
    </row>
    <row r="1439" spans="1:26" s="105" customFormat="1" ht="15" customHeight="1">
      <c r="A1439" s="99">
        <f t="shared" si="188"/>
        <v>1437</v>
      </c>
      <c r="B1439" s="75" t="s">
        <v>1213</v>
      </c>
      <c r="C1439" s="100" t="str">
        <f>IF($B1439&lt;&gt;"",_xlfn.IFNA(VLOOKUP($B1439,'Node Details'!$B:$U,C$1,0),"Check"),"")</f>
        <v>0000CM403-CM4030108</v>
      </c>
      <c r="D1439" s="100" t="str">
        <f>IF($B1439&lt;&gt;"",_xlfn.IFNA(VLOOKUP($B1439,'Node Details'!$B:$U,D$1,0),"Check"),"")</f>
        <v>CM4</v>
      </c>
      <c r="E1439" s="100" t="str">
        <f>IF($B1439&lt;&gt;"",_xlfn.IFNA(VLOOKUP($B1439,'Node Details'!$B:$U,E$1,0),"Check"),"")</f>
        <v>Airtel</v>
      </c>
      <c r="F1439" s="101">
        <v>46148</v>
      </c>
      <c r="G1439" s="103"/>
      <c r="H1439" s="102" t="s">
        <v>1254</v>
      </c>
      <c r="I1439" s="9">
        <v>1</v>
      </c>
      <c r="J1439" s="9">
        <v>500</v>
      </c>
      <c r="K1439" s="100">
        <f t="shared" si="189"/>
        <v>500</v>
      </c>
      <c r="L1439" s="78">
        <v>46142</v>
      </c>
      <c r="M1439" s="103"/>
      <c r="N1439" s="93" t="s">
        <v>534</v>
      </c>
      <c r="O1439" s="94"/>
      <c r="P1439" s="104">
        <f t="shared" si="200"/>
        <v>500</v>
      </c>
      <c r="Q1439" s="104">
        <f t="shared" si="201"/>
        <v>500</v>
      </c>
      <c r="R1439" s="104"/>
      <c r="S1439" s="93" t="s">
        <v>144</v>
      </c>
      <c r="T1439" s="94"/>
      <c r="U1439" s="104">
        <f t="shared" si="202"/>
        <v>500</v>
      </c>
      <c r="V1439" s="104">
        <f t="shared" si="203"/>
        <v>1</v>
      </c>
      <c r="W1439" s="103">
        <f t="shared" si="204"/>
        <v>500</v>
      </c>
      <c r="X1439" s="93" t="s">
        <v>803</v>
      </c>
      <c r="Y1439" s="105" t="s">
        <v>84</v>
      </c>
      <c r="Z1439" s="105" t="s">
        <v>619</v>
      </c>
    </row>
    <row r="1440" spans="1:26" s="105" customFormat="1" ht="15" customHeight="1">
      <c r="A1440" s="99">
        <f t="shared" si="188"/>
        <v>1438</v>
      </c>
      <c r="B1440" s="75" t="s">
        <v>840</v>
      </c>
      <c r="C1440" s="100" t="str">
        <f>IF($B1440&lt;&gt;"",_xlfn.IFNA(VLOOKUP($B1440,'Node Details'!$B:$U,C$1,0),"Check"),"")</f>
        <v>0000CM403-CM4030108</v>
      </c>
      <c r="D1440" s="100" t="str">
        <f>IF($B1440&lt;&gt;"",_xlfn.IFNA(VLOOKUP($B1440,'Node Details'!$B:$U,D$1,0),"Check"),"")</f>
        <v>CM4</v>
      </c>
      <c r="E1440" s="100" t="str">
        <f>IF($B1440&lt;&gt;"",_xlfn.IFNA(VLOOKUP($B1440,'Node Details'!$B:$U,E$1,0),"Check"),"")</f>
        <v>Airtel</v>
      </c>
      <c r="F1440" s="101">
        <v>46148</v>
      </c>
      <c r="G1440" s="103"/>
      <c r="H1440" s="102" t="s">
        <v>1254</v>
      </c>
      <c r="I1440" s="9">
        <v>1</v>
      </c>
      <c r="J1440" s="9">
        <v>500</v>
      </c>
      <c r="K1440" s="100">
        <f t="shared" si="189"/>
        <v>500</v>
      </c>
      <c r="L1440" s="78">
        <v>46142</v>
      </c>
      <c r="M1440" s="103"/>
      <c r="N1440" s="93" t="s">
        <v>534</v>
      </c>
      <c r="O1440" s="94"/>
      <c r="P1440" s="104">
        <f t="shared" si="200"/>
        <v>500</v>
      </c>
      <c r="Q1440" s="104">
        <f t="shared" si="201"/>
        <v>500</v>
      </c>
      <c r="R1440" s="104"/>
      <c r="S1440" s="93" t="s">
        <v>144</v>
      </c>
      <c r="T1440" s="94"/>
      <c r="U1440" s="104">
        <f t="shared" si="202"/>
        <v>500</v>
      </c>
      <c r="V1440" s="104">
        <f t="shared" si="203"/>
        <v>1</v>
      </c>
      <c r="W1440" s="103">
        <f t="shared" si="204"/>
        <v>500</v>
      </c>
      <c r="X1440" s="93" t="s">
        <v>803</v>
      </c>
      <c r="Y1440" s="105" t="s">
        <v>84</v>
      </c>
      <c r="Z1440" s="105" t="s">
        <v>619</v>
      </c>
    </row>
    <row r="1441" spans="1:26" s="105" customFormat="1" ht="15" customHeight="1">
      <c r="A1441" s="99">
        <f t="shared" si="188"/>
        <v>1439</v>
      </c>
      <c r="B1441" s="75" t="s">
        <v>1214</v>
      </c>
      <c r="C1441" s="100" t="str">
        <f>IF($B1441&lt;&gt;"",_xlfn.IFNA(VLOOKUP($B1441,'Node Details'!$B:$U,C$1,0),"Check"),"")</f>
        <v>0000CM404-CM4040105</v>
      </c>
      <c r="D1441" s="100" t="str">
        <f>IF($B1441&lt;&gt;"",_xlfn.IFNA(VLOOKUP($B1441,'Node Details'!$B:$U,D$1,0),"Check"),"")</f>
        <v>CM4</v>
      </c>
      <c r="E1441" s="100" t="str">
        <f>IF($B1441&lt;&gt;"",_xlfn.IFNA(VLOOKUP($B1441,'Node Details'!$B:$U,E$1,0),"Check"),"")</f>
        <v>Airtel</v>
      </c>
      <c r="F1441" s="101">
        <v>46148</v>
      </c>
      <c r="G1441" s="103"/>
      <c r="H1441" s="102" t="s">
        <v>1254</v>
      </c>
      <c r="I1441" s="9">
        <v>1</v>
      </c>
      <c r="J1441" s="9">
        <v>500</v>
      </c>
      <c r="K1441" s="100">
        <f t="shared" si="189"/>
        <v>500</v>
      </c>
      <c r="L1441" s="78">
        <v>46142</v>
      </c>
      <c r="M1441" s="103"/>
      <c r="N1441" s="93" t="s">
        <v>534</v>
      </c>
      <c r="O1441" s="94"/>
      <c r="P1441" s="104">
        <f t="shared" si="200"/>
        <v>500</v>
      </c>
      <c r="Q1441" s="104">
        <f t="shared" si="201"/>
        <v>500</v>
      </c>
      <c r="R1441" s="104"/>
      <c r="S1441" s="93" t="s">
        <v>144</v>
      </c>
      <c r="T1441" s="94"/>
      <c r="U1441" s="104">
        <f t="shared" si="202"/>
        <v>500</v>
      </c>
      <c r="V1441" s="104">
        <f t="shared" si="203"/>
        <v>1</v>
      </c>
      <c r="W1441" s="103">
        <f t="shared" si="204"/>
        <v>500</v>
      </c>
      <c r="X1441" s="93" t="s">
        <v>803</v>
      </c>
      <c r="Y1441" s="105" t="s">
        <v>84</v>
      </c>
      <c r="Z1441" s="105" t="s">
        <v>619</v>
      </c>
    </row>
    <row r="1442" spans="1:26" s="105" customFormat="1" ht="15" customHeight="1">
      <c r="A1442" s="99">
        <f t="shared" si="188"/>
        <v>1440</v>
      </c>
      <c r="B1442" s="75" t="s">
        <v>842</v>
      </c>
      <c r="C1442" s="100" t="str">
        <f>IF($B1442&lt;&gt;"",_xlfn.IFNA(VLOOKUP($B1442,'Node Details'!$B:$U,C$1,0),"Check"),"")</f>
        <v>0000CM404-CM4040105</v>
      </c>
      <c r="D1442" s="100" t="str">
        <f>IF($B1442&lt;&gt;"",_xlfn.IFNA(VLOOKUP($B1442,'Node Details'!$B:$U,D$1,0),"Check"),"")</f>
        <v>CM4</v>
      </c>
      <c r="E1442" s="100" t="str">
        <f>IF($B1442&lt;&gt;"",_xlfn.IFNA(VLOOKUP($B1442,'Node Details'!$B:$U,E$1,0),"Check"),"")</f>
        <v>Airtel</v>
      </c>
      <c r="F1442" s="101">
        <v>46148</v>
      </c>
      <c r="G1442" s="103"/>
      <c r="H1442" s="102" t="s">
        <v>1254</v>
      </c>
      <c r="I1442" s="9">
        <v>1</v>
      </c>
      <c r="J1442" s="9">
        <v>500</v>
      </c>
      <c r="K1442" s="100">
        <f t="shared" si="189"/>
        <v>500</v>
      </c>
      <c r="L1442" s="78">
        <v>46142</v>
      </c>
      <c r="M1442" s="103"/>
      <c r="N1442" s="93" t="s">
        <v>534</v>
      </c>
      <c r="O1442" s="94"/>
      <c r="P1442" s="104">
        <f t="shared" si="200"/>
        <v>500</v>
      </c>
      <c r="Q1442" s="104">
        <f t="shared" si="201"/>
        <v>500</v>
      </c>
      <c r="R1442" s="104"/>
      <c r="S1442" s="93" t="s">
        <v>144</v>
      </c>
      <c r="T1442" s="94"/>
      <c r="U1442" s="104">
        <f t="shared" si="202"/>
        <v>500</v>
      </c>
      <c r="V1442" s="104">
        <f t="shared" si="203"/>
        <v>1</v>
      </c>
      <c r="W1442" s="103">
        <f t="shared" si="204"/>
        <v>500</v>
      </c>
      <c r="X1442" s="93" t="s">
        <v>803</v>
      </c>
      <c r="Y1442" s="105" t="s">
        <v>84</v>
      </c>
      <c r="Z1442" s="105" t="s">
        <v>619</v>
      </c>
    </row>
    <row r="1443" spans="1:26" s="105" customFormat="1" ht="15" customHeight="1">
      <c r="A1443" s="99">
        <f t="shared" si="188"/>
        <v>1441</v>
      </c>
      <c r="B1443" s="75" t="s">
        <v>1215</v>
      </c>
      <c r="C1443" s="100" t="str">
        <f>IF($B1443&lt;&gt;"",_xlfn.IFNA(VLOOKUP($B1443,'Node Details'!$B:$U,C$1,0),"Check"),"")</f>
        <v>0000CM404-CM4040108</v>
      </c>
      <c r="D1443" s="100" t="str">
        <f>IF($B1443&lt;&gt;"",_xlfn.IFNA(VLOOKUP($B1443,'Node Details'!$B:$U,D$1,0),"Check"),"")</f>
        <v>CM4</v>
      </c>
      <c r="E1443" s="100" t="str">
        <f>IF($B1443&lt;&gt;"",_xlfn.IFNA(VLOOKUP($B1443,'Node Details'!$B:$U,E$1,0),"Check"),"")</f>
        <v>Airtel</v>
      </c>
      <c r="F1443" s="101">
        <v>46148</v>
      </c>
      <c r="G1443" s="103"/>
      <c r="H1443" s="102" t="s">
        <v>1254</v>
      </c>
      <c r="I1443" s="9">
        <v>1</v>
      </c>
      <c r="J1443" s="9">
        <v>500</v>
      </c>
      <c r="K1443" s="100">
        <f t="shared" si="189"/>
        <v>500</v>
      </c>
      <c r="L1443" s="78">
        <v>46142</v>
      </c>
      <c r="M1443" s="103"/>
      <c r="N1443" s="93" t="s">
        <v>534</v>
      </c>
      <c r="O1443" s="94"/>
      <c r="P1443" s="104">
        <f t="shared" si="200"/>
        <v>500</v>
      </c>
      <c r="Q1443" s="104">
        <f t="shared" si="201"/>
        <v>500</v>
      </c>
      <c r="R1443" s="104"/>
      <c r="S1443" s="93" t="s">
        <v>144</v>
      </c>
      <c r="T1443" s="94"/>
      <c r="U1443" s="104">
        <f t="shared" si="202"/>
        <v>500</v>
      </c>
      <c r="V1443" s="104">
        <f t="shared" si="203"/>
        <v>1</v>
      </c>
      <c r="W1443" s="103">
        <f t="shared" si="204"/>
        <v>500</v>
      </c>
      <c r="X1443" s="93" t="s">
        <v>803</v>
      </c>
      <c r="Y1443" s="105" t="s">
        <v>84</v>
      </c>
      <c r="Z1443" s="105" t="s">
        <v>619</v>
      </c>
    </row>
    <row r="1444" spans="1:26" s="105" customFormat="1" ht="15" customHeight="1">
      <c r="A1444" s="99">
        <f t="shared" si="188"/>
        <v>1442</v>
      </c>
      <c r="B1444" s="75" t="s">
        <v>844</v>
      </c>
      <c r="C1444" s="100" t="str">
        <f>IF($B1444&lt;&gt;"",_xlfn.IFNA(VLOOKUP($B1444,'Node Details'!$B:$U,C$1,0),"Check"),"")</f>
        <v>0000CM404-CM4040108</v>
      </c>
      <c r="D1444" s="100" t="str">
        <f>IF($B1444&lt;&gt;"",_xlfn.IFNA(VLOOKUP($B1444,'Node Details'!$B:$U,D$1,0),"Check"),"")</f>
        <v>CM4</v>
      </c>
      <c r="E1444" s="100" t="str">
        <f>IF($B1444&lt;&gt;"",_xlfn.IFNA(VLOOKUP($B1444,'Node Details'!$B:$U,E$1,0),"Check"),"")</f>
        <v>Airtel</v>
      </c>
      <c r="F1444" s="101">
        <v>46148</v>
      </c>
      <c r="G1444" s="103"/>
      <c r="H1444" s="102" t="s">
        <v>1254</v>
      </c>
      <c r="I1444" s="9">
        <v>1</v>
      </c>
      <c r="J1444" s="9">
        <v>500</v>
      </c>
      <c r="K1444" s="100">
        <f t="shared" si="189"/>
        <v>500</v>
      </c>
      <c r="L1444" s="78">
        <v>46142</v>
      </c>
      <c r="M1444" s="103"/>
      <c r="N1444" s="93" t="s">
        <v>534</v>
      </c>
      <c r="O1444" s="94"/>
      <c r="P1444" s="104">
        <f t="shared" si="200"/>
        <v>500</v>
      </c>
      <c r="Q1444" s="104">
        <f t="shared" si="201"/>
        <v>500</v>
      </c>
      <c r="R1444" s="104"/>
      <c r="S1444" s="93" t="s">
        <v>144</v>
      </c>
      <c r="T1444" s="94"/>
      <c r="U1444" s="104">
        <f t="shared" si="202"/>
        <v>500</v>
      </c>
      <c r="V1444" s="104">
        <f t="shared" si="203"/>
        <v>1</v>
      </c>
      <c r="W1444" s="103">
        <f t="shared" si="204"/>
        <v>500</v>
      </c>
      <c r="X1444" s="93" t="s">
        <v>803</v>
      </c>
      <c r="Y1444" s="105" t="s">
        <v>84</v>
      </c>
      <c r="Z1444" s="105" t="s">
        <v>619</v>
      </c>
    </row>
    <row r="1445" spans="1:26" s="105" customFormat="1" ht="15" customHeight="1">
      <c r="A1445" s="99">
        <f t="shared" si="188"/>
        <v>1443</v>
      </c>
      <c r="B1445" s="75" t="s">
        <v>1216</v>
      </c>
      <c r="C1445" s="100" t="str">
        <f>IF($B1445&lt;&gt;"",_xlfn.IFNA(VLOOKUP($B1445,'Node Details'!$B:$U,C$1,0),"Check"),"")</f>
        <v>0000CM408-CM4080104</v>
      </c>
      <c r="D1445" s="100" t="str">
        <f>IF($B1445&lt;&gt;"",_xlfn.IFNA(VLOOKUP($B1445,'Node Details'!$B:$U,D$1,0),"Check"),"")</f>
        <v>CM4</v>
      </c>
      <c r="E1445" s="100" t="str">
        <f>IF($B1445&lt;&gt;"",_xlfn.IFNA(VLOOKUP($B1445,'Node Details'!$B:$U,E$1,0),"Check"),"")</f>
        <v>Airtel</v>
      </c>
      <c r="F1445" s="101">
        <v>46148</v>
      </c>
      <c r="G1445" s="103"/>
      <c r="H1445" s="102" t="s">
        <v>1254</v>
      </c>
      <c r="I1445" s="9">
        <v>1</v>
      </c>
      <c r="J1445" s="9">
        <v>500</v>
      </c>
      <c r="K1445" s="100">
        <f t="shared" si="189"/>
        <v>500</v>
      </c>
      <c r="L1445" s="78">
        <v>46142</v>
      </c>
      <c r="M1445" s="103"/>
      <c r="N1445" s="93" t="s">
        <v>534</v>
      </c>
      <c r="O1445" s="94"/>
      <c r="P1445" s="104">
        <f t="shared" si="200"/>
        <v>500</v>
      </c>
      <c r="Q1445" s="104">
        <f t="shared" si="201"/>
        <v>500</v>
      </c>
      <c r="R1445" s="104"/>
      <c r="S1445" s="93" t="s">
        <v>144</v>
      </c>
      <c r="T1445" s="94"/>
      <c r="U1445" s="104">
        <f t="shared" si="202"/>
        <v>500</v>
      </c>
      <c r="V1445" s="104">
        <f t="shared" si="203"/>
        <v>1</v>
      </c>
      <c r="W1445" s="103">
        <f t="shared" si="204"/>
        <v>500</v>
      </c>
      <c r="X1445" s="93" t="s">
        <v>803</v>
      </c>
      <c r="Y1445" s="105" t="s">
        <v>84</v>
      </c>
      <c r="Z1445" s="105" t="s">
        <v>619</v>
      </c>
    </row>
    <row r="1446" spans="1:26" s="105" customFormat="1" ht="15" customHeight="1">
      <c r="A1446" s="99">
        <f t="shared" si="188"/>
        <v>1444</v>
      </c>
      <c r="B1446" s="75" t="s">
        <v>1217</v>
      </c>
      <c r="C1446" s="100" t="str">
        <f>IF($B1446&lt;&gt;"",_xlfn.IFNA(VLOOKUP($B1446,'Node Details'!$B:$U,C$1,0),"Check"),"")</f>
        <v>0000CM408-CM4080104</v>
      </c>
      <c r="D1446" s="100" t="str">
        <f>IF($B1446&lt;&gt;"",_xlfn.IFNA(VLOOKUP($B1446,'Node Details'!$B:$U,D$1,0),"Check"),"")</f>
        <v>CM4</v>
      </c>
      <c r="E1446" s="100" t="str">
        <f>IF($B1446&lt;&gt;"",_xlfn.IFNA(VLOOKUP($B1446,'Node Details'!$B:$U,E$1,0),"Check"),"")</f>
        <v>Airtel</v>
      </c>
      <c r="F1446" s="101">
        <v>46148</v>
      </c>
      <c r="G1446" s="103"/>
      <c r="H1446" s="102" t="s">
        <v>1254</v>
      </c>
      <c r="I1446" s="9">
        <v>1</v>
      </c>
      <c r="J1446" s="9">
        <v>500</v>
      </c>
      <c r="K1446" s="100">
        <f t="shared" si="189"/>
        <v>500</v>
      </c>
      <c r="L1446" s="78">
        <v>46142</v>
      </c>
      <c r="M1446" s="103"/>
      <c r="N1446" s="93" t="s">
        <v>534</v>
      </c>
      <c r="O1446" s="94"/>
      <c r="P1446" s="104">
        <f t="shared" si="200"/>
        <v>500</v>
      </c>
      <c r="Q1446" s="104">
        <f t="shared" si="201"/>
        <v>500</v>
      </c>
      <c r="R1446" s="104"/>
      <c r="S1446" s="93" t="s">
        <v>144</v>
      </c>
      <c r="T1446" s="94"/>
      <c r="U1446" s="104">
        <f t="shared" si="202"/>
        <v>500</v>
      </c>
      <c r="V1446" s="104">
        <f t="shared" si="203"/>
        <v>1</v>
      </c>
      <c r="W1446" s="103">
        <f t="shared" si="204"/>
        <v>500</v>
      </c>
      <c r="X1446" s="93" t="s">
        <v>803</v>
      </c>
      <c r="Y1446" s="105" t="s">
        <v>84</v>
      </c>
      <c r="Z1446" s="105" t="s">
        <v>619</v>
      </c>
    </row>
    <row r="1447" spans="1:26" s="105" customFormat="1" ht="15" customHeight="1">
      <c r="A1447" s="99">
        <f t="shared" si="188"/>
        <v>1445</v>
      </c>
      <c r="B1447" s="75" t="s">
        <v>1218</v>
      </c>
      <c r="C1447" s="100" t="str">
        <f>IF($B1447&lt;&gt;"",_xlfn.IFNA(VLOOKUP($B1447,'Node Details'!$B:$U,C$1,0),"Check"),"")</f>
        <v>0000CM408-CM4080104</v>
      </c>
      <c r="D1447" s="100" t="str">
        <f>IF($B1447&lt;&gt;"",_xlfn.IFNA(VLOOKUP($B1447,'Node Details'!$B:$U,D$1,0),"Check"),"")</f>
        <v>CM4</v>
      </c>
      <c r="E1447" s="100" t="str">
        <f>IF($B1447&lt;&gt;"",_xlfn.IFNA(VLOOKUP($B1447,'Node Details'!$B:$U,E$1,0),"Check"),"")</f>
        <v>Airtel</v>
      </c>
      <c r="F1447" s="101">
        <v>46148</v>
      </c>
      <c r="G1447" s="103"/>
      <c r="H1447" s="102" t="s">
        <v>1254</v>
      </c>
      <c r="I1447" s="9">
        <v>1</v>
      </c>
      <c r="J1447" s="9">
        <v>500</v>
      </c>
      <c r="K1447" s="100">
        <f t="shared" si="189"/>
        <v>500</v>
      </c>
      <c r="L1447" s="78">
        <v>46142</v>
      </c>
      <c r="M1447" s="103"/>
      <c r="N1447" s="93" t="s">
        <v>534</v>
      </c>
      <c r="O1447" s="94"/>
      <c r="P1447" s="104">
        <f t="shared" si="200"/>
        <v>500</v>
      </c>
      <c r="Q1447" s="104">
        <f t="shared" si="201"/>
        <v>500</v>
      </c>
      <c r="R1447" s="104"/>
      <c r="S1447" s="93" t="s">
        <v>144</v>
      </c>
      <c r="T1447" s="94"/>
      <c r="U1447" s="104">
        <f t="shared" si="202"/>
        <v>500</v>
      </c>
      <c r="V1447" s="104">
        <f t="shared" si="203"/>
        <v>1</v>
      </c>
      <c r="W1447" s="103">
        <f t="shared" si="204"/>
        <v>500</v>
      </c>
      <c r="X1447" s="93" t="s">
        <v>803</v>
      </c>
      <c r="Y1447" s="105" t="s">
        <v>84</v>
      </c>
      <c r="Z1447" s="105" t="s">
        <v>619</v>
      </c>
    </row>
    <row r="1448" spans="1:26" s="105" customFormat="1" ht="15" customHeight="1">
      <c r="A1448" s="99">
        <f t="shared" si="188"/>
        <v>1446</v>
      </c>
      <c r="B1448" s="75" t="s">
        <v>846</v>
      </c>
      <c r="C1448" s="100" t="str">
        <f>IF($B1448&lt;&gt;"",_xlfn.IFNA(VLOOKUP($B1448,'Node Details'!$B:$U,C$1,0),"Check"),"")</f>
        <v>0000CM408-CM4080104</v>
      </c>
      <c r="D1448" s="100" t="str">
        <f>IF($B1448&lt;&gt;"",_xlfn.IFNA(VLOOKUP($B1448,'Node Details'!$B:$U,D$1,0),"Check"),"")</f>
        <v>CM4</v>
      </c>
      <c r="E1448" s="100" t="str">
        <f>IF($B1448&lt;&gt;"",_xlfn.IFNA(VLOOKUP($B1448,'Node Details'!$B:$U,E$1,0),"Check"),"")</f>
        <v>Airtel</v>
      </c>
      <c r="F1448" s="101">
        <v>46148</v>
      </c>
      <c r="G1448" s="103"/>
      <c r="H1448" s="102" t="s">
        <v>1254</v>
      </c>
      <c r="I1448" s="9">
        <v>1</v>
      </c>
      <c r="J1448" s="9">
        <v>500</v>
      </c>
      <c r="K1448" s="100">
        <f t="shared" si="189"/>
        <v>500</v>
      </c>
      <c r="L1448" s="78">
        <v>46142</v>
      </c>
      <c r="M1448" s="103"/>
      <c r="N1448" s="93" t="s">
        <v>534</v>
      </c>
      <c r="O1448" s="94"/>
      <c r="P1448" s="104">
        <f t="shared" si="200"/>
        <v>500</v>
      </c>
      <c r="Q1448" s="104">
        <f t="shared" si="201"/>
        <v>500</v>
      </c>
      <c r="R1448" s="104"/>
      <c r="S1448" s="93" t="s">
        <v>144</v>
      </c>
      <c r="T1448" s="94"/>
      <c r="U1448" s="104">
        <f t="shared" si="202"/>
        <v>500</v>
      </c>
      <c r="V1448" s="104">
        <f t="shared" si="203"/>
        <v>1</v>
      </c>
      <c r="W1448" s="103">
        <f t="shared" si="204"/>
        <v>500</v>
      </c>
      <c r="X1448" s="93" t="s">
        <v>803</v>
      </c>
      <c r="Y1448" s="105" t="s">
        <v>84</v>
      </c>
      <c r="Z1448" s="105" t="s">
        <v>619</v>
      </c>
    </row>
    <row r="1449" spans="1:26" s="105" customFormat="1" ht="15" customHeight="1">
      <c r="A1449" s="99">
        <f t="shared" si="188"/>
        <v>1447</v>
      </c>
      <c r="B1449" s="75" t="s">
        <v>1219</v>
      </c>
      <c r="C1449" s="100" t="str">
        <f>IF($B1449&lt;&gt;"",_xlfn.IFNA(VLOOKUP($B1449,'Node Details'!$B:$U,C$1,0),"Check"),"")</f>
        <v>0000CM408-CM4080108</v>
      </c>
      <c r="D1449" s="100" t="str">
        <f>IF($B1449&lt;&gt;"",_xlfn.IFNA(VLOOKUP($B1449,'Node Details'!$B:$U,D$1,0),"Check"),"")</f>
        <v>CM4</v>
      </c>
      <c r="E1449" s="100" t="str">
        <f>IF($B1449&lt;&gt;"",_xlfn.IFNA(VLOOKUP($B1449,'Node Details'!$B:$U,E$1,0),"Check"),"")</f>
        <v>Airtel</v>
      </c>
      <c r="F1449" s="101">
        <v>46148</v>
      </c>
      <c r="G1449" s="103"/>
      <c r="H1449" s="102" t="s">
        <v>1254</v>
      </c>
      <c r="I1449" s="9">
        <v>1</v>
      </c>
      <c r="J1449" s="9">
        <v>500</v>
      </c>
      <c r="K1449" s="100">
        <f t="shared" si="189"/>
        <v>500</v>
      </c>
      <c r="L1449" s="78">
        <v>46142</v>
      </c>
      <c r="M1449" s="103"/>
      <c r="N1449" s="93" t="s">
        <v>534</v>
      </c>
      <c r="O1449" s="94"/>
      <c r="P1449" s="104">
        <f t="shared" si="200"/>
        <v>500</v>
      </c>
      <c r="Q1449" s="104">
        <f t="shared" si="201"/>
        <v>500</v>
      </c>
      <c r="R1449" s="104"/>
      <c r="S1449" s="93" t="s">
        <v>144</v>
      </c>
      <c r="T1449" s="94"/>
      <c r="U1449" s="104">
        <f t="shared" si="202"/>
        <v>500</v>
      </c>
      <c r="V1449" s="104">
        <f t="shared" si="203"/>
        <v>1</v>
      </c>
      <c r="W1449" s="103">
        <f t="shared" si="204"/>
        <v>500</v>
      </c>
      <c r="X1449" s="93" t="s">
        <v>803</v>
      </c>
      <c r="Y1449" s="105" t="s">
        <v>84</v>
      </c>
      <c r="Z1449" s="105" t="s">
        <v>619</v>
      </c>
    </row>
    <row r="1450" spans="1:26" s="105" customFormat="1" ht="15" customHeight="1">
      <c r="A1450" s="99">
        <f t="shared" si="188"/>
        <v>1448</v>
      </c>
      <c r="B1450" s="75" t="s">
        <v>848</v>
      </c>
      <c r="C1450" s="100" t="str">
        <f>IF($B1450&lt;&gt;"",_xlfn.IFNA(VLOOKUP($B1450,'Node Details'!$B:$U,C$1,0),"Check"),"")</f>
        <v>0000CM408-CM4080108</v>
      </c>
      <c r="D1450" s="100" t="str">
        <f>IF($B1450&lt;&gt;"",_xlfn.IFNA(VLOOKUP($B1450,'Node Details'!$B:$U,D$1,0),"Check"),"")</f>
        <v>CM4</v>
      </c>
      <c r="E1450" s="100" t="str">
        <f>IF($B1450&lt;&gt;"",_xlfn.IFNA(VLOOKUP($B1450,'Node Details'!$B:$U,E$1,0),"Check"),"")</f>
        <v>Airtel</v>
      </c>
      <c r="F1450" s="101">
        <v>46148</v>
      </c>
      <c r="G1450" s="103"/>
      <c r="H1450" s="102" t="s">
        <v>1254</v>
      </c>
      <c r="I1450" s="9">
        <v>1</v>
      </c>
      <c r="J1450" s="9">
        <v>500</v>
      </c>
      <c r="K1450" s="100">
        <f t="shared" si="189"/>
        <v>500</v>
      </c>
      <c r="L1450" s="78">
        <v>46142</v>
      </c>
      <c r="M1450" s="103"/>
      <c r="N1450" s="93" t="s">
        <v>534</v>
      </c>
      <c r="O1450" s="94"/>
      <c r="P1450" s="104">
        <f t="shared" si="200"/>
        <v>500</v>
      </c>
      <c r="Q1450" s="104">
        <f t="shared" si="201"/>
        <v>500</v>
      </c>
      <c r="R1450" s="104"/>
      <c r="S1450" s="93" t="s">
        <v>144</v>
      </c>
      <c r="T1450" s="94"/>
      <c r="U1450" s="104">
        <f t="shared" si="202"/>
        <v>500</v>
      </c>
      <c r="V1450" s="104">
        <f t="shared" si="203"/>
        <v>1</v>
      </c>
      <c r="W1450" s="103">
        <f t="shared" si="204"/>
        <v>500</v>
      </c>
      <c r="X1450" s="93" t="s">
        <v>803</v>
      </c>
      <c r="Y1450" s="105" t="s">
        <v>84</v>
      </c>
      <c r="Z1450" s="105" t="s">
        <v>619</v>
      </c>
    </row>
    <row r="1451" spans="1:26" s="105" customFormat="1" ht="15" customHeight="1">
      <c r="A1451" s="99">
        <f t="shared" si="188"/>
        <v>1449</v>
      </c>
      <c r="B1451" s="75" t="s">
        <v>850</v>
      </c>
      <c r="C1451" s="100" t="str">
        <f>IF($B1451&lt;&gt;"",_xlfn.IFNA(VLOOKUP($B1451,'Node Details'!$B:$U,C$1,0),"Check"),"")</f>
        <v>0000CM408-CM4080105</v>
      </c>
      <c r="D1451" s="100" t="str">
        <f>IF($B1451&lt;&gt;"",_xlfn.IFNA(VLOOKUP($B1451,'Node Details'!$B:$U,D$1,0),"Check"),"")</f>
        <v>CM4</v>
      </c>
      <c r="E1451" s="100" t="str">
        <f>IF($B1451&lt;&gt;"",_xlfn.IFNA(VLOOKUP($B1451,'Node Details'!$B:$U,E$1,0),"Check"),"")</f>
        <v>Airtel</v>
      </c>
      <c r="F1451" s="101">
        <v>46148</v>
      </c>
      <c r="G1451" s="103"/>
      <c r="H1451" s="102" t="s">
        <v>1254</v>
      </c>
      <c r="I1451" s="9">
        <v>1</v>
      </c>
      <c r="J1451" s="9">
        <v>500</v>
      </c>
      <c r="K1451" s="100">
        <f t="shared" si="189"/>
        <v>500</v>
      </c>
      <c r="L1451" s="78">
        <v>46142</v>
      </c>
      <c r="M1451" s="103"/>
      <c r="N1451" s="93" t="s">
        <v>534</v>
      </c>
      <c r="O1451" s="94"/>
      <c r="P1451" s="104">
        <f t="shared" si="200"/>
        <v>500</v>
      </c>
      <c r="Q1451" s="104">
        <f t="shared" si="201"/>
        <v>500</v>
      </c>
      <c r="R1451" s="104"/>
      <c r="S1451" s="93" t="s">
        <v>144</v>
      </c>
      <c r="T1451" s="94"/>
      <c r="U1451" s="104">
        <f t="shared" si="202"/>
        <v>500</v>
      </c>
      <c r="V1451" s="104">
        <f t="shared" si="203"/>
        <v>1</v>
      </c>
      <c r="W1451" s="103">
        <f t="shared" si="204"/>
        <v>500</v>
      </c>
      <c r="X1451" s="93" t="s">
        <v>803</v>
      </c>
      <c r="Y1451" s="105" t="s">
        <v>84</v>
      </c>
      <c r="Z1451" s="105" t="s">
        <v>619</v>
      </c>
    </row>
    <row r="1452" spans="1:26" s="105" customFormat="1" ht="15" customHeight="1">
      <c r="A1452" s="99">
        <f t="shared" si="188"/>
        <v>1450</v>
      </c>
      <c r="B1452" s="75" t="s">
        <v>852</v>
      </c>
      <c r="C1452" s="100" t="str">
        <f>IF($B1452&lt;&gt;"",_xlfn.IFNA(VLOOKUP($B1452,'Node Details'!$B:$U,C$1,0),"Check"),"")</f>
        <v>0000CM408-CM4080107</v>
      </c>
      <c r="D1452" s="100" t="str">
        <f>IF($B1452&lt;&gt;"",_xlfn.IFNA(VLOOKUP($B1452,'Node Details'!$B:$U,D$1,0),"Check"),"")</f>
        <v>CM4</v>
      </c>
      <c r="E1452" s="100" t="str">
        <f>IF($B1452&lt;&gt;"",_xlfn.IFNA(VLOOKUP($B1452,'Node Details'!$B:$U,E$1,0),"Check"),"")</f>
        <v>Airtel</v>
      </c>
      <c r="F1452" s="101">
        <v>46148</v>
      </c>
      <c r="G1452" s="103"/>
      <c r="H1452" s="102" t="s">
        <v>1254</v>
      </c>
      <c r="I1452" s="9">
        <v>1</v>
      </c>
      <c r="J1452" s="9">
        <v>500</v>
      </c>
      <c r="K1452" s="100">
        <f t="shared" si="189"/>
        <v>500</v>
      </c>
      <c r="L1452" s="78">
        <v>46142</v>
      </c>
      <c r="M1452" s="103"/>
      <c r="N1452" s="93" t="s">
        <v>534</v>
      </c>
      <c r="O1452" s="94"/>
      <c r="P1452" s="104">
        <f t="shared" si="200"/>
        <v>500</v>
      </c>
      <c r="Q1452" s="104">
        <f t="shared" si="201"/>
        <v>500</v>
      </c>
      <c r="R1452" s="104"/>
      <c r="S1452" s="93" t="s">
        <v>144</v>
      </c>
      <c r="T1452" s="94"/>
      <c r="U1452" s="104">
        <f t="shared" si="202"/>
        <v>500</v>
      </c>
      <c r="V1452" s="104">
        <f t="shared" si="203"/>
        <v>1</v>
      </c>
      <c r="W1452" s="103">
        <f t="shared" si="204"/>
        <v>500</v>
      </c>
      <c r="X1452" s="93" t="s">
        <v>803</v>
      </c>
      <c r="Y1452" s="105" t="s">
        <v>84</v>
      </c>
      <c r="Z1452" s="105" t="s">
        <v>619</v>
      </c>
    </row>
    <row r="1453" spans="1:26" s="105" customFormat="1" ht="15" customHeight="1">
      <c r="A1453" s="99">
        <f t="shared" si="188"/>
        <v>1451</v>
      </c>
      <c r="B1453" s="75" t="s">
        <v>855</v>
      </c>
      <c r="C1453" s="100" t="str">
        <f>IF($B1453&lt;&gt;"",_xlfn.IFNA(VLOOKUP($B1453,'Node Details'!$B:$U,C$1,0),"Check"),"")</f>
        <v>0000CM409-CM4090103</v>
      </c>
      <c r="D1453" s="100" t="str">
        <f>IF($B1453&lt;&gt;"",_xlfn.IFNA(VLOOKUP($B1453,'Node Details'!$B:$U,D$1,0),"Check"),"")</f>
        <v>CM4</v>
      </c>
      <c r="E1453" s="100" t="str">
        <f>IF($B1453&lt;&gt;"",_xlfn.IFNA(VLOOKUP($B1453,'Node Details'!$B:$U,E$1,0),"Check"),"")</f>
        <v>Airtel</v>
      </c>
      <c r="F1453" s="101">
        <v>46148</v>
      </c>
      <c r="G1453" s="103"/>
      <c r="H1453" s="102" t="s">
        <v>1254</v>
      </c>
      <c r="I1453" s="9">
        <v>1</v>
      </c>
      <c r="J1453" s="9">
        <v>500</v>
      </c>
      <c r="K1453" s="100">
        <f t="shared" si="189"/>
        <v>500</v>
      </c>
      <c r="L1453" s="78">
        <v>46142</v>
      </c>
      <c r="M1453" s="103"/>
      <c r="N1453" s="93" t="s">
        <v>534</v>
      </c>
      <c r="O1453" s="94"/>
      <c r="P1453" s="104">
        <f t="shared" si="200"/>
        <v>500</v>
      </c>
      <c r="Q1453" s="104">
        <f t="shared" si="201"/>
        <v>500</v>
      </c>
      <c r="R1453" s="104"/>
      <c r="S1453" s="93" t="s">
        <v>144</v>
      </c>
      <c r="T1453" s="94"/>
      <c r="U1453" s="104">
        <f t="shared" si="202"/>
        <v>500</v>
      </c>
      <c r="V1453" s="104">
        <f t="shared" si="203"/>
        <v>1</v>
      </c>
      <c r="W1453" s="103">
        <f t="shared" si="204"/>
        <v>500</v>
      </c>
      <c r="X1453" s="93" t="s">
        <v>803</v>
      </c>
      <c r="Y1453" s="105" t="s">
        <v>84</v>
      </c>
      <c r="Z1453" s="105" t="s">
        <v>619</v>
      </c>
    </row>
    <row r="1454" spans="1:26" s="105" customFormat="1" ht="15" customHeight="1">
      <c r="A1454" s="99">
        <f t="shared" si="188"/>
        <v>1452</v>
      </c>
      <c r="B1454" s="75" t="s">
        <v>857</v>
      </c>
      <c r="C1454" s="100" t="str">
        <f>IF($B1454&lt;&gt;"",_xlfn.IFNA(VLOOKUP($B1454,'Node Details'!$B:$U,C$1,0),"Check"),"")</f>
        <v>0000CM409-CM4090101</v>
      </c>
      <c r="D1454" s="100" t="str">
        <f>IF($B1454&lt;&gt;"",_xlfn.IFNA(VLOOKUP($B1454,'Node Details'!$B:$U,D$1,0),"Check"),"")</f>
        <v>CM4</v>
      </c>
      <c r="E1454" s="100" t="str">
        <f>IF($B1454&lt;&gt;"",_xlfn.IFNA(VLOOKUP($B1454,'Node Details'!$B:$U,E$1,0),"Check"),"")</f>
        <v>Airtel</v>
      </c>
      <c r="F1454" s="101">
        <v>46148</v>
      </c>
      <c r="G1454" s="103"/>
      <c r="H1454" s="102" t="s">
        <v>1254</v>
      </c>
      <c r="I1454" s="9">
        <v>1</v>
      </c>
      <c r="J1454" s="9">
        <v>500</v>
      </c>
      <c r="K1454" s="100">
        <f t="shared" si="189"/>
        <v>500</v>
      </c>
      <c r="L1454" s="78">
        <v>46142</v>
      </c>
      <c r="M1454" s="103"/>
      <c r="N1454" s="93" t="s">
        <v>534</v>
      </c>
      <c r="O1454" s="94"/>
      <c r="P1454" s="104">
        <f t="shared" si="200"/>
        <v>500</v>
      </c>
      <c r="Q1454" s="104">
        <f t="shared" si="201"/>
        <v>500</v>
      </c>
      <c r="R1454" s="104"/>
      <c r="S1454" s="93" t="s">
        <v>144</v>
      </c>
      <c r="T1454" s="94"/>
      <c r="U1454" s="104">
        <f t="shared" si="202"/>
        <v>500</v>
      </c>
      <c r="V1454" s="104">
        <f t="shared" si="203"/>
        <v>1</v>
      </c>
      <c r="W1454" s="103">
        <f t="shared" si="204"/>
        <v>500</v>
      </c>
      <c r="X1454" s="93" t="s">
        <v>803</v>
      </c>
      <c r="Y1454" s="105" t="s">
        <v>84</v>
      </c>
      <c r="Z1454" s="105" t="s">
        <v>619</v>
      </c>
    </row>
    <row r="1455" spans="1:26" s="105" customFormat="1" ht="15" customHeight="1">
      <c r="A1455" s="99">
        <f t="shared" si="188"/>
        <v>1453</v>
      </c>
      <c r="B1455" s="75" t="s">
        <v>859</v>
      </c>
      <c r="C1455" s="100" t="str">
        <f>IF($B1455&lt;&gt;"",_xlfn.IFNA(VLOOKUP($B1455,'Node Details'!$B:$U,C$1,0),"Check"),"")</f>
        <v>0000CM409-CM4090102</v>
      </c>
      <c r="D1455" s="100" t="str">
        <f>IF($B1455&lt;&gt;"",_xlfn.IFNA(VLOOKUP($B1455,'Node Details'!$B:$U,D$1,0),"Check"),"")</f>
        <v>CM4</v>
      </c>
      <c r="E1455" s="100" t="str">
        <f>IF($B1455&lt;&gt;"",_xlfn.IFNA(VLOOKUP($B1455,'Node Details'!$B:$U,E$1,0),"Check"),"")</f>
        <v>Airtel</v>
      </c>
      <c r="F1455" s="101">
        <v>46148</v>
      </c>
      <c r="G1455" s="103"/>
      <c r="H1455" s="102" t="s">
        <v>1254</v>
      </c>
      <c r="I1455" s="9">
        <v>1</v>
      </c>
      <c r="J1455" s="9">
        <v>500</v>
      </c>
      <c r="K1455" s="100">
        <f t="shared" si="189"/>
        <v>500</v>
      </c>
      <c r="L1455" s="78">
        <v>46142</v>
      </c>
      <c r="M1455" s="103"/>
      <c r="N1455" s="93" t="s">
        <v>534</v>
      </c>
      <c r="O1455" s="94"/>
      <c r="P1455" s="104">
        <f t="shared" si="200"/>
        <v>500</v>
      </c>
      <c r="Q1455" s="104">
        <f t="shared" si="201"/>
        <v>500</v>
      </c>
      <c r="R1455" s="104"/>
      <c r="S1455" s="93" t="s">
        <v>144</v>
      </c>
      <c r="T1455" s="94"/>
      <c r="U1455" s="104">
        <f t="shared" si="202"/>
        <v>500</v>
      </c>
      <c r="V1455" s="104">
        <f t="shared" si="203"/>
        <v>1</v>
      </c>
      <c r="W1455" s="103">
        <f t="shared" si="204"/>
        <v>500</v>
      </c>
      <c r="X1455" s="93" t="s">
        <v>803</v>
      </c>
      <c r="Y1455" s="105" t="s">
        <v>84</v>
      </c>
      <c r="Z1455" s="105" t="s">
        <v>619</v>
      </c>
    </row>
    <row r="1456" spans="1:26" s="105" customFormat="1" ht="15" customHeight="1">
      <c r="A1456" s="99">
        <f t="shared" si="188"/>
        <v>1454</v>
      </c>
      <c r="B1456" s="75" t="s">
        <v>861</v>
      </c>
      <c r="C1456" s="100" t="str">
        <f>IF($B1456&lt;&gt;"",_xlfn.IFNA(VLOOKUP($B1456,'Node Details'!$B:$U,C$1,0),"Check"),"")</f>
        <v>0000CM409-CM4090104</v>
      </c>
      <c r="D1456" s="100" t="str">
        <f>IF($B1456&lt;&gt;"",_xlfn.IFNA(VLOOKUP($B1456,'Node Details'!$B:$U,D$1,0),"Check"),"")</f>
        <v>CM4</v>
      </c>
      <c r="E1456" s="100" t="str">
        <f>IF($B1456&lt;&gt;"",_xlfn.IFNA(VLOOKUP($B1456,'Node Details'!$B:$U,E$1,0),"Check"),"")</f>
        <v>Airtel</v>
      </c>
      <c r="F1456" s="101">
        <v>46148</v>
      </c>
      <c r="G1456" s="103"/>
      <c r="H1456" s="102" t="s">
        <v>1254</v>
      </c>
      <c r="I1456" s="9">
        <v>1</v>
      </c>
      <c r="J1456" s="9">
        <v>500</v>
      </c>
      <c r="K1456" s="100">
        <f t="shared" si="189"/>
        <v>500</v>
      </c>
      <c r="L1456" s="78">
        <v>46142</v>
      </c>
      <c r="M1456" s="103"/>
      <c r="N1456" s="93" t="s">
        <v>534</v>
      </c>
      <c r="O1456" s="94"/>
      <c r="P1456" s="104">
        <f t="shared" si="200"/>
        <v>500</v>
      </c>
      <c r="Q1456" s="104">
        <f t="shared" si="201"/>
        <v>500</v>
      </c>
      <c r="R1456" s="104"/>
      <c r="S1456" s="93" t="s">
        <v>144</v>
      </c>
      <c r="T1456" s="94"/>
      <c r="U1456" s="104">
        <f t="shared" si="202"/>
        <v>500</v>
      </c>
      <c r="V1456" s="104">
        <f t="shared" si="203"/>
        <v>1</v>
      </c>
      <c r="W1456" s="103">
        <f t="shared" si="204"/>
        <v>500</v>
      </c>
      <c r="X1456" s="93" t="s">
        <v>803</v>
      </c>
      <c r="Y1456" s="105" t="s">
        <v>84</v>
      </c>
      <c r="Z1456" s="105" t="s">
        <v>619</v>
      </c>
    </row>
    <row r="1457" spans="1:26" s="105" customFormat="1" ht="15" customHeight="1">
      <c r="A1457" s="99">
        <f t="shared" si="188"/>
        <v>1455</v>
      </c>
      <c r="B1457" s="75" t="s">
        <v>1220</v>
      </c>
      <c r="C1457" s="100" t="str">
        <f>IF($B1457&lt;&gt;"",_xlfn.IFNA(VLOOKUP($B1457,'Node Details'!$B:$U,C$1,0),"Check"),"")</f>
        <v>0000CM409-CM4090106</v>
      </c>
      <c r="D1457" s="100" t="str">
        <f>IF($B1457&lt;&gt;"",_xlfn.IFNA(VLOOKUP($B1457,'Node Details'!$B:$U,D$1,0),"Check"),"")</f>
        <v>CM4</v>
      </c>
      <c r="E1457" s="100" t="str">
        <f>IF($B1457&lt;&gt;"",_xlfn.IFNA(VLOOKUP($B1457,'Node Details'!$B:$U,E$1,0),"Check"),"")</f>
        <v>Airtel</v>
      </c>
      <c r="F1457" s="101">
        <v>46148</v>
      </c>
      <c r="G1457" s="103"/>
      <c r="H1457" s="102" t="s">
        <v>1254</v>
      </c>
      <c r="I1457" s="9">
        <v>1</v>
      </c>
      <c r="J1457" s="9">
        <v>500</v>
      </c>
      <c r="K1457" s="100">
        <f t="shared" si="189"/>
        <v>500</v>
      </c>
      <c r="L1457" s="78">
        <v>46142</v>
      </c>
      <c r="M1457" s="103"/>
      <c r="N1457" s="93" t="s">
        <v>534</v>
      </c>
      <c r="O1457" s="94"/>
      <c r="P1457" s="104">
        <f t="shared" si="200"/>
        <v>500</v>
      </c>
      <c r="Q1457" s="104">
        <f t="shared" si="201"/>
        <v>500</v>
      </c>
      <c r="R1457" s="104"/>
      <c r="S1457" s="93" t="s">
        <v>144</v>
      </c>
      <c r="T1457" s="94"/>
      <c r="U1457" s="104">
        <f t="shared" si="202"/>
        <v>500</v>
      </c>
      <c r="V1457" s="104">
        <f t="shared" si="203"/>
        <v>1</v>
      </c>
      <c r="W1457" s="103">
        <f t="shared" si="204"/>
        <v>500</v>
      </c>
      <c r="X1457" s="93" t="s">
        <v>803</v>
      </c>
      <c r="Y1457" s="105" t="s">
        <v>84</v>
      </c>
      <c r="Z1457" s="105" t="s">
        <v>619</v>
      </c>
    </row>
    <row r="1458" spans="1:26" s="105" customFormat="1" ht="15" customHeight="1">
      <c r="A1458" s="99">
        <f t="shared" si="188"/>
        <v>1456</v>
      </c>
      <c r="B1458" s="75" t="s">
        <v>863</v>
      </c>
      <c r="C1458" s="100" t="str">
        <f>IF($B1458&lt;&gt;"",_xlfn.IFNA(VLOOKUP($B1458,'Node Details'!$B:$U,C$1,0),"Check"),"")</f>
        <v>0000CM409-CM4090106</v>
      </c>
      <c r="D1458" s="100" t="str">
        <f>IF($B1458&lt;&gt;"",_xlfn.IFNA(VLOOKUP($B1458,'Node Details'!$B:$U,D$1,0),"Check"),"")</f>
        <v>CM4</v>
      </c>
      <c r="E1458" s="100" t="str">
        <f>IF($B1458&lt;&gt;"",_xlfn.IFNA(VLOOKUP($B1458,'Node Details'!$B:$U,E$1,0),"Check"),"")</f>
        <v>Airtel</v>
      </c>
      <c r="F1458" s="101">
        <v>46148</v>
      </c>
      <c r="G1458" s="103"/>
      <c r="H1458" s="102" t="s">
        <v>1254</v>
      </c>
      <c r="I1458" s="9">
        <v>1</v>
      </c>
      <c r="J1458" s="9">
        <v>500</v>
      </c>
      <c r="K1458" s="100">
        <f t="shared" si="189"/>
        <v>500</v>
      </c>
      <c r="L1458" s="78">
        <v>46142</v>
      </c>
      <c r="M1458" s="103"/>
      <c r="N1458" s="93" t="s">
        <v>534</v>
      </c>
      <c r="O1458" s="94"/>
      <c r="P1458" s="104">
        <f t="shared" si="200"/>
        <v>500</v>
      </c>
      <c r="Q1458" s="104">
        <f t="shared" si="201"/>
        <v>500</v>
      </c>
      <c r="R1458" s="104"/>
      <c r="S1458" s="93" t="s">
        <v>144</v>
      </c>
      <c r="T1458" s="94"/>
      <c r="U1458" s="104">
        <f t="shared" si="202"/>
        <v>500</v>
      </c>
      <c r="V1458" s="104">
        <f t="shared" si="203"/>
        <v>1</v>
      </c>
      <c r="W1458" s="103">
        <f t="shared" si="204"/>
        <v>500</v>
      </c>
      <c r="X1458" s="93" t="s">
        <v>803</v>
      </c>
      <c r="Y1458" s="105" t="s">
        <v>84</v>
      </c>
      <c r="Z1458" s="105" t="s">
        <v>619</v>
      </c>
    </row>
    <row r="1459" spans="1:26" s="105" customFormat="1" ht="15" customHeight="1">
      <c r="A1459" s="99">
        <f t="shared" si="188"/>
        <v>1457</v>
      </c>
      <c r="B1459" s="75" t="s">
        <v>866</v>
      </c>
      <c r="C1459" s="100" t="str">
        <f>IF($B1459&lt;&gt;"",_xlfn.IFNA(VLOOKUP($B1459,'Node Details'!$B:$U,C$1,0),"Check"),"")</f>
        <v>0000CM410-CM4100105</v>
      </c>
      <c r="D1459" s="100" t="str">
        <f>IF($B1459&lt;&gt;"",_xlfn.IFNA(VLOOKUP($B1459,'Node Details'!$B:$U,D$1,0),"Check"),"")</f>
        <v>CM4</v>
      </c>
      <c r="E1459" s="100" t="str">
        <f>IF($B1459&lt;&gt;"",_xlfn.IFNA(VLOOKUP($B1459,'Node Details'!$B:$U,E$1,0),"Check"),"")</f>
        <v>Airtel</v>
      </c>
      <c r="F1459" s="101">
        <v>46148</v>
      </c>
      <c r="G1459" s="103"/>
      <c r="H1459" s="102" t="s">
        <v>1254</v>
      </c>
      <c r="I1459" s="9">
        <v>1</v>
      </c>
      <c r="J1459" s="9">
        <v>500</v>
      </c>
      <c r="K1459" s="100">
        <f t="shared" si="189"/>
        <v>500</v>
      </c>
      <c r="L1459" s="78">
        <v>46142</v>
      </c>
      <c r="M1459" s="103"/>
      <c r="N1459" s="93" t="s">
        <v>534</v>
      </c>
      <c r="O1459" s="94"/>
      <c r="P1459" s="104">
        <f t="shared" si="200"/>
        <v>500</v>
      </c>
      <c r="Q1459" s="104">
        <f t="shared" si="201"/>
        <v>500</v>
      </c>
      <c r="R1459" s="104"/>
      <c r="S1459" s="93" t="s">
        <v>144</v>
      </c>
      <c r="T1459" s="94"/>
      <c r="U1459" s="104">
        <f t="shared" si="202"/>
        <v>500</v>
      </c>
      <c r="V1459" s="104">
        <f t="shared" si="203"/>
        <v>1</v>
      </c>
      <c r="W1459" s="103">
        <f t="shared" si="204"/>
        <v>500</v>
      </c>
      <c r="X1459" s="93" t="s">
        <v>803</v>
      </c>
      <c r="Y1459" s="105" t="s">
        <v>84</v>
      </c>
      <c r="Z1459" s="105" t="s">
        <v>619</v>
      </c>
    </row>
    <row r="1460" spans="1:26" s="105" customFormat="1" ht="15" customHeight="1">
      <c r="A1460" s="99">
        <f t="shared" si="188"/>
        <v>1458</v>
      </c>
      <c r="B1460" s="75" t="s">
        <v>868</v>
      </c>
      <c r="C1460" s="100" t="str">
        <f>IF($B1460&lt;&gt;"",_xlfn.IFNA(VLOOKUP($B1460,'Node Details'!$B:$U,C$1,0),"Check"),"")</f>
        <v>0000CM410-CM4100106</v>
      </c>
      <c r="D1460" s="100" t="str">
        <f>IF($B1460&lt;&gt;"",_xlfn.IFNA(VLOOKUP($B1460,'Node Details'!$B:$U,D$1,0),"Check"),"")</f>
        <v>CM4</v>
      </c>
      <c r="E1460" s="100" t="str">
        <f>IF($B1460&lt;&gt;"",_xlfn.IFNA(VLOOKUP($B1460,'Node Details'!$B:$U,E$1,0),"Check"),"")</f>
        <v>Airtel</v>
      </c>
      <c r="F1460" s="101">
        <v>46148</v>
      </c>
      <c r="G1460" s="103"/>
      <c r="H1460" s="102" t="s">
        <v>1254</v>
      </c>
      <c r="I1460" s="9">
        <v>1</v>
      </c>
      <c r="J1460" s="9">
        <v>500</v>
      </c>
      <c r="K1460" s="100">
        <f t="shared" si="189"/>
        <v>500</v>
      </c>
      <c r="L1460" s="78">
        <v>46142</v>
      </c>
      <c r="M1460" s="103"/>
      <c r="N1460" s="93" t="s">
        <v>534</v>
      </c>
      <c r="O1460" s="94"/>
      <c r="P1460" s="104">
        <f t="shared" si="200"/>
        <v>500</v>
      </c>
      <c r="Q1460" s="104">
        <f t="shared" si="201"/>
        <v>500</v>
      </c>
      <c r="R1460" s="104"/>
      <c r="S1460" s="93" t="s">
        <v>144</v>
      </c>
      <c r="T1460" s="94"/>
      <c r="U1460" s="104">
        <f t="shared" si="202"/>
        <v>500</v>
      </c>
      <c r="V1460" s="104">
        <f t="shared" si="203"/>
        <v>1</v>
      </c>
      <c r="W1460" s="103">
        <f t="shared" si="204"/>
        <v>500</v>
      </c>
      <c r="X1460" s="93" t="s">
        <v>803</v>
      </c>
      <c r="Y1460" s="105" t="s">
        <v>84</v>
      </c>
      <c r="Z1460" s="105" t="s">
        <v>619</v>
      </c>
    </row>
    <row r="1461" spans="1:26" s="105" customFormat="1" ht="15" customHeight="1">
      <c r="A1461" s="99">
        <f t="shared" si="188"/>
        <v>1459</v>
      </c>
      <c r="B1461" s="75" t="s">
        <v>870</v>
      </c>
      <c r="C1461" s="100" t="str">
        <f>IF($B1461&lt;&gt;"",_xlfn.IFNA(VLOOKUP($B1461,'Node Details'!$B:$U,C$1,0),"Check"),"")</f>
        <v>0000CM410-CM4100107</v>
      </c>
      <c r="D1461" s="100" t="str">
        <f>IF($B1461&lt;&gt;"",_xlfn.IFNA(VLOOKUP($B1461,'Node Details'!$B:$U,D$1,0),"Check"),"")</f>
        <v>CM4</v>
      </c>
      <c r="E1461" s="100" t="str">
        <f>IF($B1461&lt;&gt;"",_xlfn.IFNA(VLOOKUP($B1461,'Node Details'!$B:$U,E$1,0),"Check"),"")</f>
        <v>Airtel</v>
      </c>
      <c r="F1461" s="101">
        <v>46148</v>
      </c>
      <c r="G1461" s="103"/>
      <c r="H1461" s="102" t="s">
        <v>1254</v>
      </c>
      <c r="I1461" s="9">
        <v>1</v>
      </c>
      <c r="J1461" s="9">
        <v>500</v>
      </c>
      <c r="K1461" s="100">
        <f t="shared" si="189"/>
        <v>500</v>
      </c>
      <c r="L1461" s="78">
        <v>46142</v>
      </c>
      <c r="M1461" s="103"/>
      <c r="N1461" s="93" t="s">
        <v>534</v>
      </c>
      <c r="O1461" s="94"/>
      <c r="P1461" s="104">
        <f t="shared" si="200"/>
        <v>500</v>
      </c>
      <c r="Q1461" s="104">
        <f t="shared" si="201"/>
        <v>500</v>
      </c>
      <c r="R1461" s="104"/>
      <c r="S1461" s="93" t="s">
        <v>144</v>
      </c>
      <c r="T1461" s="94"/>
      <c r="U1461" s="104">
        <f t="shared" si="202"/>
        <v>500</v>
      </c>
      <c r="V1461" s="104">
        <f t="shared" si="203"/>
        <v>1</v>
      </c>
      <c r="W1461" s="103">
        <f t="shared" si="204"/>
        <v>500</v>
      </c>
      <c r="X1461" s="93" t="s">
        <v>803</v>
      </c>
      <c r="Y1461" s="105" t="s">
        <v>84</v>
      </c>
      <c r="Z1461" s="105" t="s">
        <v>619</v>
      </c>
    </row>
    <row r="1462" spans="1:26" s="105" customFormat="1" ht="15" customHeight="1">
      <c r="A1462" s="99">
        <f t="shared" si="188"/>
        <v>1460</v>
      </c>
      <c r="B1462" s="75" t="s">
        <v>872</v>
      </c>
      <c r="C1462" s="100" t="str">
        <f>IF($B1462&lt;&gt;"",_xlfn.IFNA(VLOOKUP($B1462,'Node Details'!$B:$U,C$1,0),"Check"),"")</f>
        <v>0000CM410-CM4100108</v>
      </c>
      <c r="D1462" s="100" t="str">
        <f>IF($B1462&lt;&gt;"",_xlfn.IFNA(VLOOKUP($B1462,'Node Details'!$B:$U,D$1,0),"Check"),"")</f>
        <v>CM4</v>
      </c>
      <c r="E1462" s="100" t="str">
        <f>IF($B1462&lt;&gt;"",_xlfn.IFNA(VLOOKUP($B1462,'Node Details'!$B:$U,E$1,0),"Check"),"")</f>
        <v>Airtel</v>
      </c>
      <c r="F1462" s="101">
        <v>46148</v>
      </c>
      <c r="G1462" s="103"/>
      <c r="H1462" s="102" t="s">
        <v>1254</v>
      </c>
      <c r="I1462" s="9">
        <v>1</v>
      </c>
      <c r="J1462" s="9">
        <v>500</v>
      </c>
      <c r="K1462" s="100">
        <f t="shared" si="189"/>
        <v>500</v>
      </c>
      <c r="L1462" s="78">
        <v>46142</v>
      </c>
      <c r="M1462" s="103"/>
      <c r="N1462" s="93" t="s">
        <v>534</v>
      </c>
      <c r="O1462" s="94"/>
      <c r="P1462" s="104">
        <f t="shared" si="200"/>
        <v>500</v>
      </c>
      <c r="Q1462" s="104">
        <f t="shared" si="201"/>
        <v>500</v>
      </c>
      <c r="R1462" s="104"/>
      <c r="S1462" s="93" t="s">
        <v>144</v>
      </c>
      <c r="T1462" s="94"/>
      <c r="U1462" s="104">
        <f t="shared" si="202"/>
        <v>500</v>
      </c>
      <c r="V1462" s="104">
        <f t="shared" si="203"/>
        <v>1</v>
      </c>
      <c r="W1462" s="103">
        <f t="shared" si="204"/>
        <v>500</v>
      </c>
      <c r="X1462" s="93" t="s">
        <v>803</v>
      </c>
      <c r="Y1462" s="105" t="s">
        <v>84</v>
      </c>
      <c r="Z1462" s="105" t="s">
        <v>619</v>
      </c>
    </row>
    <row r="1463" spans="1:26" s="105" customFormat="1" ht="15" customHeight="1">
      <c r="A1463" s="99">
        <f t="shared" si="188"/>
        <v>1461</v>
      </c>
      <c r="B1463" s="75" t="s">
        <v>874</v>
      </c>
      <c r="C1463" s="100" t="str">
        <f>IF($B1463&lt;&gt;"",_xlfn.IFNA(VLOOKUP($B1463,'Node Details'!$B:$U,C$1,0),"Check"),"")</f>
        <v>0000CM410-CM4100103</v>
      </c>
      <c r="D1463" s="100" t="str">
        <f>IF($B1463&lt;&gt;"",_xlfn.IFNA(VLOOKUP($B1463,'Node Details'!$B:$U,D$1,0),"Check"),"")</f>
        <v>CM4</v>
      </c>
      <c r="E1463" s="100" t="str">
        <f>IF($B1463&lt;&gt;"",_xlfn.IFNA(VLOOKUP($B1463,'Node Details'!$B:$U,E$1,0),"Check"),"")</f>
        <v>Airtel</v>
      </c>
      <c r="F1463" s="101">
        <v>46148</v>
      </c>
      <c r="G1463" s="103"/>
      <c r="H1463" s="102" t="s">
        <v>1254</v>
      </c>
      <c r="I1463" s="9">
        <v>1</v>
      </c>
      <c r="J1463" s="9">
        <v>500</v>
      </c>
      <c r="K1463" s="100">
        <f t="shared" si="189"/>
        <v>500</v>
      </c>
      <c r="L1463" s="78">
        <v>46142</v>
      </c>
      <c r="M1463" s="103"/>
      <c r="N1463" s="93" t="s">
        <v>534</v>
      </c>
      <c r="O1463" s="94"/>
      <c r="P1463" s="104">
        <f t="shared" si="200"/>
        <v>500</v>
      </c>
      <c r="Q1463" s="104">
        <f t="shared" si="201"/>
        <v>500</v>
      </c>
      <c r="R1463" s="104"/>
      <c r="S1463" s="93" t="s">
        <v>144</v>
      </c>
      <c r="T1463" s="94"/>
      <c r="U1463" s="104">
        <f t="shared" si="202"/>
        <v>500</v>
      </c>
      <c r="V1463" s="104">
        <f t="shared" si="203"/>
        <v>1</v>
      </c>
      <c r="W1463" s="103">
        <f t="shared" si="204"/>
        <v>500</v>
      </c>
      <c r="X1463" s="93" t="s">
        <v>803</v>
      </c>
      <c r="Y1463" s="105" t="s">
        <v>84</v>
      </c>
      <c r="Z1463" s="105" t="s">
        <v>619</v>
      </c>
    </row>
    <row r="1464" spans="1:26" s="105" customFormat="1" ht="15" customHeight="1">
      <c r="A1464" s="99">
        <f t="shared" si="188"/>
        <v>1462</v>
      </c>
      <c r="B1464" s="75" t="s">
        <v>876</v>
      </c>
      <c r="C1464" s="100" t="str">
        <f>IF($B1464&lt;&gt;"",_xlfn.IFNA(VLOOKUP($B1464,'Node Details'!$B:$U,C$1,0),"Check"),"")</f>
        <v>0000CM410-CM4100104</v>
      </c>
      <c r="D1464" s="100" t="str">
        <f>IF($B1464&lt;&gt;"",_xlfn.IFNA(VLOOKUP($B1464,'Node Details'!$B:$U,D$1,0),"Check"),"")</f>
        <v>CM4</v>
      </c>
      <c r="E1464" s="100" t="str">
        <f>IF($B1464&lt;&gt;"",_xlfn.IFNA(VLOOKUP($B1464,'Node Details'!$B:$U,E$1,0),"Check"),"")</f>
        <v>Airtel</v>
      </c>
      <c r="F1464" s="101">
        <v>46148</v>
      </c>
      <c r="G1464" s="103"/>
      <c r="H1464" s="102" t="s">
        <v>1254</v>
      </c>
      <c r="I1464" s="9">
        <v>1</v>
      </c>
      <c r="J1464" s="9">
        <v>500</v>
      </c>
      <c r="K1464" s="100">
        <f t="shared" si="189"/>
        <v>500</v>
      </c>
      <c r="L1464" s="78">
        <v>46142</v>
      </c>
      <c r="M1464" s="103"/>
      <c r="N1464" s="93" t="s">
        <v>534</v>
      </c>
      <c r="O1464" s="94"/>
      <c r="P1464" s="104">
        <f t="shared" si="200"/>
        <v>500</v>
      </c>
      <c r="Q1464" s="104">
        <f t="shared" si="201"/>
        <v>500</v>
      </c>
      <c r="R1464" s="104"/>
      <c r="S1464" s="93" t="s">
        <v>144</v>
      </c>
      <c r="T1464" s="94"/>
      <c r="U1464" s="104">
        <f t="shared" si="202"/>
        <v>500</v>
      </c>
      <c r="V1464" s="104">
        <f t="shared" si="203"/>
        <v>1</v>
      </c>
      <c r="W1464" s="103">
        <f t="shared" si="204"/>
        <v>500</v>
      </c>
      <c r="X1464" s="93" t="s">
        <v>803</v>
      </c>
      <c r="Y1464" s="105" t="s">
        <v>84</v>
      </c>
      <c r="Z1464" s="105" t="s">
        <v>619</v>
      </c>
    </row>
    <row r="1465" spans="1:26" s="105" customFormat="1" ht="15" customHeight="1">
      <c r="A1465" s="99">
        <f t="shared" si="188"/>
        <v>1463</v>
      </c>
      <c r="B1465" s="75" t="s">
        <v>878</v>
      </c>
      <c r="C1465" s="100" t="str">
        <f>IF($B1465&lt;&gt;"",_xlfn.IFNA(VLOOKUP($B1465,'Node Details'!$B:$U,C$1,0),"Check"),"")</f>
        <v>0000CM411-CM4110101</v>
      </c>
      <c r="D1465" s="100" t="str">
        <f>IF($B1465&lt;&gt;"",_xlfn.IFNA(VLOOKUP($B1465,'Node Details'!$B:$U,D$1,0),"Check"),"")</f>
        <v>CM4</v>
      </c>
      <c r="E1465" s="100" t="str">
        <f>IF($B1465&lt;&gt;"",_xlfn.IFNA(VLOOKUP($B1465,'Node Details'!$B:$U,E$1,0),"Check"),"")</f>
        <v>Airtel</v>
      </c>
      <c r="F1465" s="101">
        <v>46148</v>
      </c>
      <c r="G1465" s="103"/>
      <c r="H1465" s="102" t="s">
        <v>1254</v>
      </c>
      <c r="I1465" s="9">
        <v>1</v>
      </c>
      <c r="J1465" s="9">
        <v>500</v>
      </c>
      <c r="K1465" s="100">
        <f t="shared" si="189"/>
        <v>500</v>
      </c>
      <c r="L1465" s="78">
        <v>46142</v>
      </c>
      <c r="M1465" s="103"/>
      <c r="N1465" s="93" t="s">
        <v>534</v>
      </c>
      <c r="O1465" s="94"/>
      <c r="P1465" s="104">
        <f t="shared" si="200"/>
        <v>500</v>
      </c>
      <c r="Q1465" s="104">
        <f t="shared" si="201"/>
        <v>500</v>
      </c>
      <c r="R1465" s="104"/>
      <c r="S1465" s="93" t="s">
        <v>144</v>
      </c>
      <c r="T1465" s="94"/>
      <c r="U1465" s="104">
        <f t="shared" si="202"/>
        <v>500</v>
      </c>
      <c r="V1465" s="104">
        <f t="shared" si="203"/>
        <v>1</v>
      </c>
      <c r="W1465" s="103">
        <f t="shared" si="204"/>
        <v>500</v>
      </c>
      <c r="X1465" s="93" t="s">
        <v>803</v>
      </c>
      <c r="Y1465" s="105" t="s">
        <v>84</v>
      </c>
      <c r="Z1465" s="105" t="s">
        <v>619</v>
      </c>
    </row>
    <row r="1466" spans="1:26" s="105" customFormat="1" ht="15" customHeight="1">
      <c r="A1466" s="99">
        <f t="shared" si="188"/>
        <v>1464</v>
      </c>
      <c r="B1466" s="75" t="s">
        <v>880</v>
      </c>
      <c r="C1466" s="100" t="str">
        <f>IF($B1466&lt;&gt;"",_xlfn.IFNA(VLOOKUP($B1466,'Node Details'!$B:$U,C$1,0),"Check"),"")</f>
        <v>0000CM411-CM4110104</v>
      </c>
      <c r="D1466" s="100" t="str">
        <f>IF($B1466&lt;&gt;"",_xlfn.IFNA(VLOOKUP($B1466,'Node Details'!$B:$U,D$1,0),"Check"),"")</f>
        <v>CM4</v>
      </c>
      <c r="E1466" s="100" t="str">
        <f>IF($B1466&lt;&gt;"",_xlfn.IFNA(VLOOKUP($B1466,'Node Details'!$B:$U,E$1,0),"Check"),"")</f>
        <v>Airtel</v>
      </c>
      <c r="F1466" s="101">
        <v>46148</v>
      </c>
      <c r="G1466" s="103"/>
      <c r="H1466" s="102" t="s">
        <v>1254</v>
      </c>
      <c r="I1466" s="9">
        <v>1</v>
      </c>
      <c r="J1466" s="9">
        <v>500</v>
      </c>
      <c r="K1466" s="100">
        <f t="shared" si="189"/>
        <v>500</v>
      </c>
      <c r="L1466" s="78">
        <v>46142</v>
      </c>
      <c r="M1466" s="103"/>
      <c r="N1466" s="93" t="s">
        <v>534</v>
      </c>
      <c r="O1466" s="94"/>
      <c r="P1466" s="104">
        <f t="shared" si="200"/>
        <v>500</v>
      </c>
      <c r="Q1466" s="104">
        <f t="shared" si="201"/>
        <v>500</v>
      </c>
      <c r="R1466" s="104"/>
      <c r="S1466" s="93" t="s">
        <v>144</v>
      </c>
      <c r="T1466" s="94"/>
      <c r="U1466" s="104">
        <f t="shared" si="202"/>
        <v>500</v>
      </c>
      <c r="V1466" s="104">
        <f t="shared" si="203"/>
        <v>1</v>
      </c>
      <c r="W1466" s="103">
        <f t="shared" si="204"/>
        <v>500</v>
      </c>
      <c r="X1466" s="93" t="s">
        <v>803</v>
      </c>
      <c r="Y1466" s="105" t="s">
        <v>84</v>
      </c>
      <c r="Z1466" s="105" t="s">
        <v>619</v>
      </c>
    </row>
    <row r="1467" spans="1:26" s="105" customFormat="1" ht="15" customHeight="1">
      <c r="A1467" s="99">
        <f t="shared" si="188"/>
        <v>1465</v>
      </c>
      <c r="B1467" s="75" t="s">
        <v>884</v>
      </c>
      <c r="C1467" s="100" t="str">
        <f>IF($B1467&lt;&gt;"",_xlfn.IFNA(VLOOKUP($B1467,'Node Details'!$B:$U,C$1,0),"Check"),"")</f>
        <v>0000CM411-CM4110106</v>
      </c>
      <c r="D1467" s="100" t="str">
        <f>IF($B1467&lt;&gt;"",_xlfn.IFNA(VLOOKUP($B1467,'Node Details'!$B:$U,D$1,0),"Check"),"")</f>
        <v>CM4</v>
      </c>
      <c r="E1467" s="100" t="str">
        <f>IF($B1467&lt;&gt;"",_xlfn.IFNA(VLOOKUP($B1467,'Node Details'!$B:$U,E$1,0),"Check"),"")</f>
        <v>Airtel</v>
      </c>
      <c r="F1467" s="101">
        <v>46148</v>
      </c>
      <c r="G1467" s="103"/>
      <c r="H1467" s="102" t="s">
        <v>1254</v>
      </c>
      <c r="I1467" s="9">
        <v>1</v>
      </c>
      <c r="J1467" s="9">
        <v>500</v>
      </c>
      <c r="K1467" s="100">
        <f t="shared" si="189"/>
        <v>500</v>
      </c>
      <c r="L1467" s="78">
        <v>46142</v>
      </c>
      <c r="M1467" s="103"/>
      <c r="N1467" s="93" t="s">
        <v>534</v>
      </c>
      <c r="O1467" s="94"/>
      <c r="P1467" s="104">
        <f t="shared" si="200"/>
        <v>500</v>
      </c>
      <c r="Q1467" s="104">
        <f t="shared" si="201"/>
        <v>500</v>
      </c>
      <c r="R1467" s="104"/>
      <c r="S1467" s="93" t="s">
        <v>144</v>
      </c>
      <c r="T1467" s="94"/>
      <c r="U1467" s="104">
        <f t="shared" si="202"/>
        <v>500</v>
      </c>
      <c r="V1467" s="104">
        <f t="shared" si="203"/>
        <v>1</v>
      </c>
      <c r="W1467" s="103">
        <f t="shared" si="204"/>
        <v>500</v>
      </c>
      <c r="X1467" s="93" t="s">
        <v>803</v>
      </c>
      <c r="Y1467" s="105" t="s">
        <v>84</v>
      </c>
      <c r="Z1467" s="105" t="s">
        <v>619</v>
      </c>
    </row>
    <row r="1468" spans="1:26" s="105" customFormat="1" ht="15" customHeight="1">
      <c r="A1468" s="99">
        <f t="shared" si="188"/>
        <v>1466</v>
      </c>
      <c r="B1468" s="75" t="s">
        <v>882</v>
      </c>
      <c r="C1468" s="100" t="str">
        <f>IF($B1468&lt;&gt;"",_xlfn.IFNA(VLOOKUP($B1468,'Node Details'!$B:$U,C$1,0),"Check"),"")</f>
        <v>0000CM411-CM4110106</v>
      </c>
      <c r="D1468" s="100" t="str">
        <f>IF($B1468&lt;&gt;"",_xlfn.IFNA(VLOOKUP($B1468,'Node Details'!$B:$U,D$1,0),"Check"),"")</f>
        <v>CM4</v>
      </c>
      <c r="E1468" s="100" t="str">
        <f>IF($B1468&lt;&gt;"",_xlfn.IFNA(VLOOKUP($B1468,'Node Details'!$B:$U,E$1,0),"Check"),"")</f>
        <v>Airtel</v>
      </c>
      <c r="F1468" s="101">
        <v>46148</v>
      </c>
      <c r="G1468" s="103"/>
      <c r="H1468" s="102" t="s">
        <v>1254</v>
      </c>
      <c r="I1468" s="9">
        <v>1</v>
      </c>
      <c r="J1468" s="9">
        <v>500</v>
      </c>
      <c r="K1468" s="100">
        <f t="shared" si="189"/>
        <v>500</v>
      </c>
      <c r="L1468" s="78">
        <v>46142</v>
      </c>
      <c r="M1468" s="103"/>
      <c r="N1468" s="93" t="s">
        <v>534</v>
      </c>
      <c r="O1468" s="94"/>
      <c r="P1468" s="104">
        <f t="shared" si="200"/>
        <v>500</v>
      </c>
      <c r="Q1468" s="104">
        <f t="shared" si="201"/>
        <v>500</v>
      </c>
      <c r="R1468" s="104"/>
      <c r="S1468" s="93" t="s">
        <v>144</v>
      </c>
      <c r="T1468" s="94"/>
      <c r="U1468" s="104">
        <f t="shared" si="202"/>
        <v>500</v>
      </c>
      <c r="V1468" s="104">
        <f t="shared" si="203"/>
        <v>1</v>
      </c>
      <c r="W1468" s="103">
        <f t="shared" si="204"/>
        <v>500</v>
      </c>
      <c r="X1468" s="93" t="s">
        <v>803</v>
      </c>
      <c r="Y1468" s="105" t="s">
        <v>84</v>
      </c>
      <c r="Z1468" s="105" t="s">
        <v>619</v>
      </c>
    </row>
    <row r="1469" spans="1:26" s="105" customFormat="1" ht="15" customHeight="1">
      <c r="A1469" s="99">
        <f t="shared" si="188"/>
        <v>1467</v>
      </c>
      <c r="B1469" s="75" t="s">
        <v>1221</v>
      </c>
      <c r="C1469" s="100" t="str">
        <f>IF($B1469&lt;&gt;"",_xlfn.IFNA(VLOOKUP($B1469,'Node Details'!$B:$U,C$1,0),"Check"),"")</f>
        <v>CM4110105-CM4110108</v>
      </c>
      <c r="D1469" s="100" t="str">
        <f>IF($B1469&lt;&gt;"",_xlfn.IFNA(VLOOKUP($B1469,'Node Details'!$B:$U,D$1,0),"Check"),"")</f>
        <v>CM4</v>
      </c>
      <c r="E1469" s="100" t="str">
        <f>IF($B1469&lt;&gt;"",_xlfn.IFNA(VLOOKUP($B1469,'Node Details'!$B:$U,E$1,0),"Check"),"")</f>
        <v>Airtel</v>
      </c>
      <c r="F1469" s="101">
        <v>46148</v>
      </c>
      <c r="G1469" s="103"/>
      <c r="H1469" s="102" t="s">
        <v>1254</v>
      </c>
      <c r="I1469" s="9">
        <v>1</v>
      </c>
      <c r="J1469" s="9">
        <v>500</v>
      </c>
      <c r="K1469" s="100">
        <f t="shared" si="189"/>
        <v>500</v>
      </c>
      <c r="L1469" s="78">
        <v>46142</v>
      </c>
      <c r="M1469" s="103"/>
      <c r="N1469" s="93" t="s">
        <v>534</v>
      </c>
      <c r="O1469" s="94"/>
      <c r="P1469" s="104">
        <f t="shared" si="200"/>
        <v>500</v>
      </c>
      <c r="Q1469" s="104">
        <f t="shared" si="201"/>
        <v>500</v>
      </c>
      <c r="R1469" s="104"/>
      <c r="S1469" s="93" t="s">
        <v>144</v>
      </c>
      <c r="T1469" s="94"/>
      <c r="U1469" s="104">
        <f t="shared" si="202"/>
        <v>500</v>
      </c>
      <c r="V1469" s="104">
        <f t="shared" si="203"/>
        <v>1</v>
      </c>
      <c r="W1469" s="103">
        <f t="shared" si="204"/>
        <v>500</v>
      </c>
      <c r="X1469" s="93" t="s">
        <v>803</v>
      </c>
      <c r="Y1469" s="105" t="s">
        <v>84</v>
      </c>
      <c r="Z1469" s="105" t="s">
        <v>619</v>
      </c>
    </row>
    <row r="1470" spans="1:26" s="105" customFormat="1" ht="15" customHeight="1">
      <c r="A1470" s="99">
        <f t="shared" si="188"/>
        <v>1468</v>
      </c>
      <c r="B1470" s="75" t="s">
        <v>885</v>
      </c>
      <c r="C1470" s="100" t="str">
        <f>IF($B1470&lt;&gt;"",_xlfn.IFNA(VLOOKUP($B1470,'Node Details'!$B:$U,C$1,0),"Check"),"")</f>
        <v>CM4110105-CM4110108</v>
      </c>
      <c r="D1470" s="100" t="str">
        <f>IF($B1470&lt;&gt;"",_xlfn.IFNA(VLOOKUP($B1470,'Node Details'!$B:$U,D$1,0),"Check"),"")</f>
        <v>CM4</v>
      </c>
      <c r="E1470" s="100" t="str">
        <f>IF($B1470&lt;&gt;"",_xlfn.IFNA(VLOOKUP($B1470,'Node Details'!$B:$U,E$1,0),"Check"),"")</f>
        <v>Airtel</v>
      </c>
      <c r="F1470" s="101">
        <v>46148</v>
      </c>
      <c r="G1470" s="103"/>
      <c r="H1470" s="102" t="s">
        <v>1254</v>
      </c>
      <c r="I1470" s="9">
        <v>1</v>
      </c>
      <c r="J1470" s="9">
        <v>500</v>
      </c>
      <c r="K1470" s="100">
        <f t="shared" si="189"/>
        <v>500</v>
      </c>
      <c r="L1470" s="78">
        <v>46142</v>
      </c>
      <c r="M1470" s="103"/>
      <c r="N1470" s="93" t="s">
        <v>534</v>
      </c>
      <c r="O1470" s="94"/>
      <c r="P1470" s="104">
        <f t="shared" si="200"/>
        <v>500</v>
      </c>
      <c r="Q1470" s="104">
        <f t="shared" si="201"/>
        <v>500</v>
      </c>
      <c r="R1470" s="104"/>
      <c r="S1470" s="93" t="s">
        <v>144</v>
      </c>
      <c r="T1470" s="94"/>
      <c r="U1470" s="104">
        <f t="shared" si="202"/>
        <v>500</v>
      </c>
      <c r="V1470" s="104">
        <f t="shared" si="203"/>
        <v>1</v>
      </c>
      <c r="W1470" s="103">
        <f t="shared" si="204"/>
        <v>500</v>
      </c>
      <c r="X1470" s="93" t="s">
        <v>803</v>
      </c>
      <c r="Y1470" s="105" t="s">
        <v>84</v>
      </c>
      <c r="Z1470" s="105" t="s">
        <v>619</v>
      </c>
    </row>
    <row r="1471" spans="1:26" s="105" customFormat="1" ht="15" customHeight="1">
      <c r="A1471" s="99">
        <f t="shared" si="188"/>
        <v>1469</v>
      </c>
      <c r="B1471" s="75" t="s">
        <v>887</v>
      </c>
      <c r="C1471" s="100" t="str">
        <f>IF($B1471&lt;&gt;"",_xlfn.IFNA(VLOOKUP($B1471,'Node Details'!$B:$U,C$1,0),"Check"),"")</f>
        <v>0000CM411-CM4110103</v>
      </c>
      <c r="D1471" s="100" t="str">
        <f>IF($B1471&lt;&gt;"",_xlfn.IFNA(VLOOKUP($B1471,'Node Details'!$B:$U,D$1,0),"Check"),"")</f>
        <v>CM4</v>
      </c>
      <c r="E1471" s="100" t="str">
        <f>IF($B1471&lt;&gt;"",_xlfn.IFNA(VLOOKUP($B1471,'Node Details'!$B:$U,E$1,0),"Check"),"")</f>
        <v>Airtel</v>
      </c>
      <c r="F1471" s="101">
        <v>46148</v>
      </c>
      <c r="G1471" s="103"/>
      <c r="H1471" s="102" t="s">
        <v>1254</v>
      </c>
      <c r="I1471" s="9">
        <v>1</v>
      </c>
      <c r="J1471" s="9">
        <v>500</v>
      </c>
      <c r="K1471" s="100">
        <f t="shared" si="189"/>
        <v>500</v>
      </c>
      <c r="L1471" s="78">
        <v>46142</v>
      </c>
      <c r="M1471" s="103"/>
      <c r="N1471" s="93" t="s">
        <v>534</v>
      </c>
      <c r="O1471" s="94"/>
      <c r="P1471" s="104">
        <f t="shared" si="200"/>
        <v>500</v>
      </c>
      <c r="Q1471" s="104">
        <f t="shared" si="201"/>
        <v>500</v>
      </c>
      <c r="R1471" s="104"/>
      <c r="S1471" s="93" t="s">
        <v>144</v>
      </c>
      <c r="T1471" s="94"/>
      <c r="U1471" s="104">
        <f t="shared" si="202"/>
        <v>500</v>
      </c>
      <c r="V1471" s="104">
        <f t="shared" si="203"/>
        <v>1</v>
      </c>
      <c r="W1471" s="103">
        <f t="shared" si="204"/>
        <v>500</v>
      </c>
      <c r="X1471" s="93" t="s">
        <v>803</v>
      </c>
      <c r="Y1471" s="105" t="s">
        <v>84</v>
      </c>
      <c r="Z1471" s="105" t="s">
        <v>619</v>
      </c>
    </row>
    <row r="1472" spans="1:26" s="105" customFormat="1" ht="15" customHeight="1">
      <c r="A1472" s="99">
        <f t="shared" si="188"/>
        <v>1470</v>
      </c>
      <c r="B1472" s="75" t="s">
        <v>889</v>
      </c>
      <c r="C1472" s="100" t="str">
        <f>IF($B1472&lt;&gt;"",_xlfn.IFNA(VLOOKUP($B1472,'Node Details'!$B:$U,C$1,0),"Check"),"")</f>
        <v>0000CM412-CM4120101</v>
      </c>
      <c r="D1472" s="100" t="str">
        <f>IF($B1472&lt;&gt;"",_xlfn.IFNA(VLOOKUP($B1472,'Node Details'!$B:$U,D$1,0),"Check"),"")</f>
        <v>CM4</v>
      </c>
      <c r="E1472" s="100" t="str">
        <f>IF($B1472&lt;&gt;"",_xlfn.IFNA(VLOOKUP($B1472,'Node Details'!$B:$U,E$1,0),"Check"),"")</f>
        <v>Airtel</v>
      </c>
      <c r="F1472" s="101">
        <v>46148</v>
      </c>
      <c r="G1472" s="103"/>
      <c r="H1472" s="102" t="s">
        <v>1254</v>
      </c>
      <c r="I1472" s="9">
        <v>1</v>
      </c>
      <c r="J1472" s="9">
        <v>500</v>
      </c>
      <c r="K1472" s="100">
        <f t="shared" si="189"/>
        <v>500</v>
      </c>
      <c r="L1472" s="78">
        <v>46142</v>
      </c>
      <c r="M1472" s="103"/>
      <c r="N1472" s="93" t="s">
        <v>534</v>
      </c>
      <c r="O1472" s="94"/>
      <c r="P1472" s="104">
        <f t="shared" si="200"/>
        <v>500</v>
      </c>
      <c r="Q1472" s="104">
        <f t="shared" si="201"/>
        <v>500</v>
      </c>
      <c r="R1472" s="104"/>
      <c r="S1472" s="93" t="s">
        <v>144</v>
      </c>
      <c r="T1472" s="94"/>
      <c r="U1472" s="104">
        <f t="shared" si="202"/>
        <v>500</v>
      </c>
      <c r="V1472" s="104">
        <f t="shared" si="203"/>
        <v>1</v>
      </c>
      <c r="W1472" s="103">
        <f t="shared" si="204"/>
        <v>500</v>
      </c>
      <c r="X1472" s="93" t="s">
        <v>803</v>
      </c>
      <c r="Y1472" s="105" t="s">
        <v>84</v>
      </c>
      <c r="Z1472" s="105" t="s">
        <v>619</v>
      </c>
    </row>
    <row r="1473" spans="1:26" s="105" customFormat="1" ht="15" customHeight="1">
      <c r="A1473" s="99">
        <f t="shared" si="188"/>
        <v>1471</v>
      </c>
      <c r="B1473" s="75" t="s">
        <v>891</v>
      </c>
      <c r="C1473" s="100" t="str">
        <f>IF($B1473&lt;&gt;"",_xlfn.IFNA(VLOOKUP($B1473,'Node Details'!$B:$U,C$1,0),"Check"),"")</f>
        <v>0000CM412-CM4120104</v>
      </c>
      <c r="D1473" s="100" t="str">
        <f>IF($B1473&lt;&gt;"",_xlfn.IFNA(VLOOKUP($B1473,'Node Details'!$B:$U,D$1,0),"Check"),"")</f>
        <v>CM4</v>
      </c>
      <c r="E1473" s="100" t="str">
        <f>IF($B1473&lt;&gt;"",_xlfn.IFNA(VLOOKUP($B1473,'Node Details'!$B:$U,E$1,0),"Check"),"")</f>
        <v>Airtel</v>
      </c>
      <c r="F1473" s="101">
        <v>46148</v>
      </c>
      <c r="G1473" s="103"/>
      <c r="H1473" s="102" t="s">
        <v>1254</v>
      </c>
      <c r="I1473" s="9">
        <v>1</v>
      </c>
      <c r="J1473" s="9">
        <v>500</v>
      </c>
      <c r="K1473" s="100">
        <f t="shared" si="189"/>
        <v>500</v>
      </c>
      <c r="L1473" s="78">
        <v>46142</v>
      </c>
      <c r="M1473" s="103"/>
      <c r="N1473" s="93" t="s">
        <v>534</v>
      </c>
      <c r="O1473" s="94"/>
      <c r="P1473" s="104">
        <f t="shared" si="200"/>
        <v>500</v>
      </c>
      <c r="Q1473" s="104">
        <f t="shared" si="201"/>
        <v>500</v>
      </c>
      <c r="R1473" s="104"/>
      <c r="S1473" s="93" t="s">
        <v>144</v>
      </c>
      <c r="T1473" s="94"/>
      <c r="U1473" s="104">
        <f t="shared" si="202"/>
        <v>500</v>
      </c>
      <c r="V1473" s="104">
        <f t="shared" si="203"/>
        <v>1</v>
      </c>
      <c r="W1473" s="103">
        <f t="shared" si="204"/>
        <v>500</v>
      </c>
      <c r="X1473" s="93" t="s">
        <v>803</v>
      </c>
      <c r="Y1473" s="105" t="s">
        <v>84</v>
      </c>
      <c r="Z1473" s="105" t="s">
        <v>619</v>
      </c>
    </row>
    <row r="1474" spans="1:26" s="105" customFormat="1" ht="15" customHeight="1">
      <c r="A1474" s="99">
        <f t="shared" si="188"/>
        <v>1472</v>
      </c>
      <c r="B1474" s="75" t="s">
        <v>893</v>
      </c>
      <c r="C1474" s="100" t="str">
        <f>IF($B1474&lt;&gt;"",_xlfn.IFNA(VLOOKUP($B1474,'Node Details'!$B:$U,C$1,0),"Check"),"")</f>
        <v>0000CM412-CM4120105</v>
      </c>
      <c r="D1474" s="100" t="str">
        <f>IF($B1474&lt;&gt;"",_xlfn.IFNA(VLOOKUP($B1474,'Node Details'!$B:$U,D$1,0),"Check"),"")</f>
        <v>CM4</v>
      </c>
      <c r="E1474" s="100" t="str">
        <f>IF($B1474&lt;&gt;"",_xlfn.IFNA(VLOOKUP($B1474,'Node Details'!$B:$U,E$1,0),"Check"),"")</f>
        <v>Airtel</v>
      </c>
      <c r="F1474" s="101">
        <v>46148</v>
      </c>
      <c r="G1474" s="103"/>
      <c r="H1474" s="102" t="s">
        <v>1254</v>
      </c>
      <c r="I1474" s="9">
        <v>1</v>
      </c>
      <c r="J1474" s="9">
        <v>500</v>
      </c>
      <c r="K1474" s="100">
        <f t="shared" si="189"/>
        <v>500</v>
      </c>
      <c r="L1474" s="78">
        <v>46142</v>
      </c>
      <c r="M1474" s="103"/>
      <c r="N1474" s="93" t="s">
        <v>534</v>
      </c>
      <c r="O1474" s="94"/>
      <c r="P1474" s="104">
        <f t="shared" si="200"/>
        <v>500</v>
      </c>
      <c r="Q1474" s="104">
        <f t="shared" si="201"/>
        <v>500</v>
      </c>
      <c r="R1474" s="104"/>
      <c r="S1474" s="93" t="s">
        <v>144</v>
      </c>
      <c r="T1474" s="94"/>
      <c r="U1474" s="104">
        <f t="shared" si="202"/>
        <v>500</v>
      </c>
      <c r="V1474" s="104">
        <f t="shared" si="203"/>
        <v>1</v>
      </c>
      <c r="W1474" s="103">
        <f t="shared" si="204"/>
        <v>500</v>
      </c>
      <c r="X1474" s="93" t="s">
        <v>803</v>
      </c>
      <c r="Y1474" s="105" t="s">
        <v>84</v>
      </c>
      <c r="Z1474" s="105" t="s">
        <v>619</v>
      </c>
    </row>
    <row r="1475" spans="1:26" s="105" customFormat="1" ht="15" customHeight="1">
      <c r="A1475" s="99">
        <f t="shared" si="188"/>
        <v>1473</v>
      </c>
      <c r="B1475" s="75" t="s">
        <v>1222</v>
      </c>
      <c r="C1475" s="100" t="str">
        <f>IF($B1475&lt;&gt;"",_xlfn.IFNA(VLOOKUP($B1475,'Node Details'!$B:$U,C$1,0),"Check"),"")</f>
        <v>0000CM412-CM4120108</v>
      </c>
      <c r="D1475" s="100" t="str">
        <f>IF($B1475&lt;&gt;"",_xlfn.IFNA(VLOOKUP($B1475,'Node Details'!$B:$U,D$1,0),"Check"),"")</f>
        <v>CM4</v>
      </c>
      <c r="E1475" s="100" t="str">
        <f>IF($B1475&lt;&gt;"",_xlfn.IFNA(VLOOKUP($B1475,'Node Details'!$B:$U,E$1,0),"Check"),"")</f>
        <v>Airtel</v>
      </c>
      <c r="F1475" s="101">
        <v>46148</v>
      </c>
      <c r="G1475" s="103"/>
      <c r="H1475" s="102" t="s">
        <v>1254</v>
      </c>
      <c r="I1475" s="9">
        <v>1</v>
      </c>
      <c r="J1475" s="9">
        <v>500</v>
      </c>
      <c r="K1475" s="100">
        <f t="shared" si="189"/>
        <v>500</v>
      </c>
      <c r="L1475" s="78">
        <v>46142</v>
      </c>
      <c r="M1475" s="103"/>
      <c r="N1475" s="93" t="s">
        <v>534</v>
      </c>
      <c r="O1475" s="94"/>
      <c r="P1475" s="104">
        <f t="shared" si="200"/>
        <v>500</v>
      </c>
      <c r="Q1475" s="104">
        <f t="shared" si="201"/>
        <v>500</v>
      </c>
      <c r="R1475" s="104"/>
      <c r="S1475" s="93" t="s">
        <v>144</v>
      </c>
      <c r="T1475" s="94"/>
      <c r="U1475" s="104">
        <f t="shared" si="202"/>
        <v>500</v>
      </c>
      <c r="V1475" s="104">
        <f t="shared" si="203"/>
        <v>1</v>
      </c>
      <c r="W1475" s="103">
        <f t="shared" si="204"/>
        <v>500</v>
      </c>
      <c r="X1475" s="93" t="s">
        <v>803</v>
      </c>
      <c r="Y1475" s="105" t="s">
        <v>84</v>
      </c>
      <c r="Z1475" s="105" t="s">
        <v>619</v>
      </c>
    </row>
    <row r="1476" spans="1:26" s="105" customFormat="1" ht="15" customHeight="1">
      <c r="A1476" s="99">
        <f t="shared" si="188"/>
        <v>1474</v>
      </c>
      <c r="B1476" s="75" t="s">
        <v>895</v>
      </c>
      <c r="C1476" s="100" t="str">
        <f>IF($B1476&lt;&gt;"",_xlfn.IFNA(VLOOKUP($B1476,'Node Details'!$B:$U,C$1,0),"Check"),"")</f>
        <v>0000CM412-CM4120108</v>
      </c>
      <c r="D1476" s="100" t="str">
        <f>IF($B1476&lt;&gt;"",_xlfn.IFNA(VLOOKUP($B1476,'Node Details'!$B:$U,D$1,0),"Check"),"")</f>
        <v>CM4</v>
      </c>
      <c r="E1476" s="100" t="str">
        <f>IF($B1476&lt;&gt;"",_xlfn.IFNA(VLOOKUP($B1476,'Node Details'!$B:$U,E$1,0),"Check"),"")</f>
        <v>Airtel</v>
      </c>
      <c r="F1476" s="101">
        <v>46148</v>
      </c>
      <c r="G1476" s="103"/>
      <c r="H1476" s="102" t="s">
        <v>1254</v>
      </c>
      <c r="I1476" s="9">
        <v>1</v>
      </c>
      <c r="J1476" s="9">
        <v>500</v>
      </c>
      <c r="K1476" s="100">
        <f t="shared" si="189"/>
        <v>500</v>
      </c>
      <c r="L1476" s="78">
        <v>46142</v>
      </c>
      <c r="M1476" s="103"/>
      <c r="N1476" s="93" t="s">
        <v>534</v>
      </c>
      <c r="O1476" s="94"/>
      <c r="P1476" s="104">
        <f t="shared" si="200"/>
        <v>500</v>
      </c>
      <c r="Q1476" s="104">
        <f t="shared" si="201"/>
        <v>500</v>
      </c>
      <c r="R1476" s="104"/>
      <c r="S1476" s="93" t="s">
        <v>144</v>
      </c>
      <c r="T1476" s="94"/>
      <c r="U1476" s="104">
        <f t="shared" si="202"/>
        <v>500</v>
      </c>
      <c r="V1476" s="104">
        <f t="shared" si="203"/>
        <v>1</v>
      </c>
      <c r="W1476" s="103">
        <f t="shared" si="204"/>
        <v>500</v>
      </c>
      <c r="X1476" s="93" t="s">
        <v>803</v>
      </c>
      <c r="Y1476" s="105" t="s">
        <v>84</v>
      </c>
      <c r="Z1476" s="105" t="s">
        <v>619</v>
      </c>
    </row>
    <row r="1477" spans="1:26" s="105" customFormat="1" ht="15" customHeight="1">
      <c r="A1477" s="99">
        <f t="shared" ref="A1477:A1540" si="205">A1476+1</f>
        <v>1475</v>
      </c>
      <c r="B1477" s="75" t="s">
        <v>898</v>
      </c>
      <c r="C1477" s="100" t="str">
        <f>IF($B1477&lt;&gt;"",_xlfn.IFNA(VLOOKUP($B1477,'Node Details'!$B:$U,C$1,0),"Check"),"")</f>
        <v>0000CM413-CM4130101</v>
      </c>
      <c r="D1477" s="100" t="str">
        <f>IF($B1477&lt;&gt;"",_xlfn.IFNA(VLOOKUP($B1477,'Node Details'!$B:$U,D$1,0),"Check"),"")</f>
        <v>CM4</v>
      </c>
      <c r="E1477" s="100" t="str">
        <f>IF($B1477&lt;&gt;"",_xlfn.IFNA(VLOOKUP($B1477,'Node Details'!$B:$U,E$1,0),"Check"),"")</f>
        <v>Airtel</v>
      </c>
      <c r="F1477" s="101">
        <v>46148</v>
      </c>
      <c r="G1477" s="103"/>
      <c r="H1477" s="102" t="s">
        <v>1254</v>
      </c>
      <c r="I1477" s="9">
        <v>1</v>
      </c>
      <c r="J1477" s="9">
        <v>500</v>
      </c>
      <c r="K1477" s="100">
        <f t="shared" si="189"/>
        <v>500</v>
      </c>
      <c r="L1477" s="78">
        <v>46142</v>
      </c>
      <c r="M1477" s="103"/>
      <c r="N1477" s="93" t="s">
        <v>534</v>
      </c>
      <c r="O1477" s="94"/>
      <c r="P1477" s="104">
        <f t="shared" si="200"/>
        <v>500</v>
      </c>
      <c r="Q1477" s="104">
        <f t="shared" si="201"/>
        <v>500</v>
      </c>
      <c r="R1477" s="104"/>
      <c r="S1477" s="93" t="s">
        <v>144</v>
      </c>
      <c r="T1477" s="94"/>
      <c r="U1477" s="104">
        <f t="shared" si="202"/>
        <v>500</v>
      </c>
      <c r="V1477" s="104">
        <f t="shared" si="203"/>
        <v>1</v>
      </c>
      <c r="W1477" s="103">
        <f t="shared" si="204"/>
        <v>500</v>
      </c>
      <c r="X1477" s="93" t="s">
        <v>803</v>
      </c>
      <c r="Y1477" s="105" t="s">
        <v>84</v>
      </c>
      <c r="Z1477" s="105" t="s">
        <v>619</v>
      </c>
    </row>
    <row r="1478" spans="1:26" s="105" customFormat="1" ht="15" customHeight="1">
      <c r="A1478" s="99">
        <f t="shared" si="205"/>
        <v>1476</v>
      </c>
      <c r="B1478" s="75" t="s">
        <v>902</v>
      </c>
      <c r="C1478" s="100" t="str">
        <f>IF($B1478&lt;&gt;"",_xlfn.IFNA(VLOOKUP($B1478,'Node Details'!$B:$U,C$1,0),"Check"),"")</f>
        <v>0000CM413-CM4130104</v>
      </c>
      <c r="D1478" s="100" t="str">
        <f>IF($B1478&lt;&gt;"",_xlfn.IFNA(VLOOKUP($B1478,'Node Details'!$B:$U,D$1,0),"Check"),"")</f>
        <v>CM4</v>
      </c>
      <c r="E1478" s="100" t="str">
        <f>IF($B1478&lt;&gt;"",_xlfn.IFNA(VLOOKUP($B1478,'Node Details'!$B:$U,E$1,0),"Check"),"")</f>
        <v>Airtel</v>
      </c>
      <c r="F1478" s="101">
        <v>46148</v>
      </c>
      <c r="G1478" s="103"/>
      <c r="H1478" s="102" t="s">
        <v>1254</v>
      </c>
      <c r="I1478" s="9">
        <v>1</v>
      </c>
      <c r="J1478" s="9">
        <v>500</v>
      </c>
      <c r="K1478" s="100">
        <f t="shared" si="189"/>
        <v>500</v>
      </c>
      <c r="L1478" s="78">
        <v>46142</v>
      </c>
      <c r="M1478" s="103"/>
      <c r="N1478" s="93" t="s">
        <v>534</v>
      </c>
      <c r="O1478" s="94"/>
      <c r="P1478" s="104">
        <f t="shared" si="200"/>
        <v>500</v>
      </c>
      <c r="Q1478" s="104">
        <f t="shared" si="201"/>
        <v>500</v>
      </c>
      <c r="R1478" s="104"/>
      <c r="S1478" s="93" t="s">
        <v>144</v>
      </c>
      <c r="T1478" s="94"/>
      <c r="U1478" s="104">
        <f t="shared" si="202"/>
        <v>500</v>
      </c>
      <c r="V1478" s="104">
        <f t="shared" si="203"/>
        <v>1</v>
      </c>
      <c r="W1478" s="103">
        <f t="shared" si="204"/>
        <v>500</v>
      </c>
      <c r="X1478" s="93" t="s">
        <v>803</v>
      </c>
      <c r="Y1478" s="105" t="s">
        <v>84</v>
      </c>
      <c r="Z1478" s="105" t="s">
        <v>619</v>
      </c>
    </row>
    <row r="1479" spans="1:26" s="105" customFormat="1" ht="15" customHeight="1">
      <c r="A1479" s="99">
        <f t="shared" si="205"/>
        <v>1477</v>
      </c>
      <c r="B1479" s="75" t="s">
        <v>900</v>
      </c>
      <c r="C1479" s="100" t="str">
        <f>IF($B1479&lt;&gt;"",_xlfn.IFNA(VLOOKUP($B1479,'Node Details'!$B:$U,C$1,0),"Check"),"")</f>
        <v>0000CM413-CM4130104</v>
      </c>
      <c r="D1479" s="100" t="str">
        <f>IF($B1479&lt;&gt;"",_xlfn.IFNA(VLOOKUP($B1479,'Node Details'!$B:$U,D$1,0),"Check"),"")</f>
        <v>CM4</v>
      </c>
      <c r="E1479" s="100" t="str">
        <f>IF($B1479&lt;&gt;"",_xlfn.IFNA(VLOOKUP($B1479,'Node Details'!$B:$U,E$1,0),"Check"),"")</f>
        <v>Airtel</v>
      </c>
      <c r="F1479" s="101">
        <v>46148</v>
      </c>
      <c r="G1479" s="103"/>
      <c r="H1479" s="102" t="s">
        <v>1254</v>
      </c>
      <c r="I1479" s="9">
        <v>1</v>
      </c>
      <c r="J1479" s="9">
        <v>500</v>
      </c>
      <c r="K1479" s="100">
        <f t="shared" si="189"/>
        <v>500</v>
      </c>
      <c r="L1479" s="78">
        <v>46142</v>
      </c>
      <c r="M1479" s="103"/>
      <c r="N1479" s="93" t="s">
        <v>534</v>
      </c>
      <c r="O1479" s="94"/>
      <c r="P1479" s="104">
        <f t="shared" si="200"/>
        <v>500</v>
      </c>
      <c r="Q1479" s="104">
        <f t="shared" si="201"/>
        <v>500</v>
      </c>
      <c r="R1479" s="104"/>
      <c r="S1479" s="93" t="s">
        <v>144</v>
      </c>
      <c r="T1479" s="94"/>
      <c r="U1479" s="104">
        <f t="shared" si="202"/>
        <v>500</v>
      </c>
      <c r="V1479" s="104">
        <f t="shared" si="203"/>
        <v>1</v>
      </c>
      <c r="W1479" s="103">
        <f t="shared" si="204"/>
        <v>500</v>
      </c>
      <c r="X1479" s="93" t="s">
        <v>803</v>
      </c>
      <c r="Y1479" s="105" t="s">
        <v>84</v>
      </c>
      <c r="Z1479" s="105" t="s">
        <v>619</v>
      </c>
    </row>
    <row r="1480" spans="1:26" s="105" customFormat="1" ht="15" customHeight="1">
      <c r="A1480" s="99">
        <f t="shared" si="205"/>
        <v>1478</v>
      </c>
      <c r="B1480" s="75" t="s">
        <v>903</v>
      </c>
      <c r="C1480" s="100" t="str">
        <f>IF($B1480&lt;&gt;"",_xlfn.IFNA(VLOOKUP($B1480,'Node Details'!$B:$U,C$1,0),"Check"),"")</f>
        <v>CM4130103-CM4130107</v>
      </c>
      <c r="D1480" s="100" t="str">
        <f>IF($B1480&lt;&gt;"",_xlfn.IFNA(VLOOKUP($B1480,'Node Details'!$B:$U,D$1,0),"Check"),"")</f>
        <v>CM4</v>
      </c>
      <c r="E1480" s="100" t="str">
        <f>IF($B1480&lt;&gt;"",_xlfn.IFNA(VLOOKUP($B1480,'Node Details'!$B:$U,E$1,0),"Check"),"")</f>
        <v>Airtel</v>
      </c>
      <c r="F1480" s="101">
        <v>46148</v>
      </c>
      <c r="G1480" s="103"/>
      <c r="H1480" s="102" t="s">
        <v>1254</v>
      </c>
      <c r="I1480" s="9">
        <v>1</v>
      </c>
      <c r="J1480" s="9">
        <v>500</v>
      </c>
      <c r="K1480" s="100">
        <f t="shared" si="189"/>
        <v>500</v>
      </c>
      <c r="L1480" s="78">
        <v>46142</v>
      </c>
      <c r="M1480" s="103"/>
      <c r="N1480" s="93" t="s">
        <v>534</v>
      </c>
      <c r="O1480" s="94"/>
      <c r="P1480" s="104">
        <f t="shared" si="200"/>
        <v>500</v>
      </c>
      <c r="Q1480" s="104">
        <f t="shared" si="201"/>
        <v>500</v>
      </c>
      <c r="R1480" s="104"/>
      <c r="S1480" s="93" t="s">
        <v>144</v>
      </c>
      <c r="T1480" s="94"/>
      <c r="U1480" s="104">
        <f t="shared" si="202"/>
        <v>500</v>
      </c>
      <c r="V1480" s="104">
        <f t="shared" si="203"/>
        <v>1</v>
      </c>
      <c r="W1480" s="103">
        <f t="shared" si="204"/>
        <v>500</v>
      </c>
      <c r="X1480" s="93" t="s">
        <v>803</v>
      </c>
      <c r="Y1480" s="105" t="s">
        <v>84</v>
      </c>
      <c r="Z1480" s="105" t="s">
        <v>619</v>
      </c>
    </row>
    <row r="1481" spans="1:26" s="105" customFormat="1" ht="15" customHeight="1">
      <c r="A1481" s="99">
        <f t="shared" si="205"/>
        <v>1479</v>
      </c>
      <c r="B1481" s="75" t="s">
        <v>906</v>
      </c>
      <c r="C1481" s="100" t="str">
        <f>IF($B1481&lt;&gt;"",_xlfn.IFNA(VLOOKUP($B1481,'Node Details'!$B:$U,C$1,0),"Check"),"")</f>
        <v>0000CM414-CM4140101</v>
      </c>
      <c r="D1481" s="100" t="str">
        <f>IF($B1481&lt;&gt;"",_xlfn.IFNA(VLOOKUP($B1481,'Node Details'!$B:$U,D$1,0),"Check"),"")</f>
        <v>CM4</v>
      </c>
      <c r="E1481" s="100" t="str">
        <f>IF($B1481&lt;&gt;"",_xlfn.IFNA(VLOOKUP($B1481,'Node Details'!$B:$U,E$1,0),"Check"),"")</f>
        <v>Airtel</v>
      </c>
      <c r="F1481" s="101">
        <v>46148</v>
      </c>
      <c r="G1481" s="103"/>
      <c r="H1481" s="102" t="s">
        <v>1254</v>
      </c>
      <c r="I1481" s="9">
        <v>1</v>
      </c>
      <c r="J1481" s="9">
        <v>500</v>
      </c>
      <c r="K1481" s="100">
        <f t="shared" si="189"/>
        <v>500</v>
      </c>
      <c r="L1481" s="78">
        <v>46142</v>
      </c>
      <c r="M1481" s="103"/>
      <c r="N1481" s="93" t="s">
        <v>534</v>
      </c>
      <c r="O1481" s="94"/>
      <c r="P1481" s="104">
        <f t="shared" si="200"/>
        <v>500</v>
      </c>
      <c r="Q1481" s="104">
        <f t="shared" si="201"/>
        <v>500</v>
      </c>
      <c r="R1481" s="104"/>
      <c r="S1481" s="93" t="s">
        <v>144</v>
      </c>
      <c r="T1481" s="94"/>
      <c r="U1481" s="104">
        <f t="shared" si="202"/>
        <v>500</v>
      </c>
      <c r="V1481" s="104">
        <f t="shared" si="203"/>
        <v>1</v>
      </c>
      <c r="W1481" s="103">
        <f t="shared" si="204"/>
        <v>500</v>
      </c>
      <c r="X1481" s="93" t="s">
        <v>803</v>
      </c>
      <c r="Y1481" s="105" t="s">
        <v>84</v>
      </c>
      <c r="Z1481" s="105" t="s">
        <v>619</v>
      </c>
    </row>
    <row r="1482" spans="1:26" s="105" customFormat="1" ht="15" customHeight="1">
      <c r="A1482" s="99">
        <f t="shared" si="205"/>
        <v>1480</v>
      </c>
      <c r="B1482" s="75" t="s">
        <v>1223</v>
      </c>
      <c r="C1482" s="100" t="str">
        <f>IF($B1482&lt;&gt;"",_xlfn.IFNA(VLOOKUP($B1482,'Node Details'!$B:$U,C$1,0),"Check"),"")</f>
        <v>0000CM414-CM4140105</v>
      </c>
      <c r="D1482" s="100" t="str">
        <f>IF($B1482&lt;&gt;"",_xlfn.IFNA(VLOOKUP($B1482,'Node Details'!$B:$U,D$1,0),"Check"),"")</f>
        <v>CM4</v>
      </c>
      <c r="E1482" s="100" t="str">
        <f>IF($B1482&lt;&gt;"",_xlfn.IFNA(VLOOKUP($B1482,'Node Details'!$B:$U,E$1,0),"Check"),"")</f>
        <v>Airtel</v>
      </c>
      <c r="F1482" s="101">
        <v>46148</v>
      </c>
      <c r="G1482" s="103"/>
      <c r="H1482" s="102" t="s">
        <v>1254</v>
      </c>
      <c r="I1482" s="9">
        <v>1</v>
      </c>
      <c r="J1482" s="9">
        <v>500</v>
      </c>
      <c r="K1482" s="100">
        <f t="shared" si="189"/>
        <v>500</v>
      </c>
      <c r="L1482" s="78">
        <v>46142</v>
      </c>
      <c r="M1482" s="103"/>
      <c r="N1482" s="93" t="s">
        <v>534</v>
      </c>
      <c r="O1482" s="94"/>
      <c r="P1482" s="104">
        <f t="shared" si="200"/>
        <v>500</v>
      </c>
      <c r="Q1482" s="104">
        <f t="shared" si="201"/>
        <v>500</v>
      </c>
      <c r="R1482" s="104"/>
      <c r="S1482" s="93" t="s">
        <v>144</v>
      </c>
      <c r="T1482" s="94"/>
      <c r="U1482" s="104">
        <f t="shared" si="202"/>
        <v>500</v>
      </c>
      <c r="V1482" s="104">
        <f t="shared" si="203"/>
        <v>1</v>
      </c>
      <c r="W1482" s="103">
        <f t="shared" si="204"/>
        <v>500</v>
      </c>
      <c r="X1482" s="93" t="s">
        <v>803</v>
      </c>
      <c r="Y1482" s="105" t="s">
        <v>84</v>
      </c>
      <c r="Z1482" s="105" t="s">
        <v>619</v>
      </c>
    </row>
    <row r="1483" spans="1:26" s="105" customFormat="1" ht="15" customHeight="1">
      <c r="A1483" s="99">
        <f t="shared" si="205"/>
        <v>1481</v>
      </c>
      <c r="B1483" s="75" t="s">
        <v>908</v>
      </c>
      <c r="C1483" s="100" t="str">
        <f>IF($B1483&lt;&gt;"",_xlfn.IFNA(VLOOKUP($B1483,'Node Details'!$B:$U,C$1,0),"Check"),"")</f>
        <v>0000CM414-CM4140105</v>
      </c>
      <c r="D1483" s="100" t="str">
        <f>IF($B1483&lt;&gt;"",_xlfn.IFNA(VLOOKUP($B1483,'Node Details'!$B:$U,D$1,0),"Check"),"")</f>
        <v>CM4</v>
      </c>
      <c r="E1483" s="100" t="str">
        <f>IF($B1483&lt;&gt;"",_xlfn.IFNA(VLOOKUP($B1483,'Node Details'!$B:$U,E$1,0),"Check"),"")</f>
        <v>Airtel</v>
      </c>
      <c r="F1483" s="101">
        <v>46148</v>
      </c>
      <c r="G1483" s="103"/>
      <c r="H1483" s="102" t="s">
        <v>1254</v>
      </c>
      <c r="I1483" s="9">
        <v>1</v>
      </c>
      <c r="J1483" s="9">
        <v>500</v>
      </c>
      <c r="K1483" s="100">
        <f t="shared" ref="K1483:K1546" si="206">IF(I1483&lt;&gt;"",J1483*I1483,0)</f>
        <v>500</v>
      </c>
      <c r="L1483" s="78">
        <v>46142</v>
      </c>
      <c r="M1483" s="103"/>
      <c r="N1483" s="93" t="s">
        <v>534</v>
      </c>
      <c r="O1483" s="94"/>
      <c r="P1483" s="104">
        <f t="shared" si="200"/>
        <v>500</v>
      </c>
      <c r="Q1483" s="104">
        <f t="shared" si="201"/>
        <v>500</v>
      </c>
      <c r="R1483" s="104"/>
      <c r="S1483" s="93" t="s">
        <v>144</v>
      </c>
      <c r="T1483" s="94"/>
      <c r="U1483" s="104">
        <f t="shared" si="202"/>
        <v>500</v>
      </c>
      <c r="V1483" s="104">
        <f t="shared" si="203"/>
        <v>1</v>
      </c>
      <c r="W1483" s="103">
        <f t="shared" si="204"/>
        <v>500</v>
      </c>
      <c r="X1483" s="93" t="s">
        <v>803</v>
      </c>
      <c r="Y1483" s="105" t="s">
        <v>84</v>
      </c>
      <c r="Z1483" s="105" t="s">
        <v>619</v>
      </c>
    </row>
    <row r="1484" spans="1:26" s="105" customFormat="1" ht="15" customHeight="1">
      <c r="A1484" s="99">
        <f t="shared" si="205"/>
        <v>1482</v>
      </c>
      <c r="B1484" s="75" t="s">
        <v>910</v>
      </c>
      <c r="C1484" s="100" t="str">
        <f>IF($B1484&lt;&gt;"",_xlfn.IFNA(VLOOKUP($B1484,'Node Details'!$B:$U,C$1,0),"Check"),"")</f>
        <v>0000CM414-CM4140108</v>
      </c>
      <c r="D1484" s="100" t="str">
        <f>IF($B1484&lt;&gt;"",_xlfn.IFNA(VLOOKUP($B1484,'Node Details'!$B:$U,D$1,0),"Check"),"")</f>
        <v>CM4</v>
      </c>
      <c r="E1484" s="100" t="str">
        <f>IF($B1484&lt;&gt;"",_xlfn.IFNA(VLOOKUP($B1484,'Node Details'!$B:$U,E$1,0),"Check"),"")</f>
        <v>Airtel</v>
      </c>
      <c r="F1484" s="101">
        <v>46148</v>
      </c>
      <c r="G1484" s="103"/>
      <c r="H1484" s="102" t="s">
        <v>1254</v>
      </c>
      <c r="I1484" s="9">
        <v>1</v>
      </c>
      <c r="J1484" s="9">
        <v>500</v>
      </c>
      <c r="K1484" s="100">
        <f t="shared" si="206"/>
        <v>500</v>
      </c>
      <c r="L1484" s="78">
        <v>46142</v>
      </c>
      <c r="M1484" s="103"/>
      <c r="N1484" s="93" t="s">
        <v>534</v>
      </c>
      <c r="O1484" s="94"/>
      <c r="P1484" s="104">
        <f t="shared" si="200"/>
        <v>500</v>
      </c>
      <c r="Q1484" s="104">
        <f t="shared" si="201"/>
        <v>500</v>
      </c>
      <c r="R1484" s="104"/>
      <c r="S1484" s="93" t="s">
        <v>144</v>
      </c>
      <c r="T1484" s="94"/>
      <c r="U1484" s="104">
        <f t="shared" si="202"/>
        <v>500</v>
      </c>
      <c r="V1484" s="104">
        <f t="shared" si="203"/>
        <v>1</v>
      </c>
      <c r="W1484" s="103">
        <f t="shared" si="204"/>
        <v>500</v>
      </c>
      <c r="X1484" s="93" t="s">
        <v>803</v>
      </c>
      <c r="Y1484" s="105" t="s">
        <v>84</v>
      </c>
      <c r="Z1484" s="105" t="s">
        <v>619</v>
      </c>
    </row>
    <row r="1485" spans="1:26" s="105" customFormat="1" ht="15" customHeight="1">
      <c r="A1485" s="99">
        <f t="shared" si="205"/>
        <v>1483</v>
      </c>
      <c r="B1485" s="75" t="s">
        <v>912</v>
      </c>
      <c r="C1485" s="100" t="str">
        <f>IF($B1485&lt;&gt;"",_xlfn.IFNA(VLOOKUP($B1485,'Node Details'!$B:$U,C$1,0),"Check"),"")</f>
        <v>0000CM415-CM4150101</v>
      </c>
      <c r="D1485" s="100" t="str">
        <f>IF($B1485&lt;&gt;"",_xlfn.IFNA(VLOOKUP($B1485,'Node Details'!$B:$U,D$1,0),"Check"),"")</f>
        <v>CM4</v>
      </c>
      <c r="E1485" s="100" t="str">
        <f>IF($B1485&lt;&gt;"",_xlfn.IFNA(VLOOKUP($B1485,'Node Details'!$B:$U,E$1,0),"Check"),"")</f>
        <v>Airtel</v>
      </c>
      <c r="F1485" s="101">
        <v>46148</v>
      </c>
      <c r="G1485" s="103"/>
      <c r="H1485" s="102" t="s">
        <v>1254</v>
      </c>
      <c r="I1485" s="9">
        <v>1</v>
      </c>
      <c r="J1485" s="9">
        <v>500</v>
      </c>
      <c r="K1485" s="100">
        <f t="shared" si="206"/>
        <v>500</v>
      </c>
      <c r="L1485" s="78">
        <v>46142</v>
      </c>
      <c r="M1485" s="103"/>
      <c r="N1485" s="93" t="s">
        <v>534</v>
      </c>
      <c r="O1485" s="94"/>
      <c r="P1485" s="104">
        <f t="shared" ref="P1485:P1548" si="207">J1485</f>
        <v>500</v>
      </c>
      <c r="Q1485" s="104">
        <f t="shared" ref="Q1485:Q1548" si="208">P1485*I1485</f>
        <v>500</v>
      </c>
      <c r="R1485" s="104"/>
      <c r="S1485" s="93" t="s">
        <v>144</v>
      </c>
      <c r="T1485" s="94"/>
      <c r="U1485" s="104">
        <f t="shared" ref="U1485:U1548" si="209">J1485</f>
        <v>500</v>
      </c>
      <c r="V1485" s="104">
        <f t="shared" ref="V1485:V1548" si="210">I1485</f>
        <v>1</v>
      </c>
      <c r="W1485" s="103">
        <f t="shared" ref="W1485:W1548" si="211">IF(V1485&lt;&gt;"",V1485*U1485,0)</f>
        <v>500</v>
      </c>
      <c r="X1485" s="93" t="s">
        <v>803</v>
      </c>
      <c r="Y1485" s="105" t="s">
        <v>84</v>
      </c>
      <c r="Z1485" s="105" t="s">
        <v>619</v>
      </c>
    </row>
    <row r="1486" spans="1:26" s="105" customFormat="1" ht="15" customHeight="1">
      <c r="A1486" s="99">
        <f t="shared" si="205"/>
        <v>1484</v>
      </c>
      <c r="B1486" s="75" t="s">
        <v>1224</v>
      </c>
      <c r="C1486" s="100" t="str">
        <f>IF($B1486&lt;&gt;"",_xlfn.IFNA(VLOOKUP($B1486,'Node Details'!$B:$U,C$1,0),"Check"),"")</f>
        <v>0000CM415-CM4150104</v>
      </c>
      <c r="D1486" s="100" t="str">
        <f>IF($B1486&lt;&gt;"",_xlfn.IFNA(VLOOKUP($B1486,'Node Details'!$B:$U,D$1,0),"Check"),"")</f>
        <v>CM4</v>
      </c>
      <c r="E1486" s="100" t="str">
        <f>IF($B1486&lt;&gt;"",_xlfn.IFNA(VLOOKUP($B1486,'Node Details'!$B:$U,E$1,0),"Check"),"")</f>
        <v>Airtel</v>
      </c>
      <c r="F1486" s="101">
        <v>46148</v>
      </c>
      <c r="G1486" s="103"/>
      <c r="H1486" s="102" t="s">
        <v>1254</v>
      </c>
      <c r="I1486" s="9">
        <v>1</v>
      </c>
      <c r="J1486" s="9">
        <v>500</v>
      </c>
      <c r="K1486" s="100">
        <f t="shared" si="206"/>
        <v>500</v>
      </c>
      <c r="L1486" s="78">
        <v>46142</v>
      </c>
      <c r="M1486" s="103"/>
      <c r="N1486" s="93" t="s">
        <v>534</v>
      </c>
      <c r="O1486" s="94"/>
      <c r="P1486" s="104">
        <f t="shared" si="207"/>
        <v>500</v>
      </c>
      <c r="Q1486" s="104">
        <f t="shared" si="208"/>
        <v>500</v>
      </c>
      <c r="R1486" s="104"/>
      <c r="S1486" s="93" t="s">
        <v>144</v>
      </c>
      <c r="T1486" s="94"/>
      <c r="U1486" s="104">
        <f t="shared" si="209"/>
        <v>500</v>
      </c>
      <c r="V1486" s="104">
        <f t="shared" si="210"/>
        <v>1</v>
      </c>
      <c r="W1486" s="103">
        <f t="shared" si="211"/>
        <v>500</v>
      </c>
      <c r="X1486" s="93" t="s">
        <v>803</v>
      </c>
      <c r="Y1486" s="105" t="s">
        <v>84</v>
      </c>
      <c r="Z1486" s="105" t="s">
        <v>619</v>
      </c>
    </row>
    <row r="1487" spans="1:26" s="105" customFormat="1" ht="15" customHeight="1">
      <c r="A1487" s="99">
        <f t="shared" si="205"/>
        <v>1485</v>
      </c>
      <c r="B1487" s="75" t="s">
        <v>914</v>
      </c>
      <c r="C1487" s="100" t="str">
        <f>IF($B1487&lt;&gt;"",_xlfn.IFNA(VLOOKUP($B1487,'Node Details'!$B:$U,C$1,0),"Check"),"")</f>
        <v>0000CM415-CM4150104</v>
      </c>
      <c r="D1487" s="100" t="str">
        <f>IF($B1487&lt;&gt;"",_xlfn.IFNA(VLOOKUP($B1487,'Node Details'!$B:$U,D$1,0),"Check"),"")</f>
        <v>CM4</v>
      </c>
      <c r="E1487" s="100" t="str">
        <f>IF($B1487&lt;&gt;"",_xlfn.IFNA(VLOOKUP($B1487,'Node Details'!$B:$U,E$1,0),"Check"),"")</f>
        <v>Airtel</v>
      </c>
      <c r="F1487" s="101">
        <v>46148</v>
      </c>
      <c r="G1487" s="103"/>
      <c r="H1487" s="102" t="s">
        <v>1254</v>
      </c>
      <c r="I1487" s="9">
        <v>1</v>
      </c>
      <c r="J1487" s="9">
        <v>500</v>
      </c>
      <c r="K1487" s="100">
        <f t="shared" si="206"/>
        <v>500</v>
      </c>
      <c r="L1487" s="78">
        <v>46142</v>
      </c>
      <c r="M1487" s="103"/>
      <c r="N1487" s="93" t="s">
        <v>534</v>
      </c>
      <c r="O1487" s="94"/>
      <c r="P1487" s="104">
        <f t="shared" si="207"/>
        <v>500</v>
      </c>
      <c r="Q1487" s="104">
        <f t="shared" si="208"/>
        <v>500</v>
      </c>
      <c r="R1487" s="104"/>
      <c r="S1487" s="93" t="s">
        <v>144</v>
      </c>
      <c r="T1487" s="94"/>
      <c r="U1487" s="104">
        <f t="shared" si="209"/>
        <v>500</v>
      </c>
      <c r="V1487" s="104">
        <f t="shared" si="210"/>
        <v>1</v>
      </c>
      <c r="W1487" s="103">
        <f t="shared" si="211"/>
        <v>500</v>
      </c>
      <c r="X1487" s="93" t="s">
        <v>803</v>
      </c>
      <c r="Y1487" s="105" t="s">
        <v>84</v>
      </c>
      <c r="Z1487" s="105" t="s">
        <v>619</v>
      </c>
    </row>
    <row r="1488" spans="1:26" s="105" customFormat="1" ht="15" customHeight="1">
      <c r="A1488" s="99">
        <f t="shared" si="205"/>
        <v>1486</v>
      </c>
      <c r="B1488" s="75" t="s">
        <v>1225</v>
      </c>
      <c r="C1488" s="100" t="str">
        <f>IF($B1488&lt;&gt;"",_xlfn.IFNA(VLOOKUP($B1488,'Node Details'!$B:$U,C$1,0),"Check"),"")</f>
        <v>0000CM415-CM4150108</v>
      </c>
      <c r="D1488" s="100" t="str">
        <f>IF($B1488&lt;&gt;"",_xlfn.IFNA(VLOOKUP($B1488,'Node Details'!$B:$U,D$1,0),"Check"),"")</f>
        <v>CM4</v>
      </c>
      <c r="E1488" s="100" t="str">
        <f>IF($B1488&lt;&gt;"",_xlfn.IFNA(VLOOKUP($B1488,'Node Details'!$B:$U,E$1,0),"Check"),"")</f>
        <v>Airtel</v>
      </c>
      <c r="F1488" s="101">
        <v>46148</v>
      </c>
      <c r="G1488" s="103"/>
      <c r="H1488" s="102" t="s">
        <v>1254</v>
      </c>
      <c r="I1488" s="9">
        <v>1</v>
      </c>
      <c r="J1488" s="9">
        <v>500</v>
      </c>
      <c r="K1488" s="100">
        <f t="shared" si="206"/>
        <v>500</v>
      </c>
      <c r="L1488" s="78">
        <v>46142</v>
      </c>
      <c r="M1488" s="103"/>
      <c r="N1488" s="93" t="s">
        <v>534</v>
      </c>
      <c r="O1488" s="94"/>
      <c r="P1488" s="104">
        <f t="shared" si="207"/>
        <v>500</v>
      </c>
      <c r="Q1488" s="104">
        <f t="shared" si="208"/>
        <v>500</v>
      </c>
      <c r="R1488" s="104"/>
      <c r="S1488" s="93" t="s">
        <v>144</v>
      </c>
      <c r="T1488" s="94"/>
      <c r="U1488" s="104">
        <f t="shared" si="209"/>
        <v>500</v>
      </c>
      <c r="V1488" s="104">
        <f t="shared" si="210"/>
        <v>1</v>
      </c>
      <c r="W1488" s="103">
        <f t="shared" si="211"/>
        <v>500</v>
      </c>
      <c r="X1488" s="93" t="s">
        <v>803</v>
      </c>
      <c r="Y1488" s="105" t="s">
        <v>84</v>
      </c>
      <c r="Z1488" s="105" t="s">
        <v>619</v>
      </c>
    </row>
    <row r="1489" spans="1:26" s="105" customFormat="1" ht="15" customHeight="1">
      <c r="A1489" s="99">
        <f t="shared" si="205"/>
        <v>1487</v>
      </c>
      <c r="B1489" s="75" t="s">
        <v>1226</v>
      </c>
      <c r="C1489" s="100" t="str">
        <f>IF($B1489&lt;&gt;"",_xlfn.IFNA(VLOOKUP($B1489,'Node Details'!$B:$U,C$1,0),"Check"),"")</f>
        <v>0000CM415-CM4150108</v>
      </c>
      <c r="D1489" s="100" t="str">
        <f>IF($B1489&lt;&gt;"",_xlfn.IFNA(VLOOKUP($B1489,'Node Details'!$B:$U,D$1,0),"Check"),"")</f>
        <v>CM4</v>
      </c>
      <c r="E1489" s="100" t="str">
        <f>IF($B1489&lt;&gt;"",_xlfn.IFNA(VLOOKUP($B1489,'Node Details'!$B:$U,E$1,0),"Check"),"")</f>
        <v>Airtel</v>
      </c>
      <c r="F1489" s="101">
        <v>46148</v>
      </c>
      <c r="G1489" s="103"/>
      <c r="H1489" s="102" t="s">
        <v>1254</v>
      </c>
      <c r="I1489" s="9">
        <v>1</v>
      </c>
      <c r="J1489" s="9">
        <v>500</v>
      </c>
      <c r="K1489" s="100">
        <f t="shared" si="206"/>
        <v>500</v>
      </c>
      <c r="L1489" s="78">
        <v>46142</v>
      </c>
      <c r="M1489" s="103"/>
      <c r="N1489" s="93" t="s">
        <v>534</v>
      </c>
      <c r="O1489" s="94"/>
      <c r="P1489" s="104">
        <f t="shared" si="207"/>
        <v>500</v>
      </c>
      <c r="Q1489" s="104">
        <f t="shared" si="208"/>
        <v>500</v>
      </c>
      <c r="R1489" s="104"/>
      <c r="S1489" s="93" t="s">
        <v>144</v>
      </c>
      <c r="T1489" s="94"/>
      <c r="U1489" s="104">
        <f t="shared" si="209"/>
        <v>500</v>
      </c>
      <c r="V1489" s="104">
        <f t="shared" si="210"/>
        <v>1</v>
      </c>
      <c r="W1489" s="103">
        <f t="shared" si="211"/>
        <v>500</v>
      </c>
      <c r="X1489" s="93" t="s">
        <v>803</v>
      </c>
      <c r="Y1489" s="105" t="s">
        <v>84</v>
      </c>
      <c r="Z1489" s="105" t="s">
        <v>619</v>
      </c>
    </row>
    <row r="1490" spans="1:26" s="105" customFormat="1" ht="15" customHeight="1">
      <c r="A1490" s="99">
        <f t="shared" si="205"/>
        <v>1488</v>
      </c>
      <c r="B1490" s="75" t="s">
        <v>916</v>
      </c>
      <c r="C1490" s="100" t="str">
        <f>IF($B1490&lt;&gt;"",_xlfn.IFNA(VLOOKUP($B1490,'Node Details'!$B:$U,C$1,0),"Check"),"")</f>
        <v>0000CM415-CM4150108</v>
      </c>
      <c r="D1490" s="100" t="str">
        <f>IF($B1490&lt;&gt;"",_xlfn.IFNA(VLOOKUP($B1490,'Node Details'!$B:$U,D$1,0),"Check"),"")</f>
        <v>CM4</v>
      </c>
      <c r="E1490" s="100" t="str">
        <f>IF($B1490&lt;&gt;"",_xlfn.IFNA(VLOOKUP($B1490,'Node Details'!$B:$U,E$1,0),"Check"),"")</f>
        <v>Airtel</v>
      </c>
      <c r="F1490" s="101">
        <v>46148</v>
      </c>
      <c r="G1490" s="103"/>
      <c r="H1490" s="102" t="s">
        <v>1254</v>
      </c>
      <c r="I1490" s="9">
        <v>1</v>
      </c>
      <c r="J1490" s="9">
        <v>500</v>
      </c>
      <c r="K1490" s="100">
        <f t="shared" si="206"/>
        <v>500</v>
      </c>
      <c r="L1490" s="78">
        <v>46142</v>
      </c>
      <c r="M1490" s="103"/>
      <c r="N1490" s="93" t="s">
        <v>534</v>
      </c>
      <c r="O1490" s="94"/>
      <c r="P1490" s="104">
        <f t="shared" si="207"/>
        <v>500</v>
      </c>
      <c r="Q1490" s="104">
        <f t="shared" si="208"/>
        <v>500</v>
      </c>
      <c r="R1490" s="104"/>
      <c r="S1490" s="93" t="s">
        <v>144</v>
      </c>
      <c r="T1490" s="94"/>
      <c r="U1490" s="104">
        <f t="shared" si="209"/>
        <v>500</v>
      </c>
      <c r="V1490" s="104">
        <f t="shared" si="210"/>
        <v>1</v>
      </c>
      <c r="W1490" s="103">
        <f t="shared" si="211"/>
        <v>500</v>
      </c>
      <c r="X1490" s="93" t="s">
        <v>803</v>
      </c>
      <c r="Y1490" s="105" t="s">
        <v>84</v>
      </c>
      <c r="Z1490" s="105" t="s">
        <v>619</v>
      </c>
    </row>
    <row r="1491" spans="1:26" s="105" customFormat="1" ht="15" customHeight="1">
      <c r="A1491" s="99">
        <f t="shared" si="205"/>
        <v>1489</v>
      </c>
      <c r="B1491" s="75" t="s">
        <v>918</v>
      </c>
      <c r="C1491" s="100" t="str">
        <f>IF($B1491&lt;&gt;"",_xlfn.IFNA(VLOOKUP($B1491,'Node Details'!$B:$U,C$1,0),"Check"),"")</f>
        <v>0000CM416-CM4160101</v>
      </c>
      <c r="D1491" s="100" t="str">
        <f>IF($B1491&lt;&gt;"",_xlfn.IFNA(VLOOKUP($B1491,'Node Details'!$B:$U,D$1,0),"Check"),"")</f>
        <v>CM4</v>
      </c>
      <c r="E1491" s="100" t="str">
        <f>IF($B1491&lt;&gt;"",_xlfn.IFNA(VLOOKUP($B1491,'Node Details'!$B:$U,E$1,0),"Check"),"")</f>
        <v>Airtel</v>
      </c>
      <c r="F1491" s="101">
        <v>46148</v>
      </c>
      <c r="G1491" s="103"/>
      <c r="H1491" s="102" t="s">
        <v>1254</v>
      </c>
      <c r="I1491" s="9">
        <v>1</v>
      </c>
      <c r="J1491" s="9">
        <v>500</v>
      </c>
      <c r="K1491" s="100">
        <f t="shared" si="206"/>
        <v>500</v>
      </c>
      <c r="L1491" s="78">
        <v>46142</v>
      </c>
      <c r="M1491" s="103"/>
      <c r="N1491" s="93" t="s">
        <v>534</v>
      </c>
      <c r="O1491" s="94"/>
      <c r="P1491" s="104">
        <f t="shared" si="207"/>
        <v>500</v>
      </c>
      <c r="Q1491" s="104">
        <f t="shared" si="208"/>
        <v>500</v>
      </c>
      <c r="R1491" s="104"/>
      <c r="S1491" s="93" t="s">
        <v>144</v>
      </c>
      <c r="T1491" s="94"/>
      <c r="U1491" s="104">
        <f t="shared" si="209"/>
        <v>500</v>
      </c>
      <c r="V1491" s="104">
        <f t="shared" si="210"/>
        <v>1</v>
      </c>
      <c r="W1491" s="103">
        <f t="shared" si="211"/>
        <v>500</v>
      </c>
      <c r="X1491" s="93" t="s">
        <v>803</v>
      </c>
      <c r="Y1491" s="105" t="s">
        <v>84</v>
      </c>
      <c r="Z1491" s="105" t="s">
        <v>619</v>
      </c>
    </row>
    <row r="1492" spans="1:26" s="105" customFormat="1" ht="15" customHeight="1">
      <c r="A1492" s="99">
        <f t="shared" si="205"/>
        <v>1490</v>
      </c>
      <c r="B1492" s="75" t="s">
        <v>1227</v>
      </c>
      <c r="C1492" s="100" t="str">
        <f>IF($B1492&lt;&gt;"",_xlfn.IFNA(VLOOKUP($B1492,'Node Details'!$B:$U,C$1,0),"Check"),"")</f>
        <v>0000CM416-CM4160104</v>
      </c>
      <c r="D1492" s="100" t="str">
        <f>IF($B1492&lt;&gt;"",_xlfn.IFNA(VLOOKUP($B1492,'Node Details'!$B:$U,D$1,0),"Check"),"")</f>
        <v>CM4</v>
      </c>
      <c r="E1492" s="100" t="str">
        <f>IF($B1492&lt;&gt;"",_xlfn.IFNA(VLOOKUP($B1492,'Node Details'!$B:$U,E$1,0),"Check"),"")</f>
        <v>Airtel</v>
      </c>
      <c r="F1492" s="101">
        <v>46148</v>
      </c>
      <c r="G1492" s="103"/>
      <c r="H1492" s="102" t="s">
        <v>1254</v>
      </c>
      <c r="I1492" s="9">
        <v>1</v>
      </c>
      <c r="J1492" s="9">
        <v>500</v>
      </c>
      <c r="K1492" s="100">
        <f t="shared" si="206"/>
        <v>500</v>
      </c>
      <c r="L1492" s="78">
        <v>46142</v>
      </c>
      <c r="M1492" s="103"/>
      <c r="N1492" s="93" t="s">
        <v>534</v>
      </c>
      <c r="O1492" s="94"/>
      <c r="P1492" s="104">
        <f t="shared" si="207"/>
        <v>500</v>
      </c>
      <c r="Q1492" s="104">
        <f t="shared" si="208"/>
        <v>500</v>
      </c>
      <c r="R1492" s="104"/>
      <c r="S1492" s="93" t="s">
        <v>144</v>
      </c>
      <c r="T1492" s="94"/>
      <c r="U1492" s="104">
        <f t="shared" si="209"/>
        <v>500</v>
      </c>
      <c r="V1492" s="104">
        <f t="shared" si="210"/>
        <v>1</v>
      </c>
      <c r="W1492" s="103">
        <f t="shared" si="211"/>
        <v>500</v>
      </c>
      <c r="X1492" s="93" t="s">
        <v>803</v>
      </c>
      <c r="Y1492" s="105" t="s">
        <v>84</v>
      </c>
      <c r="Z1492" s="105" t="s">
        <v>619</v>
      </c>
    </row>
    <row r="1493" spans="1:26" s="105" customFormat="1" ht="15" customHeight="1">
      <c r="A1493" s="99">
        <f t="shared" si="205"/>
        <v>1491</v>
      </c>
      <c r="B1493" s="75" t="s">
        <v>1228</v>
      </c>
      <c r="C1493" s="100" t="str">
        <f>IF($B1493&lt;&gt;"",_xlfn.IFNA(VLOOKUP($B1493,'Node Details'!$B:$U,C$1,0),"Check"),"")</f>
        <v>0000CM416-CM4160104</v>
      </c>
      <c r="D1493" s="100" t="str">
        <f>IF($B1493&lt;&gt;"",_xlfn.IFNA(VLOOKUP($B1493,'Node Details'!$B:$U,D$1,0),"Check"),"")</f>
        <v>CM4</v>
      </c>
      <c r="E1493" s="100" t="str">
        <f>IF($B1493&lt;&gt;"",_xlfn.IFNA(VLOOKUP($B1493,'Node Details'!$B:$U,E$1,0),"Check"),"")</f>
        <v>Airtel</v>
      </c>
      <c r="F1493" s="101">
        <v>46148</v>
      </c>
      <c r="G1493" s="103"/>
      <c r="H1493" s="102" t="s">
        <v>1254</v>
      </c>
      <c r="I1493" s="9">
        <v>1</v>
      </c>
      <c r="J1493" s="9">
        <v>500</v>
      </c>
      <c r="K1493" s="100">
        <f t="shared" si="206"/>
        <v>500</v>
      </c>
      <c r="L1493" s="78">
        <v>46142</v>
      </c>
      <c r="M1493" s="103"/>
      <c r="N1493" s="93" t="s">
        <v>534</v>
      </c>
      <c r="O1493" s="94"/>
      <c r="P1493" s="104">
        <f t="shared" si="207"/>
        <v>500</v>
      </c>
      <c r="Q1493" s="104">
        <f t="shared" si="208"/>
        <v>500</v>
      </c>
      <c r="R1493" s="104"/>
      <c r="S1493" s="93" t="s">
        <v>144</v>
      </c>
      <c r="T1493" s="94"/>
      <c r="U1493" s="104">
        <f t="shared" si="209"/>
        <v>500</v>
      </c>
      <c r="V1493" s="104">
        <f t="shared" si="210"/>
        <v>1</v>
      </c>
      <c r="W1493" s="103">
        <f t="shared" si="211"/>
        <v>500</v>
      </c>
      <c r="X1493" s="93" t="s">
        <v>803</v>
      </c>
      <c r="Y1493" s="105" t="s">
        <v>84</v>
      </c>
      <c r="Z1493" s="105" t="s">
        <v>619</v>
      </c>
    </row>
    <row r="1494" spans="1:26" s="105" customFormat="1" ht="15" customHeight="1">
      <c r="A1494" s="99">
        <f t="shared" si="205"/>
        <v>1492</v>
      </c>
      <c r="B1494" s="75" t="s">
        <v>920</v>
      </c>
      <c r="C1494" s="100" t="str">
        <f>IF($B1494&lt;&gt;"",_xlfn.IFNA(VLOOKUP($B1494,'Node Details'!$B:$U,C$1,0),"Check"),"")</f>
        <v>0000CM416-CM4160104</v>
      </c>
      <c r="D1494" s="100" t="str">
        <f>IF($B1494&lt;&gt;"",_xlfn.IFNA(VLOOKUP($B1494,'Node Details'!$B:$U,D$1,0),"Check"),"")</f>
        <v>CM4</v>
      </c>
      <c r="E1494" s="100" t="str">
        <f>IF($B1494&lt;&gt;"",_xlfn.IFNA(VLOOKUP($B1494,'Node Details'!$B:$U,E$1,0),"Check"),"")</f>
        <v>Airtel</v>
      </c>
      <c r="F1494" s="101">
        <v>46148</v>
      </c>
      <c r="G1494" s="103"/>
      <c r="H1494" s="102" t="s">
        <v>1254</v>
      </c>
      <c r="I1494" s="9">
        <v>1</v>
      </c>
      <c r="J1494" s="9">
        <v>500</v>
      </c>
      <c r="K1494" s="100">
        <f t="shared" si="206"/>
        <v>500</v>
      </c>
      <c r="L1494" s="78">
        <v>46142</v>
      </c>
      <c r="M1494" s="103"/>
      <c r="N1494" s="93" t="s">
        <v>534</v>
      </c>
      <c r="O1494" s="94"/>
      <c r="P1494" s="104">
        <f t="shared" si="207"/>
        <v>500</v>
      </c>
      <c r="Q1494" s="104">
        <f t="shared" si="208"/>
        <v>500</v>
      </c>
      <c r="R1494" s="104"/>
      <c r="S1494" s="93" t="s">
        <v>144</v>
      </c>
      <c r="T1494" s="94"/>
      <c r="U1494" s="104">
        <f t="shared" si="209"/>
        <v>500</v>
      </c>
      <c r="V1494" s="104">
        <f t="shared" si="210"/>
        <v>1</v>
      </c>
      <c r="W1494" s="103">
        <f t="shared" si="211"/>
        <v>500</v>
      </c>
      <c r="X1494" s="93" t="s">
        <v>803</v>
      </c>
      <c r="Y1494" s="105" t="s">
        <v>84</v>
      </c>
      <c r="Z1494" s="105" t="s">
        <v>619</v>
      </c>
    </row>
    <row r="1495" spans="1:26" s="105" customFormat="1" ht="15" customHeight="1">
      <c r="A1495" s="99">
        <f t="shared" si="205"/>
        <v>1493</v>
      </c>
      <c r="B1495" s="75" t="s">
        <v>922</v>
      </c>
      <c r="C1495" s="100" t="str">
        <f>IF($B1495&lt;&gt;"",_xlfn.IFNA(VLOOKUP($B1495,'Node Details'!$B:$U,C$1,0),"Check"),"")</f>
        <v>0000CM416-CM4160105</v>
      </c>
      <c r="D1495" s="100" t="str">
        <f>IF($B1495&lt;&gt;"",_xlfn.IFNA(VLOOKUP($B1495,'Node Details'!$B:$U,D$1,0),"Check"),"")</f>
        <v>CM4</v>
      </c>
      <c r="E1495" s="100" t="str">
        <f>IF($B1495&lt;&gt;"",_xlfn.IFNA(VLOOKUP($B1495,'Node Details'!$B:$U,E$1,0),"Check"),"")</f>
        <v>Airtel</v>
      </c>
      <c r="F1495" s="101">
        <v>46148</v>
      </c>
      <c r="G1495" s="103"/>
      <c r="H1495" s="102" t="s">
        <v>1254</v>
      </c>
      <c r="I1495" s="9">
        <v>1</v>
      </c>
      <c r="J1495" s="9">
        <v>500</v>
      </c>
      <c r="K1495" s="100">
        <f t="shared" si="206"/>
        <v>500</v>
      </c>
      <c r="L1495" s="78">
        <v>46142</v>
      </c>
      <c r="M1495" s="103"/>
      <c r="N1495" s="93" t="s">
        <v>534</v>
      </c>
      <c r="O1495" s="94"/>
      <c r="P1495" s="104">
        <f t="shared" si="207"/>
        <v>500</v>
      </c>
      <c r="Q1495" s="104">
        <f t="shared" si="208"/>
        <v>500</v>
      </c>
      <c r="R1495" s="104"/>
      <c r="S1495" s="93" t="s">
        <v>144</v>
      </c>
      <c r="T1495" s="94"/>
      <c r="U1495" s="104">
        <f t="shared" si="209"/>
        <v>500</v>
      </c>
      <c r="V1495" s="104">
        <f t="shared" si="210"/>
        <v>1</v>
      </c>
      <c r="W1495" s="103">
        <f t="shared" si="211"/>
        <v>500</v>
      </c>
      <c r="X1495" s="93" t="s">
        <v>803</v>
      </c>
      <c r="Y1495" s="105" t="s">
        <v>84</v>
      </c>
      <c r="Z1495" s="105" t="s">
        <v>619</v>
      </c>
    </row>
    <row r="1496" spans="1:26" s="105" customFormat="1" ht="15" customHeight="1">
      <c r="A1496" s="99">
        <f t="shared" si="205"/>
        <v>1494</v>
      </c>
      <c r="B1496" s="75" t="s">
        <v>924</v>
      </c>
      <c r="C1496" s="100" t="str">
        <f>IF($B1496&lt;&gt;"",_xlfn.IFNA(VLOOKUP($B1496,'Node Details'!$B:$U,C$1,0),"Check"),"")</f>
        <v>0000CM418-CM4180101</v>
      </c>
      <c r="D1496" s="100" t="str">
        <f>IF($B1496&lt;&gt;"",_xlfn.IFNA(VLOOKUP($B1496,'Node Details'!$B:$U,D$1,0),"Check"),"")</f>
        <v>CM4</v>
      </c>
      <c r="E1496" s="100" t="str">
        <f>IF($B1496&lt;&gt;"",_xlfn.IFNA(VLOOKUP($B1496,'Node Details'!$B:$U,E$1,0),"Check"),"")</f>
        <v>Airtel</v>
      </c>
      <c r="F1496" s="101">
        <v>46148</v>
      </c>
      <c r="G1496" s="103"/>
      <c r="H1496" s="102" t="s">
        <v>1254</v>
      </c>
      <c r="I1496" s="9">
        <v>1</v>
      </c>
      <c r="J1496" s="9">
        <v>500</v>
      </c>
      <c r="K1496" s="100">
        <f t="shared" si="206"/>
        <v>500</v>
      </c>
      <c r="L1496" s="78">
        <v>46142</v>
      </c>
      <c r="M1496" s="103"/>
      <c r="N1496" s="93" t="s">
        <v>534</v>
      </c>
      <c r="O1496" s="94"/>
      <c r="P1496" s="104">
        <f t="shared" si="207"/>
        <v>500</v>
      </c>
      <c r="Q1496" s="104">
        <f t="shared" si="208"/>
        <v>500</v>
      </c>
      <c r="R1496" s="104"/>
      <c r="S1496" s="93" t="s">
        <v>144</v>
      </c>
      <c r="T1496" s="94"/>
      <c r="U1496" s="104">
        <f t="shared" si="209"/>
        <v>500</v>
      </c>
      <c r="V1496" s="104">
        <f t="shared" si="210"/>
        <v>1</v>
      </c>
      <c r="W1496" s="103">
        <f t="shared" si="211"/>
        <v>500</v>
      </c>
      <c r="X1496" s="93" t="s">
        <v>803</v>
      </c>
      <c r="Y1496" s="105" t="s">
        <v>84</v>
      </c>
      <c r="Z1496" s="105" t="s">
        <v>619</v>
      </c>
    </row>
    <row r="1497" spans="1:26" s="105" customFormat="1" ht="15" customHeight="1">
      <c r="A1497" s="99">
        <f t="shared" si="205"/>
        <v>1495</v>
      </c>
      <c r="B1497" s="75" t="s">
        <v>926</v>
      </c>
      <c r="C1497" s="100" t="str">
        <f>IF($B1497&lt;&gt;"",_xlfn.IFNA(VLOOKUP($B1497,'Node Details'!$B:$U,C$1,0),"Check"),"")</f>
        <v>0000CM418-CM4180102</v>
      </c>
      <c r="D1497" s="100" t="str">
        <f>IF($B1497&lt;&gt;"",_xlfn.IFNA(VLOOKUP($B1497,'Node Details'!$B:$U,D$1,0),"Check"),"")</f>
        <v>CM4</v>
      </c>
      <c r="E1497" s="100" t="str">
        <f>IF($B1497&lt;&gt;"",_xlfn.IFNA(VLOOKUP($B1497,'Node Details'!$B:$U,E$1,0),"Check"),"")</f>
        <v>Airtel</v>
      </c>
      <c r="F1497" s="101">
        <v>46148</v>
      </c>
      <c r="G1497" s="103"/>
      <c r="H1497" s="102" t="s">
        <v>1254</v>
      </c>
      <c r="I1497" s="9">
        <v>1</v>
      </c>
      <c r="J1497" s="9">
        <v>500</v>
      </c>
      <c r="K1497" s="100">
        <f t="shared" si="206"/>
        <v>500</v>
      </c>
      <c r="L1497" s="78">
        <v>46142</v>
      </c>
      <c r="M1497" s="103"/>
      <c r="N1497" s="93" t="s">
        <v>534</v>
      </c>
      <c r="O1497" s="94"/>
      <c r="P1497" s="104">
        <f t="shared" si="207"/>
        <v>500</v>
      </c>
      <c r="Q1497" s="104">
        <f t="shared" si="208"/>
        <v>500</v>
      </c>
      <c r="R1497" s="104"/>
      <c r="S1497" s="93" t="s">
        <v>144</v>
      </c>
      <c r="T1497" s="94"/>
      <c r="U1497" s="104">
        <f t="shared" si="209"/>
        <v>500</v>
      </c>
      <c r="V1497" s="104">
        <f t="shared" si="210"/>
        <v>1</v>
      </c>
      <c r="W1497" s="103">
        <f t="shared" si="211"/>
        <v>500</v>
      </c>
      <c r="X1497" s="93" t="s">
        <v>803</v>
      </c>
      <c r="Y1497" s="105" t="s">
        <v>84</v>
      </c>
      <c r="Z1497" s="105" t="s">
        <v>619</v>
      </c>
    </row>
    <row r="1498" spans="1:26" s="105" customFormat="1" ht="15" customHeight="1">
      <c r="A1498" s="99">
        <f t="shared" si="205"/>
        <v>1496</v>
      </c>
      <c r="B1498" s="75" t="s">
        <v>1229</v>
      </c>
      <c r="C1498" s="100" t="str">
        <f>IF($B1498&lt;&gt;"",_xlfn.IFNA(VLOOKUP($B1498,'Node Details'!$B:$U,C$1,0),"Check"),"")</f>
        <v>0000CM418-CM4180104</v>
      </c>
      <c r="D1498" s="100" t="str">
        <f>IF($B1498&lt;&gt;"",_xlfn.IFNA(VLOOKUP($B1498,'Node Details'!$B:$U,D$1,0),"Check"),"")</f>
        <v>CM4</v>
      </c>
      <c r="E1498" s="100" t="str">
        <f>IF($B1498&lt;&gt;"",_xlfn.IFNA(VLOOKUP($B1498,'Node Details'!$B:$U,E$1,0),"Check"),"")</f>
        <v>Airtel</v>
      </c>
      <c r="F1498" s="101">
        <v>46148</v>
      </c>
      <c r="G1498" s="103"/>
      <c r="H1498" s="102" t="s">
        <v>1254</v>
      </c>
      <c r="I1498" s="9">
        <v>1</v>
      </c>
      <c r="J1498" s="9">
        <v>500</v>
      </c>
      <c r="K1498" s="100">
        <f t="shared" si="206"/>
        <v>500</v>
      </c>
      <c r="L1498" s="78">
        <v>46142</v>
      </c>
      <c r="M1498" s="103"/>
      <c r="N1498" s="93" t="s">
        <v>534</v>
      </c>
      <c r="O1498" s="94"/>
      <c r="P1498" s="104">
        <f t="shared" si="207"/>
        <v>500</v>
      </c>
      <c r="Q1498" s="104">
        <f t="shared" si="208"/>
        <v>500</v>
      </c>
      <c r="R1498" s="104"/>
      <c r="S1498" s="93" t="s">
        <v>144</v>
      </c>
      <c r="T1498" s="94"/>
      <c r="U1498" s="104">
        <f t="shared" si="209"/>
        <v>500</v>
      </c>
      <c r="V1498" s="104">
        <f t="shared" si="210"/>
        <v>1</v>
      </c>
      <c r="W1498" s="103">
        <f t="shared" si="211"/>
        <v>500</v>
      </c>
      <c r="X1498" s="93" t="s">
        <v>803</v>
      </c>
      <c r="Y1498" s="105" t="s">
        <v>84</v>
      </c>
      <c r="Z1498" s="105" t="s">
        <v>619</v>
      </c>
    </row>
    <row r="1499" spans="1:26" s="105" customFormat="1" ht="15" customHeight="1">
      <c r="A1499" s="99">
        <f t="shared" si="205"/>
        <v>1497</v>
      </c>
      <c r="B1499" s="75" t="s">
        <v>928</v>
      </c>
      <c r="C1499" s="100" t="str">
        <f>IF($B1499&lt;&gt;"",_xlfn.IFNA(VLOOKUP($B1499,'Node Details'!$B:$U,C$1,0),"Check"),"")</f>
        <v>0000CM418-CM4180104</v>
      </c>
      <c r="D1499" s="100" t="str">
        <f>IF($B1499&lt;&gt;"",_xlfn.IFNA(VLOOKUP($B1499,'Node Details'!$B:$U,D$1,0),"Check"),"")</f>
        <v>CM4</v>
      </c>
      <c r="E1499" s="100" t="str">
        <f>IF($B1499&lt;&gt;"",_xlfn.IFNA(VLOOKUP($B1499,'Node Details'!$B:$U,E$1,0),"Check"),"")</f>
        <v>Airtel</v>
      </c>
      <c r="F1499" s="101">
        <v>46148</v>
      </c>
      <c r="G1499" s="103"/>
      <c r="H1499" s="102" t="s">
        <v>1254</v>
      </c>
      <c r="I1499" s="9">
        <v>1</v>
      </c>
      <c r="J1499" s="9">
        <v>500</v>
      </c>
      <c r="K1499" s="100">
        <f t="shared" si="206"/>
        <v>500</v>
      </c>
      <c r="L1499" s="78">
        <v>46142</v>
      </c>
      <c r="M1499" s="103"/>
      <c r="N1499" s="93" t="s">
        <v>534</v>
      </c>
      <c r="O1499" s="94"/>
      <c r="P1499" s="104">
        <f t="shared" si="207"/>
        <v>500</v>
      </c>
      <c r="Q1499" s="104">
        <f t="shared" si="208"/>
        <v>500</v>
      </c>
      <c r="R1499" s="104"/>
      <c r="S1499" s="93" t="s">
        <v>144</v>
      </c>
      <c r="T1499" s="94"/>
      <c r="U1499" s="104">
        <f t="shared" si="209"/>
        <v>500</v>
      </c>
      <c r="V1499" s="104">
        <f t="shared" si="210"/>
        <v>1</v>
      </c>
      <c r="W1499" s="103">
        <f t="shared" si="211"/>
        <v>500</v>
      </c>
      <c r="X1499" s="93" t="s">
        <v>803</v>
      </c>
      <c r="Y1499" s="105" t="s">
        <v>84</v>
      </c>
      <c r="Z1499" s="105" t="s">
        <v>619</v>
      </c>
    </row>
    <row r="1500" spans="1:26" s="105" customFormat="1" ht="15" customHeight="1">
      <c r="A1500" s="99">
        <f t="shared" si="205"/>
        <v>1498</v>
      </c>
      <c r="B1500" s="75" t="s">
        <v>1230</v>
      </c>
      <c r="C1500" s="100" t="str">
        <f>IF($B1500&lt;&gt;"",_xlfn.IFNA(VLOOKUP($B1500,'Node Details'!$B:$U,C$1,0),"Check"),"")</f>
        <v>0000CM418-CM4180108</v>
      </c>
      <c r="D1500" s="100" t="str">
        <f>IF($B1500&lt;&gt;"",_xlfn.IFNA(VLOOKUP($B1500,'Node Details'!$B:$U,D$1,0),"Check"),"")</f>
        <v>CM4</v>
      </c>
      <c r="E1500" s="100" t="str">
        <f>IF($B1500&lt;&gt;"",_xlfn.IFNA(VLOOKUP($B1500,'Node Details'!$B:$U,E$1,0),"Check"),"")</f>
        <v>Airtel</v>
      </c>
      <c r="F1500" s="101">
        <v>46148</v>
      </c>
      <c r="G1500" s="103"/>
      <c r="H1500" s="102" t="s">
        <v>1254</v>
      </c>
      <c r="I1500" s="9">
        <v>1</v>
      </c>
      <c r="J1500" s="9">
        <v>500</v>
      </c>
      <c r="K1500" s="100">
        <f t="shared" si="206"/>
        <v>500</v>
      </c>
      <c r="L1500" s="78">
        <v>46142</v>
      </c>
      <c r="M1500" s="103"/>
      <c r="N1500" s="93" t="s">
        <v>534</v>
      </c>
      <c r="O1500" s="94"/>
      <c r="P1500" s="104">
        <f t="shared" si="207"/>
        <v>500</v>
      </c>
      <c r="Q1500" s="104">
        <f t="shared" si="208"/>
        <v>500</v>
      </c>
      <c r="R1500" s="104"/>
      <c r="S1500" s="93" t="s">
        <v>144</v>
      </c>
      <c r="T1500" s="94"/>
      <c r="U1500" s="104">
        <f t="shared" si="209"/>
        <v>500</v>
      </c>
      <c r="V1500" s="104">
        <f t="shared" si="210"/>
        <v>1</v>
      </c>
      <c r="W1500" s="103">
        <f t="shared" si="211"/>
        <v>500</v>
      </c>
      <c r="X1500" s="93" t="s">
        <v>803</v>
      </c>
      <c r="Y1500" s="105" t="s">
        <v>84</v>
      </c>
      <c r="Z1500" s="105" t="s">
        <v>619</v>
      </c>
    </row>
    <row r="1501" spans="1:26" s="105" customFormat="1" ht="15" customHeight="1">
      <c r="A1501" s="99">
        <f t="shared" si="205"/>
        <v>1499</v>
      </c>
      <c r="B1501" s="75" t="s">
        <v>1231</v>
      </c>
      <c r="C1501" s="100" t="str">
        <f>IF($B1501&lt;&gt;"",_xlfn.IFNA(VLOOKUP($B1501,'Node Details'!$B:$U,C$1,0),"Check"),"")</f>
        <v>0000CM418-CM4180108</v>
      </c>
      <c r="D1501" s="100" t="str">
        <f>IF($B1501&lt;&gt;"",_xlfn.IFNA(VLOOKUP($B1501,'Node Details'!$B:$U,D$1,0),"Check"),"")</f>
        <v>CM4</v>
      </c>
      <c r="E1501" s="100" t="str">
        <f>IF($B1501&lt;&gt;"",_xlfn.IFNA(VLOOKUP($B1501,'Node Details'!$B:$U,E$1,0),"Check"),"")</f>
        <v>Airtel</v>
      </c>
      <c r="F1501" s="101">
        <v>46148</v>
      </c>
      <c r="G1501" s="103"/>
      <c r="H1501" s="102" t="s">
        <v>1254</v>
      </c>
      <c r="I1501" s="9">
        <v>1</v>
      </c>
      <c r="J1501" s="9">
        <v>500</v>
      </c>
      <c r="K1501" s="100">
        <f t="shared" si="206"/>
        <v>500</v>
      </c>
      <c r="L1501" s="78">
        <v>46142</v>
      </c>
      <c r="M1501" s="103"/>
      <c r="N1501" s="93" t="s">
        <v>534</v>
      </c>
      <c r="O1501" s="94"/>
      <c r="P1501" s="104">
        <f t="shared" si="207"/>
        <v>500</v>
      </c>
      <c r="Q1501" s="104">
        <f t="shared" si="208"/>
        <v>500</v>
      </c>
      <c r="R1501" s="104"/>
      <c r="S1501" s="93" t="s">
        <v>144</v>
      </c>
      <c r="T1501" s="94"/>
      <c r="U1501" s="104">
        <f t="shared" si="209"/>
        <v>500</v>
      </c>
      <c r="V1501" s="104">
        <f t="shared" si="210"/>
        <v>1</v>
      </c>
      <c r="W1501" s="103">
        <f t="shared" si="211"/>
        <v>500</v>
      </c>
      <c r="X1501" s="93" t="s">
        <v>803</v>
      </c>
      <c r="Y1501" s="105" t="s">
        <v>84</v>
      </c>
      <c r="Z1501" s="105" t="s">
        <v>619</v>
      </c>
    </row>
    <row r="1502" spans="1:26" s="105" customFormat="1" ht="15" customHeight="1">
      <c r="A1502" s="99">
        <f t="shared" si="205"/>
        <v>1500</v>
      </c>
      <c r="B1502" s="75" t="s">
        <v>1232</v>
      </c>
      <c r="C1502" s="100" t="str">
        <f>IF($B1502&lt;&gt;"",_xlfn.IFNA(VLOOKUP($B1502,'Node Details'!$B:$U,C$1,0),"Check"),"")</f>
        <v>0000CM418-CM4180108</v>
      </c>
      <c r="D1502" s="100" t="str">
        <f>IF($B1502&lt;&gt;"",_xlfn.IFNA(VLOOKUP($B1502,'Node Details'!$B:$U,D$1,0),"Check"),"")</f>
        <v>CM4</v>
      </c>
      <c r="E1502" s="100" t="str">
        <f>IF($B1502&lt;&gt;"",_xlfn.IFNA(VLOOKUP($B1502,'Node Details'!$B:$U,E$1,0),"Check"),"")</f>
        <v>Airtel</v>
      </c>
      <c r="F1502" s="101">
        <v>46148</v>
      </c>
      <c r="G1502" s="103"/>
      <c r="H1502" s="102" t="s">
        <v>1254</v>
      </c>
      <c r="I1502" s="9">
        <v>1</v>
      </c>
      <c r="J1502" s="9">
        <v>500</v>
      </c>
      <c r="K1502" s="100">
        <f t="shared" si="206"/>
        <v>500</v>
      </c>
      <c r="L1502" s="78">
        <v>46142</v>
      </c>
      <c r="M1502" s="103"/>
      <c r="N1502" s="93" t="s">
        <v>534</v>
      </c>
      <c r="O1502" s="94"/>
      <c r="P1502" s="104">
        <f t="shared" si="207"/>
        <v>500</v>
      </c>
      <c r="Q1502" s="104">
        <f t="shared" si="208"/>
        <v>500</v>
      </c>
      <c r="R1502" s="104"/>
      <c r="S1502" s="93" t="s">
        <v>144</v>
      </c>
      <c r="T1502" s="94"/>
      <c r="U1502" s="104">
        <f t="shared" si="209"/>
        <v>500</v>
      </c>
      <c r="V1502" s="104">
        <f t="shared" si="210"/>
        <v>1</v>
      </c>
      <c r="W1502" s="103">
        <f t="shared" si="211"/>
        <v>500</v>
      </c>
      <c r="X1502" s="93" t="s">
        <v>803</v>
      </c>
      <c r="Y1502" s="105" t="s">
        <v>84</v>
      </c>
      <c r="Z1502" s="105" t="s">
        <v>619</v>
      </c>
    </row>
    <row r="1503" spans="1:26" s="105" customFormat="1" ht="15" customHeight="1">
      <c r="A1503" s="99">
        <f t="shared" si="205"/>
        <v>1501</v>
      </c>
      <c r="B1503" s="75" t="s">
        <v>930</v>
      </c>
      <c r="C1503" s="100" t="str">
        <f>IF($B1503&lt;&gt;"",_xlfn.IFNA(VLOOKUP($B1503,'Node Details'!$B:$U,C$1,0),"Check"),"")</f>
        <v>0000CM418-CM4180108</v>
      </c>
      <c r="D1503" s="100" t="str">
        <f>IF($B1503&lt;&gt;"",_xlfn.IFNA(VLOOKUP($B1503,'Node Details'!$B:$U,D$1,0),"Check"),"")</f>
        <v>CM4</v>
      </c>
      <c r="E1503" s="100" t="str">
        <f>IF($B1503&lt;&gt;"",_xlfn.IFNA(VLOOKUP($B1503,'Node Details'!$B:$U,E$1,0),"Check"),"")</f>
        <v>Airtel</v>
      </c>
      <c r="F1503" s="101">
        <v>46148</v>
      </c>
      <c r="G1503" s="103"/>
      <c r="H1503" s="102" t="s">
        <v>1254</v>
      </c>
      <c r="I1503" s="9">
        <v>1</v>
      </c>
      <c r="J1503" s="9">
        <v>500</v>
      </c>
      <c r="K1503" s="100">
        <f t="shared" si="206"/>
        <v>500</v>
      </c>
      <c r="L1503" s="78">
        <v>46142</v>
      </c>
      <c r="M1503" s="103"/>
      <c r="N1503" s="93" t="s">
        <v>534</v>
      </c>
      <c r="O1503" s="94"/>
      <c r="P1503" s="104">
        <f t="shared" si="207"/>
        <v>500</v>
      </c>
      <c r="Q1503" s="104">
        <f t="shared" si="208"/>
        <v>500</v>
      </c>
      <c r="R1503" s="104"/>
      <c r="S1503" s="93" t="s">
        <v>144</v>
      </c>
      <c r="T1503" s="94"/>
      <c r="U1503" s="104">
        <f t="shared" si="209"/>
        <v>500</v>
      </c>
      <c r="V1503" s="104">
        <f t="shared" si="210"/>
        <v>1</v>
      </c>
      <c r="W1503" s="103">
        <f t="shared" si="211"/>
        <v>500</v>
      </c>
      <c r="X1503" s="93" t="s">
        <v>803</v>
      </c>
      <c r="Y1503" s="105" t="s">
        <v>84</v>
      </c>
      <c r="Z1503" s="105" t="s">
        <v>619</v>
      </c>
    </row>
    <row r="1504" spans="1:26" s="105" customFormat="1" ht="15" customHeight="1">
      <c r="A1504" s="99">
        <f t="shared" si="205"/>
        <v>1502</v>
      </c>
      <c r="B1504" s="75" t="s">
        <v>933</v>
      </c>
      <c r="C1504" s="100" t="str">
        <f>IF($B1504&lt;&gt;"",_xlfn.IFNA(VLOOKUP($B1504,'Node Details'!$B:$U,C$1,0),"Check"),"")</f>
        <v>0000CM419-CM4190101</v>
      </c>
      <c r="D1504" s="100" t="str">
        <f>IF($B1504&lt;&gt;"",_xlfn.IFNA(VLOOKUP($B1504,'Node Details'!$B:$U,D$1,0),"Check"),"")</f>
        <v>CM4</v>
      </c>
      <c r="E1504" s="100" t="str">
        <f>IF($B1504&lt;&gt;"",_xlfn.IFNA(VLOOKUP($B1504,'Node Details'!$B:$U,E$1,0),"Check"),"")</f>
        <v>Airtel</v>
      </c>
      <c r="F1504" s="101">
        <v>46148</v>
      </c>
      <c r="G1504" s="103"/>
      <c r="H1504" s="102" t="s">
        <v>1254</v>
      </c>
      <c r="I1504" s="9">
        <v>1</v>
      </c>
      <c r="J1504" s="9">
        <v>500</v>
      </c>
      <c r="K1504" s="100">
        <f t="shared" si="206"/>
        <v>500</v>
      </c>
      <c r="L1504" s="78">
        <v>46142</v>
      </c>
      <c r="M1504" s="103"/>
      <c r="N1504" s="93" t="s">
        <v>534</v>
      </c>
      <c r="O1504" s="94"/>
      <c r="P1504" s="104">
        <f t="shared" si="207"/>
        <v>500</v>
      </c>
      <c r="Q1504" s="104">
        <f t="shared" si="208"/>
        <v>500</v>
      </c>
      <c r="R1504" s="104"/>
      <c r="S1504" s="93" t="s">
        <v>144</v>
      </c>
      <c r="T1504" s="94"/>
      <c r="U1504" s="104">
        <f t="shared" si="209"/>
        <v>500</v>
      </c>
      <c r="V1504" s="104">
        <f t="shared" si="210"/>
        <v>1</v>
      </c>
      <c r="W1504" s="103">
        <f t="shared" si="211"/>
        <v>500</v>
      </c>
      <c r="X1504" s="93" t="s">
        <v>803</v>
      </c>
      <c r="Y1504" s="105" t="s">
        <v>84</v>
      </c>
      <c r="Z1504" s="105" t="s">
        <v>619</v>
      </c>
    </row>
    <row r="1505" spans="1:26" s="105" customFormat="1" ht="15" customHeight="1">
      <c r="A1505" s="99">
        <f t="shared" si="205"/>
        <v>1503</v>
      </c>
      <c r="B1505" s="75" t="s">
        <v>935</v>
      </c>
      <c r="C1505" s="100" t="str">
        <f>IF($B1505&lt;&gt;"",_xlfn.IFNA(VLOOKUP($B1505,'Node Details'!$B:$U,C$1,0),"Check"),"")</f>
        <v>0000CM419-CM4190103</v>
      </c>
      <c r="D1505" s="100" t="str">
        <f>IF($B1505&lt;&gt;"",_xlfn.IFNA(VLOOKUP($B1505,'Node Details'!$B:$U,D$1,0),"Check"),"")</f>
        <v>CM4</v>
      </c>
      <c r="E1505" s="100" t="str">
        <f>IF($B1505&lt;&gt;"",_xlfn.IFNA(VLOOKUP($B1505,'Node Details'!$B:$U,E$1,0),"Check"),"")</f>
        <v>Airtel</v>
      </c>
      <c r="F1505" s="101">
        <v>46148</v>
      </c>
      <c r="G1505" s="103"/>
      <c r="H1505" s="102" t="s">
        <v>1254</v>
      </c>
      <c r="I1505" s="9">
        <v>1</v>
      </c>
      <c r="J1505" s="9">
        <v>500</v>
      </c>
      <c r="K1505" s="100">
        <f t="shared" si="206"/>
        <v>500</v>
      </c>
      <c r="L1505" s="78">
        <v>46142</v>
      </c>
      <c r="M1505" s="103"/>
      <c r="N1505" s="93" t="s">
        <v>534</v>
      </c>
      <c r="O1505" s="94"/>
      <c r="P1505" s="104">
        <f t="shared" si="207"/>
        <v>500</v>
      </c>
      <c r="Q1505" s="104">
        <f t="shared" si="208"/>
        <v>500</v>
      </c>
      <c r="R1505" s="104"/>
      <c r="S1505" s="93" t="s">
        <v>144</v>
      </c>
      <c r="T1505" s="94"/>
      <c r="U1505" s="104">
        <f t="shared" si="209"/>
        <v>500</v>
      </c>
      <c r="V1505" s="104">
        <f t="shared" si="210"/>
        <v>1</v>
      </c>
      <c r="W1505" s="103">
        <f t="shared" si="211"/>
        <v>500</v>
      </c>
      <c r="X1505" s="93" t="s">
        <v>803</v>
      </c>
      <c r="Y1505" s="105" t="s">
        <v>84</v>
      </c>
      <c r="Z1505" s="105" t="s">
        <v>619</v>
      </c>
    </row>
    <row r="1506" spans="1:26" s="105" customFormat="1" ht="15" customHeight="1">
      <c r="A1506" s="99">
        <f t="shared" si="205"/>
        <v>1504</v>
      </c>
      <c r="B1506" s="75" t="s">
        <v>1233</v>
      </c>
      <c r="C1506" s="100" t="str">
        <f>IF($B1506&lt;&gt;"",_xlfn.IFNA(VLOOKUP($B1506,'Node Details'!$B:$U,C$1,0),"Check"),"")</f>
        <v>0000CM419-CM4190108</v>
      </c>
      <c r="D1506" s="100" t="str">
        <f>IF($B1506&lt;&gt;"",_xlfn.IFNA(VLOOKUP($B1506,'Node Details'!$B:$U,D$1,0),"Check"),"")</f>
        <v>CM4</v>
      </c>
      <c r="E1506" s="100" t="str">
        <f>IF($B1506&lt;&gt;"",_xlfn.IFNA(VLOOKUP($B1506,'Node Details'!$B:$U,E$1,0),"Check"),"")</f>
        <v>Airtel</v>
      </c>
      <c r="F1506" s="101">
        <v>46148</v>
      </c>
      <c r="G1506" s="103"/>
      <c r="H1506" s="102" t="s">
        <v>1254</v>
      </c>
      <c r="I1506" s="9">
        <v>1</v>
      </c>
      <c r="J1506" s="9">
        <v>500</v>
      </c>
      <c r="K1506" s="100">
        <f t="shared" si="206"/>
        <v>500</v>
      </c>
      <c r="L1506" s="78">
        <v>46142</v>
      </c>
      <c r="M1506" s="103"/>
      <c r="N1506" s="93" t="s">
        <v>534</v>
      </c>
      <c r="O1506" s="94"/>
      <c r="P1506" s="104">
        <f t="shared" si="207"/>
        <v>500</v>
      </c>
      <c r="Q1506" s="104">
        <f t="shared" si="208"/>
        <v>500</v>
      </c>
      <c r="R1506" s="104"/>
      <c r="S1506" s="93" t="s">
        <v>144</v>
      </c>
      <c r="T1506" s="94"/>
      <c r="U1506" s="104">
        <f t="shared" si="209"/>
        <v>500</v>
      </c>
      <c r="V1506" s="104">
        <f t="shared" si="210"/>
        <v>1</v>
      </c>
      <c r="W1506" s="103">
        <f t="shared" si="211"/>
        <v>500</v>
      </c>
      <c r="X1506" s="93" t="s">
        <v>803</v>
      </c>
      <c r="Y1506" s="105" t="s">
        <v>84</v>
      </c>
      <c r="Z1506" s="105" t="s">
        <v>619</v>
      </c>
    </row>
    <row r="1507" spans="1:26" s="105" customFormat="1" ht="15" customHeight="1">
      <c r="A1507" s="99">
        <f t="shared" si="205"/>
        <v>1505</v>
      </c>
      <c r="B1507" s="75" t="s">
        <v>1234</v>
      </c>
      <c r="C1507" s="100" t="str">
        <f>IF($B1507&lt;&gt;"",_xlfn.IFNA(VLOOKUP($B1507,'Node Details'!$B:$U,C$1,0),"Check"),"")</f>
        <v>0000CM419-CM4190108</v>
      </c>
      <c r="D1507" s="100" t="str">
        <f>IF($B1507&lt;&gt;"",_xlfn.IFNA(VLOOKUP($B1507,'Node Details'!$B:$U,D$1,0),"Check"),"")</f>
        <v>CM4</v>
      </c>
      <c r="E1507" s="100" t="str">
        <f>IF($B1507&lt;&gt;"",_xlfn.IFNA(VLOOKUP($B1507,'Node Details'!$B:$U,E$1,0),"Check"),"")</f>
        <v>Airtel</v>
      </c>
      <c r="F1507" s="101">
        <v>46148</v>
      </c>
      <c r="G1507" s="103"/>
      <c r="H1507" s="102" t="s">
        <v>1254</v>
      </c>
      <c r="I1507" s="9">
        <v>1</v>
      </c>
      <c r="J1507" s="9">
        <v>500</v>
      </c>
      <c r="K1507" s="100">
        <f t="shared" si="206"/>
        <v>500</v>
      </c>
      <c r="L1507" s="78">
        <v>46142</v>
      </c>
      <c r="M1507" s="103"/>
      <c r="N1507" s="93" t="s">
        <v>534</v>
      </c>
      <c r="O1507" s="94"/>
      <c r="P1507" s="104">
        <f t="shared" si="207"/>
        <v>500</v>
      </c>
      <c r="Q1507" s="104">
        <f t="shared" si="208"/>
        <v>500</v>
      </c>
      <c r="R1507" s="104"/>
      <c r="S1507" s="93" t="s">
        <v>144</v>
      </c>
      <c r="T1507" s="94"/>
      <c r="U1507" s="104">
        <f t="shared" si="209"/>
        <v>500</v>
      </c>
      <c r="V1507" s="104">
        <f t="shared" si="210"/>
        <v>1</v>
      </c>
      <c r="W1507" s="103">
        <f t="shared" si="211"/>
        <v>500</v>
      </c>
      <c r="X1507" s="93" t="s">
        <v>803</v>
      </c>
      <c r="Y1507" s="105" t="s">
        <v>84</v>
      </c>
      <c r="Z1507" s="105" t="s">
        <v>619</v>
      </c>
    </row>
    <row r="1508" spans="1:26" s="105" customFormat="1" ht="15" customHeight="1">
      <c r="A1508" s="99">
        <f t="shared" si="205"/>
        <v>1506</v>
      </c>
      <c r="B1508" s="75" t="s">
        <v>1235</v>
      </c>
      <c r="C1508" s="100" t="str">
        <f>IF($B1508&lt;&gt;"",_xlfn.IFNA(VLOOKUP($B1508,'Node Details'!$B:$U,C$1,0),"Check"),"")</f>
        <v>0000CM419-CM4190108</v>
      </c>
      <c r="D1508" s="100" t="str">
        <f>IF($B1508&lt;&gt;"",_xlfn.IFNA(VLOOKUP($B1508,'Node Details'!$B:$U,D$1,0),"Check"),"")</f>
        <v>CM4</v>
      </c>
      <c r="E1508" s="100" t="str">
        <f>IF($B1508&lt;&gt;"",_xlfn.IFNA(VLOOKUP($B1508,'Node Details'!$B:$U,E$1,0),"Check"),"")</f>
        <v>Airtel</v>
      </c>
      <c r="F1508" s="101">
        <v>46148</v>
      </c>
      <c r="G1508" s="103"/>
      <c r="H1508" s="102" t="s">
        <v>1254</v>
      </c>
      <c r="I1508" s="9">
        <v>1</v>
      </c>
      <c r="J1508" s="9">
        <v>500</v>
      </c>
      <c r="K1508" s="100">
        <f t="shared" si="206"/>
        <v>500</v>
      </c>
      <c r="L1508" s="78">
        <v>46142</v>
      </c>
      <c r="M1508" s="103"/>
      <c r="N1508" s="93" t="s">
        <v>534</v>
      </c>
      <c r="O1508" s="94"/>
      <c r="P1508" s="104">
        <f t="shared" si="207"/>
        <v>500</v>
      </c>
      <c r="Q1508" s="104">
        <f t="shared" si="208"/>
        <v>500</v>
      </c>
      <c r="R1508" s="104"/>
      <c r="S1508" s="93" t="s">
        <v>144</v>
      </c>
      <c r="T1508" s="94"/>
      <c r="U1508" s="104">
        <f t="shared" si="209"/>
        <v>500</v>
      </c>
      <c r="V1508" s="104">
        <f t="shared" si="210"/>
        <v>1</v>
      </c>
      <c r="W1508" s="103">
        <f t="shared" si="211"/>
        <v>500</v>
      </c>
      <c r="X1508" s="93" t="s">
        <v>803</v>
      </c>
      <c r="Y1508" s="105" t="s">
        <v>84</v>
      </c>
      <c r="Z1508" s="105" t="s">
        <v>619</v>
      </c>
    </row>
    <row r="1509" spans="1:26" s="105" customFormat="1" ht="15" customHeight="1">
      <c r="A1509" s="99">
        <f t="shared" si="205"/>
        <v>1507</v>
      </c>
      <c r="B1509" s="75" t="s">
        <v>1236</v>
      </c>
      <c r="C1509" s="100" t="str">
        <f>IF($B1509&lt;&gt;"",_xlfn.IFNA(VLOOKUP($B1509,'Node Details'!$B:$U,C$1,0),"Check"),"")</f>
        <v>0000CM419-CM4190108</v>
      </c>
      <c r="D1509" s="100" t="str">
        <f>IF($B1509&lt;&gt;"",_xlfn.IFNA(VLOOKUP($B1509,'Node Details'!$B:$U,D$1,0),"Check"),"")</f>
        <v>CM4</v>
      </c>
      <c r="E1509" s="100" t="str">
        <f>IF($B1509&lt;&gt;"",_xlfn.IFNA(VLOOKUP($B1509,'Node Details'!$B:$U,E$1,0),"Check"),"")</f>
        <v>Airtel</v>
      </c>
      <c r="F1509" s="101">
        <v>46148</v>
      </c>
      <c r="G1509" s="103"/>
      <c r="H1509" s="102" t="s">
        <v>1254</v>
      </c>
      <c r="I1509" s="9">
        <v>1</v>
      </c>
      <c r="J1509" s="9">
        <v>500</v>
      </c>
      <c r="K1509" s="100">
        <f t="shared" si="206"/>
        <v>500</v>
      </c>
      <c r="L1509" s="78">
        <v>46142</v>
      </c>
      <c r="M1509" s="103"/>
      <c r="N1509" s="93" t="s">
        <v>534</v>
      </c>
      <c r="O1509" s="94"/>
      <c r="P1509" s="104">
        <f t="shared" si="207"/>
        <v>500</v>
      </c>
      <c r="Q1509" s="104">
        <f t="shared" si="208"/>
        <v>500</v>
      </c>
      <c r="R1509" s="104"/>
      <c r="S1509" s="93" t="s">
        <v>144</v>
      </c>
      <c r="T1509" s="94"/>
      <c r="U1509" s="104">
        <f t="shared" si="209"/>
        <v>500</v>
      </c>
      <c r="V1509" s="104">
        <f t="shared" si="210"/>
        <v>1</v>
      </c>
      <c r="W1509" s="103">
        <f t="shared" si="211"/>
        <v>500</v>
      </c>
      <c r="X1509" s="93" t="s">
        <v>803</v>
      </c>
      <c r="Y1509" s="105" t="s">
        <v>84</v>
      </c>
      <c r="Z1509" s="105" t="s">
        <v>619</v>
      </c>
    </row>
    <row r="1510" spans="1:26" s="105" customFormat="1" ht="15" customHeight="1">
      <c r="A1510" s="99">
        <f t="shared" si="205"/>
        <v>1508</v>
      </c>
      <c r="B1510" s="75" t="s">
        <v>937</v>
      </c>
      <c r="C1510" s="100" t="str">
        <f>IF($B1510&lt;&gt;"",_xlfn.IFNA(VLOOKUP($B1510,'Node Details'!$B:$U,C$1,0),"Check"),"")</f>
        <v>0000CM419-CM4190108</v>
      </c>
      <c r="D1510" s="100" t="str">
        <f>IF($B1510&lt;&gt;"",_xlfn.IFNA(VLOOKUP($B1510,'Node Details'!$B:$U,D$1,0),"Check"),"")</f>
        <v>CM4</v>
      </c>
      <c r="E1510" s="100" t="str">
        <f>IF($B1510&lt;&gt;"",_xlfn.IFNA(VLOOKUP($B1510,'Node Details'!$B:$U,E$1,0),"Check"),"")</f>
        <v>Airtel</v>
      </c>
      <c r="F1510" s="101">
        <v>46148</v>
      </c>
      <c r="G1510" s="103"/>
      <c r="H1510" s="102" t="s">
        <v>1254</v>
      </c>
      <c r="I1510" s="9">
        <v>1</v>
      </c>
      <c r="J1510" s="9">
        <v>500</v>
      </c>
      <c r="K1510" s="100">
        <f t="shared" si="206"/>
        <v>500</v>
      </c>
      <c r="L1510" s="78">
        <v>46142</v>
      </c>
      <c r="M1510" s="103"/>
      <c r="N1510" s="93" t="s">
        <v>534</v>
      </c>
      <c r="O1510" s="94"/>
      <c r="P1510" s="104">
        <f t="shared" si="207"/>
        <v>500</v>
      </c>
      <c r="Q1510" s="104">
        <f t="shared" si="208"/>
        <v>500</v>
      </c>
      <c r="R1510" s="104"/>
      <c r="S1510" s="93" t="s">
        <v>144</v>
      </c>
      <c r="T1510" s="94"/>
      <c r="U1510" s="104">
        <f t="shared" si="209"/>
        <v>500</v>
      </c>
      <c r="V1510" s="104">
        <f t="shared" si="210"/>
        <v>1</v>
      </c>
      <c r="W1510" s="103">
        <f t="shared" si="211"/>
        <v>500</v>
      </c>
      <c r="X1510" s="93" t="s">
        <v>803</v>
      </c>
      <c r="Y1510" s="105" t="s">
        <v>84</v>
      </c>
      <c r="Z1510" s="105" t="s">
        <v>619</v>
      </c>
    </row>
    <row r="1511" spans="1:26" s="105" customFormat="1" ht="15" customHeight="1">
      <c r="A1511" s="99">
        <f t="shared" si="205"/>
        <v>1509</v>
      </c>
      <c r="B1511" s="75" t="s">
        <v>939</v>
      </c>
      <c r="C1511" s="100" t="str">
        <f>IF($B1511&lt;&gt;"",_xlfn.IFNA(VLOOKUP($B1511,'Node Details'!$B:$U,C$1,0),"Check"),"")</f>
        <v>0000CM419-CM4190102</v>
      </c>
      <c r="D1511" s="100" t="str">
        <f>IF($B1511&lt;&gt;"",_xlfn.IFNA(VLOOKUP($B1511,'Node Details'!$B:$U,D$1,0),"Check"),"")</f>
        <v>CM4</v>
      </c>
      <c r="E1511" s="100" t="str">
        <f>IF($B1511&lt;&gt;"",_xlfn.IFNA(VLOOKUP($B1511,'Node Details'!$B:$U,E$1,0),"Check"),"")</f>
        <v>Airtel</v>
      </c>
      <c r="F1511" s="101">
        <v>46148</v>
      </c>
      <c r="G1511" s="103"/>
      <c r="H1511" s="102" t="s">
        <v>1254</v>
      </c>
      <c r="I1511" s="9">
        <v>1</v>
      </c>
      <c r="J1511" s="9">
        <v>500</v>
      </c>
      <c r="K1511" s="100">
        <f t="shared" si="206"/>
        <v>500</v>
      </c>
      <c r="L1511" s="78">
        <v>46142</v>
      </c>
      <c r="M1511" s="103"/>
      <c r="N1511" s="93" t="s">
        <v>534</v>
      </c>
      <c r="O1511" s="94"/>
      <c r="P1511" s="104">
        <f t="shared" si="207"/>
        <v>500</v>
      </c>
      <c r="Q1511" s="104">
        <f t="shared" si="208"/>
        <v>500</v>
      </c>
      <c r="R1511" s="104"/>
      <c r="S1511" s="93" t="s">
        <v>144</v>
      </c>
      <c r="T1511" s="94"/>
      <c r="U1511" s="104">
        <f t="shared" si="209"/>
        <v>500</v>
      </c>
      <c r="V1511" s="104">
        <f t="shared" si="210"/>
        <v>1</v>
      </c>
      <c r="W1511" s="103">
        <f t="shared" si="211"/>
        <v>500</v>
      </c>
      <c r="X1511" s="93" t="s">
        <v>803</v>
      </c>
      <c r="Y1511" s="105" t="s">
        <v>84</v>
      </c>
      <c r="Z1511" s="105" t="s">
        <v>619</v>
      </c>
    </row>
    <row r="1512" spans="1:26" s="105" customFormat="1" ht="15" customHeight="1">
      <c r="A1512" s="99">
        <f t="shared" si="205"/>
        <v>1510</v>
      </c>
      <c r="B1512" s="75" t="s">
        <v>1237</v>
      </c>
      <c r="C1512" s="100" t="str">
        <f>IF($B1512&lt;&gt;"",_xlfn.IFNA(VLOOKUP($B1512,'Node Details'!$B:$U,C$1,0),"Check"),"")</f>
        <v>0000CM420-CM4200104</v>
      </c>
      <c r="D1512" s="100" t="str">
        <f>IF($B1512&lt;&gt;"",_xlfn.IFNA(VLOOKUP($B1512,'Node Details'!$B:$U,D$1,0),"Check"),"")</f>
        <v>CM4</v>
      </c>
      <c r="E1512" s="100" t="str">
        <f>IF($B1512&lt;&gt;"",_xlfn.IFNA(VLOOKUP($B1512,'Node Details'!$B:$U,E$1,0),"Check"),"")</f>
        <v>Airtel</v>
      </c>
      <c r="F1512" s="101">
        <v>46148</v>
      </c>
      <c r="G1512" s="103"/>
      <c r="H1512" s="102" t="s">
        <v>1254</v>
      </c>
      <c r="I1512" s="9">
        <v>1</v>
      </c>
      <c r="J1512" s="9">
        <v>500</v>
      </c>
      <c r="K1512" s="100">
        <f t="shared" si="206"/>
        <v>500</v>
      </c>
      <c r="L1512" s="78">
        <v>46142</v>
      </c>
      <c r="M1512" s="103"/>
      <c r="N1512" s="93" t="s">
        <v>534</v>
      </c>
      <c r="O1512" s="94"/>
      <c r="P1512" s="104">
        <f t="shared" si="207"/>
        <v>500</v>
      </c>
      <c r="Q1512" s="104">
        <f t="shared" si="208"/>
        <v>500</v>
      </c>
      <c r="R1512" s="104"/>
      <c r="S1512" s="93" t="s">
        <v>144</v>
      </c>
      <c r="T1512" s="94"/>
      <c r="U1512" s="104">
        <f t="shared" si="209"/>
        <v>500</v>
      </c>
      <c r="V1512" s="104">
        <f t="shared" si="210"/>
        <v>1</v>
      </c>
      <c r="W1512" s="103">
        <f t="shared" si="211"/>
        <v>500</v>
      </c>
      <c r="X1512" s="93" t="s">
        <v>803</v>
      </c>
      <c r="Y1512" s="105" t="s">
        <v>84</v>
      </c>
      <c r="Z1512" s="105" t="s">
        <v>619</v>
      </c>
    </row>
    <row r="1513" spans="1:26" s="105" customFormat="1" ht="15" customHeight="1">
      <c r="A1513" s="99">
        <f t="shared" si="205"/>
        <v>1511</v>
      </c>
      <c r="B1513" s="75" t="s">
        <v>942</v>
      </c>
      <c r="C1513" s="100" t="str">
        <f>IF($B1513&lt;&gt;"",_xlfn.IFNA(VLOOKUP($B1513,'Node Details'!$B:$U,C$1,0),"Check"),"")</f>
        <v>0000CM420-CM4200104</v>
      </c>
      <c r="D1513" s="100" t="str">
        <f>IF($B1513&lt;&gt;"",_xlfn.IFNA(VLOOKUP($B1513,'Node Details'!$B:$U,D$1,0),"Check"),"")</f>
        <v>CM4</v>
      </c>
      <c r="E1513" s="100" t="str">
        <f>IF($B1513&lt;&gt;"",_xlfn.IFNA(VLOOKUP($B1513,'Node Details'!$B:$U,E$1,0),"Check"),"")</f>
        <v>Airtel</v>
      </c>
      <c r="F1513" s="101">
        <v>46148</v>
      </c>
      <c r="G1513" s="103"/>
      <c r="H1513" s="102" t="s">
        <v>1254</v>
      </c>
      <c r="I1513" s="9">
        <v>1</v>
      </c>
      <c r="J1513" s="9">
        <v>500</v>
      </c>
      <c r="K1513" s="100">
        <f t="shared" si="206"/>
        <v>500</v>
      </c>
      <c r="L1513" s="78">
        <v>46142</v>
      </c>
      <c r="M1513" s="103"/>
      <c r="N1513" s="93" t="s">
        <v>534</v>
      </c>
      <c r="O1513" s="94"/>
      <c r="P1513" s="104">
        <f t="shared" si="207"/>
        <v>500</v>
      </c>
      <c r="Q1513" s="104">
        <f t="shared" si="208"/>
        <v>500</v>
      </c>
      <c r="R1513" s="104"/>
      <c r="S1513" s="93" t="s">
        <v>144</v>
      </c>
      <c r="T1513" s="94"/>
      <c r="U1513" s="104">
        <f t="shared" si="209"/>
        <v>500</v>
      </c>
      <c r="V1513" s="104">
        <f t="shared" si="210"/>
        <v>1</v>
      </c>
      <c r="W1513" s="103">
        <f t="shared" si="211"/>
        <v>500</v>
      </c>
      <c r="X1513" s="93" t="s">
        <v>803</v>
      </c>
      <c r="Y1513" s="105" t="s">
        <v>84</v>
      </c>
      <c r="Z1513" s="105" t="s">
        <v>619</v>
      </c>
    </row>
    <row r="1514" spans="1:26" s="105" customFormat="1" ht="15" customHeight="1">
      <c r="A1514" s="99">
        <f t="shared" si="205"/>
        <v>1512</v>
      </c>
      <c r="B1514" s="75" t="s">
        <v>1238</v>
      </c>
      <c r="C1514" s="100" t="str">
        <f>IF($B1514&lt;&gt;"",_xlfn.IFNA(VLOOKUP($B1514,'Node Details'!$B:$U,C$1,0),"Check"),"")</f>
        <v>0000CM420-CM4200102</v>
      </c>
      <c r="D1514" s="100" t="str">
        <f>IF($B1514&lt;&gt;"",_xlfn.IFNA(VLOOKUP($B1514,'Node Details'!$B:$U,D$1,0),"Check"),"")</f>
        <v>CM4</v>
      </c>
      <c r="E1514" s="100" t="str">
        <f>IF($B1514&lt;&gt;"",_xlfn.IFNA(VLOOKUP($B1514,'Node Details'!$B:$U,E$1,0),"Check"),"")</f>
        <v>Airtel</v>
      </c>
      <c r="F1514" s="101">
        <v>46148</v>
      </c>
      <c r="G1514" s="103"/>
      <c r="H1514" s="102" t="s">
        <v>1254</v>
      </c>
      <c r="I1514" s="9">
        <v>1</v>
      </c>
      <c r="J1514" s="9">
        <v>500</v>
      </c>
      <c r="K1514" s="100">
        <f t="shared" si="206"/>
        <v>500</v>
      </c>
      <c r="L1514" s="78">
        <v>46142</v>
      </c>
      <c r="M1514" s="103"/>
      <c r="N1514" s="93" t="s">
        <v>534</v>
      </c>
      <c r="O1514" s="94"/>
      <c r="P1514" s="104">
        <f t="shared" si="207"/>
        <v>500</v>
      </c>
      <c r="Q1514" s="104">
        <f t="shared" si="208"/>
        <v>500</v>
      </c>
      <c r="R1514" s="104"/>
      <c r="S1514" s="93" t="s">
        <v>144</v>
      </c>
      <c r="T1514" s="94"/>
      <c r="U1514" s="104">
        <f t="shared" si="209"/>
        <v>500</v>
      </c>
      <c r="V1514" s="104">
        <f t="shared" si="210"/>
        <v>1</v>
      </c>
      <c r="W1514" s="103">
        <f t="shared" si="211"/>
        <v>500</v>
      </c>
      <c r="X1514" s="93" t="s">
        <v>803</v>
      </c>
      <c r="Y1514" s="105" t="s">
        <v>84</v>
      </c>
      <c r="Z1514" s="105" t="s">
        <v>619</v>
      </c>
    </row>
    <row r="1515" spans="1:26" s="105" customFormat="1" ht="15" customHeight="1">
      <c r="A1515" s="99">
        <f t="shared" si="205"/>
        <v>1513</v>
      </c>
      <c r="B1515" s="75" t="s">
        <v>944</v>
      </c>
      <c r="C1515" s="100" t="str">
        <f>IF($B1515&lt;&gt;"",_xlfn.IFNA(VLOOKUP($B1515,'Node Details'!$B:$U,C$1,0),"Check"),"")</f>
        <v>0000CM420-CM4200102</v>
      </c>
      <c r="D1515" s="100" t="str">
        <f>IF($B1515&lt;&gt;"",_xlfn.IFNA(VLOOKUP($B1515,'Node Details'!$B:$U,D$1,0),"Check"),"")</f>
        <v>CM4</v>
      </c>
      <c r="E1515" s="100" t="str">
        <f>IF($B1515&lt;&gt;"",_xlfn.IFNA(VLOOKUP($B1515,'Node Details'!$B:$U,E$1,0),"Check"),"")</f>
        <v>Airtel</v>
      </c>
      <c r="F1515" s="101">
        <v>46148</v>
      </c>
      <c r="G1515" s="103"/>
      <c r="H1515" s="102" t="s">
        <v>1254</v>
      </c>
      <c r="I1515" s="9">
        <v>1</v>
      </c>
      <c r="J1515" s="9">
        <v>500</v>
      </c>
      <c r="K1515" s="100">
        <f t="shared" si="206"/>
        <v>500</v>
      </c>
      <c r="L1515" s="78">
        <v>46142</v>
      </c>
      <c r="M1515" s="103"/>
      <c r="N1515" s="93" t="s">
        <v>534</v>
      </c>
      <c r="O1515" s="94"/>
      <c r="P1515" s="104">
        <f t="shared" si="207"/>
        <v>500</v>
      </c>
      <c r="Q1515" s="104">
        <f t="shared" si="208"/>
        <v>500</v>
      </c>
      <c r="R1515" s="104"/>
      <c r="S1515" s="93" t="s">
        <v>144</v>
      </c>
      <c r="T1515" s="94"/>
      <c r="U1515" s="104">
        <f t="shared" si="209"/>
        <v>500</v>
      </c>
      <c r="V1515" s="104">
        <f t="shared" si="210"/>
        <v>1</v>
      </c>
      <c r="W1515" s="103">
        <f t="shared" si="211"/>
        <v>500</v>
      </c>
      <c r="X1515" s="93" t="s">
        <v>803</v>
      </c>
      <c r="Y1515" s="105" t="s">
        <v>84</v>
      </c>
      <c r="Z1515" s="105" t="s">
        <v>619</v>
      </c>
    </row>
    <row r="1516" spans="1:26" s="105" customFormat="1" ht="15" customHeight="1">
      <c r="A1516" s="99">
        <f t="shared" si="205"/>
        <v>1514</v>
      </c>
      <c r="B1516" s="75" t="s">
        <v>946</v>
      </c>
      <c r="C1516" s="100" t="str">
        <f>IF($B1516&lt;&gt;"",_xlfn.IFNA(VLOOKUP($B1516,'Node Details'!$B:$U,C$1,0),"Check"),"")</f>
        <v>0000CM420-CM4200108</v>
      </c>
      <c r="D1516" s="100" t="str">
        <f>IF($B1516&lt;&gt;"",_xlfn.IFNA(VLOOKUP($B1516,'Node Details'!$B:$U,D$1,0),"Check"),"")</f>
        <v>CM4</v>
      </c>
      <c r="E1516" s="100" t="str">
        <f>IF($B1516&lt;&gt;"",_xlfn.IFNA(VLOOKUP($B1516,'Node Details'!$B:$U,E$1,0),"Check"),"")</f>
        <v>Airtel</v>
      </c>
      <c r="F1516" s="101">
        <v>46148</v>
      </c>
      <c r="G1516" s="103"/>
      <c r="H1516" s="102" t="s">
        <v>1254</v>
      </c>
      <c r="I1516" s="9">
        <v>1</v>
      </c>
      <c r="J1516" s="9">
        <v>500</v>
      </c>
      <c r="K1516" s="100">
        <f t="shared" si="206"/>
        <v>500</v>
      </c>
      <c r="L1516" s="78">
        <v>46142</v>
      </c>
      <c r="M1516" s="103"/>
      <c r="N1516" s="93" t="s">
        <v>534</v>
      </c>
      <c r="O1516" s="94"/>
      <c r="P1516" s="104">
        <f t="shared" si="207"/>
        <v>500</v>
      </c>
      <c r="Q1516" s="104">
        <f t="shared" si="208"/>
        <v>500</v>
      </c>
      <c r="R1516" s="104"/>
      <c r="S1516" s="93" t="s">
        <v>144</v>
      </c>
      <c r="T1516" s="94"/>
      <c r="U1516" s="104">
        <f t="shared" si="209"/>
        <v>500</v>
      </c>
      <c r="V1516" s="104">
        <f t="shared" si="210"/>
        <v>1</v>
      </c>
      <c r="W1516" s="103">
        <f t="shared" si="211"/>
        <v>500</v>
      </c>
      <c r="X1516" s="93" t="s">
        <v>803</v>
      </c>
      <c r="Y1516" s="105" t="s">
        <v>84</v>
      </c>
      <c r="Z1516" s="105" t="s">
        <v>619</v>
      </c>
    </row>
    <row r="1517" spans="1:26" s="105" customFormat="1" ht="15" customHeight="1">
      <c r="A1517" s="99">
        <f t="shared" si="205"/>
        <v>1515</v>
      </c>
      <c r="B1517" s="75" t="s">
        <v>948</v>
      </c>
      <c r="C1517" s="100" t="str">
        <f>IF($B1517&lt;&gt;"",_xlfn.IFNA(VLOOKUP($B1517,'Node Details'!$B:$U,C$1,0),"Check"),"")</f>
        <v>0000CM420-CM4200106</v>
      </c>
      <c r="D1517" s="100" t="str">
        <f>IF($B1517&lt;&gt;"",_xlfn.IFNA(VLOOKUP($B1517,'Node Details'!$B:$U,D$1,0),"Check"),"")</f>
        <v>CM4</v>
      </c>
      <c r="E1517" s="100" t="str">
        <f>IF($B1517&lt;&gt;"",_xlfn.IFNA(VLOOKUP($B1517,'Node Details'!$B:$U,E$1,0),"Check"),"")</f>
        <v>Airtel</v>
      </c>
      <c r="F1517" s="101">
        <v>46148</v>
      </c>
      <c r="G1517" s="103"/>
      <c r="H1517" s="102" t="s">
        <v>1254</v>
      </c>
      <c r="I1517" s="9">
        <v>1</v>
      </c>
      <c r="J1517" s="9">
        <v>500</v>
      </c>
      <c r="K1517" s="100">
        <f t="shared" si="206"/>
        <v>500</v>
      </c>
      <c r="L1517" s="78">
        <v>46142</v>
      </c>
      <c r="M1517" s="103"/>
      <c r="N1517" s="93" t="s">
        <v>534</v>
      </c>
      <c r="O1517" s="94"/>
      <c r="P1517" s="104">
        <f t="shared" si="207"/>
        <v>500</v>
      </c>
      <c r="Q1517" s="104">
        <f t="shared" si="208"/>
        <v>500</v>
      </c>
      <c r="R1517" s="104"/>
      <c r="S1517" s="93" t="s">
        <v>144</v>
      </c>
      <c r="T1517" s="94"/>
      <c r="U1517" s="104">
        <f t="shared" si="209"/>
        <v>500</v>
      </c>
      <c r="V1517" s="104">
        <f t="shared" si="210"/>
        <v>1</v>
      </c>
      <c r="W1517" s="103">
        <f t="shared" si="211"/>
        <v>500</v>
      </c>
      <c r="X1517" s="93" t="s">
        <v>803</v>
      </c>
      <c r="Y1517" s="105" t="s">
        <v>84</v>
      </c>
      <c r="Z1517" s="105" t="s">
        <v>619</v>
      </c>
    </row>
    <row r="1518" spans="1:26" s="105" customFormat="1" ht="15" customHeight="1">
      <c r="A1518" s="99">
        <f t="shared" si="205"/>
        <v>1516</v>
      </c>
      <c r="B1518" s="75" t="s">
        <v>950</v>
      </c>
      <c r="C1518" s="100" t="str">
        <f>IF($B1518&lt;&gt;"",_xlfn.IFNA(VLOOKUP($B1518,'Node Details'!$B:$U,C$1,0),"Check"),"")</f>
        <v>0000CM421-CM4210101</v>
      </c>
      <c r="D1518" s="100" t="str">
        <f>IF($B1518&lt;&gt;"",_xlfn.IFNA(VLOOKUP($B1518,'Node Details'!$B:$U,D$1,0),"Check"),"")</f>
        <v>CM4</v>
      </c>
      <c r="E1518" s="100" t="str">
        <f>IF($B1518&lt;&gt;"",_xlfn.IFNA(VLOOKUP($B1518,'Node Details'!$B:$U,E$1,0),"Check"),"")</f>
        <v>Airtel</v>
      </c>
      <c r="F1518" s="101">
        <v>46148</v>
      </c>
      <c r="G1518" s="103"/>
      <c r="H1518" s="102" t="s">
        <v>1254</v>
      </c>
      <c r="I1518" s="9">
        <v>1</v>
      </c>
      <c r="J1518" s="9">
        <v>500</v>
      </c>
      <c r="K1518" s="100">
        <f t="shared" si="206"/>
        <v>500</v>
      </c>
      <c r="L1518" s="78">
        <v>46142</v>
      </c>
      <c r="M1518" s="103"/>
      <c r="N1518" s="93" t="s">
        <v>534</v>
      </c>
      <c r="O1518" s="94"/>
      <c r="P1518" s="104">
        <f t="shared" si="207"/>
        <v>500</v>
      </c>
      <c r="Q1518" s="104">
        <f t="shared" si="208"/>
        <v>500</v>
      </c>
      <c r="R1518" s="104"/>
      <c r="S1518" s="93" t="s">
        <v>144</v>
      </c>
      <c r="T1518" s="94"/>
      <c r="U1518" s="104">
        <f t="shared" si="209"/>
        <v>500</v>
      </c>
      <c r="V1518" s="104">
        <f t="shared" si="210"/>
        <v>1</v>
      </c>
      <c r="W1518" s="103">
        <f t="shared" si="211"/>
        <v>500</v>
      </c>
      <c r="X1518" s="93" t="s">
        <v>803</v>
      </c>
      <c r="Y1518" s="105" t="s">
        <v>84</v>
      </c>
      <c r="Z1518" s="105" t="s">
        <v>619</v>
      </c>
    </row>
    <row r="1519" spans="1:26" s="105" customFormat="1" ht="15" customHeight="1">
      <c r="A1519" s="99">
        <f t="shared" si="205"/>
        <v>1517</v>
      </c>
      <c r="B1519" s="75" t="s">
        <v>1239</v>
      </c>
      <c r="C1519" s="100" t="str">
        <f>IF($B1519&lt;&gt;"",_xlfn.IFNA(VLOOKUP($B1519,'Node Details'!$B:$U,C$1,0),"Check"),"")</f>
        <v>0000CM421-CM4210104</v>
      </c>
      <c r="D1519" s="100" t="str">
        <f>IF($B1519&lt;&gt;"",_xlfn.IFNA(VLOOKUP($B1519,'Node Details'!$B:$U,D$1,0),"Check"),"")</f>
        <v>CM4</v>
      </c>
      <c r="E1519" s="100" t="str">
        <f>IF($B1519&lt;&gt;"",_xlfn.IFNA(VLOOKUP($B1519,'Node Details'!$B:$U,E$1,0),"Check"),"")</f>
        <v>Airtel</v>
      </c>
      <c r="F1519" s="101">
        <v>46148</v>
      </c>
      <c r="G1519" s="103"/>
      <c r="H1519" s="102" t="s">
        <v>1254</v>
      </c>
      <c r="I1519" s="9">
        <v>1</v>
      </c>
      <c r="J1519" s="9">
        <v>500</v>
      </c>
      <c r="K1519" s="100">
        <f t="shared" si="206"/>
        <v>500</v>
      </c>
      <c r="L1519" s="78">
        <v>46142</v>
      </c>
      <c r="M1519" s="103"/>
      <c r="N1519" s="93" t="s">
        <v>534</v>
      </c>
      <c r="O1519" s="94"/>
      <c r="P1519" s="104">
        <f t="shared" si="207"/>
        <v>500</v>
      </c>
      <c r="Q1519" s="104">
        <f t="shared" si="208"/>
        <v>500</v>
      </c>
      <c r="R1519" s="104"/>
      <c r="S1519" s="93" t="s">
        <v>144</v>
      </c>
      <c r="T1519" s="94"/>
      <c r="U1519" s="104">
        <f t="shared" si="209"/>
        <v>500</v>
      </c>
      <c r="V1519" s="104">
        <f t="shared" si="210"/>
        <v>1</v>
      </c>
      <c r="W1519" s="103">
        <f t="shared" si="211"/>
        <v>500</v>
      </c>
      <c r="X1519" s="93" t="s">
        <v>803</v>
      </c>
      <c r="Y1519" s="105" t="s">
        <v>84</v>
      </c>
      <c r="Z1519" s="105" t="s">
        <v>619</v>
      </c>
    </row>
    <row r="1520" spans="1:26" s="105" customFormat="1" ht="15" customHeight="1">
      <c r="A1520" s="99">
        <f t="shared" si="205"/>
        <v>1518</v>
      </c>
      <c r="B1520" s="75" t="s">
        <v>1240</v>
      </c>
      <c r="C1520" s="100" t="str">
        <f>IF($B1520&lt;&gt;"",_xlfn.IFNA(VLOOKUP($B1520,'Node Details'!$B:$U,C$1,0),"Check"),"")</f>
        <v>0000CM421-CM4210104</v>
      </c>
      <c r="D1520" s="100" t="str">
        <f>IF($B1520&lt;&gt;"",_xlfn.IFNA(VLOOKUP($B1520,'Node Details'!$B:$U,D$1,0),"Check"),"")</f>
        <v>CM4</v>
      </c>
      <c r="E1520" s="100" t="str">
        <f>IF($B1520&lt;&gt;"",_xlfn.IFNA(VLOOKUP($B1520,'Node Details'!$B:$U,E$1,0),"Check"),"")</f>
        <v>Airtel</v>
      </c>
      <c r="F1520" s="101">
        <v>46148</v>
      </c>
      <c r="G1520" s="103"/>
      <c r="H1520" s="102" t="s">
        <v>1254</v>
      </c>
      <c r="I1520" s="9">
        <v>1</v>
      </c>
      <c r="J1520" s="9">
        <v>500</v>
      </c>
      <c r="K1520" s="100">
        <f t="shared" si="206"/>
        <v>500</v>
      </c>
      <c r="L1520" s="78">
        <v>46142</v>
      </c>
      <c r="M1520" s="103"/>
      <c r="N1520" s="93" t="s">
        <v>534</v>
      </c>
      <c r="O1520" s="94"/>
      <c r="P1520" s="104">
        <f t="shared" si="207"/>
        <v>500</v>
      </c>
      <c r="Q1520" s="104">
        <f t="shared" si="208"/>
        <v>500</v>
      </c>
      <c r="R1520" s="104"/>
      <c r="S1520" s="93" t="s">
        <v>144</v>
      </c>
      <c r="T1520" s="94"/>
      <c r="U1520" s="104">
        <f t="shared" si="209"/>
        <v>500</v>
      </c>
      <c r="V1520" s="104">
        <f t="shared" si="210"/>
        <v>1</v>
      </c>
      <c r="W1520" s="103">
        <f t="shared" si="211"/>
        <v>500</v>
      </c>
      <c r="X1520" s="93" t="s">
        <v>803</v>
      </c>
      <c r="Y1520" s="105" t="s">
        <v>84</v>
      </c>
      <c r="Z1520" s="105" t="s">
        <v>619</v>
      </c>
    </row>
    <row r="1521" spans="1:26" s="105" customFormat="1" ht="15" customHeight="1">
      <c r="A1521" s="99">
        <f t="shared" si="205"/>
        <v>1519</v>
      </c>
      <c r="B1521" s="75" t="s">
        <v>952</v>
      </c>
      <c r="C1521" s="100" t="str">
        <f>IF($B1521&lt;&gt;"",_xlfn.IFNA(VLOOKUP($B1521,'Node Details'!$B:$U,C$1,0),"Check"),"")</f>
        <v>0000CM421-CM4210104</v>
      </c>
      <c r="D1521" s="100" t="str">
        <f>IF($B1521&lt;&gt;"",_xlfn.IFNA(VLOOKUP($B1521,'Node Details'!$B:$U,D$1,0),"Check"),"")</f>
        <v>CM4</v>
      </c>
      <c r="E1521" s="100" t="str">
        <f>IF($B1521&lt;&gt;"",_xlfn.IFNA(VLOOKUP($B1521,'Node Details'!$B:$U,E$1,0),"Check"),"")</f>
        <v>Airtel</v>
      </c>
      <c r="F1521" s="101">
        <v>46148</v>
      </c>
      <c r="G1521" s="103"/>
      <c r="H1521" s="102" t="s">
        <v>1254</v>
      </c>
      <c r="I1521" s="9">
        <v>1</v>
      </c>
      <c r="J1521" s="9">
        <v>500</v>
      </c>
      <c r="K1521" s="100">
        <f t="shared" si="206"/>
        <v>500</v>
      </c>
      <c r="L1521" s="78">
        <v>46142</v>
      </c>
      <c r="M1521" s="103"/>
      <c r="N1521" s="93" t="s">
        <v>534</v>
      </c>
      <c r="O1521" s="94"/>
      <c r="P1521" s="104">
        <f t="shared" si="207"/>
        <v>500</v>
      </c>
      <c r="Q1521" s="104">
        <f t="shared" si="208"/>
        <v>500</v>
      </c>
      <c r="R1521" s="104"/>
      <c r="S1521" s="93" t="s">
        <v>144</v>
      </c>
      <c r="T1521" s="94"/>
      <c r="U1521" s="104">
        <f t="shared" si="209"/>
        <v>500</v>
      </c>
      <c r="V1521" s="104">
        <f t="shared" si="210"/>
        <v>1</v>
      </c>
      <c r="W1521" s="103">
        <f t="shared" si="211"/>
        <v>500</v>
      </c>
      <c r="X1521" s="93" t="s">
        <v>803</v>
      </c>
      <c r="Y1521" s="105" t="s">
        <v>84</v>
      </c>
      <c r="Z1521" s="105" t="s">
        <v>619</v>
      </c>
    </row>
    <row r="1522" spans="1:26" s="105" customFormat="1" ht="15" customHeight="1">
      <c r="A1522" s="99">
        <f t="shared" si="205"/>
        <v>1520</v>
      </c>
      <c r="B1522" s="75" t="s">
        <v>954</v>
      </c>
      <c r="C1522" s="100" t="str">
        <f>IF($B1522&lt;&gt;"",_xlfn.IFNA(VLOOKUP($B1522,'Node Details'!$B:$U,C$1,0),"Check"),"")</f>
        <v>0000CM421-CM4210105</v>
      </c>
      <c r="D1522" s="100" t="str">
        <f>IF($B1522&lt;&gt;"",_xlfn.IFNA(VLOOKUP($B1522,'Node Details'!$B:$U,D$1,0),"Check"),"")</f>
        <v>CM4</v>
      </c>
      <c r="E1522" s="100" t="str">
        <f>IF($B1522&lt;&gt;"",_xlfn.IFNA(VLOOKUP($B1522,'Node Details'!$B:$U,E$1,0),"Check"),"")</f>
        <v>Airtel</v>
      </c>
      <c r="F1522" s="101">
        <v>46148</v>
      </c>
      <c r="G1522" s="103"/>
      <c r="H1522" s="102" t="s">
        <v>1254</v>
      </c>
      <c r="I1522" s="9">
        <v>1</v>
      </c>
      <c r="J1522" s="9">
        <v>500</v>
      </c>
      <c r="K1522" s="100">
        <f t="shared" si="206"/>
        <v>500</v>
      </c>
      <c r="L1522" s="78">
        <v>46142</v>
      </c>
      <c r="M1522" s="103"/>
      <c r="N1522" s="93" t="s">
        <v>534</v>
      </c>
      <c r="O1522" s="94"/>
      <c r="P1522" s="104">
        <f t="shared" si="207"/>
        <v>500</v>
      </c>
      <c r="Q1522" s="104">
        <f t="shared" si="208"/>
        <v>500</v>
      </c>
      <c r="R1522" s="104"/>
      <c r="S1522" s="93" t="s">
        <v>144</v>
      </c>
      <c r="T1522" s="94"/>
      <c r="U1522" s="104">
        <f t="shared" si="209"/>
        <v>500</v>
      </c>
      <c r="V1522" s="104">
        <f t="shared" si="210"/>
        <v>1</v>
      </c>
      <c r="W1522" s="103">
        <f t="shared" si="211"/>
        <v>500</v>
      </c>
      <c r="X1522" s="93" t="s">
        <v>803</v>
      </c>
      <c r="Y1522" s="105" t="s">
        <v>84</v>
      </c>
      <c r="Z1522" s="105" t="s">
        <v>619</v>
      </c>
    </row>
    <row r="1523" spans="1:26" s="105" customFormat="1" ht="15" customHeight="1">
      <c r="A1523" s="99">
        <f t="shared" si="205"/>
        <v>1521</v>
      </c>
      <c r="B1523" s="75" t="s">
        <v>820</v>
      </c>
      <c r="C1523" s="100" t="str">
        <f>IF($B1523&lt;&gt;"",_xlfn.IFNA(VLOOKUP($B1523,'Node Details'!$B:$U,C$1,0),"Check"),"")</f>
        <v>000000CM4-0000CM403</v>
      </c>
      <c r="D1523" s="100" t="str">
        <f>IF($B1523&lt;&gt;"",_xlfn.IFNA(VLOOKUP($B1523,'Node Details'!$B:$U,D$1,0),"Check"),"")</f>
        <v>CM4</v>
      </c>
      <c r="E1523" s="100" t="str">
        <f>IF($B1523&lt;&gt;"",_xlfn.IFNA(VLOOKUP($B1523,'Node Details'!$B:$U,E$1,0),"Check"),"")</f>
        <v>Airtel</v>
      </c>
      <c r="F1523" s="101">
        <v>46148</v>
      </c>
      <c r="G1523" s="103"/>
      <c r="H1523" s="102" t="s">
        <v>1255</v>
      </c>
      <c r="I1523" s="9">
        <v>1</v>
      </c>
      <c r="J1523" s="9">
        <v>500</v>
      </c>
      <c r="K1523" s="100">
        <f t="shared" si="206"/>
        <v>500</v>
      </c>
      <c r="L1523" s="78">
        <v>46142</v>
      </c>
      <c r="M1523" s="103"/>
      <c r="N1523" s="93" t="s">
        <v>534</v>
      </c>
      <c r="O1523" s="94"/>
      <c r="P1523" s="104">
        <f t="shared" si="207"/>
        <v>500</v>
      </c>
      <c r="Q1523" s="104">
        <f t="shared" si="208"/>
        <v>500</v>
      </c>
      <c r="R1523" s="104"/>
      <c r="S1523" s="93" t="s">
        <v>144</v>
      </c>
      <c r="T1523" s="94"/>
      <c r="U1523" s="104">
        <f t="shared" si="209"/>
        <v>500</v>
      </c>
      <c r="V1523" s="104">
        <f t="shared" si="210"/>
        <v>1</v>
      </c>
      <c r="W1523" s="103">
        <f t="shared" si="211"/>
        <v>500</v>
      </c>
      <c r="X1523" s="93" t="s">
        <v>803</v>
      </c>
      <c r="Y1523" s="105" t="s">
        <v>84</v>
      </c>
      <c r="Z1523" s="105" t="s">
        <v>619</v>
      </c>
    </row>
    <row r="1524" spans="1:26" s="105" customFormat="1" ht="15" customHeight="1">
      <c r="A1524" s="99">
        <f t="shared" si="205"/>
        <v>1522</v>
      </c>
      <c r="B1524" s="75" t="s">
        <v>809</v>
      </c>
      <c r="C1524" s="100" t="str">
        <f>IF($B1524&lt;&gt;"",_xlfn.IFNA(VLOOKUP($B1524,'Node Details'!$B:$U,C$1,0),"Check"),"")</f>
        <v>000000CM4-0000CM403</v>
      </c>
      <c r="D1524" s="100" t="str">
        <f>IF($B1524&lt;&gt;"",_xlfn.IFNA(VLOOKUP($B1524,'Node Details'!$B:$U,D$1,0),"Check"),"")</f>
        <v>CM4</v>
      </c>
      <c r="E1524" s="100" t="str">
        <f>IF($B1524&lt;&gt;"",_xlfn.IFNA(VLOOKUP($B1524,'Node Details'!$B:$U,E$1,0),"Check"),"")</f>
        <v>Airtel</v>
      </c>
      <c r="F1524" s="101">
        <v>46148</v>
      </c>
      <c r="G1524" s="103"/>
      <c r="H1524" s="102" t="s">
        <v>1255</v>
      </c>
      <c r="I1524" s="9">
        <v>1</v>
      </c>
      <c r="J1524" s="9">
        <v>500</v>
      </c>
      <c r="K1524" s="100">
        <f t="shared" si="206"/>
        <v>500</v>
      </c>
      <c r="L1524" s="78">
        <v>46142</v>
      </c>
      <c r="M1524" s="103"/>
      <c r="N1524" s="93" t="s">
        <v>534</v>
      </c>
      <c r="O1524" s="94"/>
      <c r="P1524" s="104">
        <f t="shared" si="207"/>
        <v>500</v>
      </c>
      <c r="Q1524" s="104">
        <f t="shared" si="208"/>
        <v>500</v>
      </c>
      <c r="R1524" s="104"/>
      <c r="S1524" s="93" t="s">
        <v>144</v>
      </c>
      <c r="T1524" s="94"/>
      <c r="U1524" s="104">
        <f t="shared" si="209"/>
        <v>500</v>
      </c>
      <c r="V1524" s="104">
        <f t="shared" si="210"/>
        <v>1</v>
      </c>
      <c r="W1524" s="103">
        <f t="shared" si="211"/>
        <v>500</v>
      </c>
      <c r="X1524" s="93" t="s">
        <v>803</v>
      </c>
      <c r="Y1524" s="105" t="s">
        <v>84</v>
      </c>
      <c r="Z1524" s="105" t="s">
        <v>619</v>
      </c>
    </row>
    <row r="1525" spans="1:26" s="105" customFormat="1" ht="15" customHeight="1">
      <c r="A1525" s="99">
        <f t="shared" si="205"/>
        <v>1523</v>
      </c>
      <c r="B1525" s="75" t="s">
        <v>807</v>
      </c>
      <c r="C1525" s="100" t="str">
        <f>IF($B1525&lt;&gt;"",_xlfn.IFNA(VLOOKUP($B1525,'Node Details'!$B:$U,C$1,0),"Check"),"")</f>
        <v>000000CM4-0000CM403</v>
      </c>
      <c r="D1525" s="100" t="str">
        <f>IF($B1525&lt;&gt;"",_xlfn.IFNA(VLOOKUP($B1525,'Node Details'!$B:$U,D$1,0),"Check"),"")</f>
        <v>CM4</v>
      </c>
      <c r="E1525" s="100" t="str">
        <f>IF($B1525&lt;&gt;"",_xlfn.IFNA(VLOOKUP($B1525,'Node Details'!$B:$U,E$1,0),"Check"),"")</f>
        <v>Airtel</v>
      </c>
      <c r="F1525" s="101">
        <v>46148</v>
      </c>
      <c r="G1525" s="103"/>
      <c r="H1525" s="102" t="s">
        <v>1255</v>
      </c>
      <c r="I1525" s="9">
        <v>1</v>
      </c>
      <c r="J1525" s="9">
        <v>500</v>
      </c>
      <c r="K1525" s="100">
        <f t="shared" si="206"/>
        <v>500</v>
      </c>
      <c r="L1525" s="78">
        <v>46142</v>
      </c>
      <c r="M1525" s="103"/>
      <c r="N1525" s="93" t="s">
        <v>534</v>
      </c>
      <c r="O1525" s="94"/>
      <c r="P1525" s="104">
        <f t="shared" si="207"/>
        <v>500</v>
      </c>
      <c r="Q1525" s="104">
        <f t="shared" si="208"/>
        <v>500</v>
      </c>
      <c r="R1525" s="104"/>
      <c r="S1525" s="93" t="s">
        <v>144</v>
      </c>
      <c r="T1525" s="94"/>
      <c r="U1525" s="104">
        <f t="shared" si="209"/>
        <v>500</v>
      </c>
      <c r="V1525" s="104">
        <f t="shared" si="210"/>
        <v>1</v>
      </c>
      <c r="W1525" s="103">
        <f t="shared" si="211"/>
        <v>500</v>
      </c>
      <c r="X1525" s="93" t="s">
        <v>803</v>
      </c>
      <c r="Y1525" s="105" t="s">
        <v>84</v>
      </c>
      <c r="Z1525" s="105" t="s">
        <v>619</v>
      </c>
    </row>
    <row r="1526" spans="1:26" s="105" customFormat="1" ht="15" customHeight="1">
      <c r="A1526" s="99">
        <f t="shared" si="205"/>
        <v>1524</v>
      </c>
      <c r="B1526" s="75" t="s">
        <v>810</v>
      </c>
      <c r="C1526" s="100" t="str">
        <f>IF($B1526&lt;&gt;"",_xlfn.IFNA(VLOOKUP($B1526,'Node Details'!$B:$U,C$1,0),"Check"),"")</f>
        <v>0000CM402-0000CM404</v>
      </c>
      <c r="D1526" s="100" t="str">
        <f>IF($B1526&lt;&gt;"",_xlfn.IFNA(VLOOKUP($B1526,'Node Details'!$B:$U,D$1,0),"Check"),"")</f>
        <v>CM4</v>
      </c>
      <c r="E1526" s="100" t="str">
        <f>IF($B1526&lt;&gt;"",_xlfn.IFNA(VLOOKUP($B1526,'Node Details'!$B:$U,E$1,0),"Check"),"")</f>
        <v>Airtel</v>
      </c>
      <c r="F1526" s="101">
        <v>46148</v>
      </c>
      <c r="G1526" s="103"/>
      <c r="H1526" s="102" t="s">
        <v>1255</v>
      </c>
      <c r="I1526" s="9">
        <v>1</v>
      </c>
      <c r="J1526" s="9">
        <v>500</v>
      </c>
      <c r="K1526" s="100">
        <f t="shared" si="206"/>
        <v>500</v>
      </c>
      <c r="L1526" s="78">
        <v>46142</v>
      </c>
      <c r="M1526" s="103"/>
      <c r="N1526" s="93" t="s">
        <v>534</v>
      </c>
      <c r="O1526" s="94"/>
      <c r="P1526" s="104">
        <f t="shared" si="207"/>
        <v>500</v>
      </c>
      <c r="Q1526" s="104">
        <f t="shared" si="208"/>
        <v>500</v>
      </c>
      <c r="R1526" s="104"/>
      <c r="S1526" s="93" t="s">
        <v>144</v>
      </c>
      <c r="T1526" s="94"/>
      <c r="U1526" s="104">
        <f t="shared" si="209"/>
        <v>500</v>
      </c>
      <c r="V1526" s="104">
        <f t="shared" si="210"/>
        <v>1</v>
      </c>
      <c r="W1526" s="103">
        <f t="shared" si="211"/>
        <v>500</v>
      </c>
      <c r="X1526" s="93" t="s">
        <v>803</v>
      </c>
      <c r="Y1526" s="105" t="s">
        <v>84</v>
      </c>
      <c r="Z1526" s="105" t="s">
        <v>619</v>
      </c>
    </row>
    <row r="1527" spans="1:26" s="105" customFormat="1" ht="15" customHeight="1">
      <c r="A1527" s="99">
        <f t="shared" si="205"/>
        <v>1525</v>
      </c>
      <c r="B1527" s="75" t="s">
        <v>805</v>
      </c>
      <c r="C1527" s="100" t="str">
        <f>IF($B1527&lt;&gt;"",_xlfn.IFNA(VLOOKUP($B1527,'Node Details'!$B:$U,C$1,0),"Check"),"")</f>
        <v>000000CM4-0000CM408</v>
      </c>
      <c r="D1527" s="100" t="str">
        <f>IF($B1527&lt;&gt;"",_xlfn.IFNA(VLOOKUP($B1527,'Node Details'!$B:$U,D$1,0),"Check"),"")</f>
        <v>CM4</v>
      </c>
      <c r="E1527" s="100" t="str">
        <f>IF($B1527&lt;&gt;"",_xlfn.IFNA(VLOOKUP($B1527,'Node Details'!$B:$U,E$1,0),"Check"),"")</f>
        <v>Airtel</v>
      </c>
      <c r="F1527" s="101">
        <v>46148</v>
      </c>
      <c r="G1527" s="103"/>
      <c r="H1527" s="102" t="s">
        <v>1255</v>
      </c>
      <c r="I1527" s="9">
        <v>1</v>
      </c>
      <c r="J1527" s="9">
        <v>500</v>
      </c>
      <c r="K1527" s="100">
        <f t="shared" si="206"/>
        <v>500</v>
      </c>
      <c r="L1527" s="78">
        <v>46142</v>
      </c>
      <c r="M1527" s="103"/>
      <c r="N1527" s="93" t="s">
        <v>534</v>
      </c>
      <c r="O1527" s="94"/>
      <c r="P1527" s="104">
        <f t="shared" si="207"/>
        <v>500</v>
      </c>
      <c r="Q1527" s="104">
        <f t="shared" si="208"/>
        <v>500</v>
      </c>
      <c r="R1527" s="104"/>
      <c r="S1527" s="93" t="s">
        <v>144</v>
      </c>
      <c r="T1527" s="94"/>
      <c r="U1527" s="104">
        <f t="shared" si="209"/>
        <v>500</v>
      </c>
      <c r="V1527" s="104">
        <f t="shared" si="210"/>
        <v>1</v>
      </c>
      <c r="W1527" s="103">
        <f t="shared" si="211"/>
        <v>500</v>
      </c>
      <c r="X1527" s="93" t="s">
        <v>803</v>
      </c>
      <c r="Y1527" s="105" t="s">
        <v>84</v>
      </c>
      <c r="Z1527" s="105" t="s">
        <v>619</v>
      </c>
    </row>
    <row r="1528" spans="1:26" s="105" customFormat="1" ht="15" customHeight="1">
      <c r="A1528" s="99">
        <f t="shared" si="205"/>
        <v>1526</v>
      </c>
      <c r="B1528" s="75" t="s">
        <v>854</v>
      </c>
      <c r="C1528" s="100" t="str">
        <f>IF($B1528&lt;&gt;"",_xlfn.IFNA(VLOOKUP($B1528,'Node Details'!$B:$U,C$1,0),"Check"),"")</f>
        <v>000000CM4-0000CM418</v>
      </c>
      <c r="D1528" s="100" t="str">
        <f>IF($B1528&lt;&gt;"",_xlfn.IFNA(VLOOKUP($B1528,'Node Details'!$B:$U,D$1,0),"Check"),"")</f>
        <v>CM4</v>
      </c>
      <c r="E1528" s="100" t="str">
        <f>IF($B1528&lt;&gt;"",_xlfn.IFNA(VLOOKUP($B1528,'Node Details'!$B:$U,E$1,0),"Check"),"")</f>
        <v>Airtel</v>
      </c>
      <c r="F1528" s="101">
        <v>46148</v>
      </c>
      <c r="G1528" s="103"/>
      <c r="H1528" s="102" t="s">
        <v>1255</v>
      </c>
      <c r="I1528" s="9">
        <v>1</v>
      </c>
      <c r="J1528" s="9">
        <v>500</v>
      </c>
      <c r="K1528" s="100">
        <f t="shared" si="206"/>
        <v>500</v>
      </c>
      <c r="L1528" s="78">
        <v>46142</v>
      </c>
      <c r="M1528" s="103"/>
      <c r="N1528" s="93" t="s">
        <v>534</v>
      </c>
      <c r="O1528" s="94"/>
      <c r="P1528" s="104">
        <f t="shared" si="207"/>
        <v>500</v>
      </c>
      <c r="Q1528" s="104">
        <f t="shared" si="208"/>
        <v>500</v>
      </c>
      <c r="R1528" s="104"/>
      <c r="S1528" s="93" t="s">
        <v>144</v>
      </c>
      <c r="T1528" s="94"/>
      <c r="U1528" s="104">
        <f t="shared" si="209"/>
        <v>500</v>
      </c>
      <c r="V1528" s="104">
        <f t="shared" si="210"/>
        <v>1</v>
      </c>
      <c r="W1528" s="103">
        <f t="shared" si="211"/>
        <v>500</v>
      </c>
      <c r="X1528" s="93" t="s">
        <v>803</v>
      </c>
      <c r="Y1528" s="105" t="s">
        <v>84</v>
      </c>
      <c r="Z1528" s="105" t="s">
        <v>619</v>
      </c>
    </row>
    <row r="1529" spans="1:26" s="105" customFormat="1" ht="15" customHeight="1">
      <c r="A1529" s="99">
        <f t="shared" si="205"/>
        <v>1527</v>
      </c>
      <c r="B1529" s="75" t="s">
        <v>865</v>
      </c>
      <c r="C1529" s="100" t="str">
        <f>IF($B1529&lt;&gt;"",_xlfn.IFNA(VLOOKUP($B1529,'Node Details'!$B:$U,C$1,0),"Check"),"")</f>
        <v>000000CM4-0000CM418</v>
      </c>
      <c r="D1529" s="100" t="str">
        <f>IF($B1529&lt;&gt;"",_xlfn.IFNA(VLOOKUP($B1529,'Node Details'!$B:$U,D$1,0),"Check"),"")</f>
        <v>CM4</v>
      </c>
      <c r="E1529" s="100" t="str">
        <f>IF($B1529&lt;&gt;"",_xlfn.IFNA(VLOOKUP($B1529,'Node Details'!$B:$U,E$1,0),"Check"),"")</f>
        <v>Airtel</v>
      </c>
      <c r="F1529" s="101">
        <v>46148</v>
      </c>
      <c r="G1529" s="103"/>
      <c r="H1529" s="102" t="s">
        <v>1255</v>
      </c>
      <c r="I1529" s="9">
        <v>1</v>
      </c>
      <c r="J1529" s="9">
        <v>500</v>
      </c>
      <c r="K1529" s="100">
        <f t="shared" si="206"/>
        <v>500</v>
      </c>
      <c r="L1529" s="78">
        <v>46142</v>
      </c>
      <c r="M1529" s="103"/>
      <c r="N1529" s="93" t="s">
        <v>534</v>
      </c>
      <c r="O1529" s="94"/>
      <c r="P1529" s="104">
        <f t="shared" si="207"/>
        <v>500</v>
      </c>
      <c r="Q1529" s="104">
        <f t="shared" si="208"/>
        <v>500</v>
      </c>
      <c r="R1529" s="104"/>
      <c r="S1529" s="93" t="s">
        <v>144</v>
      </c>
      <c r="T1529" s="94"/>
      <c r="U1529" s="104">
        <f t="shared" si="209"/>
        <v>500</v>
      </c>
      <c r="V1529" s="104">
        <f t="shared" si="210"/>
        <v>1</v>
      </c>
      <c r="W1529" s="103">
        <f t="shared" si="211"/>
        <v>500</v>
      </c>
      <c r="X1529" s="93" t="s">
        <v>803</v>
      </c>
      <c r="Y1529" s="105" t="s">
        <v>84</v>
      </c>
      <c r="Z1529" s="105" t="s">
        <v>619</v>
      </c>
    </row>
    <row r="1530" spans="1:26" s="105" customFormat="1" ht="15" customHeight="1">
      <c r="A1530" s="99">
        <f t="shared" si="205"/>
        <v>1528</v>
      </c>
      <c r="B1530" s="75" t="s">
        <v>812</v>
      </c>
      <c r="C1530" s="100" t="str">
        <f>IF($B1530&lt;&gt;"",_xlfn.IFNA(VLOOKUP($B1530,'Node Details'!$B:$U,C$1,0),"Check"),"")</f>
        <v>000000CM4-0000CM418</v>
      </c>
      <c r="D1530" s="100" t="str">
        <f>IF($B1530&lt;&gt;"",_xlfn.IFNA(VLOOKUP($B1530,'Node Details'!$B:$U,D$1,0),"Check"),"")</f>
        <v>CM4</v>
      </c>
      <c r="E1530" s="100" t="str">
        <f>IF($B1530&lt;&gt;"",_xlfn.IFNA(VLOOKUP($B1530,'Node Details'!$B:$U,E$1,0),"Check"),"")</f>
        <v>Airtel</v>
      </c>
      <c r="F1530" s="101">
        <v>46148</v>
      </c>
      <c r="G1530" s="103"/>
      <c r="H1530" s="102" t="s">
        <v>1255</v>
      </c>
      <c r="I1530" s="9">
        <v>1</v>
      </c>
      <c r="J1530" s="9">
        <v>500</v>
      </c>
      <c r="K1530" s="100">
        <f t="shared" si="206"/>
        <v>500</v>
      </c>
      <c r="L1530" s="78">
        <v>46142</v>
      </c>
      <c r="M1530" s="103"/>
      <c r="N1530" s="93" t="s">
        <v>534</v>
      </c>
      <c r="O1530" s="94"/>
      <c r="P1530" s="104">
        <f t="shared" si="207"/>
        <v>500</v>
      </c>
      <c r="Q1530" s="104">
        <f t="shared" si="208"/>
        <v>500</v>
      </c>
      <c r="R1530" s="104"/>
      <c r="S1530" s="93" t="s">
        <v>144</v>
      </c>
      <c r="T1530" s="94"/>
      <c r="U1530" s="104">
        <f t="shared" si="209"/>
        <v>500</v>
      </c>
      <c r="V1530" s="104">
        <f t="shared" si="210"/>
        <v>1</v>
      </c>
      <c r="W1530" s="103">
        <f t="shared" si="211"/>
        <v>500</v>
      </c>
      <c r="X1530" s="93" t="s">
        <v>803</v>
      </c>
      <c r="Y1530" s="105" t="s">
        <v>84</v>
      </c>
      <c r="Z1530" s="105" t="s">
        <v>619</v>
      </c>
    </row>
    <row r="1531" spans="1:26" s="105" customFormat="1" ht="15" customHeight="1">
      <c r="A1531" s="99">
        <f t="shared" si="205"/>
        <v>1529</v>
      </c>
      <c r="B1531" s="75" t="s">
        <v>813</v>
      </c>
      <c r="C1531" s="100" t="str">
        <f>IF($B1531&lt;&gt;"",_xlfn.IFNA(VLOOKUP($B1531,'Node Details'!$B:$U,C$1,0),"Check"),"")</f>
        <v>0000CM411-0000CM412</v>
      </c>
      <c r="D1531" s="100" t="str">
        <f>IF($B1531&lt;&gt;"",_xlfn.IFNA(VLOOKUP($B1531,'Node Details'!$B:$U,D$1,0),"Check"),"")</f>
        <v>CM4</v>
      </c>
      <c r="E1531" s="100" t="str">
        <f>IF($B1531&lt;&gt;"",_xlfn.IFNA(VLOOKUP($B1531,'Node Details'!$B:$U,E$1,0),"Check"),"")</f>
        <v>Airtel</v>
      </c>
      <c r="F1531" s="101">
        <v>46148</v>
      </c>
      <c r="G1531" s="103"/>
      <c r="H1531" s="102" t="s">
        <v>1255</v>
      </c>
      <c r="I1531" s="9">
        <v>1</v>
      </c>
      <c r="J1531" s="9">
        <v>500</v>
      </c>
      <c r="K1531" s="100">
        <f t="shared" si="206"/>
        <v>500</v>
      </c>
      <c r="L1531" s="78">
        <v>46142</v>
      </c>
      <c r="M1531" s="103"/>
      <c r="N1531" s="93" t="s">
        <v>534</v>
      </c>
      <c r="O1531" s="94"/>
      <c r="P1531" s="104">
        <f t="shared" si="207"/>
        <v>500</v>
      </c>
      <c r="Q1531" s="104">
        <f t="shared" si="208"/>
        <v>500</v>
      </c>
      <c r="R1531" s="104"/>
      <c r="S1531" s="93" t="s">
        <v>144</v>
      </c>
      <c r="T1531" s="94"/>
      <c r="U1531" s="104">
        <f t="shared" si="209"/>
        <v>500</v>
      </c>
      <c r="V1531" s="104">
        <f t="shared" si="210"/>
        <v>1</v>
      </c>
      <c r="W1531" s="103">
        <f t="shared" si="211"/>
        <v>500</v>
      </c>
      <c r="X1531" s="93" t="s">
        <v>803</v>
      </c>
      <c r="Y1531" s="105" t="s">
        <v>84</v>
      </c>
      <c r="Z1531" s="105" t="s">
        <v>619</v>
      </c>
    </row>
    <row r="1532" spans="1:26" s="105" customFormat="1" ht="15" customHeight="1">
      <c r="A1532" s="99">
        <f t="shared" si="205"/>
        <v>1530</v>
      </c>
      <c r="B1532" s="75" t="s">
        <v>897</v>
      </c>
      <c r="C1532" s="100" t="str">
        <f>IF($B1532&lt;&gt;"",_xlfn.IFNA(VLOOKUP($B1532,'Node Details'!$B:$U,C$1,0),"Check"),"")</f>
        <v>000000CM4-0000CM418</v>
      </c>
      <c r="D1532" s="100" t="str">
        <f>IF($B1532&lt;&gt;"",_xlfn.IFNA(VLOOKUP($B1532,'Node Details'!$B:$U,D$1,0),"Check"),"")</f>
        <v>CM4</v>
      </c>
      <c r="E1532" s="100" t="str">
        <f>IF($B1532&lt;&gt;"",_xlfn.IFNA(VLOOKUP($B1532,'Node Details'!$B:$U,E$1,0),"Check"),"")</f>
        <v>Airtel</v>
      </c>
      <c r="F1532" s="101">
        <v>46148</v>
      </c>
      <c r="G1532" s="103"/>
      <c r="H1532" s="102" t="s">
        <v>1255</v>
      </c>
      <c r="I1532" s="9">
        <v>1</v>
      </c>
      <c r="J1532" s="9">
        <v>500</v>
      </c>
      <c r="K1532" s="100">
        <f t="shared" si="206"/>
        <v>500</v>
      </c>
      <c r="L1532" s="78">
        <v>46142</v>
      </c>
      <c r="M1532" s="103"/>
      <c r="N1532" s="93" t="s">
        <v>534</v>
      </c>
      <c r="O1532" s="94"/>
      <c r="P1532" s="104">
        <f t="shared" si="207"/>
        <v>500</v>
      </c>
      <c r="Q1532" s="104">
        <f t="shared" si="208"/>
        <v>500</v>
      </c>
      <c r="R1532" s="104"/>
      <c r="S1532" s="93" t="s">
        <v>144</v>
      </c>
      <c r="T1532" s="94"/>
      <c r="U1532" s="104">
        <f t="shared" si="209"/>
        <v>500</v>
      </c>
      <c r="V1532" s="104">
        <f t="shared" si="210"/>
        <v>1</v>
      </c>
      <c r="W1532" s="103">
        <f t="shared" si="211"/>
        <v>500</v>
      </c>
      <c r="X1532" s="93" t="s">
        <v>803</v>
      </c>
      <c r="Y1532" s="105" t="s">
        <v>84</v>
      </c>
      <c r="Z1532" s="105" t="s">
        <v>619</v>
      </c>
    </row>
    <row r="1533" spans="1:26" s="105" customFormat="1" ht="15" customHeight="1">
      <c r="A1533" s="99">
        <f t="shared" si="205"/>
        <v>1531</v>
      </c>
      <c r="B1533" s="75" t="s">
        <v>905</v>
      </c>
      <c r="C1533" s="100" t="str">
        <f>IF($B1533&lt;&gt;"",_xlfn.IFNA(VLOOKUP($B1533,'Node Details'!$B:$U,C$1,0),"Check"),"")</f>
        <v>000000CM4-0000CM418</v>
      </c>
      <c r="D1533" s="100" t="str">
        <f>IF($B1533&lt;&gt;"",_xlfn.IFNA(VLOOKUP($B1533,'Node Details'!$B:$U,D$1,0),"Check"),"")</f>
        <v>CM4</v>
      </c>
      <c r="E1533" s="100" t="str">
        <f>IF($B1533&lt;&gt;"",_xlfn.IFNA(VLOOKUP($B1533,'Node Details'!$B:$U,E$1,0),"Check"),"")</f>
        <v>Airtel</v>
      </c>
      <c r="F1533" s="101">
        <v>46148</v>
      </c>
      <c r="G1533" s="103"/>
      <c r="H1533" s="102" t="s">
        <v>1255</v>
      </c>
      <c r="I1533" s="9">
        <v>1</v>
      </c>
      <c r="J1533" s="9">
        <v>500</v>
      </c>
      <c r="K1533" s="100">
        <f t="shared" si="206"/>
        <v>500</v>
      </c>
      <c r="L1533" s="78">
        <v>46142</v>
      </c>
      <c r="M1533" s="103"/>
      <c r="N1533" s="93" t="s">
        <v>534</v>
      </c>
      <c r="O1533" s="94"/>
      <c r="P1533" s="104">
        <f t="shared" si="207"/>
        <v>500</v>
      </c>
      <c r="Q1533" s="104">
        <f t="shared" si="208"/>
        <v>500</v>
      </c>
      <c r="R1533" s="104"/>
      <c r="S1533" s="93" t="s">
        <v>144</v>
      </c>
      <c r="T1533" s="94"/>
      <c r="U1533" s="104">
        <f t="shared" si="209"/>
        <v>500</v>
      </c>
      <c r="V1533" s="104">
        <f t="shared" si="210"/>
        <v>1</v>
      </c>
      <c r="W1533" s="103">
        <f t="shared" si="211"/>
        <v>500</v>
      </c>
      <c r="X1533" s="93" t="s">
        <v>803</v>
      </c>
      <c r="Y1533" s="105" t="s">
        <v>84</v>
      </c>
      <c r="Z1533" s="105" t="s">
        <v>619</v>
      </c>
    </row>
    <row r="1534" spans="1:26" s="105" customFormat="1" ht="15" customHeight="1">
      <c r="A1534" s="99">
        <f t="shared" si="205"/>
        <v>1532</v>
      </c>
      <c r="B1534" s="75" t="s">
        <v>815</v>
      </c>
      <c r="C1534" s="100" t="str">
        <f>IF($B1534&lt;&gt;"",_xlfn.IFNA(VLOOKUP($B1534,'Node Details'!$B:$U,C$1,0),"Check"),"")</f>
        <v>000000CM4-0000CM418</v>
      </c>
      <c r="D1534" s="100" t="str">
        <f>IF($B1534&lt;&gt;"",_xlfn.IFNA(VLOOKUP($B1534,'Node Details'!$B:$U,D$1,0),"Check"),"")</f>
        <v>CM4</v>
      </c>
      <c r="E1534" s="100" t="str">
        <f>IF($B1534&lt;&gt;"",_xlfn.IFNA(VLOOKUP($B1534,'Node Details'!$B:$U,E$1,0),"Check"),"")</f>
        <v>Airtel</v>
      </c>
      <c r="F1534" s="101">
        <v>46148</v>
      </c>
      <c r="G1534" s="103"/>
      <c r="H1534" s="102" t="s">
        <v>1255</v>
      </c>
      <c r="I1534" s="9">
        <v>1</v>
      </c>
      <c r="J1534" s="9">
        <v>500</v>
      </c>
      <c r="K1534" s="100">
        <f t="shared" si="206"/>
        <v>500</v>
      </c>
      <c r="L1534" s="78">
        <v>46142</v>
      </c>
      <c r="M1534" s="103"/>
      <c r="N1534" s="93" t="s">
        <v>534</v>
      </c>
      <c r="O1534" s="94"/>
      <c r="P1534" s="104">
        <f t="shared" si="207"/>
        <v>500</v>
      </c>
      <c r="Q1534" s="104">
        <f t="shared" si="208"/>
        <v>500</v>
      </c>
      <c r="R1534" s="104"/>
      <c r="S1534" s="93" t="s">
        <v>144</v>
      </c>
      <c r="T1534" s="94"/>
      <c r="U1534" s="104">
        <f t="shared" si="209"/>
        <v>500</v>
      </c>
      <c r="V1534" s="104">
        <f t="shared" si="210"/>
        <v>1</v>
      </c>
      <c r="W1534" s="103">
        <f t="shared" si="211"/>
        <v>500</v>
      </c>
      <c r="X1534" s="93" t="s">
        <v>803</v>
      </c>
      <c r="Y1534" s="105" t="s">
        <v>84</v>
      </c>
      <c r="Z1534" s="105" t="s">
        <v>619</v>
      </c>
    </row>
    <row r="1535" spans="1:26" s="105" customFormat="1" ht="15" customHeight="1">
      <c r="A1535" s="99">
        <f t="shared" si="205"/>
        <v>1533</v>
      </c>
      <c r="B1535" s="75" t="s">
        <v>816</v>
      </c>
      <c r="C1535" s="100" t="str">
        <f>IF($B1535&lt;&gt;"",_xlfn.IFNA(VLOOKUP($B1535,'Node Details'!$B:$U,C$1,0),"Check"),"")</f>
        <v>0000CM415-0000CM416</v>
      </c>
      <c r="D1535" s="100" t="str">
        <f>IF($B1535&lt;&gt;"",_xlfn.IFNA(VLOOKUP($B1535,'Node Details'!$B:$U,D$1,0),"Check"),"")</f>
        <v>CM4</v>
      </c>
      <c r="E1535" s="100" t="str">
        <f>IF($B1535&lt;&gt;"",_xlfn.IFNA(VLOOKUP($B1535,'Node Details'!$B:$U,E$1,0),"Check"),"")</f>
        <v>Airtel</v>
      </c>
      <c r="F1535" s="101">
        <v>46148</v>
      </c>
      <c r="G1535" s="103"/>
      <c r="H1535" s="102" t="s">
        <v>1255</v>
      </c>
      <c r="I1535" s="9">
        <v>1</v>
      </c>
      <c r="J1535" s="9">
        <v>500</v>
      </c>
      <c r="K1535" s="100">
        <f t="shared" si="206"/>
        <v>500</v>
      </c>
      <c r="L1535" s="78">
        <v>46142</v>
      </c>
      <c r="M1535" s="103"/>
      <c r="N1535" s="93" t="s">
        <v>534</v>
      </c>
      <c r="O1535" s="94"/>
      <c r="P1535" s="104">
        <f t="shared" si="207"/>
        <v>500</v>
      </c>
      <c r="Q1535" s="104">
        <f t="shared" si="208"/>
        <v>500</v>
      </c>
      <c r="R1535" s="104"/>
      <c r="S1535" s="93" t="s">
        <v>144</v>
      </c>
      <c r="T1535" s="94"/>
      <c r="U1535" s="104">
        <f t="shared" si="209"/>
        <v>500</v>
      </c>
      <c r="V1535" s="104">
        <f t="shared" si="210"/>
        <v>1</v>
      </c>
      <c r="W1535" s="103">
        <f t="shared" si="211"/>
        <v>500</v>
      </c>
      <c r="X1535" s="93" t="s">
        <v>803</v>
      </c>
      <c r="Y1535" s="105" t="s">
        <v>84</v>
      </c>
      <c r="Z1535" s="105" t="s">
        <v>619</v>
      </c>
    </row>
    <row r="1536" spans="1:26" s="105" customFormat="1" ht="15" customHeight="1">
      <c r="A1536" s="99">
        <f t="shared" si="205"/>
        <v>1534</v>
      </c>
      <c r="B1536" s="75" t="s">
        <v>802</v>
      </c>
      <c r="C1536" s="100" t="str">
        <f>IF($B1536&lt;&gt;"",_xlfn.IFNA(VLOOKUP($B1536,'Node Details'!$B:$U,C$1,0),"Check"),"")</f>
        <v>000000CM4-0000CM418</v>
      </c>
      <c r="D1536" s="100" t="str">
        <f>IF($B1536&lt;&gt;"",_xlfn.IFNA(VLOOKUP($B1536,'Node Details'!$B:$U,D$1,0),"Check"),"")</f>
        <v>CM4</v>
      </c>
      <c r="E1536" s="100" t="str">
        <f>IF($B1536&lt;&gt;"",_xlfn.IFNA(VLOOKUP($B1536,'Node Details'!$B:$U,E$1,0),"Check"),"")</f>
        <v>Airtel</v>
      </c>
      <c r="F1536" s="101">
        <v>46148</v>
      </c>
      <c r="G1536" s="103"/>
      <c r="H1536" s="102" t="s">
        <v>1255</v>
      </c>
      <c r="I1536" s="9">
        <v>1</v>
      </c>
      <c r="J1536" s="9">
        <v>500</v>
      </c>
      <c r="K1536" s="100">
        <f t="shared" si="206"/>
        <v>500</v>
      </c>
      <c r="L1536" s="78">
        <v>46142</v>
      </c>
      <c r="M1536" s="103"/>
      <c r="N1536" s="93" t="s">
        <v>534</v>
      </c>
      <c r="O1536" s="94"/>
      <c r="P1536" s="104">
        <f t="shared" si="207"/>
        <v>500</v>
      </c>
      <c r="Q1536" s="104">
        <f t="shared" si="208"/>
        <v>500</v>
      </c>
      <c r="R1536" s="104"/>
      <c r="S1536" s="93" t="s">
        <v>144</v>
      </c>
      <c r="T1536" s="94"/>
      <c r="U1536" s="104">
        <f t="shared" si="209"/>
        <v>500</v>
      </c>
      <c r="V1536" s="104">
        <f t="shared" si="210"/>
        <v>1</v>
      </c>
      <c r="W1536" s="103">
        <f t="shared" si="211"/>
        <v>500</v>
      </c>
      <c r="X1536" s="93" t="s">
        <v>803</v>
      </c>
      <c r="Y1536" s="105" t="s">
        <v>84</v>
      </c>
      <c r="Z1536" s="105" t="s">
        <v>619</v>
      </c>
    </row>
    <row r="1537" spans="1:26" s="105" customFormat="1" ht="15" customHeight="1">
      <c r="A1537" s="99">
        <f t="shared" si="205"/>
        <v>1535</v>
      </c>
      <c r="B1537" s="75" t="s">
        <v>932</v>
      </c>
      <c r="C1537" s="100" t="str">
        <f>IF($B1537&lt;&gt;"",_xlfn.IFNA(VLOOKUP($B1537,'Node Details'!$B:$U,C$1,0),"Check"),"")</f>
        <v>000000CM4-0000CM421</v>
      </c>
      <c r="D1537" s="100" t="str">
        <f>IF($B1537&lt;&gt;"",_xlfn.IFNA(VLOOKUP($B1537,'Node Details'!$B:$U,D$1,0),"Check"),"")</f>
        <v>CM4</v>
      </c>
      <c r="E1537" s="100" t="str">
        <f>IF($B1537&lt;&gt;"",_xlfn.IFNA(VLOOKUP($B1537,'Node Details'!$B:$U,E$1,0),"Check"),"")</f>
        <v>Airtel</v>
      </c>
      <c r="F1537" s="101">
        <v>46148</v>
      </c>
      <c r="G1537" s="103"/>
      <c r="H1537" s="102" t="s">
        <v>1255</v>
      </c>
      <c r="I1537" s="9">
        <v>1</v>
      </c>
      <c r="J1537" s="9">
        <v>500</v>
      </c>
      <c r="K1537" s="100">
        <f t="shared" si="206"/>
        <v>500</v>
      </c>
      <c r="L1537" s="78">
        <v>46142</v>
      </c>
      <c r="M1537" s="103"/>
      <c r="N1537" s="93" t="s">
        <v>534</v>
      </c>
      <c r="O1537" s="94"/>
      <c r="P1537" s="104">
        <f t="shared" si="207"/>
        <v>500</v>
      </c>
      <c r="Q1537" s="104">
        <f t="shared" si="208"/>
        <v>500</v>
      </c>
      <c r="R1537" s="104"/>
      <c r="S1537" s="93" t="s">
        <v>144</v>
      </c>
      <c r="T1537" s="94"/>
      <c r="U1537" s="104">
        <f t="shared" si="209"/>
        <v>500</v>
      </c>
      <c r="V1537" s="104">
        <f t="shared" si="210"/>
        <v>1</v>
      </c>
      <c r="W1537" s="103">
        <f t="shared" si="211"/>
        <v>500</v>
      </c>
      <c r="X1537" s="93" t="s">
        <v>803</v>
      </c>
      <c r="Y1537" s="105" t="s">
        <v>84</v>
      </c>
      <c r="Z1537" s="105" t="s">
        <v>619</v>
      </c>
    </row>
    <row r="1538" spans="1:26" s="105" customFormat="1" ht="15" customHeight="1">
      <c r="A1538" s="99">
        <f t="shared" si="205"/>
        <v>1536</v>
      </c>
      <c r="B1538" s="75" t="s">
        <v>941</v>
      </c>
      <c r="C1538" s="100" t="str">
        <f>IF($B1538&lt;&gt;"",_xlfn.IFNA(VLOOKUP($B1538,'Node Details'!$B:$U,C$1,0),"Check"),"")</f>
        <v>000000CM4-0000CM421</v>
      </c>
      <c r="D1538" s="100" t="str">
        <f>IF($B1538&lt;&gt;"",_xlfn.IFNA(VLOOKUP($B1538,'Node Details'!$B:$U,D$1,0),"Check"),"")</f>
        <v>CM4</v>
      </c>
      <c r="E1538" s="100" t="str">
        <f>IF($B1538&lt;&gt;"",_xlfn.IFNA(VLOOKUP($B1538,'Node Details'!$B:$U,E$1,0),"Check"),"")</f>
        <v>Airtel</v>
      </c>
      <c r="F1538" s="101">
        <v>46148</v>
      </c>
      <c r="G1538" s="103"/>
      <c r="H1538" s="102" t="s">
        <v>1255</v>
      </c>
      <c r="I1538" s="9">
        <v>1</v>
      </c>
      <c r="J1538" s="9">
        <v>500</v>
      </c>
      <c r="K1538" s="100">
        <f t="shared" si="206"/>
        <v>500</v>
      </c>
      <c r="L1538" s="78">
        <v>46142</v>
      </c>
      <c r="M1538" s="103"/>
      <c r="N1538" s="93" t="s">
        <v>534</v>
      </c>
      <c r="O1538" s="94"/>
      <c r="P1538" s="104">
        <f t="shared" si="207"/>
        <v>500</v>
      </c>
      <c r="Q1538" s="104">
        <f t="shared" si="208"/>
        <v>500</v>
      </c>
      <c r="R1538" s="104"/>
      <c r="S1538" s="93" t="s">
        <v>144</v>
      </c>
      <c r="T1538" s="94"/>
      <c r="U1538" s="104">
        <f t="shared" si="209"/>
        <v>500</v>
      </c>
      <c r="V1538" s="104">
        <f t="shared" si="210"/>
        <v>1</v>
      </c>
      <c r="W1538" s="103">
        <f t="shared" si="211"/>
        <v>500</v>
      </c>
      <c r="X1538" s="93" t="s">
        <v>803</v>
      </c>
      <c r="Y1538" s="105" t="s">
        <v>84</v>
      </c>
      <c r="Z1538" s="105" t="s">
        <v>619</v>
      </c>
    </row>
    <row r="1539" spans="1:26" s="105" customFormat="1" ht="15" customHeight="1">
      <c r="A1539" s="99">
        <f t="shared" si="205"/>
        <v>1537</v>
      </c>
      <c r="B1539" s="75" t="s">
        <v>818</v>
      </c>
      <c r="C1539" s="100" t="str">
        <f>IF($B1539&lt;&gt;"",_xlfn.IFNA(VLOOKUP($B1539,'Node Details'!$B:$U,C$1,0),"Check"),"")</f>
        <v>000000CM4-0000CM421</v>
      </c>
      <c r="D1539" s="100" t="str">
        <f>IF($B1539&lt;&gt;"",_xlfn.IFNA(VLOOKUP($B1539,'Node Details'!$B:$U,D$1,0),"Check"),"")</f>
        <v>CM4</v>
      </c>
      <c r="E1539" s="100" t="str">
        <f>IF($B1539&lt;&gt;"",_xlfn.IFNA(VLOOKUP($B1539,'Node Details'!$B:$U,E$1,0),"Check"),"")</f>
        <v>Airtel</v>
      </c>
      <c r="F1539" s="101">
        <v>46148</v>
      </c>
      <c r="G1539" s="103"/>
      <c r="H1539" s="102" t="s">
        <v>1255</v>
      </c>
      <c r="I1539" s="9">
        <v>1</v>
      </c>
      <c r="J1539" s="9">
        <v>500</v>
      </c>
      <c r="K1539" s="100">
        <f t="shared" si="206"/>
        <v>500</v>
      </c>
      <c r="L1539" s="78">
        <v>46142</v>
      </c>
      <c r="M1539" s="103"/>
      <c r="N1539" s="93" t="s">
        <v>534</v>
      </c>
      <c r="O1539" s="94"/>
      <c r="P1539" s="104">
        <f t="shared" si="207"/>
        <v>500</v>
      </c>
      <c r="Q1539" s="104">
        <f t="shared" si="208"/>
        <v>500</v>
      </c>
      <c r="R1539" s="104"/>
      <c r="S1539" s="93" t="s">
        <v>144</v>
      </c>
      <c r="T1539" s="94"/>
      <c r="U1539" s="104">
        <f t="shared" si="209"/>
        <v>500</v>
      </c>
      <c r="V1539" s="104">
        <f t="shared" si="210"/>
        <v>1</v>
      </c>
      <c r="W1539" s="103">
        <f t="shared" si="211"/>
        <v>500</v>
      </c>
      <c r="X1539" s="93" t="s">
        <v>803</v>
      </c>
      <c r="Y1539" s="105" t="s">
        <v>84</v>
      </c>
      <c r="Z1539" s="105" t="s">
        <v>619</v>
      </c>
    </row>
    <row r="1540" spans="1:26" s="105" customFormat="1" ht="15" customHeight="1">
      <c r="A1540" s="99">
        <f t="shared" si="205"/>
        <v>1538</v>
      </c>
      <c r="B1540" s="75" t="s">
        <v>820</v>
      </c>
      <c r="C1540" s="100" t="str">
        <f>IF($B1540&lt;&gt;"",_xlfn.IFNA(VLOOKUP($B1540,'Node Details'!$B:$U,C$1,0),"Check"),"")</f>
        <v>000000CM4-0000CM403</v>
      </c>
      <c r="D1540" s="100" t="str">
        <f>IF($B1540&lt;&gt;"",_xlfn.IFNA(VLOOKUP($B1540,'Node Details'!$B:$U,D$1,0),"Check"),"")</f>
        <v>CM4</v>
      </c>
      <c r="E1540" s="100" t="str">
        <f>IF($B1540&lt;&gt;"",_xlfn.IFNA(VLOOKUP($B1540,'Node Details'!$B:$U,E$1,0),"Check"),"")</f>
        <v>Airtel</v>
      </c>
      <c r="F1540" s="101">
        <v>46148</v>
      </c>
      <c r="G1540" s="103"/>
      <c r="H1540" s="102" t="s">
        <v>1256</v>
      </c>
      <c r="I1540" s="9">
        <v>1</v>
      </c>
      <c r="J1540" s="9">
        <v>50</v>
      </c>
      <c r="K1540" s="100">
        <f t="shared" si="206"/>
        <v>50</v>
      </c>
      <c r="L1540" s="78">
        <v>46142</v>
      </c>
      <c r="M1540" s="103"/>
      <c r="N1540" s="93" t="s">
        <v>534</v>
      </c>
      <c r="O1540" s="94"/>
      <c r="P1540" s="104">
        <f t="shared" si="207"/>
        <v>50</v>
      </c>
      <c r="Q1540" s="104">
        <f t="shared" si="208"/>
        <v>50</v>
      </c>
      <c r="R1540" s="104"/>
      <c r="S1540" s="93" t="s">
        <v>144</v>
      </c>
      <c r="T1540" s="94"/>
      <c r="U1540" s="104">
        <f t="shared" si="209"/>
        <v>50</v>
      </c>
      <c r="V1540" s="104">
        <f t="shared" si="210"/>
        <v>1</v>
      </c>
      <c r="W1540" s="103">
        <f t="shared" si="211"/>
        <v>50</v>
      </c>
      <c r="X1540" s="93" t="s">
        <v>803</v>
      </c>
      <c r="Y1540" s="105" t="s">
        <v>84</v>
      </c>
      <c r="Z1540" s="105" t="s">
        <v>619</v>
      </c>
    </row>
    <row r="1541" spans="1:26" s="105" customFormat="1" ht="15" customHeight="1">
      <c r="A1541" s="99">
        <f t="shared" ref="A1541:A1604" si="212">A1540+1</f>
        <v>1539</v>
      </c>
      <c r="B1541" s="75" t="s">
        <v>821</v>
      </c>
      <c r="C1541" s="100" t="str">
        <f>IF($B1541&lt;&gt;"",_xlfn.IFNA(VLOOKUP($B1541,'Node Details'!$B:$U,C$1,0),"Check"),"")</f>
        <v>0000CM401-CM4010101</v>
      </c>
      <c r="D1541" s="100" t="str">
        <f>IF($B1541&lt;&gt;"",_xlfn.IFNA(VLOOKUP($B1541,'Node Details'!$B:$U,D$1,0),"Check"),"")</f>
        <v>CM4</v>
      </c>
      <c r="E1541" s="100" t="str">
        <f>IF($B1541&lt;&gt;"",_xlfn.IFNA(VLOOKUP($B1541,'Node Details'!$B:$U,E$1,0),"Check"),"")</f>
        <v>Airtel</v>
      </c>
      <c r="F1541" s="101">
        <v>46148</v>
      </c>
      <c r="G1541" s="103"/>
      <c r="H1541" s="102" t="s">
        <v>1256</v>
      </c>
      <c r="I1541" s="9">
        <v>1</v>
      </c>
      <c r="J1541" s="9">
        <v>50</v>
      </c>
      <c r="K1541" s="100">
        <f t="shared" si="206"/>
        <v>50</v>
      </c>
      <c r="L1541" s="78">
        <v>46142</v>
      </c>
      <c r="M1541" s="103"/>
      <c r="N1541" s="93" t="s">
        <v>534</v>
      </c>
      <c r="O1541" s="94"/>
      <c r="P1541" s="104">
        <f t="shared" si="207"/>
        <v>50</v>
      </c>
      <c r="Q1541" s="104">
        <f t="shared" si="208"/>
        <v>50</v>
      </c>
      <c r="R1541" s="104"/>
      <c r="S1541" s="93" t="s">
        <v>144</v>
      </c>
      <c r="T1541" s="94"/>
      <c r="U1541" s="104">
        <f t="shared" si="209"/>
        <v>50</v>
      </c>
      <c r="V1541" s="104">
        <f t="shared" si="210"/>
        <v>1</v>
      </c>
      <c r="W1541" s="103">
        <f t="shared" si="211"/>
        <v>50</v>
      </c>
      <c r="X1541" s="93" t="s">
        <v>803</v>
      </c>
      <c r="Y1541" s="105" t="s">
        <v>84</v>
      </c>
      <c r="Z1541" s="105" t="s">
        <v>619</v>
      </c>
    </row>
    <row r="1542" spans="1:26" s="105" customFormat="1" ht="15" customHeight="1">
      <c r="A1542" s="99">
        <f t="shared" si="212"/>
        <v>1540</v>
      </c>
      <c r="B1542" s="75" t="s">
        <v>823</v>
      </c>
      <c r="C1542" s="100" t="str">
        <f>IF($B1542&lt;&gt;"",_xlfn.IFNA(VLOOKUP($B1542,'Node Details'!$B:$U,C$1,0),"Check"),"")</f>
        <v>0000CM401-CM4010102</v>
      </c>
      <c r="D1542" s="100" t="str">
        <f>IF($B1542&lt;&gt;"",_xlfn.IFNA(VLOOKUP($B1542,'Node Details'!$B:$U,D$1,0),"Check"),"")</f>
        <v>CM4</v>
      </c>
      <c r="E1542" s="100" t="str">
        <f>IF($B1542&lt;&gt;"",_xlfn.IFNA(VLOOKUP($B1542,'Node Details'!$B:$U,E$1,0),"Check"),"")</f>
        <v>Airtel</v>
      </c>
      <c r="F1542" s="101">
        <v>46148</v>
      </c>
      <c r="G1542" s="103"/>
      <c r="H1542" s="102" t="s">
        <v>1256</v>
      </c>
      <c r="I1542" s="9">
        <v>1</v>
      </c>
      <c r="J1542" s="9">
        <v>50</v>
      </c>
      <c r="K1542" s="100">
        <f t="shared" si="206"/>
        <v>50</v>
      </c>
      <c r="L1542" s="78">
        <v>46142</v>
      </c>
      <c r="M1542" s="103"/>
      <c r="N1542" s="93" t="s">
        <v>534</v>
      </c>
      <c r="O1542" s="94"/>
      <c r="P1542" s="104">
        <f t="shared" si="207"/>
        <v>50</v>
      </c>
      <c r="Q1542" s="104">
        <f t="shared" si="208"/>
        <v>50</v>
      </c>
      <c r="R1542" s="104"/>
      <c r="S1542" s="93" t="s">
        <v>144</v>
      </c>
      <c r="T1542" s="94"/>
      <c r="U1542" s="104">
        <f t="shared" si="209"/>
        <v>50</v>
      </c>
      <c r="V1542" s="104">
        <f t="shared" si="210"/>
        <v>1</v>
      </c>
      <c r="W1542" s="103">
        <f t="shared" si="211"/>
        <v>50</v>
      </c>
      <c r="X1542" s="93" t="s">
        <v>803</v>
      </c>
      <c r="Y1542" s="105" t="s">
        <v>84</v>
      </c>
      <c r="Z1542" s="105" t="s">
        <v>619</v>
      </c>
    </row>
    <row r="1543" spans="1:26" s="105" customFormat="1" ht="15" customHeight="1">
      <c r="A1543" s="99">
        <f t="shared" si="212"/>
        <v>1541</v>
      </c>
      <c r="B1543" s="75" t="s">
        <v>1204</v>
      </c>
      <c r="C1543" s="100" t="str">
        <f>IF($B1543&lt;&gt;"",_xlfn.IFNA(VLOOKUP($B1543,'Node Details'!$B:$U,C$1,0),"Check"),"")</f>
        <v>0000CM401-CM4010104</v>
      </c>
      <c r="D1543" s="100" t="str">
        <f>IF($B1543&lt;&gt;"",_xlfn.IFNA(VLOOKUP($B1543,'Node Details'!$B:$U,D$1,0),"Check"),"")</f>
        <v>CM4</v>
      </c>
      <c r="E1543" s="100" t="str">
        <f>IF($B1543&lt;&gt;"",_xlfn.IFNA(VLOOKUP($B1543,'Node Details'!$B:$U,E$1,0),"Check"),"")</f>
        <v>Airtel</v>
      </c>
      <c r="F1543" s="101">
        <v>46148</v>
      </c>
      <c r="G1543" s="103"/>
      <c r="H1543" s="102" t="s">
        <v>1256</v>
      </c>
      <c r="I1543" s="9">
        <v>1</v>
      </c>
      <c r="J1543" s="9">
        <v>50</v>
      </c>
      <c r="K1543" s="100">
        <f t="shared" si="206"/>
        <v>50</v>
      </c>
      <c r="L1543" s="78">
        <v>46142</v>
      </c>
      <c r="M1543" s="103"/>
      <c r="N1543" s="93" t="s">
        <v>534</v>
      </c>
      <c r="O1543" s="94"/>
      <c r="P1543" s="104">
        <f t="shared" si="207"/>
        <v>50</v>
      </c>
      <c r="Q1543" s="104">
        <f t="shared" si="208"/>
        <v>50</v>
      </c>
      <c r="R1543" s="104"/>
      <c r="S1543" s="93" t="s">
        <v>144</v>
      </c>
      <c r="T1543" s="94"/>
      <c r="U1543" s="104">
        <f t="shared" si="209"/>
        <v>50</v>
      </c>
      <c r="V1543" s="104">
        <f t="shared" si="210"/>
        <v>1</v>
      </c>
      <c r="W1543" s="103">
        <f t="shared" si="211"/>
        <v>50</v>
      </c>
      <c r="X1543" s="93" t="s">
        <v>803</v>
      </c>
      <c r="Y1543" s="105" t="s">
        <v>84</v>
      </c>
      <c r="Z1543" s="105" t="s">
        <v>619</v>
      </c>
    </row>
    <row r="1544" spans="1:26" s="105" customFormat="1" ht="15" customHeight="1">
      <c r="A1544" s="99">
        <f t="shared" si="212"/>
        <v>1542</v>
      </c>
      <c r="B1544" s="75" t="s">
        <v>827</v>
      </c>
      <c r="C1544" s="100" t="str">
        <f>IF($B1544&lt;&gt;"",_xlfn.IFNA(VLOOKUP($B1544,'Node Details'!$B:$U,C$1,0),"Check"),"")</f>
        <v>0000CM401-CM4010104</v>
      </c>
      <c r="D1544" s="100" t="str">
        <f>IF($B1544&lt;&gt;"",_xlfn.IFNA(VLOOKUP($B1544,'Node Details'!$B:$U,D$1,0),"Check"),"")</f>
        <v>CM4</v>
      </c>
      <c r="E1544" s="100" t="str">
        <f>IF($B1544&lt;&gt;"",_xlfn.IFNA(VLOOKUP($B1544,'Node Details'!$B:$U,E$1,0),"Check"),"")</f>
        <v>Airtel</v>
      </c>
      <c r="F1544" s="101">
        <v>46148</v>
      </c>
      <c r="G1544" s="103"/>
      <c r="H1544" s="102" t="s">
        <v>1256</v>
      </c>
      <c r="I1544" s="9">
        <v>1</v>
      </c>
      <c r="J1544" s="9">
        <v>50</v>
      </c>
      <c r="K1544" s="100">
        <f t="shared" si="206"/>
        <v>50</v>
      </c>
      <c r="L1544" s="78">
        <v>46142</v>
      </c>
      <c r="M1544" s="103"/>
      <c r="N1544" s="93" t="s">
        <v>534</v>
      </c>
      <c r="O1544" s="94"/>
      <c r="P1544" s="104">
        <f t="shared" si="207"/>
        <v>50</v>
      </c>
      <c r="Q1544" s="104">
        <f t="shared" si="208"/>
        <v>50</v>
      </c>
      <c r="R1544" s="104"/>
      <c r="S1544" s="93" t="s">
        <v>144</v>
      </c>
      <c r="T1544" s="94"/>
      <c r="U1544" s="104">
        <f t="shared" si="209"/>
        <v>50</v>
      </c>
      <c r="V1544" s="104">
        <f t="shared" si="210"/>
        <v>1</v>
      </c>
      <c r="W1544" s="103">
        <f t="shared" si="211"/>
        <v>50</v>
      </c>
      <c r="X1544" s="93" t="s">
        <v>803</v>
      </c>
      <c r="Y1544" s="105" t="s">
        <v>84</v>
      </c>
      <c r="Z1544" s="105" t="s">
        <v>619</v>
      </c>
    </row>
    <row r="1545" spans="1:26" s="105" customFormat="1" ht="15" customHeight="1">
      <c r="A1545" s="99">
        <f t="shared" si="212"/>
        <v>1543</v>
      </c>
      <c r="B1545" s="75" t="s">
        <v>825</v>
      </c>
      <c r="C1545" s="100" t="str">
        <f>IF($B1545&lt;&gt;"",_xlfn.IFNA(VLOOKUP($B1545,'Node Details'!$B:$U,C$1,0),"Check"),"")</f>
        <v>0000CM401-CM4010104</v>
      </c>
      <c r="D1545" s="100" t="str">
        <f>IF($B1545&lt;&gt;"",_xlfn.IFNA(VLOOKUP($B1545,'Node Details'!$B:$U,D$1,0),"Check"),"")</f>
        <v>CM4</v>
      </c>
      <c r="E1545" s="100" t="str">
        <f>IF($B1545&lt;&gt;"",_xlfn.IFNA(VLOOKUP($B1545,'Node Details'!$B:$U,E$1,0),"Check"),"")</f>
        <v>Airtel</v>
      </c>
      <c r="F1545" s="101">
        <v>46148</v>
      </c>
      <c r="G1545" s="103"/>
      <c r="H1545" s="102" t="s">
        <v>1256</v>
      </c>
      <c r="I1545" s="9">
        <v>1</v>
      </c>
      <c r="J1545" s="9">
        <v>50</v>
      </c>
      <c r="K1545" s="100">
        <f t="shared" si="206"/>
        <v>50</v>
      </c>
      <c r="L1545" s="78">
        <v>46142</v>
      </c>
      <c r="M1545" s="103"/>
      <c r="N1545" s="93" t="s">
        <v>534</v>
      </c>
      <c r="O1545" s="94"/>
      <c r="P1545" s="104">
        <f t="shared" si="207"/>
        <v>50</v>
      </c>
      <c r="Q1545" s="104">
        <f t="shared" si="208"/>
        <v>50</v>
      </c>
      <c r="R1545" s="104"/>
      <c r="S1545" s="93" t="s">
        <v>144</v>
      </c>
      <c r="T1545" s="94"/>
      <c r="U1545" s="104">
        <f t="shared" si="209"/>
        <v>50</v>
      </c>
      <c r="V1545" s="104">
        <f t="shared" si="210"/>
        <v>1</v>
      </c>
      <c r="W1545" s="103">
        <f t="shared" si="211"/>
        <v>50</v>
      </c>
      <c r="X1545" s="93" t="s">
        <v>803</v>
      </c>
      <c r="Y1545" s="105" t="s">
        <v>84</v>
      </c>
      <c r="Z1545" s="105" t="s">
        <v>619</v>
      </c>
    </row>
    <row r="1546" spans="1:26" s="105" customFormat="1" ht="15" customHeight="1">
      <c r="A1546" s="99">
        <f t="shared" si="212"/>
        <v>1544</v>
      </c>
      <c r="B1546" s="75" t="s">
        <v>1205</v>
      </c>
      <c r="C1546" s="100" t="str">
        <f>IF($B1546&lt;&gt;"",_xlfn.IFNA(VLOOKUP($B1546,'Node Details'!$B:$U,C$1,0),"Check"),"")</f>
        <v>CM4010106-CM4010108</v>
      </c>
      <c r="D1546" s="100" t="str">
        <f>IF($B1546&lt;&gt;"",_xlfn.IFNA(VLOOKUP($B1546,'Node Details'!$B:$U,D$1,0),"Check"),"")</f>
        <v>CM4</v>
      </c>
      <c r="E1546" s="100" t="str">
        <f>IF($B1546&lt;&gt;"",_xlfn.IFNA(VLOOKUP($B1546,'Node Details'!$B:$U,E$1,0),"Check"),"")</f>
        <v>Airtel</v>
      </c>
      <c r="F1546" s="101">
        <v>46148</v>
      </c>
      <c r="G1546" s="103"/>
      <c r="H1546" s="102" t="s">
        <v>1256</v>
      </c>
      <c r="I1546" s="9">
        <v>1</v>
      </c>
      <c r="J1546" s="9">
        <v>50</v>
      </c>
      <c r="K1546" s="100">
        <f t="shared" si="206"/>
        <v>50</v>
      </c>
      <c r="L1546" s="78">
        <v>46142</v>
      </c>
      <c r="M1546" s="103"/>
      <c r="N1546" s="93" t="s">
        <v>534</v>
      </c>
      <c r="O1546" s="94"/>
      <c r="P1546" s="104">
        <f t="shared" si="207"/>
        <v>50</v>
      </c>
      <c r="Q1546" s="104">
        <f t="shared" si="208"/>
        <v>50</v>
      </c>
      <c r="R1546" s="104"/>
      <c r="S1546" s="93" t="s">
        <v>144</v>
      </c>
      <c r="T1546" s="94"/>
      <c r="U1546" s="104">
        <f t="shared" si="209"/>
        <v>50</v>
      </c>
      <c r="V1546" s="104">
        <f t="shared" si="210"/>
        <v>1</v>
      </c>
      <c r="W1546" s="103">
        <f t="shared" si="211"/>
        <v>50</v>
      </c>
      <c r="X1546" s="93" t="s">
        <v>803</v>
      </c>
      <c r="Y1546" s="105" t="s">
        <v>84</v>
      </c>
      <c r="Z1546" s="105" t="s">
        <v>619</v>
      </c>
    </row>
    <row r="1547" spans="1:26" s="105" customFormat="1" ht="15" customHeight="1">
      <c r="A1547" s="99">
        <f t="shared" si="212"/>
        <v>1545</v>
      </c>
      <c r="B1547" s="75" t="s">
        <v>828</v>
      </c>
      <c r="C1547" s="100" t="str">
        <f>IF($B1547&lt;&gt;"",_xlfn.IFNA(VLOOKUP($B1547,'Node Details'!$B:$U,C$1,0),"Check"),"")</f>
        <v>CM4010106-CM4010108</v>
      </c>
      <c r="D1547" s="100" t="str">
        <f>IF($B1547&lt;&gt;"",_xlfn.IFNA(VLOOKUP($B1547,'Node Details'!$B:$U,D$1,0),"Check"),"")</f>
        <v>CM4</v>
      </c>
      <c r="E1547" s="100" t="str">
        <f>IF($B1547&lt;&gt;"",_xlfn.IFNA(VLOOKUP($B1547,'Node Details'!$B:$U,E$1,0),"Check"),"")</f>
        <v>Airtel</v>
      </c>
      <c r="F1547" s="101">
        <v>46148</v>
      </c>
      <c r="G1547" s="103"/>
      <c r="H1547" s="102" t="s">
        <v>1256</v>
      </c>
      <c r="I1547" s="9">
        <v>1</v>
      </c>
      <c r="J1547" s="9">
        <v>50</v>
      </c>
      <c r="K1547" s="100">
        <f t="shared" ref="K1547:K1610" si="213">IF(I1547&lt;&gt;"",J1547*I1547,0)</f>
        <v>50</v>
      </c>
      <c r="L1547" s="78">
        <v>46142</v>
      </c>
      <c r="M1547" s="103"/>
      <c r="N1547" s="93" t="s">
        <v>534</v>
      </c>
      <c r="O1547" s="94"/>
      <c r="P1547" s="104">
        <f t="shared" si="207"/>
        <v>50</v>
      </c>
      <c r="Q1547" s="104">
        <f t="shared" si="208"/>
        <v>50</v>
      </c>
      <c r="R1547" s="104"/>
      <c r="S1547" s="93" t="s">
        <v>144</v>
      </c>
      <c r="T1547" s="94"/>
      <c r="U1547" s="104">
        <f t="shared" si="209"/>
        <v>50</v>
      </c>
      <c r="V1547" s="104">
        <f t="shared" si="210"/>
        <v>1</v>
      </c>
      <c r="W1547" s="103">
        <f t="shared" si="211"/>
        <v>50</v>
      </c>
      <c r="X1547" s="93" t="s">
        <v>803</v>
      </c>
      <c r="Y1547" s="105" t="s">
        <v>84</v>
      </c>
      <c r="Z1547" s="105" t="s">
        <v>619</v>
      </c>
    </row>
    <row r="1548" spans="1:26" s="105" customFormat="1" ht="15" customHeight="1">
      <c r="A1548" s="99">
        <f t="shared" si="212"/>
        <v>1546</v>
      </c>
      <c r="B1548" s="75" t="s">
        <v>809</v>
      </c>
      <c r="C1548" s="100" t="str">
        <f>IF($B1548&lt;&gt;"",_xlfn.IFNA(VLOOKUP($B1548,'Node Details'!$B:$U,C$1,0),"Check"),"")</f>
        <v>000000CM4-0000CM403</v>
      </c>
      <c r="D1548" s="100" t="str">
        <f>IF($B1548&lt;&gt;"",_xlfn.IFNA(VLOOKUP($B1548,'Node Details'!$B:$U,D$1,0),"Check"),"")</f>
        <v>CM4</v>
      </c>
      <c r="E1548" s="100" t="str">
        <f>IF($B1548&lt;&gt;"",_xlfn.IFNA(VLOOKUP($B1548,'Node Details'!$B:$U,E$1,0),"Check"),"")</f>
        <v>Airtel</v>
      </c>
      <c r="F1548" s="101">
        <v>46148</v>
      </c>
      <c r="G1548" s="103"/>
      <c r="H1548" s="102" t="s">
        <v>1256</v>
      </c>
      <c r="I1548" s="9">
        <v>1</v>
      </c>
      <c r="J1548" s="9">
        <v>50</v>
      </c>
      <c r="K1548" s="100">
        <f t="shared" si="213"/>
        <v>50</v>
      </c>
      <c r="L1548" s="78">
        <v>46142</v>
      </c>
      <c r="M1548" s="103"/>
      <c r="N1548" s="93" t="s">
        <v>534</v>
      </c>
      <c r="O1548" s="94"/>
      <c r="P1548" s="104">
        <f t="shared" si="207"/>
        <v>50</v>
      </c>
      <c r="Q1548" s="104">
        <f t="shared" si="208"/>
        <v>50</v>
      </c>
      <c r="R1548" s="104"/>
      <c r="S1548" s="93" t="s">
        <v>144</v>
      </c>
      <c r="T1548" s="94"/>
      <c r="U1548" s="104">
        <f t="shared" si="209"/>
        <v>50</v>
      </c>
      <c r="V1548" s="104">
        <f t="shared" si="210"/>
        <v>1</v>
      </c>
      <c r="W1548" s="103">
        <f t="shared" si="211"/>
        <v>50</v>
      </c>
      <c r="X1548" s="93" t="s">
        <v>803</v>
      </c>
      <c r="Y1548" s="105" t="s">
        <v>84</v>
      </c>
      <c r="Z1548" s="105" t="s">
        <v>619</v>
      </c>
    </row>
    <row r="1549" spans="1:26" s="105" customFormat="1" ht="15" customHeight="1">
      <c r="A1549" s="99">
        <f t="shared" si="212"/>
        <v>1547</v>
      </c>
      <c r="B1549" s="75" t="s">
        <v>1206</v>
      </c>
      <c r="C1549" s="100" t="str">
        <f>IF($B1549&lt;&gt;"",_xlfn.IFNA(VLOOKUP($B1549,'Node Details'!$B:$U,C$1,0),"Check"),"")</f>
        <v>0000CM402-CM4020104</v>
      </c>
      <c r="D1549" s="100" t="str">
        <f>IF($B1549&lt;&gt;"",_xlfn.IFNA(VLOOKUP($B1549,'Node Details'!$B:$U,D$1,0),"Check"),"")</f>
        <v>CM4</v>
      </c>
      <c r="E1549" s="100" t="str">
        <f>IF($B1549&lt;&gt;"",_xlfn.IFNA(VLOOKUP($B1549,'Node Details'!$B:$U,E$1,0),"Check"),"")</f>
        <v>Airtel</v>
      </c>
      <c r="F1549" s="101">
        <v>46148</v>
      </c>
      <c r="G1549" s="103"/>
      <c r="H1549" s="102" t="s">
        <v>1256</v>
      </c>
      <c r="I1549" s="9">
        <v>1</v>
      </c>
      <c r="J1549" s="9">
        <v>50</v>
      </c>
      <c r="K1549" s="100">
        <f t="shared" si="213"/>
        <v>50</v>
      </c>
      <c r="L1549" s="78">
        <v>46142</v>
      </c>
      <c r="M1549" s="103"/>
      <c r="N1549" s="93" t="s">
        <v>534</v>
      </c>
      <c r="O1549" s="94"/>
      <c r="P1549" s="104">
        <f t="shared" ref="P1549:P1612" si="214">J1549</f>
        <v>50</v>
      </c>
      <c r="Q1549" s="104">
        <f t="shared" ref="Q1549:Q1612" si="215">P1549*I1549</f>
        <v>50</v>
      </c>
      <c r="R1549" s="104"/>
      <c r="S1549" s="93" t="s">
        <v>144</v>
      </c>
      <c r="T1549" s="94"/>
      <c r="U1549" s="104">
        <f t="shared" ref="U1549:U1612" si="216">J1549</f>
        <v>50</v>
      </c>
      <c r="V1549" s="104">
        <f t="shared" ref="V1549:V1612" si="217">I1549</f>
        <v>1</v>
      </c>
      <c r="W1549" s="103">
        <f t="shared" ref="W1549:W1612" si="218">IF(V1549&lt;&gt;"",V1549*U1549,0)</f>
        <v>50</v>
      </c>
      <c r="X1549" s="93" t="s">
        <v>803</v>
      </c>
      <c r="Y1549" s="105" t="s">
        <v>84</v>
      </c>
      <c r="Z1549" s="105" t="s">
        <v>619</v>
      </c>
    </row>
    <row r="1550" spans="1:26" s="105" customFormat="1" ht="15" customHeight="1">
      <c r="A1550" s="99">
        <f t="shared" si="212"/>
        <v>1548</v>
      </c>
      <c r="B1550" s="75" t="s">
        <v>1207</v>
      </c>
      <c r="C1550" s="100" t="str">
        <f>IF($B1550&lt;&gt;"",_xlfn.IFNA(VLOOKUP($B1550,'Node Details'!$B:$U,C$1,0),"Check"),"")</f>
        <v>0000CM402-CM4020104</v>
      </c>
      <c r="D1550" s="100" t="str">
        <f>IF($B1550&lt;&gt;"",_xlfn.IFNA(VLOOKUP($B1550,'Node Details'!$B:$U,D$1,0),"Check"),"")</f>
        <v>CM4</v>
      </c>
      <c r="E1550" s="100" t="str">
        <f>IF($B1550&lt;&gt;"",_xlfn.IFNA(VLOOKUP($B1550,'Node Details'!$B:$U,E$1,0),"Check"),"")</f>
        <v>Airtel</v>
      </c>
      <c r="F1550" s="101">
        <v>46148</v>
      </c>
      <c r="G1550" s="103"/>
      <c r="H1550" s="102" t="s">
        <v>1256</v>
      </c>
      <c r="I1550" s="9">
        <v>1</v>
      </c>
      <c r="J1550" s="9">
        <v>50</v>
      </c>
      <c r="K1550" s="100">
        <f t="shared" si="213"/>
        <v>50</v>
      </c>
      <c r="L1550" s="78">
        <v>46142</v>
      </c>
      <c r="M1550" s="103"/>
      <c r="N1550" s="93" t="s">
        <v>534</v>
      </c>
      <c r="O1550" s="94"/>
      <c r="P1550" s="104">
        <f t="shared" si="214"/>
        <v>50</v>
      </c>
      <c r="Q1550" s="104">
        <f t="shared" si="215"/>
        <v>50</v>
      </c>
      <c r="R1550" s="104"/>
      <c r="S1550" s="93" t="s">
        <v>144</v>
      </c>
      <c r="T1550" s="94"/>
      <c r="U1550" s="104">
        <f t="shared" si="216"/>
        <v>50</v>
      </c>
      <c r="V1550" s="104">
        <f t="shared" si="217"/>
        <v>1</v>
      </c>
      <c r="W1550" s="103">
        <f t="shared" si="218"/>
        <v>50</v>
      </c>
      <c r="X1550" s="93" t="s">
        <v>803</v>
      </c>
      <c r="Y1550" s="105" t="s">
        <v>84</v>
      </c>
      <c r="Z1550" s="105" t="s">
        <v>619</v>
      </c>
    </row>
    <row r="1551" spans="1:26" s="105" customFormat="1" ht="15" customHeight="1">
      <c r="A1551" s="99">
        <f t="shared" si="212"/>
        <v>1549</v>
      </c>
      <c r="B1551" s="75" t="s">
        <v>1208</v>
      </c>
      <c r="C1551" s="100" t="str">
        <f>IF($B1551&lt;&gt;"",_xlfn.IFNA(VLOOKUP($B1551,'Node Details'!$B:$U,C$1,0),"Check"),"")</f>
        <v>0000CM402-CM4020104</v>
      </c>
      <c r="D1551" s="100" t="str">
        <f>IF($B1551&lt;&gt;"",_xlfn.IFNA(VLOOKUP($B1551,'Node Details'!$B:$U,D$1,0),"Check"),"")</f>
        <v>CM4</v>
      </c>
      <c r="E1551" s="100" t="str">
        <f>IF($B1551&lt;&gt;"",_xlfn.IFNA(VLOOKUP($B1551,'Node Details'!$B:$U,E$1,0),"Check"),"")</f>
        <v>Airtel</v>
      </c>
      <c r="F1551" s="101">
        <v>46148</v>
      </c>
      <c r="G1551" s="103"/>
      <c r="H1551" s="102" t="s">
        <v>1256</v>
      </c>
      <c r="I1551" s="9">
        <v>1</v>
      </c>
      <c r="J1551" s="9">
        <v>50</v>
      </c>
      <c r="K1551" s="100">
        <f t="shared" si="213"/>
        <v>50</v>
      </c>
      <c r="L1551" s="78">
        <v>46142</v>
      </c>
      <c r="M1551" s="103"/>
      <c r="N1551" s="93" t="s">
        <v>534</v>
      </c>
      <c r="O1551" s="94"/>
      <c r="P1551" s="104">
        <f t="shared" si="214"/>
        <v>50</v>
      </c>
      <c r="Q1551" s="104">
        <f t="shared" si="215"/>
        <v>50</v>
      </c>
      <c r="R1551" s="104"/>
      <c r="S1551" s="93" t="s">
        <v>144</v>
      </c>
      <c r="T1551" s="94"/>
      <c r="U1551" s="104">
        <f t="shared" si="216"/>
        <v>50</v>
      </c>
      <c r="V1551" s="104">
        <f t="shared" si="217"/>
        <v>1</v>
      </c>
      <c r="W1551" s="103">
        <f t="shared" si="218"/>
        <v>50</v>
      </c>
      <c r="X1551" s="93" t="s">
        <v>803</v>
      </c>
      <c r="Y1551" s="105" t="s">
        <v>84</v>
      </c>
      <c r="Z1551" s="105" t="s">
        <v>619</v>
      </c>
    </row>
    <row r="1552" spans="1:26" s="105" customFormat="1" ht="15" customHeight="1">
      <c r="A1552" s="99">
        <f t="shared" si="212"/>
        <v>1550</v>
      </c>
      <c r="B1552" s="75" t="s">
        <v>832</v>
      </c>
      <c r="C1552" s="100" t="str">
        <f>IF($B1552&lt;&gt;"",_xlfn.IFNA(VLOOKUP($B1552,'Node Details'!$B:$U,C$1,0),"Check"),"")</f>
        <v>0000CM402-CM4020105</v>
      </c>
      <c r="D1552" s="100" t="str">
        <f>IF($B1552&lt;&gt;"",_xlfn.IFNA(VLOOKUP($B1552,'Node Details'!$B:$U,D$1,0),"Check"),"")</f>
        <v>CM4</v>
      </c>
      <c r="E1552" s="100" t="str">
        <f>IF($B1552&lt;&gt;"",_xlfn.IFNA(VLOOKUP($B1552,'Node Details'!$B:$U,E$1,0),"Check"),"")</f>
        <v>Airtel</v>
      </c>
      <c r="F1552" s="101">
        <v>46148</v>
      </c>
      <c r="G1552" s="103"/>
      <c r="H1552" s="102" t="s">
        <v>1256</v>
      </c>
      <c r="I1552" s="9">
        <v>1</v>
      </c>
      <c r="J1552" s="9">
        <v>50</v>
      </c>
      <c r="K1552" s="100">
        <f t="shared" si="213"/>
        <v>50</v>
      </c>
      <c r="L1552" s="78">
        <v>46142</v>
      </c>
      <c r="M1552" s="103"/>
      <c r="N1552" s="93" t="s">
        <v>534</v>
      </c>
      <c r="O1552" s="94"/>
      <c r="P1552" s="104">
        <f t="shared" si="214"/>
        <v>50</v>
      </c>
      <c r="Q1552" s="104">
        <f t="shared" si="215"/>
        <v>50</v>
      </c>
      <c r="R1552" s="104"/>
      <c r="S1552" s="93" t="s">
        <v>144</v>
      </c>
      <c r="T1552" s="94"/>
      <c r="U1552" s="104">
        <f t="shared" si="216"/>
        <v>50</v>
      </c>
      <c r="V1552" s="104">
        <f t="shared" si="217"/>
        <v>1</v>
      </c>
      <c r="W1552" s="103">
        <f t="shared" si="218"/>
        <v>50</v>
      </c>
      <c r="X1552" s="93" t="s">
        <v>803</v>
      </c>
      <c r="Y1552" s="105" t="s">
        <v>84</v>
      </c>
      <c r="Z1552" s="105" t="s">
        <v>619</v>
      </c>
    </row>
    <row r="1553" spans="1:26" s="105" customFormat="1" ht="15" customHeight="1">
      <c r="A1553" s="99">
        <f t="shared" si="212"/>
        <v>1551</v>
      </c>
      <c r="B1553" s="75" t="s">
        <v>1209</v>
      </c>
      <c r="C1553" s="100" t="str">
        <f>IF($B1553&lt;&gt;"",_xlfn.IFNA(VLOOKUP($B1553,'Node Details'!$B:$U,C$1,0),"Check"),"")</f>
        <v>0000CM402-CM4020108</v>
      </c>
      <c r="D1553" s="100" t="str">
        <f>IF($B1553&lt;&gt;"",_xlfn.IFNA(VLOOKUP($B1553,'Node Details'!$B:$U,D$1,0),"Check"),"")</f>
        <v>CM4</v>
      </c>
      <c r="E1553" s="100" t="str">
        <f>IF($B1553&lt;&gt;"",_xlfn.IFNA(VLOOKUP($B1553,'Node Details'!$B:$U,E$1,0),"Check"),"")</f>
        <v>Airtel</v>
      </c>
      <c r="F1553" s="101">
        <v>46148</v>
      </c>
      <c r="G1553" s="103"/>
      <c r="H1553" s="102" t="s">
        <v>1256</v>
      </c>
      <c r="I1553" s="9">
        <v>1</v>
      </c>
      <c r="J1553" s="9">
        <v>50</v>
      </c>
      <c r="K1553" s="100">
        <f t="shared" si="213"/>
        <v>50</v>
      </c>
      <c r="L1553" s="78">
        <v>46142</v>
      </c>
      <c r="M1553" s="103"/>
      <c r="N1553" s="93" t="s">
        <v>534</v>
      </c>
      <c r="O1553" s="94"/>
      <c r="P1553" s="104">
        <f t="shared" si="214"/>
        <v>50</v>
      </c>
      <c r="Q1553" s="104">
        <f t="shared" si="215"/>
        <v>50</v>
      </c>
      <c r="R1553" s="104"/>
      <c r="S1553" s="93" t="s">
        <v>144</v>
      </c>
      <c r="T1553" s="94"/>
      <c r="U1553" s="104">
        <f t="shared" si="216"/>
        <v>50</v>
      </c>
      <c r="V1553" s="104">
        <f t="shared" si="217"/>
        <v>1</v>
      </c>
      <c r="W1553" s="103">
        <f t="shared" si="218"/>
        <v>50</v>
      </c>
      <c r="X1553" s="93" t="s">
        <v>803</v>
      </c>
      <c r="Y1553" s="105" t="s">
        <v>84</v>
      </c>
      <c r="Z1553" s="105" t="s">
        <v>619</v>
      </c>
    </row>
    <row r="1554" spans="1:26" s="105" customFormat="1" ht="15" customHeight="1">
      <c r="A1554" s="99">
        <f t="shared" si="212"/>
        <v>1552</v>
      </c>
      <c r="B1554" s="75" t="s">
        <v>1210</v>
      </c>
      <c r="C1554" s="100" t="str">
        <f>IF($B1554&lt;&gt;"",_xlfn.IFNA(VLOOKUP($B1554,'Node Details'!$B:$U,C$1,0),"Check"),"")</f>
        <v>0000CM402-CM4020108</v>
      </c>
      <c r="D1554" s="100" t="str">
        <f>IF($B1554&lt;&gt;"",_xlfn.IFNA(VLOOKUP($B1554,'Node Details'!$B:$U,D$1,0),"Check"),"")</f>
        <v>CM4</v>
      </c>
      <c r="E1554" s="100" t="str">
        <f>IF($B1554&lt;&gt;"",_xlfn.IFNA(VLOOKUP($B1554,'Node Details'!$B:$U,E$1,0),"Check"),"")</f>
        <v>Airtel</v>
      </c>
      <c r="F1554" s="101">
        <v>46148</v>
      </c>
      <c r="G1554" s="103"/>
      <c r="H1554" s="102" t="s">
        <v>1256</v>
      </c>
      <c r="I1554" s="9">
        <v>1</v>
      </c>
      <c r="J1554" s="9">
        <v>50</v>
      </c>
      <c r="K1554" s="100">
        <f t="shared" si="213"/>
        <v>50</v>
      </c>
      <c r="L1554" s="78">
        <v>46142</v>
      </c>
      <c r="M1554" s="103"/>
      <c r="N1554" s="93" t="s">
        <v>534</v>
      </c>
      <c r="O1554" s="94"/>
      <c r="P1554" s="104">
        <f t="shared" si="214"/>
        <v>50</v>
      </c>
      <c r="Q1554" s="104">
        <f t="shared" si="215"/>
        <v>50</v>
      </c>
      <c r="R1554" s="104"/>
      <c r="S1554" s="93" t="s">
        <v>144</v>
      </c>
      <c r="T1554" s="94"/>
      <c r="U1554" s="104">
        <f t="shared" si="216"/>
        <v>50</v>
      </c>
      <c r="V1554" s="104">
        <f t="shared" si="217"/>
        <v>1</v>
      </c>
      <c r="W1554" s="103">
        <f t="shared" si="218"/>
        <v>50</v>
      </c>
      <c r="X1554" s="93" t="s">
        <v>803</v>
      </c>
      <c r="Y1554" s="105" t="s">
        <v>84</v>
      </c>
      <c r="Z1554" s="105" t="s">
        <v>619</v>
      </c>
    </row>
    <row r="1555" spans="1:26" s="105" customFormat="1" ht="15" customHeight="1">
      <c r="A1555" s="99">
        <f t="shared" si="212"/>
        <v>1553</v>
      </c>
      <c r="B1555" s="75" t="s">
        <v>834</v>
      </c>
      <c r="C1555" s="100" t="str">
        <f>IF($B1555&lt;&gt;"",_xlfn.IFNA(VLOOKUP($B1555,'Node Details'!$B:$U,C$1,0),"Check"),"")</f>
        <v>0000CM402-CM4020108</v>
      </c>
      <c r="D1555" s="100" t="str">
        <f>IF($B1555&lt;&gt;"",_xlfn.IFNA(VLOOKUP($B1555,'Node Details'!$B:$U,D$1,0),"Check"),"")</f>
        <v>CM4</v>
      </c>
      <c r="E1555" s="100" t="str">
        <f>IF($B1555&lt;&gt;"",_xlfn.IFNA(VLOOKUP($B1555,'Node Details'!$B:$U,E$1,0),"Check"),"")</f>
        <v>Airtel</v>
      </c>
      <c r="F1555" s="101">
        <v>46148</v>
      </c>
      <c r="G1555" s="103"/>
      <c r="H1555" s="102" t="s">
        <v>1256</v>
      </c>
      <c r="I1555" s="9">
        <v>1</v>
      </c>
      <c r="J1555" s="9">
        <v>50</v>
      </c>
      <c r="K1555" s="100">
        <f t="shared" si="213"/>
        <v>50</v>
      </c>
      <c r="L1555" s="78">
        <v>46142</v>
      </c>
      <c r="M1555" s="103"/>
      <c r="N1555" s="93" t="s">
        <v>534</v>
      </c>
      <c r="O1555" s="94"/>
      <c r="P1555" s="104">
        <f t="shared" si="214"/>
        <v>50</v>
      </c>
      <c r="Q1555" s="104">
        <f t="shared" si="215"/>
        <v>50</v>
      </c>
      <c r="R1555" s="104"/>
      <c r="S1555" s="93" t="s">
        <v>144</v>
      </c>
      <c r="T1555" s="94"/>
      <c r="U1555" s="104">
        <f t="shared" si="216"/>
        <v>50</v>
      </c>
      <c r="V1555" s="104">
        <f t="shared" si="217"/>
        <v>1</v>
      </c>
      <c r="W1555" s="103">
        <f t="shared" si="218"/>
        <v>50</v>
      </c>
      <c r="X1555" s="93" t="s">
        <v>803</v>
      </c>
      <c r="Y1555" s="105" t="s">
        <v>84</v>
      </c>
      <c r="Z1555" s="105" t="s">
        <v>619</v>
      </c>
    </row>
    <row r="1556" spans="1:26" s="105" customFormat="1" ht="15" customHeight="1">
      <c r="A1556" s="99">
        <f t="shared" si="212"/>
        <v>1554</v>
      </c>
      <c r="B1556" s="75" t="s">
        <v>830</v>
      </c>
      <c r="C1556" s="100" t="str">
        <f>IF($B1556&lt;&gt;"",_xlfn.IFNA(VLOOKUP($B1556,'Node Details'!$B:$U,C$1,0),"Check"),"")</f>
        <v>0000CM402-CM4020104</v>
      </c>
      <c r="D1556" s="100" t="str">
        <f>IF($B1556&lt;&gt;"",_xlfn.IFNA(VLOOKUP($B1556,'Node Details'!$B:$U,D$1,0),"Check"),"")</f>
        <v>CM4</v>
      </c>
      <c r="E1556" s="100" t="str">
        <f>IF($B1556&lt;&gt;"",_xlfn.IFNA(VLOOKUP($B1556,'Node Details'!$B:$U,E$1,0),"Check"),"")</f>
        <v>Airtel</v>
      </c>
      <c r="F1556" s="101">
        <v>46148</v>
      </c>
      <c r="G1556" s="103"/>
      <c r="H1556" s="102" t="s">
        <v>1256</v>
      </c>
      <c r="I1556" s="9">
        <v>1</v>
      </c>
      <c r="J1556" s="9">
        <v>50</v>
      </c>
      <c r="K1556" s="100">
        <f t="shared" si="213"/>
        <v>50</v>
      </c>
      <c r="L1556" s="78">
        <v>46142</v>
      </c>
      <c r="M1556" s="103"/>
      <c r="N1556" s="93" t="s">
        <v>534</v>
      </c>
      <c r="O1556" s="94"/>
      <c r="P1556" s="104">
        <f t="shared" si="214"/>
        <v>50</v>
      </c>
      <c r="Q1556" s="104">
        <f t="shared" si="215"/>
        <v>50</v>
      </c>
      <c r="R1556" s="104"/>
      <c r="S1556" s="93" t="s">
        <v>144</v>
      </c>
      <c r="T1556" s="94"/>
      <c r="U1556" s="104">
        <f t="shared" si="216"/>
        <v>50</v>
      </c>
      <c r="V1556" s="104">
        <f t="shared" si="217"/>
        <v>1</v>
      </c>
      <c r="W1556" s="103">
        <f t="shared" si="218"/>
        <v>50</v>
      </c>
      <c r="X1556" s="93" t="s">
        <v>803</v>
      </c>
      <c r="Y1556" s="105" t="s">
        <v>84</v>
      </c>
      <c r="Z1556" s="105" t="s">
        <v>619</v>
      </c>
    </row>
    <row r="1557" spans="1:26" s="105" customFormat="1" ht="15" customHeight="1">
      <c r="A1557" s="99">
        <f t="shared" si="212"/>
        <v>1555</v>
      </c>
      <c r="B1557" s="75" t="s">
        <v>807</v>
      </c>
      <c r="C1557" s="100" t="str">
        <f>IF($B1557&lt;&gt;"",_xlfn.IFNA(VLOOKUP($B1557,'Node Details'!$B:$U,C$1,0),"Check"),"")</f>
        <v>000000CM4-0000CM403</v>
      </c>
      <c r="D1557" s="100" t="str">
        <f>IF($B1557&lt;&gt;"",_xlfn.IFNA(VLOOKUP($B1557,'Node Details'!$B:$U,D$1,0),"Check"),"")</f>
        <v>CM4</v>
      </c>
      <c r="E1557" s="100" t="str">
        <f>IF($B1557&lt;&gt;"",_xlfn.IFNA(VLOOKUP($B1557,'Node Details'!$B:$U,E$1,0),"Check"),"")</f>
        <v>Airtel</v>
      </c>
      <c r="F1557" s="101">
        <v>46148</v>
      </c>
      <c r="G1557" s="103"/>
      <c r="H1557" s="102" t="s">
        <v>1256</v>
      </c>
      <c r="I1557" s="9">
        <v>1</v>
      </c>
      <c r="J1557" s="9">
        <v>50</v>
      </c>
      <c r="K1557" s="100">
        <f t="shared" si="213"/>
        <v>50</v>
      </c>
      <c r="L1557" s="78">
        <v>46142</v>
      </c>
      <c r="M1557" s="103"/>
      <c r="N1557" s="93" t="s">
        <v>534</v>
      </c>
      <c r="O1557" s="94"/>
      <c r="P1557" s="104">
        <f t="shared" si="214"/>
        <v>50</v>
      </c>
      <c r="Q1557" s="104">
        <f t="shared" si="215"/>
        <v>50</v>
      </c>
      <c r="R1557" s="104"/>
      <c r="S1557" s="93" t="s">
        <v>144</v>
      </c>
      <c r="T1557" s="94"/>
      <c r="U1557" s="104">
        <f t="shared" si="216"/>
        <v>50</v>
      </c>
      <c r="V1557" s="104">
        <f t="shared" si="217"/>
        <v>1</v>
      </c>
      <c r="W1557" s="103">
        <f t="shared" si="218"/>
        <v>50</v>
      </c>
      <c r="X1557" s="93" t="s">
        <v>803</v>
      </c>
      <c r="Y1557" s="105" t="s">
        <v>84</v>
      </c>
      <c r="Z1557" s="105" t="s">
        <v>619</v>
      </c>
    </row>
    <row r="1558" spans="1:26" s="105" customFormat="1" ht="15" customHeight="1">
      <c r="A1558" s="99">
        <f t="shared" si="212"/>
        <v>1556</v>
      </c>
      <c r="B1558" s="75" t="s">
        <v>836</v>
      </c>
      <c r="C1558" s="100" t="str">
        <f>IF($B1558&lt;&gt;"",_xlfn.IFNA(VLOOKUP($B1558,'Node Details'!$B:$U,C$1,0),"Check"),"")</f>
        <v>0000CM403-CM4030101</v>
      </c>
      <c r="D1558" s="100" t="str">
        <f>IF($B1558&lt;&gt;"",_xlfn.IFNA(VLOOKUP($B1558,'Node Details'!$B:$U,D$1,0),"Check"),"")</f>
        <v>CM4</v>
      </c>
      <c r="E1558" s="100" t="str">
        <f>IF($B1558&lt;&gt;"",_xlfn.IFNA(VLOOKUP($B1558,'Node Details'!$B:$U,E$1,0),"Check"),"")</f>
        <v>Airtel</v>
      </c>
      <c r="F1558" s="101">
        <v>46148</v>
      </c>
      <c r="G1558" s="103"/>
      <c r="H1558" s="102" t="s">
        <v>1256</v>
      </c>
      <c r="I1558" s="9">
        <v>1</v>
      </c>
      <c r="J1558" s="9">
        <v>50</v>
      </c>
      <c r="K1558" s="100">
        <f t="shared" si="213"/>
        <v>50</v>
      </c>
      <c r="L1558" s="78">
        <v>46142</v>
      </c>
      <c r="M1558" s="103"/>
      <c r="N1558" s="93" t="s">
        <v>534</v>
      </c>
      <c r="O1558" s="94"/>
      <c r="P1558" s="104">
        <f t="shared" si="214"/>
        <v>50</v>
      </c>
      <c r="Q1558" s="104">
        <f t="shared" si="215"/>
        <v>50</v>
      </c>
      <c r="R1558" s="104"/>
      <c r="S1558" s="93" t="s">
        <v>144</v>
      </c>
      <c r="T1558" s="94"/>
      <c r="U1558" s="104">
        <f t="shared" si="216"/>
        <v>50</v>
      </c>
      <c r="V1558" s="104">
        <f t="shared" si="217"/>
        <v>1</v>
      </c>
      <c r="W1558" s="103">
        <f t="shared" si="218"/>
        <v>50</v>
      </c>
      <c r="X1558" s="93" t="s">
        <v>803</v>
      </c>
      <c r="Y1558" s="105" t="s">
        <v>84</v>
      </c>
      <c r="Z1558" s="105" t="s">
        <v>619</v>
      </c>
    </row>
    <row r="1559" spans="1:26" s="105" customFormat="1" ht="15" customHeight="1">
      <c r="A1559" s="99">
        <f t="shared" si="212"/>
        <v>1557</v>
      </c>
      <c r="B1559" s="75" t="s">
        <v>1211</v>
      </c>
      <c r="C1559" s="100" t="str">
        <f>IF($B1559&lt;&gt;"",_xlfn.IFNA(VLOOKUP($B1559,'Node Details'!$B:$U,C$1,0),"Check"),"")</f>
        <v>0000CM403-CM4030103</v>
      </c>
      <c r="D1559" s="100" t="str">
        <f>IF($B1559&lt;&gt;"",_xlfn.IFNA(VLOOKUP($B1559,'Node Details'!$B:$U,D$1,0),"Check"),"")</f>
        <v>CM4</v>
      </c>
      <c r="E1559" s="100" t="str">
        <f>IF($B1559&lt;&gt;"",_xlfn.IFNA(VLOOKUP($B1559,'Node Details'!$B:$U,E$1,0),"Check"),"")</f>
        <v>Airtel</v>
      </c>
      <c r="F1559" s="101">
        <v>46148</v>
      </c>
      <c r="G1559" s="103"/>
      <c r="H1559" s="102" t="s">
        <v>1256</v>
      </c>
      <c r="I1559" s="9">
        <v>1</v>
      </c>
      <c r="J1559" s="9">
        <v>50</v>
      </c>
      <c r="K1559" s="100">
        <f t="shared" si="213"/>
        <v>50</v>
      </c>
      <c r="L1559" s="78">
        <v>46142</v>
      </c>
      <c r="M1559" s="103"/>
      <c r="N1559" s="93" t="s">
        <v>534</v>
      </c>
      <c r="O1559" s="94"/>
      <c r="P1559" s="104">
        <f t="shared" si="214"/>
        <v>50</v>
      </c>
      <c r="Q1559" s="104">
        <f t="shared" si="215"/>
        <v>50</v>
      </c>
      <c r="R1559" s="104"/>
      <c r="S1559" s="93" t="s">
        <v>144</v>
      </c>
      <c r="T1559" s="94"/>
      <c r="U1559" s="104">
        <f t="shared" si="216"/>
        <v>50</v>
      </c>
      <c r="V1559" s="104">
        <f t="shared" si="217"/>
        <v>1</v>
      </c>
      <c r="W1559" s="103">
        <f t="shared" si="218"/>
        <v>50</v>
      </c>
      <c r="X1559" s="93" t="s">
        <v>803</v>
      </c>
      <c r="Y1559" s="105" t="s">
        <v>84</v>
      </c>
      <c r="Z1559" s="105" t="s">
        <v>619</v>
      </c>
    </row>
    <row r="1560" spans="1:26" s="105" customFormat="1" ht="15" customHeight="1">
      <c r="A1560" s="99">
        <f t="shared" si="212"/>
        <v>1558</v>
      </c>
      <c r="B1560" s="75" t="s">
        <v>838</v>
      </c>
      <c r="C1560" s="100" t="str">
        <f>IF($B1560&lt;&gt;"",_xlfn.IFNA(VLOOKUP($B1560,'Node Details'!$B:$U,C$1,0),"Check"),"")</f>
        <v>0000CM403-CM4030103</v>
      </c>
      <c r="D1560" s="100" t="str">
        <f>IF($B1560&lt;&gt;"",_xlfn.IFNA(VLOOKUP($B1560,'Node Details'!$B:$U,D$1,0),"Check"),"")</f>
        <v>CM4</v>
      </c>
      <c r="E1560" s="100" t="str">
        <f>IF($B1560&lt;&gt;"",_xlfn.IFNA(VLOOKUP($B1560,'Node Details'!$B:$U,E$1,0),"Check"),"")</f>
        <v>Airtel</v>
      </c>
      <c r="F1560" s="101">
        <v>46148</v>
      </c>
      <c r="G1560" s="103"/>
      <c r="H1560" s="102" t="s">
        <v>1256</v>
      </c>
      <c r="I1560" s="9">
        <v>1</v>
      </c>
      <c r="J1560" s="9">
        <v>50</v>
      </c>
      <c r="K1560" s="100">
        <f t="shared" si="213"/>
        <v>50</v>
      </c>
      <c r="L1560" s="78">
        <v>46142</v>
      </c>
      <c r="M1560" s="103"/>
      <c r="N1560" s="93" t="s">
        <v>534</v>
      </c>
      <c r="O1560" s="94"/>
      <c r="P1560" s="104">
        <f t="shared" si="214"/>
        <v>50</v>
      </c>
      <c r="Q1560" s="104">
        <f t="shared" si="215"/>
        <v>50</v>
      </c>
      <c r="R1560" s="104"/>
      <c r="S1560" s="93" t="s">
        <v>144</v>
      </c>
      <c r="T1560" s="94"/>
      <c r="U1560" s="104">
        <f t="shared" si="216"/>
        <v>50</v>
      </c>
      <c r="V1560" s="104">
        <f t="shared" si="217"/>
        <v>1</v>
      </c>
      <c r="W1560" s="103">
        <f t="shared" si="218"/>
        <v>50</v>
      </c>
      <c r="X1560" s="93" t="s">
        <v>803</v>
      </c>
      <c r="Y1560" s="105" t="s">
        <v>84</v>
      </c>
      <c r="Z1560" s="105" t="s">
        <v>619</v>
      </c>
    </row>
    <row r="1561" spans="1:26" s="105" customFormat="1" ht="15" customHeight="1">
      <c r="A1561" s="99">
        <f t="shared" si="212"/>
        <v>1559</v>
      </c>
      <c r="B1561" s="75" t="s">
        <v>1212</v>
      </c>
      <c r="C1561" s="100" t="str">
        <f>IF($B1561&lt;&gt;"",_xlfn.IFNA(VLOOKUP($B1561,'Node Details'!$B:$U,C$1,0),"Check"),"")</f>
        <v>0000CM403-CM4030108</v>
      </c>
      <c r="D1561" s="100" t="str">
        <f>IF($B1561&lt;&gt;"",_xlfn.IFNA(VLOOKUP($B1561,'Node Details'!$B:$U,D$1,0),"Check"),"")</f>
        <v>CM4</v>
      </c>
      <c r="E1561" s="100" t="str">
        <f>IF($B1561&lt;&gt;"",_xlfn.IFNA(VLOOKUP($B1561,'Node Details'!$B:$U,E$1,0),"Check"),"")</f>
        <v>Airtel</v>
      </c>
      <c r="F1561" s="101">
        <v>46148</v>
      </c>
      <c r="G1561" s="103"/>
      <c r="H1561" s="102" t="s">
        <v>1256</v>
      </c>
      <c r="I1561" s="9">
        <v>1</v>
      </c>
      <c r="J1561" s="9">
        <v>50</v>
      </c>
      <c r="K1561" s="100">
        <f t="shared" si="213"/>
        <v>50</v>
      </c>
      <c r="L1561" s="78">
        <v>46142</v>
      </c>
      <c r="M1561" s="103"/>
      <c r="N1561" s="93" t="s">
        <v>534</v>
      </c>
      <c r="O1561" s="94"/>
      <c r="P1561" s="104">
        <f t="shared" si="214"/>
        <v>50</v>
      </c>
      <c r="Q1561" s="104">
        <f t="shared" si="215"/>
        <v>50</v>
      </c>
      <c r="R1561" s="104"/>
      <c r="S1561" s="93" t="s">
        <v>144</v>
      </c>
      <c r="T1561" s="94"/>
      <c r="U1561" s="104">
        <f t="shared" si="216"/>
        <v>50</v>
      </c>
      <c r="V1561" s="104">
        <f t="shared" si="217"/>
        <v>1</v>
      </c>
      <c r="W1561" s="103">
        <f t="shared" si="218"/>
        <v>50</v>
      </c>
      <c r="X1561" s="93" t="s">
        <v>803</v>
      </c>
      <c r="Y1561" s="105" t="s">
        <v>84</v>
      </c>
      <c r="Z1561" s="105" t="s">
        <v>619</v>
      </c>
    </row>
    <row r="1562" spans="1:26" s="105" customFormat="1" ht="15" customHeight="1">
      <c r="A1562" s="99">
        <f t="shared" si="212"/>
        <v>1560</v>
      </c>
      <c r="B1562" s="75" t="s">
        <v>1213</v>
      </c>
      <c r="C1562" s="100" t="str">
        <f>IF($B1562&lt;&gt;"",_xlfn.IFNA(VLOOKUP($B1562,'Node Details'!$B:$U,C$1,0),"Check"),"")</f>
        <v>0000CM403-CM4030108</v>
      </c>
      <c r="D1562" s="100" t="str">
        <f>IF($B1562&lt;&gt;"",_xlfn.IFNA(VLOOKUP($B1562,'Node Details'!$B:$U,D$1,0),"Check"),"")</f>
        <v>CM4</v>
      </c>
      <c r="E1562" s="100" t="str">
        <f>IF($B1562&lt;&gt;"",_xlfn.IFNA(VLOOKUP($B1562,'Node Details'!$B:$U,E$1,0),"Check"),"")</f>
        <v>Airtel</v>
      </c>
      <c r="F1562" s="101">
        <v>46148</v>
      </c>
      <c r="G1562" s="103"/>
      <c r="H1562" s="102" t="s">
        <v>1256</v>
      </c>
      <c r="I1562" s="9">
        <v>1</v>
      </c>
      <c r="J1562" s="9">
        <v>50</v>
      </c>
      <c r="K1562" s="100">
        <f t="shared" si="213"/>
        <v>50</v>
      </c>
      <c r="L1562" s="78">
        <v>46142</v>
      </c>
      <c r="M1562" s="103"/>
      <c r="N1562" s="93" t="s">
        <v>534</v>
      </c>
      <c r="O1562" s="94"/>
      <c r="P1562" s="104">
        <f t="shared" si="214"/>
        <v>50</v>
      </c>
      <c r="Q1562" s="104">
        <f t="shared" si="215"/>
        <v>50</v>
      </c>
      <c r="R1562" s="104"/>
      <c r="S1562" s="93" t="s">
        <v>144</v>
      </c>
      <c r="T1562" s="94"/>
      <c r="U1562" s="104">
        <f t="shared" si="216"/>
        <v>50</v>
      </c>
      <c r="V1562" s="104">
        <f t="shared" si="217"/>
        <v>1</v>
      </c>
      <c r="W1562" s="103">
        <f t="shared" si="218"/>
        <v>50</v>
      </c>
      <c r="X1562" s="93" t="s">
        <v>803</v>
      </c>
      <c r="Y1562" s="105" t="s">
        <v>84</v>
      </c>
      <c r="Z1562" s="105" t="s">
        <v>619</v>
      </c>
    </row>
    <row r="1563" spans="1:26" s="105" customFormat="1" ht="15" customHeight="1">
      <c r="A1563" s="99">
        <f t="shared" si="212"/>
        <v>1561</v>
      </c>
      <c r="B1563" s="75" t="s">
        <v>840</v>
      </c>
      <c r="C1563" s="100" t="str">
        <f>IF($B1563&lt;&gt;"",_xlfn.IFNA(VLOOKUP($B1563,'Node Details'!$B:$U,C$1,0),"Check"),"")</f>
        <v>0000CM403-CM4030108</v>
      </c>
      <c r="D1563" s="100" t="str">
        <f>IF($B1563&lt;&gt;"",_xlfn.IFNA(VLOOKUP($B1563,'Node Details'!$B:$U,D$1,0),"Check"),"")</f>
        <v>CM4</v>
      </c>
      <c r="E1563" s="100" t="str">
        <f>IF($B1563&lt;&gt;"",_xlfn.IFNA(VLOOKUP($B1563,'Node Details'!$B:$U,E$1,0),"Check"),"")</f>
        <v>Airtel</v>
      </c>
      <c r="F1563" s="101">
        <v>46148</v>
      </c>
      <c r="G1563" s="103"/>
      <c r="H1563" s="102" t="s">
        <v>1256</v>
      </c>
      <c r="I1563" s="9">
        <v>1</v>
      </c>
      <c r="J1563" s="9">
        <v>50</v>
      </c>
      <c r="K1563" s="100">
        <f t="shared" si="213"/>
        <v>50</v>
      </c>
      <c r="L1563" s="78">
        <v>46142</v>
      </c>
      <c r="M1563" s="103"/>
      <c r="N1563" s="93" t="s">
        <v>534</v>
      </c>
      <c r="O1563" s="94"/>
      <c r="P1563" s="104">
        <f t="shared" si="214"/>
        <v>50</v>
      </c>
      <c r="Q1563" s="104">
        <f t="shared" si="215"/>
        <v>50</v>
      </c>
      <c r="R1563" s="104"/>
      <c r="S1563" s="93" t="s">
        <v>144</v>
      </c>
      <c r="T1563" s="94"/>
      <c r="U1563" s="104">
        <f t="shared" si="216"/>
        <v>50</v>
      </c>
      <c r="V1563" s="104">
        <f t="shared" si="217"/>
        <v>1</v>
      </c>
      <c r="W1563" s="103">
        <f t="shared" si="218"/>
        <v>50</v>
      </c>
      <c r="X1563" s="93" t="s">
        <v>803</v>
      </c>
      <c r="Y1563" s="105" t="s">
        <v>84</v>
      </c>
      <c r="Z1563" s="105" t="s">
        <v>619</v>
      </c>
    </row>
    <row r="1564" spans="1:26" s="105" customFormat="1" ht="15" customHeight="1">
      <c r="A1564" s="99">
        <f t="shared" si="212"/>
        <v>1562</v>
      </c>
      <c r="B1564" s="75" t="s">
        <v>810</v>
      </c>
      <c r="C1564" s="100" t="str">
        <f>IF($B1564&lt;&gt;"",_xlfn.IFNA(VLOOKUP($B1564,'Node Details'!$B:$U,C$1,0),"Check"),"")</f>
        <v>0000CM402-0000CM404</v>
      </c>
      <c r="D1564" s="100" t="str">
        <f>IF($B1564&lt;&gt;"",_xlfn.IFNA(VLOOKUP($B1564,'Node Details'!$B:$U,D$1,0),"Check"),"")</f>
        <v>CM4</v>
      </c>
      <c r="E1564" s="100" t="str">
        <f>IF($B1564&lt;&gt;"",_xlfn.IFNA(VLOOKUP($B1564,'Node Details'!$B:$U,E$1,0),"Check"),"")</f>
        <v>Airtel</v>
      </c>
      <c r="F1564" s="101">
        <v>46148</v>
      </c>
      <c r="G1564" s="103"/>
      <c r="H1564" s="102" t="s">
        <v>1256</v>
      </c>
      <c r="I1564" s="9">
        <v>1</v>
      </c>
      <c r="J1564" s="9">
        <v>50</v>
      </c>
      <c r="K1564" s="100">
        <f t="shared" si="213"/>
        <v>50</v>
      </c>
      <c r="L1564" s="78">
        <v>46142</v>
      </c>
      <c r="M1564" s="103"/>
      <c r="N1564" s="93" t="s">
        <v>534</v>
      </c>
      <c r="O1564" s="94"/>
      <c r="P1564" s="104">
        <f t="shared" si="214"/>
        <v>50</v>
      </c>
      <c r="Q1564" s="104">
        <f t="shared" si="215"/>
        <v>50</v>
      </c>
      <c r="R1564" s="104"/>
      <c r="S1564" s="93" t="s">
        <v>144</v>
      </c>
      <c r="T1564" s="94"/>
      <c r="U1564" s="104">
        <f t="shared" si="216"/>
        <v>50</v>
      </c>
      <c r="V1564" s="104">
        <f t="shared" si="217"/>
        <v>1</v>
      </c>
      <c r="W1564" s="103">
        <f t="shared" si="218"/>
        <v>50</v>
      </c>
      <c r="X1564" s="93" t="s">
        <v>803</v>
      </c>
      <c r="Y1564" s="105" t="s">
        <v>84</v>
      </c>
      <c r="Z1564" s="105" t="s">
        <v>619</v>
      </c>
    </row>
    <row r="1565" spans="1:26" s="105" customFormat="1" ht="15" customHeight="1">
      <c r="A1565" s="99">
        <f t="shared" si="212"/>
        <v>1563</v>
      </c>
      <c r="B1565" s="75" t="s">
        <v>1214</v>
      </c>
      <c r="C1565" s="100" t="str">
        <f>IF($B1565&lt;&gt;"",_xlfn.IFNA(VLOOKUP($B1565,'Node Details'!$B:$U,C$1,0),"Check"),"")</f>
        <v>0000CM404-CM4040105</v>
      </c>
      <c r="D1565" s="100" t="str">
        <f>IF($B1565&lt;&gt;"",_xlfn.IFNA(VLOOKUP($B1565,'Node Details'!$B:$U,D$1,0),"Check"),"")</f>
        <v>CM4</v>
      </c>
      <c r="E1565" s="100" t="str">
        <f>IF($B1565&lt;&gt;"",_xlfn.IFNA(VLOOKUP($B1565,'Node Details'!$B:$U,E$1,0),"Check"),"")</f>
        <v>Airtel</v>
      </c>
      <c r="F1565" s="101">
        <v>46148</v>
      </c>
      <c r="G1565" s="103"/>
      <c r="H1565" s="102" t="s">
        <v>1256</v>
      </c>
      <c r="I1565" s="9">
        <v>1</v>
      </c>
      <c r="J1565" s="9">
        <v>50</v>
      </c>
      <c r="K1565" s="100">
        <f t="shared" si="213"/>
        <v>50</v>
      </c>
      <c r="L1565" s="78">
        <v>46142</v>
      </c>
      <c r="M1565" s="103"/>
      <c r="N1565" s="93" t="s">
        <v>534</v>
      </c>
      <c r="O1565" s="94"/>
      <c r="P1565" s="104">
        <f t="shared" si="214"/>
        <v>50</v>
      </c>
      <c r="Q1565" s="104">
        <f t="shared" si="215"/>
        <v>50</v>
      </c>
      <c r="R1565" s="104"/>
      <c r="S1565" s="93" t="s">
        <v>144</v>
      </c>
      <c r="T1565" s="94"/>
      <c r="U1565" s="104">
        <f t="shared" si="216"/>
        <v>50</v>
      </c>
      <c r="V1565" s="104">
        <f t="shared" si="217"/>
        <v>1</v>
      </c>
      <c r="W1565" s="103">
        <f t="shared" si="218"/>
        <v>50</v>
      </c>
      <c r="X1565" s="93" t="s">
        <v>803</v>
      </c>
      <c r="Y1565" s="105" t="s">
        <v>84</v>
      </c>
      <c r="Z1565" s="105" t="s">
        <v>619</v>
      </c>
    </row>
    <row r="1566" spans="1:26" s="105" customFormat="1" ht="15" customHeight="1">
      <c r="A1566" s="99">
        <f t="shared" si="212"/>
        <v>1564</v>
      </c>
      <c r="B1566" s="75" t="s">
        <v>842</v>
      </c>
      <c r="C1566" s="100" t="str">
        <f>IF($B1566&lt;&gt;"",_xlfn.IFNA(VLOOKUP($B1566,'Node Details'!$B:$U,C$1,0),"Check"),"")</f>
        <v>0000CM404-CM4040105</v>
      </c>
      <c r="D1566" s="100" t="str">
        <f>IF($B1566&lt;&gt;"",_xlfn.IFNA(VLOOKUP($B1566,'Node Details'!$B:$U,D$1,0),"Check"),"")</f>
        <v>CM4</v>
      </c>
      <c r="E1566" s="100" t="str">
        <f>IF($B1566&lt;&gt;"",_xlfn.IFNA(VLOOKUP($B1566,'Node Details'!$B:$U,E$1,0),"Check"),"")</f>
        <v>Airtel</v>
      </c>
      <c r="F1566" s="101">
        <v>46148</v>
      </c>
      <c r="G1566" s="103"/>
      <c r="H1566" s="102" t="s">
        <v>1256</v>
      </c>
      <c r="I1566" s="9">
        <v>1</v>
      </c>
      <c r="J1566" s="9">
        <v>50</v>
      </c>
      <c r="K1566" s="100">
        <f t="shared" si="213"/>
        <v>50</v>
      </c>
      <c r="L1566" s="78">
        <v>46142</v>
      </c>
      <c r="M1566" s="103"/>
      <c r="N1566" s="93" t="s">
        <v>534</v>
      </c>
      <c r="O1566" s="94"/>
      <c r="P1566" s="104">
        <f t="shared" si="214"/>
        <v>50</v>
      </c>
      <c r="Q1566" s="104">
        <f t="shared" si="215"/>
        <v>50</v>
      </c>
      <c r="R1566" s="104"/>
      <c r="S1566" s="93" t="s">
        <v>144</v>
      </c>
      <c r="T1566" s="94"/>
      <c r="U1566" s="104">
        <f t="shared" si="216"/>
        <v>50</v>
      </c>
      <c r="V1566" s="104">
        <f t="shared" si="217"/>
        <v>1</v>
      </c>
      <c r="W1566" s="103">
        <f t="shared" si="218"/>
        <v>50</v>
      </c>
      <c r="X1566" s="93" t="s">
        <v>803</v>
      </c>
      <c r="Y1566" s="105" t="s">
        <v>84</v>
      </c>
      <c r="Z1566" s="105" t="s">
        <v>619</v>
      </c>
    </row>
    <row r="1567" spans="1:26" s="105" customFormat="1" ht="15" customHeight="1">
      <c r="A1567" s="99">
        <f t="shared" si="212"/>
        <v>1565</v>
      </c>
      <c r="B1567" s="75" t="s">
        <v>1215</v>
      </c>
      <c r="C1567" s="100" t="str">
        <f>IF($B1567&lt;&gt;"",_xlfn.IFNA(VLOOKUP($B1567,'Node Details'!$B:$U,C$1,0),"Check"),"")</f>
        <v>0000CM404-CM4040108</v>
      </c>
      <c r="D1567" s="100" t="str">
        <f>IF($B1567&lt;&gt;"",_xlfn.IFNA(VLOOKUP($B1567,'Node Details'!$B:$U,D$1,0),"Check"),"")</f>
        <v>CM4</v>
      </c>
      <c r="E1567" s="100" t="str">
        <f>IF($B1567&lt;&gt;"",_xlfn.IFNA(VLOOKUP($B1567,'Node Details'!$B:$U,E$1,0),"Check"),"")</f>
        <v>Airtel</v>
      </c>
      <c r="F1567" s="101">
        <v>46148</v>
      </c>
      <c r="G1567" s="103"/>
      <c r="H1567" s="102" t="s">
        <v>1256</v>
      </c>
      <c r="I1567" s="9">
        <v>1</v>
      </c>
      <c r="J1567" s="9">
        <v>50</v>
      </c>
      <c r="K1567" s="100">
        <f t="shared" si="213"/>
        <v>50</v>
      </c>
      <c r="L1567" s="78">
        <v>46142</v>
      </c>
      <c r="M1567" s="103"/>
      <c r="N1567" s="93" t="s">
        <v>534</v>
      </c>
      <c r="O1567" s="94"/>
      <c r="P1567" s="104">
        <f t="shared" si="214"/>
        <v>50</v>
      </c>
      <c r="Q1567" s="104">
        <f t="shared" si="215"/>
        <v>50</v>
      </c>
      <c r="R1567" s="104"/>
      <c r="S1567" s="93" t="s">
        <v>144</v>
      </c>
      <c r="T1567" s="94"/>
      <c r="U1567" s="104">
        <f t="shared" si="216"/>
        <v>50</v>
      </c>
      <c r="V1567" s="104">
        <f t="shared" si="217"/>
        <v>1</v>
      </c>
      <c r="W1567" s="103">
        <f t="shared" si="218"/>
        <v>50</v>
      </c>
      <c r="X1567" s="93" t="s">
        <v>803</v>
      </c>
      <c r="Y1567" s="105" t="s">
        <v>84</v>
      </c>
      <c r="Z1567" s="105" t="s">
        <v>619</v>
      </c>
    </row>
    <row r="1568" spans="1:26" s="105" customFormat="1" ht="15" customHeight="1">
      <c r="A1568" s="99">
        <f t="shared" si="212"/>
        <v>1566</v>
      </c>
      <c r="B1568" s="75" t="s">
        <v>844</v>
      </c>
      <c r="C1568" s="100" t="str">
        <f>IF($B1568&lt;&gt;"",_xlfn.IFNA(VLOOKUP($B1568,'Node Details'!$B:$U,C$1,0),"Check"),"")</f>
        <v>0000CM404-CM4040108</v>
      </c>
      <c r="D1568" s="100" t="str">
        <f>IF($B1568&lt;&gt;"",_xlfn.IFNA(VLOOKUP($B1568,'Node Details'!$B:$U,D$1,0),"Check"),"")</f>
        <v>CM4</v>
      </c>
      <c r="E1568" s="100" t="str">
        <f>IF($B1568&lt;&gt;"",_xlfn.IFNA(VLOOKUP($B1568,'Node Details'!$B:$U,E$1,0),"Check"),"")</f>
        <v>Airtel</v>
      </c>
      <c r="F1568" s="101">
        <v>46148</v>
      </c>
      <c r="G1568" s="103"/>
      <c r="H1568" s="102" t="s">
        <v>1256</v>
      </c>
      <c r="I1568" s="9">
        <v>1</v>
      </c>
      <c r="J1568" s="9">
        <v>50</v>
      </c>
      <c r="K1568" s="100">
        <f t="shared" si="213"/>
        <v>50</v>
      </c>
      <c r="L1568" s="78">
        <v>46142</v>
      </c>
      <c r="M1568" s="103"/>
      <c r="N1568" s="93" t="s">
        <v>534</v>
      </c>
      <c r="O1568" s="94"/>
      <c r="P1568" s="104">
        <f t="shared" si="214"/>
        <v>50</v>
      </c>
      <c r="Q1568" s="104">
        <f t="shared" si="215"/>
        <v>50</v>
      </c>
      <c r="R1568" s="104"/>
      <c r="S1568" s="93" t="s">
        <v>144</v>
      </c>
      <c r="T1568" s="94"/>
      <c r="U1568" s="104">
        <f t="shared" si="216"/>
        <v>50</v>
      </c>
      <c r="V1568" s="104">
        <f t="shared" si="217"/>
        <v>1</v>
      </c>
      <c r="W1568" s="103">
        <f t="shared" si="218"/>
        <v>50</v>
      </c>
      <c r="X1568" s="93" t="s">
        <v>803</v>
      </c>
      <c r="Y1568" s="105" t="s">
        <v>84</v>
      </c>
      <c r="Z1568" s="105" t="s">
        <v>619</v>
      </c>
    </row>
    <row r="1569" spans="1:26" s="105" customFormat="1" ht="15" customHeight="1">
      <c r="A1569" s="99">
        <f t="shared" si="212"/>
        <v>1567</v>
      </c>
      <c r="B1569" s="75" t="s">
        <v>805</v>
      </c>
      <c r="C1569" s="100" t="str">
        <f>IF($B1569&lt;&gt;"",_xlfn.IFNA(VLOOKUP($B1569,'Node Details'!$B:$U,C$1,0),"Check"),"")</f>
        <v>000000CM4-0000CM408</v>
      </c>
      <c r="D1569" s="100" t="str">
        <f>IF($B1569&lt;&gt;"",_xlfn.IFNA(VLOOKUP($B1569,'Node Details'!$B:$U,D$1,0),"Check"),"")</f>
        <v>CM4</v>
      </c>
      <c r="E1569" s="100" t="str">
        <f>IF($B1569&lt;&gt;"",_xlfn.IFNA(VLOOKUP($B1569,'Node Details'!$B:$U,E$1,0),"Check"),"")</f>
        <v>Airtel</v>
      </c>
      <c r="F1569" s="101">
        <v>46148</v>
      </c>
      <c r="G1569" s="103"/>
      <c r="H1569" s="102" t="s">
        <v>1256</v>
      </c>
      <c r="I1569" s="9">
        <v>1</v>
      </c>
      <c r="J1569" s="9">
        <v>50</v>
      </c>
      <c r="K1569" s="100">
        <f t="shared" si="213"/>
        <v>50</v>
      </c>
      <c r="L1569" s="78">
        <v>46142</v>
      </c>
      <c r="M1569" s="103"/>
      <c r="N1569" s="93" t="s">
        <v>534</v>
      </c>
      <c r="O1569" s="94"/>
      <c r="P1569" s="104">
        <f t="shared" si="214"/>
        <v>50</v>
      </c>
      <c r="Q1569" s="104">
        <f t="shared" si="215"/>
        <v>50</v>
      </c>
      <c r="R1569" s="104"/>
      <c r="S1569" s="93" t="s">
        <v>144</v>
      </c>
      <c r="T1569" s="94"/>
      <c r="U1569" s="104">
        <f t="shared" si="216"/>
        <v>50</v>
      </c>
      <c r="V1569" s="104">
        <f t="shared" si="217"/>
        <v>1</v>
      </c>
      <c r="W1569" s="103">
        <f t="shared" si="218"/>
        <v>50</v>
      </c>
      <c r="X1569" s="93" t="s">
        <v>803</v>
      </c>
      <c r="Y1569" s="105" t="s">
        <v>84</v>
      </c>
      <c r="Z1569" s="105" t="s">
        <v>619</v>
      </c>
    </row>
    <row r="1570" spans="1:26" s="105" customFormat="1" ht="15" customHeight="1">
      <c r="A1570" s="99">
        <f t="shared" si="212"/>
        <v>1568</v>
      </c>
      <c r="B1570" s="75" t="s">
        <v>1216</v>
      </c>
      <c r="C1570" s="100" t="str">
        <f>IF($B1570&lt;&gt;"",_xlfn.IFNA(VLOOKUP($B1570,'Node Details'!$B:$U,C$1,0),"Check"),"")</f>
        <v>0000CM408-CM4080104</v>
      </c>
      <c r="D1570" s="100" t="str">
        <f>IF($B1570&lt;&gt;"",_xlfn.IFNA(VLOOKUP($B1570,'Node Details'!$B:$U,D$1,0),"Check"),"")</f>
        <v>CM4</v>
      </c>
      <c r="E1570" s="100" t="str">
        <f>IF($B1570&lt;&gt;"",_xlfn.IFNA(VLOOKUP($B1570,'Node Details'!$B:$U,E$1,0),"Check"),"")</f>
        <v>Airtel</v>
      </c>
      <c r="F1570" s="101">
        <v>46148</v>
      </c>
      <c r="G1570" s="103"/>
      <c r="H1570" s="102" t="s">
        <v>1256</v>
      </c>
      <c r="I1570" s="9">
        <v>1</v>
      </c>
      <c r="J1570" s="9">
        <v>50</v>
      </c>
      <c r="K1570" s="100">
        <f t="shared" si="213"/>
        <v>50</v>
      </c>
      <c r="L1570" s="78">
        <v>46142</v>
      </c>
      <c r="M1570" s="103"/>
      <c r="N1570" s="93" t="s">
        <v>534</v>
      </c>
      <c r="O1570" s="94"/>
      <c r="P1570" s="104">
        <f t="shared" si="214"/>
        <v>50</v>
      </c>
      <c r="Q1570" s="104">
        <f t="shared" si="215"/>
        <v>50</v>
      </c>
      <c r="R1570" s="104"/>
      <c r="S1570" s="93" t="s">
        <v>144</v>
      </c>
      <c r="T1570" s="94"/>
      <c r="U1570" s="104">
        <f t="shared" si="216"/>
        <v>50</v>
      </c>
      <c r="V1570" s="104">
        <f t="shared" si="217"/>
        <v>1</v>
      </c>
      <c r="W1570" s="103">
        <f t="shared" si="218"/>
        <v>50</v>
      </c>
      <c r="X1570" s="93" t="s">
        <v>803</v>
      </c>
      <c r="Y1570" s="105" t="s">
        <v>84</v>
      </c>
      <c r="Z1570" s="105" t="s">
        <v>619</v>
      </c>
    </row>
    <row r="1571" spans="1:26" s="105" customFormat="1" ht="15" customHeight="1">
      <c r="A1571" s="99">
        <f t="shared" si="212"/>
        <v>1569</v>
      </c>
      <c r="B1571" s="75" t="s">
        <v>1217</v>
      </c>
      <c r="C1571" s="100" t="str">
        <f>IF($B1571&lt;&gt;"",_xlfn.IFNA(VLOOKUP($B1571,'Node Details'!$B:$U,C$1,0),"Check"),"")</f>
        <v>0000CM408-CM4080104</v>
      </c>
      <c r="D1571" s="100" t="str">
        <f>IF($B1571&lt;&gt;"",_xlfn.IFNA(VLOOKUP($B1571,'Node Details'!$B:$U,D$1,0),"Check"),"")</f>
        <v>CM4</v>
      </c>
      <c r="E1571" s="100" t="str">
        <f>IF($B1571&lt;&gt;"",_xlfn.IFNA(VLOOKUP($B1571,'Node Details'!$B:$U,E$1,0),"Check"),"")</f>
        <v>Airtel</v>
      </c>
      <c r="F1571" s="101">
        <v>46148</v>
      </c>
      <c r="G1571" s="103"/>
      <c r="H1571" s="102" t="s">
        <v>1256</v>
      </c>
      <c r="I1571" s="9">
        <v>1</v>
      </c>
      <c r="J1571" s="9">
        <v>50</v>
      </c>
      <c r="K1571" s="100">
        <f t="shared" si="213"/>
        <v>50</v>
      </c>
      <c r="L1571" s="78">
        <v>46142</v>
      </c>
      <c r="M1571" s="103"/>
      <c r="N1571" s="93" t="s">
        <v>534</v>
      </c>
      <c r="O1571" s="94"/>
      <c r="P1571" s="104">
        <f t="shared" si="214"/>
        <v>50</v>
      </c>
      <c r="Q1571" s="104">
        <f t="shared" si="215"/>
        <v>50</v>
      </c>
      <c r="R1571" s="104"/>
      <c r="S1571" s="93" t="s">
        <v>144</v>
      </c>
      <c r="T1571" s="94"/>
      <c r="U1571" s="104">
        <f t="shared" si="216"/>
        <v>50</v>
      </c>
      <c r="V1571" s="104">
        <f t="shared" si="217"/>
        <v>1</v>
      </c>
      <c r="W1571" s="103">
        <f t="shared" si="218"/>
        <v>50</v>
      </c>
      <c r="X1571" s="93" t="s">
        <v>803</v>
      </c>
      <c r="Y1571" s="105" t="s">
        <v>84</v>
      </c>
      <c r="Z1571" s="105" t="s">
        <v>619</v>
      </c>
    </row>
    <row r="1572" spans="1:26" s="105" customFormat="1" ht="15" customHeight="1">
      <c r="A1572" s="99">
        <f t="shared" si="212"/>
        <v>1570</v>
      </c>
      <c r="B1572" s="75" t="s">
        <v>1218</v>
      </c>
      <c r="C1572" s="100" t="str">
        <f>IF($B1572&lt;&gt;"",_xlfn.IFNA(VLOOKUP($B1572,'Node Details'!$B:$U,C$1,0),"Check"),"")</f>
        <v>0000CM408-CM4080104</v>
      </c>
      <c r="D1572" s="100" t="str">
        <f>IF($B1572&lt;&gt;"",_xlfn.IFNA(VLOOKUP($B1572,'Node Details'!$B:$U,D$1,0),"Check"),"")</f>
        <v>CM4</v>
      </c>
      <c r="E1572" s="100" t="str">
        <f>IF($B1572&lt;&gt;"",_xlfn.IFNA(VLOOKUP($B1572,'Node Details'!$B:$U,E$1,0),"Check"),"")</f>
        <v>Airtel</v>
      </c>
      <c r="F1572" s="101">
        <v>46148</v>
      </c>
      <c r="G1572" s="103"/>
      <c r="H1572" s="102" t="s">
        <v>1256</v>
      </c>
      <c r="I1572" s="9">
        <v>1</v>
      </c>
      <c r="J1572" s="9">
        <v>50</v>
      </c>
      <c r="K1572" s="100">
        <f t="shared" si="213"/>
        <v>50</v>
      </c>
      <c r="L1572" s="78">
        <v>46142</v>
      </c>
      <c r="M1572" s="103"/>
      <c r="N1572" s="93" t="s">
        <v>534</v>
      </c>
      <c r="O1572" s="94"/>
      <c r="P1572" s="104">
        <f t="shared" si="214"/>
        <v>50</v>
      </c>
      <c r="Q1572" s="104">
        <f t="shared" si="215"/>
        <v>50</v>
      </c>
      <c r="R1572" s="104"/>
      <c r="S1572" s="93" t="s">
        <v>144</v>
      </c>
      <c r="T1572" s="94"/>
      <c r="U1572" s="104">
        <f t="shared" si="216"/>
        <v>50</v>
      </c>
      <c r="V1572" s="104">
        <f t="shared" si="217"/>
        <v>1</v>
      </c>
      <c r="W1572" s="103">
        <f t="shared" si="218"/>
        <v>50</v>
      </c>
      <c r="X1572" s="93" t="s">
        <v>803</v>
      </c>
      <c r="Y1572" s="105" t="s">
        <v>84</v>
      </c>
      <c r="Z1572" s="105" t="s">
        <v>619</v>
      </c>
    </row>
    <row r="1573" spans="1:26" s="105" customFormat="1" ht="15" customHeight="1">
      <c r="A1573" s="99">
        <f t="shared" si="212"/>
        <v>1571</v>
      </c>
      <c r="B1573" s="75" t="s">
        <v>846</v>
      </c>
      <c r="C1573" s="100" t="str">
        <f>IF($B1573&lt;&gt;"",_xlfn.IFNA(VLOOKUP($B1573,'Node Details'!$B:$U,C$1,0),"Check"),"")</f>
        <v>0000CM408-CM4080104</v>
      </c>
      <c r="D1573" s="100" t="str">
        <f>IF($B1573&lt;&gt;"",_xlfn.IFNA(VLOOKUP($B1573,'Node Details'!$B:$U,D$1,0),"Check"),"")</f>
        <v>CM4</v>
      </c>
      <c r="E1573" s="100" t="str">
        <f>IF($B1573&lt;&gt;"",_xlfn.IFNA(VLOOKUP($B1573,'Node Details'!$B:$U,E$1,0),"Check"),"")</f>
        <v>Airtel</v>
      </c>
      <c r="F1573" s="101">
        <v>46148</v>
      </c>
      <c r="G1573" s="103"/>
      <c r="H1573" s="102" t="s">
        <v>1256</v>
      </c>
      <c r="I1573" s="9">
        <v>1</v>
      </c>
      <c r="J1573" s="9">
        <v>50</v>
      </c>
      <c r="K1573" s="100">
        <f t="shared" si="213"/>
        <v>50</v>
      </c>
      <c r="L1573" s="78">
        <v>46142</v>
      </c>
      <c r="M1573" s="103"/>
      <c r="N1573" s="93" t="s">
        <v>534</v>
      </c>
      <c r="O1573" s="94"/>
      <c r="P1573" s="104">
        <f t="shared" si="214"/>
        <v>50</v>
      </c>
      <c r="Q1573" s="104">
        <f t="shared" si="215"/>
        <v>50</v>
      </c>
      <c r="R1573" s="104"/>
      <c r="S1573" s="93" t="s">
        <v>144</v>
      </c>
      <c r="T1573" s="94"/>
      <c r="U1573" s="104">
        <f t="shared" si="216"/>
        <v>50</v>
      </c>
      <c r="V1573" s="104">
        <f t="shared" si="217"/>
        <v>1</v>
      </c>
      <c r="W1573" s="103">
        <f t="shared" si="218"/>
        <v>50</v>
      </c>
      <c r="X1573" s="93" t="s">
        <v>803</v>
      </c>
      <c r="Y1573" s="105" t="s">
        <v>84</v>
      </c>
      <c r="Z1573" s="105" t="s">
        <v>619</v>
      </c>
    </row>
    <row r="1574" spans="1:26" s="105" customFormat="1" ht="15" customHeight="1">
      <c r="A1574" s="99">
        <f t="shared" si="212"/>
        <v>1572</v>
      </c>
      <c r="B1574" s="75" t="s">
        <v>1219</v>
      </c>
      <c r="C1574" s="100" t="str">
        <f>IF($B1574&lt;&gt;"",_xlfn.IFNA(VLOOKUP($B1574,'Node Details'!$B:$U,C$1,0),"Check"),"")</f>
        <v>0000CM408-CM4080108</v>
      </c>
      <c r="D1574" s="100" t="str">
        <f>IF($B1574&lt;&gt;"",_xlfn.IFNA(VLOOKUP($B1574,'Node Details'!$B:$U,D$1,0),"Check"),"")</f>
        <v>CM4</v>
      </c>
      <c r="E1574" s="100" t="str">
        <f>IF($B1574&lt;&gt;"",_xlfn.IFNA(VLOOKUP($B1574,'Node Details'!$B:$U,E$1,0),"Check"),"")</f>
        <v>Airtel</v>
      </c>
      <c r="F1574" s="101">
        <v>46148</v>
      </c>
      <c r="G1574" s="103"/>
      <c r="H1574" s="102" t="s">
        <v>1256</v>
      </c>
      <c r="I1574" s="9">
        <v>1</v>
      </c>
      <c r="J1574" s="9">
        <v>50</v>
      </c>
      <c r="K1574" s="100">
        <f t="shared" si="213"/>
        <v>50</v>
      </c>
      <c r="L1574" s="78">
        <v>46142</v>
      </c>
      <c r="M1574" s="103"/>
      <c r="N1574" s="93" t="s">
        <v>534</v>
      </c>
      <c r="O1574" s="94"/>
      <c r="P1574" s="104">
        <f t="shared" si="214"/>
        <v>50</v>
      </c>
      <c r="Q1574" s="104">
        <f t="shared" si="215"/>
        <v>50</v>
      </c>
      <c r="R1574" s="104"/>
      <c r="S1574" s="93" t="s">
        <v>144</v>
      </c>
      <c r="T1574" s="94"/>
      <c r="U1574" s="104">
        <f t="shared" si="216"/>
        <v>50</v>
      </c>
      <c r="V1574" s="104">
        <f t="shared" si="217"/>
        <v>1</v>
      </c>
      <c r="W1574" s="103">
        <f t="shared" si="218"/>
        <v>50</v>
      </c>
      <c r="X1574" s="93" t="s">
        <v>803</v>
      </c>
      <c r="Y1574" s="105" t="s">
        <v>84</v>
      </c>
      <c r="Z1574" s="105" t="s">
        <v>619</v>
      </c>
    </row>
    <row r="1575" spans="1:26" s="105" customFormat="1" ht="15" customHeight="1">
      <c r="A1575" s="99">
        <f t="shared" si="212"/>
        <v>1573</v>
      </c>
      <c r="B1575" s="75" t="s">
        <v>848</v>
      </c>
      <c r="C1575" s="100" t="str">
        <f>IF($B1575&lt;&gt;"",_xlfn.IFNA(VLOOKUP($B1575,'Node Details'!$B:$U,C$1,0),"Check"),"")</f>
        <v>0000CM408-CM4080108</v>
      </c>
      <c r="D1575" s="100" t="str">
        <f>IF($B1575&lt;&gt;"",_xlfn.IFNA(VLOOKUP($B1575,'Node Details'!$B:$U,D$1,0),"Check"),"")</f>
        <v>CM4</v>
      </c>
      <c r="E1575" s="100" t="str">
        <f>IF($B1575&lt;&gt;"",_xlfn.IFNA(VLOOKUP($B1575,'Node Details'!$B:$U,E$1,0),"Check"),"")</f>
        <v>Airtel</v>
      </c>
      <c r="F1575" s="101">
        <v>46148</v>
      </c>
      <c r="G1575" s="103"/>
      <c r="H1575" s="102" t="s">
        <v>1256</v>
      </c>
      <c r="I1575" s="9">
        <v>1</v>
      </c>
      <c r="J1575" s="9">
        <v>50</v>
      </c>
      <c r="K1575" s="100">
        <f t="shared" si="213"/>
        <v>50</v>
      </c>
      <c r="L1575" s="78">
        <v>46142</v>
      </c>
      <c r="M1575" s="103"/>
      <c r="N1575" s="93" t="s">
        <v>534</v>
      </c>
      <c r="O1575" s="94"/>
      <c r="P1575" s="104">
        <f t="shared" si="214"/>
        <v>50</v>
      </c>
      <c r="Q1575" s="104">
        <f t="shared" si="215"/>
        <v>50</v>
      </c>
      <c r="R1575" s="104"/>
      <c r="S1575" s="93" t="s">
        <v>144</v>
      </c>
      <c r="T1575" s="94"/>
      <c r="U1575" s="104">
        <f t="shared" si="216"/>
        <v>50</v>
      </c>
      <c r="V1575" s="104">
        <f t="shared" si="217"/>
        <v>1</v>
      </c>
      <c r="W1575" s="103">
        <f t="shared" si="218"/>
        <v>50</v>
      </c>
      <c r="X1575" s="93" t="s">
        <v>803</v>
      </c>
      <c r="Y1575" s="105" t="s">
        <v>84</v>
      </c>
      <c r="Z1575" s="105" t="s">
        <v>619</v>
      </c>
    </row>
    <row r="1576" spans="1:26" s="105" customFormat="1" ht="15" customHeight="1">
      <c r="A1576" s="99">
        <f t="shared" si="212"/>
        <v>1574</v>
      </c>
      <c r="B1576" s="75" t="s">
        <v>850</v>
      </c>
      <c r="C1576" s="100" t="str">
        <f>IF($B1576&lt;&gt;"",_xlfn.IFNA(VLOOKUP($B1576,'Node Details'!$B:$U,C$1,0),"Check"),"")</f>
        <v>0000CM408-CM4080105</v>
      </c>
      <c r="D1576" s="100" t="str">
        <f>IF($B1576&lt;&gt;"",_xlfn.IFNA(VLOOKUP($B1576,'Node Details'!$B:$U,D$1,0),"Check"),"")</f>
        <v>CM4</v>
      </c>
      <c r="E1576" s="100" t="str">
        <f>IF($B1576&lt;&gt;"",_xlfn.IFNA(VLOOKUP($B1576,'Node Details'!$B:$U,E$1,0),"Check"),"")</f>
        <v>Airtel</v>
      </c>
      <c r="F1576" s="101">
        <v>46148</v>
      </c>
      <c r="G1576" s="103"/>
      <c r="H1576" s="102" t="s">
        <v>1256</v>
      </c>
      <c r="I1576" s="9">
        <v>1</v>
      </c>
      <c r="J1576" s="9">
        <v>50</v>
      </c>
      <c r="K1576" s="100">
        <f t="shared" si="213"/>
        <v>50</v>
      </c>
      <c r="L1576" s="78">
        <v>46142</v>
      </c>
      <c r="M1576" s="103"/>
      <c r="N1576" s="93" t="s">
        <v>534</v>
      </c>
      <c r="O1576" s="94"/>
      <c r="P1576" s="104">
        <f t="shared" si="214"/>
        <v>50</v>
      </c>
      <c r="Q1576" s="104">
        <f t="shared" si="215"/>
        <v>50</v>
      </c>
      <c r="R1576" s="104"/>
      <c r="S1576" s="93" t="s">
        <v>144</v>
      </c>
      <c r="T1576" s="94"/>
      <c r="U1576" s="104">
        <f t="shared" si="216"/>
        <v>50</v>
      </c>
      <c r="V1576" s="104">
        <f t="shared" si="217"/>
        <v>1</v>
      </c>
      <c r="W1576" s="103">
        <f t="shared" si="218"/>
        <v>50</v>
      </c>
      <c r="X1576" s="93" t="s">
        <v>803</v>
      </c>
      <c r="Y1576" s="105" t="s">
        <v>84</v>
      </c>
      <c r="Z1576" s="105" t="s">
        <v>619</v>
      </c>
    </row>
    <row r="1577" spans="1:26" s="105" customFormat="1" ht="15" customHeight="1">
      <c r="A1577" s="99">
        <f t="shared" si="212"/>
        <v>1575</v>
      </c>
      <c r="B1577" s="75" t="s">
        <v>852</v>
      </c>
      <c r="C1577" s="100" t="str">
        <f>IF($B1577&lt;&gt;"",_xlfn.IFNA(VLOOKUP($B1577,'Node Details'!$B:$U,C$1,0),"Check"),"")</f>
        <v>0000CM408-CM4080107</v>
      </c>
      <c r="D1577" s="100" t="str">
        <f>IF($B1577&lt;&gt;"",_xlfn.IFNA(VLOOKUP($B1577,'Node Details'!$B:$U,D$1,0),"Check"),"")</f>
        <v>CM4</v>
      </c>
      <c r="E1577" s="100" t="str">
        <f>IF($B1577&lt;&gt;"",_xlfn.IFNA(VLOOKUP($B1577,'Node Details'!$B:$U,E$1,0),"Check"),"")</f>
        <v>Airtel</v>
      </c>
      <c r="F1577" s="101">
        <v>46148</v>
      </c>
      <c r="G1577" s="103"/>
      <c r="H1577" s="102" t="s">
        <v>1256</v>
      </c>
      <c r="I1577" s="9">
        <v>1</v>
      </c>
      <c r="J1577" s="9">
        <v>50</v>
      </c>
      <c r="K1577" s="100">
        <f t="shared" si="213"/>
        <v>50</v>
      </c>
      <c r="L1577" s="78">
        <v>46142</v>
      </c>
      <c r="M1577" s="103"/>
      <c r="N1577" s="93" t="s">
        <v>534</v>
      </c>
      <c r="O1577" s="94"/>
      <c r="P1577" s="104">
        <f t="shared" si="214"/>
        <v>50</v>
      </c>
      <c r="Q1577" s="104">
        <f t="shared" si="215"/>
        <v>50</v>
      </c>
      <c r="R1577" s="104"/>
      <c r="S1577" s="93" t="s">
        <v>144</v>
      </c>
      <c r="T1577" s="94"/>
      <c r="U1577" s="104">
        <f t="shared" si="216"/>
        <v>50</v>
      </c>
      <c r="V1577" s="104">
        <f t="shared" si="217"/>
        <v>1</v>
      </c>
      <c r="W1577" s="103">
        <f t="shared" si="218"/>
        <v>50</v>
      </c>
      <c r="X1577" s="93" t="s">
        <v>803</v>
      </c>
      <c r="Y1577" s="105" t="s">
        <v>84</v>
      </c>
      <c r="Z1577" s="105" t="s">
        <v>619</v>
      </c>
    </row>
    <row r="1578" spans="1:26" s="105" customFormat="1" ht="15" customHeight="1">
      <c r="A1578" s="99">
        <f t="shared" si="212"/>
        <v>1576</v>
      </c>
      <c r="B1578" s="75" t="s">
        <v>854</v>
      </c>
      <c r="C1578" s="100" t="str">
        <f>IF($B1578&lt;&gt;"",_xlfn.IFNA(VLOOKUP($B1578,'Node Details'!$B:$U,C$1,0),"Check"),"")</f>
        <v>000000CM4-0000CM418</v>
      </c>
      <c r="D1578" s="100" t="str">
        <f>IF($B1578&lt;&gt;"",_xlfn.IFNA(VLOOKUP($B1578,'Node Details'!$B:$U,D$1,0),"Check"),"")</f>
        <v>CM4</v>
      </c>
      <c r="E1578" s="100" t="str">
        <f>IF($B1578&lt;&gt;"",_xlfn.IFNA(VLOOKUP($B1578,'Node Details'!$B:$U,E$1,0),"Check"),"")</f>
        <v>Airtel</v>
      </c>
      <c r="F1578" s="101">
        <v>46148</v>
      </c>
      <c r="G1578" s="103"/>
      <c r="H1578" s="102" t="s">
        <v>1256</v>
      </c>
      <c r="I1578" s="9">
        <v>1</v>
      </c>
      <c r="J1578" s="9">
        <v>50</v>
      </c>
      <c r="K1578" s="100">
        <f t="shared" si="213"/>
        <v>50</v>
      </c>
      <c r="L1578" s="78">
        <v>46142</v>
      </c>
      <c r="M1578" s="103"/>
      <c r="N1578" s="93" t="s">
        <v>534</v>
      </c>
      <c r="O1578" s="94"/>
      <c r="P1578" s="104">
        <f t="shared" si="214"/>
        <v>50</v>
      </c>
      <c r="Q1578" s="104">
        <f t="shared" si="215"/>
        <v>50</v>
      </c>
      <c r="R1578" s="104"/>
      <c r="S1578" s="93" t="s">
        <v>144</v>
      </c>
      <c r="T1578" s="94"/>
      <c r="U1578" s="104">
        <f t="shared" si="216"/>
        <v>50</v>
      </c>
      <c r="V1578" s="104">
        <f t="shared" si="217"/>
        <v>1</v>
      </c>
      <c r="W1578" s="103">
        <f t="shared" si="218"/>
        <v>50</v>
      </c>
      <c r="X1578" s="93" t="s">
        <v>803</v>
      </c>
      <c r="Y1578" s="105" t="s">
        <v>84</v>
      </c>
      <c r="Z1578" s="105" t="s">
        <v>619</v>
      </c>
    </row>
    <row r="1579" spans="1:26" s="105" customFormat="1" ht="15" customHeight="1">
      <c r="A1579" s="99">
        <f t="shared" si="212"/>
        <v>1577</v>
      </c>
      <c r="B1579" s="75" t="s">
        <v>855</v>
      </c>
      <c r="C1579" s="100" t="str">
        <f>IF($B1579&lt;&gt;"",_xlfn.IFNA(VLOOKUP($B1579,'Node Details'!$B:$U,C$1,0),"Check"),"")</f>
        <v>0000CM409-CM4090103</v>
      </c>
      <c r="D1579" s="100" t="str">
        <f>IF($B1579&lt;&gt;"",_xlfn.IFNA(VLOOKUP($B1579,'Node Details'!$B:$U,D$1,0),"Check"),"")</f>
        <v>CM4</v>
      </c>
      <c r="E1579" s="100" t="str">
        <f>IF($B1579&lt;&gt;"",_xlfn.IFNA(VLOOKUP($B1579,'Node Details'!$B:$U,E$1,0),"Check"),"")</f>
        <v>Airtel</v>
      </c>
      <c r="F1579" s="101">
        <v>46148</v>
      </c>
      <c r="G1579" s="103"/>
      <c r="H1579" s="102" t="s">
        <v>1256</v>
      </c>
      <c r="I1579" s="9">
        <v>1</v>
      </c>
      <c r="J1579" s="9">
        <v>50</v>
      </c>
      <c r="K1579" s="100">
        <f t="shared" si="213"/>
        <v>50</v>
      </c>
      <c r="L1579" s="78">
        <v>46142</v>
      </c>
      <c r="M1579" s="103"/>
      <c r="N1579" s="93" t="s">
        <v>534</v>
      </c>
      <c r="O1579" s="94"/>
      <c r="P1579" s="104">
        <f t="shared" si="214"/>
        <v>50</v>
      </c>
      <c r="Q1579" s="104">
        <f t="shared" si="215"/>
        <v>50</v>
      </c>
      <c r="R1579" s="104"/>
      <c r="S1579" s="93" t="s">
        <v>144</v>
      </c>
      <c r="T1579" s="94"/>
      <c r="U1579" s="104">
        <f t="shared" si="216"/>
        <v>50</v>
      </c>
      <c r="V1579" s="104">
        <f t="shared" si="217"/>
        <v>1</v>
      </c>
      <c r="W1579" s="103">
        <f t="shared" si="218"/>
        <v>50</v>
      </c>
      <c r="X1579" s="93" t="s">
        <v>803</v>
      </c>
      <c r="Y1579" s="105" t="s">
        <v>84</v>
      </c>
      <c r="Z1579" s="105" t="s">
        <v>619</v>
      </c>
    </row>
    <row r="1580" spans="1:26" s="105" customFormat="1" ht="15" customHeight="1">
      <c r="A1580" s="99">
        <f t="shared" si="212"/>
        <v>1578</v>
      </c>
      <c r="B1580" s="75" t="s">
        <v>857</v>
      </c>
      <c r="C1580" s="100" t="str">
        <f>IF($B1580&lt;&gt;"",_xlfn.IFNA(VLOOKUP($B1580,'Node Details'!$B:$U,C$1,0),"Check"),"")</f>
        <v>0000CM409-CM4090101</v>
      </c>
      <c r="D1580" s="100" t="str">
        <f>IF($B1580&lt;&gt;"",_xlfn.IFNA(VLOOKUP($B1580,'Node Details'!$B:$U,D$1,0),"Check"),"")</f>
        <v>CM4</v>
      </c>
      <c r="E1580" s="100" t="str">
        <f>IF($B1580&lt;&gt;"",_xlfn.IFNA(VLOOKUP($B1580,'Node Details'!$B:$U,E$1,0),"Check"),"")</f>
        <v>Airtel</v>
      </c>
      <c r="F1580" s="101">
        <v>46148</v>
      </c>
      <c r="G1580" s="103"/>
      <c r="H1580" s="102" t="s">
        <v>1256</v>
      </c>
      <c r="I1580" s="9">
        <v>1</v>
      </c>
      <c r="J1580" s="9">
        <v>50</v>
      </c>
      <c r="K1580" s="100">
        <f t="shared" si="213"/>
        <v>50</v>
      </c>
      <c r="L1580" s="78">
        <v>46142</v>
      </c>
      <c r="M1580" s="103"/>
      <c r="N1580" s="93" t="s">
        <v>534</v>
      </c>
      <c r="O1580" s="94"/>
      <c r="P1580" s="104">
        <f t="shared" si="214"/>
        <v>50</v>
      </c>
      <c r="Q1580" s="104">
        <f t="shared" si="215"/>
        <v>50</v>
      </c>
      <c r="R1580" s="104"/>
      <c r="S1580" s="93" t="s">
        <v>144</v>
      </c>
      <c r="T1580" s="94"/>
      <c r="U1580" s="104">
        <f t="shared" si="216"/>
        <v>50</v>
      </c>
      <c r="V1580" s="104">
        <f t="shared" si="217"/>
        <v>1</v>
      </c>
      <c r="W1580" s="103">
        <f t="shared" si="218"/>
        <v>50</v>
      </c>
      <c r="X1580" s="93" t="s">
        <v>803</v>
      </c>
      <c r="Y1580" s="105" t="s">
        <v>84</v>
      </c>
      <c r="Z1580" s="105" t="s">
        <v>619</v>
      </c>
    </row>
    <row r="1581" spans="1:26" s="105" customFormat="1" ht="15" customHeight="1">
      <c r="A1581" s="99">
        <f t="shared" si="212"/>
        <v>1579</v>
      </c>
      <c r="B1581" s="75" t="s">
        <v>859</v>
      </c>
      <c r="C1581" s="100" t="str">
        <f>IF($B1581&lt;&gt;"",_xlfn.IFNA(VLOOKUP($B1581,'Node Details'!$B:$U,C$1,0),"Check"),"")</f>
        <v>0000CM409-CM4090102</v>
      </c>
      <c r="D1581" s="100" t="str">
        <f>IF($B1581&lt;&gt;"",_xlfn.IFNA(VLOOKUP($B1581,'Node Details'!$B:$U,D$1,0),"Check"),"")</f>
        <v>CM4</v>
      </c>
      <c r="E1581" s="100" t="str">
        <f>IF($B1581&lt;&gt;"",_xlfn.IFNA(VLOOKUP($B1581,'Node Details'!$B:$U,E$1,0),"Check"),"")</f>
        <v>Airtel</v>
      </c>
      <c r="F1581" s="101">
        <v>46148</v>
      </c>
      <c r="G1581" s="103"/>
      <c r="H1581" s="102" t="s">
        <v>1256</v>
      </c>
      <c r="I1581" s="9">
        <v>1</v>
      </c>
      <c r="J1581" s="9">
        <v>50</v>
      </c>
      <c r="K1581" s="100">
        <f t="shared" si="213"/>
        <v>50</v>
      </c>
      <c r="L1581" s="78">
        <v>46142</v>
      </c>
      <c r="M1581" s="103"/>
      <c r="N1581" s="93" t="s">
        <v>534</v>
      </c>
      <c r="O1581" s="94"/>
      <c r="P1581" s="104">
        <f t="shared" si="214"/>
        <v>50</v>
      </c>
      <c r="Q1581" s="104">
        <f t="shared" si="215"/>
        <v>50</v>
      </c>
      <c r="R1581" s="104"/>
      <c r="S1581" s="93" t="s">
        <v>144</v>
      </c>
      <c r="T1581" s="94"/>
      <c r="U1581" s="104">
        <f t="shared" si="216"/>
        <v>50</v>
      </c>
      <c r="V1581" s="104">
        <f t="shared" si="217"/>
        <v>1</v>
      </c>
      <c r="W1581" s="103">
        <f t="shared" si="218"/>
        <v>50</v>
      </c>
      <c r="X1581" s="93" t="s">
        <v>803</v>
      </c>
      <c r="Y1581" s="105" t="s">
        <v>84</v>
      </c>
      <c r="Z1581" s="105" t="s">
        <v>619</v>
      </c>
    </row>
    <row r="1582" spans="1:26" s="105" customFormat="1" ht="15" customHeight="1">
      <c r="A1582" s="99">
        <f t="shared" si="212"/>
        <v>1580</v>
      </c>
      <c r="B1582" s="75" t="s">
        <v>861</v>
      </c>
      <c r="C1582" s="100" t="str">
        <f>IF($B1582&lt;&gt;"",_xlfn.IFNA(VLOOKUP($B1582,'Node Details'!$B:$U,C$1,0),"Check"),"")</f>
        <v>0000CM409-CM4090104</v>
      </c>
      <c r="D1582" s="100" t="str">
        <f>IF($B1582&lt;&gt;"",_xlfn.IFNA(VLOOKUP($B1582,'Node Details'!$B:$U,D$1,0),"Check"),"")</f>
        <v>CM4</v>
      </c>
      <c r="E1582" s="100" t="str">
        <f>IF($B1582&lt;&gt;"",_xlfn.IFNA(VLOOKUP($B1582,'Node Details'!$B:$U,E$1,0),"Check"),"")</f>
        <v>Airtel</v>
      </c>
      <c r="F1582" s="101">
        <v>46148</v>
      </c>
      <c r="G1582" s="103"/>
      <c r="H1582" s="102" t="s">
        <v>1256</v>
      </c>
      <c r="I1582" s="9">
        <v>1</v>
      </c>
      <c r="J1582" s="9">
        <v>50</v>
      </c>
      <c r="K1582" s="100">
        <f t="shared" si="213"/>
        <v>50</v>
      </c>
      <c r="L1582" s="78">
        <v>46142</v>
      </c>
      <c r="M1582" s="103"/>
      <c r="N1582" s="93" t="s">
        <v>534</v>
      </c>
      <c r="O1582" s="94"/>
      <c r="P1582" s="104">
        <f t="shared" si="214"/>
        <v>50</v>
      </c>
      <c r="Q1582" s="104">
        <f t="shared" si="215"/>
        <v>50</v>
      </c>
      <c r="R1582" s="104"/>
      <c r="S1582" s="93" t="s">
        <v>144</v>
      </c>
      <c r="T1582" s="94"/>
      <c r="U1582" s="104">
        <f t="shared" si="216"/>
        <v>50</v>
      </c>
      <c r="V1582" s="104">
        <f t="shared" si="217"/>
        <v>1</v>
      </c>
      <c r="W1582" s="103">
        <f t="shared" si="218"/>
        <v>50</v>
      </c>
      <c r="X1582" s="93" t="s">
        <v>803</v>
      </c>
      <c r="Y1582" s="105" t="s">
        <v>84</v>
      </c>
      <c r="Z1582" s="105" t="s">
        <v>619</v>
      </c>
    </row>
    <row r="1583" spans="1:26" s="105" customFormat="1" ht="15" customHeight="1">
      <c r="A1583" s="99">
        <f t="shared" si="212"/>
        <v>1581</v>
      </c>
      <c r="B1583" s="75" t="s">
        <v>1220</v>
      </c>
      <c r="C1583" s="100" t="str">
        <f>IF($B1583&lt;&gt;"",_xlfn.IFNA(VLOOKUP($B1583,'Node Details'!$B:$U,C$1,0),"Check"),"")</f>
        <v>0000CM409-CM4090106</v>
      </c>
      <c r="D1583" s="100" t="str">
        <f>IF($B1583&lt;&gt;"",_xlfn.IFNA(VLOOKUP($B1583,'Node Details'!$B:$U,D$1,0),"Check"),"")</f>
        <v>CM4</v>
      </c>
      <c r="E1583" s="100" t="str">
        <f>IF($B1583&lt;&gt;"",_xlfn.IFNA(VLOOKUP($B1583,'Node Details'!$B:$U,E$1,0),"Check"),"")</f>
        <v>Airtel</v>
      </c>
      <c r="F1583" s="101">
        <v>46148</v>
      </c>
      <c r="G1583" s="103"/>
      <c r="H1583" s="102" t="s">
        <v>1256</v>
      </c>
      <c r="I1583" s="9">
        <v>1</v>
      </c>
      <c r="J1583" s="9">
        <v>50</v>
      </c>
      <c r="K1583" s="100">
        <f t="shared" si="213"/>
        <v>50</v>
      </c>
      <c r="L1583" s="78">
        <v>46142</v>
      </c>
      <c r="M1583" s="103"/>
      <c r="N1583" s="93" t="s">
        <v>534</v>
      </c>
      <c r="O1583" s="94"/>
      <c r="P1583" s="104">
        <f t="shared" si="214"/>
        <v>50</v>
      </c>
      <c r="Q1583" s="104">
        <f t="shared" si="215"/>
        <v>50</v>
      </c>
      <c r="R1583" s="104"/>
      <c r="S1583" s="93" t="s">
        <v>144</v>
      </c>
      <c r="T1583" s="94"/>
      <c r="U1583" s="104">
        <f t="shared" si="216"/>
        <v>50</v>
      </c>
      <c r="V1583" s="104">
        <f t="shared" si="217"/>
        <v>1</v>
      </c>
      <c r="W1583" s="103">
        <f t="shared" si="218"/>
        <v>50</v>
      </c>
      <c r="X1583" s="93" t="s">
        <v>803</v>
      </c>
      <c r="Y1583" s="105" t="s">
        <v>84</v>
      </c>
      <c r="Z1583" s="105" t="s">
        <v>619</v>
      </c>
    </row>
    <row r="1584" spans="1:26" s="105" customFormat="1" ht="15" customHeight="1">
      <c r="A1584" s="99">
        <f t="shared" si="212"/>
        <v>1582</v>
      </c>
      <c r="B1584" s="75" t="s">
        <v>863</v>
      </c>
      <c r="C1584" s="100" t="str">
        <f>IF($B1584&lt;&gt;"",_xlfn.IFNA(VLOOKUP($B1584,'Node Details'!$B:$U,C$1,0),"Check"),"")</f>
        <v>0000CM409-CM4090106</v>
      </c>
      <c r="D1584" s="100" t="str">
        <f>IF($B1584&lt;&gt;"",_xlfn.IFNA(VLOOKUP($B1584,'Node Details'!$B:$U,D$1,0),"Check"),"")</f>
        <v>CM4</v>
      </c>
      <c r="E1584" s="100" t="str">
        <f>IF($B1584&lt;&gt;"",_xlfn.IFNA(VLOOKUP($B1584,'Node Details'!$B:$U,E$1,0),"Check"),"")</f>
        <v>Airtel</v>
      </c>
      <c r="F1584" s="101">
        <v>46148</v>
      </c>
      <c r="G1584" s="103"/>
      <c r="H1584" s="102" t="s">
        <v>1256</v>
      </c>
      <c r="I1584" s="9">
        <v>1</v>
      </c>
      <c r="J1584" s="9">
        <v>50</v>
      </c>
      <c r="K1584" s="100">
        <f t="shared" si="213"/>
        <v>50</v>
      </c>
      <c r="L1584" s="78">
        <v>46142</v>
      </c>
      <c r="M1584" s="103"/>
      <c r="N1584" s="93" t="s">
        <v>534</v>
      </c>
      <c r="O1584" s="94"/>
      <c r="P1584" s="104">
        <f t="shared" si="214"/>
        <v>50</v>
      </c>
      <c r="Q1584" s="104">
        <f t="shared" si="215"/>
        <v>50</v>
      </c>
      <c r="R1584" s="104"/>
      <c r="S1584" s="93" t="s">
        <v>144</v>
      </c>
      <c r="T1584" s="94"/>
      <c r="U1584" s="104">
        <f t="shared" si="216"/>
        <v>50</v>
      </c>
      <c r="V1584" s="104">
        <f t="shared" si="217"/>
        <v>1</v>
      </c>
      <c r="W1584" s="103">
        <f t="shared" si="218"/>
        <v>50</v>
      </c>
      <c r="X1584" s="93" t="s">
        <v>803</v>
      </c>
      <c r="Y1584" s="105" t="s">
        <v>84</v>
      </c>
      <c r="Z1584" s="105" t="s">
        <v>619</v>
      </c>
    </row>
    <row r="1585" spans="1:26" s="105" customFormat="1" ht="15" customHeight="1">
      <c r="A1585" s="99">
        <f t="shared" si="212"/>
        <v>1583</v>
      </c>
      <c r="B1585" s="75" t="s">
        <v>865</v>
      </c>
      <c r="C1585" s="100" t="str">
        <f>IF($B1585&lt;&gt;"",_xlfn.IFNA(VLOOKUP($B1585,'Node Details'!$B:$U,C$1,0),"Check"),"")</f>
        <v>000000CM4-0000CM418</v>
      </c>
      <c r="D1585" s="100" t="str">
        <f>IF($B1585&lt;&gt;"",_xlfn.IFNA(VLOOKUP($B1585,'Node Details'!$B:$U,D$1,0),"Check"),"")</f>
        <v>CM4</v>
      </c>
      <c r="E1585" s="100" t="str">
        <f>IF($B1585&lt;&gt;"",_xlfn.IFNA(VLOOKUP($B1585,'Node Details'!$B:$U,E$1,0),"Check"),"")</f>
        <v>Airtel</v>
      </c>
      <c r="F1585" s="101">
        <v>46148</v>
      </c>
      <c r="G1585" s="103"/>
      <c r="H1585" s="102" t="s">
        <v>1256</v>
      </c>
      <c r="I1585" s="9">
        <v>1</v>
      </c>
      <c r="J1585" s="9">
        <v>50</v>
      </c>
      <c r="K1585" s="100">
        <f t="shared" si="213"/>
        <v>50</v>
      </c>
      <c r="L1585" s="78">
        <v>46142</v>
      </c>
      <c r="M1585" s="103"/>
      <c r="N1585" s="93" t="s">
        <v>534</v>
      </c>
      <c r="O1585" s="94"/>
      <c r="P1585" s="104">
        <f t="shared" si="214"/>
        <v>50</v>
      </c>
      <c r="Q1585" s="104">
        <f t="shared" si="215"/>
        <v>50</v>
      </c>
      <c r="R1585" s="104"/>
      <c r="S1585" s="93" t="s">
        <v>144</v>
      </c>
      <c r="T1585" s="94"/>
      <c r="U1585" s="104">
        <f t="shared" si="216"/>
        <v>50</v>
      </c>
      <c r="V1585" s="104">
        <f t="shared" si="217"/>
        <v>1</v>
      </c>
      <c r="W1585" s="103">
        <f t="shared" si="218"/>
        <v>50</v>
      </c>
      <c r="X1585" s="93" t="s">
        <v>803</v>
      </c>
      <c r="Y1585" s="105" t="s">
        <v>84</v>
      </c>
      <c r="Z1585" s="105" t="s">
        <v>619</v>
      </c>
    </row>
    <row r="1586" spans="1:26" s="105" customFormat="1" ht="15" customHeight="1">
      <c r="A1586" s="99">
        <f t="shared" si="212"/>
        <v>1584</v>
      </c>
      <c r="B1586" s="75" t="s">
        <v>866</v>
      </c>
      <c r="C1586" s="100" t="str">
        <f>IF($B1586&lt;&gt;"",_xlfn.IFNA(VLOOKUP($B1586,'Node Details'!$B:$U,C$1,0),"Check"),"")</f>
        <v>0000CM410-CM4100105</v>
      </c>
      <c r="D1586" s="100" t="str">
        <f>IF($B1586&lt;&gt;"",_xlfn.IFNA(VLOOKUP($B1586,'Node Details'!$B:$U,D$1,0),"Check"),"")</f>
        <v>CM4</v>
      </c>
      <c r="E1586" s="100" t="str">
        <f>IF($B1586&lt;&gt;"",_xlfn.IFNA(VLOOKUP($B1586,'Node Details'!$B:$U,E$1,0),"Check"),"")</f>
        <v>Airtel</v>
      </c>
      <c r="F1586" s="101">
        <v>46148</v>
      </c>
      <c r="G1586" s="103"/>
      <c r="H1586" s="102" t="s">
        <v>1256</v>
      </c>
      <c r="I1586" s="9">
        <v>1</v>
      </c>
      <c r="J1586" s="9">
        <v>50</v>
      </c>
      <c r="K1586" s="100">
        <f t="shared" si="213"/>
        <v>50</v>
      </c>
      <c r="L1586" s="78">
        <v>46142</v>
      </c>
      <c r="M1586" s="103"/>
      <c r="N1586" s="93" t="s">
        <v>534</v>
      </c>
      <c r="O1586" s="94"/>
      <c r="P1586" s="104">
        <f t="shared" si="214"/>
        <v>50</v>
      </c>
      <c r="Q1586" s="104">
        <f t="shared" si="215"/>
        <v>50</v>
      </c>
      <c r="R1586" s="104"/>
      <c r="S1586" s="93" t="s">
        <v>144</v>
      </c>
      <c r="T1586" s="94"/>
      <c r="U1586" s="104">
        <f t="shared" si="216"/>
        <v>50</v>
      </c>
      <c r="V1586" s="104">
        <f t="shared" si="217"/>
        <v>1</v>
      </c>
      <c r="W1586" s="103">
        <f t="shared" si="218"/>
        <v>50</v>
      </c>
      <c r="X1586" s="93" t="s">
        <v>803</v>
      </c>
      <c r="Y1586" s="105" t="s">
        <v>84</v>
      </c>
      <c r="Z1586" s="105" t="s">
        <v>619</v>
      </c>
    </row>
    <row r="1587" spans="1:26" s="105" customFormat="1" ht="15" customHeight="1">
      <c r="A1587" s="99">
        <f t="shared" si="212"/>
        <v>1585</v>
      </c>
      <c r="B1587" s="75" t="s">
        <v>868</v>
      </c>
      <c r="C1587" s="100" t="str">
        <f>IF($B1587&lt;&gt;"",_xlfn.IFNA(VLOOKUP($B1587,'Node Details'!$B:$U,C$1,0),"Check"),"")</f>
        <v>0000CM410-CM4100106</v>
      </c>
      <c r="D1587" s="100" t="str">
        <f>IF($B1587&lt;&gt;"",_xlfn.IFNA(VLOOKUP($B1587,'Node Details'!$B:$U,D$1,0),"Check"),"")</f>
        <v>CM4</v>
      </c>
      <c r="E1587" s="100" t="str">
        <f>IF($B1587&lt;&gt;"",_xlfn.IFNA(VLOOKUP($B1587,'Node Details'!$B:$U,E$1,0),"Check"),"")</f>
        <v>Airtel</v>
      </c>
      <c r="F1587" s="101">
        <v>46148</v>
      </c>
      <c r="G1587" s="103"/>
      <c r="H1587" s="102" t="s">
        <v>1256</v>
      </c>
      <c r="I1587" s="9">
        <v>1</v>
      </c>
      <c r="J1587" s="9">
        <v>50</v>
      </c>
      <c r="K1587" s="100">
        <f t="shared" si="213"/>
        <v>50</v>
      </c>
      <c r="L1587" s="78">
        <v>46142</v>
      </c>
      <c r="M1587" s="103"/>
      <c r="N1587" s="93" t="s">
        <v>534</v>
      </c>
      <c r="O1587" s="94"/>
      <c r="P1587" s="104">
        <f t="shared" si="214"/>
        <v>50</v>
      </c>
      <c r="Q1587" s="104">
        <f t="shared" si="215"/>
        <v>50</v>
      </c>
      <c r="R1587" s="104"/>
      <c r="S1587" s="93" t="s">
        <v>144</v>
      </c>
      <c r="T1587" s="94"/>
      <c r="U1587" s="104">
        <f t="shared" si="216"/>
        <v>50</v>
      </c>
      <c r="V1587" s="104">
        <f t="shared" si="217"/>
        <v>1</v>
      </c>
      <c r="W1587" s="103">
        <f t="shared" si="218"/>
        <v>50</v>
      </c>
      <c r="X1587" s="93" t="s">
        <v>803</v>
      </c>
      <c r="Y1587" s="105" t="s">
        <v>84</v>
      </c>
      <c r="Z1587" s="105" t="s">
        <v>619</v>
      </c>
    </row>
    <row r="1588" spans="1:26" s="105" customFormat="1" ht="15" customHeight="1">
      <c r="A1588" s="99">
        <f t="shared" si="212"/>
        <v>1586</v>
      </c>
      <c r="B1588" s="75" t="s">
        <v>870</v>
      </c>
      <c r="C1588" s="100" t="str">
        <f>IF($B1588&lt;&gt;"",_xlfn.IFNA(VLOOKUP($B1588,'Node Details'!$B:$U,C$1,0),"Check"),"")</f>
        <v>0000CM410-CM4100107</v>
      </c>
      <c r="D1588" s="100" t="str">
        <f>IF($B1588&lt;&gt;"",_xlfn.IFNA(VLOOKUP($B1588,'Node Details'!$B:$U,D$1,0),"Check"),"")</f>
        <v>CM4</v>
      </c>
      <c r="E1588" s="100" t="str">
        <f>IF($B1588&lt;&gt;"",_xlfn.IFNA(VLOOKUP($B1588,'Node Details'!$B:$U,E$1,0),"Check"),"")</f>
        <v>Airtel</v>
      </c>
      <c r="F1588" s="101">
        <v>46148</v>
      </c>
      <c r="G1588" s="103"/>
      <c r="H1588" s="102" t="s">
        <v>1256</v>
      </c>
      <c r="I1588" s="9">
        <v>1</v>
      </c>
      <c r="J1588" s="9">
        <v>50</v>
      </c>
      <c r="K1588" s="100">
        <f t="shared" si="213"/>
        <v>50</v>
      </c>
      <c r="L1588" s="78">
        <v>46142</v>
      </c>
      <c r="M1588" s="103"/>
      <c r="N1588" s="93" t="s">
        <v>534</v>
      </c>
      <c r="O1588" s="94"/>
      <c r="P1588" s="104">
        <f t="shared" si="214"/>
        <v>50</v>
      </c>
      <c r="Q1588" s="104">
        <f t="shared" si="215"/>
        <v>50</v>
      </c>
      <c r="R1588" s="104"/>
      <c r="S1588" s="93" t="s">
        <v>144</v>
      </c>
      <c r="T1588" s="94"/>
      <c r="U1588" s="104">
        <f t="shared" si="216"/>
        <v>50</v>
      </c>
      <c r="V1588" s="104">
        <f t="shared" si="217"/>
        <v>1</v>
      </c>
      <c r="W1588" s="103">
        <f t="shared" si="218"/>
        <v>50</v>
      </c>
      <c r="X1588" s="93" t="s">
        <v>803</v>
      </c>
      <c r="Y1588" s="105" t="s">
        <v>84</v>
      </c>
      <c r="Z1588" s="105" t="s">
        <v>619</v>
      </c>
    </row>
    <row r="1589" spans="1:26" s="105" customFormat="1" ht="15" customHeight="1">
      <c r="A1589" s="99">
        <f t="shared" si="212"/>
        <v>1587</v>
      </c>
      <c r="B1589" s="75" t="s">
        <v>872</v>
      </c>
      <c r="C1589" s="100" t="str">
        <f>IF($B1589&lt;&gt;"",_xlfn.IFNA(VLOOKUP($B1589,'Node Details'!$B:$U,C$1,0),"Check"),"")</f>
        <v>0000CM410-CM4100108</v>
      </c>
      <c r="D1589" s="100" t="str">
        <f>IF($B1589&lt;&gt;"",_xlfn.IFNA(VLOOKUP($B1589,'Node Details'!$B:$U,D$1,0),"Check"),"")</f>
        <v>CM4</v>
      </c>
      <c r="E1589" s="100" t="str">
        <f>IF($B1589&lt;&gt;"",_xlfn.IFNA(VLOOKUP($B1589,'Node Details'!$B:$U,E$1,0),"Check"),"")</f>
        <v>Airtel</v>
      </c>
      <c r="F1589" s="101">
        <v>46148</v>
      </c>
      <c r="G1589" s="103"/>
      <c r="H1589" s="102" t="s">
        <v>1256</v>
      </c>
      <c r="I1589" s="9">
        <v>1</v>
      </c>
      <c r="J1589" s="9">
        <v>50</v>
      </c>
      <c r="K1589" s="100">
        <f t="shared" si="213"/>
        <v>50</v>
      </c>
      <c r="L1589" s="78">
        <v>46142</v>
      </c>
      <c r="M1589" s="103"/>
      <c r="N1589" s="93" t="s">
        <v>534</v>
      </c>
      <c r="O1589" s="94"/>
      <c r="P1589" s="104">
        <f t="shared" si="214"/>
        <v>50</v>
      </c>
      <c r="Q1589" s="104">
        <f t="shared" si="215"/>
        <v>50</v>
      </c>
      <c r="R1589" s="104"/>
      <c r="S1589" s="93" t="s">
        <v>144</v>
      </c>
      <c r="T1589" s="94"/>
      <c r="U1589" s="104">
        <f t="shared" si="216"/>
        <v>50</v>
      </c>
      <c r="V1589" s="104">
        <f t="shared" si="217"/>
        <v>1</v>
      </c>
      <c r="W1589" s="103">
        <f t="shared" si="218"/>
        <v>50</v>
      </c>
      <c r="X1589" s="93" t="s">
        <v>803</v>
      </c>
      <c r="Y1589" s="105" t="s">
        <v>84</v>
      </c>
      <c r="Z1589" s="105" t="s">
        <v>619</v>
      </c>
    </row>
    <row r="1590" spans="1:26" s="105" customFormat="1" ht="15" customHeight="1">
      <c r="A1590" s="99">
        <f t="shared" si="212"/>
        <v>1588</v>
      </c>
      <c r="B1590" s="75" t="s">
        <v>874</v>
      </c>
      <c r="C1590" s="100" t="str">
        <f>IF($B1590&lt;&gt;"",_xlfn.IFNA(VLOOKUP($B1590,'Node Details'!$B:$U,C$1,0),"Check"),"")</f>
        <v>0000CM410-CM4100103</v>
      </c>
      <c r="D1590" s="100" t="str">
        <f>IF($B1590&lt;&gt;"",_xlfn.IFNA(VLOOKUP($B1590,'Node Details'!$B:$U,D$1,0),"Check"),"")</f>
        <v>CM4</v>
      </c>
      <c r="E1590" s="100" t="str">
        <f>IF($B1590&lt;&gt;"",_xlfn.IFNA(VLOOKUP($B1590,'Node Details'!$B:$U,E$1,0),"Check"),"")</f>
        <v>Airtel</v>
      </c>
      <c r="F1590" s="101">
        <v>46148</v>
      </c>
      <c r="G1590" s="103"/>
      <c r="H1590" s="102" t="s">
        <v>1256</v>
      </c>
      <c r="I1590" s="9">
        <v>1</v>
      </c>
      <c r="J1590" s="9">
        <v>50</v>
      </c>
      <c r="K1590" s="100">
        <f t="shared" si="213"/>
        <v>50</v>
      </c>
      <c r="L1590" s="78">
        <v>46142</v>
      </c>
      <c r="M1590" s="103"/>
      <c r="N1590" s="93" t="s">
        <v>534</v>
      </c>
      <c r="O1590" s="94"/>
      <c r="P1590" s="104">
        <f t="shared" si="214"/>
        <v>50</v>
      </c>
      <c r="Q1590" s="104">
        <f t="shared" si="215"/>
        <v>50</v>
      </c>
      <c r="R1590" s="104"/>
      <c r="S1590" s="93" t="s">
        <v>144</v>
      </c>
      <c r="T1590" s="94"/>
      <c r="U1590" s="104">
        <f t="shared" si="216"/>
        <v>50</v>
      </c>
      <c r="V1590" s="104">
        <f t="shared" si="217"/>
        <v>1</v>
      </c>
      <c r="W1590" s="103">
        <f t="shared" si="218"/>
        <v>50</v>
      </c>
      <c r="X1590" s="93" t="s">
        <v>803</v>
      </c>
      <c r="Y1590" s="105" t="s">
        <v>84</v>
      </c>
      <c r="Z1590" s="105" t="s">
        <v>619</v>
      </c>
    </row>
    <row r="1591" spans="1:26" s="105" customFormat="1" ht="15" customHeight="1">
      <c r="A1591" s="99">
        <f t="shared" si="212"/>
        <v>1589</v>
      </c>
      <c r="B1591" s="75" t="s">
        <v>876</v>
      </c>
      <c r="C1591" s="100" t="str">
        <f>IF($B1591&lt;&gt;"",_xlfn.IFNA(VLOOKUP($B1591,'Node Details'!$B:$U,C$1,0),"Check"),"")</f>
        <v>0000CM410-CM4100104</v>
      </c>
      <c r="D1591" s="100" t="str">
        <f>IF($B1591&lt;&gt;"",_xlfn.IFNA(VLOOKUP($B1591,'Node Details'!$B:$U,D$1,0),"Check"),"")</f>
        <v>CM4</v>
      </c>
      <c r="E1591" s="100" t="str">
        <f>IF($B1591&lt;&gt;"",_xlfn.IFNA(VLOOKUP($B1591,'Node Details'!$B:$U,E$1,0),"Check"),"")</f>
        <v>Airtel</v>
      </c>
      <c r="F1591" s="101">
        <v>46148</v>
      </c>
      <c r="G1591" s="103"/>
      <c r="H1591" s="102" t="s">
        <v>1256</v>
      </c>
      <c r="I1591" s="9">
        <v>1</v>
      </c>
      <c r="J1591" s="9">
        <v>50</v>
      </c>
      <c r="K1591" s="100">
        <f t="shared" si="213"/>
        <v>50</v>
      </c>
      <c r="L1591" s="78">
        <v>46142</v>
      </c>
      <c r="M1591" s="103"/>
      <c r="N1591" s="93" t="s">
        <v>534</v>
      </c>
      <c r="O1591" s="94"/>
      <c r="P1591" s="104">
        <f t="shared" si="214"/>
        <v>50</v>
      </c>
      <c r="Q1591" s="104">
        <f t="shared" si="215"/>
        <v>50</v>
      </c>
      <c r="R1591" s="104"/>
      <c r="S1591" s="93" t="s">
        <v>144</v>
      </c>
      <c r="T1591" s="94"/>
      <c r="U1591" s="104">
        <f t="shared" si="216"/>
        <v>50</v>
      </c>
      <c r="V1591" s="104">
        <f t="shared" si="217"/>
        <v>1</v>
      </c>
      <c r="W1591" s="103">
        <f t="shared" si="218"/>
        <v>50</v>
      </c>
      <c r="X1591" s="93" t="s">
        <v>803</v>
      </c>
      <c r="Y1591" s="105" t="s">
        <v>84</v>
      </c>
      <c r="Z1591" s="105" t="s">
        <v>619</v>
      </c>
    </row>
    <row r="1592" spans="1:26" s="105" customFormat="1" ht="15" customHeight="1">
      <c r="A1592" s="99">
        <f t="shared" si="212"/>
        <v>1590</v>
      </c>
      <c r="B1592" s="75" t="s">
        <v>812</v>
      </c>
      <c r="C1592" s="100" t="str">
        <f>IF($B1592&lt;&gt;"",_xlfn.IFNA(VLOOKUP($B1592,'Node Details'!$B:$U,C$1,0),"Check"),"")</f>
        <v>000000CM4-0000CM418</v>
      </c>
      <c r="D1592" s="100" t="str">
        <f>IF($B1592&lt;&gt;"",_xlfn.IFNA(VLOOKUP($B1592,'Node Details'!$B:$U,D$1,0),"Check"),"")</f>
        <v>CM4</v>
      </c>
      <c r="E1592" s="100" t="str">
        <f>IF($B1592&lt;&gt;"",_xlfn.IFNA(VLOOKUP($B1592,'Node Details'!$B:$U,E$1,0),"Check"),"")</f>
        <v>Airtel</v>
      </c>
      <c r="F1592" s="101">
        <v>46148</v>
      </c>
      <c r="G1592" s="103"/>
      <c r="H1592" s="102" t="s">
        <v>1256</v>
      </c>
      <c r="I1592" s="9">
        <v>1</v>
      </c>
      <c r="J1592" s="9">
        <v>50</v>
      </c>
      <c r="K1592" s="100">
        <f t="shared" si="213"/>
        <v>50</v>
      </c>
      <c r="L1592" s="78">
        <v>46142</v>
      </c>
      <c r="M1592" s="103"/>
      <c r="N1592" s="93" t="s">
        <v>534</v>
      </c>
      <c r="O1592" s="94"/>
      <c r="P1592" s="104">
        <f t="shared" si="214"/>
        <v>50</v>
      </c>
      <c r="Q1592" s="104">
        <f t="shared" si="215"/>
        <v>50</v>
      </c>
      <c r="R1592" s="104"/>
      <c r="S1592" s="93" t="s">
        <v>144</v>
      </c>
      <c r="T1592" s="94"/>
      <c r="U1592" s="104">
        <f t="shared" si="216"/>
        <v>50</v>
      </c>
      <c r="V1592" s="104">
        <f t="shared" si="217"/>
        <v>1</v>
      </c>
      <c r="W1592" s="103">
        <f t="shared" si="218"/>
        <v>50</v>
      </c>
      <c r="X1592" s="93" t="s">
        <v>803</v>
      </c>
      <c r="Y1592" s="105" t="s">
        <v>84</v>
      </c>
      <c r="Z1592" s="105" t="s">
        <v>619</v>
      </c>
    </row>
    <row r="1593" spans="1:26" s="105" customFormat="1" ht="15" customHeight="1">
      <c r="A1593" s="99">
        <f t="shared" si="212"/>
        <v>1591</v>
      </c>
      <c r="B1593" s="75" t="s">
        <v>878</v>
      </c>
      <c r="C1593" s="100" t="str">
        <f>IF($B1593&lt;&gt;"",_xlfn.IFNA(VLOOKUP($B1593,'Node Details'!$B:$U,C$1,0),"Check"),"")</f>
        <v>0000CM411-CM4110101</v>
      </c>
      <c r="D1593" s="100" t="str">
        <f>IF($B1593&lt;&gt;"",_xlfn.IFNA(VLOOKUP($B1593,'Node Details'!$B:$U,D$1,0),"Check"),"")</f>
        <v>CM4</v>
      </c>
      <c r="E1593" s="100" t="str">
        <f>IF($B1593&lt;&gt;"",_xlfn.IFNA(VLOOKUP($B1593,'Node Details'!$B:$U,E$1,0),"Check"),"")</f>
        <v>Airtel</v>
      </c>
      <c r="F1593" s="101">
        <v>46148</v>
      </c>
      <c r="G1593" s="103"/>
      <c r="H1593" s="102" t="s">
        <v>1256</v>
      </c>
      <c r="I1593" s="9">
        <v>1</v>
      </c>
      <c r="J1593" s="9">
        <v>50</v>
      </c>
      <c r="K1593" s="100">
        <f t="shared" si="213"/>
        <v>50</v>
      </c>
      <c r="L1593" s="78">
        <v>46142</v>
      </c>
      <c r="M1593" s="103"/>
      <c r="N1593" s="93" t="s">
        <v>534</v>
      </c>
      <c r="O1593" s="94"/>
      <c r="P1593" s="104">
        <f t="shared" si="214"/>
        <v>50</v>
      </c>
      <c r="Q1593" s="104">
        <f t="shared" si="215"/>
        <v>50</v>
      </c>
      <c r="R1593" s="104"/>
      <c r="S1593" s="93" t="s">
        <v>144</v>
      </c>
      <c r="T1593" s="94"/>
      <c r="U1593" s="104">
        <f t="shared" si="216"/>
        <v>50</v>
      </c>
      <c r="V1593" s="104">
        <f t="shared" si="217"/>
        <v>1</v>
      </c>
      <c r="W1593" s="103">
        <f t="shared" si="218"/>
        <v>50</v>
      </c>
      <c r="X1593" s="93" t="s">
        <v>803</v>
      </c>
      <c r="Y1593" s="105" t="s">
        <v>84</v>
      </c>
      <c r="Z1593" s="105" t="s">
        <v>619</v>
      </c>
    </row>
    <row r="1594" spans="1:26" s="105" customFormat="1" ht="15" customHeight="1">
      <c r="A1594" s="99">
        <f t="shared" si="212"/>
        <v>1592</v>
      </c>
      <c r="B1594" s="75" t="s">
        <v>880</v>
      </c>
      <c r="C1594" s="100" t="str">
        <f>IF($B1594&lt;&gt;"",_xlfn.IFNA(VLOOKUP($B1594,'Node Details'!$B:$U,C$1,0),"Check"),"")</f>
        <v>0000CM411-CM4110104</v>
      </c>
      <c r="D1594" s="100" t="str">
        <f>IF($B1594&lt;&gt;"",_xlfn.IFNA(VLOOKUP($B1594,'Node Details'!$B:$U,D$1,0),"Check"),"")</f>
        <v>CM4</v>
      </c>
      <c r="E1594" s="100" t="str">
        <f>IF($B1594&lt;&gt;"",_xlfn.IFNA(VLOOKUP($B1594,'Node Details'!$B:$U,E$1,0),"Check"),"")</f>
        <v>Airtel</v>
      </c>
      <c r="F1594" s="101">
        <v>46148</v>
      </c>
      <c r="G1594" s="103"/>
      <c r="H1594" s="102" t="s">
        <v>1256</v>
      </c>
      <c r="I1594" s="9">
        <v>1</v>
      </c>
      <c r="J1594" s="9">
        <v>50</v>
      </c>
      <c r="K1594" s="100">
        <f t="shared" si="213"/>
        <v>50</v>
      </c>
      <c r="L1594" s="78">
        <v>46142</v>
      </c>
      <c r="M1594" s="103"/>
      <c r="N1594" s="93" t="s">
        <v>534</v>
      </c>
      <c r="O1594" s="94"/>
      <c r="P1594" s="104">
        <f t="shared" si="214"/>
        <v>50</v>
      </c>
      <c r="Q1594" s="104">
        <f t="shared" si="215"/>
        <v>50</v>
      </c>
      <c r="R1594" s="104"/>
      <c r="S1594" s="93" t="s">
        <v>144</v>
      </c>
      <c r="T1594" s="94"/>
      <c r="U1594" s="104">
        <f t="shared" si="216"/>
        <v>50</v>
      </c>
      <c r="V1594" s="104">
        <f t="shared" si="217"/>
        <v>1</v>
      </c>
      <c r="W1594" s="103">
        <f t="shared" si="218"/>
        <v>50</v>
      </c>
      <c r="X1594" s="93" t="s">
        <v>803</v>
      </c>
      <c r="Y1594" s="105" t="s">
        <v>84</v>
      </c>
      <c r="Z1594" s="105" t="s">
        <v>619</v>
      </c>
    </row>
    <row r="1595" spans="1:26" s="105" customFormat="1" ht="15" customHeight="1">
      <c r="A1595" s="99">
        <f t="shared" si="212"/>
        <v>1593</v>
      </c>
      <c r="B1595" s="75" t="s">
        <v>884</v>
      </c>
      <c r="C1595" s="100" t="str">
        <f>IF($B1595&lt;&gt;"",_xlfn.IFNA(VLOOKUP($B1595,'Node Details'!$B:$U,C$1,0),"Check"),"")</f>
        <v>0000CM411-CM4110106</v>
      </c>
      <c r="D1595" s="100" t="str">
        <f>IF($B1595&lt;&gt;"",_xlfn.IFNA(VLOOKUP($B1595,'Node Details'!$B:$U,D$1,0),"Check"),"")</f>
        <v>CM4</v>
      </c>
      <c r="E1595" s="100" t="str">
        <f>IF($B1595&lt;&gt;"",_xlfn.IFNA(VLOOKUP($B1595,'Node Details'!$B:$U,E$1,0),"Check"),"")</f>
        <v>Airtel</v>
      </c>
      <c r="F1595" s="101">
        <v>46148</v>
      </c>
      <c r="G1595" s="103"/>
      <c r="H1595" s="102" t="s">
        <v>1256</v>
      </c>
      <c r="I1595" s="9">
        <v>1</v>
      </c>
      <c r="J1595" s="9">
        <v>50</v>
      </c>
      <c r="K1595" s="100">
        <f t="shared" si="213"/>
        <v>50</v>
      </c>
      <c r="L1595" s="78">
        <v>46142</v>
      </c>
      <c r="M1595" s="103"/>
      <c r="N1595" s="93" t="s">
        <v>534</v>
      </c>
      <c r="O1595" s="94"/>
      <c r="P1595" s="104">
        <f t="shared" si="214"/>
        <v>50</v>
      </c>
      <c r="Q1595" s="104">
        <f t="shared" si="215"/>
        <v>50</v>
      </c>
      <c r="R1595" s="104"/>
      <c r="S1595" s="93" t="s">
        <v>144</v>
      </c>
      <c r="T1595" s="94"/>
      <c r="U1595" s="104">
        <f t="shared" si="216"/>
        <v>50</v>
      </c>
      <c r="V1595" s="104">
        <f t="shared" si="217"/>
        <v>1</v>
      </c>
      <c r="W1595" s="103">
        <f t="shared" si="218"/>
        <v>50</v>
      </c>
      <c r="X1595" s="93" t="s">
        <v>803</v>
      </c>
      <c r="Y1595" s="105" t="s">
        <v>84</v>
      </c>
      <c r="Z1595" s="105" t="s">
        <v>619</v>
      </c>
    </row>
    <row r="1596" spans="1:26" s="105" customFormat="1" ht="15" customHeight="1">
      <c r="A1596" s="99">
        <f t="shared" si="212"/>
        <v>1594</v>
      </c>
      <c r="B1596" s="75" t="s">
        <v>882</v>
      </c>
      <c r="C1596" s="100" t="str">
        <f>IF($B1596&lt;&gt;"",_xlfn.IFNA(VLOOKUP($B1596,'Node Details'!$B:$U,C$1,0),"Check"),"")</f>
        <v>0000CM411-CM4110106</v>
      </c>
      <c r="D1596" s="100" t="str">
        <f>IF($B1596&lt;&gt;"",_xlfn.IFNA(VLOOKUP($B1596,'Node Details'!$B:$U,D$1,0),"Check"),"")</f>
        <v>CM4</v>
      </c>
      <c r="E1596" s="100" t="str">
        <f>IF($B1596&lt;&gt;"",_xlfn.IFNA(VLOOKUP($B1596,'Node Details'!$B:$U,E$1,0),"Check"),"")</f>
        <v>Airtel</v>
      </c>
      <c r="F1596" s="101">
        <v>46148</v>
      </c>
      <c r="G1596" s="103"/>
      <c r="H1596" s="102" t="s">
        <v>1256</v>
      </c>
      <c r="I1596" s="9">
        <v>1</v>
      </c>
      <c r="J1596" s="9">
        <v>50</v>
      </c>
      <c r="K1596" s="100">
        <f t="shared" si="213"/>
        <v>50</v>
      </c>
      <c r="L1596" s="78">
        <v>46142</v>
      </c>
      <c r="M1596" s="103"/>
      <c r="N1596" s="93" t="s">
        <v>534</v>
      </c>
      <c r="O1596" s="94"/>
      <c r="P1596" s="104">
        <f t="shared" si="214"/>
        <v>50</v>
      </c>
      <c r="Q1596" s="104">
        <f t="shared" si="215"/>
        <v>50</v>
      </c>
      <c r="R1596" s="104"/>
      <c r="S1596" s="93" t="s">
        <v>144</v>
      </c>
      <c r="T1596" s="94"/>
      <c r="U1596" s="104">
        <f t="shared" si="216"/>
        <v>50</v>
      </c>
      <c r="V1596" s="104">
        <f t="shared" si="217"/>
        <v>1</v>
      </c>
      <c r="W1596" s="103">
        <f t="shared" si="218"/>
        <v>50</v>
      </c>
      <c r="X1596" s="93" t="s">
        <v>803</v>
      </c>
      <c r="Y1596" s="105" t="s">
        <v>84</v>
      </c>
      <c r="Z1596" s="105" t="s">
        <v>619</v>
      </c>
    </row>
    <row r="1597" spans="1:26" s="105" customFormat="1" ht="15" customHeight="1">
      <c r="A1597" s="99">
        <f t="shared" si="212"/>
        <v>1595</v>
      </c>
      <c r="B1597" s="75" t="s">
        <v>1221</v>
      </c>
      <c r="C1597" s="100" t="str">
        <f>IF($B1597&lt;&gt;"",_xlfn.IFNA(VLOOKUP($B1597,'Node Details'!$B:$U,C$1,0),"Check"),"")</f>
        <v>CM4110105-CM4110108</v>
      </c>
      <c r="D1597" s="100" t="str">
        <f>IF($B1597&lt;&gt;"",_xlfn.IFNA(VLOOKUP($B1597,'Node Details'!$B:$U,D$1,0),"Check"),"")</f>
        <v>CM4</v>
      </c>
      <c r="E1597" s="100" t="str">
        <f>IF($B1597&lt;&gt;"",_xlfn.IFNA(VLOOKUP($B1597,'Node Details'!$B:$U,E$1,0),"Check"),"")</f>
        <v>Airtel</v>
      </c>
      <c r="F1597" s="101">
        <v>46148</v>
      </c>
      <c r="G1597" s="103"/>
      <c r="H1597" s="102" t="s">
        <v>1256</v>
      </c>
      <c r="I1597" s="9">
        <v>1</v>
      </c>
      <c r="J1597" s="9">
        <v>50</v>
      </c>
      <c r="K1597" s="100">
        <f t="shared" si="213"/>
        <v>50</v>
      </c>
      <c r="L1597" s="78">
        <v>46142</v>
      </c>
      <c r="M1597" s="103"/>
      <c r="N1597" s="93" t="s">
        <v>534</v>
      </c>
      <c r="O1597" s="94"/>
      <c r="P1597" s="104">
        <f t="shared" si="214"/>
        <v>50</v>
      </c>
      <c r="Q1597" s="104">
        <f t="shared" si="215"/>
        <v>50</v>
      </c>
      <c r="R1597" s="104"/>
      <c r="S1597" s="93" t="s">
        <v>144</v>
      </c>
      <c r="T1597" s="94"/>
      <c r="U1597" s="104">
        <f t="shared" si="216"/>
        <v>50</v>
      </c>
      <c r="V1597" s="104">
        <f t="shared" si="217"/>
        <v>1</v>
      </c>
      <c r="W1597" s="103">
        <f t="shared" si="218"/>
        <v>50</v>
      </c>
      <c r="X1597" s="93" t="s">
        <v>803</v>
      </c>
      <c r="Y1597" s="105" t="s">
        <v>84</v>
      </c>
      <c r="Z1597" s="105" t="s">
        <v>619</v>
      </c>
    </row>
    <row r="1598" spans="1:26" s="105" customFormat="1" ht="15" customHeight="1">
      <c r="A1598" s="99">
        <f t="shared" si="212"/>
        <v>1596</v>
      </c>
      <c r="B1598" s="75" t="s">
        <v>885</v>
      </c>
      <c r="C1598" s="100" t="str">
        <f>IF($B1598&lt;&gt;"",_xlfn.IFNA(VLOOKUP($B1598,'Node Details'!$B:$U,C$1,0),"Check"),"")</f>
        <v>CM4110105-CM4110108</v>
      </c>
      <c r="D1598" s="100" t="str">
        <f>IF($B1598&lt;&gt;"",_xlfn.IFNA(VLOOKUP($B1598,'Node Details'!$B:$U,D$1,0),"Check"),"")</f>
        <v>CM4</v>
      </c>
      <c r="E1598" s="100" t="str">
        <f>IF($B1598&lt;&gt;"",_xlfn.IFNA(VLOOKUP($B1598,'Node Details'!$B:$U,E$1,0),"Check"),"")</f>
        <v>Airtel</v>
      </c>
      <c r="F1598" s="101">
        <v>46148</v>
      </c>
      <c r="G1598" s="103"/>
      <c r="H1598" s="102" t="s">
        <v>1256</v>
      </c>
      <c r="I1598" s="9">
        <v>1</v>
      </c>
      <c r="J1598" s="9">
        <v>50</v>
      </c>
      <c r="K1598" s="100">
        <f t="shared" si="213"/>
        <v>50</v>
      </c>
      <c r="L1598" s="78">
        <v>46142</v>
      </c>
      <c r="M1598" s="103"/>
      <c r="N1598" s="93" t="s">
        <v>534</v>
      </c>
      <c r="O1598" s="94"/>
      <c r="P1598" s="104">
        <f t="shared" si="214"/>
        <v>50</v>
      </c>
      <c r="Q1598" s="104">
        <f t="shared" si="215"/>
        <v>50</v>
      </c>
      <c r="R1598" s="104"/>
      <c r="S1598" s="93" t="s">
        <v>144</v>
      </c>
      <c r="T1598" s="94"/>
      <c r="U1598" s="104">
        <f t="shared" si="216"/>
        <v>50</v>
      </c>
      <c r="V1598" s="104">
        <f t="shared" si="217"/>
        <v>1</v>
      </c>
      <c r="W1598" s="103">
        <f t="shared" si="218"/>
        <v>50</v>
      </c>
      <c r="X1598" s="93" t="s">
        <v>803</v>
      </c>
      <c r="Y1598" s="105" t="s">
        <v>84</v>
      </c>
      <c r="Z1598" s="105" t="s">
        <v>619</v>
      </c>
    </row>
    <row r="1599" spans="1:26" s="105" customFormat="1" ht="15" customHeight="1">
      <c r="A1599" s="99">
        <f t="shared" si="212"/>
        <v>1597</v>
      </c>
      <c r="B1599" s="75" t="s">
        <v>887</v>
      </c>
      <c r="C1599" s="100" t="str">
        <f>IF($B1599&lt;&gt;"",_xlfn.IFNA(VLOOKUP($B1599,'Node Details'!$B:$U,C$1,0),"Check"),"")</f>
        <v>0000CM411-CM4110103</v>
      </c>
      <c r="D1599" s="100" t="str">
        <f>IF($B1599&lt;&gt;"",_xlfn.IFNA(VLOOKUP($B1599,'Node Details'!$B:$U,D$1,0),"Check"),"")</f>
        <v>CM4</v>
      </c>
      <c r="E1599" s="100" t="str">
        <f>IF($B1599&lt;&gt;"",_xlfn.IFNA(VLOOKUP($B1599,'Node Details'!$B:$U,E$1,0),"Check"),"")</f>
        <v>Airtel</v>
      </c>
      <c r="F1599" s="101">
        <v>46148</v>
      </c>
      <c r="G1599" s="103"/>
      <c r="H1599" s="102" t="s">
        <v>1256</v>
      </c>
      <c r="I1599" s="9">
        <v>1</v>
      </c>
      <c r="J1599" s="9">
        <v>50</v>
      </c>
      <c r="K1599" s="100">
        <f t="shared" si="213"/>
        <v>50</v>
      </c>
      <c r="L1599" s="78">
        <v>46142</v>
      </c>
      <c r="M1599" s="103"/>
      <c r="N1599" s="93" t="s">
        <v>534</v>
      </c>
      <c r="O1599" s="94"/>
      <c r="P1599" s="104">
        <f t="shared" si="214"/>
        <v>50</v>
      </c>
      <c r="Q1599" s="104">
        <f t="shared" si="215"/>
        <v>50</v>
      </c>
      <c r="R1599" s="104"/>
      <c r="S1599" s="93" t="s">
        <v>144</v>
      </c>
      <c r="T1599" s="94"/>
      <c r="U1599" s="104">
        <f t="shared" si="216"/>
        <v>50</v>
      </c>
      <c r="V1599" s="104">
        <f t="shared" si="217"/>
        <v>1</v>
      </c>
      <c r="W1599" s="103">
        <f t="shared" si="218"/>
        <v>50</v>
      </c>
      <c r="X1599" s="93" t="s">
        <v>803</v>
      </c>
      <c r="Y1599" s="105" t="s">
        <v>84</v>
      </c>
      <c r="Z1599" s="105" t="s">
        <v>619</v>
      </c>
    </row>
    <row r="1600" spans="1:26" s="105" customFormat="1" ht="15" customHeight="1">
      <c r="A1600" s="99">
        <f t="shared" si="212"/>
        <v>1598</v>
      </c>
      <c r="B1600" s="75" t="s">
        <v>813</v>
      </c>
      <c r="C1600" s="100" t="str">
        <f>IF($B1600&lt;&gt;"",_xlfn.IFNA(VLOOKUP($B1600,'Node Details'!$B:$U,C$1,0),"Check"),"")</f>
        <v>0000CM411-0000CM412</v>
      </c>
      <c r="D1600" s="100" t="str">
        <f>IF($B1600&lt;&gt;"",_xlfn.IFNA(VLOOKUP($B1600,'Node Details'!$B:$U,D$1,0),"Check"),"")</f>
        <v>CM4</v>
      </c>
      <c r="E1600" s="100" t="str">
        <f>IF($B1600&lt;&gt;"",_xlfn.IFNA(VLOOKUP($B1600,'Node Details'!$B:$U,E$1,0),"Check"),"")</f>
        <v>Airtel</v>
      </c>
      <c r="F1600" s="101">
        <v>46148</v>
      </c>
      <c r="G1600" s="103"/>
      <c r="H1600" s="102" t="s">
        <v>1256</v>
      </c>
      <c r="I1600" s="9">
        <v>1</v>
      </c>
      <c r="J1600" s="9">
        <v>50</v>
      </c>
      <c r="K1600" s="100">
        <f t="shared" si="213"/>
        <v>50</v>
      </c>
      <c r="L1600" s="78">
        <v>46142</v>
      </c>
      <c r="M1600" s="103"/>
      <c r="N1600" s="93" t="s">
        <v>534</v>
      </c>
      <c r="O1600" s="94"/>
      <c r="P1600" s="104">
        <f t="shared" si="214"/>
        <v>50</v>
      </c>
      <c r="Q1600" s="104">
        <f t="shared" si="215"/>
        <v>50</v>
      </c>
      <c r="R1600" s="104"/>
      <c r="S1600" s="93" t="s">
        <v>144</v>
      </c>
      <c r="T1600" s="94"/>
      <c r="U1600" s="104">
        <f t="shared" si="216"/>
        <v>50</v>
      </c>
      <c r="V1600" s="104">
        <f t="shared" si="217"/>
        <v>1</v>
      </c>
      <c r="W1600" s="103">
        <f t="shared" si="218"/>
        <v>50</v>
      </c>
      <c r="X1600" s="93" t="s">
        <v>803</v>
      </c>
      <c r="Y1600" s="105" t="s">
        <v>84</v>
      </c>
      <c r="Z1600" s="105" t="s">
        <v>619</v>
      </c>
    </row>
    <row r="1601" spans="1:26" s="105" customFormat="1" ht="15" customHeight="1">
      <c r="A1601" s="99">
        <f t="shared" si="212"/>
        <v>1599</v>
      </c>
      <c r="B1601" s="75" t="s">
        <v>889</v>
      </c>
      <c r="C1601" s="100" t="str">
        <f>IF($B1601&lt;&gt;"",_xlfn.IFNA(VLOOKUP($B1601,'Node Details'!$B:$U,C$1,0),"Check"),"")</f>
        <v>0000CM412-CM4120101</v>
      </c>
      <c r="D1601" s="100" t="str">
        <f>IF($B1601&lt;&gt;"",_xlfn.IFNA(VLOOKUP($B1601,'Node Details'!$B:$U,D$1,0),"Check"),"")</f>
        <v>CM4</v>
      </c>
      <c r="E1601" s="100" t="str">
        <f>IF($B1601&lt;&gt;"",_xlfn.IFNA(VLOOKUP($B1601,'Node Details'!$B:$U,E$1,0),"Check"),"")</f>
        <v>Airtel</v>
      </c>
      <c r="F1601" s="101">
        <v>46148</v>
      </c>
      <c r="G1601" s="103"/>
      <c r="H1601" s="102" t="s">
        <v>1256</v>
      </c>
      <c r="I1601" s="9">
        <v>1</v>
      </c>
      <c r="J1601" s="9">
        <v>50</v>
      </c>
      <c r="K1601" s="100">
        <f t="shared" si="213"/>
        <v>50</v>
      </c>
      <c r="L1601" s="78">
        <v>46142</v>
      </c>
      <c r="M1601" s="103"/>
      <c r="N1601" s="93" t="s">
        <v>534</v>
      </c>
      <c r="O1601" s="94"/>
      <c r="P1601" s="104">
        <f t="shared" si="214"/>
        <v>50</v>
      </c>
      <c r="Q1601" s="104">
        <f t="shared" si="215"/>
        <v>50</v>
      </c>
      <c r="R1601" s="104"/>
      <c r="S1601" s="93" t="s">
        <v>144</v>
      </c>
      <c r="T1601" s="94"/>
      <c r="U1601" s="104">
        <f t="shared" si="216"/>
        <v>50</v>
      </c>
      <c r="V1601" s="104">
        <f t="shared" si="217"/>
        <v>1</v>
      </c>
      <c r="W1601" s="103">
        <f t="shared" si="218"/>
        <v>50</v>
      </c>
      <c r="X1601" s="93" t="s">
        <v>803</v>
      </c>
      <c r="Y1601" s="105" t="s">
        <v>84</v>
      </c>
      <c r="Z1601" s="105" t="s">
        <v>619</v>
      </c>
    </row>
    <row r="1602" spans="1:26" s="105" customFormat="1" ht="15" customHeight="1">
      <c r="A1602" s="99">
        <f t="shared" si="212"/>
        <v>1600</v>
      </c>
      <c r="B1602" s="75" t="s">
        <v>891</v>
      </c>
      <c r="C1602" s="100" t="str">
        <f>IF($B1602&lt;&gt;"",_xlfn.IFNA(VLOOKUP($B1602,'Node Details'!$B:$U,C$1,0),"Check"),"")</f>
        <v>0000CM412-CM4120104</v>
      </c>
      <c r="D1602" s="100" t="str">
        <f>IF($B1602&lt;&gt;"",_xlfn.IFNA(VLOOKUP($B1602,'Node Details'!$B:$U,D$1,0),"Check"),"")</f>
        <v>CM4</v>
      </c>
      <c r="E1602" s="100" t="str">
        <f>IF($B1602&lt;&gt;"",_xlfn.IFNA(VLOOKUP($B1602,'Node Details'!$B:$U,E$1,0),"Check"),"")</f>
        <v>Airtel</v>
      </c>
      <c r="F1602" s="101">
        <v>46148</v>
      </c>
      <c r="G1602" s="103"/>
      <c r="H1602" s="102" t="s">
        <v>1256</v>
      </c>
      <c r="I1602" s="9">
        <v>1</v>
      </c>
      <c r="J1602" s="9">
        <v>50</v>
      </c>
      <c r="K1602" s="100">
        <f t="shared" si="213"/>
        <v>50</v>
      </c>
      <c r="L1602" s="78">
        <v>46142</v>
      </c>
      <c r="M1602" s="103"/>
      <c r="N1602" s="93" t="s">
        <v>534</v>
      </c>
      <c r="O1602" s="94"/>
      <c r="P1602" s="104">
        <f t="shared" si="214"/>
        <v>50</v>
      </c>
      <c r="Q1602" s="104">
        <f t="shared" si="215"/>
        <v>50</v>
      </c>
      <c r="R1602" s="104"/>
      <c r="S1602" s="93" t="s">
        <v>144</v>
      </c>
      <c r="T1602" s="94"/>
      <c r="U1602" s="104">
        <f t="shared" si="216"/>
        <v>50</v>
      </c>
      <c r="V1602" s="104">
        <f t="shared" si="217"/>
        <v>1</v>
      </c>
      <c r="W1602" s="103">
        <f t="shared" si="218"/>
        <v>50</v>
      </c>
      <c r="X1602" s="93" t="s">
        <v>803</v>
      </c>
      <c r="Y1602" s="105" t="s">
        <v>84</v>
      </c>
      <c r="Z1602" s="105" t="s">
        <v>619</v>
      </c>
    </row>
    <row r="1603" spans="1:26" s="105" customFormat="1" ht="15" customHeight="1">
      <c r="A1603" s="99">
        <f t="shared" si="212"/>
        <v>1601</v>
      </c>
      <c r="B1603" s="75" t="s">
        <v>893</v>
      </c>
      <c r="C1603" s="100" t="str">
        <f>IF($B1603&lt;&gt;"",_xlfn.IFNA(VLOOKUP($B1603,'Node Details'!$B:$U,C$1,0),"Check"),"")</f>
        <v>0000CM412-CM4120105</v>
      </c>
      <c r="D1603" s="100" t="str">
        <f>IF($B1603&lt;&gt;"",_xlfn.IFNA(VLOOKUP($B1603,'Node Details'!$B:$U,D$1,0),"Check"),"")</f>
        <v>CM4</v>
      </c>
      <c r="E1603" s="100" t="str">
        <f>IF($B1603&lt;&gt;"",_xlfn.IFNA(VLOOKUP($B1603,'Node Details'!$B:$U,E$1,0),"Check"),"")</f>
        <v>Airtel</v>
      </c>
      <c r="F1603" s="101">
        <v>46148</v>
      </c>
      <c r="G1603" s="103"/>
      <c r="H1603" s="102" t="s">
        <v>1256</v>
      </c>
      <c r="I1603" s="9">
        <v>1</v>
      </c>
      <c r="J1603" s="9">
        <v>50</v>
      </c>
      <c r="K1603" s="100">
        <f t="shared" si="213"/>
        <v>50</v>
      </c>
      <c r="L1603" s="78">
        <v>46142</v>
      </c>
      <c r="M1603" s="103"/>
      <c r="N1603" s="93" t="s">
        <v>534</v>
      </c>
      <c r="O1603" s="94"/>
      <c r="P1603" s="104">
        <f t="shared" si="214"/>
        <v>50</v>
      </c>
      <c r="Q1603" s="104">
        <f t="shared" si="215"/>
        <v>50</v>
      </c>
      <c r="R1603" s="104"/>
      <c r="S1603" s="93" t="s">
        <v>144</v>
      </c>
      <c r="T1603" s="94"/>
      <c r="U1603" s="104">
        <f t="shared" si="216"/>
        <v>50</v>
      </c>
      <c r="V1603" s="104">
        <f t="shared" si="217"/>
        <v>1</v>
      </c>
      <c r="W1603" s="103">
        <f t="shared" si="218"/>
        <v>50</v>
      </c>
      <c r="X1603" s="93" t="s">
        <v>803</v>
      </c>
      <c r="Y1603" s="105" t="s">
        <v>84</v>
      </c>
      <c r="Z1603" s="105" t="s">
        <v>619</v>
      </c>
    </row>
    <row r="1604" spans="1:26" s="105" customFormat="1" ht="15" customHeight="1">
      <c r="A1604" s="99">
        <f t="shared" si="212"/>
        <v>1602</v>
      </c>
      <c r="B1604" s="75" t="s">
        <v>1222</v>
      </c>
      <c r="C1604" s="100" t="str">
        <f>IF($B1604&lt;&gt;"",_xlfn.IFNA(VLOOKUP($B1604,'Node Details'!$B:$U,C$1,0),"Check"),"")</f>
        <v>0000CM412-CM4120108</v>
      </c>
      <c r="D1604" s="100" t="str">
        <f>IF($B1604&lt;&gt;"",_xlfn.IFNA(VLOOKUP($B1604,'Node Details'!$B:$U,D$1,0),"Check"),"")</f>
        <v>CM4</v>
      </c>
      <c r="E1604" s="100" t="str">
        <f>IF($B1604&lt;&gt;"",_xlfn.IFNA(VLOOKUP($B1604,'Node Details'!$B:$U,E$1,0),"Check"),"")</f>
        <v>Airtel</v>
      </c>
      <c r="F1604" s="101">
        <v>46148</v>
      </c>
      <c r="G1604" s="103"/>
      <c r="H1604" s="102" t="s">
        <v>1256</v>
      </c>
      <c r="I1604" s="9">
        <v>1</v>
      </c>
      <c r="J1604" s="9">
        <v>50</v>
      </c>
      <c r="K1604" s="100">
        <f t="shared" si="213"/>
        <v>50</v>
      </c>
      <c r="L1604" s="78">
        <v>46142</v>
      </c>
      <c r="M1604" s="103"/>
      <c r="N1604" s="93" t="s">
        <v>534</v>
      </c>
      <c r="O1604" s="94"/>
      <c r="P1604" s="104">
        <f t="shared" si="214"/>
        <v>50</v>
      </c>
      <c r="Q1604" s="104">
        <f t="shared" si="215"/>
        <v>50</v>
      </c>
      <c r="R1604" s="104"/>
      <c r="S1604" s="93" t="s">
        <v>144</v>
      </c>
      <c r="T1604" s="94"/>
      <c r="U1604" s="104">
        <f t="shared" si="216"/>
        <v>50</v>
      </c>
      <c r="V1604" s="104">
        <f t="shared" si="217"/>
        <v>1</v>
      </c>
      <c r="W1604" s="103">
        <f t="shared" si="218"/>
        <v>50</v>
      </c>
      <c r="X1604" s="93" t="s">
        <v>803</v>
      </c>
      <c r="Y1604" s="105" t="s">
        <v>84</v>
      </c>
      <c r="Z1604" s="105" t="s">
        <v>619</v>
      </c>
    </row>
    <row r="1605" spans="1:26" s="105" customFormat="1" ht="15" customHeight="1">
      <c r="A1605" s="99">
        <f t="shared" ref="A1605:A1668" si="219">A1604+1</f>
        <v>1603</v>
      </c>
      <c r="B1605" s="75" t="s">
        <v>895</v>
      </c>
      <c r="C1605" s="100" t="str">
        <f>IF($B1605&lt;&gt;"",_xlfn.IFNA(VLOOKUP($B1605,'Node Details'!$B:$U,C$1,0),"Check"),"")</f>
        <v>0000CM412-CM4120108</v>
      </c>
      <c r="D1605" s="100" t="str">
        <f>IF($B1605&lt;&gt;"",_xlfn.IFNA(VLOOKUP($B1605,'Node Details'!$B:$U,D$1,0),"Check"),"")</f>
        <v>CM4</v>
      </c>
      <c r="E1605" s="100" t="str">
        <f>IF($B1605&lt;&gt;"",_xlfn.IFNA(VLOOKUP($B1605,'Node Details'!$B:$U,E$1,0),"Check"),"")</f>
        <v>Airtel</v>
      </c>
      <c r="F1605" s="101">
        <v>46148</v>
      </c>
      <c r="G1605" s="103"/>
      <c r="H1605" s="102" t="s">
        <v>1256</v>
      </c>
      <c r="I1605" s="9">
        <v>1</v>
      </c>
      <c r="J1605" s="9">
        <v>50</v>
      </c>
      <c r="K1605" s="100">
        <f t="shared" si="213"/>
        <v>50</v>
      </c>
      <c r="L1605" s="78">
        <v>46142</v>
      </c>
      <c r="M1605" s="103"/>
      <c r="N1605" s="93" t="s">
        <v>534</v>
      </c>
      <c r="O1605" s="94"/>
      <c r="P1605" s="104">
        <f t="shared" si="214"/>
        <v>50</v>
      </c>
      <c r="Q1605" s="104">
        <f t="shared" si="215"/>
        <v>50</v>
      </c>
      <c r="R1605" s="104"/>
      <c r="S1605" s="93" t="s">
        <v>144</v>
      </c>
      <c r="T1605" s="94"/>
      <c r="U1605" s="104">
        <f t="shared" si="216"/>
        <v>50</v>
      </c>
      <c r="V1605" s="104">
        <f t="shared" si="217"/>
        <v>1</v>
      </c>
      <c r="W1605" s="103">
        <f t="shared" si="218"/>
        <v>50</v>
      </c>
      <c r="X1605" s="93" t="s">
        <v>803</v>
      </c>
      <c r="Y1605" s="105" t="s">
        <v>84</v>
      </c>
      <c r="Z1605" s="105" t="s">
        <v>619</v>
      </c>
    </row>
    <row r="1606" spans="1:26" s="105" customFormat="1" ht="15" customHeight="1">
      <c r="A1606" s="99">
        <f t="shared" si="219"/>
        <v>1604</v>
      </c>
      <c r="B1606" s="75" t="s">
        <v>897</v>
      </c>
      <c r="C1606" s="100" t="str">
        <f>IF($B1606&lt;&gt;"",_xlfn.IFNA(VLOOKUP($B1606,'Node Details'!$B:$U,C$1,0),"Check"),"")</f>
        <v>000000CM4-0000CM418</v>
      </c>
      <c r="D1606" s="100" t="str">
        <f>IF($B1606&lt;&gt;"",_xlfn.IFNA(VLOOKUP($B1606,'Node Details'!$B:$U,D$1,0),"Check"),"")</f>
        <v>CM4</v>
      </c>
      <c r="E1606" s="100" t="str">
        <f>IF($B1606&lt;&gt;"",_xlfn.IFNA(VLOOKUP($B1606,'Node Details'!$B:$U,E$1,0),"Check"),"")</f>
        <v>Airtel</v>
      </c>
      <c r="F1606" s="101">
        <v>46148</v>
      </c>
      <c r="G1606" s="103"/>
      <c r="H1606" s="102" t="s">
        <v>1256</v>
      </c>
      <c r="I1606" s="9">
        <v>1</v>
      </c>
      <c r="J1606" s="9">
        <v>50</v>
      </c>
      <c r="K1606" s="100">
        <f t="shared" si="213"/>
        <v>50</v>
      </c>
      <c r="L1606" s="78">
        <v>46142</v>
      </c>
      <c r="M1606" s="103"/>
      <c r="N1606" s="93" t="s">
        <v>534</v>
      </c>
      <c r="O1606" s="94"/>
      <c r="P1606" s="104">
        <f t="shared" si="214"/>
        <v>50</v>
      </c>
      <c r="Q1606" s="104">
        <f t="shared" si="215"/>
        <v>50</v>
      </c>
      <c r="R1606" s="104"/>
      <c r="S1606" s="93" t="s">
        <v>144</v>
      </c>
      <c r="T1606" s="94"/>
      <c r="U1606" s="104">
        <f t="shared" si="216"/>
        <v>50</v>
      </c>
      <c r="V1606" s="104">
        <f t="shared" si="217"/>
        <v>1</v>
      </c>
      <c r="W1606" s="103">
        <f t="shared" si="218"/>
        <v>50</v>
      </c>
      <c r="X1606" s="93" t="s">
        <v>803</v>
      </c>
      <c r="Y1606" s="105" t="s">
        <v>84</v>
      </c>
      <c r="Z1606" s="105" t="s">
        <v>619</v>
      </c>
    </row>
    <row r="1607" spans="1:26" s="105" customFormat="1" ht="15" customHeight="1">
      <c r="A1607" s="99">
        <f t="shared" si="219"/>
        <v>1605</v>
      </c>
      <c r="B1607" s="75" t="s">
        <v>898</v>
      </c>
      <c r="C1607" s="100" t="str">
        <f>IF($B1607&lt;&gt;"",_xlfn.IFNA(VLOOKUP($B1607,'Node Details'!$B:$U,C$1,0),"Check"),"")</f>
        <v>0000CM413-CM4130101</v>
      </c>
      <c r="D1607" s="100" t="str">
        <f>IF($B1607&lt;&gt;"",_xlfn.IFNA(VLOOKUP($B1607,'Node Details'!$B:$U,D$1,0),"Check"),"")</f>
        <v>CM4</v>
      </c>
      <c r="E1607" s="100" t="str">
        <f>IF($B1607&lt;&gt;"",_xlfn.IFNA(VLOOKUP($B1607,'Node Details'!$B:$U,E$1,0),"Check"),"")</f>
        <v>Airtel</v>
      </c>
      <c r="F1607" s="101">
        <v>46148</v>
      </c>
      <c r="G1607" s="103"/>
      <c r="H1607" s="102" t="s">
        <v>1256</v>
      </c>
      <c r="I1607" s="9">
        <v>1</v>
      </c>
      <c r="J1607" s="9">
        <v>50</v>
      </c>
      <c r="K1607" s="100">
        <f t="shared" si="213"/>
        <v>50</v>
      </c>
      <c r="L1607" s="78">
        <v>46142</v>
      </c>
      <c r="M1607" s="103"/>
      <c r="N1607" s="93" t="s">
        <v>534</v>
      </c>
      <c r="O1607" s="94"/>
      <c r="P1607" s="104">
        <f t="shared" si="214"/>
        <v>50</v>
      </c>
      <c r="Q1607" s="104">
        <f t="shared" si="215"/>
        <v>50</v>
      </c>
      <c r="R1607" s="104"/>
      <c r="S1607" s="93" t="s">
        <v>144</v>
      </c>
      <c r="T1607" s="94"/>
      <c r="U1607" s="104">
        <f t="shared" si="216"/>
        <v>50</v>
      </c>
      <c r="V1607" s="104">
        <f t="shared" si="217"/>
        <v>1</v>
      </c>
      <c r="W1607" s="103">
        <f t="shared" si="218"/>
        <v>50</v>
      </c>
      <c r="X1607" s="93" t="s">
        <v>803</v>
      </c>
      <c r="Y1607" s="105" t="s">
        <v>84</v>
      </c>
      <c r="Z1607" s="105" t="s">
        <v>619</v>
      </c>
    </row>
    <row r="1608" spans="1:26" s="105" customFormat="1" ht="15" customHeight="1">
      <c r="A1608" s="99">
        <f t="shared" si="219"/>
        <v>1606</v>
      </c>
      <c r="B1608" s="75" t="s">
        <v>902</v>
      </c>
      <c r="C1608" s="100" t="str">
        <f>IF($B1608&lt;&gt;"",_xlfn.IFNA(VLOOKUP($B1608,'Node Details'!$B:$U,C$1,0),"Check"),"")</f>
        <v>0000CM413-CM4130104</v>
      </c>
      <c r="D1608" s="100" t="str">
        <f>IF($B1608&lt;&gt;"",_xlfn.IFNA(VLOOKUP($B1608,'Node Details'!$B:$U,D$1,0),"Check"),"")</f>
        <v>CM4</v>
      </c>
      <c r="E1608" s="100" t="str">
        <f>IF($B1608&lt;&gt;"",_xlfn.IFNA(VLOOKUP($B1608,'Node Details'!$B:$U,E$1,0),"Check"),"")</f>
        <v>Airtel</v>
      </c>
      <c r="F1608" s="101">
        <v>46148</v>
      </c>
      <c r="G1608" s="103"/>
      <c r="H1608" s="102" t="s">
        <v>1256</v>
      </c>
      <c r="I1608" s="9">
        <v>1</v>
      </c>
      <c r="J1608" s="9">
        <v>50</v>
      </c>
      <c r="K1608" s="100">
        <f t="shared" si="213"/>
        <v>50</v>
      </c>
      <c r="L1608" s="78">
        <v>46142</v>
      </c>
      <c r="M1608" s="103"/>
      <c r="N1608" s="93" t="s">
        <v>534</v>
      </c>
      <c r="O1608" s="94"/>
      <c r="P1608" s="104">
        <f t="shared" si="214"/>
        <v>50</v>
      </c>
      <c r="Q1608" s="104">
        <f t="shared" si="215"/>
        <v>50</v>
      </c>
      <c r="R1608" s="104"/>
      <c r="S1608" s="93" t="s">
        <v>144</v>
      </c>
      <c r="T1608" s="94"/>
      <c r="U1608" s="104">
        <f t="shared" si="216"/>
        <v>50</v>
      </c>
      <c r="V1608" s="104">
        <f t="shared" si="217"/>
        <v>1</v>
      </c>
      <c r="W1608" s="103">
        <f t="shared" si="218"/>
        <v>50</v>
      </c>
      <c r="X1608" s="93" t="s">
        <v>803</v>
      </c>
      <c r="Y1608" s="105" t="s">
        <v>84</v>
      </c>
      <c r="Z1608" s="105" t="s">
        <v>619</v>
      </c>
    </row>
    <row r="1609" spans="1:26" s="105" customFormat="1" ht="15" customHeight="1">
      <c r="A1609" s="99">
        <f t="shared" si="219"/>
        <v>1607</v>
      </c>
      <c r="B1609" s="75" t="s">
        <v>900</v>
      </c>
      <c r="C1609" s="100" t="str">
        <f>IF($B1609&lt;&gt;"",_xlfn.IFNA(VLOOKUP($B1609,'Node Details'!$B:$U,C$1,0),"Check"),"")</f>
        <v>0000CM413-CM4130104</v>
      </c>
      <c r="D1609" s="100" t="str">
        <f>IF($B1609&lt;&gt;"",_xlfn.IFNA(VLOOKUP($B1609,'Node Details'!$B:$U,D$1,0),"Check"),"")</f>
        <v>CM4</v>
      </c>
      <c r="E1609" s="100" t="str">
        <f>IF($B1609&lt;&gt;"",_xlfn.IFNA(VLOOKUP($B1609,'Node Details'!$B:$U,E$1,0),"Check"),"")</f>
        <v>Airtel</v>
      </c>
      <c r="F1609" s="101">
        <v>46148</v>
      </c>
      <c r="G1609" s="103"/>
      <c r="H1609" s="102" t="s">
        <v>1256</v>
      </c>
      <c r="I1609" s="9">
        <v>1</v>
      </c>
      <c r="J1609" s="9">
        <v>50</v>
      </c>
      <c r="K1609" s="100">
        <f t="shared" si="213"/>
        <v>50</v>
      </c>
      <c r="L1609" s="78">
        <v>46142</v>
      </c>
      <c r="M1609" s="103"/>
      <c r="N1609" s="93" t="s">
        <v>534</v>
      </c>
      <c r="O1609" s="94"/>
      <c r="P1609" s="104">
        <f t="shared" si="214"/>
        <v>50</v>
      </c>
      <c r="Q1609" s="104">
        <f t="shared" si="215"/>
        <v>50</v>
      </c>
      <c r="R1609" s="104"/>
      <c r="S1609" s="93" t="s">
        <v>144</v>
      </c>
      <c r="T1609" s="94"/>
      <c r="U1609" s="104">
        <f t="shared" si="216"/>
        <v>50</v>
      </c>
      <c r="V1609" s="104">
        <f t="shared" si="217"/>
        <v>1</v>
      </c>
      <c r="W1609" s="103">
        <f t="shared" si="218"/>
        <v>50</v>
      </c>
      <c r="X1609" s="93" t="s">
        <v>803</v>
      </c>
      <c r="Y1609" s="105" t="s">
        <v>84</v>
      </c>
      <c r="Z1609" s="105" t="s">
        <v>619</v>
      </c>
    </row>
    <row r="1610" spans="1:26" s="105" customFormat="1" ht="15" customHeight="1">
      <c r="A1610" s="99">
        <f t="shared" si="219"/>
        <v>1608</v>
      </c>
      <c r="B1610" s="75" t="s">
        <v>903</v>
      </c>
      <c r="C1610" s="100" t="str">
        <f>IF($B1610&lt;&gt;"",_xlfn.IFNA(VLOOKUP($B1610,'Node Details'!$B:$U,C$1,0),"Check"),"")</f>
        <v>CM4130103-CM4130107</v>
      </c>
      <c r="D1610" s="100" t="str">
        <f>IF($B1610&lt;&gt;"",_xlfn.IFNA(VLOOKUP($B1610,'Node Details'!$B:$U,D$1,0),"Check"),"")</f>
        <v>CM4</v>
      </c>
      <c r="E1610" s="100" t="str">
        <f>IF($B1610&lt;&gt;"",_xlfn.IFNA(VLOOKUP($B1610,'Node Details'!$B:$U,E$1,0),"Check"),"")</f>
        <v>Airtel</v>
      </c>
      <c r="F1610" s="101">
        <v>46148</v>
      </c>
      <c r="G1610" s="103"/>
      <c r="H1610" s="102" t="s">
        <v>1256</v>
      </c>
      <c r="I1610" s="9">
        <v>1</v>
      </c>
      <c r="J1610" s="9">
        <v>50</v>
      </c>
      <c r="K1610" s="100">
        <f t="shared" si="213"/>
        <v>50</v>
      </c>
      <c r="L1610" s="78">
        <v>46142</v>
      </c>
      <c r="M1610" s="103"/>
      <c r="N1610" s="93" t="s">
        <v>534</v>
      </c>
      <c r="O1610" s="94"/>
      <c r="P1610" s="104">
        <f t="shared" si="214"/>
        <v>50</v>
      </c>
      <c r="Q1610" s="104">
        <f t="shared" si="215"/>
        <v>50</v>
      </c>
      <c r="R1610" s="104"/>
      <c r="S1610" s="93" t="s">
        <v>144</v>
      </c>
      <c r="T1610" s="94"/>
      <c r="U1610" s="104">
        <f t="shared" si="216"/>
        <v>50</v>
      </c>
      <c r="V1610" s="104">
        <f t="shared" si="217"/>
        <v>1</v>
      </c>
      <c r="W1610" s="103">
        <f t="shared" si="218"/>
        <v>50</v>
      </c>
      <c r="X1610" s="93" t="s">
        <v>803</v>
      </c>
      <c r="Y1610" s="105" t="s">
        <v>84</v>
      </c>
      <c r="Z1610" s="105" t="s">
        <v>619</v>
      </c>
    </row>
    <row r="1611" spans="1:26" s="105" customFormat="1" ht="15" customHeight="1">
      <c r="A1611" s="99">
        <f t="shared" si="219"/>
        <v>1609</v>
      </c>
      <c r="B1611" s="75" t="s">
        <v>905</v>
      </c>
      <c r="C1611" s="100" t="str">
        <f>IF($B1611&lt;&gt;"",_xlfn.IFNA(VLOOKUP($B1611,'Node Details'!$B:$U,C$1,0),"Check"),"")</f>
        <v>000000CM4-0000CM418</v>
      </c>
      <c r="D1611" s="100" t="str">
        <f>IF($B1611&lt;&gt;"",_xlfn.IFNA(VLOOKUP($B1611,'Node Details'!$B:$U,D$1,0),"Check"),"")</f>
        <v>CM4</v>
      </c>
      <c r="E1611" s="100" t="str">
        <f>IF($B1611&lt;&gt;"",_xlfn.IFNA(VLOOKUP($B1611,'Node Details'!$B:$U,E$1,0),"Check"),"")</f>
        <v>Airtel</v>
      </c>
      <c r="F1611" s="101">
        <v>46148</v>
      </c>
      <c r="G1611" s="103"/>
      <c r="H1611" s="102" t="s">
        <v>1256</v>
      </c>
      <c r="I1611" s="9">
        <v>1</v>
      </c>
      <c r="J1611" s="9">
        <v>50</v>
      </c>
      <c r="K1611" s="100">
        <f t="shared" ref="K1611:K1674" si="220">IF(I1611&lt;&gt;"",J1611*I1611,0)</f>
        <v>50</v>
      </c>
      <c r="L1611" s="78">
        <v>46142</v>
      </c>
      <c r="M1611" s="103"/>
      <c r="N1611" s="93" t="s">
        <v>534</v>
      </c>
      <c r="O1611" s="94"/>
      <c r="P1611" s="104">
        <f t="shared" si="214"/>
        <v>50</v>
      </c>
      <c r="Q1611" s="104">
        <f t="shared" si="215"/>
        <v>50</v>
      </c>
      <c r="R1611" s="104"/>
      <c r="S1611" s="93" t="s">
        <v>144</v>
      </c>
      <c r="T1611" s="94"/>
      <c r="U1611" s="104">
        <f t="shared" si="216"/>
        <v>50</v>
      </c>
      <c r="V1611" s="104">
        <f t="shared" si="217"/>
        <v>1</v>
      </c>
      <c r="W1611" s="103">
        <f t="shared" si="218"/>
        <v>50</v>
      </c>
      <c r="X1611" s="93" t="s">
        <v>803</v>
      </c>
      <c r="Y1611" s="105" t="s">
        <v>84</v>
      </c>
      <c r="Z1611" s="105" t="s">
        <v>619</v>
      </c>
    </row>
    <row r="1612" spans="1:26" s="105" customFormat="1" ht="15" customHeight="1">
      <c r="A1612" s="99">
        <f t="shared" si="219"/>
        <v>1610</v>
      </c>
      <c r="B1612" s="75" t="s">
        <v>906</v>
      </c>
      <c r="C1612" s="100" t="str">
        <f>IF($B1612&lt;&gt;"",_xlfn.IFNA(VLOOKUP($B1612,'Node Details'!$B:$U,C$1,0),"Check"),"")</f>
        <v>0000CM414-CM4140101</v>
      </c>
      <c r="D1612" s="100" t="str">
        <f>IF($B1612&lt;&gt;"",_xlfn.IFNA(VLOOKUP($B1612,'Node Details'!$B:$U,D$1,0),"Check"),"")</f>
        <v>CM4</v>
      </c>
      <c r="E1612" s="100" t="str">
        <f>IF($B1612&lt;&gt;"",_xlfn.IFNA(VLOOKUP($B1612,'Node Details'!$B:$U,E$1,0),"Check"),"")</f>
        <v>Airtel</v>
      </c>
      <c r="F1612" s="101">
        <v>46148</v>
      </c>
      <c r="G1612" s="103"/>
      <c r="H1612" s="102" t="s">
        <v>1256</v>
      </c>
      <c r="I1612" s="9">
        <v>1</v>
      </c>
      <c r="J1612" s="9">
        <v>50</v>
      </c>
      <c r="K1612" s="100">
        <f t="shared" si="220"/>
        <v>50</v>
      </c>
      <c r="L1612" s="78">
        <v>46142</v>
      </c>
      <c r="M1612" s="103"/>
      <c r="N1612" s="93" t="s">
        <v>534</v>
      </c>
      <c r="O1612" s="94"/>
      <c r="P1612" s="104">
        <f t="shared" si="214"/>
        <v>50</v>
      </c>
      <c r="Q1612" s="104">
        <f t="shared" si="215"/>
        <v>50</v>
      </c>
      <c r="R1612" s="104"/>
      <c r="S1612" s="93" t="s">
        <v>144</v>
      </c>
      <c r="T1612" s="94"/>
      <c r="U1612" s="104">
        <f t="shared" si="216"/>
        <v>50</v>
      </c>
      <c r="V1612" s="104">
        <f t="shared" si="217"/>
        <v>1</v>
      </c>
      <c r="W1612" s="103">
        <f t="shared" si="218"/>
        <v>50</v>
      </c>
      <c r="X1612" s="93" t="s">
        <v>803</v>
      </c>
      <c r="Y1612" s="105" t="s">
        <v>84</v>
      </c>
      <c r="Z1612" s="105" t="s">
        <v>619</v>
      </c>
    </row>
    <row r="1613" spans="1:26" s="105" customFormat="1" ht="15" customHeight="1">
      <c r="A1613" s="99">
        <f t="shared" si="219"/>
        <v>1611</v>
      </c>
      <c r="B1613" s="75" t="s">
        <v>1223</v>
      </c>
      <c r="C1613" s="100" t="str">
        <f>IF($B1613&lt;&gt;"",_xlfn.IFNA(VLOOKUP($B1613,'Node Details'!$B:$U,C$1,0),"Check"),"")</f>
        <v>0000CM414-CM4140105</v>
      </c>
      <c r="D1613" s="100" t="str">
        <f>IF($B1613&lt;&gt;"",_xlfn.IFNA(VLOOKUP($B1613,'Node Details'!$B:$U,D$1,0),"Check"),"")</f>
        <v>CM4</v>
      </c>
      <c r="E1613" s="100" t="str">
        <f>IF($B1613&lt;&gt;"",_xlfn.IFNA(VLOOKUP($B1613,'Node Details'!$B:$U,E$1,0),"Check"),"")</f>
        <v>Airtel</v>
      </c>
      <c r="F1613" s="101">
        <v>46148</v>
      </c>
      <c r="G1613" s="103"/>
      <c r="H1613" s="102" t="s">
        <v>1256</v>
      </c>
      <c r="I1613" s="9">
        <v>1</v>
      </c>
      <c r="J1613" s="9">
        <v>50</v>
      </c>
      <c r="K1613" s="100">
        <f t="shared" si="220"/>
        <v>50</v>
      </c>
      <c r="L1613" s="78">
        <v>46142</v>
      </c>
      <c r="M1613" s="103"/>
      <c r="N1613" s="93" t="s">
        <v>534</v>
      </c>
      <c r="O1613" s="94"/>
      <c r="P1613" s="104">
        <f t="shared" ref="P1613:P1676" si="221">J1613</f>
        <v>50</v>
      </c>
      <c r="Q1613" s="104">
        <f t="shared" ref="Q1613:Q1676" si="222">P1613*I1613</f>
        <v>50</v>
      </c>
      <c r="R1613" s="104"/>
      <c r="S1613" s="93" t="s">
        <v>144</v>
      </c>
      <c r="T1613" s="94"/>
      <c r="U1613" s="104">
        <f t="shared" ref="U1613:U1676" si="223">J1613</f>
        <v>50</v>
      </c>
      <c r="V1613" s="104">
        <f t="shared" ref="V1613:V1676" si="224">I1613</f>
        <v>1</v>
      </c>
      <c r="W1613" s="103">
        <f t="shared" ref="W1613:W1676" si="225">IF(V1613&lt;&gt;"",V1613*U1613,0)</f>
        <v>50</v>
      </c>
      <c r="X1613" s="93" t="s">
        <v>803</v>
      </c>
      <c r="Y1613" s="105" t="s">
        <v>84</v>
      </c>
      <c r="Z1613" s="105" t="s">
        <v>619</v>
      </c>
    </row>
    <row r="1614" spans="1:26" s="105" customFormat="1" ht="15" customHeight="1">
      <c r="A1614" s="99">
        <f t="shared" si="219"/>
        <v>1612</v>
      </c>
      <c r="B1614" s="75" t="s">
        <v>908</v>
      </c>
      <c r="C1614" s="100" t="str">
        <f>IF($B1614&lt;&gt;"",_xlfn.IFNA(VLOOKUP($B1614,'Node Details'!$B:$U,C$1,0),"Check"),"")</f>
        <v>0000CM414-CM4140105</v>
      </c>
      <c r="D1614" s="100" t="str">
        <f>IF($B1614&lt;&gt;"",_xlfn.IFNA(VLOOKUP($B1614,'Node Details'!$B:$U,D$1,0),"Check"),"")</f>
        <v>CM4</v>
      </c>
      <c r="E1614" s="100" t="str">
        <f>IF($B1614&lt;&gt;"",_xlfn.IFNA(VLOOKUP($B1614,'Node Details'!$B:$U,E$1,0),"Check"),"")</f>
        <v>Airtel</v>
      </c>
      <c r="F1614" s="101">
        <v>46148</v>
      </c>
      <c r="G1614" s="103"/>
      <c r="H1614" s="102" t="s">
        <v>1256</v>
      </c>
      <c r="I1614" s="9">
        <v>1</v>
      </c>
      <c r="J1614" s="9">
        <v>50</v>
      </c>
      <c r="K1614" s="100">
        <f t="shared" si="220"/>
        <v>50</v>
      </c>
      <c r="L1614" s="78">
        <v>46142</v>
      </c>
      <c r="M1614" s="103"/>
      <c r="N1614" s="93" t="s">
        <v>534</v>
      </c>
      <c r="O1614" s="94"/>
      <c r="P1614" s="104">
        <f t="shared" si="221"/>
        <v>50</v>
      </c>
      <c r="Q1614" s="104">
        <f t="shared" si="222"/>
        <v>50</v>
      </c>
      <c r="R1614" s="104"/>
      <c r="S1614" s="93" t="s">
        <v>144</v>
      </c>
      <c r="T1614" s="94"/>
      <c r="U1614" s="104">
        <f t="shared" si="223"/>
        <v>50</v>
      </c>
      <c r="V1614" s="104">
        <f t="shared" si="224"/>
        <v>1</v>
      </c>
      <c r="W1614" s="103">
        <f t="shared" si="225"/>
        <v>50</v>
      </c>
      <c r="X1614" s="93" t="s">
        <v>803</v>
      </c>
      <c r="Y1614" s="105" t="s">
        <v>84</v>
      </c>
      <c r="Z1614" s="105" t="s">
        <v>619</v>
      </c>
    </row>
    <row r="1615" spans="1:26" s="105" customFormat="1" ht="15" customHeight="1">
      <c r="A1615" s="99">
        <f t="shared" si="219"/>
        <v>1613</v>
      </c>
      <c r="B1615" s="75" t="s">
        <v>910</v>
      </c>
      <c r="C1615" s="100" t="str">
        <f>IF($B1615&lt;&gt;"",_xlfn.IFNA(VLOOKUP($B1615,'Node Details'!$B:$U,C$1,0),"Check"),"")</f>
        <v>0000CM414-CM4140108</v>
      </c>
      <c r="D1615" s="100" t="str">
        <f>IF($B1615&lt;&gt;"",_xlfn.IFNA(VLOOKUP($B1615,'Node Details'!$B:$U,D$1,0),"Check"),"")</f>
        <v>CM4</v>
      </c>
      <c r="E1615" s="100" t="str">
        <f>IF($B1615&lt;&gt;"",_xlfn.IFNA(VLOOKUP($B1615,'Node Details'!$B:$U,E$1,0),"Check"),"")</f>
        <v>Airtel</v>
      </c>
      <c r="F1615" s="101">
        <v>46148</v>
      </c>
      <c r="G1615" s="103"/>
      <c r="H1615" s="102" t="s">
        <v>1256</v>
      </c>
      <c r="I1615" s="9">
        <v>1</v>
      </c>
      <c r="J1615" s="9">
        <v>50</v>
      </c>
      <c r="K1615" s="100">
        <f t="shared" si="220"/>
        <v>50</v>
      </c>
      <c r="L1615" s="78">
        <v>46142</v>
      </c>
      <c r="M1615" s="103"/>
      <c r="N1615" s="93" t="s">
        <v>534</v>
      </c>
      <c r="O1615" s="94"/>
      <c r="P1615" s="104">
        <f t="shared" si="221"/>
        <v>50</v>
      </c>
      <c r="Q1615" s="104">
        <f t="shared" si="222"/>
        <v>50</v>
      </c>
      <c r="R1615" s="104"/>
      <c r="S1615" s="93" t="s">
        <v>144</v>
      </c>
      <c r="T1615" s="94"/>
      <c r="U1615" s="104">
        <f t="shared" si="223"/>
        <v>50</v>
      </c>
      <c r="V1615" s="104">
        <f t="shared" si="224"/>
        <v>1</v>
      </c>
      <c r="W1615" s="103">
        <f t="shared" si="225"/>
        <v>50</v>
      </c>
      <c r="X1615" s="93" t="s">
        <v>803</v>
      </c>
      <c r="Y1615" s="105" t="s">
        <v>84</v>
      </c>
      <c r="Z1615" s="105" t="s">
        <v>619</v>
      </c>
    </row>
    <row r="1616" spans="1:26" s="105" customFormat="1" ht="15" customHeight="1">
      <c r="A1616" s="99">
        <f t="shared" si="219"/>
        <v>1614</v>
      </c>
      <c r="B1616" s="75" t="s">
        <v>815</v>
      </c>
      <c r="C1616" s="100" t="str">
        <f>IF($B1616&lt;&gt;"",_xlfn.IFNA(VLOOKUP($B1616,'Node Details'!$B:$U,C$1,0),"Check"),"")</f>
        <v>000000CM4-0000CM418</v>
      </c>
      <c r="D1616" s="100" t="str">
        <f>IF($B1616&lt;&gt;"",_xlfn.IFNA(VLOOKUP($B1616,'Node Details'!$B:$U,D$1,0),"Check"),"")</f>
        <v>CM4</v>
      </c>
      <c r="E1616" s="100" t="str">
        <f>IF($B1616&lt;&gt;"",_xlfn.IFNA(VLOOKUP($B1616,'Node Details'!$B:$U,E$1,0),"Check"),"")</f>
        <v>Airtel</v>
      </c>
      <c r="F1616" s="101">
        <v>46148</v>
      </c>
      <c r="G1616" s="103"/>
      <c r="H1616" s="102" t="s">
        <v>1256</v>
      </c>
      <c r="I1616" s="9">
        <v>1</v>
      </c>
      <c r="J1616" s="9">
        <v>50</v>
      </c>
      <c r="K1616" s="100">
        <f t="shared" si="220"/>
        <v>50</v>
      </c>
      <c r="L1616" s="78">
        <v>46142</v>
      </c>
      <c r="M1616" s="103"/>
      <c r="N1616" s="93" t="s">
        <v>534</v>
      </c>
      <c r="O1616" s="94"/>
      <c r="P1616" s="104">
        <f t="shared" si="221"/>
        <v>50</v>
      </c>
      <c r="Q1616" s="104">
        <f t="shared" si="222"/>
        <v>50</v>
      </c>
      <c r="R1616" s="104"/>
      <c r="S1616" s="93" t="s">
        <v>144</v>
      </c>
      <c r="T1616" s="94"/>
      <c r="U1616" s="104">
        <f t="shared" si="223"/>
        <v>50</v>
      </c>
      <c r="V1616" s="104">
        <f t="shared" si="224"/>
        <v>1</v>
      </c>
      <c r="W1616" s="103">
        <f t="shared" si="225"/>
        <v>50</v>
      </c>
      <c r="X1616" s="93" t="s">
        <v>803</v>
      </c>
      <c r="Y1616" s="105" t="s">
        <v>84</v>
      </c>
      <c r="Z1616" s="105" t="s">
        <v>619</v>
      </c>
    </row>
    <row r="1617" spans="1:26" s="105" customFormat="1" ht="15" customHeight="1">
      <c r="A1617" s="99">
        <f t="shared" si="219"/>
        <v>1615</v>
      </c>
      <c r="B1617" s="75" t="s">
        <v>912</v>
      </c>
      <c r="C1617" s="100" t="str">
        <f>IF($B1617&lt;&gt;"",_xlfn.IFNA(VLOOKUP($B1617,'Node Details'!$B:$U,C$1,0),"Check"),"")</f>
        <v>0000CM415-CM4150101</v>
      </c>
      <c r="D1617" s="100" t="str">
        <f>IF($B1617&lt;&gt;"",_xlfn.IFNA(VLOOKUP($B1617,'Node Details'!$B:$U,D$1,0),"Check"),"")</f>
        <v>CM4</v>
      </c>
      <c r="E1617" s="100" t="str">
        <f>IF($B1617&lt;&gt;"",_xlfn.IFNA(VLOOKUP($B1617,'Node Details'!$B:$U,E$1,0),"Check"),"")</f>
        <v>Airtel</v>
      </c>
      <c r="F1617" s="101">
        <v>46148</v>
      </c>
      <c r="G1617" s="103"/>
      <c r="H1617" s="102" t="s">
        <v>1256</v>
      </c>
      <c r="I1617" s="9">
        <v>1</v>
      </c>
      <c r="J1617" s="9">
        <v>50</v>
      </c>
      <c r="K1617" s="100">
        <f t="shared" si="220"/>
        <v>50</v>
      </c>
      <c r="L1617" s="78">
        <v>46142</v>
      </c>
      <c r="M1617" s="103"/>
      <c r="N1617" s="93" t="s">
        <v>534</v>
      </c>
      <c r="O1617" s="94"/>
      <c r="P1617" s="104">
        <f t="shared" si="221"/>
        <v>50</v>
      </c>
      <c r="Q1617" s="104">
        <f t="shared" si="222"/>
        <v>50</v>
      </c>
      <c r="R1617" s="104"/>
      <c r="S1617" s="93" t="s">
        <v>144</v>
      </c>
      <c r="T1617" s="94"/>
      <c r="U1617" s="104">
        <f t="shared" si="223"/>
        <v>50</v>
      </c>
      <c r="V1617" s="104">
        <f t="shared" si="224"/>
        <v>1</v>
      </c>
      <c r="W1617" s="103">
        <f t="shared" si="225"/>
        <v>50</v>
      </c>
      <c r="X1617" s="93" t="s">
        <v>803</v>
      </c>
      <c r="Y1617" s="105" t="s">
        <v>84</v>
      </c>
      <c r="Z1617" s="105" t="s">
        <v>619</v>
      </c>
    </row>
    <row r="1618" spans="1:26" s="105" customFormat="1" ht="15" customHeight="1">
      <c r="A1618" s="99">
        <f t="shared" si="219"/>
        <v>1616</v>
      </c>
      <c r="B1618" s="75" t="s">
        <v>1224</v>
      </c>
      <c r="C1618" s="100" t="str">
        <f>IF($B1618&lt;&gt;"",_xlfn.IFNA(VLOOKUP($B1618,'Node Details'!$B:$U,C$1,0),"Check"),"")</f>
        <v>0000CM415-CM4150104</v>
      </c>
      <c r="D1618" s="100" t="str">
        <f>IF($B1618&lt;&gt;"",_xlfn.IFNA(VLOOKUP($B1618,'Node Details'!$B:$U,D$1,0),"Check"),"")</f>
        <v>CM4</v>
      </c>
      <c r="E1618" s="100" t="str">
        <f>IF($B1618&lt;&gt;"",_xlfn.IFNA(VLOOKUP($B1618,'Node Details'!$B:$U,E$1,0),"Check"),"")</f>
        <v>Airtel</v>
      </c>
      <c r="F1618" s="101">
        <v>46148</v>
      </c>
      <c r="G1618" s="103"/>
      <c r="H1618" s="102" t="s">
        <v>1256</v>
      </c>
      <c r="I1618" s="9">
        <v>1</v>
      </c>
      <c r="J1618" s="9">
        <v>50</v>
      </c>
      <c r="K1618" s="100">
        <f t="shared" si="220"/>
        <v>50</v>
      </c>
      <c r="L1618" s="78">
        <v>46142</v>
      </c>
      <c r="M1618" s="103"/>
      <c r="N1618" s="93" t="s">
        <v>534</v>
      </c>
      <c r="O1618" s="94"/>
      <c r="P1618" s="104">
        <f t="shared" si="221"/>
        <v>50</v>
      </c>
      <c r="Q1618" s="104">
        <f t="shared" si="222"/>
        <v>50</v>
      </c>
      <c r="R1618" s="104"/>
      <c r="S1618" s="93" t="s">
        <v>144</v>
      </c>
      <c r="T1618" s="94"/>
      <c r="U1618" s="104">
        <f t="shared" si="223"/>
        <v>50</v>
      </c>
      <c r="V1618" s="104">
        <f t="shared" si="224"/>
        <v>1</v>
      </c>
      <c r="W1618" s="103">
        <f t="shared" si="225"/>
        <v>50</v>
      </c>
      <c r="X1618" s="93" t="s">
        <v>803</v>
      </c>
      <c r="Y1618" s="105" t="s">
        <v>84</v>
      </c>
      <c r="Z1618" s="105" t="s">
        <v>619</v>
      </c>
    </row>
    <row r="1619" spans="1:26" s="105" customFormat="1" ht="15" customHeight="1">
      <c r="A1619" s="99">
        <f t="shared" si="219"/>
        <v>1617</v>
      </c>
      <c r="B1619" s="75" t="s">
        <v>914</v>
      </c>
      <c r="C1619" s="100" t="str">
        <f>IF($B1619&lt;&gt;"",_xlfn.IFNA(VLOOKUP($B1619,'Node Details'!$B:$U,C$1,0),"Check"),"")</f>
        <v>0000CM415-CM4150104</v>
      </c>
      <c r="D1619" s="100" t="str">
        <f>IF($B1619&lt;&gt;"",_xlfn.IFNA(VLOOKUP($B1619,'Node Details'!$B:$U,D$1,0),"Check"),"")</f>
        <v>CM4</v>
      </c>
      <c r="E1619" s="100" t="str">
        <f>IF($B1619&lt;&gt;"",_xlfn.IFNA(VLOOKUP($B1619,'Node Details'!$B:$U,E$1,0),"Check"),"")</f>
        <v>Airtel</v>
      </c>
      <c r="F1619" s="101">
        <v>46148</v>
      </c>
      <c r="G1619" s="103"/>
      <c r="H1619" s="102" t="s">
        <v>1256</v>
      </c>
      <c r="I1619" s="9">
        <v>1</v>
      </c>
      <c r="J1619" s="9">
        <v>50</v>
      </c>
      <c r="K1619" s="100">
        <f t="shared" si="220"/>
        <v>50</v>
      </c>
      <c r="L1619" s="78">
        <v>46142</v>
      </c>
      <c r="M1619" s="103"/>
      <c r="N1619" s="93" t="s">
        <v>534</v>
      </c>
      <c r="O1619" s="94"/>
      <c r="P1619" s="104">
        <f t="shared" si="221"/>
        <v>50</v>
      </c>
      <c r="Q1619" s="104">
        <f t="shared" si="222"/>
        <v>50</v>
      </c>
      <c r="R1619" s="104"/>
      <c r="S1619" s="93" t="s">
        <v>144</v>
      </c>
      <c r="T1619" s="94"/>
      <c r="U1619" s="104">
        <f t="shared" si="223"/>
        <v>50</v>
      </c>
      <c r="V1619" s="104">
        <f t="shared" si="224"/>
        <v>1</v>
      </c>
      <c r="W1619" s="103">
        <f t="shared" si="225"/>
        <v>50</v>
      </c>
      <c r="X1619" s="93" t="s">
        <v>803</v>
      </c>
      <c r="Y1619" s="105" t="s">
        <v>84</v>
      </c>
      <c r="Z1619" s="105" t="s">
        <v>619</v>
      </c>
    </row>
    <row r="1620" spans="1:26" s="105" customFormat="1" ht="15" customHeight="1">
      <c r="A1620" s="99">
        <f t="shared" si="219"/>
        <v>1618</v>
      </c>
      <c r="B1620" s="75" t="s">
        <v>1225</v>
      </c>
      <c r="C1620" s="100" t="str">
        <f>IF($B1620&lt;&gt;"",_xlfn.IFNA(VLOOKUP($B1620,'Node Details'!$B:$U,C$1,0),"Check"),"")</f>
        <v>0000CM415-CM4150108</v>
      </c>
      <c r="D1620" s="100" t="str">
        <f>IF($B1620&lt;&gt;"",_xlfn.IFNA(VLOOKUP($B1620,'Node Details'!$B:$U,D$1,0),"Check"),"")</f>
        <v>CM4</v>
      </c>
      <c r="E1620" s="100" t="str">
        <f>IF($B1620&lt;&gt;"",_xlfn.IFNA(VLOOKUP($B1620,'Node Details'!$B:$U,E$1,0),"Check"),"")</f>
        <v>Airtel</v>
      </c>
      <c r="F1620" s="101">
        <v>46148</v>
      </c>
      <c r="G1620" s="103"/>
      <c r="H1620" s="102" t="s">
        <v>1256</v>
      </c>
      <c r="I1620" s="9">
        <v>1</v>
      </c>
      <c r="J1620" s="9">
        <v>50</v>
      </c>
      <c r="K1620" s="100">
        <f t="shared" si="220"/>
        <v>50</v>
      </c>
      <c r="L1620" s="78">
        <v>46142</v>
      </c>
      <c r="M1620" s="103"/>
      <c r="N1620" s="93" t="s">
        <v>534</v>
      </c>
      <c r="O1620" s="94"/>
      <c r="P1620" s="104">
        <f t="shared" si="221"/>
        <v>50</v>
      </c>
      <c r="Q1620" s="104">
        <f t="shared" si="222"/>
        <v>50</v>
      </c>
      <c r="R1620" s="104"/>
      <c r="S1620" s="93" t="s">
        <v>144</v>
      </c>
      <c r="T1620" s="94"/>
      <c r="U1620" s="104">
        <f t="shared" si="223"/>
        <v>50</v>
      </c>
      <c r="V1620" s="104">
        <f t="shared" si="224"/>
        <v>1</v>
      </c>
      <c r="W1620" s="103">
        <f t="shared" si="225"/>
        <v>50</v>
      </c>
      <c r="X1620" s="93" t="s">
        <v>803</v>
      </c>
      <c r="Y1620" s="105" t="s">
        <v>84</v>
      </c>
      <c r="Z1620" s="105" t="s">
        <v>619</v>
      </c>
    </row>
    <row r="1621" spans="1:26" s="105" customFormat="1" ht="15" customHeight="1">
      <c r="A1621" s="99">
        <f t="shared" si="219"/>
        <v>1619</v>
      </c>
      <c r="B1621" s="75" t="s">
        <v>1226</v>
      </c>
      <c r="C1621" s="100" t="str">
        <f>IF($B1621&lt;&gt;"",_xlfn.IFNA(VLOOKUP($B1621,'Node Details'!$B:$U,C$1,0),"Check"),"")</f>
        <v>0000CM415-CM4150108</v>
      </c>
      <c r="D1621" s="100" t="str">
        <f>IF($B1621&lt;&gt;"",_xlfn.IFNA(VLOOKUP($B1621,'Node Details'!$B:$U,D$1,0),"Check"),"")</f>
        <v>CM4</v>
      </c>
      <c r="E1621" s="100" t="str">
        <f>IF($B1621&lt;&gt;"",_xlfn.IFNA(VLOOKUP($B1621,'Node Details'!$B:$U,E$1,0),"Check"),"")</f>
        <v>Airtel</v>
      </c>
      <c r="F1621" s="101">
        <v>46148</v>
      </c>
      <c r="G1621" s="103"/>
      <c r="H1621" s="102" t="s">
        <v>1256</v>
      </c>
      <c r="I1621" s="9">
        <v>1</v>
      </c>
      <c r="J1621" s="9">
        <v>50</v>
      </c>
      <c r="K1621" s="100">
        <f t="shared" si="220"/>
        <v>50</v>
      </c>
      <c r="L1621" s="78">
        <v>46142</v>
      </c>
      <c r="M1621" s="103"/>
      <c r="N1621" s="93" t="s">
        <v>534</v>
      </c>
      <c r="O1621" s="94"/>
      <c r="P1621" s="104">
        <f t="shared" si="221"/>
        <v>50</v>
      </c>
      <c r="Q1621" s="104">
        <f t="shared" si="222"/>
        <v>50</v>
      </c>
      <c r="R1621" s="104"/>
      <c r="S1621" s="93" t="s">
        <v>144</v>
      </c>
      <c r="T1621" s="94"/>
      <c r="U1621" s="104">
        <f t="shared" si="223"/>
        <v>50</v>
      </c>
      <c r="V1621" s="104">
        <f t="shared" si="224"/>
        <v>1</v>
      </c>
      <c r="W1621" s="103">
        <f t="shared" si="225"/>
        <v>50</v>
      </c>
      <c r="X1621" s="93" t="s">
        <v>803</v>
      </c>
      <c r="Y1621" s="105" t="s">
        <v>84</v>
      </c>
      <c r="Z1621" s="105" t="s">
        <v>619</v>
      </c>
    </row>
    <row r="1622" spans="1:26" s="105" customFormat="1" ht="15" customHeight="1">
      <c r="A1622" s="99">
        <f t="shared" si="219"/>
        <v>1620</v>
      </c>
      <c r="B1622" s="75" t="s">
        <v>916</v>
      </c>
      <c r="C1622" s="100" t="str">
        <f>IF($B1622&lt;&gt;"",_xlfn.IFNA(VLOOKUP($B1622,'Node Details'!$B:$U,C$1,0),"Check"),"")</f>
        <v>0000CM415-CM4150108</v>
      </c>
      <c r="D1622" s="100" t="str">
        <f>IF($B1622&lt;&gt;"",_xlfn.IFNA(VLOOKUP($B1622,'Node Details'!$B:$U,D$1,0),"Check"),"")</f>
        <v>CM4</v>
      </c>
      <c r="E1622" s="100" t="str">
        <f>IF($B1622&lt;&gt;"",_xlfn.IFNA(VLOOKUP($B1622,'Node Details'!$B:$U,E$1,0),"Check"),"")</f>
        <v>Airtel</v>
      </c>
      <c r="F1622" s="101">
        <v>46148</v>
      </c>
      <c r="G1622" s="103"/>
      <c r="H1622" s="102" t="s">
        <v>1256</v>
      </c>
      <c r="I1622" s="9">
        <v>1</v>
      </c>
      <c r="J1622" s="9">
        <v>50</v>
      </c>
      <c r="K1622" s="100">
        <f t="shared" si="220"/>
        <v>50</v>
      </c>
      <c r="L1622" s="78">
        <v>46142</v>
      </c>
      <c r="M1622" s="103"/>
      <c r="N1622" s="93" t="s">
        <v>534</v>
      </c>
      <c r="O1622" s="94"/>
      <c r="P1622" s="104">
        <f t="shared" si="221"/>
        <v>50</v>
      </c>
      <c r="Q1622" s="104">
        <f t="shared" si="222"/>
        <v>50</v>
      </c>
      <c r="R1622" s="104"/>
      <c r="S1622" s="93" t="s">
        <v>144</v>
      </c>
      <c r="T1622" s="94"/>
      <c r="U1622" s="104">
        <f t="shared" si="223"/>
        <v>50</v>
      </c>
      <c r="V1622" s="104">
        <f t="shared" si="224"/>
        <v>1</v>
      </c>
      <c r="W1622" s="103">
        <f t="shared" si="225"/>
        <v>50</v>
      </c>
      <c r="X1622" s="93" t="s">
        <v>803</v>
      </c>
      <c r="Y1622" s="105" t="s">
        <v>84</v>
      </c>
      <c r="Z1622" s="105" t="s">
        <v>619</v>
      </c>
    </row>
    <row r="1623" spans="1:26" s="105" customFormat="1" ht="15" customHeight="1">
      <c r="A1623" s="99">
        <f t="shared" si="219"/>
        <v>1621</v>
      </c>
      <c r="B1623" s="75" t="s">
        <v>816</v>
      </c>
      <c r="C1623" s="100" t="str">
        <f>IF($B1623&lt;&gt;"",_xlfn.IFNA(VLOOKUP($B1623,'Node Details'!$B:$U,C$1,0),"Check"),"")</f>
        <v>0000CM415-0000CM416</v>
      </c>
      <c r="D1623" s="100" t="str">
        <f>IF($B1623&lt;&gt;"",_xlfn.IFNA(VLOOKUP($B1623,'Node Details'!$B:$U,D$1,0),"Check"),"")</f>
        <v>CM4</v>
      </c>
      <c r="E1623" s="100" t="str">
        <f>IF($B1623&lt;&gt;"",_xlfn.IFNA(VLOOKUP($B1623,'Node Details'!$B:$U,E$1,0),"Check"),"")</f>
        <v>Airtel</v>
      </c>
      <c r="F1623" s="101">
        <v>46148</v>
      </c>
      <c r="G1623" s="103"/>
      <c r="H1623" s="102" t="s">
        <v>1256</v>
      </c>
      <c r="I1623" s="9">
        <v>1</v>
      </c>
      <c r="J1623" s="9">
        <v>50</v>
      </c>
      <c r="K1623" s="100">
        <f t="shared" si="220"/>
        <v>50</v>
      </c>
      <c r="L1623" s="78">
        <v>46142</v>
      </c>
      <c r="M1623" s="103"/>
      <c r="N1623" s="93" t="s">
        <v>534</v>
      </c>
      <c r="O1623" s="94"/>
      <c r="P1623" s="104">
        <f t="shared" si="221"/>
        <v>50</v>
      </c>
      <c r="Q1623" s="104">
        <f t="shared" si="222"/>
        <v>50</v>
      </c>
      <c r="R1623" s="104"/>
      <c r="S1623" s="93" t="s">
        <v>144</v>
      </c>
      <c r="T1623" s="94"/>
      <c r="U1623" s="104">
        <f t="shared" si="223"/>
        <v>50</v>
      </c>
      <c r="V1623" s="104">
        <f t="shared" si="224"/>
        <v>1</v>
      </c>
      <c r="W1623" s="103">
        <f t="shared" si="225"/>
        <v>50</v>
      </c>
      <c r="X1623" s="93" t="s">
        <v>803</v>
      </c>
      <c r="Y1623" s="105" t="s">
        <v>84</v>
      </c>
      <c r="Z1623" s="105" t="s">
        <v>619</v>
      </c>
    </row>
    <row r="1624" spans="1:26" s="105" customFormat="1" ht="15" customHeight="1">
      <c r="A1624" s="99">
        <f t="shared" si="219"/>
        <v>1622</v>
      </c>
      <c r="B1624" s="75" t="s">
        <v>918</v>
      </c>
      <c r="C1624" s="100" t="str">
        <f>IF($B1624&lt;&gt;"",_xlfn.IFNA(VLOOKUP($B1624,'Node Details'!$B:$U,C$1,0),"Check"),"")</f>
        <v>0000CM416-CM4160101</v>
      </c>
      <c r="D1624" s="100" t="str">
        <f>IF($B1624&lt;&gt;"",_xlfn.IFNA(VLOOKUP($B1624,'Node Details'!$B:$U,D$1,0),"Check"),"")</f>
        <v>CM4</v>
      </c>
      <c r="E1624" s="100" t="str">
        <f>IF($B1624&lt;&gt;"",_xlfn.IFNA(VLOOKUP($B1624,'Node Details'!$B:$U,E$1,0),"Check"),"")</f>
        <v>Airtel</v>
      </c>
      <c r="F1624" s="101">
        <v>46148</v>
      </c>
      <c r="G1624" s="103"/>
      <c r="H1624" s="102" t="s">
        <v>1256</v>
      </c>
      <c r="I1624" s="9">
        <v>1</v>
      </c>
      <c r="J1624" s="9">
        <v>50</v>
      </c>
      <c r="K1624" s="100">
        <f t="shared" si="220"/>
        <v>50</v>
      </c>
      <c r="L1624" s="78">
        <v>46142</v>
      </c>
      <c r="M1624" s="103"/>
      <c r="N1624" s="93" t="s">
        <v>534</v>
      </c>
      <c r="O1624" s="94"/>
      <c r="P1624" s="104">
        <f t="shared" si="221"/>
        <v>50</v>
      </c>
      <c r="Q1624" s="104">
        <f t="shared" si="222"/>
        <v>50</v>
      </c>
      <c r="R1624" s="104"/>
      <c r="S1624" s="93" t="s">
        <v>144</v>
      </c>
      <c r="T1624" s="94"/>
      <c r="U1624" s="104">
        <f t="shared" si="223"/>
        <v>50</v>
      </c>
      <c r="V1624" s="104">
        <f t="shared" si="224"/>
        <v>1</v>
      </c>
      <c r="W1624" s="103">
        <f t="shared" si="225"/>
        <v>50</v>
      </c>
      <c r="X1624" s="93" t="s">
        <v>803</v>
      </c>
      <c r="Y1624" s="105" t="s">
        <v>84</v>
      </c>
      <c r="Z1624" s="105" t="s">
        <v>619</v>
      </c>
    </row>
    <row r="1625" spans="1:26" s="105" customFormat="1" ht="15" customHeight="1">
      <c r="A1625" s="99">
        <f t="shared" si="219"/>
        <v>1623</v>
      </c>
      <c r="B1625" s="75" t="s">
        <v>1227</v>
      </c>
      <c r="C1625" s="100" t="str">
        <f>IF($B1625&lt;&gt;"",_xlfn.IFNA(VLOOKUP($B1625,'Node Details'!$B:$U,C$1,0),"Check"),"")</f>
        <v>0000CM416-CM4160104</v>
      </c>
      <c r="D1625" s="100" t="str">
        <f>IF($B1625&lt;&gt;"",_xlfn.IFNA(VLOOKUP($B1625,'Node Details'!$B:$U,D$1,0),"Check"),"")</f>
        <v>CM4</v>
      </c>
      <c r="E1625" s="100" t="str">
        <f>IF($B1625&lt;&gt;"",_xlfn.IFNA(VLOOKUP($B1625,'Node Details'!$B:$U,E$1,0),"Check"),"")</f>
        <v>Airtel</v>
      </c>
      <c r="F1625" s="101">
        <v>46148</v>
      </c>
      <c r="G1625" s="103"/>
      <c r="H1625" s="102" t="s">
        <v>1256</v>
      </c>
      <c r="I1625" s="9">
        <v>1</v>
      </c>
      <c r="J1625" s="9">
        <v>50</v>
      </c>
      <c r="K1625" s="100">
        <f t="shared" si="220"/>
        <v>50</v>
      </c>
      <c r="L1625" s="78">
        <v>46142</v>
      </c>
      <c r="M1625" s="103"/>
      <c r="N1625" s="93" t="s">
        <v>534</v>
      </c>
      <c r="O1625" s="94"/>
      <c r="P1625" s="104">
        <f t="shared" si="221"/>
        <v>50</v>
      </c>
      <c r="Q1625" s="104">
        <f t="shared" si="222"/>
        <v>50</v>
      </c>
      <c r="R1625" s="104"/>
      <c r="S1625" s="93" t="s">
        <v>144</v>
      </c>
      <c r="T1625" s="94"/>
      <c r="U1625" s="104">
        <f t="shared" si="223"/>
        <v>50</v>
      </c>
      <c r="V1625" s="104">
        <f t="shared" si="224"/>
        <v>1</v>
      </c>
      <c r="W1625" s="103">
        <f t="shared" si="225"/>
        <v>50</v>
      </c>
      <c r="X1625" s="93" t="s">
        <v>803</v>
      </c>
      <c r="Y1625" s="105" t="s">
        <v>84</v>
      </c>
      <c r="Z1625" s="105" t="s">
        <v>619</v>
      </c>
    </row>
    <row r="1626" spans="1:26" s="105" customFormat="1" ht="15" customHeight="1">
      <c r="A1626" s="99">
        <f t="shared" si="219"/>
        <v>1624</v>
      </c>
      <c r="B1626" s="75" t="s">
        <v>1228</v>
      </c>
      <c r="C1626" s="100" t="str">
        <f>IF($B1626&lt;&gt;"",_xlfn.IFNA(VLOOKUP($B1626,'Node Details'!$B:$U,C$1,0),"Check"),"")</f>
        <v>0000CM416-CM4160104</v>
      </c>
      <c r="D1626" s="100" t="str">
        <f>IF($B1626&lt;&gt;"",_xlfn.IFNA(VLOOKUP($B1626,'Node Details'!$B:$U,D$1,0),"Check"),"")</f>
        <v>CM4</v>
      </c>
      <c r="E1626" s="100" t="str">
        <f>IF($B1626&lt;&gt;"",_xlfn.IFNA(VLOOKUP($B1626,'Node Details'!$B:$U,E$1,0),"Check"),"")</f>
        <v>Airtel</v>
      </c>
      <c r="F1626" s="101">
        <v>46148</v>
      </c>
      <c r="G1626" s="103"/>
      <c r="H1626" s="102" t="s">
        <v>1256</v>
      </c>
      <c r="I1626" s="9">
        <v>1</v>
      </c>
      <c r="J1626" s="9">
        <v>50</v>
      </c>
      <c r="K1626" s="100">
        <f t="shared" si="220"/>
        <v>50</v>
      </c>
      <c r="L1626" s="78">
        <v>46142</v>
      </c>
      <c r="M1626" s="103"/>
      <c r="N1626" s="93" t="s">
        <v>534</v>
      </c>
      <c r="O1626" s="94"/>
      <c r="P1626" s="104">
        <f t="shared" si="221"/>
        <v>50</v>
      </c>
      <c r="Q1626" s="104">
        <f t="shared" si="222"/>
        <v>50</v>
      </c>
      <c r="R1626" s="104"/>
      <c r="S1626" s="93" t="s">
        <v>144</v>
      </c>
      <c r="T1626" s="94"/>
      <c r="U1626" s="104">
        <f t="shared" si="223"/>
        <v>50</v>
      </c>
      <c r="V1626" s="104">
        <f t="shared" si="224"/>
        <v>1</v>
      </c>
      <c r="W1626" s="103">
        <f t="shared" si="225"/>
        <v>50</v>
      </c>
      <c r="X1626" s="93" t="s">
        <v>803</v>
      </c>
      <c r="Y1626" s="105" t="s">
        <v>84</v>
      </c>
      <c r="Z1626" s="105" t="s">
        <v>619</v>
      </c>
    </row>
    <row r="1627" spans="1:26" s="105" customFormat="1" ht="15" customHeight="1">
      <c r="A1627" s="99">
        <f t="shared" si="219"/>
        <v>1625</v>
      </c>
      <c r="B1627" s="75" t="s">
        <v>920</v>
      </c>
      <c r="C1627" s="100" t="str">
        <f>IF($B1627&lt;&gt;"",_xlfn.IFNA(VLOOKUP($B1627,'Node Details'!$B:$U,C$1,0),"Check"),"")</f>
        <v>0000CM416-CM4160104</v>
      </c>
      <c r="D1627" s="100" t="str">
        <f>IF($B1627&lt;&gt;"",_xlfn.IFNA(VLOOKUP($B1627,'Node Details'!$B:$U,D$1,0),"Check"),"")</f>
        <v>CM4</v>
      </c>
      <c r="E1627" s="100" t="str">
        <f>IF($B1627&lt;&gt;"",_xlfn.IFNA(VLOOKUP($B1627,'Node Details'!$B:$U,E$1,0),"Check"),"")</f>
        <v>Airtel</v>
      </c>
      <c r="F1627" s="101">
        <v>46148</v>
      </c>
      <c r="G1627" s="103"/>
      <c r="H1627" s="102" t="s">
        <v>1256</v>
      </c>
      <c r="I1627" s="9">
        <v>1</v>
      </c>
      <c r="J1627" s="9">
        <v>50</v>
      </c>
      <c r="K1627" s="100">
        <f t="shared" si="220"/>
        <v>50</v>
      </c>
      <c r="L1627" s="78">
        <v>46142</v>
      </c>
      <c r="M1627" s="103"/>
      <c r="N1627" s="93" t="s">
        <v>534</v>
      </c>
      <c r="O1627" s="94"/>
      <c r="P1627" s="104">
        <f t="shared" si="221"/>
        <v>50</v>
      </c>
      <c r="Q1627" s="104">
        <f t="shared" si="222"/>
        <v>50</v>
      </c>
      <c r="R1627" s="104"/>
      <c r="S1627" s="93" t="s">
        <v>144</v>
      </c>
      <c r="T1627" s="94"/>
      <c r="U1627" s="104">
        <f t="shared" si="223"/>
        <v>50</v>
      </c>
      <c r="V1627" s="104">
        <f t="shared" si="224"/>
        <v>1</v>
      </c>
      <c r="W1627" s="103">
        <f t="shared" si="225"/>
        <v>50</v>
      </c>
      <c r="X1627" s="93" t="s">
        <v>803</v>
      </c>
      <c r="Y1627" s="105" t="s">
        <v>84</v>
      </c>
      <c r="Z1627" s="105" t="s">
        <v>619</v>
      </c>
    </row>
    <row r="1628" spans="1:26" s="105" customFormat="1" ht="15" customHeight="1">
      <c r="A1628" s="99">
        <f t="shared" si="219"/>
        <v>1626</v>
      </c>
      <c r="B1628" s="75" t="s">
        <v>922</v>
      </c>
      <c r="C1628" s="100" t="str">
        <f>IF($B1628&lt;&gt;"",_xlfn.IFNA(VLOOKUP($B1628,'Node Details'!$B:$U,C$1,0),"Check"),"")</f>
        <v>0000CM416-CM4160105</v>
      </c>
      <c r="D1628" s="100" t="str">
        <f>IF($B1628&lt;&gt;"",_xlfn.IFNA(VLOOKUP($B1628,'Node Details'!$B:$U,D$1,0),"Check"),"")</f>
        <v>CM4</v>
      </c>
      <c r="E1628" s="100" t="str">
        <f>IF($B1628&lt;&gt;"",_xlfn.IFNA(VLOOKUP($B1628,'Node Details'!$B:$U,E$1,0),"Check"),"")</f>
        <v>Airtel</v>
      </c>
      <c r="F1628" s="101">
        <v>46148</v>
      </c>
      <c r="G1628" s="103"/>
      <c r="H1628" s="102" t="s">
        <v>1256</v>
      </c>
      <c r="I1628" s="9">
        <v>1</v>
      </c>
      <c r="J1628" s="9">
        <v>50</v>
      </c>
      <c r="K1628" s="100">
        <f t="shared" si="220"/>
        <v>50</v>
      </c>
      <c r="L1628" s="78">
        <v>46142</v>
      </c>
      <c r="M1628" s="103"/>
      <c r="N1628" s="93" t="s">
        <v>534</v>
      </c>
      <c r="O1628" s="94"/>
      <c r="P1628" s="104">
        <f t="shared" si="221"/>
        <v>50</v>
      </c>
      <c r="Q1628" s="104">
        <f t="shared" si="222"/>
        <v>50</v>
      </c>
      <c r="R1628" s="104"/>
      <c r="S1628" s="93" t="s">
        <v>144</v>
      </c>
      <c r="T1628" s="94"/>
      <c r="U1628" s="104">
        <f t="shared" si="223"/>
        <v>50</v>
      </c>
      <c r="V1628" s="104">
        <f t="shared" si="224"/>
        <v>1</v>
      </c>
      <c r="W1628" s="103">
        <f t="shared" si="225"/>
        <v>50</v>
      </c>
      <c r="X1628" s="93" t="s">
        <v>803</v>
      </c>
      <c r="Y1628" s="105" t="s">
        <v>84</v>
      </c>
      <c r="Z1628" s="105" t="s">
        <v>619</v>
      </c>
    </row>
    <row r="1629" spans="1:26" s="105" customFormat="1" ht="15" customHeight="1">
      <c r="A1629" s="99">
        <f t="shared" si="219"/>
        <v>1627</v>
      </c>
      <c r="B1629" s="75" t="s">
        <v>802</v>
      </c>
      <c r="C1629" s="100" t="str">
        <f>IF($B1629&lt;&gt;"",_xlfn.IFNA(VLOOKUP($B1629,'Node Details'!$B:$U,C$1,0),"Check"),"")</f>
        <v>000000CM4-0000CM418</v>
      </c>
      <c r="D1629" s="100" t="str">
        <f>IF($B1629&lt;&gt;"",_xlfn.IFNA(VLOOKUP($B1629,'Node Details'!$B:$U,D$1,0),"Check"),"")</f>
        <v>CM4</v>
      </c>
      <c r="E1629" s="100" t="str">
        <f>IF($B1629&lt;&gt;"",_xlfn.IFNA(VLOOKUP($B1629,'Node Details'!$B:$U,E$1,0),"Check"),"")</f>
        <v>Airtel</v>
      </c>
      <c r="F1629" s="101">
        <v>46148</v>
      </c>
      <c r="G1629" s="103"/>
      <c r="H1629" s="102" t="s">
        <v>1256</v>
      </c>
      <c r="I1629" s="9">
        <v>1</v>
      </c>
      <c r="J1629" s="9">
        <v>50</v>
      </c>
      <c r="K1629" s="100">
        <f t="shared" si="220"/>
        <v>50</v>
      </c>
      <c r="L1629" s="78">
        <v>46142</v>
      </c>
      <c r="M1629" s="103"/>
      <c r="N1629" s="93" t="s">
        <v>534</v>
      </c>
      <c r="O1629" s="94"/>
      <c r="P1629" s="104">
        <f t="shared" si="221"/>
        <v>50</v>
      </c>
      <c r="Q1629" s="104">
        <f t="shared" si="222"/>
        <v>50</v>
      </c>
      <c r="R1629" s="104"/>
      <c r="S1629" s="93" t="s">
        <v>144</v>
      </c>
      <c r="T1629" s="94"/>
      <c r="U1629" s="104">
        <f t="shared" si="223"/>
        <v>50</v>
      </c>
      <c r="V1629" s="104">
        <f t="shared" si="224"/>
        <v>1</v>
      </c>
      <c r="W1629" s="103">
        <f t="shared" si="225"/>
        <v>50</v>
      </c>
      <c r="X1629" s="93" t="s">
        <v>803</v>
      </c>
      <c r="Y1629" s="105" t="s">
        <v>84</v>
      </c>
      <c r="Z1629" s="105" t="s">
        <v>619</v>
      </c>
    </row>
    <row r="1630" spans="1:26" s="105" customFormat="1" ht="15" customHeight="1">
      <c r="A1630" s="99">
        <f t="shared" si="219"/>
        <v>1628</v>
      </c>
      <c r="B1630" s="75" t="s">
        <v>924</v>
      </c>
      <c r="C1630" s="100" t="str">
        <f>IF($B1630&lt;&gt;"",_xlfn.IFNA(VLOOKUP($B1630,'Node Details'!$B:$U,C$1,0),"Check"),"")</f>
        <v>0000CM418-CM4180101</v>
      </c>
      <c r="D1630" s="100" t="str">
        <f>IF($B1630&lt;&gt;"",_xlfn.IFNA(VLOOKUP($B1630,'Node Details'!$B:$U,D$1,0),"Check"),"")</f>
        <v>CM4</v>
      </c>
      <c r="E1630" s="100" t="str">
        <f>IF($B1630&lt;&gt;"",_xlfn.IFNA(VLOOKUP($B1630,'Node Details'!$B:$U,E$1,0),"Check"),"")</f>
        <v>Airtel</v>
      </c>
      <c r="F1630" s="101">
        <v>46148</v>
      </c>
      <c r="G1630" s="103"/>
      <c r="H1630" s="102" t="s">
        <v>1256</v>
      </c>
      <c r="I1630" s="9">
        <v>1</v>
      </c>
      <c r="J1630" s="9">
        <v>50</v>
      </c>
      <c r="K1630" s="100">
        <f t="shared" si="220"/>
        <v>50</v>
      </c>
      <c r="L1630" s="78">
        <v>46142</v>
      </c>
      <c r="M1630" s="103"/>
      <c r="N1630" s="93" t="s">
        <v>534</v>
      </c>
      <c r="O1630" s="94"/>
      <c r="P1630" s="104">
        <f t="shared" si="221"/>
        <v>50</v>
      </c>
      <c r="Q1630" s="104">
        <f t="shared" si="222"/>
        <v>50</v>
      </c>
      <c r="R1630" s="104"/>
      <c r="S1630" s="93" t="s">
        <v>144</v>
      </c>
      <c r="T1630" s="94"/>
      <c r="U1630" s="104">
        <f t="shared" si="223"/>
        <v>50</v>
      </c>
      <c r="V1630" s="104">
        <f t="shared" si="224"/>
        <v>1</v>
      </c>
      <c r="W1630" s="103">
        <f t="shared" si="225"/>
        <v>50</v>
      </c>
      <c r="X1630" s="93" t="s">
        <v>803</v>
      </c>
      <c r="Y1630" s="105" t="s">
        <v>84</v>
      </c>
      <c r="Z1630" s="105" t="s">
        <v>619</v>
      </c>
    </row>
    <row r="1631" spans="1:26" s="105" customFormat="1" ht="15" customHeight="1">
      <c r="A1631" s="99">
        <f t="shared" si="219"/>
        <v>1629</v>
      </c>
      <c r="B1631" s="75" t="s">
        <v>926</v>
      </c>
      <c r="C1631" s="100" t="str">
        <f>IF($B1631&lt;&gt;"",_xlfn.IFNA(VLOOKUP($B1631,'Node Details'!$B:$U,C$1,0),"Check"),"")</f>
        <v>0000CM418-CM4180102</v>
      </c>
      <c r="D1631" s="100" t="str">
        <f>IF($B1631&lt;&gt;"",_xlfn.IFNA(VLOOKUP($B1631,'Node Details'!$B:$U,D$1,0),"Check"),"")</f>
        <v>CM4</v>
      </c>
      <c r="E1631" s="100" t="str">
        <f>IF($B1631&lt;&gt;"",_xlfn.IFNA(VLOOKUP($B1631,'Node Details'!$B:$U,E$1,0),"Check"),"")</f>
        <v>Airtel</v>
      </c>
      <c r="F1631" s="101">
        <v>46148</v>
      </c>
      <c r="G1631" s="103"/>
      <c r="H1631" s="102" t="s">
        <v>1256</v>
      </c>
      <c r="I1631" s="9">
        <v>1</v>
      </c>
      <c r="J1631" s="9">
        <v>50</v>
      </c>
      <c r="K1631" s="100">
        <f t="shared" si="220"/>
        <v>50</v>
      </c>
      <c r="L1631" s="78">
        <v>46142</v>
      </c>
      <c r="M1631" s="103"/>
      <c r="N1631" s="93" t="s">
        <v>534</v>
      </c>
      <c r="O1631" s="94"/>
      <c r="P1631" s="104">
        <f t="shared" si="221"/>
        <v>50</v>
      </c>
      <c r="Q1631" s="104">
        <f t="shared" si="222"/>
        <v>50</v>
      </c>
      <c r="R1631" s="104"/>
      <c r="S1631" s="93" t="s">
        <v>144</v>
      </c>
      <c r="T1631" s="94"/>
      <c r="U1631" s="104">
        <f t="shared" si="223"/>
        <v>50</v>
      </c>
      <c r="V1631" s="104">
        <f t="shared" si="224"/>
        <v>1</v>
      </c>
      <c r="W1631" s="103">
        <f t="shared" si="225"/>
        <v>50</v>
      </c>
      <c r="X1631" s="93" t="s">
        <v>803</v>
      </c>
      <c r="Y1631" s="105" t="s">
        <v>84</v>
      </c>
      <c r="Z1631" s="105" t="s">
        <v>619</v>
      </c>
    </row>
    <row r="1632" spans="1:26" s="105" customFormat="1" ht="15" customHeight="1">
      <c r="A1632" s="99">
        <f t="shared" si="219"/>
        <v>1630</v>
      </c>
      <c r="B1632" s="75" t="s">
        <v>1229</v>
      </c>
      <c r="C1632" s="100" t="str">
        <f>IF($B1632&lt;&gt;"",_xlfn.IFNA(VLOOKUP($B1632,'Node Details'!$B:$U,C$1,0),"Check"),"")</f>
        <v>0000CM418-CM4180104</v>
      </c>
      <c r="D1632" s="100" t="str">
        <f>IF($B1632&lt;&gt;"",_xlfn.IFNA(VLOOKUP($B1632,'Node Details'!$B:$U,D$1,0),"Check"),"")</f>
        <v>CM4</v>
      </c>
      <c r="E1632" s="100" t="str">
        <f>IF($B1632&lt;&gt;"",_xlfn.IFNA(VLOOKUP($B1632,'Node Details'!$B:$U,E$1,0),"Check"),"")</f>
        <v>Airtel</v>
      </c>
      <c r="F1632" s="101">
        <v>46148</v>
      </c>
      <c r="G1632" s="103"/>
      <c r="H1632" s="102" t="s">
        <v>1256</v>
      </c>
      <c r="I1632" s="9">
        <v>1</v>
      </c>
      <c r="J1632" s="9">
        <v>50</v>
      </c>
      <c r="K1632" s="100">
        <f t="shared" si="220"/>
        <v>50</v>
      </c>
      <c r="L1632" s="78">
        <v>46142</v>
      </c>
      <c r="M1632" s="103"/>
      <c r="N1632" s="93" t="s">
        <v>534</v>
      </c>
      <c r="O1632" s="94"/>
      <c r="P1632" s="104">
        <f t="shared" si="221"/>
        <v>50</v>
      </c>
      <c r="Q1632" s="104">
        <f t="shared" si="222"/>
        <v>50</v>
      </c>
      <c r="R1632" s="104"/>
      <c r="S1632" s="93" t="s">
        <v>144</v>
      </c>
      <c r="T1632" s="94"/>
      <c r="U1632" s="104">
        <f t="shared" si="223"/>
        <v>50</v>
      </c>
      <c r="V1632" s="104">
        <f t="shared" si="224"/>
        <v>1</v>
      </c>
      <c r="W1632" s="103">
        <f t="shared" si="225"/>
        <v>50</v>
      </c>
      <c r="X1632" s="93" t="s">
        <v>803</v>
      </c>
      <c r="Y1632" s="105" t="s">
        <v>84</v>
      </c>
      <c r="Z1632" s="105" t="s">
        <v>619</v>
      </c>
    </row>
    <row r="1633" spans="1:26" s="105" customFormat="1" ht="15" customHeight="1">
      <c r="A1633" s="99">
        <f t="shared" si="219"/>
        <v>1631</v>
      </c>
      <c r="B1633" s="75" t="s">
        <v>928</v>
      </c>
      <c r="C1633" s="100" t="str">
        <f>IF($B1633&lt;&gt;"",_xlfn.IFNA(VLOOKUP($B1633,'Node Details'!$B:$U,C$1,0),"Check"),"")</f>
        <v>0000CM418-CM4180104</v>
      </c>
      <c r="D1633" s="100" t="str">
        <f>IF($B1633&lt;&gt;"",_xlfn.IFNA(VLOOKUP($B1633,'Node Details'!$B:$U,D$1,0),"Check"),"")</f>
        <v>CM4</v>
      </c>
      <c r="E1633" s="100" t="str">
        <f>IF($B1633&lt;&gt;"",_xlfn.IFNA(VLOOKUP($B1633,'Node Details'!$B:$U,E$1,0),"Check"),"")</f>
        <v>Airtel</v>
      </c>
      <c r="F1633" s="101">
        <v>46148</v>
      </c>
      <c r="G1633" s="103"/>
      <c r="H1633" s="102" t="s">
        <v>1256</v>
      </c>
      <c r="I1633" s="9">
        <v>1</v>
      </c>
      <c r="J1633" s="9">
        <v>50</v>
      </c>
      <c r="K1633" s="100">
        <f t="shared" si="220"/>
        <v>50</v>
      </c>
      <c r="L1633" s="78">
        <v>46142</v>
      </c>
      <c r="M1633" s="103"/>
      <c r="N1633" s="93" t="s">
        <v>534</v>
      </c>
      <c r="O1633" s="94"/>
      <c r="P1633" s="104">
        <f t="shared" si="221"/>
        <v>50</v>
      </c>
      <c r="Q1633" s="104">
        <f t="shared" si="222"/>
        <v>50</v>
      </c>
      <c r="R1633" s="104"/>
      <c r="S1633" s="93" t="s">
        <v>144</v>
      </c>
      <c r="T1633" s="94"/>
      <c r="U1633" s="104">
        <f t="shared" si="223"/>
        <v>50</v>
      </c>
      <c r="V1633" s="104">
        <f t="shared" si="224"/>
        <v>1</v>
      </c>
      <c r="W1633" s="103">
        <f t="shared" si="225"/>
        <v>50</v>
      </c>
      <c r="X1633" s="93" t="s">
        <v>803</v>
      </c>
      <c r="Y1633" s="105" t="s">
        <v>84</v>
      </c>
      <c r="Z1633" s="105" t="s">
        <v>619</v>
      </c>
    </row>
    <row r="1634" spans="1:26" s="105" customFormat="1" ht="15" customHeight="1">
      <c r="A1634" s="99">
        <f t="shared" si="219"/>
        <v>1632</v>
      </c>
      <c r="B1634" s="75" t="s">
        <v>1230</v>
      </c>
      <c r="C1634" s="100" t="str">
        <f>IF($B1634&lt;&gt;"",_xlfn.IFNA(VLOOKUP($B1634,'Node Details'!$B:$U,C$1,0),"Check"),"")</f>
        <v>0000CM418-CM4180108</v>
      </c>
      <c r="D1634" s="100" t="str">
        <f>IF($B1634&lt;&gt;"",_xlfn.IFNA(VLOOKUP($B1634,'Node Details'!$B:$U,D$1,0),"Check"),"")</f>
        <v>CM4</v>
      </c>
      <c r="E1634" s="100" t="str">
        <f>IF($B1634&lt;&gt;"",_xlfn.IFNA(VLOOKUP($B1634,'Node Details'!$B:$U,E$1,0),"Check"),"")</f>
        <v>Airtel</v>
      </c>
      <c r="F1634" s="101">
        <v>46148</v>
      </c>
      <c r="G1634" s="103"/>
      <c r="H1634" s="102" t="s">
        <v>1256</v>
      </c>
      <c r="I1634" s="9">
        <v>1</v>
      </c>
      <c r="J1634" s="9">
        <v>50</v>
      </c>
      <c r="K1634" s="100">
        <f t="shared" si="220"/>
        <v>50</v>
      </c>
      <c r="L1634" s="78">
        <v>46142</v>
      </c>
      <c r="M1634" s="103"/>
      <c r="N1634" s="93" t="s">
        <v>534</v>
      </c>
      <c r="O1634" s="94"/>
      <c r="P1634" s="104">
        <f t="shared" si="221"/>
        <v>50</v>
      </c>
      <c r="Q1634" s="104">
        <f t="shared" si="222"/>
        <v>50</v>
      </c>
      <c r="R1634" s="104"/>
      <c r="S1634" s="93" t="s">
        <v>144</v>
      </c>
      <c r="T1634" s="94"/>
      <c r="U1634" s="104">
        <f t="shared" si="223"/>
        <v>50</v>
      </c>
      <c r="V1634" s="104">
        <f t="shared" si="224"/>
        <v>1</v>
      </c>
      <c r="W1634" s="103">
        <f t="shared" si="225"/>
        <v>50</v>
      </c>
      <c r="X1634" s="93" t="s">
        <v>803</v>
      </c>
      <c r="Y1634" s="105" t="s">
        <v>84</v>
      </c>
      <c r="Z1634" s="105" t="s">
        <v>619</v>
      </c>
    </row>
    <row r="1635" spans="1:26" s="105" customFormat="1" ht="15" customHeight="1">
      <c r="A1635" s="99">
        <f t="shared" si="219"/>
        <v>1633</v>
      </c>
      <c r="B1635" s="75" t="s">
        <v>1231</v>
      </c>
      <c r="C1635" s="100" t="str">
        <f>IF($B1635&lt;&gt;"",_xlfn.IFNA(VLOOKUP($B1635,'Node Details'!$B:$U,C$1,0),"Check"),"")</f>
        <v>0000CM418-CM4180108</v>
      </c>
      <c r="D1635" s="100" t="str">
        <f>IF($B1635&lt;&gt;"",_xlfn.IFNA(VLOOKUP($B1635,'Node Details'!$B:$U,D$1,0),"Check"),"")</f>
        <v>CM4</v>
      </c>
      <c r="E1635" s="100" t="str">
        <f>IF($B1635&lt;&gt;"",_xlfn.IFNA(VLOOKUP($B1635,'Node Details'!$B:$U,E$1,0),"Check"),"")</f>
        <v>Airtel</v>
      </c>
      <c r="F1635" s="101">
        <v>46148</v>
      </c>
      <c r="G1635" s="103"/>
      <c r="H1635" s="102" t="s">
        <v>1256</v>
      </c>
      <c r="I1635" s="9">
        <v>1</v>
      </c>
      <c r="J1635" s="9">
        <v>50</v>
      </c>
      <c r="K1635" s="100">
        <f t="shared" si="220"/>
        <v>50</v>
      </c>
      <c r="L1635" s="78">
        <v>46142</v>
      </c>
      <c r="M1635" s="103"/>
      <c r="N1635" s="93" t="s">
        <v>534</v>
      </c>
      <c r="O1635" s="94"/>
      <c r="P1635" s="104">
        <f t="shared" si="221"/>
        <v>50</v>
      </c>
      <c r="Q1635" s="104">
        <f t="shared" si="222"/>
        <v>50</v>
      </c>
      <c r="R1635" s="104"/>
      <c r="S1635" s="93" t="s">
        <v>144</v>
      </c>
      <c r="T1635" s="94"/>
      <c r="U1635" s="104">
        <f t="shared" si="223"/>
        <v>50</v>
      </c>
      <c r="V1635" s="104">
        <f t="shared" si="224"/>
        <v>1</v>
      </c>
      <c r="W1635" s="103">
        <f t="shared" si="225"/>
        <v>50</v>
      </c>
      <c r="X1635" s="93" t="s">
        <v>803</v>
      </c>
      <c r="Y1635" s="105" t="s">
        <v>84</v>
      </c>
      <c r="Z1635" s="105" t="s">
        <v>619</v>
      </c>
    </row>
    <row r="1636" spans="1:26" s="105" customFormat="1" ht="15" customHeight="1">
      <c r="A1636" s="99">
        <f t="shared" si="219"/>
        <v>1634</v>
      </c>
      <c r="B1636" s="75" t="s">
        <v>1232</v>
      </c>
      <c r="C1636" s="100" t="str">
        <f>IF($B1636&lt;&gt;"",_xlfn.IFNA(VLOOKUP($B1636,'Node Details'!$B:$U,C$1,0),"Check"),"")</f>
        <v>0000CM418-CM4180108</v>
      </c>
      <c r="D1636" s="100" t="str">
        <f>IF($B1636&lt;&gt;"",_xlfn.IFNA(VLOOKUP($B1636,'Node Details'!$B:$U,D$1,0),"Check"),"")</f>
        <v>CM4</v>
      </c>
      <c r="E1636" s="100" t="str">
        <f>IF($B1636&lt;&gt;"",_xlfn.IFNA(VLOOKUP($B1636,'Node Details'!$B:$U,E$1,0),"Check"),"")</f>
        <v>Airtel</v>
      </c>
      <c r="F1636" s="101">
        <v>46148</v>
      </c>
      <c r="G1636" s="103"/>
      <c r="H1636" s="102" t="s">
        <v>1256</v>
      </c>
      <c r="I1636" s="9">
        <v>1</v>
      </c>
      <c r="J1636" s="9">
        <v>50</v>
      </c>
      <c r="K1636" s="100">
        <f t="shared" si="220"/>
        <v>50</v>
      </c>
      <c r="L1636" s="78">
        <v>46142</v>
      </c>
      <c r="M1636" s="103"/>
      <c r="N1636" s="93" t="s">
        <v>534</v>
      </c>
      <c r="O1636" s="94"/>
      <c r="P1636" s="104">
        <f t="shared" si="221"/>
        <v>50</v>
      </c>
      <c r="Q1636" s="104">
        <f t="shared" si="222"/>
        <v>50</v>
      </c>
      <c r="R1636" s="104"/>
      <c r="S1636" s="93" t="s">
        <v>144</v>
      </c>
      <c r="T1636" s="94"/>
      <c r="U1636" s="104">
        <f t="shared" si="223"/>
        <v>50</v>
      </c>
      <c r="V1636" s="104">
        <f t="shared" si="224"/>
        <v>1</v>
      </c>
      <c r="W1636" s="103">
        <f t="shared" si="225"/>
        <v>50</v>
      </c>
      <c r="X1636" s="93" t="s">
        <v>803</v>
      </c>
      <c r="Y1636" s="105" t="s">
        <v>84</v>
      </c>
      <c r="Z1636" s="105" t="s">
        <v>619</v>
      </c>
    </row>
    <row r="1637" spans="1:26" s="105" customFormat="1" ht="15" customHeight="1">
      <c r="A1637" s="99">
        <f t="shared" si="219"/>
        <v>1635</v>
      </c>
      <c r="B1637" s="75" t="s">
        <v>930</v>
      </c>
      <c r="C1637" s="100" t="str">
        <f>IF($B1637&lt;&gt;"",_xlfn.IFNA(VLOOKUP($B1637,'Node Details'!$B:$U,C$1,0),"Check"),"")</f>
        <v>0000CM418-CM4180108</v>
      </c>
      <c r="D1637" s="100" t="str">
        <f>IF($B1637&lt;&gt;"",_xlfn.IFNA(VLOOKUP($B1637,'Node Details'!$B:$U,D$1,0),"Check"),"")</f>
        <v>CM4</v>
      </c>
      <c r="E1637" s="100" t="str">
        <f>IF($B1637&lt;&gt;"",_xlfn.IFNA(VLOOKUP($B1637,'Node Details'!$B:$U,E$1,0),"Check"),"")</f>
        <v>Airtel</v>
      </c>
      <c r="F1637" s="101">
        <v>46148</v>
      </c>
      <c r="G1637" s="103"/>
      <c r="H1637" s="102" t="s">
        <v>1256</v>
      </c>
      <c r="I1637" s="9">
        <v>1</v>
      </c>
      <c r="J1637" s="9">
        <v>50</v>
      </c>
      <c r="K1637" s="100">
        <f t="shared" si="220"/>
        <v>50</v>
      </c>
      <c r="L1637" s="78">
        <v>46142</v>
      </c>
      <c r="M1637" s="103"/>
      <c r="N1637" s="93" t="s">
        <v>534</v>
      </c>
      <c r="O1637" s="94"/>
      <c r="P1637" s="104">
        <f t="shared" si="221"/>
        <v>50</v>
      </c>
      <c r="Q1637" s="104">
        <f t="shared" si="222"/>
        <v>50</v>
      </c>
      <c r="R1637" s="104"/>
      <c r="S1637" s="93" t="s">
        <v>144</v>
      </c>
      <c r="T1637" s="94"/>
      <c r="U1637" s="104">
        <f t="shared" si="223"/>
        <v>50</v>
      </c>
      <c r="V1637" s="104">
        <f t="shared" si="224"/>
        <v>1</v>
      </c>
      <c r="W1637" s="103">
        <f t="shared" si="225"/>
        <v>50</v>
      </c>
      <c r="X1637" s="93" t="s">
        <v>803</v>
      </c>
      <c r="Y1637" s="105" t="s">
        <v>84</v>
      </c>
      <c r="Z1637" s="105" t="s">
        <v>619</v>
      </c>
    </row>
    <row r="1638" spans="1:26" s="105" customFormat="1" ht="15" customHeight="1">
      <c r="A1638" s="99">
        <f t="shared" si="219"/>
        <v>1636</v>
      </c>
      <c r="B1638" s="75" t="s">
        <v>932</v>
      </c>
      <c r="C1638" s="100" t="str">
        <f>IF($B1638&lt;&gt;"",_xlfn.IFNA(VLOOKUP($B1638,'Node Details'!$B:$U,C$1,0),"Check"),"")</f>
        <v>000000CM4-0000CM421</v>
      </c>
      <c r="D1638" s="100" t="str">
        <f>IF($B1638&lt;&gt;"",_xlfn.IFNA(VLOOKUP($B1638,'Node Details'!$B:$U,D$1,0),"Check"),"")</f>
        <v>CM4</v>
      </c>
      <c r="E1638" s="100" t="str">
        <f>IF($B1638&lt;&gt;"",_xlfn.IFNA(VLOOKUP($B1638,'Node Details'!$B:$U,E$1,0),"Check"),"")</f>
        <v>Airtel</v>
      </c>
      <c r="F1638" s="101">
        <v>46148</v>
      </c>
      <c r="G1638" s="103"/>
      <c r="H1638" s="102" t="s">
        <v>1256</v>
      </c>
      <c r="I1638" s="9">
        <v>1</v>
      </c>
      <c r="J1638" s="9">
        <v>50</v>
      </c>
      <c r="K1638" s="100">
        <f t="shared" si="220"/>
        <v>50</v>
      </c>
      <c r="L1638" s="78">
        <v>46142</v>
      </c>
      <c r="M1638" s="103"/>
      <c r="N1638" s="93" t="s">
        <v>534</v>
      </c>
      <c r="O1638" s="94"/>
      <c r="P1638" s="104">
        <f t="shared" si="221"/>
        <v>50</v>
      </c>
      <c r="Q1638" s="104">
        <f t="shared" si="222"/>
        <v>50</v>
      </c>
      <c r="R1638" s="104"/>
      <c r="S1638" s="93" t="s">
        <v>144</v>
      </c>
      <c r="T1638" s="94"/>
      <c r="U1638" s="104">
        <f t="shared" si="223"/>
        <v>50</v>
      </c>
      <c r="V1638" s="104">
        <f t="shared" si="224"/>
        <v>1</v>
      </c>
      <c r="W1638" s="103">
        <f t="shared" si="225"/>
        <v>50</v>
      </c>
      <c r="X1638" s="93" t="s">
        <v>803</v>
      </c>
      <c r="Y1638" s="105" t="s">
        <v>84</v>
      </c>
      <c r="Z1638" s="105" t="s">
        <v>619</v>
      </c>
    </row>
    <row r="1639" spans="1:26" s="105" customFormat="1" ht="15" customHeight="1">
      <c r="A1639" s="99">
        <f t="shared" si="219"/>
        <v>1637</v>
      </c>
      <c r="B1639" s="75" t="s">
        <v>933</v>
      </c>
      <c r="C1639" s="100" t="str">
        <f>IF($B1639&lt;&gt;"",_xlfn.IFNA(VLOOKUP($B1639,'Node Details'!$B:$U,C$1,0),"Check"),"")</f>
        <v>0000CM419-CM4190101</v>
      </c>
      <c r="D1639" s="100" t="str">
        <f>IF($B1639&lt;&gt;"",_xlfn.IFNA(VLOOKUP($B1639,'Node Details'!$B:$U,D$1,0),"Check"),"")</f>
        <v>CM4</v>
      </c>
      <c r="E1639" s="100" t="str">
        <f>IF($B1639&lt;&gt;"",_xlfn.IFNA(VLOOKUP($B1639,'Node Details'!$B:$U,E$1,0),"Check"),"")</f>
        <v>Airtel</v>
      </c>
      <c r="F1639" s="101">
        <v>46148</v>
      </c>
      <c r="G1639" s="103"/>
      <c r="H1639" s="102" t="s">
        <v>1256</v>
      </c>
      <c r="I1639" s="9">
        <v>1</v>
      </c>
      <c r="J1639" s="9">
        <v>50</v>
      </c>
      <c r="K1639" s="100">
        <f t="shared" si="220"/>
        <v>50</v>
      </c>
      <c r="L1639" s="78">
        <v>46142</v>
      </c>
      <c r="M1639" s="103"/>
      <c r="N1639" s="93" t="s">
        <v>534</v>
      </c>
      <c r="O1639" s="94"/>
      <c r="P1639" s="104">
        <f t="shared" si="221"/>
        <v>50</v>
      </c>
      <c r="Q1639" s="104">
        <f t="shared" si="222"/>
        <v>50</v>
      </c>
      <c r="R1639" s="104"/>
      <c r="S1639" s="93" t="s">
        <v>144</v>
      </c>
      <c r="T1639" s="94"/>
      <c r="U1639" s="104">
        <f t="shared" si="223"/>
        <v>50</v>
      </c>
      <c r="V1639" s="104">
        <f t="shared" si="224"/>
        <v>1</v>
      </c>
      <c r="W1639" s="103">
        <f t="shared" si="225"/>
        <v>50</v>
      </c>
      <c r="X1639" s="93" t="s">
        <v>803</v>
      </c>
      <c r="Y1639" s="105" t="s">
        <v>84</v>
      </c>
      <c r="Z1639" s="105" t="s">
        <v>619</v>
      </c>
    </row>
    <row r="1640" spans="1:26" s="105" customFormat="1" ht="15" customHeight="1">
      <c r="A1640" s="99">
        <f t="shared" si="219"/>
        <v>1638</v>
      </c>
      <c r="B1640" s="75" t="s">
        <v>935</v>
      </c>
      <c r="C1640" s="100" t="str">
        <f>IF($B1640&lt;&gt;"",_xlfn.IFNA(VLOOKUP($B1640,'Node Details'!$B:$U,C$1,0),"Check"),"")</f>
        <v>0000CM419-CM4190103</v>
      </c>
      <c r="D1640" s="100" t="str">
        <f>IF($B1640&lt;&gt;"",_xlfn.IFNA(VLOOKUP($B1640,'Node Details'!$B:$U,D$1,0),"Check"),"")</f>
        <v>CM4</v>
      </c>
      <c r="E1640" s="100" t="str">
        <f>IF($B1640&lt;&gt;"",_xlfn.IFNA(VLOOKUP($B1640,'Node Details'!$B:$U,E$1,0),"Check"),"")</f>
        <v>Airtel</v>
      </c>
      <c r="F1640" s="101">
        <v>46148</v>
      </c>
      <c r="G1640" s="103"/>
      <c r="H1640" s="102" t="s">
        <v>1256</v>
      </c>
      <c r="I1640" s="9">
        <v>1</v>
      </c>
      <c r="J1640" s="9">
        <v>50</v>
      </c>
      <c r="K1640" s="100">
        <f t="shared" si="220"/>
        <v>50</v>
      </c>
      <c r="L1640" s="78">
        <v>46142</v>
      </c>
      <c r="M1640" s="103"/>
      <c r="N1640" s="93" t="s">
        <v>534</v>
      </c>
      <c r="O1640" s="94"/>
      <c r="P1640" s="104">
        <f t="shared" si="221"/>
        <v>50</v>
      </c>
      <c r="Q1640" s="104">
        <f t="shared" si="222"/>
        <v>50</v>
      </c>
      <c r="R1640" s="104"/>
      <c r="S1640" s="93" t="s">
        <v>144</v>
      </c>
      <c r="T1640" s="94"/>
      <c r="U1640" s="104">
        <f t="shared" si="223"/>
        <v>50</v>
      </c>
      <c r="V1640" s="104">
        <f t="shared" si="224"/>
        <v>1</v>
      </c>
      <c r="W1640" s="103">
        <f t="shared" si="225"/>
        <v>50</v>
      </c>
      <c r="X1640" s="93" t="s">
        <v>803</v>
      </c>
      <c r="Y1640" s="105" t="s">
        <v>84</v>
      </c>
      <c r="Z1640" s="105" t="s">
        <v>619</v>
      </c>
    </row>
    <row r="1641" spans="1:26" s="105" customFormat="1" ht="15" customHeight="1">
      <c r="A1641" s="99">
        <f t="shared" si="219"/>
        <v>1639</v>
      </c>
      <c r="B1641" s="75" t="s">
        <v>1233</v>
      </c>
      <c r="C1641" s="100" t="str">
        <f>IF($B1641&lt;&gt;"",_xlfn.IFNA(VLOOKUP($B1641,'Node Details'!$B:$U,C$1,0),"Check"),"")</f>
        <v>0000CM419-CM4190108</v>
      </c>
      <c r="D1641" s="100" t="str">
        <f>IF($B1641&lt;&gt;"",_xlfn.IFNA(VLOOKUP($B1641,'Node Details'!$B:$U,D$1,0),"Check"),"")</f>
        <v>CM4</v>
      </c>
      <c r="E1641" s="100" t="str">
        <f>IF($B1641&lt;&gt;"",_xlfn.IFNA(VLOOKUP($B1641,'Node Details'!$B:$U,E$1,0),"Check"),"")</f>
        <v>Airtel</v>
      </c>
      <c r="F1641" s="101">
        <v>46148</v>
      </c>
      <c r="G1641" s="103"/>
      <c r="H1641" s="102" t="s">
        <v>1256</v>
      </c>
      <c r="I1641" s="9">
        <v>1</v>
      </c>
      <c r="J1641" s="9">
        <v>50</v>
      </c>
      <c r="K1641" s="100">
        <f t="shared" si="220"/>
        <v>50</v>
      </c>
      <c r="L1641" s="78">
        <v>46142</v>
      </c>
      <c r="M1641" s="103"/>
      <c r="N1641" s="93" t="s">
        <v>534</v>
      </c>
      <c r="O1641" s="94"/>
      <c r="P1641" s="104">
        <f t="shared" si="221"/>
        <v>50</v>
      </c>
      <c r="Q1641" s="104">
        <f t="shared" si="222"/>
        <v>50</v>
      </c>
      <c r="R1641" s="104"/>
      <c r="S1641" s="93" t="s">
        <v>144</v>
      </c>
      <c r="T1641" s="94"/>
      <c r="U1641" s="104">
        <f t="shared" si="223"/>
        <v>50</v>
      </c>
      <c r="V1641" s="104">
        <f t="shared" si="224"/>
        <v>1</v>
      </c>
      <c r="W1641" s="103">
        <f t="shared" si="225"/>
        <v>50</v>
      </c>
      <c r="X1641" s="93" t="s">
        <v>803</v>
      </c>
      <c r="Y1641" s="105" t="s">
        <v>84</v>
      </c>
      <c r="Z1641" s="105" t="s">
        <v>619</v>
      </c>
    </row>
    <row r="1642" spans="1:26" s="105" customFormat="1" ht="15" customHeight="1">
      <c r="A1642" s="99">
        <f t="shared" si="219"/>
        <v>1640</v>
      </c>
      <c r="B1642" s="75" t="s">
        <v>1234</v>
      </c>
      <c r="C1642" s="100" t="str">
        <f>IF($B1642&lt;&gt;"",_xlfn.IFNA(VLOOKUP($B1642,'Node Details'!$B:$U,C$1,0),"Check"),"")</f>
        <v>0000CM419-CM4190108</v>
      </c>
      <c r="D1642" s="100" t="str">
        <f>IF($B1642&lt;&gt;"",_xlfn.IFNA(VLOOKUP($B1642,'Node Details'!$B:$U,D$1,0),"Check"),"")</f>
        <v>CM4</v>
      </c>
      <c r="E1642" s="100" t="str">
        <f>IF($B1642&lt;&gt;"",_xlfn.IFNA(VLOOKUP($B1642,'Node Details'!$B:$U,E$1,0),"Check"),"")</f>
        <v>Airtel</v>
      </c>
      <c r="F1642" s="101">
        <v>46148</v>
      </c>
      <c r="G1642" s="103"/>
      <c r="H1642" s="102" t="s">
        <v>1256</v>
      </c>
      <c r="I1642" s="9">
        <v>1</v>
      </c>
      <c r="J1642" s="9">
        <v>50</v>
      </c>
      <c r="K1642" s="100">
        <f t="shared" si="220"/>
        <v>50</v>
      </c>
      <c r="L1642" s="78">
        <v>46142</v>
      </c>
      <c r="M1642" s="103"/>
      <c r="N1642" s="93" t="s">
        <v>534</v>
      </c>
      <c r="O1642" s="94"/>
      <c r="P1642" s="104">
        <f t="shared" si="221"/>
        <v>50</v>
      </c>
      <c r="Q1642" s="104">
        <f t="shared" si="222"/>
        <v>50</v>
      </c>
      <c r="R1642" s="104"/>
      <c r="S1642" s="93" t="s">
        <v>144</v>
      </c>
      <c r="T1642" s="94"/>
      <c r="U1642" s="104">
        <f t="shared" si="223"/>
        <v>50</v>
      </c>
      <c r="V1642" s="104">
        <f t="shared" si="224"/>
        <v>1</v>
      </c>
      <c r="W1642" s="103">
        <f t="shared" si="225"/>
        <v>50</v>
      </c>
      <c r="X1642" s="93" t="s">
        <v>803</v>
      </c>
      <c r="Y1642" s="105" t="s">
        <v>84</v>
      </c>
      <c r="Z1642" s="105" t="s">
        <v>619</v>
      </c>
    </row>
    <row r="1643" spans="1:26" s="105" customFormat="1" ht="15" customHeight="1">
      <c r="A1643" s="99">
        <f t="shared" si="219"/>
        <v>1641</v>
      </c>
      <c r="B1643" s="75" t="s">
        <v>1235</v>
      </c>
      <c r="C1643" s="100" t="str">
        <f>IF($B1643&lt;&gt;"",_xlfn.IFNA(VLOOKUP($B1643,'Node Details'!$B:$U,C$1,0),"Check"),"")</f>
        <v>0000CM419-CM4190108</v>
      </c>
      <c r="D1643" s="100" t="str">
        <f>IF($B1643&lt;&gt;"",_xlfn.IFNA(VLOOKUP($B1643,'Node Details'!$B:$U,D$1,0),"Check"),"")</f>
        <v>CM4</v>
      </c>
      <c r="E1643" s="100" t="str">
        <f>IF($B1643&lt;&gt;"",_xlfn.IFNA(VLOOKUP($B1643,'Node Details'!$B:$U,E$1,0),"Check"),"")</f>
        <v>Airtel</v>
      </c>
      <c r="F1643" s="101">
        <v>46148</v>
      </c>
      <c r="G1643" s="103"/>
      <c r="H1643" s="102" t="s">
        <v>1256</v>
      </c>
      <c r="I1643" s="9">
        <v>1</v>
      </c>
      <c r="J1643" s="9">
        <v>50</v>
      </c>
      <c r="K1643" s="100">
        <f t="shared" si="220"/>
        <v>50</v>
      </c>
      <c r="L1643" s="78">
        <v>46142</v>
      </c>
      <c r="M1643" s="103"/>
      <c r="N1643" s="93" t="s">
        <v>534</v>
      </c>
      <c r="O1643" s="94"/>
      <c r="P1643" s="104">
        <f t="shared" si="221"/>
        <v>50</v>
      </c>
      <c r="Q1643" s="104">
        <f t="shared" si="222"/>
        <v>50</v>
      </c>
      <c r="R1643" s="104"/>
      <c r="S1643" s="93" t="s">
        <v>144</v>
      </c>
      <c r="T1643" s="94"/>
      <c r="U1643" s="104">
        <f t="shared" si="223"/>
        <v>50</v>
      </c>
      <c r="V1643" s="104">
        <f t="shared" si="224"/>
        <v>1</v>
      </c>
      <c r="W1643" s="103">
        <f t="shared" si="225"/>
        <v>50</v>
      </c>
      <c r="X1643" s="93" t="s">
        <v>803</v>
      </c>
      <c r="Y1643" s="105" t="s">
        <v>84</v>
      </c>
      <c r="Z1643" s="105" t="s">
        <v>619</v>
      </c>
    </row>
    <row r="1644" spans="1:26" s="105" customFormat="1" ht="15" customHeight="1">
      <c r="A1644" s="99">
        <f t="shared" si="219"/>
        <v>1642</v>
      </c>
      <c r="B1644" s="75" t="s">
        <v>1236</v>
      </c>
      <c r="C1644" s="100" t="str">
        <f>IF($B1644&lt;&gt;"",_xlfn.IFNA(VLOOKUP($B1644,'Node Details'!$B:$U,C$1,0),"Check"),"")</f>
        <v>0000CM419-CM4190108</v>
      </c>
      <c r="D1644" s="100" t="str">
        <f>IF($B1644&lt;&gt;"",_xlfn.IFNA(VLOOKUP($B1644,'Node Details'!$B:$U,D$1,0),"Check"),"")</f>
        <v>CM4</v>
      </c>
      <c r="E1644" s="100" t="str">
        <f>IF($B1644&lt;&gt;"",_xlfn.IFNA(VLOOKUP($B1644,'Node Details'!$B:$U,E$1,0),"Check"),"")</f>
        <v>Airtel</v>
      </c>
      <c r="F1644" s="101">
        <v>46148</v>
      </c>
      <c r="G1644" s="103"/>
      <c r="H1644" s="102" t="s">
        <v>1256</v>
      </c>
      <c r="I1644" s="9">
        <v>1</v>
      </c>
      <c r="J1644" s="9">
        <v>50</v>
      </c>
      <c r="K1644" s="100">
        <f t="shared" si="220"/>
        <v>50</v>
      </c>
      <c r="L1644" s="78">
        <v>46142</v>
      </c>
      <c r="M1644" s="103"/>
      <c r="N1644" s="93" t="s">
        <v>534</v>
      </c>
      <c r="O1644" s="94"/>
      <c r="P1644" s="104">
        <f t="shared" si="221"/>
        <v>50</v>
      </c>
      <c r="Q1644" s="104">
        <f t="shared" si="222"/>
        <v>50</v>
      </c>
      <c r="R1644" s="104"/>
      <c r="S1644" s="93" t="s">
        <v>144</v>
      </c>
      <c r="T1644" s="94"/>
      <c r="U1644" s="104">
        <f t="shared" si="223"/>
        <v>50</v>
      </c>
      <c r="V1644" s="104">
        <f t="shared" si="224"/>
        <v>1</v>
      </c>
      <c r="W1644" s="103">
        <f t="shared" si="225"/>
        <v>50</v>
      </c>
      <c r="X1644" s="93" t="s">
        <v>803</v>
      </c>
      <c r="Y1644" s="105" t="s">
        <v>84</v>
      </c>
      <c r="Z1644" s="105" t="s">
        <v>619</v>
      </c>
    </row>
    <row r="1645" spans="1:26" s="105" customFormat="1" ht="15" customHeight="1">
      <c r="A1645" s="99">
        <f t="shared" si="219"/>
        <v>1643</v>
      </c>
      <c r="B1645" s="75" t="s">
        <v>937</v>
      </c>
      <c r="C1645" s="100" t="str">
        <f>IF($B1645&lt;&gt;"",_xlfn.IFNA(VLOOKUP($B1645,'Node Details'!$B:$U,C$1,0),"Check"),"")</f>
        <v>0000CM419-CM4190108</v>
      </c>
      <c r="D1645" s="100" t="str">
        <f>IF($B1645&lt;&gt;"",_xlfn.IFNA(VLOOKUP($B1645,'Node Details'!$B:$U,D$1,0),"Check"),"")</f>
        <v>CM4</v>
      </c>
      <c r="E1645" s="100" t="str">
        <f>IF($B1645&lt;&gt;"",_xlfn.IFNA(VLOOKUP($B1645,'Node Details'!$B:$U,E$1,0),"Check"),"")</f>
        <v>Airtel</v>
      </c>
      <c r="F1645" s="101">
        <v>46148</v>
      </c>
      <c r="G1645" s="103"/>
      <c r="H1645" s="102" t="s">
        <v>1256</v>
      </c>
      <c r="I1645" s="9">
        <v>1</v>
      </c>
      <c r="J1645" s="9">
        <v>50</v>
      </c>
      <c r="K1645" s="100">
        <f t="shared" si="220"/>
        <v>50</v>
      </c>
      <c r="L1645" s="78">
        <v>46142</v>
      </c>
      <c r="M1645" s="103"/>
      <c r="N1645" s="93" t="s">
        <v>534</v>
      </c>
      <c r="O1645" s="94"/>
      <c r="P1645" s="104">
        <f t="shared" si="221"/>
        <v>50</v>
      </c>
      <c r="Q1645" s="104">
        <f t="shared" si="222"/>
        <v>50</v>
      </c>
      <c r="R1645" s="104"/>
      <c r="S1645" s="93" t="s">
        <v>144</v>
      </c>
      <c r="T1645" s="94"/>
      <c r="U1645" s="104">
        <f t="shared" si="223"/>
        <v>50</v>
      </c>
      <c r="V1645" s="104">
        <f t="shared" si="224"/>
        <v>1</v>
      </c>
      <c r="W1645" s="103">
        <f t="shared" si="225"/>
        <v>50</v>
      </c>
      <c r="X1645" s="93" t="s">
        <v>803</v>
      </c>
      <c r="Y1645" s="105" t="s">
        <v>84</v>
      </c>
      <c r="Z1645" s="105" t="s">
        <v>619</v>
      </c>
    </row>
    <row r="1646" spans="1:26" s="105" customFormat="1" ht="15" customHeight="1">
      <c r="A1646" s="99">
        <f t="shared" si="219"/>
        <v>1644</v>
      </c>
      <c r="B1646" s="75" t="s">
        <v>939</v>
      </c>
      <c r="C1646" s="100" t="str">
        <f>IF($B1646&lt;&gt;"",_xlfn.IFNA(VLOOKUP($B1646,'Node Details'!$B:$U,C$1,0),"Check"),"")</f>
        <v>0000CM419-CM4190102</v>
      </c>
      <c r="D1646" s="100" t="str">
        <f>IF($B1646&lt;&gt;"",_xlfn.IFNA(VLOOKUP($B1646,'Node Details'!$B:$U,D$1,0),"Check"),"")</f>
        <v>CM4</v>
      </c>
      <c r="E1646" s="100" t="str">
        <f>IF($B1646&lt;&gt;"",_xlfn.IFNA(VLOOKUP($B1646,'Node Details'!$B:$U,E$1,0),"Check"),"")</f>
        <v>Airtel</v>
      </c>
      <c r="F1646" s="101">
        <v>46148</v>
      </c>
      <c r="G1646" s="103"/>
      <c r="H1646" s="102" t="s">
        <v>1256</v>
      </c>
      <c r="I1646" s="9">
        <v>1</v>
      </c>
      <c r="J1646" s="9">
        <v>50</v>
      </c>
      <c r="K1646" s="100">
        <f t="shared" si="220"/>
        <v>50</v>
      </c>
      <c r="L1646" s="78">
        <v>46142</v>
      </c>
      <c r="M1646" s="103"/>
      <c r="N1646" s="93" t="s">
        <v>534</v>
      </c>
      <c r="O1646" s="94"/>
      <c r="P1646" s="104">
        <f t="shared" si="221"/>
        <v>50</v>
      </c>
      <c r="Q1646" s="104">
        <f t="shared" si="222"/>
        <v>50</v>
      </c>
      <c r="R1646" s="104"/>
      <c r="S1646" s="93" t="s">
        <v>144</v>
      </c>
      <c r="T1646" s="94"/>
      <c r="U1646" s="104">
        <f t="shared" si="223"/>
        <v>50</v>
      </c>
      <c r="V1646" s="104">
        <f t="shared" si="224"/>
        <v>1</v>
      </c>
      <c r="W1646" s="103">
        <f t="shared" si="225"/>
        <v>50</v>
      </c>
      <c r="X1646" s="93" t="s">
        <v>803</v>
      </c>
      <c r="Y1646" s="105" t="s">
        <v>84</v>
      </c>
      <c r="Z1646" s="105" t="s">
        <v>619</v>
      </c>
    </row>
    <row r="1647" spans="1:26" s="105" customFormat="1" ht="15" customHeight="1">
      <c r="A1647" s="99">
        <f t="shared" si="219"/>
        <v>1645</v>
      </c>
      <c r="B1647" s="75" t="s">
        <v>941</v>
      </c>
      <c r="C1647" s="100" t="str">
        <f>IF($B1647&lt;&gt;"",_xlfn.IFNA(VLOOKUP($B1647,'Node Details'!$B:$U,C$1,0),"Check"),"")</f>
        <v>000000CM4-0000CM421</v>
      </c>
      <c r="D1647" s="100" t="str">
        <f>IF($B1647&lt;&gt;"",_xlfn.IFNA(VLOOKUP($B1647,'Node Details'!$B:$U,D$1,0),"Check"),"")</f>
        <v>CM4</v>
      </c>
      <c r="E1647" s="100" t="str">
        <f>IF($B1647&lt;&gt;"",_xlfn.IFNA(VLOOKUP($B1647,'Node Details'!$B:$U,E$1,0),"Check"),"")</f>
        <v>Airtel</v>
      </c>
      <c r="F1647" s="101">
        <v>46148</v>
      </c>
      <c r="G1647" s="103"/>
      <c r="H1647" s="102" t="s">
        <v>1256</v>
      </c>
      <c r="I1647" s="9">
        <v>1</v>
      </c>
      <c r="J1647" s="9">
        <v>50</v>
      </c>
      <c r="K1647" s="100">
        <f t="shared" si="220"/>
        <v>50</v>
      </c>
      <c r="L1647" s="78">
        <v>46142</v>
      </c>
      <c r="M1647" s="103"/>
      <c r="N1647" s="93" t="s">
        <v>534</v>
      </c>
      <c r="O1647" s="94"/>
      <c r="P1647" s="104">
        <f t="shared" si="221"/>
        <v>50</v>
      </c>
      <c r="Q1647" s="104">
        <f t="shared" si="222"/>
        <v>50</v>
      </c>
      <c r="R1647" s="104"/>
      <c r="S1647" s="93" t="s">
        <v>144</v>
      </c>
      <c r="T1647" s="94"/>
      <c r="U1647" s="104">
        <f t="shared" si="223"/>
        <v>50</v>
      </c>
      <c r="V1647" s="104">
        <f t="shared" si="224"/>
        <v>1</v>
      </c>
      <c r="W1647" s="103">
        <f t="shared" si="225"/>
        <v>50</v>
      </c>
      <c r="X1647" s="93" t="s">
        <v>803</v>
      </c>
      <c r="Y1647" s="105" t="s">
        <v>84</v>
      </c>
      <c r="Z1647" s="105" t="s">
        <v>619</v>
      </c>
    </row>
    <row r="1648" spans="1:26" s="105" customFormat="1" ht="15" customHeight="1">
      <c r="A1648" s="99">
        <f t="shared" si="219"/>
        <v>1646</v>
      </c>
      <c r="B1648" s="75" t="s">
        <v>1237</v>
      </c>
      <c r="C1648" s="100" t="str">
        <f>IF($B1648&lt;&gt;"",_xlfn.IFNA(VLOOKUP($B1648,'Node Details'!$B:$U,C$1,0),"Check"),"")</f>
        <v>0000CM420-CM4200104</v>
      </c>
      <c r="D1648" s="100" t="str">
        <f>IF($B1648&lt;&gt;"",_xlfn.IFNA(VLOOKUP($B1648,'Node Details'!$B:$U,D$1,0),"Check"),"")</f>
        <v>CM4</v>
      </c>
      <c r="E1648" s="100" t="str">
        <f>IF($B1648&lt;&gt;"",_xlfn.IFNA(VLOOKUP($B1648,'Node Details'!$B:$U,E$1,0),"Check"),"")</f>
        <v>Airtel</v>
      </c>
      <c r="F1648" s="101">
        <v>46148</v>
      </c>
      <c r="G1648" s="103"/>
      <c r="H1648" s="102" t="s">
        <v>1256</v>
      </c>
      <c r="I1648" s="9">
        <v>1</v>
      </c>
      <c r="J1648" s="9">
        <v>50</v>
      </c>
      <c r="K1648" s="100">
        <f t="shared" si="220"/>
        <v>50</v>
      </c>
      <c r="L1648" s="78">
        <v>46142</v>
      </c>
      <c r="M1648" s="103"/>
      <c r="N1648" s="93" t="s">
        <v>534</v>
      </c>
      <c r="O1648" s="94"/>
      <c r="P1648" s="104">
        <f t="shared" si="221"/>
        <v>50</v>
      </c>
      <c r="Q1648" s="104">
        <f t="shared" si="222"/>
        <v>50</v>
      </c>
      <c r="R1648" s="104"/>
      <c r="S1648" s="93" t="s">
        <v>144</v>
      </c>
      <c r="T1648" s="94"/>
      <c r="U1648" s="104">
        <f t="shared" si="223"/>
        <v>50</v>
      </c>
      <c r="V1648" s="104">
        <f t="shared" si="224"/>
        <v>1</v>
      </c>
      <c r="W1648" s="103">
        <f t="shared" si="225"/>
        <v>50</v>
      </c>
      <c r="X1648" s="93" t="s">
        <v>803</v>
      </c>
      <c r="Y1648" s="105" t="s">
        <v>84</v>
      </c>
      <c r="Z1648" s="105" t="s">
        <v>619</v>
      </c>
    </row>
    <row r="1649" spans="1:26" s="105" customFormat="1" ht="15" customHeight="1">
      <c r="A1649" s="99">
        <f t="shared" si="219"/>
        <v>1647</v>
      </c>
      <c r="B1649" s="75" t="s">
        <v>942</v>
      </c>
      <c r="C1649" s="100" t="str">
        <f>IF($B1649&lt;&gt;"",_xlfn.IFNA(VLOOKUP($B1649,'Node Details'!$B:$U,C$1,0),"Check"),"")</f>
        <v>0000CM420-CM4200104</v>
      </c>
      <c r="D1649" s="100" t="str">
        <f>IF($B1649&lt;&gt;"",_xlfn.IFNA(VLOOKUP($B1649,'Node Details'!$B:$U,D$1,0),"Check"),"")</f>
        <v>CM4</v>
      </c>
      <c r="E1649" s="100" t="str">
        <f>IF($B1649&lt;&gt;"",_xlfn.IFNA(VLOOKUP($B1649,'Node Details'!$B:$U,E$1,0),"Check"),"")</f>
        <v>Airtel</v>
      </c>
      <c r="F1649" s="101">
        <v>46148</v>
      </c>
      <c r="G1649" s="103"/>
      <c r="H1649" s="102" t="s">
        <v>1256</v>
      </c>
      <c r="I1649" s="9">
        <v>1</v>
      </c>
      <c r="J1649" s="9">
        <v>50</v>
      </c>
      <c r="K1649" s="100">
        <f t="shared" si="220"/>
        <v>50</v>
      </c>
      <c r="L1649" s="78">
        <v>46142</v>
      </c>
      <c r="M1649" s="103"/>
      <c r="N1649" s="93" t="s">
        <v>534</v>
      </c>
      <c r="O1649" s="94"/>
      <c r="P1649" s="104">
        <f t="shared" si="221"/>
        <v>50</v>
      </c>
      <c r="Q1649" s="104">
        <f t="shared" si="222"/>
        <v>50</v>
      </c>
      <c r="R1649" s="104"/>
      <c r="S1649" s="93" t="s">
        <v>144</v>
      </c>
      <c r="T1649" s="94"/>
      <c r="U1649" s="104">
        <f t="shared" si="223"/>
        <v>50</v>
      </c>
      <c r="V1649" s="104">
        <f t="shared" si="224"/>
        <v>1</v>
      </c>
      <c r="W1649" s="103">
        <f t="shared" si="225"/>
        <v>50</v>
      </c>
      <c r="X1649" s="93" t="s">
        <v>803</v>
      </c>
      <c r="Y1649" s="105" t="s">
        <v>84</v>
      </c>
      <c r="Z1649" s="105" t="s">
        <v>619</v>
      </c>
    </row>
    <row r="1650" spans="1:26" s="105" customFormat="1" ht="15" customHeight="1">
      <c r="A1650" s="99">
        <f t="shared" si="219"/>
        <v>1648</v>
      </c>
      <c r="B1650" s="75" t="s">
        <v>1238</v>
      </c>
      <c r="C1650" s="100" t="str">
        <f>IF($B1650&lt;&gt;"",_xlfn.IFNA(VLOOKUP($B1650,'Node Details'!$B:$U,C$1,0),"Check"),"")</f>
        <v>0000CM420-CM4200102</v>
      </c>
      <c r="D1650" s="100" t="str">
        <f>IF($B1650&lt;&gt;"",_xlfn.IFNA(VLOOKUP($B1650,'Node Details'!$B:$U,D$1,0),"Check"),"")</f>
        <v>CM4</v>
      </c>
      <c r="E1650" s="100" t="str">
        <f>IF($B1650&lt;&gt;"",_xlfn.IFNA(VLOOKUP($B1650,'Node Details'!$B:$U,E$1,0),"Check"),"")</f>
        <v>Airtel</v>
      </c>
      <c r="F1650" s="101">
        <v>46148</v>
      </c>
      <c r="G1650" s="103"/>
      <c r="H1650" s="102" t="s">
        <v>1256</v>
      </c>
      <c r="I1650" s="9">
        <v>1</v>
      </c>
      <c r="J1650" s="9">
        <v>50</v>
      </c>
      <c r="K1650" s="100">
        <f t="shared" si="220"/>
        <v>50</v>
      </c>
      <c r="L1650" s="78">
        <v>46142</v>
      </c>
      <c r="M1650" s="103"/>
      <c r="N1650" s="93" t="s">
        <v>534</v>
      </c>
      <c r="O1650" s="94"/>
      <c r="P1650" s="104">
        <f t="shared" si="221"/>
        <v>50</v>
      </c>
      <c r="Q1650" s="104">
        <f t="shared" si="222"/>
        <v>50</v>
      </c>
      <c r="R1650" s="104"/>
      <c r="S1650" s="93" t="s">
        <v>144</v>
      </c>
      <c r="T1650" s="94"/>
      <c r="U1650" s="104">
        <f t="shared" si="223"/>
        <v>50</v>
      </c>
      <c r="V1650" s="104">
        <f t="shared" si="224"/>
        <v>1</v>
      </c>
      <c r="W1650" s="103">
        <f t="shared" si="225"/>
        <v>50</v>
      </c>
      <c r="X1650" s="93" t="s">
        <v>803</v>
      </c>
      <c r="Y1650" s="105" t="s">
        <v>84</v>
      </c>
      <c r="Z1650" s="105" t="s">
        <v>619</v>
      </c>
    </row>
    <row r="1651" spans="1:26" s="105" customFormat="1" ht="15" customHeight="1">
      <c r="A1651" s="99">
        <f t="shared" si="219"/>
        <v>1649</v>
      </c>
      <c r="B1651" s="75" t="s">
        <v>944</v>
      </c>
      <c r="C1651" s="100" t="str">
        <f>IF($B1651&lt;&gt;"",_xlfn.IFNA(VLOOKUP($B1651,'Node Details'!$B:$U,C$1,0),"Check"),"")</f>
        <v>0000CM420-CM4200102</v>
      </c>
      <c r="D1651" s="100" t="str">
        <f>IF($B1651&lt;&gt;"",_xlfn.IFNA(VLOOKUP($B1651,'Node Details'!$B:$U,D$1,0),"Check"),"")</f>
        <v>CM4</v>
      </c>
      <c r="E1651" s="100" t="str">
        <f>IF($B1651&lt;&gt;"",_xlfn.IFNA(VLOOKUP($B1651,'Node Details'!$B:$U,E$1,0),"Check"),"")</f>
        <v>Airtel</v>
      </c>
      <c r="F1651" s="101">
        <v>46148</v>
      </c>
      <c r="G1651" s="103"/>
      <c r="H1651" s="102" t="s">
        <v>1256</v>
      </c>
      <c r="I1651" s="9">
        <v>1</v>
      </c>
      <c r="J1651" s="9">
        <v>50</v>
      </c>
      <c r="K1651" s="100">
        <f t="shared" si="220"/>
        <v>50</v>
      </c>
      <c r="L1651" s="78">
        <v>46142</v>
      </c>
      <c r="M1651" s="103"/>
      <c r="N1651" s="93" t="s">
        <v>534</v>
      </c>
      <c r="O1651" s="94"/>
      <c r="P1651" s="104">
        <f t="shared" si="221"/>
        <v>50</v>
      </c>
      <c r="Q1651" s="104">
        <f t="shared" si="222"/>
        <v>50</v>
      </c>
      <c r="R1651" s="104"/>
      <c r="S1651" s="93" t="s">
        <v>144</v>
      </c>
      <c r="T1651" s="94"/>
      <c r="U1651" s="104">
        <f t="shared" si="223"/>
        <v>50</v>
      </c>
      <c r="V1651" s="104">
        <f t="shared" si="224"/>
        <v>1</v>
      </c>
      <c r="W1651" s="103">
        <f t="shared" si="225"/>
        <v>50</v>
      </c>
      <c r="X1651" s="93" t="s">
        <v>803</v>
      </c>
      <c r="Y1651" s="105" t="s">
        <v>84</v>
      </c>
      <c r="Z1651" s="105" t="s">
        <v>619</v>
      </c>
    </row>
    <row r="1652" spans="1:26" s="105" customFormat="1" ht="15" customHeight="1">
      <c r="A1652" s="99">
        <f t="shared" si="219"/>
        <v>1650</v>
      </c>
      <c r="B1652" s="75" t="s">
        <v>946</v>
      </c>
      <c r="C1652" s="100" t="str">
        <f>IF($B1652&lt;&gt;"",_xlfn.IFNA(VLOOKUP($B1652,'Node Details'!$B:$U,C$1,0),"Check"),"")</f>
        <v>0000CM420-CM4200108</v>
      </c>
      <c r="D1652" s="100" t="str">
        <f>IF($B1652&lt;&gt;"",_xlfn.IFNA(VLOOKUP($B1652,'Node Details'!$B:$U,D$1,0),"Check"),"")</f>
        <v>CM4</v>
      </c>
      <c r="E1652" s="100" t="str">
        <f>IF($B1652&lt;&gt;"",_xlfn.IFNA(VLOOKUP($B1652,'Node Details'!$B:$U,E$1,0),"Check"),"")</f>
        <v>Airtel</v>
      </c>
      <c r="F1652" s="101">
        <v>46148</v>
      </c>
      <c r="G1652" s="103"/>
      <c r="H1652" s="102" t="s">
        <v>1256</v>
      </c>
      <c r="I1652" s="9">
        <v>1</v>
      </c>
      <c r="J1652" s="9">
        <v>50</v>
      </c>
      <c r="K1652" s="100">
        <f t="shared" si="220"/>
        <v>50</v>
      </c>
      <c r="L1652" s="78">
        <v>46142</v>
      </c>
      <c r="M1652" s="103"/>
      <c r="N1652" s="93" t="s">
        <v>534</v>
      </c>
      <c r="O1652" s="94"/>
      <c r="P1652" s="104">
        <f t="shared" si="221"/>
        <v>50</v>
      </c>
      <c r="Q1652" s="104">
        <f t="shared" si="222"/>
        <v>50</v>
      </c>
      <c r="R1652" s="104"/>
      <c r="S1652" s="93" t="s">
        <v>144</v>
      </c>
      <c r="T1652" s="94"/>
      <c r="U1652" s="104">
        <f t="shared" si="223"/>
        <v>50</v>
      </c>
      <c r="V1652" s="104">
        <f t="shared" si="224"/>
        <v>1</v>
      </c>
      <c r="W1652" s="103">
        <f t="shared" si="225"/>
        <v>50</v>
      </c>
      <c r="X1652" s="93" t="s">
        <v>803</v>
      </c>
      <c r="Y1652" s="105" t="s">
        <v>84</v>
      </c>
      <c r="Z1652" s="105" t="s">
        <v>619</v>
      </c>
    </row>
    <row r="1653" spans="1:26" s="105" customFormat="1" ht="15" customHeight="1">
      <c r="A1653" s="99">
        <f t="shared" si="219"/>
        <v>1651</v>
      </c>
      <c r="B1653" s="75" t="s">
        <v>948</v>
      </c>
      <c r="C1653" s="100" t="str">
        <f>IF($B1653&lt;&gt;"",_xlfn.IFNA(VLOOKUP($B1653,'Node Details'!$B:$U,C$1,0),"Check"),"")</f>
        <v>0000CM420-CM4200106</v>
      </c>
      <c r="D1653" s="100" t="str">
        <f>IF($B1653&lt;&gt;"",_xlfn.IFNA(VLOOKUP($B1653,'Node Details'!$B:$U,D$1,0),"Check"),"")</f>
        <v>CM4</v>
      </c>
      <c r="E1653" s="100" t="str">
        <f>IF($B1653&lt;&gt;"",_xlfn.IFNA(VLOOKUP($B1653,'Node Details'!$B:$U,E$1,0),"Check"),"")</f>
        <v>Airtel</v>
      </c>
      <c r="F1653" s="101">
        <v>46148</v>
      </c>
      <c r="G1653" s="103"/>
      <c r="H1653" s="102" t="s">
        <v>1256</v>
      </c>
      <c r="I1653" s="9">
        <v>1</v>
      </c>
      <c r="J1653" s="9">
        <v>50</v>
      </c>
      <c r="K1653" s="100">
        <f t="shared" si="220"/>
        <v>50</v>
      </c>
      <c r="L1653" s="78">
        <v>46142</v>
      </c>
      <c r="M1653" s="103"/>
      <c r="N1653" s="93" t="s">
        <v>534</v>
      </c>
      <c r="O1653" s="94"/>
      <c r="P1653" s="104">
        <f t="shared" si="221"/>
        <v>50</v>
      </c>
      <c r="Q1653" s="104">
        <f t="shared" si="222"/>
        <v>50</v>
      </c>
      <c r="R1653" s="104"/>
      <c r="S1653" s="93" t="s">
        <v>144</v>
      </c>
      <c r="T1653" s="94"/>
      <c r="U1653" s="104">
        <f t="shared" si="223"/>
        <v>50</v>
      </c>
      <c r="V1653" s="104">
        <f t="shared" si="224"/>
        <v>1</v>
      </c>
      <c r="W1653" s="103">
        <f t="shared" si="225"/>
        <v>50</v>
      </c>
      <c r="X1653" s="93" t="s">
        <v>803</v>
      </c>
      <c r="Y1653" s="105" t="s">
        <v>84</v>
      </c>
      <c r="Z1653" s="105" t="s">
        <v>619</v>
      </c>
    </row>
    <row r="1654" spans="1:26" s="105" customFormat="1" ht="15" customHeight="1">
      <c r="A1654" s="99">
        <f t="shared" si="219"/>
        <v>1652</v>
      </c>
      <c r="B1654" s="75" t="s">
        <v>818</v>
      </c>
      <c r="C1654" s="100" t="str">
        <f>IF($B1654&lt;&gt;"",_xlfn.IFNA(VLOOKUP($B1654,'Node Details'!$B:$U,C$1,0),"Check"),"")</f>
        <v>000000CM4-0000CM421</v>
      </c>
      <c r="D1654" s="100" t="str">
        <f>IF($B1654&lt;&gt;"",_xlfn.IFNA(VLOOKUP($B1654,'Node Details'!$B:$U,D$1,0),"Check"),"")</f>
        <v>CM4</v>
      </c>
      <c r="E1654" s="100" t="str">
        <f>IF($B1654&lt;&gt;"",_xlfn.IFNA(VLOOKUP($B1654,'Node Details'!$B:$U,E$1,0),"Check"),"")</f>
        <v>Airtel</v>
      </c>
      <c r="F1654" s="101">
        <v>46148</v>
      </c>
      <c r="G1654" s="103"/>
      <c r="H1654" s="102" t="s">
        <v>1256</v>
      </c>
      <c r="I1654" s="9">
        <v>1</v>
      </c>
      <c r="J1654" s="9">
        <v>50</v>
      </c>
      <c r="K1654" s="100">
        <f t="shared" si="220"/>
        <v>50</v>
      </c>
      <c r="L1654" s="78">
        <v>46142</v>
      </c>
      <c r="M1654" s="103"/>
      <c r="N1654" s="93" t="s">
        <v>534</v>
      </c>
      <c r="O1654" s="94"/>
      <c r="P1654" s="104">
        <f t="shared" si="221"/>
        <v>50</v>
      </c>
      <c r="Q1654" s="104">
        <f t="shared" si="222"/>
        <v>50</v>
      </c>
      <c r="R1654" s="104"/>
      <c r="S1654" s="93" t="s">
        <v>144</v>
      </c>
      <c r="T1654" s="94"/>
      <c r="U1654" s="104">
        <f t="shared" si="223"/>
        <v>50</v>
      </c>
      <c r="V1654" s="104">
        <f t="shared" si="224"/>
        <v>1</v>
      </c>
      <c r="W1654" s="103">
        <f t="shared" si="225"/>
        <v>50</v>
      </c>
      <c r="X1654" s="93" t="s">
        <v>803</v>
      </c>
      <c r="Y1654" s="105" t="s">
        <v>84</v>
      </c>
      <c r="Z1654" s="105" t="s">
        <v>619</v>
      </c>
    </row>
    <row r="1655" spans="1:26" s="105" customFormat="1" ht="15" customHeight="1">
      <c r="A1655" s="99">
        <f t="shared" si="219"/>
        <v>1653</v>
      </c>
      <c r="B1655" s="75" t="s">
        <v>950</v>
      </c>
      <c r="C1655" s="100" t="str">
        <f>IF($B1655&lt;&gt;"",_xlfn.IFNA(VLOOKUP($B1655,'Node Details'!$B:$U,C$1,0),"Check"),"")</f>
        <v>0000CM421-CM4210101</v>
      </c>
      <c r="D1655" s="100" t="str">
        <f>IF($B1655&lt;&gt;"",_xlfn.IFNA(VLOOKUP($B1655,'Node Details'!$B:$U,D$1,0),"Check"),"")</f>
        <v>CM4</v>
      </c>
      <c r="E1655" s="100" t="str">
        <f>IF($B1655&lt;&gt;"",_xlfn.IFNA(VLOOKUP($B1655,'Node Details'!$B:$U,E$1,0),"Check"),"")</f>
        <v>Airtel</v>
      </c>
      <c r="F1655" s="101">
        <v>46148</v>
      </c>
      <c r="G1655" s="103"/>
      <c r="H1655" s="102" t="s">
        <v>1256</v>
      </c>
      <c r="I1655" s="9">
        <v>1</v>
      </c>
      <c r="J1655" s="9">
        <v>50</v>
      </c>
      <c r="K1655" s="100">
        <f t="shared" si="220"/>
        <v>50</v>
      </c>
      <c r="L1655" s="78">
        <v>46142</v>
      </c>
      <c r="M1655" s="103"/>
      <c r="N1655" s="93" t="s">
        <v>534</v>
      </c>
      <c r="O1655" s="94"/>
      <c r="P1655" s="104">
        <f t="shared" si="221"/>
        <v>50</v>
      </c>
      <c r="Q1655" s="104">
        <f t="shared" si="222"/>
        <v>50</v>
      </c>
      <c r="R1655" s="104"/>
      <c r="S1655" s="93" t="s">
        <v>144</v>
      </c>
      <c r="T1655" s="94"/>
      <c r="U1655" s="104">
        <f t="shared" si="223"/>
        <v>50</v>
      </c>
      <c r="V1655" s="104">
        <f t="shared" si="224"/>
        <v>1</v>
      </c>
      <c r="W1655" s="103">
        <f t="shared" si="225"/>
        <v>50</v>
      </c>
      <c r="X1655" s="93" t="s">
        <v>803</v>
      </c>
      <c r="Y1655" s="105" t="s">
        <v>84</v>
      </c>
      <c r="Z1655" s="105" t="s">
        <v>619</v>
      </c>
    </row>
    <row r="1656" spans="1:26" s="105" customFormat="1" ht="15" customHeight="1">
      <c r="A1656" s="99">
        <f t="shared" si="219"/>
        <v>1654</v>
      </c>
      <c r="B1656" s="75" t="s">
        <v>1239</v>
      </c>
      <c r="C1656" s="100" t="str">
        <f>IF($B1656&lt;&gt;"",_xlfn.IFNA(VLOOKUP($B1656,'Node Details'!$B:$U,C$1,0),"Check"),"")</f>
        <v>0000CM421-CM4210104</v>
      </c>
      <c r="D1656" s="100" t="str">
        <f>IF($B1656&lt;&gt;"",_xlfn.IFNA(VLOOKUP($B1656,'Node Details'!$B:$U,D$1,0),"Check"),"")</f>
        <v>CM4</v>
      </c>
      <c r="E1656" s="100" t="str">
        <f>IF($B1656&lt;&gt;"",_xlfn.IFNA(VLOOKUP($B1656,'Node Details'!$B:$U,E$1,0),"Check"),"")</f>
        <v>Airtel</v>
      </c>
      <c r="F1656" s="101">
        <v>46148</v>
      </c>
      <c r="G1656" s="103"/>
      <c r="H1656" s="102" t="s">
        <v>1256</v>
      </c>
      <c r="I1656" s="9">
        <v>1</v>
      </c>
      <c r="J1656" s="9">
        <v>50</v>
      </c>
      <c r="K1656" s="100">
        <f t="shared" si="220"/>
        <v>50</v>
      </c>
      <c r="L1656" s="78">
        <v>46142</v>
      </c>
      <c r="M1656" s="103"/>
      <c r="N1656" s="93" t="s">
        <v>534</v>
      </c>
      <c r="O1656" s="94"/>
      <c r="P1656" s="104">
        <f t="shared" si="221"/>
        <v>50</v>
      </c>
      <c r="Q1656" s="104">
        <f t="shared" si="222"/>
        <v>50</v>
      </c>
      <c r="R1656" s="104"/>
      <c r="S1656" s="93" t="s">
        <v>144</v>
      </c>
      <c r="T1656" s="94"/>
      <c r="U1656" s="104">
        <f t="shared" si="223"/>
        <v>50</v>
      </c>
      <c r="V1656" s="104">
        <f t="shared" si="224"/>
        <v>1</v>
      </c>
      <c r="W1656" s="103">
        <f t="shared" si="225"/>
        <v>50</v>
      </c>
      <c r="X1656" s="93" t="s">
        <v>803</v>
      </c>
      <c r="Y1656" s="105" t="s">
        <v>84</v>
      </c>
      <c r="Z1656" s="105" t="s">
        <v>619</v>
      </c>
    </row>
    <row r="1657" spans="1:26" s="105" customFormat="1" ht="15" customHeight="1">
      <c r="A1657" s="99">
        <f t="shared" si="219"/>
        <v>1655</v>
      </c>
      <c r="B1657" s="75" t="s">
        <v>1240</v>
      </c>
      <c r="C1657" s="100" t="str">
        <f>IF($B1657&lt;&gt;"",_xlfn.IFNA(VLOOKUP($B1657,'Node Details'!$B:$U,C$1,0),"Check"),"")</f>
        <v>0000CM421-CM4210104</v>
      </c>
      <c r="D1657" s="100" t="str">
        <f>IF($B1657&lt;&gt;"",_xlfn.IFNA(VLOOKUP($B1657,'Node Details'!$B:$U,D$1,0),"Check"),"")</f>
        <v>CM4</v>
      </c>
      <c r="E1657" s="100" t="str">
        <f>IF($B1657&lt;&gt;"",_xlfn.IFNA(VLOOKUP($B1657,'Node Details'!$B:$U,E$1,0),"Check"),"")</f>
        <v>Airtel</v>
      </c>
      <c r="F1657" s="101">
        <v>46148</v>
      </c>
      <c r="G1657" s="103"/>
      <c r="H1657" s="102" t="s">
        <v>1256</v>
      </c>
      <c r="I1657" s="9">
        <v>1</v>
      </c>
      <c r="J1657" s="9">
        <v>50</v>
      </c>
      <c r="K1657" s="100">
        <f t="shared" si="220"/>
        <v>50</v>
      </c>
      <c r="L1657" s="78">
        <v>46142</v>
      </c>
      <c r="M1657" s="103"/>
      <c r="N1657" s="93" t="s">
        <v>534</v>
      </c>
      <c r="O1657" s="94"/>
      <c r="P1657" s="104">
        <f t="shared" si="221"/>
        <v>50</v>
      </c>
      <c r="Q1657" s="104">
        <f t="shared" si="222"/>
        <v>50</v>
      </c>
      <c r="R1657" s="104"/>
      <c r="S1657" s="93" t="s">
        <v>144</v>
      </c>
      <c r="T1657" s="94"/>
      <c r="U1657" s="104">
        <f t="shared" si="223"/>
        <v>50</v>
      </c>
      <c r="V1657" s="104">
        <f t="shared" si="224"/>
        <v>1</v>
      </c>
      <c r="W1657" s="103">
        <f t="shared" si="225"/>
        <v>50</v>
      </c>
      <c r="X1657" s="93" t="s">
        <v>803</v>
      </c>
      <c r="Y1657" s="105" t="s">
        <v>84</v>
      </c>
      <c r="Z1657" s="105" t="s">
        <v>619</v>
      </c>
    </row>
    <row r="1658" spans="1:26" s="105" customFormat="1" ht="15" customHeight="1">
      <c r="A1658" s="99">
        <f t="shared" si="219"/>
        <v>1656</v>
      </c>
      <c r="B1658" s="75" t="s">
        <v>952</v>
      </c>
      <c r="C1658" s="100" t="str">
        <f>IF($B1658&lt;&gt;"",_xlfn.IFNA(VLOOKUP($B1658,'Node Details'!$B:$U,C$1,0),"Check"),"")</f>
        <v>0000CM421-CM4210104</v>
      </c>
      <c r="D1658" s="100" t="str">
        <f>IF($B1658&lt;&gt;"",_xlfn.IFNA(VLOOKUP($B1658,'Node Details'!$B:$U,D$1,0),"Check"),"")</f>
        <v>CM4</v>
      </c>
      <c r="E1658" s="100" t="str">
        <f>IF($B1658&lt;&gt;"",_xlfn.IFNA(VLOOKUP($B1658,'Node Details'!$B:$U,E$1,0),"Check"),"")</f>
        <v>Airtel</v>
      </c>
      <c r="F1658" s="101">
        <v>46148</v>
      </c>
      <c r="G1658" s="103"/>
      <c r="H1658" s="102" t="s">
        <v>1256</v>
      </c>
      <c r="I1658" s="9">
        <v>1</v>
      </c>
      <c r="J1658" s="9">
        <v>50</v>
      </c>
      <c r="K1658" s="100">
        <f t="shared" si="220"/>
        <v>50</v>
      </c>
      <c r="L1658" s="78">
        <v>46142</v>
      </c>
      <c r="M1658" s="103"/>
      <c r="N1658" s="93" t="s">
        <v>534</v>
      </c>
      <c r="O1658" s="94"/>
      <c r="P1658" s="104">
        <f t="shared" si="221"/>
        <v>50</v>
      </c>
      <c r="Q1658" s="104">
        <f t="shared" si="222"/>
        <v>50</v>
      </c>
      <c r="R1658" s="104"/>
      <c r="S1658" s="93" t="s">
        <v>144</v>
      </c>
      <c r="T1658" s="94"/>
      <c r="U1658" s="104">
        <f t="shared" si="223"/>
        <v>50</v>
      </c>
      <c r="V1658" s="104">
        <f t="shared" si="224"/>
        <v>1</v>
      </c>
      <c r="W1658" s="103">
        <f t="shared" si="225"/>
        <v>50</v>
      </c>
      <c r="X1658" s="93" t="s">
        <v>803</v>
      </c>
      <c r="Y1658" s="105" t="s">
        <v>84</v>
      </c>
      <c r="Z1658" s="105" t="s">
        <v>619</v>
      </c>
    </row>
    <row r="1659" spans="1:26" s="105" customFormat="1" ht="15" customHeight="1">
      <c r="A1659" s="99">
        <f t="shared" si="219"/>
        <v>1657</v>
      </c>
      <c r="B1659" s="75" t="s">
        <v>954</v>
      </c>
      <c r="C1659" s="100" t="str">
        <f>IF($B1659&lt;&gt;"",_xlfn.IFNA(VLOOKUP($B1659,'Node Details'!$B:$U,C$1,0),"Check"),"")</f>
        <v>0000CM421-CM4210105</v>
      </c>
      <c r="D1659" s="100" t="str">
        <f>IF($B1659&lt;&gt;"",_xlfn.IFNA(VLOOKUP($B1659,'Node Details'!$B:$U,D$1,0),"Check"),"")</f>
        <v>CM4</v>
      </c>
      <c r="E1659" s="100" t="str">
        <f>IF($B1659&lt;&gt;"",_xlfn.IFNA(VLOOKUP($B1659,'Node Details'!$B:$U,E$1,0),"Check"),"")</f>
        <v>Airtel</v>
      </c>
      <c r="F1659" s="101">
        <v>46148</v>
      </c>
      <c r="G1659" s="103"/>
      <c r="H1659" s="102" t="s">
        <v>1256</v>
      </c>
      <c r="I1659" s="9">
        <v>1</v>
      </c>
      <c r="J1659" s="9">
        <v>50</v>
      </c>
      <c r="K1659" s="100">
        <f t="shared" si="220"/>
        <v>50</v>
      </c>
      <c r="L1659" s="78">
        <v>46142</v>
      </c>
      <c r="M1659" s="103"/>
      <c r="N1659" s="93" t="s">
        <v>534</v>
      </c>
      <c r="O1659" s="94"/>
      <c r="P1659" s="104">
        <f t="shared" si="221"/>
        <v>50</v>
      </c>
      <c r="Q1659" s="104">
        <f t="shared" si="222"/>
        <v>50</v>
      </c>
      <c r="R1659" s="104"/>
      <c r="S1659" s="93" t="s">
        <v>144</v>
      </c>
      <c r="T1659" s="94"/>
      <c r="U1659" s="104">
        <f t="shared" si="223"/>
        <v>50</v>
      </c>
      <c r="V1659" s="104">
        <f t="shared" si="224"/>
        <v>1</v>
      </c>
      <c r="W1659" s="103">
        <f t="shared" si="225"/>
        <v>50</v>
      </c>
      <c r="X1659" s="93" t="s">
        <v>803</v>
      </c>
      <c r="Y1659" s="105" t="s">
        <v>84</v>
      </c>
      <c r="Z1659" s="105" t="s">
        <v>619</v>
      </c>
    </row>
    <row r="1660" spans="1:26" s="105" customFormat="1" ht="15" customHeight="1">
      <c r="A1660" s="99">
        <f t="shared" si="219"/>
        <v>1658</v>
      </c>
      <c r="B1660" s="75" t="s">
        <v>801</v>
      </c>
      <c r="C1660" s="100" t="str">
        <f>IF($B1660&lt;&gt;"",_xlfn.IFNA(VLOOKUP($B1660,'Node Details'!$B:$U,C$1,0),"Check"),"")</f>
        <v>000000CM4-0000CM418</v>
      </c>
      <c r="D1660" s="100" t="str">
        <f>IF($B1660&lt;&gt;"",_xlfn.IFNA(VLOOKUP($B1660,'Node Details'!$B:$U,D$1,0),"Check"),"")</f>
        <v>CM4</v>
      </c>
      <c r="E1660" s="100" t="str">
        <f>IF($B1660&lt;&gt;"",_xlfn.IFNA(VLOOKUP($B1660,'Node Details'!$B:$U,E$1,0),"Check"),"")</f>
        <v>Airtel</v>
      </c>
      <c r="F1660" s="101">
        <v>46148</v>
      </c>
      <c r="G1660" s="103"/>
      <c r="H1660" s="102" t="s">
        <v>1259</v>
      </c>
      <c r="I1660" s="9">
        <v>1</v>
      </c>
      <c r="J1660" s="9">
        <v>3750</v>
      </c>
      <c r="K1660" s="100">
        <f t="shared" si="220"/>
        <v>3750</v>
      </c>
      <c r="L1660" s="78">
        <v>46142</v>
      </c>
      <c r="M1660" s="103"/>
      <c r="N1660" s="93" t="s">
        <v>534</v>
      </c>
      <c r="O1660" s="94"/>
      <c r="P1660" s="104">
        <f t="shared" si="221"/>
        <v>3750</v>
      </c>
      <c r="Q1660" s="104">
        <f t="shared" si="222"/>
        <v>3750</v>
      </c>
      <c r="R1660" s="104"/>
      <c r="S1660" s="93" t="s">
        <v>144</v>
      </c>
      <c r="T1660" s="94"/>
      <c r="U1660" s="104">
        <f t="shared" si="223"/>
        <v>3750</v>
      </c>
      <c r="V1660" s="104">
        <f t="shared" si="224"/>
        <v>1</v>
      </c>
      <c r="W1660" s="103">
        <f t="shared" si="225"/>
        <v>3750</v>
      </c>
      <c r="X1660" s="93" t="s">
        <v>803</v>
      </c>
      <c r="Y1660" s="105" t="s">
        <v>84</v>
      </c>
      <c r="Z1660" s="105" t="s">
        <v>619</v>
      </c>
    </row>
    <row r="1661" spans="1:26" s="105" customFormat="1" ht="15" customHeight="1">
      <c r="A1661" s="99">
        <f t="shared" si="219"/>
        <v>1659</v>
      </c>
      <c r="B1661" s="75" t="s">
        <v>820</v>
      </c>
      <c r="C1661" s="100" t="str">
        <f>IF($B1661&lt;&gt;"",_xlfn.IFNA(VLOOKUP($B1661,'Node Details'!$B:$U,C$1,0),"Check"),"")</f>
        <v>000000CM4-0000CM403</v>
      </c>
      <c r="D1661" s="100" t="str">
        <f>IF($B1661&lt;&gt;"",_xlfn.IFNA(VLOOKUP($B1661,'Node Details'!$B:$U,D$1,0),"Check"),"")</f>
        <v>CM4</v>
      </c>
      <c r="E1661" s="100" t="str">
        <f>IF($B1661&lt;&gt;"",_xlfn.IFNA(VLOOKUP($B1661,'Node Details'!$B:$U,E$1,0),"Check"),"")</f>
        <v>Airtel</v>
      </c>
      <c r="F1661" s="101">
        <v>46148</v>
      </c>
      <c r="G1661" s="103"/>
      <c r="H1661" s="102" t="s">
        <v>1258</v>
      </c>
      <c r="I1661" s="9">
        <v>20</v>
      </c>
      <c r="J1661" s="9">
        <v>60</v>
      </c>
      <c r="K1661" s="100">
        <f t="shared" si="220"/>
        <v>1200</v>
      </c>
      <c r="L1661" s="78">
        <v>46142</v>
      </c>
      <c r="M1661" s="103"/>
      <c r="N1661" s="93" t="s">
        <v>534</v>
      </c>
      <c r="O1661" s="94"/>
      <c r="P1661" s="104">
        <f t="shared" si="221"/>
        <v>60</v>
      </c>
      <c r="Q1661" s="104">
        <f t="shared" si="222"/>
        <v>1200</v>
      </c>
      <c r="R1661" s="104"/>
      <c r="S1661" s="93" t="s">
        <v>144</v>
      </c>
      <c r="T1661" s="94"/>
      <c r="U1661" s="104">
        <f t="shared" si="223"/>
        <v>60</v>
      </c>
      <c r="V1661" s="104">
        <f t="shared" si="224"/>
        <v>20</v>
      </c>
      <c r="W1661" s="103">
        <f t="shared" si="225"/>
        <v>1200</v>
      </c>
      <c r="X1661" s="93" t="s">
        <v>803</v>
      </c>
      <c r="Y1661" s="105" t="s">
        <v>84</v>
      </c>
      <c r="Z1661" s="105" t="s">
        <v>619</v>
      </c>
    </row>
    <row r="1662" spans="1:26" s="105" customFormat="1" ht="15" customHeight="1">
      <c r="A1662" s="99">
        <f t="shared" si="219"/>
        <v>1660</v>
      </c>
      <c r="B1662" s="75" t="s">
        <v>1204</v>
      </c>
      <c r="C1662" s="100" t="str">
        <f>IF($B1662&lt;&gt;"",_xlfn.IFNA(VLOOKUP($B1662,'Node Details'!$B:$U,C$1,0),"Check"),"")</f>
        <v>0000CM401-CM4010104</v>
      </c>
      <c r="D1662" s="100" t="str">
        <f>IF($B1662&lt;&gt;"",_xlfn.IFNA(VLOOKUP($B1662,'Node Details'!$B:$U,D$1,0),"Check"),"")</f>
        <v>CM4</v>
      </c>
      <c r="E1662" s="100" t="str">
        <f>IF($B1662&lt;&gt;"",_xlfn.IFNA(VLOOKUP($B1662,'Node Details'!$B:$U,E$1,0),"Check"),"")</f>
        <v>Airtel</v>
      </c>
      <c r="F1662" s="101">
        <v>46148</v>
      </c>
      <c r="G1662" s="103"/>
      <c r="H1662" s="102" t="s">
        <v>1258</v>
      </c>
      <c r="I1662" s="9">
        <v>6</v>
      </c>
      <c r="J1662" s="9">
        <v>60</v>
      </c>
      <c r="K1662" s="100">
        <f t="shared" si="220"/>
        <v>360</v>
      </c>
      <c r="L1662" s="78">
        <v>46142</v>
      </c>
      <c r="M1662" s="103"/>
      <c r="N1662" s="93" t="s">
        <v>534</v>
      </c>
      <c r="O1662" s="94"/>
      <c r="P1662" s="104">
        <f t="shared" si="221"/>
        <v>60</v>
      </c>
      <c r="Q1662" s="104">
        <f t="shared" si="222"/>
        <v>360</v>
      </c>
      <c r="R1662" s="104"/>
      <c r="S1662" s="93" t="s">
        <v>144</v>
      </c>
      <c r="T1662" s="94"/>
      <c r="U1662" s="104">
        <f t="shared" si="223"/>
        <v>60</v>
      </c>
      <c r="V1662" s="104">
        <f t="shared" si="224"/>
        <v>6</v>
      </c>
      <c r="W1662" s="103">
        <f t="shared" si="225"/>
        <v>360</v>
      </c>
      <c r="X1662" s="93" t="s">
        <v>803</v>
      </c>
      <c r="Y1662" s="105" t="s">
        <v>84</v>
      </c>
      <c r="Z1662" s="105" t="s">
        <v>619</v>
      </c>
    </row>
    <row r="1663" spans="1:26" s="105" customFormat="1" ht="15" customHeight="1">
      <c r="A1663" s="99">
        <f t="shared" si="219"/>
        <v>1661</v>
      </c>
      <c r="B1663" s="75" t="s">
        <v>827</v>
      </c>
      <c r="C1663" s="100" t="str">
        <f>IF($B1663&lt;&gt;"",_xlfn.IFNA(VLOOKUP($B1663,'Node Details'!$B:$U,C$1,0),"Check"),"")</f>
        <v>0000CM401-CM4010104</v>
      </c>
      <c r="D1663" s="100" t="str">
        <f>IF($B1663&lt;&gt;"",_xlfn.IFNA(VLOOKUP($B1663,'Node Details'!$B:$U,D$1,0),"Check"),"")</f>
        <v>CM4</v>
      </c>
      <c r="E1663" s="100" t="str">
        <f>IF($B1663&lt;&gt;"",_xlfn.IFNA(VLOOKUP($B1663,'Node Details'!$B:$U,E$1,0),"Check"),"")</f>
        <v>Airtel</v>
      </c>
      <c r="F1663" s="101">
        <v>46148</v>
      </c>
      <c r="G1663" s="103"/>
      <c r="H1663" s="102" t="s">
        <v>1258</v>
      </c>
      <c r="I1663" s="9">
        <v>4</v>
      </c>
      <c r="J1663" s="9">
        <v>60</v>
      </c>
      <c r="K1663" s="100">
        <f t="shared" si="220"/>
        <v>240</v>
      </c>
      <c r="L1663" s="78">
        <v>46142</v>
      </c>
      <c r="M1663" s="103"/>
      <c r="N1663" s="93" t="s">
        <v>534</v>
      </c>
      <c r="O1663" s="94"/>
      <c r="P1663" s="104">
        <f t="shared" si="221"/>
        <v>60</v>
      </c>
      <c r="Q1663" s="104">
        <f t="shared" si="222"/>
        <v>240</v>
      </c>
      <c r="R1663" s="104"/>
      <c r="S1663" s="93" t="s">
        <v>144</v>
      </c>
      <c r="T1663" s="94"/>
      <c r="U1663" s="104">
        <f t="shared" si="223"/>
        <v>60</v>
      </c>
      <c r="V1663" s="104">
        <f t="shared" si="224"/>
        <v>4</v>
      </c>
      <c r="W1663" s="103">
        <f t="shared" si="225"/>
        <v>240</v>
      </c>
      <c r="X1663" s="93" t="s">
        <v>803</v>
      </c>
      <c r="Y1663" s="105" t="s">
        <v>84</v>
      </c>
      <c r="Z1663" s="105" t="s">
        <v>619</v>
      </c>
    </row>
    <row r="1664" spans="1:26" s="105" customFormat="1" ht="15" customHeight="1">
      <c r="A1664" s="99">
        <f t="shared" si="219"/>
        <v>1662</v>
      </c>
      <c r="B1664" s="75" t="s">
        <v>823</v>
      </c>
      <c r="C1664" s="100" t="str">
        <f>IF($B1664&lt;&gt;"",_xlfn.IFNA(VLOOKUP($B1664,'Node Details'!$B:$U,C$1,0),"Check"),"")</f>
        <v>0000CM401-CM4010102</v>
      </c>
      <c r="D1664" s="100" t="str">
        <f>IF($B1664&lt;&gt;"",_xlfn.IFNA(VLOOKUP($B1664,'Node Details'!$B:$U,D$1,0),"Check"),"")</f>
        <v>CM4</v>
      </c>
      <c r="E1664" s="100" t="str">
        <f>IF($B1664&lt;&gt;"",_xlfn.IFNA(VLOOKUP($B1664,'Node Details'!$B:$U,E$1,0),"Check"),"")</f>
        <v>Airtel</v>
      </c>
      <c r="F1664" s="101">
        <v>46148</v>
      </c>
      <c r="G1664" s="103"/>
      <c r="H1664" s="102" t="s">
        <v>1258</v>
      </c>
      <c r="I1664" s="9">
        <v>6</v>
      </c>
      <c r="J1664" s="9">
        <v>60</v>
      </c>
      <c r="K1664" s="100">
        <f t="shared" si="220"/>
        <v>360</v>
      </c>
      <c r="L1664" s="78">
        <v>46142</v>
      </c>
      <c r="M1664" s="103"/>
      <c r="N1664" s="93" t="s">
        <v>534</v>
      </c>
      <c r="O1664" s="94"/>
      <c r="P1664" s="104">
        <f t="shared" si="221"/>
        <v>60</v>
      </c>
      <c r="Q1664" s="104">
        <f t="shared" si="222"/>
        <v>360</v>
      </c>
      <c r="R1664" s="104"/>
      <c r="S1664" s="93" t="s">
        <v>144</v>
      </c>
      <c r="T1664" s="94"/>
      <c r="U1664" s="104">
        <f t="shared" si="223"/>
        <v>60</v>
      </c>
      <c r="V1664" s="104">
        <f t="shared" si="224"/>
        <v>6</v>
      </c>
      <c r="W1664" s="103">
        <f t="shared" si="225"/>
        <v>360</v>
      </c>
      <c r="X1664" s="93" t="s">
        <v>803</v>
      </c>
      <c r="Y1664" s="105" t="s">
        <v>84</v>
      </c>
      <c r="Z1664" s="105" t="s">
        <v>619</v>
      </c>
    </row>
    <row r="1665" spans="1:26" s="105" customFormat="1" ht="15" customHeight="1">
      <c r="A1665" s="99">
        <f t="shared" si="219"/>
        <v>1663</v>
      </c>
      <c r="B1665" s="75" t="s">
        <v>809</v>
      </c>
      <c r="C1665" s="100" t="str">
        <f>IF($B1665&lt;&gt;"",_xlfn.IFNA(VLOOKUP($B1665,'Node Details'!$B:$U,C$1,0),"Check"),"")</f>
        <v>000000CM4-0000CM403</v>
      </c>
      <c r="D1665" s="100" t="str">
        <f>IF($B1665&lt;&gt;"",_xlfn.IFNA(VLOOKUP($B1665,'Node Details'!$B:$U,D$1,0),"Check"),"")</f>
        <v>CM4</v>
      </c>
      <c r="E1665" s="100" t="str">
        <f>IF($B1665&lt;&gt;"",_xlfn.IFNA(VLOOKUP($B1665,'Node Details'!$B:$U,E$1,0),"Check"),"")</f>
        <v>Airtel</v>
      </c>
      <c r="F1665" s="101">
        <v>46148</v>
      </c>
      <c r="G1665" s="103"/>
      <c r="H1665" s="102" t="s">
        <v>1258</v>
      </c>
      <c r="I1665" s="9">
        <v>20</v>
      </c>
      <c r="J1665" s="9">
        <v>60</v>
      </c>
      <c r="K1665" s="100">
        <f t="shared" si="220"/>
        <v>1200</v>
      </c>
      <c r="L1665" s="78">
        <v>46142</v>
      </c>
      <c r="M1665" s="103"/>
      <c r="N1665" s="93" t="s">
        <v>534</v>
      </c>
      <c r="O1665" s="94"/>
      <c r="P1665" s="104">
        <f t="shared" si="221"/>
        <v>60</v>
      </c>
      <c r="Q1665" s="104">
        <f t="shared" si="222"/>
        <v>1200</v>
      </c>
      <c r="R1665" s="104"/>
      <c r="S1665" s="93" t="s">
        <v>144</v>
      </c>
      <c r="T1665" s="94"/>
      <c r="U1665" s="104">
        <f t="shared" si="223"/>
        <v>60</v>
      </c>
      <c r="V1665" s="104">
        <f t="shared" si="224"/>
        <v>20</v>
      </c>
      <c r="W1665" s="103">
        <f t="shared" si="225"/>
        <v>1200</v>
      </c>
      <c r="X1665" s="93" t="s">
        <v>803</v>
      </c>
      <c r="Y1665" s="105" t="s">
        <v>84</v>
      </c>
      <c r="Z1665" s="105" t="s">
        <v>619</v>
      </c>
    </row>
    <row r="1666" spans="1:26" s="105" customFormat="1" ht="15" customHeight="1">
      <c r="A1666" s="99">
        <f t="shared" si="219"/>
        <v>1664</v>
      </c>
      <c r="B1666" s="75" t="s">
        <v>1208</v>
      </c>
      <c r="C1666" s="100" t="str">
        <f>IF($B1666&lt;&gt;"",_xlfn.IFNA(VLOOKUP($B1666,'Node Details'!$B:$U,C$1,0),"Check"),"")</f>
        <v>0000CM402-CM4020104</v>
      </c>
      <c r="D1666" s="100" t="str">
        <f>IF($B1666&lt;&gt;"",_xlfn.IFNA(VLOOKUP($B1666,'Node Details'!$B:$U,D$1,0),"Check"),"")</f>
        <v>CM4</v>
      </c>
      <c r="E1666" s="100" t="str">
        <f>IF($B1666&lt;&gt;"",_xlfn.IFNA(VLOOKUP($B1666,'Node Details'!$B:$U,E$1,0),"Check"),"")</f>
        <v>Airtel</v>
      </c>
      <c r="F1666" s="101">
        <v>46148</v>
      </c>
      <c r="G1666" s="103"/>
      <c r="H1666" s="102" t="s">
        <v>1258</v>
      </c>
      <c r="I1666" s="9">
        <v>4</v>
      </c>
      <c r="J1666" s="9">
        <v>60</v>
      </c>
      <c r="K1666" s="100">
        <f t="shared" si="220"/>
        <v>240</v>
      </c>
      <c r="L1666" s="78">
        <v>46142</v>
      </c>
      <c r="M1666" s="103"/>
      <c r="N1666" s="93" t="s">
        <v>534</v>
      </c>
      <c r="O1666" s="94"/>
      <c r="P1666" s="104">
        <f t="shared" si="221"/>
        <v>60</v>
      </c>
      <c r="Q1666" s="104">
        <f t="shared" si="222"/>
        <v>240</v>
      </c>
      <c r="R1666" s="104"/>
      <c r="S1666" s="93" t="s">
        <v>144</v>
      </c>
      <c r="T1666" s="94"/>
      <c r="U1666" s="104">
        <f t="shared" si="223"/>
        <v>60</v>
      </c>
      <c r="V1666" s="104">
        <f t="shared" si="224"/>
        <v>4</v>
      </c>
      <c r="W1666" s="103">
        <f t="shared" si="225"/>
        <v>240</v>
      </c>
      <c r="X1666" s="93" t="s">
        <v>803</v>
      </c>
      <c r="Y1666" s="105" t="s">
        <v>84</v>
      </c>
      <c r="Z1666" s="105" t="s">
        <v>619</v>
      </c>
    </row>
    <row r="1667" spans="1:26" s="105" customFormat="1" ht="15" customHeight="1">
      <c r="A1667" s="99">
        <f t="shared" si="219"/>
        <v>1665</v>
      </c>
      <c r="B1667" s="75" t="s">
        <v>832</v>
      </c>
      <c r="C1667" s="100" t="str">
        <f>IF($B1667&lt;&gt;"",_xlfn.IFNA(VLOOKUP($B1667,'Node Details'!$B:$U,C$1,0),"Check"),"")</f>
        <v>0000CM402-CM4020105</v>
      </c>
      <c r="D1667" s="100" t="str">
        <f>IF($B1667&lt;&gt;"",_xlfn.IFNA(VLOOKUP($B1667,'Node Details'!$B:$U,D$1,0),"Check"),"")</f>
        <v>CM4</v>
      </c>
      <c r="E1667" s="100" t="str">
        <f>IF($B1667&lt;&gt;"",_xlfn.IFNA(VLOOKUP($B1667,'Node Details'!$B:$U,E$1,0),"Check"),"")</f>
        <v>Airtel</v>
      </c>
      <c r="F1667" s="101">
        <v>46148</v>
      </c>
      <c r="G1667" s="103"/>
      <c r="H1667" s="102" t="s">
        <v>1258</v>
      </c>
      <c r="I1667" s="9">
        <v>6</v>
      </c>
      <c r="J1667" s="9">
        <v>60</v>
      </c>
      <c r="K1667" s="100">
        <f t="shared" si="220"/>
        <v>360</v>
      </c>
      <c r="L1667" s="78">
        <v>46142</v>
      </c>
      <c r="M1667" s="103"/>
      <c r="N1667" s="93" t="s">
        <v>534</v>
      </c>
      <c r="O1667" s="94"/>
      <c r="P1667" s="104">
        <f t="shared" si="221"/>
        <v>60</v>
      </c>
      <c r="Q1667" s="104">
        <f t="shared" si="222"/>
        <v>360</v>
      </c>
      <c r="R1667" s="104"/>
      <c r="S1667" s="93" t="s">
        <v>144</v>
      </c>
      <c r="T1667" s="94"/>
      <c r="U1667" s="104">
        <f t="shared" si="223"/>
        <v>60</v>
      </c>
      <c r="V1667" s="104">
        <f t="shared" si="224"/>
        <v>6</v>
      </c>
      <c r="W1667" s="103">
        <f t="shared" si="225"/>
        <v>360</v>
      </c>
      <c r="X1667" s="93" t="s">
        <v>803</v>
      </c>
      <c r="Y1667" s="105" t="s">
        <v>84</v>
      </c>
      <c r="Z1667" s="105" t="s">
        <v>619</v>
      </c>
    </row>
    <row r="1668" spans="1:26" s="105" customFormat="1" ht="15" customHeight="1">
      <c r="A1668" s="99">
        <f t="shared" si="219"/>
        <v>1666</v>
      </c>
      <c r="B1668" s="75" t="s">
        <v>1209</v>
      </c>
      <c r="C1668" s="100" t="str">
        <f>IF($B1668&lt;&gt;"",_xlfn.IFNA(VLOOKUP($B1668,'Node Details'!$B:$U,C$1,0),"Check"),"")</f>
        <v>0000CM402-CM4020108</v>
      </c>
      <c r="D1668" s="100" t="str">
        <f>IF($B1668&lt;&gt;"",_xlfn.IFNA(VLOOKUP($B1668,'Node Details'!$B:$U,D$1,0),"Check"),"")</f>
        <v>CM4</v>
      </c>
      <c r="E1668" s="100" t="str">
        <f>IF($B1668&lt;&gt;"",_xlfn.IFNA(VLOOKUP($B1668,'Node Details'!$B:$U,E$1,0),"Check"),"")</f>
        <v>Airtel</v>
      </c>
      <c r="F1668" s="101">
        <v>46148</v>
      </c>
      <c r="G1668" s="103"/>
      <c r="H1668" s="102" t="s">
        <v>1258</v>
      </c>
      <c r="I1668" s="9">
        <v>4</v>
      </c>
      <c r="J1668" s="9">
        <v>60</v>
      </c>
      <c r="K1668" s="100">
        <f t="shared" si="220"/>
        <v>240</v>
      </c>
      <c r="L1668" s="78">
        <v>46142</v>
      </c>
      <c r="M1668" s="103"/>
      <c r="N1668" s="93" t="s">
        <v>534</v>
      </c>
      <c r="O1668" s="94"/>
      <c r="P1668" s="104">
        <f t="shared" si="221"/>
        <v>60</v>
      </c>
      <c r="Q1668" s="104">
        <f t="shared" si="222"/>
        <v>240</v>
      </c>
      <c r="R1668" s="104"/>
      <c r="S1668" s="93" t="s">
        <v>144</v>
      </c>
      <c r="T1668" s="94"/>
      <c r="U1668" s="104">
        <f t="shared" si="223"/>
        <v>60</v>
      </c>
      <c r="V1668" s="104">
        <f t="shared" si="224"/>
        <v>4</v>
      </c>
      <c r="W1668" s="103">
        <f t="shared" si="225"/>
        <v>240</v>
      </c>
      <c r="X1668" s="93" t="s">
        <v>803</v>
      </c>
      <c r="Y1668" s="105" t="s">
        <v>84</v>
      </c>
      <c r="Z1668" s="105" t="s">
        <v>619</v>
      </c>
    </row>
    <row r="1669" spans="1:26" s="105" customFormat="1" ht="15" customHeight="1">
      <c r="A1669" s="99">
        <f t="shared" ref="A1669:A1732" si="226">A1668+1</f>
        <v>1667</v>
      </c>
      <c r="B1669" s="75" t="s">
        <v>1210</v>
      </c>
      <c r="C1669" s="100" t="str">
        <f>IF($B1669&lt;&gt;"",_xlfn.IFNA(VLOOKUP($B1669,'Node Details'!$B:$U,C$1,0),"Check"),"")</f>
        <v>0000CM402-CM4020108</v>
      </c>
      <c r="D1669" s="100" t="str">
        <f>IF($B1669&lt;&gt;"",_xlfn.IFNA(VLOOKUP($B1669,'Node Details'!$B:$U,D$1,0),"Check"),"")</f>
        <v>CM4</v>
      </c>
      <c r="E1669" s="100" t="str">
        <f>IF($B1669&lt;&gt;"",_xlfn.IFNA(VLOOKUP($B1669,'Node Details'!$B:$U,E$1,0),"Check"),"")</f>
        <v>Airtel</v>
      </c>
      <c r="F1669" s="101">
        <v>46148</v>
      </c>
      <c r="G1669" s="103"/>
      <c r="H1669" s="102" t="s">
        <v>1258</v>
      </c>
      <c r="I1669" s="9">
        <v>2</v>
      </c>
      <c r="J1669" s="9">
        <v>60</v>
      </c>
      <c r="K1669" s="100">
        <f t="shared" si="220"/>
        <v>120</v>
      </c>
      <c r="L1669" s="78">
        <v>46142</v>
      </c>
      <c r="M1669" s="103"/>
      <c r="N1669" s="93" t="s">
        <v>534</v>
      </c>
      <c r="O1669" s="94"/>
      <c r="P1669" s="104">
        <f t="shared" si="221"/>
        <v>60</v>
      </c>
      <c r="Q1669" s="104">
        <f t="shared" si="222"/>
        <v>120</v>
      </c>
      <c r="R1669" s="104"/>
      <c r="S1669" s="93" t="s">
        <v>144</v>
      </c>
      <c r="T1669" s="94"/>
      <c r="U1669" s="104">
        <f t="shared" si="223"/>
        <v>60</v>
      </c>
      <c r="V1669" s="104">
        <f t="shared" si="224"/>
        <v>2</v>
      </c>
      <c r="W1669" s="103">
        <f t="shared" si="225"/>
        <v>120</v>
      </c>
      <c r="X1669" s="93" t="s">
        <v>803</v>
      </c>
      <c r="Y1669" s="105" t="s">
        <v>84</v>
      </c>
      <c r="Z1669" s="105" t="s">
        <v>619</v>
      </c>
    </row>
    <row r="1670" spans="1:26" s="105" customFormat="1" ht="15" customHeight="1">
      <c r="A1670" s="99">
        <f t="shared" si="226"/>
        <v>1668</v>
      </c>
      <c r="B1670" s="75" t="s">
        <v>807</v>
      </c>
      <c r="C1670" s="100" t="str">
        <f>IF($B1670&lt;&gt;"",_xlfn.IFNA(VLOOKUP($B1670,'Node Details'!$B:$U,C$1,0),"Check"),"")</f>
        <v>000000CM4-0000CM403</v>
      </c>
      <c r="D1670" s="100" t="str">
        <f>IF($B1670&lt;&gt;"",_xlfn.IFNA(VLOOKUP($B1670,'Node Details'!$B:$U,D$1,0),"Check"),"")</f>
        <v>CM4</v>
      </c>
      <c r="E1670" s="100" t="str">
        <f>IF($B1670&lt;&gt;"",_xlfn.IFNA(VLOOKUP($B1670,'Node Details'!$B:$U,E$1,0),"Check"),"")</f>
        <v>Airtel</v>
      </c>
      <c r="F1670" s="101">
        <v>46148</v>
      </c>
      <c r="G1670" s="103"/>
      <c r="H1670" s="102" t="s">
        <v>1258</v>
      </c>
      <c r="I1670" s="9">
        <v>20</v>
      </c>
      <c r="J1670" s="9">
        <v>60</v>
      </c>
      <c r="K1670" s="100">
        <f t="shared" si="220"/>
        <v>1200</v>
      </c>
      <c r="L1670" s="78">
        <v>46142</v>
      </c>
      <c r="M1670" s="103"/>
      <c r="N1670" s="93" t="s">
        <v>534</v>
      </c>
      <c r="O1670" s="94"/>
      <c r="P1670" s="104">
        <f t="shared" si="221"/>
        <v>60</v>
      </c>
      <c r="Q1670" s="104">
        <f t="shared" si="222"/>
        <v>1200</v>
      </c>
      <c r="R1670" s="104"/>
      <c r="S1670" s="93" t="s">
        <v>144</v>
      </c>
      <c r="T1670" s="94"/>
      <c r="U1670" s="104">
        <f t="shared" si="223"/>
        <v>60</v>
      </c>
      <c r="V1670" s="104">
        <f t="shared" si="224"/>
        <v>20</v>
      </c>
      <c r="W1670" s="103">
        <f t="shared" si="225"/>
        <v>1200</v>
      </c>
      <c r="X1670" s="93" t="s">
        <v>803</v>
      </c>
      <c r="Y1670" s="105" t="s">
        <v>84</v>
      </c>
      <c r="Z1670" s="105" t="s">
        <v>619</v>
      </c>
    </row>
    <row r="1671" spans="1:26" s="105" customFormat="1" ht="15" customHeight="1">
      <c r="A1671" s="99">
        <f t="shared" si="226"/>
        <v>1669</v>
      </c>
      <c r="B1671" s="75" t="s">
        <v>1211</v>
      </c>
      <c r="C1671" s="100" t="str">
        <f>IF($B1671&lt;&gt;"",_xlfn.IFNA(VLOOKUP($B1671,'Node Details'!$B:$U,C$1,0),"Check"),"")</f>
        <v>0000CM403-CM4030103</v>
      </c>
      <c r="D1671" s="100" t="str">
        <f>IF($B1671&lt;&gt;"",_xlfn.IFNA(VLOOKUP($B1671,'Node Details'!$B:$U,D$1,0),"Check"),"")</f>
        <v>CM4</v>
      </c>
      <c r="E1671" s="100" t="str">
        <f>IF($B1671&lt;&gt;"",_xlfn.IFNA(VLOOKUP($B1671,'Node Details'!$B:$U,E$1,0),"Check"),"")</f>
        <v>Airtel</v>
      </c>
      <c r="F1671" s="101">
        <v>46148</v>
      </c>
      <c r="G1671" s="103"/>
      <c r="H1671" s="102" t="s">
        <v>1258</v>
      </c>
      <c r="I1671" s="9">
        <v>6</v>
      </c>
      <c r="J1671" s="9">
        <v>60</v>
      </c>
      <c r="K1671" s="100">
        <f t="shared" si="220"/>
        <v>360</v>
      </c>
      <c r="L1671" s="78">
        <v>46142</v>
      </c>
      <c r="M1671" s="103"/>
      <c r="N1671" s="93" t="s">
        <v>534</v>
      </c>
      <c r="O1671" s="94"/>
      <c r="P1671" s="104">
        <f t="shared" si="221"/>
        <v>60</v>
      </c>
      <c r="Q1671" s="104">
        <f t="shared" si="222"/>
        <v>360</v>
      </c>
      <c r="R1671" s="104"/>
      <c r="S1671" s="93" t="s">
        <v>144</v>
      </c>
      <c r="T1671" s="94"/>
      <c r="U1671" s="104">
        <f t="shared" si="223"/>
        <v>60</v>
      </c>
      <c r="V1671" s="104">
        <f t="shared" si="224"/>
        <v>6</v>
      </c>
      <c r="W1671" s="103">
        <f t="shared" si="225"/>
        <v>360</v>
      </c>
      <c r="X1671" s="93" t="s">
        <v>803</v>
      </c>
      <c r="Y1671" s="105" t="s">
        <v>84</v>
      </c>
      <c r="Z1671" s="105" t="s">
        <v>619</v>
      </c>
    </row>
    <row r="1672" spans="1:26" s="105" customFormat="1" ht="15" customHeight="1">
      <c r="A1672" s="99">
        <f t="shared" si="226"/>
        <v>1670</v>
      </c>
      <c r="B1672" s="75" t="s">
        <v>1212</v>
      </c>
      <c r="C1672" s="100" t="str">
        <f>IF($B1672&lt;&gt;"",_xlfn.IFNA(VLOOKUP($B1672,'Node Details'!$B:$U,C$1,0),"Check"),"")</f>
        <v>0000CM403-CM4030108</v>
      </c>
      <c r="D1672" s="100" t="str">
        <f>IF($B1672&lt;&gt;"",_xlfn.IFNA(VLOOKUP($B1672,'Node Details'!$B:$U,D$1,0),"Check"),"")</f>
        <v>CM4</v>
      </c>
      <c r="E1672" s="100" t="str">
        <f>IF($B1672&lt;&gt;"",_xlfn.IFNA(VLOOKUP($B1672,'Node Details'!$B:$U,E$1,0),"Check"),"")</f>
        <v>Airtel</v>
      </c>
      <c r="F1672" s="101">
        <v>46148</v>
      </c>
      <c r="G1672" s="103"/>
      <c r="H1672" s="102" t="s">
        <v>1258</v>
      </c>
      <c r="I1672" s="9">
        <v>6</v>
      </c>
      <c r="J1672" s="9">
        <v>60</v>
      </c>
      <c r="K1672" s="100">
        <f t="shared" si="220"/>
        <v>360</v>
      </c>
      <c r="L1672" s="78">
        <v>46142</v>
      </c>
      <c r="M1672" s="103"/>
      <c r="N1672" s="93" t="s">
        <v>534</v>
      </c>
      <c r="O1672" s="94"/>
      <c r="P1672" s="104">
        <f t="shared" si="221"/>
        <v>60</v>
      </c>
      <c r="Q1672" s="104">
        <f t="shared" si="222"/>
        <v>360</v>
      </c>
      <c r="R1672" s="104"/>
      <c r="S1672" s="93" t="s">
        <v>144</v>
      </c>
      <c r="T1672" s="94"/>
      <c r="U1672" s="104">
        <f t="shared" si="223"/>
        <v>60</v>
      </c>
      <c r="V1672" s="104">
        <f t="shared" si="224"/>
        <v>6</v>
      </c>
      <c r="W1672" s="103">
        <f t="shared" si="225"/>
        <v>360</v>
      </c>
      <c r="X1672" s="93" t="s">
        <v>803</v>
      </c>
      <c r="Y1672" s="105" t="s">
        <v>84</v>
      </c>
      <c r="Z1672" s="105" t="s">
        <v>619</v>
      </c>
    </row>
    <row r="1673" spans="1:26" s="105" customFormat="1" ht="15" customHeight="1">
      <c r="A1673" s="99">
        <f t="shared" si="226"/>
        <v>1671</v>
      </c>
      <c r="B1673" s="75" t="s">
        <v>1213</v>
      </c>
      <c r="C1673" s="100" t="str">
        <f>IF($B1673&lt;&gt;"",_xlfn.IFNA(VLOOKUP($B1673,'Node Details'!$B:$U,C$1,0),"Check"),"")</f>
        <v>0000CM403-CM4030108</v>
      </c>
      <c r="D1673" s="100" t="str">
        <f>IF($B1673&lt;&gt;"",_xlfn.IFNA(VLOOKUP($B1673,'Node Details'!$B:$U,D$1,0),"Check"),"")</f>
        <v>CM4</v>
      </c>
      <c r="E1673" s="100" t="str">
        <f>IF($B1673&lt;&gt;"",_xlfn.IFNA(VLOOKUP($B1673,'Node Details'!$B:$U,E$1,0),"Check"),"")</f>
        <v>Airtel</v>
      </c>
      <c r="F1673" s="101">
        <v>46148</v>
      </c>
      <c r="G1673" s="103"/>
      <c r="H1673" s="102" t="s">
        <v>1258</v>
      </c>
      <c r="I1673" s="9">
        <v>4</v>
      </c>
      <c r="J1673" s="9">
        <v>60</v>
      </c>
      <c r="K1673" s="100">
        <f t="shared" si="220"/>
        <v>240</v>
      </c>
      <c r="L1673" s="78">
        <v>46142</v>
      </c>
      <c r="M1673" s="103"/>
      <c r="N1673" s="93" t="s">
        <v>534</v>
      </c>
      <c r="O1673" s="94"/>
      <c r="P1673" s="104">
        <f t="shared" si="221"/>
        <v>60</v>
      </c>
      <c r="Q1673" s="104">
        <f t="shared" si="222"/>
        <v>240</v>
      </c>
      <c r="R1673" s="104"/>
      <c r="S1673" s="93" t="s">
        <v>144</v>
      </c>
      <c r="T1673" s="94"/>
      <c r="U1673" s="104">
        <f t="shared" si="223"/>
        <v>60</v>
      </c>
      <c r="V1673" s="104">
        <f t="shared" si="224"/>
        <v>4</v>
      </c>
      <c r="W1673" s="103">
        <f t="shared" si="225"/>
        <v>240</v>
      </c>
      <c r="X1673" s="93" t="s">
        <v>803</v>
      </c>
      <c r="Y1673" s="105" t="s">
        <v>84</v>
      </c>
      <c r="Z1673" s="105" t="s">
        <v>619</v>
      </c>
    </row>
    <row r="1674" spans="1:26" s="105" customFormat="1" ht="15" customHeight="1">
      <c r="A1674" s="99">
        <f t="shared" si="226"/>
        <v>1672</v>
      </c>
      <c r="B1674" s="75" t="s">
        <v>810</v>
      </c>
      <c r="C1674" s="100" t="str">
        <f>IF($B1674&lt;&gt;"",_xlfn.IFNA(VLOOKUP($B1674,'Node Details'!$B:$U,C$1,0),"Check"),"")</f>
        <v>0000CM402-0000CM404</v>
      </c>
      <c r="D1674" s="100" t="str">
        <f>IF($B1674&lt;&gt;"",_xlfn.IFNA(VLOOKUP($B1674,'Node Details'!$B:$U,D$1,0),"Check"),"")</f>
        <v>CM4</v>
      </c>
      <c r="E1674" s="100" t="str">
        <f>IF($B1674&lt;&gt;"",_xlfn.IFNA(VLOOKUP($B1674,'Node Details'!$B:$U,E$1,0),"Check"),"")</f>
        <v>Airtel</v>
      </c>
      <c r="F1674" s="101">
        <v>46148</v>
      </c>
      <c r="G1674" s="103"/>
      <c r="H1674" s="102" t="s">
        <v>1258</v>
      </c>
      <c r="I1674" s="9">
        <v>20</v>
      </c>
      <c r="J1674" s="9">
        <v>60</v>
      </c>
      <c r="K1674" s="100">
        <f t="shared" si="220"/>
        <v>1200</v>
      </c>
      <c r="L1674" s="78">
        <v>46142</v>
      </c>
      <c r="M1674" s="103"/>
      <c r="N1674" s="93" t="s">
        <v>534</v>
      </c>
      <c r="O1674" s="94"/>
      <c r="P1674" s="104">
        <f t="shared" si="221"/>
        <v>60</v>
      </c>
      <c r="Q1674" s="104">
        <f t="shared" si="222"/>
        <v>1200</v>
      </c>
      <c r="R1674" s="104"/>
      <c r="S1674" s="93" t="s">
        <v>144</v>
      </c>
      <c r="T1674" s="94"/>
      <c r="U1674" s="104">
        <f t="shared" si="223"/>
        <v>60</v>
      </c>
      <c r="V1674" s="104">
        <f t="shared" si="224"/>
        <v>20</v>
      </c>
      <c r="W1674" s="103">
        <f t="shared" si="225"/>
        <v>1200</v>
      </c>
      <c r="X1674" s="93" t="s">
        <v>803</v>
      </c>
      <c r="Y1674" s="105" t="s">
        <v>84</v>
      </c>
      <c r="Z1674" s="105" t="s">
        <v>619</v>
      </c>
    </row>
    <row r="1675" spans="1:26" s="105" customFormat="1" ht="15" customHeight="1">
      <c r="A1675" s="99">
        <f t="shared" si="226"/>
        <v>1673</v>
      </c>
      <c r="B1675" s="75" t="s">
        <v>1214</v>
      </c>
      <c r="C1675" s="100" t="str">
        <f>IF($B1675&lt;&gt;"",_xlfn.IFNA(VLOOKUP($B1675,'Node Details'!$B:$U,C$1,0),"Check"),"")</f>
        <v>0000CM404-CM4040105</v>
      </c>
      <c r="D1675" s="100" t="str">
        <f>IF($B1675&lt;&gt;"",_xlfn.IFNA(VLOOKUP($B1675,'Node Details'!$B:$U,D$1,0),"Check"),"")</f>
        <v>CM4</v>
      </c>
      <c r="E1675" s="100" t="str">
        <f>IF($B1675&lt;&gt;"",_xlfn.IFNA(VLOOKUP($B1675,'Node Details'!$B:$U,E$1,0),"Check"),"")</f>
        <v>Airtel</v>
      </c>
      <c r="F1675" s="101">
        <v>46148</v>
      </c>
      <c r="G1675" s="103"/>
      <c r="H1675" s="102" t="s">
        <v>1258</v>
      </c>
      <c r="I1675" s="9">
        <v>7</v>
      </c>
      <c r="J1675" s="9">
        <v>60</v>
      </c>
      <c r="K1675" s="100">
        <f t="shared" ref="K1675:K1736" si="227">IF(I1675&lt;&gt;"",J1675*I1675,0)</f>
        <v>420</v>
      </c>
      <c r="L1675" s="78">
        <v>46142</v>
      </c>
      <c r="M1675" s="103"/>
      <c r="N1675" s="93" t="s">
        <v>534</v>
      </c>
      <c r="O1675" s="94"/>
      <c r="P1675" s="104">
        <f t="shared" si="221"/>
        <v>60</v>
      </c>
      <c r="Q1675" s="104">
        <f t="shared" si="222"/>
        <v>420</v>
      </c>
      <c r="R1675" s="104"/>
      <c r="S1675" s="93" t="s">
        <v>144</v>
      </c>
      <c r="T1675" s="94"/>
      <c r="U1675" s="104">
        <f t="shared" si="223"/>
        <v>60</v>
      </c>
      <c r="V1675" s="104">
        <f t="shared" si="224"/>
        <v>7</v>
      </c>
      <c r="W1675" s="103">
        <f t="shared" si="225"/>
        <v>420</v>
      </c>
      <c r="X1675" s="93" t="s">
        <v>803</v>
      </c>
      <c r="Y1675" s="105" t="s">
        <v>84</v>
      </c>
      <c r="Z1675" s="105" t="s">
        <v>619</v>
      </c>
    </row>
    <row r="1676" spans="1:26" s="105" customFormat="1" ht="15" customHeight="1">
      <c r="A1676" s="99">
        <f t="shared" si="226"/>
        <v>1674</v>
      </c>
      <c r="B1676" s="75" t="s">
        <v>842</v>
      </c>
      <c r="C1676" s="100" t="str">
        <f>IF($B1676&lt;&gt;"",_xlfn.IFNA(VLOOKUP($B1676,'Node Details'!$B:$U,C$1,0),"Check"),"")</f>
        <v>0000CM404-CM4040105</v>
      </c>
      <c r="D1676" s="100" t="str">
        <f>IF($B1676&lt;&gt;"",_xlfn.IFNA(VLOOKUP($B1676,'Node Details'!$B:$U,D$1,0),"Check"),"")</f>
        <v>CM4</v>
      </c>
      <c r="E1676" s="100" t="str">
        <f>IF($B1676&lt;&gt;"",_xlfn.IFNA(VLOOKUP($B1676,'Node Details'!$B:$U,E$1,0),"Check"),"")</f>
        <v>Airtel</v>
      </c>
      <c r="F1676" s="101">
        <v>46148</v>
      </c>
      <c r="G1676" s="103"/>
      <c r="H1676" s="102" t="s">
        <v>1258</v>
      </c>
      <c r="I1676" s="9">
        <v>7</v>
      </c>
      <c r="J1676" s="9">
        <v>60</v>
      </c>
      <c r="K1676" s="100">
        <f t="shared" si="227"/>
        <v>420</v>
      </c>
      <c r="L1676" s="78">
        <v>46142</v>
      </c>
      <c r="M1676" s="103"/>
      <c r="N1676" s="93" t="s">
        <v>534</v>
      </c>
      <c r="O1676" s="94"/>
      <c r="P1676" s="104">
        <f t="shared" si="221"/>
        <v>60</v>
      </c>
      <c r="Q1676" s="104">
        <f t="shared" si="222"/>
        <v>420</v>
      </c>
      <c r="R1676" s="104"/>
      <c r="S1676" s="93" t="s">
        <v>144</v>
      </c>
      <c r="T1676" s="94"/>
      <c r="U1676" s="104">
        <f t="shared" si="223"/>
        <v>60</v>
      </c>
      <c r="V1676" s="104">
        <f t="shared" si="224"/>
        <v>7</v>
      </c>
      <c r="W1676" s="103">
        <f t="shared" si="225"/>
        <v>420</v>
      </c>
      <c r="X1676" s="93" t="s">
        <v>803</v>
      </c>
      <c r="Y1676" s="105" t="s">
        <v>84</v>
      </c>
      <c r="Z1676" s="105" t="s">
        <v>619</v>
      </c>
    </row>
    <row r="1677" spans="1:26" s="105" customFormat="1" ht="15" customHeight="1">
      <c r="A1677" s="99">
        <f t="shared" si="226"/>
        <v>1675</v>
      </c>
      <c r="B1677" s="75" t="s">
        <v>1215</v>
      </c>
      <c r="C1677" s="100" t="str">
        <f>IF($B1677&lt;&gt;"",_xlfn.IFNA(VLOOKUP($B1677,'Node Details'!$B:$U,C$1,0),"Check"),"")</f>
        <v>0000CM404-CM4040108</v>
      </c>
      <c r="D1677" s="100" t="str">
        <f>IF($B1677&lt;&gt;"",_xlfn.IFNA(VLOOKUP($B1677,'Node Details'!$B:$U,D$1,0),"Check"),"")</f>
        <v>CM4</v>
      </c>
      <c r="E1677" s="100" t="str">
        <f>IF($B1677&lt;&gt;"",_xlfn.IFNA(VLOOKUP($B1677,'Node Details'!$B:$U,E$1,0),"Check"),"")</f>
        <v>Airtel</v>
      </c>
      <c r="F1677" s="101">
        <v>46148</v>
      </c>
      <c r="G1677" s="103"/>
      <c r="H1677" s="102" t="s">
        <v>1258</v>
      </c>
      <c r="I1677" s="9">
        <v>7</v>
      </c>
      <c r="J1677" s="9">
        <v>60</v>
      </c>
      <c r="K1677" s="100">
        <f t="shared" si="227"/>
        <v>420</v>
      </c>
      <c r="L1677" s="78">
        <v>46142</v>
      </c>
      <c r="M1677" s="103"/>
      <c r="N1677" s="93" t="s">
        <v>534</v>
      </c>
      <c r="O1677" s="94"/>
      <c r="P1677" s="104">
        <f t="shared" ref="P1677:P1736" si="228">J1677</f>
        <v>60</v>
      </c>
      <c r="Q1677" s="104">
        <f t="shared" ref="Q1677:Q1736" si="229">P1677*I1677</f>
        <v>420</v>
      </c>
      <c r="R1677" s="104"/>
      <c r="S1677" s="93" t="s">
        <v>144</v>
      </c>
      <c r="T1677" s="94"/>
      <c r="U1677" s="104">
        <f t="shared" ref="U1677:U1736" si="230">J1677</f>
        <v>60</v>
      </c>
      <c r="V1677" s="104">
        <f t="shared" ref="V1677:V1736" si="231">I1677</f>
        <v>7</v>
      </c>
      <c r="W1677" s="103">
        <f t="shared" ref="W1677:W1736" si="232">IF(V1677&lt;&gt;"",V1677*U1677,0)</f>
        <v>420</v>
      </c>
      <c r="X1677" s="93" t="s">
        <v>803</v>
      </c>
      <c r="Y1677" s="105" t="s">
        <v>84</v>
      </c>
      <c r="Z1677" s="105" t="s">
        <v>619</v>
      </c>
    </row>
    <row r="1678" spans="1:26" s="105" customFormat="1" ht="15" customHeight="1">
      <c r="A1678" s="99">
        <f t="shared" si="226"/>
        <v>1676</v>
      </c>
      <c r="B1678" s="75" t="s">
        <v>844</v>
      </c>
      <c r="C1678" s="100" t="str">
        <f>IF($B1678&lt;&gt;"",_xlfn.IFNA(VLOOKUP($B1678,'Node Details'!$B:$U,C$1,0),"Check"),"")</f>
        <v>0000CM404-CM4040108</v>
      </c>
      <c r="D1678" s="100" t="str">
        <f>IF($B1678&lt;&gt;"",_xlfn.IFNA(VLOOKUP($B1678,'Node Details'!$B:$U,D$1,0),"Check"),"")</f>
        <v>CM4</v>
      </c>
      <c r="E1678" s="100" t="str">
        <f>IF($B1678&lt;&gt;"",_xlfn.IFNA(VLOOKUP($B1678,'Node Details'!$B:$U,E$1,0),"Check"),"")</f>
        <v>Airtel</v>
      </c>
      <c r="F1678" s="101">
        <v>46148</v>
      </c>
      <c r="G1678" s="103"/>
      <c r="H1678" s="102" t="s">
        <v>1258</v>
      </c>
      <c r="I1678" s="9">
        <v>7</v>
      </c>
      <c r="J1678" s="9">
        <v>60</v>
      </c>
      <c r="K1678" s="100">
        <f t="shared" si="227"/>
        <v>420</v>
      </c>
      <c r="L1678" s="78">
        <v>46142</v>
      </c>
      <c r="M1678" s="103"/>
      <c r="N1678" s="93" t="s">
        <v>534</v>
      </c>
      <c r="O1678" s="94"/>
      <c r="P1678" s="104">
        <f t="shared" si="228"/>
        <v>60</v>
      </c>
      <c r="Q1678" s="104">
        <f t="shared" si="229"/>
        <v>420</v>
      </c>
      <c r="R1678" s="104"/>
      <c r="S1678" s="93" t="s">
        <v>144</v>
      </c>
      <c r="T1678" s="94"/>
      <c r="U1678" s="104">
        <f t="shared" si="230"/>
        <v>60</v>
      </c>
      <c r="V1678" s="104">
        <f t="shared" si="231"/>
        <v>7</v>
      </c>
      <c r="W1678" s="103">
        <f t="shared" si="232"/>
        <v>420</v>
      </c>
      <c r="X1678" s="93" t="s">
        <v>803</v>
      </c>
      <c r="Y1678" s="105" t="s">
        <v>84</v>
      </c>
      <c r="Z1678" s="105" t="s">
        <v>619</v>
      </c>
    </row>
    <row r="1679" spans="1:26" s="105" customFormat="1" ht="15" customHeight="1">
      <c r="A1679" s="99">
        <f t="shared" si="226"/>
        <v>1677</v>
      </c>
      <c r="B1679" s="75" t="s">
        <v>805</v>
      </c>
      <c r="C1679" s="100" t="str">
        <f>IF($B1679&lt;&gt;"",_xlfn.IFNA(VLOOKUP($B1679,'Node Details'!$B:$U,C$1,0),"Check"),"")</f>
        <v>000000CM4-0000CM408</v>
      </c>
      <c r="D1679" s="100" t="str">
        <f>IF($B1679&lt;&gt;"",_xlfn.IFNA(VLOOKUP($B1679,'Node Details'!$B:$U,D$1,0),"Check"),"")</f>
        <v>CM4</v>
      </c>
      <c r="E1679" s="100" t="str">
        <f>IF($B1679&lt;&gt;"",_xlfn.IFNA(VLOOKUP($B1679,'Node Details'!$B:$U,E$1,0),"Check"),"")</f>
        <v>Airtel</v>
      </c>
      <c r="F1679" s="101">
        <v>46148</v>
      </c>
      <c r="G1679" s="103"/>
      <c r="H1679" s="102" t="s">
        <v>1258</v>
      </c>
      <c r="I1679" s="9">
        <v>47</v>
      </c>
      <c r="J1679" s="9">
        <v>60</v>
      </c>
      <c r="K1679" s="100">
        <f t="shared" si="227"/>
        <v>2820</v>
      </c>
      <c r="L1679" s="78">
        <v>46142</v>
      </c>
      <c r="M1679" s="103"/>
      <c r="N1679" s="93" t="s">
        <v>534</v>
      </c>
      <c r="O1679" s="94"/>
      <c r="P1679" s="104">
        <f t="shared" si="228"/>
        <v>60</v>
      </c>
      <c r="Q1679" s="104">
        <f t="shared" si="229"/>
        <v>2820</v>
      </c>
      <c r="R1679" s="104"/>
      <c r="S1679" s="93" t="s">
        <v>144</v>
      </c>
      <c r="T1679" s="94"/>
      <c r="U1679" s="104">
        <f t="shared" si="230"/>
        <v>60</v>
      </c>
      <c r="V1679" s="104">
        <f t="shared" si="231"/>
        <v>47</v>
      </c>
      <c r="W1679" s="103">
        <f t="shared" si="232"/>
        <v>2820</v>
      </c>
      <c r="X1679" s="93" t="s">
        <v>803</v>
      </c>
      <c r="Y1679" s="105" t="s">
        <v>84</v>
      </c>
      <c r="Z1679" s="105" t="s">
        <v>619</v>
      </c>
    </row>
    <row r="1680" spans="1:26" s="105" customFormat="1" ht="15" customHeight="1">
      <c r="A1680" s="99">
        <f t="shared" si="226"/>
        <v>1678</v>
      </c>
      <c r="B1680" s="75" t="s">
        <v>1217</v>
      </c>
      <c r="C1680" s="100" t="str">
        <f>IF($B1680&lt;&gt;"",_xlfn.IFNA(VLOOKUP($B1680,'Node Details'!$B:$U,C$1,0),"Check"),"")</f>
        <v>0000CM408-CM4080104</v>
      </c>
      <c r="D1680" s="100" t="str">
        <f>IF($B1680&lt;&gt;"",_xlfn.IFNA(VLOOKUP($B1680,'Node Details'!$B:$U,D$1,0),"Check"),"")</f>
        <v>CM4</v>
      </c>
      <c r="E1680" s="100" t="str">
        <f>IF($B1680&lt;&gt;"",_xlfn.IFNA(VLOOKUP($B1680,'Node Details'!$B:$U,E$1,0),"Check"),"")</f>
        <v>Airtel</v>
      </c>
      <c r="F1680" s="101">
        <v>46148</v>
      </c>
      <c r="G1680" s="103"/>
      <c r="H1680" s="102" t="s">
        <v>1258</v>
      </c>
      <c r="I1680" s="9">
        <v>6</v>
      </c>
      <c r="J1680" s="9">
        <v>60</v>
      </c>
      <c r="K1680" s="100">
        <f t="shared" si="227"/>
        <v>360</v>
      </c>
      <c r="L1680" s="78">
        <v>46142</v>
      </c>
      <c r="M1680" s="103"/>
      <c r="N1680" s="93" t="s">
        <v>534</v>
      </c>
      <c r="O1680" s="94"/>
      <c r="P1680" s="104">
        <f t="shared" si="228"/>
        <v>60</v>
      </c>
      <c r="Q1680" s="104">
        <f t="shared" si="229"/>
        <v>360</v>
      </c>
      <c r="R1680" s="104"/>
      <c r="S1680" s="93" t="s">
        <v>144</v>
      </c>
      <c r="T1680" s="94"/>
      <c r="U1680" s="104">
        <f t="shared" si="230"/>
        <v>60</v>
      </c>
      <c r="V1680" s="104">
        <f t="shared" si="231"/>
        <v>6</v>
      </c>
      <c r="W1680" s="103">
        <f t="shared" si="232"/>
        <v>360</v>
      </c>
      <c r="X1680" s="93" t="s">
        <v>803</v>
      </c>
      <c r="Y1680" s="105" t="s">
        <v>84</v>
      </c>
      <c r="Z1680" s="105" t="s">
        <v>619</v>
      </c>
    </row>
    <row r="1681" spans="1:26" s="105" customFormat="1" ht="15" customHeight="1">
      <c r="A1681" s="99">
        <f t="shared" si="226"/>
        <v>1679</v>
      </c>
      <c r="B1681" s="75" t="s">
        <v>1218</v>
      </c>
      <c r="C1681" s="100" t="str">
        <f>IF($B1681&lt;&gt;"",_xlfn.IFNA(VLOOKUP($B1681,'Node Details'!$B:$U,C$1,0),"Check"),"")</f>
        <v>0000CM408-CM4080104</v>
      </c>
      <c r="D1681" s="100" t="str">
        <f>IF($B1681&lt;&gt;"",_xlfn.IFNA(VLOOKUP($B1681,'Node Details'!$B:$U,D$1,0),"Check"),"")</f>
        <v>CM4</v>
      </c>
      <c r="E1681" s="100" t="str">
        <f>IF($B1681&lt;&gt;"",_xlfn.IFNA(VLOOKUP($B1681,'Node Details'!$B:$U,E$1,0),"Check"),"")</f>
        <v>Airtel</v>
      </c>
      <c r="F1681" s="101">
        <v>46148</v>
      </c>
      <c r="G1681" s="103"/>
      <c r="H1681" s="102" t="s">
        <v>1258</v>
      </c>
      <c r="I1681" s="9">
        <v>4</v>
      </c>
      <c r="J1681" s="9">
        <v>60</v>
      </c>
      <c r="K1681" s="100">
        <f t="shared" si="227"/>
        <v>240</v>
      </c>
      <c r="L1681" s="78">
        <v>46142</v>
      </c>
      <c r="M1681" s="103"/>
      <c r="N1681" s="93" t="s">
        <v>534</v>
      </c>
      <c r="O1681" s="94"/>
      <c r="P1681" s="104">
        <f t="shared" si="228"/>
        <v>60</v>
      </c>
      <c r="Q1681" s="104">
        <f t="shared" si="229"/>
        <v>240</v>
      </c>
      <c r="R1681" s="104"/>
      <c r="S1681" s="93" t="s">
        <v>144</v>
      </c>
      <c r="T1681" s="94"/>
      <c r="U1681" s="104">
        <f t="shared" si="230"/>
        <v>60</v>
      </c>
      <c r="V1681" s="104">
        <f t="shared" si="231"/>
        <v>4</v>
      </c>
      <c r="W1681" s="103">
        <f t="shared" si="232"/>
        <v>240</v>
      </c>
      <c r="X1681" s="93" t="s">
        <v>803</v>
      </c>
      <c r="Y1681" s="105" t="s">
        <v>84</v>
      </c>
      <c r="Z1681" s="105" t="s">
        <v>619</v>
      </c>
    </row>
    <row r="1682" spans="1:26" s="105" customFormat="1" ht="15" customHeight="1">
      <c r="A1682" s="99">
        <f t="shared" si="226"/>
        <v>1680</v>
      </c>
      <c r="B1682" s="75" t="s">
        <v>846</v>
      </c>
      <c r="C1682" s="100" t="str">
        <f>IF($B1682&lt;&gt;"",_xlfn.IFNA(VLOOKUP($B1682,'Node Details'!$B:$U,C$1,0),"Check"),"")</f>
        <v>0000CM408-CM4080104</v>
      </c>
      <c r="D1682" s="100" t="str">
        <f>IF($B1682&lt;&gt;"",_xlfn.IFNA(VLOOKUP($B1682,'Node Details'!$B:$U,D$1,0),"Check"),"")</f>
        <v>CM4</v>
      </c>
      <c r="E1682" s="100" t="str">
        <f>IF($B1682&lt;&gt;"",_xlfn.IFNA(VLOOKUP($B1682,'Node Details'!$B:$U,E$1,0),"Check"),"")</f>
        <v>Airtel</v>
      </c>
      <c r="F1682" s="101">
        <v>46148</v>
      </c>
      <c r="G1682" s="103"/>
      <c r="H1682" s="102" t="s">
        <v>1258</v>
      </c>
      <c r="I1682" s="9">
        <v>2</v>
      </c>
      <c r="J1682" s="9">
        <v>60</v>
      </c>
      <c r="K1682" s="100">
        <f t="shared" si="227"/>
        <v>120</v>
      </c>
      <c r="L1682" s="78">
        <v>46142</v>
      </c>
      <c r="M1682" s="103"/>
      <c r="N1682" s="93" t="s">
        <v>534</v>
      </c>
      <c r="O1682" s="94"/>
      <c r="P1682" s="104">
        <f t="shared" si="228"/>
        <v>60</v>
      </c>
      <c r="Q1682" s="104">
        <f t="shared" si="229"/>
        <v>120</v>
      </c>
      <c r="R1682" s="104"/>
      <c r="S1682" s="93" t="s">
        <v>144</v>
      </c>
      <c r="T1682" s="94"/>
      <c r="U1682" s="104">
        <f t="shared" si="230"/>
        <v>60</v>
      </c>
      <c r="V1682" s="104">
        <f t="shared" si="231"/>
        <v>2</v>
      </c>
      <c r="W1682" s="103">
        <f t="shared" si="232"/>
        <v>120</v>
      </c>
      <c r="X1682" s="93" t="s">
        <v>803</v>
      </c>
      <c r="Y1682" s="105" t="s">
        <v>84</v>
      </c>
      <c r="Z1682" s="105" t="s">
        <v>619</v>
      </c>
    </row>
    <row r="1683" spans="1:26" s="105" customFormat="1" ht="15" customHeight="1">
      <c r="A1683" s="99">
        <f t="shared" si="226"/>
        <v>1681</v>
      </c>
      <c r="B1683" s="75" t="s">
        <v>854</v>
      </c>
      <c r="C1683" s="100" t="str">
        <f>IF($B1683&lt;&gt;"",_xlfn.IFNA(VLOOKUP($B1683,'Node Details'!$B:$U,C$1,0),"Check"),"")</f>
        <v>000000CM4-0000CM418</v>
      </c>
      <c r="D1683" s="100" t="str">
        <f>IF($B1683&lt;&gt;"",_xlfn.IFNA(VLOOKUP($B1683,'Node Details'!$B:$U,D$1,0),"Check"),"")</f>
        <v>CM4</v>
      </c>
      <c r="E1683" s="100" t="str">
        <f>IF($B1683&lt;&gt;"",_xlfn.IFNA(VLOOKUP($B1683,'Node Details'!$B:$U,E$1,0),"Check"),"")</f>
        <v>Airtel</v>
      </c>
      <c r="F1683" s="101">
        <v>46148</v>
      </c>
      <c r="G1683" s="103"/>
      <c r="H1683" s="102" t="s">
        <v>1258</v>
      </c>
      <c r="I1683" s="9">
        <v>47</v>
      </c>
      <c r="J1683" s="9">
        <v>60</v>
      </c>
      <c r="K1683" s="100">
        <f t="shared" si="227"/>
        <v>2820</v>
      </c>
      <c r="L1683" s="78">
        <v>46142</v>
      </c>
      <c r="M1683" s="103"/>
      <c r="N1683" s="93" t="s">
        <v>534</v>
      </c>
      <c r="O1683" s="94"/>
      <c r="P1683" s="104">
        <f t="shared" si="228"/>
        <v>60</v>
      </c>
      <c r="Q1683" s="104">
        <f t="shared" si="229"/>
        <v>2820</v>
      </c>
      <c r="R1683" s="104"/>
      <c r="S1683" s="93" t="s">
        <v>144</v>
      </c>
      <c r="T1683" s="94"/>
      <c r="U1683" s="104">
        <f t="shared" si="230"/>
        <v>60</v>
      </c>
      <c r="V1683" s="104">
        <f t="shared" si="231"/>
        <v>47</v>
      </c>
      <c r="W1683" s="103">
        <f t="shared" si="232"/>
        <v>2820</v>
      </c>
      <c r="X1683" s="93" t="s">
        <v>803</v>
      </c>
      <c r="Y1683" s="105" t="s">
        <v>84</v>
      </c>
      <c r="Z1683" s="105" t="s">
        <v>619</v>
      </c>
    </row>
    <row r="1684" spans="1:26" s="105" customFormat="1" ht="15" customHeight="1">
      <c r="A1684" s="99">
        <f t="shared" si="226"/>
        <v>1682</v>
      </c>
      <c r="B1684" s="75" t="s">
        <v>857</v>
      </c>
      <c r="C1684" s="100" t="str">
        <f>IF($B1684&lt;&gt;"",_xlfn.IFNA(VLOOKUP($B1684,'Node Details'!$B:$U,C$1,0),"Check"),"")</f>
        <v>0000CM409-CM4090101</v>
      </c>
      <c r="D1684" s="100" t="str">
        <f>IF($B1684&lt;&gt;"",_xlfn.IFNA(VLOOKUP($B1684,'Node Details'!$B:$U,D$1,0),"Check"),"")</f>
        <v>CM4</v>
      </c>
      <c r="E1684" s="100" t="str">
        <f>IF($B1684&lt;&gt;"",_xlfn.IFNA(VLOOKUP($B1684,'Node Details'!$B:$U,E$1,0),"Check"),"")</f>
        <v>Airtel</v>
      </c>
      <c r="F1684" s="101">
        <v>46148</v>
      </c>
      <c r="G1684" s="103"/>
      <c r="H1684" s="102" t="s">
        <v>1258</v>
      </c>
      <c r="I1684" s="9">
        <v>6</v>
      </c>
      <c r="J1684" s="9">
        <v>60</v>
      </c>
      <c r="K1684" s="100">
        <f t="shared" si="227"/>
        <v>360</v>
      </c>
      <c r="L1684" s="78">
        <v>46142</v>
      </c>
      <c r="M1684" s="103"/>
      <c r="N1684" s="93" t="s">
        <v>534</v>
      </c>
      <c r="O1684" s="94"/>
      <c r="P1684" s="104">
        <f t="shared" si="228"/>
        <v>60</v>
      </c>
      <c r="Q1684" s="104">
        <f t="shared" si="229"/>
        <v>360</v>
      </c>
      <c r="R1684" s="104"/>
      <c r="S1684" s="93" t="s">
        <v>144</v>
      </c>
      <c r="T1684" s="94"/>
      <c r="U1684" s="104">
        <f t="shared" si="230"/>
        <v>60</v>
      </c>
      <c r="V1684" s="104">
        <f t="shared" si="231"/>
        <v>6</v>
      </c>
      <c r="W1684" s="103">
        <f t="shared" si="232"/>
        <v>360</v>
      </c>
      <c r="X1684" s="93" t="s">
        <v>803</v>
      </c>
      <c r="Y1684" s="105" t="s">
        <v>84</v>
      </c>
      <c r="Z1684" s="105" t="s">
        <v>619</v>
      </c>
    </row>
    <row r="1685" spans="1:26" s="105" customFormat="1" ht="15" customHeight="1">
      <c r="A1685" s="99">
        <f t="shared" si="226"/>
        <v>1683</v>
      </c>
      <c r="B1685" s="75" t="s">
        <v>1220</v>
      </c>
      <c r="C1685" s="100" t="str">
        <f>IF($B1685&lt;&gt;"",_xlfn.IFNA(VLOOKUP($B1685,'Node Details'!$B:$U,C$1,0),"Check"),"")</f>
        <v>0000CM409-CM4090106</v>
      </c>
      <c r="D1685" s="100" t="str">
        <f>IF($B1685&lt;&gt;"",_xlfn.IFNA(VLOOKUP($B1685,'Node Details'!$B:$U,D$1,0),"Check"),"")</f>
        <v>CM4</v>
      </c>
      <c r="E1685" s="100" t="str">
        <f>IF($B1685&lt;&gt;"",_xlfn.IFNA(VLOOKUP($B1685,'Node Details'!$B:$U,E$1,0),"Check"),"")</f>
        <v>Airtel</v>
      </c>
      <c r="F1685" s="101">
        <v>46148</v>
      </c>
      <c r="G1685" s="103"/>
      <c r="H1685" s="102" t="s">
        <v>1258</v>
      </c>
      <c r="I1685" s="9">
        <v>6</v>
      </c>
      <c r="J1685" s="9">
        <v>60</v>
      </c>
      <c r="K1685" s="100">
        <f t="shared" si="227"/>
        <v>360</v>
      </c>
      <c r="L1685" s="78">
        <v>46142</v>
      </c>
      <c r="M1685" s="103"/>
      <c r="N1685" s="93" t="s">
        <v>534</v>
      </c>
      <c r="O1685" s="94"/>
      <c r="P1685" s="104">
        <f t="shared" si="228"/>
        <v>60</v>
      </c>
      <c r="Q1685" s="104">
        <f t="shared" si="229"/>
        <v>360</v>
      </c>
      <c r="R1685" s="104"/>
      <c r="S1685" s="93" t="s">
        <v>144</v>
      </c>
      <c r="T1685" s="94"/>
      <c r="U1685" s="104">
        <f t="shared" si="230"/>
        <v>60</v>
      </c>
      <c r="V1685" s="104">
        <f t="shared" si="231"/>
        <v>6</v>
      </c>
      <c r="W1685" s="103">
        <f t="shared" si="232"/>
        <v>360</v>
      </c>
      <c r="X1685" s="93" t="s">
        <v>803</v>
      </c>
      <c r="Y1685" s="105" t="s">
        <v>84</v>
      </c>
      <c r="Z1685" s="105" t="s">
        <v>619</v>
      </c>
    </row>
    <row r="1686" spans="1:26" s="105" customFormat="1" ht="15" customHeight="1">
      <c r="A1686" s="99">
        <f t="shared" si="226"/>
        <v>1684</v>
      </c>
      <c r="B1686" s="75" t="s">
        <v>865</v>
      </c>
      <c r="C1686" s="100" t="str">
        <f>IF($B1686&lt;&gt;"",_xlfn.IFNA(VLOOKUP($B1686,'Node Details'!$B:$U,C$1,0),"Check"),"")</f>
        <v>000000CM4-0000CM418</v>
      </c>
      <c r="D1686" s="100" t="str">
        <f>IF($B1686&lt;&gt;"",_xlfn.IFNA(VLOOKUP($B1686,'Node Details'!$B:$U,D$1,0),"Check"),"")</f>
        <v>CM4</v>
      </c>
      <c r="E1686" s="100" t="str">
        <f>IF($B1686&lt;&gt;"",_xlfn.IFNA(VLOOKUP($B1686,'Node Details'!$B:$U,E$1,0),"Check"),"")</f>
        <v>Airtel</v>
      </c>
      <c r="F1686" s="101">
        <v>46148</v>
      </c>
      <c r="G1686" s="103"/>
      <c r="H1686" s="102" t="s">
        <v>1258</v>
      </c>
      <c r="I1686" s="9">
        <v>47</v>
      </c>
      <c r="J1686" s="9">
        <v>60</v>
      </c>
      <c r="K1686" s="100">
        <f t="shared" si="227"/>
        <v>2820</v>
      </c>
      <c r="L1686" s="78">
        <v>46142</v>
      </c>
      <c r="M1686" s="103"/>
      <c r="N1686" s="93" t="s">
        <v>534</v>
      </c>
      <c r="O1686" s="94"/>
      <c r="P1686" s="104">
        <f t="shared" si="228"/>
        <v>60</v>
      </c>
      <c r="Q1686" s="104">
        <f t="shared" si="229"/>
        <v>2820</v>
      </c>
      <c r="R1686" s="104"/>
      <c r="S1686" s="93" t="s">
        <v>144</v>
      </c>
      <c r="T1686" s="94"/>
      <c r="U1686" s="104">
        <f t="shared" si="230"/>
        <v>60</v>
      </c>
      <c r="V1686" s="104">
        <f t="shared" si="231"/>
        <v>47</v>
      </c>
      <c r="W1686" s="103">
        <f t="shared" si="232"/>
        <v>2820</v>
      </c>
      <c r="X1686" s="93" t="s">
        <v>803</v>
      </c>
      <c r="Y1686" s="105" t="s">
        <v>84</v>
      </c>
      <c r="Z1686" s="105" t="s">
        <v>619</v>
      </c>
    </row>
    <row r="1687" spans="1:26" s="105" customFormat="1" ht="15" customHeight="1">
      <c r="A1687" s="99">
        <f t="shared" si="226"/>
        <v>1685</v>
      </c>
      <c r="B1687" s="75" t="s">
        <v>866</v>
      </c>
      <c r="C1687" s="100" t="str">
        <f>IF($B1687&lt;&gt;"",_xlfn.IFNA(VLOOKUP($B1687,'Node Details'!$B:$U,C$1,0),"Check"),"")</f>
        <v>0000CM410-CM4100105</v>
      </c>
      <c r="D1687" s="100" t="str">
        <f>IF($B1687&lt;&gt;"",_xlfn.IFNA(VLOOKUP($B1687,'Node Details'!$B:$U,D$1,0),"Check"),"")</f>
        <v>CM4</v>
      </c>
      <c r="E1687" s="100" t="str">
        <f>IF($B1687&lt;&gt;"",_xlfn.IFNA(VLOOKUP($B1687,'Node Details'!$B:$U,E$1,0),"Check"),"")</f>
        <v>Airtel</v>
      </c>
      <c r="F1687" s="101">
        <v>46148</v>
      </c>
      <c r="G1687" s="103"/>
      <c r="H1687" s="102" t="s">
        <v>1258</v>
      </c>
      <c r="I1687" s="9">
        <v>6</v>
      </c>
      <c r="J1687" s="9">
        <v>60</v>
      </c>
      <c r="K1687" s="100">
        <f t="shared" si="227"/>
        <v>360</v>
      </c>
      <c r="L1687" s="78">
        <v>46142</v>
      </c>
      <c r="M1687" s="103"/>
      <c r="N1687" s="93" t="s">
        <v>534</v>
      </c>
      <c r="O1687" s="94"/>
      <c r="P1687" s="104">
        <f t="shared" si="228"/>
        <v>60</v>
      </c>
      <c r="Q1687" s="104">
        <f t="shared" si="229"/>
        <v>360</v>
      </c>
      <c r="R1687" s="104"/>
      <c r="S1687" s="93" t="s">
        <v>144</v>
      </c>
      <c r="T1687" s="94"/>
      <c r="U1687" s="104">
        <f t="shared" si="230"/>
        <v>60</v>
      </c>
      <c r="V1687" s="104">
        <f t="shared" si="231"/>
        <v>6</v>
      </c>
      <c r="W1687" s="103">
        <f t="shared" si="232"/>
        <v>360</v>
      </c>
      <c r="X1687" s="93" t="s">
        <v>803</v>
      </c>
      <c r="Y1687" s="105" t="s">
        <v>84</v>
      </c>
      <c r="Z1687" s="105" t="s">
        <v>619</v>
      </c>
    </row>
    <row r="1688" spans="1:26" s="105" customFormat="1" ht="15" customHeight="1">
      <c r="A1688" s="99">
        <f t="shared" si="226"/>
        <v>1686</v>
      </c>
      <c r="B1688" s="75" t="s">
        <v>868</v>
      </c>
      <c r="C1688" s="100" t="str">
        <f>IF($B1688&lt;&gt;"",_xlfn.IFNA(VLOOKUP($B1688,'Node Details'!$B:$U,C$1,0),"Check"),"")</f>
        <v>0000CM410-CM4100106</v>
      </c>
      <c r="D1688" s="100" t="str">
        <f>IF($B1688&lt;&gt;"",_xlfn.IFNA(VLOOKUP($B1688,'Node Details'!$B:$U,D$1,0),"Check"),"")</f>
        <v>CM4</v>
      </c>
      <c r="E1688" s="100" t="str">
        <f>IF($B1688&lt;&gt;"",_xlfn.IFNA(VLOOKUP($B1688,'Node Details'!$B:$U,E$1,0),"Check"),"")</f>
        <v>Airtel</v>
      </c>
      <c r="F1688" s="101">
        <v>46148</v>
      </c>
      <c r="G1688" s="103"/>
      <c r="H1688" s="102" t="s">
        <v>1258</v>
      </c>
      <c r="I1688" s="9">
        <v>4</v>
      </c>
      <c r="J1688" s="9">
        <v>60</v>
      </c>
      <c r="K1688" s="100">
        <f t="shared" si="227"/>
        <v>240</v>
      </c>
      <c r="L1688" s="78">
        <v>46142</v>
      </c>
      <c r="M1688" s="103"/>
      <c r="N1688" s="93" t="s">
        <v>534</v>
      </c>
      <c r="O1688" s="94"/>
      <c r="P1688" s="104">
        <f t="shared" si="228"/>
        <v>60</v>
      </c>
      <c r="Q1688" s="104">
        <f t="shared" si="229"/>
        <v>240</v>
      </c>
      <c r="R1688" s="104"/>
      <c r="S1688" s="93" t="s">
        <v>144</v>
      </c>
      <c r="T1688" s="94"/>
      <c r="U1688" s="104">
        <f t="shared" si="230"/>
        <v>60</v>
      </c>
      <c r="V1688" s="104">
        <f t="shared" si="231"/>
        <v>4</v>
      </c>
      <c r="W1688" s="103">
        <f t="shared" si="232"/>
        <v>240</v>
      </c>
      <c r="X1688" s="93" t="s">
        <v>803</v>
      </c>
      <c r="Y1688" s="105" t="s">
        <v>84</v>
      </c>
      <c r="Z1688" s="105" t="s">
        <v>619</v>
      </c>
    </row>
    <row r="1689" spans="1:26" s="105" customFormat="1" ht="15" customHeight="1">
      <c r="A1689" s="99">
        <f t="shared" si="226"/>
        <v>1687</v>
      </c>
      <c r="B1689" s="75" t="s">
        <v>870</v>
      </c>
      <c r="C1689" s="100" t="str">
        <f>IF($B1689&lt;&gt;"",_xlfn.IFNA(VLOOKUP($B1689,'Node Details'!$B:$U,C$1,0),"Check"),"")</f>
        <v>0000CM410-CM4100107</v>
      </c>
      <c r="D1689" s="100" t="str">
        <f>IF($B1689&lt;&gt;"",_xlfn.IFNA(VLOOKUP($B1689,'Node Details'!$B:$U,D$1,0),"Check"),"")</f>
        <v>CM4</v>
      </c>
      <c r="E1689" s="100" t="str">
        <f>IF($B1689&lt;&gt;"",_xlfn.IFNA(VLOOKUP($B1689,'Node Details'!$B:$U,E$1,0),"Check"),"")</f>
        <v>Airtel</v>
      </c>
      <c r="F1689" s="101">
        <v>46148</v>
      </c>
      <c r="G1689" s="103"/>
      <c r="H1689" s="102" t="s">
        <v>1258</v>
      </c>
      <c r="I1689" s="9">
        <v>6</v>
      </c>
      <c r="J1689" s="9">
        <v>60</v>
      </c>
      <c r="K1689" s="100">
        <f t="shared" si="227"/>
        <v>360</v>
      </c>
      <c r="L1689" s="78">
        <v>46142</v>
      </c>
      <c r="M1689" s="103"/>
      <c r="N1689" s="93" t="s">
        <v>534</v>
      </c>
      <c r="O1689" s="94"/>
      <c r="P1689" s="104">
        <f t="shared" si="228"/>
        <v>60</v>
      </c>
      <c r="Q1689" s="104">
        <f t="shared" si="229"/>
        <v>360</v>
      </c>
      <c r="R1689" s="104"/>
      <c r="S1689" s="93" t="s">
        <v>144</v>
      </c>
      <c r="T1689" s="94"/>
      <c r="U1689" s="104">
        <f t="shared" si="230"/>
        <v>60</v>
      </c>
      <c r="V1689" s="104">
        <f t="shared" si="231"/>
        <v>6</v>
      </c>
      <c r="W1689" s="103">
        <f t="shared" si="232"/>
        <v>360</v>
      </c>
      <c r="X1689" s="93" t="s">
        <v>803</v>
      </c>
      <c r="Y1689" s="105" t="s">
        <v>84</v>
      </c>
      <c r="Z1689" s="105" t="s">
        <v>619</v>
      </c>
    </row>
    <row r="1690" spans="1:26" s="105" customFormat="1" ht="15" customHeight="1">
      <c r="A1690" s="99">
        <f t="shared" si="226"/>
        <v>1688</v>
      </c>
      <c r="B1690" s="75" t="s">
        <v>872</v>
      </c>
      <c r="C1690" s="100" t="str">
        <f>IF($B1690&lt;&gt;"",_xlfn.IFNA(VLOOKUP($B1690,'Node Details'!$B:$U,C$1,0),"Check"),"")</f>
        <v>0000CM410-CM4100108</v>
      </c>
      <c r="D1690" s="100" t="str">
        <f>IF($B1690&lt;&gt;"",_xlfn.IFNA(VLOOKUP($B1690,'Node Details'!$B:$U,D$1,0),"Check"),"")</f>
        <v>CM4</v>
      </c>
      <c r="E1690" s="100" t="str">
        <f>IF($B1690&lt;&gt;"",_xlfn.IFNA(VLOOKUP($B1690,'Node Details'!$B:$U,E$1,0),"Check"),"")</f>
        <v>Airtel</v>
      </c>
      <c r="F1690" s="101">
        <v>46148</v>
      </c>
      <c r="G1690" s="103"/>
      <c r="H1690" s="102" t="s">
        <v>1258</v>
      </c>
      <c r="I1690" s="9">
        <v>4</v>
      </c>
      <c r="J1690" s="9">
        <v>60</v>
      </c>
      <c r="K1690" s="100">
        <f t="shared" si="227"/>
        <v>240</v>
      </c>
      <c r="L1690" s="78">
        <v>46142</v>
      </c>
      <c r="M1690" s="103"/>
      <c r="N1690" s="93" t="s">
        <v>534</v>
      </c>
      <c r="O1690" s="94"/>
      <c r="P1690" s="104">
        <f t="shared" si="228"/>
        <v>60</v>
      </c>
      <c r="Q1690" s="104">
        <f t="shared" si="229"/>
        <v>240</v>
      </c>
      <c r="R1690" s="104"/>
      <c r="S1690" s="93" t="s">
        <v>144</v>
      </c>
      <c r="T1690" s="94"/>
      <c r="U1690" s="104">
        <f t="shared" si="230"/>
        <v>60</v>
      </c>
      <c r="V1690" s="104">
        <f t="shared" si="231"/>
        <v>4</v>
      </c>
      <c r="W1690" s="103">
        <f t="shared" si="232"/>
        <v>240</v>
      </c>
      <c r="X1690" s="93" t="s">
        <v>803</v>
      </c>
      <c r="Y1690" s="105" t="s">
        <v>84</v>
      </c>
      <c r="Z1690" s="105" t="s">
        <v>619</v>
      </c>
    </row>
    <row r="1691" spans="1:26" s="105" customFormat="1" ht="15" customHeight="1">
      <c r="A1691" s="99">
        <f t="shared" si="226"/>
        <v>1689</v>
      </c>
      <c r="B1691" s="75" t="s">
        <v>874</v>
      </c>
      <c r="C1691" s="100" t="str">
        <f>IF($B1691&lt;&gt;"",_xlfn.IFNA(VLOOKUP($B1691,'Node Details'!$B:$U,C$1,0),"Check"),"")</f>
        <v>0000CM410-CM4100103</v>
      </c>
      <c r="D1691" s="100" t="str">
        <f>IF($B1691&lt;&gt;"",_xlfn.IFNA(VLOOKUP($B1691,'Node Details'!$B:$U,D$1,0),"Check"),"")</f>
        <v>CM4</v>
      </c>
      <c r="E1691" s="100" t="str">
        <f>IF($B1691&lt;&gt;"",_xlfn.IFNA(VLOOKUP($B1691,'Node Details'!$B:$U,E$1,0),"Check"),"")</f>
        <v>Airtel</v>
      </c>
      <c r="F1691" s="101">
        <v>46148</v>
      </c>
      <c r="G1691" s="103"/>
      <c r="H1691" s="102" t="s">
        <v>1258</v>
      </c>
      <c r="I1691" s="9">
        <v>2</v>
      </c>
      <c r="J1691" s="9">
        <v>60</v>
      </c>
      <c r="K1691" s="100">
        <f t="shared" si="227"/>
        <v>120</v>
      </c>
      <c r="L1691" s="78">
        <v>46142</v>
      </c>
      <c r="M1691" s="103"/>
      <c r="N1691" s="93" t="s">
        <v>534</v>
      </c>
      <c r="O1691" s="94"/>
      <c r="P1691" s="104">
        <f t="shared" si="228"/>
        <v>60</v>
      </c>
      <c r="Q1691" s="104">
        <f t="shared" si="229"/>
        <v>120</v>
      </c>
      <c r="R1691" s="104"/>
      <c r="S1691" s="93" t="s">
        <v>144</v>
      </c>
      <c r="T1691" s="94"/>
      <c r="U1691" s="104">
        <f t="shared" si="230"/>
        <v>60</v>
      </c>
      <c r="V1691" s="104">
        <f t="shared" si="231"/>
        <v>2</v>
      </c>
      <c r="W1691" s="103">
        <f t="shared" si="232"/>
        <v>120</v>
      </c>
      <c r="X1691" s="93" t="s">
        <v>803</v>
      </c>
      <c r="Y1691" s="105" t="s">
        <v>84</v>
      </c>
      <c r="Z1691" s="105" t="s">
        <v>619</v>
      </c>
    </row>
    <row r="1692" spans="1:26" s="105" customFormat="1" ht="15" customHeight="1">
      <c r="A1692" s="99">
        <f t="shared" si="226"/>
        <v>1690</v>
      </c>
      <c r="B1692" s="75" t="s">
        <v>812</v>
      </c>
      <c r="C1692" s="100" t="str">
        <f>IF($B1692&lt;&gt;"",_xlfn.IFNA(VLOOKUP($B1692,'Node Details'!$B:$U,C$1,0),"Check"),"")</f>
        <v>000000CM4-0000CM418</v>
      </c>
      <c r="D1692" s="100" t="str">
        <f>IF($B1692&lt;&gt;"",_xlfn.IFNA(VLOOKUP($B1692,'Node Details'!$B:$U,D$1,0),"Check"),"")</f>
        <v>CM4</v>
      </c>
      <c r="E1692" s="100" t="str">
        <f>IF($B1692&lt;&gt;"",_xlfn.IFNA(VLOOKUP($B1692,'Node Details'!$B:$U,E$1,0),"Check"),"")</f>
        <v>Airtel</v>
      </c>
      <c r="F1692" s="101">
        <v>46148</v>
      </c>
      <c r="G1692" s="103"/>
      <c r="H1692" s="102" t="s">
        <v>1258</v>
      </c>
      <c r="I1692" s="9">
        <v>47</v>
      </c>
      <c r="J1692" s="9">
        <v>60</v>
      </c>
      <c r="K1692" s="100">
        <f t="shared" si="227"/>
        <v>2820</v>
      </c>
      <c r="L1692" s="78">
        <v>46142</v>
      </c>
      <c r="M1692" s="103"/>
      <c r="N1692" s="93" t="s">
        <v>534</v>
      </c>
      <c r="O1692" s="94"/>
      <c r="P1692" s="104">
        <f t="shared" si="228"/>
        <v>60</v>
      </c>
      <c r="Q1692" s="104">
        <f t="shared" si="229"/>
        <v>2820</v>
      </c>
      <c r="R1692" s="104"/>
      <c r="S1692" s="93" t="s">
        <v>144</v>
      </c>
      <c r="T1692" s="94"/>
      <c r="U1692" s="104">
        <f t="shared" si="230"/>
        <v>60</v>
      </c>
      <c r="V1692" s="104">
        <f t="shared" si="231"/>
        <v>47</v>
      </c>
      <c r="W1692" s="103">
        <f t="shared" si="232"/>
        <v>2820</v>
      </c>
      <c r="X1692" s="93" t="s">
        <v>803</v>
      </c>
      <c r="Y1692" s="105" t="s">
        <v>84</v>
      </c>
      <c r="Z1692" s="105" t="s">
        <v>619</v>
      </c>
    </row>
    <row r="1693" spans="1:26" s="105" customFormat="1" ht="15" customHeight="1">
      <c r="A1693" s="99">
        <f t="shared" si="226"/>
        <v>1691</v>
      </c>
      <c r="B1693" s="75" t="s">
        <v>887</v>
      </c>
      <c r="C1693" s="100" t="str">
        <f>IF($B1693&lt;&gt;"",_xlfn.IFNA(VLOOKUP($B1693,'Node Details'!$B:$U,C$1,0),"Check"),"")</f>
        <v>0000CM411-CM4110103</v>
      </c>
      <c r="D1693" s="100" t="str">
        <f>IF($B1693&lt;&gt;"",_xlfn.IFNA(VLOOKUP($B1693,'Node Details'!$B:$U,D$1,0),"Check"),"")</f>
        <v>CM4</v>
      </c>
      <c r="E1693" s="100" t="str">
        <f>IF($B1693&lt;&gt;"",_xlfn.IFNA(VLOOKUP($B1693,'Node Details'!$B:$U,E$1,0),"Check"),"")</f>
        <v>Airtel</v>
      </c>
      <c r="F1693" s="101">
        <v>46148</v>
      </c>
      <c r="G1693" s="103"/>
      <c r="H1693" s="102" t="s">
        <v>1258</v>
      </c>
      <c r="I1693" s="9">
        <v>6</v>
      </c>
      <c r="J1693" s="9">
        <v>60</v>
      </c>
      <c r="K1693" s="100">
        <f t="shared" si="227"/>
        <v>360</v>
      </c>
      <c r="L1693" s="78">
        <v>46142</v>
      </c>
      <c r="M1693" s="103"/>
      <c r="N1693" s="93" t="s">
        <v>534</v>
      </c>
      <c r="O1693" s="94"/>
      <c r="P1693" s="104">
        <f t="shared" si="228"/>
        <v>60</v>
      </c>
      <c r="Q1693" s="104">
        <f t="shared" si="229"/>
        <v>360</v>
      </c>
      <c r="R1693" s="104"/>
      <c r="S1693" s="93" t="s">
        <v>144</v>
      </c>
      <c r="T1693" s="94"/>
      <c r="U1693" s="104">
        <f t="shared" si="230"/>
        <v>60</v>
      </c>
      <c r="V1693" s="104">
        <f t="shared" si="231"/>
        <v>6</v>
      </c>
      <c r="W1693" s="103">
        <f t="shared" si="232"/>
        <v>360</v>
      </c>
      <c r="X1693" s="93" t="s">
        <v>803</v>
      </c>
      <c r="Y1693" s="105" t="s">
        <v>84</v>
      </c>
      <c r="Z1693" s="105" t="s">
        <v>619</v>
      </c>
    </row>
    <row r="1694" spans="1:26" s="105" customFormat="1" ht="15" customHeight="1">
      <c r="A1694" s="99">
        <f t="shared" si="226"/>
        <v>1692</v>
      </c>
      <c r="B1694" s="75" t="s">
        <v>880</v>
      </c>
      <c r="C1694" s="100" t="str">
        <f>IF($B1694&lt;&gt;"",_xlfn.IFNA(VLOOKUP($B1694,'Node Details'!$B:$U,C$1,0),"Check"),"")</f>
        <v>0000CM411-CM4110104</v>
      </c>
      <c r="D1694" s="100" t="str">
        <f>IF($B1694&lt;&gt;"",_xlfn.IFNA(VLOOKUP($B1694,'Node Details'!$B:$U,D$1,0),"Check"),"")</f>
        <v>CM4</v>
      </c>
      <c r="E1694" s="100" t="str">
        <f>IF($B1694&lt;&gt;"",_xlfn.IFNA(VLOOKUP($B1694,'Node Details'!$B:$U,E$1,0),"Check"),"")</f>
        <v>Airtel</v>
      </c>
      <c r="F1694" s="101">
        <v>46148</v>
      </c>
      <c r="G1694" s="103"/>
      <c r="H1694" s="102" t="s">
        <v>1258</v>
      </c>
      <c r="I1694" s="9">
        <v>6</v>
      </c>
      <c r="J1694" s="9">
        <v>60</v>
      </c>
      <c r="K1694" s="100">
        <f t="shared" si="227"/>
        <v>360</v>
      </c>
      <c r="L1694" s="78">
        <v>46142</v>
      </c>
      <c r="M1694" s="103"/>
      <c r="N1694" s="93" t="s">
        <v>534</v>
      </c>
      <c r="O1694" s="94"/>
      <c r="P1694" s="104">
        <f t="shared" si="228"/>
        <v>60</v>
      </c>
      <c r="Q1694" s="104">
        <f t="shared" si="229"/>
        <v>360</v>
      </c>
      <c r="R1694" s="104"/>
      <c r="S1694" s="93" t="s">
        <v>144</v>
      </c>
      <c r="T1694" s="94"/>
      <c r="U1694" s="104">
        <f t="shared" si="230"/>
        <v>60</v>
      </c>
      <c r="V1694" s="104">
        <f t="shared" si="231"/>
        <v>6</v>
      </c>
      <c r="W1694" s="103">
        <f t="shared" si="232"/>
        <v>360</v>
      </c>
      <c r="X1694" s="93" t="s">
        <v>803</v>
      </c>
      <c r="Y1694" s="105" t="s">
        <v>84</v>
      </c>
      <c r="Z1694" s="105" t="s">
        <v>619</v>
      </c>
    </row>
    <row r="1695" spans="1:26" s="105" customFormat="1" ht="15" customHeight="1">
      <c r="A1695" s="99">
        <f t="shared" si="226"/>
        <v>1693</v>
      </c>
      <c r="B1695" s="75" t="s">
        <v>884</v>
      </c>
      <c r="C1695" s="100" t="str">
        <f>IF($B1695&lt;&gt;"",_xlfn.IFNA(VLOOKUP($B1695,'Node Details'!$B:$U,C$1,0),"Check"),"")</f>
        <v>0000CM411-CM4110106</v>
      </c>
      <c r="D1695" s="100" t="str">
        <f>IF($B1695&lt;&gt;"",_xlfn.IFNA(VLOOKUP($B1695,'Node Details'!$B:$U,D$1,0),"Check"),"")</f>
        <v>CM4</v>
      </c>
      <c r="E1695" s="100" t="str">
        <f>IF($B1695&lt;&gt;"",_xlfn.IFNA(VLOOKUP($B1695,'Node Details'!$B:$U,E$1,0),"Check"),"")</f>
        <v>Airtel</v>
      </c>
      <c r="F1695" s="101">
        <v>46148</v>
      </c>
      <c r="G1695" s="103"/>
      <c r="H1695" s="102" t="s">
        <v>1258</v>
      </c>
      <c r="I1695" s="9">
        <v>6</v>
      </c>
      <c r="J1695" s="9">
        <v>60</v>
      </c>
      <c r="K1695" s="100">
        <f t="shared" si="227"/>
        <v>360</v>
      </c>
      <c r="L1695" s="78">
        <v>46142</v>
      </c>
      <c r="M1695" s="103"/>
      <c r="N1695" s="93" t="s">
        <v>534</v>
      </c>
      <c r="O1695" s="94"/>
      <c r="P1695" s="104">
        <f t="shared" si="228"/>
        <v>60</v>
      </c>
      <c r="Q1695" s="104">
        <f t="shared" si="229"/>
        <v>360</v>
      </c>
      <c r="R1695" s="104"/>
      <c r="S1695" s="93" t="s">
        <v>144</v>
      </c>
      <c r="T1695" s="94"/>
      <c r="U1695" s="104">
        <f t="shared" si="230"/>
        <v>60</v>
      </c>
      <c r="V1695" s="104">
        <f t="shared" si="231"/>
        <v>6</v>
      </c>
      <c r="W1695" s="103">
        <f t="shared" si="232"/>
        <v>360</v>
      </c>
      <c r="X1695" s="93" t="s">
        <v>803</v>
      </c>
      <c r="Y1695" s="105" t="s">
        <v>84</v>
      </c>
      <c r="Z1695" s="105" t="s">
        <v>619</v>
      </c>
    </row>
    <row r="1696" spans="1:26" s="105" customFormat="1" ht="15" customHeight="1">
      <c r="A1696" s="99">
        <f t="shared" si="226"/>
        <v>1694</v>
      </c>
      <c r="B1696" s="75" t="s">
        <v>1221</v>
      </c>
      <c r="C1696" s="100" t="str">
        <f>IF($B1696&lt;&gt;"",_xlfn.IFNA(VLOOKUP($B1696,'Node Details'!$B:$U,C$1,0),"Check"),"")</f>
        <v>CM4110105-CM4110108</v>
      </c>
      <c r="D1696" s="100" t="str">
        <f>IF($B1696&lt;&gt;"",_xlfn.IFNA(VLOOKUP($B1696,'Node Details'!$B:$U,D$1,0),"Check"),"")</f>
        <v>CM4</v>
      </c>
      <c r="E1696" s="100" t="str">
        <f>IF($B1696&lt;&gt;"",_xlfn.IFNA(VLOOKUP($B1696,'Node Details'!$B:$U,E$1,0),"Check"),"")</f>
        <v>Airtel</v>
      </c>
      <c r="F1696" s="101">
        <v>46148</v>
      </c>
      <c r="G1696" s="103"/>
      <c r="H1696" s="102" t="s">
        <v>1258</v>
      </c>
      <c r="I1696" s="9">
        <v>6</v>
      </c>
      <c r="J1696" s="9">
        <v>60</v>
      </c>
      <c r="K1696" s="100">
        <f t="shared" si="227"/>
        <v>360</v>
      </c>
      <c r="L1696" s="78">
        <v>46142</v>
      </c>
      <c r="M1696" s="103"/>
      <c r="N1696" s="93" t="s">
        <v>534</v>
      </c>
      <c r="O1696" s="94"/>
      <c r="P1696" s="104">
        <f t="shared" si="228"/>
        <v>60</v>
      </c>
      <c r="Q1696" s="104">
        <f t="shared" si="229"/>
        <v>360</v>
      </c>
      <c r="R1696" s="104"/>
      <c r="S1696" s="93" t="s">
        <v>144</v>
      </c>
      <c r="T1696" s="94"/>
      <c r="U1696" s="104">
        <f t="shared" si="230"/>
        <v>60</v>
      </c>
      <c r="V1696" s="104">
        <f t="shared" si="231"/>
        <v>6</v>
      </c>
      <c r="W1696" s="103">
        <f t="shared" si="232"/>
        <v>360</v>
      </c>
      <c r="X1696" s="93" t="s">
        <v>803</v>
      </c>
      <c r="Y1696" s="105" t="s">
        <v>84</v>
      </c>
      <c r="Z1696" s="105" t="s">
        <v>619</v>
      </c>
    </row>
    <row r="1697" spans="1:26" s="105" customFormat="1" ht="15" customHeight="1">
      <c r="A1697" s="99">
        <f t="shared" si="226"/>
        <v>1695</v>
      </c>
      <c r="B1697" s="75" t="s">
        <v>813</v>
      </c>
      <c r="C1697" s="100" t="str">
        <f>IF($B1697&lt;&gt;"",_xlfn.IFNA(VLOOKUP($B1697,'Node Details'!$B:$U,C$1,0),"Check"),"")</f>
        <v>0000CM411-0000CM412</v>
      </c>
      <c r="D1697" s="100" t="str">
        <f>IF($B1697&lt;&gt;"",_xlfn.IFNA(VLOOKUP($B1697,'Node Details'!$B:$U,D$1,0),"Check"),"")</f>
        <v>CM4</v>
      </c>
      <c r="E1697" s="100" t="str">
        <f>IF($B1697&lt;&gt;"",_xlfn.IFNA(VLOOKUP($B1697,'Node Details'!$B:$U,E$1,0),"Check"),"")</f>
        <v>Airtel</v>
      </c>
      <c r="F1697" s="101">
        <v>46148</v>
      </c>
      <c r="G1697" s="103"/>
      <c r="H1697" s="102" t="s">
        <v>1258</v>
      </c>
      <c r="I1697" s="9">
        <v>23</v>
      </c>
      <c r="J1697" s="9">
        <v>60</v>
      </c>
      <c r="K1697" s="100">
        <f t="shared" si="227"/>
        <v>1380</v>
      </c>
      <c r="L1697" s="78">
        <v>46142</v>
      </c>
      <c r="M1697" s="103"/>
      <c r="N1697" s="93" t="s">
        <v>534</v>
      </c>
      <c r="O1697" s="94"/>
      <c r="P1697" s="104">
        <f t="shared" si="228"/>
        <v>60</v>
      </c>
      <c r="Q1697" s="104">
        <f t="shared" si="229"/>
        <v>1380</v>
      </c>
      <c r="R1697" s="104"/>
      <c r="S1697" s="93" t="s">
        <v>144</v>
      </c>
      <c r="T1697" s="94"/>
      <c r="U1697" s="104">
        <f t="shared" si="230"/>
        <v>60</v>
      </c>
      <c r="V1697" s="104">
        <f t="shared" si="231"/>
        <v>23</v>
      </c>
      <c r="W1697" s="103">
        <f t="shared" si="232"/>
        <v>1380</v>
      </c>
      <c r="X1697" s="93" t="s">
        <v>803</v>
      </c>
      <c r="Y1697" s="105" t="s">
        <v>84</v>
      </c>
      <c r="Z1697" s="105" t="s">
        <v>619</v>
      </c>
    </row>
    <row r="1698" spans="1:26" s="105" customFormat="1" ht="15" customHeight="1">
      <c r="A1698" s="99">
        <f t="shared" si="226"/>
        <v>1696</v>
      </c>
      <c r="B1698" s="75" t="s">
        <v>891</v>
      </c>
      <c r="C1698" s="100" t="str">
        <f>IF($B1698&lt;&gt;"",_xlfn.IFNA(VLOOKUP($B1698,'Node Details'!$B:$U,C$1,0),"Check"),"")</f>
        <v>0000CM412-CM4120104</v>
      </c>
      <c r="D1698" s="100" t="str">
        <f>IF($B1698&lt;&gt;"",_xlfn.IFNA(VLOOKUP($B1698,'Node Details'!$B:$U,D$1,0),"Check"),"")</f>
        <v>CM4</v>
      </c>
      <c r="E1698" s="100" t="str">
        <f>IF($B1698&lt;&gt;"",_xlfn.IFNA(VLOOKUP($B1698,'Node Details'!$B:$U,E$1,0),"Check"),"")</f>
        <v>Airtel</v>
      </c>
      <c r="F1698" s="101">
        <v>46148</v>
      </c>
      <c r="G1698" s="103"/>
      <c r="H1698" s="102" t="s">
        <v>1258</v>
      </c>
      <c r="I1698" s="9">
        <v>6</v>
      </c>
      <c r="J1698" s="9">
        <v>60</v>
      </c>
      <c r="K1698" s="100">
        <f t="shared" si="227"/>
        <v>360</v>
      </c>
      <c r="L1698" s="78">
        <v>46142</v>
      </c>
      <c r="M1698" s="103"/>
      <c r="N1698" s="93" t="s">
        <v>534</v>
      </c>
      <c r="O1698" s="94"/>
      <c r="P1698" s="104">
        <f t="shared" si="228"/>
        <v>60</v>
      </c>
      <c r="Q1698" s="104">
        <f t="shared" si="229"/>
        <v>360</v>
      </c>
      <c r="R1698" s="104"/>
      <c r="S1698" s="93" t="s">
        <v>144</v>
      </c>
      <c r="T1698" s="94"/>
      <c r="U1698" s="104">
        <f t="shared" si="230"/>
        <v>60</v>
      </c>
      <c r="V1698" s="104">
        <f t="shared" si="231"/>
        <v>6</v>
      </c>
      <c r="W1698" s="103">
        <f t="shared" si="232"/>
        <v>360</v>
      </c>
      <c r="X1698" s="93" t="s">
        <v>803</v>
      </c>
      <c r="Y1698" s="105" t="s">
        <v>84</v>
      </c>
      <c r="Z1698" s="105" t="s">
        <v>619</v>
      </c>
    </row>
    <row r="1699" spans="1:26" s="105" customFormat="1" ht="15" customHeight="1">
      <c r="A1699" s="99">
        <f t="shared" si="226"/>
        <v>1697</v>
      </c>
      <c r="B1699" s="75" t="s">
        <v>893</v>
      </c>
      <c r="C1699" s="100" t="str">
        <f>IF($B1699&lt;&gt;"",_xlfn.IFNA(VLOOKUP($B1699,'Node Details'!$B:$U,C$1,0),"Check"),"")</f>
        <v>0000CM412-CM4120105</v>
      </c>
      <c r="D1699" s="100" t="str">
        <f>IF($B1699&lt;&gt;"",_xlfn.IFNA(VLOOKUP($B1699,'Node Details'!$B:$U,D$1,0),"Check"),"")</f>
        <v>CM4</v>
      </c>
      <c r="E1699" s="100" t="str">
        <f>IF($B1699&lt;&gt;"",_xlfn.IFNA(VLOOKUP($B1699,'Node Details'!$B:$U,E$1,0),"Check"),"")</f>
        <v>Airtel</v>
      </c>
      <c r="F1699" s="101">
        <v>46148</v>
      </c>
      <c r="G1699" s="103"/>
      <c r="H1699" s="102" t="s">
        <v>1258</v>
      </c>
      <c r="I1699" s="9">
        <v>6</v>
      </c>
      <c r="J1699" s="9">
        <v>60</v>
      </c>
      <c r="K1699" s="100">
        <f t="shared" si="227"/>
        <v>360</v>
      </c>
      <c r="L1699" s="78">
        <v>46142</v>
      </c>
      <c r="M1699" s="103"/>
      <c r="N1699" s="93" t="s">
        <v>534</v>
      </c>
      <c r="O1699" s="94"/>
      <c r="P1699" s="104">
        <f t="shared" si="228"/>
        <v>60</v>
      </c>
      <c r="Q1699" s="104">
        <f t="shared" si="229"/>
        <v>360</v>
      </c>
      <c r="R1699" s="104"/>
      <c r="S1699" s="93" t="s">
        <v>144</v>
      </c>
      <c r="T1699" s="94"/>
      <c r="U1699" s="104">
        <f t="shared" si="230"/>
        <v>60</v>
      </c>
      <c r="V1699" s="104">
        <f t="shared" si="231"/>
        <v>6</v>
      </c>
      <c r="W1699" s="103">
        <f t="shared" si="232"/>
        <v>360</v>
      </c>
      <c r="X1699" s="93" t="s">
        <v>803</v>
      </c>
      <c r="Y1699" s="105" t="s">
        <v>84</v>
      </c>
      <c r="Z1699" s="105" t="s">
        <v>619</v>
      </c>
    </row>
    <row r="1700" spans="1:26" s="105" customFormat="1" ht="15" customHeight="1">
      <c r="A1700" s="99">
        <f t="shared" si="226"/>
        <v>1698</v>
      </c>
      <c r="B1700" s="75" t="s">
        <v>1222</v>
      </c>
      <c r="C1700" s="100" t="str">
        <f>IF($B1700&lt;&gt;"",_xlfn.IFNA(VLOOKUP($B1700,'Node Details'!$B:$U,C$1,0),"Check"),"")</f>
        <v>0000CM412-CM4120108</v>
      </c>
      <c r="D1700" s="100" t="str">
        <f>IF($B1700&lt;&gt;"",_xlfn.IFNA(VLOOKUP($B1700,'Node Details'!$B:$U,D$1,0),"Check"),"")</f>
        <v>CM4</v>
      </c>
      <c r="E1700" s="100" t="str">
        <f>IF($B1700&lt;&gt;"",_xlfn.IFNA(VLOOKUP($B1700,'Node Details'!$B:$U,E$1,0),"Check"),"")</f>
        <v>Airtel</v>
      </c>
      <c r="F1700" s="101">
        <v>46148</v>
      </c>
      <c r="G1700" s="103"/>
      <c r="H1700" s="102" t="s">
        <v>1258</v>
      </c>
      <c r="I1700" s="9">
        <v>2</v>
      </c>
      <c r="J1700" s="9">
        <v>60</v>
      </c>
      <c r="K1700" s="100">
        <f t="shared" si="227"/>
        <v>120</v>
      </c>
      <c r="L1700" s="78">
        <v>46142</v>
      </c>
      <c r="M1700" s="103"/>
      <c r="N1700" s="93" t="s">
        <v>534</v>
      </c>
      <c r="O1700" s="94"/>
      <c r="P1700" s="104">
        <f t="shared" si="228"/>
        <v>60</v>
      </c>
      <c r="Q1700" s="104">
        <f t="shared" si="229"/>
        <v>120</v>
      </c>
      <c r="R1700" s="104"/>
      <c r="S1700" s="93" t="s">
        <v>144</v>
      </c>
      <c r="T1700" s="94"/>
      <c r="U1700" s="104">
        <f t="shared" si="230"/>
        <v>60</v>
      </c>
      <c r="V1700" s="104">
        <f t="shared" si="231"/>
        <v>2</v>
      </c>
      <c r="W1700" s="103">
        <f t="shared" si="232"/>
        <v>120</v>
      </c>
      <c r="X1700" s="93" t="s">
        <v>803</v>
      </c>
      <c r="Y1700" s="105" t="s">
        <v>84</v>
      </c>
      <c r="Z1700" s="105" t="s">
        <v>619</v>
      </c>
    </row>
    <row r="1701" spans="1:26" s="105" customFormat="1" ht="15" customHeight="1">
      <c r="A1701" s="99">
        <f t="shared" si="226"/>
        <v>1699</v>
      </c>
      <c r="B1701" s="75" t="s">
        <v>897</v>
      </c>
      <c r="C1701" s="100" t="str">
        <f>IF($B1701&lt;&gt;"",_xlfn.IFNA(VLOOKUP($B1701,'Node Details'!$B:$U,C$1,0),"Check"),"")</f>
        <v>000000CM4-0000CM418</v>
      </c>
      <c r="D1701" s="100" t="str">
        <f>IF($B1701&lt;&gt;"",_xlfn.IFNA(VLOOKUP($B1701,'Node Details'!$B:$U,D$1,0),"Check"),"")</f>
        <v>CM4</v>
      </c>
      <c r="E1701" s="100" t="str">
        <f>IF($B1701&lt;&gt;"",_xlfn.IFNA(VLOOKUP($B1701,'Node Details'!$B:$U,E$1,0),"Check"),"")</f>
        <v>Airtel</v>
      </c>
      <c r="F1701" s="101">
        <v>46148</v>
      </c>
      <c r="G1701" s="103"/>
      <c r="H1701" s="102" t="s">
        <v>1258</v>
      </c>
      <c r="I1701" s="9">
        <v>47</v>
      </c>
      <c r="J1701" s="9">
        <v>60</v>
      </c>
      <c r="K1701" s="100">
        <f t="shared" si="227"/>
        <v>2820</v>
      </c>
      <c r="L1701" s="78">
        <v>46142</v>
      </c>
      <c r="M1701" s="103"/>
      <c r="N1701" s="93" t="s">
        <v>534</v>
      </c>
      <c r="O1701" s="94"/>
      <c r="P1701" s="104">
        <f t="shared" si="228"/>
        <v>60</v>
      </c>
      <c r="Q1701" s="104">
        <f t="shared" si="229"/>
        <v>2820</v>
      </c>
      <c r="R1701" s="104"/>
      <c r="S1701" s="93" t="s">
        <v>144</v>
      </c>
      <c r="T1701" s="94"/>
      <c r="U1701" s="104">
        <f t="shared" si="230"/>
        <v>60</v>
      </c>
      <c r="V1701" s="104">
        <f t="shared" si="231"/>
        <v>47</v>
      </c>
      <c r="W1701" s="103">
        <f t="shared" si="232"/>
        <v>2820</v>
      </c>
      <c r="X1701" s="93" t="s">
        <v>803</v>
      </c>
      <c r="Y1701" s="105" t="s">
        <v>84</v>
      </c>
      <c r="Z1701" s="105" t="s">
        <v>619</v>
      </c>
    </row>
    <row r="1702" spans="1:26" s="105" customFormat="1" ht="15" customHeight="1">
      <c r="A1702" s="99">
        <f t="shared" si="226"/>
        <v>1700</v>
      </c>
      <c r="B1702" s="75" t="s">
        <v>902</v>
      </c>
      <c r="C1702" s="100" t="str">
        <f>IF($B1702&lt;&gt;"",_xlfn.IFNA(VLOOKUP($B1702,'Node Details'!$B:$U,C$1,0),"Check"),"")</f>
        <v>0000CM413-CM4130104</v>
      </c>
      <c r="D1702" s="100" t="str">
        <f>IF($B1702&lt;&gt;"",_xlfn.IFNA(VLOOKUP($B1702,'Node Details'!$B:$U,D$1,0),"Check"),"")</f>
        <v>CM4</v>
      </c>
      <c r="E1702" s="100" t="str">
        <f>IF($B1702&lt;&gt;"",_xlfn.IFNA(VLOOKUP($B1702,'Node Details'!$B:$U,E$1,0),"Check"),"")</f>
        <v>Airtel</v>
      </c>
      <c r="F1702" s="101">
        <v>46148</v>
      </c>
      <c r="G1702" s="103"/>
      <c r="H1702" s="102" t="s">
        <v>1258</v>
      </c>
      <c r="I1702" s="9">
        <v>6</v>
      </c>
      <c r="J1702" s="9">
        <v>60</v>
      </c>
      <c r="K1702" s="100">
        <f t="shared" si="227"/>
        <v>360</v>
      </c>
      <c r="L1702" s="78">
        <v>46142</v>
      </c>
      <c r="M1702" s="103"/>
      <c r="N1702" s="93" t="s">
        <v>534</v>
      </c>
      <c r="O1702" s="94"/>
      <c r="P1702" s="104">
        <f t="shared" si="228"/>
        <v>60</v>
      </c>
      <c r="Q1702" s="104">
        <f t="shared" si="229"/>
        <v>360</v>
      </c>
      <c r="R1702" s="104"/>
      <c r="S1702" s="93" t="s">
        <v>144</v>
      </c>
      <c r="T1702" s="94"/>
      <c r="U1702" s="104">
        <f t="shared" si="230"/>
        <v>60</v>
      </c>
      <c r="V1702" s="104">
        <f t="shared" si="231"/>
        <v>6</v>
      </c>
      <c r="W1702" s="103">
        <f t="shared" si="232"/>
        <v>360</v>
      </c>
      <c r="X1702" s="93" t="s">
        <v>803</v>
      </c>
      <c r="Y1702" s="105" t="s">
        <v>84</v>
      </c>
      <c r="Z1702" s="105" t="s">
        <v>619</v>
      </c>
    </row>
    <row r="1703" spans="1:26" s="105" customFormat="1" ht="15" customHeight="1">
      <c r="A1703" s="99">
        <f t="shared" si="226"/>
        <v>1701</v>
      </c>
      <c r="B1703" s="75" t="s">
        <v>903</v>
      </c>
      <c r="C1703" s="100" t="str">
        <f>IF($B1703&lt;&gt;"",_xlfn.IFNA(VLOOKUP($B1703,'Node Details'!$B:$U,C$1,0),"Check"),"")</f>
        <v>CM4130103-CM4130107</v>
      </c>
      <c r="D1703" s="100" t="str">
        <f>IF($B1703&lt;&gt;"",_xlfn.IFNA(VLOOKUP($B1703,'Node Details'!$B:$U,D$1,0),"Check"),"")</f>
        <v>CM4</v>
      </c>
      <c r="E1703" s="100" t="str">
        <f>IF($B1703&lt;&gt;"",_xlfn.IFNA(VLOOKUP($B1703,'Node Details'!$B:$U,E$1,0),"Check"),"")</f>
        <v>Airtel</v>
      </c>
      <c r="F1703" s="101">
        <v>46148</v>
      </c>
      <c r="G1703" s="103"/>
      <c r="H1703" s="102" t="s">
        <v>1258</v>
      </c>
      <c r="I1703" s="9">
        <v>6</v>
      </c>
      <c r="J1703" s="9">
        <v>60</v>
      </c>
      <c r="K1703" s="100">
        <f t="shared" si="227"/>
        <v>360</v>
      </c>
      <c r="L1703" s="78">
        <v>46142</v>
      </c>
      <c r="M1703" s="103"/>
      <c r="N1703" s="93" t="s">
        <v>534</v>
      </c>
      <c r="O1703" s="94"/>
      <c r="P1703" s="104">
        <f t="shared" si="228"/>
        <v>60</v>
      </c>
      <c r="Q1703" s="104">
        <f t="shared" si="229"/>
        <v>360</v>
      </c>
      <c r="R1703" s="104"/>
      <c r="S1703" s="93" t="s">
        <v>144</v>
      </c>
      <c r="T1703" s="94"/>
      <c r="U1703" s="104">
        <f t="shared" si="230"/>
        <v>60</v>
      </c>
      <c r="V1703" s="104">
        <f t="shared" si="231"/>
        <v>6</v>
      </c>
      <c r="W1703" s="103">
        <f t="shared" si="232"/>
        <v>360</v>
      </c>
      <c r="X1703" s="93" t="s">
        <v>803</v>
      </c>
      <c r="Y1703" s="105" t="s">
        <v>84</v>
      </c>
      <c r="Z1703" s="105" t="s">
        <v>619</v>
      </c>
    </row>
    <row r="1704" spans="1:26" s="105" customFormat="1" ht="15" customHeight="1">
      <c r="A1704" s="99">
        <f t="shared" si="226"/>
        <v>1702</v>
      </c>
      <c r="B1704" s="75" t="s">
        <v>905</v>
      </c>
      <c r="C1704" s="100" t="str">
        <f>IF($B1704&lt;&gt;"",_xlfn.IFNA(VLOOKUP($B1704,'Node Details'!$B:$U,C$1,0),"Check"),"")</f>
        <v>000000CM4-0000CM418</v>
      </c>
      <c r="D1704" s="100" t="str">
        <f>IF($B1704&lt;&gt;"",_xlfn.IFNA(VLOOKUP($B1704,'Node Details'!$B:$U,D$1,0),"Check"),"")</f>
        <v>CM4</v>
      </c>
      <c r="E1704" s="100" t="str">
        <f>IF($B1704&lt;&gt;"",_xlfn.IFNA(VLOOKUP($B1704,'Node Details'!$B:$U,E$1,0),"Check"),"")</f>
        <v>Airtel</v>
      </c>
      <c r="F1704" s="101">
        <v>46148</v>
      </c>
      <c r="G1704" s="103"/>
      <c r="H1704" s="102" t="s">
        <v>1258</v>
      </c>
      <c r="I1704" s="9">
        <v>47</v>
      </c>
      <c r="J1704" s="9">
        <v>60</v>
      </c>
      <c r="K1704" s="100">
        <f t="shared" si="227"/>
        <v>2820</v>
      </c>
      <c r="L1704" s="78">
        <v>46142</v>
      </c>
      <c r="M1704" s="103"/>
      <c r="N1704" s="93" t="s">
        <v>534</v>
      </c>
      <c r="O1704" s="94"/>
      <c r="P1704" s="104">
        <f t="shared" si="228"/>
        <v>60</v>
      </c>
      <c r="Q1704" s="104">
        <f t="shared" si="229"/>
        <v>2820</v>
      </c>
      <c r="R1704" s="104"/>
      <c r="S1704" s="93" t="s">
        <v>144</v>
      </c>
      <c r="T1704" s="94"/>
      <c r="U1704" s="104">
        <f t="shared" si="230"/>
        <v>60</v>
      </c>
      <c r="V1704" s="104">
        <f t="shared" si="231"/>
        <v>47</v>
      </c>
      <c r="W1704" s="103">
        <f t="shared" si="232"/>
        <v>2820</v>
      </c>
      <c r="X1704" s="93" t="s">
        <v>803</v>
      </c>
      <c r="Y1704" s="105" t="s">
        <v>84</v>
      </c>
      <c r="Z1704" s="105" t="s">
        <v>619</v>
      </c>
    </row>
    <row r="1705" spans="1:26" s="105" customFormat="1" ht="15" customHeight="1">
      <c r="A1705" s="99">
        <f t="shared" si="226"/>
        <v>1703</v>
      </c>
      <c r="B1705" s="75" t="s">
        <v>1223</v>
      </c>
      <c r="C1705" s="100" t="str">
        <f>IF($B1705&lt;&gt;"",_xlfn.IFNA(VLOOKUP($B1705,'Node Details'!$B:$U,C$1,0),"Check"),"")</f>
        <v>0000CM414-CM4140105</v>
      </c>
      <c r="D1705" s="100" t="str">
        <f>IF($B1705&lt;&gt;"",_xlfn.IFNA(VLOOKUP($B1705,'Node Details'!$B:$U,D$1,0),"Check"),"")</f>
        <v>CM4</v>
      </c>
      <c r="E1705" s="100" t="str">
        <f>IF($B1705&lt;&gt;"",_xlfn.IFNA(VLOOKUP($B1705,'Node Details'!$B:$U,E$1,0),"Check"),"")</f>
        <v>Airtel</v>
      </c>
      <c r="F1705" s="101">
        <v>46148</v>
      </c>
      <c r="G1705" s="103"/>
      <c r="H1705" s="102" t="s">
        <v>1258</v>
      </c>
      <c r="I1705" s="9">
        <v>6</v>
      </c>
      <c r="J1705" s="9">
        <v>60</v>
      </c>
      <c r="K1705" s="100">
        <f t="shared" si="227"/>
        <v>360</v>
      </c>
      <c r="L1705" s="78">
        <v>46142</v>
      </c>
      <c r="M1705" s="103"/>
      <c r="N1705" s="93" t="s">
        <v>534</v>
      </c>
      <c r="O1705" s="94"/>
      <c r="P1705" s="104">
        <f t="shared" si="228"/>
        <v>60</v>
      </c>
      <c r="Q1705" s="104">
        <f t="shared" si="229"/>
        <v>360</v>
      </c>
      <c r="R1705" s="104"/>
      <c r="S1705" s="93" t="s">
        <v>144</v>
      </c>
      <c r="T1705" s="94"/>
      <c r="U1705" s="104">
        <f t="shared" si="230"/>
        <v>60</v>
      </c>
      <c r="V1705" s="104">
        <f t="shared" si="231"/>
        <v>6</v>
      </c>
      <c r="W1705" s="103">
        <f t="shared" si="232"/>
        <v>360</v>
      </c>
      <c r="X1705" s="93" t="s">
        <v>803</v>
      </c>
      <c r="Y1705" s="105" t="s">
        <v>84</v>
      </c>
      <c r="Z1705" s="105" t="s">
        <v>619</v>
      </c>
    </row>
    <row r="1706" spans="1:26" s="105" customFormat="1" ht="15" customHeight="1">
      <c r="A1706" s="99">
        <f t="shared" si="226"/>
        <v>1704</v>
      </c>
      <c r="B1706" s="75" t="s">
        <v>908</v>
      </c>
      <c r="C1706" s="100" t="str">
        <f>IF($B1706&lt;&gt;"",_xlfn.IFNA(VLOOKUP($B1706,'Node Details'!$B:$U,C$1,0),"Check"),"")</f>
        <v>0000CM414-CM4140105</v>
      </c>
      <c r="D1706" s="100" t="str">
        <f>IF($B1706&lt;&gt;"",_xlfn.IFNA(VLOOKUP($B1706,'Node Details'!$B:$U,D$1,0),"Check"),"")</f>
        <v>CM4</v>
      </c>
      <c r="E1706" s="100" t="str">
        <f>IF($B1706&lt;&gt;"",_xlfn.IFNA(VLOOKUP($B1706,'Node Details'!$B:$U,E$1,0),"Check"),"")</f>
        <v>Airtel</v>
      </c>
      <c r="F1706" s="101">
        <v>46148</v>
      </c>
      <c r="G1706" s="103"/>
      <c r="H1706" s="102" t="s">
        <v>1258</v>
      </c>
      <c r="I1706" s="9">
        <v>6</v>
      </c>
      <c r="J1706" s="9">
        <v>60</v>
      </c>
      <c r="K1706" s="100">
        <f t="shared" si="227"/>
        <v>360</v>
      </c>
      <c r="L1706" s="78">
        <v>46142</v>
      </c>
      <c r="M1706" s="103"/>
      <c r="N1706" s="93" t="s">
        <v>534</v>
      </c>
      <c r="O1706" s="94"/>
      <c r="P1706" s="104">
        <f t="shared" si="228"/>
        <v>60</v>
      </c>
      <c r="Q1706" s="104">
        <f t="shared" si="229"/>
        <v>360</v>
      </c>
      <c r="R1706" s="104"/>
      <c r="S1706" s="93" t="s">
        <v>144</v>
      </c>
      <c r="T1706" s="94"/>
      <c r="U1706" s="104">
        <f t="shared" si="230"/>
        <v>60</v>
      </c>
      <c r="V1706" s="104">
        <f t="shared" si="231"/>
        <v>6</v>
      </c>
      <c r="W1706" s="103">
        <f t="shared" si="232"/>
        <v>360</v>
      </c>
      <c r="X1706" s="93" t="s">
        <v>803</v>
      </c>
      <c r="Y1706" s="105" t="s">
        <v>84</v>
      </c>
      <c r="Z1706" s="105" t="s">
        <v>619</v>
      </c>
    </row>
    <row r="1707" spans="1:26" s="105" customFormat="1" ht="15" customHeight="1">
      <c r="A1707" s="99">
        <f t="shared" si="226"/>
        <v>1705</v>
      </c>
      <c r="B1707" s="75" t="s">
        <v>910</v>
      </c>
      <c r="C1707" s="100" t="str">
        <f>IF($B1707&lt;&gt;"",_xlfn.IFNA(VLOOKUP($B1707,'Node Details'!$B:$U,C$1,0),"Check"),"")</f>
        <v>0000CM414-CM4140108</v>
      </c>
      <c r="D1707" s="100" t="str">
        <f>IF($B1707&lt;&gt;"",_xlfn.IFNA(VLOOKUP($B1707,'Node Details'!$B:$U,D$1,0),"Check"),"")</f>
        <v>CM4</v>
      </c>
      <c r="E1707" s="100" t="str">
        <f>IF($B1707&lt;&gt;"",_xlfn.IFNA(VLOOKUP($B1707,'Node Details'!$B:$U,E$1,0),"Check"),"")</f>
        <v>Airtel</v>
      </c>
      <c r="F1707" s="101">
        <v>46148</v>
      </c>
      <c r="G1707" s="103"/>
      <c r="H1707" s="102" t="s">
        <v>1258</v>
      </c>
      <c r="I1707" s="9">
        <v>4</v>
      </c>
      <c r="J1707" s="9">
        <v>60</v>
      </c>
      <c r="K1707" s="100">
        <f t="shared" si="227"/>
        <v>240</v>
      </c>
      <c r="L1707" s="78">
        <v>46142</v>
      </c>
      <c r="M1707" s="103"/>
      <c r="N1707" s="93" t="s">
        <v>534</v>
      </c>
      <c r="O1707" s="94"/>
      <c r="P1707" s="104">
        <f t="shared" si="228"/>
        <v>60</v>
      </c>
      <c r="Q1707" s="104">
        <f t="shared" si="229"/>
        <v>240</v>
      </c>
      <c r="R1707" s="104"/>
      <c r="S1707" s="93" t="s">
        <v>144</v>
      </c>
      <c r="T1707" s="94"/>
      <c r="U1707" s="104">
        <f t="shared" si="230"/>
        <v>60</v>
      </c>
      <c r="V1707" s="104">
        <f t="shared" si="231"/>
        <v>4</v>
      </c>
      <c r="W1707" s="103">
        <f t="shared" si="232"/>
        <v>240</v>
      </c>
      <c r="X1707" s="93" t="s">
        <v>803</v>
      </c>
      <c r="Y1707" s="105" t="s">
        <v>84</v>
      </c>
      <c r="Z1707" s="105" t="s">
        <v>619</v>
      </c>
    </row>
    <row r="1708" spans="1:26" s="105" customFormat="1" ht="15" customHeight="1">
      <c r="A1708" s="99">
        <f t="shared" si="226"/>
        <v>1706</v>
      </c>
      <c r="B1708" s="75" t="s">
        <v>815</v>
      </c>
      <c r="C1708" s="100" t="str">
        <f>IF($B1708&lt;&gt;"",_xlfn.IFNA(VLOOKUP($B1708,'Node Details'!$B:$U,C$1,0),"Check"),"")</f>
        <v>000000CM4-0000CM418</v>
      </c>
      <c r="D1708" s="100" t="str">
        <f>IF($B1708&lt;&gt;"",_xlfn.IFNA(VLOOKUP($B1708,'Node Details'!$B:$U,D$1,0),"Check"),"")</f>
        <v>CM4</v>
      </c>
      <c r="E1708" s="100" t="str">
        <f>IF($B1708&lt;&gt;"",_xlfn.IFNA(VLOOKUP($B1708,'Node Details'!$B:$U,E$1,0),"Check"),"")</f>
        <v>Airtel</v>
      </c>
      <c r="F1708" s="101">
        <v>46148</v>
      </c>
      <c r="G1708" s="103"/>
      <c r="H1708" s="102" t="s">
        <v>1258</v>
      </c>
      <c r="I1708" s="9">
        <v>47</v>
      </c>
      <c r="J1708" s="9">
        <v>60</v>
      </c>
      <c r="K1708" s="100">
        <f t="shared" si="227"/>
        <v>2820</v>
      </c>
      <c r="L1708" s="78">
        <v>46142</v>
      </c>
      <c r="M1708" s="103"/>
      <c r="N1708" s="93" t="s">
        <v>534</v>
      </c>
      <c r="O1708" s="94"/>
      <c r="P1708" s="104">
        <f t="shared" si="228"/>
        <v>60</v>
      </c>
      <c r="Q1708" s="104">
        <f t="shared" si="229"/>
        <v>2820</v>
      </c>
      <c r="R1708" s="104"/>
      <c r="S1708" s="93" t="s">
        <v>144</v>
      </c>
      <c r="T1708" s="94"/>
      <c r="U1708" s="104">
        <f t="shared" si="230"/>
        <v>60</v>
      </c>
      <c r="V1708" s="104">
        <f t="shared" si="231"/>
        <v>47</v>
      </c>
      <c r="W1708" s="103">
        <f t="shared" si="232"/>
        <v>2820</v>
      </c>
      <c r="X1708" s="93" t="s">
        <v>803</v>
      </c>
      <c r="Y1708" s="105" t="s">
        <v>84</v>
      </c>
      <c r="Z1708" s="105" t="s">
        <v>619</v>
      </c>
    </row>
    <row r="1709" spans="1:26" s="105" customFormat="1" ht="15" customHeight="1">
      <c r="A1709" s="99">
        <f t="shared" si="226"/>
        <v>1707</v>
      </c>
      <c r="B1709" s="75" t="s">
        <v>1224</v>
      </c>
      <c r="C1709" s="100" t="str">
        <f>IF($B1709&lt;&gt;"",_xlfn.IFNA(VLOOKUP($B1709,'Node Details'!$B:$U,C$1,0),"Check"),"")</f>
        <v>0000CM415-CM4150104</v>
      </c>
      <c r="D1709" s="100" t="str">
        <f>IF($B1709&lt;&gt;"",_xlfn.IFNA(VLOOKUP($B1709,'Node Details'!$B:$U,D$1,0),"Check"),"")</f>
        <v>CM4</v>
      </c>
      <c r="E1709" s="100" t="str">
        <f>IF($B1709&lt;&gt;"",_xlfn.IFNA(VLOOKUP($B1709,'Node Details'!$B:$U,E$1,0),"Check"),"")</f>
        <v>Airtel</v>
      </c>
      <c r="F1709" s="101">
        <v>46148</v>
      </c>
      <c r="G1709" s="103"/>
      <c r="H1709" s="102" t="s">
        <v>1258</v>
      </c>
      <c r="I1709" s="9">
        <v>6</v>
      </c>
      <c r="J1709" s="9">
        <v>60</v>
      </c>
      <c r="K1709" s="100">
        <f t="shared" si="227"/>
        <v>360</v>
      </c>
      <c r="L1709" s="78">
        <v>46142</v>
      </c>
      <c r="M1709" s="103"/>
      <c r="N1709" s="93" t="s">
        <v>534</v>
      </c>
      <c r="O1709" s="94"/>
      <c r="P1709" s="104">
        <f t="shared" si="228"/>
        <v>60</v>
      </c>
      <c r="Q1709" s="104">
        <f t="shared" si="229"/>
        <v>360</v>
      </c>
      <c r="R1709" s="104"/>
      <c r="S1709" s="93" t="s">
        <v>144</v>
      </c>
      <c r="T1709" s="94"/>
      <c r="U1709" s="104">
        <f t="shared" si="230"/>
        <v>60</v>
      </c>
      <c r="V1709" s="104">
        <f t="shared" si="231"/>
        <v>6</v>
      </c>
      <c r="W1709" s="103">
        <f t="shared" si="232"/>
        <v>360</v>
      </c>
      <c r="X1709" s="93" t="s">
        <v>803</v>
      </c>
      <c r="Y1709" s="105" t="s">
        <v>84</v>
      </c>
      <c r="Z1709" s="105" t="s">
        <v>619</v>
      </c>
    </row>
    <row r="1710" spans="1:26" s="105" customFormat="1" ht="15" customHeight="1">
      <c r="A1710" s="99">
        <f t="shared" si="226"/>
        <v>1708</v>
      </c>
      <c r="B1710" s="75" t="s">
        <v>1225</v>
      </c>
      <c r="C1710" s="100" t="str">
        <f>IF($B1710&lt;&gt;"",_xlfn.IFNA(VLOOKUP($B1710,'Node Details'!$B:$U,C$1,0),"Check"),"")</f>
        <v>0000CM415-CM4150108</v>
      </c>
      <c r="D1710" s="100" t="str">
        <f>IF($B1710&lt;&gt;"",_xlfn.IFNA(VLOOKUP($B1710,'Node Details'!$B:$U,D$1,0),"Check"),"")</f>
        <v>CM4</v>
      </c>
      <c r="E1710" s="100" t="str">
        <f>IF($B1710&lt;&gt;"",_xlfn.IFNA(VLOOKUP($B1710,'Node Details'!$B:$U,E$1,0),"Check"),"")</f>
        <v>Airtel</v>
      </c>
      <c r="F1710" s="101">
        <v>46148</v>
      </c>
      <c r="G1710" s="103"/>
      <c r="H1710" s="102" t="s">
        <v>1258</v>
      </c>
      <c r="I1710" s="9">
        <v>6</v>
      </c>
      <c r="J1710" s="9">
        <v>60</v>
      </c>
      <c r="K1710" s="100">
        <f t="shared" si="227"/>
        <v>360</v>
      </c>
      <c r="L1710" s="78">
        <v>46142</v>
      </c>
      <c r="M1710" s="103"/>
      <c r="N1710" s="93" t="s">
        <v>534</v>
      </c>
      <c r="O1710" s="94"/>
      <c r="P1710" s="104">
        <f t="shared" si="228"/>
        <v>60</v>
      </c>
      <c r="Q1710" s="104">
        <f t="shared" si="229"/>
        <v>360</v>
      </c>
      <c r="R1710" s="104"/>
      <c r="S1710" s="93" t="s">
        <v>144</v>
      </c>
      <c r="T1710" s="94"/>
      <c r="U1710" s="104">
        <f t="shared" si="230"/>
        <v>60</v>
      </c>
      <c r="V1710" s="104">
        <f t="shared" si="231"/>
        <v>6</v>
      </c>
      <c r="W1710" s="103">
        <f t="shared" si="232"/>
        <v>360</v>
      </c>
      <c r="X1710" s="93" t="s">
        <v>803</v>
      </c>
      <c r="Y1710" s="105" t="s">
        <v>84</v>
      </c>
      <c r="Z1710" s="105" t="s">
        <v>619</v>
      </c>
    </row>
    <row r="1711" spans="1:26" s="105" customFormat="1" ht="15" customHeight="1">
      <c r="A1711" s="99">
        <f t="shared" si="226"/>
        <v>1709</v>
      </c>
      <c r="B1711" s="75" t="s">
        <v>1226</v>
      </c>
      <c r="C1711" s="100" t="str">
        <f>IF($B1711&lt;&gt;"",_xlfn.IFNA(VLOOKUP($B1711,'Node Details'!$B:$U,C$1,0),"Check"),"")</f>
        <v>0000CM415-CM4150108</v>
      </c>
      <c r="D1711" s="100" t="str">
        <f>IF($B1711&lt;&gt;"",_xlfn.IFNA(VLOOKUP($B1711,'Node Details'!$B:$U,D$1,0),"Check"),"")</f>
        <v>CM4</v>
      </c>
      <c r="E1711" s="100" t="str">
        <f>IF($B1711&lt;&gt;"",_xlfn.IFNA(VLOOKUP($B1711,'Node Details'!$B:$U,E$1,0),"Check"),"")</f>
        <v>Airtel</v>
      </c>
      <c r="F1711" s="101">
        <v>46148</v>
      </c>
      <c r="G1711" s="103"/>
      <c r="H1711" s="102" t="s">
        <v>1258</v>
      </c>
      <c r="I1711" s="9">
        <v>4</v>
      </c>
      <c r="J1711" s="9">
        <v>60</v>
      </c>
      <c r="K1711" s="100">
        <f t="shared" si="227"/>
        <v>240</v>
      </c>
      <c r="L1711" s="78">
        <v>46142</v>
      </c>
      <c r="M1711" s="103"/>
      <c r="N1711" s="93" t="s">
        <v>534</v>
      </c>
      <c r="O1711" s="94"/>
      <c r="P1711" s="104">
        <f t="shared" si="228"/>
        <v>60</v>
      </c>
      <c r="Q1711" s="104">
        <f t="shared" si="229"/>
        <v>240</v>
      </c>
      <c r="R1711" s="104"/>
      <c r="S1711" s="93" t="s">
        <v>144</v>
      </c>
      <c r="T1711" s="94"/>
      <c r="U1711" s="104">
        <f t="shared" si="230"/>
        <v>60</v>
      </c>
      <c r="V1711" s="104">
        <f t="shared" si="231"/>
        <v>4</v>
      </c>
      <c r="W1711" s="103">
        <f t="shared" si="232"/>
        <v>240</v>
      </c>
      <c r="X1711" s="93" t="s">
        <v>803</v>
      </c>
      <c r="Y1711" s="105" t="s">
        <v>84</v>
      </c>
      <c r="Z1711" s="105" t="s">
        <v>619</v>
      </c>
    </row>
    <row r="1712" spans="1:26" s="105" customFormat="1" ht="15" customHeight="1">
      <c r="A1712" s="99">
        <f t="shared" si="226"/>
        <v>1710</v>
      </c>
      <c r="B1712" s="75" t="s">
        <v>816</v>
      </c>
      <c r="C1712" s="100" t="str">
        <f>IF($B1712&lt;&gt;"",_xlfn.IFNA(VLOOKUP($B1712,'Node Details'!$B:$U,C$1,0),"Check"),"")</f>
        <v>0000CM415-0000CM416</v>
      </c>
      <c r="D1712" s="100" t="str">
        <f>IF($B1712&lt;&gt;"",_xlfn.IFNA(VLOOKUP($B1712,'Node Details'!$B:$U,D$1,0),"Check"),"")</f>
        <v>CM4</v>
      </c>
      <c r="E1712" s="100" t="str">
        <f>IF($B1712&lt;&gt;"",_xlfn.IFNA(VLOOKUP($B1712,'Node Details'!$B:$U,E$1,0),"Check"),"")</f>
        <v>Airtel</v>
      </c>
      <c r="F1712" s="101">
        <v>46148</v>
      </c>
      <c r="G1712" s="103"/>
      <c r="H1712" s="102" t="s">
        <v>1258</v>
      </c>
      <c r="I1712" s="9">
        <v>23</v>
      </c>
      <c r="J1712" s="9">
        <v>60</v>
      </c>
      <c r="K1712" s="100">
        <f t="shared" si="227"/>
        <v>1380</v>
      </c>
      <c r="L1712" s="78">
        <v>46142</v>
      </c>
      <c r="M1712" s="103"/>
      <c r="N1712" s="93" t="s">
        <v>534</v>
      </c>
      <c r="O1712" s="94"/>
      <c r="P1712" s="104">
        <f t="shared" si="228"/>
        <v>60</v>
      </c>
      <c r="Q1712" s="104">
        <f t="shared" si="229"/>
        <v>1380</v>
      </c>
      <c r="R1712" s="104"/>
      <c r="S1712" s="93" t="s">
        <v>144</v>
      </c>
      <c r="T1712" s="94"/>
      <c r="U1712" s="104">
        <f t="shared" si="230"/>
        <v>60</v>
      </c>
      <c r="V1712" s="104">
        <f t="shared" si="231"/>
        <v>23</v>
      </c>
      <c r="W1712" s="103">
        <f t="shared" si="232"/>
        <v>1380</v>
      </c>
      <c r="X1712" s="93" t="s">
        <v>803</v>
      </c>
      <c r="Y1712" s="105" t="s">
        <v>84</v>
      </c>
      <c r="Z1712" s="105" t="s">
        <v>619</v>
      </c>
    </row>
    <row r="1713" spans="1:26" s="105" customFormat="1" ht="15" customHeight="1">
      <c r="A1713" s="99">
        <f t="shared" si="226"/>
        <v>1711</v>
      </c>
      <c r="B1713" s="75" t="s">
        <v>1227</v>
      </c>
      <c r="C1713" s="100" t="str">
        <f>IF($B1713&lt;&gt;"",_xlfn.IFNA(VLOOKUP($B1713,'Node Details'!$B:$U,C$1,0),"Check"),"")</f>
        <v>0000CM416-CM4160104</v>
      </c>
      <c r="D1713" s="100" t="str">
        <f>IF($B1713&lt;&gt;"",_xlfn.IFNA(VLOOKUP($B1713,'Node Details'!$B:$U,D$1,0),"Check"),"")</f>
        <v>CM4</v>
      </c>
      <c r="E1713" s="100" t="str">
        <f>IF($B1713&lt;&gt;"",_xlfn.IFNA(VLOOKUP($B1713,'Node Details'!$B:$U,E$1,0),"Check"),"")</f>
        <v>Airtel</v>
      </c>
      <c r="F1713" s="101">
        <v>46148</v>
      </c>
      <c r="G1713" s="103"/>
      <c r="H1713" s="102" t="s">
        <v>1258</v>
      </c>
      <c r="I1713" s="9">
        <v>6</v>
      </c>
      <c r="J1713" s="9">
        <v>60</v>
      </c>
      <c r="K1713" s="100">
        <f t="shared" si="227"/>
        <v>360</v>
      </c>
      <c r="L1713" s="78">
        <v>46142</v>
      </c>
      <c r="M1713" s="103"/>
      <c r="N1713" s="93" t="s">
        <v>534</v>
      </c>
      <c r="O1713" s="94"/>
      <c r="P1713" s="104">
        <f t="shared" si="228"/>
        <v>60</v>
      </c>
      <c r="Q1713" s="104">
        <f t="shared" si="229"/>
        <v>360</v>
      </c>
      <c r="R1713" s="104"/>
      <c r="S1713" s="93" t="s">
        <v>144</v>
      </c>
      <c r="T1713" s="94"/>
      <c r="U1713" s="104">
        <f t="shared" si="230"/>
        <v>60</v>
      </c>
      <c r="V1713" s="104">
        <f t="shared" si="231"/>
        <v>6</v>
      </c>
      <c r="W1713" s="103">
        <f t="shared" si="232"/>
        <v>360</v>
      </c>
      <c r="X1713" s="93" t="s">
        <v>803</v>
      </c>
      <c r="Y1713" s="105" t="s">
        <v>84</v>
      </c>
      <c r="Z1713" s="105" t="s">
        <v>619</v>
      </c>
    </row>
    <row r="1714" spans="1:26" s="105" customFormat="1" ht="15" customHeight="1">
      <c r="A1714" s="99">
        <f t="shared" si="226"/>
        <v>1712</v>
      </c>
      <c r="B1714" s="75" t="s">
        <v>1228</v>
      </c>
      <c r="C1714" s="100" t="str">
        <f>IF($B1714&lt;&gt;"",_xlfn.IFNA(VLOOKUP($B1714,'Node Details'!$B:$U,C$1,0),"Check"),"")</f>
        <v>0000CM416-CM4160104</v>
      </c>
      <c r="D1714" s="100" t="str">
        <f>IF($B1714&lt;&gt;"",_xlfn.IFNA(VLOOKUP($B1714,'Node Details'!$B:$U,D$1,0),"Check"),"")</f>
        <v>CM4</v>
      </c>
      <c r="E1714" s="100" t="str">
        <f>IF($B1714&lt;&gt;"",_xlfn.IFNA(VLOOKUP($B1714,'Node Details'!$B:$U,E$1,0),"Check"),"")</f>
        <v>Airtel</v>
      </c>
      <c r="F1714" s="101">
        <v>46148</v>
      </c>
      <c r="G1714" s="103"/>
      <c r="H1714" s="102" t="s">
        <v>1258</v>
      </c>
      <c r="I1714" s="9">
        <v>4</v>
      </c>
      <c r="J1714" s="9">
        <v>60</v>
      </c>
      <c r="K1714" s="100">
        <f t="shared" si="227"/>
        <v>240</v>
      </c>
      <c r="L1714" s="78">
        <v>46142</v>
      </c>
      <c r="M1714" s="103"/>
      <c r="N1714" s="93" t="s">
        <v>534</v>
      </c>
      <c r="O1714" s="94"/>
      <c r="P1714" s="104">
        <f t="shared" si="228"/>
        <v>60</v>
      </c>
      <c r="Q1714" s="104">
        <f t="shared" si="229"/>
        <v>240</v>
      </c>
      <c r="R1714" s="104"/>
      <c r="S1714" s="93" t="s">
        <v>144</v>
      </c>
      <c r="T1714" s="94"/>
      <c r="U1714" s="104">
        <f t="shared" si="230"/>
        <v>60</v>
      </c>
      <c r="V1714" s="104">
        <f t="shared" si="231"/>
        <v>4</v>
      </c>
      <c r="W1714" s="103">
        <f t="shared" si="232"/>
        <v>240</v>
      </c>
      <c r="X1714" s="93" t="s">
        <v>803</v>
      </c>
      <c r="Y1714" s="105" t="s">
        <v>84</v>
      </c>
      <c r="Z1714" s="105" t="s">
        <v>619</v>
      </c>
    </row>
    <row r="1715" spans="1:26" s="105" customFormat="1" ht="15" customHeight="1">
      <c r="A1715" s="99">
        <f t="shared" si="226"/>
        <v>1713</v>
      </c>
      <c r="B1715" s="75" t="s">
        <v>922</v>
      </c>
      <c r="C1715" s="100" t="str">
        <f>IF($B1715&lt;&gt;"",_xlfn.IFNA(VLOOKUP($B1715,'Node Details'!$B:$U,C$1,0),"Check"),"")</f>
        <v>0000CM416-CM4160105</v>
      </c>
      <c r="D1715" s="100" t="str">
        <f>IF($B1715&lt;&gt;"",_xlfn.IFNA(VLOOKUP($B1715,'Node Details'!$B:$U,D$1,0),"Check"),"")</f>
        <v>CM4</v>
      </c>
      <c r="E1715" s="100" t="str">
        <f>IF($B1715&lt;&gt;"",_xlfn.IFNA(VLOOKUP($B1715,'Node Details'!$B:$U,E$1,0),"Check"),"")</f>
        <v>Airtel</v>
      </c>
      <c r="F1715" s="101">
        <v>46148</v>
      </c>
      <c r="G1715" s="103"/>
      <c r="H1715" s="102" t="s">
        <v>1258</v>
      </c>
      <c r="I1715" s="9">
        <v>6</v>
      </c>
      <c r="J1715" s="9">
        <v>60</v>
      </c>
      <c r="K1715" s="100">
        <f t="shared" si="227"/>
        <v>360</v>
      </c>
      <c r="L1715" s="78">
        <v>46142</v>
      </c>
      <c r="M1715" s="103"/>
      <c r="N1715" s="93" t="s">
        <v>534</v>
      </c>
      <c r="O1715" s="94"/>
      <c r="P1715" s="104">
        <f t="shared" si="228"/>
        <v>60</v>
      </c>
      <c r="Q1715" s="104">
        <f t="shared" si="229"/>
        <v>360</v>
      </c>
      <c r="R1715" s="104"/>
      <c r="S1715" s="93" t="s">
        <v>144</v>
      </c>
      <c r="T1715" s="94"/>
      <c r="U1715" s="104">
        <f t="shared" si="230"/>
        <v>60</v>
      </c>
      <c r="V1715" s="104">
        <f t="shared" si="231"/>
        <v>6</v>
      </c>
      <c r="W1715" s="103">
        <f t="shared" si="232"/>
        <v>360</v>
      </c>
      <c r="X1715" s="93" t="s">
        <v>803</v>
      </c>
      <c r="Y1715" s="105" t="s">
        <v>84</v>
      </c>
      <c r="Z1715" s="105" t="s">
        <v>619</v>
      </c>
    </row>
    <row r="1716" spans="1:26" s="105" customFormat="1" ht="15" customHeight="1">
      <c r="A1716" s="99">
        <f t="shared" si="226"/>
        <v>1714</v>
      </c>
      <c r="B1716" s="75" t="s">
        <v>802</v>
      </c>
      <c r="C1716" s="100" t="str">
        <f>IF($B1716&lt;&gt;"",_xlfn.IFNA(VLOOKUP($B1716,'Node Details'!$B:$U,C$1,0),"Check"),"")</f>
        <v>000000CM4-0000CM418</v>
      </c>
      <c r="D1716" s="100" t="str">
        <f>IF($B1716&lt;&gt;"",_xlfn.IFNA(VLOOKUP($B1716,'Node Details'!$B:$U,D$1,0),"Check"),"")</f>
        <v>CM4</v>
      </c>
      <c r="E1716" s="100" t="str">
        <f>IF($B1716&lt;&gt;"",_xlfn.IFNA(VLOOKUP($B1716,'Node Details'!$B:$U,E$1,0),"Check"),"")</f>
        <v>Airtel</v>
      </c>
      <c r="F1716" s="101">
        <v>46148</v>
      </c>
      <c r="G1716" s="103"/>
      <c r="H1716" s="102" t="s">
        <v>1258</v>
      </c>
      <c r="I1716" s="9">
        <v>47</v>
      </c>
      <c r="J1716" s="9">
        <v>60</v>
      </c>
      <c r="K1716" s="100">
        <f t="shared" si="227"/>
        <v>2820</v>
      </c>
      <c r="L1716" s="78">
        <v>46142</v>
      </c>
      <c r="M1716" s="103"/>
      <c r="N1716" s="93" t="s">
        <v>534</v>
      </c>
      <c r="O1716" s="94"/>
      <c r="P1716" s="104">
        <f t="shared" si="228"/>
        <v>60</v>
      </c>
      <c r="Q1716" s="104">
        <f t="shared" si="229"/>
        <v>2820</v>
      </c>
      <c r="R1716" s="104"/>
      <c r="S1716" s="93" t="s">
        <v>144</v>
      </c>
      <c r="T1716" s="94"/>
      <c r="U1716" s="104">
        <f t="shared" si="230"/>
        <v>60</v>
      </c>
      <c r="V1716" s="104">
        <f t="shared" si="231"/>
        <v>47</v>
      </c>
      <c r="W1716" s="103">
        <f t="shared" si="232"/>
        <v>2820</v>
      </c>
      <c r="X1716" s="93" t="s">
        <v>803</v>
      </c>
      <c r="Y1716" s="105" t="s">
        <v>84</v>
      </c>
      <c r="Z1716" s="105" t="s">
        <v>619</v>
      </c>
    </row>
    <row r="1717" spans="1:26" s="105" customFormat="1" ht="15" customHeight="1">
      <c r="A1717" s="99">
        <f t="shared" si="226"/>
        <v>1715</v>
      </c>
      <c r="B1717" s="75" t="s">
        <v>1229</v>
      </c>
      <c r="C1717" s="100" t="str">
        <f>IF($B1717&lt;&gt;"",_xlfn.IFNA(VLOOKUP($B1717,'Node Details'!$B:$U,C$1,0),"Check"),"")</f>
        <v>0000CM418-CM4180104</v>
      </c>
      <c r="D1717" s="100" t="str">
        <f>IF($B1717&lt;&gt;"",_xlfn.IFNA(VLOOKUP($B1717,'Node Details'!$B:$U,D$1,0),"Check"),"")</f>
        <v>CM4</v>
      </c>
      <c r="E1717" s="100" t="str">
        <f>IF($B1717&lt;&gt;"",_xlfn.IFNA(VLOOKUP($B1717,'Node Details'!$B:$U,E$1,0),"Check"),"")</f>
        <v>Airtel</v>
      </c>
      <c r="F1717" s="101">
        <v>46148</v>
      </c>
      <c r="G1717" s="103"/>
      <c r="H1717" s="102" t="s">
        <v>1258</v>
      </c>
      <c r="I1717" s="9">
        <v>6</v>
      </c>
      <c r="J1717" s="9">
        <v>60</v>
      </c>
      <c r="K1717" s="100">
        <f t="shared" si="227"/>
        <v>360</v>
      </c>
      <c r="L1717" s="78">
        <v>46142</v>
      </c>
      <c r="M1717" s="103"/>
      <c r="N1717" s="93" t="s">
        <v>534</v>
      </c>
      <c r="O1717" s="94"/>
      <c r="P1717" s="104">
        <f t="shared" si="228"/>
        <v>60</v>
      </c>
      <c r="Q1717" s="104">
        <f t="shared" si="229"/>
        <v>360</v>
      </c>
      <c r="R1717" s="104"/>
      <c r="S1717" s="93" t="s">
        <v>144</v>
      </c>
      <c r="T1717" s="94"/>
      <c r="U1717" s="104">
        <f t="shared" si="230"/>
        <v>60</v>
      </c>
      <c r="V1717" s="104">
        <f t="shared" si="231"/>
        <v>6</v>
      </c>
      <c r="W1717" s="103">
        <f t="shared" si="232"/>
        <v>360</v>
      </c>
      <c r="X1717" s="93" t="s">
        <v>803</v>
      </c>
      <c r="Y1717" s="105" t="s">
        <v>84</v>
      </c>
      <c r="Z1717" s="105" t="s">
        <v>619</v>
      </c>
    </row>
    <row r="1718" spans="1:26" s="105" customFormat="1" ht="15" customHeight="1">
      <c r="A1718" s="99">
        <f t="shared" si="226"/>
        <v>1716</v>
      </c>
      <c r="B1718" s="75" t="s">
        <v>1230</v>
      </c>
      <c r="C1718" s="100" t="str">
        <f>IF($B1718&lt;&gt;"",_xlfn.IFNA(VLOOKUP($B1718,'Node Details'!$B:$U,C$1,0),"Check"),"")</f>
        <v>0000CM418-CM4180108</v>
      </c>
      <c r="D1718" s="100" t="str">
        <f>IF($B1718&lt;&gt;"",_xlfn.IFNA(VLOOKUP($B1718,'Node Details'!$B:$U,D$1,0),"Check"),"")</f>
        <v>CM4</v>
      </c>
      <c r="E1718" s="100" t="str">
        <f>IF($B1718&lt;&gt;"",_xlfn.IFNA(VLOOKUP($B1718,'Node Details'!$B:$U,E$1,0),"Check"),"")</f>
        <v>Airtel</v>
      </c>
      <c r="F1718" s="101">
        <v>46148</v>
      </c>
      <c r="G1718" s="103"/>
      <c r="H1718" s="102" t="s">
        <v>1258</v>
      </c>
      <c r="I1718" s="9">
        <v>6</v>
      </c>
      <c r="J1718" s="9">
        <v>60</v>
      </c>
      <c r="K1718" s="100">
        <f t="shared" si="227"/>
        <v>360</v>
      </c>
      <c r="L1718" s="78">
        <v>46142</v>
      </c>
      <c r="M1718" s="103"/>
      <c r="N1718" s="93" t="s">
        <v>534</v>
      </c>
      <c r="O1718" s="94"/>
      <c r="P1718" s="104">
        <f t="shared" si="228"/>
        <v>60</v>
      </c>
      <c r="Q1718" s="104">
        <f t="shared" si="229"/>
        <v>360</v>
      </c>
      <c r="R1718" s="104"/>
      <c r="S1718" s="93" t="s">
        <v>144</v>
      </c>
      <c r="T1718" s="94"/>
      <c r="U1718" s="104">
        <f t="shared" si="230"/>
        <v>60</v>
      </c>
      <c r="V1718" s="104">
        <f t="shared" si="231"/>
        <v>6</v>
      </c>
      <c r="W1718" s="103">
        <f t="shared" si="232"/>
        <v>360</v>
      </c>
      <c r="X1718" s="93" t="s">
        <v>803</v>
      </c>
      <c r="Y1718" s="105" t="s">
        <v>84</v>
      </c>
      <c r="Z1718" s="105" t="s">
        <v>619</v>
      </c>
    </row>
    <row r="1719" spans="1:26" s="105" customFormat="1" ht="15" customHeight="1">
      <c r="A1719" s="99">
        <f t="shared" si="226"/>
        <v>1717</v>
      </c>
      <c r="B1719" s="75" t="s">
        <v>1231</v>
      </c>
      <c r="C1719" s="100" t="str">
        <f>IF($B1719&lt;&gt;"",_xlfn.IFNA(VLOOKUP($B1719,'Node Details'!$B:$U,C$1,0),"Check"),"")</f>
        <v>0000CM418-CM4180108</v>
      </c>
      <c r="D1719" s="100" t="str">
        <f>IF($B1719&lt;&gt;"",_xlfn.IFNA(VLOOKUP($B1719,'Node Details'!$B:$U,D$1,0),"Check"),"")</f>
        <v>CM4</v>
      </c>
      <c r="E1719" s="100" t="str">
        <f>IF($B1719&lt;&gt;"",_xlfn.IFNA(VLOOKUP($B1719,'Node Details'!$B:$U,E$1,0),"Check"),"")</f>
        <v>Airtel</v>
      </c>
      <c r="F1719" s="101">
        <v>46148</v>
      </c>
      <c r="G1719" s="103"/>
      <c r="H1719" s="102" t="s">
        <v>1258</v>
      </c>
      <c r="I1719" s="9">
        <v>4</v>
      </c>
      <c r="J1719" s="9">
        <v>60</v>
      </c>
      <c r="K1719" s="100">
        <f t="shared" si="227"/>
        <v>240</v>
      </c>
      <c r="L1719" s="78">
        <v>46142</v>
      </c>
      <c r="M1719" s="103"/>
      <c r="N1719" s="93" t="s">
        <v>534</v>
      </c>
      <c r="O1719" s="94"/>
      <c r="P1719" s="104">
        <f t="shared" si="228"/>
        <v>60</v>
      </c>
      <c r="Q1719" s="104">
        <f t="shared" si="229"/>
        <v>240</v>
      </c>
      <c r="R1719" s="104"/>
      <c r="S1719" s="93" t="s">
        <v>144</v>
      </c>
      <c r="T1719" s="94"/>
      <c r="U1719" s="104">
        <f t="shared" si="230"/>
        <v>60</v>
      </c>
      <c r="V1719" s="104">
        <f t="shared" si="231"/>
        <v>4</v>
      </c>
      <c r="W1719" s="103">
        <f t="shared" si="232"/>
        <v>240</v>
      </c>
      <c r="X1719" s="93" t="s">
        <v>803</v>
      </c>
      <c r="Y1719" s="105" t="s">
        <v>84</v>
      </c>
      <c r="Z1719" s="105" t="s">
        <v>619</v>
      </c>
    </row>
    <row r="1720" spans="1:26" s="105" customFormat="1" ht="15" customHeight="1">
      <c r="A1720" s="99">
        <f t="shared" si="226"/>
        <v>1718</v>
      </c>
      <c r="B1720" s="75" t="s">
        <v>1232</v>
      </c>
      <c r="C1720" s="100" t="str">
        <f>IF($B1720&lt;&gt;"",_xlfn.IFNA(VLOOKUP($B1720,'Node Details'!$B:$U,C$1,0),"Check"),"")</f>
        <v>0000CM418-CM4180108</v>
      </c>
      <c r="D1720" s="100" t="str">
        <f>IF($B1720&lt;&gt;"",_xlfn.IFNA(VLOOKUP($B1720,'Node Details'!$B:$U,D$1,0),"Check"),"")</f>
        <v>CM4</v>
      </c>
      <c r="E1720" s="100" t="str">
        <f>IF($B1720&lt;&gt;"",_xlfn.IFNA(VLOOKUP($B1720,'Node Details'!$B:$U,E$1,0),"Check"),"")</f>
        <v>Airtel</v>
      </c>
      <c r="F1720" s="101">
        <v>46148</v>
      </c>
      <c r="G1720" s="103"/>
      <c r="H1720" s="102" t="s">
        <v>1258</v>
      </c>
      <c r="I1720" s="9">
        <v>2</v>
      </c>
      <c r="J1720" s="9">
        <v>60</v>
      </c>
      <c r="K1720" s="100">
        <f t="shared" si="227"/>
        <v>120</v>
      </c>
      <c r="L1720" s="78">
        <v>46142</v>
      </c>
      <c r="M1720" s="103"/>
      <c r="N1720" s="93" t="s">
        <v>534</v>
      </c>
      <c r="O1720" s="94"/>
      <c r="P1720" s="104">
        <f t="shared" si="228"/>
        <v>60</v>
      </c>
      <c r="Q1720" s="104">
        <f t="shared" si="229"/>
        <v>120</v>
      </c>
      <c r="R1720" s="104"/>
      <c r="S1720" s="93" t="s">
        <v>144</v>
      </c>
      <c r="T1720" s="94"/>
      <c r="U1720" s="104">
        <f t="shared" si="230"/>
        <v>60</v>
      </c>
      <c r="V1720" s="104">
        <f t="shared" si="231"/>
        <v>2</v>
      </c>
      <c r="W1720" s="103">
        <f t="shared" si="232"/>
        <v>120</v>
      </c>
      <c r="X1720" s="93" t="s">
        <v>803</v>
      </c>
      <c r="Y1720" s="105" t="s">
        <v>84</v>
      </c>
      <c r="Z1720" s="105" t="s">
        <v>619</v>
      </c>
    </row>
    <row r="1721" spans="1:26" s="105" customFormat="1" ht="15" customHeight="1">
      <c r="A1721" s="99">
        <f t="shared" si="226"/>
        <v>1719</v>
      </c>
      <c r="B1721" s="75" t="s">
        <v>932</v>
      </c>
      <c r="C1721" s="100" t="str">
        <f>IF($B1721&lt;&gt;"",_xlfn.IFNA(VLOOKUP($B1721,'Node Details'!$B:$U,C$1,0),"Check"),"")</f>
        <v>000000CM4-0000CM421</v>
      </c>
      <c r="D1721" s="100" t="str">
        <f>IF($B1721&lt;&gt;"",_xlfn.IFNA(VLOOKUP($B1721,'Node Details'!$B:$U,D$1,0),"Check"),"")</f>
        <v>CM4</v>
      </c>
      <c r="E1721" s="100" t="str">
        <f>IF($B1721&lt;&gt;"",_xlfn.IFNA(VLOOKUP($B1721,'Node Details'!$B:$U,E$1,0),"Check"),"")</f>
        <v>Airtel</v>
      </c>
      <c r="F1721" s="101">
        <v>46148</v>
      </c>
      <c r="G1721" s="103"/>
      <c r="H1721" s="102" t="s">
        <v>1258</v>
      </c>
      <c r="I1721" s="9">
        <v>20</v>
      </c>
      <c r="J1721" s="9">
        <v>60</v>
      </c>
      <c r="K1721" s="100">
        <f t="shared" si="227"/>
        <v>1200</v>
      </c>
      <c r="L1721" s="78">
        <v>46142</v>
      </c>
      <c r="M1721" s="103"/>
      <c r="N1721" s="93" t="s">
        <v>534</v>
      </c>
      <c r="O1721" s="94"/>
      <c r="P1721" s="104">
        <f t="shared" si="228"/>
        <v>60</v>
      </c>
      <c r="Q1721" s="104">
        <f t="shared" si="229"/>
        <v>1200</v>
      </c>
      <c r="R1721" s="104"/>
      <c r="S1721" s="93" t="s">
        <v>144</v>
      </c>
      <c r="T1721" s="94"/>
      <c r="U1721" s="104">
        <f t="shared" si="230"/>
        <v>60</v>
      </c>
      <c r="V1721" s="104">
        <f t="shared" si="231"/>
        <v>20</v>
      </c>
      <c r="W1721" s="103">
        <f t="shared" si="232"/>
        <v>1200</v>
      </c>
      <c r="X1721" s="93" t="s">
        <v>803</v>
      </c>
      <c r="Y1721" s="105" t="s">
        <v>84</v>
      </c>
      <c r="Z1721" s="105" t="s">
        <v>619</v>
      </c>
    </row>
    <row r="1722" spans="1:26" s="105" customFormat="1" ht="15" customHeight="1">
      <c r="A1722" s="99">
        <f t="shared" si="226"/>
        <v>1720</v>
      </c>
      <c r="B1722" s="75" t="s">
        <v>935</v>
      </c>
      <c r="C1722" s="100" t="str">
        <f>IF($B1722&lt;&gt;"",_xlfn.IFNA(VLOOKUP($B1722,'Node Details'!$B:$U,C$1,0),"Check"),"")</f>
        <v>0000CM419-CM4190103</v>
      </c>
      <c r="D1722" s="100" t="str">
        <f>IF($B1722&lt;&gt;"",_xlfn.IFNA(VLOOKUP($B1722,'Node Details'!$B:$U,D$1,0),"Check"),"")</f>
        <v>CM4</v>
      </c>
      <c r="E1722" s="100" t="str">
        <f>IF($B1722&lt;&gt;"",_xlfn.IFNA(VLOOKUP($B1722,'Node Details'!$B:$U,E$1,0),"Check"),"")</f>
        <v>Airtel</v>
      </c>
      <c r="F1722" s="101">
        <v>46148</v>
      </c>
      <c r="G1722" s="103"/>
      <c r="H1722" s="102" t="s">
        <v>1258</v>
      </c>
      <c r="I1722" s="9">
        <v>6</v>
      </c>
      <c r="J1722" s="9">
        <v>60</v>
      </c>
      <c r="K1722" s="100">
        <f t="shared" si="227"/>
        <v>360</v>
      </c>
      <c r="L1722" s="78">
        <v>46142</v>
      </c>
      <c r="M1722" s="103"/>
      <c r="N1722" s="93" t="s">
        <v>534</v>
      </c>
      <c r="O1722" s="94"/>
      <c r="P1722" s="104">
        <f t="shared" si="228"/>
        <v>60</v>
      </c>
      <c r="Q1722" s="104">
        <f t="shared" si="229"/>
        <v>360</v>
      </c>
      <c r="R1722" s="104"/>
      <c r="S1722" s="93" t="s">
        <v>144</v>
      </c>
      <c r="T1722" s="94"/>
      <c r="U1722" s="104">
        <f t="shared" si="230"/>
        <v>60</v>
      </c>
      <c r="V1722" s="104">
        <f t="shared" si="231"/>
        <v>6</v>
      </c>
      <c r="W1722" s="103">
        <f t="shared" si="232"/>
        <v>360</v>
      </c>
      <c r="X1722" s="93" t="s">
        <v>803</v>
      </c>
      <c r="Y1722" s="105" t="s">
        <v>84</v>
      </c>
      <c r="Z1722" s="105" t="s">
        <v>619</v>
      </c>
    </row>
    <row r="1723" spans="1:26" s="105" customFormat="1" ht="15" customHeight="1">
      <c r="A1723" s="99">
        <f t="shared" si="226"/>
        <v>1721</v>
      </c>
      <c r="B1723" s="75" t="s">
        <v>1234</v>
      </c>
      <c r="C1723" s="100" t="str">
        <f>IF($B1723&lt;&gt;"",_xlfn.IFNA(VLOOKUP($B1723,'Node Details'!$B:$U,C$1,0),"Check"),"")</f>
        <v>0000CM419-CM4190108</v>
      </c>
      <c r="D1723" s="100" t="str">
        <f>IF($B1723&lt;&gt;"",_xlfn.IFNA(VLOOKUP($B1723,'Node Details'!$B:$U,D$1,0),"Check"),"")</f>
        <v>CM4</v>
      </c>
      <c r="E1723" s="100" t="str">
        <f>IF($B1723&lt;&gt;"",_xlfn.IFNA(VLOOKUP($B1723,'Node Details'!$B:$U,E$1,0),"Check"),"")</f>
        <v>Airtel</v>
      </c>
      <c r="F1723" s="101">
        <v>46148</v>
      </c>
      <c r="G1723" s="103"/>
      <c r="H1723" s="102" t="s">
        <v>1258</v>
      </c>
      <c r="I1723" s="9">
        <v>6</v>
      </c>
      <c r="J1723" s="9">
        <v>60</v>
      </c>
      <c r="K1723" s="100">
        <f t="shared" si="227"/>
        <v>360</v>
      </c>
      <c r="L1723" s="78">
        <v>46142</v>
      </c>
      <c r="M1723" s="103"/>
      <c r="N1723" s="93" t="s">
        <v>534</v>
      </c>
      <c r="O1723" s="94"/>
      <c r="P1723" s="104">
        <f t="shared" si="228"/>
        <v>60</v>
      </c>
      <c r="Q1723" s="104">
        <f t="shared" si="229"/>
        <v>360</v>
      </c>
      <c r="R1723" s="104"/>
      <c r="S1723" s="93" t="s">
        <v>144</v>
      </c>
      <c r="T1723" s="94"/>
      <c r="U1723" s="104">
        <f t="shared" si="230"/>
        <v>60</v>
      </c>
      <c r="V1723" s="104">
        <f t="shared" si="231"/>
        <v>6</v>
      </c>
      <c r="W1723" s="103">
        <f t="shared" si="232"/>
        <v>360</v>
      </c>
      <c r="X1723" s="93" t="s">
        <v>803</v>
      </c>
      <c r="Y1723" s="105" t="s">
        <v>84</v>
      </c>
      <c r="Z1723" s="105" t="s">
        <v>619</v>
      </c>
    </row>
    <row r="1724" spans="1:26" s="105" customFormat="1" ht="15" customHeight="1">
      <c r="A1724" s="99">
        <f t="shared" si="226"/>
        <v>1722</v>
      </c>
      <c r="B1724" s="75" t="s">
        <v>1235</v>
      </c>
      <c r="C1724" s="100" t="str">
        <f>IF($B1724&lt;&gt;"",_xlfn.IFNA(VLOOKUP($B1724,'Node Details'!$B:$U,C$1,0),"Check"),"")</f>
        <v>0000CM419-CM4190108</v>
      </c>
      <c r="D1724" s="100" t="str">
        <f>IF($B1724&lt;&gt;"",_xlfn.IFNA(VLOOKUP($B1724,'Node Details'!$B:$U,D$1,0),"Check"),"")</f>
        <v>CM4</v>
      </c>
      <c r="E1724" s="100" t="str">
        <f>IF($B1724&lt;&gt;"",_xlfn.IFNA(VLOOKUP($B1724,'Node Details'!$B:$U,E$1,0),"Check"),"")</f>
        <v>Airtel</v>
      </c>
      <c r="F1724" s="101">
        <v>46148</v>
      </c>
      <c r="G1724" s="103"/>
      <c r="H1724" s="102" t="s">
        <v>1258</v>
      </c>
      <c r="I1724" s="9">
        <v>4</v>
      </c>
      <c r="J1724" s="9">
        <v>60</v>
      </c>
      <c r="K1724" s="100">
        <f t="shared" si="227"/>
        <v>240</v>
      </c>
      <c r="L1724" s="78">
        <v>46142</v>
      </c>
      <c r="M1724" s="103"/>
      <c r="N1724" s="93" t="s">
        <v>534</v>
      </c>
      <c r="O1724" s="94"/>
      <c r="P1724" s="104">
        <f t="shared" si="228"/>
        <v>60</v>
      </c>
      <c r="Q1724" s="104">
        <f t="shared" si="229"/>
        <v>240</v>
      </c>
      <c r="R1724" s="104"/>
      <c r="S1724" s="93" t="s">
        <v>144</v>
      </c>
      <c r="T1724" s="94"/>
      <c r="U1724" s="104">
        <f t="shared" si="230"/>
        <v>60</v>
      </c>
      <c r="V1724" s="104">
        <f t="shared" si="231"/>
        <v>4</v>
      </c>
      <c r="W1724" s="103">
        <f t="shared" si="232"/>
        <v>240</v>
      </c>
      <c r="X1724" s="93" t="s">
        <v>803</v>
      </c>
      <c r="Y1724" s="105" t="s">
        <v>84</v>
      </c>
      <c r="Z1724" s="105" t="s">
        <v>619</v>
      </c>
    </row>
    <row r="1725" spans="1:26" s="105" customFormat="1" ht="15" customHeight="1">
      <c r="A1725" s="99">
        <f t="shared" si="226"/>
        <v>1723</v>
      </c>
      <c r="B1725" s="75" t="s">
        <v>1236</v>
      </c>
      <c r="C1725" s="100" t="str">
        <f>IF($B1725&lt;&gt;"",_xlfn.IFNA(VLOOKUP($B1725,'Node Details'!$B:$U,C$1,0),"Check"),"")</f>
        <v>0000CM419-CM4190108</v>
      </c>
      <c r="D1725" s="100" t="str">
        <f>IF($B1725&lt;&gt;"",_xlfn.IFNA(VLOOKUP($B1725,'Node Details'!$B:$U,D$1,0),"Check"),"")</f>
        <v>CM4</v>
      </c>
      <c r="E1725" s="100" t="str">
        <f>IF($B1725&lt;&gt;"",_xlfn.IFNA(VLOOKUP($B1725,'Node Details'!$B:$U,E$1,0),"Check"),"")</f>
        <v>Airtel</v>
      </c>
      <c r="F1725" s="101">
        <v>46148</v>
      </c>
      <c r="G1725" s="103"/>
      <c r="H1725" s="102" t="s">
        <v>1258</v>
      </c>
      <c r="I1725" s="9">
        <v>2</v>
      </c>
      <c r="J1725" s="9">
        <v>60</v>
      </c>
      <c r="K1725" s="100">
        <f t="shared" si="227"/>
        <v>120</v>
      </c>
      <c r="L1725" s="78">
        <v>46142</v>
      </c>
      <c r="M1725" s="103"/>
      <c r="N1725" s="93" t="s">
        <v>534</v>
      </c>
      <c r="O1725" s="94"/>
      <c r="P1725" s="104">
        <f t="shared" si="228"/>
        <v>60</v>
      </c>
      <c r="Q1725" s="104">
        <f t="shared" si="229"/>
        <v>120</v>
      </c>
      <c r="R1725" s="104"/>
      <c r="S1725" s="93" t="s">
        <v>144</v>
      </c>
      <c r="T1725" s="94"/>
      <c r="U1725" s="104">
        <f t="shared" si="230"/>
        <v>60</v>
      </c>
      <c r="V1725" s="104">
        <f t="shared" si="231"/>
        <v>2</v>
      </c>
      <c r="W1725" s="103">
        <f t="shared" si="232"/>
        <v>120</v>
      </c>
      <c r="X1725" s="93" t="s">
        <v>803</v>
      </c>
      <c r="Y1725" s="105" t="s">
        <v>84</v>
      </c>
      <c r="Z1725" s="105" t="s">
        <v>619</v>
      </c>
    </row>
    <row r="1726" spans="1:26" s="105" customFormat="1" ht="15" customHeight="1">
      <c r="A1726" s="99">
        <f t="shared" si="226"/>
        <v>1724</v>
      </c>
      <c r="B1726" s="75" t="s">
        <v>941</v>
      </c>
      <c r="C1726" s="100" t="str">
        <f>IF($B1726&lt;&gt;"",_xlfn.IFNA(VLOOKUP($B1726,'Node Details'!$B:$U,C$1,0),"Check"),"")</f>
        <v>000000CM4-0000CM421</v>
      </c>
      <c r="D1726" s="100" t="str">
        <f>IF($B1726&lt;&gt;"",_xlfn.IFNA(VLOOKUP($B1726,'Node Details'!$B:$U,D$1,0),"Check"),"")</f>
        <v>CM4</v>
      </c>
      <c r="E1726" s="100" t="str">
        <f>IF($B1726&lt;&gt;"",_xlfn.IFNA(VLOOKUP($B1726,'Node Details'!$B:$U,E$1,0),"Check"),"")</f>
        <v>Airtel</v>
      </c>
      <c r="F1726" s="101">
        <v>46148</v>
      </c>
      <c r="G1726" s="103"/>
      <c r="H1726" s="102" t="s">
        <v>1258</v>
      </c>
      <c r="I1726" s="9">
        <v>20</v>
      </c>
      <c r="J1726" s="9">
        <v>60</v>
      </c>
      <c r="K1726" s="100">
        <f t="shared" si="227"/>
        <v>1200</v>
      </c>
      <c r="L1726" s="78">
        <v>46142</v>
      </c>
      <c r="M1726" s="103"/>
      <c r="N1726" s="93" t="s">
        <v>534</v>
      </c>
      <c r="O1726" s="94"/>
      <c r="P1726" s="104">
        <f t="shared" si="228"/>
        <v>60</v>
      </c>
      <c r="Q1726" s="104">
        <f t="shared" si="229"/>
        <v>1200</v>
      </c>
      <c r="R1726" s="104"/>
      <c r="S1726" s="93" t="s">
        <v>144</v>
      </c>
      <c r="T1726" s="94"/>
      <c r="U1726" s="104">
        <f t="shared" si="230"/>
        <v>60</v>
      </c>
      <c r="V1726" s="104">
        <f t="shared" si="231"/>
        <v>20</v>
      </c>
      <c r="W1726" s="103">
        <f t="shared" si="232"/>
        <v>1200</v>
      </c>
      <c r="X1726" s="93" t="s">
        <v>803</v>
      </c>
      <c r="Y1726" s="105" t="s">
        <v>84</v>
      </c>
      <c r="Z1726" s="105" t="s">
        <v>619</v>
      </c>
    </row>
    <row r="1727" spans="1:26" s="105" customFormat="1" ht="15" customHeight="1">
      <c r="A1727" s="99">
        <f t="shared" si="226"/>
        <v>1725</v>
      </c>
      <c r="B1727" s="75" t="s">
        <v>1238</v>
      </c>
      <c r="C1727" s="100" t="str">
        <f>IF($B1727&lt;&gt;"",_xlfn.IFNA(VLOOKUP($B1727,'Node Details'!$B:$U,C$1,0),"Check"),"")</f>
        <v>0000CM420-CM4200102</v>
      </c>
      <c r="D1727" s="100" t="str">
        <f>IF($B1727&lt;&gt;"",_xlfn.IFNA(VLOOKUP($B1727,'Node Details'!$B:$U,D$1,0),"Check"),"")</f>
        <v>CM4</v>
      </c>
      <c r="E1727" s="100" t="str">
        <f>IF($B1727&lt;&gt;"",_xlfn.IFNA(VLOOKUP($B1727,'Node Details'!$B:$U,E$1,0),"Check"),"")</f>
        <v>Airtel</v>
      </c>
      <c r="F1727" s="101">
        <v>46148</v>
      </c>
      <c r="G1727" s="103"/>
      <c r="H1727" s="102" t="s">
        <v>1258</v>
      </c>
      <c r="I1727" s="9">
        <v>6</v>
      </c>
      <c r="J1727" s="9">
        <v>60</v>
      </c>
      <c r="K1727" s="100">
        <f t="shared" si="227"/>
        <v>360</v>
      </c>
      <c r="L1727" s="78">
        <v>46142</v>
      </c>
      <c r="M1727" s="103"/>
      <c r="N1727" s="93" t="s">
        <v>534</v>
      </c>
      <c r="O1727" s="94"/>
      <c r="P1727" s="104">
        <f t="shared" si="228"/>
        <v>60</v>
      </c>
      <c r="Q1727" s="104">
        <f t="shared" si="229"/>
        <v>360</v>
      </c>
      <c r="R1727" s="104"/>
      <c r="S1727" s="93" t="s">
        <v>144</v>
      </c>
      <c r="T1727" s="94"/>
      <c r="U1727" s="104">
        <f t="shared" si="230"/>
        <v>60</v>
      </c>
      <c r="V1727" s="104">
        <f t="shared" si="231"/>
        <v>6</v>
      </c>
      <c r="W1727" s="103">
        <f t="shared" si="232"/>
        <v>360</v>
      </c>
      <c r="X1727" s="93" t="s">
        <v>803</v>
      </c>
      <c r="Y1727" s="105" t="s">
        <v>84</v>
      </c>
      <c r="Z1727" s="105" t="s">
        <v>619</v>
      </c>
    </row>
    <row r="1728" spans="1:26" s="105" customFormat="1" ht="15" customHeight="1">
      <c r="A1728" s="99">
        <f t="shared" si="226"/>
        <v>1726</v>
      </c>
      <c r="B1728" s="75" t="s">
        <v>1237</v>
      </c>
      <c r="C1728" s="100" t="str">
        <f>IF($B1728&lt;&gt;"",_xlfn.IFNA(VLOOKUP($B1728,'Node Details'!$B:$U,C$1,0),"Check"),"")</f>
        <v>0000CM420-CM4200104</v>
      </c>
      <c r="D1728" s="100" t="str">
        <f>IF($B1728&lt;&gt;"",_xlfn.IFNA(VLOOKUP($B1728,'Node Details'!$B:$U,D$1,0),"Check"),"")</f>
        <v>CM4</v>
      </c>
      <c r="E1728" s="100" t="str">
        <f>IF($B1728&lt;&gt;"",_xlfn.IFNA(VLOOKUP($B1728,'Node Details'!$B:$U,E$1,0),"Check"),"")</f>
        <v>Airtel</v>
      </c>
      <c r="F1728" s="101">
        <v>46148</v>
      </c>
      <c r="G1728" s="103"/>
      <c r="H1728" s="102" t="s">
        <v>1258</v>
      </c>
      <c r="I1728" s="9">
        <v>6</v>
      </c>
      <c r="J1728" s="9">
        <v>60</v>
      </c>
      <c r="K1728" s="100">
        <f t="shared" si="227"/>
        <v>360</v>
      </c>
      <c r="L1728" s="78">
        <v>46142</v>
      </c>
      <c r="M1728" s="103"/>
      <c r="N1728" s="93" t="s">
        <v>534</v>
      </c>
      <c r="O1728" s="94"/>
      <c r="P1728" s="104">
        <f t="shared" si="228"/>
        <v>60</v>
      </c>
      <c r="Q1728" s="104">
        <f t="shared" si="229"/>
        <v>360</v>
      </c>
      <c r="R1728" s="104"/>
      <c r="S1728" s="93" t="s">
        <v>144</v>
      </c>
      <c r="T1728" s="94"/>
      <c r="U1728" s="104">
        <f t="shared" si="230"/>
        <v>60</v>
      </c>
      <c r="V1728" s="104">
        <f t="shared" si="231"/>
        <v>6</v>
      </c>
      <c r="W1728" s="103">
        <f t="shared" si="232"/>
        <v>360</v>
      </c>
      <c r="X1728" s="93" t="s">
        <v>803</v>
      </c>
      <c r="Y1728" s="105" t="s">
        <v>84</v>
      </c>
      <c r="Z1728" s="105" t="s">
        <v>619</v>
      </c>
    </row>
    <row r="1729" spans="1:26" s="105" customFormat="1" ht="15" customHeight="1">
      <c r="A1729" s="99">
        <f t="shared" si="226"/>
        <v>1727</v>
      </c>
      <c r="B1729" s="75" t="s">
        <v>946</v>
      </c>
      <c r="C1729" s="100" t="str">
        <f>IF($B1729&lt;&gt;"",_xlfn.IFNA(VLOOKUP($B1729,'Node Details'!$B:$U,C$1,0),"Check"),"")</f>
        <v>0000CM420-CM4200108</v>
      </c>
      <c r="D1729" s="100" t="str">
        <f>IF($B1729&lt;&gt;"",_xlfn.IFNA(VLOOKUP($B1729,'Node Details'!$B:$U,D$1,0),"Check"),"")</f>
        <v>CM4</v>
      </c>
      <c r="E1729" s="100" t="str">
        <f>IF($B1729&lt;&gt;"",_xlfn.IFNA(VLOOKUP($B1729,'Node Details'!$B:$U,E$1,0),"Check"),"")</f>
        <v>Airtel</v>
      </c>
      <c r="F1729" s="101">
        <v>46148</v>
      </c>
      <c r="G1729" s="103"/>
      <c r="H1729" s="102" t="s">
        <v>1258</v>
      </c>
      <c r="I1729" s="9">
        <v>6</v>
      </c>
      <c r="J1729" s="9">
        <v>60</v>
      </c>
      <c r="K1729" s="100">
        <f t="shared" si="227"/>
        <v>360</v>
      </c>
      <c r="L1729" s="78">
        <v>46142</v>
      </c>
      <c r="M1729" s="103"/>
      <c r="N1729" s="93" t="s">
        <v>534</v>
      </c>
      <c r="O1729" s="94"/>
      <c r="P1729" s="104">
        <f t="shared" si="228"/>
        <v>60</v>
      </c>
      <c r="Q1729" s="104">
        <f t="shared" si="229"/>
        <v>360</v>
      </c>
      <c r="R1729" s="104"/>
      <c r="S1729" s="93" t="s">
        <v>144</v>
      </c>
      <c r="T1729" s="94"/>
      <c r="U1729" s="104">
        <f t="shared" si="230"/>
        <v>60</v>
      </c>
      <c r="V1729" s="104">
        <f t="shared" si="231"/>
        <v>6</v>
      </c>
      <c r="W1729" s="103">
        <f t="shared" si="232"/>
        <v>360</v>
      </c>
      <c r="X1729" s="93" t="s">
        <v>803</v>
      </c>
      <c r="Y1729" s="105" t="s">
        <v>84</v>
      </c>
      <c r="Z1729" s="105" t="s">
        <v>619</v>
      </c>
    </row>
    <row r="1730" spans="1:26" s="105" customFormat="1" ht="15" customHeight="1">
      <c r="A1730" s="99">
        <f t="shared" si="226"/>
        <v>1728</v>
      </c>
      <c r="B1730" s="75" t="s">
        <v>948</v>
      </c>
      <c r="C1730" s="100" t="str">
        <f>IF($B1730&lt;&gt;"",_xlfn.IFNA(VLOOKUP($B1730,'Node Details'!$B:$U,C$1,0),"Check"),"")</f>
        <v>0000CM420-CM4200106</v>
      </c>
      <c r="D1730" s="100" t="str">
        <f>IF($B1730&lt;&gt;"",_xlfn.IFNA(VLOOKUP($B1730,'Node Details'!$B:$U,D$1,0),"Check"),"")</f>
        <v>CM4</v>
      </c>
      <c r="E1730" s="100" t="str">
        <f>IF($B1730&lt;&gt;"",_xlfn.IFNA(VLOOKUP($B1730,'Node Details'!$B:$U,E$1,0),"Check"),"")</f>
        <v>Airtel</v>
      </c>
      <c r="F1730" s="101">
        <v>46148</v>
      </c>
      <c r="G1730" s="103"/>
      <c r="H1730" s="102" t="s">
        <v>1258</v>
      </c>
      <c r="I1730" s="9">
        <v>2</v>
      </c>
      <c r="J1730" s="9">
        <v>60</v>
      </c>
      <c r="K1730" s="100">
        <f t="shared" si="227"/>
        <v>120</v>
      </c>
      <c r="L1730" s="78">
        <v>46142</v>
      </c>
      <c r="M1730" s="103"/>
      <c r="N1730" s="93" t="s">
        <v>534</v>
      </c>
      <c r="O1730" s="94"/>
      <c r="P1730" s="104">
        <f t="shared" si="228"/>
        <v>60</v>
      </c>
      <c r="Q1730" s="104">
        <f t="shared" si="229"/>
        <v>120</v>
      </c>
      <c r="R1730" s="104"/>
      <c r="S1730" s="93" t="s">
        <v>144</v>
      </c>
      <c r="T1730" s="94"/>
      <c r="U1730" s="104">
        <f t="shared" si="230"/>
        <v>60</v>
      </c>
      <c r="V1730" s="104">
        <f t="shared" si="231"/>
        <v>2</v>
      </c>
      <c r="W1730" s="103">
        <f t="shared" si="232"/>
        <v>120</v>
      </c>
      <c r="X1730" s="93" t="s">
        <v>803</v>
      </c>
      <c r="Y1730" s="105" t="s">
        <v>84</v>
      </c>
      <c r="Z1730" s="105" t="s">
        <v>619</v>
      </c>
    </row>
    <row r="1731" spans="1:26" s="105" customFormat="1" ht="15" customHeight="1">
      <c r="A1731" s="99">
        <f t="shared" si="226"/>
        <v>1729</v>
      </c>
      <c r="B1731" s="75" t="s">
        <v>818</v>
      </c>
      <c r="C1731" s="100" t="str">
        <f>IF($B1731&lt;&gt;"",_xlfn.IFNA(VLOOKUP($B1731,'Node Details'!$B:$U,C$1,0),"Check"),"")</f>
        <v>000000CM4-0000CM421</v>
      </c>
      <c r="D1731" s="100" t="str">
        <f>IF($B1731&lt;&gt;"",_xlfn.IFNA(VLOOKUP($B1731,'Node Details'!$B:$U,D$1,0),"Check"),"")</f>
        <v>CM4</v>
      </c>
      <c r="E1731" s="100" t="str">
        <f>IF($B1731&lt;&gt;"",_xlfn.IFNA(VLOOKUP($B1731,'Node Details'!$B:$U,E$1,0),"Check"),"")</f>
        <v>Airtel</v>
      </c>
      <c r="F1731" s="101">
        <v>46148</v>
      </c>
      <c r="G1731" s="103"/>
      <c r="H1731" s="102" t="s">
        <v>1258</v>
      </c>
      <c r="I1731" s="9">
        <v>20</v>
      </c>
      <c r="J1731" s="9">
        <v>60</v>
      </c>
      <c r="K1731" s="100">
        <f t="shared" si="227"/>
        <v>1200</v>
      </c>
      <c r="L1731" s="78">
        <v>46142</v>
      </c>
      <c r="M1731" s="103"/>
      <c r="N1731" s="93" t="s">
        <v>534</v>
      </c>
      <c r="O1731" s="94"/>
      <c r="P1731" s="104">
        <f t="shared" si="228"/>
        <v>60</v>
      </c>
      <c r="Q1731" s="104">
        <f t="shared" si="229"/>
        <v>1200</v>
      </c>
      <c r="R1731" s="104"/>
      <c r="S1731" s="93" t="s">
        <v>144</v>
      </c>
      <c r="T1731" s="94"/>
      <c r="U1731" s="104">
        <f t="shared" si="230"/>
        <v>60</v>
      </c>
      <c r="V1731" s="104">
        <f t="shared" si="231"/>
        <v>20</v>
      </c>
      <c r="W1731" s="103">
        <f t="shared" si="232"/>
        <v>1200</v>
      </c>
      <c r="X1731" s="93" t="s">
        <v>803</v>
      </c>
      <c r="Y1731" s="105" t="s">
        <v>84</v>
      </c>
      <c r="Z1731" s="105" t="s">
        <v>619</v>
      </c>
    </row>
    <row r="1732" spans="1:26" s="105" customFormat="1" ht="15" customHeight="1">
      <c r="A1732" s="99">
        <f t="shared" si="226"/>
        <v>1730</v>
      </c>
      <c r="B1732" s="75" t="s">
        <v>950</v>
      </c>
      <c r="C1732" s="100" t="str">
        <f>IF($B1732&lt;&gt;"",_xlfn.IFNA(VLOOKUP($B1732,'Node Details'!$B:$U,C$1,0),"Check"),"")</f>
        <v>0000CM421-CM4210101</v>
      </c>
      <c r="D1732" s="100" t="str">
        <f>IF($B1732&lt;&gt;"",_xlfn.IFNA(VLOOKUP($B1732,'Node Details'!$B:$U,D$1,0),"Check"),"")</f>
        <v>CM4</v>
      </c>
      <c r="E1732" s="100" t="str">
        <f>IF($B1732&lt;&gt;"",_xlfn.IFNA(VLOOKUP($B1732,'Node Details'!$B:$U,E$1,0),"Check"),"")</f>
        <v>Airtel</v>
      </c>
      <c r="F1732" s="101">
        <v>46148</v>
      </c>
      <c r="G1732" s="103"/>
      <c r="H1732" s="102" t="s">
        <v>1258</v>
      </c>
      <c r="I1732" s="9">
        <v>6</v>
      </c>
      <c r="J1732" s="9">
        <v>60</v>
      </c>
      <c r="K1732" s="100">
        <f t="shared" si="227"/>
        <v>360</v>
      </c>
      <c r="L1732" s="78">
        <v>46142</v>
      </c>
      <c r="M1732" s="103"/>
      <c r="N1732" s="93" t="s">
        <v>534</v>
      </c>
      <c r="O1732" s="94"/>
      <c r="P1732" s="104">
        <f t="shared" si="228"/>
        <v>60</v>
      </c>
      <c r="Q1732" s="104">
        <f t="shared" si="229"/>
        <v>360</v>
      </c>
      <c r="R1732" s="104"/>
      <c r="S1732" s="93" t="s">
        <v>144</v>
      </c>
      <c r="T1732" s="94"/>
      <c r="U1732" s="104">
        <f t="shared" si="230"/>
        <v>60</v>
      </c>
      <c r="V1732" s="104">
        <f t="shared" si="231"/>
        <v>6</v>
      </c>
      <c r="W1732" s="103">
        <f t="shared" si="232"/>
        <v>360</v>
      </c>
      <c r="X1732" s="93" t="s">
        <v>803</v>
      </c>
      <c r="Y1732" s="105" t="s">
        <v>84</v>
      </c>
      <c r="Z1732" s="105" t="s">
        <v>619</v>
      </c>
    </row>
    <row r="1733" spans="1:26" s="105" customFormat="1" ht="15" customHeight="1">
      <c r="A1733" s="99">
        <f t="shared" ref="A1733:A1736" si="233">A1732+1</f>
        <v>1731</v>
      </c>
      <c r="B1733" s="75" t="s">
        <v>1239</v>
      </c>
      <c r="C1733" s="100" t="str">
        <f>IF($B1733&lt;&gt;"",_xlfn.IFNA(VLOOKUP($B1733,'Node Details'!$B:$U,C$1,0),"Check"),"")</f>
        <v>0000CM421-CM4210104</v>
      </c>
      <c r="D1733" s="100" t="str">
        <f>IF($B1733&lt;&gt;"",_xlfn.IFNA(VLOOKUP($B1733,'Node Details'!$B:$U,D$1,0),"Check"),"")</f>
        <v>CM4</v>
      </c>
      <c r="E1733" s="100" t="str">
        <f>IF($B1733&lt;&gt;"",_xlfn.IFNA(VLOOKUP($B1733,'Node Details'!$B:$U,E$1,0),"Check"),"")</f>
        <v>Airtel</v>
      </c>
      <c r="F1733" s="101">
        <v>46148</v>
      </c>
      <c r="G1733" s="103"/>
      <c r="H1733" s="102" t="s">
        <v>1258</v>
      </c>
      <c r="I1733" s="9">
        <v>4</v>
      </c>
      <c r="J1733" s="9">
        <v>60</v>
      </c>
      <c r="K1733" s="100">
        <f t="shared" si="227"/>
        <v>240</v>
      </c>
      <c r="L1733" s="78">
        <v>46142</v>
      </c>
      <c r="M1733" s="103"/>
      <c r="N1733" s="93" t="s">
        <v>534</v>
      </c>
      <c r="O1733" s="94"/>
      <c r="P1733" s="104">
        <f t="shared" si="228"/>
        <v>60</v>
      </c>
      <c r="Q1733" s="104">
        <f t="shared" si="229"/>
        <v>240</v>
      </c>
      <c r="R1733" s="104"/>
      <c r="S1733" s="93" t="s">
        <v>144</v>
      </c>
      <c r="T1733" s="94"/>
      <c r="U1733" s="104">
        <f t="shared" si="230"/>
        <v>60</v>
      </c>
      <c r="V1733" s="104">
        <f t="shared" si="231"/>
        <v>4</v>
      </c>
      <c r="W1733" s="103">
        <f t="shared" si="232"/>
        <v>240</v>
      </c>
      <c r="X1733" s="93" t="s">
        <v>803</v>
      </c>
      <c r="Y1733" s="105" t="s">
        <v>84</v>
      </c>
      <c r="Z1733" s="105" t="s">
        <v>619</v>
      </c>
    </row>
    <row r="1734" spans="1:26" s="105" customFormat="1" ht="15" customHeight="1">
      <c r="A1734" s="99">
        <f t="shared" si="233"/>
        <v>1732</v>
      </c>
      <c r="B1734" s="75" t="s">
        <v>1240</v>
      </c>
      <c r="C1734" s="100" t="str">
        <f>IF($B1734&lt;&gt;"",_xlfn.IFNA(VLOOKUP($B1734,'Node Details'!$B:$U,C$1,0),"Check"),"")</f>
        <v>0000CM421-CM4210104</v>
      </c>
      <c r="D1734" s="100" t="str">
        <f>IF($B1734&lt;&gt;"",_xlfn.IFNA(VLOOKUP($B1734,'Node Details'!$B:$U,D$1,0),"Check"),"")</f>
        <v>CM4</v>
      </c>
      <c r="E1734" s="100" t="str">
        <f>IF($B1734&lt;&gt;"",_xlfn.IFNA(VLOOKUP($B1734,'Node Details'!$B:$U,E$1,0),"Check"),"")</f>
        <v>Airtel</v>
      </c>
      <c r="F1734" s="101">
        <v>46148</v>
      </c>
      <c r="G1734" s="103"/>
      <c r="H1734" s="102" t="s">
        <v>1258</v>
      </c>
      <c r="I1734" s="9">
        <v>2</v>
      </c>
      <c r="J1734" s="9">
        <v>60</v>
      </c>
      <c r="K1734" s="100">
        <f t="shared" si="227"/>
        <v>120</v>
      </c>
      <c r="L1734" s="78">
        <v>46142</v>
      </c>
      <c r="M1734" s="103"/>
      <c r="N1734" s="93" t="s">
        <v>534</v>
      </c>
      <c r="O1734" s="94"/>
      <c r="P1734" s="104">
        <f t="shared" si="228"/>
        <v>60</v>
      </c>
      <c r="Q1734" s="104">
        <f t="shared" si="229"/>
        <v>120</v>
      </c>
      <c r="R1734" s="104"/>
      <c r="S1734" s="93" t="s">
        <v>144</v>
      </c>
      <c r="T1734" s="94"/>
      <c r="U1734" s="104">
        <f t="shared" si="230"/>
        <v>60</v>
      </c>
      <c r="V1734" s="104">
        <f t="shared" si="231"/>
        <v>2</v>
      </c>
      <c r="W1734" s="103">
        <f t="shared" si="232"/>
        <v>120</v>
      </c>
      <c r="X1734" s="93" t="s">
        <v>803</v>
      </c>
      <c r="Y1734" s="105" t="s">
        <v>84</v>
      </c>
      <c r="Z1734" s="105" t="s">
        <v>619</v>
      </c>
    </row>
    <row r="1735" spans="1:26" s="105" customFormat="1" ht="15" customHeight="1">
      <c r="A1735" s="99">
        <f t="shared" si="233"/>
        <v>1733</v>
      </c>
      <c r="B1735" s="75" t="s">
        <v>954</v>
      </c>
      <c r="C1735" s="100" t="str">
        <f>IF($B1735&lt;&gt;"",_xlfn.IFNA(VLOOKUP($B1735,'Node Details'!$B:$U,C$1,0),"Check"),"")</f>
        <v>0000CM421-CM4210105</v>
      </c>
      <c r="D1735" s="100" t="str">
        <f>IF($B1735&lt;&gt;"",_xlfn.IFNA(VLOOKUP($B1735,'Node Details'!$B:$U,D$1,0),"Check"),"")</f>
        <v>CM4</v>
      </c>
      <c r="E1735" s="100" t="str">
        <f>IF($B1735&lt;&gt;"",_xlfn.IFNA(VLOOKUP($B1735,'Node Details'!$B:$U,E$1,0),"Check"),"")</f>
        <v>Airtel</v>
      </c>
      <c r="F1735" s="101">
        <v>46148</v>
      </c>
      <c r="G1735" s="103"/>
      <c r="H1735" s="102" t="s">
        <v>1258</v>
      </c>
      <c r="I1735" s="9">
        <v>6</v>
      </c>
      <c r="J1735" s="9">
        <v>60</v>
      </c>
      <c r="K1735" s="100">
        <f t="shared" si="227"/>
        <v>360</v>
      </c>
      <c r="L1735" s="78">
        <v>46142</v>
      </c>
      <c r="M1735" s="103"/>
      <c r="N1735" s="93" t="s">
        <v>534</v>
      </c>
      <c r="O1735" s="94"/>
      <c r="P1735" s="104">
        <f t="shared" si="228"/>
        <v>60</v>
      </c>
      <c r="Q1735" s="104">
        <f t="shared" si="229"/>
        <v>360</v>
      </c>
      <c r="R1735" s="104"/>
      <c r="S1735" s="93" t="s">
        <v>144</v>
      </c>
      <c r="T1735" s="94"/>
      <c r="U1735" s="104">
        <f t="shared" si="230"/>
        <v>60</v>
      </c>
      <c r="V1735" s="104">
        <f t="shared" si="231"/>
        <v>6</v>
      </c>
      <c r="W1735" s="103">
        <f t="shared" si="232"/>
        <v>360</v>
      </c>
      <c r="X1735" s="93" t="s">
        <v>803</v>
      </c>
      <c r="Y1735" s="105" t="s">
        <v>84</v>
      </c>
      <c r="Z1735" s="105" t="s">
        <v>619</v>
      </c>
    </row>
    <row r="1736" spans="1:26" s="105" customFormat="1" ht="15" customHeight="1">
      <c r="A1736" s="99">
        <f t="shared" si="233"/>
        <v>1734</v>
      </c>
      <c r="B1736" s="75" t="s">
        <v>801</v>
      </c>
      <c r="C1736" s="100" t="str">
        <f>IF($B1736&lt;&gt;"",_xlfn.IFNA(VLOOKUP($B1736,'Node Details'!$B:$U,C$1,0),"Check"),"")</f>
        <v>000000CM4-0000CM418</v>
      </c>
      <c r="D1736" s="100" t="str">
        <f>IF($B1736&lt;&gt;"",_xlfn.IFNA(VLOOKUP($B1736,'Node Details'!$B:$U,D$1,0),"Check"),"")</f>
        <v>CM4</v>
      </c>
      <c r="E1736" s="100" t="str">
        <f>IF($B1736&lt;&gt;"",_xlfn.IFNA(VLOOKUP($B1736,'Node Details'!$B:$U,E$1,0),"Check"),"")</f>
        <v>Airtel</v>
      </c>
      <c r="F1736" s="101">
        <v>46148</v>
      </c>
      <c r="G1736" s="103"/>
      <c r="H1736" s="102" t="s">
        <v>1257</v>
      </c>
      <c r="I1736" s="9">
        <v>1</v>
      </c>
      <c r="J1736" s="9">
        <v>2650</v>
      </c>
      <c r="K1736" s="100">
        <f t="shared" si="227"/>
        <v>2650</v>
      </c>
      <c r="L1736" s="78">
        <v>46142</v>
      </c>
      <c r="M1736" s="103"/>
      <c r="N1736" s="93" t="s">
        <v>534</v>
      </c>
      <c r="O1736" s="94"/>
      <c r="P1736" s="104">
        <f t="shared" si="228"/>
        <v>2650</v>
      </c>
      <c r="Q1736" s="104">
        <f t="shared" si="229"/>
        <v>2650</v>
      </c>
      <c r="R1736" s="104"/>
      <c r="S1736" s="93" t="s">
        <v>144</v>
      </c>
      <c r="T1736" s="94"/>
      <c r="U1736" s="104">
        <f t="shared" si="230"/>
        <v>2650</v>
      </c>
      <c r="V1736" s="104">
        <f t="shared" si="231"/>
        <v>1</v>
      </c>
      <c r="W1736" s="103">
        <f t="shared" si="232"/>
        <v>2650</v>
      </c>
      <c r="X1736" s="93" t="s">
        <v>803</v>
      </c>
      <c r="Y1736" s="105" t="s">
        <v>84</v>
      </c>
      <c r="Z1736" s="105" t="s">
        <v>619</v>
      </c>
    </row>
  </sheetData>
  <autoFilter ref="A2:Z1736" xr:uid="{00000000-0001-0000-0600-000000000000}"/>
  <conditionalFormatting sqref="B3:B61">
    <cfRule type="duplicateValues" dxfId="1" priority="7"/>
  </conditionalFormatting>
  <conditionalFormatting sqref="B73:B992 B994:B1175 B1177:B1328 B1330:B1736">
    <cfRule type="duplicateValues" dxfId="0" priority="63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134C-5592-4D19-989A-3C9B6F971A3F}">
  <dimension ref="A1:V9"/>
  <sheetViews>
    <sheetView workbookViewId="0">
      <pane xSplit="4" ySplit="1" topLeftCell="E2" activePane="bottomRight" state="frozen"/>
      <selection pane="bottomRight" activeCell="B2" sqref="B2:C9"/>
      <selection pane="bottomLeft" activeCell="J1" sqref="J1:K1048576"/>
      <selection pane="topRight" activeCell="J1" sqref="J1:K1048576"/>
    </sheetView>
  </sheetViews>
  <sheetFormatPr defaultRowHeight="15"/>
  <cols>
    <col min="8" max="8" width="10.28515625" bestFit="1" customWidth="1"/>
    <col min="9" max="13" width="10.28515625" customWidth="1"/>
    <col min="15" max="15" width="11.7109375" bestFit="1" customWidth="1"/>
  </cols>
  <sheetData>
    <row r="1" spans="1:22" ht="36">
      <c r="A1" s="43" t="s">
        <v>1261</v>
      </c>
      <c r="B1" s="43" t="s">
        <v>1262</v>
      </c>
      <c r="C1" s="43" t="s">
        <v>52</v>
      </c>
      <c r="D1" s="43" t="s">
        <v>1263</v>
      </c>
      <c r="E1" s="43" t="s">
        <v>1264</v>
      </c>
      <c r="F1" s="43" t="s">
        <v>1265</v>
      </c>
      <c r="G1" s="43" t="s">
        <v>1266</v>
      </c>
      <c r="H1" s="43" t="s">
        <v>55</v>
      </c>
      <c r="I1" s="43" t="s">
        <v>1267</v>
      </c>
      <c r="J1" s="43" t="s">
        <v>1268</v>
      </c>
      <c r="K1" s="43" t="s">
        <v>1269</v>
      </c>
      <c r="L1" s="43" t="s">
        <v>1270</v>
      </c>
      <c r="M1" s="43" t="s">
        <v>1271</v>
      </c>
      <c r="N1" s="43" t="s">
        <v>1272</v>
      </c>
      <c r="O1" s="43" t="s">
        <v>1273</v>
      </c>
      <c r="P1" s="43" t="s">
        <v>1274</v>
      </c>
      <c r="Q1" s="43" t="s">
        <v>1275</v>
      </c>
      <c r="R1" s="43" t="s">
        <v>1276</v>
      </c>
      <c r="S1" s="43" t="s">
        <v>1277</v>
      </c>
      <c r="T1" s="43" t="s">
        <v>1278</v>
      </c>
      <c r="U1" s="43" t="s">
        <v>1279</v>
      </c>
      <c r="V1" s="43" t="s">
        <v>1280</v>
      </c>
    </row>
    <row r="2" spans="1:22">
      <c r="A2" s="44">
        <v>1</v>
      </c>
      <c r="B2" s="45">
        <v>1</v>
      </c>
      <c r="C2" s="46">
        <v>45658</v>
      </c>
      <c r="D2" s="46"/>
      <c r="E2" s="47"/>
      <c r="F2" s="47"/>
      <c r="G2" s="47"/>
      <c r="H2" s="48" t="s">
        <v>632</v>
      </c>
      <c r="I2" s="47"/>
      <c r="J2" s="47"/>
      <c r="K2" s="47"/>
      <c r="L2" s="47"/>
      <c r="M2" s="47"/>
      <c r="N2" s="47"/>
      <c r="O2" s="47">
        <f>SUMIFS('Route-Details'!X:X,'Route-Details'!Z:Z,'PO Details'!B2,'Route-Details'!AA:AA,'PO Details'!C2,'Route-Details'!V:V,'PO Details'!H2)</f>
        <v>0</v>
      </c>
      <c r="P2" s="47"/>
      <c r="Q2" s="47"/>
      <c r="R2" s="47"/>
      <c r="S2" s="47"/>
      <c r="T2" s="47"/>
      <c r="U2" s="48"/>
      <c r="V2" s="48"/>
    </row>
    <row r="3" spans="1:22">
      <c r="A3" s="44">
        <f>A2+1</f>
        <v>2</v>
      </c>
      <c r="B3" s="45">
        <v>1</v>
      </c>
      <c r="C3" s="46">
        <v>45658</v>
      </c>
      <c r="D3" s="46"/>
      <c r="E3" s="47"/>
      <c r="F3" s="47"/>
      <c r="G3" s="47"/>
      <c r="H3" s="48" t="s">
        <v>99</v>
      </c>
      <c r="I3" s="47"/>
      <c r="J3" s="47"/>
      <c r="K3" s="47"/>
      <c r="L3" s="47"/>
      <c r="M3" s="47"/>
      <c r="N3" s="47"/>
      <c r="O3" s="47">
        <f>SUMIFS('Route-Details'!X:X,'Route-Details'!Z:Z,'PO Details'!B3,'Route-Details'!AA:AA,'PO Details'!C3,'Route-Details'!V:V,'PO Details'!H3)</f>
        <v>0</v>
      </c>
      <c r="P3" s="47"/>
      <c r="Q3" s="47"/>
      <c r="R3" s="47"/>
      <c r="S3" s="47"/>
      <c r="T3" s="47"/>
      <c r="U3" s="48"/>
      <c r="V3" s="48"/>
    </row>
    <row r="4" spans="1:22">
      <c r="A4" s="44">
        <f t="shared" ref="A4:A9" si="0">A3+1</f>
        <v>3</v>
      </c>
      <c r="B4" s="45">
        <v>1</v>
      </c>
      <c r="C4" s="46">
        <v>45658</v>
      </c>
      <c r="D4" s="46"/>
      <c r="E4" s="47"/>
      <c r="F4" s="47"/>
      <c r="G4" s="47"/>
      <c r="H4" s="48" t="s">
        <v>86</v>
      </c>
      <c r="I4" s="47"/>
      <c r="J4" s="47"/>
      <c r="K4" s="47"/>
      <c r="L4" s="47"/>
      <c r="M4" s="47"/>
      <c r="N4" s="47"/>
      <c r="O4" s="47">
        <f>SUMIFS('Route-Details'!X:X,'Route-Details'!Z:Z,'PO Details'!B4,'Route-Details'!AA:AA,'PO Details'!C4,'Route-Details'!V:V,'PO Details'!H4)</f>
        <v>0</v>
      </c>
      <c r="P4" s="47"/>
      <c r="Q4" s="47"/>
      <c r="R4" s="47"/>
      <c r="S4" s="47"/>
      <c r="T4" s="47"/>
      <c r="U4" s="48"/>
      <c r="V4" s="48"/>
    </row>
    <row r="5" spans="1:22">
      <c r="A5" s="44">
        <f t="shared" si="0"/>
        <v>4</v>
      </c>
      <c r="B5" s="45">
        <v>1</v>
      </c>
      <c r="C5" s="46">
        <v>45658</v>
      </c>
      <c r="D5" s="46"/>
      <c r="E5" s="47"/>
      <c r="F5" s="47"/>
      <c r="G5" s="47"/>
      <c r="H5" s="48" t="s">
        <v>142</v>
      </c>
      <c r="I5" s="47"/>
      <c r="J5" s="47"/>
      <c r="K5" s="47"/>
      <c r="L5" s="47"/>
      <c r="M5" s="47"/>
      <c r="N5" s="47"/>
      <c r="O5" s="47">
        <f>SUMIFS('Route-Details'!X:X,'Route-Details'!Z:Z,'PO Details'!B5,'Route-Details'!AA:AA,'PO Details'!C5,'Route-Details'!V:V,'PO Details'!H5)</f>
        <v>0</v>
      </c>
      <c r="P5" s="47"/>
      <c r="Q5" s="47"/>
      <c r="R5" s="47"/>
      <c r="S5" s="47"/>
      <c r="T5" s="47"/>
      <c r="U5" s="48"/>
      <c r="V5" s="48"/>
    </row>
    <row r="6" spans="1:22">
      <c r="A6" s="44">
        <f t="shared" si="0"/>
        <v>5</v>
      </c>
      <c r="B6" s="45">
        <v>2</v>
      </c>
      <c r="C6" s="46">
        <v>45690</v>
      </c>
      <c r="D6" s="46"/>
      <c r="E6" s="47"/>
      <c r="F6" s="47"/>
      <c r="G6" s="47"/>
      <c r="H6" s="48" t="s">
        <v>632</v>
      </c>
      <c r="I6" s="47"/>
      <c r="J6" s="47"/>
      <c r="K6" s="47"/>
      <c r="L6" s="47"/>
      <c r="M6" s="47"/>
      <c r="N6" s="47"/>
      <c r="O6" s="47">
        <f>SUMIFS('Route-Details'!X:X,'Route-Details'!Z:Z,'PO Details'!B6,'Route-Details'!AA:AA,'PO Details'!C6,'Route-Details'!V:V,'PO Details'!H6)</f>
        <v>0</v>
      </c>
      <c r="P6" s="47"/>
      <c r="Q6" s="47"/>
      <c r="R6" s="47"/>
      <c r="S6" s="47"/>
      <c r="T6" s="47"/>
      <c r="U6" s="48"/>
      <c r="V6" s="48"/>
    </row>
    <row r="7" spans="1:22">
      <c r="A7" s="44">
        <f t="shared" si="0"/>
        <v>6</v>
      </c>
      <c r="B7" s="45">
        <v>2</v>
      </c>
      <c r="C7" s="46">
        <v>45690</v>
      </c>
      <c r="D7" s="46"/>
      <c r="E7" s="47"/>
      <c r="F7" s="47"/>
      <c r="G7" s="47"/>
      <c r="H7" s="48" t="s">
        <v>99</v>
      </c>
      <c r="I7" s="47"/>
      <c r="J7" s="47"/>
      <c r="K7" s="47"/>
      <c r="L7" s="47"/>
      <c r="M7" s="47"/>
      <c r="N7" s="47"/>
      <c r="O7" s="47">
        <f>SUMIFS('Route-Details'!X:X,'Route-Details'!Z:Z,'PO Details'!B7,'Route-Details'!AA:AA,'PO Details'!C7,'Route-Details'!V:V,'PO Details'!H7)</f>
        <v>0</v>
      </c>
      <c r="P7" s="47"/>
      <c r="Q7" s="47"/>
      <c r="R7" s="47"/>
      <c r="S7" s="47"/>
      <c r="T7" s="47"/>
      <c r="U7" s="48"/>
      <c r="V7" s="48"/>
    </row>
    <row r="8" spans="1:22">
      <c r="A8" s="44">
        <f t="shared" si="0"/>
        <v>7</v>
      </c>
      <c r="B8" s="45">
        <v>2</v>
      </c>
      <c r="C8" s="46">
        <v>45690</v>
      </c>
      <c r="D8" s="46"/>
      <c r="E8" s="47"/>
      <c r="F8" s="47"/>
      <c r="G8" s="47"/>
      <c r="H8" s="48" t="s">
        <v>86</v>
      </c>
      <c r="I8" s="47"/>
      <c r="J8" s="47"/>
      <c r="K8" s="47"/>
      <c r="L8" s="47"/>
      <c r="M8" s="47"/>
      <c r="N8" s="47"/>
      <c r="O8" s="47">
        <f>SUMIFS('Route-Details'!X:X,'Route-Details'!Z:Z,'PO Details'!B8,'Route-Details'!AA:AA,'PO Details'!C8,'Route-Details'!V:V,'PO Details'!H8)</f>
        <v>0</v>
      </c>
      <c r="P8" s="47"/>
      <c r="Q8" s="47"/>
      <c r="R8" s="47"/>
      <c r="S8" s="47"/>
      <c r="T8" s="47"/>
      <c r="U8" s="48"/>
      <c r="V8" s="48"/>
    </row>
    <row r="9" spans="1:22">
      <c r="A9" s="44">
        <f t="shared" si="0"/>
        <v>8</v>
      </c>
      <c r="B9" s="45">
        <v>2</v>
      </c>
      <c r="C9" s="46">
        <v>45690</v>
      </c>
      <c r="D9" s="46"/>
      <c r="E9" s="47"/>
      <c r="F9" s="47"/>
      <c r="G9" s="47"/>
      <c r="H9" s="48" t="s">
        <v>142</v>
      </c>
      <c r="I9" s="47"/>
      <c r="J9" s="47"/>
      <c r="K9" s="47"/>
      <c r="L9" s="47"/>
      <c r="M9" s="47"/>
      <c r="N9" s="47"/>
      <c r="O9" s="47">
        <f>SUMIFS('Route-Details'!X:X,'Route-Details'!Z:Z,'PO Details'!B9,'Route-Details'!AA:AA,'PO Details'!C9,'Route-Details'!V:V,'PO Details'!H9)</f>
        <v>0</v>
      </c>
      <c r="P9" s="47"/>
      <c r="Q9" s="47"/>
      <c r="R9" s="47"/>
      <c r="S9" s="47"/>
      <c r="T9" s="47"/>
      <c r="U9" s="48"/>
      <c r="V9" s="48"/>
    </row>
  </sheetData>
  <dataValidations count="3">
    <dataValidation type="list" allowBlank="1" showInputMessage="1" showErrorMessage="1" sqref="D2:D9" xr:uid="{9B9DE9DE-B3C6-43AF-91D8-572280FC6F0B}">
      <formula1>"Fresh, Renewal"</formula1>
    </dataValidation>
    <dataValidation type="list" allowBlank="1" showInputMessage="1" showErrorMessage="1" sqref="G2:G9" xr:uid="{ECDF4BBF-8D15-42BB-BC3F-26B6D6C71455}">
      <formula1>"1,2,3,5"</formula1>
    </dataValidation>
    <dataValidation type="list" allowBlank="1" showInputMessage="1" showErrorMessage="1" sqref="H2:H9" xr:uid="{18458188-6F1B-4F15-9B5C-8353A3617F39}">
      <formula1>"6F,12F,24F,48F"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F832-C178-4AF7-ADFB-42F21AE2FE6A}">
  <dimension ref="A1:K9"/>
  <sheetViews>
    <sheetView workbookViewId="0">
      <selection activeCell="B1" sqref="B1"/>
    </sheetView>
  </sheetViews>
  <sheetFormatPr defaultRowHeight="15"/>
  <sheetData>
    <row r="1" spans="1:11" ht="24">
      <c r="A1" s="43" t="s">
        <v>1261</v>
      </c>
      <c r="B1" s="43" t="s">
        <v>1246</v>
      </c>
      <c r="C1" s="43" t="s">
        <v>1264</v>
      </c>
      <c r="D1" s="43" t="s">
        <v>41</v>
      </c>
      <c r="E1" s="43" t="s">
        <v>1281</v>
      </c>
      <c r="F1" s="43" t="s">
        <v>9</v>
      </c>
      <c r="G1" s="43" t="s">
        <v>1282</v>
      </c>
      <c r="H1" s="43" t="s">
        <v>1283</v>
      </c>
      <c r="I1" s="43" t="s">
        <v>1278</v>
      </c>
      <c r="J1" s="43" t="s">
        <v>1279</v>
      </c>
      <c r="K1" s="43" t="s">
        <v>1280</v>
      </c>
    </row>
    <row r="2" spans="1:11">
      <c r="A2" s="44">
        <v>1</v>
      </c>
      <c r="B2" s="44"/>
      <c r="C2" s="45"/>
      <c r="D2" s="46"/>
      <c r="E2" s="46"/>
      <c r="F2" s="48"/>
      <c r="G2" s="48"/>
      <c r="H2" s="48"/>
      <c r="I2" s="48"/>
      <c r="J2" s="48"/>
      <c r="K2" s="48"/>
    </row>
    <row r="3" spans="1:11">
      <c r="A3" s="44">
        <f>A2+1</f>
        <v>2</v>
      </c>
      <c r="B3" s="44"/>
      <c r="C3" s="45"/>
      <c r="D3" s="46"/>
      <c r="E3" s="46"/>
      <c r="F3" s="48"/>
      <c r="G3" s="48"/>
      <c r="H3" s="48"/>
      <c r="I3" s="48"/>
      <c r="J3" s="48"/>
      <c r="K3" s="48"/>
    </row>
    <row r="4" spans="1:11">
      <c r="A4" s="44">
        <f t="shared" ref="A4:A9" si="0">A3+1</f>
        <v>3</v>
      </c>
      <c r="B4" s="44"/>
      <c r="C4" s="45"/>
      <c r="D4" s="46"/>
      <c r="E4" s="46"/>
      <c r="F4" s="48"/>
      <c r="G4" s="48"/>
      <c r="H4" s="48"/>
      <c r="I4" s="48"/>
      <c r="J4" s="48"/>
      <c r="K4" s="48"/>
    </row>
    <row r="5" spans="1:11">
      <c r="A5" s="44">
        <f t="shared" si="0"/>
        <v>4</v>
      </c>
      <c r="B5" s="44"/>
      <c r="C5" s="45"/>
      <c r="D5" s="46"/>
      <c r="E5" s="46"/>
      <c r="F5" s="48"/>
      <c r="G5" s="48"/>
      <c r="H5" s="48"/>
      <c r="I5" s="48"/>
      <c r="J5" s="48"/>
      <c r="K5" s="48"/>
    </row>
    <row r="6" spans="1:11">
      <c r="A6" s="44">
        <f t="shared" si="0"/>
        <v>5</v>
      </c>
      <c r="B6" s="44"/>
      <c r="C6" s="45"/>
      <c r="D6" s="46"/>
      <c r="E6" s="46"/>
      <c r="F6" s="48"/>
      <c r="G6" s="48"/>
      <c r="H6" s="48"/>
      <c r="I6" s="48"/>
      <c r="J6" s="48"/>
      <c r="K6" s="48"/>
    </row>
    <row r="7" spans="1:11">
      <c r="A7" s="44">
        <f t="shared" si="0"/>
        <v>6</v>
      </c>
      <c r="B7" s="44"/>
      <c r="C7" s="45"/>
      <c r="D7" s="46"/>
      <c r="E7" s="46"/>
      <c r="F7" s="48"/>
      <c r="G7" s="48"/>
      <c r="H7" s="48"/>
      <c r="I7" s="48"/>
      <c r="J7" s="48"/>
      <c r="K7" s="48"/>
    </row>
    <row r="8" spans="1:11">
      <c r="A8" s="44">
        <f t="shared" si="0"/>
        <v>7</v>
      </c>
      <c r="B8" s="44"/>
      <c r="C8" s="45"/>
      <c r="D8" s="46"/>
      <c r="E8" s="46"/>
      <c r="F8" s="48"/>
      <c r="G8" s="48"/>
      <c r="H8" s="48"/>
      <c r="I8" s="48"/>
      <c r="J8" s="48"/>
      <c r="K8" s="48"/>
    </row>
    <row r="9" spans="1:11">
      <c r="A9" s="44">
        <f t="shared" si="0"/>
        <v>8</v>
      </c>
      <c r="B9" s="44"/>
      <c r="C9" s="45"/>
      <c r="D9" s="46"/>
      <c r="E9" s="46"/>
      <c r="F9" s="48"/>
      <c r="G9" s="48"/>
      <c r="H9" s="48"/>
      <c r="I9" s="48"/>
      <c r="J9" s="48"/>
      <c r="K9" s="4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E299"/>
  <sheetViews>
    <sheetView tabSelected="1" workbookViewId="0">
      <pane xSplit="3" ySplit="2" topLeftCell="J8" activePane="bottomRight" state="frozen"/>
      <selection pane="bottomRight" activeCell="P24" sqref="P24"/>
      <selection pane="bottomLeft" activeCell="A3" sqref="A3"/>
      <selection pane="topRight" activeCell="D1" sqref="D1"/>
    </sheetView>
  </sheetViews>
  <sheetFormatPr defaultRowHeight="15"/>
  <cols>
    <col min="2" max="2" width="10.42578125" bestFit="1" customWidth="1"/>
    <col min="3" max="3" width="9.5703125" bestFit="1" customWidth="1"/>
    <col min="4" max="4" width="10.28515625" bestFit="1" customWidth="1"/>
    <col min="5" max="5" width="9.5703125" bestFit="1" customWidth="1"/>
    <col min="6" max="6" width="12" bestFit="1" customWidth="1"/>
    <col min="7" max="8" width="12" customWidth="1"/>
    <col min="9" max="9" width="10.5703125" customWidth="1"/>
    <col min="10" max="10" width="12" customWidth="1"/>
    <col min="11" max="11" width="8.85546875" customWidth="1"/>
    <col min="12" max="12" width="10.5703125" customWidth="1"/>
    <col min="13" max="14" width="14.140625" customWidth="1"/>
    <col min="15" max="15" width="7.85546875" bestFit="1" customWidth="1"/>
    <col min="16" max="16" width="7.85546875" customWidth="1"/>
    <col min="17" max="17" width="9" bestFit="1" customWidth="1"/>
    <col min="18" max="18" width="1.7109375" customWidth="1"/>
    <col min="19" max="19" width="15" customWidth="1"/>
    <col min="31" max="31" width="1.7109375" customWidth="1"/>
    <col min="32" max="32" width="12" customWidth="1"/>
    <col min="44" max="44" width="1.7109375" customWidth="1"/>
    <col min="45" max="45" width="12" customWidth="1"/>
    <col min="57" max="57" width="1.7109375" customWidth="1"/>
    <col min="58" max="58" width="12" customWidth="1"/>
    <col min="70" max="70" width="1.7109375" customWidth="1"/>
    <col min="71" max="71" width="12" customWidth="1"/>
    <col min="83" max="83" width="1.7109375" customWidth="1"/>
  </cols>
  <sheetData>
    <row r="1" spans="1:83">
      <c r="C1" s="49" t="s">
        <v>1284</v>
      </c>
      <c r="D1" s="50"/>
      <c r="E1" s="53"/>
      <c r="F1" s="50"/>
      <c r="G1" s="50"/>
      <c r="H1" s="50"/>
      <c r="I1" s="54"/>
      <c r="J1" s="50"/>
      <c r="K1" s="50"/>
      <c r="L1" s="54"/>
      <c r="M1" s="50"/>
      <c r="N1" s="50"/>
      <c r="O1" s="50"/>
      <c r="P1" s="50"/>
      <c r="Q1" s="50"/>
      <c r="S1" s="49" t="s">
        <v>1285</v>
      </c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F1" s="49" t="s">
        <v>1286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S1" s="49" t="s">
        <v>1287</v>
      </c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F1" s="49" t="s">
        <v>1288</v>
      </c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S1" s="49" t="s">
        <v>1289</v>
      </c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</row>
    <row r="2" spans="1:83" s="35" customFormat="1" ht="24" customHeight="1">
      <c r="A2" s="31" t="s">
        <v>1261</v>
      </c>
      <c r="B2" s="31" t="s">
        <v>1246</v>
      </c>
      <c r="C2" s="32" t="s">
        <v>1290</v>
      </c>
      <c r="D2" s="32" t="s">
        <v>1291</v>
      </c>
      <c r="E2" s="32" t="s">
        <v>41</v>
      </c>
      <c r="F2" s="33" t="s">
        <v>1292</v>
      </c>
      <c r="G2" s="32" t="s">
        <v>1293</v>
      </c>
      <c r="H2" s="33" t="s">
        <v>1294</v>
      </c>
      <c r="I2" s="34" t="s">
        <v>1295</v>
      </c>
      <c r="J2" s="32" t="s">
        <v>1296</v>
      </c>
      <c r="K2" s="33" t="s">
        <v>1297</v>
      </c>
      <c r="L2" s="34" t="s">
        <v>1298</v>
      </c>
      <c r="M2" s="34" t="s">
        <v>1299</v>
      </c>
      <c r="N2" s="34" t="s">
        <v>1300</v>
      </c>
      <c r="O2" s="32" t="s">
        <v>38</v>
      </c>
      <c r="P2" s="57" t="s">
        <v>1301</v>
      </c>
      <c r="Q2" s="56" t="s">
        <v>1302</v>
      </c>
      <c r="R2" s="51"/>
      <c r="S2" s="33" t="s">
        <v>1303</v>
      </c>
      <c r="T2" s="33" t="s">
        <v>55</v>
      </c>
      <c r="U2" s="52" t="s">
        <v>1304</v>
      </c>
      <c r="V2" s="33" t="s">
        <v>1292</v>
      </c>
      <c r="W2" s="33" t="s">
        <v>1293</v>
      </c>
      <c r="X2" s="33" t="s">
        <v>1294</v>
      </c>
      <c r="Y2" s="34" t="s">
        <v>1295</v>
      </c>
      <c r="Z2" s="33" t="s">
        <v>1296</v>
      </c>
      <c r="AA2" s="33" t="s">
        <v>1297</v>
      </c>
      <c r="AB2" s="34" t="s">
        <v>1298</v>
      </c>
      <c r="AC2" s="34" t="s">
        <v>1299</v>
      </c>
      <c r="AD2" s="34" t="s">
        <v>1300</v>
      </c>
      <c r="AE2" s="51"/>
      <c r="AF2" s="33" t="s">
        <v>1305</v>
      </c>
      <c r="AG2" s="33" t="s">
        <v>55</v>
      </c>
      <c r="AH2" s="52" t="s">
        <v>1304</v>
      </c>
      <c r="AI2" s="33" t="s">
        <v>1292</v>
      </c>
      <c r="AJ2" s="33" t="s">
        <v>1293</v>
      </c>
      <c r="AK2" s="33" t="s">
        <v>1294</v>
      </c>
      <c r="AL2" s="34" t="s">
        <v>1295</v>
      </c>
      <c r="AM2" s="33" t="s">
        <v>1296</v>
      </c>
      <c r="AN2" s="33" t="s">
        <v>1297</v>
      </c>
      <c r="AO2" s="34" t="s">
        <v>1298</v>
      </c>
      <c r="AP2" s="34" t="s">
        <v>1299</v>
      </c>
      <c r="AQ2" s="34" t="s">
        <v>1300</v>
      </c>
      <c r="AR2" s="51"/>
      <c r="AS2" s="33" t="s">
        <v>1305</v>
      </c>
      <c r="AT2" s="33" t="s">
        <v>55</v>
      </c>
      <c r="AU2" s="52" t="s">
        <v>1304</v>
      </c>
      <c r="AV2" s="33" t="s">
        <v>1292</v>
      </c>
      <c r="AW2" s="33" t="s">
        <v>1293</v>
      </c>
      <c r="AX2" s="33" t="s">
        <v>1294</v>
      </c>
      <c r="AY2" s="34" t="s">
        <v>1295</v>
      </c>
      <c r="AZ2" s="33" t="s">
        <v>1296</v>
      </c>
      <c r="BA2" s="33" t="s">
        <v>1297</v>
      </c>
      <c r="BB2" s="34" t="s">
        <v>1298</v>
      </c>
      <c r="BC2" s="34" t="s">
        <v>1299</v>
      </c>
      <c r="BD2" s="34" t="s">
        <v>1300</v>
      </c>
      <c r="BE2" s="51"/>
      <c r="BF2" s="33" t="s">
        <v>1305</v>
      </c>
      <c r="BG2" s="33" t="s">
        <v>55</v>
      </c>
      <c r="BH2" s="52" t="s">
        <v>1304</v>
      </c>
      <c r="BI2" s="33" t="s">
        <v>1292</v>
      </c>
      <c r="BJ2" s="33" t="s">
        <v>1293</v>
      </c>
      <c r="BK2" s="33" t="s">
        <v>1294</v>
      </c>
      <c r="BL2" s="34" t="s">
        <v>1295</v>
      </c>
      <c r="BM2" s="33" t="s">
        <v>1296</v>
      </c>
      <c r="BN2" s="33" t="s">
        <v>1297</v>
      </c>
      <c r="BO2" s="34" t="s">
        <v>1298</v>
      </c>
      <c r="BP2" s="34" t="s">
        <v>1299</v>
      </c>
      <c r="BQ2" s="34" t="s">
        <v>1300</v>
      </c>
      <c r="BR2" s="51"/>
      <c r="BS2" s="33" t="s">
        <v>1305</v>
      </c>
      <c r="BT2" s="33" t="s">
        <v>55</v>
      </c>
      <c r="BU2" s="52" t="s">
        <v>1304</v>
      </c>
      <c r="BV2" s="33" t="s">
        <v>1292</v>
      </c>
      <c r="BW2" s="33" t="s">
        <v>1293</v>
      </c>
      <c r="BX2" s="33" t="s">
        <v>1294</v>
      </c>
      <c r="BY2" s="34" t="s">
        <v>1295</v>
      </c>
      <c r="BZ2" s="33" t="s">
        <v>1296</v>
      </c>
      <c r="CA2" s="33" t="s">
        <v>1297</v>
      </c>
      <c r="CB2" s="34" t="s">
        <v>1298</v>
      </c>
      <c r="CC2" s="34" t="s">
        <v>1299</v>
      </c>
      <c r="CD2" s="34" t="s">
        <v>1300</v>
      </c>
      <c r="CE2" s="51"/>
    </row>
    <row r="3" spans="1:83" s="24" customFormat="1" ht="11.25">
      <c r="A3" s="58">
        <v>1</v>
      </c>
      <c r="B3" s="58" t="s">
        <v>83</v>
      </c>
      <c r="C3" s="25" t="s">
        <v>79</v>
      </c>
      <c r="D3" s="25" t="s">
        <v>632</v>
      </c>
      <c r="E3" s="59">
        <v>46110</v>
      </c>
      <c r="F3" s="25">
        <v>0</v>
      </c>
      <c r="G3" s="25">
        <v>34</v>
      </c>
      <c r="H3" s="25">
        <v>34</v>
      </c>
      <c r="I3" s="60">
        <f>IF(AND(G3=0,H3=0),IF(AND(G3="",H3=""),0,1),IF(H3&lt;&gt;"",H3/G3,""))</f>
        <v>1</v>
      </c>
      <c r="J3" s="25">
        <v>328</v>
      </c>
      <c r="K3" s="25">
        <v>328</v>
      </c>
      <c r="L3" s="60">
        <f t="shared" ref="L3:L66" si="0">IF(K3&lt;&gt;"",K3/J3,"")</f>
        <v>1</v>
      </c>
      <c r="M3" s="61">
        <f t="shared" ref="M3:M66" si="1">IF(L3&lt;&gt;"",MAX(I3,L3),"")</f>
        <v>1</v>
      </c>
      <c r="N3" s="61">
        <f t="shared" ref="N3:N66" si="2">IF($M3&lt;&gt;"",IF($M3&lt;50%,0%,IF($M3&lt;80%,$M3,100%)),"")</f>
        <v>1</v>
      </c>
      <c r="O3" s="62" t="s">
        <v>79</v>
      </c>
      <c r="P3" s="62" t="s">
        <v>79</v>
      </c>
      <c r="Q3" s="62" t="b">
        <f>IF(P3="","Check",_xlfn.XLOOKUP(P3,'Route-Details'!M:M,'Route-Details'!M:M)=P3)</f>
        <v>1</v>
      </c>
    </row>
    <row r="4" spans="1:83" s="24" customFormat="1" ht="11.25">
      <c r="A4" s="58">
        <f t="shared" ref="A4:A67" si="3">IF(C4&lt;&gt;"",A3+1,"")</f>
        <v>2</v>
      </c>
      <c r="B4" s="58" t="s">
        <v>83</v>
      </c>
      <c r="C4" s="25" t="s">
        <v>79</v>
      </c>
      <c r="D4" s="25" t="s">
        <v>99</v>
      </c>
      <c r="E4" s="59">
        <v>46110</v>
      </c>
      <c r="F4" s="25">
        <v>1673</v>
      </c>
      <c r="G4" s="25">
        <v>34</v>
      </c>
      <c r="H4" s="25">
        <v>34</v>
      </c>
      <c r="I4" s="60">
        <f t="shared" ref="I4:I67" si="4">IF(H4&lt;&gt;"",H4/G4,"")</f>
        <v>1</v>
      </c>
      <c r="J4" s="25">
        <v>328</v>
      </c>
      <c r="K4" s="25">
        <v>328</v>
      </c>
      <c r="L4" s="60">
        <f t="shared" si="0"/>
        <v>1</v>
      </c>
      <c r="M4" s="61">
        <f t="shared" si="1"/>
        <v>1</v>
      </c>
      <c r="N4" s="61">
        <f t="shared" si="2"/>
        <v>1</v>
      </c>
      <c r="O4" s="62" t="s">
        <v>79</v>
      </c>
      <c r="P4" s="62" t="s">
        <v>79</v>
      </c>
      <c r="Q4" s="62" t="b">
        <f>IF(P4="","Check",_xlfn.XLOOKUP(P4,'Route-Details'!M:M,'Route-Details'!M:M)=P4)</f>
        <v>1</v>
      </c>
    </row>
    <row r="5" spans="1:83" s="24" customFormat="1" ht="11.25">
      <c r="A5" s="58">
        <f t="shared" si="3"/>
        <v>3</v>
      </c>
      <c r="B5" s="58" t="s">
        <v>83</v>
      </c>
      <c r="C5" s="25" t="s">
        <v>79</v>
      </c>
      <c r="D5" s="25" t="s">
        <v>86</v>
      </c>
      <c r="E5" s="59">
        <v>46110</v>
      </c>
      <c r="F5" s="25">
        <v>817</v>
      </c>
      <c r="G5" s="25">
        <v>34</v>
      </c>
      <c r="H5" s="25">
        <v>34</v>
      </c>
      <c r="I5" s="60">
        <f t="shared" si="4"/>
        <v>1</v>
      </c>
      <c r="J5" s="25">
        <v>328</v>
      </c>
      <c r="K5" s="25">
        <v>328</v>
      </c>
      <c r="L5" s="60">
        <f t="shared" si="0"/>
        <v>1</v>
      </c>
      <c r="M5" s="61">
        <f t="shared" si="1"/>
        <v>1</v>
      </c>
      <c r="N5" s="61">
        <f t="shared" si="2"/>
        <v>1</v>
      </c>
      <c r="O5" s="62" t="s">
        <v>79</v>
      </c>
      <c r="P5" s="62" t="s">
        <v>79</v>
      </c>
      <c r="Q5" s="62" t="b">
        <f>IF(P5="","Check",_xlfn.XLOOKUP(P5,'Route-Details'!M:M,'Route-Details'!M:M)=P5)</f>
        <v>1</v>
      </c>
    </row>
    <row r="6" spans="1:83" s="24" customFormat="1" ht="11.25">
      <c r="A6" s="58">
        <f t="shared" si="3"/>
        <v>4</v>
      </c>
      <c r="B6" s="58" t="s">
        <v>83</v>
      </c>
      <c r="C6" s="25" t="s">
        <v>79</v>
      </c>
      <c r="D6" s="25" t="s">
        <v>142</v>
      </c>
      <c r="E6" s="59">
        <v>46110</v>
      </c>
      <c r="F6" s="25">
        <v>0</v>
      </c>
      <c r="G6" s="25">
        <v>34</v>
      </c>
      <c r="H6" s="25">
        <v>34</v>
      </c>
      <c r="I6" s="60">
        <f t="shared" si="4"/>
        <v>1</v>
      </c>
      <c r="J6" s="25">
        <v>328</v>
      </c>
      <c r="K6" s="25">
        <v>328</v>
      </c>
      <c r="L6" s="60">
        <f t="shared" si="0"/>
        <v>1</v>
      </c>
      <c r="M6" s="61">
        <f t="shared" si="1"/>
        <v>1</v>
      </c>
      <c r="N6" s="61">
        <f t="shared" si="2"/>
        <v>1</v>
      </c>
      <c r="O6" s="62" t="s">
        <v>79</v>
      </c>
      <c r="P6" s="62" t="s">
        <v>79</v>
      </c>
      <c r="Q6" s="62" t="b">
        <f>IF(P6="","Check",_xlfn.XLOOKUP(P6,'Route-Details'!M:M,'Route-Details'!M:M)=P6)</f>
        <v>1</v>
      </c>
    </row>
    <row r="7" spans="1:83">
      <c r="A7" s="38">
        <f t="shared" si="3"/>
        <v>5</v>
      </c>
      <c r="B7" s="58" t="s">
        <v>83</v>
      </c>
      <c r="C7" s="30" t="s">
        <v>140</v>
      </c>
      <c r="D7" s="25" t="s">
        <v>632</v>
      </c>
      <c r="E7" s="121">
        <v>46113</v>
      </c>
      <c r="F7" s="30">
        <v>0</v>
      </c>
      <c r="G7" s="30">
        <v>156</v>
      </c>
      <c r="H7" s="30">
        <v>128</v>
      </c>
      <c r="I7" s="36">
        <f t="shared" si="4"/>
        <v>0.82051282051282048</v>
      </c>
      <c r="J7" s="30">
        <v>1880</v>
      </c>
      <c r="K7" s="30">
        <v>1576</v>
      </c>
      <c r="L7" s="36">
        <f t="shared" si="0"/>
        <v>0.83829787234042552</v>
      </c>
      <c r="M7" s="37">
        <f t="shared" si="1"/>
        <v>0.83829787234042552</v>
      </c>
      <c r="N7" s="37">
        <f t="shared" si="2"/>
        <v>1</v>
      </c>
      <c r="O7" s="55" t="s">
        <v>140</v>
      </c>
      <c r="P7" s="62" t="s">
        <v>140</v>
      </c>
      <c r="Q7" s="62" t="b">
        <f>IF(P7="","Check",_xlfn.XLOOKUP(P7,'Route-Details'!M:M,'Route-Details'!M:M)=P7)</f>
        <v>1</v>
      </c>
    </row>
    <row r="8" spans="1:83">
      <c r="A8" s="38">
        <f t="shared" si="3"/>
        <v>6</v>
      </c>
      <c r="B8" s="58" t="s">
        <v>83</v>
      </c>
      <c r="C8" s="30" t="s">
        <v>140</v>
      </c>
      <c r="D8" s="25" t="s">
        <v>99</v>
      </c>
      <c r="E8" s="121">
        <v>46113</v>
      </c>
      <c r="F8" s="30">
        <v>4450</v>
      </c>
      <c r="G8" s="30">
        <v>156</v>
      </c>
      <c r="H8" s="30">
        <v>128</v>
      </c>
      <c r="I8" s="36">
        <f t="shared" si="4"/>
        <v>0.82051282051282048</v>
      </c>
      <c r="J8" s="30">
        <v>1880</v>
      </c>
      <c r="K8" s="30">
        <v>1576</v>
      </c>
      <c r="L8" s="36">
        <f t="shared" ref="L8:L10" si="5">IF(K8&lt;&gt;"",K8/J8,"")</f>
        <v>0.83829787234042552</v>
      </c>
      <c r="M8" s="37">
        <f t="shared" ref="M8:M10" si="6">IF(L8&lt;&gt;"",MAX(I8,L8),"")</f>
        <v>0.83829787234042552</v>
      </c>
      <c r="N8" s="37">
        <f t="shared" si="2"/>
        <v>1</v>
      </c>
      <c r="O8" s="55" t="s">
        <v>140</v>
      </c>
      <c r="P8" s="62" t="s">
        <v>140</v>
      </c>
      <c r="Q8" s="62" t="b">
        <f>IF(P8="","Check",_xlfn.XLOOKUP(P8,'Route-Details'!M:M,'Route-Details'!M:M)=P8)</f>
        <v>1</v>
      </c>
    </row>
    <row r="9" spans="1:83">
      <c r="A9" s="38">
        <f t="shared" si="3"/>
        <v>7</v>
      </c>
      <c r="B9" s="58" t="s">
        <v>83</v>
      </c>
      <c r="C9" s="30" t="s">
        <v>140</v>
      </c>
      <c r="D9" s="25" t="s">
        <v>86</v>
      </c>
      <c r="E9" s="121">
        <v>46113</v>
      </c>
      <c r="F9" s="30">
        <v>1454</v>
      </c>
      <c r="G9" s="30">
        <v>156</v>
      </c>
      <c r="H9" s="30">
        <v>128</v>
      </c>
      <c r="I9" s="36">
        <f t="shared" si="4"/>
        <v>0.82051282051282048</v>
      </c>
      <c r="J9" s="30">
        <v>1880</v>
      </c>
      <c r="K9" s="30">
        <v>1576</v>
      </c>
      <c r="L9" s="36">
        <f t="shared" si="5"/>
        <v>0.83829787234042552</v>
      </c>
      <c r="M9" s="37">
        <f t="shared" si="6"/>
        <v>0.83829787234042552</v>
      </c>
      <c r="N9" s="37">
        <f t="shared" si="2"/>
        <v>1</v>
      </c>
      <c r="O9" s="55" t="s">
        <v>140</v>
      </c>
      <c r="P9" s="62" t="s">
        <v>140</v>
      </c>
      <c r="Q9" s="62" t="b">
        <f>IF(P9="","Check",_xlfn.XLOOKUP(P9,'Route-Details'!M:M,'Route-Details'!M:M)=P9)</f>
        <v>1</v>
      </c>
    </row>
    <row r="10" spans="1:83">
      <c r="A10" s="38">
        <f t="shared" si="3"/>
        <v>8</v>
      </c>
      <c r="B10" s="58" t="s">
        <v>83</v>
      </c>
      <c r="C10" s="30" t="s">
        <v>140</v>
      </c>
      <c r="D10" s="25" t="s">
        <v>142</v>
      </c>
      <c r="E10" s="121">
        <v>46113</v>
      </c>
      <c r="F10" s="30">
        <v>1400</v>
      </c>
      <c r="G10" s="30">
        <v>156</v>
      </c>
      <c r="H10" s="30">
        <v>128</v>
      </c>
      <c r="I10" s="36">
        <f t="shared" si="4"/>
        <v>0.82051282051282048</v>
      </c>
      <c r="J10" s="30">
        <v>1880</v>
      </c>
      <c r="K10" s="30">
        <v>1576</v>
      </c>
      <c r="L10" s="36">
        <f t="shared" si="5"/>
        <v>0.83829787234042552</v>
      </c>
      <c r="M10" s="37">
        <f t="shared" si="6"/>
        <v>0.83829787234042552</v>
      </c>
      <c r="N10" s="37">
        <f t="shared" si="2"/>
        <v>1</v>
      </c>
      <c r="O10" s="55" t="s">
        <v>140</v>
      </c>
      <c r="P10" s="62" t="s">
        <v>140</v>
      </c>
      <c r="Q10" s="62" t="b">
        <f>IF(P10="","Check",_xlfn.XLOOKUP(P10,'Route-Details'!M:M,'Route-Details'!M:M)=P10)</f>
        <v>1</v>
      </c>
    </row>
    <row r="11" spans="1:83">
      <c r="A11" s="38">
        <f t="shared" si="3"/>
        <v>9</v>
      </c>
      <c r="B11" s="58" t="s">
        <v>83</v>
      </c>
      <c r="C11" s="30" t="s">
        <v>371</v>
      </c>
      <c r="D11" s="30" t="s">
        <v>632</v>
      </c>
      <c r="E11" s="121">
        <v>46114</v>
      </c>
      <c r="F11" s="30">
        <v>0</v>
      </c>
      <c r="G11" s="30">
        <v>188</v>
      </c>
      <c r="H11" s="30">
        <v>170</v>
      </c>
      <c r="I11" s="36">
        <f t="shared" si="4"/>
        <v>0.9042553191489362</v>
      </c>
      <c r="J11" s="30">
        <v>2384</v>
      </c>
      <c r="K11" s="30">
        <v>2176</v>
      </c>
      <c r="L11" s="36">
        <f t="shared" si="0"/>
        <v>0.91275167785234901</v>
      </c>
      <c r="M11" s="37">
        <f t="shared" si="1"/>
        <v>0.91275167785234901</v>
      </c>
      <c r="N11" s="37">
        <f t="shared" si="2"/>
        <v>1</v>
      </c>
      <c r="O11" s="55" t="s">
        <v>371</v>
      </c>
      <c r="P11" s="62" t="s">
        <v>371</v>
      </c>
      <c r="Q11" s="62" t="b">
        <f>IF(P11="","Check",_xlfn.XLOOKUP(P11,'Route-Details'!M:M,'Route-Details'!M:M)=P11)</f>
        <v>1</v>
      </c>
    </row>
    <row r="12" spans="1:83">
      <c r="A12" s="38">
        <f t="shared" si="3"/>
        <v>10</v>
      </c>
      <c r="B12" s="58" t="s">
        <v>83</v>
      </c>
      <c r="C12" s="30" t="s">
        <v>371</v>
      </c>
      <c r="D12" s="30" t="s">
        <v>99</v>
      </c>
      <c r="E12" s="121">
        <v>46114</v>
      </c>
      <c r="F12" s="30">
        <v>5267</v>
      </c>
      <c r="G12" s="30">
        <v>188</v>
      </c>
      <c r="H12" s="30">
        <v>170</v>
      </c>
      <c r="I12" s="36">
        <f t="shared" si="4"/>
        <v>0.9042553191489362</v>
      </c>
      <c r="J12" s="30">
        <v>2384</v>
      </c>
      <c r="K12" s="30">
        <v>2176</v>
      </c>
      <c r="L12" s="36">
        <f t="shared" ref="L12:L14" si="7">IF(K12&lt;&gt;"",K12/J12,"")</f>
        <v>0.91275167785234901</v>
      </c>
      <c r="M12" s="37">
        <f t="shared" ref="M12:M14" si="8">IF(L12&lt;&gt;"",MAX(I12,L12),"")</f>
        <v>0.91275167785234901</v>
      </c>
      <c r="N12" s="37">
        <f t="shared" si="2"/>
        <v>1</v>
      </c>
      <c r="O12" s="55" t="s">
        <v>371</v>
      </c>
      <c r="P12" s="62" t="s">
        <v>371</v>
      </c>
      <c r="Q12" s="62" t="b">
        <f>IF(P12="","Check",_xlfn.XLOOKUP(P12,'Route-Details'!M:M,'Route-Details'!M:M)=P12)</f>
        <v>1</v>
      </c>
    </row>
    <row r="13" spans="1:83">
      <c r="A13" s="38">
        <f t="shared" si="3"/>
        <v>11</v>
      </c>
      <c r="B13" s="58" t="s">
        <v>83</v>
      </c>
      <c r="C13" s="30" t="s">
        <v>371</v>
      </c>
      <c r="D13" s="30" t="s">
        <v>86</v>
      </c>
      <c r="E13" s="121">
        <v>46114</v>
      </c>
      <c r="F13" s="30">
        <v>1153</v>
      </c>
      <c r="G13" s="30">
        <v>188</v>
      </c>
      <c r="H13" s="30">
        <v>170</v>
      </c>
      <c r="I13" s="36">
        <f t="shared" si="4"/>
        <v>0.9042553191489362</v>
      </c>
      <c r="J13" s="30">
        <v>2384</v>
      </c>
      <c r="K13" s="30">
        <v>2176</v>
      </c>
      <c r="L13" s="36">
        <f t="shared" si="7"/>
        <v>0.91275167785234901</v>
      </c>
      <c r="M13" s="37">
        <f t="shared" si="8"/>
        <v>0.91275167785234901</v>
      </c>
      <c r="N13" s="37">
        <f t="shared" si="2"/>
        <v>1</v>
      </c>
      <c r="O13" s="55" t="s">
        <v>371</v>
      </c>
      <c r="P13" s="62" t="s">
        <v>371</v>
      </c>
      <c r="Q13" s="62" t="b">
        <f>IF(P13="","Check",_xlfn.XLOOKUP(P13,'Route-Details'!M:M,'Route-Details'!M:M)=P13)</f>
        <v>1</v>
      </c>
    </row>
    <row r="14" spans="1:83">
      <c r="A14" s="38">
        <f t="shared" si="3"/>
        <v>12</v>
      </c>
      <c r="B14" s="58" t="s">
        <v>83</v>
      </c>
      <c r="C14" s="30" t="s">
        <v>371</v>
      </c>
      <c r="D14" s="30" t="s">
        <v>142</v>
      </c>
      <c r="E14" s="121">
        <v>46114</v>
      </c>
      <c r="F14" s="30">
        <v>2250</v>
      </c>
      <c r="G14" s="30">
        <v>188</v>
      </c>
      <c r="H14" s="30">
        <v>170</v>
      </c>
      <c r="I14" s="36">
        <f t="shared" si="4"/>
        <v>0.9042553191489362</v>
      </c>
      <c r="J14" s="30">
        <v>2384</v>
      </c>
      <c r="K14" s="30">
        <v>2176</v>
      </c>
      <c r="L14" s="36">
        <f t="shared" si="7"/>
        <v>0.91275167785234901</v>
      </c>
      <c r="M14" s="37">
        <f t="shared" si="8"/>
        <v>0.91275167785234901</v>
      </c>
      <c r="N14" s="37">
        <f t="shared" si="2"/>
        <v>1</v>
      </c>
      <c r="O14" s="55" t="s">
        <v>371</v>
      </c>
      <c r="P14" s="62" t="s">
        <v>371</v>
      </c>
      <c r="Q14" s="62" t="b">
        <f>IF(P14="","Check",_xlfn.XLOOKUP(P14,'Route-Details'!M:M,'Route-Details'!M:M)=P14)</f>
        <v>1</v>
      </c>
    </row>
    <row r="15" spans="1:83">
      <c r="A15" s="38">
        <f t="shared" si="3"/>
        <v>13</v>
      </c>
      <c r="B15" s="58" t="s">
        <v>83</v>
      </c>
      <c r="C15" s="30" t="s">
        <v>801</v>
      </c>
      <c r="D15" s="30" t="s">
        <v>632</v>
      </c>
      <c r="E15" s="121">
        <v>46148</v>
      </c>
      <c r="F15" s="30">
        <v>0</v>
      </c>
      <c r="G15" s="30">
        <v>163</v>
      </c>
      <c r="H15" s="30">
        <v>103</v>
      </c>
      <c r="I15" s="36">
        <f t="shared" si="4"/>
        <v>0.63190184049079756</v>
      </c>
      <c r="J15" s="30">
        <v>2496</v>
      </c>
      <c r="K15" s="30">
        <v>1544</v>
      </c>
      <c r="L15" s="36">
        <f t="shared" si="0"/>
        <v>0.61858974358974361</v>
      </c>
      <c r="M15" s="37">
        <f t="shared" si="1"/>
        <v>0.63190184049079756</v>
      </c>
      <c r="N15" s="37">
        <f t="shared" si="2"/>
        <v>0.63190184049079756</v>
      </c>
      <c r="O15" s="55" t="s">
        <v>801</v>
      </c>
      <c r="P15" s="55" t="s">
        <v>801</v>
      </c>
      <c r="Q15" s="55"/>
    </row>
    <row r="16" spans="1:83">
      <c r="A16" s="38">
        <f t="shared" si="3"/>
        <v>14</v>
      </c>
      <c r="B16" s="58" t="s">
        <v>83</v>
      </c>
      <c r="C16" s="30" t="s">
        <v>801</v>
      </c>
      <c r="D16" s="30" t="s">
        <v>99</v>
      </c>
      <c r="E16" s="121">
        <v>46148</v>
      </c>
      <c r="F16" s="30">
        <v>5408</v>
      </c>
      <c r="G16" s="30">
        <v>163</v>
      </c>
      <c r="H16" s="30">
        <v>103</v>
      </c>
      <c r="I16" s="36">
        <f t="shared" si="4"/>
        <v>0.63190184049079756</v>
      </c>
      <c r="J16" s="30">
        <v>2496</v>
      </c>
      <c r="K16" s="30">
        <v>1544</v>
      </c>
      <c r="L16" s="36">
        <f t="shared" si="0"/>
        <v>0.61858974358974361</v>
      </c>
      <c r="M16" s="37">
        <f t="shared" si="1"/>
        <v>0.63190184049079756</v>
      </c>
      <c r="N16" s="37">
        <f t="shared" si="2"/>
        <v>0.63190184049079756</v>
      </c>
      <c r="O16" s="55" t="s">
        <v>801</v>
      </c>
      <c r="P16" s="55" t="s">
        <v>801</v>
      </c>
      <c r="Q16" s="55"/>
    </row>
    <row r="17" spans="1:17">
      <c r="A17" s="38">
        <f t="shared" si="3"/>
        <v>15</v>
      </c>
      <c r="B17" s="58" t="s">
        <v>83</v>
      </c>
      <c r="C17" s="30" t="s">
        <v>801</v>
      </c>
      <c r="D17" s="30" t="s">
        <v>86</v>
      </c>
      <c r="E17" s="121">
        <v>46148</v>
      </c>
      <c r="F17" s="30">
        <v>1553</v>
      </c>
      <c r="G17" s="30">
        <v>163</v>
      </c>
      <c r="H17" s="30">
        <v>103</v>
      </c>
      <c r="I17" s="36">
        <f t="shared" si="4"/>
        <v>0.63190184049079756</v>
      </c>
      <c r="J17" s="30">
        <v>2496</v>
      </c>
      <c r="K17" s="30">
        <v>1544</v>
      </c>
      <c r="L17" s="36">
        <f t="shared" si="0"/>
        <v>0.61858974358974361</v>
      </c>
      <c r="M17" s="37">
        <f t="shared" si="1"/>
        <v>0.63190184049079756</v>
      </c>
      <c r="N17" s="37">
        <f t="shared" si="2"/>
        <v>0.63190184049079756</v>
      </c>
      <c r="O17" s="55" t="s">
        <v>801</v>
      </c>
      <c r="P17" s="55" t="s">
        <v>801</v>
      </c>
      <c r="Q17" s="55"/>
    </row>
    <row r="18" spans="1:17">
      <c r="A18" s="38">
        <f t="shared" si="3"/>
        <v>16</v>
      </c>
      <c r="B18" s="58" t="s">
        <v>83</v>
      </c>
      <c r="C18" s="30" t="s">
        <v>801</v>
      </c>
      <c r="D18" s="30" t="s">
        <v>142</v>
      </c>
      <c r="E18" s="121">
        <v>46148</v>
      </c>
      <c r="F18" s="30">
        <v>2237</v>
      </c>
      <c r="G18" s="30">
        <v>163</v>
      </c>
      <c r="H18" s="30">
        <v>103</v>
      </c>
      <c r="I18" s="36">
        <f t="shared" si="4"/>
        <v>0.63190184049079756</v>
      </c>
      <c r="J18" s="30">
        <v>2496</v>
      </c>
      <c r="K18" s="30">
        <v>1544</v>
      </c>
      <c r="L18" s="36">
        <f t="shared" si="0"/>
        <v>0.61858974358974361</v>
      </c>
      <c r="M18" s="37">
        <f t="shared" si="1"/>
        <v>0.63190184049079756</v>
      </c>
      <c r="N18" s="37">
        <f t="shared" si="2"/>
        <v>0.63190184049079756</v>
      </c>
      <c r="O18" s="55" t="s">
        <v>801</v>
      </c>
      <c r="P18" s="55" t="s">
        <v>801</v>
      </c>
      <c r="Q18" s="55"/>
    </row>
    <row r="19" spans="1:17">
      <c r="A19" s="38">
        <f t="shared" si="3"/>
        <v>17</v>
      </c>
      <c r="B19" s="58" t="s">
        <v>83</v>
      </c>
      <c r="C19" s="30" t="s">
        <v>614</v>
      </c>
      <c r="D19" s="30" t="s">
        <v>632</v>
      </c>
      <c r="E19" s="121">
        <v>46149</v>
      </c>
      <c r="F19" s="30">
        <v>229</v>
      </c>
      <c r="G19" s="30">
        <v>173</v>
      </c>
      <c r="H19" s="30">
        <v>151</v>
      </c>
      <c r="I19" s="36">
        <f t="shared" si="4"/>
        <v>0.87283236994219648</v>
      </c>
      <c r="J19" s="30">
        <v>2760</v>
      </c>
      <c r="K19" s="30">
        <v>2408</v>
      </c>
      <c r="L19" s="36">
        <f t="shared" si="0"/>
        <v>0.87246376811594206</v>
      </c>
      <c r="M19" s="37">
        <f t="shared" si="1"/>
        <v>0.87283236994219648</v>
      </c>
      <c r="N19" s="37">
        <f t="shared" si="2"/>
        <v>1</v>
      </c>
      <c r="O19" s="55" t="s">
        <v>614</v>
      </c>
      <c r="P19" s="55" t="s">
        <v>614</v>
      </c>
      <c r="Q19" s="55"/>
    </row>
    <row r="20" spans="1:17">
      <c r="A20" s="38">
        <f t="shared" si="3"/>
        <v>18</v>
      </c>
      <c r="B20" s="58" t="s">
        <v>83</v>
      </c>
      <c r="C20" s="30" t="s">
        <v>614</v>
      </c>
      <c r="D20" s="30" t="s">
        <v>99</v>
      </c>
      <c r="E20" s="121">
        <v>46149</v>
      </c>
      <c r="F20" s="30">
        <v>6023</v>
      </c>
      <c r="G20" s="30">
        <v>173</v>
      </c>
      <c r="H20" s="30">
        <v>151</v>
      </c>
      <c r="I20" s="36">
        <f t="shared" si="4"/>
        <v>0.87283236994219648</v>
      </c>
      <c r="J20" s="30">
        <v>2760</v>
      </c>
      <c r="K20" s="30">
        <v>2408</v>
      </c>
      <c r="L20" s="36">
        <f t="shared" si="0"/>
        <v>0.87246376811594206</v>
      </c>
      <c r="M20" s="37">
        <f t="shared" si="1"/>
        <v>0.87283236994219648</v>
      </c>
      <c r="N20" s="37">
        <f t="shared" si="2"/>
        <v>1</v>
      </c>
      <c r="O20" s="55" t="s">
        <v>614</v>
      </c>
      <c r="P20" s="55" t="s">
        <v>614</v>
      </c>
      <c r="Q20" s="55"/>
    </row>
    <row r="21" spans="1:17">
      <c r="A21" s="38">
        <f t="shared" si="3"/>
        <v>19</v>
      </c>
      <c r="B21" s="58" t="s">
        <v>83</v>
      </c>
      <c r="C21" s="30" t="s">
        <v>614</v>
      </c>
      <c r="D21" s="30" t="s">
        <v>86</v>
      </c>
      <c r="E21" s="121">
        <v>46149</v>
      </c>
      <c r="F21" s="30">
        <v>333</v>
      </c>
      <c r="G21" s="30">
        <v>173</v>
      </c>
      <c r="H21" s="30">
        <v>151</v>
      </c>
      <c r="I21" s="36">
        <f t="shared" si="4"/>
        <v>0.87283236994219648</v>
      </c>
      <c r="J21" s="30">
        <v>2760</v>
      </c>
      <c r="K21" s="30">
        <v>2408</v>
      </c>
      <c r="L21" s="36">
        <f t="shared" si="0"/>
        <v>0.87246376811594206</v>
      </c>
      <c r="M21" s="37">
        <f t="shared" si="1"/>
        <v>0.87283236994219648</v>
      </c>
      <c r="N21" s="37">
        <f t="shared" si="2"/>
        <v>1</v>
      </c>
      <c r="O21" s="55" t="s">
        <v>614</v>
      </c>
      <c r="P21" s="55" t="s">
        <v>614</v>
      </c>
      <c r="Q21" s="55"/>
    </row>
    <row r="22" spans="1:17">
      <c r="A22" s="38">
        <f t="shared" si="3"/>
        <v>20</v>
      </c>
      <c r="B22" s="58" t="s">
        <v>83</v>
      </c>
      <c r="C22" s="30" t="s">
        <v>614</v>
      </c>
      <c r="D22" s="30" t="s">
        <v>142</v>
      </c>
      <c r="E22" s="121">
        <v>46149</v>
      </c>
      <c r="F22" s="30">
        <v>2984</v>
      </c>
      <c r="G22" s="30">
        <v>173</v>
      </c>
      <c r="H22" s="30">
        <v>151</v>
      </c>
      <c r="I22" s="36">
        <f t="shared" si="4"/>
        <v>0.87283236994219648</v>
      </c>
      <c r="J22" s="30">
        <v>2760</v>
      </c>
      <c r="K22" s="30">
        <v>2408</v>
      </c>
      <c r="L22" s="36">
        <f t="shared" si="0"/>
        <v>0.87246376811594206</v>
      </c>
      <c r="M22" s="37">
        <f t="shared" si="1"/>
        <v>0.87283236994219648</v>
      </c>
      <c r="N22" s="37">
        <f t="shared" si="2"/>
        <v>1</v>
      </c>
      <c r="O22" s="55" t="s">
        <v>614</v>
      </c>
      <c r="P22" s="55" t="s">
        <v>614</v>
      </c>
      <c r="Q22" s="55"/>
    </row>
    <row r="23" spans="1:17">
      <c r="A23" s="38" t="str">
        <f t="shared" si="3"/>
        <v/>
      </c>
      <c r="B23" s="38"/>
      <c r="C23" s="30"/>
      <c r="D23" s="30"/>
      <c r="E23" s="30"/>
      <c r="F23" s="30"/>
      <c r="G23" s="30"/>
      <c r="H23" s="30"/>
      <c r="I23" s="36" t="str">
        <f t="shared" si="4"/>
        <v/>
      </c>
      <c r="J23" s="30"/>
      <c r="K23" s="30"/>
      <c r="L23" s="36" t="str">
        <f t="shared" si="0"/>
        <v/>
      </c>
      <c r="M23" s="37" t="str">
        <f t="shared" si="1"/>
        <v/>
      </c>
      <c r="N23" s="37" t="str">
        <f t="shared" si="2"/>
        <v/>
      </c>
      <c r="O23" s="55"/>
      <c r="P23" s="55"/>
      <c r="Q23" s="55"/>
    </row>
    <row r="24" spans="1:17">
      <c r="A24" s="38" t="str">
        <f t="shared" si="3"/>
        <v/>
      </c>
      <c r="B24" s="38"/>
      <c r="C24" s="30"/>
      <c r="D24" s="30"/>
      <c r="E24" s="30"/>
      <c r="F24" s="30"/>
      <c r="G24" s="30"/>
      <c r="H24" s="30"/>
      <c r="I24" s="36" t="str">
        <f t="shared" si="4"/>
        <v/>
      </c>
      <c r="J24" s="30"/>
      <c r="K24" s="30"/>
      <c r="L24" s="36" t="str">
        <f t="shared" si="0"/>
        <v/>
      </c>
      <c r="M24" s="37" t="str">
        <f t="shared" si="1"/>
        <v/>
      </c>
      <c r="N24" s="37" t="str">
        <f t="shared" si="2"/>
        <v/>
      </c>
      <c r="O24" s="55"/>
      <c r="P24" s="55"/>
      <c r="Q24" s="55"/>
    </row>
    <row r="25" spans="1:17">
      <c r="A25" s="38" t="str">
        <f t="shared" si="3"/>
        <v/>
      </c>
      <c r="B25" s="38"/>
      <c r="C25" s="30"/>
      <c r="D25" s="30"/>
      <c r="E25" s="30"/>
      <c r="F25" s="30"/>
      <c r="G25" s="30"/>
      <c r="H25" s="30"/>
      <c r="I25" s="36" t="str">
        <f t="shared" si="4"/>
        <v/>
      </c>
      <c r="J25" s="30"/>
      <c r="K25" s="30"/>
      <c r="L25" s="36" t="str">
        <f t="shared" si="0"/>
        <v/>
      </c>
      <c r="M25" s="37" t="str">
        <f t="shared" si="1"/>
        <v/>
      </c>
      <c r="N25" s="37" t="str">
        <f t="shared" si="2"/>
        <v/>
      </c>
      <c r="O25" s="55"/>
      <c r="P25" s="55"/>
      <c r="Q25" s="55"/>
    </row>
    <row r="26" spans="1:17">
      <c r="A26" s="38" t="str">
        <f t="shared" si="3"/>
        <v/>
      </c>
      <c r="B26" s="38"/>
      <c r="C26" s="30"/>
      <c r="D26" s="30"/>
      <c r="E26" s="30"/>
      <c r="F26" s="30"/>
      <c r="G26" s="30"/>
      <c r="H26" s="30"/>
      <c r="I26" s="36" t="str">
        <f t="shared" si="4"/>
        <v/>
      </c>
      <c r="J26" s="30"/>
      <c r="K26" s="30"/>
      <c r="L26" s="36" t="str">
        <f t="shared" si="0"/>
        <v/>
      </c>
      <c r="M26" s="37" t="str">
        <f t="shared" si="1"/>
        <v/>
      </c>
      <c r="N26" s="37" t="str">
        <f t="shared" si="2"/>
        <v/>
      </c>
      <c r="O26" s="55"/>
      <c r="P26" s="55"/>
      <c r="Q26" s="55"/>
    </row>
    <row r="27" spans="1:17">
      <c r="A27" s="38" t="str">
        <f t="shared" si="3"/>
        <v/>
      </c>
      <c r="B27" s="38"/>
      <c r="C27" s="30"/>
      <c r="D27" s="30"/>
      <c r="E27" s="30"/>
      <c r="F27" s="30"/>
      <c r="G27" s="30"/>
      <c r="H27" s="30"/>
      <c r="I27" s="36" t="str">
        <f t="shared" si="4"/>
        <v/>
      </c>
      <c r="J27" s="30"/>
      <c r="K27" s="30"/>
      <c r="L27" s="36" t="str">
        <f t="shared" si="0"/>
        <v/>
      </c>
      <c r="M27" s="37" t="str">
        <f t="shared" si="1"/>
        <v/>
      </c>
      <c r="N27" s="37" t="str">
        <f t="shared" si="2"/>
        <v/>
      </c>
      <c r="O27" s="55"/>
      <c r="P27" s="55"/>
      <c r="Q27" s="55"/>
    </row>
    <row r="28" spans="1:17">
      <c r="A28" s="38" t="str">
        <f t="shared" si="3"/>
        <v/>
      </c>
      <c r="B28" s="38"/>
      <c r="C28" s="30"/>
      <c r="D28" s="30"/>
      <c r="E28" s="30"/>
      <c r="F28" s="30"/>
      <c r="G28" s="30"/>
      <c r="H28" s="30"/>
      <c r="I28" s="36" t="str">
        <f t="shared" si="4"/>
        <v/>
      </c>
      <c r="J28" s="30"/>
      <c r="K28" s="30"/>
      <c r="L28" s="36" t="str">
        <f t="shared" si="0"/>
        <v/>
      </c>
      <c r="M28" s="37" t="str">
        <f t="shared" si="1"/>
        <v/>
      </c>
      <c r="N28" s="37" t="str">
        <f t="shared" si="2"/>
        <v/>
      </c>
      <c r="O28" s="55"/>
      <c r="P28" s="55"/>
      <c r="Q28" s="55"/>
    </row>
    <row r="29" spans="1:17">
      <c r="A29" s="38" t="str">
        <f t="shared" si="3"/>
        <v/>
      </c>
      <c r="B29" s="38"/>
      <c r="C29" s="30"/>
      <c r="D29" s="30"/>
      <c r="E29" s="30"/>
      <c r="F29" s="30"/>
      <c r="G29" s="30"/>
      <c r="H29" s="30"/>
      <c r="I29" s="36" t="str">
        <f t="shared" si="4"/>
        <v/>
      </c>
      <c r="J29" s="30"/>
      <c r="K29" s="30"/>
      <c r="L29" s="36" t="str">
        <f t="shared" si="0"/>
        <v/>
      </c>
      <c r="M29" s="37" t="str">
        <f t="shared" si="1"/>
        <v/>
      </c>
      <c r="N29" s="37" t="str">
        <f t="shared" si="2"/>
        <v/>
      </c>
      <c r="O29" s="55"/>
      <c r="P29" s="55"/>
      <c r="Q29" s="55"/>
    </row>
    <row r="30" spans="1:17">
      <c r="A30" s="38" t="str">
        <f t="shared" si="3"/>
        <v/>
      </c>
      <c r="B30" s="38"/>
      <c r="C30" s="30"/>
      <c r="D30" s="30"/>
      <c r="E30" s="30"/>
      <c r="F30" s="30"/>
      <c r="G30" s="30"/>
      <c r="H30" s="30"/>
      <c r="I30" s="36" t="str">
        <f t="shared" si="4"/>
        <v/>
      </c>
      <c r="J30" s="30"/>
      <c r="K30" s="30"/>
      <c r="L30" s="36" t="str">
        <f t="shared" si="0"/>
        <v/>
      </c>
      <c r="M30" s="37" t="str">
        <f t="shared" si="1"/>
        <v/>
      </c>
      <c r="N30" s="37" t="str">
        <f t="shared" si="2"/>
        <v/>
      </c>
      <c r="O30" s="55"/>
      <c r="P30" s="55"/>
      <c r="Q30" s="55"/>
    </row>
    <row r="31" spans="1:17">
      <c r="A31" s="38" t="str">
        <f t="shared" si="3"/>
        <v/>
      </c>
      <c r="B31" s="38"/>
      <c r="C31" s="30"/>
      <c r="D31" s="30"/>
      <c r="E31" s="30"/>
      <c r="F31" s="30"/>
      <c r="G31" s="30"/>
      <c r="H31" s="30"/>
      <c r="I31" s="36" t="str">
        <f t="shared" si="4"/>
        <v/>
      </c>
      <c r="J31" s="30"/>
      <c r="K31" s="30"/>
      <c r="L31" s="36" t="str">
        <f t="shared" si="0"/>
        <v/>
      </c>
      <c r="M31" s="37" t="str">
        <f t="shared" si="1"/>
        <v/>
      </c>
      <c r="N31" s="37" t="str">
        <f t="shared" si="2"/>
        <v/>
      </c>
      <c r="O31" s="55"/>
      <c r="P31" s="55"/>
      <c r="Q31" s="55"/>
    </row>
    <row r="32" spans="1:17">
      <c r="A32" s="38" t="str">
        <f t="shared" si="3"/>
        <v/>
      </c>
      <c r="B32" s="38"/>
      <c r="C32" s="30"/>
      <c r="D32" s="30"/>
      <c r="E32" s="30"/>
      <c r="F32" s="30"/>
      <c r="G32" s="30"/>
      <c r="H32" s="30"/>
      <c r="I32" s="36" t="str">
        <f t="shared" si="4"/>
        <v/>
      </c>
      <c r="J32" s="30"/>
      <c r="K32" s="30"/>
      <c r="L32" s="36" t="str">
        <f t="shared" si="0"/>
        <v/>
      </c>
      <c r="M32" s="37" t="str">
        <f t="shared" si="1"/>
        <v/>
      </c>
      <c r="N32" s="37" t="str">
        <f t="shared" si="2"/>
        <v/>
      </c>
      <c r="O32" s="55"/>
      <c r="P32" s="55"/>
      <c r="Q32" s="55"/>
    </row>
    <row r="33" spans="1:17">
      <c r="A33" s="38" t="str">
        <f t="shared" si="3"/>
        <v/>
      </c>
      <c r="B33" s="38"/>
      <c r="C33" s="30"/>
      <c r="D33" s="30"/>
      <c r="E33" s="30"/>
      <c r="F33" s="30"/>
      <c r="G33" s="30"/>
      <c r="H33" s="30"/>
      <c r="I33" s="36" t="str">
        <f t="shared" si="4"/>
        <v/>
      </c>
      <c r="J33" s="30"/>
      <c r="K33" s="30"/>
      <c r="L33" s="36" t="str">
        <f t="shared" si="0"/>
        <v/>
      </c>
      <c r="M33" s="37" t="str">
        <f t="shared" si="1"/>
        <v/>
      </c>
      <c r="N33" s="37" t="str">
        <f t="shared" si="2"/>
        <v/>
      </c>
      <c r="O33" s="55"/>
      <c r="P33" s="55"/>
      <c r="Q33" s="55"/>
    </row>
    <row r="34" spans="1:17">
      <c r="A34" s="38" t="str">
        <f t="shared" si="3"/>
        <v/>
      </c>
      <c r="B34" s="38"/>
      <c r="C34" s="30"/>
      <c r="D34" s="30"/>
      <c r="E34" s="30"/>
      <c r="F34" s="30"/>
      <c r="G34" s="30"/>
      <c r="H34" s="30"/>
      <c r="I34" s="36" t="str">
        <f t="shared" si="4"/>
        <v/>
      </c>
      <c r="J34" s="30"/>
      <c r="K34" s="30"/>
      <c r="L34" s="36" t="str">
        <f t="shared" si="0"/>
        <v/>
      </c>
      <c r="M34" s="37" t="str">
        <f t="shared" si="1"/>
        <v/>
      </c>
      <c r="N34" s="37" t="str">
        <f t="shared" si="2"/>
        <v/>
      </c>
      <c r="O34" s="55"/>
      <c r="P34" s="55"/>
      <c r="Q34" s="55"/>
    </row>
    <row r="35" spans="1:17">
      <c r="A35" s="38" t="str">
        <f t="shared" si="3"/>
        <v/>
      </c>
      <c r="B35" s="38"/>
      <c r="C35" s="30"/>
      <c r="D35" s="30"/>
      <c r="E35" s="30"/>
      <c r="F35" s="30"/>
      <c r="G35" s="30"/>
      <c r="H35" s="30"/>
      <c r="I35" s="36" t="str">
        <f t="shared" si="4"/>
        <v/>
      </c>
      <c r="J35" s="30"/>
      <c r="K35" s="30"/>
      <c r="L35" s="36" t="str">
        <f t="shared" si="0"/>
        <v/>
      </c>
      <c r="M35" s="37" t="str">
        <f t="shared" si="1"/>
        <v/>
      </c>
      <c r="N35" s="37" t="str">
        <f t="shared" si="2"/>
        <v/>
      </c>
      <c r="O35" s="55"/>
      <c r="P35" s="55"/>
      <c r="Q35" s="55"/>
    </row>
    <row r="36" spans="1:17">
      <c r="A36" s="38" t="str">
        <f t="shared" si="3"/>
        <v/>
      </c>
      <c r="B36" s="38"/>
      <c r="C36" s="30"/>
      <c r="D36" s="30"/>
      <c r="E36" s="30"/>
      <c r="F36" s="30"/>
      <c r="G36" s="30"/>
      <c r="H36" s="30"/>
      <c r="I36" s="36" t="str">
        <f t="shared" si="4"/>
        <v/>
      </c>
      <c r="J36" s="30"/>
      <c r="K36" s="30"/>
      <c r="L36" s="36" t="str">
        <f t="shared" si="0"/>
        <v/>
      </c>
      <c r="M36" s="37" t="str">
        <f t="shared" si="1"/>
        <v/>
      </c>
      <c r="N36" s="37" t="str">
        <f t="shared" si="2"/>
        <v/>
      </c>
      <c r="O36" s="55"/>
      <c r="P36" s="55"/>
      <c r="Q36" s="55"/>
    </row>
    <row r="37" spans="1:17">
      <c r="A37" s="38" t="str">
        <f t="shared" si="3"/>
        <v/>
      </c>
      <c r="B37" s="38"/>
      <c r="C37" s="30"/>
      <c r="D37" s="30"/>
      <c r="E37" s="30"/>
      <c r="F37" s="30"/>
      <c r="G37" s="30"/>
      <c r="H37" s="30"/>
      <c r="I37" s="36" t="str">
        <f t="shared" si="4"/>
        <v/>
      </c>
      <c r="J37" s="30"/>
      <c r="K37" s="30"/>
      <c r="L37" s="36" t="str">
        <f t="shared" si="0"/>
        <v/>
      </c>
      <c r="M37" s="37" t="str">
        <f t="shared" si="1"/>
        <v/>
      </c>
      <c r="N37" s="37" t="str">
        <f t="shared" si="2"/>
        <v/>
      </c>
      <c r="O37" s="55"/>
      <c r="P37" s="55"/>
      <c r="Q37" s="55"/>
    </row>
    <row r="38" spans="1:17">
      <c r="A38" s="38" t="str">
        <f t="shared" si="3"/>
        <v/>
      </c>
      <c r="B38" s="38"/>
      <c r="C38" s="30"/>
      <c r="D38" s="30"/>
      <c r="E38" s="30"/>
      <c r="F38" s="30"/>
      <c r="G38" s="30"/>
      <c r="H38" s="30"/>
      <c r="I38" s="36" t="str">
        <f t="shared" si="4"/>
        <v/>
      </c>
      <c r="J38" s="30"/>
      <c r="K38" s="30"/>
      <c r="L38" s="36" t="str">
        <f t="shared" si="0"/>
        <v/>
      </c>
      <c r="M38" s="37" t="str">
        <f t="shared" si="1"/>
        <v/>
      </c>
      <c r="N38" s="37" t="str">
        <f t="shared" si="2"/>
        <v/>
      </c>
      <c r="O38" s="55"/>
      <c r="P38" s="55"/>
      <c r="Q38" s="55"/>
    </row>
    <row r="39" spans="1:17">
      <c r="A39" s="38" t="str">
        <f t="shared" si="3"/>
        <v/>
      </c>
      <c r="B39" s="38"/>
      <c r="C39" s="30"/>
      <c r="D39" s="30"/>
      <c r="E39" s="30"/>
      <c r="F39" s="30"/>
      <c r="G39" s="30"/>
      <c r="H39" s="30"/>
      <c r="I39" s="36" t="str">
        <f t="shared" si="4"/>
        <v/>
      </c>
      <c r="J39" s="30"/>
      <c r="K39" s="30"/>
      <c r="L39" s="36" t="str">
        <f t="shared" si="0"/>
        <v/>
      </c>
      <c r="M39" s="37" t="str">
        <f t="shared" si="1"/>
        <v/>
      </c>
      <c r="N39" s="37" t="str">
        <f t="shared" si="2"/>
        <v/>
      </c>
      <c r="O39" s="55"/>
      <c r="P39" s="55"/>
      <c r="Q39" s="55"/>
    </row>
    <row r="40" spans="1:17">
      <c r="A40" s="38" t="str">
        <f t="shared" si="3"/>
        <v/>
      </c>
      <c r="B40" s="38"/>
      <c r="C40" s="30"/>
      <c r="D40" s="30"/>
      <c r="E40" s="30"/>
      <c r="F40" s="30"/>
      <c r="G40" s="30"/>
      <c r="H40" s="30"/>
      <c r="I40" s="36" t="str">
        <f t="shared" si="4"/>
        <v/>
      </c>
      <c r="J40" s="30"/>
      <c r="K40" s="30"/>
      <c r="L40" s="36" t="str">
        <f t="shared" si="0"/>
        <v/>
      </c>
      <c r="M40" s="37" t="str">
        <f t="shared" si="1"/>
        <v/>
      </c>
      <c r="N40" s="37" t="str">
        <f t="shared" si="2"/>
        <v/>
      </c>
      <c r="O40" s="55"/>
      <c r="P40" s="55"/>
      <c r="Q40" s="55"/>
    </row>
    <row r="41" spans="1:17">
      <c r="A41" s="38" t="str">
        <f t="shared" si="3"/>
        <v/>
      </c>
      <c r="B41" s="38"/>
      <c r="C41" s="30"/>
      <c r="D41" s="30"/>
      <c r="E41" s="30"/>
      <c r="F41" s="30"/>
      <c r="G41" s="30"/>
      <c r="H41" s="30"/>
      <c r="I41" s="36" t="str">
        <f t="shared" si="4"/>
        <v/>
      </c>
      <c r="J41" s="30"/>
      <c r="K41" s="30"/>
      <c r="L41" s="36" t="str">
        <f t="shared" si="0"/>
        <v/>
      </c>
      <c r="M41" s="37" t="str">
        <f t="shared" si="1"/>
        <v/>
      </c>
      <c r="N41" s="37" t="str">
        <f t="shared" si="2"/>
        <v/>
      </c>
      <c r="O41" s="55"/>
      <c r="P41" s="55"/>
      <c r="Q41" s="55"/>
    </row>
    <row r="42" spans="1:17">
      <c r="A42" s="38" t="str">
        <f t="shared" si="3"/>
        <v/>
      </c>
      <c r="B42" s="38"/>
      <c r="C42" s="30"/>
      <c r="D42" s="30"/>
      <c r="E42" s="30"/>
      <c r="F42" s="30"/>
      <c r="G42" s="30"/>
      <c r="H42" s="30"/>
      <c r="I42" s="36" t="str">
        <f t="shared" si="4"/>
        <v/>
      </c>
      <c r="J42" s="30"/>
      <c r="K42" s="30"/>
      <c r="L42" s="36" t="str">
        <f t="shared" si="0"/>
        <v/>
      </c>
      <c r="M42" s="37" t="str">
        <f t="shared" si="1"/>
        <v/>
      </c>
      <c r="N42" s="37" t="str">
        <f t="shared" si="2"/>
        <v/>
      </c>
      <c r="O42" s="55"/>
      <c r="P42" s="55"/>
      <c r="Q42" s="55"/>
    </row>
    <row r="43" spans="1:17">
      <c r="A43" s="38" t="str">
        <f t="shared" si="3"/>
        <v/>
      </c>
      <c r="B43" s="38"/>
      <c r="C43" s="30"/>
      <c r="D43" s="30"/>
      <c r="E43" s="30"/>
      <c r="F43" s="30"/>
      <c r="G43" s="30"/>
      <c r="H43" s="30"/>
      <c r="I43" s="36" t="str">
        <f t="shared" si="4"/>
        <v/>
      </c>
      <c r="J43" s="30"/>
      <c r="K43" s="30"/>
      <c r="L43" s="36" t="str">
        <f t="shared" si="0"/>
        <v/>
      </c>
      <c r="M43" s="37" t="str">
        <f t="shared" si="1"/>
        <v/>
      </c>
      <c r="N43" s="37" t="str">
        <f t="shared" si="2"/>
        <v/>
      </c>
      <c r="O43" s="55"/>
      <c r="P43" s="55"/>
      <c r="Q43" s="55"/>
    </row>
    <row r="44" spans="1:17">
      <c r="A44" s="38" t="str">
        <f t="shared" si="3"/>
        <v/>
      </c>
      <c r="B44" s="38"/>
      <c r="C44" s="30"/>
      <c r="D44" s="30"/>
      <c r="E44" s="30"/>
      <c r="F44" s="30"/>
      <c r="G44" s="30"/>
      <c r="H44" s="30"/>
      <c r="I44" s="36" t="str">
        <f t="shared" si="4"/>
        <v/>
      </c>
      <c r="J44" s="30"/>
      <c r="K44" s="30"/>
      <c r="L44" s="36" t="str">
        <f t="shared" si="0"/>
        <v/>
      </c>
      <c r="M44" s="37" t="str">
        <f t="shared" si="1"/>
        <v/>
      </c>
      <c r="N44" s="37" t="str">
        <f t="shared" si="2"/>
        <v/>
      </c>
      <c r="O44" s="55"/>
      <c r="P44" s="55"/>
      <c r="Q44" s="55"/>
    </row>
    <row r="45" spans="1:17">
      <c r="A45" s="38" t="str">
        <f t="shared" si="3"/>
        <v/>
      </c>
      <c r="B45" s="38"/>
      <c r="C45" s="30"/>
      <c r="D45" s="30"/>
      <c r="E45" s="30"/>
      <c r="F45" s="30"/>
      <c r="G45" s="30"/>
      <c r="H45" s="30"/>
      <c r="I45" s="36" t="str">
        <f t="shared" si="4"/>
        <v/>
      </c>
      <c r="J45" s="30"/>
      <c r="K45" s="30"/>
      <c r="L45" s="36" t="str">
        <f t="shared" si="0"/>
        <v/>
      </c>
      <c r="M45" s="37" t="str">
        <f t="shared" si="1"/>
        <v/>
      </c>
      <c r="N45" s="37" t="str">
        <f t="shared" si="2"/>
        <v/>
      </c>
      <c r="O45" s="55"/>
      <c r="P45" s="55"/>
      <c r="Q45" s="55"/>
    </row>
    <row r="46" spans="1:17">
      <c r="A46" s="38" t="str">
        <f t="shared" si="3"/>
        <v/>
      </c>
      <c r="B46" s="38"/>
      <c r="C46" s="30"/>
      <c r="D46" s="30"/>
      <c r="E46" s="30"/>
      <c r="F46" s="30"/>
      <c r="G46" s="30"/>
      <c r="H46" s="30"/>
      <c r="I46" s="36" t="str">
        <f t="shared" si="4"/>
        <v/>
      </c>
      <c r="J46" s="30"/>
      <c r="K46" s="30"/>
      <c r="L46" s="36" t="str">
        <f t="shared" si="0"/>
        <v/>
      </c>
      <c r="M46" s="37" t="str">
        <f t="shared" si="1"/>
        <v/>
      </c>
      <c r="N46" s="37" t="str">
        <f t="shared" si="2"/>
        <v/>
      </c>
      <c r="O46" s="55"/>
      <c r="P46" s="55"/>
      <c r="Q46" s="55"/>
    </row>
    <row r="47" spans="1:17">
      <c r="A47" s="38" t="str">
        <f t="shared" si="3"/>
        <v/>
      </c>
      <c r="B47" s="38"/>
      <c r="C47" s="30"/>
      <c r="D47" s="30"/>
      <c r="E47" s="30"/>
      <c r="F47" s="30"/>
      <c r="G47" s="30"/>
      <c r="H47" s="30"/>
      <c r="I47" s="36" t="str">
        <f t="shared" si="4"/>
        <v/>
      </c>
      <c r="J47" s="30"/>
      <c r="K47" s="30"/>
      <c r="L47" s="36" t="str">
        <f t="shared" si="0"/>
        <v/>
      </c>
      <c r="M47" s="37" t="str">
        <f t="shared" si="1"/>
        <v/>
      </c>
      <c r="N47" s="37" t="str">
        <f t="shared" si="2"/>
        <v/>
      </c>
      <c r="O47" s="55"/>
      <c r="P47" s="55"/>
      <c r="Q47" s="55"/>
    </row>
    <row r="48" spans="1:17">
      <c r="A48" s="38" t="str">
        <f t="shared" si="3"/>
        <v/>
      </c>
      <c r="B48" s="38"/>
      <c r="C48" s="30"/>
      <c r="D48" s="30"/>
      <c r="E48" s="30"/>
      <c r="F48" s="30"/>
      <c r="G48" s="30"/>
      <c r="H48" s="30"/>
      <c r="I48" s="36" t="str">
        <f t="shared" si="4"/>
        <v/>
      </c>
      <c r="J48" s="30"/>
      <c r="K48" s="30"/>
      <c r="L48" s="36" t="str">
        <f t="shared" si="0"/>
        <v/>
      </c>
      <c r="M48" s="37" t="str">
        <f t="shared" si="1"/>
        <v/>
      </c>
      <c r="N48" s="37" t="str">
        <f t="shared" si="2"/>
        <v/>
      </c>
      <c r="O48" s="55"/>
      <c r="P48" s="55"/>
      <c r="Q48" s="55"/>
    </row>
    <row r="49" spans="1:17">
      <c r="A49" s="38" t="str">
        <f t="shared" si="3"/>
        <v/>
      </c>
      <c r="B49" s="38"/>
      <c r="C49" s="30"/>
      <c r="D49" s="30"/>
      <c r="E49" s="30"/>
      <c r="F49" s="30"/>
      <c r="G49" s="30"/>
      <c r="H49" s="30"/>
      <c r="I49" s="36" t="str">
        <f t="shared" si="4"/>
        <v/>
      </c>
      <c r="J49" s="30"/>
      <c r="K49" s="30"/>
      <c r="L49" s="36" t="str">
        <f t="shared" si="0"/>
        <v/>
      </c>
      <c r="M49" s="37" t="str">
        <f t="shared" si="1"/>
        <v/>
      </c>
      <c r="N49" s="37" t="str">
        <f t="shared" si="2"/>
        <v/>
      </c>
      <c r="O49" s="55"/>
      <c r="P49" s="55"/>
      <c r="Q49" s="55"/>
    </row>
    <row r="50" spans="1:17">
      <c r="A50" s="38" t="str">
        <f t="shared" si="3"/>
        <v/>
      </c>
      <c r="B50" s="38"/>
      <c r="C50" s="30"/>
      <c r="D50" s="30"/>
      <c r="E50" s="30"/>
      <c r="F50" s="30"/>
      <c r="G50" s="30"/>
      <c r="H50" s="30"/>
      <c r="I50" s="36" t="str">
        <f t="shared" si="4"/>
        <v/>
      </c>
      <c r="J50" s="30"/>
      <c r="K50" s="30"/>
      <c r="L50" s="36" t="str">
        <f t="shared" si="0"/>
        <v/>
      </c>
      <c r="M50" s="37" t="str">
        <f t="shared" si="1"/>
        <v/>
      </c>
      <c r="N50" s="37" t="str">
        <f t="shared" si="2"/>
        <v/>
      </c>
      <c r="O50" s="55"/>
      <c r="P50" s="55"/>
      <c r="Q50" s="55"/>
    </row>
    <row r="51" spans="1:17">
      <c r="A51" s="38" t="str">
        <f t="shared" si="3"/>
        <v/>
      </c>
      <c r="B51" s="38"/>
      <c r="C51" s="30"/>
      <c r="D51" s="30"/>
      <c r="E51" s="30"/>
      <c r="F51" s="30"/>
      <c r="G51" s="30"/>
      <c r="H51" s="30"/>
      <c r="I51" s="36" t="str">
        <f t="shared" si="4"/>
        <v/>
      </c>
      <c r="J51" s="30"/>
      <c r="K51" s="30"/>
      <c r="L51" s="36" t="str">
        <f t="shared" si="0"/>
        <v/>
      </c>
      <c r="M51" s="37" t="str">
        <f t="shared" si="1"/>
        <v/>
      </c>
      <c r="N51" s="37" t="str">
        <f t="shared" si="2"/>
        <v/>
      </c>
      <c r="O51" s="55"/>
      <c r="P51" s="55"/>
      <c r="Q51" s="55"/>
    </row>
    <row r="52" spans="1:17">
      <c r="A52" s="38" t="str">
        <f t="shared" si="3"/>
        <v/>
      </c>
      <c r="B52" s="38"/>
      <c r="C52" s="30"/>
      <c r="D52" s="30"/>
      <c r="E52" s="30"/>
      <c r="F52" s="30"/>
      <c r="G52" s="30"/>
      <c r="H52" s="30"/>
      <c r="I52" s="36" t="str">
        <f t="shared" si="4"/>
        <v/>
      </c>
      <c r="J52" s="30"/>
      <c r="K52" s="30"/>
      <c r="L52" s="36" t="str">
        <f t="shared" si="0"/>
        <v/>
      </c>
      <c r="M52" s="37" t="str">
        <f t="shared" si="1"/>
        <v/>
      </c>
      <c r="N52" s="37" t="str">
        <f t="shared" si="2"/>
        <v/>
      </c>
      <c r="O52" s="55"/>
      <c r="P52" s="55"/>
      <c r="Q52" s="55"/>
    </row>
    <row r="53" spans="1:17">
      <c r="A53" s="38" t="str">
        <f t="shared" si="3"/>
        <v/>
      </c>
      <c r="B53" s="38"/>
      <c r="C53" s="30"/>
      <c r="D53" s="30"/>
      <c r="E53" s="30"/>
      <c r="F53" s="30"/>
      <c r="G53" s="30"/>
      <c r="H53" s="30"/>
      <c r="I53" s="36" t="str">
        <f t="shared" si="4"/>
        <v/>
      </c>
      <c r="J53" s="30"/>
      <c r="K53" s="30"/>
      <c r="L53" s="36" t="str">
        <f t="shared" si="0"/>
        <v/>
      </c>
      <c r="M53" s="37" t="str">
        <f t="shared" si="1"/>
        <v/>
      </c>
      <c r="N53" s="37" t="str">
        <f t="shared" si="2"/>
        <v/>
      </c>
      <c r="O53" s="55"/>
      <c r="P53" s="55"/>
      <c r="Q53" s="55"/>
    </row>
    <row r="54" spans="1:17">
      <c r="A54" s="38" t="str">
        <f t="shared" si="3"/>
        <v/>
      </c>
      <c r="B54" s="38"/>
      <c r="C54" s="30"/>
      <c r="D54" s="30"/>
      <c r="E54" s="30"/>
      <c r="F54" s="30"/>
      <c r="G54" s="30"/>
      <c r="H54" s="30"/>
      <c r="I54" s="36" t="str">
        <f t="shared" si="4"/>
        <v/>
      </c>
      <c r="J54" s="30"/>
      <c r="K54" s="30"/>
      <c r="L54" s="36" t="str">
        <f t="shared" si="0"/>
        <v/>
      </c>
      <c r="M54" s="37" t="str">
        <f t="shared" si="1"/>
        <v/>
      </c>
      <c r="N54" s="37" t="str">
        <f t="shared" si="2"/>
        <v/>
      </c>
      <c r="O54" s="55"/>
      <c r="P54" s="55"/>
      <c r="Q54" s="55"/>
    </row>
    <row r="55" spans="1:17">
      <c r="A55" s="38" t="str">
        <f t="shared" si="3"/>
        <v/>
      </c>
      <c r="B55" s="38"/>
      <c r="C55" s="30"/>
      <c r="D55" s="30"/>
      <c r="E55" s="30"/>
      <c r="F55" s="30"/>
      <c r="G55" s="30"/>
      <c r="H55" s="30"/>
      <c r="I55" s="36" t="str">
        <f t="shared" si="4"/>
        <v/>
      </c>
      <c r="J55" s="30"/>
      <c r="K55" s="30"/>
      <c r="L55" s="36" t="str">
        <f t="shared" si="0"/>
        <v/>
      </c>
      <c r="M55" s="37" t="str">
        <f t="shared" si="1"/>
        <v/>
      </c>
      <c r="N55" s="37" t="str">
        <f t="shared" si="2"/>
        <v/>
      </c>
      <c r="O55" s="55"/>
      <c r="P55" s="55"/>
      <c r="Q55" s="55"/>
    </row>
    <row r="56" spans="1:17">
      <c r="A56" s="38" t="str">
        <f t="shared" si="3"/>
        <v/>
      </c>
      <c r="B56" s="38"/>
      <c r="C56" s="30"/>
      <c r="D56" s="30"/>
      <c r="E56" s="30"/>
      <c r="F56" s="30"/>
      <c r="G56" s="30"/>
      <c r="H56" s="30"/>
      <c r="I56" s="36" t="str">
        <f t="shared" si="4"/>
        <v/>
      </c>
      <c r="J56" s="30"/>
      <c r="K56" s="30"/>
      <c r="L56" s="36" t="str">
        <f t="shared" si="0"/>
        <v/>
      </c>
      <c r="M56" s="37" t="str">
        <f t="shared" si="1"/>
        <v/>
      </c>
      <c r="N56" s="37" t="str">
        <f t="shared" si="2"/>
        <v/>
      </c>
      <c r="O56" s="55"/>
      <c r="P56" s="55"/>
      <c r="Q56" s="55"/>
    </row>
    <row r="57" spans="1:17">
      <c r="A57" s="38" t="str">
        <f t="shared" si="3"/>
        <v/>
      </c>
      <c r="B57" s="38"/>
      <c r="C57" s="30"/>
      <c r="D57" s="30"/>
      <c r="E57" s="30"/>
      <c r="F57" s="30"/>
      <c r="G57" s="30"/>
      <c r="H57" s="30"/>
      <c r="I57" s="36" t="str">
        <f t="shared" si="4"/>
        <v/>
      </c>
      <c r="J57" s="30"/>
      <c r="K57" s="30"/>
      <c r="L57" s="36" t="str">
        <f t="shared" si="0"/>
        <v/>
      </c>
      <c r="M57" s="37" t="str">
        <f t="shared" si="1"/>
        <v/>
      </c>
      <c r="N57" s="37" t="str">
        <f t="shared" si="2"/>
        <v/>
      </c>
      <c r="O57" s="55"/>
      <c r="P57" s="55"/>
      <c r="Q57" s="55"/>
    </row>
    <row r="58" spans="1:17">
      <c r="A58" s="38" t="str">
        <f t="shared" si="3"/>
        <v/>
      </c>
      <c r="B58" s="38"/>
      <c r="C58" s="30"/>
      <c r="D58" s="30"/>
      <c r="E58" s="30"/>
      <c r="F58" s="30"/>
      <c r="G58" s="30"/>
      <c r="H58" s="30"/>
      <c r="I58" s="36" t="str">
        <f t="shared" si="4"/>
        <v/>
      </c>
      <c r="J58" s="30"/>
      <c r="K58" s="30"/>
      <c r="L58" s="36" t="str">
        <f t="shared" si="0"/>
        <v/>
      </c>
      <c r="M58" s="37" t="str">
        <f t="shared" si="1"/>
        <v/>
      </c>
      <c r="N58" s="37" t="str">
        <f t="shared" si="2"/>
        <v/>
      </c>
      <c r="O58" s="55"/>
      <c r="P58" s="55"/>
      <c r="Q58" s="55"/>
    </row>
    <row r="59" spans="1:17">
      <c r="A59" s="38" t="str">
        <f t="shared" si="3"/>
        <v/>
      </c>
      <c r="B59" s="38"/>
      <c r="C59" s="30"/>
      <c r="D59" s="30"/>
      <c r="E59" s="30"/>
      <c r="F59" s="30"/>
      <c r="G59" s="30"/>
      <c r="H59" s="30"/>
      <c r="I59" s="36" t="str">
        <f t="shared" si="4"/>
        <v/>
      </c>
      <c r="J59" s="30"/>
      <c r="K59" s="30"/>
      <c r="L59" s="36" t="str">
        <f t="shared" si="0"/>
        <v/>
      </c>
      <c r="M59" s="37" t="str">
        <f t="shared" si="1"/>
        <v/>
      </c>
      <c r="N59" s="37" t="str">
        <f t="shared" si="2"/>
        <v/>
      </c>
      <c r="O59" s="55"/>
      <c r="P59" s="55"/>
      <c r="Q59" s="55"/>
    </row>
    <row r="60" spans="1:17">
      <c r="A60" s="38" t="str">
        <f t="shared" si="3"/>
        <v/>
      </c>
      <c r="B60" s="38"/>
      <c r="C60" s="30"/>
      <c r="D60" s="30"/>
      <c r="E60" s="30"/>
      <c r="F60" s="30"/>
      <c r="G60" s="30"/>
      <c r="H60" s="30"/>
      <c r="I60" s="36" t="str">
        <f t="shared" si="4"/>
        <v/>
      </c>
      <c r="J60" s="30"/>
      <c r="K60" s="30"/>
      <c r="L60" s="36" t="str">
        <f t="shared" si="0"/>
        <v/>
      </c>
      <c r="M60" s="37" t="str">
        <f t="shared" si="1"/>
        <v/>
      </c>
      <c r="N60" s="37" t="str">
        <f t="shared" si="2"/>
        <v/>
      </c>
      <c r="O60" s="55"/>
      <c r="P60" s="55"/>
      <c r="Q60" s="55"/>
    </row>
    <row r="61" spans="1:17">
      <c r="A61" s="38" t="str">
        <f t="shared" si="3"/>
        <v/>
      </c>
      <c r="B61" s="38"/>
      <c r="C61" s="30"/>
      <c r="D61" s="30"/>
      <c r="E61" s="30"/>
      <c r="F61" s="30"/>
      <c r="G61" s="30"/>
      <c r="H61" s="30"/>
      <c r="I61" s="36" t="str">
        <f t="shared" si="4"/>
        <v/>
      </c>
      <c r="J61" s="30"/>
      <c r="K61" s="30"/>
      <c r="L61" s="36" t="str">
        <f t="shared" si="0"/>
        <v/>
      </c>
      <c r="M61" s="37" t="str">
        <f t="shared" si="1"/>
        <v/>
      </c>
      <c r="N61" s="37" t="str">
        <f t="shared" si="2"/>
        <v/>
      </c>
      <c r="O61" s="55"/>
      <c r="P61" s="55"/>
      <c r="Q61" s="55"/>
    </row>
    <row r="62" spans="1:17">
      <c r="A62" s="38" t="str">
        <f t="shared" si="3"/>
        <v/>
      </c>
      <c r="B62" s="38"/>
      <c r="C62" s="30"/>
      <c r="D62" s="30"/>
      <c r="E62" s="30"/>
      <c r="F62" s="30"/>
      <c r="G62" s="30"/>
      <c r="H62" s="30"/>
      <c r="I62" s="36" t="str">
        <f t="shared" si="4"/>
        <v/>
      </c>
      <c r="J62" s="30"/>
      <c r="K62" s="30"/>
      <c r="L62" s="36" t="str">
        <f t="shared" si="0"/>
        <v/>
      </c>
      <c r="M62" s="37" t="str">
        <f t="shared" si="1"/>
        <v/>
      </c>
      <c r="N62" s="37" t="str">
        <f t="shared" si="2"/>
        <v/>
      </c>
      <c r="O62" s="55"/>
      <c r="P62" s="55"/>
      <c r="Q62" s="55"/>
    </row>
    <row r="63" spans="1:17">
      <c r="A63" s="38" t="str">
        <f t="shared" si="3"/>
        <v/>
      </c>
      <c r="B63" s="38"/>
      <c r="C63" s="30"/>
      <c r="D63" s="30"/>
      <c r="E63" s="30"/>
      <c r="F63" s="30"/>
      <c r="G63" s="30"/>
      <c r="H63" s="30"/>
      <c r="I63" s="36" t="str">
        <f t="shared" si="4"/>
        <v/>
      </c>
      <c r="J63" s="30"/>
      <c r="K63" s="30"/>
      <c r="L63" s="36" t="str">
        <f t="shared" si="0"/>
        <v/>
      </c>
      <c r="M63" s="37" t="str">
        <f t="shared" si="1"/>
        <v/>
      </c>
      <c r="N63" s="37" t="str">
        <f t="shared" si="2"/>
        <v/>
      </c>
      <c r="O63" s="55"/>
      <c r="P63" s="55"/>
      <c r="Q63" s="55"/>
    </row>
    <row r="64" spans="1:17">
      <c r="A64" s="38" t="str">
        <f t="shared" si="3"/>
        <v/>
      </c>
      <c r="B64" s="38"/>
      <c r="C64" s="30"/>
      <c r="D64" s="30"/>
      <c r="E64" s="30"/>
      <c r="F64" s="30"/>
      <c r="G64" s="30"/>
      <c r="H64" s="30"/>
      <c r="I64" s="36" t="str">
        <f t="shared" si="4"/>
        <v/>
      </c>
      <c r="J64" s="30"/>
      <c r="K64" s="30"/>
      <c r="L64" s="36" t="str">
        <f t="shared" si="0"/>
        <v/>
      </c>
      <c r="M64" s="37" t="str">
        <f t="shared" si="1"/>
        <v/>
      </c>
      <c r="N64" s="37" t="str">
        <f t="shared" si="2"/>
        <v/>
      </c>
      <c r="O64" s="55"/>
      <c r="P64" s="55"/>
      <c r="Q64" s="55"/>
    </row>
    <row r="65" spans="1:17">
      <c r="A65" s="38" t="str">
        <f t="shared" si="3"/>
        <v/>
      </c>
      <c r="B65" s="38"/>
      <c r="C65" s="30"/>
      <c r="D65" s="30"/>
      <c r="E65" s="30"/>
      <c r="F65" s="30"/>
      <c r="G65" s="30"/>
      <c r="H65" s="30"/>
      <c r="I65" s="36" t="str">
        <f t="shared" si="4"/>
        <v/>
      </c>
      <c r="J65" s="30"/>
      <c r="K65" s="30"/>
      <c r="L65" s="36" t="str">
        <f t="shared" si="0"/>
        <v/>
      </c>
      <c r="M65" s="37" t="str">
        <f t="shared" si="1"/>
        <v/>
      </c>
      <c r="N65" s="37" t="str">
        <f t="shared" si="2"/>
        <v/>
      </c>
      <c r="O65" s="55"/>
      <c r="P65" s="55"/>
      <c r="Q65" s="55"/>
    </row>
    <row r="66" spans="1:17">
      <c r="A66" s="38" t="str">
        <f t="shared" si="3"/>
        <v/>
      </c>
      <c r="B66" s="38"/>
      <c r="C66" s="30"/>
      <c r="D66" s="30"/>
      <c r="E66" s="30"/>
      <c r="F66" s="30"/>
      <c r="G66" s="30"/>
      <c r="H66" s="30"/>
      <c r="I66" s="36" t="str">
        <f t="shared" si="4"/>
        <v/>
      </c>
      <c r="J66" s="30"/>
      <c r="K66" s="30"/>
      <c r="L66" s="36" t="str">
        <f t="shared" si="0"/>
        <v/>
      </c>
      <c r="M66" s="37" t="str">
        <f t="shared" si="1"/>
        <v/>
      </c>
      <c r="N66" s="37" t="str">
        <f t="shared" si="2"/>
        <v/>
      </c>
      <c r="O66" s="55"/>
      <c r="P66" s="55"/>
      <c r="Q66" s="55"/>
    </row>
    <row r="67" spans="1:17">
      <c r="A67" s="38" t="str">
        <f t="shared" si="3"/>
        <v/>
      </c>
      <c r="B67" s="38"/>
      <c r="C67" s="30"/>
      <c r="D67" s="30"/>
      <c r="E67" s="30"/>
      <c r="F67" s="30"/>
      <c r="G67" s="30"/>
      <c r="H67" s="30"/>
      <c r="I67" s="36" t="str">
        <f t="shared" si="4"/>
        <v/>
      </c>
      <c r="J67" s="30"/>
      <c r="K67" s="30"/>
      <c r="L67" s="36" t="str">
        <f t="shared" ref="L67:L130" si="9">IF(K67&lt;&gt;"",K67/J67,"")</f>
        <v/>
      </c>
      <c r="M67" s="37" t="str">
        <f t="shared" ref="M67:M130" si="10">IF(L67&lt;&gt;"",MAX(I67,L67),"")</f>
        <v/>
      </c>
      <c r="N67" s="37" t="str">
        <f t="shared" ref="N67:N130" si="11">IF($M67&lt;&gt;"",IF($M67&lt;50%,0%,IF($M67&lt;80%,$M67,100%)),"")</f>
        <v/>
      </c>
      <c r="O67" s="55"/>
      <c r="P67" s="55"/>
      <c r="Q67" s="55"/>
    </row>
    <row r="68" spans="1:17">
      <c r="A68" s="38" t="str">
        <f t="shared" ref="A68:A131" si="12">IF(C68&lt;&gt;"",A67+1,"")</f>
        <v/>
      </c>
      <c r="B68" s="38"/>
      <c r="C68" s="30"/>
      <c r="D68" s="30"/>
      <c r="E68" s="30"/>
      <c r="F68" s="30"/>
      <c r="G68" s="30"/>
      <c r="H68" s="30"/>
      <c r="I68" s="36" t="str">
        <f t="shared" ref="I68:I131" si="13">IF(H68&lt;&gt;"",H68/G68,"")</f>
        <v/>
      </c>
      <c r="J68" s="30"/>
      <c r="K68" s="30"/>
      <c r="L68" s="36" t="str">
        <f t="shared" si="9"/>
        <v/>
      </c>
      <c r="M68" s="37" t="str">
        <f t="shared" si="10"/>
        <v/>
      </c>
      <c r="N68" s="37" t="str">
        <f t="shared" si="11"/>
        <v/>
      </c>
      <c r="O68" s="55"/>
      <c r="P68" s="55"/>
      <c r="Q68" s="55"/>
    </row>
    <row r="69" spans="1:17">
      <c r="A69" s="38" t="str">
        <f t="shared" si="12"/>
        <v/>
      </c>
      <c r="B69" s="38"/>
      <c r="C69" s="30"/>
      <c r="D69" s="30"/>
      <c r="E69" s="30"/>
      <c r="F69" s="30"/>
      <c r="G69" s="30"/>
      <c r="H69" s="30"/>
      <c r="I69" s="36" t="str">
        <f t="shared" si="13"/>
        <v/>
      </c>
      <c r="J69" s="30"/>
      <c r="K69" s="30"/>
      <c r="L69" s="36" t="str">
        <f t="shared" si="9"/>
        <v/>
      </c>
      <c r="M69" s="37" t="str">
        <f t="shared" si="10"/>
        <v/>
      </c>
      <c r="N69" s="37" t="str">
        <f t="shared" si="11"/>
        <v/>
      </c>
      <c r="O69" s="55"/>
      <c r="P69" s="55"/>
      <c r="Q69" s="55"/>
    </row>
    <row r="70" spans="1:17">
      <c r="A70" s="38" t="str">
        <f t="shared" si="12"/>
        <v/>
      </c>
      <c r="B70" s="38"/>
      <c r="C70" s="30"/>
      <c r="D70" s="30"/>
      <c r="E70" s="30"/>
      <c r="F70" s="30"/>
      <c r="G70" s="30"/>
      <c r="H70" s="30"/>
      <c r="I70" s="36" t="str">
        <f t="shared" si="13"/>
        <v/>
      </c>
      <c r="J70" s="30"/>
      <c r="K70" s="30"/>
      <c r="L70" s="36" t="str">
        <f t="shared" si="9"/>
        <v/>
      </c>
      <c r="M70" s="37" t="str">
        <f t="shared" si="10"/>
        <v/>
      </c>
      <c r="N70" s="37" t="str">
        <f t="shared" si="11"/>
        <v/>
      </c>
      <c r="O70" s="55"/>
      <c r="P70" s="55"/>
      <c r="Q70" s="55"/>
    </row>
    <row r="71" spans="1:17">
      <c r="A71" s="38" t="str">
        <f t="shared" si="12"/>
        <v/>
      </c>
      <c r="B71" s="38"/>
      <c r="C71" s="30"/>
      <c r="D71" s="30"/>
      <c r="E71" s="30"/>
      <c r="F71" s="30"/>
      <c r="G71" s="30"/>
      <c r="H71" s="30"/>
      <c r="I71" s="36" t="str">
        <f t="shared" si="13"/>
        <v/>
      </c>
      <c r="J71" s="30"/>
      <c r="K71" s="30"/>
      <c r="L71" s="36" t="str">
        <f t="shared" si="9"/>
        <v/>
      </c>
      <c r="M71" s="37" t="str">
        <f t="shared" si="10"/>
        <v/>
      </c>
      <c r="N71" s="37" t="str">
        <f t="shared" si="11"/>
        <v/>
      </c>
      <c r="O71" s="55"/>
      <c r="P71" s="55"/>
      <c r="Q71" s="55"/>
    </row>
    <row r="72" spans="1:17">
      <c r="A72" s="38" t="str">
        <f t="shared" si="12"/>
        <v/>
      </c>
      <c r="B72" s="38"/>
      <c r="C72" s="30"/>
      <c r="D72" s="30"/>
      <c r="E72" s="30"/>
      <c r="F72" s="30"/>
      <c r="G72" s="30"/>
      <c r="H72" s="30"/>
      <c r="I72" s="36" t="str">
        <f t="shared" si="13"/>
        <v/>
      </c>
      <c r="J72" s="30"/>
      <c r="K72" s="30"/>
      <c r="L72" s="36" t="str">
        <f t="shared" si="9"/>
        <v/>
      </c>
      <c r="M72" s="37" t="str">
        <f t="shared" si="10"/>
        <v/>
      </c>
      <c r="N72" s="37" t="str">
        <f t="shared" si="11"/>
        <v/>
      </c>
      <c r="O72" s="55"/>
      <c r="P72" s="55"/>
      <c r="Q72" s="55"/>
    </row>
    <row r="73" spans="1:17">
      <c r="A73" s="38" t="str">
        <f t="shared" si="12"/>
        <v/>
      </c>
      <c r="B73" s="38"/>
      <c r="C73" s="30"/>
      <c r="D73" s="30"/>
      <c r="E73" s="30"/>
      <c r="F73" s="30"/>
      <c r="G73" s="30"/>
      <c r="H73" s="30"/>
      <c r="I73" s="36" t="str">
        <f t="shared" si="13"/>
        <v/>
      </c>
      <c r="J73" s="30"/>
      <c r="K73" s="30"/>
      <c r="L73" s="36" t="str">
        <f t="shared" si="9"/>
        <v/>
      </c>
      <c r="M73" s="37" t="str">
        <f t="shared" si="10"/>
        <v/>
      </c>
      <c r="N73" s="37" t="str">
        <f t="shared" si="11"/>
        <v/>
      </c>
      <c r="O73" s="55"/>
      <c r="P73" s="55"/>
      <c r="Q73" s="55"/>
    </row>
    <row r="74" spans="1:17">
      <c r="A74" s="38" t="str">
        <f t="shared" si="12"/>
        <v/>
      </c>
      <c r="B74" s="38"/>
      <c r="C74" s="30"/>
      <c r="D74" s="30"/>
      <c r="E74" s="30"/>
      <c r="F74" s="30"/>
      <c r="G74" s="30"/>
      <c r="H74" s="30"/>
      <c r="I74" s="36" t="str">
        <f t="shared" si="13"/>
        <v/>
      </c>
      <c r="J74" s="30"/>
      <c r="K74" s="30"/>
      <c r="L74" s="36" t="str">
        <f t="shared" si="9"/>
        <v/>
      </c>
      <c r="M74" s="37" t="str">
        <f t="shared" si="10"/>
        <v/>
      </c>
      <c r="N74" s="37" t="str">
        <f t="shared" si="11"/>
        <v/>
      </c>
      <c r="O74" s="55"/>
      <c r="P74" s="55"/>
      <c r="Q74" s="55"/>
    </row>
    <row r="75" spans="1:17">
      <c r="A75" s="38" t="str">
        <f t="shared" si="12"/>
        <v/>
      </c>
      <c r="B75" s="38"/>
      <c r="C75" s="30"/>
      <c r="D75" s="30"/>
      <c r="E75" s="30"/>
      <c r="F75" s="30"/>
      <c r="G75" s="30"/>
      <c r="H75" s="30"/>
      <c r="I75" s="36" t="str">
        <f t="shared" si="13"/>
        <v/>
      </c>
      <c r="J75" s="30"/>
      <c r="K75" s="30"/>
      <c r="L75" s="36" t="str">
        <f t="shared" si="9"/>
        <v/>
      </c>
      <c r="M75" s="37" t="str">
        <f t="shared" si="10"/>
        <v/>
      </c>
      <c r="N75" s="37" t="str">
        <f t="shared" si="11"/>
        <v/>
      </c>
      <c r="O75" s="55"/>
      <c r="P75" s="55"/>
      <c r="Q75" s="55"/>
    </row>
    <row r="76" spans="1:17">
      <c r="A76" s="38" t="str">
        <f t="shared" si="12"/>
        <v/>
      </c>
      <c r="B76" s="38"/>
      <c r="C76" s="30"/>
      <c r="D76" s="30"/>
      <c r="E76" s="30"/>
      <c r="F76" s="30"/>
      <c r="G76" s="30"/>
      <c r="H76" s="30"/>
      <c r="I76" s="36" t="str">
        <f t="shared" si="13"/>
        <v/>
      </c>
      <c r="J76" s="30"/>
      <c r="K76" s="30"/>
      <c r="L76" s="36" t="str">
        <f t="shared" si="9"/>
        <v/>
      </c>
      <c r="M76" s="37" t="str">
        <f t="shared" si="10"/>
        <v/>
      </c>
      <c r="N76" s="37" t="str">
        <f t="shared" si="11"/>
        <v/>
      </c>
      <c r="O76" s="55"/>
      <c r="P76" s="55"/>
      <c r="Q76" s="55"/>
    </row>
    <row r="77" spans="1:17">
      <c r="A77" s="38" t="str">
        <f t="shared" si="12"/>
        <v/>
      </c>
      <c r="B77" s="38"/>
      <c r="C77" s="30"/>
      <c r="D77" s="30"/>
      <c r="E77" s="30"/>
      <c r="F77" s="30"/>
      <c r="G77" s="30"/>
      <c r="H77" s="30"/>
      <c r="I77" s="36" t="str">
        <f t="shared" si="13"/>
        <v/>
      </c>
      <c r="J77" s="30"/>
      <c r="K77" s="30"/>
      <c r="L77" s="36" t="str">
        <f t="shared" si="9"/>
        <v/>
      </c>
      <c r="M77" s="37" t="str">
        <f t="shared" si="10"/>
        <v/>
      </c>
      <c r="N77" s="37" t="str">
        <f t="shared" si="11"/>
        <v/>
      </c>
      <c r="O77" s="55"/>
      <c r="P77" s="55"/>
      <c r="Q77" s="55"/>
    </row>
    <row r="78" spans="1:17">
      <c r="A78" s="38" t="str">
        <f t="shared" si="12"/>
        <v/>
      </c>
      <c r="B78" s="38"/>
      <c r="C78" s="30"/>
      <c r="D78" s="30"/>
      <c r="E78" s="30"/>
      <c r="F78" s="30"/>
      <c r="G78" s="30"/>
      <c r="H78" s="30"/>
      <c r="I78" s="36" t="str">
        <f t="shared" si="13"/>
        <v/>
      </c>
      <c r="J78" s="30"/>
      <c r="K78" s="30"/>
      <c r="L78" s="36" t="str">
        <f t="shared" si="9"/>
        <v/>
      </c>
      <c r="M78" s="37" t="str">
        <f t="shared" si="10"/>
        <v/>
      </c>
      <c r="N78" s="37" t="str">
        <f t="shared" si="11"/>
        <v/>
      </c>
      <c r="O78" s="55"/>
      <c r="P78" s="55"/>
      <c r="Q78" s="55"/>
    </row>
    <row r="79" spans="1:17">
      <c r="A79" s="38" t="str">
        <f t="shared" si="12"/>
        <v/>
      </c>
      <c r="B79" s="38"/>
      <c r="C79" s="30"/>
      <c r="D79" s="30"/>
      <c r="E79" s="30"/>
      <c r="F79" s="30"/>
      <c r="G79" s="30"/>
      <c r="H79" s="30"/>
      <c r="I79" s="36" t="str">
        <f t="shared" si="13"/>
        <v/>
      </c>
      <c r="J79" s="30"/>
      <c r="K79" s="30"/>
      <c r="L79" s="36" t="str">
        <f t="shared" si="9"/>
        <v/>
      </c>
      <c r="M79" s="37" t="str">
        <f t="shared" si="10"/>
        <v/>
      </c>
      <c r="N79" s="37" t="str">
        <f t="shared" si="11"/>
        <v/>
      </c>
      <c r="O79" s="55"/>
      <c r="P79" s="55"/>
      <c r="Q79" s="55"/>
    </row>
    <row r="80" spans="1:17">
      <c r="A80" s="38" t="str">
        <f t="shared" si="12"/>
        <v/>
      </c>
      <c r="B80" s="38"/>
      <c r="C80" s="30"/>
      <c r="D80" s="30"/>
      <c r="E80" s="30"/>
      <c r="F80" s="30"/>
      <c r="G80" s="30"/>
      <c r="H80" s="30"/>
      <c r="I80" s="36" t="str">
        <f t="shared" si="13"/>
        <v/>
      </c>
      <c r="J80" s="30"/>
      <c r="K80" s="30"/>
      <c r="L80" s="36" t="str">
        <f t="shared" si="9"/>
        <v/>
      </c>
      <c r="M80" s="37" t="str">
        <f t="shared" si="10"/>
        <v/>
      </c>
      <c r="N80" s="37" t="str">
        <f t="shared" si="11"/>
        <v/>
      </c>
      <c r="O80" s="55"/>
      <c r="P80" s="55"/>
      <c r="Q80" s="55"/>
    </row>
    <row r="81" spans="1:17">
      <c r="A81" s="38" t="str">
        <f t="shared" si="12"/>
        <v/>
      </c>
      <c r="B81" s="38"/>
      <c r="C81" s="30"/>
      <c r="D81" s="30"/>
      <c r="E81" s="30"/>
      <c r="F81" s="30"/>
      <c r="G81" s="30"/>
      <c r="H81" s="30"/>
      <c r="I81" s="36" t="str">
        <f t="shared" si="13"/>
        <v/>
      </c>
      <c r="J81" s="30"/>
      <c r="K81" s="30"/>
      <c r="L81" s="36" t="str">
        <f t="shared" si="9"/>
        <v/>
      </c>
      <c r="M81" s="37" t="str">
        <f t="shared" si="10"/>
        <v/>
      </c>
      <c r="N81" s="37" t="str">
        <f t="shared" si="11"/>
        <v/>
      </c>
      <c r="O81" s="55"/>
      <c r="P81" s="55"/>
      <c r="Q81" s="55"/>
    </row>
    <row r="82" spans="1:17">
      <c r="A82" s="38" t="str">
        <f t="shared" si="12"/>
        <v/>
      </c>
      <c r="B82" s="38"/>
      <c r="C82" s="30"/>
      <c r="D82" s="30"/>
      <c r="E82" s="30"/>
      <c r="F82" s="30"/>
      <c r="G82" s="30"/>
      <c r="H82" s="30"/>
      <c r="I82" s="36" t="str">
        <f t="shared" si="13"/>
        <v/>
      </c>
      <c r="J82" s="30"/>
      <c r="K82" s="30"/>
      <c r="L82" s="36" t="str">
        <f t="shared" si="9"/>
        <v/>
      </c>
      <c r="M82" s="37" t="str">
        <f t="shared" si="10"/>
        <v/>
      </c>
      <c r="N82" s="37" t="str">
        <f t="shared" si="11"/>
        <v/>
      </c>
      <c r="O82" s="55"/>
      <c r="P82" s="55"/>
      <c r="Q82" s="55"/>
    </row>
    <row r="83" spans="1:17">
      <c r="A83" s="38" t="str">
        <f t="shared" si="12"/>
        <v/>
      </c>
      <c r="B83" s="38"/>
      <c r="C83" s="30"/>
      <c r="D83" s="30"/>
      <c r="E83" s="30"/>
      <c r="F83" s="30"/>
      <c r="G83" s="30"/>
      <c r="H83" s="30"/>
      <c r="I83" s="36" t="str">
        <f t="shared" si="13"/>
        <v/>
      </c>
      <c r="J83" s="30"/>
      <c r="K83" s="30"/>
      <c r="L83" s="36" t="str">
        <f t="shared" si="9"/>
        <v/>
      </c>
      <c r="M83" s="37" t="str">
        <f t="shared" si="10"/>
        <v/>
      </c>
      <c r="N83" s="37" t="str">
        <f t="shared" si="11"/>
        <v/>
      </c>
      <c r="O83" s="55"/>
      <c r="P83" s="55"/>
      <c r="Q83" s="55"/>
    </row>
    <row r="84" spans="1:17">
      <c r="A84" s="38" t="str">
        <f t="shared" si="12"/>
        <v/>
      </c>
      <c r="B84" s="38"/>
      <c r="C84" s="30"/>
      <c r="D84" s="30"/>
      <c r="E84" s="30"/>
      <c r="F84" s="30"/>
      <c r="G84" s="30"/>
      <c r="H84" s="30"/>
      <c r="I84" s="36" t="str">
        <f t="shared" si="13"/>
        <v/>
      </c>
      <c r="J84" s="30"/>
      <c r="K84" s="30"/>
      <c r="L84" s="36" t="str">
        <f t="shared" si="9"/>
        <v/>
      </c>
      <c r="M84" s="37" t="str">
        <f t="shared" si="10"/>
        <v/>
      </c>
      <c r="N84" s="37" t="str">
        <f t="shared" si="11"/>
        <v/>
      </c>
      <c r="O84" s="55"/>
      <c r="P84" s="55"/>
      <c r="Q84" s="55"/>
    </row>
    <row r="85" spans="1:17">
      <c r="A85" s="38" t="str">
        <f t="shared" si="12"/>
        <v/>
      </c>
      <c r="B85" s="38"/>
      <c r="C85" s="30"/>
      <c r="D85" s="30"/>
      <c r="E85" s="30"/>
      <c r="F85" s="30"/>
      <c r="G85" s="30"/>
      <c r="H85" s="30"/>
      <c r="I85" s="36" t="str">
        <f t="shared" si="13"/>
        <v/>
      </c>
      <c r="J85" s="30"/>
      <c r="K85" s="30"/>
      <c r="L85" s="36" t="str">
        <f t="shared" si="9"/>
        <v/>
      </c>
      <c r="M85" s="37" t="str">
        <f t="shared" si="10"/>
        <v/>
      </c>
      <c r="N85" s="37" t="str">
        <f t="shared" si="11"/>
        <v/>
      </c>
      <c r="O85" s="55"/>
      <c r="P85" s="55"/>
      <c r="Q85" s="55"/>
    </row>
    <row r="86" spans="1:17">
      <c r="A86" s="38" t="str">
        <f t="shared" si="12"/>
        <v/>
      </c>
      <c r="B86" s="38"/>
      <c r="C86" s="30"/>
      <c r="D86" s="30"/>
      <c r="E86" s="30"/>
      <c r="F86" s="30"/>
      <c r="G86" s="30"/>
      <c r="H86" s="30"/>
      <c r="I86" s="36" t="str">
        <f t="shared" si="13"/>
        <v/>
      </c>
      <c r="J86" s="30"/>
      <c r="K86" s="30"/>
      <c r="L86" s="36" t="str">
        <f t="shared" si="9"/>
        <v/>
      </c>
      <c r="M86" s="37" t="str">
        <f t="shared" si="10"/>
        <v/>
      </c>
      <c r="N86" s="37" t="str">
        <f t="shared" si="11"/>
        <v/>
      </c>
      <c r="O86" s="55"/>
      <c r="P86" s="55"/>
      <c r="Q86" s="55"/>
    </row>
    <row r="87" spans="1:17">
      <c r="A87" s="38" t="str">
        <f t="shared" si="12"/>
        <v/>
      </c>
      <c r="B87" s="38"/>
      <c r="C87" s="30"/>
      <c r="D87" s="30"/>
      <c r="E87" s="30"/>
      <c r="F87" s="30"/>
      <c r="G87" s="30"/>
      <c r="H87" s="30"/>
      <c r="I87" s="36" t="str">
        <f t="shared" si="13"/>
        <v/>
      </c>
      <c r="J87" s="30"/>
      <c r="K87" s="30"/>
      <c r="L87" s="36" t="str">
        <f t="shared" si="9"/>
        <v/>
      </c>
      <c r="M87" s="37" t="str">
        <f t="shared" si="10"/>
        <v/>
      </c>
      <c r="N87" s="37" t="str">
        <f t="shared" si="11"/>
        <v/>
      </c>
      <c r="O87" s="55"/>
      <c r="P87" s="55"/>
      <c r="Q87" s="55"/>
    </row>
    <row r="88" spans="1:17">
      <c r="A88" s="38" t="str">
        <f t="shared" si="12"/>
        <v/>
      </c>
      <c r="B88" s="38"/>
      <c r="C88" s="30"/>
      <c r="D88" s="30"/>
      <c r="E88" s="30"/>
      <c r="F88" s="30"/>
      <c r="G88" s="30"/>
      <c r="H88" s="30"/>
      <c r="I88" s="36" t="str">
        <f t="shared" si="13"/>
        <v/>
      </c>
      <c r="J88" s="30"/>
      <c r="K88" s="30"/>
      <c r="L88" s="36" t="str">
        <f t="shared" si="9"/>
        <v/>
      </c>
      <c r="M88" s="37" t="str">
        <f t="shared" si="10"/>
        <v/>
      </c>
      <c r="N88" s="37" t="str">
        <f t="shared" si="11"/>
        <v/>
      </c>
      <c r="O88" s="55"/>
      <c r="P88" s="55"/>
      <c r="Q88" s="55"/>
    </row>
    <row r="89" spans="1:17">
      <c r="A89" s="38" t="str">
        <f t="shared" si="12"/>
        <v/>
      </c>
      <c r="B89" s="38"/>
      <c r="C89" s="30"/>
      <c r="D89" s="30"/>
      <c r="E89" s="30"/>
      <c r="F89" s="30"/>
      <c r="G89" s="30"/>
      <c r="H89" s="30"/>
      <c r="I89" s="36" t="str">
        <f t="shared" si="13"/>
        <v/>
      </c>
      <c r="J89" s="30"/>
      <c r="K89" s="30"/>
      <c r="L89" s="36" t="str">
        <f t="shared" si="9"/>
        <v/>
      </c>
      <c r="M89" s="37" t="str">
        <f t="shared" si="10"/>
        <v/>
      </c>
      <c r="N89" s="37" t="str">
        <f t="shared" si="11"/>
        <v/>
      </c>
      <c r="O89" s="55"/>
      <c r="P89" s="55"/>
      <c r="Q89" s="55"/>
    </row>
    <row r="90" spans="1:17">
      <c r="A90" s="38" t="str">
        <f t="shared" si="12"/>
        <v/>
      </c>
      <c r="B90" s="38"/>
      <c r="C90" s="30"/>
      <c r="D90" s="30"/>
      <c r="E90" s="30"/>
      <c r="F90" s="30"/>
      <c r="G90" s="30"/>
      <c r="H90" s="30"/>
      <c r="I90" s="36" t="str">
        <f t="shared" si="13"/>
        <v/>
      </c>
      <c r="J90" s="30"/>
      <c r="K90" s="30"/>
      <c r="L90" s="36" t="str">
        <f t="shared" si="9"/>
        <v/>
      </c>
      <c r="M90" s="37" t="str">
        <f t="shared" si="10"/>
        <v/>
      </c>
      <c r="N90" s="37" t="str">
        <f t="shared" si="11"/>
        <v/>
      </c>
      <c r="O90" s="55"/>
      <c r="P90" s="55"/>
      <c r="Q90" s="55"/>
    </row>
    <row r="91" spans="1:17">
      <c r="A91" s="38" t="str">
        <f t="shared" si="12"/>
        <v/>
      </c>
      <c r="B91" s="38"/>
      <c r="C91" s="30"/>
      <c r="D91" s="30"/>
      <c r="E91" s="30"/>
      <c r="F91" s="30"/>
      <c r="G91" s="30"/>
      <c r="H91" s="30"/>
      <c r="I91" s="36" t="str">
        <f t="shared" si="13"/>
        <v/>
      </c>
      <c r="J91" s="30"/>
      <c r="K91" s="30"/>
      <c r="L91" s="36" t="str">
        <f t="shared" si="9"/>
        <v/>
      </c>
      <c r="M91" s="37" t="str">
        <f t="shared" si="10"/>
        <v/>
      </c>
      <c r="N91" s="37" t="str">
        <f t="shared" si="11"/>
        <v/>
      </c>
      <c r="O91" s="55"/>
      <c r="P91" s="55"/>
      <c r="Q91" s="55"/>
    </row>
    <row r="92" spans="1:17">
      <c r="A92" s="38" t="str">
        <f t="shared" si="12"/>
        <v/>
      </c>
      <c r="B92" s="38"/>
      <c r="C92" s="30"/>
      <c r="D92" s="30"/>
      <c r="E92" s="30"/>
      <c r="F92" s="30"/>
      <c r="G92" s="30"/>
      <c r="H92" s="30"/>
      <c r="I92" s="36" t="str">
        <f t="shared" si="13"/>
        <v/>
      </c>
      <c r="J92" s="30"/>
      <c r="K92" s="30"/>
      <c r="L92" s="36" t="str">
        <f t="shared" si="9"/>
        <v/>
      </c>
      <c r="M92" s="37" t="str">
        <f t="shared" si="10"/>
        <v/>
      </c>
      <c r="N92" s="37" t="str">
        <f t="shared" si="11"/>
        <v/>
      </c>
      <c r="O92" s="55"/>
      <c r="P92" s="55"/>
      <c r="Q92" s="55"/>
    </row>
    <row r="93" spans="1:17">
      <c r="A93" s="38" t="str">
        <f t="shared" si="12"/>
        <v/>
      </c>
      <c r="B93" s="38"/>
      <c r="C93" s="30"/>
      <c r="D93" s="30"/>
      <c r="E93" s="30"/>
      <c r="F93" s="30"/>
      <c r="G93" s="30"/>
      <c r="H93" s="30"/>
      <c r="I93" s="36" t="str">
        <f t="shared" si="13"/>
        <v/>
      </c>
      <c r="J93" s="30"/>
      <c r="K93" s="30"/>
      <c r="L93" s="36" t="str">
        <f t="shared" si="9"/>
        <v/>
      </c>
      <c r="M93" s="37" t="str">
        <f t="shared" si="10"/>
        <v/>
      </c>
      <c r="N93" s="37" t="str">
        <f t="shared" si="11"/>
        <v/>
      </c>
      <c r="O93" s="55"/>
      <c r="P93" s="55"/>
      <c r="Q93" s="55"/>
    </row>
    <row r="94" spans="1:17">
      <c r="A94" s="38" t="str">
        <f t="shared" si="12"/>
        <v/>
      </c>
      <c r="B94" s="38"/>
      <c r="C94" s="30"/>
      <c r="D94" s="30"/>
      <c r="E94" s="30"/>
      <c r="F94" s="30"/>
      <c r="G94" s="30"/>
      <c r="H94" s="30"/>
      <c r="I94" s="36" t="str">
        <f t="shared" si="13"/>
        <v/>
      </c>
      <c r="J94" s="30"/>
      <c r="K94" s="30"/>
      <c r="L94" s="36" t="str">
        <f t="shared" si="9"/>
        <v/>
      </c>
      <c r="M94" s="37" t="str">
        <f t="shared" si="10"/>
        <v/>
      </c>
      <c r="N94" s="37" t="str">
        <f t="shared" si="11"/>
        <v/>
      </c>
      <c r="O94" s="55"/>
      <c r="P94" s="55"/>
      <c r="Q94" s="55"/>
    </row>
    <row r="95" spans="1:17">
      <c r="A95" s="38" t="str">
        <f t="shared" si="12"/>
        <v/>
      </c>
      <c r="B95" s="38"/>
      <c r="C95" s="30"/>
      <c r="D95" s="30"/>
      <c r="E95" s="30"/>
      <c r="F95" s="30"/>
      <c r="G95" s="30"/>
      <c r="H95" s="30"/>
      <c r="I95" s="36" t="str">
        <f t="shared" si="13"/>
        <v/>
      </c>
      <c r="J95" s="30"/>
      <c r="K95" s="30"/>
      <c r="L95" s="36" t="str">
        <f t="shared" si="9"/>
        <v/>
      </c>
      <c r="M95" s="37" t="str">
        <f t="shared" si="10"/>
        <v/>
      </c>
      <c r="N95" s="37" t="str">
        <f t="shared" si="11"/>
        <v/>
      </c>
      <c r="O95" s="55"/>
      <c r="P95" s="55"/>
      <c r="Q95" s="55"/>
    </row>
    <row r="96" spans="1:17">
      <c r="A96" s="38" t="str">
        <f t="shared" si="12"/>
        <v/>
      </c>
      <c r="B96" s="38"/>
      <c r="C96" s="30"/>
      <c r="D96" s="30"/>
      <c r="E96" s="30"/>
      <c r="F96" s="30"/>
      <c r="G96" s="30"/>
      <c r="H96" s="30"/>
      <c r="I96" s="36" t="str">
        <f t="shared" si="13"/>
        <v/>
      </c>
      <c r="J96" s="30"/>
      <c r="K96" s="30"/>
      <c r="L96" s="36" t="str">
        <f t="shared" si="9"/>
        <v/>
      </c>
      <c r="M96" s="37" t="str">
        <f t="shared" si="10"/>
        <v/>
      </c>
      <c r="N96" s="37" t="str">
        <f t="shared" si="11"/>
        <v/>
      </c>
      <c r="O96" s="55"/>
      <c r="P96" s="55"/>
      <c r="Q96" s="55"/>
    </row>
    <row r="97" spans="1:17">
      <c r="A97" s="38" t="str">
        <f t="shared" si="12"/>
        <v/>
      </c>
      <c r="B97" s="38"/>
      <c r="C97" s="30"/>
      <c r="D97" s="30"/>
      <c r="E97" s="30"/>
      <c r="F97" s="30"/>
      <c r="G97" s="30"/>
      <c r="H97" s="30"/>
      <c r="I97" s="36" t="str">
        <f t="shared" si="13"/>
        <v/>
      </c>
      <c r="J97" s="30"/>
      <c r="K97" s="30"/>
      <c r="L97" s="36" t="str">
        <f t="shared" si="9"/>
        <v/>
      </c>
      <c r="M97" s="37" t="str">
        <f t="shared" si="10"/>
        <v/>
      </c>
      <c r="N97" s="37" t="str">
        <f t="shared" si="11"/>
        <v/>
      </c>
      <c r="O97" s="55"/>
      <c r="P97" s="55"/>
      <c r="Q97" s="55"/>
    </row>
    <row r="98" spans="1:17">
      <c r="A98" s="38" t="str">
        <f t="shared" si="12"/>
        <v/>
      </c>
      <c r="B98" s="38"/>
      <c r="C98" s="30"/>
      <c r="D98" s="30"/>
      <c r="E98" s="30"/>
      <c r="F98" s="30"/>
      <c r="G98" s="30"/>
      <c r="H98" s="30"/>
      <c r="I98" s="36" t="str">
        <f t="shared" si="13"/>
        <v/>
      </c>
      <c r="J98" s="30"/>
      <c r="K98" s="30"/>
      <c r="L98" s="36" t="str">
        <f t="shared" si="9"/>
        <v/>
      </c>
      <c r="M98" s="37" t="str">
        <f t="shared" si="10"/>
        <v/>
      </c>
      <c r="N98" s="37" t="str">
        <f t="shared" si="11"/>
        <v/>
      </c>
      <c r="O98" s="55"/>
      <c r="P98" s="55"/>
      <c r="Q98" s="55"/>
    </row>
    <row r="99" spans="1:17">
      <c r="A99" s="38" t="str">
        <f t="shared" si="12"/>
        <v/>
      </c>
      <c r="B99" s="38"/>
      <c r="C99" s="30"/>
      <c r="D99" s="30"/>
      <c r="E99" s="30"/>
      <c r="F99" s="30"/>
      <c r="G99" s="30"/>
      <c r="H99" s="30"/>
      <c r="I99" s="36" t="str">
        <f t="shared" si="13"/>
        <v/>
      </c>
      <c r="J99" s="30"/>
      <c r="K99" s="30"/>
      <c r="L99" s="36" t="str">
        <f t="shared" si="9"/>
        <v/>
      </c>
      <c r="M99" s="37" t="str">
        <f t="shared" si="10"/>
        <v/>
      </c>
      <c r="N99" s="37" t="str">
        <f t="shared" si="11"/>
        <v/>
      </c>
      <c r="O99" s="55"/>
      <c r="P99" s="55"/>
      <c r="Q99" s="55"/>
    </row>
    <row r="100" spans="1:17">
      <c r="A100" s="38" t="str">
        <f t="shared" si="12"/>
        <v/>
      </c>
      <c r="B100" s="38"/>
      <c r="C100" s="30"/>
      <c r="D100" s="30"/>
      <c r="E100" s="30"/>
      <c r="F100" s="30"/>
      <c r="G100" s="30"/>
      <c r="H100" s="30"/>
      <c r="I100" s="36" t="str">
        <f t="shared" si="13"/>
        <v/>
      </c>
      <c r="J100" s="30"/>
      <c r="K100" s="30"/>
      <c r="L100" s="36" t="str">
        <f t="shared" si="9"/>
        <v/>
      </c>
      <c r="M100" s="37" t="str">
        <f t="shared" si="10"/>
        <v/>
      </c>
      <c r="N100" s="37" t="str">
        <f t="shared" si="11"/>
        <v/>
      </c>
      <c r="O100" s="55"/>
      <c r="P100" s="55"/>
      <c r="Q100" s="55"/>
    </row>
    <row r="101" spans="1:17">
      <c r="A101" s="38" t="str">
        <f t="shared" si="12"/>
        <v/>
      </c>
      <c r="B101" s="38"/>
      <c r="C101" s="30"/>
      <c r="D101" s="30"/>
      <c r="E101" s="30"/>
      <c r="F101" s="30"/>
      <c r="G101" s="30"/>
      <c r="H101" s="30"/>
      <c r="I101" s="36" t="str">
        <f t="shared" si="13"/>
        <v/>
      </c>
      <c r="J101" s="30"/>
      <c r="K101" s="30"/>
      <c r="L101" s="36" t="str">
        <f t="shared" si="9"/>
        <v/>
      </c>
      <c r="M101" s="37" t="str">
        <f t="shared" si="10"/>
        <v/>
      </c>
      <c r="N101" s="37" t="str">
        <f t="shared" si="11"/>
        <v/>
      </c>
      <c r="O101" s="55"/>
      <c r="P101" s="55"/>
      <c r="Q101" s="55"/>
    </row>
    <row r="102" spans="1:17">
      <c r="A102" s="38" t="str">
        <f t="shared" si="12"/>
        <v/>
      </c>
      <c r="B102" s="38"/>
      <c r="C102" s="30"/>
      <c r="D102" s="30"/>
      <c r="E102" s="30"/>
      <c r="F102" s="30"/>
      <c r="G102" s="30"/>
      <c r="H102" s="30"/>
      <c r="I102" s="36" t="str">
        <f t="shared" si="13"/>
        <v/>
      </c>
      <c r="J102" s="30"/>
      <c r="K102" s="30"/>
      <c r="L102" s="36" t="str">
        <f t="shared" si="9"/>
        <v/>
      </c>
      <c r="M102" s="37" t="str">
        <f t="shared" si="10"/>
        <v/>
      </c>
      <c r="N102" s="37" t="str">
        <f t="shared" si="11"/>
        <v/>
      </c>
      <c r="O102" s="55"/>
      <c r="P102" s="55"/>
      <c r="Q102" s="55"/>
    </row>
    <row r="103" spans="1:17">
      <c r="A103" s="38" t="str">
        <f t="shared" si="12"/>
        <v/>
      </c>
      <c r="B103" s="38"/>
      <c r="C103" s="30"/>
      <c r="D103" s="30"/>
      <c r="E103" s="30"/>
      <c r="F103" s="30"/>
      <c r="G103" s="30"/>
      <c r="H103" s="30"/>
      <c r="I103" s="36" t="str">
        <f t="shared" si="13"/>
        <v/>
      </c>
      <c r="J103" s="30"/>
      <c r="K103" s="30"/>
      <c r="L103" s="36" t="str">
        <f t="shared" si="9"/>
        <v/>
      </c>
      <c r="M103" s="37" t="str">
        <f t="shared" si="10"/>
        <v/>
      </c>
      <c r="N103" s="37" t="str">
        <f t="shared" si="11"/>
        <v/>
      </c>
      <c r="O103" s="55"/>
      <c r="P103" s="55"/>
      <c r="Q103" s="55"/>
    </row>
    <row r="104" spans="1:17">
      <c r="A104" s="38" t="str">
        <f t="shared" si="12"/>
        <v/>
      </c>
      <c r="B104" s="38"/>
      <c r="C104" s="30"/>
      <c r="D104" s="30"/>
      <c r="E104" s="30"/>
      <c r="F104" s="30"/>
      <c r="G104" s="30"/>
      <c r="H104" s="30"/>
      <c r="I104" s="36" t="str">
        <f t="shared" si="13"/>
        <v/>
      </c>
      <c r="J104" s="30"/>
      <c r="K104" s="30"/>
      <c r="L104" s="36" t="str">
        <f t="shared" si="9"/>
        <v/>
      </c>
      <c r="M104" s="37" t="str">
        <f t="shared" si="10"/>
        <v/>
      </c>
      <c r="N104" s="37" t="str">
        <f t="shared" si="11"/>
        <v/>
      </c>
      <c r="O104" s="55"/>
      <c r="P104" s="55"/>
      <c r="Q104" s="55"/>
    </row>
    <row r="105" spans="1:17">
      <c r="A105" s="38" t="str">
        <f t="shared" si="12"/>
        <v/>
      </c>
      <c r="B105" s="38"/>
      <c r="C105" s="30"/>
      <c r="D105" s="30"/>
      <c r="E105" s="30"/>
      <c r="F105" s="30"/>
      <c r="G105" s="30"/>
      <c r="H105" s="30"/>
      <c r="I105" s="36" t="str">
        <f t="shared" si="13"/>
        <v/>
      </c>
      <c r="J105" s="30"/>
      <c r="K105" s="30"/>
      <c r="L105" s="36" t="str">
        <f t="shared" si="9"/>
        <v/>
      </c>
      <c r="M105" s="37" t="str">
        <f t="shared" si="10"/>
        <v/>
      </c>
      <c r="N105" s="37" t="str">
        <f t="shared" si="11"/>
        <v/>
      </c>
      <c r="O105" s="55"/>
      <c r="P105" s="55"/>
      <c r="Q105" s="55"/>
    </row>
    <row r="106" spans="1:17">
      <c r="A106" s="38" t="str">
        <f t="shared" si="12"/>
        <v/>
      </c>
      <c r="B106" s="38"/>
      <c r="C106" s="30"/>
      <c r="D106" s="30"/>
      <c r="E106" s="30"/>
      <c r="F106" s="30"/>
      <c r="G106" s="30"/>
      <c r="H106" s="30"/>
      <c r="I106" s="36" t="str">
        <f t="shared" si="13"/>
        <v/>
      </c>
      <c r="J106" s="30"/>
      <c r="K106" s="30"/>
      <c r="L106" s="36" t="str">
        <f t="shared" si="9"/>
        <v/>
      </c>
      <c r="M106" s="37" t="str">
        <f t="shared" si="10"/>
        <v/>
      </c>
      <c r="N106" s="37" t="str">
        <f t="shared" si="11"/>
        <v/>
      </c>
      <c r="O106" s="55"/>
      <c r="P106" s="55"/>
      <c r="Q106" s="55"/>
    </row>
    <row r="107" spans="1:17">
      <c r="A107" s="38" t="str">
        <f t="shared" si="12"/>
        <v/>
      </c>
      <c r="B107" s="38"/>
      <c r="C107" s="30"/>
      <c r="D107" s="30"/>
      <c r="E107" s="30"/>
      <c r="F107" s="30"/>
      <c r="G107" s="30"/>
      <c r="H107" s="30"/>
      <c r="I107" s="36" t="str">
        <f t="shared" si="13"/>
        <v/>
      </c>
      <c r="J107" s="30"/>
      <c r="K107" s="30"/>
      <c r="L107" s="36" t="str">
        <f t="shared" si="9"/>
        <v/>
      </c>
      <c r="M107" s="37" t="str">
        <f t="shared" si="10"/>
        <v/>
      </c>
      <c r="N107" s="37" t="str">
        <f t="shared" si="11"/>
        <v/>
      </c>
      <c r="O107" s="55"/>
      <c r="P107" s="55"/>
      <c r="Q107" s="55"/>
    </row>
    <row r="108" spans="1:17">
      <c r="A108" s="38" t="str">
        <f t="shared" si="12"/>
        <v/>
      </c>
      <c r="B108" s="38"/>
      <c r="C108" s="30"/>
      <c r="D108" s="30"/>
      <c r="E108" s="30"/>
      <c r="F108" s="30"/>
      <c r="G108" s="30"/>
      <c r="H108" s="30"/>
      <c r="I108" s="36" t="str">
        <f t="shared" si="13"/>
        <v/>
      </c>
      <c r="J108" s="30"/>
      <c r="K108" s="30"/>
      <c r="L108" s="36" t="str">
        <f t="shared" si="9"/>
        <v/>
      </c>
      <c r="M108" s="37" t="str">
        <f t="shared" si="10"/>
        <v/>
      </c>
      <c r="N108" s="37" t="str">
        <f t="shared" si="11"/>
        <v/>
      </c>
      <c r="O108" s="55"/>
      <c r="P108" s="55"/>
      <c r="Q108" s="55"/>
    </row>
    <row r="109" spans="1:17">
      <c r="A109" s="38" t="str">
        <f t="shared" si="12"/>
        <v/>
      </c>
      <c r="B109" s="38"/>
      <c r="C109" s="30"/>
      <c r="D109" s="30"/>
      <c r="E109" s="30"/>
      <c r="F109" s="30"/>
      <c r="G109" s="30"/>
      <c r="H109" s="30"/>
      <c r="I109" s="36" t="str">
        <f t="shared" si="13"/>
        <v/>
      </c>
      <c r="J109" s="30"/>
      <c r="K109" s="30"/>
      <c r="L109" s="36" t="str">
        <f t="shared" si="9"/>
        <v/>
      </c>
      <c r="M109" s="37" t="str">
        <f t="shared" si="10"/>
        <v/>
      </c>
      <c r="N109" s="37" t="str">
        <f t="shared" si="11"/>
        <v/>
      </c>
      <c r="O109" s="55"/>
      <c r="P109" s="55"/>
      <c r="Q109" s="55"/>
    </row>
    <row r="110" spans="1:17">
      <c r="A110" s="38" t="str">
        <f t="shared" si="12"/>
        <v/>
      </c>
      <c r="B110" s="38"/>
      <c r="C110" s="30"/>
      <c r="D110" s="30"/>
      <c r="E110" s="30"/>
      <c r="F110" s="30"/>
      <c r="G110" s="30"/>
      <c r="H110" s="30"/>
      <c r="I110" s="36" t="str">
        <f t="shared" si="13"/>
        <v/>
      </c>
      <c r="J110" s="30"/>
      <c r="K110" s="30"/>
      <c r="L110" s="36" t="str">
        <f t="shared" si="9"/>
        <v/>
      </c>
      <c r="M110" s="37" t="str">
        <f t="shared" si="10"/>
        <v/>
      </c>
      <c r="N110" s="37" t="str">
        <f t="shared" si="11"/>
        <v/>
      </c>
      <c r="O110" s="55"/>
      <c r="P110" s="55"/>
      <c r="Q110" s="55"/>
    </row>
    <row r="111" spans="1:17">
      <c r="A111" s="38" t="str">
        <f t="shared" si="12"/>
        <v/>
      </c>
      <c r="B111" s="38"/>
      <c r="C111" s="30"/>
      <c r="D111" s="30"/>
      <c r="E111" s="30"/>
      <c r="F111" s="30"/>
      <c r="G111" s="30"/>
      <c r="H111" s="30"/>
      <c r="I111" s="36" t="str">
        <f t="shared" si="13"/>
        <v/>
      </c>
      <c r="J111" s="30"/>
      <c r="K111" s="30"/>
      <c r="L111" s="36" t="str">
        <f t="shared" si="9"/>
        <v/>
      </c>
      <c r="M111" s="37" t="str">
        <f t="shared" si="10"/>
        <v/>
      </c>
      <c r="N111" s="37" t="str">
        <f t="shared" si="11"/>
        <v/>
      </c>
      <c r="O111" s="55"/>
      <c r="P111" s="55"/>
      <c r="Q111" s="55"/>
    </row>
    <row r="112" spans="1:17">
      <c r="A112" s="38" t="str">
        <f t="shared" si="12"/>
        <v/>
      </c>
      <c r="B112" s="38"/>
      <c r="C112" s="30"/>
      <c r="D112" s="30"/>
      <c r="E112" s="30"/>
      <c r="F112" s="30"/>
      <c r="G112" s="30"/>
      <c r="H112" s="30"/>
      <c r="I112" s="36" t="str">
        <f t="shared" si="13"/>
        <v/>
      </c>
      <c r="J112" s="30"/>
      <c r="K112" s="30"/>
      <c r="L112" s="36" t="str">
        <f t="shared" si="9"/>
        <v/>
      </c>
      <c r="M112" s="37" t="str">
        <f t="shared" si="10"/>
        <v/>
      </c>
      <c r="N112" s="37" t="str">
        <f t="shared" si="11"/>
        <v/>
      </c>
      <c r="O112" s="55"/>
      <c r="P112" s="55"/>
      <c r="Q112" s="55"/>
    </row>
    <row r="113" spans="1:17">
      <c r="A113" s="38" t="str">
        <f t="shared" si="12"/>
        <v/>
      </c>
      <c r="B113" s="38"/>
      <c r="C113" s="30"/>
      <c r="D113" s="30"/>
      <c r="E113" s="30"/>
      <c r="F113" s="30"/>
      <c r="G113" s="30"/>
      <c r="H113" s="30"/>
      <c r="I113" s="36" t="str">
        <f t="shared" si="13"/>
        <v/>
      </c>
      <c r="J113" s="30"/>
      <c r="K113" s="30"/>
      <c r="L113" s="36" t="str">
        <f t="shared" si="9"/>
        <v/>
      </c>
      <c r="M113" s="37" t="str">
        <f t="shared" si="10"/>
        <v/>
      </c>
      <c r="N113" s="37" t="str">
        <f t="shared" si="11"/>
        <v/>
      </c>
      <c r="O113" s="55"/>
      <c r="P113" s="55"/>
      <c r="Q113" s="55"/>
    </row>
    <row r="114" spans="1:17">
      <c r="A114" s="38" t="str">
        <f t="shared" si="12"/>
        <v/>
      </c>
      <c r="B114" s="38"/>
      <c r="C114" s="30"/>
      <c r="D114" s="30"/>
      <c r="E114" s="30"/>
      <c r="F114" s="30"/>
      <c r="G114" s="30"/>
      <c r="H114" s="30"/>
      <c r="I114" s="36" t="str">
        <f t="shared" si="13"/>
        <v/>
      </c>
      <c r="J114" s="30"/>
      <c r="K114" s="30"/>
      <c r="L114" s="36" t="str">
        <f t="shared" si="9"/>
        <v/>
      </c>
      <c r="M114" s="37" t="str">
        <f t="shared" si="10"/>
        <v/>
      </c>
      <c r="N114" s="37" t="str">
        <f t="shared" si="11"/>
        <v/>
      </c>
      <c r="O114" s="55"/>
      <c r="P114" s="55"/>
      <c r="Q114" s="55"/>
    </row>
    <row r="115" spans="1:17">
      <c r="A115" s="38" t="str">
        <f t="shared" si="12"/>
        <v/>
      </c>
      <c r="B115" s="38"/>
      <c r="C115" s="30"/>
      <c r="D115" s="30"/>
      <c r="E115" s="30"/>
      <c r="F115" s="30"/>
      <c r="G115" s="30"/>
      <c r="H115" s="30"/>
      <c r="I115" s="36" t="str">
        <f t="shared" si="13"/>
        <v/>
      </c>
      <c r="J115" s="30"/>
      <c r="K115" s="30"/>
      <c r="L115" s="36" t="str">
        <f t="shared" si="9"/>
        <v/>
      </c>
      <c r="M115" s="37" t="str">
        <f t="shared" si="10"/>
        <v/>
      </c>
      <c r="N115" s="37" t="str">
        <f t="shared" si="11"/>
        <v/>
      </c>
      <c r="O115" s="55"/>
      <c r="P115" s="55"/>
      <c r="Q115" s="55"/>
    </row>
    <row r="116" spans="1:17">
      <c r="A116" s="38" t="str">
        <f t="shared" si="12"/>
        <v/>
      </c>
      <c r="B116" s="38"/>
      <c r="C116" s="30"/>
      <c r="D116" s="30"/>
      <c r="E116" s="30"/>
      <c r="F116" s="30"/>
      <c r="G116" s="30"/>
      <c r="H116" s="30"/>
      <c r="I116" s="36" t="str">
        <f t="shared" si="13"/>
        <v/>
      </c>
      <c r="J116" s="30"/>
      <c r="K116" s="30"/>
      <c r="L116" s="36" t="str">
        <f t="shared" si="9"/>
        <v/>
      </c>
      <c r="M116" s="37" t="str">
        <f t="shared" si="10"/>
        <v/>
      </c>
      <c r="N116" s="37" t="str">
        <f t="shared" si="11"/>
        <v/>
      </c>
      <c r="O116" s="55"/>
      <c r="P116" s="55"/>
      <c r="Q116" s="55"/>
    </row>
    <row r="117" spans="1:17">
      <c r="A117" s="38" t="str">
        <f t="shared" si="12"/>
        <v/>
      </c>
      <c r="B117" s="38"/>
      <c r="C117" s="30"/>
      <c r="D117" s="30"/>
      <c r="E117" s="30"/>
      <c r="F117" s="30"/>
      <c r="G117" s="30"/>
      <c r="H117" s="30"/>
      <c r="I117" s="36" t="str">
        <f t="shared" si="13"/>
        <v/>
      </c>
      <c r="J117" s="30"/>
      <c r="K117" s="30"/>
      <c r="L117" s="36" t="str">
        <f t="shared" si="9"/>
        <v/>
      </c>
      <c r="M117" s="37" t="str">
        <f t="shared" si="10"/>
        <v/>
      </c>
      <c r="N117" s="37" t="str">
        <f t="shared" si="11"/>
        <v/>
      </c>
      <c r="O117" s="55"/>
      <c r="P117" s="55"/>
      <c r="Q117" s="55"/>
    </row>
    <row r="118" spans="1:17">
      <c r="A118" s="38" t="str">
        <f t="shared" si="12"/>
        <v/>
      </c>
      <c r="B118" s="38"/>
      <c r="C118" s="30"/>
      <c r="D118" s="30"/>
      <c r="E118" s="30"/>
      <c r="F118" s="30"/>
      <c r="G118" s="30"/>
      <c r="H118" s="30"/>
      <c r="I118" s="36" t="str">
        <f t="shared" si="13"/>
        <v/>
      </c>
      <c r="J118" s="30"/>
      <c r="K118" s="30"/>
      <c r="L118" s="36" t="str">
        <f t="shared" si="9"/>
        <v/>
      </c>
      <c r="M118" s="37" t="str">
        <f t="shared" si="10"/>
        <v/>
      </c>
      <c r="N118" s="37" t="str">
        <f t="shared" si="11"/>
        <v/>
      </c>
      <c r="O118" s="55"/>
      <c r="P118" s="55"/>
      <c r="Q118" s="55"/>
    </row>
    <row r="119" spans="1:17">
      <c r="A119" s="38" t="str">
        <f t="shared" si="12"/>
        <v/>
      </c>
      <c r="B119" s="38"/>
      <c r="C119" s="30"/>
      <c r="D119" s="30"/>
      <c r="E119" s="30"/>
      <c r="F119" s="30"/>
      <c r="G119" s="30"/>
      <c r="H119" s="30"/>
      <c r="I119" s="36" t="str">
        <f t="shared" si="13"/>
        <v/>
      </c>
      <c r="J119" s="30"/>
      <c r="K119" s="30"/>
      <c r="L119" s="36" t="str">
        <f t="shared" si="9"/>
        <v/>
      </c>
      <c r="M119" s="37" t="str">
        <f t="shared" si="10"/>
        <v/>
      </c>
      <c r="N119" s="37" t="str">
        <f t="shared" si="11"/>
        <v/>
      </c>
      <c r="O119" s="55"/>
      <c r="P119" s="55"/>
      <c r="Q119" s="55"/>
    </row>
    <row r="120" spans="1:17">
      <c r="A120" s="38" t="str">
        <f t="shared" si="12"/>
        <v/>
      </c>
      <c r="B120" s="38"/>
      <c r="C120" s="30"/>
      <c r="D120" s="30"/>
      <c r="E120" s="30"/>
      <c r="F120" s="30"/>
      <c r="G120" s="30"/>
      <c r="H120" s="30"/>
      <c r="I120" s="36" t="str">
        <f t="shared" si="13"/>
        <v/>
      </c>
      <c r="J120" s="30"/>
      <c r="K120" s="30"/>
      <c r="L120" s="36" t="str">
        <f t="shared" si="9"/>
        <v/>
      </c>
      <c r="M120" s="37" t="str">
        <f t="shared" si="10"/>
        <v/>
      </c>
      <c r="N120" s="37" t="str">
        <f t="shared" si="11"/>
        <v/>
      </c>
      <c r="O120" s="55"/>
      <c r="P120" s="55"/>
      <c r="Q120" s="55"/>
    </row>
    <row r="121" spans="1:17">
      <c r="A121" s="38" t="str">
        <f t="shared" si="12"/>
        <v/>
      </c>
      <c r="B121" s="38"/>
      <c r="C121" s="30"/>
      <c r="D121" s="30"/>
      <c r="E121" s="30"/>
      <c r="F121" s="30"/>
      <c r="G121" s="30"/>
      <c r="H121" s="30"/>
      <c r="I121" s="36" t="str">
        <f t="shared" si="13"/>
        <v/>
      </c>
      <c r="J121" s="30"/>
      <c r="K121" s="30"/>
      <c r="L121" s="36" t="str">
        <f t="shared" si="9"/>
        <v/>
      </c>
      <c r="M121" s="37" t="str">
        <f t="shared" si="10"/>
        <v/>
      </c>
      <c r="N121" s="37" t="str">
        <f t="shared" si="11"/>
        <v/>
      </c>
      <c r="O121" s="55"/>
      <c r="P121" s="55"/>
      <c r="Q121" s="55"/>
    </row>
    <row r="122" spans="1:17">
      <c r="A122" s="38" t="str">
        <f t="shared" si="12"/>
        <v/>
      </c>
      <c r="B122" s="38"/>
      <c r="C122" s="30"/>
      <c r="D122" s="30"/>
      <c r="E122" s="30"/>
      <c r="F122" s="30"/>
      <c r="G122" s="30"/>
      <c r="H122" s="30"/>
      <c r="I122" s="36" t="str">
        <f t="shared" si="13"/>
        <v/>
      </c>
      <c r="J122" s="30"/>
      <c r="K122" s="30"/>
      <c r="L122" s="36" t="str">
        <f t="shared" si="9"/>
        <v/>
      </c>
      <c r="M122" s="37" t="str">
        <f t="shared" si="10"/>
        <v/>
      </c>
      <c r="N122" s="37" t="str">
        <f t="shared" si="11"/>
        <v/>
      </c>
      <c r="O122" s="55"/>
      <c r="P122" s="55"/>
      <c r="Q122" s="55"/>
    </row>
    <row r="123" spans="1:17">
      <c r="A123" s="38" t="str">
        <f t="shared" si="12"/>
        <v/>
      </c>
      <c r="B123" s="38"/>
      <c r="C123" s="30"/>
      <c r="D123" s="30"/>
      <c r="E123" s="30"/>
      <c r="F123" s="30"/>
      <c r="G123" s="30"/>
      <c r="H123" s="30"/>
      <c r="I123" s="36" t="str">
        <f t="shared" si="13"/>
        <v/>
      </c>
      <c r="J123" s="30"/>
      <c r="K123" s="30"/>
      <c r="L123" s="36" t="str">
        <f t="shared" si="9"/>
        <v/>
      </c>
      <c r="M123" s="37" t="str">
        <f t="shared" si="10"/>
        <v/>
      </c>
      <c r="N123" s="37" t="str">
        <f t="shared" si="11"/>
        <v/>
      </c>
      <c r="O123" s="55"/>
      <c r="P123" s="55"/>
      <c r="Q123" s="55"/>
    </row>
    <row r="124" spans="1:17">
      <c r="A124" s="38" t="str">
        <f t="shared" si="12"/>
        <v/>
      </c>
      <c r="B124" s="38"/>
      <c r="C124" s="30"/>
      <c r="D124" s="30"/>
      <c r="E124" s="30"/>
      <c r="F124" s="30"/>
      <c r="G124" s="30"/>
      <c r="H124" s="30"/>
      <c r="I124" s="36" t="str">
        <f t="shared" si="13"/>
        <v/>
      </c>
      <c r="J124" s="30"/>
      <c r="K124" s="30"/>
      <c r="L124" s="36" t="str">
        <f t="shared" si="9"/>
        <v/>
      </c>
      <c r="M124" s="37" t="str">
        <f t="shared" si="10"/>
        <v/>
      </c>
      <c r="N124" s="37" t="str">
        <f t="shared" si="11"/>
        <v/>
      </c>
      <c r="O124" s="55"/>
      <c r="P124" s="55"/>
      <c r="Q124" s="55"/>
    </row>
    <row r="125" spans="1:17">
      <c r="A125" s="38" t="str">
        <f t="shared" si="12"/>
        <v/>
      </c>
      <c r="B125" s="38"/>
      <c r="C125" s="30"/>
      <c r="D125" s="30"/>
      <c r="E125" s="30"/>
      <c r="F125" s="30"/>
      <c r="G125" s="30"/>
      <c r="H125" s="30"/>
      <c r="I125" s="36" t="str">
        <f t="shared" si="13"/>
        <v/>
      </c>
      <c r="J125" s="30"/>
      <c r="K125" s="30"/>
      <c r="L125" s="36" t="str">
        <f t="shared" si="9"/>
        <v/>
      </c>
      <c r="M125" s="37" t="str">
        <f t="shared" si="10"/>
        <v/>
      </c>
      <c r="N125" s="37" t="str">
        <f t="shared" si="11"/>
        <v/>
      </c>
      <c r="O125" s="55"/>
      <c r="P125" s="55"/>
      <c r="Q125" s="55"/>
    </row>
    <row r="126" spans="1:17">
      <c r="A126" s="38" t="str">
        <f t="shared" si="12"/>
        <v/>
      </c>
      <c r="B126" s="38"/>
      <c r="C126" s="30"/>
      <c r="D126" s="30"/>
      <c r="E126" s="30"/>
      <c r="F126" s="30"/>
      <c r="G126" s="30"/>
      <c r="H126" s="30"/>
      <c r="I126" s="36" t="str">
        <f t="shared" si="13"/>
        <v/>
      </c>
      <c r="J126" s="30"/>
      <c r="K126" s="30"/>
      <c r="L126" s="36" t="str">
        <f t="shared" si="9"/>
        <v/>
      </c>
      <c r="M126" s="37" t="str">
        <f t="shared" si="10"/>
        <v/>
      </c>
      <c r="N126" s="37" t="str">
        <f t="shared" si="11"/>
        <v/>
      </c>
      <c r="O126" s="55"/>
      <c r="P126" s="55"/>
      <c r="Q126" s="55"/>
    </row>
    <row r="127" spans="1:17">
      <c r="A127" s="38" t="str">
        <f t="shared" si="12"/>
        <v/>
      </c>
      <c r="B127" s="38"/>
      <c r="C127" s="30"/>
      <c r="D127" s="30"/>
      <c r="E127" s="30"/>
      <c r="F127" s="30"/>
      <c r="G127" s="30"/>
      <c r="H127" s="30"/>
      <c r="I127" s="36" t="str">
        <f t="shared" si="13"/>
        <v/>
      </c>
      <c r="J127" s="30"/>
      <c r="K127" s="30"/>
      <c r="L127" s="36" t="str">
        <f t="shared" si="9"/>
        <v/>
      </c>
      <c r="M127" s="37" t="str">
        <f t="shared" si="10"/>
        <v/>
      </c>
      <c r="N127" s="37" t="str">
        <f t="shared" si="11"/>
        <v/>
      </c>
      <c r="O127" s="55"/>
      <c r="P127" s="55"/>
      <c r="Q127" s="55"/>
    </row>
    <row r="128" spans="1:17">
      <c r="A128" s="38" t="str">
        <f t="shared" si="12"/>
        <v/>
      </c>
      <c r="B128" s="38"/>
      <c r="C128" s="30"/>
      <c r="D128" s="30"/>
      <c r="E128" s="30"/>
      <c r="F128" s="30"/>
      <c r="G128" s="30"/>
      <c r="H128" s="30"/>
      <c r="I128" s="36" t="str">
        <f t="shared" si="13"/>
        <v/>
      </c>
      <c r="J128" s="30"/>
      <c r="K128" s="30"/>
      <c r="L128" s="36" t="str">
        <f t="shared" si="9"/>
        <v/>
      </c>
      <c r="M128" s="37" t="str">
        <f t="shared" si="10"/>
        <v/>
      </c>
      <c r="N128" s="37" t="str">
        <f t="shared" si="11"/>
        <v/>
      </c>
      <c r="O128" s="55"/>
      <c r="P128" s="55"/>
      <c r="Q128" s="55"/>
    </row>
    <row r="129" spans="1:17">
      <c r="A129" s="38" t="str">
        <f t="shared" si="12"/>
        <v/>
      </c>
      <c r="B129" s="38"/>
      <c r="C129" s="30"/>
      <c r="D129" s="30"/>
      <c r="E129" s="30"/>
      <c r="F129" s="30"/>
      <c r="G129" s="30"/>
      <c r="H129" s="30"/>
      <c r="I129" s="36" t="str">
        <f t="shared" si="13"/>
        <v/>
      </c>
      <c r="J129" s="30"/>
      <c r="K129" s="30"/>
      <c r="L129" s="36" t="str">
        <f t="shared" si="9"/>
        <v/>
      </c>
      <c r="M129" s="37" t="str">
        <f t="shared" si="10"/>
        <v/>
      </c>
      <c r="N129" s="37" t="str">
        <f t="shared" si="11"/>
        <v/>
      </c>
      <c r="O129" s="55"/>
      <c r="P129" s="55"/>
      <c r="Q129" s="55"/>
    </row>
    <row r="130" spans="1:17">
      <c r="A130" s="38" t="str">
        <f t="shared" si="12"/>
        <v/>
      </c>
      <c r="B130" s="38"/>
      <c r="C130" s="30"/>
      <c r="D130" s="30"/>
      <c r="E130" s="30"/>
      <c r="F130" s="30"/>
      <c r="G130" s="30"/>
      <c r="H130" s="30"/>
      <c r="I130" s="36" t="str">
        <f t="shared" si="13"/>
        <v/>
      </c>
      <c r="J130" s="30"/>
      <c r="K130" s="30"/>
      <c r="L130" s="36" t="str">
        <f t="shared" si="9"/>
        <v/>
      </c>
      <c r="M130" s="37" t="str">
        <f t="shared" si="10"/>
        <v/>
      </c>
      <c r="N130" s="37" t="str">
        <f t="shared" si="11"/>
        <v/>
      </c>
      <c r="O130" s="55"/>
      <c r="P130" s="55"/>
      <c r="Q130" s="55"/>
    </row>
    <row r="131" spans="1:17">
      <c r="A131" s="38" t="str">
        <f t="shared" si="12"/>
        <v/>
      </c>
      <c r="B131" s="38"/>
      <c r="C131" s="30"/>
      <c r="D131" s="30"/>
      <c r="E131" s="30"/>
      <c r="F131" s="30"/>
      <c r="G131" s="30"/>
      <c r="H131" s="30"/>
      <c r="I131" s="36" t="str">
        <f t="shared" si="13"/>
        <v/>
      </c>
      <c r="J131" s="30"/>
      <c r="K131" s="30"/>
      <c r="L131" s="36" t="str">
        <f t="shared" ref="L131:L194" si="14">IF(K131&lt;&gt;"",K131/J131,"")</f>
        <v/>
      </c>
      <c r="M131" s="37" t="str">
        <f t="shared" ref="M131:M194" si="15">IF(L131&lt;&gt;"",MAX(I131,L131),"")</f>
        <v/>
      </c>
      <c r="N131" s="37" t="str">
        <f t="shared" ref="N131:N194" si="16">IF($M131&lt;&gt;"",IF($M131&lt;50%,0%,IF($M131&lt;80%,$M131,100%)),"")</f>
        <v/>
      </c>
      <c r="O131" s="55"/>
      <c r="P131" s="55"/>
      <c r="Q131" s="55"/>
    </row>
    <row r="132" spans="1:17">
      <c r="A132" s="38" t="str">
        <f t="shared" ref="A132:A195" si="17">IF(C132&lt;&gt;"",A131+1,"")</f>
        <v/>
      </c>
      <c r="B132" s="38"/>
      <c r="C132" s="30"/>
      <c r="D132" s="30"/>
      <c r="E132" s="30"/>
      <c r="F132" s="30"/>
      <c r="G132" s="30"/>
      <c r="H132" s="30"/>
      <c r="I132" s="36" t="str">
        <f t="shared" ref="I132:I195" si="18">IF(H132&lt;&gt;"",H132/G132,"")</f>
        <v/>
      </c>
      <c r="J132" s="30"/>
      <c r="K132" s="30"/>
      <c r="L132" s="36" t="str">
        <f t="shared" si="14"/>
        <v/>
      </c>
      <c r="M132" s="37" t="str">
        <f t="shared" si="15"/>
        <v/>
      </c>
      <c r="N132" s="37" t="str">
        <f t="shared" si="16"/>
        <v/>
      </c>
      <c r="O132" s="55"/>
      <c r="P132" s="55"/>
      <c r="Q132" s="55"/>
    </row>
    <row r="133" spans="1:17">
      <c r="A133" s="38" t="str">
        <f t="shared" si="17"/>
        <v/>
      </c>
      <c r="B133" s="38"/>
      <c r="C133" s="30"/>
      <c r="D133" s="30"/>
      <c r="E133" s="30"/>
      <c r="F133" s="30"/>
      <c r="G133" s="30"/>
      <c r="H133" s="30"/>
      <c r="I133" s="36" t="str">
        <f t="shared" si="18"/>
        <v/>
      </c>
      <c r="J133" s="30"/>
      <c r="K133" s="30"/>
      <c r="L133" s="36" t="str">
        <f t="shared" si="14"/>
        <v/>
      </c>
      <c r="M133" s="37" t="str">
        <f t="shared" si="15"/>
        <v/>
      </c>
      <c r="N133" s="37" t="str">
        <f t="shared" si="16"/>
        <v/>
      </c>
      <c r="O133" s="55"/>
      <c r="P133" s="55"/>
      <c r="Q133" s="55"/>
    </row>
    <row r="134" spans="1:17">
      <c r="A134" s="38" t="str">
        <f t="shared" si="17"/>
        <v/>
      </c>
      <c r="B134" s="38"/>
      <c r="C134" s="30"/>
      <c r="D134" s="30"/>
      <c r="E134" s="30"/>
      <c r="F134" s="30"/>
      <c r="G134" s="30"/>
      <c r="H134" s="30"/>
      <c r="I134" s="36" t="str">
        <f t="shared" si="18"/>
        <v/>
      </c>
      <c r="J134" s="30"/>
      <c r="K134" s="30"/>
      <c r="L134" s="36" t="str">
        <f t="shared" si="14"/>
        <v/>
      </c>
      <c r="M134" s="37" t="str">
        <f t="shared" si="15"/>
        <v/>
      </c>
      <c r="N134" s="37" t="str">
        <f t="shared" si="16"/>
        <v/>
      </c>
      <c r="O134" s="55"/>
      <c r="P134" s="55"/>
      <c r="Q134" s="55"/>
    </row>
    <row r="135" spans="1:17">
      <c r="A135" s="38" t="str">
        <f t="shared" si="17"/>
        <v/>
      </c>
      <c r="B135" s="38"/>
      <c r="C135" s="30"/>
      <c r="D135" s="30"/>
      <c r="E135" s="30"/>
      <c r="F135" s="30"/>
      <c r="G135" s="30"/>
      <c r="H135" s="30"/>
      <c r="I135" s="36" t="str">
        <f t="shared" si="18"/>
        <v/>
      </c>
      <c r="J135" s="30"/>
      <c r="K135" s="30"/>
      <c r="L135" s="36" t="str">
        <f t="shared" si="14"/>
        <v/>
      </c>
      <c r="M135" s="37" t="str">
        <f t="shared" si="15"/>
        <v/>
      </c>
      <c r="N135" s="37" t="str">
        <f t="shared" si="16"/>
        <v/>
      </c>
      <c r="O135" s="55"/>
      <c r="P135" s="55"/>
      <c r="Q135" s="55"/>
    </row>
    <row r="136" spans="1:17">
      <c r="A136" s="38" t="str">
        <f t="shared" si="17"/>
        <v/>
      </c>
      <c r="B136" s="38"/>
      <c r="C136" s="30"/>
      <c r="D136" s="30"/>
      <c r="E136" s="30"/>
      <c r="F136" s="30"/>
      <c r="G136" s="30"/>
      <c r="H136" s="30"/>
      <c r="I136" s="36" t="str">
        <f t="shared" si="18"/>
        <v/>
      </c>
      <c r="J136" s="30"/>
      <c r="K136" s="30"/>
      <c r="L136" s="36" t="str">
        <f t="shared" si="14"/>
        <v/>
      </c>
      <c r="M136" s="37" t="str">
        <f t="shared" si="15"/>
        <v/>
      </c>
      <c r="N136" s="37" t="str">
        <f t="shared" si="16"/>
        <v/>
      </c>
      <c r="O136" s="55"/>
      <c r="P136" s="55"/>
      <c r="Q136" s="55"/>
    </row>
    <row r="137" spans="1:17">
      <c r="A137" s="38" t="str">
        <f t="shared" si="17"/>
        <v/>
      </c>
      <c r="B137" s="38"/>
      <c r="C137" s="30"/>
      <c r="D137" s="30"/>
      <c r="E137" s="30"/>
      <c r="F137" s="30"/>
      <c r="G137" s="30"/>
      <c r="H137" s="30"/>
      <c r="I137" s="36" t="str">
        <f t="shared" si="18"/>
        <v/>
      </c>
      <c r="J137" s="30"/>
      <c r="K137" s="30"/>
      <c r="L137" s="36" t="str">
        <f t="shared" si="14"/>
        <v/>
      </c>
      <c r="M137" s="37" t="str">
        <f t="shared" si="15"/>
        <v/>
      </c>
      <c r="N137" s="37" t="str">
        <f t="shared" si="16"/>
        <v/>
      </c>
      <c r="O137" s="55"/>
      <c r="P137" s="55"/>
      <c r="Q137" s="55"/>
    </row>
    <row r="138" spans="1:17">
      <c r="A138" s="38" t="str">
        <f t="shared" si="17"/>
        <v/>
      </c>
      <c r="B138" s="38"/>
      <c r="C138" s="30"/>
      <c r="D138" s="30"/>
      <c r="E138" s="30"/>
      <c r="F138" s="30"/>
      <c r="G138" s="30"/>
      <c r="H138" s="30"/>
      <c r="I138" s="36" t="str">
        <f t="shared" si="18"/>
        <v/>
      </c>
      <c r="J138" s="30"/>
      <c r="K138" s="30"/>
      <c r="L138" s="36" t="str">
        <f t="shared" si="14"/>
        <v/>
      </c>
      <c r="M138" s="37" t="str">
        <f t="shared" si="15"/>
        <v/>
      </c>
      <c r="N138" s="37" t="str">
        <f t="shared" si="16"/>
        <v/>
      </c>
      <c r="O138" s="55"/>
      <c r="P138" s="55"/>
      <c r="Q138" s="55"/>
    </row>
    <row r="139" spans="1:17">
      <c r="A139" s="38" t="str">
        <f t="shared" si="17"/>
        <v/>
      </c>
      <c r="B139" s="38"/>
      <c r="C139" s="30"/>
      <c r="D139" s="30"/>
      <c r="E139" s="30"/>
      <c r="F139" s="30"/>
      <c r="G139" s="30"/>
      <c r="H139" s="30"/>
      <c r="I139" s="36" t="str">
        <f t="shared" si="18"/>
        <v/>
      </c>
      <c r="J139" s="30"/>
      <c r="K139" s="30"/>
      <c r="L139" s="36" t="str">
        <f t="shared" si="14"/>
        <v/>
      </c>
      <c r="M139" s="37" t="str">
        <f t="shared" si="15"/>
        <v/>
      </c>
      <c r="N139" s="37" t="str">
        <f t="shared" si="16"/>
        <v/>
      </c>
      <c r="O139" s="55"/>
      <c r="P139" s="55"/>
      <c r="Q139" s="55"/>
    </row>
    <row r="140" spans="1:17">
      <c r="A140" s="38" t="str">
        <f t="shared" si="17"/>
        <v/>
      </c>
      <c r="B140" s="38"/>
      <c r="C140" s="30"/>
      <c r="D140" s="30"/>
      <c r="E140" s="30"/>
      <c r="F140" s="30"/>
      <c r="G140" s="30"/>
      <c r="H140" s="30"/>
      <c r="I140" s="36" t="str">
        <f t="shared" si="18"/>
        <v/>
      </c>
      <c r="J140" s="30"/>
      <c r="K140" s="30"/>
      <c r="L140" s="36" t="str">
        <f t="shared" si="14"/>
        <v/>
      </c>
      <c r="M140" s="37" t="str">
        <f t="shared" si="15"/>
        <v/>
      </c>
      <c r="N140" s="37" t="str">
        <f t="shared" si="16"/>
        <v/>
      </c>
      <c r="O140" s="55"/>
      <c r="P140" s="55"/>
      <c r="Q140" s="55"/>
    </row>
    <row r="141" spans="1:17">
      <c r="A141" s="38" t="str">
        <f t="shared" si="17"/>
        <v/>
      </c>
      <c r="B141" s="38"/>
      <c r="C141" s="30"/>
      <c r="D141" s="30"/>
      <c r="E141" s="30"/>
      <c r="F141" s="30"/>
      <c r="G141" s="30"/>
      <c r="H141" s="30"/>
      <c r="I141" s="36" t="str">
        <f t="shared" si="18"/>
        <v/>
      </c>
      <c r="J141" s="30"/>
      <c r="K141" s="30"/>
      <c r="L141" s="36" t="str">
        <f t="shared" si="14"/>
        <v/>
      </c>
      <c r="M141" s="37" t="str">
        <f t="shared" si="15"/>
        <v/>
      </c>
      <c r="N141" s="37" t="str">
        <f t="shared" si="16"/>
        <v/>
      </c>
      <c r="O141" s="55"/>
      <c r="P141" s="55"/>
      <c r="Q141" s="55"/>
    </row>
    <row r="142" spans="1:17">
      <c r="A142" s="38" t="str">
        <f t="shared" si="17"/>
        <v/>
      </c>
      <c r="B142" s="38"/>
      <c r="C142" s="30"/>
      <c r="D142" s="30"/>
      <c r="E142" s="30"/>
      <c r="F142" s="30"/>
      <c r="G142" s="30"/>
      <c r="H142" s="30"/>
      <c r="I142" s="36" t="str">
        <f t="shared" si="18"/>
        <v/>
      </c>
      <c r="J142" s="30"/>
      <c r="K142" s="30"/>
      <c r="L142" s="36" t="str">
        <f t="shared" si="14"/>
        <v/>
      </c>
      <c r="M142" s="37" t="str">
        <f t="shared" si="15"/>
        <v/>
      </c>
      <c r="N142" s="37" t="str">
        <f t="shared" si="16"/>
        <v/>
      </c>
      <c r="O142" s="55"/>
      <c r="P142" s="55"/>
      <c r="Q142" s="55"/>
    </row>
    <row r="143" spans="1:17">
      <c r="A143" s="38" t="str">
        <f t="shared" si="17"/>
        <v/>
      </c>
      <c r="B143" s="38"/>
      <c r="C143" s="30"/>
      <c r="D143" s="30"/>
      <c r="E143" s="30"/>
      <c r="F143" s="30"/>
      <c r="G143" s="30"/>
      <c r="H143" s="30"/>
      <c r="I143" s="36" t="str">
        <f t="shared" si="18"/>
        <v/>
      </c>
      <c r="J143" s="30"/>
      <c r="K143" s="30"/>
      <c r="L143" s="36" t="str">
        <f t="shared" si="14"/>
        <v/>
      </c>
      <c r="M143" s="37" t="str">
        <f t="shared" si="15"/>
        <v/>
      </c>
      <c r="N143" s="37" t="str">
        <f t="shared" si="16"/>
        <v/>
      </c>
      <c r="O143" s="55"/>
      <c r="P143" s="55"/>
      <c r="Q143" s="55"/>
    </row>
    <row r="144" spans="1:17">
      <c r="A144" s="38" t="str">
        <f t="shared" si="17"/>
        <v/>
      </c>
      <c r="B144" s="38"/>
      <c r="C144" s="30"/>
      <c r="D144" s="30"/>
      <c r="E144" s="30"/>
      <c r="F144" s="30"/>
      <c r="G144" s="30"/>
      <c r="H144" s="30"/>
      <c r="I144" s="36" t="str">
        <f t="shared" si="18"/>
        <v/>
      </c>
      <c r="J144" s="30"/>
      <c r="K144" s="30"/>
      <c r="L144" s="36" t="str">
        <f t="shared" si="14"/>
        <v/>
      </c>
      <c r="M144" s="37" t="str">
        <f t="shared" si="15"/>
        <v/>
      </c>
      <c r="N144" s="37" t="str">
        <f t="shared" si="16"/>
        <v/>
      </c>
      <c r="O144" s="55"/>
      <c r="P144" s="55"/>
      <c r="Q144" s="55"/>
    </row>
    <row r="145" spans="1:17">
      <c r="A145" s="38" t="str">
        <f t="shared" si="17"/>
        <v/>
      </c>
      <c r="B145" s="38"/>
      <c r="C145" s="30"/>
      <c r="D145" s="30"/>
      <c r="E145" s="30"/>
      <c r="F145" s="30"/>
      <c r="G145" s="30"/>
      <c r="H145" s="30"/>
      <c r="I145" s="36" t="str">
        <f t="shared" si="18"/>
        <v/>
      </c>
      <c r="J145" s="30"/>
      <c r="K145" s="30"/>
      <c r="L145" s="36" t="str">
        <f t="shared" si="14"/>
        <v/>
      </c>
      <c r="M145" s="37" t="str">
        <f t="shared" si="15"/>
        <v/>
      </c>
      <c r="N145" s="37" t="str">
        <f t="shared" si="16"/>
        <v/>
      </c>
      <c r="O145" s="55"/>
      <c r="P145" s="55"/>
      <c r="Q145" s="55"/>
    </row>
    <row r="146" spans="1:17">
      <c r="A146" s="38" t="str">
        <f t="shared" si="17"/>
        <v/>
      </c>
      <c r="B146" s="38"/>
      <c r="C146" s="30"/>
      <c r="D146" s="30"/>
      <c r="E146" s="30"/>
      <c r="F146" s="30"/>
      <c r="G146" s="30"/>
      <c r="H146" s="30"/>
      <c r="I146" s="36" t="str">
        <f t="shared" si="18"/>
        <v/>
      </c>
      <c r="J146" s="30"/>
      <c r="K146" s="30"/>
      <c r="L146" s="36" t="str">
        <f t="shared" si="14"/>
        <v/>
      </c>
      <c r="M146" s="37" t="str">
        <f t="shared" si="15"/>
        <v/>
      </c>
      <c r="N146" s="37" t="str">
        <f t="shared" si="16"/>
        <v/>
      </c>
      <c r="O146" s="55"/>
      <c r="P146" s="55"/>
      <c r="Q146" s="55"/>
    </row>
    <row r="147" spans="1:17">
      <c r="A147" s="38" t="str">
        <f t="shared" si="17"/>
        <v/>
      </c>
      <c r="B147" s="38"/>
      <c r="C147" s="30"/>
      <c r="D147" s="30"/>
      <c r="E147" s="30"/>
      <c r="F147" s="30"/>
      <c r="G147" s="30"/>
      <c r="H147" s="30"/>
      <c r="I147" s="36" t="str">
        <f t="shared" si="18"/>
        <v/>
      </c>
      <c r="J147" s="30"/>
      <c r="K147" s="30"/>
      <c r="L147" s="36" t="str">
        <f t="shared" si="14"/>
        <v/>
      </c>
      <c r="M147" s="37" t="str">
        <f t="shared" si="15"/>
        <v/>
      </c>
      <c r="N147" s="37" t="str">
        <f t="shared" si="16"/>
        <v/>
      </c>
      <c r="O147" s="55"/>
      <c r="P147" s="55"/>
      <c r="Q147" s="55"/>
    </row>
    <row r="148" spans="1:17">
      <c r="A148" s="38" t="str">
        <f t="shared" si="17"/>
        <v/>
      </c>
      <c r="B148" s="38"/>
      <c r="C148" s="30"/>
      <c r="D148" s="30"/>
      <c r="E148" s="30"/>
      <c r="F148" s="30"/>
      <c r="G148" s="30"/>
      <c r="H148" s="30"/>
      <c r="I148" s="36" t="str">
        <f t="shared" si="18"/>
        <v/>
      </c>
      <c r="J148" s="30"/>
      <c r="K148" s="30"/>
      <c r="L148" s="36" t="str">
        <f t="shared" si="14"/>
        <v/>
      </c>
      <c r="M148" s="37" t="str">
        <f t="shared" si="15"/>
        <v/>
      </c>
      <c r="N148" s="37" t="str">
        <f t="shared" si="16"/>
        <v/>
      </c>
      <c r="O148" s="55"/>
      <c r="P148" s="55"/>
      <c r="Q148" s="55"/>
    </row>
    <row r="149" spans="1:17">
      <c r="A149" s="38" t="str">
        <f t="shared" si="17"/>
        <v/>
      </c>
      <c r="B149" s="38"/>
      <c r="C149" s="30"/>
      <c r="D149" s="30"/>
      <c r="E149" s="30"/>
      <c r="F149" s="30"/>
      <c r="G149" s="30"/>
      <c r="H149" s="30"/>
      <c r="I149" s="36" t="str">
        <f t="shared" si="18"/>
        <v/>
      </c>
      <c r="J149" s="30"/>
      <c r="K149" s="30"/>
      <c r="L149" s="36" t="str">
        <f t="shared" si="14"/>
        <v/>
      </c>
      <c r="M149" s="37" t="str">
        <f t="shared" si="15"/>
        <v/>
      </c>
      <c r="N149" s="37" t="str">
        <f t="shared" si="16"/>
        <v/>
      </c>
      <c r="O149" s="55"/>
      <c r="P149" s="55"/>
      <c r="Q149" s="55"/>
    </row>
    <row r="150" spans="1:17">
      <c r="A150" s="38" t="str">
        <f t="shared" si="17"/>
        <v/>
      </c>
      <c r="B150" s="38"/>
      <c r="C150" s="30"/>
      <c r="D150" s="30"/>
      <c r="E150" s="30"/>
      <c r="F150" s="30"/>
      <c r="G150" s="30"/>
      <c r="H150" s="30"/>
      <c r="I150" s="36" t="str">
        <f t="shared" si="18"/>
        <v/>
      </c>
      <c r="J150" s="30"/>
      <c r="K150" s="30"/>
      <c r="L150" s="36" t="str">
        <f t="shared" si="14"/>
        <v/>
      </c>
      <c r="M150" s="37" t="str">
        <f t="shared" si="15"/>
        <v/>
      </c>
      <c r="N150" s="37" t="str">
        <f t="shared" si="16"/>
        <v/>
      </c>
      <c r="O150" s="55"/>
      <c r="P150" s="55"/>
      <c r="Q150" s="55"/>
    </row>
    <row r="151" spans="1:17">
      <c r="A151" s="38" t="str">
        <f t="shared" si="17"/>
        <v/>
      </c>
      <c r="B151" s="38"/>
      <c r="C151" s="30"/>
      <c r="D151" s="30"/>
      <c r="E151" s="30"/>
      <c r="F151" s="30"/>
      <c r="G151" s="30"/>
      <c r="H151" s="30"/>
      <c r="I151" s="36" t="str">
        <f t="shared" si="18"/>
        <v/>
      </c>
      <c r="J151" s="30"/>
      <c r="K151" s="30"/>
      <c r="L151" s="36" t="str">
        <f t="shared" si="14"/>
        <v/>
      </c>
      <c r="M151" s="37" t="str">
        <f t="shared" si="15"/>
        <v/>
      </c>
      <c r="N151" s="37" t="str">
        <f t="shared" si="16"/>
        <v/>
      </c>
      <c r="O151" s="55"/>
      <c r="P151" s="55"/>
      <c r="Q151" s="55"/>
    </row>
    <row r="152" spans="1:17">
      <c r="A152" s="38" t="str">
        <f t="shared" si="17"/>
        <v/>
      </c>
      <c r="B152" s="38"/>
      <c r="C152" s="30"/>
      <c r="D152" s="30"/>
      <c r="E152" s="30"/>
      <c r="F152" s="30"/>
      <c r="G152" s="30"/>
      <c r="H152" s="30"/>
      <c r="I152" s="36" t="str">
        <f t="shared" si="18"/>
        <v/>
      </c>
      <c r="J152" s="30"/>
      <c r="K152" s="30"/>
      <c r="L152" s="36" t="str">
        <f t="shared" si="14"/>
        <v/>
      </c>
      <c r="M152" s="37" t="str">
        <f t="shared" si="15"/>
        <v/>
      </c>
      <c r="N152" s="37" t="str">
        <f t="shared" si="16"/>
        <v/>
      </c>
      <c r="O152" s="55"/>
      <c r="P152" s="55"/>
      <c r="Q152" s="55"/>
    </row>
    <row r="153" spans="1:17">
      <c r="A153" s="38" t="str">
        <f t="shared" si="17"/>
        <v/>
      </c>
      <c r="B153" s="38"/>
      <c r="C153" s="30"/>
      <c r="D153" s="30"/>
      <c r="E153" s="30"/>
      <c r="F153" s="30"/>
      <c r="G153" s="30"/>
      <c r="H153" s="30"/>
      <c r="I153" s="36" t="str">
        <f t="shared" si="18"/>
        <v/>
      </c>
      <c r="J153" s="30"/>
      <c r="K153" s="30"/>
      <c r="L153" s="36" t="str">
        <f t="shared" si="14"/>
        <v/>
      </c>
      <c r="M153" s="37" t="str">
        <f t="shared" si="15"/>
        <v/>
      </c>
      <c r="N153" s="37" t="str">
        <f t="shared" si="16"/>
        <v/>
      </c>
      <c r="O153" s="55"/>
      <c r="P153" s="55"/>
      <c r="Q153" s="55"/>
    </row>
    <row r="154" spans="1:17">
      <c r="A154" s="38" t="str">
        <f t="shared" si="17"/>
        <v/>
      </c>
      <c r="B154" s="38"/>
      <c r="C154" s="30"/>
      <c r="D154" s="30"/>
      <c r="E154" s="30"/>
      <c r="F154" s="30"/>
      <c r="G154" s="30"/>
      <c r="H154" s="30"/>
      <c r="I154" s="36" t="str">
        <f t="shared" si="18"/>
        <v/>
      </c>
      <c r="J154" s="30"/>
      <c r="K154" s="30"/>
      <c r="L154" s="36" t="str">
        <f t="shared" si="14"/>
        <v/>
      </c>
      <c r="M154" s="37" t="str">
        <f t="shared" si="15"/>
        <v/>
      </c>
      <c r="N154" s="37" t="str">
        <f t="shared" si="16"/>
        <v/>
      </c>
      <c r="O154" s="55"/>
      <c r="P154" s="55"/>
      <c r="Q154" s="55"/>
    </row>
    <row r="155" spans="1:17">
      <c r="A155" s="38" t="str">
        <f t="shared" si="17"/>
        <v/>
      </c>
      <c r="B155" s="38"/>
      <c r="C155" s="30"/>
      <c r="D155" s="30"/>
      <c r="E155" s="30"/>
      <c r="F155" s="30"/>
      <c r="G155" s="30"/>
      <c r="H155" s="30"/>
      <c r="I155" s="36" t="str">
        <f t="shared" si="18"/>
        <v/>
      </c>
      <c r="J155" s="30"/>
      <c r="K155" s="30"/>
      <c r="L155" s="36" t="str">
        <f t="shared" si="14"/>
        <v/>
      </c>
      <c r="M155" s="37" t="str">
        <f t="shared" si="15"/>
        <v/>
      </c>
      <c r="N155" s="37" t="str">
        <f t="shared" si="16"/>
        <v/>
      </c>
      <c r="O155" s="55"/>
      <c r="P155" s="55"/>
      <c r="Q155" s="55"/>
    </row>
    <row r="156" spans="1:17">
      <c r="A156" s="38" t="str">
        <f t="shared" si="17"/>
        <v/>
      </c>
      <c r="B156" s="38"/>
      <c r="C156" s="30"/>
      <c r="D156" s="30"/>
      <c r="E156" s="30"/>
      <c r="F156" s="30"/>
      <c r="G156" s="30"/>
      <c r="H156" s="30"/>
      <c r="I156" s="36" t="str">
        <f t="shared" si="18"/>
        <v/>
      </c>
      <c r="J156" s="30"/>
      <c r="K156" s="30"/>
      <c r="L156" s="36" t="str">
        <f t="shared" si="14"/>
        <v/>
      </c>
      <c r="M156" s="37" t="str">
        <f t="shared" si="15"/>
        <v/>
      </c>
      <c r="N156" s="37" t="str">
        <f t="shared" si="16"/>
        <v/>
      </c>
      <c r="O156" s="55"/>
      <c r="P156" s="55"/>
      <c r="Q156" s="55"/>
    </row>
    <row r="157" spans="1:17">
      <c r="A157" s="38" t="str">
        <f t="shared" si="17"/>
        <v/>
      </c>
      <c r="B157" s="38"/>
      <c r="C157" s="30"/>
      <c r="D157" s="30"/>
      <c r="E157" s="30"/>
      <c r="F157" s="30"/>
      <c r="G157" s="30"/>
      <c r="H157" s="30"/>
      <c r="I157" s="36" t="str">
        <f t="shared" si="18"/>
        <v/>
      </c>
      <c r="J157" s="30"/>
      <c r="K157" s="30"/>
      <c r="L157" s="36" t="str">
        <f t="shared" si="14"/>
        <v/>
      </c>
      <c r="M157" s="37" t="str">
        <f t="shared" si="15"/>
        <v/>
      </c>
      <c r="N157" s="37" t="str">
        <f t="shared" si="16"/>
        <v/>
      </c>
      <c r="O157" s="55"/>
      <c r="P157" s="55"/>
      <c r="Q157" s="55"/>
    </row>
    <row r="158" spans="1:17">
      <c r="A158" s="38" t="str">
        <f t="shared" si="17"/>
        <v/>
      </c>
      <c r="B158" s="38"/>
      <c r="C158" s="30"/>
      <c r="D158" s="30"/>
      <c r="E158" s="30"/>
      <c r="F158" s="30"/>
      <c r="G158" s="30"/>
      <c r="H158" s="30"/>
      <c r="I158" s="36" t="str">
        <f t="shared" si="18"/>
        <v/>
      </c>
      <c r="J158" s="30"/>
      <c r="K158" s="30"/>
      <c r="L158" s="36" t="str">
        <f t="shared" si="14"/>
        <v/>
      </c>
      <c r="M158" s="37" t="str">
        <f t="shared" si="15"/>
        <v/>
      </c>
      <c r="N158" s="37" t="str">
        <f t="shared" si="16"/>
        <v/>
      </c>
      <c r="O158" s="55"/>
      <c r="P158" s="55"/>
      <c r="Q158" s="55"/>
    </row>
    <row r="159" spans="1:17">
      <c r="A159" s="38" t="str">
        <f t="shared" si="17"/>
        <v/>
      </c>
      <c r="B159" s="38"/>
      <c r="C159" s="30"/>
      <c r="D159" s="30"/>
      <c r="E159" s="30"/>
      <c r="F159" s="30"/>
      <c r="G159" s="30"/>
      <c r="H159" s="30"/>
      <c r="I159" s="36" t="str">
        <f t="shared" si="18"/>
        <v/>
      </c>
      <c r="J159" s="30"/>
      <c r="K159" s="30"/>
      <c r="L159" s="36" t="str">
        <f t="shared" si="14"/>
        <v/>
      </c>
      <c r="M159" s="37" t="str">
        <f t="shared" si="15"/>
        <v/>
      </c>
      <c r="N159" s="37" t="str">
        <f t="shared" si="16"/>
        <v/>
      </c>
      <c r="O159" s="55"/>
      <c r="P159" s="55"/>
      <c r="Q159" s="55"/>
    </row>
    <row r="160" spans="1:17">
      <c r="A160" s="38" t="str">
        <f t="shared" si="17"/>
        <v/>
      </c>
      <c r="B160" s="38"/>
      <c r="C160" s="30"/>
      <c r="D160" s="30"/>
      <c r="E160" s="30"/>
      <c r="F160" s="30"/>
      <c r="G160" s="30"/>
      <c r="H160" s="30"/>
      <c r="I160" s="36" t="str">
        <f t="shared" si="18"/>
        <v/>
      </c>
      <c r="J160" s="30"/>
      <c r="K160" s="30"/>
      <c r="L160" s="36" t="str">
        <f t="shared" si="14"/>
        <v/>
      </c>
      <c r="M160" s="37" t="str">
        <f t="shared" si="15"/>
        <v/>
      </c>
      <c r="N160" s="37" t="str">
        <f t="shared" si="16"/>
        <v/>
      </c>
      <c r="O160" s="55"/>
      <c r="P160" s="55"/>
      <c r="Q160" s="55"/>
    </row>
    <row r="161" spans="1:17">
      <c r="A161" s="38" t="str">
        <f t="shared" si="17"/>
        <v/>
      </c>
      <c r="B161" s="38"/>
      <c r="C161" s="30"/>
      <c r="D161" s="30"/>
      <c r="E161" s="30"/>
      <c r="F161" s="30"/>
      <c r="G161" s="30"/>
      <c r="H161" s="30"/>
      <c r="I161" s="36" t="str">
        <f t="shared" si="18"/>
        <v/>
      </c>
      <c r="J161" s="30"/>
      <c r="K161" s="30"/>
      <c r="L161" s="36" t="str">
        <f t="shared" si="14"/>
        <v/>
      </c>
      <c r="M161" s="37" t="str">
        <f t="shared" si="15"/>
        <v/>
      </c>
      <c r="N161" s="37" t="str">
        <f t="shared" si="16"/>
        <v/>
      </c>
      <c r="O161" s="55"/>
      <c r="P161" s="55"/>
      <c r="Q161" s="55"/>
    </row>
    <row r="162" spans="1:17">
      <c r="A162" s="38" t="str">
        <f t="shared" si="17"/>
        <v/>
      </c>
      <c r="B162" s="38"/>
      <c r="C162" s="30"/>
      <c r="D162" s="30"/>
      <c r="E162" s="30"/>
      <c r="F162" s="30"/>
      <c r="G162" s="30"/>
      <c r="H162" s="30"/>
      <c r="I162" s="36" t="str">
        <f t="shared" si="18"/>
        <v/>
      </c>
      <c r="J162" s="30"/>
      <c r="K162" s="30"/>
      <c r="L162" s="36" t="str">
        <f t="shared" si="14"/>
        <v/>
      </c>
      <c r="M162" s="37" t="str">
        <f t="shared" si="15"/>
        <v/>
      </c>
      <c r="N162" s="37" t="str">
        <f t="shared" si="16"/>
        <v/>
      </c>
      <c r="O162" s="55"/>
      <c r="P162" s="55"/>
      <c r="Q162" s="55"/>
    </row>
    <row r="163" spans="1:17">
      <c r="A163" s="38" t="str">
        <f t="shared" si="17"/>
        <v/>
      </c>
      <c r="B163" s="38"/>
      <c r="C163" s="30"/>
      <c r="D163" s="30"/>
      <c r="E163" s="30"/>
      <c r="F163" s="30"/>
      <c r="G163" s="30"/>
      <c r="H163" s="30"/>
      <c r="I163" s="36" t="str">
        <f t="shared" si="18"/>
        <v/>
      </c>
      <c r="J163" s="30"/>
      <c r="K163" s="30"/>
      <c r="L163" s="36" t="str">
        <f t="shared" si="14"/>
        <v/>
      </c>
      <c r="M163" s="37" t="str">
        <f t="shared" si="15"/>
        <v/>
      </c>
      <c r="N163" s="37" t="str">
        <f t="shared" si="16"/>
        <v/>
      </c>
      <c r="O163" s="55"/>
      <c r="P163" s="55"/>
      <c r="Q163" s="55"/>
    </row>
    <row r="164" spans="1:17">
      <c r="A164" s="38" t="str">
        <f t="shared" si="17"/>
        <v/>
      </c>
      <c r="B164" s="38"/>
      <c r="C164" s="30"/>
      <c r="D164" s="30"/>
      <c r="E164" s="30"/>
      <c r="F164" s="30"/>
      <c r="G164" s="30"/>
      <c r="H164" s="30"/>
      <c r="I164" s="36" t="str">
        <f t="shared" si="18"/>
        <v/>
      </c>
      <c r="J164" s="30"/>
      <c r="K164" s="30"/>
      <c r="L164" s="36" t="str">
        <f t="shared" si="14"/>
        <v/>
      </c>
      <c r="M164" s="37" t="str">
        <f t="shared" si="15"/>
        <v/>
      </c>
      <c r="N164" s="37" t="str">
        <f t="shared" si="16"/>
        <v/>
      </c>
      <c r="O164" s="55"/>
      <c r="P164" s="55"/>
      <c r="Q164" s="55"/>
    </row>
    <row r="165" spans="1:17">
      <c r="A165" s="38" t="str">
        <f t="shared" si="17"/>
        <v/>
      </c>
      <c r="B165" s="38"/>
      <c r="C165" s="30"/>
      <c r="D165" s="30"/>
      <c r="E165" s="30"/>
      <c r="F165" s="30"/>
      <c r="G165" s="30"/>
      <c r="H165" s="30"/>
      <c r="I165" s="36" t="str">
        <f t="shared" si="18"/>
        <v/>
      </c>
      <c r="J165" s="30"/>
      <c r="K165" s="30"/>
      <c r="L165" s="36" t="str">
        <f t="shared" si="14"/>
        <v/>
      </c>
      <c r="M165" s="37" t="str">
        <f t="shared" si="15"/>
        <v/>
      </c>
      <c r="N165" s="37" t="str">
        <f t="shared" si="16"/>
        <v/>
      </c>
      <c r="O165" s="55"/>
      <c r="P165" s="55"/>
      <c r="Q165" s="55"/>
    </row>
    <row r="166" spans="1:17">
      <c r="A166" s="38" t="str">
        <f t="shared" si="17"/>
        <v/>
      </c>
      <c r="B166" s="38"/>
      <c r="C166" s="30"/>
      <c r="D166" s="30"/>
      <c r="E166" s="30"/>
      <c r="F166" s="30"/>
      <c r="G166" s="30"/>
      <c r="H166" s="30"/>
      <c r="I166" s="36" t="str">
        <f t="shared" si="18"/>
        <v/>
      </c>
      <c r="J166" s="30"/>
      <c r="K166" s="30"/>
      <c r="L166" s="36" t="str">
        <f t="shared" si="14"/>
        <v/>
      </c>
      <c r="M166" s="37" t="str">
        <f t="shared" si="15"/>
        <v/>
      </c>
      <c r="N166" s="37" t="str">
        <f t="shared" si="16"/>
        <v/>
      </c>
      <c r="O166" s="55"/>
      <c r="P166" s="55"/>
      <c r="Q166" s="55"/>
    </row>
    <row r="167" spans="1:17">
      <c r="A167" s="38" t="str">
        <f t="shared" si="17"/>
        <v/>
      </c>
      <c r="B167" s="38"/>
      <c r="C167" s="30"/>
      <c r="D167" s="30"/>
      <c r="E167" s="30"/>
      <c r="F167" s="30"/>
      <c r="G167" s="30"/>
      <c r="H167" s="30"/>
      <c r="I167" s="36" t="str">
        <f t="shared" si="18"/>
        <v/>
      </c>
      <c r="J167" s="30"/>
      <c r="K167" s="30"/>
      <c r="L167" s="36" t="str">
        <f t="shared" si="14"/>
        <v/>
      </c>
      <c r="M167" s="37" t="str">
        <f t="shared" si="15"/>
        <v/>
      </c>
      <c r="N167" s="37" t="str">
        <f t="shared" si="16"/>
        <v/>
      </c>
      <c r="O167" s="55"/>
      <c r="P167" s="55"/>
      <c r="Q167" s="55"/>
    </row>
    <row r="168" spans="1:17">
      <c r="A168" s="38" t="str">
        <f t="shared" si="17"/>
        <v/>
      </c>
      <c r="B168" s="38"/>
      <c r="C168" s="30"/>
      <c r="D168" s="30"/>
      <c r="E168" s="30"/>
      <c r="F168" s="30"/>
      <c r="G168" s="30"/>
      <c r="H168" s="30"/>
      <c r="I168" s="36" t="str">
        <f t="shared" si="18"/>
        <v/>
      </c>
      <c r="J168" s="30"/>
      <c r="K168" s="30"/>
      <c r="L168" s="36" t="str">
        <f t="shared" si="14"/>
        <v/>
      </c>
      <c r="M168" s="37" t="str">
        <f t="shared" si="15"/>
        <v/>
      </c>
      <c r="N168" s="37" t="str">
        <f t="shared" si="16"/>
        <v/>
      </c>
      <c r="O168" s="55"/>
      <c r="P168" s="55"/>
      <c r="Q168" s="55"/>
    </row>
    <row r="169" spans="1:17">
      <c r="A169" s="38" t="str">
        <f t="shared" si="17"/>
        <v/>
      </c>
      <c r="B169" s="38"/>
      <c r="C169" s="30"/>
      <c r="D169" s="30"/>
      <c r="E169" s="30"/>
      <c r="F169" s="30"/>
      <c r="G169" s="30"/>
      <c r="H169" s="30"/>
      <c r="I169" s="36" t="str">
        <f t="shared" si="18"/>
        <v/>
      </c>
      <c r="J169" s="30"/>
      <c r="K169" s="30"/>
      <c r="L169" s="36" t="str">
        <f t="shared" si="14"/>
        <v/>
      </c>
      <c r="M169" s="37" t="str">
        <f t="shared" si="15"/>
        <v/>
      </c>
      <c r="N169" s="37" t="str">
        <f t="shared" si="16"/>
        <v/>
      </c>
      <c r="O169" s="55"/>
      <c r="P169" s="55"/>
      <c r="Q169" s="55"/>
    </row>
    <row r="170" spans="1:17">
      <c r="A170" s="38" t="str">
        <f t="shared" si="17"/>
        <v/>
      </c>
      <c r="B170" s="38"/>
      <c r="C170" s="30"/>
      <c r="D170" s="30"/>
      <c r="E170" s="30"/>
      <c r="F170" s="30"/>
      <c r="G170" s="30"/>
      <c r="H170" s="30"/>
      <c r="I170" s="36" t="str">
        <f t="shared" si="18"/>
        <v/>
      </c>
      <c r="J170" s="30"/>
      <c r="K170" s="30"/>
      <c r="L170" s="36" t="str">
        <f t="shared" si="14"/>
        <v/>
      </c>
      <c r="M170" s="37" t="str">
        <f t="shared" si="15"/>
        <v/>
      </c>
      <c r="N170" s="37" t="str">
        <f t="shared" si="16"/>
        <v/>
      </c>
      <c r="O170" s="55"/>
      <c r="P170" s="55"/>
      <c r="Q170" s="55"/>
    </row>
    <row r="171" spans="1:17">
      <c r="A171" s="38" t="str">
        <f t="shared" si="17"/>
        <v/>
      </c>
      <c r="B171" s="38"/>
      <c r="C171" s="30"/>
      <c r="D171" s="30"/>
      <c r="E171" s="30"/>
      <c r="F171" s="30"/>
      <c r="G171" s="30"/>
      <c r="H171" s="30"/>
      <c r="I171" s="36" t="str">
        <f t="shared" si="18"/>
        <v/>
      </c>
      <c r="J171" s="30"/>
      <c r="K171" s="30"/>
      <c r="L171" s="36" t="str">
        <f t="shared" si="14"/>
        <v/>
      </c>
      <c r="M171" s="37" t="str">
        <f t="shared" si="15"/>
        <v/>
      </c>
      <c r="N171" s="37" t="str">
        <f t="shared" si="16"/>
        <v/>
      </c>
      <c r="O171" s="55"/>
      <c r="P171" s="55"/>
      <c r="Q171" s="55"/>
    </row>
    <row r="172" spans="1:17">
      <c r="A172" s="38" t="str">
        <f t="shared" si="17"/>
        <v/>
      </c>
      <c r="B172" s="38"/>
      <c r="C172" s="30"/>
      <c r="D172" s="30"/>
      <c r="E172" s="30"/>
      <c r="F172" s="30"/>
      <c r="G172" s="30"/>
      <c r="H172" s="30"/>
      <c r="I172" s="36" t="str">
        <f t="shared" si="18"/>
        <v/>
      </c>
      <c r="J172" s="30"/>
      <c r="K172" s="30"/>
      <c r="L172" s="36" t="str">
        <f t="shared" si="14"/>
        <v/>
      </c>
      <c r="M172" s="37" t="str">
        <f t="shared" si="15"/>
        <v/>
      </c>
      <c r="N172" s="37" t="str">
        <f t="shared" si="16"/>
        <v/>
      </c>
      <c r="O172" s="55"/>
      <c r="P172" s="55"/>
      <c r="Q172" s="55"/>
    </row>
    <row r="173" spans="1:17">
      <c r="A173" s="38" t="str">
        <f t="shared" si="17"/>
        <v/>
      </c>
      <c r="B173" s="38"/>
      <c r="C173" s="30"/>
      <c r="D173" s="30"/>
      <c r="E173" s="30"/>
      <c r="F173" s="30"/>
      <c r="G173" s="30"/>
      <c r="H173" s="30"/>
      <c r="I173" s="36" t="str">
        <f t="shared" si="18"/>
        <v/>
      </c>
      <c r="J173" s="30"/>
      <c r="K173" s="30"/>
      <c r="L173" s="36" t="str">
        <f t="shared" si="14"/>
        <v/>
      </c>
      <c r="M173" s="37" t="str">
        <f t="shared" si="15"/>
        <v/>
      </c>
      <c r="N173" s="37" t="str">
        <f t="shared" si="16"/>
        <v/>
      </c>
      <c r="O173" s="55"/>
      <c r="P173" s="55"/>
      <c r="Q173" s="55"/>
    </row>
    <row r="174" spans="1:17">
      <c r="A174" s="38" t="str">
        <f t="shared" si="17"/>
        <v/>
      </c>
      <c r="B174" s="38"/>
      <c r="C174" s="30"/>
      <c r="D174" s="30"/>
      <c r="E174" s="30"/>
      <c r="F174" s="30"/>
      <c r="G174" s="30"/>
      <c r="H174" s="30"/>
      <c r="I174" s="36" t="str">
        <f t="shared" si="18"/>
        <v/>
      </c>
      <c r="J174" s="30"/>
      <c r="K174" s="30"/>
      <c r="L174" s="36" t="str">
        <f t="shared" si="14"/>
        <v/>
      </c>
      <c r="M174" s="37" t="str">
        <f t="shared" si="15"/>
        <v/>
      </c>
      <c r="N174" s="37" t="str">
        <f t="shared" si="16"/>
        <v/>
      </c>
      <c r="O174" s="55"/>
      <c r="P174" s="55"/>
      <c r="Q174" s="55"/>
    </row>
    <row r="175" spans="1:17">
      <c r="A175" s="38" t="str">
        <f t="shared" si="17"/>
        <v/>
      </c>
      <c r="B175" s="38"/>
      <c r="C175" s="30"/>
      <c r="D175" s="30"/>
      <c r="E175" s="30"/>
      <c r="F175" s="30"/>
      <c r="G175" s="30"/>
      <c r="H175" s="30"/>
      <c r="I175" s="36" t="str">
        <f t="shared" si="18"/>
        <v/>
      </c>
      <c r="J175" s="30"/>
      <c r="K175" s="30"/>
      <c r="L175" s="36" t="str">
        <f t="shared" si="14"/>
        <v/>
      </c>
      <c r="M175" s="37" t="str">
        <f t="shared" si="15"/>
        <v/>
      </c>
      <c r="N175" s="37" t="str">
        <f t="shared" si="16"/>
        <v/>
      </c>
      <c r="O175" s="55"/>
      <c r="P175" s="55"/>
      <c r="Q175" s="55"/>
    </row>
    <row r="176" spans="1:17">
      <c r="A176" s="38" t="str">
        <f t="shared" si="17"/>
        <v/>
      </c>
      <c r="B176" s="38"/>
      <c r="C176" s="30"/>
      <c r="D176" s="30"/>
      <c r="E176" s="30"/>
      <c r="F176" s="30"/>
      <c r="G176" s="30"/>
      <c r="H176" s="30"/>
      <c r="I176" s="36" t="str">
        <f t="shared" si="18"/>
        <v/>
      </c>
      <c r="J176" s="30"/>
      <c r="K176" s="30"/>
      <c r="L176" s="36" t="str">
        <f t="shared" si="14"/>
        <v/>
      </c>
      <c r="M176" s="37" t="str">
        <f t="shared" si="15"/>
        <v/>
      </c>
      <c r="N176" s="37" t="str">
        <f t="shared" si="16"/>
        <v/>
      </c>
      <c r="O176" s="55"/>
      <c r="P176" s="55"/>
      <c r="Q176" s="55"/>
    </row>
    <row r="177" spans="1:17">
      <c r="A177" s="38" t="str">
        <f t="shared" si="17"/>
        <v/>
      </c>
      <c r="B177" s="38"/>
      <c r="C177" s="30"/>
      <c r="D177" s="30"/>
      <c r="E177" s="30"/>
      <c r="F177" s="30"/>
      <c r="G177" s="30"/>
      <c r="H177" s="30"/>
      <c r="I177" s="36" t="str">
        <f t="shared" si="18"/>
        <v/>
      </c>
      <c r="J177" s="30"/>
      <c r="K177" s="30"/>
      <c r="L177" s="36" t="str">
        <f t="shared" si="14"/>
        <v/>
      </c>
      <c r="M177" s="37" t="str">
        <f t="shared" si="15"/>
        <v/>
      </c>
      <c r="N177" s="37" t="str">
        <f t="shared" si="16"/>
        <v/>
      </c>
      <c r="O177" s="55"/>
      <c r="P177" s="55"/>
      <c r="Q177" s="55"/>
    </row>
    <row r="178" spans="1:17">
      <c r="A178" s="38" t="str">
        <f t="shared" si="17"/>
        <v/>
      </c>
      <c r="B178" s="38"/>
      <c r="C178" s="30"/>
      <c r="D178" s="30"/>
      <c r="E178" s="30"/>
      <c r="F178" s="30"/>
      <c r="G178" s="30"/>
      <c r="H178" s="30"/>
      <c r="I178" s="36" t="str">
        <f t="shared" si="18"/>
        <v/>
      </c>
      <c r="J178" s="30"/>
      <c r="K178" s="30"/>
      <c r="L178" s="36" t="str">
        <f t="shared" si="14"/>
        <v/>
      </c>
      <c r="M178" s="37" t="str">
        <f t="shared" si="15"/>
        <v/>
      </c>
      <c r="N178" s="37" t="str">
        <f t="shared" si="16"/>
        <v/>
      </c>
      <c r="O178" s="55"/>
      <c r="P178" s="55"/>
      <c r="Q178" s="55"/>
    </row>
    <row r="179" spans="1:17">
      <c r="A179" s="38" t="str">
        <f t="shared" si="17"/>
        <v/>
      </c>
      <c r="B179" s="38"/>
      <c r="C179" s="30"/>
      <c r="D179" s="30"/>
      <c r="E179" s="30"/>
      <c r="F179" s="30"/>
      <c r="G179" s="30"/>
      <c r="H179" s="30"/>
      <c r="I179" s="36" t="str">
        <f t="shared" si="18"/>
        <v/>
      </c>
      <c r="J179" s="30"/>
      <c r="K179" s="30"/>
      <c r="L179" s="36" t="str">
        <f t="shared" si="14"/>
        <v/>
      </c>
      <c r="M179" s="37" t="str">
        <f t="shared" si="15"/>
        <v/>
      </c>
      <c r="N179" s="37" t="str">
        <f t="shared" si="16"/>
        <v/>
      </c>
      <c r="O179" s="55"/>
      <c r="P179" s="55"/>
      <c r="Q179" s="55"/>
    </row>
    <row r="180" spans="1:17">
      <c r="A180" s="38" t="str">
        <f t="shared" si="17"/>
        <v/>
      </c>
      <c r="B180" s="38"/>
      <c r="C180" s="30"/>
      <c r="D180" s="30"/>
      <c r="E180" s="30"/>
      <c r="F180" s="30"/>
      <c r="G180" s="30"/>
      <c r="H180" s="30"/>
      <c r="I180" s="36" t="str">
        <f t="shared" si="18"/>
        <v/>
      </c>
      <c r="J180" s="30"/>
      <c r="K180" s="30"/>
      <c r="L180" s="36" t="str">
        <f t="shared" si="14"/>
        <v/>
      </c>
      <c r="M180" s="37" t="str">
        <f t="shared" si="15"/>
        <v/>
      </c>
      <c r="N180" s="37" t="str">
        <f t="shared" si="16"/>
        <v/>
      </c>
      <c r="O180" s="55"/>
      <c r="P180" s="55"/>
      <c r="Q180" s="55"/>
    </row>
    <row r="181" spans="1:17">
      <c r="A181" s="38" t="str">
        <f t="shared" si="17"/>
        <v/>
      </c>
      <c r="B181" s="38"/>
      <c r="C181" s="30"/>
      <c r="D181" s="30"/>
      <c r="E181" s="30"/>
      <c r="F181" s="30"/>
      <c r="G181" s="30"/>
      <c r="H181" s="30"/>
      <c r="I181" s="36" t="str">
        <f t="shared" si="18"/>
        <v/>
      </c>
      <c r="J181" s="30"/>
      <c r="K181" s="30"/>
      <c r="L181" s="36" t="str">
        <f t="shared" si="14"/>
        <v/>
      </c>
      <c r="M181" s="37" t="str">
        <f t="shared" si="15"/>
        <v/>
      </c>
      <c r="N181" s="37" t="str">
        <f t="shared" si="16"/>
        <v/>
      </c>
      <c r="O181" s="55"/>
      <c r="P181" s="55"/>
      <c r="Q181" s="55"/>
    </row>
    <row r="182" spans="1:17">
      <c r="A182" s="38" t="str">
        <f t="shared" si="17"/>
        <v/>
      </c>
      <c r="B182" s="38"/>
      <c r="C182" s="30"/>
      <c r="D182" s="30"/>
      <c r="E182" s="30"/>
      <c r="F182" s="30"/>
      <c r="G182" s="30"/>
      <c r="H182" s="30"/>
      <c r="I182" s="36" t="str">
        <f t="shared" si="18"/>
        <v/>
      </c>
      <c r="J182" s="30"/>
      <c r="K182" s="30"/>
      <c r="L182" s="36" t="str">
        <f t="shared" si="14"/>
        <v/>
      </c>
      <c r="M182" s="37" t="str">
        <f t="shared" si="15"/>
        <v/>
      </c>
      <c r="N182" s="37" t="str">
        <f t="shared" si="16"/>
        <v/>
      </c>
      <c r="O182" s="55"/>
      <c r="P182" s="55"/>
      <c r="Q182" s="55"/>
    </row>
    <row r="183" spans="1:17">
      <c r="A183" s="38" t="str">
        <f t="shared" si="17"/>
        <v/>
      </c>
      <c r="B183" s="38"/>
      <c r="C183" s="30"/>
      <c r="D183" s="30"/>
      <c r="E183" s="30"/>
      <c r="F183" s="30"/>
      <c r="G183" s="30"/>
      <c r="H183" s="30"/>
      <c r="I183" s="36" t="str">
        <f t="shared" si="18"/>
        <v/>
      </c>
      <c r="J183" s="30"/>
      <c r="K183" s="30"/>
      <c r="L183" s="36" t="str">
        <f t="shared" si="14"/>
        <v/>
      </c>
      <c r="M183" s="37" t="str">
        <f t="shared" si="15"/>
        <v/>
      </c>
      <c r="N183" s="37" t="str">
        <f t="shared" si="16"/>
        <v/>
      </c>
      <c r="O183" s="55"/>
      <c r="P183" s="55"/>
      <c r="Q183" s="55"/>
    </row>
    <row r="184" spans="1:17">
      <c r="A184" s="38" t="str">
        <f t="shared" si="17"/>
        <v/>
      </c>
      <c r="B184" s="38"/>
      <c r="C184" s="30"/>
      <c r="D184" s="30"/>
      <c r="E184" s="30"/>
      <c r="F184" s="30"/>
      <c r="G184" s="30"/>
      <c r="H184" s="30"/>
      <c r="I184" s="36" t="str">
        <f t="shared" si="18"/>
        <v/>
      </c>
      <c r="J184" s="30"/>
      <c r="K184" s="30"/>
      <c r="L184" s="36" t="str">
        <f t="shared" si="14"/>
        <v/>
      </c>
      <c r="M184" s="37" t="str">
        <f t="shared" si="15"/>
        <v/>
      </c>
      <c r="N184" s="37" t="str">
        <f t="shared" si="16"/>
        <v/>
      </c>
      <c r="O184" s="55"/>
      <c r="P184" s="55"/>
      <c r="Q184" s="55"/>
    </row>
    <row r="185" spans="1:17">
      <c r="A185" s="38" t="str">
        <f t="shared" si="17"/>
        <v/>
      </c>
      <c r="B185" s="38"/>
      <c r="C185" s="30"/>
      <c r="D185" s="30"/>
      <c r="E185" s="30"/>
      <c r="F185" s="30"/>
      <c r="G185" s="30"/>
      <c r="H185" s="30"/>
      <c r="I185" s="36" t="str">
        <f t="shared" si="18"/>
        <v/>
      </c>
      <c r="J185" s="30"/>
      <c r="K185" s="30"/>
      <c r="L185" s="36" t="str">
        <f t="shared" si="14"/>
        <v/>
      </c>
      <c r="M185" s="37" t="str">
        <f t="shared" si="15"/>
        <v/>
      </c>
      <c r="N185" s="37" t="str">
        <f t="shared" si="16"/>
        <v/>
      </c>
      <c r="O185" s="55"/>
      <c r="P185" s="55"/>
      <c r="Q185" s="55"/>
    </row>
    <row r="186" spans="1:17">
      <c r="A186" s="38" t="str">
        <f t="shared" si="17"/>
        <v/>
      </c>
      <c r="B186" s="38"/>
      <c r="C186" s="30"/>
      <c r="D186" s="30"/>
      <c r="E186" s="30"/>
      <c r="F186" s="30"/>
      <c r="G186" s="30"/>
      <c r="H186" s="30"/>
      <c r="I186" s="36" t="str">
        <f t="shared" si="18"/>
        <v/>
      </c>
      <c r="J186" s="30"/>
      <c r="K186" s="30"/>
      <c r="L186" s="36" t="str">
        <f t="shared" si="14"/>
        <v/>
      </c>
      <c r="M186" s="37" t="str">
        <f t="shared" si="15"/>
        <v/>
      </c>
      <c r="N186" s="37" t="str">
        <f t="shared" si="16"/>
        <v/>
      </c>
      <c r="O186" s="55"/>
      <c r="P186" s="55"/>
      <c r="Q186" s="55"/>
    </row>
    <row r="187" spans="1:17">
      <c r="A187" s="38" t="str">
        <f t="shared" si="17"/>
        <v/>
      </c>
      <c r="B187" s="38"/>
      <c r="C187" s="30"/>
      <c r="D187" s="30"/>
      <c r="E187" s="30"/>
      <c r="F187" s="30"/>
      <c r="G187" s="30"/>
      <c r="H187" s="30"/>
      <c r="I187" s="36" t="str">
        <f t="shared" si="18"/>
        <v/>
      </c>
      <c r="J187" s="30"/>
      <c r="K187" s="30"/>
      <c r="L187" s="36" t="str">
        <f t="shared" si="14"/>
        <v/>
      </c>
      <c r="M187" s="37" t="str">
        <f t="shared" si="15"/>
        <v/>
      </c>
      <c r="N187" s="37" t="str">
        <f t="shared" si="16"/>
        <v/>
      </c>
      <c r="O187" s="55"/>
      <c r="P187" s="55"/>
      <c r="Q187" s="55"/>
    </row>
    <row r="188" spans="1:17">
      <c r="A188" s="38" t="str">
        <f t="shared" si="17"/>
        <v/>
      </c>
      <c r="B188" s="38"/>
      <c r="C188" s="30"/>
      <c r="D188" s="30"/>
      <c r="E188" s="30"/>
      <c r="F188" s="30"/>
      <c r="G188" s="30"/>
      <c r="H188" s="30"/>
      <c r="I188" s="36" t="str">
        <f t="shared" si="18"/>
        <v/>
      </c>
      <c r="J188" s="30"/>
      <c r="K188" s="30"/>
      <c r="L188" s="36" t="str">
        <f t="shared" si="14"/>
        <v/>
      </c>
      <c r="M188" s="37" t="str">
        <f t="shared" si="15"/>
        <v/>
      </c>
      <c r="N188" s="37" t="str">
        <f t="shared" si="16"/>
        <v/>
      </c>
      <c r="O188" s="55"/>
      <c r="P188" s="55"/>
      <c r="Q188" s="55"/>
    </row>
    <row r="189" spans="1:17">
      <c r="A189" s="38" t="str">
        <f t="shared" si="17"/>
        <v/>
      </c>
      <c r="B189" s="38"/>
      <c r="C189" s="30"/>
      <c r="D189" s="30"/>
      <c r="E189" s="30"/>
      <c r="F189" s="30"/>
      <c r="G189" s="30"/>
      <c r="H189" s="30"/>
      <c r="I189" s="36" t="str">
        <f t="shared" si="18"/>
        <v/>
      </c>
      <c r="J189" s="30"/>
      <c r="K189" s="30"/>
      <c r="L189" s="36" t="str">
        <f t="shared" si="14"/>
        <v/>
      </c>
      <c r="M189" s="37" t="str">
        <f t="shared" si="15"/>
        <v/>
      </c>
      <c r="N189" s="37" t="str">
        <f t="shared" si="16"/>
        <v/>
      </c>
      <c r="O189" s="55"/>
      <c r="P189" s="55"/>
      <c r="Q189" s="55"/>
    </row>
    <row r="190" spans="1:17">
      <c r="A190" s="38" t="str">
        <f t="shared" si="17"/>
        <v/>
      </c>
      <c r="B190" s="38"/>
      <c r="C190" s="30"/>
      <c r="D190" s="30"/>
      <c r="E190" s="30"/>
      <c r="F190" s="30"/>
      <c r="G190" s="30"/>
      <c r="H190" s="30"/>
      <c r="I190" s="36" t="str">
        <f t="shared" si="18"/>
        <v/>
      </c>
      <c r="J190" s="30"/>
      <c r="K190" s="30"/>
      <c r="L190" s="36" t="str">
        <f t="shared" si="14"/>
        <v/>
      </c>
      <c r="M190" s="37" t="str">
        <f t="shared" si="15"/>
        <v/>
      </c>
      <c r="N190" s="37" t="str">
        <f t="shared" si="16"/>
        <v/>
      </c>
      <c r="O190" s="55"/>
      <c r="P190" s="55"/>
      <c r="Q190" s="55"/>
    </row>
    <row r="191" spans="1:17">
      <c r="A191" s="38" t="str">
        <f t="shared" si="17"/>
        <v/>
      </c>
      <c r="B191" s="38"/>
      <c r="C191" s="30"/>
      <c r="D191" s="30"/>
      <c r="E191" s="30"/>
      <c r="F191" s="30"/>
      <c r="G191" s="30"/>
      <c r="H191" s="30"/>
      <c r="I191" s="36" t="str">
        <f t="shared" si="18"/>
        <v/>
      </c>
      <c r="J191" s="30"/>
      <c r="K191" s="30"/>
      <c r="L191" s="36" t="str">
        <f t="shared" si="14"/>
        <v/>
      </c>
      <c r="M191" s="37" t="str">
        <f t="shared" si="15"/>
        <v/>
      </c>
      <c r="N191" s="37" t="str">
        <f t="shared" si="16"/>
        <v/>
      </c>
      <c r="O191" s="55"/>
      <c r="P191" s="55"/>
      <c r="Q191" s="55"/>
    </row>
    <row r="192" spans="1:17">
      <c r="A192" s="38" t="str">
        <f t="shared" si="17"/>
        <v/>
      </c>
      <c r="B192" s="38"/>
      <c r="C192" s="30"/>
      <c r="D192" s="30"/>
      <c r="E192" s="30"/>
      <c r="F192" s="30"/>
      <c r="G192" s="30"/>
      <c r="H192" s="30"/>
      <c r="I192" s="36" t="str">
        <f t="shared" si="18"/>
        <v/>
      </c>
      <c r="J192" s="30"/>
      <c r="K192" s="30"/>
      <c r="L192" s="36" t="str">
        <f t="shared" si="14"/>
        <v/>
      </c>
      <c r="M192" s="37" t="str">
        <f t="shared" si="15"/>
        <v/>
      </c>
      <c r="N192" s="37" t="str">
        <f t="shared" si="16"/>
        <v/>
      </c>
      <c r="O192" s="55"/>
      <c r="P192" s="55"/>
      <c r="Q192" s="55"/>
    </row>
    <row r="193" spans="1:17">
      <c r="A193" s="38" t="str">
        <f t="shared" si="17"/>
        <v/>
      </c>
      <c r="B193" s="38"/>
      <c r="C193" s="30"/>
      <c r="D193" s="30"/>
      <c r="E193" s="30"/>
      <c r="F193" s="30"/>
      <c r="G193" s="30"/>
      <c r="H193" s="30"/>
      <c r="I193" s="36" t="str">
        <f t="shared" si="18"/>
        <v/>
      </c>
      <c r="J193" s="30"/>
      <c r="K193" s="30"/>
      <c r="L193" s="36" t="str">
        <f t="shared" si="14"/>
        <v/>
      </c>
      <c r="M193" s="37" t="str">
        <f t="shared" si="15"/>
        <v/>
      </c>
      <c r="N193" s="37" t="str">
        <f t="shared" si="16"/>
        <v/>
      </c>
      <c r="O193" s="55"/>
      <c r="P193" s="55"/>
      <c r="Q193" s="55"/>
    </row>
    <row r="194" spans="1:17">
      <c r="A194" s="38" t="str">
        <f t="shared" si="17"/>
        <v/>
      </c>
      <c r="B194" s="38"/>
      <c r="C194" s="30"/>
      <c r="D194" s="30"/>
      <c r="E194" s="30"/>
      <c r="F194" s="30"/>
      <c r="G194" s="30"/>
      <c r="H194" s="30"/>
      <c r="I194" s="36" t="str">
        <f t="shared" si="18"/>
        <v/>
      </c>
      <c r="J194" s="30"/>
      <c r="K194" s="30"/>
      <c r="L194" s="36" t="str">
        <f t="shared" si="14"/>
        <v/>
      </c>
      <c r="M194" s="37" t="str">
        <f t="shared" si="15"/>
        <v/>
      </c>
      <c r="N194" s="37" t="str">
        <f t="shared" si="16"/>
        <v/>
      </c>
      <c r="O194" s="55"/>
      <c r="P194" s="55"/>
      <c r="Q194" s="55"/>
    </row>
    <row r="195" spans="1:17">
      <c r="A195" s="38" t="str">
        <f t="shared" si="17"/>
        <v/>
      </c>
      <c r="B195" s="38"/>
      <c r="C195" s="30"/>
      <c r="D195" s="30"/>
      <c r="E195" s="30"/>
      <c r="F195" s="30"/>
      <c r="G195" s="30"/>
      <c r="H195" s="30"/>
      <c r="I195" s="36" t="str">
        <f t="shared" si="18"/>
        <v/>
      </c>
      <c r="J195" s="30"/>
      <c r="K195" s="30"/>
      <c r="L195" s="36" t="str">
        <f t="shared" ref="L195:L258" si="19">IF(K195&lt;&gt;"",K195/J195,"")</f>
        <v/>
      </c>
      <c r="M195" s="37" t="str">
        <f t="shared" ref="M195:M258" si="20">IF(L195&lt;&gt;"",MAX(I195,L195),"")</f>
        <v/>
      </c>
      <c r="N195" s="37" t="str">
        <f t="shared" ref="N195:N258" si="21">IF($M195&lt;&gt;"",IF($M195&lt;50%,0%,IF($M195&lt;80%,$M195,100%)),"")</f>
        <v/>
      </c>
      <c r="O195" s="55"/>
      <c r="P195" s="55"/>
      <c r="Q195" s="55"/>
    </row>
    <row r="196" spans="1:17">
      <c r="A196" s="38" t="str">
        <f t="shared" ref="A196:A259" si="22">IF(C196&lt;&gt;"",A195+1,"")</f>
        <v/>
      </c>
      <c r="B196" s="38"/>
      <c r="C196" s="30"/>
      <c r="D196" s="30"/>
      <c r="E196" s="30"/>
      <c r="F196" s="30"/>
      <c r="G196" s="30"/>
      <c r="H196" s="30"/>
      <c r="I196" s="36" t="str">
        <f t="shared" ref="I196:I259" si="23">IF(H196&lt;&gt;"",H196/G196,"")</f>
        <v/>
      </c>
      <c r="J196" s="30"/>
      <c r="K196" s="30"/>
      <c r="L196" s="36" t="str">
        <f t="shared" si="19"/>
        <v/>
      </c>
      <c r="M196" s="37" t="str">
        <f t="shared" si="20"/>
        <v/>
      </c>
      <c r="N196" s="37" t="str">
        <f t="shared" si="21"/>
        <v/>
      </c>
      <c r="O196" s="55"/>
      <c r="P196" s="55"/>
      <c r="Q196" s="55"/>
    </row>
    <row r="197" spans="1:17">
      <c r="A197" s="38" t="str">
        <f t="shared" si="22"/>
        <v/>
      </c>
      <c r="B197" s="38"/>
      <c r="C197" s="30"/>
      <c r="D197" s="30"/>
      <c r="E197" s="30"/>
      <c r="F197" s="30"/>
      <c r="G197" s="30"/>
      <c r="H197" s="30"/>
      <c r="I197" s="36" t="str">
        <f t="shared" si="23"/>
        <v/>
      </c>
      <c r="J197" s="30"/>
      <c r="K197" s="30"/>
      <c r="L197" s="36" t="str">
        <f t="shared" si="19"/>
        <v/>
      </c>
      <c r="M197" s="37" t="str">
        <f t="shared" si="20"/>
        <v/>
      </c>
      <c r="N197" s="37" t="str">
        <f t="shared" si="21"/>
        <v/>
      </c>
      <c r="O197" s="55"/>
      <c r="P197" s="55"/>
      <c r="Q197" s="55"/>
    </row>
    <row r="198" spans="1:17">
      <c r="A198" s="38" t="str">
        <f t="shared" si="22"/>
        <v/>
      </c>
      <c r="B198" s="38"/>
      <c r="C198" s="30"/>
      <c r="D198" s="30"/>
      <c r="E198" s="30"/>
      <c r="F198" s="30"/>
      <c r="G198" s="30"/>
      <c r="H198" s="30"/>
      <c r="I198" s="36" t="str">
        <f t="shared" si="23"/>
        <v/>
      </c>
      <c r="J198" s="30"/>
      <c r="K198" s="30"/>
      <c r="L198" s="36" t="str">
        <f t="shared" si="19"/>
        <v/>
      </c>
      <c r="M198" s="37" t="str">
        <f t="shared" si="20"/>
        <v/>
      </c>
      <c r="N198" s="37" t="str">
        <f t="shared" si="21"/>
        <v/>
      </c>
      <c r="O198" s="55"/>
      <c r="P198" s="55"/>
      <c r="Q198" s="55"/>
    </row>
    <row r="199" spans="1:17">
      <c r="A199" s="38" t="str">
        <f t="shared" si="22"/>
        <v/>
      </c>
      <c r="B199" s="38"/>
      <c r="C199" s="30"/>
      <c r="D199" s="30"/>
      <c r="E199" s="30"/>
      <c r="F199" s="30"/>
      <c r="G199" s="30"/>
      <c r="H199" s="30"/>
      <c r="I199" s="36" t="str">
        <f t="shared" si="23"/>
        <v/>
      </c>
      <c r="J199" s="30"/>
      <c r="K199" s="30"/>
      <c r="L199" s="36" t="str">
        <f t="shared" si="19"/>
        <v/>
      </c>
      <c r="M199" s="37" t="str">
        <f t="shared" si="20"/>
        <v/>
      </c>
      <c r="N199" s="37" t="str">
        <f t="shared" si="21"/>
        <v/>
      </c>
      <c r="O199" s="55"/>
      <c r="P199" s="55"/>
      <c r="Q199" s="55"/>
    </row>
    <row r="200" spans="1:17">
      <c r="A200" s="38" t="str">
        <f t="shared" si="22"/>
        <v/>
      </c>
      <c r="B200" s="38"/>
      <c r="C200" s="30"/>
      <c r="D200" s="30"/>
      <c r="E200" s="30"/>
      <c r="F200" s="30"/>
      <c r="G200" s="30"/>
      <c r="H200" s="30"/>
      <c r="I200" s="36" t="str">
        <f t="shared" si="23"/>
        <v/>
      </c>
      <c r="J200" s="30"/>
      <c r="K200" s="30"/>
      <c r="L200" s="36" t="str">
        <f t="shared" si="19"/>
        <v/>
      </c>
      <c r="M200" s="37" t="str">
        <f t="shared" si="20"/>
        <v/>
      </c>
      <c r="N200" s="37" t="str">
        <f t="shared" si="21"/>
        <v/>
      </c>
      <c r="O200" s="55"/>
      <c r="P200" s="55"/>
      <c r="Q200" s="55"/>
    </row>
    <row r="201" spans="1:17">
      <c r="A201" s="38" t="str">
        <f t="shared" si="22"/>
        <v/>
      </c>
      <c r="B201" s="38"/>
      <c r="C201" s="30"/>
      <c r="D201" s="30"/>
      <c r="E201" s="30"/>
      <c r="F201" s="30"/>
      <c r="G201" s="30"/>
      <c r="H201" s="30"/>
      <c r="I201" s="36" t="str">
        <f t="shared" si="23"/>
        <v/>
      </c>
      <c r="J201" s="30"/>
      <c r="K201" s="30"/>
      <c r="L201" s="36" t="str">
        <f t="shared" si="19"/>
        <v/>
      </c>
      <c r="M201" s="37" t="str">
        <f t="shared" si="20"/>
        <v/>
      </c>
      <c r="N201" s="37" t="str">
        <f t="shared" si="21"/>
        <v/>
      </c>
      <c r="O201" s="55"/>
      <c r="P201" s="55"/>
      <c r="Q201" s="55"/>
    </row>
    <row r="202" spans="1:17">
      <c r="A202" s="38" t="str">
        <f t="shared" si="22"/>
        <v/>
      </c>
      <c r="B202" s="38"/>
      <c r="C202" s="30"/>
      <c r="D202" s="30"/>
      <c r="E202" s="30"/>
      <c r="F202" s="30"/>
      <c r="G202" s="30"/>
      <c r="H202" s="30"/>
      <c r="I202" s="36" t="str">
        <f t="shared" si="23"/>
        <v/>
      </c>
      <c r="J202" s="30"/>
      <c r="K202" s="30"/>
      <c r="L202" s="36" t="str">
        <f t="shared" si="19"/>
        <v/>
      </c>
      <c r="M202" s="37" t="str">
        <f t="shared" si="20"/>
        <v/>
      </c>
      <c r="N202" s="37" t="str">
        <f t="shared" si="21"/>
        <v/>
      </c>
      <c r="O202" s="55"/>
      <c r="P202" s="55"/>
      <c r="Q202" s="55"/>
    </row>
    <row r="203" spans="1:17">
      <c r="A203" s="38" t="str">
        <f t="shared" si="22"/>
        <v/>
      </c>
      <c r="B203" s="38"/>
      <c r="C203" s="30"/>
      <c r="D203" s="30"/>
      <c r="E203" s="30"/>
      <c r="F203" s="30"/>
      <c r="G203" s="30"/>
      <c r="H203" s="30"/>
      <c r="I203" s="36" t="str">
        <f t="shared" si="23"/>
        <v/>
      </c>
      <c r="J203" s="30"/>
      <c r="K203" s="30"/>
      <c r="L203" s="36" t="str">
        <f t="shared" si="19"/>
        <v/>
      </c>
      <c r="M203" s="37" t="str">
        <f t="shared" si="20"/>
        <v/>
      </c>
      <c r="N203" s="37" t="str">
        <f t="shared" si="21"/>
        <v/>
      </c>
      <c r="O203" s="55"/>
      <c r="P203" s="55"/>
      <c r="Q203" s="55"/>
    </row>
    <row r="204" spans="1:17">
      <c r="A204" s="38" t="str">
        <f t="shared" si="22"/>
        <v/>
      </c>
      <c r="B204" s="38"/>
      <c r="C204" s="30"/>
      <c r="D204" s="30"/>
      <c r="E204" s="30"/>
      <c r="F204" s="30"/>
      <c r="G204" s="30"/>
      <c r="H204" s="30"/>
      <c r="I204" s="36" t="str">
        <f t="shared" si="23"/>
        <v/>
      </c>
      <c r="J204" s="30"/>
      <c r="K204" s="30"/>
      <c r="L204" s="36" t="str">
        <f t="shared" si="19"/>
        <v/>
      </c>
      <c r="M204" s="37" t="str">
        <f t="shared" si="20"/>
        <v/>
      </c>
      <c r="N204" s="37" t="str">
        <f t="shared" si="21"/>
        <v/>
      </c>
      <c r="O204" s="55"/>
      <c r="P204" s="55"/>
      <c r="Q204" s="55"/>
    </row>
    <row r="205" spans="1:17">
      <c r="A205" s="38" t="str">
        <f t="shared" si="22"/>
        <v/>
      </c>
      <c r="B205" s="38"/>
      <c r="C205" s="30"/>
      <c r="D205" s="30"/>
      <c r="E205" s="30"/>
      <c r="F205" s="30"/>
      <c r="G205" s="30"/>
      <c r="H205" s="30"/>
      <c r="I205" s="36" t="str">
        <f t="shared" si="23"/>
        <v/>
      </c>
      <c r="J205" s="30"/>
      <c r="K205" s="30"/>
      <c r="L205" s="36" t="str">
        <f t="shared" si="19"/>
        <v/>
      </c>
      <c r="M205" s="37" t="str">
        <f t="shared" si="20"/>
        <v/>
      </c>
      <c r="N205" s="37" t="str">
        <f t="shared" si="21"/>
        <v/>
      </c>
      <c r="O205" s="55"/>
      <c r="P205" s="55"/>
      <c r="Q205" s="55"/>
    </row>
    <row r="206" spans="1:17">
      <c r="A206" s="38" t="str">
        <f t="shared" si="22"/>
        <v/>
      </c>
      <c r="B206" s="38"/>
      <c r="C206" s="30"/>
      <c r="D206" s="30"/>
      <c r="E206" s="30"/>
      <c r="F206" s="30"/>
      <c r="G206" s="30"/>
      <c r="H206" s="30"/>
      <c r="I206" s="36" t="str">
        <f t="shared" si="23"/>
        <v/>
      </c>
      <c r="J206" s="30"/>
      <c r="K206" s="30"/>
      <c r="L206" s="36" t="str">
        <f t="shared" si="19"/>
        <v/>
      </c>
      <c r="M206" s="37" t="str">
        <f t="shared" si="20"/>
        <v/>
      </c>
      <c r="N206" s="37" t="str">
        <f t="shared" si="21"/>
        <v/>
      </c>
      <c r="O206" s="55"/>
      <c r="P206" s="55"/>
      <c r="Q206" s="55"/>
    </row>
    <row r="207" spans="1:17">
      <c r="A207" s="38" t="str">
        <f t="shared" si="22"/>
        <v/>
      </c>
      <c r="B207" s="38"/>
      <c r="C207" s="30"/>
      <c r="D207" s="30"/>
      <c r="E207" s="30"/>
      <c r="F207" s="30"/>
      <c r="G207" s="30"/>
      <c r="H207" s="30"/>
      <c r="I207" s="36" t="str">
        <f t="shared" si="23"/>
        <v/>
      </c>
      <c r="J207" s="30"/>
      <c r="K207" s="30"/>
      <c r="L207" s="36" t="str">
        <f t="shared" si="19"/>
        <v/>
      </c>
      <c r="M207" s="37" t="str">
        <f t="shared" si="20"/>
        <v/>
      </c>
      <c r="N207" s="37" t="str">
        <f t="shared" si="21"/>
        <v/>
      </c>
      <c r="O207" s="55"/>
      <c r="P207" s="55"/>
      <c r="Q207" s="55"/>
    </row>
    <row r="208" spans="1:17">
      <c r="A208" s="38" t="str">
        <f t="shared" si="22"/>
        <v/>
      </c>
      <c r="B208" s="38"/>
      <c r="C208" s="30"/>
      <c r="D208" s="30"/>
      <c r="E208" s="30"/>
      <c r="F208" s="30"/>
      <c r="G208" s="30"/>
      <c r="H208" s="30"/>
      <c r="I208" s="36" t="str">
        <f t="shared" si="23"/>
        <v/>
      </c>
      <c r="J208" s="30"/>
      <c r="K208" s="30"/>
      <c r="L208" s="36" t="str">
        <f t="shared" si="19"/>
        <v/>
      </c>
      <c r="M208" s="37" t="str">
        <f t="shared" si="20"/>
        <v/>
      </c>
      <c r="N208" s="37" t="str">
        <f t="shared" si="21"/>
        <v/>
      </c>
      <c r="O208" s="55"/>
      <c r="P208" s="55"/>
      <c r="Q208" s="55"/>
    </row>
    <row r="209" spans="1:17">
      <c r="A209" s="38" t="str">
        <f t="shared" si="22"/>
        <v/>
      </c>
      <c r="B209" s="38"/>
      <c r="C209" s="30"/>
      <c r="D209" s="30"/>
      <c r="E209" s="30"/>
      <c r="F209" s="30"/>
      <c r="G209" s="30"/>
      <c r="H209" s="30"/>
      <c r="I209" s="36" t="str">
        <f t="shared" si="23"/>
        <v/>
      </c>
      <c r="J209" s="30"/>
      <c r="K209" s="30"/>
      <c r="L209" s="36" t="str">
        <f t="shared" si="19"/>
        <v/>
      </c>
      <c r="M209" s="37" t="str">
        <f t="shared" si="20"/>
        <v/>
      </c>
      <c r="N209" s="37" t="str">
        <f t="shared" si="21"/>
        <v/>
      </c>
      <c r="O209" s="55"/>
      <c r="P209" s="55"/>
      <c r="Q209" s="55"/>
    </row>
    <row r="210" spans="1:17">
      <c r="A210" s="38" t="str">
        <f t="shared" si="22"/>
        <v/>
      </c>
      <c r="B210" s="38"/>
      <c r="C210" s="30"/>
      <c r="D210" s="30"/>
      <c r="E210" s="30"/>
      <c r="F210" s="30"/>
      <c r="G210" s="30"/>
      <c r="H210" s="30"/>
      <c r="I210" s="36" t="str">
        <f t="shared" si="23"/>
        <v/>
      </c>
      <c r="J210" s="30"/>
      <c r="K210" s="30"/>
      <c r="L210" s="36" t="str">
        <f t="shared" si="19"/>
        <v/>
      </c>
      <c r="M210" s="37" t="str">
        <f t="shared" si="20"/>
        <v/>
      </c>
      <c r="N210" s="37" t="str">
        <f t="shared" si="21"/>
        <v/>
      </c>
      <c r="O210" s="55"/>
      <c r="P210" s="55"/>
      <c r="Q210" s="55"/>
    </row>
    <row r="211" spans="1:17">
      <c r="A211" s="38" t="str">
        <f t="shared" si="22"/>
        <v/>
      </c>
      <c r="B211" s="38"/>
      <c r="C211" s="30"/>
      <c r="D211" s="30"/>
      <c r="E211" s="30"/>
      <c r="F211" s="30"/>
      <c r="G211" s="30"/>
      <c r="H211" s="30"/>
      <c r="I211" s="36" t="str">
        <f t="shared" si="23"/>
        <v/>
      </c>
      <c r="J211" s="30"/>
      <c r="K211" s="30"/>
      <c r="L211" s="36" t="str">
        <f t="shared" si="19"/>
        <v/>
      </c>
      <c r="M211" s="37" t="str">
        <f t="shared" si="20"/>
        <v/>
      </c>
      <c r="N211" s="37" t="str">
        <f t="shared" si="21"/>
        <v/>
      </c>
      <c r="O211" s="55"/>
      <c r="P211" s="55"/>
      <c r="Q211" s="55"/>
    </row>
    <row r="212" spans="1:17">
      <c r="A212" s="38" t="str">
        <f t="shared" si="22"/>
        <v/>
      </c>
      <c r="B212" s="38"/>
      <c r="C212" s="30"/>
      <c r="D212" s="30"/>
      <c r="E212" s="30"/>
      <c r="F212" s="30"/>
      <c r="G212" s="30"/>
      <c r="H212" s="30"/>
      <c r="I212" s="36" t="str">
        <f t="shared" si="23"/>
        <v/>
      </c>
      <c r="J212" s="30"/>
      <c r="K212" s="30"/>
      <c r="L212" s="36" t="str">
        <f t="shared" si="19"/>
        <v/>
      </c>
      <c r="M212" s="37" t="str">
        <f t="shared" si="20"/>
        <v/>
      </c>
      <c r="N212" s="37" t="str">
        <f t="shared" si="21"/>
        <v/>
      </c>
      <c r="O212" s="55"/>
      <c r="P212" s="55"/>
      <c r="Q212" s="55"/>
    </row>
    <row r="213" spans="1:17">
      <c r="A213" s="38" t="str">
        <f t="shared" si="22"/>
        <v/>
      </c>
      <c r="B213" s="38"/>
      <c r="C213" s="30"/>
      <c r="D213" s="30"/>
      <c r="E213" s="30"/>
      <c r="F213" s="30"/>
      <c r="G213" s="30"/>
      <c r="H213" s="30"/>
      <c r="I213" s="36" t="str">
        <f t="shared" si="23"/>
        <v/>
      </c>
      <c r="J213" s="30"/>
      <c r="K213" s="30"/>
      <c r="L213" s="36" t="str">
        <f t="shared" si="19"/>
        <v/>
      </c>
      <c r="M213" s="37" t="str">
        <f t="shared" si="20"/>
        <v/>
      </c>
      <c r="N213" s="37" t="str">
        <f t="shared" si="21"/>
        <v/>
      </c>
      <c r="O213" s="55"/>
      <c r="P213" s="55"/>
      <c r="Q213" s="55"/>
    </row>
    <row r="214" spans="1:17">
      <c r="A214" s="38" t="str">
        <f t="shared" si="22"/>
        <v/>
      </c>
      <c r="B214" s="38"/>
      <c r="C214" s="30"/>
      <c r="D214" s="30"/>
      <c r="E214" s="30"/>
      <c r="F214" s="30"/>
      <c r="G214" s="30"/>
      <c r="H214" s="30"/>
      <c r="I214" s="36" t="str">
        <f t="shared" si="23"/>
        <v/>
      </c>
      <c r="J214" s="30"/>
      <c r="K214" s="30"/>
      <c r="L214" s="36" t="str">
        <f t="shared" si="19"/>
        <v/>
      </c>
      <c r="M214" s="37" t="str">
        <f t="shared" si="20"/>
        <v/>
      </c>
      <c r="N214" s="37" t="str">
        <f t="shared" si="21"/>
        <v/>
      </c>
      <c r="O214" s="55"/>
      <c r="P214" s="55"/>
      <c r="Q214" s="55"/>
    </row>
    <row r="215" spans="1:17">
      <c r="A215" s="38" t="str">
        <f t="shared" si="22"/>
        <v/>
      </c>
      <c r="B215" s="38"/>
      <c r="C215" s="30"/>
      <c r="D215" s="30"/>
      <c r="E215" s="30"/>
      <c r="F215" s="30"/>
      <c r="G215" s="30"/>
      <c r="H215" s="30"/>
      <c r="I215" s="36" t="str">
        <f t="shared" si="23"/>
        <v/>
      </c>
      <c r="J215" s="30"/>
      <c r="K215" s="30"/>
      <c r="L215" s="36" t="str">
        <f t="shared" si="19"/>
        <v/>
      </c>
      <c r="M215" s="37" t="str">
        <f t="shared" si="20"/>
        <v/>
      </c>
      <c r="N215" s="37" t="str">
        <f t="shared" si="21"/>
        <v/>
      </c>
      <c r="O215" s="55"/>
      <c r="P215" s="55"/>
      <c r="Q215" s="55"/>
    </row>
    <row r="216" spans="1:17">
      <c r="A216" s="38" t="str">
        <f t="shared" si="22"/>
        <v/>
      </c>
      <c r="B216" s="38"/>
      <c r="C216" s="30"/>
      <c r="D216" s="30"/>
      <c r="E216" s="30"/>
      <c r="F216" s="30"/>
      <c r="G216" s="30"/>
      <c r="H216" s="30"/>
      <c r="I216" s="36" t="str">
        <f t="shared" si="23"/>
        <v/>
      </c>
      <c r="J216" s="30"/>
      <c r="K216" s="30"/>
      <c r="L216" s="36" t="str">
        <f t="shared" si="19"/>
        <v/>
      </c>
      <c r="M216" s="37" t="str">
        <f t="shared" si="20"/>
        <v/>
      </c>
      <c r="N216" s="37" t="str">
        <f t="shared" si="21"/>
        <v/>
      </c>
      <c r="O216" s="55"/>
      <c r="P216" s="55"/>
      <c r="Q216" s="55"/>
    </row>
    <row r="217" spans="1:17">
      <c r="A217" s="38" t="str">
        <f t="shared" si="22"/>
        <v/>
      </c>
      <c r="B217" s="38"/>
      <c r="C217" s="30"/>
      <c r="D217" s="30"/>
      <c r="E217" s="30"/>
      <c r="F217" s="30"/>
      <c r="G217" s="30"/>
      <c r="H217" s="30"/>
      <c r="I217" s="36" t="str">
        <f t="shared" si="23"/>
        <v/>
      </c>
      <c r="J217" s="30"/>
      <c r="K217" s="30"/>
      <c r="L217" s="36" t="str">
        <f t="shared" si="19"/>
        <v/>
      </c>
      <c r="M217" s="37" t="str">
        <f t="shared" si="20"/>
        <v/>
      </c>
      <c r="N217" s="37" t="str">
        <f t="shared" si="21"/>
        <v/>
      </c>
      <c r="O217" s="55"/>
      <c r="P217" s="55"/>
      <c r="Q217" s="55"/>
    </row>
    <row r="218" spans="1:17">
      <c r="A218" s="38" t="str">
        <f t="shared" si="22"/>
        <v/>
      </c>
      <c r="B218" s="38"/>
      <c r="C218" s="30"/>
      <c r="D218" s="30"/>
      <c r="E218" s="30"/>
      <c r="F218" s="30"/>
      <c r="G218" s="30"/>
      <c r="H218" s="30"/>
      <c r="I218" s="36" t="str">
        <f t="shared" si="23"/>
        <v/>
      </c>
      <c r="J218" s="30"/>
      <c r="K218" s="30"/>
      <c r="L218" s="36" t="str">
        <f t="shared" si="19"/>
        <v/>
      </c>
      <c r="M218" s="37" t="str">
        <f t="shared" si="20"/>
        <v/>
      </c>
      <c r="N218" s="37" t="str">
        <f t="shared" si="21"/>
        <v/>
      </c>
      <c r="O218" s="55"/>
      <c r="P218" s="55"/>
      <c r="Q218" s="55"/>
    </row>
    <row r="219" spans="1:17">
      <c r="A219" s="38" t="str">
        <f t="shared" si="22"/>
        <v/>
      </c>
      <c r="B219" s="38"/>
      <c r="C219" s="30"/>
      <c r="D219" s="30"/>
      <c r="E219" s="30"/>
      <c r="F219" s="30"/>
      <c r="G219" s="30"/>
      <c r="H219" s="30"/>
      <c r="I219" s="36" t="str">
        <f t="shared" si="23"/>
        <v/>
      </c>
      <c r="J219" s="30"/>
      <c r="K219" s="30"/>
      <c r="L219" s="36" t="str">
        <f t="shared" si="19"/>
        <v/>
      </c>
      <c r="M219" s="37" t="str">
        <f t="shared" si="20"/>
        <v/>
      </c>
      <c r="N219" s="37" t="str">
        <f t="shared" si="21"/>
        <v/>
      </c>
      <c r="O219" s="55"/>
      <c r="P219" s="55"/>
      <c r="Q219" s="55"/>
    </row>
    <row r="220" spans="1:17">
      <c r="A220" s="38" t="str">
        <f t="shared" si="22"/>
        <v/>
      </c>
      <c r="B220" s="38"/>
      <c r="C220" s="30"/>
      <c r="D220" s="30"/>
      <c r="E220" s="30"/>
      <c r="F220" s="30"/>
      <c r="G220" s="30"/>
      <c r="H220" s="30"/>
      <c r="I220" s="36" t="str">
        <f t="shared" si="23"/>
        <v/>
      </c>
      <c r="J220" s="30"/>
      <c r="K220" s="30"/>
      <c r="L220" s="36" t="str">
        <f t="shared" si="19"/>
        <v/>
      </c>
      <c r="M220" s="37" t="str">
        <f t="shared" si="20"/>
        <v/>
      </c>
      <c r="N220" s="37" t="str">
        <f t="shared" si="21"/>
        <v/>
      </c>
      <c r="O220" s="55"/>
      <c r="P220" s="55"/>
      <c r="Q220" s="55"/>
    </row>
    <row r="221" spans="1:17">
      <c r="A221" s="38" t="str">
        <f t="shared" si="22"/>
        <v/>
      </c>
      <c r="B221" s="38"/>
      <c r="C221" s="30"/>
      <c r="D221" s="30"/>
      <c r="E221" s="30"/>
      <c r="F221" s="30"/>
      <c r="G221" s="30"/>
      <c r="H221" s="30"/>
      <c r="I221" s="36" t="str">
        <f t="shared" si="23"/>
        <v/>
      </c>
      <c r="J221" s="30"/>
      <c r="K221" s="30"/>
      <c r="L221" s="36" t="str">
        <f t="shared" si="19"/>
        <v/>
      </c>
      <c r="M221" s="37" t="str">
        <f t="shared" si="20"/>
        <v/>
      </c>
      <c r="N221" s="37" t="str">
        <f t="shared" si="21"/>
        <v/>
      </c>
      <c r="O221" s="55"/>
      <c r="P221" s="55"/>
      <c r="Q221" s="55"/>
    </row>
    <row r="222" spans="1:17">
      <c r="A222" s="38" t="str">
        <f t="shared" si="22"/>
        <v/>
      </c>
      <c r="B222" s="38"/>
      <c r="C222" s="30"/>
      <c r="D222" s="30"/>
      <c r="E222" s="30"/>
      <c r="F222" s="30"/>
      <c r="G222" s="30"/>
      <c r="H222" s="30"/>
      <c r="I222" s="36" t="str">
        <f t="shared" si="23"/>
        <v/>
      </c>
      <c r="J222" s="30"/>
      <c r="K222" s="30"/>
      <c r="L222" s="36" t="str">
        <f t="shared" si="19"/>
        <v/>
      </c>
      <c r="M222" s="37" t="str">
        <f t="shared" si="20"/>
        <v/>
      </c>
      <c r="N222" s="37" t="str">
        <f t="shared" si="21"/>
        <v/>
      </c>
      <c r="O222" s="55"/>
      <c r="P222" s="55"/>
      <c r="Q222" s="55"/>
    </row>
    <row r="223" spans="1:17">
      <c r="A223" s="38" t="str">
        <f t="shared" si="22"/>
        <v/>
      </c>
      <c r="B223" s="38"/>
      <c r="C223" s="30"/>
      <c r="D223" s="30"/>
      <c r="E223" s="30"/>
      <c r="F223" s="30"/>
      <c r="G223" s="30"/>
      <c r="H223" s="30"/>
      <c r="I223" s="36" t="str">
        <f t="shared" si="23"/>
        <v/>
      </c>
      <c r="J223" s="30"/>
      <c r="K223" s="30"/>
      <c r="L223" s="36" t="str">
        <f t="shared" si="19"/>
        <v/>
      </c>
      <c r="M223" s="37" t="str">
        <f t="shared" si="20"/>
        <v/>
      </c>
      <c r="N223" s="37" t="str">
        <f t="shared" si="21"/>
        <v/>
      </c>
      <c r="O223" s="55"/>
      <c r="P223" s="55"/>
      <c r="Q223" s="55"/>
    </row>
    <row r="224" spans="1:17">
      <c r="A224" s="38" t="str">
        <f t="shared" si="22"/>
        <v/>
      </c>
      <c r="B224" s="38"/>
      <c r="C224" s="30"/>
      <c r="D224" s="30"/>
      <c r="E224" s="30"/>
      <c r="F224" s="30"/>
      <c r="G224" s="30"/>
      <c r="H224" s="30"/>
      <c r="I224" s="36" t="str">
        <f t="shared" si="23"/>
        <v/>
      </c>
      <c r="J224" s="30"/>
      <c r="K224" s="30"/>
      <c r="L224" s="36" t="str">
        <f t="shared" si="19"/>
        <v/>
      </c>
      <c r="M224" s="37" t="str">
        <f t="shared" si="20"/>
        <v/>
      </c>
      <c r="N224" s="37" t="str">
        <f t="shared" si="21"/>
        <v/>
      </c>
      <c r="O224" s="55"/>
      <c r="P224" s="55"/>
      <c r="Q224" s="55"/>
    </row>
    <row r="225" spans="1:17">
      <c r="A225" s="38" t="str">
        <f t="shared" si="22"/>
        <v/>
      </c>
      <c r="B225" s="38"/>
      <c r="C225" s="30"/>
      <c r="D225" s="30"/>
      <c r="E225" s="30"/>
      <c r="F225" s="30"/>
      <c r="G225" s="30"/>
      <c r="H225" s="30"/>
      <c r="I225" s="36" t="str">
        <f t="shared" si="23"/>
        <v/>
      </c>
      <c r="J225" s="30"/>
      <c r="K225" s="30"/>
      <c r="L225" s="36" t="str">
        <f t="shared" si="19"/>
        <v/>
      </c>
      <c r="M225" s="37" t="str">
        <f t="shared" si="20"/>
        <v/>
      </c>
      <c r="N225" s="37" t="str">
        <f t="shared" si="21"/>
        <v/>
      </c>
      <c r="O225" s="55"/>
      <c r="P225" s="55"/>
      <c r="Q225" s="55"/>
    </row>
    <row r="226" spans="1:17">
      <c r="A226" s="38" t="str">
        <f t="shared" si="22"/>
        <v/>
      </c>
      <c r="B226" s="38"/>
      <c r="C226" s="30"/>
      <c r="D226" s="30"/>
      <c r="E226" s="30"/>
      <c r="F226" s="30"/>
      <c r="G226" s="30"/>
      <c r="H226" s="30"/>
      <c r="I226" s="36" t="str">
        <f t="shared" si="23"/>
        <v/>
      </c>
      <c r="J226" s="30"/>
      <c r="K226" s="30"/>
      <c r="L226" s="36" t="str">
        <f t="shared" si="19"/>
        <v/>
      </c>
      <c r="M226" s="37" t="str">
        <f t="shared" si="20"/>
        <v/>
      </c>
      <c r="N226" s="37" t="str">
        <f t="shared" si="21"/>
        <v/>
      </c>
      <c r="O226" s="55"/>
      <c r="P226" s="55"/>
      <c r="Q226" s="55"/>
    </row>
    <row r="227" spans="1:17">
      <c r="A227" s="38" t="str">
        <f t="shared" si="22"/>
        <v/>
      </c>
      <c r="B227" s="38"/>
      <c r="C227" s="30"/>
      <c r="D227" s="30"/>
      <c r="E227" s="30"/>
      <c r="F227" s="30"/>
      <c r="G227" s="30"/>
      <c r="H227" s="30"/>
      <c r="I227" s="36" t="str">
        <f t="shared" si="23"/>
        <v/>
      </c>
      <c r="J227" s="30"/>
      <c r="K227" s="30"/>
      <c r="L227" s="36" t="str">
        <f t="shared" si="19"/>
        <v/>
      </c>
      <c r="M227" s="37" t="str">
        <f t="shared" si="20"/>
        <v/>
      </c>
      <c r="N227" s="37" t="str">
        <f t="shared" si="21"/>
        <v/>
      </c>
      <c r="O227" s="55"/>
      <c r="P227" s="55"/>
      <c r="Q227" s="55"/>
    </row>
    <row r="228" spans="1:17">
      <c r="A228" s="38" t="str">
        <f t="shared" si="22"/>
        <v/>
      </c>
      <c r="B228" s="38"/>
      <c r="C228" s="30"/>
      <c r="D228" s="30"/>
      <c r="E228" s="30"/>
      <c r="F228" s="30"/>
      <c r="G228" s="30"/>
      <c r="H228" s="30"/>
      <c r="I228" s="36" t="str">
        <f t="shared" si="23"/>
        <v/>
      </c>
      <c r="J228" s="30"/>
      <c r="K228" s="30"/>
      <c r="L228" s="36" t="str">
        <f t="shared" si="19"/>
        <v/>
      </c>
      <c r="M228" s="37" t="str">
        <f t="shared" si="20"/>
        <v/>
      </c>
      <c r="N228" s="37" t="str">
        <f t="shared" si="21"/>
        <v/>
      </c>
      <c r="O228" s="55"/>
      <c r="P228" s="55"/>
      <c r="Q228" s="55"/>
    </row>
    <row r="229" spans="1:17">
      <c r="A229" s="38" t="str">
        <f t="shared" si="22"/>
        <v/>
      </c>
      <c r="B229" s="38"/>
      <c r="C229" s="30"/>
      <c r="D229" s="30"/>
      <c r="E229" s="30"/>
      <c r="F229" s="30"/>
      <c r="G229" s="30"/>
      <c r="H229" s="30"/>
      <c r="I229" s="36" t="str">
        <f t="shared" si="23"/>
        <v/>
      </c>
      <c r="J229" s="30"/>
      <c r="K229" s="30"/>
      <c r="L229" s="36" t="str">
        <f t="shared" si="19"/>
        <v/>
      </c>
      <c r="M229" s="37" t="str">
        <f t="shared" si="20"/>
        <v/>
      </c>
      <c r="N229" s="37" t="str">
        <f t="shared" si="21"/>
        <v/>
      </c>
      <c r="O229" s="55"/>
      <c r="P229" s="55"/>
      <c r="Q229" s="55"/>
    </row>
    <row r="230" spans="1:17">
      <c r="A230" s="38" t="str">
        <f t="shared" si="22"/>
        <v/>
      </c>
      <c r="B230" s="38"/>
      <c r="C230" s="30"/>
      <c r="D230" s="30"/>
      <c r="E230" s="30"/>
      <c r="F230" s="30"/>
      <c r="G230" s="30"/>
      <c r="H230" s="30"/>
      <c r="I230" s="36" t="str">
        <f t="shared" si="23"/>
        <v/>
      </c>
      <c r="J230" s="30"/>
      <c r="K230" s="30"/>
      <c r="L230" s="36" t="str">
        <f t="shared" si="19"/>
        <v/>
      </c>
      <c r="M230" s="37" t="str">
        <f t="shared" si="20"/>
        <v/>
      </c>
      <c r="N230" s="37" t="str">
        <f t="shared" si="21"/>
        <v/>
      </c>
      <c r="O230" s="55"/>
      <c r="P230" s="55"/>
      <c r="Q230" s="55"/>
    </row>
    <row r="231" spans="1:17">
      <c r="A231" s="38" t="str">
        <f t="shared" si="22"/>
        <v/>
      </c>
      <c r="B231" s="38"/>
      <c r="C231" s="30"/>
      <c r="D231" s="30"/>
      <c r="E231" s="30"/>
      <c r="F231" s="30"/>
      <c r="G231" s="30"/>
      <c r="H231" s="30"/>
      <c r="I231" s="36" t="str">
        <f t="shared" si="23"/>
        <v/>
      </c>
      <c r="J231" s="30"/>
      <c r="K231" s="30"/>
      <c r="L231" s="36" t="str">
        <f t="shared" si="19"/>
        <v/>
      </c>
      <c r="M231" s="37" t="str">
        <f t="shared" si="20"/>
        <v/>
      </c>
      <c r="N231" s="37" t="str">
        <f t="shared" si="21"/>
        <v/>
      </c>
      <c r="O231" s="55"/>
      <c r="P231" s="55"/>
      <c r="Q231" s="55"/>
    </row>
    <row r="232" spans="1:17">
      <c r="A232" s="38" t="str">
        <f t="shared" si="22"/>
        <v/>
      </c>
      <c r="B232" s="38"/>
      <c r="C232" s="30"/>
      <c r="D232" s="30"/>
      <c r="E232" s="30"/>
      <c r="F232" s="30"/>
      <c r="G232" s="30"/>
      <c r="H232" s="30"/>
      <c r="I232" s="36" t="str">
        <f t="shared" si="23"/>
        <v/>
      </c>
      <c r="J232" s="30"/>
      <c r="K232" s="30"/>
      <c r="L232" s="36" t="str">
        <f t="shared" si="19"/>
        <v/>
      </c>
      <c r="M232" s="37" t="str">
        <f t="shared" si="20"/>
        <v/>
      </c>
      <c r="N232" s="37" t="str">
        <f t="shared" si="21"/>
        <v/>
      </c>
      <c r="O232" s="55"/>
      <c r="P232" s="55"/>
      <c r="Q232" s="55"/>
    </row>
    <row r="233" spans="1:17">
      <c r="A233" s="38" t="str">
        <f t="shared" si="22"/>
        <v/>
      </c>
      <c r="B233" s="38"/>
      <c r="C233" s="30"/>
      <c r="D233" s="30"/>
      <c r="E233" s="30"/>
      <c r="F233" s="30"/>
      <c r="G233" s="30"/>
      <c r="H233" s="30"/>
      <c r="I233" s="36" t="str">
        <f t="shared" si="23"/>
        <v/>
      </c>
      <c r="J233" s="30"/>
      <c r="K233" s="30"/>
      <c r="L233" s="36" t="str">
        <f t="shared" si="19"/>
        <v/>
      </c>
      <c r="M233" s="37" t="str">
        <f t="shared" si="20"/>
        <v/>
      </c>
      <c r="N233" s="37" t="str">
        <f t="shared" si="21"/>
        <v/>
      </c>
      <c r="O233" s="55"/>
      <c r="P233" s="55"/>
      <c r="Q233" s="55"/>
    </row>
    <row r="234" spans="1:17">
      <c r="A234" s="38" t="str">
        <f t="shared" si="22"/>
        <v/>
      </c>
      <c r="B234" s="38"/>
      <c r="C234" s="30"/>
      <c r="D234" s="30"/>
      <c r="E234" s="30"/>
      <c r="F234" s="30"/>
      <c r="G234" s="30"/>
      <c r="H234" s="30"/>
      <c r="I234" s="36" t="str">
        <f t="shared" si="23"/>
        <v/>
      </c>
      <c r="J234" s="30"/>
      <c r="K234" s="30"/>
      <c r="L234" s="36" t="str">
        <f t="shared" si="19"/>
        <v/>
      </c>
      <c r="M234" s="37" t="str">
        <f t="shared" si="20"/>
        <v/>
      </c>
      <c r="N234" s="37" t="str">
        <f t="shared" si="21"/>
        <v/>
      </c>
      <c r="O234" s="55"/>
      <c r="P234" s="55"/>
      <c r="Q234" s="55"/>
    </row>
    <row r="235" spans="1:17">
      <c r="A235" s="38" t="str">
        <f t="shared" si="22"/>
        <v/>
      </c>
      <c r="B235" s="38"/>
      <c r="C235" s="30"/>
      <c r="D235" s="30"/>
      <c r="E235" s="30"/>
      <c r="F235" s="30"/>
      <c r="G235" s="30"/>
      <c r="H235" s="30"/>
      <c r="I235" s="36" t="str">
        <f t="shared" si="23"/>
        <v/>
      </c>
      <c r="J235" s="30"/>
      <c r="K235" s="30"/>
      <c r="L235" s="36" t="str">
        <f t="shared" si="19"/>
        <v/>
      </c>
      <c r="M235" s="37" t="str">
        <f t="shared" si="20"/>
        <v/>
      </c>
      <c r="N235" s="37" t="str">
        <f t="shared" si="21"/>
        <v/>
      </c>
      <c r="O235" s="55"/>
      <c r="P235" s="55"/>
      <c r="Q235" s="55"/>
    </row>
    <row r="236" spans="1:17">
      <c r="A236" s="38" t="str">
        <f t="shared" si="22"/>
        <v/>
      </c>
      <c r="B236" s="38"/>
      <c r="C236" s="30"/>
      <c r="D236" s="30"/>
      <c r="E236" s="30"/>
      <c r="F236" s="30"/>
      <c r="G236" s="30"/>
      <c r="H236" s="30"/>
      <c r="I236" s="36" t="str">
        <f t="shared" si="23"/>
        <v/>
      </c>
      <c r="J236" s="30"/>
      <c r="K236" s="30"/>
      <c r="L236" s="36" t="str">
        <f t="shared" si="19"/>
        <v/>
      </c>
      <c r="M236" s="37" t="str">
        <f t="shared" si="20"/>
        <v/>
      </c>
      <c r="N236" s="37" t="str">
        <f t="shared" si="21"/>
        <v/>
      </c>
      <c r="O236" s="55"/>
      <c r="P236" s="55"/>
      <c r="Q236" s="55"/>
    </row>
    <row r="237" spans="1:17">
      <c r="A237" s="38" t="str">
        <f t="shared" si="22"/>
        <v/>
      </c>
      <c r="B237" s="38"/>
      <c r="C237" s="30"/>
      <c r="D237" s="30"/>
      <c r="E237" s="30"/>
      <c r="F237" s="30"/>
      <c r="G237" s="30"/>
      <c r="H237" s="30"/>
      <c r="I237" s="36" t="str">
        <f t="shared" si="23"/>
        <v/>
      </c>
      <c r="J237" s="30"/>
      <c r="K237" s="30"/>
      <c r="L237" s="36" t="str">
        <f t="shared" si="19"/>
        <v/>
      </c>
      <c r="M237" s="37" t="str">
        <f t="shared" si="20"/>
        <v/>
      </c>
      <c r="N237" s="37" t="str">
        <f t="shared" si="21"/>
        <v/>
      </c>
      <c r="O237" s="55"/>
      <c r="P237" s="55"/>
      <c r="Q237" s="55"/>
    </row>
    <row r="238" spans="1:17">
      <c r="A238" s="38" t="str">
        <f t="shared" si="22"/>
        <v/>
      </c>
      <c r="B238" s="38"/>
      <c r="C238" s="30"/>
      <c r="D238" s="30"/>
      <c r="E238" s="30"/>
      <c r="F238" s="30"/>
      <c r="G238" s="30"/>
      <c r="H238" s="30"/>
      <c r="I238" s="36" t="str">
        <f t="shared" si="23"/>
        <v/>
      </c>
      <c r="J238" s="30"/>
      <c r="K238" s="30"/>
      <c r="L238" s="36" t="str">
        <f t="shared" si="19"/>
        <v/>
      </c>
      <c r="M238" s="37" t="str">
        <f t="shared" si="20"/>
        <v/>
      </c>
      <c r="N238" s="37" t="str">
        <f t="shared" si="21"/>
        <v/>
      </c>
      <c r="O238" s="55"/>
      <c r="P238" s="55"/>
      <c r="Q238" s="55"/>
    </row>
    <row r="239" spans="1:17">
      <c r="A239" s="38" t="str">
        <f t="shared" si="22"/>
        <v/>
      </c>
      <c r="B239" s="38"/>
      <c r="C239" s="30"/>
      <c r="D239" s="30"/>
      <c r="E239" s="30"/>
      <c r="F239" s="30"/>
      <c r="G239" s="30"/>
      <c r="H239" s="30"/>
      <c r="I239" s="36" t="str">
        <f t="shared" si="23"/>
        <v/>
      </c>
      <c r="J239" s="30"/>
      <c r="K239" s="30"/>
      <c r="L239" s="36" t="str">
        <f t="shared" si="19"/>
        <v/>
      </c>
      <c r="M239" s="37" t="str">
        <f t="shared" si="20"/>
        <v/>
      </c>
      <c r="N239" s="37" t="str">
        <f t="shared" si="21"/>
        <v/>
      </c>
      <c r="O239" s="55"/>
      <c r="P239" s="55"/>
      <c r="Q239" s="55"/>
    </row>
    <row r="240" spans="1:17">
      <c r="A240" s="38" t="str">
        <f t="shared" si="22"/>
        <v/>
      </c>
      <c r="B240" s="38"/>
      <c r="C240" s="30"/>
      <c r="D240" s="30"/>
      <c r="E240" s="30"/>
      <c r="F240" s="30"/>
      <c r="G240" s="30"/>
      <c r="H240" s="30"/>
      <c r="I240" s="36" t="str">
        <f t="shared" si="23"/>
        <v/>
      </c>
      <c r="J240" s="30"/>
      <c r="K240" s="30"/>
      <c r="L240" s="36" t="str">
        <f t="shared" si="19"/>
        <v/>
      </c>
      <c r="M240" s="37" t="str">
        <f t="shared" si="20"/>
        <v/>
      </c>
      <c r="N240" s="37" t="str">
        <f t="shared" si="21"/>
        <v/>
      </c>
      <c r="O240" s="55"/>
      <c r="P240" s="55"/>
      <c r="Q240" s="55"/>
    </row>
    <row r="241" spans="1:17">
      <c r="A241" s="38" t="str">
        <f t="shared" si="22"/>
        <v/>
      </c>
      <c r="B241" s="38"/>
      <c r="C241" s="30"/>
      <c r="D241" s="30"/>
      <c r="E241" s="30"/>
      <c r="F241" s="30"/>
      <c r="G241" s="30"/>
      <c r="H241" s="30"/>
      <c r="I241" s="36" t="str">
        <f t="shared" si="23"/>
        <v/>
      </c>
      <c r="J241" s="30"/>
      <c r="K241" s="30"/>
      <c r="L241" s="36" t="str">
        <f t="shared" si="19"/>
        <v/>
      </c>
      <c r="M241" s="37" t="str">
        <f t="shared" si="20"/>
        <v/>
      </c>
      <c r="N241" s="37" t="str">
        <f t="shared" si="21"/>
        <v/>
      </c>
      <c r="O241" s="55"/>
      <c r="P241" s="55"/>
      <c r="Q241" s="55"/>
    </row>
    <row r="242" spans="1:17">
      <c r="A242" s="38" t="str">
        <f t="shared" si="22"/>
        <v/>
      </c>
      <c r="B242" s="38"/>
      <c r="C242" s="30"/>
      <c r="D242" s="30"/>
      <c r="E242" s="30"/>
      <c r="F242" s="30"/>
      <c r="G242" s="30"/>
      <c r="H242" s="30"/>
      <c r="I242" s="36" t="str">
        <f t="shared" si="23"/>
        <v/>
      </c>
      <c r="J242" s="30"/>
      <c r="K242" s="30"/>
      <c r="L242" s="36" t="str">
        <f t="shared" si="19"/>
        <v/>
      </c>
      <c r="M242" s="37" t="str">
        <f t="shared" si="20"/>
        <v/>
      </c>
      <c r="N242" s="37" t="str">
        <f t="shared" si="21"/>
        <v/>
      </c>
      <c r="O242" s="55"/>
      <c r="P242" s="55"/>
      <c r="Q242" s="55"/>
    </row>
    <row r="243" spans="1:17">
      <c r="A243" s="38" t="str">
        <f t="shared" si="22"/>
        <v/>
      </c>
      <c r="B243" s="38"/>
      <c r="C243" s="30"/>
      <c r="D243" s="30"/>
      <c r="E243" s="30"/>
      <c r="F243" s="30"/>
      <c r="G243" s="30"/>
      <c r="H243" s="30"/>
      <c r="I243" s="36" t="str">
        <f t="shared" si="23"/>
        <v/>
      </c>
      <c r="J243" s="30"/>
      <c r="K243" s="30"/>
      <c r="L243" s="36" t="str">
        <f t="shared" si="19"/>
        <v/>
      </c>
      <c r="M243" s="37" t="str">
        <f t="shared" si="20"/>
        <v/>
      </c>
      <c r="N243" s="37" t="str">
        <f t="shared" si="21"/>
        <v/>
      </c>
      <c r="O243" s="55"/>
      <c r="P243" s="55"/>
      <c r="Q243" s="55"/>
    </row>
    <row r="244" spans="1:17">
      <c r="A244" s="38" t="str">
        <f t="shared" si="22"/>
        <v/>
      </c>
      <c r="B244" s="38"/>
      <c r="C244" s="30"/>
      <c r="D244" s="30"/>
      <c r="E244" s="30"/>
      <c r="F244" s="30"/>
      <c r="G244" s="30"/>
      <c r="H244" s="30"/>
      <c r="I244" s="36" t="str">
        <f t="shared" si="23"/>
        <v/>
      </c>
      <c r="J244" s="30"/>
      <c r="K244" s="30"/>
      <c r="L244" s="36" t="str">
        <f t="shared" si="19"/>
        <v/>
      </c>
      <c r="M244" s="37" t="str">
        <f t="shared" si="20"/>
        <v/>
      </c>
      <c r="N244" s="37" t="str">
        <f t="shared" si="21"/>
        <v/>
      </c>
      <c r="O244" s="55"/>
      <c r="P244" s="55"/>
      <c r="Q244" s="55"/>
    </row>
    <row r="245" spans="1:17">
      <c r="A245" s="38" t="str">
        <f t="shared" si="22"/>
        <v/>
      </c>
      <c r="B245" s="38"/>
      <c r="C245" s="30"/>
      <c r="D245" s="30"/>
      <c r="E245" s="30"/>
      <c r="F245" s="30"/>
      <c r="G245" s="30"/>
      <c r="H245" s="30"/>
      <c r="I245" s="36" t="str">
        <f t="shared" si="23"/>
        <v/>
      </c>
      <c r="J245" s="30"/>
      <c r="K245" s="30"/>
      <c r="L245" s="36" t="str">
        <f t="shared" si="19"/>
        <v/>
      </c>
      <c r="M245" s="37" t="str">
        <f t="shared" si="20"/>
        <v/>
      </c>
      <c r="N245" s="37" t="str">
        <f t="shared" si="21"/>
        <v/>
      </c>
      <c r="O245" s="55"/>
      <c r="P245" s="55"/>
      <c r="Q245" s="55"/>
    </row>
    <row r="246" spans="1:17">
      <c r="A246" s="38" t="str">
        <f t="shared" si="22"/>
        <v/>
      </c>
      <c r="B246" s="38"/>
      <c r="C246" s="30"/>
      <c r="D246" s="30"/>
      <c r="E246" s="30"/>
      <c r="F246" s="30"/>
      <c r="G246" s="30"/>
      <c r="H246" s="30"/>
      <c r="I246" s="36" t="str">
        <f t="shared" si="23"/>
        <v/>
      </c>
      <c r="J246" s="30"/>
      <c r="K246" s="30"/>
      <c r="L246" s="36" t="str">
        <f t="shared" si="19"/>
        <v/>
      </c>
      <c r="M246" s="37" t="str">
        <f t="shared" si="20"/>
        <v/>
      </c>
      <c r="N246" s="37" t="str">
        <f t="shared" si="21"/>
        <v/>
      </c>
      <c r="O246" s="55"/>
      <c r="P246" s="55"/>
      <c r="Q246" s="55"/>
    </row>
    <row r="247" spans="1:17">
      <c r="A247" s="38" t="str">
        <f t="shared" si="22"/>
        <v/>
      </c>
      <c r="B247" s="38"/>
      <c r="C247" s="30"/>
      <c r="D247" s="30"/>
      <c r="E247" s="30"/>
      <c r="F247" s="30"/>
      <c r="G247" s="30"/>
      <c r="H247" s="30"/>
      <c r="I247" s="36" t="str">
        <f t="shared" si="23"/>
        <v/>
      </c>
      <c r="J247" s="30"/>
      <c r="K247" s="30"/>
      <c r="L247" s="36" t="str">
        <f t="shared" si="19"/>
        <v/>
      </c>
      <c r="M247" s="37" t="str">
        <f t="shared" si="20"/>
        <v/>
      </c>
      <c r="N247" s="37" t="str">
        <f t="shared" si="21"/>
        <v/>
      </c>
      <c r="O247" s="55"/>
      <c r="P247" s="55"/>
      <c r="Q247" s="55"/>
    </row>
    <row r="248" spans="1:17">
      <c r="A248" s="38" t="str">
        <f t="shared" si="22"/>
        <v/>
      </c>
      <c r="B248" s="38"/>
      <c r="C248" s="30"/>
      <c r="D248" s="30"/>
      <c r="E248" s="30"/>
      <c r="F248" s="30"/>
      <c r="G248" s="30"/>
      <c r="H248" s="30"/>
      <c r="I248" s="36" t="str">
        <f t="shared" si="23"/>
        <v/>
      </c>
      <c r="J248" s="30"/>
      <c r="K248" s="30"/>
      <c r="L248" s="36" t="str">
        <f t="shared" si="19"/>
        <v/>
      </c>
      <c r="M248" s="37" t="str">
        <f t="shared" si="20"/>
        <v/>
      </c>
      <c r="N248" s="37" t="str">
        <f t="shared" si="21"/>
        <v/>
      </c>
      <c r="O248" s="55"/>
      <c r="P248" s="55"/>
      <c r="Q248" s="55"/>
    </row>
    <row r="249" spans="1:17">
      <c r="A249" s="38" t="str">
        <f t="shared" si="22"/>
        <v/>
      </c>
      <c r="B249" s="38"/>
      <c r="C249" s="30"/>
      <c r="D249" s="30"/>
      <c r="E249" s="30"/>
      <c r="F249" s="30"/>
      <c r="G249" s="30"/>
      <c r="H249" s="30"/>
      <c r="I249" s="36" t="str">
        <f t="shared" si="23"/>
        <v/>
      </c>
      <c r="J249" s="30"/>
      <c r="K249" s="30"/>
      <c r="L249" s="36" t="str">
        <f t="shared" si="19"/>
        <v/>
      </c>
      <c r="M249" s="37" t="str">
        <f t="shared" si="20"/>
        <v/>
      </c>
      <c r="N249" s="37" t="str">
        <f t="shared" si="21"/>
        <v/>
      </c>
      <c r="O249" s="55"/>
      <c r="P249" s="55"/>
      <c r="Q249" s="55"/>
    </row>
    <row r="250" spans="1:17">
      <c r="A250" s="38" t="str">
        <f t="shared" si="22"/>
        <v/>
      </c>
      <c r="B250" s="38"/>
      <c r="C250" s="30"/>
      <c r="D250" s="30"/>
      <c r="E250" s="30"/>
      <c r="F250" s="30"/>
      <c r="G250" s="30"/>
      <c r="H250" s="30"/>
      <c r="I250" s="36" t="str">
        <f t="shared" si="23"/>
        <v/>
      </c>
      <c r="J250" s="30"/>
      <c r="K250" s="30"/>
      <c r="L250" s="36" t="str">
        <f t="shared" si="19"/>
        <v/>
      </c>
      <c r="M250" s="37" t="str">
        <f t="shared" si="20"/>
        <v/>
      </c>
      <c r="N250" s="37" t="str">
        <f t="shared" si="21"/>
        <v/>
      </c>
      <c r="O250" s="55"/>
      <c r="P250" s="55"/>
      <c r="Q250" s="55"/>
    </row>
    <row r="251" spans="1:17">
      <c r="A251" s="38" t="str">
        <f t="shared" si="22"/>
        <v/>
      </c>
      <c r="B251" s="38"/>
      <c r="C251" s="30"/>
      <c r="D251" s="30"/>
      <c r="E251" s="30"/>
      <c r="F251" s="30"/>
      <c r="G251" s="30"/>
      <c r="H251" s="30"/>
      <c r="I251" s="36" t="str">
        <f t="shared" si="23"/>
        <v/>
      </c>
      <c r="J251" s="30"/>
      <c r="K251" s="30"/>
      <c r="L251" s="36" t="str">
        <f t="shared" si="19"/>
        <v/>
      </c>
      <c r="M251" s="37" t="str">
        <f t="shared" si="20"/>
        <v/>
      </c>
      <c r="N251" s="37" t="str">
        <f t="shared" si="21"/>
        <v/>
      </c>
      <c r="O251" s="55"/>
      <c r="P251" s="55"/>
      <c r="Q251" s="55"/>
    </row>
    <row r="252" spans="1:17">
      <c r="A252" s="38" t="str">
        <f t="shared" si="22"/>
        <v/>
      </c>
      <c r="B252" s="38"/>
      <c r="C252" s="30"/>
      <c r="D252" s="30"/>
      <c r="E252" s="30"/>
      <c r="F252" s="30"/>
      <c r="G252" s="30"/>
      <c r="H252" s="30"/>
      <c r="I252" s="36" t="str">
        <f t="shared" si="23"/>
        <v/>
      </c>
      <c r="J252" s="30"/>
      <c r="K252" s="30"/>
      <c r="L252" s="36" t="str">
        <f t="shared" si="19"/>
        <v/>
      </c>
      <c r="M252" s="37" t="str">
        <f t="shared" si="20"/>
        <v/>
      </c>
      <c r="N252" s="37" t="str">
        <f t="shared" si="21"/>
        <v/>
      </c>
      <c r="O252" s="55"/>
      <c r="P252" s="55"/>
      <c r="Q252" s="55"/>
    </row>
    <row r="253" spans="1:17">
      <c r="A253" s="38" t="str">
        <f t="shared" si="22"/>
        <v/>
      </c>
      <c r="B253" s="38"/>
      <c r="C253" s="30"/>
      <c r="D253" s="30"/>
      <c r="E253" s="30"/>
      <c r="F253" s="30"/>
      <c r="G253" s="30"/>
      <c r="H253" s="30"/>
      <c r="I253" s="36" t="str">
        <f t="shared" si="23"/>
        <v/>
      </c>
      <c r="J253" s="30"/>
      <c r="K253" s="30"/>
      <c r="L253" s="36" t="str">
        <f t="shared" si="19"/>
        <v/>
      </c>
      <c r="M253" s="37" t="str">
        <f t="shared" si="20"/>
        <v/>
      </c>
      <c r="N253" s="37" t="str">
        <f t="shared" si="21"/>
        <v/>
      </c>
      <c r="O253" s="55"/>
      <c r="P253" s="55"/>
      <c r="Q253" s="55"/>
    </row>
    <row r="254" spans="1:17">
      <c r="A254" s="38" t="str">
        <f t="shared" si="22"/>
        <v/>
      </c>
      <c r="B254" s="38"/>
      <c r="C254" s="30"/>
      <c r="D254" s="30"/>
      <c r="E254" s="30"/>
      <c r="F254" s="30"/>
      <c r="G254" s="30"/>
      <c r="H254" s="30"/>
      <c r="I254" s="36" t="str">
        <f t="shared" si="23"/>
        <v/>
      </c>
      <c r="J254" s="30"/>
      <c r="K254" s="30"/>
      <c r="L254" s="36" t="str">
        <f t="shared" si="19"/>
        <v/>
      </c>
      <c r="M254" s="37" t="str">
        <f t="shared" si="20"/>
        <v/>
      </c>
      <c r="N254" s="37" t="str">
        <f t="shared" si="21"/>
        <v/>
      </c>
      <c r="O254" s="55"/>
      <c r="P254" s="55"/>
      <c r="Q254" s="55"/>
    </row>
    <row r="255" spans="1:17">
      <c r="A255" s="38" t="str">
        <f t="shared" si="22"/>
        <v/>
      </c>
      <c r="B255" s="38"/>
      <c r="C255" s="30"/>
      <c r="D255" s="30"/>
      <c r="E255" s="30"/>
      <c r="F255" s="30"/>
      <c r="G255" s="30"/>
      <c r="H255" s="30"/>
      <c r="I255" s="36" t="str">
        <f t="shared" si="23"/>
        <v/>
      </c>
      <c r="J255" s="30"/>
      <c r="K255" s="30"/>
      <c r="L255" s="36" t="str">
        <f t="shared" si="19"/>
        <v/>
      </c>
      <c r="M255" s="37" t="str">
        <f t="shared" si="20"/>
        <v/>
      </c>
      <c r="N255" s="37" t="str">
        <f t="shared" si="21"/>
        <v/>
      </c>
      <c r="O255" s="55"/>
      <c r="P255" s="55"/>
      <c r="Q255" s="55"/>
    </row>
    <row r="256" spans="1:17">
      <c r="A256" s="38" t="str">
        <f t="shared" si="22"/>
        <v/>
      </c>
      <c r="B256" s="38"/>
      <c r="C256" s="30"/>
      <c r="D256" s="30"/>
      <c r="E256" s="30"/>
      <c r="F256" s="30"/>
      <c r="G256" s="30"/>
      <c r="H256" s="30"/>
      <c r="I256" s="36" t="str">
        <f t="shared" si="23"/>
        <v/>
      </c>
      <c r="J256" s="30"/>
      <c r="K256" s="30"/>
      <c r="L256" s="36" t="str">
        <f t="shared" si="19"/>
        <v/>
      </c>
      <c r="M256" s="37" t="str">
        <f t="shared" si="20"/>
        <v/>
      </c>
      <c r="N256" s="37" t="str">
        <f t="shared" si="21"/>
        <v/>
      </c>
      <c r="O256" s="55"/>
      <c r="P256" s="55"/>
      <c r="Q256" s="55"/>
    </row>
    <row r="257" spans="1:17">
      <c r="A257" s="38" t="str">
        <f t="shared" si="22"/>
        <v/>
      </c>
      <c r="B257" s="38"/>
      <c r="C257" s="30"/>
      <c r="D257" s="30"/>
      <c r="E257" s="30"/>
      <c r="F257" s="30"/>
      <c r="G257" s="30"/>
      <c r="H257" s="30"/>
      <c r="I257" s="36" t="str">
        <f t="shared" si="23"/>
        <v/>
      </c>
      <c r="J257" s="30"/>
      <c r="K257" s="30"/>
      <c r="L257" s="36" t="str">
        <f t="shared" si="19"/>
        <v/>
      </c>
      <c r="M257" s="37" t="str">
        <f t="shared" si="20"/>
        <v/>
      </c>
      <c r="N257" s="37" t="str">
        <f t="shared" si="21"/>
        <v/>
      </c>
      <c r="O257" s="55"/>
      <c r="P257" s="55"/>
      <c r="Q257" s="55"/>
    </row>
    <row r="258" spans="1:17">
      <c r="A258" s="38" t="str">
        <f t="shared" si="22"/>
        <v/>
      </c>
      <c r="B258" s="38"/>
      <c r="C258" s="30"/>
      <c r="D258" s="30"/>
      <c r="E258" s="30"/>
      <c r="F258" s="30"/>
      <c r="G258" s="30"/>
      <c r="H258" s="30"/>
      <c r="I258" s="36" t="str">
        <f t="shared" si="23"/>
        <v/>
      </c>
      <c r="J258" s="30"/>
      <c r="K258" s="30"/>
      <c r="L258" s="36" t="str">
        <f t="shared" si="19"/>
        <v/>
      </c>
      <c r="M258" s="37" t="str">
        <f t="shared" si="20"/>
        <v/>
      </c>
      <c r="N258" s="37" t="str">
        <f t="shared" si="21"/>
        <v/>
      </c>
      <c r="O258" s="55"/>
      <c r="P258" s="55"/>
      <c r="Q258" s="55"/>
    </row>
    <row r="259" spans="1:17">
      <c r="A259" s="38" t="str">
        <f t="shared" si="22"/>
        <v/>
      </c>
      <c r="B259" s="38"/>
      <c r="C259" s="30"/>
      <c r="D259" s="30"/>
      <c r="E259" s="30"/>
      <c r="F259" s="30"/>
      <c r="G259" s="30"/>
      <c r="H259" s="30"/>
      <c r="I259" s="36" t="str">
        <f t="shared" si="23"/>
        <v/>
      </c>
      <c r="J259" s="30"/>
      <c r="K259" s="30"/>
      <c r="L259" s="36" t="str">
        <f t="shared" ref="L259:L299" si="24">IF(K259&lt;&gt;"",K259/J259,"")</f>
        <v/>
      </c>
      <c r="M259" s="37" t="str">
        <f t="shared" ref="M259:M299" si="25">IF(L259&lt;&gt;"",MAX(I259,L259),"")</f>
        <v/>
      </c>
      <c r="N259" s="37" t="str">
        <f t="shared" ref="N259:N299" si="26">IF($M259&lt;&gt;"",IF($M259&lt;50%,0%,IF($M259&lt;80%,$M259,100%)),"")</f>
        <v/>
      </c>
      <c r="O259" s="55"/>
      <c r="P259" s="55"/>
      <c r="Q259" s="55"/>
    </row>
    <row r="260" spans="1:17">
      <c r="A260" s="38" t="str">
        <f t="shared" ref="A260:A299" si="27">IF(C260&lt;&gt;"",A259+1,"")</f>
        <v/>
      </c>
      <c r="B260" s="38"/>
      <c r="C260" s="30"/>
      <c r="D260" s="30"/>
      <c r="E260" s="30"/>
      <c r="F260" s="30"/>
      <c r="G260" s="30"/>
      <c r="H260" s="30"/>
      <c r="I260" s="36" t="str">
        <f t="shared" ref="I260:I299" si="28">IF(H260&lt;&gt;"",H260/G260,"")</f>
        <v/>
      </c>
      <c r="J260" s="30"/>
      <c r="K260" s="30"/>
      <c r="L260" s="36" t="str">
        <f t="shared" si="24"/>
        <v/>
      </c>
      <c r="M260" s="37" t="str">
        <f t="shared" si="25"/>
        <v/>
      </c>
      <c r="N260" s="37" t="str">
        <f t="shared" si="26"/>
        <v/>
      </c>
      <c r="O260" s="55"/>
      <c r="P260" s="55"/>
      <c r="Q260" s="55"/>
    </row>
    <row r="261" spans="1:17">
      <c r="A261" s="38" t="str">
        <f t="shared" si="27"/>
        <v/>
      </c>
      <c r="B261" s="38"/>
      <c r="C261" s="30"/>
      <c r="D261" s="30"/>
      <c r="E261" s="30"/>
      <c r="F261" s="30"/>
      <c r="G261" s="30"/>
      <c r="H261" s="30"/>
      <c r="I261" s="36" t="str">
        <f t="shared" si="28"/>
        <v/>
      </c>
      <c r="J261" s="30"/>
      <c r="K261" s="30"/>
      <c r="L261" s="36" t="str">
        <f t="shared" si="24"/>
        <v/>
      </c>
      <c r="M261" s="37" t="str">
        <f t="shared" si="25"/>
        <v/>
      </c>
      <c r="N261" s="37" t="str">
        <f t="shared" si="26"/>
        <v/>
      </c>
      <c r="O261" s="55"/>
      <c r="P261" s="55"/>
      <c r="Q261" s="55"/>
    </row>
    <row r="262" spans="1:17">
      <c r="A262" s="38" t="str">
        <f t="shared" si="27"/>
        <v/>
      </c>
      <c r="B262" s="38"/>
      <c r="C262" s="30"/>
      <c r="D262" s="30"/>
      <c r="E262" s="30"/>
      <c r="F262" s="30"/>
      <c r="G262" s="30"/>
      <c r="H262" s="30"/>
      <c r="I262" s="36" t="str">
        <f t="shared" si="28"/>
        <v/>
      </c>
      <c r="J262" s="30"/>
      <c r="K262" s="30"/>
      <c r="L262" s="36" t="str">
        <f t="shared" si="24"/>
        <v/>
      </c>
      <c r="M262" s="37" t="str">
        <f t="shared" si="25"/>
        <v/>
      </c>
      <c r="N262" s="37" t="str">
        <f t="shared" si="26"/>
        <v/>
      </c>
      <c r="O262" s="55"/>
      <c r="P262" s="55"/>
      <c r="Q262" s="55"/>
    </row>
    <row r="263" spans="1:17">
      <c r="A263" s="38" t="str">
        <f t="shared" si="27"/>
        <v/>
      </c>
      <c r="B263" s="38"/>
      <c r="C263" s="30"/>
      <c r="D263" s="30"/>
      <c r="E263" s="30"/>
      <c r="F263" s="30"/>
      <c r="G263" s="30"/>
      <c r="H263" s="30"/>
      <c r="I263" s="36" t="str">
        <f t="shared" si="28"/>
        <v/>
      </c>
      <c r="J263" s="30"/>
      <c r="K263" s="30"/>
      <c r="L263" s="36" t="str">
        <f t="shared" si="24"/>
        <v/>
      </c>
      <c r="M263" s="37" t="str">
        <f t="shared" si="25"/>
        <v/>
      </c>
      <c r="N263" s="37" t="str">
        <f t="shared" si="26"/>
        <v/>
      </c>
      <c r="O263" s="55"/>
      <c r="P263" s="55"/>
      <c r="Q263" s="55"/>
    </row>
    <row r="264" spans="1:17">
      <c r="A264" s="38" t="str">
        <f t="shared" si="27"/>
        <v/>
      </c>
      <c r="B264" s="38"/>
      <c r="C264" s="30"/>
      <c r="D264" s="30"/>
      <c r="E264" s="30"/>
      <c r="F264" s="30"/>
      <c r="G264" s="30"/>
      <c r="H264" s="30"/>
      <c r="I264" s="36" t="str">
        <f t="shared" si="28"/>
        <v/>
      </c>
      <c r="J264" s="30"/>
      <c r="K264" s="30"/>
      <c r="L264" s="36" t="str">
        <f t="shared" si="24"/>
        <v/>
      </c>
      <c r="M264" s="37" t="str">
        <f t="shared" si="25"/>
        <v/>
      </c>
      <c r="N264" s="37" t="str">
        <f t="shared" si="26"/>
        <v/>
      </c>
      <c r="O264" s="55"/>
      <c r="P264" s="55"/>
      <c r="Q264" s="55"/>
    </row>
    <row r="265" spans="1:17">
      <c r="A265" s="38" t="str">
        <f t="shared" si="27"/>
        <v/>
      </c>
      <c r="B265" s="38"/>
      <c r="C265" s="30"/>
      <c r="D265" s="30"/>
      <c r="E265" s="30"/>
      <c r="F265" s="30"/>
      <c r="G265" s="30"/>
      <c r="H265" s="30"/>
      <c r="I265" s="36" t="str">
        <f t="shared" si="28"/>
        <v/>
      </c>
      <c r="J265" s="30"/>
      <c r="K265" s="30"/>
      <c r="L265" s="36" t="str">
        <f t="shared" si="24"/>
        <v/>
      </c>
      <c r="M265" s="37" t="str">
        <f t="shared" si="25"/>
        <v/>
      </c>
      <c r="N265" s="37" t="str">
        <f t="shared" si="26"/>
        <v/>
      </c>
      <c r="O265" s="55"/>
      <c r="P265" s="55"/>
      <c r="Q265" s="55"/>
    </row>
    <row r="266" spans="1:17">
      <c r="A266" s="38" t="str">
        <f t="shared" si="27"/>
        <v/>
      </c>
      <c r="B266" s="38"/>
      <c r="C266" s="30"/>
      <c r="D266" s="30"/>
      <c r="E266" s="30"/>
      <c r="F266" s="30"/>
      <c r="G266" s="30"/>
      <c r="H266" s="30"/>
      <c r="I266" s="36" t="str">
        <f t="shared" si="28"/>
        <v/>
      </c>
      <c r="J266" s="30"/>
      <c r="K266" s="30"/>
      <c r="L266" s="36" t="str">
        <f t="shared" si="24"/>
        <v/>
      </c>
      <c r="M266" s="37" t="str">
        <f t="shared" si="25"/>
        <v/>
      </c>
      <c r="N266" s="37" t="str">
        <f t="shared" si="26"/>
        <v/>
      </c>
      <c r="O266" s="55"/>
      <c r="P266" s="55"/>
      <c r="Q266" s="55"/>
    </row>
    <row r="267" spans="1:17">
      <c r="A267" s="38" t="str">
        <f t="shared" si="27"/>
        <v/>
      </c>
      <c r="B267" s="38"/>
      <c r="C267" s="30"/>
      <c r="D267" s="30"/>
      <c r="E267" s="30"/>
      <c r="F267" s="30"/>
      <c r="G267" s="30"/>
      <c r="H267" s="30"/>
      <c r="I267" s="36" t="str">
        <f t="shared" si="28"/>
        <v/>
      </c>
      <c r="J267" s="30"/>
      <c r="K267" s="30"/>
      <c r="L267" s="36" t="str">
        <f t="shared" si="24"/>
        <v/>
      </c>
      <c r="M267" s="37" t="str">
        <f t="shared" si="25"/>
        <v/>
      </c>
      <c r="N267" s="37" t="str">
        <f t="shared" si="26"/>
        <v/>
      </c>
      <c r="O267" s="55"/>
      <c r="P267" s="55"/>
      <c r="Q267" s="55"/>
    </row>
    <row r="268" spans="1:17">
      <c r="A268" s="38" t="str">
        <f t="shared" si="27"/>
        <v/>
      </c>
      <c r="B268" s="38"/>
      <c r="C268" s="30"/>
      <c r="D268" s="30"/>
      <c r="E268" s="30"/>
      <c r="F268" s="30"/>
      <c r="G268" s="30"/>
      <c r="H268" s="30"/>
      <c r="I268" s="36" t="str">
        <f t="shared" si="28"/>
        <v/>
      </c>
      <c r="J268" s="30"/>
      <c r="K268" s="30"/>
      <c r="L268" s="36" t="str">
        <f t="shared" si="24"/>
        <v/>
      </c>
      <c r="M268" s="37" t="str">
        <f t="shared" si="25"/>
        <v/>
      </c>
      <c r="N268" s="37" t="str">
        <f t="shared" si="26"/>
        <v/>
      </c>
      <c r="O268" s="55"/>
      <c r="P268" s="55"/>
      <c r="Q268" s="55"/>
    </row>
    <row r="269" spans="1:17">
      <c r="A269" s="38" t="str">
        <f t="shared" si="27"/>
        <v/>
      </c>
      <c r="B269" s="38"/>
      <c r="C269" s="30"/>
      <c r="D269" s="30"/>
      <c r="E269" s="30"/>
      <c r="F269" s="30"/>
      <c r="G269" s="30"/>
      <c r="H269" s="30"/>
      <c r="I269" s="36" t="str">
        <f t="shared" si="28"/>
        <v/>
      </c>
      <c r="J269" s="30"/>
      <c r="K269" s="30"/>
      <c r="L269" s="36" t="str">
        <f t="shared" si="24"/>
        <v/>
      </c>
      <c r="M269" s="37" t="str">
        <f t="shared" si="25"/>
        <v/>
      </c>
      <c r="N269" s="37" t="str">
        <f t="shared" si="26"/>
        <v/>
      </c>
      <c r="O269" s="55"/>
      <c r="P269" s="55"/>
      <c r="Q269" s="55"/>
    </row>
    <row r="270" spans="1:17">
      <c r="A270" s="38" t="str">
        <f t="shared" si="27"/>
        <v/>
      </c>
      <c r="B270" s="38"/>
      <c r="C270" s="30"/>
      <c r="D270" s="30"/>
      <c r="E270" s="30"/>
      <c r="F270" s="30"/>
      <c r="G270" s="30"/>
      <c r="H270" s="30"/>
      <c r="I270" s="36" t="str">
        <f t="shared" si="28"/>
        <v/>
      </c>
      <c r="J270" s="30"/>
      <c r="K270" s="30"/>
      <c r="L270" s="36" t="str">
        <f t="shared" si="24"/>
        <v/>
      </c>
      <c r="M270" s="37" t="str">
        <f t="shared" si="25"/>
        <v/>
      </c>
      <c r="N270" s="37" t="str">
        <f t="shared" si="26"/>
        <v/>
      </c>
      <c r="O270" s="55"/>
      <c r="P270" s="55"/>
      <c r="Q270" s="55"/>
    </row>
    <row r="271" spans="1:17">
      <c r="A271" s="38" t="str">
        <f t="shared" si="27"/>
        <v/>
      </c>
      <c r="B271" s="38"/>
      <c r="C271" s="30"/>
      <c r="D271" s="30"/>
      <c r="E271" s="30"/>
      <c r="F271" s="30"/>
      <c r="G271" s="30"/>
      <c r="H271" s="30"/>
      <c r="I271" s="36" t="str">
        <f t="shared" si="28"/>
        <v/>
      </c>
      <c r="J271" s="30"/>
      <c r="K271" s="30"/>
      <c r="L271" s="36" t="str">
        <f t="shared" si="24"/>
        <v/>
      </c>
      <c r="M271" s="37" t="str">
        <f t="shared" si="25"/>
        <v/>
      </c>
      <c r="N271" s="37" t="str">
        <f t="shared" si="26"/>
        <v/>
      </c>
      <c r="O271" s="55"/>
      <c r="P271" s="55"/>
      <c r="Q271" s="55"/>
    </row>
    <row r="272" spans="1:17">
      <c r="A272" s="38" t="str">
        <f t="shared" si="27"/>
        <v/>
      </c>
      <c r="B272" s="38"/>
      <c r="C272" s="30"/>
      <c r="D272" s="30"/>
      <c r="E272" s="30"/>
      <c r="F272" s="30"/>
      <c r="G272" s="30"/>
      <c r="H272" s="30"/>
      <c r="I272" s="36" t="str">
        <f t="shared" si="28"/>
        <v/>
      </c>
      <c r="J272" s="30"/>
      <c r="K272" s="30"/>
      <c r="L272" s="36" t="str">
        <f t="shared" si="24"/>
        <v/>
      </c>
      <c r="M272" s="37" t="str">
        <f t="shared" si="25"/>
        <v/>
      </c>
      <c r="N272" s="37" t="str">
        <f t="shared" si="26"/>
        <v/>
      </c>
      <c r="O272" s="55"/>
      <c r="P272" s="55"/>
      <c r="Q272" s="55"/>
    </row>
    <row r="273" spans="1:17">
      <c r="A273" s="38" t="str">
        <f t="shared" si="27"/>
        <v/>
      </c>
      <c r="B273" s="38"/>
      <c r="C273" s="30"/>
      <c r="D273" s="30"/>
      <c r="E273" s="30"/>
      <c r="F273" s="30"/>
      <c r="G273" s="30"/>
      <c r="H273" s="30"/>
      <c r="I273" s="36" t="str">
        <f t="shared" si="28"/>
        <v/>
      </c>
      <c r="J273" s="30"/>
      <c r="K273" s="30"/>
      <c r="L273" s="36" t="str">
        <f t="shared" si="24"/>
        <v/>
      </c>
      <c r="M273" s="37" t="str">
        <f t="shared" si="25"/>
        <v/>
      </c>
      <c r="N273" s="37" t="str">
        <f t="shared" si="26"/>
        <v/>
      </c>
      <c r="O273" s="55"/>
      <c r="P273" s="55"/>
      <c r="Q273" s="55"/>
    </row>
    <row r="274" spans="1:17">
      <c r="A274" s="38" t="str">
        <f t="shared" si="27"/>
        <v/>
      </c>
      <c r="B274" s="38"/>
      <c r="C274" s="30"/>
      <c r="D274" s="30"/>
      <c r="E274" s="30"/>
      <c r="F274" s="30"/>
      <c r="G274" s="30"/>
      <c r="H274" s="30"/>
      <c r="I274" s="36" t="str">
        <f t="shared" si="28"/>
        <v/>
      </c>
      <c r="J274" s="30"/>
      <c r="K274" s="30"/>
      <c r="L274" s="36" t="str">
        <f t="shared" si="24"/>
        <v/>
      </c>
      <c r="M274" s="37" t="str">
        <f t="shared" si="25"/>
        <v/>
      </c>
      <c r="N274" s="37" t="str">
        <f t="shared" si="26"/>
        <v/>
      </c>
      <c r="O274" s="55"/>
      <c r="P274" s="55"/>
      <c r="Q274" s="55"/>
    </row>
    <row r="275" spans="1:17">
      <c r="A275" s="38" t="str">
        <f t="shared" si="27"/>
        <v/>
      </c>
      <c r="B275" s="38"/>
      <c r="C275" s="30"/>
      <c r="D275" s="30"/>
      <c r="E275" s="30"/>
      <c r="F275" s="30"/>
      <c r="G275" s="30"/>
      <c r="H275" s="30"/>
      <c r="I275" s="36" t="str">
        <f t="shared" si="28"/>
        <v/>
      </c>
      <c r="J275" s="30"/>
      <c r="K275" s="30"/>
      <c r="L275" s="36" t="str">
        <f t="shared" si="24"/>
        <v/>
      </c>
      <c r="M275" s="37" t="str">
        <f t="shared" si="25"/>
        <v/>
      </c>
      <c r="N275" s="37" t="str">
        <f t="shared" si="26"/>
        <v/>
      </c>
      <c r="O275" s="55"/>
      <c r="P275" s="55"/>
      <c r="Q275" s="55"/>
    </row>
    <row r="276" spans="1:17">
      <c r="A276" s="38" t="str">
        <f t="shared" si="27"/>
        <v/>
      </c>
      <c r="B276" s="38"/>
      <c r="C276" s="30"/>
      <c r="D276" s="30"/>
      <c r="E276" s="30"/>
      <c r="F276" s="30"/>
      <c r="G276" s="30"/>
      <c r="H276" s="30"/>
      <c r="I276" s="36" t="str">
        <f t="shared" si="28"/>
        <v/>
      </c>
      <c r="J276" s="30"/>
      <c r="K276" s="30"/>
      <c r="L276" s="36" t="str">
        <f t="shared" si="24"/>
        <v/>
      </c>
      <c r="M276" s="37" t="str">
        <f t="shared" si="25"/>
        <v/>
      </c>
      <c r="N276" s="37" t="str">
        <f t="shared" si="26"/>
        <v/>
      </c>
      <c r="O276" s="55"/>
      <c r="P276" s="55"/>
      <c r="Q276" s="55"/>
    </row>
    <row r="277" spans="1:17">
      <c r="A277" s="38" t="str">
        <f t="shared" si="27"/>
        <v/>
      </c>
      <c r="B277" s="38"/>
      <c r="C277" s="30"/>
      <c r="D277" s="30"/>
      <c r="E277" s="30"/>
      <c r="F277" s="30"/>
      <c r="G277" s="30"/>
      <c r="H277" s="30"/>
      <c r="I277" s="36" t="str">
        <f t="shared" si="28"/>
        <v/>
      </c>
      <c r="J277" s="30"/>
      <c r="K277" s="30"/>
      <c r="L277" s="36" t="str">
        <f t="shared" si="24"/>
        <v/>
      </c>
      <c r="M277" s="37" t="str">
        <f t="shared" si="25"/>
        <v/>
      </c>
      <c r="N277" s="37" t="str">
        <f t="shared" si="26"/>
        <v/>
      </c>
      <c r="O277" s="55"/>
      <c r="P277" s="55"/>
      <c r="Q277" s="55"/>
    </row>
    <row r="278" spans="1:17">
      <c r="A278" s="38" t="str">
        <f t="shared" si="27"/>
        <v/>
      </c>
      <c r="B278" s="38"/>
      <c r="C278" s="30"/>
      <c r="D278" s="30"/>
      <c r="E278" s="30"/>
      <c r="F278" s="30"/>
      <c r="G278" s="30"/>
      <c r="H278" s="30"/>
      <c r="I278" s="36" t="str">
        <f t="shared" si="28"/>
        <v/>
      </c>
      <c r="J278" s="30"/>
      <c r="K278" s="30"/>
      <c r="L278" s="36" t="str">
        <f t="shared" si="24"/>
        <v/>
      </c>
      <c r="M278" s="37" t="str">
        <f t="shared" si="25"/>
        <v/>
      </c>
      <c r="N278" s="37" t="str">
        <f t="shared" si="26"/>
        <v/>
      </c>
      <c r="O278" s="55"/>
      <c r="P278" s="55"/>
      <c r="Q278" s="55"/>
    </row>
    <row r="279" spans="1:17">
      <c r="A279" s="38" t="str">
        <f t="shared" si="27"/>
        <v/>
      </c>
      <c r="B279" s="38"/>
      <c r="C279" s="30"/>
      <c r="D279" s="30"/>
      <c r="E279" s="30"/>
      <c r="F279" s="30"/>
      <c r="G279" s="30"/>
      <c r="H279" s="30"/>
      <c r="I279" s="36" t="str">
        <f t="shared" si="28"/>
        <v/>
      </c>
      <c r="J279" s="30"/>
      <c r="K279" s="30"/>
      <c r="L279" s="36" t="str">
        <f t="shared" si="24"/>
        <v/>
      </c>
      <c r="M279" s="37" t="str">
        <f t="shared" si="25"/>
        <v/>
      </c>
      <c r="N279" s="37" t="str">
        <f t="shared" si="26"/>
        <v/>
      </c>
      <c r="O279" s="55"/>
      <c r="P279" s="55"/>
      <c r="Q279" s="55"/>
    </row>
    <row r="280" spans="1:17">
      <c r="A280" s="38" t="str">
        <f t="shared" si="27"/>
        <v/>
      </c>
      <c r="B280" s="38"/>
      <c r="C280" s="30"/>
      <c r="D280" s="30"/>
      <c r="E280" s="30"/>
      <c r="F280" s="30"/>
      <c r="G280" s="30"/>
      <c r="H280" s="30"/>
      <c r="I280" s="36" t="str">
        <f t="shared" si="28"/>
        <v/>
      </c>
      <c r="J280" s="30"/>
      <c r="K280" s="30"/>
      <c r="L280" s="36" t="str">
        <f t="shared" si="24"/>
        <v/>
      </c>
      <c r="M280" s="37" t="str">
        <f t="shared" si="25"/>
        <v/>
      </c>
      <c r="N280" s="37" t="str">
        <f t="shared" si="26"/>
        <v/>
      </c>
      <c r="O280" s="55"/>
      <c r="P280" s="55"/>
      <c r="Q280" s="55"/>
    </row>
    <row r="281" spans="1:17">
      <c r="A281" s="38" t="str">
        <f t="shared" si="27"/>
        <v/>
      </c>
      <c r="B281" s="38"/>
      <c r="C281" s="30"/>
      <c r="D281" s="30"/>
      <c r="E281" s="30"/>
      <c r="F281" s="30"/>
      <c r="G281" s="30"/>
      <c r="H281" s="30"/>
      <c r="I281" s="36" t="str">
        <f t="shared" si="28"/>
        <v/>
      </c>
      <c r="J281" s="30"/>
      <c r="K281" s="30"/>
      <c r="L281" s="36" t="str">
        <f t="shared" si="24"/>
        <v/>
      </c>
      <c r="M281" s="37" t="str">
        <f t="shared" si="25"/>
        <v/>
      </c>
      <c r="N281" s="37" t="str">
        <f t="shared" si="26"/>
        <v/>
      </c>
      <c r="O281" s="55"/>
      <c r="P281" s="55"/>
      <c r="Q281" s="55"/>
    </row>
    <row r="282" spans="1:17">
      <c r="A282" s="38" t="str">
        <f t="shared" si="27"/>
        <v/>
      </c>
      <c r="B282" s="38"/>
      <c r="C282" s="30"/>
      <c r="D282" s="30"/>
      <c r="E282" s="30"/>
      <c r="F282" s="30"/>
      <c r="G282" s="30"/>
      <c r="H282" s="30"/>
      <c r="I282" s="36" t="str">
        <f t="shared" si="28"/>
        <v/>
      </c>
      <c r="J282" s="30"/>
      <c r="K282" s="30"/>
      <c r="L282" s="36" t="str">
        <f t="shared" si="24"/>
        <v/>
      </c>
      <c r="M282" s="37" t="str">
        <f t="shared" si="25"/>
        <v/>
      </c>
      <c r="N282" s="37" t="str">
        <f t="shared" si="26"/>
        <v/>
      </c>
      <c r="O282" s="55"/>
      <c r="P282" s="55"/>
      <c r="Q282" s="55"/>
    </row>
    <row r="283" spans="1:17">
      <c r="A283" s="38" t="str">
        <f t="shared" si="27"/>
        <v/>
      </c>
      <c r="B283" s="38"/>
      <c r="C283" s="30"/>
      <c r="D283" s="30"/>
      <c r="E283" s="30"/>
      <c r="F283" s="30"/>
      <c r="G283" s="30"/>
      <c r="H283" s="30"/>
      <c r="I283" s="36" t="str">
        <f t="shared" si="28"/>
        <v/>
      </c>
      <c r="J283" s="30"/>
      <c r="K283" s="30"/>
      <c r="L283" s="36" t="str">
        <f t="shared" si="24"/>
        <v/>
      </c>
      <c r="M283" s="37" t="str">
        <f t="shared" si="25"/>
        <v/>
      </c>
      <c r="N283" s="37" t="str">
        <f t="shared" si="26"/>
        <v/>
      </c>
      <c r="O283" s="55"/>
      <c r="P283" s="55"/>
      <c r="Q283" s="55"/>
    </row>
    <row r="284" spans="1:17">
      <c r="A284" s="38" t="str">
        <f t="shared" si="27"/>
        <v/>
      </c>
      <c r="B284" s="38"/>
      <c r="C284" s="30"/>
      <c r="D284" s="30"/>
      <c r="E284" s="30"/>
      <c r="F284" s="30"/>
      <c r="G284" s="30"/>
      <c r="H284" s="30"/>
      <c r="I284" s="36" t="str">
        <f t="shared" si="28"/>
        <v/>
      </c>
      <c r="J284" s="30"/>
      <c r="K284" s="30"/>
      <c r="L284" s="36" t="str">
        <f t="shared" si="24"/>
        <v/>
      </c>
      <c r="M284" s="37" t="str">
        <f t="shared" si="25"/>
        <v/>
      </c>
      <c r="N284" s="37" t="str">
        <f t="shared" si="26"/>
        <v/>
      </c>
      <c r="O284" s="55"/>
      <c r="P284" s="55"/>
      <c r="Q284" s="55"/>
    </row>
    <row r="285" spans="1:17">
      <c r="A285" s="38" t="str">
        <f t="shared" si="27"/>
        <v/>
      </c>
      <c r="B285" s="38"/>
      <c r="C285" s="30"/>
      <c r="D285" s="30"/>
      <c r="E285" s="30"/>
      <c r="F285" s="30"/>
      <c r="G285" s="30"/>
      <c r="H285" s="30"/>
      <c r="I285" s="36" t="str">
        <f t="shared" si="28"/>
        <v/>
      </c>
      <c r="J285" s="30"/>
      <c r="K285" s="30"/>
      <c r="L285" s="36" t="str">
        <f t="shared" si="24"/>
        <v/>
      </c>
      <c r="M285" s="37" t="str">
        <f t="shared" si="25"/>
        <v/>
      </c>
      <c r="N285" s="37" t="str">
        <f t="shared" si="26"/>
        <v/>
      </c>
      <c r="O285" s="55"/>
      <c r="P285" s="55"/>
      <c r="Q285" s="55"/>
    </row>
    <row r="286" spans="1:17">
      <c r="A286" s="38" t="str">
        <f t="shared" si="27"/>
        <v/>
      </c>
      <c r="B286" s="38"/>
      <c r="C286" s="30"/>
      <c r="D286" s="30"/>
      <c r="E286" s="30"/>
      <c r="F286" s="30"/>
      <c r="G286" s="30"/>
      <c r="H286" s="30"/>
      <c r="I286" s="36" t="str">
        <f t="shared" si="28"/>
        <v/>
      </c>
      <c r="J286" s="30"/>
      <c r="K286" s="30"/>
      <c r="L286" s="36" t="str">
        <f t="shared" si="24"/>
        <v/>
      </c>
      <c r="M286" s="37" t="str">
        <f t="shared" si="25"/>
        <v/>
      </c>
      <c r="N286" s="37" t="str">
        <f t="shared" si="26"/>
        <v/>
      </c>
      <c r="O286" s="55"/>
      <c r="P286" s="55"/>
      <c r="Q286" s="55"/>
    </row>
    <row r="287" spans="1:17">
      <c r="A287" s="38" t="str">
        <f t="shared" si="27"/>
        <v/>
      </c>
      <c r="B287" s="38"/>
      <c r="C287" s="30"/>
      <c r="D287" s="30"/>
      <c r="E287" s="30"/>
      <c r="F287" s="30"/>
      <c r="G287" s="30"/>
      <c r="H287" s="30"/>
      <c r="I287" s="36" t="str">
        <f t="shared" si="28"/>
        <v/>
      </c>
      <c r="J287" s="30"/>
      <c r="K287" s="30"/>
      <c r="L287" s="36" t="str">
        <f t="shared" si="24"/>
        <v/>
      </c>
      <c r="M287" s="37" t="str">
        <f t="shared" si="25"/>
        <v/>
      </c>
      <c r="N287" s="37" t="str">
        <f t="shared" si="26"/>
        <v/>
      </c>
      <c r="O287" s="55"/>
      <c r="P287" s="55"/>
      <c r="Q287" s="55"/>
    </row>
    <row r="288" spans="1:17">
      <c r="A288" s="38" t="str">
        <f t="shared" si="27"/>
        <v/>
      </c>
      <c r="B288" s="38"/>
      <c r="C288" s="30"/>
      <c r="D288" s="30"/>
      <c r="E288" s="30"/>
      <c r="F288" s="30"/>
      <c r="G288" s="30"/>
      <c r="H288" s="30"/>
      <c r="I288" s="36" t="str">
        <f t="shared" si="28"/>
        <v/>
      </c>
      <c r="J288" s="30"/>
      <c r="K288" s="30"/>
      <c r="L288" s="36" t="str">
        <f t="shared" si="24"/>
        <v/>
      </c>
      <c r="M288" s="37" t="str">
        <f t="shared" si="25"/>
        <v/>
      </c>
      <c r="N288" s="37" t="str">
        <f t="shared" si="26"/>
        <v/>
      </c>
      <c r="O288" s="55"/>
      <c r="P288" s="55"/>
      <c r="Q288" s="55"/>
    </row>
    <row r="289" spans="1:17">
      <c r="A289" s="38" t="str">
        <f t="shared" si="27"/>
        <v/>
      </c>
      <c r="B289" s="38"/>
      <c r="C289" s="30"/>
      <c r="D289" s="30"/>
      <c r="E289" s="30"/>
      <c r="F289" s="30"/>
      <c r="G289" s="30"/>
      <c r="H289" s="30"/>
      <c r="I289" s="36" t="str">
        <f t="shared" si="28"/>
        <v/>
      </c>
      <c r="J289" s="30"/>
      <c r="K289" s="30"/>
      <c r="L289" s="36" t="str">
        <f t="shared" si="24"/>
        <v/>
      </c>
      <c r="M289" s="37" t="str">
        <f t="shared" si="25"/>
        <v/>
      </c>
      <c r="N289" s="37" t="str">
        <f t="shared" si="26"/>
        <v/>
      </c>
      <c r="O289" s="55"/>
      <c r="P289" s="55"/>
      <c r="Q289" s="55"/>
    </row>
    <row r="290" spans="1:17">
      <c r="A290" s="38" t="str">
        <f t="shared" si="27"/>
        <v/>
      </c>
      <c r="B290" s="38"/>
      <c r="C290" s="30"/>
      <c r="D290" s="30"/>
      <c r="E290" s="30"/>
      <c r="F290" s="30"/>
      <c r="G290" s="30"/>
      <c r="H290" s="30"/>
      <c r="I290" s="36" t="str">
        <f t="shared" si="28"/>
        <v/>
      </c>
      <c r="J290" s="30"/>
      <c r="K290" s="30"/>
      <c r="L290" s="36" t="str">
        <f t="shared" si="24"/>
        <v/>
      </c>
      <c r="M290" s="37" t="str">
        <f t="shared" si="25"/>
        <v/>
      </c>
      <c r="N290" s="37" t="str">
        <f t="shared" si="26"/>
        <v/>
      </c>
      <c r="O290" s="55"/>
      <c r="P290" s="55"/>
      <c r="Q290" s="55"/>
    </row>
    <row r="291" spans="1:17">
      <c r="A291" s="38" t="str">
        <f t="shared" si="27"/>
        <v/>
      </c>
      <c r="B291" s="38"/>
      <c r="C291" s="30"/>
      <c r="D291" s="30"/>
      <c r="E291" s="30"/>
      <c r="F291" s="30"/>
      <c r="G291" s="30"/>
      <c r="H291" s="30"/>
      <c r="I291" s="36" t="str">
        <f t="shared" si="28"/>
        <v/>
      </c>
      <c r="J291" s="30"/>
      <c r="K291" s="30"/>
      <c r="L291" s="36" t="str">
        <f t="shared" si="24"/>
        <v/>
      </c>
      <c r="M291" s="37" t="str">
        <f t="shared" si="25"/>
        <v/>
      </c>
      <c r="N291" s="37" t="str">
        <f t="shared" si="26"/>
        <v/>
      </c>
      <c r="O291" s="55"/>
      <c r="P291" s="55"/>
      <c r="Q291" s="55"/>
    </row>
    <row r="292" spans="1:17">
      <c r="A292" s="38" t="str">
        <f t="shared" si="27"/>
        <v/>
      </c>
      <c r="B292" s="38"/>
      <c r="C292" s="30"/>
      <c r="D292" s="30"/>
      <c r="E292" s="30"/>
      <c r="F292" s="30"/>
      <c r="G292" s="30"/>
      <c r="H292" s="30"/>
      <c r="I292" s="36" t="str">
        <f t="shared" si="28"/>
        <v/>
      </c>
      <c r="J292" s="30"/>
      <c r="K292" s="30"/>
      <c r="L292" s="36" t="str">
        <f t="shared" si="24"/>
        <v/>
      </c>
      <c r="M292" s="37" t="str">
        <f t="shared" si="25"/>
        <v/>
      </c>
      <c r="N292" s="37" t="str">
        <f t="shared" si="26"/>
        <v/>
      </c>
      <c r="O292" s="55"/>
      <c r="P292" s="55"/>
      <c r="Q292" s="55"/>
    </row>
    <row r="293" spans="1:17">
      <c r="A293" s="38" t="str">
        <f t="shared" si="27"/>
        <v/>
      </c>
      <c r="B293" s="38"/>
      <c r="C293" s="30"/>
      <c r="D293" s="30"/>
      <c r="E293" s="30"/>
      <c r="F293" s="30"/>
      <c r="G293" s="30"/>
      <c r="H293" s="30"/>
      <c r="I293" s="36" t="str">
        <f t="shared" si="28"/>
        <v/>
      </c>
      <c r="J293" s="30"/>
      <c r="K293" s="30"/>
      <c r="L293" s="36" t="str">
        <f t="shared" si="24"/>
        <v/>
      </c>
      <c r="M293" s="37" t="str">
        <f t="shared" si="25"/>
        <v/>
      </c>
      <c r="N293" s="37" t="str">
        <f t="shared" si="26"/>
        <v/>
      </c>
      <c r="O293" s="55"/>
      <c r="P293" s="55"/>
      <c r="Q293" s="55"/>
    </row>
    <row r="294" spans="1:17">
      <c r="A294" s="38" t="str">
        <f t="shared" si="27"/>
        <v/>
      </c>
      <c r="B294" s="38"/>
      <c r="C294" s="30"/>
      <c r="D294" s="30"/>
      <c r="E294" s="30"/>
      <c r="F294" s="30"/>
      <c r="G294" s="30"/>
      <c r="H294" s="30"/>
      <c r="I294" s="36" t="str">
        <f t="shared" si="28"/>
        <v/>
      </c>
      <c r="J294" s="30"/>
      <c r="K294" s="30"/>
      <c r="L294" s="36" t="str">
        <f t="shared" si="24"/>
        <v/>
      </c>
      <c r="M294" s="37" t="str">
        <f t="shared" si="25"/>
        <v/>
      </c>
      <c r="N294" s="37" t="str">
        <f t="shared" si="26"/>
        <v/>
      </c>
      <c r="O294" s="55"/>
      <c r="P294" s="55"/>
      <c r="Q294" s="55"/>
    </row>
    <row r="295" spans="1:17">
      <c r="A295" s="38" t="str">
        <f t="shared" si="27"/>
        <v/>
      </c>
      <c r="B295" s="38"/>
      <c r="C295" s="30"/>
      <c r="D295" s="30"/>
      <c r="E295" s="30"/>
      <c r="F295" s="30"/>
      <c r="G295" s="30"/>
      <c r="H295" s="30"/>
      <c r="I295" s="36" t="str">
        <f t="shared" si="28"/>
        <v/>
      </c>
      <c r="J295" s="30"/>
      <c r="K295" s="30"/>
      <c r="L295" s="36" t="str">
        <f t="shared" si="24"/>
        <v/>
      </c>
      <c r="M295" s="37" t="str">
        <f t="shared" si="25"/>
        <v/>
      </c>
      <c r="N295" s="37" t="str">
        <f t="shared" si="26"/>
        <v/>
      </c>
      <c r="O295" s="55"/>
      <c r="P295" s="55"/>
      <c r="Q295" s="55"/>
    </row>
    <row r="296" spans="1:17">
      <c r="A296" s="38" t="str">
        <f t="shared" si="27"/>
        <v/>
      </c>
      <c r="B296" s="38"/>
      <c r="C296" s="30"/>
      <c r="D296" s="30"/>
      <c r="E296" s="30"/>
      <c r="F296" s="30"/>
      <c r="G296" s="30"/>
      <c r="H296" s="30"/>
      <c r="I296" s="36" t="str">
        <f t="shared" si="28"/>
        <v/>
      </c>
      <c r="J296" s="30"/>
      <c r="K296" s="30"/>
      <c r="L296" s="36" t="str">
        <f t="shared" si="24"/>
        <v/>
      </c>
      <c r="M296" s="37" t="str">
        <f t="shared" si="25"/>
        <v/>
      </c>
      <c r="N296" s="37" t="str">
        <f t="shared" si="26"/>
        <v/>
      </c>
      <c r="O296" s="55"/>
      <c r="P296" s="55"/>
      <c r="Q296" s="55"/>
    </row>
    <row r="297" spans="1:17">
      <c r="A297" s="38" t="str">
        <f t="shared" si="27"/>
        <v/>
      </c>
      <c r="B297" s="38"/>
      <c r="C297" s="30"/>
      <c r="D297" s="30"/>
      <c r="E297" s="30"/>
      <c r="F297" s="30"/>
      <c r="G297" s="30"/>
      <c r="H297" s="30"/>
      <c r="I297" s="36" t="str">
        <f t="shared" si="28"/>
        <v/>
      </c>
      <c r="J297" s="30"/>
      <c r="K297" s="30"/>
      <c r="L297" s="36" t="str">
        <f t="shared" si="24"/>
        <v/>
      </c>
      <c r="M297" s="37" t="str">
        <f t="shared" si="25"/>
        <v/>
      </c>
      <c r="N297" s="37" t="str">
        <f t="shared" si="26"/>
        <v/>
      </c>
      <c r="O297" s="55"/>
      <c r="P297" s="55"/>
      <c r="Q297" s="55"/>
    </row>
    <row r="298" spans="1:17">
      <c r="A298" s="38" t="str">
        <f t="shared" si="27"/>
        <v/>
      </c>
      <c r="B298" s="38"/>
      <c r="C298" s="30"/>
      <c r="D298" s="30"/>
      <c r="E298" s="30"/>
      <c r="F298" s="30"/>
      <c r="G298" s="30"/>
      <c r="H298" s="30"/>
      <c r="I298" s="36" t="str">
        <f t="shared" si="28"/>
        <v/>
      </c>
      <c r="J298" s="30"/>
      <c r="K298" s="30"/>
      <c r="L298" s="36" t="str">
        <f t="shared" si="24"/>
        <v/>
      </c>
      <c r="M298" s="37" t="str">
        <f t="shared" si="25"/>
        <v/>
      </c>
      <c r="N298" s="37" t="str">
        <f t="shared" si="26"/>
        <v/>
      </c>
      <c r="O298" s="55"/>
      <c r="P298" s="55"/>
      <c r="Q298" s="55"/>
    </row>
    <row r="299" spans="1:17">
      <c r="A299" s="38" t="str">
        <f t="shared" si="27"/>
        <v/>
      </c>
      <c r="B299" s="38"/>
      <c r="C299" s="30"/>
      <c r="D299" s="30"/>
      <c r="E299" s="30"/>
      <c r="F299" s="30"/>
      <c r="G299" s="30"/>
      <c r="H299" s="30"/>
      <c r="I299" s="36" t="str">
        <f t="shared" si="28"/>
        <v/>
      </c>
      <c r="J299" s="30"/>
      <c r="K299" s="30"/>
      <c r="L299" s="36" t="str">
        <f t="shared" si="24"/>
        <v/>
      </c>
      <c r="M299" s="37" t="str">
        <f t="shared" si="25"/>
        <v/>
      </c>
      <c r="N299" s="37" t="str">
        <f t="shared" si="26"/>
        <v/>
      </c>
      <c r="O299" s="55"/>
      <c r="P299" s="55"/>
      <c r="Q299" s="55"/>
    </row>
  </sheetData>
  <autoFilter ref="A2:CE2" xr:uid="{00000000-0001-0000-07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6C9E0143AFF439DF5F7436FAF6054" ma:contentTypeVersion="3" ma:contentTypeDescription="Create a new document." ma:contentTypeScope="" ma:versionID="e05589aeb4428aa26e97d8ef83d2aede">
  <xsd:schema xmlns:xsd="http://www.w3.org/2001/XMLSchema" xmlns:xs="http://www.w3.org/2001/XMLSchema" xmlns:p="http://schemas.microsoft.com/office/2006/metadata/properties" xmlns:ns2="443da0b5-9054-4438-bc9c-65c365cc31ee" targetNamespace="http://schemas.microsoft.com/office/2006/metadata/properties" ma:root="true" ma:fieldsID="a1d17a7a9b993596cd8339e0951295cd" ns2:_="">
    <xsd:import namespace="443da0b5-9054-4438-bc9c-65c365cc3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da0b5-9054-4438-bc9c-65c365cc31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41E982-6F7D-4713-AF22-3CF5872C8E23}"/>
</file>

<file path=customXml/itemProps2.xml><?xml version="1.0" encoding="utf-8"?>
<ds:datastoreItem xmlns:ds="http://schemas.openxmlformats.org/officeDocument/2006/customXml" ds:itemID="{582DD2C4-48C4-4153-B2BD-F1B494064C62}"/>
</file>

<file path=customXml/itemProps3.xml><?xml version="1.0" encoding="utf-8"?>
<ds:datastoreItem xmlns:ds="http://schemas.openxmlformats.org/officeDocument/2006/customXml" ds:itemID="{66E36557-5956-4668-801C-7B298A542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Chintan Shah</dc:creator>
  <cp:keywords/>
  <dc:description/>
  <cp:lastModifiedBy>Satpal Singh Thakur</cp:lastModifiedBy>
  <cp:revision/>
  <dcterms:created xsi:type="dcterms:W3CDTF">2022-10-14T07:42:24Z</dcterms:created>
  <dcterms:modified xsi:type="dcterms:W3CDTF">2026-06-10T07:00:08Z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0x0101001796C9E0143AFF439DF5F7436FAF6054</vt:lpwstr>
  </property>
</Properties>
</file>